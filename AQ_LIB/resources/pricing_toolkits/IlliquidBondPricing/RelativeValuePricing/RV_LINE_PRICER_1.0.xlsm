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0700" windowHeight="11760" tabRatio="750" activeTab="9"/>
  </bookViews>
  <sheets>
    <sheet name="Settings" sheetId="7" r:id="rId1"/>
    <sheet name="Static" sheetId="3" r:id="rId2"/>
    <sheet name="FixingTables" sheetId="5" r:id="rId3"/>
    <sheet name="FixedBondSingle" sheetId="22" r:id="rId4"/>
    <sheet name="FixedBonds" sheetId="1" r:id="rId5"/>
    <sheet name="FixedBondsSummary" sheetId="12" r:id="rId6"/>
    <sheet name="XccyFixedBondSingle" sheetId="21" r:id="rId7"/>
    <sheet name="XccyFixedBonds" sheetId="16" r:id="rId8"/>
    <sheet name="XccyFixedBondsSummary" sheetId="17" r:id="rId9"/>
    <sheet name="FloatBondSingle" sheetId="23" r:id="rId10"/>
    <sheet name="FloatBonds" sheetId="18" r:id="rId11"/>
    <sheet name="FloatBondsSummary" sheetId="20" r:id="rId12"/>
  </sheets>
  <definedNames>
    <definedName name="Bond.ISIN" localSheetId="6">XccyFixedBondSingle!$V$5</definedName>
    <definedName name="Bond.ISIN">FixedBondSingle!$V$5</definedName>
    <definedName name="Booking.Bond" localSheetId="6">XccyFixedBondSingle!$V$7</definedName>
    <definedName name="Booking.Bond">FixedBondSingle!$V$7</definedName>
    <definedName name="Booking.Bond.AssetSwap" localSheetId="6">XccyFixedBondSingle!$Q$7</definedName>
    <definedName name="Booking.Bond.AssetSwap">FixedBondSingle!$Q$7</definedName>
    <definedName name="Booking.Proxy.AssetSwap" localSheetId="6">XccyFixedBondSingle!$M$7</definedName>
    <definedName name="Booking.Proxy.AssetSwap">FixedBondSingle!$M$7</definedName>
    <definedName name="Booking.Proxy.Bond" localSheetId="6">XccyFixedBondSingle!$I$7</definedName>
    <definedName name="Booking.Proxy.Bond">FixedBondSingle!$I$7</definedName>
    <definedName name="ExdividendTenorType23">Static!$B$17:$C$18</definedName>
    <definedName name="ExdividendTenorType26">Static!$B$21:$C$22</definedName>
    <definedName name="FixingsAUD3ML">FixingTables!$O$2</definedName>
    <definedName name="FixingsAUD6ML">FixingTables!$R$2</definedName>
    <definedName name="FixingsEUR3ML">FixingTables!$C$2</definedName>
    <definedName name="FixingsEUR6ML">FixingTables!$F$2</definedName>
    <definedName name="FixingsJPY3ML">FixingTables!$U$2</definedName>
    <definedName name="FixingsJPY6ML">FixingTables!$X$2</definedName>
    <definedName name="FixingsUSD3ML">FixingTables!$I$2</definedName>
    <definedName name="FixingsUSD6ML">FixingTables!$L$2</definedName>
    <definedName name="Proxy.ISIN" localSheetId="6">XccyFixedBondSingle!$I$5</definedName>
    <definedName name="Proxy.ISIN">FixedBondSingle!$I$5</definedName>
    <definedName name="Settings.CurveOverride.AUD">Settings!$F$13</definedName>
    <definedName name="Settings.CurveOverride.EUR">Settings!$F$5</definedName>
    <definedName name="Settings.CurveOverride.JPY">Settings!$F$17</definedName>
    <definedName name="Settings.CurveOverride.USD">Settings!$F$9</definedName>
    <definedName name="Settings.ValuationDate">Settings!$B$3</definedName>
    <definedName name="Static.CouponFrequency">Static!$B$4:$C$8</definedName>
    <definedName name="Static.CurrencyToAssetSwap">Static!$B$26:$G$28</definedName>
    <definedName name="Static.CurrencyToCalendar">Static!$B$12:$C$14</definedName>
    <definedName name="Static.FrequencyToCurveIndex">Static!$B$31:$C$32</definedName>
    <definedName name="ValuationDateAUD">Settings!$F$14</definedName>
    <definedName name="ValuationDateEUR">Settings!$F$6</definedName>
    <definedName name="ValuationDateJPY">Settings!$F$18</definedName>
    <definedName name="ValuationDateUSD">Settings!$F$10</definedName>
    <definedName name="ValuationSettingsAUD">Settings!$E$13:$F$14</definedName>
    <definedName name="ValuationSettingsEUR">Settings!$E$5:$F$6</definedName>
    <definedName name="ValuationSettingsUSD">Settings!$E$9:$F$10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AQ8" i="16" l="1"/>
  <c r="BU8" i="16"/>
  <c r="DD8" i="16"/>
  <c r="AT8" i="16"/>
  <c r="BV8" i="16"/>
  <c r="DE8" i="16"/>
  <c r="AQ9" i="16"/>
  <c r="BU9" i="16"/>
  <c r="DD9" i="16"/>
  <c r="AT9" i="16"/>
  <c r="BV9" i="16"/>
  <c r="DE9" i="16"/>
  <c r="AQ10" i="16"/>
  <c r="BU10" i="16"/>
  <c r="DD10" i="16"/>
  <c r="AT10" i="16"/>
  <c r="BV10" i="16"/>
  <c r="DE10" i="16"/>
  <c r="AQ11" i="16"/>
  <c r="BU11" i="16"/>
  <c r="DD11" i="16"/>
  <c r="AT11" i="16"/>
  <c r="BV11" i="16"/>
  <c r="DE11" i="16"/>
  <c r="DD12" i="16"/>
  <c r="DE12" i="16"/>
  <c r="DD13" i="16"/>
  <c r="DE13" i="16"/>
  <c r="DD14" i="16"/>
  <c r="DE14" i="16"/>
  <c r="DD15" i="16"/>
  <c r="DE15" i="16"/>
  <c r="DD16" i="16"/>
  <c r="DE16" i="16"/>
  <c r="DD17" i="16"/>
  <c r="DE17" i="16"/>
  <c r="DD18" i="16"/>
  <c r="DE18" i="16"/>
  <c r="DD19" i="16"/>
  <c r="DE19" i="16"/>
  <c r="DD20" i="16"/>
  <c r="DE20" i="16"/>
  <c r="DD21" i="16"/>
  <c r="DE21" i="16"/>
  <c r="DD22" i="16"/>
  <c r="DE22" i="16"/>
  <c r="DD23" i="16"/>
  <c r="DE23" i="16"/>
  <c r="DD24" i="16"/>
  <c r="DE24" i="16"/>
  <c r="DD25" i="16"/>
  <c r="DE25" i="16"/>
  <c r="DD26" i="16"/>
  <c r="DE26" i="16"/>
  <c r="AT7" i="16"/>
  <c r="BV7" i="16"/>
  <c r="DE7" i="16"/>
  <c r="AQ7" i="16"/>
  <c r="BU7" i="16"/>
  <c r="DD7" i="16"/>
  <c r="I24" i="21"/>
  <c r="M25" i="21"/>
  <c r="N25" i="21"/>
  <c r="I21" i="21"/>
  <c r="M24" i="21"/>
  <c r="N24" i="21"/>
  <c r="GU12" i="1"/>
  <c r="GU13" i="1"/>
  <c r="HA12" i="18"/>
  <c r="HA11" i="18"/>
  <c r="HA10" i="18"/>
  <c r="HA9" i="18"/>
  <c r="HA8" i="18"/>
  <c r="HA7" i="18"/>
  <c r="HB8" i="18"/>
  <c r="HB7" i="18"/>
  <c r="GQ11" i="18"/>
  <c r="GU11" i="18"/>
  <c r="GZ11" i="18"/>
  <c r="HB11" i="18"/>
  <c r="HC11" i="18"/>
  <c r="HD11" i="18"/>
  <c r="HE11" i="18"/>
  <c r="HF11" i="18"/>
  <c r="HL11" i="18"/>
  <c r="HN11" i="18"/>
  <c r="HO11" i="18"/>
  <c r="AA11" i="18"/>
  <c r="R12" i="16"/>
  <c r="I12" i="17"/>
  <c r="R13" i="16"/>
  <c r="I13" i="17"/>
  <c r="R14" i="16"/>
  <c r="I14" i="17"/>
  <c r="R15" i="16"/>
  <c r="I15" i="17"/>
  <c r="R16" i="16"/>
  <c r="I16" i="17"/>
  <c r="R17" i="16"/>
  <c r="I17" i="17"/>
  <c r="R18" i="16"/>
  <c r="I18" i="17"/>
  <c r="R19" i="16"/>
  <c r="I19" i="17"/>
  <c r="R20" i="16"/>
  <c r="I20" i="17"/>
  <c r="R21" i="16"/>
  <c r="I21" i="17"/>
  <c r="R22" i="16"/>
  <c r="I22" i="17"/>
  <c r="R23" i="16"/>
  <c r="I23" i="17"/>
  <c r="R24" i="16"/>
  <c r="I24" i="17"/>
  <c r="R25" i="16"/>
  <c r="I25" i="17"/>
  <c r="R26" i="16"/>
  <c r="I26" i="17"/>
  <c r="R12" i="18"/>
  <c r="I12" i="20"/>
  <c r="R13" i="18"/>
  <c r="I13" i="20"/>
  <c r="R14" i="18"/>
  <c r="I14" i="20"/>
  <c r="R15" i="18"/>
  <c r="I15" i="20"/>
  <c r="R16" i="18"/>
  <c r="I16" i="20"/>
  <c r="R17" i="18"/>
  <c r="I17" i="20"/>
  <c r="R18" i="18"/>
  <c r="I18" i="20"/>
  <c r="R19" i="18"/>
  <c r="I19" i="20"/>
  <c r="R20" i="18"/>
  <c r="I20" i="20"/>
  <c r="R21" i="18"/>
  <c r="I21" i="20"/>
  <c r="R22" i="18"/>
  <c r="I22" i="20"/>
  <c r="R23" i="18"/>
  <c r="I23" i="20"/>
  <c r="R24" i="18"/>
  <c r="I24" i="20"/>
  <c r="R25" i="18"/>
  <c r="I25" i="20"/>
  <c r="R26" i="18"/>
  <c r="I26" i="20"/>
  <c r="X12" i="18"/>
  <c r="K12" i="20"/>
  <c r="Y12" i="18"/>
  <c r="L12" i="20"/>
  <c r="Z12" i="18"/>
  <c r="M12" i="20"/>
  <c r="AA12" i="18"/>
  <c r="N12" i="20"/>
  <c r="X13" i="18"/>
  <c r="K13" i="20"/>
  <c r="Y13" i="18"/>
  <c r="L13" i="20"/>
  <c r="Z13" i="18"/>
  <c r="M13" i="20"/>
  <c r="AA13" i="18"/>
  <c r="N13" i="20"/>
  <c r="X14" i="18"/>
  <c r="K14" i="20"/>
  <c r="Y14" i="18"/>
  <c r="L14" i="20"/>
  <c r="Z14" i="18"/>
  <c r="M14" i="20"/>
  <c r="AA14" i="18"/>
  <c r="N14" i="20"/>
  <c r="X15" i="18"/>
  <c r="K15" i="20"/>
  <c r="Y15" i="18"/>
  <c r="L15" i="20"/>
  <c r="Z15" i="18"/>
  <c r="M15" i="20"/>
  <c r="AA15" i="18"/>
  <c r="N15" i="20"/>
  <c r="X16" i="18"/>
  <c r="K16" i="20"/>
  <c r="Y16" i="18"/>
  <c r="L16" i="20"/>
  <c r="Z16" i="18"/>
  <c r="M16" i="20"/>
  <c r="AA16" i="18"/>
  <c r="N16" i="20"/>
  <c r="X17" i="18"/>
  <c r="K17" i="20"/>
  <c r="Y17" i="18"/>
  <c r="L17" i="20"/>
  <c r="Z17" i="18"/>
  <c r="M17" i="20"/>
  <c r="AA17" i="18"/>
  <c r="N17" i="20"/>
  <c r="X18" i="18"/>
  <c r="K18" i="20"/>
  <c r="Y18" i="18"/>
  <c r="L18" i="20"/>
  <c r="Z18" i="18"/>
  <c r="M18" i="20"/>
  <c r="AA18" i="18"/>
  <c r="N18" i="20"/>
  <c r="X19" i="18"/>
  <c r="K19" i="20"/>
  <c r="Y19" i="18"/>
  <c r="L19" i="20"/>
  <c r="Z19" i="18"/>
  <c r="M19" i="20"/>
  <c r="AA19" i="18"/>
  <c r="N19" i="20"/>
  <c r="X20" i="18"/>
  <c r="K20" i="20"/>
  <c r="Y20" i="18"/>
  <c r="L20" i="20"/>
  <c r="Z20" i="18"/>
  <c r="M20" i="20"/>
  <c r="AA20" i="18"/>
  <c r="N20" i="20"/>
  <c r="X21" i="18"/>
  <c r="K21" i="20"/>
  <c r="Y21" i="18"/>
  <c r="L21" i="20"/>
  <c r="Z21" i="18"/>
  <c r="M21" i="20"/>
  <c r="AA21" i="18"/>
  <c r="N21" i="20"/>
  <c r="X22" i="18"/>
  <c r="K22" i="20"/>
  <c r="Y22" i="18"/>
  <c r="L22" i="20"/>
  <c r="Z22" i="18"/>
  <c r="M22" i="20"/>
  <c r="AA22" i="18"/>
  <c r="N22" i="20"/>
  <c r="X23" i="18"/>
  <c r="K23" i="20"/>
  <c r="Y23" i="18"/>
  <c r="L23" i="20"/>
  <c r="Z23" i="18"/>
  <c r="M23" i="20"/>
  <c r="AA23" i="18"/>
  <c r="N23" i="20"/>
  <c r="X24" i="18"/>
  <c r="K24" i="20"/>
  <c r="Y24" i="18"/>
  <c r="L24" i="20"/>
  <c r="Z24" i="18"/>
  <c r="M24" i="20"/>
  <c r="AA24" i="18"/>
  <c r="N24" i="20"/>
  <c r="X25" i="18"/>
  <c r="K25" i="20"/>
  <c r="Y25" i="18"/>
  <c r="L25" i="20"/>
  <c r="Z25" i="18"/>
  <c r="M25" i="20"/>
  <c r="AA25" i="18"/>
  <c r="N25" i="20"/>
  <c r="X26" i="18"/>
  <c r="K26" i="20"/>
  <c r="Y26" i="18"/>
  <c r="L26" i="20"/>
  <c r="Z26" i="18"/>
  <c r="M26" i="20"/>
  <c r="AA26" i="18"/>
  <c r="N26" i="20"/>
  <c r="Q12" i="18"/>
  <c r="H12" i="20"/>
  <c r="Q13" i="18"/>
  <c r="H13" i="20"/>
  <c r="Q14" i="18"/>
  <c r="H14" i="20"/>
  <c r="Q15" i="18"/>
  <c r="H15" i="20"/>
  <c r="Q16" i="18"/>
  <c r="H16" i="20"/>
  <c r="Q17" i="18"/>
  <c r="H17" i="20"/>
  <c r="Q18" i="18"/>
  <c r="H18" i="20"/>
  <c r="Q19" i="18"/>
  <c r="H19" i="20"/>
  <c r="Q20" i="18"/>
  <c r="H20" i="20"/>
  <c r="P21" i="18"/>
  <c r="G21" i="20"/>
  <c r="Q21" i="18"/>
  <c r="H21" i="20"/>
  <c r="Q22" i="18"/>
  <c r="H22" i="20"/>
  <c r="Q23" i="18"/>
  <c r="H23" i="20"/>
  <c r="Q24" i="18"/>
  <c r="H24" i="20"/>
  <c r="Q25" i="18"/>
  <c r="H25" i="20"/>
  <c r="Q26" i="18"/>
  <c r="H26" i="20"/>
  <c r="L8" i="18"/>
  <c r="C8" i="20"/>
  <c r="L9" i="18"/>
  <c r="C9" i="20"/>
  <c r="L10" i="18"/>
  <c r="C10" i="20"/>
  <c r="L11" i="18"/>
  <c r="C11" i="20"/>
  <c r="L12" i="18"/>
  <c r="C12" i="20"/>
  <c r="L13" i="18"/>
  <c r="C13" i="20"/>
  <c r="L14" i="18"/>
  <c r="C14" i="20"/>
  <c r="L15" i="18"/>
  <c r="C15" i="20"/>
  <c r="L16" i="18"/>
  <c r="C16" i="20"/>
  <c r="L17" i="18"/>
  <c r="C17" i="20"/>
  <c r="L18" i="18"/>
  <c r="C18" i="20"/>
  <c r="L19" i="18"/>
  <c r="C19" i="20"/>
  <c r="L20" i="18"/>
  <c r="C20" i="20"/>
  <c r="L21" i="18"/>
  <c r="C21" i="20"/>
  <c r="L22" i="18"/>
  <c r="C22" i="20"/>
  <c r="L23" i="18"/>
  <c r="C23" i="20"/>
  <c r="L24" i="18"/>
  <c r="C24" i="20"/>
  <c r="L25" i="18"/>
  <c r="C25" i="20"/>
  <c r="L26" i="18"/>
  <c r="C26" i="20"/>
  <c r="L7" i="18"/>
  <c r="C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7" i="20"/>
  <c r="Q12" i="16"/>
  <c r="H12" i="17"/>
  <c r="Q13" i="16"/>
  <c r="H13" i="17"/>
  <c r="Q14" i="16"/>
  <c r="H14" i="17"/>
  <c r="Q15" i="16"/>
  <c r="H15" i="17"/>
  <c r="Q16" i="16"/>
  <c r="H16" i="17"/>
  <c r="Q17" i="16"/>
  <c r="H17" i="17"/>
  <c r="Q18" i="16"/>
  <c r="H18" i="17"/>
  <c r="Q19" i="16"/>
  <c r="H19" i="17"/>
  <c r="Q20" i="16"/>
  <c r="H20" i="17"/>
  <c r="Q21" i="16"/>
  <c r="H21" i="17"/>
  <c r="Q22" i="16"/>
  <c r="H22" i="17"/>
  <c r="Q23" i="16"/>
  <c r="H23" i="17"/>
  <c r="Q24" i="16"/>
  <c r="H24" i="17"/>
  <c r="Q25" i="16"/>
  <c r="H25" i="17"/>
  <c r="Q26" i="16"/>
  <c r="H26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7" i="17"/>
  <c r="AI8" i="16"/>
  <c r="L8" i="16"/>
  <c r="C8" i="17"/>
  <c r="AI9" i="16"/>
  <c r="L9" i="16"/>
  <c r="C9" i="17"/>
  <c r="AI10" i="16"/>
  <c r="L10" i="16"/>
  <c r="C10" i="17"/>
  <c r="L12" i="16"/>
  <c r="C12" i="17"/>
  <c r="L13" i="16"/>
  <c r="C13" i="17"/>
  <c r="L14" i="16"/>
  <c r="C14" i="17"/>
  <c r="L15" i="16"/>
  <c r="C15" i="17"/>
  <c r="L16" i="16"/>
  <c r="C16" i="17"/>
  <c r="L17" i="16"/>
  <c r="C17" i="17"/>
  <c r="L18" i="16"/>
  <c r="C18" i="17"/>
  <c r="L19" i="16"/>
  <c r="C19" i="17"/>
  <c r="L20" i="16"/>
  <c r="C20" i="17"/>
  <c r="L21" i="16"/>
  <c r="C21" i="17"/>
  <c r="L22" i="16"/>
  <c r="C22" i="17"/>
  <c r="L23" i="16"/>
  <c r="C23" i="17"/>
  <c r="L24" i="16"/>
  <c r="C24" i="17"/>
  <c r="L25" i="16"/>
  <c r="C25" i="17"/>
  <c r="L26" i="16"/>
  <c r="C26" i="17"/>
  <c r="AI7" i="16"/>
  <c r="L7" i="16"/>
  <c r="C7" i="17"/>
  <c r="AA12" i="16"/>
  <c r="K12" i="17"/>
  <c r="AB12" i="16"/>
  <c r="L12" i="17"/>
  <c r="AC12" i="16"/>
  <c r="M12" i="17"/>
  <c r="AD12" i="16"/>
  <c r="N12" i="17"/>
  <c r="AA13" i="16"/>
  <c r="K13" i="17"/>
  <c r="AB13" i="16"/>
  <c r="L13" i="17"/>
  <c r="AC13" i="16"/>
  <c r="M13" i="17"/>
  <c r="AD13" i="16"/>
  <c r="N13" i="17"/>
  <c r="AA14" i="16"/>
  <c r="K14" i="17"/>
  <c r="AB14" i="16"/>
  <c r="L14" i="17"/>
  <c r="AC14" i="16"/>
  <c r="M14" i="17"/>
  <c r="AD14" i="16"/>
  <c r="N14" i="17"/>
  <c r="AA15" i="16"/>
  <c r="K15" i="17"/>
  <c r="AB15" i="16"/>
  <c r="L15" i="17"/>
  <c r="AC15" i="16"/>
  <c r="M15" i="17"/>
  <c r="AD15" i="16"/>
  <c r="N15" i="17"/>
  <c r="AA16" i="16"/>
  <c r="K16" i="17"/>
  <c r="AB16" i="16"/>
  <c r="L16" i="17"/>
  <c r="AC16" i="16"/>
  <c r="M16" i="17"/>
  <c r="AD16" i="16"/>
  <c r="N16" i="17"/>
  <c r="AA17" i="16"/>
  <c r="K17" i="17"/>
  <c r="AB17" i="16"/>
  <c r="L17" i="17"/>
  <c r="AC17" i="16"/>
  <c r="M17" i="17"/>
  <c r="AD17" i="16"/>
  <c r="N17" i="17"/>
  <c r="AA18" i="16"/>
  <c r="K18" i="17"/>
  <c r="AB18" i="16"/>
  <c r="L18" i="17"/>
  <c r="AC18" i="16"/>
  <c r="M18" i="17"/>
  <c r="AD18" i="16"/>
  <c r="N18" i="17"/>
  <c r="AA19" i="16"/>
  <c r="K19" i="17"/>
  <c r="AB19" i="16"/>
  <c r="L19" i="17"/>
  <c r="AC19" i="16"/>
  <c r="M19" i="17"/>
  <c r="AD19" i="16"/>
  <c r="N19" i="17"/>
  <c r="AA20" i="16"/>
  <c r="K20" i="17"/>
  <c r="AB20" i="16"/>
  <c r="L20" i="17"/>
  <c r="AC20" i="16"/>
  <c r="M20" i="17"/>
  <c r="AD20" i="16"/>
  <c r="N20" i="17"/>
  <c r="AA21" i="16"/>
  <c r="K21" i="17"/>
  <c r="AB21" i="16"/>
  <c r="L21" i="17"/>
  <c r="AC21" i="16"/>
  <c r="M21" i="17"/>
  <c r="AD21" i="16"/>
  <c r="N21" i="17"/>
  <c r="AA22" i="16"/>
  <c r="K22" i="17"/>
  <c r="AB22" i="16"/>
  <c r="L22" i="17"/>
  <c r="AC22" i="16"/>
  <c r="M22" i="17"/>
  <c r="AD22" i="16"/>
  <c r="N22" i="17"/>
  <c r="AA23" i="16"/>
  <c r="K23" i="17"/>
  <c r="AB23" i="16"/>
  <c r="L23" i="17"/>
  <c r="AC23" i="16"/>
  <c r="M23" i="17"/>
  <c r="AD23" i="16"/>
  <c r="N23" i="17"/>
  <c r="AA24" i="16"/>
  <c r="K24" i="17"/>
  <c r="AB24" i="16"/>
  <c r="L24" i="17"/>
  <c r="AC24" i="16"/>
  <c r="M24" i="17"/>
  <c r="AD24" i="16"/>
  <c r="N24" i="17"/>
  <c r="AA25" i="16"/>
  <c r="K25" i="17"/>
  <c r="AB25" i="16"/>
  <c r="L25" i="17"/>
  <c r="AC25" i="16"/>
  <c r="M25" i="17"/>
  <c r="AD25" i="16"/>
  <c r="N25" i="17"/>
  <c r="AA26" i="16"/>
  <c r="K26" i="17"/>
  <c r="AB26" i="16"/>
  <c r="L26" i="17"/>
  <c r="AC26" i="16"/>
  <c r="M26" i="17"/>
  <c r="AD26" i="16"/>
  <c r="N26" i="17"/>
  <c r="P12" i="18"/>
  <c r="G12" i="20"/>
  <c r="P13" i="18"/>
  <c r="G13" i="20"/>
  <c r="P14" i="18"/>
  <c r="G14" i="20"/>
  <c r="P15" i="18"/>
  <c r="G15" i="20"/>
  <c r="P16" i="18"/>
  <c r="G16" i="20"/>
  <c r="P17" i="18"/>
  <c r="G17" i="20"/>
  <c r="P18" i="18"/>
  <c r="G18" i="20"/>
  <c r="P19" i="18"/>
  <c r="G19" i="20"/>
  <c r="P20" i="18"/>
  <c r="G20" i="20"/>
  <c r="P22" i="18"/>
  <c r="G22" i="20"/>
  <c r="P23" i="18"/>
  <c r="G23" i="20"/>
  <c r="P24" i="18"/>
  <c r="G24" i="20"/>
  <c r="P25" i="18"/>
  <c r="G25" i="20"/>
  <c r="P26" i="18"/>
  <c r="G26" i="20"/>
  <c r="V12" i="18"/>
  <c r="V13" i="18"/>
  <c r="V14" i="18"/>
  <c r="V15" i="18"/>
  <c r="V16" i="18"/>
  <c r="V17" i="18"/>
  <c r="V18" i="18"/>
  <c r="V19" i="18"/>
  <c r="V20" i="18"/>
  <c r="V21" i="18"/>
  <c r="V22" i="18"/>
  <c r="V23" i="18"/>
  <c r="V24" i="18"/>
  <c r="V25" i="18"/>
  <c r="V26" i="18"/>
  <c r="U12" i="18"/>
  <c r="U13" i="18"/>
  <c r="U14" i="18"/>
  <c r="U15" i="18"/>
  <c r="U16" i="18"/>
  <c r="U17" i="18"/>
  <c r="U18" i="18"/>
  <c r="U19" i="18"/>
  <c r="U20" i="18"/>
  <c r="U21" i="18"/>
  <c r="U22" i="18"/>
  <c r="U23" i="18"/>
  <c r="U24" i="18"/>
  <c r="U25" i="18"/>
  <c r="U26" i="18"/>
  <c r="T12" i="18"/>
  <c r="T13" i="18"/>
  <c r="T14" i="18"/>
  <c r="T15" i="18"/>
  <c r="T16" i="18"/>
  <c r="T17" i="18"/>
  <c r="T18" i="18"/>
  <c r="T19" i="18"/>
  <c r="T20" i="18"/>
  <c r="T21" i="18"/>
  <c r="T22" i="18"/>
  <c r="T23" i="18"/>
  <c r="T24" i="18"/>
  <c r="T25" i="18"/>
  <c r="T26" i="18"/>
  <c r="S12" i="18"/>
  <c r="S13" i="18"/>
  <c r="S14" i="18"/>
  <c r="S15" i="18"/>
  <c r="S16" i="18"/>
  <c r="S17" i="18"/>
  <c r="S18" i="18"/>
  <c r="S19" i="18"/>
  <c r="S20" i="18"/>
  <c r="S21" i="18"/>
  <c r="S22" i="18"/>
  <c r="S23" i="18"/>
  <c r="S24" i="18"/>
  <c r="S25" i="18"/>
  <c r="S26" i="18"/>
  <c r="V25" i="23"/>
  <c r="C34" i="23"/>
  <c r="V39" i="23"/>
  <c r="C35" i="23"/>
  <c r="V40" i="23"/>
  <c r="C36" i="23"/>
  <c r="R27" i="23"/>
  <c r="N27" i="23"/>
  <c r="R26" i="23"/>
  <c r="N26" i="23"/>
  <c r="V13" i="23"/>
  <c r="I13" i="23"/>
  <c r="V12" i="23"/>
  <c r="R28" i="23"/>
  <c r="I12" i="23"/>
  <c r="N16" i="23"/>
  <c r="V10" i="23"/>
  <c r="I10" i="23"/>
  <c r="V5" i="22"/>
  <c r="V6" i="23"/>
  <c r="V5" i="23"/>
  <c r="Q6" i="23"/>
  <c r="Q5" i="23"/>
  <c r="I5" i="22"/>
  <c r="M5" i="23"/>
  <c r="M6" i="23"/>
  <c r="I5" i="23"/>
  <c r="I6" i="23"/>
  <c r="Z12" i="1"/>
  <c r="U11" i="18"/>
  <c r="U7" i="18"/>
  <c r="V10" i="18"/>
  <c r="V8" i="18"/>
  <c r="V9" i="18"/>
  <c r="V11" i="18"/>
  <c r="V7" i="18"/>
  <c r="U9" i="18"/>
  <c r="U10" i="18"/>
  <c r="U8" i="18"/>
  <c r="HN7" i="18"/>
  <c r="HN15" i="18"/>
  <c r="HN24" i="18"/>
  <c r="HN8" i="18"/>
  <c r="HN17" i="18"/>
  <c r="HN25" i="18"/>
  <c r="HN19" i="18"/>
  <c r="HN20" i="18"/>
  <c r="HN12" i="18"/>
  <c r="HN21" i="18"/>
  <c r="HN9" i="18"/>
  <c r="HN26" i="18"/>
  <c r="HN13" i="18"/>
  <c r="HN22" i="18"/>
  <c r="HN16" i="18"/>
  <c r="HN14" i="18"/>
  <c r="HN23" i="18"/>
  <c r="HN18" i="18"/>
  <c r="HN10" i="18"/>
  <c r="HF7" i="18"/>
  <c r="C26" i="23"/>
  <c r="V34" i="23"/>
  <c r="I32" i="23"/>
  <c r="V26" i="23"/>
  <c r="V22" i="23"/>
  <c r="V20" i="23"/>
  <c r="I15" i="23"/>
  <c r="V11" i="23"/>
  <c r="I21" i="23"/>
  <c r="V32" i="23"/>
  <c r="I26" i="23"/>
  <c r="I25" i="23"/>
  <c r="I24" i="23"/>
  <c r="I22" i="23"/>
  <c r="I20" i="23"/>
  <c r="V15" i="23"/>
  <c r="I11" i="23"/>
  <c r="I23" i="23"/>
  <c r="V35" i="23"/>
  <c r="V24" i="23"/>
  <c r="V23" i="23"/>
  <c r="V21" i="23"/>
  <c r="I34" i="23"/>
  <c r="GK10" i="18"/>
  <c r="GK18" i="18"/>
  <c r="GK23" i="18"/>
  <c r="GK14" i="18"/>
  <c r="GK16" i="18"/>
  <c r="GK22" i="18"/>
  <c r="GK13" i="18"/>
  <c r="GK26" i="18"/>
  <c r="GK9" i="18"/>
  <c r="GK21" i="18"/>
  <c r="GK12" i="18"/>
  <c r="GK20" i="18"/>
  <c r="GK11" i="18"/>
  <c r="GK19" i="18"/>
  <c r="GK25" i="18"/>
  <c r="GK17" i="18"/>
  <c r="GK8" i="18"/>
  <c r="GK24" i="18"/>
  <c r="GK15" i="18"/>
  <c r="GK7" i="18"/>
  <c r="Q16" i="23"/>
  <c r="V28" i="23"/>
  <c r="Q32" i="23"/>
  <c r="M42" i="23"/>
  <c r="J34" i="23"/>
  <c r="W21" i="23"/>
  <c r="Q24" i="23"/>
  <c r="R24" i="23"/>
  <c r="Q36" i="23"/>
  <c r="W23" i="23"/>
  <c r="W24" i="23"/>
  <c r="Q25" i="23"/>
  <c r="R25" i="23"/>
  <c r="W25" i="23"/>
  <c r="Q18" i="23"/>
  <c r="R43" i="23"/>
  <c r="W35" i="23"/>
  <c r="M36" i="23"/>
  <c r="J23" i="23"/>
  <c r="J11" i="23"/>
  <c r="W15" i="23"/>
  <c r="J20" i="23"/>
  <c r="J22" i="23"/>
  <c r="M35" i="23"/>
  <c r="N25" i="23"/>
  <c r="M25" i="23"/>
  <c r="J24" i="23"/>
  <c r="J25" i="23"/>
  <c r="M18" i="23"/>
  <c r="M26" i="23"/>
  <c r="M27" i="23"/>
  <c r="J26" i="23"/>
  <c r="W32" i="23"/>
  <c r="Q28" i="23"/>
  <c r="N24" i="23"/>
  <c r="M24" i="23"/>
  <c r="J21" i="23"/>
  <c r="W11" i="23"/>
  <c r="J15" i="23"/>
  <c r="W20" i="23"/>
  <c r="W22" i="23"/>
  <c r="Q35" i="23"/>
  <c r="Q27" i="23"/>
  <c r="W26" i="23"/>
  <c r="Q26" i="23"/>
  <c r="M28" i="23"/>
  <c r="J32" i="23"/>
  <c r="T36" i="23"/>
  <c r="W34" i="23"/>
  <c r="T37" i="23"/>
  <c r="R42" i="23"/>
  <c r="G36" i="23"/>
  <c r="G35" i="23"/>
  <c r="W39" i="23"/>
  <c r="N15" i="23"/>
  <c r="R16" i="23"/>
  <c r="Q15" i="23"/>
  <c r="N32" i="23"/>
  <c r="M15" i="23"/>
  <c r="N30" i="23"/>
  <c r="R32" i="23"/>
  <c r="N34" i="23"/>
  <c r="R14" i="23"/>
  <c r="N28" i="23"/>
  <c r="R30" i="23"/>
  <c r="I28" i="23"/>
  <c r="M32" i="23"/>
  <c r="I30" i="23"/>
  <c r="M34" i="23"/>
  <c r="N14" i="23"/>
  <c r="M16" i="23"/>
  <c r="V30" i="23"/>
  <c r="Q34" i="23"/>
  <c r="R34" i="23"/>
  <c r="R15" i="23"/>
  <c r="W7" i="23"/>
  <c r="J7" i="23"/>
  <c r="H35" i="23" a="1"/>
  <c r="U36" i="23" a="1"/>
  <c r="V36" i="23"/>
  <c r="Q43" i="23"/>
  <c r="V37" i="23"/>
  <c r="Q44" i="23"/>
  <c r="U37" i="23"/>
  <c r="P44" i="23"/>
  <c r="U36" i="23"/>
  <c r="I36" i="23"/>
  <c r="M44" i="23"/>
  <c r="H36" i="23"/>
  <c r="L44" i="23"/>
  <c r="I35" i="23"/>
  <c r="M43" i="23"/>
  <c r="H35" i="23"/>
  <c r="L43" i="23"/>
  <c r="C2" i="23"/>
  <c r="FU7" i="18"/>
  <c r="R27" i="22"/>
  <c r="N27" i="22"/>
  <c r="R26" i="22"/>
  <c r="N26" i="22"/>
  <c r="V13" i="22"/>
  <c r="I13" i="22"/>
  <c r="V12" i="22"/>
  <c r="Q16" i="22"/>
  <c r="I12" i="22"/>
  <c r="N34" i="22"/>
  <c r="V10" i="22"/>
  <c r="I10" i="22"/>
  <c r="Q5" i="22"/>
  <c r="R27" i="21"/>
  <c r="N27" i="21"/>
  <c r="R26" i="21"/>
  <c r="N26" i="21"/>
  <c r="C25" i="21"/>
  <c r="D20" i="21"/>
  <c r="C19" i="21"/>
  <c r="C18" i="21"/>
  <c r="N16" i="21"/>
  <c r="N14" i="21"/>
  <c r="V13" i="21"/>
  <c r="I13" i="21"/>
  <c r="V12" i="21"/>
  <c r="I12" i="21"/>
  <c r="M15" i="21"/>
  <c r="V10" i="21"/>
  <c r="I10" i="21"/>
  <c r="V5" i="21"/>
  <c r="V6" i="21"/>
  <c r="I5" i="21"/>
  <c r="M5" i="21"/>
  <c r="M6" i="21"/>
  <c r="CR8" i="16"/>
  <c r="CR9" i="16"/>
  <c r="CR10" i="16"/>
  <c r="CR11" i="16"/>
  <c r="CR12" i="16"/>
  <c r="CR13" i="16"/>
  <c r="CR14" i="16"/>
  <c r="CR15" i="16"/>
  <c r="CR16" i="16"/>
  <c r="CR17" i="16"/>
  <c r="CR18" i="16"/>
  <c r="CR19" i="16"/>
  <c r="CR20" i="16"/>
  <c r="CR21" i="16"/>
  <c r="CR22" i="16"/>
  <c r="CR23" i="16"/>
  <c r="CR24" i="16"/>
  <c r="CR25" i="16"/>
  <c r="CR26" i="16"/>
  <c r="CR7" i="16"/>
  <c r="P12" i="16"/>
  <c r="G12" i="17"/>
  <c r="P13" i="16"/>
  <c r="G13" i="17"/>
  <c r="P14" i="16"/>
  <c r="G14" i="17"/>
  <c r="P15" i="16"/>
  <c r="G15" i="17"/>
  <c r="P16" i="16"/>
  <c r="G16" i="17"/>
  <c r="P17" i="16"/>
  <c r="G17" i="17"/>
  <c r="P18" i="16"/>
  <c r="G18" i="17"/>
  <c r="P19" i="16"/>
  <c r="G19" i="17"/>
  <c r="P20" i="16"/>
  <c r="G20" i="17"/>
  <c r="P21" i="16"/>
  <c r="G21" i="17"/>
  <c r="P22" i="16"/>
  <c r="G22" i="17"/>
  <c r="P23" i="16"/>
  <c r="G23" i="17"/>
  <c r="P24" i="16"/>
  <c r="G24" i="17"/>
  <c r="P25" i="16"/>
  <c r="G25" i="17"/>
  <c r="P26" i="16"/>
  <c r="G26" i="17"/>
  <c r="M7" i="23"/>
  <c r="I7" i="23"/>
  <c r="Q7" i="23"/>
  <c r="V7" i="23"/>
  <c r="I32" i="22"/>
  <c r="I20" i="22"/>
  <c r="V26" i="22"/>
  <c r="V34" i="21"/>
  <c r="V24" i="22"/>
  <c r="V15" i="22"/>
  <c r="Z7" i="1"/>
  <c r="V22" i="22"/>
  <c r="I23" i="22"/>
  <c r="I23" i="21"/>
  <c r="I20" i="21"/>
  <c r="V32" i="21"/>
  <c r="V34" i="22"/>
  <c r="V26" i="21"/>
  <c r="V25" i="21"/>
  <c r="V25" i="22"/>
  <c r="I21" i="22"/>
  <c r="I26" i="21"/>
  <c r="I34" i="22"/>
  <c r="I25" i="21"/>
  <c r="I11" i="21"/>
  <c r="I15" i="22"/>
  <c r="I24" i="22"/>
  <c r="V32" i="22"/>
  <c r="I34" i="21"/>
  <c r="V22" i="21"/>
  <c r="V23" i="21"/>
  <c r="V23" i="22"/>
  <c r="I26" i="22"/>
  <c r="V11" i="21"/>
  <c r="V21" i="22"/>
  <c r="V24" i="21"/>
  <c r="V15" i="21"/>
  <c r="I15" i="21"/>
  <c r="V20" i="22"/>
  <c r="V11" i="22"/>
  <c r="V21" i="21"/>
  <c r="I32" i="21"/>
  <c r="I25" i="22"/>
  <c r="I11" i="22"/>
  <c r="I22" i="22"/>
  <c r="C37" i="21"/>
  <c r="V20" i="21"/>
  <c r="I22" i="21"/>
  <c r="C19" i="23"/>
  <c r="C18" i="23"/>
  <c r="C16" i="23"/>
  <c r="C17" i="23"/>
  <c r="M5" i="22"/>
  <c r="M6" i="22"/>
  <c r="Q5" i="21"/>
  <c r="V28" i="21"/>
  <c r="Q32" i="21"/>
  <c r="R30" i="21"/>
  <c r="I6" i="22"/>
  <c r="I28" i="22"/>
  <c r="M32" i="22"/>
  <c r="I30" i="22"/>
  <c r="M34" i="22"/>
  <c r="R32" i="22"/>
  <c r="M16" i="22"/>
  <c r="R34" i="22"/>
  <c r="Q26" i="22"/>
  <c r="W26" i="22"/>
  <c r="Q27" i="22"/>
  <c r="M26" i="22"/>
  <c r="M27" i="22"/>
  <c r="J26" i="22"/>
  <c r="W32" i="22"/>
  <c r="Q28" i="22"/>
  <c r="W20" i="22"/>
  <c r="J11" i="22"/>
  <c r="W15" i="22"/>
  <c r="J21" i="22"/>
  <c r="N24" i="22"/>
  <c r="M24" i="22"/>
  <c r="M36" i="22"/>
  <c r="J23" i="22"/>
  <c r="J20" i="22"/>
  <c r="J22" i="22"/>
  <c r="M35" i="22"/>
  <c r="M25" i="22"/>
  <c r="J24" i="22"/>
  <c r="N25" i="22"/>
  <c r="J25" i="22"/>
  <c r="M18" i="22"/>
  <c r="M42" i="22"/>
  <c r="J34" i="22"/>
  <c r="Q42" i="22"/>
  <c r="G35" i="22"/>
  <c r="G36" i="22"/>
  <c r="T35" i="22"/>
  <c r="W34" i="22"/>
  <c r="T36" i="22"/>
  <c r="W22" i="22"/>
  <c r="Q35" i="22"/>
  <c r="M28" i="22"/>
  <c r="J32" i="22"/>
  <c r="W11" i="22"/>
  <c r="J15" i="22"/>
  <c r="R24" i="22"/>
  <c r="Q24" i="22"/>
  <c r="W21" i="22"/>
  <c r="Q36" i="22"/>
  <c r="W23" i="22"/>
  <c r="R25" i="22"/>
  <c r="Q25" i="22"/>
  <c r="W24" i="22"/>
  <c r="Q18" i="22"/>
  <c r="W25" i="22"/>
  <c r="N15" i="22"/>
  <c r="V30" i="22"/>
  <c r="Q34" i="22"/>
  <c r="R15" i="22"/>
  <c r="R28" i="22"/>
  <c r="N14" i="22"/>
  <c r="V28" i="22"/>
  <c r="Q32" i="22"/>
  <c r="M15" i="22"/>
  <c r="N16" i="22"/>
  <c r="N30" i="22"/>
  <c r="R30" i="22"/>
  <c r="Q6" i="22"/>
  <c r="Q15" i="22"/>
  <c r="R16" i="22"/>
  <c r="V6" i="22"/>
  <c r="R14" i="22"/>
  <c r="N28" i="22"/>
  <c r="N32" i="22"/>
  <c r="V30" i="21"/>
  <c r="Q34" i="21"/>
  <c r="N28" i="21"/>
  <c r="N34" i="21"/>
  <c r="M16" i="21"/>
  <c r="N15" i="21"/>
  <c r="Q16" i="21"/>
  <c r="I28" i="21"/>
  <c r="M32" i="21"/>
  <c r="R32" i="21"/>
  <c r="I6" i="21"/>
  <c r="R14" i="21"/>
  <c r="R28" i="21"/>
  <c r="Q15" i="21"/>
  <c r="I30" i="21"/>
  <c r="M34" i="21"/>
  <c r="R34" i="21"/>
  <c r="N32" i="21"/>
  <c r="R15" i="21"/>
  <c r="N30" i="21"/>
  <c r="W15" i="21"/>
  <c r="Q36" i="21"/>
  <c r="W23" i="21"/>
  <c r="W11" i="21"/>
  <c r="M35" i="21"/>
  <c r="J22" i="21"/>
  <c r="M18" i="21"/>
  <c r="J25" i="21"/>
  <c r="M26" i="21"/>
  <c r="J26" i="21"/>
  <c r="M27" i="21"/>
  <c r="Q28" i="21"/>
  <c r="W32" i="21"/>
  <c r="T36" i="21"/>
  <c r="T35" i="21"/>
  <c r="G35" i="21"/>
  <c r="W34" i="21"/>
  <c r="Q42" i="21"/>
  <c r="G36" i="21"/>
  <c r="W20" i="21"/>
  <c r="W22" i="21"/>
  <c r="Q35" i="21"/>
  <c r="J15" i="21"/>
  <c r="W25" i="21"/>
  <c r="Q18" i="21"/>
  <c r="Q27" i="21"/>
  <c r="Q26" i="21"/>
  <c r="W26" i="21"/>
  <c r="J20" i="21"/>
  <c r="J24" i="21"/>
  <c r="J32" i="21"/>
  <c r="M28" i="21"/>
  <c r="J34" i="21"/>
  <c r="M42" i="21"/>
  <c r="Q24" i="21"/>
  <c r="W21" i="21"/>
  <c r="R25" i="21"/>
  <c r="Q25" i="21"/>
  <c r="W24" i="21"/>
  <c r="J11" i="21"/>
  <c r="J21" i="21"/>
  <c r="J23" i="21"/>
  <c r="M36" i="21"/>
  <c r="Q6" i="21"/>
  <c r="R16" i="21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12" i="16"/>
  <c r="X7" i="16"/>
  <c r="X8" i="16"/>
  <c r="X9" i="16"/>
  <c r="X10" i="16"/>
  <c r="X11" i="16"/>
  <c r="T13" i="16"/>
  <c r="U13" i="16"/>
  <c r="W13" i="16"/>
  <c r="X13" i="16"/>
  <c r="Y13" i="16"/>
  <c r="T14" i="16"/>
  <c r="U14" i="16"/>
  <c r="W14" i="16"/>
  <c r="X14" i="16"/>
  <c r="Y14" i="16"/>
  <c r="T15" i="16"/>
  <c r="U15" i="16"/>
  <c r="W15" i="16"/>
  <c r="X15" i="16"/>
  <c r="Y15" i="16"/>
  <c r="T16" i="16"/>
  <c r="U16" i="16"/>
  <c r="W16" i="16"/>
  <c r="X16" i="16"/>
  <c r="Y16" i="16"/>
  <c r="T17" i="16"/>
  <c r="U17" i="16"/>
  <c r="W17" i="16"/>
  <c r="X17" i="16"/>
  <c r="Y17" i="16"/>
  <c r="T18" i="16"/>
  <c r="U18" i="16"/>
  <c r="W18" i="16"/>
  <c r="X18" i="16"/>
  <c r="Y18" i="16"/>
  <c r="T19" i="16"/>
  <c r="U19" i="16"/>
  <c r="W19" i="16"/>
  <c r="X19" i="16"/>
  <c r="Y19" i="16"/>
  <c r="T20" i="16"/>
  <c r="U20" i="16"/>
  <c r="W20" i="16"/>
  <c r="X20" i="16"/>
  <c r="Y20" i="16"/>
  <c r="T21" i="16"/>
  <c r="U21" i="16"/>
  <c r="W21" i="16"/>
  <c r="X21" i="16"/>
  <c r="Y21" i="16"/>
  <c r="T22" i="16"/>
  <c r="U22" i="16"/>
  <c r="W22" i="16"/>
  <c r="X22" i="16"/>
  <c r="Y22" i="16"/>
  <c r="T23" i="16"/>
  <c r="U23" i="16"/>
  <c r="W23" i="16"/>
  <c r="X23" i="16"/>
  <c r="Y23" i="16"/>
  <c r="T24" i="16"/>
  <c r="U24" i="16"/>
  <c r="W24" i="16"/>
  <c r="X24" i="16"/>
  <c r="Y24" i="16"/>
  <c r="T25" i="16"/>
  <c r="U25" i="16"/>
  <c r="W25" i="16"/>
  <c r="X25" i="16"/>
  <c r="Y25" i="16"/>
  <c r="T26" i="16"/>
  <c r="U26" i="16"/>
  <c r="W26" i="16"/>
  <c r="X26" i="16"/>
  <c r="Y26" i="16"/>
  <c r="Y12" i="16"/>
  <c r="X12" i="16"/>
  <c r="W12" i="16"/>
  <c r="U12" i="16"/>
  <c r="T12" i="16"/>
  <c r="S13" i="16"/>
  <c r="S14" i="16"/>
  <c r="S15" i="16"/>
  <c r="S16" i="16"/>
  <c r="S17" i="16"/>
  <c r="S18" i="16"/>
  <c r="S19" i="16"/>
  <c r="S20" i="16"/>
  <c r="S21" i="16"/>
  <c r="S22" i="16"/>
  <c r="S23" i="16"/>
  <c r="S24" i="16"/>
  <c r="S25" i="16"/>
  <c r="S26" i="16"/>
  <c r="S12" i="16"/>
  <c r="N12" i="16"/>
  <c r="E12" i="17"/>
  <c r="N13" i="16"/>
  <c r="E13" i="17"/>
  <c r="N14" i="16"/>
  <c r="E14" i="17"/>
  <c r="N15" i="16"/>
  <c r="E15" i="17"/>
  <c r="N16" i="16"/>
  <c r="E16" i="17"/>
  <c r="N17" i="16"/>
  <c r="E17" i="17"/>
  <c r="N18" i="16"/>
  <c r="E18" i="17"/>
  <c r="N19" i="16"/>
  <c r="E19" i="17"/>
  <c r="N20" i="16"/>
  <c r="E20" i="17"/>
  <c r="N21" i="16"/>
  <c r="E21" i="17"/>
  <c r="N22" i="16"/>
  <c r="E22" i="17"/>
  <c r="N23" i="16"/>
  <c r="E23" i="17"/>
  <c r="N24" i="16"/>
  <c r="E24" i="17"/>
  <c r="N25" i="16"/>
  <c r="E25" i="17"/>
  <c r="N26" i="16"/>
  <c r="E26" i="17"/>
  <c r="C26" i="22"/>
  <c r="S7" i="16"/>
  <c r="S11" i="16"/>
  <c r="T10" i="16"/>
  <c r="S8" i="16"/>
  <c r="T7" i="16"/>
  <c r="T9" i="16"/>
  <c r="S9" i="16"/>
  <c r="S10" i="16"/>
  <c r="T11" i="16"/>
  <c r="T8" i="16"/>
  <c r="CQ21" i="16"/>
  <c r="CQ13" i="16"/>
  <c r="CQ24" i="16"/>
  <c r="CQ16" i="16"/>
  <c r="CQ22" i="16"/>
  <c r="CQ14" i="16"/>
  <c r="CQ26" i="16"/>
  <c r="CQ18" i="16"/>
  <c r="CQ12" i="16"/>
  <c r="CQ25" i="16"/>
  <c r="CQ17" i="16"/>
  <c r="CQ20" i="16"/>
  <c r="CQ19" i="16"/>
  <c r="CQ23" i="16"/>
  <c r="CQ15" i="16"/>
  <c r="W7" i="22"/>
  <c r="J7" i="22"/>
  <c r="R24" i="21"/>
  <c r="J7" i="21"/>
  <c r="W7" i="21"/>
  <c r="AF12" i="16"/>
  <c r="FP8" i="16"/>
  <c r="FP9" i="16"/>
  <c r="FP10" i="16"/>
  <c r="FP11" i="16"/>
  <c r="FP12" i="16"/>
  <c r="FP13" i="16"/>
  <c r="FP14" i="16"/>
  <c r="FP15" i="16"/>
  <c r="FP16" i="16"/>
  <c r="FP17" i="16"/>
  <c r="FP18" i="16"/>
  <c r="FP19" i="16"/>
  <c r="FP20" i="16"/>
  <c r="FP21" i="16"/>
  <c r="FP22" i="16"/>
  <c r="FP23" i="16"/>
  <c r="FP24" i="16"/>
  <c r="FP25" i="16"/>
  <c r="FP26" i="16"/>
  <c r="FP7" i="16"/>
  <c r="FO8" i="16"/>
  <c r="FO9" i="16"/>
  <c r="FO10" i="16"/>
  <c r="FO11" i="16"/>
  <c r="FO12" i="16"/>
  <c r="FO13" i="16"/>
  <c r="FO14" i="16"/>
  <c r="FO15" i="16"/>
  <c r="FO16" i="16"/>
  <c r="FO17" i="16"/>
  <c r="FO18" i="16"/>
  <c r="FO19" i="16"/>
  <c r="FO20" i="16"/>
  <c r="FO21" i="16"/>
  <c r="FO22" i="16"/>
  <c r="FO23" i="16"/>
  <c r="FO24" i="16"/>
  <c r="FO25" i="16"/>
  <c r="FO26" i="16"/>
  <c r="FO7" i="16"/>
  <c r="FN8" i="16"/>
  <c r="FN9" i="16"/>
  <c r="FN10" i="16"/>
  <c r="FN11" i="16"/>
  <c r="FN12" i="16"/>
  <c r="FN13" i="16"/>
  <c r="FN14" i="16"/>
  <c r="FN15" i="16"/>
  <c r="FN16" i="16"/>
  <c r="FN17" i="16"/>
  <c r="FN18" i="16"/>
  <c r="FN19" i="16"/>
  <c r="FN20" i="16"/>
  <c r="FN21" i="16"/>
  <c r="FN22" i="16"/>
  <c r="FN23" i="16"/>
  <c r="FN24" i="16"/>
  <c r="FN25" i="16"/>
  <c r="FN26" i="16"/>
  <c r="FN7" i="16"/>
  <c r="DU8" i="16"/>
  <c r="DU9" i="16"/>
  <c r="DU10" i="16"/>
  <c r="DU11" i="16"/>
  <c r="DU12" i="16"/>
  <c r="DU13" i="16"/>
  <c r="DU14" i="16"/>
  <c r="DU15" i="16"/>
  <c r="DU16" i="16"/>
  <c r="DU17" i="16"/>
  <c r="DU18" i="16"/>
  <c r="DU19" i="16"/>
  <c r="DU20" i="16"/>
  <c r="DU21" i="16"/>
  <c r="DU22" i="16"/>
  <c r="DU23" i="16"/>
  <c r="DU24" i="16"/>
  <c r="DU25" i="16"/>
  <c r="DU26" i="16"/>
  <c r="DU7" i="16"/>
  <c r="DT8" i="16"/>
  <c r="DT9" i="16"/>
  <c r="DT10" i="16"/>
  <c r="DT11" i="16"/>
  <c r="DT12" i="16"/>
  <c r="DT13" i="16"/>
  <c r="DT14" i="16"/>
  <c r="DT15" i="16"/>
  <c r="DT16" i="16"/>
  <c r="DT17" i="16"/>
  <c r="DT18" i="16"/>
  <c r="DT19" i="16"/>
  <c r="DT20" i="16"/>
  <c r="DT21" i="16"/>
  <c r="DT22" i="16"/>
  <c r="DT23" i="16"/>
  <c r="DT24" i="16"/>
  <c r="DT25" i="16"/>
  <c r="DT26" i="16"/>
  <c r="DT7" i="16"/>
  <c r="DR8" i="16"/>
  <c r="DR9" i="16"/>
  <c r="DR10" i="16"/>
  <c r="DR11" i="16"/>
  <c r="DR12" i="16"/>
  <c r="DR13" i="16"/>
  <c r="DR14" i="16"/>
  <c r="DR15" i="16"/>
  <c r="DR16" i="16"/>
  <c r="DR17" i="16"/>
  <c r="DR18" i="16"/>
  <c r="DR19" i="16"/>
  <c r="DR20" i="16"/>
  <c r="DR21" i="16"/>
  <c r="DR22" i="16"/>
  <c r="DR23" i="16"/>
  <c r="DR24" i="16"/>
  <c r="DR25" i="16"/>
  <c r="DR26" i="16"/>
  <c r="DR7" i="16"/>
  <c r="DM8" i="16"/>
  <c r="DM9" i="16"/>
  <c r="DM10" i="16"/>
  <c r="DM11" i="16"/>
  <c r="DM12" i="16"/>
  <c r="DM13" i="16"/>
  <c r="DM14" i="16"/>
  <c r="DM15" i="16"/>
  <c r="DM16" i="16"/>
  <c r="DM17" i="16"/>
  <c r="DM18" i="16"/>
  <c r="DM19" i="16"/>
  <c r="DM20" i="16"/>
  <c r="DM21" i="16"/>
  <c r="DM22" i="16"/>
  <c r="DM23" i="16"/>
  <c r="DM24" i="16"/>
  <c r="DM25" i="16"/>
  <c r="DM26" i="16"/>
  <c r="DM7" i="16"/>
  <c r="DK8" i="16"/>
  <c r="DK9" i="16"/>
  <c r="DK10" i="16"/>
  <c r="DK11" i="16"/>
  <c r="DK12" i="16"/>
  <c r="DK13" i="16"/>
  <c r="DK14" i="16"/>
  <c r="DK15" i="16"/>
  <c r="DK16" i="16"/>
  <c r="DK17" i="16"/>
  <c r="DK18" i="16"/>
  <c r="DK19" i="16"/>
  <c r="DK20" i="16"/>
  <c r="DK21" i="16"/>
  <c r="DK22" i="16"/>
  <c r="DK23" i="16"/>
  <c r="DK24" i="16"/>
  <c r="DK25" i="16"/>
  <c r="DK26" i="16"/>
  <c r="DI8" i="16"/>
  <c r="DI9" i="16"/>
  <c r="DI10" i="16"/>
  <c r="DI11" i="16"/>
  <c r="DI12" i="16"/>
  <c r="DI13" i="16"/>
  <c r="DI14" i="16"/>
  <c r="DI15" i="16"/>
  <c r="DI16" i="16"/>
  <c r="DI17" i="16"/>
  <c r="DI18" i="16"/>
  <c r="DI19" i="16"/>
  <c r="DI20" i="16"/>
  <c r="DI21" i="16"/>
  <c r="DI22" i="16"/>
  <c r="DI23" i="16"/>
  <c r="DI24" i="16"/>
  <c r="DI25" i="16"/>
  <c r="DI26" i="16"/>
  <c r="DK7" i="16"/>
  <c r="DI7" i="16"/>
  <c r="CU8" i="16"/>
  <c r="CU9" i="16"/>
  <c r="CU10" i="16"/>
  <c r="CU11" i="16"/>
  <c r="CU12" i="16"/>
  <c r="CU13" i="16"/>
  <c r="CU14" i="16"/>
  <c r="CU15" i="16"/>
  <c r="CU16" i="16"/>
  <c r="CU17" i="16"/>
  <c r="CU18" i="16"/>
  <c r="CU19" i="16"/>
  <c r="CU20" i="16"/>
  <c r="CU21" i="16"/>
  <c r="CU22" i="16"/>
  <c r="CU23" i="16"/>
  <c r="CU24" i="16"/>
  <c r="CU25" i="16"/>
  <c r="CU26" i="16"/>
  <c r="CU7" i="16"/>
  <c r="CV8" i="16"/>
  <c r="CV9" i="16"/>
  <c r="CV10" i="16"/>
  <c r="CV11" i="16"/>
  <c r="CV12" i="16"/>
  <c r="CV13" i="16"/>
  <c r="CV14" i="16"/>
  <c r="CV15" i="16"/>
  <c r="CV16" i="16"/>
  <c r="CV17" i="16"/>
  <c r="CV18" i="16"/>
  <c r="CV19" i="16"/>
  <c r="CV20" i="16"/>
  <c r="CV21" i="16"/>
  <c r="CV22" i="16"/>
  <c r="CV23" i="16"/>
  <c r="CV24" i="16"/>
  <c r="CV25" i="16"/>
  <c r="CV26" i="16"/>
  <c r="CV7" i="16"/>
  <c r="CT8" i="16"/>
  <c r="CT9" i="16"/>
  <c r="CT10" i="16"/>
  <c r="CT11" i="16"/>
  <c r="CT12" i="16"/>
  <c r="CT13" i="16"/>
  <c r="CT14" i="16"/>
  <c r="CT15" i="16"/>
  <c r="CT16" i="16"/>
  <c r="CT17" i="16"/>
  <c r="CT18" i="16"/>
  <c r="CT19" i="16"/>
  <c r="CT20" i="16"/>
  <c r="CT21" i="16"/>
  <c r="CT22" i="16"/>
  <c r="CT23" i="16"/>
  <c r="CT24" i="16"/>
  <c r="CT25" i="16"/>
  <c r="CT26" i="16"/>
  <c r="CT7" i="16"/>
  <c r="AH7" i="16"/>
  <c r="AF7" i="16"/>
  <c r="H35" i="22" a="1"/>
  <c r="BD7" i="16"/>
  <c r="U35" i="22" a="1"/>
  <c r="U35" i="21" a="1"/>
  <c r="H35" i="21" a="1"/>
  <c r="AK7" i="16"/>
  <c r="I35" i="22"/>
  <c r="M43" i="22"/>
  <c r="H35" i="22"/>
  <c r="L43" i="22"/>
  <c r="I36" i="22"/>
  <c r="M44" i="22"/>
  <c r="H36" i="22"/>
  <c r="L44" i="22"/>
  <c r="V35" i="22"/>
  <c r="Q43" i="22"/>
  <c r="V36" i="22"/>
  <c r="Q44" i="22"/>
  <c r="U35" i="22"/>
  <c r="P43" i="22"/>
  <c r="U36" i="22"/>
  <c r="P44" i="22"/>
  <c r="C2" i="22"/>
  <c r="H35" i="21"/>
  <c r="I36" i="21"/>
  <c r="M44" i="21"/>
  <c r="I35" i="21"/>
  <c r="H36" i="21"/>
  <c r="L44" i="21"/>
  <c r="U36" i="21"/>
  <c r="P44" i="21"/>
  <c r="V35" i="21"/>
  <c r="Q43" i="21"/>
  <c r="V36" i="21"/>
  <c r="Q44" i="21"/>
  <c r="U35" i="21"/>
  <c r="C2" i="21"/>
  <c r="CN7" i="16"/>
  <c r="GS26" i="18"/>
  <c r="GR26" i="18"/>
  <c r="GP26" i="18"/>
  <c r="FV26" i="18"/>
  <c r="FU26" i="18"/>
  <c r="DC26" i="18"/>
  <c r="DB26" i="18"/>
  <c r="AE26" i="18"/>
  <c r="BI26" i="18"/>
  <c r="AC26" i="18"/>
  <c r="N26" i="18"/>
  <c r="E26" i="20"/>
  <c r="GS25" i="18"/>
  <c r="GR25" i="18"/>
  <c r="GP25" i="18"/>
  <c r="FV25" i="18"/>
  <c r="FU25" i="18"/>
  <c r="DC25" i="18"/>
  <c r="DB25" i="18"/>
  <c r="AE25" i="18"/>
  <c r="BJ25" i="18"/>
  <c r="AC25" i="18"/>
  <c r="N25" i="18"/>
  <c r="E25" i="20"/>
  <c r="GS24" i="18"/>
  <c r="GR24" i="18"/>
  <c r="GP24" i="18"/>
  <c r="FV24" i="18"/>
  <c r="FU24" i="18"/>
  <c r="DC24" i="18"/>
  <c r="DB24" i="18"/>
  <c r="AE24" i="18"/>
  <c r="AC24" i="18"/>
  <c r="N24" i="18"/>
  <c r="E24" i="20"/>
  <c r="GS23" i="18"/>
  <c r="GR23" i="18"/>
  <c r="FY23" i="18"/>
  <c r="GP23" i="18"/>
  <c r="FV23" i="18"/>
  <c r="FU23" i="18"/>
  <c r="DC23" i="18"/>
  <c r="DB23" i="18"/>
  <c r="AE23" i="18"/>
  <c r="BJ23" i="18"/>
  <c r="AC23" i="18"/>
  <c r="N23" i="18"/>
  <c r="E23" i="20"/>
  <c r="GS22" i="18"/>
  <c r="GR22" i="18"/>
  <c r="GP22" i="18"/>
  <c r="FV22" i="18"/>
  <c r="FU22" i="18"/>
  <c r="DC22" i="18"/>
  <c r="DB22" i="18"/>
  <c r="AE22" i="18"/>
  <c r="FI22" i="18"/>
  <c r="AC22" i="18"/>
  <c r="N22" i="18"/>
  <c r="E22" i="20"/>
  <c r="GS21" i="18"/>
  <c r="GR21" i="18"/>
  <c r="GP21" i="18"/>
  <c r="FV21" i="18"/>
  <c r="FU21" i="18"/>
  <c r="DC21" i="18"/>
  <c r="DB21" i="18"/>
  <c r="AE21" i="18"/>
  <c r="DD21" i="18"/>
  <c r="AC21" i="18"/>
  <c r="N21" i="18"/>
  <c r="E21" i="20"/>
  <c r="GS20" i="18"/>
  <c r="GR20" i="18"/>
  <c r="GP20" i="18"/>
  <c r="FV20" i="18"/>
  <c r="FU20" i="18"/>
  <c r="DC20" i="18"/>
  <c r="DB20" i="18"/>
  <c r="AE20" i="18"/>
  <c r="CR20" i="18"/>
  <c r="AC20" i="18"/>
  <c r="N20" i="18"/>
  <c r="E20" i="20"/>
  <c r="GS19" i="18"/>
  <c r="GR19" i="18"/>
  <c r="GP19" i="18"/>
  <c r="FV19" i="18"/>
  <c r="FU19" i="18"/>
  <c r="DC19" i="18"/>
  <c r="DB19" i="18"/>
  <c r="AE19" i="18"/>
  <c r="FK19" i="18"/>
  <c r="AC19" i="18"/>
  <c r="N19" i="18"/>
  <c r="E19" i="20"/>
  <c r="GS18" i="18"/>
  <c r="GR18" i="18"/>
  <c r="GP18" i="18"/>
  <c r="FV18" i="18"/>
  <c r="FU18" i="18"/>
  <c r="DC18" i="18"/>
  <c r="DB18" i="18"/>
  <c r="AE18" i="18"/>
  <c r="AC18" i="18"/>
  <c r="N18" i="18"/>
  <c r="E18" i="20"/>
  <c r="GS17" i="18"/>
  <c r="GR17" i="18"/>
  <c r="GP17" i="18"/>
  <c r="FV17" i="18"/>
  <c r="FU17" i="18"/>
  <c r="DC17" i="18"/>
  <c r="DB17" i="18"/>
  <c r="AE17" i="18"/>
  <c r="AU17" i="18"/>
  <c r="BZ17" i="18"/>
  <c r="AC17" i="18"/>
  <c r="N17" i="18"/>
  <c r="E17" i="20"/>
  <c r="GS16" i="18"/>
  <c r="GR16" i="18"/>
  <c r="GP16" i="18"/>
  <c r="FV16" i="18"/>
  <c r="FU16" i="18"/>
  <c r="DC16" i="18"/>
  <c r="DB16" i="18"/>
  <c r="AE16" i="18"/>
  <c r="AU16" i="18"/>
  <c r="BZ16" i="18"/>
  <c r="AC16" i="18"/>
  <c r="N16" i="18"/>
  <c r="E16" i="20"/>
  <c r="GS15" i="18"/>
  <c r="GR15" i="18"/>
  <c r="GP15" i="18"/>
  <c r="FV15" i="18"/>
  <c r="FU15" i="18"/>
  <c r="DC15" i="18"/>
  <c r="DB15" i="18"/>
  <c r="AE15" i="18"/>
  <c r="DF15" i="18"/>
  <c r="AC15" i="18"/>
  <c r="N15" i="18"/>
  <c r="E15" i="20"/>
  <c r="GS14" i="18"/>
  <c r="GR14" i="18"/>
  <c r="GP14" i="18"/>
  <c r="FV14" i="18"/>
  <c r="FU14" i="18"/>
  <c r="DC14" i="18"/>
  <c r="DB14" i="18"/>
  <c r="AE14" i="18"/>
  <c r="AW14" i="18"/>
  <c r="CB14" i="18"/>
  <c r="AC14" i="18"/>
  <c r="N14" i="18"/>
  <c r="E14" i="20"/>
  <c r="GS13" i="18"/>
  <c r="GR13" i="18"/>
  <c r="GP13" i="18"/>
  <c r="FV13" i="18"/>
  <c r="FU13" i="18"/>
  <c r="DC13" i="18"/>
  <c r="DB13" i="18"/>
  <c r="AE13" i="18"/>
  <c r="AC13" i="18"/>
  <c r="N13" i="18"/>
  <c r="E13" i="20"/>
  <c r="GS12" i="18"/>
  <c r="GR12" i="18"/>
  <c r="GP12" i="18"/>
  <c r="FV12" i="18"/>
  <c r="FU12" i="18"/>
  <c r="DC12" i="18"/>
  <c r="DB12" i="18"/>
  <c r="AE12" i="18"/>
  <c r="DH12" i="18"/>
  <c r="AC12" i="18"/>
  <c r="N12" i="18"/>
  <c r="E12" i="20"/>
  <c r="GS11" i="18"/>
  <c r="GR11" i="18"/>
  <c r="GP11" i="18"/>
  <c r="FV11" i="18"/>
  <c r="FU11" i="18"/>
  <c r="DC11" i="18"/>
  <c r="DB11" i="18"/>
  <c r="AE11" i="18"/>
  <c r="DD11" i="18"/>
  <c r="AC11" i="18"/>
  <c r="GS10" i="18"/>
  <c r="GR10" i="18"/>
  <c r="GP10" i="18"/>
  <c r="FV10" i="18"/>
  <c r="FU10" i="18"/>
  <c r="DC10" i="18"/>
  <c r="DB10" i="18"/>
  <c r="AE10" i="18"/>
  <c r="DD10" i="18"/>
  <c r="AC10" i="18"/>
  <c r="GS9" i="18"/>
  <c r="GR9" i="18"/>
  <c r="GP9" i="18"/>
  <c r="FV9" i="18"/>
  <c r="FU9" i="18"/>
  <c r="DC9" i="18"/>
  <c r="DB9" i="18"/>
  <c r="AE9" i="18"/>
  <c r="BI9" i="18"/>
  <c r="AC9" i="18"/>
  <c r="GS8" i="18"/>
  <c r="GR8" i="18"/>
  <c r="GP8" i="18"/>
  <c r="FV8" i="18"/>
  <c r="FU8" i="18"/>
  <c r="DC8" i="18"/>
  <c r="DB8" i="18"/>
  <c r="AE8" i="18"/>
  <c r="DH8" i="18"/>
  <c r="AC8" i="18"/>
  <c r="GS7" i="18"/>
  <c r="GR7" i="18"/>
  <c r="EB7" i="18"/>
  <c r="GP7" i="18"/>
  <c r="FV7" i="18"/>
  <c r="DC7" i="18"/>
  <c r="DB7" i="18"/>
  <c r="AE7" i="18"/>
  <c r="AC7" i="18"/>
  <c r="GX26" i="16"/>
  <c r="GW26" i="16"/>
  <c r="EF26" i="16"/>
  <c r="GU26" i="16"/>
  <c r="GA26" i="16"/>
  <c r="DG26" i="16"/>
  <c r="FZ26" i="16"/>
  <c r="DF26" i="16"/>
  <c r="AH26" i="16"/>
  <c r="AF26" i="16"/>
  <c r="GX25" i="16"/>
  <c r="GW25" i="16"/>
  <c r="HO25" i="16"/>
  <c r="EY25" i="16"/>
  <c r="GU25" i="16"/>
  <c r="GA25" i="16"/>
  <c r="DG25" i="16"/>
  <c r="FZ25" i="16"/>
  <c r="DF25" i="16"/>
  <c r="AH25" i="16"/>
  <c r="AF25" i="16"/>
  <c r="GX24" i="16"/>
  <c r="GW24" i="16"/>
  <c r="GU24" i="16"/>
  <c r="GA24" i="16"/>
  <c r="DG24" i="16"/>
  <c r="FZ24" i="16"/>
  <c r="DF24" i="16"/>
  <c r="AH24" i="16"/>
  <c r="AF24" i="16"/>
  <c r="GX23" i="16"/>
  <c r="GW23" i="16"/>
  <c r="EG23" i="16"/>
  <c r="GU23" i="16"/>
  <c r="GA23" i="16"/>
  <c r="DG23" i="16"/>
  <c r="FZ23" i="16"/>
  <c r="DF23" i="16"/>
  <c r="AH23" i="16"/>
  <c r="AF23" i="16"/>
  <c r="GX22" i="16"/>
  <c r="GW22" i="16"/>
  <c r="GD22" i="16"/>
  <c r="DJ22" i="16"/>
  <c r="GU22" i="16"/>
  <c r="GA22" i="16"/>
  <c r="DG22" i="16"/>
  <c r="FZ22" i="16"/>
  <c r="DF22" i="16"/>
  <c r="AH22" i="16"/>
  <c r="AF22" i="16"/>
  <c r="GX21" i="16"/>
  <c r="GW21" i="16"/>
  <c r="HM21" i="16"/>
  <c r="EW21" i="16"/>
  <c r="GU21" i="16"/>
  <c r="GA21" i="16"/>
  <c r="DG21" i="16"/>
  <c r="FZ21" i="16"/>
  <c r="DF21" i="16"/>
  <c r="AH21" i="16"/>
  <c r="AF21" i="16"/>
  <c r="GX20" i="16"/>
  <c r="GW20" i="16"/>
  <c r="GF20" i="16"/>
  <c r="DL20" i="16"/>
  <c r="GU20" i="16"/>
  <c r="GA20" i="16"/>
  <c r="DG20" i="16"/>
  <c r="FZ20" i="16"/>
  <c r="DF20" i="16"/>
  <c r="AH20" i="16"/>
  <c r="BL20" i="16"/>
  <c r="AF20" i="16"/>
  <c r="GX19" i="16"/>
  <c r="GW19" i="16"/>
  <c r="GF19" i="16"/>
  <c r="DL19" i="16"/>
  <c r="GU19" i="16"/>
  <c r="GA19" i="16"/>
  <c r="DG19" i="16"/>
  <c r="FZ19" i="16"/>
  <c r="DF19" i="16"/>
  <c r="AH19" i="16"/>
  <c r="AF19" i="16"/>
  <c r="GX18" i="16"/>
  <c r="GW18" i="16"/>
  <c r="GB18" i="16"/>
  <c r="DH18" i="16"/>
  <c r="GU18" i="16"/>
  <c r="GA18" i="16"/>
  <c r="DG18" i="16"/>
  <c r="FZ18" i="16"/>
  <c r="DF18" i="16"/>
  <c r="AH18" i="16"/>
  <c r="BM18" i="16"/>
  <c r="AF18" i="16"/>
  <c r="GX17" i="16"/>
  <c r="GW17" i="16"/>
  <c r="GU17" i="16"/>
  <c r="GA17" i="16"/>
  <c r="DG17" i="16"/>
  <c r="FZ17" i="16"/>
  <c r="DF17" i="16"/>
  <c r="AH17" i="16"/>
  <c r="AF17" i="16"/>
  <c r="GX16" i="16"/>
  <c r="GW16" i="16"/>
  <c r="GU16" i="16"/>
  <c r="GA16" i="16"/>
  <c r="DG16" i="16"/>
  <c r="FZ16" i="16"/>
  <c r="DF16" i="16"/>
  <c r="AH16" i="16"/>
  <c r="AF16" i="16"/>
  <c r="GX15" i="16"/>
  <c r="GW15" i="16"/>
  <c r="GB15" i="16"/>
  <c r="DH15" i="16"/>
  <c r="GU15" i="16"/>
  <c r="GA15" i="16"/>
  <c r="DG15" i="16"/>
  <c r="FZ15" i="16"/>
  <c r="DF15" i="16"/>
  <c r="AH15" i="16"/>
  <c r="AF15" i="16"/>
  <c r="GX14" i="16"/>
  <c r="GW14" i="16"/>
  <c r="EF14" i="16"/>
  <c r="GU14" i="16"/>
  <c r="GA14" i="16"/>
  <c r="DG14" i="16"/>
  <c r="FZ14" i="16"/>
  <c r="DF14" i="16"/>
  <c r="AH14" i="16"/>
  <c r="AF14" i="16"/>
  <c r="GX13" i="16"/>
  <c r="GW13" i="16"/>
  <c r="GF13" i="16"/>
  <c r="DL13" i="16"/>
  <c r="GU13" i="16"/>
  <c r="GA13" i="16"/>
  <c r="DG13" i="16"/>
  <c r="FZ13" i="16"/>
  <c r="DF13" i="16"/>
  <c r="AH13" i="16"/>
  <c r="AF13" i="16"/>
  <c r="GX12" i="16"/>
  <c r="GW12" i="16"/>
  <c r="HM12" i="16"/>
  <c r="EW12" i="16"/>
  <c r="GU12" i="16"/>
  <c r="GA12" i="16"/>
  <c r="DG12" i="16"/>
  <c r="FZ12" i="16"/>
  <c r="DF12" i="16"/>
  <c r="AH12" i="16"/>
  <c r="GX11" i="16"/>
  <c r="GW11" i="16"/>
  <c r="GU11" i="16"/>
  <c r="GA11" i="16"/>
  <c r="DG11" i="16"/>
  <c r="FZ11" i="16"/>
  <c r="DF11" i="16"/>
  <c r="AH11" i="16"/>
  <c r="AF11" i="16"/>
  <c r="GX10" i="16"/>
  <c r="GW10" i="16"/>
  <c r="GF10" i="16"/>
  <c r="DL10" i="16"/>
  <c r="GU10" i="16"/>
  <c r="GA10" i="16"/>
  <c r="DG10" i="16"/>
  <c r="FZ10" i="16"/>
  <c r="DF10" i="16"/>
  <c r="AH10" i="16"/>
  <c r="AF10" i="16"/>
  <c r="GX9" i="16"/>
  <c r="GW9" i="16"/>
  <c r="GB9" i="16"/>
  <c r="DH9" i="16"/>
  <c r="GU9" i="16"/>
  <c r="GA9" i="16"/>
  <c r="DG9" i="16"/>
  <c r="FZ9" i="16"/>
  <c r="DF9" i="16"/>
  <c r="AH9" i="16"/>
  <c r="BL9" i="16"/>
  <c r="AF9" i="16"/>
  <c r="GX8" i="16"/>
  <c r="GW8" i="16"/>
  <c r="GB8" i="16"/>
  <c r="DH8" i="16"/>
  <c r="GU8" i="16"/>
  <c r="GA8" i="16"/>
  <c r="DG8" i="16"/>
  <c r="FZ8" i="16"/>
  <c r="DF8" i="16"/>
  <c r="AH8" i="16"/>
  <c r="AF8" i="16"/>
  <c r="GX7" i="16"/>
  <c r="GW7" i="16"/>
  <c r="GU7" i="16"/>
  <c r="GA7" i="16"/>
  <c r="DG7" i="16"/>
  <c r="FZ7" i="16"/>
  <c r="DF7" i="16"/>
  <c r="V7" i="21"/>
  <c r="I7" i="21"/>
  <c r="Q7" i="21"/>
  <c r="I7" i="22"/>
  <c r="Q7" i="22"/>
  <c r="V7" i="22"/>
  <c r="M7" i="22"/>
  <c r="HB26" i="18"/>
  <c r="AD24" i="18"/>
  <c r="GZ20" i="18"/>
  <c r="HO25" i="18"/>
  <c r="AQ23" i="18"/>
  <c r="AH20" i="18"/>
  <c r="HA25" i="18"/>
  <c r="AP23" i="18"/>
  <c r="AH26" i="18"/>
  <c r="HB23" i="18"/>
  <c r="AD21" i="18"/>
  <c r="GZ17" i="18"/>
  <c r="AR24" i="18"/>
  <c r="HE19" i="18"/>
  <c r="GQ16" i="18"/>
  <c r="AD14" i="18"/>
  <c r="AR26" i="18"/>
  <c r="AM21" i="18"/>
  <c r="HD26" i="18"/>
  <c r="HA21" i="18"/>
  <c r="AH23" i="18"/>
  <c r="HB17" i="18"/>
  <c r="HC26" i="18"/>
  <c r="AD18" i="18"/>
  <c r="HA14" i="18"/>
  <c r="AF25" i="18"/>
  <c r="AF17" i="18"/>
  <c r="AY14" i="18"/>
  <c r="AR11" i="18"/>
  <c r="HL7" i="18"/>
  <c r="HA20" i="18"/>
  <c r="AN16" i="18"/>
  <c r="HO12" i="18"/>
  <c r="HF9" i="18"/>
  <c r="AF23" i="18"/>
  <c r="HF15" i="18"/>
  <c r="AO12" i="18"/>
  <c r="GQ9" i="18"/>
  <c r="AM23" i="18"/>
  <c r="HE14" i="18"/>
  <c r="HO8" i="18"/>
  <c r="AD15" i="18"/>
  <c r="HC14" i="18"/>
  <c r="AO22" i="18"/>
  <c r="HD7" i="18"/>
  <c r="AQ8" i="18"/>
  <c r="AQ13" i="18"/>
  <c r="GQ7" i="18"/>
  <c r="BA9" i="18"/>
  <c r="AY12" i="18"/>
  <c r="AN22" i="18"/>
  <c r="HD8" i="18"/>
  <c r="HF13" i="18"/>
  <c r="HO20" i="18"/>
  <c r="AP17" i="18"/>
  <c r="AS25" i="16"/>
  <c r="AV22" i="16"/>
  <c r="BB19" i="16"/>
  <c r="HI16" i="16"/>
  <c r="BD25" i="16"/>
  <c r="HJ22" i="16"/>
  <c r="AP19" i="16"/>
  <c r="AP26" i="16"/>
  <c r="AR24" i="16"/>
  <c r="AU21" i="16"/>
  <c r="HQ17" i="16"/>
  <c r="AK25" i="16"/>
  <c r="HG22" i="16"/>
  <c r="AG20" i="16"/>
  <c r="AT25" i="16"/>
  <c r="HF20" i="16"/>
  <c r="AS16" i="16"/>
  <c r="AV13" i="16"/>
  <c r="BB10" i="16"/>
  <c r="AG26" i="16"/>
  <c r="HI19" i="16"/>
  <c r="AR16" i="16"/>
  <c r="HI26" i="16"/>
  <c r="AR20" i="16"/>
  <c r="HS15" i="16"/>
  <c r="AT13" i="16"/>
  <c r="AK10" i="16"/>
  <c r="HH22" i="16"/>
  <c r="HJ16" i="16"/>
  <c r="HS13" i="16"/>
  <c r="AK22" i="16"/>
  <c r="GZ15" i="16"/>
  <c r="BD11" i="16"/>
  <c r="HJ7" i="16"/>
  <c r="HG23" i="16"/>
  <c r="BD23" i="16"/>
  <c r="BD14" i="16"/>
  <c r="HG19" i="16"/>
  <c r="HQ13" i="16"/>
  <c r="HQ24" i="16"/>
  <c r="HE21" i="16"/>
  <c r="GZ9" i="16"/>
  <c r="GZ11" i="16"/>
  <c r="AK9" i="16"/>
  <c r="BA26" i="18"/>
  <c r="HE23" i="18"/>
  <c r="AM20" i="18"/>
  <c r="HB25" i="18"/>
  <c r="AD23" i="18"/>
  <c r="GZ19" i="18"/>
  <c r="AY25" i="18"/>
  <c r="HD22" i="18"/>
  <c r="GZ25" i="18"/>
  <c r="BA23" i="18"/>
  <c r="HE20" i="18"/>
  <c r="AM17" i="18"/>
  <c r="GU22" i="18"/>
  <c r="AN19" i="18"/>
  <c r="BA16" i="18"/>
  <c r="HE13" i="18"/>
  <c r="AD25" i="18"/>
  <c r="HF20" i="18"/>
  <c r="AQ26" i="18"/>
  <c r="HD20" i="18"/>
  <c r="AY21" i="18"/>
  <c r="AO17" i="18"/>
  <c r="AH25" i="18"/>
  <c r="HC17" i="18"/>
  <c r="BA14" i="18"/>
  <c r="AS11" i="18"/>
  <c r="AY8" i="18"/>
  <c r="AO21" i="18"/>
  <c r="HD16" i="18"/>
  <c r="AM14" i="18"/>
  <c r="HF10" i="18"/>
  <c r="AD20" i="18"/>
  <c r="HL15" i="18"/>
  <c r="AS9" i="18"/>
  <c r="GZ22" i="18"/>
  <c r="GQ15" i="18"/>
  <c r="AQ9" i="18"/>
  <c r="HL21" i="18"/>
  <c r="HA13" i="18"/>
  <c r="AP8" i="18"/>
  <c r="AM13" i="18"/>
  <c r="AM10" i="18"/>
  <c r="AS13" i="18"/>
  <c r="AP20" i="18"/>
  <c r="AQ17" i="18"/>
  <c r="GQ26" i="18"/>
  <c r="AM12" i="18"/>
  <c r="AH7" i="18"/>
  <c r="BA12" i="18"/>
  <c r="HB10" i="18"/>
  <c r="AD19" i="18"/>
  <c r="AD8" i="18"/>
  <c r="GZ12" i="18"/>
  <c r="BA18" i="18"/>
  <c r="HE15" i="18"/>
  <c r="HI24" i="16"/>
  <c r="AI22" i="16"/>
  <c r="AQ19" i="16"/>
  <c r="GV16" i="16"/>
  <c r="AR25" i="16"/>
  <c r="AU22" i="16"/>
  <c r="HQ18" i="16"/>
  <c r="HQ25" i="16"/>
  <c r="HH23" i="16"/>
  <c r="HK20" i="16"/>
  <c r="HF17" i="16"/>
  <c r="HE24" i="16"/>
  <c r="BD22" i="16"/>
  <c r="HJ19" i="16"/>
  <c r="BB24" i="16"/>
  <c r="AU20" i="16"/>
  <c r="HI15" i="16"/>
  <c r="AI13" i="16"/>
  <c r="AP25" i="16"/>
  <c r="AG19" i="16"/>
  <c r="HH15" i="16"/>
  <c r="AI25" i="16"/>
  <c r="HH19" i="16"/>
  <c r="HG15" i="16"/>
  <c r="AG13" i="16"/>
  <c r="HE9" i="16"/>
  <c r="HF21" i="16"/>
  <c r="AK16" i="16"/>
  <c r="HG13" i="16"/>
  <c r="AG11" i="16"/>
  <c r="AQ21" i="16"/>
  <c r="AQ15" i="16"/>
  <c r="HS10" i="16"/>
  <c r="AU7" i="16"/>
  <c r="AP21" i="16"/>
  <c r="GV18" i="16"/>
  <c r="HE13" i="16"/>
  <c r="AV19" i="16"/>
  <c r="AP13" i="16"/>
  <c r="HS8" i="16"/>
  <c r="AI23" i="16"/>
  <c r="AR19" i="16"/>
  <c r="AS9" i="16"/>
  <c r="HG8" i="16"/>
  <c r="HS14" i="16"/>
  <c r="HE8" i="16"/>
  <c r="GV26" i="16"/>
  <c r="GV7" i="16"/>
  <c r="AT17" i="16"/>
  <c r="BD10" i="16"/>
  <c r="AG7" i="16"/>
  <c r="HG12" i="16"/>
  <c r="HH20" i="16"/>
  <c r="AU9" i="16"/>
  <c r="GZ8" i="16"/>
  <c r="AU13" i="16"/>
  <c r="HK12" i="16"/>
  <c r="GZ22" i="16"/>
  <c r="HJ8" i="16"/>
  <c r="GV10" i="16"/>
  <c r="AS13" i="16"/>
  <c r="AR14" i="16"/>
  <c r="HJ9" i="16"/>
  <c r="HS21" i="16"/>
  <c r="AO26" i="18"/>
  <c r="AR23" i="18"/>
  <c r="HL19" i="18"/>
  <c r="BA25" i="18"/>
  <c r="HE22" i="18"/>
  <c r="AM19" i="18"/>
  <c r="AN25" i="18"/>
  <c r="GQ22" i="18"/>
  <c r="AM25" i="18"/>
  <c r="AO23" i="18"/>
  <c r="AR20" i="18"/>
  <c r="HL16" i="18"/>
  <c r="AM22" i="18"/>
  <c r="HF18" i="18"/>
  <c r="AO16" i="18"/>
  <c r="AR13" i="18"/>
  <c r="GU24" i="18"/>
  <c r="AY20" i="18"/>
  <c r="HF25" i="18"/>
  <c r="HC19" i="18"/>
  <c r="HB20" i="18"/>
  <c r="HO16" i="18"/>
  <c r="AY23" i="18"/>
  <c r="AH17" i="18"/>
  <c r="AN14" i="18"/>
  <c r="AF11" i="18"/>
  <c r="AN8" i="18"/>
  <c r="HC20" i="18"/>
  <c r="AP16" i="18"/>
  <c r="GU13" i="18"/>
  <c r="AS10" i="18"/>
  <c r="AY7" i="18"/>
  <c r="GQ19" i="18"/>
  <c r="BA15" i="18"/>
  <c r="AQ12" i="18"/>
  <c r="AF9" i="18"/>
  <c r="AO18" i="18"/>
  <c r="HF14" i="18"/>
  <c r="AD9" i="18"/>
  <c r="AN18" i="18"/>
  <c r="GQ12" i="18"/>
  <c r="AQ7" i="18"/>
  <c r="HC9" i="18"/>
  <c r="BA21" i="18"/>
  <c r="HL12" i="18"/>
  <c r="AD16" i="18"/>
  <c r="HC13" i="18"/>
  <c r="GZ21" i="18"/>
  <c r="GQ17" i="18"/>
  <c r="AY11" i="18"/>
  <c r="AP9" i="18"/>
  <c r="AP14" i="18"/>
  <c r="HE7" i="18"/>
  <c r="AS15" i="18"/>
  <c r="AR7" i="18"/>
  <c r="GV24" i="16"/>
  <c r="GZ21" i="16"/>
  <c r="HS18" i="16"/>
  <c r="HQ26" i="16"/>
  <c r="HH24" i="16"/>
  <c r="HK21" i="16"/>
  <c r="HF18" i="16"/>
  <c r="HF25" i="16"/>
  <c r="AS23" i="16"/>
  <c r="AV20" i="16"/>
  <c r="BB17" i="16"/>
  <c r="AP24" i="16"/>
  <c r="AR22" i="16"/>
  <c r="AU19" i="16"/>
  <c r="GZ23" i="16"/>
  <c r="HK19" i="16"/>
  <c r="GV15" i="16"/>
  <c r="GZ12" i="16"/>
  <c r="HS9" i="16"/>
  <c r="HK24" i="16"/>
  <c r="AT18" i="16"/>
  <c r="AS15" i="16"/>
  <c r="HJ24" i="16"/>
  <c r="BD19" i="16"/>
  <c r="BD15" i="16"/>
  <c r="HJ12" i="16"/>
  <c r="GZ26" i="16"/>
  <c r="AR21" i="16"/>
  <c r="HE15" i="16"/>
  <c r="BD13" i="16"/>
  <c r="HJ10" i="16"/>
  <c r="HG20" i="16"/>
  <c r="AK14" i="16"/>
  <c r="AR10" i="16"/>
  <c r="AI14" i="16"/>
  <c r="HK16" i="16"/>
  <c r="HI17" i="16"/>
  <c r="HJ18" i="16"/>
  <c r="HF8" i="16"/>
  <c r="AG18" i="16"/>
  <c r="AR8" i="16"/>
  <c r="BB20" i="16"/>
  <c r="AT16" i="16"/>
  <c r="AQ12" i="16"/>
  <c r="HC25" i="18"/>
  <c r="HF22" i="18"/>
  <c r="HA19" i="18"/>
  <c r="AO25" i="18"/>
  <c r="AR22" i="18"/>
  <c r="HL18" i="18"/>
  <c r="HO24" i="18"/>
  <c r="AQ22" i="18"/>
  <c r="HL24" i="18"/>
  <c r="HC22" i="18"/>
  <c r="HF19" i="18"/>
  <c r="HA16" i="18"/>
  <c r="HC21" i="18"/>
  <c r="GQ18" i="18"/>
  <c r="HC15" i="18"/>
  <c r="HF12" i="18"/>
  <c r="AM24" i="18"/>
  <c r="AF20" i="18"/>
  <c r="AH24" i="18"/>
  <c r="AY19" i="18"/>
  <c r="AS20" i="18"/>
  <c r="GZ16" i="18"/>
  <c r="AP21" i="18"/>
  <c r="HF16" i="18"/>
  <c r="HL13" i="18"/>
  <c r="GU10" i="18"/>
  <c r="HO7" i="18"/>
  <c r="AO19" i="18"/>
  <c r="HO15" i="18"/>
  <c r="AO13" i="18"/>
  <c r="AF10" i="18"/>
  <c r="AN7" i="18"/>
  <c r="GZ18" i="18"/>
  <c r="AM15" i="18"/>
  <c r="GU8" i="18"/>
  <c r="HL17" i="18"/>
  <c r="AS14" i="18"/>
  <c r="BA11" i="18"/>
  <c r="HE8" i="18"/>
  <c r="HD17" i="18"/>
  <c r="AP12" i="18"/>
  <c r="AN11" i="18"/>
  <c r="HO19" i="18"/>
  <c r="HB19" i="18"/>
  <c r="AN12" i="18"/>
  <c r="AY13" i="18"/>
  <c r="AQ20" i="18"/>
  <c r="AM11" i="18"/>
  <c r="AR14" i="18"/>
  <c r="HD10" i="18"/>
  <c r="AF13" i="18"/>
  <c r="AD7" i="18"/>
  <c r="AR9" i="18"/>
  <c r="AQ25" i="18"/>
  <c r="HS26" i="16"/>
  <c r="AT24" i="16"/>
  <c r="AK21" i="16"/>
  <c r="HG18" i="16"/>
  <c r="HF26" i="16"/>
  <c r="AS24" i="16"/>
  <c r="AV21" i="16"/>
  <c r="BB18" i="16"/>
  <c r="BB25" i="16"/>
  <c r="HI22" i="16"/>
  <c r="AI20" i="16"/>
  <c r="AQ17" i="16"/>
  <c r="HQ23" i="16"/>
  <c r="HH21" i="16"/>
  <c r="HK18" i="16"/>
  <c r="AS22" i="16"/>
  <c r="GZ18" i="16"/>
  <c r="AT15" i="16"/>
  <c r="AK12" i="16"/>
  <c r="HG9" i="16"/>
  <c r="AV23" i="16"/>
  <c r="HK17" i="16"/>
  <c r="HI14" i="16"/>
  <c r="AV24" i="16"/>
  <c r="HD24" i="18"/>
  <c r="AF22" i="18"/>
  <c r="HA26" i="18"/>
  <c r="AP24" i="18"/>
  <c r="AS21" i="18"/>
  <c r="GZ26" i="18"/>
  <c r="BA24" i="18"/>
  <c r="HE21" i="18"/>
  <c r="AY24" i="18"/>
  <c r="HD21" i="18"/>
  <c r="AF19" i="18"/>
  <c r="AS26" i="18"/>
  <c r="GQ20" i="18"/>
  <c r="HF17" i="18"/>
  <c r="HD14" i="18"/>
  <c r="AF12" i="18"/>
  <c r="HO22" i="18"/>
  <c r="BA19" i="18"/>
  <c r="AN23" i="18"/>
  <c r="HD25" i="18"/>
  <c r="AR19" i="18"/>
  <c r="AF16" i="18"/>
  <c r="AP19" i="18"/>
  <c r="HA15" i="18"/>
  <c r="AP13" i="18"/>
  <c r="GZ9" i="18"/>
  <c r="BA7" i="18"/>
  <c r="AS18" i="18"/>
  <c r="AN15" i="18"/>
  <c r="AR12" i="18"/>
  <c r="AH9" i="18"/>
  <c r="HB22" i="18"/>
  <c r="GU17" i="18"/>
  <c r="AH14" i="18"/>
  <c r="AD11" i="18"/>
  <c r="GZ7" i="18"/>
  <c r="GU16" i="18"/>
  <c r="GQ13" i="18"/>
  <c r="HC10" i="18"/>
  <c r="AR16" i="18"/>
  <c r="GZ10" i="18"/>
  <c r="HL9" i="18"/>
  <c r="HB16" i="18"/>
  <c r="AM16" i="18"/>
  <c r="AD10" i="18"/>
  <c r="HF8" i="18"/>
  <c r="AS8" i="18"/>
  <c r="AD17" i="18"/>
  <c r="AY10" i="18"/>
  <c r="AH12" i="18"/>
  <c r="HA22" i="18"/>
  <c r="AQ18" i="18"/>
  <c r="AQ10" i="18"/>
  <c r="HO17" i="18"/>
  <c r="AS25" i="18"/>
  <c r="GU23" i="18"/>
  <c r="BD26" i="16"/>
  <c r="HJ23" i="16"/>
  <c r="AP20" i="16"/>
  <c r="AR18" i="16"/>
  <c r="AQ26" i="16"/>
  <c r="GV23" i="16"/>
  <c r="GZ20" i="16"/>
  <c r="HS17" i="16"/>
  <c r="HS24" i="16"/>
  <c r="AT22" i="16"/>
  <c r="AK19" i="16"/>
  <c r="AV26" i="16"/>
  <c r="BB23" i="16"/>
  <c r="HI20" i="16"/>
  <c r="AI18" i="16"/>
  <c r="GV21" i="16"/>
  <c r="AP17" i="16"/>
  <c r="HJ14" i="16"/>
  <c r="AP11" i="16"/>
  <c r="AR9" i="16"/>
  <c r="AQ22" i="16"/>
  <c r="AK17" i="16"/>
  <c r="AT14" i="16"/>
  <c r="AR23" i="16"/>
  <c r="AI17" i="16"/>
  <c r="AS14" i="16"/>
  <c r="AV11" i="16"/>
  <c r="GZ24" i="16"/>
  <c r="HE17" i="16"/>
  <c r="HF14" i="16"/>
  <c r="AS12" i="16"/>
  <c r="AK26" i="16"/>
  <c r="AI19" i="16"/>
  <c r="BD12" i="16"/>
  <c r="AP9" i="16"/>
  <c r="GV25" i="16"/>
  <c r="AU25" i="16"/>
  <c r="AV16" i="16"/>
  <c r="HE22" i="16"/>
  <c r="AP16" i="16"/>
  <c r="AR11" i="16"/>
  <c r="AP7" i="16"/>
  <c r="BD20" i="16"/>
  <c r="HF11" i="16"/>
  <c r="AR7" i="16"/>
  <c r="HI8" i="16"/>
  <c r="GV9" i="16"/>
  <c r="HK7" i="16"/>
  <c r="AP14" i="16"/>
  <c r="GZ13" i="16"/>
  <c r="HJ15" i="16"/>
  <c r="HI12" i="16"/>
  <c r="BB8" i="16"/>
  <c r="AR17" i="16"/>
  <c r="HH9" i="16"/>
  <c r="HG11" i="16"/>
  <c r="HS7" i="16"/>
  <c r="HL26" i="18"/>
  <c r="GU20" i="18"/>
  <c r="AR21" i="18"/>
  <c r="AS19" i="18"/>
  <c r="AN20" i="18"/>
  <c r="HF23" i="18"/>
  <c r="AP18" i="18"/>
  <c r="AO15" i="18"/>
  <c r="GZ14" i="18"/>
  <c r="AY22" i="18"/>
  <c r="AQ11" i="18"/>
  <c r="AH16" i="18"/>
  <c r="AS7" i="18"/>
  <c r="BA10" i="18"/>
  <c r="AF15" i="18"/>
  <c r="HE12" i="18"/>
  <c r="HF24" i="18"/>
  <c r="AS24" i="18"/>
  <c r="AG24" i="16"/>
  <c r="AS17" i="16"/>
  <c r="AK20" i="16"/>
  <c r="GV22" i="16"/>
  <c r="GZ25" i="16"/>
  <c r="GZ17" i="16"/>
  <c r="AG15" i="16"/>
  <c r="HJ26" i="16"/>
  <c r="AG14" i="16"/>
  <c r="AQ16" i="16"/>
  <c r="GZ10" i="16"/>
  <c r="AG17" i="16"/>
  <c r="GV11" i="16"/>
  <c r="AG16" i="16"/>
  <c r="AG8" i="16"/>
  <c r="HE23" i="16"/>
  <c r="HS20" i="16"/>
  <c r="AV10" i="16"/>
  <c r="AS26" i="16"/>
  <c r="AG12" i="16"/>
  <c r="HK25" i="16"/>
  <c r="BB7" i="16"/>
  <c r="AK11" i="16"/>
  <c r="AT12" i="16"/>
  <c r="HS19" i="16"/>
  <c r="HF7" i="16"/>
  <c r="HK8" i="16"/>
  <c r="AU26" i="16"/>
  <c r="HH13" i="16"/>
  <c r="AU17" i="16"/>
  <c r="AK8" i="16"/>
  <c r="AU16" i="16"/>
  <c r="HK10" i="16"/>
  <c r="HH18" i="16"/>
  <c r="GV8" i="16"/>
  <c r="AN24" i="18"/>
  <c r="HC18" i="18"/>
  <c r="HE17" i="18"/>
  <c r="HB14" i="18"/>
  <c r="HE20" i="16"/>
  <c r="HS22" i="16"/>
  <c r="HI13" i="16"/>
  <c r="AI12" i="16"/>
  <c r="AT26" i="16"/>
  <c r="BB15" i="16"/>
  <c r="HB24" i="18"/>
  <c r="AP15" i="18"/>
  <c r="AO20" i="18"/>
  <c r="HC16" i="18"/>
  <c r="AQ15" i="18"/>
  <c r="AF14" i="18"/>
  <c r="HI23" i="16"/>
  <c r="AG21" i="16"/>
  <c r="AK23" i="16"/>
  <c r="HG14" i="16"/>
  <c r="AS10" i="16"/>
  <c r="HF22" i="16"/>
  <c r="AP12" i="16"/>
  <c r="AO24" i="18"/>
  <c r="GQ14" i="18"/>
  <c r="AH10" i="18"/>
  <c r="GU14" i="18"/>
  <c r="HB13" i="18"/>
  <c r="AY15" i="18"/>
  <c r="AT23" i="16"/>
  <c r="AU18" i="16"/>
  <c r="AU12" i="16"/>
  <c r="AQ20" i="16"/>
  <c r="AR12" i="16"/>
  <c r="HQ15" i="16"/>
  <c r="HO26" i="18"/>
  <c r="AY26" i="18"/>
  <c r="HA18" i="18"/>
  <c r="GU26" i="18"/>
  <c r="GU18" i="18"/>
  <c r="AF18" i="18"/>
  <c r="HE26" i="18"/>
  <c r="HL22" i="18"/>
  <c r="AS16" i="18"/>
  <c r="HO14" i="18"/>
  <c r="AO7" i="18"/>
  <c r="HB12" i="18"/>
  <c r="HO21" i="18"/>
  <c r="HE10" i="18"/>
  <c r="HD13" i="18"/>
  <c r="AF7" i="18"/>
  <c r="GQ8" i="18"/>
  <c r="AO9" i="18"/>
  <c r="HL10" i="18"/>
  <c r="HD12" i="18"/>
  <c r="HA23" i="18"/>
  <c r="AU23" i="16"/>
  <c r="BB26" i="16"/>
  <c r="HE19" i="16"/>
  <c r="AG22" i="16"/>
  <c r="HF23" i="16"/>
  <c r="HE25" i="16"/>
  <c r="AU14" i="16"/>
  <c r="HQ22" i="16"/>
  <c r="HJ13" i="16"/>
  <c r="AR15" i="16"/>
  <c r="AP15" i="16"/>
  <c r="AU10" i="16"/>
  <c r="HF13" i="16"/>
  <c r="AK18" i="16"/>
  <c r="AU15" i="16"/>
  <c r="AP10" i="16"/>
  <c r="HI10" i="16"/>
  <c r="BB11" i="16"/>
  <c r="HE16" i="18"/>
  <c r="HC12" i="18"/>
  <c r="AY17" i="18"/>
  <c r="GU12" i="18"/>
  <c r="HL23" i="18"/>
  <c r="AY9" i="18"/>
  <c r="HG25" i="16"/>
  <c r="GZ19" i="16"/>
  <c r="HE11" i="16"/>
  <c r="AP22" i="16"/>
  <c r="BB14" i="16"/>
  <c r="AV25" i="16"/>
  <c r="AS11" i="16"/>
  <c r="AS8" i="16"/>
  <c r="AV12" i="16"/>
  <c r="GZ7" i="16"/>
  <c r="AQ24" i="18"/>
  <c r="GQ25" i="18"/>
  <c r="AR25" i="18"/>
  <c r="GU9" i="18"/>
  <c r="AO11" i="18"/>
  <c r="HO13" i="18"/>
  <c r="HE24" i="18"/>
  <c r="HE26" i="16"/>
  <c r="HQ10" i="16"/>
  <c r="HI21" i="16"/>
  <c r="AQ14" i="16"/>
  <c r="HJ11" i="16"/>
  <c r="HI25" i="16"/>
  <c r="AT21" i="16"/>
  <c r="HQ8" i="16"/>
  <c r="AS22" i="18"/>
  <c r="GZ24" i="18"/>
  <c r="GZ23" i="18"/>
  <c r="GZ8" i="18"/>
  <c r="AP11" i="18"/>
  <c r="HO10" i="18"/>
  <c r="HG26" i="16"/>
  <c r="AQ25" i="16"/>
  <c r="HF10" i="16"/>
  <c r="AS18" i="16"/>
  <c r="AR13" i="16"/>
  <c r="AK15" i="16"/>
  <c r="HG21" i="16"/>
  <c r="HF16" i="16"/>
  <c r="HH11" i="16"/>
  <c r="AP25" i="18"/>
  <c r="AN26" i="18"/>
  <c r="AM26" i="18"/>
  <c r="HA24" i="18"/>
  <c r="AH18" i="18"/>
  <c r="AS17" i="18"/>
  <c r="AS23" i="18"/>
  <c r="BA22" i="18"/>
  <c r="GU15" i="18"/>
  <c r="GZ13" i="18"/>
  <c r="HE25" i="18"/>
  <c r="AD12" i="18"/>
  <c r="AR18" i="18"/>
  <c r="AR10" i="18"/>
  <c r="AH13" i="18"/>
  <c r="AN17" i="18"/>
  <c r="AO8" i="18"/>
  <c r="AP7" i="18"/>
  <c r="AQ19" i="18"/>
  <c r="GQ10" i="18"/>
  <c r="HB9" i="18"/>
  <c r="AF24" i="18"/>
  <c r="HK22" i="16"/>
  <c r="HS25" i="16"/>
  <c r="AQ18" i="16"/>
  <c r="HJ21" i="16"/>
  <c r="AQ23" i="16"/>
  <c r="HQ21" i="16"/>
  <c r="HK13" i="16"/>
  <c r="BB21" i="16"/>
  <c r="HS23" i="16"/>
  <c r="HH14" i="16"/>
  <c r="AG25" i="16"/>
  <c r="HQ14" i="16"/>
  <c r="HH26" i="16"/>
  <c r="HF12" i="16"/>
  <c r="HE12" i="16"/>
  <c r="HH16" i="16"/>
  <c r="GV17" i="16"/>
  <c r="HE7" i="16"/>
  <c r="GZ14" i="16"/>
  <c r="HQ11" i="16"/>
  <c r="AG10" i="16"/>
  <c r="HQ9" i="16"/>
  <c r="HH10" i="16"/>
  <c r="AI16" i="16"/>
  <c r="AV15" i="16"/>
  <c r="AV8" i="16"/>
  <c r="GQ24" i="18"/>
  <c r="HL25" i="18"/>
  <c r="AH22" i="18"/>
  <c r="AH15" i="18"/>
  <c r="HD15" i="18"/>
  <c r="AO10" i="18"/>
  <c r="HG17" i="16"/>
  <c r="BD21" i="16"/>
  <c r="AQ24" i="16"/>
  <c r="AU24" i="16"/>
  <c r="HK15" i="16"/>
  <c r="BD8" i="16"/>
  <c r="HE14" i="16"/>
  <c r="HD23" i="18"/>
  <c r="HB21" i="18"/>
  <c r="AM7" i="18"/>
  <c r="AH11" i="18"/>
  <c r="HQ19" i="16"/>
  <c r="AS21" i="16"/>
  <c r="BD17" i="16"/>
  <c r="HK23" i="16"/>
  <c r="AV14" i="16"/>
  <c r="HG16" i="16"/>
  <c r="AS7" i="16"/>
  <c r="AP22" i="18"/>
  <c r="HD19" i="18"/>
  <c r="BA17" i="18"/>
  <c r="AP26" i="18"/>
  <c r="BA8" i="18"/>
  <c r="HF19" i="16"/>
  <c r="GV20" i="16"/>
  <c r="HQ20" i="16"/>
  <c r="HJ25" i="16"/>
  <c r="AU8" i="16"/>
  <c r="HC24" i="18"/>
  <c r="HF26" i="18"/>
  <c r="AF26" i="18"/>
  <c r="AH8" i="18"/>
  <c r="HL20" i="18"/>
  <c r="AS20" i="16"/>
  <c r="AI15" i="16"/>
  <c r="AG9" i="16"/>
  <c r="HO23" i="18"/>
  <c r="HA17" i="18"/>
  <c r="AR15" i="18"/>
  <c r="HO18" i="18"/>
  <c r="HE18" i="16"/>
  <c r="GV13" i="16"/>
  <c r="AK24" i="16"/>
  <c r="AK13" i="16"/>
  <c r="GQ23" i="18"/>
  <c r="HD18" i="18"/>
  <c r="AP10" i="18"/>
  <c r="AD13" i="18"/>
  <c r="AP18" i="16"/>
  <c r="GZ16" i="16"/>
  <c r="HI9" i="16"/>
  <c r="HF24" i="16"/>
  <c r="HK9" i="16"/>
  <c r="GU21" i="18"/>
  <c r="HF21" i="18"/>
  <c r="HC23" i="18"/>
  <c r="GQ21" i="18"/>
  <c r="AN21" i="18"/>
  <c r="AQ14" i="18"/>
  <c r="AH19" i="18"/>
  <c r="GU19" i="18"/>
  <c r="AY18" i="18"/>
  <c r="AM9" i="18"/>
  <c r="GZ15" i="18"/>
  <c r="AM8" i="18"/>
  <c r="BA13" i="18"/>
  <c r="AR17" i="18"/>
  <c r="HD9" i="18"/>
  <c r="HO9" i="18"/>
  <c r="AM18" i="18"/>
  <c r="HC8" i="18"/>
  <c r="HE9" i="18"/>
  <c r="HC7" i="18"/>
  <c r="AO14" i="18"/>
  <c r="AR26" i="16"/>
  <c r="BD18" i="16"/>
  <c r="AG23" i="16"/>
  <c r="HG24" i="16"/>
  <c r="HK26" i="16"/>
  <c r="AT20" i="16"/>
  <c r="HQ16" i="16"/>
  <c r="BD9" i="16"/>
  <c r="BD16" i="16"/>
  <c r="HJ17" i="16"/>
  <c r="HK11" i="16"/>
  <c r="AT19" i="16"/>
  <c r="HH12" i="16"/>
  <c r="GV19" i="16"/>
  <c r="BB9" i="16"/>
  <c r="HK14" i="16"/>
  <c r="AP23" i="16"/>
  <c r="HS11" i="16"/>
  <c r="HJ20" i="16"/>
  <c r="HQ7" i="16"/>
  <c r="HQ12" i="16"/>
  <c r="BB13" i="16"/>
  <c r="HS12" i="16"/>
  <c r="HF15" i="16"/>
  <c r="HG7" i="16"/>
  <c r="HE10" i="16"/>
  <c r="AP8" i="16"/>
  <c r="AH21" i="18"/>
  <c r="AF21" i="18"/>
  <c r="AD22" i="18"/>
  <c r="AQ21" i="18"/>
  <c r="BA20" i="18"/>
  <c r="AS12" i="18"/>
  <c r="HE18" i="18"/>
  <c r="HB18" i="18"/>
  <c r="AQ16" i="18"/>
  <c r="HL8" i="18"/>
  <c r="HL14" i="18"/>
  <c r="GU25" i="18"/>
  <c r="AN13" i="18"/>
  <c r="AY16" i="18"/>
  <c r="AR8" i="18"/>
  <c r="AN9" i="18"/>
  <c r="HB15" i="18"/>
  <c r="AN10" i="18"/>
  <c r="AF8" i="18"/>
  <c r="GU7" i="18"/>
  <c r="AD26" i="18"/>
  <c r="HH25" i="16"/>
  <c r="HH17" i="16"/>
  <c r="AI21" i="16"/>
  <c r="BD24" i="16"/>
  <c r="AI26" i="16"/>
  <c r="AV18" i="16"/>
  <c r="HE16" i="16"/>
  <c r="HH8" i="16"/>
  <c r="GV14" i="16"/>
  <c r="BB16" i="16"/>
  <c r="AI11" i="16"/>
  <c r="AV17" i="16"/>
  <c r="HI11" i="16"/>
  <c r="HS16" i="16"/>
  <c r="AI24" i="16"/>
  <c r="BB22" i="16"/>
  <c r="HG10" i="16"/>
  <c r="AS19" i="16"/>
  <c r="GV12" i="16"/>
  <c r="HI7" i="16"/>
  <c r="BB12" i="16"/>
  <c r="AQ13" i="16"/>
  <c r="AV7" i="16"/>
  <c r="AV9" i="16"/>
  <c r="HF9" i="16"/>
  <c r="HH7" i="16"/>
  <c r="HI18" i="16"/>
  <c r="AU11" i="16"/>
  <c r="T9" i="18"/>
  <c r="T11" i="18"/>
  <c r="T10" i="18"/>
  <c r="T8" i="18"/>
  <c r="T7" i="18"/>
  <c r="ED18" i="18"/>
  <c r="ED9" i="18"/>
  <c r="GL9" i="18"/>
  <c r="GL18" i="18"/>
  <c r="GL23" i="18"/>
  <c r="ED11" i="18"/>
  <c r="ED25" i="18"/>
  <c r="GL10" i="18"/>
  <c r="ED24" i="18"/>
  <c r="GL13" i="18"/>
  <c r="ED16" i="18"/>
  <c r="ED10" i="18"/>
  <c r="GL21" i="18"/>
  <c r="GL14" i="18"/>
  <c r="ED26" i="18"/>
  <c r="GL26" i="18"/>
  <c r="ED17" i="18"/>
  <c r="ED12" i="18"/>
  <c r="GL17" i="18"/>
  <c r="GL22" i="18"/>
  <c r="ED21" i="18"/>
  <c r="GL19" i="18"/>
  <c r="ED8" i="18"/>
  <c r="GL15" i="18"/>
  <c r="GL7" i="18"/>
  <c r="GL24" i="18"/>
  <c r="BL7" i="18"/>
  <c r="ED7" i="18"/>
  <c r="GL16" i="18"/>
  <c r="ED22" i="18"/>
  <c r="ED15" i="18"/>
  <c r="GL11" i="18"/>
  <c r="ED13" i="18"/>
  <c r="ED20" i="18"/>
  <c r="ED23" i="18"/>
  <c r="GL20" i="18"/>
  <c r="GL8" i="18"/>
  <c r="ED14" i="18"/>
  <c r="GL12" i="18"/>
  <c r="ED19" i="18"/>
  <c r="GL25" i="18"/>
  <c r="CP7" i="18"/>
  <c r="BJ7" i="18"/>
  <c r="BI7" i="18"/>
  <c r="EU15" i="18"/>
  <c r="EN14" i="18"/>
  <c r="EN8" i="18"/>
  <c r="EU18" i="18"/>
  <c r="EV7" i="18"/>
  <c r="EV8" i="18"/>
  <c r="EK9" i="18"/>
  <c r="FT9" i="18"/>
  <c r="EV23" i="18"/>
  <c r="EL21" i="18"/>
  <c r="EM21" i="18"/>
  <c r="EK18" i="18"/>
  <c r="FT18" i="18"/>
  <c r="EJ17" i="18"/>
  <c r="FS17" i="18"/>
  <c r="EN20" i="18"/>
  <c r="EL26" i="18"/>
  <c r="EM26" i="18"/>
  <c r="EV24" i="18"/>
  <c r="EK19" i="18"/>
  <c r="FT19" i="18"/>
  <c r="EU21" i="18"/>
  <c r="FT23" i="18"/>
  <c r="EK23" i="18"/>
  <c r="EK15" i="18"/>
  <c r="FT15" i="18"/>
  <c r="EK11" i="18"/>
  <c r="FT11" i="18"/>
  <c r="EN25" i="18"/>
  <c r="EU9" i="18"/>
  <c r="EJ24" i="18"/>
  <c r="FS24" i="18"/>
  <c r="EN23" i="18"/>
  <c r="EV12" i="18"/>
  <c r="EJ23" i="18"/>
  <c r="FS23" i="18"/>
  <c r="EK12" i="18"/>
  <c r="FT12" i="18"/>
  <c r="EN10" i="18"/>
  <c r="EL11" i="18"/>
  <c r="EM11" i="18"/>
  <c r="EK13" i="18"/>
  <c r="FT13" i="18"/>
  <c r="EU12" i="18"/>
  <c r="EN22" i="18"/>
  <c r="EJ18" i="18"/>
  <c r="FS18" i="18"/>
  <c r="EU13" i="18"/>
  <c r="EV16" i="18"/>
  <c r="EU24" i="18"/>
  <c r="EU14" i="18"/>
  <c r="EV18" i="18"/>
  <c r="EL24" i="18"/>
  <c r="EM24" i="18"/>
  <c r="EJ10" i="18"/>
  <c r="FS10" i="18"/>
  <c r="EU7" i="18"/>
  <c r="EL23" i="18"/>
  <c r="EM23" i="18"/>
  <c r="EN26" i="18"/>
  <c r="EJ22" i="18"/>
  <c r="FS22" i="18"/>
  <c r="EL8" i="18"/>
  <c r="EM8" i="18"/>
  <c r="EU16" i="18"/>
  <c r="EN9" i="18"/>
  <c r="EL7" i="18"/>
  <c r="EM7" i="18"/>
  <c r="EV10" i="18"/>
  <c r="EU22" i="18"/>
  <c r="EJ15" i="18"/>
  <c r="FS15" i="18"/>
  <c r="EK25" i="18"/>
  <c r="FT25" i="18"/>
  <c r="EK14" i="18"/>
  <c r="FT14" i="18"/>
  <c r="EL17" i="18"/>
  <c r="EM17" i="18"/>
  <c r="EK21" i="18"/>
  <c r="FT21" i="18"/>
  <c r="EJ26" i="18"/>
  <c r="FS26" i="18"/>
  <c r="EK24" i="18"/>
  <c r="FT24" i="18"/>
  <c r="EU8" i="18"/>
  <c r="EK10" i="18"/>
  <c r="FT10" i="18"/>
  <c r="EU19" i="18"/>
  <c r="EK17" i="18"/>
  <c r="FT17" i="18"/>
  <c r="EN17" i="18"/>
  <c r="EV11" i="18"/>
  <c r="EN13" i="18"/>
  <c r="EL16" i="18"/>
  <c r="EM16" i="18"/>
  <c r="EL12" i="18"/>
  <c r="EM12" i="18"/>
  <c r="EV15" i="18"/>
  <c r="EV21" i="18"/>
  <c r="EJ16" i="18"/>
  <c r="FS16" i="18"/>
  <c r="EL19" i="18"/>
  <c r="EM19" i="18"/>
  <c r="EV22" i="18"/>
  <c r="EN24" i="18"/>
  <c r="EN18" i="18"/>
  <c r="EJ19" i="18"/>
  <c r="FS19" i="18"/>
  <c r="EL22" i="18"/>
  <c r="EM22" i="18"/>
  <c r="EV25" i="18"/>
  <c r="EJ9" i="18"/>
  <c r="FS9" i="18"/>
  <c r="EU11" i="18"/>
  <c r="EV13" i="18"/>
  <c r="EN12" i="18"/>
  <c r="EV9" i="18"/>
  <c r="FS11" i="18"/>
  <c r="EJ11" i="18"/>
  <c r="EL14" i="18"/>
  <c r="EM14" i="18"/>
  <c r="EV20" i="18"/>
  <c r="EU20" i="18"/>
  <c r="EV19" i="18"/>
  <c r="EL25" i="18"/>
  <c r="EM25" i="18"/>
  <c r="EL18" i="18"/>
  <c r="EM18" i="18"/>
  <c r="EN16" i="18"/>
  <c r="EN19" i="18"/>
  <c r="EU10" i="18"/>
  <c r="EJ13" i="18"/>
  <c r="FS13" i="18"/>
  <c r="EN21" i="18"/>
  <c r="EJ12" i="18"/>
  <c r="FS12" i="18"/>
  <c r="EN15" i="18"/>
  <c r="FS7" i="18"/>
  <c r="EJ7" i="18"/>
  <c r="EL10" i="18"/>
  <c r="EM10" i="18"/>
  <c r="EK16" i="18"/>
  <c r="FT16" i="18"/>
  <c r="EV17" i="18"/>
  <c r="EK20" i="18"/>
  <c r="FT20" i="18"/>
  <c r="EL20" i="18"/>
  <c r="EM20" i="18"/>
  <c r="EK22" i="18"/>
  <c r="FT22" i="18"/>
  <c r="EU25" i="18"/>
  <c r="EL13" i="18"/>
  <c r="EM13" i="18"/>
  <c r="EK8" i="18"/>
  <c r="FT8" i="18"/>
  <c r="EK7" i="18"/>
  <c r="FT7" i="18"/>
  <c r="EV14" i="18"/>
  <c r="EN11" i="18"/>
  <c r="EL15" i="18"/>
  <c r="EM15" i="18"/>
  <c r="EL9" i="18"/>
  <c r="EM9" i="18"/>
  <c r="EJ20" i="18"/>
  <c r="FS20" i="18"/>
  <c r="EN7" i="18"/>
  <c r="EJ8" i="18"/>
  <c r="FS8" i="18"/>
  <c r="EJ14" i="18"/>
  <c r="FS14" i="18"/>
  <c r="EV26" i="18"/>
  <c r="EU17" i="18"/>
  <c r="EJ21" i="18"/>
  <c r="FS21" i="18"/>
  <c r="EK26" i="18"/>
  <c r="FT26" i="18"/>
  <c r="EU23" i="18"/>
  <c r="EJ25" i="18"/>
  <c r="FS25" i="18"/>
  <c r="EU26" i="18"/>
  <c r="FW12" i="18"/>
  <c r="GC12" i="18"/>
  <c r="GA12" i="18"/>
  <c r="FW20" i="18"/>
  <c r="GC20" i="18"/>
  <c r="GA20" i="18"/>
  <c r="FW21" i="18"/>
  <c r="GC21" i="18"/>
  <c r="GA21" i="18"/>
  <c r="GA7" i="18"/>
  <c r="FW7" i="18"/>
  <c r="GC7" i="18"/>
  <c r="GA15" i="18"/>
  <c r="FW15" i="18"/>
  <c r="GC15" i="18"/>
  <c r="FJ13" i="18"/>
  <c r="FW13" i="18"/>
  <c r="GC13" i="18"/>
  <c r="GA13" i="18"/>
  <c r="EA14" i="18"/>
  <c r="GA14" i="18"/>
  <c r="FW14" i="18"/>
  <c r="GC14" i="18"/>
  <c r="EB22" i="18"/>
  <c r="GA22" i="18"/>
  <c r="GC22" i="18"/>
  <c r="FW22" i="18"/>
  <c r="GA8" i="18"/>
  <c r="FW8" i="18"/>
  <c r="GC8" i="18"/>
  <c r="HJ16" i="18"/>
  <c r="ET16" i="18"/>
  <c r="GA16" i="18"/>
  <c r="FW16" i="18"/>
  <c r="GC16" i="18"/>
  <c r="HJ23" i="18"/>
  <c r="ET23" i="18"/>
  <c r="GA23" i="18"/>
  <c r="GC23" i="18"/>
  <c r="FW23" i="18"/>
  <c r="GA9" i="18"/>
  <c r="FW9" i="18"/>
  <c r="GC9" i="18"/>
  <c r="EB17" i="18"/>
  <c r="GA17" i="18"/>
  <c r="FW17" i="18"/>
  <c r="GC17" i="18"/>
  <c r="GA24" i="18"/>
  <c r="FW24" i="18"/>
  <c r="GC24" i="18"/>
  <c r="HH10" i="18"/>
  <c r="ER10" i="18"/>
  <c r="FW10" i="18"/>
  <c r="GC10" i="18"/>
  <c r="GA10" i="18"/>
  <c r="FW18" i="18"/>
  <c r="GC18" i="18"/>
  <c r="GA18" i="18"/>
  <c r="EB25" i="18"/>
  <c r="GA25" i="18"/>
  <c r="GC25" i="18"/>
  <c r="FW25" i="18"/>
  <c r="FW11" i="18"/>
  <c r="GC11" i="18"/>
  <c r="GA11" i="18"/>
  <c r="EB19" i="18"/>
  <c r="FW19" i="18"/>
  <c r="GC19" i="18"/>
  <c r="GA19" i="18"/>
  <c r="EA26" i="18"/>
  <c r="FW26" i="18"/>
  <c r="GC26" i="18"/>
  <c r="GA26" i="18"/>
  <c r="FK20" i="18"/>
  <c r="BI8" i="18"/>
  <c r="CP8" i="18"/>
  <c r="AW8" i="18"/>
  <c r="CB8" i="18"/>
  <c r="C18" i="22"/>
  <c r="C19" i="22"/>
  <c r="C16" i="22"/>
  <c r="C17" i="22"/>
  <c r="C31" i="21"/>
  <c r="C29" i="21"/>
  <c r="C32" i="21"/>
  <c r="AW20" i="18"/>
  <c r="CB20" i="18"/>
  <c r="CQ22" i="18"/>
  <c r="BI20" i="18"/>
  <c r="FI14" i="18"/>
  <c r="AW16" i="18"/>
  <c r="CB16" i="18"/>
  <c r="DJ14" i="18"/>
  <c r="BJ20" i="18"/>
  <c r="GF22" i="16"/>
  <c r="DL22" i="16"/>
  <c r="GD12" i="16"/>
  <c r="DJ12" i="16"/>
  <c r="DD12" i="18"/>
  <c r="FJ20" i="18"/>
  <c r="HJ10" i="18"/>
  <c r="ET10" i="18"/>
  <c r="GD13" i="16"/>
  <c r="DJ13" i="16"/>
  <c r="EB10" i="18"/>
  <c r="GF12" i="16"/>
  <c r="DL12" i="16"/>
  <c r="GH22" i="16"/>
  <c r="DN22" i="16"/>
  <c r="GF21" i="16"/>
  <c r="DL21" i="16"/>
  <c r="EG14" i="16"/>
  <c r="GB13" i="16"/>
  <c r="DH13" i="16"/>
  <c r="AW24" i="18"/>
  <c r="CB24" i="18"/>
  <c r="DF24" i="18"/>
  <c r="BI18" i="18"/>
  <c r="DF18" i="18"/>
  <c r="FK13" i="18"/>
  <c r="BI13" i="18"/>
  <c r="DJ13" i="18"/>
  <c r="DD13" i="18"/>
  <c r="CR18" i="18"/>
  <c r="AW13" i="18"/>
  <c r="CB13" i="18"/>
  <c r="FY21" i="18"/>
  <c r="EA22" i="18"/>
  <c r="FJ22" i="18"/>
  <c r="HJ15" i="18"/>
  <c r="ET15" i="18"/>
  <c r="FI10" i="18"/>
  <c r="BI17" i="18"/>
  <c r="FK9" i="18"/>
  <c r="AW10" i="18"/>
  <c r="CB10" i="18"/>
  <c r="CR17" i="18"/>
  <c r="DD20" i="18"/>
  <c r="BJ10" i="18"/>
  <c r="FI20" i="18"/>
  <c r="BJ17" i="18"/>
  <c r="CQ10" i="18"/>
  <c r="AU20" i="18"/>
  <c r="BZ20" i="18"/>
  <c r="EF13" i="16"/>
  <c r="HM13" i="16"/>
  <c r="EW13" i="16"/>
  <c r="EF21" i="16"/>
  <c r="EF22" i="16"/>
  <c r="HM23" i="16"/>
  <c r="EW23" i="16"/>
  <c r="EG12" i="16"/>
  <c r="HO12" i="16"/>
  <c r="EY12" i="16"/>
  <c r="EG22" i="16"/>
  <c r="HM22" i="16"/>
  <c r="EW22" i="16"/>
  <c r="GH21" i="16"/>
  <c r="DN21" i="16"/>
  <c r="HM14" i="16"/>
  <c r="EW14" i="16"/>
  <c r="HM18" i="16"/>
  <c r="EW18" i="16"/>
  <c r="GF14" i="16"/>
  <c r="DL14" i="16"/>
  <c r="HO21" i="16"/>
  <c r="EY21" i="16"/>
  <c r="HO14" i="16"/>
  <c r="EY14" i="16"/>
  <c r="EF18" i="16"/>
  <c r="GD14" i="16"/>
  <c r="DJ14" i="16"/>
  <c r="GH14" i="16"/>
  <c r="DN14" i="16"/>
  <c r="GD23" i="16"/>
  <c r="DJ23" i="16"/>
  <c r="GB14" i="16"/>
  <c r="DH14" i="16"/>
  <c r="EG21" i="16"/>
  <c r="HO7" i="16"/>
  <c r="EY7" i="16"/>
  <c r="EF7" i="16"/>
  <c r="GD21" i="16"/>
  <c r="DJ21" i="16"/>
  <c r="GF23" i="16"/>
  <c r="DL23" i="16"/>
  <c r="GD25" i="16"/>
  <c r="DJ25" i="16"/>
  <c r="FX7" i="16"/>
  <c r="HM7" i="16"/>
  <c r="EW7" i="16"/>
  <c r="EG10" i="16"/>
  <c r="AZ10" i="16"/>
  <c r="CE10" i="16"/>
  <c r="BL10" i="16"/>
  <c r="GF15" i="16"/>
  <c r="DL15" i="16"/>
  <c r="EB8" i="18"/>
  <c r="HJ18" i="18"/>
  <c r="ET18" i="18"/>
  <c r="FY18" i="18"/>
  <c r="EF9" i="16"/>
  <c r="HO13" i="16"/>
  <c r="EY13" i="16"/>
  <c r="GB23" i="16"/>
  <c r="DH23" i="16"/>
  <c r="HO23" i="16"/>
  <c r="EY23" i="16"/>
  <c r="BJ8" i="18"/>
  <c r="HH8" i="18"/>
  <c r="ER8" i="18"/>
  <c r="CP10" i="18"/>
  <c r="FJ10" i="18"/>
  <c r="AU13" i="18"/>
  <c r="BZ13" i="18"/>
  <c r="DF13" i="18"/>
  <c r="DH13" i="18"/>
  <c r="HH21" i="18"/>
  <c r="ER21" i="18"/>
  <c r="HJ21" i="18"/>
  <c r="ET21" i="18"/>
  <c r="FJ21" i="18"/>
  <c r="FI24" i="18"/>
  <c r="CP24" i="18"/>
  <c r="AU24" i="18"/>
  <c r="BZ24" i="18"/>
  <c r="GH12" i="16"/>
  <c r="DN12" i="16"/>
  <c r="BL21" i="16"/>
  <c r="HO22" i="16"/>
  <c r="EY22" i="16"/>
  <c r="FY8" i="18"/>
  <c r="FY10" i="18"/>
  <c r="BJ13" i="18"/>
  <c r="FJ17" i="18"/>
  <c r="HH23" i="18"/>
  <c r="ER23" i="18"/>
  <c r="FJ23" i="18"/>
  <c r="EB23" i="18"/>
  <c r="HJ8" i="18"/>
  <c r="ET8" i="18"/>
  <c r="BJ14" i="18"/>
  <c r="CR14" i="18"/>
  <c r="BI14" i="18"/>
  <c r="GB7" i="16"/>
  <c r="DH7" i="16"/>
  <c r="GF9" i="16"/>
  <c r="DL9" i="16"/>
  <c r="BM10" i="16"/>
  <c r="AX11" i="16"/>
  <c r="CC11" i="16"/>
  <c r="BL12" i="16"/>
  <c r="GB22" i="16"/>
  <c r="DH22" i="16"/>
  <c r="EF23" i="16"/>
  <c r="GH23" i="16"/>
  <c r="DN23" i="16"/>
  <c r="GF7" i="16"/>
  <c r="DL7" i="16"/>
  <c r="BL11" i="16"/>
  <c r="BM12" i="16"/>
  <c r="EF12" i="16"/>
  <c r="GH20" i="16"/>
  <c r="DN20" i="16"/>
  <c r="BM21" i="16"/>
  <c r="DF8" i="18"/>
  <c r="DH10" i="18"/>
  <c r="CP13" i="18"/>
  <c r="CQ14" i="18"/>
  <c r="DH15" i="18"/>
  <c r="FY20" i="18"/>
  <c r="BI22" i="18"/>
  <c r="CR22" i="18"/>
  <c r="DD24" i="18"/>
  <c r="EA8" i="18"/>
  <c r="AZ12" i="16"/>
  <c r="CE12" i="16"/>
  <c r="GH7" i="16"/>
  <c r="DN7" i="16"/>
  <c r="DJ8" i="18"/>
  <c r="DJ10" i="18"/>
  <c r="EB14" i="18"/>
  <c r="DD16" i="18"/>
  <c r="FI16" i="18"/>
  <c r="BI16" i="18"/>
  <c r="AU25" i="18"/>
  <c r="BZ25" i="18"/>
  <c r="DD25" i="18"/>
  <c r="FK17" i="18"/>
  <c r="DF20" i="18"/>
  <c r="AX7" i="16"/>
  <c r="AX26" i="16"/>
  <c r="CC26" i="16"/>
  <c r="FI11" i="18"/>
  <c r="AU19" i="18"/>
  <c r="BZ19" i="18"/>
  <c r="DF21" i="18"/>
  <c r="BL8" i="16"/>
  <c r="EG19" i="16"/>
  <c r="BJ15" i="18"/>
  <c r="HH16" i="18"/>
  <c r="ER16" i="18"/>
  <c r="EG9" i="16"/>
  <c r="FJ14" i="18"/>
  <c r="CQ15" i="18"/>
  <c r="HH17" i="18"/>
  <c r="ER17" i="18"/>
  <c r="CR19" i="18"/>
  <c r="EG7" i="16"/>
  <c r="AX14" i="16"/>
  <c r="CC14" i="16"/>
  <c r="AX17" i="16"/>
  <c r="CC17" i="16"/>
  <c r="BL18" i="16"/>
  <c r="BM19" i="16"/>
  <c r="AZ22" i="16"/>
  <c r="CE22" i="16"/>
  <c r="AZ23" i="16"/>
  <c r="CE23" i="16"/>
  <c r="HH7" i="18"/>
  <c r="ER7" i="18"/>
  <c r="CR8" i="18"/>
  <c r="CR10" i="18"/>
  <c r="CQ11" i="18"/>
  <c r="BI12" i="18"/>
  <c r="DJ12" i="18"/>
  <c r="CQ13" i="18"/>
  <c r="EA13" i="18"/>
  <c r="FY13" i="18"/>
  <c r="FK14" i="18"/>
  <c r="CR15" i="18"/>
  <c r="FK16" i="18"/>
  <c r="EA18" i="18"/>
  <c r="HH19" i="18"/>
  <c r="ER19" i="18"/>
  <c r="DH20" i="18"/>
  <c r="CP21" i="18"/>
  <c r="EA21" i="18"/>
  <c r="AU22" i="18"/>
  <c r="BZ22" i="18"/>
  <c r="DD22" i="18"/>
  <c r="BI23" i="18"/>
  <c r="EA23" i="18"/>
  <c r="FI15" i="18"/>
  <c r="DD23" i="18"/>
  <c r="BL26" i="16"/>
  <c r="AU7" i="18"/>
  <c r="BZ7" i="18"/>
  <c r="HH13" i="18"/>
  <c r="ER13" i="18"/>
  <c r="EB16" i="18"/>
  <c r="AU23" i="18"/>
  <c r="BZ23" i="18"/>
  <c r="AX18" i="16"/>
  <c r="CC18" i="16"/>
  <c r="BL19" i="16"/>
  <c r="BM26" i="16"/>
  <c r="CR9" i="18"/>
  <c r="BI11" i="18"/>
  <c r="AW12" i="18"/>
  <c r="CB12" i="18"/>
  <c r="DF12" i="18"/>
  <c r="HJ13" i="18"/>
  <c r="ET13" i="18"/>
  <c r="BI21" i="18"/>
  <c r="FK22" i="18"/>
  <c r="AW23" i="18"/>
  <c r="CB23" i="18"/>
  <c r="DH23" i="18"/>
  <c r="HH24" i="18"/>
  <c r="ER24" i="18"/>
  <c r="AZ14" i="16"/>
  <c r="CE14" i="16"/>
  <c r="HM15" i="16"/>
  <c r="EW15" i="16"/>
  <c r="BL22" i="16"/>
  <c r="BL23" i="16"/>
  <c r="FI8" i="18"/>
  <c r="FK10" i="18"/>
  <c r="CR11" i="18"/>
  <c r="BJ12" i="18"/>
  <c r="FI12" i="18"/>
  <c r="CR13" i="18"/>
  <c r="EB13" i="18"/>
  <c r="HH14" i="18"/>
  <c r="ER14" i="18"/>
  <c r="DD17" i="18"/>
  <c r="EB18" i="18"/>
  <c r="CP20" i="18"/>
  <c r="DJ20" i="18"/>
  <c r="HH20" i="18"/>
  <c r="ER20" i="18"/>
  <c r="CQ21" i="18"/>
  <c r="FI21" i="18"/>
  <c r="AW22" i="18"/>
  <c r="CB22" i="18"/>
  <c r="DF22" i="18"/>
  <c r="HH22" i="18"/>
  <c r="ER22" i="18"/>
  <c r="CP23" i="18"/>
  <c r="EF19" i="16"/>
  <c r="AU11" i="18"/>
  <c r="BZ11" i="18"/>
  <c r="BL7" i="16"/>
  <c r="AW11" i="18"/>
  <c r="CB11" i="18"/>
  <c r="BJ19" i="18"/>
  <c r="DH21" i="18"/>
  <c r="DF23" i="18"/>
  <c r="HO10" i="16"/>
  <c r="EY10" i="16"/>
  <c r="AX22" i="16"/>
  <c r="CC22" i="16"/>
  <c r="AX23" i="16"/>
  <c r="CC23" i="16"/>
  <c r="DJ21" i="18"/>
  <c r="GD10" i="16"/>
  <c r="DJ10" i="16"/>
  <c r="BL14" i="16"/>
  <c r="GH19" i="16"/>
  <c r="DN19" i="16"/>
  <c r="BM22" i="16"/>
  <c r="BM23" i="16"/>
  <c r="FK8" i="18"/>
  <c r="DH9" i="18"/>
  <c r="CP12" i="18"/>
  <c r="FK12" i="18"/>
  <c r="FI13" i="18"/>
  <c r="DD14" i="18"/>
  <c r="HJ14" i="18"/>
  <c r="ET14" i="18"/>
  <c r="DH17" i="18"/>
  <c r="CQ20" i="18"/>
  <c r="EA20" i="18"/>
  <c r="HJ20" i="18"/>
  <c r="ET20" i="18"/>
  <c r="CR21" i="18"/>
  <c r="BJ22" i="18"/>
  <c r="DH22" i="18"/>
  <c r="HJ22" i="18"/>
  <c r="ET22" i="18"/>
  <c r="CQ23" i="18"/>
  <c r="FI23" i="18"/>
  <c r="DJ11" i="18"/>
  <c r="AW21" i="18"/>
  <c r="CB21" i="18"/>
  <c r="BM7" i="16"/>
  <c r="EF10" i="16"/>
  <c r="GH10" i="16"/>
  <c r="DN10" i="16"/>
  <c r="BM14" i="16"/>
  <c r="AZ21" i="16"/>
  <c r="CE21" i="16"/>
  <c r="AU8" i="18"/>
  <c r="BZ8" i="18"/>
  <c r="DD8" i="18"/>
  <c r="DJ9" i="18"/>
  <c r="DF10" i="18"/>
  <c r="CR12" i="18"/>
  <c r="AU14" i="18"/>
  <c r="BZ14" i="18"/>
  <c r="DF14" i="18"/>
  <c r="EA17" i="18"/>
  <c r="EB20" i="18"/>
  <c r="FK21" i="18"/>
  <c r="CP22" i="18"/>
  <c r="DJ22" i="18"/>
  <c r="FY22" i="18"/>
  <c r="FY24" i="18"/>
  <c r="CD17" i="18"/>
  <c r="DA25" i="18"/>
  <c r="BS25" i="18"/>
  <c r="BU15" i="18"/>
  <c r="BT15" i="18"/>
  <c r="CJ18" i="18"/>
  <c r="BU24" i="18"/>
  <c r="BT24" i="18"/>
  <c r="BU25" i="18"/>
  <c r="BT25" i="18"/>
  <c r="BL9" i="18"/>
  <c r="CC14" i="18"/>
  <c r="BV15" i="18"/>
  <c r="BV9" i="18"/>
  <c r="BS10" i="18"/>
  <c r="DA10" i="18"/>
  <c r="CD14" i="18"/>
  <c r="BR22" i="18"/>
  <c r="CZ22" i="18"/>
  <c r="BS18" i="18"/>
  <c r="DA18" i="18"/>
  <c r="CD9" i="18"/>
  <c r="BV12" i="18"/>
  <c r="CC10" i="18"/>
  <c r="BV11" i="18"/>
  <c r="CJ12" i="18"/>
  <c r="CJ9" i="18"/>
  <c r="BL14" i="18"/>
  <c r="BV10" i="18"/>
  <c r="DA13" i="18"/>
  <c r="BS13" i="18"/>
  <c r="DA19" i="18"/>
  <c r="BS19" i="18"/>
  <c r="BS20" i="18"/>
  <c r="DA20" i="18"/>
  <c r="BS8" i="18"/>
  <c r="DA8" i="18"/>
  <c r="CC9" i="18"/>
  <c r="BU8" i="18"/>
  <c r="BT8" i="18"/>
  <c r="BR10" i="18"/>
  <c r="CZ10" i="18"/>
  <c r="BV13" i="18"/>
  <c r="BS17" i="18"/>
  <c r="DA17" i="18"/>
  <c r="CJ8" i="18"/>
  <c r="CD20" i="18"/>
  <c r="CC22" i="18"/>
  <c r="CD7" i="18"/>
  <c r="BR12" i="18"/>
  <c r="CZ12" i="18"/>
  <c r="BU13" i="18"/>
  <c r="BT13" i="18"/>
  <c r="CJ21" i="18"/>
  <c r="BL15" i="18"/>
  <c r="CC8" i="18"/>
  <c r="CJ10" i="18"/>
  <c r="BR11" i="18"/>
  <c r="CZ11" i="18"/>
  <c r="BS7" i="18"/>
  <c r="DA7" i="18"/>
  <c r="CD8" i="18"/>
  <c r="BR9" i="18"/>
  <c r="CZ9" i="18"/>
  <c r="CD11" i="18"/>
  <c r="CD12" i="18"/>
  <c r="BS15" i="18"/>
  <c r="DA15" i="18"/>
  <c r="BL16" i="18"/>
  <c r="BR17" i="18"/>
  <c r="CZ17" i="18"/>
  <c r="CZ18" i="18"/>
  <c r="BR18" i="18"/>
  <c r="BU7" i="18"/>
  <c r="BT7" i="18"/>
  <c r="BL8" i="18"/>
  <c r="BS9" i="18"/>
  <c r="DA9" i="18"/>
  <c r="CD10" i="18"/>
  <c r="CC11" i="18"/>
  <c r="CJ11" i="18"/>
  <c r="CC12" i="18"/>
  <c r="BU14" i="18"/>
  <c r="BT14" i="18"/>
  <c r="BV16" i="18"/>
  <c r="BL17" i="18"/>
  <c r="CC18" i="18"/>
  <c r="CD26" i="18"/>
  <c r="BT9" i="18"/>
  <c r="BU9" i="18"/>
  <c r="BL10" i="18"/>
  <c r="BS11" i="18"/>
  <c r="DA11" i="18"/>
  <c r="BS12" i="18"/>
  <c r="DA12" i="18"/>
  <c r="CZ13" i="18"/>
  <c r="BR13" i="18"/>
  <c r="CJ13" i="18"/>
  <c r="CJ15" i="18"/>
  <c r="BR16" i="18"/>
  <c r="CZ16" i="18"/>
  <c r="BV17" i="18"/>
  <c r="BL18" i="18"/>
  <c r="BV22" i="18"/>
  <c r="BR7" i="18"/>
  <c r="CZ7" i="18"/>
  <c r="BV7" i="18"/>
  <c r="BT10" i="18"/>
  <c r="BU10" i="18"/>
  <c r="BL11" i="18"/>
  <c r="BL12" i="18"/>
  <c r="CC13" i="18"/>
  <c r="BV14" i="18"/>
  <c r="CZ15" i="18"/>
  <c r="BR15" i="18"/>
  <c r="CD16" i="18"/>
  <c r="CJ17" i="18"/>
  <c r="BU18" i="18"/>
  <c r="BT18" i="18"/>
  <c r="CC19" i="18"/>
  <c r="CC21" i="18"/>
  <c r="CC7" i="18"/>
  <c r="CJ7" i="18"/>
  <c r="BR8" i="18"/>
  <c r="CZ8" i="18"/>
  <c r="BV8" i="18"/>
  <c r="BU11" i="18"/>
  <c r="BT11" i="18"/>
  <c r="CD13" i="18"/>
  <c r="CZ14" i="18"/>
  <c r="BR14" i="18"/>
  <c r="CJ14" i="18"/>
  <c r="CC15" i="18"/>
  <c r="BS16" i="18"/>
  <c r="DA16" i="18"/>
  <c r="BV18" i="18"/>
  <c r="CD19" i="18"/>
  <c r="CC20" i="18"/>
  <c r="CD21" i="18"/>
  <c r="BV23" i="18"/>
  <c r="BU16" i="18"/>
  <c r="BT16" i="18"/>
  <c r="CC17" i="18"/>
  <c r="CD18" i="18"/>
  <c r="BL19" i="18"/>
  <c r="BT20" i="18"/>
  <c r="BU20" i="18"/>
  <c r="BV21" i="18"/>
  <c r="BL25" i="18"/>
  <c r="BV19" i="18"/>
  <c r="CJ22" i="18"/>
  <c r="CZ23" i="18"/>
  <c r="BR23" i="18"/>
  <c r="BS26" i="18"/>
  <c r="DA26" i="18"/>
  <c r="CJ19" i="18"/>
  <c r="BV20" i="18"/>
  <c r="BU23" i="18"/>
  <c r="BT23" i="18"/>
  <c r="BL26" i="18"/>
  <c r="BT12" i="18"/>
  <c r="BU12" i="18"/>
  <c r="BL13" i="18"/>
  <c r="DA14" i="18"/>
  <c r="BS14" i="18"/>
  <c r="CD15" i="18"/>
  <c r="CC16" i="18"/>
  <c r="CJ16" i="18"/>
  <c r="BT17" i="18"/>
  <c r="BU17" i="18"/>
  <c r="BR19" i="18"/>
  <c r="CZ19" i="18"/>
  <c r="CZ20" i="18"/>
  <c r="BR20" i="18"/>
  <c r="CJ20" i="18"/>
  <c r="BR21" i="18"/>
  <c r="CZ21" i="18"/>
  <c r="BL24" i="18"/>
  <c r="BU26" i="18"/>
  <c r="BT26" i="18"/>
  <c r="BU19" i="18"/>
  <c r="BT19" i="18"/>
  <c r="BL20" i="18"/>
  <c r="BS21" i="18"/>
  <c r="DA21" i="18"/>
  <c r="CD22" i="18"/>
  <c r="CC23" i="18"/>
  <c r="CJ23" i="18"/>
  <c r="CZ24" i="18"/>
  <c r="BR24" i="18"/>
  <c r="BV24" i="18"/>
  <c r="BL21" i="18"/>
  <c r="DA22" i="18"/>
  <c r="BS22" i="18"/>
  <c r="CD23" i="18"/>
  <c r="CC24" i="18"/>
  <c r="CJ24" i="18"/>
  <c r="CZ25" i="18"/>
  <c r="BR25" i="18"/>
  <c r="BV25" i="18"/>
  <c r="BU21" i="18"/>
  <c r="BT21" i="18"/>
  <c r="BL22" i="18"/>
  <c r="DA23" i="18"/>
  <c r="BS23" i="18"/>
  <c r="CD24" i="18"/>
  <c r="CC25" i="18"/>
  <c r="CJ25" i="18"/>
  <c r="BR26" i="18"/>
  <c r="CZ26" i="18"/>
  <c r="BV26" i="18"/>
  <c r="BT22" i="18"/>
  <c r="BU22" i="18"/>
  <c r="BL23" i="18"/>
  <c r="DA24" i="18"/>
  <c r="BS24" i="18"/>
  <c r="CD25" i="18"/>
  <c r="CC26" i="18"/>
  <c r="CJ26" i="18"/>
  <c r="FJ9" i="18"/>
  <c r="FJ12" i="18"/>
  <c r="HJ12" i="18"/>
  <c r="ET12" i="18"/>
  <c r="HH11" i="18"/>
  <c r="ER11" i="18"/>
  <c r="FJ11" i="18"/>
  <c r="FY11" i="18"/>
  <c r="EA12" i="18"/>
  <c r="CQ9" i="18"/>
  <c r="EB12" i="18"/>
  <c r="EA15" i="18"/>
  <c r="HH15" i="18"/>
  <c r="ER15" i="18"/>
  <c r="FY15" i="18"/>
  <c r="FY12" i="18"/>
  <c r="HH12" i="18"/>
  <c r="ER12" i="18"/>
  <c r="FJ15" i="18"/>
  <c r="DJ16" i="18"/>
  <c r="CR16" i="18"/>
  <c r="CQ16" i="18"/>
  <c r="DH16" i="18"/>
  <c r="CP16" i="18"/>
  <c r="DF16" i="18"/>
  <c r="BJ16" i="18"/>
  <c r="DH18" i="18"/>
  <c r="CQ18" i="18"/>
  <c r="DD18" i="18"/>
  <c r="AU18" i="18"/>
  <c r="BZ18" i="18"/>
  <c r="FK18" i="18"/>
  <c r="AW18" i="18"/>
  <c r="CB18" i="18"/>
  <c r="FI18" i="18"/>
  <c r="DJ18" i="18"/>
  <c r="BJ18" i="18"/>
  <c r="CP18" i="18"/>
  <c r="HJ9" i="18"/>
  <c r="ET9" i="18"/>
  <c r="FY9" i="18"/>
  <c r="HH9" i="18"/>
  <c r="ER9" i="18"/>
  <c r="EB9" i="18"/>
  <c r="EA9" i="18"/>
  <c r="EA11" i="18"/>
  <c r="FJ16" i="18"/>
  <c r="EA16" i="18"/>
  <c r="FY16" i="18"/>
  <c r="FK7" i="18"/>
  <c r="DJ7" i="18"/>
  <c r="CR7" i="18"/>
  <c r="DH7" i="18"/>
  <c r="CQ7" i="18"/>
  <c r="FI7" i="18"/>
  <c r="DF7" i="18"/>
  <c r="AW7" i="18"/>
  <c r="CB7" i="18"/>
  <c r="DD7" i="18"/>
  <c r="FJ7" i="18"/>
  <c r="HJ7" i="18"/>
  <c r="ET7" i="18"/>
  <c r="FY7" i="18"/>
  <c r="FI9" i="18"/>
  <c r="DF9" i="18"/>
  <c r="CP9" i="18"/>
  <c r="AW9" i="18"/>
  <c r="CB9" i="18"/>
  <c r="DD9" i="18"/>
  <c r="AU9" i="18"/>
  <c r="BZ9" i="18"/>
  <c r="BJ9" i="18"/>
  <c r="EA7" i="18"/>
  <c r="EB11" i="18"/>
  <c r="HJ11" i="18"/>
  <c r="ET11" i="18"/>
  <c r="EB15" i="18"/>
  <c r="FK26" i="18"/>
  <c r="DJ26" i="18"/>
  <c r="CR26" i="18"/>
  <c r="DH26" i="18"/>
  <c r="CQ26" i="18"/>
  <c r="FI26" i="18"/>
  <c r="DF26" i="18"/>
  <c r="CP26" i="18"/>
  <c r="AW26" i="18"/>
  <c r="CB26" i="18"/>
  <c r="DD26" i="18"/>
  <c r="AU26" i="18"/>
  <c r="BZ26" i="18"/>
  <c r="BI10" i="18"/>
  <c r="EA10" i="18"/>
  <c r="CP14" i="18"/>
  <c r="DH14" i="18"/>
  <c r="BI15" i="18"/>
  <c r="DD15" i="18"/>
  <c r="AU15" i="18"/>
  <c r="BZ15" i="18"/>
  <c r="AW15" i="18"/>
  <c r="CB15" i="18"/>
  <c r="FK15" i="18"/>
  <c r="FJ18" i="18"/>
  <c r="HH18" i="18"/>
  <c r="ER18" i="18"/>
  <c r="EA25" i="18"/>
  <c r="FJ25" i="18"/>
  <c r="HJ25" i="18"/>
  <c r="ET25" i="18"/>
  <c r="FY25" i="18"/>
  <c r="HH25" i="18"/>
  <c r="ER25" i="18"/>
  <c r="BJ11" i="18"/>
  <c r="BJ26" i="18"/>
  <c r="FJ26" i="18"/>
  <c r="HJ26" i="18"/>
  <c r="ET26" i="18"/>
  <c r="FY26" i="18"/>
  <c r="HH26" i="18"/>
  <c r="ER26" i="18"/>
  <c r="EB26" i="18"/>
  <c r="DF11" i="18"/>
  <c r="FK11" i="18"/>
  <c r="FJ19" i="18"/>
  <c r="HJ19" i="18"/>
  <c r="ET19" i="18"/>
  <c r="FY19" i="18"/>
  <c r="EA19" i="18"/>
  <c r="EB24" i="18"/>
  <c r="EA24" i="18"/>
  <c r="FJ24" i="18"/>
  <c r="HJ24" i="18"/>
  <c r="ET24" i="18"/>
  <c r="CQ8" i="18"/>
  <c r="FJ8" i="18"/>
  <c r="AU10" i="18"/>
  <c r="BZ10" i="18"/>
  <c r="CP11" i="18"/>
  <c r="DH11" i="18"/>
  <c r="AU12" i="18"/>
  <c r="BZ12" i="18"/>
  <c r="CQ12" i="18"/>
  <c r="FY14" i="18"/>
  <c r="CP15" i="18"/>
  <c r="DJ15" i="18"/>
  <c r="BJ24" i="18"/>
  <c r="BI24" i="18"/>
  <c r="FK24" i="18"/>
  <c r="DJ24" i="18"/>
  <c r="CR24" i="18"/>
  <c r="DH24" i="18"/>
  <c r="CQ24" i="18"/>
  <c r="DH19" i="18"/>
  <c r="CQ19" i="18"/>
  <c r="FI19" i="18"/>
  <c r="DF19" i="18"/>
  <c r="CP19" i="18"/>
  <c r="AW19" i="18"/>
  <c r="CB19" i="18"/>
  <c r="DD19" i="18"/>
  <c r="DJ19" i="18"/>
  <c r="FI17" i="18"/>
  <c r="DF17" i="18"/>
  <c r="CP17" i="18"/>
  <c r="AW17" i="18"/>
  <c r="CB17" i="18"/>
  <c r="CQ17" i="18"/>
  <c r="DJ17" i="18"/>
  <c r="HJ17" i="18"/>
  <c r="ET17" i="18"/>
  <c r="FY17" i="18"/>
  <c r="BI19" i="18"/>
  <c r="BI25" i="18"/>
  <c r="FK25" i="18"/>
  <c r="DJ25" i="18"/>
  <c r="CR25" i="18"/>
  <c r="DH25" i="18"/>
  <c r="CQ25" i="18"/>
  <c r="FI25" i="18"/>
  <c r="DF25" i="18"/>
  <c r="CP25" i="18"/>
  <c r="AW25" i="18"/>
  <c r="CB25" i="18"/>
  <c r="BJ21" i="18"/>
  <c r="EB21" i="18"/>
  <c r="CR23" i="18"/>
  <c r="DJ23" i="18"/>
  <c r="FK23" i="18"/>
  <c r="AU21" i="18"/>
  <c r="BZ21" i="18"/>
  <c r="FA7" i="16"/>
  <c r="EQ9" i="16"/>
  <c r="ER9" i="16"/>
  <c r="CG7" i="16"/>
  <c r="FH7" i="16"/>
  <c r="BW8" i="16"/>
  <c r="BX8" i="16"/>
  <c r="ER8" i="16"/>
  <c r="EQ8" i="16"/>
  <c r="BO9" i="16"/>
  <c r="FX9" i="16"/>
  <c r="EO9" i="16"/>
  <c r="BO11" i="16"/>
  <c r="EZ11" i="16"/>
  <c r="BW15" i="16"/>
  <c r="BX15" i="16"/>
  <c r="FA20" i="16"/>
  <c r="EO7" i="16"/>
  <c r="BX9" i="16"/>
  <c r="BW9" i="16"/>
  <c r="FA9" i="16"/>
  <c r="FA11" i="16"/>
  <c r="BU12" i="16"/>
  <c r="EZ12" i="16"/>
  <c r="BY15" i="16"/>
  <c r="CF17" i="16"/>
  <c r="FA18" i="16"/>
  <c r="FH19" i="16"/>
  <c r="FH21" i="16"/>
  <c r="BW7" i="16"/>
  <c r="BX7" i="16"/>
  <c r="EZ7" i="16"/>
  <c r="BY8" i="16"/>
  <c r="ES8" i="16"/>
  <c r="EI9" i="16"/>
  <c r="CN10" i="16"/>
  <c r="FA10" i="16"/>
  <c r="BY11" i="16"/>
  <c r="BV12" i="16"/>
  <c r="EP12" i="16"/>
  <c r="FY12" i="16"/>
  <c r="BU13" i="16"/>
  <c r="FX15" i="16"/>
  <c r="EO15" i="16"/>
  <c r="BV16" i="16"/>
  <c r="BV17" i="16"/>
  <c r="FY18" i="16"/>
  <c r="EP18" i="16"/>
  <c r="EO22" i="16"/>
  <c r="FX22" i="16"/>
  <c r="BX12" i="16"/>
  <c r="BW12" i="16"/>
  <c r="EI15" i="16"/>
  <c r="ES9" i="16"/>
  <c r="ER10" i="16"/>
  <c r="EQ10" i="16"/>
  <c r="CF14" i="16"/>
  <c r="BY12" i="16"/>
  <c r="FH12" i="16"/>
  <c r="ES15" i="16"/>
  <c r="EZ16" i="16"/>
  <c r="BY20" i="16"/>
  <c r="CN8" i="16"/>
  <c r="EP10" i="16"/>
  <c r="FY10" i="16"/>
  <c r="BY7" i="16"/>
  <c r="FY7" i="16"/>
  <c r="EP7" i="16"/>
  <c r="BY13" i="16"/>
  <c r="FX16" i="16"/>
  <c r="EO16" i="16"/>
  <c r="BV21" i="16"/>
  <c r="EQ7" i="16"/>
  <c r="ER7" i="16"/>
  <c r="ES11" i="16"/>
  <c r="CG13" i="16"/>
  <c r="FH14" i="16"/>
  <c r="BO16" i="16"/>
  <c r="ER25" i="16"/>
  <c r="EQ25" i="16"/>
  <c r="ES12" i="16"/>
  <c r="FX24" i="16"/>
  <c r="EO24" i="16"/>
  <c r="CF8" i="16"/>
  <c r="EZ8" i="16"/>
  <c r="CG8" i="16"/>
  <c r="EP8" i="16"/>
  <c r="FY8" i="16"/>
  <c r="CF7" i="16"/>
  <c r="ES7" i="16"/>
  <c r="BO8" i="16"/>
  <c r="EI8" i="16"/>
  <c r="CG9" i="16"/>
  <c r="CG10" i="16"/>
  <c r="CG11" i="16"/>
  <c r="EO11" i="16"/>
  <c r="FX11" i="16"/>
  <c r="BO15" i="16"/>
  <c r="CF19" i="16"/>
  <c r="CG26" i="16"/>
  <c r="CG19" i="16"/>
  <c r="CN20" i="16"/>
  <c r="EI20" i="16"/>
  <c r="EZ21" i="16"/>
  <c r="ES24" i="16"/>
  <c r="EP25" i="16"/>
  <c r="FY25" i="16"/>
  <c r="BV26" i="16"/>
  <c r="FX8" i="16"/>
  <c r="EO8" i="16"/>
  <c r="FH8" i="16"/>
  <c r="BX10" i="16"/>
  <c r="BW10" i="16"/>
  <c r="EZ10" i="16"/>
  <c r="CF11" i="16"/>
  <c r="FH11" i="16"/>
  <c r="CF12" i="16"/>
  <c r="ER12" i="16"/>
  <c r="EQ12" i="16"/>
  <c r="ES13" i="16"/>
  <c r="BX14" i="16"/>
  <c r="BW14" i="16"/>
  <c r="EQ15" i="16"/>
  <c r="ER15" i="16"/>
  <c r="EI18" i="16"/>
  <c r="BX19" i="16"/>
  <c r="BW19" i="16"/>
  <c r="EZ19" i="16"/>
  <c r="FH20" i="16"/>
  <c r="BY22" i="16"/>
  <c r="EI25" i="16"/>
  <c r="BO13" i="16"/>
  <c r="CN14" i="16"/>
  <c r="EZ14" i="16"/>
  <c r="BX16" i="16"/>
  <c r="BW16" i="16"/>
  <c r="FA16" i="16"/>
  <c r="BO17" i="16"/>
  <c r="FY17" i="16"/>
  <c r="EP17" i="16"/>
  <c r="CN23" i="16"/>
  <c r="BO25" i="16"/>
  <c r="ER14" i="16"/>
  <c r="EQ14" i="16"/>
  <c r="ER16" i="16"/>
  <c r="EQ16" i="16"/>
  <c r="EZ23" i="16"/>
  <c r="BX25" i="16"/>
  <c r="BW25" i="16"/>
  <c r="EO13" i="16"/>
  <c r="FX13" i="16"/>
  <c r="BO7" i="16"/>
  <c r="EI7" i="16"/>
  <c r="BY9" i="16"/>
  <c r="EP9" i="16"/>
  <c r="FY9" i="16"/>
  <c r="CF10" i="16"/>
  <c r="FH10" i="16"/>
  <c r="CN11" i="16"/>
  <c r="EI11" i="16"/>
  <c r="CN12" i="16"/>
  <c r="FX12" i="16"/>
  <c r="EO12" i="16"/>
  <c r="FA13" i="16"/>
  <c r="BU15" i="16"/>
  <c r="FH16" i="16"/>
  <c r="BU20" i="16"/>
  <c r="EZ20" i="16"/>
  <c r="BU21" i="16"/>
  <c r="ER23" i="16"/>
  <c r="EQ23" i="16"/>
  <c r="BO24" i="16"/>
  <c r="FA26" i="16"/>
  <c r="BO10" i="16"/>
  <c r="EI10" i="16"/>
  <c r="FY11" i="16"/>
  <c r="EP11" i="16"/>
  <c r="CG12" i="16"/>
  <c r="FA12" i="16"/>
  <c r="CF13" i="16"/>
  <c r="CN13" i="16"/>
  <c r="EZ13" i="16"/>
  <c r="FH13" i="16"/>
  <c r="BU14" i="16"/>
  <c r="BY14" i="16"/>
  <c r="FX14" i="16"/>
  <c r="EO14" i="16"/>
  <c r="ES14" i="16"/>
  <c r="EI16" i="16"/>
  <c r="BX17" i="16"/>
  <c r="BW17" i="16"/>
  <c r="BV19" i="16"/>
  <c r="ES20" i="16"/>
  <c r="CF21" i="16"/>
  <c r="EO21" i="16"/>
  <c r="FX21" i="16"/>
  <c r="FA22" i="16"/>
  <c r="BU24" i="16"/>
  <c r="BO26" i="16"/>
  <c r="BW11" i="16"/>
  <c r="BX11" i="16"/>
  <c r="EQ11" i="16"/>
  <c r="ER11" i="16"/>
  <c r="BO12" i="16"/>
  <c r="EI12" i="16"/>
  <c r="BV13" i="16"/>
  <c r="FY13" i="16"/>
  <c r="EP13" i="16"/>
  <c r="CG14" i="16"/>
  <c r="FA14" i="16"/>
  <c r="CF15" i="16"/>
  <c r="CN15" i="16"/>
  <c r="EZ15" i="16"/>
  <c r="FH15" i="16"/>
  <c r="BU16" i="16"/>
  <c r="BY16" i="16"/>
  <c r="EI17" i="16"/>
  <c r="CG18" i="16"/>
  <c r="CN19" i="16"/>
  <c r="FA19" i="16"/>
  <c r="CF20" i="16"/>
  <c r="EP21" i="16"/>
  <c r="FY21" i="16"/>
  <c r="CF23" i="16"/>
  <c r="FH23" i="16"/>
  <c r="BW24" i="16"/>
  <c r="BX24" i="16"/>
  <c r="EI24" i="16"/>
  <c r="EP26" i="16"/>
  <c r="FY26" i="16"/>
  <c r="EI13" i="16"/>
  <c r="BV14" i="16"/>
  <c r="FY14" i="16"/>
  <c r="EP14" i="16"/>
  <c r="CG15" i="16"/>
  <c r="FA15" i="16"/>
  <c r="CF16" i="16"/>
  <c r="CN16" i="16"/>
  <c r="CN17" i="16"/>
  <c r="ER17" i="16"/>
  <c r="EQ17" i="16"/>
  <c r="BV18" i="16"/>
  <c r="EP19" i="16"/>
  <c r="FY19" i="16"/>
  <c r="CG20" i="16"/>
  <c r="BY21" i="16"/>
  <c r="BU22" i="16"/>
  <c r="ES22" i="16"/>
  <c r="BX23" i="16"/>
  <c r="BW23" i="16"/>
  <c r="EQ24" i="16"/>
  <c r="ER24" i="16"/>
  <c r="EI26" i="16"/>
  <c r="FA8" i="16"/>
  <c r="CF9" i="16"/>
  <c r="CN9" i="16"/>
  <c r="EZ9" i="16"/>
  <c r="FH9" i="16"/>
  <c r="BY10" i="16"/>
  <c r="FX10" i="16"/>
  <c r="EO10" i="16"/>
  <c r="ES10" i="16"/>
  <c r="BX13" i="16"/>
  <c r="BW13" i="16"/>
  <c r="ER13" i="16"/>
  <c r="EQ13" i="16"/>
  <c r="BO14" i="16"/>
  <c r="EI14" i="16"/>
  <c r="BV15" i="16"/>
  <c r="FY15" i="16"/>
  <c r="EP15" i="16"/>
  <c r="CG16" i="16"/>
  <c r="ES16" i="16"/>
  <c r="BO18" i="16"/>
  <c r="ER19" i="16"/>
  <c r="EQ19" i="16"/>
  <c r="BO20" i="16"/>
  <c r="EO20" i="16"/>
  <c r="FX20" i="16"/>
  <c r="CN21" i="16"/>
  <c r="ES21" i="16"/>
  <c r="CG22" i="16"/>
  <c r="BY24" i="16"/>
  <c r="BV25" i="16"/>
  <c r="BX18" i="16"/>
  <c r="BW18" i="16"/>
  <c r="ER18" i="16"/>
  <c r="EQ18" i="16"/>
  <c r="BO19" i="16"/>
  <c r="EI19" i="16"/>
  <c r="BV20" i="16"/>
  <c r="EP20" i="16"/>
  <c r="FY20" i="16"/>
  <c r="CG21" i="16"/>
  <c r="FA21" i="16"/>
  <c r="CF22" i="16"/>
  <c r="CN22" i="16"/>
  <c r="EZ22" i="16"/>
  <c r="FH22" i="16"/>
  <c r="BU23" i="16"/>
  <c r="BY23" i="16"/>
  <c r="FX23" i="16"/>
  <c r="EO23" i="16"/>
  <c r="ES23" i="16"/>
  <c r="BX26" i="16"/>
  <c r="BW26" i="16"/>
  <c r="ER26" i="16"/>
  <c r="EQ26" i="16"/>
  <c r="BU17" i="16"/>
  <c r="BY17" i="16"/>
  <c r="FX17" i="16"/>
  <c r="EO17" i="16"/>
  <c r="ES17" i="16"/>
  <c r="BW20" i="16"/>
  <c r="BX20" i="16"/>
  <c r="EQ20" i="16"/>
  <c r="ER20" i="16"/>
  <c r="BO21" i="16"/>
  <c r="EI21" i="16"/>
  <c r="BV22" i="16"/>
  <c r="FY22" i="16"/>
  <c r="EP22" i="16"/>
  <c r="CG23" i="16"/>
  <c r="FA23" i="16"/>
  <c r="CF24" i="16"/>
  <c r="CN24" i="16"/>
  <c r="EZ24" i="16"/>
  <c r="FH24" i="16"/>
  <c r="BU25" i="16"/>
  <c r="BY25" i="16"/>
  <c r="FX25" i="16"/>
  <c r="EO25" i="16"/>
  <c r="ES25" i="16"/>
  <c r="EZ17" i="16"/>
  <c r="FH17" i="16"/>
  <c r="BU18" i="16"/>
  <c r="BY18" i="16"/>
  <c r="EO18" i="16"/>
  <c r="FX18" i="16"/>
  <c r="ES18" i="16"/>
  <c r="BX21" i="16"/>
  <c r="BW21" i="16"/>
  <c r="ER21" i="16"/>
  <c r="EQ21" i="16"/>
  <c r="BO22" i="16"/>
  <c r="EI22" i="16"/>
  <c r="BV23" i="16"/>
  <c r="FY23" i="16"/>
  <c r="EP23" i="16"/>
  <c r="CG24" i="16"/>
  <c r="FA24" i="16"/>
  <c r="CF25" i="16"/>
  <c r="CN25" i="16"/>
  <c r="EZ25" i="16"/>
  <c r="FH25" i="16"/>
  <c r="BU26" i="16"/>
  <c r="BY26" i="16"/>
  <c r="EO26" i="16"/>
  <c r="FX26" i="16"/>
  <c r="ES26" i="16"/>
  <c r="FY16" i="16"/>
  <c r="EP16" i="16"/>
  <c r="CG17" i="16"/>
  <c r="FA17" i="16"/>
  <c r="CF18" i="16"/>
  <c r="CN18" i="16"/>
  <c r="EZ18" i="16"/>
  <c r="FH18" i="16"/>
  <c r="BU19" i="16"/>
  <c r="BY19" i="16"/>
  <c r="EO19" i="16"/>
  <c r="FX19" i="16"/>
  <c r="ES19" i="16"/>
  <c r="BX22" i="16"/>
  <c r="BW22" i="16"/>
  <c r="EQ22" i="16"/>
  <c r="ER22" i="16"/>
  <c r="BO23" i="16"/>
  <c r="EI23" i="16"/>
  <c r="BV24" i="16"/>
  <c r="FY24" i="16"/>
  <c r="EP24" i="16"/>
  <c r="CG25" i="16"/>
  <c r="FA25" i="16"/>
  <c r="CF26" i="16"/>
  <c r="CN26" i="16"/>
  <c r="EZ26" i="16"/>
  <c r="FH26" i="16"/>
  <c r="BM13" i="16"/>
  <c r="AZ13" i="16"/>
  <c r="CE13" i="16"/>
  <c r="AX13" i="16"/>
  <c r="CC13" i="16"/>
  <c r="BL16" i="16"/>
  <c r="AX16" i="16"/>
  <c r="CC16" i="16"/>
  <c r="BM16" i="16"/>
  <c r="AZ16" i="16"/>
  <c r="CE16" i="16"/>
  <c r="BM8" i="16"/>
  <c r="AX8" i="16"/>
  <c r="CC8" i="16"/>
  <c r="AZ8" i="16"/>
  <c r="CE8" i="16"/>
  <c r="HM8" i="16"/>
  <c r="EW8" i="16"/>
  <c r="EG8" i="16"/>
  <c r="GF8" i="16"/>
  <c r="DL8" i="16"/>
  <c r="HO8" i="16"/>
  <c r="EY8" i="16"/>
  <c r="GB11" i="16"/>
  <c r="DH11" i="16"/>
  <c r="BM24" i="16"/>
  <c r="BL24" i="16"/>
  <c r="AZ24" i="16"/>
  <c r="CE24" i="16"/>
  <c r="AX24" i="16"/>
  <c r="CC24" i="16"/>
  <c r="AX9" i="16"/>
  <c r="CC9" i="16"/>
  <c r="GF11" i="16"/>
  <c r="DL11" i="16"/>
  <c r="HM11" i="16"/>
  <c r="EW11" i="16"/>
  <c r="EG16" i="16"/>
  <c r="GB16" i="16"/>
  <c r="DH16" i="16"/>
  <c r="HO16" i="16"/>
  <c r="EY16" i="16"/>
  <c r="EF16" i="16"/>
  <c r="HM16" i="16"/>
  <c r="EW16" i="16"/>
  <c r="GH16" i="16"/>
  <c r="DN16" i="16"/>
  <c r="GF16" i="16"/>
  <c r="DL16" i="16"/>
  <c r="GD16" i="16"/>
  <c r="DJ16" i="16"/>
  <c r="EF17" i="16"/>
  <c r="GH17" i="16"/>
  <c r="DN17" i="16"/>
  <c r="GF17" i="16"/>
  <c r="DL17" i="16"/>
  <c r="HM17" i="16"/>
  <c r="EW17" i="16"/>
  <c r="GB17" i="16"/>
  <c r="DH17" i="16"/>
  <c r="HO17" i="16"/>
  <c r="EY17" i="16"/>
  <c r="GD17" i="16"/>
  <c r="DJ17" i="16"/>
  <c r="BL13" i="16"/>
  <c r="AZ9" i="16"/>
  <c r="CE9" i="16"/>
  <c r="EG17" i="16"/>
  <c r="GD8" i="16"/>
  <c r="DJ8" i="16"/>
  <c r="GH8" i="16"/>
  <c r="DN8" i="16"/>
  <c r="HO11" i="16"/>
  <c r="EY11" i="16"/>
  <c r="GD11" i="16"/>
  <c r="DJ11" i="16"/>
  <c r="EG11" i="16"/>
  <c r="GH11" i="16"/>
  <c r="DN11" i="16"/>
  <c r="BM9" i="16"/>
  <c r="EF8" i="16"/>
  <c r="BM15" i="16"/>
  <c r="BL15" i="16"/>
  <c r="AZ15" i="16"/>
  <c r="CE15" i="16"/>
  <c r="AX15" i="16"/>
  <c r="CC15" i="16"/>
  <c r="EF11" i="16"/>
  <c r="BL25" i="16"/>
  <c r="AX25" i="16"/>
  <c r="CC25" i="16"/>
  <c r="BM25" i="16"/>
  <c r="AZ25" i="16"/>
  <c r="CE25" i="16"/>
  <c r="AZ7" i="16"/>
  <c r="CE7" i="16"/>
  <c r="GD7" i="16"/>
  <c r="DJ7" i="16"/>
  <c r="GH9" i="16"/>
  <c r="DN9" i="16"/>
  <c r="HO9" i="16"/>
  <c r="EY9" i="16"/>
  <c r="GD9" i="16"/>
  <c r="DJ9" i="16"/>
  <c r="HM9" i="16"/>
  <c r="EW9" i="16"/>
  <c r="EG13" i="16"/>
  <c r="GH13" i="16"/>
  <c r="DN13" i="16"/>
  <c r="BL17" i="16"/>
  <c r="BM17" i="16"/>
  <c r="AZ17" i="16"/>
  <c r="CE17" i="16"/>
  <c r="EG15" i="16"/>
  <c r="EF15" i="16"/>
  <c r="GH15" i="16"/>
  <c r="DN15" i="16"/>
  <c r="HO15" i="16"/>
  <c r="EY15" i="16"/>
  <c r="GD15" i="16"/>
  <c r="DJ15" i="16"/>
  <c r="GH26" i="16"/>
  <c r="DN26" i="16"/>
  <c r="GF26" i="16"/>
  <c r="DL26" i="16"/>
  <c r="HO26" i="16"/>
  <c r="EY26" i="16"/>
  <c r="GD26" i="16"/>
  <c r="DJ26" i="16"/>
  <c r="HM26" i="16"/>
  <c r="EW26" i="16"/>
  <c r="GB26" i="16"/>
  <c r="DH26" i="16"/>
  <c r="EG26" i="16"/>
  <c r="EG24" i="16"/>
  <c r="EF24" i="16"/>
  <c r="GH24" i="16"/>
  <c r="DN24" i="16"/>
  <c r="HO24" i="16"/>
  <c r="EY24" i="16"/>
  <c r="GD24" i="16"/>
  <c r="DJ24" i="16"/>
  <c r="HM24" i="16"/>
  <c r="EW24" i="16"/>
  <c r="GF24" i="16"/>
  <c r="DL24" i="16"/>
  <c r="GB24" i="16"/>
  <c r="DH24" i="16"/>
  <c r="AZ11" i="16"/>
  <c r="CE11" i="16"/>
  <c r="BM11" i="16"/>
  <c r="AZ18" i="16"/>
  <c r="CE18" i="16"/>
  <c r="AZ20" i="16"/>
  <c r="CE20" i="16"/>
  <c r="AX20" i="16"/>
  <c r="CC20" i="16"/>
  <c r="BM20" i="16"/>
  <c r="AX10" i="16"/>
  <c r="CC10" i="16"/>
  <c r="GB10" i="16"/>
  <c r="DH10" i="16"/>
  <c r="HM10" i="16"/>
  <c r="EW10" i="16"/>
  <c r="GH18" i="16"/>
  <c r="DN18" i="16"/>
  <c r="GF18" i="16"/>
  <c r="DL18" i="16"/>
  <c r="HO18" i="16"/>
  <c r="EY18" i="16"/>
  <c r="GD18" i="16"/>
  <c r="DJ18" i="16"/>
  <c r="HO20" i="16"/>
  <c r="EY20" i="16"/>
  <c r="GD20" i="16"/>
  <c r="DJ20" i="16"/>
  <c r="HM20" i="16"/>
  <c r="EW20" i="16"/>
  <c r="GB20" i="16"/>
  <c r="DH20" i="16"/>
  <c r="EG20" i="16"/>
  <c r="EF25" i="16"/>
  <c r="GH25" i="16"/>
  <c r="DN25" i="16"/>
  <c r="GF25" i="16"/>
  <c r="DL25" i="16"/>
  <c r="HM25" i="16"/>
  <c r="EW25" i="16"/>
  <c r="GB25" i="16"/>
  <c r="DH25" i="16"/>
  <c r="AX12" i="16"/>
  <c r="CC12" i="16"/>
  <c r="GB12" i="16"/>
  <c r="DH12" i="16"/>
  <c r="EG18" i="16"/>
  <c r="EF20" i="16"/>
  <c r="EG25" i="16"/>
  <c r="AZ26" i="16"/>
  <c r="CE26" i="16"/>
  <c r="AX19" i="16"/>
  <c r="CC19" i="16"/>
  <c r="GB19" i="16"/>
  <c r="DH19" i="16"/>
  <c r="HM19" i="16"/>
  <c r="EW19" i="16"/>
  <c r="AZ19" i="16"/>
  <c r="CE19" i="16"/>
  <c r="GD19" i="16"/>
  <c r="DJ19" i="16"/>
  <c r="HO19" i="16"/>
  <c r="EY19" i="16"/>
  <c r="AX21" i="16"/>
  <c r="CC21" i="16"/>
  <c r="GB21" i="16"/>
  <c r="DH21" i="16"/>
  <c r="B3" i="7"/>
  <c r="GM7" i="1"/>
  <c r="GM8" i="1"/>
  <c r="GM9" i="1"/>
  <c r="GM10" i="1"/>
  <c r="GM11" i="1"/>
  <c r="GM12" i="1"/>
  <c r="GM13" i="1"/>
  <c r="GM14" i="1"/>
  <c r="GM15" i="1"/>
  <c r="GM16" i="1"/>
  <c r="GM17" i="1"/>
  <c r="GM18" i="1"/>
  <c r="GM19" i="1"/>
  <c r="GM20" i="1"/>
  <c r="GM21" i="1"/>
  <c r="GM22" i="1"/>
  <c r="GM23" i="1"/>
  <c r="GM24" i="1"/>
  <c r="GM25" i="1"/>
  <c r="GM26" i="1"/>
  <c r="GJ7" i="1"/>
  <c r="GL7" i="1"/>
  <c r="HB7" i="1"/>
  <c r="EN7" i="1"/>
  <c r="GJ8" i="1"/>
  <c r="GL8" i="1"/>
  <c r="HB8" i="1"/>
  <c r="EN8" i="1"/>
  <c r="GJ9" i="1"/>
  <c r="GL9" i="1"/>
  <c r="HD9" i="1"/>
  <c r="EP9" i="1"/>
  <c r="GJ10" i="1"/>
  <c r="GL10" i="1"/>
  <c r="HB10" i="1"/>
  <c r="EN10" i="1"/>
  <c r="GJ11" i="1"/>
  <c r="GL11" i="1"/>
  <c r="DX11" i="1"/>
  <c r="GJ12" i="1"/>
  <c r="GL12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AA7" i="1"/>
  <c r="FD7" i="1"/>
  <c r="FP7" i="1"/>
  <c r="FQ7" i="1"/>
  <c r="AA8" i="1"/>
  <c r="DB8" i="1"/>
  <c r="FP8" i="1"/>
  <c r="FQ8" i="1"/>
  <c r="AA9" i="1"/>
  <c r="FF9" i="1"/>
  <c r="FP9" i="1"/>
  <c r="FQ9" i="1"/>
  <c r="AA10" i="1"/>
  <c r="FD10" i="1"/>
  <c r="FP10" i="1"/>
  <c r="FQ10" i="1"/>
  <c r="AA11" i="1"/>
  <c r="FD11" i="1"/>
  <c r="FP11" i="1"/>
  <c r="FQ11" i="1"/>
  <c r="AA12" i="1"/>
  <c r="CN12" i="1"/>
  <c r="FP12" i="1"/>
  <c r="FQ12" i="1"/>
  <c r="V12" i="1"/>
  <c r="V13" i="1"/>
  <c r="V14" i="1"/>
  <c r="V15" i="1"/>
  <c r="V16" i="1"/>
  <c r="V17" i="1"/>
  <c r="V18" i="1"/>
  <c r="M18" i="12"/>
  <c r="V19" i="1"/>
  <c r="V20" i="1"/>
  <c r="V21" i="1"/>
  <c r="V22" i="1"/>
  <c r="V23" i="1"/>
  <c r="V24" i="1"/>
  <c r="V25" i="1"/>
  <c r="V26" i="1"/>
  <c r="Y7" i="1"/>
  <c r="Y8" i="1"/>
  <c r="Y9" i="1"/>
  <c r="Y10" i="1"/>
  <c r="Y11" i="1"/>
  <c r="Y12" i="1"/>
  <c r="T12" i="1"/>
  <c r="K12" i="12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C19" i="12"/>
  <c r="U19" i="1"/>
  <c r="E19" i="12"/>
  <c r="G19" i="12"/>
  <c r="H19" i="12"/>
  <c r="I19" i="12"/>
  <c r="C20" i="12"/>
  <c r="U20" i="1"/>
  <c r="E20" i="12"/>
  <c r="G20" i="12"/>
  <c r="H20" i="12"/>
  <c r="I20" i="12"/>
  <c r="C21" i="12"/>
  <c r="U21" i="1"/>
  <c r="L21" i="12"/>
  <c r="E21" i="12"/>
  <c r="G21" i="12"/>
  <c r="H21" i="12"/>
  <c r="I21" i="12"/>
  <c r="C22" i="12"/>
  <c r="U22" i="1"/>
  <c r="E22" i="12"/>
  <c r="G22" i="12"/>
  <c r="H22" i="12"/>
  <c r="I22" i="12"/>
  <c r="C23" i="12"/>
  <c r="U23" i="1"/>
  <c r="E23" i="12"/>
  <c r="G23" i="12"/>
  <c r="H23" i="12"/>
  <c r="I23" i="12"/>
  <c r="C24" i="12"/>
  <c r="U24" i="1"/>
  <c r="E24" i="12"/>
  <c r="G24" i="12"/>
  <c r="H24" i="12"/>
  <c r="I24" i="12"/>
  <c r="C25" i="12"/>
  <c r="U25" i="1"/>
  <c r="K25" i="12"/>
  <c r="E25" i="12"/>
  <c r="G25" i="12"/>
  <c r="H25" i="12"/>
  <c r="I25" i="12"/>
  <c r="C26" i="12"/>
  <c r="U26" i="1"/>
  <c r="E26" i="12"/>
  <c r="G26" i="12"/>
  <c r="H26" i="12"/>
  <c r="I26" i="12"/>
  <c r="CX7" i="1"/>
  <c r="CY7" i="1"/>
  <c r="CX8" i="1"/>
  <c r="CY8" i="1"/>
  <c r="CX9" i="1"/>
  <c r="CY9" i="1"/>
  <c r="CX10" i="1"/>
  <c r="CY10" i="1"/>
  <c r="CN11" i="1"/>
  <c r="CX11" i="1"/>
  <c r="CY11" i="1"/>
  <c r="DB11" i="1"/>
  <c r="C12" i="12"/>
  <c r="CX12" i="1"/>
  <c r="CY12" i="1"/>
  <c r="U12" i="1"/>
  <c r="E12" i="12"/>
  <c r="G12" i="12"/>
  <c r="H12" i="12"/>
  <c r="I12" i="12"/>
  <c r="C13" i="12"/>
  <c r="U13" i="1"/>
  <c r="E13" i="12"/>
  <c r="G13" i="12"/>
  <c r="H13" i="12"/>
  <c r="I13" i="12"/>
  <c r="C14" i="12"/>
  <c r="U14" i="1"/>
  <c r="E14" i="12"/>
  <c r="G14" i="12"/>
  <c r="H14" i="12"/>
  <c r="I14" i="12"/>
  <c r="C15" i="12"/>
  <c r="U15" i="1"/>
  <c r="E15" i="12"/>
  <c r="G15" i="12"/>
  <c r="H15" i="12"/>
  <c r="I15" i="12"/>
  <c r="C16" i="12"/>
  <c r="U16" i="1"/>
  <c r="E16" i="12"/>
  <c r="G16" i="12"/>
  <c r="H16" i="12"/>
  <c r="I16" i="12"/>
  <c r="C17" i="12"/>
  <c r="U17" i="1"/>
  <c r="L17" i="12"/>
  <c r="E17" i="12"/>
  <c r="G17" i="12"/>
  <c r="H17" i="12"/>
  <c r="I17" i="12"/>
  <c r="C18" i="12"/>
  <c r="U18" i="1"/>
  <c r="E18" i="12"/>
  <c r="G18" i="12"/>
  <c r="H18" i="12"/>
  <c r="I18" i="12"/>
  <c r="L17" i="1"/>
  <c r="L12" i="1"/>
  <c r="L13" i="1"/>
  <c r="L14" i="1"/>
  <c r="L15" i="1"/>
  <c r="L16" i="1"/>
  <c r="L18" i="1"/>
  <c r="L19" i="1"/>
  <c r="L20" i="1"/>
  <c r="L21" i="1"/>
  <c r="L22" i="1"/>
  <c r="L23" i="1"/>
  <c r="L24" i="1"/>
  <c r="L25" i="1"/>
  <c r="L26" i="1"/>
  <c r="N12" i="1"/>
  <c r="P12" i="1"/>
  <c r="R12" i="1"/>
  <c r="GJ13" i="1"/>
  <c r="GL13" i="1"/>
  <c r="HD13" i="1"/>
  <c r="EP13" i="1"/>
  <c r="AA13" i="1"/>
  <c r="FP13" i="1"/>
  <c r="FQ13" i="1"/>
  <c r="CX13" i="1"/>
  <c r="CY13" i="1"/>
  <c r="Y13" i="1"/>
  <c r="N13" i="1"/>
  <c r="P13" i="1"/>
  <c r="R13" i="1"/>
  <c r="GJ14" i="1"/>
  <c r="GL14" i="1"/>
  <c r="AA14" i="1"/>
  <c r="FP14" i="1"/>
  <c r="FQ14" i="1"/>
  <c r="CX14" i="1"/>
  <c r="CY14" i="1"/>
  <c r="Y14" i="1"/>
  <c r="N14" i="1"/>
  <c r="P14" i="1"/>
  <c r="R14" i="1"/>
  <c r="GJ15" i="1"/>
  <c r="GL15" i="1"/>
  <c r="HD15" i="1"/>
  <c r="EP15" i="1"/>
  <c r="AA15" i="1"/>
  <c r="FD15" i="1"/>
  <c r="FP15" i="1"/>
  <c r="FQ15" i="1"/>
  <c r="CX15" i="1"/>
  <c r="CY15" i="1"/>
  <c r="Y15" i="1"/>
  <c r="N15" i="1"/>
  <c r="P15" i="1"/>
  <c r="R15" i="1"/>
  <c r="GJ16" i="1"/>
  <c r="GL16" i="1"/>
  <c r="HD16" i="1"/>
  <c r="EP16" i="1"/>
  <c r="AA16" i="1"/>
  <c r="BE16" i="1"/>
  <c r="FP16" i="1"/>
  <c r="FQ16" i="1"/>
  <c r="CX16" i="1"/>
  <c r="CY16" i="1"/>
  <c r="Y16" i="1"/>
  <c r="N16" i="1"/>
  <c r="P16" i="1"/>
  <c r="R16" i="1"/>
  <c r="GJ17" i="1"/>
  <c r="GL17" i="1"/>
  <c r="AA17" i="1"/>
  <c r="FF17" i="1"/>
  <c r="FP17" i="1"/>
  <c r="FQ17" i="1"/>
  <c r="CX17" i="1"/>
  <c r="CY17" i="1"/>
  <c r="Y17" i="1"/>
  <c r="N17" i="1"/>
  <c r="P17" i="1"/>
  <c r="R17" i="1"/>
  <c r="GJ18" i="1"/>
  <c r="GL18" i="1"/>
  <c r="HD18" i="1"/>
  <c r="EP18" i="1"/>
  <c r="AA18" i="1"/>
  <c r="CL18" i="1"/>
  <c r="FP18" i="1"/>
  <c r="FQ18" i="1"/>
  <c r="CX18" i="1"/>
  <c r="CY18" i="1"/>
  <c r="Y18" i="1"/>
  <c r="N18" i="1"/>
  <c r="P18" i="1"/>
  <c r="R18" i="1"/>
  <c r="GJ19" i="1"/>
  <c r="GL19" i="1"/>
  <c r="HD19" i="1"/>
  <c r="EP19" i="1"/>
  <c r="AA19" i="1"/>
  <c r="FD19" i="1"/>
  <c r="FP19" i="1"/>
  <c r="FQ19" i="1"/>
  <c r="CX19" i="1"/>
  <c r="CY19" i="1"/>
  <c r="Y19" i="1"/>
  <c r="N19" i="1"/>
  <c r="P19" i="1"/>
  <c r="R19" i="1"/>
  <c r="GJ20" i="1"/>
  <c r="GL20" i="1"/>
  <c r="HD20" i="1"/>
  <c r="EP20" i="1"/>
  <c r="AA20" i="1"/>
  <c r="BE20" i="1"/>
  <c r="FP20" i="1"/>
  <c r="FQ20" i="1"/>
  <c r="CX20" i="1"/>
  <c r="CY20" i="1"/>
  <c r="Y20" i="1"/>
  <c r="N20" i="1"/>
  <c r="P20" i="1"/>
  <c r="R20" i="1"/>
  <c r="GJ21" i="1"/>
  <c r="GL21" i="1"/>
  <c r="AA21" i="1"/>
  <c r="CL21" i="1"/>
  <c r="FP21" i="1"/>
  <c r="FQ21" i="1"/>
  <c r="CX21" i="1"/>
  <c r="CY21" i="1"/>
  <c r="Y21" i="1"/>
  <c r="N21" i="1"/>
  <c r="P21" i="1"/>
  <c r="R21" i="1"/>
  <c r="GJ22" i="1"/>
  <c r="GL22" i="1"/>
  <c r="AA22" i="1"/>
  <c r="FP22" i="1"/>
  <c r="FQ22" i="1"/>
  <c r="CX22" i="1"/>
  <c r="CY22" i="1"/>
  <c r="Y22" i="1"/>
  <c r="N22" i="1"/>
  <c r="P22" i="1"/>
  <c r="R22" i="1"/>
  <c r="GJ23" i="1"/>
  <c r="GL23" i="1"/>
  <c r="HB23" i="1"/>
  <c r="EN23" i="1"/>
  <c r="AA23" i="1"/>
  <c r="FD23" i="1"/>
  <c r="FP23" i="1"/>
  <c r="FQ23" i="1"/>
  <c r="CX23" i="1"/>
  <c r="CY23" i="1"/>
  <c r="Y23" i="1"/>
  <c r="N23" i="1"/>
  <c r="P23" i="1"/>
  <c r="R23" i="1"/>
  <c r="GJ24" i="1"/>
  <c r="GL24" i="1"/>
  <c r="FT24" i="1"/>
  <c r="AA24" i="1"/>
  <c r="CL24" i="1"/>
  <c r="FP24" i="1"/>
  <c r="FQ24" i="1"/>
  <c r="CX24" i="1"/>
  <c r="CY24" i="1"/>
  <c r="Y24" i="1"/>
  <c r="N24" i="1"/>
  <c r="P24" i="1"/>
  <c r="R24" i="1"/>
  <c r="GJ25" i="1"/>
  <c r="GL25" i="1"/>
  <c r="FV25" i="1"/>
  <c r="AA25" i="1"/>
  <c r="FD25" i="1"/>
  <c r="FP25" i="1"/>
  <c r="FQ25" i="1"/>
  <c r="CX25" i="1"/>
  <c r="CY25" i="1"/>
  <c r="Y25" i="1"/>
  <c r="N25" i="1"/>
  <c r="P25" i="1"/>
  <c r="R25" i="1"/>
  <c r="GJ26" i="1"/>
  <c r="GL26" i="1"/>
  <c r="FE26" i="1"/>
  <c r="AA26" i="1"/>
  <c r="FD26" i="1"/>
  <c r="FP26" i="1"/>
  <c r="FQ26" i="1"/>
  <c r="CX26" i="1"/>
  <c r="CY26" i="1"/>
  <c r="Y26" i="1"/>
  <c r="N26" i="1"/>
  <c r="P26" i="1"/>
  <c r="R26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Z7" i="18"/>
  <c r="AA7" i="16"/>
  <c r="AA7" i="18"/>
  <c r="AD7" i="16"/>
  <c r="AD11" i="16"/>
  <c r="AA10" i="18"/>
  <c r="AA9" i="18"/>
  <c r="AD9" i="16"/>
  <c r="X11" i="18"/>
  <c r="X8" i="18"/>
  <c r="X10" i="18"/>
  <c r="AA9" i="16"/>
  <c r="AA8" i="18"/>
  <c r="AA10" i="16"/>
  <c r="X9" i="18"/>
  <c r="AD10" i="16"/>
  <c r="AA11" i="16"/>
  <c r="AA8" i="16"/>
  <c r="X7" i="18"/>
  <c r="AD8" i="16"/>
  <c r="U7" i="16"/>
  <c r="AC10" i="16"/>
  <c r="AC7" i="16"/>
  <c r="AL12" i="1"/>
  <c r="AO16" i="1"/>
  <c r="GK25" i="1"/>
  <c r="GT13" i="1"/>
  <c r="AD15" i="1"/>
  <c r="AK18" i="1"/>
  <c r="GT21" i="1"/>
  <c r="AI13" i="1"/>
  <c r="HF16" i="1"/>
  <c r="AB14" i="1"/>
  <c r="HH14" i="1"/>
  <c r="HH16" i="1"/>
  <c r="HH18" i="1"/>
  <c r="Z15" i="1"/>
  <c r="HF20" i="1"/>
  <c r="AU22" i="1"/>
  <c r="AU24" i="1"/>
  <c r="GX16" i="1"/>
  <c r="HH20" i="1"/>
  <c r="GW24" i="1"/>
  <c r="GZ13" i="1"/>
  <c r="GZ19" i="1"/>
  <c r="GX23" i="1"/>
  <c r="AB17" i="1"/>
  <c r="AN20" i="1"/>
  <c r="GY23" i="1"/>
  <c r="GY26" i="1"/>
  <c r="AN24" i="1"/>
  <c r="AW26" i="1"/>
  <c r="AD26" i="1"/>
  <c r="AB24" i="1"/>
  <c r="GX26" i="1"/>
  <c r="GV19" i="1"/>
  <c r="AN26" i="1"/>
  <c r="GY20" i="1"/>
  <c r="GV12" i="1"/>
  <c r="AN22" i="1"/>
  <c r="AO25" i="1"/>
  <c r="GK14" i="1"/>
  <c r="AN21" i="1"/>
  <c r="AD22" i="1"/>
  <c r="AK21" i="1"/>
  <c r="Z20" i="1"/>
  <c r="GO8" i="1"/>
  <c r="AK9" i="1"/>
  <c r="HH8" i="1"/>
  <c r="AL11" i="1"/>
  <c r="AM7" i="1"/>
  <c r="GY8" i="1"/>
  <c r="AU11" i="1"/>
  <c r="Z9" i="1"/>
  <c r="GZ9" i="1"/>
  <c r="GX7" i="1"/>
  <c r="AN11" i="1"/>
  <c r="C10" i="12"/>
  <c r="GX8" i="1"/>
  <c r="AD10" i="1"/>
  <c r="AJ9" i="1"/>
  <c r="GV8" i="1"/>
  <c r="U9" i="16"/>
  <c r="Z10" i="18"/>
  <c r="AO13" i="1"/>
  <c r="AO17" i="1"/>
  <c r="AD13" i="1"/>
  <c r="AK16" i="1"/>
  <c r="GT19" i="1"/>
  <c r="GK26" i="1"/>
  <c r="HF14" i="1"/>
  <c r="GU17" i="1"/>
  <c r="AB23" i="1"/>
  <c r="AL14" i="1"/>
  <c r="AL16" i="1"/>
  <c r="GX12" i="1"/>
  <c r="AM16" i="1"/>
  <c r="GU21" i="1"/>
  <c r="GV23" i="1"/>
  <c r="GK21" i="1"/>
  <c r="GW17" i="1"/>
  <c r="GV21" i="1"/>
  <c r="GW25" i="1"/>
  <c r="GY16" i="1"/>
  <c r="GV20" i="1"/>
  <c r="GX24" i="1"/>
  <c r="GO14" i="1"/>
  <c r="GX21" i="1"/>
  <c r="GO24" i="1"/>
  <c r="AW15" i="1"/>
  <c r="GT25" i="1"/>
  <c r="GT26" i="1"/>
  <c r="GO15" i="1"/>
  <c r="AJ14" i="1"/>
  <c r="AM14" i="1"/>
  <c r="GO20" i="1"/>
  <c r="AM18" i="1"/>
  <c r="AD25" i="1"/>
  <c r="GW13" i="1"/>
  <c r="GT23" i="1"/>
  <c r="HF19" i="1"/>
  <c r="AU20" i="1"/>
  <c r="GZ24" i="1"/>
  <c r="GZ25" i="1"/>
  <c r="Z23" i="1"/>
  <c r="GV26" i="1"/>
  <c r="GT9" i="1"/>
  <c r="AK11" i="1"/>
  <c r="GV10" i="1"/>
  <c r="GT7" i="1"/>
  <c r="AM9" i="1"/>
  <c r="HH10" i="1"/>
  <c r="GK11" i="1"/>
  <c r="AJ10" i="1"/>
  <c r="HF11" i="1"/>
  <c r="GZ10" i="1"/>
  <c r="AO7" i="1"/>
  <c r="AD8" i="1"/>
  <c r="HF10" i="1"/>
  <c r="AB11" i="1"/>
  <c r="Z8" i="1"/>
  <c r="GV7" i="1"/>
  <c r="C9" i="12"/>
  <c r="U11" i="16"/>
  <c r="Z8" i="18"/>
  <c r="AN14" i="1"/>
  <c r="AN18" i="1"/>
  <c r="AM12" i="1"/>
  <c r="GT14" i="1"/>
  <c r="AD16" i="1"/>
  <c r="AK19" i="1"/>
  <c r="GT12" i="1"/>
  <c r="AI14" i="1"/>
  <c r="HF17" i="1"/>
  <c r="GV13" i="1"/>
  <c r="GV15" i="1"/>
  <c r="GV17" i="1"/>
  <c r="AB15" i="1"/>
  <c r="AW17" i="1"/>
  <c r="HH21" i="1"/>
  <c r="HH23" i="1"/>
  <c r="GY12" i="1"/>
  <c r="AM17" i="1"/>
  <c r="AJ21" i="1"/>
  <c r="GW26" i="1"/>
  <c r="GX17" i="1"/>
  <c r="AO20" i="1"/>
  <c r="AW24" i="1"/>
  <c r="GZ16" i="1"/>
  <c r="AM21" i="1"/>
  <c r="GY24" i="1"/>
  <c r="GX18" i="1"/>
  <c r="AN25" i="1"/>
  <c r="AW16" i="1"/>
  <c r="GO16" i="1"/>
  <c r="GW18" i="1"/>
  <c r="Z14" i="1"/>
  <c r="HF21" i="1"/>
  <c r="GX20" i="1"/>
  <c r="AO26" i="1"/>
  <c r="GO17" i="1"/>
  <c r="AK23" i="1"/>
  <c r="HH26" i="1"/>
  <c r="GY21" i="1"/>
  <c r="Z24" i="1"/>
  <c r="Z25" i="1"/>
  <c r="GK13" i="1"/>
  <c r="AI26" i="1"/>
  <c r="HH9" i="1"/>
  <c r="C11" i="12"/>
  <c r="GW11" i="1"/>
  <c r="HH7" i="1"/>
  <c r="AM10" i="1"/>
  <c r="GU11" i="1"/>
  <c r="GZ8" i="1"/>
  <c r="Z11" i="1"/>
  <c r="AD7" i="1"/>
  <c r="GO11" i="1"/>
  <c r="AW8" i="1"/>
  <c r="AI9" i="1"/>
  <c r="AI7" i="1"/>
  <c r="Z10" i="1"/>
  <c r="AC8" i="16"/>
  <c r="Y8" i="18"/>
  <c r="GK16" i="1"/>
  <c r="AN15" i="1"/>
  <c r="AN19" i="1"/>
  <c r="AB18" i="1"/>
  <c r="AD14" i="1"/>
  <c r="AK17" i="1"/>
  <c r="GT20" i="1"/>
  <c r="AN12" i="1"/>
  <c r="HF15" i="1"/>
  <c r="AU13" i="1"/>
  <c r="AU15" i="1"/>
  <c r="AU17" i="1"/>
  <c r="GX13" i="1"/>
  <c r="AL18" i="1"/>
  <c r="AL21" i="1"/>
  <c r="AL23" i="1"/>
  <c r="GY13" i="1"/>
  <c r="GY19" i="1"/>
  <c r="AJ22" i="1"/>
  <c r="HH12" i="1"/>
  <c r="AU18" i="1"/>
  <c r="AW21" i="1"/>
  <c r="AW25" i="1"/>
  <c r="GU18" i="1"/>
  <c r="GY22" i="1"/>
  <c r="GO25" i="1"/>
  <c r="GU19" i="1"/>
  <c r="GZ26" i="1"/>
  <c r="AU19" i="1"/>
  <c r="HF25" i="1"/>
  <c r="GT22" i="1"/>
  <c r="AJ16" i="1"/>
  <c r="GZ22" i="1"/>
  <c r="AM25" i="1"/>
  <c r="Z21" i="1"/>
  <c r="AJ18" i="1"/>
  <c r="AI24" i="1"/>
  <c r="AW13" i="1"/>
  <c r="AM26" i="1"/>
  <c r="AJ15" i="1"/>
  <c r="AJ26" i="1"/>
  <c r="GT24" i="1"/>
  <c r="AL26" i="1"/>
  <c r="GV11" i="1"/>
  <c r="GO7" i="1"/>
  <c r="AL8" i="1"/>
  <c r="GV9" i="1"/>
  <c r="C8" i="12"/>
  <c r="AI8" i="1"/>
  <c r="GY11" i="1"/>
  <c r="AD9" i="1"/>
  <c r="C20" i="21"/>
  <c r="F6" i="7"/>
  <c r="AC11" i="16"/>
  <c r="Y11" i="18"/>
  <c r="Y10" i="18"/>
  <c r="GK24" i="1"/>
  <c r="AO15" i="1"/>
  <c r="AO19" i="1"/>
  <c r="AB22" i="1"/>
  <c r="GT15" i="1"/>
  <c r="AD17" i="1"/>
  <c r="AK20" i="1"/>
  <c r="AI15" i="1"/>
  <c r="HF12" i="1"/>
  <c r="AL13" i="1"/>
  <c r="AL15" i="1"/>
  <c r="AL17" i="1"/>
  <c r="GY14" i="1"/>
  <c r="GX19" i="1"/>
  <c r="GV22" i="1"/>
  <c r="GV24" i="1"/>
  <c r="GZ14" i="1"/>
  <c r="AJ19" i="1"/>
  <c r="GW23" i="1"/>
  <c r="AW12" i="1"/>
  <c r="AW18" i="1"/>
  <c r="GX22" i="1"/>
  <c r="GK23" i="1"/>
  <c r="AM19" i="1"/>
  <c r="AM22" i="1"/>
  <c r="GY25" i="1"/>
  <c r="AD21" i="1"/>
  <c r="AU26" i="1"/>
  <c r="AN23" i="1"/>
  <c r="GK15" i="1"/>
  <c r="HF23" i="1"/>
  <c r="AI17" i="1"/>
  <c r="Z22" i="1"/>
  <c r="AM15" i="1"/>
  <c r="Z13" i="1"/>
  <c r="AI18" i="1"/>
  <c r="GV25" i="1"/>
  <c r="AU25" i="1"/>
  <c r="GX14" i="1"/>
  <c r="AW19" i="1"/>
  <c r="Z26" i="1"/>
  <c r="GU26" i="1"/>
  <c r="GK9" i="1"/>
  <c r="AK7" i="1"/>
  <c r="HF7" i="1"/>
  <c r="AL9" i="1"/>
  <c r="GW10" i="1"/>
  <c r="AU9" i="1"/>
  <c r="AW7" i="1"/>
  <c r="GK8" i="1"/>
  <c r="AO10" i="1"/>
  <c r="AN9" i="1"/>
  <c r="AO9" i="1"/>
  <c r="GT11" i="1"/>
  <c r="GY10" i="1"/>
  <c r="HF9" i="1"/>
  <c r="AI11" i="1"/>
  <c r="GO10" i="1"/>
  <c r="GY7" i="1"/>
  <c r="Y9" i="18"/>
  <c r="AN16" i="1"/>
  <c r="AK14" i="1"/>
  <c r="GK18" i="1"/>
  <c r="AO12" i="1"/>
  <c r="HH17" i="1"/>
  <c r="AM20" i="1"/>
  <c r="GY15" i="1"/>
  <c r="GK22" i="1"/>
  <c r="AW23" i="1"/>
  <c r="GO23" i="1"/>
  <c r="AK25" i="1"/>
  <c r="GO13" i="1"/>
  <c r="AD24" i="1"/>
  <c r="GZ18" i="1"/>
  <c r="AJ12" i="1"/>
  <c r="AW20" i="1"/>
  <c r="GU10" i="1"/>
  <c r="C7" i="12"/>
  <c r="AI10" i="1"/>
  <c r="AO8" i="1"/>
  <c r="AU8" i="1"/>
  <c r="AJ11" i="1"/>
  <c r="GZ11" i="1"/>
  <c r="GK7" i="1"/>
  <c r="AC9" i="16"/>
  <c r="AN17" i="1"/>
  <c r="AK15" i="1"/>
  <c r="AB12" i="1"/>
  <c r="AB19" i="1"/>
  <c r="GV18" i="1"/>
  <c r="AU21" i="1"/>
  <c r="Z16" i="1"/>
  <c r="AB16" i="1"/>
  <c r="GX25" i="1"/>
  <c r="AO18" i="1"/>
  <c r="GT16" i="1"/>
  <c r="HF13" i="1"/>
  <c r="HH13" i="1"/>
  <c r="GK20" i="1"/>
  <c r="HH22" i="1"/>
  <c r="HF18" i="1"/>
  <c r="GZ15" i="1"/>
  <c r="AD12" i="1"/>
  <c r="AM24" i="1"/>
  <c r="GZ23" i="1"/>
  <c r="AI23" i="1"/>
  <c r="HF22" i="1"/>
  <c r="AO22" i="1"/>
  <c r="AW14" i="1"/>
  <c r="HH19" i="1"/>
  <c r="AK10" i="1"/>
  <c r="GX11" i="1"/>
  <c r="GX9" i="1"/>
  <c r="GW8" i="1"/>
  <c r="GY9" i="1"/>
  <c r="AO11" i="1"/>
  <c r="Z9" i="18"/>
  <c r="GK17" i="1"/>
  <c r="GT17" i="1"/>
  <c r="GU14" i="1"/>
  <c r="GV14" i="1"/>
  <c r="AB21" i="1"/>
  <c r="AL22" i="1"/>
  <c r="GU20" i="1"/>
  <c r="Z17" i="1"/>
  <c r="AJ13" i="1"/>
  <c r="GO26" i="1"/>
  <c r="AJ17" i="1"/>
  <c r="AB25" i="1"/>
  <c r="GZ17" i="1"/>
  <c r="HF24" i="1"/>
  <c r="AK22" i="1"/>
  <c r="GZ20" i="1"/>
  <c r="GK10" i="1"/>
  <c r="AM8" i="1"/>
  <c r="AJ8" i="1"/>
  <c r="AN7" i="1"/>
  <c r="GO9" i="1"/>
  <c r="AU10" i="1"/>
  <c r="C21" i="21"/>
  <c r="Y7" i="18"/>
  <c r="GZ12" i="1"/>
  <c r="AB13" i="1"/>
  <c r="AD18" i="1"/>
  <c r="GU16" i="1"/>
  <c r="HH15" i="1"/>
  <c r="GW16" i="1"/>
  <c r="HH24" i="1"/>
  <c r="GW22" i="1"/>
  <c r="AI19" i="1"/>
  <c r="GW20" i="1"/>
  <c r="Z18" i="1"/>
  <c r="GW14" i="1"/>
  <c r="GY18" i="1"/>
  <c r="AJ20" i="1"/>
  <c r="AL25" i="1"/>
  <c r="GO21" i="1"/>
  <c r="HH25" i="1"/>
  <c r="GU9" i="1"/>
  <c r="AW11" i="1"/>
  <c r="AB10" i="1"/>
  <c r="GW7" i="1"/>
  <c r="AB9" i="1"/>
  <c r="F18" i="7"/>
  <c r="U8" i="16"/>
  <c r="AN13" i="1"/>
  <c r="AB26" i="1"/>
  <c r="AD19" i="1"/>
  <c r="AI16" i="1"/>
  <c r="GV16" i="1"/>
  <c r="GO18" i="1"/>
  <c r="AL24" i="1"/>
  <c r="AJ23" i="1"/>
  <c r="GW21" i="1"/>
  <c r="AL20" i="1"/>
  <c r="GU22" i="1"/>
  <c r="GU24" i="1"/>
  <c r="AL19" i="1"/>
  <c r="AO21" i="1"/>
  <c r="AI12" i="1"/>
  <c r="GU23" i="1"/>
  <c r="GZ7" i="1"/>
  <c r="AL7" i="1"/>
  <c r="GW9" i="1"/>
  <c r="GU7" i="1"/>
  <c r="F10" i="7"/>
  <c r="AB7" i="1"/>
  <c r="AD20" i="1"/>
  <c r="AU12" i="1"/>
  <c r="AM13" i="1"/>
  <c r="GK12" i="1"/>
  <c r="HF26" i="1"/>
  <c r="AM11" i="1"/>
  <c r="AW10" i="1"/>
  <c r="GU15" i="1"/>
  <c r="AI20" i="1"/>
  <c r="AO24" i="1"/>
  <c r="AO23" i="1"/>
  <c r="AI22" i="1"/>
  <c r="AU7" i="1"/>
  <c r="GX10" i="1"/>
  <c r="AN8" i="1"/>
  <c r="GK19" i="1"/>
  <c r="AJ24" i="1"/>
  <c r="GU25" i="1"/>
  <c r="AB20" i="1"/>
  <c r="AD23" i="1"/>
  <c r="AN10" i="1"/>
  <c r="L11" i="16"/>
  <c r="AU14" i="1"/>
  <c r="GO19" i="1"/>
  <c r="AK24" i="1"/>
  <c r="GW19" i="1"/>
  <c r="HF8" i="1"/>
  <c r="AW9" i="1"/>
  <c r="HH11" i="1"/>
  <c r="Z11" i="18"/>
  <c r="AK13" i="1"/>
  <c r="Z19" i="1"/>
  <c r="GO22" i="1"/>
  <c r="GW15" i="1"/>
  <c r="AI25" i="1"/>
  <c r="AL10" i="1"/>
  <c r="AB8" i="1"/>
  <c r="GY17" i="1"/>
  <c r="AK8" i="1"/>
  <c r="F14" i="7"/>
  <c r="V7" i="16"/>
  <c r="U10" i="16"/>
  <c r="GX15" i="1"/>
  <c r="AO14" i="1"/>
  <c r="AM23" i="1"/>
  <c r="GT8" i="1"/>
  <c r="AI21" i="1"/>
  <c r="V11" i="16"/>
  <c r="AJ25" i="1"/>
  <c r="GO12" i="1"/>
  <c r="AK12" i="1"/>
  <c r="GU8" i="1"/>
  <c r="AD11" i="1"/>
  <c r="V10" i="16"/>
  <c r="GT18" i="1"/>
  <c r="GZ21" i="1"/>
  <c r="GT10" i="1"/>
  <c r="AU16" i="1"/>
  <c r="AJ7" i="1"/>
  <c r="AU23" i="1"/>
  <c r="AK26" i="1"/>
  <c r="V9" i="16"/>
  <c r="AW22" i="1"/>
  <c r="GW12" i="1"/>
  <c r="V8" i="16"/>
  <c r="S10" i="18"/>
  <c r="S9" i="18"/>
  <c r="S8" i="18"/>
  <c r="S7" i="18"/>
  <c r="S11" i="18"/>
  <c r="C11" i="17"/>
  <c r="M11" i="20"/>
  <c r="L7" i="20"/>
  <c r="M9" i="20"/>
  <c r="M9" i="17"/>
  <c r="L9" i="20"/>
  <c r="L10" i="20"/>
  <c r="L11" i="20"/>
  <c r="M11" i="17"/>
  <c r="L8" i="20"/>
  <c r="M8" i="17"/>
  <c r="M8" i="20"/>
  <c r="M10" i="20"/>
  <c r="M7" i="17"/>
  <c r="M10" i="17"/>
  <c r="N8" i="17"/>
  <c r="K7" i="20"/>
  <c r="K8" i="17"/>
  <c r="K11" i="17"/>
  <c r="N10" i="17"/>
  <c r="K9" i="20"/>
  <c r="K10" i="17"/>
  <c r="N8" i="20"/>
  <c r="K9" i="17"/>
  <c r="K10" i="20"/>
  <c r="N11" i="20"/>
  <c r="K8" i="20"/>
  <c r="K11" i="20"/>
  <c r="N9" i="17"/>
  <c r="N9" i="20"/>
  <c r="N10" i="20"/>
  <c r="N11" i="17"/>
  <c r="N7" i="17"/>
  <c r="N7" i="20"/>
  <c r="K7" i="17"/>
  <c r="M7" i="20"/>
  <c r="C33" i="23"/>
  <c r="BE11" i="1"/>
  <c r="DB10" i="1"/>
  <c r="AQ17" i="1"/>
  <c r="BV17" i="1"/>
  <c r="HB18" i="1"/>
  <c r="EN18" i="1"/>
  <c r="AS11" i="1"/>
  <c r="BX11" i="1"/>
  <c r="DD17" i="1"/>
  <c r="CL17" i="1"/>
  <c r="CZ17" i="1"/>
  <c r="DX10" i="1"/>
  <c r="CM20" i="1"/>
  <c r="FR10" i="1"/>
  <c r="HB12" i="1"/>
  <c r="EN12" i="1"/>
  <c r="FR12" i="1"/>
  <c r="HD17" i="1"/>
  <c r="EP17" i="1"/>
  <c r="FX17" i="1"/>
  <c r="BE14" i="1"/>
  <c r="DD14" i="1"/>
  <c r="HD14" i="1"/>
  <c r="EP14" i="1"/>
  <c r="FX14" i="1"/>
  <c r="HB14" i="1"/>
  <c r="EN14" i="1"/>
  <c r="DX14" i="1"/>
  <c r="CZ13" i="1"/>
  <c r="AS13" i="1"/>
  <c r="BX13" i="1"/>
  <c r="CN17" i="1"/>
  <c r="FD9" i="1"/>
  <c r="DB17" i="1"/>
  <c r="N11" i="21"/>
  <c r="FX10" i="1"/>
  <c r="CL14" i="1"/>
  <c r="FV10" i="1"/>
  <c r="FD16" i="1"/>
  <c r="FD12" i="1"/>
  <c r="HB11" i="1"/>
  <c r="EN11" i="1"/>
  <c r="DW10" i="1"/>
  <c r="FE8" i="1"/>
  <c r="FV14" i="1"/>
  <c r="FX8" i="1"/>
  <c r="AQ19" i="1"/>
  <c r="BV19" i="1"/>
  <c r="FV18" i="1"/>
  <c r="FD17" i="1"/>
  <c r="AQ14" i="1"/>
  <c r="BV14" i="1"/>
  <c r="FV8" i="1"/>
  <c r="DW8" i="1"/>
  <c r="BF26" i="1"/>
  <c r="FT18" i="1"/>
  <c r="CM12" i="1"/>
  <c r="FT8" i="1"/>
  <c r="DB18" i="1"/>
  <c r="FT11" i="1"/>
  <c r="DX8" i="1"/>
  <c r="FX16" i="1"/>
  <c r="CL12" i="1"/>
  <c r="AS12" i="1"/>
  <c r="BX12" i="1"/>
  <c r="FR8" i="1"/>
  <c r="FX18" i="1"/>
  <c r="FT14" i="1"/>
  <c r="CL23" i="1"/>
  <c r="DB20" i="1"/>
  <c r="BE17" i="1"/>
  <c r="DW14" i="1"/>
  <c r="AQ12" i="1"/>
  <c r="BV12" i="1"/>
  <c r="FT26" i="1"/>
  <c r="CZ20" i="1"/>
  <c r="FD20" i="1"/>
  <c r="FT16" i="1"/>
  <c r="AS14" i="1"/>
  <c r="BX14" i="1"/>
  <c r="CM14" i="1"/>
  <c r="FD14" i="1"/>
  <c r="CM13" i="1"/>
  <c r="BF8" i="1"/>
  <c r="CM8" i="1"/>
  <c r="FR26" i="1"/>
  <c r="CL13" i="1"/>
  <c r="HB20" i="1"/>
  <c r="EN20" i="1"/>
  <c r="DD19" i="1"/>
  <c r="DF14" i="1"/>
  <c r="CN14" i="1"/>
  <c r="BE13" i="1"/>
  <c r="BE10" i="1"/>
  <c r="AS8" i="1"/>
  <c r="BX8" i="1"/>
  <c r="FR11" i="1"/>
  <c r="FD8" i="1"/>
  <c r="HD11" i="1"/>
  <c r="EP11" i="1"/>
  <c r="DB14" i="1"/>
  <c r="CL20" i="1"/>
  <c r="DW26" i="1"/>
  <c r="CN20" i="1"/>
  <c r="CL19" i="1"/>
  <c r="DW16" i="1"/>
  <c r="CZ14" i="1"/>
  <c r="DD13" i="1"/>
  <c r="FF13" i="1"/>
  <c r="AQ13" i="1"/>
  <c r="BV13" i="1"/>
  <c r="HD26" i="1"/>
  <c r="EP26" i="1"/>
  <c r="AQ20" i="1"/>
  <c r="BV20" i="1"/>
  <c r="BE19" i="1"/>
  <c r="CN16" i="1"/>
  <c r="HB16" i="1"/>
  <c r="EN16" i="1"/>
  <c r="FD13" i="1"/>
  <c r="DW11" i="1"/>
  <c r="CQ10" i="16"/>
  <c r="CQ11" i="16"/>
  <c r="CQ8" i="16"/>
  <c r="CQ9" i="16"/>
  <c r="CQ7" i="16"/>
  <c r="DF19" i="1"/>
  <c r="BF19" i="1"/>
  <c r="HB9" i="1"/>
  <c r="EN9" i="1"/>
  <c r="BF23" i="1"/>
  <c r="DB19" i="1"/>
  <c r="CN19" i="1"/>
  <c r="FE17" i="1"/>
  <c r="CM11" i="1"/>
  <c r="CZ19" i="1"/>
  <c r="DF11" i="1"/>
  <c r="CL11" i="1"/>
  <c r="DD11" i="1"/>
  <c r="BF11" i="1"/>
  <c r="FF19" i="1"/>
  <c r="AS19" i="1"/>
  <c r="BX19" i="1"/>
  <c r="CM19" i="1"/>
  <c r="CZ11" i="1"/>
  <c r="AQ11" i="1"/>
  <c r="BV11" i="1"/>
  <c r="CC7" i="16"/>
  <c r="AS26" i="1"/>
  <c r="BX26" i="1"/>
  <c r="CN26" i="1"/>
  <c r="CZ18" i="1"/>
  <c r="CZ10" i="1"/>
  <c r="AQ26" i="1"/>
  <c r="BV26" i="1"/>
  <c r="DF12" i="1"/>
  <c r="DD26" i="1"/>
  <c r="AS20" i="1"/>
  <c r="BX20" i="1"/>
  <c r="FF20" i="1"/>
  <c r="FV16" i="1"/>
  <c r="DX16" i="1"/>
  <c r="CZ15" i="1"/>
  <c r="FE15" i="1"/>
  <c r="DF13" i="1"/>
  <c r="BF13" i="1"/>
  <c r="DD12" i="1"/>
  <c r="CN9" i="1"/>
  <c r="CL8" i="1"/>
  <c r="AQ8" i="1"/>
  <c r="BV8" i="1"/>
  <c r="FT10" i="1"/>
  <c r="FX9" i="1"/>
  <c r="CM18" i="1"/>
  <c r="DB12" i="1"/>
  <c r="CN10" i="1"/>
  <c r="AS18" i="1"/>
  <c r="BX18" i="1"/>
  <c r="BF18" i="1"/>
  <c r="DB16" i="1"/>
  <c r="DW15" i="1"/>
  <c r="DB13" i="1"/>
  <c r="CM10" i="1"/>
  <c r="DF8" i="1"/>
  <c r="BE8" i="1"/>
  <c r="FT15" i="1"/>
  <c r="CZ26" i="1"/>
  <c r="CM9" i="1"/>
  <c r="FV9" i="1"/>
  <c r="FF18" i="1"/>
  <c r="CN13" i="1"/>
  <c r="BF24" i="1"/>
  <c r="DF20" i="1"/>
  <c r="BF20" i="1"/>
  <c r="DF18" i="1"/>
  <c r="BE18" i="1"/>
  <c r="FE18" i="1"/>
  <c r="CZ16" i="1"/>
  <c r="FX15" i="1"/>
  <c r="DX15" i="1"/>
  <c r="DF10" i="1"/>
  <c r="CL10" i="1"/>
  <c r="DD8" i="1"/>
  <c r="AS10" i="1"/>
  <c r="BX10" i="1"/>
  <c r="CM26" i="1"/>
  <c r="DD20" i="1"/>
  <c r="DD18" i="1"/>
  <c r="CN18" i="1"/>
  <c r="FD18" i="1"/>
  <c r="FE16" i="1"/>
  <c r="FV15" i="1"/>
  <c r="HB15" i="1"/>
  <c r="EN15" i="1"/>
  <c r="DD10" i="1"/>
  <c r="BF10" i="1"/>
  <c r="AQ10" i="1"/>
  <c r="BV10" i="1"/>
  <c r="FE10" i="1"/>
  <c r="FE9" i="1"/>
  <c r="AS25" i="1"/>
  <c r="BX25" i="1"/>
  <c r="FR23" i="1"/>
  <c r="FE19" i="1"/>
  <c r="CM7" i="1"/>
  <c r="FE20" i="1"/>
  <c r="FV17" i="1"/>
  <c r="DW17" i="1"/>
  <c r="AS15" i="1"/>
  <c r="BX15" i="1"/>
  <c r="CM15" i="1"/>
  <c r="DF7" i="1"/>
  <c r="CL7" i="1"/>
  <c r="AS7" i="1"/>
  <c r="BX7" i="1"/>
  <c r="FE12" i="1"/>
  <c r="CZ21" i="1"/>
  <c r="BF25" i="1"/>
  <c r="BF21" i="1"/>
  <c r="FX19" i="1"/>
  <c r="DW18" i="1"/>
  <c r="FT17" i="1"/>
  <c r="DX17" i="1"/>
  <c r="AS16" i="1"/>
  <c r="BX16" i="1"/>
  <c r="CM16" i="1"/>
  <c r="AQ15" i="1"/>
  <c r="BV15" i="1"/>
  <c r="CL15" i="1"/>
  <c r="BF14" i="1"/>
  <c r="FF14" i="1"/>
  <c r="DD7" i="1"/>
  <c r="BF7" i="1"/>
  <c r="AQ7" i="1"/>
  <c r="BV7" i="1"/>
  <c r="FT23" i="1"/>
  <c r="FR25" i="1"/>
  <c r="FD24" i="1"/>
  <c r="FX20" i="1"/>
  <c r="FV19" i="1"/>
  <c r="DW19" i="1"/>
  <c r="DX18" i="1"/>
  <c r="AS17" i="1"/>
  <c r="BX17" i="1"/>
  <c r="CM17" i="1"/>
  <c r="HB17" i="1"/>
  <c r="EN17" i="1"/>
  <c r="AQ16" i="1"/>
  <c r="BV16" i="1"/>
  <c r="CL16" i="1"/>
  <c r="DF15" i="1"/>
  <c r="BF15" i="1"/>
  <c r="FF15" i="1"/>
  <c r="FE14" i="1"/>
  <c r="DW13" i="1"/>
  <c r="DB7" i="1"/>
  <c r="BE7" i="1"/>
  <c r="FX12" i="1"/>
  <c r="FF10" i="1"/>
  <c r="CN7" i="1"/>
  <c r="HD23" i="1"/>
  <c r="EP23" i="1"/>
  <c r="FV20" i="1"/>
  <c r="DW20" i="1"/>
  <c r="FT19" i="1"/>
  <c r="DX19" i="1"/>
  <c r="DF16" i="1"/>
  <c r="BF16" i="1"/>
  <c r="FF16" i="1"/>
  <c r="DD15" i="1"/>
  <c r="BE15" i="1"/>
  <c r="FX13" i="1"/>
  <c r="DX13" i="1"/>
  <c r="CZ7" i="1"/>
  <c r="FV12" i="1"/>
  <c r="DX12" i="1"/>
  <c r="HD7" i="1"/>
  <c r="EP7" i="1"/>
  <c r="CZ24" i="1"/>
  <c r="FD21" i="1"/>
  <c r="FT20" i="1"/>
  <c r="DX20" i="1"/>
  <c r="HB19" i="1"/>
  <c r="EN19" i="1"/>
  <c r="AQ18" i="1"/>
  <c r="BV18" i="1"/>
  <c r="DF17" i="1"/>
  <c r="BF17" i="1"/>
  <c r="DD16" i="1"/>
  <c r="DB15" i="1"/>
  <c r="CN15" i="1"/>
  <c r="FT13" i="1"/>
  <c r="HB13" i="1"/>
  <c r="EN13" i="1"/>
  <c r="FT12" i="1"/>
  <c r="DW12" i="1"/>
  <c r="FF7" i="1"/>
  <c r="K14" i="12"/>
  <c r="K22" i="12"/>
  <c r="N18" i="12"/>
  <c r="L13" i="12"/>
  <c r="K21" i="12"/>
  <c r="M20" i="12"/>
  <c r="L23" i="12"/>
  <c r="L22" i="12"/>
  <c r="L24" i="12"/>
  <c r="M17" i="12"/>
  <c r="M16" i="12"/>
  <c r="N26" i="12"/>
  <c r="M25" i="12"/>
  <c r="M24" i="12"/>
  <c r="K18" i="12"/>
  <c r="K17" i="12"/>
  <c r="K23" i="12"/>
  <c r="M22" i="12"/>
  <c r="N20" i="12"/>
  <c r="L12" i="12"/>
  <c r="L26" i="12"/>
  <c r="K20" i="12"/>
  <c r="M19" i="12"/>
  <c r="M21" i="12"/>
  <c r="M13" i="12"/>
  <c r="K15" i="12"/>
  <c r="L14" i="12"/>
  <c r="L25" i="12"/>
  <c r="L20" i="12"/>
  <c r="K13" i="12"/>
  <c r="M12" i="12"/>
  <c r="L18" i="12"/>
  <c r="L15" i="12"/>
  <c r="M14" i="12"/>
  <c r="L16" i="12"/>
  <c r="K19" i="12"/>
  <c r="N12" i="12"/>
  <c r="N25" i="12"/>
  <c r="K26" i="12"/>
  <c r="N23" i="12"/>
  <c r="N15" i="12"/>
  <c r="L19" i="12"/>
  <c r="N24" i="12"/>
  <c r="N16" i="12"/>
  <c r="N22" i="12"/>
  <c r="N14" i="12"/>
  <c r="N17" i="12"/>
  <c r="M26" i="12"/>
  <c r="N19" i="12"/>
  <c r="K24" i="12"/>
  <c r="K16" i="12"/>
  <c r="M23" i="12"/>
  <c r="M15" i="12"/>
  <c r="N21" i="12"/>
  <c r="N13" i="12"/>
  <c r="BZ26" i="1"/>
  <c r="EX25" i="1"/>
  <c r="EQ26" i="1"/>
  <c r="EH20" i="1"/>
  <c r="EI20" i="1"/>
  <c r="EF26" i="1"/>
  <c r="FN26" i="1"/>
  <c r="EX19" i="1"/>
  <c r="BY21" i="1"/>
  <c r="CF20" i="1"/>
  <c r="CV26" i="1"/>
  <c r="BN26" i="1"/>
  <c r="EJ26" i="1"/>
  <c r="EH25" i="1"/>
  <c r="EI25" i="1"/>
  <c r="FN23" i="1"/>
  <c r="EF23" i="1"/>
  <c r="CF19" i="1"/>
  <c r="BN15" i="1"/>
  <c r="CV15" i="1"/>
  <c r="ER12" i="1"/>
  <c r="EH24" i="1"/>
  <c r="EI24" i="1"/>
  <c r="BY22" i="1"/>
  <c r="BH21" i="1"/>
  <c r="CF14" i="1"/>
  <c r="EG14" i="1"/>
  <c r="FO14" i="1"/>
  <c r="BO26" i="1"/>
  <c r="CW26" i="1"/>
  <c r="DZ21" i="1"/>
  <c r="BR20" i="1"/>
  <c r="BN12" i="1"/>
  <c r="CV12" i="1"/>
  <c r="BY26" i="1"/>
  <c r="BR25" i="1"/>
  <c r="CF13" i="1"/>
  <c r="EX26" i="1"/>
  <c r="EJ19" i="1"/>
  <c r="BZ25" i="1"/>
  <c r="BQ25" i="1"/>
  <c r="BP25" i="1"/>
  <c r="CV25" i="1"/>
  <c r="BN25" i="1"/>
  <c r="EQ25" i="1"/>
  <c r="EJ24" i="1"/>
  <c r="BY23" i="1"/>
  <c r="BQ22" i="1"/>
  <c r="BP22" i="1"/>
  <c r="BH22" i="1"/>
  <c r="ER19" i="1"/>
  <c r="CV18" i="1"/>
  <c r="BN18" i="1"/>
  <c r="EH18" i="1"/>
  <c r="EI18" i="1"/>
  <c r="ER13" i="1"/>
  <c r="EQ12" i="1"/>
  <c r="BP21" i="1"/>
  <c r="BQ21" i="1"/>
  <c r="BN20" i="1"/>
  <c r="CV20" i="1"/>
  <c r="BQ26" i="1"/>
  <c r="BP26" i="1"/>
  <c r="BP23" i="1"/>
  <c r="BQ23" i="1"/>
  <c r="DZ20" i="1"/>
  <c r="EI17" i="1"/>
  <c r="EH17" i="1"/>
  <c r="CW15" i="1"/>
  <c r="BO15" i="1"/>
  <c r="CW25" i="1"/>
  <c r="BO25" i="1"/>
  <c r="EJ22" i="1"/>
  <c r="EG20" i="1"/>
  <c r="FO20" i="1"/>
  <c r="CW18" i="1"/>
  <c r="BO18" i="1"/>
  <c r="BH26" i="1"/>
  <c r="EH22" i="1"/>
  <c r="EI22" i="1"/>
  <c r="EJ21" i="1"/>
  <c r="BZ19" i="1"/>
  <c r="EQ19" i="1"/>
  <c r="DZ18" i="1"/>
  <c r="BN16" i="1"/>
  <c r="CV16" i="1"/>
  <c r="ER15" i="1"/>
  <c r="CW14" i="1"/>
  <c r="BO14" i="1"/>
  <c r="FO26" i="1"/>
  <c r="EG26" i="1"/>
  <c r="EJ23" i="1"/>
  <c r="EH21" i="1"/>
  <c r="EI21" i="1"/>
  <c r="ER18" i="1"/>
  <c r="CV14" i="1"/>
  <c r="BN14" i="1"/>
  <c r="BY12" i="1"/>
  <c r="EJ25" i="1"/>
  <c r="FN24" i="1"/>
  <c r="EF24" i="1"/>
  <c r="ER14" i="1"/>
  <c r="BY24" i="1"/>
  <c r="BH23" i="1"/>
  <c r="BR19" i="1"/>
  <c r="CV17" i="1"/>
  <c r="BN17" i="1"/>
  <c r="CF16" i="1"/>
  <c r="EH23" i="1"/>
  <c r="EI23" i="1"/>
  <c r="CF26" i="1"/>
  <c r="FN25" i="1"/>
  <c r="EF25" i="1"/>
  <c r="BR26" i="1"/>
  <c r="EI26" i="1"/>
  <c r="EH26" i="1"/>
  <c r="BY25" i="1"/>
  <c r="BH25" i="1"/>
  <c r="BP24" i="1"/>
  <c r="BQ24" i="1"/>
  <c r="BH24" i="1"/>
  <c r="FN22" i="1"/>
  <c r="EF22" i="1"/>
  <c r="EF19" i="1"/>
  <c r="FN19" i="1"/>
  <c r="EG18" i="1"/>
  <c r="FO18" i="1"/>
  <c r="CF15" i="1"/>
  <c r="CW13" i="1"/>
  <c r="BO13" i="1"/>
  <c r="DZ26" i="1"/>
  <c r="DZ25" i="1"/>
  <c r="CW24" i="1"/>
  <c r="BO24" i="1"/>
  <c r="DZ24" i="1"/>
  <c r="CW23" i="1"/>
  <c r="BO23" i="1"/>
  <c r="DZ23" i="1"/>
  <c r="CW22" i="1"/>
  <c r="BO22" i="1"/>
  <c r="DZ22" i="1"/>
  <c r="CW21" i="1"/>
  <c r="BO21" i="1"/>
  <c r="FO21" i="1"/>
  <c r="EG21" i="1"/>
  <c r="BZ20" i="1"/>
  <c r="BH20" i="1"/>
  <c r="ER20" i="1"/>
  <c r="CW19" i="1"/>
  <c r="BO19" i="1"/>
  <c r="FN18" i="1"/>
  <c r="EF18" i="1"/>
  <c r="DZ17" i="1"/>
  <c r="EH16" i="1"/>
  <c r="EI16" i="1"/>
  <c r="BN13" i="1"/>
  <c r="CV13" i="1"/>
  <c r="CF25" i="1"/>
  <c r="FO25" i="1"/>
  <c r="EG25" i="1"/>
  <c r="CF24" i="1"/>
  <c r="FO24" i="1"/>
  <c r="EG24" i="1"/>
  <c r="CF23" i="1"/>
  <c r="FO23" i="1"/>
  <c r="EG23" i="1"/>
  <c r="CF22" i="1"/>
  <c r="FO22" i="1"/>
  <c r="EG22" i="1"/>
  <c r="CF21" i="1"/>
  <c r="ER21" i="1"/>
  <c r="BP20" i="1"/>
  <c r="BQ20" i="1"/>
  <c r="EQ20" i="1"/>
  <c r="EI19" i="1"/>
  <c r="EH19" i="1"/>
  <c r="CF18" i="1"/>
  <c r="BR18" i="1"/>
  <c r="EG17" i="1"/>
  <c r="FO17" i="1"/>
  <c r="DZ16" i="1"/>
  <c r="EH15" i="1"/>
  <c r="EI15" i="1"/>
  <c r="EH13" i="1"/>
  <c r="EI13" i="1"/>
  <c r="CF12" i="1"/>
  <c r="EX12" i="1"/>
  <c r="ER26" i="1"/>
  <c r="ER25" i="1"/>
  <c r="CV24" i="1"/>
  <c r="BN24" i="1"/>
  <c r="ER24" i="1"/>
  <c r="CV23" i="1"/>
  <c r="BN23" i="1"/>
  <c r="ER23" i="1"/>
  <c r="CV22" i="1"/>
  <c r="BN22" i="1"/>
  <c r="ER22" i="1"/>
  <c r="CV21" i="1"/>
  <c r="BN21" i="1"/>
  <c r="EQ21" i="1"/>
  <c r="EX20" i="1"/>
  <c r="FN20" i="1"/>
  <c r="EF20" i="1"/>
  <c r="CV19" i="1"/>
  <c r="BN19" i="1"/>
  <c r="DZ19" i="1"/>
  <c r="EJ18" i="1"/>
  <c r="CW17" i="1"/>
  <c r="BO17" i="1"/>
  <c r="ER17" i="1"/>
  <c r="EG16" i="1"/>
  <c r="FO16" i="1"/>
  <c r="DZ15" i="1"/>
  <c r="EH14" i="1"/>
  <c r="EI14" i="1"/>
  <c r="DZ13" i="1"/>
  <c r="BR12" i="1"/>
  <c r="DZ12" i="1"/>
  <c r="BZ24" i="1"/>
  <c r="BR24" i="1"/>
  <c r="EX24" i="1"/>
  <c r="EQ24" i="1"/>
  <c r="BZ23" i="1"/>
  <c r="BR23" i="1"/>
  <c r="EX23" i="1"/>
  <c r="EQ23" i="1"/>
  <c r="BZ22" i="1"/>
  <c r="BR22" i="1"/>
  <c r="EX22" i="1"/>
  <c r="EQ22" i="1"/>
  <c r="BZ21" i="1"/>
  <c r="BR21" i="1"/>
  <c r="EX21" i="1"/>
  <c r="FN21" i="1"/>
  <c r="EF21" i="1"/>
  <c r="CW20" i="1"/>
  <c r="BO20" i="1"/>
  <c r="EJ20" i="1"/>
  <c r="EG19" i="1"/>
  <c r="FO19" i="1"/>
  <c r="BZ18" i="1"/>
  <c r="CF17" i="1"/>
  <c r="CW16" i="1"/>
  <c r="BO16" i="1"/>
  <c r="ER16" i="1"/>
  <c r="EG15" i="1"/>
  <c r="FO15" i="1"/>
  <c r="DZ14" i="1"/>
  <c r="EG13" i="1"/>
  <c r="FO13" i="1"/>
  <c r="EG12" i="1"/>
  <c r="FO12" i="1"/>
  <c r="EX18" i="1"/>
  <c r="EQ18" i="1"/>
  <c r="BZ17" i="1"/>
  <c r="BR17" i="1"/>
  <c r="EX17" i="1"/>
  <c r="EQ17" i="1"/>
  <c r="BZ16" i="1"/>
  <c r="BR16" i="1"/>
  <c r="EX16" i="1"/>
  <c r="EQ16" i="1"/>
  <c r="BZ15" i="1"/>
  <c r="BR15" i="1"/>
  <c r="EX15" i="1"/>
  <c r="EQ15" i="1"/>
  <c r="BZ14" i="1"/>
  <c r="BR14" i="1"/>
  <c r="EX14" i="1"/>
  <c r="EQ14" i="1"/>
  <c r="BZ13" i="1"/>
  <c r="BR13" i="1"/>
  <c r="EX13" i="1"/>
  <c r="EQ13" i="1"/>
  <c r="BP12" i="1"/>
  <c r="BQ12" i="1"/>
  <c r="EJ12" i="1"/>
  <c r="FN12" i="1"/>
  <c r="EF12" i="1"/>
  <c r="EJ17" i="1"/>
  <c r="EF17" i="1"/>
  <c r="FN17" i="1"/>
  <c r="EJ16" i="1"/>
  <c r="EF16" i="1"/>
  <c r="FN16" i="1"/>
  <c r="EJ15" i="1"/>
  <c r="EF15" i="1"/>
  <c r="FN15" i="1"/>
  <c r="EJ14" i="1"/>
  <c r="FN14" i="1"/>
  <c r="EF14" i="1"/>
  <c r="EJ13" i="1"/>
  <c r="FN13" i="1"/>
  <c r="EF13" i="1"/>
  <c r="BH12" i="1"/>
  <c r="BY20" i="1"/>
  <c r="BY19" i="1"/>
  <c r="BY18" i="1"/>
  <c r="BY17" i="1"/>
  <c r="BY16" i="1"/>
  <c r="BY15" i="1"/>
  <c r="BY14" i="1"/>
  <c r="BY13" i="1"/>
  <c r="CW12" i="1"/>
  <c r="BO12" i="1"/>
  <c r="BP19" i="1"/>
  <c r="BQ19" i="1"/>
  <c r="BH19" i="1"/>
  <c r="BP18" i="1"/>
  <c r="BQ18" i="1"/>
  <c r="BH18" i="1"/>
  <c r="BP17" i="1"/>
  <c r="BQ17" i="1"/>
  <c r="BH17" i="1"/>
  <c r="BP16" i="1"/>
  <c r="BQ16" i="1"/>
  <c r="BH16" i="1"/>
  <c r="BP15" i="1"/>
  <c r="BQ15" i="1"/>
  <c r="BH15" i="1"/>
  <c r="BP14" i="1"/>
  <c r="BQ14" i="1"/>
  <c r="BH14" i="1"/>
  <c r="BP13" i="1"/>
  <c r="BQ13" i="1"/>
  <c r="BH13" i="1"/>
  <c r="BZ12" i="1"/>
  <c r="EH12" i="1"/>
  <c r="EI12" i="1"/>
  <c r="FE22" i="1"/>
  <c r="FV22" i="1"/>
  <c r="DX22" i="1"/>
  <c r="FX22" i="1"/>
  <c r="DW22" i="1"/>
  <c r="DX26" i="1"/>
  <c r="FX26" i="1"/>
  <c r="AS24" i="1"/>
  <c r="BX24" i="1"/>
  <c r="CZ23" i="1"/>
  <c r="FR22" i="1"/>
  <c r="HD22" i="1"/>
  <c r="EP22" i="1"/>
  <c r="CM22" i="1"/>
  <c r="DB22" i="1"/>
  <c r="FF22" i="1"/>
  <c r="DD22" i="1"/>
  <c r="CN22" i="1"/>
  <c r="DF22" i="1"/>
  <c r="AQ22" i="1"/>
  <c r="BV22" i="1"/>
  <c r="BE22" i="1"/>
  <c r="HD25" i="1"/>
  <c r="EP25" i="1"/>
  <c r="AS22" i="1"/>
  <c r="BX22" i="1"/>
  <c r="HD21" i="1"/>
  <c r="EP21" i="1"/>
  <c r="FE21" i="1"/>
  <c r="FV21" i="1"/>
  <c r="DX21" i="1"/>
  <c r="FX21" i="1"/>
  <c r="DW21" i="1"/>
  <c r="HB25" i="1"/>
  <c r="EN25" i="1"/>
  <c r="FT22" i="1"/>
  <c r="FF25" i="1"/>
  <c r="CL25" i="1"/>
  <c r="DB25" i="1"/>
  <c r="CN25" i="1"/>
  <c r="CM25" i="1"/>
  <c r="DD25" i="1"/>
  <c r="AQ25" i="1"/>
  <c r="BV25" i="1"/>
  <c r="BE25" i="1"/>
  <c r="DF25" i="1"/>
  <c r="CM23" i="1"/>
  <c r="DB23" i="1"/>
  <c r="FF23" i="1"/>
  <c r="DD23" i="1"/>
  <c r="CN23" i="1"/>
  <c r="DF23" i="1"/>
  <c r="AQ23" i="1"/>
  <c r="BV23" i="1"/>
  <c r="BE23" i="1"/>
  <c r="HB22" i="1"/>
  <c r="EN22" i="1"/>
  <c r="AS21" i="1"/>
  <c r="BX21" i="1"/>
  <c r="FE25" i="1"/>
  <c r="FE24" i="1"/>
  <c r="FV24" i="1"/>
  <c r="DX24" i="1"/>
  <c r="FX24" i="1"/>
  <c r="DW24" i="1"/>
  <c r="HB26" i="1"/>
  <c r="EN26" i="1"/>
  <c r="FR24" i="1"/>
  <c r="HD24" i="1"/>
  <c r="EP24" i="1"/>
  <c r="FE23" i="1"/>
  <c r="FV23" i="1"/>
  <c r="DX23" i="1"/>
  <c r="FX23" i="1"/>
  <c r="DW23" i="1"/>
  <c r="BF22" i="1"/>
  <c r="FT21" i="1"/>
  <c r="FV7" i="1"/>
  <c r="FX7" i="1"/>
  <c r="FE7" i="1"/>
  <c r="DW7" i="1"/>
  <c r="FR7" i="1"/>
  <c r="DX7" i="1"/>
  <c r="FT7" i="1"/>
  <c r="DX25" i="1"/>
  <c r="FX25" i="1"/>
  <c r="DW25" i="1"/>
  <c r="CM24" i="1"/>
  <c r="DB24" i="1"/>
  <c r="FF24" i="1"/>
  <c r="DD24" i="1"/>
  <c r="CN24" i="1"/>
  <c r="DF24" i="1"/>
  <c r="AQ24" i="1"/>
  <c r="BV24" i="1"/>
  <c r="BE24" i="1"/>
  <c r="CL22" i="1"/>
  <c r="CM21" i="1"/>
  <c r="DB21" i="1"/>
  <c r="FF21" i="1"/>
  <c r="DD21" i="1"/>
  <c r="CN21" i="1"/>
  <c r="DF21" i="1"/>
  <c r="AQ21" i="1"/>
  <c r="BV21" i="1"/>
  <c r="BE21" i="1"/>
  <c r="FV26" i="1"/>
  <c r="FF26" i="1"/>
  <c r="CL26" i="1"/>
  <c r="DB26" i="1"/>
  <c r="BE26" i="1"/>
  <c r="DF26" i="1"/>
  <c r="CZ25" i="1"/>
  <c r="FT25" i="1"/>
  <c r="HB24" i="1"/>
  <c r="EN24" i="1"/>
  <c r="AS23" i="1"/>
  <c r="BX23" i="1"/>
  <c r="CZ22" i="1"/>
  <c r="FD22" i="1"/>
  <c r="FR21" i="1"/>
  <c r="HB21" i="1"/>
  <c r="EN21" i="1"/>
  <c r="DW9" i="1"/>
  <c r="DX9" i="1"/>
  <c r="FR9" i="1"/>
  <c r="FT9" i="1"/>
  <c r="FF12" i="1"/>
  <c r="BE12" i="1"/>
  <c r="BF12" i="1"/>
  <c r="CZ12" i="1"/>
  <c r="CZ9" i="1"/>
  <c r="AQ9" i="1"/>
  <c r="BV9" i="1"/>
  <c r="BE9" i="1"/>
  <c r="DB9" i="1"/>
  <c r="AS9" i="1"/>
  <c r="BX9" i="1"/>
  <c r="BF9" i="1"/>
  <c r="DD9" i="1"/>
  <c r="CL9" i="1"/>
  <c r="DF9" i="1"/>
  <c r="FV11" i="1"/>
  <c r="FX11" i="1"/>
  <c r="FE11" i="1"/>
  <c r="CN8" i="1"/>
  <c r="FF8" i="1"/>
  <c r="CZ8" i="1"/>
  <c r="FV13" i="1"/>
  <c r="FE13" i="1"/>
  <c r="FF11" i="1"/>
  <c r="HD12" i="1"/>
  <c r="EP12" i="1"/>
  <c r="HD10" i="1"/>
  <c r="EP10" i="1"/>
  <c r="HD8" i="1"/>
  <c r="EP8" i="1"/>
  <c r="FR20" i="1"/>
  <c r="FR19" i="1"/>
  <c r="FR18" i="1"/>
  <c r="FR17" i="1"/>
  <c r="FR16" i="1"/>
  <c r="FR15" i="1"/>
  <c r="FR14" i="1"/>
  <c r="FR13" i="1"/>
  <c r="DZ7" i="1"/>
  <c r="EQ7" i="1"/>
  <c r="BH8" i="1"/>
  <c r="BP11" i="1"/>
  <c r="BQ11" i="1"/>
  <c r="EQ8" i="1"/>
  <c r="EI11" i="1"/>
  <c r="EH11" i="1"/>
  <c r="CV9" i="1"/>
  <c r="BN9" i="1"/>
  <c r="EJ9" i="1"/>
  <c r="BR10" i="1"/>
  <c r="EJ10" i="1"/>
  <c r="DZ9" i="1"/>
  <c r="EX11" i="1"/>
  <c r="DZ10" i="1"/>
  <c r="BN11" i="1"/>
  <c r="CV11" i="1"/>
  <c r="BH10" i="1"/>
  <c r="FO8" i="1"/>
  <c r="EG8" i="1"/>
  <c r="ER7" i="1"/>
  <c r="EG10" i="1"/>
  <c r="FO10" i="1"/>
  <c r="CF8" i="1"/>
  <c r="BP7" i="1"/>
  <c r="BQ7" i="1"/>
  <c r="CF10" i="1"/>
  <c r="BP9" i="1"/>
  <c r="BQ9" i="1"/>
  <c r="BR8" i="1"/>
  <c r="CV7" i="1"/>
  <c r="BN7" i="1"/>
  <c r="BH11" i="1"/>
  <c r="BH9" i="1"/>
  <c r="BH7" i="1"/>
  <c r="EH10" i="1"/>
  <c r="EI10" i="1"/>
  <c r="ER8" i="1"/>
  <c r="FO7" i="1"/>
  <c r="EG7" i="1"/>
  <c r="BQ10" i="1"/>
  <c r="BP10" i="1"/>
  <c r="BP8" i="1"/>
  <c r="BQ8" i="1"/>
  <c r="EJ11" i="1"/>
  <c r="EH9" i="1"/>
  <c r="EI9" i="1"/>
  <c r="EF7" i="1"/>
  <c r="FN7" i="1"/>
  <c r="CF11" i="1"/>
  <c r="CV10" i="1"/>
  <c r="BN10" i="1"/>
  <c r="CF9" i="1"/>
  <c r="CV8" i="1"/>
  <c r="BN8" i="1"/>
  <c r="CF7" i="1"/>
  <c r="DZ11" i="1"/>
  <c r="FO9" i="1"/>
  <c r="EG9" i="1"/>
  <c r="EI8" i="1"/>
  <c r="EH8" i="1"/>
  <c r="BR11" i="1"/>
  <c r="BR9" i="1"/>
  <c r="BR7" i="1"/>
  <c r="EF11" i="1"/>
  <c r="FN11" i="1"/>
  <c r="EX10" i="1"/>
  <c r="ER9" i="1"/>
  <c r="DZ8" i="1"/>
  <c r="CW11" i="1"/>
  <c r="BO11" i="1"/>
  <c r="CW10" i="1"/>
  <c r="BO10" i="1"/>
  <c r="BO9" i="1"/>
  <c r="CW9" i="1"/>
  <c r="CW8" i="1"/>
  <c r="BO8" i="1"/>
  <c r="CW7" i="1"/>
  <c r="BO7" i="1"/>
  <c r="FO11" i="1"/>
  <c r="EG11" i="1"/>
  <c r="ER10" i="1"/>
  <c r="EQ9" i="1"/>
  <c r="EF8" i="1"/>
  <c r="FN8" i="1"/>
  <c r="EX7" i="1"/>
  <c r="BZ11" i="1"/>
  <c r="BZ10" i="1"/>
  <c r="BZ9" i="1"/>
  <c r="BZ8" i="1"/>
  <c r="BZ7" i="1"/>
  <c r="ER11" i="1"/>
  <c r="EQ10" i="1"/>
  <c r="FN9" i="1"/>
  <c r="EF9" i="1"/>
  <c r="EX8" i="1"/>
  <c r="EJ7" i="1"/>
  <c r="BY11" i="1"/>
  <c r="BY10" i="1"/>
  <c r="BY9" i="1"/>
  <c r="BY8" i="1"/>
  <c r="BY7" i="1"/>
  <c r="EQ11" i="1"/>
  <c r="EF10" i="1"/>
  <c r="FN10" i="1"/>
  <c r="EX9" i="1"/>
  <c r="EJ8" i="1"/>
  <c r="EH7" i="1"/>
  <c r="EI7" i="1"/>
  <c r="T8" i="1"/>
  <c r="W7" i="1"/>
  <c r="T11" i="1"/>
  <c r="M7" i="21"/>
  <c r="T10" i="1"/>
  <c r="W9" i="1"/>
  <c r="W10" i="1"/>
  <c r="W8" i="1"/>
  <c r="T7" i="1"/>
  <c r="W11" i="1"/>
  <c r="T9" i="1"/>
  <c r="L7" i="1"/>
  <c r="H13" i="5"/>
  <c r="H14" i="5"/>
  <c r="AB10" i="16"/>
  <c r="V8" i="1"/>
  <c r="U11" i="1"/>
  <c r="AB11" i="16"/>
  <c r="L11" i="1"/>
  <c r="L9" i="1"/>
  <c r="W13" i="5"/>
  <c r="W14" i="5"/>
  <c r="T13" i="5"/>
  <c r="E13" i="5"/>
  <c r="AB8" i="16"/>
  <c r="L10" i="1"/>
  <c r="U13" i="5"/>
  <c r="AB9" i="16"/>
  <c r="B13" i="5"/>
  <c r="B14" i="5"/>
  <c r="V9" i="1"/>
  <c r="U10" i="1"/>
  <c r="U9" i="1"/>
  <c r="V10" i="1"/>
  <c r="U7" i="1"/>
  <c r="N13" i="5"/>
  <c r="N14" i="5"/>
  <c r="V11" i="1"/>
  <c r="Q13" i="5"/>
  <c r="AB7" i="16"/>
  <c r="L8" i="1"/>
  <c r="K13" i="5"/>
  <c r="K14" i="5"/>
  <c r="V7" i="1"/>
  <c r="U8" i="1"/>
  <c r="I13" i="5"/>
  <c r="X13" i="5"/>
  <c r="F13" i="5"/>
  <c r="C13" i="5"/>
  <c r="O13" i="5"/>
  <c r="R13" i="5"/>
  <c r="L13" i="5"/>
  <c r="I14" i="5"/>
  <c r="H15" i="5"/>
  <c r="X14" i="5"/>
  <c r="W15" i="5"/>
  <c r="B15" i="5"/>
  <c r="C14" i="5"/>
  <c r="N15" i="5"/>
  <c r="O14" i="5"/>
  <c r="L14" i="5"/>
  <c r="K15" i="5"/>
  <c r="H16" i="5"/>
  <c r="I15" i="5"/>
  <c r="W16" i="5"/>
  <c r="X15" i="5"/>
  <c r="B16" i="5"/>
  <c r="C15" i="5"/>
  <c r="N16" i="5"/>
  <c r="O15" i="5"/>
  <c r="K16" i="5"/>
  <c r="L15" i="5"/>
  <c r="H17" i="5"/>
  <c r="I16" i="5"/>
  <c r="W17" i="5"/>
  <c r="X16" i="5"/>
  <c r="B17" i="5"/>
  <c r="C16" i="5"/>
  <c r="O16" i="5"/>
  <c r="N17" i="5"/>
  <c r="L16" i="5"/>
  <c r="K17" i="5"/>
  <c r="H18" i="5"/>
  <c r="I17" i="5"/>
  <c r="W18" i="5"/>
  <c r="X17" i="5"/>
  <c r="B18" i="5"/>
  <c r="C17" i="5"/>
  <c r="O17" i="5"/>
  <c r="N18" i="5"/>
  <c r="K18" i="5"/>
  <c r="L17" i="5"/>
  <c r="H19" i="5"/>
  <c r="I18" i="5"/>
  <c r="X18" i="5"/>
  <c r="W19" i="5"/>
  <c r="B19" i="5"/>
  <c r="C18" i="5"/>
  <c r="O18" i="5"/>
  <c r="N19" i="5"/>
  <c r="L18" i="5"/>
  <c r="K19" i="5"/>
  <c r="H20" i="5"/>
  <c r="I19" i="5"/>
  <c r="W20" i="5"/>
  <c r="X19" i="5"/>
  <c r="B20" i="5"/>
  <c r="C19" i="5"/>
  <c r="N20" i="5"/>
  <c r="O19" i="5"/>
  <c r="K20" i="5"/>
  <c r="L19" i="5"/>
  <c r="H21" i="5"/>
  <c r="I20" i="5"/>
  <c r="X20" i="5"/>
  <c r="W21" i="5"/>
  <c r="B21" i="5"/>
  <c r="C20" i="5"/>
  <c r="N21" i="5"/>
  <c r="O20" i="5"/>
  <c r="K21" i="5"/>
  <c r="L20" i="5"/>
  <c r="I21" i="5"/>
  <c r="H22" i="5"/>
  <c r="W22" i="5"/>
  <c r="X21" i="5"/>
  <c r="B22" i="5"/>
  <c r="C21" i="5"/>
  <c r="N22" i="5"/>
  <c r="O21" i="5"/>
  <c r="K22" i="5"/>
  <c r="L21" i="5"/>
  <c r="H23" i="5"/>
  <c r="I22" i="5"/>
  <c r="X22" i="5"/>
  <c r="W23" i="5"/>
  <c r="B23" i="5"/>
  <c r="C22" i="5"/>
  <c r="O22" i="5"/>
  <c r="N23" i="5"/>
  <c r="L22" i="5"/>
  <c r="K23" i="5"/>
  <c r="H24" i="5"/>
  <c r="I23" i="5"/>
  <c r="W24" i="5"/>
  <c r="X23" i="5"/>
  <c r="B24" i="5"/>
  <c r="C23" i="5"/>
  <c r="N24" i="5"/>
  <c r="O23" i="5"/>
  <c r="K24" i="5"/>
  <c r="L23" i="5"/>
  <c r="H25" i="5"/>
  <c r="I24" i="5"/>
  <c r="W25" i="5"/>
  <c r="X24" i="5"/>
  <c r="C24" i="5"/>
  <c r="B25" i="5"/>
  <c r="O24" i="5"/>
  <c r="N25" i="5"/>
  <c r="L24" i="5"/>
  <c r="K25" i="5"/>
  <c r="H26" i="5"/>
  <c r="I25" i="5"/>
  <c r="W26" i="5"/>
  <c r="X25" i="5"/>
  <c r="B26" i="5"/>
  <c r="C25" i="5"/>
  <c r="N26" i="5"/>
  <c r="O25" i="5"/>
  <c r="K26" i="5"/>
  <c r="L25" i="5"/>
  <c r="H27" i="5"/>
  <c r="I26" i="5"/>
  <c r="X26" i="5"/>
  <c r="W27" i="5"/>
  <c r="B27" i="5"/>
  <c r="C26" i="5"/>
  <c r="O26" i="5"/>
  <c r="N27" i="5"/>
  <c r="L26" i="5"/>
  <c r="K27" i="5"/>
  <c r="H28" i="5"/>
  <c r="I27" i="5"/>
  <c r="W28" i="5"/>
  <c r="X27" i="5"/>
  <c r="B28" i="5"/>
  <c r="C27" i="5"/>
  <c r="N28" i="5"/>
  <c r="O27" i="5"/>
  <c r="K28" i="5"/>
  <c r="L27" i="5"/>
  <c r="H29" i="5"/>
  <c r="I28" i="5"/>
  <c r="X28" i="5"/>
  <c r="W29" i="5"/>
  <c r="C28" i="5"/>
  <c r="B29" i="5"/>
  <c r="N29" i="5"/>
  <c r="O28" i="5"/>
  <c r="K29" i="5"/>
  <c r="L28" i="5"/>
  <c r="I29" i="5"/>
  <c r="H30" i="5"/>
  <c r="W30" i="5"/>
  <c r="X29" i="5"/>
  <c r="C29" i="5"/>
  <c r="B30" i="5"/>
  <c r="N30" i="5"/>
  <c r="O29" i="5"/>
  <c r="K30" i="5"/>
  <c r="L29" i="5"/>
  <c r="H31" i="5"/>
  <c r="I30" i="5"/>
  <c r="X30" i="5"/>
  <c r="W31" i="5"/>
  <c r="C30" i="5"/>
  <c r="B31" i="5"/>
  <c r="N31" i="5"/>
  <c r="O30" i="5"/>
  <c r="L30" i="5"/>
  <c r="K31" i="5"/>
  <c r="H32" i="5"/>
  <c r="I31" i="5"/>
  <c r="W32" i="5"/>
  <c r="X31" i="5"/>
  <c r="B32" i="5"/>
  <c r="C31" i="5"/>
  <c r="N32" i="5"/>
  <c r="O31" i="5"/>
  <c r="K32" i="5"/>
  <c r="L31" i="5"/>
  <c r="H33" i="5"/>
  <c r="I32" i="5"/>
  <c r="W33" i="5"/>
  <c r="X32" i="5"/>
  <c r="B33" i="5"/>
  <c r="C32" i="5"/>
  <c r="O32" i="5"/>
  <c r="N33" i="5"/>
  <c r="L32" i="5"/>
  <c r="K33" i="5"/>
  <c r="H34" i="5"/>
  <c r="I33" i="5"/>
  <c r="W34" i="5"/>
  <c r="X33" i="5"/>
  <c r="B34" i="5"/>
  <c r="C33" i="5"/>
  <c r="N34" i="5"/>
  <c r="O33" i="5"/>
  <c r="K34" i="5"/>
  <c r="L33" i="5"/>
  <c r="H35" i="5"/>
  <c r="I34" i="5"/>
  <c r="W35" i="5"/>
  <c r="X34" i="5"/>
  <c r="B35" i="5"/>
  <c r="C34" i="5"/>
  <c r="O34" i="5"/>
  <c r="N35" i="5"/>
  <c r="L34" i="5"/>
  <c r="K35" i="5"/>
  <c r="I35" i="5"/>
  <c r="H36" i="5"/>
  <c r="W36" i="5"/>
  <c r="X35" i="5"/>
  <c r="B36" i="5"/>
  <c r="C35" i="5"/>
  <c r="N36" i="5"/>
  <c r="O35" i="5"/>
  <c r="K36" i="5"/>
  <c r="L35" i="5"/>
  <c r="I36" i="5"/>
  <c r="H37" i="5"/>
  <c r="X36" i="5"/>
  <c r="W37" i="5"/>
  <c r="B37" i="5"/>
  <c r="C36" i="5"/>
  <c r="N37" i="5"/>
  <c r="O36" i="5"/>
  <c r="K37" i="5"/>
  <c r="L36" i="5"/>
  <c r="I37" i="5"/>
  <c r="H38" i="5"/>
  <c r="W38" i="5"/>
  <c r="X37" i="5"/>
  <c r="B38" i="5"/>
  <c r="C37" i="5"/>
  <c r="N38" i="5"/>
  <c r="O37" i="5"/>
  <c r="K38" i="5"/>
  <c r="L37" i="5"/>
  <c r="H39" i="5"/>
  <c r="I38" i="5"/>
  <c r="X38" i="5"/>
  <c r="W39" i="5"/>
  <c r="B39" i="5"/>
  <c r="C38" i="5"/>
  <c r="N39" i="5"/>
  <c r="O38" i="5"/>
  <c r="L38" i="5"/>
  <c r="K39" i="5"/>
  <c r="H40" i="5"/>
  <c r="I39" i="5"/>
  <c r="W40" i="5"/>
  <c r="X39" i="5"/>
  <c r="B40" i="5"/>
  <c r="C39" i="5"/>
  <c r="N40" i="5"/>
  <c r="O39" i="5"/>
  <c r="K40" i="5"/>
  <c r="L39" i="5"/>
  <c r="H41" i="5"/>
  <c r="I40" i="5"/>
  <c r="X40" i="5"/>
  <c r="W41" i="5"/>
  <c r="C40" i="5"/>
  <c r="B41" i="5"/>
  <c r="O40" i="5"/>
  <c r="N41" i="5"/>
  <c r="L40" i="5"/>
  <c r="K41" i="5"/>
  <c r="H42" i="5"/>
  <c r="I41" i="5"/>
  <c r="W42" i="5"/>
  <c r="X41" i="5"/>
  <c r="B42" i="5"/>
  <c r="C41" i="5"/>
  <c r="N42" i="5"/>
  <c r="O41" i="5"/>
  <c r="K42" i="5"/>
  <c r="L41" i="5"/>
  <c r="H43" i="5"/>
  <c r="I42" i="5"/>
  <c r="X42" i="5"/>
  <c r="W43" i="5"/>
  <c r="B43" i="5"/>
  <c r="C42" i="5"/>
  <c r="O42" i="5"/>
  <c r="N43" i="5"/>
  <c r="K43" i="5"/>
  <c r="L42" i="5"/>
  <c r="I43" i="5"/>
  <c r="H44" i="5"/>
  <c r="W44" i="5"/>
  <c r="X43" i="5"/>
  <c r="B44" i="5"/>
  <c r="C43" i="5"/>
  <c r="N44" i="5"/>
  <c r="O43" i="5"/>
  <c r="K44" i="5"/>
  <c r="L43" i="5"/>
  <c r="I44" i="5"/>
  <c r="H45" i="5"/>
  <c r="X44" i="5"/>
  <c r="W45" i="5"/>
  <c r="C44" i="5"/>
  <c r="B45" i="5"/>
  <c r="N45" i="5"/>
  <c r="O44" i="5"/>
  <c r="K45" i="5"/>
  <c r="L44" i="5"/>
  <c r="I45" i="5"/>
  <c r="H46" i="5"/>
  <c r="W46" i="5"/>
  <c r="X45" i="5"/>
  <c r="C45" i="5"/>
  <c r="B46" i="5"/>
  <c r="N46" i="5"/>
  <c r="O45" i="5"/>
  <c r="K46" i="5"/>
  <c r="L45" i="5"/>
  <c r="H47" i="5"/>
  <c r="I46" i="5"/>
  <c r="X46" i="5"/>
  <c r="W47" i="5"/>
  <c r="C46" i="5"/>
  <c r="B47" i="5"/>
  <c r="N47" i="5"/>
  <c r="O46" i="5"/>
  <c r="L46" i="5"/>
  <c r="K47" i="5"/>
  <c r="H48" i="5"/>
  <c r="I47" i="5"/>
  <c r="W48" i="5"/>
  <c r="X47" i="5"/>
  <c r="B48" i="5"/>
  <c r="C47" i="5"/>
  <c r="N48" i="5"/>
  <c r="O47" i="5"/>
  <c r="K48" i="5"/>
  <c r="L47" i="5"/>
  <c r="H49" i="5"/>
  <c r="I48" i="5"/>
  <c r="W49" i="5"/>
  <c r="X48" i="5"/>
  <c r="C48" i="5"/>
  <c r="B49" i="5"/>
  <c r="O48" i="5"/>
  <c r="N49" i="5"/>
  <c r="L48" i="5"/>
  <c r="K49" i="5"/>
  <c r="H50" i="5"/>
  <c r="I49" i="5"/>
  <c r="W50" i="5"/>
  <c r="X49" i="5"/>
  <c r="B50" i="5"/>
  <c r="C49" i="5"/>
  <c r="N50" i="5"/>
  <c r="O49" i="5"/>
  <c r="K50" i="5"/>
  <c r="L49" i="5"/>
  <c r="H51" i="5"/>
  <c r="I50" i="5"/>
  <c r="X50" i="5"/>
  <c r="W51" i="5"/>
  <c r="B51" i="5"/>
  <c r="C50" i="5"/>
  <c r="O50" i="5"/>
  <c r="N51" i="5"/>
  <c r="L50" i="5"/>
  <c r="K51" i="5"/>
  <c r="I51" i="5"/>
  <c r="H52" i="5"/>
  <c r="W52" i="5"/>
  <c r="X51" i="5"/>
  <c r="B52" i="5"/>
  <c r="C51" i="5"/>
  <c r="N52" i="5"/>
  <c r="O51" i="5"/>
  <c r="L51" i="5"/>
  <c r="K52" i="5"/>
  <c r="I52" i="5"/>
  <c r="H53" i="5"/>
  <c r="X52" i="5"/>
  <c r="W53" i="5"/>
  <c r="C52" i="5"/>
  <c r="B53" i="5"/>
  <c r="N53" i="5"/>
  <c r="O52" i="5"/>
  <c r="K53" i="5"/>
  <c r="L52" i="5"/>
  <c r="H54" i="5"/>
  <c r="I53" i="5"/>
  <c r="W54" i="5"/>
  <c r="X53" i="5"/>
  <c r="C53" i="5"/>
  <c r="B54" i="5"/>
  <c r="O53" i="5"/>
  <c r="N54" i="5"/>
  <c r="K54" i="5"/>
  <c r="L53" i="5"/>
  <c r="H55" i="5"/>
  <c r="I54" i="5"/>
  <c r="X54" i="5"/>
  <c r="W55" i="5"/>
  <c r="C54" i="5"/>
  <c r="B55" i="5"/>
  <c r="O54" i="5"/>
  <c r="N55" i="5"/>
  <c r="K55" i="5"/>
  <c r="L54" i="5"/>
  <c r="I55" i="5"/>
  <c r="H56" i="5"/>
  <c r="W56" i="5"/>
  <c r="X55" i="5"/>
  <c r="B56" i="5"/>
  <c r="C55" i="5"/>
  <c r="O55" i="5"/>
  <c r="N56" i="5"/>
  <c r="K56" i="5"/>
  <c r="L55" i="5"/>
  <c r="H57" i="5"/>
  <c r="I56" i="5"/>
  <c r="W57" i="5"/>
  <c r="X56" i="5"/>
  <c r="B57" i="5"/>
  <c r="C56" i="5"/>
  <c r="O56" i="5"/>
  <c r="N57" i="5"/>
  <c r="K57" i="5"/>
  <c r="L56" i="5"/>
  <c r="I57" i="5"/>
  <c r="H58" i="5"/>
  <c r="W58" i="5"/>
  <c r="X57" i="5"/>
  <c r="C57" i="5"/>
  <c r="B58" i="5"/>
  <c r="N58" i="5"/>
  <c r="O57" i="5"/>
  <c r="K58" i="5"/>
  <c r="L57" i="5"/>
  <c r="H59" i="5"/>
  <c r="I58" i="5"/>
  <c r="W59" i="5"/>
  <c r="X58" i="5"/>
  <c r="B59" i="5"/>
  <c r="C58" i="5"/>
  <c r="O58" i="5"/>
  <c r="N59" i="5"/>
  <c r="L58" i="5"/>
  <c r="K59" i="5"/>
  <c r="I59" i="5"/>
  <c r="H60" i="5"/>
  <c r="X59" i="5"/>
  <c r="W60" i="5"/>
  <c r="B60" i="5"/>
  <c r="C59" i="5"/>
  <c r="N60" i="5"/>
  <c r="O59" i="5"/>
  <c r="K60" i="5"/>
  <c r="L59" i="5"/>
  <c r="H61" i="5"/>
  <c r="I60" i="5"/>
  <c r="W61" i="5"/>
  <c r="X60" i="5"/>
  <c r="B61" i="5"/>
  <c r="C60" i="5"/>
  <c r="N61" i="5"/>
  <c r="O60" i="5"/>
  <c r="L60" i="5"/>
  <c r="K61" i="5"/>
  <c r="H62" i="5"/>
  <c r="I61" i="5"/>
  <c r="W62" i="5"/>
  <c r="X61" i="5"/>
  <c r="B62" i="5"/>
  <c r="C61" i="5"/>
  <c r="N62" i="5"/>
  <c r="O61" i="5"/>
  <c r="L61" i="5"/>
  <c r="K62" i="5"/>
  <c r="I62" i="5"/>
  <c r="H63" i="5"/>
  <c r="W63" i="5"/>
  <c r="X62" i="5"/>
  <c r="B63" i="5"/>
  <c r="C62" i="5"/>
  <c r="O62" i="5"/>
  <c r="N63" i="5"/>
  <c r="L62" i="5"/>
  <c r="K63" i="5"/>
  <c r="I63" i="5"/>
  <c r="H64" i="5"/>
  <c r="W64" i="5"/>
  <c r="X63" i="5"/>
  <c r="B64" i="5"/>
  <c r="C63" i="5"/>
  <c r="N64" i="5"/>
  <c r="O63" i="5"/>
  <c r="K64" i="5"/>
  <c r="L63" i="5"/>
  <c r="H65" i="5"/>
  <c r="I64" i="5"/>
  <c r="W65" i="5"/>
  <c r="X64" i="5"/>
  <c r="B65" i="5"/>
  <c r="C64" i="5"/>
  <c r="O64" i="5"/>
  <c r="N65" i="5"/>
  <c r="K65" i="5"/>
  <c r="L64" i="5"/>
  <c r="H66" i="5"/>
  <c r="I65" i="5"/>
  <c r="W66" i="5"/>
  <c r="X65" i="5"/>
  <c r="B66" i="5"/>
  <c r="C65" i="5"/>
  <c r="N66" i="5"/>
  <c r="O65" i="5"/>
  <c r="K66" i="5"/>
  <c r="L65" i="5"/>
  <c r="H67" i="5"/>
  <c r="I66" i="5"/>
  <c r="W67" i="5"/>
  <c r="X66" i="5"/>
  <c r="B67" i="5"/>
  <c r="C66" i="5"/>
  <c r="O66" i="5"/>
  <c r="N67" i="5"/>
  <c r="K67" i="5"/>
  <c r="L66" i="5"/>
  <c r="I67" i="5"/>
  <c r="H68" i="5"/>
  <c r="W68" i="5"/>
  <c r="X67" i="5"/>
  <c r="B68" i="5"/>
  <c r="C67" i="5"/>
  <c r="O67" i="5"/>
  <c r="N68" i="5"/>
  <c r="L67" i="5"/>
  <c r="K68" i="5"/>
  <c r="H69" i="5"/>
  <c r="I68" i="5"/>
  <c r="X68" i="5"/>
  <c r="W69" i="5"/>
  <c r="B69" i="5"/>
  <c r="C68" i="5"/>
  <c r="N69" i="5"/>
  <c r="O68" i="5"/>
  <c r="L68" i="5"/>
  <c r="K69" i="5"/>
  <c r="H70" i="5"/>
  <c r="I69" i="5"/>
  <c r="W70" i="5"/>
  <c r="X69" i="5"/>
  <c r="B70" i="5"/>
  <c r="C69" i="5"/>
  <c r="N70" i="5"/>
  <c r="O69" i="5"/>
  <c r="L69" i="5"/>
  <c r="K70" i="5"/>
  <c r="I70" i="5"/>
  <c r="H71" i="5"/>
  <c r="X70" i="5"/>
  <c r="W71" i="5"/>
  <c r="B71" i="5"/>
  <c r="C70" i="5"/>
  <c r="O70" i="5"/>
  <c r="N71" i="5"/>
  <c r="L70" i="5"/>
  <c r="K71" i="5"/>
  <c r="I71" i="5"/>
  <c r="H72" i="5"/>
  <c r="W72" i="5"/>
  <c r="X71" i="5"/>
  <c r="B72" i="5"/>
  <c r="C71" i="5"/>
  <c r="N72" i="5"/>
  <c r="O71" i="5"/>
  <c r="K72" i="5"/>
  <c r="L71" i="5"/>
  <c r="H73" i="5"/>
  <c r="I72" i="5"/>
  <c r="X72" i="5"/>
  <c r="W73" i="5"/>
  <c r="B73" i="5"/>
  <c r="C72" i="5"/>
  <c r="N73" i="5"/>
  <c r="O72" i="5"/>
  <c r="K73" i="5"/>
  <c r="L72" i="5"/>
  <c r="H74" i="5"/>
  <c r="I73" i="5"/>
  <c r="X73" i="5"/>
  <c r="W74" i="5"/>
  <c r="C73" i="5"/>
  <c r="B74" i="5"/>
  <c r="N74" i="5"/>
  <c r="O73" i="5"/>
  <c r="K74" i="5"/>
  <c r="L73" i="5"/>
  <c r="H75" i="5"/>
  <c r="I74" i="5"/>
  <c r="X74" i="5"/>
  <c r="W75" i="5"/>
  <c r="C74" i="5"/>
  <c r="B75" i="5"/>
  <c r="N75" i="5"/>
  <c r="O74" i="5"/>
  <c r="K75" i="5"/>
  <c r="L74" i="5"/>
  <c r="I75" i="5"/>
  <c r="H76" i="5"/>
  <c r="X75" i="5"/>
  <c r="W76" i="5"/>
  <c r="C75" i="5"/>
  <c r="B76" i="5"/>
  <c r="N76" i="5"/>
  <c r="O75" i="5"/>
  <c r="K76" i="5"/>
  <c r="L75" i="5"/>
  <c r="I76" i="5"/>
  <c r="H77" i="5"/>
  <c r="W77" i="5"/>
  <c r="X76" i="5"/>
  <c r="C76" i="5"/>
  <c r="B77" i="5"/>
  <c r="N77" i="5"/>
  <c r="O76" i="5"/>
  <c r="K77" i="5"/>
  <c r="L76" i="5"/>
  <c r="I77" i="5"/>
  <c r="H78" i="5"/>
  <c r="W78" i="5"/>
  <c r="X77" i="5"/>
  <c r="C77" i="5"/>
  <c r="B78" i="5"/>
  <c r="O77" i="5"/>
  <c r="N78" i="5"/>
  <c r="L77" i="5"/>
  <c r="K78" i="5"/>
  <c r="I78" i="5"/>
  <c r="H79" i="5"/>
  <c r="W79" i="5"/>
  <c r="X78" i="5"/>
  <c r="B79" i="5"/>
  <c r="C78" i="5"/>
  <c r="N79" i="5"/>
  <c r="O78" i="5"/>
  <c r="L78" i="5"/>
  <c r="K79" i="5"/>
  <c r="I79" i="5"/>
  <c r="H80" i="5"/>
  <c r="W80" i="5"/>
  <c r="X79" i="5"/>
  <c r="B80" i="5"/>
  <c r="C79" i="5"/>
  <c r="N80" i="5"/>
  <c r="O79" i="5"/>
  <c r="K80" i="5"/>
  <c r="L79" i="5"/>
  <c r="H81" i="5"/>
  <c r="I80" i="5"/>
  <c r="W81" i="5"/>
  <c r="X80" i="5"/>
  <c r="B81" i="5"/>
  <c r="C80" i="5"/>
  <c r="O80" i="5"/>
  <c r="N81" i="5"/>
  <c r="K81" i="5"/>
  <c r="L80" i="5"/>
  <c r="H82" i="5"/>
  <c r="I81" i="5"/>
  <c r="W82" i="5"/>
  <c r="X81" i="5"/>
  <c r="C81" i="5"/>
  <c r="B82" i="5"/>
  <c r="N82" i="5"/>
  <c r="O81" i="5"/>
  <c r="K82" i="5"/>
  <c r="L81" i="5"/>
  <c r="H83" i="5"/>
  <c r="I82" i="5"/>
  <c r="X82" i="5"/>
  <c r="W83" i="5"/>
  <c r="C82" i="5"/>
  <c r="B83" i="5"/>
  <c r="O82" i="5"/>
  <c r="N83" i="5"/>
  <c r="K83" i="5"/>
  <c r="L82" i="5"/>
  <c r="H84" i="5"/>
  <c r="I83" i="5"/>
  <c r="W84" i="5"/>
  <c r="X83" i="5"/>
  <c r="B84" i="5"/>
  <c r="C83" i="5"/>
  <c r="O83" i="5"/>
  <c r="N84" i="5"/>
  <c r="L83" i="5"/>
  <c r="K84" i="5"/>
  <c r="I84" i="5"/>
  <c r="H85" i="5"/>
  <c r="X84" i="5"/>
  <c r="W85" i="5"/>
  <c r="B85" i="5"/>
  <c r="C84" i="5"/>
  <c r="N85" i="5"/>
  <c r="O84" i="5"/>
  <c r="L84" i="5"/>
  <c r="K85" i="5"/>
  <c r="I85" i="5"/>
  <c r="H86" i="5"/>
  <c r="W86" i="5"/>
  <c r="X85" i="5"/>
  <c r="C85" i="5"/>
  <c r="B86" i="5"/>
  <c r="N86" i="5"/>
  <c r="O85" i="5"/>
  <c r="L85" i="5"/>
  <c r="K86" i="5"/>
  <c r="I86" i="5"/>
  <c r="H87" i="5"/>
  <c r="X86" i="5"/>
  <c r="W87" i="5"/>
  <c r="B87" i="5"/>
  <c r="C86" i="5"/>
  <c r="N87" i="5"/>
  <c r="O86" i="5"/>
  <c r="L86" i="5"/>
  <c r="K87" i="5"/>
  <c r="I87" i="5"/>
  <c r="H88" i="5"/>
  <c r="W88" i="5"/>
  <c r="X87" i="5"/>
  <c r="C87" i="5"/>
  <c r="B88" i="5"/>
  <c r="N88" i="5"/>
  <c r="O87" i="5"/>
  <c r="K88" i="5"/>
  <c r="L87" i="5"/>
  <c r="H89" i="5"/>
  <c r="I88" i="5"/>
  <c r="X88" i="5"/>
  <c r="W89" i="5"/>
  <c r="B89" i="5"/>
  <c r="C88" i="5"/>
  <c r="O88" i="5"/>
  <c r="N89" i="5"/>
  <c r="K89" i="5"/>
  <c r="L88" i="5"/>
  <c r="H90" i="5"/>
  <c r="I89" i="5"/>
  <c r="X89" i="5"/>
  <c r="W90" i="5"/>
  <c r="C89" i="5"/>
  <c r="B90" i="5"/>
  <c r="N90" i="5"/>
  <c r="O89" i="5"/>
  <c r="K90" i="5"/>
  <c r="L89" i="5"/>
  <c r="I90" i="5"/>
  <c r="H91" i="5"/>
  <c r="X90" i="5"/>
  <c r="W91" i="5"/>
  <c r="B91" i="5"/>
  <c r="C90" i="5"/>
  <c r="N91" i="5"/>
  <c r="O90" i="5"/>
  <c r="K91" i="5"/>
  <c r="L90" i="5"/>
  <c r="H92" i="5"/>
  <c r="I91" i="5"/>
  <c r="X91" i="5"/>
  <c r="W92" i="5"/>
  <c r="B92" i="5"/>
  <c r="C91" i="5"/>
  <c r="N92" i="5"/>
  <c r="O91" i="5"/>
  <c r="K92" i="5"/>
  <c r="L91" i="5"/>
  <c r="H93" i="5"/>
  <c r="I92" i="5"/>
  <c r="W93" i="5"/>
  <c r="X92" i="5"/>
  <c r="B93" i="5"/>
  <c r="C92" i="5"/>
  <c r="O92" i="5"/>
  <c r="N93" i="5"/>
  <c r="K93" i="5"/>
  <c r="L92" i="5"/>
  <c r="I93" i="5"/>
  <c r="H94" i="5"/>
  <c r="X93" i="5"/>
  <c r="W94" i="5"/>
  <c r="C93" i="5"/>
  <c r="B94" i="5"/>
  <c r="O93" i="5"/>
  <c r="N94" i="5"/>
  <c r="L93" i="5"/>
  <c r="K94" i="5"/>
  <c r="I94" i="5"/>
  <c r="H95" i="5"/>
  <c r="X94" i="5"/>
  <c r="W95" i="5"/>
  <c r="C94" i="5"/>
  <c r="B95" i="5"/>
  <c r="N95" i="5"/>
  <c r="O94" i="5"/>
  <c r="L94" i="5"/>
  <c r="K95" i="5"/>
  <c r="I95" i="5"/>
  <c r="H96" i="5"/>
  <c r="W96" i="5"/>
  <c r="X95" i="5"/>
  <c r="C95" i="5"/>
  <c r="B96" i="5"/>
  <c r="N96" i="5"/>
  <c r="O95" i="5"/>
  <c r="K96" i="5"/>
  <c r="L95" i="5"/>
  <c r="H97" i="5"/>
  <c r="I96" i="5"/>
  <c r="W97" i="5"/>
  <c r="X96" i="5"/>
  <c r="B97" i="5"/>
  <c r="C96" i="5"/>
  <c r="O96" i="5"/>
  <c r="N97" i="5"/>
  <c r="K97" i="5"/>
  <c r="L96" i="5"/>
  <c r="H98" i="5"/>
  <c r="I97" i="5"/>
  <c r="W98" i="5"/>
  <c r="X97" i="5"/>
  <c r="C97" i="5"/>
  <c r="B98" i="5"/>
  <c r="N98" i="5"/>
  <c r="O97" i="5"/>
  <c r="K98" i="5"/>
  <c r="L97" i="5"/>
  <c r="H99" i="5"/>
  <c r="I98" i="5"/>
  <c r="W99" i="5"/>
  <c r="X98" i="5"/>
  <c r="C98" i="5"/>
  <c r="B99" i="5"/>
  <c r="O98" i="5"/>
  <c r="N99" i="5"/>
  <c r="K99" i="5"/>
  <c r="L98" i="5"/>
  <c r="H100" i="5"/>
  <c r="I99" i="5"/>
  <c r="W100" i="5"/>
  <c r="X99" i="5"/>
  <c r="B100" i="5"/>
  <c r="C99" i="5"/>
  <c r="O99" i="5"/>
  <c r="N100" i="5"/>
  <c r="K100" i="5"/>
  <c r="L99" i="5"/>
  <c r="I100" i="5"/>
  <c r="H101" i="5"/>
  <c r="X100" i="5"/>
  <c r="W101" i="5"/>
  <c r="B101" i="5"/>
  <c r="C100" i="5"/>
  <c r="N101" i="5"/>
  <c r="O100" i="5"/>
  <c r="K101" i="5"/>
  <c r="L100" i="5"/>
  <c r="H102" i="5"/>
  <c r="I101" i="5"/>
  <c r="W102" i="5"/>
  <c r="X101" i="5"/>
  <c r="B102" i="5"/>
  <c r="C101" i="5"/>
  <c r="N102" i="5"/>
  <c r="O101" i="5"/>
  <c r="K102" i="5"/>
  <c r="L101" i="5"/>
  <c r="H103" i="5"/>
  <c r="I102" i="5"/>
  <c r="W103" i="5"/>
  <c r="X102" i="5"/>
  <c r="B103" i="5"/>
  <c r="C102" i="5"/>
  <c r="O102" i="5"/>
  <c r="N103" i="5"/>
  <c r="K103" i="5"/>
  <c r="L102" i="5"/>
  <c r="H104" i="5"/>
  <c r="I103" i="5"/>
  <c r="W104" i="5"/>
  <c r="X103" i="5"/>
  <c r="C103" i="5"/>
  <c r="B104" i="5"/>
  <c r="N104" i="5"/>
  <c r="O103" i="5"/>
  <c r="L103" i="5"/>
  <c r="K104" i="5"/>
  <c r="I104" i="5"/>
  <c r="H105" i="5"/>
  <c r="W105" i="5"/>
  <c r="X104" i="5"/>
  <c r="B105" i="5"/>
  <c r="C104" i="5"/>
  <c r="O104" i="5"/>
  <c r="N105" i="5"/>
  <c r="K105" i="5"/>
  <c r="L104" i="5"/>
  <c r="H106" i="5"/>
  <c r="I105" i="5"/>
  <c r="X105" i="5"/>
  <c r="W106" i="5"/>
  <c r="B106" i="5"/>
  <c r="C105" i="5"/>
  <c r="N106" i="5"/>
  <c r="O105" i="5"/>
  <c r="L105" i="5"/>
  <c r="K106" i="5"/>
  <c r="I106" i="5"/>
  <c r="H107" i="5"/>
  <c r="X106" i="5"/>
  <c r="W107" i="5"/>
  <c r="B107" i="5"/>
  <c r="C106" i="5"/>
  <c r="O106" i="5"/>
  <c r="N107" i="5"/>
  <c r="K107" i="5"/>
  <c r="L106" i="5"/>
  <c r="H108" i="5"/>
  <c r="I107" i="5"/>
  <c r="X107" i="5"/>
  <c r="W108" i="5"/>
  <c r="B108" i="5"/>
  <c r="C107" i="5"/>
  <c r="O107" i="5"/>
  <c r="N108" i="5"/>
  <c r="L107" i="5"/>
  <c r="K108" i="5"/>
  <c r="H109" i="5"/>
  <c r="I108" i="5"/>
  <c r="X108" i="5"/>
  <c r="W109" i="5"/>
  <c r="B109" i="5"/>
  <c r="C108" i="5"/>
  <c r="N109" i="5"/>
  <c r="O108" i="5"/>
  <c r="K109" i="5"/>
  <c r="L108" i="5"/>
  <c r="H110" i="5"/>
  <c r="I109" i="5"/>
  <c r="W110" i="5"/>
  <c r="X109" i="5"/>
  <c r="B110" i="5"/>
  <c r="C109" i="5"/>
  <c r="O109" i="5"/>
  <c r="N110" i="5"/>
  <c r="K110" i="5"/>
  <c r="L109" i="5"/>
  <c r="H111" i="5"/>
  <c r="I110" i="5"/>
  <c r="X110" i="5"/>
  <c r="W111" i="5"/>
  <c r="B111" i="5"/>
  <c r="C110" i="5"/>
  <c r="N111" i="5"/>
  <c r="O110" i="5"/>
  <c r="K111" i="5"/>
  <c r="L110" i="5"/>
  <c r="H112" i="5"/>
  <c r="I111" i="5"/>
  <c r="W112" i="5"/>
  <c r="X111" i="5"/>
  <c r="C111" i="5"/>
  <c r="B112" i="5"/>
  <c r="N112" i="5"/>
  <c r="O111" i="5"/>
  <c r="L111" i="5"/>
  <c r="K112" i="5"/>
  <c r="I112" i="5"/>
  <c r="H113" i="5"/>
  <c r="W113" i="5"/>
  <c r="X112" i="5"/>
  <c r="B113" i="5"/>
  <c r="C112" i="5"/>
  <c r="O112" i="5"/>
  <c r="N113" i="5"/>
  <c r="K113" i="5"/>
  <c r="L112" i="5"/>
  <c r="H114" i="5"/>
  <c r="I113" i="5"/>
  <c r="W114" i="5"/>
  <c r="X113" i="5"/>
  <c r="B114" i="5"/>
  <c r="C113" i="5"/>
  <c r="N114" i="5"/>
  <c r="O113" i="5"/>
  <c r="L113" i="5"/>
  <c r="K114" i="5"/>
  <c r="H115" i="5"/>
  <c r="I114" i="5"/>
  <c r="X114" i="5"/>
  <c r="W115" i="5"/>
  <c r="B115" i="5"/>
  <c r="C114" i="5"/>
  <c r="N115" i="5"/>
  <c r="O114" i="5"/>
  <c r="K115" i="5"/>
  <c r="L114" i="5"/>
  <c r="H116" i="5"/>
  <c r="I115" i="5"/>
  <c r="W116" i="5"/>
  <c r="X115" i="5"/>
  <c r="B116" i="5"/>
  <c r="C115" i="5"/>
  <c r="O115" i="5"/>
  <c r="N116" i="5"/>
  <c r="K116" i="5"/>
  <c r="L115" i="5"/>
  <c r="H117" i="5"/>
  <c r="I116" i="5"/>
  <c r="W117" i="5"/>
  <c r="X116" i="5"/>
  <c r="B117" i="5"/>
  <c r="C116" i="5"/>
  <c r="N117" i="5"/>
  <c r="O116" i="5"/>
  <c r="K117" i="5"/>
  <c r="L116" i="5"/>
  <c r="H118" i="5"/>
  <c r="I117" i="5"/>
  <c r="W118" i="5"/>
  <c r="X117" i="5"/>
  <c r="C117" i="5"/>
  <c r="B118" i="5"/>
  <c r="O117" i="5"/>
  <c r="N118" i="5"/>
  <c r="K118" i="5"/>
  <c r="L117" i="5"/>
  <c r="H119" i="5"/>
  <c r="I118" i="5"/>
  <c r="W119" i="5"/>
  <c r="X118" i="5"/>
  <c r="B119" i="5"/>
  <c r="C118" i="5"/>
  <c r="O118" i="5"/>
  <c r="N119" i="5"/>
  <c r="K119" i="5"/>
  <c r="L118" i="5"/>
  <c r="H120" i="5"/>
  <c r="I119" i="5"/>
  <c r="W120" i="5"/>
  <c r="X119" i="5"/>
  <c r="C119" i="5"/>
  <c r="B120" i="5"/>
  <c r="O119" i="5"/>
  <c r="N120" i="5"/>
  <c r="L119" i="5"/>
  <c r="K120" i="5"/>
  <c r="I120" i="5"/>
  <c r="H121" i="5"/>
  <c r="W121" i="5"/>
  <c r="X120" i="5"/>
  <c r="B121" i="5"/>
  <c r="C120" i="5"/>
  <c r="O120" i="5"/>
  <c r="N121" i="5"/>
  <c r="K121" i="5"/>
  <c r="L120" i="5"/>
  <c r="H122" i="5"/>
  <c r="I121" i="5"/>
  <c r="X121" i="5"/>
  <c r="W122" i="5"/>
  <c r="B122" i="5"/>
  <c r="C121" i="5"/>
  <c r="N122" i="5"/>
  <c r="O121" i="5"/>
  <c r="L121" i="5"/>
  <c r="K122" i="5"/>
  <c r="H123" i="5"/>
  <c r="I122" i="5"/>
  <c r="X122" i="5"/>
  <c r="W123" i="5"/>
  <c r="B123" i="5"/>
  <c r="C122" i="5"/>
  <c r="O122" i="5"/>
  <c r="N123" i="5"/>
  <c r="K123" i="5"/>
  <c r="L122" i="5"/>
  <c r="H124" i="5"/>
  <c r="I123" i="5"/>
  <c r="X123" i="5"/>
  <c r="W124" i="5"/>
  <c r="B124" i="5"/>
  <c r="C123" i="5"/>
  <c r="O123" i="5"/>
  <c r="N124" i="5"/>
  <c r="L123" i="5"/>
  <c r="K124" i="5"/>
  <c r="I124" i="5"/>
  <c r="H125" i="5"/>
  <c r="X124" i="5"/>
  <c r="W125" i="5"/>
  <c r="B125" i="5"/>
  <c r="C124" i="5"/>
  <c r="N125" i="5"/>
  <c r="O124" i="5"/>
  <c r="K125" i="5"/>
  <c r="L124" i="5"/>
  <c r="H126" i="5"/>
  <c r="I125" i="5"/>
  <c r="X125" i="5"/>
  <c r="W126" i="5"/>
  <c r="B126" i="5"/>
  <c r="C125" i="5"/>
  <c r="N126" i="5"/>
  <c r="O125" i="5"/>
  <c r="K126" i="5"/>
  <c r="L125" i="5"/>
  <c r="H127" i="5"/>
  <c r="I126" i="5"/>
  <c r="X126" i="5"/>
  <c r="W127" i="5"/>
  <c r="B127" i="5"/>
  <c r="C126" i="5"/>
  <c r="N127" i="5"/>
  <c r="O126" i="5"/>
  <c r="K127" i="5"/>
  <c r="L126" i="5"/>
  <c r="H128" i="5"/>
  <c r="I127" i="5"/>
  <c r="W128" i="5"/>
  <c r="X127" i="5"/>
  <c r="C127" i="5"/>
  <c r="B128" i="5"/>
  <c r="N128" i="5"/>
  <c r="O127" i="5"/>
  <c r="L127" i="5"/>
  <c r="K128" i="5"/>
  <c r="I128" i="5"/>
  <c r="H129" i="5"/>
  <c r="W129" i="5"/>
  <c r="X128" i="5"/>
  <c r="B129" i="5"/>
  <c r="C128" i="5"/>
  <c r="O128" i="5"/>
  <c r="N129" i="5"/>
  <c r="K129" i="5"/>
  <c r="L128" i="5"/>
  <c r="H130" i="5"/>
  <c r="I129" i="5"/>
  <c r="X129" i="5"/>
  <c r="W130" i="5"/>
  <c r="B130" i="5"/>
  <c r="C129" i="5"/>
  <c r="N130" i="5"/>
  <c r="O129" i="5"/>
  <c r="K130" i="5"/>
  <c r="L129" i="5"/>
  <c r="H131" i="5"/>
  <c r="I130" i="5"/>
  <c r="W131" i="5"/>
  <c r="X130" i="5"/>
  <c r="C130" i="5"/>
  <c r="B131" i="5"/>
  <c r="N131" i="5"/>
  <c r="O130" i="5"/>
  <c r="L130" i="5"/>
  <c r="K131" i="5"/>
  <c r="I131" i="5"/>
  <c r="H132" i="5"/>
  <c r="W132" i="5"/>
  <c r="X131" i="5"/>
  <c r="B132" i="5"/>
  <c r="C131" i="5"/>
  <c r="O131" i="5"/>
  <c r="N132" i="5"/>
  <c r="K132" i="5"/>
  <c r="L131" i="5"/>
  <c r="I132" i="5"/>
  <c r="H133" i="5"/>
  <c r="W133" i="5"/>
  <c r="X132" i="5"/>
  <c r="B133" i="5"/>
  <c r="C132" i="5"/>
  <c r="N133" i="5"/>
  <c r="O132" i="5"/>
  <c r="L132" i="5"/>
  <c r="K133" i="5"/>
  <c r="I133" i="5"/>
  <c r="H134" i="5"/>
  <c r="W134" i="5"/>
  <c r="X133" i="5"/>
  <c r="B134" i="5"/>
  <c r="C133" i="5"/>
  <c r="N134" i="5"/>
  <c r="O133" i="5"/>
  <c r="K134" i="5"/>
  <c r="L133" i="5"/>
  <c r="H135" i="5"/>
  <c r="I134" i="5"/>
  <c r="W135" i="5"/>
  <c r="X134" i="5"/>
  <c r="B135" i="5"/>
  <c r="C134" i="5"/>
  <c r="N135" i="5"/>
  <c r="O134" i="5"/>
  <c r="L134" i="5"/>
  <c r="K135" i="5"/>
  <c r="I135" i="5"/>
  <c r="H136" i="5"/>
  <c r="W136" i="5"/>
  <c r="X135" i="5"/>
  <c r="B136" i="5"/>
  <c r="C135" i="5"/>
  <c r="N136" i="5"/>
  <c r="O135" i="5"/>
  <c r="L135" i="5"/>
  <c r="K136" i="5"/>
  <c r="I136" i="5"/>
  <c r="H137" i="5"/>
  <c r="W137" i="5"/>
  <c r="X136" i="5"/>
  <c r="B137" i="5"/>
  <c r="C136" i="5"/>
  <c r="N137" i="5"/>
  <c r="O136" i="5"/>
  <c r="K137" i="5"/>
  <c r="L136" i="5"/>
  <c r="H138" i="5"/>
  <c r="I137" i="5"/>
  <c r="X137" i="5"/>
  <c r="W138" i="5"/>
  <c r="B138" i="5"/>
  <c r="C137" i="5"/>
  <c r="N138" i="5"/>
  <c r="O137" i="5"/>
  <c r="K138" i="5"/>
  <c r="L137" i="5"/>
  <c r="H139" i="5"/>
  <c r="I138" i="5"/>
  <c r="X138" i="5"/>
  <c r="W139" i="5"/>
  <c r="C138" i="5"/>
  <c r="B139" i="5"/>
  <c r="N139" i="5"/>
  <c r="O138" i="5"/>
  <c r="L138" i="5"/>
  <c r="K139" i="5"/>
  <c r="I139" i="5"/>
  <c r="H140" i="5"/>
  <c r="X139" i="5"/>
  <c r="W140" i="5"/>
  <c r="B140" i="5"/>
  <c r="C139" i="5"/>
  <c r="O139" i="5"/>
  <c r="N140" i="5"/>
  <c r="L139" i="5"/>
  <c r="K140" i="5"/>
  <c r="H141" i="5"/>
  <c r="I140" i="5"/>
  <c r="X140" i="5"/>
  <c r="W141" i="5"/>
  <c r="B141" i="5"/>
  <c r="C140" i="5"/>
  <c r="N141" i="5"/>
  <c r="O140" i="5"/>
  <c r="L140" i="5"/>
  <c r="K141" i="5"/>
  <c r="I141" i="5"/>
  <c r="H142" i="5"/>
  <c r="W142" i="5"/>
  <c r="X141" i="5"/>
  <c r="B142" i="5"/>
  <c r="C141" i="5"/>
  <c r="O141" i="5"/>
  <c r="N142" i="5"/>
  <c r="K142" i="5"/>
  <c r="L141" i="5"/>
  <c r="H143" i="5"/>
  <c r="I142" i="5"/>
  <c r="W143" i="5"/>
  <c r="X142" i="5"/>
  <c r="B143" i="5"/>
  <c r="C142" i="5"/>
  <c r="N143" i="5"/>
  <c r="O142" i="5"/>
  <c r="L142" i="5"/>
  <c r="K143" i="5"/>
  <c r="I143" i="5"/>
  <c r="H144" i="5"/>
  <c r="W144" i="5"/>
  <c r="X143" i="5"/>
  <c r="B144" i="5"/>
  <c r="C143" i="5"/>
  <c r="O143" i="5"/>
  <c r="N144" i="5"/>
  <c r="L143" i="5"/>
  <c r="K144" i="5"/>
  <c r="I144" i="5"/>
  <c r="H145" i="5"/>
  <c r="W145" i="5"/>
  <c r="X144" i="5"/>
  <c r="B145" i="5"/>
  <c r="C144" i="5"/>
  <c r="O144" i="5"/>
  <c r="N145" i="5"/>
  <c r="K145" i="5"/>
  <c r="L144" i="5"/>
  <c r="H146" i="5"/>
  <c r="I145" i="5"/>
  <c r="W146" i="5"/>
  <c r="X145" i="5"/>
  <c r="B146" i="5"/>
  <c r="C145" i="5"/>
  <c r="N146" i="5"/>
  <c r="O145" i="5"/>
  <c r="L145" i="5"/>
  <c r="K146" i="5"/>
  <c r="H147" i="5"/>
  <c r="I146" i="5"/>
  <c r="X146" i="5"/>
  <c r="W147" i="5"/>
  <c r="B147" i="5"/>
  <c r="C146" i="5"/>
  <c r="N147" i="5"/>
  <c r="O146" i="5"/>
  <c r="L146" i="5"/>
  <c r="K147" i="5"/>
  <c r="I147" i="5"/>
  <c r="H148" i="5"/>
  <c r="X147" i="5"/>
  <c r="W148" i="5"/>
  <c r="B148" i="5"/>
  <c r="C147" i="5"/>
  <c r="O147" i="5"/>
  <c r="N148" i="5"/>
  <c r="K148" i="5"/>
  <c r="L147" i="5"/>
  <c r="H149" i="5"/>
  <c r="I148" i="5"/>
  <c r="X148" i="5"/>
  <c r="W149" i="5"/>
  <c r="B149" i="5"/>
  <c r="C148" i="5"/>
  <c r="N149" i="5"/>
  <c r="O148" i="5"/>
  <c r="L148" i="5"/>
  <c r="K149" i="5"/>
  <c r="I149" i="5"/>
  <c r="H150" i="5"/>
  <c r="X149" i="5"/>
  <c r="W150" i="5"/>
  <c r="C149" i="5"/>
  <c r="B150" i="5"/>
  <c r="O149" i="5"/>
  <c r="N150" i="5"/>
  <c r="K150" i="5"/>
  <c r="L149" i="5"/>
  <c r="H151" i="5"/>
  <c r="I150" i="5"/>
  <c r="X150" i="5"/>
  <c r="W151" i="5"/>
  <c r="B151" i="5"/>
  <c r="C150" i="5"/>
  <c r="O150" i="5"/>
  <c r="N151" i="5"/>
  <c r="L150" i="5"/>
  <c r="K151" i="5"/>
  <c r="I151" i="5"/>
  <c r="H152" i="5"/>
  <c r="W152" i="5"/>
  <c r="X151" i="5"/>
  <c r="B152" i="5"/>
  <c r="C151" i="5"/>
  <c r="O151" i="5"/>
  <c r="N152" i="5"/>
  <c r="L151" i="5"/>
  <c r="K152" i="5"/>
  <c r="I152" i="5"/>
  <c r="H153" i="5"/>
  <c r="W153" i="5"/>
  <c r="X152" i="5"/>
  <c r="B153" i="5"/>
  <c r="C152" i="5"/>
  <c r="N153" i="5"/>
  <c r="O152" i="5"/>
  <c r="K153" i="5"/>
  <c r="L152" i="5"/>
  <c r="H154" i="5"/>
  <c r="I153" i="5"/>
  <c r="W154" i="5"/>
  <c r="X153" i="5"/>
  <c r="B154" i="5"/>
  <c r="C153" i="5"/>
  <c r="N154" i="5"/>
  <c r="O153" i="5"/>
  <c r="K154" i="5"/>
  <c r="L153" i="5"/>
  <c r="I154" i="5"/>
  <c r="H155" i="5"/>
  <c r="X154" i="5"/>
  <c r="W155" i="5"/>
  <c r="C154" i="5"/>
  <c r="B155" i="5"/>
  <c r="N155" i="5"/>
  <c r="O154" i="5"/>
  <c r="K155" i="5"/>
  <c r="L154" i="5"/>
  <c r="H156" i="5"/>
  <c r="I155" i="5"/>
  <c r="W156" i="5"/>
  <c r="X155" i="5"/>
  <c r="B156" i="5"/>
  <c r="C155" i="5"/>
  <c r="N156" i="5"/>
  <c r="O155" i="5"/>
  <c r="K156" i="5"/>
  <c r="L155" i="5"/>
  <c r="I156" i="5"/>
  <c r="H157" i="5"/>
  <c r="X156" i="5"/>
  <c r="W157" i="5"/>
  <c r="B157" i="5"/>
  <c r="C156" i="5"/>
  <c r="N157" i="5"/>
  <c r="O156" i="5"/>
  <c r="K157" i="5"/>
  <c r="L156" i="5"/>
  <c r="H158" i="5"/>
  <c r="I157" i="5"/>
  <c r="W158" i="5"/>
  <c r="X157" i="5"/>
  <c r="C157" i="5"/>
  <c r="B158" i="5"/>
  <c r="N158" i="5"/>
  <c r="O157" i="5"/>
  <c r="L157" i="5"/>
  <c r="K158" i="5"/>
  <c r="I158" i="5"/>
  <c r="H159" i="5"/>
  <c r="W159" i="5"/>
  <c r="X158" i="5"/>
  <c r="B159" i="5"/>
  <c r="C158" i="5"/>
  <c r="N159" i="5"/>
  <c r="O158" i="5"/>
  <c r="K159" i="5"/>
  <c r="L158" i="5"/>
  <c r="H160" i="5"/>
  <c r="I159" i="5"/>
  <c r="W160" i="5"/>
  <c r="X159" i="5"/>
  <c r="B160" i="5"/>
  <c r="C159" i="5"/>
  <c r="N160" i="5"/>
  <c r="O159" i="5"/>
  <c r="K160" i="5"/>
  <c r="L159" i="5"/>
  <c r="H161" i="5"/>
  <c r="I160" i="5"/>
  <c r="X160" i="5"/>
  <c r="W161" i="5"/>
  <c r="B161" i="5"/>
  <c r="C160" i="5"/>
  <c r="N161" i="5"/>
  <c r="O160" i="5"/>
  <c r="K161" i="5"/>
  <c r="L160" i="5"/>
  <c r="H162" i="5"/>
  <c r="I161" i="5"/>
  <c r="W162" i="5"/>
  <c r="X161" i="5"/>
  <c r="C161" i="5"/>
  <c r="B162" i="5"/>
  <c r="N162" i="5"/>
  <c r="O161" i="5"/>
  <c r="K162" i="5"/>
  <c r="L161" i="5"/>
  <c r="H163" i="5"/>
  <c r="I162" i="5"/>
  <c r="W163" i="5"/>
  <c r="X162" i="5"/>
  <c r="B163" i="5"/>
  <c r="C162" i="5"/>
  <c r="O162" i="5"/>
  <c r="N163" i="5"/>
  <c r="K163" i="5"/>
  <c r="L162" i="5"/>
  <c r="H164" i="5"/>
  <c r="I163" i="5"/>
  <c r="W164" i="5"/>
  <c r="X163" i="5"/>
  <c r="C163" i="5"/>
  <c r="B164" i="5"/>
  <c r="N164" i="5"/>
  <c r="O163" i="5"/>
  <c r="L163" i="5"/>
  <c r="K164" i="5"/>
  <c r="I164" i="5"/>
  <c r="H165" i="5"/>
  <c r="X164" i="5"/>
  <c r="W165" i="5"/>
  <c r="B165" i="5"/>
  <c r="C164" i="5"/>
  <c r="N165" i="5"/>
  <c r="O164" i="5"/>
  <c r="K165" i="5"/>
  <c r="L164" i="5"/>
  <c r="H166" i="5"/>
  <c r="I165" i="5"/>
  <c r="W166" i="5"/>
  <c r="X165" i="5"/>
  <c r="B166" i="5"/>
  <c r="C165" i="5"/>
  <c r="N166" i="5"/>
  <c r="O165" i="5"/>
  <c r="L165" i="5"/>
  <c r="K166" i="5"/>
  <c r="I166" i="5"/>
  <c r="H167" i="5"/>
  <c r="W167" i="5"/>
  <c r="X166" i="5"/>
  <c r="B167" i="5"/>
  <c r="C166" i="5"/>
  <c r="N167" i="5"/>
  <c r="O166" i="5"/>
  <c r="K167" i="5"/>
  <c r="L166" i="5"/>
  <c r="H168" i="5"/>
  <c r="I167" i="5"/>
  <c r="W168" i="5"/>
  <c r="X167" i="5"/>
  <c r="B168" i="5"/>
  <c r="C167" i="5"/>
  <c r="N168" i="5"/>
  <c r="O167" i="5"/>
  <c r="K168" i="5"/>
  <c r="L167" i="5"/>
  <c r="H169" i="5"/>
  <c r="I168" i="5"/>
  <c r="X168" i="5"/>
  <c r="W169" i="5"/>
  <c r="B169" i="5"/>
  <c r="C168" i="5"/>
  <c r="O168" i="5"/>
  <c r="N169" i="5"/>
  <c r="K169" i="5"/>
  <c r="L168" i="5"/>
  <c r="H170" i="5"/>
  <c r="I169" i="5"/>
  <c r="W170" i="5"/>
  <c r="X169" i="5"/>
  <c r="C169" i="5"/>
  <c r="B170" i="5"/>
  <c r="N170" i="5"/>
  <c r="O169" i="5"/>
  <c r="K170" i="5"/>
  <c r="L169" i="5"/>
  <c r="H171" i="5"/>
  <c r="I170" i="5"/>
  <c r="W171" i="5"/>
  <c r="X170" i="5"/>
  <c r="B171" i="5"/>
  <c r="C170" i="5"/>
  <c r="O170" i="5"/>
  <c r="N171" i="5"/>
  <c r="K171" i="5"/>
  <c r="L170" i="5"/>
  <c r="H172" i="5"/>
  <c r="I171" i="5"/>
  <c r="W172" i="5"/>
  <c r="X171" i="5"/>
  <c r="C171" i="5"/>
  <c r="B172" i="5"/>
  <c r="N172" i="5"/>
  <c r="O171" i="5"/>
  <c r="K172" i="5"/>
  <c r="L171" i="5"/>
  <c r="I172" i="5"/>
  <c r="H173" i="5"/>
  <c r="W173" i="5"/>
  <c r="X172" i="5"/>
  <c r="B173" i="5"/>
  <c r="C172" i="5"/>
  <c r="O172" i="5"/>
  <c r="N173" i="5"/>
  <c r="K173" i="5"/>
  <c r="L172" i="5"/>
  <c r="H174" i="5"/>
  <c r="I173" i="5"/>
  <c r="W174" i="5"/>
  <c r="X173" i="5"/>
  <c r="C173" i="5"/>
  <c r="B174" i="5"/>
  <c r="N174" i="5"/>
  <c r="O173" i="5"/>
  <c r="L173" i="5"/>
  <c r="K174" i="5"/>
  <c r="I174" i="5"/>
  <c r="H175" i="5"/>
  <c r="X174" i="5"/>
  <c r="W175" i="5"/>
  <c r="B175" i="5"/>
  <c r="C174" i="5"/>
  <c r="N175" i="5"/>
  <c r="O174" i="5"/>
  <c r="K175" i="5"/>
  <c r="L174" i="5"/>
  <c r="H176" i="5"/>
  <c r="I175" i="5"/>
  <c r="W176" i="5"/>
  <c r="X175" i="5"/>
  <c r="B176" i="5"/>
  <c r="C175" i="5"/>
  <c r="N176" i="5"/>
  <c r="O175" i="5"/>
  <c r="K176" i="5"/>
  <c r="L175" i="5"/>
  <c r="H177" i="5"/>
  <c r="I176" i="5"/>
  <c r="W177" i="5"/>
  <c r="X176" i="5"/>
  <c r="B177" i="5"/>
  <c r="C176" i="5"/>
  <c r="O176" i="5"/>
  <c r="N177" i="5"/>
  <c r="K177" i="5"/>
  <c r="L176" i="5"/>
  <c r="H178" i="5"/>
  <c r="I177" i="5"/>
  <c r="W178" i="5"/>
  <c r="X177" i="5"/>
  <c r="C177" i="5"/>
  <c r="B178" i="5"/>
  <c r="N178" i="5"/>
  <c r="O177" i="5"/>
  <c r="K178" i="5"/>
  <c r="L177" i="5"/>
  <c r="I178" i="5"/>
  <c r="H179" i="5"/>
  <c r="W179" i="5"/>
  <c r="X178" i="5"/>
  <c r="B179" i="5"/>
  <c r="C178" i="5"/>
  <c r="O178" i="5"/>
  <c r="N179" i="5"/>
  <c r="K179" i="5"/>
  <c r="L178" i="5"/>
  <c r="H180" i="5"/>
  <c r="I179" i="5"/>
  <c r="X179" i="5"/>
  <c r="W180" i="5"/>
  <c r="C179" i="5"/>
  <c r="B180" i="5"/>
  <c r="N180" i="5"/>
  <c r="O179" i="5"/>
  <c r="L179" i="5"/>
  <c r="K180" i="5"/>
  <c r="I180" i="5"/>
  <c r="H181" i="5"/>
  <c r="W181" i="5"/>
  <c r="X180" i="5"/>
  <c r="B181" i="5"/>
  <c r="C180" i="5"/>
  <c r="N181" i="5"/>
  <c r="O180" i="5"/>
  <c r="L180" i="5"/>
  <c r="K181" i="5"/>
  <c r="I181" i="5"/>
  <c r="H182" i="5"/>
  <c r="I182" i="5"/>
  <c r="W182" i="5"/>
  <c r="X182" i="5"/>
  <c r="X181" i="5"/>
  <c r="B182" i="5"/>
  <c r="C182" i="5"/>
  <c r="C181" i="5"/>
  <c r="N182" i="5"/>
  <c r="O182" i="5"/>
  <c r="O181" i="5"/>
  <c r="K182" i="5"/>
  <c r="L182" i="5"/>
  <c r="L181" i="5"/>
  <c r="L7" i="17"/>
  <c r="L9" i="17"/>
  <c r="L8" i="17"/>
  <c r="L11" i="17"/>
  <c r="L10" i="17"/>
  <c r="L11" i="5"/>
  <c r="O11" i="5"/>
  <c r="C11" i="5"/>
  <c r="X11" i="5"/>
  <c r="I11" i="5"/>
  <c r="K11" i="5"/>
  <c r="N11" i="5"/>
  <c r="B11" i="5"/>
  <c r="W11" i="5"/>
  <c r="H11" i="5"/>
  <c r="C30" i="21"/>
  <c r="K7" i="12"/>
  <c r="M8" i="12"/>
  <c r="M10" i="12"/>
  <c r="M7" i="12"/>
  <c r="M11" i="12"/>
  <c r="M9" i="12"/>
  <c r="N10" i="12"/>
  <c r="N9" i="12"/>
  <c r="N11" i="12"/>
  <c r="N8" i="12"/>
  <c r="K10" i="12"/>
  <c r="K8" i="12"/>
  <c r="K9" i="12"/>
  <c r="K11" i="12"/>
  <c r="L7" i="12"/>
  <c r="L8" i="12"/>
  <c r="N7" i="12"/>
  <c r="L9" i="12"/>
  <c r="L11" i="12"/>
  <c r="L10" i="12"/>
  <c r="T14" i="5"/>
  <c r="T15" i="5"/>
  <c r="Q14" i="5"/>
  <c r="Q15" i="5"/>
  <c r="E14" i="5"/>
  <c r="E15" i="5"/>
  <c r="C2" i="5"/>
  <c r="L2" i="5"/>
  <c r="U14" i="5"/>
  <c r="R14" i="5"/>
  <c r="T16" i="5"/>
  <c r="U15" i="5"/>
  <c r="R15" i="5"/>
  <c r="Q16" i="5"/>
  <c r="E16" i="5"/>
  <c r="F15" i="5"/>
  <c r="T17" i="5"/>
  <c r="U16" i="5"/>
  <c r="R16" i="5"/>
  <c r="Q17" i="5"/>
  <c r="F16" i="5"/>
  <c r="E17" i="5"/>
  <c r="U17" i="5"/>
  <c r="T18" i="5"/>
  <c r="Q18" i="5"/>
  <c r="R17" i="5"/>
  <c r="E18" i="5"/>
  <c r="F17" i="5"/>
  <c r="T19" i="5"/>
  <c r="U18" i="5"/>
  <c r="R18" i="5"/>
  <c r="Q19" i="5"/>
  <c r="E19" i="5"/>
  <c r="F18" i="5"/>
  <c r="T20" i="5"/>
  <c r="U19" i="5"/>
  <c r="Q20" i="5"/>
  <c r="R19" i="5"/>
  <c r="E20" i="5"/>
  <c r="F19" i="5"/>
  <c r="T21" i="5"/>
  <c r="U20" i="5"/>
  <c r="Q21" i="5"/>
  <c r="R20" i="5"/>
  <c r="E21" i="5"/>
  <c r="F20" i="5"/>
  <c r="T22" i="5"/>
  <c r="U21" i="5"/>
  <c r="Q22" i="5"/>
  <c r="R21" i="5"/>
  <c r="E22" i="5"/>
  <c r="F21" i="5"/>
  <c r="T23" i="5"/>
  <c r="U22" i="5"/>
  <c r="Q23" i="5"/>
  <c r="R22" i="5"/>
  <c r="F22" i="5"/>
  <c r="E23" i="5"/>
  <c r="T24" i="5"/>
  <c r="U23" i="5"/>
  <c r="Q24" i="5"/>
  <c r="R23" i="5"/>
  <c r="E24" i="5"/>
  <c r="F23" i="5"/>
  <c r="T25" i="5"/>
  <c r="U24" i="5"/>
  <c r="R24" i="5"/>
  <c r="Q25" i="5"/>
  <c r="F24" i="5"/>
  <c r="E25" i="5"/>
  <c r="U25" i="5"/>
  <c r="T26" i="5"/>
  <c r="Q26" i="5"/>
  <c r="R25" i="5"/>
  <c r="E26" i="5"/>
  <c r="F25" i="5"/>
  <c r="T27" i="5"/>
  <c r="U26" i="5"/>
  <c r="Q27" i="5"/>
  <c r="R26" i="5"/>
  <c r="E27" i="5"/>
  <c r="F26" i="5"/>
  <c r="T28" i="5"/>
  <c r="U27" i="5"/>
  <c r="Q28" i="5"/>
  <c r="R27" i="5"/>
  <c r="E28" i="5"/>
  <c r="F27" i="5"/>
  <c r="T29" i="5"/>
  <c r="U28" i="5"/>
  <c r="Q29" i="5"/>
  <c r="R28" i="5"/>
  <c r="F28" i="5"/>
  <c r="E29" i="5"/>
  <c r="U29" i="5"/>
  <c r="T30" i="5"/>
  <c r="Q30" i="5"/>
  <c r="R29" i="5"/>
  <c r="E30" i="5"/>
  <c r="F29" i="5"/>
  <c r="T31" i="5"/>
  <c r="U30" i="5"/>
  <c r="Q31" i="5"/>
  <c r="R30" i="5"/>
  <c r="F30" i="5"/>
  <c r="E31" i="5"/>
  <c r="U31" i="5"/>
  <c r="T32" i="5"/>
  <c r="R31" i="5"/>
  <c r="Q32" i="5"/>
  <c r="E32" i="5"/>
  <c r="F31" i="5"/>
  <c r="T33" i="5"/>
  <c r="U32" i="5"/>
  <c r="R32" i="5"/>
  <c r="Q33" i="5"/>
  <c r="F32" i="5"/>
  <c r="E33" i="5"/>
  <c r="U33" i="5"/>
  <c r="T34" i="5"/>
  <c r="Q34" i="5"/>
  <c r="R33" i="5"/>
  <c r="E34" i="5"/>
  <c r="F33" i="5"/>
  <c r="T35" i="5"/>
  <c r="U34" i="5"/>
  <c r="Q35" i="5"/>
  <c r="R34" i="5"/>
  <c r="E35" i="5"/>
  <c r="F34" i="5"/>
  <c r="T36" i="5"/>
  <c r="U35" i="5"/>
  <c r="Q36" i="5"/>
  <c r="R35" i="5"/>
  <c r="E36" i="5"/>
  <c r="F35" i="5"/>
  <c r="T37" i="5"/>
  <c r="U36" i="5"/>
  <c r="R36" i="5"/>
  <c r="Q37" i="5"/>
  <c r="F36" i="5"/>
  <c r="E37" i="5"/>
  <c r="U37" i="5"/>
  <c r="T38" i="5"/>
  <c r="Q38" i="5"/>
  <c r="R37" i="5"/>
  <c r="E38" i="5"/>
  <c r="F37" i="5"/>
  <c r="T39" i="5"/>
  <c r="U38" i="5"/>
  <c r="Q39" i="5"/>
  <c r="R38" i="5"/>
  <c r="F38" i="5"/>
  <c r="E39" i="5"/>
  <c r="T40" i="5"/>
  <c r="U39" i="5"/>
  <c r="Q40" i="5"/>
  <c r="R39" i="5"/>
  <c r="E40" i="5"/>
  <c r="F39" i="5"/>
  <c r="T41" i="5"/>
  <c r="U40" i="5"/>
  <c r="Q41" i="5"/>
  <c r="R40" i="5"/>
  <c r="F40" i="5"/>
  <c r="E41" i="5"/>
  <c r="U41" i="5"/>
  <c r="T42" i="5"/>
  <c r="R41" i="5"/>
  <c r="Q42" i="5"/>
  <c r="E42" i="5"/>
  <c r="F41" i="5"/>
  <c r="T43" i="5"/>
  <c r="U42" i="5"/>
  <c r="Q43" i="5"/>
  <c r="R42" i="5"/>
  <c r="E43" i="5"/>
  <c r="F42" i="5"/>
  <c r="T44" i="5"/>
  <c r="U43" i="5"/>
  <c r="Q44" i="5"/>
  <c r="R43" i="5"/>
  <c r="E44" i="5"/>
  <c r="F43" i="5"/>
  <c r="T45" i="5"/>
  <c r="U44" i="5"/>
  <c r="Q45" i="5"/>
  <c r="R44" i="5"/>
  <c r="E45" i="5"/>
  <c r="F44" i="5"/>
  <c r="U45" i="5"/>
  <c r="T46" i="5"/>
  <c r="Q46" i="5"/>
  <c r="R45" i="5"/>
  <c r="E46" i="5"/>
  <c r="F45" i="5"/>
  <c r="T47" i="5"/>
  <c r="U46" i="5"/>
  <c r="Q47" i="5"/>
  <c r="R46" i="5"/>
  <c r="F46" i="5"/>
  <c r="E47" i="5"/>
  <c r="U47" i="5"/>
  <c r="T48" i="5"/>
  <c r="Q48" i="5"/>
  <c r="R47" i="5"/>
  <c r="E48" i="5"/>
  <c r="F47" i="5"/>
  <c r="T49" i="5"/>
  <c r="U48" i="5"/>
  <c r="R48" i="5"/>
  <c r="Q49" i="5"/>
  <c r="F48" i="5"/>
  <c r="E49" i="5"/>
  <c r="U49" i="5"/>
  <c r="T50" i="5"/>
  <c r="Q50" i="5"/>
  <c r="R49" i="5"/>
  <c r="E50" i="5"/>
  <c r="F49" i="5"/>
  <c r="T51" i="5"/>
  <c r="U50" i="5"/>
  <c r="R50" i="5"/>
  <c r="Q51" i="5"/>
  <c r="E51" i="5"/>
  <c r="F50" i="5"/>
  <c r="T52" i="5"/>
  <c r="U51" i="5"/>
  <c r="Q52" i="5"/>
  <c r="R51" i="5"/>
  <c r="E52" i="5"/>
  <c r="F51" i="5"/>
  <c r="T53" i="5"/>
  <c r="U52" i="5"/>
  <c r="Q53" i="5"/>
  <c r="R52" i="5"/>
  <c r="E53" i="5"/>
  <c r="F52" i="5"/>
  <c r="T54" i="5"/>
  <c r="U53" i="5"/>
  <c r="Q54" i="5"/>
  <c r="R53" i="5"/>
  <c r="E54" i="5"/>
  <c r="F53" i="5"/>
  <c r="T55" i="5"/>
  <c r="U54" i="5"/>
  <c r="Q55" i="5"/>
  <c r="R54" i="5"/>
  <c r="F54" i="5"/>
  <c r="E55" i="5"/>
  <c r="T56" i="5"/>
  <c r="U55" i="5"/>
  <c r="Q56" i="5"/>
  <c r="R55" i="5"/>
  <c r="F55" i="5"/>
  <c r="E56" i="5"/>
  <c r="T57" i="5"/>
  <c r="U56" i="5"/>
  <c r="Q57" i="5"/>
  <c r="R56" i="5"/>
  <c r="F56" i="5"/>
  <c r="E57" i="5"/>
  <c r="U57" i="5"/>
  <c r="T58" i="5"/>
  <c r="Q58" i="5"/>
  <c r="R57" i="5"/>
  <c r="F57" i="5"/>
  <c r="E58" i="5"/>
  <c r="T59" i="5"/>
  <c r="U58" i="5"/>
  <c r="Q59" i="5"/>
  <c r="R58" i="5"/>
  <c r="E59" i="5"/>
  <c r="F58" i="5"/>
  <c r="T60" i="5"/>
  <c r="U59" i="5"/>
  <c r="Q60" i="5"/>
  <c r="R59" i="5"/>
  <c r="E60" i="5"/>
  <c r="F59" i="5"/>
  <c r="T61" i="5"/>
  <c r="U60" i="5"/>
  <c r="R60" i="5"/>
  <c r="Q61" i="5"/>
  <c r="E61" i="5"/>
  <c r="F60" i="5"/>
  <c r="U61" i="5"/>
  <c r="T62" i="5"/>
  <c r="Q62" i="5"/>
  <c r="R61" i="5"/>
  <c r="E62" i="5"/>
  <c r="F61" i="5"/>
  <c r="T63" i="5"/>
  <c r="U62" i="5"/>
  <c r="Q63" i="5"/>
  <c r="R62" i="5"/>
  <c r="E63" i="5"/>
  <c r="F62" i="5"/>
  <c r="U63" i="5"/>
  <c r="T64" i="5"/>
  <c r="Q64" i="5"/>
  <c r="R63" i="5"/>
  <c r="E64" i="5"/>
  <c r="F63" i="5"/>
  <c r="T65" i="5"/>
  <c r="U64" i="5"/>
  <c r="R64" i="5"/>
  <c r="Q65" i="5"/>
  <c r="E65" i="5"/>
  <c r="F64" i="5"/>
  <c r="U65" i="5"/>
  <c r="T66" i="5"/>
  <c r="Q66" i="5"/>
  <c r="R65" i="5"/>
  <c r="F65" i="5"/>
  <c r="E66" i="5"/>
  <c r="T67" i="5"/>
  <c r="U66" i="5"/>
  <c r="R66" i="5"/>
  <c r="Q67" i="5"/>
  <c r="F66" i="5"/>
  <c r="E67" i="5"/>
  <c r="T68" i="5"/>
  <c r="U67" i="5"/>
  <c r="Q68" i="5"/>
  <c r="R67" i="5"/>
  <c r="E68" i="5"/>
  <c r="F67" i="5"/>
  <c r="T69" i="5"/>
  <c r="U68" i="5"/>
  <c r="R68" i="5"/>
  <c r="Q69" i="5"/>
  <c r="E69" i="5"/>
  <c r="F68" i="5"/>
  <c r="U69" i="5"/>
  <c r="T70" i="5"/>
  <c r="Q70" i="5"/>
  <c r="R69" i="5"/>
  <c r="F69" i="5"/>
  <c r="E70" i="5"/>
  <c r="T71" i="5"/>
  <c r="U70" i="5"/>
  <c r="R70" i="5"/>
  <c r="Q71" i="5"/>
  <c r="F70" i="5"/>
  <c r="E71" i="5"/>
  <c r="T72" i="5"/>
  <c r="U71" i="5"/>
  <c r="R71" i="5"/>
  <c r="Q72" i="5"/>
  <c r="E72" i="5"/>
  <c r="F71" i="5"/>
  <c r="T73" i="5"/>
  <c r="U72" i="5"/>
  <c r="Q73" i="5"/>
  <c r="R72" i="5"/>
  <c r="F72" i="5"/>
  <c r="E73" i="5"/>
  <c r="U73" i="5"/>
  <c r="T74" i="5"/>
  <c r="Q74" i="5"/>
  <c r="R73" i="5"/>
  <c r="F73" i="5"/>
  <c r="E74" i="5"/>
  <c r="T75" i="5"/>
  <c r="U74" i="5"/>
  <c r="Q75" i="5"/>
  <c r="R74" i="5"/>
  <c r="E75" i="5"/>
  <c r="F74" i="5"/>
  <c r="T76" i="5"/>
  <c r="U75" i="5"/>
  <c r="Q76" i="5"/>
  <c r="R75" i="5"/>
  <c r="E76" i="5"/>
  <c r="F75" i="5"/>
  <c r="T77" i="5"/>
  <c r="U76" i="5"/>
  <c r="R76" i="5"/>
  <c r="Q77" i="5"/>
  <c r="F76" i="5"/>
  <c r="E77" i="5"/>
  <c r="U77" i="5"/>
  <c r="T78" i="5"/>
  <c r="Q78" i="5"/>
  <c r="R77" i="5"/>
  <c r="E78" i="5"/>
  <c r="F77" i="5"/>
  <c r="T79" i="5"/>
  <c r="U78" i="5"/>
  <c r="Q79" i="5"/>
  <c r="R78" i="5"/>
  <c r="E79" i="5"/>
  <c r="F78" i="5"/>
  <c r="U79" i="5"/>
  <c r="T80" i="5"/>
  <c r="Q80" i="5"/>
  <c r="R79" i="5"/>
  <c r="E80" i="5"/>
  <c r="F79" i="5"/>
  <c r="T81" i="5"/>
  <c r="U80" i="5"/>
  <c r="R80" i="5"/>
  <c r="Q81" i="5"/>
  <c r="F80" i="5"/>
  <c r="E81" i="5"/>
  <c r="U81" i="5"/>
  <c r="T82" i="5"/>
  <c r="Q82" i="5"/>
  <c r="R81" i="5"/>
  <c r="F81" i="5"/>
  <c r="E82" i="5"/>
  <c r="T83" i="5"/>
  <c r="U82" i="5"/>
  <c r="Q83" i="5"/>
  <c r="R82" i="5"/>
  <c r="F82" i="5"/>
  <c r="E83" i="5"/>
  <c r="T84" i="5"/>
  <c r="U83" i="5"/>
  <c r="Q84" i="5"/>
  <c r="R83" i="5"/>
  <c r="F83" i="5"/>
  <c r="E84" i="5"/>
  <c r="T85" i="5"/>
  <c r="U84" i="5"/>
  <c r="R84" i="5"/>
  <c r="Q85" i="5"/>
  <c r="E85" i="5"/>
  <c r="F84" i="5"/>
  <c r="T86" i="5"/>
  <c r="U85" i="5"/>
  <c r="Q86" i="5"/>
  <c r="R85" i="5"/>
  <c r="E86" i="5"/>
  <c r="F85" i="5"/>
  <c r="T87" i="5"/>
  <c r="U86" i="5"/>
  <c r="Q87" i="5"/>
  <c r="R86" i="5"/>
  <c r="F86" i="5"/>
  <c r="E87" i="5"/>
  <c r="T88" i="5"/>
  <c r="U87" i="5"/>
  <c r="Q88" i="5"/>
  <c r="R87" i="5"/>
  <c r="E88" i="5"/>
  <c r="F87" i="5"/>
  <c r="T89" i="5"/>
  <c r="U88" i="5"/>
  <c r="Q89" i="5"/>
  <c r="R88" i="5"/>
  <c r="F88" i="5"/>
  <c r="E89" i="5"/>
  <c r="U89" i="5"/>
  <c r="T90" i="5"/>
  <c r="Q90" i="5"/>
  <c r="R89" i="5"/>
  <c r="F89" i="5"/>
  <c r="E90" i="5"/>
  <c r="T91" i="5"/>
  <c r="U90" i="5"/>
  <c r="R90" i="5"/>
  <c r="Q91" i="5"/>
  <c r="E91" i="5"/>
  <c r="F90" i="5"/>
  <c r="T92" i="5"/>
  <c r="U91" i="5"/>
  <c r="R91" i="5"/>
  <c r="Q92" i="5"/>
  <c r="E92" i="5"/>
  <c r="F91" i="5"/>
  <c r="T93" i="5"/>
  <c r="U92" i="5"/>
  <c r="Q93" i="5"/>
  <c r="R92" i="5"/>
  <c r="E93" i="5"/>
  <c r="F92" i="5"/>
  <c r="U93" i="5"/>
  <c r="T94" i="5"/>
  <c r="Q94" i="5"/>
  <c r="R93" i="5"/>
  <c r="E94" i="5"/>
  <c r="F93" i="5"/>
  <c r="T95" i="5"/>
  <c r="U94" i="5"/>
  <c r="Q95" i="5"/>
  <c r="R94" i="5"/>
  <c r="E95" i="5"/>
  <c r="F94" i="5"/>
  <c r="U95" i="5"/>
  <c r="T96" i="5"/>
  <c r="Q96" i="5"/>
  <c r="R95" i="5"/>
  <c r="E96" i="5"/>
  <c r="F95" i="5"/>
  <c r="T97" i="5"/>
  <c r="U96" i="5"/>
  <c r="R96" i="5"/>
  <c r="Q97" i="5"/>
  <c r="F96" i="5"/>
  <c r="E97" i="5"/>
  <c r="U97" i="5"/>
  <c r="T98" i="5"/>
  <c r="Q98" i="5"/>
  <c r="R97" i="5"/>
  <c r="F97" i="5"/>
  <c r="E98" i="5"/>
  <c r="T99" i="5"/>
  <c r="U98" i="5"/>
  <c r="Q99" i="5"/>
  <c r="R98" i="5"/>
  <c r="F98" i="5"/>
  <c r="E99" i="5"/>
  <c r="T100" i="5"/>
  <c r="U99" i="5"/>
  <c r="Q100" i="5"/>
  <c r="R99" i="5"/>
  <c r="F99" i="5"/>
  <c r="E100" i="5"/>
  <c r="T101" i="5"/>
  <c r="U100" i="5"/>
  <c r="R100" i="5"/>
  <c r="Q101" i="5"/>
  <c r="F100" i="5"/>
  <c r="E101" i="5"/>
  <c r="U101" i="5"/>
  <c r="T102" i="5"/>
  <c r="Q102" i="5"/>
  <c r="R101" i="5"/>
  <c r="E102" i="5"/>
  <c r="F101" i="5"/>
  <c r="T103" i="5"/>
  <c r="U102" i="5"/>
  <c r="Q103" i="5"/>
  <c r="R102" i="5"/>
  <c r="F102" i="5"/>
  <c r="E103" i="5"/>
  <c r="T104" i="5"/>
  <c r="U103" i="5"/>
  <c r="R103" i="5"/>
  <c r="Q104" i="5"/>
  <c r="E104" i="5"/>
  <c r="F103" i="5"/>
  <c r="T105" i="5"/>
  <c r="U104" i="5"/>
  <c r="Q105" i="5"/>
  <c r="R104" i="5"/>
  <c r="F104" i="5"/>
  <c r="E105" i="5"/>
  <c r="U105" i="5"/>
  <c r="T106" i="5"/>
  <c r="Q106" i="5"/>
  <c r="R105" i="5"/>
  <c r="F105" i="5"/>
  <c r="E106" i="5"/>
  <c r="T107" i="5"/>
  <c r="U106" i="5"/>
  <c r="Q107" i="5"/>
  <c r="R106" i="5"/>
  <c r="E107" i="5"/>
  <c r="F106" i="5"/>
  <c r="T108" i="5"/>
  <c r="U107" i="5"/>
  <c r="Q108" i="5"/>
  <c r="R107" i="5"/>
  <c r="F107" i="5"/>
  <c r="E108" i="5"/>
  <c r="T109" i="5"/>
  <c r="U108" i="5"/>
  <c r="R108" i="5"/>
  <c r="Q109" i="5"/>
  <c r="E109" i="5"/>
  <c r="F108" i="5"/>
  <c r="U109" i="5"/>
  <c r="T110" i="5"/>
  <c r="Q110" i="5"/>
  <c r="R109" i="5"/>
  <c r="E110" i="5"/>
  <c r="F109" i="5"/>
  <c r="T111" i="5"/>
  <c r="U110" i="5"/>
  <c r="R110" i="5"/>
  <c r="Q111" i="5"/>
  <c r="E111" i="5"/>
  <c r="F110" i="5"/>
  <c r="U111" i="5"/>
  <c r="T112" i="5"/>
  <c r="Q112" i="5"/>
  <c r="R111" i="5"/>
  <c r="E112" i="5"/>
  <c r="F111" i="5"/>
  <c r="T113" i="5"/>
  <c r="U112" i="5"/>
  <c r="R112" i="5"/>
  <c r="Q113" i="5"/>
  <c r="E113" i="5"/>
  <c r="F112" i="5"/>
  <c r="U113" i="5"/>
  <c r="T114" i="5"/>
  <c r="Q114" i="5"/>
  <c r="R113" i="5"/>
  <c r="F113" i="5"/>
  <c r="E114" i="5"/>
  <c r="T115" i="5"/>
  <c r="U114" i="5"/>
  <c r="R114" i="5"/>
  <c r="Q115" i="5"/>
  <c r="E115" i="5"/>
  <c r="F114" i="5"/>
  <c r="T116" i="5"/>
  <c r="U115" i="5"/>
  <c r="Q116" i="5"/>
  <c r="R115" i="5"/>
  <c r="E116" i="5"/>
  <c r="F115" i="5"/>
  <c r="T117" i="5"/>
  <c r="U116" i="5"/>
  <c r="R116" i="5"/>
  <c r="Q117" i="5"/>
  <c r="F116" i="5"/>
  <c r="E117" i="5"/>
  <c r="T118" i="5"/>
  <c r="U117" i="5"/>
  <c r="Q118" i="5"/>
  <c r="R117" i="5"/>
  <c r="E118" i="5"/>
  <c r="F117" i="5"/>
  <c r="T119" i="5"/>
  <c r="U118" i="5"/>
  <c r="R118" i="5"/>
  <c r="Q119" i="5"/>
  <c r="F118" i="5"/>
  <c r="E119" i="5"/>
  <c r="T120" i="5"/>
  <c r="U119" i="5"/>
  <c r="R119" i="5"/>
  <c r="Q120" i="5"/>
  <c r="E120" i="5"/>
  <c r="F119" i="5"/>
  <c r="T121" i="5"/>
  <c r="U120" i="5"/>
  <c r="Q121" i="5"/>
  <c r="R120" i="5"/>
  <c r="F120" i="5"/>
  <c r="E121" i="5"/>
  <c r="U121" i="5"/>
  <c r="T122" i="5"/>
  <c r="Q122" i="5"/>
  <c r="R121" i="5"/>
  <c r="F121" i="5"/>
  <c r="E122" i="5"/>
  <c r="T123" i="5"/>
  <c r="U122" i="5"/>
  <c r="R122" i="5"/>
  <c r="Q123" i="5"/>
  <c r="E123" i="5"/>
  <c r="F122" i="5"/>
  <c r="T124" i="5"/>
  <c r="U123" i="5"/>
  <c r="Q124" i="5"/>
  <c r="R123" i="5"/>
  <c r="F123" i="5"/>
  <c r="E124" i="5"/>
  <c r="T125" i="5"/>
  <c r="U124" i="5"/>
  <c r="R124" i="5"/>
  <c r="Q125" i="5"/>
  <c r="F124" i="5"/>
  <c r="E125" i="5"/>
  <c r="U125" i="5"/>
  <c r="T126" i="5"/>
  <c r="Q126" i="5"/>
  <c r="R125" i="5"/>
  <c r="F125" i="5"/>
  <c r="E126" i="5"/>
  <c r="T127" i="5"/>
  <c r="U126" i="5"/>
  <c r="Q127" i="5"/>
  <c r="R126" i="5"/>
  <c r="F126" i="5"/>
  <c r="E127" i="5"/>
  <c r="U127" i="5"/>
  <c r="T128" i="5"/>
  <c r="Q128" i="5"/>
  <c r="R127" i="5"/>
  <c r="E128" i="5"/>
  <c r="F127" i="5"/>
  <c r="T129" i="5"/>
  <c r="U128" i="5"/>
  <c r="R128" i="5"/>
  <c r="Q129" i="5"/>
  <c r="E129" i="5"/>
  <c r="F128" i="5"/>
  <c r="U129" i="5"/>
  <c r="T130" i="5"/>
  <c r="Q130" i="5"/>
  <c r="R129" i="5"/>
  <c r="F129" i="5"/>
  <c r="E130" i="5"/>
  <c r="T131" i="5"/>
  <c r="U130" i="5"/>
  <c r="R130" i="5"/>
  <c r="Q131" i="5"/>
  <c r="E131" i="5"/>
  <c r="F130" i="5"/>
  <c r="T132" i="5"/>
  <c r="U131" i="5"/>
  <c r="Q132" i="5"/>
  <c r="R131" i="5"/>
  <c r="E132" i="5"/>
  <c r="F131" i="5"/>
  <c r="T133" i="5"/>
  <c r="U132" i="5"/>
  <c r="R132" i="5"/>
  <c r="Q133" i="5"/>
  <c r="E133" i="5"/>
  <c r="F132" i="5"/>
  <c r="U133" i="5"/>
  <c r="T134" i="5"/>
  <c r="R133" i="5"/>
  <c r="Q134" i="5"/>
  <c r="F133" i="5"/>
  <c r="E134" i="5"/>
  <c r="T135" i="5"/>
  <c r="U134" i="5"/>
  <c r="Q135" i="5"/>
  <c r="R134" i="5"/>
  <c r="F134" i="5"/>
  <c r="E135" i="5"/>
  <c r="T136" i="5"/>
  <c r="U135" i="5"/>
  <c r="Q136" i="5"/>
  <c r="R135" i="5"/>
  <c r="E136" i="5"/>
  <c r="F135" i="5"/>
  <c r="T137" i="5"/>
  <c r="U136" i="5"/>
  <c r="R136" i="5"/>
  <c r="Q137" i="5"/>
  <c r="E137" i="5"/>
  <c r="F136" i="5"/>
  <c r="U137" i="5"/>
  <c r="T138" i="5"/>
  <c r="Q138" i="5"/>
  <c r="R137" i="5"/>
  <c r="F137" i="5"/>
  <c r="E138" i="5"/>
  <c r="T139" i="5"/>
  <c r="U138" i="5"/>
  <c r="Q139" i="5"/>
  <c r="R138" i="5"/>
  <c r="E139" i="5"/>
  <c r="F138" i="5"/>
  <c r="T140" i="5"/>
  <c r="U139" i="5"/>
  <c r="Q140" i="5"/>
  <c r="R139" i="5"/>
  <c r="E140" i="5"/>
  <c r="F139" i="5"/>
  <c r="T141" i="5"/>
  <c r="U140" i="5"/>
  <c r="Q141" i="5"/>
  <c r="R140" i="5"/>
  <c r="E141" i="5"/>
  <c r="F140" i="5"/>
  <c r="U141" i="5"/>
  <c r="T142" i="5"/>
  <c r="Q142" i="5"/>
  <c r="R141" i="5"/>
  <c r="E142" i="5"/>
  <c r="F141" i="5"/>
  <c r="T143" i="5"/>
  <c r="U142" i="5"/>
  <c r="Q143" i="5"/>
  <c r="R142" i="5"/>
  <c r="F142" i="5"/>
  <c r="E143" i="5"/>
  <c r="U143" i="5"/>
  <c r="T144" i="5"/>
  <c r="Q144" i="5"/>
  <c r="R143" i="5"/>
  <c r="F143" i="5"/>
  <c r="E144" i="5"/>
  <c r="T145" i="5"/>
  <c r="U144" i="5"/>
  <c r="Q145" i="5"/>
  <c r="R144" i="5"/>
  <c r="E145" i="5"/>
  <c r="F144" i="5"/>
  <c r="U145" i="5"/>
  <c r="T146" i="5"/>
  <c r="Q146" i="5"/>
  <c r="R145" i="5"/>
  <c r="F145" i="5"/>
  <c r="E146" i="5"/>
  <c r="T147" i="5"/>
  <c r="U146" i="5"/>
  <c r="R146" i="5"/>
  <c r="Q147" i="5"/>
  <c r="E147" i="5"/>
  <c r="F146" i="5"/>
  <c r="T148" i="5"/>
  <c r="U147" i="5"/>
  <c r="Q148" i="5"/>
  <c r="R147" i="5"/>
  <c r="E148" i="5"/>
  <c r="F147" i="5"/>
  <c r="T149" i="5"/>
  <c r="U148" i="5"/>
  <c r="Q149" i="5"/>
  <c r="R148" i="5"/>
  <c r="E149" i="5"/>
  <c r="F148" i="5"/>
  <c r="T150" i="5"/>
  <c r="U149" i="5"/>
  <c r="Q150" i="5"/>
  <c r="R149" i="5"/>
  <c r="F149" i="5"/>
  <c r="E150" i="5"/>
  <c r="T151" i="5"/>
  <c r="U150" i="5"/>
  <c r="Q151" i="5"/>
  <c r="R150" i="5"/>
  <c r="F150" i="5"/>
  <c r="E151" i="5"/>
  <c r="T152" i="5"/>
  <c r="U151" i="5"/>
  <c r="Q152" i="5"/>
  <c r="R151" i="5"/>
  <c r="F151" i="5"/>
  <c r="E152" i="5"/>
  <c r="T153" i="5"/>
  <c r="U152" i="5"/>
  <c r="Q153" i="5"/>
  <c r="R152" i="5"/>
  <c r="F152" i="5"/>
  <c r="E153" i="5"/>
  <c r="U153" i="5"/>
  <c r="T154" i="5"/>
  <c r="Q154" i="5"/>
  <c r="R153" i="5"/>
  <c r="F153" i="5"/>
  <c r="E154" i="5"/>
  <c r="T155" i="5"/>
  <c r="U154" i="5"/>
  <c r="R154" i="5"/>
  <c r="Q155" i="5"/>
  <c r="E155" i="5"/>
  <c r="F154" i="5"/>
  <c r="T156" i="5"/>
  <c r="U155" i="5"/>
  <c r="Q156" i="5"/>
  <c r="R155" i="5"/>
  <c r="E156" i="5"/>
  <c r="F155" i="5"/>
  <c r="T157" i="5"/>
  <c r="U156" i="5"/>
  <c r="R156" i="5"/>
  <c r="Q157" i="5"/>
  <c r="F156" i="5"/>
  <c r="E157" i="5"/>
  <c r="U157" i="5"/>
  <c r="T158" i="5"/>
  <c r="Q158" i="5"/>
  <c r="R157" i="5"/>
  <c r="E158" i="5"/>
  <c r="F157" i="5"/>
  <c r="T159" i="5"/>
  <c r="U158" i="5"/>
  <c r="Q159" i="5"/>
  <c r="R158" i="5"/>
  <c r="F158" i="5"/>
  <c r="E159" i="5"/>
  <c r="U159" i="5"/>
  <c r="T160" i="5"/>
  <c r="Q160" i="5"/>
  <c r="R159" i="5"/>
  <c r="F159" i="5"/>
  <c r="E160" i="5"/>
  <c r="T161" i="5"/>
  <c r="U160" i="5"/>
  <c r="Q161" i="5"/>
  <c r="R160" i="5"/>
  <c r="E161" i="5"/>
  <c r="F160" i="5"/>
  <c r="U161" i="5"/>
  <c r="T162" i="5"/>
  <c r="Q162" i="5"/>
  <c r="R161" i="5"/>
  <c r="E162" i="5"/>
  <c r="F161" i="5"/>
  <c r="T163" i="5"/>
  <c r="U162" i="5"/>
  <c r="Q163" i="5"/>
  <c r="R162" i="5"/>
  <c r="F162" i="5"/>
  <c r="E163" i="5"/>
  <c r="T164" i="5"/>
  <c r="U163" i="5"/>
  <c r="Q164" i="5"/>
  <c r="R163" i="5"/>
  <c r="E164" i="5"/>
  <c r="F163" i="5"/>
  <c r="T165" i="5"/>
  <c r="U164" i="5"/>
  <c r="R164" i="5"/>
  <c r="Q165" i="5"/>
  <c r="F164" i="5"/>
  <c r="E165" i="5"/>
  <c r="U165" i="5"/>
  <c r="T166" i="5"/>
  <c r="R165" i="5"/>
  <c r="Q166" i="5"/>
  <c r="F165" i="5"/>
  <c r="E166" i="5"/>
  <c r="T167" i="5"/>
  <c r="U166" i="5"/>
  <c r="R166" i="5"/>
  <c r="Q167" i="5"/>
  <c r="F166" i="5"/>
  <c r="E167" i="5"/>
  <c r="T168" i="5"/>
  <c r="U167" i="5"/>
  <c r="Q168" i="5"/>
  <c r="R167" i="5"/>
  <c r="F167" i="5"/>
  <c r="E168" i="5"/>
  <c r="T169" i="5"/>
  <c r="U168" i="5"/>
  <c r="Q169" i="5"/>
  <c r="R168" i="5"/>
  <c r="E169" i="5"/>
  <c r="F168" i="5"/>
  <c r="U169" i="5"/>
  <c r="T170" i="5"/>
  <c r="Q170" i="5"/>
  <c r="R169" i="5"/>
  <c r="E170" i="5"/>
  <c r="F169" i="5"/>
  <c r="T171" i="5"/>
  <c r="U170" i="5"/>
  <c r="R170" i="5"/>
  <c r="Q171" i="5"/>
  <c r="F170" i="5"/>
  <c r="E171" i="5"/>
  <c r="T172" i="5"/>
  <c r="U171" i="5"/>
  <c r="Q172" i="5"/>
  <c r="R171" i="5"/>
  <c r="E172" i="5"/>
  <c r="F171" i="5"/>
  <c r="T173" i="5"/>
  <c r="U172" i="5"/>
  <c r="Q173" i="5"/>
  <c r="R172" i="5"/>
  <c r="F172" i="5"/>
  <c r="E173" i="5"/>
  <c r="U173" i="5"/>
  <c r="T174" i="5"/>
  <c r="Q174" i="5"/>
  <c r="R173" i="5"/>
  <c r="E174" i="5"/>
  <c r="F173" i="5"/>
  <c r="T175" i="5"/>
  <c r="U174" i="5"/>
  <c r="R174" i="5"/>
  <c r="Q175" i="5"/>
  <c r="F174" i="5"/>
  <c r="E175" i="5"/>
  <c r="U175" i="5"/>
  <c r="T176" i="5"/>
  <c r="Q176" i="5"/>
  <c r="R175" i="5"/>
  <c r="E176" i="5"/>
  <c r="F175" i="5"/>
  <c r="T177" i="5"/>
  <c r="U176" i="5"/>
  <c r="Q177" i="5"/>
  <c r="R176" i="5"/>
  <c r="F176" i="5"/>
  <c r="E177" i="5"/>
  <c r="U177" i="5"/>
  <c r="T178" i="5"/>
  <c r="Q178" i="5"/>
  <c r="R177" i="5"/>
  <c r="E178" i="5"/>
  <c r="F177" i="5"/>
  <c r="T179" i="5"/>
  <c r="U178" i="5"/>
  <c r="Q179" i="5"/>
  <c r="R178" i="5"/>
  <c r="F178" i="5"/>
  <c r="E179" i="5"/>
  <c r="T180" i="5"/>
  <c r="U179" i="5"/>
  <c r="Q180" i="5"/>
  <c r="R179" i="5"/>
  <c r="E180" i="5"/>
  <c r="F179" i="5"/>
  <c r="T181" i="5"/>
  <c r="U180" i="5"/>
  <c r="R180" i="5"/>
  <c r="Q181" i="5"/>
  <c r="F180" i="5"/>
  <c r="E181" i="5"/>
  <c r="T182" i="5"/>
  <c r="U182" i="5"/>
  <c r="U181" i="5"/>
  <c r="Q182" i="5"/>
  <c r="R182" i="5"/>
  <c r="R181" i="5"/>
  <c r="E182" i="5"/>
  <c r="F182" i="5"/>
  <c r="F181" i="5"/>
  <c r="R11" i="5"/>
  <c r="U11" i="5"/>
  <c r="E11" i="5"/>
  <c r="Q11" i="5"/>
  <c r="T11" i="5"/>
  <c r="J3" i="7"/>
  <c r="J6" i="7"/>
  <c r="I2" i="5"/>
  <c r="C27" i="23"/>
  <c r="C28" i="23"/>
  <c r="O2" i="5"/>
  <c r="F14" i="5"/>
  <c r="X2" i="5"/>
  <c r="R2" i="5"/>
  <c r="U2" i="5"/>
  <c r="E10" i="12"/>
  <c r="G10" i="12"/>
  <c r="N10" i="1"/>
  <c r="P10" i="1"/>
  <c r="E9" i="12"/>
  <c r="G9" i="12"/>
  <c r="E7" i="12"/>
  <c r="G7" i="12"/>
  <c r="N9" i="1"/>
  <c r="P9" i="1"/>
  <c r="N11" i="18"/>
  <c r="E8" i="12"/>
  <c r="G8" i="12"/>
  <c r="N7" i="1"/>
  <c r="P7" i="1"/>
  <c r="N8" i="1"/>
  <c r="P8" i="1"/>
  <c r="C27" i="22"/>
  <c r="C28" i="22"/>
  <c r="N10" i="18"/>
  <c r="N8" i="18"/>
  <c r="N9" i="18"/>
  <c r="C38" i="21"/>
  <c r="C39" i="21"/>
  <c r="I10" i="12"/>
  <c r="H10" i="12"/>
  <c r="R10" i="1"/>
  <c r="Q10" i="1"/>
  <c r="H9" i="12"/>
  <c r="I9" i="12"/>
  <c r="H7" i="12"/>
  <c r="I7" i="12"/>
  <c r="Q9" i="1"/>
  <c r="R9" i="1"/>
  <c r="I8" i="12"/>
  <c r="H8" i="12"/>
  <c r="Q7" i="1"/>
  <c r="R7" i="1"/>
  <c r="Q8" i="1"/>
  <c r="R8" i="1"/>
  <c r="C29" i="22"/>
  <c r="C30" i="22"/>
  <c r="C41" i="21"/>
  <c r="C40" i="21"/>
  <c r="C30" i="23"/>
  <c r="C29" i="23"/>
  <c r="P11" i="18"/>
  <c r="P10" i="18"/>
  <c r="P8" i="18"/>
  <c r="P9" i="18"/>
  <c r="R11" i="18"/>
  <c r="Q11" i="18"/>
  <c r="R8" i="18"/>
  <c r="R9" i="18"/>
  <c r="I9" i="20"/>
  <c r="I8" i="20"/>
  <c r="I11" i="20"/>
  <c r="H11" i="20"/>
  <c r="G9" i="20"/>
  <c r="G8" i="20"/>
  <c r="G10" i="20"/>
  <c r="G11" i="20"/>
  <c r="E9" i="20"/>
  <c r="E8" i="20"/>
  <c r="E10" i="20"/>
  <c r="E11" i="20"/>
  <c r="J10" i="7"/>
  <c r="F11" i="5"/>
  <c r="J7" i="7"/>
  <c r="J5" i="7"/>
  <c r="J8" i="7"/>
  <c r="J9" i="7"/>
  <c r="N7" i="18"/>
  <c r="F2" i="5"/>
  <c r="N11" i="1"/>
  <c r="P11" i="1"/>
  <c r="E11" i="12"/>
  <c r="G11" i="12"/>
  <c r="R11" i="1"/>
  <c r="Q11" i="1"/>
  <c r="H11" i="12"/>
  <c r="I11" i="12"/>
  <c r="P7" i="18"/>
  <c r="Q7" i="18"/>
  <c r="H7" i="20"/>
  <c r="G7" i="20"/>
  <c r="E7" i="20"/>
  <c r="J4" i="7"/>
  <c r="N8" i="16"/>
  <c r="N10" i="16"/>
  <c r="N9" i="16"/>
  <c r="N11" i="16"/>
  <c r="N7" i="16"/>
  <c r="P7" i="16"/>
  <c r="Q7" i="16"/>
  <c r="R7" i="16"/>
  <c r="I7" i="17"/>
  <c r="H7" i="17"/>
  <c r="G7" i="17"/>
  <c r="E7" i="17"/>
  <c r="E11" i="17"/>
  <c r="E9" i="17"/>
  <c r="E10" i="17"/>
  <c r="E8" i="17"/>
  <c r="P9" i="16"/>
  <c r="P10" i="16"/>
  <c r="P11" i="16"/>
  <c r="P8" i="16"/>
  <c r="Q9" i="16"/>
  <c r="R9" i="16"/>
  <c r="Q10" i="16"/>
  <c r="R10" i="16"/>
  <c r="Q11" i="16"/>
  <c r="R11" i="16"/>
  <c r="Q8" i="16"/>
  <c r="R8" i="16"/>
  <c r="R7" i="18"/>
  <c r="R10" i="18"/>
  <c r="Q9" i="18"/>
  <c r="Q8" i="18"/>
  <c r="Q10" i="18"/>
  <c r="I10" i="20"/>
  <c r="I8" i="17"/>
  <c r="I11" i="17"/>
  <c r="I10" i="17"/>
  <c r="I9" i="17"/>
  <c r="H10" i="20"/>
  <c r="H8" i="20"/>
  <c r="H9" i="20"/>
  <c r="I7" i="20"/>
  <c r="H8" i="17"/>
  <c r="H11" i="17"/>
  <c r="H10" i="17"/>
  <c r="H9" i="17"/>
  <c r="G8" i="17"/>
  <c r="G11" i="17"/>
  <c r="G10" i="17"/>
  <c r="G9" i="17"/>
</calcChain>
</file>

<file path=xl/sharedStrings.xml><?xml version="1.0" encoding="utf-8"?>
<sst xmlns="http://schemas.openxmlformats.org/spreadsheetml/2006/main" count="5089" uniqueCount="274">
  <si>
    <t xml:space="preserve"> </t>
  </si>
  <si>
    <t>Calendar</t>
  </si>
  <si>
    <t>SYB</t>
  </si>
  <si>
    <t>BOND LEG</t>
  </si>
  <si>
    <t>FUNDING LEG</t>
  </si>
  <si>
    <t>BondDescription</t>
  </si>
  <si>
    <t>LegType</t>
  </si>
  <si>
    <t>Leg1:FixedBond</t>
  </si>
  <si>
    <t>Leg2:Float</t>
  </si>
  <si>
    <t>BondType</t>
  </si>
  <si>
    <t>Notional</t>
  </si>
  <si>
    <t>Currency</t>
  </si>
  <si>
    <t>AUD</t>
  </si>
  <si>
    <t>NotionalExchange</t>
  </si>
  <si>
    <t>NONE</t>
  </si>
  <si>
    <t>ISIN</t>
  </si>
  <si>
    <t>PayReceive</t>
  </si>
  <si>
    <t>PAY</t>
  </si>
  <si>
    <t>RECEIVE</t>
  </si>
  <si>
    <t>YieldType</t>
  </si>
  <si>
    <t>YIELD-TO-MATURITY</t>
  </si>
  <si>
    <t>ForecastCurve</t>
  </si>
  <si>
    <t>IsCleanPrice</t>
  </si>
  <si>
    <t>DiscountCurve</t>
  </si>
  <si>
    <t>AUDOIS</t>
  </si>
  <si>
    <t>BondQuoteConvention</t>
  </si>
  <si>
    <t>QUOTE_TO_3_DECIMAL_PLACES</t>
  </si>
  <si>
    <t>Leverage</t>
  </si>
  <si>
    <t>START_AND_END</t>
  </si>
  <si>
    <t>FixedRate</t>
  </si>
  <si>
    <t>FaceValue</t>
  </si>
  <si>
    <t>FirstStubCurveIndex</t>
  </si>
  <si>
    <t>NATURAL</t>
  </si>
  <si>
    <t>IssueDate</t>
  </si>
  <si>
    <t>LastStubCurveIndex</t>
  </si>
  <si>
    <t>QUARTERLY</t>
  </si>
  <si>
    <t>AccrualStartDate</t>
  </si>
  <si>
    <t>FirstFixing</t>
  </si>
  <si>
    <t>FirstCouponDate</t>
  </si>
  <si>
    <t>LastFixing</t>
  </si>
  <si>
    <t>LastCouponDate</t>
  </si>
  <si>
    <t>FloatSpread</t>
  </si>
  <si>
    <t>MaturityDate</t>
  </si>
  <si>
    <t>EffectiveDate</t>
  </si>
  <si>
    <t>Coupon</t>
  </si>
  <si>
    <t>AUD3ML</t>
  </si>
  <si>
    <t>3M</t>
  </si>
  <si>
    <t>Frequency</t>
  </si>
  <si>
    <t>AccrualFrequency</t>
  </si>
  <si>
    <t>CurveCollection</t>
  </si>
  <si>
    <t>AccrualBusinessDayAdjustment</t>
  </si>
  <si>
    <t>NO_CHANGE</t>
  </si>
  <si>
    <t>PaymentFrequency</t>
  </si>
  <si>
    <t>AccrualCalendar</t>
  </si>
  <si>
    <t>Daycount</t>
  </si>
  <si>
    <t>ACT/365</t>
  </si>
  <si>
    <t>PaymentBusinessDayAdjustment</t>
  </si>
  <si>
    <t>FixingBusinessDayAdjustment</t>
  </si>
  <si>
    <t>PRECEDING</t>
  </si>
  <si>
    <t>PaymentCalendar</t>
  </si>
  <si>
    <t>FixingCalendar</t>
  </si>
  <si>
    <t>PaymentLag</t>
  </si>
  <si>
    <t>0D</t>
  </si>
  <si>
    <t>DayCount</t>
  </si>
  <si>
    <t>Rollday</t>
  </si>
  <si>
    <t>CalculationType</t>
  </si>
  <si>
    <t>ExdividendTenor</t>
  </si>
  <si>
    <t>7D</t>
  </si>
  <si>
    <t>FirstStubDate</t>
  </si>
  <si>
    <t>ExdividendBusinessDayAdjustment</t>
  </si>
  <si>
    <t>LastStubDate</t>
  </si>
  <si>
    <t>RollDay</t>
  </si>
  <si>
    <t>FixingLag</t>
  </si>
  <si>
    <t>FirstFixingLag</t>
  </si>
  <si>
    <t>StubType</t>
  </si>
  <si>
    <t>SHORTSTART</t>
  </si>
  <si>
    <t>AUDYC</t>
  </si>
  <si>
    <t>ValuationDate</t>
  </si>
  <si>
    <t>Bond.ISIN</t>
  </si>
  <si>
    <t>Proxy.ISIN</t>
  </si>
  <si>
    <t/>
  </si>
  <si>
    <t>CRNCY</t>
  </si>
  <si>
    <t>PX_DIRTY_CLEAN</t>
  </si>
  <si>
    <t>ISSUE_DT</t>
  </si>
  <si>
    <t>MATURITY</t>
  </si>
  <si>
    <t>START_ACC_DT</t>
  </si>
  <si>
    <t>FIRST_CPN_DT</t>
  </si>
  <si>
    <t>PENULTIMATE_CPN_DT</t>
  </si>
  <si>
    <t>CPN</t>
  </si>
  <si>
    <t>CPN_TYP</t>
  </si>
  <si>
    <t>CPN_FREQ</t>
  </si>
  <si>
    <t>Bloomberg</t>
  </si>
  <si>
    <t>MLIB</t>
  </si>
  <si>
    <t>ANNUAL</t>
  </si>
  <si>
    <t>MONTHLY</t>
  </si>
  <si>
    <t>ZERO-COUPON</t>
  </si>
  <si>
    <t>Coupon.Frequency</t>
  </si>
  <si>
    <t>CALC_TYP</t>
  </si>
  <si>
    <t>DAY_CNT_DES</t>
  </si>
  <si>
    <t>EUR</t>
  </si>
  <si>
    <t>TGT</t>
  </si>
  <si>
    <t>USD</t>
  </si>
  <si>
    <t>NYB</t>
  </si>
  <si>
    <t>CurrencyToCalendar</t>
  </si>
  <si>
    <t>6D</t>
  </si>
  <si>
    <t>ExDividendTenor - Type23</t>
  </si>
  <si>
    <t>ExDividendTenor - Type26</t>
  </si>
  <si>
    <t>CurrencyToAssetSwap</t>
  </si>
  <si>
    <t>EUR3ML</t>
  </si>
  <si>
    <t>USD3ML</t>
  </si>
  <si>
    <t>EUROIS</t>
  </si>
  <si>
    <t>USDOIS</t>
  </si>
  <si>
    <t>CreateFixingTable</t>
  </si>
  <si>
    <t>Fixing Table &amp; Index Information</t>
  </si>
  <si>
    <t>TableName</t>
  </si>
  <si>
    <t>CurveTenor</t>
  </si>
  <si>
    <t>FixingDate</t>
  </si>
  <si>
    <t>FixingValue</t>
  </si>
  <si>
    <t>Bloomberg Index</t>
  </si>
  <si>
    <t>EUR003M Index</t>
  </si>
  <si>
    <t>FIXINGS_EUR3ML</t>
  </si>
  <si>
    <t>US0003M Index</t>
  </si>
  <si>
    <t>FIXINGS_USD3ML</t>
  </si>
  <si>
    <t>FIXINGS_AUD3ML</t>
  </si>
  <si>
    <t>ADBB3M Index</t>
  </si>
  <si>
    <t>NYB:LNB</t>
  </si>
  <si>
    <t>SYB:LNB</t>
  </si>
  <si>
    <t>Funding.FixingCalendar</t>
  </si>
  <si>
    <t>Funding.AccuralCalendar</t>
  </si>
  <si>
    <t>Funding.Daycount</t>
  </si>
  <si>
    <t>EURYC</t>
  </si>
  <si>
    <t>XS1339542364 Corp</t>
  </si>
  <si>
    <t>USN4578BQA53 Corp</t>
  </si>
  <si>
    <t>EUR006M Index</t>
  </si>
  <si>
    <t>6M</t>
  </si>
  <si>
    <t>FIXINGS_EUR6ML</t>
  </si>
  <si>
    <t>US0006M Index</t>
  </si>
  <si>
    <t>FIXINGS_USD6ML</t>
  </si>
  <si>
    <t>ADBB6M Index</t>
  </si>
  <si>
    <t>FIXINGS_AUD6ML</t>
  </si>
  <si>
    <t>FrequencyToCurveIndex</t>
  </si>
  <si>
    <t>SEMI-ANNUAL</t>
  </si>
  <si>
    <t>3ML</t>
  </si>
  <si>
    <t>6ML</t>
  </si>
  <si>
    <t>Bond.Description</t>
  </si>
  <si>
    <t>ING BANK NV</t>
  </si>
  <si>
    <t>Proxy.Description</t>
  </si>
  <si>
    <t>ACT/360</t>
  </si>
  <si>
    <t>Proxy.Currency</t>
  </si>
  <si>
    <t>VALUATION SETTINGS</t>
  </si>
  <si>
    <t>Proxy.AssetSwap</t>
  </si>
  <si>
    <t>Proxy.Bond</t>
  </si>
  <si>
    <t>Illiquid.Bond</t>
  </si>
  <si>
    <t>FixingTables</t>
  </si>
  <si>
    <t>Bond.Currency</t>
  </si>
  <si>
    <t>Bond.Funding.Freq</t>
  </si>
  <si>
    <t>Proxy.Funding.Freq</t>
  </si>
  <si>
    <t>JPY</t>
  </si>
  <si>
    <t>JY0006M Index</t>
  </si>
  <si>
    <t>JY0003M Index</t>
  </si>
  <si>
    <t>FIXINGS_JPY3ML</t>
  </si>
  <si>
    <t>FIXINGS_JPY6ML</t>
  </si>
  <si>
    <t>JPYYC</t>
  </si>
  <si>
    <t>BGN</t>
  </si>
  <si>
    <t>Override</t>
  </si>
  <si>
    <t>Bond.AssetSwap</t>
  </si>
  <si>
    <t>USDYC</t>
  </si>
  <si>
    <t>PROXY BOND</t>
  </si>
  <si>
    <t>TRADE INFO</t>
  </si>
  <si>
    <t>ID_ISIN</t>
  </si>
  <si>
    <t>PricingSource</t>
  </si>
  <si>
    <t>Price</t>
  </si>
  <si>
    <t>PROXY ASSET SWAP</t>
  </si>
  <si>
    <t>Bond Leg</t>
  </si>
  <si>
    <t>Funding Leg</t>
  </si>
  <si>
    <t>Proxy.ASW</t>
  </si>
  <si>
    <t>ASW Spread</t>
  </si>
  <si>
    <t>BOND ASSET SWAP</t>
  </si>
  <si>
    <t>Bond.ASW</t>
  </si>
  <si>
    <t>CleanPrice</t>
  </si>
  <si>
    <t>ILLIQUID BOND</t>
  </si>
  <si>
    <t>DirtyPrice</t>
  </si>
  <si>
    <t>Yield</t>
  </si>
  <si>
    <t>TRADE BOOKING</t>
  </si>
  <si>
    <t>PRICING</t>
  </si>
  <si>
    <t>PROXY</t>
  </si>
  <si>
    <t>NATIONAL GRID</t>
  </si>
  <si>
    <t>XS1215869915 Corp</t>
  </si>
  <si>
    <t>XS1209910196 Corp</t>
  </si>
  <si>
    <t>DOHA FINANCE LTD</t>
  </si>
  <si>
    <t>XS1615075048 Corp</t>
  </si>
  <si>
    <t>STATE OF QATAR</t>
  </si>
  <si>
    <t>XS0423038875 Corp</t>
  </si>
  <si>
    <t>BANCO DE CREDITO E INVERSIONES</t>
  </si>
  <si>
    <t>XS1692845396 Corp</t>
  </si>
  <si>
    <t>USP32133CG63 Corp</t>
  </si>
  <si>
    <t>ELECTRICITE DE FRANCE SA</t>
  </si>
  <si>
    <t>PPOE027W1 Corp</t>
  </si>
  <si>
    <t>XS0367001228 Corp</t>
  </si>
  <si>
    <t>Pricing</t>
  </si>
  <si>
    <t>MIZUHO BANK SYDNEY</t>
  </si>
  <si>
    <t>XS1344710857 Corp</t>
  </si>
  <si>
    <t>MIZUHO BANK LTD</t>
  </si>
  <si>
    <t>USJ46186BC59 Corp</t>
  </si>
  <si>
    <t>PROXY  XCCY ASSET SWAP</t>
  </si>
  <si>
    <t>PROXY XCCY ASSET SWAP</t>
  </si>
  <si>
    <t>Proxy.XccyAssetSwap</t>
  </si>
  <si>
    <t>FXSpot</t>
  </si>
  <si>
    <t>Xccy Swap Properties</t>
  </si>
  <si>
    <t>MTM</t>
  </si>
  <si>
    <t>ValuationCurrency</t>
  </si>
  <si>
    <t>NotionalFxResetLeg</t>
  </si>
  <si>
    <t>END</t>
  </si>
  <si>
    <t>ISFWDINTER</t>
  </si>
  <si>
    <t>Trade Parameters</t>
  </si>
  <si>
    <t>FXDC-BOOKING: Fixed Bonds with Different Currency Proxy</t>
  </si>
  <si>
    <t>Trade Info</t>
  </si>
  <si>
    <t>#1. CREATE PROXY BOND</t>
  </si>
  <si>
    <t>#2. CREATE PROXY XCCY SWAP</t>
  </si>
  <si>
    <t>#3. CREATE BOND ASSET SWAP</t>
  </si>
  <si>
    <t>#4. CREATE ILLIQUID BOND</t>
  </si>
  <si>
    <t>Handle Name</t>
  </si>
  <si>
    <t>ErrorCount</t>
  </si>
  <si>
    <t>Create Proxy Bond</t>
  </si>
  <si>
    <t>Create Proxy Asset Swap</t>
  </si>
  <si>
    <t>Create Illiquid Bond Asset Swap</t>
  </si>
  <si>
    <t>Create Illiquid Bond</t>
  </si>
  <si>
    <t>Bond.SettlementLag</t>
  </si>
  <si>
    <t>2D</t>
  </si>
  <si>
    <t>BOND SPECIFICATION</t>
  </si>
  <si>
    <t>ASSET SWAP SPECIFICATION</t>
  </si>
  <si>
    <t>Bond.BusDayAdj</t>
  </si>
  <si>
    <t>FOLLOWING</t>
  </si>
  <si>
    <t>Bond.Calendar</t>
  </si>
  <si>
    <t>Xccy Model Valuation Settings</t>
  </si>
  <si>
    <t>MID</t>
  </si>
  <si>
    <t>FXSPOT</t>
  </si>
  <si>
    <t>Relative Value Pricing</t>
  </si>
  <si>
    <t>Proxy.XccySwap</t>
  </si>
  <si>
    <t>Prices</t>
  </si>
  <si>
    <t>Proxy.PricingSource</t>
  </si>
  <si>
    <t>Proxy.Price</t>
  </si>
  <si>
    <t>Proxy.Xccy.Spread</t>
  </si>
  <si>
    <t>Bond.CleanPrice</t>
  </si>
  <si>
    <t>Bond.DirtyPrice</t>
  </si>
  <si>
    <t>Bond.Yield</t>
  </si>
  <si>
    <t>FXSC-BOOKING: Fixed Bonds with Same Currency Proxy</t>
  </si>
  <si>
    <t>#2. CREATE PROXY ASSET SWAP</t>
  </si>
  <si>
    <t>Proxy.ASW.Spread</t>
  </si>
  <si>
    <t>BP CAPITAL MARKETS</t>
  </si>
  <si>
    <t>XS1193905160 Corp</t>
  </si>
  <si>
    <t>US05565QCT31 Corp</t>
  </si>
  <si>
    <t>FTSC-BOOKING: Float Bonds with Same Currency Fixed Proxy</t>
  </si>
  <si>
    <t>Leg1:Fixed</t>
  </si>
  <si>
    <t>Leg2:FloatBond</t>
  </si>
  <si>
    <t>ValuationSettings</t>
  </si>
  <si>
    <t>SettlementDate</t>
  </si>
  <si>
    <t>FloatBondCurrentCoupon</t>
  </si>
  <si>
    <t>FloatBondAssumedRate</t>
  </si>
  <si>
    <t>FLT_SPREAD</t>
  </si>
  <si>
    <t>QuotedMargin</t>
  </si>
  <si>
    <t>FloatBondIndexToNextCoupon</t>
  </si>
  <si>
    <t>Floating Bond Definitions</t>
  </si>
  <si>
    <t>Bond Settlement Date</t>
  </si>
  <si>
    <t>YAS_FLOATER_ASSUMED_RATE</t>
  </si>
  <si>
    <t>AssumedRate</t>
  </si>
  <si>
    <t>Current Coupon = Current Fixing + Quoted Margin</t>
  </si>
  <si>
    <t>YAS_FLOATER_INDEX_TO_NEXT_COUPON</t>
  </si>
  <si>
    <t>IndexToNextCoupon</t>
  </si>
  <si>
    <t>Fixed Coupon Equivalent of Future Projected Float Coupons</t>
  </si>
  <si>
    <t>Floating Stub Rate from Settlement Date to Next Coupon</t>
  </si>
  <si>
    <t>FUNDING Leg</t>
  </si>
  <si>
    <t xml:space="preserve">Valuation Settings </t>
  </si>
  <si>
    <t>INT_ACC_DT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</si>
</sst>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6"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_-* #,##0_-;\-* #,##0_-;_-* &quot;-&quot;_-;_-@_-"/>
    <numFmt numFmtId="165" formatCode="_-&quot;£&quot;* #,##0.00_-;\-&quot;£&quot;* #,##0.00_-;_-&quot;£&quot;* &quot;-&quot;??_-;_-@_-"/>
    <numFmt numFmtId="166" formatCode="_-* #,##0.00_-;\-* #,##0.00_-;_-* &quot;-&quot;??_-;_-@_-"/>
    <numFmt numFmtId="167" formatCode="ddd\,\ d\-mmm\-yy"/>
    <numFmt numFmtId="168" formatCode="ddd\ d\-mmm\-yy"/>
    <numFmt numFmtId="169" formatCode="#,##0.000"/>
    <numFmt numFmtId="170" formatCode="0.00000%"/>
    <numFmt numFmtId="171" formatCode="#,##0.0000"/>
    <numFmt numFmtId="172" formatCode="0.000000%"/>
    <numFmt numFmtId="173" formatCode="0.000%"/>
    <numFmt numFmtId="174" formatCode="_(&quot;$&quot;* #,##0.00_);_(&quot;$&quot;* \(#,##0.00\);_(&quot;$&quot;* &quot;-&quot;??_);_(@_)"/>
    <numFmt numFmtId="175" formatCode="0\ &quot; days&quot;"/>
    <numFmt numFmtId="176" formatCode="mmm\-yyyy"/>
    <numFmt numFmtId="177" formatCode="0.000"/>
    <numFmt numFmtId="178" formatCode="dd/m/yy"/>
    <numFmt numFmtId="179" formatCode="_(&quot;$&quot;* #,##0_);_(&quot;$&quot;* \(#,##0\);_(&quot;$&quot;* &quot;-&quot;_);_(@_)"/>
    <numFmt numFmtId="180" formatCode="0.00_)"/>
    <numFmt numFmtId="181" formatCode="dd\-mmm\-yy;dd\-mmm\-yy;"/>
    <numFmt numFmtId="182" formatCode="_ * #,##0_ ;_ * \-#,##0_ ;_ * &quot;-&quot;_ ;_ @_ "/>
    <numFmt numFmtId="183" formatCode="0.00000"/>
    <numFmt numFmtId="184" formatCode="ddd\,\ dd\-mmm\-yy"/>
    <numFmt numFmtId="185" formatCode="0.000000000000"/>
    <numFmt numFmtId="186" formatCode="0.0000%"/>
  </numFmts>
  <fonts count="9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0"/>
      <name val="Arial"/>
      <family val="2"/>
    </font>
    <font>
      <sz val="10"/>
      <name val="Courier"/>
      <family val="3"/>
    </font>
    <font>
      <sz val="10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color indexed="16"/>
      <name val="Helv"/>
    </font>
    <font>
      <sz val="8"/>
      <color indexed="12"/>
      <name val="Helv"/>
    </font>
    <font>
      <sz val="8"/>
      <name val="Arial"/>
      <family val="2"/>
    </font>
    <font>
      <sz val="11"/>
      <color indexed="16"/>
      <name val="Calibri"/>
      <family val="2"/>
    </font>
    <font>
      <sz val="11"/>
      <color indexed="20"/>
      <name val="Calibri"/>
      <family val="2"/>
    </font>
    <font>
      <sz val="11"/>
      <color indexed="36"/>
      <name val="Calibri"/>
      <family val="2"/>
    </font>
    <font>
      <b/>
      <sz val="11"/>
      <color indexed="9"/>
      <name val="Calibri"/>
      <family val="2"/>
    </font>
    <font>
      <sz val="10"/>
      <name val="Palatino"/>
    </font>
    <font>
      <b/>
      <sz val="8"/>
      <color indexed="15"/>
      <name val="ZapfDingbats"/>
    </font>
    <font>
      <b/>
      <sz val="9"/>
      <color indexed="12"/>
      <name val="Tahoma"/>
      <family val="2"/>
    </font>
    <font>
      <b/>
      <sz val="11"/>
      <color indexed="53"/>
      <name val="Calibri"/>
      <family val="2"/>
    </font>
    <font>
      <b/>
      <sz val="11"/>
      <color indexed="52"/>
      <name val="Calibri"/>
      <family val="2"/>
    </font>
    <font>
      <sz val="10"/>
      <name val="Helv"/>
    </font>
    <font>
      <sz val="11"/>
      <name val="ＭＳ Ｐゴシック"/>
      <family val="3"/>
      <charset val="128"/>
    </font>
    <font>
      <sz val="11"/>
      <name val="Times New Roman"/>
      <family val="1"/>
    </font>
    <font>
      <sz val="11"/>
      <color theme="1"/>
      <name val="Calibri"/>
      <family val="2"/>
      <charset val="128"/>
      <scheme val="minor"/>
    </font>
    <font>
      <i/>
      <sz val="6"/>
      <name val="Helv"/>
    </font>
    <font>
      <b/>
      <sz val="16"/>
      <color indexed="16"/>
      <name val="Helv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8"/>
      <name val="MS Sans Serif"/>
      <family val="2"/>
    </font>
    <font>
      <i/>
      <sz val="11"/>
      <color indexed="23"/>
      <name val="Calibri"/>
      <family val="2"/>
    </font>
    <font>
      <sz val="8"/>
      <color indexed="9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b/>
      <sz val="8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sz val="8"/>
      <name val="Palatino"/>
    </font>
    <font>
      <b/>
      <sz val="10"/>
      <name val="Palatino"/>
    </font>
    <font>
      <sz val="11"/>
      <color indexed="9"/>
      <name val="Arial"/>
      <family val="2"/>
    </font>
    <font>
      <sz val="11"/>
      <color indexed="17"/>
      <name val="Calibri"/>
      <family val="2"/>
    </font>
    <font>
      <b/>
      <sz val="10"/>
      <name val="MS Sans Serif"/>
      <family val="2"/>
    </font>
    <font>
      <b/>
      <sz val="10"/>
      <color indexed="12"/>
      <name val="Courier"/>
      <family val="3"/>
    </font>
    <font>
      <b/>
      <sz val="15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Calibri"/>
      <family val="2"/>
    </font>
    <font>
      <b/>
      <sz val="10"/>
      <name val="Helv"/>
      <family val="2"/>
    </font>
    <font>
      <u/>
      <sz val="10"/>
      <color indexed="12"/>
      <name val="Arial"/>
      <family val="2"/>
    </font>
    <font>
      <sz val="8"/>
      <color indexed="17"/>
      <name val="Arial"/>
      <family val="2"/>
    </font>
    <font>
      <sz val="11"/>
      <color indexed="62"/>
      <name val="Calibri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sz val="8"/>
      <color indexed="8"/>
      <name val="MS Sans Serif"/>
      <family val="2"/>
    </font>
    <font>
      <b/>
      <i/>
      <sz val="9"/>
      <color indexed="16"/>
      <name val="Verdana"/>
      <family val="2"/>
    </font>
    <font>
      <b/>
      <sz val="8"/>
      <color indexed="14"/>
      <name val="Arial"/>
      <family val="2"/>
    </font>
    <font>
      <b/>
      <sz val="8"/>
      <name val="Tahoma"/>
      <family val="2"/>
    </font>
    <font>
      <sz val="11"/>
      <color indexed="53"/>
      <name val="Calibri"/>
      <family val="2"/>
    </font>
    <font>
      <sz val="11"/>
      <color indexed="52"/>
      <name val="Calibri"/>
      <family val="2"/>
    </font>
    <font>
      <b/>
      <sz val="36"/>
      <name val="Arial"/>
      <family val="2"/>
    </font>
    <font>
      <sz val="8"/>
      <color indexed="8"/>
      <name val="Helv"/>
    </font>
    <font>
      <sz val="11"/>
      <color indexed="19"/>
      <name val="Calibri"/>
      <family val="2"/>
    </font>
    <font>
      <sz val="11"/>
      <color indexed="60"/>
      <name val="Calibri"/>
      <family val="2"/>
    </font>
    <font>
      <b/>
      <i/>
      <sz val="16"/>
      <name val="Helv"/>
    </font>
    <font>
      <i/>
      <sz val="10"/>
      <name val="Helv"/>
    </font>
    <font>
      <b/>
      <sz val="11"/>
      <color indexed="63"/>
      <name val="Calibri"/>
      <family val="2"/>
    </font>
    <font>
      <sz val="10"/>
      <name val="Helv"/>
      <family val="2"/>
    </font>
    <font>
      <b/>
      <i/>
      <sz val="8"/>
      <name val="Helv"/>
    </font>
    <font>
      <sz val="8"/>
      <color indexed="10"/>
      <name val="Helv"/>
    </font>
    <font>
      <b/>
      <sz val="10"/>
      <color indexed="12"/>
      <name val="Tahoma"/>
      <family val="2"/>
    </font>
    <font>
      <b/>
      <sz val="36"/>
      <color indexed="53"/>
      <name val="Arial"/>
      <family val="2"/>
    </font>
    <font>
      <b/>
      <sz val="14"/>
      <name val="Palatino"/>
    </font>
    <font>
      <b/>
      <sz val="12"/>
      <name val="Palatino"/>
    </font>
    <font>
      <b/>
      <sz val="18"/>
      <color indexed="62"/>
      <name val="Cambria"/>
      <family val="2"/>
    </font>
    <font>
      <b/>
      <sz val="18"/>
      <color indexed="56"/>
      <name val="Cambria"/>
      <family val="1"/>
    </font>
    <font>
      <b/>
      <sz val="18"/>
      <color indexed="56"/>
      <name val="Cambria"/>
      <family val="2"/>
    </font>
    <font>
      <b/>
      <sz val="20"/>
      <name val="Palatino"/>
    </font>
    <font>
      <sz val="8"/>
      <name val="Helv"/>
    </font>
    <font>
      <b/>
      <sz val="11"/>
      <color indexed="8"/>
      <name val="Calibri"/>
      <family val="2"/>
    </font>
    <font>
      <b/>
      <sz val="24"/>
      <color indexed="8"/>
      <name val="Arial"/>
      <family val="2"/>
    </font>
    <font>
      <sz val="11"/>
      <color indexed="10"/>
      <name val="Calibri"/>
      <family val="2"/>
    </font>
    <font>
      <sz val="11"/>
      <color theme="1"/>
      <name val="Calibri"/>
      <family val="3"/>
      <charset val="128"/>
      <scheme val="minor"/>
    </font>
    <font>
      <b/>
      <sz val="11"/>
      <color rgb="FF0000FF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6600"/>
      <name val="Calibri"/>
      <family val="2"/>
      <scheme val="minor"/>
    </font>
  </fonts>
  <fills count="8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1"/>
      </patternFill>
    </fill>
    <fill>
      <patternFill patternType="solid">
        <fgColor indexed="61"/>
      </patternFill>
    </fill>
    <fill>
      <patternFill patternType="solid">
        <fgColor indexed="26"/>
        <bgColor indexed="64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  <bgColor indexed="6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22"/>
        <bgColor indexed="64"/>
      </patternFill>
    </fill>
    <fill>
      <patternFill patternType="solid">
        <fgColor indexed="29"/>
      </patternFill>
    </fill>
    <fill>
      <patternFill patternType="solid">
        <fgColor indexed="42"/>
        <bgColor indexed="64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47"/>
        <bgColor indexed="64"/>
      </patternFill>
    </fill>
    <fill>
      <patternFill patternType="solid">
        <fgColor indexed="51"/>
      </patternFill>
    </fill>
    <fill>
      <patternFill patternType="solid">
        <fgColor indexed="44"/>
        <bgColor indexed="64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29"/>
        <bgColor indexed="64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  <bgColor indexed="64"/>
      </patternFill>
    </fill>
    <fill>
      <patternFill patternType="solid">
        <fgColor indexed="62"/>
      </patternFill>
    </fill>
    <fill>
      <patternFill patternType="solid">
        <fgColor indexed="25"/>
        <bgColor indexed="64"/>
      </patternFill>
    </fill>
    <fill>
      <patternFill patternType="solid">
        <fgColor indexed="10"/>
      </patternFill>
    </fill>
    <fill>
      <patternFill patternType="solid">
        <fgColor indexed="55"/>
        <bgColor indexed="64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49"/>
        <bgColor indexed="64"/>
      </patternFill>
    </fill>
    <fill>
      <patternFill patternType="solid">
        <fgColor indexed="53"/>
      </patternFill>
    </fill>
    <fill>
      <patternFill patternType="mediumGray">
        <fgColor indexed="17"/>
      </patternFill>
    </fill>
    <fill>
      <patternFill patternType="solid">
        <fgColor indexed="45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indexed="18"/>
        <bgColor indexed="16"/>
      </patternFill>
    </fill>
    <fill>
      <patternFill patternType="solid">
        <fgColor indexed="4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solid">
        <fgColor indexed="9"/>
      </patternFill>
    </fill>
    <fill>
      <patternFill patternType="solid">
        <fgColor indexed="4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2"/>
        <bgColor indexed="64"/>
      </patternFill>
    </fill>
    <fill>
      <patternFill patternType="mediumGray">
        <fgColor indexed="9"/>
        <bgColor indexed="22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15"/>
      </patternFill>
    </fill>
    <fill>
      <patternFill patternType="solid">
        <fgColor indexed="56"/>
        <bgColor indexed="64"/>
      </patternFill>
    </fill>
    <fill>
      <patternFill patternType="solid">
        <fgColor indexed="43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indexed="19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47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 style="hair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/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indexed="64"/>
      </right>
      <top/>
      <bottom/>
      <diagonal/>
    </border>
  </borders>
  <cellStyleXfs count="9699">
    <xf numFmtId="0" fontId="0" fillId="0" borderId="0"/>
    <xf numFmtId="0" fontId="7" fillId="0" borderId="0"/>
    <xf numFmtId="0" fontId="7" fillId="0" borderId="0"/>
    <xf numFmtId="0" fontId="7" fillId="0" borderId="0">
      <alignment horizontal="left" wrapText="1"/>
    </xf>
    <xf numFmtId="0" fontId="7" fillId="0" borderId="0">
      <alignment horizontal="left" wrapText="1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horizontal="left" wrapText="1"/>
    </xf>
    <xf numFmtId="0" fontId="7" fillId="0" borderId="0">
      <alignment horizontal="left" wrapText="1"/>
    </xf>
    <xf numFmtId="0" fontId="7" fillId="0" borderId="0">
      <alignment horizontal="left" wrapText="1"/>
    </xf>
    <xf numFmtId="0" fontId="7" fillId="0" borderId="0">
      <alignment horizontal="left" wrapText="1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horizontal="left" wrapText="1"/>
    </xf>
    <xf numFmtId="0" fontId="7" fillId="0" borderId="0">
      <alignment horizontal="left" wrapText="1"/>
    </xf>
    <xf numFmtId="0" fontId="7" fillId="0" borderId="0"/>
    <xf numFmtId="0" fontId="8" fillId="0" borderId="0">
      <alignment vertical="center"/>
    </xf>
    <xf numFmtId="9" fontId="9" fillId="0" borderId="0"/>
    <xf numFmtId="0" fontId="10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8" borderId="0" applyNumberFormat="0" applyBorder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5" borderId="0" applyNumberFormat="0" applyBorder="0" applyAlignment="0" applyProtection="0"/>
    <xf numFmtId="0" fontId="10" fillId="13" borderId="0" applyNumberFormat="0" applyBorder="0" applyAlignment="0" applyProtection="0"/>
    <xf numFmtId="0" fontId="10" fillId="7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8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18" borderId="0" applyNumberFormat="0" applyBorder="0" applyAlignment="0" applyProtection="0"/>
    <xf numFmtId="0" fontId="10" fillId="13" borderId="0" applyNumberFormat="0" applyBorder="0" applyAlignment="0" applyProtection="0"/>
    <xf numFmtId="0" fontId="10" fillId="17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5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10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6" borderId="0" applyNumberFormat="0" applyBorder="0" applyAlignment="0" applyProtection="0"/>
    <xf numFmtId="0" fontId="11" fillId="26" borderId="0" applyNumberFormat="0" applyBorder="0" applyAlignment="0" applyProtection="0"/>
    <xf numFmtId="0" fontId="11" fillId="26" borderId="0" applyNumberFormat="0" applyBorder="0" applyAlignment="0" applyProtection="0"/>
    <xf numFmtId="0" fontId="11" fillId="28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8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18" borderId="0" applyNumberFormat="0" applyBorder="0" applyAlignment="0" applyProtection="0"/>
    <xf numFmtId="0" fontId="11" fillId="29" borderId="0" applyNumberFormat="0" applyBorder="0" applyAlignment="0" applyProtection="0"/>
    <xf numFmtId="0" fontId="11" fillId="17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5" borderId="0" applyNumberFormat="0" applyBorder="0" applyAlignment="0" applyProtection="0"/>
    <xf numFmtId="0" fontId="11" fillId="27" borderId="0" applyNumberFormat="0" applyBorder="0" applyAlignment="0" applyProtection="0"/>
    <xf numFmtId="0" fontId="11" fillId="27" borderId="0" applyNumberFormat="0" applyBorder="0" applyAlignment="0" applyProtection="0"/>
    <xf numFmtId="0" fontId="11" fillId="27" borderId="0" applyNumberFormat="0" applyBorder="0" applyAlignment="0" applyProtection="0"/>
    <xf numFmtId="0" fontId="11" fillId="23" borderId="0" applyNumberFormat="0" applyBorder="0" applyAlignment="0" applyProtection="0"/>
    <xf numFmtId="0" fontId="11" fillId="30" borderId="0" applyNumberFormat="0" applyBorder="0" applyAlignment="0" applyProtection="0"/>
    <xf numFmtId="0" fontId="11" fillId="19" borderId="0" applyNumberFormat="0" applyBorder="0" applyAlignment="0" applyProtection="0"/>
    <xf numFmtId="0" fontId="11" fillId="30" borderId="0" applyNumberFormat="0" applyBorder="0" applyAlignment="0" applyProtection="0"/>
    <xf numFmtId="0" fontId="11" fillId="30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27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4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1" borderId="0" applyNumberFormat="0" applyBorder="0" applyAlignment="0" applyProtection="0"/>
    <xf numFmtId="0" fontId="11" fillId="29" borderId="0" applyNumberFormat="0" applyBorder="0" applyAlignment="0" applyProtection="0"/>
    <xf numFmtId="0" fontId="11" fillId="37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38" borderId="0" applyNumberFormat="0" applyBorder="0" applyAlignment="0" applyProtection="0"/>
    <xf numFmtId="0" fontId="11" fillId="27" borderId="0" applyNumberFormat="0" applyBorder="0" applyAlignment="0" applyProtection="0"/>
    <xf numFmtId="0" fontId="11" fillId="27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9" borderId="0" applyNumberFormat="0" applyBorder="0" applyAlignment="0" applyProtection="0"/>
    <xf numFmtId="0" fontId="11" fillId="39" borderId="0" applyNumberFormat="0" applyBorder="0" applyAlignment="0" applyProtection="0"/>
    <xf numFmtId="0" fontId="11" fillId="39" borderId="0" applyNumberFormat="0" applyBorder="0" applyAlignment="0" applyProtection="0"/>
    <xf numFmtId="0" fontId="12" fillId="0" borderId="9" applyNumberFormat="0" applyFill="0" applyAlignment="0" applyProtection="0">
      <alignment horizontal="left"/>
    </xf>
    <xf numFmtId="0" fontId="13" fillId="0" borderId="9">
      <protection hidden="1"/>
    </xf>
    <xf numFmtId="0" fontId="14" fillId="40" borderId="0" applyNumberFormat="0" applyFont="0" applyBorder="0" applyAlignment="0" applyProtection="0"/>
    <xf numFmtId="0" fontId="7" fillId="18" borderId="0"/>
    <xf numFmtId="0" fontId="7" fillId="18" borderId="0"/>
    <xf numFmtId="0" fontId="7" fillId="18" borderId="0"/>
    <xf numFmtId="0" fontId="7" fillId="18" borderId="0"/>
    <xf numFmtId="0" fontId="7" fillId="18" borderId="0"/>
    <xf numFmtId="0" fontId="7" fillId="18" borderId="0"/>
    <xf numFmtId="0" fontId="7" fillId="18" borderId="0"/>
    <xf numFmtId="0" fontId="15" fillId="41" borderId="0" applyNumberFormat="0" applyBorder="0" applyAlignment="0" applyProtection="0"/>
    <xf numFmtId="0" fontId="16" fillId="9" borderId="0" applyNumberFormat="0" applyBorder="0" applyAlignment="0" applyProtection="0"/>
    <xf numFmtId="0" fontId="17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8" fillId="42" borderId="0"/>
    <xf numFmtId="0" fontId="19" fillId="43" borderId="0" applyNumberFormat="0" applyFont="0" applyBorder="0" applyAlignment="0" applyProtection="0">
      <alignment horizontal="center"/>
    </xf>
    <xf numFmtId="0" fontId="20" fillId="0" borderId="0">
      <alignment horizontal="right"/>
    </xf>
    <xf numFmtId="173" fontId="21" fillId="44" borderId="0"/>
    <xf numFmtId="0" fontId="22" fillId="45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18" fillId="35" borderId="11" applyNumberFormat="0" applyAlignment="0" applyProtection="0"/>
    <xf numFmtId="0" fontId="18" fillId="46" borderId="11" applyNumberFormat="0" applyAlignment="0" applyProtection="0"/>
    <xf numFmtId="0" fontId="18" fillId="46" borderId="11" applyNumberFormat="0" applyAlignment="0" applyProtection="0"/>
    <xf numFmtId="0" fontId="18" fillId="46" borderId="11" applyNumberFormat="0" applyAlignment="0" applyProtection="0"/>
    <xf numFmtId="0" fontId="24" fillId="0" borderId="9" applyNumberFormat="0" applyBorder="0" applyAlignment="0" applyProtection="0">
      <alignment horizontal="left"/>
    </xf>
    <xf numFmtId="38" fontId="25" fillId="0" borderId="0" applyFont="0" applyFill="0" applyBorder="0" applyAlignment="0" applyProtection="0">
      <alignment vertical="center"/>
    </xf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38" fontId="26" fillId="0" borderId="0" applyFont="0" applyFill="0" applyBorder="0" applyAlignment="0" applyProtection="0">
      <alignment vertical="center"/>
    </xf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40" fontId="27" fillId="0" borderId="0" applyFont="0" applyFill="0" applyBorder="0" applyAlignment="0" applyProtection="0">
      <alignment vertical="center"/>
    </xf>
    <xf numFmtId="40" fontId="27" fillId="0" borderId="0" applyFont="0" applyFill="0" applyBorder="0" applyAlignment="0" applyProtection="0">
      <alignment vertical="center"/>
    </xf>
    <xf numFmtId="40" fontId="27" fillId="0" borderId="0" applyFont="0" applyFill="0" applyBorder="0" applyAlignment="0" applyProtection="0">
      <alignment vertical="center"/>
    </xf>
    <xf numFmtId="40" fontId="27" fillId="0" borderId="0" applyFont="0" applyFill="0" applyBorder="0" applyAlignment="0" applyProtection="0">
      <alignment vertical="center"/>
    </xf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28" fillId="0" borderId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74" fontId="1" fillId="0" borderId="0" applyFont="0" applyFill="0" applyBorder="0" applyAlignment="0" applyProtection="0"/>
    <xf numFmtId="0" fontId="29" fillId="0" borderId="0">
      <alignment horizontal="right"/>
    </xf>
    <xf numFmtId="0" fontId="9" fillId="47" borderId="12" applyNumberFormat="0" applyFont="0" applyBorder="0" applyAlignment="0" applyProtection="0">
      <alignment horizontal="centerContinuous"/>
    </xf>
    <xf numFmtId="0" fontId="30" fillId="48" borderId="0" applyNumberFormat="0" applyBorder="0" applyAlignment="0">
      <alignment horizontal="center"/>
    </xf>
    <xf numFmtId="0" fontId="31" fillId="49" borderId="13">
      <alignment horizontal="center"/>
      <protection locked="0"/>
    </xf>
    <xf numFmtId="15" fontId="32" fillId="50" borderId="14" applyFont="0" applyFill="0" applyBorder="0" applyAlignment="0" applyProtection="0">
      <alignment horizontal="left"/>
    </xf>
    <xf numFmtId="17" fontId="32" fillId="50" borderId="14" applyFont="0" applyFill="0" applyBorder="0" applyAlignment="0" applyProtection="0">
      <alignment horizontal="left"/>
    </xf>
    <xf numFmtId="0" fontId="32" fillId="50" borderId="0">
      <alignment vertical="center"/>
    </xf>
    <xf numFmtId="175" fontId="32" fillId="0" borderId="0" applyFont="0" applyFill="0" applyBorder="0" applyAlignment="0" applyProtection="0"/>
    <xf numFmtId="0" fontId="14" fillId="1" borderId="15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35" borderId="0"/>
    <xf numFmtId="176" fontId="35" fillId="51" borderId="16" applyBorder="0"/>
    <xf numFmtId="0" fontId="7" fillId="20" borderId="15"/>
    <xf numFmtId="0" fontId="7" fillId="20" borderId="15"/>
    <xf numFmtId="0" fontId="7" fillId="20" borderId="15"/>
    <xf numFmtId="0" fontId="7" fillId="20" borderId="15"/>
    <xf numFmtId="177" fontId="36" fillId="45" borderId="0"/>
    <xf numFmtId="0" fontId="37" fillId="52" borderId="15"/>
    <xf numFmtId="176" fontId="35" fillId="0" borderId="15"/>
    <xf numFmtId="176" fontId="35" fillId="53" borderId="15"/>
    <xf numFmtId="176" fontId="35" fillId="54" borderId="17" applyBorder="0"/>
    <xf numFmtId="176" fontId="35" fillId="55" borderId="15"/>
    <xf numFmtId="0" fontId="38" fillId="45" borderId="15"/>
    <xf numFmtId="0" fontId="34" fillId="56" borderId="15"/>
    <xf numFmtId="0" fontId="39" fillId="57" borderId="18" applyBorder="0">
      <alignment horizontal="right"/>
    </xf>
    <xf numFmtId="38" fontId="7" fillId="0" borderId="15"/>
    <xf numFmtId="0" fontId="7" fillId="0" borderId="15"/>
    <xf numFmtId="0" fontId="7" fillId="8" borderId="15"/>
    <xf numFmtId="0" fontId="7" fillId="8" borderId="15"/>
    <xf numFmtId="0" fontId="7" fillId="8" borderId="15"/>
    <xf numFmtId="0" fontId="7" fillId="8" borderId="15"/>
    <xf numFmtId="176" fontId="35" fillId="53" borderId="15"/>
    <xf numFmtId="0" fontId="40" fillId="51" borderId="19">
      <alignment horizontal="center"/>
    </xf>
    <xf numFmtId="176" fontId="35" fillId="45" borderId="15"/>
    <xf numFmtId="0" fontId="41" fillId="58" borderId="0"/>
    <xf numFmtId="0" fontId="42" fillId="0" borderId="0"/>
    <xf numFmtId="0" fontId="43" fillId="0" borderId="0" applyNumberFormat="0" applyFill="0" applyBorder="0" applyAlignment="0" applyProtection="0"/>
    <xf numFmtId="0" fontId="44" fillId="35" borderId="0">
      <alignment horizontal="center"/>
    </xf>
    <xf numFmtId="0" fontId="45" fillId="20" borderId="0" applyNumberFormat="0" applyBorder="0" applyAlignment="0" applyProtection="0"/>
    <xf numFmtId="0" fontId="45" fillId="11" borderId="0" applyNumberFormat="0" applyBorder="0" applyAlignment="0" applyProtection="0"/>
    <xf numFmtId="0" fontId="45" fillId="11" borderId="0" applyNumberFormat="0" applyBorder="0" applyAlignment="0" applyProtection="0"/>
    <xf numFmtId="0" fontId="45" fillId="11" borderId="0" applyNumberFormat="0" applyBorder="0" applyAlignment="0" applyProtection="0"/>
    <xf numFmtId="0" fontId="46" fillId="59" borderId="20" applyNumberFormat="0" applyFont="0" applyBorder="0" applyAlignment="0">
      <alignment horizontal="centerContinuous"/>
    </xf>
    <xf numFmtId="0" fontId="47" fillId="18" borderId="15" applyProtection="0">
      <alignment horizontal="center"/>
      <protection locked="0"/>
    </xf>
    <xf numFmtId="0" fontId="48" fillId="0" borderId="21" applyNumberFormat="0" applyFill="0" applyAlignment="0" applyProtection="0"/>
    <xf numFmtId="0" fontId="49" fillId="0" borderId="22" applyNumberFormat="0" applyFill="0" applyAlignment="0" applyProtection="0"/>
    <xf numFmtId="0" fontId="48" fillId="0" borderId="23" applyNumberFormat="0" applyFill="0" applyAlignment="0" applyProtection="0"/>
    <xf numFmtId="0" fontId="49" fillId="0" borderId="22" applyNumberFormat="0" applyFill="0" applyAlignment="0" applyProtection="0"/>
    <xf numFmtId="0" fontId="49" fillId="0" borderId="22" applyNumberFormat="0" applyFill="0" applyAlignment="0" applyProtection="0"/>
    <xf numFmtId="0" fontId="49" fillId="0" borderId="22" applyNumberFormat="0" applyFill="0" applyAlignment="0" applyProtection="0"/>
    <xf numFmtId="0" fontId="49" fillId="0" borderId="22" applyNumberFormat="0" applyFill="0" applyAlignment="0" applyProtection="0"/>
    <xf numFmtId="0" fontId="50" fillId="0" borderId="24" applyNumberFormat="0" applyFill="0" applyAlignment="0" applyProtection="0"/>
    <xf numFmtId="0" fontId="51" fillId="0" borderId="25" applyNumberFormat="0" applyFill="0" applyAlignment="0" applyProtection="0"/>
    <xf numFmtId="0" fontId="50" fillId="0" borderId="25" applyNumberFormat="0" applyFill="0" applyAlignment="0" applyProtection="0"/>
    <xf numFmtId="0" fontId="51" fillId="0" borderId="25" applyNumberFormat="0" applyFill="0" applyAlignment="0" applyProtection="0"/>
    <xf numFmtId="0" fontId="51" fillId="0" borderId="25" applyNumberFormat="0" applyFill="0" applyAlignment="0" applyProtection="0"/>
    <xf numFmtId="0" fontId="51" fillId="0" borderId="25" applyNumberFormat="0" applyFill="0" applyAlignment="0" applyProtection="0"/>
    <xf numFmtId="0" fontId="52" fillId="0" borderId="26" applyNumberFormat="0" applyFill="0" applyAlignment="0" applyProtection="0"/>
    <xf numFmtId="0" fontId="53" fillId="0" borderId="27" applyNumberFormat="0" applyFill="0" applyAlignment="0" applyProtection="0"/>
    <xf numFmtId="0" fontId="52" fillId="0" borderId="28" applyNumberFormat="0" applyFill="0" applyAlignment="0" applyProtection="0"/>
    <xf numFmtId="0" fontId="53" fillId="0" borderId="27" applyNumberFormat="0" applyFill="0" applyAlignment="0" applyProtection="0"/>
    <xf numFmtId="0" fontId="53" fillId="0" borderId="27" applyNumberFormat="0" applyFill="0" applyAlignment="0" applyProtection="0"/>
    <xf numFmtId="0" fontId="53" fillId="0" borderId="27" applyNumberFormat="0" applyFill="0" applyAlignment="0" applyProtection="0"/>
    <xf numFmtId="0" fontId="53" fillId="0" borderId="27" applyNumberFormat="0" applyFill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60" borderId="0" applyNumberFormat="0" applyFont="0" applyBorder="0" applyAlignment="0" applyProtection="0"/>
    <xf numFmtId="0" fontId="55" fillId="0" borderId="0" applyNumberFormat="0" applyFill="0" applyBorder="0" applyAlignment="0" applyProtection="0">
      <alignment vertical="top"/>
      <protection locked="0"/>
    </xf>
    <xf numFmtId="0" fontId="55" fillId="0" borderId="0" applyNumberFormat="0" applyFill="0" applyBorder="0" applyAlignment="0" applyProtection="0">
      <alignment vertical="top"/>
      <protection locked="0"/>
    </xf>
    <xf numFmtId="0" fontId="55" fillId="0" borderId="0" applyNumberFormat="0" applyFill="0" applyBorder="0" applyAlignment="0" applyProtection="0">
      <alignment vertical="top"/>
      <protection locked="0"/>
    </xf>
    <xf numFmtId="0" fontId="56" fillId="0" borderId="0"/>
    <xf numFmtId="0" fontId="57" fillId="23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2" fontId="7" fillId="61" borderId="29" applyNumberFormat="0" applyBorder="0">
      <alignment horizontal="right" vertical="center"/>
    </xf>
    <xf numFmtId="2" fontId="58" fillId="62" borderId="30" applyBorder="0">
      <alignment horizontal="left" vertical="center"/>
    </xf>
    <xf numFmtId="10" fontId="59" fillId="45" borderId="0" applyBorder="0">
      <alignment horizontal="right"/>
      <protection locked="0"/>
    </xf>
    <xf numFmtId="15" fontId="59" fillId="45" borderId="15" applyBorder="0">
      <alignment horizontal="center"/>
      <protection locked="0"/>
    </xf>
    <xf numFmtId="15" fontId="59" fillId="45" borderId="0" applyBorder="0">
      <alignment horizontal="left"/>
      <protection locked="0"/>
    </xf>
    <xf numFmtId="0" fontId="60" fillId="63" borderId="0" applyFont="0" applyFill="0" applyBorder="0" applyAlignment="0" applyProtection="0">
      <alignment horizontal="right" vertical="center"/>
    </xf>
    <xf numFmtId="2" fontId="61" fillId="64" borderId="30" applyNumberFormat="0">
      <alignment horizontal="center" vertical="center"/>
    </xf>
    <xf numFmtId="0" fontId="62" fillId="0" borderId="9" applyNumberFormat="0" applyFill="0" applyBorder="0" applyAlignment="0" applyProtection="0"/>
    <xf numFmtId="178" fontId="63" fillId="18" borderId="20" applyBorder="0">
      <alignment horizontal="left"/>
      <protection locked="0"/>
    </xf>
    <xf numFmtId="178" fontId="63" fillId="18" borderId="31" applyBorder="0">
      <alignment horizontal="right"/>
      <protection locked="0"/>
    </xf>
    <xf numFmtId="0" fontId="64" fillId="0" borderId="32" applyNumberFormat="0" applyFill="0" applyAlignment="0" applyProtection="0"/>
    <xf numFmtId="0" fontId="65" fillId="0" borderId="32" applyNumberFormat="0" applyFill="0" applyAlignment="0" applyProtection="0"/>
    <xf numFmtId="0" fontId="65" fillId="0" borderId="32" applyNumberFormat="0" applyFill="0" applyAlignment="0" applyProtection="0"/>
    <xf numFmtId="0" fontId="65" fillId="0" borderId="32" applyNumberFormat="0" applyFill="0" applyAlignment="0" applyProtection="0"/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39" fillId="0" borderId="19"/>
    <xf numFmtId="0" fontId="14" fillId="0" borderId="0"/>
    <xf numFmtId="0" fontId="67" fillId="0" borderId="9">
      <alignment horizontal="left"/>
      <protection locked="0"/>
    </xf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79" fontId="7" fillId="0" borderId="0" applyFont="0" applyFill="0" applyBorder="0" applyAlignment="0" applyProtection="0"/>
    <xf numFmtId="174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179" fontId="7" fillId="0" borderId="0" applyFont="0" applyFill="0" applyBorder="0" applyAlignment="0" applyProtection="0"/>
    <xf numFmtId="174" fontId="7" fillId="0" borderId="0" applyFont="0" applyFill="0" applyBorder="0" applyAlignment="0" applyProtection="0"/>
    <xf numFmtId="0" fontId="68" fillId="65" borderId="0" applyNumberFormat="0" applyBorder="0" applyAlignment="0" applyProtection="0"/>
    <xf numFmtId="0" fontId="69" fillId="22" borderId="0" applyNumberFormat="0" applyBorder="0" applyAlignment="0" applyProtection="0"/>
    <xf numFmtId="0" fontId="69" fillId="22" borderId="0" applyNumberFormat="0" applyBorder="0" applyAlignment="0" applyProtection="0"/>
    <xf numFmtId="0" fontId="69" fillId="22" borderId="0" applyNumberFormat="0" applyBorder="0" applyAlignment="0" applyProtection="0"/>
    <xf numFmtId="180" fontId="7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5" fillId="0" borderId="0">
      <alignment vertical="center"/>
    </xf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6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8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1" fillId="0" borderId="9" applyNumberFormat="0" applyFill="0" applyBorder="0" applyAlignment="0" applyProtection="0">
      <alignment horizontal="left"/>
      <protection locked="0"/>
    </xf>
    <xf numFmtId="0" fontId="72" fillId="45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3" fillId="66" borderId="0" applyNumberFormat="0" applyFont="0" applyBorder="0" applyAlignment="0" applyProtection="0"/>
    <xf numFmtId="0" fontId="73" fillId="67" borderId="0" applyNumberFormat="0" applyFont="0" applyBorder="0" applyAlignment="0" applyProtection="0"/>
    <xf numFmtId="0" fontId="73" fillId="68" borderId="0" applyNumberFormat="0" applyFont="0" applyBorder="0" applyAlignment="0" applyProtection="0">
      <alignment horizontal="center"/>
    </xf>
    <xf numFmtId="0" fontId="73" fillId="69" borderId="35" applyNumberFormat="0" applyFont="0" applyBorder="0" applyAlignment="0" applyProtection="0"/>
    <xf numFmtId="0" fontId="73" fillId="70" borderId="35" applyNumberFormat="0" applyFont="0" applyBorder="0" applyAlignment="0"/>
    <xf numFmtId="0" fontId="73" fillId="71" borderId="35" applyNumberFormat="0" applyFont="0" applyBorder="0" applyAlignment="0"/>
    <xf numFmtId="0" fontId="14" fillId="72" borderId="0" applyNumberFormat="0" applyFont="0" applyBorder="0" applyAlignment="0" applyProtection="0">
      <alignment horizontal="center"/>
      <protection hidden="1"/>
    </xf>
    <xf numFmtId="0" fontId="7" fillId="40" borderId="0" applyNumberFormat="0" applyFont="0" applyBorder="0" applyAlignment="0" applyProtection="0">
      <protection hidden="1"/>
    </xf>
    <xf numFmtId="0" fontId="7" fillId="73" borderId="0" applyNumberFormat="0" applyFont="0" applyBorder="0" applyAlignment="0" applyProtection="0">
      <protection hidden="1"/>
    </xf>
    <xf numFmtId="0" fontId="7" fillId="74" borderId="0" applyNumberFormat="0" applyFont="0" applyBorder="0" applyAlignment="0" applyProtection="0">
      <protection hidden="1"/>
    </xf>
    <xf numFmtId="0" fontId="7" fillId="75" borderId="0" applyNumberFormat="0" applyFont="0" applyBorder="0" applyAlignment="0" applyProtection="0">
      <protection hidden="1"/>
    </xf>
    <xf numFmtId="0" fontId="7" fillId="76" borderId="0" applyNumberFormat="0" applyFont="0" applyBorder="0" applyAlignment="0" applyProtection="0">
      <protection hidden="1"/>
    </xf>
    <xf numFmtId="0" fontId="7" fillId="77" borderId="0" applyNumberFormat="0" applyFont="0" applyBorder="0" applyAlignment="0" applyProtection="0">
      <protection hidden="1"/>
    </xf>
    <xf numFmtId="9" fontId="7" fillId="0" borderId="0" applyFont="0" applyFill="0" applyBorder="0" applyAlignment="0" applyProtection="0"/>
    <xf numFmtId="9" fontId="25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/>
    <xf numFmtId="9" fontId="26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32" fillId="50" borderId="14" applyFont="0" applyFill="0" applyBorder="0" applyAlignment="0" applyProtection="0">
      <alignment horizontal="left"/>
    </xf>
    <xf numFmtId="0" fontId="74" fillId="0" borderId="36" applyBorder="0"/>
    <xf numFmtId="0" fontId="32" fillId="78" borderId="0" applyFont="0" applyFill="0" applyBorder="0">
      <alignment horizontal="left"/>
    </xf>
    <xf numFmtId="0" fontId="75" fillId="0" borderId="0"/>
    <xf numFmtId="181" fontId="76" fillId="0" borderId="36" applyBorder="0">
      <alignment horizontal="center"/>
      <protection locked="0"/>
    </xf>
    <xf numFmtId="0" fontId="7" fillId="0" borderId="0">
      <alignment horizontal="left" wrapText="1"/>
    </xf>
    <xf numFmtId="0" fontId="7" fillId="0" borderId="0"/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" fillId="0" borderId="0"/>
    <xf numFmtId="0" fontId="7" fillId="0" borderId="0"/>
    <xf numFmtId="0" fontId="7" fillId="0" borderId="0"/>
    <xf numFmtId="0" fontId="7" fillId="0" borderId="0">
      <alignment horizontal="left" wrapText="1"/>
    </xf>
    <xf numFmtId="0" fontId="7" fillId="0" borderId="0" applyNumberFormat="0" applyFill="0" applyBorder="0" applyAlignment="0" applyProtection="0"/>
    <xf numFmtId="0" fontId="7" fillId="45" borderId="15" applyAlignment="0">
      <alignment horizontal="right"/>
    </xf>
    <xf numFmtId="0" fontId="7" fillId="45" borderId="15" applyAlignment="0">
      <alignment horizontal="right"/>
    </xf>
    <xf numFmtId="0" fontId="78" fillId="0" borderId="0"/>
    <xf numFmtId="0" fontId="79" fillId="0" borderId="0"/>
    <xf numFmtId="0" fontId="80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3" fillId="0" borderId="0">
      <alignment horizontal="center"/>
    </xf>
    <xf numFmtId="0" fontId="84" fillId="17" borderId="9"/>
    <xf numFmtId="0" fontId="85" fillId="0" borderId="37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6" fillId="18" borderId="0" applyNumberFormat="0" applyFont="0" applyBorder="0" applyAlignment="0" applyProtection="0">
      <alignment horizontal="left"/>
    </xf>
    <xf numFmtId="0" fontId="87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9" fontId="25" fillId="0" borderId="0" applyFont="0" applyFill="0" applyBorder="0" applyAlignment="0" applyProtection="0">
      <alignment vertical="center"/>
    </xf>
    <xf numFmtId="38" fontId="25" fillId="0" borderId="0" applyFont="0" applyFill="0" applyBorder="0" applyAlignment="0" applyProtection="0">
      <alignment vertical="center"/>
    </xf>
    <xf numFmtId="182" fontId="7" fillId="0" borderId="0" applyFont="0" applyFill="0" applyBorder="0" applyAlignment="0" applyProtection="0"/>
    <xf numFmtId="0" fontId="25" fillId="0" borderId="0">
      <alignment vertical="center"/>
    </xf>
    <xf numFmtId="0" fontId="88" fillId="0" borderId="0">
      <alignment vertical="center"/>
    </xf>
    <xf numFmtId="0" fontId="26" fillId="0" borderId="0">
      <alignment vertical="center"/>
    </xf>
    <xf numFmtId="0" fontId="25" fillId="0" borderId="0">
      <alignment vertical="center"/>
    </xf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</cellStyleXfs>
  <cellXfs count="294">
    <xf numFmtId="0" fontId="0" fillId="0" borderId="0" xfId="0"/>
    <xf numFmtId="0" fontId="2" fillId="0" borderId="0" xfId="0" applyFont="1"/>
    <xf numFmtId="0" fontId="0" fillId="2" borderId="1" xfId="0" applyFill="1" applyBorder="1" applyAlignment="1">
      <alignment horizontal="left" vertical="center"/>
    </xf>
    <xf numFmtId="0" fontId="0" fillId="2" borderId="5" xfId="0" applyFill="1" applyBorder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0" fillId="2" borderId="4" xfId="0" applyFill="1" applyBorder="1" applyAlignment="1">
      <alignment horizontal="left" vertical="center"/>
    </xf>
    <xf numFmtId="167" fontId="3" fillId="2" borderId="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2" fillId="0" borderId="0" xfId="0" applyFont="1" applyAlignment="1">
      <alignment horizontal="left" vertical="center"/>
    </xf>
    <xf numFmtId="0" fontId="89" fillId="0" borderId="0" xfId="0" applyFont="1"/>
    <xf numFmtId="170" fontId="6" fillId="2" borderId="4" xfId="0" applyNumberFormat="1" applyFont="1" applyFill="1" applyBorder="1" applyAlignment="1">
      <alignment horizontal="center" vertical="center"/>
    </xf>
    <xf numFmtId="0" fontId="0" fillId="2" borderId="8" xfId="0" applyFill="1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170" fontId="6" fillId="2" borderId="1" xfId="0" applyNumberFormat="1" applyFont="1" applyFill="1" applyBorder="1" applyAlignment="1">
      <alignment horizontal="center" vertical="center"/>
    </xf>
    <xf numFmtId="170" fontId="6" fillId="2" borderId="5" xfId="0" applyNumberFormat="1" applyFont="1" applyFill="1" applyBorder="1" applyAlignment="1">
      <alignment horizontal="center" vertical="center"/>
    </xf>
    <xf numFmtId="167" fontId="3" fillId="2" borderId="5" xfId="0" applyNumberFormat="1" applyFont="1" applyFill="1" applyBorder="1" applyAlignment="1">
      <alignment horizontal="center" vertical="center"/>
    </xf>
    <xf numFmtId="0" fontId="0" fillId="0" borderId="0" xfId="0" applyBorder="1"/>
    <xf numFmtId="167" fontId="3" fillId="79" borderId="1" xfId="0" applyNumberFormat="1" applyFont="1" applyFill="1" applyBorder="1" applyAlignment="1">
      <alignment horizontal="center" vertical="center"/>
    </xf>
    <xf numFmtId="0" fontId="2" fillId="0" borderId="0" xfId="0" applyFont="1" applyBorder="1"/>
    <xf numFmtId="0" fontId="0" fillId="2" borderId="2" xfId="0" applyFill="1" applyBorder="1"/>
    <xf numFmtId="0" fontId="0" fillId="2" borderId="40" xfId="0" applyFill="1" applyBorder="1"/>
    <xf numFmtId="0" fontId="0" fillId="2" borderId="3" xfId="0" applyFill="1" applyBorder="1"/>
    <xf numFmtId="0" fontId="0" fillId="2" borderId="41" xfId="0" applyFill="1" applyBorder="1"/>
    <xf numFmtId="0" fontId="2" fillId="2" borderId="0" xfId="0" applyFont="1" applyFill="1" applyBorder="1"/>
    <xf numFmtId="0" fontId="0" fillId="2" borderId="0" xfId="0" applyFill="1" applyBorder="1"/>
    <xf numFmtId="0" fontId="0" fillId="2" borderId="42" xfId="0" applyFill="1" applyBorder="1"/>
    <xf numFmtId="0" fontId="0" fillId="2" borderId="6" xfId="0" applyFill="1" applyBorder="1"/>
    <xf numFmtId="0" fontId="0" fillId="2" borderId="43" xfId="0" applyFill="1" applyBorder="1"/>
    <xf numFmtId="0" fontId="0" fillId="2" borderId="7" xfId="0" applyFill="1" applyBorder="1"/>
    <xf numFmtId="0" fontId="0" fillId="0" borderId="1" xfId="0" applyFill="1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2" borderId="0" xfId="0" applyFill="1" applyBorder="1" applyAlignment="1">
      <alignment horizontal="center"/>
    </xf>
    <xf numFmtId="168" fontId="3" fillId="2" borderId="0" xfId="0" applyNumberFormat="1" applyFont="1" applyFill="1" applyBorder="1" applyAlignment="1">
      <alignment horizontal="left" vertical="center"/>
    </xf>
    <xf numFmtId="168" fontId="6" fillId="2" borderId="0" xfId="0" applyNumberFormat="1" applyFont="1" applyFill="1" applyBorder="1" applyAlignment="1">
      <alignment horizontal="center" vertical="center"/>
    </xf>
    <xf numFmtId="3" fontId="6" fillId="2" borderId="0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67" fontId="0" fillId="3" borderId="8" xfId="0" applyNumberFormat="1" applyFill="1" applyBorder="1" applyAlignment="1">
      <alignment horizontal="center" vertical="center"/>
    </xf>
    <xf numFmtId="0" fontId="0" fillId="2" borderId="43" xfId="0" applyFill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167" fontId="3" fillId="4" borderId="5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6" fillId="4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/>
    </xf>
    <xf numFmtId="177" fontId="6" fillId="2" borderId="0" xfId="0" applyNumberFormat="1" applyFont="1" applyFill="1" applyBorder="1" applyAlignment="1">
      <alignment horizontal="center" vertical="center"/>
    </xf>
    <xf numFmtId="169" fontId="0" fillId="3" borderId="0" xfId="0" applyNumberFormat="1" applyFill="1" applyBorder="1" applyAlignment="1">
      <alignment horizontal="center"/>
    </xf>
    <xf numFmtId="0" fontId="4" fillId="2" borderId="0" xfId="0" applyFont="1" applyFill="1" applyBorder="1" applyAlignment="1">
      <alignment horizontal="left" vertical="center"/>
    </xf>
    <xf numFmtId="169" fontId="3" fillId="2" borderId="0" xfId="0" applyNumberFormat="1" applyFont="1" applyFill="1" applyBorder="1" applyAlignment="1">
      <alignment horizontal="left" vertical="center"/>
    </xf>
    <xf numFmtId="168" fontId="6" fillId="2" borderId="0" xfId="0" applyNumberFormat="1" applyFont="1" applyFill="1" applyBorder="1" applyAlignment="1">
      <alignment horizontal="left" vertical="center"/>
    </xf>
    <xf numFmtId="168" fontId="4" fillId="2" borderId="0" xfId="0" applyNumberFormat="1" applyFont="1" applyFill="1" applyBorder="1" applyAlignment="1">
      <alignment horizontal="left" vertical="center"/>
    </xf>
    <xf numFmtId="171" fontId="4" fillId="2" borderId="0" xfId="0" applyNumberFormat="1" applyFont="1" applyFill="1" applyBorder="1" applyAlignment="1">
      <alignment horizontal="left" vertical="center"/>
    </xf>
    <xf numFmtId="3" fontId="4" fillId="2" borderId="0" xfId="0" applyNumberFormat="1" applyFont="1" applyFill="1" applyBorder="1" applyAlignment="1">
      <alignment horizontal="left" vertical="center"/>
    </xf>
    <xf numFmtId="170" fontId="6" fillId="2" borderId="0" xfId="0" applyNumberFormat="1" applyFont="1" applyFill="1" applyBorder="1" applyAlignment="1">
      <alignment horizontal="left" vertical="center"/>
    </xf>
    <xf numFmtId="0" fontId="4" fillId="2" borderId="0" xfId="0" quotePrefix="1" applyFont="1" applyFill="1" applyBorder="1" applyAlignment="1">
      <alignment horizontal="left" vertical="center"/>
    </xf>
    <xf numFmtId="3" fontId="6" fillId="2" borderId="0" xfId="0" applyNumberFormat="1" applyFont="1" applyFill="1" applyBorder="1" applyAlignment="1">
      <alignment horizontal="left" vertical="center"/>
    </xf>
    <xf numFmtId="0" fontId="5" fillId="2" borderId="0" xfId="0" applyFont="1" applyFill="1" applyBorder="1" applyAlignment="1">
      <alignment horizontal="left" vertical="center"/>
    </xf>
    <xf numFmtId="4" fontId="4" fillId="2" borderId="0" xfId="0" applyNumberFormat="1" applyFont="1" applyFill="1" applyBorder="1" applyAlignment="1">
      <alignment horizontal="left" vertical="center"/>
    </xf>
    <xf numFmtId="170" fontId="5" fillId="2" borderId="0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168" fontId="3" fillId="2" borderId="0" xfId="0" applyNumberFormat="1" applyFont="1" applyFill="1" applyBorder="1" applyAlignment="1">
      <alignment horizontal="center" vertical="center"/>
    </xf>
    <xf numFmtId="172" fontId="3" fillId="2" borderId="0" xfId="0" applyNumberFormat="1" applyFont="1" applyFill="1" applyBorder="1" applyAlignment="1">
      <alignment horizontal="center" vertical="center"/>
    </xf>
    <xf numFmtId="167" fontId="3" fillId="2" borderId="0" xfId="0" applyNumberFormat="1" applyFont="1" applyFill="1" applyBorder="1" applyAlignment="1">
      <alignment horizontal="center" vertical="center"/>
    </xf>
    <xf numFmtId="170" fontId="3" fillId="2" borderId="0" xfId="0" applyNumberFormat="1" applyFont="1" applyFill="1" applyBorder="1" applyAlignment="1">
      <alignment horizontal="center" vertical="center"/>
    </xf>
    <xf numFmtId="173" fontId="3" fillId="2" borderId="0" xfId="0" applyNumberFormat="1" applyFont="1" applyFill="1" applyBorder="1" applyAlignment="1">
      <alignment horizontal="center" vertical="center"/>
    </xf>
    <xf numFmtId="0" fontId="89" fillId="0" borderId="0" xfId="0" applyFont="1" applyAlignment="1">
      <alignment horizontal="left" vertical="center"/>
    </xf>
    <xf numFmtId="0" fontId="89" fillId="0" borderId="0" xfId="0" applyFont="1" applyAlignment="1">
      <alignment horizontal="center" vertical="center"/>
    </xf>
    <xf numFmtId="172" fontId="3" fillId="2" borderId="0" xfId="0" applyNumberFormat="1" applyFont="1" applyFill="1" applyBorder="1" applyAlignment="1">
      <alignment horizontal="left" vertical="center"/>
    </xf>
    <xf numFmtId="167" fontId="3" fillId="2" borderId="0" xfId="0" applyNumberFormat="1" applyFont="1" applyFill="1" applyBorder="1" applyAlignment="1">
      <alignment horizontal="left" vertical="center"/>
    </xf>
    <xf numFmtId="169" fontId="3" fillId="2" borderId="0" xfId="0" applyNumberFormat="1" applyFont="1" applyFill="1" applyBorder="1" applyAlignment="1">
      <alignment horizontal="center"/>
    </xf>
    <xf numFmtId="169" fontId="3" fillId="2" borderId="0" xfId="0" applyNumberFormat="1" applyFont="1" applyFill="1" applyAlignment="1">
      <alignment horizontal="center"/>
    </xf>
    <xf numFmtId="0" fontId="2" fillId="0" borderId="2" xfId="0" applyFont="1" applyBorder="1" applyAlignment="1">
      <alignment horizontal="left" vertical="center"/>
    </xf>
    <xf numFmtId="0" fontId="0" fillId="0" borderId="40" xfId="0" applyBorder="1"/>
    <xf numFmtId="0" fontId="0" fillId="0" borderId="3" xfId="0" applyBorder="1"/>
    <xf numFmtId="0" fontId="0" fillId="0" borderId="41" xfId="0" applyBorder="1" applyAlignment="1">
      <alignment horizontal="left" vertical="center"/>
    </xf>
    <xf numFmtId="0" fontId="0" fillId="0" borderId="42" xfId="0" applyBorder="1"/>
    <xf numFmtId="0" fontId="0" fillId="0" borderId="6" xfId="0" applyBorder="1" applyAlignment="1">
      <alignment horizontal="center" vertical="center"/>
    </xf>
    <xf numFmtId="0" fontId="0" fillId="0" borderId="43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0" borderId="2" xfId="0" applyFont="1" applyBorder="1"/>
    <xf numFmtId="0" fontId="0" fillId="0" borderId="41" xfId="0" applyBorder="1"/>
    <xf numFmtId="169" fontId="3" fillId="2" borderId="0" xfId="0" applyNumberFormat="1" applyFont="1" applyFill="1" applyBorder="1" applyAlignment="1">
      <alignment horizontal="center" vertical="center"/>
    </xf>
    <xf numFmtId="167" fontId="6" fillId="2" borderId="0" xfId="0" applyNumberFormat="1" applyFont="1" applyFill="1" applyBorder="1" applyAlignment="1">
      <alignment horizontal="center" vertical="center"/>
    </xf>
    <xf numFmtId="170" fontId="6" fillId="2" borderId="0" xfId="0" applyNumberFormat="1" applyFont="1" applyFill="1" applyBorder="1" applyAlignment="1">
      <alignment horizontal="center" vertical="center"/>
    </xf>
    <xf numFmtId="170" fontId="3" fillId="2" borderId="0" xfId="0" applyNumberFormat="1" applyFont="1" applyFill="1" applyAlignment="1">
      <alignment horizontal="center"/>
    </xf>
    <xf numFmtId="0" fontId="2" fillId="0" borderId="40" xfId="0" applyFont="1" applyBorder="1"/>
    <xf numFmtId="0" fontId="0" fillId="0" borderId="6" xfId="0" applyBorder="1" applyAlignment="1">
      <alignment horizontal="center"/>
    </xf>
    <xf numFmtId="0" fontId="90" fillId="0" borderId="0" xfId="0" applyFont="1"/>
    <xf numFmtId="0" fontId="0" fillId="0" borderId="6" xfId="0" applyBorder="1"/>
    <xf numFmtId="0" fontId="0" fillId="0" borderId="43" xfId="0" applyBorder="1"/>
    <xf numFmtId="0" fontId="0" fillId="0" borderId="7" xfId="0" applyBorder="1"/>
    <xf numFmtId="0" fontId="0" fillId="0" borderId="40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0" borderId="41" xfId="0" applyFont="1" applyBorder="1" applyAlignment="1">
      <alignment horizontal="left" vertical="center"/>
    </xf>
    <xf numFmtId="0" fontId="6" fillId="4" borderId="42" xfId="0" applyFont="1" applyFill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43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43" xfId="0" applyFont="1" applyBorder="1" applyAlignment="1">
      <alignment horizontal="center" vertical="center"/>
    </xf>
    <xf numFmtId="0" fontId="4" fillId="2" borderId="40" xfId="0" applyFont="1" applyFill="1" applyBorder="1" applyAlignment="1">
      <alignment horizontal="left" vertical="center"/>
    </xf>
    <xf numFmtId="3" fontId="4" fillId="2" borderId="40" xfId="0" applyNumberFormat="1" applyFont="1" applyFill="1" applyBorder="1" applyAlignment="1">
      <alignment horizontal="left" vertical="center"/>
    </xf>
    <xf numFmtId="0" fontId="3" fillId="2" borderId="40" xfId="0" applyFont="1" applyFill="1" applyBorder="1" applyAlignment="1">
      <alignment horizontal="center" vertical="center"/>
    </xf>
    <xf numFmtId="168" fontId="3" fillId="2" borderId="40" xfId="0" applyNumberFormat="1" applyFont="1" applyFill="1" applyBorder="1" applyAlignment="1">
      <alignment horizontal="left" vertical="center"/>
    </xf>
    <xf numFmtId="4" fontId="4" fillId="2" borderId="40" xfId="0" applyNumberFormat="1" applyFont="1" applyFill="1" applyBorder="1" applyAlignment="1">
      <alignment horizontal="left" vertical="center"/>
    </xf>
    <xf numFmtId="172" fontId="3" fillId="2" borderId="40" xfId="0" applyNumberFormat="1" applyFont="1" applyFill="1" applyBorder="1" applyAlignment="1">
      <alignment horizontal="left" vertical="center"/>
    </xf>
    <xf numFmtId="170" fontId="5" fillId="2" borderId="40" xfId="0" applyNumberFormat="1" applyFont="1" applyFill="1" applyBorder="1" applyAlignment="1">
      <alignment horizontal="left" vertical="center"/>
    </xf>
    <xf numFmtId="167" fontId="3" fillId="2" borderId="40" xfId="0" applyNumberFormat="1" applyFont="1" applyFill="1" applyBorder="1" applyAlignment="1">
      <alignment horizontal="center" vertical="center"/>
    </xf>
    <xf numFmtId="167" fontId="3" fillId="2" borderId="40" xfId="0" applyNumberFormat="1" applyFont="1" applyFill="1" applyBorder="1" applyAlignment="1">
      <alignment horizontal="left" vertical="center"/>
    </xf>
    <xf numFmtId="0" fontId="5" fillId="2" borderId="40" xfId="0" applyFont="1" applyFill="1" applyBorder="1" applyAlignment="1">
      <alignment horizontal="left" vertical="center"/>
    </xf>
    <xf numFmtId="0" fontId="91" fillId="0" borderId="0" xfId="0" applyFont="1"/>
    <xf numFmtId="0" fontId="91" fillId="0" borderId="2" xfId="0" applyFont="1" applyBorder="1"/>
    <xf numFmtId="169" fontId="0" fillId="0" borderId="0" xfId="0" applyNumberFormat="1"/>
    <xf numFmtId="170" fontId="0" fillId="0" borderId="0" xfId="0" applyNumberFormat="1"/>
    <xf numFmtId="14" fontId="3" fillId="2" borderId="0" xfId="0" applyNumberFormat="1" applyFont="1" applyFill="1" applyAlignment="1">
      <alignment horizontal="center"/>
    </xf>
    <xf numFmtId="0" fontId="0" fillId="0" borderId="0" xfId="0" applyBorder="1" applyAlignment="1">
      <alignment horizontal="center" vertical="center"/>
    </xf>
    <xf numFmtId="183" fontId="3" fillId="2" borderId="0" xfId="0" applyNumberFormat="1" applyFont="1" applyFill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/>
    <xf numFmtId="0" fontId="89" fillId="0" borderId="0" xfId="0" applyFont="1"/>
    <xf numFmtId="0" fontId="0" fillId="0" borderId="0" xfId="0" applyBorder="1"/>
    <xf numFmtId="168" fontId="3" fillId="2" borderId="0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185" fontId="92" fillId="2" borderId="4" xfId="0" applyNumberFormat="1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horizontal="center" vertical="center"/>
    </xf>
    <xf numFmtId="168" fontId="4" fillId="4" borderId="4" xfId="0" applyNumberFormat="1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168" fontId="3" fillId="4" borderId="4" xfId="0" applyNumberFormat="1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171" fontId="4" fillId="4" borderId="4" xfId="0" applyNumberFormat="1" applyFont="1" applyFill="1" applyBorder="1" applyAlignment="1">
      <alignment horizontal="center" vertical="center"/>
    </xf>
    <xf numFmtId="3" fontId="4" fillId="4" borderId="4" xfId="0" applyNumberFormat="1" applyFont="1" applyFill="1" applyBorder="1" applyAlignment="1">
      <alignment horizontal="center" vertical="center"/>
    </xf>
    <xf numFmtId="167" fontId="3" fillId="4" borderId="4" xfId="0" applyNumberFormat="1" applyFont="1" applyFill="1" applyBorder="1" applyAlignment="1">
      <alignment horizontal="center" vertical="center"/>
    </xf>
    <xf numFmtId="170" fontId="3" fillId="4" borderId="4" xfId="0" applyNumberFormat="1" applyFont="1" applyFill="1" applyBorder="1" applyAlignment="1">
      <alignment horizontal="center" vertical="center"/>
    </xf>
    <xf numFmtId="0" fontId="4" fillId="4" borderId="4" xfId="0" quotePrefix="1" applyFont="1" applyFill="1" applyBorder="1" applyAlignment="1">
      <alignment horizontal="center" vertical="center"/>
    </xf>
    <xf numFmtId="173" fontId="3" fillId="4" borderId="4" xfId="0" applyNumberFormat="1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/>
    </xf>
    <xf numFmtId="167" fontId="4" fillId="4" borderId="4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4" fillId="4" borderId="5" xfId="0" applyFont="1" applyFill="1" applyBorder="1" applyAlignment="1">
      <alignment horizontal="center" vertical="center"/>
    </xf>
    <xf numFmtId="170" fontId="4" fillId="4" borderId="4" xfId="0" applyNumberFormat="1" applyFont="1" applyFill="1" applyBorder="1" applyAlignment="1">
      <alignment horizontal="center" vertical="center"/>
    </xf>
    <xf numFmtId="168" fontId="6" fillId="4" borderId="4" xfId="0" applyNumberFormat="1" applyFont="1" applyFill="1" applyBorder="1" applyAlignment="1">
      <alignment horizontal="center" vertical="center"/>
    </xf>
    <xf numFmtId="169" fontId="3" fillId="4" borderId="1" xfId="0" applyNumberFormat="1" applyFont="1" applyFill="1" applyBorder="1" applyAlignment="1">
      <alignment horizontal="center" vertical="center"/>
    </xf>
    <xf numFmtId="167" fontId="6" fillId="4" borderId="4" xfId="0" applyNumberFormat="1" applyFont="1" applyFill="1" applyBorder="1" applyAlignment="1">
      <alignment horizontal="center" vertical="center"/>
    </xf>
    <xf numFmtId="170" fontId="6" fillId="4" borderId="4" xfId="0" applyNumberFormat="1" applyFont="1" applyFill="1" applyBorder="1" applyAlignment="1">
      <alignment horizontal="center" vertical="center"/>
    </xf>
    <xf numFmtId="3" fontId="6" fillId="4" borderId="4" xfId="0" applyNumberFormat="1" applyFont="1" applyFill="1" applyBorder="1" applyAlignment="1">
      <alignment horizontal="center" vertical="center"/>
    </xf>
    <xf numFmtId="0" fontId="89" fillId="0" borderId="0" xfId="0" applyFont="1"/>
    <xf numFmtId="0" fontId="0" fillId="0" borderId="0" xfId="0" applyFont="1" applyAlignment="1">
      <alignment horizontal="left" vertical="center"/>
    </xf>
    <xf numFmtId="167" fontId="3" fillId="2" borderId="5" xfId="0" applyNumberFormat="1" applyFont="1" applyFill="1" applyBorder="1" applyAlignment="1">
      <alignment horizontal="center" vertical="center"/>
    </xf>
    <xf numFmtId="0" fontId="0" fillId="0" borderId="0" xfId="0" applyBorder="1"/>
    <xf numFmtId="168" fontId="3" fillId="81" borderId="4" xfId="0" applyNumberFormat="1" applyFont="1" applyFill="1" applyBorder="1" applyAlignment="1">
      <alignment horizontal="center" vertical="center"/>
    </xf>
    <xf numFmtId="168" fontId="3" fillId="80" borderId="4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 vertical="center"/>
    </xf>
    <xf numFmtId="0" fontId="0" fillId="2" borderId="2" xfId="0" applyFill="1" applyBorder="1"/>
    <xf numFmtId="0" fontId="0" fillId="2" borderId="40" xfId="0" applyFill="1" applyBorder="1"/>
    <xf numFmtId="0" fontId="0" fillId="2" borderId="3" xfId="0" applyFill="1" applyBorder="1"/>
    <xf numFmtId="0" fontId="0" fillId="2" borderId="41" xfId="0" applyFill="1" applyBorder="1"/>
    <xf numFmtId="0" fontId="2" fillId="2" borderId="0" xfId="0" applyFont="1" applyFill="1" applyBorder="1"/>
    <xf numFmtId="0" fontId="0" fillId="2" borderId="0" xfId="0" applyFill="1" applyBorder="1"/>
    <xf numFmtId="0" fontId="0" fillId="2" borderId="42" xfId="0" applyFill="1" applyBorder="1"/>
    <xf numFmtId="0" fontId="0" fillId="2" borderId="6" xfId="0" applyFill="1" applyBorder="1"/>
    <xf numFmtId="0" fontId="0" fillId="2" borderId="43" xfId="0" applyFill="1" applyBorder="1"/>
    <xf numFmtId="0" fontId="0" fillId="2" borderId="7" xfId="0" applyFill="1" applyBorder="1"/>
    <xf numFmtId="0" fontId="0" fillId="0" borderId="1" xfId="0" applyFill="1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4" fillId="4" borderId="1" xfId="0" applyFont="1" applyFill="1" applyBorder="1" applyAlignment="1">
      <alignment horizontal="left" vertical="center"/>
    </xf>
    <xf numFmtId="0" fontId="4" fillId="4" borderId="1" xfId="0" applyFont="1" applyFill="1" applyBorder="1"/>
    <xf numFmtId="0" fontId="4" fillId="4" borderId="1" xfId="0" applyFont="1" applyFill="1" applyBorder="1" applyAlignment="1">
      <alignment horizontal="center" vertical="center"/>
    </xf>
    <xf numFmtId="0" fontId="0" fillId="4" borderId="1" xfId="0" applyFill="1" applyBorder="1"/>
    <xf numFmtId="0" fontId="4" fillId="4" borderId="4" xfId="0" applyFont="1" applyFill="1" applyBorder="1" applyAlignment="1">
      <alignment horizontal="left" vertical="center"/>
    </xf>
    <xf numFmtId="0" fontId="4" fillId="4" borderId="4" xfId="0" applyFont="1" applyFill="1" applyBorder="1"/>
    <xf numFmtId="0" fontId="6" fillId="4" borderId="4" xfId="0" applyFont="1" applyFill="1" applyBorder="1"/>
    <xf numFmtId="0" fontId="0" fillId="4" borderId="4" xfId="0" applyFill="1" applyBorder="1"/>
    <xf numFmtId="4" fontId="4" fillId="4" borderId="4" xfId="0" applyNumberFormat="1" applyFont="1" applyFill="1" applyBorder="1" applyAlignment="1">
      <alignment horizontal="center" vertical="center"/>
    </xf>
    <xf numFmtId="172" fontId="3" fillId="4" borderId="4" xfId="0" applyNumberFormat="1" applyFont="1" applyFill="1" applyBorder="1" applyAlignment="1">
      <alignment horizontal="center" vertical="center"/>
    </xf>
    <xf numFmtId="172" fontId="5" fillId="4" borderId="4" xfId="0" applyNumberFormat="1" applyFont="1" applyFill="1" applyBorder="1" applyAlignment="1">
      <alignment horizontal="center" vertical="center"/>
    </xf>
    <xf numFmtId="170" fontId="5" fillId="4" borderId="4" xfId="0" applyNumberFormat="1" applyFont="1" applyFill="1" applyBorder="1" applyAlignment="1">
      <alignment horizontal="center" vertical="center"/>
    </xf>
    <xf numFmtId="0" fontId="4" fillId="4" borderId="4" xfId="0" applyNumberFormat="1" applyFont="1" applyFill="1" applyBorder="1" applyAlignment="1">
      <alignment horizontal="left" vertical="center"/>
    </xf>
    <xf numFmtId="4" fontId="5" fillId="4" borderId="4" xfId="0" applyNumberFormat="1" applyFont="1" applyFill="1" applyBorder="1" applyAlignment="1">
      <alignment horizontal="center" vertical="center"/>
    </xf>
    <xf numFmtId="169" fontId="5" fillId="2" borderId="0" xfId="0" applyNumberFormat="1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center" vertical="center"/>
    </xf>
    <xf numFmtId="0" fontId="4" fillId="2" borderId="0" xfId="0" applyFont="1" applyFill="1" applyBorder="1"/>
    <xf numFmtId="0" fontId="89" fillId="2" borderId="0" xfId="0" applyFont="1" applyFill="1" applyBorder="1"/>
    <xf numFmtId="0" fontId="92" fillId="2" borderId="0" xfId="0" applyFont="1" applyFill="1" applyBorder="1" applyAlignment="1">
      <alignment horizontal="center" vertical="center"/>
    </xf>
    <xf numFmtId="168" fontId="3" fillId="2" borderId="0" xfId="0" applyNumberFormat="1" applyFont="1" applyFill="1" applyBorder="1" applyAlignment="1">
      <alignment horizontal="left" vertical="center"/>
    </xf>
    <xf numFmtId="168" fontId="6" fillId="2" borderId="0" xfId="0" applyNumberFormat="1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left" vertical="center"/>
    </xf>
    <xf numFmtId="0" fontId="0" fillId="4" borderId="5" xfId="0" applyFill="1" applyBorder="1"/>
    <xf numFmtId="0" fontId="0" fillId="4" borderId="1" xfId="0" applyFill="1" applyBorder="1" applyAlignment="1">
      <alignment vertical="center"/>
    </xf>
    <xf numFmtId="0" fontId="6" fillId="4" borderId="4" xfId="0" applyFont="1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3" fillId="81" borderId="4" xfId="0" applyFont="1" applyFill="1" applyBorder="1" applyAlignment="1">
      <alignment vertical="center"/>
    </xf>
    <xf numFmtId="0" fontId="3" fillId="81" borderId="4" xfId="0" applyFont="1" applyFill="1" applyBorder="1" applyAlignment="1">
      <alignment horizontal="left" vertical="center"/>
    </xf>
    <xf numFmtId="0" fontId="3" fillId="81" borderId="4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vertical="center"/>
    </xf>
    <xf numFmtId="0" fontId="0" fillId="4" borderId="5" xfId="0" applyFill="1" applyBorder="1" applyAlignment="1">
      <alignment vertical="center"/>
    </xf>
    <xf numFmtId="0" fontId="3" fillId="80" borderId="4" xfId="0" applyFont="1" applyFill="1" applyBorder="1"/>
    <xf numFmtId="0" fontId="3" fillId="80" borderId="4" xfId="0" applyFont="1" applyFill="1" applyBorder="1" applyAlignment="1">
      <alignment horizontal="left" vertical="center"/>
    </xf>
    <xf numFmtId="0" fontId="3" fillId="80" borderId="4" xfId="0" applyFont="1" applyFill="1" applyBorder="1" applyAlignment="1">
      <alignment horizontal="center" vertical="center"/>
    </xf>
    <xf numFmtId="169" fontId="4" fillId="2" borderId="0" xfId="0" applyNumberFormat="1" applyFont="1" applyFill="1" applyBorder="1" applyAlignment="1">
      <alignment horizontal="center" vertical="center"/>
    </xf>
    <xf numFmtId="3" fontId="6" fillId="4" borderId="1" xfId="0" applyNumberFormat="1" applyFont="1" applyFill="1" applyBorder="1" applyAlignment="1">
      <alignment horizontal="center" vertical="center"/>
    </xf>
    <xf numFmtId="3" fontId="6" fillId="2" borderId="0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3" fontId="92" fillId="2" borderId="8" xfId="0" applyNumberFormat="1" applyFont="1" applyFill="1" applyBorder="1" applyAlignment="1">
      <alignment horizontal="center" vertical="center"/>
    </xf>
    <xf numFmtId="0" fontId="3" fillId="2" borderId="1" xfId="0" applyFont="1" applyFill="1" applyBorder="1"/>
    <xf numFmtId="0" fontId="3" fillId="2" borderId="4" xfId="0" applyFont="1" applyFill="1" applyBorder="1"/>
    <xf numFmtId="0" fontId="3" fillId="2" borderId="5" xfId="0" applyFont="1" applyFill="1" applyBorder="1"/>
    <xf numFmtId="169" fontId="0" fillId="3" borderId="0" xfId="0" applyNumberFormat="1" applyFont="1" applyFill="1" applyAlignment="1">
      <alignment horizontal="center" vertical="center"/>
    </xf>
    <xf numFmtId="169" fontId="0" fillId="3" borderId="0" xfId="0" applyNumberFormat="1" applyFont="1" applyFill="1" applyAlignment="1">
      <alignment horizontal="center"/>
    </xf>
    <xf numFmtId="177" fontId="6" fillId="2" borderId="4" xfId="0" applyNumberFormat="1" applyFont="1" applyFill="1" applyBorder="1" applyAlignment="1">
      <alignment horizontal="center" vertical="center"/>
    </xf>
    <xf numFmtId="177" fontId="3" fillId="2" borderId="4" xfId="0" applyNumberFormat="1" applyFont="1" applyFill="1" applyBorder="1" applyAlignment="1">
      <alignment horizontal="center" vertical="center"/>
    </xf>
    <xf numFmtId="169" fontId="3" fillId="2" borderId="4" xfId="0" applyNumberFormat="1" applyFont="1" applyFill="1" applyBorder="1" applyAlignment="1">
      <alignment horizontal="center" vertical="center"/>
    </xf>
    <xf numFmtId="15" fontId="0" fillId="0" borderId="0" xfId="0" applyNumberFormat="1" applyAlignment="1">
      <alignment horizontal="left" vertical="center"/>
    </xf>
    <xf numFmtId="170" fontId="3" fillId="2" borderId="5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left" vertical="center"/>
    </xf>
    <xf numFmtId="0" fontId="0" fillId="0" borderId="4" xfId="0" applyFill="1" applyBorder="1" applyAlignment="1">
      <alignment horizontal="left" vertical="center"/>
    </xf>
    <xf numFmtId="0" fontId="4" fillId="82" borderId="4" xfId="0" applyFont="1" applyFill="1" applyBorder="1" applyAlignment="1">
      <alignment horizontal="center" vertical="center"/>
    </xf>
    <xf numFmtId="167" fontId="3" fillId="83" borderId="4" xfId="0" applyNumberFormat="1" applyFont="1" applyFill="1" applyBorder="1" applyAlignment="1">
      <alignment horizontal="center" vertical="center"/>
    </xf>
    <xf numFmtId="3" fontId="4" fillId="83" borderId="4" xfId="0" applyNumberFormat="1" applyFont="1" applyFill="1" applyBorder="1" applyAlignment="1">
      <alignment horizontal="center" vertical="center"/>
    </xf>
    <xf numFmtId="0" fontId="4" fillId="83" borderId="4" xfId="0" applyFont="1" applyFill="1" applyBorder="1" applyAlignment="1">
      <alignment horizontal="center" vertical="center"/>
    </xf>
    <xf numFmtId="0" fontId="3" fillId="83" borderId="4" xfId="0" applyFont="1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2" borderId="1" xfId="0" applyFill="1" applyBorder="1"/>
    <xf numFmtId="0" fontId="0" fillId="2" borderId="4" xfId="0" applyFill="1" applyBorder="1"/>
    <xf numFmtId="0" fontId="0" fillId="2" borderId="5" xfId="0" applyFill="1" applyBorder="1"/>
    <xf numFmtId="0" fontId="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42" xfId="0" applyBorder="1" applyAlignment="1">
      <alignment horizontal="left" vertical="center"/>
    </xf>
    <xf numFmtId="0" fontId="0" fillId="0" borderId="42" xfId="0" applyFont="1" applyBorder="1" applyAlignment="1">
      <alignment horizontal="left" vertical="center"/>
    </xf>
    <xf numFmtId="0" fontId="4" fillId="3" borderId="4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177" fontId="0" fillId="0" borderId="0" xfId="0" applyNumberFormat="1"/>
    <xf numFmtId="0" fontId="3" fillId="0" borderId="0" xfId="0" applyFont="1"/>
    <xf numFmtId="0" fontId="92" fillId="2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/>
    </xf>
    <xf numFmtId="184" fontId="3" fillId="4" borderId="4" xfId="0" applyNumberFormat="1" applyFont="1" applyFill="1" applyBorder="1" applyAlignment="1">
      <alignment horizontal="center" vertical="center"/>
    </xf>
    <xf numFmtId="15" fontId="0" fillId="0" borderId="0" xfId="0" quotePrefix="1" applyNumberFormat="1" applyAlignment="1">
      <alignment horizontal="left" vertical="center"/>
    </xf>
    <xf numFmtId="170" fontId="0" fillId="0" borderId="0" xfId="0" applyNumberFormat="1" applyAlignment="1">
      <alignment horizontal="left" vertical="center"/>
    </xf>
    <xf numFmtId="0" fontId="0" fillId="4" borderId="1" xfId="0" applyFill="1" applyBorder="1" applyAlignment="1">
      <alignment horizontal="left" vertical="center"/>
    </xf>
    <xf numFmtId="15" fontId="3" fillId="2" borderId="1" xfId="0" applyNumberFormat="1" applyFont="1" applyFill="1" applyBorder="1" applyAlignment="1">
      <alignment horizontal="center" vertical="center"/>
    </xf>
    <xf numFmtId="0" fontId="0" fillId="4" borderId="4" xfId="0" applyFill="1" applyBorder="1" applyAlignment="1">
      <alignment horizontal="left" vertical="center"/>
    </xf>
    <xf numFmtId="170" fontId="3" fillId="2" borderId="4" xfId="0" applyNumberFormat="1" applyFont="1" applyFill="1" applyBorder="1" applyAlignment="1">
      <alignment horizontal="center" vertical="center"/>
    </xf>
    <xf numFmtId="172" fontId="3" fillId="2" borderId="4" xfId="0" applyNumberFormat="1" applyFont="1" applyFill="1" applyBorder="1" applyAlignment="1">
      <alignment horizontal="center" vertical="center"/>
    </xf>
    <xf numFmtId="4" fontId="6" fillId="4" borderId="4" xfId="0" applyNumberFormat="1" applyFont="1" applyFill="1" applyBorder="1" applyAlignment="1">
      <alignment horizontal="center" vertical="center"/>
    </xf>
    <xf numFmtId="0" fontId="0" fillId="4" borderId="5" xfId="0" applyFill="1" applyBorder="1" applyAlignment="1">
      <alignment horizontal="left" vertical="center"/>
    </xf>
    <xf numFmtId="172" fontId="3" fillId="2" borderId="5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10" fontId="0" fillId="0" borderId="0" xfId="0" applyNumberFormat="1" applyAlignment="1">
      <alignment horizontal="left" vertical="center"/>
    </xf>
    <xf numFmtId="0" fontId="6" fillId="0" borderId="4" xfId="0" applyFont="1" applyBorder="1" applyAlignment="1">
      <alignment horizontal="left" vertical="center"/>
    </xf>
    <xf numFmtId="170" fontId="6" fillId="0" borderId="0" xfId="0" applyNumberFormat="1" applyFont="1" applyAlignment="1">
      <alignment horizontal="center" vertical="center"/>
    </xf>
    <xf numFmtId="0" fontId="6" fillId="0" borderId="0" xfId="0" applyFont="1"/>
    <xf numFmtId="3" fontId="3" fillId="4" borderId="4" xfId="0" applyNumberFormat="1" applyFont="1" applyFill="1" applyBorder="1" applyAlignment="1">
      <alignment horizontal="center" vertical="center"/>
    </xf>
    <xf numFmtId="186" fontId="0" fillId="0" borderId="0" xfId="0" applyNumberFormat="1" applyAlignment="1">
      <alignment horizontal="left" vertical="center"/>
    </xf>
    <xf numFmtId="4" fontId="3" fillId="4" borderId="4" xfId="0" applyNumberFormat="1" applyFont="1" applyFill="1" applyBorder="1" applyAlignment="1">
      <alignment horizontal="center" vertical="center"/>
    </xf>
    <xf numFmtId="173" fontId="3" fillId="2" borderId="0" xfId="0" applyNumberFormat="1" applyFont="1" applyFill="1" applyAlignment="1">
      <alignment horizontal="center"/>
    </xf>
    <xf numFmtId="170" fontId="3" fillId="2" borderId="46" xfId="0" applyNumberFormat="1" applyFont="1" applyFill="1" applyBorder="1" applyAlignment="1">
      <alignment horizontal="center"/>
    </xf>
    <xf numFmtId="0" fontId="0" fillId="0" borderId="46" xfId="0" applyBorder="1"/>
    <xf numFmtId="0" fontId="0" fillId="0" borderId="0" xfId="0" applyAlignment="1">
      <alignment horizontal="left" vertical="center"/>
    </xf>
    <xf numFmtId="0" fontId="0" fillId="0" borderId="0" xfId="0"/>
    <xf numFmtId="0" fontId="89" fillId="0" borderId="0" xfId="0" applyFont="1"/>
    <xf numFmtId="0" fontId="0" fillId="0" borderId="0" xfId="0" applyBorder="1"/>
    <xf numFmtId="3" fontId="6" fillId="2" borderId="0" xfId="0" applyNumberFormat="1" applyFont="1" applyFill="1" applyBorder="1" applyAlignment="1">
      <alignment horizontal="center" vertical="center"/>
    </xf>
    <xf numFmtId="169" fontId="0" fillId="0" borderId="0" xfId="0" applyNumberFormat="1"/>
    <xf numFmtId="0" fontId="0" fillId="0" borderId="45" xfId="0" applyBorder="1"/>
    <xf numFmtId="0" fontId="3" fillId="2" borderId="0" xfId="0" applyFont="1" applyFill="1" applyBorder="1" applyAlignment="1">
      <alignment horizontal="left" vertical="center"/>
    </xf>
    <xf numFmtId="169" fontId="0" fillId="0" borderId="0" xfId="0" applyNumberFormat="1"/>
    <xf numFmtId="3" fontId="3" fillId="2" borderId="40" xfId="0" applyNumberFormat="1" applyFont="1" applyFill="1" applyBorder="1" applyAlignment="1">
      <alignment horizontal="left" vertical="center"/>
    </xf>
    <xf numFmtId="3" fontId="3" fillId="2" borderId="0" xfId="0" applyNumberFormat="1" applyFont="1" applyFill="1" applyBorder="1" applyAlignment="1">
      <alignment horizontal="left" vertical="center"/>
    </xf>
    <xf numFmtId="0" fontId="6" fillId="4" borderId="0" xfId="0" applyFont="1" applyFill="1" applyBorder="1"/>
    <xf numFmtId="0" fontId="6" fillId="4" borderId="0" xfId="0" applyFont="1" applyFill="1" applyBorder="1" applyAlignment="1">
      <alignment horizontal="left"/>
    </xf>
    <xf numFmtId="0" fontId="3" fillId="2" borderId="0" xfId="0" applyFont="1" applyFill="1" applyBorder="1" applyAlignment="1">
      <alignment horizontal="left" vertical="center"/>
    </xf>
    <xf numFmtId="167" fontId="3" fillId="84" borderId="4" xfId="0" applyNumberFormat="1" applyFont="1" applyFill="1" applyBorder="1" applyAlignment="1">
      <alignment horizontal="center" vertical="center"/>
    </xf>
    <xf numFmtId="167" fontId="3" fillId="2" borderId="0" xfId="0" applyNumberFormat="1" applyFont="1" applyFill="1" applyBorder="1" applyAlignment="1">
      <alignment horizontal="left" vertical="center"/>
    </xf>
    <xf numFmtId="170" fontId="3" fillId="2" borderId="0" xfId="0" applyNumberFormat="1" applyFont="1" applyFill="1" applyAlignment="1">
      <alignment horizontal="center"/>
    </xf>
    <xf numFmtId="169" fontId="0" fillId="3" borderId="0" xfId="0" applyNumberFormat="1" applyFont="1" applyFill="1" applyAlignment="1">
      <alignment horizontal="center" vertical="center"/>
    </xf>
  </cellXfs>
  <cellStyles count="9699">
    <cellStyle name="_ADN" xfId="1"/>
    <cellStyle name="_Apollo" xfId="2"/>
    <cellStyle name="_Book2" xfId="3"/>
    <cellStyle name="_Book2_ValuationViewer" xfId="4"/>
    <cellStyle name="_btec" xfId="5"/>
    <cellStyle name="_Composite Page" xfId="6"/>
    <cellStyle name="_Composite Page_Composite Page" xfId="7"/>
    <cellStyle name="_Composite Page_Config" xfId="8"/>
    <cellStyle name="_Config" xfId="9"/>
    <cellStyle name="_Config_apollo_curves" xfId="10"/>
    <cellStyle name="_Config_Apollo_Spread" xfId="11"/>
    <cellStyle name="_config_db" xfId="12"/>
    <cellStyle name="_Cprty" xfId="13"/>
    <cellStyle name="_data" xfId="14"/>
    <cellStyle name="_DISPLAY" xfId="15"/>
    <cellStyle name="_DISPLAY 2" xfId="16"/>
    <cellStyle name="_DISPLAY_121Fut_View" xfId="17"/>
    <cellStyle name="_DISPLAY_121Fut_View 2" xfId="18"/>
    <cellStyle name="_DISPLAY_Apollo" xfId="19"/>
    <cellStyle name="_DISPLAY_AssetSwap" xfId="20"/>
    <cellStyle name="_DISPLAY_Closes" xfId="21"/>
    <cellStyle name="_DISPLAY_Composite Page" xfId="22"/>
    <cellStyle name="_DISPLAY_Config" xfId="23"/>
    <cellStyle name="_DISPLAY_Config_Composite Page" xfId="24"/>
    <cellStyle name="_DISPLAY_Convexity" xfId="25"/>
    <cellStyle name="_DISPLAY_Core" xfId="26"/>
    <cellStyle name="_DISPLAY_Core 2" xfId="27"/>
    <cellStyle name="_DISPLAY_Core_Composite Page" xfId="28"/>
    <cellStyle name="_DISPLAY_Core_Config" xfId="29"/>
    <cellStyle name="_DISPLAY_cp_Closes" xfId="30"/>
    <cellStyle name="_DISPLAY_DISPLAY" xfId="31"/>
    <cellStyle name="_DISPLAY_EOD_Closes" xfId="32"/>
    <cellStyle name="_DISPLAY_EOD_Closes_1" xfId="33"/>
    <cellStyle name="_DISPLAY_EOD_Curve" xfId="34"/>
    <cellStyle name="_DISPLAY_EOD_Curve 2" xfId="35"/>
    <cellStyle name="_DISPLAY_EOD_Curve 3" xfId="36"/>
    <cellStyle name="_DISPLAY_EOD_Curve_Composite Page" xfId="37"/>
    <cellStyle name="_DISPLAY_EOD_Curve_Core" xfId="38"/>
    <cellStyle name="_DISPLAY_EOD_Curve_Core 2" xfId="39"/>
    <cellStyle name="_DISPLAY_EOD_Curve_Futures" xfId="40"/>
    <cellStyle name="_DISPLAY_EOD_Curve_Swaps" xfId="41"/>
    <cellStyle name="_DISPLAY_Futures" xfId="42"/>
    <cellStyle name="_DISPLAY_Futures 2" xfId="43"/>
    <cellStyle name="_DISPLAY_Futures_Composite Page" xfId="44"/>
    <cellStyle name="_DISPLAY_Futures_Config" xfId="45"/>
    <cellStyle name="_DISPLAY_Gamma" xfId="46"/>
    <cellStyle name="_DISPLAY_Gamma_1" xfId="47"/>
    <cellStyle name="_DISPLAY_Gamma_Composite Page" xfId="48"/>
    <cellStyle name="_DISPLAY_Gamma_Core" xfId="49"/>
    <cellStyle name="_DISPLAY_Gamma_Futures" xfId="50"/>
    <cellStyle name="_DISPLAY_Gamma_Futures_1" xfId="51"/>
    <cellStyle name="_DISPLAY_Gamma_Swaps" xfId="52"/>
    <cellStyle name="_DISPLAY_Gamma_Treasuries" xfId="53"/>
    <cellStyle name="_DISPLAY_holidays" xfId="54"/>
    <cellStyle name="_DISPLAY_Real_Time" xfId="55"/>
    <cellStyle name="_DISPLAY_Real-Time" xfId="56"/>
    <cellStyle name="_DISPLAY_Real-Time 2" xfId="57"/>
    <cellStyle name="_DISPLAY_Real-Time_1" xfId="58"/>
    <cellStyle name="_DISPLAY_Real-Time_Composite Page" xfId="59"/>
    <cellStyle name="_DISPLAY_Real-Time_Core" xfId="60"/>
    <cellStyle name="_DISPLAY_Real-Time_Futures" xfId="61"/>
    <cellStyle name="_DISPLAY_Real-Time_Futures_1" xfId="62"/>
    <cellStyle name="_DISPLAY_Real-Time_Swaps" xfId="63"/>
    <cellStyle name="_DISPLAY_Real-Time_Treasuries" xfId="64"/>
    <cellStyle name="_DISPLAY_Sheet1" xfId="65"/>
    <cellStyle name="_DISPLAY_Swaps" xfId="66"/>
    <cellStyle name="_DISPLAY_Swaps 2" xfId="67"/>
    <cellStyle name="_DISPLAY_Swaps_Composite Page" xfId="68"/>
    <cellStyle name="_DISPLAY_Swaps_Config" xfId="69"/>
    <cellStyle name="_DISPLAY_T-Notes" xfId="70"/>
    <cellStyle name="_DISPLAY_T-Notes 2" xfId="71"/>
    <cellStyle name="_DISPLAY_T-Notes_Composite Page" xfId="72"/>
    <cellStyle name="_DISPLAY_T-Notes_Config" xfId="73"/>
    <cellStyle name="_DISPLAY_ToDo" xfId="74"/>
    <cellStyle name="_DISPLAY_ToDo 2" xfId="75"/>
    <cellStyle name="_DISPLAY_ToDoList" xfId="76"/>
    <cellStyle name="_DISPLAY_ToDoList 2" xfId="77"/>
    <cellStyle name="_DISPLAY_Treasuries" xfId="78"/>
    <cellStyle name="_DISPLAY_Treasuries 2" xfId="79"/>
    <cellStyle name="_DISPLAY_Treasuries_Composite Page" xfId="80"/>
    <cellStyle name="_DISPLAY_Treasuries_Config" xfId="81"/>
    <cellStyle name="_FRA_Map" xfId="82"/>
    <cellStyle name="_FRA_Map 2" xfId="83"/>
    <cellStyle name="_FRA_Map_121Fut_View" xfId="84"/>
    <cellStyle name="_FRA_Map_121Fut_View 2" xfId="85"/>
    <cellStyle name="_FRA_Map_Apollo" xfId="86"/>
    <cellStyle name="_FRA_Map_AssetSwap" xfId="87"/>
    <cellStyle name="_FRA_Map_Closes" xfId="88"/>
    <cellStyle name="_FRA_Map_Composite Page" xfId="89"/>
    <cellStyle name="_FRA_Map_Config" xfId="90"/>
    <cellStyle name="_FRA_Map_Config_Composite Page" xfId="91"/>
    <cellStyle name="_FRA_Map_Convexity" xfId="92"/>
    <cellStyle name="_FRA_Map_Core" xfId="93"/>
    <cellStyle name="_FRA_Map_Core 2" xfId="94"/>
    <cellStyle name="_FRA_Map_Core_Composite Page" xfId="95"/>
    <cellStyle name="_FRA_Map_Core_Config" xfId="96"/>
    <cellStyle name="_FRA_Map_cp_Closes" xfId="97"/>
    <cellStyle name="_FRA_Map_DISPLAY" xfId="98"/>
    <cellStyle name="_FRA_Map_EOD_Closes" xfId="99"/>
    <cellStyle name="_FRA_Map_EOD_Closes_1" xfId="100"/>
    <cellStyle name="_FRA_Map_EOD_Curve" xfId="101"/>
    <cellStyle name="_FRA_Map_EOD_Curve 2" xfId="102"/>
    <cellStyle name="_FRA_Map_EOD_Curve 3" xfId="103"/>
    <cellStyle name="_FRA_Map_EOD_Curve_Composite Page" xfId="104"/>
    <cellStyle name="_FRA_Map_EOD_Curve_Core" xfId="105"/>
    <cellStyle name="_FRA_Map_EOD_Curve_Core 2" xfId="106"/>
    <cellStyle name="_FRA_Map_EOD_Curve_Futures" xfId="107"/>
    <cellStyle name="_FRA_Map_EOD_Curve_Swaps" xfId="108"/>
    <cellStyle name="_FRA_Map_Futures" xfId="109"/>
    <cellStyle name="_FRA_Map_Futures 2" xfId="110"/>
    <cellStyle name="_FRA_Map_Futures_Composite Page" xfId="111"/>
    <cellStyle name="_FRA_Map_Futures_Config" xfId="112"/>
    <cellStyle name="_FRA_Map_Gamma" xfId="113"/>
    <cellStyle name="_FRA_Map_Gamma_1" xfId="114"/>
    <cellStyle name="_FRA_Map_Gamma_Composite Page" xfId="115"/>
    <cellStyle name="_FRA_Map_Gamma_Core" xfId="116"/>
    <cellStyle name="_FRA_Map_Gamma_Futures" xfId="117"/>
    <cellStyle name="_FRA_Map_Gamma_Futures_1" xfId="118"/>
    <cellStyle name="_FRA_Map_Gamma_Swaps" xfId="119"/>
    <cellStyle name="_FRA_Map_Gamma_Treasuries" xfId="120"/>
    <cellStyle name="_FRA_Map_holidays" xfId="121"/>
    <cellStyle name="_FRA_Map_Real_Time" xfId="122"/>
    <cellStyle name="_FRA_Map_Real-Time" xfId="123"/>
    <cellStyle name="_FRA_Map_Real-Time 2" xfId="124"/>
    <cellStyle name="_FRA_Map_Real-Time_1" xfId="125"/>
    <cellStyle name="_FRA_Map_Real-Time_Composite Page" xfId="126"/>
    <cellStyle name="_FRA_Map_Real-Time_Core" xfId="127"/>
    <cellStyle name="_FRA_Map_Real-Time_Futures" xfId="128"/>
    <cellStyle name="_FRA_Map_Real-Time_Futures_1" xfId="129"/>
    <cellStyle name="_FRA_Map_Real-Time_Swaps" xfId="130"/>
    <cellStyle name="_FRA_Map_Real-Time_Treasuries" xfId="131"/>
    <cellStyle name="_FRA_Map_Sheet1" xfId="132"/>
    <cellStyle name="_FRA_Map_Swaps" xfId="133"/>
    <cellStyle name="_FRA_Map_Swaps 2" xfId="134"/>
    <cellStyle name="_FRA_Map_Swaps_Composite Page" xfId="135"/>
    <cellStyle name="_FRA_Map_Swaps_Config" xfId="136"/>
    <cellStyle name="_FRA_Map_T-Notes" xfId="137"/>
    <cellStyle name="_FRA_Map_T-Notes 2" xfId="138"/>
    <cellStyle name="_FRA_Map_T-Notes_Composite Page" xfId="139"/>
    <cellStyle name="_FRA_Map_T-Notes_Config" xfId="140"/>
    <cellStyle name="_FRA_Map_ToDo" xfId="141"/>
    <cellStyle name="_FRA_Map_ToDo 2" xfId="142"/>
    <cellStyle name="_FRA_Map_ToDoList" xfId="143"/>
    <cellStyle name="_FRA_Map_ToDoList 2" xfId="144"/>
    <cellStyle name="_FRA_Map_Treasuries" xfId="145"/>
    <cellStyle name="_FRA_Map_Treasuries 2" xfId="146"/>
    <cellStyle name="_FRA_Map_Treasuries_Composite Page" xfId="147"/>
    <cellStyle name="_FRA_Map_Treasuries_Config" xfId="148"/>
    <cellStyle name="_Front" xfId="149"/>
    <cellStyle name="_Front_ADN" xfId="150"/>
    <cellStyle name="_Front_ImportBonds" xfId="151"/>
    <cellStyle name="_Front_Sheet1" xfId="152"/>
    <cellStyle name="_Front_Today" xfId="153"/>
    <cellStyle name="_Front_Yesterday" xfId="154"/>
    <cellStyle name="_Futures" xfId="155"/>
    <cellStyle name="_Gamma" xfId="156"/>
    <cellStyle name="_Gamma 2" xfId="157"/>
    <cellStyle name="_Gamma_Composite Page" xfId="158"/>
    <cellStyle name="_Gamma_Config" xfId="159"/>
    <cellStyle name="_Home" xfId="160"/>
    <cellStyle name="_Home 2" xfId="161"/>
    <cellStyle name="_Home_Composite Page" xfId="162"/>
    <cellStyle name="_Home_Config" xfId="163"/>
    <cellStyle name="_Hong Kong" xfId="164"/>
    <cellStyle name="_ImportBonds" xfId="165"/>
    <cellStyle name="_London" xfId="166"/>
    <cellStyle name="_London 2" xfId="167"/>
    <cellStyle name="_London_Composite Page" xfId="168"/>
    <cellStyle name="_London_Config" xfId="169"/>
    <cellStyle name="_LynxTrader" xfId="170"/>
    <cellStyle name="_LynxTrader_LynxTrader" xfId="171"/>
    <cellStyle name="_LynxTrader_Trade" xfId="172"/>
    <cellStyle name="_LynxTrader_Vector Editor" xfId="173"/>
    <cellStyle name="_Main" xfId="174"/>
    <cellStyle name="_manual" xfId="175"/>
    <cellStyle name="_manual_ADN" xfId="176"/>
    <cellStyle name="_manual_ImportBonds" xfId="177"/>
    <cellStyle name="_manual_Sheet1" xfId="178"/>
    <cellStyle name="_manual_Today" xfId="179"/>
    <cellStyle name="_manual_Yesterday" xfId="180"/>
    <cellStyle name="_New York" xfId="181"/>
    <cellStyle name="_NoteFuts" xfId="182"/>
    <cellStyle name="_Past 10 yr" xfId="183"/>
    <cellStyle name="_Past 10 yr 2" xfId="184"/>
    <cellStyle name="_Past 10 yr_Composite Page" xfId="185"/>
    <cellStyle name="_Past 10 yr_Config" xfId="186"/>
    <cellStyle name="_PnL" xfId="187"/>
    <cellStyle name="_PnL 2" xfId="188"/>
    <cellStyle name="_PnL Predictor" xfId="189"/>
    <cellStyle name="_PnL Predictor 2" xfId="190"/>
    <cellStyle name="_PnL Predictor_Composite Page" xfId="191"/>
    <cellStyle name="_PnL Predictor_Config" xfId="192"/>
    <cellStyle name="_PnL_Composite Page" xfId="193"/>
    <cellStyle name="_PnL_Config" xfId="194"/>
    <cellStyle name="_Positions" xfId="195"/>
    <cellStyle name="_Repo Blotter" xfId="196"/>
    <cellStyle name="_Repo Blotter_ADN" xfId="197"/>
    <cellStyle name="_Repo Blotter_ImportBonds" xfId="198"/>
    <cellStyle name="_Repo Blotter_Sheet1" xfId="199"/>
    <cellStyle name="_Repo Blotter_Today" xfId="200"/>
    <cellStyle name="_Repo Blotter_Yesterday" xfId="201"/>
    <cellStyle name="_Setup" xfId="202"/>
    <cellStyle name="_Setup_ADN" xfId="203"/>
    <cellStyle name="_Setup_ImportBonds" xfId="204"/>
    <cellStyle name="_Setup_Sheet1" xfId="205"/>
    <cellStyle name="_Setup_Today" xfId="206"/>
    <cellStyle name="_Setup_Yesterday" xfId="207"/>
    <cellStyle name="_Sheet1" xfId="208"/>
    <cellStyle name="_Strip_ZCurve" xfId="209"/>
    <cellStyle name="_Strip_ZCurve 2" xfId="210"/>
    <cellStyle name="_Strip_ZCurve_121Fut_View" xfId="211"/>
    <cellStyle name="_Strip_ZCurve_121Fut_View 2" xfId="212"/>
    <cellStyle name="_Strip_ZCurve_Apollo" xfId="213"/>
    <cellStyle name="_Strip_ZCurve_AssetSwap" xfId="214"/>
    <cellStyle name="_Strip_ZCurve_Closes" xfId="215"/>
    <cellStyle name="_Strip_ZCurve_Composite Page" xfId="216"/>
    <cellStyle name="_Strip_ZCurve_Config" xfId="217"/>
    <cellStyle name="_Strip_ZCurve_Config_Composite Page" xfId="218"/>
    <cellStyle name="_Strip_ZCurve_Convexity" xfId="219"/>
    <cellStyle name="_Strip_ZCurve_Core" xfId="220"/>
    <cellStyle name="_Strip_ZCurve_Core 2" xfId="221"/>
    <cellStyle name="_Strip_ZCurve_Core_Composite Page" xfId="222"/>
    <cellStyle name="_Strip_ZCurve_Core_Config" xfId="223"/>
    <cellStyle name="_Strip_ZCurve_cp_Closes" xfId="224"/>
    <cellStyle name="_Strip_ZCurve_DISPLAY" xfId="225"/>
    <cellStyle name="_Strip_ZCurve_EOD_Closes" xfId="226"/>
    <cellStyle name="_Strip_ZCurve_EOD_Closes_1" xfId="227"/>
    <cellStyle name="_Strip_ZCurve_EOD_Curve" xfId="228"/>
    <cellStyle name="_Strip_ZCurve_EOD_Curve 2" xfId="229"/>
    <cellStyle name="_Strip_ZCurve_EOD_Curve 3" xfId="230"/>
    <cellStyle name="_Strip_ZCurve_EOD_Curve_Composite Page" xfId="231"/>
    <cellStyle name="_Strip_ZCurve_EOD_Curve_Core" xfId="232"/>
    <cellStyle name="_Strip_ZCurve_EOD_Curve_Core 2" xfId="233"/>
    <cellStyle name="_Strip_ZCurve_EOD_Curve_Futures" xfId="234"/>
    <cellStyle name="_Strip_ZCurve_EOD_Curve_Swaps" xfId="235"/>
    <cellStyle name="_Strip_ZCurve_Futures" xfId="236"/>
    <cellStyle name="_Strip_ZCurve_Futures 2" xfId="237"/>
    <cellStyle name="_Strip_ZCurve_Futures_Composite Page" xfId="238"/>
    <cellStyle name="_Strip_ZCurve_Futures_Config" xfId="239"/>
    <cellStyle name="_Strip_ZCurve_Gamma" xfId="240"/>
    <cellStyle name="_Strip_ZCurve_Gamma_1" xfId="241"/>
    <cellStyle name="_Strip_ZCurve_Gamma_Composite Page" xfId="242"/>
    <cellStyle name="_Strip_ZCurve_Gamma_Core" xfId="243"/>
    <cellStyle name="_Strip_ZCurve_Gamma_Futures" xfId="244"/>
    <cellStyle name="_Strip_ZCurve_Gamma_Futures_1" xfId="245"/>
    <cellStyle name="_Strip_ZCurve_Gamma_Swaps" xfId="246"/>
    <cellStyle name="_Strip_ZCurve_Gamma_Treasuries" xfId="247"/>
    <cellStyle name="_Strip_ZCurve_holidays" xfId="248"/>
    <cellStyle name="_Strip_ZCurve_Real_Time" xfId="249"/>
    <cellStyle name="_Strip_ZCurve_Real-Time" xfId="250"/>
    <cellStyle name="_Strip_ZCurve_Real-Time 2" xfId="251"/>
    <cellStyle name="_Strip_ZCurve_Real-Time_1" xfId="252"/>
    <cellStyle name="_Strip_ZCurve_Real-Time_Composite Page" xfId="253"/>
    <cellStyle name="_Strip_ZCurve_Real-Time_Core" xfId="254"/>
    <cellStyle name="_Strip_ZCurve_Real-Time_Futures" xfId="255"/>
    <cellStyle name="_Strip_ZCurve_Real-Time_Futures_1" xfId="256"/>
    <cellStyle name="_Strip_ZCurve_Real-Time_Swaps" xfId="257"/>
    <cellStyle name="_Strip_ZCurve_Real-Time_Treasuries" xfId="258"/>
    <cellStyle name="_Strip_ZCurve_Sheet1" xfId="259"/>
    <cellStyle name="_Strip_ZCurve_Swaps" xfId="260"/>
    <cellStyle name="_Strip_ZCurve_Swaps 2" xfId="261"/>
    <cellStyle name="_Strip_ZCurve_Swaps_Composite Page" xfId="262"/>
    <cellStyle name="_Strip_ZCurve_Swaps_Config" xfId="263"/>
    <cellStyle name="_Strip_ZCurve_T-Notes" xfId="264"/>
    <cellStyle name="_Strip_ZCurve_T-Notes 2" xfId="265"/>
    <cellStyle name="_Strip_ZCurve_T-Notes_Composite Page" xfId="266"/>
    <cellStyle name="_Strip_ZCurve_T-Notes_Config" xfId="267"/>
    <cellStyle name="_Strip_ZCurve_ToDo" xfId="268"/>
    <cellStyle name="_Strip_ZCurve_ToDo 2" xfId="269"/>
    <cellStyle name="_Strip_ZCurve_ToDoList" xfId="270"/>
    <cellStyle name="_Strip_ZCurve_ToDoList 2" xfId="271"/>
    <cellStyle name="_Strip_ZCurve_Treasuries" xfId="272"/>
    <cellStyle name="_Strip_ZCurve_Treasuries 2" xfId="273"/>
    <cellStyle name="_Strip_ZCurve_Treasuries_Composite Page" xfId="274"/>
    <cellStyle name="_Strip_ZCurve_Treasuries_Config" xfId="275"/>
    <cellStyle name="_Summary" xfId="276"/>
    <cellStyle name="_Summary 2" xfId="277"/>
    <cellStyle name="_Summary_Composite Page" xfId="278"/>
    <cellStyle name="_Summary_Config" xfId="279"/>
    <cellStyle name="_Today" xfId="280"/>
    <cellStyle name="_Trade Blotter" xfId="281"/>
    <cellStyle name="_Treasuries" xfId="282"/>
    <cellStyle name="_Treasuries 2" xfId="283"/>
    <cellStyle name="_Treasuries_Composite Page" xfId="284"/>
    <cellStyle name="_Treasuries_Config" xfId="285"/>
    <cellStyle name="_Turn" xfId="286"/>
    <cellStyle name="_Turn 2" xfId="287"/>
    <cellStyle name="_Turn_121Fut_View" xfId="288"/>
    <cellStyle name="_Turn_121Fut_View 2" xfId="289"/>
    <cellStyle name="_Turn_Apollo" xfId="290"/>
    <cellStyle name="_Turn_apollo_curves" xfId="291"/>
    <cellStyle name="_Turn_Apollo_Spread" xfId="292"/>
    <cellStyle name="_Turn_AssetSwap" xfId="293"/>
    <cellStyle name="_Turn_Composite Page" xfId="294"/>
    <cellStyle name="_Turn_Config" xfId="295"/>
    <cellStyle name="_Turn_Config_Composite Page" xfId="296"/>
    <cellStyle name="_Turn_Convexity" xfId="297"/>
    <cellStyle name="_Turn_Core" xfId="298"/>
    <cellStyle name="_Turn_Core 2" xfId="299"/>
    <cellStyle name="_Turn_Core_Composite Page" xfId="300"/>
    <cellStyle name="_Turn_Core_Config" xfId="301"/>
    <cellStyle name="_Turn_cp_Closes" xfId="302"/>
    <cellStyle name="_Turn_DISPLAY" xfId="303"/>
    <cellStyle name="_Turn_EOD_Closes" xfId="304"/>
    <cellStyle name="_Turn_EOD_Curve" xfId="305"/>
    <cellStyle name="_Turn_EOD_Curve 2" xfId="306"/>
    <cellStyle name="_Turn_EOD_Curve 3" xfId="307"/>
    <cellStyle name="_Turn_EOD_Curve_Composite Page" xfId="308"/>
    <cellStyle name="_Turn_EOD_Curve_Core" xfId="309"/>
    <cellStyle name="_Turn_EOD_Curve_Core 2" xfId="310"/>
    <cellStyle name="_Turn_EOD_Curve_Futures" xfId="311"/>
    <cellStyle name="_Turn_EOD_Curve_Swaps" xfId="312"/>
    <cellStyle name="_Turn_Futures" xfId="313"/>
    <cellStyle name="_Turn_Futures 2" xfId="314"/>
    <cellStyle name="_Turn_Futures_Composite Page" xfId="315"/>
    <cellStyle name="_Turn_Futures_Config" xfId="316"/>
    <cellStyle name="_Turn_Gamma" xfId="317"/>
    <cellStyle name="_Turn_Gamma_1" xfId="318"/>
    <cellStyle name="_Turn_Gamma_Composite Page" xfId="319"/>
    <cellStyle name="_Turn_Gamma_Core" xfId="320"/>
    <cellStyle name="_Turn_Gamma_Futures" xfId="321"/>
    <cellStyle name="_Turn_Gamma_Futures_1" xfId="322"/>
    <cellStyle name="_Turn_Gamma_Swaps" xfId="323"/>
    <cellStyle name="_Turn_Gamma_Treasuries" xfId="324"/>
    <cellStyle name="_Turn_holidays" xfId="325"/>
    <cellStyle name="_Turn_Real_Time" xfId="326"/>
    <cellStyle name="_Turn_Real-Time" xfId="327"/>
    <cellStyle name="_Turn_Real-Time 2" xfId="328"/>
    <cellStyle name="_Turn_Real-Time_1" xfId="329"/>
    <cellStyle name="_Turn_Real-Time_Composite Page" xfId="330"/>
    <cellStyle name="_Turn_Real-Time_Core" xfId="331"/>
    <cellStyle name="_Turn_Real-Time_Futures" xfId="332"/>
    <cellStyle name="_Turn_Real-Time_Futures_1" xfId="333"/>
    <cellStyle name="_Turn_Real-Time_Swaps" xfId="334"/>
    <cellStyle name="_Turn_Real-Time_Treasuries" xfId="335"/>
    <cellStyle name="_Turn_Swaps" xfId="336"/>
    <cellStyle name="_Turn_Swaps 2" xfId="337"/>
    <cellStyle name="_Turn_Swaps_Composite Page" xfId="338"/>
    <cellStyle name="_Turn_Swaps_Config" xfId="339"/>
    <cellStyle name="_Turn_T-Notes" xfId="340"/>
    <cellStyle name="_Turn_T-Notes 2" xfId="341"/>
    <cellStyle name="_Turn_T-Notes_Composite Page" xfId="342"/>
    <cellStyle name="_Turn_T-Notes_Config" xfId="343"/>
    <cellStyle name="_Turn_ToDo" xfId="344"/>
    <cellStyle name="_Turn_ToDo 2" xfId="345"/>
    <cellStyle name="_Turn_ToDoList" xfId="346"/>
    <cellStyle name="_Turn_ToDoList 2" xfId="347"/>
    <cellStyle name="_Turn_Treasuries" xfId="348"/>
    <cellStyle name="_Turn_Treasuries 2" xfId="349"/>
    <cellStyle name="_Turn_Treasuries_Composite Page" xfId="350"/>
    <cellStyle name="_Turn_Treasuries_Config" xfId="351"/>
    <cellStyle name="_ValuationViewer" xfId="352"/>
    <cellStyle name="_ValuationViewer_ValuationViewer" xfId="353"/>
    <cellStyle name="_Yesterday" xfId="354"/>
    <cellStyle name="=C:\WINNT35\SYSTEM32\COMMAND.COM" xfId="355"/>
    <cellStyle name="0.0000%" xfId="356"/>
    <cellStyle name="20% - Accent1 2" xfId="357"/>
    <cellStyle name="20% - Accent1 2 2" xfId="358"/>
    <cellStyle name="20% - Accent1 3" xfId="359"/>
    <cellStyle name="20% - Accent1 4" xfId="360"/>
    <cellStyle name="20% - Accent1 5" xfId="361"/>
    <cellStyle name="20% - Accent1 6" xfId="362"/>
    <cellStyle name="20% - Accent2 2" xfId="363"/>
    <cellStyle name="20% - Accent2 2 2" xfId="364"/>
    <cellStyle name="20% - Accent2 3" xfId="365"/>
    <cellStyle name="20% - Accent2 4" xfId="366"/>
    <cellStyle name="20% - Accent2 5" xfId="367"/>
    <cellStyle name="20% - Accent2 6" xfId="368"/>
    <cellStyle name="20% - Accent3 2" xfId="369"/>
    <cellStyle name="20% - Accent3 2 2" xfId="370"/>
    <cellStyle name="20% - Accent3 3" xfId="371"/>
    <cellStyle name="20% - Accent3 4" xfId="372"/>
    <cellStyle name="20% - Accent3 5" xfId="373"/>
    <cellStyle name="20% - Accent3 6" xfId="374"/>
    <cellStyle name="20% - Accent4 2" xfId="375"/>
    <cellStyle name="20% - Accent4 2 2" xfId="376"/>
    <cellStyle name="20% - Accent4 3" xfId="377"/>
    <cellStyle name="20% - Accent4 4" xfId="378"/>
    <cellStyle name="20% - Accent4 5" xfId="379"/>
    <cellStyle name="20% - Accent4 6" xfId="380"/>
    <cellStyle name="20% - Accent5 2" xfId="381"/>
    <cellStyle name="20% - Accent5 2 2" xfId="382"/>
    <cellStyle name="20% - Accent5 3" xfId="383"/>
    <cellStyle name="20% - Accent5 4" xfId="384"/>
    <cellStyle name="20% - Accent6 2" xfId="385"/>
    <cellStyle name="20% - Accent6 2 2" xfId="386"/>
    <cellStyle name="20% - Accent6 3" xfId="387"/>
    <cellStyle name="20% - Accent6 4" xfId="388"/>
    <cellStyle name="40% - Accent1 2" xfId="389"/>
    <cellStyle name="40% - Accent1 2 2" xfId="390"/>
    <cellStyle name="40% - Accent1 3" xfId="391"/>
    <cellStyle name="40% - Accent1 4" xfId="392"/>
    <cellStyle name="40% - Accent1 5" xfId="393"/>
    <cellStyle name="40% - Accent1 6" xfId="394"/>
    <cellStyle name="40% - Accent2 2" xfId="395"/>
    <cellStyle name="40% - Accent2 2 2" xfId="396"/>
    <cellStyle name="40% - Accent2 3" xfId="397"/>
    <cellStyle name="40% - Accent2 4" xfId="398"/>
    <cellStyle name="40% - Accent3 2" xfId="399"/>
    <cellStyle name="40% - Accent3 2 2" xfId="400"/>
    <cellStyle name="40% - Accent3 3" xfId="401"/>
    <cellStyle name="40% - Accent3 4" xfId="402"/>
    <cellStyle name="40% - Accent3 5" xfId="403"/>
    <cellStyle name="40% - Accent3 6" xfId="404"/>
    <cellStyle name="40% - Accent4 2" xfId="405"/>
    <cellStyle name="40% - Accent4 2 2" xfId="406"/>
    <cellStyle name="40% - Accent4 3" xfId="407"/>
    <cellStyle name="40% - Accent4 4" xfId="408"/>
    <cellStyle name="40% - Accent4 5" xfId="409"/>
    <cellStyle name="40% - Accent4 6" xfId="410"/>
    <cellStyle name="40% - Accent5 2" xfId="411"/>
    <cellStyle name="40% - Accent5 2 2" xfId="412"/>
    <cellStyle name="40% - Accent5 3" xfId="413"/>
    <cellStyle name="40% - Accent5 4" xfId="414"/>
    <cellStyle name="40% - Accent6 2" xfId="415"/>
    <cellStyle name="40% - Accent6 2 2" xfId="416"/>
    <cellStyle name="40% - Accent6 3" xfId="417"/>
    <cellStyle name="40% - Accent6 4" xfId="418"/>
    <cellStyle name="40% - Accent6 5" xfId="419"/>
    <cellStyle name="40% - Accent6 6" xfId="420"/>
    <cellStyle name="60% - Accent1 2" xfId="421"/>
    <cellStyle name="60% - Accent1 2 2" xfId="422"/>
    <cellStyle name="60% - Accent1 3" xfId="423"/>
    <cellStyle name="60% - Accent1 4" xfId="424"/>
    <cellStyle name="60% - Accent1 5" xfId="425"/>
    <cellStyle name="60% - Accent1 6" xfId="426"/>
    <cellStyle name="60% - Accent2 2" xfId="427"/>
    <cellStyle name="60% - Accent2 2 2" xfId="428"/>
    <cellStyle name="60% - Accent2 3" xfId="429"/>
    <cellStyle name="60% - Accent2 4" xfId="430"/>
    <cellStyle name="60% - Accent3 2" xfId="431"/>
    <cellStyle name="60% - Accent3 2 2" xfId="432"/>
    <cellStyle name="60% - Accent3 3" xfId="433"/>
    <cellStyle name="60% - Accent3 4" xfId="434"/>
    <cellStyle name="60% - Accent3 5" xfId="435"/>
    <cellStyle name="60% - Accent3 6" xfId="436"/>
    <cellStyle name="60% - Accent4 2" xfId="437"/>
    <cellStyle name="60% - Accent4 2 2" xfId="438"/>
    <cellStyle name="60% - Accent4 3" xfId="439"/>
    <cellStyle name="60% - Accent4 4" xfId="440"/>
    <cellStyle name="60% - Accent4 5" xfId="441"/>
    <cellStyle name="60% - Accent4 6" xfId="442"/>
    <cellStyle name="60% - Accent5 2" xfId="443"/>
    <cellStyle name="60% - Accent5 2 2" xfId="444"/>
    <cellStyle name="60% - Accent5 3" xfId="445"/>
    <cellStyle name="60% - Accent5 4" xfId="446"/>
    <cellStyle name="60% - Accent6 2" xfId="447"/>
    <cellStyle name="60% - Accent6 2 2" xfId="448"/>
    <cellStyle name="60% - Accent6 3" xfId="449"/>
    <cellStyle name="60% - Accent6 4" xfId="450"/>
    <cellStyle name="60% - Accent6 5" xfId="451"/>
    <cellStyle name="60% - Accent6 6" xfId="452"/>
    <cellStyle name="Accent1 2" xfId="453"/>
    <cellStyle name="Accent1 2 2" xfId="454"/>
    <cellStyle name="Accent1 3" xfId="455"/>
    <cellStyle name="Accent1 4" xfId="456"/>
    <cellStyle name="Accent1 5" xfId="457"/>
    <cellStyle name="Accent1 6" xfId="458"/>
    <cellStyle name="Accent2 2" xfId="459"/>
    <cellStyle name="Accent2 2 2" xfId="460"/>
    <cellStyle name="Accent2 3" xfId="461"/>
    <cellStyle name="Accent2 4" xfId="462"/>
    <cellStyle name="Accent3 2" xfId="463"/>
    <cellStyle name="Accent3 2 2" xfId="464"/>
    <cellStyle name="Accent3 3" xfId="465"/>
    <cellStyle name="Accent3 4" xfId="466"/>
    <cellStyle name="Accent4 2" xfId="467"/>
    <cellStyle name="Accent4 2 2" xfId="468"/>
    <cellStyle name="Accent4 3" xfId="469"/>
    <cellStyle name="Accent4 4" xfId="470"/>
    <cellStyle name="Accent4 5" xfId="471"/>
    <cellStyle name="Accent4 6" xfId="472"/>
    <cellStyle name="Accent5 2" xfId="473"/>
    <cellStyle name="Accent5 2 2" xfId="474"/>
    <cellStyle name="Accent5 3" xfId="475"/>
    <cellStyle name="Accent5 4" xfId="476"/>
    <cellStyle name="Accent6 2" xfId="477"/>
    <cellStyle name="Accent6 2 2" xfId="478"/>
    <cellStyle name="Accent6 3" xfId="479"/>
    <cellStyle name="Accent6 4" xfId="480"/>
    <cellStyle name="AppSvrCode" xfId="481"/>
    <cellStyle name="Array" xfId="482"/>
    <cellStyle name="Background" xfId="483"/>
    <cellStyle name="BackGround 2" xfId="484"/>
    <cellStyle name="Background 3" xfId="485"/>
    <cellStyle name="Background 4" xfId="486"/>
    <cellStyle name="Background 5" xfId="487"/>
    <cellStyle name="Background 6" xfId="488"/>
    <cellStyle name="Background 7" xfId="489"/>
    <cellStyle name="Background_apollo_curves" xfId="490"/>
    <cellStyle name="Bad 2" xfId="491"/>
    <cellStyle name="Bad 2 2" xfId="492"/>
    <cellStyle name="Bad 3" xfId="493"/>
    <cellStyle name="Bad 4" xfId="494"/>
    <cellStyle name="Bad 5" xfId="495"/>
    <cellStyle name="Bad 6" xfId="496"/>
    <cellStyle name="blp_column_header" xfId="497"/>
    <cellStyle name="Border" xfId="498"/>
    <cellStyle name="bullet" xfId="499"/>
    <cellStyle name="calc" xfId="500"/>
    <cellStyle name="Calculation 2" xfId="501"/>
    <cellStyle name="Calculation 2 2" xfId="502"/>
    <cellStyle name="Calculation 2 2 2" xfId="503"/>
    <cellStyle name="Calculation 2 2 2 2" xfId="504"/>
    <cellStyle name="Calculation 2 2 2 2 2" xfId="505"/>
    <cellStyle name="Calculation 2 2 2 2 2 2" xfId="506"/>
    <cellStyle name="Calculation 2 2 2 2 2 2 2" xfId="507"/>
    <cellStyle name="Calculation 2 2 2 2 2 2 2 2" xfId="508"/>
    <cellStyle name="Calculation 2 2 2 2 2 2 2 2 2" xfId="509"/>
    <cellStyle name="Calculation 2 2 2 2 2 2 2 3" xfId="510"/>
    <cellStyle name="Calculation 2 2 2 2 2 2 3" xfId="511"/>
    <cellStyle name="Calculation 2 2 2 2 2 2 3 2" xfId="512"/>
    <cellStyle name="Calculation 2 2 2 2 2 2 4" xfId="513"/>
    <cellStyle name="Calculation 2 2 2 2 2 3" xfId="514"/>
    <cellStyle name="Calculation 2 2 2 2 2 3 2" xfId="515"/>
    <cellStyle name="Calculation 2 2 2 2 2 3 2 2" xfId="516"/>
    <cellStyle name="Calculation 2 2 2 2 2 3 3" xfId="517"/>
    <cellStyle name="Calculation 2 2 2 2 2 3 4" xfId="518"/>
    <cellStyle name="Calculation 2 2 2 2 2 4" xfId="519"/>
    <cellStyle name="Calculation 2 2 2 2 2 4 2" xfId="520"/>
    <cellStyle name="Calculation 2 2 2 2 2 4 2 2" xfId="521"/>
    <cellStyle name="Calculation 2 2 2 2 2 4 3" xfId="522"/>
    <cellStyle name="Calculation 2 2 2 2 2 5" xfId="523"/>
    <cellStyle name="Calculation 2 2 2 2 2 5 2" xfId="524"/>
    <cellStyle name="Calculation 2 2 2 2 2 6" xfId="525"/>
    <cellStyle name="Calculation 2 2 2 2 3" xfId="526"/>
    <cellStyle name="Calculation 2 2 2 2 3 2" xfId="527"/>
    <cellStyle name="Calculation 2 2 2 2 3 2 2" xfId="528"/>
    <cellStyle name="Calculation 2 2 2 2 3 2 2 2" xfId="529"/>
    <cellStyle name="Calculation 2 2 2 2 3 2 2 2 2" xfId="530"/>
    <cellStyle name="Calculation 2 2 2 2 3 2 2 3" xfId="531"/>
    <cellStyle name="Calculation 2 2 2 2 3 2 3" xfId="532"/>
    <cellStyle name="Calculation 2 2 2 2 3 2 3 2" xfId="533"/>
    <cellStyle name="Calculation 2 2 2 2 3 2 4" xfId="534"/>
    <cellStyle name="Calculation 2 2 2 2 3 3" xfId="535"/>
    <cellStyle name="Calculation 2 2 2 2 3 3 2" xfId="536"/>
    <cellStyle name="Calculation 2 2 2 2 3 3 2 2" xfId="537"/>
    <cellStyle name="Calculation 2 2 2 2 3 3 3" xfId="538"/>
    <cellStyle name="Calculation 2 2 2 2 3 3 4" xfId="539"/>
    <cellStyle name="Calculation 2 2 2 2 3 4" xfId="540"/>
    <cellStyle name="Calculation 2 2 2 2 3 4 2" xfId="541"/>
    <cellStyle name="Calculation 2 2 2 2 3 4 2 2" xfId="542"/>
    <cellStyle name="Calculation 2 2 2 2 3 4 3" xfId="543"/>
    <cellStyle name="Calculation 2 2 2 2 3 5" xfId="544"/>
    <cellStyle name="Calculation 2 2 2 2 3 5 2" xfId="545"/>
    <cellStyle name="Calculation 2 2 2 2 3 6" xfId="546"/>
    <cellStyle name="Calculation 2 2 2 2 4" xfId="547"/>
    <cellStyle name="Calculation 2 2 2 2 4 2" xfId="548"/>
    <cellStyle name="Calculation 2 2 2 2 4 2 2" xfId="549"/>
    <cellStyle name="Calculation 2 2 2 2 4 2 2 2" xfId="550"/>
    <cellStyle name="Calculation 2 2 2 2 4 2 2 2 2" xfId="551"/>
    <cellStyle name="Calculation 2 2 2 2 4 2 2 3" xfId="552"/>
    <cellStyle name="Calculation 2 2 2 2 4 2 3" xfId="553"/>
    <cellStyle name="Calculation 2 2 2 2 4 2 3 2" xfId="554"/>
    <cellStyle name="Calculation 2 2 2 2 4 2 4" xfId="555"/>
    <cellStyle name="Calculation 2 2 2 2 4 3" xfId="556"/>
    <cellStyle name="Calculation 2 2 2 2 4 3 2" xfId="557"/>
    <cellStyle name="Calculation 2 2 2 2 4 3 2 2" xfId="558"/>
    <cellStyle name="Calculation 2 2 2 2 4 3 3" xfId="559"/>
    <cellStyle name="Calculation 2 2 2 2 4 3 4" xfId="560"/>
    <cellStyle name="Calculation 2 2 2 2 4 4" xfId="561"/>
    <cellStyle name="Calculation 2 2 2 2 4 4 2" xfId="562"/>
    <cellStyle name="Calculation 2 2 2 2 4 4 2 2" xfId="563"/>
    <cellStyle name="Calculation 2 2 2 2 4 4 3" xfId="564"/>
    <cellStyle name="Calculation 2 2 2 2 4 5" xfId="565"/>
    <cellStyle name="Calculation 2 2 2 2 4 5 2" xfId="566"/>
    <cellStyle name="Calculation 2 2 2 2 4 6" xfId="567"/>
    <cellStyle name="Calculation 2 2 2 2 5" xfId="568"/>
    <cellStyle name="Calculation 2 2 2 2 5 2" xfId="569"/>
    <cellStyle name="Calculation 2 2 2 3" xfId="570"/>
    <cellStyle name="Calculation 2 2 2 3 2" xfId="571"/>
    <cellStyle name="Calculation 2 2 2 3 2 2" xfId="572"/>
    <cellStyle name="Calculation 2 2 2 3 2 2 2" xfId="573"/>
    <cellStyle name="Calculation 2 2 2 3 2 2 2 2" xfId="574"/>
    <cellStyle name="Calculation 2 2 2 3 2 2 3" xfId="575"/>
    <cellStyle name="Calculation 2 2 2 3 2 3" xfId="576"/>
    <cellStyle name="Calculation 2 2 2 3 2 3 2" xfId="577"/>
    <cellStyle name="Calculation 2 2 2 3 2 4" xfId="578"/>
    <cellStyle name="Calculation 2 2 2 3 3" xfId="579"/>
    <cellStyle name="Calculation 2 2 2 3 3 2" xfId="580"/>
    <cellStyle name="Calculation 2 2 2 3 3 2 2" xfId="581"/>
    <cellStyle name="Calculation 2 2 2 3 3 3" xfId="582"/>
    <cellStyle name="Calculation 2 2 2 3 3 4" xfId="583"/>
    <cellStyle name="Calculation 2 2 2 3 4" xfId="584"/>
    <cellStyle name="Calculation 2 2 2 3 4 2" xfId="585"/>
    <cellStyle name="Calculation 2 2 2 3 4 2 2" xfId="586"/>
    <cellStyle name="Calculation 2 2 2 3 4 3" xfId="587"/>
    <cellStyle name="Calculation 2 2 2 3 5" xfId="588"/>
    <cellStyle name="Calculation 2 2 2 3 5 2" xfId="589"/>
    <cellStyle name="Calculation 2 2 2 3 6" xfId="590"/>
    <cellStyle name="Calculation 2 2 2 4" xfId="591"/>
    <cellStyle name="Calculation 2 2 2 4 2" xfId="592"/>
    <cellStyle name="Calculation 2 2 2 4 2 2" xfId="593"/>
    <cellStyle name="Calculation 2 2 2 4 2 2 2" xfId="594"/>
    <cellStyle name="Calculation 2 2 2 4 2 2 2 2" xfId="595"/>
    <cellStyle name="Calculation 2 2 2 4 2 2 3" xfId="596"/>
    <cellStyle name="Calculation 2 2 2 4 2 3" xfId="597"/>
    <cellStyle name="Calculation 2 2 2 4 2 3 2" xfId="598"/>
    <cellStyle name="Calculation 2 2 2 4 2 4" xfId="599"/>
    <cellStyle name="Calculation 2 2 2 4 3" xfId="600"/>
    <cellStyle name="Calculation 2 2 2 4 3 2" xfId="601"/>
    <cellStyle name="Calculation 2 2 2 4 3 2 2" xfId="602"/>
    <cellStyle name="Calculation 2 2 2 4 3 3" xfId="603"/>
    <cellStyle name="Calculation 2 2 2 4 3 4" xfId="604"/>
    <cellStyle name="Calculation 2 2 2 4 4" xfId="605"/>
    <cellStyle name="Calculation 2 2 2 4 4 2" xfId="606"/>
    <cellStyle name="Calculation 2 2 2 4 4 2 2" xfId="607"/>
    <cellStyle name="Calculation 2 2 2 4 4 3" xfId="608"/>
    <cellStyle name="Calculation 2 2 2 4 5" xfId="609"/>
    <cellStyle name="Calculation 2 2 2 4 5 2" xfId="610"/>
    <cellStyle name="Calculation 2 2 2 4 6" xfId="611"/>
    <cellStyle name="Calculation 2 2 2 5" xfId="612"/>
    <cellStyle name="Calculation 2 2 2 5 2" xfId="613"/>
    <cellStyle name="Calculation 2 2 2 5 2 2" xfId="614"/>
    <cellStyle name="Calculation 2 2 2 5 2 2 2" xfId="615"/>
    <cellStyle name="Calculation 2 2 2 5 2 2 2 2" xfId="616"/>
    <cellStyle name="Calculation 2 2 2 5 2 2 3" xfId="617"/>
    <cellStyle name="Calculation 2 2 2 5 2 3" xfId="618"/>
    <cellStyle name="Calculation 2 2 2 5 2 3 2" xfId="619"/>
    <cellStyle name="Calculation 2 2 2 5 2 4" xfId="620"/>
    <cellStyle name="Calculation 2 2 2 5 3" xfId="621"/>
    <cellStyle name="Calculation 2 2 2 5 3 2" xfId="622"/>
    <cellStyle name="Calculation 2 2 2 5 3 2 2" xfId="623"/>
    <cellStyle name="Calculation 2 2 2 5 3 3" xfId="624"/>
    <cellStyle name="Calculation 2 2 2 5 3 4" xfId="625"/>
    <cellStyle name="Calculation 2 2 2 5 4" xfId="626"/>
    <cellStyle name="Calculation 2 2 2 5 4 2" xfId="627"/>
    <cellStyle name="Calculation 2 2 2 5 4 2 2" xfId="628"/>
    <cellStyle name="Calculation 2 2 2 5 4 3" xfId="629"/>
    <cellStyle name="Calculation 2 2 2 5 5" xfId="630"/>
    <cellStyle name="Calculation 2 2 2 5 5 2" xfId="631"/>
    <cellStyle name="Calculation 2 2 2 5 6" xfId="632"/>
    <cellStyle name="Calculation 2 2 3" xfId="633"/>
    <cellStyle name="Calculation 2 2 3 2" xfId="634"/>
    <cellStyle name="Calculation 2 2 3 2 2" xfId="635"/>
    <cellStyle name="Calculation 2 2 3 2 2 2" xfId="636"/>
    <cellStyle name="Calculation 2 2 3 2 2 2 2" xfId="637"/>
    <cellStyle name="Calculation 2 2 3 2 2 2 2 2" xfId="638"/>
    <cellStyle name="Calculation 2 2 3 2 2 2 3" xfId="639"/>
    <cellStyle name="Calculation 2 2 3 2 2 3" xfId="640"/>
    <cellStyle name="Calculation 2 2 3 2 2 3 2" xfId="641"/>
    <cellStyle name="Calculation 2 2 3 2 2 4" xfId="642"/>
    <cellStyle name="Calculation 2 2 3 2 3" xfId="643"/>
    <cellStyle name="Calculation 2 2 3 2 3 2" xfId="644"/>
    <cellStyle name="Calculation 2 2 3 2 3 2 2" xfId="645"/>
    <cellStyle name="Calculation 2 2 3 2 3 3" xfId="646"/>
    <cellStyle name="Calculation 2 2 3 2 3 4" xfId="647"/>
    <cellStyle name="Calculation 2 2 3 2 4" xfId="648"/>
    <cellStyle name="Calculation 2 2 3 2 4 2" xfId="649"/>
    <cellStyle name="Calculation 2 2 3 2 4 2 2" xfId="650"/>
    <cellStyle name="Calculation 2 2 3 2 4 3" xfId="651"/>
    <cellStyle name="Calculation 2 2 3 2 5" xfId="652"/>
    <cellStyle name="Calculation 2 2 3 2 5 2" xfId="653"/>
    <cellStyle name="Calculation 2 2 3 2 6" xfId="654"/>
    <cellStyle name="Calculation 2 2 3 3" xfId="655"/>
    <cellStyle name="Calculation 2 2 3 3 2" xfId="656"/>
    <cellStyle name="Calculation 2 2 3 3 2 2" xfId="657"/>
    <cellStyle name="Calculation 2 2 3 3 2 2 2" xfId="658"/>
    <cellStyle name="Calculation 2 2 3 3 2 2 2 2" xfId="659"/>
    <cellStyle name="Calculation 2 2 3 3 2 2 3" xfId="660"/>
    <cellStyle name="Calculation 2 2 3 3 2 3" xfId="661"/>
    <cellStyle name="Calculation 2 2 3 3 2 3 2" xfId="662"/>
    <cellStyle name="Calculation 2 2 3 3 2 4" xfId="663"/>
    <cellStyle name="Calculation 2 2 3 3 3" xfId="664"/>
    <cellStyle name="Calculation 2 2 3 3 3 2" xfId="665"/>
    <cellStyle name="Calculation 2 2 3 3 3 2 2" xfId="666"/>
    <cellStyle name="Calculation 2 2 3 3 3 3" xfId="667"/>
    <cellStyle name="Calculation 2 2 3 3 3 4" xfId="668"/>
    <cellStyle name="Calculation 2 2 3 3 4" xfId="669"/>
    <cellStyle name="Calculation 2 2 3 3 4 2" xfId="670"/>
    <cellStyle name="Calculation 2 2 3 3 4 2 2" xfId="671"/>
    <cellStyle name="Calculation 2 2 3 3 4 3" xfId="672"/>
    <cellStyle name="Calculation 2 2 3 3 5" xfId="673"/>
    <cellStyle name="Calculation 2 2 3 3 5 2" xfId="674"/>
    <cellStyle name="Calculation 2 2 3 3 6" xfId="675"/>
    <cellStyle name="Calculation 2 2 3 4" xfId="676"/>
    <cellStyle name="Calculation 2 2 3 4 2" xfId="677"/>
    <cellStyle name="Calculation 2 2 3 4 2 2" xfId="678"/>
    <cellStyle name="Calculation 2 2 3 4 2 2 2" xfId="679"/>
    <cellStyle name="Calculation 2 2 3 4 2 2 2 2" xfId="680"/>
    <cellStyle name="Calculation 2 2 3 4 2 2 3" xfId="681"/>
    <cellStyle name="Calculation 2 2 3 4 2 3" xfId="682"/>
    <cellStyle name="Calculation 2 2 3 4 2 3 2" xfId="683"/>
    <cellStyle name="Calculation 2 2 3 4 2 4" xfId="684"/>
    <cellStyle name="Calculation 2 2 3 4 3" xfId="685"/>
    <cellStyle name="Calculation 2 2 3 4 3 2" xfId="686"/>
    <cellStyle name="Calculation 2 2 3 4 3 2 2" xfId="687"/>
    <cellStyle name="Calculation 2 2 3 4 3 3" xfId="688"/>
    <cellStyle name="Calculation 2 2 3 4 3 4" xfId="689"/>
    <cellStyle name="Calculation 2 2 3 4 4" xfId="690"/>
    <cellStyle name="Calculation 2 2 3 4 4 2" xfId="691"/>
    <cellStyle name="Calculation 2 2 3 4 4 2 2" xfId="692"/>
    <cellStyle name="Calculation 2 2 3 4 4 3" xfId="693"/>
    <cellStyle name="Calculation 2 2 3 4 5" xfId="694"/>
    <cellStyle name="Calculation 2 2 3 4 5 2" xfId="695"/>
    <cellStyle name="Calculation 2 2 3 4 6" xfId="696"/>
    <cellStyle name="Calculation 2 2 3 5" xfId="697"/>
    <cellStyle name="Calculation 2 2 3 5 2" xfId="698"/>
    <cellStyle name="Calculation 2 2 4" xfId="699"/>
    <cellStyle name="Calculation 2 2 4 2" xfId="700"/>
    <cellStyle name="Calculation 2 2 4 2 2" xfId="701"/>
    <cellStyle name="Calculation 2 2 4 2 2 2" xfId="702"/>
    <cellStyle name="Calculation 2 2 4 2 2 2 2" xfId="703"/>
    <cellStyle name="Calculation 2 2 4 2 2 2 2 2" xfId="704"/>
    <cellStyle name="Calculation 2 2 4 2 2 2 3" xfId="705"/>
    <cellStyle name="Calculation 2 2 4 2 2 3" xfId="706"/>
    <cellStyle name="Calculation 2 2 4 2 2 3 2" xfId="707"/>
    <cellStyle name="Calculation 2 2 4 2 2 4" xfId="708"/>
    <cellStyle name="Calculation 2 2 4 2 3" xfId="709"/>
    <cellStyle name="Calculation 2 2 4 2 3 2" xfId="710"/>
    <cellStyle name="Calculation 2 2 4 2 3 2 2" xfId="711"/>
    <cellStyle name="Calculation 2 2 4 2 3 3" xfId="712"/>
    <cellStyle name="Calculation 2 2 4 2 3 4" xfId="713"/>
    <cellStyle name="Calculation 2 2 4 2 4" xfId="714"/>
    <cellStyle name="Calculation 2 2 4 2 4 2" xfId="715"/>
    <cellStyle name="Calculation 2 2 4 2 4 2 2" xfId="716"/>
    <cellStyle name="Calculation 2 2 4 2 4 3" xfId="717"/>
    <cellStyle name="Calculation 2 2 4 2 5" xfId="718"/>
    <cellStyle name="Calculation 2 2 4 2 5 2" xfId="719"/>
    <cellStyle name="Calculation 2 2 4 2 6" xfId="720"/>
    <cellStyle name="Calculation 2 2 4 3" xfId="721"/>
    <cellStyle name="Calculation 2 2 4 3 2" xfId="722"/>
    <cellStyle name="Calculation 2 2 4 3 2 2" xfId="723"/>
    <cellStyle name="Calculation 2 2 4 3 2 2 2" xfId="724"/>
    <cellStyle name="Calculation 2 2 4 3 2 2 2 2" xfId="725"/>
    <cellStyle name="Calculation 2 2 4 3 2 2 3" xfId="726"/>
    <cellStyle name="Calculation 2 2 4 3 2 3" xfId="727"/>
    <cellStyle name="Calculation 2 2 4 3 2 3 2" xfId="728"/>
    <cellStyle name="Calculation 2 2 4 3 2 4" xfId="729"/>
    <cellStyle name="Calculation 2 2 4 3 3" xfId="730"/>
    <cellStyle name="Calculation 2 2 4 3 3 2" xfId="731"/>
    <cellStyle name="Calculation 2 2 4 3 3 2 2" xfId="732"/>
    <cellStyle name="Calculation 2 2 4 3 3 3" xfId="733"/>
    <cellStyle name="Calculation 2 2 4 3 3 4" xfId="734"/>
    <cellStyle name="Calculation 2 2 4 3 4" xfId="735"/>
    <cellStyle name="Calculation 2 2 4 3 4 2" xfId="736"/>
    <cellStyle name="Calculation 2 2 4 3 4 2 2" xfId="737"/>
    <cellStyle name="Calculation 2 2 4 3 4 3" xfId="738"/>
    <cellStyle name="Calculation 2 2 4 3 5" xfId="739"/>
    <cellStyle name="Calculation 2 2 4 3 5 2" xfId="740"/>
    <cellStyle name="Calculation 2 2 4 3 6" xfId="741"/>
    <cellStyle name="Calculation 2 2 4 4" xfId="742"/>
    <cellStyle name="Calculation 2 2 4 4 2" xfId="743"/>
    <cellStyle name="Calculation 2 2 4 4 2 2" xfId="744"/>
    <cellStyle name="Calculation 2 2 4 4 2 2 2" xfId="745"/>
    <cellStyle name="Calculation 2 2 4 4 2 3" xfId="746"/>
    <cellStyle name="Calculation 2 2 4 4 3" xfId="747"/>
    <cellStyle name="Calculation 2 2 4 4 3 2" xfId="748"/>
    <cellStyle name="Calculation 2 2 4 4 4" xfId="749"/>
    <cellStyle name="Calculation 2 2 4 5" xfId="750"/>
    <cellStyle name="Calculation 2 2 4 5 2" xfId="751"/>
    <cellStyle name="Calculation 2 2 4 5 2 2" xfId="752"/>
    <cellStyle name="Calculation 2 2 4 5 3" xfId="753"/>
    <cellStyle name="Calculation 2 2 4 5 4" xfId="754"/>
    <cellStyle name="Calculation 2 2 4 6" xfId="755"/>
    <cellStyle name="Calculation 2 2 4 6 2" xfId="756"/>
    <cellStyle name="Calculation 2 2 4 6 2 2" xfId="757"/>
    <cellStyle name="Calculation 2 2 4 6 3" xfId="758"/>
    <cellStyle name="Calculation 2 2 4 7" xfId="759"/>
    <cellStyle name="Calculation 2 2 4 7 2" xfId="760"/>
    <cellStyle name="Calculation 2 2 4 8" xfId="761"/>
    <cellStyle name="Calculation 2 2 5" xfId="762"/>
    <cellStyle name="Calculation 2 2 5 2" xfId="763"/>
    <cellStyle name="Calculation 2 2 5 2 2" xfId="764"/>
    <cellStyle name="Calculation 2 2 5 2 2 2" xfId="765"/>
    <cellStyle name="Calculation 2 2 5 2 2 2 2" xfId="766"/>
    <cellStyle name="Calculation 2 2 5 2 2 3" xfId="767"/>
    <cellStyle name="Calculation 2 2 5 2 3" xfId="768"/>
    <cellStyle name="Calculation 2 2 5 2 3 2" xfId="769"/>
    <cellStyle name="Calculation 2 2 5 2 4" xfId="770"/>
    <cellStyle name="Calculation 2 2 5 3" xfId="771"/>
    <cellStyle name="Calculation 2 2 5 3 2" xfId="772"/>
    <cellStyle name="Calculation 2 2 5 3 2 2" xfId="773"/>
    <cellStyle name="Calculation 2 2 5 3 3" xfId="774"/>
    <cellStyle name="Calculation 2 2 5 3 4" xfId="775"/>
    <cellStyle name="Calculation 2 2 5 4" xfId="776"/>
    <cellStyle name="Calculation 2 2 5 4 2" xfId="777"/>
    <cellStyle name="Calculation 2 2 5 4 2 2" xfId="778"/>
    <cellStyle name="Calculation 2 2 5 4 3" xfId="779"/>
    <cellStyle name="Calculation 2 2 5 5" xfId="780"/>
    <cellStyle name="Calculation 2 2 5 5 2" xfId="781"/>
    <cellStyle name="Calculation 2 2 5 6" xfId="782"/>
    <cellStyle name="Calculation 2 3" xfId="783"/>
    <cellStyle name="Calculation 2 3 2" xfId="784"/>
    <cellStyle name="Calculation 2 3 2 2" xfId="785"/>
    <cellStyle name="Calculation 2 3 2 2 2" xfId="786"/>
    <cellStyle name="Calculation 2 3 2 2 2 2" xfId="787"/>
    <cellStyle name="Calculation 2 3 2 2 2 2 2" xfId="788"/>
    <cellStyle name="Calculation 2 3 2 2 2 2 2 2" xfId="789"/>
    <cellStyle name="Calculation 2 3 2 2 2 2 3" xfId="790"/>
    <cellStyle name="Calculation 2 3 2 2 2 3" xfId="791"/>
    <cellStyle name="Calculation 2 3 2 2 2 3 2" xfId="792"/>
    <cellStyle name="Calculation 2 3 2 2 2 4" xfId="793"/>
    <cellStyle name="Calculation 2 3 2 2 3" xfId="794"/>
    <cellStyle name="Calculation 2 3 2 2 3 2" xfId="795"/>
    <cellStyle name="Calculation 2 3 2 2 3 2 2" xfId="796"/>
    <cellStyle name="Calculation 2 3 2 2 3 3" xfId="797"/>
    <cellStyle name="Calculation 2 3 2 2 3 4" xfId="798"/>
    <cellStyle name="Calculation 2 3 2 2 4" xfId="799"/>
    <cellStyle name="Calculation 2 3 2 2 4 2" xfId="800"/>
    <cellStyle name="Calculation 2 3 2 2 4 2 2" xfId="801"/>
    <cellStyle name="Calculation 2 3 2 2 4 3" xfId="802"/>
    <cellStyle name="Calculation 2 3 2 2 5" xfId="803"/>
    <cellStyle name="Calculation 2 3 2 2 5 2" xfId="804"/>
    <cellStyle name="Calculation 2 3 2 2 6" xfId="805"/>
    <cellStyle name="Calculation 2 3 2 3" xfId="806"/>
    <cellStyle name="Calculation 2 3 2 3 2" xfId="807"/>
    <cellStyle name="Calculation 2 3 2 3 2 2" xfId="808"/>
    <cellStyle name="Calculation 2 3 2 3 2 2 2" xfId="809"/>
    <cellStyle name="Calculation 2 3 2 3 2 2 2 2" xfId="810"/>
    <cellStyle name="Calculation 2 3 2 3 2 2 3" xfId="811"/>
    <cellStyle name="Calculation 2 3 2 3 2 3" xfId="812"/>
    <cellStyle name="Calculation 2 3 2 3 2 3 2" xfId="813"/>
    <cellStyle name="Calculation 2 3 2 3 2 4" xfId="814"/>
    <cellStyle name="Calculation 2 3 2 3 3" xfId="815"/>
    <cellStyle name="Calculation 2 3 2 3 3 2" xfId="816"/>
    <cellStyle name="Calculation 2 3 2 3 3 2 2" xfId="817"/>
    <cellStyle name="Calculation 2 3 2 3 3 3" xfId="818"/>
    <cellStyle name="Calculation 2 3 2 3 3 4" xfId="819"/>
    <cellStyle name="Calculation 2 3 2 3 4" xfId="820"/>
    <cellStyle name="Calculation 2 3 2 3 4 2" xfId="821"/>
    <cellStyle name="Calculation 2 3 2 3 4 2 2" xfId="822"/>
    <cellStyle name="Calculation 2 3 2 3 4 3" xfId="823"/>
    <cellStyle name="Calculation 2 3 2 3 5" xfId="824"/>
    <cellStyle name="Calculation 2 3 2 3 5 2" xfId="825"/>
    <cellStyle name="Calculation 2 3 2 3 6" xfId="826"/>
    <cellStyle name="Calculation 2 3 2 4" xfId="827"/>
    <cellStyle name="Calculation 2 3 2 4 2" xfId="828"/>
    <cellStyle name="Calculation 2 3 2 4 2 2" xfId="829"/>
    <cellStyle name="Calculation 2 3 2 4 2 2 2" xfId="830"/>
    <cellStyle name="Calculation 2 3 2 4 2 2 2 2" xfId="831"/>
    <cellStyle name="Calculation 2 3 2 4 2 2 3" xfId="832"/>
    <cellStyle name="Calculation 2 3 2 4 2 3" xfId="833"/>
    <cellStyle name="Calculation 2 3 2 4 2 3 2" xfId="834"/>
    <cellStyle name="Calculation 2 3 2 4 2 4" xfId="835"/>
    <cellStyle name="Calculation 2 3 2 4 3" xfId="836"/>
    <cellStyle name="Calculation 2 3 2 4 3 2" xfId="837"/>
    <cellStyle name="Calculation 2 3 2 4 3 2 2" xfId="838"/>
    <cellStyle name="Calculation 2 3 2 4 3 3" xfId="839"/>
    <cellStyle name="Calculation 2 3 2 4 3 4" xfId="840"/>
    <cellStyle name="Calculation 2 3 2 4 4" xfId="841"/>
    <cellStyle name="Calculation 2 3 2 4 4 2" xfId="842"/>
    <cellStyle name="Calculation 2 3 2 4 4 2 2" xfId="843"/>
    <cellStyle name="Calculation 2 3 2 4 4 3" xfId="844"/>
    <cellStyle name="Calculation 2 3 2 4 5" xfId="845"/>
    <cellStyle name="Calculation 2 3 2 4 5 2" xfId="846"/>
    <cellStyle name="Calculation 2 3 2 4 6" xfId="847"/>
    <cellStyle name="Calculation 2 3 2 5" xfId="848"/>
    <cellStyle name="Calculation 2 3 2 5 2" xfId="849"/>
    <cellStyle name="Calculation 2 3 3" xfId="850"/>
    <cellStyle name="Calculation 2 3 3 2" xfId="851"/>
    <cellStyle name="Calculation 2 3 3 2 2" xfId="852"/>
    <cellStyle name="Calculation 2 3 3 2 2 2" xfId="853"/>
    <cellStyle name="Calculation 2 3 3 2 2 2 2" xfId="854"/>
    <cellStyle name="Calculation 2 3 3 2 2 3" xfId="855"/>
    <cellStyle name="Calculation 2 3 3 2 3" xfId="856"/>
    <cellStyle name="Calculation 2 3 3 2 3 2" xfId="857"/>
    <cellStyle name="Calculation 2 3 3 2 4" xfId="858"/>
    <cellStyle name="Calculation 2 3 3 3" xfId="859"/>
    <cellStyle name="Calculation 2 3 3 3 2" xfId="860"/>
    <cellStyle name="Calculation 2 3 3 3 2 2" xfId="861"/>
    <cellStyle name="Calculation 2 3 3 3 3" xfId="862"/>
    <cellStyle name="Calculation 2 3 3 3 4" xfId="863"/>
    <cellStyle name="Calculation 2 3 3 4" xfId="864"/>
    <cellStyle name="Calculation 2 3 3 4 2" xfId="865"/>
    <cellStyle name="Calculation 2 3 3 4 2 2" xfId="866"/>
    <cellStyle name="Calculation 2 3 3 4 3" xfId="867"/>
    <cellStyle name="Calculation 2 3 3 5" xfId="868"/>
    <cellStyle name="Calculation 2 3 3 5 2" xfId="869"/>
    <cellStyle name="Calculation 2 3 3 6" xfId="870"/>
    <cellStyle name="Calculation 2 3 4" xfId="871"/>
    <cellStyle name="Calculation 2 3 4 2" xfId="872"/>
    <cellStyle name="Calculation 2 3 4 2 2" xfId="873"/>
    <cellStyle name="Calculation 2 3 4 2 2 2" xfId="874"/>
    <cellStyle name="Calculation 2 3 4 2 2 2 2" xfId="875"/>
    <cellStyle name="Calculation 2 3 4 2 2 3" xfId="876"/>
    <cellStyle name="Calculation 2 3 4 2 3" xfId="877"/>
    <cellStyle name="Calculation 2 3 4 2 3 2" xfId="878"/>
    <cellStyle name="Calculation 2 3 4 2 4" xfId="879"/>
    <cellStyle name="Calculation 2 3 4 3" xfId="880"/>
    <cellStyle name="Calculation 2 3 4 3 2" xfId="881"/>
    <cellStyle name="Calculation 2 3 4 3 2 2" xfId="882"/>
    <cellStyle name="Calculation 2 3 4 3 3" xfId="883"/>
    <cellStyle name="Calculation 2 3 4 3 4" xfId="884"/>
    <cellStyle name="Calculation 2 3 4 4" xfId="885"/>
    <cellStyle name="Calculation 2 3 4 4 2" xfId="886"/>
    <cellStyle name="Calculation 2 3 4 4 2 2" xfId="887"/>
    <cellStyle name="Calculation 2 3 4 4 3" xfId="888"/>
    <cellStyle name="Calculation 2 3 4 5" xfId="889"/>
    <cellStyle name="Calculation 2 3 4 5 2" xfId="890"/>
    <cellStyle name="Calculation 2 3 4 6" xfId="891"/>
    <cellStyle name="Calculation 2 3 5" xfId="892"/>
    <cellStyle name="Calculation 2 3 5 2" xfId="893"/>
    <cellStyle name="Calculation 2 3 5 2 2" xfId="894"/>
    <cellStyle name="Calculation 2 3 5 2 2 2" xfId="895"/>
    <cellStyle name="Calculation 2 3 5 2 2 2 2" xfId="896"/>
    <cellStyle name="Calculation 2 3 5 2 2 3" xfId="897"/>
    <cellStyle name="Calculation 2 3 5 2 3" xfId="898"/>
    <cellStyle name="Calculation 2 3 5 2 3 2" xfId="899"/>
    <cellStyle name="Calculation 2 3 5 2 4" xfId="900"/>
    <cellStyle name="Calculation 2 3 5 3" xfId="901"/>
    <cellStyle name="Calculation 2 3 5 3 2" xfId="902"/>
    <cellStyle name="Calculation 2 3 5 3 2 2" xfId="903"/>
    <cellStyle name="Calculation 2 3 5 3 3" xfId="904"/>
    <cellStyle name="Calculation 2 3 5 3 4" xfId="905"/>
    <cellStyle name="Calculation 2 3 5 4" xfId="906"/>
    <cellStyle name="Calculation 2 3 5 4 2" xfId="907"/>
    <cellStyle name="Calculation 2 3 5 4 2 2" xfId="908"/>
    <cellStyle name="Calculation 2 3 5 4 3" xfId="909"/>
    <cellStyle name="Calculation 2 3 5 5" xfId="910"/>
    <cellStyle name="Calculation 2 3 5 5 2" xfId="911"/>
    <cellStyle name="Calculation 2 3 5 6" xfId="912"/>
    <cellStyle name="Calculation 2 4" xfId="913"/>
    <cellStyle name="Calculation 2 4 2" xfId="914"/>
    <cellStyle name="Calculation 2 4 2 2" xfId="915"/>
    <cellStyle name="Calculation 2 4 2 2 2" xfId="916"/>
    <cellStyle name="Calculation 2 4 2 2 2 2" xfId="917"/>
    <cellStyle name="Calculation 2 4 2 2 2 2 2" xfId="918"/>
    <cellStyle name="Calculation 2 4 2 2 2 3" xfId="919"/>
    <cellStyle name="Calculation 2 4 2 2 3" xfId="920"/>
    <cellStyle name="Calculation 2 4 2 2 3 2" xfId="921"/>
    <cellStyle name="Calculation 2 4 2 2 4" xfId="922"/>
    <cellStyle name="Calculation 2 4 2 3" xfId="923"/>
    <cellStyle name="Calculation 2 4 2 3 2" xfId="924"/>
    <cellStyle name="Calculation 2 4 2 3 2 2" xfId="925"/>
    <cellStyle name="Calculation 2 4 2 3 3" xfId="926"/>
    <cellStyle name="Calculation 2 4 2 3 4" xfId="927"/>
    <cellStyle name="Calculation 2 4 2 4" xfId="928"/>
    <cellStyle name="Calculation 2 4 2 4 2" xfId="929"/>
    <cellStyle name="Calculation 2 4 2 4 2 2" xfId="930"/>
    <cellStyle name="Calculation 2 4 2 4 3" xfId="931"/>
    <cellStyle name="Calculation 2 4 2 5" xfId="932"/>
    <cellStyle name="Calculation 2 4 2 5 2" xfId="933"/>
    <cellStyle name="Calculation 2 4 2 6" xfId="934"/>
    <cellStyle name="Calculation 2 4 3" xfId="935"/>
    <cellStyle name="Calculation 2 4 3 2" xfId="936"/>
    <cellStyle name="Calculation 2 4 3 2 2" xfId="937"/>
    <cellStyle name="Calculation 2 4 3 2 2 2" xfId="938"/>
    <cellStyle name="Calculation 2 4 3 2 2 2 2" xfId="939"/>
    <cellStyle name="Calculation 2 4 3 2 2 3" xfId="940"/>
    <cellStyle name="Calculation 2 4 3 2 3" xfId="941"/>
    <cellStyle name="Calculation 2 4 3 2 3 2" xfId="942"/>
    <cellStyle name="Calculation 2 4 3 2 4" xfId="943"/>
    <cellStyle name="Calculation 2 4 3 3" xfId="944"/>
    <cellStyle name="Calculation 2 4 3 3 2" xfId="945"/>
    <cellStyle name="Calculation 2 4 3 3 2 2" xfId="946"/>
    <cellStyle name="Calculation 2 4 3 3 3" xfId="947"/>
    <cellStyle name="Calculation 2 4 3 3 4" xfId="948"/>
    <cellStyle name="Calculation 2 4 3 4" xfId="949"/>
    <cellStyle name="Calculation 2 4 3 4 2" xfId="950"/>
    <cellStyle name="Calculation 2 4 3 4 2 2" xfId="951"/>
    <cellStyle name="Calculation 2 4 3 4 3" xfId="952"/>
    <cellStyle name="Calculation 2 4 3 5" xfId="953"/>
    <cellStyle name="Calculation 2 4 3 5 2" xfId="954"/>
    <cellStyle name="Calculation 2 4 3 6" xfId="955"/>
    <cellStyle name="Calculation 2 4 4" xfId="956"/>
    <cellStyle name="Calculation 2 4 4 2" xfId="957"/>
    <cellStyle name="Calculation 2 4 4 2 2" xfId="958"/>
    <cellStyle name="Calculation 2 4 4 2 2 2" xfId="959"/>
    <cellStyle name="Calculation 2 4 4 2 2 2 2" xfId="960"/>
    <cellStyle name="Calculation 2 4 4 2 2 3" xfId="961"/>
    <cellStyle name="Calculation 2 4 4 2 3" xfId="962"/>
    <cellStyle name="Calculation 2 4 4 2 3 2" xfId="963"/>
    <cellStyle name="Calculation 2 4 4 2 4" xfId="964"/>
    <cellStyle name="Calculation 2 4 4 3" xfId="965"/>
    <cellStyle name="Calculation 2 4 4 3 2" xfId="966"/>
    <cellStyle name="Calculation 2 4 4 3 2 2" xfId="967"/>
    <cellStyle name="Calculation 2 4 4 3 3" xfId="968"/>
    <cellStyle name="Calculation 2 4 4 3 4" xfId="969"/>
    <cellStyle name="Calculation 2 4 4 4" xfId="970"/>
    <cellStyle name="Calculation 2 4 4 4 2" xfId="971"/>
    <cellStyle name="Calculation 2 4 4 4 2 2" xfId="972"/>
    <cellStyle name="Calculation 2 4 4 4 3" xfId="973"/>
    <cellStyle name="Calculation 2 4 4 5" xfId="974"/>
    <cellStyle name="Calculation 2 4 4 5 2" xfId="975"/>
    <cellStyle name="Calculation 2 4 4 6" xfId="976"/>
    <cellStyle name="Calculation 2 4 5" xfId="977"/>
    <cellStyle name="Calculation 2 4 5 2" xfId="978"/>
    <cellStyle name="Calculation 2 5" xfId="979"/>
    <cellStyle name="Calculation 2 5 2" xfId="980"/>
    <cellStyle name="Calculation 2 5 2 2" xfId="981"/>
    <cellStyle name="Calculation 2 5 2 2 2" xfId="982"/>
    <cellStyle name="Calculation 2 5 2 2 2 2" xfId="983"/>
    <cellStyle name="Calculation 2 5 2 2 2 2 2" xfId="984"/>
    <cellStyle name="Calculation 2 5 2 2 2 3" xfId="985"/>
    <cellStyle name="Calculation 2 5 2 2 3" xfId="986"/>
    <cellStyle name="Calculation 2 5 2 2 3 2" xfId="987"/>
    <cellStyle name="Calculation 2 5 2 2 4" xfId="988"/>
    <cellStyle name="Calculation 2 5 2 3" xfId="989"/>
    <cellStyle name="Calculation 2 5 2 3 2" xfId="990"/>
    <cellStyle name="Calculation 2 5 2 3 2 2" xfId="991"/>
    <cellStyle name="Calculation 2 5 2 3 3" xfId="992"/>
    <cellStyle name="Calculation 2 5 2 3 4" xfId="993"/>
    <cellStyle name="Calculation 2 5 2 4" xfId="994"/>
    <cellStyle name="Calculation 2 5 2 4 2" xfId="995"/>
    <cellStyle name="Calculation 2 5 2 4 2 2" xfId="996"/>
    <cellStyle name="Calculation 2 5 2 4 3" xfId="997"/>
    <cellStyle name="Calculation 2 5 2 5" xfId="998"/>
    <cellStyle name="Calculation 2 5 2 5 2" xfId="999"/>
    <cellStyle name="Calculation 2 5 2 6" xfId="1000"/>
    <cellStyle name="Calculation 2 5 3" xfId="1001"/>
    <cellStyle name="Calculation 2 5 3 2" xfId="1002"/>
    <cellStyle name="Calculation 2 5 3 2 2" xfId="1003"/>
    <cellStyle name="Calculation 2 5 3 2 2 2" xfId="1004"/>
    <cellStyle name="Calculation 2 5 3 2 2 2 2" xfId="1005"/>
    <cellStyle name="Calculation 2 5 3 2 2 3" xfId="1006"/>
    <cellStyle name="Calculation 2 5 3 2 3" xfId="1007"/>
    <cellStyle name="Calculation 2 5 3 2 3 2" xfId="1008"/>
    <cellStyle name="Calculation 2 5 3 2 4" xfId="1009"/>
    <cellStyle name="Calculation 2 5 3 3" xfId="1010"/>
    <cellStyle name="Calculation 2 5 3 3 2" xfId="1011"/>
    <cellStyle name="Calculation 2 5 3 3 2 2" xfId="1012"/>
    <cellStyle name="Calculation 2 5 3 3 3" xfId="1013"/>
    <cellStyle name="Calculation 2 5 3 3 4" xfId="1014"/>
    <cellStyle name="Calculation 2 5 3 4" xfId="1015"/>
    <cellStyle name="Calculation 2 5 3 4 2" xfId="1016"/>
    <cellStyle name="Calculation 2 5 3 4 2 2" xfId="1017"/>
    <cellStyle name="Calculation 2 5 3 4 3" xfId="1018"/>
    <cellStyle name="Calculation 2 5 3 5" xfId="1019"/>
    <cellStyle name="Calculation 2 5 3 5 2" xfId="1020"/>
    <cellStyle name="Calculation 2 5 3 6" xfId="1021"/>
    <cellStyle name="Calculation 2 5 4" xfId="1022"/>
    <cellStyle name="Calculation 2 5 4 2" xfId="1023"/>
    <cellStyle name="Calculation 2 5 4 2 2" xfId="1024"/>
    <cellStyle name="Calculation 2 5 4 2 2 2" xfId="1025"/>
    <cellStyle name="Calculation 2 5 4 2 3" xfId="1026"/>
    <cellStyle name="Calculation 2 5 4 3" xfId="1027"/>
    <cellStyle name="Calculation 2 5 4 3 2" xfId="1028"/>
    <cellStyle name="Calculation 2 5 4 4" xfId="1029"/>
    <cellStyle name="Calculation 2 5 5" xfId="1030"/>
    <cellStyle name="Calculation 2 5 5 2" xfId="1031"/>
    <cellStyle name="Calculation 2 5 5 2 2" xfId="1032"/>
    <cellStyle name="Calculation 2 5 5 3" xfId="1033"/>
    <cellStyle name="Calculation 2 5 5 4" xfId="1034"/>
    <cellStyle name="Calculation 2 5 6" xfId="1035"/>
    <cellStyle name="Calculation 2 5 6 2" xfId="1036"/>
    <cellStyle name="Calculation 2 5 6 2 2" xfId="1037"/>
    <cellStyle name="Calculation 2 5 6 3" xfId="1038"/>
    <cellStyle name="Calculation 2 5 7" xfId="1039"/>
    <cellStyle name="Calculation 2 5 7 2" xfId="1040"/>
    <cellStyle name="Calculation 2 5 8" xfId="1041"/>
    <cellStyle name="Calculation 2 6" xfId="1042"/>
    <cellStyle name="Calculation 2 6 2" xfId="1043"/>
    <cellStyle name="Calculation 2 6 2 2" xfId="1044"/>
    <cellStyle name="Calculation 2 6 2 2 2" xfId="1045"/>
    <cellStyle name="Calculation 2 6 2 2 2 2" xfId="1046"/>
    <cellStyle name="Calculation 2 6 2 2 3" xfId="1047"/>
    <cellStyle name="Calculation 2 6 2 3" xfId="1048"/>
    <cellStyle name="Calculation 2 6 2 3 2" xfId="1049"/>
    <cellStyle name="Calculation 2 6 2 4" xfId="1050"/>
    <cellStyle name="Calculation 2 6 3" xfId="1051"/>
    <cellStyle name="Calculation 2 6 3 2" xfId="1052"/>
    <cellStyle name="Calculation 2 6 3 2 2" xfId="1053"/>
    <cellStyle name="Calculation 2 6 3 3" xfId="1054"/>
    <cellStyle name="Calculation 2 6 3 4" xfId="1055"/>
    <cellStyle name="Calculation 2 6 4" xfId="1056"/>
    <cellStyle name="Calculation 2 6 4 2" xfId="1057"/>
    <cellStyle name="Calculation 2 6 4 2 2" xfId="1058"/>
    <cellStyle name="Calculation 2 6 4 3" xfId="1059"/>
    <cellStyle name="Calculation 2 6 5" xfId="1060"/>
    <cellStyle name="Calculation 2 6 5 2" xfId="1061"/>
    <cellStyle name="Calculation 2 6 6" xfId="1062"/>
    <cellStyle name="Calculation 3" xfId="1063"/>
    <cellStyle name="Calculation 3 2" xfId="1064"/>
    <cellStyle name="Calculation 3 2 2" xfId="1065"/>
    <cellStyle name="Calculation 3 2 2 2" xfId="1066"/>
    <cellStyle name="Calculation 3 2 2 2 2" xfId="1067"/>
    <cellStyle name="Calculation 3 2 2 2 2 2" xfId="1068"/>
    <cellStyle name="Calculation 3 2 2 2 2 2 2" xfId="1069"/>
    <cellStyle name="Calculation 3 2 2 2 2 2 2 2" xfId="1070"/>
    <cellStyle name="Calculation 3 2 2 2 2 2 3" xfId="1071"/>
    <cellStyle name="Calculation 3 2 2 2 2 3" xfId="1072"/>
    <cellStyle name="Calculation 3 2 2 2 2 3 2" xfId="1073"/>
    <cellStyle name="Calculation 3 2 2 2 2 4" xfId="1074"/>
    <cellStyle name="Calculation 3 2 2 2 3" xfId="1075"/>
    <cellStyle name="Calculation 3 2 2 2 3 2" xfId="1076"/>
    <cellStyle name="Calculation 3 2 2 2 3 2 2" xfId="1077"/>
    <cellStyle name="Calculation 3 2 2 2 3 3" xfId="1078"/>
    <cellStyle name="Calculation 3 2 2 2 3 4" xfId="1079"/>
    <cellStyle name="Calculation 3 2 2 2 4" xfId="1080"/>
    <cellStyle name="Calculation 3 2 2 2 4 2" xfId="1081"/>
    <cellStyle name="Calculation 3 2 2 2 4 2 2" xfId="1082"/>
    <cellStyle name="Calculation 3 2 2 2 4 3" xfId="1083"/>
    <cellStyle name="Calculation 3 2 2 2 5" xfId="1084"/>
    <cellStyle name="Calculation 3 2 2 2 5 2" xfId="1085"/>
    <cellStyle name="Calculation 3 2 2 2 6" xfId="1086"/>
    <cellStyle name="Calculation 3 2 2 3" xfId="1087"/>
    <cellStyle name="Calculation 3 2 2 3 2" xfId="1088"/>
    <cellStyle name="Calculation 3 2 2 3 2 2" xfId="1089"/>
    <cellStyle name="Calculation 3 2 2 3 2 2 2" xfId="1090"/>
    <cellStyle name="Calculation 3 2 2 3 2 2 2 2" xfId="1091"/>
    <cellStyle name="Calculation 3 2 2 3 2 2 3" xfId="1092"/>
    <cellStyle name="Calculation 3 2 2 3 2 3" xfId="1093"/>
    <cellStyle name="Calculation 3 2 2 3 2 3 2" xfId="1094"/>
    <cellStyle name="Calculation 3 2 2 3 2 4" xfId="1095"/>
    <cellStyle name="Calculation 3 2 2 3 3" xfId="1096"/>
    <cellStyle name="Calculation 3 2 2 3 3 2" xfId="1097"/>
    <cellStyle name="Calculation 3 2 2 3 3 2 2" xfId="1098"/>
    <cellStyle name="Calculation 3 2 2 3 3 3" xfId="1099"/>
    <cellStyle name="Calculation 3 2 2 3 3 4" xfId="1100"/>
    <cellStyle name="Calculation 3 2 2 3 4" xfId="1101"/>
    <cellStyle name="Calculation 3 2 2 3 4 2" xfId="1102"/>
    <cellStyle name="Calculation 3 2 2 3 4 2 2" xfId="1103"/>
    <cellStyle name="Calculation 3 2 2 3 4 3" xfId="1104"/>
    <cellStyle name="Calculation 3 2 2 3 5" xfId="1105"/>
    <cellStyle name="Calculation 3 2 2 3 5 2" xfId="1106"/>
    <cellStyle name="Calculation 3 2 2 3 6" xfId="1107"/>
    <cellStyle name="Calculation 3 2 2 4" xfId="1108"/>
    <cellStyle name="Calculation 3 2 2 4 2" xfId="1109"/>
    <cellStyle name="Calculation 3 2 2 4 2 2" xfId="1110"/>
    <cellStyle name="Calculation 3 2 2 4 2 2 2" xfId="1111"/>
    <cellStyle name="Calculation 3 2 2 4 2 2 2 2" xfId="1112"/>
    <cellStyle name="Calculation 3 2 2 4 2 2 3" xfId="1113"/>
    <cellStyle name="Calculation 3 2 2 4 2 3" xfId="1114"/>
    <cellStyle name="Calculation 3 2 2 4 2 3 2" xfId="1115"/>
    <cellStyle name="Calculation 3 2 2 4 2 4" xfId="1116"/>
    <cellStyle name="Calculation 3 2 2 4 3" xfId="1117"/>
    <cellStyle name="Calculation 3 2 2 4 3 2" xfId="1118"/>
    <cellStyle name="Calculation 3 2 2 4 3 2 2" xfId="1119"/>
    <cellStyle name="Calculation 3 2 2 4 3 3" xfId="1120"/>
    <cellStyle name="Calculation 3 2 2 4 3 4" xfId="1121"/>
    <cellStyle name="Calculation 3 2 2 4 4" xfId="1122"/>
    <cellStyle name="Calculation 3 2 2 4 4 2" xfId="1123"/>
    <cellStyle name="Calculation 3 2 2 4 4 2 2" xfId="1124"/>
    <cellStyle name="Calculation 3 2 2 4 4 3" xfId="1125"/>
    <cellStyle name="Calculation 3 2 2 4 5" xfId="1126"/>
    <cellStyle name="Calculation 3 2 2 4 5 2" xfId="1127"/>
    <cellStyle name="Calculation 3 2 2 4 6" xfId="1128"/>
    <cellStyle name="Calculation 3 2 2 5" xfId="1129"/>
    <cellStyle name="Calculation 3 2 2 5 2" xfId="1130"/>
    <cellStyle name="Calculation 3 2 3" xfId="1131"/>
    <cellStyle name="Calculation 3 2 3 2" xfId="1132"/>
    <cellStyle name="Calculation 3 2 3 2 2" xfId="1133"/>
    <cellStyle name="Calculation 3 2 3 2 2 2" xfId="1134"/>
    <cellStyle name="Calculation 3 2 3 2 2 2 2" xfId="1135"/>
    <cellStyle name="Calculation 3 2 3 2 2 3" xfId="1136"/>
    <cellStyle name="Calculation 3 2 3 2 3" xfId="1137"/>
    <cellStyle name="Calculation 3 2 3 2 3 2" xfId="1138"/>
    <cellStyle name="Calculation 3 2 3 2 4" xfId="1139"/>
    <cellStyle name="Calculation 3 2 3 3" xfId="1140"/>
    <cellStyle name="Calculation 3 2 3 3 2" xfId="1141"/>
    <cellStyle name="Calculation 3 2 3 3 2 2" xfId="1142"/>
    <cellStyle name="Calculation 3 2 3 3 3" xfId="1143"/>
    <cellStyle name="Calculation 3 2 3 3 4" xfId="1144"/>
    <cellStyle name="Calculation 3 2 3 4" xfId="1145"/>
    <cellStyle name="Calculation 3 2 3 4 2" xfId="1146"/>
    <cellStyle name="Calculation 3 2 3 4 2 2" xfId="1147"/>
    <cellStyle name="Calculation 3 2 3 4 3" xfId="1148"/>
    <cellStyle name="Calculation 3 2 3 5" xfId="1149"/>
    <cellStyle name="Calculation 3 2 3 5 2" xfId="1150"/>
    <cellStyle name="Calculation 3 2 3 6" xfId="1151"/>
    <cellStyle name="Calculation 3 2 4" xfId="1152"/>
    <cellStyle name="Calculation 3 2 4 2" xfId="1153"/>
    <cellStyle name="Calculation 3 2 4 2 2" xfId="1154"/>
    <cellStyle name="Calculation 3 2 4 2 2 2" xfId="1155"/>
    <cellStyle name="Calculation 3 2 4 2 2 2 2" xfId="1156"/>
    <cellStyle name="Calculation 3 2 4 2 2 3" xfId="1157"/>
    <cellStyle name="Calculation 3 2 4 2 3" xfId="1158"/>
    <cellStyle name="Calculation 3 2 4 2 3 2" xfId="1159"/>
    <cellStyle name="Calculation 3 2 4 2 4" xfId="1160"/>
    <cellStyle name="Calculation 3 2 4 3" xfId="1161"/>
    <cellStyle name="Calculation 3 2 4 3 2" xfId="1162"/>
    <cellStyle name="Calculation 3 2 4 3 2 2" xfId="1163"/>
    <cellStyle name="Calculation 3 2 4 3 3" xfId="1164"/>
    <cellStyle name="Calculation 3 2 4 3 4" xfId="1165"/>
    <cellStyle name="Calculation 3 2 4 4" xfId="1166"/>
    <cellStyle name="Calculation 3 2 4 4 2" xfId="1167"/>
    <cellStyle name="Calculation 3 2 4 4 2 2" xfId="1168"/>
    <cellStyle name="Calculation 3 2 4 4 3" xfId="1169"/>
    <cellStyle name="Calculation 3 2 4 5" xfId="1170"/>
    <cellStyle name="Calculation 3 2 4 5 2" xfId="1171"/>
    <cellStyle name="Calculation 3 2 4 6" xfId="1172"/>
    <cellStyle name="Calculation 3 2 5" xfId="1173"/>
    <cellStyle name="Calculation 3 2 5 2" xfId="1174"/>
    <cellStyle name="Calculation 3 2 5 2 2" xfId="1175"/>
    <cellStyle name="Calculation 3 2 5 2 2 2" xfId="1176"/>
    <cellStyle name="Calculation 3 2 5 2 2 2 2" xfId="1177"/>
    <cellStyle name="Calculation 3 2 5 2 2 3" xfId="1178"/>
    <cellStyle name="Calculation 3 2 5 2 3" xfId="1179"/>
    <cellStyle name="Calculation 3 2 5 2 3 2" xfId="1180"/>
    <cellStyle name="Calculation 3 2 5 2 4" xfId="1181"/>
    <cellStyle name="Calculation 3 2 5 3" xfId="1182"/>
    <cellStyle name="Calculation 3 2 5 3 2" xfId="1183"/>
    <cellStyle name="Calculation 3 2 5 3 2 2" xfId="1184"/>
    <cellStyle name="Calculation 3 2 5 3 3" xfId="1185"/>
    <cellStyle name="Calculation 3 2 5 3 4" xfId="1186"/>
    <cellStyle name="Calculation 3 2 5 4" xfId="1187"/>
    <cellStyle name="Calculation 3 2 5 4 2" xfId="1188"/>
    <cellStyle name="Calculation 3 2 5 4 2 2" xfId="1189"/>
    <cellStyle name="Calculation 3 2 5 4 3" xfId="1190"/>
    <cellStyle name="Calculation 3 2 5 5" xfId="1191"/>
    <cellStyle name="Calculation 3 2 5 5 2" xfId="1192"/>
    <cellStyle name="Calculation 3 2 5 6" xfId="1193"/>
    <cellStyle name="Calculation 3 3" xfId="1194"/>
    <cellStyle name="Calculation 3 3 2" xfId="1195"/>
    <cellStyle name="Calculation 3 3 2 2" xfId="1196"/>
    <cellStyle name="Calculation 3 3 2 2 2" xfId="1197"/>
    <cellStyle name="Calculation 3 3 2 2 2 2" xfId="1198"/>
    <cellStyle name="Calculation 3 3 2 2 2 2 2" xfId="1199"/>
    <cellStyle name="Calculation 3 3 2 2 2 3" xfId="1200"/>
    <cellStyle name="Calculation 3 3 2 2 3" xfId="1201"/>
    <cellStyle name="Calculation 3 3 2 2 3 2" xfId="1202"/>
    <cellStyle name="Calculation 3 3 2 2 4" xfId="1203"/>
    <cellStyle name="Calculation 3 3 2 3" xfId="1204"/>
    <cellStyle name="Calculation 3 3 2 3 2" xfId="1205"/>
    <cellStyle name="Calculation 3 3 2 3 2 2" xfId="1206"/>
    <cellStyle name="Calculation 3 3 2 3 3" xfId="1207"/>
    <cellStyle name="Calculation 3 3 2 3 4" xfId="1208"/>
    <cellStyle name="Calculation 3 3 2 4" xfId="1209"/>
    <cellStyle name="Calculation 3 3 2 4 2" xfId="1210"/>
    <cellStyle name="Calculation 3 3 2 4 2 2" xfId="1211"/>
    <cellStyle name="Calculation 3 3 2 4 3" xfId="1212"/>
    <cellStyle name="Calculation 3 3 2 5" xfId="1213"/>
    <cellStyle name="Calculation 3 3 2 5 2" xfId="1214"/>
    <cellStyle name="Calculation 3 3 2 6" xfId="1215"/>
    <cellStyle name="Calculation 3 3 3" xfId="1216"/>
    <cellStyle name="Calculation 3 3 3 2" xfId="1217"/>
    <cellStyle name="Calculation 3 3 3 2 2" xfId="1218"/>
    <cellStyle name="Calculation 3 3 3 2 2 2" xfId="1219"/>
    <cellStyle name="Calculation 3 3 3 2 2 2 2" xfId="1220"/>
    <cellStyle name="Calculation 3 3 3 2 2 3" xfId="1221"/>
    <cellStyle name="Calculation 3 3 3 2 3" xfId="1222"/>
    <cellStyle name="Calculation 3 3 3 2 3 2" xfId="1223"/>
    <cellStyle name="Calculation 3 3 3 2 4" xfId="1224"/>
    <cellStyle name="Calculation 3 3 3 3" xfId="1225"/>
    <cellStyle name="Calculation 3 3 3 3 2" xfId="1226"/>
    <cellStyle name="Calculation 3 3 3 3 2 2" xfId="1227"/>
    <cellStyle name="Calculation 3 3 3 3 3" xfId="1228"/>
    <cellStyle name="Calculation 3 3 3 3 4" xfId="1229"/>
    <cellStyle name="Calculation 3 3 3 4" xfId="1230"/>
    <cellStyle name="Calculation 3 3 3 4 2" xfId="1231"/>
    <cellStyle name="Calculation 3 3 3 4 2 2" xfId="1232"/>
    <cellStyle name="Calculation 3 3 3 4 3" xfId="1233"/>
    <cellStyle name="Calculation 3 3 3 5" xfId="1234"/>
    <cellStyle name="Calculation 3 3 3 5 2" xfId="1235"/>
    <cellStyle name="Calculation 3 3 3 6" xfId="1236"/>
    <cellStyle name="Calculation 3 3 4" xfId="1237"/>
    <cellStyle name="Calculation 3 3 4 2" xfId="1238"/>
    <cellStyle name="Calculation 3 3 4 2 2" xfId="1239"/>
    <cellStyle name="Calculation 3 3 4 2 2 2" xfId="1240"/>
    <cellStyle name="Calculation 3 3 4 2 2 2 2" xfId="1241"/>
    <cellStyle name="Calculation 3 3 4 2 2 3" xfId="1242"/>
    <cellStyle name="Calculation 3 3 4 2 3" xfId="1243"/>
    <cellStyle name="Calculation 3 3 4 2 3 2" xfId="1244"/>
    <cellStyle name="Calculation 3 3 4 2 4" xfId="1245"/>
    <cellStyle name="Calculation 3 3 4 3" xfId="1246"/>
    <cellStyle name="Calculation 3 3 4 3 2" xfId="1247"/>
    <cellStyle name="Calculation 3 3 4 3 2 2" xfId="1248"/>
    <cellStyle name="Calculation 3 3 4 3 3" xfId="1249"/>
    <cellStyle name="Calculation 3 3 4 3 4" xfId="1250"/>
    <cellStyle name="Calculation 3 3 4 4" xfId="1251"/>
    <cellStyle name="Calculation 3 3 4 4 2" xfId="1252"/>
    <cellStyle name="Calculation 3 3 4 4 2 2" xfId="1253"/>
    <cellStyle name="Calculation 3 3 4 4 3" xfId="1254"/>
    <cellStyle name="Calculation 3 3 4 5" xfId="1255"/>
    <cellStyle name="Calculation 3 3 4 5 2" xfId="1256"/>
    <cellStyle name="Calculation 3 3 4 6" xfId="1257"/>
    <cellStyle name="Calculation 3 3 5" xfId="1258"/>
    <cellStyle name="Calculation 3 3 5 2" xfId="1259"/>
    <cellStyle name="Calculation 3 4" xfId="1260"/>
    <cellStyle name="Calculation 3 4 2" xfId="1261"/>
    <cellStyle name="Calculation 3 4 2 2" xfId="1262"/>
    <cellStyle name="Calculation 3 4 2 2 2" xfId="1263"/>
    <cellStyle name="Calculation 3 4 2 2 2 2" xfId="1264"/>
    <cellStyle name="Calculation 3 4 2 2 2 2 2" xfId="1265"/>
    <cellStyle name="Calculation 3 4 2 2 2 3" xfId="1266"/>
    <cellStyle name="Calculation 3 4 2 2 3" xfId="1267"/>
    <cellStyle name="Calculation 3 4 2 2 3 2" xfId="1268"/>
    <cellStyle name="Calculation 3 4 2 2 4" xfId="1269"/>
    <cellStyle name="Calculation 3 4 2 3" xfId="1270"/>
    <cellStyle name="Calculation 3 4 2 3 2" xfId="1271"/>
    <cellStyle name="Calculation 3 4 2 3 2 2" xfId="1272"/>
    <cellStyle name="Calculation 3 4 2 3 3" xfId="1273"/>
    <cellStyle name="Calculation 3 4 2 3 4" xfId="1274"/>
    <cellStyle name="Calculation 3 4 2 4" xfId="1275"/>
    <cellStyle name="Calculation 3 4 2 4 2" xfId="1276"/>
    <cellStyle name="Calculation 3 4 2 4 2 2" xfId="1277"/>
    <cellStyle name="Calculation 3 4 2 4 3" xfId="1278"/>
    <cellStyle name="Calculation 3 4 2 5" xfId="1279"/>
    <cellStyle name="Calculation 3 4 2 5 2" xfId="1280"/>
    <cellStyle name="Calculation 3 4 2 6" xfId="1281"/>
    <cellStyle name="Calculation 3 4 3" xfId="1282"/>
    <cellStyle name="Calculation 3 4 3 2" xfId="1283"/>
    <cellStyle name="Calculation 3 4 3 2 2" xfId="1284"/>
    <cellStyle name="Calculation 3 4 3 2 2 2" xfId="1285"/>
    <cellStyle name="Calculation 3 4 3 2 2 2 2" xfId="1286"/>
    <cellStyle name="Calculation 3 4 3 2 2 3" xfId="1287"/>
    <cellStyle name="Calculation 3 4 3 2 3" xfId="1288"/>
    <cellStyle name="Calculation 3 4 3 2 3 2" xfId="1289"/>
    <cellStyle name="Calculation 3 4 3 2 4" xfId="1290"/>
    <cellStyle name="Calculation 3 4 3 3" xfId="1291"/>
    <cellStyle name="Calculation 3 4 3 3 2" xfId="1292"/>
    <cellStyle name="Calculation 3 4 3 3 2 2" xfId="1293"/>
    <cellStyle name="Calculation 3 4 3 3 3" xfId="1294"/>
    <cellStyle name="Calculation 3 4 3 3 4" xfId="1295"/>
    <cellStyle name="Calculation 3 4 3 4" xfId="1296"/>
    <cellStyle name="Calculation 3 4 3 4 2" xfId="1297"/>
    <cellStyle name="Calculation 3 4 3 4 2 2" xfId="1298"/>
    <cellStyle name="Calculation 3 4 3 4 3" xfId="1299"/>
    <cellStyle name="Calculation 3 4 3 5" xfId="1300"/>
    <cellStyle name="Calculation 3 4 3 5 2" xfId="1301"/>
    <cellStyle name="Calculation 3 4 3 6" xfId="1302"/>
    <cellStyle name="Calculation 3 4 4" xfId="1303"/>
    <cellStyle name="Calculation 3 4 4 2" xfId="1304"/>
    <cellStyle name="Calculation 3 4 4 2 2" xfId="1305"/>
    <cellStyle name="Calculation 3 4 4 2 2 2" xfId="1306"/>
    <cellStyle name="Calculation 3 4 4 2 3" xfId="1307"/>
    <cellStyle name="Calculation 3 4 4 3" xfId="1308"/>
    <cellStyle name="Calculation 3 4 4 3 2" xfId="1309"/>
    <cellStyle name="Calculation 3 4 4 4" xfId="1310"/>
    <cellStyle name="Calculation 3 4 5" xfId="1311"/>
    <cellStyle name="Calculation 3 4 5 2" xfId="1312"/>
    <cellStyle name="Calculation 3 4 5 2 2" xfId="1313"/>
    <cellStyle name="Calculation 3 4 5 3" xfId="1314"/>
    <cellStyle name="Calculation 3 4 5 4" xfId="1315"/>
    <cellStyle name="Calculation 3 4 6" xfId="1316"/>
    <cellStyle name="Calculation 3 4 6 2" xfId="1317"/>
    <cellStyle name="Calculation 3 4 6 2 2" xfId="1318"/>
    <cellStyle name="Calculation 3 4 6 3" xfId="1319"/>
    <cellStyle name="Calculation 3 4 7" xfId="1320"/>
    <cellStyle name="Calculation 3 4 7 2" xfId="1321"/>
    <cellStyle name="Calculation 3 4 8" xfId="1322"/>
    <cellStyle name="Calculation 3 5" xfId="1323"/>
    <cellStyle name="Calculation 3 5 2" xfId="1324"/>
    <cellStyle name="Calculation 3 5 2 2" xfId="1325"/>
    <cellStyle name="Calculation 3 5 2 2 2" xfId="1326"/>
    <cellStyle name="Calculation 3 5 2 2 2 2" xfId="1327"/>
    <cellStyle name="Calculation 3 5 2 2 3" xfId="1328"/>
    <cellStyle name="Calculation 3 5 2 3" xfId="1329"/>
    <cellStyle name="Calculation 3 5 2 3 2" xfId="1330"/>
    <cellStyle name="Calculation 3 5 2 4" xfId="1331"/>
    <cellStyle name="Calculation 3 5 3" xfId="1332"/>
    <cellStyle name="Calculation 3 5 3 2" xfId="1333"/>
    <cellStyle name="Calculation 3 5 3 2 2" xfId="1334"/>
    <cellStyle name="Calculation 3 5 3 3" xfId="1335"/>
    <cellStyle name="Calculation 3 5 3 4" xfId="1336"/>
    <cellStyle name="Calculation 3 5 4" xfId="1337"/>
    <cellStyle name="Calculation 3 5 4 2" xfId="1338"/>
    <cellStyle name="Calculation 3 5 4 2 2" xfId="1339"/>
    <cellStyle name="Calculation 3 5 4 3" xfId="1340"/>
    <cellStyle name="Calculation 3 5 5" xfId="1341"/>
    <cellStyle name="Calculation 3 5 5 2" xfId="1342"/>
    <cellStyle name="Calculation 3 5 6" xfId="1343"/>
    <cellStyle name="Calculation 4" xfId="1344"/>
    <cellStyle name="Calculation 4 2" xfId="1345"/>
    <cellStyle name="Calculation 4 2 2" xfId="1346"/>
    <cellStyle name="Calculation 4 2 2 2" xfId="1347"/>
    <cellStyle name="Calculation 4 2 2 2 2" xfId="1348"/>
    <cellStyle name="Calculation 4 2 2 2 2 2" xfId="1349"/>
    <cellStyle name="Calculation 4 2 2 2 2 2 2" xfId="1350"/>
    <cellStyle name="Calculation 4 2 2 2 2 3" xfId="1351"/>
    <cellStyle name="Calculation 4 2 2 2 3" xfId="1352"/>
    <cellStyle name="Calculation 4 2 2 2 3 2" xfId="1353"/>
    <cellStyle name="Calculation 4 2 2 2 4" xfId="1354"/>
    <cellStyle name="Calculation 4 2 2 3" xfId="1355"/>
    <cellStyle name="Calculation 4 2 2 3 2" xfId="1356"/>
    <cellStyle name="Calculation 4 2 2 3 2 2" xfId="1357"/>
    <cellStyle name="Calculation 4 2 2 3 3" xfId="1358"/>
    <cellStyle name="Calculation 4 2 2 3 4" xfId="1359"/>
    <cellStyle name="Calculation 4 2 2 4" xfId="1360"/>
    <cellStyle name="Calculation 4 2 2 4 2" xfId="1361"/>
    <cellStyle name="Calculation 4 2 2 4 2 2" xfId="1362"/>
    <cellStyle name="Calculation 4 2 2 4 3" xfId="1363"/>
    <cellStyle name="Calculation 4 2 2 5" xfId="1364"/>
    <cellStyle name="Calculation 4 2 2 5 2" xfId="1365"/>
    <cellStyle name="Calculation 4 2 2 6" xfId="1366"/>
    <cellStyle name="Calculation 4 2 3" xfId="1367"/>
    <cellStyle name="Calculation 4 2 3 2" xfId="1368"/>
    <cellStyle name="Calculation 4 2 3 2 2" xfId="1369"/>
    <cellStyle name="Calculation 4 2 3 2 2 2" xfId="1370"/>
    <cellStyle name="Calculation 4 2 3 2 2 2 2" xfId="1371"/>
    <cellStyle name="Calculation 4 2 3 2 2 3" xfId="1372"/>
    <cellStyle name="Calculation 4 2 3 2 3" xfId="1373"/>
    <cellStyle name="Calculation 4 2 3 2 3 2" xfId="1374"/>
    <cellStyle name="Calculation 4 2 3 2 4" xfId="1375"/>
    <cellStyle name="Calculation 4 2 3 3" xfId="1376"/>
    <cellStyle name="Calculation 4 2 3 3 2" xfId="1377"/>
    <cellStyle name="Calculation 4 2 3 3 2 2" xfId="1378"/>
    <cellStyle name="Calculation 4 2 3 3 3" xfId="1379"/>
    <cellStyle name="Calculation 4 2 3 3 4" xfId="1380"/>
    <cellStyle name="Calculation 4 2 3 4" xfId="1381"/>
    <cellStyle name="Calculation 4 2 3 4 2" xfId="1382"/>
    <cellStyle name="Calculation 4 2 3 4 2 2" xfId="1383"/>
    <cellStyle name="Calculation 4 2 3 4 3" xfId="1384"/>
    <cellStyle name="Calculation 4 2 3 5" xfId="1385"/>
    <cellStyle name="Calculation 4 2 3 5 2" xfId="1386"/>
    <cellStyle name="Calculation 4 2 3 6" xfId="1387"/>
    <cellStyle name="Calculation 4 2 4" xfId="1388"/>
    <cellStyle name="Calculation 4 2 4 2" xfId="1389"/>
    <cellStyle name="Calculation 4 2 4 2 2" xfId="1390"/>
    <cellStyle name="Calculation 4 2 4 2 2 2" xfId="1391"/>
    <cellStyle name="Calculation 4 2 4 2 2 2 2" xfId="1392"/>
    <cellStyle name="Calculation 4 2 4 2 2 3" xfId="1393"/>
    <cellStyle name="Calculation 4 2 4 2 3" xfId="1394"/>
    <cellStyle name="Calculation 4 2 4 2 3 2" xfId="1395"/>
    <cellStyle name="Calculation 4 2 4 2 4" xfId="1396"/>
    <cellStyle name="Calculation 4 2 4 3" xfId="1397"/>
    <cellStyle name="Calculation 4 2 4 3 2" xfId="1398"/>
    <cellStyle name="Calculation 4 2 4 3 2 2" xfId="1399"/>
    <cellStyle name="Calculation 4 2 4 3 3" xfId="1400"/>
    <cellStyle name="Calculation 4 2 4 3 4" xfId="1401"/>
    <cellStyle name="Calculation 4 2 4 4" xfId="1402"/>
    <cellStyle name="Calculation 4 2 4 4 2" xfId="1403"/>
    <cellStyle name="Calculation 4 2 4 4 2 2" xfId="1404"/>
    <cellStyle name="Calculation 4 2 4 4 3" xfId="1405"/>
    <cellStyle name="Calculation 4 2 4 5" xfId="1406"/>
    <cellStyle name="Calculation 4 2 4 5 2" xfId="1407"/>
    <cellStyle name="Calculation 4 2 4 6" xfId="1408"/>
    <cellStyle name="Calculation 4 2 5" xfId="1409"/>
    <cellStyle name="Calculation 4 2 5 2" xfId="1410"/>
    <cellStyle name="Calculation 4 3" xfId="1411"/>
    <cellStyle name="Calculation 4 3 2" xfId="1412"/>
    <cellStyle name="Calculation 4 3 2 2" xfId="1413"/>
    <cellStyle name="Calculation 4 3 2 2 2" xfId="1414"/>
    <cellStyle name="Calculation 4 3 2 2 2 2" xfId="1415"/>
    <cellStyle name="Calculation 4 3 2 2 2 2 2" xfId="1416"/>
    <cellStyle name="Calculation 4 3 2 2 2 3" xfId="1417"/>
    <cellStyle name="Calculation 4 3 2 2 3" xfId="1418"/>
    <cellStyle name="Calculation 4 3 2 2 3 2" xfId="1419"/>
    <cellStyle name="Calculation 4 3 2 2 4" xfId="1420"/>
    <cellStyle name="Calculation 4 3 2 3" xfId="1421"/>
    <cellStyle name="Calculation 4 3 2 3 2" xfId="1422"/>
    <cellStyle name="Calculation 4 3 2 3 2 2" xfId="1423"/>
    <cellStyle name="Calculation 4 3 2 3 3" xfId="1424"/>
    <cellStyle name="Calculation 4 3 2 3 4" xfId="1425"/>
    <cellStyle name="Calculation 4 3 2 4" xfId="1426"/>
    <cellStyle name="Calculation 4 3 2 4 2" xfId="1427"/>
    <cellStyle name="Calculation 4 3 2 4 2 2" xfId="1428"/>
    <cellStyle name="Calculation 4 3 2 4 3" xfId="1429"/>
    <cellStyle name="Calculation 4 3 2 5" xfId="1430"/>
    <cellStyle name="Calculation 4 3 2 5 2" xfId="1431"/>
    <cellStyle name="Calculation 4 3 2 6" xfId="1432"/>
    <cellStyle name="Calculation 4 3 3" xfId="1433"/>
    <cellStyle name="Calculation 4 3 3 2" xfId="1434"/>
    <cellStyle name="Calculation 4 3 3 2 2" xfId="1435"/>
    <cellStyle name="Calculation 4 3 3 2 2 2" xfId="1436"/>
    <cellStyle name="Calculation 4 3 3 2 2 2 2" xfId="1437"/>
    <cellStyle name="Calculation 4 3 3 2 2 3" xfId="1438"/>
    <cellStyle name="Calculation 4 3 3 2 3" xfId="1439"/>
    <cellStyle name="Calculation 4 3 3 2 3 2" xfId="1440"/>
    <cellStyle name="Calculation 4 3 3 2 4" xfId="1441"/>
    <cellStyle name="Calculation 4 3 3 3" xfId="1442"/>
    <cellStyle name="Calculation 4 3 3 3 2" xfId="1443"/>
    <cellStyle name="Calculation 4 3 3 3 2 2" xfId="1444"/>
    <cellStyle name="Calculation 4 3 3 3 3" xfId="1445"/>
    <cellStyle name="Calculation 4 3 3 3 4" xfId="1446"/>
    <cellStyle name="Calculation 4 3 3 4" xfId="1447"/>
    <cellStyle name="Calculation 4 3 3 4 2" xfId="1448"/>
    <cellStyle name="Calculation 4 3 3 4 2 2" xfId="1449"/>
    <cellStyle name="Calculation 4 3 3 4 3" xfId="1450"/>
    <cellStyle name="Calculation 4 3 3 5" xfId="1451"/>
    <cellStyle name="Calculation 4 3 3 5 2" xfId="1452"/>
    <cellStyle name="Calculation 4 3 3 6" xfId="1453"/>
    <cellStyle name="Calculation 4 3 4" xfId="1454"/>
    <cellStyle name="Calculation 4 3 4 2" xfId="1455"/>
    <cellStyle name="Calculation 4 3 4 2 2" xfId="1456"/>
    <cellStyle name="Calculation 4 3 4 2 2 2" xfId="1457"/>
    <cellStyle name="Calculation 4 3 4 2 3" xfId="1458"/>
    <cellStyle name="Calculation 4 3 4 3" xfId="1459"/>
    <cellStyle name="Calculation 4 3 4 3 2" xfId="1460"/>
    <cellStyle name="Calculation 4 3 4 4" xfId="1461"/>
    <cellStyle name="Calculation 4 3 5" xfId="1462"/>
    <cellStyle name="Calculation 4 3 5 2" xfId="1463"/>
    <cellStyle name="Calculation 4 3 5 2 2" xfId="1464"/>
    <cellStyle name="Calculation 4 3 5 3" xfId="1465"/>
    <cellStyle name="Calculation 4 3 5 4" xfId="1466"/>
    <cellStyle name="Calculation 4 3 6" xfId="1467"/>
    <cellStyle name="Calculation 4 3 6 2" xfId="1468"/>
    <cellStyle name="Calculation 4 3 6 2 2" xfId="1469"/>
    <cellStyle name="Calculation 4 3 6 3" xfId="1470"/>
    <cellStyle name="Calculation 4 3 7" xfId="1471"/>
    <cellStyle name="Calculation 4 3 7 2" xfId="1472"/>
    <cellStyle name="Calculation 4 3 8" xfId="1473"/>
    <cellStyle name="Calculation 4 4" xfId="1474"/>
    <cellStyle name="Calculation 4 4 2" xfId="1475"/>
    <cellStyle name="Calculation 4 4 2 2" xfId="1476"/>
    <cellStyle name="Calculation 4 4 2 2 2" xfId="1477"/>
    <cellStyle name="Calculation 4 4 2 2 2 2" xfId="1478"/>
    <cellStyle name="Calculation 4 4 2 2 3" xfId="1479"/>
    <cellStyle name="Calculation 4 4 2 3" xfId="1480"/>
    <cellStyle name="Calculation 4 4 2 3 2" xfId="1481"/>
    <cellStyle name="Calculation 4 4 2 4" xfId="1482"/>
    <cellStyle name="Calculation 4 4 3" xfId="1483"/>
    <cellStyle name="Calculation 4 4 3 2" xfId="1484"/>
    <cellStyle name="Calculation 4 4 3 2 2" xfId="1485"/>
    <cellStyle name="Calculation 4 4 3 3" xfId="1486"/>
    <cellStyle name="Calculation 4 4 3 4" xfId="1487"/>
    <cellStyle name="Calculation 4 4 4" xfId="1488"/>
    <cellStyle name="Calculation 4 4 4 2" xfId="1489"/>
    <cellStyle name="Calculation 4 4 4 2 2" xfId="1490"/>
    <cellStyle name="Calculation 4 4 4 3" xfId="1491"/>
    <cellStyle name="Calculation 4 4 5" xfId="1492"/>
    <cellStyle name="Calculation 4 4 5 2" xfId="1493"/>
    <cellStyle name="Calculation 4 4 6" xfId="1494"/>
    <cellStyle name="Calculation 5" xfId="1495"/>
    <cellStyle name="Calculation 5 2" xfId="1496"/>
    <cellStyle name="Calculation 5 2 2" xfId="1497"/>
    <cellStyle name="Calculation 5 2 2 2" xfId="1498"/>
    <cellStyle name="Calculation 5 2 2 2 2" xfId="1499"/>
    <cellStyle name="Calculation 5 2 2 2 2 2" xfId="1500"/>
    <cellStyle name="Calculation 5 2 2 2 2 2 2" xfId="1501"/>
    <cellStyle name="Calculation 5 2 2 2 2 3" xfId="1502"/>
    <cellStyle name="Calculation 5 2 2 2 3" xfId="1503"/>
    <cellStyle name="Calculation 5 2 2 2 3 2" xfId="1504"/>
    <cellStyle name="Calculation 5 2 2 2 4" xfId="1505"/>
    <cellStyle name="Calculation 5 2 2 3" xfId="1506"/>
    <cellStyle name="Calculation 5 2 2 3 2" xfId="1507"/>
    <cellStyle name="Calculation 5 2 2 3 2 2" xfId="1508"/>
    <cellStyle name="Calculation 5 2 2 3 3" xfId="1509"/>
    <cellStyle name="Calculation 5 2 2 3 4" xfId="1510"/>
    <cellStyle name="Calculation 5 2 2 4" xfId="1511"/>
    <cellStyle name="Calculation 5 2 2 4 2" xfId="1512"/>
    <cellStyle name="Calculation 5 2 2 4 2 2" xfId="1513"/>
    <cellStyle name="Calculation 5 2 2 4 3" xfId="1514"/>
    <cellStyle name="Calculation 5 2 2 5" xfId="1515"/>
    <cellStyle name="Calculation 5 2 2 5 2" xfId="1516"/>
    <cellStyle name="Calculation 5 2 2 6" xfId="1517"/>
    <cellStyle name="Calculation 5 2 3" xfId="1518"/>
    <cellStyle name="Calculation 5 2 3 2" xfId="1519"/>
    <cellStyle name="Calculation 5 2 3 2 2" xfId="1520"/>
    <cellStyle name="Calculation 5 2 3 2 2 2" xfId="1521"/>
    <cellStyle name="Calculation 5 2 3 2 2 2 2" xfId="1522"/>
    <cellStyle name="Calculation 5 2 3 2 2 3" xfId="1523"/>
    <cellStyle name="Calculation 5 2 3 2 3" xfId="1524"/>
    <cellStyle name="Calculation 5 2 3 2 3 2" xfId="1525"/>
    <cellStyle name="Calculation 5 2 3 2 4" xfId="1526"/>
    <cellStyle name="Calculation 5 2 3 3" xfId="1527"/>
    <cellStyle name="Calculation 5 2 3 3 2" xfId="1528"/>
    <cellStyle name="Calculation 5 2 3 3 2 2" xfId="1529"/>
    <cellStyle name="Calculation 5 2 3 3 3" xfId="1530"/>
    <cellStyle name="Calculation 5 2 3 3 4" xfId="1531"/>
    <cellStyle name="Calculation 5 2 3 4" xfId="1532"/>
    <cellStyle name="Calculation 5 2 3 4 2" xfId="1533"/>
    <cellStyle name="Calculation 5 2 3 4 2 2" xfId="1534"/>
    <cellStyle name="Calculation 5 2 3 4 3" xfId="1535"/>
    <cellStyle name="Calculation 5 2 3 5" xfId="1536"/>
    <cellStyle name="Calculation 5 2 3 5 2" xfId="1537"/>
    <cellStyle name="Calculation 5 2 3 6" xfId="1538"/>
    <cellStyle name="Calculation 5 2 4" xfId="1539"/>
    <cellStyle name="Calculation 5 2 4 2" xfId="1540"/>
    <cellStyle name="Calculation 5 2 4 2 2" xfId="1541"/>
    <cellStyle name="Calculation 5 2 4 2 2 2" xfId="1542"/>
    <cellStyle name="Calculation 5 2 4 2 2 2 2" xfId="1543"/>
    <cellStyle name="Calculation 5 2 4 2 2 3" xfId="1544"/>
    <cellStyle name="Calculation 5 2 4 2 3" xfId="1545"/>
    <cellStyle name="Calculation 5 2 4 2 3 2" xfId="1546"/>
    <cellStyle name="Calculation 5 2 4 2 4" xfId="1547"/>
    <cellStyle name="Calculation 5 2 4 3" xfId="1548"/>
    <cellStyle name="Calculation 5 2 4 3 2" xfId="1549"/>
    <cellStyle name="Calculation 5 2 4 3 2 2" xfId="1550"/>
    <cellStyle name="Calculation 5 2 4 3 3" xfId="1551"/>
    <cellStyle name="Calculation 5 2 4 3 4" xfId="1552"/>
    <cellStyle name="Calculation 5 2 4 4" xfId="1553"/>
    <cellStyle name="Calculation 5 2 4 4 2" xfId="1554"/>
    <cellStyle name="Calculation 5 2 4 4 2 2" xfId="1555"/>
    <cellStyle name="Calculation 5 2 4 4 3" xfId="1556"/>
    <cellStyle name="Calculation 5 2 4 5" xfId="1557"/>
    <cellStyle name="Calculation 5 2 4 5 2" xfId="1558"/>
    <cellStyle name="Calculation 5 2 4 6" xfId="1559"/>
    <cellStyle name="Calculation 5 2 5" xfId="1560"/>
    <cellStyle name="Calculation 5 2 5 2" xfId="1561"/>
    <cellStyle name="Calculation 5 3" xfId="1562"/>
    <cellStyle name="Calculation 5 3 2" xfId="1563"/>
    <cellStyle name="Calculation 5 3 2 2" xfId="1564"/>
    <cellStyle name="Calculation 5 3 2 2 2" xfId="1565"/>
    <cellStyle name="Calculation 5 3 2 2 2 2" xfId="1566"/>
    <cellStyle name="Calculation 5 3 2 2 2 2 2" xfId="1567"/>
    <cellStyle name="Calculation 5 3 2 2 2 3" xfId="1568"/>
    <cellStyle name="Calculation 5 3 2 2 3" xfId="1569"/>
    <cellStyle name="Calculation 5 3 2 2 3 2" xfId="1570"/>
    <cellStyle name="Calculation 5 3 2 2 4" xfId="1571"/>
    <cellStyle name="Calculation 5 3 2 3" xfId="1572"/>
    <cellStyle name="Calculation 5 3 2 3 2" xfId="1573"/>
    <cellStyle name="Calculation 5 3 2 3 2 2" xfId="1574"/>
    <cellStyle name="Calculation 5 3 2 3 3" xfId="1575"/>
    <cellStyle name="Calculation 5 3 2 3 4" xfId="1576"/>
    <cellStyle name="Calculation 5 3 2 4" xfId="1577"/>
    <cellStyle name="Calculation 5 3 2 4 2" xfId="1578"/>
    <cellStyle name="Calculation 5 3 2 4 2 2" xfId="1579"/>
    <cellStyle name="Calculation 5 3 2 4 3" xfId="1580"/>
    <cellStyle name="Calculation 5 3 2 5" xfId="1581"/>
    <cellStyle name="Calculation 5 3 2 5 2" xfId="1582"/>
    <cellStyle name="Calculation 5 3 2 6" xfId="1583"/>
    <cellStyle name="Calculation 5 3 3" xfId="1584"/>
    <cellStyle name="Calculation 5 3 3 2" xfId="1585"/>
    <cellStyle name="Calculation 5 3 3 2 2" xfId="1586"/>
    <cellStyle name="Calculation 5 3 3 2 2 2" xfId="1587"/>
    <cellStyle name="Calculation 5 3 3 2 2 2 2" xfId="1588"/>
    <cellStyle name="Calculation 5 3 3 2 2 3" xfId="1589"/>
    <cellStyle name="Calculation 5 3 3 2 3" xfId="1590"/>
    <cellStyle name="Calculation 5 3 3 2 3 2" xfId="1591"/>
    <cellStyle name="Calculation 5 3 3 2 4" xfId="1592"/>
    <cellStyle name="Calculation 5 3 3 3" xfId="1593"/>
    <cellStyle name="Calculation 5 3 3 3 2" xfId="1594"/>
    <cellStyle name="Calculation 5 3 3 3 2 2" xfId="1595"/>
    <cellStyle name="Calculation 5 3 3 3 3" xfId="1596"/>
    <cellStyle name="Calculation 5 3 3 3 4" xfId="1597"/>
    <cellStyle name="Calculation 5 3 3 4" xfId="1598"/>
    <cellStyle name="Calculation 5 3 3 4 2" xfId="1599"/>
    <cellStyle name="Calculation 5 3 3 4 2 2" xfId="1600"/>
    <cellStyle name="Calculation 5 3 3 4 3" xfId="1601"/>
    <cellStyle name="Calculation 5 3 3 5" xfId="1602"/>
    <cellStyle name="Calculation 5 3 3 5 2" xfId="1603"/>
    <cellStyle name="Calculation 5 3 3 6" xfId="1604"/>
    <cellStyle name="Calculation 5 3 4" xfId="1605"/>
    <cellStyle name="Calculation 5 3 4 2" xfId="1606"/>
    <cellStyle name="Calculation 5 3 4 2 2" xfId="1607"/>
    <cellStyle name="Calculation 5 3 4 2 2 2" xfId="1608"/>
    <cellStyle name="Calculation 5 3 4 2 3" xfId="1609"/>
    <cellStyle name="Calculation 5 3 4 3" xfId="1610"/>
    <cellStyle name="Calculation 5 3 4 3 2" xfId="1611"/>
    <cellStyle name="Calculation 5 3 4 4" xfId="1612"/>
    <cellStyle name="Calculation 5 3 5" xfId="1613"/>
    <cellStyle name="Calculation 5 3 5 2" xfId="1614"/>
    <cellStyle name="Calculation 5 3 5 2 2" xfId="1615"/>
    <cellStyle name="Calculation 5 3 5 3" xfId="1616"/>
    <cellStyle name="Calculation 5 3 5 4" xfId="1617"/>
    <cellStyle name="Calculation 5 3 6" xfId="1618"/>
    <cellStyle name="Calculation 5 3 6 2" xfId="1619"/>
    <cellStyle name="Calculation 5 3 6 2 2" xfId="1620"/>
    <cellStyle name="Calculation 5 3 6 3" xfId="1621"/>
    <cellStyle name="Calculation 5 3 7" xfId="1622"/>
    <cellStyle name="Calculation 5 3 7 2" xfId="1623"/>
    <cellStyle name="Calculation 5 3 8" xfId="1624"/>
    <cellStyle name="Calculation 5 4" xfId="1625"/>
    <cellStyle name="Calculation 5 4 2" xfId="1626"/>
    <cellStyle name="Calculation 5 4 2 2" xfId="1627"/>
    <cellStyle name="Calculation 5 4 2 2 2" xfId="1628"/>
    <cellStyle name="Calculation 5 4 2 2 2 2" xfId="1629"/>
    <cellStyle name="Calculation 5 4 2 2 3" xfId="1630"/>
    <cellStyle name="Calculation 5 4 2 3" xfId="1631"/>
    <cellStyle name="Calculation 5 4 2 3 2" xfId="1632"/>
    <cellStyle name="Calculation 5 4 2 4" xfId="1633"/>
    <cellStyle name="Calculation 5 4 3" xfId="1634"/>
    <cellStyle name="Calculation 5 4 3 2" xfId="1635"/>
    <cellStyle name="Calculation 5 4 3 2 2" xfId="1636"/>
    <cellStyle name="Calculation 5 4 3 3" xfId="1637"/>
    <cellStyle name="Calculation 5 4 3 4" xfId="1638"/>
    <cellStyle name="Calculation 5 4 4" xfId="1639"/>
    <cellStyle name="Calculation 5 4 4 2" xfId="1640"/>
    <cellStyle name="Calculation 5 4 4 2 2" xfId="1641"/>
    <cellStyle name="Calculation 5 4 4 3" xfId="1642"/>
    <cellStyle name="Calculation 5 4 5" xfId="1643"/>
    <cellStyle name="Calculation 5 4 5 2" xfId="1644"/>
    <cellStyle name="Calculation 5 4 6" xfId="1645"/>
    <cellStyle name="Calculation 6" xfId="1646"/>
    <cellStyle name="Calculation 6 2" xfId="1647"/>
    <cellStyle name="Calculation 6 2 2" xfId="1648"/>
    <cellStyle name="Calculation 6 2 2 2" xfId="1649"/>
    <cellStyle name="Calculation 6 2 2 2 2" xfId="1650"/>
    <cellStyle name="Calculation 6 2 2 2 2 2" xfId="1651"/>
    <cellStyle name="Calculation 6 2 2 2 2 2 2" xfId="1652"/>
    <cellStyle name="Calculation 6 2 2 2 2 3" xfId="1653"/>
    <cellStyle name="Calculation 6 2 2 2 3" xfId="1654"/>
    <cellStyle name="Calculation 6 2 2 2 3 2" xfId="1655"/>
    <cellStyle name="Calculation 6 2 2 2 4" xfId="1656"/>
    <cellStyle name="Calculation 6 2 2 3" xfId="1657"/>
    <cellStyle name="Calculation 6 2 2 3 2" xfId="1658"/>
    <cellStyle name="Calculation 6 2 2 3 2 2" xfId="1659"/>
    <cellStyle name="Calculation 6 2 2 3 3" xfId="1660"/>
    <cellStyle name="Calculation 6 2 2 3 4" xfId="1661"/>
    <cellStyle name="Calculation 6 2 2 4" xfId="1662"/>
    <cellStyle name="Calculation 6 2 2 4 2" xfId="1663"/>
    <cellStyle name="Calculation 6 2 2 4 2 2" xfId="1664"/>
    <cellStyle name="Calculation 6 2 2 4 3" xfId="1665"/>
    <cellStyle name="Calculation 6 2 2 5" xfId="1666"/>
    <cellStyle name="Calculation 6 2 2 5 2" xfId="1667"/>
    <cellStyle name="Calculation 6 2 2 6" xfId="1668"/>
    <cellStyle name="Calculation 6 2 3" xfId="1669"/>
    <cellStyle name="Calculation 6 2 3 2" xfId="1670"/>
    <cellStyle name="Calculation 6 2 3 2 2" xfId="1671"/>
    <cellStyle name="Calculation 6 2 3 2 2 2" xfId="1672"/>
    <cellStyle name="Calculation 6 2 3 2 2 2 2" xfId="1673"/>
    <cellStyle name="Calculation 6 2 3 2 2 3" xfId="1674"/>
    <cellStyle name="Calculation 6 2 3 2 3" xfId="1675"/>
    <cellStyle name="Calculation 6 2 3 2 3 2" xfId="1676"/>
    <cellStyle name="Calculation 6 2 3 2 4" xfId="1677"/>
    <cellStyle name="Calculation 6 2 3 3" xfId="1678"/>
    <cellStyle name="Calculation 6 2 3 3 2" xfId="1679"/>
    <cellStyle name="Calculation 6 2 3 3 2 2" xfId="1680"/>
    <cellStyle name="Calculation 6 2 3 3 3" xfId="1681"/>
    <cellStyle name="Calculation 6 2 3 3 4" xfId="1682"/>
    <cellStyle name="Calculation 6 2 3 4" xfId="1683"/>
    <cellStyle name="Calculation 6 2 3 4 2" xfId="1684"/>
    <cellStyle name="Calculation 6 2 3 4 2 2" xfId="1685"/>
    <cellStyle name="Calculation 6 2 3 4 3" xfId="1686"/>
    <cellStyle name="Calculation 6 2 3 5" xfId="1687"/>
    <cellStyle name="Calculation 6 2 3 5 2" xfId="1688"/>
    <cellStyle name="Calculation 6 2 3 6" xfId="1689"/>
    <cellStyle name="Calculation 6 2 4" xfId="1690"/>
    <cellStyle name="Calculation 6 2 4 2" xfId="1691"/>
    <cellStyle name="Calculation 6 2 4 2 2" xfId="1692"/>
    <cellStyle name="Calculation 6 2 4 2 2 2" xfId="1693"/>
    <cellStyle name="Calculation 6 2 4 2 3" xfId="1694"/>
    <cellStyle name="Calculation 6 2 4 3" xfId="1695"/>
    <cellStyle name="Calculation 6 2 4 3 2" xfId="1696"/>
    <cellStyle name="Calculation 6 2 4 4" xfId="1697"/>
    <cellStyle name="Calculation 6 2 5" xfId="1698"/>
    <cellStyle name="Calculation 6 2 5 2" xfId="1699"/>
    <cellStyle name="Calculation 6 2 5 2 2" xfId="1700"/>
    <cellStyle name="Calculation 6 2 5 3" xfId="1701"/>
    <cellStyle name="Calculation 6 2 5 4" xfId="1702"/>
    <cellStyle name="Calculation 6 2 6" xfId="1703"/>
    <cellStyle name="Calculation 6 2 6 2" xfId="1704"/>
    <cellStyle name="Calculation 6 2 6 2 2" xfId="1705"/>
    <cellStyle name="Calculation 6 2 6 3" xfId="1706"/>
    <cellStyle name="Calculation 6 2 7" xfId="1707"/>
    <cellStyle name="Calculation 6 2 7 2" xfId="1708"/>
    <cellStyle name="Calculation 6 2 8" xfId="1709"/>
    <cellStyle name="Calculation 6 3" xfId="1710"/>
    <cellStyle name="Calculation 6 3 2" xfId="1711"/>
    <cellStyle name="Calculation 6 3 2 2" xfId="1712"/>
    <cellStyle name="Calculation 6 3 2 2 2" xfId="1713"/>
    <cellStyle name="Calculation 6 3 2 2 2 2" xfId="1714"/>
    <cellStyle name="Calculation 6 3 2 2 3" xfId="1715"/>
    <cellStyle name="Calculation 6 3 2 3" xfId="1716"/>
    <cellStyle name="Calculation 6 3 2 3 2" xfId="1717"/>
    <cellStyle name="Calculation 6 3 2 4" xfId="1718"/>
    <cellStyle name="Calculation 6 3 3" xfId="1719"/>
    <cellStyle name="Calculation 6 3 3 2" xfId="1720"/>
    <cellStyle name="Calculation 6 3 3 2 2" xfId="1721"/>
    <cellStyle name="Calculation 6 3 3 3" xfId="1722"/>
    <cellStyle name="Calculation 6 3 3 4" xfId="1723"/>
    <cellStyle name="Calculation 6 3 4" xfId="1724"/>
    <cellStyle name="Calculation 6 3 4 2" xfId="1725"/>
    <cellStyle name="Calculation 6 3 4 2 2" xfId="1726"/>
    <cellStyle name="Calculation 6 3 4 3" xfId="1727"/>
    <cellStyle name="Calculation 6 3 5" xfId="1728"/>
    <cellStyle name="Calculation 6 3 5 2" xfId="1729"/>
    <cellStyle name="Calculation 6 3 6" xfId="1730"/>
    <cellStyle name="Calculation 6 4" xfId="1731"/>
    <cellStyle name="Calculation 6 4 2" xfId="1732"/>
    <cellStyle name="Calculation 7" xfId="1733"/>
    <cellStyle name="Calculation 7 2" xfId="1734"/>
    <cellStyle name="Calculation 7 2 2" xfId="1735"/>
    <cellStyle name="Calculation 7 2 2 2" xfId="1736"/>
    <cellStyle name="Calculation 7 2 2 2 2" xfId="1737"/>
    <cellStyle name="Calculation 7 2 2 2 2 2" xfId="1738"/>
    <cellStyle name="Calculation 7 2 2 2 3" xfId="1739"/>
    <cellStyle name="Calculation 7 2 2 3" xfId="1740"/>
    <cellStyle name="Calculation 7 2 2 3 2" xfId="1741"/>
    <cellStyle name="Calculation 7 2 2 4" xfId="1742"/>
    <cellStyle name="Calculation 7 2 3" xfId="1743"/>
    <cellStyle name="Calculation 7 2 3 2" xfId="1744"/>
    <cellStyle name="Calculation 7 2 3 2 2" xfId="1745"/>
    <cellStyle name="Calculation 7 2 3 3" xfId="1746"/>
    <cellStyle name="Calculation 7 2 3 4" xfId="1747"/>
    <cellStyle name="Calculation 7 2 4" xfId="1748"/>
    <cellStyle name="Calculation 7 2 4 2" xfId="1749"/>
    <cellStyle name="Calculation 7 2 4 2 2" xfId="1750"/>
    <cellStyle name="Calculation 7 2 4 3" xfId="1751"/>
    <cellStyle name="Calculation 7 2 5" xfId="1752"/>
    <cellStyle name="Calculation 7 2 5 2" xfId="1753"/>
    <cellStyle name="Calculation 7 2 6" xfId="1754"/>
    <cellStyle name="Calculation 7 3" xfId="1755"/>
    <cellStyle name="Calculation 7 3 2" xfId="1756"/>
    <cellStyle name="Calculation 7 3 2 2" xfId="1757"/>
    <cellStyle name="Calculation 7 3 2 2 2" xfId="1758"/>
    <cellStyle name="Calculation 7 3 2 2 2 2" xfId="1759"/>
    <cellStyle name="Calculation 7 3 2 2 3" xfId="1760"/>
    <cellStyle name="Calculation 7 3 2 3" xfId="1761"/>
    <cellStyle name="Calculation 7 3 2 3 2" xfId="1762"/>
    <cellStyle name="Calculation 7 3 2 4" xfId="1763"/>
    <cellStyle name="Calculation 7 3 3" xfId="1764"/>
    <cellStyle name="Calculation 7 3 3 2" xfId="1765"/>
    <cellStyle name="Calculation 7 3 3 2 2" xfId="1766"/>
    <cellStyle name="Calculation 7 3 3 3" xfId="1767"/>
    <cellStyle name="Calculation 7 3 3 4" xfId="1768"/>
    <cellStyle name="Calculation 7 3 4" xfId="1769"/>
    <cellStyle name="Calculation 7 3 4 2" xfId="1770"/>
    <cellStyle name="Calculation 7 3 4 2 2" xfId="1771"/>
    <cellStyle name="Calculation 7 3 4 3" xfId="1772"/>
    <cellStyle name="Calculation 7 3 5" xfId="1773"/>
    <cellStyle name="Calculation 7 3 5 2" xfId="1774"/>
    <cellStyle name="Calculation 7 3 6" xfId="1775"/>
    <cellStyle name="Calculation 7 4" xfId="1776"/>
    <cellStyle name="Calculation 7 4 2" xfId="1777"/>
    <cellStyle name="Calculation 7 4 2 2" xfId="1778"/>
    <cellStyle name="Calculation 7 4 2 2 2" xfId="1779"/>
    <cellStyle name="Calculation 7 4 2 3" xfId="1780"/>
    <cellStyle name="Calculation 7 4 3" xfId="1781"/>
    <cellStyle name="Calculation 7 4 3 2" xfId="1782"/>
    <cellStyle name="Calculation 7 4 4" xfId="1783"/>
    <cellStyle name="Calculation 7 5" xfId="1784"/>
    <cellStyle name="Calculation 7 5 2" xfId="1785"/>
    <cellStyle name="Calculation 7 5 2 2" xfId="1786"/>
    <cellStyle name="Calculation 7 5 3" xfId="1787"/>
    <cellStyle name="Calculation 7 5 4" xfId="1788"/>
    <cellStyle name="Calculation 7 6" xfId="1789"/>
    <cellStyle name="Calculation 7 6 2" xfId="1790"/>
    <cellStyle name="Calculation 7 6 2 2" xfId="1791"/>
    <cellStyle name="Calculation 7 6 3" xfId="1792"/>
    <cellStyle name="Calculation 7 7" xfId="1793"/>
    <cellStyle name="Calculation 7 7 2" xfId="1794"/>
    <cellStyle name="Calculation 7 8" xfId="1795"/>
    <cellStyle name="Check Cell 2" xfId="1796"/>
    <cellStyle name="Check Cell 2 2" xfId="1797"/>
    <cellStyle name="Check Cell 3" xfId="1798"/>
    <cellStyle name="Check Cell 4" xfId="1799"/>
    <cellStyle name="code" xfId="1800"/>
    <cellStyle name="Comma [0] 2" xfId="1801"/>
    <cellStyle name="Comma [0] 2 2" xfId="1802"/>
    <cellStyle name="Comma [0] 2 2 2" xfId="1803"/>
    <cellStyle name="Comma [0] 2 2 2 2" xfId="1804"/>
    <cellStyle name="Comma [0] 2 2 2 2 2" xfId="1805"/>
    <cellStyle name="Comma [0] 2 2 2 2 2 2" xfId="8405"/>
    <cellStyle name="Comma [0] 2 2 2 2 3" xfId="8404"/>
    <cellStyle name="Comma [0] 2 2 2 3" xfId="1806"/>
    <cellStyle name="Comma [0] 2 2 2 3 2" xfId="8406"/>
    <cellStyle name="Comma [0] 2 2 2 4" xfId="1807"/>
    <cellStyle name="Comma [0] 2 2 2 4 2" xfId="8407"/>
    <cellStyle name="Comma [0] 2 2 2 5" xfId="8403"/>
    <cellStyle name="Comma [0] 2 2 3" xfId="1808"/>
    <cellStyle name="Comma [0] 2 2 3 2" xfId="1809"/>
    <cellStyle name="Comma [0] 2 2 3 2 2" xfId="8409"/>
    <cellStyle name="Comma [0] 2 2 3 3" xfId="8408"/>
    <cellStyle name="Comma [0] 2 2 4" xfId="1810"/>
    <cellStyle name="Comma [0] 2 2 4 2" xfId="8410"/>
    <cellStyle name="Comma [0] 2 2 5" xfId="1811"/>
    <cellStyle name="Comma [0] 2 2 5 2" xfId="8411"/>
    <cellStyle name="Comma [0] 2 2 6" xfId="8402"/>
    <cellStyle name="Comma [0] 3" xfId="1812"/>
    <cellStyle name="Comma [0] 3 2" xfId="1813"/>
    <cellStyle name="Comma [0] 3 2 2" xfId="1814"/>
    <cellStyle name="Comma [0] 3 2 2 2" xfId="1815"/>
    <cellStyle name="Comma [0] 3 2 2 2 2" xfId="1816"/>
    <cellStyle name="Comma [0] 3 2 2 2 2 2" xfId="8415"/>
    <cellStyle name="Comma [0] 3 2 2 2 3" xfId="8414"/>
    <cellStyle name="Comma [0] 3 2 2 3" xfId="1817"/>
    <cellStyle name="Comma [0] 3 2 2 3 2" xfId="8416"/>
    <cellStyle name="Comma [0] 3 2 2 4" xfId="1818"/>
    <cellStyle name="Comma [0] 3 2 2 4 2" xfId="8417"/>
    <cellStyle name="Comma [0] 3 2 2 5" xfId="8413"/>
    <cellStyle name="Comma [0] 3 2 3" xfId="1819"/>
    <cellStyle name="Comma [0] 3 2 3 2" xfId="1820"/>
    <cellStyle name="Comma [0] 3 2 3 2 2" xfId="8419"/>
    <cellStyle name="Comma [0] 3 2 3 3" xfId="8418"/>
    <cellStyle name="Comma [0] 3 2 4" xfId="1821"/>
    <cellStyle name="Comma [0] 3 2 4 2" xfId="8420"/>
    <cellStyle name="Comma [0] 3 2 5" xfId="1822"/>
    <cellStyle name="Comma [0] 3 2 5 2" xfId="8421"/>
    <cellStyle name="Comma [0] 3 2 6" xfId="8412"/>
    <cellStyle name="Comma [0] 4" xfId="1823"/>
    <cellStyle name="Comma [0] 4 2" xfId="1824"/>
    <cellStyle name="Comma [0] 4 2 2" xfId="1825"/>
    <cellStyle name="Comma [0] 4 2 2 2" xfId="1826"/>
    <cellStyle name="Comma [0] 4 2 2 2 2" xfId="8425"/>
    <cellStyle name="Comma [0] 4 2 2 3" xfId="8424"/>
    <cellStyle name="Comma [0] 4 2 3" xfId="1827"/>
    <cellStyle name="Comma [0] 4 2 3 2" xfId="8426"/>
    <cellStyle name="Comma [0] 4 2 4" xfId="1828"/>
    <cellStyle name="Comma [0] 4 2 4 2" xfId="8427"/>
    <cellStyle name="Comma [0] 4 2 5" xfId="8423"/>
    <cellStyle name="Comma [0] 4 3" xfId="1829"/>
    <cellStyle name="Comma [0] 4 3 2" xfId="1830"/>
    <cellStyle name="Comma [0] 4 3 2 2" xfId="8429"/>
    <cellStyle name="Comma [0] 4 3 3" xfId="8428"/>
    <cellStyle name="Comma [0] 4 4" xfId="1831"/>
    <cellStyle name="Comma [0] 4 4 2" xfId="8430"/>
    <cellStyle name="Comma [0] 4 5" xfId="1832"/>
    <cellStyle name="Comma [0] 4 5 2" xfId="8431"/>
    <cellStyle name="Comma [0] 4 6" xfId="8422"/>
    <cellStyle name="Comma [0] 5" xfId="1833"/>
    <cellStyle name="Comma [0] 5 2" xfId="1834"/>
    <cellStyle name="Comma [0] 5 2 2" xfId="1835"/>
    <cellStyle name="Comma [0] 5 2 2 2" xfId="8434"/>
    <cellStyle name="Comma [0] 5 2 3" xfId="8433"/>
    <cellStyle name="Comma [0] 5 3" xfId="1836"/>
    <cellStyle name="Comma [0] 5 3 2" xfId="8435"/>
    <cellStyle name="Comma [0] 5 4" xfId="1837"/>
    <cellStyle name="Comma [0] 5 4 2" xfId="8436"/>
    <cellStyle name="Comma [0] 5 5" xfId="8432"/>
    <cellStyle name="Comma 10" xfId="1838"/>
    <cellStyle name="Comma 10 10" xfId="8437"/>
    <cellStyle name="Comma 10 2" xfId="1839"/>
    <cellStyle name="Comma 10 2 2" xfId="1840"/>
    <cellStyle name="Comma 10 2 2 2" xfId="1841"/>
    <cellStyle name="Comma 10 2 2 2 2" xfId="1842"/>
    <cellStyle name="Comma 10 2 2 2 2 2" xfId="1843"/>
    <cellStyle name="Comma 10 2 2 2 2 2 2" xfId="1844"/>
    <cellStyle name="Comma 10 2 2 2 2 2 2 2" xfId="8443"/>
    <cellStyle name="Comma 10 2 2 2 2 2 3" xfId="8442"/>
    <cellStyle name="Comma 10 2 2 2 2 3" xfId="1845"/>
    <cellStyle name="Comma 10 2 2 2 2 3 2" xfId="8444"/>
    <cellStyle name="Comma 10 2 2 2 2 4" xfId="1846"/>
    <cellStyle name="Comma 10 2 2 2 2 4 2" xfId="8445"/>
    <cellStyle name="Comma 10 2 2 2 2 5" xfId="8441"/>
    <cellStyle name="Comma 10 2 2 2 3" xfId="1847"/>
    <cellStyle name="Comma 10 2 2 2 3 2" xfId="1848"/>
    <cellStyle name="Comma 10 2 2 2 3 2 2" xfId="8447"/>
    <cellStyle name="Comma 10 2 2 2 3 3" xfId="8446"/>
    <cellStyle name="Comma 10 2 2 2 4" xfId="1849"/>
    <cellStyle name="Comma 10 2 2 2 4 2" xfId="8448"/>
    <cellStyle name="Comma 10 2 2 2 5" xfId="1850"/>
    <cellStyle name="Comma 10 2 2 2 5 2" xfId="8449"/>
    <cellStyle name="Comma 10 2 2 2 6" xfId="8440"/>
    <cellStyle name="Comma 10 2 2 3" xfId="1851"/>
    <cellStyle name="Comma 10 2 2 3 2" xfId="1852"/>
    <cellStyle name="Comma 10 2 2 3 2 2" xfId="1853"/>
    <cellStyle name="Comma 10 2 2 3 2 2 2" xfId="8452"/>
    <cellStyle name="Comma 10 2 2 3 2 3" xfId="8451"/>
    <cellStyle name="Comma 10 2 2 3 3" xfId="1854"/>
    <cellStyle name="Comma 10 2 2 3 3 2" xfId="8453"/>
    <cellStyle name="Comma 10 2 2 3 4" xfId="1855"/>
    <cellStyle name="Comma 10 2 2 3 4 2" xfId="8454"/>
    <cellStyle name="Comma 10 2 2 3 5" xfId="8450"/>
    <cellStyle name="Comma 10 2 2 4" xfId="1856"/>
    <cellStyle name="Comma 10 2 2 4 2" xfId="1857"/>
    <cellStyle name="Comma 10 2 2 4 2 2" xfId="8456"/>
    <cellStyle name="Comma 10 2 2 4 3" xfId="8455"/>
    <cellStyle name="Comma 10 2 2 5" xfId="1858"/>
    <cellStyle name="Comma 10 2 2 5 2" xfId="8457"/>
    <cellStyle name="Comma 10 2 2 6" xfId="1859"/>
    <cellStyle name="Comma 10 2 2 6 2" xfId="8458"/>
    <cellStyle name="Comma 10 2 2 7" xfId="8439"/>
    <cellStyle name="Comma 10 2 3" xfId="1860"/>
    <cellStyle name="Comma 10 2 3 2" xfId="1861"/>
    <cellStyle name="Comma 10 2 3 2 2" xfId="1862"/>
    <cellStyle name="Comma 10 2 3 2 2 2" xfId="1863"/>
    <cellStyle name="Comma 10 2 3 2 2 2 2" xfId="8462"/>
    <cellStyle name="Comma 10 2 3 2 2 3" xfId="8461"/>
    <cellStyle name="Comma 10 2 3 2 3" xfId="1864"/>
    <cellStyle name="Comma 10 2 3 2 3 2" xfId="8463"/>
    <cellStyle name="Comma 10 2 3 2 4" xfId="1865"/>
    <cellStyle name="Comma 10 2 3 2 4 2" xfId="8464"/>
    <cellStyle name="Comma 10 2 3 2 5" xfId="8460"/>
    <cellStyle name="Comma 10 2 3 3" xfId="1866"/>
    <cellStyle name="Comma 10 2 3 3 2" xfId="1867"/>
    <cellStyle name="Comma 10 2 3 3 2 2" xfId="8466"/>
    <cellStyle name="Comma 10 2 3 3 3" xfId="8465"/>
    <cellStyle name="Comma 10 2 3 4" xfId="1868"/>
    <cellStyle name="Comma 10 2 3 4 2" xfId="8467"/>
    <cellStyle name="Comma 10 2 3 5" xfId="1869"/>
    <cellStyle name="Comma 10 2 3 5 2" xfId="8468"/>
    <cellStyle name="Comma 10 2 3 6" xfId="8459"/>
    <cellStyle name="Comma 10 2 4" xfId="1870"/>
    <cellStyle name="Comma 10 2 4 2" xfId="1871"/>
    <cellStyle name="Comma 10 2 4 2 2" xfId="1872"/>
    <cellStyle name="Comma 10 2 4 2 2 2" xfId="8471"/>
    <cellStyle name="Comma 10 2 4 2 3" xfId="8470"/>
    <cellStyle name="Comma 10 2 4 3" xfId="1873"/>
    <cellStyle name="Comma 10 2 4 3 2" xfId="8472"/>
    <cellStyle name="Comma 10 2 4 4" xfId="1874"/>
    <cellStyle name="Comma 10 2 4 4 2" xfId="8473"/>
    <cellStyle name="Comma 10 2 4 5" xfId="8469"/>
    <cellStyle name="Comma 10 2 5" xfId="1875"/>
    <cellStyle name="Comma 10 2 5 2" xfId="1876"/>
    <cellStyle name="Comma 10 2 5 2 2" xfId="8475"/>
    <cellStyle name="Comma 10 2 5 3" xfId="8474"/>
    <cellStyle name="Comma 10 2 6" xfId="1877"/>
    <cellStyle name="Comma 10 2 6 2" xfId="8476"/>
    <cellStyle name="Comma 10 2 7" xfId="1878"/>
    <cellStyle name="Comma 10 2 7 2" xfId="8477"/>
    <cellStyle name="Comma 10 2 8" xfId="8438"/>
    <cellStyle name="Comma 10 3" xfId="1879"/>
    <cellStyle name="Comma 10 3 2" xfId="1880"/>
    <cellStyle name="Comma 10 3 2 2" xfId="1881"/>
    <cellStyle name="Comma 10 3 2 2 2" xfId="1882"/>
    <cellStyle name="Comma 10 3 2 2 2 2" xfId="1883"/>
    <cellStyle name="Comma 10 3 2 2 2 2 2" xfId="8482"/>
    <cellStyle name="Comma 10 3 2 2 2 3" xfId="8481"/>
    <cellStyle name="Comma 10 3 2 2 3" xfId="1884"/>
    <cellStyle name="Comma 10 3 2 2 3 2" xfId="8483"/>
    <cellStyle name="Comma 10 3 2 2 4" xfId="1885"/>
    <cellStyle name="Comma 10 3 2 2 4 2" xfId="8484"/>
    <cellStyle name="Comma 10 3 2 2 5" xfId="8480"/>
    <cellStyle name="Comma 10 3 2 3" xfId="1886"/>
    <cellStyle name="Comma 10 3 2 3 2" xfId="1887"/>
    <cellStyle name="Comma 10 3 2 3 2 2" xfId="8486"/>
    <cellStyle name="Comma 10 3 2 3 3" xfId="8485"/>
    <cellStyle name="Comma 10 3 2 4" xfId="1888"/>
    <cellStyle name="Comma 10 3 2 4 2" xfId="8487"/>
    <cellStyle name="Comma 10 3 2 5" xfId="1889"/>
    <cellStyle name="Comma 10 3 2 5 2" xfId="8488"/>
    <cellStyle name="Comma 10 3 2 6" xfId="8479"/>
    <cellStyle name="Comma 10 3 3" xfId="1890"/>
    <cellStyle name="Comma 10 3 3 2" xfId="1891"/>
    <cellStyle name="Comma 10 3 3 2 2" xfId="1892"/>
    <cellStyle name="Comma 10 3 3 2 2 2" xfId="8491"/>
    <cellStyle name="Comma 10 3 3 2 3" xfId="8490"/>
    <cellStyle name="Comma 10 3 3 3" xfId="1893"/>
    <cellStyle name="Comma 10 3 3 3 2" xfId="8492"/>
    <cellStyle name="Comma 10 3 3 4" xfId="1894"/>
    <cellStyle name="Comma 10 3 3 4 2" xfId="8493"/>
    <cellStyle name="Comma 10 3 3 5" xfId="8489"/>
    <cellStyle name="Comma 10 3 4" xfId="1895"/>
    <cellStyle name="Comma 10 3 4 2" xfId="1896"/>
    <cellStyle name="Comma 10 3 4 2 2" xfId="8495"/>
    <cellStyle name="Comma 10 3 4 3" xfId="8494"/>
    <cellStyle name="Comma 10 3 5" xfId="1897"/>
    <cellStyle name="Comma 10 3 5 2" xfId="8496"/>
    <cellStyle name="Comma 10 3 6" xfId="1898"/>
    <cellStyle name="Comma 10 3 6 2" xfId="8497"/>
    <cellStyle name="Comma 10 3 7" xfId="8478"/>
    <cellStyle name="Comma 10 4" xfId="1899"/>
    <cellStyle name="Comma 10 4 2" xfId="1900"/>
    <cellStyle name="Comma 10 4 2 2" xfId="1901"/>
    <cellStyle name="Comma 10 4 2 2 2" xfId="1902"/>
    <cellStyle name="Comma 10 4 2 2 2 2" xfId="8501"/>
    <cellStyle name="Comma 10 4 2 2 3" xfId="8500"/>
    <cellStyle name="Comma 10 4 2 3" xfId="1903"/>
    <cellStyle name="Comma 10 4 2 3 2" xfId="8502"/>
    <cellStyle name="Comma 10 4 2 4" xfId="1904"/>
    <cellStyle name="Comma 10 4 2 4 2" xfId="8503"/>
    <cellStyle name="Comma 10 4 2 5" xfId="8499"/>
    <cellStyle name="Comma 10 4 3" xfId="1905"/>
    <cellStyle name="Comma 10 4 3 2" xfId="1906"/>
    <cellStyle name="Comma 10 4 3 2 2" xfId="8505"/>
    <cellStyle name="Comma 10 4 3 3" xfId="8504"/>
    <cellStyle name="Comma 10 4 4" xfId="1907"/>
    <cellStyle name="Comma 10 4 4 2" xfId="8506"/>
    <cellStyle name="Comma 10 4 5" xfId="1908"/>
    <cellStyle name="Comma 10 4 5 2" xfId="8507"/>
    <cellStyle name="Comma 10 4 6" xfId="8498"/>
    <cellStyle name="Comma 10 5" xfId="1909"/>
    <cellStyle name="Comma 10 5 2" xfId="1910"/>
    <cellStyle name="Comma 10 5 2 2" xfId="1911"/>
    <cellStyle name="Comma 10 5 2 2 2" xfId="1912"/>
    <cellStyle name="Comma 10 5 2 2 2 2" xfId="8511"/>
    <cellStyle name="Comma 10 5 2 2 3" xfId="8510"/>
    <cellStyle name="Comma 10 5 2 3" xfId="1913"/>
    <cellStyle name="Comma 10 5 2 3 2" xfId="8512"/>
    <cellStyle name="Comma 10 5 2 4" xfId="1914"/>
    <cellStyle name="Comma 10 5 2 4 2" xfId="8513"/>
    <cellStyle name="Comma 10 5 2 5" xfId="8509"/>
    <cellStyle name="Comma 10 5 3" xfId="1915"/>
    <cellStyle name="Comma 10 5 3 2" xfId="1916"/>
    <cellStyle name="Comma 10 5 3 2 2" xfId="8515"/>
    <cellStyle name="Comma 10 5 3 3" xfId="8514"/>
    <cellStyle name="Comma 10 5 4" xfId="1917"/>
    <cellStyle name="Comma 10 5 4 2" xfId="8516"/>
    <cellStyle name="Comma 10 5 5" xfId="1918"/>
    <cellStyle name="Comma 10 5 5 2" xfId="8517"/>
    <cellStyle name="Comma 10 5 6" xfId="8508"/>
    <cellStyle name="Comma 10 6" xfId="1919"/>
    <cellStyle name="Comma 10 6 2" xfId="1920"/>
    <cellStyle name="Comma 10 6 2 2" xfId="1921"/>
    <cellStyle name="Comma 10 6 2 2 2" xfId="8520"/>
    <cellStyle name="Comma 10 6 2 3" xfId="8519"/>
    <cellStyle name="Comma 10 6 3" xfId="1922"/>
    <cellStyle name="Comma 10 6 3 2" xfId="8521"/>
    <cellStyle name="Comma 10 6 4" xfId="1923"/>
    <cellStyle name="Comma 10 6 4 2" xfId="8522"/>
    <cellStyle name="Comma 10 6 5" xfId="8518"/>
    <cellStyle name="Comma 10 7" xfId="1924"/>
    <cellStyle name="Comma 10 7 2" xfId="1925"/>
    <cellStyle name="Comma 10 7 2 2" xfId="8524"/>
    <cellStyle name="Comma 10 7 3" xfId="8523"/>
    <cellStyle name="Comma 10 8" xfId="1926"/>
    <cellStyle name="Comma 10 8 2" xfId="8525"/>
    <cellStyle name="Comma 10 9" xfId="1927"/>
    <cellStyle name="Comma 10 9 2" xfId="8526"/>
    <cellStyle name="Comma 100" xfId="1928"/>
    <cellStyle name="Comma 100 2" xfId="1929"/>
    <cellStyle name="Comma 100 2 2" xfId="1930"/>
    <cellStyle name="Comma 100 2 2 2" xfId="8529"/>
    <cellStyle name="Comma 100 2 3" xfId="8528"/>
    <cellStyle name="Comma 100 3" xfId="1931"/>
    <cellStyle name="Comma 100 3 2" xfId="8530"/>
    <cellStyle name="Comma 100 4" xfId="1932"/>
    <cellStyle name="Comma 100 4 2" xfId="8531"/>
    <cellStyle name="Comma 100 5" xfId="8527"/>
    <cellStyle name="Comma 101" xfId="1933"/>
    <cellStyle name="Comma 101 2" xfId="1934"/>
    <cellStyle name="Comma 101 2 2" xfId="1935"/>
    <cellStyle name="Comma 101 2 2 2" xfId="8534"/>
    <cellStyle name="Comma 101 2 3" xfId="8533"/>
    <cellStyle name="Comma 101 3" xfId="1936"/>
    <cellStyle name="Comma 101 3 2" xfId="8535"/>
    <cellStyle name="Comma 101 4" xfId="1937"/>
    <cellStyle name="Comma 101 4 2" xfId="8536"/>
    <cellStyle name="Comma 101 5" xfId="8532"/>
    <cellStyle name="Comma 102" xfId="1938"/>
    <cellStyle name="Comma 102 2" xfId="1939"/>
    <cellStyle name="Comma 102 2 2" xfId="1940"/>
    <cellStyle name="Comma 102 2 2 2" xfId="8539"/>
    <cellStyle name="Comma 102 2 3" xfId="8538"/>
    <cellStyle name="Comma 102 3" xfId="1941"/>
    <cellStyle name="Comma 102 3 2" xfId="8540"/>
    <cellStyle name="Comma 102 4" xfId="1942"/>
    <cellStyle name="Comma 102 4 2" xfId="8541"/>
    <cellStyle name="Comma 102 5" xfId="8537"/>
    <cellStyle name="Comma 103" xfId="1943"/>
    <cellStyle name="Comma 103 2" xfId="1944"/>
    <cellStyle name="Comma 103 2 2" xfId="1945"/>
    <cellStyle name="Comma 103 2 2 2" xfId="8544"/>
    <cellStyle name="Comma 103 2 3" xfId="8543"/>
    <cellStyle name="Comma 103 3" xfId="1946"/>
    <cellStyle name="Comma 103 3 2" xfId="8545"/>
    <cellStyle name="Comma 103 4" xfId="1947"/>
    <cellStyle name="Comma 103 4 2" xfId="8546"/>
    <cellStyle name="Comma 103 5" xfId="8542"/>
    <cellStyle name="Comma 104" xfId="1948"/>
    <cellStyle name="Comma 104 2" xfId="1949"/>
    <cellStyle name="Comma 104 2 2" xfId="1950"/>
    <cellStyle name="Comma 104 2 2 2" xfId="8549"/>
    <cellStyle name="Comma 104 2 3" xfId="8548"/>
    <cellStyle name="Comma 104 3" xfId="1951"/>
    <cellStyle name="Comma 104 3 2" xfId="8550"/>
    <cellStyle name="Comma 104 4" xfId="1952"/>
    <cellStyle name="Comma 104 4 2" xfId="8551"/>
    <cellStyle name="Comma 104 5" xfId="8547"/>
    <cellStyle name="Comma 105" xfId="1953"/>
    <cellStyle name="Comma 105 2" xfId="1954"/>
    <cellStyle name="Comma 105 2 2" xfId="1955"/>
    <cellStyle name="Comma 105 2 2 2" xfId="8554"/>
    <cellStyle name="Comma 105 2 3" xfId="8553"/>
    <cellStyle name="Comma 105 3" xfId="1956"/>
    <cellStyle name="Comma 105 3 2" xfId="8555"/>
    <cellStyle name="Comma 105 4" xfId="1957"/>
    <cellStyle name="Comma 105 4 2" xfId="8556"/>
    <cellStyle name="Comma 105 5" xfId="8552"/>
    <cellStyle name="Comma 106" xfId="1958"/>
    <cellStyle name="Comma 106 2" xfId="1959"/>
    <cellStyle name="Comma 106 2 2" xfId="1960"/>
    <cellStyle name="Comma 106 2 2 2" xfId="8559"/>
    <cellStyle name="Comma 106 2 3" xfId="8558"/>
    <cellStyle name="Comma 106 3" xfId="1961"/>
    <cellStyle name="Comma 106 3 2" xfId="8560"/>
    <cellStyle name="Comma 106 4" xfId="1962"/>
    <cellStyle name="Comma 106 4 2" xfId="8561"/>
    <cellStyle name="Comma 106 5" xfId="8557"/>
    <cellStyle name="Comma 107" xfId="1963"/>
    <cellStyle name="Comma 107 2" xfId="1964"/>
    <cellStyle name="Comma 107 2 2" xfId="1965"/>
    <cellStyle name="Comma 107 2 2 2" xfId="8564"/>
    <cellStyle name="Comma 107 2 3" xfId="8563"/>
    <cellStyle name="Comma 107 3" xfId="1966"/>
    <cellStyle name="Comma 107 3 2" xfId="8565"/>
    <cellStyle name="Comma 107 4" xfId="1967"/>
    <cellStyle name="Comma 107 4 2" xfId="8566"/>
    <cellStyle name="Comma 107 5" xfId="8562"/>
    <cellStyle name="Comma 108" xfId="1968"/>
    <cellStyle name="Comma 108 2" xfId="1969"/>
    <cellStyle name="Comma 108 2 2" xfId="1970"/>
    <cellStyle name="Comma 108 2 2 2" xfId="8569"/>
    <cellStyle name="Comma 108 2 3" xfId="8568"/>
    <cellStyle name="Comma 108 3" xfId="1971"/>
    <cellStyle name="Comma 108 3 2" xfId="8570"/>
    <cellStyle name="Comma 108 4" xfId="1972"/>
    <cellStyle name="Comma 108 4 2" xfId="8571"/>
    <cellStyle name="Comma 108 5" xfId="8567"/>
    <cellStyle name="Comma 109" xfId="1973"/>
    <cellStyle name="Comma 109 2" xfId="1974"/>
    <cellStyle name="Comma 109 2 2" xfId="1975"/>
    <cellStyle name="Comma 109 2 2 2" xfId="8574"/>
    <cellStyle name="Comma 109 2 3" xfId="8573"/>
    <cellStyle name="Comma 109 3" xfId="1976"/>
    <cellStyle name="Comma 109 3 2" xfId="8575"/>
    <cellStyle name="Comma 109 4" xfId="1977"/>
    <cellStyle name="Comma 109 4 2" xfId="8576"/>
    <cellStyle name="Comma 109 5" xfId="8572"/>
    <cellStyle name="Comma 11" xfId="1978"/>
    <cellStyle name="Comma 11 2" xfId="1979"/>
    <cellStyle name="Comma 11 2 2" xfId="1980"/>
    <cellStyle name="Comma 11 2 2 2" xfId="1981"/>
    <cellStyle name="Comma 11 2 2 2 2" xfId="1982"/>
    <cellStyle name="Comma 11 2 2 2 2 2" xfId="1983"/>
    <cellStyle name="Comma 11 2 2 2 2 2 2" xfId="8582"/>
    <cellStyle name="Comma 11 2 2 2 2 3" xfId="8581"/>
    <cellStyle name="Comma 11 2 2 2 3" xfId="1984"/>
    <cellStyle name="Comma 11 2 2 2 3 2" xfId="8583"/>
    <cellStyle name="Comma 11 2 2 2 4" xfId="1985"/>
    <cellStyle name="Comma 11 2 2 2 4 2" xfId="8584"/>
    <cellStyle name="Comma 11 2 2 2 5" xfId="8580"/>
    <cellStyle name="Comma 11 2 2 3" xfId="1986"/>
    <cellStyle name="Comma 11 2 2 3 2" xfId="1987"/>
    <cellStyle name="Comma 11 2 2 3 2 2" xfId="8586"/>
    <cellStyle name="Comma 11 2 2 3 3" xfId="8585"/>
    <cellStyle name="Comma 11 2 2 4" xfId="1988"/>
    <cellStyle name="Comma 11 2 2 4 2" xfId="8587"/>
    <cellStyle name="Comma 11 2 2 5" xfId="1989"/>
    <cellStyle name="Comma 11 2 2 5 2" xfId="8588"/>
    <cellStyle name="Comma 11 2 2 6" xfId="8579"/>
    <cellStyle name="Comma 11 2 3" xfId="1990"/>
    <cellStyle name="Comma 11 2 3 2" xfId="1991"/>
    <cellStyle name="Comma 11 2 3 2 2" xfId="1992"/>
    <cellStyle name="Comma 11 2 3 2 2 2" xfId="8591"/>
    <cellStyle name="Comma 11 2 3 2 3" xfId="8590"/>
    <cellStyle name="Comma 11 2 3 3" xfId="1993"/>
    <cellStyle name="Comma 11 2 3 3 2" xfId="8592"/>
    <cellStyle name="Comma 11 2 3 4" xfId="1994"/>
    <cellStyle name="Comma 11 2 3 4 2" xfId="8593"/>
    <cellStyle name="Comma 11 2 3 5" xfId="8589"/>
    <cellStyle name="Comma 11 2 4" xfId="1995"/>
    <cellStyle name="Comma 11 2 4 2" xfId="1996"/>
    <cellStyle name="Comma 11 2 4 2 2" xfId="8595"/>
    <cellStyle name="Comma 11 2 4 3" xfId="8594"/>
    <cellStyle name="Comma 11 2 5" xfId="1997"/>
    <cellStyle name="Comma 11 2 5 2" xfId="8596"/>
    <cellStyle name="Comma 11 2 6" xfId="1998"/>
    <cellStyle name="Comma 11 2 6 2" xfId="8597"/>
    <cellStyle name="Comma 11 2 7" xfId="8578"/>
    <cellStyle name="Comma 11 3" xfId="1999"/>
    <cellStyle name="Comma 11 3 2" xfId="2000"/>
    <cellStyle name="Comma 11 3 2 2" xfId="2001"/>
    <cellStyle name="Comma 11 3 2 2 2" xfId="2002"/>
    <cellStyle name="Comma 11 3 2 2 2 2" xfId="8601"/>
    <cellStyle name="Comma 11 3 2 2 3" xfId="8600"/>
    <cellStyle name="Comma 11 3 2 3" xfId="2003"/>
    <cellStyle name="Comma 11 3 2 3 2" xfId="8602"/>
    <cellStyle name="Comma 11 3 2 4" xfId="2004"/>
    <cellStyle name="Comma 11 3 2 4 2" xfId="8603"/>
    <cellStyle name="Comma 11 3 2 5" xfId="8599"/>
    <cellStyle name="Comma 11 3 3" xfId="2005"/>
    <cellStyle name="Comma 11 3 3 2" xfId="2006"/>
    <cellStyle name="Comma 11 3 3 2 2" xfId="8605"/>
    <cellStyle name="Comma 11 3 3 3" xfId="8604"/>
    <cellStyle name="Comma 11 3 4" xfId="2007"/>
    <cellStyle name="Comma 11 3 4 2" xfId="8606"/>
    <cellStyle name="Comma 11 3 5" xfId="2008"/>
    <cellStyle name="Comma 11 3 5 2" xfId="8607"/>
    <cellStyle name="Comma 11 3 6" xfId="8598"/>
    <cellStyle name="Comma 11 4" xfId="2009"/>
    <cellStyle name="Comma 11 4 2" xfId="2010"/>
    <cellStyle name="Comma 11 4 2 2" xfId="2011"/>
    <cellStyle name="Comma 11 4 2 2 2" xfId="2012"/>
    <cellStyle name="Comma 11 4 2 2 2 2" xfId="8611"/>
    <cellStyle name="Comma 11 4 2 2 3" xfId="8610"/>
    <cellStyle name="Comma 11 4 2 3" xfId="2013"/>
    <cellStyle name="Comma 11 4 2 3 2" xfId="8612"/>
    <cellStyle name="Comma 11 4 2 4" xfId="2014"/>
    <cellStyle name="Comma 11 4 2 4 2" xfId="8613"/>
    <cellStyle name="Comma 11 4 2 5" xfId="8609"/>
    <cellStyle name="Comma 11 4 3" xfId="2015"/>
    <cellStyle name="Comma 11 4 3 2" xfId="2016"/>
    <cellStyle name="Comma 11 4 3 2 2" xfId="8615"/>
    <cellStyle name="Comma 11 4 3 3" xfId="8614"/>
    <cellStyle name="Comma 11 4 4" xfId="2017"/>
    <cellStyle name="Comma 11 4 4 2" xfId="8616"/>
    <cellStyle name="Comma 11 4 5" xfId="2018"/>
    <cellStyle name="Comma 11 4 5 2" xfId="8617"/>
    <cellStyle name="Comma 11 4 6" xfId="8608"/>
    <cellStyle name="Comma 11 5" xfId="2019"/>
    <cellStyle name="Comma 11 5 2" xfId="2020"/>
    <cellStyle name="Comma 11 5 2 2" xfId="2021"/>
    <cellStyle name="Comma 11 5 2 2 2" xfId="8620"/>
    <cellStyle name="Comma 11 5 2 3" xfId="8619"/>
    <cellStyle name="Comma 11 5 3" xfId="2022"/>
    <cellStyle name="Comma 11 5 3 2" xfId="8621"/>
    <cellStyle name="Comma 11 5 4" xfId="2023"/>
    <cellStyle name="Comma 11 5 4 2" xfId="8622"/>
    <cellStyle name="Comma 11 5 5" xfId="8618"/>
    <cellStyle name="Comma 11 6" xfId="2024"/>
    <cellStyle name="Comma 11 6 2" xfId="2025"/>
    <cellStyle name="Comma 11 6 2 2" xfId="8624"/>
    <cellStyle name="Comma 11 6 3" xfId="8623"/>
    <cellStyle name="Comma 11 7" xfId="2026"/>
    <cellStyle name="Comma 11 7 2" xfId="8625"/>
    <cellStyle name="Comma 11 8" xfId="2027"/>
    <cellStyle name="Comma 11 8 2" xfId="8626"/>
    <cellStyle name="Comma 11 9" xfId="8577"/>
    <cellStyle name="Comma 110" xfId="2028"/>
    <cellStyle name="Comma 110 2" xfId="2029"/>
    <cellStyle name="Comma 110 2 2" xfId="2030"/>
    <cellStyle name="Comma 110 2 2 2" xfId="8629"/>
    <cellStyle name="Comma 110 2 3" xfId="8628"/>
    <cellStyle name="Comma 110 3" xfId="2031"/>
    <cellStyle name="Comma 110 3 2" xfId="8630"/>
    <cellStyle name="Comma 110 4" xfId="2032"/>
    <cellStyle name="Comma 110 4 2" xfId="8631"/>
    <cellStyle name="Comma 110 5" xfId="8627"/>
    <cellStyle name="Comma 111" xfId="2033"/>
    <cellStyle name="Comma 111 2" xfId="2034"/>
    <cellStyle name="Comma 111 2 2" xfId="2035"/>
    <cellStyle name="Comma 111 2 2 2" xfId="8634"/>
    <cellStyle name="Comma 111 2 3" xfId="8633"/>
    <cellStyle name="Comma 111 3" xfId="2036"/>
    <cellStyle name="Comma 111 3 2" xfId="8635"/>
    <cellStyle name="Comma 111 4" xfId="2037"/>
    <cellStyle name="Comma 111 4 2" xfId="8636"/>
    <cellStyle name="Comma 111 5" xfId="8632"/>
    <cellStyle name="Comma 112" xfId="2038"/>
    <cellStyle name="Comma 112 2" xfId="2039"/>
    <cellStyle name="Comma 112 2 2" xfId="2040"/>
    <cellStyle name="Comma 112 2 2 2" xfId="8639"/>
    <cellStyle name="Comma 112 2 3" xfId="8638"/>
    <cellStyle name="Comma 112 3" xfId="2041"/>
    <cellStyle name="Comma 112 3 2" xfId="8640"/>
    <cellStyle name="Comma 112 4" xfId="2042"/>
    <cellStyle name="Comma 112 4 2" xfId="8641"/>
    <cellStyle name="Comma 112 5" xfId="8637"/>
    <cellStyle name="Comma 113" xfId="2043"/>
    <cellStyle name="Comma 113 2" xfId="2044"/>
    <cellStyle name="Comma 113 2 2" xfId="2045"/>
    <cellStyle name="Comma 113 2 2 2" xfId="8644"/>
    <cellStyle name="Comma 113 2 3" xfId="8643"/>
    <cellStyle name="Comma 113 3" xfId="2046"/>
    <cellStyle name="Comma 113 3 2" xfId="8645"/>
    <cellStyle name="Comma 113 4" xfId="2047"/>
    <cellStyle name="Comma 113 4 2" xfId="8646"/>
    <cellStyle name="Comma 113 5" xfId="8642"/>
    <cellStyle name="Comma 114" xfId="2048"/>
    <cellStyle name="Comma 114 2" xfId="2049"/>
    <cellStyle name="Comma 114 2 2" xfId="2050"/>
    <cellStyle name="Comma 114 2 2 2" xfId="8649"/>
    <cellStyle name="Comma 114 2 3" xfId="8648"/>
    <cellStyle name="Comma 114 3" xfId="2051"/>
    <cellStyle name="Comma 114 3 2" xfId="8650"/>
    <cellStyle name="Comma 114 4" xfId="2052"/>
    <cellStyle name="Comma 114 4 2" xfId="8651"/>
    <cellStyle name="Comma 114 5" xfId="8647"/>
    <cellStyle name="Comma 115" xfId="2053"/>
    <cellStyle name="Comma 115 2" xfId="2054"/>
    <cellStyle name="Comma 115 2 2" xfId="2055"/>
    <cellStyle name="Comma 115 2 2 2" xfId="8654"/>
    <cellStyle name="Comma 115 2 3" xfId="8653"/>
    <cellStyle name="Comma 115 3" xfId="2056"/>
    <cellStyle name="Comma 115 3 2" xfId="8655"/>
    <cellStyle name="Comma 115 4" xfId="2057"/>
    <cellStyle name="Comma 115 4 2" xfId="8656"/>
    <cellStyle name="Comma 115 5" xfId="8652"/>
    <cellStyle name="Comma 116" xfId="2058"/>
    <cellStyle name="Comma 116 2" xfId="2059"/>
    <cellStyle name="Comma 116 2 2" xfId="2060"/>
    <cellStyle name="Comma 116 2 2 2" xfId="8659"/>
    <cellStyle name="Comma 116 2 3" xfId="8658"/>
    <cellStyle name="Comma 116 3" xfId="2061"/>
    <cellStyle name="Comma 116 3 2" xfId="8660"/>
    <cellStyle name="Comma 116 4" xfId="2062"/>
    <cellStyle name="Comma 116 4 2" xfId="8661"/>
    <cellStyle name="Comma 116 5" xfId="8657"/>
    <cellStyle name="Comma 117" xfId="2063"/>
    <cellStyle name="Comma 117 2" xfId="2064"/>
    <cellStyle name="Comma 117 2 2" xfId="2065"/>
    <cellStyle name="Comma 117 2 2 2" xfId="8664"/>
    <cellStyle name="Comma 117 2 3" xfId="8663"/>
    <cellStyle name="Comma 117 3" xfId="2066"/>
    <cellStyle name="Comma 117 3 2" xfId="8665"/>
    <cellStyle name="Comma 117 4" xfId="2067"/>
    <cellStyle name="Comma 117 4 2" xfId="8666"/>
    <cellStyle name="Comma 117 5" xfId="8662"/>
    <cellStyle name="Comma 118" xfId="2068"/>
    <cellStyle name="Comma 118 2" xfId="2069"/>
    <cellStyle name="Comma 118 2 2" xfId="2070"/>
    <cellStyle name="Comma 118 2 2 2" xfId="8669"/>
    <cellStyle name="Comma 118 2 3" xfId="8668"/>
    <cellStyle name="Comma 118 3" xfId="2071"/>
    <cellStyle name="Comma 118 3 2" xfId="8670"/>
    <cellStyle name="Comma 118 4" xfId="2072"/>
    <cellStyle name="Comma 118 4 2" xfId="8671"/>
    <cellStyle name="Comma 118 5" xfId="8667"/>
    <cellStyle name="Comma 119" xfId="2073"/>
    <cellStyle name="Comma 119 2" xfId="2074"/>
    <cellStyle name="Comma 119 2 2" xfId="2075"/>
    <cellStyle name="Comma 119 2 2 2" xfId="8674"/>
    <cellStyle name="Comma 119 2 3" xfId="8673"/>
    <cellStyle name="Comma 119 3" xfId="2076"/>
    <cellStyle name="Comma 119 3 2" xfId="8675"/>
    <cellStyle name="Comma 119 4" xfId="2077"/>
    <cellStyle name="Comma 119 4 2" xfId="8676"/>
    <cellStyle name="Comma 119 5" xfId="8672"/>
    <cellStyle name="Comma 12" xfId="2078"/>
    <cellStyle name="Comma 12 2" xfId="2079"/>
    <cellStyle name="Comma 12 2 2" xfId="2080"/>
    <cellStyle name="Comma 12 2 2 2" xfId="2081"/>
    <cellStyle name="Comma 12 2 2 2 2" xfId="2082"/>
    <cellStyle name="Comma 12 2 2 2 2 2" xfId="2083"/>
    <cellStyle name="Comma 12 2 2 2 2 2 2" xfId="8682"/>
    <cellStyle name="Comma 12 2 2 2 2 3" xfId="8681"/>
    <cellStyle name="Comma 12 2 2 2 3" xfId="2084"/>
    <cellStyle name="Comma 12 2 2 2 3 2" xfId="8683"/>
    <cellStyle name="Comma 12 2 2 2 4" xfId="2085"/>
    <cellStyle name="Comma 12 2 2 2 4 2" xfId="8684"/>
    <cellStyle name="Comma 12 2 2 2 5" xfId="8680"/>
    <cellStyle name="Comma 12 2 2 3" xfId="2086"/>
    <cellStyle name="Comma 12 2 2 3 2" xfId="2087"/>
    <cellStyle name="Comma 12 2 2 3 2 2" xfId="8686"/>
    <cellStyle name="Comma 12 2 2 3 3" xfId="8685"/>
    <cellStyle name="Comma 12 2 2 4" xfId="2088"/>
    <cellStyle name="Comma 12 2 2 4 2" xfId="8687"/>
    <cellStyle name="Comma 12 2 2 5" xfId="2089"/>
    <cellStyle name="Comma 12 2 2 5 2" xfId="8688"/>
    <cellStyle name="Comma 12 2 2 6" xfId="8679"/>
    <cellStyle name="Comma 12 2 3" xfId="2090"/>
    <cellStyle name="Comma 12 2 3 2" xfId="2091"/>
    <cellStyle name="Comma 12 2 3 2 2" xfId="2092"/>
    <cellStyle name="Comma 12 2 3 2 2 2" xfId="8691"/>
    <cellStyle name="Comma 12 2 3 2 3" xfId="8690"/>
    <cellStyle name="Comma 12 2 3 3" xfId="2093"/>
    <cellStyle name="Comma 12 2 3 3 2" xfId="8692"/>
    <cellStyle name="Comma 12 2 3 4" xfId="2094"/>
    <cellStyle name="Comma 12 2 3 4 2" xfId="8693"/>
    <cellStyle name="Comma 12 2 3 5" xfId="8689"/>
    <cellStyle name="Comma 12 2 4" xfId="2095"/>
    <cellStyle name="Comma 12 2 4 2" xfId="2096"/>
    <cellStyle name="Comma 12 2 4 2 2" xfId="8695"/>
    <cellStyle name="Comma 12 2 4 3" xfId="8694"/>
    <cellStyle name="Comma 12 2 5" xfId="2097"/>
    <cellStyle name="Comma 12 2 5 2" xfId="8696"/>
    <cellStyle name="Comma 12 2 6" xfId="2098"/>
    <cellStyle name="Comma 12 2 6 2" xfId="8697"/>
    <cellStyle name="Comma 12 2 7" xfId="8678"/>
    <cellStyle name="Comma 12 3" xfId="2099"/>
    <cellStyle name="Comma 12 3 2" xfId="2100"/>
    <cellStyle name="Comma 12 3 2 2" xfId="2101"/>
    <cellStyle name="Comma 12 3 2 2 2" xfId="2102"/>
    <cellStyle name="Comma 12 3 2 2 2 2" xfId="8701"/>
    <cellStyle name="Comma 12 3 2 2 3" xfId="8700"/>
    <cellStyle name="Comma 12 3 2 3" xfId="2103"/>
    <cellStyle name="Comma 12 3 2 3 2" xfId="8702"/>
    <cellStyle name="Comma 12 3 2 4" xfId="2104"/>
    <cellStyle name="Comma 12 3 2 4 2" xfId="8703"/>
    <cellStyle name="Comma 12 3 2 5" xfId="8699"/>
    <cellStyle name="Comma 12 3 3" xfId="2105"/>
    <cellStyle name="Comma 12 3 3 2" xfId="2106"/>
    <cellStyle name="Comma 12 3 3 2 2" xfId="8705"/>
    <cellStyle name="Comma 12 3 3 3" xfId="8704"/>
    <cellStyle name="Comma 12 3 4" xfId="2107"/>
    <cellStyle name="Comma 12 3 4 2" xfId="8706"/>
    <cellStyle name="Comma 12 3 5" xfId="2108"/>
    <cellStyle name="Comma 12 3 5 2" xfId="8707"/>
    <cellStyle name="Comma 12 3 6" xfId="8698"/>
    <cellStyle name="Comma 12 4" xfId="2109"/>
    <cellStyle name="Comma 12 4 2" xfId="2110"/>
    <cellStyle name="Comma 12 4 2 2" xfId="2111"/>
    <cellStyle name="Comma 12 4 2 2 2" xfId="2112"/>
    <cellStyle name="Comma 12 4 2 2 2 2" xfId="8711"/>
    <cellStyle name="Comma 12 4 2 2 3" xfId="8710"/>
    <cellStyle name="Comma 12 4 2 3" xfId="2113"/>
    <cellStyle name="Comma 12 4 2 3 2" xfId="8712"/>
    <cellStyle name="Comma 12 4 2 4" xfId="2114"/>
    <cellStyle name="Comma 12 4 2 4 2" xfId="8713"/>
    <cellStyle name="Comma 12 4 2 5" xfId="8709"/>
    <cellStyle name="Comma 12 4 3" xfId="2115"/>
    <cellStyle name="Comma 12 4 3 2" xfId="2116"/>
    <cellStyle name="Comma 12 4 3 2 2" xfId="8715"/>
    <cellStyle name="Comma 12 4 3 3" xfId="8714"/>
    <cellStyle name="Comma 12 4 4" xfId="2117"/>
    <cellStyle name="Comma 12 4 4 2" xfId="8716"/>
    <cellStyle name="Comma 12 4 5" xfId="2118"/>
    <cellStyle name="Comma 12 4 5 2" xfId="8717"/>
    <cellStyle name="Comma 12 4 6" xfId="8708"/>
    <cellStyle name="Comma 12 5" xfId="2119"/>
    <cellStyle name="Comma 12 5 2" xfId="2120"/>
    <cellStyle name="Comma 12 5 2 2" xfId="2121"/>
    <cellStyle name="Comma 12 5 2 2 2" xfId="8720"/>
    <cellStyle name="Comma 12 5 2 3" xfId="8719"/>
    <cellStyle name="Comma 12 5 3" xfId="2122"/>
    <cellStyle name="Comma 12 5 3 2" xfId="8721"/>
    <cellStyle name="Comma 12 5 4" xfId="2123"/>
    <cellStyle name="Comma 12 5 4 2" xfId="8722"/>
    <cellStyle name="Comma 12 5 5" xfId="8718"/>
    <cellStyle name="Comma 12 6" xfId="2124"/>
    <cellStyle name="Comma 12 6 2" xfId="2125"/>
    <cellStyle name="Comma 12 6 2 2" xfId="8724"/>
    <cellStyle name="Comma 12 6 3" xfId="8723"/>
    <cellStyle name="Comma 12 7" xfId="2126"/>
    <cellStyle name="Comma 12 7 2" xfId="8725"/>
    <cellStyle name="Comma 12 8" xfId="2127"/>
    <cellStyle name="Comma 12 8 2" xfId="8726"/>
    <cellStyle name="Comma 12 9" xfId="8677"/>
    <cellStyle name="Comma 120" xfId="2128"/>
    <cellStyle name="Comma 120 2" xfId="2129"/>
    <cellStyle name="Comma 120 2 2" xfId="2130"/>
    <cellStyle name="Comma 120 2 2 2" xfId="8729"/>
    <cellStyle name="Comma 120 2 3" xfId="8728"/>
    <cellStyle name="Comma 120 3" xfId="2131"/>
    <cellStyle name="Comma 120 3 2" xfId="8730"/>
    <cellStyle name="Comma 120 4" xfId="2132"/>
    <cellStyle name="Comma 120 4 2" xfId="8731"/>
    <cellStyle name="Comma 120 5" xfId="8727"/>
    <cellStyle name="Comma 121" xfId="2133"/>
    <cellStyle name="Comma 121 2" xfId="2134"/>
    <cellStyle name="Comma 121 2 2" xfId="2135"/>
    <cellStyle name="Comma 121 2 2 2" xfId="8734"/>
    <cellStyle name="Comma 121 2 3" xfId="8733"/>
    <cellStyle name="Comma 121 3" xfId="2136"/>
    <cellStyle name="Comma 121 3 2" xfId="8735"/>
    <cellStyle name="Comma 121 4" xfId="2137"/>
    <cellStyle name="Comma 121 4 2" xfId="8736"/>
    <cellStyle name="Comma 121 5" xfId="8732"/>
    <cellStyle name="Comma 122" xfId="2138"/>
    <cellStyle name="Comma 122 2" xfId="2139"/>
    <cellStyle name="Comma 122 2 2" xfId="2140"/>
    <cellStyle name="Comma 122 2 2 2" xfId="8739"/>
    <cellStyle name="Comma 122 2 3" xfId="8738"/>
    <cellStyle name="Comma 122 3" xfId="2141"/>
    <cellStyle name="Comma 122 3 2" xfId="8740"/>
    <cellStyle name="Comma 122 4" xfId="2142"/>
    <cellStyle name="Comma 122 4 2" xfId="8741"/>
    <cellStyle name="Comma 122 5" xfId="8737"/>
    <cellStyle name="Comma 123" xfId="2143"/>
    <cellStyle name="Comma 123 2" xfId="2144"/>
    <cellStyle name="Comma 123 2 2" xfId="2145"/>
    <cellStyle name="Comma 123 2 2 2" xfId="8744"/>
    <cellStyle name="Comma 123 2 3" xfId="8743"/>
    <cellStyle name="Comma 123 3" xfId="2146"/>
    <cellStyle name="Comma 123 3 2" xfId="8745"/>
    <cellStyle name="Comma 123 4" xfId="2147"/>
    <cellStyle name="Comma 123 4 2" xfId="8746"/>
    <cellStyle name="Comma 123 5" xfId="8742"/>
    <cellStyle name="Comma 124" xfId="2148"/>
    <cellStyle name="Comma 124 2" xfId="2149"/>
    <cellStyle name="Comma 124 2 2" xfId="2150"/>
    <cellStyle name="Comma 124 2 2 2" xfId="8749"/>
    <cellStyle name="Comma 124 2 3" xfId="8748"/>
    <cellStyle name="Comma 124 3" xfId="2151"/>
    <cellStyle name="Comma 124 3 2" xfId="8750"/>
    <cellStyle name="Comma 124 4" xfId="2152"/>
    <cellStyle name="Comma 124 4 2" xfId="8751"/>
    <cellStyle name="Comma 124 5" xfId="8747"/>
    <cellStyle name="Comma 125" xfId="2153"/>
    <cellStyle name="Comma 125 2" xfId="2154"/>
    <cellStyle name="Comma 125 2 2" xfId="2155"/>
    <cellStyle name="Comma 125 2 2 2" xfId="8754"/>
    <cellStyle name="Comma 125 2 3" xfId="8753"/>
    <cellStyle name="Comma 125 3" xfId="2156"/>
    <cellStyle name="Comma 125 3 2" xfId="8755"/>
    <cellStyle name="Comma 125 4" xfId="2157"/>
    <cellStyle name="Comma 125 4 2" xfId="8756"/>
    <cellStyle name="Comma 125 5" xfId="8752"/>
    <cellStyle name="Comma 126" xfId="2158"/>
    <cellStyle name="Comma 126 2" xfId="2159"/>
    <cellStyle name="Comma 126 2 2" xfId="2160"/>
    <cellStyle name="Comma 126 2 2 2" xfId="8759"/>
    <cellStyle name="Comma 126 2 3" xfId="8758"/>
    <cellStyle name="Comma 126 3" xfId="2161"/>
    <cellStyle name="Comma 126 3 2" xfId="8760"/>
    <cellStyle name="Comma 126 4" xfId="2162"/>
    <cellStyle name="Comma 126 4 2" xfId="8761"/>
    <cellStyle name="Comma 126 5" xfId="8757"/>
    <cellStyle name="Comma 127" xfId="2163"/>
    <cellStyle name="Comma 127 2" xfId="2164"/>
    <cellStyle name="Comma 127 2 2" xfId="2165"/>
    <cellStyle name="Comma 127 2 2 2" xfId="8764"/>
    <cellStyle name="Comma 127 2 3" xfId="8763"/>
    <cellStyle name="Comma 127 3" xfId="2166"/>
    <cellStyle name="Comma 127 3 2" xfId="8765"/>
    <cellStyle name="Comma 127 4" xfId="2167"/>
    <cellStyle name="Comma 127 4 2" xfId="8766"/>
    <cellStyle name="Comma 127 5" xfId="8762"/>
    <cellStyle name="Comma 128" xfId="2168"/>
    <cellStyle name="Comma 128 2" xfId="2169"/>
    <cellStyle name="Comma 128 2 2" xfId="2170"/>
    <cellStyle name="Comma 128 2 2 2" xfId="8769"/>
    <cellStyle name="Comma 128 2 3" xfId="8768"/>
    <cellStyle name="Comma 128 3" xfId="2171"/>
    <cellStyle name="Comma 128 3 2" xfId="8770"/>
    <cellStyle name="Comma 128 4" xfId="2172"/>
    <cellStyle name="Comma 128 4 2" xfId="8771"/>
    <cellStyle name="Comma 128 5" xfId="8767"/>
    <cellStyle name="Comma 129" xfId="2173"/>
    <cellStyle name="Comma 129 2" xfId="2174"/>
    <cellStyle name="Comma 129 2 2" xfId="8773"/>
    <cellStyle name="Comma 129 3" xfId="8772"/>
    <cellStyle name="Comma 13" xfId="2175"/>
    <cellStyle name="Comma 13 2" xfId="2176"/>
    <cellStyle name="Comma 13 2 2" xfId="2177"/>
    <cellStyle name="Comma 13 2 2 2" xfId="2178"/>
    <cellStyle name="Comma 13 2 2 2 2" xfId="8777"/>
    <cellStyle name="Comma 13 2 2 3" xfId="8776"/>
    <cellStyle name="Comma 13 2 3" xfId="2179"/>
    <cellStyle name="Comma 13 2 3 2" xfId="8778"/>
    <cellStyle name="Comma 13 2 4" xfId="2180"/>
    <cellStyle name="Comma 13 2 4 2" xfId="8779"/>
    <cellStyle name="Comma 13 2 5" xfId="8775"/>
    <cellStyle name="Comma 13 3" xfId="2181"/>
    <cellStyle name="Comma 13 3 2" xfId="2182"/>
    <cellStyle name="Comma 13 3 2 2" xfId="8781"/>
    <cellStyle name="Comma 13 3 3" xfId="8780"/>
    <cellStyle name="Comma 13 4" xfId="2183"/>
    <cellStyle name="Comma 13 4 2" xfId="8782"/>
    <cellStyle name="Comma 13 5" xfId="2184"/>
    <cellStyle name="Comma 13 5 2" xfId="8783"/>
    <cellStyle name="Comma 13 6" xfId="8774"/>
    <cellStyle name="Comma 130" xfId="2185"/>
    <cellStyle name="Comma 130 2" xfId="2186"/>
    <cellStyle name="Comma 130 2 2" xfId="8785"/>
    <cellStyle name="Comma 130 3" xfId="8784"/>
    <cellStyle name="Comma 131" xfId="2187"/>
    <cellStyle name="Comma 131 2" xfId="2188"/>
    <cellStyle name="Comma 131 2 2" xfId="8787"/>
    <cellStyle name="Comma 131 3" xfId="8786"/>
    <cellStyle name="Comma 132" xfId="2189"/>
    <cellStyle name="Comma 132 2" xfId="2190"/>
    <cellStyle name="Comma 132 2 2" xfId="8789"/>
    <cellStyle name="Comma 132 3" xfId="8788"/>
    <cellStyle name="Comma 133" xfId="2191"/>
    <cellStyle name="Comma 133 2" xfId="2192"/>
    <cellStyle name="Comma 133 2 2" xfId="8791"/>
    <cellStyle name="Comma 133 3" xfId="8790"/>
    <cellStyle name="Comma 14" xfId="2193"/>
    <cellStyle name="Comma 14 2" xfId="2194"/>
    <cellStyle name="Comma 14 2 2" xfId="2195"/>
    <cellStyle name="Comma 14 2 2 2" xfId="2196"/>
    <cellStyle name="Comma 14 2 2 2 2" xfId="8795"/>
    <cellStyle name="Comma 14 2 2 3" xfId="8794"/>
    <cellStyle name="Comma 14 2 3" xfId="2197"/>
    <cellStyle name="Comma 14 2 3 2" xfId="8796"/>
    <cellStyle name="Comma 14 2 4" xfId="2198"/>
    <cellStyle name="Comma 14 2 4 2" xfId="8797"/>
    <cellStyle name="Comma 14 2 5" xfId="8793"/>
    <cellStyle name="Comma 14 3" xfId="2199"/>
    <cellStyle name="Comma 14 3 2" xfId="2200"/>
    <cellStyle name="Comma 14 3 2 2" xfId="8799"/>
    <cellStyle name="Comma 14 3 3" xfId="8798"/>
    <cellStyle name="Comma 14 4" xfId="2201"/>
    <cellStyle name="Comma 14 4 2" xfId="8800"/>
    <cellStyle name="Comma 14 5" xfId="2202"/>
    <cellStyle name="Comma 14 5 2" xfId="8801"/>
    <cellStyle name="Comma 14 6" xfId="8792"/>
    <cellStyle name="Comma 15" xfId="2203"/>
    <cellStyle name="Comma 15 2" xfId="2204"/>
    <cellStyle name="Comma 15 2 2" xfId="2205"/>
    <cellStyle name="Comma 15 2 2 2" xfId="2206"/>
    <cellStyle name="Comma 15 2 2 2 2" xfId="8805"/>
    <cellStyle name="Comma 15 2 2 3" xfId="8804"/>
    <cellStyle name="Comma 15 2 3" xfId="2207"/>
    <cellStyle name="Comma 15 2 3 2" xfId="8806"/>
    <cellStyle name="Comma 15 2 4" xfId="2208"/>
    <cellStyle name="Comma 15 2 4 2" xfId="8807"/>
    <cellStyle name="Comma 15 2 5" xfId="8803"/>
    <cellStyle name="Comma 15 3" xfId="2209"/>
    <cellStyle name="Comma 15 3 2" xfId="2210"/>
    <cellStyle name="Comma 15 3 2 2" xfId="8809"/>
    <cellStyle name="Comma 15 3 3" xfId="8808"/>
    <cellStyle name="Comma 15 4" xfId="2211"/>
    <cellStyle name="Comma 15 4 2" xfId="8810"/>
    <cellStyle name="Comma 15 5" xfId="2212"/>
    <cellStyle name="Comma 15 5 2" xfId="8811"/>
    <cellStyle name="Comma 15 6" xfId="8802"/>
    <cellStyle name="Comma 16" xfId="2213"/>
    <cellStyle name="Comma 16 2" xfId="2214"/>
    <cellStyle name="Comma 16 2 2" xfId="2215"/>
    <cellStyle name="Comma 16 2 2 2" xfId="2216"/>
    <cellStyle name="Comma 16 2 2 2 2" xfId="8815"/>
    <cellStyle name="Comma 16 2 2 3" xfId="8814"/>
    <cellStyle name="Comma 16 2 3" xfId="2217"/>
    <cellStyle name="Comma 16 2 3 2" xfId="8816"/>
    <cellStyle name="Comma 16 2 4" xfId="2218"/>
    <cellStyle name="Comma 16 2 4 2" xfId="8817"/>
    <cellStyle name="Comma 16 2 5" xfId="8813"/>
    <cellStyle name="Comma 16 3" xfId="2219"/>
    <cellStyle name="Comma 16 3 2" xfId="2220"/>
    <cellStyle name="Comma 16 3 2 2" xfId="8819"/>
    <cellStyle name="Comma 16 3 3" xfId="8818"/>
    <cellStyle name="Comma 16 4" xfId="2221"/>
    <cellStyle name="Comma 16 4 2" xfId="8820"/>
    <cellStyle name="Comma 16 5" xfId="2222"/>
    <cellStyle name="Comma 16 5 2" xfId="8821"/>
    <cellStyle name="Comma 16 6" xfId="8812"/>
    <cellStyle name="Comma 17" xfId="2223"/>
    <cellStyle name="Comma 17 2" xfId="2224"/>
    <cellStyle name="Comma 17 2 2" xfId="2225"/>
    <cellStyle name="Comma 17 2 2 2" xfId="2226"/>
    <cellStyle name="Comma 17 2 2 2 2" xfId="8825"/>
    <cellStyle name="Comma 17 2 2 3" xfId="8824"/>
    <cellStyle name="Comma 17 2 3" xfId="2227"/>
    <cellStyle name="Comma 17 2 3 2" xfId="8826"/>
    <cellStyle name="Comma 17 2 4" xfId="2228"/>
    <cellStyle name="Comma 17 2 4 2" xfId="8827"/>
    <cellStyle name="Comma 17 2 5" xfId="8823"/>
    <cellStyle name="Comma 17 3" xfId="2229"/>
    <cellStyle name="Comma 17 3 2" xfId="2230"/>
    <cellStyle name="Comma 17 3 2 2" xfId="8829"/>
    <cellStyle name="Comma 17 3 3" xfId="8828"/>
    <cellStyle name="Comma 17 4" xfId="2231"/>
    <cellStyle name="Comma 17 4 2" xfId="8830"/>
    <cellStyle name="Comma 17 5" xfId="2232"/>
    <cellStyle name="Comma 17 5 2" xfId="8831"/>
    <cellStyle name="Comma 17 6" xfId="8822"/>
    <cellStyle name="Comma 18" xfId="2233"/>
    <cellStyle name="Comma 18 2" xfId="2234"/>
    <cellStyle name="Comma 18 2 2" xfId="2235"/>
    <cellStyle name="Comma 18 2 2 2" xfId="2236"/>
    <cellStyle name="Comma 18 2 2 2 2" xfId="8835"/>
    <cellStyle name="Comma 18 2 2 3" xfId="8834"/>
    <cellStyle name="Comma 18 2 3" xfId="2237"/>
    <cellStyle name="Comma 18 2 3 2" xfId="8836"/>
    <cellStyle name="Comma 18 2 4" xfId="2238"/>
    <cellStyle name="Comma 18 2 4 2" xfId="8837"/>
    <cellStyle name="Comma 18 2 5" xfId="8833"/>
    <cellStyle name="Comma 18 3" xfId="2239"/>
    <cellStyle name="Comma 18 3 2" xfId="2240"/>
    <cellStyle name="Comma 18 3 2 2" xfId="8839"/>
    <cellStyle name="Comma 18 3 3" xfId="8838"/>
    <cellStyle name="Comma 18 4" xfId="2241"/>
    <cellStyle name="Comma 18 4 2" xfId="8840"/>
    <cellStyle name="Comma 18 5" xfId="2242"/>
    <cellStyle name="Comma 18 5 2" xfId="8841"/>
    <cellStyle name="Comma 18 6" xfId="8832"/>
    <cellStyle name="Comma 19" xfId="2243"/>
    <cellStyle name="Comma 19 2" xfId="2244"/>
    <cellStyle name="Comma 19 2 2" xfId="2245"/>
    <cellStyle name="Comma 19 2 2 2" xfId="2246"/>
    <cellStyle name="Comma 19 2 2 2 2" xfId="8845"/>
    <cellStyle name="Comma 19 2 2 3" xfId="8844"/>
    <cellStyle name="Comma 19 2 3" xfId="2247"/>
    <cellStyle name="Comma 19 2 3 2" xfId="8846"/>
    <cellStyle name="Comma 19 2 4" xfId="2248"/>
    <cellStyle name="Comma 19 2 4 2" xfId="8847"/>
    <cellStyle name="Comma 19 2 5" xfId="8843"/>
    <cellStyle name="Comma 19 3" xfId="2249"/>
    <cellStyle name="Comma 19 3 2" xfId="2250"/>
    <cellStyle name="Comma 19 3 2 2" xfId="8849"/>
    <cellStyle name="Comma 19 3 3" xfId="8848"/>
    <cellStyle name="Comma 19 4" xfId="2251"/>
    <cellStyle name="Comma 19 4 2" xfId="8850"/>
    <cellStyle name="Comma 19 5" xfId="2252"/>
    <cellStyle name="Comma 19 5 2" xfId="8851"/>
    <cellStyle name="Comma 19 6" xfId="8842"/>
    <cellStyle name="Comma 2" xfId="2253"/>
    <cellStyle name="Comma 2 2" xfId="2254"/>
    <cellStyle name="Comma 2 2 2" xfId="2255"/>
    <cellStyle name="Comma 2 2 2 2" xfId="2256"/>
    <cellStyle name="Comma 2 2 2 2 2" xfId="2257"/>
    <cellStyle name="Comma 2 2 2 2 2 2" xfId="8856"/>
    <cellStyle name="Comma 2 2 2 2 3" xfId="8855"/>
    <cellStyle name="Comma 2 2 2 3" xfId="2258"/>
    <cellStyle name="Comma 2 2 2 3 2" xfId="8857"/>
    <cellStyle name="Comma 2 2 2 4" xfId="2259"/>
    <cellStyle name="Comma 2 2 2 4 2" xfId="8858"/>
    <cellStyle name="Comma 2 2 2 5" xfId="8854"/>
    <cellStyle name="Comma 2 2 3" xfId="2260"/>
    <cellStyle name="Comma 2 2 3 2" xfId="2261"/>
    <cellStyle name="Comma 2 2 3 2 2" xfId="8860"/>
    <cellStyle name="Comma 2 2 3 3" xfId="8859"/>
    <cellStyle name="Comma 2 2 4" xfId="2262"/>
    <cellStyle name="Comma 2 2 4 2" xfId="8861"/>
    <cellStyle name="Comma 2 2 5" xfId="2263"/>
    <cellStyle name="Comma 2 2 5 2" xfId="8862"/>
    <cellStyle name="Comma 2 2 6" xfId="8853"/>
    <cellStyle name="Comma 2 3" xfId="2264"/>
    <cellStyle name="Comma 2 3 2" xfId="2265"/>
    <cellStyle name="Comma 2 3 2 2" xfId="2266"/>
    <cellStyle name="Comma 2 3 2 2 2" xfId="8865"/>
    <cellStyle name="Comma 2 3 2 3" xfId="8864"/>
    <cellStyle name="Comma 2 3 3" xfId="2267"/>
    <cellStyle name="Comma 2 3 3 2" xfId="8866"/>
    <cellStyle name="Comma 2 3 4" xfId="2268"/>
    <cellStyle name="Comma 2 3 4 2" xfId="8867"/>
    <cellStyle name="Comma 2 3 5" xfId="8863"/>
    <cellStyle name="Comma 2 4" xfId="2269"/>
    <cellStyle name="Comma 2 4 2" xfId="2270"/>
    <cellStyle name="Comma 2 4 2 2" xfId="8869"/>
    <cellStyle name="Comma 2 4 3" xfId="8868"/>
    <cellStyle name="Comma 2 5" xfId="2271"/>
    <cellStyle name="Comma 2 5 2" xfId="8870"/>
    <cellStyle name="Comma 2 6" xfId="2272"/>
    <cellStyle name="Comma 2 6 2" xfId="8871"/>
    <cellStyle name="Comma 2 7" xfId="8852"/>
    <cellStyle name="Comma 20" xfId="2273"/>
    <cellStyle name="Comma 20 2" xfId="2274"/>
    <cellStyle name="Comma 20 2 2" xfId="2275"/>
    <cellStyle name="Comma 20 2 2 2" xfId="2276"/>
    <cellStyle name="Comma 20 2 2 2 2" xfId="8875"/>
    <cellStyle name="Comma 20 2 2 3" xfId="8874"/>
    <cellStyle name="Comma 20 2 3" xfId="2277"/>
    <cellStyle name="Comma 20 2 3 2" xfId="8876"/>
    <cellStyle name="Comma 20 2 4" xfId="2278"/>
    <cellStyle name="Comma 20 2 4 2" xfId="8877"/>
    <cellStyle name="Comma 20 2 5" xfId="8873"/>
    <cellStyle name="Comma 20 3" xfId="2279"/>
    <cellStyle name="Comma 20 3 2" xfId="2280"/>
    <cellStyle name="Comma 20 3 2 2" xfId="8879"/>
    <cellStyle name="Comma 20 3 3" xfId="8878"/>
    <cellStyle name="Comma 20 4" xfId="2281"/>
    <cellStyle name="Comma 20 4 2" xfId="8880"/>
    <cellStyle name="Comma 20 5" xfId="2282"/>
    <cellStyle name="Comma 20 5 2" xfId="8881"/>
    <cellStyle name="Comma 20 6" xfId="8872"/>
    <cellStyle name="Comma 21" xfId="2283"/>
    <cellStyle name="Comma 21 2" xfId="2284"/>
    <cellStyle name="Comma 21 2 2" xfId="2285"/>
    <cellStyle name="Comma 21 2 2 2" xfId="2286"/>
    <cellStyle name="Comma 21 2 2 2 2" xfId="8885"/>
    <cellStyle name="Comma 21 2 2 3" xfId="8884"/>
    <cellStyle name="Comma 21 2 3" xfId="2287"/>
    <cellStyle name="Comma 21 2 3 2" xfId="8886"/>
    <cellStyle name="Comma 21 2 4" xfId="2288"/>
    <cellStyle name="Comma 21 2 4 2" xfId="8887"/>
    <cellStyle name="Comma 21 2 5" xfId="8883"/>
    <cellStyle name="Comma 21 3" xfId="2289"/>
    <cellStyle name="Comma 21 3 2" xfId="2290"/>
    <cellStyle name="Comma 21 3 2 2" xfId="8889"/>
    <cellStyle name="Comma 21 3 3" xfId="8888"/>
    <cellStyle name="Comma 21 4" xfId="2291"/>
    <cellStyle name="Comma 21 4 2" xfId="8890"/>
    <cellStyle name="Comma 21 5" xfId="2292"/>
    <cellStyle name="Comma 21 5 2" xfId="8891"/>
    <cellStyle name="Comma 21 6" xfId="8882"/>
    <cellStyle name="Comma 22" xfId="2293"/>
    <cellStyle name="Comma 23" xfId="2294"/>
    <cellStyle name="Comma 24" xfId="2295"/>
    <cellStyle name="Comma 25" xfId="2296"/>
    <cellStyle name="Comma 26" xfId="2297"/>
    <cellStyle name="Comma 26 2" xfId="2298"/>
    <cellStyle name="Comma 26 2 2" xfId="2299"/>
    <cellStyle name="Comma 26 2 2 2" xfId="2300"/>
    <cellStyle name="Comma 26 2 2 2 2" xfId="8895"/>
    <cellStyle name="Comma 26 2 2 3" xfId="8894"/>
    <cellStyle name="Comma 26 2 3" xfId="2301"/>
    <cellStyle name="Comma 26 2 3 2" xfId="8896"/>
    <cellStyle name="Comma 26 2 4" xfId="2302"/>
    <cellStyle name="Comma 26 2 4 2" xfId="8897"/>
    <cellStyle name="Comma 26 2 5" xfId="8893"/>
    <cellStyle name="Comma 26 3" xfId="2303"/>
    <cellStyle name="Comma 26 3 2" xfId="2304"/>
    <cellStyle name="Comma 26 3 2 2" xfId="8899"/>
    <cellStyle name="Comma 26 3 3" xfId="8898"/>
    <cellStyle name="Comma 26 4" xfId="2305"/>
    <cellStyle name="Comma 26 4 2" xfId="8900"/>
    <cellStyle name="Comma 26 5" xfId="2306"/>
    <cellStyle name="Comma 26 5 2" xfId="8901"/>
    <cellStyle name="Comma 26 6" xfId="8892"/>
    <cellStyle name="Comma 27" xfId="2307"/>
    <cellStyle name="Comma 27 2" xfId="2308"/>
    <cellStyle name="Comma 27 2 2" xfId="2309"/>
    <cellStyle name="Comma 27 2 2 2" xfId="2310"/>
    <cellStyle name="Comma 27 2 2 2 2" xfId="8905"/>
    <cellStyle name="Comma 27 2 2 3" xfId="8904"/>
    <cellStyle name="Comma 27 2 3" xfId="2311"/>
    <cellStyle name="Comma 27 2 3 2" xfId="8906"/>
    <cellStyle name="Comma 27 2 4" xfId="2312"/>
    <cellStyle name="Comma 27 2 4 2" xfId="8907"/>
    <cellStyle name="Comma 27 2 5" xfId="8903"/>
    <cellStyle name="Comma 27 3" xfId="2313"/>
    <cellStyle name="Comma 27 3 2" xfId="2314"/>
    <cellStyle name="Comma 27 3 2 2" xfId="8909"/>
    <cellStyle name="Comma 27 3 3" xfId="8908"/>
    <cellStyle name="Comma 27 4" xfId="2315"/>
    <cellStyle name="Comma 27 4 2" xfId="8910"/>
    <cellStyle name="Comma 27 5" xfId="2316"/>
    <cellStyle name="Comma 27 5 2" xfId="8911"/>
    <cellStyle name="Comma 27 6" xfId="8902"/>
    <cellStyle name="Comma 28" xfId="2317"/>
    <cellStyle name="Comma 28 2" xfId="2318"/>
    <cellStyle name="Comma 28 2 2" xfId="2319"/>
    <cellStyle name="Comma 28 2 2 2" xfId="2320"/>
    <cellStyle name="Comma 28 2 2 2 2" xfId="8915"/>
    <cellStyle name="Comma 28 2 2 3" xfId="8914"/>
    <cellStyle name="Comma 28 2 3" xfId="2321"/>
    <cellStyle name="Comma 28 2 3 2" xfId="8916"/>
    <cellStyle name="Comma 28 2 4" xfId="2322"/>
    <cellStyle name="Comma 28 2 4 2" xfId="8917"/>
    <cellStyle name="Comma 28 2 5" xfId="8913"/>
    <cellStyle name="Comma 28 3" xfId="2323"/>
    <cellStyle name="Comma 28 3 2" xfId="2324"/>
    <cellStyle name="Comma 28 3 2 2" xfId="8919"/>
    <cellStyle name="Comma 28 3 3" xfId="8918"/>
    <cellStyle name="Comma 28 4" xfId="2325"/>
    <cellStyle name="Comma 28 4 2" xfId="8920"/>
    <cellStyle name="Comma 28 5" xfId="2326"/>
    <cellStyle name="Comma 28 5 2" xfId="8921"/>
    <cellStyle name="Comma 28 6" xfId="8912"/>
    <cellStyle name="Comma 29" xfId="2327"/>
    <cellStyle name="Comma 29 2" xfId="2328"/>
    <cellStyle name="Comma 29 2 2" xfId="2329"/>
    <cellStyle name="Comma 29 2 2 2" xfId="2330"/>
    <cellStyle name="Comma 29 2 2 2 2" xfId="8925"/>
    <cellStyle name="Comma 29 2 2 3" xfId="8924"/>
    <cellStyle name="Comma 29 2 3" xfId="2331"/>
    <cellStyle name="Comma 29 2 3 2" xfId="8926"/>
    <cellStyle name="Comma 29 2 4" xfId="2332"/>
    <cellStyle name="Comma 29 2 4 2" xfId="8927"/>
    <cellStyle name="Comma 29 2 5" xfId="8923"/>
    <cellStyle name="Comma 29 3" xfId="2333"/>
    <cellStyle name="Comma 29 3 2" xfId="2334"/>
    <cellStyle name="Comma 29 3 2 2" xfId="8929"/>
    <cellStyle name="Comma 29 3 3" xfId="8928"/>
    <cellStyle name="Comma 29 4" xfId="2335"/>
    <cellStyle name="Comma 29 4 2" xfId="8930"/>
    <cellStyle name="Comma 29 5" xfId="2336"/>
    <cellStyle name="Comma 29 5 2" xfId="8931"/>
    <cellStyle name="Comma 29 6" xfId="8922"/>
    <cellStyle name="Comma 3" xfId="2337"/>
    <cellStyle name="Comma 3 2" xfId="2338"/>
    <cellStyle name="Comma 3 2 2" xfId="2339"/>
    <cellStyle name="Comma 3 2 2 2" xfId="2340"/>
    <cellStyle name="Comma 3 2 2 2 2" xfId="8935"/>
    <cellStyle name="Comma 3 2 2 3" xfId="8934"/>
    <cellStyle name="Comma 3 2 3" xfId="2341"/>
    <cellStyle name="Comma 3 2 3 2" xfId="8936"/>
    <cellStyle name="Comma 3 2 4" xfId="2342"/>
    <cellStyle name="Comma 3 2 4 2" xfId="8937"/>
    <cellStyle name="Comma 3 2 5" xfId="8933"/>
    <cellStyle name="Comma 3 3" xfId="2343"/>
    <cellStyle name="Comma 3 3 2" xfId="2344"/>
    <cellStyle name="Comma 3 3 2 2" xfId="8939"/>
    <cellStyle name="Comma 3 3 3" xfId="8938"/>
    <cellStyle name="Comma 3 4" xfId="2345"/>
    <cellStyle name="Comma 3 4 2" xfId="2346"/>
    <cellStyle name="Comma 3 4 2 2" xfId="8941"/>
    <cellStyle name="Comma 3 4 3" xfId="8940"/>
    <cellStyle name="Comma 3 5" xfId="2347"/>
    <cellStyle name="Comma 3 5 2" xfId="8942"/>
    <cellStyle name="Comma 3 6" xfId="2348"/>
    <cellStyle name="Comma 3 6 2" xfId="8943"/>
    <cellStyle name="Comma 3 7" xfId="8932"/>
    <cellStyle name="Comma 30" xfId="2349"/>
    <cellStyle name="Comma 30 2" xfId="2350"/>
    <cellStyle name="Comma 30 2 2" xfId="2351"/>
    <cellStyle name="Comma 30 2 2 2" xfId="2352"/>
    <cellStyle name="Comma 30 2 2 2 2" xfId="8947"/>
    <cellStyle name="Comma 30 2 2 3" xfId="8946"/>
    <cellStyle name="Comma 30 2 3" xfId="2353"/>
    <cellStyle name="Comma 30 2 3 2" xfId="8948"/>
    <cellStyle name="Comma 30 2 4" xfId="2354"/>
    <cellStyle name="Comma 30 2 4 2" xfId="8949"/>
    <cellStyle name="Comma 30 2 5" xfId="8945"/>
    <cellStyle name="Comma 30 3" xfId="2355"/>
    <cellStyle name="Comma 30 3 2" xfId="2356"/>
    <cellStyle name="Comma 30 3 2 2" xfId="8951"/>
    <cellStyle name="Comma 30 3 3" xfId="8950"/>
    <cellStyle name="Comma 30 4" xfId="2357"/>
    <cellStyle name="Comma 30 4 2" xfId="8952"/>
    <cellStyle name="Comma 30 5" xfId="2358"/>
    <cellStyle name="Comma 30 5 2" xfId="8953"/>
    <cellStyle name="Comma 30 6" xfId="8944"/>
    <cellStyle name="Comma 31" xfId="2359"/>
    <cellStyle name="Comma 31 2" xfId="2360"/>
    <cellStyle name="Comma 31 2 2" xfId="2361"/>
    <cellStyle name="Comma 31 2 2 2" xfId="2362"/>
    <cellStyle name="Comma 31 2 2 2 2" xfId="8957"/>
    <cellStyle name="Comma 31 2 2 3" xfId="8956"/>
    <cellStyle name="Comma 31 2 3" xfId="2363"/>
    <cellStyle name="Comma 31 2 3 2" xfId="8958"/>
    <cellStyle name="Comma 31 2 4" xfId="2364"/>
    <cellStyle name="Comma 31 2 4 2" xfId="8959"/>
    <cellStyle name="Comma 31 2 5" xfId="8955"/>
    <cellStyle name="Comma 31 3" xfId="2365"/>
    <cellStyle name="Comma 31 3 2" xfId="2366"/>
    <cellStyle name="Comma 31 3 2 2" xfId="8961"/>
    <cellStyle name="Comma 31 3 3" xfId="8960"/>
    <cellStyle name="Comma 31 4" xfId="2367"/>
    <cellStyle name="Comma 31 4 2" xfId="8962"/>
    <cellStyle name="Comma 31 5" xfId="2368"/>
    <cellStyle name="Comma 31 5 2" xfId="8963"/>
    <cellStyle name="Comma 31 6" xfId="8954"/>
    <cellStyle name="Comma 32" xfId="2369"/>
    <cellStyle name="Comma 32 2" xfId="2370"/>
    <cellStyle name="Comma 32 2 2" xfId="2371"/>
    <cellStyle name="Comma 32 2 2 2" xfId="2372"/>
    <cellStyle name="Comma 32 2 2 2 2" xfId="8967"/>
    <cellStyle name="Comma 32 2 2 3" xfId="8966"/>
    <cellStyle name="Comma 32 2 3" xfId="2373"/>
    <cellStyle name="Comma 32 2 3 2" xfId="8968"/>
    <cellStyle name="Comma 32 2 4" xfId="2374"/>
    <cellStyle name="Comma 32 2 4 2" xfId="8969"/>
    <cellStyle name="Comma 32 2 5" xfId="8965"/>
    <cellStyle name="Comma 32 3" xfId="2375"/>
    <cellStyle name="Comma 32 3 2" xfId="2376"/>
    <cellStyle name="Comma 32 3 2 2" xfId="8971"/>
    <cellStyle name="Comma 32 3 3" xfId="8970"/>
    <cellStyle name="Comma 32 4" xfId="2377"/>
    <cellStyle name="Comma 32 4 2" xfId="8972"/>
    <cellStyle name="Comma 32 5" xfId="2378"/>
    <cellStyle name="Comma 32 5 2" xfId="8973"/>
    <cellStyle name="Comma 32 6" xfId="8964"/>
    <cellStyle name="Comma 33" xfId="2379"/>
    <cellStyle name="Comma 33 2" xfId="2380"/>
    <cellStyle name="Comma 33 2 2" xfId="2381"/>
    <cellStyle name="Comma 33 2 2 2" xfId="2382"/>
    <cellStyle name="Comma 33 2 2 2 2" xfId="8977"/>
    <cellStyle name="Comma 33 2 2 3" xfId="8976"/>
    <cellStyle name="Comma 33 2 3" xfId="2383"/>
    <cellStyle name="Comma 33 2 3 2" xfId="8978"/>
    <cellStyle name="Comma 33 2 4" xfId="2384"/>
    <cellStyle name="Comma 33 2 4 2" xfId="8979"/>
    <cellStyle name="Comma 33 2 5" xfId="8975"/>
    <cellStyle name="Comma 33 3" xfId="2385"/>
    <cellStyle name="Comma 33 3 2" xfId="2386"/>
    <cellStyle name="Comma 33 3 2 2" xfId="8981"/>
    <cellStyle name="Comma 33 3 3" xfId="8980"/>
    <cellStyle name="Comma 33 4" xfId="2387"/>
    <cellStyle name="Comma 33 4 2" xfId="8982"/>
    <cellStyle name="Comma 33 5" xfId="2388"/>
    <cellStyle name="Comma 33 5 2" xfId="8983"/>
    <cellStyle name="Comma 33 6" xfId="8974"/>
    <cellStyle name="Comma 34" xfId="2389"/>
    <cellStyle name="Comma 34 2" xfId="2390"/>
    <cellStyle name="Comma 34 2 2" xfId="2391"/>
    <cellStyle name="Comma 34 2 2 2" xfId="2392"/>
    <cellStyle name="Comma 34 2 2 2 2" xfId="8987"/>
    <cellStyle name="Comma 34 2 2 3" xfId="8986"/>
    <cellStyle name="Comma 34 2 3" xfId="2393"/>
    <cellStyle name="Comma 34 2 3 2" xfId="8988"/>
    <cellStyle name="Comma 34 2 4" xfId="2394"/>
    <cellStyle name="Comma 34 2 4 2" xfId="8989"/>
    <cellStyle name="Comma 34 2 5" xfId="8985"/>
    <cellStyle name="Comma 34 3" xfId="2395"/>
    <cellStyle name="Comma 34 3 2" xfId="2396"/>
    <cellStyle name="Comma 34 3 2 2" xfId="8991"/>
    <cellStyle name="Comma 34 3 3" xfId="8990"/>
    <cellStyle name="Comma 34 4" xfId="2397"/>
    <cellStyle name="Comma 34 4 2" xfId="8992"/>
    <cellStyle name="Comma 34 5" xfId="2398"/>
    <cellStyle name="Comma 34 5 2" xfId="8993"/>
    <cellStyle name="Comma 34 6" xfId="8984"/>
    <cellStyle name="Comma 35" xfId="2399"/>
    <cellStyle name="Comma 35 2" xfId="2400"/>
    <cellStyle name="Comma 35 2 2" xfId="2401"/>
    <cellStyle name="Comma 35 2 2 2" xfId="2402"/>
    <cellStyle name="Comma 35 2 2 2 2" xfId="8997"/>
    <cellStyle name="Comma 35 2 2 3" xfId="8996"/>
    <cellStyle name="Comma 35 2 3" xfId="2403"/>
    <cellStyle name="Comma 35 2 3 2" xfId="8998"/>
    <cellStyle name="Comma 35 2 4" xfId="2404"/>
    <cellStyle name="Comma 35 2 4 2" xfId="8999"/>
    <cellStyle name="Comma 35 2 5" xfId="8995"/>
    <cellStyle name="Comma 35 3" xfId="2405"/>
    <cellStyle name="Comma 35 3 2" xfId="2406"/>
    <cellStyle name="Comma 35 3 2 2" xfId="9001"/>
    <cellStyle name="Comma 35 3 3" xfId="9000"/>
    <cellStyle name="Comma 35 4" xfId="2407"/>
    <cellStyle name="Comma 35 4 2" xfId="9002"/>
    <cellStyle name="Comma 35 5" xfId="2408"/>
    <cellStyle name="Comma 35 5 2" xfId="9003"/>
    <cellStyle name="Comma 35 6" xfId="8994"/>
    <cellStyle name="Comma 36" xfId="2409"/>
    <cellStyle name="Comma 36 2" xfId="2410"/>
    <cellStyle name="Comma 36 2 2" xfId="2411"/>
    <cellStyle name="Comma 36 2 2 2" xfId="2412"/>
    <cellStyle name="Comma 36 2 2 2 2" xfId="9007"/>
    <cellStyle name="Comma 36 2 2 3" xfId="9006"/>
    <cellStyle name="Comma 36 2 3" xfId="2413"/>
    <cellStyle name="Comma 36 2 3 2" xfId="9008"/>
    <cellStyle name="Comma 36 2 4" xfId="2414"/>
    <cellStyle name="Comma 36 2 4 2" xfId="9009"/>
    <cellStyle name="Comma 36 2 5" xfId="9005"/>
    <cellStyle name="Comma 36 3" xfId="2415"/>
    <cellStyle name="Comma 36 3 2" xfId="2416"/>
    <cellStyle name="Comma 36 3 2 2" xfId="9011"/>
    <cellStyle name="Comma 36 3 3" xfId="9010"/>
    <cellStyle name="Comma 36 4" xfId="2417"/>
    <cellStyle name="Comma 36 4 2" xfId="9012"/>
    <cellStyle name="Comma 36 5" xfId="2418"/>
    <cellStyle name="Comma 36 5 2" xfId="9013"/>
    <cellStyle name="Comma 36 6" xfId="9004"/>
    <cellStyle name="Comma 37" xfId="2419"/>
    <cellStyle name="Comma 37 2" xfId="2420"/>
    <cellStyle name="Comma 37 2 2" xfId="2421"/>
    <cellStyle name="Comma 37 2 2 2" xfId="2422"/>
    <cellStyle name="Comma 37 2 2 2 2" xfId="9017"/>
    <cellStyle name="Comma 37 2 2 3" xfId="9016"/>
    <cellStyle name="Comma 37 2 3" xfId="2423"/>
    <cellStyle name="Comma 37 2 3 2" xfId="9018"/>
    <cellStyle name="Comma 37 2 4" xfId="2424"/>
    <cellStyle name="Comma 37 2 4 2" xfId="9019"/>
    <cellStyle name="Comma 37 2 5" xfId="9015"/>
    <cellStyle name="Comma 37 3" xfId="2425"/>
    <cellStyle name="Comma 37 3 2" xfId="2426"/>
    <cellStyle name="Comma 37 3 2 2" xfId="9021"/>
    <cellStyle name="Comma 37 3 3" xfId="9020"/>
    <cellStyle name="Comma 37 4" xfId="2427"/>
    <cellStyle name="Comma 37 4 2" xfId="9022"/>
    <cellStyle name="Comma 37 5" xfId="2428"/>
    <cellStyle name="Comma 37 5 2" xfId="9023"/>
    <cellStyle name="Comma 37 6" xfId="9014"/>
    <cellStyle name="Comma 38" xfId="2429"/>
    <cellStyle name="Comma 38 2" xfId="2430"/>
    <cellStyle name="Comma 38 2 2" xfId="2431"/>
    <cellStyle name="Comma 38 2 2 2" xfId="2432"/>
    <cellStyle name="Comma 38 2 2 2 2" xfId="9027"/>
    <cellStyle name="Comma 38 2 2 3" xfId="9026"/>
    <cellStyle name="Comma 38 2 3" xfId="2433"/>
    <cellStyle name="Comma 38 2 3 2" xfId="9028"/>
    <cellStyle name="Comma 38 2 4" xfId="2434"/>
    <cellStyle name="Comma 38 2 4 2" xfId="9029"/>
    <cellStyle name="Comma 38 2 5" xfId="9025"/>
    <cellStyle name="Comma 38 3" xfId="2435"/>
    <cellStyle name="Comma 38 3 2" xfId="2436"/>
    <cellStyle name="Comma 38 3 2 2" xfId="9031"/>
    <cellStyle name="Comma 38 3 3" xfId="9030"/>
    <cellStyle name="Comma 38 4" xfId="2437"/>
    <cellStyle name="Comma 38 4 2" xfId="9032"/>
    <cellStyle name="Comma 38 5" xfId="2438"/>
    <cellStyle name="Comma 38 5 2" xfId="9033"/>
    <cellStyle name="Comma 38 6" xfId="9024"/>
    <cellStyle name="Comma 39" xfId="2439"/>
    <cellStyle name="Comma 39 2" xfId="2440"/>
    <cellStyle name="Comma 39 2 2" xfId="2441"/>
    <cellStyle name="Comma 39 2 2 2" xfId="2442"/>
    <cellStyle name="Comma 39 2 2 2 2" xfId="9037"/>
    <cellStyle name="Comma 39 2 2 3" xfId="9036"/>
    <cellStyle name="Comma 39 2 3" xfId="2443"/>
    <cellStyle name="Comma 39 2 3 2" xfId="9038"/>
    <cellStyle name="Comma 39 2 4" xfId="2444"/>
    <cellStyle name="Comma 39 2 4 2" xfId="9039"/>
    <cellStyle name="Comma 39 2 5" xfId="9035"/>
    <cellStyle name="Comma 39 3" xfId="2445"/>
    <cellStyle name="Comma 39 3 2" xfId="2446"/>
    <cellStyle name="Comma 39 3 2 2" xfId="9041"/>
    <cellStyle name="Comma 39 3 3" xfId="9040"/>
    <cellStyle name="Comma 39 4" xfId="2447"/>
    <cellStyle name="Comma 39 4 2" xfId="9042"/>
    <cellStyle name="Comma 39 5" xfId="2448"/>
    <cellStyle name="Comma 39 5 2" xfId="9043"/>
    <cellStyle name="Comma 39 6" xfId="9034"/>
    <cellStyle name="Comma 4" xfId="2449"/>
    <cellStyle name="Comma 4 2" xfId="2450"/>
    <cellStyle name="Comma 4 2 2" xfId="2451"/>
    <cellStyle name="Comma 4 2 2 2" xfId="2452"/>
    <cellStyle name="Comma 4 2 2 2 2" xfId="9047"/>
    <cellStyle name="Comma 4 2 2 3" xfId="9046"/>
    <cellStyle name="Comma 4 2 3" xfId="2453"/>
    <cellStyle name="Comma 4 2 3 2" xfId="9048"/>
    <cellStyle name="Comma 4 2 4" xfId="2454"/>
    <cellStyle name="Comma 4 2 4 2" xfId="9049"/>
    <cellStyle name="Comma 4 2 5" xfId="9045"/>
    <cellStyle name="Comma 4 3" xfId="2455"/>
    <cellStyle name="Comma 4 3 2" xfId="2456"/>
    <cellStyle name="Comma 4 3 2 2" xfId="9051"/>
    <cellStyle name="Comma 4 3 3" xfId="9050"/>
    <cellStyle name="Comma 4 4" xfId="2457"/>
    <cellStyle name="Comma 4 4 2" xfId="9052"/>
    <cellStyle name="Comma 4 5" xfId="2458"/>
    <cellStyle name="Comma 4 5 2" xfId="9053"/>
    <cellStyle name="Comma 4 6" xfId="9044"/>
    <cellStyle name="Comma 40" xfId="2459"/>
    <cellStyle name="Comma 40 2" xfId="2460"/>
    <cellStyle name="Comma 40 2 2" xfId="2461"/>
    <cellStyle name="Comma 40 2 2 2" xfId="2462"/>
    <cellStyle name="Comma 40 2 2 2 2" xfId="9057"/>
    <cellStyle name="Comma 40 2 2 3" xfId="9056"/>
    <cellStyle name="Comma 40 2 3" xfId="2463"/>
    <cellStyle name="Comma 40 2 3 2" xfId="9058"/>
    <cellStyle name="Comma 40 2 4" xfId="2464"/>
    <cellStyle name="Comma 40 2 4 2" xfId="9059"/>
    <cellStyle name="Comma 40 2 5" xfId="9055"/>
    <cellStyle name="Comma 40 3" xfId="2465"/>
    <cellStyle name="Comma 40 3 2" xfId="2466"/>
    <cellStyle name="Comma 40 3 2 2" xfId="9061"/>
    <cellStyle name="Comma 40 3 3" xfId="9060"/>
    <cellStyle name="Comma 40 4" xfId="2467"/>
    <cellStyle name="Comma 40 4 2" xfId="9062"/>
    <cellStyle name="Comma 40 5" xfId="2468"/>
    <cellStyle name="Comma 40 5 2" xfId="9063"/>
    <cellStyle name="Comma 40 6" xfId="9054"/>
    <cellStyle name="Comma 41" xfId="2469"/>
    <cellStyle name="Comma 41 2" xfId="2470"/>
    <cellStyle name="Comma 41 2 2" xfId="2471"/>
    <cellStyle name="Comma 41 2 2 2" xfId="2472"/>
    <cellStyle name="Comma 41 2 2 2 2" xfId="9067"/>
    <cellStyle name="Comma 41 2 2 3" xfId="9066"/>
    <cellStyle name="Comma 41 2 3" xfId="2473"/>
    <cellStyle name="Comma 41 2 3 2" xfId="9068"/>
    <cellStyle name="Comma 41 2 4" xfId="2474"/>
    <cellStyle name="Comma 41 2 4 2" xfId="9069"/>
    <cellStyle name="Comma 41 2 5" xfId="9065"/>
    <cellStyle name="Comma 41 3" xfId="2475"/>
    <cellStyle name="Comma 41 3 2" xfId="2476"/>
    <cellStyle name="Comma 41 3 2 2" xfId="9071"/>
    <cellStyle name="Comma 41 3 3" xfId="9070"/>
    <cellStyle name="Comma 41 4" xfId="2477"/>
    <cellStyle name="Comma 41 4 2" xfId="9072"/>
    <cellStyle name="Comma 41 5" xfId="2478"/>
    <cellStyle name="Comma 41 5 2" xfId="9073"/>
    <cellStyle name="Comma 41 6" xfId="9064"/>
    <cellStyle name="Comma 42" xfId="2479"/>
    <cellStyle name="Comma 42 2" xfId="2480"/>
    <cellStyle name="Comma 42 2 2" xfId="2481"/>
    <cellStyle name="Comma 42 2 2 2" xfId="2482"/>
    <cellStyle name="Comma 42 2 2 2 2" xfId="9077"/>
    <cellStyle name="Comma 42 2 2 3" xfId="9076"/>
    <cellStyle name="Comma 42 2 3" xfId="2483"/>
    <cellStyle name="Comma 42 2 3 2" xfId="9078"/>
    <cellStyle name="Comma 42 2 4" xfId="2484"/>
    <cellStyle name="Comma 42 2 4 2" xfId="9079"/>
    <cellStyle name="Comma 42 2 5" xfId="9075"/>
    <cellStyle name="Comma 42 3" xfId="2485"/>
    <cellStyle name="Comma 42 3 2" xfId="2486"/>
    <cellStyle name="Comma 42 3 2 2" xfId="9081"/>
    <cellStyle name="Comma 42 3 3" xfId="9080"/>
    <cellStyle name="Comma 42 4" xfId="2487"/>
    <cellStyle name="Comma 42 4 2" xfId="9082"/>
    <cellStyle name="Comma 42 5" xfId="2488"/>
    <cellStyle name="Comma 42 5 2" xfId="9083"/>
    <cellStyle name="Comma 42 6" xfId="9074"/>
    <cellStyle name="Comma 43" xfId="2489"/>
    <cellStyle name="Comma 43 2" xfId="2490"/>
    <cellStyle name="Comma 43 2 2" xfId="2491"/>
    <cellStyle name="Comma 43 2 2 2" xfId="2492"/>
    <cellStyle name="Comma 43 2 2 2 2" xfId="9087"/>
    <cellStyle name="Comma 43 2 2 3" xfId="9086"/>
    <cellStyle name="Comma 43 2 3" xfId="2493"/>
    <cellStyle name="Comma 43 2 3 2" xfId="9088"/>
    <cellStyle name="Comma 43 2 4" xfId="2494"/>
    <cellStyle name="Comma 43 2 4 2" xfId="9089"/>
    <cellStyle name="Comma 43 2 5" xfId="9085"/>
    <cellStyle name="Comma 43 3" xfId="2495"/>
    <cellStyle name="Comma 43 3 2" xfId="2496"/>
    <cellStyle name="Comma 43 3 2 2" xfId="9091"/>
    <cellStyle name="Comma 43 3 3" xfId="9090"/>
    <cellStyle name="Comma 43 4" xfId="2497"/>
    <cellStyle name="Comma 43 4 2" xfId="9092"/>
    <cellStyle name="Comma 43 5" xfId="2498"/>
    <cellStyle name="Comma 43 5 2" xfId="9093"/>
    <cellStyle name="Comma 43 6" xfId="9084"/>
    <cellStyle name="Comma 44" xfId="2499"/>
    <cellStyle name="Comma 44 2" xfId="2500"/>
    <cellStyle name="Comma 44 2 2" xfId="2501"/>
    <cellStyle name="Comma 44 2 2 2" xfId="2502"/>
    <cellStyle name="Comma 44 2 2 2 2" xfId="9097"/>
    <cellStyle name="Comma 44 2 2 3" xfId="9096"/>
    <cellStyle name="Comma 44 2 3" xfId="2503"/>
    <cellStyle name="Comma 44 2 3 2" xfId="9098"/>
    <cellStyle name="Comma 44 2 4" xfId="2504"/>
    <cellStyle name="Comma 44 2 4 2" xfId="9099"/>
    <cellStyle name="Comma 44 2 5" xfId="9095"/>
    <cellStyle name="Comma 44 3" xfId="2505"/>
    <cellStyle name="Comma 44 3 2" xfId="2506"/>
    <cellStyle name="Comma 44 3 2 2" xfId="9101"/>
    <cellStyle name="Comma 44 3 3" xfId="9100"/>
    <cellStyle name="Comma 44 4" xfId="2507"/>
    <cellStyle name="Comma 44 4 2" xfId="9102"/>
    <cellStyle name="Comma 44 5" xfId="2508"/>
    <cellStyle name="Comma 44 5 2" xfId="9103"/>
    <cellStyle name="Comma 44 6" xfId="9094"/>
    <cellStyle name="Comma 45" xfId="2509"/>
    <cellStyle name="Comma 45 2" xfId="2510"/>
    <cellStyle name="Comma 45 2 2" xfId="2511"/>
    <cellStyle name="Comma 45 2 2 2" xfId="2512"/>
    <cellStyle name="Comma 45 2 2 2 2" xfId="9107"/>
    <cellStyle name="Comma 45 2 2 3" xfId="9106"/>
    <cellStyle name="Comma 45 2 3" xfId="2513"/>
    <cellStyle name="Comma 45 2 3 2" xfId="9108"/>
    <cellStyle name="Comma 45 2 4" xfId="2514"/>
    <cellStyle name="Comma 45 2 4 2" xfId="9109"/>
    <cellStyle name="Comma 45 2 5" xfId="9105"/>
    <cellStyle name="Comma 45 3" xfId="2515"/>
    <cellStyle name="Comma 45 3 2" xfId="2516"/>
    <cellStyle name="Comma 45 3 2 2" xfId="9111"/>
    <cellStyle name="Comma 45 3 3" xfId="9110"/>
    <cellStyle name="Comma 45 4" xfId="2517"/>
    <cellStyle name="Comma 45 4 2" xfId="9112"/>
    <cellStyle name="Comma 45 5" xfId="2518"/>
    <cellStyle name="Comma 45 5 2" xfId="9113"/>
    <cellStyle name="Comma 45 6" xfId="9104"/>
    <cellStyle name="Comma 46" xfId="2519"/>
    <cellStyle name="Comma 46 2" xfId="2520"/>
    <cellStyle name="Comma 46 2 2" xfId="2521"/>
    <cellStyle name="Comma 46 2 2 2" xfId="2522"/>
    <cellStyle name="Comma 46 2 2 2 2" xfId="9117"/>
    <cellStyle name="Comma 46 2 2 3" xfId="9116"/>
    <cellStyle name="Comma 46 2 3" xfId="2523"/>
    <cellStyle name="Comma 46 2 3 2" xfId="9118"/>
    <cellStyle name="Comma 46 2 4" xfId="2524"/>
    <cellStyle name="Comma 46 2 4 2" xfId="9119"/>
    <cellStyle name="Comma 46 2 5" xfId="9115"/>
    <cellStyle name="Comma 46 3" xfId="2525"/>
    <cellStyle name="Comma 46 3 2" xfId="2526"/>
    <cellStyle name="Comma 46 3 2 2" xfId="9121"/>
    <cellStyle name="Comma 46 3 3" xfId="9120"/>
    <cellStyle name="Comma 46 4" xfId="2527"/>
    <cellStyle name="Comma 46 4 2" xfId="9122"/>
    <cellStyle name="Comma 46 5" xfId="2528"/>
    <cellStyle name="Comma 46 5 2" xfId="9123"/>
    <cellStyle name="Comma 46 6" xfId="9114"/>
    <cellStyle name="Comma 47" xfId="2529"/>
    <cellStyle name="Comma 47 2" xfId="2530"/>
    <cellStyle name="Comma 47 2 2" xfId="2531"/>
    <cellStyle name="Comma 47 2 2 2" xfId="2532"/>
    <cellStyle name="Comma 47 2 2 2 2" xfId="9127"/>
    <cellStyle name="Comma 47 2 2 3" xfId="9126"/>
    <cellStyle name="Comma 47 2 3" xfId="2533"/>
    <cellStyle name="Comma 47 2 3 2" xfId="9128"/>
    <cellStyle name="Comma 47 2 4" xfId="2534"/>
    <cellStyle name="Comma 47 2 4 2" xfId="9129"/>
    <cellStyle name="Comma 47 2 5" xfId="9125"/>
    <cellStyle name="Comma 47 3" xfId="2535"/>
    <cellStyle name="Comma 47 3 2" xfId="2536"/>
    <cellStyle name="Comma 47 3 2 2" xfId="9131"/>
    <cellStyle name="Comma 47 3 3" xfId="9130"/>
    <cellStyle name="Comma 47 4" xfId="2537"/>
    <cellStyle name="Comma 47 4 2" xfId="9132"/>
    <cellStyle name="Comma 47 5" xfId="2538"/>
    <cellStyle name="Comma 47 5 2" xfId="9133"/>
    <cellStyle name="Comma 47 6" xfId="9124"/>
    <cellStyle name="Comma 48" xfId="2539"/>
    <cellStyle name="Comma 48 2" xfId="2540"/>
    <cellStyle name="Comma 48 2 2" xfId="2541"/>
    <cellStyle name="Comma 48 2 2 2" xfId="2542"/>
    <cellStyle name="Comma 48 2 2 2 2" xfId="9137"/>
    <cellStyle name="Comma 48 2 2 3" xfId="9136"/>
    <cellStyle name="Comma 48 2 3" xfId="2543"/>
    <cellStyle name="Comma 48 2 3 2" xfId="9138"/>
    <cellStyle name="Comma 48 2 4" xfId="2544"/>
    <cellStyle name="Comma 48 2 4 2" xfId="9139"/>
    <cellStyle name="Comma 48 2 5" xfId="9135"/>
    <cellStyle name="Comma 48 3" xfId="2545"/>
    <cellStyle name="Comma 48 3 2" xfId="2546"/>
    <cellStyle name="Comma 48 3 2 2" xfId="9141"/>
    <cellStyle name="Comma 48 3 3" xfId="9140"/>
    <cellStyle name="Comma 48 4" xfId="2547"/>
    <cellStyle name="Comma 48 4 2" xfId="9142"/>
    <cellStyle name="Comma 48 5" xfId="2548"/>
    <cellStyle name="Comma 48 5 2" xfId="9143"/>
    <cellStyle name="Comma 48 6" xfId="9134"/>
    <cellStyle name="Comma 49" xfId="2549"/>
    <cellStyle name="Comma 49 2" xfId="2550"/>
    <cellStyle name="Comma 49 2 2" xfId="2551"/>
    <cellStyle name="Comma 49 2 2 2" xfId="2552"/>
    <cellStyle name="Comma 49 2 2 2 2" xfId="9147"/>
    <cellStyle name="Comma 49 2 2 3" xfId="9146"/>
    <cellStyle name="Comma 49 2 3" xfId="2553"/>
    <cellStyle name="Comma 49 2 3 2" xfId="9148"/>
    <cellStyle name="Comma 49 2 4" xfId="2554"/>
    <cellStyle name="Comma 49 2 4 2" xfId="9149"/>
    <cellStyle name="Comma 49 2 5" xfId="9145"/>
    <cellStyle name="Comma 49 3" xfId="2555"/>
    <cellStyle name="Comma 49 3 2" xfId="2556"/>
    <cellStyle name="Comma 49 3 2 2" xfId="9151"/>
    <cellStyle name="Comma 49 3 3" xfId="9150"/>
    <cellStyle name="Comma 49 4" xfId="2557"/>
    <cellStyle name="Comma 49 4 2" xfId="9152"/>
    <cellStyle name="Comma 49 5" xfId="2558"/>
    <cellStyle name="Comma 49 5 2" xfId="9153"/>
    <cellStyle name="Comma 49 6" xfId="9144"/>
    <cellStyle name="Comma 5" xfId="2559"/>
    <cellStyle name="Comma 5 2" xfId="2560"/>
    <cellStyle name="Comma 5 2 2" xfId="2561"/>
    <cellStyle name="Comma 5 2 2 2" xfId="2562"/>
    <cellStyle name="Comma 5 2 2 2 2" xfId="2563"/>
    <cellStyle name="Comma 5 2 2 2 2 2" xfId="9158"/>
    <cellStyle name="Comma 5 2 2 2 3" xfId="9157"/>
    <cellStyle name="Comma 5 2 2 3" xfId="2564"/>
    <cellStyle name="Comma 5 2 2 3 2" xfId="9159"/>
    <cellStyle name="Comma 5 2 2 4" xfId="2565"/>
    <cellStyle name="Comma 5 2 2 4 2" xfId="9160"/>
    <cellStyle name="Comma 5 2 2 5" xfId="9156"/>
    <cellStyle name="Comma 5 2 3" xfId="2566"/>
    <cellStyle name="Comma 5 2 3 2" xfId="2567"/>
    <cellStyle name="Comma 5 2 3 2 2" xfId="9162"/>
    <cellStyle name="Comma 5 2 3 3" xfId="9161"/>
    <cellStyle name="Comma 5 2 4" xfId="2568"/>
    <cellStyle name="Comma 5 2 4 2" xfId="9163"/>
    <cellStyle name="Comma 5 2 5" xfId="2569"/>
    <cellStyle name="Comma 5 2 5 2" xfId="9164"/>
    <cellStyle name="Comma 5 2 6" xfId="9155"/>
    <cellStyle name="Comma 5 3" xfId="2570"/>
    <cellStyle name="Comma 5 3 2" xfId="2571"/>
    <cellStyle name="Comma 5 3 2 2" xfId="2572"/>
    <cellStyle name="Comma 5 3 2 2 2" xfId="9167"/>
    <cellStyle name="Comma 5 3 2 3" xfId="9166"/>
    <cellStyle name="Comma 5 3 3" xfId="2573"/>
    <cellStyle name="Comma 5 3 3 2" xfId="9168"/>
    <cellStyle name="Comma 5 3 4" xfId="2574"/>
    <cellStyle name="Comma 5 3 4 2" xfId="9169"/>
    <cellStyle name="Comma 5 3 5" xfId="9165"/>
    <cellStyle name="Comma 5 4" xfId="2575"/>
    <cellStyle name="Comma 5 4 2" xfId="2576"/>
    <cellStyle name="Comma 5 4 2 2" xfId="9171"/>
    <cellStyle name="Comma 5 4 3" xfId="9170"/>
    <cellStyle name="Comma 5 5" xfId="2577"/>
    <cellStyle name="Comma 5 5 2" xfId="9172"/>
    <cellStyle name="Comma 5 6" xfId="2578"/>
    <cellStyle name="Comma 5 6 2" xfId="9173"/>
    <cellStyle name="Comma 5 7" xfId="9154"/>
    <cellStyle name="Comma 50" xfId="2579"/>
    <cellStyle name="Comma 50 2" xfId="2580"/>
    <cellStyle name="Comma 50 2 2" xfId="2581"/>
    <cellStyle name="Comma 50 2 2 2" xfId="2582"/>
    <cellStyle name="Comma 50 2 2 2 2" xfId="9177"/>
    <cellStyle name="Comma 50 2 2 3" xfId="9176"/>
    <cellStyle name="Comma 50 2 3" xfId="2583"/>
    <cellStyle name="Comma 50 2 3 2" xfId="9178"/>
    <cellStyle name="Comma 50 2 4" xfId="2584"/>
    <cellStyle name="Comma 50 2 4 2" xfId="9179"/>
    <cellStyle name="Comma 50 2 5" xfId="9175"/>
    <cellStyle name="Comma 50 3" xfId="2585"/>
    <cellStyle name="Comma 50 3 2" xfId="2586"/>
    <cellStyle name="Comma 50 3 2 2" xfId="9181"/>
    <cellStyle name="Comma 50 3 3" xfId="9180"/>
    <cellStyle name="Comma 50 4" xfId="2587"/>
    <cellStyle name="Comma 50 4 2" xfId="9182"/>
    <cellStyle name="Comma 50 5" xfId="2588"/>
    <cellStyle name="Comma 50 5 2" xfId="9183"/>
    <cellStyle name="Comma 50 6" xfId="9174"/>
    <cellStyle name="Comma 51" xfId="2589"/>
    <cellStyle name="Comma 51 2" xfId="2590"/>
    <cellStyle name="Comma 51 2 2" xfId="2591"/>
    <cellStyle name="Comma 51 2 2 2" xfId="2592"/>
    <cellStyle name="Comma 51 2 2 2 2" xfId="9187"/>
    <cellStyle name="Comma 51 2 2 3" xfId="9186"/>
    <cellStyle name="Comma 51 2 3" xfId="2593"/>
    <cellStyle name="Comma 51 2 3 2" xfId="9188"/>
    <cellStyle name="Comma 51 2 4" xfId="2594"/>
    <cellStyle name="Comma 51 2 4 2" xfId="9189"/>
    <cellStyle name="Comma 51 2 5" xfId="9185"/>
    <cellStyle name="Comma 51 3" xfId="2595"/>
    <cellStyle name="Comma 51 3 2" xfId="2596"/>
    <cellStyle name="Comma 51 3 2 2" xfId="9191"/>
    <cellStyle name="Comma 51 3 3" xfId="9190"/>
    <cellStyle name="Comma 51 4" xfId="2597"/>
    <cellStyle name="Comma 51 4 2" xfId="9192"/>
    <cellStyle name="Comma 51 5" xfId="2598"/>
    <cellStyle name="Comma 51 5 2" xfId="9193"/>
    <cellStyle name="Comma 51 6" xfId="9184"/>
    <cellStyle name="Comma 52" xfId="2599"/>
    <cellStyle name="Comma 52 2" xfId="2600"/>
    <cellStyle name="Comma 52 2 2" xfId="2601"/>
    <cellStyle name="Comma 52 2 2 2" xfId="2602"/>
    <cellStyle name="Comma 52 2 2 2 2" xfId="9197"/>
    <cellStyle name="Comma 52 2 2 3" xfId="9196"/>
    <cellStyle name="Comma 52 2 3" xfId="2603"/>
    <cellStyle name="Comma 52 2 3 2" xfId="9198"/>
    <cellStyle name="Comma 52 2 4" xfId="2604"/>
    <cellStyle name="Comma 52 2 4 2" xfId="9199"/>
    <cellStyle name="Comma 52 2 5" xfId="9195"/>
    <cellStyle name="Comma 52 3" xfId="2605"/>
    <cellStyle name="Comma 52 3 2" xfId="2606"/>
    <cellStyle name="Comma 52 3 2 2" xfId="9201"/>
    <cellStyle name="Comma 52 3 3" xfId="9200"/>
    <cellStyle name="Comma 52 4" xfId="2607"/>
    <cellStyle name="Comma 52 4 2" xfId="9202"/>
    <cellStyle name="Comma 52 5" xfId="2608"/>
    <cellStyle name="Comma 52 5 2" xfId="9203"/>
    <cellStyle name="Comma 52 6" xfId="9194"/>
    <cellStyle name="Comma 53" xfId="2609"/>
    <cellStyle name="Comma 53 2" xfId="2610"/>
    <cellStyle name="Comma 53 2 2" xfId="2611"/>
    <cellStyle name="Comma 53 2 2 2" xfId="2612"/>
    <cellStyle name="Comma 53 2 2 2 2" xfId="9207"/>
    <cellStyle name="Comma 53 2 2 3" xfId="9206"/>
    <cellStyle name="Comma 53 2 3" xfId="2613"/>
    <cellStyle name="Comma 53 2 3 2" xfId="9208"/>
    <cellStyle name="Comma 53 2 4" xfId="2614"/>
    <cellStyle name="Comma 53 2 4 2" xfId="9209"/>
    <cellStyle name="Comma 53 2 5" xfId="9205"/>
    <cellStyle name="Comma 53 3" xfId="2615"/>
    <cellStyle name="Comma 53 3 2" xfId="2616"/>
    <cellStyle name="Comma 53 3 2 2" xfId="9211"/>
    <cellStyle name="Comma 53 3 3" xfId="9210"/>
    <cellStyle name="Comma 53 4" xfId="2617"/>
    <cellStyle name="Comma 53 4 2" xfId="9212"/>
    <cellStyle name="Comma 53 5" xfId="2618"/>
    <cellStyle name="Comma 53 5 2" xfId="9213"/>
    <cellStyle name="Comma 53 6" xfId="9204"/>
    <cellStyle name="Comma 54" xfId="2619"/>
    <cellStyle name="Comma 54 2" xfId="2620"/>
    <cellStyle name="Comma 54 2 2" xfId="2621"/>
    <cellStyle name="Comma 54 2 2 2" xfId="2622"/>
    <cellStyle name="Comma 54 2 2 2 2" xfId="9217"/>
    <cellStyle name="Comma 54 2 2 3" xfId="9216"/>
    <cellStyle name="Comma 54 2 3" xfId="2623"/>
    <cellStyle name="Comma 54 2 3 2" xfId="9218"/>
    <cellStyle name="Comma 54 2 4" xfId="2624"/>
    <cellStyle name="Comma 54 2 4 2" xfId="9219"/>
    <cellStyle name="Comma 54 2 5" xfId="9215"/>
    <cellStyle name="Comma 54 3" xfId="2625"/>
    <cellStyle name="Comma 54 3 2" xfId="2626"/>
    <cellStyle name="Comma 54 3 2 2" xfId="9221"/>
    <cellStyle name="Comma 54 3 3" xfId="9220"/>
    <cellStyle name="Comma 54 4" xfId="2627"/>
    <cellStyle name="Comma 54 4 2" xfId="9222"/>
    <cellStyle name="Comma 54 5" xfId="2628"/>
    <cellStyle name="Comma 54 5 2" xfId="9223"/>
    <cellStyle name="Comma 54 6" xfId="9214"/>
    <cellStyle name="Comma 55" xfId="2629"/>
    <cellStyle name="Comma 55 2" xfId="2630"/>
    <cellStyle name="Comma 55 2 2" xfId="2631"/>
    <cellStyle name="Comma 55 2 2 2" xfId="2632"/>
    <cellStyle name="Comma 55 2 2 2 2" xfId="9227"/>
    <cellStyle name="Comma 55 2 2 3" xfId="9226"/>
    <cellStyle name="Comma 55 2 3" xfId="2633"/>
    <cellStyle name="Comma 55 2 3 2" xfId="9228"/>
    <cellStyle name="Comma 55 2 4" xfId="2634"/>
    <cellStyle name="Comma 55 2 4 2" xfId="9229"/>
    <cellStyle name="Comma 55 2 5" xfId="9225"/>
    <cellStyle name="Comma 55 3" xfId="2635"/>
    <cellStyle name="Comma 55 3 2" xfId="2636"/>
    <cellStyle name="Comma 55 3 2 2" xfId="9231"/>
    <cellStyle name="Comma 55 3 3" xfId="9230"/>
    <cellStyle name="Comma 55 4" xfId="2637"/>
    <cellStyle name="Comma 55 4 2" xfId="9232"/>
    <cellStyle name="Comma 55 5" xfId="2638"/>
    <cellStyle name="Comma 55 5 2" xfId="9233"/>
    <cellStyle name="Comma 55 6" xfId="9224"/>
    <cellStyle name="Comma 56" xfId="2639"/>
    <cellStyle name="Comma 56 2" xfId="2640"/>
    <cellStyle name="Comma 56 2 2" xfId="2641"/>
    <cellStyle name="Comma 56 2 2 2" xfId="2642"/>
    <cellStyle name="Comma 56 2 2 2 2" xfId="9237"/>
    <cellStyle name="Comma 56 2 2 3" xfId="9236"/>
    <cellStyle name="Comma 56 2 3" xfId="2643"/>
    <cellStyle name="Comma 56 2 3 2" xfId="9238"/>
    <cellStyle name="Comma 56 2 4" xfId="2644"/>
    <cellStyle name="Comma 56 2 4 2" xfId="9239"/>
    <cellStyle name="Comma 56 2 5" xfId="9235"/>
    <cellStyle name="Comma 56 3" xfId="2645"/>
    <cellStyle name="Comma 56 3 2" xfId="2646"/>
    <cellStyle name="Comma 56 3 2 2" xfId="9241"/>
    <cellStyle name="Comma 56 3 3" xfId="9240"/>
    <cellStyle name="Comma 56 4" xfId="2647"/>
    <cellStyle name="Comma 56 4 2" xfId="9242"/>
    <cellStyle name="Comma 56 5" xfId="2648"/>
    <cellStyle name="Comma 56 5 2" xfId="9243"/>
    <cellStyle name="Comma 56 6" xfId="9234"/>
    <cellStyle name="Comma 57" xfId="2649"/>
    <cellStyle name="Comma 57 2" xfId="2650"/>
    <cellStyle name="Comma 57 2 2" xfId="2651"/>
    <cellStyle name="Comma 57 2 2 2" xfId="2652"/>
    <cellStyle name="Comma 57 2 2 2 2" xfId="9247"/>
    <cellStyle name="Comma 57 2 2 3" xfId="9246"/>
    <cellStyle name="Comma 57 2 3" xfId="2653"/>
    <cellStyle name="Comma 57 2 3 2" xfId="9248"/>
    <cellStyle name="Comma 57 2 4" xfId="2654"/>
    <cellStyle name="Comma 57 2 4 2" xfId="9249"/>
    <cellStyle name="Comma 57 2 5" xfId="9245"/>
    <cellStyle name="Comma 57 3" xfId="2655"/>
    <cellStyle name="Comma 57 3 2" xfId="2656"/>
    <cellStyle name="Comma 57 3 2 2" xfId="9251"/>
    <cellStyle name="Comma 57 3 3" xfId="9250"/>
    <cellStyle name="Comma 57 4" xfId="2657"/>
    <cellStyle name="Comma 57 4 2" xfId="9252"/>
    <cellStyle name="Comma 57 5" xfId="2658"/>
    <cellStyle name="Comma 57 5 2" xfId="9253"/>
    <cellStyle name="Comma 57 6" xfId="9244"/>
    <cellStyle name="Comma 58" xfId="2659"/>
    <cellStyle name="Comma 58 2" xfId="2660"/>
    <cellStyle name="Comma 58 2 2" xfId="2661"/>
    <cellStyle name="Comma 58 2 2 2" xfId="2662"/>
    <cellStyle name="Comma 58 2 2 2 2" xfId="9257"/>
    <cellStyle name="Comma 58 2 2 3" xfId="9256"/>
    <cellStyle name="Comma 58 2 3" xfId="2663"/>
    <cellStyle name="Comma 58 2 3 2" xfId="9258"/>
    <cellStyle name="Comma 58 2 4" xfId="2664"/>
    <cellStyle name="Comma 58 2 4 2" xfId="9259"/>
    <cellStyle name="Comma 58 2 5" xfId="9255"/>
    <cellStyle name="Comma 58 3" xfId="2665"/>
    <cellStyle name="Comma 58 3 2" xfId="2666"/>
    <cellStyle name="Comma 58 3 2 2" xfId="9261"/>
    <cellStyle name="Comma 58 3 3" xfId="9260"/>
    <cellStyle name="Comma 58 4" xfId="2667"/>
    <cellStyle name="Comma 58 4 2" xfId="9262"/>
    <cellStyle name="Comma 58 5" xfId="2668"/>
    <cellStyle name="Comma 58 5 2" xfId="9263"/>
    <cellStyle name="Comma 58 6" xfId="9254"/>
    <cellStyle name="Comma 59" xfId="2669"/>
    <cellStyle name="Comma 59 2" xfId="2670"/>
    <cellStyle name="Comma 59 2 2" xfId="2671"/>
    <cellStyle name="Comma 59 2 2 2" xfId="2672"/>
    <cellStyle name="Comma 59 2 2 2 2" xfId="9267"/>
    <cellStyle name="Comma 59 2 2 3" xfId="9266"/>
    <cellStyle name="Comma 59 2 3" xfId="2673"/>
    <cellStyle name="Comma 59 2 3 2" xfId="9268"/>
    <cellStyle name="Comma 59 2 4" xfId="2674"/>
    <cellStyle name="Comma 59 2 4 2" xfId="9269"/>
    <cellStyle name="Comma 59 2 5" xfId="9265"/>
    <cellStyle name="Comma 59 3" xfId="2675"/>
    <cellStyle name="Comma 59 3 2" xfId="2676"/>
    <cellStyle name="Comma 59 3 2 2" xfId="9271"/>
    <cellStyle name="Comma 59 3 3" xfId="9270"/>
    <cellStyle name="Comma 59 4" xfId="2677"/>
    <cellStyle name="Comma 59 4 2" xfId="9272"/>
    <cellStyle name="Comma 59 5" xfId="2678"/>
    <cellStyle name="Comma 59 5 2" xfId="9273"/>
    <cellStyle name="Comma 59 6" xfId="9264"/>
    <cellStyle name="Comma 6" xfId="2679"/>
    <cellStyle name="Comma 6 2" xfId="2680"/>
    <cellStyle name="Comma 6 2 2" xfId="2681"/>
    <cellStyle name="Comma 6 2 2 2" xfId="2682"/>
    <cellStyle name="Comma 6 2 2 2 2" xfId="2683"/>
    <cellStyle name="Comma 6 2 2 2 2 2" xfId="9278"/>
    <cellStyle name="Comma 6 2 2 2 3" xfId="9277"/>
    <cellStyle name="Comma 6 2 2 3" xfId="2684"/>
    <cellStyle name="Comma 6 2 2 3 2" xfId="9279"/>
    <cellStyle name="Comma 6 2 2 4" xfId="2685"/>
    <cellStyle name="Comma 6 2 2 4 2" xfId="9280"/>
    <cellStyle name="Comma 6 2 2 5" xfId="9276"/>
    <cellStyle name="Comma 6 2 3" xfId="2686"/>
    <cellStyle name="Comma 6 2 3 2" xfId="2687"/>
    <cellStyle name="Comma 6 2 3 2 2" xfId="9282"/>
    <cellStyle name="Comma 6 2 3 3" xfId="9281"/>
    <cellStyle name="Comma 6 2 4" xfId="2688"/>
    <cellStyle name="Comma 6 2 4 2" xfId="9283"/>
    <cellStyle name="Comma 6 2 5" xfId="2689"/>
    <cellStyle name="Comma 6 2 5 2" xfId="9284"/>
    <cellStyle name="Comma 6 2 6" xfId="9275"/>
    <cellStyle name="Comma 6 3" xfId="2690"/>
    <cellStyle name="Comma 6 3 2" xfId="2691"/>
    <cellStyle name="Comma 6 3 2 2" xfId="2692"/>
    <cellStyle name="Comma 6 3 2 2 2" xfId="9287"/>
    <cellStyle name="Comma 6 3 2 3" xfId="9286"/>
    <cellStyle name="Comma 6 3 3" xfId="2693"/>
    <cellStyle name="Comma 6 3 3 2" xfId="9288"/>
    <cellStyle name="Comma 6 3 4" xfId="2694"/>
    <cellStyle name="Comma 6 3 4 2" xfId="9289"/>
    <cellStyle name="Comma 6 3 5" xfId="9285"/>
    <cellStyle name="Comma 6 4" xfId="2695"/>
    <cellStyle name="Comma 6 4 2" xfId="2696"/>
    <cellStyle name="Comma 6 4 2 2" xfId="9291"/>
    <cellStyle name="Comma 6 4 3" xfId="9290"/>
    <cellStyle name="Comma 6 5" xfId="2697"/>
    <cellStyle name="Comma 6 5 2" xfId="9292"/>
    <cellStyle name="Comma 6 6" xfId="2698"/>
    <cellStyle name="Comma 6 6 2" xfId="9293"/>
    <cellStyle name="Comma 6 7" xfId="9274"/>
    <cellStyle name="Comma 60" xfId="2699"/>
    <cellStyle name="Comma 60 2" xfId="2700"/>
    <cellStyle name="Comma 60 2 2" xfId="2701"/>
    <cellStyle name="Comma 60 2 2 2" xfId="2702"/>
    <cellStyle name="Comma 60 2 2 2 2" xfId="9297"/>
    <cellStyle name="Comma 60 2 2 3" xfId="9296"/>
    <cellStyle name="Comma 60 2 3" xfId="2703"/>
    <cellStyle name="Comma 60 2 3 2" xfId="9298"/>
    <cellStyle name="Comma 60 2 4" xfId="2704"/>
    <cellStyle name="Comma 60 2 4 2" xfId="9299"/>
    <cellStyle name="Comma 60 2 5" xfId="9295"/>
    <cellStyle name="Comma 60 3" xfId="2705"/>
    <cellStyle name="Comma 60 3 2" xfId="2706"/>
    <cellStyle name="Comma 60 3 2 2" xfId="9301"/>
    <cellStyle name="Comma 60 3 3" xfId="9300"/>
    <cellStyle name="Comma 60 4" xfId="2707"/>
    <cellStyle name="Comma 60 4 2" xfId="9302"/>
    <cellStyle name="Comma 60 5" xfId="2708"/>
    <cellStyle name="Comma 60 5 2" xfId="9303"/>
    <cellStyle name="Comma 60 6" xfId="9294"/>
    <cellStyle name="Comma 61" xfId="2709"/>
    <cellStyle name="Comma 61 2" xfId="2710"/>
    <cellStyle name="Comma 61 2 2" xfId="2711"/>
    <cellStyle name="Comma 61 2 2 2" xfId="9306"/>
    <cellStyle name="Comma 61 2 3" xfId="9305"/>
    <cellStyle name="Comma 61 3" xfId="2712"/>
    <cellStyle name="Comma 61 3 2" xfId="9307"/>
    <cellStyle name="Comma 61 4" xfId="2713"/>
    <cellStyle name="Comma 61 4 2" xfId="9308"/>
    <cellStyle name="Comma 61 5" xfId="9304"/>
    <cellStyle name="Comma 62" xfId="2714"/>
    <cellStyle name="Comma 62 2" xfId="2715"/>
    <cellStyle name="Comma 62 2 2" xfId="2716"/>
    <cellStyle name="Comma 62 2 2 2" xfId="9311"/>
    <cellStyle name="Comma 62 2 3" xfId="9310"/>
    <cellStyle name="Comma 62 3" xfId="2717"/>
    <cellStyle name="Comma 62 3 2" xfId="9312"/>
    <cellStyle name="Comma 62 4" xfId="2718"/>
    <cellStyle name="Comma 62 4 2" xfId="9313"/>
    <cellStyle name="Comma 62 5" xfId="9309"/>
    <cellStyle name="Comma 63" xfId="2719"/>
    <cellStyle name="Comma 63 2" xfId="2720"/>
    <cellStyle name="Comma 63 2 2" xfId="2721"/>
    <cellStyle name="Comma 63 2 2 2" xfId="9316"/>
    <cellStyle name="Comma 63 2 3" xfId="9315"/>
    <cellStyle name="Comma 63 3" xfId="2722"/>
    <cellStyle name="Comma 63 3 2" xfId="9317"/>
    <cellStyle name="Comma 63 4" xfId="2723"/>
    <cellStyle name="Comma 63 4 2" xfId="9318"/>
    <cellStyle name="Comma 63 5" xfId="9314"/>
    <cellStyle name="Comma 64" xfId="2724"/>
    <cellStyle name="Comma 64 2" xfId="2725"/>
    <cellStyle name="Comma 64 2 2" xfId="2726"/>
    <cellStyle name="Comma 64 2 2 2" xfId="9321"/>
    <cellStyle name="Comma 64 2 3" xfId="9320"/>
    <cellStyle name="Comma 64 3" xfId="2727"/>
    <cellStyle name="Comma 64 3 2" xfId="9322"/>
    <cellStyle name="Comma 64 4" xfId="2728"/>
    <cellStyle name="Comma 64 4 2" xfId="9323"/>
    <cellStyle name="Comma 64 5" xfId="9319"/>
    <cellStyle name="Comma 65" xfId="2729"/>
    <cellStyle name="Comma 65 2" xfId="2730"/>
    <cellStyle name="Comma 65 2 2" xfId="2731"/>
    <cellStyle name="Comma 65 2 2 2" xfId="9326"/>
    <cellStyle name="Comma 65 2 3" xfId="9325"/>
    <cellStyle name="Comma 65 3" xfId="2732"/>
    <cellStyle name="Comma 65 3 2" xfId="9327"/>
    <cellStyle name="Comma 65 4" xfId="2733"/>
    <cellStyle name="Comma 65 4 2" xfId="9328"/>
    <cellStyle name="Comma 65 5" xfId="9324"/>
    <cellStyle name="Comma 66" xfId="2734"/>
    <cellStyle name="Comma 66 2" xfId="2735"/>
    <cellStyle name="Comma 66 2 2" xfId="2736"/>
    <cellStyle name="Comma 66 2 2 2" xfId="9331"/>
    <cellStyle name="Comma 66 2 3" xfId="9330"/>
    <cellStyle name="Comma 66 3" xfId="2737"/>
    <cellStyle name="Comma 66 3 2" xfId="9332"/>
    <cellStyle name="Comma 66 4" xfId="2738"/>
    <cellStyle name="Comma 66 4 2" xfId="9333"/>
    <cellStyle name="Comma 66 5" xfId="9329"/>
    <cellStyle name="Comma 67" xfId="2739"/>
    <cellStyle name="Comma 67 2" xfId="2740"/>
    <cellStyle name="Comma 67 2 2" xfId="2741"/>
    <cellStyle name="Comma 67 2 2 2" xfId="9336"/>
    <cellStyle name="Comma 67 2 3" xfId="9335"/>
    <cellStyle name="Comma 67 3" xfId="2742"/>
    <cellStyle name="Comma 67 3 2" xfId="9337"/>
    <cellStyle name="Comma 67 4" xfId="2743"/>
    <cellStyle name="Comma 67 4 2" xfId="9338"/>
    <cellStyle name="Comma 67 5" xfId="9334"/>
    <cellStyle name="Comma 68" xfId="2744"/>
    <cellStyle name="Comma 68 2" xfId="2745"/>
    <cellStyle name="Comma 68 2 2" xfId="2746"/>
    <cellStyle name="Comma 68 2 2 2" xfId="9341"/>
    <cellStyle name="Comma 68 2 3" xfId="9340"/>
    <cellStyle name="Comma 68 3" xfId="2747"/>
    <cellStyle name="Comma 68 3 2" xfId="9342"/>
    <cellStyle name="Comma 68 4" xfId="2748"/>
    <cellStyle name="Comma 68 4 2" xfId="9343"/>
    <cellStyle name="Comma 68 5" xfId="9339"/>
    <cellStyle name="Comma 69" xfId="2749"/>
    <cellStyle name="Comma 69 2" xfId="2750"/>
    <cellStyle name="Comma 69 2 2" xfId="2751"/>
    <cellStyle name="Comma 69 2 2 2" xfId="9346"/>
    <cellStyle name="Comma 69 2 3" xfId="9345"/>
    <cellStyle name="Comma 69 3" xfId="2752"/>
    <cellStyle name="Comma 69 3 2" xfId="9347"/>
    <cellStyle name="Comma 69 4" xfId="2753"/>
    <cellStyle name="Comma 69 4 2" xfId="9348"/>
    <cellStyle name="Comma 69 5" xfId="9344"/>
    <cellStyle name="Comma 7" xfId="2754"/>
    <cellStyle name="Comma 7 2" xfId="2755"/>
    <cellStyle name="Comma 7 2 2" xfId="2756"/>
    <cellStyle name="Comma 7 2 2 2" xfId="2757"/>
    <cellStyle name="Comma 7 2 2 2 2" xfId="2758"/>
    <cellStyle name="Comma 7 2 2 2 2 2" xfId="2759"/>
    <cellStyle name="Comma 7 2 2 2 2 2 2" xfId="9354"/>
    <cellStyle name="Comma 7 2 2 2 2 3" xfId="9353"/>
    <cellStyle name="Comma 7 2 2 2 3" xfId="2760"/>
    <cellStyle name="Comma 7 2 2 2 3 2" xfId="9355"/>
    <cellStyle name="Comma 7 2 2 2 4" xfId="2761"/>
    <cellStyle name="Comma 7 2 2 2 4 2" xfId="9356"/>
    <cellStyle name="Comma 7 2 2 2 5" xfId="9352"/>
    <cellStyle name="Comma 7 2 2 3" xfId="2762"/>
    <cellStyle name="Comma 7 2 2 3 2" xfId="2763"/>
    <cellStyle name="Comma 7 2 2 3 2 2" xfId="9358"/>
    <cellStyle name="Comma 7 2 2 3 3" xfId="9357"/>
    <cellStyle name="Comma 7 2 2 4" xfId="2764"/>
    <cellStyle name="Comma 7 2 2 4 2" xfId="9359"/>
    <cellStyle name="Comma 7 2 2 5" xfId="2765"/>
    <cellStyle name="Comma 7 2 2 5 2" xfId="9360"/>
    <cellStyle name="Comma 7 2 2 6" xfId="9351"/>
    <cellStyle name="Comma 7 2 3" xfId="2766"/>
    <cellStyle name="Comma 7 2 3 2" xfId="2767"/>
    <cellStyle name="Comma 7 2 3 2 2" xfId="2768"/>
    <cellStyle name="Comma 7 2 3 2 2 2" xfId="9363"/>
    <cellStyle name="Comma 7 2 3 2 3" xfId="9362"/>
    <cellStyle name="Comma 7 2 3 3" xfId="2769"/>
    <cellStyle name="Comma 7 2 3 3 2" xfId="9364"/>
    <cellStyle name="Comma 7 2 3 4" xfId="2770"/>
    <cellStyle name="Comma 7 2 3 4 2" xfId="9365"/>
    <cellStyle name="Comma 7 2 3 5" xfId="9361"/>
    <cellStyle name="Comma 7 2 4" xfId="2771"/>
    <cellStyle name="Comma 7 2 4 2" xfId="2772"/>
    <cellStyle name="Comma 7 2 4 2 2" xfId="9367"/>
    <cellStyle name="Comma 7 2 4 3" xfId="9366"/>
    <cellStyle name="Comma 7 2 5" xfId="2773"/>
    <cellStyle name="Comma 7 2 5 2" xfId="9368"/>
    <cellStyle name="Comma 7 2 6" xfId="2774"/>
    <cellStyle name="Comma 7 2 6 2" xfId="9369"/>
    <cellStyle name="Comma 7 2 7" xfId="9350"/>
    <cellStyle name="Comma 7 3" xfId="2775"/>
    <cellStyle name="Comma 7 3 2" xfId="2776"/>
    <cellStyle name="Comma 7 3 2 2" xfId="2777"/>
    <cellStyle name="Comma 7 3 2 2 2" xfId="2778"/>
    <cellStyle name="Comma 7 3 2 2 2 2" xfId="9373"/>
    <cellStyle name="Comma 7 3 2 2 3" xfId="9372"/>
    <cellStyle name="Comma 7 3 2 3" xfId="2779"/>
    <cellStyle name="Comma 7 3 2 3 2" xfId="9374"/>
    <cellStyle name="Comma 7 3 2 4" xfId="2780"/>
    <cellStyle name="Comma 7 3 2 4 2" xfId="9375"/>
    <cellStyle name="Comma 7 3 2 5" xfId="9371"/>
    <cellStyle name="Comma 7 3 3" xfId="2781"/>
    <cellStyle name="Comma 7 3 3 2" xfId="2782"/>
    <cellStyle name="Comma 7 3 3 2 2" xfId="9377"/>
    <cellStyle name="Comma 7 3 3 3" xfId="9376"/>
    <cellStyle name="Comma 7 3 4" xfId="2783"/>
    <cellStyle name="Comma 7 3 4 2" xfId="9378"/>
    <cellStyle name="Comma 7 3 5" xfId="2784"/>
    <cellStyle name="Comma 7 3 5 2" xfId="9379"/>
    <cellStyle name="Comma 7 3 6" xfId="9370"/>
    <cellStyle name="Comma 7 4" xfId="2785"/>
    <cellStyle name="Comma 7 4 2" xfId="2786"/>
    <cellStyle name="Comma 7 4 2 2" xfId="2787"/>
    <cellStyle name="Comma 7 4 2 2 2" xfId="2788"/>
    <cellStyle name="Comma 7 4 2 2 2 2" xfId="9383"/>
    <cellStyle name="Comma 7 4 2 2 3" xfId="9382"/>
    <cellStyle name="Comma 7 4 2 3" xfId="2789"/>
    <cellStyle name="Comma 7 4 2 3 2" xfId="9384"/>
    <cellStyle name="Comma 7 4 2 4" xfId="2790"/>
    <cellStyle name="Comma 7 4 2 4 2" xfId="9385"/>
    <cellStyle name="Comma 7 4 2 5" xfId="9381"/>
    <cellStyle name="Comma 7 4 3" xfId="2791"/>
    <cellStyle name="Comma 7 4 3 2" xfId="2792"/>
    <cellStyle name="Comma 7 4 3 2 2" xfId="9387"/>
    <cellStyle name="Comma 7 4 3 3" xfId="9386"/>
    <cellStyle name="Comma 7 4 4" xfId="2793"/>
    <cellStyle name="Comma 7 4 4 2" xfId="9388"/>
    <cellStyle name="Comma 7 4 5" xfId="2794"/>
    <cellStyle name="Comma 7 4 5 2" xfId="9389"/>
    <cellStyle name="Comma 7 4 6" xfId="9380"/>
    <cellStyle name="Comma 7 5" xfId="2795"/>
    <cellStyle name="Comma 7 5 2" xfId="2796"/>
    <cellStyle name="Comma 7 5 2 2" xfId="2797"/>
    <cellStyle name="Comma 7 5 2 2 2" xfId="9392"/>
    <cellStyle name="Comma 7 5 2 3" xfId="9391"/>
    <cellStyle name="Comma 7 5 3" xfId="2798"/>
    <cellStyle name="Comma 7 5 3 2" xfId="9393"/>
    <cellStyle name="Comma 7 5 4" xfId="2799"/>
    <cellStyle name="Comma 7 5 4 2" xfId="9394"/>
    <cellStyle name="Comma 7 5 5" xfId="9390"/>
    <cellStyle name="Comma 7 6" xfId="2800"/>
    <cellStyle name="Comma 7 6 2" xfId="2801"/>
    <cellStyle name="Comma 7 6 2 2" xfId="9396"/>
    <cellStyle name="Comma 7 6 3" xfId="9395"/>
    <cellStyle name="Comma 7 7" xfId="2802"/>
    <cellStyle name="Comma 7 7 2" xfId="9397"/>
    <cellStyle name="Comma 7 8" xfId="2803"/>
    <cellStyle name="Comma 7 8 2" xfId="9398"/>
    <cellStyle name="Comma 7 9" xfId="9349"/>
    <cellStyle name="Comma 70" xfId="2804"/>
    <cellStyle name="Comma 70 2" xfId="2805"/>
    <cellStyle name="Comma 70 2 2" xfId="2806"/>
    <cellStyle name="Comma 70 2 2 2" xfId="9401"/>
    <cellStyle name="Comma 70 2 3" xfId="9400"/>
    <cellStyle name="Comma 70 3" xfId="2807"/>
    <cellStyle name="Comma 70 3 2" xfId="9402"/>
    <cellStyle name="Comma 70 4" xfId="2808"/>
    <cellStyle name="Comma 70 4 2" xfId="9403"/>
    <cellStyle name="Comma 70 5" xfId="9399"/>
    <cellStyle name="Comma 71" xfId="2809"/>
    <cellStyle name="Comma 71 2" xfId="2810"/>
    <cellStyle name="Comma 71 2 2" xfId="2811"/>
    <cellStyle name="Comma 71 2 2 2" xfId="9406"/>
    <cellStyle name="Comma 71 2 3" xfId="9405"/>
    <cellStyle name="Comma 71 3" xfId="2812"/>
    <cellStyle name="Comma 71 3 2" xfId="9407"/>
    <cellStyle name="Comma 71 4" xfId="2813"/>
    <cellStyle name="Comma 71 4 2" xfId="9408"/>
    <cellStyle name="Comma 71 5" xfId="9404"/>
    <cellStyle name="Comma 72" xfId="2814"/>
    <cellStyle name="Comma 72 2" xfId="2815"/>
    <cellStyle name="Comma 72 2 2" xfId="2816"/>
    <cellStyle name="Comma 72 2 2 2" xfId="9411"/>
    <cellStyle name="Comma 72 2 3" xfId="9410"/>
    <cellStyle name="Comma 72 3" xfId="2817"/>
    <cellStyle name="Comma 72 3 2" xfId="9412"/>
    <cellStyle name="Comma 72 4" xfId="2818"/>
    <cellStyle name="Comma 72 4 2" xfId="9413"/>
    <cellStyle name="Comma 72 5" xfId="9409"/>
    <cellStyle name="Comma 73" xfId="2819"/>
    <cellStyle name="Comma 73 2" xfId="2820"/>
    <cellStyle name="Comma 73 2 2" xfId="2821"/>
    <cellStyle name="Comma 73 2 2 2" xfId="9416"/>
    <cellStyle name="Comma 73 2 3" xfId="9415"/>
    <cellStyle name="Comma 73 3" xfId="2822"/>
    <cellStyle name="Comma 73 3 2" xfId="9417"/>
    <cellStyle name="Comma 73 4" xfId="2823"/>
    <cellStyle name="Comma 73 4 2" xfId="9418"/>
    <cellStyle name="Comma 73 5" xfId="9414"/>
    <cellStyle name="Comma 74" xfId="2824"/>
    <cellStyle name="Comma 74 2" xfId="2825"/>
    <cellStyle name="Comma 74 2 2" xfId="2826"/>
    <cellStyle name="Comma 74 2 2 2" xfId="9421"/>
    <cellStyle name="Comma 74 2 3" xfId="9420"/>
    <cellStyle name="Comma 74 3" xfId="2827"/>
    <cellStyle name="Comma 74 3 2" xfId="9422"/>
    <cellStyle name="Comma 74 4" xfId="2828"/>
    <cellStyle name="Comma 74 4 2" xfId="9423"/>
    <cellStyle name="Comma 74 5" xfId="9419"/>
    <cellStyle name="Comma 75" xfId="2829"/>
    <cellStyle name="Comma 75 2" xfId="2830"/>
    <cellStyle name="Comma 75 2 2" xfId="2831"/>
    <cellStyle name="Comma 75 2 2 2" xfId="9426"/>
    <cellStyle name="Comma 75 2 3" xfId="9425"/>
    <cellStyle name="Comma 75 3" xfId="2832"/>
    <cellStyle name="Comma 75 3 2" xfId="9427"/>
    <cellStyle name="Comma 75 4" xfId="2833"/>
    <cellStyle name="Comma 75 4 2" xfId="9428"/>
    <cellStyle name="Comma 75 5" xfId="9424"/>
    <cellStyle name="Comma 76" xfId="2834"/>
    <cellStyle name="Comma 76 2" xfId="2835"/>
    <cellStyle name="Comma 76 2 2" xfId="2836"/>
    <cellStyle name="Comma 76 2 2 2" xfId="9431"/>
    <cellStyle name="Comma 76 2 3" xfId="9430"/>
    <cellStyle name="Comma 76 3" xfId="2837"/>
    <cellStyle name="Comma 76 3 2" xfId="9432"/>
    <cellStyle name="Comma 76 4" xfId="2838"/>
    <cellStyle name="Comma 76 4 2" xfId="9433"/>
    <cellStyle name="Comma 76 5" xfId="9429"/>
    <cellStyle name="Comma 77" xfId="2839"/>
    <cellStyle name="Comma 77 2" xfId="2840"/>
    <cellStyle name="Comma 77 2 2" xfId="2841"/>
    <cellStyle name="Comma 77 2 2 2" xfId="9436"/>
    <cellStyle name="Comma 77 2 3" xfId="9435"/>
    <cellStyle name="Comma 77 3" xfId="2842"/>
    <cellStyle name="Comma 77 3 2" xfId="9437"/>
    <cellStyle name="Comma 77 4" xfId="2843"/>
    <cellStyle name="Comma 77 4 2" xfId="9438"/>
    <cellStyle name="Comma 77 5" xfId="9434"/>
    <cellStyle name="Comma 78" xfId="2844"/>
    <cellStyle name="Comma 78 2" xfId="2845"/>
    <cellStyle name="Comma 78 2 2" xfId="2846"/>
    <cellStyle name="Comma 78 2 2 2" xfId="9441"/>
    <cellStyle name="Comma 78 2 3" xfId="9440"/>
    <cellStyle name="Comma 78 3" xfId="2847"/>
    <cellStyle name="Comma 78 3 2" xfId="9442"/>
    <cellStyle name="Comma 78 4" xfId="2848"/>
    <cellStyle name="Comma 78 4 2" xfId="9443"/>
    <cellStyle name="Comma 78 5" xfId="9439"/>
    <cellStyle name="Comma 79" xfId="2849"/>
    <cellStyle name="Comma 79 2" xfId="2850"/>
    <cellStyle name="Comma 79 2 2" xfId="2851"/>
    <cellStyle name="Comma 79 2 2 2" xfId="9446"/>
    <cellStyle name="Comma 79 2 3" xfId="9445"/>
    <cellStyle name="Comma 79 3" xfId="2852"/>
    <cellStyle name="Comma 79 3 2" xfId="9447"/>
    <cellStyle name="Comma 79 4" xfId="2853"/>
    <cellStyle name="Comma 79 4 2" xfId="9448"/>
    <cellStyle name="Comma 79 5" xfId="9444"/>
    <cellStyle name="Comma 8" xfId="2854"/>
    <cellStyle name="Comma 8 2" xfId="2855"/>
    <cellStyle name="Comma 8 2 2" xfId="2856"/>
    <cellStyle name="Comma 8 2 2 2" xfId="2857"/>
    <cellStyle name="Comma 8 2 2 2 2" xfId="2858"/>
    <cellStyle name="Comma 8 2 2 2 2 2" xfId="2859"/>
    <cellStyle name="Comma 8 2 2 2 2 2 2" xfId="9454"/>
    <cellStyle name="Comma 8 2 2 2 2 3" xfId="9453"/>
    <cellStyle name="Comma 8 2 2 2 3" xfId="2860"/>
    <cellStyle name="Comma 8 2 2 2 3 2" xfId="9455"/>
    <cellStyle name="Comma 8 2 2 2 4" xfId="2861"/>
    <cellStyle name="Comma 8 2 2 2 4 2" xfId="9456"/>
    <cellStyle name="Comma 8 2 2 2 5" xfId="9452"/>
    <cellStyle name="Comma 8 2 2 3" xfId="2862"/>
    <cellStyle name="Comma 8 2 2 3 2" xfId="2863"/>
    <cellStyle name="Comma 8 2 2 3 2 2" xfId="9458"/>
    <cellStyle name="Comma 8 2 2 3 3" xfId="9457"/>
    <cellStyle name="Comma 8 2 2 4" xfId="2864"/>
    <cellStyle name="Comma 8 2 2 4 2" xfId="9459"/>
    <cellStyle name="Comma 8 2 2 5" xfId="2865"/>
    <cellStyle name="Comma 8 2 2 5 2" xfId="9460"/>
    <cellStyle name="Comma 8 2 2 6" xfId="9451"/>
    <cellStyle name="Comma 8 2 3" xfId="2866"/>
    <cellStyle name="Comma 8 2 3 2" xfId="2867"/>
    <cellStyle name="Comma 8 2 3 2 2" xfId="2868"/>
    <cellStyle name="Comma 8 2 3 2 2 2" xfId="9463"/>
    <cellStyle name="Comma 8 2 3 2 3" xfId="9462"/>
    <cellStyle name="Comma 8 2 3 3" xfId="2869"/>
    <cellStyle name="Comma 8 2 3 3 2" xfId="9464"/>
    <cellStyle name="Comma 8 2 3 4" xfId="2870"/>
    <cellStyle name="Comma 8 2 3 4 2" xfId="9465"/>
    <cellStyle name="Comma 8 2 3 5" xfId="9461"/>
    <cellStyle name="Comma 8 2 4" xfId="2871"/>
    <cellStyle name="Comma 8 2 4 2" xfId="2872"/>
    <cellStyle name="Comma 8 2 4 2 2" xfId="9467"/>
    <cellStyle name="Comma 8 2 4 3" xfId="9466"/>
    <cellStyle name="Comma 8 2 5" xfId="2873"/>
    <cellStyle name="Comma 8 2 5 2" xfId="9468"/>
    <cellStyle name="Comma 8 2 6" xfId="2874"/>
    <cellStyle name="Comma 8 2 6 2" xfId="9469"/>
    <cellStyle name="Comma 8 2 7" xfId="9450"/>
    <cellStyle name="Comma 8 3" xfId="2875"/>
    <cellStyle name="Comma 8 3 2" xfId="2876"/>
    <cellStyle name="Comma 8 3 2 2" xfId="2877"/>
    <cellStyle name="Comma 8 3 2 2 2" xfId="2878"/>
    <cellStyle name="Comma 8 3 2 2 2 2" xfId="9473"/>
    <cellStyle name="Comma 8 3 2 2 3" xfId="9472"/>
    <cellStyle name="Comma 8 3 2 3" xfId="2879"/>
    <cellStyle name="Comma 8 3 2 3 2" xfId="9474"/>
    <cellStyle name="Comma 8 3 2 4" xfId="2880"/>
    <cellStyle name="Comma 8 3 2 4 2" xfId="9475"/>
    <cellStyle name="Comma 8 3 2 5" xfId="9471"/>
    <cellStyle name="Comma 8 3 3" xfId="2881"/>
    <cellStyle name="Comma 8 3 3 2" xfId="2882"/>
    <cellStyle name="Comma 8 3 3 2 2" xfId="9477"/>
    <cellStyle name="Comma 8 3 3 3" xfId="9476"/>
    <cellStyle name="Comma 8 3 4" xfId="2883"/>
    <cellStyle name="Comma 8 3 4 2" xfId="9478"/>
    <cellStyle name="Comma 8 3 5" xfId="2884"/>
    <cellStyle name="Comma 8 3 5 2" xfId="9479"/>
    <cellStyle name="Comma 8 3 6" xfId="9470"/>
    <cellStyle name="Comma 8 4" xfId="2885"/>
    <cellStyle name="Comma 8 4 2" xfId="2886"/>
    <cellStyle name="Comma 8 4 2 2" xfId="2887"/>
    <cellStyle name="Comma 8 4 2 2 2" xfId="2888"/>
    <cellStyle name="Comma 8 4 2 2 2 2" xfId="9483"/>
    <cellStyle name="Comma 8 4 2 2 3" xfId="9482"/>
    <cellStyle name="Comma 8 4 2 3" xfId="2889"/>
    <cellStyle name="Comma 8 4 2 3 2" xfId="9484"/>
    <cellStyle name="Comma 8 4 2 4" xfId="2890"/>
    <cellStyle name="Comma 8 4 2 4 2" xfId="9485"/>
    <cellStyle name="Comma 8 4 2 5" xfId="9481"/>
    <cellStyle name="Comma 8 4 3" xfId="2891"/>
    <cellStyle name="Comma 8 4 3 2" xfId="2892"/>
    <cellStyle name="Comma 8 4 3 2 2" xfId="9487"/>
    <cellStyle name="Comma 8 4 3 3" xfId="9486"/>
    <cellStyle name="Comma 8 4 4" xfId="2893"/>
    <cellStyle name="Comma 8 4 4 2" xfId="9488"/>
    <cellStyle name="Comma 8 4 5" xfId="2894"/>
    <cellStyle name="Comma 8 4 5 2" xfId="9489"/>
    <cellStyle name="Comma 8 4 6" xfId="9480"/>
    <cellStyle name="Comma 8 5" xfId="2895"/>
    <cellStyle name="Comma 8 5 2" xfId="2896"/>
    <cellStyle name="Comma 8 5 2 2" xfId="2897"/>
    <cellStyle name="Comma 8 5 2 2 2" xfId="9492"/>
    <cellStyle name="Comma 8 5 2 3" xfId="9491"/>
    <cellStyle name="Comma 8 5 3" xfId="2898"/>
    <cellStyle name="Comma 8 5 3 2" xfId="9493"/>
    <cellStyle name="Comma 8 5 4" xfId="2899"/>
    <cellStyle name="Comma 8 5 4 2" xfId="9494"/>
    <cellStyle name="Comma 8 5 5" xfId="9490"/>
    <cellStyle name="Comma 8 6" xfId="2900"/>
    <cellStyle name="Comma 8 6 2" xfId="2901"/>
    <cellStyle name="Comma 8 6 2 2" xfId="9496"/>
    <cellStyle name="Comma 8 6 3" xfId="9495"/>
    <cellStyle name="Comma 8 7" xfId="2902"/>
    <cellStyle name="Comma 8 7 2" xfId="9497"/>
    <cellStyle name="Comma 8 8" xfId="2903"/>
    <cellStyle name="Comma 8 8 2" xfId="9498"/>
    <cellStyle name="Comma 8 9" xfId="9449"/>
    <cellStyle name="Comma 80" xfId="2904"/>
    <cellStyle name="Comma 80 2" xfId="2905"/>
    <cellStyle name="Comma 80 2 2" xfId="2906"/>
    <cellStyle name="Comma 80 2 2 2" xfId="9501"/>
    <cellStyle name="Comma 80 2 3" xfId="9500"/>
    <cellStyle name="Comma 80 3" xfId="2907"/>
    <cellStyle name="Comma 80 3 2" xfId="9502"/>
    <cellStyle name="Comma 80 4" xfId="2908"/>
    <cellStyle name="Comma 80 4 2" xfId="9503"/>
    <cellStyle name="Comma 80 5" xfId="9499"/>
    <cellStyle name="Comma 81" xfId="2909"/>
    <cellStyle name="Comma 81 2" xfId="2910"/>
    <cellStyle name="Comma 81 2 2" xfId="2911"/>
    <cellStyle name="Comma 81 2 2 2" xfId="9506"/>
    <cellStyle name="Comma 81 2 3" xfId="9505"/>
    <cellStyle name="Comma 81 3" xfId="2912"/>
    <cellStyle name="Comma 81 3 2" xfId="9507"/>
    <cellStyle name="Comma 81 4" xfId="2913"/>
    <cellStyle name="Comma 81 4 2" xfId="9508"/>
    <cellStyle name="Comma 81 5" xfId="9504"/>
    <cellStyle name="Comma 82" xfId="2914"/>
    <cellStyle name="Comma 82 2" xfId="2915"/>
    <cellStyle name="Comma 82 2 2" xfId="2916"/>
    <cellStyle name="Comma 82 2 2 2" xfId="9511"/>
    <cellStyle name="Comma 82 2 3" xfId="9510"/>
    <cellStyle name="Comma 82 3" xfId="2917"/>
    <cellStyle name="Comma 82 3 2" xfId="9512"/>
    <cellStyle name="Comma 82 4" xfId="2918"/>
    <cellStyle name="Comma 82 4 2" xfId="9513"/>
    <cellStyle name="Comma 82 5" xfId="9509"/>
    <cellStyle name="Comma 83" xfId="2919"/>
    <cellStyle name="Comma 83 2" xfId="2920"/>
    <cellStyle name="Comma 83 2 2" xfId="2921"/>
    <cellStyle name="Comma 83 2 2 2" xfId="9516"/>
    <cellStyle name="Comma 83 2 3" xfId="9515"/>
    <cellStyle name="Comma 83 3" xfId="2922"/>
    <cellStyle name="Comma 83 3 2" xfId="9517"/>
    <cellStyle name="Comma 83 4" xfId="2923"/>
    <cellStyle name="Comma 83 4 2" xfId="9518"/>
    <cellStyle name="Comma 83 5" xfId="9514"/>
    <cellStyle name="Comma 84" xfId="2924"/>
    <cellStyle name="Comma 84 2" xfId="2925"/>
    <cellStyle name="Comma 84 2 2" xfId="2926"/>
    <cellStyle name="Comma 84 2 2 2" xfId="9521"/>
    <cellStyle name="Comma 84 2 3" xfId="9520"/>
    <cellStyle name="Comma 84 3" xfId="2927"/>
    <cellStyle name="Comma 84 3 2" xfId="9522"/>
    <cellStyle name="Comma 84 4" xfId="2928"/>
    <cellStyle name="Comma 84 4 2" xfId="9523"/>
    <cellStyle name="Comma 84 5" xfId="9519"/>
    <cellStyle name="Comma 85" xfId="2929"/>
    <cellStyle name="Comma 85 2" xfId="2930"/>
    <cellStyle name="Comma 85 2 2" xfId="2931"/>
    <cellStyle name="Comma 85 2 2 2" xfId="9526"/>
    <cellStyle name="Comma 85 2 3" xfId="9525"/>
    <cellStyle name="Comma 85 3" xfId="2932"/>
    <cellStyle name="Comma 85 3 2" xfId="9527"/>
    <cellStyle name="Comma 85 4" xfId="2933"/>
    <cellStyle name="Comma 85 4 2" xfId="9528"/>
    <cellStyle name="Comma 85 5" xfId="9524"/>
    <cellStyle name="Comma 86" xfId="2934"/>
    <cellStyle name="Comma 86 2" xfId="2935"/>
    <cellStyle name="Comma 86 2 2" xfId="2936"/>
    <cellStyle name="Comma 86 2 2 2" xfId="9531"/>
    <cellStyle name="Comma 86 2 3" xfId="9530"/>
    <cellStyle name="Comma 86 3" xfId="2937"/>
    <cellStyle name="Comma 86 3 2" xfId="9532"/>
    <cellStyle name="Comma 86 4" xfId="2938"/>
    <cellStyle name="Comma 86 4 2" xfId="9533"/>
    <cellStyle name="Comma 86 5" xfId="9529"/>
    <cellStyle name="Comma 87" xfId="2939"/>
    <cellStyle name="Comma 87 2" xfId="2940"/>
    <cellStyle name="Comma 87 2 2" xfId="2941"/>
    <cellStyle name="Comma 87 2 2 2" xfId="9536"/>
    <cellStyle name="Comma 87 2 3" xfId="9535"/>
    <cellStyle name="Comma 87 3" xfId="2942"/>
    <cellStyle name="Comma 87 3 2" xfId="9537"/>
    <cellStyle name="Comma 87 4" xfId="2943"/>
    <cellStyle name="Comma 87 4 2" xfId="9538"/>
    <cellStyle name="Comma 87 5" xfId="9534"/>
    <cellStyle name="Comma 88" xfId="2944"/>
    <cellStyle name="Comma 88 2" xfId="2945"/>
    <cellStyle name="Comma 88 2 2" xfId="2946"/>
    <cellStyle name="Comma 88 2 2 2" xfId="9541"/>
    <cellStyle name="Comma 88 2 3" xfId="9540"/>
    <cellStyle name="Comma 88 3" xfId="2947"/>
    <cellStyle name="Comma 88 3 2" xfId="9542"/>
    <cellStyle name="Comma 88 4" xfId="2948"/>
    <cellStyle name="Comma 88 4 2" xfId="9543"/>
    <cellStyle name="Comma 88 5" xfId="9539"/>
    <cellStyle name="Comma 89" xfId="2949"/>
    <cellStyle name="Comma 89 2" xfId="2950"/>
    <cellStyle name="Comma 89 2 2" xfId="2951"/>
    <cellStyle name="Comma 89 2 2 2" xfId="9546"/>
    <cellStyle name="Comma 89 2 3" xfId="9545"/>
    <cellStyle name="Comma 89 3" xfId="2952"/>
    <cellStyle name="Comma 89 3 2" xfId="9547"/>
    <cellStyle name="Comma 89 4" xfId="2953"/>
    <cellStyle name="Comma 89 4 2" xfId="9548"/>
    <cellStyle name="Comma 89 5" xfId="9544"/>
    <cellStyle name="Comma 9" xfId="2954"/>
    <cellStyle name="Comma 9 2" xfId="2955"/>
    <cellStyle name="Comma 9 2 2" xfId="2956"/>
    <cellStyle name="Comma 9 2 2 2" xfId="2957"/>
    <cellStyle name="Comma 9 2 2 2 2" xfId="2958"/>
    <cellStyle name="Comma 9 2 2 2 2 2" xfId="2959"/>
    <cellStyle name="Comma 9 2 2 2 2 2 2" xfId="9554"/>
    <cellStyle name="Comma 9 2 2 2 2 3" xfId="9553"/>
    <cellStyle name="Comma 9 2 2 2 3" xfId="2960"/>
    <cellStyle name="Comma 9 2 2 2 3 2" xfId="9555"/>
    <cellStyle name="Comma 9 2 2 2 4" xfId="2961"/>
    <cellStyle name="Comma 9 2 2 2 4 2" xfId="9556"/>
    <cellStyle name="Comma 9 2 2 2 5" xfId="9552"/>
    <cellStyle name="Comma 9 2 2 3" xfId="2962"/>
    <cellStyle name="Comma 9 2 2 3 2" xfId="2963"/>
    <cellStyle name="Comma 9 2 2 3 2 2" xfId="9558"/>
    <cellStyle name="Comma 9 2 2 3 3" xfId="9557"/>
    <cellStyle name="Comma 9 2 2 4" xfId="2964"/>
    <cellStyle name="Comma 9 2 2 4 2" xfId="9559"/>
    <cellStyle name="Comma 9 2 2 5" xfId="2965"/>
    <cellStyle name="Comma 9 2 2 5 2" xfId="9560"/>
    <cellStyle name="Comma 9 2 2 6" xfId="9551"/>
    <cellStyle name="Comma 9 2 3" xfId="2966"/>
    <cellStyle name="Comma 9 2 3 2" xfId="2967"/>
    <cellStyle name="Comma 9 2 3 2 2" xfId="2968"/>
    <cellStyle name="Comma 9 2 3 2 2 2" xfId="9563"/>
    <cellStyle name="Comma 9 2 3 2 3" xfId="9562"/>
    <cellStyle name="Comma 9 2 3 3" xfId="2969"/>
    <cellStyle name="Comma 9 2 3 3 2" xfId="9564"/>
    <cellStyle name="Comma 9 2 3 4" xfId="2970"/>
    <cellStyle name="Comma 9 2 3 4 2" xfId="9565"/>
    <cellStyle name="Comma 9 2 3 5" xfId="9561"/>
    <cellStyle name="Comma 9 2 4" xfId="2971"/>
    <cellStyle name="Comma 9 2 4 2" xfId="2972"/>
    <cellStyle name="Comma 9 2 4 2 2" xfId="9567"/>
    <cellStyle name="Comma 9 2 4 3" xfId="9566"/>
    <cellStyle name="Comma 9 2 5" xfId="2973"/>
    <cellStyle name="Comma 9 2 5 2" xfId="9568"/>
    <cellStyle name="Comma 9 2 6" xfId="2974"/>
    <cellStyle name="Comma 9 2 6 2" xfId="9569"/>
    <cellStyle name="Comma 9 2 7" xfId="9550"/>
    <cellStyle name="Comma 9 3" xfId="2975"/>
    <cellStyle name="Comma 9 3 2" xfId="2976"/>
    <cellStyle name="Comma 9 3 2 2" xfId="2977"/>
    <cellStyle name="Comma 9 3 2 2 2" xfId="2978"/>
    <cellStyle name="Comma 9 3 2 2 2 2" xfId="9573"/>
    <cellStyle name="Comma 9 3 2 2 3" xfId="9572"/>
    <cellStyle name="Comma 9 3 2 3" xfId="2979"/>
    <cellStyle name="Comma 9 3 2 3 2" xfId="9574"/>
    <cellStyle name="Comma 9 3 2 4" xfId="2980"/>
    <cellStyle name="Comma 9 3 2 4 2" xfId="9575"/>
    <cellStyle name="Comma 9 3 2 5" xfId="9571"/>
    <cellStyle name="Comma 9 3 3" xfId="2981"/>
    <cellStyle name="Comma 9 3 3 2" xfId="2982"/>
    <cellStyle name="Comma 9 3 3 2 2" xfId="9577"/>
    <cellStyle name="Comma 9 3 3 3" xfId="9576"/>
    <cellStyle name="Comma 9 3 4" xfId="2983"/>
    <cellStyle name="Comma 9 3 4 2" xfId="9578"/>
    <cellStyle name="Comma 9 3 5" xfId="2984"/>
    <cellStyle name="Comma 9 3 5 2" xfId="9579"/>
    <cellStyle name="Comma 9 3 6" xfId="9570"/>
    <cellStyle name="Comma 9 4" xfId="2985"/>
    <cellStyle name="Comma 9 4 2" xfId="2986"/>
    <cellStyle name="Comma 9 4 2 2" xfId="2987"/>
    <cellStyle name="Comma 9 4 2 2 2" xfId="2988"/>
    <cellStyle name="Comma 9 4 2 2 2 2" xfId="9583"/>
    <cellStyle name="Comma 9 4 2 2 3" xfId="9582"/>
    <cellStyle name="Comma 9 4 2 3" xfId="2989"/>
    <cellStyle name="Comma 9 4 2 3 2" xfId="9584"/>
    <cellStyle name="Comma 9 4 2 4" xfId="2990"/>
    <cellStyle name="Comma 9 4 2 4 2" xfId="9585"/>
    <cellStyle name="Comma 9 4 2 5" xfId="9581"/>
    <cellStyle name="Comma 9 4 3" xfId="2991"/>
    <cellStyle name="Comma 9 4 3 2" xfId="2992"/>
    <cellStyle name="Comma 9 4 3 2 2" xfId="9587"/>
    <cellStyle name="Comma 9 4 3 3" xfId="9586"/>
    <cellStyle name="Comma 9 4 4" xfId="2993"/>
    <cellStyle name="Comma 9 4 4 2" xfId="9588"/>
    <cellStyle name="Comma 9 4 5" xfId="2994"/>
    <cellStyle name="Comma 9 4 5 2" xfId="9589"/>
    <cellStyle name="Comma 9 4 6" xfId="9580"/>
    <cellStyle name="Comma 9 5" xfId="2995"/>
    <cellStyle name="Comma 9 5 2" xfId="2996"/>
    <cellStyle name="Comma 9 5 2 2" xfId="2997"/>
    <cellStyle name="Comma 9 5 2 2 2" xfId="9592"/>
    <cellStyle name="Comma 9 5 2 3" xfId="9591"/>
    <cellStyle name="Comma 9 5 3" xfId="2998"/>
    <cellStyle name="Comma 9 5 3 2" xfId="9593"/>
    <cellStyle name="Comma 9 5 4" xfId="2999"/>
    <cellStyle name="Comma 9 5 4 2" xfId="9594"/>
    <cellStyle name="Comma 9 5 5" xfId="9590"/>
    <cellStyle name="Comma 9 6" xfId="3000"/>
    <cellStyle name="Comma 9 6 2" xfId="3001"/>
    <cellStyle name="Comma 9 6 2 2" xfId="9596"/>
    <cellStyle name="Comma 9 6 3" xfId="9595"/>
    <cellStyle name="Comma 9 7" xfId="3002"/>
    <cellStyle name="Comma 9 7 2" xfId="9597"/>
    <cellStyle name="Comma 9 8" xfId="3003"/>
    <cellStyle name="Comma 9 8 2" xfId="9598"/>
    <cellStyle name="Comma 9 9" xfId="9549"/>
    <cellStyle name="Comma 90" xfId="3004"/>
    <cellStyle name="Comma 90 2" xfId="3005"/>
    <cellStyle name="Comma 90 2 2" xfId="3006"/>
    <cellStyle name="Comma 90 2 2 2" xfId="9601"/>
    <cellStyle name="Comma 90 2 3" xfId="9600"/>
    <cellStyle name="Comma 90 3" xfId="3007"/>
    <cellStyle name="Comma 90 3 2" xfId="9602"/>
    <cellStyle name="Comma 90 4" xfId="3008"/>
    <cellStyle name="Comma 90 4 2" xfId="9603"/>
    <cellStyle name="Comma 90 5" xfId="9599"/>
    <cellStyle name="Comma 91" xfId="3009"/>
    <cellStyle name="Comma 91 2" xfId="3010"/>
    <cellStyle name="Comma 91 2 2" xfId="3011"/>
    <cellStyle name="Comma 91 2 2 2" xfId="9606"/>
    <cellStyle name="Comma 91 2 3" xfId="9605"/>
    <cellStyle name="Comma 91 3" xfId="3012"/>
    <cellStyle name="Comma 91 3 2" xfId="9607"/>
    <cellStyle name="Comma 91 4" xfId="3013"/>
    <cellStyle name="Comma 91 4 2" xfId="9608"/>
    <cellStyle name="Comma 91 5" xfId="9604"/>
    <cellStyle name="Comma 92" xfId="3014"/>
    <cellStyle name="Comma 92 2" xfId="3015"/>
    <cellStyle name="Comma 92 2 2" xfId="3016"/>
    <cellStyle name="Comma 92 2 2 2" xfId="9611"/>
    <cellStyle name="Comma 92 2 3" xfId="9610"/>
    <cellStyle name="Comma 92 3" xfId="3017"/>
    <cellStyle name="Comma 92 3 2" xfId="9612"/>
    <cellStyle name="Comma 92 4" xfId="3018"/>
    <cellStyle name="Comma 92 4 2" xfId="9613"/>
    <cellStyle name="Comma 92 5" xfId="9609"/>
    <cellStyle name="Comma 93" xfId="3019"/>
    <cellStyle name="Comma 93 2" xfId="3020"/>
    <cellStyle name="Comma 93 2 2" xfId="3021"/>
    <cellStyle name="Comma 93 2 2 2" xfId="9616"/>
    <cellStyle name="Comma 93 2 3" xfId="9615"/>
    <cellStyle name="Comma 93 3" xfId="3022"/>
    <cellStyle name="Comma 93 3 2" xfId="9617"/>
    <cellStyle name="Comma 93 4" xfId="3023"/>
    <cellStyle name="Comma 93 4 2" xfId="9618"/>
    <cellStyle name="Comma 93 5" xfId="9614"/>
    <cellStyle name="Comma 94" xfId="3024"/>
    <cellStyle name="Comma 94 2" xfId="3025"/>
    <cellStyle name="Comma 94 2 2" xfId="3026"/>
    <cellStyle name="Comma 94 2 2 2" xfId="9621"/>
    <cellStyle name="Comma 94 2 3" xfId="9620"/>
    <cellStyle name="Comma 94 3" xfId="3027"/>
    <cellStyle name="Comma 94 3 2" xfId="9622"/>
    <cellStyle name="Comma 94 4" xfId="3028"/>
    <cellStyle name="Comma 94 4 2" xfId="9623"/>
    <cellStyle name="Comma 94 5" xfId="9619"/>
    <cellStyle name="Comma 95" xfId="3029"/>
    <cellStyle name="Comma 95 2" xfId="3030"/>
    <cellStyle name="Comma 95 2 2" xfId="3031"/>
    <cellStyle name="Comma 95 2 2 2" xfId="9626"/>
    <cellStyle name="Comma 95 2 3" xfId="9625"/>
    <cellStyle name="Comma 95 3" xfId="3032"/>
    <cellStyle name="Comma 95 3 2" xfId="9627"/>
    <cellStyle name="Comma 95 4" xfId="3033"/>
    <cellStyle name="Comma 95 4 2" xfId="9628"/>
    <cellStyle name="Comma 95 5" xfId="9624"/>
    <cellStyle name="Comma 96" xfId="3034"/>
    <cellStyle name="Comma 96 2" xfId="3035"/>
    <cellStyle name="Comma 96 2 2" xfId="3036"/>
    <cellStyle name="Comma 96 2 2 2" xfId="9631"/>
    <cellStyle name="Comma 96 2 3" xfId="9630"/>
    <cellStyle name="Comma 96 3" xfId="3037"/>
    <cellStyle name="Comma 96 3 2" xfId="9632"/>
    <cellStyle name="Comma 96 4" xfId="3038"/>
    <cellStyle name="Comma 96 4 2" xfId="9633"/>
    <cellStyle name="Comma 96 5" xfId="9629"/>
    <cellStyle name="Comma 97" xfId="3039"/>
    <cellStyle name="Comma 97 2" xfId="3040"/>
    <cellStyle name="Comma 97 2 2" xfId="3041"/>
    <cellStyle name="Comma 97 2 2 2" xfId="9636"/>
    <cellStyle name="Comma 97 2 3" xfId="9635"/>
    <cellStyle name="Comma 97 3" xfId="3042"/>
    <cellStyle name="Comma 97 3 2" xfId="9637"/>
    <cellStyle name="Comma 97 4" xfId="3043"/>
    <cellStyle name="Comma 97 4 2" xfId="9638"/>
    <cellStyle name="Comma 97 5" xfId="9634"/>
    <cellStyle name="Comma 98" xfId="3044"/>
    <cellStyle name="Comma 98 2" xfId="3045"/>
    <cellStyle name="Comma 98 2 2" xfId="3046"/>
    <cellStyle name="Comma 98 2 2 2" xfId="9641"/>
    <cellStyle name="Comma 98 2 3" xfId="9640"/>
    <cellStyle name="Comma 98 3" xfId="3047"/>
    <cellStyle name="Comma 98 3 2" xfId="9642"/>
    <cellStyle name="Comma 98 4" xfId="3048"/>
    <cellStyle name="Comma 98 4 2" xfId="9643"/>
    <cellStyle name="Comma 98 5" xfId="9639"/>
    <cellStyle name="Comma 99" xfId="3049"/>
    <cellStyle name="Comma 99 2" xfId="3050"/>
    <cellStyle name="Comma 99 2 2" xfId="3051"/>
    <cellStyle name="Comma 99 2 2 2" xfId="9646"/>
    <cellStyle name="Comma 99 2 3" xfId="9645"/>
    <cellStyle name="Comma 99 3" xfId="3052"/>
    <cellStyle name="Comma 99 3 2" xfId="9647"/>
    <cellStyle name="Comma 99 4" xfId="3053"/>
    <cellStyle name="Comma 99 4 2" xfId="9648"/>
    <cellStyle name="Comma 99 5" xfId="9644"/>
    <cellStyle name="COMMENTS" xfId="3054"/>
    <cellStyle name="Currency 2" xfId="3055"/>
    <cellStyle name="Currency 2 2" xfId="3056"/>
    <cellStyle name="Currency 2 2 2" xfId="3057"/>
    <cellStyle name="Currency 2 2 2 2" xfId="3058"/>
    <cellStyle name="Currency 2 2 2 2 2" xfId="9652"/>
    <cellStyle name="Currency 2 2 2 3" xfId="9651"/>
    <cellStyle name="Currency 2 2 3" xfId="3059"/>
    <cellStyle name="Currency 2 2 3 2" xfId="9653"/>
    <cellStyle name="Currency 2 2 4" xfId="3060"/>
    <cellStyle name="Currency 2 2 4 2" xfId="9654"/>
    <cellStyle name="Currency 2 2 5" xfId="9650"/>
    <cellStyle name="Currency 2 3" xfId="3061"/>
    <cellStyle name="Currency 2 3 2" xfId="3062"/>
    <cellStyle name="Currency 2 3 2 2" xfId="9656"/>
    <cellStyle name="Currency 2 3 3" xfId="9655"/>
    <cellStyle name="Currency 2 4" xfId="3063"/>
    <cellStyle name="Currency 2 4 2" xfId="9657"/>
    <cellStyle name="Currency 2 5" xfId="3064"/>
    <cellStyle name="Currency 2 5 2" xfId="9658"/>
    <cellStyle name="Currency 2 6" xfId="9649"/>
    <cellStyle name="Currency 3" xfId="3065"/>
    <cellStyle name="Currency 3 2" xfId="3066"/>
    <cellStyle name="Currency 3 2 2" xfId="3067"/>
    <cellStyle name="Currency 3 2 2 2" xfId="3068"/>
    <cellStyle name="Currency 3 2 2 2 2" xfId="9662"/>
    <cellStyle name="Currency 3 2 2 3" xfId="9661"/>
    <cellStyle name="Currency 3 2 3" xfId="3069"/>
    <cellStyle name="Currency 3 2 3 2" xfId="9663"/>
    <cellStyle name="Currency 3 2 4" xfId="3070"/>
    <cellStyle name="Currency 3 2 4 2" xfId="9664"/>
    <cellStyle name="Currency 3 2 5" xfId="9660"/>
    <cellStyle name="Currency 3 3" xfId="3071"/>
    <cellStyle name="Currency 3 3 2" xfId="3072"/>
    <cellStyle name="Currency 3 3 2 2" xfId="9666"/>
    <cellStyle name="Currency 3 3 3" xfId="9665"/>
    <cellStyle name="Currency 3 4" xfId="3073"/>
    <cellStyle name="Currency 3 4 2" xfId="9667"/>
    <cellStyle name="Currency 3 5" xfId="3074"/>
    <cellStyle name="Currency 3 5 2" xfId="9668"/>
    <cellStyle name="Currency 3 6" xfId="9659"/>
    <cellStyle name="Currency 4" xfId="3075"/>
    <cellStyle name="Currency 4 2" xfId="3076"/>
    <cellStyle name="Currency 4 2 2" xfId="3077"/>
    <cellStyle name="Currency 4 2 2 2" xfId="3078"/>
    <cellStyle name="Currency 4 2 2 2 2" xfId="9672"/>
    <cellStyle name="Currency 4 2 2 3" xfId="9671"/>
    <cellStyle name="Currency 4 2 3" xfId="3079"/>
    <cellStyle name="Currency 4 2 3 2" xfId="9673"/>
    <cellStyle name="Currency 4 2 4" xfId="3080"/>
    <cellStyle name="Currency 4 2 4 2" xfId="9674"/>
    <cellStyle name="Currency 4 2 5" xfId="9670"/>
    <cellStyle name="Currency 4 3" xfId="3081"/>
    <cellStyle name="Currency 4 3 2" xfId="3082"/>
    <cellStyle name="Currency 4 3 2 2" xfId="9676"/>
    <cellStyle name="Currency 4 3 3" xfId="9675"/>
    <cellStyle name="Currency 4 4" xfId="3083"/>
    <cellStyle name="Currency 4 4 2" xfId="9677"/>
    <cellStyle name="Currency 4 5" xfId="3084"/>
    <cellStyle name="Currency 4 5 2" xfId="9678"/>
    <cellStyle name="Currency 4 6" xfId="9669"/>
    <cellStyle name="Currency 5" xfId="3085"/>
    <cellStyle name="Currency 5 2" xfId="3086"/>
    <cellStyle name="Currency 5 2 2" xfId="3087"/>
    <cellStyle name="Currency 5 2 2 2" xfId="3088"/>
    <cellStyle name="Currency 5 2 2 2 2" xfId="9682"/>
    <cellStyle name="Currency 5 2 2 3" xfId="9681"/>
    <cellStyle name="Currency 5 2 3" xfId="3089"/>
    <cellStyle name="Currency 5 2 3 2" xfId="9683"/>
    <cellStyle name="Currency 5 2 4" xfId="3090"/>
    <cellStyle name="Currency 5 2 4 2" xfId="9684"/>
    <cellStyle name="Currency 5 2 5" xfId="9680"/>
    <cellStyle name="Currency 5 3" xfId="3091"/>
    <cellStyle name="Currency 5 3 2" xfId="3092"/>
    <cellStyle name="Currency 5 3 2 2" xfId="9686"/>
    <cellStyle name="Currency 5 3 3" xfId="9685"/>
    <cellStyle name="Currency 5 4" xfId="3093"/>
    <cellStyle name="Currency 5 4 2" xfId="9687"/>
    <cellStyle name="Currency 5 5" xfId="3094"/>
    <cellStyle name="Currency 5 5 2" xfId="9688"/>
    <cellStyle name="Currency 5 6" xfId="9679"/>
    <cellStyle name="Currency 6" xfId="3095"/>
    <cellStyle name="Currency 6 2" xfId="3096"/>
    <cellStyle name="Currency 6 2 2" xfId="3097"/>
    <cellStyle name="Currency 6 2 2 2" xfId="3098"/>
    <cellStyle name="Currency 6 2 2 2 2" xfId="9692"/>
    <cellStyle name="Currency 6 2 2 3" xfId="9691"/>
    <cellStyle name="Currency 6 2 3" xfId="3099"/>
    <cellStyle name="Currency 6 2 3 2" xfId="9693"/>
    <cellStyle name="Currency 6 2 4" xfId="3100"/>
    <cellStyle name="Currency 6 2 4 2" xfId="9694"/>
    <cellStyle name="Currency 6 2 5" xfId="9690"/>
    <cellStyle name="Currency 6 3" xfId="3101"/>
    <cellStyle name="Currency 6 3 2" xfId="3102"/>
    <cellStyle name="Currency 6 3 2 2" xfId="9696"/>
    <cellStyle name="Currency 6 3 3" xfId="9695"/>
    <cellStyle name="Currency 6 4" xfId="3103"/>
    <cellStyle name="Currency 6 4 2" xfId="9697"/>
    <cellStyle name="Currency 6 5" xfId="3104"/>
    <cellStyle name="Currency 6 5 2" xfId="9698"/>
    <cellStyle name="Currency 6 6" xfId="9689"/>
    <cellStyle name="Currency 7" xfId="3105"/>
    <cellStyle name="dash" xfId="3106"/>
    <cellStyle name="Data" xfId="3107"/>
    <cellStyle name="Data2" xfId="3108"/>
    <cellStyle name="Data5" xfId="3109"/>
    <cellStyle name="date" xfId="3110"/>
    <cellStyle name="date 2" xfId="3111"/>
    <cellStyle name="Daymethod" xfId="3112"/>
    <cellStyle name="days" xfId="3113"/>
    <cellStyle name="Dialog" xfId="3114"/>
    <cellStyle name="Explanatory Text 2" xfId="3115"/>
    <cellStyle name="Explanatory Text 3" xfId="3116"/>
    <cellStyle name="FcBackground" xfId="3117"/>
    <cellStyle name="FcBluesFuts" xfId="3118"/>
    <cellStyle name="FcCalculated" xfId="3119"/>
    <cellStyle name="FcCalculated 2" xfId="3120"/>
    <cellStyle name="FcCalculated 3" xfId="3121"/>
    <cellStyle name="FcCalculated_apollo_curves" xfId="3122"/>
    <cellStyle name="FcCalculated2" xfId="3123"/>
    <cellStyle name="FcExtData" xfId="3124"/>
    <cellStyle name="FcFrontFut" xfId="3125"/>
    <cellStyle name="FcFrontRed" xfId="3126"/>
    <cellStyle name="FcGoldFuts" xfId="3127"/>
    <cellStyle name="FcGreenFuts" xfId="3128"/>
    <cellStyle name="FcInput" xfId="3129"/>
    <cellStyle name="FcLabel1" xfId="3130"/>
    <cellStyle name="FcLabel2" xfId="3131"/>
    <cellStyle name="FcNumeric" xfId="3132"/>
    <cellStyle name="FcNumeric 2" xfId="3133"/>
    <cellStyle name="FcRealTime" xfId="3134"/>
    <cellStyle name="FcRealTime 2" xfId="3135"/>
    <cellStyle name="FcRealTime 3" xfId="3136"/>
    <cellStyle name="FcRealTime_apollo_curves" xfId="3137"/>
    <cellStyle name="FcRedFuts" xfId="3138"/>
    <cellStyle name="FcSubHeading" xfId="3139"/>
    <cellStyle name="FcTechHackers" xfId="3140"/>
    <cellStyle name="FcTopLine" xfId="3141"/>
    <cellStyle name="footnote" xfId="3142"/>
    <cellStyle name="footnote2" xfId="3143"/>
    <cellStyle name="GeneralText" xfId="3144"/>
    <cellStyle name="Good 2" xfId="3145"/>
    <cellStyle name="Good 2 2" xfId="3146"/>
    <cellStyle name="Good 3" xfId="3147"/>
    <cellStyle name="Good 4" xfId="3148"/>
    <cellStyle name="Header" xfId="3149"/>
    <cellStyle name="Header 2" xfId="3150"/>
    <cellStyle name="Heading 1 2" xfId="3151"/>
    <cellStyle name="Heading 1 2 2" xfId="3152"/>
    <cellStyle name="Heading 1 3" xfId="3153"/>
    <cellStyle name="Heading 1 3 2" xfId="3154"/>
    <cellStyle name="Heading 1 4" xfId="3155"/>
    <cellStyle name="Heading 1 5" xfId="3156"/>
    <cellStyle name="Heading 1 6" xfId="3157"/>
    <cellStyle name="Heading 2 2" xfId="3158"/>
    <cellStyle name="Heading 2 2 2" xfId="3159"/>
    <cellStyle name="Heading 2 3" xfId="3160"/>
    <cellStyle name="Heading 2 4" xfId="3161"/>
    <cellStyle name="Heading 2 5" xfId="3162"/>
    <cellStyle name="Heading 2 6" xfId="3163"/>
    <cellStyle name="Heading 3 2" xfId="3164"/>
    <cellStyle name="Heading 3 2 2" xfId="3165"/>
    <cellStyle name="Heading 3 3" xfId="3166"/>
    <cellStyle name="Heading 3 3 2" xfId="3167"/>
    <cellStyle name="Heading 3 4" xfId="3168"/>
    <cellStyle name="Heading 3 5" xfId="3169"/>
    <cellStyle name="Heading 3 6" xfId="3170"/>
    <cellStyle name="Heading 4 2" xfId="3171"/>
    <cellStyle name="Heading 4 2 2" xfId="3172"/>
    <cellStyle name="Heading 4 3" xfId="3173"/>
    <cellStyle name="Heading 4 4" xfId="3174"/>
    <cellStyle name="Heading 4 5" xfId="3175"/>
    <cellStyle name="Hidden" xfId="3176"/>
    <cellStyle name="Hyperlink 2" xfId="3177"/>
    <cellStyle name="Hyperlink 2 2" xfId="3178"/>
    <cellStyle name="Hyperlink 2_Instructions and Positions" xfId="3179"/>
    <cellStyle name="implemented" xfId="3180"/>
    <cellStyle name="Input 2" xfId="3181"/>
    <cellStyle name="Input 2 2" xfId="3182"/>
    <cellStyle name="Input 2 2 2" xfId="3183"/>
    <cellStyle name="Input 2 2 2 2" xfId="3184"/>
    <cellStyle name="Input 2 2 2 2 2" xfId="3185"/>
    <cellStyle name="Input 2 2 2 2 2 2" xfId="3186"/>
    <cellStyle name="Input 2 2 2 2 2 2 2" xfId="3187"/>
    <cellStyle name="Input 2 2 2 2 2 2 2 2" xfId="3188"/>
    <cellStyle name="Input 2 2 2 2 2 2 2 2 2" xfId="3189"/>
    <cellStyle name="Input 2 2 2 2 2 2 2 3" xfId="3190"/>
    <cellStyle name="Input 2 2 2 2 2 2 3" xfId="3191"/>
    <cellStyle name="Input 2 2 2 2 2 2 3 2" xfId="3192"/>
    <cellStyle name="Input 2 2 2 2 2 2 4" xfId="3193"/>
    <cellStyle name="Input 2 2 2 2 2 3" xfId="3194"/>
    <cellStyle name="Input 2 2 2 2 2 3 2" xfId="3195"/>
    <cellStyle name="Input 2 2 2 2 2 3 2 2" xfId="3196"/>
    <cellStyle name="Input 2 2 2 2 2 3 3" xfId="3197"/>
    <cellStyle name="Input 2 2 2 2 2 3 4" xfId="3198"/>
    <cellStyle name="Input 2 2 2 2 2 4" xfId="3199"/>
    <cellStyle name="Input 2 2 2 2 2 4 2" xfId="3200"/>
    <cellStyle name="Input 2 2 2 2 2 4 2 2" xfId="3201"/>
    <cellStyle name="Input 2 2 2 2 2 4 3" xfId="3202"/>
    <cellStyle name="Input 2 2 2 2 2 5" xfId="3203"/>
    <cellStyle name="Input 2 2 2 2 2 5 2" xfId="3204"/>
    <cellStyle name="Input 2 2 2 2 2 6" xfId="3205"/>
    <cellStyle name="Input 2 2 2 2 3" xfId="3206"/>
    <cellStyle name="Input 2 2 2 2 3 2" xfId="3207"/>
    <cellStyle name="Input 2 2 2 2 3 2 2" xfId="3208"/>
    <cellStyle name="Input 2 2 2 2 3 2 2 2" xfId="3209"/>
    <cellStyle name="Input 2 2 2 2 3 2 2 2 2" xfId="3210"/>
    <cellStyle name="Input 2 2 2 2 3 2 2 3" xfId="3211"/>
    <cellStyle name="Input 2 2 2 2 3 2 3" xfId="3212"/>
    <cellStyle name="Input 2 2 2 2 3 2 3 2" xfId="3213"/>
    <cellStyle name="Input 2 2 2 2 3 2 4" xfId="3214"/>
    <cellStyle name="Input 2 2 2 2 3 3" xfId="3215"/>
    <cellStyle name="Input 2 2 2 2 3 3 2" xfId="3216"/>
    <cellStyle name="Input 2 2 2 2 3 3 2 2" xfId="3217"/>
    <cellStyle name="Input 2 2 2 2 3 3 3" xfId="3218"/>
    <cellStyle name="Input 2 2 2 2 3 3 4" xfId="3219"/>
    <cellStyle name="Input 2 2 2 2 3 4" xfId="3220"/>
    <cellStyle name="Input 2 2 2 2 3 4 2" xfId="3221"/>
    <cellStyle name="Input 2 2 2 2 3 4 2 2" xfId="3222"/>
    <cellStyle name="Input 2 2 2 2 3 4 3" xfId="3223"/>
    <cellStyle name="Input 2 2 2 2 3 5" xfId="3224"/>
    <cellStyle name="Input 2 2 2 2 3 5 2" xfId="3225"/>
    <cellStyle name="Input 2 2 2 2 3 6" xfId="3226"/>
    <cellStyle name="Input 2 2 2 2 4" xfId="3227"/>
    <cellStyle name="Input 2 2 2 2 4 2" xfId="3228"/>
    <cellStyle name="Input 2 2 2 2 4 2 2" xfId="3229"/>
    <cellStyle name="Input 2 2 2 2 4 2 2 2" xfId="3230"/>
    <cellStyle name="Input 2 2 2 2 4 2 2 2 2" xfId="3231"/>
    <cellStyle name="Input 2 2 2 2 4 2 2 3" xfId="3232"/>
    <cellStyle name="Input 2 2 2 2 4 2 3" xfId="3233"/>
    <cellStyle name="Input 2 2 2 2 4 2 3 2" xfId="3234"/>
    <cellStyle name="Input 2 2 2 2 4 2 4" xfId="3235"/>
    <cellStyle name="Input 2 2 2 2 4 3" xfId="3236"/>
    <cellStyle name="Input 2 2 2 2 4 3 2" xfId="3237"/>
    <cellStyle name="Input 2 2 2 2 4 3 2 2" xfId="3238"/>
    <cellStyle name="Input 2 2 2 2 4 3 3" xfId="3239"/>
    <cellStyle name="Input 2 2 2 2 4 3 4" xfId="3240"/>
    <cellStyle name="Input 2 2 2 2 4 4" xfId="3241"/>
    <cellStyle name="Input 2 2 2 2 4 4 2" xfId="3242"/>
    <cellStyle name="Input 2 2 2 2 4 4 2 2" xfId="3243"/>
    <cellStyle name="Input 2 2 2 2 4 4 3" xfId="3244"/>
    <cellStyle name="Input 2 2 2 2 4 5" xfId="3245"/>
    <cellStyle name="Input 2 2 2 2 4 5 2" xfId="3246"/>
    <cellStyle name="Input 2 2 2 2 4 6" xfId="3247"/>
    <cellStyle name="Input 2 2 2 2 5" xfId="3248"/>
    <cellStyle name="Input 2 2 2 2 5 2" xfId="3249"/>
    <cellStyle name="Input 2 2 2 3" xfId="3250"/>
    <cellStyle name="Input 2 2 2 3 2" xfId="3251"/>
    <cellStyle name="Input 2 2 2 3 2 2" xfId="3252"/>
    <cellStyle name="Input 2 2 2 3 2 2 2" xfId="3253"/>
    <cellStyle name="Input 2 2 2 3 2 2 2 2" xfId="3254"/>
    <cellStyle name="Input 2 2 2 3 2 2 3" xfId="3255"/>
    <cellStyle name="Input 2 2 2 3 2 3" xfId="3256"/>
    <cellStyle name="Input 2 2 2 3 2 3 2" xfId="3257"/>
    <cellStyle name="Input 2 2 2 3 2 4" xfId="3258"/>
    <cellStyle name="Input 2 2 2 3 3" xfId="3259"/>
    <cellStyle name="Input 2 2 2 3 3 2" xfId="3260"/>
    <cellStyle name="Input 2 2 2 3 3 2 2" xfId="3261"/>
    <cellStyle name="Input 2 2 2 3 3 3" xfId="3262"/>
    <cellStyle name="Input 2 2 2 3 3 4" xfId="3263"/>
    <cellStyle name="Input 2 2 2 3 4" xfId="3264"/>
    <cellStyle name="Input 2 2 2 3 4 2" xfId="3265"/>
    <cellStyle name="Input 2 2 2 3 4 2 2" xfId="3266"/>
    <cellStyle name="Input 2 2 2 3 4 3" xfId="3267"/>
    <cellStyle name="Input 2 2 2 3 5" xfId="3268"/>
    <cellStyle name="Input 2 2 2 3 5 2" xfId="3269"/>
    <cellStyle name="Input 2 2 2 3 6" xfId="3270"/>
    <cellStyle name="Input 2 2 2 4" xfId="3271"/>
    <cellStyle name="Input 2 2 2 4 2" xfId="3272"/>
    <cellStyle name="Input 2 2 2 4 2 2" xfId="3273"/>
    <cellStyle name="Input 2 2 2 4 2 2 2" xfId="3274"/>
    <cellStyle name="Input 2 2 2 4 2 2 2 2" xfId="3275"/>
    <cellStyle name="Input 2 2 2 4 2 2 3" xfId="3276"/>
    <cellStyle name="Input 2 2 2 4 2 3" xfId="3277"/>
    <cellStyle name="Input 2 2 2 4 2 3 2" xfId="3278"/>
    <cellStyle name="Input 2 2 2 4 2 4" xfId="3279"/>
    <cellStyle name="Input 2 2 2 4 3" xfId="3280"/>
    <cellStyle name="Input 2 2 2 4 3 2" xfId="3281"/>
    <cellStyle name="Input 2 2 2 4 3 2 2" xfId="3282"/>
    <cellStyle name="Input 2 2 2 4 3 3" xfId="3283"/>
    <cellStyle name="Input 2 2 2 4 3 4" xfId="3284"/>
    <cellStyle name="Input 2 2 2 4 4" xfId="3285"/>
    <cellStyle name="Input 2 2 2 4 4 2" xfId="3286"/>
    <cellStyle name="Input 2 2 2 4 4 2 2" xfId="3287"/>
    <cellStyle name="Input 2 2 2 4 4 3" xfId="3288"/>
    <cellStyle name="Input 2 2 2 4 5" xfId="3289"/>
    <cellStyle name="Input 2 2 2 4 5 2" xfId="3290"/>
    <cellStyle name="Input 2 2 2 4 6" xfId="3291"/>
    <cellStyle name="Input 2 2 2 5" xfId="3292"/>
    <cellStyle name="Input 2 2 2 5 2" xfId="3293"/>
    <cellStyle name="Input 2 2 2 5 2 2" xfId="3294"/>
    <cellStyle name="Input 2 2 2 5 2 2 2" xfId="3295"/>
    <cellStyle name="Input 2 2 2 5 2 2 2 2" xfId="3296"/>
    <cellStyle name="Input 2 2 2 5 2 2 3" xfId="3297"/>
    <cellStyle name="Input 2 2 2 5 2 3" xfId="3298"/>
    <cellStyle name="Input 2 2 2 5 2 3 2" xfId="3299"/>
    <cellStyle name="Input 2 2 2 5 2 4" xfId="3300"/>
    <cellStyle name="Input 2 2 2 5 3" xfId="3301"/>
    <cellStyle name="Input 2 2 2 5 3 2" xfId="3302"/>
    <cellStyle name="Input 2 2 2 5 3 2 2" xfId="3303"/>
    <cellStyle name="Input 2 2 2 5 3 3" xfId="3304"/>
    <cellStyle name="Input 2 2 2 5 3 4" xfId="3305"/>
    <cellStyle name="Input 2 2 2 5 4" xfId="3306"/>
    <cellStyle name="Input 2 2 2 5 4 2" xfId="3307"/>
    <cellStyle name="Input 2 2 2 5 4 2 2" xfId="3308"/>
    <cellStyle name="Input 2 2 2 5 4 3" xfId="3309"/>
    <cellStyle name="Input 2 2 2 5 5" xfId="3310"/>
    <cellStyle name="Input 2 2 2 5 5 2" xfId="3311"/>
    <cellStyle name="Input 2 2 2 5 6" xfId="3312"/>
    <cellStyle name="Input 2 2 3" xfId="3313"/>
    <cellStyle name="Input 2 2 3 2" xfId="3314"/>
    <cellStyle name="Input 2 2 3 2 2" xfId="3315"/>
    <cellStyle name="Input 2 2 3 2 2 2" xfId="3316"/>
    <cellStyle name="Input 2 2 3 2 2 2 2" xfId="3317"/>
    <cellStyle name="Input 2 2 3 2 2 2 2 2" xfId="3318"/>
    <cellStyle name="Input 2 2 3 2 2 2 3" xfId="3319"/>
    <cellStyle name="Input 2 2 3 2 2 3" xfId="3320"/>
    <cellStyle name="Input 2 2 3 2 2 3 2" xfId="3321"/>
    <cellStyle name="Input 2 2 3 2 2 4" xfId="3322"/>
    <cellStyle name="Input 2 2 3 2 3" xfId="3323"/>
    <cellStyle name="Input 2 2 3 2 3 2" xfId="3324"/>
    <cellStyle name="Input 2 2 3 2 3 2 2" xfId="3325"/>
    <cellStyle name="Input 2 2 3 2 3 3" xfId="3326"/>
    <cellStyle name="Input 2 2 3 2 3 4" xfId="3327"/>
    <cellStyle name="Input 2 2 3 2 4" xfId="3328"/>
    <cellStyle name="Input 2 2 3 2 4 2" xfId="3329"/>
    <cellStyle name="Input 2 2 3 2 4 2 2" xfId="3330"/>
    <cellStyle name="Input 2 2 3 2 4 3" xfId="3331"/>
    <cellStyle name="Input 2 2 3 2 5" xfId="3332"/>
    <cellStyle name="Input 2 2 3 2 5 2" xfId="3333"/>
    <cellStyle name="Input 2 2 3 2 6" xfId="3334"/>
    <cellStyle name="Input 2 2 3 3" xfId="3335"/>
    <cellStyle name="Input 2 2 3 3 2" xfId="3336"/>
    <cellStyle name="Input 2 2 3 3 2 2" xfId="3337"/>
    <cellStyle name="Input 2 2 3 3 2 2 2" xfId="3338"/>
    <cellStyle name="Input 2 2 3 3 2 2 2 2" xfId="3339"/>
    <cellStyle name="Input 2 2 3 3 2 2 3" xfId="3340"/>
    <cellStyle name="Input 2 2 3 3 2 3" xfId="3341"/>
    <cellStyle name="Input 2 2 3 3 2 3 2" xfId="3342"/>
    <cellStyle name="Input 2 2 3 3 2 4" xfId="3343"/>
    <cellStyle name="Input 2 2 3 3 3" xfId="3344"/>
    <cellStyle name="Input 2 2 3 3 3 2" xfId="3345"/>
    <cellStyle name="Input 2 2 3 3 3 2 2" xfId="3346"/>
    <cellStyle name="Input 2 2 3 3 3 3" xfId="3347"/>
    <cellStyle name="Input 2 2 3 3 3 4" xfId="3348"/>
    <cellStyle name="Input 2 2 3 3 4" xfId="3349"/>
    <cellStyle name="Input 2 2 3 3 4 2" xfId="3350"/>
    <cellStyle name="Input 2 2 3 3 4 2 2" xfId="3351"/>
    <cellStyle name="Input 2 2 3 3 4 3" xfId="3352"/>
    <cellStyle name="Input 2 2 3 3 5" xfId="3353"/>
    <cellStyle name="Input 2 2 3 3 5 2" xfId="3354"/>
    <cellStyle name="Input 2 2 3 3 6" xfId="3355"/>
    <cellStyle name="Input 2 2 3 4" xfId="3356"/>
    <cellStyle name="Input 2 2 3 4 2" xfId="3357"/>
    <cellStyle name="Input 2 2 3 4 2 2" xfId="3358"/>
    <cellStyle name="Input 2 2 3 4 2 2 2" xfId="3359"/>
    <cellStyle name="Input 2 2 3 4 2 2 2 2" xfId="3360"/>
    <cellStyle name="Input 2 2 3 4 2 2 3" xfId="3361"/>
    <cellStyle name="Input 2 2 3 4 2 3" xfId="3362"/>
    <cellStyle name="Input 2 2 3 4 2 3 2" xfId="3363"/>
    <cellStyle name="Input 2 2 3 4 2 4" xfId="3364"/>
    <cellStyle name="Input 2 2 3 4 3" xfId="3365"/>
    <cellStyle name="Input 2 2 3 4 3 2" xfId="3366"/>
    <cellStyle name="Input 2 2 3 4 3 2 2" xfId="3367"/>
    <cellStyle name="Input 2 2 3 4 3 3" xfId="3368"/>
    <cellStyle name="Input 2 2 3 4 3 4" xfId="3369"/>
    <cellStyle name="Input 2 2 3 4 4" xfId="3370"/>
    <cellStyle name="Input 2 2 3 4 4 2" xfId="3371"/>
    <cellStyle name="Input 2 2 3 4 4 2 2" xfId="3372"/>
    <cellStyle name="Input 2 2 3 4 4 3" xfId="3373"/>
    <cellStyle name="Input 2 2 3 4 5" xfId="3374"/>
    <cellStyle name="Input 2 2 3 4 5 2" xfId="3375"/>
    <cellStyle name="Input 2 2 3 4 6" xfId="3376"/>
    <cellStyle name="Input 2 2 3 5" xfId="3377"/>
    <cellStyle name="Input 2 2 3 5 2" xfId="3378"/>
    <cellStyle name="Input 2 2 4" xfId="3379"/>
    <cellStyle name="Input 2 2 4 2" xfId="3380"/>
    <cellStyle name="Input 2 2 4 2 2" xfId="3381"/>
    <cellStyle name="Input 2 2 4 2 2 2" xfId="3382"/>
    <cellStyle name="Input 2 2 4 2 2 2 2" xfId="3383"/>
    <cellStyle name="Input 2 2 4 2 2 2 2 2" xfId="3384"/>
    <cellStyle name="Input 2 2 4 2 2 2 3" xfId="3385"/>
    <cellStyle name="Input 2 2 4 2 2 3" xfId="3386"/>
    <cellStyle name="Input 2 2 4 2 2 3 2" xfId="3387"/>
    <cellStyle name="Input 2 2 4 2 2 4" xfId="3388"/>
    <cellStyle name="Input 2 2 4 2 3" xfId="3389"/>
    <cellStyle name="Input 2 2 4 2 3 2" xfId="3390"/>
    <cellStyle name="Input 2 2 4 2 3 2 2" xfId="3391"/>
    <cellStyle name="Input 2 2 4 2 3 3" xfId="3392"/>
    <cellStyle name="Input 2 2 4 2 3 4" xfId="3393"/>
    <cellStyle name="Input 2 2 4 2 4" xfId="3394"/>
    <cellStyle name="Input 2 2 4 2 4 2" xfId="3395"/>
    <cellStyle name="Input 2 2 4 2 4 2 2" xfId="3396"/>
    <cellStyle name="Input 2 2 4 2 4 3" xfId="3397"/>
    <cellStyle name="Input 2 2 4 2 5" xfId="3398"/>
    <cellStyle name="Input 2 2 4 2 5 2" xfId="3399"/>
    <cellStyle name="Input 2 2 4 2 6" xfId="3400"/>
    <cellStyle name="Input 2 2 4 3" xfId="3401"/>
    <cellStyle name="Input 2 2 4 3 2" xfId="3402"/>
    <cellStyle name="Input 2 2 4 3 2 2" xfId="3403"/>
    <cellStyle name="Input 2 2 4 3 2 2 2" xfId="3404"/>
    <cellStyle name="Input 2 2 4 3 2 2 2 2" xfId="3405"/>
    <cellStyle name="Input 2 2 4 3 2 2 3" xfId="3406"/>
    <cellStyle name="Input 2 2 4 3 2 3" xfId="3407"/>
    <cellStyle name="Input 2 2 4 3 2 3 2" xfId="3408"/>
    <cellStyle name="Input 2 2 4 3 2 4" xfId="3409"/>
    <cellStyle name="Input 2 2 4 3 3" xfId="3410"/>
    <cellStyle name="Input 2 2 4 3 3 2" xfId="3411"/>
    <cellStyle name="Input 2 2 4 3 3 2 2" xfId="3412"/>
    <cellStyle name="Input 2 2 4 3 3 3" xfId="3413"/>
    <cellStyle name="Input 2 2 4 3 3 4" xfId="3414"/>
    <cellStyle name="Input 2 2 4 3 4" xfId="3415"/>
    <cellStyle name="Input 2 2 4 3 4 2" xfId="3416"/>
    <cellStyle name="Input 2 2 4 3 4 2 2" xfId="3417"/>
    <cellStyle name="Input 2 2 4 3 4 3" xfId="3418"/>
    <cellStyle name="Input 2 2 4 3 5" xfId="3419"/>
    <cellStyle name="Input 2 2 4 3 5 2" xfId="3420"/>
    <cellStyle name="Input 2 2 4 3 6" xfId="3421"/>
    <cellStyle name="Input 2 2 4 4" xfId="3422"/>
    <cellStyle name="Input 2 2 4 4 2" xfId="3423"/>
    <cellStyle name="Input 2 2 4 4 2 2" xfId="3424"/>
    <cellStyle name="Input 2 2 4 4 2 2 2" xfId="3425"/>
    <cellStyle name="Input 2 2 4 4 2 3" xfId="3426"/>
    <cellStyle name="Input 2 2 4 4 3" xfId="3427"/>
    <cellStyle name="Input 2 2 4 4 3 2" xfId="3428"/>
    <cellStyle name="Input 2 2 4 4 4" xfId="3429"/>
    <cellStyle name="Input 2 2 4 5" xfId="3430"/>
    <cellStyle name="Input 2 2 4 5 2" xfId="3431"/>
    <cellStyle name="Input 2 2 4 5 2 2" xfId="3432"/>
    <cellStyle name="Input 2 2 4 5 3" xfId="3433"/>
    <cellStyle name="Input 2 2 4 5 4" xfId="3434"/>
    <cellStyle name="Input 2 2 4 6" xfId="3435"/>
    <cellStyle name="Input 2 2 4 6 2" xfId="3436"/>
    <cellStyle name="Input 2 2 4 6 2 2" xfId="3437"/>
    <cellStyle name="Input 2 2 4 6 3" xfId="3438"/>
    <cellStyle name="Input 2 2 4 7" xfId="3439"/>
    <cellStyle name="Input 2 2 4 7 2" xfId="3440"/>
    <cellStyle name="Input 2 2 4 8" xfId="3441"/>
    <cellStyle name="Input 2 2 5" xfId="3442"/>
    <cellStyle name="Input 2 2 5 2" xfId="3443"/>
    <cellStyle name="Input 2 2 5 2 2" xfId="3444"/>
    <cellStyle name="Input 2 2 5 2 2 2" xfId="3445"/>
    <cellStyle name="Input 2 2 5 2 2 2 2" xfId="3446"/>
    <cellStyle name="Input 2 2 5 2 2 3" xfId="3447"/>
    <cellStyle name="Input 2 2 5 2 3" xfId="3448"/>
    <cellStyle name="Input 2 2 5 2 3 2" xfId="3449"/>
    <cellStyle name="Input 2 2 5 2 4" xfId="3450"/>
    <cellStyle name="Input 2 2 5 3" xfId="3451"/>
    <cellStyle name="Input 2 2 5 3 2" xfId="3452"/>
    <cellStyle name="Input 2 2 5 3 2 2" xfId="3453"/>
    <cellStyle name="Input 2 2 5 3 3" xfId="3454"/>
    <cellStyle name="Input 2 2 5 3 4" xfId="3455"/>
    <cellStyle name="Input 2 2 5 4" xfId="3456"/>
    <cellStyle name="Input 2 2 5 4 2" xfId="3457"/>
    <cellStyle name="Input 2 2 5 4 2 2" xfId="3458"/>
    <cellStyle name="Input 2 2 5 4 3" xfId="3459"/>
    <cellStyle name="Input 2 2 5 5" xfId="3460"/>
    <cellStyle name="Input 2 2 5 5 2" xfId="3461"/>
    <cellStyle name="Input 2 2 5 6" xfId="3462"/>
    <cellStyle name="Input 2 3" xfId="3463"/>
    <cellStyle name="Input 2 3 2" xfId="3464"/>
    <cellStyle name="Input 2 3 2 2" xfId="3465"/>
    <cellStyle name="Input 2 3 2 2 2" xfId="3466"/>
    <cellStyle name="Input 2 3 2 2 2 2" xfId="3467"/>
    <cellStyle name="Input 2 3 2 2 2 2 2" xfId="3468"/>
    <cellStyle name="Input 2 3 2 2 2 2 2 2" xfId="3469"/>
    <cellStyle name="Input 2 3 2 2 2 2 3" xfId="3470"/>
    <cellStyle name="Input 2 3 2 2 2 3" xfId="3471"/>
    <cellStyle name="Input 2 3 2 2 2 3 2" xfId="3472"/>
    <cellStyle name="Input 2 3 2 2 2 4" xfId="3473"/>
    <cellStyle name="Input 2 3 2 2 3" xfId="3474"/>
    <cellStyle name="Input 2 3 2 2 3 2" xfId="3475"/>
    <cellStyle name="Input 2 3 2 2 3 2 2" xfId="3476"/>
    <cellStyle name="Input 2 3 2 2 3 3" xfId="3477"/>
    <cellStyle name="Input 2 3 2 2 3 4" xfId="3478"/>
    <cellStyle name="Input 2 3 2 2 4" xfId="3479"/>
    <cellStyle name="Input 2 3 2 2 4 2" xfId="3480"/>
    <cellStyle name="Input 2 3 2 2 4 2 2" xfId="3481"/>
    <cellStyle name="Input 2 3 2 2 4 3" xfId="3482"/>
    <cellStyle name="Input 2 3 2 2 5" xfId="3483"/>
    <cellStyle name="Input 2 3 2 2 5 2" xfId="3484"/>
    <cellStyle name="Input 2 3 2 2 6" xfId="3485"/>
    <cellStyle name="Input 2 3 2 3" xfId="3486"/>
    <cellStyle name="Input 2 3 2 3 2" xfId="3487"/>
    <cellStyle name="Input 2 3 2 3 2 2" xfId="3488"/>
    <cellStyle name="Input 2 3 2 3 2 2 2" xfId="3489"/>
    <cellStyle name="Input 2 3 2 3 2 2 2 2" xfId="3490"/>
    <cellStyle name="Input 2 3 2 3 2 2 3" xfId="3491"/>
    <cellStyle name="Input 2 3 2 3 2 3" xfId="3492"/>
    <cellStyle name="Input 2 3 2 3 2 3 2" xfId="3493"/>
    <cellStyle name="Input 2 3 2 3 2 4" xfId="3494"/>
    <cellStyle name="Input 2 3 2 3 3" xfId="3495"/>
    <cellStyle name="Input 2 3 2 3 3 2" xfId="3496"/>
    <cellStyle name="Input 2 3 2 3 3 2 2" xfId="3497"/>
    <cellStyle name="Input 2 3 2 3 3 3" xfId="3498"/>
    <cellStyle name="Input 2 3 2 3 3 4" xfId="3499"/>
    <cellStyle name="Input 2 3 2 3 4" xfId="3500"/>
    <cellStyle name="Input 2 3 2 3 4 2" xfId="3501"/>
    <cellStyle name="Input 2 3 2 3 4 2 2" xfId="3502"/>
    <cellStyle name="Input 2 3 2 3 4 3" xfId="3503"/>
    <cellStyle name="Input 2 3 2 3 5" xfId="3504"/>
    <cellStyle name="Input 2 3 2 3 5 2" xfId="3505"/>
    <cellStyle name="Input 2 3 2 3 6" xfId="3506"/>
    <cellStyle name="Input 2 3 2 4" xfId="3507"/>
    <cellStyle name="Input 2 3 2 4 2" xfId="3508"/>
    <cellStyle name="Input 2 3 2 4 2 2" xfId="3509"/>
    <cellStyle name="Input 2 3 2 4 2 2 2" xfId="3510"/>
    <cellStyle name="Input 2 3 2 4 2 2 2 2" xfId="3511"/>
    <cellStyle name="Input 2 3 2 4 2 2 3" xfId="3512"/>
    <cellStyle name="Input 2 3 2 4 2 3" xfId="3513"/>
    <cellStyle name="Input 2 3 2 4 2 3 2" xfId="3514"/>
    <cellStyle name="Input 2 3 2 4 2 4" xfId="3515"/>
    <cellStyle name="Input 2 3 2 4 3" xfId="3516"/>
    <cellStyle name="Input 2 3 2 4 3 2" xfId="3517"/>
    <cellStyle name="Input 2 3 2 4 3 2 2" xfId="3518"/>
    <cellStyle name="Input 2 3 2 4 3 3" xfId="3519"/>
    <cellStyle name="Input 2 3 2 4 3 4" xfId="3520"/>
    <cellStyle name="Input 2 3 2 4 4" xfId="3521"/>
    <cellStyle name="Input 2 3 2 4 4 2" xfId="3522"/>
    <cellStyle name="Input 2 3 2 4 4 2 2" xfId="3523"/>
    <cellStyle name="Input 2 3 2 4 4 3" xfId="3524"/>
    <cellStyle name="Input 2 3 2 4 5" xfId="3525"/>
    <cellStyle name="Input 2 3 2 4 5 2" xfId="3526"/>
    <cellStyle name="Input 2 3 2 4 6" xfId="3527"/>
    <cellStyle name="Input 2 3 2 5" xfId="3528"/>
    <cellStyle name="Input 2 3 2 5 2" xfId="3529"/>
    <cellStyle name="Input 2 3 3" xfId="3530"/>
    <cellStyle name="Input 2 3 3 2" xfId="3531"/>
    <cellStyle name="Input 2 3 3 2 2" xfId="3532"/>
    <cellStyle name="Input 2 3 3 2 2 2" xfId="3533"/>
    <cellStyle name="Input 2 3 3 2 2 2 2" xfId="3534"/>
    <cellStyle name="Input 2 3 3 2 2 3" xfId="3535"/>
    <cellStyle name="Input 2 3 3 2 3" xfId="3536"/>
    <cellStyle name="Input 2 3 3 2 3 2" xfId="3537"/>
    <cellStyle name="Input 2 3 3 2 4" xfId="3538"/>
    <cellStyle name="Input 2 3 3 3" xfId="3539"/>
    <cellStyle name="Input 2 3 3 3 2" xfId="3540"/>
    <cellStyle name="Input 2 3 3 3 2 2" xfId="3541"/>
    <cellStyle name="Input 2 3 3 3 3" xfId="3542"/>
    <cellStyle name="Input 2 3 3 3 4" xfId="3543"/>
    <cellStyle name="Input 2 3 3 4" xfId="3544"/>
    <cellStyle name="Input 2 3 3 4 2" xfId="3545"/>
    <cellStyle name="Input 2 3 3 4 2 2" xfId="3546"/>
    <cellStyle name="Input 2 3 3 4 3" xfId="3547"/>
    <cellStyle name="Input 2 3 3 5" xfId="3548"/>
    <cellStyle name="Input 2 3 3 5 2" xfId="3549"/>
    <cellStyle name="Input 2 3 3 6" xfId="3550"/>
    <cellStyle name="Input 2 3 4" xfId="3551"/>
    <cellStyle name="Input 2 3 4 2" xfId="3552"/>
    <cellStyle name="Input 2 3 4 2 2" xfId="3553"/>
    <cellStyle name="Input 2 3 4 2 2 2" xfId="3554"/>
    <cellStyle name="Input 2 3 4 2 2 2 2" xfId="3555"/>
    <cellStyle name="Input 2 3 4 2 2 3" xfId="3556"/>
    <cellStyle name="Input 2 3 4 2 3" xfId="3557"/>
    <cellStyle name="Input 2 3 4 2 3 2" xfId="3558"/>
    <cellStyle name="Input 2 3 4 2 4" xfId="3559"/>
    <cellStyle name="Input 2 3 4 3" xfId="3560"/>
    <cellStyle name="Input 2 3 4 3 2" xfId="3561"/>
    <cellStyle name="Input 2 3 4 3 2 2" xfId="3562"/>
    <cellStyle name="Input 2 3 4 3 3" xfId="3563"/>
    <cellStyle name="Input 2 3 4 3 4" xfId="3564"/>
    <cellStyle name="Input 2 3 4 4" xfId="3565"/>
    <cellStyle name="Input 2 3 4 4 2" xfId="3566"/>
    <cellStyle name="Input 2 3 4 4 2 2" xfId="3567"/>
    <cellStyle name="Input 2 3 4 4 3" xfId="3568"/>
    <cellStyle name="Input 2 3 4 5" xfId="3569"/>
    <cellStyle name="Input 2 3 4 5 2" xfId="3570"/>
    <cellStyle name="Input 2 3 4 6" xfId="3571"/>
    <cellStyle name="Input 2 3 5" xfId="3572"/>
    <cellStyle name="Input 2 3 5 2" xfId="3573"/>
    <cellStyle name="Input 2 3 5 2 2" xfId="3574"/>
    <cellStyle name="Input 2 3 5 2 2 2" xfId="3575"/>
    <cellStyle name="Input 2 3 5 2 2 2 2" xfId="3576"/>
    <cellStyle name="Input 2 3 5 2 2 3" xfId="3577"/>
    <cellStyle name="Input 2 3 5 2 3" xfId="3578"/>
    <cellStyle name="Input 2 3 5 2 3 2" xfId="3579"/>
    <cellStyle name="Input 2 3 5 2 4" xfId="3580"/>
    <cellStyle name="Input 2 3 5 3" xfId="3581"/>
    <cellStyle name="Input 2 3 5 3 2" xfId="3582"/>
    <cellStyle name="Input 2 3 5 3 2 2" xfId="3583"/>
    <cellStyle name="Input 2 3 5 3 3" xfId="3584"/>
    <cellStyle name="Input 2 3 5 3 4" xfId="3585"/>
    <cellStyle name="Input 2 3 5 4" xfId="3586"/>
    <cellStyle name="Input 2 3 5 4 2" xfId="3587"/>
    <cellStyle name="Input 2 3 5 4 2 2" xfId="3588"/>
    <cellStyle name="Input 2 3 5 4 3" xfId="3589"/>
    <cellStyle name="Input 2 3 5 5" xfId="3590"/>
    <cellStyle name="Input 2 3 5 5 2" xfId="3591"/>
    <cellStyle name="Input 2 3 5 6" xfId="3592"/>
    <cellStyle name="Input 2 4" xfId="3593"/>
    <cellStyle name="Input 2 4 2" xfId="3594"/>
    <cellStyle name="Input 2 4 2 2" xfId="3595"/>
    <cellStyle name="Input 2 4 2 2 2" xfId="3596"/>
    <cellStyle name="Input 2 4 2 2 2 2" xfId="3597"/>
    <cellStyle name="Input 2 4 2 2 2 2 2" xfId="3598"/>
    <cellStyle name="Input 2 4 2 2 2 3" xfId="3599"/>
    <cellStyle name="Input 2 4 2 2 3" xfId="3600"/>
    <cellStyle name="Input 2 4 2 2 3 2" xfId="3601"/>
    <cellStyle name="Input 2 4 2 2 4" xfId="3602"/>
    <cellStyle name="Input 2 4 2 3" xfId="3603"/>
    <cellStyle name="Input 2 4 2 3 2" xfId="3604"/>
    <cellStyle name="Input 2 4 2 3 2 2" xfId="3605"/>
    <cellStyle name="Input 2 4 2 3 3" xfId="3606"/>
    <cellStyle name="Input 2 4 2 3 4" xfId="3607"/>
    <cellStyle name="Input 2 4 2 4" xfId="3608"/>
    <cellStyle name="Input 2 4 2 4 2" xfId="3609"/>
    <cellStyle name="Input 2 4 2 4 2 2" xfId="3610"/>
    <cellStyle name="Input 2 4 2 4 3" xfId="3611"/>
    <cellStyle name="Input 2 4 2 5" xfId="3612"/>
    <cellStyle name="Input 2 4 2 5 2" xfId="3613"/>
    <cellStyle name="Input 2 4 2 6" xfId="3614"/>
    <cellStyle name="Input 2 4 3" xfId="3615"/>
    <cellStyle name="Input 2 4 3 2" xfId="3616"/>
    <cellStyle name="Input 2 4 3 2 2" xfId="3617"/>
    <cellStyle name="Input 2 4 3 2 2 2" xfId="3618"/>
    <cellStyle name="Input 2 4 3 2 2 2 2" xfId="3619"/>
    <cellStyle name="Input 2 4 3 2 2 3" xfId="3620"/>
    <cellStyle name="Input 2 4 3 2 3" xfId="3621"/>
    <cellStyle name="Input 2 4 3 2 3 2" xfId="3622"/>
    <cellStyle name="Input 2 4 3 2 4" xfId="3623"/>
    <cellStyle name="Input 2 4 3 3" xfId="3624"/>
    <cellStyle name="Input 2 4 3 3 2" xfId="3625"/>
    <cellStyle name="Input 2 4 3 3 2 2" xfId="3626"/>
    <cellStyle name="Input 2 4 3 3 3" xfId="3627"/>
    <cellStyle name="Input 2 4 3 3 4" xfId="3628"/>
    <cellStyle name="Input 2 4 3 4" xfId="3629"/>
    <cellStyle name="Input 2 4 3 4 2" xfId="3630"/>
    <cellStyle name="Input 2 4 3 4 2 2" xfId="3631"/>
    <cellStyle name="Input 2 4 3 4 3" xfId="3632"/>
    <cellStyle name="Input 2 4 3 5" xfId="3633"/>
    <cellStyle name="Input 2 4 3 5 2" xfId="3634"/>
    <cellStyle name="Input 2 4 3 6" xfId="3635"/>
    <cellStyle name="Input 2 4 4" xfId="3636"/>
    <cellStyle name="Input 2 4 4 2" xfId="3637"/>
    <cellStyle name="Input 2 4 4 2 2" xfId="3638"/>
    <cellStyle name="Input 2 4 4 2 2 2" xfId="3639"/>
    <cellStyle name="Input 2 4 4 2 2 2 2" xfId="3640"/>
    <cellStyle name="Input 2 4 4 2 2 3" xfId="3641"/>
    <cellStyle name="Input 2 4 4 2 3" xfId="3642"/>
    <cellStyle name="Input 2 4 4 2 3 2" xfId="3643"/>
    <cellStyle name="Input 2 4 4 2 4" xfId="3644"/>
    <cellStyle name="Input 2 4 4 3" xfId="3645"/>
    <cellStyle name="Input 2 4 4 3 2" xfId="3646"/>
    <cellStyle name="Input 2 4 4 3 2 2" xfId="3647"/>
    <cellStyle name="Input 2 4 4 3 3" xfId="3648"/>
    <cellStyle name="Input 2 4 4 3 4" xfId="3649"/>
    <cellStyle name="Input 2 4 4 4" xfId="3650"/>
    <cellStyle name="Input 2 4 4 4 2" xfId="3651"/>
    <cellStyle name="Input 2 4 4 4 2 2" xfId="3652"/>
    <cellStyle name="Input 2 4 4 4 3" xfId="3653"/>
    <cellStyle name="Input 2 4 4 5" xfId="3654"/>
    <cellStyle name="Input 2 4 4 5 2" xfId="3655"/>
    <cellStyle name="Input 2 4 4 6" xfId="3656"/>
    <cellStyle name="Input 2 4 5" xfId="3657"/>
    <cellStyle name="Input 2 4 5 2" xfId="3658"/>
    <cellStyle name="Input 2 5" xfId="3659"/>
    <cellStyle name="Input 2 5 2" xfId="3660"/>
    <cellStyle name="Input 2 5 2 2" xfId="3661"/>
    <cellStyle name="Input 2 5 2 2 2" xfId="3662"/>
    <cellStyle name="Input 2 5 2 2 2 2" xfId="3663"/>
    <cellStyle name="Input 2 5 2 2 2 2 2" xfId="3664"/>
    <cellStyle name="Input 2 5 2 2 2 3" xfId="3665"/>
    <cellStyle name="Input 2 5 2 2 3" xfId="3666"/>
    <cellStyle name="Input 2 5 2 2 3 2" xfId="3667"/>
    <cellStyle name="Input 2 5 2 2 4" xfId="3668"/>
    <cellStyle name="Input 2 5 2 3" xfId="3669"/>
    <cellStyle name="Input 2 5 2 3 2" xfId="3670"/>
    <cellStyle name="Input 2 5 2 3 2 2" xfId="3671"/>
    <cellStyle name="Input 2 5 2 3 3" xfId="3672"/>
    <cellStyle name="Input 2 5 2 3 4" xfId="3673"/>
    <cellStyle name="Input 2 5 2 4" xfId="3674"/>
    <cellStyle name="Input 2 5 2 4 2" xfId="3675"/>
    <cellStyle name="Input 2 5 2 4 2 2" xfId="3676"/>
    <cellStyle name="Input 2 5 2 4 3" xfId="3677"/>
    <cellStyle name="Input 2 5 2 5" xfId="3678"/>
    <cellStyle name="Input 2 5 2 5 2" xfId="3679"/>
    <cellStyle name="Input 2 5 2 6" xfId="3680"/>
    <cellStyle name="Input 2 5 3" xfId="3681"/>
    <cellStyle name="Input 2 5 3 2" xfId="3682"/>
    <cellStyle name="Input 2 5 3 2 2" xfId="3683"/>
    <cellStyle name="Input 2 5 3 2 2 2" xfId="3684"/>
    <cellStyle name="Input 2 5 3 2 2 2 2" xfId="3685"/>
    <cellStyle name="Input 2 5 3 2 2 3" xfId="3686"/>
    <cellStyle name="Input 2 5 3 2 3" xfId="3687"/>
    <cellStyle name="Input 2 5 3 2 3 2" xfId="3688"/>
    <cellStyle name="Input 2 5 3 2 4" xfId="3689"/>
    <cellStyle name="Input 2 5 3 3" xfId="3690"/>
    <cellStyle name="Input 2 5 3 3 2" xfId="3691"/>
    <cellStyle name="Input 2 5 3 3 2 2" xfId="3692"/>
    <cellStyle name="Input 2 5 3 3 3" xfId="3693"/>
    <cellStyle name="Input 2 5 3 3 4" xfId="3694"/>
    <cellStyle name="Input 2 5 3 4" xfId="3695"/>
    <cellStyle name="Input 2 5 3 4 2" xfId="3696"/>
    <cellStyle name="Input 2 5 3 4 2 2" xfId="3697"/>
    <cellStyle name="Input 2 5 3 4 3" xfId="3698"/>
    <cellStyle name="Input 2 5 3 5" xfId="3699"/>
    <cellStyle name="Input 2 5 3 5 2" xfId="3700"/>
    <cellStyle name="Input 2 5 3 6" xfId="3701"/>
    <cellStyle name="Input 2 5 4" xfId="3702"/>
    <cellStyle name="Input 2 5 4 2" xfId="3703"/>
    <cellStyle name="Input 2 5 4 2 2" xfId="3704"/>
    <cellStyle name="Input 2 5 4 2 2 2" xfId="3705"/>
    <cellStyle name="Input 2 5 4 2 3" xfId="3706"/>
    <cellStyle name="Input 2 5 4 3" xfId="3707"/>
    <cellStyle name="Input 2 5 4 3 2" xfId="3708"/>
    <cellStyle name="Input 2 5 4 4" xfId="3709"/>
    <cellStyle name="Input 2 5 5" xfId="3710"/>
    <cellStyle name="Input 2 5 5 2" xfId="3711"/>
    <cellStyle name="Input 2 5 5 2 2" xfId="3712"/>
    <cellStyle name="Input 2 5 5 3" xfId="3713"/>
    <cellStyle name="Input 2 5 5 4" xfId="3714"/>
    <cellStyle name="Input 2 5 6" xfId="3715"/>
    <cellStyle name="Input 2 5 6 2" xfId="3716"/>
    <cellStyle name="Input 2 5 6 2 2" xfId="3717"/>
    <cellStyle name="Input 2 5 6 3" xfId="3718"/>
    <cellStyle name="Input 2 5 7" xfId="3719"/>
    <cellStyle name="Input 2 5 7 2" xfId="3720"/>
    <cellStyle name="Input 2 5 8" xfId="3721"/>
    <cellStyle name="Input 2 6" xfId="3722"/>
    <cellStyle name="Input 2 6 2" xfId="3723"/>
    <cellStyle name="Input 2 6 2 2" xfId="3724"/>
    <cellStyle name="Input 2 6 2 2 2" xfId="3725"/>
    <cellStyle name="Input 2 6 2 2 2 2" xfId="3726"/>
    <cellStyle name="Input 2 6 2 2 3" xfId="3727"/>
    <cellStyle name="Input 2 6 2 3" xfId="3728"/>
    <cellStyle name="Input 2 6 2 3 2" xfId="3729"/>
    <cellStyle name="Input 2 6 2 4" xfId="3730"/>
    <cellStyle name="Input 2 6 3" xfId="3731"/>
    <cellStyle name="Input 2 6 3 2" xfId="3732"/>
    <cellStyle name="Input 2 6 3 2 2" xfId="3733"/>
    <cellStyle name="Input 2 6 3 3" xfId="3734"/>
    <cellStyle name="Input 2 6 3 4" xfId="3735"/>
    <cellStyle name="Input 2 6 4" xfId="3736"/>
    <cellStyle name="Input 2 6 4 2" xfId="3737"/>
    <cellStyle name="Input 2 6 4 2 2" xfId="3738"/>
    <cellStyle name="Input 2 6 4 3" xfId="3739"/>
    <cellStyle name="Input 2 6 5" xfId="3740"/>
    <cellStyle name="Input 2 6 5 2" xfId="3741"/>
    <cellStyle name="Input 2 6 6" xfId="3742"/>
    <cellStyle name="Input 3" xfId="3743"/>
    <cellStyle name="Input 3 2" xfId="3744"/>
    <cellStyle name="Input 3 2 2" xfId="3745"/>
    <cellStyle name="Input 3 2 2 2" xfId="3746"/>
    <cellStyle name="Input 3 2 2 2 2" xfId="3747"/>
    <cellStyle name="Input 3 2 2 2 2 2" xfId="3748"/>
    <cellStyle name="Input 3 2 2 2 2 2 2" xfId="3749"/>
    <cellStyle name="Input 3 2 2 2 2 3" xfId="3750"/>
    <cellStyle name="Input 3 2 2 2 3" xfId="3751"/>
    <cellStyle name="Input 3 2 2 2 3 2" xfId="3752"/>
    <cellStyle name="Input 3 2 2 2 4" xfId="3753"/>
    <cellStyle name="Input 3 2 2 3" xfId="3754"/>
    <cellStyle name="Input 3 2 2 3 2" xfId="3755"/>
    <cellStyle name="Input 3 2 2 3 2 2" xfId="3756"/>
    <cellStyle name="Input 3 2 2 3 3" xfId="3757"/>
    <cellStyle name="Input 3 2 2 3 4" xfId="3758"/>
    <cellStyle name="Input 3 2 2 4" xfId="3759"/>
    <cellStyle name="Input 3 2 2 4 2" xfId="3760"/>
    <cellStyle name="Input 3 2 2 4 2 2" xfId="3761"/>
    <cellStyle name="Input 3 2 2 4 3" xfId="3762"/>
    <cellStyle name="Input 3 2 2 5" xfId="3763"/>
    <cellStyle name="Input 3 2 2 5 2" xfId="3764"/>
    <cellStyle name="Input 3 2 2 6" xfId="3765"/>
    <cellStyle name="Input 3 2 3" xfId="3766"/>
    <cellStyle name="Input 3 2 3 2" xfId="3767"/>
    <cellStyle name="Input 3 2 3 2 2" xfId="3768"/>
    <cellStyle name="Input 3 2 3 2 2 2" xfId="3769"/>
    <cellStyle name="Input 3 2 3 2 2 2 2" xfId="3770"/>
    <cellStyle name="Input 3 2 3 2 2 3" xfId="3771"/>
    <cellStyle name="Input 3 2 3 2 3" xfId="3772"/>
    <cellStyle name="Input 3 2 3 2 3 2" xfId="3773"/>
    <cellStyle name="Input 3 2 3 2 4" xfId="3774"/>
    <cellStyle name="Input 3 2 3 3" xfId="3775"/>
    <cellStyle name="Input 3 2 3 3 2" xfId="3776"/>
    <cellStyle name="Input 3 2 3 3 2 2" xfId="3777"/>
    <cellStyle name="Input 3 2 3 3 3" xfId="3778"/>
    <cellStyle name="Input 3 2 3 3 4" xfId="3779"/>
    <cellStyle name="Input 3 2 3 4" xfId="3780"/>
    <cellStyle name="Input 3 2 3 4 2" xfId="3781"/>
    <cellStyle name="Input 3 2 3 4 2 2" xfId="3782"/>
    <cellStyle name="Input 3 2 3 4 3" xfId="3783"/>
    <cellStyle name="Input 3 2 3 5" xfId="3784"/>
    <cellStyle name="Input 3 2 3 5 2" xfId="3785"/>
    <cellStyle name="Input 3 2 3 6" xfId="3786"/>
    <cellStyle name="Input 3 2 4" xfId="3787"/>
    <cellStyle name="Input 3 2 4 2" xfId="3788"/>
    <cellStyle name="Input 3 2 4 2 2" xfId="3789"/>
    <cellStyle name="Input 3 2 4 2 2 2" xfId="3790"/>
    <cellStyle name="Input 3 2 4 2 2 2 2" xfId="3791"/>
    <cellStyle name="Input 3 2 4 2 2 3" xfId="3792"/>
    <cellStyle name="Input 3 2 4 2 3" xfId="3793"/>
    <cellStyle name="Input 3 2 4 2 3 2" xfId="3794"/>
    <cellStyle name="Input 3 2 4 2 4" xfId="3795"/>
    <cellStyle name="Input 3 2 4 3" xfId="3796"/>
    <cellStyle name="Input 3 2 4 3 2" xfId="3797"/>
    <cellStyle name="Input 3 2 4 3 2 2" xfId="3798"/>
    <cellStyle name="Input 3 2 4 3 3" xfId="3799"/>
    <cellStyle name="Input 3 2 4 3 4" xfId="3800"/>
    <cellStyle name="Input 3 2 4 4" xfId="3801"/>
    <cellStyle name="Input 3 2 4 4 2" xfId="3802"/>
    <cellStyle name="Input 3 2 4 4 2 2" xfId="3803"/>
    <cellStyle name="Input 3 2 4 4 3" xfId="3804"/>
    <cellStyle name="Input 3 2 4 5" xfId="3805"/>
    <cellStyle name="Input 3 2 4 5 2" xfId="3806"/>
    <cellStyle name="Input 3 2 4 6" xfId="3807"/>
    <cellStyle name="Input 3 2 5" xfId="3808"/>
    <cellStyle name="Input 3 2 5 2" xfId="3809"/>
    <cellStyle name="Input 3 3" xfId="3810"/>
    <cellStyle name="Input 3 3 2" xfId="3811"/>
    <cellStyle name="Input 3 3 2 2" xfId="3812"/>
    <cellStyle name="Input 3 3 2 2 2" xfId="3813"/>
    <cellStyle name="Input 3 3 2 2 2 2" xfId="3814"/>
    <cellStyle name="Input 3 3 2 2 2 2 2" xfId="3815"/>
    <cellStyle name="Input 3 3 2 2 2 3" xfId="3816"/>
    <cellStyle name="Input 3 3 2 2 3" xfId="3817"/>
    <cellStyle name="Input 3 3 2 2 3 2" xfId="3818"/>
    <cellStyle name="Input 3 3 2 2 4" xfId="3819"/>
    <cellStyle name="Input 3 3 2 3" xfId="3820"/>
    <cellStyle name="Input 3 3 2 3 2" xfId="3821"/>
    <cellStyle name="Input 3 3 2 3 2 2" xfId="3822"/>
    <cellStyle name="Input 3 3 2 3 3" xfId="3823"/>
    <cellStyle name="Input 3 3 2 3 4" xfId="3824"/>
    <cellStyle name="Input 3 3 2 4" xfId="3825"/>
    <cellStyle name="Input 3 3 2 4 2" xfId="3826"/>
    <cellStyle name="Input 3 3 2 4 2 2" xfId="3827"/>
    <cellStyle name="Input 3 3 2 4 3" xfId="3828"/>
    <cellStyle name="Input 3 3 2 5" xfId="3829"/>
    <cellStyle name="Input 3 3 2 5 2" xfId="3830"/>
    <cellStyle name="Input 3 3 2 6" xfId="3831"/>
    <cellStyle name="Input 3 3 3" xfId="3832"/>
    <cellStyle name="Input 3 3 3 2" xfId="3833"/>
    <cellStyle name="Input 3 3 3 2 2" xfId="3834"/>
    <cellStyle name="Input 3 3 3 2 2 2" xfId="3835"/>
    <cellStyle name="Input 3 3 3 2 2 2 2" xfId="3836"/>
    <cellStyle name="Input 3 3 3 2 2 3" xfId="3837"/>
    <cellStyle name="Input 3 3 3 2 3" xfId="3838"/>
    <cellStyle name="Input 3 3 3 2 3 2" xfId="3839"/>
    <cellStyle name="Input 3 3 3 2 4" xfId="3840"/>
    <cellStyle name="Input 3 3 3 3" xfId="3841"/>
    <cellStyle name="Input 3 3 3 3 2" xfId="3842"/>
    <cellStyle name="Input 3 3 3 3 2 2" xfId="3843"/>
    <cellStyle name="Input 3 3 3 3 3" xfId="3844"/>
    <cellStyle name="Input 3 3 3 3 4" xfId="3845"/>
    <cellStyle name="Input 3 3 3 4" xfId="3846"/>
    <cellStyle name="Input 3 3 3 4 2" xfId="3847"/>
    <cellStyle name="Input 3 3 3 4 2 2" xfId="3848"/>
    <cellStyle name="Input 3 3 3 4 3" xfId="3849"/>
    <cellStyle name="Input 3 3 3 5" xfId="3850"/>
    <cellStyle name="Input 3 3 3 5 2" xfId="3851"/>
    <cellStyle name="Input 3 3 3 6" xfId="3852"/>
    <cellStyle name="Input 3 3 4" xfId="3853"/>
    <cellStyle name="Input 3 3 4 2" xfId="3854"/>
    <cellStyle name="Input 3 3 4 2 2" xfId="3855"/>
    <cellStyle name="Input 3 3 4 2 2 2" xfId="3856"/>
    <cellStyle name="Input 3 3 4 2 3" xfId="3857"/>
    <cellStyle name="Input 3 3 4 3" xfId="3858"/>
    <cellStyle name="Input 3 3 4 3 2" xfId="3859"/>
    <cellStyle name="Input 3 3 4 4" xfId="3860"/>
    <cellStyle name="Input 3 3 5" xfId="3861"/>
    <cellStyle name="Input 3 3 5 2" xfId="3862"/>
    <cellStyle name="Input 3 3 5 2 2" xfId="3863"/>
    <cellStyle name="Input 3 3 5 3" xfId="3864"/>
    <cellStyle name="Input 3 3 5 4" xfId="3865"/>
    <cellStyle name="Input 3 3 6" xfId="3866"/>
    <cellStyle name="Input 3 3 6 2" xfId="3867"/>
    <cellStyle name="Input 3 3 6 2 2" xfId="3868"/>
    <cellStyle name="Input 3 3 6 3" xfId="3869"/>
    <cellStyle name="Input 3 3 7" xfId="3870"/>
    <cellStyle name="Input 3 3 7 2" xfId="3871"/>
    <cellStyle name="Input 3 3 8" xfId="3872"/>
    <cellStyle name="Input 3 4" xfId="3873"/>
    <cellStyle name="Input 3 4 2" xfId="3874"/>
    <cellStyle name="Input 3 4 2 2" xfId="3875"/>
    <cellStyle name="Input 3 4 2 2 2" xfId="3876"/>
    <cellStyle name="Input 3 4 2 2 2 2" xfId="3877"/>
    <cellStyle name="Input 3 4 2 2 3" xfId="3878"/>
    <cellStyle name="Input 3 4 2 3" xfId="3879"/>
    <cellStyle name="Input 3 4 2 3 2" xfId="3880"/>
    <cellStyle name="Input 3 4 2 4" xfId="3881"/>
    <cellStyle name="Input 3 4 3" xfId="3882"/>
    <cellStyle name="Input 3 4 3 2" xfId="3883"/>
    <cellStyle name="Input 3 4 3 2 2" xfId="3884"/>
    <cellStyle name="Input 3 4 3 3" xfId="3885"/>
    <cellStyle name="Input 3 4 3 4" xfId="3886"/>
    <cellStyle name="Input 3 4 4" xfId="3887"/>
    <cellStyle name="Input 3 4 4 2" xfId="3888"/>
    <cellStyle name="Input 3 4 4 2 2" xfId="3889"/>
    <cellStyle name="Input 3 4 4 3" xfId="3890"/>
    <cellStyle name="Input 3 4 5" xfId="3891"/>
    <cellStyle name="Input 3 4 5 2" xfId="3892"/>
    <cellStyle name="Input 3 4 6" xfId="3893"/>
    <cellStyle name="Input 4" xfId="3894"/>
    <cellStyle name="Input 4 2" xfId="3895"/>
    <cellStyle name="Input 4 2 2" xfId="3896"/>
    <cellStyle name="Input 4 2 2 2" xfId="3897"/>
    <cellStyle name="Input 4 2 2 2 2" xfId="3898"/>
    <cellStyle name="Input 4 2 2 2 2 2" xfId="3899"/>
    <cellStyle name="Input 4 2 2 2 2 2 2" xfId="3900"/>
    <cellStyle name="Input 4 2 2 2 2 3" xfId="3901"/>
    <cellStyle name="Input 4 2 2 2 3" xfId="3902"/>
    <cellStyle name="Input 4 2 2 2 3 2" xfId="3903"/>
    <cellStyle name="Input 4 2 2 2 4" xfId="3904"/>
    <cellStyle name="Input 4 2 2 3" xfId="3905"/>
    <cellStyle name="Input 4 2 2 3 2" xfId="3906"/>
    <cellStyle name="Input 4 2 2 3 2 2" xfId="3907"/>
    <cellStyle name="Input 4 2 2 3 3" xfId="3908"/>
    <cellStyle name="Input 4 2 2 3 4" xfId="3909"/>
    <cellStyle name="Input 4 2 2 4" xfId="3910"/>
    <cellStyle name="Input 4 2 2 4 2" xfId="3911"/>
    <cellStyle name="Input 4 2 2 4 2 2" xfId="3912"/>
    <cellStyle name="Input 4 2 2 4 3" xfId="3913"/>
    <cellStyle name="Input 4 2 2 5" xfId="3914"/>
    <cellStyle name="Input 4 2 2 5 2" xfId="3915"/>
    <cellStyle name="Input 4 2 2 6" xfId="3916"/>
    <cellStyle name="Input 4 2 3" xfId="3917"/>
    <cellStyle name="Input 4 2 3 2" xfId="3918"/>
    <cellStyle name="Input 4 2 3 2 2" xfId="3919"/>
    <cellStyle name="Input 4 2 3 2 2 2" xfId="3920"/>
    <cellStyle name="Input 4 2 3 2 2 2 2" xfId="3921"/>
    <cellStyle name="Input 4 2 3 2 2 3" xfId="3922"/>
    <cellStyle name="Input 4 2 3 2 3" xfId="3923"/>
    <cellStyle name="Input 4 2 3 2 3 2" xfId="3924"/>
    <cellStyle name="Input 4 2 3 2 4" xfId="3925"/>
    <cellStyle name="Input 4 2 3 3" xfId="3926"/>
    <cellStyle name="Input 4 2 3 3 2" xfId="3927"/>
    <cellStyle name="Input 4 2 3 3 2 2" xfId="3928"/>
    <cellStyle name="Input 4 2 3 3 3" xfId="3929"/>
    <cellStyle name="Input 4 2 3 3 4" xfId="3930"/>
    <cellStyle name="Input 4 2 3 4" xfId="3931"/>
    <cellStyle name="Input 4 2 3 4 2" xfId="3932"/>
    <cellStyle name="Input 4 2 3 4 2 2" xfId="3933"/>
    <cellStyle name="Input 4 2 3 4 3" xfId="3934"/>
    <cellStyle name="Input 4 2 3 5" xfId="3935"/>
    <cellStyle name="Input 4 2 3 5 2" xfId="3936"/>
    <cellStyle name="Input 4 2 3 6" xfId="3937"/>
    <cellStyle name="Input 4 2 4" xfId="3938"/>
    <cellStyle name="Input 4 2 4 2" xfId="3939"/>
    <cellStyle name="Input 4 2 4 2 2" xfId="3940"/>
    <cellStyle name="Input 4 2 4 2 2 2" xfId="3941"/>
    <cellStyle name="Input 4 2 4 2 2 2 2" xfId="3942"/>
    <cellStyle name="Input 4 2 4 2 2 3" xfId="3943"/>
    <cellStyle name="Input 4 2 4 2 3" xfId="3944"/>
    <cellStyle name="Input 4 2 4 2 3 2" xfId="3945"/>
    <cellStyle name="Input 4 2 4 2 4" xfId="3946"/>
    <cellStyle name="Input 4 2 4 3" xfId="3947"/>
    <cellStyle name="Input 4 2 4 3 2" xfId="3948"/>
    <cellStyle name="Input 4 2 4 3 2 2" xfId="3949"/>
    <cellStyle name="Input 4 2 4 3 3" xfId="3950"/>
    <cellStyle name="Input 4 2 4 3 4" xfId="3951"/>
    <cellStyle name="Input 4 2 4 4" xfId="3952"/>
    <cellStyle name="Input 4 2 4 4 2" xfId="3953"/>
    <cellStyle name="Input 4 2 4 4 2 2" xfId="3954"/>
    <cellStyle name="Input 4 2 4 4 3" xfId="3955"/>
    <cellStyle name="Input 4 2 4 5" xfId="3956"/>
    <cellStyle name="Input 4 2 4 5 2" xfId="3957"/>
    <cellStyle name="Input 4 2 4 6" xfId="3958"/>
    <cellStyle name="Input 4 2 5" xfId="3959"/>
    <cellStyle name="Input 4 2 5 2" xfId="3960"/>
    <cellStyle name="Input 4 3" xfId="3961"/>
    <cellStyle name="Input 4 3 2" xfId="3962"/>
    <cellStyle name="Input 4 3 2 2" xfId="3963"/>
    <cellStyle name="Input 4 3 2 2 2" xfId="3964"/>
    <cellStyle name="Input 4 3 2 2 2 2" xfId="3965"/>
    <cellStyle name="Input 4 3 2 2 2 2 2" xfId="3966"/>
    <cellStyle name="Input 4 3 2 2 2 3" xfId="3967"/>
    <cellStyle name="Input 4 3 2 2 3" xfId="3968"/>
    <cellStyle name="Input 4 3 2 2 3 2" xfId="3969"/>
    <cellStyle name="Input 4 3 2 2 4" xfId="3970"/>
    <cellStyle name="Input 4 3 2 3" xfId="3971"/>
    <cellStyle name="Input 4 3 2 3 2" xfId="3972"/>
    <cellStyle name="Input 4 3 2 3 2 2" xfId="3973"/>
    <cellStyle name="Input 4 3 2 3 3" xfId="3974"/>
    <cellStyle name="Input 4 3 2 3 4" xfId="3975"/>
    <cellStyle name="Input 4 3 2 4" xfId="3976"/>
    <cellStyle name="Input 4 3 2 4 2" xfId="3977"/>
    <cellStyle name="Input 4 3 2 4 2 2" xfId="3978"/>
    <cellStyle name="Input 4 3 2 4 3" xfId="3979"/>
    <cellStyle name="Input 4 3 2 5" xfId="3980"/>
    <cellStyle name="Input 4 3 2 5 2" xfId="3981"/>
    <cellStyle name="Input 4 3 2 6" xfId="3982"/>
    <cellStyle name="Input 4 3 3" xfId="3983"/>
    <cellStyle name="Input 4 3 3 2" xfId="3984"/>
    <cellStyle name="Input 4 3 3 2 2" xfId="3985"/>
    <cellStyle name="Input 4 3 3 2 2 2" xfId="3986"/>
    <cellStyle name="Input 4 3 3 2 2 2 2" xfId="3987"/>
    <cellStyle name="Input 4 3 3 2 2 3" xfId="3988"/>
    <cellStyle name="Input 4 3 3 2 3" xfId="3989"/>
    <cellStyle name="Input 4 3 3 2 3 2" xfId="3990"/>
    <cellStyle name="Input 4 3 3 2 4" xfId="3991"/>
    <cellStyle name="Input 4 3 3 3" xfId="3992"/>
    <cellStyle name="Input 4 3 3 3 2" xfId="3993"/>
    <cellStyle name="Input 4 3 3 3 2 2" xfId="3994"/>
    <cellStyle name="Input 4 3 3 3 3" xfId="3995"/>
    <cellStyle name="Input 4 3 3 3 4" xfId="3996"/>
    <cellStyle name="Input 4 3 3 4" xfId="3997"/>
    <cellStyle name="Input 4 3 3 4 2" xfId="3998"/>
    <cellStyle name="Input 4 3 3 4 2 2" xfId="3999"/>
    <cellStyle name="Input 4 3 3 4 3" xfId="4000"/>
    <cellStyle name="Input 4 3 3 5" xfId="4001"/>
    <cellStyle name="Input 4 3 3 5 2" xfId="4002"/>
    <cellStyle name="Input 4 3 3 6" xfId="4003"/>
    <cellStyle name="Input 4 3 4" xfId="4004"/>
    <cellStyle name="Input 4 3 4 2" xfId="4005"/>
    <cellStyle name="Input 4 3 4 2 2" xfId="4006"/>
    <cellStyle name="Input 4 3 4 2 2 2" xfId="4007"/>
    <cellStyle name="Input 4 3 4 2 3" xfId="4008"/>
    <cellStyle name="Input 4 3 4 3" xfId="4009"/>
    <cellStyle name="Input 4 3 4 3 2" xfId="4010"/>
    <cellStyle name="Input 4 3 4 4" xfId="4011"/>
    <cellStyle name="Input 4 3 5" xfId="4012"/>
    <cellStyle name="Input 4 3 5 2" xfId="4013"/>
    <cellStyle name="Input 4 3 5 2 2" xfId="4014"/>
    <cellStyle name="Input 4 3 5 3" xfId="4015"/>
    <cellStyle name="Input 4 3 5 4" xfId="4016"/>
    <cellStyle name="Input 4 3 6" xfId="4017"/>
    <cellStyle name="Input 4 3 6 2" xfId="4018"/>
    <cellStyle name="Input 4 3 6 2 2" xfId="4019"/>
    <cellStyle name="Input 4 3 6 3" xfId="4020"/>
    <cellStyle name="Input 4 3 7" xfId="4021"/>
    <cellStyle name="Input 4 3 7 2" xfId="4022"/>
    <cellStyle name="Input 4 3 8" xfId="4023"/>
    <cellStyle name="Input 4 4" xfId="4024"/>
    <cellStyle name="Input 4 4 2" xfId="4025"/>
    <cellStyle name="Input 4 4 2 2" xfId="4026"/>
    <cellStyle name="Input 4 4 2 2 2" xfId="4027"/>
    <cellStyle name="Input 4 4 2 2 2 2" xfId="4028"/>
    <cellStyle name="Input 4 4 2 2 3" xfId="4029"/>
    <cellStyle name="Input 4 4 2 3" xfId="4030"/>
    <cellStyle name="Input 4 4 2 3 2" xfId="4031"/>
    <cellStyle name="Input 4 4 2 4" xfId="4032"/>
    <cellStyle name="Input 4 4 3" xfId="4033"/>
    <cellStyle name="Input 4 4 3 2" xfId="4034"/>
    <cellStyle name="Input 4 4 3 2 2" xfId="4035"/>
    <cellStyle name="Input 4 4 3 3" xfId="4036"/>
    <cellStyle name="Input 4 4 3 4" xfId="4037"/>
    <cellStyle name="Input 4 4 4" xfId="4038"/>
    <cellStyle name="Input 4 4 4 2" xfId="4039"/>
    <cellStyle name="Input 4 4 4 2 2" xfId="4040"/>
    <cellStyle name="Input 4 4 4 3" xfId="4041"/>
    <cellStyle name="Input 4 4 5" xfId="4042"/>
    <cellStyle name="Input 4 4 5 2" xfId="4043"/>
    <cellStyle name="Input 4 4 6" xfId="4044"/>
    <cellStyle name="Input 5" xfId="4045"/>
    <cellStyle name="Input 5 2" xfId="4046"/>
    <cellStyle name="Input 5 2 2" xfId="4047"/>
    <cellStyle name="Input 5 2 2 2" xfId="4048"/>
    <cellStyle name="Input 5 2 2 2 2" xfId="4049"/>
    <cellStyle name="Input 5 2 2 2 2 2" xfId="4050"/>
    <cellStyle name="Input 5 2 2 2 3" xfId="4051"/>
    <cellStyle name="Input 5 2 2 3" xfId="4052"/>
    <cellStyle name="Input 5 2 2 3 2" xfId="4053"/>
    <cellStyle name="Input 5 2 2 4" xfId="4054"/>
    <cellStyle name="Input 5 2 3" xfId="4055"/>
    <cellStyle name="Input 5 2 3 2" xfId="4056"/>
    <cellStyle name="Input 5 2 3 2 2" xfId="4057"/>
    <cellStyle name="Input 5 2 3 3" xfId="4058"/>
    <cellStyle name="Input 5 2 3 4" xfId="4059"/>
    <cellStyle name="Input 5 2 4" xfId="4060"/>
    <cellStyle name="Input 5 2 4 2" xfId="4061"/>
    <cellStyle name="Input 5 2 4 2 2" xfId="4062"/>
    <cellStyle name="Input 5 2 4 3" xfId="4063"/>
    <cellStyle name="Input 5 2 5" xfId="4064"/>
    <cellStyle name="Input 5 2 5 2" xfId="4065"/>
    <cellStyle name="Input 5 2 6" xfId="4066"/>
    <cellStyle name="Input 5 3" xfId="4067"/>
    <cellStyle name="Input 5 3 2" xfId="4068"/>
    <cellStyle name="Input 5 3 2 2" xfId="4069"/>
    <cellStyle name="Input 5 3 2 2 2" xfId="4070"/>
    <cellStyle name="Input 5 3 2 2 2 2" xfId="4071"/>
    <cellStyle name="Input 5 3 2 2 3" xfId="4072"/>
    <cellStyle name="Input 5 3 2 3" xfId="4073"/>
    <cellStyle name="Input 5 3 2 3 2" xfId="4074"/>
    <cellStyle name="Input 5 3 2 4" xfId="4075"/>
    <cellStyle name="Input 5 3 3" xfId="4076"/>
    <cellStyle name="Input 5 3 3 2" xfId="4077"/>
    <cellStyle name="Input 5 3 3 2 2" xfId="4078"/>
    <cellStyle name="Input 5 3 3 3" xfId="4079"/>
    <cellStyle name="Input 5 3 3 4" xfId="4080"/>
    <cellStyle name="Input 5 3 4" xfId="4081"/>
    <cellStyle name="Input 5 3 4 2" xfId="4082"/>
    <cellStyle name="Input 5 3 4 2 2" xfId="4083"/>
    <cellStyle name="Input 5 3 4 3" xfId="4084"/>
    <cellStyle name="Input 5 3 5" xfId="4085"/>
    <cellStyle name="Input 5 3 5 2" xfId="4086"/>
    <cellStyle name="Input 5 3 6" xfId="4087"/>
    <cellStyle name="Input 5 4" xfId="4088"/>
    <cellStyle name="Input 5 4 2" xfId="4089"/>
    <cellStyle name="Input 5 4 2 2" xfId="4090"/>
    <cellStyle name="Input 5 4 2 2 2" xfId="4091"/>
    <cellStyle name="Input 5 4 2 2 2 2" xfId="4092"/>
    <cellStyle name="Input 5 4 2 2 3" xfId="4093"/>
    <cellStyle name="Input 5 4 2 3" xfId="4094"/>
    <cellStyle name="Input 5 4 2 3 2" xfId="4095"/>
    <cellStyle name="Input 5 4 2 4" xfId="4096"/>
    <cellStyle name="Input 5 4 3" xfId="4097"/>
    <cellStyle name="Input 5 4 3 2" xfId="4098"/>
    <cellStyle name="Input 5 4 3 2 2" xfId="4099"/>
    <cellStyle name="Input 5 4 3 3" xfId="4100"/>
    <cellStyle name="Input 5 4 3 4" xfId="4101"/>
    <cellStyle name="Input 5 4 4" xfId="4102"/>
    <cellStyle name="Input 5 4 4 2" xfId="4103"/>
    <cellStyle name="Input 5 4 4 2 2" xfId="4104"/>
    <cellStyle name="Input 5 4 4 3" xfId="4105"/>
    <cellStyle name="Input 5 4 5" xfId="4106"/>
    <cellStyle name="Input 5 4 5 2" xfId="4107"/>
    <cellStyle name="Input 5 4 6" xfId="4108"/>
    <cellStyle name="Input 5 5" xfId="4109"/>
    <cellStyle name="Input 5 5 2" xfId="4110"/>
    <cellStyle name="Input 6" xfId="4111"/>
    <cellStyle name="Input 6 2" xfId="4112"/>
    <cellStyle name="Input 6 2 2" xfId="4113"/>
    <cellStyle name="Input 6 2 2 2" xfId="4114"/>
    <cellStyle name="Input 6 2 2 2 2" xfId="4115"/>
    <cellStyle name="Input 6 2 2 2 2 2" xfId="4116"/>
    <cellStyle name="Input 6 2 2 2 3" xfId="4117"/>
    <cellStyle name="Input 6 2 2 3" xfId="4118"/>
    <cellStyle name="Input 6 2 2 3 2" xfId="4119"/>
    <cellStyle name="Input 6 2 2 4" xfId="4120"/>
    <cellStyle name="Input 6 2 3" xfId="4121"/>
    <cellStyle name="Input 6 2 3 2" xfId="4122"/>
    <cellStyle name="Input 6 2 3 2 2" xfId="4123"/>
    <cellStyle name="Input 6 2 3 3" xfId="4124"/>
    <cellStyle name="Input 6 2 3 4" xfId="4125"/>
    <cellStyle name="Input 6 2 4" xfId="4126"/>
    <cellStyle name="Input 6 2 4 2" xfId="4127"/>
    <cellStyle name="Input 6 2 4 2 2" xfId="4128"/>
    <cellStyle name="Input 6 2 4 3" xfId="4129"/>
    <cellStyle name="Input 6 2 5" xfId="4130"/>
    <cellStyle name="Input 6 2 5 2" xfId="4131"/>
    <cellStyle name="Input 6 2 6" xfId="4132"/>
    <cellStyle name="Input 6 3" xfId="4133"/>
    <cellStyle name="Input 6 3 2" xfId="4134"/>
    <cellStyle name="Input 6 3 2 2" xfId="4135"/>
    <cellStyle name="Input 6 3 2 2 2" xfId="4136"/>
    <cellStyle name="Input 6 3 2 2 2 2" xfId="4137"/>
    <cellStyle name="Input 6 3 2 2 3" xfId="4138"/>
    <cellStyle name="Input 6 3 2 3" xfId="4139"/>
    <cellStyle name="Input 6 3 2 3 2" xfId="4140"/>
    <cellStyle name="Input 6 3 2 4" xfId="4141"/>
    <cellStyle name="Input 6 3 3" xfId="4142"/>
    <cellStyle name="Input 6 3 3 2" xfId="4143"/>
    <cellStyle name="Input 6 3 3 2 2" xfId="4144"/>
    <cellStyle name="Input 6 3 3 3" xfId="4145"/>
    <cellStyle name="Input 6 3 3 4" xfId="4146"/>
    <cellStyle name="Input 6 3 4" xfId="4147"/>
    <cellStyle name="Input 6 3 4 2" xfId="4148"/>
    <cellStyle name="Input 6 3 4 2 2" xfId="4149"/>
    <cellStyle name="Input 6 3 4 3" xfId="4150"/>
    <cellStyle name="Input 6 3 5" xfId="4151"/>
    <cellStyle name="Input 6 3 5 2" xfId="4152"/>
    <cellStyle name="Input 6 3 6" xfId="4153"/>
    <cellStyle name="Input 6 4" xfId="4154"/>
    <cellStyle name="Input 6 4 2" xfId="4155"/>
    <cellStyle name="Input 6 4 2 2" xfId="4156"/>
    <cellStyle name="Input 6 4 2 2 2" xfId="4157"/>
    <cellStyle name="Input 6 4 2 3" xfId="4158"/>
    <cellStyle name="Input 6 4 3" xfId="4159"/>
    <cellStyle name="Input 6 4 3 2" xfId="4160"/>
    <cellStyle name="Input 6 4 4" xfId="4161"/>
    <cellStyle name="Input 6 5" xfId="4162"/>
    <cellStyle name="Input 6 5 2" xfId="4163"/>
    <cellStyle name="Input 6 5 2 2" xfId="4164"/>
    <cellStyle name="Input 6 5 3" xfId="4165"/>
    <cellStyle name="Input 6 5 4" xfId="4166"/>
    <cellStyle name="Input 6 6" xfId="4167"/>
    <cellStyle name="Input 6 6 2" xfId="4168"/>
    <cellStyle name="Input 6 6 2 2" xfId="4169"/>
    <cellStyle name="Input 6 6 3" xfId="4170"/>
    <cellStyle name="Input 6 7" xfId="4171"/>
    <cellStyle name="Input 6 7 2" xfId="4172"/>
    <cellStyle name="Input 6 8" xfId="4173"/>
    <cellStyle name="InputDataRow" xfId="4174"/>
    <cellStyle name="InputLabelRow" xfId="4175"/>
    <cellStyle name="InputPc2Right" xfId="4176"/>
    <cellStyle name="InputShortText" xfId="4177"/>
    <cellStyle name="InputTextLeft" xfId="4178"/>
    <cellStyle name="Int.conven" xfId="4179"/>
    <cellStyle name="IntermediateLabelColumn" xfId="4180"/>
    <cellStyle name="JG" xfId="4181"/>
    <cellStyle name="LabelLeft" xfId="4182"/>
    <cellStyle name="LabelRight" xfId="4183"/>
    <cellStyle name="Linked Cell 2" xfId="4184"/>
    <cellStyle name="Linked Cell 2 2" xfId="4185"/>
    <cellStyle name="Linked Cell 3" xfId="4186"/>
    <cellStyle name="Linked Cell 4" xfId="4187"/>
    <cellStyle name="LocalFormat" xfId="4188"/>
    <cellStyle name="LocalFormat 2" xfId="4189"/>
    <cellStyle name="LocalFormat 2 2" xfId="4190"/>
    <cellStyle name="LocalFormat 2 2 2" xfId="4191"/>
    <cellStyle name="LocalFormat 2 2 2 2" xfId="4192"/>
    <cellStyle name="LocalFormat 2 2 2 2 2" xfId="4193"/>
    <cellStyle name="LocalFormat 2 2 2 2 2 2" xfId="4194"/>
    <cellStyle name="LocalFormat 2 2 2 2 2 2 2" xfId="4195"/>
    <cellStyle name="LocalFormat 2 2 2 2 2 3" xfId="4196"/>
    <cellStyle name="LocalFormat 2 2 2 2 3" xfId="4197"/>
    <cellStyle name="LocalFormat 2 2 2 2 3 2" xfId="4198"/>
    <cellStyle name="LocalFormat 2 2 2 2 4" xfId="4199"/>
    <cellStyle name="LocalFormat 2 2 2 3" xfId="4200"/>
    <cellStyle name="LocalFormat 2 2 2 3 2" xfId="4201"/>
    <cellStyle name="LocalFormat 2 2 2 3 2 2" xfId="4202"/>
    <cellStyle name="LocalFormat 2 2 2 3 3" xfId="4203"/>
    <cellStyle name="LocalFormat 2 2 2 3 4" xfId="4204"/>
    <cellStyle name="LocalFormat 2 2 2 4" xfId="4205"/>
    <cellStyle name="LocalFormat 2 2 2 4 2" xfId="4206"/>
    <cellStyle name="LocalFormat 2 2 2 4 2 2" xfId="4207"/>
    <cellStyle name="LocalFormat 2 2 2 4 3" xfId="4208"/>
    <cellStyle name="LocalFormat 2 2 2 5" xfId="4209"/>
    <cellStyle name="LocalFormat 2 2 3" xfId="4210"/>
    <cellStyle name="LocalFormat 2 2 3 2" xfId="4211"/>
    <cellStyle name="LocalFormat 2 2 3 2 2" xfId="4212"/>
    <cellStyle name="LocalFormat 2 2 3 2 2 2" xfId="4213"/>
    <cellStyle name="LocalFormat 2 2 3 2 2 2 2" xfId="4214"/>
    <cellStyle name="LocalFormat 2 2 3 2 2 3" xfId="4215"/>
    <cellStyle name="LocalFormat 2 2 3 2 3" xfId="4216"/>
    <cellStyle name="LocalFormat 2 2 3 2 3 2" xfId="4217"/>
    <cellStyle name="LocalFormat 2 2 3 2 4" xfId="4218"/>
    <cellStyle name="LocalFormat 2 2 3 3" xfId="4219"/>
    <cellStyle name="LocalFormat 2 2 3 3 2" xfId="4220"/>
    <cellStyle name="LocalFormat 2 2 3 3 2 2" xfId="4221"/>
    <cellStyle name="LocalFormat 2 2 3 3 3" xfId="4222"/>
    <cellStyle name="LocalFormat 2 2 3 3 4" xfId="4223"/>
    <cellStyle name="LocalFormat 2 2 3 4" xfId="4224"/>
    <cellStyle name="LocalFormat 2 2 3 4 2" xfId="4225"/>
    <cellStyle name="LocalFormat 2 2 3 4 2 2" xfId="4226"/>
    <cellStyle name="LocalFormat 2 2 3 4 3" xfId="4227"/>
    <cellStyle name="LocalFormat 2 2 3 5" xfId="4228"/>
    <cellStyle name="LocalFormat 2 2 3 5 2" xfId="4229"/>
    <cellStyle name="LocalFormat 2 2 3 6" xfId="4230"/>
    <cellStyle name="LocalFormat 2 2 4" xfId="4231"/>
    <cellStyle name="LocalFormat 2 2 4 2" xfId="4232"/>
    <cellStyle name="LocalFormat 2 2 4 2 2" xfId="4233"/>
    <cellStyle name="LocalFormat 2 2 4 2 2 2" xfId="4234"/>
    <cellStyle name="LocalFormat 2 2 4 2 2 2 2" xfId="4235"/>
    <cellStyle name="LocalFormat 2 2 4 2 2 3" xfId="4236"/>
    <cellStyle name="LocalFormat 2 2 4 2 3" xfId="4237"/>
    <cellStyle name="LocalFormat 2 2 4 2 3 2" xfId="4238"/>
    <cellStyle name="LocalFormat 2 2 4 2 4" xfId="4239"/>
    <cellStyle name="LocalFormat 2 2 4 3" xfId="4240"/>
    <cellStyle name="LocalFormat 2 2 4 3 2" xfId="4241"/>
    <cellStyle name="LocalFormat 2 2 4 3 2 2" xfId="4242"/>
    <cellStyle name="LocalFormat 2 2 4 3 3" xfId="4243"/>
    <cellStyle name="LocalFormat 2 2 4 3 4" xfId="4244"/>
    <cellStyle name="LocalFormat 2 2 4 4" xfId="4245"/>
    <cellStyle name="LocalFormat 2 2 4 4 2" xfId="4246"/>
    <cellStyle name="LocalFormat 2 2 4 4 2 2" xfId="4247"/>
    <cellStyle name="LocalFormat 2 2 4 4 3" xfId="4248"/>
    <cellStyle name="LocalFormat 2 2 4 5" xfId="4249"/>
    <cellStyle name="LocalFormat 2 2 4 5 2" xfId="4250"/>
    <cellStyle name="LocalFormat 2 2 4 6" xfId="4251"/>
    <cellStyle name="LocalFormat 2 2 5" xfId="4252"/>
    <cellStyle name="LocalFormat 2 2 5 2" xfId="4253"/>
    <cellStyle name="LocalFormat 2 3" xfId="4254"/>
    <cellStyle name="LocalFormat 2 3 2" xfId="4255"/>
    <cellStyle name="LocalFormat 2 3 2 2" xfId="4256"/>
    <cellStyle name="LocalFormat 2 3 2 2 2" xfId="4257"/>
    <cellStyle name="LocalFormat 2 3 2 2 2 2" xfId="4258"/>
    <cellStyle name="LocalFormat 2 3 2 2 3" xfId="4259"/>
    <cellStyle name="LocalFormat 2 3 2 3" xfId="4260"/>
    <cellStyle name="LocalFormat 2 3 2 3 2" xfId="4261"/>
    <cellStyle name="LocalFormat 2 3 2 4" xfId="4262"/>
    <cellStyle name="LocalFormat 2 3 3" xfId="4263"/>
    <cellStyle name="LocalFormat 2 3 3 2" xfId="4264"/>
    <cellStyle name="LocalFormat 2 3 3 2 2" xfId="4265"/>
    <cellStyle name="LocalFormat 2 3 3 3" xfId="4266"/>
    <cellStyle name="LocalFormat 2 3 3 4" xfId="4267"/>
    <cellStyle name="LocalFormat 2 3 4" xfId="4268"/>
    <cellStyle name="LocalFormat 2 3 4 2" xfId="4269"/>
    <cellStyle name="LocalFormat 2 3 4 2 2" xfId="4270"/>
    <cellStyle name="LocalFormat 2 3 4 3" xfId="4271"/>
    <cellStyle name="LocalFormat 2 3 5" xfId="4272"/>
    <cellStyle name="LocalFormat 2 4" xfId="4273"/>
    <cellStyle name="LocalFormat 2 4 2" xfId="4274"/>
    <cellStyle name="LocalFormat 2 4 2 2" xfId="4275"/>
    <cellStyle name="LocalFormat 2 4 2 2 2" xfId="4276"/>
    <cellStyle name="LocalFormat 2 4 2 2 2 2" xfId="4277"/>
    <cellStyle name="LocalFormat 2 4 2 2 3" xfId="4278"/>
    <cellStyle name="LocalFormat 2 4 2 3" xfId="4279"/>
    <cellStyle name="LocalFormat 2 4 2 3 2" xfId="4280"/>
    <cellStyle name="LocalFormat 2 4 2 4" xfId="4281"/>
    <cellStyle name="LocalFormat 2 4 3" xfId="4282"/>
    <cellStyle name="LocalFormat 2 4 3 2" xfId="4283"/>
    <cellStyle name="LocalFormat 2 4 3 2 2" xfId="4284"/>
    <cellStyle name="LocalFormat 2 4 3 3" xfId="4285"/>
    <cellStyle name="LocalFormat 2 4 3 4" xfId="4286"/>
    <cellStyle name="LocalFormat 2 4 4" xfId="4287"/>
    <cellStyle name="LocalFormat 2 4 4 2" xfId="4288"/>
    <cellStyle name="LocalFormat 2 4 4 2 2" xfId="4289"/>
    <cellStyle name="LocalFormat 2 4 4 3" xfId="4290"/>
    <cellStyle name="LocalFormat 2 4 5" xfId="4291"/>
    <cellStyle name="LocalFormat 2 4 5 2" xfId="4292"/>
    <cellStyle name="LocalFormat 2 4 6" xfId="4293"/>
    <cellStyle name="LocalFormat 2 5" xfId="4294"/>
    <cellStyle name="LocalFormat 2 5 2" xfId="4295"/>
    <cellStyle name="LocalFormat 2 5 2 2" xfId="4296"/>
    <cellStyle name="LocalFormat 2 5 2 2 2" xfId="4297"/>
    <cellStyle name="LocalFormat 2 5 2 2 2 2" xfId="4298"/>
    <cellStyle name="LocalFormat 2 5 2 2 3" xfId="4299"/>
    <cellStyle name="LocalFormat 2 5 2 3" xfId="4300"/>
    <cellStyle name="LocalFormat 2 5 2 3 2" xfId="4301"/>
    <cellStyle name="LocalFormat 2 5 2 4" xfId="4302"/>
    <cellStyle name="LocalFormat 2 5 3" xfId="4303"/>
    <cellStyle name="LocalFormat 2 5 3 2" xfId="4304"/>
    <cellStyle name="LocalFormat 2 5 3 2 2" xfId="4305"/>
    <cellStyle name="LocalFormat 2 5 3 3" xfId="4306"/>
    <cellStyle name="LocalFormat 2 5 3 4" xfId="4307"/>
    <cellStyle name="LocalFormat 2 5 4" xfId="4308"/>
    <cellStyle name="LocalFormat 2 5 4 2" xfId="4309"/>
    <cellStyle name="LocalFormat 2 5 4 2 2" xfId="4310"/>
    <cellStyle name="LocalFormat 2 5 4 3" xfId="4311"/>
    <cellStyle name="LocalFormat 2 5 5" xfId="4312"/>
    <cellStyle name="LocalFormat 2 5 5 2" xfId="4313"/>
    <cellStyle name="LocalFormat 2 5 6" xfId="4314"/>
    <cellStyle name="LocalFormat 3" xfId="4315"/>
    <cellStyle name="LocalFormat 3 2" xfId="4316"/>
    <cellStyle name="LocalFormat 3 2 2" xfId="4317"/>
    <cellStyle name="LocalFormat 3 2 2 2" xfId="4318"/>
    <cellStyle name="LocalFormat 3 2 2 2 2" xfId="4319"/>
    <cellStyle name="LocalFormat 3 2 2 2 2 2" xfId="4320"/>
    <cellStyle name="LocalFormat 3 2 2 2 3" xfId="4321"/>
    <cellStyle name="LocalFormat 3 2 2 3" xfId="4322"/>
    <cellStyle name="LocalFormat 3 2 2 3 2" xfId="4323"/>
    <cellStyle name="LocalFormat 3 2 2 4" xfId="4324"/>
    <cellStyle name="LocalFormat 3 2 3" xfId="4325"/>
    <cellStyle name="LocalFormat 3 2 3 2" xfId="4326"/>
    <cellStyle name="LocalFormat 3 2 3 2 2" xfId="4327"/>
    <cellStyle name="LocalFormat 3 2 3 3" xfId="4328"/>
    <cellStyle name="LocalFormat 3 2 3 4" xfId="4329"/>
    <cellStyle name="LocalFormat 3 2 4" xfId="4330"/>
    <cellStyle name="LocalFormat 3 2 4 2" xfId="4331"/>
    <cellStyle name="LocalFormat 3 2 4 2 2" xfId="4332"/>
    <cellStyle name="LocalFormat 3 2 4 3" xfId="4333"/>
    <cellStyle name="LocalFormat 3 2 5" xfId="4334"/>
    <cellStyle name="LocalFormat 3 3" xfId="4335"/>
    <cellStyle name="LocalFormat 3 3 2" xfId="4336"/>
    <cellStyle name="LocalFormat 3 3 2 2" xfId="4337"/>
    <cellStyle name="LocalFormat 3 3 2 2 2" xfId="4338"/>
    <cellStyle name="LocalFormat 3 3 2 2 2 2" xfId="4339"/>
    <cellStyle name="LocalFormat 3 3 2 2 3" xfId="4340"/>
    <cellStyle name="LocalFormat 3 3 2 3" xfId="4341"/>
    <cellStyle name="LocalFormat 3 3 2 3 2" xfId="4342"/>
    <cellStyle name="LocalFormat 3 3 2 4" xfId="4343"/>
    <cellStyle name="LocalFormat 3 3 3" xfId="4344"/>
    <cellStyle name="LocalFormat 3 3 3 2" xfId="4345"/>
    <cellStyle name="LocalFormat 3 3 3 2 2" xfId="4346"/>
    <cellStyle name="LocalFormat 3 3 3 3" xfId="4347"/>
    <cellStyle name="LocalFormat 3 3 3 4" xfId="4348"/>
    <cellStyle name="LocalFormat 3 3 4" xfId="4349"/>
    <cellStyle name="LocalFormat 3 3 4 2" xfId="4350"/>
    <cellStyle name="LocalFormat 3 3 4 2 2" xfId="4351"/>
    <cellStyle name="LocalFormat 3 3 4 3" xfId="4352"/>
    <cellStyle name="LocalFormat 3 3 5" xfId="4353"/>
    <cellStyle name="LocalFormat 3 3 5 2" xfId="4354"/>
    <cellStyle name="LocalFormat 3 3 6" xfId="4355"/>
    <cellStyle name="LocalFormat 3 4" xfId="4356"/>
    <cellStyle name="LocalFormat 3 4 2" xfId="4357"/>
    <cellStyle name="LocalFormat 3 4 2 2" xfId="4358"/>
    <cellStyle name="LocalFormat 3 4 2 2 2" xfId="4359"/>
    <cellStyle name="LocalFormat 3 4 2 2 2 2" xfId="4360"/>
    <cellStyle name="LocalFormat 3 4 2 2 3" xfId="4361"/>
    <cellStyle name="LocalFormat 3 4 2 3" xfId="4362"/>
    <cellStyle name="LocalFormat 3 4 2 3 2" xfId="4363"/>
    <cellStyle name="LocalFormat 3 4 2 4" xfId="4364"/>
    <cellStyle name="LocalFormat 3 4 3" xfId="4365"/>
    <cellStyle name="LocalFormat 3 4 3 2" xfId="4366"/>
    <cellStyle name="LocalFormat 3 4 3 2 2" xfId="4367"/>
    <cellStyle name="LocalFormat 3 4 3 3" xfId="4368"/>
    <cellStyle name="LocalFormat 3 4 3 4" xfId="4369"/>
    <cellStyle name="LocalFormat 3 4 4" xfId="4370"/>
    <cellStyle name="LocalFormat 3 4 4 2" xfId="4371"/>
    <cellStyle name="LocalFormat 3 4 4 2 2" xfId="4372"/>
    <cellStyle name="LocalFormat 3 4 4 3" xfId="4373"/>
    <cellStyle name="LocalFormat 3 4 5" xfId="4374"/>
    <cellStyle name="LocalFormat 3 4 5 2" xfId="4375"/>
    <cellStyle name="LocalFormat 3 4 6" xfId="4376"/>
    <cellStyle name="LocalFormat 3 5" xfId="4377"/>
    <cellStyle name="LocalFormat 3 5 2" xfId="4378"/>
    <cellStyle name="LocalFormat 4" xfId="4379"/>
    <cellStyle name="LocalFormat 4 2" xfId="4380"/>
    <cellStyle name="LocalFormat 4 2 2" xfId="4381"/>
    <cellStyle name="LocalFormat 4 2 2 2" xfId="4382"/>
    <cellStyle name="LocalFormat 4 2 2 2 2" xfId="4383"/>
    <cellStyle name="LocalFormat 4 2 2 2 2 2" xfId="4384"/>
    <cellStyle name="LocalFormat 4 2 2 2 3" xfId="4385"/>
    <cellStyle name="LocalFormat 4 2 2 3" xfId="4386"/>
    <cellStyle name="LocalFormat 4 2 2 3 2" xfId="4387"/>
    <cellStyle name="LocalFormat 4 2 2 4" xfId="4388"/>
    <cellStyle name="LocalFormat 4 2 3" xfId="4389"/>
    <cellStyle name="LocalFormat 4 2 3 2" xfId="4390"/>
    <cellStyle name="LocalFormat 4 2 3 2 2" xfId="4391"/>
    <cellStyle name="LocalFormat 4 2 3 3" xfId="4392"/>
    <cellStyle name="LocalFormat 4 2 3 4" xfId="4393"/>
    <cellStyle name="LocalFormat 4 2 4" xfId="4394"/>
    <cellStyle name="LocalFormat 4 2 4 2" xfId="4395"/>
    <cellStyle name="LocalFormat 4 2 4 2 2" xfId="4396"/>
    <cellStyle name="LocalFormat 4 2 4 3" xfId="4397"/>
    <cellStyle name="LocalFormat 4 2 5" xfId="4398"/>
    <cellStyle name="LocalFormat 4 2 5 2" xfId="4399"/>
    <cellStyle name="LocalFormat 4 2 6" xfId="4400"/>
    <cellStyle name="LocalFormat 4 3" xfId="4401"/>
    <cellStyle name="LocalFormat 4 3 2" xfId="4402"/>
    <cellStyle name="LocalFormat 4 3 2 2" xfId="4403"/>
    <cellStyle name="LocalFormat 4 3 2 2 2" xfId="4404"/>
    <cellStyle name="LocalFormat 4 3 2 2 2 2" xfId="4405"/>
    <cellStyle name="LocalFormat 4 3 2 2 3" xfId="4406"/>
    <cellStyle name="LocalFormat 4 3 2 3" xfId="4407"/>
    <cellStyle name="LocalFormat 4 3 2 3 2" xfId="4408"/>
    <cellStyle name="LocalFormat 4 3 2 4" xfId="4409"/>
    <cellStyle name="LocalFormat 4 3 3" xfId="4410"/>
    <cellStyle name="LocalFormat 4 3 3 2" xfId="4411"/>
    <cellStyle name="LocalFormat 4 3 3 2 2" xfId="4412"/>
    <cellStyle name="LocalFormat 4 3 3 3" xfId="4413"/>
    <cellStyle name="LocalFormat 4 3 3 4" xfId="4414"/>
    <cellStyle name="LocalFormat 4 3 4" xfId="4415"/>
    <cellStyle name="LocalFormat 4 3 4 2" xfId="4416"/>
    <cellStyle name="LocalFormat 4 3 4 2 2" xfId="4417"/>
    <cellStyle name="LocalFormat 4 3 4 3" xfId="4418"/>
    <cellStyle name="LocalFormat 4 3 5" xfId="4419"/>
    <cellStyle name="LocalFormat 4 3 5 2" xfId="4420"/>
    <cellStyle name="LocalFormat 4 3 6" xfId="4421"/>
    <cellStyle name="LocalFormat 4 4" xfId="4422"/>
    <cellStyle name="LocalFormat 4 4 2" xfId="4423"/>
    <cellStyle name="LocalFormat 4 4 2 2" xfId="4424"/>
    <cellStyle name="LocalFormat 4 4 2 2 2" xfId="4425"/>
    <cellStyle name="LocalFormat 4 4 2 3" xfId="4426"/>
    <cellStyle name="LocalFormat 4 4 3" xfId="4427"/>
    <cellStyle name="LocalFormat 4 4 3 2" xfId="4428"/>
    <cellStyle name="LocalFormat 4 4 4" xfId="4429"/>
    <cellStyle name="LocalFormat 4 5" xfId="4430"/>
    <cellStyle name="LocalFormat 4 5 2" xfId="4431"/>
    <cellStyle name="LocalFormat 4 5 2 2" xfId="4432"/>
    <cellStyle name="LocalFormat 4 5 3" xfId="4433"/>
    <cellStyle name="LocalFormat 4 5 4" xfId="4434"/>
    <cellStyle name="LocalFormat 4 6" xfId="4435"/>
    <cellStyle name="LocalFormat 4 6 2" xfId="4436"/>
    <cellStyle name="LocalFormat 4 6 2 2" xfId="4437"/>
    <cellStyle name="LocalFormat 4 6 3" xfId="4438"/>
    <cellStyle name="LocalFormat 4 7" xfId="4439"/>
    <cellStyle name="LocalFormat 5" xfId="4440"/>
    <cellStyle name="LocalFormat 5 2" xfId="4441"/>
    <cellStyle name="LocalFormat 5 2 2" xfId="4442"/>
    <cellStyle name="LocalFormat 5 2 2 2" xfId="4443"/>
    <cellStyle name="LocalFormat 5 2 2 2 2" xfId="4444"/>
    <cellStyle name="LocalFormat 5 2 2 3" xfId="4445"/>
    <cellStyle name="LocalFormat 5 2 3" xfId="4446"/>
    <cellStyle name="LocalFormat 5 2 3 2" xfId="4447"/>
    <cellStyle name="LocalFormat 5 2 4" xfId="4448"/>
    <cellStyle name="LocalFormat 5 3" xfId="4449"/>
    <cellStyle name="LocalFormat 5 3 2" xfId="4450"/>
    <cellStyle name="LocalFormat 5 3 2 2" xfId="4451"/>
    <cellStyle name="LocalFormat 5 3 3" xfId="4452"/>
    <cellStyle name="LocalFormat 5 3 4" xfId="4453"/>
    <cellStyle name="LocalFormat 5 4" xfId="4454"/>
    <cellStyle name="LocalFormat 5 4 2" xfId="4455"/>
    <cellStyle name="LocalFormat 5 4 2 2" xfId="4456"/>
    <cellStyle name="LocalFormat 5 4 3" xfId="4457"/>
    <cellStyle name="LocalFormat 5 5" xfId="4458"/>
    <cellStyle name="Macro Header" xfId="4459"/>
    <cellStyle name="Macro Text" xfId="4460"/>
    <cellStyle name="MacroCode" xfId="4461"/>
    <cellStyle name="Millares [0]_2AV_M_M " xfId="4462"/>
    <cellStyle name="Millares_2AV_M_M " xfId="4463"/>
    <cellStyle name="Milliers [0]_Open&amp;Close" xfId="4464"/>
    <cellStyle name="Milliers_Open&amp;Close" xfId="4465"/>
    <cellStyle name="Mon?taire [0]_Open&amp;Close" xfId="4466"/>
    <cellStyle name="Mon?taire_Open&amp;Close" xfId="4467"/>
    <cellStyle name="Moneda [0]_2AV_M_M " xfId="4468"/>
    <cellStyle name="Moneda_2AV_M_M " xfId="4469"/>
    <cellStyle name="Monétaire [0]_Open&amp;Close" xfId="4470"/>
    <cellStyle name="Monétaire_Open&amp;Close" xfId="4471"/>
    <cellStyle name="Neutral 2" xfId="4472"/>
    <cellStyle name="Neutral 2 2" xfId="4473"/>
    <cellStyle name="Neutral 3" xfId="4474"/>
    <cellStyle name="Neutral 4" xfId="4475"/>
    <cellStyle name="Normal" xfId="0" builtinId="0"/>
    <cellStyle name="Normal - Style1" xfId="4476"/>
    <cellStyle name="Normal 10" xfId="4477"/>
    <cellStyle name="Normal 10 2" xfId="4478"/>
    <cellStyle name="Normal 10 2 2" xfId="4479"/>
    <cellStyle name="Normal 10 2 2 2" xfId="4480"/>
    <cellStyle name="Normal 10 2 2 2 2" xfId="4481"/>
    <cellStyle name="Normal 10 2 2 3" xfId="4482"/>
    <cellStyle name="Normal 10 2 3" xfId="4483"/>
    <cellStyle name="Normal 10 2 3 2" xfId="4484"/>
    <cellStyle name="Normal 10 2 4" xfId="4485"/>
    <cellStyle name="Normal 10 3" xfId="4486"/>
    <cellStyle name="Normal 10 3 2" xfId="4487"/>
    <cellStyle name="Normal 10 3 2 2" xfId="4488"/>
    <cellStyle name="Normal 10 3 2 2 2" xfId="4489"/>
    <cellStyle name="Normal 10 3 2 3" xfId="4490"/>
    <cellStyle name="Normal 10 3 3" xfId="4491"/>
    <cellStyle name="Normal 10 3 3 2" xfId="4492"/>
    <cellStyle name="Normal 10 3 4" xfId="4493"/>
    <cellStyle name="Normal 10 4" xfId="4494"/>
    <cellStyle name="Normal 10 4 2" xfId="4495"/>
    <cellStyle name="Normal 10 4 2 2" xfId="4496"/>
    <cellStyle name="Normal 10 4 3" xfId="4497"/>
    <cellStyle name="Normal 10 5" xfId="4498"/>
    <cellStyle name="Normal 10 5 2" xfId="4499"/>
    <cellStyle name="Normal 10 6" xfId="4500"/>
    <cellStyle name="Normal 11" xfId="4501"/>
    <cellStyle name="Normal 11 2" xfId="4502"/>
    <cellStyle name="Normal 11 2 2" xfId="4503"/>
    <cellStyle name="Normal 12" xfId="4504"/>
    <cellStyle name="Normal 12 2" xfId="4505"/>
    <cellStyle name="Normal 12 2 2" xfId="4506"/>
    <cellStyle name="Normal 13" xfId="4507"/>
    <cellStyle name="Normal 13 2" xfId="4508"/>
    <cellStyle name="Normal 13 2 2" xfId="4509"/>
    <cellStyle name="Normal 13 3" xfId="4510"/>
    <cellStyle name="Normal 13 4" xfId="4511"/>
    <cellStyle name="Normal 14" xfId="4512"/>
    <cellStyle name="Normal 14 2" xfId="4513"/>
    <cellStyle name="Normal 14 2 2" xfId="4514"/>
    <cellStyle name="Normal 14 3" xfId="4515"/>
    <cellStyle name="Normal 14 4" xfId="4516"/>
    <cellStyle name="Normal 15" xfId="4517"/>
    <cellStyle name="Normal 15 2" xfId="4518"/>
    <cellStyle name="Normal 15 2 2" xfId="4519"/>
    <cellStyle name="Normal 15 3" xfId="4520"/>
    <cellStyle name="Normal 15 4" xfId="4521"/>
    <cellStyle name="Normal 16" xfId="4522"/>
    <cellStyle name="Normal 16 2" xfId="4523"/>
    <cellStyle name="Normal 17" xfId="4524"/>
    <cellStyle name="Normal 17 2" xfId="4525"/>
    <cellStyle name="Normal 18" xfId="4526"/>
    <cellStyle name="Normal 18 2" xfId="4527"/>
    <cellStyle name="Normal 19" xfId="4528"/>
    <cellStyle name="Normal 19 2" xfId="4529"/>
    <cellStyle name="Normal 2" xfId="4530"/>
    <cellStyle name="Normal 2 2" xfId="4531"/>
    <cellStyle name="Normal 2 3" xfId="4532"/>
    <cellStyle name="Normal 20" xfId="4533"/>
    <cellStyle name="Normal 20 2" xfId="4534"/>
    <cellStyle name="Normal 21" xfId="4535"/>
    <cellStyle name="Normal 21 2" xfId="4536"/>
    <cellStyle name="Normal 22" xfId="4537"/>
    <cellStyle name="Normal 22 2" xfId="4538"/>
    <cellStyle name="Normal 22 2 2" xfId="4539"/>
    <cellStyle name="Normal 22 3" xfId="4540"/>
    <cellStyle name="Normal 22 4" xfId="4541"/>
    <cellStyle name="Normal 23" xfId="4542"/>
    <cellStyle name="Normal 23 2" xfId="4543"/>
    <cellStyle name="Normal 24" xfId="4544"/>
    <cellStyle name="Normal 24 2" xfId="4545"/>
    <cellStyle name="Normal 25" xfId="4546"/>
    <cellStyle name="Normal 25 2" xfId="4547"/>
    <cellStyle name="Normal 25 2 2" xfId="4548"/>
    <cellStyle name="Normal 25 3" xfId="4549"/>
    <cellStyle name="Normal 26" xfId="4550"/>
    <cellStyle name="Normal 26 2" xfId="4551"/>
    <cellStyle name="Normal 26 2 2" xfId="4552"/>
    <cellStyle name="Normal 26 3" xfId="4553"/>
    <cellStyle name="Normal 27" xfId="4554"/>
    <cellStyle name="Normal 27 2" xfId="4555"/>
    <cellStyle name="Normal 28" xfId="4556"/>
    <cellStyle name="Normal 28 2" xfId="4557"/>
    <cellStyle name="Normal 29" xfId="4558"/>
    <cellStyle name="Normal 29 2" xfId="4559"/>
    <cellStyle name="Normal 3" xfId="4560"/>
    <cellStyle name="Normal 3 2" xfId="4561"/>
    <cellStyle name="Normal 3 3" xfId="4562"/>
    <cellStyle name="Normal 3 3 2" xfId="4563"/>
    <cellStyle name="Normal 3 3 2 2" xfId="4564"/>
    <cellStyle name="Normal 3 3 2 2 2" xfId="4565"/>
    <cellStyle name="Normal 3 3 2 2 2 2" xfId="4566"/>
    <cellStyle name="Normal 3 3 2 2 3" xfId="4567"/>
    <cellStyle name="Normal 3 3 2 3" xfId="4568"/>
    <cellStyle name="Normal 3 3 2 3 2" xfId="4569"/>
    <cellStyle name="Normal 3 3 2 4" xfId="4570"/>
    <cellStyle name="Normal 3 3 3" xfId="4571"/>
    <cellStyle name="Normal 3 3 3 2" xfId="4572"/>
    <cellStyle name="Normal 3 3 3 2 2" xfId="4573"/>
    <cellStyle name="Normal 3 3 3 2 2 2" xfId="4574"/>
    <cellStyle name="Normal 3 3 3 2 3" xfId="4575"/>
    <cellStyle name="Normal 3 3 3 3" xfId="4576"/>
    <cellStyle name="Normal 3 3 3 3 2" xfId="4577"/>
    <cellStyle name="Normal 3 3 3 4" xfId="4578"/>
    <cellStyle name="Normal 3 3 4" xfId="4579"/>
    <cellStyle name="Normal 3 3 4 2" xfId="4580"/>
    <cellStyle name="Normal 3 3 4 2 2" xfId="4581"/>
    <cellStyle name="Normal 3 3 4 3" xfId="4582"/>
    <cellStyle name="Normal 3 3 5" xfId="4583"/>
    <cellStyle name="Normal 3 3 5 2" xfId="4584"/>
    <cellStyle name="Normal 3 3 6" xfId="4585"/>
    <cellStyle name="Normal 3 4" xfId="4586"/>
    <cellStyle name="Normal 3 4 2" xfId="4587"/>
    <cellStyle name="Normal 3 4 2 2" xfId="4588"/>
    <cellStyle name="Normal 3 4 2 2 2" xfId="4589"/>
    <cellStyle name="Normal 3 4 2 2 2 2" xfId="4590"/>
    <cellStyle name="Normal 3 4 2 2 3" xfId="4591"/>
    <cellStyle name="Normal 3 4 2 3" xfId="4592"/>
    <cellStyle name="Normal 3 4 2 3 2" xfId="4593"/>
    <cellStyle name="Normal 3 4 2 4" xfId="4594"/>
    <cellStyle name="Normal 3 4 3" xfId="4595"/>
    <cellStyle name="Normal 3 4 3 2" xfId="4596"/>
    <cellStyle name="Normal 3 4 3 2 2" xfId="4597"/>
    <cellStyle name="Normal 3 4 3 2 2 2" xfId="4598"/>
    <cellStyle name="Normal 3 4 3 2 3" xfId="4599"/>
    <cellStyle name="Normal 3 4 3 3" xfId="4600"/>
    <cellStyle name="Normal 3 4 3 3 2" xfId="4601"/>
    <cellStyle name="Normal 3 4 3 4" xfId="4602"/>
    <cellStyle name="Normal 3 4 4" xfId="4603"/>
    <cellStyle name="Normal 3 4 4 2" xfId="4604"/>
    <cellStyle name="Normal 3 4 4 2 2" xfId="4605"/>
    <cellStyle name="Normal 3 4 4 3" xfId="4606"/>
    <cellStyle name="Normal 3 4 5" xfId="4607"/>
    <cellStyle name="Normal 3 4 5 2" xfId="4608"/>
    <cellStyle name="Normal 3 4 6" xfId="4609"/>
    <cellStyle name="Normal 3 5" xfId="4610"/>
    <cellStyle name="Normal 30" xfId="4611"/>
    <cellStyle name="Normal 30 2" xfId="4612"/>
    <cellStyle name="Normal 30 2 2" xfId="4613"/>
    <cellStyle name="Normal 30 3" xfId="4614"/>
    <cellStyle name="Normal 31" xfId="4615"/>
    <cellStyle name="Normal 31 2" xfId="4616"/>
    <cellStyle name="Normal 32" xfId="4617"/>
    <cellStyle name="Normal 32 2" xfId="4618"/>
    <cellStyle name="Normal 33" xfId="4619"/>
    <cellStyle name="Normal 33 2" xfId="4620"/>
    <cellStyle name="Normal 34" xfId="4621"/>
    <cellStyle name="Normal 34 2" xfId="4622"/>
    <cellStyle name="Normal 35" xfId="4623"/>
    <cellStyle name="Normal 35 2" xfId="4624"/>
    <cellStyle name="Normal 36" xfId="4625"/>
    <cellStyle name="Normal 36 2" xfId="4626"/>
    <cellStyle name="Normal 37" xfId="4627"/>
    <cellStyle name="Normal 37 2" xfId="4628"/>
    <cellStyle name="Normal 38" xfId="4629"/>
    <cellStyle name="Normal 38 2" xfId="4630"/>
    <cellStyle name="Normal 39" xfId="4631"/>
    <cellStyle name="Normal 39 2" xfId="4632"/>
    <cellStyle name="Normal 4" xfId="4633"/>
    <cellStyle name="Normal 4 2" xfId="4634"/>
    <cellStyle name="Normal 4 3" xfId="4635"/>
    <cellStyle name="Normal 40" xfId="4636"/>
    <cellStyle name="Normal 40 2" xfId="4637"/>
    <cellStyle name="Normal 41" xfId="4638"/>
    <cellStyle name="Normal 41 2" xfId="4639"/>
    <cellStyle name="Normal 41 2 2" xfId="4640"/>
    <cellStyle name="Normal 41 3" xfId="4641"/>
    <cellStyle name="Normal 42" xfId="4642"/>
    <cellStyle name="Normal 42 2" xfId="4643"/>
    <cellStyle name="Normal 42 2 2" xfId="4644"/>
    <cellStyle name="Normal 42 3" xfId="4645"/>
    <cellStyle name="Normal 43" xfId="4646"/>
    <cellStyle name="Normal 43 2" xfId="4647"/>
    <cellStyle name="Normal 44" xfId="4648"/>
    <cellStyle name="Normal 44 2" xfId="4649"/>
    <cellStyle name="Normal 45" xfId="4650"/>
    <cellStyle name="Normal 45 2" xfId="4651"/>
    <cellStyle name="Normal 46" xfId="4652"/>
    <cellStyle name="Normal 47" xfId="4653"/>
    <cellStyle name="Normal 48" xfId="4654"/>
    <cellStyle name="Normal 49" xfId="4655"/>
    <cellStyle name="Normal 49 2" xfId="4656"/>
    <cellStyle name="Normal 5" xfId="4657"/>
    <cellStyle name="Normal 5 2" xfId="4658"/>
    <cellStyle name="Normal 5 3" xfId="4659"/>
    <cellStyle name="Normal 50" xfId="4660"/>
    <cellStyle name="Normal 50 2" xfId="4661"/>
    <cellStyle name="Normal 51" xfId="4662"/>
    <cellStyle name="Normal 51 2" xfId="4663"/>
    <cellStyle name="Normal 52" xfId="4664"/>
    <cellStyle name="Normal 52 2" xfId="4665"/>
    <cellStyle name="Normal 53" xfId="4666"/>
    <cellStyle name="Normal 53 2" xfId="4667"/>
    <cellStyle name="Normal 54" xfId="4668"/>
    <cellStyle name="Normal 54 2" xfId="4669"/>
    <cellStyle name="Normal 55" xfId="4670"/>
    <cellStyle name="Normal 55 2" xfId="4671"/>
    <cellStyle name="Normal 56" xfId="4672"/>
    <cellStyle name="Normal 56 2" xfId="4673"/>
    <cellStyle name="Normal 57" xfId="4674"/>
    <cellStyle name="Normal 57 2" xfId="4675"/>
    <cellStyle name="Normal 58" xfId="4676"/>
    <cellStyle name="Normal 59" xfId="4677"/>
    <cellStyle name="Normal 6" xfId="4678"/>
    <cellStyle name="Normal 60" xfId="4679"/>
    <cellStyle name="Normal 61" xfId="4680"/>
    <cellStyle name="Normal 62" xfId="4681"/>
    <cellStyle name="Normal 63" xfId="4682"/>
    <cellStyle name="Normal 64" xfId="4683"/>
    <cellStyle name="Normal 65" xfId="4684"/>
    <cellStyle name="Normal 66" xfId="4685"/>
    <cellStyle name="Normal 67" xfId="4686"/>
    <cellStyle name="Normal 68" xfId="4687"/>
    <cellStyle name="Normal 7" xfId="4688"/>
    <cellStyle name="Normal 8" xfId="4689"/>
    <cellStyle name="Normal 9" xfId="4690"/>
    <cellStyle name="Normal 9 2" xfId="4691"/>
    <cellStyle name="Normal 9 2 2" xfId="4692"/>
    <cellStyle name="Normal 9 2 2 2" xfId="4693"/>
    <cellStyle name="Normal 9 2 2 2 2" xfId="4694"/>
    <cellStyle name="Normal 9 2 2 3" xfId="4695"/>
    <cellStyle name="Normal 9 2 3" xfId="4696"/>
    <cellStyle name="Normal 9 2 3 2" xfId="4697"/>
    <cellStyle name="Normal 9 2 4" xfId="4698"/>
    <cellStyle name="Normal 9 3" xfId="4699"/>
    <cellStyle name="Normal 9 3 2" xfId="4700"/>
    <cellStyle name="Normal 9 3 2 2" xfId="4701"/>
    <cellStyle name="Normal 9 3 2 2 2" xfId="4702"/>
    <cellStyle name="Normal 9 3 2 3" xfId="4703"/>
    <cellStyle name="Normal 9 3 3" xfId="4704"/>
    <cellStyle name="Normal 9 3 3 2" xfId="4705"/>
    <cellStyle name="Normal 9 3 4" xfId="4706"/>
    <cellStyle name="Normal 9 4" xfId="4707"/>
    <cellStyle name="Normal 9 4 2" xfId="4708"/>
    <cellStyle name="Normal 9 4 2 2" xfId="4709"/>
    <cellStyle name="Normal 9 4 3" xfId="4710"/>
    <cellStyle name="Normal 9 5" xfId="4711"/>
    <cellStyle name="Normal 9 5 2" xfId="4712"/>
    <cellStyle name="Normal 9 6" xfId="4713"/>
    <cellStyle name="Note 2" xfId="4714"/>
    <cellStyle name="Note 2 2" xfId="4715"/>
    <cellStyle name="Note 2 2 2" xfId="4716"/>
    <cellStyle name="Note 2 2 2 2" xfId="4717"/>
    <cellStyle name="Note 2 2 2 2 2" xfId="4718"/>
    <cellStyle name="Note 2 2 2 2 2 2" xfId="4719"/>
    <cellStyle name="Note 2 2 2 2 2 2 2" xfId="4720"/>
    <cellStyle name="Note 2 2 2 2 2 2 2 2" xfId="4721"/>
    <cellStyle name="Note 2 2 2 2 2 2 2 2 2" xfId="4722"/>
    <cellStyle name="Note 2 2 2 2 2 2 2 3" xfId="4723"/>
    <cellStyle name="Note 2 2 2 2 2 2 3" xfId="4724"/>
    <cellStyle name="Note 2 2 2 2 2 2 3 2" xfId="4725"/>
    <cellStyle name="Note 2 2 2 2 2 2 4" xfId="4726"/>
    <cellStyle name="Note 2 2 2 2 2 3" xfId="4727"/>
    <cellStyle name="Note 2 2 2 2 2 3 2" xfId="4728"/>
    <cellStyle name="Note 2 2 2 2 2 3 2 2" xfId="4729"/>
    <cellStyle name="Note 2 2 2 2 2 3 3" xfId="4730"/>
    <cellStyle name="Note 2 2 2 2 2 3 4" xfId="4731"/>
    <cellStyle name="Note 2 2 2 2 2 4" xfId="4732"/>
    <cellStyle name="Note 2 2 2 2 2 4 2" xfId="4733"/>
    <cellStyle name="Note 2 2 2 2 2 4 2 2" xfId="4734"/>
    <cellStyle name="Note 2 2 2 2 2 4 3" xfId="4735"/>
    <cellStyle name="Note 2 2 2 2 2 5" xfId="4736"/>
    <cellStyle name="Note 2 2 2 2 3" xfId="4737"/>
    <cellStyle name="Note 2 2 2 2 3 2" xfId="4738"/>
    <cellStyle name="Note 2 2 2 2 3 2 2" xfId="4739"/>
    <cellStyle name="Note 2 2 2 2 3 2 2 2" xfId="4740"/>
    <cellStyle name="Note 2 2 2 2 3 2 2 2 2" xfId="4741"/>
    <cellStyle name="Note 2 2 2 2 3 2 2 3" xfId="4742"/>
    <cellStyle name="Note 2 2 2 2 3 2 3" xfId="4743"/>
    <cellStyle name="Note 2 2 2 2 3 2 3 2" xfId="4744"/>
    <cellStyle name="Note 2 2 2 2 3 2 4" xfId="4745"/>
    <cellStyle name="Note 2 2 2 2 3 3" xfId="4746"/>
    <cellStyle name="Note 2 2 2 2 3 3 2" xfId="4747"/>
    <cellStyle name="Note 2 2 2 2 3 3 2 2" xfId="4748"/>
    <cellStyle name="Note 2 2 2 2 3 3 3" xfId="4749"/>
    <cellStyle name="Note 2 2 2 2 3 3 4" xfId="4750"/>
    <cellStyle name="Note 2 2 2 2 3 4" xfId="4751"/>
    <cellStyle name="Note 2 2 2 2 3 4 2" xfId="4752"/>
    <cellStyle name="Note 2 2 2 2 3 4 2 2" xfId="4753"/>
    <cellStyle name="Note 2 2 2 2 3 4 3" xfId="4754"/>
    <cellStyle name="Note 2 2 2 2 3 5" xfId="4755"/>
    <cellStyle name="Note 2 2 2 2 3 5 2" xfId="4756"/>
    <cellStyle name="Note 2 2 2 2 3 6" xfId="4757"/>
    <cellStyle name="Note 2 2 2 2 4" xfId="4758"/>
    <cellStyle name="Note 2 2 2 2 4 2" xfId="4759"/>
    <cellStyle name="Note 2 2 2 2 4 2 2" xfId="4760"/>
    <cellStyle name="Note 2 2 2 2 4 2 2 2" xfId="4761"/>
    <cellStyle name="Note 2 2 2 2 4 2 2 2 2" xfId="4762"/>
    <cellStyle name="Note 2 2 2 2 4 2 2 3" xfId="4763"/>
    <cellStyle name="Note 2 2 2 2 4 2 3" xfId="4764"/>
    <cellStyle name="Note 2 2 2 2 4 2 3 2" xfId="4765"/>
    <cellStyle name="Note 2 2 2 2 4 2 4" xfId="4766"/>
    <cellStyle name="Note 2 2 2 2 4 3" xfId="4767"/>
    <cellStyle name="Note 2 2 2 2 4 3 2" xfId="4768"/>
    <cellStyle name="Note 2 2 2 2 4 3 2 2" xfId="4769"/>
    <cellStyle name="Note 2 2 2 2 4 3 3" xfId="4770"/>
    <cellStyle name="Note 2 2 2 2 4 3 4" xfId="4771"/>
    <cellStyle name="Note 2 2 2 2 4 4" xfId="4772"/>
    <cellStyle name="Note 2 2 2 2 4 4 2" xfId="4773"/>
    <cellStyle name="Note 2 2 2 2 4 4 2 2" xfId="4774"/>
    <cellStyle name="Note 2 2 2 2 4 4 3" xfId="4775"/>
    <cellStyle name="Note 2 2 2 2 4 5" xfId="4776"/>
    <cellStyle name="Note 2 2 2 2 4 5 2" xfId="4777"/>
    <cellStyle name="Note 2 2 2 2 4 6" xfId="4778"/>
    <cellStyle name="Note 2 2 2 2 5" xfId="4779"/>
    <cellStyle name="Note 2 2 2 2 5 2" xfId="4780"/>
    <cellStyle name="Note 2 2 2 3" xfId="4781"/>
    <cellStyle name="Note 2 2 2 3 2" xfId="4782"/>
    <cellStyle name="Note 2 2 2 3 2 2" xfId="4783"/>
    <cellStyle name="Note 2 2 2 3 2 2 2" xfId="4784"/>
    <cellStyle name="Note 2 2 2 3 2 2 2 2" xfId="4785"/>
    <cellStyle name="Note 2 2 2 3 2 2 3" xfId="4786"/>
    <cellStyle name="Note 2 2 2 3 2 3" xfId="4787"/>
    <cellStyle name="Note 2 2 2 3 2 3 2" xfId="4788"/>
    <cellStyle name="Note 2 2 2 3 2 4" xfId="4789"/>
    <cellStyle name="Note 2 2 2 3 3" xfId="4790"/>
    <cellStyle name="Note 2 2 2 3 3 2" xfId="4791"/>
    <cellStyle name="Note 2 2 2 3 3 2 2" xfId="4792"/>
    <cellStyle name="Note 2 2 2 3 3 3" xfId="4793"/>
    <cellStyle name="Note 2 2 2 3 3 4" xfId="4794"/>
    <cellStyle name="Note 2 2 2 3 4" xfId="4795"/>
    <cellStyle name="Note 2 2 2 3 4 2" xfId="4796"/>
    <cellStyle name="Note 2 2 2 3 4 2 2" xfId="4797"/>
    <cellStyle name="Note 2 2 2 3 4 3" xfId="4798"/>
    <cellStyle name="Note 2 2 2 3 5" xfId="4799"/>
    <cellStyle name="Note 2 2 2 4" xfId="4800"/>
    <cellStyle name="Note 2 2 2 4 2" xfId="4801"/>
    <cellStyle name="Note 2 2 2 4 2 2" xfId="4802"/>
    <cellStyle name="Note 2 2 2 4 2 2 2" xfId="4803"/>
    <cellStyle name="Note 2 2 2 4 2 2 2 2" xfId="4804"/>
    <cellStyle name="Note 2 2 2 4 2 2 3" xfId="4805"/>
    <cellStyle name="Note 2 2 2 4 2 3" xfId="4806"/>
    <cellStyle name="Note 2 2 2 4 2 3 2" xfId="4807"/>
    <cellStyle name="Note 2 2 2 4 2 4" xfId="4808"/>
    <cellStyle name="Note 2 2 2 4 3" xfId="4809"/>
    <cellStyle name="Note 2 2 2 4 3 2" xfId="4810"/>
    <cellStyle name="Note 2 2 2 4 3 2 2" xfId="4811"/>
    <cellStyle name="Note 2 2 2 4 3 3" xfId="4812"/>
    <cellStyle name="Note 2 2 2 4 3 4" xfId="4813"/>
    <cellStyle name="Note 2 2 2 4 4" xfId="4814"/>
    <cellStyle name="Note 2 2 2 4 4 2" xfId="4815"/>
    <cellStyle name="Note 2 2 2 4 4 2 2" xfId="4816"/>
    <cellStyle name="Note 2 2 2 4 4 3" xfId="4817"/>
    <cellStyle name="Note 2 2 2 4 5" xfId="4818"/>
    <cellStyle name="Note 2 2 2 4 5 2" xfId="4819"/>
    <cellStyle name="Note 2 2 2 4 6" xfId="4820"/>
    <cellStyle name="Note 2 2 2 5" xfId="4821"/>
    <cellStyle name="Note 2 2 2 5 2" xfId="4822"/>
    <cellStyle name="Note 2 2 2 5 2 2" xfId="4823"/>
    <cellStyle name="Note 2 2 2 5 2 2 2" xfId="4824"/>
    <cellStyle name="Note 2 2 2 5 2 2 2 2" xfId="4825"/>
    <cellStyle name="Note 2 2 2 5 2 2 3" xfId="4826"/>
    <cellStyle name="Note 2 2 2 5 2 3" xfId="4827"/>
    <cellStyle name="Note 2 2 2 5 2 3 2" xfId="4828"/>
    <cellStyle name="Note 2 2 2 5 2 4" xfId="4829"/>
    <cellStyle name="Note 2 2 2 5 3" xfId="4830"/>
    <cellStyle name="Note 2 2 2 5 3 2" xfId="4831"/>
    <cellStyle name="Note 2 2 2 5 3 2 2" xfId="4832"/>
    <cellStyle name="Note 2 2 2 5 3 3" xfId="4833"/>
    <cellStyle name="Note 2 2 2 5 3 4" xfId="4834"/>
    <cellStyle name="Note 2 2 2 5 4" xfId="4835"/>
    <cellStyle name="Note 2 2 2 5 4 2" xfId="4836"/>
    <cellStyle name="Note 2 2 2 5 4 2 2" xfId="4837"/>
    <cellStyle name="Note 2 2 2 5 4 3" xfId="4838"/>
    <cellStyle name="Note 2 2 2 5 5" xfId="4839"/>
    <cellStyle name="Note 2 2 2 5 5 2" xfId="4840"/>
    <cellStyle name="Note 2 2 2 5 6" xfId="4841"/>
    <cellStyle name="Note 2 2 3" xfId="4842"/>
    <cellStyle name="Note 2 2 3 2" xfId="4843"/>
    <cellStyle name="Note 2 2 3 2 2" xfId="4844"/>
    <cellStyle name="Note 2 2 3 2 2 2" xfId="4845"/>
    <cellStyle name="Note 2 2 3 2 2 2 2" xfId="4846"/>
    <cellStyle name="Note 2 2 3 2 2 2 2 2" xfId="4847"/>
    <cellStyle name="Note 2 2 3 2 2 2 3" xfId="4848"/>
    <cellStyle name="Note 2 2 3 2 2 3" xfId="4849"/>
    <cellStyle name="Note 2 2 3 2 2 3 2" xfId="4850"/>
    <cellStyle name="Note 2 2 3 2 2 4" xfId="4851"/>
    <cellStyle name="Note 2 2 3 2 3" xfId="4852"/>
    <cellStyle name="Note 2 2 3 2 3 2" xfId="4853"/>
    <cellStyle name="Note 2 2 3 2 3 2 2" xfId="4854"/>
    <cellStyle name="Note 2 2 3 2 3 3" xfId="4855"/>
    <cellStyle name="Note 2 2 3 2 3 4" xfId="4856"/>
    <cellStyle name="Note 2 2 3 2 4" xfId="4857"/>
    <cellStyle name="Note 2 2 3 2 4 2" xfId="4858"/>
    <cellStyle name="Note 2 2 3 2 4 2 2" xfId="4859"/>
    <cellStyle name="Note 2 2 3 2 4 3" xfId="4860"/>
    <cellStyle name="Note 2 2 3 2 5" xfId="4861"/>
    <cellStyle name="Note 2 2 3 3" xfId="4862"/>
    <cellStyle name="Note 2 2 3 3 2" xfId="4863"/>
    <cellStyle name="Note 2 2 3 3 2 2" xfId="4864"/>
    <cellStyle name="Note 2 2 3 3 2 2 2" xfId="4865"/>
    <cellStyle name="Note 2 2 3 3 2 2 2 2" xfId="4866"/>
    <cellStyle name="Note 2 2 3 3 2 2 3" xfId="4867"/>
    <cellStyle name="Note 2 2 3 3 2 3" xfId="4868"/>
    <cellStyle name="Note 2 2 3 3 2 3 2" xfId="4869"/>
    <cellStyle name="Note 2 2 3 3 2 4" xfId="4870"/>
    <cellStyle name="Note 2 2 3 3 3" xfId="4871"/>
    <cellStyle name="Note 2 2 3 3 3 2" xfId="4872"/>
    <cellStyle name="Note 2 2 3 3 3 2 2" xfId="4873"/>
    <cellStyle name="Note 2 2 3 3 3 3" xfId="4874"/>
    <cellStyle name="Note 2 2 3 3 3 4" xfId="4875"/>
    <cellStyle name="Note 2 2 3 3 4" xfId="4876"/>
    <cellStyle name="Note 2 2 3 3 4 2" xfId="4877"/>
    <cellStyle name="Note 2 2 3 3 4 2 2" xfId="4878"/>
    <cellStyle name="Note 2 2 3 3 4 3" xfId="4879"/>
    <cellStyle name="Note 2 2 3 3 5" xfId="4880"/>
    <cellStyle name="Note 2 2 3 3 5 2" xfId="4881"/>
    <cellStyle name="Note 2 2 3 3 6" xfId="4882"/>
    <cellStyle name="Note 2 2 3 4" xfId="4883"/>
    <cellStyle name="Note 2 2 3 4 2" xfId="4884"/>
    <cellStyle name="Note 2 2 3 4 2 2" xfId="4885"/>
    <cellStyle name="Note 2 2 3 4 2 2 2" xfId="4886"/>
    <cellStyle name="Note 2 2 3 4 2 2 2 2" xfId="4887"/>
    <cellStyle name="Note 2 2 3 4 2 2 3" xfId="4888"/>
    <cellStyle name="Note 2 2 3 4 2 3" xfId="4889"/>
    <cellStyle name="Note 2 2 3 4 2 3 2" xfId="4890"/>
    <cellStyle name="Note 2 2 3 4 2 4" xfId="4891"/>
    <cellStyle name="Note 2 2 3 4 3" xfId="4892"/>
    <cellStyle name="Note 2 2 3 4 3 2" xfId="4893"/>
    <cellStyle name="Note 2 2 3 4 3 2 2" xfId="4894"/>
    <cellStyle name="Note 2 2 3 4 3 3" xfId="4895"/>
    <cellStyle name="Note 2 2 3 4 3 4" xfId="4896"/>
    <cellStyle name="Note 2 2 3 4 4" xfId="4897"/>
    <cellStyle name="Note 2 2 3 4 4 2" xfId="4898"/>
    <cellStyle name="Note 2 2 3 4 4 2 2" xfId="4899"/>
    <cellStyle name="Note 2 2 3 4 4 3" xfId="4900"/>
    <cellStyle name="Note 2 2 3 4 5" xfId="4901"/>
    <cellStyle name="Note 2 2 3 4 5 2" xfId="4902"/>
    <cellStyle name="Note 2 2 3 4 6" xfId="4903"/>
    <cellStyle name="Note 2 2 3 5" xfId="4904"/>
    <cellStyle name="Note 2 2 3 5 2" xfId="4905"/>
    <cellStyle name="Note 2 2 4" xfId="4906"/>
    <cellStyle name="Note 2 2 4 2" xfId="4907"/>
    <cellStyle name="Note 2 2 4 2 2" xfId="4908"/>
    <cellStyle name="Note 2 2 4 2 2 2" xfId="4909"/>
    <cellStyle name="Note 2 2 4 2 2 2 2" xfId="4910"/>
    <cellStyle name="Note 2 2 4 2 2 2 2 2" xfId="4911"/>
    <cellStyle name="Note 2 2 4 2 2 2 3" xfId="4912"/>
    <cellStyle name="Note 2 2 4 2 2 3" xfId="4913"/>
    <cellStyle name="Note 2 2 4 2 2 3 2" xfId="4914"/>
    <cellStyle name="Note 2 2 4 2 2 4" xfId="4915"/>
    <cellStyle name="Note 2 2 4 2 3" xfId="4916"/>
    <cellStyle name="Note 2 2 4 2 3 2" xfId="4917"/>
    <cellStyle name="Note 2 2 4 2 3 2 2" xfId="4918"/>
    <cellStyle name="Note 2 2 4 2 3 3" xfId="4919"/>
    <cellStyle name="Note 2 2 4 2 3 4" xfId="4920"/>
    <cellStyle name="Note 2 2 4 2 4" xfId="4921"/>
    <cellStyle name="Note 2 2 4 2 4 2" xfId="4922"/>
    <cellStyle name="Note 2 2 4 2 4 2 2" xfId="4923"/>
    <cellStyle name="Note 2 2 4 2 4 3" xfId="4924"/>
    <cellStyle name="Note 2 2 4 2 5" xfId="4925"/>
    <cellStyle name="Note 2 2 4 2 5 2" xfId="4926"/>
    <cellStyle name="Note 2 2 4 2 6" xfId="4927"/>
    <cellStyle name="Note 2 2 4 3" xfId="4928"/>
    <cellStyle name="Note 2 2 4 3 2" xfId="4929"/>
    <cellStyle name="Note 2 2 4 3 2 2" xfId="4930"/>
    <cellStyle name="Note 2 2 4 3 2 2 2" xfId="4931"/>
    <cellStyle name="Note 2 2 4 3 2 2 2 2" xfId="4932"/>
    <cellStyle name="Note 2 2 4 3 2 2 3" xfId="4933"/>
    <cellStyle name="Note 2 2 4 3 2 3" xfId="4934"/>
    <cellStyle name="Note 2 2 4 3 2 3 2" xfId="4935"/>
    <cellStyle name="Note 2 2 4 3 2 4" xfId="4936"/>
    <cellStyle name="Note 2 2 4 3 3" xfId="4937"/>
    <cellStyle name="Note 2 2 4 3 3 2" xfId="4938"/>
    <cellStyle name="Note 2 2 4 3 3 2 2" xfId="4939"/>
    <cellStyle name="Note 2 2 4 3 3 3" xfId="4940"/>
    <cellStyle name="Note 2 2 4 3 3 4" xfId="4941"/>
    <cellStyle name="Note 2 2 4 3 4" xfId="4942"/>
    <cellStyle name="Note 2 2 4 3 4 2" xfId="4943"/>
    <cellStyle name="Note 2 2 4 3 4 2 2" xfId="4944"/>
    <cellStyle name="Note 2 2 4 3 4 3" xfId="4945"/>
    <cellStyle name="Note 2 2 4 3 5" xfId="4946"/>
    <cellStyle name="Note 2 2 4 3 5 2" xfId="4947"/>
    <cellStyle name="Note 2 2 4 3 6" xfId="4948"/>
    <cellStyle name="Note 2 2 4 4" xfId="4949"/>
    <cellStyle name="Note 2 2 4 4 2" xfId="4950"/>
    <cellStyle name="Note 2 2 4 4 2 2" xfId="4951"/>
    <cellStyle name="Note 2 2 4 4 2 2 2" xfId="4952"/>
    <cellStyle name="Note 2 2 4 4 2 3" xfId="4953"/>
    <cellStyle name="Note 2 2 4 4 3" xfId="4954"/>
    <cellStyle name="Note 2 2 4 4 3 2" xfId="4955"/>
    <cellStyle name="Note 2 2 4 4 4" xfId="4956"/>
    <cellStyle name="Note 2 2 4 5" xfId="4957"/>
    <cellStyle name="Note 2 2 4 5 2" xfId="4958"/>
    <cellStyle name="Note 2 2 4 5 2 2" xfId="4959"/>
    <cellStyle name="Note 2 2 4 5 3" xfId="4960"/>
    <cellStyle name="Note 2 2 4 5 4" xfId="4961"/>
    <cellStyle name="Note 2 2 4 6" xfId="4962"/>
    <cellStyle name="Note 2 2 4 6 2" xfId="4963"/>
    <cellStyle name="Note 2 2 4 6 2 2" xfId="4964"/>
    <cellStyle name="Note 2 2 4 6 3" xfId="4965"/>
    <cellStyle name="Note 2 2 4 7" xfId="4966"/>
    <cellStyle name="Note 2 2 5" xfId="4967"/>
    <cellStyle name="Note 2 2 5 2" xfId="4968"/>
    <cellStyle name="Note 2 2 5 2 2" xfId="4969"/>
    <cellStyle name="Note 2 2 5 2 2 2" xfId="4970"/>
    <cellStyle name="Note 2 2 5 2 2 2 2" xfId="4971"/>
    <cellStyle name="Note 2 2 5 2 2 3" xfId="4972"/>
    <cellStyle name="Note 2 2 5 2 3" xfId="4973"/>
    <cellStyle name="Note 2 2 5 2 3 2" xfId="4974"/>
    <cellStyle name="Note 2 2 5 2 4" xfId="4975"/>
    <cellStyle name="Note 2 2 5 3" xfId="4976"/>
    <cellStyle name="Note 2 2 5 3 2" xfId="4977"/>
    <cellStyle name="Note 2 2 5 3 2 2" xfId="4978"/>
    <cellStyle name="Note 2 2 5 3 3" xfId="4979"/>
    <cellStyle name="Note 2 2 5 3 4" xfId="4980"/>
    <cellStyle name="Note 2 2 5 4" xfId="4981"/>
    <cellStyle name="Note 2 2 5 4 2" xfId="4982"/>
    <cellStyle name="Note 2 2 5 4 2 2" xfId="4983"/>
    <cellStyle name="Note 2 2 5 4 3" xfId="4984"/>
    <cellStyle name="Note 2 2 5 5" xfId="4985"/>
    <cellStyle name="Note 2 3" xfId="4986"/>
    <cellStyle name="Note 2 3 2" xfId="4987"/>
    <cellStyle name="Note 2 3 2 2" xfId="4988"/>
    <cellStyle name="Note 2 3 2 2 2" xfId="4989"/>
    <cellStyle name="Note 2 3 2 2 2 2" xfId="4990"/>
    <cellStyle name="Note 2 3 2 2 2 2 2" xfId="4991"/>
    <cellStyle name="Note 2 3 2 2 2 2 2 2" xfId="4992"/>
    <cellStyle name="Note 2 3 2 2 2 2 3" xfId="4993"/>
    <cellStyle name="Note 2 3 2 2 2 3" xfId="4994"/>
    <cellStyle name="Note 2 3 2 2 2 3 2" xfId="4995"/>
    <cellStyle name="Note 2 3 2 2 2 4" xfId="4996"/>
    <cellStyle name="Note 2 3 2 2 3" xfId="4997"/>
    <cellStyle name="Note 2 3 2 2 3 2" xfId="4998"/>
    <cellStyle name="Note 2 3 2 2 3 2 2" xfId="4999"/>
    <cellStyle name="Note 2 3 2 2 3 3" xfId="5000"/>
    <cellStyle name="Note 2 3 2 2 3 4" xfId="5001"/>
    <cellStyle name="Note 2 3 2 2 4" xfId="5002"/>
    <cellStyle name="Note 2 3 2 2 4 2" xfId="5003"/>
    <cellStyle name="Note 2 3 2 2 4 2 2" xfId="5004"/>
    <cellStyle name="Note 2 3 2 2 4 3" xfId="5005"/>
    <cellStyle name="Note 2 3 2 2 5" xfId="5006"/>
    <cellStyle name="Note 2 3 2 3" xfId="5007"/>
    <cellStyle name="Note 2 3 2 3 2" xfId="5008"/>
    <cellStyle name="Note 2 3 2 3 2 2" xfId="5009"/>
    <cellStyle name="Note 2 3 2 3 2 2 2" xfId="5010"/>
    <cellStyle name="Note 2 3 2 3 2 2 2 2" xfId="5011"/>
    <cellStyle name="Note 2 3 2 3 2 2 3" xfId="5012"/>
    <cellStyle name="Note 2 3 2 3 2 3" xfId="5013"/>
    <cellStyle name="Note 2 3 2 3 2 3 2" xfId="5014"/>
    <cellStyle name="Note 2 3 2 3 2 4" xfId="5015"/>
    <cellStyle name="Note 2 3 2 3 3" xfId="5016"/>
    <cellStyle name="Note 2 3 2 3 3 2" xfId="5017"/>
    <cellStyle name="Note 2 3 2 3 3 2 2" xfId="5018"/>
    <cellStyle name="Note 2 3 2 3 3 3" xfId="5019"/>
    <cellStyle name="Note 2 3 2 3 3 4" xfId="5020"/>
    <cellStyle name="Note 2 3 2 3 4" xfId="5021"/>
    <cellStyle name="Note 2 3 2 3 4 2" xfId="5022"/>
    <cellStyle name="Note 2 3 2 3 4 2 2" xfId="5023"/>
    <cellStyle name="Note 2 3 2 3 4 3" xfId="5024"/>
    <cellStyle name="Note 2 3 2 3 5" xfId="5025"/>
    <cellStyle name="Note 2 3 2 3 5 2" xfId="5026"/>
    <cellStyle name="Note 2 3 2 3 6" xfId="5027"/>
    <cellStyle name="Note 2 3 2 4" xfId="5028"/>
    <cellStyle name="Note 2 3 2 4 2" xfId="5029"/>
    <cellStyle name="Note 2 3 2 4 2 2" xfId="5030"/>
    <cellStyle name="Note 2 3 2 4 2 2 2" xfId="5031"/>
    <cellStyle name="Note 2 3 2 4 2 2 2 2" xfId="5032"/>
    <cellStyle name="Note 2 3 2 4 2 2 3" xfId="5033"/>
    <cellStyle name="Note 2 3 2 4 2 3" xfId="5034"/>
    <cellStyle name="Note 2 3 2 4 2 3 2" xfId="5035"/>
    <cellStyle name="Note 2 3 2 4 2 4" xfId="5036"/>
    <cellStyle name="Note 2 3 2 4 3" xfId="5037"/>
    <cellStyle name="Note 2 3 2 4 3 2" xfId="5038"/>
    <cellStyle name="Note 2 3 2 4 3 2 2" xfId="5039"/>
    <cellStyle name="Note 2 3 2 4 3 3" xfId="5040"/>
    <cellStyle name="Note 2 3 2 4 3 4" xfId="5041"/>
    <cellStyle name="Note 2 3 2 4 4" xfId="5042"/>
    <cellStyle name="Note 2 3 2 4 4 2" xfId="5043"/>
    <cellStyle name="Note 2 3 2 4 4 2 2" xfId="5044"/>
    <cellStyle name="Note 2 3 2 4 4 3" xfId="5045"/>
    <cellStyle name="Note 2 3 2 4 5" xfId="5046"/>
    <cellStyle name="Note 2 3 2 4 5 2" xfId="5047"/>
    <cellStyle name="Note 2 3 2 4 6" xfId="5048"/>
    <cellStyle name="Note 2 3 2 5" xfId="5049"/>
    <cellStyle name="Note 2 3 2 5 2" xfId="5050"/>
    <cellStyle name="Note 2 3 3" xfId="5051"/>
    <cellStyle name="Note 2 3 3 2" xfId="5052"/>
    <cellStyle name="Note 2 3 3 2 2" xfId="5053"/>
    <cellStyle name="Note 2 3 3 2 2 2" xfId="5054"/>
    <cellStyle name="Note 2 3 3 2 2 2 2" xfId="5055"/>
    <cellStyle name="Note 2 3 3 2 2 3" xfId="5056"/>
    <cellStyle name="Note 2 3 3 2 3" xfId="5057"/>
    <cellStyle name="Note 2 3 3 2 3 2" xfId="5058"/>
    <cellStyle name="Note 2 3 3 2 4" xfId="5059"/>
    <cellStyle name="Note 2 3 3 3" xfId="5060"/>
    <cellStyle name="Note 2 3 3 3 2" xfId="5061"/>
    <cellStyle name="Note 2 3 3 3 2 2" xfId="5062"/>
    <cellStyle name="Note 2 3 3 3 3" xfId="5063"/>
    <cellStyle name="Note 2 3 3 3 4" xfId="5064"/>
    <cellStyle name="Note 2 3 3 4" xfId="5065"/>
    <cellStyle name="Note 2 3 3 4 2" xfId="5066"/>
    <cellStyle name="Note 2 3 3 4 2 2" xfId="5067"/>
    <cellStyle name="Note 2 3 3 4 3" xfId="5068"/>
    <cellStyle name="Note 2 3 3 5" xfId="5069"/>
    <cellStyle name="Note 2 3 4" xfId="5070"/>
    <cellStyle name="Note 2 3 4 2" xfId="5071"/>
    <cellStyle name="Note 2 3 4 2 2" xfId="5072"/>
    <cellStyle name="Note 2 3 4 2 2 2" xfId="5073"/>
    <cellStyle name="Note 2 3 4 2 2 2 2" xfId="5074"/>
    <cellStyle name="Note 2 3 4 2 2 3" xfId="5075"/>
    <cellStyle name="Note 2 3 4 2 3" xfId="5076"/>
    <cellStyle name="Note 2 3 4 2 3 2" xfId="5077"/>
    <cellStyle name="Note 2 3 4 2 4" xfId="5078"/>
    <cellStyle name="Note 2 3 4 3" xfId="5079"/>
    <cellStyle name="Note 2 3 4 3 2" xfId="5080"/>
    <cellStyle name="Note 2 3 4 3 2 2" xfId="5081"/>
    <cellStyle name="Note 2 3 4 3 3" xfId="5082"/>
    <cellStyle name="Note 2 3 4 3 4" xfId="5083"/>
    <cellStyle name="Note 2 3 4 4" xfId="5084"/>
    <cellStyle name="Note 2 3 4 4 2" xfId="5085"/>
    <cellStyle name="Note 2 3 4 4 2 2" xfId="5086"/>
    <cellStyle name="Note 2 3 4 4 3" xfId="5087"/>
    <cellStyle name="Note 2 3 4 5" xfId="5088"/>
    <cellStyle name="Note 2 3 4 5 2" xfId="5089"/>
    <cellStyle name="Note 2 3 4 6" xfId="5090"/>
    <cellStyle name="Note 2 3 5" xfId="5091"/>
    <cellStyle name="Note 2 3 5 2" xfId="5092"/>
    <cellStyle name="Note 2 3 5 2 2" xfId="5093"/>
    <cellStyle name="Note 2 3 5 2 2 2" xfId="5094"/>
    <cellStyle name="Note 2 3 5 2 2 2 2" xfId="5095"/>
    <cellStyle name="Note 2 3 5 2 2 3" xfId="5096"/>
    <cellStyle name="Note 2 3 5 2 3" xfId="5097"/>
    <cellStyle name="Note 2 3 5 2 3 2" xfId="5098"/>
    <cellStyle name="Note 2 3 5 2 4" xfId="5099"/>
    <cellStyle name="Note 2 3 5 3" xfId="5100"/>
    <cellStyle name="Note 2 3 5 3 2" xfId="5101"/>
    <cellStyle name="Note 2 3 5 3 2 2" xfId="5102"/>
    <cellStyle name="Note 2 3 5 3 3" xfId="5103"/>
    <cellStyle name="Note 2 3 5 3 4" xfId="5104"/>
    <cellStyle name="Note 2 3 5 4" xfId="5105"/>
    <cellStyle name="Note 2 3 5 4 2" xfId="5106"/>
    <cellStyle name="Note 2 3 5 4 2 2" xfId="5107"/>
    <cellStyle name="Note 2 3 5 4 3" xfId="5108"/>
    <cellStyle name="Note 2 3 5 5" xfId="5109"/>
    <cellStyle name="Note 2 3 5 5 2" xfId="5110"/>
    <cellStyle name="Note 2 3 5 6" xfId="5111"/>
    <cellStyle name="Note 2 4" xfId="5112"/>
    <cellStyle name="Note 2 4 2" xfId="5113"/>
    <cellStyle name="Note 2 4 2 2" xfId="5114"/>
    <cellStyle name="Note 2 4 2 2 2" xfId="5115"/>
    <cellStyle name="Note 2 4 2 2 2 2" xfId="5116"/>
    <cellStyle name="Note 2 4 2 2 2 2 2" xfId="5117"/>
    <cellStyle name="Note 2 4 2 2 2 3" xfId="5118"/>
    <cellStyle name="Note 2 4 2 2 3" xfId="5119"/>
    <cellStyle name="Note 2 4 2 2 3 2" xfId="5120"/>
    <cellStyle name="Note 2 4 2 2 4" xfId="5121"/>
    <cellStyle name="Note 2 4 2 3" xfId="5122"/>
    <cellStyle name="Note 2 4 2 3 2" xfId="5123"/>
    <cellStyle name="Note 2 4 2 3 2 2" xfId="5124"/>
    <cellStyle name="Note 2 4 2 3 3" xfId="5125"/>
    <cellStyle name="Note 2 4 2 3 4" xfId="5126"/>
    <cellStyle name="Note 2 4 2 4" xfId="5127"/>
    <cellStyle name="Note 2 4 2 4 2" xfId="5128"/>
    <cellStyle name="Note 2 4 2 4 2 2" xfId="5129"/>
    <cellStyle name="Note 2 4 2 4 3" xfId="5130"/>
    <cellStyle name="Note 2 4 2 5" xfId="5131"/>
    <cellStyle name="Note 2 4 3" xfId="5132"/>
    <cellStyle name="Note 2 4 3 2" xfId="5133"/>
    <cellStyle name="Note 2 4 3 2 2" xfId="5134"/>
    <cellStyle name="Note 2 4 3 2 2 2" xfId="5135"/>
    <cellStyle name="Note 2 4 3 2 2 2 2" xfId="5136"/>
    <cellStyle name="Note 2 4 3 2 2 3" xfId="5137"/>
    <cellStyle name="Note 2 4 3 2 3" xfId="5138"/>
    <cellStyle name="Note 2 4 3 2 3 2" xfId="5139"/>
    <cellStyle name="Note 2 4 3 2 4" xfId="5140"/>
    <cellStyle name="Note 2 4 3 3" xfId="5141"/>
    <cellStyle name="Note 2 4 3 3 2" xfId="5142"/>
    <cellStyle name="Note 2 4 3 3 2 2" xfId="5143"/>
    <cellStyle name="Note 2 4 3 3 3" xfId="5144"/>
    <cellStyle name="Note 2 4 3 3 4" xfId="5145"/>
    <cellStyle name="Note 2 4 3 4" xfId="5146"/>
    <cellStyle name="Note 2 4 3 4 2" xfId="5147"/>
    <cellStyle name="Note 2 4 3 4 2 2" xfId="5148"/>
    <cellStyle name="Note 2 4 3 4 3" xfId="5149"/>
    <cellStyle name="Note 2 4 3 5" xfId="5150"/>
    <cellStyle name="Note 2 4 3 5 2" xfId="5151"/>
    <cellStyle name="Note 2 4 3 6" xfId="5152"/>
    <cellStyle name="Note 2 4 4" xfId="5153"/>
    <cellStyle name="Note 2 4 4 2" xfId="5154"/>
    <cellStyle name="Note 2 4 4 2 2" xfId="5155"/>
    <cellStyle name="Note 2 4 4 2 2 2" xfId="5156"/>
    <cellStyle name="Note 2 4 4 2 2 2 2" xfId="5157"/>
    <cellStyle name="Note 2 4 4 2 2 3" xfId="5158"/>
    <cellStyle name="Note 2 4 4 2 3" xfId="5159"/>
    <cellStyle name="Note 2 4 4 2 3 2" xfId="5160"/>
    <cellStyle name="Note 2 4 4 2 4" xfId="5161"/>
    <cellStyle name="Note 2 4 4 3" xfId="5162"/>
    <cellStyle name="Note 2 4 4 3 2" xfId="5163"/>
    <cellStyle name="Note 2 4 4 3 2 2" xfId="5164"/>
    <cellStyle name="Note 2 4 4 3 3" xfId="5165"/>
    <cellStyle name="Note 2 4 4 3 4" xfId="5166"/>
    <cellStyle name="Note 2 4 4 4" xfId="5167"/>
    <cellStyle name="Note 2 4 4 4 2" xfId="5168"/>
    <cellStyle name="Note 2 4 4 4 2 2" xfId="5169"/>
    <cellStyle name="Note 2 4 4 4 3" xfId="5170"/>
    <cellStyle name="Note 2 4 4 5" xfId="5171"/>
    <cellStyle name="Note 2 4 4 5 2" xfId="5172"/>
    <cellStyle name="Note 2 4 4 6" xfId="5173"/>
    <cellStyle name="Note 2 4 5" xfId="5174"/>
    <cellStyle name="Note 2 4 5 2" xfId="5175"/>
    <cellStyle name="Note 2 5" xfId="5176"/>
    <cellStyle name="Note 2 5 2" xfId="5177"/>
    <cellStyle name="Note 2 5 2 2" xfId="5178"/>
    <cellStyle name="Note 2 5 2 2 2" xfId="5179"/>
    <cellStyle name="Note 2 5 2 2 2 2" xfId="5180"/>
    <cellStyle name="Note 2 5 2 2 2 2 2" xfId="5181"/>
    <cellStyle name="Note 2 5 2 2 2 3" xfId="5182"/>
    <cellStyle name="Note 2 5 2 2 3" xfId="5183"/>
    <cellStyle name="Note 2 5 2 2 3 2" xfId="5184"/>
    <cellStyle name="Note 2 5 2 2 4" xfId="5185"/>
    <cellStyle name="Note 2 5 2 3" xfId="5186"/>
    <cellStyle name="Note 2 5 2 3 2" xfId="5187"/>
    <cellStyle name="Note 2 5 2 3 2 2" xfId="5188"/>
    <cellStyle name="Note 2 5 2 3 3" xfId="5189"/>
    <cellStyle name="Note 2 5 2 3 4" xfId="5190"/>
    <cellStyle name="Note 2 5 2 4" xfId="5191"/>
    <cellStyle name="Note 2 5 2 4 2" xfId="5192"/>
    <cellStyle name="Note 2 5 2 4 2 2" xfId="5193"/>
    <cellStyle name="Note 2 5 2 4 3" xfId="5194"/>
    <cellStyle name="Note 2 5 2 5" xfId="5195"/>
    <cellStyle name="Note 2 5 2 5 2" xfId="5196"/>
    <cellStyle name="Note 2 5 2 6" xfId="5197"/>
    <cellStyle name="Note 2 5 3" xfId="5198"/>
    <cellStyle name="Note 2 5 3 2" xfId="5199"/>
    <cellStyle name="Note 2 5 3 2 2" xfId="5200"/>
    <cellStyle name="Note 2 5 3 2 2 2" xfId="5201"/>
    <cellStyle name="Note 2 5 3 2 2 2 2" xfId="5202"/>
    <cellStyle name="Note 2 5 3 2 2 3" xfId="5203"/>
    <cellStyle name="Note 2 5 3 2 3" xfId="5204"/>
    <cellStyle name="Note 2 5 3 2 3 2" xfId="5205"/>
    <cellStyle name="Note 2 5 3 2 4" xfId="5206"/>
    <cellStyle name="Note 2 5 3 3" xfId="5207"/>
    <cellStyle name="Note 2 5 3 3 2" xfId="5208"/>
    <cellStyle name="Note 2 5 3 3 2 2" xfId="5209"/>
    <cellStyle name="Note 2 5 3 3 3" xfId="5210"/>
    <cellStyle name="Note 2 5 3 3 4" xfId="5211"/>
    <cellStyle name="Note 2 5 3 4" xfId="5212"/>
    <cellStyle name="Note 2 5 3 4 2" xfId="5213"/>
    <cellStyle name="Note 2 5 3 4 2 2" xfId="5214"/>
    <cellStyle name="Note 2 5 3 4 3" xfId="5215"/>
    <cellStyle name="Note 2 5 3 5" xfId="5216"/>
    <cellStyle name="Note 2 5 3 5 2" xfId="5217"/>
    <cellStyle name="Note 2 5 3 6" xfId="5218"/>
    <cellStyle name="Note 2 5 4" xfId="5219"/>
    <cellStyle name="Note 2 5 4 2" xfId="5220"/>
    <cellStyle name="Note 2 5 4 2 2" xfId="5221"/>
    <cellStyle name="Note 2 5 4 2 2 2" xfId="5222"/>
    <cellStyle name="Note 2 5 4 2 3" xfId="5223"/>
    <cellStyle name="Note 2 5 4 3" xfId="5224"/>
    <cellStyle name="Note 2 5 4 3 2" xfId="5225"/>
    <cellStyle name="Note 2 5 4 4" xfId="5226"/>
    <cellStyle name="Note 2 5 5" xfId="5227"/>
    <cellStyle name="Note 2 5 5 2" xfId="5228"/>
    <cellStyle name="Note 2 5 5 2 2" xfId="5229"/>
    <cellStyle name="Note 2 5 5 3" xfId="5230"/>
    <cellStyle name="Note 2 5 5 4" xfId="5231"/>
    <cellStyle name="Note 2 5 6" xfId="5232"/>
    <cellStyle name="Note 2 5 6 2" xfId="5233"/>
    <cellStyle name="Note 2 5 6 2 2" xfId="5234"/>
    <cellStyle name="Note 2 5 6 3" xfId="5235"/>
    <cellStyle name="Note 2 5 7" xfId="5236"/>
    <cellStyle name="Note 2 6" xfId="5237"/>
    <cellStyle name="Note 2 6 2" xfId="5238"/>
    <cellStyle name="Note 2 6 2 2" xfId="5239"/>
    <cellStyle name="Note 2 6 2 2 2" xfId="5240"/>
    <cellStyle name="Note 2 6 2 2 2 2" xfId="5241"/>
    <cellStyle name="Note 2 6 2 2 3" xfId="5242"/>
    <cellStyle name="Note 2 6 2 3" xfId="5243"/>
    <cellStyle name="Note 2 6 2 3 2" xfId="5244"/>
    <cellStyle name="Note 2 6 2 4" xfId="5245"/>
    <cellStyle name="Note 2 6 3" xfId="5246"/>
    <cellStyle name="Note 2 6 3 2" xfId="5247"/>
    <cellStyle name="Note 2 6 3 2 2" xfId="5248"/>
    <cellStyle name="Note 2 6 3 3" xfId="5249"/>
    <cellStyle name="Note 2 6 3 4" xfId="5250"/>
    <cellStyle name="Note 2 6 4" xfId="5251"/>
    <cellStyle name="Note 2 6 4 2" xfId="5252"/>
    <cellStyle name="Note 2 6 4 2 2" xfId="5253"/>
    <cellStyle name="Note 2 6 4 3" xfId="5254"/>
    <cellStyle name="Note 2 6 5" xfId="5255"/>
    <cellStyle name="Note 3" xfId="5256"/>
    <cellStyle name="Note 3 2" xfId="5257"/>
    <cellStyle name="Note 3 2 2" xfId="5258"/>
    <cellStyle name="Note 3 2 2 2" xfId="5259"/>
    <cellStyle name="Note 3 2 2 2 2" xfId="5260"/>
    <cellStyle name="Note 3 2 2 2 2 2" xfId="5261"/>
    <cellStyle name="Note 3 2 2 2 2 2 2" xfId="5262"/>
    <cellStyle name="Note 3 2 2 2 2 3" xfId="5263"/>
    <cellStyle name="Note 3 2 2 2 3" xfId="5264"/>
    <cellStyle name="Note 3 2 2 2 3 2" xfId="5265"/>
    <cellStyle name="Note 3 2 2 2 4" xfId="5266"/>
    <cellStyle name="Note 3 2 2 3" xfId="5267"/>
    <cellStyle name="Note 3 2 2 3 2" xfId="5268"/>
    <cellStyle name="Note 3 2 2 3 2 2" xfId="5269"/>
    <cellStyle name="Note 3 2 2 3 3" xfId="5270"/>
    <cellStyle name="Note 3 2 2 3 4" xfId="5271"/>
    <cellStyle name="Note 3 2 2 4" xfId="5272"/>
    <cellStyle name="Note 3 2 2 4 2" xfId="5273"/>
    <cellStyle name="Note 3 2 2 4 2 2" xfId="5274"/>
    <cellStyle name="Note 3 2 2 4 3" xfId="5275"/>
    <cellStyle name="Note 3 2 2 5" xfId="5276"/>
    <cellStyle name="Note 3 2 3" xfId="5277"/>
    <cellStyle name="Note 3 2 3 2" xfId="5278"/>
    <cellStyle name="Note 3 2 3 2 2" xfId="5279"/>
    <cellStyle name="Note 3 2 3 2 2 2" xfId="5280"/>
    <cellStyle name="Note 3 2 3 2 2 2 2" xfId="5281"/>
    <cellStyle name="Note 3 2 3 2 2 3" xfId="5282"/>
    <cellStyle name="Note 3 2 3 2 3" xfId="5283"/>
    <cellStyle name="Note 3 2 3 2 3 2" xfId="5284"/>
    <cellStyle name="Note 3 2 3 2 4" xfId="5285"/>
    <cellStyle name="Note 3 2 3 3" xfId="5286"/>
    <cellStyle name="Note 3 2 3 3 2" xfId="5287"/>
    <cellStyle name="Note 3 2 3 3 2 2" xfId="5288"/>
    <cellStyle name="Note 3 2 3 3 3" xfId="5289"/>
    <cellStyle name="Note 3 2 3 3 4" xfId="5290"/>
    <cellStyle name="Note 3 2 3 4" xfId="5291"/>
    <cellStyle name="Note 3 2 3 4 2" xfId="5292"/>
    <cellStyle name="Note 3 2 3 4 2 2" xfId="5293"/>
    <cellStyle name="Note 3 2 3 4 3" xfId="5294"/>
    <cellStyle name="Note 3 2 3 5" xfId="5295"/>
    <cellStyle name="Note 3 2 3 5 2" xfId="5296"/>
    <cellStyle name="Note 3 2 3 6" xfId="5297"/>
    <cellStyle name="Note 3 2 4" xfId="5298"/>
    <cellStyle name="Note 3 2 4 2" xfId="5299"/>
    <cellStyle name="Note 3 2 4 2 2" xfId="5300"/>
    <cellStyle name="Note 3 2 4 2 2 2" xfId="5301"/>
    <cellStyle name="Note 3 2 4 2 2 2 2" xfId="5302"/>
    <cellStyle name="Note 3 2 4 2 2 3" xfId="5303"/>
    <cellStyle name="Note 3 2 4 2 3" xfId="5304"/>
    <cellStyle name="Note 3 2 4 2 3 2" xfId="5305"/>
    <cellStyle name="Note 3 2 4 2 4" xfId="5306"/>
    <cellStyle name="Note 3 2 4 3" xfId="5307"/>
    <cellStyle name="Note 3 2 4 3 2" xfId="5308"/>
    <cellStyle name="Note 3 2 4 3 2 2" xfId="5309"/>
    <cellStyle name="Note 3 2 4 3 3" xfId="5310"/>
    <cellStyle name="Note 3 2 4 3 4" xfId="5311"/>
    <cellStyle name="Note 3 2 4 4" xfId="5312"/>
    <cellStyle name="Note 3 2 4 4 2" xfId="5313"/>
    <cellStyle name="Note 3 2 4 4 2 2" xfId="5314"/>
    <cellStyle name="Note 3 2 4 4 3" xfId="5315"/>
    <cellStyle name="Note 3 2 4 5" xfId="5316"/>
    <cellStyle name="Note 3 2 4 5 2" xfId="5317"/>
    <cellStyle name="Note 3 2 4 6" xfId="5318"/>
    <cellStyle name="Note 3 2 5" xfId="5319"/>
    <cellStyle name="Note 3 2 5 2" xfId="5320"/>
    <cellStyle name="Note 3 3" xfId="5321"/>
    <cellStyle name="Note 3 3 2" xfId="5322"/>
    <cellStyle name="Note 3 3 2 2" xfId="5323"/>
    <cellStyle name="Note 3 3 2 2 2" xfId="5324"/>
    <cellStyle name="Note 3 3 2 2 2 2" xfId="5325"/>
    <cellStyle name="Note 3 3 2 2 2 2 2" xfId="5326"/>
    <cellStyle name="Note 3 3 2 2 2 3" xfId="5327"/>
    <cellStyle name="Note 3 3 2 2 3" xfId="5328"/>
    <cellStyle name="Note 3 3 2 2 3 2" xfId="5329"/>
    <cellStyle name="Note 3 3 2 2 4" xfId="5330"/>
    <cellStyle name="Note 3 3 2 3" xfId="5331"/>
    <cellStyle name="Note 3 3 2 3 2" xfId="5332"/>
    <cellStyle name="Note 3 3 2 3 2 2" xfId="5333"/>
    <cellStyle name="Note 3 3 2 3 3" xfId="5334"/>
    <cellStyle name="Note 3 3 2 3 4" xfId="5335"/>
    <cellStyle name="Note 3 3 2 4" xfId="5336"/>
    <cellStyle name="Note 3 3 2 4 2" xfId="5337"/>
    <cellStyle name="Note 3 3 2 4 2 2" xfId="5338"/>
    <cellStyle name="Note 3 3 2 4 3" xfId="5339"/>
    <cellStyle name="Note 3 3 2 5" xfId="5340"/>
    <cellStyle name="Note 3 3 2 5 2" xfId="5341"/>
    <cellStyle name="Note 3 3 2 6" xfId="5342"/>
    <cellStyle name="Note 3 3 3" xfId="5343"/>
    <cellStyle name="Note 3 3 3 2" xfId="5344"/>
    <cellStyle name="Note 3 3 3 2 2" xfId="5345"/>
    <cellStyle name="Note 3 3 3 2 2 2" xfId="5346"/>
    <cellStyle name="Note 3 3 3 2 2 2 2" xfId="5347"/>
    <cellStyle name="Note 3 3 3 2 2 3" xfId="5348"/>
    <cellStyle name="Note 3 3 3 2 3" xfId="5349"/>
    <cellStyle name="Note 3 3 3 2 3 2" xfId="5350"/>
    <cellStyle name="Note 3 3 3 2 4" xfId="5351"/>
    <cellStyle name="Note 3 3 3 3" xfId="5352"/>
    <cellStyle name="Note 3 3 3 3 2" xfId="5353"/>
    <cellStyle name="Note 3 3 3 3 2 2" xfId="5354"/>
    <cellStyle name="Note 3 3 3 3 3" xfId="5355"/>
    <cellStyle name="Note 3 3 3 3 4" xfId="5356"/>
    <cellStyle name="Note 3 3 3 4" xfId="5357"/>
    <cellStyle name="Note 3 3 3 4 2" xfId="5358"/>
    <cellStyle name="Note 3 3 3 4 2 2" xfId="5359"/>
    <cellStyle name="Note 3 3 3 4 3" xfId="5360"/>
    <cellStyle name="Note 3 3 3 5" xfId="5361"/>
    <cellStyle name="Note 3 3 3 5 2" xfId="5362"/>
    <cellStyle name="Note 3 3 3 6" xfId="5363"/>
    <cellStyle name="Note 3 3 4" xfId="5364"/>
    <cellStyle name="Note 3 3 4 2" xfId="5365"/>
    <cellStyle name="Note 3 3 4 2 2" xfId="5366"/>
    <cellStyle name="Note 3 3 4 2 2 2" xfId="5367"/>
    <cellStyle name="Note 3 3 4 2 3" xfId="5368"/>
    <cellStyle name="Note 3 3 4 3" xfId="5369"/>
    <cellStyle name="Note 3 3 4 3 2" xfId="5370"/>
    <cellStyle name="Note 3 3 4 4" xfId="5371"/>
    <cellStyle name="Note 3 3 5" xfId="5372"/>
    <cellStyle name="Note 3 3 5 2" xfId="5373"/>
    <cellStyle name="Note 3 3 5 2 2" xfId="5374"/>
    <cellStyle name="Note 3 3 5 3" xfId="5375"/>
    <cellStyle name="Note 3 3 5 4" xfId="5376"/>
    <cellStyle name="Note 3 3 6" xfId="5377"/>
    <cellStyle name="Note 3 3 6 2" xfId="5378"/>
    <cellStyle name="Note 3 3 6 2 2" xfId="5379"/>
    <cellStyle name="Note 3 3 6 3" xfId="5380"/>
    <cellStyle name="Note 3 3 7" xfId="5381"/>
    <cellStyle name="Note 3 4" xfId="5382"/>
    <cellStyle name="Note 3 4 2" xfId="5383"/>
    <cellStyle name="Note 3 4 2 2" xfId="5384"/>
    <cellStyle name="Note 3 4 2 2 2" xfId="5385"/>
    <cellStyle name="Note 3 4 2 2 2 2" xfId="5386"/>
    <cellStyle name="Note 3 4 2 2 3" xfId="5387"/>
    <cellStyle name="Note 3 4 2 3" xfId="5388"/>
    <cellStyle name="Note 3 4 2 3 2" xfId="5389"/>
    <cellStyle name="Note 3 4 2 4" xfId="5390"/>
    <cellStyle name="Note 3 4 3" xfId="5391"/>
    <cellStyle name="Note 3 4 3 2" xfId="5392"/>
    <cellStyle name="Note 3 4 3 2 2" xfId="5393"/>
    <cellStyle name="Note 3 4 3 3" xfId="5394"/>
    <cellStyle name="Note 3 4 3 4" xfId="5395"/>
    <cellStyle name="Note 3 4 4" xfId="5396"/>
    <cellStyle name="Note 3 4 4 2" xfId="5397"/>
    <cellStyle name="Note 3 4 4 2 2" xfId="5398"/>
    <cellStyle name="Note 3 4 4 3" xfId="5399"/>
    <cellStyle name="Note 3 4 5" xfId="5400"/>
    <cellStyle name="Note 4" xfId="5401"/>
    <cellStyle name="Note 4 2" xfId="5402"/>
    <cellStyle name="Note 4 2 2" xfId="5403"/>
    <cellStyle name="Note 4 2 2 2" xfId="5404"/>
    <cellStyle name="Note 4 2 2 2 2" xfId="5405"/>
    <cellStyle name="Note 4 2 2 2 2 2" xfId="5406"/>
    <cellStyle name="Note 4 2 2 2 2 2 2" xfId="5407"/>
    <cellStyle name="Note 4 2 2 2 2 3" xfId="5408"/>
    <cellStyle name="Note 4 2 2 2 3" xfId="5409"/>
    <cellStyle name="Note 4 2 2 2 3 2" xfId="5410"/>
    <cellStyle name="Note 4 2 2 2 4" xfId="5411"/>
    <cellStyle name="Note 4 2 2 3" xfId="5412"/>
    <cellStyle name="Note 4 2 2 3 2" xfId="5413"/>
    <cellStyle name="Note 4 2 2 3 2 2" xfId="5414"/>
    <cellStyle name="Note 4 2 2 3 3" xfId="5415"/>
    <cellStyle name="Note 4 2 2 3 4" xfId="5416"/>
    <cellStyle name="Note 4 2 2 4" xfId="5417"/>
    <cellStyle name="Note 4 2 2 4 2" xfId="5418"/>
    <cellStyle name="Note 4 2 2 4 2 2" xfId="5419"/>
    <cellStyle name="Note 4 2 2 4 3" xfId="5420"/>
    <cellStyle name="Note 4 2 2 5" xfId="5421"/>
    <cellStyle name="Note 4 2 3" xfId="5422"/>
    <cellStyle name="Note 4 2 3 2" xfId="5423"/>
    <cellStyle name="Note 4 2 3 2 2" xfId="5424"/>
    <cellStyle name="Note 4 2 3 2 2 2" xfId="5425"/>
    <cellStyle name="Note 4 2 3 2 2 2 2" xfId="5426"/>
    <cellStyle name="Note 4 2 3 2 2 3" xfId="5427"/>
    <cellStyle name="Note 4 2 3 2 3" xfId="5428"/>
    <cellStyle name="Note 4 2 3 2 3 2" xfId="5429"/>
    <cellStyle name="Note 4 2 3 2 4" xfId="5430"/>
    <cellStyle name="Note 4 2 3 3" xfId="5431"/>
    <cellStyle name="Note 4 2 3 3 2" xfId="5432"/>
    <cellStyle name="Note 4 2 3 3 2 2" xfId="5433"/>
    <cellStyle name="Note 4 2 3 3 3" xfId="5434"/>
    <cellStyle name="Note 4 2 3 3 4" xfId="5435"/>
    <cellStyle name="Note 4 2 3 4" xfId="5436"/>
    <cellStyle name="Note 4 2 3 4 2" xfId="5437"/>
    <cellStyle name="Note 4 2 3 4 2 2" xfId="5438"/>
    <cellStyle name="Note 4 2 3 4 3" xfId="5439"/>
    <cellStyle name="Note 4 2 3 5" xfId="5440"/>
    <cellStyle name="Note 4 2 3 5 2" xfId="5441"/>
    <cellStyle name="Note 4 2 3 6" xfId="5442"/>
    <cellStyle name="Note 4 2 4" xfId="5443"/>
    <cellStyle name="Note 4 2 4 2" xfId="5444"/>
    <cellStyle name="Note 4 2 4 2 2" xfId="5445"/>
    <cellStyle name="Note 4 2 4 2 2 2" xfId="5446"/>
    <cellStyle name="Note 4 2 4 2 2 2 2" xfId="5447"/>
    <cellStyle name="Note 4 2 4 2 2 3" xfId="5448"/>
    <cellStyle name="Note 4 2 4 2 3" xfId="5449"/>
    <cellStyle name="Note 4 2 4 2 3 2" xfId="5450"/>
    <cellStyle name="Note 4 2 4 2 4" xfId="5451"/>
    <cellStyle name="Note 4 2 4 3" xfId="5452"/>
    <cellStyle name="Note 4 2 4 3 2" xfId="5453"/>
    <cellStyle name="Note 4 2 4 3 2 2" xfId="5454"/>
    <cellStyle name="Note 4 2 4 3 3" xfId="5455"/>
    <cellStyle name="Note 4 2 4 3 4" xfId="5456"/>
    <cellStyle name="Note 4 2 4 4" xfId="5457"/>
    <cellStyle name="Note 4 2 4 4 2" xfId="5458"/>
    <cellStyle name="Note 4 2 4 4 2 2" xfId="5459"/>
    <cellStyle name="Note 4 2 4 4 3" xfId="5460"/>
    <cellStyle name="Note 4 2 4 5" xfId="5461"/>
    <cellStyle name="Note 4 2 4 5 2" xfId="5462"/>
    <cellStyle name="Note 4 2 4 6" xfId="5463"/>
    <cellStyle name="Note 4 2 5" xfId="5464"/>
    <cellStyle name="Note 4 2 5 2" xfId="5465"/>
    <cellStyle name="Note 4 3" xfId="5466"/>
    <cellStyle name="Note 4 3 2" xfId="5467"/>
    <cellStyle name="Note 4 3 2 2" xfId="5468"/>
    <cellStyle name="Note 4 3 2 2 2" xfId="5469"/>
    <cellStyle name="Note 4 3 2 2 2 2" xfId="5470"/>
    <cellStyle name="Note 4 3 2 2 2 2 2" xfId="5471"/>
    <cellStyle name="Note 4 3 2 2 2 3" xfId="5472"/>
    <cellStyle name="Note 4 3 2 2 3" xfId="5473"/>
    <cellStyle name="Note 4 3 2 2 3 2" xfId="5474"/>
    <cellStyle name="Note 4 3 2 2 4" xfId="5475"/>
    <cellStyle name="Note 4 3 2 3" xfId="5476"/>
    <cellStyle name="Note 4 3 2 3 2" xfId="5477"/>
    <cellStyle name="Note 4 3 2 3 2 2" xfId="5478"/>
    <cellStyle name="Note 4 3 2 3 3" xfId="5479"/>
    <cellStyle name="Note 4 3 2 3 4" xfId="5480"/>
    <cellStyle name="Note 4 3 2 4" xfId="5481"/>
    <cellStyle name="Note 4 3 2 4 2" xfId="5482"/>
    <cellStyle name="Note 4 3 2 4 2 2" xfId="5483"/>
    <cellStyle name="Note 4 3 2 4 3" xfId="5484"/>
    <cellStyle name="Note 4 3 2 5" xfId="5485"/>
    <cellStyle name="Note 4 3 2 5 2" xfId="5486"/>
    <cellStyle name="Note 4 3 2 6" xfId="5487"/>
    <cellStyle name="Note 4 3 3" xfId="5488"/>
    <cellStyle name="Note 4 3 3 2" xfId="5489"/>
    <cellStyle name="Note 4 3 3 2 2" xfId="5490"/>
    <cellStyle name="Note 4 3 3 2 2 2" xfId="5491"/>
    <cellStyle name="Note 4 3 3 2 2 2 2" xfId="5492"/>
    <cellStyle name="Note 4 3 3 2 2 3" xfId="5493"/>
    <cellStyle name="Note 4 3 3 2 3" xfId="5494"/>
    <cellStyle name="Note 4 3 3 2 3 2" xfId="5495"/>
    <cellStyle name="Note 4 3 3 2 4" xfId="5496"/>
    <cellStyle name="Note 4 3 3 3" xfId="5497"/>
    <cellStyle name="Note 4 3 3 3 2" xfId="5498"/>
    <cellStyle name="Note 4 3 3 3 2 2" xfId="5499"/>
    <cellStyle name="Note 4 3 3 3 3" xfId="5500"/>
    <cellStyle name="Note 4 3 3 3 4" xfId="5501"/>
    <cellStyle name="Note 4 3 3 4" xfId="5502"/>
    <cellStyle name="Note 4 3 3 4 2" xfId="5503"/>
    <cellStyle name="Note 4 3 3 4 2 2" xfId="5504"/>
    <cellStyle name="Note 4 3 3 4 3" xfId="5505"/>
    <cellStyle name="Note 4 3 3 5" xfId="5506"/>
    <cellStyle name="Note 4 3 3 5 2" xfId="5507"/>
    <cellStyle name="Note 4 3 3 6" xfId="5508"/>
    <cellStyle name="Note 4 3 4" xfId="5509"/>
    <cellStyle name="Note 4 3 4 2" xfId="5510"/>
    <cellStyle name="Note 4 3 4 2 2" xfId="5511"/>
    <cellStyle name="Note 4 3 4 2 2 2" xfId="5512"/>
    <cellStyle name="Note 4 3 4 2 3" xfId="5513"/>
    <cellStyle name="Note 4 3 4 3" xfId="5514"/>
    <cellStyle name="Note 4 3 4 3 2" xfId="5515"/>
    <cellStyle name="Note 4 3 4 4" xfId="5516"/>
    <cellStyle name="Note 4 3 5" xfId="5517"/>
    <cellStyle name="Note 4 3 5 2" xfId="5518"/>
    <cellStyle name="Note 4 3 5 2 2" xfId="5519"/>
    <cellStyle name="Note 4 3 5 3" xfId="5520"/>
    <cellStyle name="Note 4 3 5 4" xfId="5521"/>
    <cellStyle name="Note 4 3 6" xfId="5522"/>
    <cellStyle name="Note 4 3 6 2" xfId="5523"/>
    <cellStyle name="Note 4 3 6 2 2" xfId="5524"/>
    <cellStyle name="Note 4 3 6 3" xfId="5525"/>
    <cellStyle name="Note 4 3 7" xfId="5526"/>
    <cellStyle name="Note 4 4" xfId="5527"/>
    <cellStyle name="Note 4 4 2" xfId="5528"/>
    <cellStyle name="Note 4 4 2 2" xfId="5529"/>
    <cellStyle name="Note 4 4 2 2 2" xfId="5530"/>
    <cellStyle name="Note 4 4 2 2 2 2" xfId="5531"/>
    <cellStyle name="Note 4 4 2 2 3" xfId="5532"/>
    <cellStyle name="Note 4 4 2 3" xfId="5533"/>
    <cellStyle name="Note 4 4 2 3 2" xfId="5534"/>
    <cellStyle name="Note 4 4 2 4" xfId="5535"/>
    <cellStyle name="Note 4 4 3" xfId="5536"/>
    <cellStyle name="Note 4 4 3 2" xfId="5537"/>
    <cellStyle name="Note 4 4 3 2 2" xfId="5538"/>
    <cellStyle name="Note 4 4 3 3" xfId="5539"/>
    <cellStyle name="Note 4 4 3 4" xfId="5540"/>
    <cellStyle name="Note 4 4 4" xfId="5541"/>
    <cellStyle name="Note 4 4 4 2" xfId="5542"/>
    <cellStyle name="Note 4 4 4 2 2" xfId="5543"/>
    <cellStyle name="Note 4 4 4 3" xfId="5544"/>
    <cellStyle name="Note 4 4 5" xfId="5545"/>
    <cellStyle name="Note 5" xfId="5546"/>
    <cellStyle name="Note 5 2" xfId="5547"/>
    <cellStyle name="Note 5 2 2" xfId="5548"/>
    <cellStyle name="Note 5 2 2 2" xfId="5549"/>
    <cellStyle name="Note 5 2 2 2 2" xfId="5550"/>
    <cellStyle name="Note 5 2 2 2 2 2" xfId="5551"/>
    <cellStyle name="Note 5 2 2 2 3" xfId="5552"/>
    <cellStyle name="Note 5 2 2 3" xfId="5553"/>
    <cellStyle name="Note 5 2 2 3 2" xfId="5554"/>
    <cellStyle name="Note 5 2 2 4" xfId="5555"/>
    <cellStyle name="Note 5 2 3" xfId="5556"/>
    <cellStyle name="Note 5 2 3 2" xfId="5557"/>
    <cellStyle name="Note 5 2 3 2 2" xfId="5558"/>
    <cellStyle name="Note 5 2 3 3" xfId="5559"/>
    <cellStyle name="Note 5 2 3 4" xfId="5560"/>
    <cellStyle name="Note 5 2 4" xfId="5561"/>
    <cellStyle name="Note 5 2 4 2" xfId="5562"/>
    <cellStyle name="Note 5 2 4 2 2" xfId="5563"/>
    <cellStyle name="Note 5 2 4 3" xfId="5564"/>
    <cellStyle name="Note 5 2 5" xfId="5565"/>
    <cellStyle name="Note 5 3" xfId="5566"/>
    <cellStyle name="Note 5 3 2" xfId="5567"/>
    <cellStyle name="Note 5 3 2 2" xfId="5568"/>
    <cellStyle name="Note 5 3 2 2 2" xfId="5569"/>
    <cellStyle name="Note 5 3 2 2 2 2" xfId="5570"/>
    <cellStyle name="Note 5 3 2 2 3" xfId="5571"/>
    <cellStyle name="Note 5 3 2 3" xfId="5572"/>
    <cellStyle name="Note 5 3 2 3 2" xfId="5573"/>
    <cellStyle name="Note 5 3 2 4" xfId="5574"/>
    <cellStyle name="Note 5 3 3" xfId="5575"/>
    <cellStyle name="Note 5 3 3 2" xfId="5576"/>
    <cellStyle name="Note 5 3 3 2 2" xfId="5577"/>
    <cellStyle name="Note 5 3 3 3" xfId="5578"/>
    <cellStyle name="Note 5 3 3 4" xfId="5579"/>
    <cellStyle name="Note 5 3 4" xfId="5580"/>
    <cellStyle name="Note 5 3 4 2" xfId="5581"/>
    <cellStyle name="Note 5 3 4 2 2" xfId="5582"/>
    <cellStyle name="Note 5 3 4 3" xfId="5583"/>
    <cellStyle name="Note 5 3 5" xfId="5584"/>
    <cellStyle name="Note 5 3 5 2" xfId="5585"/>
    <cellStyle name="Note 5 3 6" xfId="5586"/>
    <cellStyle name="Note 5 4" xfId="5587"/>
    <cellStyle name="Note 5 4 2" xfId="5588"/>
    <cellStyle name="Note 5 4 2 2" xfId="5589"/>
    <cellStyle name="Note 5 4 2 2 2" xfId="5590"/>
    <cellStyle name="Note 5 4 2 2 2 2" xfId="5591"/>
    <cellStyle name="Note 5 4 2 2 3" xfId="5592"/>
    <cellStyle name="Note 5 4 2 3" xfId="5593"/>
    <cellStyle name="Note 5 4 2 3 2" xfId="5594"/>
    <cellStyle name="Note 5 4 2 4" xfId="5595"/>
    <cellStyle name="Note 5 4 3" xfId="5596"/>
    <cellStyle name="Note 5 4 3 2" xfId="5597"/>
    <cellStyle name="Note 5 4 3 2 2" xfId="5598"/>
    <cellStyle name="Note 5 4 3 3" xfId="5599"/>
    <cellStyle name="Note 5 4 3 4" xfId="5600"/>
    <cellStyle name="Note 5 4 4" xfId="5601"/>
    <cellStyle name="Note 5 4 4 2" xfId="5602"/>
    <cellStyle name="Note 5 4 4 2 2" xfId="5603"/>
    <cellStyle name="Note 5 4 4 3" xfId="5604"/>
    <cellStyle name="Note 5 4 5" xfId="5605"/>
    <cellStyle name="Note 5 4 5 2" xfId="5606"/>
    <cellStyle name="Note 5 4 6" xfId="5607"/>
    <cellStyle name="Note 5 5" xfId="5608"/>
    <cellStyle name="Note 5 5 2" xfId="5609"/>
    <cellStyle name="Note 6" xfId="5610"/>
    <cellStyle name="Note 6 2" xfId="5611"/>
    <cellStyle name="Note 6 2 2" xfId="5612"/>
    <cellStyle name="Note 6 2 2 2" xfId="5613"/>
    <cellStyle name="Note 6 2 2 2 2" xfId="5614"/>
    <cellStyle name="Note 6 2 2 2 2 2" xfId="5615"/>
    <cellStyle name="Note 6 2 2 2 3" xfId="5616"/>
    <cellStyle name="Note 6 2 2 3" xfId="5617"/>
    <cellStyle name="Note 6 2 2 3 2" xfId="5618"/>
    <cellStyle name="Note 6 2 2 4" xfId="5619"/>
    <cellStyle name="Note 6 2 3" xfId="5620"/>
    <cellStyle name="Note 6 2 3 2" xfId="5621"/>
    <cellStyle name="Note 6 2 3 2 2" xfId="5622"/>
    <cellStyle name="Note 6 2 3 3" xfId="5623"/>
    <cellStyle name="Note 6 2 3 4" xfId="5624"/>
    <cellStyle name="Note 6 2 4" xfId="5625"/>
    <cellStyle name="Note 6 2 4 2" xfId="5626"/>
    <cellStyle name="Note 6 2 4 2 2" xfId="5627"/>
    <cellStyle name="Note 6 2 4 3" xfId="5628"/>
    <cellStyle name="Note 6 2 5" xfId="5629"/>
    <cellStyle name="Note 6 2 5 2" xfId="5630"/>
    <cellStyle name="Note 6 2 6" xfId="5631"/>
    <cellStyle name="Note 6 3" xfId="5632"/>
    <cellStyle name="Note 6 3 2" xfId="5633"/>
    <cellStyle name="Note 6 3 2 2" xfId="5634"/>
    <cellStyle name="Note 6 3 2 2 2" xfId="5635"/>
    <cellStyle name="Note 6 3 2 2 2 2" xfId="5636"/>
    <cellStyle name="Note 6 3 2 2 3" xfId="5637"/>
    <cellStyle name="Note 6 3 2 3" xfId="5638"/>
    <cellStyle name="Note 6 3 2 3 2" xfId="5639"/>
    <cellStyle name="Note 6 3 2 4" xfId="5640"/>
    <cellStyle name="Note 6 3 3" xfId="5641"/>
    <cellStyle name="Note 6 3 3 2" xfId="5642"/>
    <cellStyle name="Note 6 3 3 2 2" xfId="5643"/>
    <cellStyle name="Note 6 3 3 3" xfId="5644"/>
    <cellStyle name="Note 6 3 3 4" xfId="5645"/>
    <cellStyle name="Note 6 3 4" xfId="5646"/>
    <cellStyle name="Note 6 3 4 2" xfId="5647"/>
    <cellStyle name="Note 6 3 4 2 2" xfId="5648"/>
    <cellStyle name="Note 6 3 4 3" xfId="5649"/>
    <cellStyle name="Note 6 3 5" xfId="5650"/>
    <cellStyle name="Note 6 3 5 2" xfId="5651"/>
    <cellStyle name="Note 6 3 6" xfId="5652"/>
    <cellStyle name="Note 6 4" xfId="5653"/>
    <cellStyle name="Note 6 4 2" xfId="5654"/>
    <cellStyle name="Note 6 4 2 2" xfId="5655"/>
    <cellStyle name="Note 6 4 2 2 2" xfId="5656"/>
    <cellStyle name="Note 6 4 2 3" xfId="5657"/>
    <cellStyle name="Note 6 4 3" xfId="5658"/>
    <cellStyle name="Note 6 4 3 2" xfId="5659"/>
    <cellStyle name="Note 6 4 4" xfId="5660"/>
    <cellStyle name="Note 6 5" xfId="5661"/>
    <cellStyle name="Note 6 5 2" xfId="5662"/>
    <cellStyle name="Note 6 5 2 2" xfId="5663"/>
    <cellStyle name="Note 6 5 3" xfId="5664"/>
    <cellStyle name="Note 6 5 4" xfId="5665"/>
    <cellStyle name="Note 6 6" xfId="5666"/>
    <cellStyle name="Note 6 6 2" xfId="5667"/>
    <cellStyle name="Note 6 6 2 2" xfId="5668"/>
    <cellStyle name="Note 6 6 3" xfId="5669"/>
    <cellStyle name="Note 6 7" xfId="5670"/>
    <cellStyle name="Notes" xfId="5671"/>
    <cellStyle name="Output 2" xfId="5672"/>
    <cellStyle name="Output 2 2" xfId="5673"/>
    <cellStyle name="Output 2 2 2" xfId="5674"/>
    <cellStyle name="Output 2 2 2 2" xfId="5675"/>
    <cellStyle name="Output 2 2 2 2 2" xfId="5676"/>
    <cellStyle name="Output 2 2 2 2 2 2" xfId="5677"/>
    <cellStyle name="Output 2 2 2 2 2 2 2" xfId="5678"/>
    <cellStyle name="Output 2 2 2 2 2 2 2 2" xfId="5679"/>
    <cellStyle name="Output 2 2 2 2 2 2 2 2 2" xfId="5680"/>
    <cellStyle name="Output 2 2 2 2 2 2 2 3" xfId="5681"/>
    <cellStyle name="Output 2 2 2 2 2 2 3" xfId="5682"/>
    <cellStyle name="Output 2 2 2 2 2 2 3 2" xfId="5683"/>
    <cellStyle name="Output 2 2 2 2 2 2 4" xfId="5684"/>
    <cellStyle name="Output 2 2 2 2 2 3" xfId="5685"/>
    <cellStyle name="Output 2 2 2 2 2 3 2" xfId="5686"/>
    <cellStyle name="Output 2 2 2 2 2 3 2 2" xfId="5687"/>
    <cellStyle name="Output 2 2 2 2 2 3 3" xfId="5688"/>
    <cellStyle name="Output 2 2 2 2 2 3 4" xfId="5689"/>
    <cellStyle name="Output 2 2 2 2 2 4" xfId="5690"/>
    <cellStyle name="Output 2 2 2 2 2 4 2" xfId="5691"/>
    <cellStyle name="Output 2 2 2 2 2 4 2 2" xfId="5692"/>
    <cellStyle name="Output 2 2 2 2 2 4 3" xfId="5693"/>
    <cellStyle name="Output 2 2 2 2 2 5" xfId="5694"/>
    <cellStyle name="Output 2 2 2 2 2 5 2" xfId="5695"/>
    <cellStyle name="Output 2 2 2 2 2 6" xfId="5696"/>
    <cellStyle name="Output 2 2 2 2 3" xfId="5697"/>
    <cellStyle name="Output 2 2 2 2 3 2" xfId="5698"/>
    <cellStyle name="Output 2 2 2 2 3 2 2" xfId="5699"/>
    <cellStyle name="Output 2 2 2 2 3 2 2 2" xfId="5700"/>
    <cellStyle name="Output 2 2 2 2 3 2 2 2 2" xfId="5701"/>
    <cellStyle name="Output 2 2 2 2 3 2 2 3" xfId="5702"/>
    <cellStyle name="Output 2 2 2 2 3 2 3" xfId="5703"/>
    <cellStyle name="Output 2 2 2 2 3 2 3 2" xfId="5704"/>
    <cellStyle name="Output 2 2 2 2 3 2 4" xfId="5705"/>
    <cellStyle name="Output 2 2 2 2 3 3" xfId="5706"/>
    <cellStyle name="Output 2 2 2 2 3 3 2" xfId="5707"/>
    <cellStyle name="Output 2 2 2 2 3 3 2 2" xfId="5708"/>
    <cellStyle name="Output 2 2 2 2 3 3 3" xfId="5709"/>
    <cellStyle name="Output 2 2 2 2 3 3 4" xfId="5710"/>
    <cellStyle name="Output 2 2 2 2 3 4" xfId="5711"/>
    <cellStyle name="Output 2 2 2 2 3 4 2" xfId="5712"/>
    <cellStyle name="Output 2 2 2 2 3 4 2 2" xfId="5713"/>
    <cellStyle name="Output 2 2 2 2 3 4 3" xfId="5714"/>
    <cellStyle name="Output 2 2 2 2 3 5" xfId="5715"/>
    <cellStyle name="Output 2 2 2 2 3 5 2" xfId="5716"/>
    <cellStyle name="Output 2 2 2 2 3 6" xfId="5717"/>
    <cellStyle name="Output 2 2 2 2 4" xfId="5718"/>
    <cellStyle name="Output 2 2 2 2 4 2" xfId="5719"/>
    <cellStyle name="Output 2 2 2 3" xfId="5720"/>
    <cellStyle name="Output 2 2 2 3 2" xfId="5721"/>
    <cellStyle name="Output 2 2 2 3 2 2" xfId="5722"/>
    <cellStyle name="Output 2 2 2 3 2 2 2" xfId="5723"/>
    <cellStyle name="Output 2 2 2 3 2 2 2 2" xfId="5724"/>
    <cellStyle name="Output 2 2 2 3 2 2 3" xfId="5725"/>
    <cellStyle name="Output 2 2 2 3 2 3" xfId="5726"/>
    <cellStyle name="Output 2 2 2 3 2 3 2" xfId="5727"/>
    <cellStyle name="Output 2 2 2 3 2 4" xfId="5728"/>
    <cellStyle name="Output 2 2 2 3 3" xfId="5729"/>
    <cellStyle name="Output 2 2 2 3 3 2" xfId="5730"/>
    <cellStyle name="Output 2 2 2 3 3 2 2" xfId="5731"/>
    <cellStyle name="Output 2 2 2 3 3 3" xfId="5732"/>
    <cellStyle name="Output 2 2 2 3 3 4" xfId="5733"/>
    <cellStyle name="Output 2 2 2 3 4" xfId="5734"/>
    <cellStyle name="Output 2 2 2 3 4 2" xfId="5735"/>
    <cellStyle name="Output 2 2 2 3 4 2 2" xfId="5736"/>
    <cellStyle name="Output 2 2 2 3 4 3" xfId="5737"/>
    <cellStyle name="Output 2 2 2 3 5" xfId="5738"/>
    <cellStyle name="Output 2 2 2 3 5 2" xfId="5739"/>
    <cellStyle name="Output 2 2 2 3 6" xfId="5740"/>
    <cellStyle name="Output 2 2 2 4" xfId="5741"/>
    <cellStyle name="Output 2 2 2 4 2" xfId="5742"/>
    <cellStyle name="Output 2 2 2 4 2 2" xfId="5743"/>
    <cellStyle name="Output 2 2 2 4 2 2 2" xfId="5744"/>
    <cellStyle name="Output 2 2 2 4 2 2 2 2" xfId="5745"/>
    <cellStyle name="Output 2 2 2 4 2 2 3" xfId="5746"/>
    <cellStyle name="Output 2 2 2 4 2 3" xfId="5747"/>
    <cellStyle name="Output 2 2 2 4 2 3 2" xfId="5748"/>
    <cellStyle name="Output 2 2 2 4 2 4" xfId="5749"/>
    <cellStyle name="Output 2 2 2 4 3" xfId="5750"/>
    <cellStyle name="Output 2 2 2 4 3 2" xfId="5751"/>
    <cellStyle name="Output 2 2 2 4 3 2 2" xfId="5752"/>
    <cellStyle name="Output 2 2 2 4 3 3" xfId="5753"/>
    <cellStyle name="Output 2 2 2 4 3 4" xfId="5754"/>
    <cellStyle name="Output 2 2 2 4 4" xfId="5755"/>
    <cellStyle name="Output 2 2 2 4 4 2" xfId="5756"/>
    <cellStyle name="Output 2 2 2 4 4 2 2" xfId="5757"/>
    <cellStyle name="Output 2 2 2 4 4 3" xfId="5758"/>
    <cellStyle name="Output 2 2 2 4 5" xfId="5759"/>
    <cellStyle name="Output 2 2 2 4 5 2" xfId="5760"/>
    <cellStyle name="Output 2 2 2 4 6" xfId="5761"/>
    <cellStyle name="Output 2 2 2 5" xfId="5762"/>
    <cellStyle name="Output 2 2 2 5 2" xfId="5763"/>
    <cellStyle name="Output 2 2 3" xfId="5764"/>
    <cellStyle name="Output 2 2 3 2" xfId="5765"/>
    <cellStyle name="Output 2 2 3 2 2" xfId="5766"/>
    <cellStyle name="Output 2 2 3 2 2 2" xfId="5767"/>
    <cellStyle name="Output 2 2 3 2 2 2 2" xfId="5768"/>
    <cellStyle name="Output 2 2 3 2 2 2 2 2" xfId="5769"/>
    <cellStyle name="Output 2 2 3 2 2 2 3" xfId="5770"/>
    <cellStyle name="Output 2 2 3 2 2 3" xfId="5771"/>
    <cellStyle name="Output 2 2 3 2 2 3 2" xfId="5772"/>
    <cellStyle name="Output 2 2 3 2 2 4" xfId="5773"/>
    <cellStyle name="Output 2 2 3 2 3" xfId="5774"/>
    <cellStyle name="Output 2 2 3 2 3 2" xfId="5775"/>
    <cellStyle name="Output 2 2 3 2 3 2 2" xfId="5776"/>
    <cellStyle name="Output 2 2 3 2 3 3" xfId="5777"/>
    <cellStyle name="Output 2 2 3 2 3 4" xfId="5778"/>
    <cellStyle name="Output 2 2 3 2 4" xfId="5779"/>
    <cellStyle name="Output 2 2 3 2 4 2" xfId="5780"/>
    <cellStyle name="Output 2 2 3 2 4 2 2" xfId="5781"/>
    <cellStyle name="Output 2 2 3 2 4 3" xfId="5782"/>
    <cellStyle name="Output 2 2 3 2 5" xfId="5783"/>
    <cellStyle name="Output 2 2 3 2 5 2" xfId="5784"/>
    <cellStyle name="Output 2 2 3 2 6" xfId="5785"/>
    <cellStyle name="Output 2 2 3 3" xfId="5786"/>
    <cellStyle name="Output 2 2 3 3 2" xfId="5787"/>
    <cellStyle name="Output 2 2 3 3 2 2" xfId="5788"/>
    <cellStyle name="Output 2 2 3 3 2 2 2" xfId="5789"/>
    <cellStyle name="Output 2 2 3 3 2 2 2 2" xfId="5790"/>
    <cellStyle name="Output 2 2 3 3 2 2 3" xfId="5791"/>
    <cellStyle name="Output 2 2 3 3 2 3" xfId="5792"/>
    <cellStyle name="Output 2 2 3 3 2 3 2" xfId="5793"/>
    <cellStyle name="Output 2 2 3 3 2 4" xfId="5794"/>
    <cellStyle name="Output 2 2 3 3 3" xfId="5795"/>
    <cellStyle name="Output 2 2 3 3 3 2" xfId="5796"/>
    <cellStyle name="Output 2 2 3 3 3 2 2" xfId="5797"/>
    <cellStyle name="Output 2 2 3 3 3 3" xfId="5798"/>
    <cellStyle name="Output 2 2 3 3 3 4" xfId="5799"/>
    <cellStyle name="Output 2 2 3 3 4" xfId="5800"/>
    <cellStyle name="Output 2 2 3 3 4 2" xfId="5801"/>
    <cellStyle name="Output 2 2 3 3 4 2 2" xfId="5802"/>
    <cellStyle name="Output 2 2 3 3 4 3" xfId="5803"/>
    <cellStyle name="Output 2 2 3 3 5" xfId="5804"/>
    <cellStyle name="Output 2 2 3 3 5 2" xfId="5805"/>
    <cellStyle name="Output 2 2 3 3 6" xfId="5806"/>
    <cellStyle name="Output 2 2 3 4" xfId="5807"/>
    <cellStyle name="Output 2 2 3 4 2" xfId="5808"/>
    <cellStyle name="Output 2 2 4" xfId="5809"/>
    <cellStyle name="Output 2 2 4 2" xfId="5810"/>
    <cellStyle name="Output 2 2 4 2 2" xfId="5811"/>
    <cellStyle name="Output 2 2 4 2 2 2" xfId="5812"/>
    <cellStyle name="Output 2 2 4 2 2 2 2" xfId="5813"/>
    <cellStyle name="Output 2 2 4 2 2 2 2 2" xfId="5814"/>
    <cellStyle name="Output 2 2 4 2 2 2 3" xfId="5815"/>
    <cellStyle name="Output 2 2 4 2 2 3" xfId="5816"/>
    <cellStyle name="Output 2 2 4 2 2 3 2" xfId="5817"/>
    <cellStyle name="Output 2 2 4 2 2 4" xfId="5818"/>
    <cellStyle name="Output 2 2 4 2 3" xfId="5819"/>
    <cellStyle name="Output 2 2 4 2 3 2" xfId="5820"/>
    <cellStyle name="Output 2 2 4 2 3 2 2" xfId="5821"/>
    <cellStyle name="Output 2 2 4 2 3 3" xfId="5822"/>
    <cellStyle name="Output 2 2 4 2 3 4" xfId="5823"/>
    <cellStyle name="Output 2 2 4 2 4" xfId="5824"/>
    <cellStyle name="Output 2 2 4 2 4 2" xfId="5825"/>
    <cellStyle name="Output 2 2 4 2 4 2 2" xfId="5826"/>
    <cellStyle name="Output 2 2 4 2 4 3" xfId="5827"/>
    <cellStyle name="Output 2 2 4 2 5" xfId="5828"/>
    <cellStyle name="Output 2 2 4 2 5 2" xfId="5829"/>
    <cellStyle name="Output 2 2 4 2 6" xfId="5830"/>
    <cellStyle name="Output 2 2 4 3" xfId="5831"/>
    <cellStyle name="Output 2 2 4 3 2" xfId="5832"/>
    <cellStyle name="Output 2 2 4 3 2 2" xfId="5833"/>
    <cellStyle name="Output 2 2 4 3 3" xfId="5834"/>
    <cellStyle name="Output 2 2 4 4" xfId="5835"/>
    <cellStyle name="Output 2 2 4 4 2" xfId="5836"/>
    <cellStyle name="Output 2 2 4 4 2 2" xfId="5837"/>
    <cellStyle name="Output 2 2 4 4 2 2 2" xfId="5838"/>
    <cellStyle name="Output 2 2 4 4 2 2 2 2" xfId="5839"/>
    <cellStyle name="Output 2 2 4 4 2 2 3" xfId="5840"/>
    <cellStyle name="Output 2 2 4 4 2 3" xfId="5841"/>
    <cellStyle name="Output 2 2 4 4 2 3 2" xfId="5842"/>
    <cellStyle name="Output 2 2 4 4 2 4" xfId="5843"/>
    <cellStyle name="Output 2 2 4 4 3" xfId="5844"/>
    <cellStyle name="Output 2 2 4 4 3 2" xfId="5845"/>
    <cellStyle name="Output 2 2 4 4 3 2 2" xfId="5846"/>
    <cellStyle name="Output 2 2 4 4 3 3" xfId="5847"/>
    <cellStyle name="Output 2 2 4 4 3 4" xfId="5848"/>
    <cellStyle name="Output 2 2 4 4 4" xfId="5849"/>
    <cellStyle name="Output 2 2 4 4 4 2" xfId="5850"/>
    <cellStyle name="Output 2 2 4 4 4 2 2" xfId="5851"/>
    <cellStyle name="Output 2 2 4 4 4 3" xfId="5852"/>
    <cellStyle name="Output 2 2 4 4 5" xfId="5853"/>
    <cellStyle name="Output 2 2 4 4 5 2" xfId="5854"/>
    <cellStyle name="Output 2 2 4 4 6" xfId="5855"/>
    <cellStyle name="Output 2 2 4 5" xfId="5856"/>
    <cellStyle name="Output 2 2 4 5 2" xfId="5857"/>
    <cellStyle name="Output 2 2 4 5 2 2" xfId="5858"/>
    <cellStyle name="Output 2 2 4 5 2 2 2" xfId="5859"/>
    <cellStyle name="Output 2 2 4 5 2 3" xfId="5860"/>
    <cellStyle name="Output 2 2 4 5 3" xfId="5861"/>
    <cellStyle name="Output 2 2 4 5 3 2" xfId="5862"/>
    <cellStyle name="Output 2 2 4 5 4" xfId="5863"/>
    <cellStyle name="Output 2 2 4 6" xfId="5864"/>
    <cellStyle name="Output 2 2 4 6 2" xfId="5865"/>
    <cellStyle name="Output 2 2 4 6 2 2" xfId="5866"/>
    <cellStyle name="Output 2 2 4 6 3" xfId="5867"/>
    <cellStyle name="Output 2 2 4 6 4" xfId="5868"/>
    <cellStyle name="Output 2 2 4 7" xfId="5869"/>
    <cellStyle name="Output 2 2 4 7 2" xfId="5870"/>
    <cellStyle name="Output 2 2 4 7 2 2" xfId="5871"/>
    <cellStyle name="Output 2 2 4 7 3" xfId="5872"/>
    <cellStyle name="Output 2 2 4 8" xfId="5873"/>
    <cellStyle name="Output 2 2 4 8 2" xfId="5874"/>
    <cellStyle name="Output 2 2 4 9" xfId="5875"/>
    <cellStyle name="Output 2 2 5" xfId="5876"/>
    <cellStyle name="Output 2 2 5 2" xfId="5877"/>
    <cellStyle name="Output 2 2 5 2 2" xfId="5878"/>
    <cellStyle name="Output 2 2 5 2 2 2" xfId="5879"/>
    <cellStyle name="Output 2 2 5 2 2 2 2" xfId="5880"/>
    <cellStyle name="Output 2 2 5 2 2 3" xfId="5881"/>
    <cellStyle name="Output 2 2 5 2 3" xfId="5882"/>
    <cellStyle name="Output 2 2 5 2 3 2" xfId="5883"/>
    <cellStyle name="Output 2 2 5 2 4" xfId="5884"/>
    <cellStyle name="Output 2 2 5 3" xfId="5885"/>
    <cellStyle name="Output 2 2 5 3 2" xfId="5886"/>
    <cellStyle name="Output 2 2 5 3 2 2" xfId="5887"/>
    <cellStyle name="Output 2 2 5 3 3" xfId="5888"/>
    <cellStyle name="Output 2 2 5 3 4" xfId="5889"/>
    <cellStyle name="Output 2 2 5 4" xfId="5890"/>
    <cellStyle name="Output 2 2 5 4 2" xfId="5891"/>
    <cellStyle name="Output 2 2 5 4 2 2" xfId="5892"/>
    <cellStyle name="Output 2 2 5 4 3" xfId="5893"/>
    <cellStyle name="Output 2 2 5 5" xfId="5894"/>
    <cellStyle name="Output 2 2 5 5 2" xfId="5895"/>
    <cellStyle name="Output 2 2 5 6" xfId="5896"/>
    <cellStyle name="Output 2 3" xfId="5897"/>
    <cellStyle name="Output 2 3 2" xfId="5898"/>
    <cellStyle name="Output 2 3 2 2" xfId="5899"/>
    <cellStyle name="Output 2 3 2 2 2" xfId="5900"/>
    <cellStyle name="Output 2 3 2 2 2 2" xfId="5901"/>
    <cellStyle name="Output 2 3 2 2 2 2 2" xfId="5902"/>
    <cellStyle name="Output 2 3 2 2 2 2 2 2" xfId="5903"/>
    <cellStyle name="Output 2 3 2 2 2 2 3" xfId="5904"/>
    <cellStyle name="Output 2 3 2 2 2 3" xfId="5905"/>
    <cellStyle name="Output 2 3 2 2 2 3 2" xfId="5906"/>
    <cellStyle name="Output 2 3 2 2 2 4" xfId="5907"/>
    <cellStyle name="Output 2 3 2 2 3" xfId="5908"/>
    <cellStyle name="Output 2 3 2 2 3 2" xfId="5909"/>
    <cellStyle name="Output 2 3 2 2 3 2 2" xfId="5910"/>
    <cellStyle name="Output 2 3 2 2 3 3" xfId="5911"/>
    <cellStyle name="Output 2 3 2 2 3 4" xfId="5912"/>
    <cellStyle name="Output 2 3 2 2 4" xfId="5913"/>
    <cellStyle name="Output 2 3 2 2 4 2" xfId="5914"/>
    <cellStyle name="Output 2 3 2 2 4 2 2" xfId="5915"/>
    <cellStyle name="Output 2 3 2 2 4 3" xfId="5916"/>
    <cellStyle name="Output 2 3 2 2 5" xfId="5917"/>
    <cellStyle name="Output 2 3 2 2 5 2" xfId="5918"/>
    <cellStyle name="Output 2 3 2 2 6" xfId="5919"/>
    <cellStyle name="Output 2 3 2 3" xfId="5920"/>
    <cellStyle name="Output 2 3 2 3 2" xfId="5921"/>
    <cellStyle name="Output 2 3 2 3 2 2" xfId="5922"/>
    <cellStyle name="Output 2 3 2 3 2 2 2" xfId="5923"/>
    <cellStyle name="Output 2 3 2 3 2 2 2 2" xfId="5924"/>
    <cellStyle name="Output 2 3 2 3 2 2 3" xfId="5925"/>
    <cellStyle name="Output 2 3 2 3 2 3" xfId="5926"/>
    <cellStyle name="Output 2 3 2 3 2 3 2" xfId="5927"/>
    <cellStyle name="Output 2 3 2 3 2 4" xfId="5928"/>
    <cellStyle name="Output 2 3 2 3 3" xfId="5929"/>
    <cellStyle name="Output 2 3 2 3 3 2" xfId="5930"/>
    <cellStyle name="Output 2 3 2 3 3 2 2" xfId="5931"/>
    <cellStyle name="Output 2 3 2 3 3 3" xfId="5932"/>
    <cellStyle name="Output 2 3 2 3 3 4" xfId="5933"/>
    <cellStyle name="Output 2 3 2 3 4" xfId="5934"/>
    <cellStyle name="Output 2 3 2 3 4 2" xfId="5935"/>
    <cellStyle name="Output 2 3 2 3 4 2 2" xfId="5936"/>
    <cellStyle name="Output 2 3 2 3 4 3" xfId="5937"/>
    <cellStyle name="Output 2 3 2 3 5" xfId="5938"/>
    <cellStyle name="Output 2 3 2 3 5 2" xfId="5939"/>
    <cellStyle name="Output 2 3 2 3 6" xfId="5940"/>
    <cellStyle name="Output 2 3 2 4" xfId="5941"/>
    <cellStyle name="Output 2 3 2 4 2" xfId="5942"/>
    <cellStyle name="Output 2 3 3" xfId="5943"/>
    <cellStyle name="Output 2 3 3 2" xfId="5944"/>
    <cellStyle name="Output 2 3 3 2 2" xfId="5945"/>
    <cellStyle name="Output 2 3 3 2 2 2" xfId="5946"/>
    <cellStyle name="Output 2 3 3 2 2 2 2" xfId="5947"/>
    <cellStyle name="Output 2 3 3 2 2 3" xfId="5948"/>
    <cellStyle name="Output 2 3 3 2 3" xfId="5949"/>
    <cellStyle name="Output 2 3 3 2 3 2" xfId="5950"/>
    <cellStyle name="Output 2 3 3 2 4" xfId="5951"/>
    <cellStyle name="Output 2 3 3 3" xfId="5952"/>
    <cellStyle name="Output 2 3 3 3 2" xfId="5953"/>
    <cellStyle name="Output 2 3 3 3 2 2" xfId="5954"/>
    <cellStyle name="Output 2 3 3 3 3" xfId="5955"/>
    <cellStyle name="Output 2 3 3 3 4" xfId="5956"/>
    <cellStyle name="Output 2 3 3 4" xfId="5957"/>
    <cellStyle name="Output 2 3 3 4 2" xfId="5958"/>
    <cellStyle name="Output 2 3 3 4 2 2" xfId="5959"/>
    <cellStyle name="Output 2 3 3 4 3" xfId="5960"/>
    <cellStyle name="Output 2 3 3 5" xfId="5961"/>
    <cellStyle name="Output 2 3 3 5 2" xfId="5962"/>
    <cellStyle name="Output 2 3 3 6" xfId="5963"/>
    <cellStyle name="Output 2 3 4" xfId="5964"/>
    <cellStyle name="Output 2 3 4 2" xfId="5965"/>
    <cellStyle name="Output 2 3 4 2 2" xfId="5966"/>
    <cellStyle name="Output 2 3 4 2 2 2" xfId="5967"/>
    <cellStyle name="Output 2 3 4 2 2 2 2" xfId="5968"/>
    <cellStyle name="Output 2 3 4 2 2 3" xfId="5969"/>
    <cellStyle name="Output 2 3 4 2 3" xfId="5970"/>
    <cellStyle name="Output 2 3 4 2 3 2" xfId="5971"/>
    <cellStyle name="Output 2 3 4 2 4" xfId="5972"/>
    <cellStyle name="Output 2 3 4 3" xfId="5973"/>
    <cellStyle name="Output 2 3 4 3 2" xfId="5974"/>
    <cellStyle name="Output 2 3 4 3 2 2" xfId="5975"/>
    <cellStyle name="Output 2 3 4 3 3" xfId="5976"/>
    <cellStyle name="Output 2 3 4 3 4" xfId="5977"/>
    <cellStyle name="Output 2 3 4 4" xfId="5978"/>
    <cellStyle name="Output 2 3 4 4 2" xfId="5979"/>
    <cellStyle name="Output 2 3 4 4 2 2" xfId="5980"/>
    <cellStyle name="Output 2 3 4 4 3" xfId="5981"/>
    <cellStyle name="Output 2 3 4 5" xfId="5982"/>
    <cellStyle name="Output 2 3 4 5 2" xfId="5983"/>
    <cellStyle name="Output 2 3 4 6" xfId="5984"/>
    <cellStyle name="Output 2 3 5" xfId="5985"/>
    <cellStyle name="Output 2 3 5 2" xfId="5986"/>
    <cellStyle name="Output 2 4" xfId="5987"/>
    <cellStyle name="Output 2 4 2" xfId="5988"/>
    <cellStyle name="Output 2 4 2 2" xfId="5989"/>
    <cellStyle name="Output 2 4 2 2 2" xfId="5990"/>
    <cellStyle name="Output 2 4 2 2 2 2" xfId="5991"/>
    <cellStyle name="Output 2 4 2 2 2 2 2" xfId="5992"/>
    <cellStyle name="Output 2 4 2 2 2 3" xfId="5993"/>
    <cellStyle name="Output 2 4 2 2 3" xfId="5994"/>
    <cellStyle name="Output 2 4 2 2 3 2" xfId="5995"/>
    <cellStyle name="Output 2 4 2 2 4" xfId="5996"/>
    <cellStyle name="Output 2 4 2 3" xfId="5997"/>
    <cellStyle name="Output 2 4 2 3 2" xfId="5998"/>
    <cellStyle name="Output 2 4 2 3 2 2" xfId="5999"/>
    <cellStyle name="Output 2 4 2 3 3" xfId="6000"/>
    <cellStyle name="Output 2 4 2 3 4" xfId="6001"/>
    <cellStyle name="Output 2 4 2 4" xfId="6002"/>
    <cellStyle name="Output 2 4 2 4 2" xfId="6003"/>
    <cellStyle name="Output 2 4 2 4 2 2" xfId="6004"/>
    <cellStyle name="Output 2 4 2 4 3" xfId="6005"/>
    <cellStyle name="Output 2 4 2 5" xfId="6006"/>
    <cellStyle name="Output 2 4 2 5 2" xfId="6007"/>
    <cellStyle name="Output 2 4 2 6" xfId="6008"/>
    <cellStyle name="Output 2 4 3" xfId="6009"/>
    <cellStyle name="Output 2 4 3 2" xfId="6010"/>
    <cellStyle name="Output 2 4 3 2 2" xfId="6011"/>
    <cellStyle name="Output 2 4 3 2 2 2" xfId="6012"/>
    <cellStyle name="Output 2 4 3 2 2 2 2" xfId="6013"/>
    <cellStyle name="Output 2 4 3 2 2 3" xfId="6014"/>
    <cellStyle name="Output 2 4 3 2 3" xfId="6015"/>
    <cellStyle name="Output 2 4 3 2 3 2" xfId="6016"/>
    <cellStyle name="Output 2 4 3 2 4" xfId="6017"/>
    <cellStyle name="Output 2 4 3 3" xfId="6018"/>
    <cellStyle name="Output 2 4 3 3 2" xfId="6019"/>
    <cellStyle name="Output 2 4 3 3 2 2" xfId="6020"/>
    <cellStyle name="Output 2 4 3 3 3" xfId="6021"/>
    <cellStyle name="Output 2 4 3 3 4" xfId="6022"/>
    <cellStyle name="Output 2 4 3 4" xfId="6023"/>
    <cellStyle name="Output 2 4 3 4 2" xfId="6024"/>
    <cellStyle name="Output 2 4 3 4 2 2" xfId="6025"/>
    <cellStyle name="Output 2 4 3 4 3" xfId="6026"/>
    <cellStyle name="Output 2 4 3 5" xfId="6027"/>
    <cellStyle name="Output 2 4 3 5 2" xfId="6028"/>
    <cellStyle name="Output 2 4 3 6" xfId="6029"/>
    <cellStyle name="Output 2 4 4" xfId="6030"/>
    <cellStyle name="Output 2 4 4 2" xfId="6031"/>
    <cellStyle name="Output 2 5" xfId="6032"/>
    <cellStyle name="Output 2 5 2" xfId="6033"/>
    <cellStyle name="Output 2 5 2 2" xfId="6034"/>
    <cellStyle name="Output 2 5 2 2 2" xfId="6035"/>
    <cellStyle name="Output 2 5 2 2 2 2" xfId="6036"/>
    <cellStyle name="Output 2 5 2 2 2 2 2" xfId="6037"/>
    <cellStyle name="Output 2 5 2 2 2 3" xfId="6038"/>
    <cellStyle name="Output 2 5 2 2 3" xfId="6039"/>
    <cellStyle name="Output 2 5 2 2 3 2" xfId="6040"/>
    <cellStyle name="Output 2 5 2 2 4" xfId="6041"/>
    <cellStyle name="Output 2 5 2 3" xfId="6042"/>
    <cellStyle name="Output 2 5 2 3 2" xfId="6043"/>
    <cellStyle name="Output 2 5 2 3 2 2" xfId="6044"/>
    <cellStyle name="Output 2 5 2 3 3" xfId="6045"/>
    <cellStyle name="Output 2 5 2 3 4" xfId="6046"/>
    <cellStyle name="Output 2 5 2 4" xfId="6047"/>
    <cellStyle name="Output 2 5 2 4 2" xfId="6048"/>
    <cellStyle name="Output 2 5 2 4 2 2" xfId="6049"/>
    <cellStyle name="Output 2 5 2 4 3" xfId="6050"/>
    <cellStyle name="Output 2 5 2 5" xfId="6051"/>
    <cellStyle name="Output 2 5 2 5 2" xfId="6052"/>
    <cellStyle name="Output 2 5 2 6" xfId="6053"/>
    <cellStyle name="Output 2 5 3" xfId="6054"/>
    <cellStyle name="Output 2 5 3 2" xfId="6055"/>
    <cellStyle name="Output 2 5 3 2 2" xfId="6056"/>
    <cellStyle name="Output 2 5 3 3" xfId="6057"/>
    <cellStyle name="Output 2 5 4" xfId="6058"/>
    <cellStyle name="Output 2 5 4 2" xfId="6059"/>
    <cellStyle name="Output 2 5 4 2 2" xfId="6060"/>
    <cellStyle name="Output 2 5 4 2 2 2" xfId="6061"/>
    <cellStyle name="Output 2 5 4 2 2 2 2" xfId="6062"/>
    <cellStyle name="Output 2 5 4 2 2 3" xfId="6063"/>
    <cellStyle name="Output 2 5 4 2 3" xfId="6064"/>
    <cellStyle name="Output 2 5 4 2 3 2" xfId="6065"/>
    <cellStyle name="Output 2 5 4 2 4" xfId="6066"/>
    <cellStyle name="Output 2 5 4 3" xfId="6067"/>
    <cellStyle name="Output 2 5 4 3 2" xfId="6068"/>
    <cellStyle name="Output 2 5 4 3 2 2" xfId="6069"/>
    <cellStyle name="Output 2 5 4 3 3" xfId="6070"/>
    <cellStyle name="Output 2 5 4 3 4" xfId="6071"/>
    <cellStyle name="Output 2 5 4 4" xfId="6072"/>
    <cellStyle name="Output 2 5 4 4 2" xfId="6073"/>
    <cellStyle name="Output 2 5 4 4 2 2" xfId="6074"/>
    <cellStyle name="Output 2 5 4 4 3" xfId="6075"/>
    <cellStyle name="Output 2 5 4 5" xfId="6076"/>
    <cellStyle name="Output 2 5 4 5 2" xfId="6077"/>
    <cellStyle name="Output 2 5 4 6" xfId="6078"/>
    <cellStyle name="Output 2 5 5" xfId="6079"/>
    <cellStyle name="Output 2 5 5 2" xfId="6080"/>
    <cellStyle name="Output 2 5 5 2 2" xfId="6081"/>
    <cellStyle name="Output 2 5 5 2 2 2" xfId="6082"/>
    <cellStyle name="Output 2 5 5 2 3" xfId="6083"/>
    <cellStyle name="Output 2 5 5 3" xfId="6084"/>
    <cellStyle name="Output 2 5 5 3 2" xfId="6085"/>
    <cellStyle name="Output 2 5 5 4" xfId="6086"/>
    <cellStyle name="Output 2 5 6" xfId="6087"/>
    <cellStyle name="Output 2 5 6 2" xfId="6088"/>
    <cellStyle name="Output 2 5 6 2 2" xfId="6089"/>
    <cellStyle name="Output 2 5 6 3" xfId="6090"/>
    <cellStyle name="Output 2 5 6 4" xfId="6091"/>
    <cellStyle name="Output 2 5 7" xfId="6092"/>
    <cellStyle name="Output 2 5 7 2" xfId="6093"/>
    <cellStyle name="Output 2 5 7 2 2" xfId="6094"/>
    <cellStyle name="Output 2 5 7 3" xfId="6095"/>
    <cellStyle name="Output 2 5 8" xfId="6096"/>
    <cellStyle name="Output 2 5 8 2" xfId="6097"/>
    <cellStyle name="Output 2 5 9" xfId="6098"/>
    <cellStyle name="Output 2 6" xfId="6099"/>
    <cellStyle name="Output 2 6 2" xfId="6100"/>
    <cellStyle name="Output 2 6 2 2" xfId="6101"/>
    <cellStyle name="Output 2 6 2 2 2" xfId="6102"/>
    <cellStyle name="Output 2 6 2 2 2 2" xfId="6103"/>
    <cellStyle name="Output 2 6 2 2 3" xfId="6104"/>
    <cellStyle name="Output 2 6 2 3" xfId="6105"/>
    <cellStyle name="Output 2 6 2 3 2" xfId="6106"/>
    <cellStyle name="Output 2 6 2 4" xfId="6107"/>
    <cellStyle name="Output 2 6 3" xfId="6108"/>
    <cellStyle name="Output 2 6 3 2" xfId="6109"/>
    <cellStyle name="Output 2 6 3 2 2" xfId="6110"/>
    <cellStyle name="Output 2 6 3 3" xfId="6111"/>
    <cellStyle name="Output 2 6 3 4" xfId="6112"/>
    <cellStyle name="Output 2 6 4" xfId="6113"/>
    <cellStyle name="Output 2 6 4 2" xfId="6114"/>
    <cellStyle name="Output 2 6 4 2 2" xfId="6115"/>
    <cellStyle name="Output 2 6 4 3" xfId="6116"/>
    <cellStyle name="Output 2 6 5" xfId="6117"/>
    <cellStyle name="Output 2 6 5 2" xfId="6118"/>
    <cellStyle name="Output 2 6 6" xfId="6119"/>
    <cellStyle name="Output 3" xfId="6120"/>
    <cellStyle name="Output 3 2" xfId="6121"/>
    <cellStyle name="Output 3 2 2" xfId="6122"/>
    <cellStyle name="Output 3 2 2 2" xfId="6123"/>
    <cellStyle name="Output 3 2 2 2 2" xfId="6124"/>
    <cellStyle name="Output 3 2 2 2 2 2" xfId="6125"/>
    <cellStyle name="Output 3 2 2 2 2 2 2" xfId="6126"/>
    <cellStyle name="Output 3 2 2 2 2 2 2 2" xfId="6127"/>
    <cellStyle name="Output 3 2 2 2 2 2 3" xfId="6128"/>
    <cellStyle name="Output 3 2 2 2 2 3" xfId="6129"/>
    <cellStyle name="Output 3 2 2 2 2 3 2" xfId="6130"/>
    <cellStyle name="Output 3 2 2 2 2 4" xfId="6131"/>
    <cellStyle name="Output 3 2 2 2 3" xfId="6132"/>
    <cellStyle name="Output 3 2 2 2 3 2" xfId="6133"/>
    <cellStyle name="Output 3 2 2 2 3 2 2" xfId="6134"/>
    <cellStyle name="Output 3 2 2 2 3 3" xfId="6135"/>
    <cellStyle name="Output 3 2 2 2 3 4" xfId="6136"/>
    <cellStyle name="Output 3 2 2 2 4" xfId="6137"/>
    <cellStyle name="Output 3 2 2 2 4 2" xfId="6138"/>
    <cellStyle name="Output 3 2 2 2 4 2 2" xfId="6139"/>
    <cellStyle name="Output 3 2 2 2 4 3" xfId="6140"/>
    <cellStyle name="Output 3 2 2 2 5" xfId="6141"/>
    <cellStyle name="Output 3 2 2 2 5 2" xfId="6142"/>
    <cellStyle name="Output 3 2 2 2 6" xfId="6143"/>
    <cellStyle name="Output 3 2 2 3" xfId="6144"/>
    <cellStyle name="Output 3 2 2 3 2" xfId="6145"/>
    <cellStyle name="Output 3 2 2 3 2 2" xfId="6146"/>
    <cellStyle name="Output 3 2 2 3 2 2 2" xfId="6147"/>
    <cellStyle name="Output 3 2 2 3 2 2 2 2" xfId="6148"/>
    <cellStyle name="Output 3 2 2 3 2 2 3" xfId="6149"/>
    <cellStyle name="Output 3 2 2 3 2 3" xfId="6150"/>
    <cellStyle name="Output 3 2 2 3 2 3 2" xfId="6151"/>
    <cellStyle name="Output 3 2 2 3 2 4" xfId="6152"/>
    <cellStyle name="Output 3 2 2 3 3" xfId="6153"/>
    <cellStyle name="Output 3 2 2 3 3 2" xfId="6154"/>
    <cellStyle name="Output 3 2 2 3 3 2 2" xfId="6155"/>
    <cellStyle name="Output 3 2 2 3 3 3" xfId="6156"/>
    <cellStyle name="Output 3 2 2 3 3 4" xfId="6157"/>
    <cellStyle name="Output 3 2 2 3 4" xfId="6158"/>
    <cellStyle name="Output 3 2 2 3 4 2" xfId="6159"/>
    <cellStyle name="Output 3 2 2 3 4 2 2" xfId="6160"/>
    <cellStyle name="Output 3 2 2 3 4 3" xfId="6161"/>
    <cellStyle name="Output 3 2 2 3 5" xfId="6162"/>
    <cellStyle name="Output 3 2 2 3 5 2" xfId="6163"/>
    <cellStyle name="Output 3 2 2 3 6" xfId="6164"/>
    <cellStyle name="Output 3 2 2 4" xfId="6165"/>
    <cellStyle name="Output 3 2 2 4 2" xfId="6166"/>
    <cellStyle name="Output 3 2 3" xfId="6167"/>
    <cellStyle name="Output 3 2 3 2" xfId="6168"/>
    <cellStyle name="Output 3 2 3 2 2" xfId="6169"/>
    <cellStyle name="Output 3 2 3 2 2 2" xfId="6170"/>
    <cellStyle name="Output 3 2 3 2 2 2 2" xfId="6171"/>
    <cellStyle name="Output 3 2 3 2 2 3" xfId="6172"/>
    <cellStyle name="Output 3 2 3 2 3" xfId="6173"/>
    <cellStyle name="Output 3 2 3 2 3 2" xfId="6174"/>
    <cellStyle name="Output 3 2 3 2 4" xfId="6175"/>
    <cellStyle name="Output 3 2 3 3" xfId="6176"/>
    <cellStyle name="Output 3 2 3 3 2" xfId="6177"/>
    <cellStyle name="Output 3 2 3 3 2 2" xfId="6178"/>
    <cellStyle name="Output 3 2 3 3 3" xfId="6179"/>
    <cellStyle name="Output 3 2 3 3 4" xfId="6180"/>
    <cellStyle name="Output 3 2 3 4" xfId="6181"/>
    <cellStyle name="Output 3 2 3 4 2" xfId="6182"/>
    <cellStyle name="Output 3 2 3 4 2 2" xfId="6183"/>
    <cellStyle name="Output 3 2 3 4 3" xfId="6184"/>
    <cellStyle name="Output 3 2 3 5" xfId="6185"/>
    <cellStyle name="Output 3 2 3 5 2" xfId="6186"/>
    <cellStyle name="Output 3 2 3 6" xfId="6187"/>
    <cellStyle name="Output 3 2 4" xfId="6188"/>
    <cellStyle name="Output 3 2 4 2" xfId="6189"/>
    <cellStyle name="Output 3 2 4 2 2" xfId="6190"/>
    <cellStyle name="Output 3 2 4 2 2 2" xfId="6191"/>
    <cellStyle name="Output 3 2 4 2 2 2 2" xfId="6192"/>
    <cellStyle name="Output 3 2 4 2 2 3" xfId="6193"/>
    <cellStyle name="Output 3 2 4 2 3" xfId="6194"/>
    <cellStyle name="Output 3 2 4 2 3 2" xfId="6195"/>
    <cellStyle name="Output 3 2 4 2 4" xfId="6196"/>
    <cellStyle name="Output 3 2 4 3" xfId="6197"/>
    <cellStyle name="Output 3 2 4 3 2" xfId="6198"/>
    <cellStyle name="Output 3 2 4 3 2 2" xfId="6199"/>
    <cellStyle name="Output 3 2 4 3 3" xfId="6200"/>
    <cellStyle name="Output 3 2 4 3 4" xfId="6201"/>
    <cellStyle name="Output 3 2 4 4" xfId="6202"/>
    <cellStyle name="Output 3 2 4 4 2" xfId="6203"/>
    <cellStyle name="Output 3 2 4 4 2 2" xfId="6204"/>
    <cellStyle name="Output 3 2 4 4 3" xfId="6205"/>
    <cellStyle name="Output 3 2 4 5" xfId="6206"/>
    <cellStyle name="Output 3 2 4 5 2" xfId="6207"/>
    <cellStyle name="Output 3 2 4 6" xfId="6208"/>
    <cellStyle name="Output 3 2 5" xfId="6209"/>
    <cellStyle name="Output 3 2 5 2" xfId="6210"/>
    <cellStyle name="Output 3 3" xfId="6211"/>
    <cellStyle name="Output 3 3 2" xfId="6212"/>
    <cellStyle name="Output 3 3 2 2" xfId="6213"/>
    <cellStyle name="Output 3 3 2 2 2" xfId="6214"/>
    <cellStyle name="Output 3 3 2 2 2 2" xfId="6215"/>
    <cellStyle name="Output 3 3 2 2 2 2 2" xfId="6216"/>
    <cellStyle name="Output 3 3 2 2 2 3" xfId="6217"/>
    <cellStyle name="Output 3 3 2 2 3" xfId="6218"/>
    <cellStyle name="Output 3 3 2 2 3 2" xfId="6219"/>
    <cellStyle name="Output 3 3 2 2 4" xfId="6220"/>
    <cellStyle name="Output 3 3 2 3" xfId="6221"/>
    <cellStyle name="Output 3 3 2 3 2" xfId="6222"/>
    <cellStyle name="Output 3 3 2 3 2 2" xfId="6223"/>
    <cellStyle name="Output 3 3 2 3 3" xfId="6224"/>
    <cellStyle name="Output 3 3 2 3 4" xfId="6225"/>
    <cellStyle name="Output 3 3 2 4" xfId="6226"/>
    <cellStyle name="Output 3 3 2 4 2" xfId="6227"/>
    <cellStyle name="Output 3 3 2 4 2 2" xfId="6228"/>
    <cellStyle name="Output 3 3 2 4 3" xfId="6229"/>
    <cellStyle name="Output 3 3 2 5" xfId="6230"/>
    <cellStyle name="Output 3 3 2 5 2" xfId="6231"/>
    <cellStyle name="Output 3 3 2 6" xfId="6232"/>
    <cellStyle name="Output 3 3 3" xfId="6233"/>
    <cellStyle name="Output 3 3 3 2" xfId="6234"/>
    <cellStyle name="Output 3 3 3 2 2" xfId="6235"/>
    <cellStyle name="Output 3 3 3 2 2 2" xfId="6236"/>
    <cellStyle name="Output 3 3 3 2 2 2 2" xfId="6237"/>
    <cellStyle name="Output 3 3 3 2 2 3" xfId="6238"/>
    <cellStyle name="Output 3 3 3 2 3" xfId="6239"/>
    <cellStyle name="Output 3 3 3 2 3 2" xfId="6240"/>
    <cellStyle name="Output 3 3 3 2 4" xfId="6241"/>
    <cellStyle name="Output 3 3 3 3" xfId="6242"/>
    <cellStyle name="Output 3 3 3 3 2" xfId="6243"/>
    <cellStyle name="Output 3 3 3 3 2 2" xfId="6244"/>
    <cellStyle name="Output 3 3 3 3 3" xfId="6245"/>
    <cellStyle name="Output 3 3 3 3 4" xfId="6246"/>
    <cellStyle name="Output 3 3 3 4" xfId="6247"/>
    <cellStyle name="Output 3 3 3 4 2" xfId="6248"/>
    <cellStyle name="Output 3 3 3 4 2 2" xfId="6249"/>
    <cellStyle name="Output 3 3 3 4 3" xfId="6250"/>
    <cellStyle name="Output 3 3 3 5" xfId="6251"/>
    <cellStyle name="Output 3 3 3 5 2" xfId="6252"/>
    <cellStyle name="Output 3 3 3 6" xfId="6253"/>
    <cellStyle name="Output 3 3 4" xfId="6254"/>
    <cellStyle name="Output 3 3 4 2" xfId="6255"/>
    <cellStyle name="Output 3 4" xfId="6256"/>
    <cellStyle name="Output 3 4 2" xfId="6257"/>
    <cellStyle name="Output 3 4 2 2" xfId="6258"/>
    <cellStyle name="Output 3 4 2 2 2" xfId="6259"/>
    <cellStyle name="Output 3 4 2 2 2 2" xfId="6260"/>
    <cellStyle name="Output 3 4 2 2 2 2 2" xfId="6261"/>
    <cellStyle name="Output 3 4 2 2 2 3" xfId="6262"/>
    <cellStyle name="Output 3 4 2 2 3" xfId="6263"/>
    <cellStyle name="Output 3 4 2 2 3 2" xfId="6264"/>
    <cellStyle name="Output 3 4 2 2 4" xfId="6265"/>
    <cellStyle name="Output 3 4 2 3" xfId="6266"/>
    <cellStyle name="Output 3 4 2 3 2" xfId="6267"/>
    <cellStyle name="Output 3 4 2 3 2 2" xfId="6268"/>
    <cellStyle name="Output 3 4 2 3 3" xfId="6269"/>
    <cellStyle name="Output 3 4 2 3 4" xfId="6270"/>
    <cellStyle name="Output 3 4 2 4" xfId="6271"/>
    <cellStyle name="Output 3 4 2 4 2" xfId="6272"/>
    <cellStyle name="Output 3 4 2 4 2 2" xfId="6273"/>
    <cellStyle name="Output 3 4 2 4 3" xfId="6274"/>
    <cellStyle name="Output 3 4 2 5" xfId="6275"/>
    <cellStyle name="Output 3 4 2 5 2" xfId="6276"/>
    <cellStyle name="Output 3 4 2 6" xfId="6277"/>
    <cellStyle name="Output 3 4 3" xfId="6278"/>
    <cellStyle name="Output 3 4 3 2" xfId="6279"/>
    <cellStyle name="Output 3 4 3 2 2" xfId="6280"/>
    <cellStyle name="Output 3 4 3 3" xfId="6281"/>
    <cellStyle name="Output 3 4 4" xfId="6282"/>
    <cellStyle name="Output 3 4 4 2" xfId="6283"/>
    <cellStyle name="Output 3 4 4 2 2" xfId="6284"/>
    <cellStyle name="Output 3 4 4 2 2 2" xfId="6285"/>
    <cellStyle name="Output 3 4 4 2 2 2 2" xfId="6286"/>
    <cellStyle name="Output 3 4 4 2 2 3" xfId="6287"/>
    <cellStyle name="Output 3 4 4 2 3" xfId="6288"/>
    <cellStyle name="Output 3 4 4 2 3 2" xfId="6289"/>
    <cellStyle name="Output 3 4 4 2 4" xfId="6290"/>
    <cellStyle name="Output 3 4 4 3" xfId="6291"/>
    <cellStyle name="Output 3 4 4 3 2" xfId="6292"/>
    <cellStyle name="Output 3 4 4 3 2 2" xfId="6293"/>
    <cellStyle name="Output 3 4 4 3 3" xfId="6294"/>
    <cellStyle name="Output 3 4 4 3 4" xfId="6295"/>
    <cellStyle name="Output 3 4 4 4" xfId="6296"/>
    <cellStyle name="Output 3 4 4 4 2" xfId="6297"/>
    <cellStyle name="Output 3 4 4 4 2 2" xfId="6298"/>
    <cellStyle name="Output 3 4 4 4 3" xfId="6299"/>
    <cellStyle name="Output 3 4 4 5" xfId="6300"/>
    <cellStyle name="Output 3 4 4 5 2" xfId="6301"/>
    <cellStyle name="Output 3 4 4 6" xfId="6302"/>
    <cellStyle name="Output 3 4 5" xfId="6303"/>
    <cellStyle name="Output 3 4 5 2" xfId="6304"/>
    <cellStyle name="Output 3 4 5 2 2" xfId="6305"/>
    <cellStyle name="Output 3 4 5 2 2 2" xfId="6306"/>
    <cellStyle name="Output 3 4 5 2 3" xfId="6307"/>
    <cellStyle name="Output 3 4 5 3" xfId="6308"/>
    <cellStyle name="Output 3 4 5 3 2" xfId="6309"/>
    <cellStyle name="Output 3 4 5 4" xfId="6310"/>
    <cellStyle name="Output 3 4 6" xfId="6311"/>
    <cellStyle name="Output 3 4 6 2" xfId="6312"/>
    <cellStyle name="Output 3 4 6 2 2" xfId="6313"/>
    <cellStyle name="Output 3 4 6 3" xfId="6314"/>
    <cellStyle name="Output 3 4 6 4" xfId="6315"/>
    <cellStyle name="Output 3 4 7" xfId="6316"/>
    <cellStyle name="Output 3 4 7 2" xfId="6317"/>
    <cellStyle name="Output 3 4 7 2 2" xfId="6318"/>
    <cellStyle name="Output 3 4 7 3" xfId="6319"/>
    <cellStyle name="Output 3 4 8" xfId="6320"/>
    <cellStyle name="Output 3 4 8 2" xfId="6321"/>
    <cellStyle name="Output 3 4 9" xfId="6322"/>
    <cellStyle name="Output 3 5" xfId="6323"/>
    <cellStyle name="Output 3 5 2" xfId="6324"/>
    <cellStyle name="Output 3 5 2 2" xfId="6325"/>
    <cellStyle name="Output 3 5 2 2 2" xfId="6326"/>
    <cellStyle name="Output 3 5 2 2 2 2" xfId="6327"/>
    <cellStyle name="Output 3 5 2 2 3" xfId="6328"/>
    <cellStyle name="Output 3 5 2 3" xfId="6329"/>
    <cellStyle name="Output 3 5 2 3 2" xfId="6330"/>
    <cellStyle name="Output 3 5 2 4" xfId="6331"/>
    <cellStyle name="Output 3 5 3" xfId="6332"/>
    <cellStyle name="Output 3 5 3 2" xfId="6333"/>
    <cellStyle name="Output 3 5 3 2 2" xfId="6334"/>
    <cellStyle name="Output 3 5 3 3" xfId="6335"/>
    <cellStyle name="Output 3 5 3 4" xfId="6336"/>
    <cellStyle name="Output 3 5 4" xfId="6337"/>
    <cellStyle name="Output 3 5 4 2" xfId="6338"/>
    <cellStyle name="Output 3 5 4 2 2" xfId="6339"/>
    <cellStyle name="Output 3 5 4 3" xfId="6340"/>
    <cellStyle name="Output 3 5 5" xfId="6341"/>
    <cellStyle name="Output 3 5 5 2" xfId="6342"/>
    <cellStyle name="Output 3 5 6" xfId="6343"/>
    <cellStyle name="Output 4" xfId="6344"/>
    <cellStyle name="Output 4 2" xfId="6345"/>
    <cellStyle name="Output 4 2 2" xfId="6346"/>
    <cellStyle name="Output 4 2 2 2" xfId="6347"/>
    <cellStyle name="Output 4 2 2 2 2" xfId="6348"/>
    <cellStyle name="Output 4 2 2 2 2 2" xfId="6349"/>
    <cellStyle name="Output 4 2 2 2 2 2 2" xfId="6350"/>
    <cellStyle name="Output 4 2 2 2 2 3" xfId="6351"/>
    <cellStyle name="Output 4 2 2 2 3" xfId="6352"/>
    <cellStyle name="Output 4 2 2 2 3 2" xfId="6353"/>
    <cellStyle name="Output 4 2 2 2 4" xfId="6354"/>
    <cellStyle name="Output 4 2 2 3" xfId="6355"/>
    <cellStyle name="Output 4 2 2 3 2" xfId="6356"/>
    <cellStyle name="Output 4 2 2 3 2 2" xfId="6357"/>
    <cellStyle name="Output 4 2 2 3 3" xfId="6358"/>
    <cellStyle name="Output 4 2 2 3 4" xfId="6359"/>
    <cellStyle name="Output 4 2 2 4" xfId="6360"/>
    <cellStyle name="Output 4 2 2 4 2" xfId="6361"/>
    <cellStyle name="Output 4 2 2 4 2 2" xfId="6362"/>
    <cellStyle name="Output 4 2 2 4 3" xfId="6363"/>
    <cellStyle name="Output 4 2 2 5" xfId="6364"/>
    <cellStyle name="Output 4 2 2 5 2" xfId="6365"/>
    <cellStyle name="Output 4 2 2 6" xfId="6366"/>
    <cellStyle name="Output 4 2 3" xfId="6367"/>
    <cellStyle name="Output 4 2 3 2" xfId="6368"/>
    <cellStyle name="Output 4 2 3 2 2" xfId="6369"/>
    <cellStyle name="Output 4 2 3 2 2 2" xfId="6370"/>
    <cellStyle name="Output 4 2 3 2 2 2 2" xfId="6371"/>
    <cellStyle name="Output 4 2 3 2 2 3" xfId="6372"/>
    <cellStyle name="Output 4 2 3 2 3" xfId="6373"/>
    <cellStyle name="Output 4 2 3 2 3 2" xfId="6374"/>
    <cellStyle name="Output 4 2 3 2 4" xfId="6375"/>
    <cellStyle name="Output 4 2 3 3" xfId="6376"/>
    <cellStyle name="Output 4 2 3 3 2" xfId="6377"/>
    <cellStyle name="Output 4 2 3 3 2 2" xfId="6378"/>
    <cellStyle name="Output 4 2 3 3 3" xfId="6379"/>
    <cellStyle name="Output 4 2 3 3 4" xfId="6380"/>
    <cellStyle name="Output 4 2 3 4" xfId="6381"/>
    <cellStyle name="Output 4 2 3 4 2" xfId="6382"/>
    <cellStyle name="Output 4 2 3 4 2 2" xfId="6383"/>
    <cellStyle name="Output 4 2 3 4 3" xfId="6384"/>
    <cellStyle name="Output 4 2 3 5" xfId="6385"/>
    <cellStyle name="Output 4 2 3 5 2" xfId="6386"/>
    <cellStyle name="Output 4 2 3 6" xfId="6387"/>
    <cellStyle name="Output 4 2 4" xfId="6388"/>
    <cellStyle name="Output 4 2 4 2" xfId="6389"/>
    <cellStyle name="Output 4 3" xfId="6390"/>
    <cellStyle name="Output 4 3 2" xfId="6391"/>
    <cellStyle name="Output 4 3 2 2" xfId="6392"/>
    <cellStyle name="Output 4 3 2 2 2" xfId="6393"/>
    <cellStyle name="Output 4 3 2 2 2 2" xfId="6394"/>
    <cellStyle name="Output 4 3 2 2 2 2 2" xfId="6395"/>
    <cellStyle name="Output 4 3 2 2 2 3" xfId="6396"/>
    <cellStyle name="Output 4 3 2 2 3" xfId="6397"/>
    <cellStyle name="Output 4 3 2 2 3 2" xfId="6398"/>
    <cellStyle name="Output 4 3 2 2 4" xfId="6399"/>
    <cellStyle name="Output 4 3 2 3" xfId="6400"/>
    <cellStyle name="Output 4 3 2 3 2" xfId="6401"/>
    <cellStyle name="Output 4 3 2 3 2 2" xfId="6402"/>
    <cellStyle name="Output 4 3 2 3 3" xfId="6403"/>
    <cellStyle name="Output 4 3 2 3 4" xfId="6404"/>
    <cellStyle name="Output 4 3 2 4" xfId="6405"/>
    <cellStyle name="Output 4 3 2 4 2" xfId="6406"/>
    <cellStyle name="Output 4 3 2 4 2 2" xfId="6407"/>
    <cellStyle name="Output 4 3 2 4 3" xfId="6408"/>
    <cellStyle name="Output 4 3 2 5" xfId="6409"/>
    <cellStyle name="Output 4 3 2 5 2" xfId="6410"/>
    <cellStyle name="Output 4 3 2 6" xfId="6411"/>
    <cellStyle name="Output 4 3 3" xfId="6412"/>
    <cellStyle name="Output 4 3 3 2" xfId="6413"/>
    <cellStyle name="Output 4 3 3 2 2" xfId="6414"/>
    <cellStyle name="Output 4 3 3 3" xfId="6415"/>
    <cellStyle name="Output 4 3 4" xfId="6416"/>
    <cellStyle name="Output 4 3 4 2" xfId="6417"/>
    <cellStyle name="Output 4 3 4 2 2" xfId="6418"/>
    <cellStyle name="Output 4 3 4 2 2 2" xfId="6419"/>
    <cellStyle name="Output 4 3 4 2 2 2 2" xfId="6420"/>
    <cellStyle name="Output 4 3 4 2 2 3" xfId="6421"/>
    <cellStyle name="Output 4 3 4 2 3" xfId="6422"/>
    <cellStyle name="Output 4 3 4 2 3 2" xfId="6423"/>
    <cellStyle name="Output 4 3 4 2 4" xfId="6424"/>
    <cellStyle name="Output 4 3 4 3" xfId="6425"/>
    <cellStyle name="Output 4 3 4 3 2" xfId="6426"/>
    <cellStyle name="Output 4 3 4 3 2 2" xfId="6427"/>
    <cellStyle name="Output 4 3 4 3 3" xfId="6428"/>
    <cellStyle name="Output 4 3 4 3 4" xfId="6429"/>
    <cellStyle name="Output 4 3 4 4" xfId="6430"/>
    <cellStyle name="Output 4 3 4 4 2" xfId="6431"/>
    <cellStyle name="Output 4 3 4 4 2 2" xfId="6432"/>
    <cellStyle name="Output 4 3 4 4 3" xfId="6433"/>
    <cellStyle name="Output 4 3 4 5" xfId="6434"/>
    <cellStyle name="Output 4 3 4 5 2" xfId="6435"/>
    <cellStyle name="Output 4 3 4 6" xfId="6436"/>
    <cellStyle name="Output 4 3 5" xfId="6437"/>
    <cellStyle name="Output 4 3 5 2" xfId="6438"/>
    <cellStyle name="Output 4 3 5 2 2" xfId="6439"/>
    <cellStyle name="Output 4 3 5 2 2 2" xfId="6440"/>
    <cellStyle name="Output 4 3 5 2 3" xfId="6441"/>
    <cellStyle name="Output 4 3 5 3" xfId="6442"/>
    <cellStyle name="Output 4 3 5 3 2" xfId="6443"/>
    <cellStyle name="Output 4 3 5 4" xfId="6444"/>
    <cellStyle name="Output 4 3 6" xfId="6445"/>
    <cellStyle name="Output 4 3 6 2" xfId="6446"/>
    <cellStyle name="Output 4 3 6 2 2" xfId="6447"/>
    <cellStyle name="Output 4 3 6 3" xfId="6448"/>
    <cellStyle name="Output 4 3 6 4" xfId="6449"/>
    <cellStyle name="Output 4 3 7" xfId="6450"/>
    <cellStyle name="Output 4 3 7 2" xfId="6451"/>
    <cellStyle name="Output 4 3 7 2 2" xfId="6452"/>
    <cellStyle name="Output 4 3 7 3" xfId="6453"/>
    <cellStyle name="Output 4 3 8" xfId="6454"/>
    <cellStyle name="Output 4 3 8 2" xfId="6455"/>
    <cellStyle name="Output 4 3 9" xfId="6456"/>
    <cellStyle name="Output 4 4" xfId="6457"/>
    <cellStyle name="Output 4 4 2" xfId="6458"/>
    <cellStyle name="Output 4 4 2 2" xfId="6459"/>
    <cellStyle name="Output 4 4 2 2 2" xfId="6460"/>
    <cellStyle name="Output 4 4 2 2 2 2" xfId="6461"/>
    <cellStyle name="Output 4 4 2 2 3" xfId="6462"/>
    <cellStyle name="Output 4 4 2 3" xfId="6463"/>
    <cellStyle name="Output 4 4 2 3 2" xfId="6464"/>
    <cellStyle name="Output 4 4 2 4" xfId="6465"/>
    <cellStyle name="Output 4 4 3" xfId="6466"/>
    <cellStyle name="Output 4 4 3 2" xfId="6467"/>
    <cellStyle name="Output 4 4 3 2 2" xfId="6468"/>
    <cellStyle name="Output 4 4 3 3" xfId="6469"/>
    <cellStyle name="Output 4 4 3 4" xfId="6470"/>
    <cellStyle name="Output 4 4 4" xfId="6471"/>
    <cellStyle name="Output 4 4 4 2" xfId="6472"/>
    <cellStyle name="Output 4 4 4 2 2" xfId="6473"/>
    <cellStyle name="Output 4 4 4 3" xfId="6474"/>
    <cellStyle name="Output 4 4 5" xfId="6475"/>
    <cellStyle name="Output 4 4 5 2" xfId="6476"/>
    <cellStyle name="Output 4 4 6" xfId="6477"/>
    <cellStyle name="Output 5" xfId="6478"/>
    <cellStyle name="Output 5 2" xfId="6479"/>
    <cellStyle name="Output 5 2 2" xfId="6480"/>
    <cellStyle name="Output 5 2 2 2" xfId="6481"/>
    <cellStyle name="Output 5 2 2 2 2" xfId="6482"/>
    <cellStyle name="Output 5 2 2 2 2 2" xfId="6483"/>
    <cellStyle name="Output 5 2 2 2 2 2 2" xfId="6484"/>
    <cellStyle name="Output 5 2 2 2 2 3" xfId="6485"/>
    <cellStyle name="Output 5 2 2 2 3" xfId="6486"/>
    <cellStyle name="Output 5 2 2 2 3 2" xfId="6487"/>
    <cellStyle name="Output 5 2 2 2 4" xfId="6488"/>
    <cellStyle name="Output 5 2 2 3" xfId="6489"/>
    <cellStyle name="Output 5 2 2 3 2" xfId="6490"/>
    <cellStyle name="Output 5 2 2 3 2 2" xfId="6491"/>
    <cellStyle name="Output 5 2 2 3 3" xfId="6492"/>
    <cellStyle name="Output 5 2 2 3 4" xfId="6493"/>
    <cellStyle name="Output 5 2 2 4" xfId="6494"/>
    <cellStyle name="Output 5 2 2 4 2" xfId="6495"/>
    <cellStyle name="Output 5 2 2 4 2 2" xfId="6496"/>
    <cellStyle name="Output 5 2 2 4 3" xfId="6497"/>
    <cellStyle name="Output 5 2 2 5" xfId="6498"/>
    <cellStyle name="Output 5 2 2 5 2" xfId="6499"/>
    <cellStyle name="Output 5 2 2 6" xfId="6500"/>
    <cellStyle name="Output 5 2 3" xfId="6501"/>
    <cellStyle name="Output 5 2 3 2" xfId="6502"/>
    <cellStyle name="Output 5 2 3 2 2" xfId="6503"/>
    <cellStyle name="Output 5 2 3 2 2 2" xfId="6504"/>
    <cellStyle name="Output 5 2 3 2 2 2 2" xfId="6505"/>
    <cellStyle name="Output 5 2 3 2 2 3" xfId="6506"/>
    <cellStyle name="Output 5 2 3 2 3" xfId="6507"/>
    <cellStyle name="Output 5 2 3 2 3 2" xfId="6508"/>
    <cellStyle name="Output 5 2 3 2 4" xfId="6509"/>
    <cellStyle name="Output 5 2 3 3" xfId="6510"/>
    <cellStyle name="Output 5 2 3 3 2" xfId="6511"/>
    <cellStyle name="Output 5 2 3 3 2 2" xfId="6512"/>
    <cellStyle name="Output 5 2 3 3 3" xfId="6513"/>
    <cellStyle name="Output 5 2 3 3 4" xfId="6514"/>
    <cellStyle name="Output 5 2 3 4" xfId="6515"/>
    <cellStyle name="Output 5 2 3 4 2" xfId="6516"/>
    <cellStyle name="Output 5 2 3 4 2 2" xfId="6517"/>
    <cellStyle name="Output 5 2 3 4 3" xfId="6518"/>
    <cellStyle name="Output 5 2 3 5" xfId="6519"/>
    <cellStyle name="Output 5 2 3 5 2" xfId="6520"/>
    <cellStyle name="Output 5 2 3 6" xfId="6521"/>
    <cellStyle name="Output 5 2 4" xfId="6522"/>
    <cellStyle name="Output 5 2 4 2" xfId="6523"/>
    <cellStyle name="Output 5 3" xfId="6524"/>
    <cellStyle name="Output 5 3 2" xfId="6525"/>
    <cellStyle name="Output 5 3 2 2" xfId="6526"/>
    <cellStyle name="Output 5 3 2 2 2" xfId="6527"/>
    <cellStyle name="Output 5 3 2 2 2 2" xfId="6528"/>
    <cellStyle name="Output 5 3 2 2 2 2 2" xfId="6529"/>
    <cellStyle name="Output 5 3 2 2 2 3" xfId="6530"/>
    <cellStyle name="Output 5 3 2 2 3" xfId="6531"/>
    <cellStyle name="Output 5 3 2 2 3 2" xfId="6532"/>
    <cellStyle name="Output 5 3 2 2 4" xfId="6533"/>
    <cellStyle name="Output 5 3 2 3" xfId="6534"/>
    <cellStyle name="Output 5 3 2 3 2" xfId="6535"/>
    <cellStyle name="Output 5 3 2 3 2 2" xfId="6536"/>
    <cellStyle name="Output 5 3 2 3 3" xfId="6537"/>
    <cellStyle name="Output 5 3 2 3 4" xfId="6538"/>
    <cellStyle name="Output 5 3 2 4" xfId="6539"/>
    <cellStyle name="Output 5 3 2 4 2" xfId="6540"/>
    <cellStyle name="Output 5 3 2 4 2 2" xfId="6541"/>
    <cellStyle name="Output 5 3 2 4 3" xfId="6542"/>
    <cellStyle name="Output 5 3 2 5" xfId="6543"/>
    <cellStyle name="Output 5 3 2 5 2" xfId="6544"/>
    <cellStyle name="Output 5 3 2 6" xfId="6545"/>
    <cellStyle name="Output 5 3 3" xfId="6546"/>
    <cellStyle name="Output 5 3 3 2" xfId="6547"/>
    <cellStyle name="Output 5 3 3 2 2" xfId="6548"/>
    <cellStyle name="Output 5 3 3 3" xfId="6549"/>
    <cellStyle name="Output 5 3 4" xfId="6550"/>
    <cellStyle name="Output 5 3 4 2" xfId="6551"/>
    <cellStyle name="Output 5 3 4 2 2" xfId="6552"/>
    <cellStyle name="Output 5 3 4 2 2 2" xfId="6553"/>
    <cellStyle name="Output 5 3 4 2 2 2 2" xfId="6554"/>
    <cellStyle name="Output 5 3 4 2 2 3" xfId="6555"/>
    <cellStyle name="Output 5 3 4 2 3" xfId="6556"/>
    <cellStyle name="Output 5 3 4 2 3 2" xfId="6557"/>
    <cellStyle name="Output 5 3 4 2 4" xfId="6558"/>
    <cellStyle name="Output 5 3 4 3" xfId="6559"/>
    <cellStyle name="Output 5 3 4 3 2" xfId="6560"/>
    <cellStyle name="Output 5 3 4 3 2 2" xfId="6561"/>
    <cellStyle name="Output 5 3 4 3 3" xfId="6562"/>
    <cellStyle name="Output 5 3 4 3 4" xfId="6563"/>
    <cellStyle name="Output 5 3 4 4" xfId="6564"/>
    <cellStyle name="Output 5 3 4 4 2" xfId="6565"/>
    <cellStyle name="Output 5 3 4 4 2 2" xfId="6566"/>
    <cellStyle name="Output 5 3 4 4 3" xfId="6567"/>
    <cellStyle name="Output 5 3 4 5" xfId="6568"/>
    <cellStyle name="Output 5 3 4 5 2" xfId="6569"/>
    <cellStyle name="Output 5 3 4 6" xfId="6570"/>
    <cellStyle name="Output 5 3 5" xfId="6571"/>
    <cellStyle name="Output 5 3 5 2" xfId="6572"/>
    <cellStyle name="Output 5 3 5 2 2" xfId="6573"/>
    <cellStyle name="Output 5 3 5 2 2 2" xfId="6574"/>
    <cellStyle name="Output 5 3 5 2 3" xfId="6575"/>
    <cellStyle name="Output 5 3 5 3" xfId="6576"/>
    <cellStyle name="Output 5 3 5 3 2" xfId="6577"/>
    <cellStyle name="Output 5 3 5 4" xfId="6578"/>
    <cellStyle name="Output 5 3 6" xfId="6579"/>
    <cellStyle name="Output 5 3 6 2" xfId="6580"/>
    <cellStyle name="Output 5 3 6 2 2" xfId="6581"/>
    <cellStyle name="Output 5 3 6 3" xfId="6582"/>
    <cellStyle name="Output 5 3 6 4" xfId="6583"/>
    <cellStyle name="Output 5 3 7" xfId="6584"/>
    <cellStyle name="Output 5 3 7 2" xfId="6585"/>
    <cellStyle name="Output 5 3 7 2 2" xfId="6586"/>
    <cellStyle name="Output 5 3 7 3" xfId="6587"/>
    <cellStyle name="Output 5 3 8" xfId="6588"/>
    <cellStyle name="Output 5 3 8 2" xfId="6589"/>
    <cellStyle name="Output 5 3 9" xfId="6590"/>
    <cellStyle name="Output 5 4" xfId="6591"/>
    <cellStyle name="Output 5 4 2" xfId="6592"/>
    <cellStyle name="Output 5 4 2 2" xfId="6593"/>
    <cellStyle name="Output 5 4 2 2 2" xfId="6594"/>
    <cellStyle name="Output 5 4 2 2 2 2" xfId="6595"/>
    <cellStyle name="Output 5 4 2 2 3" xfId="6596"/>
    <cellStyle name="Output 5 4 2 3" xfId="6597"/>
    <cellStyle name="Output 5 4 2 3 2" xfId="6598"/>
    <cellStyle name="Output 5 4 2 4" xfId="6599"/>
    <cellStyle name="Output 5 4 3" xfId="6600"/>
    <cellStyle name="Output 5 4 3 2" xfId="6601"/>
    <cellStyle name="Output 5 4 3 2 2" xfId="6602"/>
    <cellStyle name="Output 5 4 3 3" xfId="6603"/>
    <cellStyle name="Output 5 4 3 4" xfId="6604"/>
    <cellStyle name="Output 5 4 4" xfId="6605"/>
    <cellStyle name="Output 5 4 4 2" xfId="6606"/>
    <cellStyle name="Output 5 4 4 2 2" xfId="6607"/>
    <cellStyle name="Output 5 4 4 3" xfId="6608"/>
    <cellStyle name="Output 5 4 5" xfId="6609"/>
    <cellStyle name="Output 5 4 5 2" xfId="6610"/>
    <cellStyle name="Output 5 4 6" xfId="6611"/>
    <cellStyle name="Output 5 5" xfId="6612"/>
    <cellStyle name="Output 5 5 2" xfId="6613"/>
    <cellStyle name="Output 6" xfId="6614"/>
    <cellStyle name="Output 6 2" xfId="6615"/>
    <cellStyle name="Output 6 2 2" xfId="6616"/>
    <cellStyle name="Output 6 2 2 2" xfId="6617"/>
    <cellStyle name="Output 6 2 2 2 2" xfId="6618"/>
    <cellStyle name="Output 6 2 2 2 2 2" xfId="6619"/>
    <cellStyle name="Output 6 2 2 2 2 2 2" xfId="6620"/>
    <cellStyle name="Output 6 2 2 2 2 3" xfId="6621"/>
    <cellStyle name="Output 6 2 2 2 3" xfId="6622"/>
    <cellStyle name="Output 6 2 2 2 3 2" xfId="6623"/>
    <cellStyle name="Output 6 2 2 2 4" xfId="6624"/>
    <cellStyle name="Output 6 2 2 3" xfId="6625"/>
    <cellStyle name="Output 6 2 2 3 2" xfId="6626"/>
    <cellStyle name="Output 6 2 2 3 2 2" xfId="6627"/>
    <cellStyle name="Output 6 2 2 3 3" xfId="6628"/>
    <cellStyle name="Output 6 2 2 3 4" xfId="6629"/>
    <cellStyle name="Output 6 2 2 4" xfId="6630"/>
    <cellStyle name="Output 6 2 2 4 2" xfId="6631"/>
    <cellStyle name="Output 6 2 2 4 2 2" xfId="6632"/>
    <cellStyle name="Output 6 2 2 4 3" xfId="6633"/>
    <cellStyle name="Output 6 2 2 5" xfId="6634"/>
    <cellStyle name="Output 6 2 2 5 2" xfId="6635"/>
    <cellStyle name="Output 6 2 2 6" xfId="6636"/>
    <cellStyle name="Output 6 2 3" xfId="6637"/>
    <cellStyle name="Output 6 2 3 2" xfId="6638"/>
    <cellStyle name="Output 6 2 3 2 2" xfId="6639"/>
    <cellStyle name="Output 6 2 3 3" xfId="6640"/>
    <cellStyle name="Output 6 2 4" xfId="6641"/>
    <cellStyle name="Output 6 2 4 2" xfId="6642"/>
    <cellStyle name="Output 6 2 4 2 2" xfId="6643"/>
    <cellStyle name="Output 6 2 4 2 2 2" xfId="6644"/>
    <cellStyle name="Output 6 2 4 2 2 2 2" xfId="6645"/>
    <cellStyle name="Output 6 2 4 2 2 3" xfId="6646"/>
    <cellStyle name="Output 6 2 4 2 3" xfId="6647"/>
    <cellStyle name="Output 6 2 4 2 3 2" xfId="6648"/>
    <cellStyle name="Output 6 2 4 2 4" xfId="6649"/>
    <cellStyle name="Output 6 2 4 3" xfId="6650"/>
    <cellStyle name="Output 6 2 4 3 2" xfId="6651"/>
    <cellStyle name="Output 6 2 4 3 2 2" xfId="6652"/>
    <cellStyle name="Output 6 2 4 3 3" xfId="6653"/>
    <cellStyle name="Output 6 2 4 3 4" xfId="6654"/>
    <cellStyle name="Output 6 2 4 4" xfId="6655"/>
    <cellStyle name="Output 6 2 4 4 2" xfId="6656"/>
    <cellStyle name="Output 6 2 4 4 2 2" xfId="6657"/>
    <cellStyle name="Output 6 2 4 4 3" xfId="6658"/>
    <cellStyle name="Output 6 2 4 5" xfId="6659"/>
    <cellStyle name="Output 6 2 4 5 2" xfId="6660"/>
    <cellStyle name="Output 6 2 4 6" xfId="6661"/>
    <cellStyle name="Output 6 2 5" xfId="6662"/>
    <cellStyle name="Output 6 2 5 2" xfId="6663"/>
    <cellStyle name="Output 6 2 5 2 2" xfId="6664"/>
    <cellStyle name="Output 6 2 5 2 2 2" xfId="6665"/>
    <cellStyle name="Output 6 2 5 2 3" xfId="6666"/>
    <cellStyle name="Output 6 2 5 3" xfId="6667"/>
    <cellStyle name="Output 6 2 5 3 2" xfId="6668"/>
    <cellStyle name="Output 6 2 5 4" xfId="6669"/>
    <cellStyle name="Output 6 2 6" xfId="6670"/>
    <cellStyle name="Output 6 2 6 2" xfId="6671"/>
    <cellStyle name="Output 6 2 6 2 2" xfId="6672"/>
    <cellStyle name="Output 6 2 6 3" xfId="6673"/>
    <cellStyle name="Output 6 2 6 4" xfId="6674"/>
    <cellStyle name="Output 6 2 7" xfId="6675"/>
    <cellStyle name="Output 6 2 7 2" xfId="6676"/>
    <cellStyle name="Output 6 2 7 2 2" xfId="6677"/>
    <cellStyle name="Output 6 2 7 3" xfId="6678"/>
    <cellStyle name="Output 6 2 8" xfId="6679"/>
    <cellStyle name="Output 6 2 8 2" xfId="6680"/>
    <cellStyle name="Output 6 2 9" xfId="6681"/>
    <cellStyle name="Output 6 3" xfId="6682"/>
    <cellStyle name="Output 6 3 2" xfId="6683"/>
    <cellStyle name="Output 6 3 2 2" xfId="6684"/>
    <cellStyle name="Output 6 3 2 2 2" xfId="6685"/>
    <cellStyle name="Output 6 3 2 2 2 2" xfId="6686"/>
    <cellStyle name="Output 6 3 2 2 3" xfId="6687"/>
    <cellStyle name="Output 6 3 2 3" xfId="6688"/>
    <cellStyle name="Output 6 3 2 3 2" xfId="6689"/>
    <cellStyle name="Output 6 3 2 4" xfId="6690"/>
    <cellStyle name="Output 6 3 3" xfId="6691"/>
    <cellStyle name="Output 6 3 3 2" xfId="6692"/>
    <cellStyle name="Output 6 3 3 2 2" xfId="6693"/>
    <cellStyle name="Output 6 3 3 3" xfId="6694"/>
    <cellStyle name="Output 6 3 3 4" xfId="6695"/>
    <cellStyle name="Output 6 3 4" xfId="6696"/>
    <cellStyle name="Output 6 3 4 2" xfId="6697"/>
    <cellStyle name="Output 6 3 4 2 2" xfId="6698"/>
    <cellStyle name="Output 6 3 4 3" xfId="6699"/>
    <cellStyle name="Output 6 3 5" xfId="6700"/>
    <cellStyle name="Output 6 3 5 2" xfId="6701"/>
    <cellStyle name="Output 6 3 6" xfId="6702"/>
    <cellStyle name="Output 6 4" xfId="6703"/>
    <cellStyle name="Output 6 4 2" xfId="6704"/>
    <cellStyle name="Output 7" xfId="6705"/>
    <cellStyle name="Output 7 2" xfId="6706"/>
    <cellStyle name="Output 7 2 2" xfId="6707"/>
    <cellStyle name="Output 7 2 2 2" xfId="6708"/>
    <cellStyle name="Output 7 2 2 2 2" xfId="6709"/>
    <cellStyle name="Output 7 2 2 2 2 2" xfId="6710"/>
    <cellStyle name="Output 7 2 2 2 3" xfId="6711"/>
    <cellStyle name="Output 7 2 2 3" xfId="6712"/>
    <cellStyle name="Output 7 2 2 3 2" xfId="6713"/>
    <cellStyle name="Output 7 2 2 4" xfId="6714"/>
    <cellStyle name="Output 7 2 3" xfId="6715"/>
    <cellStyle name="Output 7 2 3 2" xfId="6716"/>
    <cellStyle name="Output 7 2 3 2 2" xfId="6717"/>
    <cellStyle name="Output 7 2 3 3" xfId="6718"/>
    <cellStyle name="Output 7 2 3 4" xfId="6719"/>
    <cellStyle name="Output 7 2 4" xfId="6720"/>
    <cellStyle name="Output 7 2 4 2" xfId="6721"/>
    <cellStyle name="Output 7 2 4 2 2" xfId="6722"/>
    <cellStyle name="Output 7 2 4 3" xfId="6723"/>
    <cellStyle name="Output 7 2 5" xfId="6724"/>
    <cellStyle name="Output 7 2 5 2" xfId="6725"/>
    <cellStyle name="Output 7 2 6" xfId="6726"/>
    <cellStyle name="Output 7 3" xfId="6727"/>
    <cellStyle name="Output 7 3 2" xfId="6728"/>
    <cellStyle name="Output 7 3 2 2" xfId="6729"/>
    <cellStyle name="Output 7 3 3" xfId="6730"/>
    <cellStyle name="Output 7 4" xfId="6731"/>
    <cellStyle name="Output 7 4 2" xfId="6732"/>
    <cellStyle name="Output 7 4 2 2" xfId="6733"/>
    <cellStyle name="Output 7 4 2 2 2" xfId="6734"/>
    <cellStyle name="Output 7 4 2 2 2 2" xfId="6735"/>
    <cellStyle name="Output 7 4 2 2 3" xfId="6736"/>
    <cellStyle name="Output 7 4 2 3" xfId="6737"/>
    <cellStyle name="Output 7 4 2 3 2" xfId="6738"/>
    <cellStyle name="Output 7 4 2 4" xfId="6739"/>
    <cellStyle name="Output 7 4 3" xfId="6740"/>
    <cellStyle name="Output 7 4 3 2" xfId="6741"/>
    <cellStyle name="Output 7 4 3 2 2" xfId="6742"/>
    <cellStyle name="Output 7 4 3 3" xfId="6743"/>
    <cellStyle name="Output 7 4 3 4" xfId="6744"/>
    <cellStyle name="Output 7 4 4" xfId="6745"/>
    <cellStyle name="Output 7 4 4 2" xfId="6746"/>
    <cellStyle name="Output 7 4 4 2 2" xfId="6747"/>
    <cellStyle name="Output 7 4 4 3" xfId="6748"/>
    <cellStyle name="Output 7 4 5" xfId="6749"/>
    <cellStyle name="Output 7 4 5 2" xfId="6750"/>
    <cellStyle name="Output 7 4 6" xfId="6751"/>
    <cellStyle name="Output 7 5" xfId="6752"/>
    <cellStyle name="Output 7 5 2" xfId="6753"/>
    <cellStyle name="Output 7 5 2 2" xfId="6754"/>
    <cellStyle name="Output 7 5 2 2 2" xfId="6755"/>
    <cellStyle name="Output 7 5 2 3" xfId="6756"/>
    <cellStyle name="Output 7 5 3" xfId="6757"/>
    <cellStyle name="Output 7 5 3 2" xfId="6758"/>
    <cellStyle name="Output 7 5 4" xfId="6759"/>
    <cellStyle name="Output 7 6" xfId="6760"/>
    <cellStyle name="Output 7 6 2" xfId="6761"/>
    <cellStyle name="Output 7 6 2 2" xfId="6762"/>
    <cellStyle name="Output 7 6 3" xfId="6763"/>
    <cellStyle name="Output 7 6 4" xfId="6764"/>
    <cellStyle name="Output 7 7" xfId="6765"/>
    <cellStyle name="Output 7 7 2" xfId="6766"/>
    <cellStyle name="Output 7 7 2 2" xfId="6767"/>
    <cellStyle name="Output 7 7 3" xfId="6768"/>
    <cellStyle name="Output 7 8" xfId="6769"/>
    <cellStyle name="Output 7 8 2" xfId="6770"/>
    <cellStyle name="Output 7 9" xfId="6771"/>
    <cellStyle name="Page 1" xfId="6772"/>
    <cellStyle name="Page 2" xfId="6773"/>
    <cellStyle name="Page 3" xfId="6774"/>
    <cellStyle name="Page 4" xfId="6775"/>
    <cellStyle name="Page 5" xfId="6776"/>
    <cellStyle name="Page 6" xfId="6777"/>
    <cellStyle name="Page 7" xfId="6778"/>
    <cellStyle name="Page1" xfId="6779"/>
    <cellStyle name="Page2" xfId="6780"/>
    <cellStyle name="Page3" xfId="6781"/>
    <cellStyle name="Page4" xfId="6782"/>
    <cellStyle name="Page5" xfId="6783"/>
    <cellStyle name="Page6" xfId="6784"/>
    <cellStyle name="Percent 2" xfId="6785"/>
    <cellStyle name="Percent 3" xfId="6786"/>
    <cellStyle name="Percent 3 2" xfId="6787"/>
    <cellStyle name="Percent 4" xfId="6788"/>
    <cellStyle name="Percent 4 2" xfId="6789"/>
    <cellStyle name="Percent 5" xfId="6790"/>
    <cellStyle name="Percent 5 2" xfId="6791"/>
    <cellStyle name="Percent 5 2 2" xfId="6792"/>
    <cellStyle name="Percent 6" xfId="6793"/>
    <cellStyle name="Percentage" xfId="6794"/>
    <cellStyle name="RangeName" xfId="6795"/>
    <cellStyle name="RateConven" xfId="6796"/>
    <cellStyle name="red" xfId="6797"/>
    <cellStyle name="ResultDateCenter" xfId="6798"/>
    <cellStyle name="Style 1" xfId="6799"/>
    <cellStyle name="Style 1 2" xfId="6800"/>
    <cellStyle name="Style 1 3" xfId="6801"/>
    <cellStyle name="Style 1 3 2" xfId="6802"/>
    <cellStyle name="Style 1 3 2 2" xfId="6803"/>
    <cellStyle name="Style 1 3 2 2 2" xfId="6804"/>
    <cellStyle name="Style 1 3 2 2 2 2" xfId="6805"/>
    <cellStyle name="Style 1 3 2 2 2 2 2" xfId="6806"/>
    <cellStyle name="Style 1 3 2 2 2 2 2 2" xfId="6807"/>
    <cellStyle name="Style 1 3 2 2 2 2 2 2 2" xfId="6808"/>
    <cellStyle name="Style 1 3 2 2 2 2 2 3" xfId="6809"/>
    <cellStyle name="Style 1 3 2 2 2 2 3" xfId="6810"/>
    <cellStyle name="Style 1 3 2 2 2 2 3 2" xfId="6811"/>
    <cellStyle name="Style 1 3 2 2 2 2 4" xfId="6812"/>
    <cellStyle name="Style 1 3 2 2 2 3" xfId="6813"/>
    <cellStyle name="Style 1 3 2 2 2 3 2" xfId="6814"/>
    <cellStyle name="Style 1 3 2 2 2 3 2 2" xfId="6815"/>
    <cellStyle name="Style 1 3 2 2 2 3 3" xfId="6816"/>
    <cellStyle name="Style 1 3 2 2 2 3 4" xfId="6817"/>
    <cellStyle name="Style 1 3 2 2 2 4" xfId="6818"/>
    <cellStyle name="Style 1 3 2 2 2 4 2" xfId="6819"/>
    <cellStyle name="Style 1 3 2 2 2 4 2 2" xfId="6820"/>
    <cellStyle name="Style 1 3 2 2 2 4 3" xfId="6821"/>
    <cellStyle name="Style 1 3 2 2 2 5" xfId="6822"/>
    <cellStyle name="Style 1 3 2 2 3" xfId="6823"/>
    <cellStyle name="Style 1 3 2 2 3 2" xfId="6824"/>
    <cellStyle name="Style 1 3 2 2 3 2 2" xfId="6825"/>
    <cellStyle name="Style 1 3 2 2 3 2 2 2" xfId="6826"/>
    <cellStyle name="Style 1 3 2 2 3 2 2 2 2" xfId="6827"/>
    <cellStyle name="Style 1 3 2 2 3 2 2 3" xfId="6828"/>
    <cellStyle name="Style 1 3 2 2 3 2 3" xfId="6829"/>
    <cellStyle name="Style 1 3 2 2 3 2 3 2" xfId="6830"/>
    <cellStyle name="Style 1 3 2 2 3 2 4" xfId="6831"/>
    <cellStyle name="Style 1 3 2 2 3 3" xfId="6832"/>
    <cellStyle name="Style 1 3 2 2 3 3 2" xfId="6833"/>
    <cellStyle name="Style 1 3 2 2 3 3 2 2" xfId="6834"/>
    <cellStyle name="Style 1 3 2 2 3 3 3" xfId="6835"/>
    <cellStyle name="Style 1 3 2 2 3 3 4" xfId="6836"/>
    <cellStyle name="Style 1 3 2 2 3 4" xfId="6837"/>
    <cellStyle name="Style 1 3 2 2 3 4 2" xfId="6838"/>
    <cellStyle name="Style 1 3 2 2 3 4 2 2" xfId="6839"/>
    <cellStyle name="Style 1 3 2 2 3 4 3" xfId="6840"/>
    <cellStyle name="Style 1 3 2 2 3 5" xfId="6841"/>
    <cellStyle name="Style 1 3 2 2 3 5 2" xfId="6842"/>
    <cellStyle name="Style 1 3 2 2 3 6" xfId="6843"/>
    <cellStyle name="Style 1 3 2 2 4" xfId="6844"/>
    <cellStyle name="Style 1 3 2 2 4 2" xfId="6845"/>
    <cellStyle name="Style 1 3 2 2 4 2 2" xfId="6846"/>
    <cellStyle name="Style 1 3 2 2 4 2 2 2" xfId="6847"/>
    <cellStyle name="Style 1 3 2 2 4 2 2 2 2" xfId="6848"/>
    <cellStyle name="Style 1 3 2 2 4 2 2 3" xfId="6849"/>
    <cellStyle name="Style 1 3 2 2 4 2 3" xfId="6850"/>
    <cellStyle name="Style 1 3 2 2 4 2 3 2" xfId="6851"/>
    <cellStyle name="Style 1 3 2 2 4 2 4" xfId="6852"/>
    <cellStyle name="Style 1 3 2 2 4 3" xfId="6853"/>
    <cellStyle name="Style 1 3 2 2 4 3 2" xfId="6854"/>
    <cellStyle name="Style 1 3 2 2 4 3 2 2" xfId="6855"/>
    <cellStyle name="Style 1 3 2 2 4 3 3" xfId="6856"/>
    <cellStyle name="Style 1 3 2 2 4 3 4" xfId="6857"/>
    <cellStyle name="Style 1 3 2 2 4 4" xfId="6858"/>
    <cellStyle name="Style 1 3 2 2 4 4 2" xfId="6859"/>
    <cellStyle name="Style 1 3 2 2 4 4 2 2" xfId="6860"/>
    <cellStyle name="Style 1 3 2 2 4 4 3" xfId="6861"/>
    <cellStyle name="Style 1 3 2 2 4 5" xfId="6862"/>
    <cellStyle name="Style 1 3 2 2 4 5 2" xfId="6863"/>
    <cellStyle name="Style 1 3 2 2 4 6" xfId="6864"/>
    <cellStyle name="Style 1 3 2 2 5" xfId="6865"/>
    <cellStyle name="Style 1 3 2 2 5 2" xfId="6866"/>
    <cellStyle name="Style 1 3 2 3" xfId="6867"/>
    <cellStyle name="Style 1 3 2 3 2" xfId="6868"/>
    <cellStyle name="Style 1 3 2 3 2 2" xfId="6869"/>
    <cellStyle name="Style 1 3 2 3 2 2 2" xfId="6870"/>
    <cellStyle name="Style 1 3 2 3 2 2 2 2" xfId="6871"/>
    <cellStyle name="Style 1 3 2 3 2 2 3" xfId="6872"/>
    <cellStyle name="Style 1 3 2 3 2 3" xfId="6873"/>
    <cellStyle name="Style 1 3 2 3 2 3 2" xfId="6874"/>
    <cellStyle name="Style 1 3 2 3 2 4" xfId="6875"/>
    <cellStyle name="Style 1 3 2 3 3" xfId="6876"/>
    <cellStyle name="Style 1 3 2 3 3 2" xfId="6877"/>
    <cellStyle name="Style 1 3 2 3 3 2 2" xfId="6878"/>
    <cellStyle name="Style 1 3 2 3 3 3" xfId="6879"/>
    <cellStyle name="Style 1 3 2 3 3 4" xfId="6880"/>
    <cellStyle name="Style 1 3 2 3 4" xfId="6881"/>
    <cellStyle name="Style 1 3 2 3 4 2" xfId="6882"/>
    <cellStyle name="Style 1 3 2 3 4 2 2" xfId="6883"/>
    <cellStyle name="Style 1 3 2 3 4 3" xfId="6884"/>
    <cellStyle name="Style 1 3 2 3 5" xfId="6885"/>
    <cellStyle name="Style 1 3 2 4" xfId="6886"/>
    <cellStyle name="Style 1 3 2 4 2" xfId="6887"/>
    <cellStyle name="Style 1 3 2 4 2 2" xfId="6888"/>
    <cellStyle name="Style 1 3 2 4 2 2 2" xfId="6889"/>
    <cellStyle name="Style 1 3 2 4 2 2 2 2" xfId="6890"/>
    <cellStyle name="Style 1 3 2 4 2 2 3" xfId="6891"/>
    <cellStyle name="Style 1 3 2 4 2 3" xfId="6892"/>
    <cellStyle name="Style 1 3 2 4 2 3 2" xfId="6893"/>
    <cellStyle name="Style 1 3 2 4 2 4" xfId="6894"/>
    <cellStyle name="Style 1 3 2 4 3" xfId="6895"/>
    <cellStyle name="Style 1 3 2 4 3 2" xfId="6896"/>
    <cellStyle name="Style 1 3 2 4 3 2 2" xfId="6897"/>
    <cellStyle name="Style 1 3 2 4 3 3" xfId="6898"/>
    <cellStyle name="Style 1 3 2 4 3 4" xfId="6899"/>
    <cellStyle name="Style 1 3 2 4 4" xfId="6900"/>
    <cellStyle name="Style 1 3 2 4 4 2" xfId="6901"/>
    <cellStyle name="Style 1 3 2 4 4 2 2" xfId="6902"/>
    <cellStyle name="Style 1 3 2 4 4 3" xfId="6903"/>
    <cellStyle name="Style 1 3 2 4 5" xfId="6904"/>
    <cellStyle name="Style 1 3 2 4 5 2" xfId="6905"/>
    <cellStyle name="Style 1 3 2 4 6" xfId="6906"/>
    <cellStyle name="Style 1 3 2 5" xfId="6907"/>
    <cellStyle name="Style 1 3 2 5 2" xfId="6908"/>
    <cellStyle name="Style 1 3 2 5 2 2" xfId="6909"/>
    <cellStyle name="Style 1 3 2 5 2 2 2" xfId="6910"/>
    <cellStyle name="Style 1 3 2 5 2 2 2 2" xfId="6911"/>
    <cellStyle name="Style 1 3 2 5 2 2 3" xfId="6912"/>
    <cellStyle name="Style 1 3 2 5 2 3" xfId="6913"/>
    <cellStyle name="Style 1 3 2 5 2 3 2" xfId="6914"/>
    <cellStyle name="Style 1 3 2 5 2 4" xfId="6915"/>
    <cellStyle name="Style 1 3 2 5 3" xfId="6916"/>
    <cellStyle name="Style 1 3 2 5 3 2" xfId="6917"/>
    <cellStyle name="Style 1 3 2 5 3 2 2" xfId="6918"/>
    <cellStyle name="Style 1 3 2 5 3 3" xfId="6919"/>
    <cellStyle name="Style 1 3 2 5 3 4" xfId="6920"/>
    <cellStyle name="Style 1 3 2 5 4" xfId="6921"/>
    <cellStyle name="Style 1 3 2 5 4 2" xfId="6922"/>
    <cellStyle name="Style 1 3 2 5 4 2 2" xfId="6923"/>
    <cellStyle name="Style 1 3 2 5 4 3" xfId="6924"/>
    <cellStyle name="Style 1 3 2 5 5" xfId="6925"/>
    <cellStyle name="Style 1 3 2 5 5 2" xfId="6926"/>
    <cellStyle name="Style 1 3 2 5 6" xfId="6927"/>
    <cellStyle name="Style 1 3 3" xfId="6928"/>
    <cellStyle name="Style 1 3 3 2" xfId="6929"/>
    <cellStyle name="Style 1 3 3 2 2" xfId="6930"/>
    <cellStyle name="Style 1 3 3 2 2 2" xfId="6931"/>
    <cellStyle name="Style 1 3 3 2 2 2 2" xfId="6932"/>
    <cellStyle name="Style 1 3 3 2 2 2 2 2" xfId="6933"/>
    <cellStyle name="Style 1 3 3 2 2 2 3" xfId="6934"/>
    <cellStyle name="Style 1 3 3 2 2 3" xfId="6935"/>
    <cellStyle name="Style 1 3 3 2 2 3 2" xfId="6936"/>
    <cellStyle name="Style 1 3 3 2 2 4" xfId="6937"/>
    <cellStyle name="Style 1 3 3 2 3" xfId="6938"/>
    <cellStyle name="Style 1 3 3 2 3 2" xfId="6939"/>
    <cellStyle name="Style 1 3 3 2 3 2 2" xfId="6940"/>
    <cellStyle name="Style 1 3 3 2 3 3" xfId="6941"/>
    <cellStyle name="Style 1 3 3 2 3 4" xfId="6942"/>
    <cellStyle name="Style 1 3 3 2 4" xfId="6943"/>
    <cellStyle name="Style 1 3 3 2 4 2" xfId="6944"/>
    <cellStyle name="Style 1 3 3 2 4 2 2" xfId="6945"/>
    <cellStyle name="Style 1 3 3 2 4 3" xfId="6946"/>
    <cellStyle name="Style 1 3 3 2 5" xfId="6947"/>
    <cellStyle name="Style 1 3 3 3" xfId="6948"/>
    <cellStyle name="Style 1 3 3 3 2" xfId="6949"/>
    <cellStyle name="Style 1 3 3 3 2 2" xfId="6950"/>
    <cellStyle name="Style 1 3 3 3 2 2 2" xfId="6951"/>
    <cellStyle name="Style 1 3 3 3 2 2 2 2" xfId="6952"/>
    <cellStyle name="Style 1 3 3 3 2 2 3" xfId="6953"/>
    <cellStyle name="Style 1 3 3 3 2 3" xfId="6954"/>
    <cellStyle name="Style 1 3 3 3 2 3 2" xfId="6955"/>
    <cellStyle name="Style 1 3 3 3 2 4" xfId="6956"/>
    <cellStyle name="Style 1 3 3 3 3" xfId="6957"/>
    <cellStyle name="Style 1 3 3 3 3 2" xfId="6958"/>
    <cellStyle name="Style 1 3 3 3 3 2 2" xfId="6959"/>
    <cellStyle name="Style 1 3 3 3 3 3" xfId="6960"/>
    <cellStyle name="Style 1 3 3 3 3 4" xfId="6961"/>
    <cellStyle name="Style 1 3 3 3 4" xfId="6962"/>
    <cellStyle name="Style 1 3 3 3 4 2" xfId="6963"/>
    <cellStyle name="Style 1 3 3 3 4 2 2" xfId="6964"/>
    <cellStyle name="Style 1 3 3 3 4 3" xfId="6965"/>
    <cellStyle name="Style 1 3 3 3 5" xfId="6966"/>
    <cellStyle name="Style 1 3 3 3 5 2" xfId="6967"/>
    <cellStyle name="Style 1 3 3 3 6" xfId="6968"/>
    <cellStyle name="Style 1 3 3 4" xfId="6969"/>
    <cellStyle name="Style 1 3 3 4 2" xfId="6970"/>
    <cellStyle name="Style 1 3 3 4 2 2" xfId="6971"/>
    <cellStyle name="Style 1 3 3 4 2 2 2" xfId="6972"/>
    <cellStyle name="Style 1 3 3 4 2 2 2 2" xfId="6973"/>
    <cellStyle name="Style 1 3 3 4 2 2 3" xfId="6974"/>
    <cellStyle name="Style 1 3 3 4 2 3" xfId="6975"/>
    <cellStyle name="Style 1 3 3 4 2 3 2" xfId="6976"/>
    <cellStyle name="Style 1 3 3 4 2 4" xfId="6977"/>
    <cellStyle name="Style 1 3 3 4 3" xfId="6978"/>
    <cellStyle name="Style 1 3 3 4 3 2" xfId="6979"/>
    <cellStyle name="Style 1 3 3 4 3 2 2" xfId="6980"/>
    <cellStyle name="Style 1 3 3 4 3 3" xfId="6981"/>
    <cellStyle name="Style 1 3 3 4 3 4" xfId="6982"/>
    <cellStyle name="Style 1 3 3 4 4" xfId="6983"/>
    <cellStyle name="Style 1 3 3 4 4 2" xfId="6984"/>
    <cellStyle name="Style 1 3 3 4 4 2 2" xfId="6985"/>
    <cellStyle name="Style 1 3 3 4 4 3" xfId="6986"/>
    <cellStyle name="Style 1 3 3 4 5" xfId="6987"/>
    <cellStyle name="Style 1 3 3 4 5 2" xfId="6988"/>
    <cellStyle name="Style 1 3 3 4 6" xfId="6989"/>
    <cellStyle name="Style 1 3 3 5" xfId="6990"/>
    <cellStyle name="Style 1 3 3 5 2" xfId="6991"/>
    <cellStyle name="Style 1 3 4" xfId="6992"/>
    <cellStyle name="Style 1 3 4 2" xfId="6993"/>
    <cellStyle name="Style 1 3 4 2 2" xfId="6994"/>
    <cellStyle name="Style 1 3 4 2 2 2" xfId="6995"/>
    <cellStyle name="Style 1 3 4 2 2 2 2" xfId="6996"/>
    <cellStyle name="Style 1 3 4 2 2 2 2 2" xfId="6997"/>
    <cellStyle name="Style 1 3 4 2 2 2 3" xfId="6998"/>
    <cellStyle name="Style 1 3 4 2 2 3" xfId="6999"/>
    <cellStyle name="Style 1 3 4 2 2 3 2" xfId="7000"/>
    <cellStyle name="Style 1 3 4 2 2 4" xfId="7001"/>
    <cellStyle name="Style 1 3 4 2 3" xfId="7002"/>
    <cellStyle name="Style 1 3 4 2 3 2" xfId="7003"/>
    <cellStyle name="Style 1 3 4 2 3 2 2" xfId="7004"/>
    <cellStyle name="Style 1 3 4 2 3 3" xfId="7005"/>
    <cellStyle name="Style 1 3 4 2 3 4" xfId="7006"/>
    <cellStyle name="Style 1 3 4 2 4" xfId="7007"/>
    <cellStyle name="Style 1 3 4 2 4 2" xfId="7008"/>
    <cellStyle name="Style 1 3 4 2 4 2 2" xfId="7009"/>
    <cellStyle name="Style 1 3 4 2 4 3" xfId="7010"/>
    <cellStyle name="Style 1 3 4 2 5" xfId="7011"/>
    <cellStyle name="Style 1 3 4 2 5 2" xfId="7012"/>
    <cellStyle name="Style 1 3 4 2 6" xfId="7013"/>
    <cellStyle name="Style 1 3 4 3" xfId="7014"/>
    <cellStyle name="Style 1 3 4 3 2" xfId="7015"/>
    <cellStyle name="Style 1 3 4 3 2 2" xfId="7016"/>
    <cellStyle name="Style 1 3 4 3 2 2 2" xfId="7017"/>
    <cellStyle name="Style 1 3 4 3 2 2 2 2" xfId="7018"/>
    <cellStyle name="Style 1 3 4 3 2 2 3" xfId="7019"/>
    <cellStyle name="Style 1 3 4 3 2 3" xfId="7020"/>
    <cellStyle name="Style 1 3 4 3 2 3 2" xfId="7021"/>
    <cellStyle name="Style 1 3 4 3 2 4" xfId="7022"/>
    <cellStyle name="Style 1 3 4 3 3" xfId="7023"/>
    <cellStyle name="Style 1 3 4 3 3 2" xfId="7024"/>
    <cellStyle name="Style 1 3 4 3 3 2 2" xfId="7025"/>
    <cellStyle name="Style 1 3 4 3 3 3" xfId="7026"/>
    <cellStyle name="Style 1 3 4 3 3 4" xfId="7027"/>
    <cellStyle name="Style 1 3 4 3 4" xfId="7028"/>
    <cellStyle name="Style 1 3 4 3 4 2" xfId="7029"/>
    <cellStyle name="Style 1 3 4 3 4 2 2" xfId="7030"/>
    <cellStyle name="Style 1 3 4 3 4 3" xfId="7031"/>
    <cellStyle name="Style 1 3 4 3 5" xfId="7032"/>
    <cellStyle name="Style 1 3 4 3 5 2" xfId="7033"/>
    <cellStyle name="Style 1 3 4 3 6" xfId="7034"/>
    <cellStyle name="Style 1 3 4 4" xfId="7035"/>
    <cellStyle name="Style 1 3 4 4 2" xfId="7036"/>
    <cellStyle name="Style 1 3 4 4 2 2" xfId="7037"/>
    <cellStyle name="Style 1 3 4 4 2 2 2" xfId="7038"/>
    <cellStyle name="Style 1 3 4 4 2 3" xfId="7039"/>
    <cellStyle name="Style 1 3 4 4 3" xfId="7040"/>
    <cellStyle name="Style 1 3 4 4 3 2" xfId="7041"/>
    <cellStyle name="Style 1 3 4 4 4" xfId="7042"/>
    <cellStyle name="Style 1 3 4 5" xfId="7043"/>
    <cellStyle name="Style 1 3 4 5 2" xfId="7044"/>
    <cellStyle name="Style 1 3 4 5 2 2" xfId="7045"/>
    <cellStyle name="Style 1 3 4 5 3" xfId="7046"/>
    <cellStyle name="Style 1 3 4 5 4" xfId="7047"/>
    <cellStyle name="Style 1 3 4 6" xfId="7048"/>
    <cellStyle name="Style 1 3 4 6 2" xfId="7049"/>
    <cellStyle name="Style 1 3 4 6 2 2" xfId="7050"/>
    <cellStyle name="Style 1 3 4 6 3" xfId="7051"/>
    <cellStyle name="Style 1 3 4 7" xfId="7052"/>
    <cellStyle name="Style 1 3 5" xfId="7053"/>
    <cellStyle name="Style 1 3 5 2" xfId="7054"/>
    <cellStyle name="Style 1 3 5 2 2" xfId="7055"/>
    <cellStyle name="Style 1 3 5 2 2 2" xfId="7056"/>
    <cellStyle name="Style 1 3 5 2 2 2 2" xfId="7057"/>
    <cellStyle name="Style 1 3 5 2 2 3" xfId="7058"/>
    <cellStyle name="Style 1 3 5 2 3" xfId="7059"/>
    <cellStyle name="Style 1 3 5 2 3 2" xfId="7060"/>
    <cellStyle name="Style 1 3 5 2 4" xfId="7061"/>
    <cellStyle name="Style 1 3 5 3" xfId="7062"/>
    <cellStyle name="Style 1 3 5 3 2" xfId="7063"/>
    <cellStyle name="Style 1 3 5 3 2 2" xfId="7064"/>
    <cellStyle name="Style 1 3 5 3 3" xfId="7065"/>
    <cellStyle name="Style 1 3 5 3 4" xfId="7066"/>
    <cellStyle name="Style 1 3 5 4" xfId="7067"/>
    <cellStyle name="Style 1 3 5 4 2" xfId="7068"/>
    <cellStyle name="Style 1 3 5 4 2 2" xfId="7069"/>
    <cellStyle name="Style 1 3 5 4 3" xfId="7070"/>
    <cellStyle name="Style 1 3 5 5" xfId="7071"/>
    <cellStyle name="Style 1 4" xfId="7072"/>
    <cellStyle name="Style 1 5" xfId="7073"/>
    <cellStyle name="Style 1 6" xfId="7074"/>
    <cellStyle name="Style 1_apollo_curves" xfId="7075"/>
    <cellStyle name="Style 2" xfId="7076"/>
    <cellStyle name="TableF" xfId="7077"/>
    <cellStyle name="TableF 2" xfId="7078"/>
    <cellStyle name="text" xfId="7079"/>
    <cellStyle name="text2" xfId="7080"/>
    <cellStyle name="Title 2" xfId="7081"/>
    <cellStyle name="Title 2 2" xfId="7082"/>
    <cellStyle name="Title 3" xfId="7083"/>
    <cellStyle name="Title 4" xfId="7084"/>
    <cellStyle name="Title 5" xfId="7085"/>
    <cellStyle name="Title 6" xfId="7086"/>
    <cellStyle name="title2" xfId="7087"/>
    <cellStyle name="TopGrey" xfId="7088"/>
    <cellStyle name="Total 2" xfId="7089"/>
    <cellStyle name="Total 2 2" xfId="7090"/>
    <cellStyle name="Total 2 2 2" xfId="7091"/>
    <cellStyle name="Total 2 2 2 2" xfId="7092"/>
    <cellStyle name="Total 2 2 2 2 2" xfId="7093"/>
    <cellStyle name="Total 2 2 2 2 2 2" xfId="7094"/>
    <cellStyle name="Total 2 2 2 2 2 2 2" xfId="7095"/>
    <cellStyle name="Total 2 2 2 2 2 2 2 2" xfId="7096"/>
    <cellStyle name="Total 2 2 2 2 2 2 2 2 2" xfId="7097"/>
    <cellStyle name="Total 2 2 2 2 2 2 2 3" xfId="7098"/>
    <cellStyle name="Total 2 2 2 2 2 2 3" xfId="7099"/>
    <cellStyle name="Total 2 2 2 2 2 2 3 2" xfId="7100"/>
    <cellStyle name="Total 2 2 2 2 2 2 4" xfId="7101"/>
    <cellStyle name="Total 2 2 2 2 2 3" xfId="7102"/>
    <cellStyle name="Total 2 2 2 2 2 3 2" xfId="7103"/>
    <cellStyle name="Total 2 2 2 2 2 3 2 2" xfId="7104"/>
    <cellStyle name="Total 2 2 2 2 2 3 3" xfId="7105"/>
    <cellStyle name="Total 2 2 2 2 2 3 4" xfId="7106"/>
    <cellStyle name="Total 2 2 2 2 2 4" xfId="7107"/>
    <cellStyle name="Total 2 2 2 2 2 4 2" xfId="7108"/>
    <cellStyle name="Total 2 2 2 2 2 4 2 2" xfId="7109"/>
    <cellStyle name="Total 2 2 2 2 2 4 3" xfId="7110"/>
    <cellStyle name="Total 2 2 2 2 2 5" xfId="7111"/>
    <cellStyle name="Total 2 2 2 2 2 5 2" xfId="7112"/>
    <cellStyle name="Total 2 2 2 2 2 6" xfId="7113"/>
    <cellStyle name="Total 2 2 2 2 3" xfId="7114"/>
    <cellStyle name="Total 2 2 2 2 3 2" xfId="7115"/>
    <cellStyle name="Total 2 2 2 2 3 2 2" xfId="7116"/>
    <cellStyle name="Total 2 2 2 2 3 2 2 2" xfId="7117"/>
    <cellStyle name="Total 2 2 2 2 3 2 2 2 2" xfId="7118"/>
    <cellStyle name="Total 2 2 2 2 3 2 2 3" xfId="7119"/>
    <cellStyle name="Total 2 2 2 2 3 2 3" xfId="7120"/>
    <cellStyle name="Total 2 2 2 2 3 2 3 2" xfId="7121"/>
    <cellStyle name="Total 2 2 2 2 3 2 4" xfId="7122"/>
    <cellStyle name="Total 2 2 2 2 3 3" xfId="7123"/>
    <cellStyle name="Total 2 2 2 2 3 3 2" xfId="7124"/>
    <cellStyle name="Total 2 2 2 2 3 3 2 2" xfId="7125"/>
    <cellStyle name="Total 2 2 2 2 3 3 3" xfId="7126"/>
    <cellStyle name="Total 2 2 2 2 3 3 4" xfId="7127"/>
    <cellStyle name="Total 2 2 2 2 3 4" xfId="7128"/>
    <cellStyle name="Total 2 2 2 2 3 4 2" xfId="7129"/>
    <cellStyle name="Total 2 2 2 2 3 4 2 2" xfId="7130"/>
    <cellStyle name="Total 2 2 2 2 3 4 3" xfId="7131"/>
    <cellStyle name="Total 2 2 2 2 3 5" xfId="7132"/>
    <cellStyle name="Total 2 2 2 2 3 5 2" xfId="7133"/>
    <cellStyle name="Total 2 2 2 2 3 6" xfId="7134"/>
    <cellStyle name="Total 2 2 2 2 4" xfId="7135"/>
    <cellStyle name="Total 2 2 2 2 4 2" xfId="7136"/>
    <cellStyle name="Total 2 2 2 2 4 2 2" xfId="7137"/>
    <cellStyle name="Total 2 2 2 2 4 2 2 2" xfId="7138"/>
    <cellStyle name="Total 2 2 2 2 4 2 2 2 2" xfId="7139"/>
    <cellStyle name="Total 2 2 2 2 4 2 2 3" xfId="7140"/>
    <cellStyle name="Total 2 2 2 2 4 2 3" xfId="7141"/>
    <cellStyle name="Total 2 2 2 2 4 2 3 2" xfId="7142"/>
    <cellStyle name="Total 2 2 2 2 4 2 4" xfId="7143"/>
    <cellStyle name="Total 2 2 2 2 4 3" xfId="7144"/>
    <cellStyle name="Total 2 2 2 2 4 3 2" xfId="7145"/>
    <cellStyle name="Total 2 2 2 2 4 3 2 2" xfId="7146"/>
    <cellStyle name="Total 2 2 2 2 4 3 3" xfId="7147"/>
    <cellStyle name="Total 2 2 2 2 4 3 4" xfId="7148"/>
    <cellStyle name="Total 2 2 2 2 4 4" xfId="7149"/>
    <cellStyle name="Total 2 2 2 2 4 4 2" xfId="7150"/>
    <cellStyle name="Total 2 2 2 2 4 4 2 2" xfId="7151"/>
    <cellStyle name="Total 2 2 2 2 4 4 3" xfId="7152"/>
    <cellStyle name="Total 2 2 2 2 4 5" xfId="7153"/>
    <cellStyle name="Total 2 2 2 2 4 5 2" xfId="7154"/>
    <cellStyle name="Total 2 2 2 2 4 6" xfId="7155"/>
    <cellStyle name="Total 2 2 2 2 5" xfId="7156"/>
    <cellStyle name="Total 2 2 2 2 5 2" xfId="7157"/>
    <cellStyle name="Total 2 2 2 3" xfId="7158"/>
    <cellStyle name="Total 2 2 2 3 2" xfId="7159"/>
    <cellStyle name="Total 2 2 2 3 2 2" xfId="7160"/>
    <cellStyle name="Total 2 2 2 3 2 2 2" xfId="7161"/>
    <cellStyle name="Total 2 2 2 3 2 2 2 2" xfId="7162"/>
    <cellStyle name="Total 2 2 2 3 2 2 3" xfId="7163"/>
    <cellStyle name="Total 2 2 2 3 2 3" xfId="7164"/>
    <cellStyle name="Total 2 2 2 3 2 3 2" xfId="7165"/>
    <cellStyle name="Total 2 2 2 3 2 4" xfId="7166"/>
    <cellStyle name="Total 2 2 2 3 3" xfId="7167"/>
    <cellStyle name="Total 2 2 2 3 3 2" xfId="7168"/>
    <cellStyle name="Total 2 2 2 3 3 2 2" xfId="7169"/>
    <cellStyle name="Total 2 2 2 3 3 3" xfId="7170"/>
    <cellStyle name="Total 2 2 2 3 3 4" xfId="7171"/>
    <cellStyle name="Total 2 2 2 3 4" xfId="7172"/>
    <cellStyle name="Total 2 2 2 3 4 2" xfId="7173"/>
    <cellStyle name="Total 2 2 2 3 4 2 2" xfId="7174"/>
    <cellStyle name="Total 2 2 2 3 4 3" xfId="7175"/>
    <cellStyle name="Total 2 2 2 3 5" xfId="7176"/>
    <cellStyle name="Total 2 2 2 3 5 2" xfId="7177"/>
    <cellStyle name="Total 2 2 2 3 6" xfId="7178"/>
    <cellStyle name="Total 2 2 2 4" xfId="7179"/>
    <cellStyle name="Total 2 2 2 4 2" xfId="7180"/>
    <cellStyle name="Total 2 2 2 4 2 2" xfId="7181"/>
    <cellStyle name="Total 2 2 2 4 2 2 2" xfId="7182"/>
    <cellStyle name="Total 2 2 2 4 2 2 2 2" xfId="7183"/>
    <cellStyle name="Total 2 2 2 4 2 2 3" xfId="7184"/>
    <cellStyle name="Total 2 2 2 4 2 3" xfId="7185"/>
    <cellStyle name="Total 2 2 2 4 2 3 2" xfId="7186"/>
    <cellStyle name="Total 2 2 2 4 2 4" xfId="7187"/>
    <cellStyle name="Total 2 2 2 4 3" xfId="7188"/>
    <cellStyle name="Total 2 2 2 4 3 2" xfId="7189"/>
    <cellStyle name="Total 2 2 2 4 3 2 2" xfId="7190"/>
    <cellStyle name="Total 2 2 2 4 3 3" xfId="7191"/>
    <cellStyle name="Total 2 2 2 4 3 4" xfId="7192"/>
    <cellStyle name="Total 2 2 2 4 4" xfId="7193"/>
    <cellStyle name="Total 2 2 2 4 4 2" xfId="7194"/>
    <cellStyle name="Total 2 2 2 4 4 2 2" xfId="7195"/>
    <cellStyle name="Total 2 2 2 4 4 3" xfId="7196"/>
    <cellStyle name="Total 2 2 2 4 5" xfId="7197"/>
    <cellStyle name="Total 2 2 2 4 5 2" xfId="7198"/>
    <cellStyle name="Total 2 2 2 4 6" xfId="7199"/>
    <cellStyle name="Total 2 2 2 5" xfId="7200"/>
    <cellStyle name="Total 2 2 2 5 2" xfId="7201"/>
    <cellStyle name="Total 2 2 2 5 2 2" xfId="7202"/>
    <cellStyle name="Total 2 2 2 5 2 2 2" xfId="7203"/>
    <cellStyle name="Total 2 2 2 5 2 2 2 2" xfId="7204"/>
    <cellStyle name="Total 2 2 2 5 2 2 3" xfId="7205"/>
    <cellStyle name="Total 2 2 2 5 2 3" xfId="7206"/>
    <cellStyle name="Total 2 2 2 5 2 3 2" xfId="7207"/>
    <cellStyle name="Total 2 2 2 5 2 4" xfId="7208"/>
    <cellStyle name="Total 2 2 2 5 3" xfId="7209"/>
    <cellStyle name="Total 2 2 2 5 3 2" xfId="7210"/>
    <cellStyle name="Total 2 2 2 5 3 2 2" xfId="7211"/>
    <cellStyle name="Total 2 2 2 5 3 3" xfId="7212"/>
    <cellStyle name="Total 2 2 2 5 3 4" xfId="7213"/>
    <cellStyle name="Total 2 2 2 5 4" xfId="7214"/>
    <cellStyle name="Total 2 2 2 5 4 2" xfId="7215"/>
    <cellStyle name="Total 2 2 2 5 4 2 2" xfId="7216"/>
    <cellStyle name="Total 2 2 2 5 4 3" xfId="7217"/>
    <cellStyle name="Total 2 2 2 5 5" xfId="7218"/>
    <cellStyle name="Total 2 2 2 5 5 2" xfId="7219"/>
    <cellStyle name="Total 2 2 2 5 6" xfId="7220"/>
    <cellStyle name="Total 2 2 2 6" xfId="7221"/>
    <cellStyle name="Total 2 2 2 6 2" xfId="7222"/>
    <cellStyle name="Total 2 2 3" xfId="7223"/>
    <cellStyle name="Total 2 2 3 2" xfId="7224"/>
    <cellStyle name="Total 2 2 3 2 2" xfId="7225"/>
    <cellStyle name="Total 2 2 3 2 2 2" xfId="7226"/>
    <cellStyle name="Total 2 2 3 2 2 2 2" xfId="7227"/>
    <cellStyle name="Total 2 2 3 2 2 2 2 2" xfId="7228"/>
    <cellStyle name="Total 2 2 3 2 2 2 3" xfId="7229"/>
    <cellStyle name="Total 2 2 3 2 2 3" xfId="7230"/>
    <cellStyle name="Total 2 2 3 2 2 3 2" xfId="7231"/>
    <cellStyle name="Total 2 2 3 2 2 4" xfId="7232"/>
    <cellStyle name="Total 2 2 3 2 3" xfId="7233"/>
    <cellStyle name="Total 2 2 3 2 3 2" xfId="7234"/>
    <cellStyle name="Total 2 2 3 2 3 2 2" xfId="7235"/>
    <cellStyle name="Total 2 2 3 2 3 3" xfId="7236"/>
    <cellStyle name="Total 2 2 3 2 3 4" xfId="7237"/>
    <cellStyle name="Total 2 2 3 2 4" xfId="7238"/>
    <cellStyle name="Total 2 2 3 2 4 2" xfId="7239"/>
    <cellStyle name="Total 2 2 3 2 4 2 2" xfId="7240"/>
    <cellStyle name="Total 2 2 3 2 4 3" xfId="7241"/>
    <cellStyle name="Total 2 2 3 2 5" xfId="7242"/>
    <cellStyle name="Total 2 2 3 2 5 2" xfId="7243"/>
    <cellStyle name="Total 2 2 3 2 6" xfId="7244"/>
    <cellStyle name="Total 2 2 3 3" xfId="7245"/>
    <cellStyle name="Total 2 2 3 3 2" xfId="7246"/>
    <cellStyle name="Total 2 2 3 3 2 2" xfId="7247"/>
    <cellStyle name="Total 2 2 3 3 2 2 2" xfId="7248"/>
    <cellStyle name="Total 2 2 3 3 2 2 2 2" xfId="7249"/>
    <cellStyle name="Total 2 2 3 3 2 2 3" xfId="7250"/>
    <cellStyle name="Total 2 2 3 3 2 3" xfId="7251"/>
    <cellStyle name="Total 2 2 3 3 2 3 2" xfId="7252"/>
    <cellStyle name="Total 2 2 3 3 2 4" xfId="7253"/>
    <cellStyle name="Total 2 2 3 3 3" xfId="7254"/>
    <cellStyle name="Total 2 2 3 3 3 2" xfId="7255"/>
    <cellStyle name="Total 2 2 3 3 3 2 2" xfId="7256"/>
    <cellStyle name="Total 2 2 3 3 3 3" xfId="7257"/>
    <cellStyle name="Total 2 2 3 3 3 4" xfId="7258"/>
    <cellStyle name="Total 2 2 3 3 4" xfId="7259"/>
    <cellStyle name="Total 2 2 3 3 4 2" xfId="7260"/>
    <cellStyle name="Total 2 2 3 3 4 2 2" xfId="7261"/>
    <cellStyle name="Total 2 2 3 3 4 3" xfId="7262"/>
    <cellStyle name="Total 2 2 3 3 5" xfId="7263"/>
    <cellStyle name="Total 2 2 3 3 5 2" xfId="7264"/>
    <cellStyle name="Total 2 2 3 3 6" xfId="7265"/>
    <cellStyle name="Total 2 2 3 4" xfId="7266"/>
    <cellStyle name="Total 2 2 3 4 2" xfId="7267"/>
    <cellStyle name="Total 2 2 3 4 2 2" xfId="7268"/>
    <cellStyle name="Total 2 2 3 4 2 2 2" xfId="7269"/>
    <cellStyle name="Total 2 2 3 4 2 2 2 2" xfId="7270"/>
    <cellStyle name="Total 2 2 3 4 2 2 3" xfId="7271"/>
    <cellStyle name="Total 2 2 3 4 2 3" xfId="7272"/>
    <cellStyle name="Total 2 2 3 4 2 3 2" xfId="7273"/>
    <cellStyle name="Total 2 2 3 4 2 4" xfId="7274"/>
    <cellStyle name="Total 2 2 3 4 3" xfId="7275"/>
    <cellStyle name="Total 2 2 3 4 3 2" xfId="7276"/>
    <cellStyle name="Total 2 2 3 4 3 2 2" xfId="7277"/>
    <cellStyle name="Total 2 2 3 4 3 3" xfId="7278"/>
    <cellStyle name="Total 2 2 3 4 3 4" xfId="7279"/>
    <cellStyle name="Total 2 2 3 4 4" xfId="7280"/>
    <cellStyle name="Total 2 2 3 4 4 2" xfId="7281"/>
    <cellStyle name="Total 2 2 3 4 4 2 2" xfId="7282"/>
    <cellStyle name="Total 2 2 3 4 4 3" xfId="7283"/>
    <cellStyle name="Total 2 2 3 4 5" xfId="7284"/>
    <cellStyle name="Total 2 2 3 4 5 2" xfId="7285"/>
    <cellStyle name="Total 2 2 3 4 6" xfId="7286"/>
    <cellStyle name="Total 2 2 3 5" xfId="7287"/>
    <cellStyle name="Total 2 2 3 5 2" xfId="7288"/>
    <cellStyle name="Total 2 2 4" xfId="7289"/>
    <cellStyle name="Total 2 2 4 2" xfId="7290"/>
    <cellStyle name="Total 2 2 4 2 2" xfId="7291"/>
    <cellStyle name="Total 2 2 4 2 2 2" xfId="7292"/>
    <cellStyle name="Total 2 2 4 2 2 2 2" xfId="7293"/>
    <cellStyle name="Total 2 2 4 2 2 2 2 2" xfId="7294"/>
    <cellStyle name="Total 2 2 4 2 2 2 3" xfId="7295"/>
    <cellStyle name="Total 2 2 4 2 2 3" xfId="7296"/>
    <cellStyle name="Total 2 2 4 2 2 3 2" xfId="7297"/>
    <cellStyle name="Total 2 2 4 2 2 4" xfId="7298"/>
    <cellStyle name="Total 2 2 4 2 3" xfId="7299"/>
    <cellStyle name="Total 2 2 4 2 3 2" xfId="7300"/>
    <cellStyle name="Total 2 2 4 2 3 2 2" xfId="7301"/>
    <cellStyle name="Total 2 2 4 2 3 3" xfId="7302"/>
    <cellStyle name="Total 2 2 4 2 3 4" xfId="7303"/>
    <cellStyle name="Total 2 2 4 2 4" xfId="7304"/>
    <cellStyle name="Total 2 2 4 2 4 2" xfId="7305"/>
    <cellStyle name="Total 2 2 4 2 4 2 2" xfId="7306"/>
    <cellStyle name="Total 2 2 4 2 4 3" xfId="7307"/>
    <cellStyle name="Total 2 2 4 2 5" xfId="7308"/>
    <cellStyle name="Total 2 2 4 2 5 2" xfId="7309"/>
    <cellStyle name="Total 2 2 4 2 6" xfId="7310"/>
    <cellStyle name="Total 2 2 4 3" xfId="7311"/>
    <cellStyle name="Total 2 2 4 3 2" xfId="7312"/>
    <cellStyle name="Total 2 2 4 3 2 2" xfId="7313"/>
    <cellStyle name="Total 2 2 4 3 2 2 2" xfId="7314"/>
    <cellStyle name="Total 2 2 4 3 2 2 2 2" xfId="7315"/>
    <cellStyle name="Total 2 2 4 3 2 2 3" xfId="7316"/>
    <cellStyle name="Total 2 2 4 3 2 3" xfId="7317"/>
    <cellStyle name="Total 2 2 4 3 2 3 2" xfId="7318"/>
    <cellStyle name="Total 2 2 4 3 2 4" xfId="7319"/>
    <cellStyle name="Total 2 2 4 3 3" xfId="7320"/>
    <cellStyle name="Total 2 2 4 3 3 2" xfId="7321"/>
    <cellStyle name="Total 2 2 4 3 3 2 2" xfId="7322"/>
    <cellStyle name="Total 2 2 4 3 3 3" xfId="7323"/>
    <cellStyle name="Total 2 2 4 3 3 4" xfId="7324"/>
    <cellStyle name="Total 2 2 4 3 4" xfId="7325"/>
    <cellStyle name="Total 2 2 4 3 4 2" xfId="7326"/>
    <cellStyle name="Total 2 2 4 3 4 2 2" xfId="7327"/>
    <cellStyle name="Total 2 2 4 3 4 3" xfId="7328"/>
    <cellStyle name="Total 2 2 4 3 5" xfId="7329"/>
    <cellStyle name="Total 2 2 4 3 5 2" xfId="7330"/>
    <cellStyle name="Total 2 2 4 3 6" xfId="7331"/>
    <cellStyle name="Total 2 2 4 4" xfId="7332"/>
    <cellStyle name="Total 2 2 4 4 2" xfId="7333"/>
    <cellStyle name="Total 2 2 4 4 2 2" xfId="7334"/>
    <cellStyle name="Total 2 2 4 4 2 2 2" xfId="7335"/>
    <cellStyle name="Total 2 2 4 4 2 3" xfId="7336"/>
    <cellStyle name="Total 2 2 4 4 3" xfId="7337"/>
    <cellStyle name="Total 2 2 4 4 3 2" xfId="7338"/>
    <cellStyle name="Total 2 2 4 4 4" xfId="7339"/>
    <cellStyle name="Total 2 2 4 5" xfId="7340"/>
    <cellStyle name="Total 2 2 4 5 2" xfId="7341"/>
    <cellStyle name="Total 2 2 4 5 2 2" xfId="7342"/>
    <cellStyle name="Total 2 2 4 5 3" xfId="7343"/>
    <cellStyle name="Total 2 2 4 5 4" xfId="7344"/>
    <cellStyle name="Total 2 2 4 6" xfId="7345"/>
    <cellStyle name="Total 2 2 4 6 2" xfId="7346"/>
    <cellStyle name="Total 2 2 4 6 2 2" xfId="7347"/>
    <cellStyle name="Total 2 2 4 6 3" xfId="7348"/>
    <cellStyle name="Total 2 2 4 7" xfId="7349"/>
    <cellStyle name="Total 2 2 4 7 2" xfId="7350"/>
    <cellStyle name="Total 2 2 4 8" xfId="7351"/>
    <cellStyle name="Total 2 2 5" xfId="7352"/>
    <cellStyle name="Total 2 2 5 2" xfId="7353"/>
    <cellStyle name="Total 2 2 5 2 2" xfId="7354"/>
    <cellStyle name="Total 2 2 5 2 2 2" xfId="7355"/>
    <cellStyle name="Total 2 2 5 2 2 2 2" xfId="7356"/>
    <cellStyle name="Total 2 2 5 2 2 3" xfId="7357"/>
    <cellStyle name="Total 2 2 5 2 3" xfId="7358"/>
    <cellStyle name="Total 2 2 5 2 3 2" xfId="7359"/>
    <cellStyle name="Total 2 2 5 2 4" xfId="7360"/>
    <cellStyle name="Total 2 2 5 3" xfId="7361"/>
    <cellStyle name="Total 2 2 5 3 2" xfId="7362"/>
    <cellStyle name="Total 2 2 5 3 2 2" xfId="7363"/>
    <cellStyle name="Total 2 2 5 3 3" xfId="7364"/>
    <cellStyle name="Total 2 2 5 3 4" xfId="7365"/>
    <cellStyle name="Total 2 2 5 4" xfId="7366"/>
    <cellStyle name="Total 2 2 5 4 2" xfId="7367"/>
    <cellStyle name="Total 2 2 5 4 2 2" xfId="7368"/>
    <cellStyle name="Total 2 2 5 4 3" xfId="7369"/>
    <cellStyle name="Total 2 2 5 5" xfId="7370"/>
    <cellStyle name="Total 2 2 5 5 2" xfId="7371"/>
    <cellStyle name="Total 2 2 5 6" xfId="7372"/>
    <cellStyle name="Total 2 3" xfId="7373"/>
    <cellStyle name="Total 2 3 2" xfId="7374"/>
    <cellStyle name="Total 2 3 2 2" xfId="7375"/>
    <cellStyle name="Total 2 3 2 2 2" xfId="7376"/>
    <cellStyle name="Total 2 3 2 2 2 2" xfId="7377"/>
    <cellStyle name="Total 2 3 2 2 2 2 2" xfId="7378"/>
    <cellStyle name="Total 2 3 2 2 2 2 2 2" xfId="7379"/>
    <cellStyle name="Total 2 3 2 2 2 2 3" xfId="7380"/>
    <cellStyle name="Total 2 3 2 2 2 3" xfId="7381"/>
    <cellStyle name="Total 2 3 2 2 2 3 2" xfId="7382"/>
    <cellStyle name="Total 2 3 2 2 2 4" xfId="7383"/>
    <cellStyle name="Total 2 3 2 2 3" xfId="7384"/>
    <cellStyle name="Total 2 3 2 2 3 2" xfId="7385"/>
    <cellStyle name="Total 2 3 2 2 3 2 2" xfId="7386"/>
    <cellStyle name="Total 2 3 2 2 3 3" xfId="7387"/>
    <cellStyle name="Total 2 3 2 2 3 4" xfId="7388"/>
    <cellStyle name="Total 2 3 2 2 4" xfId="7389"/>
    <cellStyle name="Total 2 3 2 2 4 2" xfId="7390"/>
    <cellStyle name="Total 2 3 2 2 4 2 2" xfId="7391"/>
    <cellStyle name="Total 2 3 2 2 4 3" xfId="7392"/>
    <cellStyle name="Total 2 3 2 2 5" xfId="7393"/>
    <cellStyle name="Total 2 3 2 2 5 2" xfId="7394"/>
    <cellStyle name="Total 2 3 2 2 6" xfId="7395"/>
    <cellStyle name="Total 2 3 2 3" xfId="7396"/>
    <cellStyle name="Total 2 3 2 3 2" xfId="7397"/>
    <cellStyle name="Total 2 3 2 3 2 2" xfId="7398"/>
    <cellStyle name="Total 2 3 2 3 2 2 2" xfId="7399"/>
    <cellStyle name="Total 2 3 2 3 2 2 2 2" xfId="7400"/>
    <cellStyle name="Total 2 3 2 3 2 2 3" xfId="7401"/>
    <cellStyle name="Total 2 3 2 3 2 3" xfId="7402"/>
    <cellStyle name="Total 2 3 2 3 2 3 2" xfId="7403"/>
    <cellStyle name="Total 2 3 2 3 2 4" xfId="7404"/>
    <cellStyle name="Total 2 3 2 3 3" xfId="7405"/>
    <cellStyle name="Total 2 3 2 3 3 2" xfId="7406"/>
    <cellStyle name="Total 2 3 2 3 3 2 2" xfId="7407"/>
    <cellStyle name="Total 2 3 2 3 3 3" xfId="7408"/>
    <cellStyle name="Total 2 3 2 3 3 4" xfId="7409"/>
    <cellStyle name="Total 2 3 2 3 4" xfId="7410"/>
    <cellStyle name="Total 2 3 2 3 4 2" xfId="7411"/>
    <cellStyle name="Total 2 3 2 3 4 2 2" xfId="7412"/>
    <cellStyle name="Total 2 3 2 3 4 3" xfId="7413"/>
    <cellStyle name="Total 2 3 2 3 5" xfId="7414"/>
    <cellStyle name="Total 2 3 2 3 5 2" xfId="7415"/>
    <cellStyle name="Total 2 3 2 3 6" xfId="7416"/>
    <cellStyle name="Total 2 3 2 4" xfId="7417"/>
    <cellStyle name="Total 2 3 2 4 2" xfId="7418"/>
    <cellStyle name="Total 2 3 2 4 2 2" xfId="7419"/>
    <cellStyle name="Total 2 3 2 4 2 2 2" xfId="7420"/>
    <cellStyle name="Total 2 3 2 4 2 2 2 2" xfId="7421"/>
    <cellStyle name="Total 2 3 2 4 2 2 3" xfId="7422"/>
    <cellStyle name="Total 2 3 2 4 2 3" xfId="7423"/>
    <cellStyle name="Total 2 3 2 4 2 3 2" xfId="7424"/>
    <cellStyle name="Total 2 3 2 4 2 4" xfId="7425"/>
    <cellStyle name="Total 2 3 2 4 3" xfId="7426"/>
    <cellStyle name="Total 2 3 2 4 3 2" xfId="7427"/>
    <cellStyle name="Total 2 3 2 4 3 2 2" xfId="7428"/>
    <cellStyle name="Total 2 3 2 4 3 3" xfId="7429"/>
    <cellStyle name="Total 2 3 2 4 3 4" xfId="7430"/>
    <cellStyle name="Total 2 3 2 4 4" xfId="7431"/>
    <cellStyle name="Total 2 3 2 4 4 2" xfId="7432"/>
    <cellStyle name="Total 2 3 2 4 4 2 2" xfId="7433"/>
    <cellStyle name="Total 2 3 2 4 4 3" xfId="7434"/>
    <cellStyle name="Total 2 3 2 4 5" xfId="7435"/>
    <cellStyle name="Total 2 3 2 4 5 2" xfId="7436"/>
    <cellStyle name="Total 2 3 2 4 6" xfId="7437"/>
    <cellStyle name="Total 2 3 2 5" xfId="7438"/>
    <cellStyle name="Total 2 3 2 5 2" xfId="7439"/>
    <cellStyle name="Total 2 3 3" xfId="7440"/>
    <cellStyle name="Total 2 3 3 2" xfId="7441"/>
    <cellStyle name="Total 2 3 3 2 2" xfId="7442"/>
    <cellStyle name="Total 2 3 3 2 2 2" xfId="7443"/>
    <cellStyle name="Total 2 3 3 2 2 2 2" xfId="7444"/>
    <cellStyle name="Total 2 3 3 2 2 3" xfId="7445"/>
    <cellStyle name="Total 2 3 3 2 3" xfId="7446"/>
    <cellStyle name="Total 2 3 3 2 3 2" xfId="7447"/>
    <cellStyle name="Total 2 3 3 2 4" xfId="7448"/>
    <cellStyle name="Total 2 3 3 3" xfId="7449"/>
    <cellStyle name="Total 2 3 3 3 2" xfId="7450"/>
    <cellStyle name="Total 2 3 3 3 2 2" xfId="7451"/>
    <cellStyle name="Total 2 3 3 3 3" xfId="7452"/>
    <cellStyle name="Total 2 3 3 3 4" xfId="7453"/>
    <cellStyle name="Total 2 3 3 4" xfId="7454"/>
    <cellStyle name="Total 2 3 3 4 2" xfId="7455"/>
    <cellStyle name="Total 2 3 3 4 2 2" xfId="7456"/>
    <cellStyle name="Total 2 3 3 4 3" xfId="7457"/>
    <cellStyle name="Total 2 3 3 5" xfId="7458"/>
    <cellStyle name="Total 2 3 3 5 2" xfId="7459"/>
    <cellStyle name="Total 2 3 3 6" xfId="7460"/>
    <cellStyle name="Total 2 3 4" xfId="7461"/>
    <cellStyle name="Total 2 3 4 2" xfId="7462"/>
    <cellStyle name="Total 2 3 4 2 2" xfId="7463"/>
    <cellStyle name="Total 2 3 4 2 2 2" xfId="7464"/>
    <cellStyle name="Total 2 3 4 2 2 2 2" xfId="7465"/>
    <cellStyle name="Total 2 3 4 2 2 3" xfId="7466"/>
    <cellStyle name="Total 2 3 4 2 3" xfId="7467"/>
    <cellStyle name="Total 2 3 4 2 3 2" xfId="7468"/>
    <cellStyle name="Total 2 3 4 2 4" xfId="7469"/>
    <cellStyle name="Total 2 3 4 3" xfId="7470"/>
    <cellStyle name="Total 2 3 4 3 2" xfId="7471"/>
    <cellStyle name="Total 2 3 4 3 2 2" xfId="7472"/>
    <cellStyle name="Total 2 3 4 3 3" xfId="7473"/>
    <cellStyle name="Total 2 3 4 3 4" xfId="7474"/>
    <cellStyle name="Total 2 3 4 4" xfId="7475"/>
    <cellStyle name="Total 2 3 4 4 2" xfId="7476"/>
    <cellStyle name="Total 2 3 4 4 2 2" xfId="7477"/>
    <cellStyle name="Total 2 3 4 4 3" xfId="7478"/>
    <cellStyle name="Total 2 3 4 5" xfId="7479"/>
    <cellStyle name="Total 2 3 4 5 2" xfId="7480"/>
    <cellStyle name="Total 2 3 4 6" xfId="7481"/>
    <cellStyle name="Total 2 3 5" xfId="7482"/>
    <cellStyle name="Total 2 3 5 2" xfId="7483"/>
    <cellStyle name="Total 2 3 5 2 2" xfId="7484"/>
    <cellStyle name="Total 2 3 5 2 2 2" xfId="7485"/>
    <cellStyle name="Total 2 3 5 2 2 2 2" xfId="7486"/>
    <cellStyle name="Total 2 3 5 2 2 3" xfId="7487"/>
    <cellStyle name="Total 2 3 5 2 3" xfId="7488"/>
    <cellStyle name="Total 2 3 5 2 3 2" xfId="7489"/>
    <cellStyle name="Total 2 3 5 2 4" xfId="7490"/>
    <cellStyle name="Total 2 3 5 3" xfId="7491"/>
    <cellStyle name="Total 2 3 5 3 2" xfId="7492"/>
    <cellStyle name="Total 2 3 5 3 2 2" xfId="7493"/>
    <cellStyle name="Total 2 3 5 3 3" xfId="7494"/>
    <cellStyle name="Total 2 3 5 3 4" xfId="7495"/>
    <cellStyle name="Total 2 3 5 4" xfId="7496"/>
    <cellStyle name="Total 2 3 5 4 2" xfId="7497"/>
    <cellStyle name="Total 2 3 5 4 2 2" xfId="7498"/>
    <cellStyle name="Total 2 3 5 4 3" xfId="7499"/>
    <cellStyle name="Total 2 3 5 5" xfId="7500"/>
    <cellStyle name="Total 2 3 5 5 2" xfId="7501"/>
    <cellStyle name="Total 2 3 5 6" xfId="7502"/>
    <cellStyle name="Total 2 3 6" xfId="7503"/>
    <cellStyle name="Total 2 3 6 2" xfId="7504"/>
    <cellStyle name="Total 2 4" xfId="7505"/>
    <cellStyle name="Total 2 4 2" xfId="7506"/>
    <cellStyle name="Total 2 4 2 2" xfId="7507"/>
    <cellStyle name="Total 2 4 2 2 2" xfId="7508"/>
    <cellStyle name="Total 2 4 2 2 2 2" xfId="7509"/>
    <cellStyle name="Total 2 4 2 2 2 2 2" xfId="7510"/>
    <cellStyle name="Total 2 4 2 2 2 3" xfId="7511"/>
    <cellStyle name="Total 2 4 2 2 3" xfId="7512"/>
    <cellStyle name="Total 2 4 2 2 3 2" xfId="7513"/>
    <cellStyle name="Total 2 4 2 2 4" xfId="7514"/>
    <cellStyle name="Total 2 4 2 3" xfId="7515"/>
    <cellStyle name="Total 2 4 2 3 2" xfId="7516"/>
    <cellStyle name="Total 2 4 2 3 2 2" xfId="7517"/>
    <cellStyle name="Total 2 4 2 3 3" xfId="7518"/>
    <cellStyle name="Total 2 4 2 3 4" xfId="7519"/>
    <cellStyle name="Total 2 4 2 4" xfId="7520"/>
    <cellStyle name="Total 2 4 2 4 2" xfId="7521"/>
    <cellStyle name="Total 2 4 2 4 2 2" xfId="7522"/>
    <cellStyle name="Total 2 4 2 4 3" xfId="7523"/>
    <cellStyle name="Total 2 4 2 5" xfId="7524"/>
    <cellStyle name="Total 2 4 2 5 2" xfId="7525"/>
    <cellStyle name="Total 2 4 2 6" xfId="7526"/>
    <cellStyle name="Total 2 4 3" xfId="7527"/>
    <cellStyle name="Total 2 4 3 2" xfId="7528"/>
    <cellStyle name="Total 2 4 3 2 2" xfId="7529"/>
    <cellStyle name="Total 2 4 3 2 2 2" xfId="7530"/>
    <cellStyle name="Total 2 4 3 2 2 2 2" xfId="7531"/>
    <cellStyle name="Total 2 4 3 2 2 3" xfId="7532"/>
    <cellStyle name="Total 2 4 3 2 3" xfId="7533"/>
    <cellStyle name="Total 2 4 3 2 3 2" xfId="7534"/>
    <cellStyle name="Total 2 4 3 2 4" xfId="7535"/>
    <cellStyle name="Total 2 4 3 3" xfId="7536"/>
    <cellStyle name="Total 2 4 3 3 2" xfId="7537"/>
    <cellStyle name="Total 2 4 3 3 2 2" xfId="7538"/>
    <cellStyle name="Total 2 4 3 3 3" xfId="7539"/>
    <cellStyle name="Total 2 4 3 3 4" xfId="7540"/>
    <cellStyle name="Total 2 4 3 4" xfId="7541"/>
    <cellStyle name="Total 2 4 3 4 2" xfId="7542"/>
    <cellStyle name="Total 2 4 3 4 2 2" xfId="7543"/>
    <cellStyle name="Total 2 4 3 4 3" xfId="7544"/>
    <cellStyle name="Total 2 4 3 5" xfId="7545"/>
    <cellStyle name="Total 2 4 3 5 2" xfId="7546"/>
    <cellStyle name="Total 2 4 3 6" xfId="7547"/>
    <cellStyle name="Total 2 4 4" xfId="7548"/>
    <cellStyle name="Total 2 4 4 2" xfId="7549"/>
    <cellStyle name="Total 2 4 4 2 2" xfId="7550"/>
    <cellStyle name="Total 2 4 4 2 2 2" xfId="7551"/>
    <cellStyle name="Total 2 4 4 2 2 2 2" xfId="7552"/>
    <cellStyle name="Total 2 4 4 2 2 3" xfId="7553"/>
    <cellStyle name="Total 2 4 4 2 3" xfId="7554"/>
    <cellStyle name="Total 2 4 4 2 3 2" xfId="7555"/>
    <cellStyle name="Total 2 4 4 2 4" xfId="7556"/>
    <cellStyle name="Total 2 4 4 3" xfId="7557"/>
    <cellStyle name="Total 2 4 4 3 2" xfId="7558"/>
    <cellStyle name="Total 2 4 4 3 2 2" xfId="7559"/>
    <cellStyle name="Total 2 4 4 3 3" xfId="7560"/>
    <cellStyle name="Total 2 4 4 3 4" xfId="7561"/>
    <cellStyle name="Total 2 4 4 4" xfId="7562"/>
    <cellStyle name="Total 2 4 4 4 2" xfId="7563"/>
    <cellStyle name="Total 2 4 4 4 2 2" xfId="7564"/>
    <cellStyle name="Total 2 4 4 4 3" xfId="7565"/>
    <cellStyle name="Total 2 4 4 5" xfId="7566"/>
    <cellStyle name="Total 2 4 4 5 2" xfId="7567"/>
    <cellStyle name="Total 2 4 4 6" xfId="7568"/>
    <cellStyle name="Total 2 4 5" xfId="7569"/>
    <cellStyle name="Total 2 4 5 2" xfId="7570"/>
    <cellStyle name="Total 2 5" xfId="7571"/>
    <cellStyle name="Total 2 5 2" xfId="7572"/>
    <cellStyle name="Total 2 5 2 2" xfId="7573"/>
    <cellStyle name="Total 2 5 2 2 2" xfId="7574"/>
    <cellStyle name="Total 2 5 2 2 2 2" xfId="7575"/>
    <cellStyle name="Total 2 5 2 2 2 2 2" xfId="7576"/>
    <cellStyle name="Total 2 5 2 2 2 3" xfId="7577"/>
    <cellStyle name="Total 2 5 2 2 3" xfId="7578"/>
    <cellStyle name="Total 2 5 2 2 3 2" xfId="7579"/>
    <cellStyle name="Total 2 5 2 2 4" xfId="7580"/>
    <cellStyle name="Total 2 5 2 3" xfId="7581"/>
    <cellStyle name="Total 2 5 2 3 2" xfId="7582"/>
    <cellStyle name="Total 2 5 2 3 2 2" xfId="7583"/>
    <cellStyle name="Total 2 5 2 3 3" xfId="7584"/>
    <cellStyle name="Total 2 5 2 3 4" xfId="7585"/>
    <cellStyle name="Total 2 5 2 4" xfId="7586"/>
    <cellStyle name="Total 2 5 2 4 2" xfId="7587"/>
    <cellStyle name="Total 2 5 2 4 2 2" xfId="7588"/>
    <cellStyle name="Total 2 5 2 4 3" xfId="7589"/>
    <cellStyle name="Total 2 5 2 5" xfId="7590"/>
    <cellStyle name="Total 2 5 2 5 2" xfId="7591"/>
    <cellStyle name="Total 2 5 2 6" xfId="7592"/>
    <cellStyle name="Total 2 5 3" xfId="7593"/>
    <cellStyle name="Total 2 5 3 2" xfId="7594"/>
    <cellStyle name="Total 2 5 3 2 2" xfId="7595"/>
    <cellStyle name="Total 2 5 3 2 2 2" xfId="7596"/>
    <cellStyle name="Total 2 5 3 2 2 2 2" xfId="7597"/>
    <cellStyle name="Total 2 5 3 2 2 3" xfId="7598"/>
    <cellStyle name="Total 2 5 3 2 3" xfId="7599"/>
    <cellStyle name="Total 2 5 3 2 3 2" xfId="7600"/>
    <cellStyle name="Total 2 5 3 2 4" xfId="7601"/>
    <cellStyle name="Total 2 5 3 3" xfId="7602"/>
    <cellStyle name="Total 2 5 3 3 2" xfId="7603"/>
    <cellStyle name="Total 2 5 3 3 2 2" xfId="7604"/>
    <cellStyle name="Total 2 5 3 3 3" xfId="7605"/>
    <cellStyle name="Total 2 5 3 3 4" xfId="7606"/>
    <cellStyle name="Total 2 5 3 4" xfId="7607"/>
    <cellStyle name="Total 2 5 3 4 2" xfId="7608"/>
    <cellStyle name="Total 2 5 3 4 2 2" xfId="7609"/>
    <cellStyle name="Total 2 5 3 4 3" xfId="7610"/>
    <cellStyle name="Total 2 5 3 5" xfId="7611"/>
    <cellStyle name="Total 2 5 3 5 2" xfId="7612"/>
    <cellStyle name="Total 2 5 3 6" xfId="7613"/>
    <cellStyle name="Total 2 5 4" xfId="7614"/>
    <cellStyle name="Total 2 5 4 2" xfId="7615"/>
    <cellStyle name="Total 2 5 4 2 2" xfId="7616"/>
    <cellStyle name="Total 2 5 4 2 2 2" xfId="7617"/>
    <cellStyle name="Total 2 5 4 2 3" xfId="7618"/>
    <cellStyle name="Total 2 5 4 3" xfId="7619"/>
    <cellStyle name="Total 2 5 4 3 2" xfId="7620"/>
    <cellStyle name="Total 2 5 4 4" xfId="7621"/>
    <cellStyle name="Total 2 5 5" xfId="7622"/>
    <cellStyle name="Total 2 5 5 2" xfId="7623"/>
    <cellStyle name="Total 2 5 5 2 2" xfId="7624"/>
    <cellStyle name="Total 2 5 5 3" xfId="7625"/>
    <cellStyle name="Total 2 5 5 4" xfId="7626"/>
    <cellStyle name="Total 2 5 6" xfId="7627"/>
    <cellStyle name="Total 2 5 6 2" xfId="7628"/>
    <cellStyle name="Total 2 5 6 2 2" xfId="7629"/>
    <cellStyle name="Total 2 5 6 3" xfId="7630"/>
    <cellStyle name="Total 2 5 7" xfId="7631"/>
    <cellStyle name="Total 2 5 7 2" xfId="7632"/>
    <cellStyle name="Total 2 5 8" xfId="7633"/>
    <cellStyle name="Total 2 6" xfId="7634"/>
    <cellStyle name="Total 2 6 2" xfId="7635"/>
    <cellStyle name="Total 2 6 2 2" xfId="7636"/>
    <cellStyle name="Total 2 6 2 2 2" xfId="7637"/>
    <cellStyle name="Total 2 6 2 2 2 2" xfId="7638"/>
    <cellStyle name="Total 2 6 2 2 3" xfId="7639"/>
    <cellStyle name="Total 2 6 2 3" xfId="7640"/>
    <cellStyle name="Total 2 6 2 3 2" xfId="7641"/>
    <cellStyle name="Total 2 6 2 4" xfId="7642"/>
    <cellStyle name="Total 2 6 3" xfId="7643"/>
    <cellStyle name="Total 2 6 3 2" xfId="7644"/>
    <cellStyle name="Total 2 6 3 2 2" xfId="7645"/>
    <cellStyle name="Total 2 6 3 3" xfId="7646"/>
    <cellStyle name="Total 2 6 3 4" xfId="7647"/>
    <cellStyle name="Total 2 6 4" xfId="7648"/>
    <cellStyle name="Total 2 6 4 2" xfId="7649"/>
    <cellStyle name="Total 2 6 4 2 2" xfId="7650"/>
    <cellStyle name="Total 2 6 4 3" xfId="7651"/>
    <cellStyle name="Total 2 6 5" xfId="7652"/>
    <cellStyle name="Total 2 6 5 2" xfId="7653"/>
    <cellStyle name="Total 2 6 6" xfId="7654"/>
    <cellStyle name="Total 3" xfId="7655"/>
    <cellStyle name="Total 3 2" xfId="7656"/>
    <cellStyle name="Total 3 2 2" xfId="7657"/>
    <cellStyle name="Total 3 2 2 2" xfId="7658"/>
    <cellStyle name="Total 3 2 2 2 2" xfId="7659"/>
    <cellStyle name="Total 3 2 2 2 2 2" xfId="7660"/>
    <cellStyle name="Total 3 2 2 2 2 2 2" xfId="7661"/>
    <cellStyle name="Total 3 2 2 2 2 2 2 2" xfId="7662"/>
    <cellStyle name="Total 3 2 2 2 2 2 3" xfId="7663"/>
    <cellStyle name="Total 3 2 2 2 2 3" xfId="7664"/>
    <cellStyle name="Total 3 2 2 2 2 3 2" xfId="7665"/>
    <cellStyle name="Total 3 2 2 2 2 4" xfId="7666"/>
    <cellStyle name="Total 3 2 2 2 3" xfId="7667"/>
    <cellStyle name="Total 3 2 2 2 3 2" xfId="7668"/>
    <cellStyle name="Total 3 2 2 2 3 2 2" xfId="7669"/>
    <cellStyle name="Total 3 2 2 2 3 3" xfId="7670"/>
    <cellStyle name="Total 3 2 2 2 3 4" xfId="7671"/>
    <cellStyle name="Total 3 2 2 2 4" xfId="7672"/>
    <cellStyle name="Total 3 2 2 2 4 2" xfId="7673"/>
    <cellStyle name="Total 3 2 2 2 4 2 2" xfId="7674"/>
    <cellStyle name="Total 3 2 2 2 4 3" xfId="7675"/>
    <cellStyle name="Total 3 2 2 2 5" xfId="7676"/>
    <cellStyle name="Total 3 2 2 2 5 2" xfId="7677"/>
    <cellStyle name="Total 3 2 2 2 6" xfId="7678"/>
    <cellStyle name="Total 3 2 2 3" xfId="7679"/>
    <cellStyle name="Total 3 2 2 3 2" xfId="7680"/>
    <cellStyle name="Total 3 2 2 3 2 2" xfId="7681"/>
    <cellStyle name="Total 3 2 2 3 2 2 2" xfId="7682"/>
    <cellStyle name="Total 3 2 2 3 2 2 2 2" xfId="7683"/>
    <cellStyle name="Total 3 2 2 3 2 2 3" xfId="7684"/>
    <cellStyle name="Total 3 2 2 3 2 3" xfId="7685"/>
    <cellStyle name="Total 3 2 2 3 2 3 2" xfId="7686"/>
    <cellStyle name="Total 3 2 2 3 2 4" xfId="7687"/>
    <cellStyle name="Total 3 2 2 3 3" xfId="7688"/>
    <cellStyle name="Total 3 2 2 3 3 2" xfId="7689"/>
    <cellStyle name="Total 3 2 2 3 3 2 2" xfId="7690"/>
    <cellStyle name="Total 3 2 2 3 3 3" xfId="7691"/>
    <cellStyle name="Total 3 2 2 3 3 4" xfId="7692"/>
    <cellStyle name="Total 3 2 2 3 4" xfId="7693"/>
    <cellStyle name="Total 3 2 2 3 4 2" xfId="7694"/>
    <cellStyle name="Total 3 2 2 3 4 2 2" xfId="7695"/>
    <cellStyle name="Total 3 2 2 3 4 3" xfId="7696"/>
    <cellStyle name="Total 3 2 2 3 5" xfId="7697"/>
    <cellStyle name="Total 3 2 2 3 5 2" xfId="7698"/>
    <cellStyle name="Total 3 2 2 3 6" xfId="7699"/>
    <cellStyle name="Total 3 2 2 4" xfId="7700"/>
    <cellStyle name="Total 3 2 2 4 2" xfId="7701"/>
    <cellStyle name="Total 3 2 2 4 2 2" xfId="7702"/>
    <cellStyle name="Total 3 2 2 4 2 2 2" xfId="7703"/>
    <cellStyle name="Total 3 2 2 4 2 2 2 2" xfId="7704"/>
    <cellStyle name="Total 3 2 2 4 2 2 3" xfId="7705"/>
    <cellStyle name="Total 3 2 2 4 2 3" xfId="7706"/>
    <cellStyle name="Total 3 2 2 4 2 3 2" xfId="7707"/>
    <cellStyle name="Total 3 2 2 4 2 4" xfId="7708"/>
    <cellStyle name="Total 3 2 2 4 3" xfId="7709"/>
    <cellStyle name="Total 3 2 2 4 3 2" xfId="7710"/>
    <cellStyle name="Total 3 2 2 4 3 2 2" xfId="7711"/>
    <cellStyle name="Total 3 2 2 4 3 3" xfId="7712"/>
    <cellStyle name="Total 3 2 2 4 3 4" xfId="7713"/>
    <cellStyle name="Total 3 2 2 4 4" xfId="7714"/>
    <cellStyle name="Total 3 2 2 4 4 2" xfId="7715"/>
    <cellStyle name="Total 3 2 2 4 4 2 2" xfId="7716"/>
    <cellStyle name="Total 3 2 2 4 4 3" xfId="7717"/>
    <cellStyle name="Total 3 2 2 4 5" xfId="7718"/>
    <cellStyle name="Total 3 2 2 4 5 2" xfId="7719"/>
    <cellStyle name="Total 3 2 2 4 6" xfId="7720"/>
    <cellStyle name="Total 3 2 2 5" xfId="7721"/>
    <cellStyle name="Total 3 2 2 5 2" xfId="7722"/>
    <cellStyle name="Total 3 2 3" xfId="7723"/>
    <cellStyle name="Total 3 2 3 2" xfId="7724"/>
    <cellStyle name="Total 3 2 3 2 2" xfId="7725"/>
    <cellStyle name="Total 3 2 3 2 2 2" xfId="7726"/>
    <cellStyle name="Total 3 2 3 2 2 2 2" xfId="7727"/>
    <cellStyle name="Total 3 2 3 2 2 3" xfId="7728"/>
    <cellStyle name="Total 3 2 3 2 3" xfId="7729"/>
    <cellStyle name="Total 3 2 3 2 3 2" xfId="7730"/>
    <cellStyle name="Total 3 2 3 2 4" xfId="7731"/>
    <cellStyle name="Total 3 2 3 3" xfId="7732"/>
    <cellStyle name="Total 3 2 3 3 2" xfId="7733"/>
    <cellStyle name="Total 3 2 3 3 2 2" xfId="7734"/>
    <cellStyle name="Total 3 2 3 3 3" xfId="7735"/>
    <cellStyle name="Total 3 2 3 3 4" xfId="7736"/>
    <cellStyle name="Total 3 2 3 4" xfId="7737"/>
    <cellStyle name="Total 3 2 3 4 2" xfId="7738"/>
    <cellStyle name="Total 3 2 3 4 2 2" xfId="7739"/>
    <cellStyle name="Total 3 2 3 4 3" xfId="7740"/>
    <cellStyle name="Total 3 2 3 5" xfId="7741"/>
    <cellStyle name="Total 3 2 3 5 2" xfId="7742"/>
    <cellStyle name="Total 3 2 3 6" xfId="7743"/>
    <cellStyle name="Total 3 2 4" xfId="7744"/>
    <cellStyle name="Total 3 2 4 2" xfId="7745"/>
    <cellStyle name="Total 3 2 4 2 2" xfId="7746"/>
    <cellStyle name="Total 3 2 4 2 2 2" xfId="7747"/>
    <cellStyle name="Total 3 2 4 2 2 2 2" xfId="7748"/>
    <cellStyle name="Total 3 2 4 2 2 3" xfId="7749"/>
    <cellStyle name="Total 3 2 4 2 3" xfId="7750"/>
    <cellStyle name="Total 3 2 4 2 3 2" xfId="7751"/>
    <cellStyle name="Total 3 2 4 2 4" xfId="7752"/>
    <cellStyle name="Total 3 2 4 3" xfId="7753"/>
    <cellStyle name="Total 3 2 4 3 2" xfId="7754"/>
    <cellStyle name="Total 3 2 4 3 2 2" xfId="7755"/>
    <cellStyle name="Total 3 2 4 3 3" xfId="7756"/>
    <cellStyle name="Total 3 2 4 3 4" xfId="7757"/>
    <cellStyle name="Total 3 2 4 4" xfId="7758"/>
    <cellStyle name="Total 3 2 4 4 2" xfId="7759"/>
    <cellStyle name="Total 3 2 4 4 2 2" xfId="7760"/>
    <cellStyle name="Total 3 2 4 4 3" xfId="7761"/>
    <cellStyle name="Total 3 2 4 5" xfId="7762"/>
    <cellStyle name="Total 3 2 4 5 2" xfId="7763"/>
    <cellStyle name="Total 3 2 4 6" xfId="7764"/>
    <cellStyle name="Total 3 2 5" xfId="7765"/>
    <cellStyle name="Total 3 2 5 2" xfId="7766"/>
    <cellStyle name="Total 3 2 5 2 2" xfId="7767"/>
    <cellStyle name="Total 3 2 5 2 2 2" xfId="7768"/>
    <cellStyle name="Total 3 2 5 2 2 2 2" xfId="7769"/>
    <cellStyle name="Total 3 2 5 2 2 3" xfId="7770"/>
    <cellStyle name="Total 3 2 5 2 3" xfId="7771"/>
    <cellStyle name="Total 3 2 5 2 3 2" xfId="7772"/>
    <cellStyle name="Total 3 2 5 2 4" xfId="7773"/>
    <cellStyle name="Total 3 2 5 3" xfId="7774"/>
    <cellStyle name="Total 3 2 5 3 2" xfId="7775"/>
    <cellStyle name="Total 3 2 5 3 2 2" xfId="7776"/>
    <cellStyle name="Total 3 2 5 3 3" xfId="7777"/>
    <cellStyle name="Total 3 2 5 3 4" xfId="7778"/>
    <cellStyle name="Total 3 2 5 4" xfId="7779"/>
    <cellStyle name="Total 3 2 5 4 2" xfId="7780"/>
    <cellStyle name="Total 3 2 5 4 2 2" xfId="7781"/>
    <cellStyle name="Total 3 2 5 4 3" xfId="7782"/>
    <cellStyle name="Total 3 2 5 5" xfId="7783"/>
    <cellStyle name="Total 3 2 5 5 2" xfId="7784"/>
    <cellStyle name="Total 3 2 5 6" xfId="7785"/>
    <cellStyle name="Total 3 2 6" xfId="7786"/>
    <cellStyle name="Total 3 2 6 2" xfId="7787"/>
    <cellStyle name="Total 3 3" xfId="7788"/>
    <cellStyle name="Total 3 3 2" xfId="7789"/>
    <cellStyle name="Total 3 3 2 2" xfId="7790"/>
    <cellStyle name="Total 3 3 2 2 2" xfId="7791"/>
    <cellStyle name="Total 3 3 2 2 2 2" xfId="7792"/>
    <cellStyle name="Total 3 3 2 2 2 2 2" xfId="7793"/>
    <cellStyle name="Total 3 3 2 2 2 3" xfId="7794"/>
    <cellStyle name="Total 3 3 2 2 3" xfId="7795"/>
    <cellStyle name="Total 3 3 2 2 3 2" xfId="7796"/>
    <cellStyle name="Total 3 3 2 2 4" xfId="7797"/>
    <cellStyle name="Total 3 3 2 3" xfId="7798"/>
    <cellStyle name="Total 3 3 2 3 2" xfId="7799"/>
    <cellStyle name="Total 3 3 2 3 2 2" xfId="7800"/>
    <cellStyle name="Total 3 3 2 3 3" xfId="7801"/>
    <cellStyle name="Total 3 3 2 3 4" xfId="7802"/>
    <cellStyle name="Total 3 3 2 4" xfId="7803"/>
    <cellStyle name="Total 3 3 2 4 2" xfId="7804"/>
    <cellStyle name="Total 3 3 2 4 2 2" xfId="7805"/>
    <cellStyle name="Total 3 3 2 4 3" xfId="7806"/>
    <cellStyle name="Total 3 3 2 5" xfId="7807"/>
    <cellStyle name="Total 3 3 2 5 2" xfId="7808"/>
    <cellStyle name="Total 3 3 2 6" xfId="7809"/>
    <cellStyle name="Total 3 3 3" xfId="7810"/>
    <cellStyle name="Total 3 3 3 2" xfId="7811"/>
    <cellStyle name="Total 3 3 3 2 2" xfId="7812"/>
    <cellStyle name="Total 3 3 3 2 2 2" xfId="7813"/>
    <cellStyle name="Total 3 3 3 2 2 2 2" xfId="7814"/>
    <cellStyle name="Total 3 3 3 2 2 3" xfId="7815"/>
    <cellStyle name="Total 3 3 3 2 3" xfId="7816"/>
    <cellStyle name="Total 3 3 3 2 3 2" xfId="7817"/>
    <cellStyle name="Total 3 3 3 2 4" xfId="7818"/>
    <cellStyle name="Total 3 3 3 3" xfId="7819"/>
    <cellStyle name="Total 3 3 3 3 2" xfId="7820"/>
    <cellStyle name="Total 3 3 3 3 2 2" xfId="7821"/>
    <cellStyle name="Total 3 3 3 3 3" xfId="7822"/>
    <cellStyle name="Total 3 3 3 3 4" xfId="7823"/>
    <cellStyle name="Total 3 3 3 4" xfId="7824"/>
    <cellStyle name="Total 3 3 3 4 2" xfId="7825"/>
    <cellStyle name="Total 3 3 3 4 2 2" xfId="7826"/>
    <cellStyle name="Total 3 3 3 4 3" xfId="7827"/>
    <cellStyle name="Total 3 3 3 5" xfId="7828"/>
    <cellStyle name="Total 3 3 3 5 2" xfId="7829"/>
    <cellStyle name="Total 3 3 3 6" xfId="7830"/>
    <cellStyle name="Total 3 3 4" xfId="7831"/>
    <cellStyle name="Total 3 3 4 2" xfId="7832"/>
    <cellStyle name="Total 3 3 4 2 2" xfId="7833"/>
    <cellStyle name="Total 3 3 4 2 2 2" xfId="7834"/>
    <cellStyle name="Total 3 3 4 2 2 2 2" xfId="7835"/>
    <cellStyle name="Total 3 3 4 2 2 3" xfId="7836"/>
    <cellStyle name="Total 3 3 4 2 3" xfId="7837"/>
    <cellStyle name="Total 3 3 4 2 3 2" xfId="7838"/>
    <cellStyle name="Total 3 3 4 2 4" xfId="7839"/>
    <cellStyle name="Total 3 3 4 3" xfId="7840"/>
    <cellStyle name="Total 3 3 4 3 2" xfId="7841"/>
    <cellStyle name="Total 3 3 4 3 2 2" xfId="7842"/>
    <cellStyle name="Total 3 3 4 3 3" xfId="7843"/>
    <cellStyle name="Total 3 3 4 3 4" xfId="7844"/>
    <cellStyle name="Total 3 3 4 4" xfId="7845"/>
    <cellStyle name="Total 3 3 4 4 2" xfId="7846"/>
    <cellStyle name="Total 3 3 4 4 2 2" xfId="7847"/>
    <cellStyle name="Total 3 3 4 4 3" xfId="7848"/>
    <cellStyle name="Total 3 3 4 5" xfId="7849"/>
    <cellStyle name="Total 3 3 4 5 2" xfId="7850"/>
    <cellStyle name="Total 3 3 4 6" xfId="7851"/>
    <cellStyle name="Total 3 3 5" xfId="7852"/>
    <cellStyle name="Total 3 3 5 2" xfId="7853"/>
    <cellStyle name="Total 3 4" xfId="7854"/>
    <cellStyle name="Total 3 4 2" xfId="7855"/>
    <cellStyle name="Total 3 4 2 2" xfId="7856"/>
    <cellStyle name="Total 3 4 2 2 2" xfId="7857"/>
    <cellStyle name="Total 3 4 2 2 2 2" xfId="7858"/>
    <cellStyle name="Total 3 4 2 2 2 2 2" xfId="7859"/>
    <cellStyle name="Total 3 4 2 2 2 3" xfId="7860"/>
    <cellStyle name="Total 3 4 2 2 3" xfId="7861"/>
    <cellStyle name="Total 3 4 2 2 3 2" xfId="7862"/>
    <cellStyle name="Total 3 4 2 2 4" xfId="7863"/>
    <cellStyle name="Total 3 4 2 3" xfId="7864"/>
    <cellStyle name="Total 3 4 2 3 2" xfId="7865"/>
    <cellStyle name="Total 3 4 2 3 2 2" xfId="7866"/>
    <cellStyle name="Total 3 4 2 3 3" xfId="7867"/>
    <cellStyle name="Total 3 4 2 3 4" xfId="7868"/>
    <cellStyle name="Total 3 4 2 4" xfId="7869"/>
    <cellStyle name="Total 3 4 2 4 2" xfId="7870"/>
    <cellStyle name="Total 3 4 2 4 2 2" xfId="7871"/>
    <cellStyle name="Total 3 4 2 4 3" xfId="7872"/>
    <cellStyle name="Total 3 4 2 5" xfId="7873"/>
    <cellStyle name="Total 3 4 2 5 2" xfId="7874"/>
    <cellStyle name="Total 3 4 2 6" xfId="7875"/>
    <cellStyle name="Total 3 4 3" xfId="7876"/>
    <cellStyle name="Total 3 4 3 2" xfId="7877"/>
    <cellStyle name="Total 3 4 3 2 2" xfId="7878"/>
    <cellStyle name="Total 3 4 3 2 2 2" xfId="7879"/>
    <cellStyle name="Total 3 4 3 2 2 2 2" xfId="7880"/>
    <cellStyle name="Total 3 4 3 2 2 3" xfId="7881"/>
    <cellStyle name="Total 3 4 3 2 3" xfId="7882"/>
    <cellStyle name="Total 3 4 3 2 3 2" xfId="7883"/>
    <cellStyle name="Total 3 4 3 2 4" xfId="7884"/>
    <cellStyle name="Total 3 4 3 3" xfId="7885"/>
    <cellStyle name="Total 3 4 3 3 2" xfId="7886"/>
    <cellStyle name="Total 3 4 3 3 2 2" xfId="7887"/>
    <cellStyle name="Total 3 4 3 3 3" xfId="7888"/>
    <cellStyle name="Total 3 4 3 3 4" xfId="7889"/>
    <cellStyle name="Total 3 4 3 4" xfId="7890"/>
    <cellStyle name="Total 3 4 3 4 2" xfId="7891"/>
    <cellStyle name="Total 3 4 3 4 2 2" xfId="7892"/>
    <cellStyle name="Total 3 4 3 4 3" xfId="7893"/>
    <cellStyle name="Total 3 4 3 5" xfId="7894"/>
    <cellStyle name="Total 3 4 3 5 2" xfId="7895"/>
    <cellStyle name="Total 3 4 3 6" xfId="7896"/>
    <cellStyle name="Total 3 4 4" xfId="7897"/>
    <cellStyle name="Total 3 4 4 2" xfId="7898"/>
    <cellStyle name="Total 3 4 4 2 2" xfId="7899"/>
    <cellStyle name="Total 3 4 4 2 2 2" xfId="7900"/>
    <cellStyle name="Total 3 4 4 2 3" xfId="7901"/>
    <cellStyle name="Total 3 4 4 3" xfId="7902"/>
    <cellStyle name="Total 3 4 4 3 2" xfId="7903"/>
    <cellStyle name="Total 3 4 4 4" xfId="7904"/>
    <cellStyle name="Total 3 4 5" xfId="7905"/>
    <cellStyle name="Total 3 4 5 2" xfId="7906"/>
    <cellStyle name="Total 3 4 5 2 2" xfId="7907"/>
    <cellStyle name="Total 3 4 5 3" xfId="7908"/>
    <cellStyle name="Total 3 4 5 4" xfId="7909"/>
    <cellStyle name="Total 3 4 6" xfId="7910"/>
    <cellStyle name="Total 3 4 6 2" xfId="7911"/>
    <cellStyle name="Total 3 4 6 2 2" xfId="7912"/>
    <cellStyle name="Total 3 4 6 3" xfId="7913"/>
    <cellStyle name="Total 3 4 7" xfId="7914"/>
    <cellStyle name="Total 3 4 7 2" xfId="7915"/>
    <cellStyle name="Total 3 4 8" xfId="7916"/>
    <cellStyle name="Total 3 5" xfId="7917"/>
    <cellStyle name="Total 3 5 2" xfId="7918"/>
    <cellStyle name="Total 3 5 2 2" xfId="7919"/>
    <cellStyle name="Total 3 5 2 2 2" xfId="7920"/>
    <cellStyle name="Total 3 5 2 2 2 2" xfId="7921"/>
    <cellStyle name="Total 3 5 2 2 3" xfId="7922"/>
    <cellStyle name="Total 3 5 2 3" xfId="7923"/>
    <cellStyle name="Total 3 5 2 3 2" xfId="7924"/>
    <cellStyle name="Total 3 5 2 4" xfId="7925"/>
    <cellStyle name="Total 3 5 3" xfId="7926"/>
    <cellStyle name="Total 3 5 3 2" xfId="7927"/>
    <cellStyle name="Total 3 5 3 2 2" xfId="7928"/>
    <cellStyle name="Total 3 5 3 3" xfId="7929"/>
    <cellStyle name="Total 3 5 3 4" xfId="7930"/>
    <cellStyle name="Total 3 5 4" xfId="7931"/>
    <cellStyle name="Total 3 5 4 2" xfId="7932"/>
    <cellStyle name="Total 3 5 4 2 2" xfId="7933"/>
    <cellStyle name="Total 3 5 4 3" xfId="7934"/>
    <cellStyle name="Total 3 5 5" xfId="7935"/>
    <cellStyle name="Total 3 5 5 2" xfId="7936"/>
    <cellStyle name="Total 3 5 6" xfId="7937"/>
    <cellStyle name="Total 4" xfId="7938"/>
    <cellStyle name="Total 4 2" xfId="7939"/>
    <cellStyle name="Total 4 2 2" xfId="7940"/>
    <cellStyle name="Total 4 2 2 2" xfId="7941"/>
    <cellStyle name="Total 4 2 2 2 2" xfId="7942"/>
    <cellStyle name="Total 4 2 2 2 2 2" xfId="7943"/>
    <cellStyle name="Total 4 2 2 2 2 2 2" xfId="7944"/>
    <cellStyle name="Total 4 2 2 2 2 3" xfId="7945"/>
    <cellStyle name="Total 4 2 2 2 3" xfId="7946"/>
    <cellStyle name="Total 4 2 2 2 3 2" xfId="7947"/>
    <cellStyle name="Total 4 2 2 2 4" xfId="7948"/>
    <cellStyle name="Total 4 2 2 3" xfId="7949"/>
    <cellStyle name="Total 4 2 2 3 2" xfId="7950"/>
    <cellStyle name="Total 4 2 2 3 2 2" xfId="7951"/>
    <cellStyle name="Total 4 2 2 3 3" xfId="7952"/>
    <cellStyle name="Total 4 2 2 3 4" xfId="7953"/>
    <cellStyle name="Total 4 2 2 4" xfId="7954"/>
    <cellStyle name="Total 4 2 2 4 2" xfId="7955"/>
    <cellStyle name="Total 4 2 2 4 2 2" xfId="7956"/>
    <cellStyle name="Total 4 2 2 4 3" xfId="7957"/>
    <cellStyle name="Total 4 2 2 5" xfId="7958"/>
    <cellStyle name="Total 4 2 2 5 2" xfId="7959"/>
    <cellStyle name="Total 4 2 2 6" xfId="7960"/>
    <cellStyle name="Total 4 2 3" xfId="7961"/>
    <cellStyle name="Total 4 2 3 2" xfId="7962"/>
    <cellStyle name="Total 4 2 3 2 2" xfId="7963"/>
    <cellStyle name="Total 4 2 3 2 2 2" xfId="7964"/>
    <cellStyle name="Total 4 2 3 2 2 2 2" xfId="7965"/>
    <cellStyle name="Total 4 2 3 2 2 3" xfId="7966"/>
    <cellStyle name="Total 4 2 3 2 3" xfId="7967"/>
    <cellStyle name="Total 4 2 3 2 3 2" xfId="7968"/>
    <cellStyle name="Total 4 2 3 2 4" xfId="7969"/>
    <cellStyle name="Total 4 2 3 3" xfId="7970"/>
    <cellStyle name="Total 4 2 3 3 2" xfId="7971"/>
    <cellStyle name="Total 4 2 3 3 2 2" xfId="7972"/>
    <cellStyle name="Total 4 2 3 3 3" xfId="7973"/>
    <cellStyle name="Total 4 2 3 3 4" xfId="7974"/>
    <cellStyle name="Total 4 2 3 4" xfId="7975"/>
    <cellStyle name="Total 4 2 3 4 2" xfId="7976"/>
    <cellStyle name="Total 4 2 3 4 2 2" xfId="7977"/>
    <cellStyle name="Total 4 2 3 4 3" xfId="7978"/>
    <cellStyle name="Total 4 2 3 5" xfId="7979"/>
    <cellStyle name="Total 4 2 3 5 2" xfId="7980"/>
    <cellStyle name="Total 4 2 3 6" xfId="7981"/>
    <cellStyle name="Total 4 2 4" xfId="7982"/>
    <cellStyle name="Total 4 2 4 2" xfId="7983"/>
    <cellStyle name="Total 4 2 4 2 2" xfId="7984"/>
    <cellStyle name="Total 4 2 4 2 2 2" xfId="7985"/>
    <cellStyle name="Total 4 2 4 2 2 2 2" xfId="7986"/>
    <cellStyle name="Total 4 2 4 2 2 3" xfId="7987"/>
    <cellStyle name="Total 4 2 4 2 3" xfId="7988"/>
    <cellStyle name="Total 4 2 4 2 3 2" xfId="7989"/>
    <cellStyle name="Total 4 2 4 2 4" xfId="7990"/>
    <cellStyle name="Total 4 2 4 3" xfId="7991"/>
    <cellStyle name="Total 4 2 4 3 2" xfId="7992"/>
    <cellStyle name="Total 4 2 4 3 2 2" xfId="7993"/>
    <cellStyle name="Total 4 2 4 3 3" xfId="7994"/>
    <cellStyle name="Total 4 2 4 3 4" xfId="7995"/>
    <cellStyle name="Total 4 2 4 4" xfId="7996"/>
    <cellStyle name="Total 4 2 4 4 2" xfId="7997"/>
    <cellStyle name="Total 4 2 4 4 2 2" xfId="7998"/>
    <cellStyle name="Total 4 2 4 4 3" xfId="7999"/>
    <cellStyle name="Total 4 2 4 5" xfId="8000"/>
    <cellStyle name="Total 4 2 4 5 2" xfId="8001"/>
    <cellStyle name="Total 4 2 4 6" xfId="8002"/>
    <cellStyle name="Total 4 2 5" xfId="8003"/>
    <cellStyle name="Total 4 2 5 2" xfId="8004"/>
    <cellStyle name="Total 4 3" xfId="8005"/>
    <cellStyle name="Total 4 3 2" xfId="8006"/>
    <cellStyle name="Total 4 3 2 2" xfId="8007"/>
    <cellStyle name="Total 4 3 2 2 2" xfId="8008"/>
    <cellStyle name="Total 4 3 2 2 2 2" xfId="8009"/>
    <cellStyle name="Total 4 3 2 2 2 2 2" xfId="8010"/>
    <cellStyle name="Total 4 3 2 2 2 3" xfId="8011"/>
    <cellStyle name="Total 4 3 2 2 3" xfId="8012"/>
    <cellStyle name="Total 4 3 2 2 3 2" xfId="8013"/>
    <cellStyle name="Total 4 3 2 2 4" xfId="8014"/>
    <cellStyle name="Total 4 3 2 3" xfId="8015"/>
    <cellStyle name="Total 4 3 2 3 2" xfId="8016"/>
    <cellStyle name="Total 4 3 2 3 2 2" xfId="8017"/>
    <cellStyle name="Total 4 3 2 3 3" xfId="8018"/>
    <cellStyle name="Total 4 3 2 3 4" xfId="8019"/>
    <cellStyle name="Total 4 3 2 4" xfId="8020"/>
    <cellStyle name="Total 4 3 2 4 2" xfId="8021"/>
    <cellStyle name="Total 4 3 2 4 2 2" xfId="8022"/>
    <cellStyle name="Total 4 3 2 4 3" xfId="8023"/>
    <cellStyle name="Total 4 3 2 5" xfId="8024"/>
    <cellStyle name="Total 4 3 2 5 2" xfId="8025"/>
    <cellStyle name="Total 4 3 2 6" xfId="8026"/>
    <cellStyle name="Total 4 3 3" xfId="8027"/>
    <cellStyle name="Total 4 3 3 2" xfId="8028"/>
    <cellStyle name="Total 4 3 3 2 2" xfId="8029"/>
    <cellStyle name="Total 4 3 3 2 2 2" xfId="8030"/>
    <cellStyle name="Total 4 3 3 2 2 2 2" xfId="8031"/>
    <cellStyle name="Total 4 3 3 2 2 3" xfId="8032"/>
    <cellStyle name="Total 4 3 3 2 3" xfId="8033"/>
    <cellStyle name="Total 4 3 3 2 3 2" xfId="8034"/>
    <cellStyle name="Total 4 3 3 2 4" xfId="8035"/>
    <cellStyle name="Total 4 3 3 3" xfId="8036"/>
    <cellStyle name="Total 4 3 3 3 2" xfId="8037"/>
    <cellStyle name="Total 4 3 3 3 2 2" xfId="8038"/>
    <cellStyle name="Total 4 3 3 3 3" xfId="8039"/>
    <cellStyle name="Total 4 3 3 3 4" xfId="8040"/>
    <cellStyle name="Total 4 3 3 4" xfId="8041"/>
    <cellStyle name="Total 4 3 3 4 2" xfId="8042"/>
    <cellStyle name="Total 4 3 3 4 2 2" xfId="8043"/>
    <cellStyle name="Total 4 3 3 4 3" xfId="8044"/>
    <cellStyle name="Total 4 3 3 5" xfId="8045"/>
    <cellStyle name="Total 4 3 3 5 2" xfId="8046"/>
    <cellStyle name="Total 4 3 3 6" xfId="8047"/>
    <cellStyle name="Total 4 3 4" xfId="8048"/>
    <cellStyle name="Total 4 3 4 2" xfId="8049"/>
    <cellStyle name="Total 4 3 4 2 2" xfId="8050"/>
    <cellStyle name="Total 4 3 4 2 2 2" xfId="8051"/>
    <cellStyle name="Total 4 3 4 2 3" xfId="8052"/>
    <cellStyle name="Total 4 3 4 3" xfId="8053"/>
    <cellStyle name="Total 4 3 4 3 2" xfId="8054"/>
    <cellStyle name="Total 4 3 4 4" xfId="8055"/>
    <cellStyle name="Total 4 3 5" xfId="8056"/>
    <cellStyle name="Total 4 3 5 2" xfId="8057"/>
    <cellStyle name="Total 4 3 5 2 2" xfId="8058"/>
    <cellStyle name="Total 4 3 5 3" xfId="8059"/>
    <cellStyle name="Total 4 3 5 4" xfId="8060"/>
    <cellStyle name="Total 4 3 6" xfId="8061"/>
    <cellStyle name="Total 4 3 6 2" xfId="8062"/>
    <cellStyle name="Total 4 3 6 2 2" xfId="8063"/>
    <cellStyle name="Total 4 3 6 3" xfId="8064"/>
    <cellStyle name="Total 4 3 7" xfId="8065"/>
    <cellStyle name="Total 4 3 7 2" xfId="8066"/>
    <cellStyle name="Total 4 3 8" xfId="8067"/>
    <cellStyle name="Total 4 4" xfId="8068"/>
    <cellStyle name="Total 4 4 2" xfId="8069"/>
    <cellStyle name="Total 4 4 2 2" xfId="8070"/>
    <cellStyle name="Total 4 4 2 2 2" xfId="8071"/>
    <cellStyle name="Total 4 4 2 2 2 2" xfId="8072"/>
    <cellStyle name="Total 4 4 2 2 3" xfId="8073"/>
    <cellStyle name="Total 4 4 2 3" xfId="8074"/>
    <cellStyle name="Total 4 4 2 3 2" xfId="8075"/>
    <cellStyle name="Total 4 4 2 4" xfId="8076"/>
    <cellStyle name="Total 4 4 3" xfId="8077"/>
    <cellStyle name="Total 4 4 3 2" xfId="8078"/>
    <cellStyle name="Total 4 4 3 2 2" xfId="8079"/>
    <cellStyle name="Total 4 4 3 3" xfId="8080"/>
    <cellStyle name="Total 4 4 3 4" xfId="8081"/>
    <cellStyle name="Total 4 4 4" xfId="8082"/>
    <cellStyle name="Total 4 4 4 2" xfId="8083"/>
    <cellStyle name="Total 4 4 4 2 2" xfId="8084"/>
    <cellStyle name="Total 4 4 4 3" xfId="8085"/>
    <cellStyle name="Total 4 4 5" xfId="8086"/>
    <cellStyle name="Total 4 4 5 2" xfId="8087"/>
    <cellStyle name="Total 4 4 6" xfId="8088"/>
    <cellStyle name="Total 5" xfId="8089"/>
    <cellStyle name="Total 5 2" xfId="8090"/>
    <cellStyle name="Total 5 2 2" xfId="8091"/>
    <cellStyle name="Total 5 2 2 2" xfId="8092"/>
    <cellStyle name="Total 5 2 2 2 2" xfId="8093"/>
    <cellStyle name="Total 5 2 2 2 2 2" xfId="8094"/>
    <cellStyle name="Total 5 2 2 2 2 2 2" xfId="8095"/>
    <cellStyle name="Total 5 2 2 2 2 3" xfId="8096"/>
    <cellStyle name="Total 5 2 2 2 3" xfId="8097"/>
    <cellStyle name="Total 5 2 2 2 3 2" xfId="8098"/>
    <cellStyle name="Total 5 2 2 2 4" xfId="8099"/>
    <cellStyle name="Total 5 2 2 3" xfId="8100"/>
    <cellStyle name="Total 5 2 2 3 2" xfId="8101"/>
    <cellStyle name="Total 5 2 2 3 2 2" xfId="8102"/>
    <cellStyle name="Total 5 2 2 3 3" xfId="8103"/>
    <cellStyle name="Total 5 2 2 3 4" xfId="8104"/>
    <cellStyle name="Total 5 2 2 4" xfId="8105"/>
    <cellStyle name="Total 5 2 2 4 2" xfId="8106"/>
    <cellStyle name="Total 5 2 2 4 2 2" xfId="8107"/>
    <cellStyle name="Total 5 2 2 4 3" xfId="8108"/>
    <cellStyle name="Total 5 2 2 5" xfId="8109"/>
    <cellStyle name="Total 5 2 2 5 2" xfId="8110"/>
    <cellStyle name="Total 5 2 2 6" xfId="8111"/>
    <cellStyle name="Total 5 2 3" xfId="8112"/>
    <cellStyle name="Total 5 2 3 2" xfId="8113"/>
    <cellStyle name="Total 5 2 3 2 2" xfId="8114"/>
    <cellStyle name="Total 5 2 3 2 2 2" xfId="8115"/>
    <cellStyle name="Total 5 2 3 2 2 2 2" xfId="8116"/>
    <cellStyle name="Total 5 2 3 2 2 3" xfId="8117"/>
    <cellStyle name="Total 5 2 3 2 3" xfId="8118"/>
    <cellStyle name="Total 5 2 3 2 3 2" xfId="8119"/>
    <cellStyle name="Total 5 2 3 2 4" xfId="8120"/>
    <cellStyle name="Total 5 2 3 3" xfId="8121"/>
    <cellStyle name="Total 5 2 3 3 2" xfId="8122"/>
    <cellStyle name="Total 5 2 3 3 2 2" xfId="8123"/>
    <cellStyle name="Total 5 2 3 3 3" xfId="8124"/>
    <cellStyle name="Total 5 2 3 3 4" xfId="8125"/>
    <cellStyle name="Total 5 2 3 4" xfId="8126"/>
    <cellStyle name="Total 5 2 3 4 2" xfId="8127"/>
    <cellStyle name="Total 5 2 3 4 2 2" xfId="8128"/>
    <cellStyle name="Total 5 2 3 4 3" xfId="8129"/>
    <cellStyle name="Total 5 2 3 5" xfId="8130"/>
    <cellStyle name="Total 5 2 3 5 2" xfId="8131"/>
    <cellStyle name="Total 5 2 3 6" xfId="8132"/>
    <cellStyle name="Total 5 2 4" xfId="8133"/>
    <cellStyle name="Total 5 2 4 2" xfId="8134"/>
    <cellStyle name="Total 5 2 4 2 2" xfId="8135"/>
    <cellStyle name="Total 5 2 4 2 2 2" xfId="8136"/>
    <cellStyle name="Total 5 2 4 2 2 2 2" xfId="8137"/>
    <cellStyle name="Total 5 2 4 2 2 3" xfId="8138"/>
    <cellStyle name="Total 5 2 4 2 3" xfId="8139"/>
    <cellStyle name="Total 5 2 4 2 3 2" xfId="8140"/>
    <cellStyle name="Total 5 2 4 2 4" xfId="8141"/>
    <cellStyle name="Total 5 2 4 3" xfId="8142"/>
    <cellStyle name="Total 5 2 4 3 2" xfId="8143"/>
    <cellStyle name="Total 5 2 4 3 2 2" xfId="8144"/>
    <cellStyle name="Total 5 2 4 3 3" xfId="8145"/>
    <cellStyle name="Total 5 2 4 3 4" xfId="8146"/>
    <cellStyle name="Total 5 2 4 4" xfId="8147"/>
    <cellStyle name="Total 5 2 4 4 2" xfId="8148"/>
    <cellStyle name="Total 5 2 4 4 2 2" xfId="8149"/>
    <cellStyle name="Total 5 2 4 4 3" xfId="8150"/>
    <cellStyle name="Total 5 2 4 5" xfId="8151"/>
    <cellStyle name="Total 5 2 4 5 2" xfId="8152"/>
    <cellStyle name="Total 5 2 4 6" xfId="8153"/>
    <cellStyle name="Total 5 2 5" xfId="8154"/>
    <cellStyle name="Total 5 2 5 2" xfId="8155"/>
    <cellStyle name="Total 5 3" xfId="8156"/>
    <cellStyle name="Total 5 3 2" xfId="8157"/>
    <cellStyle name="Total 5 3 2 2" xfId="8158"/>
    <cellStyle name="Total 5 3 2 2 2" xfId="8159"/>
    <cellStyle name="Total 5 3 2 2 2 2" xfId="8160"/>
    <cellStyle name="Total 5 3 2 2 2 2 2" xfId="8161"/>
    <cellStyle name="Total 5 3 2 2 2 3" xfId="8162"/>
    <cellStyle name="Total 5 3 2 2 3" xfId="8163"/>
    <cellStyle name="Total 5 3 2 2 3 2" xfId="8164"/>
    <cellStyle name="Total 5 3 2 2 4" xfId="8165"/>
    <cellStyle name="Total 5 3 2 3" xfId="8166"/>
    <cellStyle name="Total 5 3 2 3 2" xfId="8167"/>
    <cellStyle name="Total 5 3 2 3 2 2" xfId="8168"/>
    <cellStyle name="Total 5 3 2 3 3" xfId="8169"/>
    <cellStyle name="Total 5 3 2 3 4" xfId="8170"/>
    <cellStyle name="Total 5 3 2 4" xfId="8171"/>
    <cellStyle name="Total 5 3 2 4 2" xfId="8172"/>
    <cellStyle name="Total 5 3 2 4 2 2" xfId="8173"/>
    <cellStyle name="Total 5 3 2 4 3" xfId="8174"/>
    <cellStyle name="Total 5 3 2 5" xfId="8175"/>
    <cellStyle name="Total 5 3 2 5 2" xfId="8176"/>
    <cellStyle name="Total 5 3 2 6" xfId="8177"/>
    <cellStyle name="Total 5 3 3" xfId="8178"/>
    <cellStyle name="Total 5 3 3 2" xfId="8179"/>
    <cellStyle name="Total 5 3 3 2 2" xfId="8180"/>
    <cellStyle name="Total 5 3 3 2 2 2" xfId="8181"/>
    <cellStyle name="Total 5 3 3 2 2 2 2" xfId="8182"/>
    <cellStyle name="Total 5 3 3 2 2 3" xfId="8183"/>
    <cellStyle name="Total 5 3 3 2 3" xfId="8184"/>
    <cellStyle name="Total 5 3 3 2 3 2" xfId="8185"/>
    <cellStyle name="Total 5 3 3 2 4" xfId="8186"/>
    <cellStyle name="Total 5 3 3 3" xfId="8187"/>
    <cellStyle name="Total 5 3 3 3 2" xfId="8188"/>
    <cellStyle name="Total 5 3 3 3 2 2" xfId="8189"/>
    <cellStyle name="Total 5 3 3 3 3" xfId="8190"/>
    <cellStyle name="Total 5 3 3 3 4" xfId="8191"/>
    <cellStyle name="Total 5 3 3 4" xfId="8192"/>
    <cellStyle name="Total 5 3 3 4 2" xfId="8193"/>
    <cellStyle name="Total 5 3 3 4 2 2" xfId="8194"/>
    <cellStyle name="Total 5 3 3 4 3" xfId="8195"/>
    <cellStyle name="Total 5 3 3 5" xfId="8196"/>
    <cellStyle name="Total 5 3 3 5 2" xfId="8197"/>
    <cellStyle name="Total 5 3 3 6" xfId="8198"/>
    <cellStyle name="Total 5 3 4" xfId="8199"/>
    <cellStyle name="Total 5 3 4 2" xfId="8200"/>
    <cellStyle name="Total 5 3 4 2 2" xfId="8201"/>
    <cellStyle name="Total 5 3 4 2 2 2" xfId="8202"/>
    <cellStyle name="Total 5 3 4 2 3" xfId="8203"/>
    <cellStyle name="Total 5 3 4 3" xfId="8204"/>
    <cellStyle name="Total 5 3 4 3 2" xfId="8205"/>
    <cellStyle name="Total 5 3 4 4" xfId="8206"/>
    <cellStyle name="Total 5 3 5" xfId="8207"/>
    <cellStyle name="Total 5 3 5 2" xfId="8208"/>
    <cellStyle name="Total 5 3 5 2 2" xfId="8209"/>
    <cellStyle name="Total 5 3 5 3" xfId="8210"/>
    <cellStyle name="Total 5 3 5 4" xfId="8211"/>
    <cellStyle name="Total 5 3 6" xfId="8212"/>
    <cellStyle name="Total 5 3 6 2" xfId="8213"/>
    <cellStyle name="Total 5 3 6 2 2" xfId="8214"/>
    <cellStyle name="Total 5 3 6 3" xfId="8215"/>
    <cellStyle name="Total 5 3 7" xfId="8216"/>
    <cellStyle name="Total 5 3 7 2" xfId="8217"/>
    <cellStyle name="Total 5 3 8" xfId="8218"/>
    <cellStyle name="Total 5 4" xfId="8219"/>
    <cellStyle name="Total 5 4 2" xfId="8220"/>
    <cellStyle name="Total 5 4 2 2" xfId="8221"/>
    <cellStyle name="Total 5 4 2 2 2" xfId="8222"/>
    <cellStyle name="Total 5 4 2 2 2 2" xfId="8223"/>
    <cellStyle name="Total 5 4 2 2 3" xfId="8224"/>
    <cellStyle name="Total 5 4 2 3" xfId="8225"/>
    <cellStyle name="Total 5 4 2 3 2" xfId="8226"/>
    <cellStyle name="Total 5 4 2 4" xfId="8227"/>
    <cellStyle name="Total 5 4 3" xfId="8228"/>
    <cellStyle name="Total 5 4 3 2" xfId="8229"/>
    <cellStyle name="Total 5 4 3 2 2" xfId="8230"/>
    <cellStyle name="Total 5 4 3 3" xfId="8231"/>
    <cellStyle name="Total 5 4 3 4" xfId="8232"/>
    <cellStyle name="Total 5 4 4" xfId="8233"/>
    <cellStyle name="Total 5 4 4 2" xfId="8234"/>
    <cellStyle name="Total 5 4 4 2 2" xfId="8235"/>
    <cellStyle name="Total 5 4 4 3" xfId="8236"/>
    <cellStyle name="Total 5 4 5" xfId="8237"/>
    <cellStyle name="Total 5 4 5 2" xfId="8238"/>
    <cellStyle name="Total 5 4 6" xfId="8239"/>
    <cellStyle name="Total 5 5" xfId="8240"/>
    <cellStyle name="Total 5 5 2" xfId="8241"/>
    <cellStyle name="Total 6" xfId="8242"/>
    <cellStyle name="Total 6 2" xfId="8243"/>
    <cellStyle name="Total 6 2 2" xfId="8244"/>
    <cellStyle name="Total 6 2 2 2" xfId="8245"/>
    <cellStyle name="Total 6 2 2 2 2" xfId="8246"/>
    <cellStyle name="Total 6 2 2 2 2 2" xfId="8247"/>
    <cellStyle name="Total 6 2 2 2 2 2 2" xfId="8248"/>
    <cellStyle name="Total 6 2 2 2 2 3" xfId="8249"/>
    <cellStyle name="Total 6 2 2 2 3" xfId="8250"/>
    <cellStyle name="Total 6 2 2 2 3 2" xfId="8251"/>
    <cellStyle name="Total 6 2 2 2 4" xfId="8252"/>
    <cellStyle name="Total 6 2 2 3" xfId="8253"/>
    <cellStyle name="Total 6 2 2 3 2" xfId="8254"/>
    <cellStyle name="Total 6 2 2 3 2 2" xfId="8255"/>
    <cellStyle name="Total 6 2 2 3 3" xfId="8256"/>
    <cellStyle name="Total 6 2 2 3 4" xfId="8257"/>
    <cellStyle name="Total 6 2 2 4" xfId="8258"/>
    <cellStyle name="Total 6 2 2 4 2" xfId="8259"/>
    <cellStyle name="Total 6 2 2 4 2 2" xfId="8260"/>
    <cellStyle name="Total 6 2 2 4 3" xfId="8261"/>
    <cellStyle name="Total 6 2 2 5" xfId="8262"/>
    <cellStyle name="Total 6 2 2 5 2" xfId="8263"/>
    <cellStyle name="Total 6 2 2 6" xfId="8264"/>
    <cellStyle name="Total 6 2 3" xfId="8265"/>
    <cellStyle name="Total 6 2 3 2" xfId="8266"/>
    <cellStyle name="Total 6 2 3 2 2" xfId="8267"/>
    <cellStyle name="Total 6 2 3 2 2 2" xfId="8268"/>
    <cellStyle name="Total 6 2 3 2 2 2 2" xfId="8269"/>
    <cellStyle name="Total 6 2 3 2 2 3" xfId="8270"/>
    <cellStyle name="Total 6 2 3 2 3" xfId="8271"/>
    <cellStyle name="Total 6 2 3 2 3 2" xfId="8272"/>
    <cellStyle name="Total 6 2 3 2 4" xfId="8273"/>
    <cellStyle name="Total 6 2 3 3" xfId="8274"/>
    <cellStyle name="Total 6 2 3 3 2" xfId="8275"/>
    <cellStyle name="Total 6 2 3 3 2 2" xfId="8276"/>
    <cellStyle name="Total 6 2 3 3 3" xfId="8277"/>
    <cellStyle name="Total 6 2 3 3 4" xfId="8278"/>
    <cellStyle name="Total 6 2 3 4" xfId="8279"/>
    <cellStyle name="Total 6 2 3 4 2" xfId="8280"/>
    <cellStyle name="Total 6 2 3 4 2 2" xfId="8281"/>
    <cellStyle name="Total 6 2 3 4 3" xfId="8282"/>
    <cellStyle name="Total 6 2 3 5" xfId="8283"/>
    <cellStyle name="Total 6 2 3 5 2" xfId="8284"/>
    <cellStyle name="Total 6 2 3 6" xfId="8285"/>
    <cellStyle name="Total 6 2 4" xfId="8286"/>
    <cellStyle name="Total 6 2 4 2" xfId="8287"/>
    <cellStyle name="Total 6 2 4 2 2" xfId="8288"/>
    <cellStyle name="Total 6 2 4 2 2 2" xfId="8289"/>
    <cellStyle name="Total 6 2 4 2 3" xfId="8290"/>
    <cellStyle name="Total 6 2 4 3" xfId="8291"/>
    <cellStyle name="Total 6 2 4 3 2" xfId="8292"/>
    <cellStyle name="Total 6 2 4 4" xfId="8293"/>
    <cellStyle name="Total 6 2 5" xfId="8294"/>
    <cellStyle name="Total 6 2 5 2" xfId="8295"/>
    <cellStyle name="Total 6 2 5 2 2" xfId="8296"/>
    <cellStyle name="Total 6 2 5 3" xfId="8297"/>
    <cellStyle name="Total 6 2 5 4" xfId="8298"/>
    <cellStyle name="Total 6 2 6" xfId="8299"/>
    <cellStyle name="Total 6 2 6 2" xfId="8300"/>
    <cellStyle name="Total 6 2 6 2 2" xfId="8301"/>
    <cellStyle name="Total 6 2 6 3" xfId="8302"/>
    <cellStyle name="Total 6 2 7" xfId="8303"/>
    <cellStyle name="Total 6 2 7 2" xfId="8304"/>
    <cellStyle name="Total 6 2 8" xfId="8305"/>
    <cellStyle name="Total 6 3" xfId="8306"/>
    <cellStyle name="Total 6 3 2" xfId="8307"/>
    <cellStyle name="Total 6 3 2 2" xfId="8308"/>
    <cellStyle name="Total 6 3 2 2 2" xfId="8309"/>
    <cellStyle name="Total 6 3 2 2 2 2" xfId="8310"/>
    <cellStyle name="Total 6 3 2 2 3" xfId="8311"/>
    <cellStyle name="Total 6 3 2 3" xfId="8312"/>
    <cellStyle name="Total 6 3 2 3 2" xfId="8313"/>
    <cellStyle name="Total 6 3 2 4" xfId="8314"/>
    <cellStyle name="Total 6 3 3" xfId="8315"/>
    <cellStyle name="Total 6 3 3 2" xfId="8316"/>
    <cellStyle name="Total 6 3 3 2 2" xfId="8317"/>
    <cellStyle name="Total 6 3 3 3" xfId="8318"/>
    <cellStyle name="Total 6 3 3 4" xfId="8319"/>
    <cellStyle name="Total 6 3 4" xfId="8320"/>
    <cellStyle name="Total 6 3 4 2" xfId="8321"/>
    <cellStyle name="Total 6 3 4 2 2" xfId="8322"/>
    <cellStyle name="Total 6 3 4 3" xfId="8323"/>
    <cellStyle name="Total 6 3 5" xfId="8324"/>
    <cellStyle name="Total 6 3 5 2" xfId="8325"/>
    <cellStyle name="Total 6 3 6" xfId="8326"/>
    <cellStyle name="Total 6 4" xfId="8327"/>
    <cellStyle name="Total 6 4 2" xfId="8328"/>
    <cellStyle name="Total 7" xfId="8329"/>
    <cellStyle name="Total 7 2" xfId="8330"/>
    <cellStyle name="Total 7 2 2" xfId="8331"/>
    <cellStyle name="Total 7 2 2 2" xfId="8332"/>
    <cellStyle name="Total 7 2 2 2 2" xfId="8333"/>
    <cellStyle name="Total 7 2 2 2 2 2" xfId="8334"/>
    <cellStyle name="Total 7 2 2 2 3" xfId="8335"/>
    <cellStyle name="Total 7 2 2 3" xfId="8336"/>
    <cellStyle name="Total 7 2 2 3 2" xfId="8337"/>
    <cellStyle name="Total 7 2 2 4" xfId="8338"/>
    <cellStyle name="Total 7 2 3" xfId="8339"/>
    <cellStyle name="Total 7 2 3 2" xfId="8340"/>
    <cellStyle name="Total 7 2 3 2 2" xfId="8341"/>
    <cellStyle name="Total 7 2 3 3" xfId="8342"/>
    <cellStyle name="Total 7 2 3 4" xfId="8343"/>
    <cellStyle name="Total 7 2 4" xfId="8344"/>
    <cellStyle name="Total 7 2 4 2" xfId="8345"/>
    <cellStyle name="Total 7 2 4 2 2" xfId="8346"/>
    <cellStyle name="Total 7 2 4 3" xfId="8347"/>
    <cellStyle name="Total 7 2 5" xfId="8348"/>
    <cellStyle name="Total 7 2 5 2" xfId="8349"/>
    <cellStyle name="Total 7 2 6" xfId="8350"/>
    <cellStyle name="Total 7 3" xfId="8351"/>
    <cellStyle name="Total 7 3 2" xfId="8352"/>
    <cellStyle name="Total 7 3 2 2" xfId="8353"/>
    <cellStyle name="Total 7 3 2 2 2" xfId="8354"/>
    <cellStyle name="Total 7 3 2 2 2 2" xfId="8355"/>
    <cellStyle name="Total 7 3 2 2 3" xfId="8356"/>
    <cellStyle name="Total 7 3 2 3" xfId="8357"/>
    <cellStyle name="Total 7 3 2 3 2" xfId="8358"/>
    <cellStyle name="Total 7 3 2 4" xfId="8359"/>
    <cellStyle name="Total 7 3 3" xfId="8360"/>
    <cellStyle name="Total 7 3 3 2" xfId="8361"/>
    <cellStyle name="Total 7 3 3 2 2" xfId="8362"/>
    <cellStyle name="Total 7 3 3 3" xfId="8363"/>
    <cellStyle name="Total 7 3 3 4" xfId="8364"/>
    <cellStyle name="Total 7 3 4" xfId="8365"/>
    <cellStyle name="Total 7 3 4 2" xfId="8366"/>
    <cellStyle name="Total 7 3 4 2 2" xfId="8367"/>
    <cellStyle name="Total 7 3 4 3" xfId="8368"/>
    <cellStyle name="Total 7 3 5" xfId="8369"/>
    <cellStyle name="Total 7 3 5 2" xfId="8370"/>
    <cellStyle name="Total 7 3 6" xfId="8371"/>
    <cellStyle name="Total 7 4" xfId="8372"/>
    <cellStyle name="Total 7 4 2" xfId="8373"/>
    <cellStyle name="Total 7 4 2 2" xfId="8374"/>
    <cellStyle name="Total 7 4 2 2 2" xfId="8375"/>
    <cellStyle name="Total 7 4 2 3" xfId="8376"/>
    <cellStyle name="Total 7 4 3" xfId="8377"/>
    <cellStyle name="Total 7 4 3 2" xfId="8378"/>
    <cellStyle name="Total 7 4 4" xfId="8379"/>
    <cellStyle name="Total 7 5" xfId="8380"/>
    <cellStyle name="Total 7 5 2" xfId="8381"/>
    <cellStyle name="Total 7 5 2 2" xfId="8382"/>
    <cellStyle name="Total 7 5 3" xfId="8383"/>
    <cellStyle name="Total 7 5 4" xfId="8384"/>
    <cellStyle name="Total 7 6" xfId="8385"/>
    <cellStyle name="Total 7 6 2" xfId="8386"/>
    <cellStyle name="Total 7 6 2 2" xfId="8387"/>
    <cellStyle name="Total 7 6 3" xfId="8388"/>
    <cellStyle name="Total 7 7" xfId="8389"/>
    <cellStyle name="Total 7 7 2" xfId="8390"/>
    <cellStyle name="Total 7 8" xfId="8391"/>
    <cellStyle name="toto" xfId="8392"/>
    <cellStyle name="Warning Text 2" xfId="8393"/>
    <cellStyle name="Warning Text 3" xfId="8394"/>
    <cellStyle name="パーセント 2" xfId="8395"/>
    <cellStyle name="桁区切り 2" xfId="8396"/>
    <cellStyle name="桁区切り_DegitalOption_test" xfId="8397"/>
    <cellStyle name="標準 2" xfId="8398"/>
    <cellStyle name="標準 3" xfId="8399"/>
    <cellStyle name="標準 4" xfId="8400"/>
    <cellStyle name="標準_examplePortfolio" xfId="8401"/>
  </cellStyles>
  <dxfs count="0"/>
  <tableStyles count="0" defaultTableStyle="TableStyleMedium2" defaultPivotStyle="PivotStyleLight16"/>
  <colors>
    <mruColors>
      <color rgb="FF006600"/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15/01/2015</v>
        <stp/>
        <stp>##V3_BDPV12</stp>
        <stp>US05565QCT31 Corp</stp>
        <stp>FIRST_CPN_DT</stp>
        <stp>[RV_LINE_PRICER.xlsm]FloatBonds!R8C41</stp>
        <tr r="AO8" s="18"/>
      </tp>
      <tp t="s">
        <v>15/01/2015</v>
        <stp/>
        <stp>##V3_BDPV12</stp>
        <stp>US05565QCT31 Corp</stp>
        <stp>FIRST_CPN_DT</stp>
        <stp>[RV_LINE_PRICER.xlsm]FloatBonds!R9C41</stp>
        <tr r="AO9" s="18"/>
      </tp>
      <tp t="s">
        <v>15/01/2015</v>
        <stp/>
        <stp>##V3_BDPV12</stp>
        <stp>US05565QCT31 Corp</stp>
        <stp>FIRST_CPN_DT</stp>
        <stp>[RV_LINE_PRICER.xlsm]FloatBonds!R7C41</stp>
        <tr r="AO7" s="18"/>
      </tp>
      <tp>
        <v>-5.067E-2</v>
        <stp/>
        <stp>##V3_BDHV12</stp>
        <stp>JY0003M Index</stp>
        <stp>PX_LAST</stp>
        <stp>22/06/2018</stp>
        <stp>22/06/2018</stp>
        <stp>[RV_LINE_PRICER.xlsm]FixingTables!R164C21</stp>
        <tr r="U164" s="5"/>
      </tp>
      <tp>
        <v>5.3299999999999997E-3</v>
        <stp/>
        <stp>##V3_BDHV12</stp>
        <stp>JY0006M Index</stp>
        <stp>PX_LAST</stp>
        <stp>22/06/2018</stp>
        <stp>22/06/2018</stp>
        <stp>[RV_LINE_PRICER.xlsm]FixingTables!R164C24</stp>
        <tr r="X164" s="5"/>
      </tp>
      <tp>
        <v>2.4931299999999998</v>
        <stp/>
        <stp>##V3_BDHV12</stp>
        <stp>US0006M Index</stp>
        <stp>PX_LAST</stp>
        <stp>11/06/2018</stp>
        <stp>11/06/2018</stp>
        <stp>[RV_LINE_PRICER.xlsm]FixingTables!R170C12</stp>
        <tr r="L170" s="5"/>
      </tp>
      <tp>
        <v>-4.0329999999999998E-2</v>
        <stp/>
        <stp>##V3_BDHV12</stp>
        <stp>JY0003M Index</stp>
        <stp>PX_LAST</stp>
        <stp>23/07/2018</stp>
        <stp>23/07/2018</stp>
        <stp>[RV_LINE_PRICER.xlsm]FixingTables!R143C21</stp>
        <tr r="U143" s="5"/>
      </tp>
      <tp>
        <v>1.6830000000000001E-2</v>
        <stp/>
        <stp>##V3_BDHV12</stp>
        <stp>JY0006M Index</stp>
        <stp>PX_LAST</stp>
        <stp>23/07/2018</stp>
        <stp>23/07/2018</stp>
        <stp>[RV_LINE_PRICER.xlsm]FixingTables!R143C24</stp>
        <tr r="X143" s="5"/>
      </tp>
      <tp>
        <v>2.5118800000000001</v>
        <stp/>
        <stp>##V3_BDHV12</stp>
        <stp>US0006M Index</stp>
        <stp>PX_LAST</stp>
        <stp>10/07/2018</stp>
        <stp>10/07/2018</stp>
        <stp>[RV_LINE_PRICER.xlsm]FixingTables!R150C12</stp>
        <tr r="L150" s="5"/>
      </tp>
      <tp>
        <v>2.4668800000000002</v>
        <stp/>
        <stp>##V3_BDHV12</stp>
        <stp>US0006M Index</stp>
        <stp>PX_LAST</stp>
        <stp>30/05/2018</stp>
        <stp>30/05/2018</stp>
        <stp>[RV_LINE_PRICER.xlsm]FixingTables!R178C12</stp>
        <tr r="L178" s="5"/>
      </tp>
      <tp>
        <v>2.5499999999999998E-2</v>
        <stp/>
        <stp>##V3_BDHV12</stp>
        <stp>JY0006M Index</stp>
        <stp>PX_LAST</stp>
        <stp>30/05/2018</stp>
        <stp>30/05/2018</stp>
        <stp>[RV_LINE_PRICER.xlsm]FixingTables!R180C24</stp>
        <tr r="X180" s="5"/>
      </tp>
      <tp>
        <v>-1.4E-2</v>
        <stp/>
        <stp>##V3_BDHV12</stp>
        <stp>JY0003M Index</stp>
        <stp>PX_LAST</stp>
        <stp>30/05/2018</stp>
        <stp>30/05/2018</stp>
        <stp>[RV_LINE_PRICER.xlsm]FixingTables!R180C21</stp>
        <tr r="U180" s="5"/>
      </tp>
      <tp>
        <v>-4.283E-2</v>
        <stp/>
        <stp>##V3_BDHV12</stp>
        <stp>JY0003M Index</stp>
        <stp>PX_LAST</stp>
        <stp>10/07/2018</stp>
        <stp>10/07/2018</stp>
        <stp>[RV_LINE_PRICER.xlsm]FixingTables!R152C21</stp>
        <tr r="U152" s="5"/>
      </tp>
      <tp>
        <v>1.217E-2</v>
        <stp/>
        <stp>##V3_BDHV12</stp>
        <stp>JY0006M Index</stp>
        <stp>PX_LAST</stp>
        <stp>10/07/2018</stp>
        <stp>10/07/2018</stp>
        <stp>[RV_LINE_PRICER.xlsm]FixingTables!R152C24</stp>
        <tr r="X152" s="5"/>
      </tp>
      <tp>
        <v>2.52088</v>
        <stp/>
        <stp>##V3_BDHV12</stp>
        <stp>US0006M Index</stp>
        <stp>PX_LAST</stp>
        <stp>23/07/2018</stp>
        <stp>23/07/2018</stp>
        <stp>[RV_LINE_PRICER.xlsm]FixingTables!R141C12</stp>
        <tr r="L141" s="5"/>
      </tp>
      <tp>
        <v>2.5074999999999998</v>
        <stp/>
        <stp>##V3_BDHV12</stp>
        <stp>US0006M Index</stp>
        <stp>PX_LAST</stp>
        <stp>22/06/2018</stp>
        <stp>22/06/2018</stp>
        <stp>[RV_LINE_PRICER.xlsm]FixingTables!R161C12</stp>
        <tr r="L161" s="5"/>
      </tp>
      <tp t="b">
        <v>0</v>
        <stp/>
        <stp>##V3_BDPV12</stp>
        <stp/>
        <stp>MATURITY</stp>
        <stp>[RV_LINE_PRICER.xlsm]FixedBonds!R19C39</stp>
        <tr r="AM19" s="1"/>
        <tr r="AM19" s="1"/>
      </tp>
      <tp t="b">
        <v>0</v>
        <stp/>
        <stp>##V3_BDPV12</stp>
        <stp/>
        <stp>MATURITY</stp>
        <stp>[RV_LINE_PRICER.xlsm]FixedBonds!R18C39</stp>
        <tr r="AM18" s="1"/>
        <tr r="AM18" s="1"/>
      </tp>
      <tp t="b">
        <v>0</v>
        <stp/>
        <stp>##V3_BDPV12</stp>
        <stp/>
        <stp>MATURITY</stp>
        <stp>[RV_LINE_PRICER.xlsm]FixedBonds!R13C39</stp>
        <tr r="AM13" s="1"/>
        <tr r="AM13" s="1"/>
      </tp>
      <tp t="b">
        <v>0</v>
        <stp/>
        <stp>##V3_BDPV12</stp>
        <stp/>
        <stp>MATURITY</stp>
        <stp>[RV_LINE_PRICER.xlsm]FixedBonds!R12C39</stp>
        <tr r="AM12" s="1"/>
        <tr r="AM12" s="1"/>
      </tp>
      <tp t="b">
        <v>0</v>
        <stp/>
        <stp>##V3_BDPV12</stp>
        <stp/>
        <stp>MATURITY</stp>
        <stp>[RV_LINE_PRICER.xlsm]FixedBonds!R15C39</stp>
        <tr r="AM15" s="1"/>
        <tr r="AM15" s="1"/>
      </tp>
      <tp t="b">
        <v>0</v>
        <stp/>
        <stp>##V3_BDPV12</stp>
        <stp/>
        <stp>MATURITY</stp>
        <stp>[RV_LINE_PRICER.xlsm]FixedBonds!R14C39</stp>
        <tr r="AM14" s="1"/>
        <tr r="AM14" s="1"/>
      </tp>
      <tp t="b">
        <v>0</v>
        <stp/>
        <stp>##V3_BDPV12</stp>
        <stp/>
        <stp>MATURITY</stp>
        <stp>[RV_LINE_PRICER.xlsm]FixedBonds!R17C39</stp>
        <tr r="AM17" s="1"/>
        <tr r="AM17" s="1"/>
      </tp>
      <tp t="b">
        <v>0</v>
        <stp/>
        <stp>##V3_BDPV12</stp>
        <stp/>
        <stp>MATURITY</stp>
        <stp>[RV_LINE_PRICER.xlsm]FixedBonds!R16C39</stp>
        <tr r="AM16" s="1"/>
        <tr r="AM16" s="1"/>
      </tp>
      <tp t="b">
        <v>0</v>
        <stp/>
        <stp>##V3_BDPV12</stp>
        <stp/>
        <stp>MATURITY</stp>
        <stp>[RV_LINE_PRICER.xlsm]FixedBonds!R21C39</stp>
        <tr r="AM21" s="1"/>
        <tr r="AM21" s="1"/>
      </tp>
      <tp t="b">
        <v>0</v>
        <stp/>
        <stp>##V3_BDPV12</stp>
        <stp/>
        <stp>MATURITY</stp>
        <stp>[RV_LINE_PRICER.xlsm]FixedBonds!R20C39</stp>
        <tr r="AM20" s="1"/>
        <tr r="AM20" s="1"/>
      </tp>
      <tp t="b">
        <v>0</v>
        <stp/>
        <stp>##V3_BDPV12</stp>
        <stp/>
        <stp>MATURITY</stp>
        <stp>[RV_LINE_PRICER.xlsm]FixedBonds!R23C39</stp>
        <tr r="AM23" s="1"/>
        <tr r="AM23" s="1"/>
      </tp>
      <tp t="b">
        <v>0</v>
        <stp/>
        <stp>##V3_BDPV12</stp>
        <stp/>
        <stp>MATURITY</stp>
        <stp>[RV_LINE_PRICER.xlsm]FixedBonds!R22C39</stp>
        <tr r="AM22" s="1"/>
        <tr r="AM22" s="1"/>
      </tp>
      <tp t="b">
        <v>0</v>
        <stp/>
        <stp>##V3_BDPV12</stp>
        <stp/>
        <stp>MATURITY</stp>
        <stp>[RV_LINE_PRICER.xlsm]FixedBonds!R25C39</stp>
        <tr r="AM25" s="1"/>
        <tr r="AM25" s="1"/>
      </tp>
      <tp t="b">
        <v>0</v>
        <stp/>
        <stp>##V3_BDPV12</stp>
        <stp/>
        <stp>MATURITY</stp>
        <stp>[RV_LINE_PRICER.xlsm]FixedBonds!R24C39</stp>
        <tr r="AM24" s="1"/>
        <tr r="AM24" s="1"/>
      </tp>
      <tp t="b">
        <v>0</v>
        <stp/>
        <stp>##V3_BDPV12</stp>
        <stp/>
        <stp>MATURITY</stp>
        <stp>[RV_LINE_PRICER.xlsm]FixedBonds!R26C39</stp>
        <tr r="AM26" s="1"/>
        <tr r="AM26" s="1"/>
      </tp>
      <tp t="s">
        <v>26/09/2015</v>
        <stp/>
        <stp>##V3_BDPV12</stp>
        <stp>USJ46186BC59 Corp</stp>
        <stp>FIRST_CPN_DT</stp>
        <stp>[RV_LINE_PRICER.xlsm]XccyFixedBondSingle!R22C9</stp>
        <tr r="I22" s="21"/>
        <tr r="I22" s="21"/>
      </tp>
      <tp>
        <v>2</v>
        <stp/>
        <stp>##V3_BDPV12</stp>
        <stp>XS1692845396 Corp</stp>
        <stp>CPN_FREQ</stp>
        <stp>[RV_LINE_PRICER.xlsm]FixedBonds!R10C208</stp>
        <tr r="GZ10" s="1"/>
      </tp>
      <tp t="s">
        <v>29/05/2020</v>
        <stp/>
        <stp>##V3_BDPV12</stp>
        <stp>XS0367001228 Corp</stp>
        <stp>MATURITY</stp>
        <stp>[RV_LINE_PRICER.xlsm]FixedBonds!R11C39</stp>
        <tr r="AM11" s="1"/>
      </tp>
      <tp t="s">
        <v>ISMA-30/360</v>
        <stp/>
        <stp>##V3_BDPV12</stp>
        <stp>USN4578BQA53 Corp</stp>
        <stp>DAY_CNT_DES</stp>
        <stp>[RV_LINE_PRICER.xlsm]FixedBonds!R7C47</stp>
        <tr r="AU7" s="1"/>
      </tp>
      <tp>
        <v>2.4499160869565215</v>
        <stp/>
        <stp>##V3_BDPV12</stp>
        <stp>XS1193905160 Corp</stp>
        <stp>YAS_FLOATER_INDEX_TO_NEXT_COUPON</stp>
        <stp>[RV_LINE_PRICER.xlsm]FloatBonds!R10C22</stp>
        <tr r="V10" s="18"/>
      </tp>
      <tp>
        <v>2.4499160869565215</v>
        <stp/>
        <stp>##V3_BDPV12</stp>
        <stp>XS1193905160 Corp</stp>
        <stp>YAS_FLOATER_INDEX_TO_NEXT_COUPON</stp>
        <stp>[RV_LINE_PRICER.xlsm]FloatBonds!R11C22</stp>
        <tr r="V11" s="18"/>
      </tp>
      <tp t="b">
        <v>0</v>
        <stp/>
        <stp>##V3_BDPV12</stp>
        <stp/>
        <stp>PENULTIMATE_CPN_DT</stp>
        <stp>[RV_LINE_PRICER.xlsm]FixedBonds!R26C205</stp>
        <tr r="GW26" s="1"/>
        <tr r="GW26" s="1"/>
      </tp>
      <tp t="b">
        <v>0</v>
        <stp/>
        <stp>##V3_BDPV12</stp>
        <stp/>
        <stp>PENULTIMATE_CPN_DT</stp>
        <stp>[RV_LINE_PRICER.xlsm]FixedBonds!R25C205</stp>
        <tr r="GW25" s="1"/>
        <tr r="GW25" s="1"/>
      </tp>
      <tp t="b">
        <v>0</v>
        <stp/>
        <stp>##V3_BDPV12</stp>
        <stp/>
        <stp>PENULTIMATE_CPN_DT</stp>
        <stp>[RV_LINE_PRICER.xlsm]FixedBonds!R24C205</stp>
        <tr r="GW24" s="1"/>
        <tr r="GW24" s="1"/>
      </tp>
      <tp t="b">
        <v>0</v>
        <stp/>
        <stp>##V3_BDPV12</stp>
        <stp/>
        <stp>PENULTIMATE_CPN_DT</stp>
        <stp>[RV_LINE_PRICER.xlsm]FixedBonds!R23C205</stp>
        <tr r="GW23" s="1"/>
        <tr r="GW23" s="1"/>
      </tp>
      <tp t="b">
        <v>0</v>
        <stp/>
        <stp>##V3_BDPV12</stp>
        <stp/>
        <stp>PENULTIMATE_CPN_DT</stp>
        <stp>[RV_LINE_PRICER.xlsm]FixedBonds!R22C205</stp>
        <tr r="GW22" s="1"/>
        <tr r="GW22" s="1"/>
      </tp>
      <tp t="b">
        <v>0</v>
        <stp/>
        <stp>##V3_BDPV12</stp>
        <stp/>
        <stp>PENULTIMATE_CPN_DT</stp>
        <stp>[RV_LINE_PRICER.xlsm]FixedBonds!R21C205</stp>
        <tr r="GW21" s="1"/>
        <tr r="GW21" s="1"/>
      </tp>
      <tp t="b">
        <v>0</v>
        <stp/>
        <stp>##V3_BDPV12</stp>
        <stp/>
        <stp>PENULTIMATE_CPN_DT</stp>
        <stp>[RV_LINE_PRICER.xlsm]FixedBonds!R20C205</stp>
        <tr r="GW20" s="1"/>
        <tr r="GW20" s="1"/>
      </tp>
      <tp t="b">
        <v>0</v>
        <stp/>
        <stp>##V3_BDPV12</stp>
        <stp/>
        <stp>PENULTIMATE_CPN_DT</stp>
        <stp>[RV_LINE_PRICER.xlsm]FixedBonds!R17C205</stp>
        <tr r="GW17" s="1"/>
        <tr r="GW17" s="1"/>
      </tp>
      <tp t="b">
        <v>0</v>
        <stp/>
        <stp>##V3_BDPV12</stp>
        <stp/>
        <stp>PENULTIMATE_CPN_DT</stp>
        <stp>[RV_LINE_PRICER.xlsm]FixedBonds!R16C205</stp>
        <tr r="GW16" s="1"/>
        <tr r="GW16" s="1"/>
      </tp>
      <tp t="b">
        <v>0</v>
        <stp/>
        <stp>##V3_BDPV12</stp>
        <stp/>
        <stp>PENULTIMATE_CPN_DT</stp>
        <stp>[RV_LINE_PRICER.xlsm]FixedBonds!R15C205</stp>
        <tr r="GW15" s="1"/>
        <tr r="GW15" s="1"/>
      </tp>
      <tp t="b">
        <v>0</v>
        <stp/>
        <stp>##V3_BDPV12</stp>
        <stp/>
        <stp>PENULTIMATE_CPN_DT</stp>
        <stp>[RV_LINE_PRICER.xlsm]FixedBonds!R14C205</stp>
        <tr r="GW14" s="1"/>
        <tr r="GW14" s="1"/>
      </tp>
      <tp t="b">
        <v>0</v>
        <stp/>
        <stp>##V3_BDPV12</stp>
        <stp/>
        <stp>PENULTIMATE_CPN_DT</stp>
        <stp>[RV_LINE_PRICER.xlsm]FixedBonds!R13C205</stp>
        <tr r="GW13" s="1"/>
        <tr r="GW13" s="1"/>
      </tp>
      <tp t="b">
        <v>0</v>
        <stp/>
        <stp>##V3_BDPV12</stp>
        <stp/>
        <stp>PENULTIMATE_CPN_DT</stp>
        <stp>[RV_LINE_PRICER.xlsm]FixedBonds!R12C205</stp>
        <tr r="GW12" s="1"/>
        <tr r="GW12" s="1"/>
      </tp>
      <tp t="b">
        <v>0</v>
        <stp/>
        <stp>##V3_BDPV12</stp>
        <stp/>
        <stp>PENULTIMATE_CPN_DT</stp>
        <stp>[RV_LINE_PRICER.xlsm]FixedBonds!R19C205</stp>
        <tr r="GW19" s="1"/>
        <tr r="GW19" s="1"/>
      </tp>
      <tp t="b">
        <v>0</v>
        <stp/>
        <stp>##V3_BDPV12</stp>
        <stp/>
        <stp>PENULTIMATE_CPN_DT</stp>
        <stp>[RV_LINE_PRICER.xlsm]FixedBonds!R18C205</stp>
        <tr r="GW18" s="1"/>
        <tr r="GW18" s="1"/>
      </tp>
      <tp>
        <v>100.93899999999999</v>
        <stp/>
        <stp>##V3_BDPV12</stp>
        <stp>USP32133CG63 BGN Corp</stp>
        <stp>PX_LAST</stp>
        <stp>[RV_LINE_PRICER.xlsm]FixedBondsSummary!R10C3</stp>
        <tr r="C10" s="12"/>
      </tp>
      <tp>
        <v>2.5123799999999998</v>
        <stp/>
        <stp>##V3_BDHV12</stp>
        <stp>US0006M Index</stp>
        <stp>PX_LAST</stp>
        <stp>11/07/2018</stp>
        <stp>11/07/2018</stp>
        <stp>[RV_LINE_PRICER.xlsm]FixingTables!R149C12</stp>
        <tr r="L149" s="5"/>
      </tp>
      <tp>
        <v>2.47438</v>
        <stp/>
        <stp>##V3_BDHV12</stp>
        <stp>US0006M Index</stp>
        <stp>PX_LAST</stp>
        <stp>01/06/2018</stp>
        <stp>01/06/2018</stp>
        <stp>[RV_LINE_PRICER.xlsm]FixingTables!R176C12</stp>
        <tr r="L176" s="5"/>
      </tp>
      <tp>
        <v>2.4737499999999999</v>
        <stp/>
        <stp>##V3_BDHV12</stp>
        <stp>US0006M Index</stp>
        <stp>PX_LAST</stp>
        <stp>31/05/2018</stp>
        <stp>31/05/2018</stp>
        <stp>[RV_LINE_PRICER.xlsm]FixingTables!R177C12</stp>
        <tr r="L177" s="5"/>
      </tp>
      <tp>
        <v>-4.2999999999999997E-2</v>
        <stp/>
        <stp>##V3_BDHV12</stp>
        <stp>JY0003M Index</stp>
        <stp>PX_LAST</stp>
        <stp>11/07/2018</stp>
        <stp>11/07/2018</stp>
        <stp>[RV_LINE_PRICER.xlsm]FixingTables!R151C21</stp>
        <tr r="U151" s="5"/>
      </tp>
      <tp>
        <v>-1.8169999999999999E-2</v>
        <stp/>
        <stp>##V3_BDHV12</stp>
        <stp>JY0003M Index</stp>
        <stp>PX_LAST</stp>
        <stp>31/05/2018</stp>
        <stp>31/05/2018</stp>
        <stp>[RV_LINE_PRICER.xlsm]FixingTables!R179C21</stp>
        <tr r="U179" s="5"/>
      </tp>
      <tp>
        <v>-2.5669999999999998E-2</v>
        <stp/>
        <stp>##V3_BDHV12</stp>
        <stp>JY0003M Index</stp>
        <stp>PX_LAST</stp>
        <stp>01/06/2018</stp>
        <stp>01/06/2018</stp>
        <stp>[RV_LINE_PRICER.xlsm]FixingTables!R178C21</stp>
        <tr r="U178" s="5"/>
      </tp>
      <tp>
        <v>1.383E-2</v>
        <stp/>
        <stp>##V3_BDHV12</stp>
        <stp>JY0006M Index</stp>
        <stp>PX_LAST</stp>
        <stp>11/07/2018</stp>
        <stp>11/07/2018</stp>
        <stp>[RV_LINE_PRICER.xlsm]FixingTables!R151C24</stp>
        <tr r="X151" s="5"/>
      </tp>
      <tp>
        <v>2.2679999999999999E-2</v>
        <stp/>
        <stp>##V3_BDHV12</stp>
        <stp>JY0006M Index</stp>
        <stp>PX_LAST</stp>
        <stp>01/06/2018</stp>
        <stp>01/06/2018</stp>
        <stp>[RV_LINE_PRICER.xlsm]FixingTables!R178C24</stp>
        <tr r="X178" s="5"/>
      </tp>
      <tp>
        <v>2.2919999999999999E-2</v>
        <stp/>
        <stp>##V3_BDHV12</stp>
        <stp>JY0006M Index</stp>
        <stp>PX_LAST</stp>
        <stp>31/05/2018</stp>
        <stp>31/05/2018</stp>
        <stp>[RV_LINE_PRICER.xlsm]FixingTables!R179C24</stp>
        <tr r="X179" s="5"/>
      </tp>
      <tp t="b">
        <v>0</v>
        <stp/>
        <stp>##V3_BDPV12</stp>
        <stp/>
        <stp>INT_ACC_DT</stp>
        <stp>[RV_LINE_PRICER.xlsm]FixedBonds!R19C203</stp>
        <tr r="GU19" s="1"/>
        <tr r="GU19" s="1"/>
      </tp>
      <tp t="b">
        <v>0</v>
        <stp/>
        <stp>##V3_BDPV12</stp>
        <stp/>
        <stp>INT_ACC_DT</stp>
        <stp>[RV_LINE_PRICER.xlsm]FixedBonds!R18C203</stp>
        <tr r="GU18" s="1"/>
        <tr r="GU18" s="1"/>
      </tp>
      <tp t="b">
        <v>0</v>
        <stp/>
        <stp>##V3_BDPV12</stp>
        <stp/>
        <stp>INT_ACC_DT</stp>
        <stp>[RV_LINE_PRICER.xlsm]FixedBonds!R13C203</stp>
        <tr r="GU13" s="1"/>
        <tr r="GU13" s="1"/>
      </tp>
      <tp t="b">
        <v>0</v>
        <stp/>
        <stp>##V3_BDPV12</stp>
        <stp/>
        <stp>INT_ACC_DT</stp>
        <stp>[RV_LINE_PRICER.xlsm]FixedBonds!R12C203</stp>
        <tr r="GU12" s="1"/>
        <tr r="GU12" s="1"/>
      </tp>
      <tp t="b">
        <v>0</v>
        <stp/>
        <stp>##V3_BDPV12</stp>
        <stp/>
        <stp>INT_ACC_DT</stp>
        <stp>[RV_LINE_PRICER.xlsm]FixedBonds!R15C203</stp>
        <tr r="GU15" s="1"/>
        <tr r="GU15" s="1"/>
      </tp>
      <tp t="b">
        <v>0</v>
        <stp/>
        <stp>##V3_BDPV12</stp>
        <stp/>
        <stp>INT_ACC_DT</stp>
        <stp>[RV_LINE_PRICER.xlsm]FixedBonds!R14C203</stp>
        <tr r="GU14" s="1"/>
        <tr r="GU14" s="1"/>
      </tp>
      <tp t="b">
        <v>0</v>
        <stp/>
        <stp>##V3_BDPV12</stp>
        <stp/>
        <stp>INT_ACC_DT</stp>
        <stp>[RV_LINE_PRICER.xlsm]FixedBonds!R17C203</stp>
        <tr r="GU17" s="1"/>
        <tr r="GU17" s="1"/>
      </tp>
      <tp t="b">
        <v>0</v>
        <stp/>
        <stp>##V3_BDPV12</stp>
        <stp/>
        <stp>INT_ACC_DT</stp>
        <stp>[RV_LINE_PRICER.xlsm]FixedBonds!R16C203</stp>
        <tr r="GU16" s="1"/>
        <tr r="GU16" s="1"/>
      </tp>
      <tp t="b">
        <v>0</v>
        <stp/>
        <stp>##V3_BDPV12</stp>
        <stp/>
        <stp>INT_ACC_DT</stp>
        <stp>[RV_LINE_PRICER.xlsm]FixedBonds!R21C203</stp>
        <tr r="GU21" s="1"/>
        <tr r="GU21" s="1"/>
      </tp>
      <tp t="b">
        <v>0</v>
        <stp/>
        <stp>##V3_BDPV12</stp>
        <stp/>
        <stp>INT_ACC_DT</stp>
        <stp>[RV_LINE_PRICER.xlsm]FixedBonds!R20C203</stp>
        <tr r="GU20" s="1"/>
        <tr r="GU20" s="1"/>
      </tp>
      <tp t="b">
        <v>0</v>
        <stp/>
        <stp>##V3_BDPV12</stp>
        <stp/>
        <stp>INT_ACC_DT</stp>
        <stp>[RV_LINE_PRICER.xlsm]FixedBonds!R23C203</stp>
        <tr r="GU23" s="1"/>
        <tr r="GU23" s="1"/>
      </tp>
      <tp t="b">
        <v>0</v>
        <stp/>
        <stp>##V3_BDPV12</stp>
        <stp/>
        <stp>INT_ACC_DT</stp>
        <stp>[RV_LINE_PRICER.xlsm]FixedBonds!R22C203</stp>
        <tr r="GU22" s="1"/>
        <tr r="GU22" s="1"/>
      </tp>
      <tp t="b">
        <v>0</v>
        <stp/>
        <stp>##V3_BDPV12</stp>
        <stp/>
        <stp>INT_ACC_DT</stp>
        <stp>[RV_LINE_PRICER.xlsm]FixedBonds!R25C203</stp>
        <tr r="GU25" s="1"/>
        <tr r="GU25" s="1"/>
      </tp>
      <tp t="b">
        <v>0</v>
        <stp/>
        <stp>##V3_BDPV12</stp>
        <stp/>
        <stp>INT_ACC_DT</stp>
        <stp>[RV_LINE_PRICER.xlsm]FixedBonds!R24C203</stp>
        <tr r="GU24" s="1"/>
        <tr r="GU24" s="1"/>
      </tp>
      <tp t="b">
        <v>0</v>
        <stp/>
        <stp>##V3_BDPV12</stp>
        <stp/>
        <stp>INT_ACC_DT</stp>
        <stp>[RV_LINE_PRICER.xlsm]FixedBonds!R26C203</stp>
        <tr r="GU26" s="1"/>
        <tr r="GU26" s="1"/>
      </tp>
      <tp t="s">
        <v>15/01/2015</v>
        <stp/>
        <stp>##V3_BDPV12</stp>
        <stp>US05565QCT31 Corp</stp>
        <stp>FIRST_CPN_DT</stp>
        <stp>[RV_LINE_PRICER.xlsm]FloatBondSingle!R22C9</stp>
        <tr r="I22" s="23"/>
        <tr r="I22" s="23"/>
      </tp>
      <tp t="s">
        <v>ACT/ACT</v>
        <stp/>
        <stp>##V3_BDPV12</stp>
        <stp>XS0367001228 Corp</stp>
        <stp>DAY_CNT_DES</stp>
        <stp>[RV_LINE_PRICER.xlsm]FixedBonds!R11C47</stp>
        <tr r="AU11" s="1"/>
      </tp>
      <tp t="s">
        <v>04/11/2014</v>
        <stp/>
        <stp>##V3_BDPV12</stp>
        <stp>US05565QCT31 Corp</stp>
        <stp>ISSUE_DT</stp>
        <stp>[RV_LINE_PRICER.xlsm]FloatBonds!R11C39</stp>
        <tr r="AM11" s="18"/>
      </tp>
      <tp t="s">
        <v>04/11/2014</v>
        <stp/>
        <stp>##V3_BDPV12</stp>
        <stp>US05565QCT31 Corp</stp>
        <stp>ISSUE_DT</stp>
        <stp>[RV_LINE_PRICER.xlsm]FloatBonds!R10C39</stp>
        <tr r="AM10" s="18"/>
      </tp>
      <tp>
        <v>2</v>
        <stp/>
        <stp>##V3_BDPV12</stp>
        <stp>USJ46186BC59 Corp</stp>
        <stp>CPN_FREQ</stp>
        <stp>[RV_LINE_PRICER.xlsm]XccyFixedBonds!R10C48</stp>
        <tr r="AV10" s="16"/>
        <tr r="AV10" s="16"/>
      </tp>
      <tp>
        <v>2</v>
        <stp/>
        <stp>##V3_BDPV12</stp>
        <stp>USJ46186BC59 Corp</stp>
        <stp>CPN_FREQ</stp>
        <stp>[RV_LINE_PRICER.xlsm]XccyFixedBonds!R11C48</stp>
        <tr r="AV11" s="16"/>
        <tr r="AV11" s="16"/>
      </tp>
      <tp>
        <v>4</v>
        <stp/>
        <stp>##V3_BDPV12</stp>
        <stp>XS1193905160 Corp</stp>
        <stp>CPN_FREQ</stp>
        <stp>[RV_LINE_PRICER.xlsm]FloatBonds!R10C214</stp>
        <tr r="HF10" s="18"/>
      </tp>
      <tp>
        <v>4</v>
        <stp/>
        <stp>##V3_BDPV12</stp>
        <stp>XS1193905160 Corp</stp>
        <stp>CPN_FREQ</stp>
        <stp>[RV_LINE_PRICER.xlsm]FloatBonds!R11C214</stp>
        <tr r="HF11" s="18"/>
      </tp>
      <tp>
        <v>1</v>
        <stp/>
        <stp>##V3_BDPV12</stp>
        <stp>XS0367001228 Corp</stp>
        <stp>CALC_TYP</stp>
        <stp>[RV_LINE_PRICER.xlsm]FixedBonds!R11C49</stp>
        <tr r="AW11" s="1"/>
      </tp>
      <tp t="s">
        <v>06/04/2022</v>
        <stp/>
        <stp>##V3_BDPV12</stp>
        <stp>XS1692845396 Corp</stp>
        <stp>PENULTIMATE_CPN_DT</stp>
        <stp>[RV_LINE_PRICER.xlsm]FixedBonds!R10C205</stp>
        <tr r="GW10" s="1"/>
      </tp>
      <tp>
        <v>-3.6999999999999998E-2</v>
        <stp/>
        <stp>##V3_BDHV12</stp>
        <stp>JY0003M Index</stp>
        <stp>PX_LAST</stp>
        <stp>12/07/2018</stp>
        <stp>12/07/2018</stp>
        <stp>[RV_LINE_PRICER.xlsm]FixingTables!R150C21</stp>
        <tr r="U150" s="5"/>
      </tp>
      <tp>
        <v>1.55E-2</v>
        <stp/>
        <stp>##V3_BDHV12</stp>
        <stp>JY0006M Index</stp>
        <stp>PX_LAST</stp>
        <stp>12/07/2018</stp>
        <stp>12/07/2018</stp>
        <stp>[RV_LINE_PRICER.xlsm]FixingTables!R150C24</stp>
        <tr r="X150" s="5"/>
      </tp>
      <tp>
        <v>-4.5170000000000002E-2</v>
        <stp/>
        <stp>##V3_BDHV12</stp>
        <stp>JY0003M Index</stp>
        <stp>PX_LAST</stp>
        <stp>03/07/2018</stp>
        <stp>03/07/2018</stp>
        <stp>[RV_LINE_PRICER.xlsm]FixingTables!R157C21</stp>
        <tr r="U157" s="5"/>
      </tp>
      <tp>
        <v>-3.517E-2</v>
        <stp/>
        <stp>##V3_BDHV12</stp>
        <stp>JY0003M Index</stp>
        <stp>PX_LAST</stp>
        <stp>13/06/2018</stp>
        <stp>13/06/2018</stp>
        <stp>[RV_LINE_PRICER.xlsm]FixingTables!R171C21</stp>
        <tr r="U171" s="5"/>
      </tp>
      <tp>
        <v>5.0000000000000001E-3</v>
        <stp/>
        <stp>##V3_BDHV12</stp>
        <stp>JY0006M Index</stp>
        <stp>PX_LAST</stp>
        <stp>03/07/2018</stp>
        <stp>03/07/2018</stp>
        <stp>[RV_LINE_PRICER.xlsm]FixingTables!R157C24</stp>
        <tr r="X157" s="5"/>
      </tp>
      <tp>
        <v>1.6500000000000001E-2</v>
        <stp/>
        <stp>##V3_BDHV12</stp>
        <stp>JY0006M Index</stp>
        <stp>PX_LAST</stp>
        <stp>13/06/2018</stp>
        <stp>13/06/2018</stp>
        <stp>[RV_LINE_PRICER.xlsm]FixingTables!R171C24</stp>
        <tr r="X171" s="5"/>
      </tp>
      <tp>
        <v>2.5305</v>
        <stp/>
        <stp>##V3_BDHV12</stp>
        <stp>US0006M Index</stp>
        <stp>PX_LAST</stp>
        <stp>30/07/2018</stp>
        <stp>30/07/2018</stp>
        <stp>[RV_LINE_PRICER.xlsm]FixingTables!R136C12</stp>
        <tr r="L136" s="5"/>
      </tp>
      <tp>
        <v>2.50088</v>
        <stp/>
        <stp>##V3_BDHV12</stp>
        <stp>US0006M Index</stp>
        <stp>PX_LAST</stp>
        <stp>20/06/2018</stp>
        <stp>20/06/2018</stp>
        <stp>[RV_LINE_PRICER.xlsm]FixingTables!R163C12</stp>
        <tr r="L163" s="5"/>
      </tp>
      <tp>
        <v>-4.283E-2</v>
        <stp/>
        <stp>##V3_BDHV12</stp>
        <stp>JY0003M Index</stp>
        <stp>PX_LAST</stp>
        <stp>20/06/2018</stp>
        <stp>20/06/2018</stp>
        <stp>[RV_LINE_PRICER.xlsm]FixingTables!R166C21</stp>
        <tr r="U166" s="5"/>
      </tp>
      <tp>
        <v>0.01</v>
        <stp/>
        <stp>##V3_BDHV12</stp>
        <stp>JY0006M Index</stp>
        <stp>PX_LAST</stp>
        <stp>30/07/2018</stp>
        <stp>30/07/2018</stp>
        <stp>[RV_LINE_PRICER.xlsm]FixingTables!R138C24</stp>
        <tr r="X138" s="5"/>
      </tp>
      <tp>
        <v>1.4E-2</v>
        <stp/>
        <stp>##V3_BDHV12</stp>
        <stp>JY0006M Index</stp>
        <stp>PX_LAST</stp>
        <stp>20/06/2018</stp>
        <stp>20/06/2018</stp>
        <stp>[RV_LINE_PRICER.xlsm]FixingTables!R166C24</stp>
        <tr r="X166" s="5"/>
      </tp>
      <tp>
        <v>-3.517E-2</v>
        <stp/>
        <stp>##V3_BDHV12</stp>
        <stp>JY0003M Index</stp>
        <stp>PX_LAST</stp>
        <stp>30/07/2018</stp>
        <stp>30/07/2018</stp>
        <stp>[RV_LINE_PRICER.xlsm]FixingTables!R138C21</stp>
        <tr r="U138" s="5"/>
      </tp>
      <tp>
        <v>2.5068799999999998</v>
        <stp/>
        <stp>##V3_BDHV12</stp>
        <stp>US0006M Index</stp>
        <stp>PX_LAST</stp>
        <stp>03/07/2018</stp>
        <stp>03/07/2018</stp>
        <stp>[RV_LINE_PRICER.xlsm]FixingTables!R154C12</stp>
        <tr r="L154" s="5"/>
      </tp>
      <tp>
        <v>2.50013</v>
        <stp/>
        <stp>##V3_BDHV12</stp>
        <stp>US0006M Index</stp>
        <stp>PX_LAST</stp>
        <stp>13/06/2018</stp>
        <stp>13/06/2018</stp>
        <stp>[RV_LINE_PRICER.xlsm]FixingTables!R168C12</stp>
        <tr r="L168" s="5"/>
      </tp>
      <tp>
        <v>2.4975000000000001</v>
        <stp/>
        <stp>##V3_BDHV12</stp>
        <stp>US0006M Index</stp>
        <stp>PX_LAST</stp>
        <stp>23/05/2018</stp>
        <stp>23/05/2018</stp>
        <stp>[RV_LINE_PRICER.xlsm]FixingTables!R182C12</stp>
        <tr r="L182" s="5"/>
      </tp>
      <tp>
        <v>2.5196300000000003</v>
        <stp/>
        <stp>##V3_BDHV12</stp>
        <stp>US0006M Index</stp>
        <stp>PX_LAST</stp>
        <stp>12/07/2018</stp>
        <stp>12/07/2018</stp>
        <stp>[RV_LINE_PRICER.xlsm]FixingTables!R148C12</stp>
        <tr r="L148" s="5"/>
      </tp>
      <tp t="s">
        <v>06/10/2017</v>
        <stp/>
        <stp>##V3_BDPV12</stp>
        <stp>XS1692845396 Corp</stp>
        <stp>INT_ACC_DT</stp>
        <stp>[RV_LINE_PRICER.xlsm]FixedBonds!R10C203</stp>
        <tr r="GU10" s="1"/>
      </tp>
      <tp>
        <v>1</v>
        <stp/>
        <stp>##V3_BDPV12</stp>
        <stp>XS1344710857 Corp</stp>
        <stp>CALC_TYP</stp>
        <stp>[RV_LINE_PRICER.xlsm]XccyFixedBondSingle!R34C22</stp>
        <tr r="V34" s="21"/>
        <tr r="V34" s="21"/>
      </tp>
      <tp>
        <v>-4.3499999999999997E-2</v>
        <stp/>
        <stp>##V3_BDHV12</stp>
        <stp>JY0003M Index</stp>
        <stp>PX_LAST</stp>
        <stp>02/07/2018</stp>
        <stp>02/07/2018</stp>
        <stp>[RV_LINE_PRICER.xlsm]FixingTables!R158C21</stp>
        <tr r="U158" s="5"/>
      </tp>
      <tp>
        <v>-3.517E-2</v>
        <stp/>
        <stp>##V3_BDHV12</stp>
        <stp>JY0003M Index</stp>
        <stp>PX_LAST</stp>
        <stp>12/06/2018</stp>
        <stp>12/06/2018</stp>
        <stp>[RV_LINE_PRICER.xlsm]FixingTables!R172C21</stp>
        <tr r="U172" s="5"/>
      </tp>
      <tp>
        <v>3.6700000000000001E-3</v>
        <stp/>
        <stp>##V3_BDHV12</stp>
        <stp>JY0006M Index</stp>
        <stp>PX_LAST</stp>
        <stp>02/07/2018</stp>
        <stp>02/07/2018</stp>
        <stp>[RV_LINE_PRICER.xlsm]FixingTables!R158C24</stp>
        <tr r="X158" s="5"/>
      </tp>
      <tp>
        <v>1.7330000000000002E-2</v>
        <stp/>
        <stp>##V3_BDHV12</stp>
        <stp>JY0006M Index</stp>
        <stp>PX_LAST</stp>
        <stp>12/06/2018</stp>
        <stp>12/06/2018</stp>
        <stp>[RV_LINE_PRICER.xlsm]FixingTables!R172C24</stp>
        <tr r="X172" s="5"/>
      </tp>
      <tp>
        <v>2.5305</v>
        <stp/>
        <stp>##V3_BDHV12</stp>
        <stp>US0006M Index</stp>
        <stp>PX_LAST</stp>
        <stp>31/07/2018</stp>
        <stp>31/07/2018</stp>
        <stp>[RV_LINE_PRICER.xlsm]FixingTables!R135C12</stp>
        <tr r="L135" s="5"/>
      </tp>
      <tp>
        <v>2.5043800000000003</v>
        <stp/>
        <stp>##V3_BDHV12</stp>
        <stp>US0006M Index</stp>
        <stp>PX_LAST</stp>
        <stp>21/06/2018</stp>
        <stp>21/06/2018</stp>
        <stp>[RV_LINE_PRICER.xlsm]FixingTables!R162C12</stp>
        <tr r="L162" s="5"/>
      </tp>
      <tp>
        <v>-4.283E-2</v>
        <stp/>
        <stp>##V3_BDHV12</stp>
        <stp>JY0003M Index</stp>
        <stp>PX_LAST</stp>
        <stp>13/07/2018</stp>
        <stp>13/07/2018</stp>
        <stp>[RV_LINE_PRICER.xlsm]FixingTables!R149C21</stp>
        <tr r="U149" s="5"/>
      </tp>
      <tp>
        <v>1.4829999999999999E-2</v>
        <stp/>
        <stp>##V3_BDHV12</stp>
        <stp>JY0006M Index</stp>
        <stp>PX_LAST</stp>
        <stp>13/07/2018</stp>
        <stp>13/07/2018</stp>
        <stp>[RV_LINE_PRICER.xlsm]FixingTables!R149C24</stp>
        <tr r="X149" s="5"/>
      </tp>
      <tp>
        <v>2.5242499999999999</v>
        <stp/>
        <stp>##V3_BDHV12</stp>
        <stp>US0006M Index</stp>
        <stp>PX_LAST</stp>
        <stp>20/07/2018</stp>
        <stp>20/07/2018</stp>
        <stp>[RV_LINE_PRICER.xlsm]FixingTables!R142C12</stp>
        <tr r="L142" s="5"/>
      </tp>
      <tp>
        <v>-3.8670000000000003E-2</v>
        <stp/>
        <stp>##V3_BDHV12</stp>
        <stp>JY0003M Index</stp>
        <stp>PX_LAST</stp>
        <stp>20/07/2018</stp>
        <stp>20/07/2018</stp>
        <stp>[RV_LINE_PRICER.xlsm]FixingTables!R144C21</stp>
        <tr r="U144" s="5"/>
      </tp>
      <tp>
        <v>1.6500000000000001E-2</v>
        <stp/>
        <stp>##V3_BDHV12</stp>
        <stp>JY0006M Index</stp>
        <stp>PX_LAST</stp>
        <stp>20/07/2018</stp>
        <stp>20/07/2018</stp>
        <stp>[RV_LINE_PRICER.xlsm]FixingTables!R144C24</stp>
        <tr r="X144" s="5"/>
      </tp>
      <tp>
        <v>2.52088</v>
        <stp/>
        <stp>##V3_BDHV12</stp>
        <stp>US0006M Index</stp>
        <stp>PX_LAST</stp>
        <stp>13/07/2018</stp>
        <stp>13/07/2018</stp>
        <stp>[RV_LINE_PRICER.xlsm]FixingTables!R147C12</stp>
        <tr r="L147" s="5"/>
      </tp>
      <tp>
        <v>-4.1169999999999998E-2</v>
        <stp/>
        <stp>##V3_BDHV12</stp>
        <stp>JY0003M Index</stp>
        <stp>PX_LAST</stp>
        <stp>21/06/2018</stp>
        <stp>21/06/2018</stp>
        <stp>[RV_LINE_PRICER.xlsm]FixingTables!R165C21</stp>
        <tr r="U165" s="5"/>
      </tp>
      <tp>
        <v>1.4500000000000001E-2</v>
        <stp/>
        <stp>##V3_BDHV12</stp>
        <stp>JY0006M Index</stp>
        <stp>PX_LAST</stp>
        <stp>31/07/2018</stp>
        <stp>31/07/2018</stp>
        <stp>[RV_LINE_PRICER.xlsm]FixingTables!R137C24</stp>
        <tr r="X137" s="5"/>
      </tp>
      <tp>
        <v>-3.2000000000000001E-2</v>
        <stp/>
        <stp>##V3_BDHV12</stp>
        <stp>JY0003M Index</stp>
        <stp>PX_LAST</stp>
        <stp>31/07/2018</stp>
        <stp>31/07/2018</stp>
        <stp>[RV_LINE_PRICER.xlsm]FixingTables!R137C21</stp>
        <tr r="U137" s="5"/>
      </tp>
      <tp>
        <v>1.6500000000000001E-2</v>
        <stp/>
        <stp>##V3_BDHV12</stp>
        <stp>JY0006M Index</stp>
        <stp>PX_LAST</stp>
        <stp>21/06/2018</stp>
        <stp>21/06/2018</stp>
        <stp>[RV_LINE_PRICER.xlsm]FixingTables!R165C24</stp>
        <tr r="X165" s="5"/>
      </tp>
      <tp>
        <v>2.50969</v>
        <stp/>
        <stp>##V3_BDHV12</stp>
        <stp>US0006M Index</stp>
        <stp>PX_LAST</stp>
        <stp>02/07/2018</stp>
        <stp>02/07/2018</stp>
        <stp>[RV_LINE_PRICER.xlsm]FixingTables!R155C12</stp>
        <tr r="L155" s="5"/>
      </tp>
      <tp>
        <v>2.4987500000000002</v>
        <stp/>
        <stp>##V3_BDHV12</stp>
        <stp>US0006M Index</stp>
        <stp>PX_LAST</stp>
        <stp>12/06/2018</stp>
        <stp>12/06/2018</stp>
        <stp>[RV_LINE_PRICER.xlsm]FixingTables!R169C12</stp>
        <tr r="L169" s="5"/>
      </tp>
      <tp t="b">
        <v>0</v>
        <stp/>
        <stp>##V3_BDPV12</stp>
        <stp/>
        <stp>CALC_TYP</stp>
        <stp>[RV_LINE_PRICER.xlsm]FixedBonds!R16C49</stp>
        <tr r="AW16" s="1"/>
        <tr r="AW16" s="1"/>
        <tr r="AW16" s="1"/>
      </tp>
      <tp t="b">
        <v>0</v>
        <stp/>
        <stp>##V3_BDPV12</stp>
        <stp/>
        <stp>CALC_TYP</stp>
        <stp>[RV_LINE_PRICER.xlsm]FixedBonds!R17C49</stp>
        <tr r="AW17" s="1"/>
        <tr r="AW17" s="1"/>
        <tr r="AW17" s="1"/>
      </tp>
      <tp t="b">
        <v>0</v>
        <stp/>
        <stp>##V3_BDPV12</stp>
        <stp/>
        <stp>CALC_TYP</stp>
        <stp>[RV_LINE_PRICER.xlsm]FixedBonds!R14C49</stp>
        <tr r="AW14" s="1"/>
        <tr r="AW14" s="1"/>
        <tr r="AW14" s="1"/>
      </tp>
      <tp t="b">
        <v>0</v>
        <stp/>
        <stp>##V3_BDPV12</stp>
        <stp/>
        <stp>CALC_TYP</stp>
        <stp>[RV_LINE_PRICER.xlsm]FixedBonds!R15C49</stp>
        <tr r="AW15" s="1"/>
        <tr r="AW15" s="1"/>
        <tr r="AW15" s="1"/>
      </tp>
      <tp t="b">
        <v>0</v>
        <stp/>
        <stp>##V3_BDPV12</stp>
        <stp/>
        <stp>CALC_TYP</stp>
        <stp>[RV_LINE_PRICER.xlsm]FixedBonds!R12C49</stp>
        <tr r="AW12" s="1"/>
        <tr r="AW12" s="1"/>
        <tr r="AW12" s="1"/>
      </tp>
      <tp t="b">
        <v>0</v>
        <stp/>
        <stp>##V3_BDPV12</stp>
        <stp/>
        <stp>CALC_TYP</stp>
        <stp>[RV_LINE_PRICER.xlsm]FixedBonds!R13C49</stp>
        <tr r="AW13" s="1"/>
        <tr r="AW13" s="1"/>
        <tr r="AW13" s="1"/>
      </tp>
      <tp t="b">
        <v>0</v>
        <stp/>
        <stp>##V3_BDPV12</stp>
        <stp/>
        <stp>CALC_TYP</stp>
        <stp>[RV_LINE_PRICER.xlsm]FixedBonds!R18C49</stp>
        <tr r="AW18" s="1"/>
        <tr r="AW18" s="1"/>
        <tr r="AW18" s="1"/>
      </tp>
      <tp t="b">
        <v>0</v>
        <stp/>
        <stp>##V3_BDPV12</stp>
        <stp/>
        <stp>CALC_TYP</stp>
        <stp>[RV_LINE_PRICER.xlsm]FixedBonds!R19C49</stp>
        <tr r="AW19" s="1"/>
        <tr r="AW19" s="1"/>
        <tr r="AW19" s="1"/>
      </tp>
      <tp t="b">
        <v>0</v>
        <stp/>
        <stp>##V3_BDPV12</stp>
        <stp/>
        <stp>CALC_TYP</stp>
        <stp>[RV_LINE_PRICER.xlsm]FixedBonds!R26C49</stp>
        <tr r="AW26" s="1"/>
        <tr r="AW26" s="1"/>
        <tr r="AW26" s="1"/>
      </tp>
      <tp t="b">
        <v>0</v>
        <stp/>
        <stp>##V3_BDPV12</stp>
        <stp/>
        <stp>CALC_TYP</stp>
        <stp>[RV_LINE_PRICER.xlsm]FixedBonds!R24C49</stp>
        <tr r="AW24" s="1"/>
        <tr r="AW24" s="1"/>
        <tr r="AW24" s="1"/>
      </tp>
      <tp t="b">
        <v>0</v>
        <stp/>
        <stp>##V3_BDPV12</stp>
        <stp/>
        <stp>CALC_TYP</stp>
        <stp>[RV_LINE_PRICER.xlsm]FixedBonds!R25C49</stp>
        <tr r="AW25" s="1"/>
        <tr r="AW25" s="1"/>
        <tr r="AW25" s="1"/>
      </tp>
      <tp t="b">
        <v>0</v>
        <stp/>
        <stp>##V3_BDPV12</stp>
        <stp/>
        <stp>CALC_TYP</stp>
        <stp>[RV_LINE_PRICER.xlsm]FixedBonds!R22C49</stp>
        <tr r="AW22" s="1"/>
        <tr r="AW22" s="1"/>
        <tr r="AW22" s="1"/>
      </tp>
      <tp t="b">
        <v>0</v>
        <stp/>
        <stp>##V3_BDPV12</stp>
        <stp/>
        <stp>CALC_TYP</stp>
        <stp>[RV_LINE_PRICER.xlsm]FixedBonds!R23C49</stp>
        <tr r="AW23" s="1"/>
        <tr r="AW23" s="1"/>
        <tr r="AW23" s="1"/>
      </tp>
      <tp t="b">
        <v>0</v>
        <stp/>
        <stp>##V3_BDPV12</stp>
        <stp/>
        <stp>CALC_TYP</stp>
        <stp>[RV_LINE_PRICER.xlsm]FixedBonds!R20C49</stp>
        <tr r="AW20" s="1"/>
        <tr r="AW20" s="1"/>
        <tr r="AW20" s="1"/>
      </tp>
      <tp t="b">
        <v>0</v>
        <stp/>
        <stp>##V3_BDPV12</stp>
        <stp/>
        <stp>CALC_TYP</stp>
        <stp>[RV_LINE_PRICER.xlsm]FixedBonds!R21C49</stp>
        <tr r="AW21" s="1"/>
        <tr r="AW21" s="1"/>
        <tr r="AW21" s="1"/>
      </tp>
      <tp t="s">
        <v>09/06/2011</v>
        <stp/>
        <stp>##V3_BDPV12</stp>
        <stp>USN4578BQA53 Corp</stp>
        <stp>START_ACC_DT</stp>
        <stp>[RV_LINE_PRICER.xlsm]FixedBonds!R7C36</stp>
        <tr r="AJ7" s="1"/>
      </tp>
      <tp t="b">
        <v>0</v>
        <stp/>
        <stp>##V3_BDPV12</stp>
        <stp/>
        <stp>PX_DIRTY_CLEAN</stp>
        <stp>[RV_LINE_PRICER.xlsm]FloatBonds!R21C34</stp>
        <tr r="AH21" s="18"/>
        <tr r="AH21" s="18"/>
      </tp>
      <tp t="b">
        <v>0</v>
        <stp/>
        <stp>##V3_BDPV12</stp>
        <stp/>
        <stp>PX_DIRTY_CLEAN</stp>
        <stp>[RV_LINE_PRICER.xlsm]FloatBonds!R20C34</stp>
        <tr r="AH20" s="18"/>
        <tr r="AH20" s="18"/>
      </tp>
      <tp t="b">
        <v>0</v>
        <stp/>
        <stp>##V3_BDPV12</stp>
        <stp/>
        <stp>PX_DIRTY_CLEAN</stp>
        <stp>[RV_LINE_PRICER.xlsm]FloatBonds!R23C34</stp>
        <tr r="AH23" s="18"/>
        <tr r="AH23" s="18"/>
      </tp>
      <tp t="b">
        <v>0</v>
        <stp/>
        <stp>##V3_BDPV12</stp>
        <stp/>
        <stp>PX_DIRTY_CLEAN</stp>
        <stp>[RV_LINE_PRICER.xlsm]FloatBonds!R22C34</stp>
        <tr r="AH22" s="18"/>
        <tr r="AH22" s="18"/>
      </tp>
      <tp t="b">
        <v>0</v>
        <stp/>
        <stp>##V3_BDPV12</stp>
        <stp/>
        <stp>PX_DIRTY_CLEAN</stp>
        <stp>[RV_LINE_PRICER.xlsm]FloatBonds!R25C34</stp>
        <tr r="AH25" s="18"/>
        <tr r="AH25" s="18"/>
      </tp>
      <tp t="b">
        <v>0</v>
        <stp/>
        <stp>##V3_BDPV12</stp>
        <stp/>
        <stp>PX_DIRTY_CLEAN</stp>
        <stp>[RV_LINE_PRICER.xlsm]FloatBonds!R24C34</stp>
        <tr r="AH24" s="18"/>
        <tr r="AH24" s="18"/>
      </tp>
      <tp t="b">
        <v>0</v>
        <stp/>
        <stp>##V3_BDPV12</stp>
        <stp/>
        <stp>PX_DIRTY_CLEAN</stp>
        <stp>[RV_LINE_PRICER.xlsm]FloatBonds!R26C34</stp>
        <tr r="AH26" s="18"/>
        <tr r="AH26" s="18"/>
      </tp>
      <tp t="b">
        <v>0</v>
        <stp/>
        <stp>##V3_BDPV12</stp>
        <stp/>
        <stp>PX_DIRTY_CLEAN</stp>
        <stp>[RV_LINE_PRICER.xlsm]FloatBonds!R13C34</stp>
        <tr r="AH13" s="18"/>
        <tr r="AH13" s="18"/>
      </tp>
      <tp t="b">
        <v>0</v>
        <stp/>
        <stp>##V3_BDPV12</stp>
        <stp/>
        <stp>PX_DIRTY_CLEAN</stp>
        <stp>[RV_LINE_PRICER.xlsm]FloatBonds!R12C34</stp>
        <tr r="AH12" s="18"/>
        <tr r="AH12" s="18"/>
      </tp>
      <tp t="b">
        <v>0</v>
        <stp/>
        <stp>##V3_BDPV12</stp>
        <stp/>
        <stp>PX_DIRTY_CLEAN</stp>
        <stp>[RV_LINE_PRICER.xlsm]FloatBonds!R15C34</stp>
        <tr r="AH15" s="18"/>
        <tr r="AH15" s="18"/>
      </tp>
      <tp t="b">
        <v>0</v>
        <stp/>
        <stp>##V3_BDPV12</stp>
        <stp/>
        <stp>PX_DIRTY_CLEAN</stp>
        <stp>[RV_LINE_PRICER.xlsm]FloatBonds!R14C34</stp>
        <tr r="AH14" s="18"/>
        <tr r="AH14" s="18"/>
      </tp>
      <tp t="b">
        <v>0</v>
        <stp/>
        <stp>##V3_BDPV12</stp>
        <stp/>
        <stp>PX_DIRTY_CLEAN</stp>
        <stp>[RV_LINE_PRICER.xlsm]FloatBonds!R17C34</stp>
        <tr r="AH17" s="18"/>
        <tr r="AH17" s="18"/>
      </tp>
      <tp t="b">
        <v>0</v>
        <stp/>
        <stp>##V3_BDPV12</stp>
        <stp/>
        <stp>PX_DIRTY_CLEAN</stp>
        <stp>[RV_LINE_PRICER.xlsm]FloatBonds!R16C34</stp>
        <tr r="AH16" s="18"/>
        <tr r="AH16" s="18"/>
      </tp>
      <tp t="b">
        <v>0</v>
        <stp/>
        <stp>##V3_BDPV12</stp>
        <stp/>
        <stp>PX_DIRTY_CLEAN</stp>
        <stp>[RV_LINE_PRICER.xlsm]FloatBonds!R19C34</stp>
        <tr r="AH19" s="18"/>
        <tr r="AH19" s="18"/>
      </tp>
      <tp t="b">
        <v>0</v>
        <stp/>
        <stp>##V3_BDPV12</stp>
        <stp/>
        <stp>PX_DIRTY_CLEAN</stp>
        <stp>[RV_LINE_PRICER.xlsm]FloatBonds!R18C34</stp>
        <tr r="AH18" s="18"/>
        <tr r="AH18" s="18"/>
      </tp>
      <tp>
        <v>-3.9170000000000003E-2</v>
        <stp/>
        <stp>##V3_BDHV12</stp>
        <stp>JY0003M Index</stp>
        <stp>PX_LAST</stp>
        <stp>26/06/2018</stp>
        <stp>26/06/2018</stp>
        <stp>[RV_LINE_PRICER.xlsm]FixingTables!R162C21</stp>
        <tr r="U162" s="5"/>
      </tp>
      <tp>
        <v>1.9E-2</v>
        <stp/>
        <stp>##V3_BDHV12</stp>
        <stp>JY0006M Index</stp>
        <stp>PX_LAST</stp>
        <stp>26/06/2018</stp>
        <stp>26/06/2018</stp>
        <stp>[RV_LINE_PRICER.xlsm]FixingTables!R162C24</stp>
        <tr r="X162" s="5"/>
      </tp>
      <tp>
        <v>2.5202499999999999</v>
        <stp/>
        <stp>##V3_BDHV12</stp>
        <stp>US0006M Index</stp>
        <stp>PX_LAST</stp>
        <stp>05/07/2018</stp>
        <stp>05/07/2018</stp>
        <stp>[RV_LINE_PRICER.xlsm]FixingTables!R153C12</stp>
        <tr r="L153" s="5"/>
      </tp>
      <tp>
        <v>2.5037500000000001</v>
        <stp/>
        <stp>##V3_BDHV12</stp>
        <stp>US0006M Index</stp>
        <stp>PX_LAST</stp>
        <stp>15/06/2018</stp>
        <stp>15/06/2018</stp>
        <stp>[RV_LINE_PRICER.xlsm]FixingTables!R166C12</stp>
        <tr r="L166" s="5"/>
      </tp>
      <tp>
        <v>2.4818799999999999</v>
        <stp/>
        <stp>##V3_BDHV12</stp>
        <stp>US0006M Index</stp>
        <stp>PX_LAST</stp>
        <stp>25/05/2018</stp>
        <stp>25/05/2018</stp>
        <stp>[RV_LINE_PRICER.xlsm]FixingTables!R180C12</stp>
        <tr r="L180" s="5"/>
      </tp>
      <tp>
        <v>1.367E-2</v>
        <stp/>
        <stp>##V3_BDHV12</stp>
        <stp>JY0006M Index</stp>
        <stp>PX_LAST</stp>
        <stp>27/07/2018</stp>
        <stp>27/07/2018</stp>
        <stp>[RV_LINE_PRICER.xlsm]FixingTables!R139C24</stp>
        <tr r="X139" s="5"/>
      </tp>
      <tp>
        <v>-3.1E-2</v>
        <stp/>
        <stp>##V3_BDHV12</stp>
        <stp>JY0003M Index</stp>
        <stp>PX_LAST</stp>
        <stp>27/07/2018</stp>
        <stp>27/07/2018</stp>
        <stp>[RV_LINE_PRICER.xlsm]FixingTables!R139C21</stp>
        <tr r="U139" s="5"/>
      </tp>
      <tp>
        <v>2.484</v>
        <stp/>
        <stp>##V3_BDHV12</stp>
        <stp>US0006M Index</stp>
        <stp>PX_LAST</stp>
        <stp>04/06/2018</stp>
        <stp>04/06/2018</stp>
        <stp>[RV_LINE_PRICER.xlsm]FixingTables!R175C12</stp>
        <tr r="L175" s="5"/>
      </tp>
      <tp>
        <v>-2.2669999999999999E-2</v>
        <stp/>
        <stp>##V3_BDHV12</stp>
        <stp>JY0003M Index</stp>
        <stp>PX_LAST</stp>
        <stp>04/06/2018</stp>
        <stp>04/06/2018</stp>
        <stp>[RV_LINE_PRICER.xlsm]FixingTables!R177C21</stp>
        <tr r="U177" s="5"/>
      </tp>
      <tp>
        <v>2.435E-2</v>
        <stp/>
        <stp>##V3_BDHV12</stp>
        <stp>JY0006M Index</stp>
        <stp>PX_LAST</stp>
        <stp>04/06/2018</stp>
        <stp>04/06/2018</stp>
        <stp>[RV_LINE_PRICER.xlsm]FixingTables!R177C24</stp>
        <tr r="X177" s="5"/>
      </tp>
      <tp>
        <v>2.5298799999999999</v>
        <stp/>
        <stp>##V3_BDHV12</stp>
        <stp>US0006M Index</stp>
        <stp>PX_LAST</stp>
        <stp>27/07/2018</stp>
        <stp>27/07/2018</stp>
        <stp>[RV_LINE_PRICER.xlsm]FixingTables!R137C12</stp>
        <tr r="L137" s="5"/>
      </tp>
      <tp>
        <v>2.2919999999999999E-2</v>
        <stp/>
        <stp>##V3_BDHV12</stp>
        <stp>JY0006M Index</stp>
        <stp>PX_LAST</stp>
        <stp>25/05/2018</stp>
        <stp>25/05/2018</stp>
        <stp>[RV_LINE_PRICER.xlsm]FixingTables!R182C24</stp>
        <tr r="X182" s="5"/>
      </tp>
      <tp>
        <v>-2.7830000000000001E-2</v>
        <stp/>
        <stp>##V3_BDHV12</stp>
        <stp>JY0003M Index</stp>
        <stp>PX_LAST</stp>
        <stp>25/05/2018</stp>
        <stp>25/05/2018</stp>
        <stp>[RV_LINE_PRICER.xlsm]FixingTables!R182C21</stp>
        <tr r="U182" s="5"/>
      </tp>
      <tp>
        <v>-4.1829999999999999E-2</v>
        <stp/>
        <stp>##V3_BDHV12</stp>
        <stp>JY0003M Index</stp>
        <stp>PX_LAST</stp>
        <stp>05/07/2018</stp>
        <stp>05/07/2018</stp>
        <stp>[RV_LINE_PRICER.xlsm]FixingTables!R155C21</stp>
        <tr r="U155" s="5"/>
      </tp>
      <tp>
        <v>-4.0500000000000001E-2</v>
        <stp/>
        <stp>##V3_BDHV12</stp>
        <stp>JY0003M Index</stp>
        <stp>PX_LAST</stp>
        <stp>15/06/2018</stp>
        <stp>15/06/2018</stp>
        <stp>[RV_LINE_PRICER.xlsm]FixingTables!R169C21</stp>
        <tr r="U169" s="5"/>
      </tp>
      <tp>
        <v>1.0829999999999999E-2</v>
        <stp/>
        <stp>##V3_BDHV12</stp>
        <stp>JY0006M Index</stp>
        <stp>PX_LAST</stp>
        <stp>05/07/2018</stp>
        <stp>05/07/2018</stp>
        <stp>[RV_LINE_PRICER.xlsm]FixingTables!R155C24</stp>
        <tr r="X155" s="5"/>
      </tp>
      <tp>
        <v>1.583E-2</v>
        <stp/>
        <stp>##V3_BDHV12</stp>
        <stp>JY0006M Index</stp>
        <stp>PX_LAST</stp>
        <stp>15/06/2018</stp>
        <stp>15/06/2018</stp>
        <stp>[RV_LINE_PRICER.xlsm]FixingTables!R169C24</stp>
        <tr r="X169" s="5"/>
      </tp>
      <tp>
        <v>2.5024999999999999</v>
        <stp/>
        <stp>##V3_BDHV12</stp>
        <stp>US0006M Index</stp>
        <stp>PX_LAST</stp>
        <stp>26/06/2018</stp>
        <stp>26/06/2018</stp>
        <stp>[RV_LINE_PRICER.xlsm]FixingTables!R159C12</stp>
        <tr r="L159" s="5"/>
      </tp>
      <tp>
        <v>2.5282499999999999</v>
        <stp/>
        <stp>##V3_BDHV12</stp>
        <stp>US0006M Index</stp>
        <stp>PX_LAST</stp>
        <stp>28/08/2018</stp>
        <stp>28/08/2018</stp>
        <stp>[RV_LINE_PRICER.xlsm]FixingTables!R116C12</stp>
        <tr r="L116" s="5"/>
      </tp>
      <tp>
        <v>2.4830000000000001E-2</v>
        <stp/>
        <stp>##V3_BDHV12</stp>
        <stp>JY0006M Index</stp>
        <stp>PX_LAST</stp>
        <stp>28/08/2018</stp>
        <stp>28/08/2018</stp>
        <stp>[RV_LINE_PRICER.xlsm]FixingTables!R119C24</stp>
        <tr r="X119" s="5"/>
      </tp>
      <tp>
        <v>-3.2000000000000001E-2</v>
        <stp/>
        <stp>##V3_BDHV12</stp>
        <stp>JY0003M Index</stp>
        <stp>PX_LAST</stp>
        <stp>28/08/2018</stp>
        <stp>28/08/2018</stp>
        <stp>[RV_LINE_PRICER.xlsm]FixingTables!R119C21</stp>
        <tr r="U119" s="5"/>
      </tp>
      <tp t="b">
        <v>0</v>
        <stp/>
        <stp>##V3_BDPV12</stp>
        <stp/>
        <stp>ISSUE_DT</stp>
        <stp>[RV_LINE_PRICER.xlsm]FloatBonds!R21C39</stp>
        <tr r="AM21" s="18"/>
        <tr r="AM21" s="18"/>
      </tp>
      <tp t="b">
        <v>0</v>
        <stp/>
        <stp>##V3_BDPV12</stp>
        <stp/>
        <stp>ISSUE_DT</stp>
        <stp>[RV_LINE_PRICER.xlsm]FloatBonds!R20C39</stp>
        <tr r="AM20" s="18"/>
        <tr r="AM20" s="18"/>
      </tp>
      <tp t="b">
        <v>0</v>
        <stp/>
        <stp>##V3_BDPV12</stp>
        <stp/>
        <stp>ISSUE_DT</stp>
        <stp>[RV_LINE_PRICER.xlsm]FloatBonds!R23C39</stp>
        <tr r="AM23" s="18"/>
        <tr r="AM23" s="18"/>
      </tp>
      <tp t="b">
        <v>0</v>
        <stp/>
        <stp>##V3_BDPV12</stp>
        <stp/>
        <stp>ISSUE_DT</stp>
        <stp>[RV_LINE_PRICER.xlsm]FloatBonds!R22C39</stp>
        <tr r="AM22" s="18"/>
        <tr r="AM22" s="18"/>
      </tp>
      <tp t="b">
        <v>0</v>
        <stp/>
        <stp>##V3_BDPV12</stp>
        <stp/>
        <stp>ISSUE_DT</stp>
        <stp>[RV_LINE_PRICER.xlsm]FloatBonds!R25C39</stp>
        <tr r="AM25" s="18"/>
        <tr r="AM25" s="18"/>
      </tp>
      <tp t="b">
        <v>0</v>
        <stp/>
        <stp>##V3_BDPV12</stp>
        <stp/>
        <stp>ISSUE_DT</stp>
        <stp>[RV_LINE_PRICER.xlsm]FloatBonds!R24C39</stp>
        <tr r="AM24" s="18"/>
        <tr r="AM24" s="18"/>
      </tp>
      <tp t="b">
        <v>0</v>
        <stp/>
        <stp>##V3_BDPV12</stp>
        <stp/>
        <stp>ISSUE_DT</stp>
        <stp>[RV_LINE_PRICER.xlsm]FloatBonds!R26C39</stp>
        <tr r="AM26" s="18"/>
        <tr r="AM26" s="18"/>
      </tp>
      <tp t="b">
        <v>0</v>
        <stp/>
        <stp>##V3_BDPV12</stp>
        <stp/>
        <stp>ISSUE_DT</stp>
        <stp>[RV_LINE_PRICER.xlsm]FloatBonds!R13C39</stp>
        <tr r="AM13" s="18"/>
        <tr r="AM13" s="18"/>
      </tp>
      <tp t="b">
        <v>0</v>
        <stp/>
        <stp>##V3_BDPV12</stp>
        <stp/>
        <stp>ISSUE_DT</stp>
        <stp>[RV_LINE_PRICER.xlsm]FloatBonds!R12C39</stp>
        <tr r="AM12" s="18"/>
        <tr r="AM12" s="18"/>
      </tp>
      <tp t="b">
        <v>0</v>
        <stp/>
        <stp>##V3_BDPV12</stp>
        <stp/>
        <stp>ISSUE_DT</stp>
        <stp>[RV_LINE_PRICER.xlsm]FloatBonds!R15C39</stp>
        <tr r="AM15" s="18"/>
        <tr r="AM15" s="18"/>
      </tp>
      <tp t="b">
        <v>0</v>
        <stp/>
        <stp>##V3_BDPV12</stp>
        <stp/>
        <stp>ISSUE_DT</stp>
        <stp>[RV_LINE_PRICER.xlsm]FloatBonds!R14C39</stp>
        <tr r="AM14" s="18"/>
        <tr r="AM14" s="18"/>
      </tp>
      <tp t="b">
        <v>0</v>
        <stp/>
        <stp>##V3_BDPV12</stp>
        <stp/>
        <stp>ISSUE_DT</stp>
        <stp>[RV_LINE_PRICER.xlsm]FloatBonds!R17C39</stp>
        <tr r="AM17" s="18"/>
        <tr r="AM17" s="18"/>
      </tp>
      <tp t="b">
        <v>0</v>
        <stp/>
        <stp>##V3_BDPV12</stp>
        <stp/>
        <stp>ISSUE_DT</stp>
        <stp>[RV_LINE_PRICER.xlsm]FloatBonds!R16C39</stp>
        <tr r="AM16" s="18"/>
        <tr r="AM16" s="18"/>
      </tp>
      <tp t="b">
        <v>0</v>
        <stp/>
        <stp>##V3_BDPV12</stp>
        <stp/>
        <stp>ISSUE_DT</stp>
        <stp>[RV_LINE_PRICER.xlsm]FloatBonds!R19C39</stp>
        <tr r="AM19" s="18"/>
        <tr r="AM19" s="18"/>
      </tp>
      <tp t="b">
        <v>0</v>
        <stp/>
        <stp>##V3_BDPV12</stp>
        <stp/>
        <stp>ISSUE_DT</stp>
        <stp>[RV_LINE_PRICER.xlsm]FloatBonds!R18C39</stp>
        <tr r="AM18" s="18"/>
        <tr r="AM18" s="18"/>
      </tp>
      <tp t="s">
        <v>FLOATING</v>
        <stp/>
        <stp>##V3_BDPV12</stp>
        <stp>XS1193905160 Corp</stp>
        <stp>CPN_TYP</stp>
        <stp>[RV_LINE_PRICER.xlsm]FloatBonds!R11C199</stp>
        <tr r="GQ11" s="18"/>
      </tp>
      <tp t="s">
        <v>FLOATING</v>
        <stp/>
        <stp>##V3_BDPV12</stp>
        <stp>XS1193905160 Corp</stp>
        <stp>CPN_TYP</stp>
        <stp>[RV_LINE_PRICER.xlsm]FloatBonds!R10C199</stp>
        <tr r="GQ10" s="18"/>
      </tp>
      <tp>
        <v>2</v>
        <stp/>
        <stp>##V3_BDPV12</stp>
        <stp>XS1344710857 Corp</stp>
        <stp>CPN_FREQ</stp>
        <stp>[RV_LINE_PRICER.xlsm]XccyFixedBonds!R8C219</stp>
        <tr r="HK8" s="16"/>
        <tr r="HK8" s="16"/>
      </tp>
      <tp>
        <v>2</v>
        <stp/>
        <stp>##V3_BDPV12</stp>
        <stp>XS1344710857 Corp</stp>
        <stp>CPN_FREQ</stp>
        <stp>[RV_LINE_PRICER.xlsm]XccyFixedBonds!R9C219</stp>
        <tr r="HK9" s="16"/>
        <tr r="HK9" s="16"/>
      </tp>
      <tp>
        <v>2</v>
        <stp/>
        <stp>##V3_BDPV12</stp>
        <stp>XS1344710857 Corp</stp>
        <stp>CPN_FREQ</stp>
        <stp>[RV_LINE_PRICER.xlsm]XccyFixedBonds!R7C219</stp>
        <tr r="HK7" s="16"/>
        <tr r="HK7" s="16"/>
      </tp>
      <tp t="b">
        <v>0</v>
        <stp/>
        <stp>##V3_BDPV12</stp>
        <stp/>
        <stp>INT_ACC_DT</stp>
        <stp>[RV_LINE_PRICER.xlsm]FloatBonds!R16C209</stp>
        <tr r="HA16" s="18"/>
        <tr r="HA16" s="18"/>
      </tp>
      <tp t="b">
        <v>0</v>
        <stp/>
        <stp>##V3_BDPV12</stp>
        <stp/>
        <stp>INT_ACC_DT</stp>
        <stp>[RV_LINE_PRICER.xlsm]FloatBonds!R17C209</stp>
        <tr r="HA17" s="18"/>
        <tr r="HA17" s="18"/>
      </tp>
      <tp t="b">
        <v>0</v>
        <stp/>
        <stp>##V3_BDPV12</stp>
        <stp/>
        <stp>INT_ACC_DT</stp>
        <stp>[RV_LINE_PRICER.xlsm]FloatBonds!R14C209</stp>
        <tr r="HA14" s="18"/>
        <tr r="HA14" s="18"/>
      </tp>
      <tp t="b">
        <v>0</v>
        <stp/>
        <stp>##V3_BDPV12</stp>
        <stp/>
        <stp>INT_ACC_DT</stp>
        <stp>[RV_LINE_PRICER.xlsm]FloatBonds!R15C209</stp>
        <tr r="HA15" s="18"/>
        <tr r="HA15" s="18"/>
      </tp>
      <tp t="b">
        <v>0</v>
        <stp/>
        <stp>##V3_BDPV12</stp>
        <stp/>
        <stp>INT_ACC_DT</stp>
        <stp>[RV_LINE_PRICER.xlsm]FloatBonds!R12C209</stp>
        <tr r="HA12" s="18"/>
        <tr r="HA12" s="18"/>
      </tp>
      <tp t="b">
        <v>0</v>
        <stp/>
        <stp>##V3_BDPV12</stp>
        <stp/>
        <stp>INT_ACC_DT</stp>
        <stp>[RV_LINE_PRICER.xlsm]FloatBonds!R13C209</stp>
        <tr r="HA13" s="18"/>
        <tr r="HA13" s="18"/>
      </tp>
      <tp t="b">
        <v>0</v>
        <stp/>
        <stp>##V3_BDPV12</stp>
        <stp/>
        <stp>INT_ACC_DT</stp>
        <stp>[RV_LINE_PRICER.xlsm]FloatBonds!R18C209</stp>
        <tr r="HA18" s="18"/>
        <tr r="HA18" s="18"/>
      </tp>
      <tp t="b">
        <v>0</v>
        <stp/>
        <stp>##V3_BDPV12</stp>
        <stp/>
        <stp>INT_ACC_DT</stp>
        <stp>[RV_LINE_PRICER.xlsm]FloatBonds!R19C209</stp>
        <tr r="HA19" s="18"/>
        <tr r="HA19" s="18"/>
      </tp>
      <tp t="b">
        <v>0</v>
        <stp/>
        <stp>##V3_BDPV12</stp>
        <stp/>
        <stp>INT_ACC_DT</stp>
        <stp>[RV_LINE_PRICER.xlsm]FloatBonds!R26C209</stp>
        <tr r="HA26" s="18"/>
        <tr r="HA26" s="18"/>
      </tp>
      <tp t="b">
        <v>0</v>
        <stp/>
        <stp>##V3_BDPV12</stp>
        <stp/>
        <stp>INT_ACC_DT</stp>
        <stp>[RV_LINE_PRICER.xlsm]FloatBonds!R24C209</stp>
        <tr r="HA24" s="18"/>
        <tr r="HA24" s="18"/>
      </tp>
      <tp t="b">
        <v>0</v>
        <stp/>
        <stp>##V3_BDPV12</stp>
        <stp/>
        <stp>INT_ACC_DT</stp>
        <stp>[RV_LINE_PRICER.xlsm]FloatBonds!R25C209</stp>
        <tr r="HA25" s="18"/>
        <tr r="HA25" s="18"/>
      </tp>
      <tp t="b">
        <v>0</v>
        <stp/>
        <stp>##V3_BDPV12</stp>
        <stp/>
        <stp>INT_ACC_DT</stp>
        <stp>[RV_LINE_PRICER.xlsm]FloatBonds!R22C209</stp>
        <tr r="HA22" s="18"/>
        <tr r="HA22" s="18"/>
      </tp>
      <tp t="b">
        <v>0</v>
        <stp/>
        <stp>##V3_BDPV12</stp>
        <stp/>
        <stp>INT_ACC_DT</stp>
        <stp>[RV_LINE_PRICER.xlsm]FloatBonds!R23C209</stp>
        <tr r="HA23" s="18"/>
        <tr r="HA23" s="18"/>
      </tp>
      <tp t="b">
        <v>0</v>
        <stp/>
        <stp>##V3_BDPV12</stp>
        <stp/>
        <stp>INT_ACC_DT</stp>
        <stp>[RV_LINE_PRICER.xlsm]FloatBonds!R20C209</stp>
        <tr r="HA20" s="18"/>
        <tr r="HA20" s="18"/>
      </tp>
      <tp t="b">
        <v>0</v>
        <stp/>
        <stp>##V3_BDPV12</stp>
        <stp/>
        <stp>INT_ACC_DT</stp>
        <stp>[RV_LINE_PRICER.xlsm]FloatBonds!R21C209</stp>
        <tr r="HA21" s="18"/>
        <tr r="HA21" s="18"/>
      </tp>
      <tp t="s">
        <v>20/02/2015</v>
        <stp/>
        <stp>##V3_BDPV12</stp>
        <stp>XS1193905160 Corp</stp>
        <stp>INT_ACC_DT</stp>
        <stp>[RV_LINE_PRICER.xlsm]FloatBonds!R10C209</stp>
        <tr r="HA10" s="18"/>
      </tp>
      <tp t="s">
        <v>20/02/2015</v>
        <stp/>
        <stp>##V3_BDPV12</stp>
        <stp>XS1193905160 Corp</stp>
        <stp>INT_ACC_DT</stp>
        <stp>[RV_LINE_PRICER.xlsm]FloatBonds!R11C209</stp>
        <tr r="HA11" s="18"/>
      </tp>
      <tp t="b">
        <v>0</v>
        <stp/>
        <stp>##V3_BDPV12</stp>
        <stp/>
        <stp>PENULTIMATE_CPN_DT</stp>
        <stp>[RV_LINE_PRICER.xlsm]FloatBonds!R26C211</stp>
        <tr r="HC26" s="18"/>
        <tr r="HC26" s="18"/>
      </tp>
      <tp t="b">
        <v>0</v>
        <stp/>
        <stp>##V3_BDPV12</stp>
        <stp/>
        <stp>PENULTIMATE_CPN_DT</stp>
        <stp>[RV_LINE_PRICER.xlsm]FloatBonds!R24C211</stp>
        <tr r="HC24" s="18"/>
        <tr r="HC24" s="18"/>
      </tp>
      <tp t="b">
        <v>0</v>
        <stp/>
        <stp>##V3_BDPV12</stp>
        <stp/>
        <stp>PENULTIMATE_CPN_DT</stp>
        <stp>[RV_LINE_PRICER.xlsm]FloatBonds!R25C211</stp>
        <tr r="HC25" s="18"/>
        <tr r="HC25" s="18"/>
      </tp>
      <tp t="b">
        <v>0</v>
        <stp/>
        <stp>##V3_BDPV12</stp>
        <stp/>
        <stp>PENULTIMATE_CPN_DT</stp>
        <stp>[RV_LINE_PRICER.xlsm]FloatBonds!R22C211</stp>
        <tr r="HC22" s="18"/>
        <tr r="HC22" s="18"/>
      </tp>
      <tp t="b">
        <v>0</v>
        <stp/>
        <stp>##V3_BDPV12</stp>
        <stp/>
        <stp>PENULTIMATE_CPN_DT</stp>
        <stp>[RV_LINE_PRICER.xlsm]FloatBonds!R23C211</stp>
        <tr r="HC23" s="18"/>
        <tr r="HC23" s="18"/>
      </tp>
      <tp t="b">
        <v>0</v>
        <stp/>
        <stp>##V3_BDPV12</stp>
        <stp/>
        <stp>PENULTIMATE_CPN_DT</stp>
        <stp>[RV_LINE_PRICER.xlsm]FloatBonds!R20C211</stp>
        <tr r="HC20" s="18"/>
        <tr r="HC20" s="18"/>
      </tp>
      <tp t="b">
        <v>0</v>
        <stp/>
        <stp>##V3_BDPV12</stp>
        <stp/>
        <stp>PENULTIMATE_CPN_DT</stp>
        <stp>[RV_LINE_PRICER.xlsm]FloatBonds!R21C211</stp>
        <tr r="HC21" s="18"/>
        <tr r="HC21" s="18"/>
      </tp>
      <tp t="b">
        <v>0</v>
        <stp/>
        <stp>##V3_BDPV12</stp>
        <stp/>
        <stp>PENULTIMATE_CPN_DT</stp>
        <stp>[RV_LINE_PRICER.xlsm]FloatBonds!R16C211</stp>
        <tr r="HC16" s="18"/>
        <tr r="HC16" s="18"/>
      </tp>
      <tp t="b">
        <v>0</v>
        <stp/>
        <stp>##V3_BDPV12</stp>
        <stp/>
        <stp>PENULTIMATE_CPN_DT</stp>
        <stp>[RV_LINE_PRICER.xlsm]FloatBonds!R17C211</stp>
        <tr r="HC17" s="18"/>
        <tr r="HC17" s="18"/>
      </tp>
      <tp t="b">
        <v>0</v>
        <stp/>
        <stp>##V3_BDPV12</stp>
        <stp/>
        <stp>PENULTIMATE_CPN_DT</stp>
        <stp>[RV_LINE_PRICER.xlsm]FloatBonds!R14C211</stp>
        <tr r="HC14" s="18"/>
        <tr r="HC14" s="18"/>
      </tp>
      <tp t="b">
        <v>0</v>
        <stp/>
        <stp>##V3_BDPV12</stp>
        <stp/>
        <stp>PENULTIMATE_CPN_DT</stp>
        <stp>[RV_LINE_PRICER.xlsm]FloatBonds!R15C211</stp>
        <tr r="HC15" s="18"/>
        <tr r="HC15" s="18"/>
      </tp>
      <tp t="b">
        <v>0</v>
        <stp/>
        <stp>##V3_BDPV12</stp>
        <stp/>
        <stp>PENULTIMATE_CPN_DT</stp>
        <stp>[RV_LINE_PRICER.xlsm]FloatBonds!R12C211</stp>
        <tr r="HC12" s="18"/>
        <tr r="HC12" s="18"/>
      </tp>
      <tp t="b">
        <v>0</v>
        <stp/>
        <stp>##V3_BDPV12</stp>
        <stp/>
        <stp>PENULTIMATE_CPN_DT</stp>
        <stp>[RV_LINE_PRICER.xlsm]FloatBonds!R13C211</stp>
        <tr r="HC13" s="18"/>
        <tr r="HC13" s="18"/>
      </tp>
      <tp t="b">
        <v>0</v>
        <stp/>
        <stp>##V3_BDPV12</stp>
        <stp/>
        <stp>PENULTIMATE_CPN_DT</stp>
        <stp>[RV_LINE_PRICER.xlsm]FloatBonds!R18C211</stp>
        <tr r="HC18" s="18"/>
        <tr r="HC18" s="18"/>
      </tp>
      <tp t="b">
        <v>0</v>
        <stp/>
        <stp>##V3_BDPV12</stp>
        <stp/>
        <stp>PENULTIMATE_CPN_DT</stp>
        <stp>[RV_LINE_PRICER.xlsm]FloatBonds!R19C211</stp>
        <tr r="HC19" s="18"/>
        <tr r="HC19" s="18"/>
      </tp>
      <tp>
        <v>-3.517E-2</v>
        <stp/>
        <stp>##V3_BDHV12</stp>
        <stp>JY0003M Index</stp>
        <stp>PX_LAST</stp>
        <stp>26/07/2018</stp>
        <stp>26/07/2018</stp>
        <stp>[RV_LINE_PRICER.xlsm]FixingTables!R140C21</stp>
        <tr r="U140" s="5"/>
      </tp>
      <tp>
        <v>1.617E-2</v>
        <stp/>
        <stp>##V3_BDHV12</stp>
        <stp>JY0006M Index</stp>
        <stp>PX_LAST</stp>
        <stp>26/07/2018</stp>
        <stp>26/07/2018</stp>
        <stp>[RV_LINE_PRICER.xlsm]FixingTables!R140C24</stp>
        <tr r="X140" s="5"/>
      </tp>
      <tp>
        <v>2.4796300000000002</v>
        <stp/>
        <stp>##V3_BDHV12</stp>
        <stp>US0006M Index</stp>
        <stp>PX_LAST</stp>
        <stp>05/06/2018</stp>
        <stp>05/06/2018</stp>
        <stp>[RV_LINE_PRICER.xlsm]FixingTables!R174C12</stp>
        <tr r="L174" s="5"/>
      </tp>
      <tp>
        <v>-3.8330000000000003E-2</v>
        <stp/>
        <stp>##V3_BDHV12</stp>
        <stp>JY0003M Index</stp>
        <stp>PX_LAST</stp>
        <stp>27/06/2018</stp>
        <stp>27/06/2018</stp>
        <stp>[RV_LINE_PRICER.xlsm]FixingTables!R161C21</stp>
        <tr r="U161" s="5"/>
      </tp>
      <tp>
        <v>2.0670000000000001E-2</v>
        <stp/>
        <stp>##V3_BDHV12</stp>
        <stp>JY0006M Index</stp>
        <stp>PX_LAST</stp>
        <stp>27/06/2018</stp>
        <stp>27/06/2018</stp>
        <stp>[RV_LINE_PRICER.xlsm]FixingTables!R161C24</stp>
        <tr r="X161" s="5"/>
      </tp>
      <tp>
        <v>2.5028800000000002</v>
        <stp/>
        <stp>##V3_BDHV12</stp>
        <stp>US0006M Index</stp>
        <stp>PX_LAST</stp>
        <stp>14/06/2018</stp>
        <stp>14/06/2018</stp>
        <stp>[RV_LINE_PRICER.xlsm]FixingTables!R167C12</stp>
        <tr r="L167" s="5"/>
      </tp>
      <tp>
        <v>2.4849999999999999</v>
        <stp/>
        <stp>##V3_BDHV12</stp>
        <stp>US0006M Index</stp>
        <stp>PX_LAST</stp>
        <stp>24/05/2018</stp>
        <stp>24/05/2018</stp>
        <stp>[RV_LINE_PRICER.xlsm]FixingTables!R181C12</stp>
        <tr r="L181" s="5"/>
      </tp>
      <tp>
        <v>-4.1829999999999999E-2</v>
        <stp/>
        <stp>##V3_BDHV12</stp>
        <stp>JY0003M Index</stp>
        <stp>PX_LAST</stp>
        <stp>04/07/2018</stp>
        <stp>04/07/2018</stp>
        <stp>[RV_LINE_PRICER.xlsm]FixingTables!R156C21</stp>
        <tr r="U156" s="5"/>
      </tp>
      <tp>
        <v>-4.0500000000000001E-2</v>
        <stp/>
        <stp>##V3_BDHV12</stp>
        <stp>JY0003M Index</stp>
        <stp>PX_LAST</stp>
        <stp>14/06/2018</stp>
        <stp>14/06/2018</stp>
        <stp>[RV_LINE_PRICER.xlsm]FixingTables!R170C21</stp>
        <tr r="U170" s="5"/>
      </tp>
      <tp>
        <v>1.0829999999999999E-2</v>
        <stp/>
        <stp>##V3_BDHV12</stp>
        <stp>JY0006M Index</stp>
        <stp>PX_LAST</stp>
        <stp>04/07/2018</stp>
        <stp>04/07/2018</stp>
        <stp>[RV_LINE_PRICER.xlsm]FixingTables!R156C24</stp>
        <tr r="X156" s="5"/>
      </tp>
      <tp>
        <v>1.4500000000000001E-2</v>
        <stp/>
        <stp>##V3_BDHV12</stp>
        <stp>JY0006M Index</stp>
        <stp>PX_LAST</stp>
        <stp>14/06/2018</stp>
        <stp>14/06/2018</stp>
        <stp>[RV_LINE_PRICER.xlsm]FixingTables!R170C24</stp>
        <tr r="X170" s="5"/>
      </tp>
      <tp>
        <v>2.5006300000000001</v>
        <stp/>
        <stp>##V3_BDHV12</stp>
        <stp>US0006M Index</stp>
        <stp>PX_LAST</stp>
        <stp>27/06/2018</stp>
        <stp>27/06/2018</stp>
        <stp>[RV_LINE_PRICER.xlsm]FixingTables!R158C12</stp>
        <tr r="L158" s="5"/>
      </tp>
      <tp>
        <v>-1.883E-2</v>
        <stp/>
        <stp>##V3_BDHV12</stp>
        <stp>JY0003M Index</stp>
        <stp>PX_LAST</stp>
        <stp>05/06/2018</stp>
        <stp>05/06/2018</stp>
        <stp>[RV_LINE_PRICER.xlsm]FixingTables!R176C21</stp>
        <tr r="U176" s="5"/>
      </tp>
      <tp>
        <v>2.6849999999999999E-2</v>
        <stp/>
        <stp>##V3_BDHV12</stp>
        <stp>JY0006M Index</stp>
        <stp>PX_LAST</stp>
        <stp>05/06/2018</stp>
        <stp>05/06/2018</stp>
        <stp>[RV_LINE_PRICER.xlsm]FixingTables!R176C24</stp>
        <tr r="X176" s="5"/>
      </tp>
      <tp>
        <v>2.5286300000000002</v>
        <stp/>
        <stp>##V3_BDHV12</stp>
        <stp>US0006M Index</stp>
        <stp>PX_LAST</stp>
        <stp>26/07/2018</stp>
        <stp>26/07/2018</stp>
        <stp>[RV_LINE_PRICER.xlsm]FixingTables!R138C12</stp>
        <tr r="L138" s="5"/>
      </tp>
      <tp>
        <v>2.5274999999999999</v>
        <stp/>
        <stp>##V3_BDHV12</stp>
        <stp>US0006M Index</stp>
        <stp>PX_LAST</stp>
        <stp>29/08/2018</stp>
        <stp>29/08/2018</stp>
        <stp>[RV_LINE_PRICER.xlsm]FixingTables!R115C12</stp>
        <tr r="L115" s="5"/>
      </tp>
      <tp>
        <v>2.6499999999999999E-2</v>
        <stp/>
        <stp>##V3_BDHV12</stp>
        <stp>JY0006M Index</stp>
        <stp>PX_LAST</stp>
        <stp>29/08/2018</stp>
        <stp>29/08/2018</stp>
        <stp>[RV_LINE_PRICER.xlsm]FixingTables!R118C24</stp>
        <tr r="X118" s="5"/>
      </tp>
      <tp>
        <v>-2.8670000000000001E-2</v>
        <stp/>
        <stp>##V3_BDHV12</stp>
        <stp>JY0003M Index</stp>
        <stp>PX_LAST</stp>
        <stp>29/08/2018</stp>
        <stp>29/08/2018</stp>
        <stp>[RV_LINE_PRICER.xlsm]FixingTables!R118C21</stp>
        <tr r="U118" s="5"/>
      </tp>
      <tp t="s">
        <v>20/11/2019</v>
        <stp/>
        <stp>##V3_BDPV12</stp>
        <stp>XS1193905160 Corp</stp>
        <stp>PENULTIMATE_CPN_DT</stp>
        <stp>[RV_LINE_PRICER.xlsm]FloatBonds!R10C211</stp>
        <tr r="HC10" s="18"/>
      </tp>
      <tp t="s">
        <v>20/11/2019</v>
        <stp/>
        <stp>##V3_BDPV12</stp>
        <stp>XS1193905160 Corp</stp>
        <stp>PENULTIMATE_CPN_DT</stp>
        <stp>[RV_LINE_PRICER.xlsm]FloatBonds!R11C211</stp>
        <tr r="HC11" s="18"/>
      </tp>
      <tp>
        <v>2.5209999999999999</v>
        <stp/>
        <stp>##V3_BDPV12</stp>
        <stp>US05565QCT31 Corp</stp>
        <stp>CPN</stp>
        <stp>[RV_LINE_PRICER.xlsm]FloatBonds!R7C44</stp>
        <tr r="AR7" s="18"/>
      </tp>
      <tp>
        <v>2.5209999999999999</v>
        <stp/>
        <stp>##V3_BDPV12</stp>
        <stp>US05565QCT31 Corp</stp>
        <stp>CPN</stp>
        <stp>[RV_LINE_PRICER.xlsm]FloatBonds!R8C44</stp>
        <tr r="AR8" s="18"/>
      </tp>
      <tp>
        <v>2.5209999999999999</v>
        <stp/>
        <stp>##V3_BDPV12</stp>
        <stp>US05565QCT31 Corp</stp>
        <stp>CPN</stp>
        <stp>[RV_LINE_PRICER.xlsm]FloatBonds!R9C44</stp>
        <tr r="AR9" s="18"/>
      </tp>
      <tp>
        <v>-4.0329999999999998E-2</v>
        <stp/>
        <stp>##V3_BDHV12</stp>
        <stp>JY0003M Index</stp>
        <stp>PX_LAST</stp>
        <stp>16/07/2018</stp>
        <stp>16/07/2018</stp>
        <stp>[RV_LINE_PRICER.xlsm]FixingTables!R148C21</stp>
        <tr r="U148" s="5"/>
      </tp>
      <tp>
        <v>-2.6329999999999999E-2</v>
        <stp/>
        <stp>##V3_BDHV12</stp>
        <stp>JY0003M Index</stp>
        <stp>PX_LAST</stp>
        <stp>06/06/2018</stp>
        <stp>06/06/2018</stp>
        <stp>[RV_LINE_PRICER.xlsm]FixingTables!R175C21</stp>
        <tr r="U175" s="5"/>
      </tp>
      <tp>
        <v>1.567E-2</v>
        <stp/>
        <stp>##V3_BDHV12</stp>
        <stp>JY0006M Index</stp>
        <stp>PX_LAST</stp>
        <stp>16/07/2018</stp>
        <stp>16/07/2018</stp>
        <stp>[RV_LINE_PRICER.xlsm]FixingTables!R148C24</stp>
        <tr r="X148" s="5"/>
      </tp>
      <tp>
        <v>2.2679999999999999E-2</v>
        <stp/>
        <stp>##V3_BDHV12</stp>
        <stp>JY0006M Index</stp>
        <stp>PX_LAST</stp>
        <stp>06/06/2018</stp>
        <stp>06/06/2018</stp>
        <stp>[RV_LINE_PRICER.xlsm]FixingTables!R175C24</stp>
        <tr r="X175" s="5"/>
      </tp>
      <tp>
        <v>2.5225</v>
        <stp/>
        <stp>##V3_BDHV12</stp>
        <stp>US0006M Index</stp>
        <stp>PX_LAST</stp>
        <stp>25/07/2018</stp>
        <stp>25/07/2018</stp>
        <stp>[RV_LINE_PRICER.xlsm]FixingTables!R139C12</stp>
        <tr r="L139" s="5"/>
      </tp>
      <tp>
        <v>-3.6830000000000002E-2</v>
        <stp/>
        <stp>##V3_BDHV12</stp>
        <stp>JY0003M Index</stp>
        <stp>PX_LAST</stp>
        <stp>25/07/2018</stp>
        <stp>25/07/2018</stp>
        <stp>[RV_LINE_PRICER.xlsm]FixingTables!R141C21</stp>
        <tr r="U141" s="5"/>
      </tp>
      <tp>
        <v>1.8669999999999999E-2</v>
        <stp/>
        <stp>##V3_BDHV12</stp>
        <stp>JY0006M Index</stp>
        <stp>PX_LAST</stp>
        <stp>25/07/2018</stp>
        <stp>25/07/2018</stp>
        <stp>[RV_LINE_PRICER.xlsm]FixingTables!R141C24</stp>
        <tr r="X141" s="5"/>
      </tp>
      <tp>
        <v>2.5185</v>
        <stp/>
        <stp>##V3_BDHV12</stp>
        <stp>US0006M Index</stp>
        <stp>PX_LAST</stp>
        <stp>16/07/2018</stp>
        <stp>16/07/2018</stp>
        <stp>[RV_LINE_PRICER.xlsm]FixingTables!R146C12</stp>
        <tr r="L146" s="5"/>
      </tp>
      <tp>
        <v>2.4837500000000001</v>
        <stp/>
        <stp>##V3_BDHV12</stp>
        <stp>US0006M Index</stp>
        <stp>PX_LAST</stp>
        <stp>06/06/2018</stp>
        <stp>06/06/2018</stp>
        <stp>[RV_LINE_PRICER.xlsm]FixingTables!R173C12</stp>
        <tr r="L173" s="5"/>
      </tp>
      <tp>
        <v>2.5678800000000002</v>
        <stp/>
        <stp>##V3_BDHV12</stp>
        <stp>US0006M Index</stp>
        <stp>PX_LAST</stp>
        <stp>18/09/2018</stp>
        <stp>18/09/2018</stp>
        <stp>[RV_LINE_PRICER.xlsm]FixingTables!R102C12</stp>
        <tr r="L102" s="5"/>
      </tp>
      <tp>
        <v>2.5169999999999999</v>
        <stp/>
        <stp>##V3_BDHV12</stp>
        <stp>US0006M Index</stp>
        <stp>PX_LAST</stp>
        <stp>08/08/2018</stp>
        <stp>08/08/2018</stp>
        <stp>[RV_LINE_PRICER.xlsm]FixingTables!R129C12</stp>
        <tr r="L129" s="5"/>
      </tp>
      <tp>
        <v>2.2329999999999999E-2</v>
        <stp/>
        <stp>##V3_BDHV12</stp>
        <stp>JY0006M Index</stp>
        <stp>PX_LAST</stp>
        <stp>18/09/2018</stp>
        <stp>18/09/2018</stp>
        <stp>[RV_LINE_PRICER.xlsm]FixingTables!R104C24</stp>
        <tr r="X104" s="5"/>
      </tp>
      <tp>
        <v>1.383E-2</v>
        <stp/>
        <stp>##V3_BDHV12</stp>
        <stp>JY0006M Index</stp>
        <stp>PX_LAST</stp>
        <stp>08/08/2018</stp>
        <stp>08/08/2018</stp>
        <stp>[RV_LINE_PRICER.xlsm]FixingTables!R132C24</stp>
        <tr r="X132" s="5"/>
      </tp>
      <tp>
        <v>-3.85E-2</v>
        <stp/>
        <stp>##V3_BDHV12</stp>
        <stp>JY0003M Index</stp>
        <stp>PX_LAST</stp>
        <stp>18/09/2018</stp>
        <stp>18/09/2018</stp>
        <stp>[RV_LINE_PRICER.xlsm]FixingTables!R104C21</stp>
        <tr r="U104" s="5"/>
      </tp>
      <tp>
        <v>-4.2500000000000003E-2</v>
        <stp/>
        <stp>##V3_BDHV12</stp>
        <stp>JY0003M Index</stp>
        <stp>PX_LAST</stp>
        <stp>08/08/2018</stp>
        <stp>08/08/2018</stp>
        <stp>[RV_LINE_PRICER.xlsm]FixingTables!R132C21</stp>
        <tr r="U132" s="5"/>
      </tp>
      <tp t="b">
        <v>0</v>
        <stp/>
        <stp>##V3_BDPV12</stp>
        <stp/>
        <stp>DAY_CNT_DES</stp>
        <stp>[RV_LINE_PRICER.xlsm]FixedBonds!R19C47</stp>
        <tr r="AU19" s="1"/>
        <tr r="AU19" s="1"/>
      </tp>
      <tp t="b">
        <v>0</v>
        <stp/>
        <stp>##V3_BDPV12</stp>
        <stp/>
        <stp>DAY_CNT_DES</stp>
        <stp>[RV_LINE_PRICER.xlsm]FixedBonds!R18C47</stp>
        <tr r="AU18" s="1"/>
        <tr r="AU18" s="1"/>
      </tp>
      <tp t="b">
        <v>0</v>
        <stp/>
        <stp>##V3_BDPV12</stp>
        <stp/>
        <stp>DAY_CNT_DES</stp>
        <stp>[RV_LINE_PRICER.xlsm]FixedBonds!R15C47</stp>
        <tr r="AU15" s="1"/>
        <tr r="AU15" s="1"/>
      </tp>
      <tp t="b">
        <v>0</v>
        <stp/>
        <stp>##V3_BDPV12</stp>
        <stp/>
        <stp>DAY_CNT_DES</stp>
        <stp>[RV_LINE_PRICER.xlsm]FixedBonds!R14C47</stp>
        <tr r="AU14" s="1"/>
        <tr r="AU14" s="1"/>
      </tp>
      <tp t="b">
        <v>0</v>
        <stp/>
        <stp>##V3_BDPV12</stp>
        <stp/>
        <stp>DAY_CNT_DES</stp>
        <stp>[RV_LINE_PRICER.xlsm]FixedBonds!R17C47</stp>
        <tr r="AU17" s="1"/>
        <tr r="AU17" s="1"/>
      </tp>
      <tp t="b">
        <v>0</v>
        <stp/>
        <stp>##V3_BDPV12</stp>
        <stp/>
        <stp>DAY_CNT_DES</stp>
        <stp>[RV_LINE_PRICER.xlsm]FixedBonds!R16C47</stp>
        <tr r="AU16" s="1"/>
        <tr r="AU16" s="1"/>
      </tp>
      <tp t="b">
        <v>0</v>
        <stp/>
        <stp>##V3_BDPV12</stp>
        <stp/>
        <stp>DAY_CNT_DES</stp>
        <stp>[RV_LINE_PRICER.xlsm]FixedBonds!R13C47</stp>
        <tr r="AU13" s="1"/>
        <tr r="AU13" s="1"/>
      </tp>
      <tp t="b">
        <v>0</v>
        <stp/>
        <stp>##V3_BDPV12</stp>
        <stp/>
        <stp>DAY_CNT_DES</stp>
        <stp>[RV_LINE_PRICER.xlsm]FixedBonds!R12C47</stp>
        <tr r="AU12" s="1"/>
        <tr r="AU12" s="1"/>
      </tp>
      <tp t="b">
        <v>0</v>
        <stp/>
        <stp>##V3_BDPV12</stp>
        <stp/>
        <stp>DAY_CNT_DES</stp>
        <stp>[RV_LINE_PRICER.xlsm]FixedBonds!R25C47</stp>
        <tr r="AU25" s="1"/>
        <tr r="AU25" s="1"/>
      </tp>
      <tp t="b">
        <v>0</v>
        <stp/>
        <stp>##V3_BDPV12</stp>
        <stp/>
        <stp>DAY_CNT_DES</stp>
        <stp>[RV_LINE_PRICER.xlsm]FixedBonds!R24C47</stp>
        <tr r="AU24" s="1"/>
        <tr r="AU24" s="1"/>
      </tp>
      <tp t="b">
        <v>0</v>
        <stp/>
        <stp>##V3_BDPV12</stp>
        <stp/>
        <stp>DAY_CNT_DES</stp>
        <stp>[RV_LINE_PRICER.xlsm]FixedBonds!R26C47</stp>
        <tr r="AU26" s="1"/>
        <tr r="AU26" s="1"/>
      </tp>
      <tp t="b">
        <v>0</v>
        <stp/>
        <stp>##V3_BDPV12</stp>
        <stp/>
        <stp>DAY_CNT_DES</stp>
        <stp>[RV_LINE_PRICER.xlsm]FixedBonds!R21C47</stp>
        <tr r="AU21" s="1"/>
        <tr r="AU21" s="1"/>
      </tp>
      <tp t="b">
        <v>0</v>
        <stp/>
        <stp>##V3_BDPV12</stp>
        <stp/>
        <stp>DAY_CNT_DES</stp>
        <stp>[RV_LINE_PRICER.xlsm]FixedBonds!R20C47</stp>
        <tr r="AU20" s="1"/>
        <tr r="AU20" s="1"/>
      </tp>
      <tp t="b">
        <v>0</v>
        <stp/>
        <stp>##V3_BDPV12</stp>
        <stp/>
        <stp>DAY_CNT_DES</stp>
        <stp>[RV_LINE_PRICER.xlsm]FixedBonds!R23C47</stp>
        <tr r="AU23" s="1"/>
        <tr r="AU23" s="1"/>
      </tp>
      <tp t="b">
        <v>0</v>
        <stp/>
        <stp>##V3_BDPV12</stp>
        <stp/>
        <stp>DAY_CNT_DES</stp>
        <stp>[RV_LINE_PRICER.xlsm]FixedBonds!R22C47</stp>
        <tr r="AU22" s="1"/>
        <tr r="AU22" s="1"/>
      </tp>
      <tp t="s">
        <v>09/12/2020</v>
        <stp/>
        <stp>##V3_BDPV12</stp>
        <stp>USN4578BQA53 Corp</stp>
        <stp>PENULTIMATE_CPN_DT</stp>
        <stp>[RV_LINE_PRICER.xlsm]FixedBonds!R7C38</stp>
        <tr r="AL7" s="1"/>
      </tp>
      <tp>
        <v>-4.5999999999999999E-2</v>
        <stp/>
        <stp>##V3_BDHV12</stp>
        <stp>JY0003M Index</stp>
        <stp>PX_LAST</stp>
        <stp>06/07/2018</stp>
        <stp>06/07/2018</stp>
        <stp>[RV_LINE_PRICER.xlsm]FixingTables!R154C21</stp>
        <tr r="U154" s="5"/>
      </tp>
      <tp>
        <v>1.1169999999999999E-2</v>
        <stp/>
        <stp>##V3_BDHV12</stp>
        <stp>JY0006M Index</stp>
        <stp>PX_LAST</stp>
        <stp>06/07/2018</stp>
        <stp>06/07/2018</stp>
        <stp>[RV_LINE_PRICER.xlsm]FixingTables!R154C24</stp>
        <tr r="X154" s="5"/>
      </tp>
      <tp>
        <v>2.5024999999999999</v>
        <stp/>
        <stp>##V3_BDHV12</stp>
        <stp>US0006M Index</stp>
        <stp>PX_LAST</stp>
        <stp>25/06/2018</stp>
        <stp>25/06/2018</stp>
        <stp>[RV_LINE_PRICER.xlsm]FixingTables!R160C12</stp>
        <tr r="L160" s="5"/>
      </tp>
      <tp>
        <v>-3.533E-2</v>
        <stp/>
        <stp>##V3_BDHV12</stp>
        <stp>JY0003M Index</stp>
        <stp>PX_LAST</stp>
        <stp>17/07/2018</stp>
        <stp>17/07/2018</stp>
        <stp>[RV_LINE_PRICER.xlsm]FixingTables!R147C21</stp>
        <tr r="U147" s="5"/>
      </tp>
      <tp>
        <v>-3.2169999999999997E-2</v>
        <stp/>
        <stp>##V3_BDHV12</stp>
        <stp>JY0003M Index</stp>
        <stp>PX_LAST</stp>
        <stp>07/06/2018</stp>
        <stp>07/06/2018</stp>
        <stp>[RV_LINE_PRICER.xlsm]FixingTables!R174C21</stp>
        <tr r="U174" s="5"/>
      </tp>
      <tp>
        <v>1.917E-2</v>
        <stp/>
        <stp>##V3_BDHV12</stp>
        <stp>JY0006M Index</stp>
        <stp>PX_LAST</stp>
        <stp>17/07/2018</stp>
        <stp>17/07/2018</stp>
        <stp>[RV_LINE_PRICER.xlsm]FixingTables!R147C24</stp>
        <tr r="X147" s="5"/>
      </tp>
      <tp>
        <v>2.2679999999999999E-2</v>
        <stp/>
        <stp>##V3_BDHV12</stp>
        <stp>JY0006M Index</stp>
        <stp>PX_LAST</stp>
        <stp>07/06/2018</stp>
        <stp>07/06/2018</stp>
        <stp>[RV_LINE_PRICER.xlsm]FixingTables!R174C24</stp>
        <tr r="X174" s="5"/>
      </tp>
      <tp>
        <v>2.5225</v>
        <stp/>
        <stp>##V3_BDHV12</stp>
        <stp>US0006M Index</stp>
        <stp>PX_LAST</stp>
        <stp>24/07/2018</stp>
        <stp>24/07/2018</stp>
        <stp>[RV_LINE_PRICER.xlsm]FixingTables!R140C12</stp>
        <tr r="L140" s="5"/>
      </tp>
      <tp>
        <v>-3.5999999999999997E-2</v>
        <stp/>
        <stp>##V3_BDHV12</stp>
        <stp>JY0003M Index</stp>
        <stp>PX_LAST</stp>
        <stp>24/07/2018</stp>
        <stp>24/07/2018</stp>
        <stp>[RV_LINE_PRICER.xlsm]FixingTables!R142C21</stp>
        <tr r="U142" s="5"/>
      </tp>
      <tp>
        <v>1.8669999999999999E-2</v>
        <stp/>
        <stp>##V3_BDHV12</stp>
        <stp>JY0006M Index</stp>
        <stp>PX_LAST</stp>
        <stp>24/07/2018</stp>
        <stp>24/07/2018</stp>
        <stp>[RV_LINE_PRICER.xlsm]FixingTables!R142C24</stp>
        <tr r="X142" s="5"/>
      </tp>
      <tp>
        <v>2.5231300000000001</v>
        <stp/>
        <stp>##V3_BDHV12</stp>
        <stp>US0006M Index</stp>
        <stp>PX_LAST</stp>
        <stp>17/07/2018</stp>
        <stp>17/07/2018</stp>
        <stp>[RV_LINE_PRICER.xlsm]FixingTables!R145C12</stp>
        <tr r="L145" s="5"/>
      </tp>
      <tp>
        <v>2.4918800000000001</v>
        <stp/>
        <stp>##V3_BDHV12</stp>
        <stp>US0006M Index</stp>
        <stp>PX_LAST</stp>
        <stp>07/06/2018</stp>
        <stp>07/06/2018</stp>
        <stp>[RV_LINE_PRICER.xlsm]FixingTables!R172C12</stp>
        <tr r="L172" s="5"/>
      </tp>
      <tp>
        <v>-4.317E-2</v>
        <stp/>
        <stp>##V3_BDHV12</stp>
        <stp>JY0003M Index</stp>
        <stp>PX_LAST</stp>
        <stp>25/06/2018</stp>
        <stp>25/06/2018</stp>
        <stp>[RV_LINE_PRICER.xlsm]FixingTables!R163C21</stp>
        <tr r="U163" s="5"/>
      </tp>
      <tp>
        <v>1.533E-2</v>
        <stp/>
        <stp>##V3_BDHV12</stp>
        <stp>JY0006M Index</stp>
        <stp>PX_LAST</stp>
        <stp>25/06/2018</stp>
        <stp>25/06/2018</stp>
        <stp>[RV_LINE_PRICER.xlsm]FixingTables!R163C24</stp>
        <tr r="X163" s="5"/>
      </tp>
      <tp>
        <v>2.50813</v>
        <stp/>
        <stp>##V3_BDHV12</stp>
        <stp>US0006M Index</stp>
        <stp>PX_LAST</stp>
        <stp>06/07/2018</stp>
        <stp>06/07/2018</stp>
        <stp>[RV_LINE_PRICER.xlsm]FixingTables!R152C12</stp>
        <tr r="L152" s="5"/>
      </tp>
      <tp>
        <v>2.5717499999999998</v>
        <stp/>
        <stp>##V3_BDHV12</stp>
        <stp>US0006M Index</stp>
        <stp>PX_LAST</stp>
        <stp>19/09/2018</stp>
        <stp>19/09/2018</stp>
        <stp>[RV_LINE_PRICER.xlsm]FixingTables!R101C12</stp>
        <tr r="L101" s="5"/>
      </tp>
      <tp>
        <v>2.5171299999999999</v>
        <stp/>
        <stp>##V3_BDHV12</stp>
        <stp>US0006M Index</stp>
        <stp>PX_LAST</stp>
        <stp>09/08/2018</stp>
        <stp>09/08/2018</stp>
        <stp>[RV_LINE_PRICER.xlsm]FixingTables!R128C12</stp>
        <tr r="L128" s="5"/>
      </tp>
      <tp>
        <v>2.4E-2</v>
        <stp/>
        <stp>##V3_BDHV12</stp>
        <stp>JY0006M Index</stp>
        <stp>PX_LAST</stp>
        <stp>19/09/2018</stp>
        <stp>19/09/2018</stp>
        <stp>[RV_LINE_PRICER.xlsm]FixingTables!R103C24</stp>
        <tr r="X103" s="5"/>
      </tp>
      <tp>
        <v>1.7829999999999999E-2</v>
        <stp/>
        <stp>##V3_BDHV12</stp>
        <stp>JY0006M Index</stp>
        <stp>PX_LAST</stp>
        <stp>09/08/2018</stp>
        <stp>09/08/2018</stp>
        <stp>[RV_LINE_PRICER.xlsm]FixingTables!R131C24</stp>
        <tr r="X131" s="5"/>
      </tp>
      <tp>
        <v>-3.9669999999999997E-2</v>
        <stp/>
        <stp>##V3_BDHV12</stp>
        <stp>JY0003M Index</stp>
        <stp>PX_LAST</stp>
        <stp>19/09/2018</stp>
        <stp>19/09/2018</stp>
        <stp>[RV_LINE_PRICER.xlsm]FixingTables!R103C21</stp>
        <tr r="U103" s="5"/>
      </tp>
      <tp>
        <v>-3.9170000000000003E-2</v>
        <stp/>
        <stp>##V3_BDHV12</stp>
        <stp>JY0003M Index</stp>
        <stp>PX_LAST</stp>
        <stp>09/08/2018</stp>
        <stp>09/08/2018</stp>
        <stp>[RV_LINE_PRICER.xlsm]FixingTables!R131C21</stp>
        <tr r="U131" s="5"/>
      </tp>
      <tp>
        <v>97.512</v>
        <stp/>
        <stp>##V3_BDPV12</stp>
        <stp>USJ46186BC59 BGN Corp</stp>
        <stp>PX_LAST</stp>
        <stp>[RV_LINE_PRICER.xlsm]XccyFixedBonds!R7C12</stp>
        <tr r="L7" s="16"/>
      </tp>
      <tp>
        <v>97.512</v>
        <stp/>
        <stp>##V3_BDPV12</stp>
        <stp>USJ46186BC59 BGN Corp</stp>
        <stp>PX_LAST</stp>
        <stp>[RV_LINE_PRICER.xlsm]XccyFixedBonds!R9C12</stp>
        <tr r="L9" s="16"/>
      </tp>
      <tp>
        <v>97.512</v>
        <stp/>
        <stp>##V3_BDPV12</stp>
        <stp>USJ46186BC59 BGN Corp</stp>
        <stp>PX_LAST</stp>
        <stp>[RV_LINE_PRICER.xlsm]XccyFixedBonds!R8C12</stp>
        <tr r="L8" s="16"/>
      </tp>
      <tp>
        <v>2.317E-2</v>
        <stp/>
        <stp>##V3_BDHV12</stp>
        <stp>JY0006M Index</stp>
        <stp>PX_LAST</stp>
        <stp>07/09/2018</stp>
        <stp>07/09/2018</stp>
        <stp>[RV_LINE_PRICER.xlsm]FixingTables!R111C24</stp>
        <tr r="X111" s="5"/>
      </tp>
      <tp>
        <v>2.8670000000000001E-2</v>
        <stp/>
        <stp>##V3_BDHV12</stp>
        <stp>JY0006M Index</stp>
        <stp>PX_LAST</stp>
        <stp>17/08/2018</stp>
        <stp>17/08/2018</stp>
        <stp>[RV_LINE_PRICER.xlsm]FixingTables!R125C24</stp>
        <tr r="X125" s="5"/>
      </tp>
      <tp>
        <v>-3.6499999999999998E-2</v>
        <stp/>
        <stp>##V3_BDHV12</stp>
        <stp>JY0003M Index</stp>
        <stp>PX_LAST</stp>
        <stp>07/09/2018</stp>
        <stp>07/09/2018</stp>
        <stp>[RV_LINE_PRICER.xlsm]FixingTables!R111C21</stp>
        <tr r="U111" s="5"/>
      </tp>
      <tp>
        <v>-3.7330000000000002E-2</v>
        <stp/>
        <stp>##V3_BDHV12</stp>
        <stp>JY0003M Index</stp>
        <stp>PX_LAST</stp>
        <stp>17/08/2018</stp>
        <stp>17/08/2018</stp>
        <stp>[RV_LINE_PRICER.xlsm]FixingTables!R125C21</stp>
        <tr r="U125" s="5"/>
      </tp>
      <tp>
        <v>2.5230000000000001</v>
        <stp/>
        <stp>##V3_BDHV12</stp>
        <stp>US0006M Index</stp>
        <stp>PX_LAST</stp>
        <stp>24/08/2018</stp>
        <stp>24/08/2018</stp>
        <stp>[RV_LINE_PRICER.xlsm]FixingTables!R117C12</stp>
        <tr r="L117" s="5"/>
      </tp>
      <tp>
        <v>2.8830000000000001E-2</v>
        <stp/>
        <stp>##V3_BDHV12</stp>
        <stp>JY0006M Index</stp>
        <stp>PX_LAST</stp>
        <stp>24/08/2018</stp>
        <stp>24/08/2018</stp>
        <stp>[RV_LINE_PRICER.xlsm]FixingTables!R120C24</stp>
        <tr r="X120" s="5"/>
      </tp>
      <tp>
        <v>-3.0329999999999999E-2</v>
        <stp/>
        <stp>##V3_BDHV12</stp>
        <stp>JY0003M Index</stp>
        <stp>PX_LAST</stp>
        <stp>24/08/2018</stp>
        <stp>24/08/2018</stp>
        <stp>[RV_LINE_PRICER.xlsm]FixingTables!R120C21</stp>
        <tr r="U120" s="5"/>
      </tp>
      <tp>
        <v>2.5415000000000001</v>
        <stp/>
        <stp>##V3_BDHV12</stp>
        <stp>US0006M Index</stp>
        <stp>PX_LAST</stp>
        <stp>07/09/2018</stp>
        <stp>07/09/2018</stp>
        <stp>[RV_LINE_PRICER.xlsm]FixingTables!R109C12</stp>
        <tr r="L109" s="5"/>
      </tp>
      <tp>
        <v>2.5107499999999998</v>
        <stp/>
        <stp>##V3_BDHV12</stp>
        <stp>US0006M Index</stp>
        <stp>PX_LAST</stp>
        <stp>17/08/2018</stp>
        <stp>17/08/2018</stp>
        <stp>[RV_LINE_PRICER.xlsm]FixingTables!R122C12</stp>
        <tr r="L122" s="5"/>
      </tp>
      <tp>
        <v>2.52163</v>
        <stp/>
        <stp>##V3_BDHV12</stp>
        <stp>US0006M Index</stp>
        <stp>PX_LAST</stp>
        <stp>06/08/2018</stp>
        <stp>06/08/2018</stp>
        <stp>[RV_LINE_PRICER.xlsm]FixingTables!R131C12</stp>
        <tr r="L131" s="5"/>
      </tp>
      <tp>
        <v>2.50875</v>
        <stp/>
        <stp>##V3_BDHV12</stp>
        <stp>US0006M Index</stp>
        <stp>PX_LAST</stp>
        <stp>09/07/2018</stp>
        <stp>09/07/2018</stp>
        <stp>[RV_LINE_PRICER.xlsm]FixingTables!R151C12</stp>
        <tr r="L151" s="5"/>
      </tp>
      <tp>
        <v>2.4699999999999998</v>
        <stp/>
        <stp>##V3_BDHV12</stp>
        <stp>US0006M Index</stp>
        <stp>PX_LAST</stp>
        <stp>29/05/2018</stp>
        <stp>29/05/2018</stp>
        <stp>[RV_LINE_PRICER.xlsm]FixingTables!R179C12</stp>
        <tr r="L179" s="5"/>
      </tp>
      <tp>
        <v>2.4950000000000001</v>
        <stp/>
        <stp>##V3_BDHV12</stp>
        <stp>US0006M Index</stp>
        <stp>PX_LAST</stp>
        <stp>19/06/2018</stp>
        <stp>19/06/2018</stp>
        <stp>[RV_LINE_PRICER.xlsm]FixingTables!R164C12</stp>
        <tr r="L164" s="5"/>
      </tp>
      <tp>
        <v>2.5266299999999999</v>
        <stp/>
        <stp>##V3_BDHV12</stp>
        <stp>US0006M Index</stp>
        <stp>PX_LAST</stp>
        <stp>18/07/2018</stp>
        <stp>18/07/2018</stp>
        <stp>[RV_LINE_PRICER.xlsm]FixingTables!R144C12</stp>
        <tr r="L144" s="5"/>
      </tp>
      <tp>
        <v>2.48875</v>
        <stp/>
        <stp>##V3_BDHV12</stp>
        <stp>US0006M Index</stp>
        <stp>PX_LAST</stp>
        <stp>08/06/2018</stp>
        <stp>08/06/2018</stp>
        <stp>[RV_LINE_PRICER.xlsm]FixingTables!R171C12</stp>
        <tr r="L171" s="5"/>
      </tp>
      <tp>
        <v>-3.95E-2</v>
        <stp/>
        <stp>##V3_BDHV12</stp>
        <stp>JY0003M Index</stp>
        <stp>PX_LAST</stp>
        <stp>18/07/2018</stp>
        <stp>18/07/2018</stp>
        <stp>[RV_LINE_PRICER.xlsm]FixingTables!R146C21</stp>
        <tr r="U146" s="5"/>
      </tp>
      <tp>
        <v>-3.3829999999999999E-2</v>
        <stp/>
        <stp>##V3_BDHV12</stp>
        <stp>JY0003M Index</stp>
        <stp>PX_LAST</stp>
        <stp>08/06/2018</stp>
        <stp>08/06/2018</stp>
        <stp>[RV_LINE_PRICER.xlsm]FixingTables!R173C21</stp>
        <tr r="U173" s="5"/>
      </tp>
      <tp>
        <v>1.6500000000000001E-2</v>
        <stp/>
        <stp>##V3_BDHV12</stp>
        <stp>JY0006M Index</stp>
        <stp>PX_LAST</stp>
        <stp>18/07/2018</stp>
        <stp>18/07/2018</stp>
        <stp>[RV_LINE_PRICER.xlsm]FixingTables!R146C24</stp>
        <tr r="X146" s="5"/>
      </tp>
      <tp>
        <v>1.7950000000000001E-2</v>
        <stp/>
        <stp>##V3_BDHV12</stp>
        <stp>JY0006M Index</stp>
        <stp>PX_LAST</stp>
        <stp>08/06/2018</stp>
        <stp>08/06/2018</stp>
        <stp>[RV_LINE_PRICER.xlsm]FixingTables!R173C24</stp>
        <tr r="X173" s="5"/>
      </tp>
      <tp>
        <v>2.5420000000000002E-2</v>
        <stp/>
        <stp>##V3_BDHV12</stp>
        <stp>JY0006M Index</stp>
        <stp>PX_LAST</stp>
        <stp>29/05/2018</stp>
        <stp>29/05/2018</stp>
        <stp>[RV_LINE_PRICER.xlsm]FixingTables!R181C24</stp>
        <tr r="X181" s="5"/>
      </tp>
      <tp>
        <v>-1.4829999999999999E-2</v>
        <stp/>
        <stp>##V3_BDHV12</stp>
        <stp>JY0003M Index</stp>
        <stp>PX_LAST</stp>
        <stp>29/05/2018</stp>
        <stp>29/05/2018</stp>
        <stp>[RV_LINE_PRICER.xlsm]FixingTables!R181C21</stp>
        <tr r="U181" s="5"/>
      </tp>
      <tp>
        <v>-4.3499999999999997E-2</v>
        <stp/>
        <stp>##V3_BDHV12</stp>
        <stp>JY0003M Index</stp>
        <stp>PX_LAST</stp>
        <stp>09/07/2018</stp>
        <stp>09/07/2018</stp>
        <stp>[RV_LINE_PRICER.xlsm]FixingTables!R153C21</stp>
        <tr r="U153" s="5"/>
      </tp>
      <tp>
        <v>-4.7E-2</v>
        <stp/>
        <stp>##V3_BDHV12</stp>
        <stp>JY0003M Index</stp>
        <stp>PX_LAST</stp>
        <stp>19/06/2018</stp>
        <stp>19/06/2018</stp>
        <stp>[RV_LINE_PRICER.xlsm]FixingTables!R167C21</stp>
        <tr r="U167" s="5"/>
      </tp>
      <tp>
        <v>6.0000000000000001E-3</v>
        <stp/>
        <stp>##V3_BDHV12</stp>
        <stp>JY0006M Index</stp>
        <stp>PX_LAST</stp>
        <stp>09/07/2018</stp>
        <stp>09/07/2018</stp>
        <stp>[RV_LINE_PRICER.xlsm]FixingTables!R153C24</stp>
        <tr r="X153" s="5"/>
      </tp>
      <tp>
        <v>1.567E-2</v>
        <stp/>
        <stp>##V3_BDHV12</stp>
        <stp>JY0006M Index</stp>
        <stp>PX_LAST</stp>
        <stp>19/06/2018</stp>
        <stp>19/06/2018</stp>
        <stp>[RV_LINE_PRICER.xlsm]FixingTables!R167C24</stp>
        <tr r="X167" s="5"/>
      </tp>
      <tp>
        <v>107.238</v>
        <stp/>
        <stp>##V3_BDPV12</stp>
        <stp>XS0367001228 BGN Corp</stp>
        <stp>PX_LAST</stp>
        <stp>[RV_LINE_PRICER.xlsm]FixedBondsSummary!R11C3</stp>
        <tr r="C11" s="12"/>
      </tp>
      <tp>
        <v>2</v>
        <stp/>
        <stp>##V3_BDPV12</stp>
        <stp>US05565QCT31 Corp</stp>
        <stp>CPN_FREQ</stp>
        <stp>[RV_LINE_PRICER.xlsm]FloatBonds!R10C45</stp>
        <tr r="AS10" s="18"/>
      </tp>
      <tp>
        <v>2</v>
        <stp/>
        <stp>##V3_BDPV12</stp>
        <stp>US05565QCT31 Corp</stp>
        <stp>CPN_FREQ</stp>
        <stp>[RV_LINE_PRICER.xlsm]FloatBonds!R11C45</stp>
        <tr r="AS11" s="18"/>
      </tp>
      <tp t="b">
        <v>0</v>
        <stp/>
        <stp>##V3_BDPV12</stp>
        <stp/>
        <stp>FIRST_CPN_DT</stp>
        <stp>[RV_LINE_PRICER.xlsm]FloatBonds!R13C210</stp>
        <tr r="HB13" s="18"/>
        <tr r="HB13" s="18"/>
      </tp>
      <tp t="b">
        <v>0</v>
        <stp/>
        <stp>##V3_BDPV12</stp>
        <stp/>
        <stp>FIRST_CPN_DT</stp>
        <stp>[RV_LINE_PRICER.xlsm]FloatBonds!R12C210</stp>
        <tr r="HB12" s="18"/>
        <tr r="HB12" s="18"/>
      </tp>
      <tp t="b">
        <v>0</v>
        <stp/>
        <stp>##V3_BDPV12</stp>
        <stp/>
        <stp>FIRST_CPN_DT</stp>
        <stp>[RV_LINE_PRICER.xlsm]FloatBonds!R17C210</stp>
        <tr r="HB17" s="18"/>
        <tr r="HB17" s="18"/>
      </tp>
      <tp t="b">
        <v>0</v>
        <stp/>
        <stp>##V3_BDPV12</stp>
        <stp/>
        <stp>FIRST_CPN_DT</stp>
        <stp>[RV_LINE_PRICER.xlsm]FloatBonds!R16C210</stp>
        <tr r="HB16" s="18"/>
        <tr r="HB16" s="18"/>
      </tp>
      <tp t="b">
        <v>0</v>
        <stp/>
        <stp>##V3_BDPV12</stp>
        <stp/>
        <stp>FIRST_CPN_DT</stp>
        <stp>[RV_LINE_PRICER.xlsm]FloatBonds!R15C210</stp>
        <tr r="HB15" s="18"/>
        <tr r="HB15" s="18"/>
      </tp>
      <tp t="b">
        <v>0</v>
        <stp/>
        <stp>##V3_BDPV12</stp>
        <stp/>
        <stp>FIRST_CPN_DT</stp>
        <stp>[RV_LINE_PRICER.xlsm]FloatBonds!R14C210</stp>
        <tr r="HB14" s="18"/>
        <tr r="HB14" s="18"/>
      </tp>
      <tp t="b">
        <v>0</v>
        <stp/>
        <stp>##V3_BDPV12</stp>
        <stp/>
        <stp>FIRST_CPN_DT</stp>
        <stp>[RV_LINE_PRICER.xlsm]FloatBonds!R19C210</stp>
        <tr r="HB19" s="18"/>
        <tr r="HB19" s="18"/>
      </tp>
      <tp t="b">
        <v>0</v>
        <stp/>
        <stp>##V3_BDPV12</stp>
        <stp/>
        <stp>FIRST_CPN_DT</stp>
        <stp>[RV_LINE_PRICER.xlsm]FloatBonds!R18C210</stp>
        <tr r="HB18" s="18"/>
        <tr r="HB18" s="18"/>
      </tp>
      <tp t="b">
        <v>0</v>
        <stp/>
        <stp>##V3_BDPV12</stp>
        <stp/>
        <stp>FIRST_CPN_DT</stp>
        <stp>[RV_LINE_PRICER.xlsm]FloatBonds!R23C210</stp>
        <tr r="HB23" s="18"/>
        <tr r="HB23" s="18"/>
      </tp>
      <tp t="b">
        <v>0</v>
        <stp/>
        <stp>##V3_BDPV12</stp>
        <stp/>
        <stp>FIRST_CPN_DT</stp>
        <stp>[RV_LINE_PRICER.xlsm]FloatBonds!R22C210</stp>
        <tr r="HB22" s="18"/>
        <tr r="HB22" s="18"/>
      </tp>
      <tp t="b">
        <v>0</v>
        <stp/>
        <stp>##V3_BDPV12</stp>
        <stp/>
        <stp>FIRST_CPN_DT</stp>
        <stp>[RV_LINE_PRICER.xlsm]FloatBonds!R21C210</stp>
        <tr r="HB21" s="18"/>
        <tr r="HB21" s="18"/>
      </tp>
      <tp t="b">
        <v>0</v>
        <stp/>
        <stp>##V3_BDPV12</stp>
        <stp/>
        <stp>FIRST_CPN_DT</stp>
        <stp>[RV_LINE_PRICER.xlsm]FloatBonds!R20C210</stp>
        <tr r="HB20" s="18"/>
        <tr r="HB20" s="18"/>
      </tp>
      <tp t="b">
        <v>0</v>
        <stp/>
        <stp>##V3_BDPV12</stp>
        <stp/>
        <stp>FIRST_CPN_DT</stp>
        <stp>[RV_LINE_PRICER.xlsm]FloatBonds!R26C210</stp>
        <tr r="HB26" s="18"/>
        <tr r="HB26" s="18"/>
      </tp>
      <tp t="b">
        <v>0</v>
        <stp/>
        <stp>##V3_BDPV12</stp>
        <stp/>
        <stp>FIRST_CPN_DT</stp>
        <stp>[RV_LINE_PRICER.xlsm]FloatBonds!R25C210</stp>
        <tr r="HB25" s="18"/>
        <tr r="HB25" s="18"/>
      </tp>
      <tp t="b">
        <v>0</v>
        <stp/>
        <stp>##V3_BDPV12</stp>
        <stp/>
        <stp>FIRST_CPN_DT</stp>
        <stp>[RV_LINE_PRICER.xlsm]FloatBonds!R24C210</stp>
        <tr r="HB24" s="18"/>
        <tr r="HB24" s="18"/>
      </tp>
      <tp t="s">
        <v>15/01/2016</v>
        <stp/>
        <stp>##V3_BDPV12</stp>
        <stp>XS1344710857 Corp</stp>
        <stp>INT_ACC_DT</stp>
        <stp>[RV_LINE_PRICER.xlsm]XccyFixedBonds!R8C214</stp>
        <tr r="HF8" s="16"/>
        <tr r="HF8" s="16"/>
      </tp>
      <tp t="s">
        <v>15/01/2016</v>
        <stp/>
        <stp>##V3_BDPV12</stp>
        <stp>XS1344710857 Corp</stp>
        <stp>INT_ACC_DT</stp>
        <stp>[RV_LINE_PRICER.xlsm]XccyFixedBonds!R9C214</stp>
        <tr r="HF9" s="16"/>
        <tr r="HF9" s="16"/>
      </tp>
      <tp t="s">
        <v>15/01/2016</v>
        <stp/>
        <stp>##V3_BDPV12</stp>
        <stp>XS1344710857 Corp</stp>
        <stp>INT_ACC_DT</stp>
        <stp>[RV_LINE_PRICER.xlsm]XccyFixedBonds!R7C214</stp>
        <tr r="HF7" s="16"/>
        <tr r="HF7" s="16"/>
      </tp>
      <tp t="s">
        <v>26/03/2015</v>
        <stp/>
        <stp>##V3_BDPV12</stp>
        <stp>USJ46186BC59 Corp</stp>
        <stp>ISSUE_DT</stp>
        <stp>[RV_LINE_PRICER.xlsm]XccyFixedBonds!R11C42</stp>
        <tr r="AP11" s="16"/>
        <tr r="AP11" s="16"/>
      </tp>
      <tp t="s">
        <v>26/03/2015</v>
        <stp/>
        <stp>##V3_BDPV12</stp>
        <stp>USJ46186BC59 Corp</stp>
        <stp>ISSUE_DT</stp>
        <stp>[RV_LINE_PRICER.xlsm]XccyFixedBonds!R10C42</stp>
        <tr r="AP10" s="16"/>
        <tr r="AP10" s="16"/>
      </tp>
      <tp>
        <v>2.5669999999999998E-2</v>
        <stp/>
        <stp>##V3_BDHV12</stp>
        <stp>JY0006M Index</stp>
        <stp>PX_LAST</stp>
        <stp>06/09/2018</stp>
        <stp>06/09/2018</stp>
        <stp>[RV_LINE_PRICER.xlsm]FixingTables!R112C24</stp>
        <tr r="X112" s="5"/>
      </tp>
      <tp>
        <v>3.0169999999999999E-2</v>
        <stp/>
        <stp>##V3_BDHV12</stp>
        <stp>JY0006M Index</stp>
        <stp>PX_LAST</stp>
        <stp>16/08/2018</stp>
        <stp>16/08/2018</stp>
        <stp>[RV_LINE_PRICER.xlsm]FixingTables!R126C24</stp>
        <tr r="X126" s="5"/>
      </tp>
      <tp>
        <v>-3.483E-2</v>
        <stp/>
        <stp>##V3_BDHV12</stp>
        <stp>JY0003M Index</stp>
        <stp>PX_LAST</stp>
        <stp>06/09/2018</stp>
        <stp>06/09/2018</stp>
        <stp>[RV_LINE_PRICER.xlsm]FixingTables!R112C21</stp>
        <tr r="U112" s="5"/>
      </tp>
      <tp>
        <v>-3.3169999999999998E-2</v>
        <stp/>
        <stp>##V3_BDHV12</stp>
        <stp>JY0003M Index</stp>
        <stp>PX_LAST</stp>
        <stp>16/08/2018</stp>
        <stp>16/08/2018</stp>
        <stp>[RV_LINE_PRICER.xlsm]FixingTables!R126C21</stp>
        <tr r="U126" s="5"/>
      </tp>
      <tp t="b">
        <v>0</v>
        <stp/>
        <stp>##V3_BDPV12</stp>
        <stp/>
        <stp>CPN_TYP</stp>
        <stp>[RV_LINE_PRICER.xlsm]FloatBonds!R13C199</stp>
        <tr r="GQ13" s="18"/>
        <tr r="GQ13" s="18"/>
      </tp>
      <tp t="b">
        <v>0</v>
        <stp/>
        <stp>##V3_BDPV12</stp>
        <stp/>
        <stp>CPN_TYP</stp>
        <stp>[RV_LINE_PRICER.xlsm]FloatBonds!R12C199</stp>
        <tr r="GQ12" s="18"/>
        <tr r="GQ12" s="18"/>
      </tp>
      <tp t="b">
        <v>0</v>
        <stp/>
        <stp>##V3_BDPV12</stp>
        <stp/>
        <stp>CPN_TYP</stp>
        <stp>[RV_LINE_PRICER.xlsm]FloatBonds!R15C199</stp>
        <tr r="GQ15" s="18"/>
        <tr r="GQ15" s="18"/>
      </tp>
      <tp t="b">
        <v>0</v>
        <stp/>
        <stp>##V3_BDPV12</stp>
        <stp/>
        <stp>CPN_TYP</stp>
        <stp>[RV_LINE_PRICER.xlsm]FloatBonds!R14C199</stp>
        <tr r="GQ14" s="18"/>
        <tr r="GQ14" s="18"/>
      </tp>
      <tp t="b">
        <v>0</v>
        <stp/>
        <stp>##V3_BDPV12</stp>
        <stp/>
        <stp>CPN_TYP</stp>
        <stp>[RV_LINE_PRICER.xlsm]FloatBonds!R17C199</stp>
        <tr r="GQ17" s="18"/>
        <tr r="GQ17" s="18"/>
      </tp>
      <tp t="b">
        <v>0</v>
        <stp/>
        <stp>##V3_BDPV12</stp>
        <stp/>
        <stp>CPN_TYP</stp>
        <stp>[RV_LINE_PRICER.xlsm]FloatBonds!R16C199</stp>
        <tr r="GQ16" s="18"/>
        <tr r="GQ16" s="18"/>
      </tp>
      <tp t="b">
        <v>0</v>
        <stp/>
        <stp>##V3_BDPV12</stp>
        <stp/>
        <stp>CPN_TYP</stp>
        <stp>[RV_LINE_PRICER.xlsm]FloatBonds!R19C199</stp>
        <tr r="GQ19" s="18"/>
        <tr r="GQ19" s="18"/>
      </tp>
      <tp t="b">
        <v>0</v>
        <stp/>
        <stp>##V3_BDPV12</stp>
        <stp/>
        <stp>CPN_TYP</stp>
        <stp>[RV_LINE_PRICER.xlsm]FloatBonds!R18C199</stp>
        <tr r="GQ18" s="18"/>
        <tr r="GQ18" s="18"/>
      </tp>
      <tp>
        <v>2.4E-2</v>
        <stp/>
        <stp>##V3_BDHV12</stp>
        <stp>JY0006M Index</stp>
        <stp>PX_LAST</stp>
        <stp>17/09/2018</stp>
        <stp>17/09/2018</stp>
        <stp>[RV_LINE_PRICER.xlsm]FixingTables!R105C24</stp>
        <tr r="X105" s="5"/>
      </tp>
      <tp>
        <v>1.0829999999999999E-2</v>
        <stp/>
        <stp>##V3_BDHV12</stp>
        <stp>JY0006M Index</stp>
        <stp>PX_LAST</stp>
        <stp>07/08/2018</stp>
        <stp>07/08/2018</stp>
        <stp>[RV_LINE_PRICER.xlsm]FixingTables!R133C24</stp>
        <tr r="X133" s="5"/>
      </tp>
      <tp>
        <v>-3.6830000000000002E-2</v>
        <stp/>
        <stp>##V3_BDHV12</stp>
        <stp>JY0003M Index</stp>
        <stp>PX_LAST</stp>
        <stp>17/09/2018</stp>
        <stp>17/09/2018</stp>
        <stp>[RV_LINE_PRICER.xlsm]FixingTables!R105C21</stp>
        <tr r="U105" s="5"/>
      </tp>
      <tp>
        <v>-4.2500000000000003E-2</v>
        <stp/>
        <stp>##V3_BDHV12</stp>
        <stp>JY0003M Index</stp>
        <stp>PX_LAST</stp>
        <stp>07/08/2018</stp>
        <stp>07/08/2018</stp>
        <stp>[RV_LINE_PRICER.xlsm]FixingTables!R133C21</stp>
        <tr r="U133" s="5"/>
      </tp>
      <tp t="b">
        <v>0</v>
        <stp/>
        <stp>##V3_BDPV12</stp>
        <stp/>
        <stp>CPN_TYP</stp>
        <stp>[RV_LINE_PRICER.xlsm]FloatBonds!R21C199</stp>
        <tr r="GQ21" s="18"/>
        <tr r="GQ21" s="18"/>
      </tp>
      <tp t="b">
        <v>0</v>
        <stp/>
        <stp>##V3_BDPV12</stp>
        <stp/>
        <stp>CPN_TYP</stp>
        <stp>[RV_LINE_PRICER.xlsm]FloatBonds!R20C199</stp>
        <tr r="GQ20" s="18"/>
        <tr r="GQ20" s="18"/>
      </tp>
      <tp t="b">
        <v>0</v>
        <stp/>
        <stp>##V3_BDPV12</stp>
        <stp/>
        <stp>CPN_TYP</stp>
        <stp>[RV_LINE_PRICER.xlsm]FloatBonds!R23C199</stp>
        <tr r="GQ23" s="18"/>
        <tr r="GQ23" s="18"/>
      </tp>
      <tp t="b">
        <v>0</v>
        <stp/>
        <stp>##V3_BDPV12</stp>
        <stp/>
        <stp>CPN_TYP</stp>
        <stp>[RV_LINE_PRICER.xlsm]FloatBonds!R22C199</stp>
        <tr r="GQ22" s="18"/>
        <tr r="GQ22" s="18"/>
      </tp>
      <tp t="b">
        <v>0</v>
        <stp/>
        <stp>##V3_BDPV12</stp>
        <stp/>
        <stp>CPN_TYP</stp>
        <stp>[RV_LINE_PRICER.xlsm]FloatBonds!R25C199</stp>
        <tr r="GQ25" s="18"/>
        <tr r="GQ25" s="18"/>
      </tp>
      <tp t="b">
        <v>0</v>
        <stp/>
        <stp>##V3_BDPV12</stp>
        <stp/>
        <stp>CPN_TYP</stp>
        <stp>[RV_LINE_PRICER.xlsm]FloatBonds!R24C199</stp>
        <tr r="GQ24" s="18"/>
        <tr r="GQ24" s="18"/>
      </tp>
      <tp t="b">
        <v>0</v>
        <stp/>
        <stp>##V3_BDPV12</stp>
        <stp/>
        <stp>CPN_TYP</stp>
        <stp>[RV_LINE_PRICER.xlsm]FloatBonds!R26C199</stp>
        <tr r="GQ26" s="18"/>
        <tr r="GQ26" s="18"/>
      </tp>
      <tp>
        <v>2.2169999999999999E-2</v>
        <stp/>
        <stp>##V3_BDHV12</stp>
        <stp>JY0006M Index</stp>
        <stp>PX_LAST</stp>
        <stp>24/09/2018</stp>
        <stp>24/09/2018</stp>
        <stp>[RV_LINE_PRICER.xlsm]FixingTables!R100C24</stp>
        <tr r="X100" s="5"/>
      </tp>
      <tp>
        <v>-3.8830000000000003E-2</v>
        <stp/>
        <stp>##V3_BDHV12</stp>
        <stp>JY0003M Index</stp>
        <stp>PX_LAST</stp>
        <stp>24/09/2018</stp>
        <stp>24/09/2018</stp>
        <stp>[RV_LINE_PRICER.xlsm]FixingTables!R100C21</stp>
        <tr r="U100" s="5"/>
      </tp>
      <tp>
        <v>2.5707499999999999</v>
        <stp/>
        <stp>##V3_BDHV12</stp>
        <stp>US0006M Index</stp>
        <stp>PX_LAST</stp>
        <stp>17/09/2018</stp>
        <stp>17/09/2018</stp>
        <stp>[RV_LINE_PRICER.xlsm]FixingTables!R103C12</stp>
        <tr r="L103" s="5"/>
      </tp>
      <tp>
        <v>2.5223800000000001</v>
        <stp/>
        <stp>##V3_BDHV12</stp>
        <stp>US0006M Index</stp>
        <stp>PX_LAST</stp>
        <stp>07/08/2018</stp>
        <stp>07/08/2018</stp>
        <stp>[RV_LINE_PRICER.xlsm]FixingTables!R130C12</stp>
        <tr r="L130" s="5"/>
      </tp>
      <tp>
        <v>2.54419</v>
        <stp/>
        <stp>##V3_BDHV12</stp>
        <stp>US0006M Index</stp>
        <stp>PX_LAST</stp>
        <stp>06/09/2018</stp>
        <stp>06/09/2018</stp>
        <stp>[RV_LINE_PRICER.xlsm]FixingTables!R110C12</stp>
        <tr r="L110" s="5"/>
      </tp>
      <tp>
        <v>2.5135000000000001</v>
        <stp/>
        <stp>##V3_BDHV12</stp>
        <stp>US0006M Index</stp>
        <stp>PX_LAST</stp>
        <stp>16/08/2018</stp>
        <stp>16/08/2018</stp>
        <stp>[RV_LINE_PRICER.xlsm]FixingTables!R123C12</stp>
        <tr r="L123" s="5"/>
      </tp>
      <tp>
        <v>2.52725</v>
        <stp/>
        <stp>##V3_BDHV12</stp>
        <stp>US0006M Index</stp>
        <stp>PX_LAST</stp>
        <stp>19/07/2018</stp>
        <stp>19/07/2018</stp>
        <stp>[RV_LINE_PRICER.xlsm]FixingTables!R143C12</stp>
        <tr r="L143" s="5"/>
      </tp>
      <tp>
        <v>2.49688</v>
        <stp/>
        <stp>##V3_BDHV12</stp>
        <stp>US0006M Index</stp>
        <stp>PX_LAST</stp>
        <stp>18/06/2018</stp>
        <stp>18/06/2018</stp>
        <stp>[RV_LINE_PRICER.xlsm]FixingTables!R165C12</stp>
        <tr r="L165" s="5"/>
      </tp>
      <tp>
        <v>-4.1169999999999998E-2</v>
        <stp/>
        <stp>##V3_BDHV12</stp>
        <stp>JY0003M Index</stp>
        <stp>PX_LAST</stp>
        <stp>18/06/2018</stp>
        <stp>18/06/2018</stp>
        <stp>[RV_LINE_PRICER.xlsm]FixingTables!R168C21</stp>
        <tr r="U168" s="5"/>
      </tp>
      <tp>
        <v>1.417E-2</v>
        <stp/>
        <stp>##V3_BDHV12</stp>
        <stp>JY0006M Index</stp>
        <stp>PX_LAST</stp>
        <stp>18/06/2018</stp>
        <stp>18/06/2018</stp>
        <stp>[RV_LINE_PRICER.xlsm]FixingTables!R168C24</stp>
        <tr r="X168" s="5"/>
      </tp>
      <tp>
        <v>-3.95E-2</v>
        <stp/>
        <stp>##V3_BDHV12</stp>
        <stp>JY0003M Index</stp>
        <stp>PX_LAST</stp>
        <stp>19/07/2018</stp>
        <stp>19/07/2018</stp>
        <stp>[RV_LINE_PRICER.xlsm]FixingTables!R145C21</stp>
        <tr r="U145" s="5"/>
      </tp>
      <tp>
        <v>1.7170000000000001E-2</v>
        <stp/>
        <stp>##V3_BDHV12</stp>
        <stp>JY0006M Index</stp>
        <stp>PX_LAST</stp>
        <stp>19/07/2018</stp>
        <stp>19/07/2018</stp>
        <stp>[RV_LINE_PRICER.xlsm]FixingTables!R145C24</stp>
        <tr r="X145" s="5"/>
      </tp>
      <tp>
        <v>5.375</v>
        <stp/>
        <stp>##V3_BDPV12</stp>
        <stp>XS0367001228 Corp</stp>
        <stp>CPN</stp>
        <stp>[RV_LINE_PRICER.xlsm]FixedBonds!R11C40</stp>
        <tr r="AN11" s="1"/>
      </tp>
      <tp>
        <v>2.4499160869565215</v>
        <stp/>
        <stp>##V3_BDPV12</stp>
        <stp>XS1193905160 Corp</stp>
        <stp>YAS_FLOATER_INDEX_TO_NEXT_COUPON</stp>
        <stp>[RV_LINE_PRICER.xlsm]FloatBonds!R9C22</stp>
        <tr r="V9" s="18"/>
      </tp>
      <tp>
        <v>2.4499160869565215</v>
        <stp/>
        <stp>##V3_BDPV12</stp>
        <stp>XS1193905160 Corp</stp>
        <stp>YAS_FLOATER_INDEX_TO_NEXT_COUPON</stp>
        <stp>[RV_LINE_PRICER.xlsm]FloatBonds!R8C22</stp>
        <tr r="V8" s="18"/>
      </tp>
      <tp>
        <v>2.4499160869565215</v>
        <stp/>
        <stp>##V3_BDPV12</stp>
        <stp>XS1193905160 Corp</stp>
        <stp>YAS_FLOATER_INDEX_TO_NEXT_COUPON</stp>
        <stp>[RV_LINE_PRICER.xlsm]FloatBonds!R7C22</stp>
        <tr r="V7" s="18"/>
      </tp>
      <tp>
        <v>2.5405600000000002</v>
        <stp/>
        <stp>##V3_BDHV12</stp>
        <stp>US0006M Index</stp>
        <stp>PX_LAST</stp>
        <stp>05/09/2018</stp>
        <stp>05/09/2018</stp>
        <stp>[RV_LINE_PRICER.xlsm]FixingTables!R111C12</stp>
        <tr r="L111" s="5"/>
      </tp>
      <tp>
        <v>2.5106299999999999</v>
        <stp/>
        <stp>##V3_BDHV12</stp>
        <stp>US0006M Index</stp>
        <stp>PX_LAST</stp>
        <stp>15/08/2018</stp>
        <stp>15/08/2018</stp>
        <stp>[RV_LINE_PRICER.xlsm]FixingTables!R124C12</stp>
        <tr r="L124" s="5"/>
      </tp>
      <tp>
        <v>2.5687500000000001</v>
        <stp/>
        <stp>##V3_BDHV12</stp>
        <stp>US0006M Index</stp>
        <stp>PX_LAST</stp>
        <stp>14/09/2018</stp>
        <stp>14/09/2018</stp>
        <stp>[RV_LINE_PRICER.xlsm]FixingTables!R104C12</stp>
        <tr r="L104" s="5"/>
      </tp>
      <tp>
        <v>2.2329999999999999E-2</v>
        <stp/>
        <stp>##V3_BDHV12</stp>
        <stp>JY0006M Index</stp>
        <stp>PX_LAST</stp>
        <stp>14/09/2018</stp>
        <stp>14/09/2018</stp>
        <stp>[RV_LINE_PRICER.xlsm]FixingTables!R106C24</stp>
        <tr r="X106" s="5"/>
      </tp>
      <tp>
        <v>-3.6830000000000002E-2</v>
        <stp/>
        <stp>##V3_BDHV12</stp>
        <stp>JY0003M Index</stp>
        <stp>PX_LAST</stp>
        <stp>14/09/2018</stp>
        <stp>14/09/2018</stp>
        <stp>[RV_LINE_PRICER.xlsm]FixingTables!R106C21</stp>
        <tr r="U106" s="5"/>
      </tp>
      <tp>
        <v>2.5000000000000001E-2</v>
        <stp/>
        <stp>##V3_BDHV12</stp>
        <stp>JY0006M Index</stp>
        <stp>PX_LAST</stp>
        <stp>05/09/2018</stp>
        <stp>05/09/2018</stp>
        <stp>[RV_LINE_PRICER.xlsm]FixingTables!R113C24</stp>
        <tr r="X113" s="5"/>
      </tp>
      <tp>
        <v>3.083E-2</v>
        <stp/>
        <stp>##V3_BDHV12</stp>
        <stp>JY0006M Index</stp>
        <stp>PX_LAST</stp>
        <stp>15/08/2018</stp>
        <stp>15/08/2018</stp>
        <stp>[RV_LINE_PRICER.xlsm]FixingTables!R127C24</stp>
        <tr r="X127" s="5"/>
      </tp>
      <tp>
        <v>-3.8170000000000003E-2</v>
        <stp/>
        <stp>##V3_BDHV12</stp>
        <stp>JY0003M Index</stp>
        <stp>PX_LAST</stp>
        <stp>05/09/2018</stp>
        <stp>05/09/2018</stp>
        <stp>[RV_LINE_PRICER.xlsm]FixingTables!R113C21</stp>
        <tr r="U113" s="5"/>
      </tp>
      <tp>
        <v>-3.117E-2</v>
        <stp/>
        <stp>##V3_BDHV12</stp>
        <stp>JY0003M Index</stp>
        <stp>PX_LAST</stp>
        <stp>15/08/2018</stp>
        <stp>15/08/2018</stp>
        <stp>[RV_LINE_PRICER.xlsm]FixingTables!R127C21</stp>
        <tr r="U127" s="5"/>
      </tp>
      <tp>
        <v>2.5012499999999998</v>
        <stp/>
        <stp>##V3_BDHV12</stp>
        <stp>US0006M Index</stp>
        <stp>PX_LAST</stp>
        <stp>28/06/2018</stp>
        <stp>28/06/2018</stp>
        <stp>[RV_LINE_PRICER.xlsm]FixingTables!R157C12</stp>
        <tr r="L157" s="5"/>
      </tp>
      <tp>
        <v>-4.7500000000000001E-2</v>
        <stp/>
        <stp>##V3_BDHV12</stp>
        <stp>JY0003M Index</stp>
        <stp>PX_LAST</stp>
        <stp>28/06/2018</stp>
        <stp>28/06/2018</stp>
        <stp>[RV_LINE_PRICER.xlsm]FixingTables!R160C21</stp>
        <tr r="U160" s="5"/>
      </tp>
      <tp>
        <v>8.9999999999999993E-3</v>
        <stp/>
        <stp>##V3_BDHV12</stp>
        <stp>JY0006M Index</stp>
        <stp>PX_LAST</stp>
        <stp>28/06/2018</stp>
        <stp>28/06/2018</stp>
        <stp>[RV_LINE_PRICER.xlsm]FixingTables!R160C24</stp>
        <tr r="X160" s="5"/>
      </tp>
      <tp t="s">
        <v>06/10/2022</v>
        <stp/>
        <stp>##V3_BDPV12</stp>
        <stp>XS1692845396 Corp</stp>
        <stp>MATURITY</stp>
        <stp>[RV_LINE_PRICER.xlsm]FixedBonds!R10C206</stp>
        <tr r="GX10" s="1"/>
      </tp>
      <tp>
        <v>2.5390000000000001</v>
        <stp/>
        <stp>##V3_BDHV12</stp>
        <stp>US0006M Index</stp>
        <stp>PX_LAST</stp>
        <stp>04/09/2018</stp>
        <stp>04/09/2018</stp>
        <stp>[RV_LINE_PRICER.xlsm]FixingTables!R112C12</stp>
        <tr r="L112" s="5"/>
      </tp>
      <tp>
        <v>2.5123799999999998</v>
        <stp/>
        <stp>##V3_BDHV12</stp>
        <stp>US0006M Index</stp>
        <stp>PX_LAST</stp>
        <stp>14/08/2018</stp>
        <stp>14/08/2018</stp>
        <stp>[RV_LINE_PRICER.xlsm]FixingTables!R125C12</stp>
        <tr r="L125" s="5"/>
      </tp>
      <tp>
        <v>2.5170000000000001E-2</v>
        <stp/>
        <stp>##V3_BDHV12</stp>
        <stp>JY0006M Index</stp>
        <stp>PX_LAST</stp>
        <stp>04/09/2018</stp>
        <stp>04/09/2018</stp>
        <stp>[RV_LINE_PRICER.xlsm]FixingTables!R114C24</stp>
        <tr r="X114" s="5"/>
      </tp>
      <tp>
        <v>2.9329999999999998E-2</v>
        <stp/>
        <stp>##V3_BDHV12</stp>
        <stp>JY0006M Index</stp>
        <stp>PX_LAST</stp>
        <stp>14/08/2018</stp>
        <stp>14/08/2018</stp>
        <stp>[RV_LINE_PRICER.xlsm]FixingTables!R128C24</stp>
        <tr r="X128" s="5"/>
      </tp>
      <tp>
        <v>-3.5999999999999997E-2</v>
        <stp/>
        <stp>##V3_BDHV12</stp>
        <stp>JY0003M Index</stp>
        <stp>PX_LAST</stp>
        <stp>04/09/2018</stp>
        <stp>04/09/2018</stp>
        <stp>[RV_LINE_PRICER.xlsm]FixingTables!R114C21</stp>
        <tr r="U114" s="5"/>
      </tp>
      <tp>
        <v>-3.4500000000000003E-2</v>
        <stp/>
        <stp>##V3_BDHV12</stp>
        <stp>JY0003M Index</stp>
        <stp>PX_LAST</stp>
        <stp>14/08/2018</stp>
        <stp>14/08/2018</stp>
        <stp>[RV_LINE_PRICER.xlsm]FixingTables!R128C21</stp>
        <tr r="U128" s="5"/>
      </tp>
      <tp>
        <v>2.5012499999999998</v>
        <stp/>
        <stp>##V3_BDHV12</stp>
        <stp>US0006M Index</stp>
        <stp>PX_LAST</stp>
        <stp>29/06/2018</stp>
        <stp>29/06/2018</stp>
        <stp>[RV_LINE_PRICER.xlsm]FixingTables!R156C12</stp>
        <tr r="L156" s="5"/>
      </tp>
      <tp t="s">
        <v>CLEAN</v>
        <stp/>
        <stp>##V3_BDPV12</stp>
        <stp>USJ46186BC59 Corp</stp>
        <stp>PX_DIRTY_CLEAN</stp>
        <stp>[RV_LINE_PRICER.xlsm]XccyFixedBondSingle!R15C9</stp>
        <tr r="I15" s="21"/>
        <tr r="I15" s="21"/>
      </tp>
      <tp>
        <v>-4.4999999999999998E-2</v>
        <stp/>
        <stp>##V3_BDHV12</stp>
        <stp>JY0003M Index</stp>
        <stp>PX_LAST</stp>
        <stp>29/06/2018</stp>
        <stp>29/06/2018</stp>
        <stp>[RV_LINE_PRICER.xlsm]FixingTables!R159C21</stp>
        <tr r="U159" s="5"/>
      </tp>
      <tp>
        <v>5.4999999999999997E-3</v>
        <stp/>
        <stp>##V3_BDHV12</stp>
        <stp>JY0006M Index</stp>
        <stp>PX_LAST</stp>
        <stp>29/06/2018</stp>
        <stp>29/06/2018</stp>
        <stp>[RV_LINE_PRICER.xlsm]FixingTables!R159C24</stp>
        <tr r="X159" s="5"/>
      </tp>
      <tp t="s">
        <v>20/02/2020</v>
        <stp/>
        <stp>##V3_BDPV12</stp>
        <stp>XS1193905160 Corp</stp>
        <stp>MATURITY</stp>
        <stp>[RV_LINE_PRICER.xlsm]FloatBonds!R10C212</stp>
        <tr r="HD10" s="18"/>
      </tp>
      <tp t="s">
        <v>20/02/2020</v>
        <stp/>
        <stp>##V3_BDPV12</stp>
        <stp>XS1193905160 Corp</stp>
        <stp>MATURITY</stp>
        <stp>[RV_LINE_PRICER.xlsm]FloatBonds!R11C212</stp>
        <tr r="HD11" s="18"/>
      </tp>
      <tp>
        <v>2.283E-2</v>
        <stp/>
        <stp>##V3_BDHV12</stp>
        <stp>JY0006M Index</stp>
        <stp>PX_LAST</stp>
        <stp>12/09/2018</stp>
        <stp>12/09/2018</stp>
        <stp>[RV_LINE_PRICER.xlsm]FixingTables!R108C24</stp>
        <tr r="X108" s="5"/>
      </tp>
      <tp>
        <v>1.4999999999999999E-2</v>
        <stp/>
        <stp>##V3_BDHV12</stp>
        <stp>JY0006M Index</stp>
        <stp>PX_LAST</stp>
        <stp>02/08/2018</stp>
        <stp>02/08/2018</stp>
        <stp>[RV_LINE_PRICER.xlsm]FixingTables!R135C24</stp>
        <tr r="X135" s="5"/>
      </tp>
      <tp>
        <v>-3.9829999999999997E-2</v>
        <stp/>
        <stp>##V3_BDHV12</stp>
        <stp>JY0003M Index</stp>
        <stp>PX_LAST</stp>
        <stp>12/09/2018</stp>
        <stp>12/09/2018</stp>
        <stp>[RV_LINE_PRICER.xlsm]FixingTables!R108C21</stp>
        <tr r="U108" s="5"/>
      </tp>
      <tp>
        <v>-3.4669999999999999E-2</v>
        <stp/>
        <stp>##V3_BDHV12</stp>
        <stp>JY0003M Index</stp>
        <stp>PX_LAST</stp>
        <stp>02/08/2018</stp>
        <stp>02/08/2018</stp>
        <stp>[RV_LINE_PRICER.xlsm]FixingTables!R135C21</stp>
        <tr r="U135" s="5"/>
      </tp>
      <tp>
        <v>2.5356300000000003</v>
        <stp/>
        <stp>##V3_BDHV12</stp>
        <stp>US0006M Index</stp>
        <stp>PX_LAST</stp>
        <stp>31/08/2018</stp>
        <stp>31/08/2018</stp>
        <stp>[RV_LINE_PRICER.xlsm]FixingTables!R113C12</stp>
        <tr r="L113" s="5"/>
      </tp>
      <tp>
        <v>2.683E-2</v>
        <stp/>
        <stp>##V3_BDHV12</stp>
        <stp>JY0006M Index</stp>
        <stp>PX_LAST</stp>
        <stp>03/09/2018</stp>
        <stp>03/09/2018</stp>
        <stp>[RV_LINE_PRICER.xlsm]FixingTables!R115C24</stp>
        <tr r="X115" s="5"/>
      </tp>
      <tp>
        <v>2.3E-2</v>
        <stp/>
        <stp>##V3_BDHV12</stp>
        <stp>JY0006M Index</stp>
        <stp>PX_LAST</stp>
        <stp>13/08/2018</stp>
        <stp>13/08/2018</stp>
        <stp>[RV_LINE_PRICER.xlsm]FixingTables!R129C24</stp>
        <tr r="X129" s="5"/>
      </tp>
      <tp>
        <v>-3.567E-2</v>
        <stp/>
        <stp>##V3_BDHV12</stp>
        <stp>JY0003M Index</stp>
        <stp>PX_LAST</stp>
        <stp>03/09/2018</stp>
        <stp>03/09/2018</stp>
        <stp>[RV_LINE_PRICER.xlsm]FixingTables!R115C21</stp>
        <tr r="U115" s="5"/>
      </tp>
      <tp>
        <v>-4.1669999999999999E-2</v>
        <stp/>
        <stp>##V3_BDHV12</stp>
        <stp>JY0003M Index</stp>
        <stp>PX_LAST</stp>
        <stp>13/08/2018</stp>
        <stp>13/08/2018</stp>
        <stp>[RV_LINE_PRICER.xlsm]FixingTables!R129C21</stp>
        <tr r="U129" s="5"/>
      </tp>
      <tp>
        <v>2.5086300000000001</v>
        <stp/>
        <stp>##V3_BDHV12</stp>
        <stp>US0006M Index</stp>
        <stp>PX_LAST</stp>
        <stp>20/08/2018</stp>
        <stp>20/08/2018</stp>
        <stp>[RV_LINE_PRICER.xlsm]FixingTables!R121C12</stp>
        <tr r="L121" s="5"/>
      </tp>
      <tp>
        <v>2.717E-2</v>
        <stp/>
        <stp>##V3_BDHV12</stp>
        <stp>JY0006M Index</stp>
        <stp>PX_LAST</stp>
        <stp>20/08/2018</stp>
        <stp>20/08/2018</stp>
        <stp>[RV_LINE_PRICER.xlsm]FixingTables!R124C24</stp>
        <tr r="X124" s="5"/>
      </tp>
      <tp>
        <v>-3.7830000000000003E-2</v>
        <stp/>
        <stp>##V3_BDHV12</stp>
        <stp>JY0003M Index</stp>
        <stp>PX_LAST</stp>
        <stp>20/08/2018</stp>
        <stp>20/08/2018</stp>
        <stp>[RV_LINE_PRICER.xlsm]FixingTables!R124C21</stp>
        <tr r="U124" s="5"/>
      </tp>
      <tp>
        <v>2.5076299999999998</v>
        <stp/>
        <stp>##V3_BDHV12</stp>
        <stp>US0006M Index</stp>
        <stp>PX_LAST</stp>
        <stp>13/08/2018</stp>
        <stp>13/08/2018</stp>
        <stp>[RV_LINE_PRICER.xlsm]FixingTables!R126C12</stp>
        <tr r="L126" s="5"/>
      </tp>
      <tp>
        <v>1.883E-2</v>
        <stp/>
        <stp>##V3_BDHV12</stp>
        <stp>JY0006M Index</stp>
        <stp>PX_LAST</stp>
        <stp>21/09/2018</stp>
        <stp>21/09/2018</stp>
        <stp>[RV_LINE_PRICER.xlsm]FixingTables!R101C24</stp>
        <tr r="X101" s="5"/>
      </tp>
      <tp>
        <v>2.6669999999999999E-2</v>
        <stp/>
        <stp>##V3_BDHV12</stp>
        <stp>JY0006M Index</stp>
        <stp>PX_LAST</stp>
        <stp>31/08/2018</stp>
        <stp>31/08/2018</stp>
        <stp>[RV_LINE_PRICER.xlsm]FixingTables!R116C24</stp>
        <tr r="X116" s="5"/>
      </tp>
      <tp>
        <v>-3.2329999999999998E-2</v>
        <stp/>
        <stp>##V3_BDHV12</stp>
        <stp>JY0003M Index</stp>
        <stp>PX_LAST</stp>
        <stp>31/08/2018</stp>
        <stp>31/08/2018</stp>
        <stp>[RV_LINE_PRICER.xlsm]FixingTables!R116C21</stp>
        <tr r="U116" s="5"/>
      </tp>
      <tp>
        <v>-4.1329999999999999E-2</v>
        <stp/>
        <stp>##V3_BDHV12</stp>
        <stp>JY0003M Index</stp>
        <stp>PX_LAST</stp>
        <stp>21/09/2018</stp>
        <stp>21/09/2018</stp>
        <stp>[RV_LINE_PRICER.xlsm]FixingTables!R101C21</stp>
        <tr r="U101" s="5"/>
      </tp>
      <tp>
        <v>2.5606299999999997</v>
        <stp/>
        <stp>##V3_BDHV12</stp>
        <stp>US0006M Index</stp>
        <stp>PX_LAST</stp>
        <stp>12/09/2018</stp>
        <stp>12/09/2018</stp>
        <stp>[RV_LINE_PRICER.xlsm]FixingTables!R106C12</stp>
        <tr r="L106" s="5"/>
      </tp>
      <tp>
        <v>2.5305</v>
        <stp/>
        <stp>##V3_BDHV12</stp>
        <stp>US0006M Index</stp>
        <stp>PX_LAST</stp>
        <stp>02/08/2018</stp>
        <stp>02/08/2018</stp>
        <stp>[RV_LINE_PRICER.xlsm]FixingTables!R133C12</stp>
        <tr r="L133" s="5"/>
      </tp>
      <tp t="b">
        <v>0</v>
        <stp/>
        <stp>##V3_BDPV12</stp>
        <stp/>
        <stp>FIRST_CPN_DT</stp>
        <stp>[RV_LINE_PRICER.xlsm]FixedBonds!R12C204</stp>
        <tr r="GV12" s="1"/>
        <tr r="GV12" s="1"/>
      </tp>
      <tp t="b">
        <v>0</v>
        <stp/>
        <stp>##V3_BDPV12</stp>
        <stp/>
        <stp>FIRST_CPN_DT</stp>
        <stp>[RV_LINE_PRICER.xlsm]FixedBonds!R13C204</stp>
        <tr r="GV13" s="1"/>
        <tr r="GV13" s="1"/>
      </tp>
      <tp t="b">
        <v>0</v>
        <stp/>
        <stp>##V3_BDPV12</stp>
        <stp/>
        <stp>FIRST_CPN_DT</stp>
        <stp>[RV_LINE_PRICER.xlsm]FixedBonds!R16C204</stp>
        <tr r="GV16" s="1"/>
        <tr r="GV16" s="1"/>
      </tp>
      <tp t="b">
        <v>0</v>
        <stp/>
        <stp>##V3_BDPV12</stp>
        <stp/>
        <stp>FIRST_CPN_DT</stp>
        <stp>[RV_LINE_PRICER.xlsm]FixedBonds!R17C204</stp>
        <tr r="GV17" s="1"/>
        <tr r="GV17" s="1"/>
      </tp>
      <tp t="b">
        <v>0</v>
        <stp/>
        <stp>##V3_BDPV12</stp>
        <stp/>
        <stp>FIRST_CPN_DT</stp>
        <stp>[RV_LINE_PRICER.xlsm]FixedBonds!R14C204</stp>
        <tr r="GV14" s="1"/>
        <tr r="GV14" s="1"/>
      </tp>
      <tp t="b">
        <v>0</v>
        <stp/>
        <stp>##V3_BDPV12</stp>
        <stp/>
        <stp>FIRST_CPN_DT</stp>
        <stp>[RV_LINE_PRICER.xlsm]FixedBonds!R15C204</stp>
        <tr r="GV15" s="1"/>
        <tr r="GV15" s="1"/>
      </tp>
      <tp t="b">
        <v>0</v>
        <stp/>
        <stp>##V3_BDPV12</stp>
        <stp/>
        <stp>FIRST_CPN_DT</stp>
        <stp>[RV_LINE_PRICER.xlsm]FixedBonds!R18C204</stp>
        <tr r="GV18" s="1"/>
        <tr r="GV18" s="1"/>
      </tp>
      <tp t="b">
        <v>0</v>
        <stp/>
        <stp>##V3_BDPV12</stp>
        <stp/>
        <stp>FIRST_CPN_DT</stp>
        <stp>[RV_LINE_PRICER.xlsm]FixedBonds!R19C204</stp>
        <tr r="GV19" s="1"/>
        <tr r="GV19" s="1"/>
      </tp>
      <tp t="b">
        <v>0</v>
        <stp/>
        <stp>##V3_BDPV12</stp>
        <stp/>
        <stp>FIRST_CPN_DT</stp>
        <stp>[RV_LINE_PRICER.xlsm]FixedBonds!R22C204</stp>
        <tr r="GV22" s="1"/>
        <tr r="GV22" s="1"/>
      </tp>
      <tp t="b">
        <v>0</v>
        <stp/>
        <stp>##V3_BDPV12</stp>
        <stp/>
        <stp>FIRST_CPN_DT</stp>
        <stp>[RV_LINE_PRICER.xlsm]FixedBonds!R23C204</stp>
        <tr r="GV23" s="1"/>
        <tr r="GV23" s="1"/>
      </tp>
      <tp t="b">
        <v>0</v>
        <stp/>
        <stp>##V3_BDPV12</stp>
        <stp/>
        <stp>FIRST_CPN_DT</stp>
        <stp>[RV_LINE_PRICER.xlsm]FixedBonds!R20C204</stp>
        <tr r="GV20" s="1"/>
        <tr r="GV20" s="1"/>
      </tp>
      <tp t="b">
        <v>0</v>
        <stp/>
        <stp>##V3_BDPV12</stp>
        <stp/>
        <stp>FIRST_CPN_DT</stp>
        <stp>[RV_LINE_PRICER.xlsm]FixedBonds!R21C204</stp>
        <tr r="GV21" s="1"/>
        <tr r="GV21" s="1"/>
      </tp>
      <tp t="b">
        <v>0</v>
        <stp/>
        <stp>##V3_BDPV12</stp>
        <stp/>
        <stp>FIRST_CPN_DT</stp>
        <stp>[RV_LINE_PRICER.xlsm]FixedBonds!R26C204</stp>
        <tr r="GV26" s="1"/>
        <tr r="GV26" s="1"/>
      </tp>
      <tp t="b">
        <v>0</v>
        <stp/>
        <stp>##V3_BDPV12</stp>
        <stp/>
        <stp>FIRST_CPN_DT</stp>
        <stp>[RV_LINE_PRICER.xlsm]FixedBonds!R24C204</stp>
        <tr r="GV24" s="1"/>
        <tr r="GV24" s="1"/>
      </tp>
      <tp t="b">
        <v>0</v>
        <stp/>
        <stp>##V3_BDPV12</stp>
        <stp/>
        <stp>FIRST_CPN_DT</stp>
        <stp>[RV_LINE_PRICER.xlsm]FixedBonds!R25C204</stp>
        <tr r="GV25" s="1"/>
        <tr r="GV25" s="1"/>
      </tp>
      <tp t="b">
        <v>0</v>
        <stp/>
        <stp>##V3_BDPV12</stp>
        <stp/>
        <stp>CPN_TYP</stp>
        <stp>[RV_LINE_PRICER.xlsm]FixedBonds!R18C193</stp>
        <tr r="GK18" s="1"/>
        <tr r="GK18" s="1"/>
      </tp>
      <tp t="b">
        <v>0</v>
        <stp/>
        <stp>##V3_BDPV12</stp>
        <stp/>
        <stp>CPN_TYP</stp>
        <stp>[RV_LINE_PRICER.xlsm]FixedBonds!R19C193</stp>
        <tr r="GK19" s="1"/>
        <tr r="GK19" s="1"/>
      </tp>
      <tp t="b">
        <v>0</v>
        <stp/>
        <stp>##V3_BDPV12</stp>
        <stp/>
        <stp>CPN_TYP</stp>
        <stp>[RV_LINE_PRICER.xlsm]FixedBonds!R16C193</stp>
        <tr r="GK16" s="1"/>
        <tr r="GK16" s="1"/>
      </tp>
      <tp t="b">
        <v>0</v>
        <stp/>
        <stp>##V3_BDPV12</stp>
        <stp/>
        <stp>CPN_TYP</stp>
        <stp>[RV_LINE_PRICER.xlsm]FixedBonds!R17C193</stp>
        <tr r="GK17" s="1"/>
        <tr r="GK17" s="1"/>
      </tp>
      <tp t="b">
        <v>0</v>
        <stp/>
        <stp>##V3_BDPV12</stp>
        <stp/>
        <stp>CPN_TYP</stp>
        <stp>[RV_LINE_PRICER.xlsm]FixedBonds!R14C193</stp>
        <tr r="GK14" s="1"/>
        <tr r="GK14" s="1"/>
      </tp>
      <tp t="b">
        <v>0</v>
        <stp/>
        <stp>##V3_BDPV12</stp>
        <stp/>
        <stp>CPN_TYP</stp>
        <stp>[RV_LINE_PRICER.xlsm]FixedBonds!R15C193</stp>
        <tr r="GK15" s="1"/>
        <tr r="GK15" s="1"/>
      </tp>
      <tp t="b">
        <v>0</v>
        <stp/>
        <stp>##V3_BDPV12</stp>
        <stp/>
        <stp>CPN_TYP</stp>
        <stp>[RV_LINE_PRICER.xlsm]FixedBonds!R12C193</stp>
        <tr r="GK12" s="1"/>
        <tr r="GK12" s="1"/>
      </tp>
      <tp t="b">
        <v>0</v>
        <stp/>
        <stp>##V3_BDPV12</stp>
        <stp/>
        <stp>CPN_TYP</stp>
        <stp>[RV_LINE_PRICER.xlsm]FixedBonds!R13C193</stp>
        <tr r="GK13" s="1"/>
        <tr r="GK13" s="1"/>
      </tp>
      <tp t="b">
        <v>0</v>
        <stp/>
        <stp>##V3_BDPV12</stp>
        <stp/>
        <stp>CPN_TYP</stp>
        <stp>[RV_LINE_PRICER.xlsm]FixedBonds!R26C193</stp>
        <tr r="GK26" s="1"/>
        <tr r="GK26" s="1"/>
      </tp>
      <tp t="b">
        <v>0</v>
        <stp/>
        <stp>##V3_BDPV12</stp>
        <stp/>
        <stp>CPN_TYP</stp>
        <stp>[RV_LINE_PRICER.xlsm]FixedBonds!R24C193</stp>
        <tr r="GK24" s="1"/>
        <tr r="GK24" s="1"/>
      </tp>
      <tp t="b">
        <v>0</v>
        <stp/>
        <stp>##V3_BDPV12</stp>
        <stp/>
        <stp>CPN_TYP</stp>
        <stp>[RV_LINE_PRICER.xlsm]FixedBonds!R25C193</stp>
        <tr r="GK25" s="1"/>
        <tr r="GK25" s="1"/>
      </tp>
      <tp t="b">
        <v>0</v>
        <stp/>
        <stp>##V3_BDPV12</stp>
        <stp/>
        <stp>CPN_TYP</stp>
        <stp>[RV_LINE_PRICER.xlsm]FixedBonds!R22C193</stp>
        <tr r="GK22" s="1"/>
        <tr r="GK22" s="1"/>
      </tp>
      <tp t="b">
        <v>0</v>
        <stp/>
        <stp>##V3_BDPV12</stp>
        <stp/>
        <stp>CPN_TYP</stp>
        <stp>[RV_LINE_PRICER.xlsm]FixedBonds!R23C193</stp>
        <tr r="GK23" s="1"/>
        <tr r="GK23" s="1"/>
      </tp>
      <tp t="b">
        <v>0</v>
        <stp/>
        <stp>##V3_BDPV12</stp>
        <stp/>
        <stp>CPN_TYP</stp>
        <stp>[RV_LINE_PRICER.xlsm]FixedBonds!R20C193</stp>
        <tr r="GK20" s="1"/>
        <tr r="GK20" s="1"/>
      </tp>
      <tp t="b">
        <v>0</v>
        <stp/>
        <stp>##V3_BDPV12</stp>
        <stp/>
        <stp>CPN_TYP</stp>
        <stp>[RV_LINE_PRICER.xlsm]FixedBonds!R21C193</stp>
        <tr r="GK21" s="1"/>
        <tr r="GK21" s="1"/>
      </tp>
      <tp>
        <v>2.51288</v>
        <stp/>
        <stp>##V3_BDHV12</stp>
        <stp>US0006M Index</stp>
        <stp>PX_LAST</stp>
        <stp>21/08/2018</stp>
        <stp>21/08/2018</stp>
        <stp>[RV_LINE_PRICER.xlsm]FixingTables!R120C12</stp>
        <tr r="L120" s="5"/>
      </tp>
      <tp>
        <v>2.2669999999999999E-2</v>
        <stp/>
        <stp>##V3_BDHV12</stp>
        <stp>JY0006M Index</stp>
        <stp>PX_LAST</stp>
        <stp>13/09/2018</stp>
        <stp>13/09/2018</stp>
        <stp>[RV_LINE_PRICER.xlsm]FixingTables!R107C24</stp>
        <tr r="X107" s="5"/>
      </tp>
      <tp>
        <v>1.5169999999999999E-2</v>
        <stp/>
        <stp>##V3_BDHV12</stp>
        <stp>JY0006M Index</stp>
        <stp>PX_LAST</stp>
        <stp>03/08/2018</stp>
        <stp>03/08/2018</stp>
        <stp>[RV_LINE_PRICER.xlsm]FixingTables!R134C24</stp>
        <tr r="X134" s="5"/>
      </tp>
      <tp>
        <v>-4.0169999999999997E-2</v>
        <stp/>
        <stp>##V3_BDHV12</stp>
        <stp>JY0003M Index</stp>
        <stp>PX_LAST</stp>
        <stp>13/09/2018</stp>
        <stp>13/09/2018</stp>
        <stp>[RV_LINE_PRICER.xlsm]FixingTables!R107C21</stp>
        <tr r="U107" s="5"/>
      </tp>
      <tp>
        <v>-3.2169999999999997E-2</v>
        <stp/>
        <stp>##V3_BDHV12</stp>
        <stp>JY0003M Index</stp>
        <stp>PX_LAST</stp>
        <stp>03/08/2018</stp>
        <stp>03/08/2018</stp>
        <stp>[RV_LINE_PRICER.xlsm]FixingTables!R134C21</stp>
        <tr r="U134" s="5"/>
      </tp>
      <tp>
        <v>2.5338799999999999</v>
        <stp/>
        <stp>##V3_BDHV12</stp>
        <stp>US0006M Index</stp>
        <stp>PX_LAST</stp>
        <stp>30/08/2018</stp>
        <stp>30/08/2018</stp>
        <stp>[RV_LINE_PRICER.xlsm]FixingTables!R114C12</stp>
        <tr r="L114" s="5"/>
      </tp>
      <tp>
        <v>2.5848800000000001</v>
        <stp/>
        <stp>##V3_BDHV12</stp>
        <stp>US0006M Index</stp>
        <stp>PX_LAST</stp>
        <stp>20/09/2018</stp>
        <stp>20/09/2018</stp>
        <stp>[RV_LINE_PRICER.xlsm]FixingTables!R100C12</stp>
        <tr r="L100" s="5"/>
      </tp>
      <tp>
        <v>2.2329999999999999E-2</v>
        <stp/>
        <stp>##V3_BDHV12</stp>
        <stp>JY0006M Index</stp>
        <stp>PX_LAST</stp>
        <stp>20/09/2018</stp>
        <stp>20/09/2018</stp>
        <stp>[RV_LINE_PRICER.xlsm]FixingTables!R102C24</stp>
        <tr r="X102" s="5"/>
      </tp>
      <tp>
        <v>2.6669999999999999E-2</v>
        <stp/>
        <stp>##V3_BDHV12</stp>
        <stp>JY0006M Index</stp>
        <stp>PX_LAST</stp>
        <stp>30/08/2018</stp>
        <stp>30/08/2018</stp>
        <stp>[RV_LINE_PRICER.xlsm]FixingTables!R117C24</stp>
        <tr r="X117" s="5"/>
      </tp>
      <tp>
        <v>-3.117E-2</v>
        <stp/>
        <stp>##V3_BDHV12</stp>
        <stp>JY0003M Index</stp>
        <stp>PX_LAST</stp>
        <stp>30/08/2018</stp>
        <stp>30/08/2018</stp>
        <stp>[RV_LINE_PRICER.xlsm]FixingTables!R117C21</stp>
        <tr r="U117" s="5"/>
      </tp>
      <tp>
        <v>-4.1329999999999999E-2</v>
        <stp/>
        <stp>##V3_BDHV12</stp>
        <stp>JY0003M Index</stp>
        <stp>PX_LAST</stp>
        <stp>20/09/2018</stp>
        <stp>20/09/2018</stp>
        <stp>[RV_LINE_PRICER.xlsm]FixingTables!R102C21</stp>
        <tr r="U102" s="5"/>
      </tp>
      <tp>
        <v>2.5671300000000001</v>
        <stp/>
        <stp>##V3_BDHV12</stp>
        <stp>US0006M Index</stp>
        <stp>PX_LAST</stp>
        <stp>13/09/2018</stp>
        <stp>13/09/2018</stp>
        <stp>[RV_LINE_PRICER.xlsm]FixingTables!R105C12</stp>
        <tr r="L105" s="5"/>
      </tp>
      <tp>
        <v>2.52475</v>
        <stp/>
        <stp>##V3_BDHV12</stp>
        <stp>US0006M Index</stp>
        <stp>PX_LAST</stp>
        <stp>03/08/2018</stp>
        <stp>03/08/2018</stp>
        <stp>[RV_LINE_PRICER.xlsm]FixingTables!R132C12</stp>
        <tr r="L132" s="5"/>
      </tp>
      <tp>
        <v>2.8670000000000001E-2</v>
        <stp/>
        <stp>##V3_BDHV12</stp>
        <stp>JY0006M Index</stp>
        <stp>PX_LAST</stp>
        <stp>21/08/2018</stp>
        <stp>21/08/2018</stp>
        <stp>[RV_LINE_PRICER.xlsm]FixingTables!R123C24</stp>
        <tr r="X123" s="5"/>
      </tp>
      <tp>
        <v>-3.2000000000000001E-2</v>
        <stp/>
        <stp>##V3_BDHV12</stp>
        <stp>JY0003M Index</stp>
        <stp>PX_LAST</stp>
        <stp>21/08/2018</stp>
        <stp>21/08/2018</stp>
        <stp>[RV_LINE_PRICER.xlsm]FixingTables!R123C21</stp>
        <tr r="U123" s="5"/>
      </tp>
      <tp t="b">
        <v>0</v>
        <stp/>
        <stp>##V3_BDPV12</stp>
        <stp/>
        <stp>CPN_FREQ</stp>
        <stp>[RV_LINE_PRICER.xlsm]FloatBonds!R26C45</stp>
        <tr r="AS26" s="18"/>
        <tr r="AS26" s="18"/>
      </tp>
      <tp t="b">
        <v>0</v>
        <stp/>
        <stp>##V3_BDPV12</stp>
        <stp/>
        <stp>CPN_FREQ</stp>
        <stp>[RV_LINE_PRICER.xlsm]FloatBonds!R24C45</stp>
        <tr r="AS24" s="18"/>
        <tr r="AS24" s="18"/>
      </tp>
      <tp t="b">
        <v>0</v>
        <stp/>
        <stp>##V3_BDPV12</stp>
        <stp/>
        <stp>CPN_FREQ</stp>
        <stp>[RV_LINE_PRICER.xlsm]FloatBonds!R25C45</stp>
        <tr r="AS25" s="18"/>
        <tr r="AS25" s="18"/>
      </tp>
      <tp t="b">
        <v>0</v>
        <stp/>
        <stp>##V3_BDPV12</stp>
        <stp/>
        <stp>CPN_FREQ</stp>
        <stp>[RV_LINE_PRICER.xlsm]FloatBonds!R22C45</stp>
        <tr r="AS22" s="18"/>
        <tr r="AS22" s="18"/>
      </tp>
      <tp t="b">
        <v>0</v>
        <stp/>
        <stp>##V3_BDPV12</stp>
        <stp/>
        <stp>CPN_FREQ</stp>
        <stp>[RV_LINE_PRICER.xlsm]FloatBonds!R23C45</stp>
        <tr r="AS23" s="18"/>
        <tr r="AS23" s="18"/>
      </tp>
      <tp t="b">
        <v>0</v>
        <stp/>
        <stp>##V3_BDPV12</stp>
        <stp/>
        <stp>CPN_FREQ</stp>
        <stp>[RV_LINE_PRICER.xlsm]FloatBonds!R20C45</stp>
        <tr r="AS20" s="18"/>
        <tr r="AS20" s="18"/>
      </tp>
      <tp t="b">
        <v>0</v>
        <stp/>
        <stp>##V3_BDPV12</stp>
        <stp/>
        <stp>CPN_FREQ</stp>
        <stp>[RV_LINE_PRICER.xlsm]FloatBonds!R21C45</stp>
        <tr r="AS21" s="18"/>
        <tr r="AS21" s="18"/>
      </tp>
      <tp t="b">
        <v>0</v>
        <stp/>
        <stp>##V3_BDPV12</stp>
        <stp/>
        <stp>CPN_FREQ</stp>
        <stp>[RV_LINE_PRICER.xlsm]FloatBonds!R18C45</stp>
        <tr r="AS18" s="18"/>
        <tr r="AS18" s="18"/>
      </tp>
      <tp t="b">
        <v>0</v>
        <stp/>
        <stp>##V3_BDPV12</stp>
        <stp/>
        <stp>CPN_FREQ</stp>
        <stp>[RV_LINE_PRICER.xlsm]FloatBonds!R19C45</stp>
        <tr r="AS19" s="18"/>
        <tr r="AS19" s="18"/>
      </tp>
      <tp t="b">
        <v>0</v>
        <stp/>
        <stp>##V3_BDPV12</stp>
        <stp/>
        <stp>CPN_FREQ</stp>
        <stp>[RV_LINE_PRICER.xlsm]FloatBonds!R16C45</stp>
        <tr r="AS16" s="18"/>
        <tr r="AS16" s="18"/>
      </tp>
      <tp t="b">
        <v>0</v>
        <stp/>
        <stp>##V3_BDPV12</stp>
        <stp/>
        <stp>CPN_FREQ</stp>
        <stp>[RV_LINE_PRICER.xlsm]FloatBonds!R17C45</stp>
        <tr r="AS17" s="18"/>
        <tr r="AS17" s="18"/>
      </tp>
      <tp t="b">
        <v>0</v>
        <stp/>
        <stp>##V3_BDPV12</stp>
        <stp/>
        <stp>CPN_FREQ</stp>
        <stp>[RV_LINE_PRICER.xlsm]FloatBonds!R14C45</stp>
        <tr r="AS14" s="18"/>
        <tr r="AS14" s="18"/>
      </tp>
      <tp t="b">
        <v>0</v>
        <stp/>
        <stp>##V3_BDPV12</stp>
        <stp/>
        <stp>CPN_FREQ</stp>
        <stp>[RV_LINE_PRICER.xlsm]FloatBonds!R15C45</stp>
        <tr r="AS15" s="18"/>
        <tr r="AS15" s="18"/>
      </tp>
      <tp t="b">
        <v>0</v>
        <stp/>
        <stp>##V3_BDPV12</stp>
        <stp/>
        <stp>CPN_FREQ</stp>
        <stp>[RV_LINE_PRICER.xlsm]FloatBonds!R12C45</stp>
        <tr r="AS12" s="18"/>
        <tr r="AS12" s="18"/>
      </tp>
      <tp t="b">
        <v>0</v>
        <stp/>
        <stp>##V3_BDPV12</stp>
        <stp/>
        <stp>CPN_FREQ</stp>
        <stp>[RV_LINE_PRICER.xlsm]FloatBonds!R13C45</stp>
        <tr r="AS13" s="18"/>
        <tr r="AS13" s="18"/>
      </tp>
      <tp t="s">
        <v>15/01/2016</v>
        <stp/>
        <stp>##V3_BDPV12</stp>
        <stp>XS1344710857 Corp</stp>
        <stp>ISSUE_DT</stp>
        <stp>[RV_LINE_PRICER.xlsm]XccyFixedBonds!R8C213</stp>
        <tr r="HE8" s="16"/>
        <tr r="HE8" s="16"/>
      </tp>
      <tp t="s">
        <v>15/01/2016</v>
        <stp/>
        <stp>##V3_BDPV12</stp>
        <stp>XS1344710857 Corp</stp>
        <stp>ISSUE_DT</stp>
        <stp>[RV_LINE_PRICER.xlsm]XccyFixedBonds!R9C213</stp>
        <tr r="HE9" s="16"/>
        <tr r="HE9" s="16"/>
      </tp>
      <tp t="s">
        <v>15/01/2016</v>
        <stp/>
        <stp>##V3_BDPV12</stp>
        <stp>XS1344710857 Corp</stp>
        <stp>ISSUE_DT</stp>
        <stp>[RV_LINE_PRICER.xlsm]XccyFixedBonds!R7C213</stp>
        <tr r="HE7" s="16"/>
        <tr r="HE7" s="16"/>
      </tp>
      <tp t="s">
        <v>29/05/2019</v>
        <stp/>
        <stp>##V3_BDPV12</stp>
        <stp>XS0367001228 Corp</stp>
        <stp>PENULTIMATE_CPN_DT</stp>
        <stp>[RV_LINE_PRICER.xlsm]FixedBonds!R11C38</stp>
        <tr r="AL11" s="1"/>
      </tp>
      <tp>
        <v>2.7E-2</v>
        <stp/>
        <stp>##V3_BDHV12</stp>
        <stp>JY0006M Index</stp>
        <stp>PX_LAST</stp>
        <stp>22/08/2018</stp>
        <stp>22/08/2018</stp>
        <stp>[RV_LINE_PRICER.xlsm]FixingTables!R122C24</stp>
        <tr r="X122" s="5"/>
      </tp>
      <tp>
        <v>-3.3669999999999999E-2</v>
        <stp/>
        <stp>##V3_BDHV12</stp>
        <stp>JY0003M Index</stp>
        <stp>PX_LAST</stp>
        <stp>22/08/2018</stp>
        <stp>22/08/2018</stp>
        <stp>[RV_LINE_PRICER.xlsm]FixingTables!R122C21</stp>
        <tr r="U122" s="5"/>
      </tp>
      <tp>
        <v>2.5522499999999999</v>
        <stp/>
        <stp>##V3_BDHV12</stp>
        <stp>US0006M Index</stp>
        <stp>PX_LAST</stp>
        <stp>10/09/2018</stp>
        <stp>10/09/2018</stp>
        <stp>[RV_LINE_PRICER.xlsm]FixingTables!R108C12</stp>
        <tr r="L108" s="5"/>
      </tp>
      <tp>
        <v>2.4330000000000001E-2</v>
        <stp/>
        <stp>##V3_BDHV12</stp>
        <stp>JY0006M Index</stp>
        <stp>PX_LAST</stp>
        <stp>10/09/2018</stp>
        <stp>10/09/2018</stp>
        <stp>[RV_LINE_PRICER.xlsm]FixingTables!R110C24</stp>
        <tr r="X110" s="5"/>
      </tp>
      <tp>
        <v>-3.8170000000000003E-2</v>
        <stp/>
        <stp>##V3_BDHV12</stp>
        <stp>JY0003M Index</stp>
        <stp>PX_LAST</stp>
        <stp>10/09/2018</stp>
        <stp>10/09/2018</stp>
        <stp>[RV_LINE_PRICER.xlsm]FixingTables!R110C21</stp>
        <tr r="U110" s="5"/>
      </tp>
      <tp>
        <v>2.5125000000000002</v>
        <stp/>
        <stp>##V3_BDHV12</stp>
        <stp>US0006M Index</stp>
        <stp>PX_LAST</stp>
        <stp>22/08/2018</stp>
        <stp>22/08/2018</stp>
        <stp>[RV_LINE_PRICER.xlsm]FixingTables!R119C12</stp>
        <tr r="L119" s="5"/>
      </tp>
      <tp t="b">
        <v>0</v>
        <stp/>
        <stp>##V3_BDPV12</stp>
        <stp/>
        <stp>CPN</stp>
        <stp>[RV_LINE_PRICER.xlsm]FixedBonds!R19C40</stp>
        <tr r="AN19" s="1"/>
        <tr r="AN19" s="1"/>
      </tp>
      <tp t="b">
        <v>0</v>
        <stp/>
        <stp>##V3_BDPV12</stp>
        <stp/>
        <stp>CPN</stp>
        <stp>[RV_LINE_PRICER.xlsm]FixedBonds!R18C40</stp>
        <tr r="AN18" s="1"/>
        <tr r="AN18" s="1"/>
      </tp>
      <tp t="b">
        <v>0</v>
        <stp/>
        <stp>##V3_BDPV12</stp>
        <stp/>
        <stp>CPN</stp>
        <stp>[RV_LINE_PRICER.xlsm]FixedBonds!R15C40</stp>
        <tr r="AN15" s="1"/>
        <tr r="AN15" s="1"/>
      </tp>
      <tp t="b">
        <v>0</v>
        <stp/>
        <stp>##V3_BDPV12</stp>
        <stp/>
        <stp>CPN</stp>
        <stp>[RV_LINE_PRICER.xlsm]FixedBonds!R14C40</stp>
        <tr r="AN14" s="1"/>
        <tr r="AN14" s="1"/>
      </tp>
      <tp t="b">
        <v>0</v>
        <stp/>
        <stp>##V3_BDPV12</stp>
        <stp/>
        <stp>CPN</stp>
        <stp>[RV_LINE_PRICER.xlsm]FixedBonds!R17C40</stp>
        <tr r="AN17" s="1"/>
        <tr r="AN17" s="1"/>
      </tp>
      <tp t="b">
        <v>0</v>
        <stp/>
        <stp>##V3_BDPV12</stp>
        <stp/>
        <stp>CPN</stp>
        <stp>[RV_LINE_PRICER.xlsm]FixedBonds!R16C40</stp>
        <tr r="AN16" s="1"/>
        <tr r="AN16" s="1"/>
      </tp>
      <tp t="b">
        <v>0</v>
        <stp/>
        <stp>##V3_BDPV12</stp>
        <stp/>
        <stp>CPN</stp>
        <stp>[RV_LINE_PRICER.xlsm]FixedBonds!R13C40</stp>
        <tr r="AN13" s="1"/>
        <tr r="AN13" s="1"/>
      </tp>
      <tp t="b">
        <v>0</v>
        <stp/>
        <stp>##V3_BDPV12</stp>
        <stp/>
        <stp>CPN</stp>
        <stp>[RV_LINE_PRICER.xlsm]FixedBonds!R12C40</stp>
        <tr r="AN12" s="1"/>
        <tr r="AN12" s="1"/>
      </tp>
      <tp t="b">
        <v>0</v>
        <stp/>
        <stp>##V3_BDPV12</stp>
        <stp/>
        <stp>CPN</stp>
        <stp>[RV_LINE_PRICER.xlsm]FixedBonds!R25C40</stp>
        <tr r="AN25" s="1"/>
        <tr r="AN25" s="1"/>
      </tp>
      <tp t="b">
        <v>0</v>
        <stp/>
        <stp>##V3_BDPV12</stp>
        <stp/>
        <stp>CPN</stp>
        <stp>[RV_LINE_PRICER.xlsm]FixedBonds!R24C40</stp>
        <tr r="AN24" s="1"/>
        <tr r="AN24" s="1"/>
      </tp>
      <tp t="b">
        <v>0</v>
        <stp/>
        <stp>##V3_BDPV12</stp>
        <stp/>
        <stp>CPN</stp>
        <stp>[RV_LINE_PRICER.xlsm]FixedBonds!R26C40</stp>
        <tr r="AN26" s="1"/>
        <tr r="AN26" s="1"/>
      </tp>
      <tp t="b">
        <v>0</v>
        <stp/>
        <stp>##V3_BDPV12</stp>
        <stp/>
        <stp>CPN</stp>
        <stp>[RV_LINE_PRICER.xlsm]FixedBonds!R21C40</stp>
        <tr r="AN21" s="1"/>
        <tr r="AN21" s="1"/>
      </tp>
      <tp t="b">
        <v>0</v>
        <stp/>
        <stp>##V3_BDPV12</stp>
        <stp/>
        <stp>CPN</stp>
        <stp>[RV_LINE_PRICER.xlsm]FixedBonds!R20C40</stp>
        <tr r="AN20" s="1"/>
        <tr r="AN20" s="1"/>
      </tp>
      <tp t="b">
        <v>0</v>
        <stp/>
        <stp>##V3_BDPV12</stp>
        <stp/>
        <stp>CPN</stp>
        <stp>[RV_LINE_PRICER.xlsm]FixedBonds!R23C40</stp>
        <tr r="AN23" s="1"/>
        <tr r="AN23" s="1"/>
      </tp>
      <tp t="b">
        <v>0</v>
        <stp/>
        <stp>##V3_BDPV12</stp>
        <stp/>
        <stp>CPN</stp>
        <stp>[RV_LINE_PRICER.xlsm]FixedBonds!R22C40</stp>
        <tr r="AN22" s="1"/>
        <tr r="AN22" s="1"/>
      </tp>
      <tp t="s">
        <v>FIXED</v>
        <stp/>
        <stp>##V3_BDPV12</stp>
        <stp>XS1692845396 Corp</stp>
        <stp>CPN_TYP</stp>
        <stp>[RV_LINE_PRICER.xlsm]FixedBonds!R10C193</stp>
        <tr r="GK10" s="1"/>
      </tp>
      <tp t="s">
        <v>06/10/2017</v>
        <stp/>
        <stp>##V3_BDPV12</stp>
        <stp>XS1692845396 Corp</stp>
        <stp>ISSUE_DT</stp>
        <stp>[RV_LINE_PRICER.xlsm]FixedBonds!R10C202</stp>
        <tr r="GT10" s="1"/>
      </tp>
      <tp>
        <v>2.55775</v>
        <stp/>
        <stp>##V3_BDHV12</stp>
        <stp>US0006M Index</stp>
        <stp>PX_LAST</stp>
        <stp>11/09/2018</stp>
        <stp>11/09/2018</stp>
        <stp>[RV_LINE_PRICER.xlsm]FixingTables!R107C12</stp>
        <tr r="L107" s="5"/>
      </tp>
      <tp>
        <v>2.53363</v>
        <stp/>
        <stp>##V3_BDHV12</stp>
        <stp>US0006M Index</stp>
        <stp>PX_LAST</stp>
        <stp>01/08/2018</stp>
        <stp>01/08/2018</stp>
        <stp>[RV_LINE_PRICER.xlsm]FixingTables!R134C12</stp>
        <tr r="L134" s="5"/>
      </tp>
      <tp>
        <v>2.9499999999999998E-2</v>
        <stp/>
        <stp>##V3_BDHV12</stp>
        <stp>JY0006M Index</stp>
        <stp>PX_LAST</stp>
        <stp>23/08/2018</stp>
        <stp>23/08/2018</stp>
        <stp>[RV_LINE_PRICER.xlsm]FixingTables!R121C24</stp>
        <tr r="X121" s="5"/>
      </tp>
      <tp>
        <v>-3.117E-2</v>
        <stp/>
        <stp>##V3_BDHV12</stp>
        <stp>JY0003M Index</stp>
        <stp>PX_LAST</stp>
        <stp>23/08/2018</stp>
        <stp>23/08/2018</stp>
        <stp>[RV_LINE_PRICER.xlsm]FixingTables!R121C21</stp>
        <tr r="U121" s="5"/>
      </tp>
      <tp>
        <v>2.51213</v>
        <stp/>
        <stp>##V3_BDHV12</stp>
        <stp>US0006M Index</stp>
        <stp>PX_LAST</stp>
        <stp>10/08/2018</stp>
        <stp>10/08/2018</stp>
        <stp>[RV_LINE_PRICER.xlsm]FixingTables!R127C12</stp>
        <tr r="L127" s="5"/>
      </tp>
      <tp>
        <v>2.317E-2</v>
        <stp/>
        <stp>##V3_BDHV12</stp>
        <stp>JY0006M Index</stp>
        <stp>PX_LAST</stp>
        <stp>10/08/2018</stp>
        <stp>10/08/2018</stp>
        <stp>[RV_LINE_PRICER.xlsm]FixingTables!R130C24</stp>
        <tr r="X130" s="5"/>
      </tp>
      <tp>
        <v>-4.0829999999999998E-2</v>
        <stp/>
        <stp>##V3_BDHV12</stp>
        <stp>JY0003M Index</stp>
        <stp>PX_LAST</stp>
        <stp>10/08/2018</stp>
        <stp>10/08/2018</stp>
        <stp>[RV_LINE_PRICER.xlsm]FixingTables!R130C21</stp>
        <tr r="U130" s="5"/>
      </tp>
      <tp>
        <v>2.51613</v>
        <stp/>
        <stp>##V3_BDHV12</stp>
        <stp>US0006M Index</stp>
        <stp>PX_LAST</stp>
        <stp>23/08/2018</stp>
        <stp>23/08/2018</stp>
        <stp>[RV_LINE_PRICER.xlsm]FixingTables!R118C12</stp>
        <tr r="L118" s="5"/>
      </tp>
      <tp>
        <v>2.4330000000000001E-2</v>
        <stp/>
        <stp>##V3_BDHV12</stp>
        <stp>JY0006M Index</stp>
        <stp>PX_LAST</stp>
        <stp>11/09/2018</stp>
        <stp>11/09/2018</stp>
        <stp>[RV_LINE_PRICER.xlsm]FixingTables!R109C24</stp>
        <tr r="X109" s="5"/>
      </tp>
      <tp>
        <v>1.4829999999999999E-2</v>
        <stp/>
        <stp>##V3_BDHV12</stp>
        <stp>JY0006M Index</stp>
        <stp>PX_LAST</stp>
        <stp>01/08/2018</stp>
        <stp>01/08/2018</stp>
        <stp>[RV_LINE_PRICER.xlsm]FixingTables!R136C24</stp>
        <tr r="X136" s="5"/>
      </tp>
      <tp>
        <v>-3.9329999999999997E-2</v>
        <stp/>
        <stp>##V3_BDHV12</stp>
        <stp>JY0003M Index</stp>
        <stp>PX_LAST</stp>
        <stp>11/09/2018</stp>
        <stp>11/09/2018</stp>
        <stp>[RV_LINE_PRICER.xlsm]FixingTables!R109C21</stp>
        <tr r="U109" s="5"/>
      </tp>
      <tp>
        <v>-3.2829999999999998E-2</v>
        <stp/>
        <stp>##V3_BDHV12</stp>
        <stp>JY0003M Index</stp>
        <stp>PX_LAST</stp>
        <stp>01/08/2018</stp>
        <stp>01/08/2018</stp>
        <stp>[RV_LINE_PRICER.xlsm]FixingTables!R136C21</stp>
        <tr r="U136" s="5"/>
      </tp>
      <tp t="s">
        <v>20/02/2015</v>
        <stp/>
        <stp>##V3_BDPV12</stp>
        <stp>XS1193905160 Corp</stp>
        <stp>ISSUE_DT</stp>
        <stp>[RV_LINE_PRICER.xlsm]FloatBonds!R11C208</stp>
        <tr r="GZ11" s="18"/>
      </tp>
      <tp t="s">
        <v>20/02/2015</v>
        <stp/>
        <stp>##V3_BDPV12</stp>
        <stp>XS1193905160 Corp</stp>
        <stp>ISSUE_DT</stp>
        <stp>[RV_LINE_PRICER.xlsm]FloatBonds!R10C208</stp>
        <tr r="GZ10" s="18"/>
      </tp>
      <tp>
        <v>2.3118799999999999</v>
        <stp/>
        <stp>##V3_BDHV12</stp>
        <stp>US0003M Index</stp>
        <stp>PX_LAST</stp>
        <stp>17/08/2018</stp>
        <stp>17/08/2018</stp>
        <stp>[RV_LINE_PRICER.xlsm]FixingTables!R122C9</stp>
        <tr r="I122" s="5"/>
      </tp>
      <tp>
        <v>2.3387500000000001</v>
        <stp/>
        <stp>##V3_BDHV12</stp>
        <stp>US0003M Index</stp>
        <stp>PX_LAST</stp>
        <stp>17/09/2018</stp>
        <stp>17/09/2018</stp>
        <stp>[RV_LINE_PRICER.xlsm]FixingTables!R103C9</stp>
        <tr r="I103" s="5"/>
      </tp>
      <tp>
        <v>2.3227500000000001</v>
        <stp/>
        <stp>##V3_BDHV12</stp>
        <stp>US0003M Index</stp>
        <stp>PX_LAST</stp>
        <stp>04/09/2018</stp>
        <stp>04/09/2018</stp>
        <stp>[RV_LINE_PRICER.xlsm]FixingTables!R112C9</stp>
        <tr r="I112" s="5"/>
      </tp>
      <tp>
        <v>2.3096299999999998</v>
        <stp/>
        <stp>##V3_BDHV12</stp>
        <stp>US0003M Index</stp>
        <stp>PX_LAST</stp>
        <stp>20/08/2018</stp>
        <stp>20/08/2018</stp>
        <stp>[RV_LINE_PRICER.xlsm]FixingTables!R121C9</stp>
        <tr r="I121" s="5"/>
      </tp>
      <tp>
        <v>2.3405</v>
        <stp/>
        <stp>##V3_BDHV12</stp>
        <stp>US0003M Index</stp>
        <stp>PX_LAST</stp>
        <stp>02/08/2018</stp>
        <stp>02/08/2018</stp>
        <stp>[RV_LINE_PRICER.xlsm]FixingTables!R133C9</stp>
        <tr r="I133" s="5"/>
      </tp>
      <tp>
        <v>2.3663799999999999</v>
        <stp/>
        <stp>##V3_BDHV12</stp>
        <stp>US0003M Index</stp>
        <stp>PX_LAST</stp>
        <stp>20/09/2018</stp>
        <stp>20/09/2018</stp>
        <stp>[RV_LINE_PRICER.xlsm]FixingTables!R100C9</stp>
        <tr r="I100" s="5"/>
      </tp>
      <tp>
        <v>2.7374999999999998</v>
        <stp/>
        <stp>##V3_BDPV12</stp>
        <stp>XS1193905160 Corp</stp>
        <stp>YAS_FLOATER_ASSUMED_RATE</stp>
        <stp>[RV_LINE_PRICER.xlsm]FloatBonds!R10C21</stp>
        <tr r="U10" s="18"/>
      </tp>
      <tp>
        <v>2.7374999999999998</v>
        <stp/>
        <stp>##V3_BDPV12</stp>
        <stp>XS1193905160 Corp</stp>
        <stp>YAS_FLOATER_ASSUMED_RATE</stp>
        <stp>[RV_LINE_PRICER.xlsm]FloatBonds!R11C21</stp>
        <tr r="U11" s="18"/>
      </tp>
      <tp>
        <v>-0.32100000000000001</v>
        <stp/>
        <stp>##V3_BDHV12</stp>
        <stp>EUR003M Index</stp>
        <stp>PX_LAST</stp>
        <stp>20/07/2018</stp>
        <stp>20/07/2018</stp>
        <stp>[RV_LINE_PRICER.xlsm]FixingTables!R148C3</stp>
        <tr r="C148" s="5"/>
      </tp>
      <tp>
        <v>-0.32300000000000001</v>
        <stp/>
        <stp>##V3_BDHV12</stp>
        <stp>EUR003M Index</stp>
        <stp>PX_LAST</stp>
        <stp>21/06/2018</stp>
        <stp>21/06/2018</stp>
        <stp>[RV_LINE_PRICER.xlsm]FixingTables!R169C3</stp>
        <tr r="C169" s="5"/>
      </tp>
      <tp>
        <v>-0.31900000000000001</v>
        <stp/>
        <stp>##V3_BDHV12</stp>
        <stp>EUR003M Index</stp>
        <stp>PX_LAST</stp>
        <stp>08/08/2018</stp>
        <stp>08/08/2018</stp>
        <stp>[RV_LINE_PRICER.xlsm]FixingTables!R135C3</stp>
        <tr r="C135" s="5"/>
      </tp>
      <tp>
        <v>-0.318</v>
        <stp/>
        <stp>##V3_BDHV12</stp>
        <stp>EUR003M Index</stp>
        <stp>PX_LAST</stp>
        <stp>19/09/2018</stp>
        <stp>19/09/2018</stp>
        <stp>[RV_LINE_PRICER.xlsm]FixingTables!R105C3</stp>
        <tr r="C105" s="5"/>
      </tp>
      <tp>
        <v>-0.26500000000000001</v>
        <stp/>
        <stp>##V3_BDHV12</stp>
        <stp>EUR006M Index</stp>
        <stp>PX_LAST</stp>
        <stp>27/08/2018</stp>
        <stp>27/08/2018</stp>
        <stp>[RV_LINE_PRICER.xlsm]FixingTables!R122C6</stp>
        <tr r="F122" s="5"/>
      </tp>
      <tp>
        <v>-0.26600000000000001</v>
        <stp/>
        <stp>##V3_BDHV12</stp>
        <stp>EUR006M Index</stp>
        <stp>PX_LAST</stp>
        <stp>14/08/2018</stp>
        <stp>14/08/2018</stp>
        <stp>[RV_LINE_PRICER.xlsm]FixingTables!R131C6</stp>
        <tr r="F131" s="5"/>
      </tp>
      <tp>
        <v>-0.31900000000000001</v>
        <stp/>
        <stp>##V3_BDHV12</stp>
        <stp>EUR003M Index</stp>
        <stp>PX_LAST</stp>
        <stp>06/09/2018</stp>
        <stp>06/09/2018</stp>
        <stp>[RV_LINE_PRICER.xlsm]FixingTables!R114C3</stp>
        <tr r="C114" s="5"/>
      </tp>
      <tp>
        <v>-0.26900000000000002</v>
        <stp/>
        <stp>##V3_BDHV12</stp>
        <stp>EUR006M Index</stp>
        <stp>PX_LAST</stp>
        <stp>01/08/2018</stp>
        <stp>01/08/2018</stp>
        <stp>[RV_LINE_PRICER.xlsm]FixingTables!R140C6</stp>
        <tr r="F140" s="5"/>
      </tp>
      <tp>
        <v>-0.31900000000000001</v>
        <stp/>
        <stp>##V3_BDHV12</stp>
        <stp>EUR003M Index</stp>
        <stp>PX_LAST</stp>
        <stp>20/08/2018</stp>
        <stp>20/08/2018</stp>
        <stp>[RV_LINE_PRICER.xlsm]FixingTables!R127C3</stp>
        <tr r="C127" s="5"/>
      </tp>
      <tp>
        <v>-0.26900000000000002</v>
        <stp/>
        <stp>##V3_BDHV12</stp>
        <stp>EUR006M Index</stp>
        <stp>PX_LAST</stp>
        <stp>12/09/2018</stp>
        <stp>12/09/2018</stp>
        <stp>[RV_LINE_PRICER.xlsm]FixingTables!R110C6</stp>
        <tr r="F110" s="5"/>
      </tp>
      <tp>
        <v>-0.26800000000000002</v>
        <stp/>
        <stp>##V3_BDHV12</stp>
        <stp>EUR006M Index</stp>
        <stp>PX_LAST</stp>
        <stp>21/09/2018</stp>
        <stp>21/09/2018</stp>
        <stp>[RV_LINE_PRICER.xlsm]FixingTables!R103C6</stp>
        <tr r="F103" s="5"/>
      </tp>
      <tp>
        <v>2.3374999999999999</v>
        <stp/>
        <stp>##V3_BDHV12</stp>
        <stp>US0003M Index</stp>
        <stp>PX_LAST</stp>
        <stp>18/09/2018</stp>
        <stp>18/09/2018</stp>
        <stp>[RV_LINE_PRICER.xlsm]FixingTables!R102C9</stp>
        <tr r="I102" s="5"/>
      </tp>
      <tp>
        <v>2.3222499999999999</v>
        <stp/>
        <stp>##V3_BDHV12</stp>
        <stp>US0003M Index</stp>
        <stp>PX_LAST</stp>
        <stp>16/08/2018</stp>
        <stp>16/08/2018</stp>
        <stp>[RV_LINE_PRICER.xlsm]FixingTables!R123C9</stp>
        <tr r="I123" s="5"/>
      </tp>
      <tp>
        <v>2.3102499999999999</v>
        <stp/>
        <stp>##V3_BDHV12</stp>
        <stp>US0003M Index</stp>
        <stp>PX_LAST</stp>
        <stp>21/08/2018</stp>
        <stp>21/08/2018</stp>
        <stp>[RV_LINE_PRICER.xlsm]FixingTables!R120C9</stp>
        <tr r="I120" s="5"/>
      </tp>
      <tp>
        <v>2.343</v>
        <stp/>
        <stp>##V3_BDHV12</stp>
        <stp>US0003M Index</stp>
        <stp>PX_LAST</stp>
        <stp>03/08/2018</stp>
        <stp>03/08/2018</stp>
        <stp>[RV_LINE_PRICER.xlsm]FixingTables!R132C9</stp>
        <tr r="I132" s="5"/>
      </tp>
      <tp>
        <v>5</v>
        <stp/>
        <stp>##V3_BDPV12</stp>
        <stp>USN4578BQA53 Corp</stp>
        <stp>CPN</stp>
        <stp>[RV_LINE_PRICER.xlsm]FixedBonds!R7C40</stp>
        <tr r="AN7" s="1"/>
      </tp>
      <tp t="s">
        <v>09/12/2011</v>
        <stp/>
        <stp>##V3_BDPV12</stp>
        <stp>USN4578BQA53 Corp</stp>
        <stp>FIRST_CPN_DT</stp>
        <stp>[RV_LINE_PRICER.xlsm]FixedBonds!R7C37</stp>
        <tr r="AK7" s="1"/>
      </tp>
      <tp>
        <v>3.2</v>
        <stp/>
        <stp>##V3_BDPV12</stp>
        <stp>USJ46186BC59 Corp</stp>
        <stp>CPN</stp>
        <stp>[RV_LINE_PRICER.xlsm]XccyFixedBonds!R11C47</stp>
        <tr r="AU11" s="16"/>
        <tr r="AU11" s="16"/>
      </tp>
      <tp>
        <v>3.2</v>
        <stp/>
        <stp>##V3_BDPV12</stp>
        <stp>USJ46186BC59 Corp</stp>
        <stp>CPN</stp>
        <stp>[RV_LINE_PRICER.xlsm]XccyFixedBonds!R10C47</stp>
        <tr r="AU10" s="16"/>
        <tr r="AU10" s="16"/>
      </tp>
      <tp t="b">
        <v>0</v>
        <stp/>
        <stp>##V3_BDPV12</stp>
        <stp/>
        <stp>DAY_CNT_DES</stp>
        <stp>[RV_LINE_PRICER.xlsm]FloatBonds!R20C51</stp>
        <tr r="AY20" s="18"/>
        <tr r="AY20" s="18"/>
      </tp>
      <tp t="b">
        <v>0</v>
        <stp/>
        <stp>##V3_BDPV12</stp>
        <stp/>
        <stp>DAY_CNT_DES</stp>
        <stp>[RV_LINE_PRICER.xlsm]FloatBonds!R21C51</stp>
        <tr r="AY21" s="18"/>
        <tr r="AY21" s="18"/>
      </tp>
      <tp t="b">
        <v>0</v>
        <stp/>
        <stp>##V3_BDPV12</stp>
        <stp/>
        <stp>DAY_CNT_DES</stp>
        <stp>[RV_LINE_PRICER.xlsm]FloatBonds!R22C51</stp>
        <tr r="AY22" s="18"/>
        <tr r="AY22" s="18"/>
      </tp>
      <tp t="b">
        <v>0</v>
        <stp/>
        <stp>##V3_BDPV12</stp>
        <stp/>
        <stp>DAY_CNT_DES</stp>
        <stp>[RV_LINE_PRICER.xlsm]FloatBonds!R23C51</stp>
        <tr r="AY23" s="18"/>
        <tr r="AY23" s="18"/>
      </tp>
      <tp t="b">
        <v>0</v>
        <stp/>
        <stp>##V3_BDPV12</stp>
        <stp/>
        <stp>DAY_CNT_DES</stp>
        <stp>[RV_LINE_PRICER.xlsm]FloatBonds!R24C51</stp>
        <tr r="AY24" s="18"/>
        <tr r="AY24" s="18"/>
      </tp>
      <tp t="b">
        <v>0</v>
        <stp/>
        <stp>##V3_BDPV12</stp>
        <stp/>
        <stp>DAY_CNT_DES</stp>
        <stp>[RV_LINE_PRICER.xlsm]FloatBonds!R25C51</stp>
        <tr r="AY25" s="18"/>
        <tr r="AY25" s="18"/>
      </tp>
      <tp t="b">
        <v>0</v>
        <stp/>
        <stp>##V3_BDPV12</stp>
        <stp/>
        <stp>DAY_CNT_DES</stp>
        <stp>[RV_LINE_PRICER.xlsm]FloatBonds!R26C51</stp>
        <tr r="AY26" s="18"/>
        <tr r="AY26" s="18"/>
      </tp>
      <tp t="b">
        <v>0</v>
        <stp/>
        <stp>##V3_BDPV12</stp>
        <stp/>
        <stp>DAY_CNT_DES</stp>
        <stp>[RV_LINE_PRICER.xlsm]FloatBonds!R18C51</stp>
        <tr r="AY18" s="18"/>
        <tr r="AY18" s="18"/>
      </tp>
      <tp t="b">
        <v>0</v>
        <stp/>
        <stp>##V3_BDPV12</stp>
        <stp/>
        <stp>DAY_CNT_DES</stp>
        <stp>[RV_LINE_PRICER.xlsm]FloatBonds!R19C51</stp>
        <tr r="AY19" s="18"/>
        <tr r="AY19" s="18"/>
      </tp>
      <tp t="b">
        <v>0</v>
        <stp/>
        <stp>##V3_BDPV12</stp>
        <stp/>
        <stp>DAY_CNT_DES</stp>
        <stp>[RV_LINE_PRICER.xlsm]FloatBonds!R12C51</stp>
        <tr r="AY12" s="18"/>
        <tr r="AY12" s="18"/>
      </tp>
      <tp t="b">
        <v>0</v>
        <stp/>
        <stp>##V3_BDPV12</stp>
        <stp/>
        <stp>DAY_CNT_DES</stp>
        <stp>[RV_LINE_PRICER.xlsm]FloatBonds!R13C51</stp>
        <tr r="AY13" s="18"/>
        <tr r="AY13" s="18"/>
      </tp>
      <tp t="b">
        <v>0</v>
        <stp/>
        <stp>##V3_BDPV12</stp>
        <stp/>
        <stp>DAY_CNT_DES</stp>
        <stp>[RV_LINE_PRICER.xlsm]FloatBonds!R14C51</stp>
        <tr r="AY14" s="18"/>
        <tr r="AY14" s="18"/>
      </tp>
      <tp t="b">
        <v>0</v>
        <stp/>
        <stp>##V3_BDPV12</stp>
        <stp/>
        <stp>DAY_CNT_DES</stp>
        <stp>[RV_LINE_PRICER.xlsm]FloatBonds!R15C51</stp>
        <tr r="AY15" s="18"/>
        <tr r="AY15" s="18"/>
      </tp>
      <tp t="b">
        <v>0</v>
        <stp/>
        <stp>##V3_BDPV12</stp>
        <stp/>
        <stp>DAY_CNT_DES</stp>
        <stp>[RV_LINE_PRICER.xlsm]FloatBonds!R16C51</stp>
        <tr r="AY16" s="18"/>
        <tr r="AY16" s="18"/>
      </tp>
      <tp t="b">
        <v>0</v>
        <stp/>
        <stp>##V3_BDPV12</stp>
        <stp/>
        <stp>DAY_CNT_DES</stp>
        <stp>[RV_LINE_PRICER.xlsm]FloatBonds!R17C51</stp>
        <tr r="AY17" s="18"/>
        <tr r="AY17" s="18"/>
      </tp>
      <tp>
        <v>-0.32300000000000001</v>
        <stp/>
        <stp>##V3_BDHV12</stp>
        <stp>EUR003M Index</stp>
        <stp>PX_LAST</stp>
        <stp>22/06/2018</stp>
        <stp>22/06/2018</stp>
        <stp>[RV_LINE_PRICER.xlsm]FixingTables!R168C3</stp>
        <tr r="C168" s="5"/>
      </tp>
      <tp>
        <v>-0.31900000000000001</v>
        <stp/>
        <stp>##V3_BDHV12</stp>
        <stp>EUR003M Index</stp>
        <stp>PX_LAST</stp>
        <stp>09/08/2018</stp>
        <stp>09/08/2018</stp>
        <stp>[RV_LINE_PRICER.xlsm]FixingTables!R134C3</stp>
        <tr r="C134" s="5"/>
      </tp>
      <tp>
        <v>-0.26600000000000001</v>
        <stp/>
        <stp>##V3_BDHV12</stp>
        <stp>EUR006M Index</stp>
        <stp>PX_LAST</stp>
        <stp>15/08/2018</stp>
        <stp>15/08/2018</stp>
        <stp>[RV_LINE_PRICER.xlsm]FixingTables!R130C6</stp>
        <tr r="F130" s="5"/>
      </tp>
      <tp>
        <v>-0.31900000000000001</v>
        <stp/>
        <stp>##V3_BDHV12</stp>
        <stp>EUR003M Index</stp>
        <stp>PX_LAST</stp>
        <stp>05/09/2018</stp>
        <stp>05/09/2018</stp>
        <stp>[RV_LINE_PRICER.xlsm]FixingTables!R115C3</stp>
        <tr r="C115" s="5"/>
      </tp>
      <tp>
        <v>-0.26600000000000001</v>
        <stp/>
        <stp>##V3_BDHV12</stp>
        <stp>EUR006M Index</stp>
        <stp>PX_LAST</stp>
        <stp>24/08/2018</stp>
        <stp>24/08/2018</stp>
        <stp>[RV_LINE_PRICER.xlsm]FixingTables!R123C6</stp>
        <tr r="F123" s="5"/>
      </tp>
      <tp>
        <v>-0.26700000000000002</v>
        <stp/>
        <stp>##V3_BDHV12</stp>
        <stp>EUR006M Index</stp>
        <stp>PX_LAST</stp>
        <stp>24/09/2018</stp>
        <stp>24/09/2018</stp>
        <stp>[RV_LINE_PRICER.xlsm]FixingTables!R102C6</stp>
        <tr r="F102" s="5"/>
      </tp>
      <tp>
        <v>-0.26900000000000002</v>
        <stp/>
        <stp>##V3_BDHV12</stp>
        <stp>EUR006M Index</stp>
        <stp>PX_LAST</stp>
        <stp>11/09/2018</stp>
        <stp>11/09/2018</stp>
        <stp>[RV_LINE_PRICER.xlsm]FixingTables!R111C6</stp>
        <tr r="F111" s="5"/>
      </tp>
      <tp t="s">
        <v>FIXED</v>
        <stp/>
        <stp>##V3_BDPV12</stp>
        <stp>USJ46186BC59 Corp</stp>
        <stp>CPN_TYP</stp>
        <stp>[RV_LINE_PRICER.xlsm]XccyFixedBondSingle!R11C9</stp>
        <tr r="I11" s="21"/>
        <tr r="I11" s="21"/>
      </tp>
      <tp>
        <v>-0.31900000000000001</v>
        <stp/>
        <stp>##V3_BDHV12</stp>
        <stp>EUR003M Index</stp>
        <stp>PX_LAST</stp>
        <stp>21/08/2018</stp>
        <stp>21/08/2018</stp>
        <stp>[RV_LINE_PRICER.xlsm]FixingTables!R126C3</stp>
        <tr r="C126" s="5"/>
      </tp>
      <tp>
        <v>1</v>
        <stp/>
        <stp>##V3_BDPV12</stp>
        <stp>US05565QCT31 Corp</stp>
        <stp>CALC_TYP</stp>
        <stp>[RV_LINE_PRICER.xlsm]FloatBonds!R11C53</stp>
        <tr r="BA11" s="18"/>
      </tp>
      <tp>
        <v>1</v>
        <stp/>
        <stp>##V3_BDPV12</stp>
        <stp>US05565QCT31 Corp</stp>
        <stp>CALC_TYP</stp>
        <stp>[RV_LINE_PRICER.xlsm]FloatBonds!R10C53</stp>
        <tr r="BA10" s="18"/>
      </tp>
      <tp t="s">
        <v>30/05/2008</v>
        <stp/>
        <stp>##V3_BDPV12</stp>
        <stp>XS0367001228 Corp</stp>
        <stp>ISSUE_DT</stp>
        <stp>[RV_LINE_PRICER.xlsm]FixedBonds!R11C35</stp>
        <tr r="AI11" s="1"/>
      </tp>
      <tp>
        <v>2.35338</v>
        <stp/>
        <stp>##V3_BDHV12</stp>
        <stp>US0003M Index</stp>
        <stp>PX_LAST</stp>
        <stp>19/09/2018</stp>
        <stp>19/09/2018</stp>
        <stp>[RV_LINE_PRICER.xlsm]FixingTables!R101C9</stp>
        <tr r="I101" s="5"/>
      </tp>
      <tp>
        <v>2.3432499999999998</v>
        <stp/>
        <stp>##V3_BDHV12</stp>
        <stp>US0003M Index</stp>
        <stp>PX_LAST</stp>
        <stp>06/08/2018</stp>
        <stp>06/08/2018</stp>
        <stp>[RV_LINE_PRICER.xlsm]FixingTables!R131C9</stp>
        <tr r="I131" s="5"/>
      </tp>
      <tp>
        <v>2.3270599999999999</v>
        <stp/>
        <stp>##V3_BDHV12</stp>
        <stp>US0003M Index</stp>
        <stp>PX_LAST</stp>
        <stp>06/09/2018</stp>
        <stp>06/09/2018</stp>
        <stp>[RV_LINE_PRICER.xlsm]FixingTables!R110C9</stp>
        <tr r="I110" s="5"/>
      </tp>
      <tp t="s">
        <v>15/07/2019</v>
        <stp/>
        <stp>##V3_BDPV12</stp>
        <stp>US05565QCT31 Corp</stp>
        <stp>PENULTIMATE_CPN_DT</stp>
        <stp>[RV_LINE_PRICER.xlsm]FloatBonds!R7C42</stp>
        <tr r="AP7" s="18"/>
      </tp>
      <tp t="s">
        <v>15/07/2019</v>
        <stp/>
        <stp>##V3_BDPV12</stp>
        <stp>US05565QCT31 Corp</stp>
        <stp>PENULTIMATE_CPN_DT</stp>
        <stp>[RV_LINE_PRICER.xlsm]FloatBonds!R9C42</stp>
        <tr r="AP9" s="18"/>
      </tp>
      <tp t="s">
        <v>15/07/2019</v>
        <stp/>
        <stp>##V3_BDPV12</stp>
        <stp>US05565QCT31 Corp</stp>
        <stp>PENULTIMATE_CPN_DT</stp>
        <stp>[RV_LINE_PRICER.xlsm]FloatBonds!R8C42</stp>
        <tr r="AP8" s="18"/>
      </tp>
      <tp t="s">
        <v>04/11/2014</v>
        <stp/>
        <stp>##V3_BDPV12</stp>
        <stp>US05565QCT31 Corp</stp>
        <stp>START_ACC_DT</stp>
        <stp>[RV_LINE_PRICER.xlsm]FloatBonds!R9C40</stp>
        <tr r="AN9" s="18"/>
      </tp>
      <tp t="s">
        <v>04/11/2014</v>
        <stp/>
        <stp>##V3_BDPV12</stp>
        <stp>US05565QCT31 Corp</stp>
        <stp>START_ACC_DT</stp>
        <stp>[RV_LINE_PRICER.xlsm]FloatBonds!R8C40</stp>
        <tr r="AN8" s="18"/>
      </tp>
      <tp t="s">
        <v>04/11/2014</v>
        <stp/>
        <stp>##V3_BDPV12</stp>
        <stp>US05565QCT31 Corp</stp>
        <stp>START_ACC_DT</stp>
        <stp>[RV_LINE_PRICER.xlsm]FloatBonds!R7C40</stp>
        <tr r="AN7" s="18"/>
      </tp>
      <tp>
        <v>-0.32100000000000001</v>
        <stp/>
        <stp>##V3_BDHV12</stp>
        <stp>EUR003M Index</stp>
        <stp>PX_LAST</stp>
        <stp>06/07/2018</stp>
        <stp>06/07/2018</stp>
        <stp>[RV_LINE_PRICER.xlsm]FixingTables!R158C3</stp>
        <tr r="C158" s="5"/>
      </tp>
      <tp>
        <v>-0.32100000000000001</v>
        <stp/>
        <stp>##V3_BDHV12</stp>
        <stp>EUR003M Index</stp>
        <stp>PX_LAST</stp>
        <stp>07/06/2018</stp>
        <stp>07/06/2018</stp>
        <stp>[RV_LINE_PRICER.xlsm]FixingTables!R179C3</stp>
        <tr r="C179" s="5"/>
      </tp>
      <tp>
        <v>-0.26600000000000001</v>
        <stp/>
        <stp>##V3_BDHV12</stp>
        <stp>EUR006M Index</stp>
        <stp>PX_LAST</stp>
        <stp>29/08/2018</stp>
        <stp>29/08/2018</stp>
        <stp>[RV_LINE_PRICER.xlsm]FixingTables!R120C6</stp>
        <tr r="F120" s="5"/>
      </tp>
      <tp t="s">
        <v>15/01/2020</v>
        <stp/>
        <stp>##V3_BDPV12</stp>
        <stp>US05565QCT31 Corp</stp>
        <stp>MATURITY</stp>
        <stp>[RV_LINE_PRICER.xlsm]FloatBonds!R10C43</stp>
        <tr r="AQ10" s="18"/>
      </tp>
      <tp t="s">
        <v>15/01/2020</v>
        <stp/>
        <stp>##V3_BDPV12</stp>
        <stp>US05565QCT31 Corp</stp>
        <stp>MATURITY</stp>
        <stp>[RV_LINE_PRICER.xlsm]FloatBonds!R11C43</stp>
        <tr r="AQ11" s="18"/>
      </tp>
      <tp>
        <v>-0.31900000000000001</v>
        <stp/>
        <stp>##V3_BDHV12</stp>
        <stp>EUR003M Index</stp>
        <stp>PX_LAST</stp>
        <stp>04/09/2018</stp>
        <stp>04/09/2018</stp>
        <stp>[RV_LINE_PRICER.xlsm]FixingTables!R116C3</stp>
        <tr r="C116" s="5"/>
      </tp>
      <tp>
        <v>-0.26900000000000002</v>
        <stp/>
        <stp>##V3_BDHV12</stp>
        <stp>EUR006M Index</stp>
        <stp>PX_LAST</stp>
        <stp>07/09/2018</stp>
        <stp>07/09/2018</stp>
        <stp>[RV_LINE_PRICER.xlsm]FixingTables!R113C6</stp>
        <tr r="F113" s="5"/>
      </tp>
      <tp>
        <v>-0.26700000000000002</v>
        <stp/>
        <stp>##V3_BDHV12</stp>
        <stp>EUR006M Index</stp>
        <stp>PX_LAST</stp>
        <stp>25/09/2018</stp>
        <stp>25/09/2018</stp>
        <stp>[RV_LINE_PRICER.xlsm]FixingTables!R101C6</stp>
        <tr r="F101" s="5"/>
      </tp>
      <tp>
        <v>-0.31900000000000001</v>
        <stp/>
        <stp>##V3_BDHV12</stp>
        <stp>EUR003M Index</stp>
        <stp>PX_LAST</stp>
        <stp>06/08/2018</stp>
        <stp>06/08/2018</stp>
        <stp>[RV_LINE_PRICER.xlsm]FixingTables!R137C3</stp>
        <tr r="C137" s="5"/>
      </tp>
      <tp>
        <v>-0.31900000000000001</v>
        <stp/>
        <stp>##V3_BDHV12</stp>
        <stp>EUR003M Index</stp>
        <stp>PX_LAST</stp>
        <stp>17/09/2018</stp>
        <stp>17/09/2018</stp>
        <stp>[RV_LINE_PRICER.xlsm]FixingTables!R107C3</stp>
        <tr r="C107" s="5"/>
      </tp>
      <tp>
        <v>-0.32100000000000001</v>
        <stp/>
        <stp>##V3_BDHV12</stp>
        <stp>EUR003M Index</stp>
        <stp>PX_LAST</stp>
        <stp>19/07/2018</stp>
        <stp>19/07/2018</stp>
        <stp>[RV_LINE_PRICER.xlsm]FixingTables!R149C3</stp>
        <tr r="C149" s="5"/>
      </tp>
      <tp>
        <v>-0.31900000000000001</v>
        <stp/>
        <stp>##V3_BDHV12</stp>
        <stp>EUR003M Index</stp>
        <stp>PX_LAST</stp>
        <stp>22/08/2018</stp>
        <stp>22/08/2018</stp>
        <stp>[RV_LINE_PRICER.xlsm]FixingTables!R125C3</stp>
        <tr r="C125" s="5"/>
      </tp>
      <tp>
        <v>-0.26900000000000002</v>
        <stp/>
        <stp>##V3_BDHV12</stp>
        <stp>EUR006M Index</stp>
        <stp>PX_LAST</stp>
        <stp>10/09/2018</stp>
        <stp>10/09/2018</stp>
        <stp>[RV_LINE_PRICER.xlsm]FixingTables!R112C6</stp>
        <tr r="F112" s="5"/>
      </tp>
      <tp>
        <v>-0.26700000000000002</v>
        <stp/>
        <stp>##V3_BDHV12</stp>
        <stp>EUR006M Index</stp>
        <stp>PX_LAST</stp>
        <stp>10/08/2018</stp>
        <stp>10/08/2018</stp>
        <stp>[RV_LINE_PRICER.xlsm]FixingTables!R133C6</stp>
        <tr r="F133" s="5"/>
      </tp>
      <tp>
        <v>-0.31900000000000001</v>
        <stp/>
        <stp>##V3_BDHV12</stp>
        <stp>EUR003M Index</stp>
        <stp>PX_LAST</stp>
        <stp>20/09/2018</stp>
        <stp>20/09/2018</stp>
        <stp>[RV_LINE_PRICER.xlsm]FixingTables!R104C3</stp>
        <tr r="C104" s="5"/>
      </tp>
      <tp>
        <v>98.311000000000007</v>
        <stp/>
        <stp>##V3_BDPV12</stp>
        <stp>XS1209910196 BGN Corp</stp>
        <stp>PX_LAST</stp>
        <stp>[RV_LINE_PRICER.xlsm]FixedBondsSummary!R8C3</stp>
        <tr r="C8" s="12"/>
      </tp>
      <tp>
        <v>2.34144</v>
        <stp/>
        <stp>##V3_BDHV12</stp>
        <stp>US0003M Index</stp>
        <stp>PX_LAST</stp>
        <stp>07/08/2018</stp>
        <stp>07/08/2018</stp>
        <stp>[RV_LINE_PRICER.xlsm]FixingTables!R130C9</stp>
        <tr r="I130" s="5"/>
      </tp>
      <tp>
        <v>2.3168099999999998</v>
        <stp/>
        <stp>##V3_BDHV12</stp>
        <stp>US0003M Index</stp>
        <stp>PX_LAST</stp>
        <stp>05/09/2018</stp>
        <stp>05/09/2018</stp>
        <stp>[RV_LINE_PRICER.xlsm]FixingTables!R111C9</stp>
        <tr r="I111" s="5"/>
      </tp>
      <tp>
        <v>2.3207499999999999</v>
        <stp/>
        <stp>##V3_BDHV12</stp>
        <stp>US0003M Index</stp>
        <stp>PX_LAST</stp>
        <stp>31/08/2018</stp>
        <stp>31/08/2018</stp>
        <stp>[RV_LINE_PRICER.xlsm]FixingTables!R113C9</stp>
        <tr r="I113" s="5"/>
      </tp>
      <tp>
        <v>99.709000000000003</v>
        <stp/>
        <stp>##V3_BDPV12</stp>
        <stp>US05565QCT31 Corp BGN Corp</stp>
        <stp>PX_LAST</stp>
        <stp>[RV_LINE_PRICER.xlsm]FloatBondSingle!R26C3</stp>
        <tr r="C26" s="23"/>
      </tp>
      <tp t="b">
        <v>0</v>
        <stp/>
        <stp>##V3_BDPV12</stp>
        <stp/>
        <stp>ISSUE_DT</stp>
        <stp>[RV_LINE_PRICER.xlsm]FixedBonds!R24C35</stp>
        <tr r="AI24" s="1"/>
        <tr r="AI24" s="1"/>
      </tp>
      <tp t="b">
        <v>0</v>
        <stp/>
        <stp>##V3_BDPV12</stp>
        <stp/>
        <stp>ISSUE_DT</stp>
        <stp>[RV_LINE_PRICER.xlsm]FixedBonds!R25C35</stp>
        <tr r="AI25" s="1"/>
        <tr r="AI25" s="1"/>
      </tp>
      <tp t="b">
        <v>0</v>
        <stp/>
        <stp>##V3_BDPV12</stp>
        <stp/>
        <stp>ISSUE_DT</stp>
        <stp>[RV_LINE_PRICER.xlsm]FixedBonds!R26C35</stp>
        <tr r="AI26" s="1"/>
        <tr r="AI26" s="1"/>
      </tp>
      <tp t="b">
        <v>0</v>
        <stp/>
        <stp>##V3_BDPV12</stp>
        <stp/>
        <stp>ISSUE_DT</stp>
        <stp>[RV_LINE_PRICER.xlsm]FixedBonds!R20C35</stp>
        <tr r="AI20" s="1"/>
        <tr r="AI20" s="1"/>
      </tp>
      <tp t="b">
        <v>0</v>
        <stp/>
        <stp>##V3_BDPV12</stp>
        <stp/>
        <stp>ISSUE_DT</stp>
        <stp>[RV_LINE_PRICER.xlsm]FixedBonds!R21C35</stp>
        <tr r="AI21" s="1"/>
        <tr r="AI21" s="1"/>
      </tp>
      <tp t="b">
        <v>0</v>
        <stp/>
        <stp>##V3_BDPV12</stp>
        <stp/>
        <stp>ISSUE_DT</stp>
        <stp>[RV_LINE_PRICER.xlsm]FixedBonds!R22C35</stp>
        <tr r="AI22" s="1"/>
        <tr r="AI22" s="1"/>
      </tp>
      <tp t="b">
        <v>0</v>
        <stp/>
        <stp>##V3_BDPV12</stp>
        <stp/>
        <stp>ISSUE_DT</stp>
        <stp>[RV_LINE_PRICER.xlsm]FixedBonds!R23C35</stp>
        <tr r="AI23" s="1"/>
        <tr r="AI23" s="1"/>
      </tp>
      <tp t="b">
        <v>0</v>
        <stp/>
        <stp>##V3_BDPV12</stp>
        <stp/>
        <stp>ISSUE_DT</stp>
        <stp>[RV_LINE_PRICER.xlsm]FixedBonds!R14C35</stp>
        <tr r="AI14" s="1"/>
        <tr r="AI14" s="1"/>
      </tp>
      <tp t="b">
        <v>0</v>
        <stp/>
        <stp>##V3_BDPV12</stp>
        <stp/>
        <stp>ISSUE_DT</stp>
        <stp>[RV_LINE_PRICER.xlsm]FixedBonds!R15C35</stp>
        <tr r="AI15" s="1"/>
        <tr r="AI15" s="1"/>
      </tp>
      <tp t="b">
        <v>0</v>
        <stp/>
        <stp>##V3_BDPV12</stp>
        <stp/>
        <stp>ISSUE_DT</stp>
        <stp>[RV_LINE_PRICER.xlsm]FixedBonds!R16C35</stp>
        <tr r="AI16" s="1"/>
        <tr r="AI16" s="1"/>
      </tp>
      <tp t="b">
        <v>0</v>
        <stp/>
        <stp>##V3_BDPV12</stp>
        <stp/>
        <stp>ISSUE_DT</stp>
        <stp>[RV_LINE_PRICER.xlsm]FixedBonds!R17C35</stp>
        <tr r="AI17" s="1"/>
        <tr r="AI17" s="1"/>
      </tp>
      <tp t="b">
        <v>0</v>
        <stp/>
        <stp>##V3_BDPV12</stp>
        <stp/>
        <stp>ISSUE_DT</stp>
        <stp>[RV_LINE_PRICER.xlsm]FixedBonds!R12C35</stp>
        <tr r="AI12" s="1"/>
        <tr r="AI12" s="1"/>
      </tp>
      <tp t="b">
        <v>0</v>
        <stp/>
        <stp>##V3_BDPV12</stp>
        <stp/>
        <stp>ISSUE_DT</stp>
        <stp>[RV_LINE_PRICER.xlsm]FixedBonds!R13C35</stp>
        <tr r="AI13" s="1"/>
        <tr r="AI13" s="1"/>
      </tp>
      <tp t="b">
        <v>0</v>
        <stp/>
        <stp>##V3_BDPV12</stp>
        <stp/>
        <stp>ISSUE_DT</stp>
        <stp>[RV_LINE_PRICER.xlsm]FixedBonds!R18C35</stp>
        <tr r="AI18" s="1"/>
        <tr r="AI18" s="1"/>
      </tp>
      <tp t="b">
        <v>0</v>
        <stp/>
        <stp>##V3_BDPV12</stp>
        <stp/>
        <stp>ISSUE_DT</stp>
        <stp>[RV_LINE_PRICER.xlsm]FixedBonds!R19C35</stp>
        <tr r="AI19" s="1"/>
        <tr r="AI19" s="1"/>
      </tp>
      <tp>
        <v>-0.31900000000000001</v>
        <stp/>
        <stp>##V3_BDHV12</stp>
        <stp>EUR003M Index</stp>
        <stp>PX_LAST</stp>
        <stp>18/09/2018</stp>
        <stp>18/09/2018</stp>
        <stp>[RV_LINE_PRICER.xlsm]FixingTables!R106C3</stp>
        <tr r="C106" s="5"/>
      </tp>
      <tp>
        <v>-0.32100000000000001</v>
        <stp/>
        <stp>##V3_BDHV12</stp>
        <stp>EUR003M Index</stp>
        <stp>PX_LAST</stp>
        <stp>05/07/2018</stp>
        <stp>05/07/2018</stp>
        <stp>[RV_LINE_PRICER.xlsm]FixingTables!R159C3</stp>
        <tr r="C159" s="5"/>
      </tp>
      <tp>
        <v>-0.26600000000000001</v>
        <stp/>
        <stp>##V3_BDHV12</stp>
        <stp>EUR006M Index</stp>
        <stp>PX_LAST</stp>
        <stp>28/08/2018</stp>
        <stp>28/08/2018</stp>
        <stp>[RV_LINE_PRICER.xlsm]FixingTables!R121C6</stp>
        <tr r="F121" s="5"/>
      </tp>
      <tp>
        <v>-0.26700000000000002</v>
        <stp/>
        <stp>##V3_BDHV12</stp>
        <stp>EUR006M Index</stp>
        <stp>PX_LAST</stp>
        <stp>26/09/2018</stp>
        <stp>26/09/2018</stp>
        <stp>[RV_LINE_PRICER.xlsm]FixingTables!R100C6</stp>
        <tr r="F100" s="5"/>
      </tp>
      <tp>
        <v>-0.32100000000000001</v>
        <stp/>
        <stp>##V3_BDHV12</stp>
        <stp>EUR003M Index</stp>
        <stp>PX_LAST</stp>
        <stp>08/06/2018</stp>
        <stp>08/06/2018</stp>
        <stp>[RV_LINE_PRICER.xlsm]FixingTables!R178C3</stp>
        <tr r="C178" s="5"/>
      </tp>
      <tp>
        <v>-0.31900000000000001</v>
        <stp/>
        <stp>##V3_BDHV12</stp>
        <stp>EUR003M Index</stp>
        <stp>PX_LAST</stp>
        <stp>07/08/2018</stp>
        <stp>07/08/2018</stp>
        <stp>[RV_LINE_PRICER.xlsm]FixingTables!R136C3</stp>
        <tr r="C136" s="5"/>
      </tp>
      <tp>
        <v>-0.31900000000000001</v>
        <stp/>
        <stp>##V3_BDHV12</stp>
        <stp>EUR003M Index</stp>
        <stp>PX_LAST</stp>
        <stp>23/08/2018</stp>
        <stp>23/08/2018</stp>
        <stp>[RV_LINE_PRICER.xlsm]FixingTables!R124C3</stp>
        <tr r="C124" s="5"/>
      </tp>
      <tp>
        <v>-0.31900000000000001</v>
        <stp/>
        <stp>##V3_BDHV12</stp>
        <stp>EUR003M Index</stp>
        <stp>PX_LAST</stp>
        <stp>03/09/2018</stp>
        <stp>03/09/2018</stp>
        <stp>[RV_LINE_PRICER.xlsm]FixingTables!R117C3</stp>
        <tr r="C117" s="5"/>
      </tp>
      <tp>
        <v>-0.26600000000000001</v>
        <stp/>
        <stp>##V3_BDHV12</stp>
        <stp>EUR006M Index</stp>
        <stp>PX_LAST</stp>
        <stp>13/08/2018</stp>
        <stp>13/08/2018</stp>
        <stp>[RV_LINE_PRICER.xlsm]FixingTables!R132C6</stp>
        <tr r="F132" s="5"/>
      </tp>
      <tp t="s">
        <v>15/07/2025</v>
        <stp/>
        <stp>##V3_BDPV12</stp>
        <stp>XS1344710857 Corp</stp>
        <stp>PENULTIMATE_CPN_DT</stp>
        <stp>[RV_LINE_PRICER.xlsm]XccyFixedBonds!R8C216</stp>
        <tr r="HH8" s="16"/>
        <tr r="HH8" s="16"/>
      </tp>
      <tp t="s">
        <v>15/07/2025</v>
        <stp/>
        <stp>##V3_BDPV12</stp>
        <stp>XS1344710857 Corp</stp>
        <stp>PENULTIMATE_CPN_DT</stp>
        <stp>[RV_LINE_PRICER.xlsm]XccyFixedBonds!R9C216</stp>
        <tr r="HH9" s="16"/>
        <tr r="HH9" s="16"/>
      </tp>
      <tp t="s">
        <v>15/07/2025</v>
        <stp/>
        <stp>##V3_BDPV12</stp>
        <stp>XS1344710857 Corp</stp>
        <stp>PENULTIMATE_CPN_DT</stp>
        <stp>[RV_LINE_PRICER.xlsm]XccyFixedBonds!R7C216</stp>
        <tr r="HH7" s="16"/>
        <tr r="HH7" s="16"/>
      </tp>
      <tp>
        <v>2.3370000000000002</v>
        <stp/>
        <stp>##V3_BDHV12</stp>
        <stp>US0003M Index</stp>
        <stp>PX_LAST</stp>
        <stp>11/07/2018</stp>
        <stp>11/07/2018</stp>
        <stp>[RV_LINE_PRICER.xlsm]FixingTables!R149C9</stp>
        <tr r="I149" s="5"/>
      </tp>
      <tp>
        <v>2.34063</v>
        <stp/>
        <stp>##V3_BDHV12</stp>
        <stp>US0003M Index</stp>
        <stp>PX_LAST</stp>
        <stp>13/06/2018</stp>
        <stp>13/06/2018</stp>
        <stp>[RV_LINE_PRICER.xlsm]FixingTables!R168C9</stp>
        <tr r="I168" s="5"/>
      </tp>
      <tp>
        <v>2.31263</v>
        <stp/>
        <stp>##V3_BDHV12</stp>
        <stp>US0003M Index</stp>
        <stp>PX_LAST</stp>
        <stp>29/08/2018</stp>
        <stp>29/08/2018</stp>
        <stp>[RV_LINE_PRICER.xlsm]FixingTables!R115C9</stp>
        <tr r="I115" s="5"/>
      </tp>
      <tp>
        <v>2.3137499999999998</v>
        <stp/>
        <stp>##V3_BDHV12</stp>
        <stp>US0003M Index</stp>
        <stp>PX_LAST</stp>
        <stp>13/08/2018</stp>
        <stp>13/08/2018</stp>
        <stp>[RV_LINE_PRICER.xlsm]FixingTables!R126C9</stp>
        <tr r="I126" s="5"/>
      </tp>
      <tp>
        <v>2.32125</v>
        <stp/>
        <stp>##V3_BDHV12</stp>
        <stp>US0003M Index</stp>
        <stp>PX_LAST</stp>
        <stp>30/08/2018</stp>
        <stp>30/08/2018</stp>
        <stp>[RV_LINE_PRICER.xlsm]FixingTables!R114C9</stp>
        <tr r="I114" s="5"/>
      </tp>
      <tp>
        <v>2.3342499999999999</v>
        <stp/>
        <stp>##V3_BDHV12</stp>
        <stp>US0003M Index</stp>
        <stp>PX_LAST</stp>
        <stp>11/09/2018</stp>
        <stp>11/09/2018</stp>
        <stp>[RV_LINE_PRICER.xlsm]FixingTables!R107C9</stp>
        <tr r="I107" s="5"/>
      </tp>
      <tp>
        <v>2</v>
        <stp/>
        <stp>##V3_BDPV12</stp>
        <stp>XS1344710857 Corp</stp>
        <stp>CPN_FREQ</stp>
        <stp>[RV_LINE_PRICER.xlsm]XccyFixedBondSingle!R26C22</stp>
        <tr r="V26" s="21"/>
        <tr r="V26" s="21"/>
      </tp>
      <tp t="b">
        <v>0</v>
        <stp/>
        <stp>##V3_BDPV12</stp>
        <stp/>
        <stp>CALC_TYP</stp>
        <stp>[RV_LINE_PRICER.xlsm]FloatBonds!R23C53</stp>
        <tr r="BA23" s="18"/>
        <tr r="BA23" s="18"/>
        <tr r="BA23" s="18"/>
      </tp>
      <tp t="b">
        <v>0</v>
        <stp/>
        <stp>##V3_BDPV12</stp>
        <stp/>
        <stp>CALC_TYP</stp>
        <stp>[RV_LINE_PRICER.xlsm]FloatBonds!R22C53</stp>
        <tr r="BA22" s="18"/>
        <tr r="BA22" s="18"/>
        <tr r="BA22" s="18"/>
      </tp>
      <tp t="b">
        <v>0</v>
        <stp/>
        <stp>##V3_BDPV12</stp>
        <stp/>
        <stp>CALC_TYP</stp>
        <stp>[RV_LINE_PRICER.xlsm]FloatBonds!R21C53</stp>
        <tr r="BA21" s="18"/>
        <tr r="BA21" s="18"/>
        <tr r="BA21" s="18"/>
      </tp>
      <tp t="b">
        <v>0</v>
        <stp/>
        <stp>##V3_BDPV12</stp>
        <stp/>
        <stp>CALC_TYP</stp>
        <stp>[RV_LINE_PRICER.xlsm]FloatBonds!R20C53</stp>
        <tr r="BA20" s="18"/>
        <tr r="BA20" s="18"/>
        <tr r="BA20" s="18"/>
      </tp>
      <tp t="b">
        <v>0</v>
        <stp/>
        <stp>##V3_BDPV12</stp>
        <stp/>
        <stp>CALC_TYP</stp>
        <stp>[RV_LINE_PRICER.xlsm]FloatBonds!R26C53</stp>
        <tr r="BA26" s="18"/>
        <tr r="BA26" s="18"/>
        <tr r="BA26" s="18"/>
      </tp>
      <tp t="b">
        <v>0</v>
        <stp/>
        <stp>##V3_BDPV12</stp>
        <stp/>
        <stp>CALC_TYP</stp>
        <stp>[RV_LINE_PRICER.xlsm]FloatBonds!R25C53</stp>
        <tr r="BA25" s="18"/>
        <tr r="BA25" s="18"/>
        <tr r="BA25" s="18"/>
      </tp>
      <tp t="b">
        <v>0</v>
        <stp/>
        <stp>##V3_BDPV12</stp>
        <stp/>
        <stp>CALC_TYP</stp>
        <stp>[RV_LINE_PRICER.xlsm]FloatBonds!R24C53</stp>
        <tr r="BA24" s="18"/>
        <tr r="BA24" s="18"/>
        <tr r="BA24" s="18"/>
      </tp>
      <tp t="b">
        <v>0</v>
        <stp/>
        <stp>##V3_BDPV12</stp>
        <stp/>
        <stp>CALC_TYP</stp>
        <stp>[RV_LINE_PRICER.xlsm]FloatBonds!R13C53</stp>
        <tr r="BA13" s="18"/>
        <tr r="BA13" s="18"/>
        <tr r="BA13" s="18"/>
      </tp>
      <tp t="b">
        <v>0</v>
        <stp/>
        <stp>##V3_BDPV12</stp>
        <stp/>
        <stp>CALC_TYP</stp>
        <stp>[RV_LINE_PRICER.xlsm]FloatBonds!R12C53</stp>
        <tr r="BA12" s="18"/>
        <tr r="BA12" s="18"/>
        <tr r="BA12" s="18"/>
      </tp>
      <tp t="b">
        <v>0</v>
        <stp/>
        <stp>##V3_BDPV12</stp>
        <stp/>
        <stp>CALC_TYP</stp>
        <stp>[RV_LINE_PRICER.xlsm]FloatBonds!R17C53</stp>
        <tr r="BA17" s="18"/>
        <tr r="BA17" s="18"/>
        <tr r="BA17" s="18"/>
      </tp>
      <tp t="b">
        <v>0</v>
        <stp/>
        <stp>##V3_BDPV12</stp>
        <stp/>
        <stp>CALC_TYP</stp>
        <stp>[RV_LINE_PRICER.xlsm]FloatBonds!R16C53</stp>
        <tr r="BA16" s="18"/>
        <tr r="BA16" s="18"/>
        <tr r="BA16" s="18"/>
      </tp>
      <tp t="b">
        <v>0</v>
        <stp/>
        <stp>##V3_BDPV12</stp>
        <stp/>
        <stp>CALC_TYP</stp>
        <stp>[RV_LINE_PRICER.xlsm]FloatBonds!R15C53</stp>
        <tr r="BA15" s="18"/>
        <tr r="BA15" s="18"/>
        <tr r="BA15" s="18"/>
      </tp>
      <tp t="b">
        <v>0</v>
        <stp/>
        <stp>##V3_BDPV12</stp>
        <stp/>
        <stp>CALC_TYP</stp>
        <stp>[RV_LINE_PRICER.xlsm]FloatBonds!R14C53</stp>
        <tr r="BA14" s="18"/>
        <tr r="BA14" s="18"/>
        <tr r="BA14" s="18"/>
      </tp>
      <tp t="b">
        <v>0</v>
        <stp/>
        <stp>##V3_BDPV12</stp>
        <stp/>
        <stp>CALC_TYP</stp>
        <stp>[RV_LINE_PRICER.xlsm]FloatBonds!R19C53</stp>
        <tr r="BA19" s="18"/>
        <tr r="BA19" s="18"/>
        <tr r="BA19" s="18"/>
      </tp>
      <tp t="b">
        <v>0</v>
        <stp/>
        <stp>##V3_BDPV12</stp>
        <stp/>
        <stp>CALC_TYP</stp>
        <stp>[RV_LINE_PRICER.xlsm]FloatBonds!R18C53</stp>
        <tr r="BA18" s="18"/>
        <tr r="BA18" s="18"/>
        <tr r="BA18" s="18"/>
      </tp>
      <tp t="b">
        <v>0</v>
        <stp/>
        <stp>##V3_BDPV12</stp>
        <stp/>
        <stp>PX_DIRTY_CLEAN</stp>
        <stp>[RV_LINE_PRICER.xlsm]FixedBonds!R24C30</stp>
        <tr r="AD24" s="1"/>
        <tr r="AD24" s="1"/>
      </tp>
      <tp t="b">
        <v>0</v>
        <stp/>
        <stp>##V3_BDPV12</stp>
        <stp/>
        <stp>PX_DIRTY_CLEAN</stp>
        <stp>[RV_LINE_PRICER.xlsm]FixedBonds!R25C30</stp>
        <tr r="AD25" s="1"/>
        <tr r="AD25" s="1"/>
      </tp>
      <tp t="b">
        <v>0</v>
        <stp/>
        <stp>##V3_BDPV12</stp>
        <stp/>
        <stp>PX_DIRTY_CLEAN</stp>
        <stp>[RV_LINE_PRICER.xlsm]FixedBonds!R26C30</stp>
        <tr r="AD26" s="1"/>
        <tr r="AD26" s="1"/>
      </tp>
      <tp t="b">
        <v>0</v>
        <stp/>
        <stp>##V3_BDPV12</stp>
        <stp/>
        <stp>PX_DIRTY_CLEAN</stp>
        <stp>[RV_LINE_PRICER.xlsm]FixedBonds!R20C30</stp>
        <tr r="AD20" s="1"/>
        <tr r="AD20" s="1"/>
      </tp>
      <tp t="b">
        <v>0</v>
        <stp/>
        <stp>##V3_BDPV12</stp>
        <stp/>
        <stp>PX_DIRTY_CLEAN</stp>
        <stp>[RV_LINE_PRICER.xlsm]FixedBonds!R21C30</stp>
        <tr r="AD21" s="1"/>
        <tr r="AD21" s="1"/>
      </tp>
      <tp t="b">
        <v>0</v>
        <stp/>
        <stp>##V3_BDPV12</stp>
        <stp/>
        <stp>PX_DIRTY_CLEAN</stp>
        <stp>[RV_LINE_PRICER.xlsm]FixedBonds!R22C30</stp>
        <tr r="AD22" s="1"/>
        <tr r="AD22" s="1"/>
      </tp>
      <tp t="b">
        <v>0</v>
        <stp/>
        <stp>##V3_BDPV12</stp>
        <stp/>
        <stp>PX_DIRTY_CLEAN</stp>
        <stp>[RV_LINE_PRICER.xlsm]FixedBonds!R23C30</stp>
        <tr r="AD23" s="1"/>
        <tr r="AD23" s="1"/>
      </tp>
      <tp t="b">
        <v>0</v>
        <stp/>
        <stp>##V3_BDPV12</stp>
        <stp/>
        <stp>PX_DIRTY_CLEAN</stp>
        <stp>[RV_LINE_PRICER.xlsm]FixedBonds!R14C30</stp>
        <tr r="AD14" s="1"/>
        <tr r="AD14" s="1"/>
      </tp>
      <tp t="b">
        <v>0</v>
        <stp/>
        <stp>##V3_BDPV12</stp>
        <stp/>
        <stp>PX_DIRTY_CLEAN</stp>
        <stp>[RV_LINE_PRICER.xlsm]FixedBonds!R15C30</stp>
        <tr r="AD15" s="1"/>
        <tr r="AD15" s="1"/>
      </tp>
      <tp t="b">
        <v>0</v>
        <stp/>
        <stp>##V3_BDPV12</stp>
        <stp/>
        <stp>PX_DIRTY_CLEAN</stp>
        <stp>[RV_LINE_PRICER.xlsm]FixedBonds!R16C30</stp>
        <tr r="AD16" s="1"/>
        <tr r="AD16" s="1"/>
      </tp>
      <tp t="b">
        <v>0</v>
        <stp/>
        <stp>##V3_BDPV12</stp>
        <stp/>
        <stp>PX_DIRTY_CLEAN</stp>
        <stp>[RV_LINE_PRICER.xlsm]FixedBonds!R17C30</stp>
        <tr r="AD17" s="1"/>
        <tr r="AD17" s="1"/>
      </tp>
      <tp t="b">
        <v>0</v>
        <stp/>
        <stp>##V3_BDPV12</stp>
        <stp/>
        <stp>PX_DIRTY_CLEAN</stp>
        <stp>[RV_LINE_PRICER.xlsm]FixedBonds!R12C30</stp>
        <tr r="AD12" s="1"/>
        <tr r="AD12" s="1"/>
      </tp>
      <tp t="b">
        <v>0</v>
        <stp/>
        <stp>##V3_BDPV12</stp>
        <stp/>
        <stp>PX_DIRTY_CLEAN</stp>
        <stp>[RV_LINE_PRICER.xlsm]FixedBonds!R13C30</stp>
        <tr r="AD13" s="1"/>
        <tr r="AD13" s="1"/>
      </tp>
      <tp t="b">
        <v>0</v>
        <stp/>
        <stp>##V3_BDPV12</stp>
        <stp/>
        <stp>PX_DIRTY_CLEAN</stp>
        <stp>[RV_LINE_PRICER.xlsm]FixedBonds!R18C30</stp>
        <tr r="AD18" s="1"/>
        <tr r="AD18" s="1"/>
      </tp>
      <tp t="b">
        <v>0</v>
        <stp/>
        <stp>##V3_BDPV12</stp>
        <stp/>
        <stp>PX_DIRTY_CLEAN</stp>
        <stp>[RV_LINE_PRICER.xlsm]FixedBonds!R19C30</stp>
        <tr r="AD19" s="1"/>
        <tr r="AD19" s="1"/>
      </tp>
      <tp>
        <v>-0.26800000000000002</v>
        <stp/>
        <stp>##V3_BDHV12</stp>
        <stp>EUR006M Index</stp>
        <stp>PX_LAST</stp>
        <stp>22/06/2018</stp>
        <stp>22/06/2018</stp>
        <stp>[RV_LINE_PRICER.xlsm]FixingTables!R168C6</stp>
        <tr r="F168" s="5"/>
      </tp>
      <tp>
        <v>-0.26600000000000001</v>
        <stp/>
        <stp>##V3_BDHV12</stp>
        <stp>EUR006M Index</stp>
        <stp>PX_LAST</stp>
        <stp>09/08/2018</stp>
        <stp>09/08/2018</stp>
        <stp>[RV_LINE_PRICER.xlsm]FixingTables!R134C6</stp>
        <tr r="F134" s="5"/>
      </tp>
      <tp>
        <v>-0.26900000000000002</v>
        <stp/>
        <stp>##V3_BDHV12</stp>
        <stp>EUR006M Index</stp>
        <stp>PX_LAST</stp>
        <stp>05/09/2018</stp>
        <stp>05/09/2018</stp>
        <stp>[RV_LINE_PRICER.xlsm]FixingTables!R115C6</stp>
        <tr r="F115" s="5"/>
      </tp>
      <tp>
        <v>-0.31900000000000001</v>
        <stp/>
        <stp>##V3_BDHV12</stp>
        <stp>EUR003M Index</stp>
        <stp>PX_LAST</stp>
        <stp>15/08/2018</stp>
        <stp>15/08/2018</stp>
        <stp>[RV_LINE_PRICER.xlsm]FixingTables!R130C3</stp>
        <tr r="C130" s="5"/>
      </tp>
      <tp>
        <v>-0.31900000000000001</v>
        <stp/>
        <stp>##V3_BDHV12</stp>
        <stp>EUR003M Index</stp>
        <stp>PX_LAST</stp>
        <stp>24/08/2018</stp>
        <stp>24/08/2018</stp>
        <stp>[RV_LINE_PRICER.xlsm]FixingTables!R123C3</stp>
        <tr r="C123" s="5"/>
      </tp>
      <tp>
        <v>-0.31900000000000001</v>
        <stp/>
        <stp>##V3_BDHV12</stp>
        <stp>EUR003M Index</stp>
        <stp>PX_LAST</stp>
        <stp>24/09/2018</stp>
        <stp>24/09/2018</stp>
        <stp>[RV_LINE_PRICER.xlsm]FixingTables!R102C3</stp>
        <tr r="C102" s="5"/>
      </tp>
      <tp>
        <v>-0.31900000000000001</v>
        <stp/>
        <stp>##V3_BDHV12</stp>
        <stp>EUR003M Index</stp>
        <stp>PX_LAST</stp>
        <stp>11/09/2018</stp>
        <stp>11/09/2018</stp>
        <stp>[RV_LINE_PRICER.xlsm]FixingTables!R111C3</stp>
        <tr r="C111" s="5"/>
      </tp>
      <tp>
        <v>-0.26600000000000001</v>
        <stp/>
        <stp>##V3_BDHV12</stp>
        <stp>EUR006M Index</stp>
        <stp>PX_LAST</stp>
        <stp>21/08/2018</stp>
        <stp>21/08/2018</stp>
        <stp>[RV_LINE_PRICER.xlsm]FixingTables!R126C6</stp>
        <tr r="F126" s="5"/>
      </tp>
      <tp>
        <v>2.3003100000000001</v>
        <stp/>
        <stp>##V3_BDHV12</stp>
        <stp>US0003M Index</stp>
        <stp>PX_LAST</stp>
        <stp>30/05/2018</stp>
        <stp>30/05/2018</stp>
        <stp>[RV_LINE_PRICER.xlsm]FixingTables!R178C9</stp>
        <tr r="I178" s="5"/>
      </tp>
      <tp>
        <v>2.3391899999999999</v>
        <stp/>
        <stp>##V3_BDHV12</stp>
        <stp>US0003M Index</stp>
        <stp>PX_LAST</stp>
        <stp>12/07/2018</stp>
        <stp>12/07/2018</stp>
        <stp>[RV_LINE_PRICER.xlsm]FixingTables!R148C9</stp>
        <tr r="I148" s="5"/>
      </tp>
      <tp>
        <v>2.3356300000000001</v>
        <stp/>
        <stp>##V3_BDHV12</stp>
        <stp>US0003M Index</stp>
        <stp>PX_LAST</stp>
        <stp>12/06/2018</stp>
        <stp>12/06/2018</stp>
        <stp>[RV_LINE_PRICER.xlsm]FixingTables!R169C9</stp>
        <tr r="I169" s="5"/>
      </tp>
      <tp>
        <v>2.3071899999999999</v>
        <stp/>
        <stp>##V3_BDHV12</stp>
        <stp>US0003M Index</stp>
        <stp>PX_LAST</stp>
        <stp>29/05/2018</stp>
        <stp>29/05/2018</stp>
        <stp>[RV_LINE_PRICER.xlsm]FixingTables!R179C9</stp>
        <tr r="I179" s="5"/>
      </tp>
      <tp>
        <v>2.3315000000000001</v>
        <stp/>
        <stp>##V3_BDHV12</stp>
        <stp>US0003M Index</stp>
        <stp>PX_LAST</stp>
        <stp>12/09/2018</stp>
        <stp>12/09/2018</stp>
        <stp>[RV_LINE_PRICER.xlsm]FixingTables!R106C9</stp>
        <tr r="I106" s="5"/>
      </tp>
      <tp>
        <v>2.3192499999999998</v>
        <stp/>
        <stp>##V3_BDHV12</stp>
        <stp>US0003M Index</stp>
        <stp>PX_LAST</stp>
        <stp>10/08/2018</stp>
        <stp>10/08/2018</stp>
        <stp>[RV_LINE_PRICER.xlsm]FixingTables!R127C9</stp>
        <tr r="I127" s="5"/>
      </tp>
      <tp>
        <v>-0.26800000000000002</v>
        <stp/>
        <stp>##V3_BDHV12</stp>
        <stp>EUR006M Index</stp>
        <stp>PX_LAST</stp>
        <stp>21/06/2018</stp>
        <stp>21/06/2018</stp>
        <stp>[RV_LINE_PRICER.xlsm]FixingTables!R169C6</stp>
        <tr r="F169" s="5"/>
      </tp>
      <tp>
        <v>-0.26900000000000002</v>
        <stp/>
        <stp>##V3_BDHV12</stp>
        <stp>EUR006M Index</stp>
        <stp>PX_LAST</stp>
        <stp>20/07/2018</stp>
        <stp>20/07/2018</stp>
        <stp>[RV_LINE_PRICER.xlsm]FixingTables!R148C6</stp>
        <tr r="F148" s="5"/>
      </tp>
      <tp>
        <v>-0.26800000000000002</v>
        <stp/>
        <stp>##V3_BDHV12</stp>
        <stp>EUR006M Index</stp>
        <stp>PX_LAST</stp>
        <stp>08/08/2018</stp>
        <stp>08/08/2018</stp>
        <stp>[RV_LINE_PRICER.xlsm]FixingTables!R135C6</stp>
        <tr r="F135" s="5"/>
      </tp>
      <tp>
        <v>-0.26700000000000002</v>
        <stp/>
        <stp>##V3_BDHV12</stp>
        <stp>EUR006M Index</stp>
        <stp>PX_LAST</stp>
        <stp>19/09/2018</stp>
        <stp>19/09/2018</stp>
        <stp>[RV_LINE_PRICER.xlsm]FixingTables!R105C6</stp>
        <tr r="F105" s="5"/>
      </tp>
      <tp>
        <v>-0.31900000000000001</v>
        <stp/>
        <stp>##V3_BDHV12</stp>
        <stp>EUR003M Index</stp>
        <stp>PX_LAST</stp>
        <stp>27/08/2018</stp>
        <stp>27/08/2018</stp>
        <stp>[RV_LINE_PRICER.xlsm]FixingTables!R122C3</stp>
        <tr r="C122" s="5"/>
      </tp>
      <tp>
        <v>-0.31900000000000001</v>
        <stp/>
        <stp>##V3_BDHV12</stp>
        <stp>EUR003M Index</stp>
        <stp>PX_LAST</stp>
        <stp>14/08/2018</stp>
        <stp>14/08/2018</stp>
        <stp>[RV_LINE_PRICER.xlsm]FixingTables!R131C3</stp>
        <tr r="C131" s="5"/>
      </tp>
      <tp>
        <v>-0.26900000000000002</v>
        <stp/>
        <stp>##V3_BDHV12</stp>
        <stp>EUR006M Index</stp>
        <stp>PX_LAST</stp>
        <stp>06/09/2018</stp>
        <stp>06/09/2018</stp>
        <stp>[RV_LINE_PRICER.xlsm]FixingTables!R114C6</stp>
        <tr r="F114" s="5"/>
      </tp>
      <tp>
        <v>-0.31900000000000001</v>
        <stp/>
        <stp>##V3_BDHV12</stp>
        <stp>EUR003M Index</stp>
        <stp>PX_LAST</stp>
        <stp>01/08/2018</stp>
        <stp>01/08/2018</stp>
        <stp>[RV_LINE_PRICER.xlsm]FixingTables!R140C3</stp>
        <tr r="C140" s="5"/>
      </tp>
      <tp>
        <v>-0.31900000000000001</v>
        <stp/>
        <stp>##V3_BDHV12</stp>
        <stp>EUR003M Index</stp>
        <stp>PX_LAST</stp>
        <stp>12/09/2018</stp>
        <stp>12/09/2018</stp>
        <stp>[RV_LINE_PRICER.xlsm]FixingTables!R110C3</stp>
        <tr r="C110" s="5"/>
      </tp>
      <tp>
        <v>-0.31900000000000001</v>
        <stp/>
        <stp>##V3_BDHV12</stp>
        <stp>EUR003M Index</stp>
        <stp>PX_LAST</stp>
        <stp>21/09/2018</stp>
        <stp>21/09/2018</stp>
        <stp>[RV_LINE_PRICER.xlsm]FixingTables!R103C3</stp>
        <tr r="C103" s="5"/>
      </tp>
      <tp>
        <v>-0.26600000000000001</v>
        <stp/>
        <stp>##V3_BDHV12</stp>
        <stp>EUR006M Index</stp>
        <stp>PX_LAST</stp>
        <stp>20/08/2018</stp>
        <stp>20/08/2018</stp>
        <stp>[RV_LINE_PRICER.xlsm]FixingTables!R127C6</stp>
        <tr r="F127" s="5"/>
      </tp>
      <tp>
        <v>100.746</v>
        <stp/>
        <stp>##V3_BDPV12</stp>
        <stp>XS0423038875 BGN Corp</stp>
        <stp>PX_LAST</stp>
        <stp>[RV_LINE_PRICER.xlsm]FixedBondsSummary!R9C3</stp>
        <tr r="C9" s="12"/>
      </tp>
      <tp>
        <v>2.3356300000000001</v>
        <stp/>
        <stp>##V3_BDHV12</stp>
        <stp>US0003M Index</stp>
        <stp>PX_LAST</stp>
        <stp>26/06/2018</stp>
        <stp>26/06/2018</stp>
        <stp>[RV_LINE_PRICER.xlsm]FixingTables!R159C9</stp>
        <tr r="I159" s="5"/>
      </tp>
      <tp t="s">
        <v>30/360</v>
        <stp/>
        <stp>##V3_BDPV12</stp>
        <stp>US05565QCT31 Corp</stp>
        <stp>DAY_CNT_DES</stp>
        <stp>[RV_LINE_PRICER.xlsm]FloatBonds!R8C51</stp>
        <tr r="AY8" s="18"/>
      </tp>
      <tp t="s">
        <v>30/360</v>
        <stp/>
        <stp>##V3_BDPV12</stp>
        <stp>US05565QCT31 Corp</stp>
        <stp>DAY_CNT_DES</stp>
        <stp>[RV_LINE_PRICER.xlsm]FloatBonds!R9C51</stp>
        <tr r="AY9" s="18"/>
      </tp>
      <tp t="s">
        <v>30/360</v>
        <stp/>
        <stp>##V3_BDPV12</stp>
        <stp>US05565QCT31 Corp</stp>
        <stp>DAY_CNT_DES</stp>
        <stp>[RV_LINE_PRICER.xlsm]FloatBonds!R7C51</stp>
        <tr r="AY7" s="18"/>
      </tp>
      <tp>
        <v>2.3388800000000001</v>
        <stp/>
        <stp>##V3_BDHV12</stp>
        <stp>US0003M Index</stp>
        <stp>PX_LAST</stp>
        <stp>26/07/2018</stp>
        <stp>26/07/2018</stp>
        <stp>[RV_LINE_PRICER.xlsm]FixingTables!R138C9</stp>
        <tr r="I138" s="5"/>
      </tp>
      <tp>
        <v>2.31725</v>
        <stp/>
        <stp>##V3_BDHV12</stp>
        <stp>US0003M Index</stp>
        <stp>PX_LAST</stp>
        <stp>24/08/2018</stp>
        <stp>24/08/2018</stp>
        <stp>[RV_LINE_PRICER.xlsm]FixingTables!R117C9</stp>
        <tr r="I117" s="5"/>
      </tp>
      <tp>
        <v>2.31175</v>
        <stp/>
        <stp>##V3_BDHV12</stp>
        <stp>US0003M Index</stp>
        <stp>PX_LAST</stp>
        <stp>15/08/2018</stp>
        <stp>15/08/2018</stp>
        <stp>[RV_LINE_PRICER.xlsm]FixingTables!R124C9</stp>
        <tr r="I124" s="5"/>
      </tp>
      <tp>
        <v>2.33413</v>
        <stp/>
        <stp>##V3_BDHV12</stp>
        <stp>US0003M Index</stp>
        <stp>PX_LAST</stp>
        <stp>13/09/2018</stp>
        <stp>13/09/2018</stp>
        <stp>[RV_LINE_PRICER.xlsm]FixingTables!R105C9</stp>
        <tr r="I105" s="5"/>
      </tp>
      <tp t="s">
        <v>ISMA-30/360</v>
        <stp/>
        <stp>##V3_BDPV12</stp>
        <stp>XS1344710857 Corp</stp>
        <stp>DAY_CNT_DES</stp>
        <stp>[RV_LINE_PRICER.xlsm]XccyFixedBonds!R7C225</stp>
        <tr r="HQ7" s="16"/>
        <tr r="HQ7" s="16"/>
      </tp>
      <tp t="s">
        <v>ISMA-30/360</v>
        <stp/>
        <stp>##V3_BDPV12</stp>
        <stp>XS1344710857 Corp</stp>
        <stp>DAY_CNT_DES</stp>
        <stp>[RV_LINE_PRICER.xlsm]XccyFixedBonds!R9C225</stp>
        <tr r="HQ9" s="16"/>
        <tr r="HQ9" s="16"/>
      </tp>
      <tp t="s">
        <v>ISMA-30/360</v>
        <stp/>
        <stp>##V3_BDPV12</stp>
        <stp>XS1344710857 Corp</stp>
        <stp>DAY_CNT_DES</stp>
        <stp>[RV_LINE_PRICER.xlsm]XccyFixedBonds!R8C225</stp>
        <tr r="HQ8" s="16"/>
        <tr r="HQ8" s="16"/>
      </tp>
      <tp>
        <v>-0.26800000000000002</v>
        <stp/>
        <stp>##V3_BDHV12</stp>
        <stp>EUR006M Index</stp>
        <stp>PX_LAST</stp>
        <stp>18/09/2018</stp>
        <stp>18/09/2018</stp>
        <stp>[RV_LINE_PRICER.xlsm]FixingTables!R106C6</stp>
        <tr r="F106" s="5"/>
      </tp>
      <tp>
        <v>-0.26900000000000002</v>
        <stp/>
        <stp>##V3_BDHV12</stp>
        <stp>EUR006M Index</stp>
        <stp>PX_LAST</stp>
        <stp>05/07/2018</stp>
        <stp>05/07/2018</stp>
        <stp>[RV_LINE_PRICER.xlsm]FixingTables!R159C6</stp>
        <tr r="F159" s="5"/>
      </tp>
      <tp>
        <v>-0.31900000000000001</v>
        <stp/>
        <stp>##V3_BDHV12</stp>
        <stp>EUR003M Index</stp>
        <stp>PX_LAST</stp>
        <stp>28/08/2018</stp>
        <stp>28/08/2018</stp>
        <stp>[RV_LINE_PRICER.xlsm]FixingTables!R121C3</stp>
        <tr r="C121" s="5"/>
      </tp>
      <tp>
        <v>21</v>
        <stp/>
        <stp>##V3_BDPV12</stp>
        <stp>XS1193905160 Corp</stp>
        <stp>CALC_TYP</stp>
        <stp>[RV_LINE_PRICER.xlsm]FloatBonds!R10C223</stp>
        <tr r="HO10" s="18"/>
      </tp>
      <tp>
        <v>21</v>
        <stp/>
        <stp>##V3_BDPV12</stp>
        <stp>XS1193905160 Corp</stp>
        <stp>CALC_TYP</stp>
        <stp>[RV_LINE_PRICER.xlsm]FloatBonds!R11C223</stp>
        <tr r="HO11" s="18"/>
      </tp>
      <tp>
        <v>-0.31900000000000001</v>
        <stp/>
        <stp>##V3_BDHV12</stp>
        <stp>EUR003M Index</stp>
        <stp>PX_LAST</stp>
        <stp>26/09/2018</stp>
        <stp>26/09/2018</stp>
        <stp>[RV_LINE_PRICER.xlsm]FixingTables!R100C3</stp>
        <tr r="C100" s="5"/>
      </tp>
      <tp>
        <v>-0.26700000000000002</v>
        <stp/>
        <stp>##V3_BDHV12</stp>
        <stp>EUR006M Index</stp>
        <stp>PX_LAST</stp>
        <stp>08/06/2018</stp>
        <stp>08/06/2018</stp>
        <stp>[RV_LINE_PRICER.xlsm]FixingTables!R178C6</stp>
        <tr r="F178" s="5"/>
      </tp>
      <tp>
        <v>-0.26800000000000002</v>
        <stp/>
        <stp>##V3_BDHV12</stp>
        <stp>EUR006M Index</stp>
        <stp>PX_LAST</stp>
        <stp>07/08/2018</stp>
        <stp>07/08/2018</stp>
        <stp>[RV_LINE_PRICER.xlsm]FixingTables!R136C6</stp>
        <tr r="F136" s="5"/>
      </tp>
      <tp>
        <v>-0.26600000000000001</v>
        <stp/>
        <stp>##V3_BDHV12</stp>
        <stp>EUR006M Index</stp>
        <stp>PX_LAST</stp>
        <stp>23/08/2018</stp>
        <stp>23/08/2018</stp>
        <stp>[RV_LINE_PRICER.xlsm]FixingTables!R124C6</stp>
        <tr r="F124" s="5"/>
      </tp>
      <tp>
        <v>-0.31900000000000001</v>
        <stp/>
        <stp>##V3_BDHV12</stp>
        <stp>EUR003M Index</stp>
        <stp>PX_LAST</stp>
        <stp>13/08/2018</stp>
        <stp>13/08/2018</stp>
        <stp>[RV_LINE_PRICER.xlsm]FixingTables!R132C3</stp>
        <tr r="C132" s="5"/>
      </tp>
      <tp>
        <v>-0.26800000000000002</v>
        <stp/>
        <stp>##V3_BDHV12</stp>
        <stp>EUR006M Index</stp>
        <stp>PX_LAST</stp>
        <stp>03/09/2018</stp>
        <stp>03/09/2018</stp>
        <stp>[RV_LINE_PRICER.xlsm]FixingTables!R117C6</stp>
        <tr r="F117" s="5"/>
      </tp>
      <tp>
        <v>2.3147500000000001</v>
        <stp/>
        <stp>##V3_BDHV12</stp>
        <stp>US0003M Index</stp>
        <stp>PX_LAST</stp>
        <stp>28/08/2018</stp>
        <stp>28/08/2018</stp>
        <stp>[RV_LINE_PRICER.xlsm]FixingTables!R116C9</stp>
        <tr r="I116" s="5"/>
      </tp>
      <tp>
        <v>2.3343799999999999</v>
        <stp/>
        <stp>##V3_BDHV12</stp>
        <stp>US0003M Index</stp>
        <stp>PX_LAST</stp>
        <stp>27/06/2018</stp>
        <stp>27/06/2018</stp>
        <stp>[RV_LINE_PRICER.xlsm]FixingTables!R158C9</stp>
        <tr r="I158" s="5"/>
      </tp>
      <tp>
        <v>2.3368799999999998</v>
        <stp/>
        <stp>##V3_BDHV12</stp>
        <stp>US0003M Index</stp>
        <stp>PX_LAST</stp>
        <stp>25/07/2018</stp>
        <stp>25/07/2018</stp>
        <stp>[RV_LINE_PRICER.xlsm]FixingTables!R139C9</stp>
        <tr r="I139" s="5"/>
      </tp>
      <tp>
        <v>2.3371300000000002</v>
        <stp/>
        <stp>##V3_BDHV12</stp>
        <stp>US0003M Index</stp>
        <stp>PX_LAST</stp>
        <stp>14/09/2018</stp>
        <stp>14/09/2018</stp>
        <stp>[RV_LINE_PRICER.xlsm]FixingTables!R104C9</stp>
        <tr r="I104" s="5"/>
      </tp>
      <tp>
        <v>2.3151899999999999</v>
        <stp/>
        <stp>##V3_BDHV12</stp>
        <stp>US0003M Index</stp>
        <stp>PX_LAST</stp>
        <stp>14/08/2018</stp>
        <stp>14/08/2018</stp>
        <stp>[RV_LINE_PRICER.xlsm]FixingTables!R125C9</stp>
        <tr r="I125" s="5"/>
      </tp>
      <tp>
        <v>2.3482500000000002</v>
        <stp/>
        <stp>##V3_BDHV12</stp>
        <stp>US0003M Index</stp>
        <stp>PX_LAST</stp>
        <stp>01/08/2018</stp>
        <stp>01/08/2018</stp>
        <stp>[RV_LINE_PRICER.xlsm]FixingTables!R134C9</stp>
        <tr r="I134" s="5"/>
      </tp>
      <tp t="b">
        <v>0</v>
        <stp/>
        <stp>##V3_BDPV12</stp>
        <stp/>
        <stp>MATURITY</stp>
        <stp>[RV_LINE_PRICER.xlsm]FloatBonds!R24C43</stp>
        <tr r="AQ24" s="18"/>
        <tr r="AQ24" s="18"/>
      </tp>
      <tp t="b">
        <v>0</v>
        <stp/>
        <stp>##V3_BDPV12</stp>
        <stp/>
        <stp>MATURITY</stp>
        <stp>[RV_LINE_PRICER.xlsm]FloatBonds!R25C43</stp>
        <tr r="AQ25" s="18"/>
        <tr r="AQ25" s="18"/>
      </tp>
      <tp t="b">
        <v>0</v>
        <stp/>
        <stp>##V3_BDPV12</stp>
        <stp/>
        <stp>MATURITY</stp>
        <stp>[RV_LINE_PRICER.xlsm]FloatBonds!R26C43</stp>
        <tr r="AQ26" s="18"/>
        <tr r="AQ26" s="18"/>
      </tp>
      <tp t="b">
        <v>0</v>
        <stp/>
        <stp>##V3_BDPV12</stp>
        <stp/>
        <stp>MATURITY</stp>
        <stp>[RV_LINE_PRICER.xlsm]FloatBonds!R20C43</stp>
        <tr r="AQ20" s="18"/>
        <tr r="AQ20" s="18"/>
      </tp>
      <tp t="b">
        <v>0</v>
        <stp/>
        <stp>##V3_BDPV12</stp>
        <stp/>
        <stp>MATURITY</stp>
        <stp>[RV_LINE_PRICER.xlsm]FloatBonds!R21C43</stp>
        <tr r="AQ21" s="18"/>
        <tr r="AQ21" s="18"/>
      </tp>
      <tp t="b">
        <v>0</v>
        <stp/>
        <stp>##V3_BDPV12</stp>
        <stp/>
        <stp>MATURITY</stp>
        <stp>[RV_LINE_PRICER.xlsm]FloatBonds!R22C43</stp>
        <tr r="AQ22" s="18"/>
        <tr r="AQ22" s="18"/>
      </tp>
      <tp t="b">
        <v>0</v>
        <stp/>
        <stp>##V3_BDPV12</stp>
        <stp/>
        <stp>MATURITY</stp>
        <stp>[RV_LINE_PRICER.xlsm]FloatBonds!R23C43</stp>
        <tr r="AQ23" s="18"/>
        <tr r="AQ23" s="18"/>
      </tp>
      <tp t="b">
        <v>0</v>
        <stp/>
        <stp>##V3_BDPV12</stp>
        <stp/>
        <stp>MATURITY</stp>
        <stp>[RV_LINE_PRICER.xlsm]FloatBonds!R18C43</stp>
        <tr r="AQ18" s="18"/>
        <tr r="AQ18" s="18"/>
      </tp>
      <tp t="b">
        <v>0</v>
        <stp/>
        <stp>##V3_BDPV12</stp>
        <stp/>
        <stp>MATURITY</stp>
        <stp>[RV_LINE_PRICER.xlsm]FloatBonds!R19C43</stp>
        <tr r="AQ19" s="18"/>
        <tr r="AQ19" s="18"/>
      </tp>
      <tp t="b">
        <v>0</v>
        <stp/>
        <stp>##V3_BDPV12</stp>
        <stp/>
        <stp>MATURITY</stp>
        <stp>[RV_LINE_PRICER.xlsm]FloatBonds!R14C43</stp>
        <tr r="AQ14" s="18"/>
        <tr r="AQ14" s="18"/>
      </tp>
      <tp t="b">
        <v>0</v>
        <stp/>
        <stp>##V3_BDPV12</stp>
        <stp/>
        <stp>MATURITY</stp>
        <stp>[RV_LINE_PRICER.xlsm]FloatBonds!R15C43</stp>
        <tr r="AQ15" s="18"/>
        <tr r="AQ15" s="18"/>
      </tp>
      <tp t="b">
        <v>0</v>
        <stp/>
        <stp>##V3_BDPV12</stp>
        <stp/>
        <stp>MATURITY</stp>
        <stp>[RV_LINE_PRICER.xlsm]FloatBonds!R16C43</stp>
        <tr r="AQ16" s="18"/>
        <tr r="AQ16" s="18"/>
      </tp>
      <tp t="b">
        <v>0</v>
        <stp/>
        <stp>##V3_BDPV12</stp>
        <stp/>
        <stp>MATURITY</stp>
        <stp>[RV_LINE_PRICER.xlsm]FloatBonds!R17C43</stp>
        <tr r="AQ17" s="18"/>
        <tr r="AQ17" s="18"/>
      </tp>
      <tp t="b">
        <v>0</v>
        <stp/>
        <stp>##V3_BDPV12</stp>
        <stp/>
        <stp>MATURITY</stp>
        <stp>[RV_LINE_PRICER.xlsm]FloatBonds!R12C43</stp>
        <tr r="AQ12" s="18"/>
        <tr r="AQ12" s="18"/>
      </tp>
      <tp t="b">
        <v>0</v>
        <stp/>
        <stp>##V3_BDPV12</stp>
        <stp/>
        <stp>MATURITY</stp>
        <stp>[RV_LINE_PRICER.xlsm]FloatBonds!R13C43</stp>
        <tr r="AQ13" s="18"/>
        <tr r="AQ13" s="18"/>
      </tp>
      <tp>
        <v>-0.26900000000000002</v>
        <stp/>
        <stp>##V3_BDHV12</stp>
        <stp>EUR006M Index</stp>
        <stp>PX_LAST</stp>
        <stp>07/06/2018</stp>
        <stp>07/06/2018</stp>
        <stp>[RV_LINE_PRICER.xlsm]FixingTables!R179C6</stp>
        <tr r="F179" s="5"/>
      </tp>
      <tp>
        <v>-0.27</v>
        <stp/>
        <stp>##V3_BDHV12</stp>
        <stp>EUR006M Index</stp>
        <stp>PX_LAST</stp>
        <stp>06/07/2018</stp>
        <stp>06/07/2018</stp>
        <stp>[RV_LINE_PRICER.xlsm]FixingTables!R158C6</stp>
        <tr r="F158" s="5"/>
      </tp>
      <tp>
        <v>-0.31900000000000001</v>
        <stp/>
        <stp>##V3_BDHV12</stp>
        <stp>EUR003M Index</stp>
        <stp>PX_LAST</stp>
        <stp>29/08/2018</stp>
        <stp>29/08/2018</stp>
        <stp>[RV_LINE_PRICER.xlsm]FixingTables!R120C3</stp>
        <tr r="C120" s="5"/>
      </tp>
      <tp>
        <v>-0.26900000000000002</v>
        <stp/>
        <stp>##V3_BDHV12</stp>
        <stp>EUR006M Index</stp>
        <stp>PX_LAST</stp>
        <stp>04/09/2018</stp>
        <stp>04/09/2018</stp>
        <stp>[RV_LINE_PRICER.xlsm]FixingTables!R116C6</stp>
        <tr r="F116" s="5"/>
      </tp>
      <tp>
        <v>-0.26800000000000002</v>
        <stp/>
        <stp>##V3_BDHV12</stp>
        <stp>EUR006M Index</stp>
        <stp>PX_LAST</stp>
        <stp>06/08/2018</stp>
        <stp>06/08/2018</stp>
        <stp>[RV_LINE_PRICER.xlsm]FixingTables!R137C6</stp>
        <tr r="F137" s="5"/>
      </tp>
      <tp>
        <v>-0.31900000000000001</v>
        <stp/>
        <stp>##V3_BDHV12</stp>
        <stp>EUR003M Index</stp>
        <stp>PX_LAST</stp>
        <stp>07/09/2018</stp>
        <stp>07/09/2018</stp>
        <stp>[RV_LINE_PRICER.xlsm]FixingTables!R113C3</stp>
        <tr r="C113" s="5"/>
      </tp>
      <tp>
        <v>-0.31900000000000001</v>
        <stp/>
        <stp>##V3_BDHV12</stp>
        <stp>EUR003M Index</stp>
        <stp>PX_LAST</stp>
        <stp>25/09/2018</stp>
        <stp>25/09/2018</stp>
        <stp>[RV_LINE_PRICER.xlsm]FixingTables!R101C3</stp>
        <tr r="C101" s="5"/>
      </tp>
      <tp>
        <v>-0.26800000000000002</v>
        <stp/>
        <stp>##V3_BDHV12</stp>
        <stp>EUR006M Index</stp>
        <stp>PX_LAST</stp>
        <stp>17/09/2018</stp>
        <stp>17/09/2018</stp>
        <stp>[RV_LINE_PRICER.xlsm]FixingTables!R107C6</stp>
        <tr r="F107" s="5"/>
      </tp>
      <tp>
        <v>-0.26900000000000002</v>
        <stp/>
        <stp>##V3_BDHV12</stp>
        <stp>EUR006M Index</stp>
        <stp>PX_LAST</stp>
        <stp>19/07/2018</stp>
        <stp>19/07/2018</stp>
        <stp>[RV_LINE_PRICER.xlsm]FixingTables!R149C6</stp>
        <tr r="F149" s="5"/>
      </tp>
      <tp>
        <v>-0.31900000000000001</v>
        <stp/>
        <stp>##V3_BDHV12</stp>
        <stp>EUR003M Index</stp>
        <stp>PX_LAST</stp>
        <stp>10/09/2018</stp>
        <stp>10/09/2018</stp>
        <stp>[RV_LINE_PRICER.xlsm]FixingTables!R112C3</stp>
        <tr r="C112" s="5"/>
      </tp>
      <tp>
        <v>-0.26600000000000001</v>
        <stp/>
        <stp>##V3_BDHV12</stp>
        <stp>EUR006M Index</stp>
        <stp>PX_LAST</stp>
        <stp>22/08/2018</stp>
        <stp>22/08/2018</stp>
        <stp>[RV_LINE_PRICER.xlsm]FixingTables!R125C6</stp>
        <tr r="F125" s="5"/>
      </tp>
      <tp>
        <v>-0.31900000000000001</v>
        <stp/>
        <stp>##V3_BDHV12</stp>
        <stp>EUR003M Index</stp>
        <stp>PX_LAST</stp>
        <stp>10/08/2018</stp>
        <stp>10/08/2018</stp>
        <stp>[RV_LINE_PRICER.xlsm]FixingTables!R133C3</stp>
        <tr r="C133" s="5"/>
      </tp>
      <tp>
        <v>-0.26800000000000002</v>
        <stp/>
        <stp>##V3_BDHV12</stp>
        <stp>EUR006M Index</stp>
        <stp>PX_LAST</stp>
        <stp>20/09/2018</stp>
        <stp>20/09/2018</stp>
        <stp>[RV_LINE_PRICER.xlsm]FixingTables!R104C6</stp>
        <tr r="F104" s="5"/>
      </tp>
      <tp>
        <v>1</v>
        <stp/>
        <stp>##V3_BDPV12</stp>
        <stp>XS1692845396 Corp</stp>
        <stp>CALC_TYP</stp>
        <stp>[RV_LINE_PRICER.xlsm]FixedBonds!R10C216</stp>
        <tr r="HH10" s="1"/>
      </tp>
      <tp>
        <v>2.33725</v>
        <stp/>
        <stp>##V3_BDHV12</stp>
        <stp>US0003M Index</stp>
        <stp>PX_LAST</stp>
        <stp>03/07/2018</stp>
        <stp>03/07/2018</stp>
        <stp>[RV_LINE_PRICER.xlsm]FixingTables!R154C9</stp>
        <tr r="I154" s="5"/>
      </tp>
      <tp>
        <v>2.3138100000000001</v>
        <stp/>
        <stp>##V3_BDHV12</stp>
        <stp>US0003M Index</stp>
        <stp>PX_LAST</stp>
        <stp>04/06/2018</stp>
        <stp>04/06/2018</stp>
        <stp>[RV_LINE_PRICER.xlsm]FixingTables!R175C9</stp>
        <tr r="I175" s="5"/>
      </tp>
      <tp>
        <v>2.3419400000000001</v>
        <stp/>
        <stp>##V3_BDHV12</stp>
        <stp>US0003M Index</stp>
        <stp>PX_LAST</stp>
        <stp>17/07/2018</stp>
        <stp>17/07/2018</stp>
        <stp>[RV_LINE_PRICER.xlsm]FixingTables!R145C9</stp>
        <tr r="I145" s="5"/>
      </tp>
      <tp>
        <v>2.3302499999999999</v>
        <stp/>
        <stp>##V3_BDHV12</stp>
        <stp>US0003M Index</stp>
        <stp>PX_LAST</stp>
        <stp>19/06/2018</stp>
        <stp>19/06/2018</stp>
        <stp>[RV_LINE_PRICER.xlsm]FixingTables!R164C9</stp>
        <tr r="I164" s="5"/>
      </tp>
      <tp>
        <v>2.33738</v>
        <stp/>
        <stp>##V3_BDHV12</stp>
        <stp>US0003M Index</stp>
        <stp>PX_LAST</stp>
        <stp>28/06/2018</stp>
        <stp>28/06/2018</stp>
        <stp>[RV_LINE_PRICER.xlsm]FixingTables!R157C9</stp>
        <tr r="I157" s="5"/>
      </tp>
      <tp>
        <v>2.31175</v>
        <stp/>
        <stp>##V3_BDHV12</stp>
        <stp>US0003M Index</stp>
        <stp>PX_LAST</stp>
        <stp>22/08/2018</stp>
        <stp>22/08/2018</stp>
        <stp>[RV_LINE_PRICER.xlsm]FixingTables!R119C9</stp>
        <tr r="I119" s="5"/>
      </tp>
      <tp>
        <v>-0.32100000000000001</v>
        <stp/>
        <stp>##V3_BDHV12</stp>
        <stp>EUR003M Index</stp>
        <stp>PX_LAST</stp>
        <stp>02/07/2018</stp>
        <stp>02/07/2018</stp>
        <stp>[RV_LINE_PRICER.xlsm]FixingTables!R162C3</stp>
        <tr r="C162" s="5"/>
      </tp>
      <tp>
        <v>-0.32100000000000001</v>
        <stp/>
        <stp>##V3_BDHV12</stp>
        <stp>EUR003M Index</stp>
        <stp>PX_LAST</stp>
        <stp>13/07/2018</stp>
        <stp>13/07/2018</stp>
        <stp>[RV_LINE_PRICER.xlsm]FixingTables!R153C3</stp>
        <tr r="C153" s="5"/>
      </tp>
      <tp>
        <v>-0.31900000000000001</v>
        <stp/>
        <stp>##V3_BDHV12</stp>
        <stp>EUR003M Index</stp>
        <stp>PX_LAST</stp>
        <stp>31/07/2018</stp>
        <stp>31/07/2018</stp>
        <stp>[RV_LINE_PRICER.xlsm]FixingTables!R141C3</stp>
        <tr r="C141" s="5"/>
      </tp>
      <tp>
        <v>-0.26700000000000002</v>
        <stp/>
        <stp>##V3_BDHV12</stp>
        <stp>EUR006M Index</stp>
        <stp>PX_LAST</stp>
        <stp>11/06/2018</stp>
        <stp>11/06/2018</stp>
        <stp>[RV_LINE_PRICER.xlsm]FixingTables!R177C6</stp>
        <tr r="F177" s="5"/>
      </tp>
      <tp>
        <v>-0.26900000000000002</v>
        <stp/>
        <stp>##V3_BDHV12</stp>
        <stp>EUR006M Index</stp>
        <stp>PX_LAST</stp>
        <stp>10/07/2018</stp>
        <stp>10/07/2018</stp>
        <stp>[RV_LINE_PRICER.xlsm]FixingTables!R156C6</stp>
        <tr r="F156" s="5"/>
      </tp>
      <tp>
        <v>-0.26900000000000002</v>
        <stp/>
        <stp>##V3_BDHV12</stp>
        <stp>EUR006M Index</stp>
        <stp>PX_LAST</stp>
        <stp>25/07/2018</stp>
        <stp>25/07/2018</stp>
        <stp>[RV_LINE_PRICER.xlsm]FixingTables!R145C6</stp>
        <tr r="F145" s="5"/>
      </tp>
      <tp>
        <v>1</v>
        <stp/>
        <stp>##V3_BDPV12</stp>
        <stp>USJ46186BC59 Corp</stp>
        <stp>CALC_TYP</stp>
        <stp>[RV_LINE_PRICER.xlsm]XccyFixedBonds!R11C56</stp>
        <tr r="BD11" s="16"/>
        <tr r="BD11" s="16"/>
        <tr r="BD11" s="16"/>
      </tp>
      <tp>
        <v>1</v>
        <stp/>
        <stp>##V3_BDPV12</stp>
        <stp>USJ46186BC59 Corp</stp>
        <stp>CALC_TYP</stp>
        <stp>[RV_LINE_PRICER.xlsm]XccyFixedBonds!R10C56</stp>
        <tr r="BD10" s="16"/>
        <tr r="BD10" s="16"/>
        <tr r="BD10" s="16"/>
      </tp>
      <tp>
        <v>-0.26900000000000002</v>
        <stp/>
        <stp>##V3_BDHV12</stp>
        <stp>EUR006M Index</stp>
        <stp>PX_LAST</stp>
        <stp>14/09/2018</stp>
        <stp>14/09/2018</stp>
        <stp>[RV_LINE_PRICER.xlsm]FixingTables!R108C6</stp>
        <tr r="F108" s="5"/>
      </tp>
      <tp>
        <v>-0.27</v>
        <stp/>
        <stp>##V3_BDHV12</stp>
        <stp>EUR006M Index</stp>
        <stp>PX_LAST</stp>
        <stp>28/06/2018</stp>
        <stp>28/06/2018</stp>
        <stp>[RV_LINE_PRICER.xlsm]FixingTables!R164C6</stp>
        <tr r="F164" s="5"/>
      </tp>
      <tp>
        <v>-0.27</v>
        <stp/>
        <stp>##V3_BDHV12</stp>
        <stp>EUR006M Index</stp>
        <stp>PX_LAST</stp>
        <stp>09/07/2018</stp>
        <stp>09/07/2018</stp>
        <stp>[RV_LINE_PRICER.xlsm]FixingTables!R157C6</stp>
        <tr r="F157" s="5"/>
      </tp>
      <tp>
        <v>-0.26600000000000001</v>
        <stp/>
        <stp>##V3_BDHV12</stp>
        <stp>EUR006M Index</stp>
        <stp>PX_LAST</stp>
        <stp>16/08/2018</stp>
        <stp>16/08/2018</stp>
        <stp>[RV_LINE_PRICER.xlsm]FixingTables!R129C6</stp>
        <tr r="F129" s="5"/>
      </tp>
      <tp>
        <v>-0.32300000000000001</v>
        <stp/>
        <stp>##V3_BDHV12</stp>
        <stp>EUR003M Index</stp>
        <stp>PX_LAST</stp>
        <stp>18/06/2018</stp>
        <stp>18/06/2018</stp>
        <stp>[RV_LINE_PRICER.xlsm]FixingTables!R172C3</stp>
        <tr r="C172" s="5"/>
      </tp>
      <tp>
        <v>-0.26800000000000002</v>
        <stp/>
        <stp>##V3_BDHV12</stp>
        <stp>EUR006M Index</stp>
        <stp>PX_LAST</stp>
        <stp>03/08/2018</stp>
        <stp>03/08/2018</stp>
        <stp>[RV_LINE_PRICER.xlsm]FixingTables!R138C6</stp>
        <tr r="F138" s="5"/>
      </tp>
      <tp>
        <v>2.3431299999999999</v>
        <stp/>
        <stp>##V3_BDHV12</stp>
        <stp>US0003M Index</stp>
        <stp>PX_LAST</stp>
        <stp>30/07/2018</stp>
        <stp>30/07/2018</stp>
        <stp>[RV_LINE_PRICER.xlsm]FixingTables!R136C9</stp>
        <tr r="I136" s="5"/>
      </tp>
      <tp>
        <v>2.3425000000000002</v>
        <stp/>
        <stp>##V3_BDHV12</stp>
        <stp>US0003M Index</stp>
        <stp>PX_LAST</stp>
        <stp>02/07/2018</stp>
        <stp>02/07/2018</stp>
        <stp>[RV_LINE_PRICER.xlsm]FixingTables!R155C9</stp>
        <tr r="I155" s="5"/>
      </tp>
      <tp>
        <v>2.3423799999999999</v>
        <stp/>
        <stp>##V3_BDHV12</stp>
        <stp>US0003M Index</stp>
        <stp>PX_LAST</stp>
        <stp>27/07/2018</stp>
        <stp>27/07/2018</stp>
        <stp>[RV_LINE_PRICER.xlsm]FixingTables!R137C9</stp>
        <tr r="I137" s="5"/>
      </tp>
      <tp>
        <v>2.3191899999999999</v>
        <stp/>
        <stp>##V3_BDHV12</stp>
        <stp>US0003M Index</stp>
        <stp>PX_LAST</stp>
        <stp>05/06/2018</stp>
        <stp>05/06/2018</stp>
        <stp>[RV_LINE_PRICER.xlsm]FixingTables!R174C9</stp>
        <tr r="I174" s="5"/>
      </tp>
      <tp>
        <v>2.3475000000000001</v>
        <stp/>
        <stp>##V3_BDHV12</stp>
        <stp>US0003M Index</stp>
        <stp>PX_LAST</stp>
        <stp>18/07/2018</stp>
        <stp>18/07/2018</stp>
        <stp>[RV_LINE_PRICER.xlsm]FixingTables!R144C9</stp>
        <tr r="I144" s="5"/>
      </tp>
      <tp>
        <v>2.3246899999999999</v>
        <stp/>
        <stp>##V3_BDHV12</stp>
        <stp>US0003M Index</stp>
        <stp>PX_LAST</stp>
        <stp>18/06/2018</stp>
        <stp>18/06/2018</stp>
        <stp>[RV_LINE_PRICER.xlsm]FixingTables!R165C9</stp>
        <tr r="I165" s="5"/>
      </tp>
      <tp>
        <v>2.33575</v>
        <stp/>
        <stp>##V3_BDHV12</stp>
        <stp>US0003M Index</stp>
        <stp>PX_LAST</stp>
        <stp>29/06/2018</stp>
        <stp>29/06/2018</stp>
        <stp>[RV_LINE_PRICER.xlsm]FixingTables!R156C9</stp>
        <tr r="I156" s="5"/>
      </tp>
      <tp>
        <v>2.3113799999999998</v>
        <stp/>
        <stp>##V3_BDHV12</stp>
        <stp>US0003M Index</stp>
        <stp>PX_LAST</stp>
        <stp>23/08/2018</stp>
        <stp>23/08/2018</stp>
        <stp>[RV_LINE_PRICER.xlsm]FixingTables!R118C9</stp>
        <tr r="I118" s="5"/>
      </tp>
      <tp t="s">
        <v>ISMA-30/360</v>
        <stp/>
        <stp>##V3_BDPV12</stp>
        <stp>USJ46186BC59 Corp</stp>
        <stp>DAY_CNT_DES</stp>
        <stp>[RV_LINE_PRICER.xlsm]XccyFixedBonds!R11C54</stp>
        <tr r="BB11" s="16"/>
        <tr r="BB11" s="16"/>
      </tp>
      <tp t="s">
        <v>ISMA-30/360</v>
        <stp/>
        <stp>##V3_BDPV12</stp>
        <stp>USJ46186BC59 Corp</stp>
        <stp>DAY_CNT_DES</stp>
        <stp>[RV_LINE_PRICER.xlsm]XccyFixedBonds!R10C54</stp>
        <tr r="BB10" s="16"/>
        <tr r="BB10" s="16"/>
      </tp>
      <tp t="b">
        <v>0</v>
        <stp/>
        <stp>##V3_BDPV12</stp>
        <stp/>
        <stp>CPN</stp>
        <stp>[RV_LINE_PRICER.xlsm]FloatBonds!R18C44</stp>
        <tr r="AR18" s="18"/>
        <tr r="AR18" s="18"/>
      </tp>
      <tp t="b">
        <v>0</v>
        <stp/>
        <stp>##V3_BDPV12</stp>
        <stp/>
        <stp>CPN</stp>
        <stp>[RV_LINE_PRICER.xlsm]FloatBonds!R19C44</stp>
        <tr r="AR19" s="18"/>
        <tr r="AR19" s="18"/>
      </tp>
      <tp t="b">
        <v>0</v>
        <stp/>
        <stp>##V3_BDPV12</stp>
        <stp/>
        <stp>CPN</stp>
        <stp>[RV_LINE_PRICER.xlsm]FloatBonds!R12C44</stp>
        <tr r="AR12" s="18"/>
        <tr r="AR12" s="18"/>
      </tp>
      <tp t="b">
        <v>0</v>
        <stp/>
        <stp>##V3_BDPV12</stp>
        <stp/>
        <stp>CPN</stp>
        <stp>[RV_LINE_PRICER.xlsm]FloatBonds!R13C44</stp>
        <tr r="AR13" s="18"/>
        <tr r="AR13" s="18"/>
      </tp>
      <tp t="b">
        <v>0</v>
        <stp/>
        <stp>##V3_BDPV12</stp>
        <stp/>
        <stp>CPN</stp>
        <stp>[RV_LINE_PRICER.xlsm]FloatBonds!R14C44</stp>
        <tr r="AR14" s="18"/>
        <tr r="AR14" s="18"/>
      </tp>
      <tp t="b">
        <v>0</v>
        <stp/>
        <stp>##V3_BDPV12</stp>
        <stp/>
        <stp>CPN</stp>
        <stp>[RV_LINE_PRICER.xlsm]FloatBonds!R15C44</stp>
        <tr r="AR15" s="18"/>
        <tr r="AR15" s="18"/>
      </tp>
      <tp t="b">
        <v>0</v>
        <stp/>
        <stp>##V3_BDPV12</stp>
        <stp/>
        <stp>CPN</stp>
        <stp>[RV_LINE_PRICER.xlsm]FloatBonds!R16C44</stp>
        <tr r="AR16" s="18"/>
        <tr r="AR16" s="18"/>
      </tp>
      <tp t="b">
        <v>0</v>
        <stp/>
        <stp>##V3_BDPV12</stp>
        <stp/>
        <stp>CPN</stp>
        <stp>[RV_LINE_PRICER.xlsm]FloatBonds!R17C44</stp>
        <tr r="AR17" s="18"/>
        <tr r="AR17" s="18"/>
      </tp>
      <tp t="b">
        <v>0</v>
        <stp/>
        <stp>##V3_BDPV12</stp>
        <stp/>
        <stp>CPN</stp>
        <stp>[RV_LINE_PRICER.xlsm]FloatBonds!R20C44</stp>
        <tr r="AR20" s="18"/>
        <tr r="AR20" s="18"/>
      </tp>
      <tp t="b">
        <v>0</v>
        <stp/>
        <stp>##V3_BDPV12</stp>
        <stp/>
        <stp>CPN</stp>
        <stp>[RV_LINE_PRICER.xlsm]FloatBonds!R21C44</stp>
        <tr r="AR21" s="18"/>
        <tr r="AR21" s="18"/>
      </tp>
      <tp t="b">
        <v>0</v>
        <stp/>
        <stp>##V3_BDPV12</stp>
        <stp/>
        <stp>CPN</stp>
        <stp>[RV_LINE_PRICER.xlsm]FloatBonds!R22C44</stp>
        <tr r="AR22" s="18"/>
        <tr r="AR22" s="18"/>
      </tp>
      <tp t="b">
        <v>0</v>
        <stp/>
        <stp>##V3_BDPV12</stp>
        <stp/>
        <stp>CPN</stp>
        <stp>[RV_LINE_PRICER.xlsm]FloatBonds!R23C44</stp>
        <tr r="AR23" s="18"/>
        <tr r="AR23" s="18"/>
      </tp>
      <tp t="b">
        <v>0</v>
        <stp/>
        <stp>##V3_BDPV12</stp>
        <stp/>
        <stp>CPN</stp>
        <stp>[RV_LINE_PRICER.xlsm]FloatBonds!R24C44</stp>
        <tr r="AR24" s="18"/>
        <tr r="AR24" s="18"/>
      </tp>
      <tp t="b">
        <v>0</v>
        <stp/>
        <stp>##V3_BDPV12</stp>
        <stp/>
        <stp>CPN</stp>
        <stp>[RV_LINE_PRICER.xlsm]FloatBonds!R25C44</stp>
        <tr r="AR25" s="18"/>
        <tr r="AR25" s="18"/>
      </tp>
      <tp t="b">
        <v>0</v>
        <stp/>
        <stp>##V3_BDPV12</stp>
        <stp/>
        <stp>CPN</stp>
        <stp>[RV_LINE_PRICER.xlsm]FloatBonds!R26C44</stp>
        <tr r="AR26" s="18"/>
        <tr r="AR26" s="18"/>
      </tp>
      <tp>
        <v>-0.32300000000000001</v>
        <stp/>
        <stp>##V3_BDHV12</stp>
        <stp>EUR003M Index</stp>
        <stp>PX_LAST</stp>
        <stp>20/06/2018</stp>
        <stp>20/06/2018</stp>
        <stp>[RV_LINE_PRICER.xlsm]FixingTables!R170C3</stp>
        <tr r="C170" s="5"/>
      </tp>
      <tp>
        <v>-0.26700000000000002</v>
        <stp/>
        <stp>##V3_BDHV12</stp>
        <stp>EUR006M Index</stp>
        <stp>PX_LAST</stp>
        <stp>12/06/2018</stp>
        <stp>12/06/2018</stp>
        <stp>[RV_LINE_PRICER.xlsm]FixingTables!R176C6</stp>
        <tr r="F176" s="5"/>
      </tp>
      <tp>
        <v>-0.32100000000000001</v>
        <stp/>
        <stp>##V3_BDHV12</stp>
        <stp>EUR003M Index</stp>
        <stp>PX_LAST</stp>
        <stp>16/07/2018</stp>
        <stp>16/07/2018</stp>
        <stp>[RV_LINE_PRICER.xlsm]FixingTables!R152C3</stp>
        <tr r="C152" s="5"/>
      </tp>
      <tp>
        <v>-0.32100000000000001</v>
        <stp/>
        <stp>##V3_BDHV12</stp>
        <stp>EUR003M Index</stp>
        <stp>PX_LAST</stp>
        <stp>04/06/2018</stp>
        <stp>04/06/2018</stp>
        <stp>[RV_LINE_PRICER.xlsm]FixingTables!R182C3</stp>
        <tr r="C182" s="5"/>
      </tp>
      <tp>
        <v>-0.32100000000000001</v>
        <stp/>
        <stp>##V3_BDHV12</stp>
        <stp>EUR003M Index</stp>
        <stp>PX_LAST</stp>
        <stp>15/06/2018</stp>
        <stp>15/06/2018</stp>
        <stp>[RV_LINE_PRICER.xlsm]FixingTables!R173C3</stp>
        <tr r="C173" s="5"/>
      </tp>
      <tp>
        <v>-0.27</v>
        <stp/>
        <stp>##V3_BDHV12</stp>
        <stp>EUR006M Index</stp>
        <stp>PX_LAST</stp>
        <stp>27/06/2018</stp>
        <stp>27/06/2018</stp>
        <stp>[RV_LINE_PRICER.xlsm]FixingTables!R165C6</stp>
        <tr r="F165" s="5"/>
      </tp>
      <tp>
        <v>-0.26900000000000002</v>
        <stp/>
        <stp>##V3_BDHV12</stp>
        <stp>EUR006M Index</stp>
        <stp>PX_LAST</stp>
        <stp>26/07/2018</stp>
        <stp>26/07/2018</stp>
        <stp>[RV_LINE_PRICER.xlsm]FixingTables!R144C6</stp>
        <tr r="F144" s="5"/>
      </tp>
      <tp>
        <v>-0.26600000000000001</v>
        <stp/>
        <stp>##V3_BDHV12</stp>
        <stp>EUR006M Index</stp>
        <stp>PX_LAST</stp>
        <stp>17/08/2018</stp>
        <stp>17/08/2018</stp>
        <stp>[RV_LINE_PRICER.xlsm]FixingTables!R128C6</stp>
        <tr r="F128" s="5"/>
      </tp>
      <tp>
        <v>-0.26900000000000002</v>
        <stp/>
        <stp>##V3_BDHV12</stp>
        <stp>EUR006M Index</stp>
        <stp>PX_LAST</stp>
        <stp>02/08/2018</stp>
        <stp>02/08/2018</stp>
        <stp>[RV_LINE_PRICER.xlsm]FixingTables!R139C6</stp>
        <tr r="F139" s="5"/>
      </tp>
      <tp>
        <v>-0.26900000000000002</v>
        <stp/>
        <stp>##V3_BDHV12</stp>
        <stp>EUR006M Index</stp>
        <stp>PX_LAST</stp>
        <stp>13/09/2018</stp>
        <stp>13/09/2018</stp>
        <stp>[RV_LINE_PRICER.xlsm]FixingTables!R109C6</stp>
        <tr r="F109" s="5"/>
      </tp>
      <tp>
        <v>2.32125</v>
        <stp/>
        <stp>##V3_BDHV12</stp>
        <stp>US0003M Index</stp>
        <stp>PX_LAST</stp>
        <stp>31/05/2018</stp>
        <stp>31/05/2018</stp>
        <stp>[RV_LINE_PRICER.xlsm]FixingTables!R177C9</stp>
        <tr r="I177" s="5"/>
      </tp>
      <tp>
        <v>2.34856</v>
        <stp/>
        <stp>##V3_BDHV12</stp>
        <stp>US0003M Index</stp>
        <stp>PX_LAST</stp>
        <stp>31/07/2018</stp>
        <stp>31/07/2018</stp>
        <stp>[RV_LINE_PRICER.xlsm]FixingTables!R135C9</stp>
        <tr r="I135" s="5"/>
      </tp>
      <tp>
        <v>2.3359999999999999</v>
        <stp/>
        <stp>##V3_BDHV12</stp>
        <stp>US0003M Index</stp>
        <stp>PX_LAST</stp>
        <stp>13/07/2018</stp>
        <stp>13/07/2018</stp>
        <stp>[RV_LINE_PRICER.xlsm]FixingTables!R147C9</stp>
        <tr r="I147" s="5"/>
      </tp>
      <tp>
        <v>2.3259400000000001</v>
        <stp/>
        <stp>##V3_BDHV12</stp>
        <stp>US0003M Index</stp>
        <stp>PX_LAST</stp>
        <stp>15/06/2018</stp>
        <stp>15/06/2018</stp>
        <stp>[RV_LINE_PRICER.xlsm]FixingTables!R166C9</stp>
        <tr r="I166" s="5"/>
      </tp>
      <tp>
        <v>2.3405</v>
        <stp/>
        <stp>##V3_BDHV12</stp>
        <stp>US0003M Index</stp>
        <stp>PX_LAST</stp>
        <stp>08/08/2018</stp>
        <stp>08/08/2018</stp>
        <stp>[RV_LINE_PRICER.xlsm]FixingTables!R129C9</stp>
        <tr r="I129" s="5"/>
      </tp>
      <tp t="s">
        <v>15/01/2016</v>
        <stp/>
        <stp>##V3_BDPV12</stp>
        <stp>XS1344710857 Corp</stp>
        <stp>ISSUE_DT</stp>
        <stp>[RV_LINE_PRICER.xlsm]XccyFixedBondSingle!R20C22</stp>
        <tr r="V20" s="21"/>
        <tr r="V20" s="21"/>
      </tp>
      <tp t="b">
        <v>0</v>
        <stp/>
        <stp>##V3_BDPV12</stp>
        <stp/>
        <stp>CPN_FREQ</stp>
        <stp>[RV_LINE_PRICER.xlsm]FixedBonds!R23C41</stp>
        <tr r="AO23" s="1"/>
        <tr r="AO23" s="1"/>
      </tp>
      <tp t="b">
        <v>0</v>
        <stp/>
        <stp>##V3_BDPV12</stp>
        <stp/>
        <stp>CPN_FREQ</stp>
        <stp>[RV_LINE_PRICER.xlsm]FixedBonds!R22C41</stp>
        <tr r="AO22" s="1"/>
        <tr r="AO22" s="1"/>
      </tp>
      <tp t="b">
        <v>0</v>
        <stp/>
        <stp>##V3_BDPV12</stp>
        <stp/>
        <stp>CPN_FREQ</stp>
        <stp>[RV_LINE_PRICER.xlsm]FixedBonds!R21C41</stp>
        <tr r="AO21" s="1"/>
        <tr r="AO21" s="1"/>
      </tp>
      <tp t="b">
        <v>0</v>
        <stp/>
        <stp>##V3_BDPV12</stp>
        <stp/>
        <stp>CPN_FREQ</stp>
        <stp>[RV_LINE_PRICER.xlsm]FixedBonds!R20C41</stp>
        <tr r="AO20" s="1"/>
        <tr r="AO20" s="1"/>
      </tp>
      <tp t="b">
        <v>0</v>
        <stp/>
        <stp>##V3_BDPV12</stp>
        <stp/>
        <stp>CPN_FREQ</stp>
        <stp>[RV_LINE_PRICER.xlsm]FixedBonds!R26C41</stp>
        <tr r="AO26" s="1"/>
        <tr r="AO26" s="1"/>
      </tp>
      <tp t="b">
        <v>0</v>
        <stp/>
        <stp>##V3_BDPV12</stp>
        <stp/>
        <stp>CPN_FREQ</stp>
        <stp>[RV_LINE_PRICER.xlsm]FixedBonds!R25C41</stp>
        <tr r="AO25" s="1"/>
        <tr r="AO25" s="1"/>
      </tp>
      <tp t="b">
        <v>0</v>
        <stp/>
        <stp>##V3_BDPV12</stp>
        <stp/>
        <stp>CPN_FREQ</stp>
        <stp>[RV_LINE_PRICER.xlsm]FixedBonds!R24C41</stp>
        <tr r="AO24" s="1"/>
        <tr r="AO24" s="1"/>
      </tp>
      <tp t="b">
        <v>0</v>
        <stp/>
        <stp>##V3_BDPV12</stp>
        <stp/>
        <stp>CPN_FREQ</stp>
        <stp>[RV_LINE_PRICER.xlsm]FixedBonds!R19C41</stp>
        <tr r="AO19" s="1"/>
        <tr r="AO19" s="1"/>
      </tp>
      <tp t="b">
        <v>0</v>
        <stp/>
        <stp>##V3_BDPV12</stp>
        <stp/>
        <stp>CPN_FREQ</stp>
        <stp>[RV_LINE_PRICER.xlsm]FixedBonds!R18C41</stp>
        <tr r="AO18" s="1"/>
        <tr r="AO18" s="1"/>
      </tp>
      <tp t="b">
        <v>0</v>
        <stp/>
        <stp>##V3_BDPV12</stp>
        <stp/>
        <stp>CPN_FREQ</stp>
        <stp>[RV_LINE_PRICER.xlsm]FixedBonds!R13C41</stp>
        <tr r="AO13" s="1"/>
        <tr r="AO13" s="1"/>
      </tp>
      <tp t="b">
        <v>0</v>
        <stp/>
        <stp>##V3_BDPV12</stp>
        <stp/>
        <stp>CPN_FREQ</stp>
        <stp>[RV_LINE_PRICER.xlsm]FixedBonds!R12C41</stp>
        <tr r="AO12" s="1"/>
        <tr r="AO12" s="1"/>
      </tp>
      <tp t="b">
        <v>0</v>
        <stp/>
        <stp>##V3_BDPV12</stp>
        <stp/>
        <stp>CPN_FREQ</stp>
        <stp>[RV_LINE_PRICER.xlsm]FixedBonds!R17C41</stp>
        <tr r="AO17" s="1"/>
        <tr r="AO17" s="1"/>
      </tp>
      <tp t="b">
        <v>0</v>
        <stp/>
        <stp>##V3_BDPV12</stp>
        <stp/>
        <stp>CPN_FREQ</stp>
        <stp>[RV_LINE_PRICER.xlsm]FixedBonds!R16C41</stp>
        <tr r="AO16" s="1"/>
        <tr r="AO16" s="1"/>
      </tp>
      <tp t="b">
        <v>0</v>
        <stp/>
        <stp>##V3_BDPV12</stp>
        <stp/>
        <stp>CPN_FREQ</stp>
        <stp>[RV_LINE_PRICER.xlsm]FixedBonds!R15C41</stp>
        <tr r="AO15" s="1"/>
        <tr r="AO15" s="1"/>
      </tp>
      <tp t="b">
        <v>0</v>
        <stp/>
        <stp>##V3_BDPV12</stp>
        <stp/>
        <stp>CPN_FREQ</stp>
        <stp>[RV_LINE_PRICER.xlsm]FixedBonds!R14C41</stp>
        <tr r="AO14" s="1"/>
        <tr r="AO14" s="1"/>
      </tp>
      <tp t="s">
        <v>04/11/2014</v>
        <stp/>
        <stp>##V3_BDPV12</stp>
        <stp>US05565QCT31 Corp</stp>
        <stp>START_ACC_DT</stp>
        <stp>[RV_LINE_PRICER.xlsm]FloatBondSingle!R21C9</stp>
        <tr r="I21" s="23"/>
        <tr r="I21" s="23"/>
      </tp>
      <tp>
        <v>-0.26800000000000002</v>
        <stp/>
        <stp>##V3_BDHV12</stp>
        <stp>EUR006M Index</stp>
        <stp>PX_LAST</stp>
        <stp>13/06/2018</stp>
        <stp>13/06/2018</stp>
        <stp>[RV_LINE_PRICER.xlsm]FixingTables!R175C6</stp>
        <tr r="F175" s="5"/>
      </tp>
      <tp>
        <v>-0.27100000000000002</v>
        <stp/>
        <stp>##V3_BDHV12</stp>
        <stp>EUR006M Index</stp>
        <stp>PX_LAST</stp>
        <stp>12/07/2018</stp>
        <stp>12/07/2018</stp>
        <stp>[RV_LINE_PRICER.xlsm]FixingTables!R154C6</stp>
        <tr r="F154" s="5"/>
      </tp>
      <tp>
        <v>-0.26900000000000002</v>
        <stp/>
        <stp>##V3_BDHV12</stp>
        <stp>EUR006M Index</stp>
        <stp>PX_LAST</stp>
        <stp>23/07/2018</stp>
        <stp>23/07/2018</stp>
        <stp>[RV_LINE_PRICER.xlsm]FixingTables!R147C6</stp>
        <tr r="F147" s="5"/>
      </tp>
      <tp>
        <v>-0.32100000000000001</v>
        <stp/>
        <stp>##V3_BDHV12</stp>
        <stp>EUR003M Index</stp>
        <stp>PX_LAST</stp>
        <stp>17/07/2018</stp>
        <stp>17/07/2018</stp>
        <stp>[RV_LINE_PRICER.xlsm]FixingTables!R151C3</stp>
        <tr r="C151" s="5"/>
      </tp>
      <tp>
        <v>-0.27</v>
        <stp/>
        <stp>##V3_BDHV12</stp>
        <stp>EUR006M Index</stp>
        <stp>PX_LAST</stp>
        <stp>26/06/2018</stp>
        <stp>26/06/2018</stp>
        <stp>[RV_LINE_PRICER.xlsm]FixingTables!R166C6</stp>
        <tr r="F166" s="5"/>
      </tp>
      <tp>
        <v>-0.32100000000000001</v>
        <stp/>
        <stp>##V3_BDHV12</stp>
        <stp>EUR003M Index</stp>
        <stp>PX_LAST</stp>
        <stp>04/07/2018</stp>
        <stp>04/07/2018</stp>
        <stp>[RV_LINE_PRICER.xlsm]FixingTables!R160C3</stp>
        <tr r="C160" s="5"/>
      </tp>
      <tp>
        <v>-0.32200000000000001</v>
        <stp/>
        <stp>##V3_BDHV12</stp>
        <stp>EUR003M Index</stp>
        <stp>PX_LAST</stp>
        <stp>05/06/2018</stp>
        <stp>05/06/2018</stp>
        <stp>[RV_LINE_PRICER.xlsm]FixingTables!R181C3</stp>
        <tr r="C181" s="5"/>
      </tp>
      <tp>
        <v>-0.32100000000000001</v>
        <stp/>
        <stp>##V3_BDHV12</stp>
        <stp>EUR003M Index</stp>
        <stp>PX_LAST</stp>
        <stp>29/06/2018</stp>
        <stp>29/06/2018</stp>
        <stp>[RV_LINE_PRICER.xlsm]FixingTables!R163C3</stp>
        <tr r="C163" s="5"/>
      </tp>
      <tp t="s">
        <v>26/09/2024</v>
        <stp/>
        <stp>##V3_BDPV12</stp>
        <stp>USJ46186BC59 Corp</stp>
        <stp>PENULTIMATE_CPN_DT</stp>
        <stp>[RV_LINE_PRICER.xlsm]XccyFixedBonds!R8C45</stp>
        <tr r="AS8" s="16"/>
        <tr r="AS8" s="16"/>
      </tp>
      <tp t="s">
        <v>26/09/2024</v>
        <stp/>
        <stp>##V3_BDPV12</stp>
        <stp>USJ46186BC59 Corp</stp>
        <stp>PENULTIMATE_CPN_DT</stp>
        <stp>[RV_LINE_PRICER.xlsm]XccyFixedBonds!R9C45</stp>
        <tr r="AS9" s="16"/>
        <tr r="AS9" s="16"/>
      </tp>
      <tp t="s">
        <v>26/09/2024</v>
        <stp/>
        <stp>##V3_BDPV12</stp>
        <stp>USJ46186BC59 Corp</stp>
        <stp>PENULTIMATE_CPN_DT</stp>
        <stp>[RV_LINE_PRICER.xlsm]XccyFixedBonds!R7C45</stp>
        <tr r="AS7" s="16"/>
        <tr r="AS7" s="16"/>
      </tp>
      <tp>
        <v>-0.26800000000000002</v>
        <stp/>
        <stp>##V3_BDHV12</stp>
        <stp>EUR006M Index</stp>
        <stp>PX_LAST</stp>
        <stp>30/08/2018</stp>
        <stp>30/08/2018</stp>
        <stp>[RV_LINE_PRICER.xlsm]FixingTables!R119C6</stp>
        <tr r="F119" s="5"/>
      </tp>
      <tp t="s">
        <v>15/07/2025</v>
        <stp/>
        <stp>##V3_BDPV12</stp>
        <stp>XS1344710857 Corp</stp>
        <stp>PENULTIMATE_CPN_DT</stp>
        <stp>[RV_LINE_PRICER.xlsm]XccyFixedBondSingle!R23C22</stp>
        <tr r="V23" s="21"/>
        <tr r="V23" s="21"/>
      </tp>
      <tp>
        <v>2.3178100000000001</v>
        <stp/>
        <stp>##V3_BDHV12</stp>
        <stp>US0003M Index</stp>
        <stp>PX_LAST</stp>
        <stp>01/06/2018</stp>
        <stp>01/06/2018</stp>
        <stp>[RV_LINE_PRICER.xlsm]FixingTables!R176C9</stp>
        <tr r="I176" s="5"/>
      </tp>
      <tp>
        <v>2.3346900000000002</v>
        <stp/>
        <stp>##V3_BDHV12</stp>
        <stp>US0003M Index</stp>
        <stp>PX_LAST</stp>
        <stp>14/06/2018</stp>
        <stp>14/06/2018</stp>
        <stp>[RV_LINE_PRICER.xlsm]FixingTables!R167C9</stp>
        <tr r="I167" s="5"/>
      </tp>
      <tp>
        <v>2.33263</v>
        <stp/>
        <stp>##V3_BDHV12</stp>
        <stp>US0003M Index</stp>
        <stp>PX_LAST</stp>
        <stp>16/07/2018</stp>
        <stp>16/07/2018</stp>
        <stp>[RV_LINE_PRICER.xlsm]FixingTables!R146C9</stp>
        <tr r="I146" s="5"/>
      </tp>
      <tp>
        <v>2.3380000000000001</v>
        <stp/>
        <stp>##V3_BDHV12</stp>
        <stp>US0003M Index</stp>
        <stp>PX_LAST</stp>
        <stp>09/08/2018</stp>
        <stp>09/08/2018</stp>
        <stp>[RV_LINE_PRICER.xlsm]FixingTables!R128C9</stp>
        <tr r="I128" s="5"/>
      </tp>
      <tp>
        <v>2.3312499999999998</v>
        <stp/>
        <stp>##V3_BDHV12</stp>
        <stp>US0003M Index</stp>
        <stp>PX_LAST</stp>
        <stp>07/09/2018</stp>
        <stp>07/09/2018</stp>
        <stp>[RV_LINE_PRICER.xlsm]FixingTables!R109C9</stp>
        <tr r="I109" s="5"/>
      </tp>
      <tp>
        <v>1</v>
        <stp/>
        <stp>##V3_BDPV12</stp>
        <stp>XS0367001228 Corp</stp>
        <stp>CPN_FREQ</stp>
        <stp>[RV_LINE_PRICER.xlsm]FixedBonds!R11C41</stp>
        <tr r="AO11" s="1"/>
      </tp>
      <tp>
        <v>2.3342499999999999</v>
        <stp/>
        <stp>##V3_BDHV12</stp>
        <stp>US0003M Index</stp>
        <stp>PX_LAST</stp>
        <stp>10/09/2018</stp>
        <stp>10/09/2018</stp>
        <stp>[RV_LINE_PRICER.xlsm]FixingTables!R108C9</stp>
        <tr r="I108" s="5"/>
      </tp>
      <tp t="s">
        <v>FIXED</v>
        <stp/>
        <stp>##V3_BDPV12</stp>
        <stp>XS1344710857 Corp</stp>
        <stp>CPN_TYP</stp>
        <stp>[RV_LINE_PRICER.xlsm]XccyFixedBondSingle!R11C22</stp>
        <tr r="V11" s="21"/>
        <tr r="V11" s="21"/>
      </tp>
      <tp>
        <v>97.512</v>
        <stp/>
        <stp>##V3_BDPV12</stp>
        <stp>USJ46186BC59 BGN Corp</stp>
        <stp>PX_LAST</stp>
        <stp>[RV_LINE_PRICER.xlsm]XccyFixedBonds!R10C12</stp>
        <tr r="L10" s="16"/>
      </tp>
      <tp>
        <v>97.512</v>
        <stp/>
        <stp>##V3_BDPV12</stp>
        <stp>USJ46186BC59 BGN Corp</stp>
        <stp>PX_LAST</stp>
        <stp>[RV_LINE_PRICER.xlsm]XccyFixedBonds!R11C12</stp>
        <tr r="L11" s="16"/>
      </tp>
      <tp t="s">
        <v>26/03/2015</v>
        <stp/>
        <stp>##V3_BDPV12</stp>
        <stp>USJ46186BC59 Corp</stp>
        <stp>START_ACC_DT</stp>
        <stp>[RV_LINE_PRICER.xlsm]XccyFixedBondSingle!R21C9</stp>
        <tr r="I21" s="21"/>
        <tr r="I21" s="21"/>
      </tp>
      <tp>
        <v>-0.32100000000000001</v>
        <stp/>
        <stp>##V3_BDHV12</stp>
        <stp>EUR003M Index</stp>
        <stp>PX_LAST</stp>
        <stp>03/07/2018</stp>
        <stp>03/07/2018</stp>
        <stp>[RV_LINE_PRICER.xlsm]FixingTables!R161C3</stp>
        <tr r="C161" s="5"/>
      </tp>
      <tp>
        <v>-0.31900000000000001</v>
        <stp/>
        <stp>##V3_BDHV12</stp>
        <stp>EUR003M Index</stp>
        <stp>PX_LAST</stp>
        <stp>30/07/2018</stp>
        <stp>30/07/2018</stp>
        <stp>[RV_LINE_PRICER.xlsm]FixingTables!R142C3</stp>
        <tr r="C142" s="5"/>
      </tp>
      <tp>
        <v>-0.27100000000000002</v>
        <stp/>
        <stp>##V3_BDHV12</stp>
        <stp>EUR006M Index</stp>
        <stp>PX_LAST</stp>
        <stp>11/07/2018</stp>
        <stp>11/07/2018</stp>
        <stp>[RV_LINE_PRICER.xlsm]FixingTables!R155C6</stp>
        <tr r="F155" s="5"/>
      </tp>
      <tp>
        <v>-0.32100000000000001</v>
        <stp/>
        <stp>##V3_BDHV12</stp>
        <stp>EUR003M Index</stp>
        <stp>PX_LAST</stp>
        <stp>06/06/2018</stp>
        <stp>06/06/2018</stp>
        <stp>[RV_LINE_PRICER.xlsm]FixingTables!R180C3</stp>
        <tr r="C180" s="5"/>
      </tp>
      <tp>
        <v>-0.26900000000000002</v>
        <stp/>
        <stp>##V3_BDHV12</stp>
        <stp>EUR006M Index</stp>
        <stp>PX_LAST</stp>
        <stp>25/06/2018</stp>
        <stp>25/06/2018</stp>
        <stp>[RV_LINE_PRICER.xlsm]FixingTables!R167C6</stp>
        <tr r="F167" s="5"/>
      </tp>
      <tp>
        <v>-0.26900000000000002</v>
        <stp/>
        <stp>##V3_BDHV12</stp>
        <stp>EUR006M Index</stp>
        <stp>PX_LAST</stp>
        <stp>24/07/2018</stp>
        <stp>24/07/2018</stp>
        <stp>[RV_LINE_PRICER.xlsm]FixingTables!R146C6</stp>
        <tr r="F146" s="5"/>
      </tp>
      <tp>
        <v>-0.32</v>
        <stp/>
        <stp>##V3_BDHV12</stp>
        <stp>EUR003M Index</stp>
        <stp>PX_LAST</stp>
        <stp>27/07/2018</stp>
        <stp>27/07/2018</stp>
        <stp>[RV_LINE_PRICER.xlsm]FixingTables!R143C3</stp>
        <tr r="C143" s="5"/>
      </tp>
      <tp>
        <v>-0.26800000000000002</v>
        <stp/>
        <stp>##V3_BDHV12</stp>
        <stp>EUR006M Index</stp>
        <stp>PX_LAST</stp>
        <stp>14/06/2018</stp>
        <stp>14/06/2018</stp>
        <stp>[RV_LINE_PRICER.xlsm]FixingTables!R174C6</stp>
        <tr r="F174" s="5"/>
      </tp>
      <tp>
        <v>-0.32100000000000001</v>
        <stp/>
        <stp>##V3_BDHV12</stp>
        <stp>EUR003M Index</stp>
        <stp>PX_LAST</stp>
        <stp>18/07/2018</stp>
        <stp>18/07/2018</stp>
        <stp>[RV_LINE_PRICER.xlsm]FixingTables!R150C3</stp>
        <tr r="C150" s="5"/>
      </tp>
      <tp>
        <v>-0.32300000000000001</v>
        <stp/>
        <stp>##V3_BDHV12</stp>
        <stp>EUR003M Index</stp>
        <stp>PX_LAST</stp>
        <stp>19/06/2018</stp>
        <stp>19/06/2018</stp>
        <stp>[RV_LINE_PRICER.xlsm]FixingTables!R171C3</stp>
        <tr r="C171" s="5"/>
      </tp>
      <tp>
        <v>-0.26800000000000002</v>
        <stp/>
        <stp>##V3_BDHV12</stp>
        <stp>EUR006M Index</stp>
        <stp>PX_LAST</stp>
        <stp>31/08/2018</stp>
        <stp>31/08/2018</stp>
        <stp>[RV_LINE_PRICER.xlsm]FixingTables!R118C6</stp>
        <tr r="F118" s="5"/>
      </tp>
      <tp t="s">
        <v>26/03/2025</v>
        <stp/>
        <stp>##V3_BDPV12</stp>
        <stp>USJ46186BC59 Corp</stp>
        <stp>MATURITY</stp>
        <stp>[RV_LINE_PRICER.xlsm]XccyFixedBonds!R10C46</stp>
        <tr r="AT10" s="16"/>
        <tr r="AT10" s="16"/>
      </tp>
      <tp t="s">
        <v>26/03/2025</v>
        <stp/>
        <stp>##V3_BDPV12</stp>
        <stp>USJ46186BC59 Corp</stp>
        <stp>MATURITY</stp>
        <stp>[RV_LINE_PRICER.xlsm]XccyFixedBonds!R11C46</stp>
        <tr r="AT11" s="16"/>
        <tr r="AT11" s="16"/>
      </tp>
      <tp>
        <v>2.33263</v>
        <stp/>
        <stp>##V3_BDHV12</stp>
        <stp>US0003M Index</stp>
        <stp>PX_LAST</stp>
        <stp>11/06/2018</stp>
        <stp>11/06/2018</stp>
        <stp>[RV_LINE_PRICER.xlsm]FixingTables!R170C9</stp>
        <tr r="I170" s="5"/>
      </tp>
      <tp>
        <v>2.33188</v>
        <stp/>
        <stp>##V3_BDHV12</stp>
        <stp>US0003M Index</stp>
        <stp>PX_LAST</stp>
        <stp>20/06/2018</stp>
        <stp>20/06/2018</stp>
        <stp>[RV_LINE_PRICER.xlsm]FixingTables!R163C9</stp>
        <tr r="I163" s="5"/>
      </tp>
      <tp>
        <v>2.3415599999999999</v>
        <stp/>
        <stp>##V3_BDHV12</stp>
        <stp>US0003M Index</stp>
        <stp>PX_LAST</stp>
        <stp>20/07/2018</stp>
        <stp>20/07/2018</stp>
        <stp>[RV_LINE_PRICER.xlsm]FixingTables!R142C9</stp>
        <tr r="I142" s="5"/>
      </tp>
      <tp>
        <v>2.31813</v>
        <stp/>
        <stp>##V3_BDHV12</stp>
        <stp>US0003M Index</stp>
        <stp>PX_LAST</stp>
        <stp>25/05/2018</stp>
        <stp>25/05/2018</stp>
        <stp>[RV_LINE_PRICER.xlsm]FixingTables!R180C9</stp>
        <tr r="I180" s="5"/>
      </tp>
      <tp>
        <v>2.3263099999999999</v>
        <stp/>
        <stp>##V3_BDHV12</stp>
        <stp>US0003M Index</stp>
        <stp>PX_LAST</stp>
        <stp>08/06/2018</stp>
        <stp>08/06/2018</stp>
        <stp>[RV_LINE_PRICER.xlsm]FixingTables!R171C9</stp>
        <tr r="I171" s="5"/>
      </tp>
      <tp>
        <v>-0.26800000000000002</v>
        <stp/>
        <stp>##V3_BDHV12</stp>
        <stp>EUR006M Index</stp>
        <stp>PX_LAST</stp>
        <stp>20/06/2018</stp>
        <stp>20/06/2018</stp>
        <stp>[RV_LINE_PRICER.xlsm]FixingTables!R170C6</stp>
        <tr r="F170" s="5"/>
      </tp>
      <tp>
        <v>-0.32100000000000001</v>
        <stp/>
        <stp>##V3_BDHV12</stp>
        <stp>EUR003M Index</stp>
        <stp>PX_LAST</stp>
        <stp>12/06/2018</stp>
        <stp>12/06/2018</stp>
        <stp>[RV_LINE_PRICER.xlsm]FixingTables!R176C3</stp>
        <tr r="C176" s="5"/>
      </tp>
      <tp>
        <v>-0.26900000000000002</v>
        <stp/>
        <stp>##V3_BDHV12</stp>
        <stp>EUR006M Index</stp>
        <stp>PX_LAST</stp>
        <stp>16/07/2018</stp>
        <stp>16/07/2018</stp>
        <stp>[RV_LINE_PRICER.xlsm]FixingTables!R152C6</stp>
        <tr r="F152" s="5"/>
      </tp>
      <tp>
        <v>-0.26800000000000002</v>
        <stp/>
        <stp>##V3_BDHV12</stp>
        <stp>EUR006M Index</stp>
        <stp>PX_LAST</stp>
        <stp>15/06/2018</stp>
        <stp>15/06/2018</stp>
        <stp>[RV_LINE_PRICER.xlsm]FixingTables!R173C6</stp>
        <tr r="F173" s="5"/>
      </tp>
      <tp>
        <v>-0.26900000000000002</v>
        <stp/>
        <stp>##V3_BDHV12</stp>
        <stp>EUR006M Index</stp>
        <stp>PX_LAST</stp>
        <stp>04/06/2018</stp>
        <stp>04/06/2018</stp>
        <stp>[RV_LINE_PRICER.xlsm]FixingTables!R182C6</stp>
        <tr r="F182" s="5"/>
      </tp>
      <tp>
        <v>-0.32</v>
        <stp/>
        <stp>##V3_BDHV12</stp>
        <stp>EUR003M Index</stp>
        <stp>PX_LAST</stp>
        <stp>26/07/2018</stp>
        <stp>26/07/2018</stp>
        <stp>[RV_LINE_PRICER.xlsm]FixingTables!R144C3</stp>
        <tr r="C144" s="5"/>
      </tp>
      <tp>
        <v>-0.32400000000000001</v>
        <stp/>
        <stp>##V3_BDHV12</stp>
        <stp>EUR003M Index</stp>
        <stp>PX_LAST</stp>
        <stp>27/06/2018</stp>
        <stp>27/06/2018</stp>
        <stp>[RV_LINE_PRICER.xlsm]FixingTables!R165C3</stp>
        <tr r="C165" s="5"/>
      </tp>
      <tp>
        <v>-0.31900000000000001</v>
        <stp/>
        <stp>##V3_BDHV12</stp>
        <stp>EUR003M Index</stp>
        <stp>PX_LAST</stp>
        <stp>17/08/2018</stp>
        <stp>17/08/2018</stp>
        <stp>[RV_LINE_PRICER.xlsm]FixingTables!R128C3</stp>
        <tr r="C128" s="5"/>
      </tp>
      <tp>
        <v>-0.31900000000000001</v>
        <stp/>
        <stp>##V3_BDHV12</stp>
        <stp>EUR003M Index</stp>
        <stp>PX_LAST</stp>
        <stp>02/08/2018</stp>
        <stp>02/08/2018</stp>
        <stp>[RV_LINE_PRICER.xlsm]FixingTables!R139C3</stp>
        <tr r="C139" s="5"/>
      </tp>
      <tp>
        <v>-0.31900000000000001</v>
        <stp/>
        <stp>##V3_BDHV12</stp>
        <stp>EUR003M Index</stp>
        <stp>PX_LAST</stp>
        <stp>13/09/2018</stp>
        <stp>13/09/2018</stp>
        <stp>[RV_LINE_PRICER.xlsm]FixingTables!R109C3</stp>
        <tr r="C109" s="5"/>
      </tp>
      <tp>
        <v>2.33744</v>
        <stp/>
        <stp>##V3_BDHV12</stp>
        <stp>US0003M Index</stp>
        <stp>PX_LAST</stp>
        <stp>10/07/2018</stp>
        <stp>10/07/2018</stp>
        <stp>[RV_LINE_PRICER.xlsm]FixingTables!R150C9</stp>
        <tr r="I150" s="5"/>
      </tp>
      <tp>
        <v>2.3350599999999999</v>
        <stp/>
        <stp>##V3_BDHV12</stp>
        <stp>US0003M Index</stp>
        <stp>PX_LAST</stp>
        <stp>21/06/2018</stp>
        <stp>21/06/2018</stp>
        <stp>[RV_LINE_PRICER.xlsm]FixingTables!R162C9</stp>
        <tr r="I162" s="5"/>
      </tp>
      <tp>
        <v>2.3193799999999998</v>
        <stp/>
        <stp>##V3_BDHV12</stp>
        <stp>US0003M Index</stp>
        <stp>PX_LAST</stp>
        <stp>24/05/2018</stp>
        <stp>24/05/2018</stp>
        <stp>[RV_LINE_PRICER.xlsm]FixingTables!R181C9</stp>
        <tr r="I181" s="5"/>
      </tp>
      <tp>
        <v>2.3331300000000001</v>
        <stp/>
        <stp>##V3_BDHV12</stp>
        <stp>US0003M Index</stp>
        <stp>PX_LAST</stp>
        <stp>09/07/2018</stp>
        <stp>09/07/2018</stp>
        <stp>[RV_LINE_PRICER.xlsm]FixingTables!R151C9</stp>
        <tr r="I151" s="5"/>
      </tp>
      <tp>
        <v>-0.26800000000000002</v>
        <stp/>
        <stp>##V3_BDHV12</stp>
        <stp>EUR006M Index</stp>
        <stp>PX_LAST</stp>
        <stp>13/07/2018</stp>
        <stp>13/07/2018</stp>
        <stp>[RV_LINE_PRICER.xlsm]FixingTables!R153C6</stp>
        <tr r="F153" s="5"/>
      </tp>
      <tp>
        <v>-0.26900000000000002</v>
        <stp/>
        <stp>##V3_BDHV12</stp>
        <stp>EUR006M Index</stp>
        <stp>PX_LAST</stp>
        <stp>02/07/2018</stp>
        <stp>02/07/2018</stp>
        <stp>[RV_LINE_PRICER.xlsm]FixingTables!R162C6</stp>
        <tr r="F162" s="5"/>
      </tp>
      <tp>
        <v>-0.26800000000000002</v>
        <stp/>
        <stp>##V3_BDHV12</stp>
        <stp>EUR006M Index</stp>
        <stp>PX_LAST</stp>
        <stp>31/07/2018</stp>
        <stp>31/07/2018</stp>
        <stp>[RV_LINE_PRICER.xlsm]FixingTables!R141C6</stp>
        <tr r="F141" s="5"/>
      </tp>
      <tp>
        <v>-0.32100000000000001</v>
        <stp/>
        <stp>##V3_BDHV12</stp>
        <stp>EUR003M Index</stp>
        <stp>PX_LAST</stp>
        <stp>10/07/2018</stp>
        <stp>10/07/2018</stp>
        <stp>[RV_LINE_PRICER.xlsm]FixingTables!R156C3</stp>
        <tr r="C156" s="5"/>
      </tp>
      <tp>
        <v>-0.32100000000000001</v>
        <stp/>
        <stp>##V3_BDHV12</stp>
        <stp>EUR003M Index</stp>
        <stp>PX_LAST</stp>
        <stp>11/06/2018</stp>
        <stp>11/06/2018</stp>
        <stp>[RV_LINE_PRICER.xlsm]FixingTables!R177C3</stp>
        <tr r="C177" s="5"/>
      </tp>
      <tp>
        <v>-0.32100000000000001</v>
        <stp/>
        <stp>##V3_BDHV12</stp>
        <stp>EUR003M Index</stp>
        <stp>PX_LAST</stp>
        <stp>25/07/2018</stp>
        <stp>25/07/2018</stp>
        <stp>[RV_LINE_PRICER.xlsm]FixingTables!R145C3</stp>
        <tr r="C145" s="5"/>
      </tp>
      <tp>
        <v>-0.31900000000000001</v>
        <stp/>
        <stp>##V3_BDHV12</stp>
        <stp>EUR003M Index</stp>
        <stp>PX_LAST</stp>
        <stp>14/09/2018</stp>
        <stp>14/09/2018</stp>
        <stp>[RV_LINE_PRICER.xlsm]FixingTables!R108C3</stp>
        <tr r="C108" s="5"/>
      </tp>
      <tp>
        <v>-0.32400000000000001</v>
        <stp/>
        <stp>##V3_BDHV12</stp>
        <stp>EUR003M Index</stp>
        <stp>PX_LAST</stp>
        <stp>28/06/2018</stp>
        <stp>28/06/2018</stp>
        <stp>[RV_LINE_PRICER.xlsm]FixingTables!R164C3</stp>
        <tr r="C164" s="5"/>
      </tp>
      <tp>
        <v>-0.32100000000000001</v>
        <stp/>
        <stp>##V3_BDHV12</stp>
        <stp>EUR003M Index</stp>
        <stp>PX_LAST</stp>
        <stp>09/07/2018</stp>
        <stp>09/07/2018</stp>
        <stp>[RV_LINE_PRICER.xlsm]FixingTables!R157C3</stp>
        <tr r="C157" s="5"/>
      </tp>
      <tp>
        <v>-0.31900000000000001</v>
        <stp/>
        <stp>##V3_BDHV12</stp>
        <stp>EUR003M Index</stp>
        <stp>PX_LAST</stp>
        <stp>16/08/2018</stp>
        <stp>16/08/2018</stp>
        <stp>[RV_LINE_PRICER.xlsm]FixingTables!R129C3</stp>
        <tr r="C129" s="5"/>
      </tp>
      <tp>
        <v>-0.26800000000000002</v>
        <stp/>
        <stp>##V3_BDHV12</stp>
        <stp>EUR006M Index</stp>
        <stp>PX_LAST</stp>
        <stp>18/06/2018</stp>
        <stp>18/06/2018</stp>
        <stp>[RV_LINE_PRICER.xlsm]FixingTables!R172C6</stp>
        <tr r="F172" s="5"/>
      </tp>
      <tp>
        <v>1</v>
        <stp/>
        <stp>##V3_BDPV12</stp>
        <stp>XS1344710857 Corp</stp>
        <stp>CALC_TYP</stp>
        <stp>[RV_LINE_PRICER.xlsm]XccyFixedBonds!R8C227</stp>
        <tr r="HS8" s="16"/>
        <tr r="HS8" s="16"/>
        <tr r="HS8" s="16"/>
      </tp>
      <tp>
        <v>1</v>
        <stp/>
        <stp>##V3_BDPV12</stp>
        <stp>XS1344710857 Corp</stp>
        <stp>CALC_TYP</stp>
        <stp>[RV_LINE_PRICER.xlsm]XccyFixedBonds!R9C227</stp>
        <tr r="HS9" s="16"/>
        <tr r="HS9" s="16"/>
        <tr r="HS9" s="16"/>
      </tp>
      <tp>
        <v>1</v>
        <stp/>
        <stp>##V3_BDPV12</stp>
        <stp>XS1344710857 Corp</stp>
        <stp>CALC_TYP</stp>
        <stp>[RV_LINE_PRICER.xlsm]XccyFixedBonds!R7C227</stp>
        <tr r="HS7" s="16"/>
        <tr r="HS7" s="16"/>
        <tr r="HS7" s="16"/>
      </tp>
      <tp>
        <v>-0.31900000000000001</v>
        <stp/>
        <stp>##V3_BDHV12</stp>
        <stp>EUR003M Index</stp>
        <stp>PX_LAST</stp>
        <stp>03/08/2018</stp>
        <stp>03/08/2018</stp>
        <stp>[RV_LINE_PRICER.xlsm]FixingTables!R138C3</stp>
        <tr r="C138" s="5"/>
      </tp>
      <tp>
        <v>2.3388800000000001</v>
        <stp/>
        <stp>##V3_BDHV12</stp>
        <stp>US0003M Index</stp>
        <stp>PX_LAST</stp>
        <stp>22/06/2018</stp>
        <stp>22/06/2018</stp>
        <stp>[RV_LINE_PRICER.xlsm]FixingTables!R161C9</stp>
        <tr r="I161" s="5"/>
      </tp>
      <tp>
        <v>2.33</v>
        <stp/>
        <stp>##V3_BDHV12</stp>
        <stp>US0003M Index</stp>
        <stp>PX_LAST</stp>
        <stp>23/05/2018</stp>
        <stp>23/05/2018</stp>
        <stp>[RV_LINE_PRICER.xlsm]FixingTables!R182C9</stp>
        <tr r="I182" s="5"/>
      </tp>
      <tp>
        <v>2.3208799999999998</v>
        <stp/>
        <stp>##V3_BDHV12</stp>
        <stp>US0003M Index</stp>
        <stp>PX_LAST</stp>
        <stp>06/06/2018</stp>
        <stp>06/06/2018</stp>
        <stp>[RV_LINE_PRICER.xlsm]FixingTables!R173C9</stp>
        <tr r="I173" s="5"/>
      </tp>
      <tp>
        <v>2.3348800000000001</v>
        <stp/>
        <stp>##V3_BDHV12</stp>
        <stp>US0003M Index</stp>
        <stp>PX_LAST</stp>
        <stp>24/07/2018</stp>
        <stp>24/07/2018</stp>
        <stp>[RV_LINE_PRICER.xlsm]FixingTables!R140C9</stp>
        <tr r="I140" s="5"/>
      </tp>
      <tp>
        <v>2.3314400000000002</v>
        <stp/>
        <stp>##V3_BDHV12</stp>
        <stp>US0003M Index</stp>
        <stp>PX_LAST</stp>
        <stp>06/07/2018</stp>
        <stp>06/07/2018</stp>
        <stp>[RV_LINE_PRICER.xlsm]FixingTables!R152C9</stp>
        <tr r="I152" s="5"/>
      </tp>
      <tp>
        <v>2.3470599999999999</v>
        <stp/>
        <stp>##V3_BDHV12</stp>
        <stp>US0003M Index</stp>
        <stp>PX_LAST</stp>
        <stp>19/07/2018</stp>
        <stp>19/07/2018</stp>
        <stp>[RV_LINE_PRICER.xlsm]FixingTables!R143C9</stp>
        <tr r="I143" s="5"/>
      </tp>
      <tp>
        <v>3.92</v>
        <stp/>
        <stp>##V3_BDPV12</stp>
        <stp>XS1344710857 Corp</stp>
        <stp>CPN</stp>
        <stp>[RV_LINE_PRICER.xlsm]XccyFixedBonds!R7C218</stp>
        <tr r="HJ7" s="16"/>
        <tr r="HJ7" s="16"/>
      </tp>
      <tp>
        <v>3.92</v>
        <stp/>
        <stp>##V3_BDPV12</stp>
        <stp>XS1344710857 Corp</stp>
        <stp>CPN</stp>
        <stp>[RV_LINE_PRICER.xlsm]XccyFixedBonds!R8C218</stp>
        <tr r="HJ8" s="16"/>
        <tr r="HJ8" s="16"/>
      </tp>
      <tp>
        <v>3.92</v>
        <stp/>
        <stp>##V3_BDPV12</stp>
        <stp>XS1344710857 Corp</stp>
        <stp>CPN</stp>
        <stp>[RV_LINE_PRICER.xlsm]XccyFixedBonds!R9C218</stp>
        <tr r="HJ9" s="16"/>
        <tr r="HJ9" s="16"/>
      </tp>
      <tp t="s">
        <v>15/01/2026</v>
        <stp/>
        <stp>##V3_BDPV12</stp>
        <stp>XS1344710857 Corp</stp>
        <stp>MATURITY</stp>
        <stp>[RV_LINE_PRICER.xlsm]XccyFixedBondSingle!R24C22</stp>
        <tr r="V24" s="21"/>
        <tr r="V24" s="21"/>
      </tp>
      <tp>
        <v>-0.27</v>
        <stp/>
        <stp>##V3_BDHV12</stp>
        <stp>EUR006M Index</stp>
        <stp>PX_LAST</stp>
        <stp>03/07/2018</stp>
        <stp>03/07/2018</stp>
        <stp>[RV_LINE_PRICER.xlsm]FixingTables!R161C6</stp>
        <tr r="F161" s="5"/>
      </tp>
      <tp>
        <v>-0.26800000000000002</v>
        <stp/>
        <stp>##V3_BDHV12</stp>
        <stp>EUR006M Index</stp>
        <stp>PX_LAST</stp>
        <stp>30/07/2018</stp>
        <stp>30/07/2018</stp>
        <stp>[RV_LINE_PRICER.xlsm]FixingTables!R142C6</stp>
        <tr r="F142" s="5"/>
      </tp>
      <tp>
        <v>-0.32100000000000001</v>
        <stp/>
        <stp>##V3_BDHV12</stp>
        <stp>EUR003M Index</stp>
        <stp>PX_LAST</stp>
        <stp>11/07/2018</stp>
        <stp>11/07/2018</stp>
        <stp>[RV_LINE_PRICER.xlsm]FixingTables!R155C3</stp>
        <tr r="C155" s="5"/>
      </tp>
      <tp>
        <v>-0.26900000000000002</v>
        <stp/>
        <stp>##V3_BDHV12</stp>
        <stp>EUR006M Index</stp>
        <stp>PX_LAST</stp>
        <stp>06/06/2018</stp>
        <stp>06/06/2018</stp>
        <stp>[RV_LINE_PRICER.xlsm]FixingTables!R180C6</stp>
        <tr r="F180" s="5"/>
      </tp>
      <tp>
        <v>-0.32100000000000001</v>
        <stp/>
        <stp>##V3_BDHV12</stp>
        <stp>EUR003M Index</stp>
        <stp>PX_LAST</stp>
        <stp>24/07/2018</stp>
        <stp>24/07/2018</stp>
        <stp>[RV_LINE_PRICER.xlsm]FixingTables!R146C3</stp>
        <tr r="C146" s="5"/>
      </tp>
      <tp>
        <v>-0.32400000000000001</v>
        <stp/>
        <stp>##V3_BDHV12</stp>
        <stp>EUR003M Index</stp>
        <stp>PX_LAST</stp>
        <stp>25/06/2018</stp>
        <stp>25/06/2018</stp>
        <stp>[RV_LINE_PRICER.xlsm]FixingTables!R167C3</stp>
        <tr r="C167" s="5"/>
      </tp>
      <tp>
        <v>-0.26900000000000002</v>
        <stp/>
        <stp>##V3_BDHV12</stp>
        <stp>EUR006M Index</stp>
        <stp>PX_LAST</stp>
        <stp>27/07/2018</stp>
        <stp>27/07/2018</stp>
        <stp>[RV_LINE_PRICER.xlsm]FixingTables!R143C6</stp>
        <tr r="F143" s="5"/>
      </tp>
      <tp>
        <v>-0.32100000000000001</v>
        <stp/>
        <stp>##V3_BDHV12</stp>
        <stp>EUR003M Index</stp>
        <stp>PX_LAST</stp>
        <stp>14/06/2018</stp>
        <stp>14/06/2018</stp>
        <stp>[RV_LINE_PRICER.xlsm]FixingTables!R174C3</stp>
        <tr r="C174" s="5"/>
      </tp>
      <tp>
        <v>-0.26800000000000002</v>
        <stp/>
        <stp>##V3_BDHV12</stp>
        <stp>EUR006M Index</stp>
        <stp>PX_LAST</stp>
        <stp>19/06/2018</stp>
        <stp>19/06/2018</stp>
        <stp>[RV_LINE_PRICER.xlsm]FixingTables!R171C6</stp>
        <tr r="F171" s="5"/>
      </tp>
      <tp>
        <v>-0.26900000000000002</v>
        <stp/>
        <stp>##V3_BDHV12</stp>
        <stp>EUR006M Index</stp>
        <stp>PX_LAST</stp>
        <stp>18/07/2018</stp>
        <stp>18/07/2018</stp>
        <stp>[RV_LINE_PRICER.xlsm]FixingTables!R150C6</stp>
        <tr r="F150" s="5"/>
      </tp>
      <tp>
        <v>-0.31900000000000001</v>
        <stp/>
        <stp>##V3_BDHV12</stp>
        <stp>EUR003M Index</stp>
        <stp>PX_LAST</stp>
        <stp>31/08/2018</stp>
        <stp>31/08/2018</stp>
        <stp>[RV_LINE_PRICER.xlsm]FixingTables!R118C3</stp>
        <tr r="C118" s="5"/>
      </tp>
      <tp t="s">
        <v>15/01/2026</v>
        <stp/>
        <stp>##V3_BDPV12</stp>
        <stp>XS1344710857 Corp</stp>
        <stp>MATURITY</stp>
        <stp>[RV_LINE_PRICER.xlsm]XccyFixedBonds!R9C217</stp>
        <tr r="HI9" s="16"/>
        <tr r="HI9" s="16"/>
      </tp>
      <tp t="s">
        <v>15/01/2026</v>
        <stp/>
        <stp>##V3_BDPV12</stp>
        <stp>XS1344710857 Corp</stp>
        <stp>MATURITY</stp>
        <stp>[RV_LINE_PRICER.xlsm]XccyFixedBonds!R8C217</stp>
        <tr r="HI8" s="16"/>
        <tr r="HI8" s="16"/>
      </tp>
      <tp t="s">
        <v>15/01/2026</v>
        <stp/>
        <stp>##V3_BDPV12</stp>
        <stp>XS1344710857 Corp</stp>
        <stp>MATURITY</stp>
        <stp>[RV_LINE_PRICER.xlsm]XccyFixedBonds!R7C217</stp>
        <tr r="HI7" s="16"/>
        <tr r="HI7" s="16"/>
      </tp>
      <tp>
        <v>2.3353099999999998</v>
        <stp/>
        <stp>##V3_BDHV12</stp>
        <stp>US0003M Index</stp>
        <stp>PX_LAST</stp>
        <stp>23/07/2018</stp>
        <stp>23/07/2018</stp>
        <stp>[RV_LINE_PRICER.xlsm]FixingTables!R141C9</stp>
        <tr r="I141" s="5"/>
      </tp>
      <tp>
        <v>2.3386300000000002</v>
        <stp/>
        <stp>##V3_BDHV12</stp>
        <stp>US0003M Index</stp>
        <stp>PX_LAST</stp>
        <stp>05/07/2018</stp>
        <stp>05/07/2018</stp>
        <stp>[RV_LINE_PRICER.xlsm]FixingTables!R153C9</stp>
        <tr r="I153" s="5"/>
      </tp>
      <tp>
        <v>2.3370000000000002</v>
        <stp/>
        <stp>##V3_BDHV12</stp>
        <stp>US0003M Index</stp>
        <stp>PX_LAST</stp>
        <stp>25/06/2018</stp>
        <stp>25/06/2018</stp>
        <stp>[RV_LINE_PRICER.xlsm]FixingTables!R160C9</stp>
        <tr r="I160" s="5"/>
      </tp>
      <tp>
        <v>2.3271299999999999</v>
        <stp/>
        <stp>##V3_BDHV12</stp>
        <stp>US0003M Index</stp>
        <stp>PX_LAST</stp>
        <stp>07/06/2018</stp>
        <stp>07/06/2018</stp>
        <stp>[RV_LINE_PRICER.xlsm]FixingTables!R172C9</stp>
        <tr r="I172" s="5"/>
      </tp>
      <tp t="s">
        <v>26/09/2024</v>
        <stp/>
        <stp>##V3_BDPV12</stp>
        <stp>USJ46186BC59 Corp</stp>
        <stp>PENULTIMATE_CPN_DT</stp>
        <stp>[RV_LINE_PRICER.xlsm]XccyFixedBonds!R11C45</stp>
        <tr r="AS11" s="16"/>
        <tr r="AS11" s="16"/>
      </tp>
      <tp t="s">
        <v>26/09/2024</v>
        <stp/>
        <stp>##V3_BDPV12</stp>
        <stp>USJ46186BC59 Corp</stp>
        <stp>PENULTIMATE_CPN_DT</stp>
        <stp>[RV_LINE_PRICER.xlsm]XccyFixedBonds!R10C45</stp>
        <tr r="AS10" s="16"/>
        <tr r="AS10" s="16"/>
      </tp>
      <tp>
        <v>60</v>
        <stp/>
        <stp>##V3_BDPV12</stp>
        <stp>XS1193905160 Corp</stp>
        <stp>FLT_SPREAD</stp>
        <stp>[RV_LINE_PRICER.xlsm]FloatBonds!R10C222</stp>
        <tr r="HN10" s="18"/>
      </tp>
      <tp>
        <v>60</v>
        <stp/>
        <stp>##V3_BDPV12</stp>
        <stp>XS1193905160 Corp</stp>
        <stp>FLT_SPREAD</stp>
        <stp>[RV_LINE_PRICER.xlsm]FloatBonds!R11C222</stp>
        <tr r="HN11" s="18"/>
      </tp>
      <tp t="b">
        <v>0</v>
        <stp/>
        <stp>##V3_BDPV12</stp>
        <stp/>
        <stp>FLT_SPREAD</stp>
        <stp>[RV_LINE_PRICER.xlsm]FloatBonds!R24C222</stp>
        <tr r="HN24" s="18"/>
        <tr r="HN24" s="18"/>
      </tp>
      <tp t="b">
        <v>0</v>
        <stp/>
        <stp>##V3_BDPV12</stp>
        <stp/>
        <stp>FLT_SPREAD</stp>
        <stp>[RV_LINE_PRICER.xlsm]FloatBonds!R25C222</stp>
        <tr r="HN25" s="18"/>
        <tr r="HN25" s="18"/>
      </tp>
      <tp t="b">
        <v>0</v>
        <stp/>
        <stp>##V3_BDPV12</stp>
        <stp/>
        <stp>FLT_SPREAD</stp>
        <stp>[RV_LINE_PRICER.xlsm]FloatBonds!R26C222</stp>
        <tr r="HN26" s="18"/>
        <tr r="HN26" s="18"/>
      </tp>
      <tp t="b">
        <v>0</v>
        <stp/>
        <stp>##V3_BDPV12</stp>
        <stp/>
        <stp>FLT_SPREAD</stp>
        <stp>[RV_LINE_PRICER.xlsm]FloatBonds!R20C222</stp>
        <tr r="HN20" s="18"/>
        <tr r="HN20" s="18"/>
      </tp>
      <tp t="b">
        <v>0</v>
        <stp/>
        <stp>##V3_BDPV12</stp>
        <stp/>
        <stp>FLT_SPREAD</stp>
        <stp>[RV_LINE_PRICER.xlsm]FloatBonds!R21C222</stp>
        <tr r="HN21" s="18"/>
        <tr r="HN21" s="18"/>
      </tp>
      <tp t="b">
        <v>0</v>
        <stp/>
        <stp>##V3_BDPV12</stp>
        <stp/>
        <stp>FLT_SPREAD</stp>
        <stp>[RV_LINE_PRICER.xlsm]FloatBonds!R22C222</stp>
        <tr r="HN22" s="18"/>
        <tr r="HN22" s="18"/>
      </tp>
      <tp t="b">
        <v>0</v>
        <stp/>
        <stp>##V3_BDPV12</stp>
        <stp/>
        <stp>FLT_SPREAD</stp>
        <stp>[RV_LINE_PRICER.xlsm]FloatBonds!R23C222</stp>
        <tr r="HN23" s="18"/>
        <tr r="HN23" s="18"/>
      </tp>
      <tp t="b">
        <v>0</v>
        <stp/>
        <stp>##V3_BDPV12</stp>
        <stp/>
        <stp>FLT_SPREAD</stp>
        <stp>[RV_LINE_PRICER.xlsm]FloatBonds!R18C222</stp>
        <tr r="HN18" s="18"/>
        <tr r="HN18" s="18"/>
      </tp>
      <tp t="b">
        <v>0</v>
        <stp/>
        <stp>##V3_BDPV12</stp>
        <stp/>
        <stp>FLT_SPREAD</stp>
        <stp>[RV_LINE_PRICER.xlsm]FloatBonds!R19C222</stp>
        <tr r="HN19" s="18"/>
        <tr r="HN19" s="18"/>
      </tp>
      <tp t="b">
        <v>0</v>
        <stp/>
        <stp>##V3_BDPV12</stp>
        <stp/>
        <stp>FLT_SPREAD</stp>
        <stp>[RV_LINE_PRICER.xlsm]FloatBonds!R14C222</stp>
        <tr r="HN14" s="18"/>
        <tr r="HN14" s="18"/>
      </tp>
      <tp t="b">
        <v>0</v>
        <stp/>
        <stp>##V3_BDPV12</stp>
        <stp/>
        <stp>FLT_SPREAD</stp>
        <stp>[RV_LINE_PRICER.xlsm]FloatBonds!R15C222</stp>
        <tr r="HN15" s="18"/>
        <tr r="HN15" s="18"/>
      </tp>
      <tp t="b">
        <v>0</v>
        <stp/>
        <stp>##V3_BDPV12</stp>
        <stp/>
        <stp>FLT_SPREAD</stp>
        <stp>[RV_LINE_PRICER.xlsm]FloatBonds!R16C222</stp>
        <tr r="HN16" s="18"/>
        <tr r="HN16" s="18"/>
      </tp>
      <tp t="b">
        <v>0</v>
        <stp/>
        <stp>##V3_BDPV12</stp>
        <stp/>
        <stp>FLT_SPREAD</stp>
        <stp>[RV_LINE_PRICER.xlsm]FloatBonds!R17C222</stp>
        <tr r="HN17" s="18"/>
        <tr r="HN17" s="18"/>
      </tp>
      <tp t="b">
        <v>0</v>
        <stp/>
        <stp>##V3_BDPV12</stp>
        <stp/>
        <stp>FLT_SPREAD</stp>
        <stp>[RV_LINE_PRICER.xlsm]FloatBonds!R12C222</stp>
        <tr r="HN12" s="18"/>
        <tr r="HN12" s="18"/>
      </tp>
      <tp t="b">
        <v>0</v>
        <stp/>
        <stp>##V3_BDPV12</stp>
        <stp/>
        <stp>FLT_SPREAD</stp>
        <stp>[RV_LINE_PRICER.xlsm]FloatBonds!R13C222</stp>
        <tr r="HN13" s="18"/>
        <tr r="HN13" s="18"/>
      </tp>
      <tp>
        <v>-0.32100000000000001</v>
        <stp/>
        <stp>##V3_BDHV12</stp>
        <stp>EUR003M Index</stp>
        <stp>PX_LAST</stp>
        <stp>12/07/2018</stp>
        <stp>12/07/2018</stp>
        <stp>[RV_LINE_PRICER.xlsm]FixingTables!R154C3</stp>
        <tr r="C154" s="5"/>
      </tp>
      <tp>
        <v>-0.32100000000000001</v>
        <stp/>
        <stp>##V3_BDHV12</stp>
        <stp>EUR003M Index</stp>
        <stp>PX_LAST</stp>
        <stp>13/06/2018</stp>
        <stp>13/06/2018</stp>
        <stp>[RV_LINE_PRICER.xlsm]FixingTables!R175C3</stp>
        <tr r="C175" s="5"/>
      </tp>
      <tp>
        <v>-0.32100000000000001</v>
        <stp/>
        <stp>##V3_BDHV12</stp>
        <stp>EUR003M Index</stp>
        <stp>PX_LAST</stp>
        <stp>23/07/2018</stp>
        <stp>23/07/2018</stp>
        <stp>[RV_LINE_PRICER.xlsm]FixingTables!R147C3</stp>
        <tr r="C147" s="5"/>
      </tp>
      <tp>
        <v>-0.26900000000000002</v>
        <stp/>
        <stp>##V3_BDHV12</stp>
        <stp>EUR006M Index</stp>
        <stp>PX_LAST</stp>
        <stp>17/07/2018</stp>
        <stp>17/07/2018</stp>
        <stp>[RV_LINE_PRICER.xlsm]FixingTables!R151C6</stp>
        <tr r="F151" s="5"/>
      </tp>
      <tp>
        <v>-0.32300000000000001</v>
        <stp/>
        <stp>##V3_BDHV12</stp>
        <stp>EUR003M Index</stp>
        <stp>PX_LAST</stp>
        <stp>26/06/2018</stp>
        <stp>26/06/2018</stp>
        <stp>[RV_LINE_PRICER.xlsm]FixingTables!R166C3</stp>
        <tr r="C166" s="5"/>
      </tp>
      <tp>
        <v>-0.26900000000000002</v>
        <stp/>
        <stp>##V3_BDHV12</stp>
        <stp>EUR006M Index</stp>
        <stp>PX_LAST</stp>
        <stp>05/06/2018</stp>
        <stp>05/06/2018</stp>
        <stp>[RV_LINE_PRICER.xlsm]FixingTables!R181C6</stp>
        <tr r="F181" s="5"/>
      </tp>
      <tp>
        <v>-0.26900000000000002</v>
        <stp/>
        <stp>##V3_BDHV12</stp>
        <stp>EUR006M Index</stp>
        <stp>PX_LAST</stp>
        <stp>04/07/2018</stp>
        <stp>04/07/2018</stp>
        <stp>[RV_LINE_PRICER.xlsm]FixingTables!R160C6</stp>
        <tr r="F160" s="5"/>
      </tp>
      <tp>
        <v>-0.27</v>
        <stp/>
        <stp>##V3_BDHV12</stp>
        <stp>EUR006M Index</stp>
        <stp>PX_LAST</stp>
        <stp>29/06/2018</stp>
        <stp>29/06/2018</stp>
        <stp>[RV_LINE_PRICER.xlsm]FixingTables!R163C6</stp>
        <tr r="F163" s="5"/>
      </tp>
      <tp>
        <v>-0.31900000000000001</v>
        <stp/>
        <stp>##V3_BDHV12</stp>
        <stp>EUR003M Index</stp>
        <stp>PX_LAST</stp>
        <stp>30/08/2018</stp>
        <stp>30/08/2018</stp>
        <stp>[RV_LINE_PRICER.xlsm]FixingTables!R119C3</stp>
        <tr r="C119" s="5"/>
      </tp>
      <tp t="s">
        <v>FIXED</v>
        <stp/>
        <stp>##V3_BDPV12</stp>
        <stp>XS1615075048 Corp</stp>
        <stp>CPN_TYP</stp>
        <stp>[RV_LINE_PRICER.xlsm]FixedBonds!R9C193</stp>
        <tr r="GK9" s="1"/>
      </tp>
    </main>
    <main first="bloomberg.rtd">
      <tp t="s">
        <v>29/06/2016</v>
        <stp/>
        <stp>##V3_BDPV12</stp>
        <stp>XS1339542364 Corp</stp>
        <stp>FIRST_CPN_DT</stp>
        <stp>[RV_LINE_PRICER.xlsm]FixedBondSingle!R22C22</stp>
        <tr r="V22" s="22"/>
      </tp>
      <tp>
        <v>99.709000000000003</v>
        <stp/>
        <stp>##V3_BDPV12</stp>
        <stp>US05565QCT31 Corp BGN Corp</stp>
        <stp>PX_LAST</stp>
        <stp>[RV_LINE_PRICER.xlsm]FloatBonds!R8C12</stp>
        <tr r="L8" s="18"/>
      </tp>
      <tp>
        <v>99.709000000000003</v>
        <stp/>
        <stp>##V3_BDPV12</stp>
        <stp>US05565QCT31 Corp BGN Corp</stp>
        <stp>PX_LAST</stp>
        <stp>[RV_LINE_PRICER.xlsm]FloatBonds!R9C12</stp>
        <tr r="L9" s="18"/>
      </tp>
      <tp>
        <v>99.709000000000003</v>
        <stp/>
        <stp>##V3_BDPV12</stp>
        <stp>US05565QCT31 Corp BGN Corp</stp>
        <stp>PX_LAST</stp>
        <stp>[RV_LINE_PRICER.xlsm]FloatBonds!R7C12</stp>
        <tr r="L7" s="18"/>
      </tp>
      <tp>
        <v>2.14</v>
        <stp/>
        <stp>##V3_BDHV12</stp>
        <stp>ADBB6M Index</stp>
        <stp>PX_LAST</stp>
        <stp>17/08/2018</stp>
        <stp>17/08/2018</stp>
        <stp>[RV_LINE_PRICER.xlsm]FixingTables!R125C18</stp>
        <tr r="R125" s="5"/>
      </tp>
      <tp>
        <v>2.125</v>
        <stp/>
        <stp>##V3_BDHV12</stp>
        <stp>ADBB6M Index</stp>
        <stp>PX_LAST</stp>
        <stp>07/09/2018</stp>
        <stp>07/09/2018</stp>
        <stp>[RV_LINE_PRICER.xlsm]FixingTables!R111C18</stp>
        <tr r="R111" s="5"/>
      </tp>
      <tp>
        <v>1.9525000000000001</v>
        <stp/>
        <stp>##V3_BDHV12</stp>
        <stp>ADBB3M Index</stp>
        <stp>PX_LAST</stp>
        <stp>17/08/2018</stp>
        <stp>17/08/2018</stp>
        <stp>[RV_LINE_PRICER.xlsm]FixingTables!R125C15</stp>
        <tr r="O125" s="5"/>
      </tp>
      <tp>
        <v>1.9319</v>
        <stp/>
        <stp>##V3_BDHV12</stp>
        <stp>ADBB3M Index</stp>
        <stp>PX_LAST</stp>
        <stp>07/09/2018</stp>
        <stp>07/09/2018</stp>
        <stp>[RV_LINE_PRICER.xlsm]FixingTables!R111C15</stp>
        <tr r="O111" s="5"/>
      </tp>
      <tp>
        <v>2.15</v>
        <stp/>
        <stp>##V3_BDHV12</stp>
        <stp>ADBB6M Index</stp>
        <stp>PX_LAST</stp>
        <stp>24/08/2018</stp>
        <stp>24/08/2018</stp>
        <stp>[RV_LINE_PRICER.xlsm]FixingTables!R120C18</stp>
        <tr r="R120" s="5"/>
      </tp>
      <tp>
        <v>1.95</v>
        <stp/>
        <stp>##V3_BDHV12</stp>
        <stp>ADBB3M Index</stp>
        <stp>PX_LAST</stp>
        <stp>24/08/2018</stp>
        <stp>24/08/2018</stp>
        <stp>[RV_LINE_PRICER.xlsm]FixingTables!R120C15</stp>
        <tr r="O120" s="5"/>
      </tp>
      <tp t="s">
        <v>16/12/2019</v>
        <stp/>
        <stp>##V3_BDPV12</stp>
        <stp>PPOE027W1 Corp</stp>
        <stp>MATURITY</stp>
        <stp>[RV_LINE_PRICER.xlsm]FixedBonds!R11C206</stp>
        <tr r="GX11" s="1"/>
      </tp>
      <tp>
        <v>2.16</v>
        <stp/>
        <stp>##V3_BDHV12</stp>
        <stp>ADBB6M Index</stp>
        <stp>PX_LAST</stp>
        <stp>08/06/2018</stp>
        <stp>08/06/2018</stp>
        <stp>[RV_LINE_PRICER.xlsm]FixingTables!R173C18</stp>
        <tr r="R173" s="5"/>
      </tp>
      <tp>
        <v>2.17</v>
        <stp/>
        <stp>##V3_BDHV12</stp>
        <stp>ADBB6M Index</stp>
        <stp>PX_LAST</stp>
        <stp>18/07/2018</stp>
        <stp>18/07/2018</stp>
        <stp>[RV_LINE_PRICER.xlsm]FixingTables!R146C18</stp>
        <tr r="R146" s="5"/>
      </tp>
      <tp>
        <v>2.0499999999999998</v>
        <stp/>
        <stp>##V3_BDHV12</stp>
        <stp>ADBB3M Index</stp>
        <stp>PX_LAST</stp>
        <stp>08/06/2018</stp>
        <stp>08/06/2018</stp>
        <stp>[RV_LINE_PRICER.xlsm]FixingTables!R173C15</stp>
        <tr r="O173" s="5"/>
      </tp>
      <tp>
        <v>2</v>
        <stp/>
        <stp>##V3_BDHV12</stp>
        <stp>ADBB3M Index</stp>
        <stp>PX_LAST</stp>
        <stp>18/07/2018</stp>
        <stp>18/07/2018</stp>
        <stp>[RV_LINE_PRICER.xlsm]FixingTables!R146C15</stp>
        <tr r="O146" s="5"/>
      </tp>
      <tp>
        <v>2.17</v>
        <stp/>
        <stp>##V3_BDHV12</stp>
        <stp>ADBB6M Index</stp>
        <stp>PX_LAST</stp>
        <stp>19/06/2018</stp>
        <stp>19/06/2018</stp>
        <stp>[RV_LINE_PRICER.xlsm]FixingTables!R167C18</stp>
        <tr r="R167" s="5"/>
      </tp>
      <tp>
        <v>2.19</v>
        <stp/>
        <stp>##V3_BDHV12</stp>
        <stp>ADBB6M Index</stp>
        <stp>PX_LAST</stp>
        <stp>09/07/2018</stp>
        <stp>09/07/2018</stp>
        <stp>[RV_LINE_PRICER.xlsm]FixingTables!R153C18</stp>
        <tr r="R153" s="5"/>
      </tp>
      <tp>
        <v>1.9513</v>
        <stp/>
        <stp>##V3_BDHV12</stp>
        <stp>ADBB3M Index</stp>
        <stp>PX_LAST</stp>
        <stp>29/05/2018</stp>
        <stp>29/05/2018</stp>
        <stp>[RV_LINE_PRICER.xlsm]FixingTables!R181C15</stp>
        <tr r="O181" s="5"/>
      </tp>
      <tp>
        <v>2.0724999999999998</v>
        <stp/>
        <stp>##V3_BDHV12</stp>
        <stp>ADBB3M Index</stp>
        <stp>PX_LAST</stp>
        <stp>19/06/2018</stp>
        <stp>19/06/2018</stp>
        <stp>[RV_LINE_PRICER.xlsm]FixingTables!R167C15</stp>
        <tr r="O167" s="5"/>
      </tp>
      <tp>
        <v>2.06</v>
        <stp/>
        <stp>##V3_BDHV12</stp>
        <stp>ADBB6M Index</stp>
        <stp>PX_LAST</stp>
        <stp>29/05/2018</stp>
        <stp>29/05/2018</stp>
        <stp>[RV_LINE_PRICER.xlsm]FixingTables!R181C18</stp>
        <tr r="R181" s="5"/>
      </tp>
      <tp>
        <v>2.06</v>
        <stp/>
        <stp>##V3_BDHV12</stp>
        <stp>ADBB3M Index</stp>
        <stp>PX_LAST</stp>
        <stp>09/07/2018</stp>
        <stp>09/07/2018</stp>
        <stp>[RV_LINE_PRICER.xlsm]FixingTables!R153C15</stp>
        <tr r="O153" s="5"/>
      </tp>
      <tp t="s">
        <v>30/360</v>
        <stp/>
        <stp>##V3_BDPV12</stp>
        <stp>US05565QCT31 Corp</stp>
        <stp>DAY_CNT_DES</stp>
        <stp>[RV_LINE_PRICER.xlsm]FloatBondSingle!R32C9</stp>
        <tr r="I32" s="23"/>
        <tr r="I32" s="23"/>
      </tp>
      <tp>
        <v>2.14</v>
        <stp/>
        <stp>##V3_BDHV12</stp>
        <stp>ADBB6M Index</stp>
        <stp>PX_LAST</stp>
        <stp>16/08/2018</stp>
        <stp>16/08/2018</stp>
        <stp>[RV_LINE_PRICER.xlsm]FixingTables!R126C18</stp>
        <tr r="R126" s="5"/>
      </tp>
      <tp>
        <v>2.14</v>
        <stp/>
        <stp>##V3_BDHV12</stp>
        <stp>ADBB6M Index</stp>
        <stp>PX_LAST</stp>
        <stp>06/09/2018</stp>
        <stp>06/09/2018</stp>
        <stp>[RV_LINE_PRICER.xlsm]FixingTables!R112C18</stp>
        <tr r="R112" s="5"/>
      </tp>
      <tp>
        <v>1.9624999999999999</v>
        <stp/>
        <stp>##V3_BDHV12</stp>
        <stp>ADBB3M Index</stp>
        <stp>PX_LAST</stp>
        <stp>16/08/2018</stp>
        <stp>16/08/2018</stp>
        <stp>[RV_LINE_PRICER.xlsm]FixingTables!R126C15</stp>
        <tr r="O126" s="5"/>
      </tp>
      <tp>
        <v>1.9550000000000001</v>
        <stp/>
        <stp>##V3_BDHV12</stp>
        <stp>ADBB3M Index</stp>
        <stp>PX_LAST</stp>
        <stp>06/09/2018</stp>
        <stp>06/09/2018</stp>
        <stp>[RV_LINE_PRICER.xlsm]FixingTables!R112C15</stp>
        <tr r="O112" s="5"/>
      </tp>
      <tp>
        <v>2.16</v>
        <stp/>
        <stp>##V3_BDHV12</stp>
        <stp>ADBB6M Index</stp>
        <stp>PX_LAST</stp>
        <stp>07/08/2018</stp>
        <stp>07/08/2018</stp>
        <stp>[RV_LINE_PRICER.xlsm]FixingTables!R133C18</stp>
        <tr r="R133" s="5"/>
      </tp>
      <tp>
        <v>2.1</v>
        <stp/>
        <stp>##V3_BDHV12</stp>
        <stp>ADBB6M Index</stp>
        <stp>PX_LAST</stp>
        <stp>17/09/2018</stp>
        <stp>17/09/2018</stp>
        <stp>[RV_LINE_PRICER.xlsm]FixingTables!R105C18</stp>
        <tr r="R105" s="5"/>
      </tp>
      <tp>
        <v>1.9649999999999999</v>
        <stp/>
        <stp>##V3_BDHV12</stp>
        <stp>ADBB3M Index</stp>
        <stp>PX_LAST</stp>
        <stp>07/08/2018</stp>
        <stp>07/08/2018</stp>
        <stp>[RV_LINE_PRICER.xlsm]FixingTables!R133C15</stp>
        <tr r="O133" s="5"/>
      </tp>
      <tp>
        <v>1.92</v>
        <stp/>
        <stp>##V3_BDHV12</stp>
        <stp>ADBB3M Index</stp>
        <stp>PX_LAST</stp>
        <stp>17/09/2018</stp>
        <stp>17/09/2018</stp>
        <stp>[RV_LINE_PRICER.xlsm]FixingTables!R105C15</stp>
        <tr r="O105" s="5"/>
      </tp>
      <tp>
        <v>2.13</v>
        <stp/>
        <stp>##V3_BDHV12</stp>
        <stp>ADBB6M Index</stp>
        <stp>PX_LAST</stp>
        <stp>24/09/2018</stp>
        <stp>24/09/2018</stp>
        <stp>[RV_LINE_PRICER.xlsm]FixingTables!R100C18</stp>
        <tr r="R100" s="5"/>
      </tp>
      <tp>
        <v>1.9358</v>
        <stp/>
        <stp>##V3_BDHV12</stp>
        <stp>ADBB3M Index</stp>
        <stp>PX_LAST</stp>
        <stp>24/09/2018</stp>
        <stp>24/09/2018</stp>
        <stp>[RV_LINE_PRICER.xlsm]FixingTables!R100C15</stp>
        <tr r="O100" s="5"/>
      </tp>
      <tp>
        <v>2.16</v>
        <stp/>
        <stp>##V3_BDHV12</stp>
        <stp>ADBB6M Index</stp>
        <stp>PX_LAST</stp>
        <stp>18/06/2018</stp>
        <stp>18/06/2018</stp>
        <stp>[RV_LINE_PRICER.xlsm]FixingTables!R168C18</stp>
        <tr r="R168" s="5"/>
      </tp>
      <tp>
        <v>2.06</v>
        <stp/>
        <stp>##V3_BDHV12</stp>
        <stp>ADBB3M Index</stp>
        <stp>PX_LAST</stp>
        <stp>18/06/2018</stp>
        <stp>18/06/2018</stp>
        <stp>[RV_LINE_PRICER.xlsm]FixingTables!R168C15</stp>
        <tr r="O168" s="5"/>
      </tp>
      <tp>
        <v>2.17</v>
        <stp/>
        <stp>##V3_BDHV12</stp>
        <stp>ADBB6M Index</stp>
        <stp>PX_LAST</stp>
        <stp>19/07/2018</stp>
        <stp>19/07/2018</stp>
        <stp>[RV_LINE_PRICER.xlsm]FixingTables!R145C18</stp>
        <tr r="R145" s="5"/>
      </tp>
      <tp>
        <v>2.0049999999999999</v>
        <stp/>
        <stp>##V3_BDHV12</stp>
        <stp>ADBB3M Index</stp>
        <stp>PX_LAST</stp>
        <stp>19/07/2018</stp>
        <stp>19/07/2018</stp>
        <stp>[RV_LINE_PRICER.xlsm]FixingTables!R145C15</stp>
        <tr r="O145" s="5"/>
      </tp>
      <tp t="s">
        <v>FIXED</v>
        <stp/>
        <stp>##V3_BDPV12</stp>
        <stp>USP32133CG63 Corp</stp>
        <stp>CPN_TYP</stp>
        <stp>[RV_LINE_PRICER.xlsm]FixedBonds!R10C26</stp>
        <tr r="Z10" s="1"/>
      </tp>
      <tp t="s">
        <v>FIXED</v>
        <stp/>
        <stp>##V3_BDPV12</stp>
        <stp>US05565QCT31 Corp</stp>
        <stp>CPN_TYP</stp>
        <stp>[RV_LINE_PRICER.xlsm]FloatBonds!R11C30</stp>
        <tr r="AD11" s="18"/>
      </tp>
      <tp t="s">
        <v>FIXED</v>
        <stp/>
        <stp>##V3_BDPV12</stp>
        <stp>US05565QCT31 Corp</stp>
        <stp>CPN_TYP</stp>
        <stp>[RV_LINE_PRICER.xlsm]FloatBonds!R10C30</stp>
        <tr r="AD10" s="18"/>
      </tp>
      <tp t="s">
        <v>#N/A Invalid Security</v>
        <stp/>
        <stp>##V3_BDPV12</stp>
        <stp>#LOADING BGN Corp</stp>
        <stp>PX_LAST</stp>
        <stp>[RV_LINE_PRICER.xlsm]FixedBonds!R7C12</stp>
        <tr r="L7" s="1"/>
      </tp>
      <tp t="s">
        <v>#N/A Invalid Security</v>
        <stp/>
        <stp>##V3_BDPV12</stp>
        <stp>#LOADING BGN Corp</stp>
        <stp>PX_LAST</stp>
        <stp>[RV_LINE_PRICER.xlsm]FixedBonds!R8C12</stp>
        <tr r="L8" s="1"/>
      </tp>
      <tp t="s">
        <v>#N/A Invalid Security</v>
        <stp/>
        <stp>##V3_BDPV12</stp>
        <stp>#LOADING BGN Corp</stp>
        <stp>PX_LAST</stp>
        <stp>[RV_LINE_PRICER.xlsm]FixedBonds!R9C12</stp>
        <tr r="L9" s="1"/>
      </tp>
      <tp t="s">
        <v>FIXED</v>
        <stp/>
        <stp>##V3_BDPV12</stp>
        <stp>XS0423038875 Corp</stp>
        <stp>CPN_TYP</stp>
        <stp>[RV_LINE_PRICER.xlsm]FixedBonds!R9C26</stp>
        <tr r="Z9" s="1"/>
      </tp>
      <tp>
        <v>2.1</v>
        <stp/>
        <stp>##V3_BDHV12</stp>
        <stp>ADBB6M Index</stp>
        <stp>PX_LAST</stp>
        <stp>14/09/2018</stp>
        <stp>14/09/2018</stp>
        <stp>[RV_LINE_PRICER.xlsm]FixingTables!R106C18</stp>
        <tr r="R106" s="5"/>
      </tp>
      <tp>
        <v>1.9203999999999999</v>
        <stp/>
        <stp>##V3_BDHV12</stp>
        <stp>ADBB3M Index</stp>
        <stp>PX_LAST</stp>
        <stp>14/09/2018</stp>
        <stp>14/09/2018</stp>
        <stp>[RV_LINE_PRICER.xlsm]FixingTables!R106C15</stp>
        <tr r="O106" s="5"/>
      </tp>
      <tp>
        <v>2.14</v>
        <stp/>
        <stp>##V3_BDHV12</stp>
        <stp>ADBB6M Index</stp>
        <stp>PX_LAST</stp>
        <stp>15/08/2018</stp>
        <stp>15/08/2018</stp>
        <stp>[RV_LINE_PRICER.xlsm]FixingTables!R127C18</stp>
        <tr r="R127" s="5"/>
      </tp>
      <tp>
        <v>2.14</v>
        <stp/>
        <stp>##V3_BDHV12</stp>
        <stp>ADBB6M Index</stp>
        <stp>PX_LAST</stp>
        <stp>05/09/2018</stp>
        <stp>05/09/2018</stp>
        <stp>[RV_LINE_PRICER.xlsm]FixingTables!R113C18</stp>
        <tr r="R113" s="5"/>
      </tp>
      <tp>
        <v>1.95</v>
        <stp/>
        <stp>##V3_BDHV12</stp>
        <stp>ADBB3M Index</stp>
        <stp>PX_LAST</stp>
        <stp>15/08/2018</stp>
        <stp>15/08/2018</stp>
        <stp>[RV_LINE_PRICER.xlsm]FixingTables!R127C15</stp>
        <tr r="O127" s="5"/>
      </tp>
      <tp>
        <v>1.94</v>
        <stp/>
        <stp>##V3_BDHV12</stp>
        <stp>ADBB3M Index</stp>
        <stp>PX_LAST</stp>
        <stp>05/09/2018</stp>
        <stp>05/09/2018</stp>
        <stp>[RV_LINE_PRICER.xlsm]FixingTables!R113C15</stp>
        <tr r="O113" s="5"/>
      </tp>
      <tp t="s">
        <v>ISMA-30/360</v>
        <stp/>
        <stp>##V3_BDPV12</stp>
        <stp>USN4578BQA53 Corp</stp>
        <stp>DAY_CNT_DES</stp>
        <stp>[RV_LINE_PRICER.xlsm]FixedBondSingle!R32C9</stp>
        <tr r="I32" s="22"/>
      </tp>
      <tp>
        <v>2.2200000000000002</v>
        <stp/>
        <stp>##V3_BDHV12</stp>
        <stp>ADBB6M Index</stp>
        <stp>PX_LAST</stp>
        <stp>28/06/2018</stp>
        <stp>28/06/2018</stp>
        <stp>[RV_LINE_PRICER.xlsm]FixingTables!R160C18</stp>
        <tr r="R160" s="5"/>
      </tp>
      <tp>
        <v>2.12</v>
        <stp/>
        <stp>##V3_BDHV12</stp>
        <stp>ADBB3M Index</stp>
        <stp>PX_LAST</stp>
        <stp>28/06/2018</stp>
        <stp>28/06/2018</stp>
        <stp>[RV_LINE_PRICER.xlsm]FixingTables!R160C15</stp>
        <tr r="O160" s="5"/>
      </tp>
      <tp t="b">
        <v>0</v>
        <stp/>
        <stp>##V3_BDPV12</stp>
        <stp/>
        <stp>CPN</stp>
        <stp>[RV_LINE_PRICER.xlsm]XccyFixedBonds!R16C218</stp>
        <tr r="HJ16" s="16"/>
        <tr r="HJ16" s="16"/>
      </tp>
      <tp t="b">
        <v>0</v>
        <stp/>
        <stp>##V3_BDPV12</stp>
        <stp/>
        <stp>CPN</stp>
        <stp>[RV_LINE_PRICER.xlsm]XccyFixedBonds!R17C218</stp>
        <tr r="HJ17" s="16"/>
        <tr r="HJ17" s="16"/>
      </tp>
      <tp t="b">
        <v>0</v>
        <stp/>
        <stp>##V3_BDPV12</stp>
        <stp/>
        <stp>CPN</stp>
        <stp>[RV_LINE_PRICER.xlsm]XccyFixedBonds!R14C218</stp>
        <tr r="HJ14" s="16"/>
        <tr r="HJ14" s="16"/>
      </tp>
      <tp t="b">
        <v>0</v>
        <stp/>
        <stp>##V3_BDPV12</stp>
        <stp/>
        <stp>CPN</stp>
        <stp>[RV_LINE_PRICER.xlsm]XccyFixedBonds!R15C218</stp>
        <tr r="HJ15" s="16"/>
        <tr r="HJ15" s="16"/>
      </tp>
      <tp t="b">
        <v>0</v>
        <stp/>
        <stp>##V3_BDPV12</stp>
        <stp/>
        <stp>CPN</stp>
        <stp>[RV_LINE_PRICER.xlsm]XccyFixedBonds!R12C218</stp>
        <tr r="HJ12" s="16"/>
        <tr r="HJ12" s="16"/>
      </tp>
      <tp t="b">
        <v>0</v>
        <stp/>
        <stp>##V3_BDPV12</stp>
        <stp/>
        <stp>CPN</stp>
        <stp>[RV_LINE_PRICER.xlsm]XccyFixedBonds!R13C218</stp>
        <tr r="HJ13" s="16"/>
        <tr r="HJ13" s="16"/>
      </tp>
      <tp t="b">
        <v>0</v>
        <stp/>
        <stp>##V3_BDPV12</stp>
        <stp/>
        <stp>CPN</stp>
        <stp>[RV_LINE_PRICER.xlsm]XccyFixedBonds!R18C218</stp>
        <tr r="HJ18" s="16"/>
        <tr r="HJ18" s="16"/>
      </tp>
      <tp t="b">
        <v>0</v>
        <stp/>
        <stp>##V3_BDPV12</stp>
        <stp/>
        <stp>CPN</stp>
        <stp>[RV_LINE_PRICER.xlsm]XccyFixedBonds!R19C218</stp>
        <tr r="HJ19" s="16"/>
        <tr r="HJ19" s="16"/>
      </tp>
      <tp t="b">
        <v>0</v>
        <stp/>
        <stp>##V3_BDPV12</stp>
        <stp/>
        <stp>CPN</stp>
        <stp>[RV_LINE_PRICER.xlsm]XccyFixedBonds!R26C218</stp>
        <tr r="HJ26" s="16"/>
        <tr r="HJ26" s="16"/>
      </tp>
      <tp t="b">
        <v>0</v>
        <stp/>
        <stp>##V3_BDPV12</stp>
        <stp/>
        <stp>CPN</stp>
        <stp>[RV_LINE_PRICER.xlsm]XccyFixedBonds!R24C218</stp>
        <tr r="HJ24" s="16"/>
        <tr r="HJ24" s="16"/>
      </tp>
      <tp t="b">
        <v>0</v>
        <stp/>
        <stp>##V3_BDPV12</stp>
        <stp/>
        <stp>CPN</stp>
        <stp>[RV_LINE_PRICER.xlsm]XccyFixedBonds!R25C218</stp>
        <tr r="HJ25" s="16"/>
        <tr r="HJ25" s="16"/>
      </tp>
      <tp t="b">
        <v>0</v>
        <stp/>
        <stp>##V3_BDPV12</stp>
        <stp/>
        <stp>CPN</stp>
        <stp>[RV_LINE_PRICER.xlsm]XccyFixedBonds!R22C218</stp>
        <tr r="HJ22" s="16"/>
        <tr r="HJ22" s="16"/>
      </tp>
      <tp t="b">
        <v>0</v>
        <stp/>
        <stp>##V3_BDPV12</stp>
        <stp/>
        <stp>CPN</stp>
        <stp>[RV_LINE_PRICER.xlsm]XccyFixedBonds!R23C218</stp>
        <tr r="HJ23" s="16"/>
        <tr r="HJ23" s="16"/>
      </tp>
      <tp t="b">
        <v>0</v>
        <stp/>
        <stp>##V3_BDPV12</stp>
        <stp/>
        <stp>CPN</stp>
        <stp>[RV_LINE_PRICER.xlsm]XccyFixedBonds!R20C218</stp>
        <tr r="HJ20" s="16"/>
        <tr r="HJ20" s="16"/>
      </tp>
      <tp t="b">
        <v>0</v>
        <stp/>
        <stp>##V3_BDPV12</stp>
        <stp/>
        <stp>CPN</stp>
        <stp>[RV_LINE_PRICER.xlsm]XccyFixedBonds!R21C218</stp>
        <tr r="HJ21" s="16"/>
        <tr r="HJ21" s="16"/>
      </tp>
      <tp t="b">
        <v>0</v>
        <stp/>
        <stp>##V3_BDPV12</stp>
        <stp/>
        <stp>DAY_CNT_DES</stp>
        <stp>[RV_LINE_PRICER.xlsm]XccyFixedBonds!R19C225</stp>
        <tr r="HQ19" s="16"/>
        <tr r="HQ19" s="16"/>
      </tp>
      <tp t="b">
        <v>0</v>
        <stp/>
        <stp>##V3_BDPV12</stp>
        <stp/>
        <stp>DAY_CNT_DES</stp>
        <stp>[RV_LINE_PRICER.xlsm]XccyFixedBonds!R18C225</stp>
        <tr r="HQ18" s="16"/>
        <tr r="HQ18" s="16"/>
      </tp>
      <tp t="b">
        <v>0</v>
        <stp/>
        <stp>##V3_BDPV12</stp>
        <stp/>
        <stp>DAY_CNT_DES</stp>
        <stp>[RV_LINE_PRICER.xlsm]XccyFixedBonds!R13C225</stp>
        <tr r="HQ13" s="16"/>
        <tr r="HQ13" s="16"/>
      </tp>
      <tp t="b">
        <v>0</v>
        <stp/>
        <stp>##V3_BDPV12</stp>
        <stp/>
        <stp>DAY_CNT_DES</stp>
        <stp>[RV_LINE_PRICER.xlsm]XccyFixedBonds!R12C225</stp>
        <tr r="HQ12" s="16"/>
        <tr r="HQ12" s="16"/>
      </tp>
      <tp t="b">
        <v>0</v>
        <stp/>
        <stp>##V3_BDPV12</stp>
        <stp/>
        <stp>DAY_CNT_DES</stp>
        <stp>[RV_LINE_PRICER.xlsm]XccyFixedBonds!R17C225</stp>
        <tr r="HQ17" s="16"/>
        <tr r="HQ17" s="16"/>
      </tp>
      <tp t="b">
        <v>0</v>
        <stp/>
        <stp>##V3_BDPV12</stp>
        <stp/>
        <stp>DAY_CNT_DES</stp>
        <stp>[RV_LINE_PRICER.xlsm]XccyFixedBonds!R16C225</stp>
        <tr r="HQ16" s="16"/>
        <tr r="HQ16" s="16"/>
      </tp>
      <tp t="b">
        <v>0</v>
        <stp/>
        <stp>##V3_BDPV12</stp>
        <stp/>
        <stp>DAY_CNT_DES</stp>
        <stp>[RV_LINE_PRICER.xlsm]XccyFixedBonds!R15C225</stp>
        <tr r="HQ15" s="16"/>
        <tr r="HQ15" s="16"/>
      </tp>
      <tp t="b">
        <v>0</v>
        <stp/>
        <stp>##V3_BDPV12</stp>
        <stp/>
        <stp>DAY_CNT_DES</stp>
        <stp>[RV_LINE_PRICER.xlsm]XccyFixedBonds!R14C225</stp>
        <tr r="HQ14" s="16"/>
        <tr r="HQ14" s="16"/>
      </tp>
      <tp t="b">
        <v>0</v>
        <stp/>
        <stp>##V3_BDPV12</stp>
        <stp/>
        <stp>DAY_CNT_DES</stp>
        <stp>[RV_LINE_PRICER.xlsm]XccyFixedBonds!R23C225</stp>
        <tr r="HQ23" s="16"/>
        <tr r="HQ23" s="16"/>
      </tp>
      <tp t="b">
        <v>0</v>
        <stp/>
        <stp>##V3_BDPV12</stp>
        <stp/>
        <stp>DAY_CNT_DES</stp>
        <stp>[RV_LINE_PRICER.xlsm]XccyFixedBonds!R22C225</stp>
        <tr r="HQ22" s="16"/>
        <tr r="HQ22" s="16"/>
      </tp>
      <tp t="b">
        <v>0</v>
        <stp/>
        <stp>##V3_BDPV12</stp>
        <stp/>
        <stp>DAY_CNT_DES</stp>
        <stp>[RV_LINE_PRICER.xlsm]XccyFixedBonds!R21C225</stp>
        <tr r="HQ21" s="16"/>
        <tr r="HQ21" s="16"/>
      </tp>
      <tp t="b">
        <v>0</v>
        <stp/>
        <stp>##V3_BDPV12</stp>
        <stp/>
        <stp>DAY_CNT_DES</stp>
        <stp>[RV_LINE_PRICER.xlsm]XccyFixedBonds!R20C225</stp>
        <tr r="HQ20" s="16"/>
        <tr r="HQ20" s="16"/>
      </tp>
      <tp t="b">
        <v>0</v>
        <stp/>
        <stp>##V3_BDPV12</stp>
        <stp/>
        <stp>DAY_CNT_DES</stp>
        <stp>[RV_LINE_PRICER.xlsm]XccyFixedBonds!R26C225</stp>
        <tr r="HQ26" s="16"/>
        <tr r="HQ26" s="16"/>
      </tp>
      <tp t="b">
        <v>0</v>
        <stp/>
        <stp>##V3_BDPV12</stp>
        <stp/>
        <stp>DAY_CNT_DES</stp>
        <stp>[RV_LINE_PRICER.xlsm]XccyFixedBonds!R25C225</stp>
        <tr r="HQ25" s="16"/>
        <tr r="HQ25" s="16"/>
      </tp>
      <tp t="b">
        <v>0</v>
        <stp/>
        <stp>##V3_BDPV12</stp>
        <stp/>
        <stp>DAY_CNT_DES</stp>
        <stp>[RV_LINE_PRICER.xlsm]XccyFixedBonds!R24C225</stp>
        <tr r="HQ24" s="16"/>
        <tr r="HQ24" s="16"/>
      </tp>
      <tp>
        <v>2.14</v>
        <stp/>
        <stp>##V3_BDHV12</stp>
        <stp>ADBB6M Index</stp>
        <stp>PX_LAST</stp>
        <stp>14/08/2018</stp>
        <stp>14/08/2018</stp>
        <stp>[RV_LINE_PRICER.xlsm]FixingTables!R128C18</stp>
        <tr r="R128" s="5"/>
      </tp>
      <tp>
        <v>2.14</v>
        <stp/>
        <stp>##V3_BDHV12</stp>
        <stp>ADBB6M Index</stp>
        <stp>PX_LAST</stp>
        <stp>04/09/2018</stp>
        <stp>04/09/2018</stp>
        <stp>[RV_LINE_PRICER.xlsm]FixingTables!R114C18</stp>
        <tr r="R114" s="5"/>
      </tp>
      <tp>
        <v>1.95</v>
        <stp/>
        <stp>##V3_BDHV12</stp>
        <stp>ADBB3M Index</stp>
        <stp>PX_LAST</stp>
        <stp>14/08/2018</stp>
        <stp>14/08/2018</stp>
        <stp>[RV_LINE_PRICER.xlsm]FixingTables!R128C15</stp>
        <tr r="O128" s="5"/>
      </tp>
      <tp>
        <v>1.95</v>
        <stp/>
        <stp>##V3_BDHV12</stp>
        <stp>ADBB3M Index</stp>
        <stp>PX_LAST</stp>
        <stp>04/09/2018</stp>
        <stp>04/09/2018</stp>
        <stp>[RV_LINE_PRICER.xlsm]FixingTables!R114C15</stp>
        <tr r="O114" s="5"/>
      </tp>
      <tp>
        <v>2.2200000000000002</v>
        <stp/>
        <stp>##V3_BDHV12</stp>
        <stp>ADBB6M Index</stp>
        <stp>PX_LAST</stp>
        <stp>29/06/2018</stp>
        <stp>29/06/2018</stp>
        <stp>[RV_LINE_PRICER.xlsm]FixingTables!R159C18</stp>
        <tr r="R159" s="5"/>
      </tp>
      <tp>
        <v>2.1</v>
        <stp/>
        <stp>##V3_BDHV12</stp>
        <stp>ADBB3M Index</stp>
        <stp>PX_LAST</stp>
        <stp>29/06/2018</stp>
        <stp>29/06/2018</stp>
        <stp>[RV_LINE_PRICER.xlsm]FixingTables!R159C15</stp>
        <tr r="O159" s="5"/>
      </tp>
      <tp>
        <v>3.92</v>
        <stp/>
        <stp>##V3_BDPV12</stp>
        <stp>XS1344710857 Corp</stp>
        <stp>CPN</stp>
        <stp>[RV_LINE_PRICER.xlsm]XccyFixedBonds!R10C218</stp>
        <tr r="HJ10" s="16"/>
        <tr r="HJ10" s="16"/>
      </tp>
      <tp>
        <v>3.92</v>
        <stp/>
        <stp>##V3_BDPV12</stp>
        <stp>XS1344710857 Corp</stp>
        <stp>CPN</stp>
        <stp>[RV_LINE_PRICER.xlsm]XccyFixedBonds!R11C218</stp>
        <tr r="HJ11" s="16"/>
        <tr r="HJ11" s="16"/>
      </tp>
      <tp t="s">
        <v>ISMA-30/360</v>
        <stp/>
        <stp>##V3_BDPV12</stp>
        <stp>XS1344710857 Corp</stp>
        <stp>DAY_CNT_DES</stp>
        <stp>[RV_LINE_PRICER.xlsm]XccyFixedBonds!R11C225</stp>
        <tr r="HQ11" s="16"/>
        <tr r="HQ11" s="16"/>
      </tp>
      <tp t="s">
        <v>ISMA-30/360</v>
        <stp/>
        <stp>##V3_BDPV12</stp>
        <stp>XS1344710857 Corp</stp>
        <stp>DAY_CNT_DES</stp>
        <stp>[RV_LINE_PRICER.xlsm]XccyFixedBonds!R10C225</stp>
        <tr r="HQ10" s="16"/>
        <tr r="HQ10" s="16"/>
      </tp>
      <tp t="b">
        <v>0</v>
        <stp/>
        <stp>##V3_BDPV12</stp>
        <stp/>
        <stp>PX_DIRTY_CLEAN</stp>
        <stp>[RV_LINE_PRICER.xlsm]XccyFixedBonds!R26C208</stp>
        <tr r="GZ26" s="16"/>
        <tr r="GZ26" s="16"/>
      </tp>
      <tp t="b">
        <v>0</v>
        <stp/>
        <stp>##V3_BDPV12</stp>
        <stp/>
        <stp>PX_DIRTY_CLEAN</stp>
        <stp>[RV_LINE_PRICER.xlsm]XccyFixedBonds!R25C208</stp>
        <tr r="GZ25" s="16"/>
        <tr r="GZ25" s="16"/>
      </tp>
      <tp t="b">
        <v>0</v>
        <stp/>
        <stp>##V3_BDPV12</stp>
        <stp/>
        <stp>PX_DIRTY_CLEAN</stp>
        <stp>[RV_LINE_PRICER.xlsm]XccyFixedBonds!R24C208</stp>
        <tr r="GZ24" s="16"/>
        <tr r="GZ24" s="16"/>
      </tp>
      <tp t="b">
        <v>0</v>
        <stp/>
        <stp>##V3_BDPV12</stp>
        <stp/>
        <stp>PX_DIRTY_CLEAN</stp>
        <stp>[RV_LINE_PRICER.xlsm]XccyFixedBonds!R23C208</stp>
        <tr r="GZ23" s="16"/>
        <tr r="GZ23" s="16"/>
      </tp>
      <tp t="b">
        <v>0</v>
        <stp/>
        <stp>##V3_BDPV12</stp>
        <stp/>
        <stp>PX_DIRTY_CLEAN</stp>
        <stp>[RV_LINE_PRICER.xlsm]XccyFixedBonds!R22C208</stp>
        <tr r="GZ22" s="16"/>
        <tr r="GZ22" s="16"/>
      </tp>
      <tp t="b">
        <v>0</v>
        <stp/>
        <stp>##V3_BDPV12</stp>
        <stp/>
        <stp>PX_DIRTY_CLEAN</stp>
        <stp>[RV_LINE_PRICER.xlsm]XccyFixedBonds!R21C208</stp>
        <tr r="GZ21" s="16"/>
        <tr r="GZ21" s="16"/>
      </tp>
      <tp t="b">
        <v>0</v>
        <stp/>
        <stp>##V3_BDPV12</stp>
        <stp/>
        <stp>PX_DIRTY_CLEAN</stp>
        <stp>[RV_LINE_PRICER.xlsm]XccyFixedBonds!R20C208</stp>
        <tr r="GZ20" s="16"/>
        <tr r="GZ20" s="16"/>
      </tp>
      <tp t="b">
        <v>0</v>
        <stp/>
        <stp>##V3_BDPV12</stp>
        <stp/>
        <stp>PX_DIRTY_CLEAN</stp>
        <stp>[RV_LINE_PRICER.xlsm]XccyFixedBonds!R19C208</stp>
        <tr r="GZ19" s="16"/>
        <tr r="GZ19" s="16"/>
      </tp>
      <tp t="b">
        <v>0</v>
        <stp/>
        <stp>##V3_BDPV12</stp>
        <stp/>
        <stp>PX_DIRTY_CLEAN</stp>
        <stp>[RV_LINE_PRICER.xlsm]XccyFixedBonds!R18C208</stp>
        <tr r="GZ18" s="16"/>
        <tr r="GZ18" s="16"/>
      </tp>
      <tp t="b">
        <v>0</v>
        <stp/>
        <stp>##V3_BDPV12</stp>
        <stp/>
        <stp>PX_DIRTY_CLEAN</stp>
        <stp>[RV_LINE_PRICER.xlsm]XccyFixedBonds!R17C208</stp>
        <tr r="GZ17" s="16"/>
        <tr r="GZ17" s="16"/>
      </tp>
      <tp t="b">
        <v>0</v>
        <stp/>
        <stp>##V3_BDPV12</stp>
        <stp/>
        <stp>PX_DIRTY_CLEAN</stp>
        <stp>[RV_LINE_PRICER.xlsm]XccyFixedBonds!R16C208</stp>
        <tr r="GZ16" s="16"/>
        <tr r="GZ16" s="16"/>
      </tp>
      <tp t="b">
        <v>0</v>
        <stp/>
        <stp>##V3_BDPV12</stp>
        <stp/>
        <stp>PX_DIRTY_CLEAN</stp>
        <stp>[RV_LINE_PRICER.xlsm]XccyFixedBonds!R15C208</stp>
        <tr r="GZ15" s="16"/>
        <tr r="GZ15" s="16"/>
      </tp>
      <tp t="b">
        <v>0</v>
        <stp/>
        <stp>##V3_BDPV12</stp>
        <stp/>
        <stp>PX_DIRTY_CLEAN</stp>
        <stp>[RV_LINE_PRICER.xlsm]XccyFixedBonds!R14C208</stp>
        <tr r="GZ14" s="16"/>
        <tr r="GZ14" s="16"/>
      </tp>
      <tp t="b">
        <v>0</v>
        <stp/>
        <stp>##V3_BDPV12</stp>
        <stp/>
        <stp>PX_DIRTY_CLEAN</stp>
        <stp>[RV_LINE_PRICER.xlsm]XccyFixedBonds!R13C208</stp>
        <tr r="GZ13" s="16"/>
        <tr r="GZ13" s="16"/>
      </tp>
      <tp t="b">
        <v>0</v>
        <stp/>
        <stp>##V3_BDPV12</stp>
        <stp/>
        <stp>PX_DIRTY_CLEAN</stp>
        <stp>[RV_LINE_PRICER.xlsm]XccyFixedBonds!R12C208</stp>
        <tr r="GZ12" s="16"/>
        <tr r="GZ12" s="16"/>
      </tp>
      <tp>
        <v>2.15</v>
        <stp/>
        <stp>##V3_BDHV12</stp>
        <stp>ADBB6M Index</stp>
        <stp>PX_LAST</stp>
        <stp>02/08/2018</stp>
        <stp>02/08/2018</stp>
        <stp>[RV_LINE_PRICER.xlsm]FixingTables!R135C18</stp>
        <tr r="R135" s="5"/>
      </tp>
      <tp>
        <v>2.11</v>
        <stp/>
        <stp>##V3_BDHV12</stp>
        <stp>ADBB6M Index</stp>
        <stp>PX_LAST</stp>
        <stp>12/09/2018</stp>
        <stp>12/09/2018</stp>
        <stp>[RV_LINE_PRICER.xlsm]FixingTables!R108C18</stp>
        <tr r="R108" s="5"/>
      </tp>
      <tp>
        <v>1.9563000000000001</v>
        <stp/>
        <stp>##V3_BDHV12</stp>
        <stp>ADBB3M Index</stp>
        <stp>PX_LAST</stp>
        <stp>02/08/2018</stp>
        <stp>02/08/2018</stp>
        <stp>[RV_LINE_PRICER.xlsm]FixingTables!R135C15</stp>
        <tr r="O135" s="5"/>
      </tp>
      <tp>
        <v>1.9350000000000001</v>
        <stp/>
        <stp>##V3_BDHV12</stp>
        <stp>ADBB3M Index</stp>
        <stp>PX_LAST</stp>
        <stp>12/09/2018</stp>
        <stp>12/09/2018</stp>
        <stp>[RV_LINE_PRICER.xlsm]FixingTables!R108C15</stp>
        <tr r="O108" s="5"/>
      </tp>
      <tp>
        <v>2.16</v>
        <stp/>
        <stp>##V3_BDHV12</stp>
        <stp>ADBB6M Index</stp>
        <stp>PX_LAST</stp>
        <stp>13/08/2018</stp>
        <stp>13/08/2018</stp>
        <stp>[RV_LINE_PRICER.xlsm]FixingTables!R129C18</stp>
        <tr r="R129" s="5"/>
      </tp>
      <tp>
        <v>2.14</v>
        <stp/>
        <stp>##V3_BDHV12</stp>
        <stp>ADBB6M Index</stp>
        <stp>PX_LAST</stp>
        <stp>03/09/2018</stp>
        <stp>03/09/2018</stp>
        <stp>[RV_LINE_PRICER.xlsm]FixingTables!R115C18</stp>
        <tr r="R115" s="5"/>
      </tp>
      <tp>
        <v>1.96</v>
        <stp/>
        <stp>##V3_BDHV12</stp>
        <stp>ADBB3M Index</stp>
        <stp>PX_LAST</stp>
        <stp>13/08/2018</stp>
        <stp>13/08/2018</stp>
        <stp>[RV_LINE_PRICER.xlsm]FixingTables!R129C15</stp>
        <tr r="O129" s="5"/>
      </tp>
      <tp>
        <v>1.95</v>
        <stp/>
        <stp>##V3_BDHV12</stp>
        <stp>ADBB3M Index</stp>
        <stp>PX_LAST</stp>
        <stp>03/09/2018</stp>
        <stp>03/09/2018</stp>
        <stp>[RV_LINE_PRICER.xlsm]FixingTables!R115C15</stp>
        <tr r="O115" s="5"/>
      </tp>
      <tp>
        <v>2.1349999999999998</v>
        <stp/>
        <stp>##V3_BDHV12</stp>
        <stp>ADBB6M Index</stp>
        <stp>PX_LAST</stp>
        <stp>20/08/2018</stp>
        <stp>20/08/2018</stp>
        <stp>[RV_LINE_PRICER.xlsm]FixingTables!R124C18</stp>
        <tr r="R124" s="5"/>
      </tp>
      <tp>
        <v>1.9550000000000001</v>
        <stp/>
        <stp>##V3_BDHV12</stp>
        <stp>ADBB3M Index</stp>
        <stp>PX_LAST</stp>
        <stp>20/08/2018</stp>
        <stp>20/08/2018</stp>
        <stp>[RV_LINE_PRICER.xlsm]FixingTables!R124C15</stp>
        <tr r="O124" s="5"/>
      </tp>
      <tp>
        <v>2.12</v>
        <stp/>
        <stp>##V3_BDHV12</stp>
        <stp>ADBB6M Index</stp>
        <stp>PX_LAST</stp>
        <stp>21/09/2018</stp>
        <stp>21/09/2018</stp>
        <stp>[RV_LINE_PRICER.xlsm]FixingTables!R101C18</stp>
        <tr r="R101" s="5"/>
      </tp>
      <tp>
        <v>2.14</v>
        <stp/>
        <stp>##V3_BDHV12</stp>
        <stp>ADBB6M Index</stp>
        <stp>PX_LAST</stp>
        <stp>31/08/2018</stp>
        <stp>31/08/2018</stp>
        <stp>[RV_LINE_PRICER.xlsm]FixingTables!R116C18</stp>
        <tr r="R116" s="5"/>
      </tp>
      <tp>
        <v>1.95</v>
        <stp/>
        <stp>##V3_BDHV12</stp>
        <stp>ADBB3M Index</stp>
        <stp>PX_LAST</stp>
        <stp>31/08/2018</stp>
        <stp>31/08/2018</stp>
        <stp>[RV_LINE_PRICER.xlsm]FixingTables!R116C15</stp>
        <tr r="O116" s="5"/>
      </tp>
      <tp>
        <v>1.9213</v>
        <stp/>
        <stp>##V3_BDHV12</stp>
        <stp>ADBB3M Index</stp>
        <stp>PX_LAST</stp>
        <stp>21/09/2018</stp>
        <stp>21/09/2018</stp>
        <stp>[RV_LINE_PRICER.xlsm]FixingTables!R101C15</stp>
        <tr r="O101" s="5"/>
      </tp>
      <tp>
        <v>103.99299999999999</v>
        <stp/>
        <stp>##V3_BDPV12</stp>
        <stp>USN4578BQA53 BGN Corp</stp>
        <stp>PX_LAST</stp>
        <stp>[RV_LINE_PRICER.xlsm]FixedBondSingle!R26C3</stp>
        <tr r="C26" s="22"/>
      </tp>
      <tp t="s">
        <v>16/12/2011</v>
        <stp/>
        <stp>##V3_BDPV12</stp>
        <stp>PPOE027W1 Corp</stp>
        <stp>ISSUE_DT</stp>
        <stp>[RV_LINE_PRICER.xlsm]FixedBonds!R11C202</stp>
        <tr r="GT11" s="1"/>
      </tp>
      <tp t="s">
        <v>26/03/2015</v>
        <stp/>
        <stp>##V3_BDPV12</stp>
        <stp>USJ46186BC59 Corp</stp>
        <stp>ISSUE_DT</stp>
        <stp>[RV_LINE_PRICER.xlsm]XccyFixedBonds!R7C42</stp>
        <tr r="AP7" s="16"/>
        <tr r="AP7" s="16"/>
      </tp>
      <tp t="s">
        <v>26/03/2015</v>
        <stp/>
        <stp>##V3_BDPV12</stp>
        <stp>USJ46186BC59 Corp</stp>
        <stp>ISSUE_DT</stp>
        <stp>[RV_LINE_PRICER.xlsm]XccyFixedBonds!R8C42</stp>
        <tr r="AP8" s="16"/>
        <tr r="AP8" s="16"/>
      </tp>
      <tp t="s">
        <v>26/03/2015</v>
        <stp/>
        <stp>##V3_BDPV12</stp>
        <stp>USJ46186BC59 Corp</stp>
        <stp>ISSUE_DT</stp>
        <stp>[RV_LINE_PRICER.xlsm]XccyFixedBonds!R9C42</stp>
        <tr r="AP9" s="16"/>
        <tr r="AP9" s="16"/>
      </tp>
      <tp>
        <v>1</v>
        <stp/>
        <stp>##V3_BDPV12</stp>
        <stp>USN4578BQA53 Corp</stp>
        <stp>CALC_TYP</stp>
        <stp>[RV_LINE_PRICER.xlsm]FixedBondSingle!R34C9</stp>
        <tr r="I34" s="22"/>
      </tp>
      <tp>
        <v>2.15</v>
        <stp/>
        <stp>##V3_BDHV12</stp>
        <stp>ADBB6M Index</stp>
        <stp>PX_LAST</stp>
        <stp>03/08/2018</stp>
        <stp>03/08/2018</stp>
        <stp>[RV_LINE_PRICER.xlsm]FixingTables!R134C18</stp>
        <tr r="R134" s="5"/>
      </tp>
      <tp>
        <v>2.11</v>
        <stp/>
        <stp>##V3_BDHV12</stp>
        <stp>ADBB6M Index</stp>
        <stp>PX_LAST</stp>
        <stp>13/09/2018</stp>
        <stp>13/09/2018</stp>
        <stp>[RV_LINE_PRICER.xlsm]FixingTables!R107C18</stp>
        <tr r="R107" s="5"/>
      </tp>
      <tp>
        <v>1.97</v>
        <stp/>
        <stp>##V3_BDHV12</stp>
        <stp>ADBB3M Index</stp>
        <stp>PX_LAST</stp>
        <stp>03/08/2018</stp>
        <stp>03/08/2018</stp>
        <stp>[RV_LINE_PRICER.xlsm]FixingTables!R134C15</stp>
        <tr r="O134" s="5"/>
      </tp>
      <tp>
        <v>1.9275</v>
        <stp/>
        <stp>##V3_BDHV12</stp>
        <stp>ADBB3M Index</stp>
        <stp>PX_LAST</stp>
        <stp>13/09/2018</stp>
        <stp>13/09/2018</stp>
        <stp>[RV_LINE_PRICER.xlsm]FixingTables!R107C15</stp>
        <tr r="O107" s="5"/>
      </tp>
      <tp>
        <v>2.12</v>
        <stp/>
        <stp>##V3_BDHV12</stp>
        <stp>ADBB6M Index</stp>
        <stp>PX_LAST</stp>
        <stp>20/09/2018</stp>
        <stp>20/09/2018</stp>
        <stp>[RV_LINE_PRICER.xlsm]FixingTables!R102C18</stp>
        <tr r="R102" s="5"/>
      </tp>
      <tp>
        <v>2.14</v>
        <stp/>
        <stp>##V3_BDHV12</stp>
        <stp>ADBB6M Index</stp>
        <stp>PX_LAST</stp>
        <stp>30/08/2018</stp>
        <stp>30/08/2018</stp>
        <stp>[RV_LINE_PRICER.xlsm]FixingTables!R117C18</stp>
        <tr r="R117" s="5"/>
      </tp>
      <tp>
        <v>1.948</v>
        <stp/>
        <stp>##V3_BDHV12</stp>
        <stp>ADBB3M Index</stp>
        <stp>PX_LAST</stp>
        <stp>30/08/2018</stp>
        <stp>30/08/2018</stp>
        <stp>[RV_LINE_PRICER.xlsm]FixingTables!R117C15</stp>
        <tr r="O117" s="5"/>
      </tp>
      <tp>
        <v>1.915</v>
        <stp/>
        <stp>##V3_BDHV12</stp>
        <stp>ADBB3M Index</stp>
        <stp>PX_LAST</stp>
        <stp>20/09/2018</stp>
        <stp>20/09/2018</stp>
        <stp>[RV_LINE_PRICER.xlsm]FixingTables!R102C15</stp>
        <tr r="O102" s="5"/>
      </tp>
      <tp>
        <v>2.16</v>
        <stp/>
        <stp>##V3_BDHV12</stp>
        <stp>ADBB6M Index</stp>
        <stp>PX_LAST</stp>
        <stp>21/08/2018</stp>
        <stp>21/08/2018</stp>
        <stp>[RV_LINE_PRICER.xlsm]FixingTables!R123C18</stp>
        <tr r="R123" s="5"/>
      </tp>
      <tp>
        <v>1.96</v>
        <stp/>
        <stp>##V3_BDHV12</stp>
        <stp>ADBB3M Index</stp>
        <stp>PX_LAST</stp>
        <stp>21/08/2018</stp>
        <stp>21/08/2018</stp>
        <stp>[RV_LINE_PRICER.xlsm]FixingTables!R123C15</stp>
        <tr r="O123" s="5"/>
      </tp>
      <tp t="s">
        <v>11/08/2013</v>
        <stp/>
        <stp>##V3_BDPV12</stp>
        <stp>USP32133CG63 Corp</stp>
        <stp>FIRST_CPN_DT</stp>
        <stp>[RV_LINE_PRICER.xlsm]FixedBonds!R10C37</stp>
        <tr r="AK10" s="1"/>
      </tp>
      <tp t="s">
        <v>09/06/2021</v>
        <stp/>
        <stp>##V3_BDPV12</stp>
        <stp>USN4578BQA53 Corp</stp>
        <stp>MATURITY</stp>
        <stp>[RV_LINE_PRICER.xlsm]FixedBondSingle!R24C9</stp>
        <tr r="I24" s="22"/>
      </tp>
      <tp t="s">
        <v>20/05/2015</v>
        <stp/>
        <stp>##V3_BDPV12</stp>
        <stp>XS1193905160 Corp</stp>
        <stp>FIRST_CPN_DT</stp>
        <stp>[RV_LINE_PRICER.xlsm]FloatBondSingle!R22C22</stp>
        <tr r="V22" s="23"/>
        <tr r="V22" s="23"/>
      </tp>
      <tp>
        <v>2.16</v>
        <stp/>
        <stp>##V3_BDHV12</stp>
        <stp>ADBB6M Index</stp>
        <stp>PX_LAST</stp>
        <stp>22/08/2018</stp>
        <stp>22/08/2018</stp>
        <stp>[RV_LINE_PRICER.xlsm]FixingTables!R122C18</stp>
        <tr r="R122" s="5"/>
      </tp>
      <tp>
        <v>1.9525000000000001</v>
        <stp/>
        <stp>##V3_BDHV12</stp>
        <stp>ADBB3M Index</stp>
        <stp>PX_LAST</stp>
        <stp>22/08/2018</stp>
        <stp>22/08/2018</stp>
        <stp>[RV_LINE_PRICER.xlsm]FixingTables!R122C15</stp>
        <tr r="O122" s="5"/>
      </tp>
      <tp>
        <v>2.11</v>
        <stp/>
        <stp>##V3_BDHV12</stp>
        <stp>ADBB6M Index</stp>
        <stp>PX_LAST</stp>
        <stp>10/09/2018</stp>
        <stp>10/09/2018</stp>
        <stp>[RV_LINE_PRICER.xlsm]FixingTables!R110C18</stp>
        <tr r="R110" s="5"/>
      </tp>
      <tp>
        <v>1.9300000000000002</v>
        <stp/>
        <stp>##V3_BDHV12</stp>
        <stp>ADBB3M Index</stp>
        <stp>PX_LAST</stp>
        <stp>10/09/2018</stp>
        <stp>10/09/2018</stp>
        <stp>[RV_LINE_PRICER.xlsm]FixingTables!R110C15</stp>
        <tr r="O110" s="5"/>
      </tp>
      <tp t="s">
        <v>XS1209910196</v>
        <stp/>
        <stp>##V3_BDPV12</stp>
        <stp>XS1209910196 Corp</stp>
        <stp>ID_ISIN</stp>
        <stp>[RV_LINE_PRICER.xlsm]FixedBonds!R8C28</stp>
        <tr r="AB8" s="1"/>
      </tp>
      <tp>
        <v>2.16</v>
        <stp/>
        <stp>##V3_BDHV12</stp>
        <stp>ADBB6M Index</stp>
        <stp>PX_LAST</stp>
        <stp>23/08/2018</stp>
        <stp>23/08/2018</stp>
        <stp>[RV_LINE_PRICER.xlsm]FixingTables!R121C18</stp>
        <tr r="R121" s="5"/>
      </tp>
      <tp>
        <v>1.96</v>
        <stp/>
        <stp>##V3_BDHV12</stp>
        <stp>ADBB3M Index</stp>
        <stp>PX_LAST</stp>
        <stp>23/08/2018</stp>
        <stp>23/08/2018</stp>
        <stp>[RV_LINE_PRICER.xlsm]FixingTables!R121C15</stp>
        <tr r="O121" s="5"/>
      </tp>
      <tp>
        <v>2.16</v>
        <stp/>
        <stp>##V3_BDHV12</stp>
        <stp>ADBB6M Index</stp>
        <stp>PX_LAST</stp>
        <stp>10/08/2018</stp>
        <stp>10/08/2018</stp>
        <stp>[RV_LINE_PRICER.xlsm]FixingTables!R130C18</stp>
        <tr r="R130" s="5"/>
      </tp>
      <tp>
        <v>1.9624999999999999</v>
        <stp/>
        <stp>##V3_BDHV12</stp>
        <stp>ADBB3M Index</stp>
        <stp>PX_LAST</stp>
        <stp>10/08/2018</stp>
        <stp>10/08/2018</stp>
        <stp>[RV_LINE_PRICER.xlsm]FixingTables!R130C15</stp>
        <tr r="O130" s="5"/>
      </tp>
      <tp>
        <v>2.15</v>
        <stp/>
        <stp>##V3_BDHV12</stp>
        <stp>ADBB6M Index</stp>
        <stp>PX_LAST</stp>
        <stp>01/08/2018</stp>
        <stp>01/08/2018</stp>
        <stp>[RV_LINE_PRICER.xlsm]FixingTables!R136C18</stp>
        <tr r="R136" s="5"/>
      </tp>
      <tp>
        <v>2.11</v>
        <stp/>
        <stp>##V3_BDHV12</stp>
        <stp>ADBB6M Index</stp>
        <stp>PX_LAST</stp>
        <stp>11/09/2018</stp>
        <stp>11/09/2018</stp>
        <stp>[RV_LINE_PRICER.xlsm]FixingTables!R109C18</stp>
        <tr r="R109" s="5"/>
      </tp>
      <tp>
        <v>1.9619</v>
        <stp/>
        <stp>##V3_BDHV12</stp>
        <stp>ADBB3M Index</stp>
        <stp>PX_LAST</stp>
        <stp>01/08/2018</stp>
        <stp>01/08/2018</stp>
        <stp>[RV_LINE_PRICER.xlsm]FixingTables!R136C15</stp>
        <tr r="O136" s="5"/>
      </tp>
      <tp>
        <v>1.9300000000000002</v>
        <stp/>
        <stp>##V3_BDHV12</stp>
        <stp>ADBB3M Index</stp>
        <stp>PX_LAST</stp>
        <stp>11/09/2018</stp>
        <stp>11/09/2018</stp>
        <stp>[RV_LINE_PRICER.xlsm]FixingTables!R109C15</stp>
        <tr r="O109" s="5"/>
      </tp>
      <tp t="s">
        <v>FIXED</v>
        <stp/>
        <stp>##V3_BDPV12</stp>
        <stp>XS1209910196 Corp</stp>
        <stp>CPN_TYP</stp>
        <stp>[RV_LINE_PRICER.xlsm]FixedBonds!R8C26</stp>
        <tr r="Z8" s="1"/>
      </tp>
      <tp>
        <v>2.21</v>
        <stp/>
        <stp>##V3_BDHV12</stp>
        <stp>ADBB6M Index</stp>
        <stp>PX_LAST</stp>
        <stp>22/06/2018</stp>
        <stp>22/06/2018</stp>
        <stp>[RV_LINE_PRICER.xlsm]FixingTables!R164C18</stp>
        <tr r="R164" s="5"/>
      </tp>
      <tp>
        <v>2.09</v>
        <stp/>
        <stp>##V3_BDHV12</stp>
        <stp>ADBB3M Index</stp>
        <stp>PX_LAST</stp>
        <stp>22/06/2018</stp>
        <stp>22/06/2018</stp>
        <stp>[RV_LINE_PRICER.xlsm]FixingTables!R164C15</stp>
        <tr r="O164" s="5"/>
      </tp>
      <tp>
        <v>2.16</v>
        <stp/>
        <stp>##V3_BDHV12</stp>
        <stp>ADBB6M Index</stp>
        <stp>PX_LAST</stp>
        <stp>23/07/2018</stp>
        <stp>23/07/2018</stp>
        <stp>[RV_LINE_PRICER.xlsm]FixingTables!R143C18</stp>
        <tr r="R143" s="5"/>
      </tp>
      <tp>
        <v>1.9805999999999999</v>
        <stp/>
        <stp>##V3_BDHV12</stp>
        <stp>ADBB3M Index</stp>
        <stp>PX_LAST</stp>
        <stp>23/07/2018</stp>
        <stp>23/07/2018</stp>
        <stp>[RV_LINE_PRICER.xlsm]FixingTables!R143C15</stp>
        <tr r="O143" s="5"/>
      </tp>
      <tp>
        <v>2.21</v>
        <stp/>
        <stp>##V3_BDHV12</stp>
        <stp>ADBB6M Index</stp>
        <stp>PX_LAST</stp>
        <stp>10/07/2018</stp>
        <stp>10/07/2018</stp>
        <stp>[RV_LINE_PRICER.xlsm]FixingTables!R152C18</stp>
        <tr r="R152" s="5"/>
      </tp>
      <tp>
        <v>1.9762</v>
        <stp/>
        <stp>##V3_BDHV12</stp>
        <stp>ADBB3M Index</stp>
        <stp>PX_LAST</stp>
        <stp>30/05/2018</stp>
        <stp>30/05/2018</stp>
        <stp>[RV_LINE_PRICER.xlsm]FixingTables!R180C15</stp>
        <tr r="O180" s="5"/>
      </tp>
      <tp>
        <v>2.08</v>
        <stp/>
        <stp>##V3_BDHV12</stp>
        <stp>ADBB6M Index</stp>
        <stp>PX_LAST</stp>
        <stp>30/05/2018</stp>
        <stp>30/05/2018</stp>
        <stp>[RV_LINE_PRICER.xlsm]FixingTables!R180C18</stp>
        <tr r="R180" s="5"/>
      </tp>
      <tp>
        <v>2.0649999999999999</v>
        <stp/>
        <stp>##V3_BDHV12</stp>
        <stp>ADBB3M Index</stp>
        <stp>PX_LAST</stp>
        <stp>10/07/2018</stp>
        <stp>10/07/2018</stp>
        <stp>[RV_LINE_PRICER.xlsm]FixingTables!R152C15</stp>
        <tr r="O152" s="5"/>
      </tp>
      <tp t="s">
        <v>20/05/2015</v>
        <stp/>
        <stp>##V3_BDPV12</stp>
        <stp>XS1193905160 Corp</stp>
        <stp>FIRST_CPN_DT</stp>
        <stp>[RV_LINE_PRICER.xlsm]FloatBonds!R9C210</stp>
        <tr r="HB9" s="18"/>
      </tp>
      <tp t="s">
        <v>20/05/2015</v>
        <stp/>
        <stp>##V3_BDPV12</stp>
        <stp>XS1193905160 Corp</stp>
        <stp>FIRST_CPN_DT</stp>
        <stp>[RV_LINE_PRICER.xlsm]FloatBonds!R8C210</stp>
        <tr r="HB8" s="18"/>
      </tp>
      <tp t="s">
        <v>20/05/2015</v>
        <stp/>
        <stp>##V3_BDPV12</stp>
        <stp>XS1193905160 Corp</stp>
        <stp>FIRST_CPN_DT</stp>
        <stp>[RV_LINE_PRICER.xlsm]FloatBonds!R7C210</stp>
        <tr r="HB7" s="18"/>
      </tp>
      <tp t="s">
        <v>CLEAN</v>
        <stp/>
        <stp>##V3_BDPV12</stp>
        <stp>XS1193905160 Corp</stp>
        <stp>PX_DIRTY_CLEAN</stp>
        <stp>[RV_LINE_PRICER.xlsm]FloatBonds!R7C203</stp>
        <tr r="GU7" s="18"/>
      </tp>
      <tp t="s">
        <v>CLEAN</v>
        <stp/>
        <stp>##V3_BDPV12</stp>
        <stp>XS1193905160 Corp</stp>
        <stp>PX_DIRTY_CLEAN</stp>
        <stp>[RV_LINE_PRICER.xlsm]FloatBonds!R9C203</stp>
        <tr r="GU9" s="18"/>
      </tp>
      <tp t="s">
        <v>CLEAN</v>
        <stp/>
        <stp>##V3_BDPV12</stp>
        <stp>XS1193905160 Corp</stp>
        <stp>PX_DIRTY_CLEAN</stp>
        <stp>[RV_LINE_PRICER.xlsm]FloatBonds!R8C203</stp>
        <tr r="GU8" s="18"/>
      </tp>
      <tp t="s">
        <v>FIXED</v>
        <stp/>
        <stp>##V3_BDPV12</stp>
        <stp>XS1215869915 Corp</stp>
        <stp>CPN_TYP</stp>
        <stp>[RV_LINE_PRICER.xlsm]FixedBonds!R8C193</stp>
        <tr r="GK8" s="1"/>
      </tp>
      <tp>
        <v>2.1</v>
        <stp/>
        <stp>##V3_BDHV12</stp>
        <stp>ADBB6M Index</stp>
        <stp>PX_LAST</stp>
        <stp>01/06/2018</stp>
        <stp>01/06/2018</stp>
        <stp>[RV_LINE_PRICER.xlsm]FixingTables!R178C18</stp>
        <tr r="R178" s="5"/>
      </tp>
      <tp>
        <v>2.09</v>
        <stp/>
        <stp>##V3_BDHV12</stp>
        <stp>ADBB6M Index</stp>
        <stp>PX_LAST</stp>
        <stp>31/05/2018</stp>
        <stp>31/05/2018</stp>
        <stp>[RV_LINE_PRICER.xlsm]FixingTables!R179C18</stp>
        <tr r="R179" s="5"/>
      </tp>
      <tp>
        <v>2.19</v>
        <stp/>
        <stp>##V3_BDHV12</stp>
        <stp>ADBB6M Index</stp>
        <stp>PX_LAST</stp>
        <stp>11/07/2018</stp>
        <stp>11/07/2018</stp>
        <stp>[RV_LINE_PRICER.xlsm]FixingTables!R151C18</stp>
        <tr r="R151" s="5"/>
      </tp>
      <tp>
        <v>1.98</v>
        <stp/>
        <stp>##V3_BDHV12</stp>
        <stp>ADBB3M Index</stp>
        <stp>PX_LAST</stp>
        <stp>31/05/2018</stp>
        <stp>31/05/2018</stp>
        <stp>[RV_LINE_PRICER.xlsm]FixingTables!R179C15</stp>
        <tr r="O179" s="5"/>
      </tp>
      <tp>
        <v>1.99</v>
        <stp/>
        <stp>##V3_BDHV12</stp>
        <stp>ADBB3M Index</stp>
        <stp>PX_LAST</stp>
        <stp>01/06/2018</stp>
        <stp>01/06/2018</stp>
        <stp>[RV_LINE_PRICER.xlsm]FixingTables!R178C15</stp>
        <tr r="O178" s="5"/>
      </tp>
      <tp>
        <v>2.0436999999999999</v>
        <stp/>
        <stp>##V3_BDHV12</stp>
        <stp>ADBB3M Index</stp>
        <stp>PX_LAST</stp>
        <stp>11/07/2018</stp>
        <stp>11/07/2018</stp>
        <stp>[RV_LINE_PRICER.xlsm]FixingTables!R151C15</stp>
        <tr r="O151" s="5"/>
      </tp>
      <tp t="s">
        <v>26/03/2025</v>
        <stp/>
        <stp>##V3_BDPV12</stp>
        <stp>USJ46186BC59 Corp</stp>
        <stp>MATURITY</stp>
        <stp>[RV_LINE_PRICER.xlsm]XccyFixedBonds!R7C46</stp>
        <tr r="AT7" s="16"/>
        <tr r="AT7" s="16"/>
      </tp>
      <tp t="s">
        <v>26/03/2025</v>
        <stp/>
        <stp>##V3_BDPV12</stp>
        <stp>USJ46186BC59 Corp</stp>
        <stp>MATURITY</stp>
        <stp>[RV_LINE_PRICER.xlsm]XccyFixedBonds!R9C46</stp>
        <tr r="AT9" s="16"/>
        <tr r="AT9" s="16"/>
      </tp>
      <tp t="s">
        <v>26/03/2025</v>
        <stp/>
        <stp>##V3_BDPV12</stp>
        <stp>USJ46186BC59 Corp</stp>
        <stp>MATURITY</stp>
        <stp>[RV_LINE_PRICER.xlsm]XccyFixedBonds!R8C46</stp>
        <tr r="AT8" s="16"/>
        <tr r="AT8" s="16"/>
      </tp>
      <tp t="b">
        <v>0</v>
        <stp/>
        <stp>##V3_BDPV12</stp>
        <stp/>
        <stp>CALC_TYP</stp>
        <stp>[RV_LINE_PRICER.xlsm]XccyFixedBonds!R22C227</stp>
        <tr r="HS22" s="16"/>
        <tr r="HS22" s="16"/>
        <tr r="HS22" s="16"/>
      </tp>
      <tp t="b">
        <v>0</v>
        <stp/>
        <stp>##V3_BDPV12</stp>
        <stp/>
        <stp>CALC_TYP</stp>
        <stp>[RV_LINE_PRICER.xlsm]XccyFixedBonds!R23C227</stp>
        <tr r="HS23" s="16"/>
        <tr r="HS23" s="16"/>
        <tr r="HS23" s="16"/>
      </tp>
      <tp t="b">
        <v>0</v>
        <stp/>
        <stp>##V3_BDPV12</stp>
        <stp/>
        <stp>CALC_TYP</stp>
        <stp>[RV_LINE_PRICER.xlsm]XccyFixedBonds!R20C227</stp>
        <tr r="HS20" s="16"/>
        <tr r="HS20" s="16"/>
        <tr r="HS20" s="16"/>
      </tp>
      <tp t="b">
        <v>0</v>
        <stp/>
        <stp>##V3_BDPV12</stp>
        <stp/>
        <stp>CALC_TYP</stp>
        <stp>[RV_LINE_PRICER.xlsm]XccyFixedBonds!R21C227</stp>
        <tr r="HS21" s="16"/>
        <tr r="HS21" s="16"/>
        <tr r="HS21" s="16"/>
      </tp>
      <tp t="b">
        <v>0</v>
        <stp/>
        <stp>##V3_BDPV12</stp>
        <stp/>
        <stp>CALC_TYP</stp>
        <stp>[RV_LINE_PRICER.xlsm]XccyFixedBonds!R26C227</stp>
        <tr r="HS26" s="16"/>
        <tr r="HS26" s="16"/>
        <tr r="HS26" s="16"/>
      </tp>
      <tp t="b">
        <v>0</v>
        <stp/>
        <stp>##V3_BDPV12</stp>
        <stp/>
        <stp>CALC_TYP</stp>
        <stp>[RV_LINE_PRICER.xlsm]XccyFixedBonds!R24C227</stp>
        <tr r="HS24" s="16"/>
        <tr r="HS24" s="16"/>
        <tr r="HS24" s="16"/>
      </tp>
      <tp t="b">
        <v>0</v>
        <stp/>
        <stp>##V3_BDPV12</stp>
        <stp/>
        <stp>CALC_TYP</stp>
        <stp>[RV_LINE_PRICER.xlsm]XccyFixedBonds!R25C227</stp>
        <tr r="HS25" s="16"/>
        <tr r="HS25" s="16"/>
        <tr r="HS25" s="16"/>
      </tp>
      <tp t="b">
        <v>0</v>
        <stp/>
        <stp>##V3_BDPV12</stp>
        <stp/>
        <stp>CALC_TYP</stp>
        <stp>[RV_LINE_PRICER.xlsm]XccyFixedBonds!R12C227</stp>
        <tr r="HS12" s="16"/>
        <tr r="HS12" s="16"/>
        <tr r="HS12" s="16"/>
      </tp>
      <tp t="b">
        <v>0</v>
        <stp/>
        <stp>##V3_BDPV12</stp>
        <stp/>
        <stp>CALC_TYP</stp>
        <stp>[RV_LINE_PRICER.xlsm]XccyFixedBonds!R13C227</stp>
        <tr r="HS13" s="16"/>
        <tr r="HS13" s="16"/>
        <tr r="HS13" s="16"/>
      </tp>
      <tp t="b">
        <v>0</v>
        <stp/>
        <stp>##V3_BDPV12</stp>
        <stp/>
        <stp>CALC_TYP</stp>
        <stp>[RV_LINE_PRICER.xlsm]XccyFixedBonds!R16C227</stp>
        <tr r="HS16" s="16"/>
        <tr r="HS16" s="16"/>
        <tr r="HS16" s="16"/>
      </tp>
      <tp t="b">
        <v>0</v>
        <stp/>
        <stp>##V3_BDPV12</stp>
        <stp/>
        <stp>CALC_TYP</stp>
        <stp>[RV_LINE_PRICER.xlsm]XccyFixedBonds!R17C227</stp>
        <tr r="HS17" s="16"/>
        <tr r="HS17" s="16"/>
        <tr r="HS17" s="16"/>
      </tp>
      <tp t="b">
        <v>0</v>
        <stp/>
        <stp>##V3_BDPV12</stp>
        <stp/>
        <stp>CALC_TYP</stp>
        <stp>[RV_LINE_PRICER.xlsm]XccyFixedBonds!R14C227</stp>
        <tr r="HS14" s="16"/>
        <tr r="HS14" s="16"/>
        <tr r="HS14" s="16"/>
      </tp>
      <tp t="b">
        <v>0</v>
        <stp/>
        <stp>##V3_BDPV12</stp>
        <stp/>
        <stp>CALC_TYP</stp>
        <stp>[RV_LINE_PRICER.xlsm]XccyFixedBonds!R15C227</stp>
        <tr r="HS15" s="16"/>
        <tr r="HS15" s="16"/>
        <tr r="HS15" s="16"/>
      </tp>
      <tp t="b">
        <v>0</v>
        <stp/>
        <stp>##V3_BDPV12</stp>
        <stp/>
        <stp>CALC_TYP</stp>
        <stp>[RV_LINE_PRICER.xlsm]XccyFixedBonds!R18C227</stp>
        <tr r="HS18" s="16"/>
        <tr r="HS18" s="16"/>
        <tr r="HS18" s="16"/>
      </tp>
      <tp t="b">
        <v>0</v>
        <stp/>
        <stp>##V3_BDPV12</stp>
        <stp/>
        <stp>CALC_TYP</stp>
        <stp>[RV_LINE_PRICER.xlsm]XccyFixedBonds!R19C227</stp>
        <tr r="HS19" s="16"/>
        <tr r="HS19" s="16"/>
        <tr r="HS19" s="16"/>
      </tp>
      <tp t="s">
        <v>CLEAN</v>
        <stp/>
        <stp>##V3_BDPV12</stp>
        <stp>XS1344710857 Corp</stp>
        <stp>PX_DIRTY_CLEAN</stp>
        <stp>[RV_LINE_PRICER.xlsm]XccyFixedBonds!R11C208</stp>
        <tr r="GZ11" s="16"/>
        <tr r="GZ11" s="16"/>
      </tp>
      <tp t="s">
        <v>CLEAN</v>
        <stp/>
        <stp>##V3_BDPV12</stp>
        <stp>XS1344710857 Corp</stp>
        <stp>PX_DIRTY_CLEAN</stp>
        <stp>[RV_LINE_PRICER.xlsm]XccyFixedBonds!R10C208</stp>
        <tr r="GZ10" s="16"/>
        <tr r="GZ10" s="16"/>
      </tp>
      <tp t="s">
        <v>#N/A Invalid Field</v>
        <stp/>
        <stp>##V3_BDPV12</stp>
        <stp>XS1344710857 Corp</stp>
        <stp>CalculationType</stp>
        <stp>[RV_LINE_PRICER.xlsm]XccyFixedBondSingle!R34C22</stp>
        <tr r="V34" s="21"/>
      </tp>
      <tp>
        <v>1</v>
        <stp/>
        <stp>##V3_BDPV12</stp>
        <stp>PPOE027W1 Corp</stp>
        <stp>CPN_FREQ</stp>
        <stp>[RV_LINE_PRICER.xlsm]FixedBonds!R11C208</stp>
        <tr r="GZ11" s="1"/>
      </tp>
      <tp>
        <v>2.17</v>
        <stp/>
        <stp>##V3_BDHV12</stp>
        <stp>ADBB6M Index</stp>
        <stp>PX_LAST</stp>
        <stp>12/07/2018</stp>
        <stp>12/07/2018</stp>
        <stp>[RV_LINE_PRICER.xlsm]FixingTables!R150C18</stp>
        <tr r="R150" s="5"/>
      </tp>
      <tp>
        <v>2.02</v>
        <stp/>
        <stp>##V3_BDHV12</stp>
        <stp>ADBB3M Index</stp>
        <stp>PX_LAST</stp>
        <stp>12/07/2018</stp>
        <stp>12/07/2018</stp>
        <stp>[RV_LINE_PRICER.xlsm]FixingTables!R150C15</stp>
        <tr r="O150" s="5"/>
      </tp>
      <tp>
        <v>2.16</v>
        <stp/>
        <stp>##V3_BDHV12</stp>
        <stp>ADBB6M Index</stp>
        <stp>PX_LAST</stp>
        <stp>13/06/2018</stp>
        <stp>13/06/2018</stp>
        <stp>[RV_LINE_PRICER.xlsm]FixingTables!R171C18</stp>
        <tr r="R171" s="5"/>
      </tp>
      <tp>
        <v>2.1800000000000002</v>
        <stp/>
        <stp>##V3_BDHV12</stp>
        <stp>ADBB6M Index</stp>
        <stp>PX_LAST</stp>
        <stp>03/07/2018</stp>
        <stp>03/07/2018</stp>
        <stp>[RV_LINE_PRICER.xlsm]FixingTables!R157C18</stp>
        <tr r="R157" s="5"/>
      </tp>
      <tp>
        <v>2.0699999999999998</v>
        <stp/>
        <stp>##V3_BDHV12</stp>
        <stp>ADBB3M Index</stp>
        <stp>PX_LAST</stp>
        <stp>13/06/2018</stp>
        <stp>13/06/2018</stp>
        <stp>[RV_LINE_PRICER.xlsm]FixingTables!R171C15</stp>
        <tr r="O171" s="5"/>
      </tp>
      <tp>
        <v>2.0758999999999999</v>
        <stp/>
        <stp>##V3_BDHV12</stp>
        <stp>ADBB3M Index</stp>
        <stp>PX_LAST</stp>
        <stp>03/07/2018</stp>
        <stp>03/07/2018</stp>
        <stp>[RV_LINE_PRICER.xlsm]FixingTables!R157C15</stp>
        <tr r="O157" s="5"/>
      </tp>
      <tp>
        <v>2.23</v>
        <stp/>
        <stp>##V3_BDHV12</stp>
        <stp>ADBB6M Index</stp>
        <stp>PX_LAST</stp>
        <stp>20/06/2018</stp>
        <stp>20/06/2018</stp>
        <stp>[RV_LINE_PRICER.xlsm]FixingTables!R166C18</stp>
        <tr r="R166" s="5"/>
      </tp>
      <tp>
        <v>2.15</v>
        <stp/>
        <stp>##V3_BDHV12</stp>
        <stp>ADBB6M Index</stp>
        <stp>PX_LAST</stp>
        <stp>30/07/2018</stp>
        <stp>30/07/2018</stp>
        <stp>[RV_LINE_PRICER.xlsm]FixingTables!R138C18</stp>
        <tr r="R138" s="5"/>
      </tp>
      <tp>
        <v>1.96</v>
        <stp/>
        <stp>##V3_BDHV12</stp>
        <stp>ADBB3M Index</stp>
        <stp>PX_LAST</stp>
        <stp>30/07/2018</stp>
        <stp>30/07/2018</stp>
        <stp>[RV_LINE_PRICER.xlsm]FixingTables!R138C15</stp>
        <tr r="O138" s="5"/>
      </tp>
      <tp>
        <v>2.12</v>
        <stp/>
        <stp>##V3_BDHV12</stp>
        <stp>ADBB3M Index</stp>
        <stp>PX_LAST</stp>
        <stp>20/06/2018</stp>
        <stp>20/06/2018</stp>
        <stp>[RV_LINE_PRICER.xlsm]FixingTables!R166C15</stp>
        <tr r="O166" s="5"/>
      </tp>
      <tp>
        <v>2.16</v>
        <stp/>
        <stp>##V3_BDHV12</stp>
        <stp>ADBB6M Index</stp>
        <stp>PX_LAST</stp>
        <stp>12/06/2018</stp>
        <stp>12/06/2018</stp>
        <stp>[RV_LINE_PRICER.xlsm]FixingTables!R172C18</stp>
        <tr r="R172" s="5"/>
      </tp>
      <tp>
        <v>2.2000000000000002</v>
        <stp/>
        <stp>##V3_BDHV12</stp>
        <stp>ADBB6M Index</stp>
        <stp>PX_LAST</stp>
        <stp>02/07/2018</stp>
        <stp>02/07/2018</stp>
        <stp>[RV_LINE_PRICER.xlsm]FixingTables!R158C18</stp>
        <tr r="R158" s="5"/>
      </tp>
      <tp>
        <v>2.0550000000000002</v>
        <stp/>
        <stp>##V3_BDHV12</stp>
        <stp>ADBB3M Index</stp>
        <stp>PX_LAST</stp>
        <stp>12/06/2018</stp>
        <stp>12/06/2018</stp>
        <stp>[RV_LINE_PRICER.xlsm]FixingTables!R172C15</stp>
        <tr r="O172" s="5"/>
      </tp>
      <tp>
        <v>2.09</v>
        <stp/>
        <stp>##V3_BDHV12</stp>
        <stp>ADBB3M Index</stp>
        <stp>PX_LAST</stp>
        <stp>02/07/2018</stp>
        <stp>02/07/2018</stp>
        <stp>[RV_LINE_PRICER.xlsm]FixingTables!R158C15</stp>
        <tr r="O158" s="5"/>
      </tp>
      <tp>
        <v>2.19</v>
        <stp/>
        <stp>##V3_BDHV12</stp>
        <stp>ADBB6M Index</stp>
        <stp>PX_LAST</stp>
        <stp>13/07/2018</stp>
        <stp>13/07/2018</stp>
        <stp>[RV_LINE_PRICER.xlsm]FixingTables!R149C18</stp>
        <tr r="R149" s="5"/>
      </tp>
      <tp>
        <v>2.0287999999999999</v>
        <stp/>
        <stp>##V3_BDHV12</stp>
        <stp>ADBB3M Index</stp>
        <stp>PX_LAST</stp>
        <stp>13/07/2018</stp>
        <stp>13/07/2018</stp>
        <stp>[RV_LINE_PRICER.xlsm]FixingTables!R149C15</stp>
        <tr r="O149" s="5"/>
      </tp>
      <tp>
        <v>2.17</v>
        <stp/>
        <stp>##V3_BDHV12</stp>
        <stp>ADBB6M Index</stp>
        <stp>PX_LAST</stp>
        <stp>20/07/2018</stp>
        <stp>20/07/2018</stp>
        <stp>[RV_LINE_PRICER.xlsm]FixingTables!R144C18</stp>
        <tr r="R144" s="5"/>
      </tp>
      <tp>
        <v>1.9838</v>
        <stp/>
        <stp>##V3_BDHV12</stp>
        <stp>ADBB3M Index</stp>
        <stp>PX_LAST</stp>
        <stp>20/07/2018</stp>
        <stp>20/07/2018</stp>
        <stp>[RV_LINE_PRICER.xlsm]FixingTables!R144C15</stp>
        <tr r="O144" s="5"/>
      </tp>
      <tp>
        <v>2.23</v>
        <stp/>
        <stp>##V3_BDHV12</stp>
        <stp>ADBB6M Index</stp>
        <stp>PX_LAST</stp>
        <stp>21/06/2018</stp>
        <stp>21/06/2018</stp>
        <stp>[RV_LINE_PRICER.xlsm]FixingTables!R165C18</stp>
        <tr r="R165" s="5"/>
      </tp>
      <tp>
        <v>2.15</v>
        <stp/>
        <stp>##V3_BDHV12</stp>
        <stp>ADBB6M Index</stp>
        <stp>PX_LAST</stp>
        <stp>31/07/2018</stp>
        <stp>31/07/2018</stp>
        <stp>[RV_LINE_PRICER.xlsm]FixingTables!R137C18</stp>
        <tr r="R137" s="5"/>
      </tp>
      <tp>
        <v>1.9632000000000001</v>
        <stp/>
        <stp>##V3_BDHV12</stp>
        <stp>ADBB3M Index</stp>
        <stp>PX_LAST</stp>
        <stp>31/07/2018</stp>
        <stp>31/07/2018</stp>
        <stp>[RV_LINE_PRICER.xlsm]FixingTables!R137C15</stp>
        <tr r="O137" s="5"/>
      </tp>
      <tp>
        <v>2.1074999999999999</v>
        <stp/>
        <stp>##V3_BDHV12</stp>
        <stp>ADBB3M Index</stp>
        <stp>PX_LAST</stp>
        <stp>21/06/2018</stp>
        <stp>21/06/2018</stp>
        <stp>[RV_LINE_PRICER.xlsm]FixingTables!R165C15</stp>
        <tr r="O165" s="5"/>
      </tp>
      <tp t="s">
        <v>CLEAN</v>
        <stp/>
        <stp>##V3_BDPV12</stp>
        <stp>PPOE027W1 Corp</stp>
        <stp>PX_DIRTY_CLEAN</stp>
        <stp>[RV_LINE_PRICER.xlsm]FixedBonds!R11C197</stp>
        <tr r="GO11" s="1"/>
      </tp>
      <tp>
        <v>2</v>
        <stp/>
        <stp>##V3_BDPV12</stp>
        <stp>USJ46186BC59 Corp</stp>
        <stp>CPN_FREQ</stp>
        <stp>[RV_LINE_PRICER.xlsm]XccyFixedBonds!R8C48</stp>
        <tr r="AV8" s="16"/>
        <tr r="AV8" s="16"/>
      </tp>
      <tp>
        <v>2</v>
        <stp/>
        <stp>##V3_BDPV12</stp>
        <stp>USJ46186BC59 Corp</stp>
        <stp>CPN_FREQ</stp>
        <stp>[RV_LINE_PRICER.xlsm]XccyFixedBonds!R9C48</stp>
        <tr r="AV9" s="16"/>
        <tr r="AV9" s="16"/>
      </tp>
      <tp>
        <v>2</v>
        <stp/>
        <stp>##V3_BDPV12</stp>
        <stp>USJ46186BC59 Corp</stp>
        <stp>CPN_FREQ</stp>
        <stp>[RV_LINE_PRICER.xlsm]XccyFixedBonds!R7C48</stp>
        <tr r="AV7" s="16"/>
        <tr r="AV7" s="16"/>
      </tp>
      <tp>
        <v>2.23</v>
        <stp/>
        <stp>##V3_BDHV12</stp>
        <stp>ADBB6M Index</stp>
        <stp>PX_LAST</stp>
        <stp>26/06/2018</stp>
        <stp>26/06/2018</stp>
        <stp>[RV_LINE_PRICER.xlsm]FixingTables!R162C18</stp>
        <tr r="R162" s="5"/>
      </tp>
      <tp>
        <v>2.1124999999999998</v>
        <stp/>
        <stp>##V3_BDHV12</stp>
        <stp>ADBB3M Index</stp>
        <stp>PX_LAST</stp>
        <stp>26/06/2018</stp>
        <stp>26/06/2018</stp>
        <stp>[RV_LINE_PRICER.xlsm]FixingTables!R162C15</stp>
        <tr r="O162" s="5"/>
      </tp>
      <tp>
        <v>2.14</v>
        <stp/>
        <stp>##V3_BDHV12</stp>
        <stp>ADBB6M Index</stp>
        <stp>PX_LAST</stp>
        <stp>27/07/2018</stp>
        <stp>27/07/2018</stp>
        <stp>[RV_LINE_PRICER.xlsm]FixingTables!R139C18</stp>
        <tr r="R139" s="5"/>
      </tp>
      <tp>
        <v>1.96</v>
        <stp/>
        <stp>##V3_BDHV12</stp>
        <stp>ADBB3M Index</stp>
        <stp>PX_LAST</stp>
        <stp>27/07/2018</stp>
        <stp>27/07/2018</stp>
        <stp>[RV_LINE_PRICER.xlsm]FixingTables!R139C15</stp>
        <tr r="O139" s="5"/>
      </tp>
      <tp>
        <v>2.11</v>
        <stp/>
        <stp>##V3_BDHV12</stp>
        <stp>ADBB6M Index</stp>
        <stp>PX_LAST</stp>
        <stp>04/06/2018</stp>
        <stp>04/06/2018</stp>
        <stp>[RV_LINE_PRICER.xlsm]FixingTables!R177C18</stp>
        <tr r="R177" s="5"/>
      </tp>
      <tp>
        <v>2</v>
        <stp/>
        <stp>##V3_BDHV12</stp>
        <stp>ADBB3M Index</stp>
        <stp>PX_LAST</stp>
        <stp>04/06/2018</stp>
        <stp>04/06/2018</stp>
        <stp>[RV_LINE_PRICER.xlsm]FixingTables!R177C15</stp>
        <tr r="O177" s="5"/>
      </tp>
      <tp>
        <v>2.16</v>
        <stp/>
        <stp>##V3_BDHV12</stp>
        <stp>ADBB6M Index</stp>
        <stp>PX_LAST</stp>
        <stp>15/06/2018</stp>
        <stp>15/06/2018</stp>
        <stp>[RV_LINE_PRICER.xlsm]FixingTables!R169C18</stp>
        <tr r="R169" s="5"/>
      </tp>
      <tp>
        <v>2.1800000000000002</v>
        <stp/>
        <stp>##V3_BDHV12</stp>
        <stp>ADBB6M Index</stp>
        <stp>PX_LAST</stp>
        <stp>05/07/2018</stp>
        <stp>05/07/2018</stp>
        <stp>[RV_LINE_PRICER.xlsm]FixingTables!R155C18</stp>
        <tr r="R155" s="5"/>
      </tp>
      <tp>
        <v>1.9403999999999999</v>
        <stp/>
        <stp>##V3_BDHV12</stp>
        <stp>ADBB3M Index</stp>
        <stp>PX_LAST</stp>
        <stp>25/05/2018</stp>
        <stp>25/05/2018</stp>
        <stp>[RV_LINE_PRICER.xlsm]FixingTables!R182C15</stp>
        <tr r="O182" s="5"/>
      </tp>
      <tp>
        <v>2.0653000000000001</v>
        <stp/>
        <stp>##V3_BDHV12</stp>
        <stp>ADBB3M Index</stp>
        <stp>PX_LAST</stp>
        <stp>15/06/2018</stp>
        <stp>15/06/2018</stp>
        <stp>[RV_LINE_PRICER.xlsm]FixingTables!R169C15</stp>
        <tr r="O169" s="5"/>
      </tp>
      <tp>
        <v>2.06</v>
        <stp/>
        <stp>##V3_BDHV12</stp>
        <stp>ADBB3M Index</stp>
        <stp>PX_LAST</stp>
        <stp>05/07/2018</stp>
        <stp>05/07/2018</stp>
        <stp>[RV_LINE_PRICER.xlsm]FixingTables!R155C15</stp>
        <tr r="O155" s="5"/>
      </tp>
      <tp>
        <v>2.06</v>
        <stp/>
        <stp>##V3_BDHV12</stp>
        <stp>ADBB6M Index</stp>
        <stp>PX_LAST</stp>
        <stp>25/05/2018</stp>
        <stp>25/05/2018</stp>
        <stp>[RV_LINE_PRICER.xlsm]FixingTables!R182C18</stp>
        <tr r="R182" s="5"/>
      </tp>
      <tp>
        <v>2.15</v>
        <stp/>
        <stp>##V3_BDHV12</stp>
        <stp>ADBB6M Index</stp>
        <stp>PX_LAST</stp>
        <stp>28/08/2018</stp>
        <stp>28/08/2018</stp>
        <stp>[RV_LINE_PRICER.xlsm]FixingTables!R119C18</stp>
        <tr r="R119" s="5"/>
      </tp>
      <tp>
        <v>1.9624999999999999</v>
        <stp/>
        <stp>##V3_BDHV12</stp>
        <stp>ADBB3M Index</stp>
        <stp>PX_LAST</stp>
        <stp>28/08/2018</stp>
        <stp>28/08/2018</stp>
        <stp>[RV_LINE_PRICER.xlsm]FixingTables!R119C15</stp>
        <tr r="O119" s="5"/>
      </tp>
      <tp>
        <v>1</v>
        <stp/>
        <stp>##V3_BDPV12</stp>
        <stp>XS0423038875 Corp</stp>
        <stp>CALC_TYP</stp>
        <stp>[RV_LINE_PRICER.xlsm]FixedBonds!R9C49</stp>
        <tr r="AW9" s="1"/>
      </tp>
      <tp t="b">
        <v>0</v>
        <stp/>
        <stp>##V3_BDPV12</stp>
        <stp/>
        <stp>FIRST_CPN_DT</stp>
        <stp>[RV_LINE_PRICER.xlsm]XccyFixedBonds!R15C44</stp>
        <tr r="AR15" s="16"/>
        <tr r="AR15" s="16"/>
      </tp>
      <tp t="b">
        <v>0</v>
        <stp/>
        <stp>##V3_BDPV12</stp>
        <stp/>
        <stp>FIRST_CPN_DT</stp>
        <stp>[RV_LINE_PRICER.xlsm]XccyFixedBonds!R14C44</stp>
        <tr r="AR14" s="16"/>
        <tr r="AR14" s="16"/>
      </tp>
      <tp t="b">
        <v>0</v>
        <stp/>
        <stp>##V3_BDPV12</stp>
        <stp/>
        <stp>FIRST_CPN_DT</stp>
        <stp>[RV_LINE_PRICER.xlsm]XccyFixedBonds!R17C44</stp>
        <tr r="AR17" s="16"/>
        <tr r="AR17" s="16"/>
      </tp>
      <tp t="b">
        <v>0</v>
        <stp/>
        <stp>##V3_BDPV12</stp>
        <stp/>
        <stp>FIRST_CPN_DT</stp>
        <stp>[RV_LINE_PRICER.xlsm]XccyFixedBonds!R16C44</stp>
        <tr r="AR16" s="16"/>
        <tr r="AR16" s="16"/>
      </tp>
      <tp t="b">
        <v>0</v>
        <stp/>
        <stp>##V3_BDPV12</stp>
        <stp/>
        <stp>FIRST_CPN_DT</stp>
        <stp>[RV_LINE_PRICER.xlsm]XccyFixedBonds!R13C44</stp>
        <tr r="AR13" s="16"/>
        <tr r="AR13" s="16"/>
      </tp>
      <tp t="b">
        <v>0</v>
        <stp/>
        <stp>##V3_BDPV12</stp>
        <stp/>
        <stp>FIRST_CPN_DT</stp>
        <stp>[RV_LINE_PRICER.xlsm]XccyFixedBonds!R12C44</stp>
        <tr r="AR12" s="16"/>
        <tr r="AR12" s="16"/>
      </tp>
      <tp t="b">
        <v>0</v>
        <stp/>
        <stp>##V3_BDPV12</stp>
        <stp/>
        <stp>FIRST_CPN_DT</stp>
        <stp>[RV_LINE_PRICER.xlsm]XccyFixedBonds!R19C44</stp>
        <tr r="AR19" s="16"/>
        <tr r="AR19" s="16"/>
      </tp>
      <tp t="b">
        <v>0</v>
        <stp/>
        <stp>##V3_BDPV12</stp>
        <stp/>
        <stp>FIRST_CPN_DT</stp>
        <stp>[RV_LINE_PRICER.xlsm]XccyFixedBonds!R18C44</stp>
        <tr r="AR18" s="16"/>
        <tr r="AR18" s="16"/>
      </tp>
      <tp t="b">
        <v>0</v>
        <stp/>
        <stp>##V3_BDPV12</stp>
        <stp/>
        <stp>FIRST_CPN_DT</stp>
        <stp>[RV_LINE_PRICER.xlsm]XccyFixedBonds!R25C44</stp>
        <tr r="AR25" s="16"/>
        <tr r="AR25" s="16"/>
      </tp>
      <tp t="b">
        <v>0</v>
        <stp/>
        <stp>##V3_BDPV12</stp>
        <stp/>
        <stp>FIRST_CPN_DT</stp>
        <stp>[RV_LINE_PRICER.xlsm]XccyFixedBonds!R24C44</stp>
        <tr r="AR24" s="16"/>
        <tr r="AR24" s="16"/>
      </tp>
      <tp t="b">
        <v>0</v>
        <stp/>
        <stp>##V3_BDPV12</stp>
        <stp/>
        <stp>FIRST_CPN_DT</stp>
        <stp>[RV_LINE_PRICER.xlsm]XccyFixedBonds!R26C44</stp>
        <tr r="AR26" s="16"/>
        <tr r="AR26" s="16"/>
      </tp>
      <tp t="b">
        <v>0</v>
        <stp/>
        <stp>##V3_BDPV12</stp>
        <stp/>
        <stp>FIRST_CPN_DT</stp>
        <stp>[RV_LINE_PRICER.xlsm]XccyFixedBonds!R21C44</stp>
        <tr r="AR21" s="16"/>
        <tr r="AR21" s="16"/>
      </tp>
      <tp t="b">
        <v>0</v>
        <stp/>
        <stp>##V3_BDPV12</stp>
        <stp/>
        <stp>FIRST_CPN_DT</stp>
        <stp>[RV_LINE_PRICER.xlsm]XccyFixedBonds!R20C44</stp>
        <tr r="AR20" s="16"/>
        <tr r="AR20" s="16"/>
      </tp>
      <tp t="b">
        <v>0</v>
        <stp/>
        <stp>##V3_BDPV12</stp>
        <stp/>
        <stp>FIRST_CPN_DT</stp>
        <stp>[RV_LINE_PRICER.xlsm]XccyFixedBonds!R23C44</stp>
        <tr r="AR23" s="16"/>
        <tr r="AR23" s="16"/>
      </tp>
      <tp t="b">
        <v>0</v>
        <stp/>
        <stp>##V3_BDPV12</stp>
        <stp/>
        <stp>FIRST_CPN_DT</stp>
        <stp>[RV_LINE_PRICER.xlsm]XccyFixedBonds!R22C44</stp>
        <tr r="AR22" s="16"/>
        <tr r="AR22" s="16"/>
      </tp>
      <tp t="b">
        <v>0</v>
        <stp/>
        <stp>##V3_BDPV12</stp>
        <stp/>
        <stp>ID_ISIN</stp>
        <stp>[RV_LINE_PRICER.xlsm]XccyFixedBonds!R13C35</stp>
        <tr r="AI13" s="16"/>
        <tr r="AI13" s="16"/>
      </tp>
      <tp t="b">
        <v>0</v>
        <stp/>
        <stp>##V3_BDPV12</stp>
        <stp/>
        <stp>ID_ISIN</stp>
        <stp>[RV_LINE_PRICER.xlsm]XccyFixedBonds!R12C35</stp>
        <tr r="AI12" s="16"/>
        <tr r="AI12" s="16"/>
      </tp>
      <tp t="b">
        <v>0</v>
        <stp/>
        <stp>##V3_BDPV12</stp>
        <stp/>
        <stp>ID_ISIN</stp>
        <stp>[RV_LINE_PRICER.xlsm]XccyFixedBonds!R15C35</stp>
        <tr r="AI15" s="16"/>
        <tr r="AI15" s="16"/>
      </tp>
      <tp t="b">
        <v>0</v>
        <stp/>
        <stp>##V3_BDPV12</stp>
        <stp/>
        <stp>ID_ISIN</stp>
        <stp>[RV_LINE_PRICER.xlsm]XccyFixedBonds!R14C35</stp>
        <tr r="AI14" s="16"/>
        <tr r="AI14" s="16"/>
      </tp>
      <tp t="b">
        <v>0</v>
        <stp/>
        <stp>##V3_BDPV12</stp>
        <stp/>
        <stp>ID_ISIN</stp>
        <stp>[RV_LINE_PRICER.xlsm]XccyFixedBonds!R17C35</stp>
        <tr r="AI17" s="16"/>
        <tr r="AI17" s="16"/>
      </tp>
      <tp t="b">
        <v>0</v>
        <stp/>
        <stp>##V3_BDPV12</stp>
        <stp/>
        <stp>ID_ISIN</stp>
        <stp>[RV_LINE_PRICER.xlsm]XccyFixedBonds!R16C35</stp>
        <tr r="AI16" s="16"/>
        <tr r="AI16" s="16"/>
      </tp>
      <tp t="b">
        <v>0</v>
        <stp/>
        <stp>##V3_BDPV12</stp>
        <stp/>
        <stp>ID_ISIN</stp>
        <stp>[RV_LINE_PRICER.xlsm]XccyFixedBonds!R19C35</stp>
        <tr r="AI19" s="16"/>
        <tr r="AI19" s="16"/>
      </tp>
      <tp t="b">
        <v>0</v>
        <stp/>
        <stp>##V3_BDPV12</stp>
        <stp/>
        <stp>ID_ISIN</stp>
        <stp>[RV_LINE_PRICER.xlsm]XccyFixedBonds!R18C35</stp>
        <tr r="AI18" s="16"/>
        <tr r="AI18" s="16"/>
      </tp>
      <tp t="b">
        <v>0</v>
        <stp/>
        <stp>##V3_BDPV12</stp>
        <stp/>
        <stp>ID_ISIN</stp>
        <stp>[RV_LINE_PRICER.xlsm]XccyFixedBonds!R21C35</stp>
        <tr r="AI21" s="16"/>
        <tr r="AI21" s="16"/>
      </tp>
      <tp t="b">
        <v>0</v>
        <stp/>
        <stp>##V3_BDPV12</stp>
        <stp/>
        <stp>ID_ISIN</stp>
        <stp>[RV_LINE_PRICER.xlsm]XccyFixedBonds!R20C35</stp>
        <tr r="AI20" s="16"/>
        <tr r="AI20" s="16"/>
      </tp>
      <tp t="b">
        <v>0</v>
        <stp/>
        <stp>##V3_BDPV12</stp>
        <stp/>
        <stp>ID_ISIN</stp>
        <stp>[RV_LINE_PRICER.xlsm]XccyFixedBonds!R23C35</stp>
        <tr r="AI23" s="16"/>
        <tr r="AI23" s="16"/>
      </tp>
      <tp t="b">
        <v>0</v>
        <stp/>
        <stp>##V3_BDPV12</stp>
        <stp/>
        <stp>ID_ISIN</stp>
        <stp>[RV_LINE_PRICER.xlsm]XccyFixedBonds!R22C35</stp>
        <tr r="AI22" s="16"/>
        <tr r="AI22" s="16"/>
      </tp>
      <tp t="b">
        <v>0</v>
        <stp/>
        <stp>##V3_BDPV12</stp>
        <stp/>
        <stp>ID_ISIN</stp>
        <stp>[RV_LINE_PRICER.xlsm]XccyFixedBonds!R25C35</stp>
        <tr r="AI25" s="16"/>
        <tr r="AI25" s="16"/>
      </tp>
      <tp t="b">
        <v>0</v>
        <stp/>
        <stp>##V3_BDPV12</stp>
        <stp/>
        <stp>ID_ISIN</stp>
        <stp>[RV_LINE_PRICER.xlsm]XccyFixedBonds!R24C35</stp>
        <tr r="AI24" s="16"/>
        <tr r="AI24" s="16"/>
      </tp>
      <tp t="b">
        <v>0</v>
        <stp/>
        <stp>##V3_BDPV12</stp>
        <stp/>
        <stp>ID_ISIN</stp>
        <stp>[RV_LINE_PRICER.xlsm]XccyFixedBonds!R26C35</stp>
        <tr r="AI26" s="16"/>
        <tr r="AI26" s="16"/>
      </tp>
      <tp t="s">
        <v>XS0423038875</v>
        <stp/>
        <stp>##V3_BDPV12</stp>
        <stp>XS0423038875 Corp</stp>
        <stp>ID_ISIN</stp>
        <stp>[RV_LINE_PRICER.xlsm]FixedBonds!R9C28</stp>
        <tr r="AB9" s="1"/>
      </tp>
      <tp>
        <v>2.14</v>
        <stp/>
        <stp>##V3_BDHV12</stp>
        <stp>ADBB6M Index</stp>
        <stp>PX_LAST</stp>
        <stp>26/07/2018</stp>
        <stp>26/07/2018</stp>
        <stp>[RV_LINE_PRICER.xlsm]FixingTables!R140C18</stp>
        <tr r="R140" s="5"/>
      </tp>
      <tp>
        <v>1.97</v>
        <stp/>
        <stp>##V3_BDHV12</stp>
        <stp>ADBB3M Index</stp>
        <stp>PX_LAST</stp>
        <stp>26/07/2018</stp>
        <stp>26/07/2018</stp>
        <stp>[RV_LINE_PRICER.xlsm]FixingTables!R140C15</stp>
        <tr r="O140" s="5"/>
      </tp>
      <tp>
        <v>2.23</v>
        <stp/>
        <stp>##V3_BDHV12</stp>
        <stp>ADBB6M Index</stp>
        <stp>PX_LAST</stp>
        <stp>27/06/2018</stp>
        <stp>27/06/2018</stp>
        <stp>[RV_LINE_PRICER.xlsm]FixingTables!R161C18</stp>
        <tr r="R161" s="5"/>
      </tp>
      <tp>
        <v>2.1153</v>
        <stp/>
        <stp>##V3_BDHV12</stp>
        <stp>ADBB3M Index</stp>
        <stp>PX_LAST</stp>
        <stp>27/06/2018</stp>
        <stp>27/06/2018</stp>
        <stp>[RV_LINE_PRICER.xlsm]FixingTables!R161C15</stp>
        <tr r="O161" s="5"/>
      </tp>
      <tp>
        <v>2.16</v>
        <stp/>
        <stp>##V3_BDHV12</stp>
        <stp>ADBB6M Index</stp>
        <stp>PX_LAST</stp>
        <stp>14/06/2018</stp>
        <stp>14/06/2018</stp>
        <stp>[RV_LINE_PRICER.xlsm]FixingTables!R170C18</stp>
        <tr r="R170" s="5"/>
      </tp>
      <tp>
        <v>2.1800000000000002</v>
        <stp/>
        <stp>##V3_BDHV12</stp>
        <stp>ADBB6M Index</stp>
        <stp>PX_LAST</stp>
        <stp>04/07/2018</stp>
        <stp>04/07/2018</stp>
        <stp>[RV_LINE_PRICER.xlsm]FixingTables!R156C18</stp>
        <tr r="R156" s="5"/>
      </tp>
      <tp>
        <v>2.0699999999999998</v>
        <stp/>
        <stp>##V3_BDHV12</stp>
        <stp>ADBB3M Index</stp>
        <stp>PX_LAST</stp>
        <stp>14/06/2018</stp>
        <stp>14/06/2018</stp>
        <stp>[RV_LINE_PRICER.xlsm]FixingTables!R170C15</stp>
        <tr r="O170" s="5"/>
      </tp>
      <tp>
        <v>2.0794000000000001</v>
        <stp/>
        <stp>##V3_BDHV12</stp>
        <stp>ADBB3M Index</stp>
        <stp>PX_LAST</stp>
        <stp>04/07/2018</stp>
        <stp>04/07/2018</stp>
        <stp>[RV_LINE_PRICER.xlsm]FixingTables!R156C15</stp>
        <tr r="O156" s="5"/>
      </tp>
      <tp>
        <v>2.15</v>
        <stp/>
        <stp>##V3_BDHV12</stp>
        <stp>ADBB6M Index</stp>
        <stp>PX_LAST</stp>
        <stp>05/06/2018</stp>
        <stp>05/06/2018</stp>
        <stp>[RV_LINE_PRICER.xlsm]FixingTables!R176C18</stp>
        <tr r="R176" s="5"/>
      </tp>
      <tp>
        <v>2.0112999999999999</v>
        <stp/>
        <stp>##V3_BDHV12</stp>
        <stp>ADBB3M Index</stp>
        <stp>PX_LAST</stp>
        <stp>05/06/2018</stp>
        <stp>05/06/2018</stp>
        <stp>[RV_LINE_PRICER.xlsm]FixingTables!R176C15</stp>
        <tr r="O176" s="5"/>
      </tp>
      <tp>
        <v>5</v>
        <stp/>
        <stp>##V3_BDPV12</stp>
        <stp>USN4578BQA53 Corp</stp>
        <stp>CPN</stp>
        <stp>[RV_LINE_PRICER.xlsm]FixedBondSingle!R25C9</stp>
        <tr r="I25" s="22"/>
      </tp>
      <tp>
        <v>2.15</v>
        <stp/>
        <stp>##V3_BDHV12</stp>
        <stp>ADBB6M Index</stp>
        <stp>PX_LAST</stp>
        <stp>29/08/2018</stp>
        <stp>29/08/2018</stp>
        <stp>[RV_LINE_PRICER.xlsm]FixingTables!R118C18</stp>
        <tr r="R118" s="5"/>
      </tp>
      <tp>
        <v>1.9447000000000001</v>
        <stp/>
        <stp>##V3_BDHV12</stp>
        <stp>ADBB3M Index</stp>
        <stp>PX_LAST</stp>
        <stp>29/08/2018</stp>
        <stp>29/08/2018</stp>
        <stp>[RV_LINE_PRICER.xlsm]FixingTables!R118C15</stp>
        <tr r="O118" s="5"/>
      </tp>
      <tp>
        <v>2.7374999999999998</v>
        <stp/>
        <stp>##V3_BDPV12</stp>
        <stp>XS1193905160 Corp</stp>
        <stp>YAS_FLOATER_ASSUMED_RATE</stp>
        <stp>[RV_LINE_PRICER.xlsm]FloatBonds!R7C21</stp>
        <tr r="U7" s="18"/>
      </tp>
      <tp>
        <v>2.7374999999999998</v>
        <stp/>
        <stp>##V3_BDPV12</stp>
        <stp>XS1193905160 Corp</stp>
        <stp>YAS_FLOATER_ASSUMED_RATE</stp>
        <stp>[RV_LINE_PRICER.xlsm]FloatBonds!R9C21</stp>
        <tr r="U9" s="18"/>
      </tp>
      <tp>
        <v>2.7374999999999998</v>
        <stp/>
        <stp>##V3_BDPV12</stp>
        <stp>XS1193905160 Corp</stp>
        <stp>YAS_FLOATER_ASSUMED_RATE</stp>
        <stp>[RV_LINE_PRICER.xlsm]FloatBonds!R8C21</stp>
        <tr r="U8" s="18"/>
      </tp>
      <tp>
        <v>2.5209999999999999</v>
        <stp/>
        <stp>##V3_BDPV12</stp>
        <stp>US05565QCT31 Corp</stp>
        <stp>CPN</stp>
        <stp>[RV_LINE_PRICER.xlsm]FloatBondSingle!R25C9</stp>
        <tr r="I25" s="23"/>
        <tr r="I25" s="23"/>
      </tp>
      <tp t="s">
        <v>CLEAN</v>
        <stp/>
        <stp>##V3_BDPV12</stp>
        <stp>US05565QCT31 Corp</stp>
        <stp>PX_DIRTY_CLEAN</stp>
        <stp>[RV_LINE_PRICER.xlsm]FloatBonds!R11C34</stp>
        <tr r="AH11" s="18"/>
      </tp>
      <tp t="s">
        <v>CLEAN</v>
        <stp/>
        <stp>##V3_BDPV12</stp>
        <stp>US05565QCT31 Corp</stp>
        <stp>PX_DIRTY_CLEAN</stp>
        <stp>[RV_LINE_PRICER.xlsm]FloatBonds!R10C34</stp>
        <tr r="AH10" s="18"/>
      </tp>
      <tp>
        <v>2.15</v>
        <stp/>
        <stp>##V3_BDHV12</stp>
        <stp>ADBB6M Index</stp>
        <stp>PX_LAST</stp>
        <stp>06/06/2018</stp>
        <stp>06/06/2018</stp>
        <stp>[RV_LINE_PRICER.xlsm]FixingTables!R175C18</stp>
        <tr r="R175" s="5"/>
      </tp>
      <tp>
        <v>2.1800000000000002</v>
        <stp/>
        <stp>##V3_BDHV12</stp>
        <stp>ADBB6M Index</stp>
        <stp>PX_LAST</stp>
        <stp>16/07/2018</stp>
        <stp>16/07/2018</stp>
        <stp>[RV_LINE_PRICER.xlsm]FixingTables!R148C18</stp>
        <tr r="R148" s="5"/>
      </tp>
      <tp>
        <v>2.0303</v>
        <stp/>
        <stp>##V3_BDHV12</stp>
        <stp>ADBB3M Index</stp>
        <stp>PX_LAST</stp>
        <stp>06/06/2018</stp>
        <stp>06/06/2018</stp>
        <stp>[RV_LINE_PRICER.xlsm]FixingTables!R175C15</stp>
        <tr r="O175" s="5"/>
      </tp>
      <tp>
        <v>2.0304000000000002</v>
        <stp/>
        <stp>##V3_BDHV12</stp>
        <stp>ADBB3M Index</stp>
        <stp>PX_LAST</stp>
        <stp>16/07/2018</stp>
        <stp>16/07/2018</stp>
        <stp>[RV_LINE_PRICER.xlsm]FixingTables!R148C15</stp>
        <tr r="O148" s="5"/>
      </tp>
      <tp>
        <v>2.14</v>
        <stp/>
        <stp>##V3_BDHV12</stp>
        <stp>ADBB6M Index</stp>
        <stp>PX_LAST</stp>
        <stp>25/07/2018</stp>
        <stp>25/07/2018</stp>
        <stp>[RV_LINE_PRICER.xlsm]FixingTables!R141C18</stp>
        <tr r="R141" s="5"/>
      </tp>
      <tp>
        <v>1.9626999999999999</v>
        <stp/>
        <stp>##V3_BDHV12</stp>
        <stp>ADBB3M Index</stp>
        <stp>PX_LAST</stp>
        <stp>25/07/2018</stp>
        <stp>25/07/2018</stp>
        <stp>[RV_LINE_PRICER.xlsm]FixingTables!R141C15</stp>
        <tr r="O141" s="5"/>
      </tp>
      <tp>
        <v>2.16</v>
        <stp/>
        <stp>##V3_BDHV12</stp>
        <stp>ADBB6M Index</stp>
        <stp>PX_LAST</stp>
        <stp>08/08/2018</stp>
        <stp>08/08/2018</stp>
        <stp>[RV_LINE_PRICER.xlsm]FixingTables!R132C18</stp>
        <tr r="R132" s="5"/>
      </tp>
      <tp>
        <v>2.11</v>
        <stp/>
        <stp>##V3_BDHV12</stp>
        <stp>ADBB6M Index</stp>
        <stp>PX_LAST</stp>
        <stp>18/09/2018</stp>
        <stp>18/09/2018</stp>
        <stp>[RV_LINE_PRICER.xlsm]FixingTables!R104C18</stp>
        <tr r="R104" s="5"/>
      </tp>
      <tp>
        <v>1.9537</v>
        <stp/>
        <stp>##V3_BDHV12</stp>
        <stp>ADBB3M Index</stp>
        <stp>PX_LAST</stp>
        <stp>08/08/2018</stp>
        <stp>08/08/2018</stp>
        <stp>[RV_LINE_PRICER.xlsm]FixingTables!R132C15</stp>
        <tr r="O132" s="5"/>
      </tp>
      <tp>
        <v>1.92</v>
        <stp/>
        <stp>##V3_BDHV12</stp>
        <stp>ADBB3M Index</stp>
        <stp>PX_LAST</stp>
        <stp>18/09/2018</stp>
        <stp>18/09/2018</stp>
        <stp>[RV_LINE_PRICER.xlsm]FixingTables!R104C15</stp>
        <tr r="O104" s="5"/>
      </tp>
      <tp t="s">
        <v>FIXED</v>
        <stp/>
        <stp>##V3_BDPV12</stp>
        <stp>XS1339542364 Corp</stp>
        <stp>CPN_TYP</stp>
        <stp>[RV_LINE_PRICER.xlsm]FixedBonds!R7C193</stp>
        <tr r="GK7" s="1"/>
      </tp>
      <tp>
        <v>0.72714000000000001</v>
        <stp/>
        <stp>##V3_BDHV12</stp>
        <stp>AUDUSD Curncy</stp>
        <stp>MID</stp>
        <stp>31/01/2019</stp>
        <stp>31/01/2019</stp>
        <stp>[RV_LINE_PRICER.xlsm]XccyFixedBonds!R11C21</stp>
        <tr r="U11" s="16"/>
      </tp>
      <tp>
        <v>0.72714000000000001</v>
        <stp/>
        <stp>##V3_BDHV12</stp>
        <stp>AUDUSD Curncy</stp>
        <stp>MID</stp>
        <stp>31/01/2019</stp>
        <stp>31/01/2019</stp>
        <stp>[RV_LINE_PRICER.xlsm]XccyFixedBonds!R10C21</stp>
        <tr r="U10" s="16"/>
      </tp>
      <tp>
        <v>2.1800000000000002</v>
        <stp/>
        <stp>##V3_BDHV12</stp>
        <stp>ADBB6M Index</stp>
        <stp>PX_LAST</stp>
        <stp>06/07/2018</stp>
        <stp>06/07/2018</stp>
        <stp>[RV_LINE_PRICER.xlsm]FixingTables!R154C18</stp>
        <tr r="R154" s="5"/>
      </tp>
      <tp>
        <v>2.06</v>
        <stp/>
        <stp>##V3_BDHV12</stp>
        <stp>ADBB3M Index</stp>
        <stp>PX_LAST</stp>
        <stp>06/07/2018</stp>
        <stp>06/07/2018</stp>
        <stp>[RV_LINE_PRICER.xlsm]FixingTables!R154C15</stp>
        <tr r="O154" s="5"/>
      </tp>
      <tp>
        <v>2.16</v>
        <stp/>
        <stp>##V3_BDHV12</stp>
        <stp>ADBB6M Index</stp>
        <stp>PX_LAST</stp>
        <stp>07/06/2018</stp>
        <stp>07/06/2018</stp>
        <stp>[RV_LINE_PRICER.xlsm]FixingTables!R174C18</stp>
        <tr r="R174" s="5"/>
      </tp>
      <tp>
        <v>2.1800000000000002</v>
        <stp/>
        <stp>##V3_BDHV12</stp>
        <stp>ADBB6M Index</stp>
        <stp>PX_LAST</stp>
        <stp>17/07/2018</stp>
        <stp>17/07/2018</stp>
        <stp>[RV_LINE_PRICER.xlsm]FixingTables!R147C18</stp>
        <tr r="R147" s="5"/>
      </tp>
      <tp>
        <v>2.0436999999999999</v>
        <stp/>
        <stp>##V3_BDHV12</stp>
        <stp>ADBB3M Index</stp>
        <stp>PX_LAST</stp>
        <stp>07/06/2018</stp>
        <stp>07/06/2018</stp>
        <stp>[RV_LINE_PRICER.xlsm]FixingTables!R174C15</stp>
        <tr r="O174" s="5"/>
      </tp>
      <tp>
        <v>2.0051000000000001</v>
        <stp/>
        <stp>##V3_BDHV12</stp>
        <stp>ADBB3M Index</stp>
        <stp>PX_LAST</stp>
        <stp>17/07/2018</stp>
        <stp>17/07/2018</stp>
        <stp>[RV_LINE_PRICER.xlsm]FixingTables!R147C15</stp>
        <tr r="O147" s="5"/>
      </tp>
      <tp>
        <v>2.15</v>
        <stp/>
        <stp>##V3_BDHV12</stp>
        <stp>ADBB6M Index</stp>
        <stp>PX_LAST</stp>
        <stp>24/07/2018</stp>
        <stp>24/07/2018</stp>
        <stp>[RV_LINE_PRICER.xlsm]FixingTables!R142C18</stp>
        <tr r="R142" s="5"/>
      </tp>
      <tp>
        <v>1.9653</v>
        <stp/>
        <stp>##V3_BDHV12</stp>
        <stp>ADBB3M Index</stp>
        <stp>PX_LAST</stp>
        <stp>24/07/2018</stp>
        <stp>24/07/2018</stp>
        <stp>[RV_LINE_PRICER.xlsm]FixingTables!R142C15</stp>
        <tr r="O142" s="5"/>
      </tp>
      <tp>
        <v>2.23</v>
        <stp/>
        <stp>##V3_BDHV12</stp>
        <stp>ADBB6M Index</stp>
        <stp>PX_LAST</stp>
        <stp>25/06/2018</stp>
        <stp>25/06/2018</stp>
        <stp>[RV_LINE_PRICER.xlsm]FixingTables!R163C18</stp>
        <tr r="R163" s="5"/>
      </tp>
      <tp>
        <v>2.11</v>
        <stp/>
        <stp>##V3_BDHV12</stp>
        <stp>ADBB3M Index</stp>
        <stp>PX_LAST</stp>
        <stp>25/06/2018</stp>
        <stp>25/06/2018</stp>
        <stp>[RV_LINE_PRICER.xlsm]FixingTables!R163C15</stp>
        <tr r="O163" s="5"/>
      </tp>
      <tp t="s">
        <v>#N/A N/A</v>
        <stp/>
        <stp>##V3_BDHV12</stp>
        <stp>ADBB6M Index</stp>
        <stp>PX_LAST</stp>
        <stp>09/08/2018</stp>
        <stp>09/08/2018</stp>
        <stp>[RV_LINE_PRICER.xlsm]FixingTables!R131C18</stp>
        <tr r="R131" s="5"/>
      </tp>
      <tp>
        <v>2.11</v>
        <stp/>
        <stp>##V3_BDHV12</stp>
        <stp>ADBB6M Index</stp>
        <stp>PX_LAST</stp>
        <stp>19/09/2018</stp>
        <stp>19/09/2018</stp>
        <stp>[RV_LINE_PRICER.xlsm]FixingTables!R103C18</stp>
        <tr r="R103" s="5"/>
      </tp>
      <tp>
        <v>1.9603000000000002</v>
        <stp/>
        <stp>##V3_BDHV12</stp>
        <stp>ADBB3M Index</stp>
        <stp>PX_LAST</stp>
        <stp>09/08/2018</stp>
        <stp>09/08/2018</stp>
        <stp>[RV_LINE_PRICER.xlsm]FixingTables!R131C15</stp>
        <tr r="O131" s="5"/>
      </tp>
      <tp>
        <v>1.925</v>
        <stp/>
        <stp>##V3_BDHV12</stp>
        <stp>ADBB3M Index</stp>
        <stp>PX_LAST</stp>
        <stp>19/09/2018</stp>
        <stp>19/09/2018</stp>
        <stp>[RV_LINE_PRICER.xlsm]FixingTables!R103C15</stp>
        <tr r="O103" s="5"/>
      </tp>
      <tp>
        <v>999</v>
        <stp/>
        <stp>##V3_BDPV12</stp>
        <stp>XS1209910196 Corp</stp>
        <stp>CALC_TYP</stp>
        <stp>[RV_LINE_PRICER.xlsm]FixedBonds!R8C49</stp>
        <tr r="AW8" s="1"/>
      </tp>
      <tp t="s">
        <v>FLOATING</v>
        <stp/>
        <stp>##V3_BDPV12</stp>
        <stp>XS1193905160 Corp</stp>
        <stp>CPN_TYP</stp>
        <stp>[RV_LINE_PRICER.xlsm]FloatBonds!R7C199</stp>
        <tr r="GQ7" s="18"/>
      </tp>
      <tp t="s">
        <v>FLOATING</v>
        <stp/>
        <stp>##V3_BDPV12</stp>
        <stp>XS1193905160 Corp</stp>
        <stp>CPN_TYP</stp>
        <stp>[RV_LINE_PRICER.xlsm]FloatBonds!R8C199</stp>
        <tr r="GQ8" s="18"/>
      </tp>
      <tp t="s">
        <v>FLOATING</v>
        <stp/>
        <stp>##V3_BDPV12</stp>
        <stp>XS1193905160 Corp</stp>
        <stp>CPN_TYP</stp>
        <stp>[RV_LINE_PRICER.xlsm]FloatBonds!R9C199</stp>
        <tr r="GQ9" s="18"/>
      </tp>
      <tp t="s">
        <v>30/09/2020</v>
        <stp/>
        <stp>##V3_BDPV12</stp>
        <stp>XS1209910196 Corp</stp>
        <stp>MATURITY</stp>
        <stp>[RV_LINE_PRICER.xlsm]FixedBonds!R8C39</stp>
        <tr r="AM8" s="1"/>
      </tp>
      <tp t="b">
        <v>0</v>
        <stp/>
        <stp>##V3_BDPV12</stp>
        <stp/>
        <stp>ISSUE_DT</stp>
        <stp>[RV_LINE_PRICER.xlsm]XccyFixedBonds!R24C213</stp>
        <tr r="HE24" s="16"/>
        <tr r="HE24" s="16"/>
      </tp>
      <tp t="b">
        <v>0</v>
        <stp/>
        <stp>##V3_BDPV12</stp>
        <stp/>
        <stp>ISSUE_DT</stp>
        <stp>[RV_LINE_PRICER.xlsm]XccyFixedBonds!R25C213</stp>
        <tr r="HE25" s="16"/>
        <tr r="HE25" s="16"/>
      </tp>
      <tp t="b">
        <v>0</v>
        <stp/>
        <stp>##V3_BDPV12</stp>
        <stp/>
        <stp>ISSUE_DT</stp>
        <stp>[RV_LINE_PRICER.xlsm]XccyFixedBonds!R26C213</stp>
        <tr r="HE26" s="16"/>
        <tr r="HE26" s="16"/>
      </tp>
      <tp t="b">
        <v>0</v>
        <stp/>
        <stp>##V3_BDPV12</stp>
        <stp/>
        <stp>ISSUE_DT</stp>
        <stp>[RV_LINE_PRICER.xlsm]XccyFixedBonds!R20C213</stp>
        <tr r="HE20" s="16"/>
        <tr r="HE20" s="16"/>
      </tp>
      <tp t="b">
        <v>0</v>
        <stp/>
        <stp>##V3_BDPV12</stp>
        <stp/>
        <stp>ISSUE_DT</stp>
        <stp>[RV_LINE_PRICER.xlsm]XccyFixedBonds!R21C213</stp>
        <tr r="HE21" s="16"/>
        <tr r="HE21" s="16"/>
      </tp>
      <tp t="b">
        <v>0</v>
        <stp/>
        <stp>##V3_BDPV12</stp>
        <stp/>
        <stp>ISSUE_DT</stp>
        <stp>[RV_LINE_PRICER.xlsm]XccyFixedBonds!R22C213</stp>
        <tr r="HE22" s="16"/>
        <tr r="HE22" s="16"/>
      </tp>
      <tp t="b">
        <v>0</v>
        <stp/>
        <stp>##V3_BDPV12</stp>
        <stp/>
        <stp>ISSUE_DT</stp>
        <stp>[RV_LINE_PRICER.xlsm]XccyFixedBonds!R23C213</stp>
        <tr r="HE23" s="16"/>
        <tr r="HE23" s="16"/>
      </tp>
      <tp t="b">
        <v>0</v>
        <stp/>
        <stp>##V3_BDPV12</stp>
        <stp/>
        <stp>ISSUE_DT</stp>
        <stp>[RV_LINE_PRICER.xlsm]XccyFixedBonds!R14C213</stp>
        <tr r="HE14" s="16"/>
        <tr r="HE14" s="16"/>
      </tp>
      <tp t="b">
        <v>0</v>
        <stp/>
        <stp>##V3_BDPV12</stp>
        <stp/>
        <stp>ISSUE_DT</stp>
        <stp>[RV_LINE_PRICER.xlsm]XccyFixedBonds!R15C213</stp>
        <tr r="HE15" s="16"/>
        <tr r="HE15" s="16"/>
      </tp>
      <tp t="b">
        <v>0</v>
        <stp/>
        <stp>##V3_BDPV12</stp>
        <stp/>
        <stp>ISSUE_DT</stp>
        <stp>[RV_LINE_PRICER.xlsm]XccyFixedBonds!R16C213</stp>
        <tr r="HE16" s="16"/>
        <tr r="HE16" s="16"/>
      </tp>
      <tp t="b">
        <v>0</v>
        <stp/>
        <stp>##V3_BDPV12</stp>
        <stp/>
        <stp>ISSUE_DT</stp>
        <stp>[RV_LINE_PRICER.xlsm]XccyFixedBonds!R17C213</stp>
        <tr r="HE17" s="16"/>
        <tr r="HE17" s="16"/>
      </tp>
      <tp t="b">
        <v>0</v>
        <stp/>
        <stp>##V3_BDPV12</stp>
        <stp/>
        <stp>ISSUE_DT</stp>
        <stp>[RV_LINE_PRICER.xlsm]XccyFixedBonds!R12C213</stp>
        <tr r="HE12" s="16"/>
        <tr r="HE12" s="16"/>
      </tp>
      <tp t="b">
        <v>0</v>
        <stp/>
        <stp>##V3_BDPV12</stp>
        <stp/>
        <stp>ISSUE_DT</stp>
        <stp>[RV_LINE_PRICER.xlsm]XccyFixedBonds!R13C213</stp>
        <tr r="HE13" s="16"/>
        <tr r="HE13" s="16"/>
      </tp>
      <tp t="b">
        <v>0</v>
        <stp/>
        <stp>##V3_BDPV12</stp>
        <stp/>
        <stp>ISSUE_DT</stp>
        <stp>[RV_LINE_PRICER.xlsm]XccyFixedBonds!R18C213</stp>
        <tr r="HE18" s="16"/>
        <tr r="HE18" s="16"/>
      </tp>
      <tp t="b">
        <v>0</v>
        <stp/>
        <stp>##V3_BDPV12</stp>
        <stp/>
        <stp>ISSUE_DT</stp>
        <stp>[RV_LINE_PRICER.xlsm]XccyFixedBonds!R19C213</stp>
        <tr r="HE19" s="16"/>
        <tr r="HE19" s="16"/>
      </tp>
      <tp t="b">
        <v>0</v>
        <stp/>
        <stp>##V3_BDPV12</stp>
        <stp/>
        <stp>PENULTIMATE_CPN_DT</stp>
        <stp>[RV_LINE_PRICER.xlsm]XccyFixedBonds!R21C45</stp>
        <tr r="AS21" s="16"/>
        <tr r="AS21" s="16"/>
      </tp>
      <tp t="b">
        <v>0</v>
        <stp/>
        <stp>##V3_BDPV12</stp>
        <stp/>
        <stp>PENULTIMATE_CPN_DT</stp>
        <stp>[RV_LINE_PRICER.xlsm]XccyFixedBonds!R20C45</stp>
        <tr r="AS20" s="16"/>
        <tr r="AS20" s="16"/>
      </tp>
      <tp t="b">
        <v>0</v>
        <stp/>
        <stp>##V3_BDPV12</stp>
        <stp/>
        <stp>PENULTIMATE_CPN_DT</stp>
        <stp>[RV_LINE_PRICER.xlsm]XccyFixedBonds!R23C45</stp>
        <tr r="AS23" s="16"/>
        <tr r="AS23" s="16"/>
      </tp>
      <tp t="b">
        <v>0</v>
        <stp/>
        <stp>##V3_BDPV12</stp>
        <stp/>
        <stp>PENULTIMATE_CPN_DT</stp>
        <stp>[RV_LINE_PRICER.xlsm]XccyFixedBonds!R22C45</stp>
        <tr r="AS22" s="16"/>
        <tr r="AS22" s="16"/>
      </tp>
      <tp t="b">
        <v>0</v>
        <stp/>
        <stp>##V3_BDPV12</stp>
        <stp/>
        <stp>PENULTIMATE_CPN_DT</stp>
        <stp>[RV_LINE_PRICER.xlsm]XccyFixedBonds!R25C45</stp>
        <tr r="AS25" s="16"/>
        <tr r="AS25" s="16"/>
      </tp>
      <tp t="b">
        <v>0</v>
        <stp/>
        <stp>##V3_BDPV12</stp>
        <stp/>
        <stp>PENULTIMATE_CPN_DT</stp>
        <stp>[RV_LINE_PRICER.xlsm]XccyFixedBonds!R24C45</stp>
        <tr r="AS24" s="16"/>
        <tr r="AS24" s="16"/>
      </tp>
      <tp t="b">
        <v>0</v>
        <stp/>
        <stp>##V3_BDPV12</stp>
        <stp/>
        <stp>PENULTIMATE_CPN_DT</stp>
        <stp>[RV_LINE_PRICER.xlsm]XccyFixedBonds!R26C45</stp>
        <tr r="AS26" s="16"/>
        <tr r="AS26" s="16"/>
      </tp>
      <tp t="b">
        <v>0</v>
        <stp/>
        <stp>##V3_BDPV12</stp>
        <stp/>
        <stp>PENULTIMATE_CPN_DT</stp>
        <stp>[RV_LINE_PRICER.xlsm]XccyFixedBonds!R13C45</stp>
        <tr r="AS13" s="16"/>
        <tr r="AS13" s="16"/>
      </tp>
      <tp t="b">
        <v>0</v>
        <stp/>
        <stp>##V3_BDPV12</stp>
        <stp/>
        <stp>PENULTIMATE_CPN_DT</stp>
        <stp>[RV_LINE_PRICER.xlsm]XccyFixedBonds!R12C45</stp>
        <tr r="AS12" s="16"/>
        <tr r="AS12" s="16"/>
      </tp>
      <tp t="b">
        <v>0</v>
        <stp/>
        <stp>##V3_BDPV12</stp>
        <stp/>
        <stp>PENULTIMATE_CPN_DT</stp>
        <stp>[RV_LINE_PRICER.xlsm]XccyFixedBonds!R15C45</stp>
        <tr r="AS15" s="16"/>
        <tr r="AS15" s="16"/>
      </tp>
      <tp t="b">
        <v>0</v>
        <stp/>
        <stp>##V3_BDPV12</stp>
        <stp/>
        <stp>PENULTIMATE_CPN_DT</stp>
        <stp>[RV_LINE_PRICER.xlsm]XccyFixedBonds!R14C45</stp>
        <tr r="AS14" s="16"/>
        <tr r="AS14" s="16"/>
      </tp>
      <tp t="b">
        <v>0</v>
        <stp/>
        <stp>##V3_BDPV12</stp>
        <stp/>
        <stp>PENULTIMATE_CPN_DT</stp>
        <stp>[RV_LINE_PRICER.xlsm]XccyFixedBonds!R17C45</stp>
        <tr r="AS17" s="16"/>
        <tr r="AS17" s="16"/>
      </tp>
      <tp t="b">
        <v>0</v>
        <stp/>
        <stp>##V3_BDPV12</stp>
        <stp/>
        <stp>PENULTIMATE_CPN_DT</stp>
        <stp>[RV_LINE_PRICER.xlsm]XccyFixedBonds!R16C45</stp>
        <tr r="AS16" s="16"/>
        <tr r="AS16" s="16"/>
      </tp>
      <tp t="b">
        <v>0</v>
        <stp/>
        <stp>##V3_BDPV12</stp>
        <stp/>
        <stp>PENULTIMATE_CPN_DT</stp>
        <stp>[RV_LINE_PRICER.xlsm]XccyFixedBonds!R19C45</stp>
        <tr r="AS19" s="16"/>
        <tr r="AS19" s="16"/>
      </tp>
      <tp t="b">
        <v>0</v>
        <stp/>
        <stp>##V3_BDPV12</stp>
        <stp/>
        <stp>PENULTIMATE_CPN_DT</stp>
        <stp>[RV_LINE_PRICER.xlsm]XccyFixedBonds!R18C45</stp>
        <tr r="AS18" s="16"/>
        <tr r="AS18" s="16"/>
      </tp>
      <tp t="s">
        <v>09/06/2011</v>
        <stp/>
        <stp>##V3_BDPV12</stp>
        <stp>USN4578BQA53 Corp</stp>
        <stp>ISSUE_DT</stp>
        <stp>[RV_LINE_PRICER.xlsm]FixedBondSingle!R20C9</stp>
        <tr r="I20" s="22"/>
      </tp>
      <tp t="s">
        <v>09/12/2020</v>
        <stp/>
        <stp>##V3_BDPV12</stp>
        <stp>USN4578BQA53 Corp</stp>
        <stp>PENULTIMATE_CPN_DT</stp>
        <stp>[RV_LINE_PRICER.xlsm]FixedBondSingle!R23C9</stp>
        <tr r="I23" s="22"/>
      </tp>
      <tp t="s">
        <v>CLEAN</v>
        <stp/>
        <stp>##V3_BDPV12</stp>
        <stp>XS1209910196 Corp</stp>
        <stp>PX_DIRTY_CLEAN</stp>
        <stp>[RV_LINE_PRICER.xlsm]FixedBonds!R8C30</stp>
        <tr r="AD8" s="1"/>
      </tp>
      <tp t="s">
        <v>CLEAN</v>
        <stp/>
        <stp>##V3_BDPV12</stp>
        <stp>XS1339542364 Corp</stp>
        <stp>PX_DIRTY_CLEAN</stp>
        <stp>[RV_LINE_PRICER.xlsm]FixedBonds!R7C197</stp>
        <tr r="GO7" s="1"/>
      </tp>
      <tp>
        <v>2</v>
        <stp/>
        <stp>##V3_BDPV12</stp>
        <stp>XS0423038875 Corp</stp>
        <stp>CPN_FREQ</stp>
        <stp>[RV_LINE_PRICER.xlsm]FixedBonds!R9C41</stp>
        <tr r="AO9" s="1"/>
      </tp>
      <tp t="s">
        <v>FIXED</v>
        <stp/>
        <stp>##V3_BDPV12</stp>
        <stp>USJ46186BC59 Corp</stp>
        <stp>CPN_TYP</stp>
        <stp>[RV_LINE_PRICER.xlsm]XccyFixedBonds!R9C33</stp>
        <tr r="AG9" s="16"/>
        <tr r="AG9" s="16"/>
      </tp>
      <tp t="s">
        <v>FIXED</v>
        <stp/>
        <stp>##V3_BDPV12</stp>
        <stp>USJ46186BC59 Corp</stp>
        <stp>CPN_TYP</stp>
        <stp>[RV_LINE_PRICER.xlsm]XccyFixedBonds!R8C33</stp>
        <tr r="AG8" s="16"/>
        <tr r="AG8" s="16"/>
      </tp>
      <tp t="s">
        <v>FIXED</v>
        <stp/>
        <stp>##V3_BDPV12</stp>
        <stp>USJ46186BC59 Corp</stp>
        <stp>CPN_TYP</stp>
        <stp>[RV_LINE_PRICER.xlsm]XccyFixedBonds!R7C33</stp>
        <tr r="AG7" s="16"/>
        <tr r="AG7" s="16"/>
      </tp>
      <tp t="s">
        <v>FIXED</v>
        <stp/>
        <stp>##V3_BDPV12</stp>
        <stp>PPOE027W1 Corp</stp>
        <stp>CPN_TYP</stp>
        <stp>[RV_LINE_PRICER.xlsm]FixedBonds!R11C193</stp>
        <tr r="GK11" s="1"/>
      </tp>
      <tp>
        <v>1</v>
        <stp/>
        <stp>##V3_BDPV12</stp>
        <stp>XS1209910196 Corp</stp>
        <stp>CPN_FREQ</stp>
        <stp>[RV_LINE_PRICER.xlsm]FixedBonds!R8C41</stp>
        <tr r="AO8" s="1"/>
      </tp>
      <tp t="s">
        <v>29/06/2016</v>
        <stp/>
        <stp>##V3_BDPV12</stp>
        <stp>XS1339542364 Corp</stp>
        <stp>FIRST_CPN_DT</stp>
        <stp>[RV_LINE_PRICER.xlsm]FixedBonds!R7C204</stp>
        <tr r="GV7" s="1"/>
      </tp>
      <tp t="s">
        <v>15/07/2016</v>
        <stp/>
        <stp>##V3_BDPV12</stp>
        <stp>XS1344710857 Corp</stp>
        <stp>FIRST_CPN_DT</stp>
        <stp>[RV_LINE_PRICER.xlsm]XccyFixedBonds!R10C215</stp>
        <tr r="HG10" s="16"/>
        <tr r="HG10" s="16"/>
      </tp>
      <tp t="s">
        <v>15/07/2016</v>
        <stp/>
        <stp>##V3_BDPV12</stp>
        <stp>XS1344710857 Corp</stp>
        <stp>FIRST_CPN_DT</stp>
        <stp>[RV_LINE_PRICER.xlsm]XccyFixedBonds!R11C215</stp>
        <tr r="HG11" s="16"/>
        <tr r="HG11" s="16"/>
      </tp>
      <tp t="s">
        <v>09/04/2019</v>
        <stp/>
        <stp>##V3_BDPV12</stp>
        <stp>XS0423038875 Corp</stp>
        <stp>MATURITY</stp>
        <stp>[RV_LINE_PRICER.xlsm]FixedBonds!R9C39</stp>
        <tr r="AM9" s="1"/>
      </tp>
      <tp t="s">
        <v>US05565QCT31</v>
        <stp/>
        <stp>##V3_BDPV12</stp>
        <stp>US05565QCT31 Corp</stp>
        <stp>ID_ISIN</stp>
        <stp>[RV_LINE_PRICER.xlsm]FloatBonds!R10C32</stp>
        <tr r="AF10" s="18"/>
      </tp>
      <tp t="s">
        <v>US05565QCT31</v>
        <stp/>
        <stp>##V3_BDPV12</stp>
        <stp>US05565QCT31 Corp</stp>
        <stp>ID_ISIN</stp>
        <stp>[RV_LINE_PRICER.xlsm]FloatBonds!R11C32</stp>
        <tr r="AF11" s="18"/>
      </tp>
      <tp t="s">
        <v>15/07/2019</v>
        <stp/>
        <stp>##V3_BDPV12</stp>
        <stp>US05565QCT31 Corp</stp>
        <stp>PENULTIMATE_CPN_DT</stp>
        <stp>[RV_LINE_PRICER.xlsm]FloatBondSingle!R23C9</stp>
        <tr r="I23" s="23"/>
        <tr r="I23" s="23"/>
      </tp>
      <tp t="s">
        <v>22/11/2017</v>
        <stp/>
        <stp>##V3_BDPV12</stp>
        <stp>XS1615075048 Corp</stp>
        <stp>FIRST_CPN_DT</stp>
        <stp>[RV_LINE_PRICER.xlsm]FixedBonds!R9C204</stp>
        <tr r="GV9" s="1"/>
      </tp>
      <tp t="s">
        <v>CLEAN</v>
        <stp/>
        <stp>##V3_BDPV12</stp>
        <stp>XS1615075048 Corp</stp>
        <stp>PX_DIRTY_CLEAN</stp>
        <stp>[RV_LINE_PRICER.xlsm]FixedBonds!R9C197</stp>
        <tr r="GO9" s="1"/>
      </tp>
      <tp t="b">
        <v>0</v>
        <stp/>
        <stp>##V3_BDPV12</stp>
        <stp/>
        <stp>MATURITY</stp>
        <stp>[RV_LINE_PRICER.xlsm]XccyFixedBonds!R19C217</stp>
        <tr r="HI19" s="16"/>
        <tr r="HI19" s="16"/>
      </tp>
      <tp t="b">
        <v>0</v>
        <stp/>
        <stp>##V3_BDPV12</stp>
        <stp/>
        <stp>MATURITY</stp>
        <stp>[RV_LINE_PRICER.xlsm]XccyFixedBonds!R18C217</stp>
        <tr r="HI18" s="16"/>
        <tr r="HI18" s="16"/>
      </tp>
      <tp t="b">
        <v>0</v>
        <stp/>
        <stp>##V3_BDPV12</stp>
        <stp/>
        <stp>MATURITY</stp>
        <stp>[RV_LINE_PRICER.xlsm]XccyFixedBonds!R15C217</stp>
        <tr r="HI15" s="16"/>
        <tr r="HI15" s="16"/>
      </tp>
      <tp t="b">
        <v>0</v>
        <stp/>
        <stp>##V3_BDPV12</stp>
        <stp/>
        <stp>MATURITY</stp>
        <stp>[RV_LINE_PRICER.xlsm]XccyFixedBonds!R14C217</stp>
        <tr r="HI14" s="16"/>
        <tr r="HI14" s="16"/>
      </tp>
      <tp t="b">
        <v>0</v>
        <stp/>
        <stp>##V3_BDPV12</stp>
        <stp/>
        <stp>MATURITY</stp>
        <stp>[RV_LINE_PRICER.xlsm]XccyFixedBonds!R17C217</stp>
        <tr r="HI17" s="16"/>
        <tr r="HI17" s="16"/>
      </tp>
      <tp t="b">
        <v>0</v>
        <stp/>
        <stp>##V3_BDPV12</stp>
        <stp/>
        <stp>MATURITY</stp>
        <stp>[RV_LINE_PRICER.xlsm]XccyFixedBonds!R16C217</stp>
        <tr r="HI16" s="16"/>
        <tr r="HI16" s="16"/>
      </tp>
      <tp t="b">
        <v>0</v>
        <stp/>
        <stp>##V3_BDPV12</stp>
        <stp/>
        <stp>MATURITY</stp>
        <stp>[RV_LINE_PRICER.xlsm]XccyFixedBonds!R13C217</stp>
        <tr r="HI13" s="16"/>
        <tr r="HI13" s="16"/>
      </tp>
      <tp t="b">
        <v>0</v>
        <stp/>
        <stp>##V3_BDPV12</stp>
        <stp/>
        <stp>MATURITY</stp>
        <stp>[RV_LINE_PRICER.xlsm]XccyFixedBonds!R12C217</stp>
        <tr r="HI12" s="16"/>
        <tr r="HI12" s="16"/>
      </tp>
      <tp t="b">
        <v>0</v>
        <stp/>
        <stp>##V3_BDPV12</stp>
        <stp/>
        <stp>START_ACC_DT</stp>
        <stp>[RV_LINE_PRICER.xlsm]XccyFixedBonds!R26C43</stp>
        <tr r="AQ26" s="16"/>
        <tr r="AQ26" s="16"/>
      </tp>
      <tp t="b">
        <v>0</v>
        <stp/>
        <stp>##V3_BDPV12</stp>
        <stp/>
        <stp>START_ACC_DT</stp>
        <stp>[RV_LINE_PRICER.xlsm]XccyFixedBonds!R25C43</stp>
        <tr r="AQ25" s="16"/>
        <tr r="AQ25" s="16"/>
      </tp>
      <tp t="b">
        <v>0</v>
        <stp/>
        <stp>##V3_BDPV12</stp>
        <stp/>
        <stp>START_ACC_DT</stp>
        <stp>[RV_LINE_PRICER.xlsm]XccyFixedBonds!R24C43</stp>
        <tr r="AQ24" s="16"/>
        <tr r="AQ24" s="16"/>
      </tp>
      <tp t="b">
        <v>0</v>
        <stp/>
        <stp>##V3_BDPV12</stp>
        <stp/>
        <stp>START_ACC_DT</stp>
        <stp>[RV_LINE_PRICER.xlsm]XccyFixedBonds!R23C43</stp>
        <tr r="AQ23" s="16"/>
        <tr r="AQ23" s="16"/>
      </tp>
      <tp t="b">
        <v>0</v>
        <stp/>
        <stp>##V3_BDPV12</stp>
        <stp/>
        <stp>START_ACC_DT</stp>
        <stp>[RV_LINE_PRICER.xlsm]XccyFixedBonds!R22C43</stp>
        <tr r="AQ22" s="16"/>
        <tr r="AQ22" s="16"/>
      </tp>
      <tp t="b">
        <v>0</v>
        <stp/>
        <stp>##V3_BDPV12</stp>
        <stp/>
        <stp>START_ACC_DT</stp>
        <stp>[RV_LINE_PRICER.xlsm]XccyFixedBonds!R21C43</stp>
        <tr r="AQ21" s="16"/>
        <tr r="AQ21" s="16"/>
      </tp>
      <tp t="b">
        <v>0</v>
        <stp/>
        <stp>##V3_BDPV12</stp>
        <stp/>
        <stp>START_ACC_DT</stp>
        <stp>[RV_LINE_PRICER.xlsm]XccyFixedBonds!R20C43</stp>
        <tr r="AQ20" s="16"/>
        <tr r="AQ20" s="16"/>
      </tp>
      <tp t="b">
        <v>0</v>
        <stp/>
        <stp>##V3_BDPV12</stp>
        <stp/>
        <stp>START_ACC_DT</stp>
        <stp>[RV_LINE_PRICER.xlsm]XccyFixedBonds!R17C43</stp>
        <tr r="AQ17" s="16"/>
        <tr r="AQ17" s="16"/>
      </tp>
      <tp t="b">
        <v>0</v>
        <stp/>
        <stp>##V3_BDPV12</stp>
        <stp/>
        <stp>START_ACC_DT</stp>
        <stp>[RV_LINE_PRICER.xlsm]XccyFixedBonds!R16C43</stp>
        <tr r="AQ16" s="16"/>
        <tr r="AQ16" s="16"/>
      </tp>
      <tp t="b">
        <v>0</v>
        <stp/>
        <stp>##V3_BDPV12</stp>
        <stp/>
        <stp>START_ACC_DT</stp>
        <stp>[RV_LINE_PRICER.xlsm]XccyFixedBonds!R15C43</stp>
        <tr r="AQ15" s="16"/>
        <tr r="AQ15" s="16"/>
      </tp>
      <tp t="b">
        <v>0</v>
        <stp/>
        <stp>##V3_BDPV12</stp>
        <stp/>
        <stp>START_ACC_DT</stp>
        <stp>[RV_LINE_PRICER.xlsm]XccyFixedBonds!R14C43</stp>
        <tr r="AQ14" s="16"/>
        <tr r="AQ14" s="16"/>
      </tp>
      <tp t="b">
        <v>0</v>
        <stp/>
        <stp>##V3_BDPV12</stp>
        <stp/>
        <stp>START_ACC_DT</stp>
        <stp>[RV_LINE_PRICER.xlsm]XccyFixedBonds!R13C43</stp>
        <tr r="AQ13" s="16"/>
        <tr r="AQ13" s="16"/>
      </tp>
      <tp t="b">
        <v>0</v>
        <stp/>
        <stp>##V3_BDPV12</stp>
        <stp/>
        <stp>START_ACC_DT</stp>
        <stp>[RV_LINE_PRICER.xlsm]XccyFixedBonds!R12C43</stp>
        <tr r="AQ12" s="16"/>
        <tr r="AQ12" s="16"/>
      </tp>
      <tp t="b">
        <v>0</v>
        <stp/>
        <stp>##V3_BDPV12</stp>
        <stp/>
        <stp>START_ACC_DT</stp>
        <stp>[RV_LINE_PRICER.xlsm]XccyFixedBonds!R19C43</stp>
        <tr r="AQ19" s="16"/>
        <tr r="AQ19" s="16"/>
      </tp>
      <tp t="b">
        <v>0</v>
        <stp/>
        <stp>##V3_BDPV12</stp>
        <stp/>
        <stp>START_ACC_DT</stp>
        <stp>[RV_LINE_PRICER.xlsm]XccyFixedBonds!R18C43</stp>
        <tr r="AQ18" s="16"/>
        <tr r="AQ18" s="16"/>
      </tp>
      <tp t="b">
        <v>0</v>
        <stp/>
        <stp>##V3_BDPV12</stp>
        <stp/>
        <stp>MATURITY</stp>
        <stp>[RV_LINE_PRICER.xlsm]XccyFixedBonds!R25C217</stp>
        <tr r="HI25" s="16"/>
        <tr r="HI25" s="16"/>
      </tp>
      <tp t="b">
        <v>0</v>
        <stp/>
        <stp>##V3_BDPV12</stp>
        <stp/>
        <stp>MATURITY</stp>
        <stp>[RV_LINE_PRICER.xlsm]XccyFixedBonds!R24C217</stp>
        <tr r="HI24" s="16"/>
        <tr r="HI24" s="16"/>
      </tp>
      <tp t="b">
        <v>0</v>
        <stp/>
        <stp>##V3_BDPV12</stp>
        <stp/>
        <stp>MATURITY</stp>
        <stp>[RV_LINE_PRICER.xlsm]XccyFixedBonds!R26C217</stp>
        <tr r="HI26" s="16"/>
        <tr r="HI26" s="16"/>
      </tp>
      <tp t="b">
        <v>0</v>
        <stp/>
        <stp>##V3_BDPV12</stp>
        <stp/>
        <stp>MATURITY</stp>
        <stp>[RV_LINE_PRICER.xlsm]XccyFixedBonds!R21C217</stp>
        <tr r="HI21" s="16"/>
        <tr r="HI21" s="16"/>
      </tp>
      <tp t="b">
        <v>0</v>
        <stp/>
        <stp>##V3_BDPV12</stp>
        <stp/>
        <stp>MATURITY</stp>
        <stp>[RV_LINE_PRICER.xlsm]XccyFixedBonds!R20C217</stp>
        <tr r="HI20" s="16"/>
        <tr r="HI20" s="16"/>
      </tp>
      <tp t="b">
        <v>0</v>
        <stp/>
        <stp>##V3_BDPV12</stp>
        <stp/>
        <stp>MATURITY</stp>
        <stp>[RV_LINE_PRICER.xlsm]XccyFixedBonds!R23C217</stp>
        <tr r="HI23" s="16"/>
        <tr r="HI23" s="16"/>
      </tp>
      <tp t="b">
        <v>0</v>
        <stp/>
        <stp>##V3_BDPV12</stp>
        <stp/>
        <stp>MATURITY</stp>
        <stp>[RV_LINE_PRICER.xlsm]XccyFixedBonds!R22C217</stp>
        <tr r="HI22" s="16"/>
        <tr r="HI22" s="16"/>
      </tp>
      <tp t="s">
        <v>CLEAN</v>
        <stp/>
        <stp>##V3_BDPV12</stp>
        <stp>XS1193905160 Corp</stp>
        <stp>PX_DIRTY_CLEAN</stp>
        <stp>[RV_LINE_PRICER.xlsm]FloatBondSingle!R15C22</stp>
        <tr r="V15" s="23"/>
        <tr r="V15" s="23"/>
      </tp>
      <tp t="s">
        <v>CLEAN</v>
        <stp/>
        <stp>##V3_BDPV12</stp>
        <stp>XS0423038875 Corp</stp>
        <stp>PX_DIRTY_CLEAN</stp>
        <stp>[RV_LINE_PRICER.xlsm]FixedBonds!R9C30</stp>
        <tr r="AD9" s="1"/>
      </tp>
      <tp>
        <v>1</v>
        <stp/>
        <stp>##V3_BDPV12</stp>
        <stp>USJ46186BC59 Corp</stp>
        <stp>CALC_TYP</stp>
        <stp>[RV_LINE_PRICER.xlsm]XccyFixedBonds!R7C56</stp>
        <tr r="BD7" s="16"/>
        <tr r="BD7" s="16"/>
        <tr r="BD7" s="16"/>
      </tp>
      <tp>
        <v>1</v>
        <stp/>
        <stp>##V3_BDPV12</stp>
        <stp>USJ46186BC59 Corp</stp>
        <stp>CALC_TYP</stp>
        <stp>[RV_LINE_PRICER.xlsm]XccyFixedBonds!R8C56</stp>
        <tr r="BD8" s="16"/>
        <tr r="BD8" s="16"/>
        <tr r="BD8" s="16"/>
      </tp>
      <tp>
        <v>1</v>
        <stp/>
        <stp>##V3_BDPV12</stp>
        <stp>USJ46186BC59 Corp</stp>
        <stp>CALC_TYP</stp>
        <stp>[RV_LINE_PRICER.xlsm]XccyFixedBonds!R9C56</stp>
        <tr r="BD9" s="16"/>
        <tr r="BD9" s="16"/>
        <tr r="BD9" s="16"/>
      </tp>
      <tp t="s">
        <v>ISMA-30/360</v>
        <stp/>
        <stp>##V3_BDPV12</stp>
        <stp>XS1339542364 Corp</stp>
        <stp>DAY_CNT_DES</stp>
        <stp>[RV_LINE_PRICER.xlsm]FixedBondSingle!R32C22</stp>
        <tr r="V32" s="22"/>
      </tp>
      <tp>
        <v>2.6475</v>
        <stp/>
        <stp>##V3_BDPV12</stp>
        <stp>XS1339542364 Corp</stp>
        <stp>CPN</stp>
        <stp>[RV_LINE_PRICER.xlsm]FixedBondSingle!R25C22</stp>
        <tr r="V25" s="22"/>
      </tp>
      <tp t="s">
        <v>USP32133CG63</v>
        <stp/>
        <stp>##V3_BDPV12</stp>
        <stp>USP32133CG63 Corp</stp>
        <stp>ID_ISIN</stp>
        <stp>[RV_LINE_PRICER.xlsm]FixedBonds!R10C28</stp>
        <tr r="AB10" s="1"/>
      </tp>
      <tp t="s">
        <v>CLEAN</v>
        <stp/>
        <stp>##V3_BDPV12</stp>
        <stp>XS1215869915 Corp</stp>
        <stp>PX_DIRTY_CLEAN</stp>
        <stp>[RV_LINE_PRICER.xlsm]FixedBonds!R8C197</stp>
        <tr r="GO8" s="1"/>
      </tp>
      <tp t="s">
        <v>08/10/2015</v>
        <stp/>
        <stp>##V3_BDPV12</stp>
        <stp>XS1215869915 Corp</stp>
        <stp>FIRST_CPN_DT</stp>
        <stp>[RV_LINE_PRICER.xlsm]FixedBonds!R8C204</stp>
        <tr r="GV8" s="1"/>
      </tp>
      <tp t="s">
        <v>CLEAN</v>
        <stp/>
        <stp>##V3_BDPV12</stp>
        <stp>XS1339542364 Corp</stp>
        <stp>PX_DIRTY_CLEAN</stp>
        <stp>[RV_LINE_PRICER.xlsm]FixedBondSingle!R15C22</stp>
        <tr r="V15" s="22"/>
      </tp>
      <tp t="b">
        <v>0</v>
        <stp/>
        <stp>##V3_BDPV12</stp>
        <stp/>
        <stp>CPN_TYP</stp>
        <stp>[RV_LINE_PRICER.xlsm]XccyFixedBonds!R26C33</stp>
        <tr r="AG26" s="16"/>
        <tr r="AG26" s="16"/>
      </tp>
      <tp t="b">
        <v>0</v>
        <stp/>
        <stp>##V3_BDPV12</stp>
        <stp/>
        <stp>CPN_TYP</stp>
        <stp>[RV_LINE_PRICER.xlsm]XccyFixedBonds!R24C33</stp>
        <tr r="AG24" s="16"/>
        <tr r="AG24" s="16"/>
      </tp>
      <tp t="b">
        <v>0</v>
        <stp/>
        <stp>##V3_BDPV12</stp>
        <stp/>
        <stp>CPN_TYP</stp>
        <stp>[RV_LINE_PRICER.xlsm]XccyFixedBonds!R25C33</stp>
        <tr r="AG25" s="16"/>
        <tr r="AG25" s="16"/>
      </tp>
      <tp t="b">
        <v>0</v>
        <stp/>
        <stp>##V3_BDPV12</stp>
        <stp/>
        <stp>CPN_TYP</stp>
        <stp>[RV_LINE_PRICER.xlsm]XccyFixedBonds!R22C33</stp>
        <tr r="AG22" s="16"/>
        <tr r="AG22" s="16"/>
      </tp>
      <tp t="b">
        <v>0</v>
        <stp/>
        <stp>##V3_BDPV12</stp>
        <stp/>
        <stp>CPN_TYP</stp>
        <stp>[RV_LINE_PRICER.xlsm]XccyFixedBonds!R23C33</stp>
        <tr r="AG23" s="16"/>
        <tr r="AG23" s="16"/>
      </tp>
      <tp t="b">
        <v>0</v>
        <stp/>
        <stp>##V3_BDPV12</stp>
        <stp/>
        <stp>CPN_TYP</stp>
        <stp>[RV_LINE_PRICER.xlsm]XccyFixedBonds!R20C33</stp>
        <tr r="AG20" s="16"/>
        <tr r="AG20" s="16"/>
      </tp>
      <tp t="b">
        <v>0</v>
        <stp/>
        <stp>##V3_BDPV12</stp>
        <stp/>
        <stp>CPN_TYP</stp>
        <stp>[RV_LINE_PRICER.xlsm]XccyFixedBonds!R21C33</stp>
        <tr r="AG21" s="16"/>
        <tr r="AG21" s="16"/>
      </tp>
      <tp t="b">
        <v>0</v>
        <stp/>
        <stp>##V3_BDPV12</stp>
        <stp/>
        <stp>CPN_TYP</stp>
        <stp>[RV_LINE_PRICER.xlsm]XccyFixedBonds!R18C33</stp>
        <tr r="AG18" s="16"/>
        <tr r="AG18" s="16"/>
      </tp>
      <tp t="b">
        <v>0</v>
        <stp/>
        <stp>##V3_BDPV12</stp>
        <stp/>
        <stp>CPN_TYP</stp>
        <stp>[RV_LINE_PRICER.xlsm]XccyFixedBonds!R19C33</stp>
        <tr r="AG19" s="16"/>
        <tr r="AG19" s="16"/>
      </tp>
      <tp t="b">
        <v>0</v>
        <stp/>
        <stp>##V3_BDPV12</stp>
        <stp/>
        <stp>CPN_TYP</stp>
        <stp>[RV_LINE_PRICER.xlsm]XccyFixedBonds!R16C33</stp>
        <tr r="AG16" s="16"/>
        <tr r="AG16" s="16"/>
      </tp>
      <tp t="b">
        <v>0</v>
        <stp/>
        <stp>##V3_BDPV12</stp>
        <stp/>
        <stp>CPN_TYP</stp>
        <stp>[RV_LINE_PRICER.xlsm]XccyFixedBonds!R17C33</stp>
        <tr r="AG17" s="16"/>
        <tr r="AG17" s="16"/>
      </tp>
      <tp t="b">
        <v>0</v>
        <stp/>
        <stp>##V3_BDPV12</stp>
        <stp/>
        <stp>CPN_TYP</stp>
        <stp>[RV_LINE_PRICER.xlsm]XccyFixedBonds!R14C33</stp>
        <tr r="AG14" s="16"/>
        <tr r="AG14" s="16"/>
      </tp>
      <tp t="b">
        <v>0</v>
        <stp/>
        <stp>##V3_BDPV12</stp>
        <stp/>
        <stp>CPN_TYP</stp>
        <stp>[RV_LINE_PRICER.xlsm]XccyFixedBonds!R15C33</stp>
        <tr r="AG15" s="16"/>
        <tr r="AG15" s="16"/>
      </tp>
      <tp t="b">
        <v>0</v>
        <stp/>
        <stp>##V3_BDPV12</stp>
        <stp/>
        <stp>CPN_TYP</stp>
        <stp>[RV_LINE_PRICER.xlsm]XccyFixedBonds!R12C33</stp>
        <tr r="AG12" s="16"/>
        <tr r="AG12" s="16"/>
      </tp>
      <tp t="b">
        <v>0</v>
        <stp/>
        <stp>##V3_BDPV12</stp>
        <stp/>
        <stp>CPN_TYP</stp>
        <stp>[RV_LINE_PRICER.xlsm]XccyFixedBonds!R13C33</stp>
        <tr r="AG13" s="16"/>
        <tr r="AG13" s="16"/>
      </tp>
      <tp t="s">
        <v>20/11/2018</v>
        <stp/>
        <stp>##V3_BDPV12</stp>
        <stp>XS1193905160 Corp</stp>
        <stp>START_ACC_DT</stp>
        <stp>[RV_LINE_PRICER.xlsm]FloatBondSingle!R21C22</stp>
        <tr r="V21" s="23"/>
        <tr r="V21" s="23"/>
      </tp>
      <tp t="s">
        <v>29/12/2015</v>
        <stp/>
        <stp>##V3_BDPV12</stp>
        <stp>XS1339542364 Corp</stp>
        <stp>START_ACC_DT</stp>
        <stp>[RV_LINE_PRICER.xlsm]FixedBondSingle!R21C22</stp>
        <tr r="V21" s="22"/>
      </tp>
      <tp t="s">
        <v>USJ46186BC59</v>
        <stp/>
        <stp>##V3_BDPV12</stp>
        <stp>USJ46186BC59 Corp</stp>
        <stp>ID_ISIN</stp>
        <stp>[RV_LINE_PRICER.xlsm]XccyFixedBonds!R9C35</stp>
        <tr r="AI9" s="16"/>
        <tr r="AI9" s="16"/>
      </tp>
      <tp t="s">
        <v>USJ46186BC59</v>
        <stp/>
        <stp>##V3_BDPV12</stp>
        <stp>USJ46186BC59 Corp</stp>
        <stp>ID_ISIN</stp>
        <stp>[RV_LINE_PRICER.xlsm]XccyFixedBonds!R8C35</stp>
        <tr r="AI8" s="16"/>
        <tr r="AI8" s="16"/>
      </tp>
      <tp t="s">
        <v>USJ46186BC59</v>
        <stp/>
        <stp>##V3_BDPV12</stp>
        <stp>USJ46186BC59 Corp</stp>
        <stp>ID_ISIN</stp>
        <stp>[RV_LINE_PRICER.xlsm]XccyFixedBonds!R7C35</stp>
        <tr r="AI7" s="16"/>
        <tr r="AI7" s="16"/>
      </tp>
      <tp t="s">
        <v>11/02/2013</v>
        <stp/>
        <stp>##V3_BDPV12</stp>
        <stp>USP32133CG63 Corp</stp>
        <stp>START_ACC_DT</stp>
        <stp>[RV_LINE_PRICER.xlsm]FixedBonds!R10C36</stp>
        <tr r="AJ10" s="1"/>
      </tp>
      <tp>
        <v>1</v>
        <stp/>
        <stp>##V3_BDPV12</stp>
        <stp>PPOE027W1 Corp</stp>
        <stp>CALC_TYP</stp>
        <stp>[RV_LINE_PRICER.xlsm]FixedBonds!R11C216</stp>
        <tr r="HH11" s="1"/>
      </tp>
      <tp t="s">
        <v>30/03/2015</v>
        <stp/>
        <stp>##V3_BDPV12</stp>
        <stp>XS1209910196 Corp</stp>
        <stp>ISSUE_DT</stp>
        <stp>[RV_LINE_PRICER.xlsm]FixedBonds!R8C35</stp>
        <tr r="AI8" s="1"/>
      </tp>
      <tp>
        <v>2</v>
        <stp/>
        <stp>##V3_BDPV12</stp>
        <stp>USN4578BQA53 Corp</stp>
        <stp>CPN_FREQ</stp>
        <stp>[RV_LINE_PRICER.xlsm]FixedBondSingle!R26C9</stp>
        <tr r="I26" s="22"/>
      </tp>
      <tp t="s">
        <v>CLEAN</v>
        <stp/>
        <stp>##V3_BDPV12</stp>
        <stp>USP32133CG63 Corp</stp>
        <stp>PX_DIRTY_CLEAN</stp>
        <stp>[RV_LINE_PRICER.xlsm]FixedBonds!R10C30</stp>
        <tr r="AD10" s="1"/>
      </tp>
      <tp t="s">
        <v>09/04/2009</v>
        <stp/>
        <stp>##V3_BDPV12</stp>
        <stp>XS0423038875 Corp</stp>
        <stp>ISSUE_DT</stp>
        <stp>[RV_LINE_PRICER.xlsm]FixedBonds!R9C35</stp>
        <tr r="AI9" s="1"/>
      </tp>
      <tp t="b">
        <v>0</v>
        <stp/>
        <stp>##V3_BDPV12</stp>
        <stp/>
        <stp>CPN_FREQ</stp>
        <stp>[RV_LINE_PRICER.xlsm]XccyFixedBonds!R21C219</stp>
        <tr r="HK21" s="16"/>
        <tr r="HK21" s="16"/>
      </tp>
      <tp t="b">
        <v>0</v>
        <stp/>
        <stp>##V3_BDPV12</stp>
        <stp/>
        <stp>CPN_FREQ</stp>
        <stp>[RV_LINE_PRICER.xlsm]XccyFixedBonds!R20C219</stp>
        <tr r="HK20" s="16"/>
        <tr r="HK20" s="16"/>
      </tp>
      <tp t="b">
        <v>0</v>
        <stp/>
        <stp>##V3_BDPV12</stp>
        <stp/>
        <stp>CPN_FREQ</stp>
        <stp>[RV_LINE_PRICER.xlsm]XccyFixedBonds!R23C219</stp>
        <tr r="HK23" s="16"/>
        <tr r="HK23" s="16"/>
      </tp>
      <tp t="b">
        <v>0</v>
        <stp/>
        <stp>##V3_BDPV12</stp>
        <stp/>
        <stp>CPN_FREQ</stp>
        <stp>[RV_LINE_PRICER.xlsm]XccyFixedBonds!R22C219</stp>
        <tr r="HK22" s="16"/>
        <tr r="HK22" s="16"/>
      </tp>
      <tp t="b">
        <v>0</v>
        <stp/>
        <stp>##V3_BDPV12</stp>
        <stp/>
        <stp>CPN_FREQ</stp>
        <stp>[RV_LINE_PRICER.xlsm]XccyFixedBonds!R25C219</stp>
        <tr r="HK25" s="16"/>
        <tr r="HK25" s="16"/>
      </tp>
      <tp t="b">
        <v>0</v>
        <stp/>
        <stp>##V3_BDPV12</stp>
        <stp/>
        <stp>CPN_FREQ</stp>
        <stp>[RV_LINE_PRICER.xlsm]XccyFixedBonds!R24C219</stp>
        <tr r="HK24" s="16"/>
        <tr r="HK24" s="16"/>
      </tp>
      <tp t="b">
        <v>0</v>
        <stp/>
        <stp>##V3_BDPV12</stp>
        <stp/>
        <stp>CPN_FREQ</stp>
        <stp>[RV_LINE_PRICER.xlsm]XccyFixedBonds!R26C219</stp>
        <tr r="HK26" s="16"/>
        <tr r="HK26" s="16"/>
      </tp>
      <tp t="b">
        <v>0</v>
        <stp/>
        <stp>##V3_BDPV12</stp>
        <stp/>
        <stp>CPN_FREQ</stp>
        <stp>[RV_LINE_PRICER.xlsm]XccyFixedBonds!R13C219</stp>
        <tr r="HK13" s="16"/>
        <tr r="HK13" s="16"/>
      </tp>
      <tp t="b">
        <v>0</v>
        <stp/>
        <stp>##V3_BDPV12</stp>
        <stp/>
        <stp>CPN_FREQ</stp>
        <stp>[RV_LINE_PRICER.xlsm]XccyFixedBonds!R12C219</stp>
        <tr r="HK12" s="16"/>
        <tr r="HK12" s="16"/>
      </tp>
      <tp t="b">
        <v>0</v>
        <stp/>
        <stp>##V3_BDPV12</stp>
        <stp/>
        <stp>CPN_FREQ</stp>
        <stp>[RV_LINE_PRICER.xlsm]XccyFixedBonds!R15C219</stp>
        <tr r="HK15" s="16"/>
        <tr r="HK15" s="16"/>
      </tp>
      <tp t="b">
        <v>0</v>
        <stp/>
        <stp>##V3_BDPV12</stp>
        <stp/>
        <stp>CPN_FREQ</stp>
        <stp>[RV_LINE_PRICER.xlsm]XccyFixedBonds!R14C219</stp>
        <tr r="HK14" s="16"/>
        <tr r="HK14" s="16"/>
      </tp>
      <tp t="b">
        <v>0</v>
        <stp/>
        <stp>##V3_BDPV12</stp>
        <stp/>
        <stp>CPN_FREQ</stp>
        <stp>[RV_LINE_PRICER.xlsm]XccyFixedBonds!R17C219</stp>
        <tr r="HK17" s="16"/>
        <tr r="HK17" s="16"/>
      </tp>
      <tp t="b">
        <v>0</v>
        <stp/>
        <stp>##V3_BDPV12</stp>
        <stp/>
        <stp>CPN_FREQ</stp>
        <stp>[RV_LINE_PRICER.xlsm]XccyFixedBonds!R16C219</stp>
        <tr r="HK16" s="16"/>
        <tr r="HK16" s="16"/>
      </tp>
      <tp t="b">
        <v>0</v>
        <stp/>
        <stp>##V3_BDPV12</stp>
        <stp/>
        <stp>CPN_FREQ</stp>
        <stp>[RV_LINE_PRICER.xlsm]XccyFixedBonds!R19C219</stp>
        <tr r="HK19" s="16"/>
        <tr r="HK19" s="16"/>
      </tp>
      <tp t="b">
        <v>0</v>
        <stp/>
        <stp>##V3_BDPV12</stp>
        <stp/>
        <stp>CPN_FREQ</stp>
        <stp>[RV_LINE_PRICER.xlsm]XccyFixedBonds!R18C219</stp>
        <tr r="HK18" s="16"/>
        <tr r="HK18" s="16"/>
      </tp>
      <tp>
        <v>3.2444999999999999</v>
        <stp/>
        <stp>##V3_BDPV12</stp>
        <stp>XS1193905160 Corp</stp>
        <stp>CPN</stp>
        <stp>[RV_LINE_PRICER.xlsm]FloatBondSingle!R25C22</stp>
        <tr r="V25" s="23"/>
        <tr r="V25" s="23"/>
      </tp>
      <tp t="s">
        <v>ACT/360</v>
        <stp/>
        <stp>##V3_BDPV12</stp>
        <stp>XS1193905160 Corp</stp>
        <stp>DAY_CNT_DES</stp>
        <stp>[RV_LINE_PRICER.xlsm]FloatBondSingle!R32C22</stp>
        <tr r="V32" s="23"/>
        <tr r="V32" s="23"/>
      </tp>
      <tp t="s">
        <v>26/03/2015</v>
        <stp/>
        <stp>##V3_BDPV12</stp>
        <stp>USJ46186BC59 Corp</stp>
        <stp>START_ACC_DT</stp>
        <stp>[RV_LINE_PRICER.xlsm]XccyFixedBonds!R11C43</stp>
        <tr r="AQ11" s="16"/>
        <tr r="AQ11" s="16"/>
      </tp>
      <tp t="s">
        <v>26/03/2015</v>
        <stp/>
        <stp>##V3_BDPV12</stp>
        <stp>USJ46186BC59 Corp</stp>
        <stp>START_ACC_DT</stp>
        <stp>[RV_LINE_PRICER.xlsm]XccyFixedBonds!R10C43</stp>
        <tr r="AQ10" s="16"/>
        <tr r="AQ10" s="16"/>
      </tp>
      <tp>
        <v>0.72714000000000001</v>
        <stp/>
        <stp>##V3_BDHV12</stp>
        <stp>AUDUSD Curncy</stp>
        <stp>MID</stp>
        <stp>31/01/2019</stp>
        <stp>31/01/2019</stp>
        <stp>[RV_LINE_PRICER.xlsm]XccyFixedBonds!R9C21</stp>
        <tr r="U9" s="16"/>
      </tp>
      <tp>
        <v>0.72714000000000001</v>
        <stp/>
        <stp>##V3_BDHV12</stp>
        <stp>AUDUSD Curncy</stp>
        <stp>MID</stp>
        <stp>31/01/2019</stp>
        <stp>31/01/2019</stp>
        <stp>[RV_LINE_PRICER.xlsm]XccyFixedBonds!R8C21</stp>
        <tr r="U8" s="16"/>
      </tp>
      <tp>
        <v>0.72714000000000001</v>
        <stp/>
        <stp>##V3_BDHV12</stp>
        <stp>AUDUSD Curncy</stp>
        <stp>MID</stp>
        <stp>31/01/2019</stp>
        <stp>31/01/2019</stp>
        <stp>[RV_LINE_PRICER.xlsm]XccyFixedBonds!R7C21</stp>
        <tr r="U7" s="16"/>
      </tp>
      <tp>
        <v>1</v>
        <stp/>
        <stp>##V3_BDPV12</stp>
        <stp>US05565QCT31 Corp</stp>
        <stp>CALC_TYP</stp>
        <stp>[RV_LINE_PRICER.xlsm]FloatBonds!R8C53</stp>
        <tr r="BA8" s="18"/>
      </tp>
      <tp>
        <v>1</v>
        <stp/>
        <stp>##V3_BDPV12</stp>
        <stp>US05565QCT31 Corp</stp>
        <stp>CALC_TYP</stp>
        <stp>[RV_LINE_PRICER.xlsm]FloatBonds!R9C53</stp>
        <tr r="BA9" s="18"/>
      </tp>
      <tp>
        <v>1</v>
        <stp/>
        <stp>##V3_BDPV12</stp>
        <stp>US05565QCT31 Corp</stp>
        <stp>CALC_TYP</stp>
        <stp>[RV_LINE_PRICER.xlsm]FloatBonds!R7C53</stp>
        <tr r="BA7" s="18"/>
      </tp>
      <tp t="s">
        <v>ISMA-30/360</v>
        <stp/>
        <stp>##V3_BDPV12</stp>
        <stp>USJ46186BC59 Corp</stp>
        <stp>DAY_CNT_DES</stp>
        <stp>[RV_LINE_PRICER.xlsm]XccyFixedBondSingle!R32C9</stp>
        <tr r="I32" s="21"/>
        <tr r="I32" s="21"/>
      </tp>
      <tp t="s">
        <v>FIXED</v>
        <stp/>
        <stp>##V3_BDPV12</stp>
        <stp>USN4578BQA53 Corp</stp>
        <stp>CPN_TYP</stp>
        <stp>[RV_LINE_PRICER.xlsm]FixedBonds!R7C26</stp>
        <tr r="Z7" s="1"/>
      </tp>
      <tp t="s">
        <v>CLEAN</v>
        <stp/>
        <stp>##V3_BDPV12</stp>
        <stp>USN4578BQA53 Corp</stp>
        <stp>PX_DIRTY_CLEAN</stp>
        <stp>[RV_LINE_PRICER.xlsm]FixedBonds!R7C30</stp>
        <tr r="AD7" s="1"/>
      </tp>
      <tp t="b">
        <v>0</v>
        <stp/>
        <stp>##V3_BDPV12</stp>
        <stp/>
        <stp>CPN_TYP</stp>
        <stp>[RV_LINE_PRICER.xlsm]FloatBonds!R18C30</stp>
        <tr r="AD18" s="18"/>
        <tr r="AD18" s="18"/>
      </tp>
      <tp t="b">
        <v>0</v>
        <stp/>
        <stp>##V3_BDPV12</stp>
        <stp/>
        <stp>CPN_TYP</stp>
        <stp>[RV_LINE_PRICER.xlsm]FloatBonds!R19C30</stp>
        <tr r="AD19" s="18"/>
        <tr r="AD19" s="18"/>
      </tp>
      <tp t="b">
        <v>0</v>
        <stp/>
        <stp>##V3_BDPV12</stp>
        <stp/>
        <stp>CPN_TYP</stp>
        <stp>[RV_LINE_PRICER.xlsm]FloatBonds!R12C30</stp>
        <tr r="AD12" s="18"/>
        <tr r="AD12" s="18"/>
      </tp>
      <tp t="b">
        <v>0</v>
        <stp/>
        <stp>##V3_BDPV12</stp>
        <stp/>
        <stp>CPN_TYP</stp>
        <stp>[RV_LINE_PRICER.xlsm]FloatBonds!R13C30</stp>
        <tr r="AD13" s="18"/>
        <tr r="AD13" s="18"/>
      </tp>
      <tp t="b">
        <v>0</v>
        <stp/>
        <stp>##V3_BDPV12</stp>
        <stp/>
        <stp>CPN_TYP</stp>
        <stp>[RV_LINE_PRICER.xlsm]FloatBonds!R14C30</stp>
        <tr r="AD14" s="18"/>
        <tr r="AD14" s="18"/>
      </tp>
      <tp t="b">
        <v>0</v>
        <stp/>
        <stp>##V3_BDPV12</stp>
        <stp/>
        <stp>CPN_TYP</stp>
        <stp>[RV_LINE_PRICER.xlsm]FloatBonds!R15C30</stp>
        <tr r="AD15" s="18"/>
        <tr r="AD15" s="18"/>
      </tp>
      <tp t="b">
        <v>0</v>
        <stp/>
        <stp>##V3_BDPV12</stp>
        <stp/>
        <stp>CPN_TYP</stp>
        <stp>[RV_LINE_PRICER.xlsm]FloatBonds!R16C30</stp>
        <tr r="AD16" s="18"/>
        <tr r="AD16" s="18"/>
      </tp>
      <tp t="b">
        <v>0</v>
        <stp/>
        <stp>##V3_BDPV12</stp>
        <stp/>
        <stp>CPN_TYP</stp>
        <stp>[RV_LINE_PRICER.xlsm]FloatBonds!R17C30</stp>
        <tr r="AD17" s="18"/>
        <tr r="AD17" s="18"/>
      </tp>
      <tp t="b">
        <v>0</v>
        <stp/>
        <stp>##V3_BDPV12</stp>
        <stp/>
        <stp>CPN_TYP</stp>
        <stp>[RV_LINE_PRICER.xlsm]FloatBonds!R20C30</stp>
        <tr r="AD20" s="18"/>
        <tr r="AD20" s="18"/>
      </tp>
      <tp t="b">
        <v>0</v>
        <stp/>
        <stp>##V3_BDPV12</stp>
        <stp/>
        <stp>CPN_TYP</stp>
        <stp>[RV_LINE_PRICER.xlsm]FloatBonds!R21C30</stp>
        <tr r="AD21" s="18"/>
        <tr r="AD21" s="18"/>
      </tp>
      <tp t="b">
        <v>0</v>
        <stp/>
        <stp>##V3_BDPV12</stp>
        <stp/>
        <stp>CPN_TYP</stp>
        <stp>[RV_LINE_PRICER.xlsm]FloatBonds!R22C30</stp>
        <tr r="AD22" s="18"/>
        <tr r="AD22" s="18"/>
      </tp>
      <tp t="b">
        <v>0</v>
        <stp/>
        <stp>##V3_BDPV12</stp>
        <stp/>
        <stp>CPN_TYP</stp>
        <stp>[RV_LINE_PRICER.xlsm]FloatBonds!R23C30</stp>
        <tr r="AD23" s="18"/>
        <tr r="AD23" s="18"/>
      </tp>
      <tp t="b">
        <v>0</v>
        <stp/>
        <stp>##V3_BDPV12</stp>
        <stp/>
        <stp>CPN_TYP</stp>
        <stp>[RV_LINE_PRICER.xlsm]FloatBonds!R24C30</stp>
        <tr r="AD24" s="18"/>
        <tr r="AD24" s="18"/>
      </tp>
      <tp t="b">
        <v>0</v>
        <stp/>
        <stp>##V3_BDPV12</stp>
        <stp/>
        <stp>CPN_TYP</stp>
        <stp>[RV_LINE_PRICER.xlsm]FloatBonds!R25C30</stp>
        <tr r="AD25" s="18"/>
        <tr r="AD25" s="18"/>
      </tp>
      <tp t="b">
        <v>0</v>
        <stp/>
        <stp>##V3_BDPV12</stp>
        <stp/>
        <stp>CPN_TYP</stp>
        <stp>[RV_LINE_PRICER.xlsm]FloatBonds!R26C30</stp>
        <tr r="AD26" s="18"/>
        <tr r="AD26" s="18"/>
      </tp>
      <tp t="s">
        <v>29/05/2009</v>
        <stp/>
        <stp>##V3_BDPV12</stp>
        <stp>XS0367001228 Corp</stp>
        <stp>FIRST_CPN_DT</stp>
        <stp>[RV_LINE_PRICER.xlsm]FixedBonds!R11C37</stp>
        <tr r="AK11" s="1"/>
      </tp>
      <tp t="s">
        <v>15/01/2016</v>
        <stp/>
        <stp>##V3_BDPV12</stp>
        <stp>XS1344710857 Corp</stp>
        <stp>START_ACC_DT</stp>
        <stp>[RV_LINE_PRICER.xlsm]XccyFixedBondSingle!R21C22</stp>
        <tr r="V21" s="21"/>
        <tr r="V21" s="21"/>
      </tp>
      <tp t="b">
        <v>0</v>
        <stp/>
        <stp>##V3_BDPV12</stp>
        <stp/>
        <stp>ID_ISIN</stp>
        <stp>[RV_LINE_PRICER.xlsm]FixedBonds!R12C28</stp>
        <tr r="AB12" s="1"/>
        <tr r="AB12" s="1"/>
      </tp>
      <tp t="b">
        <v>0</v>
        <stp/>
        <stp>##V3_BDPV12</stp>
        <stp/>
        <stp>ID_ISIN</stp>
        <stp>[RV_LINE_PRICER.xlsm]FixedBonds!R13C28</stp>
        <tr r="AB13" s="1"/>
        <tr r="AB13" s="1"/>
      </tp>
      <tp t="b">
        <v>0</v>
        <stp/>
        <stp>##V3_BDPV12</stp>
        <stp/>
        <stp>ID_ISIN</stp>
        <stp>[RV_LINE_PRICER.xlsm]FixedBonds!R16C28</stp>
        <tr r="AB16" s="1"/>
        <tr r="AB16" s="1"/>
      </tp>
      <tp t="b">
        <v>0</v>
        <stp/>
        <stp>##V3_BDPV12</stp>
        <stp/>
        <stp>ID_ISIN</stp>
        <stp>[RV_LINE_PRICER.xlsm]FixedBonds!R17C28</stp>
        <tr r="AB17" s="1"/>
        <tr r="AB17" s="1"/>
      </tp>
      <tp t="b">
        <v>0</v>
        <stp/>
        <stp>##V3_BDPV12</stp>
        <stp/>
        <stp>ID_ISIN</stp>
        <stp>[RV_LINE_PRICER.xlsm]FixedBonds!R14C28</stp>
        <tr r="AB14" s="1"/>
        <tr r="AB14" s="1"/>
      </tp>
      <tp t="b">
        <v>0</v>
        <stp/>
        <stp>##V3_BDPV12</stp>
        <stp/>
        <stp>ID_ISIN</stp>
        <stp>[RV_LINE_PRICER.xlsm]FixedBonds!R15C28</stp>
        <tr r="AB15" s="1"/>
        <tr r="AB15" s="1"/>
      </tp>
      <tp t="b">
        <v>0</v>
        <stp/>
        <stp>##V3_BDPV12</stp>
        <stp/>
        <stp>ID_ISIN</stp>
        <stp>[RV_LINE_PRICER.xlsm]FixedBonds!R18C28</stp>
        <tr r="AB18" s="1"/>
        <tr r="AB18" s="1"/>
      </tp>
      <tp t="b">
        <v>0</v>
        <stp/>
        <stp>##V3_BDPV12</stp>
        <stp/>
        <stp>ID_ISIN</stp>
        <stp>[RV_LINE_PRICER.xlsm]FixedBonds!R19C28</stp>
        <tr r="AB19" s="1"/>
        <tr r="AB19" s="1"/>
      </tp>
      <tp t="b">
        <v>0</v>
        <stp/>
        <stp>##V3_BDPV12</stp>
        <stp/>
        <stp>ID_ISIN</stp>
        <stp>[RV_LINE_PRICER.xlsm]FixedBonds!R22C28</stp>
        <tr r="AB22" s="1"/>
        <tr r="AB22" s="1"/>
      </tp>
      <tp t="b">
        <v>0</v>
        <stp/>
        <stp>##V3_BDPV12</stp>
        <stp/>
        <stp>ID_ISIN</stp>
        <stp>[RV_LINE_PRICER.xlsm]FixedBonds!R23C28</stp>
        <tr r="AB23" s="1"/>
        <tr r="AB23" s="1"/>
      </tp>
      <tp t="b">
        <v>0</v>
        <stp/>
        <stp>##V3_BDPV12</stp>
        <stp/>
        <stp>ID_ISIN</stp>
        <stp>[RV_LINE_PRICER.xlsm]FixedBonds!R20C28</stp>
        <tr r="AB20" s="1"/>
        <tr r="AB20" s="1"/>
      </tp>
      <tp t="b">
        <v>0</v>
        <stp/>
        <stp>##V3_BDPV12</stp>
        <stp/>
        <stp>ID_ISIN</stp>
        <stp>[RV_LINE_PRICER.xlsm]FixedBonds!R21C28</stp>
        <tr r="AB21" s="1"/>
        <tr r="AB21" s="1"/>
      </tp>
      <tp t="b">
        <v>0</v>
        <stp/>
        <stp>##V3_BDPV12</stp>
        <stp/>
        <stp>ID_ISIN</stp>
        <stp>[RV_LINE_PRICER.xlsm]FixedBonds!R26C28</stp>
        <tr r="AB26" s="1"/>
        <tr r="AB26" s="1"/>
      </tp>
      <tp t="b">
        <v>0</v>
        <stp/>
        <stp>##V3_BDPV12</stp>
        <stp/>
        <stp>ID_ISIN</stp>
        <stp>[RV_LINE_PRICER.xlsm]FixedBonds!R24C28</stp>
        <tr r="AB24" s="1"/>
        <tr r="AB24" s="1"/>
      </tp>
      <tp t="b">
        <v>0</v>
        <stp/>
        <stp>##V3_BDPV12</stp>
        <stp/>
        <stp>ID_ISIN</stp>
        <stp>[RV_LINE_PRICER.xlsm]FixedBonds!R25C28</stp>
        <tr r="AB25" s="1"/>
        <tr r="AB25" s="1"/>
      </tp>
      <tp t="b">
        <v>0</v>
        <stp/>
        <stp>##V3_BDPV12</stp>
        <stp/>
        <stp>FIRST_CPN_DT</stp>
        <stp>[RV_LINE_PRICER.xlsm]FixedBonds!R26C37</stp>
        <tr r="AK26" s="1"/>
        <tr r="AK26" s="1"/>
      </tp>
      <tp t="b">
        <v>0</v>
        <stp/>
        <stp>##V3_BDPV12</stp>
        <stp/>
        <stp>FIRST_CPN_DT</stp>
        <stp>[RV_LINE_PRICER.xlsm]FixedBonds!R24C37</stp>
        <tr r="AK24" s="1"/>
        <tr r="AK24" s="1"/>
      </tp>
      <tp t="b">
        <v>0</v>
        <stp/>
        <stp>##V3_BDPV12</stp>
        <stp/>
        <stp>FIRST_CPN_DT</stp>
        <stp>[RV_LINE_PRICER.xlsm]FixedBonds!R25C37</stp>
        <tr r="AK25" s="1"/>
        <tr r="AK25" s="1"/>
      </tp>
      <tp t="b">
        <v>0</v>
        <stp/>
        <stp>##V3_BDPV12</stp>
        <stp/>
        <stp>FIRST_CPN_DT</stp>
        <stp>[RV_LINE_PRICER.xlsm]FixedBonds!R22C37</stp>
        <tr r="AK22" s="1"/>
        <tr r="AK22" s="1"/>
      </tp>
      <tp t="b">
        <v>0</v>
        <stp/>
        <stp>##V3_BDPV12</stp>
        <stp/>
        <stp>FIRST_CPN_DT</stp>
        <stp>[RV_LINE_PRICER.xlsm]FixedBonds!R23C37</stp>
        <tr r="AK23" s="1"/>
        <tr r="AK23" s="1"/>
      </tp>
      <tp t="b">
        <v>0</v>
        <stp/>
        <stp>##V3_BDPV12</stp>
        <stp/>
        <stp>FIRST_CPN_DT</stp>
        <stp>[RV_LINE_PRICER.xlsm]FixedBonds!R20C37</stp>
        <tr r="AK20" s="1"/>
        <tr r="AK20" s="1"/>
      </tp>
      <tp t="b">
        <v>0</v>
        <stp/>
        <stp>##V3_BDPV12</stp>
        <stp/>
        <stp>FIRST_CPN_DT</stp>
        <stp>[RV_LINE_PRICER.xlsm]FixedBonds!R21C37</stp>
        <tr r="AK21" s="1"/>
        <tr r="AK21" s="1"/>
      </tp>
      <tp t="b">
        <v>0</v>
        <stp/>
        <stp>##V3_BDPV12</stp>
        <stp/>
        <stp>FIRST_CPN_DT</stp>
        <stp>[RV_LINE_PRICER.xlsm]FixedBonds!R16C37</stp>
        <tr r="AK16" s="1"/>
        <tr r="AK16" s="1"/>
      </tp>
      <tp t="b">
        <v>0</v>
        <stp/>
        <stp>##V3_BDPV12</stp>
        <stp/>
        <stp>FIRST_CPN_DT</stp>
        <stp>[RV_LINE_PRICER.xlsm]FixedBonds!R17C37</stp>
        <tr r="AK17" s="1"/>
        <tr r="AK17" s="1"/>
      </tp>
      <tp t="b">
        <v>0</v>
        <stp/>
        <stp>##V3_BDPV12</stp>
        <stp/>
        <stp>FIRST_CPN_DT</stp>
        <stp>[RV_LINE_PRICER.xlsm]FixedBonds!R14C37</stp>
        <tr r="AK14" s="1"/>
        <tr r="AK14" s="1"/>
      </tp>
      <tp t="b">
        <v>0</v>
        <stp/>
        <stp>##V3_BDPV12</stp>
        <stp/>
        <stp>FIRST_CPN_DT</stp>
        <stp>[RV_LINE_PRICER.xlsm]FixedBonds!R15C37</stp>
        <tr r="AK15" s="1"/>
        <tr r="AK15" s="1"/>
      </tp>
      <tp t="b">
        <v>0</v>
        <stp/>
        <stp>##V3_BDPV12</stp>
        <stp/>
        <stp>FIRST_CPN_DT</stp>
        <stp>[RV_LINE_PRICER.xlsm]FixedBonds!R12C37</stp>
        <tr r="AK12" s="1"/>
        <tr r="AK12" s="1"/>
      </tp>
      <tp t="b">
        <v>0</v>
        <stp/>
        <stp>##V3_BDPV12</stp>
        <stp/>
        <stp>FIRST_CPN_DT</stp>
        <stp>[RV_LINE_PRICER.xlsm]FixedBonds!R13C37</stp>
        <tr r="AK13" s="1"/>
        <tr r="AK13" s="1"/>
      </tp>
      <tp t="b">
        <v>0</v>
        <stp/>
        <stp>##V3_BDPV12</stp>
        <stp/>
        <stp>FIRST_CPN_DT</stp>
        <stp>[RV_LINE_PRICER.xlsm]FixedBonds!R18C37</stp>
        <tr r="AK18" s="1"/>
        <tr r="AK18" s="1"/>
      </tp>
      <tp t="b">
        <v>0</v>
        <stp/>
        <stp>##V3_BDPV12</stp>
        <stp/>
        <stp>FIRST_CPN_DT</stp>
        <stp>[RV_LINE_PRICER.xlsm]FixedBonds!R19C37</stp>
        <tr r="AK19" s="1"/>
        <tr r="AK19" s="1"/>
      </tp>
      <tp t="s">
        <v>09/06/2011</v>
        <stp/>
        <stp>##V3_BDPV12</stp>
        <stp>USN4578BQA53 Corp</stp>
        <stp>ISSUE_DT</stp>
        <stp>[RV_LINE_PRICER.xlsm]FixedBonds!R7C35</stp>
        <tr r="AI7" s="1"/>
      </tp>
      <tp t="b">
        <v>0</v>
        <stp/>
        <stp>##V3_BDPV12</stp>
        <stp/>
        <stp>CPN_FREQ</stp>
        <stp>[RV_LINE_PRICER.xlsm]FloatBonds!R22C214</stp>
        <tr r="HF22" s="18"/>
        <tr r="HF22" s="18"/>
      </tp>
      <tp t="b">
        <v>0</v>
        <stp/>
        <stp>##V3_BDPV12</stp>
        <stp/>
        <stp>CPN_FREQ</stp>
        <stp>[RV_LINE_PRICER.xlsm]FloatBonds!R23C214</stp>
        <tr r="HF23" s="18"/>
        <tr r="HF23" s="18"/>
      </tp>
      <tp t="b">
        <v>0</v>
        <stp/>
        <stp>##V3_BDPV12</stp>
        <stp/>
        <stp>CPN_FREQ</stp>
        <stp>[RV_LINE_PRICER.xlsm]FloatBonds!R20C214</stp>
        <tr r="HF20" s="18"/>
        <tr r="HF20" s="18"/>
      </tp>
      <tp t="b">
        <v>0</v>
        <stp/>
        <stp>##V3_BDPV12</stp>
        <stp/>
        <stp>CPN_FREQ</stp>
        <stp>[RV_LINE_PRICER.xlsm]FloatBonds!R21C214</stp>
        <tr r="HF21" s="18"/>
        <tr r="HF21" s="18"/>
      </tp>
      <tp t="b">
        <v>0</v>
        <stp/>
        <stp>##V3_BDPV12</stp>
        <stp/>
        <stp>CPN_FREQ</stp>
        <stp>[RV_LINE_PRICER.xlsm]FloatBonds!R26C214</stp>
        <tr r="HF26" s="18"/>
        <tr r="HF26" s="18"/>
      </tp>
      <tp t="b">
        <v>0</v>
        <stp/>
        <stp>##V3_BDPV12</stp>
        <stp/>
        <stp>CPN_FREQ</stp>
        <stp>[RV_LINE_PRICER.xlsm]FloatBonds!R24C214</stp>
        <tr r="HF24" s="18"/>
        <tr r="HF24" s="18"/>
      </tp>
      <tp t="b">
        <v>0</v>
        <stp/>
        <stp>##V3_BDPV12</stp>
        <stp/>
        <stp>CPN_FREQ</stp>
        <stp>[RV_LINE_PRICER.xlsm]FloatBonds!R25C214</stp>
        <tr r="HF25" s="18"/>
        <tr r="HF25" s="18"/>
      </tp>
      <tp t="b">
        <v>0</v>
        <stp/>
        <stp>##V3_BDPV12</stp>
        <stp/>
        <stp>CPN_FREQ</stp>
        <stp>[RV_LINE_PRICER.xlsm]FloatBonds!R18C214</stp>
        <tr r="HF18" s="18"/>
        <tr r="HF18" s="18"/>
      </tp>
      <tp t="b">
        <v>0</v>
        <stp/>
        <stp>##V3_BDPV12</stp>
        <stp/>
        <stp>CPN_FREQ</stp>
        <stp>[RV_LINE_PRICER.xlsm]FloatBonds!R19C214</stp>
        <tr r="HF19" s="18"/>
        <tr r="HF19" s="18"/>
      </tp>
      <tp t="b">
        <v>0</v>
        <stp/>
        <stp>##V3_BDPV12</stp>
        <stp/>
        <stp>CPN_FREQ</stp>
        <stp>[RV_LINE_PRICER.xlsm]FloatBonds!R12C214</stp>
        <tr r="HF12" s="18"/>
        <tr r="HF12" s="18"/>
      </tp>
      <tp t="b">
        <v>0</v>
        <stp/>
        <stp>##V3_BDPV12</stp>
        <stp/>
        <stp>CPN_FREQ</stp>
        <stp>[RV_LINE_PRICER.xlsm]FloatBonds!R13C214</stp>
        <tr r="HF13" s="18"/>
        <tr r="HF13" s="18"/>
      </tp>
      <tp t="b">
        <v>0</v>
        <stp/>
        <stp>##V3_BDPV12</stp>
        <stp/>
        <stp>CPN_FREQ</stp>
        <stp>[RV_LINE_PRICER.xlsm]FloatBonds!R16C214</stp>
        <tr r="HF16" s="18"/>
        <tr r="HF16" s="18"/>
      </tp>
      <tp t="b">
        <v>0</v>
        <stp/>
        <stp>##V3_BDPV12</stp>
        <stp/>
        <stp>CPN_FREQ</stp>
        <stp>[RV_LINE_PRICER.xlsm]FloatBonds!R17C214</stp>
        <tr r="HF17" s="18"/>
        <tr r="HF17" s="18"/>
      </tp>
      <tp t="b">
        <v>0</v>
        <stp/>
        <stp>##V3_BDPV12</stp>
        <stp/>
        <stp>CPN_FREQ</stp>
        <stp>[RV_LINE_PRICER.xlsm]FloatBonds!R14C214</stp>
        <tr r="HF14" s="18"/>
        <tr r="HF14" s="18"/>
      </tp>
      <tp t="b">
        <v>0</v>
        <stp/>
        <stp>##V3_BDPV12</stp>
        <stp/>
        <stp>CPN_FREQ</stp>
        <stp>[RV_LINE_PRICER.xlsm]FloatBonds!R15C214</stp>
        <tr r="HF15" s="18"/>
        <tr r="HF15" s="18"/>
      </tp>
      <tp t="s">
        <v>XS0367001228</v>
        <stp/>
        <stp>##V3_BDPV12</stp>
        <stp>XS0367001228 Corp</stp>
        <stp>ID_ISIN</stp>
        <stp>[RV_LINE_PRICER.xlsm]FixedBonds!R11C28</stp>
        <tr r="AB11" s="1"/>
      </tp>
      <tp t="s">
        <v>15/01/2020</v>
        <stp/>
        <stp>##V3_BDPV12</stp>
        <stp>US05565QCT31 Corp</stp>
        <stp>MATURITY</stp>
        <stp>[RV_LINE_PRICER.xlsm]FloatBondSingle!R24C9</stp>
        <tr r="I24" s="23"/>
        <tr r="I24" s="23"/>
      </tp>
      <tp t="s">
        <v>26/03/2025</v>
        <stp/>
        <stp>##V3_BDPV12</stp>
        <stp>USJ46186BC59 Corp</stp>
        <stp>MATURITY</stp>
        <stp>[RV_LINE_PRICER.xlsm]XccyFixedBondSingle!R24C9</stp>
        <tr r="I24" s="21"/>
        <tr r="I24" s="21"/>
      </tp>
      <tp t="s">
        <v>CLEAN</v>
        <stp/>
        <stp>##V3_BDPV12</stp>
        <stp>XS0367001228 Corp</stp>
        <stp>PX_DIRTY_CLEAN</stp>
        <stp>[RV_LINE_PRICER.xlsm]FixedBonds!R11C30</stp>
        <tr r="AD11" s="1"/>
      </tp>
      <tp t="s">
        <v>FIXED</v>
        <stp/>
        <stp>##V3_BDPV12</stp>
        <stp>XS1344710857 Corp</stp>
        <stp>CPN_TYP</stp>
        <stp>[RV_LINE_PRICER.xlsm]XccyFixedBonds!R7C204</stp>
        <tr r="GV7" s="16"/>
        <tr r="GV7" s="16"/>
      </tp>
      <tp t="s">
        <v>FIXED</v>
        <stp/>
        <stp>##V3_BDPV12</stp>
        <stp>XS1344710857 Corp</stp>
        <stp>CPN_TYP</stp>
        <stp>[RV_LINE_PRICER.xlsm]XccyFixedBonds!R9C204</stp>
        <tr r="GV9" s="16"/>
        <tr r="GV9" s="16"/>
      </tp>
      <tp t="s">
        <v>FIXED</v>
        <stp/>
        <stp>##V3_BDPV12</stp>
        <stp>XS1344710857 Corp</stp>
        <stp>CPN_TYP</stp>
        <stp>[RV_LINE_PRICER.xlsm]XccyFixedBonds!R8C204</stp>
        <tr r="GV8" s="16"/>
        <tr r="GV8" s="16"/>
      </tp>
      <tp>
        <v>1</v>
        <stp/>
        <stp>##V3_BDPV12</stp>
        <stp>USJ46186BC59 Corp</stp>
        <stp>CALC_TYP</stp>
        <stp>[RV_LINE_PRICER.xlsm]XccyFixedBondSingle!R34C9</stp>
        <tr r="I34" s="21"/>
        <tr r="I34" s="21"/>
        <tr r="I34" s="21"/>
      </tp>
      <tp t="s">
        <v>CLEAN</v>
        <stp/>
        <stp>##V3_BDPV12</stp>
        <stp>XS1344710857 Corp</stp>
        <stp>PX_DIRTY_CLEAN</stp>
        <stp>[RV_LINE_PRICER.xlsm]XccyFixedBondSingle!R15C22</stp>
        <tr r="V15" s="21"/>
        <tr r="V15" s="21"/>
      </tp>
      <tp t="s">
        <v>26/09/2024</v>
        <stp/>
        <stp>##V3_BDPV12</stp>
        <stp>USJ46186BC59 Corp</stp>
        <stp>PENULTIMATE_CPN_DT</stp>
        <stp>[RV_LINE_PRICER.xlsm]XccyFixedBondSingle!R23C9</stp>
        <tr r="I23" s="21"/>
        <tr r="I23" s="21"/>
      </tp>
      <tp>
        <v>1</v>
        <stp/>
        <stp>##V3_BDPV12</stp>
        <stp>US05565QCT31 Corp</stp>
        <stp>CALC_TYP</stp>
        <stp>[RV_LINE_PRICER.xlsm]FloatBondSingle!R34C9</stp>
        <tr r="I34" s="23"/>
        <tr r="I34" s="23"/>
        <tr r="I34" s="23"/>
      </tp>
      <tp t="b">
        <v>0</v>
        <stp/>
        <stp>##V3_BDPV12</stp>
        <stp/>
        <stp>CPN_FREQ</stp>
        <stp>[RV_LINE_PRICER.xlsm]FixedBonds!R23C208</stp>
        <tr r="GZ23" s="1"/>
        <tr r="GZ23" s="1"/>
      </tp>
      <tp t="b">
        <v>0</v>
        <stp/>
        <stp>##V3_BDPV12</stp>
        <stp/>
        <stp>CPN_FREQ</stp>
        <stp>[RV_LINE_PRICER.xlsm]FixedBonds!R22C208</stp>
        <tr r="GZ22" s="1"/>
        <tr r="GZ22" s="1"/>
      </tp>
      <tp t="b">
        <v>0</v>
        <stp/>
        <stp>##V3_BDPV12</stp>
        <stp/>
        <stp>CPN_FREQ</stp>
        <stp>[RV_LINE_PRICER.xlsm]FixedBonds!R21C208</stp>
        <tr r="GZ21" s="1"/>
        <tr r="GZ21" s="1"/>
      </tp>
      <tp t="b">
        <v>0</v>
        <stp/>
        <stp>##V3_BDPV12</stp>
        <stp/>
        <stp>CPN_FREQ</stp>
        <stp>[RV_LINE_PRICER.xlsm]FixedBonds!R20C208</stp>
        <tr r="GZ20" s="1"/>
        <tr r="GZ20" s="1"/>
      </tp>
      <tp t="b">
        <v>0</v>
        <stp/>
        <stp>##V3_BDPV12</stp>
        <stp/>
        <stp>CPN_FREQ</stp>
        <stp>[RV_LINE_PRICER.xlsm]FixedBonds!R26C208</stp>
        <tr r="GZ26" s="1"/>
        <tr r="GZ26" s="1"/>
      </tp>
      <tp t="b">
        <v>0</v>
        <stp/>
        <stp>##V3_BDPV12</stp>
        <stp/>
        <stp>CPN_FREQ</stp>
        <stp>[RV_LINE_PRICER.xlsm]FixedBonds!R25C208</stp>
        <tr r="GZ25" s="1"/>
        <tr r="GZ25" s="1"/>
      </tp>
      <tp t="b">
        <v>0</v>
        <stp/>
        <stp>##V3_BDPV12</stp>
        <stp/>
        <stp>CPN_FREQ</stp>
        <stp>[RV_LINE_PRICER.xlsm]FixedBonds!R24C208</stp>
        <tr r="GZ24" s="1"/>
        <tr r="GZ24" s="1"/>
      </tp>
      <tp t="b">
        <v>0</v>
        <stp/>
        <stp>##V3_BDPV12</stp>
        <stp/>
        <stp>CPN_FREQ</stp>
        <stp>[RV_LINE_PRICER.xlsm]FixedBonds!R13C208</stp>
        <tr r="GZ13" s="1"/>
        <tr r="GZ13" s="1"/>
      </tp>
      <tp t="b">
        <v>0</v>
        <stp/>
        <stp>##V3_BDPV12</stp>
        <stp/>
        <stp>CPN_FREQ</stp>
        <stp>[RV_LINE_PRICER.xlsm]FixedBonds!R12C208</stp>
        <tr r="GZ12" s="1"/>
        <tr r="GZ12" s="1"/>
      </tp>
      <tp t="b">
        <v>0</v>
        <stp/>
        <stp>##V3_BDPV12</stp>
        <stp/>
        <stp>CPN_FREQ</stp>
        <stp>[RV_LINE_PRICER.xlsm]FixedBonds!R17C208</stp>
        <tr r="GZ17" s="1"/>
        <tr r="GZ17" s="1"/>
      </tp>
      <tp t="b">
        <v>0</v>
        <stp/>
        <stp>##V3_BDPV12</stp>
        <stp/>
        <stp>CPN_FREQ</stp>
        <stp>[RV_LINE_PRICER.xlsm]FixedBonds!R16C208</stp>
        <tr r="GZ16" s="1"/>
        <tr r="GZ16" s="1"/>
      </tp>
      <tp t="b">
        <v>0</v>
        <stp/>
        <stp>##V3_BDPV12</stp>
        <stp/>
        <stp>CPN_FREQ</stp>
        <stp>[RV_LINE_PRICER.xlsm]FixedBonds!R15C208</stp>
        <tr r="GZ15" s="1"/>
        <tr r="GZ15" s="1"/>
      </tp>
      <tp t="b">
        <v>0</v>
        <stp/>
        <stp>##V3_BDPV12</stp>
        <stp/>
        <stp>CPN_FREQ</stp>
        <stp>[RV_LINE_PRICER.xlsm]FixedBonds!R14C208</stp>
        <tr r="GZ14" s="1"/>
        <tr r="GZ14" s="1"/>
      </tp>
      <tp t="b">
        <v>0</v>
        <stp/>
        <stp>##V3_BDPV12</stp>
        <stp/>
        <stp>CPN_FREQ</stp>
        <stp>[RV_LINE_PRICER.xlsm]FixedBonds!R19C208</stp>
        <tr r="GZ19" s="1"/>
        <tr r="GZ19" s="1"/>
      </tp>
      <tp t="b">
        <v>0</v>
        <stp/>
        <stp>##V3_BDPV12</stp>
        <stp/>
        <stp>CPN_FREQ</stp>
        <stp>[RV_LINE_PRICER.xlsm]FixedBonds!R18C208</stp>
        <tr r="GZ18" s="1"/>
        <tr r="GZ18" s="1"/>
      </tp>
      <tp>
        <v>99.709000000000003</v>
        <stp/>
        <stp>##V3_BDPV12</stp>
        <stp>US05565QCT31 Corp BGN Corp</stp>
        <stp>PX_LAST</stp>
        <stp>[RV_LINE_PRICER.xlsm]FloatBonds!R11C12</stp>
        <tr r="L11" s="18"/>
      </tp>
      <tp>
        <v>99.709000000000003</v>
        <stp/>
        <stp>##V3_BDPV12</stp>
        <stp>US05565QCT31 Corp BGN Corp</stp>
        <stp>PX_LAST</stp>
        <stp>[RV_LINE_PRICER.xlsm]FloatBonds!R10C12</stp>
        <tr r="L10" s="18"/>
      </tp>
      <tp t="b">
        <v>0</v>
        <stp/>
        <stp>##V3_BDPV12</stp>
        <stp/>
        <stp>PENULTIMATE_CPN_DT</stp>
        <stp>[RV_LINE_PRICER.xlsm]FloatBonds!R17C42</stp>
        <tr r="AP17" s="18"/>
        <tr r="AP17" s="18"/>
      </tp>
      <tp t="b">
        <v>0</v>
        <stp/>
        <stp>##V3_BDPV12</stp>
        <stp/>
        <stp>PENULTIMATE_CPN_DT</stp>
        <stp>[RV_LINE_PRICER.xlsm]FloatBonds!R16C42</stp>
        <tr r="AP16" s="18"/>
        <tr r="AP16" s="18"/>
      </tp>
      <tp t="b">
        <v>0</v>
        <stp/>
        <stp>##V3_BDPV12</stp>
        <stp/>
        <stp>PENULTIMATE_CPN_DT</stp>
        <stp>[RV_LINE_PRICER.xlsm]FloatBonds!R15C42</stp>
        <tr r="AP15" s="18"/>
        <tr r="AP15" s="18"/>
      </tp>
      <tp t="b">
        <v>0</v>
        <stp/>
        <stp>##V3_BDPV12</stp>
        <stp/>
        <stp>PENULTIMATE_CPN_DT</stp>
        <stp>[RV_LINE_PRICER.xlsm]FloatBonds!R14C42</stp>
        <tr r="AP14" s="18"/>
        <tr r="AP14" s="18"/>
      </tp>
      <tp t="b">
        <v>0</v>
        <stp/>
        <stp>##V3_BDPV12</stp>
        <stp/>
        <stp>PENULTIMATE_CPN_DT</stp>
        <stp>[RV_LINE_PRICER.xlsm]FloatBonds!R13C42</stp>
        <tr r="AP13" s="18"/>
        <tr r="AP13" s="18"/>
      </tp>
      <tp t="b">
        <v>0</v>
        <stp/>
        <stp>##V3_BDPV12</stp>
        <stp/>
        <stp>PENULTIMATE_CPN_DT</stp>
        <stp>[RV_LINE_PRICER.xlsm]FloatBonds!R12C42</stp>
        <tr r="AP12" s="18"/>
        <tr r="AP12" s="18"/>
      </tp>
      <tp t="b">
        <v>0</v>
        <stp/>
        <stp>##V3_BDPV12</stp>
        <stp/>
        <stp>PENULTIMATE_CPN_DT</stp>
        <stp>[RV_LINE_PRICER.xlsm]FloatBonds!R19C42</stp>
        <tr r="AP19" s="18"/>
        <tr r="AP19" s="18"/>
      </tp>
      <tp t="b">
        <v>0</v>
        <stp/>
        <stp>##V3_BDPV12</stp>
        <stp/>
        <stp>PENULTIMATE_CPN_DT</stp>
        <stp>[RV_LINE_PRICER.xlsm]FloatBonds!R18C42</stp>
        <tr r="AP18" s="18"/>
        <tr r="AP18" s="18"/>
      </tp>
      <tp t="b">
        <v>0</v>
        <stp/>
        <stp>##V3_BDPV12</stp>
        <stp/>
        <stp>PENULTIMATE_CPN_DT</stp>
        <stp>[RV_LINE_PRICER.xlsm]FloatBonds!R26C42</stp>
        <tr r="AP26" s="18"/>
        <tr r="AP26" s="18"/>
      </tp>
      <tp t="b">
        <v>0</v>
        <stp/>
        <stp>##V3_BDPV12</stp>
        <stp/>
        <stp>PENULTIMATE_CPN_DT</stp>
        <stp>[RV_LINE_PRICER.xlsm]FloatBonds!R25C42</stp>
        <tr r="AP25" s="18"/>
        <tr r="AP25" s="18"/>
      </tp>
      <tp t="b">
        <v>0</v>
        <stp/>
        <stp>##V3_BDPV12</stp>
        <stp/>
        <stp>PENULTIMATE_CPN_DT</stp>
        <stp>[RV_LINE_PRICER.xlsm]FloatBonds!R24C42</stp>
        <tr r="AP24" s="18"/>
        <tr r="AP24" s="18"/>
      </tp>
      <tp t="b">
        <v>0</v>
        <stp/>
        <stp>##V3_BDPV12</stp>
        <stp/>
        <stp>PENULTIMATE_CPN_DT</stp>
        <stp>[RV_LINE_PRICER.xlsm]FloatBonds!R23C42</stp>
        <tr r="AP23" s="18"/>
        <tr r="AP23" s="18"/>
      </tp>
      <tp t="b">
        <v>0</v>
        <stp/>
        <stp>##V3_BDPV12</stp>
        <stp/>
        <stp>PENULTIMATE_CPN_DT</stp>
        <stp>[RV_LINE_PRICER.xlsm]FloatBonds!R22C42</stp>
        <tr r="AP22" s="18"/>
        <tr r="AP22" s="18"/>
      </tp>
      <tp t="b">
        <v>0</v>
        <stp/>
        <stp>##V3_BDPV12</stp>
        <stp/>
        <stp>PENULTIMATE_CPN_DT</stp>
        <stp>[RV_LINE_PRICER.xlsm]FloatBonds!R21C42</stp>
        <tr r="AP21" s="18"/>
        <tr r="AP21" s="18"/>
      </tp>
      <tp t="b">
        <v>0</v>
        <stp/>
        <stp>##V3_BDPV12</stp>
        <stp/>
        <stp>PENULTIMATE_CPN_DT</stp>
        <stp>[RV_LINE_PRICER.xlsm]FloatBonds!R20C42</stp>
        <tr r="AP20" s="18"/>
        <tr r="AP20" s="18"/>
      </tp>
      <tp t="b">
        <v>0</v>
        <stp/>
        <stp>##V3_BDPV12</stp>
        <stp/>
        <stp>ISSUE_DT</stp>
        <stp>[RV_LINE_PRICER.xlsm]FixedBonds!R26C202</stp>
        <tr r="GT26" s="1"/>
        <tr r="GT26" s="1"/>
      </tp>
      <tp t="b">
        <v>0</v>
        <stp/>
        <stp>##V3_BDPV12</stp>
        <stp/>
        <stp>ISSUE_DT</stp>
        <stp>[RV_LINE_PRICER.xlsm]FixedBonds!R24C202</stp>
        <tr r="GT24" s="1"/>
        <tr r="GT24" s="1"/>
      </tp>
      <tp t="b">
        <v>0</v>
        <stp/>
        <stp>##V3_BDPV12</stp>
        <stp/>
        <stp>ISSUE_DT</stp>
        <stp>[RV_LINE_PRICER.xlsm]FixedBonds!R25C202</stp>
        <tr r="GT25" s="1"/>
        <tr r="GT25" s="1"/>
      </tp>
      <tp t="b">
        <v>0</v>
        <stp/>
        <stp>##V3_BDPV12</stp>
        <stp/>
        <stp>ISSUE_DT</stp>
        <stp>[RV_LINE_PRICER.xlsm]FixedBonds!R22C202</stp>
        <tr r="GT22" s="1"/>
        <tr r="GT22" s="1"/>
      </tp>
      <tp t="b">
        <v>0</v>
        <stp/>
        <stp>##V3_BDPV12</stp>
        <stp/>
        <stp>ISSUE_DT</stp>
        <stp>[RV_LINE_PRICER.xlsm]FixedBonds!R23C202</stp>
        <tr r="GT23" s="1"/>
        <tr r="GT23" s="1"/>
      </tp>
      <tp t="b">
        <v>0</v>
        <stp/>
        <stp>##V3_BDPV12</stp>
        <stp/>
        <stp>ISSUE_DT</stp>
        <stp>[RV_LINE_PRICER.xlsm]FixedBonds!R20C202</stp>
        <tr r="GT20" s="1"/>
        <tr r="GT20" s="1"/>
      </tp>
      <tp t="b">
        <v>0</v>
        <stp/>
        <stp>##V3_BDPV12</stp>
        <stp/>
        <stp>ISSUE_DT</stp>
        <stp>[RV_LINE_PRICER.xlsm]FixedBonds!R21C202</stp>
        <tr r="GT21" s="1"/>
        <tr r="GT21" s="1"/>
      </tp>
      <tp t="b">
        <v>0</v>
        <stp/>
        <stp>##V3_BDPV12</stp>
        <stp/>
        <stp>ISSUE_DT</stp>
        <stp>[RV_LINE_PRICER.xlsm]FixedBonds!R16C202</stp>
        <tr r="GT16" s="1"/>
        <tr r="GT16" s="1"/>
      </tp>
      <tp t="b">
        <v>0</v>
        <stp/>
        <stp>##V3_BDPV12</stp>
        <stp/>
        <stp>ISSUE_DT</stp>
        <stp>[RV_LINE_PRICER.xlsm]FixedBonds!R17C202</stp>
        <tr r="GT17" s="1"/>
        <tr r="GT17" s="1"/>
      </tp>
      <tp t="b">
        <v>0</v>
        <stp/>
        <stp>##V3_BDPV12</stp>
        <stp/>
        <stp>ISSUE_DT</stp>
        <stp>[RV_LINE_PRICER.xlsm]FixedBonds!R14C202</stp>
        <tr r="GT14" s="1"/>
        <tr r="GT14" s="1"/>
      </tp>
      <tp t="b">
        <v>0</v>
        <stp/>
        <stp>##V3_BDPV12</stp>
        <stp/>
        <stp>ISSUE_DT</stp>
        <stp>[RV_LINE_PRICER.xlsm]FixedBonds!R15C202</stp>
        <tr r="GT15" s="1"/>
        <tr r="GT15" s="1"/>
      </tp>
      <tp t="b">
        <v>0</v>
        <stp/>
        <stp>##V3_BDPV12</stp>
        <stp/>
        <stp>ISSUE_DT</stp>
        <stp>[RV_LINE_PRICER.xlsm]FixedBonds!R12C202</stp>
        <tr r="GT12" s="1"/>
        <tr r="GT12" s="1"/>
      </tp>
      <tp t="b">
        <v>0</v>
        <stp/>
        <stp>##V3_BDPV12</stp>
        <stp/>
        <stp>ISSUE_DT</stp>
        <stp>[RV_LINE_PRICER.xlsm]FixedBonds!R13C202</stp>
        <tr r="GT13" s="1"/>
        <tr r="GT13" s="1"/>
      </tp>
      <tp t="b">
        <v>0</v>
        <stp/>
        <stp>##V3_BDPV12</stp>
        <stp/>
        <stp>ISSUE_DT</stp>
        <stp>[RV_LINE_PRICER.xlsm]FixedBonds!R18C202</stp>
        <tr r="GT18" s="1"/>
        <tr r="GT18" s="1"/>
      </tp>
      <tp t="b">
        <v>0</v>
        <stp/>
        <stp>##V3_BDPV12</stp>
        <stp/>
        <stp>ISSUE_DT</stp>
        <stp>[RV_LINE_PRICER.xlsm]FixedBonds!R19C202</stp>
        <tr r="GT19" s="1"/>
        <tr r="GT19" s="1"/>
      </tp>
      <tp t="b">
        <v>0</v>
        <stp/>
        <stp>##V3_BDPV12</stp>
        <stp/>
        <stp>MATURITY</stp>
        <stp>[RV_LINE_PRICER.xlsm]FloatBonds!R18C212</stp>
        <tr r="HD18" s="18"/>
        <tr r="HD18" s="18"/>
      </tp>
      <tp t="b">
        <v>0</v>
        <stp/>
        <stp>##V3_BDPV12</stp>
        <stp/>
        <stp>MATURITY</stp>
        <stp>[RV_LINE_PRICER.xlsm]FloatBonds!R19C212</stp>
        <tr r="HD19" s="18"/>
        <tr r="HD19" s="18"/>
      </tp>
      <tp t="b">
        <v>0</v>
        <stp/>
        <stp>##V3_BDPV12</stp>
        <stp/>
        <stp>MATURITY</stp>
        <stp>[RV_LINE_PRICER.xlsm]FloatBonds!R16C212</stp>
        <tr r="HD16" s="18"/>
        <tr r="HD16" s="18"/>
      </tp>
      <tp t="b">
        <v>0</v>
        <stp/>
        <stp>##V3_BDPV12</stp>
        <stp/>
        <stp>MATURITY</stp>
        <stp>[RV_LINE_PRICER.xlsm]FloatBonds!R17C212</stp>
        <tr r="HD17" s="18"/>
        <tr r="HD17" s="18"/>
      </tp>
      <tp t="b">
        <v>0</v>
        <stp/>
        <stp>##V3_BDPV12</stp>
        <stp/>
        <stp>MATURITY</stp>
        <stp>[RV_LINE_PRICER.xlsm]FloatBonds!R14C212</stp>
        <tr r="HD14" s="18"/>
        <tr r="HD14" s="18"/>
      </tp>
      <tp t="b">
        <v>0</v>
        <stp/>
        <stp>##V3_BDPV12</stp>
        <stp/>
        <stp>MATURITY</stp>
        <stp>[RV_LINE_PRICER.xlsm]FloatBonds!R15C212</stp>
        <tr r="HD15" s="18"/>
        <tr r="HD15" s="18"/>
      </tp>
      <tp t="b">
        <v>0</v>
        <stp/>
        <stp>##V3_BDPV12</stp>
        <stp/>
        <stp>MATURITY</stp>
        <stp>[RV_LINE_PRICER.xlsm]FloatBonds!R12C212</stp>
        <tr r="HD12" s="18"/>
        <tr r="HD12" s="18"/>
      </tp>
      <tp t="b">
        <v>0</v>
        <stp/>
        <stp>##V3_BDPV12</stp>
        <stp/>
        <stp>MATURITY</stp>
        <stp>[RV_LINE_PRICER.xlsm]FloatBonds!R13C212</stp>
        <tr r="HD13" s="18"/>
        <tr r="HD13" s="18"/>
      </tp>
      <tp t="b">
        <v>0</v>
        <stp/>
        <stp>##V3_BDPV12</stp>
        <stp/>
        <stp>MATURITY</stp>
        <stp>[RV_LINE_PRICER.xlsm]FloatBonds!R26C212</stp>
        <tr r="HD26" s="18"/>
        <tr r="HD26" s="18"/>
      </tp>
      <tp t="b">
        <v>0</v>
        <stp/>
        <stp>##V3_BDPV12</stp>
        <stp/>
        <stp>MATURITY</stp>
        <stp>[RV_LINE_PRICER.xlsm]FloatBonds!R24C212</stp>
        <tr r="HD24" s="18"/>
        <tr r="HD24" s="18"/>
      </tp>
      <tp t="b">
        <v>0</v>
        <stp/>
        <stp>##V3_BDPV12</stp>
        <stp/>
        <stp>MATURITY</stp>
        <stp>[RV_LINE_PRICER.xlsm]FloatBonds!R25C212</stp>
        <tr r="HD25" s="18"/>
        <tr r="HD25" s="18"/>
      </tp>
      <tp t="b">
        <v>0</v>
        <stp/>
        <stp>##V3_BDPV12</stp>
        <stp/>
        <stp>MATURITY</stp>
        <stp>[RV_LINE_PRICER.xlsm]FloatBonds!R22C212</stp>
        <tr r="HD22" s="18"/>
        <tr r="HD22" s="18"/>
      </tp>
      <tp t="b">
        <v>0</v>
        <stp/>
        <stp>##V3_BDPV12</stp>
        <stp/>
        <stp>MATURITY</stp>
        <stp>[RV_LINE_PRICER.xlsm]FloatBonds!R23C212</stp>
        <tr r="HD23" s="18"/>
        <tr r="HD23" s="18"/>
      </tp>
      <tp t="b">
        <v>0</v>
        <stp/>
        <stp>##V3_BDPV12</stp>
        <stp/>
        <stp>MATURITY</stp>
        <stp>[RV_LINE_PRICER.xlsm]FloatBonds!R20C212</stp>
        <tr r="HD20" s="18"/>
        <tr r="HD20" s="18"/>
      </tp>
      <tp t="b">
        <v>0</v>
        <stp/>
        <stp>##V3_BDPV12</stp>
        <stp/>
        <stp>MATURITY</stp>
        <stp>[RV_LINE_PRICER.xlsm]FloatBonds!R21C212</stp>
        <tr r="HD21" s="18"/>
        <tr r="HD21" s="18"/>
      </tp>
      <tp t="s">
        <v>04/11/2014</v>
        <stp/>
        <stp>##V3_BDPV12</stp>
        <stp>US05565QCT31 Corp</stp>
        <stp>START_ACC_DT</stp>
        <stp>[RV_LINE_PRICER.xlsm]FloatBonds!R11C40</stp>
        <tr r="AN11" s="18"/>
      </tp>
      <tp t="s">
        <v>04/11/2014</v>
        <stp/>
        <stp>##V3_BDPV12</stp>
        <stp>US05565QCT31 Corp</stp>
        <stp>START_ACC_DT</stp>
        <stp>[RV_LINE_PRICER.xlsm]FloatBonds!R10C40</stp>
        <tr r="AN10" s="18"/>
      </tp>
      <tp t="s">
        <v>FIXED</v>
        <stp/>
        <stp>##V3_BDPV12</stp>
        <stp>USJ46186BC59 Corp</stp>
        <stp>CPN_TYP</stp>
        <stp>[RV_LINE_PRICER.xlsm]XccyFixedBonds!R11C33</stp>
        <tr r="AG11" s="16"/>
        <tr r="AG11" s="16"/>
      </tp>
      <tp t="s">
        <v>FIXED</v>
        <stp/>
        <stp>##V3_BDPV12</stp>
        <stp>USJ46186BC59 Corp</stp>
        <stp>CPN_TYP</stp>
        <stp>[RV_LINE_PRICER.xlsm]XccyFixedBonds!R10C33</stp>
        <tr r="AG10" s="16"/>
        <tr r="AG10" s="16"/>
      </tp>
      <tp t="s">
        <v>20/05/2015</v>
        <stp/>
        <stp>##V3_BDPV12</stp>
        <stp>XS1193905160 Corp</stp>
        <stp>FIRST_CPN_DT</stp>
        <stp>[RV_LINE_PRICER.xlsm]FloatBonds!R11C210</stp>
        <tr r="HB11" s="18"/>
      </tp>
      <tp t="s">
        <v>20/05/2015</v>
        <stp/>
        <stp>##V3_BDPV12</stp>
        <stp>XS1193905160 Corp</stp>
        <stp>FIRST_CPN_DT</stp>
        <stp>[RV_LINE_PRICER.xlsm]FloatBonds!R10C210</stp>
        <tr r="HB10" s="18"/>
      </tp>
      <tp t="s">
        <v>06/04/2018</v>
        <stp/>
        <stp>##V3_BDPV12</stp>
        <stp>XS1692845396 Corp</stp>
        <stp>FIRST_CPN_DT</stp>
        <stp>[RV_LINE_PRICER.xlsm]FixedBonds!R10C204</stp>
        <tr r="GV10" s="1"/>
      </tp>
      <tp t="b">
        <v>0</v>
        <stp/>
        <stp>##V3_BDPV12</stp>
        <stp/>
        <stp>START_ACC_DT</stp>
        <stp>[RV_LINE_PRICER.xlsm]FloatBonds!R13C40</stp>
        <tr r="AN13" s="18"/>
        <tr r="AN13" s="18"/>
      </tp>
      <tp t="b">
        <v>0</v>
        <stp/>
        <stp>##V3_BDPV12</stp>
        <stp/>
        <stp>START_ACC_DT</stp>
        <stp>[RV_LINE_PRICER.xlsm]FloatBonds!R12C40</stp>
        <tr r="AN12" s="18"/>
        <tr r="AN12" s="18"/>
      </tp>
      <tp t="b">
        <v>0</v>
        <stp/>
        <stp>##V3_BDPV12</stp>
        <stp/>
        <stp>START_ACC_DT</stp>
        <stp>[RV_LINE_PRICER.xlsm]FloatBonds!R15C40</stp>
        <tr r="AN15" s="18"/>
        <tr r="AN15" s="18"/>
      </tp>
      <tp t="b">
        <v>0</v>
        <stp/>
        <stp>##V3_BDPV12</stp>
        <stp/>
        <stp>START_ACC_DT</stp>
        <stp>[RV_LINE_PRICER.xlsm]FloatBonds!R14C40</stp>
        <tr r="AN14" s="18"/>
        <tr r="AN14" s="18"/>
      </tp>
      <tp t="b">
        <v>0</v>
        <stp/>
        <stp>##V3_BDPV12</stp>
        <stp/>
        <stp>START_ACC_DT</stp>
        <stp>[RV_LINE_PRICER.xlsm]FloatBonds!R17C40</stp>
        <tr r="AN17" s="18"/>
        <tr r="AN17" s="18"/>
      </tp>
      <tp t="b">
        <v>0</v>
        <stp/>
        <stp>##V3_BDPV12</stp>
        <stp/>
        <stp>START_ACC_DT</stp>
        <stp>[RV_LINE_PRICER.xlsm]FloatBonds!R16C40</stp>
        <tr r="AN16" s="18"/>
        <tr r="AN16" s="18"/>
      </tp>
      <tp t="b">
        <v>0</v>
        <stp/>
        <stp>##V3_BDPV12</stp>
        <stp/>
        <stp>START_ACC_DT</stp>
        <stp>[RV_LINE_PRICER.xlsm]FloatBonds!R19C40</stp>
        <tr r="AN19" s="18"/>
        <tr r="AN19" s="18"/>
      </tp>
      <tp t="b">
        <v>0</v>
        <stp/>
        <stp>##V3_BDPV12</stp>
        <stp/>
        <stp>START_ACC_DT</stp>
        <stp>[RV_LINE_PRICER.xlsm]FloatBonds!R18C40</stp>
        <tr r="AN18" s="18"/>
        <tr r="AN18" s="18"/>
      </tp>
      <tp t="b">
        <v>0</v>
        <stp/>
        <stp>##V3_BDPV12</stp>
        <stp/>
        <stp>START_ACC_DT</stp>
        <stp>[RV_LINE_PRICER.xlsm]FloatBonds!R21C40</stp>
        <tr r="AN21" s="18"/>
        <tr r="AN21" s="18"/>
      </tp>
      <tp t="b">
        <v>0</v>
        <stp/>
        <stp>##V3_BDPV12</stp>
        <stp/>
        <stp>START_ACC_DT</stp>
        <stp>[RV_LINE_PRICER.xlsm]FloatBonds!R20C40</stp>
        <tr r="AN20" s="18"/>
        <tr r="AN20" s="18"/>
      </tp>
      <tp t="b">
        <v>0</v>
        <stp/>
        <stp>##V3_BDPV12</stp>
        <stp/>
        <stp>START_ACC_DT</stp>
        <stp>[RV_LINE_PRICER.xlsm]FloatBonds!R23C40</stp>
        <tr r="AN23" s="18"/>
        <tr r="AN23" s="18"/>
      </tp>
      <tp t="b">
        <v>0</v>
        <stp/>
        <stp>##V3_BDPV12</stp>
        <stp/>
        <stp>START_ACC_DT</stp>
        <stp>[RV_LINE_PRICER.xlsm]FloatBonds!R22C40</stp>
        <tr r="AN22" s="18"/>
        <tr r="AN22" s="18"/>
      </tp>
      <tp t="b">
        <v>0</v>
        <stp/>
        <stp>##V3_BDPV12</stp>
        <stp/>
        <stp>START_ACC_DT</stp>
        <stp>[RV_LINE_PRICER.xlsm]FloatBonds!R25C40</stp>
        <tr r="AN25" s="18"/>
        <tr r="AN25" s="18"/>
      </tp>
      <tp t="b">
        <v>0</v>
        <stp/>
        <stp>##V3_BDPV12</stp>
        <stp/>
        <stp>START_ACC_DT</stp>
        <stp>[RV_LINE_PRICER.xlsm]FloatBonds!R24C40</stp>
        <tr r="AN24" s="18"/>
        <tr r="AN24" s="18"/>
      </tp>
      <tp t="b">
        <v>0</v>
        <stp/>
        <stp>##V3_BDPV12</stp>
        <stp/>
        <stp>START_ACC_DT</stp>
        <stp>[RV_LINE_PRICER.xlsm]FloatBonds!R26C40</stp>
        <tr r="AN26" s="18"/>
        <tr r="AN26" s="18"/>
      </tp>
      <tp>
        <v>2</v>
        <stp/>
        <stp>##V3_BDPV12</stp>
        <stp>USN4578BQA53 Corp</stp>
        <stp>CPN_FREQ</stp>
        <stp>[RV_LINE_PRICER.xlsm]FixedBonds!R7C41</stp>
        <tr r="AO7" s="1"/>
      </tp>
      <tp t="b">
        <v>0</v>
        <stp/>
        <stp>##V3_BDPV12</stp>
        <stp/>
        <stp>ISSUE_DT</stp>
        <stp>[RV_LINE_PRICER.xlsm]FloatBonds!R21C208</stp>
        <tr r="GZ21" s="18"/>
        <tr r="GZ21" s="18"/>
      </tp>
      <tp t="b">
        <v>0</v>
        <stp/>
        <stp>##V3_BDPV12</stp>
        <stp/>
        <stp>ISSUE_DT</stp>
        <stp>[RV_LINE_PRICER.xlsm]FloatBonds!R20C208</stp>
        <tr r="GZ20" s="18"/>
        <tr r="GZ20" s="18"/>
      </tp>
      <tp t="b">
        <v>0</v>
        <stp/>
        <stp>##V3_BDPV12</stp>
        <stp/>
        <stp>ISSUE_DT</stp>
        <stp>[RV_LINE_PRICER.xlsm]FloatBonds!R23C208</stp>
        <tr r="GZ23" s="18"/>
        <tr r="GZ23" s="18"/>
      </tp>
      <tp t="b">
        <v>0</v>
        <stp/>
        <stp>##V3_BDPV12</stp>
        <stp/>
        <stp>ISSUE_DT</stp>
        <stp>[RV_LINE_PRICER.xlsm]FloatBonds!R22C208</stp>
        <tr r="GZ22" s="18"/>
        <tr r="GZ22" s="18"/>
      </tp>
      <tp t="b">
        <v>0</v>
        <stp/>
        <stp>##V3_BDPV12</stp>
        <stp/>
        <stp>ISSUE_DT</stp>
        <stp>[RV_LINE_PRICER.xlsm]FloatBonds!R25C208</stp>
        <tr r="GZ25" s="18"/>
        <tr r="GZ25" s="18"/>
      </tp>
      <tp t="b">
        <v>0</v>
        <stp/>
        <stp>##V3_BDPV12</stp>
        <stp/>
        <stp>ISSUE_DT</stp>
        <stp>[RV_LINE_PRICER.xlsm]FloatBonds!R24C208</stp>
        <tr r="GZ24" s="18"/>
        <tr r="GZ24" s="18"/>
      </tp>
      <tp t="b">
        <v>0</v>
        <stp/>
        <stp>##V3_BDPV12</stp>
        <stp/>
        <stp>ISSUE_DT</stp>
        <stp>[RV_LINE_PRICER.xlsm]FloatBonds!R26C208</stp>
        <tr r="GZ26" s="18"/>
        <tr r="GZ26" s="18"/>
      </tp>
      <tp t="b">
        <v>0</v>
        <stp/>
        <stp>##V3_BDPV12</stp>
        <stp/>
        <stp>ISSUE_DT</stp>
        <stp>[RV_LINE_PRICER.xlsm]FloatBonds!R19C208</stp>
        <tr r="GZ19" s="18"/>
        <tr r="GZ19" s="18"/>
      </tp>
      <tp t="b">
        <v>0</v>
        <stp/>
        <stp>##V3_BDPV12</stp>
        <stp/>
        <stp>ISSUE_DT</stp>
        <stp>[RV_LINE_PRICER.xlsm]FloatBonds!R18C208</stp>
        <tr r="GZ18" s="18"/>
        <tr r="GZ18" s="18"/>
      </tp>
      <tp t="b">
        <v>0</v>
        <stp/>
        <stp>##V3_BDPV12</stp>
        <stp/>
        <stp>ISSUE_DT</stp>
        <stp>[RV_LINE_PRICER.xlsm]FloatBonds!R13C208</stp>
        <tr r="GZ13" s="18"/>
        <tr r="GZ13" s="18"/>
      </tp>
      <tp t="b">
        <v>0</v>
        <stp/>
        <stp>##V3_BDPV12</stp>
        <stp/>
        <stp>ISSUE_DT</stp>
        <stp>[RV_LINE_PRICER.xlsm]FloatBonds!R12C208</stp>
        <tr r="GZ12" s="18"/>
        <tr r="GZ12" s="18"/>
      </tp>
      <tp t="b">
        <v>0</v>
        <stp/>
        <stp>##V3_BDPV12</stp>
        <stp/>
        <stp>ISSUE_DT</stp>
        <stp>[RV_LINE_PRICER.xlsm]FloatBonds!R15C208</stp>
        <tr r="GZ15" s="18"/>
        <tr r="GZ15" s="18"/>
      </tp>
      <tp t="b">
        <v>0</v>
        <stp/>
        <stp>##V3_BDPV12</stp>
        <stp/>
        <stp>ISSUE_DT</stp>
        <stp>[RV_LINE_PRICER.xlsm]FloatBonds!R14C208</stp>
        <tr r="GZ14" s="18"/>
        <tr r="GZ14" s="18"/>
      </tp>
      <tp t="b">
        <v>0</v>
        <stp/>
        <stp>##V3_BDPV12</stp>
        <stp/>
        <stp>ISSUE_DT</stp>
        <stp>[RV_LINE_PRICER.xlsm]FloatBonds!R17C208</stp>
        <tr r="GZ17" s="18"/>
        <tr r="GZ17" s="18"/>
      </tp>
      <tp t="b">
        <v>0</v>
        <stp/>
        <stp>##V3_BDPV12</stp>
        <stp/>
        <stp>ISSUE_DT</stp>
        <stp>[RV_LINE_PRICER.xlsm]FloatBonds!R16C208</stp>
        <tr r="GZ16" s="18"/>
        <tr r="GZ16" s="18"/>
      </tp>
      <tp t="b">
        <v>0</v>
        <stp/>
        <stp>##V3_BDPV12</stp>
        <stp/>
        <stp>MATURITY</stp>
        <stp>[RV_LINE_PRICER.xlsm]FixedBonds!R19C206</stp>
        <tr r="GX19" s="1"/>
        <tr r="GX19" s="1"/>
      </tp>
      <tp t="b">
        <v>0</v>
        <stp/>
        <stp>##V3_BDPV12</stp>
        <stp/>
        <stp>MATURITY</stp>
        <stp>[RV_LINE_PRICER.xlsm]FixedBonds!R18C206</stp>
        <tr r="GX18" s="1"/>
        <tr r="GX18" s="1"/>
      </tp>
      <tp t="b">
        <v>0</v>
        <stp/>
        <stp>##V3_BDPV12</stp>
        <stp/>
        <stp>MATURITY</stp>
        <stp>[RV_LINE_PRICER.xlsm]FixedBonds!R17C206</stp>
        <tr r="GX17" s="1"/>
        <tr r="GX17" s="1"/>
      </tp>
      <tp t="b">
        <v>0</v>
        <stp/>
        <stp>##V3_BDPV12</stp>
        <stp/>
        <stp>MATURITY</stp>
        <stp>[RV_LINE_PRICER.xlsm]FixedBonds!R16C206</stp>
        <tr r="GX16" s="1"/>
        <tr r="GX16" s="1"/>
      </tp>
      <tp t="b">
        <v>0</v>
        <stp/>
        <stp>##V3_BDPV12</stp>
        <stp/>
        <stp>MATURITY</stp>
        <stp>[RV_LINE_PRICER.xlsm]FixedBonds!R15C206</stp>
        <tr r="GX15" s="1"/>
        <tr r="GX15" s="1"/>
      </tp>
      <tp t="b">
        <v>0</v>
        <stp/>
        <stp>##V3_BDPV12</stp>
        <stp/>
        <stp>MATURITY</stp>
        <stp>[RV_LINE_PRICER.xlsm]FixedBonds!R14C206</stp>
        <tr r="GX14" s="1"/>
        <tr r="GX14" s="1"/>
      </tp>
      <tp t="b">
        <v>0</v>
        <stp/>
        <stp>##V3_BDPV12</stp>
        <stp/>
        <stp>MATURITY</stp>
        <stp>[RV_LINE_PRICER.xlsm]FixedBonds!R13C206</stp>
        <tr r="GX13" s="1"/>
        <tr r="GX13" s="1"/>
      </tp>
      <tp t="b">
        <v>0</v>
        <stp/>
        <stp>##V3_BDPV12</stp>
        <stp/>
        <stp>MATURITY</stp>
        <stp>[RV_LINE_PRICER.xlsm]FixedBonds!R12C206</stp>
        <tr r="GX12" s="1"/>
        <tr r="GX12" s="1"/>
      </tp>
      <tp t="b">
        <v>0</v>
        <stp/>
        <stp>##V3_BDPV12</stp>
        <stp/>
        <stp>MATURITY</stp>
        <stp>[RV_LINE_PRICER.xlsm]FixedBonds!R26C206</stp>
        <tr r="GX26" s="1"/>
        <tr r="GX26" s="1"/>
      </tp>
      <tp t="b">
        <v>0</v>
        <stp/>
        <stp>##V3_BDPV12</stp>
        <stp/>
        <stp>MATURITY</stp>
        <stp>[RV_LINE_PRICER.xlsm]FixedBonds!R25C206</stp>
        <tr r="GX25" s="1"/>
        <tr r="GX25" s="1"/>
      </tp>
      <tp t="b">
        <v>0</v>
        <stp/>
        <stp>##V3_BDPV12</stp>
        <stp/>
        <stp>MATURITY</stp>
        <stp>[RV_LINE_PRICER.xlsm]FixedBonds!R24C206</stp>
        <tr r="GX24" s="1"/>
        <tr r="GX24" s="1"/>
      </tp>
      <tp t="b">
        <v>0</v>
        <stp/>
        <stp>##V3_BDPV12</stp>
        <stp/>
        <stp>MATURITY</stp>
        <stp>[RV_LINE_PRICER.xlsm]FixedBonds!R23C206</stp>
        <tr r="GX23" s="1"/>
        <tr r="GX23" s="1"/>
      </tp>
      <tp t="b">
        <v>0</v>
        <stp/>
        <stp>##V3_BDPV12</stp>
        <stp/>
        <stp>MATURITY</stp>
        <stp>[RV_LINE_PRICER.xlsm]FixedBonds!R22C206</stp>
        <tr r="GX22" s="1"/>
        <tr r="GX22" s="1"/>
      </tp>
      <tp t="b">
        <v>0</v>
        <stp/>
        <stp>##V3_BDPV12</stp>
        <stp/>
        <stp>MATURITY</stp>
        <stp>[RV_LINE_PRICER.xlsm]FixedBonds!R21C206</stp>
        <tr r="GX21" s="1"/>
        <tr r="GX21" s="1"/>
      </tp>
      <tp t="b">
        <v>0</v>
        <stp/>
        <stp>##V3_BDPV12</stp>
        <stp/>
        <stp>MATURITY</stp>
        <stp>[RV_LINE_PRICER.xlsm]FixedBonds!R20C206</stp>
        <tr r="GX20" s="1"/>
        <tr r="GX20" s="1"/>
      </tp>
      <tp t="s">
        <v>09/06/2021</v>
        <stp/>
        <stp>##V3_BDPV12</stp>
        <stp>USN4578BQA53 Corp</stp>
        <stp>MATURITY</stp>
        <stp>[RV_LINE_PRICER.xlsm]FixedBonds!R7C39</stp>
        <tr r="AM7" s="1"/>
      </tp>
      <tp>
        <v>3.2</v>
        <stp/>
        <stp>##V3_BDPV12</stp>
        <stp>USJ46186BC59 Corp</stp>
        <stp>CPN</stp>
        <stp>[RV_LINE_PRICER.xlsm]XccyFixedBondSingle!R25C9</stp>
        <tr r="I25" s="21"/>
        <tr r="I25" s="21"/>
      </tp>
      <tp t="s">
        <v>USN4578BQA53</v>
        <stp/>
        <stp>##V3_BDPV12</stp>
        <stp>USN4578BQA53 Corp</stp>
        <stp>ID_ISIN</stp>
        <stp>[RV_LINE_PRICER.xlsm]FixedBonds!R7C28</stp>
        <tr r="AB7" s="1"/>
      </tp>
      <tp>
        <v>3.92</v>
        <stp/>
        <stp>##V3_BDPV12</stp>
        <stp>XS1344710857 Corp</stp>
        <stp>CPN</stp>
        <stp>[RV_LINE_PRICER.xlsm]XccyFixedBondSingle!R25C22</stp>
        <tr r="V25" s="21"/>
        <tr r="V25" s="21"/>
      </tp>
      <tp t="s">
        <v>ISMA-30/360</v>
        <stp/>
        <stp>##V3_BDPV12</stp>
        <stp>XS1344710857 Corp</stp>
        <stp>DAY_CNT_DES</stp>
        <stp>[RV_LINE_PRICER.xlsm]XccyFixedBondSingle!R32C22</stp>
        <tr r="V32" s="21"/>
        <tr r="V32" s="21"/>
      </tp>
      <tp t="b">
        <v>0</v>
        <stp/>
        <stp>##V3_BDPV12</stp>
        <stp/>
        <stp>CALC_TYP</stp>
        <stp>[RV_LINE_PRICER.xlsm]FixedBonds!R12C216</stp>
        <tr r="HH12" s="1"/>
        <tr r="HH12" s="1"/>
        <tr r="HH12" s="1"/>
      </tp>
      <tp t="b">
        <v>0</v>
        <stp/>
        <stp>##V3_BDPV12</stp>
        <stp/>
        <stp>CALC_TYP</stp>
        <stp>[RV_LINE_PRICER.xlsm]FixedBonds!R13C216</stp>
        <tr r="HH13" s="1"/>
        <tr r="HH13" s="1"/>
        <tr r="HH13" s="1"/>
      </tp>
      <tp t="b">
        <v>0</v>
        <stp/>
        <stp>##V3_BDPV12</stp>
        <stp/>
        <stp>CALC_TYP</stp>
        <stp>[RV_LINE_PRICER.xlsm]FixedBonds!R14C216</stp>
        <tr r="HH14" s="1"/>
        <tr r="HH14" s="1"/>
        <tr r="HH14" s="1"/>
      </tp>
      <tp t="b">
        <v>0</v>
        <stp/>
        <stp>##V3_BDPV12</stp>
        <stp/>
        <stp>CALC_TYP</stp>
        <stp>[RV_LINE_PRICER.xlsm]FixedBonds!R15C216</stp>
        <tr r="HH15" s="1"/>
        <tr r="HH15" s="1"/>
        <tr r="HH15" s="1"/>
      </tp>
      <tp t="b">
        <v>0</v>
        <stp/>
        <stp>##V3_BDPV12</stp>
        <stp/>
        <stp>CALC_TYP</stp>
        <stp>[RV_LINE_PRICER.xlsm]FixedBonds!R16C216</stp>
        <tr r="HH16" s="1"/>
        <tr r="HH16" s="1"/>
        <tr r="HH16" s="1"/>
      </tp>
      <tp t="b">
        <v>0</v>
        <stp/>
        <stp>##V3_BDPV12</stp>
        <stp/>
        <stp>CALC_TYP</stp>
        <stp>[RV_LINE_PRICER.xlsm]FixedBonds!R17C216</stp>
        <tr r="HH17" s="1"/>
        <tr r="HH17" s="1"/>
        <tr r="HH17" s="1"/>
      </tp>
      <tp t="b">
        <v>0</v>
        <stp/>
        <stp>##V3_BDPV12</stp>
        <stp/>
        <stp>CALC_TYP</stp>
        <stp>[RV_LINE_PRICER.xlsm]FixedBonds!R18C216</stp>
        <tr r="HH18" s="1"/>
        <tr r="HH18" s="1"/>
        <tr r="HH18" s="1"/>
      </tp>
      <tp t="b">
        <v>0</v>
        <stp/>
        <stp>##V3_BDPV12</stp>
        <stp/>
        <stp>CALC_TYP</stp>
        <stp>[RV_LINE_PRICER.xlsm]FixedBonds!R19C216</stp>
        <tr r="HH19" s="1"/>
        <tr r="HH19" s="1"/>
        <tr r="HH19" s="1"/>
      </tp>
      <tp t="b">
        <v>0</v>
        <stp/>
        <stp>##V3_BDPV12</stp>
        <stp/>
        <stp>CALC_TYP</stp>
        <stp>[RV_LINE_PRICER.xlsm]FixedBonds!R20C216</stp>
        <tr r="HH20" s="1"/>
        <tr r="HH20" s="1"/>
        <tr r="HH20" s="1"/>
      </tp>
      <tp t="b">
        <v>0</v>
        <stp/>
        <stp>##V3_BDPV12</stp>
        <stp/>
        <stp>CALC_TYP</stp>
        <stp>[RV_LINE_PRICER.xlsm]FixedBonds!R21C216</stp>
        <tr r="HH21" s="1"/>
        <tr r="HH21" s="1"/>
        <tr r="HH21" s="1"/>
      </tp>
      <tp t="b">
        <v>0</v>
        <stp/>
        <stp>##V3_BDPV12</stp>
        <stp/>
        <stp>CALC_TYP</stp>
        <stp>[RV_LINE_PRICER.xlsm]FixedBonds!R22C216</stp>
        <tr r="HH22" s="1"/>
        <tr r="HH22" s="1"/>
        <tr r="HH22" s="1"/>
      </tp>
      <tp t="b">
        <v>0</v>
        <stp/>
        <stp>##V3_BDPV12</stp>
        <stp/>
        <stp>CALC_TYP</stp>
        <stp>[RV_LINE_PRICER.xlsm]FixedBonds!R23C216</stp>
        <tr r="HH23" s="1"/>
        <tr r="HH23" s="1"/>
        <tr r="HH23" s="1"/>
      </tp>
      <tp t="b">
        <v>0</v>
        <stp/>
        <stp>##V3_BDPV12</stp>
        <stp/>
        <stp>CALC_TYP</stp>
        <stp>[RV_LINE_PRICER.xlsm]FixedBonds!R24C216</stp>
        <tr r="HH24" s="1"/>
        <tr r="HH24" s="1"/>
        <tr r="HH24" s="1"/>
      </tp>
      <tp t="b">
        <v>0</v>
        <stp/>
        <stp>##V3_BDPV12</stp>
        <stp/>
        <stp>CALC_TYP</stp>
        <stp>[RV_LINE_PRICER.xlsm]FixedBonds!R25C216</stp>
        <tr r="HH25" s="1"/>
        <tr r="HH25" s="1"/>
        <tr r="HH25" s="1"/>
      </tp>
      <tp t="b">
        <v>0</v>
        <stp/>
        <stp>##V3_BDPV12</stp>
        <stp/>
        <stp>CALC_TYP</stp>
        <stp>[RV_LINE_PRICER.xlsm]FixedBonds!R26C216</stp>
        <tr r="HH26" s="1"/>
        <tr r="HH26" s="1"/>
        <tr r="HH26" s="1"/>
      </tp>
      <tp t="s">
        <v>#N/A Invalid Security</v>
        <stp/>
        <stp>##V3_BDPV12</stp>
        <stp>#LOADING BGN Corp</stp>
        <stp>PX_LAST</stp>
        <stp>[RV_LINE_PRICER.xlsm]FixedBonds!R11C12</stp>
        <tr r="L11" s="1"/>
      </tp>
      <tp t="s">
        <v>#N/A Invalid Security</v>
        <stp/>
        <stp>##V3_BDPV12</stp>
        <stp>#LOADING BGN Corp</stp>
        <stp>PX_LAST</stp>
        <stp>[RV_LINE_PRICER.xlsm]FixedBonds!R10C12</stp>
        <tr r="L10" s="1"/>
      </tp>
      <tp>
        <v>1</v>
        <stp/>
        <stp>##V3_BDPV12</stp>
        <stp>USN4578BQA53 Corp</stp>
        <stp>CALC_TYP</stp>
        <stp>[RV_LINE_PRICER.xlsm]FixedBonds!R7C49</stp>
        <tr r="AW7" s="1"/>
      </tp>
      <tp t="s">
        <v>15/01/2015</v>
        <stp/>
        <stp>##V3_BDPV12</stp>
        <stp>US05565QCT31 Corp</stp>
        <stp>FIRST_CPN_DT</stp>
        <stp>[RV_LINE_PRICER.xlsm]FloatBonds!R11C41</stp>
        <tr r="AO11" s="18"/>
      </tp>
      <tp t="s">
        <v>15/01/2015</v>
        <stp/>
        <stp>##V3_BDPV12</stp>
        <stp>US05565QCT31 Corp</stp>
        <stp>FIRST_CPN_DT</stp>
        <stp>[RV_LINE_PRICER.xlsm]FloatBonds!R10C41</stp>
        <tr r="AO10" s="18"/>
      </tp>
      <tp t="s">
        <v>FIXED</v>
        <stp/>
        <stp>##V3_BDPV12</stp>
        <stp>XS0367001228 Corp</stp>
        <stp>CPN_TYP</stp>
        <stp>[RV_LINE_PRICER.xlsm]FixedBonds!R11C26</stp>
        <tr r="Z11" s="1"/>
      </tp>
      <tp t="s">
        <v>26/03/2015</v>
        <stp/>
        <stp>##V3_BDPV12</stp>
        <stp>USJ46186BC59 Corp</stp>
        <stp>ISSUE_DT</stp>
        <stp>[RV_LINE_PRICER.xlsm]XccyFixedBondSingle!R20C9</stp>
        <tr r="I20" s="21"/>
        <tr r="I20" s="21"/>
      </tp>
      <tp t="s">
        <v>04/11/2014</v>
        <stp/>
        <stp>##V3_BDPV12</stp>
        <stp>US05565QCT31 Corp</stp>
        <stp>ISSUE_DT</stp>
        <stp>[RV_LINE_PRICER.xlsm]FloatBonds!R8C39</stp>
        <tr r="AM8" s="18"/>
      </tp>
      <tp t="s">
        <v>04/11/2014</v>
        <stp/>
        <stp>##V3_BDPV12</stp>
        <stp>US05565QCT31 Corp</stp>
        <stp>ISSUE_DT</stp>
        <stp>[RV_LINE_PRICER.xlsm]FloatBonds!R9C39</stp>
        <tr r="AM9" s="18"/>
      </tp>
      <tp t="s">
        <v>04/11/2014</v>
        <stp/>
        <stp>##V3_BDPV12</stp>
        <stp>US05565QCT31 Corp</stp>
        <stp>ISSUE_DT</stp>
        <stp>[RV_LINE_PRICER.xlsm]FloatBonds!R7C39</stp>
        <tr r="AM7" s="18"/>
      </tp>
      <tp t="s">
        <v>04/11/2014</v>
        <stp/>
        <stp>##V3_BDPV12</stp>
        <stp>US05565QCT31 Corp</stp>
        <stp>ISSUE_DT</stp>
        <stp>[RV_LINE_PRICER.xlsm]FloatBondSingle!R20C9</stp>
        <tr r="I20" s="23"/>
        <tr r="I20" s="23"/>
      </tp>
      <tp>
        <v>3.2444999999999999</v>
        <stp/>
        <stp>##V3_BDPV12</stp>
        <stp>XS1193905160 Corp</stp>
        <stp>CPN</stp>
        <stp>[RV_LINE_PRICER.xlsm]FloatBonds!R11C213</stp>
        <tr r="HE11" s="18"/>
      </tp>
      <tp>
        <v>3.2444999999999999</v>
        <stp/>
        <stp>##V3_BDPV12</stp>
        <stp>XS1193905160 Corp</stp>
        <stp>CPN</stp>
        <stp>[RV_LINE_PRICER.xlsm]FloatBonds!R10C213</stp>
        <tr r="HE10" s="18"/>
      </tp>
      <tp t="s">
        <v>ACT/360</v>
        <stp/>
        <stp>##V3_BDPV12</stp>
        <stp>XS1193905160 Corp</stp>
        <stp>DAY_CNT_DES</stp>
        <stp>[RV_LINE_PRICER.xlsm]FloatBonds!R10C220</stp>
        <tr r="HL10" s="18"/>
      </tp>
      <tp t="s">
        <v>ACT/360</v>
        <stp/>
        <stp>##V3_BDPV12</stp>
        <stp>XS1193905160 Corp</stp>
        <stp>DAY_CNT_DES</stp>
        <stp>[RV_LINE_PRICER.xlsm]FloatBonds!R11C220</stp>
        <tr r="HL11" s="18"/>
      </tp>
      <tp t="b">
        <v>0</v>
        <stp/>
        <stp>##V3_BDPV12</stp>
        <stp/>
        <stp>ID_ISIN</stp>
        <stp>[RV_LINE_PRICER.xlsm]FloatBonds!R26C32</stp>
        <tr r="AF26" s="18"/>
        <tr r="AF26" s="18"/>
      </tp>
      <tp t="b">
        <v>0</v>
        <stp/>
        <stp>##V3_BDPV12</stp>
        <stp/>
        <stp>ID_ISIN</stp>
        <stp>[RV_LINE_PRICER.xlsm]FloatBonds!R25C32</stp>
        <tr r="AF25" s="18"/>
        <tr r="AF25" s="18"/>
      </tp>
      <tp t="b">
        <v>0</v>
        <stp/>
        <stp>##V3_BDPV12</stp>
        <stp/>
        <stp>ID_ISIN</stp>
        <stp>[RV_LINE_PRICER.xlsm]FloatBonds!R24C32</stp>
        <tr r="AF24" s="18"/>
        <tr r="AF24" s="18"/>
      </tp>
      <tp t="b">
        <v>0</v>
        <stp/>
        <stp>##V3_BDPV12</stp>
        <stp/>
        <stp>ID_ISIN</stp>
        <stp>[RV_LINE_PRICER.xlsm]FloatBonds!R23C32</stp>
        <tr r="AF23" s="18"/>
        <tr r="AF23" s="18"/>
      </tp>
      <tp t="b">
        <v>0</v>
        <stp/>
        <stp>##V3_BDPV12</stp>
        <stp/>
        <stp>ID_ISIN</stp>
        <stp>[RV_LINE_PRICER.xlsm]FloatBonds!R22C32</stp>
        <tr r="AF22" s="18"/>
        <tr r="AF22" s="18"/>
      </tp>
      <tp t="b">
        <v>0</v>
        <stp/>
        <stp>##V3_BDPV12</stp>
        <stp/>
        <stp>ID_ISIN</stp>
        <stp>[RV_LINE_PRICER.xlsm]FloatBonds!R21C32</stp>
        <tr r="AF21" s="18"/>
        <tr r="AF21" s="18"/>
      </tp>
      <tp t="b">
        <v>0</v>
        <stp/>
        <stp>##V3_BDPV12</stp>
        <stp/>
        <stp>ID_ISIN</stp>
        <stp>[RV_LINE_PRICER.xlsm]FloatBonds!R20C32</stp>
        <tr r="AF20" s="18"/>
        <tr r="AF20" s="18"/>
      </tp>
      <tp t="b">
        <v>0</v>
        <stp/>
        <stp>##V3_BDPV12</stp>
        <stp/>
        <stp>ID_ISIN</stp>
        <stp>[RV_LINE_PRICER.xlsm]FloatBonds!R17C32</stp>
        <tr r="AF17" s="18"/>
        <tr r="AF17" s="18"/>
      </tp>
      <tp t="b">
        <v>0</v>
        <stp/>
        <stp>##V3_BDPV12</stp>
        <stp/>
        <stp>ID_ISIN</stp>
        <stp>[RV_LINE_PRICER.xlsm]FloatBonds!R16C32</stp>
        <tr r="AF16" s="18"/>
        <tr r="AF16" s="18"/>
      </tp>
      <tp t="b">
        <v>0</v>
        <stp/>
        <stp>##V3_BDPV12</stp>
        <stp/>
        <stp>ID_ISIN</stp>
        <stp>[RV_LINE_PRICER.xlsm]FloatBonds!R15C32</stp>
        <tr r="AF15" s="18"/>
        <tr r="AF15" s="18"/>
      </tp>
      <tp t="b">
        <v>0</v>
        <stp/>
        <stp>##V3_BDPV12</stp>
        <stp/>
        <stp>ID_ISIN</stp>
        <stp>[RV_LINE_PRICER.xlsm]FloatBonds!R14C32</stp>
        <tr r="AF14" s="18"/>
        <tr r="AF14" s="18"/>
      </tp>
      <tp t="b">
        <v>0</v>
        <stp/>
        <stp>##V3_BDPV12</stp>
        <stp/>
        <stp>ID_ISIN</stp>
        <stp>[RV_LINE_PRICER.xlsm]FloatBonds!R13C32</stp>
        <tr r="AF13" s="18"/>
        <tr r="AF13" s="18"/>
      </tp>
      <tp t="b">
        <v>0</v>
        <stp/>
        <stp>##V3_BDPV12</stp>
        <stp/>
        <stp>ID_ISIN</stp>
        <stp>[RV_LINE_PRICER.xlsm]FloatBonds!R12C32</stp>
        <tr r="AF12" s="18"/>
        <tr r="AF12" s="18"/>
      </tp>
      <tp t="b">
        <v>0</v>
        <stp/>
        <stp>##V3_BDPV12</stp>
        <stp/>
        <stp>ID_ISIN</stp>
        <stp>[RV_LINE_PRICER.xlsm]FloatBonds!R19C32</stp>
        <tr r="AF19" s="18"/>
        <tr r="AF19" s="18"/>
      </tp>
      <tp t="b">
        <v>0</v>
        <stp/>
        <stp>##V3_BDPV12</stp>
        <stp/>
        <stp>ID_ISIN</stp>
        <stp>[RV_LINE_PRICER.xlsm]FloatBonds!R18C32</stp>
        <tr r="AF18" s="18"/>
        <tr r="AF18" s="18"/>
      </tp>
      <tp t="b">
        <v>0</v>
        <stp/>
        <stp>##V3_BDPV12</stp>
        <stp/>
        <stp>FIRST_CPN_DT</stp>
        <stp>[RV_LINE_PRICER.xlsm]FloatBonds!R13C41</stp>
        <tr r="AO13" s="18"/>
        <tr r="AO13" s="18"/>
      </tp>
      <tp t="b">
        <v>0</v>
        <stp/>
        <stp>##V3_BDPV12</stp>
        <stp/>
        <stp>FIRST_CPN_DT</stp>
        <stp>[RV_LINE_PRICER.xlsm]FloatBonds!R12C41</stp>
        <tr r="AO12" s="18"/>
        <tr r="AO12" s="18"/>
      </tp>
      <tp t="b">
        <v>0</v>
        <stp/>
        <stp>##V3_BDPV12</stp>
        <stp/>
        <stp>FIRST_CPN_DT</stp>
        <stp>[RV_LINE_PRICER.xlsm]FloatBonds!R17C41</stp>
        <tr r="AO17" s="18"/>
        <tr r="AO17" s="18"/>
      </tp>
      <tp t="b">
        <v>0</v>
        <stp/>
        <stp>##V3_BDPV12</stp>
        <stp/>
        <stp>FIRST_CPN_DT</stp>
        <stp>[RV_LINE_PRICER.xlsm]FloatBonds!R16C41</stp>
        <tr r="AO16" s="18"/>
        <tr r="AO16" s="18"/>
      </tp>
      <tp t="b">
        <v>0</v>
        <stp/>
        <stp>##V3_BDPV12</stp>
        <stp/>
        <stp>FIRST_CPN_DT</stp>
        <stp>[RV_LINE_PRICER.xlsm]FloatBonds!R15C41</stp>
        <tr r="AO15" s="18"/>
        <tr r="AO15" s="18"/>
      </tp>
      <tp t="b">
        <v>0</v>
        <stp/>
        <stp>##V3_BDPV12</stp>
        <stp/>
        <stp>FIRST_CPN_DT</stp>
        <stp>[RV_LINE_PRICER.xlsm]FloatBonds!R14C41</stp>
        <tr r="AO14" s="18"/>
        <tr r="AO14" s="18"/>
      </tp>
      <tp t="b">
        <v>0</v>
        <stp/>
        <stp>##V3_BDPV12</stp>
        <stp/>
        <stp>FIRST_CPN_DT</stp>
        <stp>[RV_LINE_PRICER.xlsm]FloatBonds!R19C41</stp>
        <tr r="AO19" s="18"/>
        <tr r="AO19" s="18"/>
      </tp>
      <tp t="b">
        <v>0</v>
        <stp/>
        <stp>##V3_BDPV12</stp>
        <stp/>
        <stp>FIRST_CPN_DT</stp>
        <stp>[RV_LINE_PRICER.xlsm]FloatBonds!R18C41</stp>
        <tr r="AO18" s="18"/>
        <tr r="AO18" s="18"/>
      </tp>
      <tp t="b">
        <v>0</v>
        <stp/>
        <stp>##V3_BDPV12</stp>
        <stp/>
        <stp>FIRST_CPN_DT</stp>
        <stp>[RV_LINE_PRICER.xlsm]FloatBonds!R23C41</stp>
        <tr r="AO23" s="18"/>
        <tr r="AO23" s="18"/>
      </tp>
      <tp t="b">
        <v>0</v>
        <stp/>
        <stp>##V3_BDPV12</stp>
        <stp/>
        <stp>FIRST_CPN_DT</stp>
        <stp>[RV_LINE_PRICER.xlsm]FloatBonds!R22C41</stp>
        <tr r="AO22" s="18"/>
        <tr r="AO22" s="18"/>
      </tp>
      <tp t="b">
        <v>0</v>
        <stp/>
        <stp>##V3_BDPV12</stp>
        <stp/>
        <stp>FIRST_CPN_DT</stp>
        <stp>[RV_LINE_PRICER.xlsm]FloatBonds!R21C41</stp>
        <tr r="AO21" s="18"/>
        <tr r="AO21" s="18"/>
      </tp>
      <tp t="b">
        <v>0</v>
        <stp/>
        <stp>##V3_BDPV12</stp>
        <stp/>
        <stp>FIRST_CPN_DT</stp>
        <stp>[RV_LINE_PRICER.xlsm]FloatBonds!R20C41</stp>
        <tr r="AO20" s="18"/>
        <tr r="AO20" s="18"/>
      </tp>
      <tp t="b">
        <v>0</v>
        <stp/>
        <stp>##V3_BDPV12</stp>
        <stp/>
        <stp>FIRST_CPN_DT</stp>
        <stp>[RV_LINE_PRICER.xlsm]FloatBonds!R26C41</stp>
        <tr r="AO26" s="18"/>
        <tr r="AO26" s="18"/>
      </tp>
      <tp t="b">
        <v>0</v>
        <stp/>
        <stp>##V3_BDPV12</stp>
        <stp/>
        <stp>FIRST_CPN_DT</stp>
        <stp>[RV_LINE_PRICER.xlsm]FloatBonds!R25C41</stp>
        <tr r="AO25" s="18"/>
        <tr r="AO25" s="18"/>
      </tp>
      <tp t="b">
        <v>0</v>
        <stp/>
        <stp>##V3_BDPV12</stp>
        <stp/>
        <stp>FIRST_CPN_DT</stp>
        <stp>[RV_LINE_PRICER.xlsm]FloatBonds!R24C41</stp>
        <tr r="AO24" s="18"/>
        <tr r="AO24" s="18"/>
      </tp>
      <tp t="b">
        <v>0</v>
        <stp/>
        <stp>##V3_BDPV12</stp>
        <stp/>
        <stp>CALC_TYP</stp>
        <stp>[RV_LINE_PRICER.xlsm]FloatBonds!R20C223</stp>
        <tr r="HO20" s="18"/>
        <tr r="HO20" s="18"/>
        <tr r="HO20" s="18"/>
      </tp>
      <tp t="b">
        <v>0</v>
        <stp/>
        <stp>##V3_BDPV12</stp>
        <stp/>
        <stp>CALC_TYP</stp>
        <stp>[RV_LINE_PRICER.xlsm]FloatBonds!R21C223</stp>
        <tr r="HO21" s="18"/>
        <tr r="HO21" s="18"/>
        <tr r="HO21" s="18"/>
      </tp>
      <tp t="b">
        <v>0</v>
        <stp/>
        <stp>##V3_BDPV12</stp>
        <stp/>
        <stp>CALC_TYP</stp>
        <stp>[RV_LINE_PRICER.xlsm]FloatBonds!R22C223</stp>
        <tr r="HO22" s="18"/>
        <tr r="HO22" s="18"/>
        <tr r="HO22" s="18"/>
      </tp>
      <tp t="b">
        <v>0</v>
        <stp/>
        <stp>##V3_BDPV12</stp>
        <stp/>
        <stp>CALC_TYP</stp>
        <stp>[RV_LINE_PRICER.xlsm]FloatBonds!R23C223</stp>
        <tr r="HO23" s="18"/>
        <tr r="HO23" s="18"/>
        <tr r="HO23" s="18"/>
      </tp>
      <tp t="b">
        <v>0</v>
        <stp/>
        <stp>##V3_BDPV12</stp>
        <stp/>
        <stp>CALC_TYP</stp>
        <stp>[RV_LINE_PRICER.xlsm]FloatBonds!R24C223</stp>
        <tr r="HO24" s="18"/>
        <tr r="HO24" s="18"/>
        <tr r="HO24" s="18"/>
      </tp>
      <tp t="b">
        <v>0</v>
        <stp/>
        <stp>##V3_BDPV12</stp>
        <stp/>
        <stp>CALC_TYP</stp>
        <stp>[RV_LINE_PRICER.xlsm]FloatBonds!R25C223</stp>
        <tr r="HO25" s="18"/>
        <tr r="HO25" s="18"/>
        <tr r="HO25" s="18"/>
      </tp>
      <tp t="b">
        <v>0</v>
        <stp/>
        <stp>##V3_BDPV12</stp>
        <stp/>
        <stp>CALC_TYP</stp>
        <stp>[RV_LINE_PRICER.xlsm]FloatBonds!R26C223</stp>
        <tr r="HO26" s="18"/>
        <tr r="HO26" s="18"/>
        <tr r="HO26" s="18"/>
      </tp>
      <tp t="b">
        <v>0</v>
        <stp/>
        <stp>##V3_BDPV12</stp>
        <stp/>
        <stp>CALC_TYP</stp>
        <stp>[RV_LINE_PRICER.xlsm]FloatBonds!R12C223</stp>
        <tr r="HO12" s="18"/>
        <tr r="HO12" s="18"/>
        <tr r="HO12" s="18"/>
      </tp>
      <tp t="b">
        <v>0</v>
        <stp/>
        <stp>##V3_BDPV12</stp>
        <stp/>
        <stp>CALC_TYP</stp>
        <stp>[RV_LINE_PRICER.xlsm]FloatBonds!R13C223</stp>
        <tr r="HO13" s="18"/>
        <tr r="HO13" s="18"/>
        <tr r="HO13" s="18"/>
      </tp>
      <tp t="b">
        <v>0</v>
        <stp/>
        <stp>##V3_BDPV12</stp>
        <stp/>
        <stp>CALC_TYP</stp>
        <stp>[RV_LINE_PRICER.xlsm]FloatBonds!R14C223</stp>
        <tr r="HO14" s="18"/>
        <tr r="HO14" s="18"/>
        <tr r="HO14" s="18"/>
      </tp>
      <tp t="b">
        <v>0</v>
        <stp/>
        <stp>##V3_BDPV12</stp>
        <stp/>
        <stp>CALC_TYP</stp>
        <stp>[RV_LINE_PRICER.xlsm]FloatBonds!R15C223</stp>
        <tr r="HO15" s="18"/>
        <tr r="HO15" s="18"/>
        <tr r="HO15" s="18"/>
      </tp>
      <tp t="b">
        <v>0</v>
        <stp/>
        <stp>##V3_BDPV12</stp>
        <stp/>
        <stp>CALC_TYP</stp>
        <stp>[RV_LINE_PRICER.xlsm]FloatBonds!R16C223</stp>
        <tr r="HO16" s="18"/>
        <tr r="HO16" s="18"/>
        <tr r="HO16" s="18"/>
      </tp>
      <tp t="b">
        <v>0</v>
        <stp/>
        <stp>##V3_BDPV12</stp>
        <stp/>
        <stp>CALC_TYP</stp>
        <stp>[RV_LINE_PRICER.xlsm]FloatBonds!R17C223</stp>
        <tr r="HO17" s="18"/>
        <tr r="HO17" s="18"/>
        <tr r="HO17" s="18"/>
      </tp>
      <tp t="b">
        <v>0</v>
        <stp/>
        <stp>##V3_BDPV12</stp>
        <stp/>
        <stp>CALC_TYP</stp>
        <stp>[RV_LINE_PRICER.xlsm]FloatBonds!R18C223</stp>
        <tr r="HO18" s="18"/>
        <tr r="HO18" s="18"/>
        <tr r="HO18" s="18"/>
      </tp>
      <tp t="b">
        <v>0</v>
        <stp/>
        <stp>##V3_BDPV12</stp>
        <stp/>
        <stp>CALC_TYP</stp>
        <stp>[RV_LINE_PRICER.xlsm]FloatBonds!R19C223</stp>
        <tr r="HO19" s="18"/>
        <tr r="HO19" s="18"/>
        <tr r="HO19" s="18"/>
      </tp>
      <tp t="s">
        <v>CLEAN</v>
        <stp/>
        <stp>##V3_BDPV12</stp>
        <stp>USJ46186BC59 Corp</stp>
        <stp>PX_DIRTY_CLEAN</stp>
        <stp>[RV_LINE_PRICER.xlsm]XccyFixedBonds!R11C37</stp>
        <tr r="AK11" s="16"/>
        <tr r="AK11" s="16"/>
      </tp>
      <tp t="s">
        <v>CLEAN</v>
        <stp/>
        <stp>##V3_BDPV12</stp>
        <stp>USJ46186BC59 Corp</stp>
        <stp>PX_DIRTY_CLEAN</stp>
        <stp>[RV_LINE_PRICER.xlsm]XccyFixedBonds!R10C37</stp>
        <tr r="AK10" s="16"/>
        <tr r="AK10" s="16"/>
      </tp>
      <tp t="s">
        <v>CLEAN</v>
        <stp/>
        <stp>##V3_BDPV12</stp>
        <stp>US05565QCT31 Corp</stp>
        <stp>PX_DIRTY_CLEAN</stp>
        <stp>[RV_LINE_PRICER.xlsm]FloatBonds!R8C34</stp>
        <tr r="AH8" s="18"/>
      </tp>
      <tp t="s">
        <v>CLEAN</v>
        <stp/>
        <stp>##V3_BDPV12</stp>
        <stp>US05565QCT31 Corp</stp>
        <stp>PX_DIRTY_CLEAN</stp>
        <stp>[RV_LINE_PRICER.xlsm]FloatBonds!R9C34</stp>
        <tr r="AH9" s="18"/>
      </tp>
      <tp t="s">
        <v>CLEAN</v>
        <stp/>
        <stp>##V3_BDPV12</stp>
        <stp>US05565QCT31 Corp</stp>
        <stp>PX_DIRTY_CLEAN</stp>
        <stp>[RV_LINE_PRICER.xlsm]FloatBonds!R7C34</stp>
        <tr r="AH7" s="18"/>
      </tp>
      <tp t="b">
        <v>0</v>
        <stp/>
        <stp>##V3_BDPV12</stp>
        <stp/>
        <stp>CPN_TYP</stp>
        <stp>[RV_LINE_PRICER.xlsm]FixedBonds!R25C26</stp>
        <tr r="Z25" s="1"/>
        <tr r="Z25" s="1"/>
      </tp>
      <tp t="b">
        <v>0</v>
        <stp/>
        <stp>##V3_BDPV12</stp>
        <stp/>
        <stp>CPN_TYP</stp>
        <stp>[RV_LINE_PRICER.xlsm]FixedBonds!R24C26</stp>
        <tr r="Z24" s="1"/>
        <tr r="Z24" s="1"/>
      </tp>
      <tp t="b">
        <v>0</v>
        <stp/>
        <stp>##V3_BDPV12</stp>
        <stp/>
        <stp>CPN_TYP</stp>
        <stp>[RV_LINE_PRICER.xlsm]FixedBonds!R26C26</stp>
        <tr r="Z26" s="1"/>
        <tr r="Z26" s="1"/>
      </tp>
      <tp t="b">
        <v>0</v>
        <stp/>
        <stp>##V3_BDPV12</stp>
        <stp/>
        <stp>CPN_TYP</stp>
        <stp>[RV_LINE_PRICER.xlsm]FixedBonds!R21C26</stp>
        <tr r="Z21" s="1"/>
        <tr r="Z21" s="1"/>
      </tp>
      <tp t="b">
        <v>0</v>
        <stp/>
        <stp>##V3_BDPV12</stp>
        <stp/>
        <stp>CPN_TYP</stp>
        <stp>[RV_LINE_PRICER.xlsm]FixedBonds!R20C26</stp>
        <tr r="Z20" s="1"/>
        <tr r="Z20" s="1"/>
      </tp>
      <tp t="b">
        <v>0</v>
        <stp/>
        <stp>##V3_BDPV12</stp>
        <stp/>
        <stp>CPN_TYP</stp>
        <stp>[RV_LINE_PRICER.xlsm]FixedBonds!R23C26</stp>
        <tr r="Z23" s="1"/>
        <tr r="Z23" s="1"/>
      </tp>
      <tp t="b">
        <v>0</v>
        <stp/>
        <stp>##V3_BDPV12</stp>
        <stp/>
        <stp>CPN_TYP</stp>
        <stp>[RV_LINE_PRICER.xlsm]FixedBonds!R22C26</stp>
        <tr r="Z22" s="1"/>
        <tr r="Z22" s="1"/>
      </tp>
      <tp t="b">
        <v>0</v>
        <stp/>
        <stp>##V3_BDPV12</stp>
        <stp/>
        <stp>CPN_TYP</stp>
        <stp>[RV_LINE_PRICER.xlsm]FixedBonds!R19C26</stp>
        <tr r="Z19" s="1"/>
        <tr r="Z19" s="1"/>
      </tp>
      <tp t="b">
        <v>0</v>
        <stp/>
        <stp>##V3_BDPV12</stp>
        <stp/>
        <stp>CPN_TYP</stp>
        <stp>[RV_LINE_PRICER.xlsm]FixedBonds!R18C26</stp>
        <tr r="Z18" s="1"/>
        <tr r="Z18" s="1"/>
      </tp>
      <tp t="b">
        <v>0</v>
        <stp/>
        <stp>##V3_BDPV12</stp>
        <stp/>
        <stp>CPN_TYP</stp>
        <stp>[RV_LINE_PRICER.xlsm]FixedBonds!R15C26</stp>
        <tr r="Z15" s="1"/>
        <tr r="Z15" s="1"/>
      </tp>
      <tp t="b">
        <v>0</v>
        <stp/>
        <stp>##V3_BDPV12</stp>
        <stp/>
        <stp>CPN_TYP</stp>
        <stp>[RV_LINE_PRICER.xlsm]FixedBonds!R14C26</stp>
        <tr r="Z14" s="1"/>
        <tr r="Z14" s="1"/>
      </tp>
      <tp t="b">
        <v>0</v>
        <stp/>
        <stp>##V3_BDPV12</stp>
        <stp/>
        <stp>CPN_TYP</stp>
        <stp>[RV_LINE_PRICER.xlsm]FixedBonds!R17C26</stp>
        <tr r="Z17" s="1"/>
        <tr r="Z17" s="1"/>
      </tp>
      <tp t="b">
        <v>0</v>
        <stp/>
        <stp>##V3_BDPV12</stp>
        <stp/>
        <stp>CPN_TYP</stp>
        <stp>[RV_LINE_PRICER.xlsm]FixedBonds!R16C26</stp>
        <tr r="Z16" s="1"/>
        <tr r="Z16" s="1"/>
      </tp>
      <tp t="b">
        <v>0</v>
        <stp/>
        <stp>##V3_BDPV12</stp>
        <stp/>
        <stp>CPN_TYP</stp>
        <stp>[RV_LINE_PRICER.xlsm]FixedBonds!R13C26</stp>
        <tr r="Z13" s="1"/>
        <tr r="Z13" s="1"/>
      </tp>
      <tp t="b">
        <v>0</v>
        <stp/>
        <stp>##V3_BDPV12</stp>
        <stp/>
        <stp>CPN_TYP</stp>
        <stp>[RV_LINE_PRICER.xlsm]FixedBonds!R12C26</stp>
        <tr r="Z12" s="1"/>
        <tr r="Z12" s="1"/>
      </tp>
      <tp t="s">
        <v>FIXED</v>
        <stp/>
        <stp>##V3_BDPV12</stp>
        <stp>US05565QCT31 Corp</stp>
        <stp>CPN_TYP</stp>
        <stp>[RV_LINE_PRICER.xlsm]FloatBonds!R9C30</stp>
        <tr r="AD9" s="18"/>
      </tp>
      <tp t="s">
        <v>FIXED</v>
        <stp/>
        <stp>##V3_BDPV12</stp>
        <stp>US05565QCT31 Corp</stp>
        <stp>CPN_TYP</stp>
        <stp>[RV_LINE_PRICER.xlsm]FloatBonds!R8C30</stp>
        <tr r="AD8" s="18"/>
      </tp>
      <tp t="s">
        <v>FIXED</v>
        <stp/>
        <stp>##V3_BDPV12</stp>
        <stp>US05565QCT31 Corp</stp>
        <stp>CPN_TYP</stp>
        <stp>[RV_LINE_PRICER.xlsm]FloatBonds!R7C30</stp>
        <tr r="AD7" s="18"/>
      </tp>
      <tp t="s">
        <v>CLEAN</v>
        <stp/>
        <stp>##V3_BDPV12</stp>
        <stp>XS1344710857 Corp</stp>
        <stp>PX_DIRTY_CLEAN</stp>
        <stp>[RV_LINE_PRICER.xlsm]XccyFixedBonds!R9C208</stp>
        <tr r="GZ9" s="16"/>
        <tr r="GZ9" s="16"/>
      </tp>
      <tp t="s">
        <v>CLEAN</v>
        <stp/>
        <stp>##V3_BDPV12</stp>
        <stp>XS1344710857 Corp</stp>
        <stp>PX_DIRTY_CLEAN</stp>
        <stp>[RV_LINE_PRICER.xlsm]XccyFixedBonds!R8C208</stp>
        <tr r="GZ8" s="16"/>
        <tr r="GZ8" s="16"/>
      </tp>
      <tp t="s">
        <v>CLEAN</v>
        <stp/>
        <stp>##V3_BDPV12</stp>
        <stp>XS1344710857 Corp</stp>
        <stp>PX_DIRTY_CLEAN</stp>
        <stp>[RV_LINE_PRICER.xlsm]XccyFixedBonds!R7C208</stp>
        <tr r="GZ7" s="16"/>
        <tr r="GZ7" s="16"/>
      </tp>
      <tp t="s">
        <v>26/09/2015</v>
        <stp/>
        <stp>##V3_BDPV12</stp>
        <stp>USJ46186BC59 Corp</stp>
        <stp>FIRST_CPN_DT</stp>
        <stp>[RV_LINE_PRICER.xlsm]XccyFixedBonds!R11C44</stp>
        <tr r="AR11" s="16"/>
        <tr r="AR11" s="16"/>
      </tp>
      <tp t="s">
        <v>26/09/2015</v>
        <stp/>
        <stp>##V3_BDPV12</stp>
        <stp>USJ46186BC59 Corp</stp>
        <stp>FIRST_CPN_DT</stp>
        <stp>[RV_LINE_PRICER.xlsm]XccyFixedBonds!R10C44</stp>
        <tr r="AR10" s="16"/>
        <tr r="AR10" s="16"/>
      </tp>
      <tp t="s">
        <v>ISMA-30/360</v>
        <stp/>
        <stp>##V3_BDPV12</stp>
        <stp>XS1692845396 Corp</stp>
        <stp>DAY_CNT_DES</stp>
        <stp>[RV_LINE_PRICER.xlsm]FixedBonds!R10C214</stp>
        <tr r="HF10" s="1"/>
      </tp>
      <tp>
        <v>3</v>
        <stp/>
        <stp>##V3_BDPV12</stp>
        <stp>XS1692845396 Corp</stp>
        <stp>CPN</stp>
        <stp>[RV_LINE_PRICER.xlsm]FixedBonds!R10C207</stp>
        <tr r="GY10" s="1"/>
      </tp>
      <tp t="s">
        <v>US05565QCT31</v>
        <stp/>
        <stp>##V3_BDPV12</stp>
        <stp>US05565QCT31 Corp</stp>
        <stp>ID_ISIN</stp>
        <stp>[RV_LINE_PRICER.xlsm]FloatBonds!R9C32</stp>
        <tr r="AF9" s="18"/>
      </tp>
      <tp t="s">
        <v>US05565QCT31</v>
        <stp/>
        <stp>##V3_BDPV12</stp>
        <stp>US05565QCT31 Corp</stp>
        <stp>ID_ISIN</stp>
        <stp>[RV_LINE_PRICER.xlsm]FloatBonds!R8C32</stp>
        <tr r="AF8" s="18"/>
      </tp>
      <tp t="s">
        <v>US05565QCT31</v>
        <stp/>
        <stp>##V3_BDPV12</stp>
        <stp>US05565QCT31 Corp</stp>
        <stp>ID_ISIN</stp>
        <stp>[RV_LINE_PRICER.xlsm]FloatBonds!R7C32</stp>
        <tr r="AF7" s="18"/>
      </tp>
      <tp t="s">
        <v>CLEAN</v>
        <stp/>
        <stp>##V3_BDPV12</stp>
        <stp>XS1193905160 Corp</stp>
        <stp>PX_DIRTY_CLEAN</stp>
        <stp>[RV_LINE_PRICER.xlsm]FloatBonds!R10C203</stp>
        <tr r="GU10" s="18"/>
      </tp>
      <tp t="s">
        <v>CLEAN</v>
        <stp/>
        <stp>##V3_BDPV12</stp>
        <stp>XS1193905160 Corp</stp>
        <stp>PX_DIRTY_CLEAN</stp>
        <stp>[RV_LINE_PRICER.xlsm]FloatBonds!R11C203</stp>
        <tr r="GU11" s="18"/>
      </tp>
      <tp t="b">
        <v>0</v>
        <stp/>
        <stp>##V3_BDPV12</stp>
        <stp/>
        <stp>PX_DIRTY_CLEAN</stp>
        <stp>[RV_LINE_PRICER.xlsm]FloatBonds!R22C203</stp>
        <tr r="GU22" s="18"/>
        <tr r="GU22" s="18"/>
      </tp>
      <tp t="b">
        <v>0</v>
        <stp/>
        <stp>##V3_BDPV12</stp>
        <stp/>
        <stp>PX_DIRTY_CLEAN</stp>
        <stp>[RV_LINE_PRICER.xlsm]FloatBonds!R23C203</stp>
        <tr r="GU23" s="18"/>
        <tr r="GU23" s="18"/>
      </tp>
      <tp t="b">
        <v>0</v>
        <stp/>
        <stp>##V3_BDPV12</stp>
        <stp/>
        <stp>PX_DIRTY_CLEAN</stp>
        <stp>[RV_LINE_PRICER.xlsm]FloatBonds!R20C203</stp>
        <tr r="GU20" s="18"/>
        <tr r="GU20" s="18"/>
      </tp>
      <tp t="b">
        <v>0</v>
        <stp/>
        <stp>##V3_BDPV12</stp>
        <stp/>
        <stp>PX_DIRTY_CLEAN</stp>
        <stp>[RV_LINE_PRICER.xlsm]FloatBonds!R21C203</stp>
        <tr r="GU21" s="18"/>
        <tr r="GU21" s="18"/>
      </tp>
      <tp t="b">
        <v>0</v>
        <stp/>
        <stp>##V3_BDPV12</stp>
        <stp/>
        <stp>PX_DIRTY_CLEAN</stp>
        <stp>[RV_LINE_PRICER.xlsm]FloatBonds!R26C203</stp>
        <tr r="GU26" s="18"/>
        <tr r="GU26" s="18"/>
      </tp>
      <tp t="b">
        <v>0</v>
        <stp/>
        <stp>##V3_BDPV12</stp>
        <stp/>
        <stp>PX_DIRTY_CLEAN</stp>
        <stp>[RV_LINE_PRICER.xlsm]FloatBonds!R24C203</stp>
        <tr r="GU24" s="18"/>
        <tr r="GU24" s="18"/>
      </tp>
      <tp t="b">
        <v>0</v>
        <stp/>
        <stp>##V3_BDPV12</stp>
        <stp/>
        <stp>PX_DIRTY_CLEAN</stp>
        <stp>[RV_LINE_PRICER.xlsm]FloatBonds!R25C203</stp>
        <tr r="GU25" s="18"/>
        <tr r="GU25" s="18"/>
      </tp>
      <tp t="b">
        <v>0</v>
        <stp/>
        <stp>##V3_BDPV12</stp>
        <stp/>
        <stp>PX_DIRTY_CLEAN</stp>
        <stp>[RV_LINE_PRICER.xlsm]FloatBonds!R12C203</stp>
        <tr r="GU12" s="18"/>
        <tr r="GU12" s="18"/>
      </tp>
      <tp t="b">
        <v>0</v>
        <stp/>
        <stp>##V3_BDPV12</stp>
        <stp/>
        <stp>PX_DIRTY_CLEAN</stp>
        <stp>[RV_LINE_PRICER.xlsm]FloatBonds!R13C203</stp>
        <tr r="GU13" s="18"/>
        <tr r="GU13" s="18"/>
      </tp>
      <tp t="b">
        <v>0</v>
        <stp/>
        <stp>##V3_BDPV12</stp>
        <stp/>
        <stp>PX_DIRTY_CLEAN</stp>
        <stp>[RV_LINE_PRICER.xlsm]FloatBonds!R16C203</stp>
        <tr r="GU16" s="18"/>
        <tr r="GU16" s="18"/>
      </tp>
      <tp t="b">
        <v>0</v>
        <stp/>
        <stp>##V3_BDPV12</stp>
        <stp/>
        <stp>PX_DIRTY_CLEAN</stp>
        <stp>[RV_LINE_PRICER.xlsm]FloatBonds!R17C203</stp>
        <tr r="GU17" s="18"/>
        <tr r="GU17" s="18"/>
      </tp>
      <tp t="b">
        <v>0</v>
        <stp/>
        <stp>##V3_BDPV12</stp>
        <stp/>
        <stp>PX_DIRTY_CLEAN</stp>
        <stp>[RV_LINE_PRICER.xlsm]FloatBonds!R14C203</stp>
        <tr r="GU14" s="18"/>
        <tr r="GU14" s="18"/>
      </tp>
      <tp t="b">
        <v>0</v>
        <stp/>
        <stp>##V3_BDPV12</stp>
        <stp/>
        <stp>PX_DIRTY_CLEAN</stp>
        <stp>[RV_LINE_PRICER.xlsm]FloatBonds!R15C203</stp>
        <tr r="GU15" s="18"/>
        <tr r="GU15" s="18"/>
      </tp>
      <tp t="b">
        <v>0</v>
        <stp/>
        <stp>##V3_BDPV12</stp>
        <stp/>
        <stp>PX_DIRTY_CLEAN</stp>
        <stp>[RV_LINE_PRICER.xlsm]FloatBonds!R18C203</stp>
        <tr r="GU18" s="18"/>
        <tr r="GU18" s="18"/>
      </tp>
      <tp t="b">
        <v>0</v>
        <stp/>
        <stp>##V3_BDPV12</stp>
        <stp/>
        <stp>PX_DIRTY_CLEAN</stp>
        <stp>[RV_LINE_PRICER.xlsm]FloatBonds!R19C203</stp>
        <tr r="GU19" s="18"/>
        <tr r="GU19" s="18"/>
      </tp>
      <tp t="s">
        <v>30/05/2008</v>
        <stp/>
        <stp>##V3_BDPV12</stp>
        <stp>XS0367001228 Corp</stp>
        <stp>START_ACC_DT</stp>
        <stp>[RV_LINE_PRICER.xlsm]FixedBonds!R11C36</stp>
        <tr r="AJ11" s="1"/>
      </tp>
      <tp t="s">
        <v>#N/A Invalid Field</v>
        <stp/>
        <stp>##V3_BDPV12</stp>
        <stp>XS1193905160 Corp</stp>
        <stp>CalculationType</stp>
        <stp>[RV_LINE_PRICER.xlsm]FloatBondSingle!R34C22</stp>
        <tr r="V34" s="23"/>
      </tp>
      <tp t="b">
        <v>0</v>
        <stp/>
        <stp>##V3_BDPV12</stp>
        <stp/>
        <stp>DAY_CNT_DES</stp>
        <stp>[RV_LINE_PRICER.xlsm]FixedBonds!R21C214</stp>
        <tr r="HF21" s="1"/>
        <tr r="HF21" s="1"/>
      </tp>
      <tp t="b">
        <v>0</v>
        <stp/>
        <stp>##V3_BDPV12</stp>
        <stp/>
        <stp>DAY_CNT_DES</stp>
        <stp>[RV_LINE_PRICER.xlsm]FixedBonds!R20C214</stp>
        <tr r="HF20" s="1"/>
        <tr r="HF20" s="1"/>
      </tp>
      <tp t="b">
        <v>0</v>
        <stp/>
        <stp>##V3_BDPV12</stp>
        <stp/>
        <stp>DAY_CNT_DES</stp>
        <stp>[RV_LINE_PRICER.xlsm]FixedBonds!R23C214</stp>
        <tr r="HF23" s="1"/>
        <tr r="HF23" s="1"/>
      </tp>
      <tp t="b">
        <v>0</v>
        <stp/>
        <stp>##V3_BDPV12</stp>
        <stp/>
        <stp>DAY_CNT_DES</stp>
        <stp>[RV_LINE_PRICER.xlsm]FixedBonds!R22C214</stp>
        <tr r="HF22" s="1"/>
        <tr r="HF22" s="1"/>
      </tp>
      <tp t="b">
        <v>0</v>
        <stp/>
        <stp>##V3_BDPV12</stp>
        <stp/>
        <stp>DAY_CNT_DES</stp>
        <stp>[RV_LINE_PRICER.xlsm]FixedBonds!R25C214</stp>
        <tr r="HF25" s="1"/>
        <tr r="HF25" s="1"/>
      </tp>
      <tp t="b">
        <v>0</v>
        <stp/>
        <stp>##V3_BDPV12</stp>
        <stp/>
        <stp>DAY_CNT_DES</stp>
        <stp>[RV_LINE_PRICER.xlsm]FixedBonds!R24C214</stp>
        <tr r="HF24" s="1"/>
        <tr r="HF24" s="1"/>
      </tp>
      <tp t="b">
        <v>0</v>
        <stp/>
        <stp>##V3_BDPV12</stp>
        <stp/>
        <stp>DAY_CNT_DES</stp>
        <stp>[RV_LINE_PRICER.xlsm]FixedBonds!R26C214</stp>
        <tr r="HF26" s="1"/>
        <tr r="HF26" s="1"/>
      </tp>
      <tp t="b">
        <v>0</v>
        <stp/>
        <stp>##V3_BDPV12</stp>
        <stp/>
        <stp>DAY_CNT_DES</stp>
        <stp>[RV_LINE_PRICER.xlsm]FixedBonds!R19C214</stp>
        <tr r="HF19" s="1"/>
        <tr r="HF19" s="1"/>
      </tp>
      <tp t="b">
        <v>0</v>
        <stp/>
        <stp>##V3_BDPV12</stp>
        <stp/>
        <stp>DAY_CNT_DES</stp>
        <stp>[RV_LINE_PRICER.xlsm]FixedBonds!R18C214</stp>
        <tr r="HF18" s="1"/>
        <tr r="HF18" s="1"/>
      </tp>
      <tp t="b">
        <v>0</v>
        <stp/>
        <stp>##V3_BDPV12</stp>
        <stp/>
        <stp>DAY_CNT_DES</stp>
        <stp>[RV_LINE_PRICER.xlsm]FixedBonds!R13C214</stp>
        <tr r="HF13" s="1"/>
        <tr r="HF13" s="1"/>
      </tp>
      <tp t="b">
        <v>0</v>
        <stp/>
        <stp>##V3_BDPV12</stp>
        <stp/>
        <stp>DAY_CNT_DES</stp>
        <stp>[RV_LINE_PRICER.xlsm]FixedBonds!R12C214</stp>
        <tr r="HF12" s="1"/>
        <tr r="HF12" s="1"/>
      </tp>
      <tp t="b">
        <v>0</v>
        <stp/>
        <stp>##V3_BDPV12</stp>
        <stp/>
        <stp>DAY_CNT_DES</stp>
        <stp>[RV_LINE_PRICER.xlsm]FixedBonds!R15C214</stp>
        <tr r="HF15" s="1"/>
        <tr r="HF15" s="1"/>
      </tp>
      <tp t="b">
        <v>0</v>
        <stp/>
        <stp>##V3_BDPV12</stp>
        <stp/>
        <stp>DAY_CNT_DES</stp>
        <stp>[RV_LINE_PRICER.xlsm]FixedBonds!R14C214</stp>
        <tr r="HF14" s="1"/>
        <tr r="HF14" s="1"/>
      </tp>
      <tp t="b">
        <v>0</v>
        <stp/>
        <stp>##V3_BDPV12</stp>
        <stp/>
        <stp>DAY_CNT_DES</stp>
        <stp>[RV_LINE_PRICER.xlsm]FixedBonds!R17C214</stp>
        <tr r="HF17" s="1"/>
        <tr r="HF17" s="1"/>
      </tp>
      <tp t="b">
        <v>0</v>
        <stp/>
        <stp>##V3_BDPV12</stp>
        <stp/>
        <stp>DAY_CNT_DES</stp>
        <stp>[RV_LINE_PRICER.xlsm]FixedBonds!R16C214</stp>
        <tr r="HF16" s="1"/>
        <tr r="HF16" s="1"/>
      </tp>
      <tp t="b">
        <v>0</v>
        <stp/>
        <stp>##V3_BDPV12</stp>
        <stp/>
        <stp>CPN</stp>
        <stp>[RV_LINE_PRICER.xlsm]FixedBonds!R18C207</stp>
        <tr r="GY18" s="1"/>
        <tr r="GY18" s="1"/>
      </tp>
      <tp t="b">
        <v>0</v>
        <stp/>
        <stp>##V3_BDPV12</stp>
        <stp/>
        <stp>CPN</stp>
        <stp>[RV_LINE_PRICER.xlsm]FixedBonds!R19C207</stp>
        <tr r="GY19" s="1"/>
        <tr r="GY19" s="1"/>
      </tp>
      <tp t="b">
        <v>0</v>
        <stp/>
        <stp>##V3_BDPV12</stp>
        <stp/>
        <stp>CPN</stp>
        <stp>[RV_LINE_PRICER.xlsm]FixedBonds!R12C207</stp>
        <tr r="GY12" s="1"/>
        <tr r="GY12" s="1"/>
      </tp>
      <tp t="b">
        <v>0</v>
        <stp/>
        <stp>##V3_BDPV12</stp>
        <stp/>
        <stp>CPN</stp>
        <stp>[RV_LINE_PRICER.xlsm]FixedBonds!R13C207</stp>
        <tr r="GY13" s="1"/>
        <tr r="GY13" s="1"/>
      </tp>
      <tp t="b">
        <v>0</v>
        <stp/>
        <stp>##V3_BDPV12</stp>
        <stp/>
        <stp>CPN</stp>
        <stp>[RV_LINE_PRICER.xlsm]FixedBonds!R16C207</stp>
        <tr r="GY16" s="1"/>
        <tr r="GY16" s="1"/>
      </tp>
      <tp t="b">
        <v>0</v>
        <stp/>
        <stp>##V3_BDPV12</stp>
        <stp/>
        <stp>CPN</stp>
        <stp>[RV_LINE_PRICER.xlsm]FixedBonds!R17C207</stp>
        <tr r="GY17" s="1"/>
        <tr r="GY17" s="1"/>
      </tp>
      <tp t="b">
        <v>0</v>
        <stp/>
        <stp>##V3_BDPV12</stp>
        <stp/>
        <stp>CPN</stp>
        <stp>[RV_LINE_PRICER.xlsm]FixedBonds!R14C207</stp>
        <tr r="GY14" s="1"/>
        <tr r="GY14" s="1"/>
      </tp>
      <tp t="b">
        <v>0</v>
        <stp/>
        <stp>##V3_BDPV12</stp>
        <stp/>
        <stp>CPN</stp>
        <stp>[RV_LINE_PRICER.xlsm]FixedBonds!R15C207</stp>
        <tr r="GY15" s="1"/>
        <tr r="GY15" s="1"/>
      </tp>
      <tp t="b">
        <v>0</v>
        <stp/>
        <stp>##V3_BDPV12</stp>
        <stp/>
        <stp>CPN</stp>
        <stp>[RV_LINE_PRICER.xlsm]FixedBonds!R22C207</stp>
        <tr r="GY22" s="1"/>
        <tr r="GY22" s="1"/>
      </tp>
      <tp t="b">
        <v>0</v>
        <stp/>
        <stp>##V3_BDPV12</stp>
        <stp/>
        <stp>CPN</stp>
        <stp>[RV_LINE_PRICER.xlsm]FixedBonds!R23C207</stp>
        <tr r="GY23" s="1"/>
        <tr r="GY23" s="1"/>
      </tp>
      <tp t="b">
        <v>0</v>
        <stp/>
        <stp>##V3_BDPV12</stp>
        <stp/>
        <stp>CPN</stp>
        <stp>[RV_LINE_PRICER.xlsm]FixedBonds!R20C207</stp>
        <tr r="GY20" s="1"/>
        <tr r="GY20" s="1"/>
      </tp>
      <tp t="b">
        <v>0</v>
        <stp/>
        <stp>##V3_BDPV12</stp>
        <stp/>
        <stp>CPN</stp>
        <stp>[RV_LINE_PRICER.xlsm]FixedBonds!R21C207</stp>
        <tr r="GY21" s="1"/>
        <tr r="GY21" s="1"/>
      </tp>
      <tp t="b">
        <v>0</v>
        <stp/>
        <stp>##V3_BDPV12</stp>
        <stp/>
        <stp>CPN</stp>
        <stp>[RV_LINE_PRICER.xlsm]FixedBonds!R26C207</stp>
        <tr r="GY26" s="1"/>
        <tr r="GY26" s="1"/>
      </tp>
      <tp t="b">
        <v>0</v>
        <stp/>
        <stp>##V3_BDPV12</stp>
        <stp/>
        <stp>CPN</stp>
        <stp>[RV_LINE_PRICER.xlsm]FixedBonds!R24C207</stp>
        <tr r="GY24" s="1"/>
        <tr r="GY24" s="1"/>
      </tp>
      <tp t="b">
        <v>0</v>
        <stp/>
        <stp>##V3_BDPV12</stp>
        <stp/>
        <stp>CPN</stp>
        <stp>[RV_LINE_PRICER.xlsm]FixedBonds!R25C207</stp>
        <tr r="GY25" s="1"/>
        <tr r="GY25" s="1"/>
      </tp>
      <tp t="b">
        <v>0</v>
        <stp/>
        <stp>##V3_BDPV12</stp>
        <stp/>
        <stp>START_ACC_DT</stp>
        <stp>[RV_LINE_PRICER.xlsm]FixedBonds!R24C36</stp>
        <tr r="AJ24" s="1"/>
        <tr r="AJ24" s="1"/>
      </tp>
      <tp t="b">
        <v>0</v>
        <stp/>
        <stp>##V3_BDPV12</stp>
        <stp/>
        <stp>START_ACC_DT</stp>
        <stp>[RV_LINE_PRICER.xlsm]FixedBonds!R25C36</stp>
        <tr r="AJ25" s="1"/>
        <tr r="AJ25" s="1"/>
      </tp>
      <tp t="b">
        <v>0</v>
        <stp/>
        <stp>##V3_BDPV12</stp>
        <stp/>
        <stp>START_ACC_DT</stp>
        <stp>[RV_LINE_PRICER.xlsm]FixedBonds!R26C36</stp>
        <tr r="AJ26" s="1"/>
        <tr r="AJ26" s="1"/>
      </tp>
      <tp t="b">
        <v>0</v>
        <stp/>
        <stp>##V3_BDPV12</stp>
        <stp/>
        <stp>START_ACC_DT</stp>
        <stp>[RV_LINE_PRICER.xlsm]FixedBonds!R20C36</stp>
        <tr r="AJ20" s="1"/>
        <tr r="AJ20" s="1"/>
      </tp>
      <tp t="b">
        <v>0</v>
        <stp/>
        <stp>##V3_BDPV12</stp>
        <stp/>
        <stp>START_ACC_DT</stp>
        <stp>[RV_LINE_PRICER.xlsm]FixedBonds!R21C36</stp>
        <tr r="AJ21" s="1"/>
        <tr r="AJ21" s="1"/>
      </tp>
      <tp t="b">
        <v>0</v>
        <stp/>
        <stp>##V3_BDPV12</stp>
        <stp/>
        <stp>START_ACC_DT</stp>
        <stp>[RV_LINE_PRICER.xlsm]FixedBonds!R22C36</stp>
        <tr r="AJ22" s="1"/>
        <tr r="AJ22" s="1"/>
      </tp>
      <tp t="b">
        <v>0</v>
        <stp/>
        <stp>##V3_BDPV12</stp>
        <stp/>
        <stp>START_ACC_DT</stp>
        <stp>[RV_LINE_PRICER.xlsm]FixedBonds!R23C36</stp>
        <tr r="AJ23" s="1"/>
        <tr r="AJ23" s="1"/>
      </tp>
      <tp t="b">
        <v>0</v>
        <stp/>
        <stp>##V3_BDPV12</stp>
        <stp/>
        <stp>START_ACC_DT</stp>
        <stp>[RV_LINE_PRICER.xlsm]FixedBonds!R14C36</stp>
        <tr r="AJ14" s="1"/>
        <tr r="AJ14" s="1"/>
      </tp>
      <tp t="b">
        <v>0</v>
        <stp/>
        <stp>##V3_BDPV12</stp>
        <stp/>
        <stp>START_ACC_DT</stp>
        <stp>[RV_LINE_PRICER.xlsm]FixedBonds!R15C36</stp>
        <tr r="AJ15" s="1"/>
        <tr r="AJ15" s="1"/>
      </tp>
      <tp t="b">
        <v>0</v>
        <stp/>
        <stp>##V3_BDPV12</stp>
        <stp/>
        <stp>START_ACC_DT</stp>
        <stp>[RV_LINE_PRICER.xlsm]FixedBonds!R16C36</stp>
        <tr r="AJ16" s="1"/>
        <tr r="AJ16" s="1"/>
      </tp>
      <tp t="b">
        <v>0</v>
        <stp/>
        <stp>##V3_BDPV12</stp>
        <stp/>
        <stp>START_ACC_DT</stp>
        <stp>[RV_LINE_PRICER.xlsm]FixedBonds!R17C36</stp>
        <tr r="AJ17" s="1"/>
        <tr r="AJ17" s="1"/>
      </tp>
      <tp t="b">
        <v>0</v>
        <stp/>
        <stp>##V3_BDPV12</stp>
        <stp/>
        <stp>START_ACC_DT</stp>
        <stp>[RV_LINE_PRICER.xlsm]FixedBonds!R12C36</stp>
        <tr r="AJ12" s="1"/>
        <tr r="AJ12" s="1"/>
      </tp>
      <tp t="b">
        <v>0</v>
        <stp/>
        <stp>##V3_BDPV12</stp>
        <stp/>
        <stp>START_ACC_DT</stp>
        <stp>[RV_LINE_PRICER.xlsm]FixedBonds!R13C36</stp>
        <tr r="AJ13" s="1"/>
        <tr r="AJ13" s="1"/>
      </tp>
      <tp t="b">
        <v>0</v>
        <stp/>
        <stp>##V3_BDPV12</stp>
        <stp/>
        <stp>START_ACC_DT</stp>
        <stp>[RV_LINE_PRICER.xlsm]FixedBonds!R18C36</stp>
        <tr r="AJ18" s="1"/>
        <tr r="AJ18" s="1"/>
      </tp>
      <tp t="b">
        <v>0</v>
        <stp/>
        <stp>##V3_BDPV12</stp>
        <stp/>
        <stp>START_ACC_DT</stp>
        <stp>[RV_LINE_PRICER.xlsm]FixedBonds!R19C36</stp>
        <tr r="AJ19" s="1"/>
        <tr r="AJ19" s="1"/>
      </tp>
      <tp>
        <v>2</v>
        <stp/>
        <stp>##V3_BDPV12</stp>
        <stp>US05565QCT31 Corp</stp>
        <stp>CPN_FREQ</stp>
        <stp>[RV_LINE_PRICER.xlsm]FloatBondSingle!R26C9</stp>
        <tr r="I26" s="23"/>
        <tr r="I26" s="23"/>
      </tp>
      <tp t="s">
        <v>USJ46186BC59</v>
        <stp/>
        <stp>##V3_BDPV12</stp>
        <stp>USJ46186BC59 Corp</stp>
        <stp>ID_ISIN</stp>
        <stp>[RV_LINE_PRICER.xlsm]XccyFixedBonds!R10C35</stp>
        <tr r="AI10" s="16"/>
        <tr r="AI10" s="16"/>
      </tp>
      <tp t="s">
        <v>USJ46186BC59</v>
        <stp/>
        <stp>##V3_BDPV12</stp>
        <stp>USJ46186BC59 Corp</stp>
        <stp>ID_ISIN</stp>
        <stp>[RV_LINE_PRICER.xlsm]XccyFixedBonds!R11C35</stp>
        <tr r="AI11" s="16"/>
        <tr r="AI11" s="16"/>
      </tp>
      <tp t="s">
        <v>CLEAN</v>
        <stp/>
        <stp>##V3_BDPV12</stp>
        <stp>USJ46186BC59 Corp</stp>
        <stp>PX_DIRTY_CLEAN</stp>
        <stp>[RV_LINE_PRICER.xlsm]XccyFixedBonds!R7C37</stp>
        <tr r="AK7" s="16"/>
        <tr r="AK7" s="16"/>
      </tp>
      <tp t="s">
        <v>CLEAN</v>
        <stp/>
        <stp>##V3_BDPV12</stp>
        <stp>USJ46186BC59 Corp</stp>
        <stp>PX_DIRTY_CLEAN</stp>
        <stp>[RV_LINE_PRICER.xlsm]XccyFixedBonds!R9C37</stp>
        <tr r="AK9" s="16"/>
        <tr r="AK9" s="16"/>
      </tp>
      <tp t="s">
        <v>CLEAN</v>
        <stp/>
        <stp>##V3_BDPV12</stp>
        <stp>USJ46186BC59 Corp</stp>
        <stp>PX_DIRTY_CLEAN</stp>
        <stp>[RV_LINE_PRICER.xlsm]XccyFixedBonds!R8C37</stp>
        <tr r="AK8" s="16"/>
        <tr r="AK8" s="16"/>
      </tp>
      <tp>
        <v>2</v>
        <stp/>
        <stp>##V3_BDPV12</stp>
        <stp>USJ46186BC59 Corp</stp>
        <stp>CPN_FREQ</stp>
        <stp>[RV_LINE_PRICER.xlsm]XccyFixedBondSingle!R26C9</stp>
        <tr r="I26" s="21"/>
        <tr r="I26" s="21"/>
      </tp>
      <tp t="s">
        <v>15/07/2016</v>
        <stp/>
        <stp>##V3_BDPV12</stp>
        <stp>XS1344710857 Corp</stp>
        <stp>FIRST_CPN_DT</stp>
        <stp>[RV_LINE_PRICER.xlsm]XccyFixedBonds!R8C215</stp>
        <tr r="HG8" s="16"/>
        <tr r="HG8" s="16"/>
      </tp>
      <tp t="s">
        <v>15/07/2016</v>
        <stp/>
        <stp>##V3_BDPV12</stp>
        <stp>XS1344710857 Corp</stp>
        <stp>FIRST_CPN_DT</stp>
        <stp>[RV_LINE_PRICER.xlsm]XccyFixedBonds!R9C215</stp>
        <tr r="HG9" s="16"/>
        <tr r="HG9" s="16"/>
      </tp>
      <tp t="s">
        <v>15/07/2016</v>
        <stp/>
        <stp>##V3_BDPV12</stp>
        <stp>XS1344710857 Corp</stp>
        <stp>FIRST_CPN_DT</stp>
        <stp>[RV_LINE_PRICER.xlsm]XccyFixedBonds!R7C215</stp>
        <tr r="HG7" s="16"/>
        <tr r="HG7" s="16"/>
      </tp>
      <tp t="s">
        <v>CLEAN</v>
        <stp/>
        <stp>##V3_BDPV12</stp>
        <stp>XS1692845396 Corp</stp>
        <stp>PX_DIRTY_CLEAN</stp>
        <stp>[RV_LINE_PRICER.xlsm]FixedBonds!R10C197</stp>
        <tr r="GO10" s="1"/>
      </tp>
      <tp>
        <v>2</v>
        <stp/>
        <stp>##V3_BDPV12</stp>
        <stp>US05565QCT31 Corp</stp>
        <stp>CPN_FREQ</stp>
        <stp>[RV_LINE_PRICER.xlsm]FloatBonds!R7C45</stp>
        <tr r="AS7" s="18"/>
      </tp>
      <tp>
        <v>2</v>
        <stp/>
        <stp>##V3_BDPV12</stp>
        <stp>US05565QCT31 Corp</stp>
        <stp>CPN_FREQ</stp>
        <stp>[RV_LINE_PRICER.xlsm]FloatBonds!R8C45</stp>
        <tr r="AS8" s="18"/>
      </tp>
      <tp>
        <v>2</v>
        <stp/>
        <stp>##V3_BDPV12</stp>
        <stp>US05565QCT31 Corp</stp>
        <stp>CPN_FREQ</stp>
        <stp>[RV_LINE_PRICER.xlsm]FloatBonds!R9C45</stp>
        <tr r="AS9" s="18"/>
      </tp>
      <tp t="b">
        <v>0</v>
        <stp/>
        <stp>##V3_BDPV12</stp>
        <stp/>
        <stp>CPN</stp>
        <stp>[RV_LINE_PRICER.xlsm]FloatBonds!R19C213</stp>
        <tr r="HE19" s="18"/>
        <tr r="HE19" s="18"/>
      </tp>
      <tp t="b">
        <v>0</v>
        <stp/>
        <stp>##V3_BDPV12</stp>
        <stp/>
        <stp>CPN</stp>
        <stp>[RV_LINE_PRICER.xlsm]FloatBonds!R18C213</stp>
        <tr r="HE18" s="18"/>
        <tr r="HE18" s="18"/>
      </tp>
      <tp t="b">
        <v>0</v>
        <stp/>
        <stp>##V3_BDPV12</stp>
        <stp/>
        <stp>CPN</stp>
        <stp>[RV_LINE_PRICER.xlsm]FloatBonds!R13C213</stp>
        <tr r="HE13" s="18"/>
        <tr r="HE13" s="18"/>
      </tp>
      <tp t="b">
        <v>0</v>
        <stp/>
        <stp>##V3_BDPV12</stp>
        <stp/>
        <stp>CPN</stp>
        <stp>[RV_LINE_PRICER.xlsm]FloatBonds!R12C213</stp>
        <tr r="HE12" s="18"/>
        <tr r="HE12" s="18"/>
      </tp>
      <tp t="b">
        <v>0</v>
        <stp/>
        <stp>##V3_BDPV12</stp>
        <stp/>
        <stp>CPN</stp>
        <stp>[RV_LINE_PRICER.xlsm]FloatBonds!R17C213</stp>
        <tr r="HE17" s="18"/>
        <tr r="HE17" s="18"/>
      </tp>
      <tp t="b">
        <v>0</v>
        <stp/>
        <stp>##V3_BDPV12</stp>
        <stp/>
        <stp>CPN</stp>
        <stp>[RV_LINE_PRICER.xlsm]FloatBonds!R16C213</stp>
        <tr r="HE16" s="18"/>
        <tr r="HE16" s="18"/>
      </tp>
      <tp t="b">
        <v>0</v>
        <stp/>
        <stp>##V3_BDPV12</stp>
        <stp/>
        <stp>CPN</stp>
        <stp>[RV_LINE_PRICER.xlsm]FloatBonds!R15C213</stp>
        <tr r="HE15" s="18"/>
        <tr r="HE15" s="18"/>
      </tp>
      <tp t="b">
        <v>0</v>
        <stp/>
        <stp>##V3_BDPV12</stp>
        <stp/>
        <stp>CPN</stp>
        <stp>[RV_LINE_PRICER.xlsm]FloatBonds!R14C213</stp>
        <tr r="HE14" s="18"/>
        <tr r="HE14" s="18"/>
      </tp>
      <tp t="b">
        <v>0</v>
        <stp/>
        <stp>##V3_BDPV12</stp>
        <stp/>
        <stp>CPN</stp>
        <stp>[RV_LINE_PRICER.xlsm]FloatBonds!R23C213</stp>
        <tr r="HE23" s="18"/>
        <tr r="HE23" s="18"/>
      </tp>
      <tp t="b">
        <v>0</v>
        <stp/>
        <stp>##V3_BDPV12</stp>
        <stp/>
        <stp>CPN</stp>
        <stp>[RV_LINE_PRICER.xlsm]FloatBonds!R22C213</stp>
        <tr r="HE22" s="18"/>
        <tr r="HE22" s="18"/>
      </tp>
      <tp t="b">
        <v>0</v>
        <stp/>
        <stp>##V3_BDPV12</stp>
        <stp/>
        <stp>CPN</stp>
        <stp>[RV_LINE_PRICER.xlsm]FloatBonds!R21C213</stp>
        <tr r="HE21" s="18"/>
        <tr r="HE21" s="18"/>
      </tp>
      <tp t="b">
        <v>0</v>
        <stp/>
        <stp>##V3_BDPV12</stp>
        <stp/>
        <stp>CPN</stp>
        <stp>[RV_LINE_PRICER.xlsm]FloatBonds!R20C213</stp>
        <tr r="HE20" s="18"/>
        <tr r="HE20" s="18"/>
      </tp>
      <tp t="b">
        <v>0</v>
        <stp/>
        <stp>##V3_BDPV12</stp>
        <stp/>
        <stp>CPN</stp>
        <stp>[RV_LINE_PRICER.xlsm]FloatBonds!R26C213</stp>
        <tr r="HE26" s="18"/>
        <tr r="HE26" s="18"/>
      </tp>
      <tp t="b">
        <v>0</v>
        <stp/>
        <stp>##V3_BDPV12</stp>
        <stp/>
        <stp>CPN</stp>
        <stp>[RV_LINE_PRICER.xlsm]FloatBonds!R25C213</stp>
        <tr r="HE25" s="18"/>
        <tr r="HE25" s="18"/>
      </tp>
      <tp t="b">
        <v>0</v>
        <stp/>
        <stp>##V3_BDPV12</stp>
        <stp/>
        <stp>CPN</stp>
        <stp>[RV_LINE_PRICER.xlsm]FloatBonds!R24C213</stp>
        <tr r="HE24" s="18"/>
        <tr r="HE24" s="18"/>
      </tp>
      <tp t="b">
        <v>0</v>
        <stp/>
        <stp>##V3_BDPV12</stp>
        <stp/>
        <stp>PX_DIRTY_CLEAN</stp>
        <stp>[RV_LINE_PRICER.xlsm]FixedBonds!R23C197</stp>
        <tr r="GO23" s="1"/>
        <tr r="GO23" s="1"/>
      </tp>
      <tp t="b">
        <v>0</v>
        <stp/>
        <stp>##V3_BDPV12</stp>
        <stp/>
        <stp>PX_DIRTY_CLEAN</stp>
        <stp>[RV_LINE_PRICER.xlsm]FixedBonds!R22C197</stp>
        <tr r="GO22" s="1"/>
        <tr r="GO22" s="1"/>
      </tp>
      <tp t="b">
        <v>0</v>
        <stp/>
        <stp>##V3_BDPV12</stp>
        <stp/>
        <stp>PX_DIRTY_CLEAN</stp>
        <stp>[RV_LINE_PRICER.xlsm]FixedBonds!R21C197</stp>
        <tr r="GO21" s="1"/>
        <tr r="GO21" s="1"/>
      </tp>
      <tp t="b">
        <v>0</v>
        <stp/>
        <stp>##V3_BDPV12</stp>
        <stp/>
        <stp>PX_DIRTY_CLEAN</stp>
        <stp>[RV_LINE_PRICER.xlsm]FixedBonds!R20C197</stp>
        <tr r="GO20" s="1"/>
        <tr r="GO20" s="1"/>
      </tp>
      <tp t="b">
        <v>0</v>
        <stp/>
        <stp>##V3_BDPV12</stp>
        <stp/>
        <stp>PX_DIRTY_CLEAN</stp>
        <stp>[RV_LINE_PRICER.xlsm]FixedBonds!R26C197</stp>
        <tr r="GO26" s="1"/>
        <tr r="GO26" s="1"/>
      </tp>
      <tp t="b">
        <v>0</v>
        <stp/>
        <stp>##V3_BDPV12</stp>
        <stp/>
        <stp>PX_DIRTY_CLEAN</stp>
        <stp>[RV_LINE_PRICER.xlsm]FixedBonds!R25C197</stp>
        <tr r="GO25" s="1"/>
        <tr r="GO25" s="1"/>
      </tp>
      <tp t="b">
        <v>0</v>
        <stp/>
        <stp>##V3_BDPV12</stp>
        <stp/>
        <stp>PX_DIRTY_CLEAN</stp>
        <stp>[RV_LINE_PRICER.xlsm]FixedBonds!R24C197</stp>
        <tr r="GO24" s="1"/>
        <tr r="GO24" s="1"/>
      </tp>
      <tp t="b">
        <v>0</v>
        <stp/>
        <stp>##V3_BDPV12</stp>
        <stp/>
        <stp>PX_DIRTY_CLEAN</stp>
        <stp>[RV_LINE_PRICER.xlsm]FixedBonds!R13C197</stp>
        <tr r="GO13" s="1"/>
        <tr r="GO13" s="1"/>
      </tp>
      <tp t="b">
        <v>0</v>
        <stp/>
        <stp>##V3_BDPV12</stp>
        <stp/>
        <stp>PX_DIRTY_CLEAN</stp>
        <stp>[RV_LINE_PRICER.xlsm]FixedBonds!R12C197</stp>
        <tr r="GO12" s="1"/>
        <tr r="GO12" s="1"/>
      </tp>
      <tp t="b">
        <v>0</v>
        <stp/>
        <stp>##V3_BDPV12</stp>
        <stp/>
        <stp>PX_DIRTY_CLEAN</stp>
        <stp>[RV_LINE_PRICER.xlsm]FixedBonds!R17C197</stp>
        <tr r="GO17" s="1"/>
        <tr r="GO17" s="1"/>
      </tp>
      <tp t="b">
        <v>0</v>
        <stp/>
        <stp>##V3_BDPV12</stp>
        <stp/>
        <stp>PX_DIRTY_CLEAN</stp>
        <stp>[RV_LINE_PRICER.xlsm]FixedBonds!R16C197</stp>
        <tr r="GO16" s="1"/>
        <tr r="GO16" s="1"/>
      </tp>
      <tp t="b">
        <v>0</v>
        <stp/>
        <stp>##V3_BDPV12</stp>
        <stp/>
        <stp>PX_DIRTY_CLEAN</stp>
        <stp>[RV_LINE_PRICER.xlsm]FixedBonds!R15C197</stp>
        <tr r="GO15" s="1"/>
        <tr r="GO15" s="1"/>
      </tp>
      <tp t="b">
        <v>0</v>
        <stp/>
        <stp>##V3_BDPV12</stp>
        <stp/>
        <stp>PX_DIRTY_CLEAN</stp>
        <stp>[RV_LINE_PRICER.xlsm]FixedBonds!R14C197</stp>
        <tr r="GO14" s="1"/>
        <tr r="GO14" s="1"/>
      </tp>
      <tp t="b">
        <v>0</v>
        <stp/>
        <stp>##V3_BDPV12</stp>
        <stp/>
        <stp>PX_DIRTY_CLEAN</stp>
        <stp>[RV_LINE_PRICER.xlsm]FixedBonds!R19C197</stp>
        <tr r="GO19" s="1"/>
        <tr r="GO19" s="1"/>
      </tp>
      <tp t="b">
        <v>0</v>
        <stp/>
        <stp>##V3_BDPV12</stp>
        <stp/>
        <stp>PX_DIRTY_CLEAN</stp>
        <stp>[RV_LINE_PRICER.xlsm]FixedBonds!R18C197</stp>
        <tr r="GO18" s="1"/>
        <tr r="GO18" s="1"/>
      </tp>
      <tp t="b">
        <v>0</v>
        <stp/>
        <stp>##V3_BDPV12</stp>
        <stp/>
        <stp>DAY_CNT_DES</stp>
        <stp>[RV_LINE_PRICER.xlsm]FloatBonds!R18C220</stp>
        <tr r="HL18" s="18"/>
        <tr r="HL18" s="18"/>
      </tp>
      <tp t="b">
        <v>0</v>
        <stp/>
        <stp>##V3_BDPV12</stp>
        <stp/>
        <stp>DAY_CNT_DES</stp>
        <stp>[RV_LINE_PRICER.xlsm]FloatBonds!R19C220</stp>
        <tr r="HL19" s="18"/>
        <tr r="HL19" s="18"/>
      </tp>
      <tp t="b">
        <v>0</v>
        <stp/>
        <stp>##V3_BDPV12</stp>
        <stp/>
        <stp>DAY_CNT_DES</stp>
        <stp>[RV_LINE_PRICER.xlsm]FloatBonds!R12C220</stp>
        <tr r="HL12" s="18"/>
        <tr r="HL12" s="18"/>
      </tp>
      <tp t="b">
        <v>0</v>
        <stp/>
        <stp>##V3_BDPV12</stp>
        <stp/>
        <stp>DAY_CNT_DES</stp>
        <stp>[RV_LINE_PRICER.xlsm]FloatBonds!R13C220</stp>
        <tr r="HL13" s="18"/>
        <tr r="HL13" s="18"/>
      </tp>
      <tp t="b">
        <v>0</v>
        <stp/>
        <stp>##V3_BDPV12</stp>
        <stp/>
        <stp>DAY_CNT_DES</stp>
        <stp>[RV_LINE_PRICER.xlsm]FloatBonds!R14C220</stp>
        <tr r="HL14" s="18"/>
        <tr r="HL14" s="18"/>
      </tp>
      <tp t="b">
        <v>0</v>
        <stp/>
        <stp>##V3_BDPV12</stp>
        <stp/>
        <stp>DAY_CNT_DES</stp>
        <stp>[RV_LINE_PRICER.xlsm]FloatBonds!R15C220</stp>
        <tr r="HL15" s="18"/>
        <tr r="HL15" s="18"/>
      </tp>
      <tp t="b">
        <v>0</v>
        <stp/>
        <stp>##V3_BDPV12</stp>
        <stp/>
        <stp>DAY_CNT_DES</stp>
        <stp>[RV_LINE_PRICER.xlsm]FloatBonds!R16C220</stp>
        <tr r="HL16" s="18"/>
        <tr r="HL16" s="18"/>
      </tp>
      <tp t="b">
        <v>0</v>
        <stp/>
        <stp>##V3_BDPV12</stp>
        <stp/>
        <stp>DAY_CNT_DES</stp>
        <stp>[RV_LINE_PRICER.xlsm]FloatBonds!R17C220</stp>
        <tr r="HL17" s="18"/>
        <tr r="HL17" s="18"/>
      </tp>
      <tp t="b">
        <v>0</v>
        <stp/>
        <stp>##V3_BDPV12</stp>
        <stp/>
        <stp>DAY_CNT_DES</stp>
        <stp>[RV_LINE_PRICER.xlsm]FloatBonds!R20C220</stp>
        <tr r="HL20" s="18"/>
        <tr r="HL20" s="18"/>
      </tp>
      <tp t="b">
        <v>0</v>
        <stp/>
        <stp>##V3_BDPV12</stp>
        <stp/>
        <stp>DAY_CNT_DES</stp>
        <stp>[RV_LINE_PRICER.xlsm]FloatBonds!R21C220</stp>
        <tr r="HL21" s="18"/>
        <tr r="HL21" s="18"/>
      </tp>
      <tp t="b">
        <v>0</v>
        <stp/>
        <stp>##V3_BDPV12</stp>
        <stp/>
        <stp>DAY_CNT_DES</stp>
        <stp>[RV_LINE_PRICER.xlsm]FloatBonds!R22C220</stp>
        <tr r="HL22" s="18"/>
        <tr r="HL22" s="18"/>
      </tp>
      <tp t="b">
        <v>0</v>
        <stp/>
        <stp>##V3_BDPV12</stp>
        <stp/>
        <stp>DAY_CNT_DES</stp>
        <stp>[RV_LINE_PRICER.xlsm]FloatBonds!R23C220</stp>
        <tr r="HL23" s="18"/>
        <tr r="HL23" s="18"/>
      </tp>
      <tp t="b">
        <v>0</v>
        <stp/>
        <stp>##V3_BDPV12</stp>
        <stp/>
        <stp>DAY_CNT_DES</stp>
        <stp>[RV_LINE_PRICER.xlsm]FloatBonds!R24C220</stp>
        <tr r="HL24" s="18"/>
        <tr r="HL24" s="18"/>
      </tp>
      <tp t="b">
        <v>0</v>
        <stp/>
        <stp>##V3_BDPV12</stp>
        <stp/>
        <stp>DAY_CNT_DES</stp>
        <stp>[RV_LINE_PRICER.xlsm]FloatBonds!R25C220</stp>
        <tr r="HL25" s="18"/>
        <tr r="HL25" s="18"/>
      </tp>
      <tp t="b">
        <v>0</v>
        <stp/>
        <stp>##V3_BDPV12</stp>
        <stp/>
        <stp>DAY_CNT_DES</stp>
        <stp>[RV_LINE_PRICER.xlsm]FloatBonds!R26C220</stp>
        <tr r="HL26" s="18"/>
        <tr r="HL26" s="18"/>
      </tp>
      <tp t="b">
        <v>0</v>
        <stp/>
        <stp>##V3_BDPV12</stp>
        <stp/>
        <stp>PENULTIMATE_CPN_DT</stp>
        <stp>[RV_LINE_PRICER.xlsm]FixedBonds!R22C38</stp>
        <tr r="AL22" s="1"/>
        <tr r="AL22" s="1"/>
      </tp>
      <tp t="b">
        <v>0</v>
        <stp/>
        <stp>##V3_BDPV12</stp>
        <stp/>
        <stp>PENULTIMATE_CPN_DT</stp>
        <stp>[RV_LINE_PRICER.xlsm]FixedBonds!R23C38</stp>
        <tr r="AL23" s="1"/>
        <tr r="AL23" s="1"/>
      </tp>
      <tp t="b">
        <v>0</v>
        <stp/>
        <stp>##V3_BDPV12</stp>
        <stp/>
        <stp>PENULTIMATE_CPN_DT</stp>
        <stp>[RV_LINE_PRICER.xlsm]FixedBonds!R20C38</stp>
        <tr r="AL20" s="1"/>
        <tr r="AL20" s="1"/>
      </tp>
      <tp t="b">
        <v>0</v>
        <stp/>
        <stp>##V3_BDPV12</stp>
        <stp/>
        <stp>PENULTIMATE_CPN_DT</stp>
        <stp>[RV_LINE_PRICER.xlsm]FixedBonds!R21C38</stp>
        <tr r="AL21" s="1"/>
        <tr r="AL21" s="1"/>
      </tp>
      <tp t="b">
        <v>0</v>
        <stp/>
        <stp>##V3_BDPV12</stp>
        <stp/>
        <stp>PENULTIMATE_CPN_DT</stp>
        <stp>[RV_LINE_PRICER.xlsm]FixedBonds!R26C38</stp>
        <tr r="AL26" s="1"/>
        <tr r="AL26" s="1"/>
      </tp>
      <tp t="b">
        <v>0</v>
        <stp/>
        <stp>##V3_BDPV12</stp>
        <stp/>
        <stp>PENULTIMATE_CPN_DT</stp>
        <stp>[RV_LINE_PRICER.xlsm]FixedBonds!R24C38</stp>
        <tr r="AL24" s="1"/>
        <tr r="AL24" s="1"/>
      </tp>
      <tp t="b">
        <v>0</v>
        <stp/>
        <stp>##V3_BDPV12</stp>
        <stp/>
        <stp>PENULTIMATE_CPN_DT</stp>
        <stp>[RV_LINE_PRICER.xlsm]FixedBonds!R25C38</stp>
        <tr r="AL25" s="1"/>
        <tr r="AL25" s="1"/>
      </tp>
      <tp t="b">
        <v>0</v>
        <stp/>
        <stp>##V3_BDPV12</stp>
        <stp/>
        <stp>PENULTIMATE_CPN_DT</stp>
        <stp>[RV_LINE_PRICER.xlsm]FixedBonds!R12C38</stp>
        <tr r="AL12" s="1"/>
        <tr r="AL12" s="1"/>
      </tp>
      <tp t="b">
        <v>0</v>
        <stp/>
        <stp>##V3_BDPV12</stp>
        <stp/>
        <stp>PENULTIMATE_CPN_DT</stp>
        <stp>[RV_LINE_PRICER.xlsm]FixedBonds!R13C38</stp>
        <tr r="AL13" s="1"/>
        <tr r="AL13" s="1"/>
      </tp>
      <tp t="b">
        <v>0</v>
        <stp/>
        <stp>##V3_BDPV12</stp>
        <stp/>
        <stp>PENULTIMATE_CPN_DT</stp>
        <stp>[RV_LINE_PRICER.xlsm]FixedBonds!R16C38</stp>
        <tr r="AL16" s="1"/>
        <tr r="AL16" s="1"/>
      </tp>
      <tp t="b">
        <v>0</v>
        <stp/>
        <stp>##V3_BDPV12</stp>
        <stp/>
        <stp>PENULTIMATE_CPN_DT</stp>
        <stp>[RV_LINE_PRICER.xlsm]FixedBonds!R17C38</stp>
        <tr r="AL17" s="1"/>
        <tr r="AL17" s="1"/>
      </tp>
      <tp t="b">
        <v>0</v>
        <stp/>
        <stp>##V3_BDPV12</stp>
        <stp/>
        <stp>PENULTIMATE_CPN_DT</stp>
        <stp>[RV_LINE_PRICER.xlsm]FixedBonds!R14C38</stp>
        <tr r="AL14" s="1"/>
        <tr r="AL14" s="1"/>
      </tp>
      <tp t="b">
        <v>0</v>
        <stp/>
        <stp>##V3_BDPV12</stp>
        <stp/>
        <stp>PENULTIMATE_CPN_DT</stp>
        <stp>[RV_LINE_PRICER.xlsm]FixedBonds!R15C38</stp>
        <tr r="AL15" s="1"/>
        <tr r="AL15" s="1"/>
      </tp>
      <tp t="b">
        <v>0</v>
        <stp/>
        <stp>##V3_BDPV12</stp>
        <stp/>
        <stp>PENULTIMATE_CPN_DT</stp>
        <stp>[RV_LINE_PRICER.xlsm]FixedBonds!R18C38</stp>
        <tr r="AL18" s="1"/>
        <tr r="AL18" s="1"/>
      </tp>
      <tp t="b">
        <v>0</v>
        <stp/>
        <stp>##V3_BDPV12</stp>
        <stp/>
        <stp>PENULTIMATE_CPN_DT</stp>
        <stp>[RV_LINE_PRICER.xlsm]FixedBonds!R19C38</stp>
        <tr r="AL19" s="1"/>
        <tr r="AL19" s="1"/>
      </tp>
      <tp t="s">
        <v>15/01/2020</v>
        <stp/>
        <stp>##V3_BDPV12</stp>
        <stp>US05565QCT31 Corp</stp>
        <stp>MATURITY</stp>
        <stp>[RV_LINE_PRICER.xlsm]FloatBonds!R9C43</stp>
        <tr r="AQ9" s="18"/>
      </tp>
      <tp t="s">
        <v>15/01/2020</v>
        <stp/>
        <stp>##V3_BDPV12</stp>
        <stp>US05565QCT31 Corp</stp>
        <stp>MATURITY</stp>
        <stp>[RV_LINE_PRICER.xlsm]FloatBonds!R8C43</stp>
        <tr r="AQ8" s="18"/>
      </tp>
      <tp t="s">
        <v>15/01/2020</v>
        <stp/>
        <stp>##V3_BDPV12</stp>
        <stp>US05565QCT31 Corp</stp>
        <stp>MATURITY</stp>
        <stp>[RV_LINE_PRICER.xlsm]FloatBonds!R7C43</stp>
        <tr r="AQ7" s="18"/>
      </tp>
      <tp t="s">
        <v>15/07/2016</v>
        <stp/>
        <stp>##V3_BDPV12</stp>
        <stp>XS1344710857 Corp</stp>
        <stp>FIRST_CPN_DT</stp>
        <stp>[RV_LINE_PRICER.xlsm]XccyFixedBondSingle!R22C22</stp>
        <tr r="V22" s="21"/>
        <tr r="V22" s="21"/>
      </tp>
      <tp>
        <v>2</v>
        <stp/>
        <stp>##V3_BDPV12</stp>
        <stp>XS1215869915 Corp</stp>
        <stp>CPN_FREQ</stp>
        <stp>[RV_LINE_PRICER.xlsm]FixedBonds!R8C208</stp>
        <tr r="GZ8" s="1"/>
      </tp>
      <tp t="s">
        <v>ACT/360</v>
        <stp/>
        <stp>##V3_BDPV12</stp>
        <stp>XS1193905160 Corp</stp>
        <stp>DAY_CNT_DES</stp>
        <stp>[RV_LINE_PRICER.xlsm]FloatBonds!R8C220</stp>
        <tr r="HL8" s="18"/>
      </tp>
      <tp t="s">
        <v>ACT/360</v>
        <stp/>
        <stp>##V3_BDPV12</stp>
        <stp>XS1193905160 Corp</stp>
        <stp>DAY_CNT_DES</stp>
        <stp>[RV_LINE_PRICER.xlsm]FloatBonds!R9C220</stp>
        <tr r="HL9" s="18"/>
      </tp>
      <tp t="s">
        <v>ACT/360</v>
        <stp/>
        <stp>##V3_BDPV12</stp>
        <stp>XS1193905160 Corp</stp>
        <stp>DAY_CNT_DES</stp>
        <stp>[RV_LINE_PRICER.xlsm]FloatBonds!R7C220</stp>
        <tr r="HL7" s="18"/>
      </tp>
      <tp>
        <v>2.7734399999999999</v>
        <stp/>
        <stp>##V3_BDHV12</stp>
        <stp>US0003M Index</stp>
        <stp>PX_LAST</stp>
        <stp>15/01/2019</stp>
        <stp>15/01/2019</stp>
        <stp>[RV_LINE_PRICER.xlsm]FixingTables!R23C9</stp>
        <tr r="I23" s="5"/>
      </tp>
      <tp>
        <v>2.44963</v>
        <stp/>
        <stp>##V3_BDHV12</stp>
        <stp>US0003M Index</stp>
        <stp>PX_LAST</stp>
        <stp>17/10/2018</stp>
        <stp>17/10/2018</stp>
        <stp>[RV_LINE_PRICER.xlsm]FixingTables!R82C9</stp>
        <tr r="I82" s="5"/>
      </tp>
      <tp>
        <v>2.64</v>
        <stp/>
        <stp>##V3_BDHV12</stp>
        <stp>US0003M Index</stp>
        <stp>PX_LAST</stp>
        <stp>15/11/2018</stp>
        <stp>15/11/2018</stp>
        <stp>[RV_LINE_PRICER.xlsm]FixingTables!R62C9</stp>
        <tr r="I62" s="5"/>
      </tp>
      <tp>
        <v>2.4074999999999998</v>
        <stp/>
        <stp>##V3_BDHV12</stp>
        <stp>US0003M Index</stp>
        <stp>PX_LAST</stp>
        <stp>02/10/2018</stp>
        <stp>02/10/2018</stp>
        <stp>[RV_LINE_PRICER.xlsm]FixingTables!R92C9</stp>
        <tr r="I92" s="5"/>
      </tp>
      <tp>
        <v>2.8006899999999999</v>
        <stp/>
        <stp>##V3_BDHV12</stp>
        <stp>US0003M Index</stp>
        <stp>PX_LAST</stp>
        <stp>14/12/2018</stp>
        <stp>14/12/2018</stp>
        <stp>[RV_LINE_PRICER.xlsm]FixingTables!R42C9</stp>
        <tr r="I42" s="5"/>
      </tp>
      <tp>
        <v>2.5585</v>
        <stp/>
        <stp>##V3_BDHV12</stp>
        <stp>US0003M Index</stp>
        <stp>PX_LAST</stp>
        <stp>31/10/2018</stp>
        <stp>31/10/2018</stp>
        <stp>[RV_LINE_PRICER.xlsm]FixingTables!R72C9</stp>
        <tr r="I72" s="5"/>
      </tp>
      <tp>
        <v>2.7362500000000001</v>
        <stp/>
        <stp>##V3_BDHV12</stp>
        <stp>US0003M Index</stp>
        <stp>PX_LAST</stp>
        <stp>30/01/2019</stp>
        <stp>30/01/2019</stp>
        <stp>[RV_LINE_PRICER.xlsm]FixingTables!R13C9</stp>
        <tr r="I13" s="5"/>
      </tp>
      <tp>
        <v>2.7361300000000002</v>
        <stp/>
        <stp>##V3_BDHV12</stp>
        <stp>US0003M Index</stp>
        <stp>PX_LAST</stp>
        <stp>30/11/2018</stp>
        <stp>30/11/2018</stp>
        <stp>[RV_LINE_PRICER.xlsm]FixingTables!R52C9</stp>
        <tr r="I52" s="5"/>
      </tp>
      <tp>
        <v>-0.10367</v>
        <stp/>
        <stp>##V3_BDHV12</stp>
        <stp>JY0003M Index</stp>
        <stp>PX_LAST</stp>
        <stp>14/12/2018</stp>
        <stp>14/12/2018</stp>
        <stp>[RV_LINE_PRICER.xlsm]FixingTables!R42C21</stp>
        <tr r="U42" s="5"/>
      </tp>
      <tp>
        <v>-0.11133</v>
        <stp/>
        <stp>##V3_BDHV12</stp>
        <stp>JY0003M Index</stp>
        <stp>PX_LAST</stp>
        <stp>26/11/2018</stp>
        <stp>26/11/2018</stp>
        <stp>[RV_LINE_PRICER.xlsm]FixingTables!R56C21</stp>
        <tr r="U56" s="5"/>
      </tp>
      <tp>
        <v>-0.113</v>
        <stp/>
        <stp>##V3_BDHV12</stp>
        <stp>JY0003M Index</stp>
        <stp>PX_LAST</stp>
        <stp>17/12/2018</stp>
        <stp>17/12/2018</stp>
        <stp>[RV_LINE_PRICER.xlsm]FixingTables!R41C21</stp>
        <tr r="U41" s="5"/>
      </tp>
      <tp>
        <v>-0.11183</v>
        <stp/>
        <stp>##V3_BDHV12</stp>
        <stp>JY0003M Index</stp>
        <stp>PX_LAST</stp>
        <stp>27/11/2018</stp>
        <stp>27/11/2018</stp>
        <stp>[RV_LINE_PRICER.xlsm]FixingTables!R55C21</stp>
        <tr r="U55" s="5"/>
      </tp>
      <tp>
        <v>-9.9669999999999995E-2</v>
        <stp/>
        <stp>##V3_BDHV12</stp>
        <stp>JY0003M Index</stp>
        <stp>PX_LAST</stp>
        <stp>30/01/2019</stp>
        <stp>30/01/2019</stp>
        <stp>[RV_LINE_PRICER.xlsm]FixingTables!R13C21</stp>
        <tr r="U13" s="5"/>
      </tp>
      <tp>
        <v>-0.10867</v>
        <stp/>
        <stp>##V3_BDHV12</stp>
        <stp>JY0003M Index</stp>
        <stp>PX_LAST</stp>
        <stp>10/12/2018</stp>
        <stp>10/12/2018</stp>
        <stp>[RV_LINE_PRICER.xlsm]FixingTables!R46C21</stp>
        <tr r="U46" s="5"/>
      </tp>
      <tp>
        <v>-9.1829999999999995E-2</v>
        <stp/>
        <stp>##V3_BDHV12</stp>
        <stp>JY0003M Index</stp>
        <stp>PX_LAST</stp>
        <stp>30/10/2018</stp>
        <stp>30/10/2018</stp>
        <stp>[RV_LINE_PRICER.xlsm]FixingTables!R75C21</stp>
        <tr r="U75" s="5"/>
      </tp>
      <tp>
        <v>-0.10933</v>
        <stp/>
        <stp>##V3_BDHV12</stp>
        <stp>JY0003M Index</stp>
        <stp>PX_LAST</stp>
        <stp>20/11/2018</stp>
        <stp>20/11/2018</stp>
        <stp>[RV_LINE_PRICER.xlsm]FixingTables!R60C21</stp>
        <tr r="U60" s="5"/>
      </tp>
      <tp>
        <v>-0.11416999999999999</v>
        <stp/>
        <stp>##V3_BDHV12</stp>
        <stp>JY0003M Index</stp>
        <stp>PX_LAST</stp>
        <stp>11/12/2018</stp>
        <stp>11/12/2018</stp>
        <stp>[RV_LINE_PRICER.xlsm]FixingTables!R45C21</stp>
        <tr r="U45" s="5"/>
      </tp>
      <tp>
        <v>-0.11067</v>
        <stp/>
        <stp>##V3_BDHV12</stp>
        <stp>JY0003M Index</stp>
        <stp>PX_LAST</stp>
        <stp>21/11/2018</stp>
        <stp>21/11/2018</stp>
        <stp>[RV_LINE_PRICER.xlsm]FixingTables!R59C21</stp>
        <tr r="U59" s="5"/>
      </tp>
      <tp>
        <v>-8.6330000000000004E-2</v>
        <stp/>
        <stp>##V3_BDHV12</stp>
        <stp>JY0003M Index</stp>
        <stp>PX_LAST</stp>
        <stp>31/10/2018</stp>
        <stp>31/10/2018</stp>
        <stp>[RV_LINE_PRICER.xlsm]FixingTables!R74C21</stp>
        <tr r="U74" s="5"/>
      </tp>
      <tp>
        <v>-0.10917</v>
        <stp/>
        <stp>##V3_BDHV12</stp>
        <stp>JY0003M Index</stp>
        <stp>PX_LAST</stp>
        <stp>22/11/2018</stp>
        <stp>22/11/2018</stp>
        <stp>[RV_LINE_PRICER.xlsm]FixingTables!R58C21</stp>
        <tr r="U58" s="5"/>
      </tp>
      <tp>
        <v>-0.11749999999999999</v>
        <stp/>
        <stp>##V3_BDHV12</stp>
        <stp>JY0003M Index</stp>
        <stp>PX_LAST</stp>
        <stp>12/12/2018</stp>
        <stp>12/12/2018</stp>
        <stp>[RV_LINE_PRICER.xlsm]FixingTables!R44C21</stp>
        <tr r="U44" s="5"/>
      </tp>
      <tp>
        <v>-0.10917</v>
        <stp/>
        <stp>##V3_BDHV12</stp>
        <stp>JY0003M Index</stp>
        <stp>PX_LAST</stp>
        <stp>13/12/2018</stp>
        <stp>13/12/2018</stp>
        <stp>[RV_LINE_PRICER.xlsm]FixingTables!R43C21</stp>
        <tr r="U43" s="5"/>
      </tp>
      <tp>
        <v>-0.10783</v>
        <stp/>
        <stp>##V3_BDHV12</stp>
        <stp>JY0003M Index</stp>
        <stp>PX_LAST</stp>
        <stp>23/11/2018</stp>
        <stp>23/11/2018</stp>
        <stp>[RV_LINE_PRICER.xlsm]FixingTables!R57C21</stp>
        <tr r="U57" s="5"/>
      </tp>
      <tp>
        <v>-0.11466999999999999</v>
        <stp/>
        <stp>##V3_BDHV12</stp>
        <stp>JY0003M Index</stp>
        <stp>PX_LAST</stp>
        <stp>28/11/2018</stp>
        <stp>28/11/2018</stp>
        <stp>[RV_LINE_PRICER.xlsm]FixingTables!R54C21</stp>
        <tr r="U54" s="5"/>
      </tp>
      <tp>
        <v>-9.2829999999999996E-2</v>
        <stp/>
        <stp>##V3_BDHV12</stp>
        <stp>JY0003M Index</stp>
        <stp>PX_LAST</stp>
        <stp>18/12/2018</stp>
        <stp>18/12/2018</stp>
        <stp>[RV_LINE_PRICER.xlsm]FixingTables!R40C21</stp>
        <tr r="U40" s="5"/>
      </tp>
      <tp>
        <v>-9.2499999999999999E-2</v>
        <stp/>
        <stp>##V3_BDHV12</stp>
        <stp>JY0003M Index</stp>
        <stp>PX_LAST</stp>
        <stp>19/12/2018</stp>
        <stp>19/12/2018</stp>
        <stp>[RV_LINE_PRICER.xlsm]FixingTables!R39C21</stp>
        <tr r="U39" s="5"/>
      </tp>
      <tp>
        <v>-0.111</v>
        <stp/>
        <stp>##V3_BDHV12</stp>
        <stp>JY0003M Index</stp>
        <stp>PX_LAST</stp>
        <stp>29/11/2018</stp>
        <stp>29/11/2018</stp>
        <stp>[RV_LINE_PRICER.xlsm]FixingTables!R53C21</stp>
        <tr r="U53" s="5"/>
      </tp>
      <tp t="s">
        <v>16/12/2012</v>
        <stp/>
        <stp>##V3_BDPV12</stp>
        <stp>PPOE027W1 Corp</stp>
        <stp>FIRST_CPN_DT</stp>
        <stp>[RV_LINE_PRICER.xlsm]FixedBonds!R11C204</stp>
        <tr r="GV11" s="1"/>
      </tp>
      <tp t="b">
        <v>0</v>
        <stp/>
        <stp>##V3_BDPV12</stp>
        <stp/>
        <stp>CPN</stp>
        <stp>[RV_LINE_PRICER.xlsm]XccyFixedBonds!R26C47</stp>
        <tr r="AU26" s="16"/>
        <tr r="AU26" s="16"/>
      </tp>
      <tp t="b">
        <v>0</v>
        <stp/>
        <stp>##V3_BDPV12</stp>
        <stp/>
        <stp>CPN</stp>
        <stp>[RV_LINE_PRICER.xlsm]XccyFixedBonds!R24C47</stp>
        <tr r="AU24" s="16"/>
        <tr r="AU24" s="16"/>
      </tp>
      <tp t="b">
        <v>0</v>
        <stp/>
        <stp>##V3_BDPV12</stp>
        <stp/>
        <stp>CPN</stp>
        <stp>[RV_LINE_PRICER.xlsm]XccyFixedBonds!R25C47</stp>
        <tr r="AU25" s="16"/>
        <tr r="AU25" s="16"/>
      </tp>
      <tp t="b">
        <v>0</v>
        <stp/>
        <stp>##V3_BDPV12</stp>
        <stp/>
        <stp>CPN</stp>
        <stp>[RV_LINE_PRICER.xlsm]XccyFixedBonds!R22C47</stp>
        <tr r="AU22" s="16"/>
        <tr r="AU22" s="16"/>
      </tp>
      <tp t="b">
        <v>0</v>
        <stp/>
        <stp>##V3_BDPV12</stp>
        <stp/>
        <stp>CPN</stp>
        <stp>[RV_LINE_PRICER.xlsm]XccyFixedBonds!R23C47</stp>
        <tr r="AU23" s="16"/>
        <tr r="AU23" s="16"/>
      </tp>
      <tp t="b">
        <v>0</v>
        <stp/>
        <stp>##V3_BDPV12</stp>
        <stp/>
        <stp>CPN</stp>
        <stp>[RV_LINE_PRICER.xlsm]XccyFixedBonds!R20C47</stp>
        <tr r="AU20" s="16"/>
        <tr r="AU20" s="16"/>
      </tp>
      <tp t="b">
        <v>0</v>
        <stp/>
        <stp>##V3_BDPV12</stp>
        <stp/>
        <stp>CPN</stp>
        <stp>[RV_LINE_PRICER.xlsm]XccyFixedBonds!R21C47</stp>
        <tr r="AU21" s="16"/>
        <tr r="AU21" s="16"/>
      </tp>
      <tp t="b">
        <v>0</v>
        <stp/>
        <stp>##V3_BDPV12</stp>
        <stp/>
        <stp>CPN</stp>
        <stp>[RV_LINE_PRICER.xlsm]XccyFixedBonds!R18C47</stp>
        <tr r="AU18" s="16"/>
        <tr r="AU18" s="16"/>
      </tp>
      <tp t="b">
        <v>0</v>
        <stp/>
        <stp>##V3_BDPV12</stp>
        <stp/>
        <stp>CPN</stp>
        <stp>[RV_LINE_PRICER.xlsm]XccyFixedBonds!R19C47</stp>
        <tr r="AU19" s="16"/>
        <tr r="AU19" s="16"/>
      </tp>
      <tp t="b">
        <v>0</v>
        <stp/>
        <stp>##V3_BDPV12</stp>
        <stp/>
        <stp>CPN</stp>
        <stp>[RV_LINE_PRICER.xlsm]XccyFixedBonds!R16C47</stp>
        <tr r="AU16" s="16"/>
        <tr r="AU16" s="16"/>
      </tp>
      <tp t="b">
        <v>0</v>
        <stp/>
        <stp>##V3_BDPV12</stp>
        <stp/>
        <stp>CPN</stp>
        <stp>[RV_LINE_PRICER.xlsm]XccyFixedBonds!R17C47</stp>
        <tr r="AU17" s="16"/>
        <tr r="AU17" s="16"/>
      </tp>
      <tp t="b">
        <v>0</v>
        <stp/>
        <stp>##V3_BDPV12</stp>
        <stp/>
        <stp>CPN</stp>
        <stp>[RV_LINE_PRICER.xlsm]XccyFixedBonds!R14C47</stp>
        <tr r="AU14" s="16"/>
        <tr r="AU14" s="16"/>
      </tp>
      <tp t="b">
        <v>0</v>
        <stp/>
        <stp>##V3_BDPV12</stp>
        <stp/>
        <stp>CPN</stp>
        <stp>[RV_LINE_PRICER.xlsm]XccyFixedBonds!R15C47</stp>
        <tr r="AU15" s="16"/>
        <tr r="AU15" s="16"/>
      </tp>
      <tp t="b">
        <v>0</v>
        <stp/>
        <stp>##V3_BDPV12</stp>
        <stp/>
        <stp>CPN</stp>
        <stp>[RV_LINE_PRICER.xlsm]XccyFixedBonds!R12C47</stp>
        <tr r="AU12" s="16"/>
        <tr r="AU12" s="16"/>
      </tp>
      <tp t="b">
        <v>0</v>
        <stp/>
        <stp>##V3_BDPV12</stp>
        <stp/>
        <stp>CPN</stp>
        <stp>[RV_LINE_PRICER.xlsm]XccyFixedBonds!R13C47</stp>
        <tr r="AU13" s="16"/>
        <tr r="AU13" s="16"/>
      </tp>
      <tp t="s">
        <v>29/12/2020</v>
        <stp/>
        <stp>##V3_BDPV12</stp>
        <stp>XS1339542364 Corp</stp>
        <stp>MATURITY</stp>
        <stp>[RV_LINE_PRICER.xlsm]FixedBondSingle!R24C22</stp>
        <tr r="V24" s="22"/>
      </tp>
      <tp>
        <v>2.4445600000000001</v>
        <stp/>
        <stp>##V3_BDHV12</stp>
        <stp>US0003M Index</stp>
        <stp>PX_LAST</stp>
        <stp>16/10/2018</stp>
        <stp>16/10/2018</stp>
        <stp>[RV_LINE_PRICER.xlsm]FixingTables!R83C9</stp>
        <tr r="I83" s="5"/>
      </tp>
      <tp>
        <v>2.7803100000000001</v>
        <stp/>
        <stp>##V3_BDHV12</stp>
        <stp>US0003M Index</stp>
        <stp>PX_LAST</stp>
        <stp>16/01/2019</stp>
        <stp>16/01/2019</stp>
        <stp>[RV_LINE_PRICER.xlsm]FixingTables!R22C9</stp>
        <tr r="I22" s="5"/>
      </tp>
      <tp>
        <v>2.8076300000000001</v>
        <stp/>
        <stp>##V3_BDHV12</stp>
        <stp>US0003M Index</stp>
        <stp>PX_LAST</stp>
        <stp>31/12/2018</stp>
        <stp>31/12/2018</stp>
        <stp>[RV_LINE_PRICER.xlsm]FixingTables!R33C9</stp>
        <tr r="I33" s="5"/>
      </tp>
      <tp>
        <v>2.629</v>
        <stp/>
        <stp>##V3_BDHV12</stp>
        <stp>US0003M Index</stp>
        <stp>PX_LAST</stp>
        <stp>14/11/2018</stp>
        <stp>14/11/2018</stp>
        <stp>[RV_LINE_PRICER.xlsm]FixingTables!R63C9</stp>
        <tr r="I63" s="5"/>
      </tp>
      <tp>
        <v>2.3981300000000001</v>
        <stp/>
        <stp>##V3_BDHV12</stp>
        <stp>US0003M Index</stp>
        <stp>PX_LAST</stp>
        <stp>01/10/2018</stp>
        <stp>01/10/2018</stp>
        <stp>[RV_LINE_PRICER.xlsm]FixingTables!R93C9</stp>
        <tr r="I93" s="5"/>
      </tp>
      <tp>
        <v>2.7938800000000001</v>
        <stp/>
        <stp>##V3_BDHV12</stp>
        <stp>US0003M Index</stp>
        <stp>PX_LAST</stp>
        <stp>02/01/2019</stp>
        <stp>02/01/2019</stp>
        <stp>[RV_LINE_PRICER.xlsm]FixingTables!R32C9</stp>
        <tr r="I32" s="5"/>
      </tp>
      <tp>
        <v>2.73813</v>
        <stp/>
        <stp>##V3_BDHV12</stp>
        <stp>US0003M Index</stp>
        <stp>PX_LAST</stp>
        <stp>29/11/2018</stp>
        <stp>29/11/2018</stp>
        <stp>[RV_LINE_PRICER.xlsm]FixingTables!R53C9</stp>
        <tr r="I53" s="5"/>
      </tp>
      <tp>
        <v>2.7881900000000002</v>
        <stp/>
        <stp>##V3_BDHV12</stp>
        <stp>US0003M Index</stp>
        <stp>PX_LAST</stp>
        <stp>13/12/2018</stp>
        <stp>13/12/2018</stp>
        <stp>[RV_LINE_PRICER.xlsm]FixingTables!R43C9</stp>
        <tr r="I43" s="5"/>
      </tp>
      <tp>
        <v>2.5409999999999999</v>
        <stp/>
        <stp>##V3_BDHV12</stp>
        <stp>US0003M Index</stp>
        <stp>PX_LAST</stp>
        <stp>30/10/2018</stp>
        <stp>30/10/2018</stp>
        <stp>[RV_LINE_PRICER.xlsm]FixingTables!R73C9</stp>
        <tr r="I73" s="5"/>
      </tp>
      <tp>
        <v>-0.11817</v>
        <stp/>
        <stp>##V3_BDHV12</stp>
        <stp>JY0003M Index</stp>
        <stp>PX_LAST</stp>
        <stp>05/12/2018</stp>
        <stp>05/12/2018</stp>
        <stp>[RV_LINE_PRICER.xlsm]FixingTables!R49C21</stp>
        <tr r="U49" s="5"/>
      </tp>
      <tp>
        <v>-9.5170000000000005E-2</v>
        <stp/>
        <stp>##V3_BDHV12</stp>
        <stp>JY0003M Index</stp>
        <stp>PX_LAST</stp>
        <stp>25/10/2018</stp>
        <stp>25/10/2018</stp>
        <stp>[RV_LINE_PRICER.xlsm]FixingTables!R78C21</stp>
        <tr r="U78" s="5"/>
      </tp>
      <tp>
        <v>-8.5669999999999996E-2</v>
        <stp/>
        <stp>##V3_BDHV12</stp>
        <stp>JY0003M Index</stp>
        <stp>PX_LAST</stp>
        <stp>25/01/2019</stp>
        <stp>25/01/2019</stp>
        <stp>[RV_LINE_PRICER.xlsm]FixingTables!R15C21</stp>
        <tr r="U15" s="5"/>
      </tp>
      <tp>
        <v>-0.11749999999999999</v>
        <stp/>
        <stp>##V3_BDHV12</stp>
        <stp>JY0003M Index</stp>
        <stp>PX_LAST</stp>
        <stp>04/12/2018</stp>
        <stp>04/12/2018</stp>
        <stp>[RV_LINE_PRICER.xlsm]FixingTables!R50C21</stp>
        <tr r="U50" s="5"/>
      </tp>
      <tp>
        <v>-8.9829999999999993E-2</v>
        <stp/>
        <stp>##V3_BDHV12</stp>
        <stp>JY0003M Index</stp>
        <stp>PX_LAST</stp>
        <stp>24/10/2018</stp>
        <stp>24/10/2018</stp>
        <stp>[RV_LINE_PRICER.xlsm]FixingTables!R79C21</stp>
        <tr r="U79" s="5"/>
      </tp>
      <tp>
        <v>-8.6330000000000004E-2</v>
        <stp/>
        <stp>##V3_BDHV12</stp>
        <stp>JY0003M Index</stp>
        <stp>PX_LAST</stp>
        <stp>24/01/2019</stp>
        <stp>24/01/2019</stp>
        <stp>[RV_LINE_PRICER.xlsm]FixingTables!R16C21</stp>
        <tr r="U16" s="5"/>
      </tp>
      <tp>
        <v>-0.11383</v>
        <stp/>
        <stp>##V3_BDHV12</stp>
        <stp>JY0003M Index</stp>
        <stp>PX_LAST</stp>
        <stp>07/12/2018</stp>
        <stp>07/12/2018</stp>
        <stp>[RV_LINE_PRICER.xlsm]FixingTables!R47C21</stp>
        <tr r="U47" s="5"/>
      </tp>
      <tp>
        <v>-9.5500000000000002E-2</v>
        <stp/>
        <stp>##V3_BDHV12</stp>
        <stp>JY0003M Index</stp>
        <stp>PX_LAST</stp>
        <stp>26/10/2018</stp>
        <stp>26/10/2018</stp>
        <stp>[RV_LINE_PRICER.xlsm]FixingTables!R77C21</stp>
        <tr r="U77" s="5"/>
      </tp>
      <tp>
        <v>-0.11917</v>
        <stp/>
        <stp>##V3_BDHV12</stp>
        <stp>JY0003M Index</stp>
        <stp>PX_LAST</stp>
        <stp>06/12/2018</stp>
        <stp>06/12/2018</stp>
        <stp>[RV_LINE_PRICER.xlsm]FixingTables!R48C21</stp>
        <tr r="U48" s="5"/>
      </tp>
      <tp>
        <v>-7.8829999999999997E-2</v>
        <stp/>
        <stp>##V3_BDHV12</stp>
        <stp>JY0003M Index</stp>
        <stp>PX_LAST</stp>
        <stp>21/01/2019</stp>
        <stp>21/01/2019</stp>
        <stp>[RV_LINE_PRICER.xlsm]FixingTables!R19C21</stp>
        <tr r="U19" s="5"/>
      </tp>
      <tp>
        <v>-0.11550000000000001</v>
        <stp/>
        <stp>##V3_BDHV12</stp>
        <stp>JY0003M Index</stp>
        <stp>PX_LAST</stp>
        <stp>30/11/2018</stp>
        <stp>30/11/2018</stp>
        <stp>[RV_LINE_PRICER.xlsm]FixingTables!R52C21</stp>
        <tr r="U52" s="5"/>
      </tp>
      <tp>
        <v>-8.967E-2</v>
        <stp/>
        <stp>##V3_BDHV12</stp>
        <stp>JY0003M Index</stp>
        <stp>PX_LAST</stp>
        <stp>23/01/2019</stp>
        <stp>23/01/2019</stp>
        <stp>[RV_LINE_PRICER.xlsm]FixingTables!R17C21</stp>
        <tr r="U17" s="5"/>
      </tp>
      <tp>
        <v>-0.11466999999999999</v>
        <stp/>
        <stp>##V3_BDHV12</stp>
        <stp>JY0003M Index</stp>
        <stp>PX_LAST</stp>
        <stp>03/12/2018</stp>
        <stp>03/12/2018</stp>
        <stp>[RV_LINE_PRICER.xlsm]FixingTables!R51C21</stp>
        <tr r="U51" s="5"/>
      </tp>
      <tp>
        <v>-9.4329999999999997E-2</v>
        <stp/>
        <stp>##V3_BDHV12</stp>
        <stp>JY0003M Index</stp>
        <stp>PX_LAST</stp>
        <stp>23/10/2018</stp>
        <stp>23/10/2018</stp>
        <stp>[RV_LINE_PRICER.xlsm]FixingTables!R80C21</stp>
        <tr r="U80" s="5"/>
      </tp>
      <tp>
        <v>-7.8E-2</v>
        <stp/>
        <stp>##V3_BDHV12</stp>
        <stp>JY0003M Index</stp>
        <stp>PX_LAST</stp>
        <stp>22/01/2019</stp>
        <stp>22/01/2019</stp>
        <stp>[RV_LINE_PRICER.xlsm]FixingTables!R18C21</stp>
        <tr r="U18" s="5"/>
      </tp>
      <tp>
        <v>-9.1329999999999995E-2</v>
        <stp/>
        <stp>##V3_BDHV12</stp>
        <stp>JY0003M Index</stp>
        <stp>PX_LAST</stp>
        <stp>22/10/2018</stp>
        <stp>22/10/2018</stp>
        <stp>[RV_LINE_PRICER.xlsm]FixingTables!R81C21</stp>
        <tr r="U81" s="5"/>
      </tp>
      <tp>
        <v>-7.4499999999999997E-2</v>
        <stp/>
        <stp>##V3_BDHV12</stp>
        <stp>JY0003M Index</stp>
        <stp>PX_LAST</stp>
        <stp>29/01/2019</stp>
        <stp>29/01/2019</stp>
        <stp>[RV_LINE_PRICER.xlsm]FixingTables!R14C21</stp>
        <tr r="U14" s="5"/>
      </tp>
      <tp>
        <v>-0.09</v>
        <stp/>
        <stp>##V3_BDHV12</stp>
        <stp>JY0003M Index</stp>
        <stp>PX_LAST</stp>
        <stp>29/10/2018</stp>
        <stp>29/10/2018</stp>
        <stp>[RV_LINE_PRICER.xlsm]FixingTables!R76C21</stp>
        <tr r="U76" s="5"/>
      </tp>
      <tp t="s">
        <v>29/12/2015</v>
        <stp/>
        <stp>##V3_BDPV12</stp>
        <stp>XS1339542364 Corp</stp>
        <stp>INT_ACC_DT</stp>
        <stp>[RV_LINE_PRICER.xlsm]FixedBonds!R7C203</stp>
        <tr r="GU7" s="1"/>
      </tp>
      <tp>
        <v>3.2</v>
        <stp/>
        <stp>##V3_BDPV12</stp>
        <stp>USJ46186BC59 Corp</stp>
        <stp>CPN</stp>
        <stp>[RV_LINE_PRICER.xlsm]XccyFixedBonds!R7C47</stp>
        <tr r="AU7" s="16"/>
        <tr r="AU7" s="16"/>
      </tp>
      <tp>
        <v>3.2</v>
        <stp/>
        <stp>##V3_BDPV12</stp>
        <stp>USJ46186BC59 Corp</stp>
        <stp>CPN</stp>
        <stp>[RV_LINE_PRICER.xlsm]XccyFixedBonds!R8C47</stp>
        <tr r="AU8" s="16"/>
        <tr r="AU8" s="16"/>
      </tp>
      <tp>
        <v>3.2</v>
        <stp/>
        <stp>##V3_BDPV12</stp>
        <stp>USJ46186BC59 Corp</stp>
        <stp>CPN</stp>
        <stp>[RV_LINE_PRICER.xlsm]XccyFixedBonds!R9C47</stp>
        <tr r="AU9" s="16"/>
        <tr r="AU9" s="16"/>
      </tp>
      <tp>
        <v>2.4771900000000002</v>
        <stp/>
        <stp>##V3_BDHV12</stp>
        <stp>US0003M Index</stp>
        <stp>PX_LAST</stp>
        <stp>19/10/2018</stp>
        <stp>19/10/2018</stp>
        <stp>[RV_LINE_PRICER.xlsm]FixingTables!R80C9</stp>
        <tr r="I80" s="5"/>
      </tp>
      <tp>
        <v>2.7757499999999999</v>
        <stp/>
        <stp>##V3_BDHV12</stp>
        <stp>US0003M Index</stp>
        <stp>PX_LAST</stp>
        <stp>17/01/2019</stp>
        <stp>17/01/2019</stp>
        <stp>[RV_LINE_PRICER.xlsm]FixingTables!R21C9</stp>
        <tr r="I21" s="5"/>
      </tp>
      <tp>
        <v>2.5923799999999999</v>
        <stp/>
        <stp>##V3_BDHV12</stp>
        <stp>US0003M Index</stp>
        <stp>PX_LAST</stp>
        <stp>02/11/2018</stp>
        <stp>02/11/2018</stp>
        <stp>[RV_LINE_PRICER.xlsm]FixingTables!R70C9</stp>
        <tr r="I70" s="5"/>
      </tp>
      <tp>
        <v>2.64581</v>
        <stp/>
        <stp>##V3_BDHV12</stp>
        <stp>US0003M Index</stp>
        <stp>PX_LAST</stp>
        <stp>19/11/2018</stp>
        <stp>19/11/2018</stp>
        <stp>[RV_LINE_PRICER.xlsm]FixingTables!R60C9</stp>
        <tr r="I60" s="5"/>
      </tp>
      <tp>
        <v>2.4096299999999999</v>
        <stp/>
        <stp>##V3_BDHV12</stp>
        <stp>US0003M Index</stp>
        <stp>PX_LAST</stp>
        <stp>04/10/2018</stp>
        <stp>04/10/2018</stp>
        <stp>[RV_LINE_PRICER.xlsm]FixingTables!R90C9</stp>
        <tr r="I90" s="5"/>
      </tp>
      <tp>
        <v>2.7949999999999999</v>
        <stp/>
        <stp>##V3_BDHV12</stp>
        <stp>US0003M Index</stp>
        <stp>PX_LAST</stp>
        <stp>03/01/2019</stp>
        <stp>03/01/2019</stp>
        <stp>[RV_LINE_PRICER.xlsm]FixingTables!R31C9</stp>
        <tr r="I31" s="5"/>
      </tp>
      <tp>
        <v>2.7919999999999998</v>
        <stp/>
        <stp>##V3_BDHV12</stp>
        <stp>US0003M Index</stp>
        <stp>PX_LAST</stp>
        <stp>18/12/2018</stp>
        <stp>18/12/2018</stp>
        <stp>[RV_LINE_PRICER.xlsm]FixingTables!R40C9</stp>
        <tr r="I40" s="5"/>
      </tp>
      <tp>
        <v>2.73888</v>
        <stp/>
        <stp>##V3_BDHV12</stp>
        <stp>US0003M Index</stp>
        <stp>PX_LAST</stp>
        <stp>04/12/2018</stp>
        <stp>04/12/2018</stp>
        <stp>[RV_LINE_PRICER.xlsm]FixingTables!R50C9</stp>
        <tr r="I50" s="5"/>
      </tp>
      <tp>
        <v>-9.4829999999999998E-2</v>
        <stp/>
        <stp>##V3_BDHV12</stp>
        <stp>JY0003M Index</stp>
        <stp>PX_LAST</stp>
        <stp>06/11/2018</stp>
        <stp>06/11/2018</stp>
        <stp>[RV_LINE_PRICER.xlsm]FixingTables!R70C21</stp>
        <tr r="U70" s="5"/>
      </tp>
      <tp>
        <v>-7.7499999999999999E-2</v>
        <stp/>
        <stp>##V3_BDHV12</stp>
        <stp>JY0003M Index</stp>
        <stp>PX_LAST</stp>
        <stp>16/01/2019</stp>
        <stp>16/01/2019</stp>
        <stp>[RV_LINE_PRICER.xlsm]FixingTables!R22C21</stp>
        <tr r="U22" s="5"/>
      </tp>
      <tp>
        <v>-8.3500000000000005E-2</v>
        <stp/>
        <stp>##V3_BDHV12</stp>
        <stp>JY0003M Index</stp>
        <stp>PX_LAST</stp>
        <stp>16/10/2018</stp>
        <stp>16/10/2018</stp>
        <stp>[RV_LINE_PRICER.xlsm]FixingTables!R85C21</stp>
        <tr r="U85" s="5"/>
      </tp>
      <tp>
        <v>-9.9500000000000005E-2</v>
        <stp/>
        <stp>##V3_BDHV12</stp>
        <stp>JY0003M Index</stp>
        <stp>PX_LAST</stp>
        <stp>07/11/2018</stp>
        <stp>07/11/2018</stp>
        <stp>[RV_LINE_PRICER.xlsm]FixingTables!R69C21</stp>
        <tr r="U69" s="5"/>
      </tp>
      <tp>
        <v>-8.3169999999999994E-2</v>
        <stp/>
        <stp>##V3_BDHV12</stp>
        <stp>JY0003M Index</stp>
        <stp>PX_LAST</stp>
        <stp>17/01/2019</stp>
        <stp>17/01/2019</stp>
        <stp>[RV_LINE_PRICER.xlsm]FixingTables!R21C21</stp>
        <tr r="U21" s="5"/>
      </tp>
      <tp>
        <v>-8.3500000000000005E-2</v>
        <stp/>
        <stp>##V3_BDHV12</stp>
        <stp>JY0003M Index</stp>
        <stp>PX_LAST</stp>
        <stp>17/10/2018</stp>
        <stp>17/10/2018</stp>
        <stp>[RV_LINE_PRICER.xlsm]FixingTables!R84C21</stp>
        <tr r="U84" s="5"/>
      </tp>
      <tp>
        <v>-6.6500000000000004E-2</v>
        <stp/>
        <stp>##V3_BDHV12</stp>
        <stp>JY0003M Index</stp>
        <stp>PX_LAST</stp>
        <stp>14/01/2019</stp>
        <stp>14/01/2019</stp>
        <stp>[RV_LINE_PRICER.xlsm]FixingTables!R24C21</stp>
        <tr r="U24" s="5"/>
      </tp>
      <tp>
        <v>-9.4E-2</v>
        <stp/>
        <stp>##V3_BDHV12</stp>
        <stp>JY0003M Index</stp>
        <stp>PX_LAST</stp>
        <stp>05/11/2018</stp>
        <stp>05/11/2018</stp>
        <stp>[RV_LINE_PRICER.xlsm]FixingTables!R71C21</stp>
        <tr r="U71" s="5"/>
      </tp>
      <tp>
        <v>-7.0169999999999996E-2</v>
        <stp/>
        <stp>##V3_BDHV12</stp>
        <stp>JY0003M Index</stp>
        <stp>PX_LAST</stp>
        <stp>15/01/2019</stp>
        <stp>15/01/2019</stp>
        <stp>[RV_LINE_PRICER.xlsm]FixingTables!R23C21</stp>
        <tr r="U23" s="5"/>
      </tp>
      <tp>
        <v>-8.7999999999999995E-2</v>
        <stp/>
        <stp>##V3_BDHV12</stp>
        <stp>JY0003M Index</stp>
        <stp>PX_LAST</stp>
        <stp>15/10/2018</stp>
        <stp>15/10/2018</stp>
        <stp>[RV_LINE_PRICER.xlsm]FixingTables!R86C21</stp>
        <tr r="U86" s="5"/>
      </tp>
      <tp>
        <v>-9.5170000000000005E-2</v>
        <stp/>
        <stp>##V3_BDHV12</stp>
        <stp>JY0003M Index</stp>
        <stp>PX_LAST</stp>
        <stp>02/11/2018</stp>
        <stp>02/11/2018</stp>
        <stp>[RV_LINE_PRICER.xlsm]FixingTables!R72C21</stp>
        <tr r="U72" s="5"/>
      </tp>
      <tp>
        <v>-9.0829999999999994E-2</v>
        <stp/>
        <stp>##V3_BDHV12</stp>
        <stp>JY0003M Index</stp>
        <stp>PX_LAST</stp>
        <stp>12/10/2018</stp>
        <stp>12/10/2018</stp>
        <stp>[RV_LINE_PRICER.xlsm]FixingTables!R87C21</stp>
        <tr r="U87" s="5"/>
      </tp>
      <tp>
        <v>-6.583E-2</v>
        <stp/>
        <stp>##V3_BDHV12</stp>
        <stp>JY0003M Index</stp>
        <stp>PX_LAST</stp>
        <stp>10/01/2019</stp>
        <stp>10/01/2019</stp>
        <stp>[RV_LINE_PRICER.xlsm]FixingTables!R26C21</stp>
        <tr r="U26" s="5"/>
      </tp>
      <tp>
        <v>-7.7170000000000002E-2</v>
        <stp/>
        <stp>##V3_BDHV12</stp>
        <stp>JY0003M Index</stp>
        <stp>PX_LAST</stp>
        <stp>10/10/2018</stp>
        <stp>10/10/2018</stp>
        <stp>[RV_LINE_PRICER.xlsm]FixingTables!R89C21</stp>
        <tr r="U89" s="5"/>
      </tp>
      <tp>
        <v>-6.8669999999999995E-2</v>
        <stp/>
        <stp>##V3_BDHV12</stp>
        <stp>JY0003M Index</stp>
        <stp>PX_LAST</stp>
        <stp>11/01/2019</stp>
        <stp>11/01/2019</stp>
        <stp>[RV_LINE_PRICER.xlsm]FixingTables!R25C21</stp>
        <tr r="U25" s="5"/>
      </tp>
      <tp>
        <v>-7.2669999999999998E-2</v>
        <stp/>
        <stp>##V3_BDHV12</stp>
        <stp>JY0003M Index</stp>
        <stp>PX_LAST</stp>
        <stp>31/12/2018</stp>
        <stp>31/12/2018</stp>
        <stp>[RV_LINE_PRICER.xlsm]FixingTables!R33C21</stp>
        <tr r="U33" s="5"/>
      </tp>
      <tp>
        <v>-8.8830000000000006E-2</v>
        <stp/>
        <stp>##V3_BDHV12</stp>
        <stp>JY0003M Index</stp>
        <stp>PX_LAST</stp>
        <stp>01/11/2018</stp>
        <stp>01/11/2018</stp>
        <stp>[RV_LINE_PRICER.xlsm]FixingTables!R73C21</stp>
        <tr r="U73" s="5"/>
      </tp>
      <tp>
        <v>-8.3169999999999994E-2</v>
        <stp/>
        <stp>##V3_BDHV12</stp>
        <stp>JY0003M Index</stp>
        <stp>PX_LAST</stp>
        <stp>11/10/2018</stp>
        <stp>11/10/2018</stp>
        <stp>[RV_LINE_PRICER.xlsm]FixingTables!R88C21</stp>
        <tr r="U88" s="5"/>
      </tp>
      <tp t="s">
        <v>ISMA-30/360</v>
        <stp/>
        <stp>##V3_BDPV12</stp>
        <stp>XS0423038875 Corp</stp>
        <stp>DAY_CNT_DES</stp>
        <stp>[RV_LINE_PRICER.xlsm]FixedBonds!R9C47</stp>
        <tr r="AU9" s="1"/>
      </tp>
      <tp>
        <v>-8.8999999999999996E-2</v>
        <stp/>
        <stp>##V3_BDHV12</stp>
        <stp>JY0003M Index</stp>
        <stp>PX_LAST</stp>
        <stp>18/10/2018</stp>
        <stp>18/10/2018</stp>
        <stp>[RV_LINE_PRICER.xlsm]FixingTables!R83C21</stp>
        <tr r="U83" s="5"/>
      </tp>
      <tp>
        <v>-8.3169999999999994E-2</v>
        <stp/>
        <stp>##V3_BDHV12</stp>
        <stp>JY0003M Index</stp>
        <stp>PX_LAST</stp>
        <stp>18/01/2019</stp>
        <stp>18/01/2019</stp>
        <stp>[RV_LINE_PRICER.xlsm]FixingTables!R20C21</stp>
        <tr r="U20" s="5"/>
      </tp>
      <tp>
        <v>-0.10349999999999999</v>
        <stp/>
        <stp>##V3_BDHV12</stp>
        <stp>JY0003M Index</stp>
        <stp>PX_LAST</stp>
        <stp>08/11/2018</stp>
        <stp>08/11/2018</stp>
        <stp>[RV_LINE_PRICER.xlsm]FixingTables!R68C21</stp>
        <tr r="U68" s="5"/>
      </tp>
      <tp>
        <v>-9.0670000000000001E-2</v>
        <stp/>
        <stp>##V3_BDHV12</stp>
        <stp>JY0003M Index</stp>
        <stp>PX_LAST</stp>
        <stp>19/10/2018</stp>
        <stp>19/10/2018</stp>
        <stp>[RV_LINE_PRICER.xlsm]FixingTables!R82C21</stp>
        <tr r="U82" s="5"/>
      </tp>
      <tp>
        <v>-0.10333000000000001</v>
        <stp/>
        <stp>##V3_BDHV12</stp>
        <stp>JY0003M Index</stp>
        <stp>PX_LAST</stp>
        <stp>09/11/2018</stp>
        <stp>09/11/2018</stp>
        <stp>[RV_LINE_PRICER.xlsm]FixingTables!R67C21</stp>
        <tr r="U67" s="5"/>
      </tp>
      <tp t="s">
        <v>20/11/2019</v>
        <stp/>
        <stp>##V3_BDPV12</stp>
        <stp>XS1193905160 Corp</stp>
        <stp>PENULTIMATE_CPN_DT</stp>
        <stp>[RV_LINE_PRICER.xlsm]FloatBonds!R8C211</stp>
        <tr r="HC8" s="18"/>
      </tp>
      <tp t="s">
        <v>20/11/2019</v>
        <stp/>
        <stp>##V3_BDPV12</stp>
        <stp>XS1193905160 Corp</stp>
        <stp>PENULTIMATE_CPN_DT</stp>
        <stp>[RV_LINE_PRICER.xlsm]FloatBonds!R9C211</stp>
        <tr r="HC9" s="18"/>
      </tp>
      <tp t="s">
        <v>20/11/2019</v>
        <stp/>
        <stp>##V3_BDPV12</stp>
        <stp>XS1193905160 Corp</stp>
        <stp>PENULTIMATE_CPN_DT</stp>
        <stp>[RV_LINE_PRICER.xlsm]FloatBonds!R7C211</stp>
        <tr r="HC7" s="18"/>
      </tp>
      <tp t="s">
        <v>29/12/2015</v>
        <stp/>
        <stp>##V3_BDPV12</stp>
        <stp>XS1339542364 Corp</stp>
        <stp>ISSUE_DT</stp>
        <stp>[RV_LINE_PRICER.xlsm]FixedBonds!R7C202</stp>
        <tr r="GT7" s="1"/>
      </tp>
      <tp>
        <v>1.9375</v>
        <stp/>
        <stp>##V3_BDHV12</stp>
        <stp>ADBB3M Index</stp>
        <stp>PX_LAST</stp>
        <stp>27/09/2018</stp>
        <stp>27/09/2018</stp>
        <stp>[RV_LINE_PRICER.xlsm]FixingTables!R97C15</stp>
        <tr r="O97" s="5"/>
      </tp>
      <tp>
        <v>1.94</v>
        <stp/>
        <stp>##V3_BDHV12</stp>
        <stp>ADBB3M Index</stp>
        <stp>PX_LAST</stp>
        <stp>26/09/2018</stp>
        <stp>26/09/2018</stp>
        <stp>[RV_LINE_PRICER.xlsm]FixingTables!R98C15</stp>
        <tr r="O98" s="5"/>
      </tp>
      <tp>
        <v>1.9334</v>
        <stp/>
        <stp>##V3_BDHV12</stp>
        <stp>ADBB3M Index</stp>
        <stp>PX_LAST</stp>
        <stp>25/09/2018</stp>
        <stp>25/09/2018</stp>
        <stp>[RV_LINE_PRICER.xlsm]FixingTables!R99C15</stp>
        <tr r="O99" s="5"/>
      </tp>
      <tp t="s">
        <v>09/12/2011</v>
        <stp/>
        <stp>##V3_BDPV12</stp>
        <stp>USN4578BQA53 Corp</stp>
        <stp>FIRST_CPN_DT</stp>
        <stp>[RV_LINE_PRICER.xlsm]FixedBondSingle!R22C9</stp>
        <tr r="I22" s="22"/>
      </tp>
      <tp>
        <v>1.9287999999999998</v>
        <stp/>
        <stp>##V3_BDHV12</stp>
        <stp>ADBB3M Index</stp>
        <stp>PX_LAST</stp>
        <stp>28/09/2018</stp>
        <stp>28/09/2018</stp>
        <stp>[RV_LINE_PRICER.xlsm]FixingTables!R96C15</stp>
        <tr r="O96" s="5"/>
      </tp>
      <tp>
        <v>2.7610000000000001</v>
        <stp/>
        <stp>##V3_BDHV12</stp>
        <stp>US0003M Index</stp>
        <stp>PX_LAST</stp>
        <stp>18/01/2019</stp>
        <stp>18/01/2019</stp>
        <stp>[RV_LINE_PRICER.xlsm]FixingTables!R20C9</stp>
        <tr r="I20" s="5"/>
      </tp>
      <tp>
        <v>2.4689999999999999</v>
        <stp/>
        <stp>##V3_BDHV12</stp>
        <stp>US0003M Index</stp>
        <stp>PX_LAST</stp>
        <stp>18/10/2018</stp>
        <stp>18/10/2018</stp>
        <stp>[RV_LINE_PRICER.xlsm]FixingTables!R81C9</stp>
        <tr r="I81" s="5"/>
      </tp>
      <tp>
        <v>2.5815000000000001</v>
        <stp/>
        <stp>##V3_BDHV12</stp>
        <stp>US0003M Index</stp>
        <stp>PX_LAST</stp>
        <stp>01/11/2018</stp>
        <stp>01/11/2018</stp>
        <stp>[RV_LINE_PRICER.xlsm]FixingTables!R71C9</stp>
        <tr r="I71" s="5"/>
      </tp>
      <tp>
        <v>2.8038799999999999</v>
        <stp/>
        <stp>##V3_BDHV12</stp>
        <stp>US0003M Index</stp>
        <stp>PX_LAST</stp>
        <stp>04/01/2019</stp>
        <stp>04/01/2019</stp>
        <stp>[RV_LINE_PRICER.xlsm]FixingTables!R30C9</stp>
        <tr r="I30" s="5"/>
      </tp>
      <tp>
        <v>2.6444999999999999</v>
        <stp/>
        <stp>##V3_BDHV12</stp>
        <stp>US0003M Index</stp>
        <stp>PX_LAST</stp>
        <stp>16/11/2018</stp>
        <stp>16/11/2018</stp>
        <stp>[RV_LINE_PRICER.xlsm]FixingTables!R61C9</stp>
        <tr r="I61" s="5"/>
      </tp>
      <tp>
        <v>2.4082499999999998</v>
        <stp/>
        <stp>##V3_BDHV12</stp>
        <stp>US0003M Index</stp>
        <stp>PX_LAST</stp>
        <stp>03/10/2018</stp>
        <stp>03/10/2018</stp>
        <stp>[RV_LINE_PRICER.xlsm]FixingTables!R91C9</stp>
        <tr r="I91" s="5"/>
      </tp>
      <tp t="s">
        <v>FIXED</v>
        <stp/>
        <stp>##V3_BDPV12</stp>
        <stp>XS1339542364 Corp</stp>
        <stp>CPN_TYP</stp>
        <stp>[RV_LINE_PRICER.xlsm]FixedBondSingle!R11C22</stp>
        <tr r="V11" s="22"/>
      </tp>
      <tp>
        <v>2.8036300000000001</v>
        <stp/>
        <stp>##V3_BDHV12</stp>
        <stp>US0003M Index</stp>
        <stp>PX_LAST</stp>
        <stp>17/12/2018</stp>
        <stp>17/12/2018</stp>
        <stp>[RV_LINE_PRICER.xlsm]FixingTables!R41C9</stp>
        <tr r="I41" s="5"/>
      </tp>
      <tp>
        <v>2.7512499999999998</v>
        <stp/>
        <stp>##V3_BDHV12</stp>
        <stp>US0003M Index</stp>
        <stp>PX_LAST</stp>
        <stp>03/12/2018</stp>
        <stp>03/12/2018</stp>
        <stp>[RV_LINE_PRICER.xlsm]FixingTables!R51C9</stp>
        <tr r="I51" s="5"/>
      </tp>
      <tp t="s">
        <v>20/02/2015</v>
        <stp/>
        <stp>##V3_BDPV12</stp>
        <stp>XS1193905160 Corp</stp>
        <stp>ISSUE_DT</stp>
        <stp>[RV_LINE_PRICER.xlsm]FloatBondSingle!R20C22</stp>
        <tr r="V20" s="23"/>
        <tr r="V20" s="23"/>
      </tp>
      <tp>
        <v>-7.1999999999999995E-2</v>
        <stp/>
        <stp>##V3_BDHV12</stp>
        <stp>JY0003M Index</stp>
        <stp>PX_LAST</stp>
        <stp>07/01/2019</stp>
        <stp>07/01/2019</stp>
        <stp>[RV_LINE_PRICER.xlsm]FixingTables!R29C21</stp>
        <tr r="U29" s="5"/>
      </tp>
      <tp>
        <v>-7.1499999999999994E-2</v>
        <stp/>
        <stp>##V3_BDHV12</stp>
        <stp>JY0003M Index</stp>
        <stp>PX_LAST</stp>
        <stp>27/12/2018</stp>
        <stp>27/12/2018</stp>
        <stp>[RV_LINE_PRICER.xlsm]FixingTables!R35C21</stp>
        <tr r="U35" s="5"/>
      </tp>
      <tp>
        <v>-0.10532999999999999</v>
        <stp/>
        <stp>##V3_BDHV12</stp>
        <stp>JY0003M Index</stp>
        <stp>PX_LAST</stp>
        <stp>16/11/2018</stp>
        <stp>16/11/2018</stp>
        <stp>[RV_LINE_PRICER.xlsm]FixingTables!R62C21</stp>
        <tr r="U62" s="5"/>
      </tp>
      <tp>
        <v>-0.11017</v>
        <stp/>
        <stp>##V3_BDHV12</stp>
        <stp>JY0003M Index</stp>
        <stp>PX_LAST</stp>
        <stp>15/11/2018</stp>
        <stp>15/11/2018</stp>
        <stp>[RV_LINE_PRICER.xlsm]FixingTables!R63C21</stp>
        <tr r="U63" s="5"/>
      </tp>
      <tp>
        <v>-6.9169999999999995E-2</v>
        <stp/>
        <stp>##V3_BDHV12</stp>
        <stp>JY0003M Index</stp>
        <stp>PX_LAST</stp>
        <stp>05/10/2018</stp>
        <stp>05/10/2018</stp>
        <stp>[RV_LINE_PRICER.xlsm]FixingTables!R92C21</stp>
        <tr r="U92" s="5"/>
      </tp>
      <tp>
        <v>-0.10617</v>
        <stp/>
        <stp>##V3_BDHV12</stp>
        <stp>JY0003M Index</stp>
        <stp>PX_LAST</stp>
        <stp>14/11/2018</stp>
        <stp>14/11/2018</stp>
        <stp>[RV_LINE_PRICER.xlsm]FixingTables!R64C21</stp>
        <tr r="U64" s="5"/>
      </tp>
      <tp>
        <v>-7.6329999999999995E-2</v>
        <stp/>
        <stp>##V3_BDHV12</stp>
        <stp>JY0003M Index</stp>
        <stp>PX_LAST</stp>
        <stp>24/12/2018</stp>
        <stp>24/12/2018</stp>
        <stp>[RV_LINE_PRICER.xlsm]FixingTables!R36C21</stp>
        <tr r="U36" s="5"/>
      </tp>
      <tp>
        <v>-7.4499999999999997E-2</v>
        <stp/>
        <stp>##V3_BDHV12</stp>
        <stp>JY0003M Index</stp>
        <stp>PX_LAST</stp>
        <stp>04/01/2019</stp>
        <stp>04/01/2019</stp>
        <stp>[RV_LINE_PRICER.xlsm]FixingTables!R30C21</stp>
        <tr r="U30" s="5"/>
      </tp>
      <tp>
        <v>-6.9830000000000003E-2</v>
        <stp/>
        <stp>##V3_BDHV12</stp>
        <stp>JY0003M Index</stp>
        <stp>PX_LAST</stp>
        <stp>04/10/2018</stp>
        <stp>04/10/2018</stp>
        <stp>[RV_LINE_PRICER.xlsm]FixingTables!R93C21</stp>
        <tr r="U93" s="5"/>
      </tp>
      <tp>
        <v>-7.5670000000000001E-2</v>
        <stp/>
        <stp>##V3_BDHV12</stp>
        <stp>JY0003M Index</stp>
        <stp>PX_LAST</stp>
        <stp>03/01/2019</stp>
        <stp>03/01/2019</stp>
        <stp>[RV_LINE_PRICER.xlsm]FixingTables!R31C21</stp>
        <tr r="U31" s="5"/>
      </tp>
      <tp>
        <v>-0.10133</v>
        <stp/>
        <stp>##V3_BDHV12</stp>
        <stp>JY0003M Index</stp>
        <stp>PX_LAST</stp>
        <stp>13/11/2018</stp>
        <stp>13/11/2018</stp>
        <stp>[RV_LINE_PRICER.xlsm]FixingTables!R65C21</stp>
        <tr r="U65" s="5"/>
      </tp>
      <tp>
        <v>-6.5500000000000003E-2</v>
        <stp/>
        <stp>##V3_BDHV12</stp>
        <stp>JY0003M Index</stp>
        <stp>PX_LAST</stp>
        <stp>03/10/2018</stp>
        <stp>03/10/2018</stp>
        <stp>[RV_LINE_PRICER.xlsm]FixingTables!R94C21</stp>
        <tr r="U94" s="5"/>
      </tp>
      <tp>
        <v>-7.3999999999999996E-2</v>
        <stp/>
        <stp>##V3_BDHV12</stp>
        <stp>JY0003M Index</stp>
        <stp>PX_LAST</stp>
        <stp>02/01/2019</stp>
        <stp>02/01/2019</stp>
        <stp>[RV_LINE_PRICER.xlsm]FixingTables!R32C21</stp>
        <tr r="U32" s="5"/>
      </tp>
      <tp>
        <v>-9.8830000000000001E-2</v>
        <stp/>
        <stp>##V3_BDHV12</stp>
        <stp>JY0003M Index</stp>
        <stp>PX_LAST</stp>
        <stp>12/11/2018</stp>
        <stp>12/11/2018</stp>
        <stp>[RV_LINE_PRICER.xlsm]FixingTables!R66C21</stp>
        <tr r="U66" s="5"/>
      </tp>
      <tp>
        <v>-5.8169999999999999E-2</v>
        <stp/>
        <stp>##V3_BDHV12</stp>
        <stp>JY0003M Index</stp>
        <stp>PX_LAST</stp>
        <stp>02/10/2018</stp>
        <stp>02/10/2018</stp>
        <stp>[RV_LINE_PRICER.xlsm]FixingTables!R95C21</stp>
        <tr r="U95" s="5"/>
      </tp>
      <tp>
        <v>-7.5670000000000001E-2</v>
        <stp/>
        <stp>##V3_BDHV12</stp>
        <stp>JY0003M Index</stp>
        <stp>PX_LAST</stp>
        <stp>21/12/2018</stp>
        <stp>21/12/2018</stp>
        <stp>[RV_LINE_PRICER.xlsm]FixingTables!R37C21</stp>
        <tr r="U37" s="5"/>
      </tp>
      <tp>
        <v>-8.5169999999999996E-2</v>
        <stp/>
        <stp>##V3_BDHV12</stp>
        <stp>JY0003M Index</stp>
        <stp>PX_LAST</stp>
        <stp>20/12/2018</stp>
        <stp>20/12/2018</stp>
        <stp>[RV_LINE_PRICER.xlsm]FixingTables!R38C21</stp>
        <tr r="U38" s="5"/>
      </tp>
      <tp>
        <v>-7.5999999999999998E-2</v>
        <stp/>
        <stp>##V3_BDHV12</stp>
        <stp>JY0003M Index</stp>
        <stp>PX_LAST</stp>
        <stp>09/10/2018</stp>
        <stp>09/10/2018</stp>
        <stp>[RV_LINE_PRICER.xlsm]FixingTables!R90C21</stp>
        <tr r="U90" s="5"/>
      </tp>
      <tp>
        <v>-7.3499999999999996E-2</v>
        <stp/>
        <stp>##V3_BDHV12</stp>
        <stp>JY0003M Index</stp>
        <stp>PX_LAST</stp>
        <stp>09/01/2019</stp>
        <stp>09/01/2019</stp>
        <stp>[RV_LINE_PRICER.xlsm]FixingTables!R27C21</stp>
        <tr r="U27" s="5"/>
      </tp>
      <tp>
        <v>-0.10333000000000001</v>
        <stp/>
        <stp>##V3_BDHV12</stp>
        <stp>JY0003M Index</stp>
        <stp>PX_LAST</stp>
        <stp>19/11/2018</stp>
        <stp>19/11/2018</stp>
        <stp>[RV_LINE_PRICER.xlsm]FixingTables!R61C21</stp>
        <tr r="U61" s="5"/>
      </tp>
      <tp>
        <v>-7.2999999999999995E-2</v>
        <stp/>
        <stp>##V3_BDHV12</stp>
        <stp>JY0003M Index</stp>
        <stp>PX_LAST</stp>
        <stp>08/10/2018</stp>
        <stp>08/10/2018</stp>
        <stp>[RV_LINE_PRICER.xlsm]FixingTables!R91C21</stp>
        <tr r="U91" s="5"/>
      </tp>
      <tp>
        <v>-7.1669999999999998E-2</v>
        <stp/>
        <stp>##V3_BDHV12</stp>
        <stp>JY0003M Index</stp>
        <stp>PX_LAST</stp>
        <stp>08/01/2019</stp>
        <stp>08/01/2019</stp>
        <stp>[RV_LINE_PRICER.xlsm]FixingTables!R28C21</stp>
        <tr r="U28" s="5"/>
      </tp>
      <tp>
        <v>-7.5829999999999995E-2</v>
        <stp/>
        <stp>##V3_BDHV12</stp>
        <stp>JY0003M Index</stp>
        <stp>PX_LAST</stp>
        <stp>28/12/2018</stp>
        <stp>28/12/2018</stp>
        <stp>[RV_LINE_PRICER.xlsm]FixingTables!R34C21</stp>
        <tr r="U34" s="5"/>
      </tp>
      <tp t="s">
        <v>22/05/2017</v>
        <stp/>
        <stp>##V3_BDPV12</stp>
        <stp>XS1615075048 Corp</stp>
        <stp>ISSUE_DT</stp>
        <stp>[RV_LINE_PRICER.xlsm]FixedBonds!R9C202</stp>
        <tr r="GT9" s="1"/>
      </tp>
      <tp t="s">
        <v>26/03/2015</v>
        <stp/>
        <stp>##V3_BDPV12</stp>
        <stp>USJ46186BC59 Corp</stp>
        <stp>START_ACC_DT</stp>
        <stp>[RV_LINE_PRICER.xlsm]XccyFixedBonds!R7C43</stp>
        <tr r="AQ7" s="16"/>
        <tr r="AQ7" s="16"/>
      </tp>
      <tp t="s">
        <v>26/03/2015</v>
        <stp/>
        <stp>##V3_BDPV12</stp>
        <stp>USJ46186BC59 Corp</stp>
        <stp>START_ACC_DT</stp>
        <stp>[RV_LINE_PRICER.xlsm]XccyFixedBonds!R9C43</stp>
        <tr r="AQ9" s="16"/>
        <tr r="AQ9" s="16"/>
      </tp>
      <tp t="s">
        <v>26/03/2015</v>
        <stp/>
        <stp>##V3_BDPV12</stp>
        <stp>USJ46186BC59 Corp</stp>
        <stp>START_ACC_DT</stp>
        <stp>[RV_LINE_PRICER.xlsm]XccyFixedBonds!R8C43</stp>
        <tr r="AQ8" s="16"/>
        <tr r="AQ8" s="16"/>
      </tp>
      <tp>
        <v>2.3810000000000002</v>
        <stp/>
        <stp>##V3_BDHV12</stp>
        <stp>US0003M Index</stp>
        <stp>PX_LAST</stp>
        <stp>25/09/2018</stp>
        <stp>25/09/2018</stp>
        <stp>[RV_LINE_PRICER.xlsm]FixingTables!R97C9</stp>
        <tr r="I97" s="5"/>
      </tp>
      <tp>
        <v>2.61463</v>
        <stp/>
        <stp>##V3_BDHV12</stp>
        <stp>US0003M Index</stp>
        <stp>PX_LAST</stp>
        <stp>08/11/2018</stp>
        <stp>08/11/2018</stp>
        <stp>[RV_LINE_PRICER.xlsm]FixingTables!R66C9</stp>
        <tr r="I66" s="5"/>
      </tp>
      <tp>
        <v>2.4363099999999998</v>
        <stp/>
        <stp>##V3_BDHV12</stp>
        <stp>US0003M Index</stp>
        <stp>PX_LAST</stp>
        <stp>11/10/2018</stp>
        <stp>11/10/2018</stp>
        <stp>[RV_LINE_PRICER.xlsm]FixingTables!R86C9</stp>
        <tr r="I86" s="5"/>
      </tp>
      <tp>
        <v>2.79888</v>
        <stp/>
        <stp>##V3_BDHV12</stp>
        <stp>US0003M Index</stp>
        <stp>PX_LAST</stp>
        <stp>09/01/2019</stp>
        <stp>09/01/2019</stp>
        <stp>[RV_LINE_PRICER.xlsm]FixingTables!R27C9</stp>
        <tr r="I27" s="5"/>
      </tp>
      <tp>
        <v>2.8134399999999999</v>
        <stp/>
        <stp>##V3_BDHV12</stp>
        <stp>US0003M Index</stp>
        <stp>PX_LAST</stp>
        <stp>24/12/2018</stp>
        <stp>24/12/2018</stp>
        <stp>[RV_LINE_PRICER.xlsm]FixingTables!R36C9</stp>
        <tr r="I36" s="5"/>
      </tp>
      <tp>
        <v>2.7068099999999999</v>
        <stp/>
        <stp>##V3_BDHV12</stp>
        <stp>US0003M Index</stp>
        <stp>PX_LAST</stp>
        <stp>26/11/2018</stp>
        <stp>26/11/2018</stp>
        <stp>[RV_LINE_PRICER.xlsm]FixingTables!R56C9</stp>
        <tr r="I56" s="5"/>
      </tp>
      <tp>
        <v>2.7759399999999999</v>
        <stp/>
        <stp>##V3_BDHV12</stp>
        <stp>US0003M Index</stp>
        <stp>PX_LAST</stp>
        <stp>10/12/2018</stp>
        <stp>10/12/2018</stp>
        <stp>[RV_LINE_PRICER.xlsm]FixingTables!R46C9</stp>
        <tr r="I46" s="5"/>
      </tp>
      <tp>
        <v>2.7647500000000003</v>
        <stp/>
        <stp>##V3_BDHV12</stp>
        <stp>US0003M Index</stp>
        <stp>PX_LAST</stp>
        <stp>24/01/2019</stp>
        <stp>24/01/2019</stp>
        <stp>[RV_LINE_PRICER.xlsm]FixingTables!R17C9</stp>
        <tr r="I17" s="5"/>
      </tp>
      <tp>
        <v>2.5092499999999998</v>
        <stp/>
        <stp>##V3_BDHV12</stp>
        <stp>US0003M Index</stp>
        <stp>PX_LAST</stp>
        <stp>25/10/2018</stp>
        <stp>25/10/2018</stp>
        <stp>[RV_LINE_PRICER.xlsm]FixingTables!R76C9</stp>
        <tr r="I76" s="5"/>
      </tp>
      <tp>
        <v>-5.1700000000000001E-3</v>
        <stp/>
        <stp>##V3_BDHV12</stp>
        <stp>JY0006M Index</stp>
        <stp>PX_LAST</stp>
        <stp>25/01/2019</stp>
        <stp>25/01/2019</stp>
        <stp>[RV_LINE_PRICER.xlsm]FixingTables!R15C24</stp>
        <tr r="X15" s="5"/>
      </tp>
      <tp>
        <v>-1.0829999999999999E-2</v>
        <stp/>
        <stp>##V3_BDHV12</stp>
        <stp>JY0006M Index</stp>
        <stp>PX_LAST</stp>
        <stp>05/12/2018</stp>
        <stp>05/12/2018</stp>
        <stp>[RV_LINE_PRICER.xlsm]FixingTables!R49C24</stp>
        <tr r="X49" s="5"/>
      </tp>
      <tp>
        <v>1.4670000000000001E-2</v>
        <stp/>
        <stp>##V3_BDHV12</stp>
        <stp>JY0006M Index</stp>
        <stp>PX_LAST</stp>
        <stp>25/10/2018</stp>
        <stp>25/10/2018</stp>
        <stp>[RV_LINE_PRICER.xlsm]FixingTables!R78C24</stp>
        <tr r="X78" s="5"/>
      </tp>
      <tp>
        <v>-5.4999999999999997E-3</v>
        <stp/>
        <stp>##V3_BDHV12</stp>
        <stp>JY0006M Index</stp>
        <stp>PX_LAST</stp>
        <stp>24/01/2019</stp>
        <stp>24/01/2019</stp>
        <stp>[RV_LINE_PRICER.xlsm]FixingTables!R16C24</stp>
        <tr r="X16" s="5"/>
      </tp>
      <tp>
        <v>-7.1700000000000002E-3</v>
        <stp/>
        <stp>##V3_BDHV12</stp>
        <stp>JY0006M Index</stp>
        <stp>PX_LAST</stp>
        <stp>04/12/2018</stp>
        <stp>04/12/2018</stp>
        <stp>[RV_LINE_PRICER.xlsm]FixingTables!R50C24</stp>
        <tr r="X50" s="5"/>
      </tp>
      <tp>
        <v>1.6330000000000001E-2</v>
        <stp/>
        <stp>##V3_BDHV12</stp>
        <stp>JY0006M Index</stp>
        <stp>PX_LAST</stp>
        <stp>24/10/2018</stp>
        <stp>24/10/2018</stp>
        <stp>[RV_LINE_PRICER.xlsm]FixingTables!R79C24</stp>
        <tr r="X79" s="5"/>
      </tp>
      <tp>
        <v>-1.1169999999999999E-2</v>
        <stp/>
        <stp>##V3_BDHV12</stp>
        <stp>JY0006M Index</stp>
        <stp>PX_LAST</stp>
        <stp>07/12/2018</stp>
        <stp>07/12/2018</stp>
        <stp>[RV_LINE_PRICER.xlsm]FixingTables!R47C24</stp>
        <tr r="X47" s="5"/>
      </tp>
      <tp>
        <v>1.617E-2</v>
        <stp/>
        <stp>##V3_BDHV12</stp>
        <stp>JY0006M Index</stp>
        <stp>PX_LAST</stp>
        <stp>26/10/2018</stp>
        <stp>26/10/2018</stp>
        <stp>[RV_LINE_PRICER.xlsm]FixingTables!R77C24</stp>
        <tr r="X77" s="5"/>
      </tp>
      <tp>
        <v>-1.383E-2</v>
        <stp/>
        <stp>##V3_BDHV12</stp>
        <stp>JY0006M Index</stp>
        <stp>PX_LAST</stp>
        <stp>06/12/2018</stp>
        <stp>06/12/2018</stp>
        <stp>[RV_LINE_PRICER.xlsm]FixingTables!R48C24</stp>
        <tr r="X48" s="5"/>
      </tp>
      <tp>
        <v>-3.1700000000000001E-3</v>
        <stp/>
        <stp>##V3_BDHV12</stp>
        <stp>JY0006M Index</stp>
        <stp>PX_LAST</stp>
        <stp>21/01/2019</stp>
        <stp>21/01/2019</stp>
        <stp>[RV_LINE_PRICER.xlsm]FixingTables!R19C24</stp>
        <tr r="X19" s="5"/>
      </tp>
      <tp>
        <v>-4.3299999999999996E-3</v>
        <stp/>
        <stp>##V3_BDHV12</stp>
        <stp>JY0006M Index</stp>
        <stp>PX_LAST</stp>
        <stp>30/11/2018</stp>
        <stp>30/11/2018</stp>
        <stp>[RV_LINE_PRICER.xlsm]FixingTables!R52C24</stp>
        <tr r="X52" s="5"/>
      </tp>
      <tp>
        <v>-2.8300000000000001E-3</v>
        <stp/>
        <stp>##V3_BDHV12</stp>
        <stp>JY0006M Index</stp>
        <stp>PX_LAST</stp>
        <stp>03/12/2018</stp>
        <stp>03/12/2018</stp>
        <stp>[RV_LINE_PRICER.xlsm]FixingTables!R51C24</stp>
        <tr r="X51" s="5"/>
      </tp>
      <tp>
        <v>-5.0000000000000001E-3</v>
        <stp/>
        <stp>##V3_BDHV12</stp>
        <stp>JY0006M Index</stp>
        <stp>PX_LAST</stp>
        <stp>23/01/2019</stp>
        <stp>23/01/2019</stp>
        <stp>[RV_LINE_PRICER.xlsm]FixingTables!R17C24</stp>
        <tr r="X17" s="5"/>
      </tp>
      <tp>
        <v>1.383E-2</v>
        <stp/>
        <stp>##V3_BDHV12</stp>
        <stp>JY0006M Index</stp>
        <stp>PX_LAST</stp>
        <stp>23/10/2018</stp>
        <stp>23/10/2018</stp>
        <stp>[RV_LINE_PRICER.xlsm]FixingTables!R80C24</stp>
        <tr r="X80" s="5"/>
      </tp>
      <tp>
        <v>-4.0000000000000001E-3</v>
        <stp/>
        <stp>##V3_BDHV12</stp>
        <stp>JY0006M Index</stp>
        <stp>PX_LAST</stp>
        <stp>22/01/2019</stp>
        <stp>22/01/2019</stp>
        <stp>[RV_LINE_PRICER.xlsm]FixingTables!R18C24</stp>
        <tr r="X18" s="5"/>
      </tp>
      <tp>
        <v>1.367E-2</v>
        <stp/>
        <stp>##V3_BDHV12</stp>
        <stp>JY0006M Index</stp>
        <stp>PX_LAST</stp>
        <stp>22/10/2018</stp>
        <stp>22/10/2018</stp>
        <stp>[RV_LINE_PRICER.xlsm]FixingTables!R81C24</stp>
        <tr r="X81" s="5"/>
      </tp>
      <tp>
        <v>1.55E-2</v>
        <stp/>
        <stp>##V3_BDHV12</stp>
        <stp>JY0006M Index</stp>
        <stp>PX_LAST</stp>
        <stp>29/10/2018</stp>
        <stp>29/10/2018</stp>
        <stp>[RV_LINE_PRICER.xlsm]FixingTables!R76C24</stp>
        <tr r="X76" s="5"/>
      </tp>
      <tp>
        <v>-1.7000000000000001E-4</v>
        <stp/>
        <stp>##V3_BDHV12</stp>
        <stp>JY0006M Index</stp>
        <stp>PX_LAST</stp>
        <stp>29/01/2019</stp>
        <stp>29/01/2019</stp>
        <stp>[RV_LINE_PRICER.xlsm]FixingTables!R14C24</stp>
        <tr r="X14" s="5"/>
      </tp>
      <tp t="s">
        <v>ACT/ACT</v>
        <stp/>
        <stp>##V3_BDPV12</stp>
        <stp>PPOE027W1 Corp</stp>
        <stp>DAY_CNT_DES</stp>
        <stp>[RV_LINE_PRICER.xlsm]FixedBonds!R11C214</stp>
        <tr r="HF11" s="1"/>
      </tp>
      <tp>
        <v>1</v>
        <stp/>
        <stp>##V3_BDPV12</stp>
        <stp>USP32133CG63 Corp</stp>
        <stp>CALC_TYP</stp>
        <stp>[RV_LINE_PRICER.xlsm]FixedBonds!R10C49</stp>
        <tr r="AW10" s="1"/>
      </tp>
      <tp>
        <v>3.9</v>
        <stp/>
        <stp>##V3_BDPV12</stp>
        <stp>PPOE027W1 Corp</stp>
        <stp>CPN</stp>
        <stp>[RV_LINE_PRICER.xlsm]FixedBonds!R11C207</stp>
        <tr r="GY11" s="1"/>
      </tp>
      <tp t="s">
        <v>29/06/2020</v>
        <stp/>
        <stp>##V3_BDPV12</stp>
        <stp>XS1339542364 Corp</stp>
        <stp>PENULTIMATE_CPN_DT</stp>
        <stp>[RV_LINE_PRICER.xlsm]FixedBondSingle!R23C22</stp>
        <tr r="V23" s="22"/>
      </tp>
      <tp t="s">
        <v>15/07/2019</v>
        <stp/>
        <stp>##V3_BDPV12</stp>
        <stp>US05565QCT31 Corp</stp>
        <stp>PENULTIMATE_CPN_DT</stp>
        <stp>[RV_LINE_PRICER.xlsm]FloatBonds!R11C42</stp>
        <tr r="AP11" s="18"/>
      </tp>
      <tp t="s">
        <v>15/07/2019</v>
        <stp/>
        <stp>##V3_BDPV12</stp>
        <stp>US05565QCT31 Corp</stp>
        <stp>PENULTIMATE_CPN_DT</stp>
        <stp>[RV_LINE_PRICER.xlsm]FloatBonds!R10C42</stp>
        <tr r="AP10" s="18"/>
      </tp>
      <tp>
        <v>2.3861300000000001</v>
        <stp/>
        <stp>##V3_BDHV12</stp>
        <stp>US0003M Index</stp>
        <stp>PX_LAST</stp>
        <stp>26/09/2018</stp>
        <stp>26/09/2018</stp>
        <stp>[RV_LINE_PRICER.xlsm]FixingTables!R96C9</stp>
        <tr r="I96" s="5"/>
      </tp>
      <tp>
        <v>2.6011299999999999</v>
        <stp/>
        <stp>##V3_BDHV12</stp>
        <stp>US0003M Index</stp>
        <stp>PX_LAST</stp>
        <stp>07/11/2018</stp>
        <stp>07/11/2018</stp>
        <stp>[RV_LINE_PRICER.xlsm]FixingTables!R67C9</stp>
        <tr r="I67" s="5"/>
      </tp>
      <tp>
        <v>2.4251900000000002</v>
        <stp/>
        <stp>##V3_BDHV12</stp>
        <stp>US0003M Index</stp>
        <stp>PX_LAST</stp>
        <stp>10/10/2018</stp>
        <stp>10/10/2018</stp>
        <stp>[RV_LINE_PRICER.xlsm]FixingTables!R87C9</stp>
        <tr r="I87" s="5"/>
      </tp>
      <tp>
        <v>2.7969400000000002</v>
        <stp/>
        <stp>##V3_BDHV12</stp>
        <stp>US0003M Index</stp>
        <stp>PX_LAST</stp>
        <stp>10/01/2019</stp>
        <stp>10/01/2019</stp>
        <stp>[RV_LINE_PRICER.xlsm]FixingTables!R26C9</stp>
        <tr r="I26" s="5"/>
      </tp>
      <tp>
        <v>2.8216299999999999</v>
        <stp/>
        <stp>##V3_BDHV12</stp>
        <stp>US0003M Index</stp>
        <stp>PX_LAST</stp>
        <stp>21/12/2018</stp>
        <stp>21/12/2018</stp>
        <stp>[RV_LINE_PRICER.xlsm]FixingTables!R37C9</stp>
        <tr r="I37" s="5"/>
      </tp>
      <tp>
        <v>2.6911899999999997</v>
        <stp/>
        <stp>##V3_BDHV12</stp>
        <stp>US0003M Index</stp>
        <stp>PX_LAST</stp>
        <stp>23/11/2018</stp>
        <stp>23/11/2018</stp>
        <stp>[RV_LINE_PRICER.xlsm]FixingTables!R57C9</stp>
        <tr r="I57" s="5"/>
      </tp>
      <tp>
        <v>2.7710599999999999</v>
        <stp/>
        <stp>##V3_BDHV12</stp>
        <stp>US0003M Index</stp>
        <stp>PX_LAST</stp>
        <stp>07/12/2018</stp>
        <stp>07/12/2018</stp>
        <stp>[RV_LINE_PRICER.xlsm]FixingTables!R47C9</stp>
        <tr r="I47" s="5"/>
      </tp>
      <tp>
        <v>2.508</v>
        <stp/>
        <stp>##V3_BDHV12</stp>
        <stp>US0003M Index</stp>
        <stp>PX_LAST</stp>
        <stp>24/10/2018</stp>
        <stp>24/10/2018</stp>
        <stp>[RV_LINE_PRICER.xlsm]FixingTables!R77C9</stp>
        <tr r="I77" s="5"/>
      </tp>
      <tp>
        <v>2.75163</v>
        <stp/>
        <stp>##V3_BDHV12</stp>
        <stp>US0003M Index</stp>
        <stp>PX_LAST</stp>
        <stp>25/01/2019</stp>
        <stp>25/01/2019</stp>
        <stp>[RV_LINE_PRICER.xlsm]FixingTables!R16C9</stp>
        <tr r="I16" s="5"/>
      </tp>
      <tp>
        <v>-3.3E-4</v>
        <stp/>
        <stp>##V3_BDHV12</stp>
        <stp>JY0006M Index</stp>
        <stp>PX_LAST</stp>
        <stp>14/12/2018</stp>
        <stp>14/12/2018</stp>
        <stp>[RV_LINE_PRICER.xlsm]FixingTables!R42C24</stp>
        <tr r="X42" s="5"/>
      </tp>
      <tp>
        <v>5.3299999999999997E-3</v>
        <stp/>
        <stp>##V3_BDHV12</stp>
        <stp>JY0006M Index</stp>
        <stp>PX_LAST</stp>
        <stp>26/11/2018</stp>
        <stp>26/11/2018</stp>
        <stp>[RV_LINE_PRICER.xlsm]FixingTables!R56C24</stp>
        <tr r="X56" s="5"/>
      </tp>
      <tp t="s">
        <v>29/12/2015</v>
        <stp/>
        <stp>##V3_BDPV12</stp>
        <stp>XS1339542364 Corp</stp>
        <stp>ISSUE_DT</stp>
        <stp>[RV_LINE_PRICER.xlsm]FixedBondSingle!R20C22</stp>
        <tr r="V20" s="22"/>
      </tp>
      <tp>
        <v>3.5000000000000001E-3</v>
        <stp/>
        <stp>##V3_BDHV12</stp>
        <stp>JY0006M Index</stp>
        <stp>PX_LAST</stp>
        <stp>27/11/2018</stp>
        <stp>27/11/2018</stp>
        <stp>[RV_LINE_PRICER.xlsm]FixingTables!R55C24</stp>
        <tr r="X55" s="5"/>
      </tp>
      <tp>
        <v>-4.4999999999999997E-3</v>
        <stp/>
        <stp>##V3_BDHV12</stp>
        <stp>JY0006M Index</stp>
        <stp>PX_LAST</stp>
        <stp>17/12/2018</stp>
        <stp>17/12/2018</stp>
        <stp>[RV_LINE_PRICER.xlsm]FixingTables!R41C24</stp>
        <tr r="X41" s="5"/>
      </tp>
      <tp>
        <v>-5.6699999999999997E-3</v>
        <stp/>
        <stp>##V3_BDHV12</stp>
        <stp>JY0006M Index</stp>
        <stp>PX_LAST</stp>
        <stp>10/12/2018</stp>
        <stp>10/12/2018</stp>
        <stp>[RV_LINE_PRICER.xlsm]FixingTables!R46C24</stp>
        <tr r="X46" s="5"/>
      </tp>
      <tp>
        <v>5.1700000000000001E-3</v>
        <stp/>
        <stp>##V3_BDHV12</stp>
        <stp>JY0006M Index</stp>
        <stp>PX_LAST</stp>
        <stp>20/11/2018</stp>
        <stp>20/11/2018</stp>
        <stp>[RV_LINE_PRICER.xlsm]FixingTables!R60C24</stp>
        <tr r="X60" s="5"/>
      </tp>
      <tp>
        <v>1.55E-2</v>
        <stp/>
        <stp>##V3_BDHV12</stp>
        <stp>JY0006M Index</stp>
        <stp>PX_LAST</stp>
        <stp>30/10/2018</stp>
        <stp>30/10/2018</stp>
        <stp>[RV_LINE_PRICER.xlsm]FixingTables!R75C24</stp>
        <tr r="X75" s="5"/>
      </tp>
      <tp>
        <v>-3.0000000000000001E-3</v>
        <stp/>
        <stp>##V3_BDHV12</stp>
        <stp>JY0006M Index</stp>
        <stp>PX_LAST</stp>
        <stp>30/01/2019</stp>
        <stp>30/01/2019</stp>
        <stp>[RV_LINE_PRICER.xlsm]FixingTables!R13C24</stp>
        <tr r="X13" s="5"/>
      </tp>
      <tp>
        <v>2.1700000000000001E-3</v>
        <stp/>
        <stp>##V3_BDHV12</stp>
        <stp>JY0006M Index</stp>
        <stp>PX_LAST</stp>
        <stp>21/11/2018</stp>
        <stp>21/11/2018</stp>
        <stp>[RV_LINE_PRICER.xlsm]FixingTables!R59C24</stp>
        <tr r="X59" s="5"/>
      </tp>
      <tp>
        <v>-8.0000000000000002E-3</v>
        <stp/>
        <stp>##V3_BDHV12</stp>
        <stp>JY0006M Index</stp>
        <stp>PX_LAST</stp>
        <stp>11/12/2018</stp>
        <stp>11/12/2018</stp>
        <stp>[RV_LINE_PRICER.xlsm]FixingTables!R45C24</stp>
        <tr r="X45" s="5"/>
      </tp>
      <tp>
        <v>1.5169999999999999E-2</v>
        <stp/>
        <stp>##V3_BDHV12</stp>
        <stp>JY0006M Index</stp>
        <stp>PX_LAST</stp>
        <stp>31/10/2018</stp>
        <stp>31/10/2018</stp>
        <stp>[RV_LINE_PRICER.xlsm]FixingTables!R74C24</stp>
        <tr r="X74" s="5"/>
      </tp>
      <tp>
        <v>-9.3299999999999998E-3</v>
        <stp/>
        <stp>##V3_BDHV12</stp>
        <stp>JY0006M Index</stp>
        <stp>PX_LAST</stp>
        <stp>12/12/2018</stp>
        <stp>12/12/2018</stp>
        <stp>[RV_LINE_PRICER.xlsm]FixingTables!R44C24</stp>
        <tr r="X44" s="5"/>
      </tp>
      <tp>
        <v>6.1700000000000001E-3</v>
        <stp/>
        <stp>##V3_BDHV12</stp>
        <stp>JY0006M Index</stp>
        <stp>PX_LAST</stp>
        <stp>22/11/2018</stp>
        <stp>22/11/2018</stp>
        <stp>[RV_LINE_PRICER.xlsm]FixingTables!R58C24</stp>
        <tr r="X58" s="5"/>
      </tp>
      <tp>
        <v>7.4999999999999997E-3</v>
        <stp/>
        <stp>##V3_BDHV12</stp>
        <stp>JY0006M Index</stp>
        <stp>PX_LAST</stp>
        <stp>23/11/2018</stp>
        <stp>23/11/2018</stp>
        <stp>[RV_LINE_PRICER.xlsm]FixingTables!R57C24</stp>
        <tr r="X57" s="5"/>
      </tp>
      <tp>
        <v>-6.8300000000000001E-3</v>
        <stp/>
        <stp>##V3_BDHV12</stp>
        <stp>JY0006M Index</stp>
        <stp>PX_LAST</stp>
        <stp>13/12/2018</stp>
        <stp>13/12/2018</stp>
        <stp>[RV_LINE_PRICER.xlsm]FixingTables!R43C24</stp>
        <tr r="X43" s="5"/>
      </tp>
      <tp>
        <v>-2E-3</v>
        <stp/>
        <stp>##V3_BDHV12</stp>
        <stp>JY0006M Index</stp>
        <stp>PX_LAST</stp>
        <stp>18/12/2018</stp>
        <stp>18/12/2018</stp>
        <stp>[RV_LINE_PRICER.xlsm]FixingTables!R40C24</stp>
        <tr r="X40" s="5"/>
      </tp>
      <tp>
        <v>-2.5000000000000001E-3</v>
        <stp/>
        <stp>##V3_BDHV12</stp>
        <stp>JY0006M Index</stp>
        <stp>PX_LAST</stp>
        <stp>28/11/2018</stp>
        <stp>28/11/2018</stp>
        <stp>[RV_LINE_PRICER.xlsm]FixingTables!R54C24</stp>
        <tr r="X54" s="5"/>
      </tp>
      <tp>
        <v>-2.6700000000000001E-3</v>
        <stp/>
        <stp>##V3_BDHV12</stp>
        <stp>JY0006M Index</stp>
        <stp>PX_LAST</stp>
        <stp>29/11/2018</stp>
        <stp>29/11/2018</stp>
        <stp>[RV_LINE_PRICER.xlsm]FixingTables!R53C24</stp>
        <tr r="X53" s="5"/>
      </tp>
      <tp>
        <v>-5.0000000000000001E-4</v>
        <stp/>
        <stp>##V3_BDHV12</stp>
        <stp>JY0006M Index</stp>
        <stp>PX_LAST</stp>
        <stp>19/12/2018</stp>
        <stp>19/12/2018</stp>
        <stp>[RV_LINE_PRICER.xlsm]FixingTables!R39C24</stp>
        <tr r="X39" s="5"/>
      </tp>
      <tp t="s">
        <v>11/02/2023</v>
        <stp/>
        <stp>##V3_BDPV12</stp>
        <stp>USP32133CG63 Corp</stp>
        <stp>MATURITY</stp>
        <stp>[RV_LINE_PRICER.xlsm]FixedBonds!R10C39</stp>
        <tr r="AM10" s="1"/>
      </tp>
      <tp>
        <v>2.13</v>
        <stp/>
        <stp>##V3_BDHV12</stp>
        <stp>ADBB6M Index</stp>
        <stp>PX_LAST</stp>
        <stp>27/09/2018</stp>
        <stp>27/09/2018</stp>
        <stp>[RV_LINE_PRICER.xlsm]FixingTables!R97C18</stp>
        <tr r="R97" s="5"/>
      </tp>
      <tp>
        <v>2.13</v>
        <stp/>
        <stp>##V3_BDHV12</stp>
        <stp>ADBB6M Index</stp>
        <stp>PX_LAST</stp>
        <stp>26/09/2018</stp>
        <stp>26/09/2018</stp>
        <stp>[RV_LINE_PRICER.xlsm]FixingTables!R98C18</stp>
        <tr r="R98" s="5"/>
      </tp>
      <tp>
        <v>2.13</v>
        <stp/>
        <stp>##V3_BDHV12</stp>
        <stp>ADBB6M Index</stp>
        <stp>PX_LAST</stp>
        <stp>25/09/2018</stp>
        <stp>25/09/2018</stp>
        <stp>[RV_LINE_PRICER.xlsm]FixingTables!R99C18</stp>
        <tr r="R99" s="5"/>
      </tp>
      <tp>
        <v>2.13</v>
        <stp/>
        <stp>##V3_BDHV12</stp>
        <stp>ADBB6M Index</stp>
        <stp>PX_LAST</stp>
        <stp>28/09/2018</stp>
        <stp>28/09/2018</stp>
        <stp>[RV_LINE_PRICER.xlsm]FixingTables!R96C18</stp>
        <tr r="R96" s="5"/>
      </tp>
      <tp>
        <v>2.3959999999999999</v>
        <stp/>
        <stp>##V3_BDHV12</stp>
        <stp>US0003M Index</stp>
        <stp>PX_LAST</stp>
        <stp>27/09/2018</stp>
        <stp>27/09/2018</stp>
        <stp>[RV_LINE_PRICER.xlsm]FixingTables!R95C9</stp>
        <tr r="I95" s="5"/>
      </tp>
      <tp>
        <v>2.4488099999999999</v>
        <stp/>
        <stp>##V3_BDHV12</stp>
        <stp>US0003M Index</stp>
        <stp>PX_LAST</stp>
        <stp>15/10/2018</stp>
        <stp>15/10/2018</stp>
        <stp>[RV_LINE_PRICER.xlsm]FixingTables!R84C9</stp>
        <tr r="I84" s="5"/>
      </tp>
      <tp>
        <v>2.7873099999999997</v>
        <stp/>
        <stp>##V3_BDHV12</stp>
        <stp>US0003M Index</stp>
        <stp>PX_LAST</stp>
        <stp>11/01/2019</stp>
        <stp>11/01/2019</stp>
        <stp>[RV_LINE_PRICER.xlsm]FixingTables!R25C9</stp>
        <tr r="I25" s="5"/>
      </tp>
      <tp>
        <v>2.7970000000000002</v>
        <stp/>
        <stp>##V3_BDHV12</stp>
        <stp>US0003M Index</stp>
        <stp>PX_LAST</stp>
        <stp>28/12/2018</stp>
        <stp>28/12/2018</stp>
        <stp>[RV_LINE_PRICER.xlsm]FixingTables!R34C9</stp>
        <tr r="I34" s="5"/>
      </tp>
      <tp>
        <v>2.6161300000000001</v>
        <stp/>
        <stp>##V3_BDHV12</stp>
        <stp>US0003M Index</stp>
        <stp>PX_LAST</stp>
        <stp>13/11/2018</stp>
        <stp>13/11/2018</stp>
        <stp>[RV_LINE_PRICER.xlsm]FixingTables!R64C9</stp>
        <tr r="I64" s="5"/>
      </tp>
      <tp>
        <v>2.7066300000000001</v>
        <stp/>
        <stp>##V3_BDHV12</stp>
        <stp>US0003M Index</stp>
        <stp>PX_LAST</stp>
        <stp>28/11/2018</stp>
        <stp>28/11/2018</stp>
        <stp>[RV_LINE_PRICER.xlsm]FixingTables!R54C9</stp>
        <tr r="I54" s="5"/>
      </tp>
      <tp>
        <v>2.7774999999999999</v>
        <stp/>
        <stp>##V3_BDHV12</stp>
        <stp>US0003M Index</stp>
        <stp>PX_LAST</stp>
        <stp>12/12/2018</stp>
        <stp>12/12/2018</stp>
        <stp>[RV_LINE_PRICER.xlsm]FixingTables!R44C9</stp>
        <tr r="I44" s="5"/>
      </tp>
      <tp>
        <v>2.7504999999999997</v>
        <stp/>
        <stp>##V3_BDHV12</stp>
        <stp>US0003M Index</stp>
        <stp>PX_LAST</stp>
        <stp>28/01/2019</stp>
        <stp>28/01/2019</stp>
        <stp>[RV_LINE_PRICER.xlsm]FixingTables!R15C9</stp>
        <tr r="I15" s="5"/>
      </tp>
      <tp>
        <v>2.5266299999999999</v>
        <stp/>
        <stp>##V3_BDHV12</stp>
        <stp>US0003M Index</stp>
        <stp>PX_LAST</stp>
        <stp>29/10/2018</stp>
        <stp>29/10/2018</stp>
        <stp>[RV_LINE_PRICER.xlsm]FixingTables!R74C9</stp>
        <tr r="I74" s="5"/>
      </tp>
      <tp>
        <v>5.4999999999999997E-3</v>
        <stp/>
        <stp>##V3_BDHV12</stp>
        <stp>JY0006M Index</stp>
        <stp>PX_LAST</stp>
        <stp>07/01/2019</stp>
        <stp>07/01/2019</stp>
        <stp>[RV_LINE_PRICER.xlsm]FixingTables!R29C24</stp>
        <tr r="X29" s="5"/>
      </tp>
      <tp>
        <v>1.167E-2</v>
        <stp/>
        <stp>##V3_BDHV12</stp>
        <stp>JY0006M Index</stp>
        <stp>PX_LAST</stp>
        <stp>27/12/2018</stp>
        <stp>27/12/2018</stp>
        <stp>[RV_LINE_PRICER.xlsm]FixingTables!R35C24</stp>
        <tr r="X35" s="5"/>
      </tp>
      <tp>
        <v>6.8300000000000001E-3</v>
        <stp/>
        <stp>##V3_BDHV12</stp>
        <stp>JY0006M Index</stp>
        <stp>PX_LAST</stp>
        <stp>16/11/2018</stp>
        <stp>16/11/2018</stp>
        <stp>[RV_LINE_PRICER.xlsm]FixingTables!R62C24</stp>
        <tr r="X62" s="5"/>
      </tp>
      <tp>
        <v>6.0000000000000001E-3</v>
        <stp/>
        <stp>##V3_BDHV12</stp>
        <stp>JY0006M Index</stp>
        <stp>PX_LAST</stp>
        <stp>15/11/2018</stp>
        <stp>15/11/2018</stp>
        <stp>[RV_LINE_PRICER.xlsm]FixingTables!R63C24</stp>
        <tr r="X63" s="5"/>
      </tp>
      <tp>
        <v>1.533E-2</v>
        <stp/>
        <stp>##V3_BDHV12</stp>
        <stp>JY0006M Index</stp>
        <stp>PX_LAST</stp>
        <stp>05/10/2018</stp>
        <stp>05/10/2018</stp>
        <stp>[RV_LINE_PRICER.xlsm]FixingTables!R92C24</stp>
        <tr r="X92" s="5"/>
      </tp>
      <tp>
        <v>7.3299999999999997E-3</v>
        <stp/>
        <stp>##V3_BDHV12</stp>
        <stp>JY0006M Index</stp>
        <stp>PX_LAST</stp>
        <stp>04/01/2019</stp>
        <stp>04/01/2019</stp>
        <stp>[RV_LINE_PRICER.xlsm]FixingTables!R30C24</stp>
        <tr r="X30" s="5"/>
      </tp>
      <tp>
        <v>6.8300000000000001E-3</v>
        <stp/>
        <stp>##V3_BDHV12</stp>
        <stp>JY0006M Index</stp>
        <stp>PX_LAST</stp>
        <stp>24/12/2018</stp>
        <stp>24/12/2018</stp>
        <stp>[RV_LINE_PRICER.xlsm]FixingTables!R36C24</stp>
        <tr r="X36" s="5"/>
      </tp>
      <tp>
        <v>7.8300000000000002E-3</v>
        <stp/>
        <stp>##V3_BDHV12</stp>
        <stp>JY0006M Index</stp>
        <stp>PX_LAST</stp>
        <stp>14/11/2018</stp>
        <stp>14/11/2018</stp>
        <stp>[RV_LINE_PRICER.xlsm]FixingTables!R64C24</stp>
        <tr r="X64" s="5"/>
      </tp>
      <tp>
        <v>1.6830000000000001E-2</v>
        <stp/>
        <stp>##V3_BDHV12</stp>
        <stp>JY0006M Index</stp>
        <stp>PX_LAST</stp>
        <stp>04/10/2018</stp>
        <stp>04/10/2018</stp>
        <stp>[RV_LINE_PRICER.xlsm]FixingTables!R93C24</stp>
        <tr r="X93" s="5"/>
      </tp>
      <tp>
        <v>1.2500000000000001E-2</v>
        <stp/>
        <stp>##V3_BDHV12</stp>
        <stp>JY0006M Index</stp>
        <stp>PX_LAST</stp>
        <stp>13/11/2018</stp>
        <stp>13/11/2018</stp>
        <stp>[RV_LINE_PRICER.xlsm]FixingTables!R65C24</stp>
        <tr r="X65" s="5"/>
      </tp>
      <tp>
        <v>9.3299999999999998E-3</v>
        <stp/>
        <stp>##V3_BDHV12</stp>
        <stp>JY0006M Index</stp>
        <stp>PX_LAST</stp>
        <stp>03/01/2019</stp>
        <stp>03/01/2019</stp>
        <stp>[RV_LINE_PRICER.xlsm]FixingTables!R31C24</stp>
        <tr r="X31" s="5"/>
      </tp>
      <tp>
        <v>1.4999999999999999E-2</v>
        <stp/>
        <stp>##V3_BDHV12</stp>
        <stp>JY0006M Index</stp>
        <stp>PX_LAST</stp>
        <stp>03/10/2018</stp>
        <stp>03/10/2018</stp>
        <stp>[RV_LINE_PRICER.xlsm]FixingTables!R94C24</stp>
        <tr r="X94" s="5"/>
      </tp>
      <tp>
        <v>1.2330000000000001E-2</v>
        <stp/>
        <stp>##V3_BDHV12</stp>
        <stp>JY0006M Index</stp>
        <stp>PX_LAST</stp>
        <stp>12/11/2018</stp>
        <stp>12/11/2018</stp>
        <stp>[RV_LINE_PRICER.xlsm]FixingTables!R66C24</stp>
        <tr r="X66" s="5"/>
      </tp>
      <tp>
        <v>6.4999999999999997E-3</v>
        <stp/>
        <stp>##V3_BDHV12</stp>
        <stp>JY0006M Index</stp>
        <stp>PX_LAST</stp>
        <stp>02/01/2019</stp>
        <stp>02/01/2019</stp>
        <stp>[RV_LINE_PRICER.xlsm]FixingTables!R32C24</stp>
        <tr r="X32" s="5"/>
      </tp>
      <tp>
        <v>1.8669999999999999E-2</v>
        <stp/>
        <stp>##V3_BDHV12</stp>
        <stp>JY0006M Index</stp>
        <stp>PX_LAST</stp>
        <stp>02/10/2018</stp>
        <stp>02/10/2018</stp>
        <stp>[RV_LINE_PRICER.xlsm]FixingTables!R95C24</stp>
        <tr r="X95" s="5"/>
      </tp>
      <tp>
        <v>1.1169999999999999E-2</v>
        <stp/>
        <stp>##V3_BDHV12</stp>
        <stp>JY0006M Index</stp>
        <stp>PX_LAST</stp>
        <stp>21/12/2018</stp>
        <stp>21/12/2018</stp>
        <stp>[RV_LINE_PRICER.xlsm]FixingTables!R37C24</stp>
        <tr r="X37" s="5"/>
      </tp>
      <tp>
        <v>2.6038800000000002</v>
        <stp/>
        <stp>##V3_BDHV12</stp>
        <stp>US0006M Index</stp>
        <stp>PX_LAST</stp>
        <stp>28/09/2018</stp>
        <stp>28/09/2018</stp>
        <stp>[RV_LINE_PRICER.xlsm]FixingTables!R94C12</stp>
        <tr r="L94" s="5"/>
      </tp>
      <tp>
        <v>6.8300000000000001E-3</v>
        <stp/>
        <stp>##V3_BDHV12</stp>
        <stp>JY0006M Index</stp>
        <stp>PX_LAST</stp>
        <stp>20/12/2018</stp>
        <stp>20/12/2018</stp>
        <stp>[RV_LINE_PRICER.xlsm]FixingTables!R38C24</stp>
        <tr r="X38" s="5"/>
      </tp>
      <tp>
        <v>2.6005000000000003</v>
        <stp/>
        <stp>##V3_BDHV12</stp>
        <stp>US0006M Index</stp>
        <stp>PX_LAST</stp>
        <stp>27/09/2018</stp>
        <stp>27/09/2018</stp>
        <stp>[RV_LINE_PRICER.xlsm]FixingTables!R95C12</stp>
        <tr r="L95" s="5"/>
      </tp>
      <tp>
        <v>2.5935000000000001</v>
        <stp/>
        <stp>##V3_BDHV12</stp>
        <stp>US0006M Index</stp>
        <stp>PX_LAST</stp>
        <stp>26/09/2018</stp>
        <stp>26/09/2018</stp>
        <stp>[RV_LINE_PRICER.xlsm]FixingTables!R96C12</stp>
        <tr r="L96" s="5"/>
      </tp>
      <tp>
        <v>2.59538</v>
        <stp/>
        <stp>##V3_BDHV12</stp>
        <stp>US0006M Index</stp>
        <stp>PX_LAST</stp>
        <stp>25/09/2018</stp>
        <stp>25/09/2018</stp>
        <stp>[RV_LINE_PRICER.xlsm]FixingTables!R97C12</stp>
        <tr r="L97" s="5"/>
      </tp>
      <tp>
        <v>2.5936300000000001</v>
        <stp/>
        <stp>##V3_BDHV12</stp>
        <stp>US0006M Index</stp>
        <stp>PX_LAST</stp>
        <stp>24/09/2018</stp>
        <stp>24/09/2018</stp>
        <stp>[RV_LINE_PRICER.xlsm]FixingTables!R98C12</stp>
        <tr r="L98" s="5"/>
      </tp>
      <tp>
        <v>1.0829999999999999E-2</v>
        <stp/>
        <stp>##V3_BDHV12</stp>
        <stp>JY0006M Index</stp>
        <stp>PX_LAST</stp>
        <stp>09/10/2018</stp>
        <stp>09/10/2018</stp>
        <stp>[RV_LINE_PRICER.xlsm]FixingTables!R90C24</stp>
        <tr r="X90" s="5"/>
      </tp>
      <tp>
        <v>2.5920000000000001</v>
        <stp/>
        <stp>##V3_BDHV12</stp>
        <stp>US0006M Index</stp>
        <stp>PX_LAST</stp>
        <stp>21/09/2018</stp>
        <stp>21/09/2018</stp>
        <stp>[RV_LINE_PRICER.xlsm]FixingTables!R99C12</stp>
        <tr r="L99" s="5"/>
      </tp>
      <tp>
        <v>7.3299999999999997E-3</v>
        <stp/>
        <stp>##V3_BDHV12</stp>
        <stp>JY0006M Index</stp>
        <stp>PX_LAST</stp>
        <stp>19/11/2018</stp>
        <stp>19/11/2018</stp>
        <stp>[RV_LINE_PRICER.xlsm]FixingTables!R61C24</stp>
        <tr r="X61" s="5"/>
      </tp>
      <tp>
        <v>5.3299999999999997E-3</v>
        <stp/>
        <stp>##V3_BDHV12</stp>
        <stp>JY0006M Index</stp>
        <stp>PX_LAST</stp>
        <stp>09/01/2019</stp>
        <stp>09/01/2019</stp>
        <stp>[RV_LINE_PRICER.xlsm]FixingTables!R27C24</stp>
        <tr r="X27" s="5"/>
      </tp>
      <tp>
        <v>1.2999999999999999E-2</v>
        <stp/>
        <stp>##V3_BDHV12</stp>
        <stp>JY0006M Index</stp>
        <stp>PX_LAST</stp>
        <stp>08/10/2018</stp>
        <stp>08/10/2018</stp>
        <stp>[RV_LINE_PRICER.xlsm]FixingTables!R91C24</stp>
        <tr r="X91" s="5"/>
      </tp>
      <tp>
        <v>6.1700000000000001E-3</v>
        <stp/>
        <stp>##V3_BDHV12</stp>
        <stp>JY0006M Index</stp>
        <stp>PX_LAST</stp>
        <stp>08/01/2019</stp>
        <stp>08/01/2019</stp>
        <stp>[RV_LINE_PRICER.xlsm]FixingTables!R28C24</stp>
        <tr r="X28" s="5"/>
      </tp>
      <tp>
        <v>6.1700000000000001E-3</v>
        <stp/>
        <stp>##V3_BDHV12</stp>
        <stp>JY0006M Index</stp>
        <stp>PX_LAST</stp>
        <stp>28/12/2018</stp>
        <stp>28/12/2018</stp>
        <stp>[RV_LINE_PRICER.xlsm]FixingTables!R34C24</stp>
        <tr r="X34" s="5"/>
      </tp>
      <tp t="s">
        <v>22/05/2017</v>
        <stp/>
        <stp>##V3_BDPV12</stp>
        <stp>XS1615075048 Corp</stp>
        <stp>INT_ACC_DT</stp>
        <stp>[RV_LINE_PRICER.xlsm]FixedBonds!R9C203</stp>
        <tr r="GU9" s="1"/>
      </tp>
      <tp>
        <v>2.39838</v>
        <stp/>
        <stp>##V3_BDHV12</stp>
        <stp>US0003M Index</stp>
        <stp>PX_LAST</stp>
        <stp>28/09/2018</stp>
        <stp>28/09/2018</stp>
        <stp>[RV_LINE_PRICER.xlsm]FixingTables!R94C9</stp>
        <tr r="I94" s="5"/>
      </tp>
      <tp>
        <v>2.6181299999999998</v>
        <stp/>
        <stp>##V3_BDHV12</stp>
        <stp>US0003M Index</stp>
        <stp>PX_LAST</stp>
        <stp>09/11/2018</stp>
        <stp>09/11/2018</stp>
        <stp>[RV_LINE_PRICER.xlsm]FixingTables!R65C9</stp>
        <tr r="I65" s="5"/>
      </tp>
      <tp>
        <v>2.77894</v>
        <stp/>
        <stp>##V3_BDHV12</stp>
        <stp>US0003M Index</stp>
        <stp>PX_LAST</stp>
        <stp>14/01/2019</stp>
        <stp>14/01/2019</stp>
        <stp>[RV_LINE_PRICER.xlsm]FixingTables!R24C9</stp>
        <tr r="I24" s="5"/>
      </tp>
      <tp>
        <v>2.4364400000000002</v>
        <stp/>
        <stp>##V3_BDHV12</stp>
        <stp>US0003M Index</stp>
        <stp>PX_LAST</stp>
        <stp>12/10/2018</stp>
        <stp>12/10/2018</stp>
        <stp>[RV_LINE_PRICER.xlsm]FixingTables!R85C9</stp>
        <tr r="I85" s="5"/>
      </tp>
      <tp>
        <v>2.8029999999999999</v>
        <stp/>
        <stp>##V3_BDHV12</stp>
        <stp>US0003M Index</stp>
        <stp>PX_LAST</stp>
        <stp>27/12/2018</stp>
        <stp>27/12/2018</stp>
        <stp>[RV_LINE_PRICER.xlsm]FixingTables!R35C9</stp>
        <tr r="I35" s="5"/>
      </tp>
      <tp>
        <v>2.706</v>
        <stp/>
        <stp>##V3_BDHV12</stp>
        <stp>US0003M Index</stp>
        <stp>PX_LAST</stp>
        <stp>27/11/2018</stp>
        <stp>27/11/2018</stp>
        <stp>[RV_LINE_PRICER.xlsm]FixingTables!R55C9</stp>
        <tr r="I55" s="5"/>
      </tp>
      <tp>
        <v>2.7789999999999999</v>
        <stp/>
        <stp>##V3_BDHV12</stp>
        <stp>US0003M Index</stp>
        <stp>PX_LAST</stp>
        <stp>11/12/2018</stp>
        <stp>11/12/2018</stp>
        <stp>[RV_LINE_PRICER.xlsm]FixingTables!R45C9</stp>
        <tr r="I45" s="5"/>
      </tp>
      <tp>
        <v>2.74438</v>
        <stp/>
        <stp>##V3_BDHV12</stp>
        <stp>US0003M Index</stp>
        <stp>PX_LAST</stp>
        <stp>29/01/2019</stp>
        <stp>29/01/2019</stp>
        <stp>[RV_LINE_PRICER.xlsm]FixingTables!R14C9</stp>
        <tr r="I14" s="5"/>
      </tp>
      <tp>
        <v>2.5203799999999998</v>
        <stp/>
        <stp>##V3_BDHV12</stp>
        <stp>US0003M Index</stp>
        <stp>PX_LAST</stp>
        <stp>26/10/2018</stp>
        <stp>26/10/2018</stp>
        <stp>[RV_LINE_PRICER.xlsm]FixingTables!R75C9</stp>
        <tr r="I75" s="5"/>
      </tp>
      <tp>
        <v>2.5000000000000001E-3</v>
        <stp/>
        <stp>##V3_BDHV12</stp>
        <stp>JY0006M Index</stp>
        <stp>PX_LAST</stp>
        <stp>16/01/2019</stp>
        <stp>16/01/2019</stp>
        <stp>[RV_LINE_PRICER.xlsm]FixingTables!R22C24</stp>
        <tr r="X22" s="5"/>
      </tp>
      <tp>
        <v>1.0999999999999999E-2</v>
        <stp/>
        <stp>##V3_BDHV12</stp>
        <stp>JY0006M Index</stp>
        <stp>PX_LAST</stp>
        <stp>06/11/2018</stp>
        <stp>06/11/2018</stp>
        <stp>[RV_LINE_PRICER.xlsm]FixingTables!R70C24</stp>
        <tr r="X70" s="5"/>
      </tp>
      <tp>
        <v>1.417E-2</v>
        <stp/>
        <stp>##V3_BDHV12</stp>
        <stp>JY0006M Index</stp>
        <stp>PX_LAST</stp>
        <stp>16/10/2018</stp>
        <stp>16/10/2018</stp>
        <stp>[RV_LINE_PRICER.xlsm]FixingTables!R85C24</stp>
        <tr r="X85" s="5"/>
      </tp>
      <tp>
        <v>-3.0000000000000001E-3</v>
        <stp/>
        <stp>##V3_BDHV12</stp>
        <stp>JY0006M Index</stp>
        <stp>PX_LAST</stp>
        <stp>17/01/2019</stp>
        <stp>17/01/2019</stp>
        <stp>[RV_LINE_PRICER.xlsm]FixingTables!R21C24</stp>
        <tr r="X21" s="5"/>
      </tp>
      <tp>
        <v>8.8299999999999993E-3</v>
        <stp/>
        <stp>##V3_BDHV12</stp>
        <stp>JY0006M Index</stp>
        <stp>PX_LAST</stp>
        <stp>07/11/2018</stp>
        <stp>07/11/2018</stp>
        <stp>[RV_LINE_PRICER.xlsm]FixingTables!R69C24</stp>
        <tr r="X69" s="5"/>
      </tp>
      <tp>
        <v>1.2999999999999999E-2</v>
        <stp/>
        <stp>##V3_BDHV12</stp>
        <stp>JY0006M Index</stp>
        <stp>PX_LAST</stp>
        <stp>17/10/2018</stp>
        <stp>17/10/2018</stp>
        <stp>[RV_LINE_PRICER.xlsm]FixingTables!R84C24</stp>
        <tr r="X84" s="5"/>
      </tp>
      <tp>
        <v>1.2E-2</v>
        <stp/>
        <stp>##V3_BDHV12</stp>
        <stp>JY0006M Index</stp>
        <stp>PX_LAST</stp>
        <stp>14/01/2019</stp>
        <stp>14/01/2019</stp>
        <stp>[RV_LINE_PRICER.xlsm]FixingTables!R24C24</stp>
        <tr r="X24" s="5"/>
      </tp>
      <tp>
        <v>7.3299999999999997E-3</v>
        <stp/>
        <stp>##V3_BDHV12</stp>
        <stp>JY0006M Index</stp>
        <stp>PX_LAST</stp>
        <stp>15/01/2019</stp>
        <stp>15/01/2019</stp>
        <stp>[RV_LINE_PRICER.xlsm]FixingTables!R23C24</stp>
        <tr r="X23" s="5"/>
      </tp>
      <tp>
        <v>1.367E-2</v>
        <stp/>
        <stp>##V3_BDHV12</stp>
        <stp>JY0006M Index</stp>
        <stp>PX_LAST</stp>
        <stp>05/11/2018</stp>
        <stp>05/11/2018</stp>
        <stp>[RV_LINE_PRICER.xlsm]FixingTables!R71C24</stp>
        <tr r="X71" s="5"/>
      </tp>
      <tp>
        <v>9.8300000000000002E-3</v>
        <stp/>
        <stp>##V3_BDHV12</stp>
        <stp>JY0006M Index</stp>
        <stp>PX_LAST</stp>
        <stp>15/10/2018</stp>
        <stp>15/10/2018</stp>
        <stp>[RV_LINE_PRICER.xlsm]FixingTables!R86C24</stp>
        <tr r="X86" s="5"/>
      </tp>
      <tp>
        <v>9.4999999999999998E-3</v>
        <stp/>
        <stp>##V3_BDHV12</stp>
        <stp>JY0006M Index</stp>
        <stp>PX_LAST</stp>
        <stp>02/11/2018</stp>
        <stp>02/11/2018</stp>
        <stp>[RV_LINE_PRICER.xlsm]FixingTables!R72C24</stp>
        <tr r="X72" s="5"/>
      </tp>
      <tp>
        <v>6.0000000000000001E-3</v>
        <stp/>
        <stp>##V3_BDHV12</stp>
        <stp>JY0006M Index</stp>
        <stp>PX_LAST</stp>
        <stp>12/10/2018</stp>
        <stp>12/10/2018</stp>
        <stp>[RV_LINE_PRICER.xlsm]FixingTables!R87C24</stp>
        <tr r="X87" s="5"/>
      </tp>
      <tp>
        <v>1.167E-2</v>
        <stp/>
        <stp>##V3_BDHV12</stp>
        <stp>JY0006M Index</stp>
        <stp>PX_LAST</stp>
        <stp>10/01/2019</stp>
        <stp>10/01/2019</stp>
        <stp>[RV_LINE_PRICER.xlsm]FixingTables!R26C24</stp>
        <tr r="X26" s="5"/>
      </tp>
      <tp>
        <v>9.3299999999999998E-3</v>
        <stp/>
        <stp>##V3_BDHV12</stp>
        <stp>JY0006M Index</stp>
        <stp>PX_LAST</stp>
        <stp>10/10/2018</stp>
        <stp>10/10/2018</stp>
        <stp>[RV_LINE_PRICER.xlsm]FixingTables!R89C24</stp>
        <tr r="X89" s="5"/>
      </tp>
      <tp>
        <v>1.5169999999999999E-2</v>
        <stp/>
        <stp>##V3_BDHV12</stp>
        <stp>JY0006M Index</stp>
        <stp>PX_LAST</stp>
        <stp>01/11/2018</stp>
        <stp>01/11/2018</stp>
        <stp>[RV_LINE_PRICER.xlsm]FixingTables!R73C24</stp>
        <tr r="X73" s="5"/>
      </tp>
      <tp>
        <v>1.0330000000000001E-2</v>
        <stp/>
        <stp>##V3_BDHV12</stp>
        <stp>JY0006M Index</stp>
        <stp>PX_LAST</stp>
        <stp>11/01/2019</stp>
        <stp>11/01/2019</stp>
        <stp>[RV_LINE_PRICER.xlsm]FixingTables!R25C24</stp>
        <tr r="X25" s="5"/>
      </tp>
      <tp>
        <v>9.8300000000000002E-3</v>
        <stp/>
        <stp>##V3_BDHV12</stp>
        <stp>JY0006M Index</stp>
        <stp>PX_LAST</stp>
        <stp>31/12/2018</stp>
        <stp>31/12/2018</stp>
        <stp>[RV_LINE_PRICER.xlsm]FixingTables!R33C24</stp>
        <tr r="X33" s="5"/>
      </tp>
      <tp>
        <v>7.8300000000000002E-3</v>
        <stp/>
        <stp>##V3_BDHV12</stp>
        <stp>JY0006M Index</stp>
        <stp>PX_LAST</stp>
        <stp>11/10/2018</stp>
        <stp>11/10/2018</stp>
        <stp>[RV_LINE_PRICER.xlsm]FixingTables!R88C24</stp>
        <tr r="X88" s="5"/>
      </tp>
      <tp t="s">
        <v>20/02/2020</v>
        <stp/>
        <stp>##V3_BDPV12</stp>
        <stp>XS1193905160 Corp</stp>
        <stp>MATURITY</stp>
        <stp>[RV_LINE_PRICER.xlsm]FloatBondSingle!R24C22</stp>
        <tr r="V24" s="23"/>
        <tr r="V24" s="23"/>
      </tp>
      <tp>
        <v>1.1169999999999999E-2</v>
        <stp/>
        <stp>##V3_BDHV12</stp>
        <stp>JY0006M Index</stp>
        <stp>PX_LAST</stp>
        <stp>18/10/2018</stp>
        <stp>18/10/2018</stp>
        <stp>[RV_LINE_PRICER.xlsm]FixingTables!R83C24</stp>
        <tr r="X83" s="5"/>
      </tp>
      <tp>
        <v>6.8300000000000001E-3</v>
        <stp/>
        <stp>##V3_BDHV12</stp>
        <stp>JY0006M Index</stp>
        <stp>PX_LAST</stp>
        <stp>08/11/2018</stp>
        <stp>08/11/2018</stp>
        <stp>[RV_LINE_PRICER.xlsm]FixingTables!R68C24</stp>
        <tr r="X68" s="5"/>
      </tp>
      <tp>
        <v>-7.3299999999999997E-3</v>
        <stp/>
        <stp>##V3_BDHV12</stp>
        <stp>JY0006M Index</stp>
        <stp>PX_LAST</stp>
        <stp>18/01/2019</stp>
        <stp>18/01/2019</stp>
        <stp>[RV_LINE_PRICER.xlsm]FixingTables!R20C24</stp>
        <tr r="X20" s="5"/>
      </tp>
      <tp>
        <v>1.2330000000000001E-2</v>
        <stp/>
        <stp>##V3_BDHV12</stp>
        <stp>JY0006M Index</stp>
        <stp>PX_LAST</stp>
        <stp>19/10/2018</stp>
        <stp>19/10/2018</stp>
        <stp>[RV_LINE_PRICER.xlsm]FixingTables!R82C24</stp>
        <tr r="X82" s="5"/>
      </tp>
      <tp>
        <v>8.9999999999999993E-3</v>
        <stp/>
        <stp>##V3_BDHV12</stp>
        <stp>JY0006M Index</stp>
        <stp>PX_LAST</stp>
        <stp>09/11/2018</stp>
        <stp>09/11/2018</stp>
        <stp>[RV_LINE_PRICER.xlsm]FixingTables!R67C24</stp>
        <tr r="X67" s="5"/>
      </tp>
      <tp>
        <v>21</v>
        <stp/>
        <stp>##V3_BDPV12</stp>
        <stp>XS1193905160 Corp</stp>
        <stp>CALC_TYP</stp>
        <stp>[RV_LINE_PRICER.xlsm]FloatBonds!R8C223</stp>
        <tr r="HO8" s="18"/>
      </tp>
      <tp>
        <v>21</v>
        <stp/>
        <stp>##V3_BDPV12</stp>
        <stp>XS1193905160 Corp</stp>
        <stp>CALC_TYP</stp>
        <stp>[RV_LINE_PRICER.xlsm]FloatBonds!R9C223</stp>
        <tr r="HO9" s="18"/>
      </tp>
      <tp>
        <v>21</v>
        <stp/>
        <stp>##V3_BDPV12</stp>
        <stp>XS1193905160 Corp</stp>
        <stp>CALC_TYP</stp>
        <stp>[RV_LINE_PRICER.xlsm]FloatBonds!R7C223</stp>
        <tr r="HO7" s="18"/>
      </tp>
      <tp>
        <v>3.2444999999999999</v>
        <stp/>
        <stp>##V3_BDPV12</stp>
        <stp>XS1193905160 Corp</stp>
        <stp>CPN</stp>
        <stp>[RV_LINE_PRICER.xlsm]FloatBonds!R7C213</stp>
        <tr r="HE7" s="18"/>
      </tp>
      <tp>
        <v>3.2444999999999999</v>
        <stp/>
        <stp>##V3_BDPV12</stp>
        <stp>XS1193905160 Corp</stp>
        <stp>CPN</stp>
        <stp>[RV_LINE_PRICER.xlsm]FloatBonds!R9C213</stp>
        <tr r="HE9" s="18"/>
      </tp>
      <tp>
        <v>3.2444999999999999</v>
        <stp/>
        <stp>##V3_BDPV12</stp>
        <stp>XS1193905160 Corp</stp>
        <stp>CPN</stp>
        <stp>[RV_LINE_PRICER.xlsm]FloatBonds!R8C213</stp>
        <tr r="HE8" s="18"/>
      </tp>
      <tp>
        <v>1.9300000000000002</v>
        <stp/>
        <stp>##V3_BDHV12</stp>
        <stp>ADBB3M Index</stp>
        <stp>PX_LAST</stp>
        <stp>19/10/2018</stp>
        <stp>19/10/2018</stp>
        <stp>[RV_LINE_PRICER.xlsm]FixingTables!R82C15</stp>
        <tr r="O82" s="5"/>
      </tp>
      <tp>
        <v>1.94</v>
        <stp/>
        <stp>##V3_BDHV12</stp>
        <stp>ADBB3M Index</stp>
        <stp>PX_LAST</stp>
        <stp>09/11/2018</stp>
        <stp>09/11/2018</stp>
        <stp>[RV_LINE_PRICER.xlsm]FixingTables!R67C15</stp>
        <tr r="O67" s="5"/>
      </tp>
      <tp>
        <v>1.9300000000000002</v>
        <stp/>
        <stp>##V3_BDHV12</stp>
        <stp>ADBB3M Index</stp>
        <stp>PX_LAST</stp>
        <stp>18/10/2018</stp>
        <stp>18/10/2018</stp>
        <stp>[RV_LINE_PRICER.xlsm]FixingTables!R83C15</stp>
        <tr r="O83" s="5"/>
      </tp>
      <tp>
        <v>2.0655999999999999</v>
        <stp/>
        <stp>##V3_BDHV12</stp>
        <stp>ADBB3M Index</stp>
        <stp>PX_LAST</stp>
        <stp>18/01/2019</stp>
        <stp>18/01/2019</stp>
        <stp>[RV_LINE_PRICER.xlsm]FixingTables!R20C15</stp>
        <tr r="O20" s="5"/>
      </tp>
      <tp>
        <v>1.94</v>
        <stp/>
        <stp>##V3_BDHV12</stp>
        <stp>ADBB3M Index</stp>
        <stp>PX_LAST</stp>
        <stp>08/11/2018</stp>
        <stp>08/11/2018</stp>
        <stp>[RV_LINE_PRICER.xlsm]FixingTables!R68C15</stp>
        <tr r="O68" s="5"/>
      </tp>
      <tp>
        <v>1.9350000000000001</v>
        <stp/>
        <stp>##V3_BDHV12</stp>
        <stp>ADBB3M Index</stp>
        <stp>PX_LAST</stp>
        <stp>05/11/2018</stp>
        <stp>05/11/2018</stp>
        <stp>[RV_LINE_PRICER.xlsm]FixingTables!R71C15</stp>
        <tr r="O71" s="5"/>
      </tp>
      <tp>
        <v>2.0688</v>
        <stp/>
        <stp>##V3_BDHV12</stp>
        <stp>ADBB3M Index</stp>
        <stp>PX_LAST</stp>
        <stp>15/01/2019</stp>
        <stp>15/01/2019</stp>
        <stp>[RV_LINE_PRICER.xlsm]FixingTables!R23C15</stp>
        <tr r="O23" s="5"/>
      </tp>
      <tp>
        <v>1.94</v>
        <stp/>
        <stp>##V3_BDHV12</stp>
        <stp>ADBB3M Index</stp>
        <stp>PX_LAST</stp>
        <stp>15/10/2018</stp>
        <stp>15/10/2018</stp>
        <stp>[RV_LINE_PRICER.xlsm]FixingTables!R86C15</stp>
        <tr r="O86" s="5"/>
      </tp>
      <tp>
        <v>2.06</v>
        <stp/>
        <stp>##V3_BDHV12</stp>
        <stp>ADBB3M Index</stp>
        <stp>PX_LAST</stp>
        <stp>14/01/2019</stp>
        <stp>14/01/2019</stp>
        <stp>[RV_LINE_PRICER.xlsm]FixingTables!R24C15</stp>
        <tr r="O24" s="5"/>
      </tp>
      <tp>
        <v>1.94</v>
        <stp/>
        <stp>##V3_BDHV12</stp>
        <stp>ADBB3M Index</stp>
        <stp>PX_LAST</stp>
        <stp>07/11/2018</stp>
        <stp>07/11/2018</stp>
        <stp>[RV_LINE_PRICER.xlsm]FixingTables!R69C15</stp>
        <tr r="O69" s="5"/>
      </tp>
      <tp>
        <v>2.06</v>
        <stp/>
        <stp>##V3_BDHV12</stp>
        <stp>ADBB3M Index</stp>
        <stp>PX_LAST</stp>
        <stp>17/01/2019</stp>
        <stp>17/01/2019</stp>
        <stp>[RV_LINE_PRICER.xlsm]FixingTables!R21C15</stp>
        <tr r="O21" s="5"/>
      </tp>
      <tp>
        <v>1.9300000000000002</v>
        <stp/>
        <stp>##V3_BDHV12</stp>
        <stp>ADBB3M Index</stp>
        <stp>PX_LAST</stp>
        <stp>17/10/2018</stp>
        <stp>17/10/2018</stp>
        <stp>[RV_LINE_PRICER.xlsm]FixingTables!R84C15</stp>
        <tr r="O84" s="5"/>
      </tp>
      <tp>
        <v>1.9398</v>
        <stp/>
        <stp>##V3_BDHV12</stp>
        <stp>ADBB3M Index</stp>
        <stp>PX_LAST</stp>
        <stp>06/11/2018</stp>
        <stp>06/11/2018</stp>
        <stp>[RV_LINE_PRICER.xlsm]FixingTables!R70C15</stp>
        <tr r="O70" s="5"/>
      </tp>
      <tp>
        <v>2.06</v>
        <stp/>
        <stp>##V3_BDHV12</stp>
        <stp>ADBB3M Index</stp>
        <stp>PX_LAST</stp>
        <stp>16/01/2019</stp>
        <stp>16/01/2019</stp>
        <stp>[RV_LINE_PRICER.xlsm]FixingTables!R22C15</stp>
        <tr r="O22" s="5"/>
      </tp>
      <tp>
        <v>1.94</v>
        <stp/>
        <stp>##V3_BDHV12</stp>
        <stp>ADBB3M Index</stp>
        <stp>PX_LAST</stp>
        <stp>16/10/2018</stp>
        <stp>16/10/2018</stp>
        <stp>[RV_LINE_PRICER.xlsm]FixingTables!R85C15</stp>
        <tr r="O85" s="5"/>
      </tp>
      <tp>
        <v>2.06</v>
        <stp/>
        <stp>##V3_BDHV12</stp>
        <stp>ADBB3M Index</stp>
        <stp>PX_LAST</stp>
        <stp>11/01/2019</stp>
        <stp>11/01/2019</stp>
        <stp>[RV_LINE_PRICER.xlsm]FixingTables!R25C15</stp>
        <tr r="O25" s="5"/>
      </tp>
      <tp>
        <v>2.09</v>
        <stp/>
        <stp>##V3_BDHV12</stp>
        <stp>ADBB3M Index</stp>
        <stp>PX_LAST</stp>
        <stp>31/12/2018</stp>
        <stp>31/12/2018</stp>
        <stp>[RV_LINE_PRICER.xlsm]FixingTables!R33C15</stp>
        <tr r="O33" s="5"/>
      </tp>
      <tp>
        <v>1.92</v>
        <stp/>
        <stp>##V3_BDHV12</stp>
        <stp>ADBB3M Index</stp>
        <stp>PX_LAST</stp>
        <stp>01/11/2018</stp>
        <stp>01/11/2018</stp>
        <stp>[RV_LINE_PRICER.xlsm]FixingTables!R73C15</stp>
        <tr r="O73" s="5"/>
      </tp>
      <tp>
        <v>1.9384999999999999</v>
        <stp/>
        <stp>##V3_BDHV12</stp>
        <stp>ADBB3M Index</stp>
        <stp>PX_LAST</stp>
        <stp>11/10/2018</stp>
        <stp>11/10/2018</stp>
        <stp>[RV_LINE_PRICER.xlsm]FixingTables!R88C15</stp>
        <tr r="O88" s="5"/>
      </tp>
      <tp>
        <v>2.06</v>
        <stp/>
        <stp>##V3_BDHV12</stp>
        <stp>ADBB3M Index</stp>
        <stp>PX_LAST</stp>
        <stp>10/01/2019</stp>
        <stp>10/01/2019</stp>
        <stp>[RV_LINE_PRICER.xlsm]FixingTables!R26C15</stp>
        <tr r="O26" s="5"/>
      </tp>
      <tp>
        <v>1.9300000000000002</v>
        <stp/>
        <stp>##V3_BDHV12</stp>
        <stp>ADBB3M Index</stp>
        <stp>PX_LAST</stp>
        <stp>10/10/2018</stp>
        <stp>10/10/2018</stp>
        <stp>[RV_LINE_PRICER.xlsm]FixingTables!R89C15</stp>
        <tr r="O89" s="5"/>
      </tp>
      <tp>
        <v>1.925</v>
        <stp/>
        <stp>##V3_BDHV12</stp>
        <stp>ADBB3M Index</stp>
        <stp>PX_LAST</stp>
        <stp>02/11/2018</stp>
        <stp>02/11/2018</stp>
        <stp>[RV_LINE_PRICER.xlsm]FixingTables!R72C15</stp>
        <tr r="O72" s="5"/>
      </tp>
      <tp>
        <v>1.94</v>
        <stp/>
        <stp>##V3_BDHV12</stp>
        <stp>ADBB3M Index</stp>
        <stp>PX_LAST</stp>
        <stp>12/10/2018</stp>
        <stp>12/10/2018</stp>
        <stp>[RV_LINE_PRICER.xlsm]FixingTables!R87C15</stp>
        <tr r="O87" s="5"/>
      </tp>
      <tp t="s">
        <v>ISMA-30/360</v>
        <stp/>
        <stp>##V3_BDPV12</stp>
        <stp>XS1209910196 Corp</stp>
        <stp>DAY_CNT_DES</stp>
        <stp>[RV_LINE_PRICER.xlsm]FixedBonds!R8C47</stp>
        <tr r="AU8" s="1"/>
      </tp>
      <tp t="s">
        <v>08/04/2015</v>
        <stp/>
        <stp>##V3_BDPV12</stp>
        <stp>XS1215869915 Corp</stp>
        <stp>ISSUE_DT</stp>
        <stp>[RV_LINE_PRICER.xlsm]FixedBonds!R8C202</stp>
        <tr r="GT8" s="1"/>
      </tp>
      <tp>
        <v>60</v>
        <stp/>
        <stp>##V3_BDPV12</stp>
        <stp>XS1193905160 Corp</stp>
        <stp>FLT_SPREAD</stp>
        <stp>[RV_LINE_PRICER.xlsm]FloatBonds!R7C222</stp>
        <tr r="HN7" s="18"/>
      </tp>
      <tp>
        <v>60</v>
        <stp/>
        <stp>##V3_BDPV12</stp>
        <stp>XS1193905160 Corp</stp>
        <stp>FLT_SPREAD</stp>
        <stp>[RV_LINE_PRICER.xlsm]FloatBonds!R9C222</stp>
        <tr r="HN9" s="18"/>
      </tp>
      <tp>
        <v>60</v>
        <stp/>
        <stp>##V3_BDPV12</stp>
        <stp>XS1193905160 Corp</stp>
        <stp>FLT_SPREAD</stp>
        <stp>[RV_LINE_PRICER.xlsm]FloatBonds!R8C222</stp>
        <tr r="HN8" s="18"/>
      </tp>
      <tp t="b">
        <v>0</v>
        <stp/>
        <stp>##V3_BDPV12</stp>
        <stp/>
        <stp>DAY_CNT_DES</stp>
        <stp>[RV_LINE_PRICER.xlsm]XccyFixedBonds!R26C54</stp>
        <tr r="BB26" s="16"/>
        <tr r="BB26" s="16"/>
      </tp>
      <tp t="b">
        <v>0</v>
        <stp/>
        <stp>##V3_BDPV12</stp>
        <stp/>
        <stp>DAY_CNT_DES</stp>
        <stp>[RV_LINE_PRICER.xlsm]XccyFixedBonds!R24C54</stp>
        <tr r="BB24" s="16"/>
        <tr r="BB24" s="16"/>
      </tp>
      <tp t="b">
        <v>0</v>
        <stp/>
        <stp>##V3_BDPV12</stp>
        <stp/>
        <stp>DAY_CNT_DES</stp>
        <stp>[RV_LINE_PRICER.xlsm]XccyFixedBonds!R25C54</stp>
        <tr r="BB25" s="16"/>
        <tr r="BB25" s="16"/>
      </tp>
      <tp t="b">
        <v>0</v>
        <stp/>
        <stp>##V3_BDPV12</stp>
        <stp/>
        <stp>DAY_CNT_DES</stp>
        <stp>[RV_LINE_PRICER.xlsm]XccyFixedBonds!R22C54</stp>
        <tr r="BB22" s="16"/>
        <tr r="BB22" s="16"/>
      </tp>
      <tp t="b">
        <v>0</v>
        <stp/>
        <stp>##V3_BDPV12</stp>
        <stp/>
        <stp>DAY_CNT_DES</stp>
        <stp>[RV_LINE_PRICER.xlsm]XccyFixedBonds!R23C54</stp>
        <tr r="BB23" s="16"/>
        <tr r="BB23" s="16"/>
      </tp>
      <tp t="b">
        <v>0</v>
        <stp/>
        <stp>##V3_BDPV12</stp>
        <stp/>
        <stp>DAY_CNT_DES</stp>
        <stp>[RV_LINE_PRICER.xlsm]XccyFixedBonds!R20C54</stp>
        <tr r="BB20" s="16"/>
        <tr r="BB20" s="16"/>
      </tp>
      <tp t="b">
        <v>0</v>
        <stp/>
        <stp>##V3_BDPV12</stp>
        <stp/>
        <stp>DAY_CNT_DES</stp>
        <stp>[RV_LINE_PRICER.xlsm]XccyFixedBonds!R21C54</stp>
        <tr r="BB21" s="16"/>
        <tr r="BB21" s="16"/>
      </tp>
      <tp t="b">
        <v>0</v>
        <stp/>
        <stp>##V3_BDPV12</stp>
        <stp/>
        <stp>DAY_CNT_DES</stp>
        <stp>[RV_LINE_PRICER.xlsm]XccyFixedBonds!R18C54</stp>
        <tr r="BB18" s="16"/>
        <tr r="BB18" s="16"/>
      </tp>
      <tp t="b">
        <v>0</v>
        <stp/>
        <stp>##V3_BDPV12</stp>
        <stp/>
        <stp>DAY_CNT_DES</stp>
        <stp>[RV_LINE_PRICER.xlsm]XccyFixedBonds!R19C54</stp>
        <tr r="BB19" s="16"/>
        <tr r="BB19" s="16"/>
      </tp>
      <tp t="b">
        <v>0</v>
        <stp/>
        <stp>##V3_BDPV12</stp>
        <stp/>
        <stp>DAY_CNT_DES</stp>
        <stp>[RV_LINE_PRICER.xlsm]XccyFixedBonds!R16C54</stp>
        <tr r="BB16" s="16"/>
        <tr r="BB16" s="16"/>
      </tp>
      <tp t="b">
        <v>0</v>
        <stp/>
        <stp>##V3_BDPV12</stp>
        <stp/>
        <stp>DAY_CNT_DES</stp>
        <stp>[RV_LINE_PRICER.xlsm]XccyFixedBonds!R17C54</stp>
        <tr r="BB17" s="16"/>
        <tr r="BB17" s="16"/>
      </tp>
      <tp t="b">
        <v>0</v>
        <stp/>
        <stp>##V3_BDPV12</stp>
        <stp/>
        <stp>DAY_CNT_DES</stp>
        <stp>[RV_LINE_PRICER.xlsm]XccyFixedBonds!R14C54</stp>
        <tr r="BB14" s="16"/>
        <tr r="BB14" s="16"/>
      </tp>
      <tp t="b">
        <v>0</v>
        <stp/>
        <stp>##V3_BDPV12</stp>
        <stp/>
        <stp>DAY_CNT_DES</stp>
        <stp>[RV_LINE_PRICER.xlsm]XccyFixedBonds!R15C54</stp>
        <tr r="BB15" s="16"/>
        <tr r="BB15" s="16"/>
      </tp>
      <tp t="b">
        <v>0</v>
        <stp/>
        <stp>##V3_BDPV12</stp>
        <stp/>
        <stp>DAY_CNT_DES</stp>
        <stp>[RV_LINE_PRICER.xlsm]XccyFixedBonds!R12C54</stp>
        <tr r="BB12" s="16"/>
        <tr r="BB12" s="16"/>
      </tp>
      <tp t="b">
        <v>0</v>
        <stp/>
        <stp>##V3_BDPV12</stp>
        <stp/>
        <stp>DAY_CNT_DES</stp>
        <stp>[RV_LINE_PRICER.xlsm]XccyFixedBonds!R13C54</stp>
        <tr r="BB13" s="16"/>
        <tr r="BB13" s="16"/>
      </tp>
      <tp t="s">
        <v>20/11/2019</v>
        <stp/>
        <stp>##V3_BDPV12</stp>
        <stp>XS1193905160 Corp</stp>
        <stp>PENULTIMATE_CPN_DT</stp>
        <stp>[RV_LINE_PRICER.xlsm]FloatBondSingle!R23C22</stp>
        <tr r="V23" s="23"/>
        <tr r="V23" s="23"/>
      </tp>
      <tp>
        <v>1.925</v>
        <stp/>
        <stp>##V3_BDHV12</stp>
        <stp>ADBB3M Index</stp>
        <stp>PX_LAST</stp>
        <stp>08/10/2018</stp>
        <stp>08/10/2018</stp>
        <stp>[RV_LINE_PRICER.xlsm]FixingTables!R91C15</stp>
        <tr r="O91" s="5"/>
      </tp>
      <tp>
        <v>2.0499999999999998</v>
        <stp/>
        <stp>##V3_BDHV12</stp>
        <stp>ADBB3M Index</stp>
        <stp>PX_LAST</stp>
        <stp>08/01/2019</stp>
        <stp>08/01/2019</stp>
        <stp>[RV_LINE_PRICER.xlsm]FixingTables!R28C15</stp>
        <tr r="O28" s="5"/>
      </tp>
      <tp>
        <v>2.0887000000000002</v>
        <stp/>
        <stp>##V3_BDHV12</stp>
        <stp>ADBB3M Index</stp>
        <stp>PX_LAST</stp>
        <stp>28/12/2018</stp>
        <stp>28/12/2018</stp>
        <stp>[RV_LINE_PRICER.xlsm]FixingTables!R34C15</stp>
        <tr r="O34" s="5"/>
      </tp>
      <tp>
        <v>1.9300000000000002</v>
        <stp/>
        <stp>##V3_BDHV12</stp>
        <stp>ADBB3M Index</stp>
        <stp>PX_LAST</stp>
        <stp>09/10/2018</stp>
        <stp>09/10/2018</stp>
        <stp>[RV_LINE_PRICER.xlsm]FixingTables!R90C15</stp>
        <tr r="O90" s="5"/>
      </tp>
      <tp>
        <v>2.0499999999999998</v>
        <stp/>
        <stp>##V3_BDHV12</stp>
        <stp>ADBB3M Index</stp>
        <stp>PX_LAST</stp>
        <stp>09/01/2019</stp>
        <stp>09/01/2019</stp>
        <stp>[RV_LINE_PRICER.xlsm]FixingTables!R27C15</stp>
        <tr r="O27" s="5"/>
      </tp>
      <tp>
        <v>1.94</v>
        <stp/>
        <stp>##V3_BDHV12</stp>
        <stp>ADBB3M Index</stp>
        <stp>PX_LAST</stp>
        <stp>19/11/2018</stp>
        <stp>19/11/2018</stp>
        <stp>[RV_LINE_PRICER.xlsm]FixingTables!R61C15</stp>
        <tr r="O61" s="5"/>
      </tp>
      <tp>
        <v>1.9438</v>
        <stp/>
        <stp>##V3_BDHV12</stp>
        <stp>ADBB3M Index</stp>
        <stp>PX_LAST</stp>
        <stp>14/11/2018</stp>
        <stp>14/11/2018</stp>
        <stp>[RV_LINE_PRICER.xlsm]FixingTables!R64C15</stp>
        <tr r="O64" s="5"/>
      </tp>
      <tp>
        <v>2.06</v>
        <stp/>
        <stp>##V3_BDHV12</stp>
        <stp>ADBB3M Index</stp>
        <stp>PX_LAST</stp>
        <stp>04/01/2019</stp>
        <stp>04/01/2019</stp>
        <stp>[RV_LINE_PRICER.xlsm]FixingTables!R30C15</stp>
        <tr r="O30" s="5"/>
      </tp>
      <tp>
        <v>2.08</v>
        <stp/>
        <stp>##V3_BDHV12</stp>
        <stp>ADBB3M Index</stp>
        <stp>PX_LAST</stp>
        <stp>24/12/2018</stp>
        <stp>24/12/2018</stp>
        <stp>[RV_LINE_PRICER.xlsm]FixingTables!R36C15</stp>
        <tr r="O36" s="5"/>
      </tp>
      <tp>
        <v>1.9350000000000001</v>
        <stp/>
        <stp>##V3_BDHV12</stp>
        <stp>ADBB3M Index</stp>
        <stp>PX_LAST</stp>
        <stp>04/10/2018</stp>
        <stp>04/10/2018</stp>
        <stp>[RV_LINE_PRICER.xlsm]FixingTables!R93C15</stp>
        <tr r="O93" s="5"/>
      </tp>
      <tp>
        <v>1.94</v>
        <stp/>
        <stp>##V3_BDHV12</stp>
        <stp>ADBB3M Index</stp>
        <stp>PX_LAST</stp>
        <stp>15/11/2018</stp>
        <stp>15/11/2018</stp>
        <stp>[RV_LINE_PRICER.xlsm]FixingTables!R63C15</stp>
        <tr r="O63" s="5"/>
      </tp>
      <tp>
        <v>1.9275</v>
        <stp/>
        <stp>##V3_BDHV12</stp>
        <stp>ADBB3M Index</stp>
        <stp>PX_LAST</stp>
        <stp>05/10/2018</stp>
        <stp>05/10/2018</stp>
        <stp>[RV_LINE_PRICER.xlsm]FixingTables!R92C15</stp>
        <tr r="O92" s="5"/>
      </tp>
      <tp>
        <v>1.94</v>
        <stp/>
        <stp>##V3_BDHV12</stp>
        <stp>ADBB3M Index</stp>
        <stp>PX_LAST</stp>
        <stp>16/11/2018</stp>
        <stp>16/11/2018</stp>
        <stp>[RV_LINE_PRICER.xlsm]FixingTables!R62C15</stp>
        <tr r="O62" s="5"/>
      </tp>
      <tp>
        <v>2.06</v>
        <stp/>
        <stp>##V3_BDHV12</stp>
        <stp>ADBB3M Index</stp>
        <stp>PX_LAST</stp>
        <stp>07/01/2019</stp>
        <stp>07/01/2019</stp>
        <stp>[RV_LINE_PRICER.xlsm]FixingTables!R29C15</stp>
        <tr r="O29" s="5"/>
      </tp>
      <tp>
        <v>2.0887000000000002</v>
        <stp/>
        <stp>##V3_BDHV12</stp>
        <stp>ADBB3M Index</stp>
        <stp>PX_LAST</stp>
        <stp>27/12/2018</stp>
        <stp>27/12/2018</stp>
        <stp>[RV_LINE_PRICER.xlsm]FixingTables!R35C15</stp>
        <tr r="O35" s="5"/>
      </tp>
      <tp>
        <v>2.0699999999999998</v>
        <stp/>
        <stp>##V3_BDHV12</stp>
        <stp>ADBB3M Index</stp>
        <stp>PX_LAST</stp>
        <stp>20/12/2018</stp>
        <stp>20/12/2018</stp>
        <stp>[RV_LINE_PRICER.xlsm]FixingTables!R38C15</stp>
        <tr r="O38" s="5"/>
      </tp>
      <tp>
        <v>2.0699999999999998</v>
        <stp/>
        <stp>##V3_BDHV12</stp>
        <stp>ADBB3M Index</stp>
        <stp>PX_LAST</stp>
        <stp>21/12/2018</stp>
        <stp>21/12/2018</stp>
        <stp>[RV_LINE_PRICER.xlsm]FixingTables!R37C15</stp>
        <tr r="O37" s="5"/>
      </tp>
      <tp>
        <v>2.08</v>
        <stp/>
        <stp>##V3_BDHV12</stp>
        <stp>ADBB3M Index</stp>
        <stp>PX_LAST</stp>
        <stp>02/01/2019</stp>
        <stp>02/01/2019</stp>
        <stp>[RV_LINE_PRICER.xlsm]FixingTables!R32C15</stp>
        <tr r="O32" s="5"/>
      </tp>
      <tp>
        <v>1.94</v>
        <stp/>
        <stp>##V3_BDHV12</stp>
        <stp>ADBB3M Index</stp>
        <stp>PX_LAST</stp>
        <stp>12/11/2018</stp>
        <stp>12/11/2018</stp>
        <stp>[RV_LINE_PRICER.xlsm]FixingTables!R66C15</stp>
        <tr r="O66" s="5"/>
      </tp>
      <tp>
        <v>1.9294</v>
        <stp/>
        <stp>##V3_BDHV12</stp>
        <stp>ADBB3M Index</stp>
        <stp>PX_LAST</stp>
        <stp>02/10/2018</stp>
        <stp>02/10/2018</stp>
        <stp>[RV_LINE_PRICER.xlsm]FixingTables!R95C15</stp>
        <tr r="O95" s="5"/>
      </tp>
      <tp>
        <v>2.06</v>
        <stp/>
        <stp>##V3_BDHV12</stp>
        <stp>ADBB3M Index</stp>
        <stp>PX_LAST</stp>
        <stp>03/01/2019</stp>
        <stp>03/01/2019</stp>
        <stp>[RV_LINE_PRICER.xlsm]FixingTables!R31C15</stp>
        <tr r="O31" s="5"/>
      </tp>
      <tp>
        <v>1.94</v>
        <stp/>
        <stp>##V3_BDHV12</stp>
        <stp>ADBB3M Index</stp>
        <stp>PX_LAST</stp>
        <stp>13/11/2018</stp>
        <stp>13/11/2018</stp>
        <stp>[RV_LINE_PRICER.xlsm]FixingTables!R65C15</stp>
        <tr r="O65" s="5"/>
      </tp>
      <tp>
        <v>1.9325000000000001</v>
        <stp/>
        <stp>##V3_BDHV12</stp>
        <stp>ADBB3M Index</stp>
        <stp>PX_LAST</stp>
        <stp>03/10/2018</stp>
        <stp>03/10/2018</stp>
        <stp>[RV_LINE_PRICER.xlsm]FixingTables!R94C15</stp>
        <tr r="O94" s="5"/>
      </tp>
      <tp>
        <v>-5.4829999999999997E-2</v>
        <stp/>
        <stp>##V3_BDHV12</stp>
        <stp>JY0003M Index</stp>
        <stp>PX_LAST</stp>
        <stp>28/09/2018</stp>
        <stp>28/09/2018</stp>
        <stp>[RV_LINE_PRICER.xlsm]FixingTables!R96C21</stp>
        <tr r="U96" s="5"/>
      </tp>
      <tp>
        <v>-4.3499999999999997E-2</v>
        <stp/>
        <stp>##V3_BDHV12</stp>
        <stp>JY0003M Index</stp>
        <stp>PX_LAST</stp>
        <stp>25/09/2018</stp>
        <stp>25/09/2018</stp>
        <stp>[RV_LINE_PRICER.xlsm]FixingTables!R99C21</stp>
        <tr r="U99" s="5"/>
      </tp>
      <tp>
        <v>-3.9170000000000003E-2</v>
        <stp/>
        <stp>##V3_BDHV12</stp>
        <stp>JY0003M Index</stp>
        <stp>PX_LAST</stp>
        <stp>26/09/2018</stp>
        <stp>26/09/2018</stp>
        <stp>[RV_LINE_PRICER.xlsm]FixingTables!R98C21</stp>
        <tr r="U98" s="5"/>
      </tp>
      <tp>
        <v>-4.6670000000000003E-2</v>
        <stp/>
        <stp>##V3_BDHV12</stp>
        <stp>JY0003M Index</stp>
        <stp>PX_LAST</stp>
        <stp>27/09/2018</stp>
        <stp>27/09/2018</stp>
        <stp>[RV_LINE_PRICER.xlsm]FixingTables!R97C21</stp>
        <tr r="U97" s="5"/>
      </tp>
      <tp>
        <v>2</v>
        <stp/>
        <stp>##V3_BDPV12</stp>
        <stp>XS1339542364 Corp</stp>
        <stp>CPN_FREQ</stp>
        <stp>[RV_LINE_PRICER.xlsm]FixedBonds!R7C208</stp>
        <tr r="GZ7" s="1"/>
      </tp>
      <tp>
        <v>2.0442999999999998</v>
        <stp/>
        <stp>##V3_BDHV12</stp>
        <stp>ADBB3M Index</stp>
        <stp>PX_LAST</stp>
        <stp>19/12/2018</stp>
        <stp>19/12/2018</stp>
        <stp>[RV_LINE_PRICER.xlsm]FixingTables!R39C15</stp>
        <tr r="O39" s="5"/>
      </tp>
      <tp>
        <v>1.95</v>
        <stp/>
        <stp>##V3_BDHV12</stp>
        <stp>ADBB3M Index</stp>
        <stp>PX_LAST</stp>
        <stp>29/11/2018</stp>
        <stp>29/11/2018</stp>
        <stp>[RV_LINE_PRICER.xlsm]FixingTables!R53C15</stp>
        <tr r="O53" s="5"/>
      </tp>
      <tp>
        <v>2.0299999999999998</v>
        <stp/>
        <stp>##V3_BDHV12</stp>
        <stp>ADBB3M Index</stp>
        <stp>PX_LAST</stp>
        <stp>18/12/2018</stp>
        <stp>18/12/2018</stp>
        <stp>[RV_LINE_PRICER.xlsm]FixingTables!R40C15</stp>
        <tr r="O40" s="5"/>
      </tp>
      <tp>
        <v>1.95</v>
        <stp/>
        <stp>##V3_BDHV12</stp>
        <stp>ADBB3M Index</stp>
        <stp>PX_LAST</stp>
        <stp>28/11/2018</stp>
        <stp>28/11/2018</stp>
        <stp>[RV_LINE_PRICER.xlsm]FixingTables!R54C15</stp>
        <tr r="O54" s="5"/>
      </tp>
      <tp>
        <v>1.95</v>
        <stp/>
        <stp>##V3_BDHV12</stp>
        <stp>ADBB3M Index</stp>
        <stp>PX_LAST</stp>
        <stp>27/11/2018</stp>
        <stp>27/11/2018</stp>
        <stp>[RV_LINE_PRICER.xlsm]FixingTables!R55C15</stp>
        <tr r="O55" s="5"/>
      </tp>
      <tp>
        <v>2.0299999999999998</v>
        <stp/>
        <stp>##V3_BDHV12</stp>
        <stp>ADBB3M Index</stp>
        <stp>PX_LAST</stp>
        <stp>17/12/2018</stp>
        <stp>17/12/2018</stp>
        <stp>[RV_LINE_PRICER.xlsm]FixingTables!R41C15</stp>
        <tr r="O41" s="5"/>
      </tp>
      <tp>
        <v>1.9506999999999999</v>
        <stp/>
        <stp>##V3_BDHV12</stp>
        <stp>ADBB3M Index</stp>
        <stp>PX_LAST</stp>
        <stp>26/11/2018</stp>
        <stp>26/11/2018</stp>
        <stp>[RV_LINE_PRICER.xlsm]FixingTables!R56C15</stp>
        <tr r="O56" s="5"/>
      </tp>
      <tp>
        <v>2.0225</v>
        <stp/>
        <stp>##V3_BDHV12</stp>
        <stp>ADBB3M Index</stp>
        <stp>PX_LAST</stp>
        <stp>14/12/2018</stp>
        <stp>14/12/2018</stp>
        <stp>[RV_LINE_PRICER.xlsm]FixingTables!R42C15</stp>
        <tr r="O42" s="5"/>
      </tp>
      <tp>
        <v>1.94</v>
        <stp/>
        <stp>##V3_BDHV12</stp>
        <stp>ADBB3M Index</stp>
        <stp>PX_LAST</stp>
        <stp>23/11/2018</stp>
        <stp>23/11/2018</stp>
        <stp>[RV_LINE_PRICER.xlsm]FixingTables!R57C15</stp>
        <tr r="O57" s="5"/>
      </tp>
      <tp>
        <v>2</v>
        <stp/>
        <stp>##V3_BDHV12</stp>
        <stp>ADBB3M Index</stp>
        <stp>PX_LAST</stp>
        <stp>13/12/2018</stp>
        <stp>13/12/2018</stp>
        <stp>[RV_LINE_PRICER.xlsm]FixingTables!R43C15</stp>
        <tr r="O43" s="5"/>
      </tp>
      <tp>
        <v>2</v>
        <stp/>
        <stp>##V3_BDHV12</stp>
        <stp>ADBB3M Index</stp>
        <stp>PX_LAST</stp>
        <stp>12/12/2018</stp>
        <stp>12/12/2018</stp>
        <stp>[RV_LINE_PRICER.xlsm]FixingTables!R44C15</stp>
        <tr r="O44" s="5"/>
      </tp>
      <tp>
        <v>1.94</v>
        <stp/>
        <stp>##V3_BDHV12</stp>
        <stp>ADBB3M Index</stp>
        <stp>PX_LAST</stp>
        <stp>22/11/2018</stp>
        <stp>22/11/2018</stp>
        <stp>[RV_LINE_PRICER.xlsm]FixingTables!R58C15</stp>
        <tr r="O58" s="5"/>
      </tp>
      <tp>
        <v>1.9100000000000001</v>
        <stp/>
        <stp>##V3_BDHV12</stp>
        <stp>ADBB3M Index</stp>
        <stp>PX_LAST</stp>
        <stp>31/10/2018</stp>
        <stp>31/10/2018</stp>
        <stp>[RV_LINE_PRICER.xlsm]FixingTables!R74C15</stp>
        <tr r="O74" s="5"/>
      </tp>
      <tp>
        <v>1.94</v>
        <stp/>
        <stp>##V3_BDHV12</stp>
        <stp>ADBB3M Index</stp>
        <stp>PX_LAST</stp>
        <stp>21/11/2018</stp>
        <stp>21/11/2018</stp>
        <stp>[RV_LINE_PRICER.xlsm]FixingTables!R59C15</stp>
        <tr r="O59" s="5"/>
      </tp>
      <tp>
        <v>1.9950000000000001</v>
        <stp/>
        <stp>##V3_BDHV12</stp>
        <stp>ADBB3M Index</stp>
        <stp>PX_LAST</stp>
        <stp>11/12/2018</stp>
        <stp>11/12/2018</stp>
        <stp>[RV_LINE_PRICER.xlsm]FixingTables!R45C15</stp>
        <tr r="O45" s="5"/>
      </tp>
      <tp>
        <v>2.0699999999999998</v>
        <stp/>
        <stp>##V3_BDHV12</stp>
        <stp>ADBB3M Index</stp>
        <stp>PX_LAST</stp>
        <stp>30/01/2019</stp>
        <stp>30/01/2019</stp>
        <stp>[RV_LINE_PRICER.xlsm]FixingTables!R13C15</stp>
        <tr r="O13" s="5"/>
      </tp>
      <tp>
        <v>1.94</v>
        <stp/>
        <stp>##V3_BDHV12</stp>
        <stp>ADBB3M Index</stp>
        <stp>PX_LAST</stp>
        <stp>20/11/2018</stp>
        <stp>20/11/2018</stp>
        <stp>[RV_LINE_PRICER.xlsm]FixingTables!R60C15</stp>
        <tr r="O60" s="5"/>
      </tp>
      <tp>
        <v>1.92</v>
        <stp/>
        <stp>##V3_BDHV12</stp>
        <stp>ADBB3M Index</stp>
        <stp>PX_LAST</stp>
        <stp>30/10/2018</stp>
        <stp>30/10/2018</stp>
        <stp>[RV_LINE_PRICER.xlsm]FixingTables!R75C15</stp>
        <tr r="O75" s="5"/>
      </tp>
      <tp>
        <v>1.99</v>
        <stp/>
        <stp>##V3_BDHV12</stp>
        <stp>ADBB3M Index</stp>
        <stp>PX_LAST</stp>
        <stp>10/12/2018</stp>
        <stp>10/12/2018</stp>
        <stp>[RV_LINE_PRICER.xlsm]FixingTables!R46C15</stp>
        <tr r="O46" s="5"/>
      </tp>
      <tp>
        <v>2.37263</v>
        <stp/>
        <stp>##V3_BDHV12</stp>
        <stp>US0003M Index</stp>
        <stp>PX_LAST</stp>
        <stp>21/09/2018</stp>
        <stp>21/09/2018</stp>
        <stp>[RV_LINE_PRICER.xlsm]FixingTables!R99C9</stp>
        <tr r="I99" s="5"/>
      </tp>
      <tp>
        <v>2.5912500000000001</v>
        <stp/>
        <stp>##V3_BDHV12</stp>
        <stp>US0003M Index</stp>
        <stp>PX_LAST</stp>
        <stp>06/11/2018</stp>
        <stp>06/11/2018</stp>
        <stp>[RV_LINE_PRICER.xlsm]FixingTables!R68C9</stp>
        <tr r="I68" s="5"/>
      </tp>
      <tp>
        <v>2.4204400000000001</v>
        <stp/>
        <stp>##V3_BDHV12</stp>
        <stp>US0003M Index</stp>
        <stp>PX_LAST</stp>
        <stp>09/10/2018</stp>
        <stp>09/10/2018</stp>
        <stp>[RV_LINE_PRICER.xlsm]FixingTables!R88C9</stp>
        <tr r="I88" s="5"/>
      </tp>
      <tp>
        <v>2.7968099999999998</v>
        <stp/>
        <stp>##V3_BDHV12</stp>
        <stp>US0003M Index</stp>
        <stp>PX_LAST</stp>
        <stp>07/01/2019</stp>
        <stp>07/01/2019</stp>
        <stp>[RV_LINE_PRICER.xlsm]FixingTables!R29C9</stp>
        <tr r="I29" s="5"/>
      </tp>
      <tp>
        <v>2.82375</v>
        <stp/>
        <stp>##V3_BDHV12</stp>
        <stp>US0003M Index</stp>
        <stp>PX_LAST</stp>
        <stp>20/12/2018</stp>
        <stp>20/12/2018</stp>
        <stp>[RV_LINE_PRICER.xlsm]FixingTables!R38C9</stp>
        <tr r="I38" s="5"/>
      </tp>
      <tp>
        <v>2.6769400000000001</v>
        <stp/>
        <stp>##V3_BDHV12</stp>
        <stp>US0003M Index</stp>
        <stp>PX_LAST</stp>
        <stp>21/11/2018</stp>
        <stp>21/11/2018</stp>
        <stp>[RV_LINE_PRICER.xlsm]FixingTables!R58C9</stp>
        <tr r="I58" s="5"/>
      </tp>
      <tp>
        <v>2.7671299999999999</v>
        <stp/>
        <stp>##V3_BDHV12</stp>
        <stp>US0003M Index</stp>
        <stp>PX_LAST</stp>
        <stp>06/12/2018</stp>
        <stp>06/12/2018</stp>
        <stp>[RV_LINE_PRICER.xlsm]FixingTables!R48C9</stp>
        <tr r="I48" s="5"/>
      </tp>
      <tp>
        <v>2.7792500000000002</v>
        <stp/>
        <stp>##V3_BDHV12</stp>
        <stp>US0003M Index</stp>
        <stp>PX_LAST</stp>
        <stp>22/01/2019</stp>
        <stp>22/01/2019</stp>
        <stp>[RV_LINE_PRICER.xlsm]FixingTables!R19C9</stp>
        <tr r="I19" s="5"/>
      </tp>
      <tp>
        <v>2.4898799999999999</v>
        <stp/>
        <stp>##V3_BDHV12</stp>
        <stp>US0003M Index</stp>
        <stp>PX_LAST</stp>
        <stp>23/10/2018</stp>
        <stp>23/10/2018</stp>
        <stp>[RV_LINE_PRICER.xlsm]FixingTables!R78C9</stp>
        <tr r="I78" s="5"/>
      </tp>
      <tp t="s">
        <v>20/02/2020</v>
        <stp/>
        <stp>##V3_BDPV12</stp>
        <stp>XS1193905160 Corp</stp>
        <stp>MATURITY</stp>
        <stp>[RV_LINE_PRICER.xlsm]FloatBonds!R8C212</stp>
        <tr r="HD8" s="18"/>
      </tp>
      <tp t="s">
        <v>20/02/2020</v>
        <stp/>
        <stp>##V3_BDPV12</stp>
        <stp>XS1193905160 Corp</stp>
        <stp>MATURITY</stp>
        <stp>[RV_LINE_PRICER.xlsm]FloatBonds!R9C212</stp>
        <tr r="HD9" s="18"/>
      </tp>
      <tp t="s">
        <v>20/02/2020</v>
        <stp/>
        <stp>##V3_BDPV12</stp>
        <stp>XS1193905160 Corp</stp>
        <stp>MATURITY</stp>
        <stp>[RV_LINE_PRICER.xlsm]FloatBonds!R7C212</stp>
        <tr r="HD7" s="18"/>
      </tp>
      <tp t="s">
        <v>08/04/2015</v>
        <stp/>
        <stp>##V3_BDPV12</stp>
        <stp>XS1215869915 Corp</stp>
        <stp>INT_ACC_DT</stp>
        <stp>[RV_LINE_PRICER.xlsm]FixedBonds!R8C203</stp>
        <tr r="GU8" s="1"/>
      </tp>
      <tp>
        <v>2.0699999999999998</v>
        <stp/>
        <stp>##V3_BDHV12</stp>
        <stp>ADBB3M Index</stp>
        <stp>PX_LAST</stp>
        <stp>29/01/2019</stp>
        <stp>29/01/2019</stp>
        <stp>[RV_LINE_PRICER.xlsm]FixingTables!R14C15</stp>
        <tr r="O14" s="5"/>
      </tp>
      <tp>
        <v>1.92</v>
        <stp/>
        <stp>##V3_BDHV12</stp>
        <stp>ADBB3M Index</stp>
        <stp>PX_LAST</stp>
        <stp>29/10/2018</stp>
        <stp>29/10/2018</stp>
        <stp>[RV_LINE_PRICER.xlsm]FixingTables!R76C15</stp>
        <tr r="O76" s="5"/>
      </tp>
      <tp>
        <v>1.98</v>
        <stp/>
        <stp>##V3_BDHV12</stp>
        <stp>ADBB3M Index</stp>
        <stp>PX_LAST</stp>
        <stp>06/12/2018</stp>
        <stp>06/12/2018</stp>
        <stp>[RV_LINE_PRICER.xlsm]FixingTables!R48C15</stp>
        <tr r="O48" s="5"/>
      </tp>
      <tp>
        <v>1.92</v>
        <stp/>
        <stp>##V3_BDHV12</stp>
        <stp>ADBB3M Index</stp>
        <stp>PX_LAST</stp>
        <stp>26/10/2018</stp>
        <stp>26/10/2018</stp>
        <stp>[RV_LINE_PRICER.xlsm]FixingTables!R77C15</stp>
        <tr r="O77" s="5"/>
      </tp>
      <tp>
        <v>1.99</v>
        <stp/>
        <stp>##V3_BDHV12</stp>
        <stp>ADBB3M Index</stp>
        <stp>PX_LAST</stp>
        <stp>07/12/2018</stp>
        <stp>07/12/2018</stp>
        <stp>[RV_LINE_PRICER.xlsm]FixingTables!R47C15</stp>
        <tr r="O47" s="5"/>
      </tp>
      <tp>
        <v>1.9224999999999999</v>
        <stp/>
        <stp>##V3_BDHV12</stp>
        <stp>ADBB3M Index</stp>
        <stp>PX_LAST</stp>
        <stp>24/10/2018</stp>
        <stp>24/10/2018</stp>
        <stp>[RV_LINE_PRICER.xlsm]FixingTables!R79C15</stp>
        <tr r="O79" s="5"/>
      </tp>
      <tp>
        <v>1.9649999999999999</v>
        <stp/>
        <stp>##V3_BDHV12</stp>
        <stp>ADBB3M Index</stp>
        <stp>PX_LAST</stp>
        <stp>04/12/2018</stp>
        <stp>04/12/2018</stp>
        <stp>[RV_LINE_PRICER.xlsm]FixingTables!R50C15</stp>
        <tr r="O50" s="5"/>
      </tp>
      <tp>
        <v>2.0813999999999999</v>
        <stp/>
        <stp>##V3_BDHV12</stp>
        <stp>ADBB3M Index</stp>
        <stp>PX_LAST</stp>
        <stp>24/01/2019</stp>
        <stp>24/01/2019</stp>
        <stp>[RV_LINE_PRICER.xlsm]FixingTables!R16C15</stp>
        <tr r="O16" s="5"/>
      </tp>
      <tp>
        <v>1.9175</v>
        <stp/>
        <stp>##V3_BDHV12</stp>
        <stp>ADBB3M Index</stp>
        <stp>PX_LAST</stp>
        <stp>25/10/2018</stp>
        <stp>25/10/2018</stp>
        <stp>[RV_LINE_PRICER.xlsm]FixingTables!R78C15</stp>
        <tr r="O78" s="5"/>
      </tp>
      <tp>
        <v>1.9731000000000001</v>
        <stp/>
        <stp>##V3_BDHV12</stp>
        <stp>ADBB3M Index</stp>
        <stp>PX_LAST</stp>
        <stp>05/12/2018</stp>
        <stp>05/12/2018</stp>
        <stp>[RV_LINE_PRICER.xlsm]FixingTables!R49C15</stp>
        <tr r="O49" s="5"/>
      </tp>
      <tp>
        <v>2.08</v>
        <stp/>
        <stp>##V3_BDHV12</stp>
        <stp>ADBB3M Index</stp>
        <stp>PX_LAST</stp>
        <stp>25/01/2019</stp>
        <stp>25/01/2019</stp>
        <stp>[RV_LINE_PRICER.xlsm]FixingTables!R15C15</stp>
        <tr r="O15" s="5"/>
      </tp>
      <tp>
        <v>2.08</v>
        <stp/>
        <stp>##V3_BDHV12</stp>
        <stp>ADBB3M Index</stp>
        <stp>PX_LAST</stp>
        <stp>22/01/2019</stp>
        <stp>22/01/2019</stp>
        <stp>[RV_LINE_PRICER.xlsm]FixingTables!R18C15</stp>
        <tr r="O18" s="5"/>
      </tp>
      <tp>
        <v>1.9300000000000002</v>
        <stp/>
        <stp>##V3_BDHV12</stp>
        <stp>ADBB3M Index</stp>
        <stp>PX_LAST</stp>
        <stp>22/10/2018</stp>
        <stp>22/10/2018</stp>
        <stp>[RV_LINE_PRICER.xlsm]FixingTables!R81C15</stp>
        <tr r="O81" s="5"/>
      </tp>
      <tp>
        <v>2.0825</v>
        <stp/>
        <stp>##V3_BDHV12</stp>
        <stp>ADBB3M Index</stp>
        <stp>PX_LAST</stp>
        <stp>23/01/2019</stp>
        <stp>23/01/2019</stp>
        <stp>[RV_LINE_PRICER.xlsm]FixingTables!R17C15</stp>
        <tr r="O17" s="5"/>
      </tp>
      <tp>
        <v>1.96</v>
        <stp/>
        <stp>##V3_BDHV12</stp>
        <stp>ADBB3M Index</stp>
        <stp>PX_LAST</stp>
        <stp>03/12/2018</stp>
        <stp>03/12/2018</stp>
        <stp>[RV_LINE_PRICER.xlsm]FixingTables!R51C15</stp>
        <tr r="O51" s="5"/>
      </tp>
      <tp>
        <v>1.9300000000000002</v>
        <stp/>
        <stp>##V3_BDHV12</stp>
        <stp>ADBB3M Index</stp>
        <stp>PX_LAST</stp>
        <stp>23/10/2018</stp>
        <stp>23/10/2018</stp>
        <stp>[RV_LINE_PRICER.xlsm]FixingTables!R80C15</stp>
        <tr r="O80" s="5"/>
      </tp>
      <tp>
        <v>1.95</v>
        <stp/>
        <stp>##V3_BDHV12</stp>
        <stp>ADBB3M Index</stp>
        <stp>PX_LAST</stp>
        <stp>30/11/2018</stp>
        <stp>30/11/2018</stp>
        <stp>[RV_LINE_PRICER.xlsm]FixingTables!R52C15</stp>
        <tr r="O52" s="5"/>
      </tp>
      <tp>
        <v>2.08</v>
        <stp/>
        <stp>##V3_BDHV12</stp>
        <stp>ADBB3M Index</stp>
        <stp>PX_LAST</stp>
        <stp>21/01/2019</stp>
        <stp>21/01/2019</stp>
        <stp>[RV_LINE_PRICER.xlsm]FixingTables!R19C15</stp>
        <tr r="O19" s="5"/>
      </tp>
      <tp>
        <v>2.3736299999999999</v>
        <stp/>
        <stp>##V3_BDHV12</stp>
        <stp>US0003M Index</stp>
        <stp>PX_LAST</stp>
        <stp>24/09/2018</stp>
        <stp>24/09/2018</stp>
        <stp>[RV_LINE_PRICER.xlsm]FixingTables!R98C9</stp>
        <tr r="I98" s="5"/>
      </tp>
      <tp>
        <v>2.5892499999999998</v>
        <stp/>
        <stp>##V3_BDHV12</stp>
        <stp>US0003M Index</stp>
        <stp>PX_LAST</stp>
        <stp>05/11/2018</stp>
        <stp>05/11/2018</stp>
        <stp>[RV_LINE_PRICER.xlsm]FixingTables!R69C9</stp>
        <tr r="I69" s="5"/>
      </tp>
      <tp>
        <v>2.7824999999999998</v>
        <stp/>
        <stp>##V3_BDHV12</stp>
        <stp>US0003M Index</stp>
        <stp>PX_LAST</stp>
        <stp>08/01/2019</stp>
        <stp>08/01/2019</stp>
        <stp>[RV_LINE_PRICER.xlsm]FixingTables!R28C9</stp>
        <tr r="I28" s="5"/>
      </tp>
      <tp>
        <v>2.4080599999999999</v>
        <stp/>
        <stp>##V3_BDHV12</stp>
        <stp>US0003M Index</stp>
        <stp>PX_LAST</stp>
        <stp>05/10/2018</stp>
        <stp>05/10/2018</stp>
        <stp>[RV_LINE_PRICER.xlsm]FixingTables!R89C9</stp>
        <tr r="I89" s="5"/>
      </tp>
      <tp>
        <v>2.7896299999999998</v>
        <stp/>
        <stp>##V3_BDHV12</stp>
        <stp>US0003M Index</stp>
        <stp>PX_LAST</stp>
        <stp>19/12/2018</stp>
        <stp>19/12/2018</stp>
        <stp>[RV_LINE_PRICER.xlsm]FixingTables!R39C9</stp>
        <tr r="I39" s="5"/>
      </tp>
      <tp>
        <v>2.65313</v>
        <stp/>
        <stp>##V3_BDHV12</stp>
        <stp>US0003M Index</stp>
        <stp>PX_LAST</stp>
        <stp>20/11/2018</stp>
        <stp>20/11/2018</stp>
        <stp>[RV_LINE_PRICER.xlsm]FixingTables!R59C9</stp>
        <tr r="I59" s="5"/>
      </tp>
      <tp>
        <v>2.7657500000000002</v>
        <stp/>
        <stp>##V3_BDHV12</stp>
        <stp>US0003M Index</stp>
        <stp>PX_LAST</stp>
        <stp>05/12/2018</stp>
        <stp>05/12/2018</stp>
        <stp>[RV_LINE_PRICER.xlsm]FixingTables!R49C9</stp>
        <tr r="I49" s="5"/>
      </tp>
      <tp>
        <v>2.4873799999999999</v>
        <stp/>
        <stp>##V3_BDHV12</stp>
        <stp>US0003M Index</stp>
        <stp>PX_LAST</stp>
        <stp>22/10/2018</stp>
        <stp>22/10/2018</stp>
        <stp>[RV_LINE_PRICER.xlsm]FixingTables!R79C9</stp>
        <tr r="I79" s="5"/>
      </tp>
      <tp>
        <v>2.7706300000000001</v>
        <stp/>
        <stp>##V3_BDHV12</stp>
        <stp>US0003M Index</stp>
        <stp>PX_LAST</stp>
        <stp>23/01/2019</stp>
        <stp>23/01/2019</stp>
        <stp>[RV_LINE_PRICER.xlsm]FixingTables!R18C9</stp>
        <tr r="I18" s="5"/>
      </tp>
      <tp>
        <v>2</v>
        <stp/>
        <stp>##V3_BDPV12</stp>
        <stp>XS1339542364 Corp</stp>
        <stp>CPN_FREQ</stp>
        <stp>[RV_LINE_PRICER.xlsm]FixedBondSingle!R26C22</stp>
        <tr r="V26" s="22"/>
      </tp>
      <tp t="s">
        <v>FLOATING</v>
        <stp/>
        <stp>##V3_BDPV12</stp>
        <stp>XS1193905160 Corp</stp>
        <stp>CPN_TYP</stp>
        <stp>[RV_LINE_PRICER.xlsm]FloatBondSingle!R11C22</stp>
        <tr r="V11" s="23"/>
        <tr r="V11" s="23"/>
      </tp>
      <tp t="b">
        <v>0</v>
        <stp/>
        <stp>##V3_BDPV12</stp>
        <stp/>
        <stp>CALC_TYP</stp>
        <stp>[RV_LINE_PRICER.xlsm]XccyFixedBonds!R25C56</stp>
        <tr r="BD25" s="16"/>
        <tr r="BD25" s="16"/>
        <tr r="BD25" s="16"/>
      </tp>
      <tp t="b">
        <v>0</v>
        <stp/>
        <stp>##V3_BDPV12</stp>
        <stp/>
        <stp>CALC_TYP</stp>
        <stp>[RV_LINE_PRICER.xlsm]XccyFixedBonds!R24C56</stp>
        <tr r="BD24" s="16"/>
        <tr r="BD24" s="16"/>
        <tr r="BD24" s="16"/>
      </tp>
      <tp t="b">
        <v>0</v>
        <stp/>
        <stp>##V3_BDPV12</stp>
        <stp/>
        <stp>CALC_TYP</stp>
        <stp>[RV_LINE_PRICER.xlsm]XccyFixedBonds!R26C56</stp>
        <tr r="BD26" s="16"/>
        <tr r="BD26" s="16"/>
        <tr r="BD26" s="16"/>
      </tp>
      <tp t="b">
        <v>0</v>
        <stp/>
        <stp>##V3_BDPV12</stp>
        <stp/>
        <stp>CALC_TYP</stp>
        <stp>[RV_LINE_PRICER.xlsm]XccyFixedBonds!R21C56</stp>
        <tr r="BD21" s="16"/>
        <tr r="BD21" s="16"/>
        <tr r="BD21" s="16"/>
      </tp>
      <tp t="b">
        <v>0</v>
        <stp/>
        <stp>##V3_BDPV12</stp>
        <stp/>
        <stp>CALC_TYP</stp>
        <stp>[RV_LINE_PRICER.xlsm]XccyFixedBonds!R20C56</stp>
        <tr r="BD20" s="16"/>
        <tr r="BD20" s="16"/>
        <tr r="BD20" s="16"/>
      </tp>
      <tp t="b">
        <v>0</v>
        <stp/>
        <stp>##V3_BDPV12</stp>
        <stp/>
        <stp>CALC_TYP</stp>
        <stp>[RV_LINE_PRICER.xlsm]XccyFixedBonds!R23C56</stp>
        <tr r="BD23" s="16"/>
        <tr r="BD23" s="16"/>
        <tr r="BD23" s="16"/>
      </tp>
      <tp t="b">
        <v>0</v>
        <stp/>
        <stp>##V3_BDPV12</stp>
        <stp/>
        <stp>CALC_TYP</stp>
        <stp>[RV_LINE_PRICER.xlsm]XccyFixedBonds!R22C56</stp>
        <tr r="BD22" s="16"/>
        <tr r="BD22" s="16"/>
        <tr r="BD22" s="16"/>
      </tp>
      <tp t="b">
        <v>0</v>
        <stp/>
        <stp>##V3_BDPV12</stp>
        <stp/>
        <stp>CALC_TYP</stp>
        <stp>[RV_LINE_PRICER.xlsm]XccyFixedBonds!R15C56</stp>
        <tr r="BD15" s="16"/>
        <tr r="BD15" s="16"/>
        <tr r="BD15" s="16"/>
      </tp>
      <tp t="b">
        <v>0</v>
        <stp/>
        <stp>##V3_BDPV12</stp>
        <stp/>
        <stp>CALC_TYP</stp>
        <stp>[RV_LINE_PRICER.xlsm]XccyFixedBonds!R14C56</stp>
        <tr r="BD14" s="16"/>
        <tr r="BD14" s="16"/>
        <tr r="BD14" s="16"/>
      </tp>
      <tp t="b">
        <v>0</v>
        <stp/>
        <stp>##V3_BDPV12</stp>
        <stp/>
        <stp>CALC_TYP</stp>
        <stp>[RV_LINE_PRICER.xlsm]XccyFixedBonds!R17C56</stp>
        <tr r="BD17" s="16"/>
        <tr r="BD17" s="16"/>
        <tr r="BD17" s="16"/>
      </tp>
      <tp t="b">
        <v>0</v>
        <stp/>
        <stp>##V3_BDPV12</stp>
        <stp/>
        <stp>CALC_TYP</stp>
        <stp>[RV_LINE_PRICER.xlsm]XccyFixedBonds!R16C56</stp>
        <tr r="BD16" s="16"/>
        <tr r="BD16" s="16"/>
        <tr r="BD16" s="16"/>
      </tp>
      <tp t="b">
        <v>0</v>
        <stp/>
        <stp>##V3_BDPV12</stp>
        <stp/>
        <stp>CALC_TYP</stp>
        <stp>[RV_LINE_PRICER.xlsm]XccyFixedBonds!R13C56</stp>
        <tr r="BD13" s="16"/>
        <tr r="BD13" s="16"/>
        <tr r="BD13" s="16"/>
      </tp>
      <tp t="b">
        <v>0</v>
        <stp/>
        <stp>##V3_BDPV12</stp>
        <stp/>
        <stp>CALC_TYP</stp>
        <stp>[RV_LINE_PRICER.xlsm]XccyFixedBonds!R12C56</stp>
        <tr r="BD12" s="16"/>
        <tr r="BD12" s="16"/>
        <tr r="BD12" s="16"/>
      </tp>
      <tp t="b">
        <v>0</v>
        <stp/>
        <stp>##V3_BDPV12</stp>
        <stp/>
        <stp>CALC_TYP</stp>
        <stp>[RV_LINE_PRICER.xlsm]XccyFixedBonds!R19C56</stp>
        <tr r="BD19" s="16"/>
        <tr r="BD19" s="16"/>
        <tr r="BD19" s="16"/>
      </tp>
      <tp t="b">
        <v>0</v>
        <stp/>
        <stp>##V3_BDPV12</stp>
        <stp/>
        <stp>CALC_TYP</stp>
        <stp>[RV_LINE_PRICER.xlsm]XccyFixedBonds!R18C56</stp>
        <tr r="BD18" s="16"/>
        <tr r="BD18" s="16"/>
        <tr r="BD18" s="16"/>
      </tp>
      <tp t="s">
        <v>09/10/2009</v>
        <stp/>
        <stp>##V3_BDPV12</stp>
        <stp>XS0423038875 Corp</stp>
        <stp>FIRST_CPN_DT</stp>
        <stp>[RV_LINE_PRICER.xlsm]FixedBonds!R9C37</stp>
        <tr r="AK9" s="1"/>
      </tp>
      <tp>
        <v>2.1800000000000002</v>
        <stp/>
        <stp>##V3_BDHV12</stp>
        <stp>ADBB6M Index</stp>
        <stp>PX_LAST</stp>
        <stp>08/01/2019</stp>
        <stp>08/01/2019</stp>
        <stp>[RV_LINE_PRICER.xlsm]FixingTables!R28C18</stp>
        <tr r="R28" s="5"/>
      </tp>
      <tp>
        <v>2.2200000000000002</v>
        <stp/>
        <stp>##V3_BDHV12</stp>
        <stp>ADBB6M Index</stp>
        <stp>PX_LAST</stp>
        <stp>28/12/2018</stp>
        <stp>28/12/2018</stp>
        <stp>[RV_LINE_PRICER.xlsm]FixingTables!R34C18</stp>
        <tr r="R34" s="5"/>
      </tp>
      <tp>
        <v>2.1</v>
        <stp/>
        <stp>##V3_BDHV12</stp>
        <stp>ADBB6M Index</stp>
        <stp>PX_LAST</stp>
        <stp>08/10/2018</stp>
        <stp>08/10/2018</stp>
        <stp>[RV_LINE_PRICER.xlsm]FixingTables!R91C18</stp>
        <tr r="R91" s="5"/>
      </tp>
      <tp>
        <v>2.11</v>
        <stp/>
        <stp>##V3_BDHV12</stp>
        <stp>ADBB6M Index</stp>
        <stp>PX_LAST</stp>
        <stp>19/11/2018</stp>
        <stp>19/11/2018</stp>
        <stp>[RV_LINE_PRICER.xlsm]FixingTables!R61C18</stp>
        <tr r="R61" s="5"/>
      </tp>
      <tp>
        <v>2.17</v>
        <stp/>
        <stp>##V3_BDHV12</stp>
        <stp>ADBB6M Index</stp>
        <stp>PX_LAST</stp>
        <stp>09/01/2019</stp>
        <stp>09/01/2019</stp>
        <stp>[RV_LINE_PRICER.xlsm]FixingTables!R27C18</stp>
        <tr r="R27" s="5"/>
      </tp>
      <tp>
        <v>2.11</v>
        <stp/>
        <stp>##V3_BDHV12</stp>
        <stp>ADBB6M Index</stp>
        <stp>PX_LAST</stp>
        <stp>09/10/2018</stp>
        <stp>09/10/2018</stp>
        <stp>[RV_LINE_PRICER.xlsm]FixingTables!R90C18</stp>
        <tr r="R90" s="5"/>
      </tp>
      <tp>
        <v>2.12</v>
        <stp/>
        <stp>##V3_BDHV12</stp>
        <stp>ADBB6M Index</stp>
        <stp>PX_LAST</stp>
        <stp>04/10/2018</stp>
        <stp>04/10/2018</stp>
        <stp>[RV_LINE_PRICER.xlsm]FixingTables!R93C18</stp>
        <tr r="R93" s="5"/>
      </tp>
      <tp>
        <v>2.2050000000000001</v>
        <stp/>
        <stp>##V3_BDHV12</stp>
        <stp>ADBB6M Index</stp>
        <stp>PX_LAST</stp>
        <stp>24/12/2018</stp>
        <stp>24/12/2018</stp>
        <stp>[RV_LINE_PRICER.xlsm]FixingTables!R36C18</stp>
        <tr r="R36" s="5"/>
      </tp>
      <tp>
        <v>2.1800000000000002</v>
        <stp/>
        <stp>##V3_BDHV12</stp>
        <stp>ADBB6M Index</stp>
        <stp>PX_LAST</stp>
        <stp>04/01/2019</stp>
        <stp>04/01/2019</stp>
        <stp>[RV_LINE_PRICER.xlsm]FixingTables!R30C18</stp>
        <tr r="R30" s="5"/>
      </tp>
      <tp>
        <v>2.11</v>
        <stp/>
        <stp>##V3_BDHV12</stp>
        <stp>ADBB6M Index</stp>
        <stp>PX_LAST</stp>
        <stp>14/11/2018</stp>
        <stp>14/11/2018</stp>
        <stp>[RV_LINE_PRICER.xlsm]FixingTables!R64C18</stp>
        <tr r="R64" s="5"/>
      </tp>
      <tp>
        <v>2.11</v>
        <stp/>
        <stp>##V3_BDHV12</stp>
        <stp>ADBB6M Index</stp>
        <stp>PX_LAST</stp>
        <stp>05/10/2018</stp>
        <stp>05/10/2018</stp>
        <stp>[RV_LINE_PRICER.xlsm]FixingTables!R92C18</stp>
        <tr r="R92" s="5"/>
      </tp>
      <tp>
        <v>2.11</v>
        <stp/>
        <stp>##V3_BDHV12</stp>
        <stp>ADBB6M Index</stp>
        <stp>PX_LAST</stp>
        <stp>15/11/2018</stp>
        <stp>15/11/2018</stp>
        <stp>[RV_LINE_PRICER.xlsm]FixingTables!R63C18</stp>
        <tr r="R63" s="5"/>
      </tp>
      <tp>
        <v>2.1150000000000002</v>
        <stp/>
        <stp>##V3_BDHV12</stp>
        <stp>ADBB6M Index</stp>
        <stp>PX_LAST</stp>
        <stp>16/11/2018</stp>
        <stp>16/11/2018</stp>
        <stp>[RV_LINE_PRICER.xlsm]FixingTables!R62C18</stp>
        <tr r="R62" s="5"/>
      </tp>
      <tp>
        <v>2.1800000000000002</v>
        <stp/>
        <stp>##V3_BDHV12</stp>
        <stp>ADBB6M Index</stp>
        <stp>PX_LAST</stp>
        <stp>07/01/2019</stp>
        <stp>07/01/2019</stp>
        <stp>[RV_LINE_PRICER.xlsm]FixingTables!R29C18</stp>
        <tr r="R29" s="5"/>
      </tp>
      <tp>
        <v>2.2149999999999999</v>
        <stp/>
        <stp>##V3_BDHV12</stp>
        <stp>ADBB6M Index</stp>
        <stp>PX_LAST</stp>
        <stp>27/12/2018</stp>
        <stp>27/12/2018</stp>
        <stp>[RV_LINE_PRICER.xlsm]FixingTables!R35C18</stp>
        <tr r="R35" s="5"/>
      </tp>
      <tp>
        <v>2.19</v>
        <stp/>
        <stp>##V3_BDHV12</stp>
        <stp>ADBB6M Index</stp>
        <stp>PX_LAST</stp>
        <stp>20/12/2018</stp>
        <stp>20/12/2018</stp>
        <stp>[RV_LINE_PRICER.xlsm]FixingTables!R38C18</stp>
        <tr r="R38" s="5"/>
      </tp>
      <tp>
        <v>2.2000000000000002</v>
        <stp/>
        <stp>##V3_BDHV12</stp>
        <stp>ADBB6M Index</stp>
        <stp>PX_LAST</stp>
        <stp>21/12/2018</stp>
        <stp>21/12/2018</stp>
        <stp>[RV_LINE_PRICER.xlsm]FixingTables!R37C18</stp>
        <tr r="R37" s="5"/>
      </tp>
      <tp>
        <v>2.12</v>
        <stp/>
        <stp>##V3_BDHV12</stp>
        <stp>ADBB6M Index</stp>
        <stp>PX_LAST</stp>
        <stp>02/10/2018</stp>
        <stp>02/10/2018</stp>
        <stp>[RV_LINE_PRICER.xlsm]FixingTables!R95C18</stp>
        <tr r="R95" s="5"/>
      </tp>
      <tp>
        <v>2.11</v>
        <stp/>
        <stp>##V3_BDHV12</stp>
        <stp>ADBB6M Index</stp>
        <stp>PX_LAST</stp>
        <stp>12/11/2018</stp>
        <stp>12/11/2018</stp>
        <stp>[RV_LINE_PRICER.xlsm]FixingTables!R66C18</stp>
        <tr r="R66" s="5"/>
      </tp>
      <tp>
        <v>2.21</v>
        <stp/>
        <stp>##V3_BDHV12</stp>
        <stp>ADBB6M Index</stp>
        <stp>PX_LAST</stp>
        <stp>02/01/2019</stp>
        <stp>02/01/2019</stp>
        <stp>[RV_LINE_PRICER.xlsm]FixingTables!R32C18</stp>
        <tr r="R32" s="5"/>
      </tp>
      <tp>
        <v>2.12</v>
        <stp/>
        <stp>##V3_BDHV12</stp>
        <stp>ADBB6M Index</stp>
        <stp>PX_LAST</stp>
        <stp>03/10/2018</stp>
        <stp>03/10/2018</stp>
        <stp>[RV_LINE_PRICER.xlsm]FixingTables!R94C18</stp>
        <tr r="R94" s="5"/>
      </tp>
      <tp>
        <v>2.11</v>
        <stp/>
        <stp>##V3_BDHV12</stp>
        <stp>ADBB6M Index</stp>
        <stp>PX_LAST</stp>
        <stp>13/11/2018</stp>
        <stp>13/11/2018</stp>
        <stp>[RV_LINE_PRICER.xlsm]FixingTables!R65C18</stp>
        <tr r="R65" s="5"/>
      </tp>
      <tp>
        <v>2.1800000000000002</v>
        <stp/>
        <stp>##V3_BDHV12</stp>
        <stp>ADBB6M Index</stp>
        <stp>PX_LAST</stp>
        <stp>03/01/2019</stp>
        <stp>03/01/2019</stp>
        <stp>[RV_LINE_PRICER.xlsm]FixingTables!R31C18</stp>
        <tr r="R31" s="5"/>
      </tp>
      <tp>
        <v>2.8634399999999998</v>
        <stp/>
        <stp>##V3_BDHV12</stp>
        <stp>US0006M Index</stp>
        <stp>PX_LAST</stp>
        <stp>14/11/2018</stp>
        <stp>14/11/2018</stp>
        <stp>[RV_LINE_PRICER.xlsm]FixingTables!R63C12</stp>
        <tr r="L63" s="5"/>
      </tp>
      <tp>
        <v>2.85575</v>
        <stp/>
        <stp>##V3_BDHV12</stp>
        <stp>US0006M Index</stp>
        <stp>PX_LAST</stp>
        <stp>04/01/2019</stp>
        <stp>04/01/2019</stp>
        <stp>[RV_LINE_PRICER.xlsm]FixingTables!R30C12</stp>
        <tr r="L30" s="5"/>
      </tp>
      <tp>
        <v>2.8937499999999998</v>
        <stp/>
        <stp>##V3_BDHV12</stp>
        <stp>US0006M Index</stp>
        <stp>PX_LAST</stp>
        <stp>24/12/2018</stp>
        <stp>24/12/2018</stp>
        <stp>[RV_LINE_PRICER.xlsm]FixingTables!R36C12</stp>
        <tr r="L36" s="5"/>
      </tp>
      <tp>
        <v>2.6234999999999999</v>
        <stp/>
        <stp>##V3_BDHV12</stp>
        <stp>US0006M Index</stp>
        <stp>PX_LAST</stp>
        <stp>04/10/2018</stp>
        <stp>04/10/2018</stp>
        <stp>[RV_LINE_PRICER.xlsm]FixingTables!R90C12</stp>
        <tr r="L90" s="5"/>
      </tp>
      <tp>
        <v>2.8601900000000002</v>
        <stp/>
        <stp>##V3_BDHV12</stp>
        <stp>US0006M Index</stp>
        <stp>PX_LAST</stp>
        <stp>15/11/2018</stp>
        <stp>15/11/2018</stp>
        <stp>[RV_LINE_PRICER.xlsm]FixingTables!R62C12</stp>
        <tr r="L62" s="5"/>
      </tp>
      <tp>
        <v>2.6228799999999999</v>
        <stp/>
        <stp>##V3_BDHV12</stp>
        <stp>US0006M Index</stp>
        <stp>PX_LAST</stp>
        <stp>05/10/2018</stp>
        <stp>05/10/2018</stp>
        <stp>[RV_LINE_PRICER.xlsm]FixingTables!R89C12</stp>
        <tr r="L89" s="5"/>
      </tp>
      <tp>
        <v>2.8626300000000002</v>
        <stp/>
        <stp>##V3_BDHV12</stp>
        <stp>US0006M Index</stp>
        <stp>PX_LAST</stp>
        <stp>16/11/2018</stp>
        <stp>16/11/2018</stp>
        <stp>[RV_LINE_PRICER.xlsm]FixingTables!R61C12</stp>
        <tr r="L61" s="5"/>
      </tp>
      <tp>
        <v>2.883</v>
        <stp/>
        <stp>##V3_BDHV12</stp>
        <stp>US0006M Index</stp>
        <stp>PX_LAST</stp>
        <stp>27/12/2018</stp>
        <stp>27/12/2018</stp>
        <stp>[RV_LINE_PRICER.xlsm]FixingTables!R35C12</stp>
        <tr r="L35" s="5"/>
      </tp>
      <tp>
        <v>2.8487499999999999</v>
        <stp/>
        <stp>##V3_BDHV12</stp>
        <stp>US0006M Index</stp>
        <stp>PX_LAST</stp>
        <stp>07/01/2019</stp>
        <stp>07/01/2019</stp>
        <stp>[RV_LINE_PRICER.xlsm]FixingTables!R29C12</stp>
        <tr r="L29" s="5"/>
      </tp>
      <tp>
        <v>2.9</v>
        <stp/>
        <stp>##V3_BDHV12</stp>
        <stp>US0006M Index</stp>
        <stp>PX_LAST</stp>
        <stp>20/12/2018</stp>
        <stp>20/12/2018</stp>
        <stp>[RV_LINE_PRICER.xlsm]FixingTables!R38C12</stp>
        <tr r="L38" s="5"/>
      </tp>
      <tp>
        <v>0.02</v>
        <stp/>
        <stp>##V3_BDHV12</stp>
        <stp>JY0006M Index</stp>
        <stp>PX_LAST</stp>
        <stp>28/09/2018</stp>
        <stp>28/09/2018</stp>
        <stp>[RV_LINE_PRICER.xlsm]FixingTables!R96C24</stp>
        <tr r="X96" s="5"/>
      </tp>
      <tp>
        <v>2.90788</v>
        <stp/>
        <stp>##V3_BDHV12</stp>
        <stp>US0006M Index</stp>
        <stp>PX_LAST</stp>
        <stp>21/12/2018</stp>
        <stp>21/12/2018</stp>
        <stp>[RV_LINE_PRICER.xlsm]FixingTables!R37C12</stp>
        <tr r="L37" s="5"/>
      </tp>
      <tp>
        <v>2.6062500000000002</v>
        <stp/>
        <stp>##V3_BDHV12</stp>
        <stp>US0006M Index</stp>
        <stp>PX_LAST</stp>
        <stp>01/10/2018</stp>
        <stp>01/10/2018</stp>
        <stp>[RV_LINE_PRICER.xlsm]FixingTables!R93C12</stp>
        <tr r="L93" s="5"/>
      </tp>
      <tp>
        <v>2.8739400000000002</v>
        <stp/>
        <stp>##V3_BDHV12</stp>
        <stp>US0006M Index</stp>
        <stp>PX_LAST</stp>
        <stp>02/01/2019</stp>
        <stp>02/01/2019</stp>
        <stp>[RV_LINE_PRICER.xlsm]FixingTables!R32C12</stp>
        <tr r="L32" s="5"/>
      </tp>
      <tp>
        <v>2.6070000000000002</v>
        <stp/>
        <stp>##V3_BDHV12</stp>
        <stp>US0006M Index</stp>
        <stp>PX_LAST</stp>
        <stp>02/10/2018</stp>
        <stp>02/10/2018</stp>
        <stp>[RV_LINE_PRICER.xlsm]FixingTables!R92C12</stp>
        <tr r="L92" s="5"/>
      </tp>
      <tp>
        <v>2.8588800000000001</v>
        <stp/>
        <stp>##V3_BDHV12</stp>
        <stp>US0006M Index</stp>
        <stp>PX_LAST</stp>
        <stp>03/01/2019</stp>
        <stp>03/01/2019</stp>
        <stp>[RV_LINE_PRICER.xlsm]FixingTables!R31C12</stp>
        <tr r="L31" s="5"/>
      </tp>
      <tp>
        <v>2.855</v>
        <stp/>
        <stp>##V3_BDHV12</stp>
        <stp>US0006M Index</stp>
        <stp>PX_LAST</stp>
        <stp>13/11/2018</stp>
        <stp>13/11/2018</stp>
        <stp>[RV_LINE_PRICER.xlsm]FixingTables!R64C12</stp>
        <tr r="L64" s="5"/>
      </tp>
      <tp>
        <v>2.6088800000000001</v>
        <stp/>
        <stp>##V3_BDHV12</stp>
        <stp>US0006M Index</stp>
        <stp>PX_LAST</stp>
        <stp>03/10/2018</stp>
        <stp>03/10/2018</stp>
        <stp>[RV_LINE_PRICER.xlsm]FixingTables!R91C12</stp>
        <tr r="L91" s="5"/>
      </tp>
      <tp>
        <v>1.8669999999999999E-2</v>
        <stp/>
        <stp>##V3_BDHV12</stp>
        <stp>JY0006M Index</stp>
        <stp>PX_LAST</stp>
        <stp>25/09/2018</stp>
        <stp>25/09/2018</stp>
        <stp>[RV_LINE_PRICER.xlsm]FixingTables!R99C24</stp>
        <tr r="X99" s="5"/>
      </tp>
      <tp>
        <v>1.6500000000000001E-2</v>
        <stp/>
        <stp>##V3_BDHV12</stp>
        <stp>JY0006M Index</stp>
        <stp>PX_LAST</stp>
        <stp>26/09/2018</stp>
        <stp>26/09/2018</stp>
        <stp>[RV_LINE_PRICER.xlsm]FixingTables!R98C24</stp>
        <tr r="X98" s="5"/>
      </tp>
      <tp>
        <v>1.6500000000000001E-2</v>
        <stp/>
        <stp>##V3_BDHV12</stp>
        <stp>JY0006M Index</stp>
        <stp>PX_LAST</stp>
        <stp>27/09/2018</stp>
        <stp>27/09/2018</stp>
        <stp>[RV_LINE_PRICER.xlsm]FixingTables!R97C24</stp>
        <tr r="X97" s="5"/>
      </tp>
      <tp>
        <v>2.8731299999999997</v>
        <stp/>
        <stp>##V3_BDHV12</stp>
        <stp>US0006M Index</stp>
        <stp>PX_LAST</stp>
        <stp>28/12/2018</stp>
        <stp>28/12/2018</stp>
        <stp>[RV_LINE_PRICER.xlsm]FixingTables!R34C12</stp>
        <tr r="L34" s="5"/>
      </tp>
      <tp>
        <v>2.85256</v>
        <stp/>
        <stp>##V3_BDHV12</stp>
        <stp>US0006M Index</stp>
        <stp>PX_LAST</stp>
        <stp>08/01/2019</stp>
        <stp>08/01/2019</stp>
        <stp>[RV_LINE_PRICER.xlsm]FixingTables!R28C12</stp>
        <tr r="L28" s="5"/>
      </tp>
      <tp>
        <v>2.629</v>
        <stp/>
        <stp>##V3_BDHV12</stp>
        <stp>US0006M Index</stp>
        <stp>PX_LAST</stp>
        <stp>09/10/2018</stp>
        <stp>09/10/2018</stp>
        <stp>[RV_LINE_PRICER.xlsm]FixingTables!R88C12</stp>
        <tr r="L88" s="5"/>
      </tp>
      <tp>
        <v>2.8697499999999998</v>
        <stp/>
        <stp>##V3_BDHV12</stp>
        <stp>US0006M Index</stp>
        <stp>PX_LAST</stp>
        <stp>09/01/2019</stp>
        <stp>09/01/2019</stp>
        <stp>[RV_LINE_PRICER.xlsm]FixingTables!R27C12</stp>
        <tr r="L27" s="5"/>
      </tp>
      <tp>
        <v>2.8657500000000002</v>
        <stp/>
        <stp>##V3_BDHV12</stp>
        <stp>US0006M Index</stp>
        <stp>PX_LAST</stp>
        <stp>19/11/2018</stp>
        <stp>19/11/2018</stp>
        <stp>[RV_LINE_PRICER.xlsm]FixingTables!R60C12</stp>
        <tr r="L60" s="5"/>
      </tp>
      <tp>
        <v>2</v>
        <stp/>
        <stp>##V3_BDPV12</stp>
        <stp>XS1615075048 Corp</stp>
        <stp>CPN_FREQ</stp>
        <stp>[RV_LINE_PRICER.xlsm]FixedBonds!R9C208</stp>
        <tr r="GZ9" s="1"/>
      </tp>
      <tp>
        <v>2.11</v>
        <stp/>
        <stp>##V3_BDHV12</stp>
        <stp>ADBB6M Index</stp>
        <stp>PX_LAST</stp>
        <stp>09/11/2018</stp>
        <stp>09/11/2018</stp>
        <stp>[RV_LINE_PRICER.xlsm]FixingTables!R67C18</stp>
        <tr r="R67" s="5"/>
      </tp>
      <tp>
        <v>2.0950000000000002</v>
        <stp/>
        <stp>##V3_BDHV12</stp>
        <stp>ADBB6M Index</stp>
        <stp>PX_LAST</stp>
        <stp>19/10/2018</stp>
        <stp>19/10/2018</stp>
        <stp>[RV_LINE_PRICER.xlsm]FixingTables!R82C18</stp>
        <tr r="R82" s="5"/>
      </tp>
      <tp>
        <v>2.11</v>
        <stp/>
        <stp>##V3_BDHV12</stp>
        <stp>ADBB6M Index</stp>
        <stp>PX_LAST</stp>
        <stp>08/11/2018</stp>
        <stp>08/11/2018</stp>
        <stp>[RV_LINE_PRICER.xlsm]FixingTables!R68C18</stp>
        <tr r="R68" s="5"/>
      </tp>
      <tp>
        <v>2.1800000000000002</v>
        <stp/>
        <stp>##V3_BDHV12</stp>
        <stp>ADBB6M Index</stp>
        <stp>PX_LAST</stp>
        <stp>18/01/2019</stp>
        <stp>18/01/2019</stp>
        <stp>[RV_LINE_PRICER.xlsm]FixingTables!R20C18</stp>
        <tr r="R20" s="5"/>
      </tp>
      <tp>
        <v>2.09</v>
        <stp/>
        <stp>##V3_BDHV12</stp>
        <stp>ADBB6M Index</stp>
        <stp>PX_LAST</stp>
        <stp>18/10/2018</stp>
        <stp>18/10/2018</stp>
        <stp>[RV_LINE_PRICER.xlsm]FixingTables!R83C18</stp>
        <tr r="R83" s="5"/>
      </tp>
      <tp>
        <v>2.1</v>
        <stp/>
        <stp>##V3_BDHV12</stp>
        <stp>ADBB6M Index</stp>
        <stp>PX_LAST</stp>
        <stp>15/10/2018</stp>
        <stp>15/10/2018</stp>
        <stp>[RV_LINE_PRICER.xlsm]FixingTables!R86C18</stp>
        <tr r="R86" s="5"/>
      </tp>
      <tp>
        <v>2.1800000000000002</v>
        <stp/>
        <stp>##V3_BDHV12</stp>
        <stp>ADBB6M Index</stp>
        <stp>PX_LAST</stp>
        <stp>15/01/2019</stp>
        <stp>15/01/2019</stp>
        <stp>[RV_LINE_PRICER.xlsm]FixingTables!R23C18</stp>
        <tr r="R23" s="5"/>
      </tp>
      <tp>
        <v>2.1</v>
        <stp/>
        <stp>##V3_BDHV12</stp>
        <stp>ADBB6M Index</stp>
        <stp>PX_LAST</stp>
        <stp>05/11/2018</stp>
        <stp>05/11/2018</stp>
        <stp>[RV_LINE_PRICER.xlsm]FixingTables!R71C18</stp>
        <tr r="R71" s="5"/>
      </tp>
      <tp>
        <v>2.1850000000000001</v>
        <stp/>
        <stp>##V3_BDHV12</stp>
        <stp>ADBB6M Index</stp>
        <stp>PX_LAST</stp>
        <stp>14/01/2019</stp>
        <stp>14/01/2019</stp>
        <stp>[RV_LINE_PRICER.xlsm]FixingTables!R24C18</stp>
        <tr r="R24" s="5"/>
      </tp>
      <tp>
        <v>2.1</v>
        <stp/>
        <stp>##V3_BDHV12</stp>
        <stp>ADBB6M Index</stp>
        <stp>PX_LAST</stp>
        <stp>17/10/2018</stp>
        <stp>17/10/2018</stp>
        <stp>[RV_LINE_PRICER.xlsm]FixingTables!R84C18</stp>
        <tr r="R84" s="5"/>
      </tp>
      <tp>
        <v>2.1800000000000002</v>
        <stp/>
        <stp>##V3_BDHV12</stp>
        <stp>ADBB6M Index</stp>
        <stp>PX_LAST</stp>
        <stp>17/01/2019</stp>
        <stp>17/01/2019</stp>
        <stp>[RV_LINE_PRICER.xlsm]FixingTables!R21C18</stp>
        <tr r="R21" s="5"/>
      </tp>
      <tp>
        <v>2.1</v>
        <stp/>
        <stp>##V3_BDHV12</stp>
        <stp>ADBB6M Index</stp>
        <stp>PX_LAST</stp>
        <stp>07/11/2018</stp>
        <stp>07/11/2018</stp>
        <stp>[RV_LINE_PRICER.xlsm]FixingTables!R69C18</stp>
        <tr r="R69" s="5"/>
      </tp>
      <tp>
        <v>2.1</v>
        <stp/>
        <stp>##V3_BDHV12</stp>
        <stp>ADBB6M Index</stp>
        <stp>PX_LAST</stp>
        <stp>16/10/2018</stp>
        <stp>16/10/2018</stp>
        <stp>[RV_LINE_PRICER.xlsm]FixingTables!R85C18</stp>
        <tr r="R85" s="5"/>
      </tp>
      <tp>
        <v>2.1800000000000002</v>
        <stp/>
        <stp>##V3_BDHV12</stp>
        <stp>ADBB6M Index</stp>
        <stp>PX_LAST</stp>
        <stp>16/01/2019</stp>
        <stp>16/01/2019</stp>
        <stp>[RV_LINE_PRICER.xlsm]FixingTables!R22C18</stp>
        <tr r="R22" s="5"/>
      </tp>
      <tp>
        <v>2.105</v>
        <stp/>
        <stp>##V3_BDHV12</stp>
        <stp>ADBB6M Index</stp>
        <stp>PX_LAST</stp>
        <stp>06/11/2018</stp>
        <stp>06/11/2018</stp>
        <stp>[RV_LINE_PRICER.xlsm]FixingTables!R70C18</stp>
        <tr r="R70" s="5"/>
      </tp>
      <tp>
        <v>2.1</v>
        <stp/>
        <stp>##V3_BDHV12</stp>
        <stp>ADBB6M Index</stp>
        <stp>PX_LAST</stp>
        <stp>11/10/2018</stp>
        <stp>11/10/2018</stp>
        <stp>[RV_LINE_PRICER.xlsm]FixingTables!R88C18</stp>
        <tr r="R88" s="5"/>
      </tp>
      <tp>
        <v>2.08</v>
        <stp/>
        <stp>##V3_BDHV12</stp>
        <stp>ADBB6M Index</stp>
        <stp>PX_LAST</stp>
        <stp>01/11/2018</stp>
        <stp>01/11/2018</stp>
        <stp>[RV_LINE_PRICER.xlsm]FixingTables!R73C18</stp>
        <tr r="R73" s="5"/>
      </tp>
      <tp>
        <v>2.1800000000000002</v>
        <stp/>
        <stp>##V3_BDHV12</stp>
        <stp>ADBB6M Index</stp>
        <stp>PX_LAST</stp>
        <stp>11/01/2019</stp>
        <stp>11/01/2019</stp>
        <stp>[RV_LINE_PRICER.xlsm]FixingTables!R25C18</stp>
        <tr r="R25" s="5"/>
      </tp>
      <tp>
        <v>2.2250000000000001</v>
        <stp/>
        <stp>##V3_BDHV12</stp>
        <stp>ADBB6M Index</stp>
        <stp>PX_LAST</stp>
        <stp>31/12/2018</stp>
        <stp>31/12/2018</stp>
        <stp>[RV_LINE_PRICER.xlsm]FixingTables!R33C18</stp>
        <tr r="R33" s="5"/>
      </tp>
      <tp>
        <v>2.1</v>
        <stp/>
        <stp>##V3_BDHV12</stp>
        <stp>ADBB6M Index</stp>
        <stp>PX_LAST</stp>
        <stp>10/10/2018</stp>
        <stp>10/10/2018</stp>
        <stp>[RV_LINE_PRICER.xlsm]FixingTables!R89C18</stp>
        <tr r="R89" s="5"/>
      </tp>
      <tp>
        <v>2.1800000000000002</v>
        <stp/>
        <stp>##V3_BDHV12</stp>
        <stp>ADBB6M Index</stp>
        <stp>PX_LAST</stp>
        <stp>10/01/2019</stp>
        <stp>10/01/2019</stp>
        <stp>[RV_LINE_PRICER.xlsm]FixingTables!R26C18</stp>
        <tr r="R26" s="5"/>
      </tp>
      <tp>
        <v>2.105</v>
        <stp/>
        <stp>##V3_BDHV12</stp>
        <stp>ADBB6M Index</stp>
        <stp>PX_LAST</stp>
        <stp>12/10/2018</stp>
        <stp>12/10/2018</stp>
        <stp>[RV_LINE_PRICER.xlsm]FixingTables!R87C18</stp>
        <tr r="R87" s="5"/>
      </tp>
      <tp>
        <v>2.1</v>
        <stp/>
        <stp>##V3_BDHV12</stp>
        <stp>ADBB6M Index</stp>
        <stp>PX_LAST</stp>
        <stp>02/11/2018</stp>
        <stp>02/11/2018</stp>
        <stp>[RV_LINE_PRICER.xlsm]FixingTables!R72C18</stp>
        <tr r="R72" s="5"/>
      </tp>
      <tp>
        <v>2.83575</v>
        <stp/>
        <stp>##V3_BDHV12</stp>
        <stp>US0006M Index</stp>
        <stp>PX_LAST</stp>
        <stp>05/11/2018</stp>
        <stp>05/11/2018</stp>
        <stp>[RV_LINE_PRICER.xlsm]FixingTables!R69C12</stp>
        <tr r="L69" s="5"/>
      </tp>
      <tp>
        <v>2.8458100000000002</v>
        <stp/>
        <stp>##V3_BDHV12</stp>
        <stp>US0006M Index</stp>
        <stp>PX_LAST</stp>
        <stp>15/01/2019</stp>
        <stp>15/01/2019</stp>
        <stp>[RV_LINE_PRICER.xlsm]FixingTables!R23C12</stp>
        <tr r="L23" s="5"/>
      </tp>
      <tp>
        <v>2.6537500000000001</v>
        <stp/>
        <stp>##V3_BDHV12</stp>
        <stp>US0006M Index</stp>
        <stp>PX_LAST</stp>
        <stp>15/10/2018</stp>
        <stp>15/10/2018</stp>
        <stp>[RV_LINE_PRICER.xlsm]FixingTables!R84C12</stp>
        <tr r="L84" s="5"/>
      </tp>
      <tp>
        <v>2.85344</v>
        <stp/>
        <stp>##V3_BDHV12</stp>
        <stp>US0006M Index</stp>
        <stp>PX_LAST</stp>
        <stp>14/01/2019</stp>
        <stp>14/01/2019</stp>
        <stp>[RV_LINE_PRICER.xlsm]FixingTables!R24C12</stp>
        <tr r="L24" s="5"/>
      </tp>
      <tp>
        <v>4</v>
        <stp/>
        <stp>##V3_BDPV12</stp>
        <stp>XS1193905160 Corp</stp>
        <stp>CPN_FREQ</stp>
        <stp>[RV_LINE_PRICER.xlsm]FloatBondSingle!R26C22</stp>
        <tr r="V26" s="23"/>
        <tr r="V26" s="23"/>
      </tp>
      <tp>
        <v>2.8435000000000001</v>
        <stp/>
        <stp>##V3_BDHV12</stp>
        <stp>US0006M Index</stp>
        <stp>PX_LAST</stp>
        <stp>07/11/2018</stp>
        <stp>07/11/2018</stp>
        <stp>[RV_LINE_PRICER.xlsm]FixingTables!R67C12</stp>
        <tr r="L67" s="5"/>
      </tp>
      <tp>
        <v>2.8525</v>
        <stp/>
        <stp>##V3_BDHV12</stp>
        <stp>US0006M Index</stp>
        <stp>PX_LAST</stp>
        <stp>17/01/2019</stp>
        <stp>17/01/2019</stp>
        <stp>[RV_LINE_PRICER.xlsm]FixingTables!R21C12</stp>
        <tr r="L21" s="5"/>
      </tp>
      <tp>
        <v>2.6613799999999999</v>
        <stp/>
        <stp>##V3_BDHV12</stp>
        <stp>US0006M Index</stp>
        <stp>PX_LAST</stp>
        <stp>17/10/2018</stp>
        <stp>17/10/2018</stp>
        <stp>[RV_LINE_PRICER.xlsm]FixingTables!R82C12</stp>
        <tr r="L82" s="5"/>
      </tp>
      <tp>
        <v>2.8414999999999999</v>
        <stp/>
        <stp>##V3_BDHV12</stp>
        <stp>US0006M Index</stp>
        <stp>PX_LAST</stp>
        <stp>06/11/2018</stp>
        <stp>06/11/2018</stp>
        <stp>[RV_LINE_PRICER.xlsm]FixingTables!R68C12</stp>
        <tr r="L68" s="5"/>
      </tp>
      <tp>
        <v>2.8616299999999999</v>
        <stp/>
        <stp>##V3_BDHV12</stp>
        <stp>US0006M Index</stp>
        <stp>PX_LAST</stp>
        <stp>16/01/2019</stp>
        <stp>16/01/2019</stp>
        <stp>[RV_LINE_PRICER.xlsm]FixingTables!R22C12</stp>
        <tr r="L22" s="5"/>
      </tp>
      <tp>
        <v>2.6574999999999998</v>
        <stp/>
        <stp>##V3_BDHV12</stp>
        <stp>US0006M Index</stp>
        <stp>PX_LAST</stp>
        <stp>16/10/2018</stp>
        <stp>16/10/2018</stp>
        <stp>[RV_LINE_PRICER.xlsm]FixingTables!R83C12</stp>
        <tr r="L83" s="5"/>
      </tp>
      <tp>
        <v>2.8756300000000001</v>
        <stp/>
        <stp>##V3_BDHV12</stp>
        <stp>US0006M Index</stp>
        <stp>PX_LAST</stp>
        <stp>31/12/2018</stp>
        <stp>31/12/2018</stp>
        <stp>[RV_LINE_PRICER.xlsm]FixingTables!R33C12</stp>
        <tr r="L33" s="5"/>
      </tp>
      <tp>
        <v>2.86463</v>
        <stp/>
        <stp>##V3_BDHV12</stp>
        <stp>US0006M Index</stp>
        <stp>PX_LAST</stp>
        <stp>11/01/2019</stp>
        <stp>11/01/2019</stp>
        <stp>[RV_LINE_PRICER.xlsm]FixingTables!R25C12</stp>
        <tr r="L25" s="5"/>
      </tp>
      <tp>
        <v>2.8165</v>
        <stp/>
        <stp>##V3_BDHV12</stp>
        <stp>US0006M Index</stp>
        <stp>PX_LAST</stp>
        <stp>01/11/2018</stp>
        <stp>01/11/2018</stp>
        <stp>[RV_LINE_PRICER.xlsm]FixingTables!R71C12</stp>
        <tr r="L71" s="5"/>
      </tp>
      <tp>
        <v>2.6352500000000001</v>
        <stp/>
        <stp>##V3_BDHV12</stp>
        <stp>US0006M Index</stp>
        <stp>PX_LAST</stp>
        <stp>11/10/2018</stp>
        <stp>11/10/2018</stp>
        <stp>[RV_LINE_PRICER.xlsm]FixingTables!R86C12</stp>
        <tr r="L86" s="5"/>
      </tp>
      <tp>
        <v>2.8604400000000001</v>
        <stp/>
        <stp>##V3_BDHV12</stp>
        <stp>US0006M Index</stp>
        <stp>PX_LAST</stp>
        <stp>10/01/2019</stp>
        <stp>10/01/2019</stp>
        <stp>[RV_LINE_PRICER.xlsm]FixingTables!R26C12</stp>
        <tr r="L26" s="5"/>
      </tp>
      <tp>
        <v>2.63625</v>
        <stp/>
        <stp>##V3_BDHV12</stp>
        <stp>US0006M Index</stp>
        <stp>PX_LAST</stp>
        <stp>10/10/2018</stp>
        <stp>10/10/2018</stp>
        <stp>[RV_LINE_PRICER.xlsm]FixingTables!R87C12</stp>
        <tr r="L87" s="5"/>
      </tp>
      <tp>
        <v>2.8288799999999998</v>
        <stp/>
        <stp>##V3_BDHV12</stp>
        <stp>US0006M Index</stp>
        <stp>PX_LAST</stp>
        <stp>02/11/2018</stp>
        <stp>02/11/2018</stp>
        <stp>[RV_LINE_PRICER.xlsm]FixingTables!R70C12</stp>
        <tr r="L70" s="5"/>
      </tp>
      <tp>
        <v>2.6521300000000001</v>
        <stp/>
        <stp>##V3_BDHV12</stp>
        <stp>US0006M Index</stp>
        <stp>PX_LAST</stp>
        <stp>12/10/2018</stp>
        <stp>12/10/2018</stp>
        <stp>[RV_LINE_PRICER.xlsm]FixingTables!R85C12</stp>
        <tr r="L85" s="5"/>
      </tp>
      <tp>
        <v>2.7235</v>
        <stp/>
        <stp>##V3_BDHV12</stp>
        <stp>US0006M Index</stp>
        <stp>PX_LAST</stp>
        <stp>19/10/2018</stp>
        <stp>19/10/2018</stp>
        <stp>[RV_LINE_PRICER.xlsm]FixingTables!R80C12</stp>
        <tr r="L80" s="5"/>
      </tp>
      <tp>
        <v>2.8580000000000001</v>
        <stp/>
        <stp>##V3_BDHV12</stp>
        <stp>US0006M Index</stp>
        <stp>PX_LAST</stp>
        <stp>09/11/2018</stp>
        <stp>09/11/2018</stp>
        <stp>[RV_LINE_PRICER.xlsm]FixingTables!R65C12</stp>
        <tr r="L65" s="5"/>
      </tp>
      <tp>
        <v>2.6941299999999999</v>
        <stp/>
        <stp>##V3_BDHV12</stp>
        <stp>US0006M Index</stp>
        <stp>PX_LAST</stp>
        <stp>18/10/2018</stp>
        <stp>18/10/2018</stp>
        <stp>[RV_LINE_PRICER.xlsm]FixingTables!R81C12</stp>
        <tr r="L81" s="5"/>
      </tp>
      <tp>
        <v>2.85188</v>
        <stp/>
        <stp>##V3_BDHV12</stp>
        <stp>US0006M Index</stp>
        <stp>PX_LAST</stp>
        <stp>18/01/2019</stp>
        <stp>18/01/2019</stp>
        <stp>[RV_LINE_PRICER.xlsm]FixingTables!R20C12</stp>
        <tr r="L20" s="5"/>
      </tp>
      <tp>
        <v>2.8576299999999999</v>
        <stp/>
        <stp>##V3_BDHV12</stp>
        <stp>US0006M Index</stp>
        <stp>PX_LAST</stp>
        <stp>08/11/2018</stp>
        <stp>08/11/2018</stp>
        <stp>[RV_LINE_PRICER.xlsm]FixingTables!R66C12</stp>
        <tr r="L66" s="5"/>
      </tp>
      <tp>
        <v>2.0699999999999998</v>
        <stp/>
        <stp>##V3_BDHV12</stp>
        <stp>ADBB6M Index</stp>
        <stp>PX_LAST</stp>
        <stp>29/10/2018</stp>
        <stp>29/10/2018</stp>
        <stp>[RV_LINE_PRICER.xlsm]FixingTables!R76C18</stp>
        <tr r="R76" s="5"/>
      </tp>
      <tp>
        <v>2.19</v>
        <stp/>
        <stp>##V3_BDHV12</stp>
        <stp>ADBB6M Index</stp>
        <stp>PX_LAST</stp>
        <stp>29/01/2019</stp>
        <stp>29/01/2019</stp>
        <stp>[RV_LINE_PRICER.xlsm]FixingTables!R14C18</stp>
        <tr r="R14" s="5"/>
      </tp>
      <tp>
        <v>2.14</v>
        <stp/>
        <stp>##V3_BDHV12</stp>
        <stp>ADBB6M Index</stp>
        <stp>PX_LAST</stp>
        <stp>06/12/2018</stp>
        <stp>06/12/2018</stp>
        <stp>[RV_LINE_PRICER.xlsm]FixingTables!R48C18</stp>
        <tr r="R48" s="5"/>
      </tp>
      <tp>
        <v>2.0750000000000002</v>
        <stp/>
        <stp>##V3_BDHV12</stp>
        <stp>ADBB6M Index</stp>
        <stp>PX_LAST</stp>
        <stp>26/10/2018</stp>
        <stp>26/10/2018</stp>
        <stp>[RV_LINE_PRICER.xlsm]FixingTables!R77C18</stp>
        <tr r="R77" s="5"/>
      </tp>
      <tp>
        <v>2.14</v>
        <stp/>
        <stp>##V3_BDHV12</stp>
        <stp>ADBB6M Index</stp>
        <stp>PX_LAST</stp>
        <stp>07/12/2018</stp>
        <stp>07/12/2018</stp>
        <stp>[RV_LINE_PRICER.xlsm]FixingTables!R47C18</stp>
        <tr r="R47" s="5"/>
      </tp>
      <tp>
        <v>2.19</v>
        <stp/>
        <stp>##V3_BDHV12</stp>
        <stp>ADBB6M Index</stp>
        <stp>PX_LAST</stp>
        <stp>24/01/2019</stp>
        <stp>24/01/2019</stp>
        <stp>[RV_LINE_PRICER.xlsm]FixingTables!R16C18</stp>
        <tr r="R16" s="5"/>
      </tp>
      <tp>
        <v>2.08</v>
        <stp/>
        <stp>##V3_BDHV12</stp>
        <stp>ADBB6M Index</stp>
        <stp>PX_LAST</stp>
        <stp>24/10/2018</stp>
        <stp>24/10/2018</stp>
        <stp>[RV_LINE_PRICER.xlsm]FixingTables!R79C18</stp>
        <tr r="R79" s="5"/>
      </tp>
      <tp>
        <v>2.14</v>
        <stp/>
        <stp>##V3_BDHV12</stp>
        <stp>ADBB6M Index</stp>
        <stp>PX_LAST</stp>
        <stp>04/12/2018</stp>
        <stp>04/12/2018</stp>
        <stp>[RV_LINE_PRICER.xlsm]FixingTables!R50C18</stp>
        <tr r="R50" s="5"/>
      </tp>
      <tp>
        <v>2.19</v>
        <stp/>
        <stp>##V3_BDHV12</stp>
        <stp>ADBB6M Index</stp>
        <stp>PX_LAST</stp>
        <stp>25/01/2019</stp>
        <stp>25/01/2019</stp>
        <stp>[RV_LINE_PRICER.xlsm]FixingTables!R15C18</stp>
        <tr r="R15" s="5"/>
      </tp>
      <tp>
        <v>2.08</v>
        <stp/>
        <stp>##V3_BDHV12</stp>
        <stp>ADBB6M Index</stp>
        <stp>PX_LAST</stp>
        <stp>25/10/2018</stp>
        <stp>25/10/2018</stp>
        <stp>[RV_LINE_PRICER.xlsm]FixingTables!R78C18</stp>
        <tr r="R78" s="5"/>
      </tp>
      <tp>
        <v>2.14</v>
        <stp/>
        <stp>##V3_BDHV12</stp>
        <stp>ADBB6M Index</stp>
        <stp>PX_LAST</stp>
        <stp>05/12/2018</stp>
        <stp>05/12/2018</stp>
        <stp>[RV_LINE_PRICER.xlsm]FixingTables!R49C18</stp>
        <tr r="R49" s="5"/>
      </tp>
      <tp>
        <v>2.09</v>
        <stp/>
        <stp>##V3_BDHV12</stp>
        <stp>ADBB6M Index</stp>
        <stp>PX_LAST</stp>
        <stp>22/10/2018</stp>
        <stp>22/10/2018</stp>
        <stp>[RV_LINE_PRICER.xlsm]FixingTables!R81C18</stp>
        <tr r="R81" s="5"/>
      </tp>
      <tp>
        <v>2.19</v>
        <stp/>
        <stp>##V3_BDHV12</stp>
        <stp>ADBB6M Index</stp>
        <stp>PX_LAST</stp>
        <stp>22/01/2019</stp>
        <stp>22/01/2019</stp>
        <stp>[RV_LINE_PRICER.xlsm]FixingTables!R18C18</stp>
        <tr r="R18" s="5"/>
      </tp>
      <tp>
        <v>2.09</v>
        <stp/>
        <stp>##V3_BDHV12</stp>
        <stp>ADBB6M Index</stp>
        <stp>PX_LAST</stp>
        <stp>23/10/2018</stp>
        <stp>23/10/2018</stp>
        <stp>[RV_LINE_PRICER.xlsm]FixingTables!R80C18</stp>
        <tr r="R80" s="5"/>
      </tp>
      <tp>
        <v>2.14</v>
        <stp/>
        <stp>##V3_BDHV12</stp>
        <stp>ADBB6M Index</stp>
        <stp>PX_LAST</stp>
        <stp>03/12/2018</stp>
        <stp>03/12/2018</stp>
        <stp>[RV_LINE_PRICER.xlsm]FixingTables!R51C18</stp>
        <tr r="R51" s="5"/>
      </tp>
      <tp>
        <v>2.19</v>
        <stp/>
        <stp>##V3_BDHV12</stp>
        <stp>ADBB6M Index</stp>
        <stp>PX_LAST</stp>
        <stp>23/01/2019</stp>
        <stp>23/01/2019</stp>
        <stp>[RV_LINE_PRICER.xlsm]FixingTables!R17C18</stp>
        <tr r="R17" s="5"/>
      </tp>
      <tp>
        <v>2.13</v>
        <stp/>
        <stp>##V3_BDHV12</stp>
        <stp>ADBB6M Index</stp>
        <stp>PX_LAST</stp>
        <stp>30/11/2018</stp>
        <stp>30/11/2018</stp>
        <stp>[RV_LINE_PRICER.xlsm]FixingTables!R52C18</stp>
        <tr r="R52" s="5"/>
      </tp>
      <tp>
        <v>2.19</v>
        <stp/>
        <stp>##V3_BDHV12</stp>
        <stp>ADBB6M Index</stp>
        <stp>PX_LAST</stp>
        <stp>21/01/2019</stp>
        <stp>21/01/2019</stp>
        <stp>[RV_LINE_PRICER.xlsm]FixingTables!R19C18</stp>
        <tr r="R19" s="5"/>
      </tp>
      <tp>
        <v>2.8890599999999997</v>
        <stp/>
        <stp>##V3_BDHV12</stp>
        <stp>US0006M Index</stp>
        <stp>PX_LAST</stp>
        <stp>06/12/2018</stp>
        <stp>06/12/2018</stp>
        <stp>[RV_LINE_PRICER.xlsm]FixingTables!R48C12</stp>
        <tr r="L48" s="5"/>
      </tp>
      <tp>
        <v>2.7767499999999998</v>
        <stp/>
        <stp>##V3_BDHV12</stp>
        <stp>US0006M Index</stp>
        <stp>PX_LAST</stp>
        <stp>26/10/2018</stp>
        <stp>26/10/2018</stp>
        <stp>[RV_LINE_PRICER.xlsm]FixingTables!R75C12</stp>
        <tr r="L75" s="5"/>
      </tp>
      <tp>
        <v>2.8858100000000002</v>
        <stp/>
        <stp>##V3_BDHV12</stp>
        <stp>US0006M Index</stp>
        <stp>PX_LAST</stp>
        <stp>07/12/2018</stp>
        <stp>07/12/2018</stp>
        <stp>[RV_LINE_PRICER.xlsm]FixingTables!R47C12</stp>
        <tr r="L47" s="5"/>
      </tp>
      <tp>
        <v>2.7597499999999999</v>
        <stp/>
        <stp>##V3_BDHV12</stp>
        <stp>US0006M Index</stp>
        <stp>PX_LAST</stp>
        <stp>24/10/2018</stp>
        <stp>24/10/2018</stp>
        <stp>[RV_LINE_PRICER.xlsm]FixingTables!R77C12</stp>
        <tr r="L77" s="5"/>
      </tp>
      <tp>
        <v>2.8963799999999997</v>
        <stp/>
        <stp>##V3_BDHV12</stp>
        <stp>US0006M Index</stp>
        <stp>PX_LAST</stp>
        <stp>04/12/2018</stp>
        <stp>04/12/2018</stp>
        <stp>[RV_LINE_PRICER.xlsm]FixingTables!R50C12</stp>
        <tr r="L50" s="5"/>
      </tp>
      <tp>
        <v>2.8501300000000001</v>
        <stp/>
        <stp>##V3_BDHV12</stp>
        <stp>US0006M Index</stp>
        <stp>PX_LAST</stp>
        <stp>24/01/2019</stp>
        <stp>24/01/2019</stp>
        <stp>[RV_LINE_PRICER.xlsm]FixingTables!R17C12</stp>
        <tr r="L17" s="5"/>
      </tp>
      <tp>
        <v>2.77413</v>
        <stp/>
        <stp>##V3_BDHV12</stp>
        <stp>US0006M Index</stp>
        <stp>PX_LAST</stp>
        <stp>25/10/2018</stp>
        <stp>25/10/2018</stp>
        <stp>[RV_LINE_PRICER.xlsm]FixingTables!R76C12</stp>
        <tr r="L76" s="5"/>
      </tp>
      <tp>
        <v>2.89113</v>
        <stp/>
        <stp>##V3_BDHV12</stp>
        <stp>US0006M Index</stp>
        <stp>PX_LAST</stp>
        <stp>05/12/2018</stp>
        <stp>05/12/2018</stp>
        <stp>[RV_LINE_PRICER.xlsm]FixingTables!R49C12</stp>
        <tr r="L49" s="5"/>
      </tp>
      <tp>
        <v>2.8322500000000002</v>
        <stp/>
        <stp>##V3_BDHV12</stp>
        <stp>US0006M Index</stp>
        <stp>PX_LAST</stp>
        <stp>25/01/2019</stp>
        <stp>25/01/2019</stp>
        <stp>[RV_LINE_PRICER.xlsm]FixingTables!R16C12</stp>
        <tr r="L16" s="5"/>
      </tp>
      <tp>
        <v>2.8536299999999999</v>
        <stp/>
        <stp>##V3_BDHV12</stp>
        <stp>US0006M Index</stp>
        <stp>PX_LAST</stp>
        <stp>22/01/2019</stp>
        <stp>22/01/2019</stp>
        <stp>[RV_LINE_PRICER.xlsm]FixingTables!R19C12</stp>
        <tr r="L19" s="5"/>
      </tp>
      <tp>
        <v>2.7293099999999999</v>
        <stp/>
        <stp>##V3_BDHV12</stp>
        <stp>US0006M Index</stp>
        <stp>PX_LAST</stp>
        <stp>22/10/2018</stp>
        <stp>22/10/2018</stp>
        <stp>[RV_LINE_PRICER.xlsm]FixingTables!R79C12</stp>
        <tr r="L79" s="5"/>
      </tp>
      <tp>
        <v>2.8536299999999999</v>
        <stp/>
        <stp>##V3_BDHV12</stp>
        <stp>US0006M Index</stp>
        <stp>PX_LAST</stp>
        <stp>23/01/2019</stp>
        <stp>23/01/2019</stp>
        <stp>[RV_LINE_PRICER.xlsm]FixingTables!R18C12</stp>
        <tr r="L18" s="5"/>
      </tp>
      <tp>
        <v>2.8952499999999999</v>
        <stp/>
        <stp>##V3_BDHV12</stp>
        <stp>US0006M Index</stp>
        <stp>PX_LAST</stp>
        <stp>03/12/2018</stp>
        <stp>03/12/2018</stp>
        <stp>[RV_LINE_PRICER.xlsm]FixingTables!R51C12</stp>
        <tr r="L51" s="5"/>
      </tp>
      <tp>
        <v>2.74756</v>
        <stp/>
        <stp>##V3_BDHV12</stp>
        <stp>US0006M Index</stp>
        <stp>PX_LAST</stp>
        <stp>23/10/2018</stp>
        <stp>23/10/2018</stp>
        <stp>[RV_LINE_PRICER.xlsm]FixingTables!R78C12</stp>
        <tr r="L78" s="5"/>
      </tp>
      <tp>
        <v>2.8946300000000003</v>
        <stp/>
        <stp>##V3_BDHV12</stp>
        <stp>US0006M Index</stp>
        <stp>PX_LAST</stp>
        <stp>30/11/2018</stp>
        <stp>30/11/2018</stp>
        <stp>[RV_LINE_PRICER.xlsm]FixingTables!R52C12</stp>
        <tr r="L52" s="5"/>
      </tp>
      <tp>
        <v>2.8298800000000002</v>
        <stp/>
        <stp>##V3_BDHV12</stp>
        <stp>US0006M Index</stp>
        <stp>PX_LAST</stp>
        <stp>28/01/2019</stp>
        <stp>28/01/2019</stp>
        <stp>[RV_LINE_PRICER.xlsm]FixingTables!R15C12</stp>
        <tr r="L15" s="5"/>
      </tp>
      <tp>
        <v>2.8233800000000002</v>
        <stp/>
        <stp>##V3_BDHV12</stp>
        <stp>US0006M Index</stp>
        <stp>PX_LAST</stp>
        <stp>29/01/2019</stp>
        <stp>29/01/2019</stp>
        <stp>[RV_LINE_PRICER.xlsm]FixingTables!R14C12</stp>
        <tr r="L14" s="5"/>
      </tp>
      <tp>
        <v>2.7817499999999997</v>
        <stp/>
        <stp>##V3_BDHV12</stp>
        <stp>US0006M Index</stp>
        <stp>PX_LAST</stp>
        <stp>29/10/2018</stp>
        <stp>29/10/2018</stp>
        <stp>[RV_LINE_PRICER.xlsm]FixingTables!R74C12</stp>
        <tr r="L74" s="5"/>
      </tp>
      <tp>
        <v>103.99299999999999</v>
        <stp/>
        <stp>##V3_BDPV12</stp>
        <stp>USN4578BQA53 BGN Corp</stp>
        <stp>PX_LAST</stp>
        <stp>[RV_LINE_PRICER.xlsm]FixedBondsSummary!R7C3</stp>
        <tr r="C7" s="12"/>
      </tp>
      <tp>
        <v>1</v>
        <stp/>
        <stp>##V3_BDPV12</stp>
        <stp>XS1344710857 Corp</stp>
        <stp>CALC_TYP</stp>
        <stp>[RV_LINE_PRICER.xlsm]XccyFixedBonds!R10C227</stp>
        <tr r="HS10" s="16"/>
        <tr r="HS10" s="16"/>
        <tr r="HS10" s="16"/>
      </tp>
      <tp>
        <v>1</v>
        <stp/>
        <stp>##V3_BDPV12</stp>
        <stp>XS1344710857 Corp</stp>
        <stp>CALC_TYP</stp>
        <stp>[RV_LINE_PRICER.xlsm]XccyFixedBonds!R11C227</stp>
        <tr r="HS11" s="16"/>
        <tr r="HS11" s="16"/>
        <tr r="HS11" s="16"/>
      </tp>
      <tp t="s">
        <v>30/09/2015</v>
        <stp/>
        <stp>##V3_BDPV12</stp>
        <stp>XS1209910196 Corp</stp>
        <stp>FIRST_CPN_DT</stp>
        <stp>[RV_LINE_PRICER.xlsm]FixedBonds!R8C37</stp>
        <tr r="AK8" s="1"/>
      </tp>
      <tp t="b">
        <v>0</v>
        <stp/>
        <stp>##V3_BDPV12</stp>
        <stp/>
        <stp>MATURITY</stp>
        <stp>[RV_LINE_PRICER.xlsm]XccyFixedBonds!R22C46</stp>
        <tr r="AT22" s="16"/>
        <tr r="AT22" s="16"/>
      </tp>
      <tp t="b">
        <v>0</v>
        <stp/>
        <stp>##V3_BDPV12</stp>
        <stp/>
        <stp>MATURITY</stp>
        <stp>[RV_LINE_PRICER.xlsm]XccyFixedBonds!R23C46</stp>
        <tr r="AT23" s="16"/>
        <tr r="AT23" s="16"/>
      </tp>
      <tp t="b">
        <v>0</v>
        <stp/>
        <stp>##V3_BDPV12</stp>
        <stp/>
        <stp>MATURITY</stp>
        <stp>[RV_LINE_PRICER.xlsm]XccyFixedBonds!R20C46</stp>
        <tr r="AT20" s="16"/>
        <tr r="AT20" s="16"/>
      </tp>
      <tp t="b">
        <v>0</v>
        <stp/>
        <stp>##V3_BDPV12</stp>
        <stp/>
        <stp>MATURITY</stp>
        <stp>[RV_LINE_PRICER.xlsm]XccyFixedBonds!R21C46</stp>
        <tr r="AT21" s="16"/>
        <tr r="AT21" s="16"/>
      </tp>
      <tp t="b">
        <v>0</v>
        <stp/>
        <stp>##V3_BDPV12</stp>
        <stp/>
        <stp>MATURITY</stp>
        <stp>[RV_LINE_PRICER.xlsm]XccyFixedBonds!R26C46</stp>
        <tr r="AT26" s="16"/>
        <tr r="AT26" s="16"/>
      </tp>
      <tp t="b">
        <v>0</v>
        <stp/>
        <stp>##V3_BDPV12</stp>
        <stp/>
        <stp>MATURITY</stp>
        <stp>[RV_LINE_PRICER.xlsm]XccyFixedBonds!R24C46</stp>
        <tr r="AT24" s="16"/>
        <tr r="AT24" s="16"/>
      </tp>
      <tp t="b">
        <v>0</v>
        <stp/>
        <stp>##V3_BDPV12</stp>
        <stp/>
        <stp>MATURITY</stp>
        <stp>[RV_LINE_PRICER.xlsm]XccyFixedBonds!R25C46</stp>
        <tr r="AT25" s="16"/>
        <tr r="AT25" s="16"/>
      </tp>
      <tp t="b">
        <v>0</v>
        <stp/>
        <stp>##V3_BDPV12</stp>
        <stp/>
        <stp>MATURITY</stp>
        <stp>[RV_LINE_PRICER.xlsm]XccyFixedBonds!R18C46</stp>
        <tr r="AT18" s="16"/>
        <tr r="AT18" s="16"/>
      </tp>
      <tp t="b">
        <v>0</v>
        <stp/>
        <stp>##V3_BDPV12</stp>
        <stp/>
        <stp>MATURITY</stp>
        <stp>[RV_LINE_PRICER.xlsm]XccyFixedBonds!R19C46</stp>
        <tr r="AT19" s="16"/>
        <tr r="AT19" s="16"/>
      </tp>
      <tp t="b">
        <v>0</v>
        <stp/>
        <stp>##V3_BDPV12</stp>
        <stp/>
        <stp>MATURITY</stp>
        <stp>[RV_LINE_PRICER.xlsm]XccyFixedBonds!R12C46</stp>
        <tr r="AT12" s="16"/>
        <tr r="AT12" s="16"/>
      </tp>
      <tp t="b">
        <v>0</v>
        <stp/>
        <stp>##V3_BDPV12</stp>
        <stp/>
        <stp>MATURITY</stp>
        <stp>[RV_LINE_PRICER.xlsm]XccyFixedBonds!R13C46</stp>
        <tr r="AT13" s="16"/>
        <tr r="AT13" s="16"/>
      </tp>
      <tp t="b">
        <v>0</v>
        <stp/>
        <stp>##V3_BDPV12</stp>
        <stp/>
        <stp>MATURITY</stp>
        <stp>[RV_LINE_PRICER.xlsm]XccyFixedBonds!R16C46</stp>
        <tr r="AT16" s="16"/>
        <tr r="AT16" s="16"/>
      </tp>
      <tp t="b">
        <v>0</v>
        <stp/>
        <stp>##V3_BDPV12</stp>
        <stp/>
        <stp>MATURITY</stp>
        <stp>[RV_LINE_PRICER.xlsm]XccyFixedBonds!R17C46</stp>
        <tr r="AT17" s="16"/>
        <tr r="AT17" s="16"/>
      </tp>
      <tp t="b">
        <v>0</v>
        <stp/>
        <stp>##V3_BDPV12</stp>
        <stp/>
        <stp>MATURITY</stp>
        <stp>[RV_LINE_PRICER.xlsm]XccyFixedBonds!R14C46</stp>
        <tr r="AT14" s="16"/>
        <tr r="AT14" s="16"/>
      </tp>
      <tp t="b">
        <v>0</v>
        <stp/>
        <stp>##V3_BDPV12</stp>
        <stp/>
        <stp>MATURITY</stp>
        <stp>[RV_LINE_PRICER.xlsm]XccyFixedBonds!R15C46</stp>
        <tr r="AT15" s="16"/>
        <tr r="AT15" s="16"/>
      </tp>
      <tp>
        <v>2.12</v>
        <stp/>
        <stp>##V3_BDHV12</stp>
        <stp>ADBB6M Index</stp>
        <stp>PX_LAST</stp>
        <stp>29/11/2018</stp>
        <stp>29/11/2018</stp>
        <stp>[RV_LINE_PRICER.xlsm]FixingTables!R53C18</stp>
        <tr r="R53" s="5"/>
      </tp>
      <tp>
        <v>2.19</v>
        <stp/>
        <stp>##V3_BDHV12</stp>
        <stp>ADBB6M Index</stp>
        <stp>PX_LAST</stp>
        <stp>19/12/2018</stp>
        <stp>19/12/2018</stp>
        <stp>[RV_LINE_PRICER.xlsm]FixingTables!R39C18</stp>
        <tr r="R39" s="5"/>
      </tp>
      <tp>
        <v>2.12</v>
        <stp/>
        <stp>##V3_BDHV12</stp>
        <stp>ADBB6M Index</stp>
        <stp>PX_LAST</stp>
        <stp>28/11/2018</stp>
        <stp>28/11/2018</stp>
        <stp>[RV_LINE_PRICER.xlsm]FixingTables!R54C18</stp>
        <tr r="R54" s="5"/>
      </tp>
      <tp>
        <v>2.19</v>
        <stp/>
        <stp>##V3_BDHV12</stp>
        <stp>ADBB6M Index</stp>
        <stp>PX_LAST</stp>
        <stp>18/12/2018</stp>
        <stp>18/12/2018</stp>
        <stp>[RV_LINE_PRICER.xlsm]FixingTables!R40C18</stp>
        <tr r="R40" s="5"/>
      </tp>
      <tp>
        <v>2.1800000000000002</v>
        <stp/>
        <stp>##V3_BDHV12</stp>
        <stp>ADBB6M Index</stp>
        <stp>PX_LAST</stp>
        <stp>17/12/2018</stp>
        <stp>17/12/2018</stp>
        <stp>[RV_LINE_PRICER.xlsm]FixingTables!R41C18</stp>
        <tr r="R41" s="5"/>
      </tp>
      <tp>
        <v>2.12</v>
        <stp/>
        <stp>##V3_BDHV12</stp>
        <stp>ADBB6M Index</stp>
        <stp>PX_LAST</stp>
        <stp>27/11/2018</stp>
        <stp>27/11/2018</stp>
        <stp>[RV_LINE_PRICER.xlsm]FixingTables!R55C18</stp>
        <tr r="R55" s="5"/>
      </tp>
      <tp>
        <v>2.12</v>
        <stp/>
        <stp>##V3_BDHV12</stp>
        <stp>ADBB6M Index</stp>
        <stp>PX_LAST</stp>
        <stp>26/11/2018</stp>
        <stp>26/11/2018</stp>
        <stp>[RV_LINE_PRICER.xlsm]FixingTables!R56C18</stp>
        <tr r="R56" s="5"/>
      </tp>
      <tp>
        <v>2.1800000000000002</v>
        <stp/>
        <stp>##V3_BDHV12</stp>
        <stp>ADBB6M Index</stp>
        <stp>PX_LAST</stp>
        <stp>14/12/2018</stp>
        <stp>14/12/2018</stp>
        <stp>[RV_LINE_PRICER.xlsm]FixingTables!R42C18</stp>
        <tr r="R42" s="5"/>
      </tp>
      <tp>
        <v>2.17</v>
        <stp/>
        <stp>##V3_BDHV12</stp>
        <stp>ADBB6M Index</stp>
        <stp>PX_LAST</stp>
        <stp>13/12/2018</stp>
        <stp>13/12/2018</stp>
        <stp>[RV_LINE_PRICER.xlsm]FixingTables!R43C18</stp>
        <tr r="R43" s="5"/>
      </tp>
      <tp>
        <v>2.12</v>
        <stp/>
        <stp>##V3_BDHV12</stp>
        <stp>ADBB6M Index</stp>
        <stp>PX_LAST</stp>
        <stp>23/11/2018</stp>
        <stp>23/11/2018</stp>
        <stp>[RV_LINE_PRICER.xlsm]FixingTables!R57C18</stp>
        <tr r="R57" s="5"/>
      </tp>
      <tp>
        <v>2.12</v>
        <stp/>
        <stp>##V3_BDHV12</stp>
        <stp>ADBB6M Index</stp>
        <stp>PX_LAST</stp>
        <stp>22/11/2018</stp>
        <stp>22/11/2018</stp>
        <stp>[RV_LINE_PRICER.xlsm]FixingTables!R58C18</stp>
        <tr r="R58" s="5"/>
      </tp>
      <tp>
        <v>2.16</v>
        <stp/>
        <stp>##V3_BDHV12</stp>
        <stp>ADBB6M Index</stp>
        <stp>PX_LAST</stp>
        <stp>12/12/2018</stp>
        <stp>12/12/2018</stp>
        <stp>[RV_LINE_PRICER.xlsm]FixingTables!R44C18</stp>
        <tr r="R44" s="5"/>
      </tp>
      <tp>
        <v>2.0699999999999998</v>
        <stp/>
        <stp>##V3_BDHV12</stp>
        <stp>ADBB6M Index</stp>
        <stp>PX_LAST</stp>
        <stp>31/10/2018</stp>
        <stp>31/10/2018</stp>
        <stp>[RV_LINE_PRICER.xlsm]FixingTables!R74C18</stp>
        <tr r="R74" s="5"/>
      </tp>
      <tp>
        <v>2.14</v>
        <stp/>
        <stp>##V3_BDHV12</stp>
        <stp>ADBB6M Index</stp>
        <stp>PX_LAST</stp>
        <stp>11/12/2018</stp>
        <stp>11/12/2018</stp>
        <stp>[RV_LINE_PRICER.xlsm]FixingTables!R45C18</stp>
        <tr r="R45" s="5"/>
      </tp>
      <tp>
        <v>2.11</v>
        <stp/>
        <stp>##V3_BDHV12</stp>
        <stp>ADBB6M Index</stp>
        <stp>PX_LAST</stp>
        <stp>21/11/2018</stp>
        <stp>21/11/2018</stp>
        <stp>[RV_LINE_PRICER.xlsm]FixingTables!R59C18</stp>
        <tr r="R59" s="5"/>
      </tp>
      <tp>
        <v>2.0699999999999998</v>
        <stp/>
        <stp>##V3_BDHV12</stp>
        <stp>ADBB6M Index</stp>
        <stp>PX_LAST</stp>
        <stp>30/10/2018</stp>
        <stp>30/10/2018</stp>
        <stp>[RV_LINE_PRICER.xlsm]FixingTables!R75C18</stp>
        <tr r="R75" s="5"/>
      </tp>
      <tp>
        <v>2.11</v>
        <stp/>
        <stp>##V3_BDHV12</stp>
        <stp>ADBB6M Index</stp>
        <stp>PX_LAST</stp>
        <stp>20/11/2018</stp>
        <stp>20/11/2018</stp>
        <stp>[RV_LINE_PRICER.xlsm]FixingTables!R60C18</stp>
        <tr r="R60" s="5"/>
      </tp>
      <tp>
        <v>2.14</v>
        <stp/>
        <stp>##V3_BDHV12</stp>
        <stp>ADBB6M Index</stp>
        <stp>PX_LAST</stp>
        <stp>10/12/2018</stp>
        <stp>10/12/2018</stp>
        <stp>[RV_LINE_PRICER.xlsm]FixingTables!R46C18</stp>
        <tr r="R46" s="5"/>
      </tp>
      <tp>
        <v>2.1800000000000002</v>
        <stp/>
        <stp>##V3_BDHV12</stp>
        <stp>ADBB6M Index</stp>
        <stp>PX_LAST</stp>
        <stp>30/01/2019</stp>
        <stp>30/01/2019</stp>
        <stp>[RV_LINE_PRICER.xlsm]FixingTables!R13C18</stp>
        <tr r="R13" s="5"/>
      </tp>
      <tp>
        <v>2.8844400000000001</v>
        <stp/>
        <stp>##V3_BDHV12</stp>
        <stp>US0006M Index</stp>
        <stp>PX_LAST</stp>
        <stp>27/11/2018</stp>
        <stp>27/11/2018</stp>
        <stp>[RV_LINE_PRICER.xlsm]FixingTables!R55C12</stp>
        <tr r="L55" s="5"/>
      </tp>
      <tp>
        <v>2.90463</v>
        <stp/>
        <stp>##V3_BDHV12</stp>
        <stp>US0006M Index</stp>
        <stp>PX_LAST</stp>
        <stp>17/12/2018</stp>
        <stp>17/12/2018</stp>
        <stp>[RV_LINE_PRICER.xlsm]FixingTables!R41C12</stp>
        <tr r="L41" s="5"/>
      </tp>
      <tp>
        <v>2.8927499999999999</v>
        <stp/>
        <stp>##V3_BDHV12</stp>
        <stp>US0006M Index</stp>
        <stp>PX_LAST</stp>
        <stp>26/11/2018</stp>
        <stp>26/11/2018</stp>
        <stp>[RV_LINE_PRICER.xlsm]FixingTables!R56C12</stp>
        <tr r="L56" s="5"/>
      </tp>
      <tp>
        <v>2.90056</v>
        <stp/>
        <stp>##V3_BDHV12</stp>
        <stp>US0006M Index</stp>
        <stp>PX_LAST</stp>
        <stp>14/12/2018</stp>
        <stp>14/12/2018</stp>
        <stp>[RV_LINE_PRICER.xlsm]FixingTables!R42C12</stp>
        <tr r="L42" s="5"/>
      </tp>
      <tp>
        <v>2.88625</v>
        <stp/>
        <stp>##V3_BDHV12</stp>
        <stp>US0006M Index</stp>
        <stp>PX_LAST</stp>
        <stp>23/11/2018</stp>
        <stp>23/11/2018</stp>
        <stp>[RV_LINE_PRICER.xlsm]FixingTables!R57C12</stp>
        <tr r="L57" s="5"/>
      </tp>
      <tp>
        <v>2.9008799999999999</v>
        <stp/>
        <stp>##V3_BDHV12</stp>
        <stp>US0006M Index</stp>
        <stp>PX_LAST</stp>
        <stp>13/12/2018</stp>
        <stp>13/12/2018</stp>
        <stp>[RV_LINE_PRICER.xlsm]FixingTables!R43C12</stp>
        <tr r="L43" s="5"/>
      </tp>
      <tp>
        <v>2.8922499999999998</v>
        <stp/>
        <stp>##V3_BDHV12</stp>
        <stp>US0006M Index</stp>
        <stp>PX_LAST</stp>
        <stp>12/12/2018</stp>
        <stp>12/12/2018</stp>
        <stp>[RV_LINE_PRICER.xlsm]FixingTables!R44C12</stp>
        <tr r="L44" s="5"/>
      </tp>
      <tp>
        <v>2.8001300000000002</v>
        <stp/>
        <stp>##V3_BDHV12</stp>
        <stp>US0006M Index</stp>
        <stp>PX_LAST</stp>
        <stp>31/10/2018</stp>
        <stp>31/10/2018</stp>
        <stp>[RV_LINE_PRICER.xlsm]FixingTables!R72C12</stp>
        <tr r="L72" s="5"/>
      </tp>
      <tp>
        <v>2.8858800000000002</v>
        <stp/>
        <stp>##V3_BDHV12</stp>
        <stp>US0006M Index</stp>
        <stp>PX_LAST</stp>
        <stp>21/11/2018</stp>
        <stp>21/11/2018</stp>
        <stp>[RV_LINE_PRICER.xlsm]FixingTables!R58C12</stp>
        <tr r="L58" s="5"/>
      </tp>
      <tp>
        <v>2.88063</v>
        <stp/>
        <stp>##V3_BDHV12</stp>
        <stp>US0006M Index</stp>
        <stp>PX_LAST</stp>
        <stp>11/12/2018</stp>
        <stp>11/12/2018</stp>
        <stp>[RV_LINE_PRICER.xlsm]FixingTables!R45C12</stp>
        <tr r="L45" s="5"/>
      </tp>
      <tp>
        <v>2.8115000000000001</v>
        <stp/>
        <stp>##V3_BDHV12</stp>
        <stp>US0006M Index</stp>
        <stp>PX_LAST</stp>
        <stp>30/01/2019</stp>
        <stp>30/01/2019</stp>
        <stp>[RV_LINE_PRICER.xlsm]FixingTables!R13C12</stp>
        <tr r="L13" s="5"/>
      </tp>
      <tp>
        <v>2.7962500000000001</v>
        <stp/>
        <stp>##V3_BDHV12</stp>
        <stp>US0006M Index</stp>
        <stp>PX_LAST</stp>
        <stp>30/10/2018</stp>
        <stp>30/10/2018</stp>
        <stp>[RV_LINE_PRICER.xlsm]FixingTables!R73C12</stp>
        <tr r="L73" s="5"/>
      </tp>
      <tp>
        <v>2.8778800000000002</v>
        <stp/>
        <stp>##V3_BDHV12</stp>
        <stp>US0006M Index</stp>
        <stp>PX_LAST</stp>
        <stp>10/12/2018</stp>
        <stp>10/12/2018</stp>
        <stp>[RV_LINE_PRICER.xlsm]FixingTables!R46C12</stp>
        <tr r="L46" s="5"/>
      </tp>
      <tp>
        <v>2.8632499999999999</v>
        <stp/>
        <stp>##V3_BDHV12</stp>
        <stp>US0006M Index</stp>
        <stp>PX_LAST</stp>
        <stp>20/11/2018</stp>
        <stp>20/11/2018</stp>
        <stp>[RV_LINE_PRICER.xlsm]FixingTables!R59C12</stp>
        <tr r="L59" s="5"/>
      </tp>
      <tp>
        <v>2.8708800000000001</v>
        <stp/>
        <stp>##V3_BDHV12</stp>
        <stp>US0006M Index</stp>
        <stp>PX_LAST</stp>
        <stp>19/12/2018</stp>
        <stp>19/12/2018</stp>
        <stp>[RV_LINE_PRICER.xlsm]FixingTables!R39C12</stp>
        <tr r="L39" s="5"/>
      </tp>
      <tp>
        <v>2.8851900000000001</v>
        <stp/>
        <stp>##V3_BDHV12</stp>
        <stp>US0006M Index</stp>
        <stp>PX_LAST</stp>
        <stp>29/11/2018</stp>
        <stp>29/11/2018</stp>
        <stp>[RV_LINE_PRICER.xlsm]FixingTables!R53C12</stp>
        <tr r="L53" s="5"/>
      </tp>
      <tp>
        <v>2.8763800000000002</v>
        <stp/>
        <stp>##V3_BDHV12</stp>
        <stp>US0006M Index</stp>
        <stp>PX_LAST</stp>
        <stp>18/12/2018</stp>
        <stp>18/12/2018</stp>
        <stp>[RV_LINE_PRICER.xlsm]FixingTables!R40C12</stp>
        <tr r="L40" s="5"/>
      </tp>
      <tp>
        <v>2.8866300000000003</v>
        <stp/>
        <stp>##V3_BDHV12</stp>
        <stp>US0006M Index</stp>
        <stp>PX_LAST</stp>
        <stp>28/11/2018</stp>
        <stp>28/11/2018</stp>
        <stp>[RV_LINE_PRICER.xlsm]FixingTables!R54C12</stp>
        <tr r="L54" s="5"/>
      </tp>
      <tp t="s">
        <v>08/10/2021</v>
        <stp/>
        <stp>##V3_BDPV12</stp>
        <stp>XS1215869915 Corp</stp>
        <stp>PENULTIMATE_CPN_DT</stp>
        <stp>[RV_LINE_PRICER.xlsm]FixedBonds!R8C205</stp>
        <tr r="GW8" s="1"/>
      </tp>
      <tp t="s">
        <v>29/12/2020</v>
        <stp/>
        <stp>##V3_BDPV12</stp>
        <stp>XS1339542364 Corp</stp>
        <stp>MATURITY</stp>
        <stp>[RV_LINE_PRICER.xlsm]FixedBonds!R7C206</stp>
        <tr r="GX7" s="1"/>
      </tp>
      <tp t="s">
        <v>ISMA-30/360</v>
        <stp/>
        <stp>##V3_BDPV12</stp>
        <stp>XS1615075048 Corp</stp>
        <stp>DAY_CNT_DES</stp>
        <stp>[RV_LINE_PRICER.xlsm]FixedBonds!R9C214</stp>
        <tr r="HF9" s="1"/>
      </tp>
      <tp>
        <v>-0.248</v>
        <stp/>
        <stp>##V3_BDHV12</stp>
        <stp>EUR006M Index</stp>
        <stp>PX_LAST</stp>
        <stp>03/12/2018</stp>
        <stp>03/12/2018</stp>
        <stp>[RV_LINE_PRICER.xlsm]FixingTables!R52C6</stp>
        <tr r="F52" s="5"/>
      </tp>
      <tp>
        <v>-0.26100000000000001</v>
        <stp/>
        <stp>##V3_BDHV12</stp>
        <stp>EUR006M Index</stp>
        <stp>PX_LAST</stp>
        <stp>22/10/2018</stp>
        <stp>22/10/2018</stp>
        <stp>[RV_LINE_PRICER.xlsm]FixingTables!R82C6</stp>
        <tr r="F82" s="5"/>
      </tp>
      <tp>
        <v>-0.23599999999999999</v>
        <stp/>
        <stp>##V3_BDHV12</stp>
        <stp>EUR006M Index</stp>
        <stp>PX_LAST</stp>
        <stp>30/01/2019</stp>
        <stp>30/01/2019</stp>
        <stp>[RV_LINE_PRICER.xlsm]FixingTables!R13C6</stp>
        <tr r="F13" s="5"/>
      </tp>
      <tp>
        <v>-0.23699999999999999</v>
        <stp/>
        <stp>##V3_BDHV12</stp>
        <stp>EUR006M Index</stp>
        <stp>PX_LAST</stp>
        <stp>17/12/2018</stp>
        <stp>17/12/2018</stp>
        <stp>[RV_LINE_PRICER.xlsm]FixingTables!R42C6</stp>
        <tr r="F42" s="5"/>
      </tp>
      <tp>
        <v>-0.23799999999999999</v>
        <stp/>
        <stp>##V3_BDHV12</stp>
        <stp>EUR006M Index</stp>
        <stp>PX_LAST</stp>
        <stp>02/01/2019</stp>
        <stp>02/01/2019</stp>
        <stp>[RV_LINE_PRICER.xlsm]FixingTables!R33C6</stp>
        <tr r="F33" s="5"/>
      </tp>
      <tp>
        <v>-0.25700000000000001</v>
        <stp/>
        <stp>##V3_BDHV12</stp>
        <stp>EUR006M Index</stp>
        <stp>PX_LAST</stp>
        <stp>19/11/2018</stp>
        <stp>19/11/2018</stp>
        <stp>[RV_LINE_PRICER.xlsm]FixingTables!R62C6</stp>
        <tr r="F62" s="5"/>
      </tp>
      <tp>
        <v>-0.26700000000000002</v>
        <stp/>
        <stp>##V3_BDHV12</stp>
        <stp>EUR006M Index</stp>
        <stp>PX_LAST</stp>
        <stp>08/10/2018</stp>
        <stp>08/10/2018</stp>
        <stp>[RV_LINE_PRICER.xlsm]FixingTables!R92C6</stp>
        <tr r="F92" s="5"/>
      </tp>
      <tp>
        <v>-0.25700000000000001</v>
        <stp/>
        <stp>##V3_BDHV12</stp>
        <stp>EUR006M Index</stp>
        <stp>PX_LAST</stp>
        <stp>05/11/2018</stp>
        <stp>05/11/2018</stp>
        <stp>[RV_LINE_PRICER.xlsm]FixingTables!R72C6</stp>
        <tr r="F72" s="5"/>
      </tp>
      <tp>
        <v>-0.23599999999999999</v>
        <stp/>
        <stp>##V3_BDHV12</stp>
        <stp>EUR006M Index</stp>
        <stp>PX_LAST</stp>
        <stp>16/01/2019</stp>
        <stp>16/01/2019</stp>
        <stp>[RV_LINE_PRICER.xlsm]FixingTables!R23C6</stp>
        <tr r="F23" s="5"/>
      </tp>
      <tp>
        <v>-0.311</v>
        <stp/>
        <stp>##V3_BDHV12</stp>
        <stp>EUR003M Index</stp>
        <stp>PX_LAST</stp>
        <stp>17/12/2018</stp>
        <stp>17/12/2018</stp>
        <stp>[RV_LINE_PRICER.xlsm]FixingTables!R42C3</stp>
        <tr r="C42" s="5"/>
      </tp>
      <tp>
        <v>-0.308</v>
        <stp/>
        <stp>##V3_BDHV12</stp>
        <stp>EUR003M Index</stp>
        <stp>PX_LAST</stp>
        <stp>30/01/2019</stp>
        <stp>30/01/2019</stp>
        <stp>[RV_LINE_PRICER.xlsm]FixingTables!R13C3</stp>
        <tr r="C13" s="5"/>
      </tp>
      <tp>
        <v>-0.317</v>
        <stp/>
        <stp>##V3_BDHV12</stp>
        <stp>EUR003M Index</stp>
        <stp>PX_LAST</stp>
        <stp>22/10/2018</stp>
        <stp>22/10/2018</stp>
        <stp>[RV_LINE_PRICER.xlsm]FixingTables!R82C3</stp>
        <tr r="C82" s="5"/>
      </tp>
      <tp>
        <v>-0.316</v>
        <stp/>
        <stp>##V3_BDHV12</stp>
        <stp>EUR003M Index</stp>
        <stp>PX_LAST</stp>
        <stp>03/12/2018</stp>
        <stp>03/12/2018</stp>
        <stp>[RV_LINE_PRICER.xlsm]FixingTables!R52C3</stp>
        <tr r="C52" s="5"/>
      </tp>
      <tp>
        <v>-0.318</v>
        <stp/>
        <stp>##V3_BDHV12</stp>
        <stp>EUR003M Index</stp>
        <stp>PX_LAST</stp>
        <stp>05/11/2018</stp>
        <stp>05/11/2018</stp>
        <stp>[RV_LINE_PRICER.xlsm]FixingTables!R72C3</stp>
        <tr r="C72" s="5"/>
      </tp>
      <tp>
        <v>-0.308</v>
        <stp/>
        <stp>##V3_BDHV12</stp>
        <stp>EUR003M Index</stp>
        <stp>PX_LAST</stp>
        <stp>16/01/2019</stp>
        <stp>16/01/2019</stp>
        <stp>[RV_LINE_PRICER.xlsm]FixingTables!R23C3</stp>
        <tr r="C23" s="5"/>
      </tp>
      <tp>
        <v>-0.31</v>
        <stp/>
        <stp>##V3_BDHV12</stp>
        <stp>EUR003M Index</stp>
        <stp>PX_LAST</stp>
        <stp>02/01/2019</stp>
        <stp>02/01/2019</stp>
        <stp>[RV_LINE_PRICER.xlsm]FixingTables!R33C3</stp>
        <tr r="C33" s="5"/>
      </tp>
      <tp>
        <v>-0.318</v>
        <stp/>
        <stp>##V3_BDHV12</stp>
        <stp>EUR003M Index</stp>
        <stp>PX_LAST</stp>
        <stp>08/10/2018</stp>
        <stp>08/10/2018</stp>
        <stp>[RV_LINE_PRICER.xlsm]FixingTables!R92C3</stp>
        <tr r="C92" s="5"/>
      </tp>
      <tp>
        <v>-0.316</v>
        <stp/>
        <stp>##V3_BDHV12</stp>
        <stp>EUR003M Index</stp>
        <stp>PX_LAST</stp>
        <stp>19/11/2018</stp>
        <stp>19/11/2018</stp>
        <stp>[RV_LINE_PRICER.xlsm]FixingTables!R62C3</stp>
        <tr r="C62" s="5"/>
      </tp>
      <tp t="s">
        <v>09/10/2018</v>
        <stp/>
        <stp>##V3_BDPV12</stp>
        <stp>XS0423038875 Corp</stp>
        <stp>PENULTIMATE_CPN_DT</stp>
        <stp>[RV_LINE_PRICER.xlsm]FixedBonds!R9C38</stp>
        <tr r="AL9" s="1"/>
      </tp>
      <tp>
        <v>2.7374999999999998</v>
        <stp/>
        <stp>##V3_BDPV12</stp>
        <stp>XS1193905160 Corp</stp>
        <stp>YAS_FLOATER_ASSUMED_RATE</stp>
        <stp>[RV_LINE_PRICER.xlsm]FloatBondSingle!R39C22</stp>
        <tr r="V39" s="23"/>
      </tp>
      <tp>
        <v>4</v>
        <stp/>
        <stp>##V3_BDPV12</stp>
        <stp>XS1193905160 Corp</stp>
        <stp>CPN_FREQ</stp>
        <stp>[RV_LINE_PRICER.xlsm]FloatBonds!R7C214</stp>
        <tr r="HF7" s="18"/>
      </tp>
      <tp>
        <v>4</v>
        <stp/>
        <stp>##V3_BDPV12</stp>
        <stp>XS1193905160 Corp</stp>
        <stp>CPN_FREQ</stp>
        <stp>[RV_LINE_PRICER.xlsm]FloatBonds!R9C214</stp>
        <tr r="HF9" s="18"/>
      </tp>
      <tp>
        <v>4</v>
        <stp/>
        <stp>##V3_BDPV12</stp>
        <stp>XS1193905160 Corp</stp>
        <stp>CPN_FREQ</stp>
        <stp>[RV_LINE_PRICER.xlsm]FloatBonds!R8C214</stp>
        <tr r="HF8" s="18"/>
      </tp>
      <tp>
        <v>2.7425000000000002</v>
        <stp/>
        <stp>##V3_BDPV12</stp>
        <stp>XS1215869915 Corp</stp>
        <stp>CPN</stp>
        <stp>[RV_LINE_PRICER.xlsm]FixedBonds!R8C207</stp>
        <tr r="GY8" s="1"/>
      </tp>
      <tp t="s">
        <v>30/360</v>
        <stp/>
        <stp>##V3_BDPV12</stp>
        <stp>US05565QCT31 Corp</stp>
        <stp>DAY_CNT_DES</stp>
        <stp>[RV_LINE_PRICER.xlsm]FloatBonds!R11C51</stp>
        <tr r="AY11" s="18"/>
      </tp>
      <tp t="s">
        <v>30/360</v>
        <stp/>
        <stp>##V3_BDPV12</stp>
        <stp>US05565QCT31 Corp</stp>
        <stp>DAY_CNT_DES</stp>
        <stp>[RV_LINE_PRICER.xlsm]FloatBonds!R10C51</stp>
        <tr r="AY10" s="18"/>
      </tp>
      <tp t="s">
        <v>FIXED</v>
        <stp/>
        <stp>##V3_BDPV12</stp>
        <stp>US05565QCT31 Corp</stp>
        <stp>CPN_TYP</stp>
        <stp>[RV_LINE_PRICER.xlsm]FloatBondSingle!R11C9</stp>
        <tr r="I11" s="23"/>
        <tr r="I11" s="23"/>
      </tp>
      <tp>
        <v>-0.251</v>
        <stp/>
        <stp>##V3_BDHV12</stp>
        <stp>EUR006M Index</stp>
        <stp>PX_LAST</stp>
        <stp>30/11/2018</stp>
        <stp>30/11/2018</stp>
        <stp>[RV_LINE_PRICER.xlsm]FixingTables!R53C6</stp>
        <tr r="F53" s="5"/>
      </tp>
      <tp>
        <v>-0.23799999999999999</v>
        <stp/>
        <stp>##V3_BDHV12</stp>
        <stp>EUR006M Index</stp>
        <stp>PX_LAST</stp>
        <stp>14/12/2018</stp>
        <stp>14/12/2018</stp>
        <stp>[RV_LINE_PRICER.xlsm]FixingTables!R43C6</stp>
        <tr r="F43" s="5"/>
      </tp>
      <tp>
        <v>-0.23699999999999999</v>
        <stp/>
        <stp>##V3_BDHV12</stp>
        <stp>EUR006M Index</stp>
        <stp>PX_LAST</stp>
        <stp>03/01/2019</stp>
        <stp>03/01/2019</stp>
        <stp>[RV_LINE_PRICER.xlsm]FixingTables!R32C6</stp>
        <tr r="F32" s="5"/>
      </tp>
      <tp>
        <v>-0.26700000000000002</v>
        <stp/>
        <stp>##V3_BDHV12</stp>
        <stp>EUR006M Index</stp>
        <stp>PX_LAST</stp>
        <stp>05/10/2018</stp>
        <stp>05/10/2018</stp>
        <stp>[RV_LINE_PRICER.xlsm]FixingTables!R93C6</stp>
        <tr r="F93" s="5"/>
      </tp>
      <tp>
        <v>-0.25700000000000001</v>
        <stp/>
        <stp>##V3_BDHV12</stp>
        <stp>EUR006M Index</stp>
        <stp>PX_LAST</stp>
        <stp>16/11/2018</stp>
        <stp>16/11/2018</stp>
        <stp>[RV_LINE_PRICER.xlsm]FixingTables!R63C6</stp>
        <tr r="F63" s="5"/>
      </tp>
      <tp>
        <v>-0.25800000000000001</v>
        <stp/>
        <stp>##V3_BDHV12</stp>
        <stp>EUR006M Index</stp>
        <stp>PX_LAST</stp>
        <stp>02/11/2018</stp>
        <stp>02/11/2018</stp>
        <stp>[RV_LINE_PRICER.xlsm]FixingTables!R73C6</stp>
        <tr r="F73" s="5"/>
      </tp>
      <tp>
        <v>-0.23599999999999999</v>
        <stp/>
        <stp>##V3_BDHV12</stp>
        <stp>EUR006M Index</stp>
        <stp>PX_LAST</stp>
        <stp>17/01/2019</stp>
        <stp>17/01/2019</stp>
        <stp>[RV_LINE_PRICER.xlsm]FixingTables!R22C6</stp>
        <tr r="F22" s="5"/>
      </tp>
      <tp>
        <v>-0.26200000000000001</v>
        <stp/>
        <stp>##V3_BDHV12</stp>
        <stp>EUR006M Index</stp>
        <stp>PX_LAST</stp>
        <stp>19/10/2018</stp>
        <stp>19/10/2018</stp>
        <stp>[RV_LINE_PRICER.xlsm]FixingTables!R83C6</stp>
        <tr r="F83" s="5"/>
      </tp>
      <tp>
        <v>-0.311</v>
        <stp/>
        <stp>##V3_BDHV12</stp>
        <stp>EUR003M Index</stp>
        <stp>PX_LAST</stp>
        <stp>14/12/2018</stp>
        <stp>14/12/2018</stp>
        <stp>[RV_LINE_PRICER.xlsm]FixingTables!R43C3</stp>
        <tr r="C43" s="5"/>
      </tp>
      <tp>
        <v>-0.316</v>
        <stp/>
        <stp>##V3_BDHV12</stp>
        <stp>EUR003M Index</stp>
        <stp>PX_LAST</stp>
        <stp>30/11/2018</stp>
        <stp>30/11/2018</stp>
        <stp>[RV_LINE_PRICER.xlsm]FixingTables!R53C3</stp>
        <tr r="C53" s="5"/>
      </tp>
      <tp>
        <v>-0.308</v>
        <stp/>
        <stp>##V3_BDHV12</stp>
        <stp>EUR003M Index</stp>
        <stp>PX_LAST</stp>
        <stp>17/01/2019</stp>
        <stp>17/01/2019</stp>
        <stp>[RV_LINE_PRICER.xlsm]FixingTables!R22C3</stp>
        <tr r="C22" s="5"/>
      </tp>
      <tp>
        <v>-0.318</v>
        <stp/>
        <stp>##V3_BDHV12</stp>
        <stp>EUR003M Index</stp>
        <stp>PX_LAST</stp>
        <stp>02/11/2018</stp>
        <stp>02/11/2018</stp>
        <stp>[RV_LINE_PRICER.xlsm]FixingTables!R73C3</stp>
        <tr r="C73" s="5"/>
      </tp>
      <tp>
        <v>-0.317</v>
        <stp/>
        <stp>##V3_BDHV12</stp>
        <stp>EUR003M Index</stp>
        <stp>PX_LAST</stp>
        <stp>19/10/2018</stp>
        <stp>19/10/2018</stp>
        <stp>[RV_LINE_PRICER.xlsm]FixingTables!R83C3</stp>
        <tr r="C83" s="5"/>
      </tp>
      <tp>
        <v>-0.318</v>
        <stp/>
        <stp>##V3_BDHV12</stp>
        <stp>EUR003M Index</stp>
        <stp>PX_LAST</stp>
        <stp>05/10/2018</stp>
        <stp>05/10/2018</stp>
        <stp>[RV_LINE_PRICER.xlsm]FixingTables!R93C3</stp>
        <tr r="C93" s="5"/>
      </tp>
      <tp>
        <v>-0.316</v>
        <stp/>
        <stp>##V3_BDHV12</stp>
        <stp>EUR003M Index</stp>
        <stp>PX_LAST</stp>
        <stp>16/11/2018</stp>
        <stp>16/11/2018</stp>
        <stp>[RV_LINE_PRICER.xlsm]FixingTables!R63C3</stp>
        <tr r="C63" s="5"/>
      </tp>
      <tp>
        <v>-0.309</v>
        <stp/>
        <stp>##V3_BDHV12</stp>
        <stp>EUR003M Index</stp>
        <stp>PX_LAST</stp>
        <stp>03/01/2019</stp>
        <stp>03/01/2019</stp>
        <stp>[RV_LINE_PRICER.xlsm]FixingTables!R32C3</stp>
        <tr r="C32" s="5"/>
      </tp>
      <tp t="s">
        <v>FIXED</v>
        <stp/>
        <stp>##V3_BDPV12</stp>
        <stp>USN4578BQA53 Corp</stp>
        <stp>CPN_TYP</stp>
        <stp>[RV_LINE_PRICER.xlsm]FixedBondSingle!R11C9</stp>
        <tr r="I11" s="22"/>
      </tp>
      <tp t="s">
        <v>ISMA-30/360</v>
        <stp/>
        <stp>##V3_BDPV12</stp>
        <stp>USP32133CG63 Corp</stp>
        <stp>DAY_CNT_DES</stp>
        <stp>[RV_LINE_PRICER.xlsm]FixedBonds!R10C47</stp>
        <tr r="AU10" s="1"/>
      </tp>
      <tp t="s">
        <v>15/01/2026</v>
        <stp/>
        <stp>##V3_BDPV12</stp>
        <stp>XS1344710857 Corp</stp>
        <stp>MATURITY</stp>
        <stp>[RV_LINE_PRICER.xlsm]XccyFixedBonds!R11C217</stp>
        <tr r="HI11" s="16"/>
        <tr r="HI11" s="16"/>
      </tp>
      <tp t="s">
        <v>15/01/2026</v>
        <stp/>
        <stp>##V3_BDPV12</stp>
        <stp>XS1344710857 Corp</stp>
        <stp>MATURITY</stp>
        <stp>[RV_LINE_PRICER.xlsm]XccyFixedBonds!R10C217</stp>
        <tr r="HI10" s="16"/>
        <tr r="HI10" s="16"/>
      </tp>
      <tp>
        <v>-0.246</v>
        <stp/>
        <stp>##V3_BDHV12</stp>
        <stp>EUR006M Index</stp>
        <stp>PX_LAST</stp>
        <stp>05/12/2018</stp>
        <stp>05/12/2018</stp>
        <stp>[RV_LINE_PRICER.xlsm]FixingTables!R50C6</stp>
        <tr r="F50" s="5"/>
      </tp>
      <tp>
        <v>-0.25900000000000001</v>
        <stp/>
        <stp>##V3_BDHV12</stp>
        <stp>EUR006M Index</stp>
        <stp>PX_LAST</stp>
        <stp>24/10/2018</stp>
        <stp>24/10/2018</stp>
        <stp>[RV_LINE_PRICER.xlsm]FixingTables!R80C6</stp>
        <tr r="F80" s="5"/>
      </tp>
      <tp>
        <v>-0.25700000000000001</v>
        <stp/>
        <stp>##V3_BDHV12</stp>
        <stp>EUR006M Index</stp>
        <stp>PX_LAST</stp>
        <stp>21/11/2018</stp>
        <stp>21/11/2018</stp>
        <stp>[RV_LINE_PRICER.xlsm]FixingTables!R60C6</stp>
        <tr r="F60" s="5"/>
      </tp>
      <tp>
        <v>-0.23799999999999999</v>
        <stp/>
        <stp>##V3_BDHV12</stp>
        <stp>EUR006M Index</stp>
        <stp>PX_LAST</stp>
        <stp>19/12/2018</stp>
        <stp>19/12/2018</stp>
        <stp>[RV_LINE_PRICER.xlsm]FixingTables!R40C6</stp>
        <tr r="F40" s="5"/>
      </tp>
      <tp>
        <v>-0.23699999999999999</v>
        <stp/>
        <stp>##V3_BDHV12</stp>
        <stp>EUR006M Index</stp>
        <stp>PX_LAST</stp>
        <stp>04/01/2019</stp>
        <stp>04/01/2019</stp>
        <stp>[RV_LINE_PRICER.xlsm]FixingTables!R31C6</stp>
        <tr r="F31" s="5"/>
      </tp>
      <tp>
        <v>-0.26800000000000002</v>
        <stp/>
        <stp>##V3_BDHV12</stp>
        <stp>EUR006M Index</stp>
        <stp>PX_LAST</stp>
        <stp>10/10/2018</stp>
        <stp>10/10/2018</stp>
        <stp>[RV_LINE_PRICER.xlsm]FixingTables!R90C6</stp>
        <tr r="F90" s="5"/>
      </tp>
      <tp>
        <v>-0.25800000000000001</v>
        <stp/>
        <stp>##V3_BDHV12</stp>
        <stp>EUR006M Index</stp>
        <stp>PX_LAST</stp>
        <stp>07/11/2018</stp>
        <stp>07/11/2018</stp>
        <stp>[RV_LINE_PRICER.xlsm]FixingTables!R70C6</stp>
        <tr r="F70" s="5"/>
      </tp>
      <tp>
        <v>-0.23499999999999999</v>
        <stp/>
        <stp>##V3_BDHV12</stp>
        <stp>EUR006M Index</stp>
        <stp>PX_LAST</stp>
        <stp>18/01/2019</stp>
        <stp>18/01/2019</stp>
        <stp>[RV_LINE_PRICER.xlsm]FixingTables!R21C6</stp>
        <tr r="F21" s="5"/>
      </tp>
      <tp>
        <v>-0.316</v>
        <stp/>
        <stp>##V3_BDHV12</stp>
        <stp>EUR003M Index</stp>
        <stp>PX_LAST</stp>
        <stp>21/11/2018</stp>
        <stp>21/11/2018</stp>
        <stp>[RV_LINE_PRICER.xlsm]FixingTables!R60C3</stp>
        <tr r="C60" s="5"/>
      </tp>
      <tp>
        <v>-0.309</v>
        <stp/>
        <stp>##V3_BDHV12</stp>
        <stp>EUR003M Index</stp>
        <stp>PX_LAST</stp>
        <stp>19/12/2018</stp>
        <stp>19/12/2018</stp>
        <stp>[RV_LINE_PRICER.xlsm]FixingTables!R40C3</stp>
        <tr r="C40" s="5"/>
      </tp>
      <tp t="s">
        <v>ISMA-30/360</v>
        <stp/>
        <stp>##V3_BDPV12</stp>
        <stp>USJ46186BC59 Corp</stp>
        <stp>DAY_CNT_DES</stp>
        <stp>[RV_LINE_PRICER.xlsm]XccyFixedBonds!R8C54</stp>
        <tr r="BB8" s="16"/>
        <tr r="BB8" s="16"/>
      </tp>
      <tp t="s">
        <v>ISMA-30/360</v>
        <stp/>
        <stp>##V3_BDPV12</stp>
        <stp>USJ46186BC59 Corp</stp>
        <stp>DAY_CNT_DES</stp>
        <stp>[RV_LINE_PRICER.xlsm]XccyFixedBonds!R9C54</stp>
        <tr r="BB9" s="16"/>
        <tr r="BB9" s="16"/>
      </tp>
      <tp t="s">
        <v>ISMA-30/360</v>
        <stp/>
        <stp>##V3_BDPV12</stp>
        <stp>USJ46186BC59 Corp</stp>
        <stp>DAY_CNT_DES</stp>
        <stp>[RV_LINE_PRICER.xlsm]XccyFixedBonds!R7C54</stp>
        <tr r="BB7" s="16"/>
        <tr r="BB7" s="16"/>
      </tp>
      <tp>
        <v>-0.317</v>
        <stp/>
        <stp>##V3_BDHV12</stp>
        <stp>EUR003M Index</stp>
        <stp>PX_LAST</stp>
        <stp>24/10/2018</stp>
        <stp>24/10/2018</stp>
        <stp>[RV_LINE_PRICER.xlsm]FixingTables!R80C3</stp>
        <tr r="C80" s="5"/>
      </tp>
      <tp>
        <v>-0.316</v>
        <stp/>
        <stp>##V3_BDHV12</stp>
        <stp>EUR003M Index</stp>
        <stp>PX_LAST</stp>
        <stp>05/12/2018</stp>
        <stp>05/12/2018</stp>
        <stp>[RV_LINE_PRICER.xlsm]FixingTables!R50C3</stp>
        <tr r="C50" s="5"/>
      </tp>
      <tp>
        <v>-0.317</v>
        <stp/>
        <stp>##V3_BDHV12</stp>
        <stp>EUR003M Index</stp>
        <stp>PX_LAST</stp>
        <stp>07/11/2018</stp>
        <stp>07/11/2018</stp>
        <stp>[RV_LINE_PRICER.xlsm]FixingTables!R70C3</stp>
        <tr r="C70" s="5"/>
      </tp>
      <tp>
        <v>-0.318</v>
        <stp/>
        <stp>##V3_BDHV12</stp>
        <stp>EUR003M Index</stp>
        <stp>PX_LAST</stp>
        <stp>10/10/2018</stp>
        <stp>10/10/2018</stp>
        <stp>[RV_LINE_PRICER.xlsm]FixingTables!R90C3</stp>
        <tr r="C90" s="5"/>
      </tp>
      <tp>
        <v>-0.308</v>
        <stp/>
        <stp>##V3_BDHV12</stp>
        <stp>EUR003M Index</stp>
        <stp>PX_LAST</stp>
        <stp>18/01/2019</stp>
        <stp>18/01/2019</stp>
        <stp>[RV_LINE_PRICER.xlsm]FixingTables!R21C3</stp>
        <tr r="C21" s="5"/>
      </tp>
      <tp>
        <v>-0.309</v>
        <stp/>
        <stp>##V3_BDHV12</stp>
        <stp>EUR003M Index</stp>
        <stp>PX_LAST</stp>
        <stp>04/01/2019</stp>
        <stp>04/01/2019</stp>
        <stp>[RV_LINE_PRICER.xlsm]FixingTables!R31C3</stp>
        <tr r="C31" s="5"/>
      </tp>
      <tp>
        <v>6.55</v>
        <stp/>
        <stp>##V3_BDPV12</stp>
        <stp>XS0423038875 Corp</stp>
        <stp>CPN</stp>
        <stp>[RV_LINE_PRICER.xlsm]FixedBonds!R9C40</stp>
        <tr r="AN9" s="1"/>
      </tp>
      <tp>
        <v>1</v>
        <stp/>
        <stp>##V3_BDPV12</stp>
        <stp>XS1339542364 Corp</stp>
        <stp>CALC_TYP</stp>
        <stp>[RV_LINE_PRICER.xlsm]FixedBonds!R7C216</stp>
        <tr r="HH7" s="1"/>
      </tp>
      <tp>
        <v>60</v>
        <stp/>
        <stp>##V3_BDPV12</stp>
        <stp>XS1193905160 Corp</stp>
        <stp>FLT_SPREAD</stp>
        <stp>[RV_LINE_PRICER.xlsm]FloatBondSingle!R35C22</stp>
        <tr r="V35" s="23"/>
        <tr r="V35" s="23"/>
      </tp>
      <tp>
        <v>-0.25900000000000001</v>
        <stp/>
        <stp>##V3_BDHV12</stp>
        <stp>EUR006M Index</stp>
        <stp>PX_LAST</stp>
        <stp>23/10/2018</stp>
        <stp>23/10/2018</stp>
        <stp>[RV_LINE_PRICER.xlsm]FixingTables!R81C6</stp>
        <tr r="F81" s="5"/>
      </tp>
      <tp>
        <v>-0.23599999999999999</v>
        <stp/>
        <stp>##V3_BDHV12</stp>
        <stp>EUR006M Index</stp>
        <stp>PX_LAST</stp>
        <stp>21/01/2019</stp>
        <stp>21/01/2019</stp>
        <stp>[RV_LINE_PRICER.xlsm]FixingTables!R20C6</stp>
        <tr r="F20" s="5"/>
      </tp>
      <tp>
        <v>-0.247</v>
        <stp/>
        <stp>##V3_BDHV12</stp>
        <stp>EUR006M Index</stp>
        <stp>PX_LAST</stp>
        <stp>04/12/2018</stp>
        <stp>04/12/2018</stp>
        <stp>[RV_LINE_PRICER.xlsm]FixingTables!R51C6</stp>
        <tr r="F51" s="5"/>
      </tp>
      <tp>
        <v>-0.25700000000000001</v>
        <stp/>
        <stp>##V3_BDHV12</stp>
        <stp>EUR006M Index</stp>
        <stp>PX_LAST</stp>
        <stp>20/11/2018</stp>
        <stp>20/11/2018</stp>
        <stp>[RV_LINE_PRICER.xlsm]FixingTables!R61C6</stp>
        <tr r="F61" s="5"/>
      </tp>
      <tp>
        <v>-0.23799999999999999</v>
        <stp/>
        <stp>##V3_BDHV12</stp>
        <stp>EUR006M Index</stp>
        <stp>PX_LAST</stp>
        <stp>18/12/2018</stp>
        <stp>18/12/2018</stp>
        <stp>[RV_LINE_PRICER.xlsm]FixingTables!R41C6</stp>
        <tr r="F41" s="5"/>
      </tp>
      <tp>
        <v>-0.23599999999999999</v>
        <stp/>
        <stp>##V3_BDHV12</stp>
        <stp>EUR006M Index</stp>
        <stp>PX_LAST</stp>
        <stp>07/01/2019</stp>
        <stp>07/01/2019</stp>
        <stp>[RV_LINE_PRICER.xlsm]FixingTables!R30C6</stp>
        <tr r="F30" s="5"/>
      </tp>
      <tp>
        <v>-0.26800000000000002</v>
        <stp/>
        <stp>##V3_BDHV12</stp>
        <stp>EUR006M Index</stp>
        <stp>PX_LAST</stp>
        <stp>09/10/2018</stp>
        <stp>09/10/2018</stp>
        <stp>[RV_LINE_PRICER.xlsm]FixingTables!R91C6</stp>
        <tr r="F91" s="5"/>
      </tp>
      <tp>
        <v>-0.25800000000000001</v>
        <stp/>
        <stp>##V3_BDHV12</stp>
        <stp>EUR006M Index</stp>
        <stp>PX_LAST</stp>
        <stp>06/11/2018</stp>
        <stp>06/11/2018</stp>
        <stp>[RV_LINE_PRICER.xlsm]FixingTables!R71C6</stp>
        <tr r="F71" s="5"/>
      </tp>
      <tp>
        <v>-0.316</v>
        <stp/>
        <stp>##V3_BDHV12</stp>
        <stp>EUR003M Index</stp>
        <stp>PX_LAST</stp>
        <stp>20/11/2018</stp>
        <stp>20/11/2018</stp>
        <stp>[RV_LINE_PRICER.xlsm]FixingTables!R61C3</stp>
        <tr r="C61" s="5"/>
      </tp>
      <tp>
        <v>-0.311</v>
        <stp/>
        <stp>##V3_BDHV12</stp>
        <stp>EUR003M Index</stp>
        <stp>PX_LAST</stp>
        <stp>18/12/2018</stp>
        <stp>18/12/2018</stp>
        <stp>[RV_LINE_PRICER.xlsm]FixingTables!R41C3</stp>
        <tr r="C41" s="5"/>
      </tp>
      <tp>
        <v>-0.316</v>
        <stp/>
        <stp>##V3_BDHV12</stp>
        <stp>EUR003M Index</stp>
        <stp>PX_LAST</stp>
        <stp>04/12/2018</stp>
        <stp>04/12/2018</stp>
        <stp>[RV_LINE_PRICER.xlsm]FixingTables!R51C3</stp>
        <tr r="C51" s="5"/>
      </tp>
      <tp>
        <v>-0.317</v>
        <stp/>
        <stp>##V3_BDHV12</stp>
        <stp>EUR003M Index</stp>
        <stp>PX_LAST</stp>
        <stp>23/10/2018</stp>
        <stp>23/10/2018</stp>
        <stp>[RV_LINE_PRICER.xlsm]FixingTables!R81C3</stp>
        <tr r="C81" s="5"/>
      </tp>
      <tp>
        <v>-0.308</v>
        <stp/>
        <stp>##V3_BDHV12</stp>
        <stp>EUR003M Index</stp>
        <stp>PX_LAST</stp>
        <stp>21/01/2019</stp>
        <stp>21/01/2019</stp>
        <stp>[RV_LINE_PRICER.xlsm]FixingTables!R20C3</stp>
        <tr r="C20" s="5"/>
      </tp>
      <tp>
        <v>-0.317</v>
        <stp/>
        <stp>##V3_BDHV12</stp>
        <stp>EUR003M Index</stp>
        <stp>PX_LAST</stp>
        <stp>06/11/2018</stp>
        <stp>06/11/2018</stp>
        <stp>[RV_LINE_PRICER.xlsm]FixingTables!R71C3</stp>
        <tr r="C71" s="5"/>
      </tp>
      <tp>
        <v>-0.31</v>
        <stp/>
        <stp>##V3_BDHV12</stp>
        <stp>EUR003M Index</stp>
        <stp>PX_LAST</stp>
        <stp>07/01/2019</stp>
        <stp>07/01/2019</stp>
        <stp>[RV_LINE_PRICER.xlsm]FixingTables!R30C3</stp>
        <tr r="C30" s="5"/>
      </tp>
      <tp>
        <v>-0.318</v>
        <stp/>
        <stp>##V3_BDHV12</stp>
        <stp>EUR003M Index</stp>
        <stp>PX_LAST</stp>
        <stp>09/10/2018</stp>
        <stp>09/10/2018</stp>
        <stp>[RV_LINE_PRICER.xlsm]FixingTables!R91C3</stp>
        <tr r="C91" s="5"/>
      </tp>
      <tp t="s">
        <v>16/12/2011</v>
        <stp/>
        <stp>##V3_BDPV12</stp>
        <stp>PPOE027W1 Corp</stp>
        <stp>INT_ACC_DT</stp>
        <stp>[RV_LINE_PRICER.xlsm]FixedBonds!R11C203</stp>
        <tr r="GU11" s="1"/>
      </tp>
      <tp>
        <v>1</v>
        <stp/>
        <stp>##V3_BDPV12</stp>
        <stp>XS1615075048 Corp</stp>
        <stp>CALC_TYP</stp>
        <stp>[RV_LINE_PRICER.xlsm]FixedBonds!R9C216</stp>
        <tr r="HH9" s="1"/>
      </tp>
      <tp t="s">
        <v>16/12/2018</v>
        <stp/>
        <stp>##V3_BDPV12</stp>
        <stp>PPOE027W1 Corp</stp>
        <stp>PENULTIMATE_CPN_DT</stp>
        <stp>[RV_LINE_PRICER.xlsm]FixedBonds!R11C205</stp>
        <tr r="GW11" s="1"/>
      </tp>
      <tp>
        <v>-0.23599999999999999</v>
        <stp/>
        <stp>##V3_BDHV12</stp>
        <stp>EUR006M Index</stp>
        <stp>PX_LAST</stp>
        <stp>24/01/2019</stp>
        <stp>24/01/2019</stp>
        <stp>[RV_LINE_PRICER.xlsm]FixingTables!R17C6</stp>
        <tr r="F17" s="5"/>
      </tp>
      <tp>
        <v>-0.25900000000000001</v>
        <stp/>
        <stp>##V3_BDHV12</stp>
        <stp>EUR006M Index</stp>
        <stp>PX_LAST</stp>
        <stp>30/10/2018</stp>
        <stp>30/10/2018</stp>
        <stp>[RV_LINE_PRICER.xlsm]FixingTables!R76C6</stp>
        <tr r="F76" s="5"/>
      </tp>
      <tp>
        <v>-0.24399999999999999</v>
        <stp/>
        <stp>##V3_BDHV12</stp>
        <stp>EUR006M Index</stp>
        <stp>PX_LAST</stp>
        <stp>11/12/2018</stp>
        <stp>11/12/2018</stp>
        <stp>[RV_LINE_PRICER.xlsm]FixingTables!R46C6</stp>
        <tr r="F46" s="5"/>
      </tp>
      <tp>
        <v>-0.25600000000000001</v>
        <stp/>
        <stp>##V3_BDHV12</stp>
        <stp>EUR006M Index</stp>
        <stp>PX_LAST</stp>
        <stp>27/11/2018</stp>
        <stp>27/11/2018</stp>
        <stp>[RV_LINE_PRICER.xlsm]FixingTables!R56C6</stp>
        <tr r="F56" s="5"/>
      </tp>
      <tp>
        <v>-0.25700000000000001</v>
        <stp/>
        <stp>##V3_BDHV12</stp>
        <stp>EUR006M Index</stp>
        <stp>PX_LAST</stp>
        <stp>13/11/2018</stp>
        <stp>13/11/2018</stp>
        <stp>[RV_LINE_PRICER.xlsm]FixingTables!R66C6</stp>
        <tr r="F66" s="5"/>
      </tp>
      <tp>
        <v>-0.26800000000000002</v>
        <stp/>
        <stp>##V3_BDHV12</stp>
        <stp>EUR006M Index</stp>
        <stp>PX_LAST</stp>
        <stp>02/10/2018</stp>
        <stp>02/10/2018</stp>
        <stp>[RV_LINE_PRICER.xlsm]FixingTables!R96C6</stp>
        <tr r="F96" s="5"/>
      </tp>
      <tp>
        <v>-0.23699999999999999</v>
        <stp/>
        <stp>##V3_BDHV12</stp>
        <stp>EUR006M Index</stp>
        <stp>PX_LAST</stp>
        <stp>27/12/2018</stp>
        <stp>27/12/2018</stp>
        <stp>[RV_LINE_PRICER.xlsm]FixingTables!R36C6</stp>
        <tr r="F36" s="5"/>
      </tp>
      <tp>
        <v>-0.23599999999999999</v>
        <stp/>
        <stp>##V3_BDHV12</stp>
        <stp>EUR006M Index</stp>
        <stp>PX_LAST</stp>
        <stp>10/01/2019</stp>
        <stp>10/01/2019</stp>
        <stp>[RV_LINE_PRICER.xlsm]FixingTables!R27C6</stp>
        <tr r="F27" s="5"/>
      </tp>
      <tp>
        <v>-0.26500000000000001</v>
        <stp/>
        <stp>##V3_BDHV12</stp>
        <stp>EUR006M Index</stp>
        <stp>PX_LAST</stp>
        <stp>16/10/2018</stp>
        <stp>16/10/2018</stp>
        <stp>[RV_LINE_PRICER.xlsm]FixingTables!R86C6</stp>
        <tr r="F86" s="5"/>
      </tp>
      <tp>
        <v>-0.316</v>
        <stp/>
        <stp>##V3_BDHV12</stp>
        <stp>EUR003M Index</stp>
        <stp>PX_LAST</stp>
        <stp>27/11/2018</stp>
        <stp>27/11/2018</stp>
        <stp>[RV_LINE_PRICER.xlsm]FixingTables!R56C3</stp>
        <tr r="C56" s="5"/>
      </tp>
      <tp>
        <v>-0.312</v>
        <stp/>
        <stp>##V3_BDHV12</stp>
        <stp>EUR003M Index</stp>
        <stp>PX_LAST</stp>
        <stp>11/12/2018</stp>
        <stp>11/12/2018</stp>
        <stp>[RV_LINE_PRICER.xlsm]FixingTables!R46C3</stp>
        <tr r="C46" s="5"/>
      </tp>
      <tp>
        <v>-0.318</v>
        <stp/>
        <stp>##V3_BDHV12</stp>
        <stp>EUR003M Index</stp>
        <stp>PX_LAST</stp>
        <stp>30/10/2018</stp>
        <stp>30/10/2018</stp>
        <stp>[RV_LINE_PRICER.xlsm]FixingTables!R76C3</stp>
        <tr r="C76" s="5"/>
      </tp>
      <tp>
        <v>-0.30599999999999999</v>
        <stp/>
        <stp>##V3_BDHV12</stp>
        <stp>EUR003M Index</stp>
        <stp>PX_LAST</stp>
        <stp>24/01/2019</stp>
        <stp>24/01/2019</stp>
        <stp>[RV_LINE_PRICER.xlsm]FixingTables!R17C3</stp>
        <tr r="C17" s="5"/>
      </tp>
      <tp>
        <v>-0.318</v>
        <stp/>
        <stp>##V3_BDHV12</stp>
        <stp>EUR003M Index</stp>
        <stp>PX_LAST</stp>
        <stp>16/10/2018</stp>
        <stp>16/10/2018</stp>
        <stp>[RV_LINE_PRICER.xlsm]FixingTables!R86C3</stp>
        <tr r="C86" s="5"/>
      </tp>
      <tp>
        <v>-0.308</v>
        <stp/>
        <stp>##V3_BDHV12</stp>
        <stp>EUR003M Index</stp>
        <stp>PX_LAST</stp>
        <stp>10/01/2019</stp>
        <stp>10/01/2019</stp>
        <stp>[RV_LINE_PRICER.xlsm]FixingTables!R27C3</stp>
        <tr r="C27" s="5"/>
      </tp>
      <tp>
        <v>-0.309</v>
        <stp/>
        <stp>##V3_BDHV12</stp>
        <stp>EUR003M Index</stp>
        <stp>PX_LAST</stp>
        <stp>27/12/2018</stp>
        <stp>27/12/2018</stp>
        <stp>[RV_LINE_PRICER.xlsm]FixingTables!R36C3</stp>
        <tr r="C36" s="5"/>
      </tp>
      <tp>
        <v>-0.318</v>
        <stp/>
        <stp>##V3_BDHV12</stp>
        <stp>EUR003M Index</stp>
        <stp>PX_LAST</stp>
        <stp>02/10/2018</stp>
        <stp>02/10/2018</stp>
        <stp>[RV_LINE_PRICER.xlsm]FixingTables!R96C3</stp>
        <tr r="C96" s="5"/>
      </tp>
      <tp>
        <v>-0.316</v>
        <stp/>
        <stp>##V3_BDHV12</stp>
        <stp>EUR003M Index</stp>
        <stp>PX_LAST</stp>
        <stp>13/11/2018</stp>
        <stp>13/11/2018</stp>
        <stp>[RV_LINE_PRICER.xlsm]FixingTables!R66C3</stp>
        <tr r="C66" s="5"/>
      </tp>
      <tp t="s">
        <v>11/02/2013</v>
        <stp/>
        <stp>##V3_BDPV12</stp>
        <stp>USP32133CG63 Corp</stp>
        <stp>ISSUE_DT</stp>
        <stp>[RV_LINE_PRICER.xlsm]FixedBonds!R10C35</stp>
        <tr r="AI10" s="1"/>
      </tp>
      <tp t="b">
        <v>0</v>
        <stp/>
        <stp>##V3_BDPV12</stp>
        <stp/>
        <stp>CPN_FREQ</stp>
        <stp>[RV_LINE_PRICER.xlsm]XccyFixedBonds!R20C48</stp>
        <tr r="AV20" s="16"/>
        <tr r="AV20" s="16"/>
      </tp>
      <tp t="b">
        <v>0</v>
        <stp/>
        <stp>##V3_BDPV12</stp>
        <stp/>
        <stp>CPN_FREQ</stp>
        <stp>[RV_LINE_PRICER.xlsm]XccyFixedBonds!R21C48</stp>
        <tr r="AV21" s="16"/>
        <tr r="AV21" s="16"/>
      </tp>
      <tp t="b">
        <v>0</v>
        <stp/>
        <stp>##V3_BDPV12</stp>
        <stp/>
        <stp>CPN_FREQ</stp>
        <stp>[RV_LINE_PRICER.xlsm]XccyFixedBonds!R22C48</stp>
        <tr r="AV22" s="16"/>
        <tr r="AV22" s="16"/>
      </tp>
      <tp t="b">
        <v>0</v>
        <stp/>
        <stp>##V3_BDPV12</stp>
        <stp/>
        <stp>CPN_FREQ</stp>
        <stp>[RV_LINE_PRICER.xlsm]XccyFixedBonds!R23C48</stp>
        <tr r="AV23" s="16"/>
        <tr r="AV23" s="16"/>
      </tp>
      <tp t="b">
        <v>0</v>
        <stp/>
        <stp>##V3_BDPV12</stp>
        <stp/>
        <stp>CPN_FREQ</stp>
        <stp>[RV_LINE_PRICER.xlsm]XccyFixedBonds!R24C48</stp>
        <tr r="AV24" s="16"/>
        <tr r="AV24" s="16"/>
      </tp>
      <tp t="b">
        <v>0</v>
        <stp/>
        <stp>##V3_BDPV12</stp>
        <stp/>
        <stp>CPN_FREQ</stp>
        <stp>[RV_LINE_PRICER.xlsm]XccyFixedBonds!R25C48</stp>
        <tr r="AV25" s="16"/>
        <tr r="AV25" s="16"/>
      </tp>
      <tp t="b">
        <v>0</v>
        <stp/>
        <stp>##V3_BDPV12</stp>
        <stp/>
        <stp>CPN_FREQ</stp>
        <stp>[RV_LINE_PRICER.xlsm]XccyFixedBonds!R26C48</stp>
        <tr r="AV26" s="16"/>
        <tr r="AV26" s="16"/>
      </tp>
      <tp t="b">
        <v>0</v>
        <stp/>
        <stp>##V3_BDPV12</stp>
        <stp/>
        <stp>CPN_FREQ</stp>
        <stp>[RV_LINE_PRICER.xlsm]XccyFixedBonds!R18C48</stp>
        <tr r="AV18" s="16"/>
        <tr r="AV18" s="16"/>
      </tp>
      <tp t="b">
        <v>0</v>
        <stp/>
        <stp>##V3_BDPV12</stp>
        <stp/>
        <stp>CPN_FREQ</stp>
        <stp>[RV_LINE_PRICER.xlsm]XccyFixedBonds!R19C48</stp>
        <tr r="AV19" s="16"/>
        <tr r="AV19" s="16"/>
      </tp>
      <tp t="b">
        <v>0</v>
        <stp/>
        <stp>##V3_BDPV12</stp>
        <stp/>
        <stp>CPN_FREQ</stp>
        <stp>[RV_LINE_PRICER.xlsm]XccyFixedBonds!R12C48</stp>
        <tr r="AV12" s="16"/>
        <tr r="AV12" s="16"/>
      </tp>
      <tp t="b">
        <v>0</v>
        <stp/>
        <stp>##V3_BDPV12</stp>
        <stp/>
        <stp>CPN_FREQ</stp>
        <stp>[RV_LINE_PRICER.xlsm]XccyFixedBonds!R13C48</stp>
        <tr r="AV13" s="16"/>
        <tr r="AV13" s="16"/>
      </tp>
      <tp t="b">
        <v>0</v>
        <stp/>
        <stp>##V3_BDPV12</stp>
        <stp/>
        <stp>CPN_FREQ</stp>
        <stp>[RV_LINE_PRICER.xlsm]XccyFixedBonds!R14C48</stp>
        <tr r="AV14" s="16"/>
        <tr r="AV14" s="16"/>
      </tp>
      <tp t="b">
        <v>0</v>
        <stp/>
        <stp>##V3_BDPV12</stp>
        <stp/>
        <stp>CPN_FREQ</stp>
        <stp>[RV_LINE_PRICER.xlsm]XccyFixedBonds!R15C48</stp>
        <tr r="AV15" s="16"/>
        <tr r="AV15" s="16"/>
      </tp>
      <tp t="b">
        <v>0</v>
        <stp/>
        <stp>##V3_BDPV12</stp>
        <stp/>
        <stp>CPN_FREQ</stp>
        <stp>[RV_LINE_PRICER.xlsm]XccyFixedBonds!R16C48</stp>
        <tr r="AV16" s="16"/>
        <tr r="AV16" s="16"/>
      </tp>
      <tp t="b">
        <v>0</v>
        <stp/>
        <stp>##V3_BDPV12</stp>
        <stp/>
        <stp>CPN_FREQ</stp>
        <stp>[RV_LINE_PRICER.xlsm]XccyFixedBonds!R17C48</stp>
        <tr r="AV17" s="16"/>
        <tr r="AV17" s="16"/>
      </tp>
      <tp t="b">
        <v>0</v>
        <stp/>
        <stp>##V3_BDPV12</stp>
        <stp/>
        <stp>FIRST_CPN_DT</stp>
        <stp>[RV_LINE_PRICER.xlsm]XccyFixedBonds!R12C215</stp>
        <tr r="HG12" s="16"/>
        <tr r="HG12" s="16"/>
      </tp>
      <tp t="b">
        <v>0</v>
        <stp/>
        <stp>##V3_BDPV12</stp>
        <stp/>
        <stp>FIRST_CPN_DT</stp>
        <stp>[RV_LINE_PRICER.xlsm]XccyFixedBonds!R13C215</stp>
        <tr r="HG13" s="16"/>
        <tr r="HG13" s="16"/>
      </tp>
      <tp t="b">
        <v>0</v>
        <stp/>
        <stp>##V3_BDPV12</stp>
        <stp/>
        <stp>FIRST_CPN_DT</stp>
        <stp>[RV_LINE_PRICER.xlsm]XccyFixedBonds!R14C215</stp>
        <tr r="HG14" s="16"/>
        <tr r="HG14" s="16"/>
      </tp>
      <tp t="b">
        <v>0</v>
        <stp/>
        <stp>##V3_BDPV12</stp>
        <stp/>
        <stp>FIRST_CPN_DT</stp>
        <stp>[RV_LINE_PRICER.xlsm]XccyFixedBonds!R15C215</stp>
        <tr r="HG15" s="16"/>
        <tr r="HG15" s="16"/>
      </tp>
      <tp t="b">
        <v>0</v>
        <stp/>
        <stp>##V3_BDPV12</stp>
        <stp/>
        <stp>FIRST_CPN_DT</stp>
        <stp>[RV_LINE_PRICER.xlsm]XccyFixedBonds!R16C215</stp>
        <tr r="HG16" s="16"/>
        <tr r="HG16" s="16"/>
      </tp>
      <tp t="b">
        <v>0</v>
        <stp/>
        <stp>##V3_BDPV12</stp>
        <stp/>
        <stp>FIRST_CPN_DT</stp>
        <stp>[RV_LINE_PRICER.xlsm]XccyFixedBonds!R17C215</stp>
        <tr r="HG17" s="16"/>
        <tr r="HG17" s="16"/>
      </tp>
      <tp t="b">
        <v>0</v>
        <stp/>
        <stp>##V3_BDPV12</stp>
        <stp/>
        <stp>FIRST_CPN_DT</stp>
        <stp>[RV_LINE_PRICER.xlsm]XccyFixedBonds!R18C215</stp>
        <tr r="HG18" s="16"/>
        <tr r="HG18" s="16"/>
      </tp>
      <tp t="b">
        <v>0</v>
        <stp/>
        <stp>##V3_BDPV12</stp>
        <stp/>
        <stp>FIRST_CPN_DT</stp>
        <stp>[RV_LINE_PRICER.xlsm]XccyFixedBonds!R19C215</stp>
        <tr r="HG19" s="16"/>
        <tr r="HG19" s="16"/>
      </tp>
      <tp t="b">
        <v>0</v>
        <stp/>
        <stp>##V3_BDPV12</stp>
        <stp/>
        <stp>FIRST_CPN_DT</stp>
        <stp>[RV_LINE_PRICER.xlsm]XccyFixedBonds!R20C215</stp>
        <tr r="HG20" s="16"/>
        <tr r="HG20" s="16"/>
      </tp>
      <tp t="b">
        <v>0</v>
        <stp/>
        <stp>##V3_BDPV12</stp>
        <stp/>
        <stp>FIRST_CPN_DT</stp>
        <stp>[RV_LINE_PRICER.xlsm]XccyFixedBonds!R21C215</stp>
        <tr r="HG21" s="16"/>
        <tr r="HG21" s="16"/>
      </tp>
      <tp t="b">
        <v>0</v>
        <stp/>
        <stp>##V3_BDPV12</stp>
        <stp/>
        <stp>FIRST_CPN_DT</stp>
        <stp>[RV_LINE_PRICER.xlsm]XccyFixedBonds!R22C215</stp>
        <tr r="HG22" s="16"/>
        <tr r="HG22" s="16"/>
      </tp>
      <tp t="b">
        <v>0</v>
        <stp/>
        <stp>##V3_BDPV12</stp>
        <stp/>
        <stp>FIRST_CPN_DT</stp>
        <stp>[RV_LINE_PRICER.xlsm]XccyFixedBonds!R23C215</stp>
        <tr r="HG23" s="16"/>
        <tr r="HG23" s="16"/>
      </tp>
      <tp t="b">
        <v>0</v>
        <stp/>
        <stp>##V3_BDPV12</stp>
        <stp/>
        <stp>FIRST_CPN_DT</stp>
        <stp>[RV_LINE_PRICER.xlsm]XccyFixedBonds!R24C215</stp>
        <tr r="HG24" s="16"/>
        <tr r="HG24" s="16"/>
      </tp>
      <tp t="b">
        <v>0</v>
        <stp/>
        <stp>##V3_BDPV12</stp>
        <stp/>
        <stp>FIRST_CPN_DT</stp>
        <stp>[RV_LINE_PRICER.xlsm]XccyFixedBonds!R25C215</stp>
        <tr r="HG25" s="16"/>
        <tr r="HG25" s="16"/>
      </tp>
      <tp t="b">
        <v>0</v>
        <stp/>
        <stp>##V3_BDPV12</stp>
        <stp/>
        <stp>FIRST_CPN_DT</stp>
        <stp>[RV_LINE_PRICER.xlsm]XccyFixedBonds!R26C215</stp>
        <tr r="HG26" s="16"/>
        <tr r="HG26" s="16"/>
      </tp>
      <tp>
        <v>0.72714000000000001</v>
        <stp/>
        <stp>##V3_BDHV12</stp>
        <stp>AUDUSD Curncy</stp>
        <stp>MID</stp>
        <stp>31/01/2019</stp>
        <stp>31/01/2019</stp>
        <stp>[RV_LINE_PRICER.xlsm]XccyFixedBondSingle!R20C3</stp>
        <tr r="C20" s="21"/>
      </tp>
      <tp>
        <v>-0.23699999999999999</v>
        <stp/>
        <stp>##V3_BDHV12</stp>
        <stp>EUR006M Index</stp>
        <stp>PX_LAST</stp>
        <stp>25/01/2019</stp>
        <stp>25/01/2019</stp>
        <stp>[RV_LINE_PRICER.xlsm]FixingTables!R16C6</stp>
        <tr r="F16" s="5"/>
      </tp>
      <tp>
        <v>-0.25900000000000001</v>
        <stp/>
        <stp>##V3_BDHV12</stp>
        <stp>EUR006M Index</stp>
        <stp>PX_LAST</stp>
        <stp>29/10/2018</stp>
        <stp>29/10/2018</stp>
        <stp>[RV_LINE_PRICER.xlsm]FixingTables!R77C6</stp>
        <tr r="F77" s="5"/>
      </tp>
      <tp>
        <v>-0.245</v>
        <stp/>
        <stp>##V3_BDHV12</stp>
        <stp>EUR006M Index</stp>
        <stp>PX_LAST</stp>
        <stp>10/12/2018</stp>
        <stp>10/12/2018</stp>
        <stp>[RV_LINE_PRICER.xlsm]FixingTables!R47C6</stp>
        <tr r="F47" s="5"/>
      </tp>
      <tp>
        <v>-0.25600000000000001</v>
        <stp/>
        <stp>##V3_BDHV12</stp>
        <stp>EUR006M Index</stp>
        <stp>PX_LAST</stp>
        <stp>26/11/2018</stp>
        <stp>26/11/2018</stp>
        <stp>[RV_LINE_PRICER.xlsm]FixingTables!R57C6</stp>
        <tr r="F57" s="5"/>
      </tp>
      <tp>
        <v>-0.26800000000000002</v>
        <stp/>
        <stp>##V3_BDHV12</stp>
        <stp>EUR006M Index</stp>
        <stp>PX_LAST</stp>
        <stp>01/10/2018</stp>
        <stp>01/10/2018</stp>
        <stp>[RV_LINE_PRICER.xlsm]FixingTables!R97C6</stp>
        <tr r="F97" s="5"/>
      </tp>
      <tp>
        <v>-0.25700000000000001</v>
        <stp/>
        <stp>##V3_BDHV12</stp>
        <stp>EUR006M Index</stp>
        <stp>PX_LAST</stp>
        <stp>12/11/2018</stp>
        <stp>12/11/2018</stp>
        <stp>[RV_LINE_PRICER.xlsm]FixingTables!R67C6</stp>
        <tr r="F67" s="5"/>
      </tp>
      <tp>
        <v>-0.23699999999999999</v>
        <stp/>
        <stp>##V3_BDHV12</stp>
        <stp>EUR006M Index</stp>
        <stp>PX_LAST</stp>
        <stp>24/12/2018</stp>
        <stp>24/12/2018</stp>
        <stp>[RV_LINE_PRICER.xlsm]FixingTables!R37C6</stp>
        <tr r="F37" s="5"/>
      </tp>
      <tp>
        <v>-0.23599999999999999</v>
        <stp/>
        <stp>##V3_BDHV12</stp>
        <stp>EUR006M Index</stp>
        <stp>PX_LAST</stp>
        <stp>11/01/2019</stp>
        <stp>11/01/2019</stp>
        <stp>[RV_LINE_PRICER.xlsm]FixingTables!R26C6</stp>
        <tr r="F26" s="5"/>
      </tp>
      <tp>
        <v>-0.26600000000000001</v>
        <stp/>
        <stp>##V3_BDHV12</stp>
        <stp>EUR006M Index</stp>
        <stp>PX_LAST</stp>
        <stp>15/10/2018</stp>
        <stp>15/10/2018</stp>
        <stp>[RV_LINE_PRICER.xlsm]FixingTables!R87C6</stp>
        <tr r="F87" s="5"/>
      </tp>
      <tp>
        <v>-0.316</v>
        <stp/>
        <stp>##V3_BDHV12</stp>
        <stp>EUR003M Index</stp>
        <stp>PX_LAST</stp>
        <stp>26/11/2018</stp>
        <stp>26/11/2018</stp>
        <stp>[RV_LINE_PRICER.xlsm]FixingTables!R57C3</stp>
        <tr r="C57" s="5"/>
      </tp>
      <tp>
        <v>-0.314</v>
        <stp/>
        <stp>##V3_BDHV12</stp>
        <stp>EUR003M Index</stp>
        <stp>PX_LAST</stp>
        <stp>10/12/2018</stp>
        <stp>10/12/2018</stp>
        <stp>[RV_LINE_PRICER.xlsm]FixingTables!R47C3</stp>
        <tr r="C47" s="5"/>
      </tp>
      <tp>
        <v>-0.307</v>
        <stp/>
        <stp>##V3_BDHV12</stp>
        <stp>EUR003M Index</stp>
        <stp>PX_LAST</stp>
        <stp>25/01/2019</stp>
        <stp>25/01/2019</stp>
        <stp>[RV_LINE_PRICER.xlsm]FixingTables!R16C3</stp>
        <tr r="C16" s="5"/>
      </tp>
      <tp>
        <v>-0.318</v>
        <stp/>
        <stp>##V3_BDHV12</stp>
        <stp>EUR003M Index</stp>
        <stp>PX_LAST</stp>
        <stp>29/10/2018</stp>
        <stp>29/10/2018</stp>
        <stp>[RV_LINE_PRICER.xlsm]FixingTables!R77C3</stp>
        <tr r="C77" s="5"/>
      </tp>
      <tp>
        <v>-0.318</v>
        <stp/>
        <stp>##V3_BDHV12</stp>
        <stp>EUR003M Index</stp>
        <stp>PX_LAST</stp>
        <stp>15/10/2018</stp>
        <stp>15/10/2018</stp>
        <stp>[RV_LINE_PRICER.xlsm]FixingTables!R87C3</stp>
        <tr r="C87" s="5"/>
      </tp>
      <tp>
        <v>-0.308</v>
        <stp/>
        <stp>##V3_BDHV12</stp>
        <stp>EUR003M Index</stp>
        <stp>PX_LAST</stp>
        <stp>11/01/2019</stp>
        <stp>11/01/2019</stp>
        <stp>[RV_LINE_PRICER.xlsm]FixingTables!R26C3</stp>
        <tr r="C26" s="5"/>
      </tp>
      <tp>
        <v>-0.309</v>
        <stp/>
        <stp>##V3_BDHV12</stp>
        <stp>EUR003M Index</stp>
        <stp>PX_LAST</stp>
        <stp>24/12/2018</stp>
        <stp>24/12/2018</stp>
        <stp>[RV_LINE_PRICER.xlsm]FixingTables!R37C3</stp>
        <tr r="C37" s="5"/>
      </tp>
      <tp>
        <v>-0.317</v>
        <stp/>
        <stp>##V3_BDHV12</stp>
        <stp>EUR003M Index</stp>
        <stp>PX_LAST</stp>
        <stp>01/10/2018</stp>
        <stp>01/10/2018</stp>
        <stp>[RV_LINE_PRICER.xlsm]FixingTables!R97C3</stp>
        <tr r="C97" s="5"/>
      </tp>
      <tp>
        <v>-0.316</v>
        <stp/>
        <stp>##V3_BDHV12</stp>
        <stp>EUR003M Index</stp>
        <stp>PX_LAST</stp>
        <stp>12/11/2018</stp>
        <stp>12/11/2018</stp>
        <stp>[RV_LINE_PRICER.xlsm]FixingTables!R67C3</stp>
        <tr r="C67" s="5"/>
      </tp>
      <tp t="s">
        <v>11/08/2022</v>
        <stp/>
        <stp>##V3_BDPV12</stp>
        <stp>USP32133CG63 Corp</stp>
        <stp>PENULTIMATE_CPN_DT</stp>
        <stp>[RV_LINE_PRICER.xlsm]FixedBonds!R10C38</stp>
        <tr r="AL10" s="1"/>
      </tp>
      <tp t="s">
        <v>15/01/2016</v>
        <stp/>
        <stp>##V3_BDPV12</stp>
        <stp>XS1344710857 Corp</stp>
        <stp>ISSUE_DT</stp>
        <stp>[RV_LINE_PRICER.xlsm]XccyFixedBonds!R10C213</stp>
        <tr r="HE10" s="16"/>
        <tr r="HE10" s="16"/>
      </tp>
      <tp t="s">
        <v>15/01/2016</v>
        <stp/>
        <stp>##V3_BDPV12</stp>
        <stp>XS1344710857 Corp</stp>
        <stp>ISSUE_DT</stp>
        <stp>[RV_LINE_PRICER.xlsm]XccyFixedBonds!R11C213</stp>
        <tr r="HE11" s="16"/>
        <tr r="HE11" s="16"/>
      </tp>
      <tp t="s">
        <v>26/09/2015</v>
        <stp/>
        <stp>##V3_BDPV12</stp>
        <stp>USJ46186BC59 Corp</stp>
        <stp>FIRST_CPN_DT</stp>
        <stp>[RV_LINE_PRICER.xlsm]XccyFixedBonds!R7C44</stp>
        <tr r="AR7" s="16"/>
        <tr r="AR7" s="16"/>
      </tp>
      <tp t="s">
        <v>26/09/2015</v>
        <stp/>
        <stp>##V3_BDPV12</stp>
        <stp>USJ46186BC59 Corp</stp>
        <stp>FIRST_CPN_DT</stp>
        <stp>[RV_LINE_PRICER.xlsm]XccyFixedBonds!R8C44</stp>
        <tr r="AR8" s="16"/>
        <tr r="AR8" s="16"/>
      </tp>
      <tp t="s">
        <v>26/09/2015</v>
        <stp/>
        <stp>##V3_BDPV12</stp>
        <stp>USJ46186BC59 Corp</stp>
        <stp>FIRST_CPN_DT</stp>
        <stp>[RV_LINE_PRICER.xlsm]XccyFixedBonds!R9C44</stp>
        <tr r="AR9" s="16"/>
        <tr r="AR9" s="16"/>
      </tp>
      <tp>
        <v>-0.23699999999999999</v>
        <stp/>
        <stp>##V3_BDHV12</stp>
        <stp>EUR006M Index</stp>
        <stp>PX_LAST</stp>
        <stp>28/01/2019</stp>
        <stp>28/01/2019</stp>
        <stp>[RV_LINE_PRICER.xlsm]FixingTables!R15C6</stp>
        <tr r="F15" s="5"/>
      </tp>
      <tp>
        <v>-0.23899999999999999</v>
        <stp/>
        <stp>##V3_BDHV12</stp>
        <stp>EUR006M Index</stp>
        <stp>PX_LAST</stp>
        <stp>13/12/2018</stp>
        <stp>13/12/2018</stp>
        <stp>[RV_LINE_PRICER.xlsm]FixingTables!R44C6</stp>
        <tr r="F44" s="5"/>
      </tp>
      <tp>
        <v>-0.253</v>
        <stp/>
        <stp>##V3_BDHV12</stp>
        <stp>EUR006M Index</stp>
        <stp>PX_LAST</stp>
        <stp>29/11/2018</stp>
        <stp>29/11/2018</stp>
        <stp>[RV_LINE_PRICER.xlsm]FixingTables!R54C6</stp>
        <tr r="F54" s="5"/>
      </tp>
      <tp>
        <v>-0.25700000000000001</v>
        <stp/>
        <stp>##V3_BDHV12</stp>
        <stp>EUR006M Index</stp>
        <stp>PX_LAST</stp>
        <stp>15/11/2018</stp>
        <stp>15/11/2018</stp>
        <stp>[RV_LINE_PRICER.xlsm]FixingTables!R64C6</stp>
        <tr r="F64" s="5"/>
      </tp>
      <tp>
        <v>-0.26800000000000002</v>
        <stp/>
        <stp>##V3_BDHV12</stp>
        <stp>EUR006M Index</stp>
        <stp>PX_LAST</stp>
        <stp>04/10/2018</stp>
        <stp>04/10/2018</stp>
        <stp>[RV_LINE_PRICER.xlsm]FixingTables!R94C6</stp>
        <tr r="F94" s="5"/>
      </tp>
      <tp>
        <v>-0.25800000000000001</v>
        <stp/>
        <stp>##V3_BDHV12</stp>
        <stp>EUR006M Index</stp>
        <stp>PX_LAST</stp>
        <stp>01/11/2018</stp>
        <stp>01/11/2018</stp>
        <stp>[RV_LINE_PRICER.xlsm]FixingTables!R74C6</stp>
        <tr r="F74" s="5"/>
      </tp>
      <tp>
        <v>-0.23699999999999999</v>
        <stp/>
        <stp>##V3_BDHV12</stp>
        <stp>EUR006M Index</stp>
        <stp>PX_LAST</stp>
        <stp>31/12/2018</stp>
        <stp>31/12/2018</stp>
        <stp>[RV_LINE_PRICER.xlsm]FixingTables!R34C6</stp>
        <tr r="F34" s="5"/>
      </tp>
      <tp>
        <v>-0.23599999999999999</v>
        <stp/>
        <stp>##V3_BDHV12</stp>
        <stp>EUR006M Index</stp>
        <stp>PX_LAST</stp>
        <stp>14/01/2019</stp>
        <stp>14/01/2019</stp>
        <stp>[RV_LINE_PRICER.xlsm]FixingTables!R25C6</stp>
        <tr r="F25" s="5"/>
      </tp>
      <tp>
        <v>-0.26500000000000001</v>
        <stp/>
        <stp>##V3_BDHV12</stp>
        <stp>EUR006M Index</stp>
        <stp>PX_LAST</stp>
        <stp>18/10/2018</stp>
        <stp>18/10/2018</stp>
        <stp>[RV_LINE_PRICER.xlsm]FixingTables!R84C6</stp>
        <tr r="F84" s="5"/>
      </tp>
      <tp>
        <v>-0.311</v>
        <stp/>
        <stp>##V3_BDHV12</stp>
        <stp>EUR003M Index</stp>
        <stp>PX_LAST</stp>
        <stp>13/12/2018</stp>
        <stp>13/12/2018</stp>
        <stp>[RV_LINE_PRICER.xlsm]FixingTables!R44C3</stp>
        <tr r="C44" s="5"/>
      </tp>
      <tp>
        <v>-0.316</v>
        <stp/>
        <stp>##V3_BDHV12</stp>
        <stp>EUR003M Index</stp>
        <stp>PX_LAST</stp>
        <stp>29/11/2018</stp>
        <stp>29/11/2018</stp>
        <stp>[RV_LINE_PRICER.xlsm]FixingTables!R54C3</stp>
        <tr r="C54" s="5"/>
      </tp>
      <tp t="s">
        <v>15/01/2016</v>
        <stp/>
        <stp>##V3_BDPV12</stp>
        <stp>XS1344710857 Corp</stp>
        <stp>INT_ACC_DT</stp>
        <stp>[RV_LINE_PRICER.xlsm]XccyFixedBonds!R11C214</stp>
        <tr r="HF11" s="16"/>
        <tr r="HF11" s="16"/>
      </tp>
      <tp t="s">
        <v>15/01/2016</v>
        <stp/>
        <stp>##V3_BDPV12</stp>
        <stp>XS1344710857 Corp</stp>
        <stp>INT_ACC_DT</stp>
        <stp>[RV_LINE_PRICER.xlsm]XccyFixedBonds!R10C214</stp>
        <tr r="HF10" s="16"/>
        <tr r="HF10" s="16"/>
      </tp>
      <tp>
        <v>-0.307</v>
        <stp/>
        <stp>##V3_BDHV12</stp>
        <stp>EUR003M Index</stp>
        <stp>PX_LAST</stp>
        <stp>28/01/2019</stp>
        <stp>28/01/2019</stp>
        <stp>[RV_LINE_PRICER.xlsm]FixingTables!R15C3</stp>
        <tr r="C15" s="5"/>
      </tp>
      <tp>
        <v>-0.308</v>
        <stp/>
        <stp>##V3_BDHV12</stp>
        <stp>EUR003M Index</stp>
        <stp>PX_LAST</stp>
        <stp>14/01/2019</stp>
        <stp>14/01/2019</stp>
        <stp>[RV_LINE_PRICER.xlsm]FixingTables!R25C3</stp>
        <tr r="C25" s="5"/>
      </tp>
      <tp>
        <v>-0.318</v>
        <stp/>
        <stp>##V3_BDHV12</stp>
        <stp>EUR003M Index</stp>
        <stp>PX_LAST</stp>
        <stp>01/11/2018</stp>
        <stp>01/11/2018</stp>
        <stp>[RV_LINE_PRICER.xlsm]FixingTables!R74C3</stp>
        <tr r="C74" s="5"/>
      </tp>
      <tp>
        <v>-0.309</v>
        <stp/>
        <stp>##V3_BDHV12</stp>
        <stp>EUR003M Index</stp>
        <stp>PX_LAST</stp>
        <stp>31/12/2018</stp>
        <stp>31/12/2018</stp>
        <stp>[RV_LINE_PRICER.xlsm]FixingTables!R34C3</stp>
        <tr r="C34" s="5"/>
      </tp>
      <tp>
        <v>-0.317</v>
        <stp/>
        <stp>##V3_BDHV12</stp>
        <stp>EUR003M Index</stp>
        <stp>PX_LAST</stp>
        <stp>18/10/2018</stp>
        <stp>18/10/2018</stp>
        <stp>[RV_LINE_PRICER.xlsm]FixingTables!R84C3</stp>
        <tr r="C84" s="5"/>
      </tp>
      <tp>
        <v>-0.318</v>
        <stp/>
        <stp>##V3_BDHV12</stp>
        <stp>EUR003M Index</stp>
        <stp>PX_LAST</stp>
        <stp>04/10/2018</stp>
        <stp>04/10/2018</stp>
        <stp>[RV_LINE_PRICER.xlsm]FixingTables!R94C3</stp>
        <tr r="C94" s="5"/>
      </tp>
      <tp>
        <v>-0.316</v>
        <stp/>
        <stp>##V3_BDHV12</stp>
        <stp>EUR003M Index</stp>
        <stp>PX_LAST</stp>
        <stp>15/11/2018</stp>
        <stp>15/11/2018</stp>
        <stp>[RV_LINE_PRICER.xlsm]FixingTables!R64C3</stp>
        <tr r="C64" s="5"/>
      </tp>
      <tp t="s">
        <v>15/07/2025</v>
        <stp/>
        <stp>##V3_BDPV12</stp>
        <stp>XS1344710857 Corp</stp>
        <stp>PENULTIMATE_CPN_DT</stp>
        <stp>[RV_LINE_PRICER.xlsm]XccyFixedBonds!R11C216</stp>
        <tr r="HH11" s="16"/>
        <tr r="HH11" s="16"/>
      </tp>
      <tp t="s">
        <v>15/07/2025</v>
        <stp/>
        <stp>##V3_BDPV12</stp>
        <stp>XS1344710857 Corp</stp>
        <stp>PENULTIMATE_CPN_DT</stp>
        <stp>[RV_LINE_PRICER.xlsm]XccyFixedBonds!R10C216</stp>
        <tr r="HH10" s="16"/>
        <tr r="HH10" s="16"/>
      </tp>
      <tp t="s">
        <v>22/05/2019</v>
        <stp/>
        <stp>##V3_BDPV12</stp>
        <stp>XS1615075048 Corp</stp>
        <stp>MATURITY</stp>
        <stp>[RV_LINE_PRICER.xlsm]FixedBonds!R9C206</stp>
        <tr r="GX9" s="1"/>
      </tp>
      <tp t="s">
        <v>FIXED</v>
        <stp/>
        <stp>##V3_BDPV12</stp>
        <stp>XS1344710857 Corp</stp>
        <stp>CPN_TYP</stp>
        <stp>[RV_LINE_PRICER.xlsm]XccyFixedBonds!R10C204</stp>
        <tr r="GV10" s="16"/>
        <tr r="GV10" s="16"/>
      </tp>
      <tp t="s">
        <v>FIXED</v>
        <stp/>
        <stp>##V3_BDPV12</stp>
        <stp>XS1344710857 Corp</stp>
        <stp>CPN_TYP</stp>
        <stp>[RV_LINE_PRICER.xlsm]XccyFixedBonds!R11C204</stp>
        <tr r="GV11" s="16"/>
        <tr r="GV11" s="16"/>
      </tp>
      <tp>
        <v>2.6475</v>
        <stp/>
        <stp>##V3_BDPV12</stp>
        <stp>XS1339542364 Corp</stp>
        <stp>CPN</stp>
        <stp>[RV_LINE_PRICER.xlsm]FixedBonds!R7C207</stp>
        <tr r="GY7" s="1"/>
      </tp>
      <tp>
        <v>-0.23699999999999999</v>
        <stp/>
        <stp>##V3_BDHV12</stp>
        <stp>EUR006M Index</stp>
        <stp>PX_LAST</stp>
        <stp>29/01/2019</stp>
        <stp>29/01/2019</stp>
        <stp>[RV_LINE_PRICER.xlsm]FixingTables!R14C6</stp>
        <tr r="F14" s="5"/>
      </tp>
      <tp>
        <v>-0.24099999999999999</v>
        <stp/>
        <stp>##V3_BDHV12</stp>
        <stp>EUR006M Index</stp>
        <stp>PX_LAST</stp>
        <stp>12/12/2018</stp>
        <stp>12/12/2018</stp>
        <stp>[RV_LINE_PRICER.xlsm]FixingTables!R45C6</stp>
        <tr r="F45" s="5"/>
      </tp>
      <tp>
        <v>-0.25900000000000001</v>
        <stp/>
        <stp>##V3_BDHV12</stp>
        <stp>EUR006M Index</stp>
        <stp>PX_LAST</stp>
        <stp>31/10/2018</stp>
        <stp>31/10/2018</stp>
        <stp>[RV_LINE_PRICER.xlsm]FixingTables!R75C6</stp>
        <tr r="F75" s="5"/>
      </tp>
      <tp>
        <v>-0.25600000000000001</v>
        <stp/>
        <stp>##V3_BDHV12</stp>
        <stp>EUR006M Index</stp>
        <stp>PX_LAST</stp>
        <stp>28/11/2018</stp>
        <stp>28/11/2018</stp>
        <stp>[RV_LINE_PRICER.xlsm]FixingTables!R55C6</stp>
        <tr r="F55" s="5"/>
      </tp>
      <tp>
        <v>-0.26700000000000002</v>
        <stp/>
        <stp>##V3_BDHV12</stp>
        <stp>EUR006M Index</stp>
        <stp>PX_LAST</stp>
        <stp>03/10/2018</stp>
        <stp>03/10/2018</stp>
        <stp>[RV_LINE_PRICER.xlsm]FixingTables!R95C6</stp>
        <tr r="F95" s="5"/>
      </tp>
      <tp>
        <v>-0.25700000000000001</v>
        <stp/>
        <stp>##V3_BDHV12</stp>
        <stp>EUR006M Index</stp>
        <stp>PX_LAST</stp>
        <stp>14/11/2018</stp>
        <stp>14/11/2018</stp>
        <stp>[RV_LINE_PRICER.xlsm]FixingTables!R65C6</stp>
        <tr r="F65" s="5"/>
      </tp>
      <tp>
        <v>-0.23599999999999999</v>
        <stp/>
        <stp>##V3_BDHV12</stp>
        <stp>EUR006M Index</stp>
        <stp>PX_LAST</stp>
        <stp>28/12/2018</stp>
        <stp>28/12/2018</stp>
        <stp>[RV_LINE_PRICER.xlsm]FixingTables!R35C6</stp>
        <tr r="F35" s="5"/>
      </tp>
      <tp>
        <v>-0.23599999999999999</v>
        <stp/>
        <stp>##V3_BDHV12</stp>
        <stp>EUR006M Index</stp>
        <stp>PX_LAST</stp>
        <stp>15/01/2019</stp>
        <stp>15/01/2019</stp>
        <stp>[RV_LINE_PRICER.xlsm]FixingTables!R24C6</stp>
        <tr r="F24" s="5"/>
      </tp>
      <tp>
        <v>-0.26600000000000001</v>
        <stp/>
        <stp>##V3_BDHV12</stp>
        <stp>EUR006M Index</stp>
        <stp>PX_LAST</stp>
        <stp>17/10/2018</stp>
        <stp>17/10/2018</stp>
        <stp>[RV_LINE_PRICER.xlsm]FixingTables!R85C6</stp>
        <tr r="F85" s="5"/>
      </tp>
      <tp>
        <v>-0.312</v>
        <stp/>
        <stp>##V3_BDHV12</stp>
        <stp>EUR003M Index</stp>
        <stp>PX_LAST</stp>
        <stp>12/12/2018</stp>
        <stp>12/12/2018</stp>
        <stp>[RV_LINE_PRICER.xlsm]FixingTables!R45C3</stp>
        <tr r="C45" s="5"/>
      </tp>
      <tp>
        <v>-0.318</v>
        <stp/>
        <stp>##V3_BDHV12</stp>
        <stp>EUR003M Index</stp>
        <stp>PX_LAST</stp>
        <stp>31/10/2018</stp>
        <stp>31/10/2018</stp>
        <stp>[RV_LINE_PRICER.xlsm]FixingTables!R75C3</stp>
        <tr r="C75" s="5"/>
      </tp>
      <tp>
        <v>-0.316</v>
        <stp/>
        <stp>##V3_BDHV12</stp>
        <stp>EUR003M Index</stp>
        <stp>PX_LAST</stp>
        <stp>28/11/2018</stp>
        <stp>28/11/2018</stp>
        <stp>[RV_LINE_PRICER.xlsm]FixingTables!R55C3</stp>
        <tr r="C55" s="5"/>
      </tp>
      <tp>
        <v>-0.30599999999999999</v>
        <stp/>
        <stp>##V3_BDHV12</stp>
        <stp>EUR003M Index</stp>
        <stp>PX_LAST</stp>
        <stp>29/01/2019</stp>
        <stp>29/01/2019</stp>
        <stp>[RV_LINE_PRICER.xlsm]FixingTables!R14C3</stp>
        <tr r="C14" s="5"/>
      </tp>
      <tp>
        <v>2.4499160869565215</v>
        <stp/>
        <stp>##V3_BDPV12</stp>
        <stp>XS1193905160 Corp</stp>
        <stp>YAS_FLOATER_INDEX_TO_NEXT_COUPON</stp>
        <stp>[RV_LINE_PRICER.xlsm]FloatBondSingle!R40C22</stp>
        <tr r="V40" s="23"/>
      </tp>
      <tp>
        <v>-0.308</v>
        <stp/>
        <stp>##V3_BDHV12</stp>
        <stp>EUR003M Index</stp>
        <stp>PX_LAST</stp>
        <stp>15/01/2019</stp>
        <stp>15/01/2019</stp>
        <stp>[RV_LINE_PRICER.xlsm]FixingTables!R24C3</stp>
        <tr r="C24" s="5"/>
      </tp>
      <tp>
        <v>-0.318</v>
        <stp/>
        <stp>##V3_BDHV12</stp>
        <stp>EUR003M Index</stp>
        <stp>PX_LAST</stp>
        <stp>17/10/2018</stp>
        <stp>17/10/2018</stp>
        <stp>[RV_LINE_PRICER.xlsm]FixingTables!R85C3</stp>
        <tr r="C85" s="5"/>
      </tp>
      <tp>
        <v>-0.316</v>
        <stp/>
        <stp>##V3_BDHV12</stp>
        <stp>EUR003M Index</stp>
        <stp>PX_LAST</stp>
        <stp>14/11/2018</stp>
        <stp>14/11/2018</stp>
        <stp>[RV_LINE_PRICER.xlsm]FixingTables!R65C3</stp>
        <tr r="C65" s="5"/>
      </tp>
      <tp>
        <v>-0.318</v>
        <stp/>
        <stp>##V3_BDHV12</stp>
        <stp>EUR003M Index</stp>
        <stp>PX_LAST</stp>
        <stp>03/10/2018</stp>
        <stp>03/10/2018</stp>
        <stp>[RV_LINE_PRICER.xlsm]FixingTables!R95C3</stp>
        <tr r="C95" s="5"/>
      </tp>
      <tp>
        <v>-0.31</v>
        <stp/>
        <stp>##V3_BDHV12</stp>
        <stp>EUR003M Index</stp>
        <stp>PX_LAST</stp>
        <stp>28/12/2018</stp>
        <stp>28/12/2018</stp>
        <stp>[RV_LINE_PRICER.xlsm]FixingTables!R35C3</stp>
        <tr r="C35" s="5"/>
      </tp>
      <tp t="b">
        <v>0</v>
        <stp/>
        <stp>##V3_BDPV12</stp>
        <stp/>
        <stp>CPN_TYP</stp>
        <stp>[RV_LINE_PRICER.xlsm]XccyFixedBonds!R18C204</stp>
        <tr r="GV18" s="16"/>
        <tr r="GV18" s="16"/>
      </tp>
      <tp t="b">
        <v>0</v>
        <stp/>
        <stp>##V3_BDPV12</stp>
        <stp/>
        <stp>CPN_TYP</stp>
        <stp>[RV_LINE_PRICER.xlsm]XccyFixedBonds!R19C204</stp>
        <tr r="GV19" s="16"/>
        <tr r="GV19" s="16"/>
      </tp>
      <tp t="b">
        <v>0</v>
        <stp/>
        <stp>##V3_BDPV12</stp>
        <stp/>
        <stp>CPN_TYP</stp>
        <stp>[RV_LINE_PRICER.xlsm]XccyFixedBonds!R12C204</stp>
        <tr r="GV12" s="16"/>
        <tr r="GV12" s="16"/>
      </tp>
      <tp t="b">
        <v>0</v>
        <stp/>
        <stp>##V3_BDPV12</stp>
        <stp/>
        <stp>CPN_TYP</stp>
        <stp>[RV_LINE_PRICER.xlsm]XccyFixedBonds!R13C204</stp>
        <tr r="GV13" s="16"/>
        <tr r="GV13" s="16"/>
      </tp>
      <tp t="b">
        <v>0</v>
        <stp/>
        <stp>##V3_BDPV12</stp>
        <stp/>
        <stp>CPN_TYP</stp>
        <stp>[RV_LINE_PRICER.xlsm]XccyFixedBonds!R16C204</stp>
        <tr r="GV16" s="16"/>
        <tr r="GV16" s="16"/>
      </tp>
      <tp t="b">
        <v>0</v>
        <stp/>
        <stp>##V3_BDPV12</stp>
        <stp/>
        <stp>CPN_TYP</stp>
        <stp>[RV_LINE_PRICER.xlsm]XccyFixedBonds!R17C204</stp>
        <tr r="GV17" s="16"/>
        <tr r="GV17" s="16"/>
      </tp>
      <tp t="b">
        <v>0</v>
        <stp/>
        <stp>##V3_BDPV12</stp>
        <stp/>
        <stp>CPN_TYP</stp>
        <stp>[RV_LINE_PRICER.xlsm]XccyFixedBonds!R14C204</stp>
        <tr r="GV14" s="16"/>
        <tr r="GV14" s="16"/>
      </tp>
      <tp t="b">
        <v>0</v>
        <stp/>
        <stp>##V3_BDPV12</stp>
        <stp/>
        <stp>CPN_TYP</stp>
        <stp>[RV_LINE_PRICER.xlsm]XccyFixedBonds!R15C204</stp>
        <tr r="GV15" s="16"/>
        <tr r="GV15" s="16"/>
      </tp>
      <tp t="b">
        <v>0</v>
        <stp/>
        <stp>##V3_BDPV12</stp>
        <stp/>
        <stp>CPN_TYP</stp>
        <stp>[RV_LINE_PRICER.xlsm]XccyFixedBonds!R22C204</stp>
        <tr r="GV22" s="16"/>
        <tr r="GV22" s="16"/>
      </tp>
      <tp t="b">
        <v>0</v>
        <stp/>
        <stp>##V3_BDPV12</stp>
        <stp/>
        <stp>CPN_TYP</stp>
        <stp>[RV_LINE_PRICER.xlsm]XccyFixedBonds!R23C204</stp>
        <tr r="GV23" s="16"/>
        <tr r="GV23" s="16"/>
      </tp>
      <tp t="b">
        <v>0</v>
        <stp/>
        <stp>##V3_BDPV12</stp>
        <stp/>
        <stp>CPN_TYP</stp>
        <stp>[RV_LINE_PRICER.xlsm]XccyFixedBonds!R20C204</stp>
        <tr r="GV20" s="16"/>
        <tr r="GV20" s="16"/>
      </tp>
      <tp t="b">
        <v>0</v>
        <stp/>
        <stp>##V3_BDPV12</stp>
        <stp/>
        <stp>CPN_TYP</stp>
        <stp>[RV_LINE_PRICER.xlsm]XccyFixedBonds!R21C204</stp>
        <tr r="GV21" s="16"/>
        <tr r="GV21" s="16"/>
      </tp>
      <tp t="b">
        <v>0</v>
        <stp/>
        <stp>##V3_BDPV12</stp>
        <stp/>
        <stp>CPN_TYP</stp>
        <stp>[RV_LINE_PRICER.xlsm]XccyFixedBonds!R26C204</stp>
        <tr r="GV26" s="16"/>
        <tr r="GV26" s="16"/>
      </tp>
      <tp t="b">
        <v>0</v>
        <stp/>
        <stp>##V3_BDPV12</stp>
        <stp/>
        <stp>CPN_TYP</stp>
        <stp>[RV_LINE_PRICER.xlsm]XccyFixedBonds!R24C204</stp>
        <tr r="GV24" s="16"/>
        <tr r="GV24" s="16"/>
      </tp>
      <tp t="b">
        <v>0</v>
        <stp/>
        <stp>##V3_BDPV12</stp>
        <stp/>
        <stp>CPN_TYP</stp>
        <stp>[RV_LINE_PRICER.xlsm]XccyFixedBonds!R25C204</stp>
        <tr r="GV25" s="16"/>
        <tr r="GV25" s="16"/>
      </tp>
      <tp t="s">
        <v>30/09/2019</v>
        <stp/>
        <stp>##V3_BDPV12</stp>
        <stp>XS1209910196 Corp</stp>
        <stp>PENULTIMATE_CPN_DT</stp>
        <stp>[RV_LINE_PRICER.xlsm]FixedBonds!R8C38</stp>
        <tr r="AL8" s="1"/>
      </tp>
      <tp t="s">
        <v>20/02/2015</v>
        <stp/>
        <stp>##V3_BDPV12</stp>
        <stp>XS1193905160 Corp</stp>
        <stp>INT_ACC_DT</stp>
        <stp>[RV_LINE_PRICER.xlsm]FloatBonds!R7C209</stp>
        <tr r="HA7" s="18"/>
      </tp>
      <tp t="s">
        <v>20/02/2015</v>
        <stp/>
        <stp>##V3_BDPV12</stp>
        <stp>XS1193905160 Corp</stp>
        <stp>INT_ACC_DT</stp>
        <stp>[RV_LINE_PRICER.xlsm]FloatBonds!R8C209</stp>
        <tr r="HA8" s="18"/>
      </tp>
      <tp t="s">
        <v>20/02/2015</v>
        <stp/>
        <stp>##V3_BDPV12</stp>
        <stp>XS1193905160 Corp</stp>
        <stp>INT_ACC_DT</stp>
        <stp>[RV_LINE_PRICER.xlsm]FloatBonds!R9C209</stp>
        <tr r="HA9" s="18"/>
      </tp>
      <tp t="s">
        <v>20/02/2015</v>
        <stp/>
        <stp>##V3_BDPV12</stp>
        <stp>XS1193905160 Corp</stp>
        <stp>ISSUE_DT</stp>
        <stp>[RV_LINE_PRICER.xlsm]FloatBonds!R7C208</stp>
        <tr r="GZ7" s="18"/>
      </tp>
      <tp t="s">
        <v>20/02/2015</v>
        <stp/>
        <stp>##V3_BDPV12</stp>
        <stp>XS1193905160 Corp</stp>
        <stp>ISSUE_DT</stp>
        <stp>[RV_LINE_PRICER.xlsm]FloatBonds!R9C208</stp>
        <tr r="GZ9" s="18"/>
      </tp>
      <tp t="s">
        <v>20/02/2015</v>
        <stp/>
        <stp>##V3_BDPV12</stp>
        <stp>XS1193905160 Corp</stp>
        <stp>ISSUE_DT</stp>
        <stp>[RV_LINE_PRICER.xlsm]FloatBonds!R8C208</stp>
        <tr r="GZ8" s="18"/>
      </tp>
      <tp>
        <v>2</v>
        <stp/>
        <stp>##V3_BDPV12</stp>
        <stp>XS1344710857 Corp</stp>
        <stp>CPN_FREQ</stp>
        <stp>[RV_LINE_PRICER.xlsm]XccyFixedBonds!R11C219</stp>
        <tr r="HK11" s="16"/>
        <tr r="HK11" s="16"/>
      </tp>
      <tp>
        <v>2</v>
        <stp/>
        <stp>##V3_BDPV12</stp>
        <stp>XS1344710857 Corp</stp>
        <stp>CPN_FREQ</stp>
        <stp>[RV_LINE_PRICER.xlsm]XccyFixedBonds!R10C219</stp>
        <tr r="HK10" s="16"/>
        <tr r="HK10" s="16"/>
      </tp>
      <tp t="s">
        <v>09/06/2011</v>
        <stp/>
        <stp>##V3_BDPV12</stp>
        <stp>USN4578BQA53 Corp</stp>
        <stp>START_ACC_DT</stp>
        <stp>[RV_LINE_PRICER.xlsm]FixedBondSingle!R21C9</stp>
        <tr r="I21" s="22"/>
      </tp>
      <tp>
        <v>2.54</v>
        <stp/>
        <stp>##V3_BDPV12</stp>
        <stp>XS1615075048 Corp</stp>
        <stp>CPN</stp>
        <stp>[RV_LINE_PRICER.xlsm]FixedBonds!R9C207</stp>
        <tr r="GY9" s="1"/>
      </tp>
      <tp t="b">
        <v>0</v>
        <stp/>
        <stp>##V3_BDPV12</stp>
        <stp/>
        <stp>INT_ACC_DT</stp>
        <stp>[RV_LINE_PRICER.xlsm]XccyFixedBonds!R19C214</stp>
        <tr r="HF19" s="16"/>
        <tr r="HF19" s="16"/>
      </tp>
      <tp t="b">
        <v>0</v>
        <stp/>
        <stp>##V3_BDPV12</stp>
        <stp/>
        <stp>INT_ACC_DT</stp>
        <stp>[RV_LINE_PRICER.xlsm]XccyFixedBonds!R18C214</stp>
        <tr r="HF18" s="16"/>
        <tr r="HF18" s="16"/>
      </tp>
      <tp t="b">
        <v>0</v>
        <stp/>
        <stp>##V3_BDPV12</stp>
        <stp/>
        <stp>INT_ACC_DT</stp>
        <stp>[RV_LINE_PRICER.xlsm]XccyFixedBonds!R15C214</stp>
        <tr r="HF15" s="16"/>
        <tr r="HF15" s="16"/>
      </tp>
      <tp t="b">
        <v>0</v>
        <stp/>
        <stp>##V3_BDPV12</stp>
        <stp/>
        <stp>INT_ACC_DT</stp>
        <stp>[RV_LINE_PRICER.xlsm]XccyFixedBonds!R14C214</stp>
        <tr r="HF14" s="16"/>
        <tr r="HF14" s="16"/>
      </tp>
      <tp t="b">
        <v>0</v>
        <stp/>
        <stp>##V3_BDPV12</stp>
        <stp/>
        <stp>INT_ACC_DT</stp>
        <stp>[RV_LINE_PRICER.xlsm]XccyFixedBonds!R17C214</stp>
        <tr r="HF17" s="16"/>
        <tr r="HF17" s="16"/>
      </tp>
      <tp t="b">
        <v>0</v>
        <stp/>
        <stp>##V3_BDPV12</stp>
        <stp/>
        <stp>INT_ACC_DT</stp>
        <stp>[RV_LINE_PRICER.xlsm]XccyFixedBonds!R16C214</stp>
        <tr r="HF16" s="16"/>
        <tr r="HF16" s="16"/>
      </tp>
      <tp t="b">
        <v>0</v>
        <stp/>
        <stp>##V3_BDPV12</stp>
        <stp/>
        <stp>INT_ACC_DT</stp>
        <stp>[RV_LINE_PRICER.xlsm]XccyFixedBonds!R13C214</stp>
        <tr r="HF13" s="16"/>
        <tr r="HF13" s="16"/>
      </tp>
      <tp t="b">
        <v>0</v>
        <stp/>
        <stp>##V3_BDPV12</stp>
        <stp/>
        <stp>INT_ACC_DT</stp>
        <stp>[RV_LINE_PRICER.xlsm]XccyFixedBonds!R12C214</stp>
        <tr r="HF12" s="16"/>
        <tr r="HF12" s="16"/>
      </tp>
      <tp t="b">
        <v>0</v>
        <stp/>
        <stp>##V3_BDPV12</stp>
        <stp/>
        <stp>INT_ACC_DT</stp>
        <stp>[RV_LINE_PRICER.xlsm]XccyFixedBonds!R25C214</stp>
        <tr r="HF25" s="16"/>
        <tr r="HF25" s="16"/>
      </tp>
      <tp t="b">
        <v>0</v>
        <stp/>
        <stp>##V3_BDPV12</stp>
        <stp/>
        <stp>INT_ACC_DT</stp>
        <stp>[RV_LINE_PRICER.xlsm]XccyFixedBonds!R24C214</stp>
        <tr r="HF24" s="16"/>
        <tr r="HF24" s="16"/>
      </tp>
      <tp t="b">
        <v>0</v>
        <stp/>
        <stp>##V3_BDPV12</stp>
        <stp/>
        <stp>INT_ACC_DT</stp>
        <stp>[RV_LINE_PRICER.xlsm]XccyFixedBonds!R26C214</stp>
        <tr r="HF26" s="16"/>
        <tr r="HF26" s="16"/>
      </tp>
      <tp t="b">
        <v>0</v>
        <stp/>
        <stp>##V3_BDPV12</stp>
        <stp/>
        <stp>INT_ACC_DT</stp>
        <stp>[RV_LINE_PRICER.xlsm]XccyFixedBonds!R21C214</stp>
        <tr r="HF21" s="16"/>
        <tr r="HF21" s="16"/>
      </tp>
      <tp t="b">
        <v>0</v>
        <stp/>
        <stp>##V3_BDPV12</stp>
        <stp/>
        <stp>INT_ACC_DT</stp>
        <stp>[RV_LINE_PRICER.xlsm]XccyFixedBonds!R20C214</stp>
        <tr r="HF20" s="16"/>
        <tr r="HF20" s="16"/>
      </tp>
      <tp t="b">
        <v>0</v>
        <stp/>
        <stp>##V3_BDPV12</stp>
        <stp/>
        <stp>INT_ACC_DT</stp>
        <stp>[RV_LINE_PRICER.xlsm]XccyFixedBonds!R23C214</stp>
        <tr r="HF23" s="16"/>
        <tr r="HF23" s="16"/>
      </tp>
      <tp t="b">
        <v>0</v>
        <stp/>
        <stp>##V3_BDPV12</stp>
        <stp/>
        <stp>INT_ACC_DT</stp>
        <stp>[RV_LINE_PRICER.xlsm]XccyFixedBonds!R22C214</stp>
        <tr r="HF22" s="16"/>
        <tr r="HF22" s="16"/>
      </tp>
      <tp>
        <v>2.375</v>
        <stp/>
        <stp>##V3_BDPV12</stp>
        <stp>XS1209910196 Corp</stp>
        <stp>CPN</stp>
        <stp>[RV_LINE_PRICER.xlsm]FixedBonds!R8C40</stp>
        <tr r="AN8" s="1"/>
      </tp>
      <tp t="b">
        <v>0</v>
        <stp/>
        <stp>##V3_BDPV12</stp>
        <stp/>
        <stp>PENULTIMATE_CPN_DT</stp>
        <stp>[RV_LINE_PRICER.xlsm]XccyFixedBonds!R26C216</stp>
        <tr r="HH26" s="16"/>
        <tr r="HH26" s="16"/>
      </tp>
      <tp t="b">
        <v>0</v>
        <stp/>
        <stp>##V3_BDPV12</stp>
        <stp/>
        <stp>PENULTIMATE_CPN_DT</stp>
        <stp>[RV_LINE_PRICER.xlsm]XccyFixedBonds!R25C216</stp>
        <tr r="HH25" s="16"/>
        <tr r="HH25" s="16"/>
      </tp>
      <tp t="b">
        <v>0</v>
        <stp/>
        <stp>##V3_BDPV12</stp>
        <stp/>
        <stp>PENULTIMATE_CPN_DT</stp>
        <stp>[RV_LINE_PRICER.xlsm]XccyFixedBonds!R24C216</stp>
        <tr r="HH24" s="16"/>
        <tr r="HH24" s="16"/>
      </tp>
      <tp t="b">
        <v>0</v>
        <stp/>
        <stp>##V3_BDPV12</stp>
        <stp/>
        <stp>PENULTIMATE_CPN_DT</stp>
        <stp>[RV_LINE_PRICER.xlsm]XccyFixedBonds!R23C216</stp>
        <tr r="HH23" s="16"/>
        <tr r="HH23" s="16"/>
      </tp>
      <tp t="b">
        <v>0</v>
        <stp/>
        <stp>##V3_BDPV12</stp>
        <stp/>
        <stp>PENULTIMATE_CPN_DT</stp>
        <stp>[RV_LINE_PRICER.xlsm]XccyFixedBonds!R22C216</stp>
        <tr r="HH22" s="16"/>
        <tr r="HH22" s="16"/>
      </tp>
      <tp t="b">
        <v>0</v>
        <stp/>
        <stp>##V3_BDPV12</stp>
        <stp/>
        <stp>PENULTIMATE_CPN_DT</stp>
        <stp>[RV_LINE_PRICER.xlsm]XccyFixedBonds!R21C216</stp>
        <tr r="HH21" s="16"/>
        <tr r="HH21" s="16"/>
      </tp>
      <tp t="b">
        <v>0</v>
        <stp/>
        <stp>##V3_BDPV12</stp>
        <stp/>
        <stp>PENULTIMATE_CPN_DT</stp>
        <stp>[RV_LINE_PRICER.xlsm]XccyFixedBonds!R20C216</stp>
        <tr r="HH20" s="16"/>
        <tr r="HH20" s="16"/>
      </tp>
      <tp t="b">
        <v>0</v>
        <stp/>
        <stp>##V3_BDPV12</stp>
        <stp/>
        <stp>PENULTIMATE_CPN_DT</stp>
        <stp>[RV_LINE_PRICER.xlsm]XccyFixedBonds!R17C216</stp>
        <tr r="HH17" s="16"/>
        <tr r="HH17" s="16"/>
      </tp>
      <tp t="b">
        <v>0</v>
        <stp/>
        <stp>##V3_BDPV12</stp>
        <stp/>
        <stp>PENULTIMATE_CPN_DT</stp>
        <stp>[RV_LINE_PRICER.xlsm]XccyFixedBonds!R16C216</stp>
        <tr r="HH16" s="16"/>
        <tr r="HH16" s="16"/>
      </tp>
      <tp t="b">
        <v>0</v>
        <stp/>
        <stp>##V3_BDPV12</stp>
        <stp/>
        <stp>PENULTIMATE_CPN_DT</stp>
        <stp>[RV_LINE_PRICER.xlsm]XccyFixedBonds!R15C216</stp>
        <tr r="HH15" s="16"/>
        <tr r="HH15" s="16"/>
      </tp>
      <tp t="b">
        <v>0</v>
        <stp/>
        <stp>##V3_BDPV12</stp>
        <stp/>
        <stp>PENULTIMATE_CPN_DT</stp>
        <stp>[RV_LINE_PRICER.xlsm]XccyFixedBonds!R14C216</stp>
        <tr r="HH14" s="16"/>
        <tr r="HH14" s="16"/>
      </tp>
      <tp t="b">
        <v>0</v>
        <stp/>
        <stp>##V3_BDPV12</stp>
        <stp/>
        <stp>PENULTIMATE_CPN_DT</stp>
        <stp>[RV_LINE_PRICER.xlsm]XccyFixedBonds!R13C216</stp>
        <tr r="HH13" s="16"/>
        <tr r="HH13" s="16"/>
      </tp>
      <tp t="b">
        <v>0</v>
        <stp/>
        <stp>##V3_BDPV12</stp>
        <stp/>
        <stp>PENULTIMATE_CPN_DT</stp>
        <stp>[RV_LINE_PRICER.xlsm]XccyFixedBonds!R12C216</stp>
        <tr r="HH12" s="16"/>
        <tr r="HH12" s="16"/>
      </tp>
      <tp t="b">
        <v>0</v>
        <stp/>
        <stp>##V3_BDPV12</stp>
        <stp/>
        <stp>PENULTIMATE_CPN_DT</stp>
        <stp>[RV_LINE_PRICER.xlsm]XccyFixedBonds!R19C216</stp>
        <tr r="HH19" s="16"/>
        <tr r="HH19" s="16"/>
      </tp>
      <tp t="b">
        <v>0</v>
        <stp/>
        <stp>##V3_BDPV12</stp>
        <stp/>
        <stp>PENULTIMATE_CPN_DT</stp>
        <stp>[RV_LINE_PRICER.xlsm]XccyFixedBonds!R18C216</stp>
        <tr r="HH18" s="16"/>
        <tr r="HH18" s="16"/>
      </tp>
      <tp t="s">
        <v>29/06/2020</v>
        <stp/>
        <stp>##V3_BDPV12</stp>
        <stp>XS1339542364 Corp</stp>
        <stp>PENULTIMATE_CPN_DT</stp>
        <stp>[RV_LINE_PRICER.xlsm]FixedBonds!R7C205</stp>
        <tr r="GW7" s="1"/>
      </tp>
      <tp>
        <v>1</v>
        <stp/>
        <stp>##V3_BDPV12</stp>
        <stp>XS1215869915 Corp</stp>
        <stp>CALC_TYP</stp>
        <stp>[RV_LINE_PRICER.xlsm]FixedBonds!R8C216</stp>
        <tr r="HH8" s="1"/>
      </tp>
      <tp t="s">
        <v>ISMA-30/360</v>
        <stp/>
        <stp>##V3_BDPV12</stp>
        <stp>XS1215869915 Corp</stp>
        <stp>DAY_CNT_DES</stp>
        <stp>[RV_LINE_PRICER.xlsm]FixedBonds!R8C214</stp>
        <tr r="HF8" s="1"/>
      </tp>
      <tp t="s">
        <v>CLEAN</v>
        <stp/>
        <stp>##V3_BDPV12</stp>
        <stp>US05565QCT31 Corp</stp>
        <stp>PX_DIRTY_CLEAN</stp>
        <stp>[RV_LINE_PRICER.xlsm]FloatBondSingle!R15C9</stp>
        <tr r="I15" s="23"/>
        <tr r="I15" s="23"/>
      </tp>
      <tp>
        <v>2.5209999999999999</v>
        <stp/>
        <stp>##V3_BDPV12</stp>
        <stp>US05565QCT31 Corp</stp>
        <stp>CPN</stp>
        <stp>[RV_LINE_PRICER.xlsm]FloatBonds!R11C44</stp>
        <tr r="AR11" s="18"/>
      </tp>
      <tp>
        <v>2.5209999999999999</v>
        <stp/>
        <stp>##V3_BDPV12</stp>
        <stp>US05565QCT31 Corp</stp>
        <stp>CPN</stp>
        <stp>[RV_LINE_PRICER.xlsm]FloatBonds!R10C44</stp>
        <tr r="AR10" s="18"/>
      </tp>
      <tp t="s">
        <v>08/04/2022</v>
        <stp/>
        <stp>##V3_BDPV12</stp>
        <stp>XS1215869915 Corp</stp>
        <stp>MATURITY</stp>
        <stp>[RV_LINE_PRICER.xlsm]FixedBonds!R8C206</stp>
        <tr r="GX8" s="1"/>
      </tp>
      <tp>
        <v>4</v>
        <stp/>
        <stp>##V3_BDPV12</stp>
        <stp>USP32133CG63 Corp</stp>
        <stp>CPN</stp>
        <stp>[RV_LINE_PRICER.xlsm]FixedBonds!R10C40</stp>
        <tr r="AN10" s="1"/>
      </tp>
      <tp>
        <v>-0.26800000000000002</v>
        <stp/>
        <stp>##V3_BDHV12</stp>
        <stp>EUR006M Index</stp>
        <stp>PX_LAST</stp>
        <stp>27/09/2018</stp>
        <stp>27/09/2018</stp>
        <stp>[RV_LINE_PRICER.xlsm]FixingTables!R99C6</stp>
        <tr r="F99" s="5"/>
      </tp>
      <tp>
        <v>-0.318</v>
        <stp/>
        <stp>##V3_BDHV12</stp>
        <stp>EUR003M Index</stp>
        <stp>PX_LAST</stp>
        <stp>27/09/2018</stp>
        <stp>27/09/2018</stp>
        <stp>[RV_LINE_PRICER.xlsm]FixingTables!R99C3</stp>
        <tr r="C99" s="5"/>
      </tp>
      <tp>
        <v>-0.23699999999999999</v>
        <stp/>
        <stp>##V3_BDHV12</stp>
        <stp>EUR006M Index</stp>
        <stp>PX_LAST</stp>
        <stp>22/01/2019</stp>
        <stp>22/01/2019</stp>
        <stp>[RV_LINE_PRICER.xlsm]FixingTables!R19C6</stp>
        <tr r="F19" s="5"/>
      </tp>
      <tp>
        <v>-0.246</v>
        <stp/>
        <stp>##V3_BDHV12</stp>
        <stp>EUR006M Index</stp>
        <stp>PX_LAST</stp>
        <stp>07/12/2018</stp>
        <stp>07/12/2018</stp>
        <stp>[RV_LINE_PRICER.xlsm]FixingTables!R48C6</stp>
        <tr r="F48" s="5"/>
      </tp>
      <tp>
        <v>-0.25900000000000001</v>
        <stp/>
        <stp>##V3_BDHV12</stp>
        <stp>EUR006M Index</stp>
        <stp>PX_LAST</stp>
        <stp>26/10/2018</stp>
        <stp>26/10/2018</stp>
        <stp>[RV_LINE_PRICER.xlsm]FixingTables!R78C6</stp>
        <tr r="F78" s="5"/>
      </tp>
      <tp>
        <v>-0.25700000000000001</v>
        <stp/>
        <stp>##V3_BDHV12</stp>
        <stp>EUR006M Index</stp>
        <stp>PX_LAST</stp>
        <stp>23/11/2018</stp>
        <stp>23/11/2018</stp>
        <stp>[RV_LINE_PRICER.xlsm]FixingTables!R58C6</stp>
        <tr r="F58" s="5"/>
      </tp>
      <tp>
        <v>-0.23799999999999999</v>
        <stp/>
        <stp>##V3_BDHV12</stp>
        <stp>EUR006M Index</stp>
        <stp>PX_LAST</stp>
        <stp>21/12/2018</stp>
        <stp>21/12/2018</stp>
        <stp>[RV_LINE_PRICER.xlsm]FixingTables!R38C6</stp>
        <tr r="F38" s="5"/>
      </tp>
      <tp>
        <v>-0.23599999999999999</v>
        <stp/>
        <stp>##V3_BDHV12</stp>
        <stp>EUR006M Index</stp>
        <stp>PX_LAST</stp>
        <stp>08/01/2019</stp>
        <stp>08/01/2019</stp>
        <stp>[RV_LINE_PRICER.xlsm]FixingTables!R29C6</stp>
        <tr r="F29" s="5"/>
      </tp>
      <tp>
        <v>-0.26700000000000002</v>
        <stp/>
        <stp>##V3_BDHV12</stp>
        <stp>EUR006M Index</stp>
        <stp>PX_LAST</stp>
        <stp>12/10/2018</stp>
        <stp>12/10/2018</stp>
        <stp>[RV_LINE_PRICER.xlsm]FixingTables!R88C6</stp>
        <tr r="F88" s="5"/>
      </tp>
      <tp>
        <v>-0.25700000000000001</v>
        <stp/>
        <stp>##V3_BDHV12</stp>
        <stp>EUR006M Index</stp>
        <stp>PX_LAST</stp>
        <stp>09/11/2018</stp>
        <stp>09/11/2018</stp>
        <stp>[RV_LINE_PRICER.xlsm]FixingTables!R68C6</stp>
        <tr r="F68" s="5"/>
      </tp>
      <tp>
        <v>-0.316</v>
        <stp/>
        <stp>##V3_BDHV12</stp>
        <stp>EUR003M Index</stp>
        <stp>PX_LAST</stp>
        <stp>23/11/2018</stp>
        <stp>23/11/2018</stp>
        <stp>[RV_LINE_PRICER.xlsm]FixingTables!R58C3</stp>
        <tr r="C58" s="5"/>
      </tp>
      <tp>
        <v>21</v>
        <stp/>
        <stp>##V3_BDPV12</stp>
        <stp>XS1193905160 Corp</stp>
        <stp>CALC_TYP</stp>
        <stp>[RV_LINE_PRICER.xlsm]FloatBondSingle!R34C22</stp>
        <tr r="V34" s="23"/>
        <tr r="V34" s="23"/>
      </tp>
      <tp>
        <v>-0.318</v>
        <stp/>
        <stp>##V3_BDHV12</stp>
        <stp>EUR003M Index</stp>
        <stp>PX_LAST</stp>
        <stp>26/10/2018</stp>
        <stp>26/10/2018</stp>
        <stp>[RV_LINE_PRICER.xlsm]FixingTables!R78C3</stp>
        <tr r="C78" s="5"/>
      </tp>
      <tp>
        <v>-0.315</v>
        <stp/>
        <stp>##V3_BDHV12</stp>
        <stp>EUR003M Index</stp>
        <stp>PX_LAST</stp>
        <stp>07/12/2018</stp>
        <stp>07/12/2018</stp>
        <stp>[RV_LINE_PRICER.xlsm]FixingTables!R48C3</stp>
        <tr r="C48" s="5"/>
      </tp>
      <tp>
        <v>-0.308</v>
        <stp/>
        <stp>##V3_BDHV12</stp>
        <stp>EUR003M Index</stp>
        <stp>PX_LAST</stp>
        <stp>22/01/2019</stp>
        <stp>22/01/2019</stp>
        <stp>[RV_LINE_PRICER.xlsm]FixingTables!R19C3</stp>
        <tr r="C19" s="5"/>
      </tp>
      <tp>
        <v>-0.318</v>
        <stp/>
        <stp>##V3_BDHV12</stp>
        <stp>EUR003M Index</stp>
        <stp>PX_LAST</stp>
        <stp>12/10/2018</stp>
        <stp>12/10/2018</stp>
        <stp>[RV_LINE_PRICER.xlsm]FixingTables!R88C3</stp>
        <tr r="C88" s="5"/>
      </tp>
      <tp>
        <v>-0.316</v>
        <stp/>
        <stp>##V3_BDHV12</stp>
        <stp>EUR003M Index</stp>
        <stp>PX_LAST</stp>
        <stp>09/11/2018</stp>
        <stp>09/11/2018</stp>
        <stp>[RV_LINE_PRICER.xlsm]FixingTables!R68C3</stp>
        <tr r="C68" s="5"/>
      </tp>
      <tp>
        <v>-0.31</v>
        <stp/>
        <stp>##V3_BDHV12</stp>
        <stp>EUR003M Index</stp>
        <stp>PX_LAST</stp>
        <stp>21/12/2018</stp>
        <stp>21/12/2018</stp>
        <stp>[RV_LINE_PRICER.xlsm]FixingTables!R38C3</stp>
        <tr r="C38" s="5"/>
      </tp>
      <tp>
        <v>-0.308</v>
        <stp/>
        <stp>##V3_BDHV12</stp>
        <stp>EUR003M Index</stp>
        <stp>PX_LAST</stp>
        <stp>08/01/2019</stp>
        <stp>08/01/2019</stp>
        <stp>[RV_LINE_PRICER.xlsm]FixingTables!R29C3</stp>
        <tr r="C29" s="5"/>
      </tp>
      <tp t="b">
        <v>0</v>
        <stp/>
        <stp>##V3_BDPV12</stp>
        <stp/>
        <stp>PX_DIRTY_CLEAN</stp>
        <stp>[RV_LINE_PRICER.xlsm]XccyFixedBonds!R17C37</stp>
        <tr r="AK17" s="16"/>
        <tr r="AK17" s="16"/>
      </tp>
      <tp t="b">
        <v>0</v>
        <stp/>
        <stp>##V3_BDPV12</stp>
        <stp/>
        <stp>PX_DIRTY_CLEAN</stp>
        <stp>[RV_LINE_PRICER.xlsm]XccyFixedBonds!R16C37</stp>
        <tr r="AK16" s="16"/>
        <tr r="AK16" s="16"/>
      </tp>
      <tp t="b">
        <v>0</v>
        <stp/>
        <stp>##V3_BDPV12</stp>
        <stp/>
        <stp>PX_DIRTY_CLEAN</stp>
        <stp>[RV_LINE_PRICER.xlsm]XccyFixedBonds!R15C37</stp>
        <tr r="AK15" s="16"/>
        <tr r="AK15" s="16"/>
      </tp>
      <tp t="b">
        <v>0</v>
        <stp/>
        <stp>##V3_BDPV12</stp>
        <stp/>
        <stp>PX_DIRTY_CLEAN</stp>
        <stp>[RV_LINE_PRICER.xlsm]XccyFixedBonds!R14C37</stp>
        <tr r="AK14" s="16"/>
        <tr r="AK14" s="16"/>
      </tp>
      <tp t="b">
        <v>0</v>
        <stp/>
        <stp>##V3_BDPV12</stp>
        <stp/>
        <stp>PX_DIRTY_CLEAN</stp>
        <stp>[RV_LINE_PRICER.xlsm]XccyFixedBonds!R13C37</stp>
        <tr r="AK13" s="16"/>
        <tr r="AK13" s="16"/>
      </tp>
      <tp t="b">
        <v>0</v>
        <stp/>
        <stp>##V3_BDPV12</stp>
        <stp/>
        <stp>PX_DIRTY_CLEAN</stp>
        <stp>[RV_LINE_PRICER.xlsm]XccyFixedBonds!R12C37</stp>
        <tr r="AK12" s="16"/>
        <tr r="AK12" s="16"/>
      </tp>
      <tp t="b">
        <v>0</v>
        <stp/>
        <stp>##V3_BDPV12</stp>
        <stp/>
        <stp>PX_DIRTY_CLEAN</stp>
        <stp>[RV_LINE_PRICER.xlsm]XccyFixedBonds!R19C37</stp>
        <tr r="AK19" s="16"/>
        <tr r="AK19" s="16"/>
      </tp>
      <tp t="b">
        <v>0</v>
        <stp/>
        <stp>##V3_BDPV12</stp>
        <stp/>
        <stp>PX_DIRTY_CLEAN</stp>
        <stp>[RV_LINE_PRICER.xlsm]XccyFixedBonds!R18C37</stp>
        <tr r="AK18" s="16"/>
        <tr r="AK18" s="16"/>
      </tp>
      <tp t="b">
        <v>0</v>
        <stp/>
        <stp>##V3_BDPV12</stp>
        <stp/>
        <stp>PX_DIRTY_CLEAN</stp>
        <stp>[RV_LINE_PRICER.xlsm]XccyFixedBonds!R26C37</stp>
        <tr r="AK26" s="16"/>
        <tr r="AK26" s="16"/>
      </tp>
      <tp t="b">
        <v>0</v>
        <stp/>
        <stp>##V3_BDPV12</stp>
        <stp/>
        <stp>PX_DIRTY_CLEAN</stp>
        <stp>[RV_LINE_PRICER.xlsm]XccyFixedBonds!R25C37</stp>
        <tr r="AK25" s="16"/>
        <tr r="AK25" s="16"/>
      </tp>
      <tp t="b">
        <v>0</v>
        <stp/>
        <stp>##V3_BDPV12</stp>
        <stp/>
        <stp>PX_DIRTY_CLEAN</stp>
        <stp>[RV_LINE_PRICER.xlsm]XccyFixedBonds!R24C37</stp>
        <tr r="AK24" s="16"/>
        <tr r="AK24" s="16"/>
      </tp>
      <tp t="b">
        <v>0</v>
        <stp/>
        <stp>##V3_BDPV12</stp>
        <stp/>
        <stp>PX_DIRTY_CLEAN</stp>
        <stp>[RV_LINE_PRICER.xlsm]XccyFixedBonds!R23C37</stp>
        <tr r="AK23" s="16"/>
        <tr r="AK23" s="16"/>
      </tp>
      <tp t="b">
        <v>0</v>
        <stp/>
        <stp>##V3_BDPV12</stp>
        <stp/>
        <stp>PX_DIRTY_CLEAN</stp>
        <stp>[RV_LINE_PRICER.xlsm]XccyFixedBonds!R22C37</stp>
        <tr r="AK22" s="16"/>
        <tr r="AK22" s="16"/>
      </tp>
      <tp t="b">
        <v>0</v>
        <stp/>
        <stp>##V3_BDPV12</stp>
        <stp/>
        <stp>PX_DIRTY_CLEAN</stp>
        <stp>[RV_LINE_PRICER.xlsm]XccyFixedBonds!R21C37</stp>
        <tr r="AK21" s="16"/>
        <tr r="AK21" s="16"/>
      </tp>
      <tp t="b">
        <v>0</v>
        <stp/>
        <stp>##V3_BDPV12</stp>
        <stp/>
        <stp>PX_DIRTY_CLEAN</stp>
        <stp>[RV_LINE_PRICER.xlsm]XccyFixedBonds!R20C37</stp>
        <tr r="AK20" s="16"/>
        <tr r="AK20" s="16"/>
      </tp>
      <tp>
        <v>-0.26800000000000002</v>
        <stp/>
        <stp>##V3_BDHV12</stp>
        <stp>EUR006M Index</stp>
        <stp>PX_LAST</stp>
        <stp>28/09/2018</stp>
        <stp>28/09/2018</stp>
        <stp>[RV_LINE_PRICER.xlsm]FixingTables!R98C6</stp>
        <tr r="F98" s="5"/>
      </tp>
      <tp>
        <v>-0.318</v>
        <stp/>
        <stp>##V3_BDHV12</stp>
        <stp>EUR003M Index</stp>
        <stp>PX_LAST</stp>
        <stp>28/09/2018</stp>
        <stp>28/09/2018</stp>
        <stp>[RV_LINE_PRICER.xlsm]FixingTables!R98C3</stp>
        <tr r="C98" s="5"/>
      </tp>
      <tp>
        <v>-0.23699999999999999</v>
        <stp/>
        <stp>##V3_BDHV12</stp>
        <stp>EUR006M Index</stp>
        <stp>PX_LAST</stp>
        <stp>23/01/2019</stp>
        <stp>23/01/2019</stp>
        <stp>[RV_LINE_PRICER.xlsm]FixingTables!R18C6</stp>
        <tr r="F18" s="5"/>
      </tp>
      <tp>
        <v>-0.246</v>
        <stp/>
        <stp>##V3_BDHV12</stp>
        <stp>EUR006M Index</stp>
        <stp>PX_LAST</stp>
        <stp>06/12/2018</stp>
        <stp>06/12/2018</stp>
        <stp>[RV_LINE_PRICER.xlsm]FixingTables!R49C6</stp>
        <tr r="F49" s="5"/>
      </tp>
      <tp>
        <v>-0.25900000000000001</v>
        <stp/>
        <stp>##V3_BDHV12</stp>
        <stp>EUR006M Index</stp>
        <stp>PX_LAST</stp>
        <stp>25/10/2018</stp>
        <stp>25/10/2018</stp>
        <stp>[RV_LINE_PRICER.xlsm]FixingTables!R79C6</stp>
        <tr r="F79" s="5"/>
      </tp>
      <tp>
        <v>-0.25700000000000001</v>
        <stp/>
        <stp>##V3_BDHV12</stp>
        <stp>EUR006M Index</stp>
        <stp>PX_LAST</stp>
        <stp>22/11/2018</stp>
        <stp>22/11/2018</stp>
        <stp>[RV_LINE_PRICER.xlsm]FixingTables!R59C6</stp>
        <tr r="F59" s="5"/>
      </tp>
      <tp>
        <v>-0.23799999999999999</v>
        <stp/>
        <stp>##V3_BDHV12</stp>
        <stp>EUR006M Index</stp>
        <stp>PX_LAST</stp>
        <stp>20/12/2018</stp>
        <stp>20/12/2018</stp>
        <stp>[RV_LINE_PRICER.xlsm]FixingTables!R39C6</stp>
        <tr r="F39" s="5"/>
      </tp>
      <tp>
        <v>-0.23599999999999999</v>
        <stp/>
        <stp>##V3_BDHV12</stp>
        <stp>EUR006M Index</stp>
        <stp>PX_LAST</stp>
        <stp>09/01/2019</stp>
        <stp>09/01/2019</stp>
        <stp>[RV_LINE_PRICER.xlsm]FixingTables!R28C6</stp>
        <tr r="F28" s="5"/>
      </tp>
      <tp>
        <v>-0.26700000000000002</v>
        <stp/>
        <stp>##V3_BDHV12</stp>
        <stp>EUR006M Index</stp>
        <stp>PX_LAST</stp>
        <stp>11/10/2018</stp>
        <stp>11/10/2018</stp>
        <stp>[RV_LINE_PRICER.xlsm]FixingTables!R89C6</stp>
        <tr r="F89" s="5"/>
      </tp>
      <tp>
        <v>-0.25700000000000001</v>
        <stp/>
        <stp>##V3_BDHV12</stp>
        <stp>EUR006M Index</stp>
        <stp>PX_LAST</stp>
        <stp>08/11/2018</stp>
        <stp>08/11/2018</stp>
        <stp>[RV_LINE_PRICER.xlsm]FixingTables!R69C6</stp>
        <tr r="F69" s="5"/>
      </tp>
      <tp>
        <v>-0.316</v>
        <stp/>
        <stp>##V3_BDHV12</stp>
        <stp>EUR003M Index</stp>
        <stp>PX_LAST</stp>
        <stp>22/11/2018</stp>
        <stp>22/11/2018</stp>
        <stp>[RV_LINE_PRICER.xlsm]FixingTables!R59C3</stp>
        <tr r="C59" s="5"/>
      </tp>
      <tp>
        <v>-0.315</v>
        <stp/>
        <stp>##V3_BDHV12</stp>
        <stp>EUR003M Index</stp>
        <stp>PX_LAST</stp>
        <stp>06/12/2018</stp>
        <stp>06/12/2018</stp>
        <stp>[RV_LINE_PRICER.xlsm]FixingTables!R49C3</stp>
        <tr r="C49" s="5"/>
      </tp>
      <tp>
        <v>-0.317</v>
        <stp/>
        <stp>##V3_BDHV12</stp>
        <stp>EUR003M Index</stp>
        <stp>PX_LAST</stp>
        <stp>25/10/2018</stp>
        <stp>25/10/2018</stp>
        <stp>[RV_LINE_PRICER.xlsm]FixingTables!R79C3</stp>
        <tr r="C79" s="5"/>
      </tp>
      <tp>
        <v>-0.308</v>
        <stp/>
        <stp>##V3_BDHV12</stp>
        <stp>EUR003M Index</stp>
        <stp>PX_LAST</stp>
        <stp>23/01/2019</stp>
        <stp>23/01/2019</stp>
        <stp>[RV_LINE_PRICER.xlsm]FixingTables!R18C3</stp>
        <tr r="C18" s="5"/>
      </tp>
      <tp>
        <v>-0.318</v>
        <stp/>
        <stp>##V3_BDHV12</stp>
        <stp>EUR003M Index</stp>
        <stp>PX_LAST</stp>
        <stp>11/10/2018</stp>
        <stp>11/10/2018</stp>
        <stp>[RV_LINE_PRICER.xlsm]FixingTables!R89C3</stp>
        <tr r="C89" s="5"/>
      </tp>
      <tp>
        <v>-0.316</v>
        <stp/>
        <stp>##V3_BDHV12</stp>
        <stp>EUR003M Index</stp>
        <stp>PX_LAST</stp>
        <stp>08/11/2018</stp>
        <stp>08/11/2018</stp>
        <stp>[RV_LINE_PRICER.xlsm]FixingTables!R69C3</stp>
        <tr r="C69" s="5"/>
      </tp>
      <tp>
        <v>-0.31</v>
        <stp/>
        <stp>##V3_BDHV12</stp>
        <stp>EUR003M Index</stp>
        <stp>PX_LAST</stp>
        <stp>20/12/2018</stp>
        <stp>20/12/2018</stp>
        <stp>[RV_LINE_PRICER.xlsm]FixingTables!R39C3</stp>
        <tr r="C39" s="5"/>
      </tp>
      <tp>
        <v>-0.308</v>
        <stp/>
        <stp>##V3_BDHV12</stp>
        <stp>EUR003M Index</stp>
        <stp>PX_LAST</stp>
        <stp>09/01/2019</stp>
        <stp>09/01/2019</stp>
        <stp>[RV_LINE_PRICER.xlsm]FixingTables!R28C3</stp>
        <tr r="C28" s="5"/>
      </tp>
      <tp>
        <v>2</v>
        <stp/>
        <stp>##V3_BDPV12</stp>
        <stp>USP32133CG63 Corp</stp>
        <stp>CPN_FREQ</stp>
        <stp>[RV_LINE_PRICER.xlsm]FixedBonds!R10C41</stp>
        <tr r="AO10" s="1"/>
      </tp>
      <tp t="s">
        <v>22/11/2018</v>
        <stp/>
        <stp>##V3_BDPV12</stp>
        <stp>XS1615075048 Corp</stp>
        <stp>PENULTIMATE_CPN_DT</stp>
        <stp>[RV_LINE_PRICER.xlsm]FixedBonds!R9C205</stp>
        <tr r="GW9" s="1"/>
      </tp>
      <tp t="b">
        <v>0</v>
        <stp/>
        <stp>##V3_BDPV12</stp>
        <stp/>
        <stp>ISSUE_DT</stp>
        <stp>[RV_LINE_PRICER.xlsm]XccyFixedBonds!R17C42</stp>
        <tr r="AP17" s="16"/>
        <tr r="AP17" s="16"/>
      </tp>
      <tp t="b">
        <v>0</v>
        <stp/>
        <stp>##V3_BDPV12</stp>
        <stp/>
        <stp>ISSUE_DT</stp>
        <stp>[RV_LINE_PRICER.xlsm]XccyFixedBonds!R16C42</stp>
        <tr r="AP16" s="16"/>
        <tr r="AP16" s="16"/>
      </tp>
      <tp t="b">
        <v>0</v>
        <stp/>
        <stp>##V3_BDPV12</stp>
        <stp/>
        <stp>ISSUE_DT</stp>
        <stp>[RV_LINE_PRICER.xlsm]XccyFixedBonds!R15C42</stp>
        <tr r="AP15" s="16"/>
        <tr r="AP15" s="16"/>
      </tp>
      <tp t="b">
        <v>0</v>
        <stp/>
        <stp>##V3_BDPV12</stp>
        <stp/>
        <stp>ISSUE_DT</stp>
        <stp>[RV_LINE_PRICER.xlsm]XccyFixedBonds!R14C42</stp>
        <tr r="AP14" s="16"/>
        <tr r="AP14" s="16"/>
      </tp>
      <tp t="b">
        <v>0</v>
        <stp/>
        <stp>##V3_BDPV12</stp>
        <stp/>
        <stp>ISSUE_DT</stp>
        <stp>[RV_LINE_PRICER.xlsm]XccyFixedBonds!R13C42</stp>
        <tr r="AP13" s="16"/>
        <tr r="AP13" s="16"/>
      </tp>
      <tp t="b">
        <v>0</v>
        <stp/>
        <stp>##V3_BDPV12</stp>
        <stp/>
        <stp>ISSUE_DT</stp>
        <stp>[RV_LINE_PRICER.xlsm]XccyFixedBonds!R12C42</stp>
        <tr r="AP12" s="16"/>
        <tr r="AP12" s="16"/>
      </tp>
      <tp t="b">
        <v>0</v>
        <stp/>
        <stp>##V3_BDPV12</stp>
        <stp/>
        <stp>ISSUE_DT</stp>
        <stp>[RV_LINE_PRICER.xlsm]XccyFixedBonds!R19C42</stp>
        <tr r="AP19" s="16"/>
        <tr r="AP19" s="16"/>
      </tp>
      <tp t="b">
        <v>0</v>
        <stp/>
        <stp>##V3_BDPV12</stp>
        <stp/>
        <stp>ISSUE_DT</stp>
        <stp>[RV_LINE_PRICER.xlsm]XccyFixedBonds!R18C42</stp>
        <tr r="AP18" s="16"/>
        <tr r="AP18" s="16"/>
      </tp>
      <tp t="b">
        <v>0</v>
        <stp/>
        <stp>##V3_BDPV12</stp>
        <stp/>
        <stp>ISSUE_DT</stp>
        <stp>[RV_LINE_PRICER.xlsm]XccyFixedBonds!R26C42</stp>
        <tr r="AP26" s="16"/>
        <tr r="AP26" s="16"/>
      </tp>
      <tp t="b">
        <v>0</v>
        <stp/>
        <stp>##V3_BDPV12</stp>
        <stp/>
        <stp>ISSUE_DT</stp>
        <stp>[RV_LINE_PRICER.xlsm]XccyFixedBonds!R25C42</stp>
        <tr r="AP25" s="16"/>
        <tr r="AP25" s="16"/>
      </tp>
      <tp t="b">
        <v>0</v>
        <stp/>
        <stp>##V3_BDPV12</stp>
        <stp/>
        <stp>ISSUE_DT</stp>
        <stp>[RV_LINE_PRICER.xlsm]XccyFixedBonds!R24C42</stp>
        <tr r="AP24" s="16"/>
        <tr r="AP24" s="16"/>
      </tp>
      <tp t="b">
        <v>0</v>
        <stp/>
        <stp>##V3_BDPV12</stp>
        <stp/>
        <stp>ISSUE_DT</stp>
        <stp>[RV_LINE_PRICER.xlsm]XccyFixedBonds!R23C42</stp>
        <tr r="AP23" s="16"/>
        <tr r="AP23" s="16"/>
      </tp>
      <tp t="b">
        <v>0</v>
        <stp/>
        <stp>##V3_BDPV12</stp>
        <stp/>
        <stp>ISSUE_DT</stp>
        <stp>[RV_LINE_PRICER.xlsm]XccyFixedBonds!R22C42</stp>
        <tr r="AP22" s="16"/>
        <tr r="AP22" s="16"/>
      </tp>
      <tp t="b">
        <v>0</v>
        <stp/>
        <stp>##V3_BDPV12</stp>
        <stp/>
        <stp>ISSUE_DT</stp>
        <stp>[RV_LINE_PRICER.xlsm]XccyFixedBonds!R21C42</stp>
        <tr r="AP21" s="16"/>
        <tr r="AP21" s="16"/>
      </tp>
      <tp t="b">
        <v>0</v>
        <stp/>
        <stp>##V3_BDPV12</stp>
        <stp/>
        <stp>ISSUE_DT</stp>
        <stp>[RV_LINE_PRICER.xlsm]XccyFixedBonds!R20C42</stp>
        <tr r="AP20" s="16"/>
        <tr r="AP20" s="16"/>
      </tp>
      <tp t="s">
        <v>CLEAN</v>
        <stp/>
        <stp>##V3_BDPV12</stp>
        <stp>USN4578BQA53 Corp</stp>
        <stp>PX_DIRTY_CLEAN</stp>
        <stp>[RV_LINE_PRICER.xlsm]FixedBondSingle!R15C9</stp>
        <tr r="I15" s="22"/>
      </tp>
      <tp>
        <v>1</v>
        <stp/>
        <stp>##V3_BDPV12</stp>
        <stp>XS1339542364 Corp</stp>
        <stp>CALC_TYP</stp>
        <stp>[RV_LINE_PRICER.xlsm]FixedBondSingle!R34C22</stp>
        <tr r="V34" s="22"/>
      </tp>
      <tp t="s">
        <v>30/03/2015</v>
        <stp/>
        <stp>##V3_BDPV12</stp>
        <stp>XS1209910196 Corp</stp>
        <stp>START_ACC_DT</stp>
        <stp>[RV_LINE_PRICER.xlsm]FixedBonds!R8C36</stp>
        <tr r="AJ8" s="1"/>
      </tp>
      <tp t="s">
        <v>09/04/2009</v>
        <stp/>
        <stp>##V3_BDPV12</stp>
        <stp>XS0423038875 Corp</stp>
        <stp>START_ACC_DT</stp>
        <stp>[RV_LINE_PRICER.xlsm]FixedBonds!R9C36</stp>
        <tr r="AJ9" s="1"/>
      </tp>
      <tp t="s">
        <v>ISMA-30/360</v>
        <stp/>
        <stp>##V3_BDPV12</stp>
        <stp>XS1339542364 Corp</stp>
        <stp>DAY_CNT_DES</stp>
        <stp>[RV_LINE_PRICER.xlsm]FixedBonds!R7C214</stp>
        <tr r="HF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J19"/>
  <sheetViews>
    <sheetView showGridLines="0" workbookViewId="0">
      <selection activeCell="D33" sqref="D33"/>
    </sheetView>
  </sheetViews>
  <sheetFormatPr defaultRowHeight="15"/>
  <cols>
    <col min="2" max="2" width="16" customWidth="1"/>
    <col min="3" max="3" width="9.140625" customWidth="1"/>
    <col min="5" max="5" width="17.42578125" bestFit="1" customWidth="1"/>
    <col min="6" max="6" width="20.28515625" customWidth="1"/>
    <col min="9" max="9" width="10.28515625" customWidth="1"/>
    <col min="10" max="10" width="25.140625" customWidth="1"/>
  </cols>
  <sheetData>
    <row r="2" spans="2:10">
      <c r="B2" s="1" t="s">
        <v>77</v>
      </c>
      <c r="D2" s="27" t="s">
        <v>149</v>
      </c>
      <c r="I2" s="1" t="s">
        <v>153</v>
      </c>
    </row>
    <row r="3" spans="2:10">
      <c r="B3" s="47">
        <f ca="1">TODAY()</f>
        <v>43496</v>
      </c>
      <c r="D3" s="28"/>
      <c r="E3" s="29"/>
      <c r="F3" s="29"/>
      <c r="G3" s="30"/>
      <c r="I3" t="s">
        <v>99</v>
      </c>
      <c r="J3" s="44" t="str">
        <f ca="1">FixingsEUR3ML</f>
        <v>FIXINGS_EUR3ML@1:4</v>
      </c>
    </row>
    <row r="4" spans="2:10">
      <c r="B4" s="1"/>
      <c r="D4" s="31"/>
      <c r="E4" s="32" t="s">
        <v>99</v>
      </c>
      <c r="F4" s="33"/>
      <c r="G4" s="34"/>
      <c r="I4" t="s">
        <v>99</v>
      </c>
      <c r="J4" s="45" t="str">
        <f ca="1">FixingsEUR6ML</f>
        <v>FIXINGS_EUR6ML@8:4</v>
      </c>
    </row>
    <row r="5" spans="2:10">
      <c r="D5" s="31"/>
      <c r="E5" s="38" t="s">
        <v>49</v>
      </c>
      <c r="F5" s="49" t="s">
        <v>130</v>
      </c>
      <c r="G5" s="34"/>
      <c r="I5" t="s">
        <v>101</v>
      </c>
      <c r="J5" s="45" t="str">
        <f ca="1">FixingsUSD3ML</f>
        <v>FIXINGS_USD3ML@3:4</v>
      </c>
    </row>
    <row r="6" spans="2:10">
      <c r="D6" s="31"/>
      <c r="E6" s="39" t="s">
        <v>77</v>
      </c>
      <c r="F6" s="50">
        <f ca="1">_xll.meDateFromTenor(Settings.ValuationDate,"2D","MOD_FOLLOWING","TGT")</f>
        <v>43500</v>
      </c>
      <c r="G6" s="34"/>
      <c r="I6" t="s">
        <v>101</v>
      </c>
      <c r="J6" s="45" t="str">
        <f ca="1">FixingsUSD6ML</f>
        <v>FIXINGS_USD6ML@2:4</v>
      </c>
    </row>
    <row r="7" spans="2:10">
      <c r="D7" s="31"/>
      <c r="E7" s="33"/>
      <c r="F7" s="40"/>
      <c r="G7" s="34"/>
      <c r="I7" t="s">
        <v>12</v>
      </c>
      <c r="J7" s="45" t="str">
        <f ca="1">FixingsAUD3ML</f>
        <v>FIXINGS_AUD3ML@4:4</v>
      </c>
    </row>
    <row r="8" spans="2:10">
      <c r="D8" s="31"/>
      <c r="E8" s="32" t="s">
        <v>101</v>
      </c>
      <c r="F8" s="40"/>
      <c r="G8" s="34"/>
      <c r="I8" t="s">
        <v>12</v>
      </c>
      <c r="J8" s="45" t="str">
        <f ca="1">FixingsAUD6ML</f>
        <v>FIXINGS_AUD6ML@6:4</v>
      </c>
    </row>
    <row r="9" spans="2:10">
      <c r="D9" s="31"/>
      <c r="E9" s="38" t="s">
        <v>49</v>
      </c>
      <c r="F9" s="49" t="s">
        <v>166</v>
      </c>
      <c r="G9" s="34"/>
      <c r="I9" t="s">
        <v>157</v>
      </c>
      <c r="J9" s="45" t="str">
        <f ca="1">FixingsJPY3ML</f>
        <v>FIXINGS_JPY3ML@7:4</v>
      </c>
    </row>
    <row r="10" spans="2:10">
      <c r="D10" s="31"/>
      <c r="E10" s="39" t="s">
        <v>77</v>
      </c>
      <c r="F10" s="50">
        <f ca="1">_xll.meDateFromTenor(Settings.ValuationDate,"2D","MOD_FOLLOWING","NYB:LNB")</f>
        <v>43500</v>
      </c>
      <c r="G10" s="34"/>
      <c r="I10" t="s">
        <v>157</v>
      </c>
      <c r="J10" s="46" t="str">
        <f ca="1">FixingsJPY6ML</f>
        <v>FIXINGS_JPY6ML@5:4</v>
      </c>
    </row>
    <row r="11" spans="2:10">
      <c r="D11" s="31"/>
      <c r="E11" s="33"/>
      <c r="F11" s="40"/>
      <c r="G11" s="34"/>
    </row>
    <row r="12" spans="2:10">
      <c r="D12" s="31"/>
      <c r="E12" s="32" t="s">
        <v>12</v>
      </c>
      <c r="F12" s="40"/>
      <c r="G12" s="34"/>
    </row>
    <row r="13" spans="2:10">
      <c r="D13" s="31"/>
      <c r="E13" s="38" t="s">
        <v>49</v>
      </c>
      <c r="F13" s="49" t="s">
        <v>76</v>
      </c>
      <c r="G13" s="34"/>
    </row>
    <row r="14" spans="2:10">
      <c r="D14" s="31"/>
      <c r="E14" s="39" t="s">
        <v>77</v>
      </c>
      <c r="F14" s="50">
        <f ca="1">_xll.meDateFromTenor(Settings.ValuationDate,"2D","MOD_FOLLOWING","SYB:LNB")</f>
        <v>43500</v>
      </c>
      <c r="G14" s="34"/>
    </row>
    <row r="15" spans="2:10">
      <c r="D15" s="31"/>
      <c r="E15" s="33"/>
      <c r="F15" s="40"/>
      <c r="G15" s="34"/>
    </row>
    <row r="16" spans="2:10">
      <c r="D16" s="31"/>
      <c r="E16" s="32" t="s">
        <v>101</v>
      </c>
      <c r="F16" s="40"/>
      <c r="G16" s="34"/>
    </row>
    <row r="17" spans="4:7">
      <c r="D17" s="31"/>
      <c r="E17" s="38" t="s">
        <v>49</v>
      </c>
      <c r="F17" s="49" t="s">
        <v>162</v>
      </c>
      <c r="G17" s="34"/>
    </row>
    <row r="18" spans="4:7">
      <c r="D18" s="31"/>
      <c r="E18" s="39" t="s">
        <v>77</v>
      </c>
      <c r="F18" s="50">
        <f ca="1">_xll.meDateFromTenor(Settings.ValuationDate,"2D","MOD_FOLLOWING","NYB:LNB")</f>
        <v>43500</v>
      </c>
      <c r="G18" s="34"/>
    </row>
    <row r="19" spans="4:7">
      <c r="D19" s="35"/>
      <c r="E19" s="36"/>
      <c r="F19" s="48"/>
      <c r="G19" s="37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G32"/>
  <sheetViews>
    <sheetView workbookViewId="0"/>
  </sheetViews>
  <sheetFormatPr defaultRowHeight="15"/>
  <cols>
    <col min="2" max="2" width="33" bestFit="1" customWidth="1"/>
    <col min="3" max="3" width="16.28515625" customWidth="1"/>
    <col min="4" max="4" width="14" bestFit="1" customWidth="1"/>
    <col min="5" max="5" width="22.28515625" bestFit="1" customWidth="1"/>
    <col min="6" max="6" width="23.42578125" bestFit="1" customWidth="1"/>
    <col min="7" max="7" width="17.28515625" bestFit="1" customWidth="1"/>
    <col min="9" max="9" width="17.85546875" customWidth="1"/>
    <col min="10" max="10" width="16.7109375" customWidth="1"/>
  </cols>
  <sheetData>
    <row r="2" spans="2:3">
      <c r="B2" s="1" t="s">
        <v>96</v>
      </c>
    </row>
    <row r="3" spans="2:3">
      <c r="B3" s="4" t="s">
        <v>91</v>
      </c>
      <c r="C3" s="4" t="s">
        <v>92</v>
      </c>
    </row>
    <row r="4" spans="2:3">
      <c r="B4" s="11">
        <v>0</v>
      </c>
      <c r="C4" s="11" t="s">
        <v>95</v>
      </c>
    </row>
    <row r="5" spans="2:3">
      <c r="B5" s="11">
        <v>1</v>
      </c>
      <c r="C5" s="11" t="s">
        <v>93</v>
      </c>
    </row>
    <row r="6" spans="2:3">
      <c r="B6" s="11">
        <v>2</v>
      </c>
      <c r="C6" s="11" t="s">
        <v>141</v>
      </c>
    </row>
    <row r="7" spans="2:3">
      <c r="B7" s="11">
        <v>4</v>
      </c>
      <c r="C7" s="11" t="s">
        <v>35</v>
      </c>
    </row>
    <row r="8" spans="2:3">
      <c r="B8" s="11">
        <v>12</v>
      </c>
      <c r="C8" s="11" t="s">
        <v>94</v>
      </c>
    </row>
    <row r="10" spans="2:3">
      <c r="B10" s="1" t="s">
        <v>103</v>
      </c>
    </row>
    <row r="11" spans="2:3">
      <c r="B11" s="4" t="s">
        <v>11</v>
      </c>
      <c r="C11" s="4" t="s">
        <v>1</v>
      </c>
    </row>
    <row r="12" spans="2:3">
      <c r="B12" s="11" t="s">
        <v>99</v>
      </c>
      <c r="C12" s="11" t="s">
        <v>100</v>
      </c>
    </row>
    <row r="13" spans="2:3">
      <c r="B13" s="11" t="s">
        <v>101</v>
      </c>
      <c r="C13" s="11" t="s">
        <v>102</v>
      </c>
    </row>
    <row r="14" spans="2:3">
      <c r="B14" s="11" t="s">
        <v>12</v>
      </c>
      <c r="C14" s="11" t="s">
        <v>2</v>
      </c>
    </row>
    <row r="15" spans="2:3">
      <c r="B15" s="7"/>
      <c r="C15" s="7"/>
    </row>
    <row r="16" spans="2:3">
      <c r="B16" s="13" t="s">
        <v>105</v>
      </c>
      <c r="C16" s="7"/>
    </row>
    <row r="17" spans="2:7">
      <c r="B17" s="12" t="s">
        <v>66</v>
      </c>
      <c r="C17" s="11" t="s">
        <v>67</v>
      </c>
    </row>
    <row r="18" spans="2:7">
      <c r="B18" s="12" t="s">
        <v>69</v>
      </c>
      <c r="C18" s="11" t="s">
        <v>51</v>
      </c>
    </row>
    <row r="20" spans="2:7">
      <c r="B20" s="13" t="s">
        <v>106</v>
      </c>
    </row>
    <row r="21" spans="2:7">
      <c r="B21" s="12" t="s">
        <v>66</v>
      </c>
      <c r="C21" s="11" t="s">
        <v>104</v>
      </c>
    </row>
    <row r="22" spans="2:7">
      <c r="B22" s="12" t="s">
        <v>69</v>
      </c>
      <c r="C22" s="11" t="s">
        <v>51</v>
      </c>
    </row>
    <row r="24" spans="2:7">
      <c r="B24" s="1" t="s">
        <v>107</v>
      </c>
    </row>
    <row r="25" spans="2:7">
      <c r="B25" s="4" t="s">
        <v>11</v>
      </c>
      <c r="C25" s="7" t="s">
        <v>21</v>
      </c>
      <c r="D25" t="s">
        <v>23</v>
      </c>
      <c r="E25" t="s">
        <v>127</v>
      </c>
      <c r="F25" t="s">
        <v>128</v>
      </c>
      <c r="G25" t="s">
        <v>129</v>
      </c>
    </row>
    <row r="26" spans="2:7">
      <c r="B26" s="11" t="s">
        <v>99</v>
      </c>
      <c r="C26" s="11" t="s">
        <v>108</v>
      </c>
      <c r="D26" s="12" t="s">
        <v>110</v>
      </c>
      <c r="E26" s="12" t="s">
        <v>100</v>
      </c>
      <c r="F26" s="12" t="s">
        <v>100</v>
      </c>
      <c r="G26" s="12" t="s">
        <v>55</v>
      </c>
    </row>
    <row r="27" spans="2:7">
      <c r="B27" s="11" t="s">
        <v>101</v>
      </c>
      <c r="C27" s="11" t="s">
        <v>109</v>
      </c>
      <c r="D27" s="12" t="s">
        <v>111</v>
      </c>
      <c r="E27" s="12" t="s">
        <v>125</v>
      </c>
      <c r="F27" s="12" t="s">
        <v>102</v>
      </c>
      <c r="G27" s="12" t="s">
        <v>147</v>
      </c>
    </row>
    <row r="28" spans="2:7">
      <c r="B28" s="11" t="s">
        <v>12</v>
      </c>
      <c r="C28" s="11" t="s">
        <v>45</v>
      </c>
      <c r="D28" s="12" t="s">
        <v>24</v>
      </c>
      <c r="E28" s="12" t="s">
        <v>126</v>
      </c>
      <c r="F28" s="12" t="s">
        <v>2</v>
      </c>
      <c r="G28" s="12" t="s">
        <v>55</v>
      </c>
    </row>
    <row r="30" spans="2:7">
      <c r="B30" s="1" t="s">
        <v>140</v>
      </c>
    </row>
    <row r="31" spans="2:7">
      <c r="B31" s="11" t="s">
        <v>35</v>
      </c>
      <c r="C31" s="11" t="s">
        <v>142</v>
      </c>
    </row>
    <row r="32" spans="2:7">
      <c r="B32" s="11" t="s">
        <v>141</v>
      </c>
      <c r="C32" s="11" t="s">
        <v>143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X182"/>
  <sheetViews>
    <sheetView showGridLines="0" workbookViewId="0">
      <selection activeCell="C34" sqref="C34"/>
    </sheetView>
  </sheetViews>
  <sheetFormatPr defaultRowHeight="15"/>
  <cols>
    <col min="2" max="2" width="20.7109375" customWidth="1"/>
    <col min="3" max="3" width="22.7109375" customWidth="1"/>
    <col min="4" max="4" width="9.140625" customWidth="1"/>
    <col min="5" max="5" width="20.7109375" customWidth="1"/>
    <col min="6" max="6" width="22.7109375" customWidth="1"/>
    <col min="8" max="8" width="20.7109375" customWidth="1"/>
    <col min="9" max="9" width="22.7109375" customWidth="1"/>
    <col min="10" max="10" width="9.140625" customWidth="1"/>
    <col min="11" max="11" width="20.7109375" customWidth="1"/>
    <col min="12" max="12" width="22.7109375" customWidth="1"/>
    <col min="14" max="14" width="20.7109375" customWidth="1"/>
    <col min="15" max="15" width="22.7109375" customWidth="1"/>
    <col min="17" max="17" width="20.7109375" customWidth="1"/>
    <col min="18" max="18" width="22.7109375" customWidth="1"/>
    <col min="20" max="20" width="20.7109375" customWidth="1"/>
    <col min="21" max="21" width="22.7109375" customWidth="1"/>
    <col min="23" max="23" width="20.7109375" customWidth="1"/>
    <col min="24" max="24" width="22.7109375" customWidth="1"/>
  </cols>
  <sheetData>
    <row r="2" spans="1:24">
      <c r="B2" s="16" t="s">
        <v>112</v>
      </c>
      <c r="C2" s="17" t="str">
        <f ca="1">IF(ABS(B11-C11)&lt;=2,_xll.meLWOFixingTableCreate(C5,C6,C7,B13:B182,C13:C182),"#LOAD")</f>
        <v>FIXINGS_EUR3ML@1:4</v>
      </c>
      <c r="E2" s="16" t="s">
        <v>112</v>
      </c>
      <c r="F2" s="17" t="str">
        <f ca="1">IF(ABS(E11-F11)&lt;=2,_xll.meLWOFixingTableCreate(F5,F6,F7,E13:E182,F13:F182),"#LOAD")</f>
        <v>FIXINGS_EUR6ML@8:4</v>
      </c>
      <c r="H2" s="16" t="s">
        <v>112</v>
      </c>
      <c r="I2" s="17" t="str">
        <f ca="1">IF(ABS(H11-I11)&lt;=2,_xll.meLWOFixingTableCreate(I5,I6,I7,H13:H182,I13:I182),"#LOAD")</f>
        <v>FIXINGS_USD3ML@3:4</v>
      </c>
      <c r="K2" s="16" t="s">
        <v>112</v>
      </c>
      <c r="L2" s="17" t="str">
        <f ca="1">IF(ABS(K11-L11)&lt;=2,_xll.meLWOFixingTableCreate(L5,L6,L7,K13:K182,L13:L182),"#LOAD")</f>
        <v>FIXINGS_USD6ML@2:4</v>
      </c>
      <c r="N2" s="16" t="s">
        <v>112</v>
      </c>
      <c r="O2" s="17" t="str">
        <f ca="1">IF(ABS(N11-O11)&lt;=2,_xll.meLWOFixingTableCreate(O5,O6,O7,N13:N182,O13:O182),"#LOAD")</f>
        <v>FIXINGS_AUD3ML@4:4</v>
      </c>
      <c r="Q2" s="16" t="s">
        <v>112</v>
      </c>
      <c r="R2" s="17" t="str">
        <f ca="1">IF(ABS(Q11-R11)&lt;=2,_xll.meLWOFixingTableCreate(R5,R6,R7,Q13:Q182,R13:R182),"#LOAD")</f>
        <v>FIXINGS_AUD6ML@6:4</v>
      </c>
      <c r="T2" s="16" t="s">
        <v>112</v>
      </c>
      <c r="U2" s="17" t="str">
        <f ca="1">IF(ABS(T11-U11)&lt;=2,_xll.meLWOFixingTableCreate(U5,U6,U7,T13:T182,U13:U182),"#LOAD")</f>
        <v>FIXINGS_JPY3ML@7:4</v>
      </c>
      <c r="W2" s="16" t="s">
        <v>112</v>
      </c>
      <c r="X2" s="17" t="str">
        <f ca="1">IF(ABS(W11-X11)&lt;=2,_xll.meLWOFixingTableCreate(X5,X6,X7,W13:W182,X13:X182),"#LOAD")</f>
        <v>FIXINGS_JPY6ML@5:4</v>
      </c>
    </row>
    <row r="3" spans="1:24">
      <c r="B3" s="9"/>
      <c r="C3" s="7"/>
      <c r="E3" s="9"/>
      <c r="F3" s="7"/>
      <c r="H3" s="9"/>
      <c r="I3" s="7"/>
      <c r="K3" s="9"/>
      <c r="L3" s="7"/>
      <c r="N3" s="9"/>
      <c r="O3" s="7"/>
      <c r="Q3" s="9"/>
      <c r="R3" s="7"/>
      <c r="T3" s="9"/>
      <c r="U3" s="7"/>
      <c r="W3" s="9"/>
      <c r="X3" s="7"/>
    </row>
    <row r="4" spans="1:24">
      <c r="B4" s="18" t="s">
        <v>113</v>
      </c>
      <c r="C4" s="7"/>
      <c r="E4" s="18" t="s">
        <v>113</v>
      </c>
      <c r="F4" s="7"/>
      <c r="H4" s="18" t="s">
        <v>113</v>
      </c>
      <c r="I4" s="7"/>
      <c r="K4" s="18" t="s">
        <v>113</v>
      </c>
      <c r="L4" s="7"/>
      <c r="N4" s="18" t="s">
        <v>113</v>
      </c>
      <c r="O4" s="7"/>
      <c r="Q4" s="18" t="s">
        <v>113</v>
      </c>
      <c r="R4" s="7"/>
      <c r="T4" s="18" t="s">
        <v>113</v>
      </c>
      <c r="U4" s="7"/>
      <c r="W4" s="18" t="s">
        <v>113</v>
      </c>
      <c r="X4" s="7"/>
    </row>
    <row r="5" spans="1:24">
      <c r="B5" s="2" t="s">
        <v>114</v>
      </c>
      <c r="C5" s="19" t="s">
        <v>120</v>
      </c>
      <c r="E5" s="2" t="s">
        <v>114</v>
      </c>
      <c r="F5" s="19" t="s">
        <v>135</v>
      </c>
      <c r="H5" s="2" t="s">
        <v>114</v>
      </c>
      <c r="I5" s="19" t="s">
        <v>122</v>
      </c>
      <c r="K5" s="2" t="s">
        <v>114</v>
      </c>
      <c r="L5" s="19" t="s">
        <v>137</v>
      </c>
      <c r="N5" s="2" t="s">
        <v>114</v>
      </c>
      <c r="O5" s="19" t="s">
        <v>123</v>
      </c>
      <c r="Q5" s="2" t="s">
        <v>114</v>
      </c>
      <c r="R5" s="19" t="s">
        <v>139</v>
      </c>
      <c r="T5" s="2" t="s">
        <v>114</v>
      </c>
      <c r="U5" s="19" t="s">
        <v>160</v>
      </c>
      <c r="W5" s="2" t="s">
        <v>114</v>
      </c>
      <c r="X5" s="19" t="s">
        <v>161</v>
      </c>
    </row>
    <row r="6" spans="1:24">
      <c r="B6" s="5" t="s">
        <v>11</v>
      </c>
      <c r="C6" s="8" t="s">
        <v>99</v>
      </c>
      <c r="E6" s="5" t="s">
        <v>11</v>
      </c>
      <c r="F6" s="8" t="s">
        <v>99</v>
      </c>
      <c r="H6" s="5" t="s">
        <v>11</v>
      </c>
      <c r="I6" s="8" t="s">
        <v>101</v>
      </c>
      <c r="K6" s="5" t="s">
        <v>11</v>
      </c>
      <c r="L6" s="8" t="s">
        <v>101</v>
      </c>
      <c r="N6" s="5" t="s">
        <v>11</v>
      </c>
      <c r="O6" s="8" t="s">
        <v>12</v>
      </c>
      <c r="Q6" s="5" t="s">
        <v>11</v>
      </c>
      <c r="R6" s="8" t="s">
        <v>12</v>
      </c>
      <c r="T6" s="5" t="s">
        <v>11</v>
      </c>
      <c r="U6" s="8" t="s">
        <v>157</v>
      </c>
      <c r="W6" s="5" t="s">
        <v>11</v>
      </c>
      <c r="X6" s="8" t="s">
        <v>157</v>
      </c>
    </row>
    <row r="7" spans="1:24">
      <c r="B7" s="3" t="s">
        <v>115</v>
      </c>
      <c r="C7" s="21" t="s">
        <v>46</v>
      </c>
      <c r="E7" s="3" t="s">
        <v>115</v>
      </c>
      <c r="F7" s="21" t="s">
        <v>134</v>
      </c>
      <c r="H7" s="3" t="s">
        <v>115</v>
      </c>
      <c r="I7" s="21" t="s">
        <v>46</v>
      </c>
      <c r="K7" s="3" t="s">
        <v>115</v>
      </c>
      <c r="L7" s="21" t="s">
        <v>134</v>
      </c>
      <c r="N7" s="3" t="s">
        <v>115</v>
      </c>
      <c r="O7" s="21" t="s">
        <v>46</v>
      </c>
      <c r="Q7" s="3" t="s">
        <v>115</v>
      </c>
      <c r="R7" s="21" t="s">
        <v>134</v>
      </c>
      <c r="T7" s="3" t="s">
        <v>115</v>
      </c>
      <c r="U7" s="21" t="s">
        <v>46</v>
      </c>
      <c r="W7" s="3" t="s">
        <v>115</v>
      </c>
      <c r="X7" s="21" t="s">
        <v>134</v>
      </c>
    </row>
    <row r="8" spans="1:24">
      <c r="B8" s="9"/>
      <c r="C8" s="7"/>
      <c r="E8" s="9"/>
      <c r="F8" s="7"/>
      <c r="H8" s="9"/>
      <c r="I8" s="7"/>
      <c r="K8" s="9"/>
      <c r="L8" s="7"/>
      <c r="N8" s="9"/>
      <c r="O8" s="7"/>
      <c r="Q8" s="9"/>
      <c r="R8" s="7"/>
      <c r="T8" s="9"/>
      <c r="U8" s="7"/>
      <c r="W8" s="9"/>
      <c r="X8" s="7"/>
    </row>
    <row r="9" spans="1:24">
      <c r="B9" s="9" t="s">
        <v>118</v>
      </c>
      <c r="C9" s="20" t="s">
        <v>119</v>
      </c>
      <c r="E9" s="9" t="s">
        <v>118</v>
      </c>
      <c r="F9" s="20" t="s">
        <v>133</v>
      </c>
      <c r="H9" s="9" t="s">
        <v>118</v>
      </c>
      <c r="I9" s="20" t="s">
        <v>121</v>
      </c>
      <c r="K9" s="9" t="s">
        <v>118</v>
      </c>
      <c r="L9" s="20" t="s">
        <v>136</v>
      </c>
      <c r="N9" s="9" t="s">
        <v>118</v>
      </c>
      <c r="O9" s="20" t="s">
        <v>124</v>
      </c>
      <c r="Q9" s="9" t="s">
        <v>118</v>
      </c>
      <c r="R9" s="20" t="s">
        <v>138</v>
      </c>
      <c r="T9" s="9" t="s">
        <v>118</v>
      </c>
      <c r="U9" s="20" t="s">
        <v>159</v>
      </c>
      <c r="W9" s="9" t="s">
        <v>118</v>
      </c>
      <c r="X9" s="20" t="s">
        <v>158</v>
      </c>
    </row>
    <row r="10" spans="1:24">
      <c r="B10" s="9"/>
      <c r="C10" s="7"/>
      <c r="E10" s="9"/>
      <c r="F10" s="7"/>
      <c r="H10" s="9"/>
      <c r="I10" s="7"/>
      <c r="K10" s="9"/>
      <c r="L10" s="7"/>
      <c r="N10" s="9"/>
      <c r="O10" s="7"/>
      <c r="Q10" s="9"/>
      <c r="R10" s="7"/>
      <c r="T10" s="9"/>
      <c r="U10" s="7"/>
      <c r="W10" s="9"/>
      <c r="X10" s="7"/>
    </row>
    <row r="11" spans="1:24">
      <c r="B11" s="10">
        <f ca="1">COUNT(B13:B182)</f>
        <v>170</v>
      </c>
      <c r="C11" s="10">
        <f ca="1">COUNT(C13:C182)</f>
        <v>170</v>
      </c>
      <c r="E11" s="10">
        <f ca="1">COUNT(E13:E182)</f>
        <v>170</v>
      </c>
      <c r="F11" s="10">
        <f ca="1">COUNT(F13:F182)</f>
        <v>170</v>
      </c>
      <c r="H11" s="10">
        <f ca="1">COUNT(H13:H182)</f>
        <v>170</v>
      </c>
      <c r="I11" s="10">
        <f ca="1">COUNT(I13:I182)</f>
        <v>170</v>
      </c>
      <c r="K11" s="10">
        <f ca="1">COUNT(K13:K182)</f>
        <v>170</v>
      </c>
      <c r="L11" s="10">
        <f ca="1">COUNT(L13:L182)</f>
        <v>170</v>
      </c>
      <c r="N11" s="10">
        <f ca="1">COUNT(N13:N182)</f>
        <v>170</v>
      </c>
      <c r="O11" s="10">
        <f ca="1">COUNT(O13:O182)</f>
        <v>170</v>
      </c>
      <c r="Q11" s="10">
        <f ca="1">COUNT(Q13:Q182)</f>
        <v>170</v>
      </c>
      <c r="R11" s="10">
        <f ca="1">COUNT(R13:R182)</f>
        <v>169</v>
      </c>
      <c r="T11" s="10">
        <f ca="1">COUNT(T13:T182)</f>
        <v>170</v>
      </c>
      <c r="U11" s="10">
        <f ca="1">COUNT(U13:U182)</f>
        <v>170</v>
      </c>
      <c r="W11" s="10">
        <f ca="1">COUNT(W13:W182)</f>
        <v>170</v>
      </c>
      <c r="X11" s="10">
        <f ca="1">COUNT(X13:X182)</f>
        <v>170</v>
      </c>
    </row>
    <row r="12" spans="1:24">
      <c r="B12" s="4" t="s">
        <v>116</v>
      </c>
      <c r="C12" s="4" t="s">
        <v>117</v>
      </c>
      <c r="E12" s="4" t="s">
        <v>116</v>
      </c>
      <c r="F12" s="4" t="s">
        <v>117</v>
      </c>
      <c r="H12" s="4" t="s">
        <v>116</v>
      </c>
      <c r="I12" s="4" t="s">
        <v>117</v>
      </c>
      <c r="K12" s="4" t="s">
        <v>116</v>
      </c>
      <c r="L12" s="4" t="s">
        <v>117</v>
      </c>
      <c r="N12" s="4" t="s">
        <v>116</v>
      </c>
      <c r="O12" s="4" t="s">
        <v>117</v>
      </c>
      <c r="Q12" s="4" t="s">
        <v>116</v>
      </c>
      <c r="R12" s="4" t="s">
        <v>117</v>
      </c>
      <c r="T12" s="4" t="s">
        <v>116</v>
      </c>
      <c r="U12" s="4" t="s">
        <v>117</v>
      </c>
      <c r="W12" s="4" t="s">
        <v>116</v>
      </c>
      <c r="X12" s="4" t="s">
        <v>117</v>
      </c>
    </row>
    <row r="13" spans="1:24">
      <c r="A13">
        <v>1</v>
      </c>
      <c r="B13" s="26">
        <f ca="1">_xll.meDateFromTenor(Settings.ValuationDate,IF(Settings.ValuationDate=TODAY(),"-1D","0D"),"PRECEDING","TGT")</f>
        <v>43495</v>
      </c>
      <c r="C13" s="22">
        <f ca="1">_xll.BDH(C$9,"PX_LAST",B13,B13)%</f>
        <v>-3.0799999999999998E-3</v>
      </c>
      <c r="D13">
        <v>1</v>
      </c>
      <c r="E13" s="26">
        <f ca="1">_xll.meDateFromTenor(Settings.ValuationDate,IF(Settings.ValuationDate=TODAY(),"-1D","0D"),"PRECEDING","TGT")</f>
        <v>43495</v>
      </c>
      <c r="F13" s="22">
        <f ca="1">_xll.BDH(F$9,"PX_LAST",E13,E13)%</f>
        <v>-2.3599999999999997E-3</v>
      </c>
      <c r="G13">
        <v>1</v>
      </c>
      <c r="H13" s="26">
        <f ca="1">_xll.meDateFromTenor(Settings.ValuationDate,IF(Settings.ValuationDate=TODAY(),"-1D","0D"),"PRECEDING","NYB:LNB")</f>
        <v>43495</v>
      </c>
      <c r="I13" s="22">
        <f ca="1">_xll.BDH(I$9,"PX_LAST",H13,H13)%</f>
        <v>2.7362500000000001E-2</v>
      </c>
      <c r="J13">
        <v>1</v>
      </c>
      <c r="K13" s="26">
        <f ca="1">_xll.meDateFromTenor(Settings.ValuationDate,IF(Settings.ValuationDate=TODAY(),"-1D","0D"),"PRECEDING","NYB:LNB")</f>
        <v>43495</v>
      </c>
      <c r="L13" s="22">
        <f ca="1">_xll.BDH(L$9,"PX_LAST",K13,K13)%</f>
        <v>2.8115000000000001E-2</v>
      </c>
      <c r="M13">
        <v>1</v>
      </c>
      <c r="N13" s="26">
        <f ca="1">_xll.meDateFromTenor(Settings.ValuationDate,IF(Settings.ValuationDate=TODAY(),"-1D","0D"),"PRECEDING","SYB:LNB")</f>
        <v>43495</v>
      </c>
      <c r="O13" s="22">
        <f ca="1">_xll.BDH(O$9,"PX_LAST",N13,N13)%</f>
        <v>2.07E-2</v>
      </c>
      <c r="P13">
        <v>1</v>
      </c>
      <c r="Q13" s="26">
        <f ca="1">_xll.meDateFromTenor(Settings.ValuationDate,IF(Settings.ValuationDate=TODAY(),"-1D","0D"),"PRECEDING","SYB:LNB")</f>
        <v>43495</v>
      </c>
      <c r="R13" s="22">
        <f ca="1">_xll.BDH(R$9,"PX_LAST",Q13,Q13)%</f>
        <v>2.18E-2</v>
      </c>
      <c r="S13">
        <v>1</v>
      </c>
      <c r="T13" s="26">
        <f ca="1">_xll.meDateFromTenor(Settings.ValuationDate,IF(Settings.ValuationDate=TODAY(),"-1D","0D"),"PRECEDING","SYB:LNB")</f>
        <v>43495</v>
      </c>
      <c r="U13" s="22">
        <f ca="1">_xll.BDH(U$9,"PX_LAST",T13,T13)%</f>
        <v>-9.9669999999999989E-4</v>
      </c>
      <c r="V13">
        <v>1</v>
      </c>
      <c r="W13" s="26">
        <f ca="1">_xll.meDateFromTenor(Settings.ValuationDate,IF(Settings.ValuationDate=TODAY(),"-1D","0D"),"PRECEDING","SYB:LNB")</f>
        <v>43495</v>
      </c>
      <c r="X13" s="22">
        <f ca="1">_xll.BDH(X$9,"PX_LAST",W13,W13)%</f>
        <v>-3.0000000000000001E-5</v>
      </c>
    </row>
    <row r="14" spans="1:24">
      <c r="A14">
        <v>2</v>
      </c>
      <c r="B14" s="6">
        <f ca="1">_xll.meDateFromTenor(B13,"-1D","PRECEDING","TGT")</f>
        <v>43494</v>
      </c>
      <c r="C14" s="15">
        <f ca="1">_xll.BDH(C$9,"PX_LAST",B14,B14)%</f>
        <v>-3.0599999999999998E-3</v>
      </c>
      <c r="D14">
        <v>2</v>
      </c>
      <c r="E14" s="6">
        <f ca="1">_xll.meDateFromTenor(E13,"-1D","PRECEDING","TGT")</f>
        <v>43494</v>
      </c>
      <c r="F14" s="15">
        <f ca="1">_xll.BDH(F$9,"PX_LAST",E14,E14)%</f>
        <v>-2.3699999999999997E-3</v>
      </c>
      <c r="G14">
        <v>2</v>
      </c>
      <c r="H14" s="6">
        <f ca="1">_xll.meDateFromTenor(H13,"-1D","PRECEDING","NYB:LNB")</f>
        <v>43494</v>
      </c>
      <c r="I14" s="15">
        <f ca="1">_xll.BDH(I$9,"PX_LAST",H14,H14)%</f>
        <v>2.7443800000000001E-2</v>
      </c>
      <c r="J14">
        <v>2</v>
      </c>
      <c r="K14" s="6">
        <f ca="1">_xll.meDateFromTenor(K13,"-1D","PRECEDING","NYB:LNB")</f>
        <v>43494</v>
      </c>
      <c r="L14" s="15">
        <f ca="1">_xll.BDH(L$9,"PX_LAST",K14,K14)%</f>
        <v>2.8233800000000003E-2</v>
      </c>
      <c r="M14">
        <v>2</v>
      </c>
      <c r="N14" s="6">
        <f ca="1">_xll.meDateFromTenor(N13,"-1D","PRECEDING","SYB:LNB")</f>
        <v>43494</v>
      </c>
      <c r="O14" s="15">
        <f ca="1">_xll.BDH(O$9,"PX_LAST",N14,N14)%</f>
        <v>2.07E-2</v>
      </c>
      <c r="P14">
        <v>2</v>
      </c>
      <c r="Q14" s="6">
        <f ca="1">_xll.meDateFromTenor(Q13,"-1D","PRECEDING","SYB:LNB")</f>
        <v>43494</v>
      </c>
      <c r="R14" s="15">
        <f ca="1">_xll.BDH(R$9,"PX_LAST",Q14,Q14)%</f>
        <v>2.1899999999999999E-2</v>
      </c>
      <c r="S14">
        <v>2</v>
      </c>
      <c r="T14" s="6">
        <f ca="1">_xll.meDateFromTenor(T13,"-1D","PRECEDING","SYB:LNB")</f>
        <v>43494</v>
      </c>
      <c r="U14" s="15">
        <f ca="1">_xll.BDH(U$9,"PX_LAST",T14,T14)%</f>
        <v>-7.45E-4</v>
      </c>
      <c r="V14">
        <v>2</v>
      </c>
      <c r="W14" s="6">
        <f ca="1">_xll.meDateFromTenor(W13,"-1D","PRECEDING","SYB:LNB")</f>
        <v>43494</v>
      </c>
      <c r="X14" s="15">
        <f ca="1">_xll.BDH(X$9,"PX_LAST",W14,W14)%</f>
        <v>-1.7E-6</v>
      </c>
    </row>
    <row r="15" spans="1:24">
      <c r="A15">
        <v>3</v>
      </c>
      <c r="B15" s="6">
        <f ca="1">_xll.meDateFromTenor(B14,"-1D","PRECEDING","TGT")</f>
        <v>43493</v>
      </c>
      <c r="C15" s="15">
        <f ca="1">_xll.BDH(C$9,"PX_LAST",B15,B15)%</f>
        <v>-3.0699999999999998E-3</v>
      </c>
      <c r="D15">
        <v>3</v>
      </c>
      <c r="E15" s="6">
        <f ca="1">_xll.meDateFromTenor(E14,"-1D","PRECEDING","TGT")</f>
        <v>43493</v>
      </c>
      <c r="F15" s="15">
        <f ca="1">_xll.BDH(F$9,"PX_LAST",E15,E15)%</f>
        <v>-2.3699999999999997E-3</v>
      </c>
      <c r="G15">
        <v>3</v>
      </c>
      <c r="H15" s="6">
        <f ca="1">_xll.meDateFromTenor(H14,"-1D","PRECEDING","NYB:LNB")</f>
        <v>43493</v>
      </c>
      <c r="I15" s="15">
        <f ca="1">_xll.BDH(I$9,"PX_LAST",H15,H15)%</f>
        <v>2.7504999999999998E-2</v>
      </c>
      <c r="J15">
        <v>3</v>
      </c>
      <c r="K15" s="6">
        <f ca="1">_xll.meDateFromTenor(K14,"-1D","PRECEDING","NYB:LNB")</f>
        <v>43493</v>
      </c>
      <c r="L15" s="15">
        <f ca="1">_xll.BDH(L$9,"PX_LAST",K15,K15)%</f>
        <v>2.8298800000000002E-2</v>
      </c>
      <c r="M15">
        <v>3</v>
      </c>
      <c r="N15" s="6">
        <f ca="1">_xll.meDateFromTenor(N14,"-1D","PRECEDING","SYB:LNB")</f>
        <v>43490</v>
      </c>
      <c r="O15" s="15">
        <f ca="1">_xll.BDH(O$9,"PX_LAST",N15,N15)%</f>
        <v>2.0799999999999999E-2</v>
      </c>
      <c r="P15">
        <v>3</v>
      </c>
      <c r="Q15" s="6">
        <f ca="1">_xll.meDateFromTenor(Q14,"-1D","PRECEDING","SYB:LNB")</f>
        <v>43490</v>
      </c>
      <c r="R15" s="15">
        <f ca="1">_xll.BDH(R$9,"PX_LAST",Q15,Q15)%</f>
        <v>2.1899999999999999E-2</v>
      </c>
      <c r="S15">
        <v>3</v>
      </c>
      <c r="T15" s="6">
        <f ca="1">_xll.meDateFromTenor(T14,"-1D","PRECEDING","SYB:LNB")</f>
        <v>43490</v>
      </c>
      <c r="U15" s="15">
        <f ca="1">_xll.BDH(U$9,"PX_LAST",T15,T15)%</f>
        <v>-8.5669999999999995E-4</v>
      </c>
      <c r="V15">
        <v>3</v>
      </c>
      <c r="W15" s="6">
        <f ca="1">_xll.meDateFromTenor(W14,"-1D","PRECEDING","SYB:LNB")</f>
        <v>43490</v>
      </c>
      <c r="X15" s="15">
        <f ca="1">_xll.BDH(X$9,"PX_LAST",W15,W15)%</f>
        <v>-5.1700000000000003E-5</v>
      </c>
    </row>
    <row r="16" spans="1:24">
      <c r="A16">
        <v>4</v>
      </c>
      <c r="B16" s="6">
        <f ca="1">_xll.meDateFromTenor(B15,"-1D","PRECEDING","TGT")</f>
        <v>43490</v>
      </c>
      <c r="C16" s="15">
        <f ca="1">_xll.BDH(C$9,"PX_LAST",B16,B16)%</f>
        <v>-3.0699999999999998E-3</v>
      </c>
      <c r="D16">
        <v>4</v>
      </c>
      <c r="E16" s="6">
        <f ca="1">_xll.meDateFromTenor(E15,"-1D","PRECEDING","TGT")</f>
        <v>43490</v>
      </c>
      <c r="F16" s="15">
        <f ca="1">_xll.BDH(F$9,"PX_LAST",E16,E16)%</f>
        <v>-2.3699999999999997E-3</v>
      </c>
      <c r="G16">
        <v>4</v>
      </c>
      <c r="H16" s="6">
        <f ca="1">_xll.meDateFromTenor(H15,"-1D","PRECEDING","NYB:LNB")</f>
        <v>43490</v>
      </c>
      <c r="I16" s="15">
        <f ca="1">_xll.BDH(I$9,"PX_LAST",H16,H16)%</f>
        <v>2.75163E-2</v>
      </c>
      <c r="J16">
        <v>4</v>
      </c>
      <c r="K16" s="6">
        <f ca="1">_xll.meDateFromTenor(K15,"-1D","PRECEDING","NYB:LNB")</f>
        <v>43490</v>
      </c>
      <c r="L16" s="15">
        <f ca="1">_xll.BDH(L$9,"PX_LAST",K16,K16)%</f>
        <v>2.83225E-2</v>
      </c>
      <c r="M16">
        <v>4</v>
      </c>
      <c r="N16" s="6">
        <f ca="1">_xll.meDateFromTenor(N15,"-1D","PRECEDING","SYB:LNB")</f>
        <v>43489</v>
      </c>
      <c r="O16" s="15">
        <f ca="1">_xll.BDH(O$9,"PX_LAST",N16,N16)%</f>
        <v>2.0813999999999999E-2</v>
      </c>
      <c r="P16">
        <v>4</v>
      </c>
      <c r="Q16" s="6">
        <f ca="1">_xll.meDateFromTenor(Q15,"-1D","PRECEDING","SYB:LNB")</f>
        <v>43489</v>
      </c>
      <c r="R16" s="15">
        <f ca="1">_xll.BDH(R$9,"PX_LAST",Q16,Q16)%</f>
        <v>2.1899999999999999E-2</v>
      </c>
      <c r="S16">
        <v>4</v>
      </c>
      <c r="T16" s="6">
        <f ca="1">_xll.meDateFromTenor(T15,"-1D","PRECEDING","SYB:LNB")</f>
        <v>43489</v>
      </c>
      <c r="U16" s="15">
        <f ca="1">_xll.BDH(U$9,"PX_LAST",T16,T16)%</f>
        <v>-8.633E-4</v>
      </c>
      <c r="V16">
        <v>4</v>
      </c>
      <c r="W16" s="6">
        <f ca="1">_xll.meDateFromTenor(W15,"-1D","PRECEDING","SYB:LNB")</f>
        <v>43489</v>
      </c>
      <c r="X16" s="15">
        <f ca="1">_xll.BDH(X$9,"PX_LAST",W16,W16)%</f>
        <v>-5.4999999999999995E-5</v>
      </c>
    </row>
    <row r="17" spans="1:24">
      <c r="A17">
        <v>5</v>
      </c>
      <c r="B17" s="6">
        <f ca="1">_xll.meDateFromTenor(B16,"-1D","PRECEDING","TGT")</f>
        <v>43489</v>
      </c>
      <c r="C17" s="15">
        <f ca="1">_xll.BDH(C$9,"PX_LAST",B17,B17)%</f>
        <v>-3.0599999999999998E-3</v>
      </c>
      <c r="D17">
        <v>5</v>
      </c>
      <c r="E17" s="6">
        <f ca="1">_xll.meDateFromTenor(E16,"-1D","PRECEDING","TGT")</f>
        <v>43489</v>
      </c>
      <c r="F17" s="15">
        <f ca="1">_xll.BDH(F$9,"PX_LAST",E17,E17)%</f>
        <v>-2.3599999999999997E-3</v>
      </c>
      <c r="G17">
        <v>5</v>
      </c>
      <c r="H17" s="6">
        <f ca="1">_xll.meDateFromTenor(H16,"-1D","PRECEDING","NYB:LNB")</f>
        <v>43489</v>
      </c>
      <c r="I17" s="15">
        <f ca="1">_xll.BDH(I$9,"PX_LAST",H17,H17)%</f>
        <v>2.7647500000000002E-2</v>
      </c>
      <c r="J17">
        <v>5</v>
      </c>
      <c r="K17" s="6">
        <f ca="1">_xll.meDateFromTenor(K16,"-1D","PRECEDING","NYB:LNB")</f>
        <v>43489</v>
      </c>
      <c r="L17" s="15">
        <f ca="1">_xll.BDH(L$9,"PX_LAST",K17,K17)%</f>
        <v>2.85013E-2</v>
      </c>
      <c r="M17">
        <v>5</v>
      </c>
      <c r="N17" s="6">
        <f ca="1">_xll.meDateFromTenor(N16,"-1D","PRECEDING","SYB:LNB")</f>
        <v>43488</v>
      </c>
      <c r="O17" s="15">
        <f ca="1">_xll.BDH(O$9,"PX_LAST",N17,N17)%</f>
        <v>2.0825E-2</v>
      </c>
      <c r="P17">
        <v>5</v>
      </c>
      <c r="Q17" s="6">
        <f ca="1">_xll.meDateFromTenor(Q16,"-1D","PRECEDING","SYB:LNB")</f>
        <v>43488</v>
      </c>
      <c r="R17" s="15">
        <f ca="1">_xll.BDH(R$9,"PX_LAST",Q17,Q17)%</f>
        <v>2.1899999999999999E-2</v>
      </c>
      <c r="S17">
        <v>5</v>
      </c>
      <c r="T17" s="6">
        <f ca="1">_xll.meDateFromTenor(T16,"-1D","PRECEDING","SYB:LNB")</f>
        <v>43488</v>
      </c>
      <c r="U17" s="15">
        <f ca="1">_xll.BDH(U$9,"PX_LAST",T17,T17)%</f>
        <v>-8.9669999999999995E-4</v>
      </c>
      <c r="V17">
        <v>5</v>
      </c>
      <c r="W17" s="6">
        <f ca="1">_xll.meDateFromTenor(W16,"-1D","PRECEDING","SYB:LNB")</f>
        <v>43488</v>
      </c>
      <c r="X17" s="15">
        <f ca="1">_xll.BDH(X$9,"PX_LAST",W17,W17)%</f>
        <v>-5.0000000000000002E-5</v>
      </c>
    </row>
    <row r="18" spans="1:24">
      <c r="A18">
        <v>6</v>
      </c>
      <c r="B18" s="6">
        <f ca="1">_xll.meDateFromTenor(B17,"-1D","PRECEDING","TGT")</f>
        <v>43488</v>
      </c>
      <c r="C18" s="15">
        <f ca="1">_xll.BDH(C$9,"PX_LAST",B18,B18)%</f>
        <v>-3.0799999999999998E-3</v>
      </c>
      <c r="D18">
        <v>6</v>
      </c>
      <c r="E18" s="6">
        <f ca="1">_xll.meDateFromTenor(E17,"-1D","PRECEDING","TGT")</f>
        <v>43488</v>
      </c>
      <c r="F18" s="15">
        <f ca="1">_xll.BDH(F$9,"PX_LAST",E18,E18)%</f>
        <v>-2.3699999999999997E-3</v>
      </c>
      <c r="G18">
        <v>6</v>
      </c>
      <c r="H18" s="6">
        <f ca="1">_xll.meDateFromTenor(H17,"-1D","PRECEDING","NYB:LNB")</f>
        <v>43488</v>
      </c>
      <c r="I18" s="15">
        <f ca="1">_xll.BDH(I$9,"PX_LAST",H18,H18)%</f>
        <v>2.7706300000000003E-2</v>
      </c>
      <c r="J18">
        <v>6</v>
      </c>
      <c r="K18" s="6">
        <f ca="1">_xll.meDateFromTenor(K17,"-1D","PRECEDING","NYB:LNB")</f>
        <v>43488</v>
      </c>
      <c r="L18" s="15">
        <f ca="1">_xll.BDH(L$9,"PX_LAST",K18,K18)%</f>
        <v>2.8536300000000001E-2</v>
      </c>
      <c r="M18">
        <v>6</v>
      </c>
      <c r="N18" s="6">
        <f ca="1">_xll.meDateFromTenor(N17,"-1D","PRECEDING","SYB:LNB")</f>
        <v>43487</v>
      </c>
      <c r="O18" s="15">
        <f ca="1">_xll.BDH(O$9,"PX_LAST",N18,N18)%</f>
        <v>2.0799999999999999E-2</v>
      </c>
      <c r="P18">
        <v>6</v>
      </c>
      <c r="Q18" s="6">
        <f ca="1">_xll.meDateFromTenor(Q17,"-1D","PRECEDING","SYB:LNB")</f>
        <v>43487</v>
      </c>
      <c r="R18" s="15">
        <f ca="1">_xll.BDH(R$9,"PX_LAST",Q18,Q18)%</f>
        <v>2.1899999999999999E-2</v>
      </c>
      <c r="S18">
        <v>6</v>
      </c>
      <c r="T18" s="6">
        <f ca="1">_xll.meDateFromTenor(T17,"-1D","PRECEDING","SYB:LNB")</f>
        <v>43487</v>
      </c>
      <c r="U18" s="15">
        <f ca="1">_xll.BDH(U$9,"PX_LAST",T18,T18)%</f>
        <v>-7.7999999999999999E-4</v>
      </c>
      <c r="V18">
        <v>6</v>
      </c>
      <c r="W18" s="6">
        <f ca="1">_xll.meDateFromTenor(W17,"-1D","PRECEDING","SYB:LNB")</f>
        <v>43487</v>
      </c>
      <c r="X18" s="15">
        <f ca="1">_xll.BDH(X$9,"PX_LAST",W18,W18)%</f>
        <v>-4.0000000000000003E-5</v>
      </c>
    </row>
    <row r="19" spans="1:24">
      <c r="A19">
        <v>7</v>
      </c>
      <c r="B19" s="6">
        <f ca="1">_xll.meDateFromTenor(B18,"-1D","PRECEDING","TGT")</f>
        <v>43487</v>
      </c>
      <c r="C19" s="15">
        <f ca="1">_xll.BDH(C$9,"PX_LAST",B19,B19)%</f>
        <v>-3.0799999999999998E-3</v>
      </c>
      <c r="D19">
        <v>7</v>
      </c>
      <c r="E19" s="6">
        <f ca="1">_xll.meDateFromTenor(E18,"-1D","PRECEDING","TGT")</f>
        <v>43487</v>
      </c>
      <c r="F19" s="15">
        <f ca="1">_xll.BDH(F$9,"PX_LAST",E19,E19)%</f>
        <v>-2.3699999999999997E-3</v>
      </c>
      <c r="G19">
        <v>7</v>
      </c>
      <c r="H19" s="6">
        <f ca="1">_xll.meDateFromTenor(H18,"-1D","PRECEDING","NYB:LNB")</f>
        <v>43487</v>
      </c>
      <c r="I19" s="15">
        <f ca="1">_xll.BDH(I$9,"PX_LAST",H19,H19)%</f>
        <v>2.7792500000000001E-2</v>
      </c>
      <c r="J19">
        <v>7</v>
      </c>
      <c r="K19" s="6">
        <f ca="1">_xll.meDateFromTenor(K18,"-1D","PRECEDING","NYB:LNB")</f>
        <v>43487</v>
      </c>
      <c r="L19" s="15">
        <f ca="1">_xll.BDH(L$9,"PX_LAST",K19,K19)%</f>
        <v>2.8536300000000001E-2</v>
      </c>
      <c r="M19">
        <v>7</v>
      </c>
      <c r="N19" s="6">
        <f ca="1">_xll.meDateFromTenor(N18,"-1D","PRECEDING","SYB:LNB")</f>
        <v>43486</v>
      </c>
      <c r="O19" s="15">
        <f ca="1">_xll.BDH(O$9,"PX_LAST",N19,N19)%</f>
        <v>2.0799999999999999E-2</v>
      </c>
      <c r="P19">
        <v>7</v>
      </c>
      <c r="Q19" s="6">
        <f ca="1">_xll.meDateFromTenor(Q18,"-1D","PRECEDING","SYB:LNB")</f>
        <v>43486</v>
      </c>
      <c r="R19" s="15">
        <f ca="1">_xll.BDH(R$9,"PX_LAST",Q19,Q19)%</f>
        <v>2.1899999999999999E-2</v>
      </c>
      <c r="S19">
        <v>7</v>
      </c>
      <c r="T19" s="6">
        <f ca="1">_xll.meDateFromTenor(T18,"-1D","PRECEDING","SYB:LNB")</f>
        <v>43486</v>
      </c>
      <c r="U19" s="15">
        <f ca="1">_xll.BDH(U$9,"PX_LAST",T19,T19)%</f>
        <v>-7.8830000000000002E-4</v>
      </c>
      <c r="V19">
        <v>7</v>
      </c>
      <c r="W19" s="6">
        <f ca="1">_xll.meDateFromTenor(W18,"-1D","PRECEDING","SYB:LNB")</f>
        <v>43486</v>
      </c>
      <c r="X19" s="15">
        <f ca="1">_xll.BDH(X$9,"PX_LAST",W19,W19)%</f>
        <v>-3.1699999999999998E-5</v>
      </c>
    </row>
    <row r="20" spans="1:24">
      <c r="A20">
        <v>8</v>
      </c>
      <c r="B20" s="6">
        <f ca="1">_xll.meDateFromTenor(B19,"-1D","PRECEDING","TGT")</f>
        <v>43486</v>
      </c>
      <c r="C20" s="15">
        <f ca="1">_xll.BDH(C$9,"PX_LAST",B20,B20)%</f>
        <v>-3.0799999999999998E-3</v>
      </c>
      <c r="D20">
        <v>8</v>
      </c>
      <c r="E20" s="6">
        <f ca="1">_xll.meDateFromTenor(E19,"-1D","PRECEDING","TGT")</f>
        <v>43486</v>
      </c>
      <c r="F20" s="15">
        <f ca="1">_xll.BDH(F$9,"PX_LAST",E20,E20)%</f>
        <v>-2.3599999999999997E-3</v>
      </c>
      <c r="G20">
        <v>8</v>
      </c>
      <c r="H20" s="6">
        <f ca="1">_xll.meDateFromTenor(H19,"-1D","PRECEDING","NYB:LNB")</f>
        <v>43483</v>
      </c>
      <c r="I20" s="15">
        <f ca="1">_xll.BDH(I$9,"PX_LAST",H20,H20)%</f>
        <v>2.7610000000000003E-2</v>
      </c>
      <c r="J20">
        <v>8</v>
      </c>
      <c r="K20" s="6">
        <f ca="1">_xll.meDateFromTenor(K19,"-1D","PRECEDING","NYB:LNB")</f>
        <v>43483</v>
      </c>
      <c r="L20" s="15">
        <f ca="1">_xll.BDH(L$9,"PX_LAST",K20,K20)%</f>
        <v>2.85188E-2</v>
      </c>
      <c r="M20">
        <v>8</v>
      </c>
      <c r="N20" s="6">
        <f ca="1">_xll.meDateFromTenor(N19,"-1D","PRECEDING","SYB:LNB")</f>
        <v>43483</v>
      </c>
      <c r="O20" s="15">
        <f ca="1">_xll.BDH(O$9,"PX_LAST",N20,N20)%</f>
        <v>2.0655999999999997E-2</v>
      </c>
      <c r="P20">
        <v>8</v>
      </c>
      <c r="Q20" s="6">
        <f ca="1">_xll.meDateFromTenor(Q19,"-1D","PRECEDING","SYB:LNB")</f>
        <v>43483</v>
      </c>
      <c r="R20" s="15">
        <f ca="1">_xll.BDH(R$9,"PX_LAST",Q20,Q20)%</f>
        <v>2.18E-2</v>
      </c>
      <c r="S20">
        <v>8</v>
      </c>
      <c r="T20" s="6">
        <f ca="1">_xll.meDateFromTenor(T19,"-1D","PRECEDING","SYB:LNB")</f>
        <v>43483</v>
      </c>
      <c r="U20" s="15">
        <f ca="1">_xll.BDH(U$9,"PX_LAST",T20,T20)%</f>
        <v>-8.3169999999999989E-4</v>
      </c>
      <c r="V20">
        <v>8</v>
      </c>
      <c r="W20" s="6">
        <f ca="1">_xll.meDateFromTenor(W19,"-1D","PRECEDING","SYB:LNB")</f>
        <v>43483</v>
      </c>
      <c r="X20" s="15">
        <f ca="1">_xll.BDH(X$9,"PX_LAST",W20,W20)%</f>
        <v>-7.3299999999999993E-5</v>
      </c>
    </row>
    <row r="21" spans="1:24">
      <c r="A21">
        <v>9</v>
      </c>
      <c r="B21" s="6">
        <f ca="1">_xll.meDateFromTenor(B20,"-1D","PRECEDING","TGT")</f>
        <v>43483</v>
      </c>
      <c r="C21" s="15">
        <f ca="1">_xll.BDH(C$9,"PX_LAST",B21,B21)%</f>
        <v>-3.0799999999999998E-3</v>
      </c>
      <c r="D21">
        <v>9</v>
      </c>
      <c r="E21" s="6">
        <f ca="1">_xll.meDateFromTenor(E20,"-1D","PRECEDING","TGT")</f>
        <v>43483</v>
      </c>
      <c r="F21" s="15">
        <f ca="1">_xll.BDH(F$9,"PX_LAST",E21,E21)%</f>
        <v>-2.3499999999999997E-3</v>
      </c>
      <c r="G21">
        <v>9</v>
      </c>
      <c r="H21" s="6">
        <f ca="1">_xll.meDateFromTenor(H20,"-1D","PRECEDING","NYB:LNB")</f>
        <v>43482</v>
      </c>
      <c r="I21" s="15">
        <f ca="1">_xll.BDH(I$9,"PX_LAST",H21,H21)%</f>
        <v>2.7757500000000001E-2</v>
      </c>
      <c r="J21">
        <v>9</v>
      </c>
      <c r="K21" s="6">
        <f ca="1">_xll.meDateFromTenor(K20,"-1D","PRECEDING","NYB:LNB")</f>
        <v>43482</v>
      </c>
      <c r="L21" s="15">
        <f ca="1">_xll.BDH(L$9,"PX_LAST",K21,K21)%</f>
        <v>2.8525000000000002E-2</v>
      </c>
      <c r="M21">
        <v>9</v>
      </c>
      <c r="N21" s="6">
        <f ca="1">_xll.meDateFromTenor(N20,"-1D","PRECEDING","SYB:LNB")</f>
        <v>43482</v>
      </c>
      <c r="O21" s="15">
        <f ca="1">_xll.BDH(O$9,"PX_LAST",N21,N21)%</f>
        <v>2.06E-2</v>
      </c>
      <c r="P21">
        <v>9</v>
      </c>
      <c r="Q21" s="6">
        <f ca="1">_xll.meDateFromTenor(Q20,"-1D","PRECEDING","SYB:LNB")</f>
        <v>43482</v>
      </c>
      <c r="R21" s="15">
        <f ca="1">_xll.BDH(R$9,"PX_LAST",Q21,Q21)%</f>
        <v>2.18E-2</v>
      </c>
      <c r="S21">
        <v>9</v>
      </c>
      <c r="T21" s="6">
        <f ca="1">_xll.meDateFromTenor(T20,"-1D","PRECEDING","SYB:LNB")</f>
        <v>43482</v>
      </c>
      <c r="U21" s="15">
        <f ca="1">_xll.BDH(U$9,"PX_LAST",T21,T21)%</f>
        <v>-8.3169999999999989E-4</v>
      </c>
      <c r="V21">
        <v>9</v>
      </c>
      <c r="W21" s="6">
        <f ca="1">_xll.meDateFromTenor(W20,"-1D","PRECEDING","SYB:LNB")</f>
        <v>43482</v>
      </c>
      <c r="X21" s="15">
        <f ca="1">_xll.BDH(X$9,"PX_LAST",W21,W21)%</f>
        <v>-3.0000000000000001E-5</v>
      </c>
    </row>
    <row r="22" spans="1:24">
      <c r="A22">
        <v>10</v>
      </c>
      <c r="B22" s="6">
        <f ca="1">_xll.meDateFromTenor(B21,"-1D","PRECEDING","TGT")</f>
        <v>43482</v>
      </c>
      <c r="C22" s="15">
        <f ca="1">_xll.BDH(C$9,"PX_LAST",B22,B22)%</f>
        <v>-3.0799999999999998E-3</v>
      </c>
      <c r="D22">
        <v>10</v>
      </c>
      <c r="E22" s="6">
        <f ca="1">_xll.meDateFromTenor(E21,"-1D","PRECEDING","TGT")</f>
        <v>43482</v>
      </c>
      <c r="F22" s="15">
        <f ca="1">_xll.BDH(F$9,"PX_LAST",E22,E22)%</f>
        <v>-2.3599999999999997E-3</v>
      </c>
      <c r="G22">
        <v>10</v>
      </c>
      <c r="H22" s="6">
        <f ca="1">_xll.meDateFromTenor(H21,"-1D","PRECEDING","NYB:LNB")</f>
        <v>43481</v>
      </c>
      <c r="I22" s="15">
        <f ca="1">_xll.BDH(I$9,"PX_LAST",H22,H22)%</f>
        <v>2.7803100000000001E-2</v>
      </c>
      <c r="J22">
        <v>10</v>
      </c>
      <c r="K22" s="6">
        <f ca="1">_xll.meDateFromTenor(K21,"-1D","PRECEDING","NYB:LNB")</f>
        <v>43481</v>
      </c>
      <c r="L22" s="15">
        <f ca="1">_xll.BDH(L$9,"PX_LAST",K22,K22)%</f>
        <v>2.8616299999999997E-2</v>
      </c>
      <c r="M22">
        <v>10</v>
      </c>
      <c r="N22" s="6">
        <f ca="1">_xll.meDateFromTenor(N21,"-1D","PRECEDING","SYB:LNB")</f>
        <v>43481</v>
      </c>
      <c r="O22" s="15">
        <f ca="1">_xll.BDH(O$9,"PX_LAST",N22,N22)%</f>
        <v>2.06E-2</v>
      </c>
      <c r="P22">
        <v>10</v>
      </c>
      <c r="Q22" s="6">
        <f ca="1">_xll.meDateFromTenor(Q21,"-1D","PRECEDING","SYB:LNB")</f>
        <v>43481</v>
      </c>
      <c r="R22" s="15">
        <f ca="1">_xll.BDH(R$9,"PX_LAST",Q22,Q22)%</f>
        <v>2.18E-2</v>
      </c>
      <c r="S22">
        <v>10</v>
      </c>
      <c r="T22" s="6">
        <f ca="1">_xll.meDateFromTenor(T21,"-1D","PRECEDING","SYB:LNB")</f>
        <v>43481</v>
      </c>
      <c r="U22" s="15">
        <f ca="1">_xll.BDH(U$9,"PX_LAST",T22,T22)%</f>
        <v>-7.7499999999999997E-4</v>
      </c>
      <c r="V22">
        <v>10</v>
      </c>
      <c r="W22" s="6">
        <f ca="1">_xll.meDateFromTenor(W21,"-1D","PRECEDING","SYB:LNB")</f>
        <v>43481</v>
      </c>
      <c r="X22" s="15">
        <f ca="1">_xll.BDH(X$9,"PX_LAST",W22,W22)%</f>
        <v>2.5000000000000001E-5</v>
      </c>
    </row>
    <row r="23" spans="1:24">
      <c r="A23">
        <v>11</v>
      </c>
      <c r="B23" s="6">
        <f ca="1">_xll.meDateFromTenor(B22,"-1D","PRECEDING","TGT")</f>
        <v>43481</v>
      </c>
      <c r="C23" s="15">
        <f ca="1">_xll.BDH(C$9,"PX_LAST",B23,B23)%</f>
        <v>-3.0799999999999998E-3</v>
      </c>
      <c r="D23">
        <v>11</v>
      </c>
      <c r="E23" s="6">
        <f ca="1">_xll.meDateFromTenor(E22,"-1D","PRECEDING","TGT")</f>
        <v>43481</v>
      </c>
      <c r="F23" s="15">
        <f ca="1">_xll.BDH(F$9,"PX_LAST",E23,E23)%</f>
        <v>-2.3599999999999997E-3</v>
      </c>
      <c r="G23">
        <v>11</v>
      </c>
      <c r="H23" s="6">
        <f ca="1">_xll.meDateFromTenor(H22,"-1D","PRECEDING","NYB:LNB")</f>
        <v>43480</v>
      </c>
      <c r="I23" s="15">
        <f ca="1">_xll.BDH(I$9,"PX_LAST",H23,H23)%</f>
        <v>2.7734399999999999E-2</v>
      </c>
      <c r="J23">
        <v>11</v>
      </c>
      <c r="K23" s="6">
        <f ca="1">_xll.meDateFromTenor(K22,"-1D","PRECEDING","NYB:LNB")</f>
        <v>43480</v>
      </c>
      <c r="L23" s="15">
        <f ca="1">_xll.BDH(L$9,"PX_LAST",K23,K23)%</f>
        <v>2.84581E-2</v>
      </c>
      <c r="M23">
        <v>11</v>
      </c>
      <c r="N23" s="6">
        <f ca="1">_xll.meDateFromTenor(N22,"-1D","PRECEDING","SYB:LNB")</f>
        <v>43480</v>
      </c>
      <c r="O23" s="15">
        <f ca="1">_xll.BDH(O$9,"PX_LAST",N23,N23)%</f>
        <v>2.0687999999999998E-2</v>
      </c>
      <c r="P23">
        <v>11</v>
      </c>
      <c r="Q23" s="6">
        <f ca="1">_xll.meDateFromTenor(Q22,"-1D","PRECEDING","SYB:LNB")</f>
        <v>43480</v>
      </c>
      <c r="R23" s="15">
        <f ca="1">_xll.BDH(R$9,"PX_LAST",Q23,Q23)%</f>
        <v>2.18E-2</v>
      </c>
      <c r="S23">
        <v>11</v>
      </c>
      <c r="T23" s="6">
        <f ca="1">_xll.meDateFromTenor(T22,"-1D","PRECEDING","SYB:LNB")</f>
        <v>43480</v>
      </c>
      <c r="U23" s="15">
        <f ca="1">_xll.BDH(U$9,"PX_LAST",T23,T23)%</f>
        <v>-7.0169999999999998E-4</v>
      </c>
      <c r="V23">
        <v>11</v>
      </c>
      <c r="W23" s="6">
        <f ca="1">_xll.meDateFromTenor(W22,"-1D","PRECEDING","SYB:LNB")</f>
        <v>43480</v>
      </c>
      <c r="X23" s="15">
        <f ca="1">_xll.BDH(X$9,"PX_LAST",W23,W23)%</f>
        <v>7.3299999999999993E-5</v>
      </c>
    </row>
    <row r="24" spans="1:24">
      <c r="A24">
        <v>12</v>
      </c>
      <c r="B24" s="6">
        <f ca="1">_xll.meDateFromTenor(B23,"-1D","PRECEDING","TGT")</f>
        <v>43480</v>
      </c>
      <c r="C24" s="15">
        <f ca="1">_xll.BDH(C$9,"PX_LAST",B24,B24)%</f>
        <v>-3.0799999999999998E-3</v>
      </c>
      <c r="D24">
        <v>12</v>
      </c>
      <c r="E24" s="6">
        <f ca="1">_xll.meDateFromTenor(E23,"-1D","PRECEDING","TGT")</f>
        <v>43480</v>
      </c>
      <c r="F24" s="15">
        <f ca="1">_xll.BDH(F$9,"PX_LAST",E24,E24)%</f>
        <v>-2.3599999999999997E-3</v>
      </c>
      <c r="G24">
        <v>12</v>
      </c>
      <c r="H24" s="6">
        <f ca="1">_xll.meDateFromTenor(H23,"-1D","PRECEDING","NYB:LNB")</f>
        <v>43479</v>
      </c>
      <c r="I24" s="15">
        <f ca="1">_xll.BDH(I$9,"PX_LAST",H24,H24)%</f>
        <v>2.7789399999999999E-2</v>
      </c>
      <c r="J24">
        <v>12</v>
      </c>
      <c r="K24" s="6">
        <f ca="1">_xll.meDateFromTenor(K23,"-1D","PRECEDING","NYB:LNB")</f>
        <v>43479</v>
      </c>
      <c r="L24" s="15">
        <f ca="1">_xll.BDH(L$9,"PX_LAST",K24,K24)%</f>
        <v>2.8534400000000001E-2</v>
      </c>
      <c r="M24">
        <v>12</v>
      </c>
      <c r="N24" s="6">
        <f ca="1">_xll.meDateFromTenor(N23,"-1D","PRECEDING","SYB:LNB")</f>
        <v>43479</v>
      </c>
      <c r="O24" s="15">
        <f ca="1">_xll.BDH(O$9,"PX_LAST",N24,N24)%</f>
        <v>2.06E-2</v>
      </c>
      <c r="P24">
        <v>12</v>
      </c>
      <c r="Q24" s="6">
        <f ca="1">_xll.meDateFromTenor(Q23,"-1D","PRECEDING","SYB:LNB")</f>
        <v>43479</v>
      </c>
      <c r="R24" s="15">
        <f ca="1">_xll.BDH(R$9,"PX_LAST",Q24,Q24)%</f>
        <v>2.1850000000000001E-2</v>
      </c>
      <c r="S24">
        <v>12</v>
      </c>
      <c r="T24" s="6">
        <f ca="1">_xll.meDateFromTenor(T23,"-1D","PRECEDING","SYB:LNB")</f>
        <v>43479</v>
      </c>
      <c r="U24" s="15">
        <f ca="1">_xll.BDH(U$9,"PX_LAST",T24,T24)%</f>
        <v>-6.6500000000000001E-4</v>
      </c>
      <c r="V24">
        <v>12</v>
      </c>
      <c r="W24" s="6">
        <f ca="1">_xll.meDateFromTenor(W23,"-1D","PRECEDING","SYB:LNB")</f>
        <v>43479</v>
      </c>
      <c r="X24" s="15">
        <f ca="1">_xll.BDH(X$9,"PX_LAST",W24,W24)%</f>
        <v>1.2E-4</v>
      </c>
    </row>
    <row r="25" spans="1:24">
      <c r="A25">
        <v>13</v>
      </c>
      <c r="B25" s="6">
        <f ca="1">_xll.meDateFromTenor(B24,"-1D","PRECEDING","TGT")</f>
        <v>43479</v>
      </c>
      <c r="C25" s="15">
        <f ca="1">_xll.BDH(C$9,"PX_LAST",B25,B25)%</f>
        <v>-3.0799999999999998E-3</v>
      </c>
      <c r="D25">
        <v>13</v>
      </c>
      <c r="E25" s="6">
        <f ca="1">_xll.meDateFromTenor(E24,"-1D","PRECEDING","TGT")</f>
        <v>43479</v>
      </c>
      <c r="F25" s="15">
        <f ca="1">_xll.BDH(F$9,"PX_LAST",E25,E25)%</f>
        <v>-2.3599999999999997E-3</v>
      </c>
      <c r="G25">
        <v>13</v>
      </c>
      <c r="H25" s="6">
        <f ca="1">_xll.meDateFromTenor(H24,"-1D","PRECEDING","NYB:LNB")</f>
        <v>43476</v>
      </c>
      <c r="I25" s="15">
        <f ca="1">_xll.BDH(I$9,"PX_LAST",H25,H25)%</f>
        <v>2.7873099999999998E-2</v>
      </c>
      <c r="J25">
        <v>13</v>
      </c>
      <c r="K25" s="6">
        <f ca="1">_xll.meDateFromTenor(K24,"-1D","PRECEDING","NYB:LNB")</f>
        <v>43476</v>
      </c>
      <c r="L25" s="15">
        <f ca="1">_xll.BDH(L$9,"PX_LAST",K25,K25)%</f>
        <v>2.86463E-2</v>
      </c>
      <c r="M25">
        <v>13</v>
      </c>
      <c r="N25" s="6">
        <f ca="1">_xll.meDateFromTenor(N24,"-1D","PRECEDING","SYB:LNB")</f>
        <v>43476</v>
      </c>
      <c r="O25" s="15">
        <f ca="1">_xll.BDH(O$9,"PX_LAST",N25,N25)%</f>
        <v>2.06E-2</v>
      </c>
      <c r="P25">
        <v>13</v>
      </c>
      <c r="Q25" s="6">
        <f ca="1">_xll.meDateFromTenor(Q24,"-1D","PRECEDING","SYB:LNB")</f>
        <v>43476</v>
      </c>
      <c r="R25" s="15">
        <f ca="1">_xll.BDH(R$9,"PX_LAST",Q25,Q25)%</f>
        <v>2.18E-2</v>
      </c>
      <c r="S25">
        <v>13</v>
      </c>
      <c r="T25" s="6">
        <f ca="1">_xll.meDateFromTenor(T24,"-1D","PRECEDING","SYB:LNB")</f>
        <v>43476</v>
      </c>
      <c r="U25" s="15">
        <f ca="1">_xll.BDH(U$9,"PX_LAST",T25,T25)%</f>
        <v>-6.8669999999999994E-4</v>
      </c>
      <c r="V25">
        <v>13</v>
      </c>
      <c r="W25" s="6">
        <f ca="1">_xll.meDateFromTenor(W24,"-1D","PRECEDING","SYB:LNB")</f>
        <v>43476</v>
      </c>
      <c r="X25" s="15">
        <f ca="1">_xll.BDH(X$9,"PX_LAST",W25,W25)%</f>
        <v>1.033E-4</v>
      </c>
    </row>
    <row r="26" spans="1:24">
      <c r="A26">
        <v>14</v>
      </c>
      <c r="B26" s="6">
        <f ca="1">_xll.meDateFromTenor(B25,"-1D","PRECEDING","TGT")</f>
        <v>43476</v>
      </c>
      <c r="C26" s="15">
        <f ca="1">_xll.BDH(C$9,"PX_LAST",B26,B26)%</f>
        <v>-3.0799999999999998E-3</v>
      </c>
      <c r="D26">
        <v>14</v>
      </c>
      <c r="E26" s="6">
        <f ca="1">_xll.meDateFromTenor(E25,"-1D","PRECEDING","TGT")</f>
        <v>43476</v>
      </c>
      <c r="F26" s="15">
        <f ca="1">_xll.BDH(F$9,"PX_LAST",E26,E26)%</f>
        <v>-2.3599999999999997E-3</v>
      </c>
      <c r="G26">
        <v>14</v>
      </c>
      <c r="H26" s="6">
        <f ca="1">_xll.meDateFromTenor(H25,"-1D","PRECEDING","NYB:LNB")</f>
        <v>43475</v>
      </c>
      <c r="I26" s="15">
        <f ca="1">_xll.BDH(I$9,"PX_LAST",H26,H26)%</f>
        <v>2.7969400000000002E-2</v>
      </c>
      <c r="J26">
        <v>14</v>
      </c>
      <c r="K26" s="6">
        <f ca="1">_xll.meDateFromTenor(K25,"-1D","PRECEDING","NYB:LNB")</f>
        <v>43475</v>
      </c>
      <c r="L26" s="15">
        <f ca="1">_xll.BDH(L$9,"PX_LAST",K26,K26)%</f>
        <v>2.8604400000000002E-2</v>
      </c>
      <c r="M26">
        <v>14</v>
      </c>
      <c r="N26" s="6">
        <f ca="1">_xll.meDateFromTenor(N25,"-1D","PRECEDING","SYB:LNB")</f>
        <v>43475</v>
      </c>
      <c r="O26" s="15">
        <f ca="1">_xll.BDH(O$9,"PX_LAST",N26,N26)%</f>
        <v>2.06E-2</v>
      </c>
      <c r="P26">
        <v>14</v>
      </c>
      <c r="Q26" s="6">
        <f ca="1">_xll.meDateFromTenor(Q25,"-1D","PRECEDING","SYB:LNB")</f>
        <v>43475</v>
      </c>
      <c r="R26" s="15">
        <f ca="1">_xll.BDH(R$9,"PX_LAST",Q26,Q26)%</f>
        <v>2.18E-2</v>
      </c>
      <c r="S26">
        <v>14</v>
      </c>
      <c r="T26" s="6">
        <f ca="1">_xll.meDateFromTenor(T25,"-1D","PRECEDING","SYB:LNB")</f>
        <v>43475</v>
      </c>
      <c r="U26" s="15">
        <f ca="1">_xll.BDH(U$9,"PX_LAST",T26,T26)%</f>
        <v>-6.5830000000000001E-4</v>
      </c>
      <c r="V26">
        <v>14</v>
      </c>
      <c r="W26" s="6">
        <f ca="1">_xll.meDateFromTenor(W25,"-1D","PRECEDING","SYB:LNB")</f>
        <v>43475</v>
      </c>
      <c r="X26" s="15">
        <f ca="1">_xll.BDH(X$9,"PX_LAST",W26,W26)%</f>
        <v>1.167E-4</v>
      </c>
    </row>
    <row r="27" spans="1:24">
      <c r="A27">
        <v>15</v>
      </c>
      <c r="B27" s="6">
        <f ca="1">_xll.meDateFromTenor(B26,"-1D","PRECEDING","TGT")</f>
        <v>43475</v>
      </c>
      <c r="C27" s="15">
        <f ca="1">_xll.BDH(C$9,"PX_LAST",B27,B27)%</f>
        <v>-3.0799999999999998E-3</v>
      </c>
      <c r="D27">
        <v>15</v>
      </c>
      <c r="E27" s="6">
        <f ca="1">_xll.meDateFromTenor(E26,"-1D","PRECEDING","TGT")</f>
        <v>43475</v>
      </c>
      <c r="F27" s="15">
        <f ca="1">_xll.BDH(F$9,"PX_LAST",E27,E27)%</f>
        <v>-2.3599999999999997E-3</v>
      </c>
      <c r="G27">
        <v>15</v>
      </c>
      <c r="H27" s="6">
        <f ca="1">_xll.meDateFromTenor(H26,"-1D","PRECEDING","NYB:LNB")</f>
        <v>43474</v>
      </c>
      <c r="I27" s="15">
        <f ca="1">_xll.BDH(I$9,"PX_LAST",H27,H27)%</f>
        <v>2.7988800000000001E-2</v>
      </c>
      <c r="J27">
        <v>15</v>
      </c>
      <c r="K27" s="6">
        <f ca="1">_xll.meDateFromTenor(K26,"-1D","PRECEDING","NYB:LNB")</f>
        <v>43474</v>
      </c>
      <c r="L27" s="15">
        <f ca="1">_xll.BDH(L$9,"PX_LAST",K27,K27)%</f>
        <v>2.8697499999999997E-2</v>
      </c>
      <c r="M27">
        <v>15</v>
      </c>
      <c r="N27" s="6">
        <f ca="1">_xll.meDateFromTenor(N26,"-1D","PRECEDING","SYB:LNB")</f>
        <v>43474</v>
      </c>
      <c r="O27" s="15">
        <f ca="1">_xll.BDH(O$9,"PX_LAST",N27,N27)%</f>
        <v>2.0499999999999997E-2</v>
      </c>
      <c r="P27">
        <v>15</v>
      </c>
      <c r="Q27" s="6">
        <f ca="1">_xll.meDateFromTenor(Q26,"-1D","PRECEDING","SYB:LNB")</f>
        <v>43474</v>
      </c>
      <c r="R27" s="15">
        <f ca="1">_xll.BDH(R$9,"PX_LAST",Q27,Q27)%</f>
        <v>2.1700000000000001E-2</v>
      </c>
      <c r="S27">
        <v>15</v>
      </c>
      <c r="T27" s="6">
        <f ca="1">_xll.meDateFromTenor(T26,"-1D","PRECEDING","SYB:LNB")</f>
        <v>43474</v>
      </c>
      <c r="U27" s="15">
        <f ca="1">_xll.BDH(U$9,"PX_LAST",T27,T27)%</f>
        <v>-7.3499999999999998E-4</v>
      </c>
      <c r="V27">
        <v>15</v>
      </c>
      <c r="W27" s="6">
        <f ca="1">_xll.meDateFromTenor(W26,"-1D","PRECEDING","SYB:LNB")</f>
        <v>43474</v>
      </c>
      <c r="X27" s="15">
        <f ca="1">_xll.BDH(X$9,"PX_LAST",W27,W27)%</f>
        <v>5.3299999999999995E-5</v>
      </c>
    </row>
    <row r="28" spans="1:24">
      <c r="A28">
        <v>16</v>
      </c>
      <c r="B28" s="6">
        <f ca="1">_xll.meDateFromTenor(B27,"-1D","PRECEDING","TGT")</f>
        <v>43474</v>
      </c>
      <c r="C28" s="15">
        <f ca="1">_xll.BDH(C$9,"PX_LAST",B28,B28)%</f>
        <v>-3.0799999999999998E-3</v>
      </c>
      <c r="D28">
        <v>16</v>
      </c>
      <c r="E28" s="6">
        <f ca="1">_xll.meDateFromTenor(E27,"-1D","PRECEDING","TGT")</f>
        <v>43474</v>
      </c>
      <c r="F28" s="15">
        <f ca="1">_xll.BDH(F$9,"PX_LAST",E28,E28)%</f>
        <v>-2.3599999999999997E-3</v>
      </c>
      <c r="G28">
        <v>16</v>
      </c>
      <c r="H28" s="6">
        <f ca="1">_xll.meDateFromTenor(H27,"-1D","PRECEDING","NYB:LNB")</f>
        <v>43473</v>
      </c>
      <c r="I28" s="15">
        <f ca="1">_xll.BDH(I$9,"PX_LAST",H28,H28)%</f>
        <v>2.7824999999999999E-2</v>
      </c>
      <c r="J28">
        <v>16</v>
      </c>
      <c r="K28" s="6">
        <f ca="1">_xll.meDateFromTenor(K27,"-1D","PRECEDING","NYB:LNB")</f>
        <v>43473</v>
      </c>
      <c r="L28" s="15">
        <f ca="1">_xll.BDH(L$9,"PX_LAST",K28,K28)%</f>
        <v>2.8525599999999998E-2</v>
      </c>
      <c r="M28">
        <v>16</v>
      </c>
      <c r="N28" s="6">
        <f ca="1">_xll.meDateFromTenor(N27,"-1D","PRECEDING","SYB:LNB")</f>
        <v>43473</v>
      </c>
      <c r="O28" s="15">
        <f ca="1">_xll.BDH(O$9,"PX_LAST",N28,N28)%</f>
        <v>2.0499999999999997E-2</v>
      </c>
      <c r="P28">
        <v>16</v>
      </c>
      <c r="Q28" s="6">
        <f ca="1">_xll.meDateFromTenor(Q27,"-1D","PRECEDING","SYB:LNB")</f>
        <v>43473</v>
      </c>
      <c r="R28" s="15">
        <f ca="1">_xll.BDH(R$9,"PX_LAST",Q28,Q28)%</f>
        <v>2.18E-2</v>
      </c>
      <c r="S28">
        <v>16</v>
      </c>
      <c r="T28" s="6">
        <f ca="1">_xll.meDateFromTenor(T27,"-1D","PRECEDING","SYB:LNB")</f>
        <v>43473</v>
      </c>
      <c r="U28" s="15">
        <f ca="1">_xll.BDH(U$9,"PX_LAST",T28,T28)%</f>
        <v>-7.1670000000000002E-4</v>
      </c>
      <c r="V28">
        <v>16</v>
      </c>
      <c r="W28" s="6">
        <f ca="1">_xll.meDateFromTenor(W27,"-1D","PRECEDING","SYB:LNB")</f>
        <v>43473</v>
      </c>
      <c r="X28" s="15">
        <f ca="1">_xll.BDH(X$9,"PX_LAST",W28,W28)%</f>
        <v>6.1699999999999995E-5</v>
      </c>
    </row>
    <row r="29" spans="1:24">
      <c r="A29">
        <v>17</v>
      </c>
      <c r="B29" s="6">
        <f ca="1">_xll.meDateFromTenor(B28,"-1D","PRECEDING","TGT")</f>
        <v>43473</v>
      </c>
      <c r="C29" s="15">
        <f ca="1">_xll.BDH(C$9,"PX_LAST",B29,B29)%</f>
        <v>-3.0799999999999998E-3</v>
      </c>
      <c r="D29">
        <v>17</v>
      </c>
      <c r="E29" s="6">
        <f ca="1">_xll.meDateFromTenor(E28,"-1D","PRECEDING","TGT")</f>
        <v>43473</v>
      </c>
      <c r="F29" s="15">
        <f ca="1">_xll.BDH(F$9,"PX_LAST",E29,E29)%</f>
        <v>-2.3599999999999997E-3</v>
      </c>
      <c r="G29">
        <v>17</v>
      </c>
      <c r="H29" s="6">
        <f ca="1">_xll.meDateFromTenor(H28,"-1D","PRECEDING","NYB:LNB")</f>
        <v>43472</v>
      </c>
      <c r="I29" s="15">
        <f ca="1">_xll.BDH(I$9,"PX_LAST",H29,H29)%</f>
        <v>2.7968099999999999E-2</v>
      </c>
      <c r="J29">
        <v>17</v>
      </c>
      <c r="K29" s="6">
        <f ca="1">_xll.meDateFromTenor(K28,"-1D","PRECEDING","NYB:LNB")</f>
        <v>43472</v>
      </c>
      <c r="L29" s="15">
        <f ca="1">_xll.BDH(L$9,"PX_LAST",K29,K29)%</f>
        <v>2.8487499999999999E-2</v>
      </c>
      <c r="M29">
        <v>17</v>
      </c>
      <c r="N29" s="6">
        <f ca="1">_xll.meDateFromTenor(N28,"-1D","PRECEDING","SYB:LNB")</f>
        <v>43472</v>
      </c>
      <c r="O29" s="15">
        <f ca="1">_xll.BDH(O$9,"PX_LAST",N29,N29)%</f>
        <v>2.06E-2</v>
      </c>
      <c r="P29">
        <v>17</v>
      </c>
      <c r="Q29" s="6">
        <f ca="1">_xll.meDateFromTenor(Q28,"-1D","PRECEDING","SYB:LNB")</f>
        <v>43472</v>
      </c>
      <c r="R29" s="15">
        <f ca="1">_xll.BDH(R$9,"PX_LAST",Q29,Q29)%</f>
        <v>2.18E-2</v>
      </c>
      <c r="S29">
        <v>17</v>
      </c>
      <c r="T29" s="6">
        <f ca="1">_xll.meDateFromTenor(T28,"-1D","PRECEDING","SYB:LNB")</f>
        <v>43472</v>
      </c>
      <c r="U29" s="15">
        <f ca="1">_xll.BDH(U$9,"PX_LAST",T29,T29)%</f>
        <v>-7.1999999999999994E-4</v>
      </c>
      <c r="V29">
        <v>17</v>
      </c>
      <c r="W29" s="6">
        <f ca="1">_xll.meDateFromTenor(W28,"-1D","PRECEDING","SYB:LNB")</f>
        <v>43472</v>
      </c>
      <c r="X29" s="15">
        <f ca="1">_xll.BDH(X$9,"PX_LAST",W29,W29)%</f>
        <v>5.4999999999999995E-5</v>
      </c>
    </row>
    <row r="30" spans="1:24">
      <c r="A30">
        <v>18</v>
      </c>
      <c r="B30" s="6">
        <f ca="1">_xll.meDateFromTenor(B29,"-1D","PRECEDING","TGT")</f>
        <v>43472</v>
      </c>
      <c r="C30" s="15">
        <f ca="1">_xll.BDH(C$9,"PX_LAST",B30,B30)%</f>
        <v>-3.0999999999999999E-3</v>
      </c>
      <c r="D30">
        <v>18</v>
      </c>
      <c r="E30" s="6">
        <f ca="1">_xll.meDateFromTenor(E29,"-1D","PRECEDING","TGT")</f>
        <v>43472</v>
      </c>
      <c r="F30" s="15">
        <f ca="1">_xll.BDH(F$9,"PX_LAST",E30,E30)%</f>
        <v>-2.3599999999999997E-3</v>
      </c>
      <c r="G30">
        <v>18</v>
      </c>
      <c r="H30" s="6">
        <f ca="1">_xll.meDateFromTenor(H29,"-1D","PRECEDING","NYB:LNB")</f>
        <v>43469</v>
      </c>
      <c r="I30" s="15">
        <f ca="1">_xll.BDH(I$9,"PX_LAST",H30,H30)%</f>
        <v>2.8038799999999999E-2</v>
      </c>
      <c r="J30">
        <v>18</v>
      </c>
      <c r="K30" s="6">
        <f ca="1">_xll.meDateFromTenor(K29,"-1D","PRECEDING","NYB:LNB")</f>
        <v>43469</v>
      </c>
      <c r="L30" s="15">
        <f ca="1">_xll.BDH(L$9,"PX_LAST",K30,K30)%</f>
        <v>2.85575E-2</v>
      </c>
      <c r="M30">
        <v>18</v>
      </c>
      <c r="N30" s="6">
        <f ca="1">_xll.meDateFromTenor(N29,"-1D","PRECEDING","SYB:LNB")</f>
        <v>43469</v>
      </c>
      <c r="O30" s="15">
        <f ca="1">_xll.BDH(O$9,"PX_LAST",N30,N30)%</f>
        <v>2.06E-2</v>
      </c>
      <c r="P30">
        <v>18</v>
      </c>
      <c r="Q30" s="6">
        <f ca="1">_xll.meDateFromTenor(Q29,"-1D","PRECEDING","SYB:LNB")</f>
        <v>43469</v>
      </c>
      <c r="R30" s="15">
        <f ca="1">_xll.BDH(R$9,"PX_LAST",Q30,Q30)%</f>
        <v>2.18E-2</v>
      </c>
      <c r="S30">
        <v>18</v>
      </c>
      <c r="T30" s="6">
        <f ca="1">_xll.meDateFromTenor(T29,"-1D","PRECEDING","SYB:LNB")</f>
        <v>43469</v>
      </c>
      <c r="U30" s="15">
        <f ca="1">_xll.BDH(U$9,"PX_LAST",T30,T30)%</f>
        <v>-7.45E-4</v>
      </c>
      <c r="V30">
        <v>18</v>
      </c>
      <c r="W30" s="6">
        <f ca="1">_xll.meDateFromTenor(W29,"-1D","PRECEDING","SYB:LNB")</f>
        <v>43469</v>
      </c>
      <c r="X30" s="15">
        <f ca="1">_xll.BDH(X$9,"PX_LAST",W30,W30)%</f>
        <v>7.3299999999999993E-5</v>
      </c>
    </row>
    <row r="31" spans="1:24">
      <c r="A31">
        <v>19</v>
      </c>
      <c r="B31" s="6">
        <f ca="1">_xll.meDateFromTenor(B30,"-1D","PRECEDING","TGT")</f>
        <v>43469</v>
      </c>
      <c r="C31" s="15">
        <f ca="1">_xll.BDH(C$9,"PX_LAST",B31,B31)%</f>
        <v>-3.0899999999999999E-3</v>
      </c>
      <c r="D31">
        <v>19</v>
      </c>
      <c r="E31" s="6">
        <f ca="1">_xll.meDateFromTenor(E30,"-1D","PRECEDING","TGT")</f>
        <v>43469</v>
      </c>
      <c r="F31" s="15">
        <f ca="1">_xll.BDH(F$9,"PX_LAST",E31,E31)%</f>
        <v>-2.3699999999999997E-3</v>
      </c>
      <c r="G31">
        <v>19</v>
      </c>
      <c r="H31" s="6">
        <f ca="1">_xll.meDateFromTenor(H30,"-1D","PRECEDING","NYB:LNB")</f>
        <v>43468</v>
      </c>
      <c r="I31" s="15">
        <f ca="1">_xll.BDH(I$9,"PX_LAST",H31,H31)%</f>
        <v>2.7949999999999999E-2</v>
      </c>
      <c r="J31">
        <v>19</v>
      </c>
      <c r="K31" s="6">
        <f ca="1">_xll.meDateFromTenor(K30,"-1D","PRECEDING","NYB:LNB")</f>
        <v>43468</v>
      </c>
      <c r="L31" s="15">
        <f ca="1">_xll.BDH(L$9,"PX_LAST",K31,K31)%</f>
        <v>2.8588800000000001E-2</v>
      </c>
      <c r="M31">
        <v>19</v>
      </c>
      <c r="N31" s="6">
        <f ca="1">_xll.meDateFromTenor(N30,"-1D","PRECEDING","SYB:LNB")</f>
        <v>43468</v>
      </c>
      <c r="O31" s="15">
        <f ca="1">_xll.BDH(O$9,"PX_LAST",N31,N31)%</f>
        <v>2.06E-2</v>
      </c>
      <c r="P31">
        <v>19</v>
      </c>
      <c r="Q31" s="6">
        <f ca="1">_xll.meDateFromTenor(Q30,"-1D","PRECEDING","SYB:LNB")</f>
        <v>43468</v>
      </c>
      <c r="R31" s="15">
        <f ca="1">_xll.BDH(R$9,"PX_LAST",Q31,Q31)%</f>
        <v>2.18E-2</v>
      </c>
      <c r="S31">
        <v>19</v>
      </c>
      <c r="T31" s="6">
        <f ca="1">_xll.meDateFromTenor(T30,"-1D","PRECEDING","SYB:LNB")</f>
        <v>43468</v>
      </c>
      <c r="U31" s="15">
        <f ca="1">_xll.BDH(U$9,"PX_LAST",T31,T31)%</f>
        <v>-7.5670000000000002E-4</v>
      </c>
      <c r="V31">
        <v>19</v>
      </c>
      <c r="W31" s="6">
        <f ca="1">_xll.meDateFromTenor(W30,"-1D","PRECEDING","SYB:LNB")</f>
        <v>43468</v>
      </c>
      <c r="X31" s="15">
        <f ca="1">_xll.BDH(X$9,"PX_LAST",W31,W31)%</f>
        <v>9.3299999999999991E-5</v>
      </c>
    </row>
    <row r="32" spans="1:24">
      <c r="A32">
        <v>20</v>
      </c>
      <c r="B32" s="6">
        <f ca="1">_xll.meDateFromTenor(B31,"-1D","PRECEDING","TGT")</f>
        <v>43468</v>
      </c>
      <c r="C32" s="15">
        <f ca="1">_xll.BDH(C$9,"PX_LAST",B32,B32)%</f>
        <v>-3.0899999999999999E-3</v>
      </c>
      <c r="D32">
        <v>20</v>
      </c>
      <c r="E32" s="6">
        <f ca="1">_xll.meDateFromTenor(E31,"-1D","PRECEDING","TGT")</f>
        <v>43468</v>
      </c>
      <c r="F32" s="15">
        <f ca="1">_xll.BDH(F$9,"PX_LAST",E32,E32)%</f>
        <v>-2.3699999999999997E-3</v>
      </c>
      <c r="G32">
        <v>20</v>
      </c>
      <c r="H32" s="6">
        <f ca="1">_xll.meDateFromTenor(H31,"-1D","PRECEDING","NYB:LNB")</f>
        <v>43467</v>
      </c>
      <c r="I32" s="15">
        <f ca="1">_xll.BDH(I$9,"PX_LAST",H32,H32)%</f>
        <v>2.79388E-2</v>
      </c>
      <c r="J32">
        <v>20</v>
      </c>
      <c r="K32" s="6">
        <f ca="1">_xll.meDateFromTenor(K31,"-1D","PRECEDING","NYB:LNB")</f>
        <v>43467</v>
      </c>
      <c r="L32" s="15">
        <f ca="1">_xll.BDH(L$9,"PX_LAST",K32,K32)%</f>
        <v>2.8739400000000002E-2</v>
      </c>
      <c r="M32">
        <v>20</v>
      </c>
      <c r="N32" s="6">
        <f ca="1">_xll.meDateFromTenor(N31,"-1D","PRECEDING","SYB:LNB")</f>
        <v>43467</v>
      </c>
      <c r="O32" s="15">
        <f ca="1">_xll.BDH(O$9,"PX_LAST",N32,N32)%</f>
        <v>2.0799999999999999E-2</v>
      </c>
      <c r="P32">
        <v>20</v>
      </c>
      <c r="Q32" s="6">
        <f ca="1">_xll.meDateFromTenor(Q31,"-1D","PRECEDING","SYB:LNB")</f>
        <v>43467</v>
      </c>
      <c r="R32" s="15">
        <f ca="1">_xll.BDH(R$9,"PX_LAST",Q32,Q32)%</f>
        <v>2.2099999999999998E-2</v>
      </c>
      <c r="S32">
        <v>20</v>
      </c>
      <c r="T32" s="6">
        <f ca="1">_xll.meDateFromTenor(T31,"-1D","PRECEDING","SYB:LNB")</f>
        <v>43467</v>
      </c>
      <c r="U32" s="15">
        <f ca="1">_xll.BDH(U$9,"PX_LAST",T32,T32)%</f>
        <v>-7.3999999999999999E-4</v>
      </c>
      <c r="V32">
        <v>20</v>
      </c>
      <c r="W32" s="6">
        <f ca="1">_xll.meDateFromTenor(W31,"-1D","PRECEDING","SYB:LNB")</f>
        <v>43467</v>
      </c>
      <c r="X32" s="15">
        <f ca="1">_xll.BDH(X$9,"PX_LAST",W32,W32)%</f>
        <v>6.4999999999999994E-5</v>
      </c>
    </row>
    <row r="33" spans="1:24">
      <c r="A33">
        <v>21</v>
      </c>
      <c r="B33" s="6">
        <f ca="1">_xll.meDateFromTenor(B32,"-1D","PRECEDING","TGT")</f>
        <v>43467</v>
      </c>
      <c r="C33" s="15">
        <f ca="1">_xll.BDH(C$9,"PX_LAST",B33,B33)%</f>
        <v>-3.0999999999999999E-3</v>
      </c>
      <c r="D33">
        <v>21</v>
      </c>
      <c r="E33" s="6">
        <f ca="1">_xll.meDateFromTenor(E32,"-1D","PRECEDING","TGT")</f>
        <v>43467</v>
      </c>
      <c r="F33" s="15">
        <f ca="1">_xll.BDH(F$9,"PX_LAST",E33,E33)%</f>
        <v>-2.3799999999999997E-3</v>
      </c>
      <c r="G33">
        <v>21</v>
      </c>
      <c r="H33" s="6">
        <f ca="1">_xll.meDateFromTenor(H32,"-1D","PRECEDING","NYB:LNB")</f>
        <v>43465</v>
      </c>
      <c r="I33" s="15">
        <f ca="1">_xll.BDH(I$9,"PX_LAST",H33,H33)%</f>
        <v>2.8076300000000002E-2</v>
      </c>
      <c r="J33">
        <v>21</v>
      </c>
      <c r="K33" s="6">
        <f ca="1">_xll.meDateFromTenor(K32,"-1D","PRECEDING","NYB:LNB")</f>
        <v>43465</v>
      </c>
      <c r="L33" s="15">
        <f ca="1">_xll.BDH(L$9,"PX_LAST",K33,K33)%</f>
        <v>2.8756300000000002E-2</v>
      </c>
      <c r="M33">
        <v>21</v>
      </c>
      <c r="N33" s="6">
        <f ca="1">_xll.meDateFromTenor(N32,"-1D","PRECEDING","SYB:LNB")</f>
        <v>43465</v>
      </c>
      <c r="O33" s="15">
        <f ca="1">_xll.BDH(O$9,"PX_LAST",N33,N33)%</f>
        <v>2.0899999999999998E-2</v>
      </c>
      <c r="P33">
        <v>21</v>
      </c>
      <c r="Q33" s="6">
        <f ca="1">_xll.meDateFromTenor(Q32,"-1D","PRECEDING","SYB:LNB")</f>
        <v>43465</v>
      </c>
      <c r="R33" s="15">
        <f ca="1">_xll.BDH(R$9,"PX_LAST",Q33,Q33)%</f>
        <v>2.2250000000000002E-2</v>
      </c>
      <c r="S33">
        <v>21</v>
      </c>
      <c r="T33" s="6">
        <f ca="1">_xll.meDateFromTenor(T32,"-1D","PRECEDING","SYB:LNB")</f>
        <v>43465</v>
      </c>
      <c r="U33" s="15">
        <f ca="1">_xll.BDH(U$9,"PX_LAST",T33,T33)%</f>
        <v>-7.2669999999999994E-4</v>
      </c>
      <c r="V33">
        <v>21</v>
      </c>
      <c r="W33" s="6">
        <f ca="1">_xll.meDateFromTenor(W32,"-1D","PRECEDING","SYB:LNB")</f>
        <v>43465</v>
      </c>
      <c r="X33" s="15">
        <f ca="1">_xll.BDH(X$9,"PX_LAST",W33,W33)%</f>
        <v>9.8300000000000004E-5</v>
      </c>
    </row>
    <row r="34" spans="1:24">
      <c r="A34">
        <v>22</v>
      </c>
      <c r="B34" s="6">
        <f ca="1">_xll.meDateFromTenor(B33,"-1D","PRECEDING","TGT")</f>
        <v>43465</v>
      </c>
      <c r="C34" s="15">
        <f ca="1">_xll.BDH(C$9,"PX_LAST",B34,B34)%</f>
        <v>-3.0899999999999999E-3</v>
      </c>
      <c r="D34">
        <v>22</v>
      </c>
      <c r="E34" s="6">
        <f ca="1">_xll.meDateFromTenor(E33,"-1D","PRECEDING","TGT")</f>
        <v>43465</v>
      </c>
      <c r="F34" s="15">
        <f ca="1">_xll.BDH(F$9,"PX_LAST",E34,E34)%</f>
        <v>-2.3699999999999997E-3</v>
      </c>
      <c r="G34">
        <v>22</v>
      </c>
      <c r="H34" s="6">
        <f ca="1">_xll.meDateFromTenor(H33,"-1D","PRECEDING","NYB:LNB")</f>
        <v>43462</v>
      </c>
      <c r="I34" s="15">
        <f ca="1">_xll.BDH(I$9,"PX_LAST",H34,H34)%</f>
        <v>2.7970000000000002E-2</v>
      </c>
      <c r="J34">
        <v>22</v>
      </c>
      <c r="K34" s="6">
        <f ca="1">_xll.meDateFromTenor(K33,"-1D","PRECEDING","NYB:LNB")</f>
        <v>43462</v>
      </c>
      <c r="L34" s="15">
        <f ca="1">_xll.BDH(L$9,"PX_LAST",K34,K34)%</f>
        <v>2.8731299999999998E-2</v>
      </c>
      <c r="M34">
        <v>22</v>
      </c>
      <c r="N34" s="6">
        <f ca="1">_xll.meDateFromTenor(N33,"-1D","PRECEDING","SYB:LNB")</f>
        <v>43462</v>
      </c>
      <c r="O34" s="15">
        <f ca="1">_xll.BDH(O$9,"PX_LAST",N34,N34)%</f>
        <v>2.0887000000000003E-2</v>
      </c>
      <c r="P34">
        <v>22</v>
      </c>
      <c r="Q34" s="6">
        <f ca="1">_xll.meDateFromTenor(Q33,"-1D","PRECEDING","SYB:LNB")</f>
        <v>43462</v>
      </c>
      <c r="R34" s="15">
        <f ca="1">_xll.BDH(R$9,"PX_LAST",Q34,Q34)%</f>
        <v>2.2200000000000001E-2</v>
      </c>
      <c r="S34">
        <v>22</v>
      </c>
      <c r="T34" s="6">
        <f ca="1">_xll.meDateFromTenor(T33,"-1D","PRECEDING","SYB:LNB")</f>
        <v>43462</v>
      </c>
      <c r="U34" s="15">
        <f ca="1">_xll.BDH(U$9,"PX_LAST",T34,T34)%</f>
        <v>-7.5829999999999995E-4</v>
      </c>
      <c r="V34">
        <v>22</v>
      </c>
      <c r="W34" s="6">
        <f ca="1">_xll.meDateFromTenor(W33,"-1D","PRECEDING","SYB:LNB")</f>
        <v>43462</v>
      </c>
      <c r="X34" s="15">
        <f ca="1">_xll.BDH(X$9,"PX_LAST",W34,W34)%</f>
        <v>6.1699999999999995E-5</v>
      </c>
    </row>
    <row r="35" spans="1:24">
      <c r="A35">
        <v>23</v>
      </c>
      <c r="B35" s="6">
        <f ca="1">_xll.meDateFromTenor(B34,"-1D","PRECEDING","TGT")</f>
        <v>43462</v>
      </c>
      <c r="C35" s="15">
        <f ca="1">_xll.BDH(C$9,"PX_LAST",B35,B35)%</f>
        <v>-3.0999999999999999E-3</v>
      </c>
      <c r="D35">
        <v>23</v>
      </c>
      <c r="E35" s="6">
        <f ca="1">_xll.meDateFromTenor(E34,"-1D","PRECEDING","TGT")</f>
        <v>43462</v>
      </c>
      <c r="F35" s="15">
        <f ca="1">_xll.BDH(F$9,"PX_LAST",E35,E35)%</f>
        <v>-2.3599999999999997E-3</v>
      </c>
      <c r="G35">
        <v>23</v>
      </c>
      <c r="H35" s="6">
        <f ca="1">_xll.meDateFromTenor(H34,"-1D","PRECEDING","NYB:LNB")</f>
        <v>43461</v>
      </c>
      <c r="I35" s="15">
        <f ca="1">_xll.BDH(I$9,"PX_LAST",H35,H35)%</f>
        <v>2.8029999999999999E-2</v>
      </c>
      <c r="J35">
        <v>23</v>
      </c>
      <c r="K35" s="6">
        <f ca="1">_xll.meDateFromTenor(K34,"-1D","PRECEDING","NYB:LNB")</f>
        <v>43461</v>
      </c>
      <c r="L35" s="15">
        <f ca="1">_xll.BDH(L$9,"PX_LAST",K35,K35)%</f>
        <v>2.8830000000000001E-2</v>
      </c>
      <c r="M35">
        <v>23</v>
      </c>
      <c r="N35" s="6">
        <f ca="1">_xll.meDateFromTenor(N34,"-1D","PRECEDING","SYB:LNB")</f>
        <v>43461</v>
      </c>
      <c r="O35" s="15">
        <f ca="1">_xll.BDH(O$9,"PX_LAST",N35,N35)%</f>
        <v>2.0887000000000003E-2</v>
      </c>
      <c r="P35">
        <v>23</v>
      </c>
      <c r="Q35" s="6">
        <f ca="1">_xll.meDateFromTenor(Q34,"-1D","PRECEDING","SYB:LNB")</f>
        <v>43461</v>
      </c>
      <c r="R35" s="15">
        <f ca="1">_xll.BDH(R$9,"PX_LAST",Q35,Q35)%</f>
        <v>2.215E-2</v>
      </c>
      <c r="S35">
        <v>23</v>
      </c>
      <c r="T35" s="6">
        <f ca="1">_xll.meDateFromTenor(T34,"-1D","PRECEDING","SYB:LNB")</f>
        <v>43461</v>
      </c>
      <c r="U35" s="15">
        <f ca="1">_xll.BDH(U$9,"PX_LAST",T35,T35)%</f>
        <v>-7.1499999999999992E-4</v>
      </c>
      <c r="V35">
        <v>23</v>
      </c>
      <c r="W35" s="6">
        <f ca="1">_xll.meDateFromTenor(W34,"-1D","PRECEDING","SYB:LNB")</f>
        <v>43461</v>
      </c>
      <c r="X35" s="15">
        <f ca="1">_xll.BDH(X$9,"PX_LAST",W35,W35)%</f>
        <v>1.167E-4</v>
      </c>
    </row>
    <row r="36" spans="1:24">
      <c r="A36">
        <v>24</v>
      </c>
      <c r="B36" s="6">
        <f ca="1">_xll.meDateFromTenor(B35,"-1D","PRECEDING","TGT")</f>
        <v>43461</v>
      </c>
      <c r="C36" s="15">
        <f ca="1">_xll.BDH(C$9,"PX_LAST",B36,B36)%</f>
        <v>-3.0899999999999999E-3</v>
      </c>
      <c r="D36">
        <v>24</v>
      </c>
      <c r="E36" s="6">
        <f ca="1">_xll.meDateFromTenor(E35,"-1D","PRECEDING","TGT")</f>
        <v>43461</v>
      </c>
      <c r="F36" s="15">
        <f ca="1">_xll.BDH(F$9,"PX_LAST",E36,E36)%</f>
        <v>-2.3699999999999997E-3</v>
      </c>
      <c r="G36">
        <v>24</v>
      </c>
      <c r="H36" s="6">
        <f ca="1">_xll.meDateFromTenor(H35,"-1D","PRECEDING","NYB:LNB")</f>
        <v>43458</v>
      </c>
      <c r="I36" s="15">
        <f ca="1">_xll.BDH(I$9,"PX_LAST",H36,H36)%</f>
        <v>2.81344E-2</v>
      </c>
      <c r="J36">
        <v>24</v>
      </c>
      <c r="K36" s="6">
        <f ca="1">_xll.meDateFromTenor(K35,"-1D","PRECEDING","NYB:LNB")</f>
        <v>43458</v>
      </c>
      <c r="L36" s="15">
        <f ca="1">_xll.BDH(L$9,"PX_LAST",K36,K36)%</f>
        <v>2.8937499999999998E-2</v>
      </c>
      <c r="M36">
        <v>24</v>
      </c>
      <c r="N36" s="6">
        <f ca="1">_xll.meDateFromTenor(N35,"-1D","PRECEDING","SYB:LNB")</f>
        <v>43458</v>
      </c>
      <c r="O36" s="15">
        <f ca="1">_xll.BDH(O$9,"PX_LAST",N36,N36)%</f>
        <v>2.0799999999999999E-2</v>
      </c>
      <c r="P36">
        <v>24</v>
      </c>
      <c r="Q36" s="6">
        <f ca="1">_xll.meDateFromTenor(Q35,"-1D","PRECEDING","SYB:LNB")</f>
        <v>43458</v>
      </c>
      <c r="R36" s="15">
        <f ca="1">_xll.BDH(R$9,"PX_LAST",Q36,Q36)%</f>
        <v>2.205E-2</v>
      </c>
      <c r="S36">
        <v>24</v>
      </c>
      <c r="T36" s="6">
        <f ca="1">_xll.meDateFromTenor(T35,"-1D","PRECEDING","SYB:LNB")</f>
        <v>43458</v>
      </c>
      <c r="U36" s="15">
        <f ca="1">_xll.BDH(U$9,"PX_LAST",T36,T36)%</f>
        <v>-7.6329999999999996E-4</v>
      </c>
      <c r="V36">
        <v>24</v>
      </c>
      <c r="W36" s="6">
        <f ca="1">_xll.meDateFromTenor(W35,"-1D","PRECEDING","SYB:LNB")</f>
        <v>43458</v>
      </c>
      <c r="X36" s="15">
        <f ca="1">_xll.BDH(X$9,"PX_LAST",W36,W36)%</f>
        <v>6.8300000000000007E-5</v>
      </c>
    </row>
    <row r="37" spans="1:24">
      <c r="A37">
        <v>25</v>
      </c>
      <c r="B37" s="6">
        <f ca="1">_xll.meDateFromTenor(B36,"-1D","PRECEDING","TGT")</f>
        <v>43458</v>
      </c>
      <c r="C37" s="15">
        <f ca="1">_xll.BDH(C$9,"PX_LAST",B37,B37)%</f>
        <v>-3.0899999999999999E-3</v>
      </c>
      <c r="D37">
        <v>25</v>
      </c>
      <c r="E37" s="6">
        <f ca="1">_xll.meDateFromTenor(E36,"-1D","PRECEDING","TGT")</f>
        <v>43458</v>
      </c>
      <c r="F37" s="15">
        <f ca="1">_xll.BDH(F$9,"PX_LAST",E37,E37)%</f>
        <v>-2.3699999999999997E-3</v>
      </c>
      <c r="G37">
        <v>25</v>
      </c>
      <c r="H37" s="6">
        <f ca="1">_xll.meDateFromTenor(H36,"-1D","PRECEDING","NYB:LNB")</f>
        <v>43455</v>
      </c>
      <c r="I37" s="15">
        <f ca="1">_xll.BDH(I$9,"PX_LAST",H37,H37)%</f>
        <v>2.82163E-2</v>
      </c>
      <c r="J37">
        <v>25</v>
      </c>
      <c r="K37" s="6">
        <f ca="1">_xll.meDateFromTenor(K36,"-1D","PRECEDING","NYB:LNB")</f>
        <v>43455</v>
      </c>
      <c r="L37" s="15">
        <f ca="1">_xll.BDH(L$9,"PX_LAST",K37,K37)%</f>
        <v>2.9078800000000002E-2</v>
      </c>
      <c r="M37">
        <v>25</v>
      </c>
      <c r="N37" s="6">
        <f ca="1">_xll.meDateFromTenor(N36,"-1D","PRECEDING","SYB:LNB")</f>
        <v>43455</v>
      </c>
      <c r="O37" s="15">
        <f ca="1">_xll.BDH(O$9,"PX_LAST",N37,N37)%</f>
        <v>2.07E-2</v>
      </c>
      <c r="P37">
        <v>25</v>
      </c>
      <c r="Q37" s="6">
        <f ca="1">_xll.meDateFromTenor(Q36,"-1D","PRECEDING","SYB:LNB")</f>
        <v>43455</v>
      </c>
      <c r="R37" s="15">
        <f ca="1">_xll.BDH(R$9,"PX_LAST",Q37,Q37)%</f>
        <v>2.2000000000000002E-2</v>
      </c>
      <c r="S37">
        <v>25</v>
      </c>
      <c r="T37" s="6">
        <f ca="1">_xll.meDateFromTenor(T36,"-1D","PRECEDING","SYB:LNB")</f>
        <v>43455</v>
      </c>
      <c r="U37" s="15">
        <f ca="1">_xll.BDH(U$9,"PX_LAST",T37,T37)%</f>
        <v>-7.5670000000000002E-4</v>
      </c>
      <c r="V37">
        <v>25</v>
      </c>
      <c r="W37" s="6">
        <f ca="1">_xll.meDateFromTenor(W36,"-1D","PRECEDING","SYB:LNB")</f>
        <v>43455</v>
      </c>
      <c r="X37" s="15">
        <f ca="1">_xll.BDH(X$9,"PX_LAST",W37,W37)%</f>
        <v>1.1169999999999999E-4</v>
      </c>
    </row>
    <row r="38" spans="1:24">
      <c r="A38">
        <v>26</v>
      </c>
      <c r="B38" s="6">
        <f ca="1">_xll.meDateFromTenor(B37,"-1D","PRECEDING","TGT")</f>
        <v>43455</v>
      </c>
      <c r="C38" s="15">
        <f ca="1">_xll.BDH(C$9,"PX_LAST",B38,B38)%</f>
        <v>-3.0999999999999999E-3</v>
      </c>
      <c r="D38">
        <v>26</v>
      </c>
      <c r="E38" s="6">
        <f ca="1">_xll.meDateFromTenor(E37,"-1D","PRECEDING","TGT")</f>
        <v>43455</v>
      </c>
      <c r="F38" s="15">
        <f ca="1">_xll.BDH(F$9,"PX_LAST",E38,E38)%</f>
        <v>-2.3799999999999997E-3</v>
      </c>
      <c r="G38">
        <v>26</v>
      </c>
      <c r="H38" s="6">
        <f ca="1">_xll.meDateFromTenor(H37,"-1D","PRECEDING","NYB:LNB")</f>
        <v>43454</v>
      </c>
      <c r="I38" s="15">
        <f ca="1">_xll.BDH(I$9,"PX_LAST",H38,H38)%</f>
        <v>2.8237499999999999E-2</v>
      </c>
      <c r="J38">
        <v>26</v>
      </c>
      <c r="K38" s="6">
        <f ca="1">_xll.meDateFromTenor(K37,"-1D","PRECEDING","NYB:LNB")</f>
        <v>43454</v>
      </c>
      <c r="L38" s="15">
        <f ca="1">_xll.BDH(L$9,"PX_LAST",K38,K38)%</f>
        <v>2.8999999999999998E-2</v>
      </c>
      <c r="M38">
        <v>26</v>
      </c>
      <c r="N38" s="6">
        <f ca="1">_xll.meDateFromTenor(N37,"-1D","PRECEDING","SYB:LNB")</f>
        <v>43454</v>
      </c>
      <c r="O38" s="15">
        <f ca="1">_xll.BDH(O$9,"PX_LAST",N38,N38)%</f>
        <v>2.07E-2</v>
      </c>
      <c r="P38">
        <v>26</v>
      </c>
      <c r="Q38" s="6">
        <f ca="1">_xll.meDateFromTenor(Q37,"-1D","PRECEDING","SYB:LNB")</f>
        <v>43454</v>
      </c>
      <c r="R38" s="15">
        <f ca="1">_xll.BDH(R$9,"PX_LAST",Q38,Q38)%</f>
        <v>2.1899999999999999E-2</v>
      </c>
      <c r="S38">
        <v>26</v>
      </c>
      <c r="T38" s="6">
        <f ca="1">_xll.meDateFromTenor(T37,"-1D","PRECEDING","SYB:LNB")</f>
        <v>43454</v>
      </c>
      <c r="U38" s="15">
        <f ca="1">_xll.BDH(U$9,"PX_LAST",T38,T38)%</f>
        <v>-8.5169999999999994E-4</v>
      </c>
      <c r="V38">
        <v>26</v>
      </c>
      <c r="W38" s="6">
        <f ca="1">_xll.meDateFromTenor(W37,"-1D","PRECEDING","SYB:LNB")</f>
        <v>43454</v>
      </c>
      <c r="X38" s="15">
        <f ca="1">_xll.BDH(X$9,"PX_LAST",W38,W38)%</f>
        <v>6.8300000000000007E-5</v>
      </c>
    </row>
    <row r="39" spans="1:24">
      <c r="A39">
        <v>27</v>
      </c>
      <c r="B39" s="6">
        <f ca="1">_xll.meDateFromTenor(B38,"-1D","PRECEDING","TGT")</f>
        <v>43454</v>
      </c>
      <c r="C39" s="15">
        <f ca="1">_xll.BDH(C$9,"PX_LAST",B39,B39)%</f>
        <v>-3.0999999999999999E-3</v>
      </c>
      <c r="D39">
        <v>27</v>
      </c>
      <c r="E39" s="6">
        <f ca="1">_xll.meDateFromTenor(E38,"-1D","PRECEDING","TGT")</f>
        <v>43454</v>
      </c>
      <c r="F39" s="15">
        <f ca="1">_xll.BDH(F$9,"PX_LAST",E39,E39)%</f>
        <v>-2.3799999999999997E-3</v>
      </c>
      <c r="G39">
        <v>27</v>
      </c>
      <c r="H39" s="6">
        <f ca="1">_xll.meDateFromTenor(H38,"-1D","PRECEDING","NYB:LNB")</f>
        <v>43453</v>
      </c>
      <c r="I39" s="15">
        <f ca="1">_xll.BDH(I$9,"PX_LAST",H39,H39)%</f>
        <v>2.7896299999999999E-2</v>
      </c>
      <c r="J39">
        <v>27</v>
      </c>
      <c r="K39" s="6">
        <f ca="1">_xll.meDateFromTenor(K38,"-1D","PRECEDING","NYB:LNB")</f>
        <v>43453</v>
      </c>
      <c r="L39" s="15">
        <f ca="1">_xll.BDH(L$9,"PX_LAST",K39,K39)%</f>
        <v>2.87088E-2</v>
      </c>
      <c r="M39">
        <v>27</v>
      </c>
      <c r="N39" s="6">
        <f ca="1">_xll.meDateFromTenor(N38,"-1D","PRECEDING","SYB:LNB")</f>
        <v>43453</v>
      </c>
      <c r="O39" s="15">
        <f ca="1">_xll.BDH(O$9,"PX_LAST",N39,N39)%</f>
        <v>2.0442999999999999E-2</v>
      </c>
      <c r="P39">
        <v>27</v>
      </c>
      <c r="Q39" s="6">
        <f ca="1">_xll.meDateFromTenor(Q38,"-1D","PRECEDING","SYB:LNB")</f>
        <v>43453</v>
      </c>
      <c r="R39" s="15">
        <f ca="1">_xll.BDH(R$9,"PX_LAST",Q39,Q39)%</f>
        <v>2.1899999999999999E-2</v>
      </c>
      <c r="S39">
        <v>27</v>
      </c>
      <c r="T39" s="6">
        <f ca="1">_xll.meDateFromTenor(T38,"-1D","PRECEDING","SYB:LNB")</f>
        <v>43453</v>
      </c>
      <c r="U39" s="15">
        <f ca="1">_xll.BDH(U$9,"PX_LAST",T39,T39)%</f>
        <v>-9.2500000000000004E-4</v>
      </c>
      <c r="V39">
        <v>27</v>
      </c>
      <c r="W39" s="6">
        <f ca="1">_xll.meDateFromTenor(W38,"-1D","PRECEDING","SYB:LNB")</f>
        <v>43453</v>
      </c>
      <c r="X39" s="15">
        <f ca="1">_xll.BDH(X$9,"PX_LAST",W39,W39)%</f>
        <v>-5.0000000000000004E-6</v>
      </c>
    </row>
    <row r="40" spans="1:24">
      <c r="A40">
        <v>28</v>
      </c>
      <c r="B40" s="6">
        <f ca="1">_xll.meDateFromTenor(B39,"-1D","PRECEDING","TGT")</f>
        <v>43453</v>
      </c>
      <c r="C40" s="15">
        <f ca="1">_xll.BDH(C$9,"PX_LAST",B40,B40)%</f>
        <v>-3.0899999999999999E-3</v>
      </c>
      <c r="D40">
        <v>28</v>
      </c>
      <c r="E40" s="6">
        <f ca="1">_xll.meDateFromTenor(E39,"-1D","PRECEDING","TGT")</f>
        <v>43453</v>
      </c>
      <c r="F40" s="15">
        <f ca="1">_xll.BDH(F$9,"PX_LAST",E40,E40)%</f>
        <v>-2.3799999999999997E-3</v>
      </c>
      <c r="G40">
        <v>28</v>
      </c>
      <c r="H40" s="6">
        <f ca="1">_xll.meDateFromTenor(H39,"-1D","PRECEDING","NYB:LNB")</f>
        <v>43452</v>
      </c>
      <c r="I40" s="15">
        <f ca="1">_xll.BDH(I$9,"PX_LAST",H40,H40)%</f>
        <v>2.7919999999999997E-2</v>
      </c>
      <c r="J40">
        <v>28</v>
      </c>
      <c r="K40" s="6">
        <f ca="1">_xll.meDateFromTenor(K39,"-1D","PRECEDING","NYB:LNB")</f>
        <v>43452</v>
      </c>
      <c r="L40" s="15">
        <f ca="1">_xll.BDH(L$9,"PX_LAST",K40,K40)%</f>
        <v>2.8763800000000003E-2</v>
      </c>
      <c r="M40">
        <v>28</v>
      </c>
      <c r="N40" s="6">
        <f ca="1">_xll.meDateFromTenor(N39,"-1D","PRECEDING","SYB:LNB")</f>
        <v>43452</v>
      </c>
      <c r="O40" s="15">
        <f ca="1">_xll.BDH(O$9,"PX_LAST",N40,N40)%</f>
        <v>2.0299999999999999E-2</v>
      </c>
      <c r="P40">
        <v>28</v>
      </c>
      <c r="Q40" s="6">
        <f ca="1">_xll.meDateFromTenor(Q39,"-1D","PRECEDING","SYB:LNB")</f>
        <v>43452</v>
      </c>
      <c r="R40" s="15">
        <f ca="1">_xll.BDH(R$9,"PX_LAST",Q40,Q40)%</f>
        <v>2.1899999999999999E-2</v>
      </c>
      <c r="S40">
        <v>28</v>
      </c>
      <c r="T40" s="6">
        <f ca="1">_xll.meDateFromTenor(T39,"-1D","PRECEDING","SYB:LNB")</f>
        <v>43452</v>
      </c>
      <c r="U40" s="15">
        <f ca="1">_xll.BDH(U$9,"PX_LAST",T40,T40)%</f>
        <v>-9.2829999999999996E-4</v>
      </c>
      <c r="V40">
        <v>28</v>
      </c>
      <c r="W40" s="6">
        <f ca="1">_xll.meDateFromTenor(W39,"-1D","PRECEDING","SYB:LNB")</f>
        <v>43452</v>
      </c>
      <c r="X40" s="15">
        <f ca="1">_xll.BDH(X$9,"PX_LAST",W40,W40)%</f>
        <v>-2.0000000000000002E-5</v>
      </c>
    </row>
    <row r="41" spans="1:24">
      <c r="A41">
        <v>29</v>
      </c>
      <c r="B41" s="6">
        <f ca="1">_xll.meDateFromTenor(B40,"-1D","PRECEDING","TGT")</f>
        <v>43452</v>
      </c>
      <c r="C41" s="15">
        <f ca="1">_xll.BDH(C$9,"PX_LAST",B41,B41)%</f>
        <v>-3.1099999999999999E-3</v>
      </c>
      <c r="D41">
        <v>29</v>
      </c>
      <c r="E41" s="6">
        <f ca="1">_xll.meDateFromTenor(E40,"-1D","PRECEDING","TGT")</f>
        <v>43452</v>
      </c>
      <c r="F41" s="15">
        <f ca="1">_xll.BDH(F$9,"PX_LAST",E41,E41)%</f>
        <v>-2.3799999999999997E-3</v>
      </c>
      <c r="G41">
        <v>29</v>
      </c>
      <c r="H41" s="6">
        <f ca="1">_xll.meDateFromTenor(H40,"-1D","PRECEDING","NYB:LNB")</f>
        <v>43451</v>
      </c>
      <c r="I41" s="15">
        <f ca="1">_xll.BDH(I$9,"PX_LAST",H41,H41)%</f>
        <v>2.80363E-2</v>
      </c>
      <c r="J41">
        <v>29</v>
      </c>
      <c r="K41" s="6">
        <f ca="1">_xll.meDateFromTenor(K40,"-1D","PRECEDING","NYB:LNB")</f>
        <v>43451</v>
      </c>
      <c r="L41" s="15">
        <f ca="1">_xll.BDH(L$9,"PX_LAST",K41,K41)%</f>
        <v>2.9046300000000001E-2</v>
      </c>
      <c r="M41">
        <v>29</v>
      </c>
      <c r="N41" s="6">
        <f ca="1">_xll.meDateFromTenor(N40,"-1D","PRECEDING","SYB:LNB")</f>
        <v>43451</v>
      </c>
      <c r="O41" s="15">
        <f ca="1">_xll.BDH(O$9,"PX_LAST",N41,N41)%</f>
        <v>2.0299999999999999E-2</v>
      </c>
      <c r="P41">
        <v>29</v>
      </c>
      <c r="Q41" s="6">
        <f ca="1">_xll.meDateFromTenor(Q40,"-1D","PRECEDING","SYB:LNB")</f>
        <v>43451</v>
      </c>
      <c r="R41" s="15">
        <f ca="1">_xll.BDH(R$9,"PX_LAST",Q41,Q41)%</f>
        <v>2.18E-2</v>
      </c>
      <c r="S41">
        <v>29</v>
      </c>
      <c r="T41" s="6">
        <f ca="1">_xll.meDateFromTenor(T40,"-1D","PRECEDING","SYB:LNB")</f>
        <v>43451</v>
      </c>
      <c r="U41" s="15">
        <f ca="1">_xll.BDH(U$9,"PX_LAST",T41,T41)%</f>
        <v>-1.1299999999999999E-3</v>
      </c>
      <c r="V41">
        <v>29</v>
      </c>
      <c r="W41" s="6">
        <f ca="1">_xll.meDateFromTenor(W40,"-1D","PRECEDING","SYB:LNB")</f>
        <v>43451</v>
      </c>
      <c r="X41" s="15">
        <f ca="1">_xll.BDH(X$9,"PX_LAST",W41,W41)%</f>
        <v>-4.4999999999999996E-5</v>
      </c>
    </row>
    <row r="42" spans="1:24">
      <c r="A42">
        <v>30</v>
      </c>
      <c r="B42" s="6">
        <f ca="1">_xll.meDateFromTenor(B41,"-1D","PRECEDING","TGT")</f>
        <v>43451</v>
      </c>
      <c r="C42" s="15">
        <f ca="1">_xll.BDH(C$9,"PX_LAST",B42,B42)%</f>
        <v>-3.1099999999999999E-3</v>
      </c>
      <c r="D42">
        <v>30</v>
      </c>
      <c r="E42" s="6">
        <f ca="1">_xll.meDateFromTenor(E41,"-1D","PRECEDING","TGT")</f>
        <v>43451</v>
      </c>
      <c r="F42" s="15">
        <f ca="1">_xll.BDH(F$9,"PX_LAST",E42,E42)%</f>
        <v>-2.3699999999999997E-3</v>
      </c>
      <c r="G42">
        <v>30</v>
      </c>
      <c r="H42" s="6">
        <f ca="1">_xll.meDateFromTenor(H41,"-1D","PRECEDING","NYB:LNB")</f>
        <v>43448</v>
      </c>
      <c r="I42" s="15">
        <f ca="1">_xll.BDH(I$9,"PX_LAST",H42,H42)%</f>
        <v>2.8006899999999998E-2</v>
      </c>
      <c r="J42">
        <v>30</v>
      </c>
      <c r="K42" s="6">
        <f ca="1">_xll.meDateFromTenor(K41,"-1D","PRECEDING","NYB:LNB")</f>
        <v>43448</v>
      </c>
      <c r="L42" s="15">
        <f ca="1">_xll.BDH(L$9,"PX_LAST",K42,K42)%</f>
        <v>2.9005599999999999E-2</v>
      </c>
      <c r="M42">
        <v>30</v>
      </c>
      <c r="N42" s="6">
        <f ca="1">_xll.meDateFromTenor(N41,"-1D","PRECEDING","SYB:LNB")</f>
        <v>43448</v>
      </c>
      <c r="O42" s="15">
        <f ca="1">_xll.BDH(O$9,"PX_LAST",N42,N42)%</f>
        <v>2.0225E-2</v>
      </c>
      <c r="P42">
        <v>30</v>
      </c>
      <c r="Q42" s="6">
        <f ca="1">_xll.meDateFromTenor(Q41,"-1D","PRECEDING","SYB:LNB")</f>
        <v>43448</v>
      </c>
      <c r="R42" s="15">
        <f ca="1">_xll.BDH(R$9,"PX_LAST",Q42,Q42)%</f>
        <v>2.18E-2</v>
      </c>
      <c r="S42">
        <v>30</v>
      </c>
      <c r="T42" s="6">
        <f ca="1">_xll.meDateFromTenor(T41,"-1D","PRECEDING","SYB:LNB")</f>
        <v>43448</v>
      </c>
      <c r="U42" s="15">
        <f ca="1">_xll.BDH(U$9,"PX_LAST",T42,T42)%</f>
        <v>-1.0367E-3</v>
      </c>
      <c r="V42">
        <v>30</v>
      </c>
      <c r="W42" s="6">
        <f ca="1">_xll.meDateFromTenor(W41,"-1D","PRECEDING","SYB:LNB")</f>
        <v>43448</v>
      </c>
      <c r="X42" s="15">
        <f ca="1">_xll.BDH(X$9,"PX_LAST",W42,W42)%</f>
        <v>-3.3000000000000002E-6</v>
      </c>
    </row>
    <row r="43" spans="1:24">
      <c r="A43">
        <v>31</v>
      </c>
      <c r="B43" s="6">
        <f ca="1">_xll.meDateFromTenor(B42,"-1D","PRECEDING","TGT")</f>
        <v>43448</v>
      </c>
      <c r="C43" s="15">
        <f ca="1">_xll.BDH(C$9,"PX_LAST",B43,B43)%</f>
        <v>-3.1099999999999999E-3</v>
      </c>
      <c r="D43">
        <v>31</v>
      </c>
      <c r="E43" s="6">
        <f ca="1">_xll.meDateFromTenor(E42,"-1D","PRECEDING","TGT")</f>
        <v>43448</v>
      </c>
      <c r="F43" s="15">
        <f ca="1">_xll.BDH(F$9,"PX_LAST",E43,E43)%</f>
        <v>-2.3799999999999997E-3</v>
      </c>
      <c r="G43">
        <v>31</v>
      </c>
      <c r="H43" s="6">
        <f ca="1">_xll.meDateFromTenor(H42,"-1D","PRECEDING","NYB:LNB")</f>
        <v>43447</v>
      </c>
      <c r="I43" s="15">
        <f ca="1">_xll.BDH(I$9,"PX_LAST",H43,H43)%</f>
        <v>2.7881900000000001E-2</v>
      </c>
      <c r="J43">
        <v>31</v>
      </c>
      <c r="K43" s="6">
        <f ca="1">_xll.meDateFromTenor(K42,"-1D","PRECEDING","NYB:LNB")</f>
        <v>43447</v>
      </c>
      <c r="L43" s="15">
        <f ca="1">_xll.BDH(L$9,"PX_LAST",K43,K43)%</f>
        <v>2.9008799999999998E-2</v>
      </c>
      <c r="M43">
        <v>31</v>
      </c>
      <c r="N43" s="6">
        <f ca="1">_xll.meDateFromTenor(N42,"-1D","PRECEDING","SYB:LNB")</f>
        <v>43447</v>
      </c>
      <c r="O43" s="15">
        <f ca="1">_xll.BDH(O$9,"PX_LAST",N43,N43)%</f>
        <v>0.02</v>
      </c>
      <c r="P43">
        <v>31</v>
      </c>
      <c r="Q43" s="6">
        <f ca="1">_xll.meDateFromTenor(Q42,"-1D","PRECEDING","SYB:LNB")</f>
        <v>43447</v>
      </c>
      <c r="R43" s="15">
        <f ca="1">_xll.BDH(R$9,"PX_LAST",Q43,Q43)%</f>
        <v>2.1700000000000001E-2</v>
      </c>
      <c r="S43">
        <v>31</v>
      </c>
      <c r="T43" s="6">
        <f ca="1">_xll.meDateFromTenor(T42,"-1D","PRECEDING","SYB:LNB")</f>
        <v>43447</v>
      </c>
      <c r="U43" s="15">
        <f ca="1">_xll.BDH(U$9,"PX_LAST",T43,T43)%</f>
        <v>-1.0917000000000001E-3</v>
      </c>
      <c r="V43">
        <v>31</v>
      </c>
      <c r="W43" s="6">
        <f ca="1">_xll.meDateFromTenor(W42,"-1D","PRECEDING","SYB:LNB")</f>
        <v>43447</v>
      </c>
      <c r="X43" s="15">
        <f ca="1">_xll.BDH(X$9,"PX_LAST",W43,W43)%</f>
        <v>-6.8300000000000007E-5</v>
      </c>
    </row>
    <row r="44" spans="1:24">
      <c r="A44">
        <v>32</v>
      </c>
      <c r="B44" s="6">
        <f ca="1">_xll.meDateFromTenor(B43,"-1D","PRECEDING","TGT")</f>
        <v>43447</v>
      </c>
      <c r="C44" s="15">
        <f ca="1">_xll.BDH(C$9,"PX_LAST",B44,B44)%</f>
        <v>-3.1099999999999999E-3</v>
      </c>
      <c r="D44">
        <v>32</v>
      </c>
      <c r="E44" s="6">
        <f ca="1">_xll.meDateFromTenor(E43,"-1D","PRECEDING","TGT")</f>
        <v>43447</v>
      </c>
      <c r="F44" s="15">
        <f ca="1">_xll.BDH(F$9,"PX_LAST",E44,E44)%</f>
        <v>-2.3899999999999998E-3</v>
      </c>
      <c r="G44">
        <v>32</v>
      </c>
      <c r="H44" s="6">
        <f ca="1">_xll.meDateFromTenor(H43,"-1D","PRECEDING","NYB:LNB")</f>
        <v>43446</v>
      </c>
      <c r="I44" s="15">
        <f ca="1">_xll.BDH(I$9,"PX_LAST",H44,H44)%</f>
        <v>2.7774999999999998E-2</v>
      </c>
      <c r="J44">
        <v>32</v>
      </c>
      <c r="K44" s="6">
        <f ca="1">_xll.meDateFromTenor(K43,"-1D","PRECEDING","NYB:LNB")</f>
        <v>43446</v>
      </c>
      <c r="L44" s="15">
        <f ca="1">_xll.BDH(L$9,"PX_LAST",K44,K44)%</f>
        <v>2.8922499999999997E-2</v>
      </c>
      <c r="M44">
        <v>32</v>
      </c>
      <c r="N44" s="6">
        <f ca="1">_xll.meDateFromTenor(N43,"-1D","PRECEDING","SYB:LNB")</f>
        <v>43446</v>
      </c>
      <c r="O44" s="15">
        <f ca="1">_xll.BDH(O$9,"PX_LAST",N44,N44)%</f>
        <v>0.02</v>
      </c>
      <c r="P44">
        <v>32</v>
      </c>
      <c r="Q44" s="6">
        <f ca="1">_xll.meDateFromTenor(Q43,"-1D","PRECEDING","SYB:LNB")</f>
        <v>43446</v>
      </c>
      <c r="R44" s="15">
        <f ca="1">_xll.BDH(R$9,"PX_LAST",Q44,Q44)%</f>
        <v>2.1600000000000001E-2</v>
      </c>
      <c r="S44">
        <v>32</v>
      </c>
      <c r="T44" s="6">
        <f ca="1">_xll.meDateFromTenor(T43,"-1D","PRECEDING","SYB:LNB")</f>
        <v>43446</v>
      </c>
      <c r="U44" s="15">
        <f ca="1">_xll.BDH(U$9,"PX_LAST",T44,T44)%</f>
        <v>-1.1749999999999998E-3</v>
      </c>
      <c r="V44">
        <v>32</v>
      </c>
      <c r="W44" s="6">
        <f ca="1">_xll.meDateFromTenor(W43,"-1D","PRECEDING","SYB:LNB")</f>
        <v>43446</v>
      </c>
      <c r="X44" s="15">
        <f ca="1">_xll.BDH(X$9,"PX_LAST",W44,W44)%</f>
        <v>-9.3299999999999991E-5</v>
      </c>
    </row>
    <row r="45" spans="1:24">
      <c r="A45">
        <v>33</v>
      </c>
      <c r="B45" s="6">
        <f ca="1">_xll.meDateFromTenor(B44,"-1D","PRECEDING","TGT")</f>
        <v>43446</v>
      </c>
      <c r="C45" s="15">
        <f ca="1">_xll.BDH(C$9,"PX_LAST",B45,B45)%</f>
        <v>-3.1199999999999999E-3</v>
      </c>
      <c r="D45">
        <v>33</v>
      </c>
      <c r="E45" s="6">
        <f ca="1">_xll.meDateFromTenor(E44,"-1D","PRECEDING","TGT")</f>
        <v>43446</v>
      </c>
      <c r="F45" s="15">
        <f ca="1">_xll.BDH(F$9,"PX_LAST",E45,E45)%</f>
        <v>-2.4099999999999998E-3</v>
      </c>
      <c r="G45">
        <v>33</v>
      </c>
      <c r="H45" s="6">
        <f ca="1">_xll.meDateFromTenor(H44,"-1D","PRECEDING","NYB:LNB")</f>
        <v>43445</v>
      </c>
      <c r="I45" s="15">
        <f ca="1">_xll.BDH(I$9,"PX_LAST",H45,H45)%</f>
        <v>2.7789999999999999E-2</v>
      </c>
      <c r="J45">
        <v>33</v>
      </c>
      <c r="K45" s="6">
        <f ca="1">_xll.meDateFromTenor(K44,"-1D","PRECEDING","NYB:LNB")</f>
        <v>43445</v>
      </c>
      <c r="L45" s="15">
        <f ca="1">_xll.BDH(L$9,"PX_LAST",K45,K45)%</f>
        <v>2.88063E-2</v>
      </c>
      <c r="M45">
        <v>33</v>
      </c>
      <c r="N45" s="6">
        <f ca="1">_xll.meDateFromTenor(N44,"-1D","PRECEDING","SYB:LNB")</f>
        <v>43445</v>
      </c>
      <c r="O45" s="15">
        <f ca="1">_xll.BDH(O$9,"PX_LAST",N45,N45)%</f>
        <v>1.9950000000000002E-2</v>
      </c>
      <c r="P45">
        <v>33</v>
      </c>
      <c r="Q45" s="6">
        <f ca="1">_xll.meDateFromTenor(Q44,"-1D","PRECEDING","SYB:LNB")</f>
        <v>43445</v>
      </c>
      <c r="R45" s="15">
        <f ca="1">_xll.BDH(R$9,"PX_LAST",Q45,Q45)%</f>
        <v>2.1400000000000002E-2</v>
      </c>
      <c r="S45">
        <v>33</v>
      </c>
      <c r="T45" s="6">
        <f ca="1">_xll.meDateFromTenor(T44,"-1D","PRECEDING","SYB:LNB")</f>
        <v>43445</v>
      </c>
      <c r="U45" s="15">
        <f ca="1">_xll.BDH(U$9,"PX_LAST",T45,T45)%</f>
        <v>-1.1416999999999998E-3</v>
      </c>
      <c r="V45">
        <v>33</v>
      </c>
      <c r="W45" s="6">
        <f ca="1">_xll.meDateFromTenor(W44,"-1D","PRECEDING","SYB:LNB")</f>
        <v>43445</v>
      </c>
      <c r="X45" s="15">
        <f ca="1">_xll.BDH(X$9,"PX_LAST",W45,W45)%</f>
        <v>-8.0000000000000007E-5</v>
      </c>
    </row>
    <row r="46" spans="1:24">
      <c r="A46">
        <v>34</v>
      </c>
      <c r="B46" s="6">
        <f ca="1">_xll.meDateFromTenor(B45,"-1D","PRECEDING","TGT")</f>
        <v>43445</v>
      </c>
      <c r="C46" s="15">
        <f ca="1">_xll.BDH(C$9,"PX_LAST",B46,B46)%</f>
        <v>-3.1199999999999999E-3</v>
      </c>
      <c r="D46">
        <v>34</v>
      </c>
      <c r="E46" s="6">
        <f ca="1">_xll.meDateFromTenor(E45,"-1D","PRECEDING","TGT")</f>
        <v>43445</v>
      </c>
      <c r="F46" s="15">
        <f ca="1">_xll.BDH(F$9,"PX_LAST",E46,E46)%</f>
        <v>-2.4399999999999999E-3</v>
      </c>
      <c r="G46">
        <v>34</v>
      </c>
      <c r="H46" s="6">
        <f ca="1">_xll.meDateFromTenor(H45,"-1D","PRECEDING","NYB:LNB")</f>
        <v>43444</v>
      </c>
      <c r="I46" s="15">
        <f ca="1">_xll.BDH(I$9,"PX_LAST",H46,H46)%</f>
        <v>2.77594E-2</v>
      </c>
      <c r="J46">
        <v>34</v>
      </c>
      <c r="K46" s="6">
        <f ca="1">_xll.meDateFromTenor(K45,"-1D","PRECEDING","NYB:LNB")</f>
        <v>43444</v>
      </c>
      <c r="L46" s="15">
        <f ca="1">_xll.BDH(L$9,"PX_LAST",K46,K46)%</f>
        <v>2.8778800000000004E-2</v>
      </c>
      <c r="M46">
        <v>34</v>
      </c>
      <c r="N46" s="6">
        <f ca="1">_xll.meDateFromTenor(N45,"-1D","PRECEDING","SYB:LNB")</f>
        <v>43444</v>
      </c>
      <c r="O46" s="15">
        <f ca="1">_xll.BDH(O$9,"PX_LAST",N46,N46)%</f>
        <v>1.9900000000000001E-2</v>
      </c>
      <c r="P46">
        <v>34</v>
      </c>
      <c r="Q46" s="6">
        <f ca="1">_xll.meDateFromTenor(Q45,"-1D","PRECEDING","SYB:LNB")</f>
        <v>43444</v>
      </c>
      <c r="R46" s="15">
        <f ca="1">_xll.BDH(R$9,"PX_LAST",Q46,Q46)%</f>
        <v>2.1400000000000002E-2</v>
      </c>
      <c r="S46">
        <v>34</v>
      </c>
      <c r="T46" s="6">
        <f ca="1">_xll.meDateFromTenor(T45,"-1D","PRECEDING","SYB:LNB")</f>
        <v>43444</v>
      </c>
      <c r="U46" s="15">
        <f ca="1">_xll.BDH(U$9,"PX_LAST",T46,T46)%</f>
        <v>-1.0867000000000001E-3</v>
      </c>
      <c r="V46">
        <v>34</v>
      </c>
      <c r="W46" s="6">
        <f ca="1">_xll.meDateFromTenor(W45,"-1D","PRECEDING","SYB:LNB")</f>
        <v>43444</v>
      </c>
      <c r="X46" s="15">
        <f ca="1">_xll.BDH(X$9,"PX_LAST",W46,W46)%</f>
        <v>-5.6699999999999996E-5</v>
      </c>
    </row>
    <row r="47" spans="1:24">
      <c r="A47">
        <v>35</v>
      </c>
      <c r="B47" s="6">
        <f ca="1">_xll.meDateFromTenor(B46,"-1D","PRECEDING","TGT")</f>
        <v>43444</v>
      </c>
      <c r="C47" s="15">
        <f ca="1">_xll.BDH(C$9,"PX_LAST",B47,B47)%</f>
        <v>-3.14E-3</v>
      </c>
      <c r="D47">
        <v>35</v>
      </c>
      <c r="E47" s="6">
        <f ca="1">_xll.meDateFromTenor(E46,"-1D","PRECEDING","TGT")</f>
        <v>43444</v>
      </c>
      <c r="F47" s="15">
        <f ca="1">_xll.BDH(F$9,"PX_LAST",E47,E47)%</f>
        <v>-2.4499999999999999E-3</v>
      </c>
      <c r="G47">
        <v>35</v>
      </c>
      <c r="H47" s="6">
        <f ca="1">_xll.meDateFromTenor(H46,"-1D","PRECEDING","NYB:LNB")</f>
        <v>43441</v>
      </c>
      <c r="I47" s="15">
        <f ca="1">_xll.BDH(I$9,"PX_LAST",H47,H47)%</f>
        <v>2.7710599999999998E-2</v>
      </c>
      <c r="J47">
        <v>35</v>
      </c>
      <c r="K47" s="6">
        <f ca="1">_xll.meDateFromTenor(K46,"-1D","PRECEDING","NYB:LNB")</f>
        <v>43441</v>
      </c>
      <c r="L47" s="15">
        <f ca="1">_xll.BDH(L$9,"PX_LAST",K47,K47)%</f>
        <v>2.8858100000000001E-2</v>
      </c>
      <c r="M47">
        <v>35</v>
      </c>
      <c r="N47" s="6">
        <f ca="1">_xll.meDateFromTenor(N46,"-1D","PRECEDING","SYB:LNB")</f>
        <v>43441</v>
      </c>
      <c r="O47" s="15">
        <f ca="1">_xll.BDH(O$9,"PX_LAST",N47,N47)%</f>
        <v>1.9900000000000001E-2</v>
      </c>
      <c r="P47">
        <v>35</v>
      </c>
      <c r="Q47" s="6">
        <f ca="1">_xll.meDateFromTenor(Q46,"-1D","PRECEDING","SYB:LNB")</f>
        <v>43441</v>
      </c>
      <c r="R47" s="15">
        <f ca="1">_xll.BDH(R$9,"PX_LAST",Q47,Q47)%</f>
        <v>2.1400000000000002E-2</v>
      </c>
      <c r="S47">
        <v>35</v>
      </c>
      <c r="T47" s="6">
        <f ca="1">_xll.meDateFromTenor(T46,"-1D","PRECEDING","SYB:LNB")</f>
        <v>43441</v>
      </c>
      <c r="U47" s="15">
        <f ca="1">_xll.BDH(U$9,"PX_LAST",T47,T47)%</f>
        <v>-1.1383000000000001E-3</v>
      </c>
      <c r="V47">
        <v>35</v>
      </c>
      <c r="W47" s="6">
        <f ca="1">_xll.meDateFromTenor(W46,"-1D","PRECEDING","SYB:LNB")</f>
        <v>43441</v>
      </c>
      <c r="X47" s="15">
        <f ca="1">_xll.BDH(X$9,"PX_LAST",W47,W47)%</f>
        <v>-1.1169999999999999E-4</v>
      </c>
    </row>
    <row r="48" spans="1:24">
      <c r="A48">
        <v>36</v>
      </c>
      <c r="B48" s="6">
        <f ca="1">_xll.meDateFromTenor(B47,"-1D","PRECEDING","TGT")</f>
        <v>43441</v>
      </c>
      <c r="C48" s="15">
        <f ca="1">_xll.BDH(C$9,"PX_LAST",B48,B48)%</f>
        <v>-3.15E-3</v>
      </c>
      <c r="D48">
        <v>36</v>
      </c>
      <c r="E48" s="6">
        <f ca="1">_xll.meDateFromTenor(E47,"-1D","PRECEDING","TGT")</f>
        <v>43441</v>
      </c>
      <c r="F48" s="15">
        <f ca="1">_xll.BDH(F$9,"PX_LAST",E48,E48)%</f>
        <v>-2.4599999999999999E-3</v>
      </c>
      <c r="G48">
        <v>36</v>
      </c>
      <c r="H48" s="6">
        <f ca="1">_xll.meDateFromTenor(H47,"-1D","PRECEDING","NYB:LNB")</f>
        <v>43440</v>
      </c>
      <c r="I48" s="15">
        <f ca="1">_xll.BDH(I$9,"PX_LAST",H48,H48)%</f>
        <v>2.7671299999999999E-2</v>
      </c>
      <c r="J48">
        <v>36</v>
      </c>
      <c r="K48" s="6">
        <f ca="1">_xll.meDateFromTenor(K47,"-1D","PRECEDING","NYB:LNB")</f>
        <v>43440</v>
      </c>
      <c r="L48" s="15">
        <f ca="1">_xll.BDH(L$9,"PX_LAST",K48,K48)%</f>
        <v>2.8890599999999999E-2</v>
      </c>
      <c r="M48">
        <v>36</v>
      </c>
      <c r="N48" s="6">
        <f ca="1">_xll.meDateFromTenor(N47,"-1D","PRECEDING","SYB:LNB")</f>
        <v>43440</v>
      </c>
      <c r="O48" s="15">
        <f ca="1">_xll.BDH(O$9,"PX_LAST",N48,N48)%</f>
        <v>1.9799999999999998E-2</v>
      </c>
      <c r="P48">
        <v>36</v>
      </c>
      <c r="Q48" s="6">
        <f ca="1">_xll.meDateFromTenor(Q47,"-1D","PRECEDING","SYB:LNB")</f>
        <v>43440</v>
      </c>
      <c r="R48" s="15">
        <f ca="1">_xll.BDH(R$9,"PX_LAST",Q48,Q48)%</f>
        <v>2.1400000000000002E-2</v>
      </c>
      <c r="S48">
        <v>36</v>
      </c>
      <c r="T48" s="6">
        <f ca="1">_xll.meDateFromTenor(T47,"-1D","PRECEDING","SYB:LNB")</f>
        <v>43440</v>
      </c>
      <c r="U48" s="15">
        <f ca="1">_xll.BDH(U$9,"PX_LAST",T48,T48)%</f>
        <v>-1.1917E-3</v>
      </c>
      <c r="V48">
        <v>36</v>
      </c>
      <c r="W48" s="6">
        <f ca="1">_xll.meDateFromTenor(W47,"-1D","PRECEDING","SYB:LNB")</f>
        <v>43440</v>
      </c>
      <c r="X48" s="15">
        <f ca="1">_xll.BDH(X$9,"PX_LAST",W48,W48)%</f>
        <v>-1.383E-4</v>
      </c>
    </row>
    <row r="49" spans="1:24">
      <c r="A49">
        <v>37</v>
      </c>
      <c r="B49" s="6">
        <f ca="1">_xll.meDateFromTenor(B48,"-1D","PRECEDING","TGT")</f>
        <v>43440</v>
      </c>
      <c r="C49" s="15">
        <f ca="1">_xll.BDH(C$9,"PX_LAST",B49,B49)%</f>
        <v>-3.15E-3</v>
      </c>
      <c r="D49">
        <v>37</v>
      </c>
      <c r="E49" s="6">
        <f ca="1">_xll.meDateFromTenor(E48,"-1D","PRECEDING","TGT")</f>
        <v>43440</v>
      </c>
      <c r="F49" s="15">
        <f ca="1">_xll.BDH(F$9,"PX_LAST",E49,E49)%</f>
        <v>-2.4599999999999999E-3</v>
      </c>
      <c r="G49">
        <v>37</v>
      </c>
      <c r="H49" s="6">
        <f ca="1">_xll.meDateFromTenor(H48,"-1D","PRECEDING","NYB:LNB")</f>
        <v>43439</v>
      </c>
      <c r="I49" s="15">
        <f ca="1">_xll.BDH(I$9,"PX_LAST",H49,H49)%</f>
        <v>2.7657500000000002E-2</v>
      </c>
      <c r="J49">
        <v>37</v>
      </c>
      <c r="K49" s="6">
        <f ca="1">_xll.meDateFromTenor(K48,"-1D","PRECEDING","NYB:LNB")</f>
        <v>43439</v>
      </c>
      <c r="L49" s="15">
        <f ca="1">_xll.BDH(L$9,"PX_LAST",K49,K49)%</f>
        <v>2.8911300000000001E-2</v>
      </c>
      <c r="M49">
        <v>37</v>
      </c>
      <c r="N49" s="6">
        <f ca="1">_xll.meDateFromTenor(N48,"-1D","PRECEDING","SYB:LNB")</f>
        <v>43439</v>
      </c>
      <c r="O49" s="15">
        <f ca="1">_xll.BDH(O$9,"PX_LAST",N49,N49)%</f>
        <v>1.9731000000000002E-2</v>
      </c>
      <c r="P49">
        <v>37</v>
      </c>
      <c r="Q49" s="6">
        <f ca="1">_xll.meDateFromTenor(Q48,"-1D","PRECEDING","SYB:LNB")</f>
        <v>43439</v>
      </c>
      <c r="R49" s="15">
        <f ca="1">_xll.BDH(R$9,"PX_LAST",Q49,Q49)%</f>
        <v>2.1400000000000002E-2</v>
      </c>
      <c r="S49">
        <v>37</v>
      </c>
      <c r="T49" s="6">
        <f ca="1">_xll.meDateFromTenor(T48,"-1D","PRECEDING","SYB:LNB")</f>
        <v>43439</v>
      </c>
      <c r="U49" s="15">
        <f ca="1">_xll.BDH(U$9,"PX_LAST",T49,T49)%</f>
        <v>-1.1816999999999999E-3</v>
      </c>
      <c r="V49">
        <v>37</v>
      </c>
      <c r="W49" s="6">
        <f ca="1">_xll.meDateFromTenor(W48,"-1D","PRECEDING","SYB:LNB")</f>
        <v>43439</v>
      </c>
      <c r="X49" s="15">
        <f ca="1">_xll.BDH(X$9,"PX_LAST",W49,W49)%</f>
        <v>-1.0829999999999999E-4</v>
      </c>
    </row>
    <row r="50" spans="1:24">
      <c r="A50">
        <v>38</v>
      </c>
      <c r="B50" s="6">
        <f ca="1">_xll.meDateFromTenor(B49,"-1D","PRECEDING","TGT")</f>
        <v>43439</v>
      </c>
      <c r="C50" s="15">
        <f ca="1">_xll.BDH(C$9,"PX_LAST",B50,B50)%</f>
        <v>-3.16E-3</v>
      </c>
      <c r="D50">
        <v>38</v>
      </c>
      <c r="E50" s="6">
        <f ca="1">_xll.meDateFromTenor(E49,"-1D","PRECEDING","TGT")</f>
        <v>43439</v>
      </c>
      <c r="F50" s="15">
        <f ca="1">_xll.BDH(F$9,"PX_LAST",E50,E50)%</f>
        <v>-2.4599999999999999E-3</v>
      </c>
      <c r="G50">
        <v>38</v>
      </c>
      <c r="H50" s="6">
        <f ca="1">_xll.meDateFromTenor(H49,"-1D","PRECEDING","NYB:LNB")</f>
        <v>43438</v>
      </c>
      <c r="I50" s="15">
        <f ca="1">_xll.BDH(I$9,"PX_LAST",H50,H50)%</f>
        <v>2.7388800000000001E-2</v>
      </c>
      <c r="J50">
        <v>38</v>
      </c>
      <c r="K50" s="6">
        <f ca="1">_xll.meDateFromTenor(K49,"-1D","PRECEDING","NYB:LNB")</f>
        <v>43438</v>
      </c>
      <c r="L50" s="15">
        <f ca="1">_xll.BDH(L$9,"PX_LAST",K50,K50)%</f>
        <v>2.8963799999999998E-2</v>
      </c>
      <c r="M50">
        <v>38</v>
      </c>
      <c r="N50" s="6">
        <f ca="1">_xll.meDateFromTenor(N49,"-1D","PRECEDING","SYB:LNB")</f>
        <v>43438</v>
      </c>
      <c r="O50" s="15">
        <f ca="1">_xll.BDH(O$9,"PX_LAST",N50,N50)%</f>
        <v>1.9649999999999997E-2</v>
      </c>
      <c r="P50">
        <v>38</v>
      </c>
      <c r="Q50" s="6">
        <f ca="1">_xll.meDateFromTenor(Q49,"-1D","PRECEDING","SYB:LNB")</f>
        <v>43438</v>
      </c>
      <c r="R50" s="15">
        <f ca="1">_xll.BDH(R$9,"PX_LAST",Q50,Q50)%</f>
        <v>2.1400000000000002E-2</v>
      </c>
      <c r="S50">
        <v>38</v>
      </c>
      <c r="T50" s="6">
        <f ca="1">_xll.meDateFromTenor(T49,"-1D","PRECEDING","SYB:LNB")</f>
        <v>43438</v>
      </c>
      <c r="U50" s="15">
        <f ca="1">_xll.BDH(U$9,"PX_LAST",T50,T50)%</f>
        <v>-1.1749999999999998E-3</v>
      </c>
      <c r="V50">
        <v>38</v>
      </c>
      <c r="W50" s="6">
        <f ca="1">_xll.meDateFromTenor(W49,"-1D","PRECEDING","SYB:LNB")</f>
        <v>43438</v>
      </c>
      <c r="X50" s="15">
        <f ca="1">_xll.BDH(X$9,"PX_LAST",W50,W50)%</f>
        <v>-7.1700000000000008E-5</v>
      </c>
    </row>
    <row r="51" spans="1:24">
      <c r="A51">
        <v>39</v>
      </c>
      <c r="B51" s="6">
        <f ca="1">_xll.meDateFromTenor(B50,"-1D","PRECEDING","TGT")</f>
        <v>43438</v>
      </c>
      <c r="C51" s="15">
        <f ca="1">_xll.BDH(C$9,"PX_LAST",B51,B51)%</f>
        <v>-3.16E-3</v>
      </c>
      <c r="D51">
        <v>39</v>
      </c>
      <c r="E51" s="6">
        <f ca="1">_xll.meDateFromTenor(E50,"-1D","PRECEDING","TGT")</f>
        <v>43438</v>
      </c>
      <c r="F51" s="15">
        <f ca="1">_xll.BDH(F$9,"PX_LAST",E51,E51)%</f>
        <v>-2.47E-3</v>
      </c>
      <c r="G51">
        <v>39</v>
      </c>
      <c r="H51" s="6">
        <f ca="1">_xll.meDateFromTenor(H50,"-1D","PRECEDING","NYB:LNB")</f>
        <v>43437</v>
      </c>
      <c r="I51" s="15">
        <f ca="1">_xll.BDH(I$9,"PX_LAST",H51,H51)%</f>
        <v>2.7512499999999999E-2</v>
      </c>
      <c r="J51">
        <v>39</v>
      </c>
      <c r="K51" s="6">
        <f ca="1">_xll.meDateFromTenor(K50,"-1D","PRECEDING","NYB:LNB")</f>
        <v>43437</v>
      </c>
      <c r="L51" s="15">
        <f ca="1">_xll.BDH(L$9,"PX_LAST",K51,K51)%</f>
        <v>2.8952499999999999E-2</v>
      </c>
      <c r="M51">
        <v>39</v>
      </c>
      <c r="N51" s="6">
        <f ca="1">_xll.meDateFromTenor(N50,"-1D","PRECEDING","SYB:LNB")</f>
        <v>43437</v>
      </c>
      <c r="O51" s="15">
        <f ca="1">_xll.BDH(O$9,"PX_LAST",N51,N51)%</f>
        <v>1.9599999999999999E-2</v>
      </c>
      <c r="P51">
        <v>39</v>
      </c>
      <c r="Q51" s="6">
        <f ca="1">_xll.meDateFromTenor(Q50,"-1D","PRECEDING","SYB:LNB")</f>
        <v>43437</v>
      </c>
      <c r="R51" s="15">
        <f ca="1">_xll.BDH(R$9,"PX_LAST",Q51,Q51)%</f>
        <v>2.1400000000000002E-2</v>
      </c>
      <c r="S51">
        <v>39</v>
      </c>
      <c r="T51" s="6">
        <f ca="1">_xll.meDateFromTenor(T50,"-1D","PRECEDING","SYB:LNB")</f>
        <v>43437</v>
      </c>
      <c r="U51" s="15">
        <f ca="1">_xll.BDH(U$9,"PX_LAST",T51,T51)%</f>
        <v>-1.1466999999999998E-3</v>
      </c>
      <c r="V51">
        <v>39</v>
      </c>
      <c r="W51" s="6">
        <f ca="1">_xll.meDateFromTenor(W50,"-1D","PRECEDING","SYB:LNB")</f>
        <v>43437</v>
      </c>
      <c r="X51" s="15">
        <f ca="1">_xll.BDH(X$9,"PX_LAST",W51,W51)%</f>
        <v>-2.83E-5</v>
      </c>
    </row>
    <row r="52" spans="1:24">
      <c r="A52">
        <v>40</v>
      </c>
      <c r="B52" s="6">
        <f ca="1">_xll.meDateFromTenor(B51,"-1D","PRECEDING","TGT")</f>
        <v>43437</v>
      </c>
      <c r="C52" s="15">
        <f ca="1">_xll.BDH(C$9,"PX_LAST",B52,B52)%</f>
        <v>-3.16E-3</v>
      </c>
      <c r="D52">
        <v>40</v>
      </c>
      <c r="E52" s="6">
        <f ca="1">_xll.meDateFromTenor(E51,"-1D","PRECEDING","TGT")</f>
        <v>43437</v>
      </c>
      <c r="F52" s="15">
        <f ca="1">_xll.BDH(F$9,"PX_LAST",E52,E52)%</f>
        <v>-2.48E-3</v>
      </c>
      <c r="G52">
        <v>40</v>
      </c>
      <c r="H52" s="6">
        <f ca="1">_xll.meDateFromTenor(H51,"-1D","PRECEDING","NYB:LNB")</f>
        <v>43434</v>
      </c>
      <c r="I52" s="15">
        <f ca="1">_xll.BDH(I$9,"PX_LAST",H52,H52)%</f>
        <v>2.7361300000000002E-2</v>
      </c>
      <c r="J52">
        <v>40</v>
      </c>
      <c r="K52" s="6">
        <f ca="1">_xll.meDateFromTenor(K51,"-1D","PRECEDING","NYB:LNB")</f>
        <v>43434</v>
      </c>
      <c r="L52" s="15">
        <f ca="1">_xll.BDH(L$9,"PX_LAST",K52,K52)%</f>
        <v>2.8946300000000001E-2</v>
      </c>
      <c r="M52">
        <v>40</v>
      </c>
      <c r="N52" s="6">
        <f ca="1">_xll.meDateFromTenor(N51,"-1D","PRECEDING","SYB:LNB")</f>
        <v>43434</v>
      </c>
      <c r="O52" s="15">
        <f ca="1">_xll.BDH(O$9,"PX_LAST",N52,N52)%</f>
        <v>1.95E-2</v>
      </c>
      <c r="P52">
        <v>40</v>
      </c>
      <c r="Q52" s="6">
        <f ca="1">_xll.meDateFromTenor(Q51,"-1D","PRECEDING","SYB:LNB")</f>
        <v>43434</v>
      </c>
      <c r="R52" s="15">
        <f ca="1">_xll.BDH(R$9,"PX_LAST",Q52,Q52)%</f>
        <v>2.1299999999999999E-2</v>
      </c>
      <c r="S52">
        <v>40</v>
      </c>
      <c r="T52" s="6">
        <f ca="1">_xll.meDateFromTenor(T51,"-1D","PRECEDING","SYB:LNB")</f>
        <v>43434</v>
      </c>
      <c r="U52" s="15">
        <f ca="1">_xll.BDH(U$9,"PX_LAST",T52,T52)%</f>
        <v>-1.155E-3</v>
      </c>
      <c r="V52">
        <v>40</v>
      </c>
      <c r="W52" s="6">
        <f ca="1">_xll.meDateFromTenor(W51,"-1D","PRECEDING","SYB:LNB")</f>
        <v>43434</v>
      </c>
      <c r="X52" s="15">
        <f ca="1">_xll.BDH(X$9,"PX_LAST",W52,W52)%</f>
        <v>-4.3299999999999995E-5</v>
      </c>
    </row>
    <row r="53" spans="1:24">
      <c r="A53">
        <v>41</v>
      </c>
      <c r="B53" s="6">
        <f ca="1">_xll.meDateFromTenor(B52,"-1D","PRECEDING","TGT")</f>
        <v>43434</v>
      </c>
      <c r="C53" s="15">
        <f ca="1">_xll.BDH(C$9,"PX_LAST",B53,B53)%</f>
        <v>-3.16E-3</v>
      </c>
      <c r="D53">
        <v>41</v>
      </c>
      <c r="E53" s="6">
        <f ca="1">_xll.meDateFromTenor(E52,"-1D","PRECEDING","TGT")</f>
        <v>43434</v>
      </c>
      <c r="F53" s="15">
        <f ca="1">_xll.BDH(F$9,"PX_LAST",E53,E53)%</f>
        <v>-2.5100000000000001E-3</v>
      </c>
      <c r="G53">
        <v>41</v>
      </c>
      <c r="H53" s="6">
        <f ca="1">_xll.meDateFromTenor(H52,"-1D","PRECEDING","NYB:LNB")</f>
        <v>43433</v>
      </c>
      <c r="I53" s="15">
        <f ca="1">_xll.BDH(I$9,"PX_LAST",H53,H53)%</f>
        <v>2.7381300000000001E-2</v>
      </c>
      <c r="J53">
        <v>41</v>
      </c>
      <c r="K53" s="6">
        <f ca="1">_xll.meDateFromTenor(K52,"-1D","PRECEDING","NYB:LNB")</f>
        <v>43433</v>
      </c>
      <c r="L53" s="15">
        <f ca="1">_xll.BDH(L$9,"PX_LAST",K53,K53)%</f>
        <v>2.88519E-2</v>
      </c>
      <c r="M53">
        <v>41</v>
      </c>
      <c r="N53" s="6">
        <f ca="1">_xll.meDateFromTenor(N52,"-1D","PRECEDING","SYB:LNB")</f>
        <v>43433</v>
      </c>
      <c r="O53" s="15">
        <f ca="1">_xll.BDH(O$9,"PX_LAST",N53,N53)%</f>
        <v>1.95E-2</v>
      </c>
      <c r="P53">
        <v>41</v>
      </c>
      <c r="Q53" s="6">
        <f ca="1">_xll.meDateFromTenor(Q52,"-1D","PRECEDING","SYB:LNB")</f>
        <v>43433</v>
      </c>
      <c r="R53" s="15">
        <f ca="1">_xll.BDH(R$9,"PX_LAST",Q53,Q53)%</f>
        <v>2.12E-2</v>
      </c>
      <c r="S53">
        <v>41</v>
      </c>
      <c r="T53" s="6">
        <f ca="1">_xll.meDateFromTenor(T52,"-1D","PRECEDING","SYB:LNB")</f>
        <v>43433</v>
      </c>
      <c r="U53" s="15">
        <f ca="1">_xll.BDH(U$9,"PX_LAST",T53,T53)%</f>
        <v>-1.1100000000000001E-3</v>
      </c>
      <c r="V53">
        <v>41</v>
      </c>
      <c r="W53" s="6">
        <f ca="1">_xll.meDateFromTenor(W52,"-1D","PRECEDING","SYB:LNB")</f>
        <v>43433</v>
      </c>
      <c r="X53" s="15">
        <f ca="1">_xll.BDH(X$9,"PX_LAST",W53,W53)%</f>
        <v>-2.6700000000000002E-5</v>
      </c>
    </row>
    <row r="54" spans="1:24">
      <c r="A54">
        <v>42</v>
      </c>
      <c r="B54" s="6">
        <f ca="1">_xll.meDateFromTenor(B53,"-1D","PRECEDING","TGT")</f>
        <v>43433</v>
      </c>
      <c r="C54" s="15">
        <f ca="1">_xll.BDH(C$9,"PX_LAST",B54,B54)%</f>
        <v>-3.16E-3</v>
      </c>
      <c r="D54">
        <v>42</v>
      </c>
      <c r="E54" s="6">
        <f ca="1">_xll.meDateFromTenor(E53,"-1D","PRECEDING","TGT")</f>
        <v>43433</v>
      </c>
      <c r="F54" s="15">
        <f ca="1">_xll.BDH(F$9,"PX_LAST",E54,E54)%</f>
        <v>-2.5300000000000001E-3</v>
      </c>
      <c r="G54">
        <v>42</v>
      </c>
      <c r="H54" s="6">
        <f ca="1">_xll.meDateFromTenor(H53,"-1D","PRECEDING","NYB:LNB")</f>
        <v>43432</v>
      </c>
      <c r="I54" s="15">
        <f ca="1">_xll.BDH(I$9,"PX_LAST",H54,H54)%</f>
        <v>2.7066300000000001E-2</v>
      </c>
      <c r="J54">
        <v>42</v>
      </c>
      <c r="K54" s="6">
        <f ca="1">_xll.meDateFromTenor(K53,"-1D","PRECEDING","NYB:LNB")</f>
        <v>43432</v>
      </c>
      <c r="L54" s="15">
        <f ca="1">_xll.BDH(L$9,"PX_LAST",K54,K54)%</f>
        <v>2.8866300000000001E-2</v>
      </c>
      <c r="M54">
        <v>42</v>
      </c>
      <c r="N54" s="6">
        <f ca="1">_xll.meDateFromTenor(N53,"-1D","PRECEDING","SYB:LNB")</f>
        <v>43432</v>
      </c>
      <c r="O54" s="15">
        <f ca="1">_xll.BDH(O$9,"PX_LAST",N54,N54)%</f>
        <v>1.95E-2</v>
      </c>
      <c r="P54">
        <v>42</v>
      </c>
      <c r="Q54" s="6">
        <f ca="1">_xll.meDateFromTenor(Q53,"-1D","PRECEDING","SYB:LNB")</f>
        <v>43432</v>
      </c>
      <c r="R54" s="15">
        <f ca="1">_xll.BDH(R$9,"PX_LAST",Q54,Q54)%</f>
        <v>2.12E-2</v>
      </c>
      <c r="S54">
        <v>42</v>
      </c>
      <c r="T54" s="6">
        <f ca="1">_xll.meDateFromTenor(T53,"-1D","PRECEDING","SYB:LNB")</f>
        <v>43432</v>
      </c>
      <c r="U54" s="15">
        <f ca="1">_xll.BDH(U$9,"PX_LAST",T54,T54)%</f>
        <v>-1.1466999999999998E-3</v>
      </c>
      <c r="V54">
        <v>42</v>
      </c>
      <c r="W54" s="6">
        <f ca="1">_xll.meDateFromTenor(W53,"-1D","PRECEDING","SYB:LNB")</f>
        <v>43432</v>
      </c>
      <c r="X54" s="15">
        <f ca="1">_xll.BDH(X$9,"PX_LAST",W54,W54)%</f>
        <v>-2.5000000000000001E-5</v>
      </c>
    </row>
    <row r="55" spans="1:24">
      <c r="A55">
        <v>43</v>
      </c>
      <c r="B55" s="6">
        <f ca="1">_xll.meDateFromTenor(B54,"-1D","PRECEDING","TGT")</f>
        <v>43432</v>
      </c>
      <c r="C55" s="15">
        <f ca="1">_xll.BDH(C$9,"PX_LAST",B55,B55)%</f>
        <v>-3.16E-3</v>
      </c>
      <c r="D55">
        <v>43</v>
      </c>
      <c r="E55" s="6">
        <f ca="1">_xll.meDateFromTenor(E54,"-1D","PRECEDING","TGT")</f>
        <v>43432</v>
      </c>
      <c r="F55" s="15">
        <f ca="1">_xll.BDH(F$9,"PX_LAST",E55,E55)%</f>
        <v>-2.5600000000000002E-3</v>
      </c>
      <c r="G55">
        <v>43</v>
      </c>
      <c r="H55" s="6">
        <f ca="1">_xll.meDateFromTenor(H54,"-1D","PRECEDING","NYB:LNB")</f>
        <v>43431</v>
      </c>
      <c r="I55" s="15">
        <f ca="1">_xll.BDH(I$9,"PX_LAST",H55,H55)%</f>
        <v>2.7060000000000001E-2</v>
      </c>
      <c r="J55">
        <v>43</v>
      </c>
      <c r="K55" s="6">
        <f ca="1">_xll.meDateFromTenor(K54,"-1D","PRECEDING","NYB:LNB")</f>
        <v>43431</v>
      </c>
      <c r="L55" s="15">
        <f ca="1">_xll.BDH(L$9,"PX_LAST",K55,K55)%</f>
        <v>2.8844400000000003E-2</v>
      </c>
      <c r="M55">
        <v>43</v>
      </c>
      <c r="N55" s="6">
        <f ca="1">_xll.meDateFromTenor(N54,"-1D","PRECEDING","SYB:LNB")</f>
        <v>43431</v>
      </c>
      <c r="O55" s="15">
        <f ca="1">_xll.BDH(O$9,"PX_LAST",N55,N55)%</f>
        <v>1.95E-2</v>
      </c>
      <c r="P55">
        <v>43</v>
      </c>
      <c r="Q55" s="6">
        <f ca="1">_xll.meDateFromTenor(Q54,"-1D","PRECEDING","SYB:LNB")</f>
        <v>43431</v>
      </c>
      <c r="R55" s="15">
        <f ca="1">_xll.BDH(R$9,"PX_LAST",Q55,Q55)%</f>
        <v>2.12E-2</v>
      </c>
      <c r="S55">
        <v>43</v>
      </c>
      <c r="T55" s="6">
        <f ca="1">_xll.meDateFromTenor(T54,"-1D","PRECEDING","SYB:LNB")</f>
        <v>43431</v>
      </c>
      <c r="U55" s="15">
        <f ca="1">_xll.BDH(U$9,"PX_LAST",T55,T55)%</f>
        <v>-1.1183E-3</v>
      </c>
      <c r="V55">
        <v>43</v>
      </c>
      <c r="W55" s="6">
        <f ca="1">_xll.meDateFromTenor(W54,"-1D","PRECEDING","SYB:LNB")</f>
        <v>43431</v>
      </c>
      <c r="X55" s="15">
        <f ca="1">_xll.BDH(X$9,"PX_LAST",W55,W55)%</f>
        <v>3.5000000000000004E-5</v>
      </c>
    </row>
    <row r="56" spans="1:24">
      <c r="A56">
        <v>44</v>
      </c>
      <c r="B56" s="6">
        <f ca="1">_xll.meDateFromTenor(B55,"-1D","PRECEDING","TGT")</f>
        <v>43431</v>
      </c>
      <c r="C56" s="15">
        <f ca="1">_xll.BDH(C$9,"PX_LAST",B56,B56)%</f>
        <v>-3.16E-3</v>
      </c>
      <c r="D56">
        <v>44</v>
      </c>
      <c r="E56" s="6">
        <f ca="1">_xll.meDateFromTenor(E55,"-1D","PRECEDING","TGT")</f>
        <v>43431</v>
      </c>
      <c r="F56" s="15">
        <f ca="1">_xll.BDH(F$9,"PX_LAST",E56,E56)%</f>
        <v>-2.5600000000000002E-3</v>
      </c>
      <c r="G56">
        <v>44</v>
      </c>
      <c r="H56" s="6">
        <f ca="1">_xll.meDateFromTenor(H55,"-1D","PRECEDING","NYB:LNB")</f>
        <v>43430</v>
      </c>
      <c r="I56" s="15">
        <f ca="1">_xll.BDH(I$9,"PX_LAST",H56,H56)%</f>
        <v>2.7068099999999998E-2</v>
      </c>
      <c r="J56">
        <v>44</v>
      </c>
      <c r="K56" s="6">
        <f ca="1">_xll.meDateFromTenor(K55,"-1D","PRECEDING","NYB:LNB")</f>
        <v>43430</v>
      </c>
      <c r="L56" s="15">
        <f ca="1">_xll.BDH(L$9,"PX_LAST",K56,K56)%</f>
        <v>2.8927499999999998E-2</v>
      </c>
      <c r="M56">
        <v>44</v>
      </c>
      <c r="N56" s="6">
        <f ca="1">_xll.meDateFromTenor(N55,"-1D","PRECEDING","SYB:LNB")</f>
        <v>43430</v>
      </c>
      <c r="O56" s="15">
        <f ca="1">_xll.BDH(O$9,"PX_LAST",N56,N56)%</f>
        <v>1.9507E-2</v>
      </c>
      <c r="P56">
        <v>44</v>
      </c>
      <c r="Q56" s="6">
        <f ca="1">_xll.meDateFromTenor(Q55,"-1D","PRECEDING","SYB:LNB")</f>
        <v>43430</v>
      </c>
      <c r="R56" s="15">
        <f ca="1">_xll.BDH(R$9,"PX_LAST",Q56,Q56)%</f>
        <v>2.12E-2</v>
      </c>
      <c r="S56">
        <v>44</v>
      </c>
      <c r="T56" s="6">
        <f ca="1">_xll.meDateFromTenor(T55,"-1D","PRECEDING","SYB:LNB")</f>
        <v>43430</v>
      </c>
      <c r="U56" s="15">
        <f ca="1">_xll.BDH(U$9,"PX_LAST",T56,T56)%</f>
        <v>-1.1133E-3</v>
      </c>
      <c r="V56">
        <v>44</v>
      </c>
      <c r="W56" s="6">
        <f ca="1">_xll.meDateFromTenor(W55,"-1D","PRECEDING","SYB:LNB")</f>
        <v>43430</v>
      </c>
      <c r="X56" s="15">
        <f ca="1">_xll.BDH(X$9,"PX_LAST",W56,W56)%</f>
        <v>5.3299999999999995E-5</v>
      </c>
    </row>
    <row r="57" spans="1:24">
      <c r="A57">
        <v>45</v>
      </c>
      <c r="B57" s="6">
        <f ca="1">_xll.meDateFromTenor(B56,"-1D","PRECEDING","TGT")</f>
        <v>43430</v>
      </c>
      <c r="C57" s="15">
        <f ca="1">_xll.BDH(C$9,"PX_LAST",B57,B57)%</f>
        <v>-3.16E-3</v>
      </c>
      <c r="D57">
        <v>45</v>
      </c>
      <c r="E57" s="6">
        <f ca="1">_xll.meDateFromTenor(E56,"-1D","PRECEDING","TGT")</f>
        <v>43430</v>
      </c>
      <c r="F57" s="15">
        <f ca="1">_xll.BDH(F$9,"PX_LAST",E57,E57)%</f>
        <v>-2.5600000000000002E-3</v>
      </c>
      <c r="G57">
        <v>45</v>
      </c>
      <c r="H57" s="6">
        <f ca="1">_xll.meDateFromTenor(H56,"-1D","PRECEDING","NYB:LNB")</f>
        <v>43427</v>
      </c>
      <c r="I57" s="15">
        <f ca="1">_xll.BDH(I$9,"PX_LAST",H57,H57)%</f>
        <v>2.6911899999999999E-2</v>
      </c>
      <c r="J57">
        <v>45</v>
      </c>
      <c r="K57" s="6">
        <f ca="1">_xll.meDateFromTenor(K56,"-1D","PRECEDING","NYB:LNB")</f>
        <v>43427</v>
      </c>
      <c r="L57" s="15">
        <f ca="1">_xll.BDH(L$9,"PX_LAST",K57,K57)%</f>
        <v>2.8862499999999999E-2</v>
      </c>
      <c r="M57">
        <v>45</v>
      </c>
      <c r="N57" s="6">
        <f ca="1">_xll.meDateFromTenor(N56,"-1D","PRECEDING","SYB:LNB")</f>
        <v>43427</v>
      </c>
      <c r="O57" s="15">
        <f ca="1">_xll.BDH(O$9,"PX_LAST",N57,N57)%</f>
        <v>1.9400000000000001E-2</v>
      </c>
      <c r="P57">
        <v>45</v>
      </c>
      <c r="Q57" s="6">
        <f ca="1">_xll.meDateFromTenor(Q56,"-1D","PRECEDING","SYB:LNB")</f>
        <v>43427</v>
      </c>
      <c r="R57" s="15">
        <f ca="1">_xll.BDH(R$9,"PX_LAST",Q57,Q57)%</f>
        <v>2.12E-2</v>
      </c>
      <c r="S57">
        <v>45</v>
      </c>
      <c r="T57" s="6">
        <f ca="1">_xll.meDateFromTenor(T56,"-1D","PRECEDING","SYB:LNB")</f>
        <v>43427</v>
      </c>
      <c r="U57" s="15">
        <f ca="1">_xll.BDH(U$9,"PX_LAST",T57,T57)%</f>
        <v>-1.0782999999999999E-3</v>
      </c>
      <c r="V57">
        <v>45</v>
      </c>
      <c r="W57" s="6">
        <f ca="1">_xll.meDateFromTenor(W56,"-1D","PRECEDING","SYB:LNB")</f>
        <v>43427</v>
      </c>
      <c r="X57" s="15">
        <f ca="1">_xll.BDH(X$9,"PX_LAST",W57,W57)%</f>
        <v>7.4999999999999993E-5</v>
      </c>
    </row>
    <row r="58" spans="1:24">
      <c r="A58">
        <v>46</v>
      </c>
      <c r="B58" s="6">
        <f ca="1">_xll.meDateFromTenor(B57,"-1D","PRECEDING","TGT")</f>
        <v>43427</v>
      </c>
      <c r="C58" s="15">
        <f ca="1">_xll.BDH(C$9,"PX_LAST",B58,B58)%</f>
        <v>-3.16E-3</v>
      </c>
      <c r="D58">
        <v>46</v>
      </c>
      <c r="E58" s="6">
        <f ca="1">_xll.meDateFromTenor(E57,"-1D","PRECEDING","TGT")</f>
        <v>43427</v>
      </c>
      <c r="F58" s="15">
        <f ca="1">_xll.BDH(F$9,"PX_LAST",E58,E58)%</f>
        <v>-2.5700000000000002E-3</v>
      </c>
      <c r="G58">
        <v>46</v>
      </c>
      <c r="H58" s="6">
        <f ca="1">_xll.meDateFromTenor(H57,"-1D","PRECEDING","NYB:LNB")</f>
        <v>43425</v>
      </c>
      <c r="I58" s="15">
        <f ca="1">_xll.BDH(I$9,"PX_LAST",H58,H58)%</f>
        <v>2.6769400000000002E-2</v>
      </c>
      <c r="J58">
        <v>46</v>
      </c>
      <c r="K58" s="6">
        <f ca="1">_xll.meDateFromTenor(K57,"-1D","PRECEDING","NYB:LNB")</f>
        <v>43425</v>
      </c>
      <c r="L58" s="15">
        <f ca="1">_xll.BDH(L$9,"PX_LAST",K58,K58)%</f>
        <v>2.8858800000000004E-2</v>
      </c>
      <c r="M58">
        <v>46</v>
      </c>
      <c r="N58" s="6">
        <f ca="1">_xll.meDateFromTenor(N57,"-1D","PRECEDING","SYB:LNB")</f>
        <v>43426</v>
      </c>
      <c r="O58" s="15">
        <f ca="1">_xll.BDH(O$9,"PX_LAST",N58,N58)%</f>
        <v>1.9400000000000001E-2</v>
      </c>
      <c r="P58">
        <v>46</v>
      </c>
      <c r="Q58" s="6">
        <f ca="1">_xll.meDateFromTenor(Q57,"-1D","PRECEDING","SYB:LNB")</f>
        <v>43426</v>
      </c>
      <c r="R58" s="15">
        <f ca="1">_xll.BDH(R$9,"PX_LAST",Q58,Q58)%</f>
        <v>2.12E-2</v>
      </c>
      <c r="S58">
        <v>46</v>
      </c>
      <c r="T58" s="6">
        <f ca="1">_xll.meDateFromTenor(T57,"-1D","PRECEDING","SYB:LNB")</f>
        <v>43426</v>
      </c>
      <c r="U58" s="15">
        <f ca="1">_xll.BDH(U$9,"PX_LAST",T58,T58)%</f>
        <v>-1.0917000000000001E-3</v>
      </c>
      <c r="V58">
        <v>46</v>
      </c>
      <c r="W58" s="6">
        <f ca="1">_xll.meDateFromTenor(W57,"-1D","PRECEDING","SYB:LNB")</f>
        <v>43426</v>
      </c>
      <c r="X58" s="15">
        <f ca="1">_xll.BDH(X$9,"PX_LAST",W58,W58)%</f>
        <v>6.1699999999999995E-5</v>
      </c>
    </row>
    <row r="59" spans="1:24">
      <c r="A59">
        <v>47</v>
      </c>
      <c r="B59" s="6">
        <f ca="1">_xll.meDateFromTenor(B58,"-1D","PRECEDING","TGT")</f>
        <v>43426</v>
      </c>
      <c r="C59" s="15">
        <f ca="1">_xll.BDH(C$9,"PX_LAST",B59,B59)%</f>
        <v>-3.16E-3</v>
      </c>
      <c r="D59">
        <v>47</v>
      </c>
      <c r="E59" s="6">
        <f ca="1">_xll.meDateFromTenor(E58,"-1D","PRECEDING","TGT")</f>
        <v>43426</v>
      </c>
      <c r="F59" s="15">
        <f ca="1">_xll.BDH(F$9,"PX_LAST",E59,E59)%</f>
        <v>-2.5700000000000002E-3</v>
      </c>
      <c r="G59">
        <v>47</v>
      </c>
      <c r="H59" s="6">
        <f ca="1">_xll.meDateFromTenor(H58,"-1D","PRECEDING","NYB:LNB")</f>
        <v>43424</v>
      </c>
      <c r="I59" s="15">
        <f ca="1">_xll.BDH(I$9,"PX_LAST",H59,H59)%</f>
        <v>2.6531300000000001E-2</v>
      </c>
      <c r="J59">
        <v>47</v>
      </c>
      <c r="K59" s="6">
        <f ca="1">_xll.meDateFromTenor(K58,"-1D","PRECEDING","NYB:LNB")</f>
        <v>43424</v>
      </c>
      <c r="L59" s="15">
        <f ca="1">_xll.BDH(L$9,"PX_LAST",K59,K59)%</f>
        <v>2.8632499999999998E-2</v>
      </c>
      <c r="M59">
        <v>47</v>
      </c>
      <c r="N59" s="6">
        <f ca="1">_xll.meDateFromTenor(N58,"-1D","PRECEDING","SYB:LNB")</f>
        <v>43425</v>
      </c>
      <c r="O59" s="15">
        <f ca="1">_xll.BDH(O$9,"PX_LAST",N59,N59)%</f>
        <v>1.9400000000000001E-2</v>
      </c>
      <c r="P59">
        <v>47</v>
      </c>
      <c r="Q59" s="6">
        <f ca="1">_xll.meDateFromTenor(Q58,"-1D","PRECEDING","SYB:LNB")</f>
        <v>43425</v>
      </c>
      <c r="R59" s="15">
        <f ca="1">_xll.BDH(R$9,"PX_LAST",Q59,Q59)%</f>
        <v>2.1099999999999997E-2</v>
      </c>
      <c r="S59">
        <v>47</v>
      </c>
      <c r="T59" s="6">
        <f ca="1">_xll.meDateFromTenor(T58,"-1D","PRECEDING","SYB:LNB")</f>
        <v>43425</v>
      </c>
      <c r="U59" s="15">
        <f ca="1">_xll.BDH(U$9,"PX_LAST",T59,T59)%</f>
        <v>-1.1067E-3</v>
      </c>
      <c r="V59">
        <v>47</v>
      </c>
      <c r="W59" s="6">
        <f ca="1">_xll.meDateFromTenor(W58,"-1D","PRECEDING","SYB:LNB")</f>
        <v>43425</v>
      </c>
      <c r="X59" s="15">
        <f ca="1">_xll.BDH(X$9,"PX_LAST",W59,W59)%</f>
        <v>2.1699999999999999E-5</v>
      </c>
    </row>
    <row r="60" spans="1:24">
      <c r="A60">
        <v>48</v>
      </c>
      <c r="B60" s="6">
        <f ca="1">_xll.meDateFromTenor(B59,"-1D","PRECEDING","TGT")</f>
        <v>43425</v>
      </c>
      <c r="C60" s="15">
        <f ca="1">_xll.BDH(C$9,"PX_LAST",B60,B60)%</f>
        <v>-3.16E-3</v>
      </c>
      <c r="D60">
        <v>48</v>
      </c>
      <c r="E60" s="6">
        <f ca="1">_xll.meDateFromTenor(E59,"-1D","PRECEDING","TGT")</f>
        <v>43425</v>
      </c>
      <c r="F60" s="15">
        <f ca="1">_xll.BDH(F$9,"PX_LAST",E60,E60)%</f>
        <v>-2.5700000000000002E-3</v>
      </c>
      <c r="G60">
        <v>48</v>
      </c>
      <c r="H60" s="6">
        <f ca="1">_xll.meDateFromTenor(H59,"-1D","PRECEDING","NYB:LNB")</f>
        <v>43423</v>
      </c>
      <c r="I60" s="15">
        <f ca="1">_xll.BDH(I$9,"PX_LAST",H60,H60)%</f>
        <v>2.6458099999999998E-2</v>
      </c>
      <c r="J60">
        <v>48</v>
      </c>
      <c r="K60" s="6">
        <f ca="1">_xll.meDateFromTenor(K59,"-1D","PRECEDING","NYB:LNB")</f>
        <v>43423</v>
      </c>
      <c r="L60" s="15">
        <f ca="1">_xll.BDH(L$9,"PX_LAST",K60,K60)%</f>
        <v>2.8657500000000002E-2</v>
      </c>
      <c r="M60">
        <v>48</v>
      </c>
      <c r="N60" s="6">
        <f ca="1">_xll.meDateFromTenor(N59,"-1D","PRECEDING","SYB:LNB")</f>
        <v>43424</v>
      </c>
      <c r="O60" s="15">
        <f ca="1">_xll.BDH(O$9,"PX_LAST",N60,N60)%</f>
        <v>1.9400000000000001E-2</v>
      </c>
      <c r="P60">
        <v>48</v>
      </c>
      <c r="Q60" s="6">
        <f ca="1">_xll.meDateFromTenor(Q59,"-1D","PRECEDING","SYB:LNB")</f>
        <v>43424</v>
      </c>
      <c r="R60" s="15">
        <f ca="1">_xll.BDH(R$9,"PX_LAST",Q60,Q60)%</f>
        <v>2.1099999999999997E-2</v>
      </c>
      <c r="S60">
        <v>48</v>
      </c>
      <c r="T60" s="6">
        <f ca="1">_xll.meDateFromTenor(T59,"-1D","PRECEDING","SYB:LNB")</f>
        <v>43424</v>
      </c>
      <c r="U60" s="15">
        <f ca="1">_xll.BDH(U$9,"PX_LAST",T60,T60)%</f>
        <v>-1.0933E-3</v>
      </c>
      <c r="V60">
        <v>48</v>
      </c>
      <c r="W60" s="6">
        <f ca="1">_xll.meDateFromTenor(W59,"-1D","PRECEDING","SYB:LNB")</f>
        <v>43424</v>
      </c>
      <c r="X60" s="15">
        <f ca="1">_xll.BDH(X$9,"PX_LAST",W60,W60)%</f>
        <v>5.1700000000000003E-5</v>
      </c>
    </row>
    <row r="61" spans="1:24">
      <c r="A61">
        <v>49</v>
      </c>
      <c r="B61" s="6">
        <f ca="1">_xll.meDateFromTenor(B60,"-1D","PRECEDING","TGT")</f>
        <v>43424</v>
      </c>
      <c r="C61" s="15">
        <f ca="1">_xll.BDH(C$9,"PX_LAST",B61,B61)%</f>
        <v>-3.16E-3</v>
      </c>
      <c r="D61">
        <v>49</v>
      </c>
      <c r="E61" s="6">
        <f ca="1">_xll.meDateFromTenor(E60,"-1D","PRECEDING","TGT")</f>
        <v>43424</v>
      </c>
      <c r="F61" s="15">
        <f ca="1">_xll.BDH(F$9,"PX_LAST",E61,E61)%</f>
        <v>-2.5700000000000002E-3</v>
      </c>
      <c r="G61">
        <v>49</v>
      </c>
      <c r="H61" s="6">
        <f ca="1">_xll.meDateFromTenor(H60,"-1D","PRECEDING","NYB:LNB")</f>
        <v>43420</v>
      </c>
      <c r="I61" s="15">
        <f ca="1">_xll.BDH(I$9,"PX_LAST",H61,H61)%</f>
        <v>2.6445E-2</v>
      </c>
      <c r="J61">
        <v>49</v>
      </c>
      <c r="K61" s="6">
        <f ca="1">_xll.meDateFromTenor(K60,"-1D","PRECEDING","NYB:LNB")</f>
        <v>43420</v>
      </c>
      <c r="L61" s="15">
        <f ca="1">_xll.BDH(L$9,"PX_LAST",K61,K61)%</f>
        <v>2.8626300000000004E-2</v>
      </c>
      <c r="M61">
        <v>49</v>
      </c>
      <c r="N61" s="6">
        <f ca="1">_xll.meDateFromTenor(N60,"-1D","PRECEDING","SYB:LNB")</f>
        <v>43423</v>
      </c>
      <c r="O61" s="15">
        <f ca="1">_xll.BDH(O$9,"PX_LAST",N61,N61)%</f>
        <v>1.9400000000000001E-2</v>
      </c>
      <c r="P61">
        <v>49</v>
      </c>
      <c r="Q61" s="6">
        <f ca="1">_xll.meDateFromTenor(Q60,"-1D","PRECEDING","SYB:LNB")</f>
        <v>43423</v>
      </c>
      <c r="R61" s="15">
        <f ca="1">_xll.BDH(R$9,"PX_LAST",Q61,Q61)%</f>
        <v>2.1099999999999997E-2</v>
      </c>
      <c r="S61">
        <v>49</v>
      </c>
      <c r="T61" s="6">
        <f ca="1">_xll.meDateFromTenor(T60,"-1D","PRECEDING","SYB:LNB")</f>
        <v>43423</v>
      </c>
      <c r="U61" s="15">
        <f ca="1">_xll.BDH(U$9,"PX_LAST",T61,T61)%</f>
        <v>-1.0333E-3</v>
      </c>
      <c r="V61">
        <v>49</v>
      </c>
      <c r="W61" s="6">
        <f ca="1">_xll.meDateFromTenor(W60,"-1D","PRECEDING","SYB:LNB")</f>
        <v>43423</v>
      </c>
      <c r="X61" s="15">
        <f ca="1">_xll.BDH(X$9,"PX_LAST",W61,W61)%</f>
        <v>7.3299999999999993E-5</v>
      </c>
    </row>
    <row r="62" spans="1:24">
      <c r="A62">
        <v>50</v>
      </c>
      <c r="B62" s="6">
        <f ca="1">_xll.meDateFromTenor(B61,"-1D","PRECEDING","TGT")</f>
        <v>43423</v>
      </c>
      <c r="C62" s="15">
        <f ca="1">_xll.BDH(C$9,"PX_LAST",B62,B62)%</f>
        <v>-3.16E-3</v>
      </c>
      <c r="D62">
        <v>50</v>
      </c>
      <c r="E62" s="6">
        <f ca="1">_xll.meDateFromTenor(E61,"-1D","PRECEDING","TGT")</f>
        <v>43423</v>
      </c>
      <c r="F62" s="15">
        <f ca="1">_xll.BDH(F$9,"PX_LAST",E62,E62)%</f>
        <v>-2.5700000000000002E-3</v>
      </c>
      <c r="G62">
        <v>50</v>
      </c>
      <c r="H62" s="6">
        <f ca="1">_xll.meDateFromTenor(H61,"-1D","PRECEDING","NYB:LNB")</f>
        <v>43419</v>
      </c>
      <c r="I62" s="15">
        <f ca="1">_xll.BDH(I$9,"PX_LAST",H62,H62)%</f>
        <v>2.64E-2</v>
      </c>
      <c r="J62">
        <v>50</v>
      </c>
      <c r="K62" s="6">
        <f ca="1">_xll.meDateFromTenor(K61,"-1D","PRECEDING","NYB:LNB")</f>
        <v>43419</v>
      </c>
      <c r="L62" s="15">
        <f ca="1">_xll.BDH(L$9,"PX_LAST",K62,K62)%</f>
        <v>2.8601900000000003E-2</v>
      </c>
      <c r="M62">
        <v>50</v>
      </c>
      <c r="N62" s="6">
        <f ca="1">_xll.meDateFromTenor(N61,"-1D","PRECEDING","SYB:LNB")</f>
        <v>43420</v>
      </c>
      <c r="O62" s="15">
        <f ca="1">_xll.BDH(O$9,"PX_LAST",N62,N62)%</f>
        <v>1.9400000000000001E-2</v>
      </c>
      <c r="P62">
        <v>50</v>
      </c>
      <c r="Q62" s="6">
        <f ca="1">_xll.meDateFromTenor(Q61,"-1D","PRECEDING","SYB:LNB")</f>
        <v>43420</v>
      </c>
      <c r="R62" s="15">
        <f ca="1">_xll.BDH(R$9,"PX_LAST",Q62,Q62)%</f>
        <v>2.1150000000000002E-2</v>
      </c>
      <c r="S62">
        <v>50</v>
      </c>
      <c r="T62" s="6">
        <f ca="1">_xll.meDateFromTenor(T61,"-1D","PRECEDING","SYB:LNB")</f>
        <v>43420</v>
      </c>
      <c r="U62" s="15">
        <f ca="1">_xll.BDH(U$9,"PX_LAST",T62,T62)%</f>
        <v>-1.0532999999999999E-3</v>
      </c>
      <c r="V62">
        <v>50</v>
      </c>
      <c r="W62" s="6">
        <f ca="1">_xll.meDateFromTenor(W61,"-1D","PRECEDING","SYB:LNB")</f>
        <v>43420</v>
      </c>
      <c r="X62" s="15">
        <f ca="1">_xll.BDH(X$9,"PX_LAST",W62,W62)%</f>
        <v>6.8300000000000007E-5</v>
      </c>
    </row>
    <row r="63" spans="1:24">
      <c r="A63">
        <v>51</v>
      </c>
      <c r="B63" s="6">
        <f ca="1">_xll.meDateFromTenor(B62,"-1D","PRECEDING","TGT")</f>
        <v>43420</v>
      </c>
      <c r="C63" s="15">
        <f ca="1">_xll.BDH(C$9,"PX_LAST",B63,B63)%</f>
        <v>-3.16E-3</v>
      </c>
      <c r="D63">
        <v>51</v>
      </c>
      <c r="E63" s="6">
        <f ca="1">_xll.meDateFromTenor(E62,"-1D","PRECEDING","TGT")</f>
        <v>43420</v>
      </c>
      <c r="F63" s="15">
        <f ca="1">_xll.BDH(F$9,"PX_LAST",E63,E63)%</f>
        <v>-2.5700000000000002E-3</v>
      </c>
      <c r="G63">
        <v>51</v>
      </c>
      <c r="H63" s="6">
        <f ca="1">_xll.meDateFromTenor(H62,"-1D","PRECEDING","NYB:LNB")</f>
        <v>43418</v>
      </c>
      <c r="I63" s="15">
        <f ca="1">_xll.BDH(I$9,"PX_LAST",H63,H63)%</f>
        <v>2.6290000000000001E-2</v>
      </c>
      <c r="J63">
        <v>51</v>
      </c>
      <c r="K63" s="6">
        <f ca="1">_xll.meDateFromTenor(K62,"-1D","PRECEDING","NYB:LNB")</f>
        <v>43418</v>
      </c>
      <c r="L63" s="15">
        <f ca="1">_xll.BDH(L$9,"PX_LAST",K63,K63)%</f>
        <v>2.8634399999999997E-2</v>
      </c>
      <c r="M63">
        <v>51</v>
      </c>
      <c r="N63" s="6">
        <f ca="1">_xll.meDateFromTenor(N62,"-1D","PRECEDING","SYB:LNB")</f>
        <v>43419</v>
      </c>
      <c r="O63" s="15">
        <f ca="1">_xll.BDH(O$9,"PX_LAST",N63,N63)%</f>
        <v>1.9400000000000001E-2</v>
      </c>
      <c r="P63">
        <v>51</v>
      </c>
      <c r="Q63" s="6">
        <f ca="1">_xll.meDateFromTenor(Q62,"-1D","PRECEDING","SYB:LNB")</f>
        <v>43419</v>
      </c>
      <c r="R63" s="15">
        <f ca="1">_xll.BDH(R$9,"PX_LAST",Q63,Q63)%</f>
        <v>2.1099999999999997E-2</v>
      </c>
      <c r="S63">
        <v>51</v>
      </c>
      <c r="T63" s="6">
        <f ca="1">_xll.meDateFromTenor(T62,"-1D","PRECEDING","SYB:LNB")</f>
        <v>43419</v>
      </c>
      <c r="U63" s="15">
        <f ca="1">_xll.BDH(U$9,"PX_LAST",T63,T63)%</f>
        <v>-1.1016999999999999E-3</v>
      </c>
      <c r="V63">
        <v>51</v>
      </c>
      <c r="W63" s="6">
        <f ca="1">_xll.meDateFromTenor(W62,"-1D","PRECEDING","SYB:LNB")</f>
        <v>43419</v>
      </c>
      <c r="X63" s="15">
        <f ca="1">_xll.BDH(X$9,"PX_LAST",W63,W63)%</f>
        <v>6.0000000000000002E-5</v>
      </c>
    </row>
    <row r="64" spans="1:24">
      <c r="A64">
        <v>52</v>
      </c>
      <c r="B64" s="6">
        <f ca="1">_xll.meDateFromTenor(B63,"-1D","PRECEDING","TGT")</f>
        <v>43419</v>
      </c>
      <c r="C64" s="15">
        <f ca="1">_xll.BDH(C$9,"PX_LAST",B64,B64)%</f>
        <v>-3.16E-3</v>
      </c>
      <c r="D64">
        <v>52</v>
      </c>
      <c r="E64" s="6">
        <f ca="1">_xll.meDateFromTenor(E63,"-1D","PRECEDING","TGT")</f>
        <v>43419</v>
      </c>
      <c r="F64" s="15">
        <f ca="1">_xll.BDH(F$9,"PX_LAST",E64,E64)%</f>
        <v>-2.5700000000000002E-3</v>
      </c>
      <c r="G64">
        <v>52</v>
      </c>
      <c r="H64" s="6">
        <f ca="1">_xll.meDateFromTenor(H63,"-1D","PRECEDING","NYB:LNB")</f>
        <v>43417</v>
      </c>
      <c r="I64" s="15">
        <f ca="1">_xll.BDH(I$9,"PX_LAST",H64,H64)%</f>
        <v>2.6161300000000002E-2</v>
      </c>
      <c r="J64">
        <v>52</v>
      </c>
      <c r="K64" s="6">
        <f ca="1">_xll.meDateFromTenor(K63,"-1D","PRECEDING","NYB:LNB")</f>
        <v>43417</v>
      </c>
      <c r="L64" s="15">
        <f ca="1">_xll.BDH(L$9,"PX_LAST",K64,K64)%</f>
        <v>2.8549999999999999E-2</v>
      </c>
      <c r="M64">
        <v>52</v>
      </c>
      <c r="N64" s="6">
        <f ca="1">_xll.meDateFromTenor(N63,"-1D","PRECEDING","SYB:LNB")</f>
        <v>43418</v>
      </c>
      <c r="O64" s="15">
        <f ca="1">_xll.BDH(O$9,"PX_LAST",N64,N64)%</f>
        <v>1.9438E-2</v>
      </c>
      <c r="P64">
        <v>52</v>
      </c>
      <c r="Q64" s="6">
        <f ca="1">_xll.meDateFromTenor(Q63,"-1D","PRECEDING","SYB:LNB")</f>
        <v>43418</v>
      </c>
      <c r="R64" s="15">
        <f ca="1">_xll.BDH(R$9,"PX_LAST",Q64,Q64)%</f>
        <v>2.1099999999999997E-2</v>
      </c>
      <c r="S64">
        <v>52</v>
      </c>
      <c r="T64" s="6">
        <f ca="1">_xll.meDateFromTenor(T63,"-1D","PRECEDING","SYB:LNB")</f>
        <v>43418</v>
      </c>
      <c r="U64" s="15">
        <f ca="1">_xll.BDH(U$9,"PX_LAST",T64,T64)%</f>
        <v>-1.0617000000000001E-3</v>
      </c>
      <c r="V64">
        <v>52</v>
      </c>
      <c r="W64" s="6">
        <f ca="1">_xll.meDateFromTenor(W63,"-1D","PRECEDING","SYB:LNB")</f>
        <v>43418</v>
      </c>
      <c r="X64" s="15">
        <f ca="1">_xll.BDH(X$9,"PX_LAST",W64,W64)%</f>
        <v>7.8300000000000006E-5</v>
      </c>
    </row>
    <row r="65" spans="1:24">
      <c r="A65">
        <v>53</v>
      </c>
      <c r="B65" s="6">
        <f ca="1">_xll.meDateFromTenor(B64,"-1D","PRECEDING","TGT")</f>
        <v>43418</v>
      </c>
      <c r="C65" s="15">
        <f ca="1">_xll.BDH(C$9,"PX_LAST",B65,B65)%</f>
        <v>-3.16E-3</v>
      </c>
      <c r="D65">
        <v>53</v>
      </c>
      <c r="E65" s="6">
        <f ca="1">_xll.meDateFromTenor(E64,"-1D","PRECEDING","TGT")</f>
        <v>43418</v>
      </c>
      <c r="F65" s="15">
        <f ca="1">_xll.BDH(F$9,"PX_LAST",E65,E65)%</f>
        <v>-2.5700000000000002E-3</v>
      </c>
      <c r="G65">
        <v>53</v>
      </c>
      <c r="H65" s="6">
        <f ca="1">_xll.meDateFromTenor(H64,"-1D","PRECEDING","NYB:LNB")</f>
        <v>43413</v>
      </c>
      <c r="I65" s="15">
        <f ca="1">_xll.BDH(I$9,"PX_LAST",H65,H65)%</f>
        <v>2.6181299999999998E-2</v>
      </c>
      <c r="J65">
        <v>53</v>
      </c>
      <c r="K65" s="6">
        <f ca="1">_xll.meDateFromTenor(K64,"-1D","PRECEDING","NYB:LNB")</f>
        <v>43413</v>
      </c>
      <c r="L65" s="15">
        <f ca="1">_xll.BDH(L$9,"PX_LAST",K65,K65)%</f>
        <v>2.8580000000000001E-2</v>
      </c>
      <c r="M65">
        <v>53</v>
      </c>
      <c r="N65" s="6">
        <f ca="1">_xll.meDateFromTenor(N64,"-1D","PRECEDING","SYB:LNB")</f>
        <v>43417</v>
      </c>
      <c r="O65" s="15">
        <f ca="1">_xll.BDH(O$9,"PX_LAST",N65,N65)%</f>
        <v>1.9400000000000001E-2</v>
      </c>
      <c r="P65">
        <v>53</v>
      </c>
      <c r="Q65" s="6">
        <f ca="1">_xll.meDateFromTenor(Q64,"-1D","PRECEDING","SYB:LNB")</f>
        <v>43417</v>
      </c>
      <c r="R65" s="15">
        <f ca="1">_xll.BDH(R$9,"PX_LAST",Q65,Q65)%</f>
        <v>2.1099999999999997E-2</v>
      </c>
      <c r="S65">
        <v>53</v>
      </c>
      <c r="T65" s="6">
        <f ca="1">_xll.meDateFromTenor(T64,"-1D","PRECEDING","SYB:LNB")</f>
        <v>43417</v>
      </c>
      <c r="U65" s="15">
        <f ca="1">_xll.BDH(U$9,"PX_LAST",T65,T65)%</f>
        <v>-1.0133E-3</v>
      </c>
      <c r="V65">
        <v>53</v>
      </c>
      <c r="W65" s="6">
        <f ca="1">_xll.meDateFromTenor(W64,"-1D","PRECEDING","SYB:LNB")</f>
        <v>43417</v>
      </c>
      <c r="X65" s="15">
        <f ca="1">_xll.BDH(X$9,"PX_LAST",W65,W65)%</f>
        <v>1.25E-4</v>
      </c>
    </row>
    <row r="66" spans="1:24">
      <c r="A66">
        <v>54</v>
      </c>
      <c r="B66" s="6">
        <f ca="1">_xll.meDateFromTenor(B65,"-1D","PRECEDING","TGT")</f>
        <v>43417</v>
      </c>
      <c r="C66" s="15">
        <f ca="1">_xll.BDH(C$9,"PX_LAST",B66,B66)%</f>
        <v>-3.16E-3</v>
      </c>
      <c r="D66">
        <v>54</v>
      </c>
      <c r="E66" s="6">
        <f ca="1">_xll.meDateFromTenor(E65,"-1D","PRECEDING","TGT")</f>
        <v>43417</v>
      </c>
      <c r="F66" s="15">
        <f ca="1">_xll.BDH(F$9,"PX_LAST",E66,E66)%</f>
        <v>-2.5700000000000002E-3</v>
      </c>
      <c r="G66">
        <v>54</v>
      </c>
      <c r="H66" s="6">
        <f ca="1">_xll.meDateFromTenor(H65,"-1D","PRECEDING","NYB:LNB")</f>
        <v>43412</v>
      </c>
      <c r="I66" s="15">
        <f ca="1">_xll.BDH(I$9,"PX_LAST",H66,H66)%</f>
        <v>2.6146300000000001E-2</v>
      </c>
      <c r="J66">
        <v>54</v>
      </c>
      <c r="K66" s="6">
        <f ca="1">_xll.meDateFromTenor(K65,"-1D","PRECEDING","NYB:LNB")</f>
        <v>43412</v>
      </c>
      <c r="L66" s="15">
        <f ca="1">_xll.BDH(L$9,"PX_LAST",K66,K66)%</f>
        <v>2.8576299999999999E-2</v>
      </c>
      <c r="M66">
        <v>54</v>
      </c>
      <c r="N66" s="6">
        <f ca="1">_xll.meDateFromTenor(N65,"-1D","PRECEDING","SYB:LNB")</f>
        <v>43416</v>
      </c>
      <c r="O66" s="15">
        <f ca="1">_xll.BDH(O$9,"PX_LAST",N66,N66)%</f>
        <v>1.9400000000000001E-2</v>
      </c>
      <c r="P66">
        <v>54</v>
      </c>
      <c r="Q66" s="6">
        <f ca="1">_xll.meDateFromTenor(Q65,"-1D","PRECEDING","SYB:LNB")</f>
        <v>43416</v>
      </c>
      <c r="R66" s="15">
        <f ca="1">_xll.BDH(R$9,"PX_LAST",Q66,Q66)%</f>
        <v>2.1099999999999997E-2</v>
      </c>
      <c r="S66">
        <v>54</v>
      </c>
      <c r="T66" s="6">
        <f ca="1">_xll.meDateFromTenor(T65,"-1D","PRECEDING","SYB:LNB")</f>
        <v>43416</v>
      </c>
      <c r="U66" s="15">
        <f ca="1">_xll.BDH(U$9,"PX_LAST",T66,T66)%</f>
        <v>-9.8830000000000012E-4</v>
      </c>
      <c r="V66">
        <v>54</v>
      </c>
      <c r="W66" s="6">
        <f ca="1">_xll.meDateFromTenor(W65,"-1D","PRECEDING","SYB:LNB")</f>
        <v>43416</v>
      </c>
      <c r="X66" s="15">
        <f ca="1">_xll.BDH(X$9,"PX_LAST",W66,W66)%</f>
        <v>1.2330000000000002E-4</v>
      </c>
    </row>
    <row r="67" spans="1:24">
      <c r="A67">
        <v>55</v>
      </c>
      <c r="B67" s="6">
        <f ca="1">_xll.meDateFromTenor(B66,"-1D","PRECEDING","TGT")</f>
        <v>43416</v>
      </c>
      <c r="C67" s="15">
        <f ca="1">_xll.BDH(C$9,"PX_LAST",B67,B67)%</f>
        <v>-3.16E-3</v>
      </c>
      <c r="D67">
        <v>55</v>
      </c>
      <c r="E67" s="6">
        <f ca="1">_xll.meDateFromTenor(E66,"-1D","PRECEDING","TGT")</f>
        <v>43416</v>
      </c>
      <c r="F67" s="15">
        <f ca="1">_xll.BDH(F$9,"PX_LAST",E67,E67)%</f>
        <v>-2.5700000000000002E-3</v>
      </c>
      <c r="G67">
        <v>55</v>
      </c>
      <c r="H67" s="6">
        <f ca="1">_xll.meDateFromTenor(H66,"-1D","PRECEDING","NYB:LNB")</f>
        <v>43411</v>
      </c>
      <c r="I67" s="15">
        <f ca="1">_xll.BDH(I$9,"PX_LAST",H67,H67)%</f>
        <v>2.6011300000000001E-2</v>
      </c>
      <c r="J67">
        <v>55</v>
      </c>
      <c r="K67" s="6">
        <f ca="1">_xll.meDateFromTenor(K66,"-1D","PRECEDING","NYB:LNB")</f>
        <v>43411</v>
      </c>
      <c r="L67" s="15">
        <f ca="1">_xll.BDH(L$9,"PX_LAST",K67,K67)%</f>
        <v>2.8435000000000002E-2</v>
      </c>
      <c r="M67">
        <v>55</v>
      </c>
      <c r="N67" s="6">
        <f ca="1">_xll.meDateFromTenor(N66,"-1D","PRECEDING","SYB:LNB")</f>
        <v>43413</v>
      </c>
      <c r="O67" s="15">
        <f ca="1">_xll.BDH(O$9,"PX_LAST",N67,N67)%</f>
        <v>1.9400000000000001E-2</v>
      </c>
      <c r="P67">
        <v>55</v>
      </c>
      <c r="Q67" s="6">
        <f ca="1">_xll.meDateFromTenor(Q66,"-1D","PRECEDING","SYB:LNB")</f>
        <v>43413</v>
      </c>
      <c r="R67" s="15">
        <f ca="1">_xll.BDH(R$9,"PX_LAST",Q67,Q67)%</f>
        <v>2.1099999999999997E-2</v>
      </c>
      <c r="S67">
        <v>55</v>
      </c>
      <c r="T67" s="6">
        <f ca="1">_xll.meDateFromTenor(T66,"-1D","PRECEDING","SYB:LNB")</f>
        <v>43413</v>
      </c>
      <c r="U67" s="15">
        <f ca="1">_xll.BDH(U$9,"PX_LAST",T67,T67)%</f>
        <v>-1.0333E-3</v>
      </c>
      <c r="V67">
        <v>55</v>
      </c>
      <c r="W67" s="6">
        <f ca="1">_xll.meDateFromTenor(W66,"-1D","PRECEDING","SYB:LNB")</f>
        <v>43413</v>
      </c>
      <c r="X67" s="15">
        <f ca="1">_xll.BDH(X$9,"PX_LAST",W67,W67)%</f>
        <v>8.9999999999999992E-5</v>
      </c>
    </row>
    <row r="68" spans="1:24">
      <c r="A68">
        <v>56</v>
      </c>
      <c r="B68" s="6">
        <f ca="1">_xll.meDateFromTenor(B67,"-1D","PRECEDING","TGT")</f>
        <v>43413</v>
      </c>
      <c r="C68" s="15">
        <f ca="1">_xll.BDH(C$9,"PX_LAST",B68,B68)%</f>
        <v>-3.16E-3</v>
      </c>
      <c r="D68">
        <v>56</v>
      </c>
      <c r="E68" s="6">
        <f ca="1">_xll.meDateFromTenor(E67,"-1D","PRECEDING","TGT")</f>
        <v>43413</v>
      </c>
      <c r="F68" s="15">
        <f ca="1">_xll.BDH(F$9,"PX_LAST",E68,E68)%</f>
        <v>-2.5700000000000002E-3</v>
      </c>
      <c r="G68">
        <v>56</v>
      </c>
      <c r="H68" s="6">
        <f ca="1">_xll.meDateFromTenor(H67,"-1D","PRECEDING","NYB:LNB")</f>
        <v>43410</v>
      </c>
      <c r="I68" s="15">
        <f ca="1">_xll.BDH(I$9,"PX_LAST",H68,H68)%</f>
        <v>2.5912500000000002E-2</v>
      </c>
      <c r="J68">
        <v>56</v>
      </c>
      <c r="K68" s="6">
        <f ca="1">_xll.meDateFromTenor(K67,"-1D","PRECEDING","NYB:LNB")</f>
        <v>43410</v>
      </c>
      <c r="L68" s="15">
        <f ca="1">_xll.BDH(L$9,"PX_LAST",K68,K68)%</f>
        <v>2.8414999999999999E-2</v>
      </c>
      <c r="M68">
        <v>56</v>
      </c>
      <c r="N68" s="6">
        <f ca="1">_xll.meDateFromTenor(N67,"-1D","PRECEDING","SYB:LNB")</f>
        <v>43412</v>
      </c>
      <c r="O68" s="15">
        <f ca="1">_xll.BDH(O$9,"PX_LAST",N68,N68)%</f>
        <v>1.9400000000000001E-2</v>
      </c>
      <c r="P68">
        <v>56</v>
      </c>
      <c r="Q68" s="6">
        <f ca="1">_xll.meDateFromTenor(Q67,"-1D","PRECEDING","SYB:LNB")</f>
        <v>43412</v>
      </c>
      <c r="R68" s="15">
        <f ca="1">_xll.BDH(R$9,"PX_LAST",Q68,Q68)%</f>
        <v>2.1099999999999997E-2</v>
      </c>
      <c r="S68">
        <v>56</v>
      </c>
      <c r="T68" s="6">
        <f ca="1">_xll.meDateFromTenor(T67,"-1D","PRECEDING","SYB:LNB")</f>
        <v>43412</v>
      </c>
      <c r="U68" s="15">
        <f ca="1">_xll.BDH(U$9,"PX_LAST",T68,T68)%</f>
        <v>-1.0349999999999999E-3</v>
      </c>
      <c r="V68">
        <v>56</v>
      </c>
      <c r="W68" s="6">
        <f ca="1">_xll.meDateFromTenor(W67,"-1D","PRECEDING","SYB:LNB")</f>
        <v>43412</v>
      </c>
      <c r="X68" s="15">
        <f ca="1">_xll.BDH(X$9,"PX_LAST",W68,W68)%</f>
        <v>6.8300000000000007E-5</v>
      </c>
    </row>
    <row r="69" spans="1:24">
      <c r="A69">
        <v>57</v>
      </c>
      <c r="B69" s="6">
        <f ca="1">_xll.meDateFromTenor(B68,"-1D","PRECEDING","TGT")</f>
        <v>43412</v>
      </c>
      <c r="C69" s="15">
        <f ca="1">_xll.BDH(C$9,"PX_LAST",B69,B69)%</f>
        <v>-3.16E-3</v>
      </c>
      <c r="D69">
        <v>57</v>
      </c>
      <c r="E69" s="6">
        <f ca="1">_xll.meDateFromTenor(E68,"-1D","PRECEDING","TGT")</f>
        <v>43412</v>
      </c>
      <c r="F69" s="15">
        <f ca="1">_xll.BDH(F$9,"PX_LAST",E69,E69)%</f>
        <v>-2.5700000000000002E-3</v>
      </c>
      <c r="G69">
        <v>57</v>
      </c>
      <c r="H69" s="6">
        <f ca="1">_xll.meDateFromTenor(H68,"-1D","PRECEDING","NYB:LNB")</f>
        <v>43409</v>
      </c>
      <c r="I69" s="15">
        <f ca="1">_xll.BDH(I$9,"PX_LAST",H69,H69)%</f>
        <v>2.5892499999999999E-2</v>
      </c>
      <c r="J69">
        <v>57</v>
      </c>
      <c r="K69" s="6">
        <f ca="1">_xll.meDateFromTenor(K68,"-1D","PRECEDING","NYB:LNB")</f>
        <v>43409</v>
      </c>
      <c r="L69" s="15">
        <f ca="1">_xll.BDH(L$9,"PX_LAST",K69,K69)%</f>
        <v>2.8357500000000001E-2</v>
      </c>
      <c r="M69">
        <v>57</v>
      </c>
      <c r="N69" s="6">
        <f ca="1">_xll.meDateFromTenor(N68,"-1D","PRECEDING","SYB:LNB")</f>
        <v>43411</v>
      </c>
      <c r="O69" s="15">
        <f ca="1">_xll.BDH(O$9,"PX_LAST",N69,N69)%</f>
        <v>1.9400000000000001E-2</v>
      </c>
      <c r="P69">
        <v>57</v>
      </c>
      <c r="Q69" s="6">
        <f ca="1">_xll.meDateFromTenor(Q68,"-1D","PRECEDING","SYB:LNB")</f>
        <v>43411</v>
      </c>
      <c r="R69" s="15">
        <f ca="1">_xll.BDH(R$9,"PX_LAST",Q69,Q69)%</f>
        <v>2.1000000000000001E-2</v>
      </c>
      <c r="S69">
        <v>57</v>
      </c>
      <c r="T69" s="6">
        <f ca="1">_xll.meDateFromTenor(T68,"-1D","PRECEDING","SYB:LNB")</f>
        <v>43411</v>
      </c>
      <c r="U69" s="15">
        <f ca="1">_xll.BDH(U$9,"PX_LAST",T69,T69)%</f>
        <v>-9.9500000000000001E-4</v>
      </c>
      <c r="V69">
        <v>57</v>
      </c>
      <c r="W69" s="6">
        <f ca="1">_xll.meDateFromTenor(W68,"-1D","PRECEDING","SYB:LNB")</f>
        <v>43411</v>
      </c>
      <c r="X69" s="15">
        <f ca="1">_xll.BDH(X$9,"PX_LAST",W69,W69)%</f>
        <v>8.8299999999999991E-5</v>
      </c>
    </row>
    <row r="70" spans="1:24">
      <c r="A70">
        <v>58</v>
      </c>
      <c r="B70" s="6">
        <f ca="1">_xll.meDateFromTenor(B69,"-1D","PRECEDING","TGT")</f>
        <v>43411</v>
      </c>
      <c r="C70" s="15">
        <f ca="1">_xll.BDH(C$9,"PX_LAST",B70,B70)%</f>
        <v>-3.1700000000000001E-3</v>
      </c>
      <c r="D70">
        <v>58</v>
      </c>
      <c r="E70" s="6">
        <f ca="1">_xll.meDateFromTenor(E69,"-1D","PRECEDING","TGT")</f>
        <v>43411</v>
      </c>
      <c r="F70" s="15">
        <f ca="1">_xll.BDH(F$9,"PX_LAST",E70,E70)%</f>
        <v>-2.5800000000000003E-3</v>
      </c>
      <c r="G70">
        <v>58</v>
      </c>
      <c r="H70" s="6">
        <f ca="1">_xll.meDateFromTenor(H69,"-1D","PRECEDING","NYB:LNB")</f>
        <v>43406</v>
      </c>
      <c r="I70" s="15">
        <f ca="1">_xll.BDH(I$9,"PX_LAST",H70,H70)%</f>
        <v>2.59238E-2</v>
      </c>
      <c r="J70">
        <v>58</v>
      </c>
      <c r="K70" s="6">
        <f ca="1">_xll.meDateFromTenor(K69,"-1D","PRECEDING","NYB:LNB")</f>
        <v>43406</v>
      </c>
      <c r="L70" s="15">
        <f ca="1">_xll.BDH(L$9,"PX_LAST",K70,K70)%</f>
        <v>2.8288799999999999E-2</v>
      </c>
      <c r="M70">
        <v>58</v>
      </c>
      <c r="N70" s="6">
        <f ca="1">_xll.meDateFromTenor(N69,"-1D","PRECEDING","SYB:LNB")</f>
        <v>43410</v>
      </c>
      <c r="O70" s="15">
        <f ca="1">_xll.BDH(O$9,"PX_LAST",N70,N70)%</f>
        <v>1.9397999999999999E-2</v>
      </c>
      <c r="P70">
        <v>58</v>
      </c>
      <c r="Q70" s="6">
        <f ca="1">_xll.meDateFromTenor(Q69,"-1D","PRECEDING","SYB:LNB")</f>
        <v>43410</v>
      </c>
      <c r="R70" s="15">
        <f ca="1">_xll.BDH(R$9,"PX_LAST",Q70,Q70)%</f>
        <v>2.1049999999999999E-2</v>
      </c>
      <c r="S70">
        <v>58</v>
      </c>
      <c r="T70" s="6">
        <f ca="1">_xll.meDateFromTenor(T69,"-1D","PRECEDING","SYB:LNB")</f>
        <v>43410</v>
      </c>
      <c r="U70" s="15">
        <f ca="1">_xll.BDH(U$9,"PX_LAST",T70,T70)%</f>
        <v>-9.4830000000000001E-4</v>
      </c>
      <c r="V70">
        <v>58</v>
      </c>
      <c r="W70" s="6">
        <f ca="1">_xll.meDateFromTenor(W69,"-1D","PRECEDING","SYB:LNB")</f>
        <v>43410</v>
      </c>
      <c r="X70" s="15">
        <f ca="1">_xll.BDH(X$9,"PX_LAST",W70,W70)%</f>
        <v>1.0999999999999999E-4</v>
      </c>
    </row>
    <row r="71" spans="1:24">
      <c r="A71">
        <v>59</v>
      </c>
      <c r="B71" s="6">
        <f ca="1">_xll.meDateFromTenor(B70,"-1D","PRECEDING","TGT")</f>
        <v>43410</v>
      </c>
      <c r="C71" s="15">
        <f ca="1">_xll.BDH(C$9,"PX_LAST",B71,B71)%</f>
        <v>-3.1700000000000001E-3</v>
      </c>
      <c r="D71">
        <v>59</v>
      </c>
      <c r="E71" s="6">
        <f ca="1">_xll.meDateFromTenor(E70,"-1D","PRECEDING","TGT")</f>
        <v>43410</v>
      </c>
      <c r="F71" s="15">
        <f ca="1">_xll.BDH(F$9,"PX_LAST",E71,E71)%</f>
        <v>-2.5800000000000003E-3</v>
      </c>
      <c r="G71">
        <v>59</v>
      </c>
      <c r="H71" s="6">
        <f ca="1">_xll.meDateFromTenor(H70,"-1D","PRECEDING","NYB:LNB")</f>
        <v>43405</v>
      </c>
      <c r="I71" s="15">
        <f ca="1">_xll.BDH(I$9,"PX_LAST",H71,H71)%</f>
        <v>2.5815000000000001E-2</v>
      </c>
      <c r="J71">
        <v>59</v>
      </c>
      <c r="K71" s="6">
        <f ca="1">_xll.meDateFromTenor(K70,"-1D","PRECEDING","NYB:LNB")</f>
        <v>43405</v>
      </c>
      <c r="L71" s="15">
        <f ca="1">_xll.BDH(L$9,"PX_LAST",K71,K71)%</f>
        <v>2.8164999999999999E-2</v>
      </c>
      <c r="M71">
        <v>59</v>
      </c>
      <c r="N71" s="6">
        <f ca="1">_xll.meDateFromTenor(N70,"-1D","PRECEDING","SYB:LNB")</f>
        <v>43409</v>
      </c>
      <c r="O71" s="15">
        <f ca="1">_xll.BDH(O$9,"PX_LAST",N71,N71)%</f>
        <v>1.9349999999999999E-2</v>
      </c>
      <c r="P71">
        <v>59</v>
      </c>
      <c r="Q71" s="6">
        <f ca="1">_xll.meDateFromTenor(Q70,"-1D","PRECEDING","SYB:LNB")</f>
        <v>43409</v>
      </c>
      <c r="R71" s="15">
        <f ca="1">_xll.BDH(R$9,"PX_LAST",Q71,Q71)%</f>
        <v>2.1000000000000001E-2</v>
      </c>
      <c r="S71">
        <v>59</v>
      </c>
      <c r="T71" s="6">
        <f ca="1">_xll.meDateFromTenor(T70,"-1D","PRECEDING","SYB:LNB")</f>
        <v>43409</v>
      </c>
      <c r="U71" s="15">
        <f ca="1">_xll.BDH(U$9,"PX_LAST",T71,T71)%</f>
        <v>-9.3999999999999997E-4</v>
      </c>
      <c r="V71">
        <v>59</v>
      </c>
      <c r="W71" s="6">
        <f ca="1">_xll.meDateFromTenor(W70,"-1D","PRECEDING","SYB:LNB")</f>
        <v>43409</v>
      </c>
      <c r="X71" s="15">
        <f ca="1">_xll.BDH(X$9,"PX_LAST",W71,W71)%</f>
        <v>1.3669999999999999E-4</v>
      </c>
    </row>
    <row r="72" spans="1:24">
      <c r="A72">
        <v>60</v>
      </c>
      <c r="B72" s="6">
        <f ca="1">_xll.meDateFromTenor(B71,"-1D","PRECEDING","TGT")</f>
        <v>43409</v>
      </c>
      <c r="C72" s="15">
        <f ca="1">_xll.BDH(C$9,"PX_LAST",B72,B72)%</f>
        <v>-3.1800000000000001E-3</v>
      </c>
      <c r="D72">
        <v>60</v>
      </c>
      <c r="E72" s="6">
        <f ca="1">_xll.meDateFromTenor(E71,"-1D","PRECEDING","TGT")</f>
        <v>43409</v>
      </c>
      <c r="F72" s="15">
        <f ca="1">_xll.BDH(F$9,"PX_LAST",E72,E72)%</f>
        <v>-2.5700000000000002E-3</v>
      </c>
      <c r="G72">
        <v>60</v>
      </c>
      <c r="H72" s="6">
        <f ca="1">_xll.meDateFromTenor(H71,"-1D","PRECEDING","NYB:LNB")</f>
        <v>43404</v>
      </c>
      <c r="I72" s="15">
        <f ca="1">_xll.BDH(I$9,"PX_LAST",H72,H72)%</f>
        <v>2.5585E-2</v>
      </c>
      <c r="J72">
        <v>60</v>
      </c>
      <c r="K72" s="6">
        <f ca="1">_xll.meDateFromTenor(K71,"-1D","PRECEDING","NYB:LNB")</f>
        <v>43404</v>
      </c>
      <c r="L72" s="15">
        <f ca="1">_xll.BDH(L$9,"PX_LAST",K72,K72)%</f>
        <v>2.8001300000000003E-2</v>
      </c>
      <c r="M72">
        <v>60</v>
      </c>
      <c r="N72" s="6">
        <f ca="1">_xll.meDateFromTenor(N71,"-1D","PRECEDING","SYB:LNB")</f>
        <v>43406</v>
      </c>
      <c r="O72" s="15">
        <f ca="1">_xll.BDH(O$9,"PX_LAST",N72,N72)%</f>
        <v>1.925E-2</v>
      </c>
      <c r="P72">
        <v>60</v>
      </c>
      <c r="Q72" s="6">
        <f ca="1">_xll.meDateFromTenor(Q71,"-1D","PRECEDING","SYB:LNB")</f>
        <v>43406</v>
      </c>
      <c r="R72" s="15">
        <f ca="1">_xll.BDH(R$9,"PX_LAST",Q72,Q72)%</f>
        <v>2.1000000000000001E-2</v>
      </c>
      <c r="S72">
        <v>60</v>
      </c>
      <c r="T72" s="6">
        <f ca="1">_xll.meDateFromTenor(T71,"-1D","PRECEDING","SYB:LNB")</f>
        <v>43406</v>
      </c>
      <c r="U72" s="15">
        <f ca="1">_xll.BDH(U$9,"PX_LAST",T72,T72)%</f>
        <v>-9.5170000000000009E-4</v>
      </c>
      <c r="V72">
        <v>60</v>
      </c>
      <c r="W72" s="6">
        <f ca="1">_xll.meDateFromTenor(W71,"-1D","PRECEDING","SYB:LNB")</f>
        <v>43406</v>
      </c>
      <c r="X72" s="15">
        <f ca="1">_xll.BDH(X$9,"PX_LAST",W72,W72)%</f>
        <v>9.4999999999999992E-5</v>
      </c>
    </row>
    <row r="73" spans="1:24">
      <c r="A73">
        <v>61</v>
      </c>
      <c r="B73" s="6">
        <f ca="1">_xll.meDateFromTenor(B72,"-1D","PRECEDING","TGT")</f>
        <v>43406</v>
      </c>
      <c r="C73" s="15">
        <f ca="1">_xll.BDH(C$9,"PX_LAST",B73,B73)%</f>
        <v>-3.1800000000000001E-3</v>
      </c>
      <c r="D73">
        <v>61</v>
      </c>
      <c r="E73" s="6">
        <f ca="1">_xll.meDateFromTenor(E72,"-1D","PRECEDING","TGT")</f>
        <v>43406</v>
      </c>
      <c r="F73" s="15">
        <f ca="1">_xll.BDH(F$9,"PX_LAST",E73,E73)%</f>
        <v>-2.5800000000000003E-3</v>
      </c>
      <c r="G73">
        <v>61</v>
      </c>
      <c r="H73" s="6">
        <f ca="1">_xll.meDateFromTenor(H72,"-1D","PRECEDING","NYB:LNB")</f>
        <v>43403</v>
      </c>
      <c r="I73" s="15">
        <f ca="1">_xll.BDH(I$9,"PX_LAST",H73,H73)%</f>
        <v>2.5409999999999999E-2</v>
      </c>
      <c r="J73">
        <v>61</v>
      </c>
      <c r="K73" s="6">
        <f ca="1">_xll.meDateFromTenor(K72,"-1D","PRECEDING","NYB:LNB")</f>
        <v>43403</v>
      </c>
      <c r="L73" s="15">
        <f ca="1">_xll.BDH(L$9,"PX_LAST",K73,K73)%</f>
        <v>2.7962500000000001E-2</v>
      </c>
      <c r="M73">
        <v>61</v>
      </c>
      <c r="N73" s="6">
        <f ca="1">_xll.meDateFromTenor(N72,"-1D","PRECEDING","SYB:LNB")</f>
        <v>43405</v>
      </c>
      <c r="O73" s="15">
        <f ca="1">_xll.BDH(O$9,"PX_LAST",N73,N73)%</f>
        <v>1.9199999999999998E-2</v>
      </c>
      <c r="P73">
        <v>61</v>
      </c>
      <c r="Q73" s="6">
        <f ca="1">_xll.meDateFromTenor(Q72,"-1D","PRECEDING","SYB:LNB")</f>
        <v>43405</v>
      </c>
      <c r="R73" s="15">
        <f ca="1">_xll.BDH(R$9,"PX_LAST",Q73,Q73)%</f>
        <v>2.0799999999999999E-2</v>
      </c>
      <c r="S73">
        <v>61</v>
      </c>
      <c r="T73" s="6">
        <f ca="1">_xll.meDateFromTenor(T72,"-1D","PRECEDING","SYB:LNB")</f>
        <v>43405</v>
      </c>
      <c r="U73" s="15">
        <f ca="1">_xll.BDH(U$9,"PX_LAST",T73,T73)%</f>
        <v>-8.8830000000000007E-4</v>
      </c>
      <c r="V73">
        <v>61</v>
      </c>
      <c r="W73" s="6">
        <f ca="1">_xll.meDateFromTenor(W72,"-1D","PRECEDING","SYB:LNB")</f>
        <v>43405</v>
      </c>
      <c r="X73" s="15">
        <f ca="1">_xll.BDH(X$9,"PX_LAST",W73,W73)%</f>
        <v>1.517E-4</v>
      </c>
    </row>
    <row r="74" spans="1:24">
      <c r="A74">
        <v>62</v>
      </c>
      <c r="B74" s="6">
        <f ca="1">_xll.meDateFromTenor(B73,"-1D","PRECEDING","TGT")</f>
        <v>43405</v>
      </c>
      <c r="C74" s="15">
        <f ca="1">_xll.BDH(C$9,"PX_LAST",B74,B74)%</f>
        <v>-3.1800000000000001E-3</v>
      </c>
      <c r="D74">
        <v>62</v>
      </c>
      <c r="E74" s="6">
        <f ca="1">_xll.meDateFromTenor(E73,"-1D","PRECEDING","TGT")</f>
        <v>43405</v>
      </c>
      <c r="F74" s="15">
        <f ca="1">_xll.BDH(F$9,"PX_LAST",E74,E74)%</f>
        <v>-2.5800000000000003E-3</v>
      </c>
      <c r="G74">
        <v>62</v>
      </c>
      <c r="H74" s="6">
        <f ca="1">_xll.meDateFromTenor(H73,"-1D","PRECEDING","NYB:LNB")</f>
        <v>43402</v>
      </c>
      <c r="I74" s="15">
        <f ca="1">_xll.BDH(I$9,"PX_LAST",H74,H74)%</f>
        <v>2.5266299999999998E-2</v>
      </c>
      <c r="J74">
        <v>62</v>
      </c>
      <c r="K74" s="6">
        <f ca="1">_xll.meDateFromTenor(K73,"-1D","PRECEDING","NYB:LNB")</f>
        <v>43402</v>
      </c>
      <c r="L74" s="15">
        <f ca="1">_xll.BDH(L$9,"PX_LAST",K74,K74)%</f>
        <v>2.7817499999999998E-2</v>
      </c>
      <c r="M74">
        <v>62</v>
      </c>
      <c r="N74" s="6">
        <f ca="1">_xll.meDateFromTenor(N73,"-1D","PRECEDING","SYB:LNB")</f>
        <v>43404</v>
      </c>
      <c r="O74" s="15">
        <f ca="1">_xll.BDH(O$9,"PX_LAST",N74,N74)%</f>
        <v>1.9100000000000002E-2</v>
      </c>
      <c r="P74">
        <v>62</v>
      </c>
      <c r="Q74" s="6">
        <f ca="1">_xll.meDateFromTenor(Q73,"-1D","PRECEDING","SYB:LNB")</f>
        <v>43404</v>
      </c>
      <c r="R74" s="15">
        <f ca="1">_xll.BDH(R$9,"PX_LAST",Q74,Q74)%</f>
        <v>2.07E-2</v>
      </c>
      <c r="S74">
        <v>62</v>
      </c>
      <c r="T74" s="6">
        <f ca="1">_xll.meDateFromTenor(T73,"-1D","PRECEDING","SYB:LNB")</f>
        <v>43404</v>
      </c>
      <c r="U74" s="15">
        <f ca="1">_xll.BDH(U$9,"PX_LAST",T74,T74)%</f>
        <v>-8.633E-4</v>
      </c>
      <c r="V74">
        <v>62</v>
      </c>
      <c r="W74" s="6">
        <f ca="1">_xll.meDateFromTenor(W73,"-1D","PRECEDING","SYB:LNB")</f>
        <v>43404</v>
      </c>
      <c r="X74" s="15">
        <f ca="1">_xll.BDH(X$9,"PX_LAST",W74,W74)%</f>
        <v>1.517E-4</v>
      </c>
    </row>
    <row r="75" spans="1:24">
      <c r="A75">
        <v>63</v>
      </c>
      <c r="B75" s="6">
        <f ca="1">_xll.meDateFromTenor(B74,"-1D","PRECEDING","TGT")</f>
        <v>43404</v>
      </c>
      <c r="C75" s="15">
        <f ca="1">_xll.BDH(C$9,"PX_LAST",B75,B75)%</f>
        <v>-3.1800000000000001E-3</v>
      </c>
      <c r="D75">
        <v>63</v>
      </c>
      <c r="E75" s="6">
        <f ca="1">_xll.meDateFromTenor(E74,"-1D","PRECEDING","TGT")</f>
        <v>43404</v>
      </c>
      <c r="F75" s="15">
        <f ca="1">_xll.BDH(F$9,"PX_LAST",E75,E75)%</f>
        <v>-2.5900000000000003E-3</v>
      </c>
      <c r="G75">
        <v>63</v>
      </c>
      <c r="H75" s="6">
        <f ca="1">_xll.meDateFromTenor(H74,"-1D","PRECEDING","NYB:LNB")</f>
        <v>43399</v>
      </c>
      <c r="I75" s="15">
        <f ca="1">_xll.BDH(I$9,"PX_LAST",H75,H75)%</f>
        <v>2.5203799999999998E-2</v>
      </c>
      <c r="J75">
        <v>63</v>
      </c>
      <c r="K75" s="6">
        <f ca="1">_xll.meDateFromTenor(K74,"-1D","PRECEDING","NYB:LNB")</f>
        <v>43399</v>
      </c>
      <c r="L75" s="15">
        <f ca="1">_xll.BDH(L$9,"PX_LAST",K75,K75)%</f>
        <v>2.7767499999999997E-2</v>
      </c>
      <c r="M75">
        <v>63</v>
      </c>
      <c r="N75" s="6">
        <f ca="1">_xll.meDateFromTenor(N74,"-1D","PRECEDING","SYB:LNB")</f>
        <v>43403</v>
      </c>
      <c r="O75" s="15">
        <f ca="1">_xll.BDH(O$9,"PX_LAST",N75,N75)%</f>
        <v>1.9199999999999998E-2</v>
      </c>
      <c r="P75">
        <v>63</v>
      </c>
      <c r="Q75" s="6">
        <f ca="1">_xll.meDateFromTenor(Q74,"-1D","PRECEDING","SYB:LNB")</f>
        <v>43403</v>
      </c>
      <c r="R75" s="15">
        <f ca="1">_xll.BDH(R$9,"PX_LAST",Q75,Q75)%</f>
        <v>2.07E-2</v>
      </c>
      <c r="S75">
        <v>63</v>
      </c>
      <c r="T75" s="6">
        <f ca="1">_xll.meDateFromTenor(T74,"-1D","PRECEDING","SYB:LNB")</f>
        <v>43403</v>
      </c>
      <c r="U75" s="15">
        <f ca="1">_xll.BDH(U$9,"PX_LAST",T75,T75)%</f>
        <v>-9.1829999999999993E-4</v>
      </c>
      <c r="V75">
        <v>63</v>
      </c>
      <c r="W75" s="6">
        <f ca="1">_xll.meDateFromTenor(W74,"-1D","PRECEDING","SYB:LNB")</f>
        <v>43403</v>
      </c>
      <c r="X75" s="15">
        <f ca="1">_xll.BDH(X$9,"PX_LAST",W75,W75)%</f>
        <v>1.55E-4</v>
      </c>
    </row>
    <row r="76" spans="1:24">
      <c r="A76">
        <v>64</v>
      </c>
      <c r="B76" s="6">
        <f ca="1">_xll.meDateFromTenor(B75,"-1D","PRECEDING","TGT")</f>
        <v>43403</v>
      </c>
      <c r="C76" s="15">
        <f ca="1">_xll.BDH(C$9,"PX_LAST",B76,B76)%</f>
        <v>-3.1800000000000001E-3</v>
      </c>
      <c r="D76">
        <v>64</v>
      </c>
      <c r="E76" s="6">
        <f ca="1">_xll.meDateFromTenor(E75,"-1D","PRECEDING","TGT")</f>
        <v>43403</v>
      </c>
      <c r="F76" s="15">
        <f ca="1">_xll.BDH(F$9,"PX_LAST",E76,E76)%</f>
        <v>-2.5900000000000003E-3</v>
      </c>
      <c r="G76">
        <v>64</v>
      </c>
      <c r="H76" s="6">
        <f ca="1">_xll.meDateFromTenor(H75,"-1D","PRECEDING","NYB:LNB")</f>
        <v>43398</v>
      </c>
      <c r="I76" s="15">
        <f ca="1">_xll.BDH(I$9,"PX_LAST",H76,H76)%</f>
        <v>2.5092499999999997E-2</v>
      </c>
      <c r="J76">
        <v>64</v>
      </c>
      <c r="K76" s="6">
        <f ca="1">_xll.meDateFromTenor(K75,"-1D","PRECEDING","NYB:LNB")</f>
        <v>43398</v>
      </c>
      <c r="L76" s="15">
        <f ca="1">_xll.BDH(L$9,"PX_LAST",K76,K76)%</f>
        <v>2.77413E-2</v>
      </c>
      <c r="M76">
        <v>64</v>
      </c>
      <c r="N76" s="6">
        <f ca="1">_xll.meDateFromTenor(N75,"-1D","PRECEDING","SYB:LNB")</f>
        <v>43402</v>
      </c>
      <c r="O76" s="15">
        <f ca="1">_xll.BDH(O$9,"PX_LAST",N76,N76)%</f>
        <v>1.9199999999999998E-2</v>
      </c>
      <c r="P76">
        <v>64</v>
      </c>
      <c r="Q76" s="6">
        <f ca="1">_xll.meDateFromTenor(Q75,"-1D","PRECEDING","SYB:LNB")</f>
        <v>43402</v>
      </c>
      <c r="R76" s="15">
        <f ca="1">_xll.BDH(R$9,"PX_LAST",Q76,Q76)%</f>
        <v>2.07E-2</v>
      </c>
      <c r="S76">
        <v>64</v>
      </c>
      <c r="T76" s="6">
        <f ca="1">_xll.meDateFromTenor(T75,"-1D","PRECEDING","SYB:LNB")</f>
        <v>43402</v>
      </c>
      <c r="U76" s="15">
        <f ca="1">_xll.BDH(U$9,"PX_LAST",T76,T76)%</f>
        <v>-8.9999999999999998E-4</v>
      </c>
      <c r="V76">
        <v>64</v>
      </c>
      <c r="W76" s="6">
        <f ca="1">_xll.meDateFromTenor(W75,"-1D","PRECEDING","SYB:LNB")</f>
        <v>43402</v>
      </c>
      <c r="X76" s="15">
        <f ca="1">_xll.BDH(X$9,"PX_LAST",W76,W76)%</f>
        <v>1.55E-4</v>
      </c>
    </row>
    <row r="77" spans="1:24">
      <c r="A77">
        <v>65</v>
      </c>
      <c r="B77" s="6">
        <f ca="1">_xll.meDateFromTenor(B76,"-1D","PRECEDING","TGT")</f>
        <v>43402</v>
      </c>
      <c r="C77" s="15">
        <f ca="1">_xll.BDH(C$9,"PX_LAST",B77,B77)%</f>
        <v>-3.1800000000000001E-3</v>
      </c>
      <c r="D77">
        <v>65</v>
      </c>
      <c r="E77" s="6">
        <f ca="1">_xll.meDateFromTenor(E76,"-1D","PRECEDING","TGT")</f>
        <v>43402</v>
      </c>
      <c r="F77" s="15">
        <f ca="1">_xll.BDH(F$9,"PX_LAST",E77,E77)%</f>
        <v>-2.5900000000000003E-3</v>
      </c>
      <c r="G77">
        <v>65</v>
      </c>
      <c r="H77" s="6">
        <f ca="1">_xll.meDateFromTenor(H76,"-1D","PRECEDING","NYB:LNB")</f>
        <v>43397</v>
      </c>
      <c r="I77" s="15">
        <f ca="1">_xll.BDH(I$9,"PX_LAST",H77,H77)%</f>
        <v>2.5080000000000002E-2</v>
      </c>
      <c r="J77">
        <v>65</v>
      </c>
      <c r="K77" s="6">
        <f ca="1">_xll.meDateFromTenor(K76,"-1D","PRECEDING","NYB:LNB")</f>
        <v>43397</v>
      </c>
      <c r="L77" s="15">
        <f ca="1">_xll.BDH(L$9,"PX_LAST",K77,K77)%</f>
        <v>2.7597500000000001E-2</v>
      </c>
      <c r="M77">
        <v>65</v>
      </c>
      <c r="N77" s="6">
        <f ca="1">_xll.meDateFromTenor(N76,"-1D","PRECEDING","SYB:LNB")</f>
        <v>43399</v>
      </c>
      <c r="O77" s="15">
        <f ca="1">_xll.BDH(O$9,"PX_LAST",N77,N77)%</f>
        <v>1.9199999999999998E-2</v>
      </c>
      <c r="P77">
        <v>65</v>
      </c>
      <c r="Q77" s="6">
        <f ca="1">_xll.meDateFromTenor(Q76,"-1D","PRECEDING","SYB:LNB")</f>
        <v>43399</v>
      </c>
      <c r="R77" s="15">
        <f ca="1">_xll.BDH(R$9,"PX_LAST",Q77,Q77)%</f>
        <v>2.0750000000000001E-2</v>
      </c>
      <c r="S77">
        <v>65</v>
      </c>
      <c r="T77" s="6">
        <f ca="1">_xll.meDateFromTenor(T76,"-1D","PRECEDING","SYB:LNB")</f>
        <v>43399</v>
      </c>
      <c r="U77" s="15">
        <f ca="1">_xll.BDH(U$9,"PX_LAST",T77,T77)%</f>
        <v>-9.5500000000000001E-4</v>
      </c>
      <c r="V77">
        <v>65</v>
      </c>
      <c r="W77" s="6">
        <f ca="1">_xll.meDateFromTenor(W76,"-1D","PRECEDING","SYB:LNB")</f>
        <v>43399</v>
      </c>
      <c r="X77" s="15">
        <f ca="1">_xll.BDH(X$9,"PX_LAST",W77,W77)%</f>
        <v>1.617E-4</v>
      </c>
    </row>
    <row r="78" spans="1:24">
      <c r="A78">
        <v>66</v>
      </c>
      <c r="B78" s="6">
        <f ca="1">_xll.meDateFromTenor(B77,"-1D","PRECEDING","TGT")</f>
        <v>43399</v>
      </c>
      <c r="C78" s="15">
        <f ca="1">_xll.BDH(C$9,"PX_LAST",B78,B78)%</f>
        <v>-3.1800000000000001E-3</v>
      </c>
      <c r="D78">
        <v>66</v>
      </c>
      <c r="E78" s="6">
        <f ca="1">_xll.meDateFromTenor(E77,"-1D","PRECEDING","TGT")</f>
        <v>43399</v>
      </c>
      <c r="F78" s="15">
        <f ca="1">_xll.BDH(F$9,"PX_LAST",E78,E78)%</f>
        <v>-2.5900000000000003E-3</v>
      </c>
      <c r="G78">
        <v>66</v>
      </c>
      <c r="H78" s="6">
        <f ca="1">_xll.meDateFromTenor(H77,"-1D","PRECEDING","NYB:LNB")</f>
        <v>43396</v>
      </c>
      <c r="I78" s="15">
        <f ca="1">_xll.BDH(I$9,"PX_LAST",H78,H78)%</f>
        <v>2.4898799999999999E-2</v>
      </c>
      <c r="J78">
        <v>66</v>
      </c>
      <c r="K78" s="6">
        <f ca="1">_xll.meDateFromTenor(K77,"-1D","PRECEDING","NYB:LNB")</f>
        <v>43396</v>
      </c>
      <c r="L78" s="15">
        <f ca="1">_xll.BDH(L$9,"PX_LAST",K78,K78)%</f>
        <v>2.7475599999999999E-2</v>
      </c>
      <c r="M78">
        <v>66</v>
      </c>
      <c r="N78" s="6">
        <f ca="1">_xll.meDateFromTenor(N77,"-1D","PRECEDING","SYB:LNB")</f>
        <v>43398</v>
      </c>
      <c r="O78" s="15">
        <f ca="1">_xll.BDH(O$9,"PX_LAST",N78,N78)%</f>
        <v>1.9175000000000001E-2</v>
      </c>
      <c r="P78">
        <v>66</v>
      </c>
      <c r="Q78" s="6">
        <f ca="1">_xll.meDateFromTenor(Q77,"-1D","PRECEDING","SYB:LNB")</f>
        <v>43398</v>
      </c>
      <c r="R78" s="15">
        <f ca="1">_xll.BDH(R$9,"PX_LAST",Q78,Q78)%</f>
        <v>2.0799999999999999E-2</v>
      </c>
      <c r="S78">
        <v>66</v>
      </c>
      <c r="T78" s="6">
        <f ca="1">_xll.meDateFromTenor(T77,"-1D","PRECEDING","SYB:LNB")</f>
        <v>43398</v>
      </c>
      <c r="U78" s="15">
        <f ca="1">_xll.BDH(U$9,"PX_LAST",T78,T78)%</f>
        <v>-9.5170000000000009E-4</v>
      </c>
      <c r="V78">
        <v>66</v>
      </c>
      <c r="W78" s="6">
        <f ca="1">_xll.meDateFromTenor(W77,"-1D","PRECEDING","SYB:LNB")</f>
        <v>43398</v>
      </c>
      <c r="X78" s="15">
        <f ca="1">_xll.BDH(X$9,"PX_LAST",W78,W78)%</f>
        <v>1.4670000000000002E-4</v>
      </c>
    </row>
    <row r="79" spans="1:24">
      <c r="A79">
        <v>67</v>
      </c>
      <c r="B79" s="6">
        <f ca="1">_xll.meDateFromTenor(B78,"-1D","PRECEDING","TGT")</f>
        <v>43398</v>
      </c>
      <c r="C79" s="15">
        <f ca="1">_xll.BDH(C$9,"PX_LAST",B79,B79)%</f>
        <v>-3.1700000000000001E-3</v>
      </c>
      <c r="D79">
        <v>67</v>
      </c>
      <c r="E79" s="6">
        <f ca="1">_xll.meDateFromTenor(E78,"-1D","PRECEDING","TGT")</f>
        <v>43398</v>
      </c>
      <c r="F79" s="15">
        <f ca="1">_xll.BDH(F$9,"PX_LAST",E79,E79)%</f>
        <v>-2.5900000000000003E-3</v>
      </c>
      <c r="G79">
        <v>67</v>
      </c>
      <c r="H79" s="6">
        <f ca="1">_xll.meDateFromTenor(H78,"-1D","PRECEDING","NYB:LNB")</f>
        <v>43395</v>
      </c>
      <c r="I79" s="15">
        <f ca="1">_xll.BDH(I$9,"PX_LAST",H79,H79)%</f>
        <v>2.4873799999999998E-2</v>
      </c>
      <c r="J79">
        <v>67</v>
      </c>
      <c r="K79" s="6">
        <f ca="1">_xll.meDateFromTenor(K78,"-1D","PRECEDING","NYB:LNB")</f>
        <v>43395</v>
      </c>
      <c r="L79" s="15">
        <f ca="1">_xll.BDH(L$9,"PX_LAST",K79,K79)%</f>
        <v>2.7293100000000001E-2</v>
      </c>
      <c r="M79">
        <v>67</v>
      </c>
      <c r="N79" s="6">
        <f ca="1">_xll.meDateFromTenor(N78,"-1D","PRECEDING","SYB:LNB")</f>
        <v>43397</v>
      </c>
      <c r="O79" s="15">
        <f ca="1">_xll.BDH(O$9,"PX_LAST",N79,N79)%</f>
        <v>1.9224999999999999E-2</v>
      </c>
      <c r="P79">
        <v>67</v>
      </c>
      <c r="Q79" s="6">
        <f ca="1">_xll.meDateFromTenor(Q78,"-1D","PRECEDING","SYB:LNB")</f>
        <v>43397</v>
      </c>
      <c r="R79" s="15">
        <f ca="1">_xll.BDH(R$9,"PX_LAST",Q79,Q79)%</f>
        <v>2.0799999999999999E-2</v>
      </c>
      <c r="S79">
        <v>67</v>
      </c>
      <c r="T79" s="6">
        <f ca="1">_xll.meDateFromTenor(T78,"-1D","PRECEDING","SYB:LNB")</f>
        <v>43397</v>
      </c>
      <c r="U79" s="15">
        <f ca="1">_xll.BDH(U$9,"PX_LAST",T79,T79)%</f>
        <v>-8.9829999999999988E-4</v>
      </c>
      <c r="V79">
        <v>67</v>
      </c>
      <c r="W79" s="6">
        <f ca="1">_xll.meDateFromTenor(W78,"-1D","PRECEDING","SYB:LNB")</f>
        <v>43397</v>
      </c>
      <c r="X79" s="15">
        <f ca="1">_xll.BDH(X$9,"PX_LAST",W79,W79)%</f>
        <v>1.6330000000000001E-4</v>
      </c>
    </row>
    <row r="80" spans="1:24">
      <c r="A80">
        <v>68</v>
      </c>
      <c r="B80" s="6">
        <f ca="1">_xll.meDateFromTenor(B79,"-1D","PRECEDING","TGT")</f>
        <v>43397</v>
      </c>
      <c r="C80" s="15">
        <f ca="1">_xll.BDH(C$9,"PX_LAST",B80,B80)%</f>
        <v>-3.1700000000000001E-3</v>
      </c>
      <c r="D80">
        <v>68</v>
      </c>
      <c r="E80" s="6">
        <f ca="1">_xll.meDateFromTenor(E79,"-1D","PRECEDING","TGT")</f>
        <v>43397</v>
      </c>
      <c r="F80" s="15">
        <f ca="1">_xll.BDH(F$9,"PX_LAST",E80,E80)%</f>
        <v>-2.5900000000000003E-3</v>
      </c>
      <c r="G80">
        <v>68</v>
      </c>
      <c r="H80" s="6">
        <f ca="1">_xll.meDateFromTenor(H79,"-1D","PRECEDING","NYB:LNB")</f>
        <v>43392</v>
      </c>
      <c r="I80" s="15">
        <f ca="1">_xll.BDH(I$9,"PX_LAST",H80,H80)%</f>
        <v>2.4771900000000003E-2</v>
      </c>
      <c r="J80">
        <v>68</v>
      </c>
      <c r="K80" s="6">
        <f ca="1">_xll.meDateFromTenor(K79,"-1D","PRECEDING","NYB:LNB")</f>
        <v>43392</v>
      </c>
      <c r="L80" s="15">
        <f ca="1">_xll.BDH(L$9,"PX_LAST",K80,K80)%</f>
        <v>2.7234999999999999E-2</v>
      </c>
      <c r="M80">
        <v>68</v>
      </c>
      <c r="N80" s="6">
        <f ca="1">_xll.meDateFromTenor(N79,"-1D","PRECEDING","SYB:LNB")</f>
        <v>43396</v>
      </c>
      <c r="O80" s="15">
        <f ca="1">_xll.BDH(O$9,"PX_LAST",N80,N80)%</f>
        <v>1.9300000000000001E-2</v>
      </c>
      <c r="P80">
        <v>68</v>
      </c>
      <c r="Q80" s="6">
        <f ca="1">_xll.meDateFromTenor(Q79,"-1D","PRECEDING","SYB:LNB")</f>
        <v>43396</v>
      </c>
      <c r="R80" s="15">
        <f ca="1">_xll.BDH(R$9,"PX_LAST",Q80,Q80)%</f>
        <v>2.0899999999999998E-2</v>
      </c>
      <c r="S80">
        <v>68</v>
      </c>
      <c r="T80" s="6">
        <f ca="1">_xll.meDateFromTenor(T79,"-1D","PRECEDING","SYB:LNB")</f>
        <v>43396</v>
      </c>
      <c r="U80" s="15">
        <f ca="1">_xll.BDH(U$9,"PX_LAST",T80,T80)%</f>
        <v>-9.433E-4</v>
      </c>
      <c r="V80">
        <v>68</v>
      </c>
      <c r="W80" s="6">
        <f ca="1">_xll.meDateFromTenor(W79,"-1D","PRECEDING","SYB:LNB")</f>
        <v>43396</v>
      </c>
      <c r="X80" s="15">
        <f ca="1">_xll.BDH(X$9,"PX_LAST",W80,W80)%</f>
        <v>1.383E-4</v>
      </c>
    </row>
    <row r="81" spans="1:24">
      <c r="A81">
        <v>69</v>
      </c>
      <c r="B81" s="6">
        <f ca="1">_xll.meDateFromTenor(B80,"-1D","PRECEDING","TGT")</f>
        <v>43396</v>
      </c>
      <c r="C81" s="15">
        <f ca="1">_xll.BDH(C$9,"PX_LAST",B81,B81)%</f>
        <v>-3.1700000000000001E-3</v>
      </c>
      <c r="D81">
        <v>69</v>
      </c>
      <c r="E81" s="6">
        <f ca="1">_xll.meDateFromTenor(E80,"-1D","PRECEDING","TGT")</f>
        <v>43396</v>
      </c>
      <c r="F81" s="15">
        <f ca="1">_xll.BDH(F$9,"PX_LAST",E81,E81)%</f>
        <v>-2.5900000000000003E-3</v>
      </c>
      <c r="G81">
        <v>69</v>
      </c>
      <c r="H81" s="6">
        <f ca="1">_xll.meDateFromTenor(H80,"-1D","PRECEDING","NYB:LNB")</f>
        <v>43391</v>
      </c>
      <c r="I81" s="15">
        <f ca="1">_xll.BDH(I$9,"PX_LAST",H81,H81)%</f>
        <v>2.469E-2</v>
      </c>
      <c r="J81">
        <v>69</v>
      </c>
      <c r="K81" s="6">
        <f ca="1">_xll.meDateFromTenor(K80,"-1D","PRECEDING","NYB:LNB")</f>
        <v>43391</v>
      </c>
      <c r="L81" s="15">
        <f ca="1">_xll.BDH(L$9,"PX_LAST",K81,K81)%</f>
        <v>2.6941299999999998E-2</v>
      </c>
      <c r="M81">
        <v>69</v>
      </c>
      <c r="N81" s="6">
        <f ca="1">_xll.meDateFromTenor(N80,"-1D","PRECEDING","SYB:LNB")</f>
        <v>43395</v>
      </c>
      <c r="O81" s="15">
        <f ca="1">_xll.BDH(O$9,"PX_LAST",N81,N81)%</f>
        <v>1.9300000000000001E-2</v>
      </c>
      <c r="P81">
        <v>69</v>
      </c>
      <c r="Q81" s="6">
        <f ca="1">_xll.meDateFromTenor(Q80,"-1D","PRECEDING","SYB:LNB")</f>
        <v>43395</v>
      </c>
      <c r="R81" s="15">
        <f ca="1">_xll.BDH(R$9,"PX_LAST",Q81,Q81)%</f>
        <v>2.0899999999999998E-2</v>
      </c>
      <c r="S81">
        <v>69</v>
      </c>
      <c r="T81" s="6">
        <f ca="1">_xll.meDateFromTenor(T80,"-1D","PRECEDING","SYB:LNB")</f>
        <v>43395</v>
      </c>
      <c r="U81" s="15">
        <f ca="1">_xll.BDH(U$9,"PX_LAST",T81,T81)%</f>
        <v>-9.1329999999999992E-4</v>
      </c>
      <c r="V81">
        <v>69</v>
      </c>
      <c r="W81" s="6">
        <f ca="1">_xll.meDateFromTenor(W80,"-1D","PRECEDING","SYB:LNB")</f>
        <v>43395</v>
      </c>
      <c r="X81" s="15">
        <f ca="1">_xll.BDH(X$9,"PX_LAST",W81,W81)%</f>
        <v>1.3669999999999999E-4</v>
      </c>
    </row>
    <row r="82" spans="1:24">
      <c r="A82">
        <v>70</v>
      </c>
      <c r="B82" s="6">
        <f ca="1">_xll.meDateFromTenor(B81,"-1D","PRECEDING","TGT")</f>
        <v>43395</v>
      </c>
      <c r="C82" s="15">
        <f ca="1">_xll.BDH(C$9,"PX_LAST",B82,B82)%</f>
        <v>-3.1700000000000001E-3</v>
      </c>
      <c r="D82">
        <v>70</v>
      </c>
      <c r="E82" s="6">
        <f ca="1">_xll.meDateFromTenor(E81,"-1D","PRECEDING","TGT")</f>
        <v>43395</v>
      </c>
      <c r="F82" s="15">
        <f ca="1">_xll.BDH(F$9,"PX_LAST",E82,E82)%</f>
        <v>-2.6099999999999999E-3</v>
      </c>
      <c r="G82">
        <v>70</v>
      </c>
      <c r="H82" s="6">
        <f ca="1">_xll.meDateFromTenor(H81,"-1D","PRECEDING","NYB:LNB")</f>
        <v>43390</v>
      </c>
      <c r="I82" s="15">
        <f ca="1">_xll.BDH(I$9,"PX_LAST",H82,H82)%</f>
        <v>2.4496299999999999E-2</v>
      </c>
      <c r="J82">
        <v>70</v>
      </c>
      <c r="K82" s="6">
        <f ca="1">_xll.meDateFromTenor(K81,"-1D","PRECEDING","NYB:LNB")</f>
        <v>43390</v>
      </c>
      <c r="L82" s="15">
        <f ca="1">_xll.BDH(L$9,"PX_LAST",K82,K82)%</f>
        <v>2.66138E-2</v>
      </c>
      <c r="M82">
        <v>70</v>
      </c>
      <c r="N82" s="6">
        <f ca="1">_xll.meDateFromTenor(N81,"-1D","PRECEDING","SYB:LNB")</f>
        <v>43392</v>
      </c>
      <c r="O82" s="15">
        <f ca="1">_xll.BDH(O$9,"PX_LAST",N82,N82)%</f>
        <v>1.9300000000000001E-2</v>
      </c>
      <c r="P82">
        <v>70</v>
      </c>
      <c r="Q82" s="6">
        <f ca="1">_xll.meDateFromTenor(Q81,"-1D","PRECEDING","SYB:LNB")</f>
        <v>43392</v>
      </c>
      <c r="R82" s="15">
        <f ca="1">_xll.BDH(R$9,"PX_LAST",Q82,Q82)%</f>
        <v>2.0950000000000003E-2</v>
      </c>
      <c r="S82">
        <v>70</v>
      </c>
      <c r="T82" s="6">
        <f ca="1">_xll.meDateFromTenor(T81,"-1D","PRECEDING","SYB:LNB")</f>
        <v>43392</v>
      </c>
      <c r="U82" s="15">
        <f ca="1">_xll.BDH(U$9,"PX_LAST",T82,T82)%</f>
        <v>-9.0669999999999998E-4</v>
      </c>
      <c r="V82">
        <v>70</v>
      </c>
      <c r="W82" s="6">
        <f ca="1">_xll.meDateFromTenor(W81,"-1D","PRECEDING","SYB:LNB")</f>
        <v>43392</v>
      </c>
      <c r="X82" s="15">
        <f ca="1">_xll.BDH(X$9,"PX_LAST",W82,W82)%</f>
        <v>1.2330000000000002E-4</v>
      </c>
    </row>
    <row r="83" spans="1:24">
      <c r="A83">
        <v>71</v>
      </c>
      <c r="B83" s="6">
        <f ca="1">_xll.meDateFromTenor(B82,"-1D","PRECEDING","TGT")</f>
        <v>43392</v>
      </c>
      <c r="C83" s="15">
        <f ca="1">_xll.BDH(C$9,"PX_LAST",B83,B83)%</f>
        <v>-3.1700000000000001E-3</v>
      </c>
      <c r="D83">
        <v>71</v>
      </c>
      <c r="E83" s="6">
        <f ca="1">_xll.meDateFromTenor(E82,"-1D","PRECEDING","TGT")</f>
        <v>43392</v>
      </c>
      <c r="F83" s="15">
        <f ca="1">_xll.BDH(F$9,"PX_LAST",E83,E83)%</f>
        <v>-2.6199999999999999E-3</v>
      </c>
      <c r="G83">
        <v>71</v>
      </c>
      <c r="H83" s="6">
        <f ca="1">_xll.meDateFromTenor(H82,"-1D","PRECEDING","NYB:LNB")</f>
        <v>43389</v>
      </c>
      <c r="I83" s="15">
        <f ca="1">_xll.BDH(I$9,"PX_LAST",H83,H83)%</f>
        <v>2.4445600000000001E-2</v>
      </c>
      <c r="J83">
        <v>71</v>
      </c>
      <c r="K83" s="6">
        <f ca="1">_xll.meDateFromTenor(K82,"-1D","PRECEDING","NYB:LNB")</f>
        <v>43389</v>
      </c>
      <c r="L83" s="15">
        <f ca="1">_xll.BDH(L$9,"PX_LAST",K83,K83)%</f>
        <v>2.6574999999999998E-2</v>
      </c>
      <c r="M83">
        <v>71</v>
      </c>
      <c r="N83" s="6">
        <f ca="1">_xll.meDateFromTenor(N82,"-1D","PRECEDING","SYB:LNB")</f>
        <v>43391</v>
      </c>
      <c r="O83" s="15">
        <f ca="1">_xll.BDH(O$9,"PX_LAST",N83,N83)%</f>
        <v>1.9300000000000001E-2</v>
      </c>
      <c r="P83">
        <v>71</v>
      </c>
      <c r="Q83" s="6">
        <f ca="1">_xll.meDateFromTenor(Q82,"-1D","PRECEDING","SYB:LNB")</f>
        <v>43391</v>
      </c>
      <c r="R83" s="15">
        <f ca="1">_xll.BDH(R$9,"PX_LAST",Q83,Q83)%</f>
        <v>2.0899999999999998E-2</v>
      </c>
      <c r="S83">
        <v>71</v>
      </c>
      <c r="T83" s="6">
        <f ca="1">_xll.meDateFromTenor(T82,"-1D","PRECEDING","SYB:LNB")</f>
        <v>43391</v>
      </c>
      <c r="U83" s="15">
        <f ca="1">_xll.BDH(U$9,"PX_LAST",T83,T83)%</f>
        <v>-8.8999999999999995E-4</v>
      </c>
      <c r="V83">
        <v>71</v>
      </c>
      <c r="W83" s="6">
        <f ca="1">_xll.meDateFromTenor(W82,"-1D","PRECEDING","SYB:LNB")</f>
        <v>43391</v>
      </c>
      <c r="X83" s="15">
        <f ca="1">_xll.BDH(X$9,"PX_LAST",W83,W83)%</f>
        <v>1.1169999999999999E-4</v>
      </c>
    </row>
    <row r="84" spans="1:24">
      <c r="A84">
        <v>72</v>
      </c>
      <c r="B84" s="6">
        <f ca="1">_xll.meDateFromTenor(B83,"-1D","PRECEDING","TGT")</f>
        <v>43391</v>
      </c>
      <c r="C84" s="15">
        <f ca="1">_xll.BDH(C$9,"PX_LAST",B84,B84)%</f>
        <v>-3.1700000000000001E-3</v>
      </c>
      <c r="D84">
        <v>72</v>
      </c>
      <c r="E84" s="6">
        <f ca="1">_xll.meDateFromTenor(E83,"-1D","PRECEDING","TGT")</f>
        <v>43391</v>
      </c>
      <c r="F84" s="15">
        <f ca="1">_xll.BDH(F$9,"PX_LAST",E84,E84)%</f>
        <v>-2.65E-3</v>
      </c>
      <c r="G84">
        <v>72</v>
      </c>
      <c r="H84" s="6">
        <f ca="1">_xll.meDateFromTenor(H83,"-1D","PRECEDING","NYB:LNB")</f>
        <v>43388</v>
      </c>
      <c r="I84" s="15">
        <f ca="1">_xll.BDH(I$9,"PX_LAST",H84,H84)%</f>
        <v>2.4488099999999999E-2</v>
      </c>
      <c r="J84">
        <v>72</v>
      </c>
      <c r="K84" s="6">
        <f ca="1">_xll.meDateFromTenor(K83,"-1D","PRECEDING","NYB:LNB")</f>
        <v>43388</v>
      </c>
      <c r="L84" s="15">
        <f ca="1">_xll.BDH(L$9,"PX_LAST",K84,K84)%</f>
        <v>2.6537500000000002E-2</v>
      </c>
      <c r="M84">
        <v>72</v>
      </c>
      <c r="N84" s="6">
        <f ca="1">_xll.meDateFromTenor(N83,"-1D","PRECEDING","SYB:LNB")</f>
        <v>43390</v>
      </c>
      <c r="O84" s="15">
        <f ca="1">_xll.BDH(O$9,"PX_LAST",N84,N84)%</f>
        <v>1.9300000000000001E-2</v>
      </c>
      <c r="P84">
        <v>72</v>
      </c>
      <c r="Q84" s="6">
        <f ca="1">_xll.meDateFromTenor(Q83,"-1D","PRECEDING","SYB:LNB")</f>
        <v>43390</v>
      </c>
      <c r="R84" s="15">
        <f ca="1">_xll.BDH(R$9,"PX_LAST",Q84,Q84)%</f>
        <v>2.1000000000000001E-2</v>
      </c>
      <c r="S84">
        <v>72</v>
      </c>
      <c r="T84" s="6">
        <f ca="1">_xll.meDateFromTenor(T83,"-1D","PRECEDING","SYB:LNB")</f>
        <v>43390</v>
      </c>
      <c r="U84" s="15">
        <f ca="1">_xll.BDH(U$9,"PX_LAST",T84,T84)%</f>
        <v>-8.3500000000000002E-4</v>
      </c>
      <c r="V84">
        <v>72</v>
      </c>
      <c r="W84" s="6">
        <f ca="1">_xll.meDateFromTenor(W83,"-1D","PRECEDING","SYB:LNB")</f>
        <v>43390</v>
      </c>
      <c r="X84" s="15">
        <f ca="1">_xll.BDH(X$9,"PX_LAST",W84,W84)%</f>
        <v>1.2999999999999999E-4</v>
      </c>
    </row>
    <row r="85" spans="1:24">
      <c r="A85">
        <v>73</v>
      </c>
      <c r="B85" s="6">
        <f ca="1">_xll.meDateFromTenor(B84,"-1D","PRECEDING","TGT")</f>
        <v>43390</v>
      </c>
      <c r="C85" s="15">
        <f ca="1">_xll.BDH(C$9,"PX_LAST",B85,B85)%</f>
        <v>-3.1800000000000001E-3</v>
      </c>
      <c r="D85">
        <v>73</v>
      </c>
      <c r="E85" s="6">
        <f ca="1">_xll.meDateFromTenor(E84,"-1D","PRECEDING","TGT")</f>
        <v>43390</v>
      </c>
      <c r="F85" s="15">
        <f ca="1">_xll.BDH(F$9,"PX_LAST",E85,E85)%</f>
        <v>-2.66E-3</v>
      </c>
      <c r="G85">
        <v>73</v>
      </c>
      <c r="H85" s="6">
        <f ca="1">_xll.meDateFromTenor(H84,"-1D","PRECEDING","NYB:LNB")</f>
        <v>43385</v>
      </c>
      <c r="I85" s="15">
        <f ca="1">_xll.BDH(I$9,"PX_LAST",H85,H85)%</f>
        <v>2.4364400000000001E-2</v>
      </c>
      <c r="J85">
        <v>73</v>
      </c>
      <c r="K85" s="6">
        <f ca="1">_xll.meDateFromTenor(K84,"-1D","PRECEDING","NYB:LNB")</f>
        <v>43385</v>
      </c>
      <c r="L85" s="15">
        <f ca="1">_xll.BDH(L$9,"PX_LAST",K85,K85)%</f>
        <v>2.6521300000000001E-2</v>
      </c>
      <c r="M85">
        <v>73</v>
      </c>
      <c r="N85" s="6">
        <f ca="1">_xll.meDateFromTenor(N84,"-1D","PRECEDING","SYB:LNB")</f>
        <v>43389</v>
      </c>
      <c r="O85" s="15">
        <f ca="1">_xll.BDH(O$9,"PX_LAST",N85,N85)%</f>
        <v>1.9400000000000001E-2</v>
      </c>
      <c r="P85">
        <v>73</v>
      </c>
      <c r="Q85" s="6">
        <f ca="1">_xll.meDateFromTenor(Q84,"-1D","PRECEDING","SYB:LNB")</f>
        <v>43389</v>
      </c>
      <c r="R85" s="15">
        <f ca="1">_xll.BDH(R$9,"PX_LAST",Q85,Q85)%</f>
        <v>2.1000000000000001E-2</v>
      </c>
      <c r="S85">
        <v>73</v>
      </c>
      <c r="T85" s="6">
        <f ca="1">_xll.meDateFromTenor(T84,"-1D","PRECEDING","SYB:LNB")</f>
        <v>43389</v>
      </c>
      <c r="U85" s="15">
        <f ca="1">_xll.BDH(U$9,"PX_LAST",T85,T85)%</f>
        <v>-8.3500000000000002E-4</v>
      </c>
      <c r="V85">
        <v>73</v>
      </c>
      <c r="W85" s="6">
        <f ca="1">_xll.meDateFromTenor(W84,"-1D","PRECEDING","SYB:LNB")</f>
        <v>43389</v>
      </c>
      <c r="X85" s="15">
        <f ca="1">_xll.BDH(X$9,"PX_LAST",W85,W85)%</f>
        <v>1.417E-4</v>
      </c>
    </row>
    <row r="86" spans="1:24">
      <c r="A86">
        <v>74</v>
      </c>
      <c r="B86" s="6">
        <f ca="1">_xll.meDateFromTenor(B85,"-1D","PRECEDING","TGT")</f>
        <v>43389</v>
      </c>
      <c r="C86" s="15">
        <f ca="1">_xll.BDH(C$9,"PX_LAST",B86,B86)%</f>
        <v>-3.1800000000000001E-3</v>
      </c>
      <c r="D86">
        <v>74</v>
      </c>
      <c r="E86" s="6">
        <f ca="1">_xll.meDateFromTenor(E85,"-1D","PRECEDING","TGT")</f>
        <v>43389</v>
      </c>
      <c r="F86" s="15">
        <f ca="1">_xll.BDH(F$9,"PX_LAST",E86,E86)%</f>
        <v>-2.65E-3</v>
      </c>
      <c r="G86">
        <v>74</v>
      </c>
      <c r="H86" s="6">
        <f ca="1">_xll.meDateFromTenor(H85,"-1D","PRECEDING","NYB:LNB")</f>
        <v>43384</v>
      </c>
      <c r="I86" s="15">
        <f ca="1">_xll.BDH(I$9,"PX_LAST",H86,H86)%</f>
        <v>2.4363099999999999E-2</v>
      </c>
      <c r="J86">
        <v>74</v>
      </c>
      <c r="K86" s="6">
        <f ca="1">_xll.meDateFromTenor(K85,"-1D","PRECEDING","NYB:LNB")</f>
        <v>43384</v>
      </c>
      <c r="L86" s="15">
        <f ca="1">_xll.BDH(L$9,"PX_LAST",K86,K86)%</f>
        <v>2.6352500000000001E-2</v>
      </c>
      <c r="M86">
        <v>74</v>
      </c>
      <c r="N86" s="6">
        <f ca="1">_xll.meDateFromTenor(N85,"-1D","PRECEDING","SYB:LNB")</f>
        <v>43388</v>
      </c>
      <c r="O86" s="15">
        <f ca="1">_xll.BDH(O$9,"PX_LAST",N86,N86)%</f>
        <v>1.9400000000000001E-2</v>
      </c>
      <c r="P86">
        <v>74</v>
      </c>
      <c r="Q86" s="6">
        <f ca="1">_xll.meDateFromTenor(Q85,"-1D","PRECEDING","SYB:LNB")</f>
        <v>43388</v>
      </c>
      <c r="R86" s="15">
        <f ca="1">_xll.BDH(R$9,"PX_LAST",Q86,Q86)%</f>
        <v>2.1000000000000001E-2</v>
      </c>
      <c r="S86">
        <v>74</v>
      </c>
      <c r="T86" s="6">
        <f ca="1">_xll.meDateFromTenor(T85,"-1D","PRECEDING","SYB:LNB")</f>
        <v>43388</v>
      </c>
      <c r="U86" s="15">
        <f ca="1">_xll.BDH(U$9,"PX_LAST",T86,T86)%</f>
        <v>-8.7999999999999992E-4</v>
      </c>
      <c r="V86">
        <v>74</v>
      </c>
      <c r="W86" s="6">
        <f ca="1">_xll.meDateFromTenor(W85,"-1D","PRECEDING","SYB:LNB")</f>
        <v>43388</v>
      </c>
      <c r="X86" s="15">
        <f ca="1">_xll.BDH(X$9,"PX_LAST",W86,W86)%</f>
        <v>9.8300000000000004E-5</v>
      </c>
    </row>
    <row r="87" spans="1:24">
      <c r="A87">
        <v>75</v>
      </c>
      <c r="B87" s="6">
        <f ca="1">_xll.meDateFromTenor(B86,"-1D","PRECEDING","TGT")</f>
        <v>43388</v>
      </c>
      <c r="C87" s="15">
        <f ca="1">_xll.BDH(C$9,"PX_LAST",B87,B87)%</f>
        <v>-3.1800000000000001E-3</v>
      </c>
      <c r="D87">
        <v>75</v>
      </c>
      <c r="E87" s="6">
        <f ca="1">_xll.meDateFromTenor(E86,"-1D","PRECEDING","TGT")</f>
        <v>43388</v>
      </c>
      <c r="F87" s="15">
        <f ca="1">_xll.BDH(F$9,"PX_LAST",E87,E87)%</f>
        <v>-2.66E-3</v>
      </c>
      <c r="G87">
        <v>75</v>
      </c>
      <c r="H87" s="6">
        <f ca="1">_xll.meDateFromTenor(H86,"-1D","PRECEDING","NYB:LNB")</f>
        <v>43383</v>
      </c>
      <c r="I87" s="15">
        <f ca="1">_xll.BDH(I$9,"PX_LAST",H87,H87)%</f>
        <v>2.4251900000000003E-2</v>
      </c>
      <c r="J87">
        <v>75</v>
      </c>
      <c r="K87" s="6">
        <f ca="1">_xll.meDateFromTenor(K86,"-1D","PRECEDING","NYB:LNB")</f>
        <v>43383</v>
      </c>
      <c r="L87" s="15">
        <f ca="1">_xll.BDH(L$9,"PX_LAST",K87,K87)%</f>
        <v>2.6362500000000001E-2</v>
      </c>
      <c r="M87">
        <v>75</v>
      </c>
      <c r="N87" s="6">
        <f ca="1">_xll.meDateFromTenor(N86,"-1D","PRECEDING","SYB:LNB")</f>
        <v>43385</v>
      </c>
      <c r="O87" s="15">
        <f ca="1">_xll.BDH(O$9,"PX_LAST",N87,N87)%</f>
        <v>1.9400000000000001E-2</v>
      </c>
      <c r="P87">
        <v>75</v>
      </c>
      <c r="Q87" s="6">
        <f ca="1">_xll.meDateFromTenor(Q86,"-1D","PRECEDING","SYB:LNB")</f>
        <v>43385</v>
      </c>
      <c r="R87" s="15">
        <f ca="1">_xll.BDH(R$9,"PX_LAST",Q87,Q87)%</f>
        <v>2.1049999999999999E-2</v>
      </c>
      <c r="S87">
        <v>75</v>
      </c>
      <c r="T87" s="6">
        <f ca="1">_xll.meDateFromTenor(T86,"-1D","PRECEDING","SYB:LNB")</f>
        <v>43385</v>
      </c>
      <c r="U87" s="15">
        <f ca="1">_xll.BDH(U$9,"PX_LAST",T87,T87)%</f>
        <v>-9.0829999999999991E-4</v>
      </c>
      <c r="V87">
        <v>75</v>
      </c>
      <c r="W87" s="6">
        <f ca="1">_xll.meDateFromTenor(W86,"-1D","PRECEDING","SYB:LNB")</f>
        <v>43385</v>
      </c>
      <c r="X87" s="15">
        <f ca="1">_xll.BDH(X$9,"PX_LAST",W87,W87)%</f>
        <v>6.0000000000000002E-5</v>
      </c>
    </row>
    <row r="88" spans="1:24">
      <c r="A88">
        <v>76</v>
      </c>
      <c r="B88" s="6">
        <f ca="1">_xll.meDateFromTenor(B87,"-1D","PRECEDING","TGT")</f>
        <v>43385</v>
      </c>
      <c r="C88" s="15">
        <f ca="1">_xll.BDH(C$9,"PX_LAST",B88,B88)%</f>
        <v>-3.1800000000000001E-3</v>
      </c>
      <c r="D88">
        <v>76</v>
      </c>
      <c r="E88" s="6">
        <f ca="1">_xll.meDateFromTenor(E87,"-1D","PRECEDING","TGT")</f>
        <v>43385</v>
      </c>
      <c r="F88" s="15">
        <f ca="1">_xll.BDH(F$9,"PX_LAST",E88,E88)%</f>
        <v>-2.6700000000000001E-3</v>
      </c>
      <c r="G88">
        <v>76</v>
      </c>
      <c r="H88" s="6">
        <f ca="1">_xll.meDateFromTenor(H87,"-1D","PRECEDING","NYB:LNB")</f>
        <v>43382</v>
      </c>
      <c r="I88" s="15">
        <f ca="1">_xll.BDH(I$9,"PX_LAST",H88,H88)%</f>
        <v>2.4204400000000001E-2</v>
      </c>
      <c r="J88">
        <v>76</v>
      </c>
      <c r="K88" s="6">
        <f ca="1">_xll.meDateFromTenor(K87,"-1D","PRECEDING","NYB:LNB")</f>
        <v>43382</v>
      </c>
      <c r="L88" s="15">
        <f ca="1">_xll.BDH(L$9,"PX_LAST",K88,K88)%</f>
        <v>2.6290000000000001E-2</v>
      </c>
      <c r="M88">
        <v>76</v>
      </c>
      <c r="N88" s="6">
        <f ca="1">_xll.meDateFromTenor(N87,"-1D","PRECEDING","SYB:LNB")</f>
        <v>43384</v>
      </c>
      <c r="O88" s="15">
        <f ca="1">_xll.BDH(O$9,"PX_LAST",N88,N88)%</f>
        <v>1.9384999999999999E-2</v>
      </c>
      <c r="P88">
        <v>76</v>
      </c>
      <c r="Q88" s="6">
        <f ca="1">_xll.meDateFromTenor(Q87,"-1D","PRECEDING","SYB:LNB")</f>
        <v>43384</v>
      </c>
      <c r="R88" s="15">
        <f ca="1">_xll.BDH(R$9,"PX_LAST",Q88,Q88)%</f>
        <v>2.1000000000000001E-2</v>
      </c>
      <c r="S88">
        <v>76</v>
      </c>
      <c r="T88" s="6">
        <f ca="1">_xll.meDateFromTenor(T87,"-1D","PRECEDING","SYB:LNB")</f>
        <v>43384</v>
      </c>
      <c r="U88" s="15">
        <f ca="1">_xll.BDH(U$9,"PX_LAST",T88,T88)%</f>
        <v>-8.3169999999999989E-4</v>
      </c>
      <c r="V88">
        <v>76</v>
      </c>
      <c r="W88" s="6">
        <f ca="1">_xll.meDateFromTenor(W87,"-1D","PRECEDING","SYB:LNB")</f>
        <v>43384</v>
      </c>
      <c r="X88" s="15">
        <f ca="1">_xll.BDH(X$9,"PX_LAST",W88,W88)%</f>
        <v>7.8300000000000006E-5</v>
      </c>
    </row>
    <row r="89" spans="1:24">
      <c r="A89">
        <v>77</v>
      </c>
      <c r="B89" s="6">
        <f ca="1">_xll.meDateFromTenor(B88,"-1D","PRECEDING","TGT")</f>
        <v>43384</v>
      </c>
      <c r="C89" s="15">
        <f ca="1">_xll.BDH(C$9,"PX_LAST",B89,B89)%</f>
        <v>-3.1800000000000001E-3</v>
      </c>
      <c r="D89">
        <v>77</v>
      </c>
      <c r="E89" s="6">
        <f ca="1">_xll.meDateFromTenor(E88,"-1D","PRECEDING","TGT")</f>
        <v>43384</v>
      </c>
      <c r="F89" s="15">
        <f ca="1">_xll.BDH(F$9,"PX_LAST",E89,E89)%</f>
        <v>-2.6700000000000001E-3</v>
      </c>
      <c r="G89">
        <v>77</v>
      </c>
      <c r="H89" s="6">
        <f ca="1">_xll.meDateFromTenor(H88,"-1D","PRECEDING","NYB:LNB")</f>
        <v>43378</v>
      </c>
      <c r="I89" s="15">
        <f ca="1">_xll.BDH(I$9,"PX_LAST",H89,H89)%</f>
        <v>2.4080599999999997E-2</v>
      </c>
      <c r="J89">
        <v>77</v>
      </c>
      <c r="K89" s="6">
        <f ca="1">_xll.meDateFromTenor(K88,"-1D","PRECEDING","NYB:LNB")</f>
        <v>43378</v>
      </c>
      <c r="L89" s="15">
        <f ca="1">_xll.BDH(L$9,"PX_LAST",K89,K89)%</f>
        <v>2.62288E-2</v>
      </c>
      <c r="M89">
        <v>77</v>
      </c>
      <c r="N89" s="6">
        <f ca="1">_xll.meDateFromTenor(N88,"-1D","PRECEDING","SYB:LNB")</f>
        <v>43383</v>
      </c>
      <c r="O89" s="15">
        <f ca="1">_xll.BDH(O$9,"PX_LAST",N89,N89)%</f>
        <v>1.9300000000000001E-2</v>
      </c>
      <c r="P89">
        <v>77</v>
      </c>
      <c r="Q89" s="6">
        <f ca="1">_xll.meDateFromTenor(Q88,"-1D","PRECEDING","SYB:LNB")</f>
        <v>43383</v>
      </c>
      <c r="R89" s="15">
        <f ca="1">_xll.BDH(R$9,"PX_LAST",Q89,Q89)%</f>
        <v>2.1000000000000001E-2</v>
      </c>
      <c r="S89">
        <v>77</v>
      </c>
      <c r="T89" s="6">
        <f ca="1">_xll.meDateFromTenor(T88,"-1D","PRECEDING","SYB:LNB")</f>
        <v>43383</v>
      </c>
      <c r="U89" s="15">
        <f ca="1">_xll.BDH(U$9,"PX_LAST",T89,T89)%</f>
        <v>-7.7170000000000006E-4</v>
      </c>
      <c r="V89">
        <v>77</v>
      </c>
      <c r="W89" s="6">
        <f ca="1">_xll.meDateFromTenor(W88,"-1D","PRECEDING","SYB:LNB")</f>
        <v>43383</v>
      </c>
      <c r="X89" s="15">
        <f ca="1">_xll.BDH(X$9,"PX_LAST",W89,W89)%</f>
        <v>9.3299999999999991E-5</v>
      </c>
    </row>
    <row r="90" spans="1:24">
      <c r="A90">
        <v>78</v>
      </c>
      <c r="B90" s="6">
        <f ca="1">_xll.meDateFromTenor(B89,"-1D","PRECEDING","TGT")</f>
        <v>43383</v>
      </c>
      <c r="C90" s="15">
        <f ca="1">_xll.BDH(C$9,"PX_LAST",B90,B90)%</f>
        <v>-3.1800000000000001E-3</v>
      </c>
      <c r="D90">
        <v>78</v>
      </c>
      <c r="E90" s="6">
        <f ca="1">_xll.meDateFromTenor(E89,"-1D","PRECEDING","TGT")</f>
        <v>43383</v>
      </c>
      <c r="F90" s="15">
        <f ca="1">_xll.BDH(F$9,"PX_LAST",E90,E90)%</f>
        <v>-2.6800000000000001E-3</v>
      </c>
      <c r="G90">
        <v>78</v>
      </c>
      <c r="H90" s="6">
        <f ca="1">_xll.meDateFromTenor(H89,"-1D","PRECEDING","NYB:LNB")</f>
        <v>43377</v>
      </c>
      <c r="I90" s="15">
        <f ca="1">_xll.BDH(I$9,"PX_LAST",H90,H90)%</f>
        <v>2.4096300000000001E-2</v>
      </c>
      <c r="J90">
        <v>78</v>
      </c>
      <c r="K90" s="6">
        <f ca="1">_xll.meDateFromTenor(K89,"-1D","PRECEDING","NYB:LNB")</f>
        <v>43377</v>
      </c>
      <c r="L90" s="15">
        <f ca="1">_xll.BDH(L$9,"PX_LAST",K90,K90)%</f>
        <v>2.6234999999999998E-2</v>
      </c>
      <c r="M90">
        <v>78</v>
      </c>
      <c r="N90" s="6">
        <f ca="1">_xll.meDateFromTenor(N89,"-1D","PRECEDING","SYB:LNB")</f>
        <v>43382</v>
      </c>
      <c r="O90" s="15">
        <f ca="1">_xll.BDH(O$9,"PX_LAST",N90,N90)%</f>
        <v>1.9300000000000001E-2</v>
      </c>
      <c r="P90">
        <v>78</v>
      </c>
      <c r="Q90" s="6">
        <f ca="1">_xll.meDateFromTenor(Q89,"-1D","PRECEDING","SYB:LNB")</f>
        <v>43382</v>
      </c>
      <c r="R90" s="15">
        <f ca="1">_xll.BDH(R$9,"PX_LAST",Q90,Q90)%</f>
        <v>2.1099999999999997E-2</v>
      </c>
      <c r="S90">
        <v>78</v>
      </c>
      <c r="T90" s="6">
        <f ca="1">_xll.meDateFromTenor(T89,"-1D","PRECEDING","SYB:LNB")</f>
        <v>43382</v>
      </c>
      <c r="U90" s="15">
        <f ca="1">_xll.BDH(U$9,"PX_LAST",T90,T90)%</f>
        <v>-7.5999999999999993E-4</v>
      </c>
      <c r="V90">
        <v>78</v>
      </c>
      <c r="W90" s="6">
        <f ca="1">_xll.meDateFromTenor(W89,"-1D","PRECEDING","SYB:LNB")</f>
        <v>43382</v>
      </c>
      <c r="X90" s="15">
        <f ca="1">_xll.BDH(X$9,"PX_LAST",W90,W90)%</f>
        <v>1.0829999999999999E-4</v>
      </c>
    </row>
    <row r="91" spans="1:24">
      <c r="A91">
        <v>79</v>
      </c>
      <c r="B91" s="6">
        <f ca="1">_xll.meDateFromTenor(B90,"-1D","PRECEDING","TGT")</f>
        <v>43382</v>
      </c>
      <c r="C91" s="15">
        <f ca="1">_xll.BDH(C$9,"PX_LAST",B91,B91)%</f>
        <v>-3.1800000000000001E-3</v>
      </c>
      <c r="D91">
        <v>79</v>
      </c>
      <c r="E91" s="6">
        <f ca="1">_xll.meDateFromTenor(E90,"-1D","PRECEDING","TGT")</f>
        <v>43382</v>
      </c>
      <c r="F91" s="15">
        <f ca="1">_xll.BDH(F$9,"PX_LAST",E91,E91)%</f>
        <v>-2.6800000000000001E-3</v>
      </c>
      <c r="G91">
        <v>79</v>
      </c>
      <c r="H91" s="6">
        <f ca="1">_xll.meDateFromTenor(H90,"-1D","PRECEDING","NYB:LNB")</f>
        <v>43376</v>
      </c>
      <c r="I91" s="15">
        <f ca="1">_xll.BDH(I$9,"PX_LAST",H91,H91)%</f>
        <v>2.4082499999999996E-2</v>
      </c>
      <c r="J91">
        <v>79</v>
      </c>
      <c r="K91" s="6">
        <f ca="1">_xll.meDateFromTenor(K90,"-1D","PRECEDING","NYB:LNB")</f>
        <v>43376</v>
      </c>
      <c r="L91" s="15">
        <f ca="1">_xll.BDH(L$9,"PX_LAST",K91,K91)%</f>
        <v>2.6088800000000002E-2</v>
      </c>
      <c r="M91">
        <v>79</v>
      </c>
      <c r="N91" s="6">
        <f ca="1">_xll.meDateFromTenor(N90,"-1D","PRECEDING","SYB:LNB")</f>
        <v>43381</v>
      </c>
      <c r="O91" s="15">
        <f ca="1">_xll.BDH(O$9,"PX_LAST",N91,N91)%</f>
        <v>1.925E-2</v>
      </c>
      <c r="P91">
        <v>79</v>
      </c>
      <c r="Q91" s="6">
        <f ca="1">_xll.meDateFromTenor(Q90,"-1D","PRECEDING","SYB:LNB")</f>
        <v>43381</v>
      </c>
      <c r="R91" s="15">
        <f ca="1">_xll.BDH(R$9,"PX_LAST",Q91,Q91)%</f>
        <v>2.1000000000000001E-2</v>
      </c>
      <c r="S91">
        <v>79</v>
      </c>
      <c r="T91" s="6">
        <f ca="1">_xll.meDateFromTenor(T90,"-1D","PRECEDING","SYB:LNB")</f>
        <v>43381</v>
      </c>
      <c r="U91" s="15">
        <f ca="1">_xll.BDH(U$9,"PX_LAST",T91,T91)%</f>
        <v>-7.2999999999999996E-4</v>
      </c>
      <c r="V91">
        <v>79</v>
      </c>
      <c r="W91" s="6">
        <f ca="1">_xll.meDateFromTenor(W90,"-1D","PRECEDING","SYB:LNB")</f>
        <v>43381</v>
      </c>
      <c r="X91" s="15">
        <f ca="1">_xll.BDH(X$9,"PX_LAST",W91,W91)%</f>
        <v>1.2999999999999999E-4</v>
      </c>
    </row>
    <row r="92" spans="1:24">
      <c r="A92">
        <v>80</v>
      </c>
      <c r="B92" s="6">
        <f ca="1">_xll.meDateFromTenor(B91,"-1D","PRECEDING","TGT")</f>
        <v>43381</v>
      </c>
      <c r="C92" s="15">
        <f ca="1">_xll.BDH(C$9,"PX_LAST",B92,B92)%</f>
        <v>-3.1800000000000001E-3</v>
      </c>
      <c r="D92">
        <v>80</v>
      </c>
      <c r="E92" s="6">
        <f ca="1">_xll.meDateFromTenor(E91,"-1D","PRECEDING","TGT")</f>
        <v>43381</v>
      </c>
      <c r="F92" s="15">
        <f ca="1">_xll.BDH(F$9,"PX_LAST",E92,E92)%</f>
        <v>-2.6700000000000001E-3</v>
      </c>
      <c r="G92">
        <v>80</v>
      </c>
      <c r="H92" s="6">
        <f ca="1">_xll.meDateFromTenor(H91,"-1D","PRECEDING","NYB:LNB")</f>
        <v>43375</v>
      </c>
      <c r="I92" s="15">
        <f ca="1">_xll.BDH(I$9,"PX_LAST",H92,H92)%</f>
        <v>2.4074999999999999E-2</v>
      </c>
      <c r="J92">
        <v>80</v>
      </c>
      <c r="K92" s="6">
        <f ca="1">_xll.meDateFromTenor(K91,"-1D","PRECEDING","NYB:LNB")</f>
        <v>43375</v>
      </c>
      <c r="L92" s="15">
        <f ca="1">_xll.BDH(L$9,"PX_LAST",K92,K92)%</f>
        <v>2.6070000000000003E-2</v>
      </c>
      <c r="M92">
        <v>80</v>
      </c>
      <c r="N92" s="6">
        <f ca="1">_xll.meDateFromTenor(N91,"-1D","PRECEDING","SYB:LNB")</f>
        <v>43378</v>
      </c>
      <c r="O92" s="15">
        <f ca="1">_xll.BDH(O$9,"PX_LAST",N92,N92)%</f>
        <v>1.9275E-2</v>
      </c>
      <c r="P92">
        <v>80</v>
      </c>
      <c r="Q92" s="6">
        <f ca="1">_xll.meDateFromTenor(Q91,"-1D","PRECEDING","SYB:LNB")</f>
        <v>43378</v>
      </c>
      <c r="R92" s="15">
        <f ca="1">_xll.BDH(R$9,"PX_LAST",Q92,Q92)%</f>
        <v>2.1099999999999997E-2</v>
      </c>
      <c r="S92">
        <v>80</v>
      </c>
      <c r="T92" s="6">
        <f ca="1">_xll.meDateFromTenor(T91,"-1D","PRECEDING","SYB:LNB")</f>
        <v>43378</v>
      </c>
      <c r="U92" s="15">
        <f ca="1">_xll.BDH(U$9,"PX_LAST",T92,T92)%</f>
        <v>-6.9169999999999995E-4</v>
      </c>
      <c r="V92">
        <v>80</v>
      </c>
      <c r="W92" s="6">
        <f ca="1">_xll.meDateFromTenor(W91,"-1D","PRECEDING","SYB:LNB")</f>
        <v>43378</v>
      </c>
      <c r="X92" s="15">
        <f ca="1">_xll.BDH(X$9,"PX_LAST",W92,W92)%</f>
        <v>1.5329999999999999E-4</v>
      </c>
    </row>
    <row r="93" spans="1:24">
      <c r="A93">
        <v>81</v>
      </c>
      <c r="B93" s="6">
        <f ca="1">_xll.meDateFromTenor(B92,"-1D","PRECEDING","TGT")</f>
        <v>43378</v>
      </c>
      <c r="C93" s="15">
        <f ca="1">_xll.BDH(C$9,"PX_LAST",B93,B93)%</f>
        <v>-3.1800000000000001E-3</v>
      </c>
      <c r="D93">
        <v>81</v>
      </c>
      <c r="E93" s="6">
        <f ca="1">_xll.meDateFromTenor(E92,"-1D","PRECEDING","TGT")</f>
        <v>43378</v>
      </c>
      <c r="F93" s="15">
        <f ca="1">_xll.BDH(F$9,"PX_LAST",E93,E93)%</f>
        <v>-2.6700000000000001E-3</v>
      </c>
      <c r="G93">
        <v>81</v>
      </c>
      <c r="H93" s="6">
        <f ca="1">_xll.meDateFromTenor(H92,"-1D","PRECEDING","NYB:LNB")</f>
        <v>43374</v>
      </c>
      <c r="I93" s="15">
        <f ca="1">_xll.BDH(I$9,"PX_LAST",H93,H93)%</f>
        <v>2.3981300000000001E-2</v>
      </c>
      <c r="J93">
        <v>81</v>
      </c>
      <c r="K93" s="6">
        <f ca="1">_xll.meDateFromTenor(K92,"-1D","PRECEDING","NYB:LNB")</f>
        <v>43374</v>
      </c>
      <c r="L93" s="15">
        <f ca="1">_xll.BDH(L$9,"PX_LAST",K93,K93)%</f>
        <v>2.6062500000000002E-2</v>
      </c>
      <c r="M93">
        <v>81</v>
      </c>
      <c r="N93" s="6">
        <f ca="1">_xll.meDateFromTenor(N92,"-1D","PRECEDING","SYB:LNB")</f>
        <v>43377</v>
      </c>
      <c r="O93" s="15">
        <f ca="1">_xll.BDH(O$9,"PX_LAST",N93,N93)%</f>
        <v>1.9349999999999999E-2</v>
      </c>
      <c r="P93">
        <v>81</v>
      </c>
      <c r="Q93" s="6">
        <f ca="1">_xll.meDateFromTenor(Q92,"-1D","PRECEDING","SYB:LNB")</f>
        <v>43377</v>
      </c>
      <c r="R93" s="15">
        <f ca="1">_xll.BDH(R$9,"PX_LAST",Q93,Q93)%</f>
        <v>2.12E-2</v>
      </c>
      <c r="S93">
        <v>81</v>
      </c>
      <c r="T93" s="6">
        <f ca="1">_xll.meDateFromTenor(T92,"-1D","PRECEDING","SYB:LNB")</f>
        <v>43377</v>
      </c>
      <c r="U93" s="15">
        <f ca="1">_xll.BDH(U$9,"PX_LAST",T93,T93)%</f>
        <v>-6.9830000000000001E-4</v>
      </c>
      <c r="V93">
        <v>81</v>
      </c>
      <c r="W93" s="6">
        <f ca="1">_xll.meDateFromTenor(W92,"-1D","PRECEDING","SYB:LNB")</f>
        <v>43377</v>
      </c>
      <c r="X93" s="15">
        <f ca="1">_xll.BDH(X$9,"PX_LAST",W93,W93)%</f>
        <v>1.6830000000000003E-4</v>
      </c>
    </row>
    <row r="94" spans="1:24">
      <c r="A94">
        <v>82</v>
      </c>
      <c r="B94" s="6">
        <f ca="1">_xll.meDateFromTenor(B93,"-1D","PRECEDING","TGT")</f>
        <v>43377</v>
      </c>
      <c r="C94" s="15">
        <f ca="1">_xll.BDH(C$9,"PX_LAST",B94,B94)%</f>
        <v>-3.1800000000000001E-3</v>
      </c>
      <c r="D94">
        <v>82</v>
      </c>
      <c r="E94" s="6">
        <f ca="1">_xll.meDateFromTenor(E93,"-1D","PRECEDING","TGT")</f>
        <v>43377</v>
      </c>
      <c r="F94" s="15">
        <f ca="1">_xll.BDH(F$9,"PX_LAST",E94,E94)%</f>
        <v>-2.6800000000000001E-3</v>
      </c>
      <c r="G94">
        <v>82</v>
      </c>
      <c r="H94" s="6">
        <f ca="1">_xll.meDateFromTenor(H93,"-1D","PRECEDING","NYB:LNB")</f>
        <v>43371</v>
      </c>
      <c r="I94" s="15">
        <f ca="1">_xll.BDH(I$9,"PX_LAST",H94,H94)%</f>
        <v>2.39838E-2</v>
      </c>
      <c r="J94">
        <v>82</v>
      </c>
      <c r="K94" s="6">
        <f ca="1">_xll.meDateFromTenor(K93,"-1D","PRECEDING","NYB:LNB")</f>
        <v>43371</v>
      </c>
      <c r="L94" s="15">
        <f ca="1">_xll.BDH(L$9,"PX_LAST",K94,K94)%</f>
        <v>2.6038800000000001E-2</v>
      </c>
      <c r="M94">
        <v>82</v>
      </c>
      <c r="N94" s="6">
        <f ca="1">_xll.meDateFromTenor(N93,"-1D","PRECEDING","SYB:LNB")</f>
        <v>43376</v>
      </c>
      <c r="O94" s="15">
        <f ca="1">_xll.BDH(O$9,"PX_LAST",N94,N94)%</f>
        <v>1.9325000000000002E-2</v>
      </c>
      <c r="P94">
        <v>82</v>
      </c>
      <c r="Q94" s="6">
        <f ca="1">_xll.meDateFromTenor(Q93,"-1D","PRECEDING","SYB:LNB")</f>
        <v>43376</v>
      </c>
      <c r="R94" s="15">
        <f ca="1">_xll.BDH(R$9,"PX_LAST",Q94,Q94)%</f>
        <v>2.12E-2</v>
      </c>
      <c r="S94">
        <v>82</v>
      </c>
      <c r="T94" s="6">
        <f ca="1">_xll.meDateFromTenor(T93,"-1D","PRECEDING","SYB:LNB")</f>
        <v>43376</v>
      </c>
      <c r="U94" s="15">
        <f ca="1">_xll.BDH(U$9,"PX_LAST",T94,T94)%</f>
        <v>-6.5499999999999998E-4</v>
      </c>
      <c r="V94">
        <v>82</v>
      </c>
      <c r="W94" s="6">
        <f ca="1">_xll.meDateFromTenor(W93,"-1D","PRECEDING","SYB:LNB")</f>
        <v>43376</v>
      </c>
      <c r="X94" s="15">
        <f ca="1">_xll.BDH(X$9,"PX_LAST",W94,W94)%</f>
        <v>1.4999999999999999E-4</v>
      </c>
    </row>
    <row r="95" spans="1:24">
      <c r="A95">
        <v>83</v>
      </c>
      <c r="B95" s="6">
        <f ca="1">_xll.meDateFromTenor(B94,"-1D","PRECEDING","TGT")</f>
        <v>43376</v>
      </c>
      <c r="C95" s="15">
        <f ca="1">_xll.BDH(C$9,"PX_LAST",B95,B95)%</f>
        <v>-3.1800000000000001E-3</v>
      </c>
      <c r="D95">
        <v>83</v>
      </c>
      <c r="E95" s="6">
        <f ca="1">_xll.meDateFromTenor(E94,"-1D","PRECEDING","TGT")</f>
        <v>43376</v>
      </c>
      <c r="F95" s="15">
        <f ca="1">_xll.BDH(F$9,"PX_LAST",E95,E95)%</f>
        <v>-2.6700000000000001E-3</v>
      </c>
      <c r="G95">
        <v>83</v>
      </c>
      <c r="H95" s="6">
        <f ca="1">_xll.meDateFromTenor(H94,"-1D","PRECEDING","NYB:LNB")</f>
        <v>43370</v>
      </c>
      <c r="I95" s="15">
        <f ca="1">_xll.BDH(I$9,"PX_LAST",H95,H95)%</f>
        <v>2.3959999999999999E-2</v>
      </c>
      <c r="J95">
        <v>83</v>
      </c>
      <c r="K95" s="6">
        <f ca="1">_xll.meDateFromTenor(K94,"-1D","PRECEDING","NYB:LNB")</f>
        <v>43370</v>
      </c>
      <c r="L95" s="15">
        <f ca="1">_xll.BDH(L$9,"PX_LAST",K95,K95)%</f>
        <v>2.6005000000000004E-2</v>
      </c>
      <c r="M95">
        <v>83</v>
      </c>
      <c r="N95" s="6">
        <f ca="1">_xll.meDateFromTenor(N94,"-1D","PRECEDING","SYB:LNB")</f>
        <v>43375</v>
      </c>
      <c r="O95" s="15">
        <f ca="1">_xll.BDH(O$9,"PX_LAST",N95,N95)%</f>
        <v>1.9293999999999999E-2</v>
      </c>
      <c r="P95">
        <v>83</v>
      </c>
      <c r="Q95" s="6">
        <f ca="1">_xll.meDateFromTenor(Q94,"-1D","PRECEDING","SYB:LNB")</f>
        <v>43375</v>
      </c>
      <c r="R95" s="15">
        <f ca="1">_xll.BDH(R$9,"PX_LAST",Q95,Q95)%</f>
        <v>2.12E-2</v>
      </c>
      <c r="S95">
        <v>83</v>
      </c>
      <c r="T95" s="6">
        <f ca="1">_xll.meDateFromTenor(T94,"-1D","PRECEDING","SYB:LNB")</f>
        <v>43375</v>
      </c>
      <c r="U95" s="15">
        <f ca="1">_xll.BDH(U$9,"PX_LAST",T95,T95)%</f>
        <v>-5.8169999999999999E-4</v>
      </c>
      <c r="V95">
        <v>83</v>
      </c>
      <c r="W95" s="6">
        <f ca="1">_xll.meDateFromTenor(W94,"-1D","PRECEDING","SYB:LNB")</f>
        <v>43375</v>
      </c>
      <c r="X95" s="15">
        <f ca="1">_xll.BDH(X$9,"PX_LAST",W95,W95)%</f>
        <v>1.8669999999999998E-4</v>
      </c>
    </row>
    <row r="96" spans="1:24">
      <c r="A96">
        <v>84</v>
      </c>
      <c r="B96" s="6">
        <f ca="1">_xll.meDateFromTenor(B95,"-1D","PRECEDING","TGT")</f>
        <v>43375</v>
      </c>
      <c r="C96" s="15">
        <f ca="1">_xll.BDH(C$9,"PX_LAST",B96,B96)%</f>
        <v>-3.1800000000000001E-3</v>
      </c>
      <c r="D96">
        <v>84</v>
      </c>
      <c r="E96" s="6">
        <f ca="1">_xll.meDateFromTenor(E95,"-1D","PRECEDING","TGT")</f>
        <v>43375</v>
      </c>
      <c r="F96" s="15">
        <f ca="1">_xll.BDH(F$9,"PX_LAST",E96,E96)%</f>
        <v>-2.6800000000000001E-3</v>
      </c>
      <c r="G96">
        <v>84</v>
      </c>
      <c r="H96" s="6">
        <f ca="1">_xll.meDateFromTenor(H95,"-1D","PRECEDING","NYB:LNB")</f>
        <v>43369</v>
      </c>
      <c r="I96" s="15">
        <f ca="1">_xll.BDH(I$9,"PX_LAST",H96,H96)%</f>
        <v>2.3861300000000002E-2</v>
      </c>
      <c r="J96">
        <v>84</v>
      </c>
      <c r="K96" s="6">
        <f ca="1">_xll.meDateFromTenor(K95,"-1D","PRECEDING","NYB:LNB")</f>
        <v>43369</v>
      </c>
      <c r="L96" s="15">
        <f ca="1">_xll.BDH(L$9,"PX_LAST",K96,K96)%</f>
        <v>2.5935E-2</v>
      </c>
      <c r="M96">
        <v>84</v>
      </c>
      <c r="N96" s="6">
        <f ca="1">_xll.meDateFromTenor(N95,"-1D","PRECEDING","SYB:LNB")</f>
        <v>43371</v>
      </c>
      <c r="O96" s="15">
        <f ca="1">_xll.BDH(O$9,"PX_LAST",N96,N96)%</f>
        <v>1.9288E-2</v>
      </c>
      <c r="P96">
        <v>84</v>
      </c>
      <c r="Q96" s="6">
        <f ca="1">_xll.meDateFromTenor(Q95,"-1D","PRECEDING","SYB:LNB")</f>
        <v>43371</v>
      </c>
      <c r="R96" s="15">
        <f ca="1">_xll.BDH(R$9,"PX_LAST",Q96,Q96)%</f>
        <v>2.1299999999999999E-2</v>
      </c>
      <c r="S96">
        <v>84</v>
      </c>
      <c r="T96" s="6">
        <f ca="1">_xll.meDateFromTenor(T95,"-1D","PRECEDING","SYB:LNB")</f>
        <v>43371</v>
      </c>
      <c r="U96" s="15">
        <f ca="1">_xll.BDH(U$9,"PX_LAST",T96,T96)%</f>
        <v>-5.4829999999999994E-4</v>
      </c>
      <c r="V96">
        <v>84</v>
      </c>
      <c r="W96" s="6">
        <f ca="1">_xll.meDateFromTenor(W95,"-1D","PRECEDING","SYB:LNB")</f>
        <v>43371</v>
      </c>
      <c r="X96" s="15">
        <f ca="1">_xll.BDH(X$9,"PX_LAST",W96,W96)%</f>
        <v>2.0000000000000001E-4</v>
      </c>
    </row>
    <row r="97" spans="1:24">
      <c r="A97">
        <v>85</v>
      </c>
      <c r="B97" s="6">
        <f ca="1">_xll.meDateFromTenor(B96,"-1D","PRECEDING","TGT")</f>
        <v>43374</v>
      </c>
      <c r="C97" s="15">
        <f ca="1">_xll.BDH(C$9,"PX_LAST",B97,B97)%</f>
        <v>-3.1700000000000001E-3</v>
      </c>
      <c r="D97">
        <v>85</v>
      </c>
      <c r="E97" s="6">
        <f ca="1">_xll.meDateFromTenor(E96,"-1D","PRECEDING","TGT")</f>
        <v>43374</v>
      </c>
      <c r="F97" s="15">
        <f ca="1">_xll.BDH(F$9,"PX_LAST",E97,E97)%</f>
        <v>-2.6800000000000001E-3</v>
      </c>
      <c r="G97">
        <v>85</v>
      </c>
      <c r="H97" s="6">
        <f ca="1">_xll.meDateFromTenor(H96,"-1D","PRECEDING","NYB:LNB")</f>
        <v>43368</v>
      </c>
      <c r="I97" s="15">
        <f ca="1">_xll.BDH(I$9,"PX_LAST",H97,H97)%</f>
        <v>2.3810000000000001E-2</v>
      </c>
      <c r="J97">
        <v>85</v>
      </c>
      <c r="K97" s="6">
        <f ca="1">_xll.meDateFromTenor(K96,"-1D","PRECEDING","NYB:LNB")</f>
        <v>43368</v>
      </c>
      <c r="L97" s="15">
        <f ca="1">_xll.BDH(L$9,"PX_LAST",K97,K97)%</f>
        <v>2.5953799999999999E-2</v>
      </c>
      <c r="M97">
        <v>85</v>
      </c>
      <c r="N97" s="6">
        <f ca="1">_xll.meDateFromTenor(N96,"-1D","PRECEDING","SYB:LNB")</f>
        <v>43370</v>
      </c>
      <c r="O97" s="15">
        <f ca="1">_xll.BDH(O$9,"PX_LAST",N97,N97)%</f>
        <v>1.9375E-2</v>
      </c>
      <c r="P97">
        <v>85</v>
      </c>
      <c r="Q97" s="6">
        <f ca="1">_xll.meDateFromTenor(Q96,"-1D","PRECEDING","SYB:LNB")</f>
        <v>43370</v>
      </c>
      <c r="R97" s="15">
        <f ca="1">_xll.BDH(R$9,"PX_LAST",Q97,Q97)%</f>
        <v>2.1299999999999999E-2</v>
      </c>
      <c r="S97">
        <v>85</v>
      </c>
      <c r="T97" s="6">
        <f ca="1">_xll.meDateFromTenor(T96,"-1D","PRECEDING","SYB:LNB")</f>
        <v>43370</v>
      </c>
      <c r="U97" s="15">
        <f ca="1">_xll.BDH(U$9,"PX_LAST",T97,T97)%</f>
        <v>-4.6670000000000001E-4</v>
      </c>
      <c r="V97">
        <v>85</v>
      </c>
      <c r="W97" s="6">
        <f ca="1">_xll.meDateFromTenor(W96,"-1D","PRECEDING","SYB:LNB")</f>
        <v>43370</v>
      </c>
      <c r="X97" s="15">
        <f ca="1">_xll.BDH(X$9,"PX_LAST",W97,W97)%</f>
        <v>1.65E-4</v>
      </c>
    </row>
    <row r="98" spans="1:24">
      <c r="A98">
        <v>86</v>
      </c>
      <c r="B98" s="6">
        <f ca="1">_xll.meDateFromTenor(B97,"-1D","PRECEDING","TGT")</f>
        <v>43371</v>
      </c>
      <c r="C98" s="15">
        <f ca="1">_xll.BDH(C$9,"PX_LAST",B98,B98)%</f>
        <v>-3.1800000000000001E-3</v>
      </c>
      <c r="D98">
        <v>86</v>
      </c>
      <c r="E98" s="6">
        <f ca="1">_xll.meDateFromTenor(E97,"-1D","PRECEDING","TGT")</f>
        <v>43371</v>
      </c>
      <c r="F98" s="15">
        <f ca="1">_xll.BDH(F$9,"PX_LAST",E98,E98)%</f>
        <v>-2.6800000000000001E-3</v>
      </c>
      <c r="G98">
        <v>86</v>
      </c>
      <c r="H98" s="6">
        <f ca="1">_xll.meDateFromTenor(H97,"-1D","PRECEDING","NYB:LNB")</f>
        <v>43367</v>
      </c>
      <c r="I98" s="15">
        <f ca="1">_xll.BDH(I$9,"PX_LAST",H98,H98)%</f>
        <v>2.3736299999999998E-2</v>
      </c>
      <c r="J98">
        <v>86</v>
      </c>
      <c r="K98" s="6">
        <f ca="1">_xll.meDateFromTenor(K97,"-1D","PRECEDING","NYB:LNB")</f>
        <v>43367</v>
      </c>
      <c r="L98" s="15">
        <f ca="1">_xll.BDH(L$9,"PX_LAST",K98,K98)%</f>
        <v>2.5936300000000002E-2</v>
      </c>
      <c r="M98">
        <v>86</v>
      </c>
      <c r="N98" s="6">
        <f ca="1">_xll.meDateFromTenor(N97,"-1D","PRECEDING","SYB:LNB")</f>
        <v>43369</v>
      </c>
      <c r="O98" s="15">
        <f ca="1">_xll.BDH(O$9,"PX_LAST",N98,N98)%</f>
        <v>1.9400000000000001E-2</v>
      </c>
      <c r="P98">
        <v>86</v>
      </c>
      <c r="Q98" s="6">
        <f ca="1">_xll.meDateFromTenor(Q97,"-1D","PRECEDING","SYB:LNB")</f>
        <v>43369</v>
      </c>
      <c r="R98" s="15">
        <f ca="1">_xll.BDH(R$9,"PX_LAST",Q98,Q98)%</f>
        <v>2.1299999999999999E-2</v>
      </c>
      <c r="S98">
        <v>86</v>
      </c>
      <c r="T98" s="6">
        <f ca="1">_xll.meDateFromTenor(T97,"-1D","PRECEDING","SYB:LNB")</f>
        <v>43369</v>
      </c>
      <c r="U98" s="15">
        <f ca="1">_xll.BDH(U$9,"PX_LAST",T98,T98)%</f>
        <v>-3.9170000000000003E-4</v>
      </c>
      <c r="V98">
        <v>86</v>
      </c>
      <c r="W98" s="6">
        <f ca="1">_xll.meDateFromTenor(W97,"-1D","PRECEDING","SYB:LNB")</f>
        <v>43369</v>
      </c>
      <c r="X98" s="15">
        <f ca="1">_xll.BDH(X$9,"PX_LAST",W98,W98)%</f>
        <v>1.65E-4</v>
      </c>
    </row>
    <row r="99" spans="1:24">
      <c r="A99">
        <v>87</v>
      </c>
      <c r="B99" s="6">
        <f ca="1">_xll.meDateFromTenor(B98,"-1D","PRECEDING","TGT")</f>
        <v>43370</v>
      </c>
      <c r="C99" s="15">
        <f ca="1">_xll.BDH(C$9,"PX_LAST",B99,B99)%</f>
        <v>-3.1800000000000001E-3</v>
      </c>
      <c r="D99">
        <v>87</v>
      </c>
      <c r="E99" s="6">
        <f ca="1">_xll.meDateFromTenor(E98,"-1D","PRECEDING","TGT")</f>
        <v>43370</v>
      </c>
      <c r="F99" s="15">
        <f ca="1">_xll.BDH(F$9,"PX_LAST",E99,E99)%</f>
        <v>-2.6800000000000001E-3</v>
      </c>
      <c r="G99">
        <v>87</v>
      </c>
      <c r="H99" s="6">
        <f ca="1">_xll.meDateFromTenor(H98,"-1D","PRECEDING","NYB:LNB")</f>
        <v>43364</v>
      </c>
      <c r="I99" s="15">
        <f ca="1">_xll.BDH(I$9,"PX_LAST",H99,H99)%</f>
        <v>2.3726299999999999E-2</v>
      </c>
      <c r="J99">
        <v>87</v>
      </c>
      <c r="K99" s="6">
        <f ca="1">_xll.meDateFromTenor(K98,"-1D","PRECEDING","NYB:LNB")</f>
        <v>43364</v>
      </c>
      <c r="L99" s="15">
        <f ca="1">_xll.BDH(L$9,"PX_LAST",K99,K99)%</f>
        <v>2.5920000000000002E-2</v>
      </c>
      <c r="M99">
        <v>87</v>
      </c>
      <c r="N99" s="6">
        <f ca="1">_xll.meDateFromTenor(N98,"-1D","PRECEDING","SYB:LNB")</f>
        <v>43368</v>
      </c>
      <c r="O99" s="15">
        <f ca="1">_xll.BDH(O$9,"PX_LAST",N99,N99)%</f>
        <v>1.9334E-2</v>
      </c>
      <c r="P99">
        <v>87</v>
      </c>
      <c r="Q99" s="6">
        <f ca="1">_xll.meDateFromTenor(Q98,"-1D","PRECEDING","SYB:LNB")</f>
        <v>43368</v>
      </c>
      <c r="R99" s="15">
        <f ca="1">_xll.BDH(R$9,"PX_LAST",Q99,Q99)%</f>
        <v>2.1299999999999999E-2</v>
      </c>
      <c r="S99">
        <v>87</v>
      </c>
      <c r="T99" s="6">
        <f ca="1">_xll.meDateFromTenor(T98,"-1D","PRECEDING","SYB:LNB")</f>
        <v>43368</v>
      </c>
      <c r="U99" s="15">
        <f ca="1">_xll.BDH(U$9,"PX_LAST",T99,T99)%</f>
        <v>-4.3499999999999995E-4</v>
      </c>
      <c r="V99">
        <v>87</v>
      </c>
      <c r="W99" s="6">
        <f ca="1">_xll.meDateFromTenor(W98,"-1D","PRECEDING","SYB:LNB")</f>
        <v>43368</v>
      </c>
      <c r="X99" s="15">
        <f ca="1">_xll.BDH(X$9,"PX_LAST",W99,W99)%</f>
        <v>1.8669999999999998E-4</v>
      </c>
    </row>
    <row r="100" spans="1:24">
      <c r="A100">
        <v>88</v>
      </c>
      <c r="B100" s="6">
        <f ca="1">_xll.meDateFromTenor(B99,"-1D","PRECEDING","TGT")</f>
        <v>43369</v>
      </c>
      <c r="C100" s="15">
        <f ca="1">_xll.BDH(C$9,"PX_LAST",B100,B100)%</f>
        <v>-3.1900000000000001E-3</v>
      </c>
      <c r="D100">
        <v>88</v>
      </c>
      <c r="E100" s="6">
        <f ca="1">_xll.meDateFromTenor(E99,"-1D","PRECEDING","TGT")</f>
        <v>43369</v>
      </c>
      <c r="F100" s="15">
        <f ca="1">_xll.BDH(F$9,"PX_LAST",E100,E100)%</f>
        <v>-2.6700000000000001E-3</v>
      </c>
      <c r="G100">
        <v>88</v>
      </c>
      <c r="H100" s="6">
        <f ca="1">_xll.meDateFromTenor(H99,"-1D","PRECEDING","NYB:LNB")</f>
        <v>43363</v>
      </c>
      <c r="I100" s="15">
        <f ca="1">_xll.BDH(I$9,"PX_LAST",H100,H100)%</f>
        <v>2.3663799999999999E-2</v>
      </c>
      <c r="J100">
        <v>88</v>
      </c>
      <c r="K100" s="6">
        <f ca="1">_xll.meDateFromTenor(K99,"-1D","PRECEDING","NYB:LNB")</f>
        <v>43363</v>
      </c>
      <c r="L100" s="15">
        <f ca="1">_xll.BDH(L$9,"PX_LAST",K100,K100)%</f>
        <v>2.5848800000000002E-2</v>
      </c>
      <c r="M100">
        <v>88</v>
      </c>
      <c r="N100" s="6">
        <f ca="1">_xll.meDateFromTenor(N99,"-1D","PRECEDING","SYB:LNB")</f>
        <v>43367</v>
      </c>
      <c r="O100" s="15">
        <f ca="1">_xll.BDH(O$9,"PX_LAST",N100,N100)%</f>
        <v>1.9358E-2</v>
      </c>
      <c r="P100">
        <v>88</v>
      </c>
      <c r="Q100" s="6">
        <f ca="1">_xll.meDateFromTenor(Q99,"-1D","PRECEDING","SYB:LNB")</f>
        <v>43367</v>
      </c>
      <c r="R100" s="15">
        <f ca="1">_xll.BDH(R$9,"PX_LAST",Q100,Q100)%</f>
        <v>2.1299999999999999E-2</v>
      </c>
      <c r="S100">
        <v>88</v>
      </c>
      <c r="T100" s="6">
        <f ca="1">_xll.meDateFromTenor(T99,"-1D","PRECEDING","SYB:LNB")</f>
        <v>43367</v>
      </c>
      <c r="U100" s="15">
        <f ca="1">_xll.BDH(U$9,"PX_LAST",T100,T100)%</f>
        <v>-3.8830000000000006E-4</v>
      </c>
      <c r="V100">
        <v>88</v>
      </c>
      <c r="W100" s="6">
        <f ca="1">_xll.meDateFromTenor(W99,"-1D","PRECEDING","SYB:LNB")</f>
        <v>43367</v>
      </c>
      <c r="X100" s="15">
        <f ca="1">_xll.BDH(X$9,"PX_LAST",W100,W100)%</f>
        <v>2.2169999999999999E-4</v>
      </c>
    </row>
    <row r="101" spans="1:24">
      <c r="A101">
        <v>89</v>
      </c>
      <c r="B101" s="6">
        <f ca="1">_xll.meDateFromTenor(B100,"-1D","PRECEDING","TGT")</f>
        <v>43368</v>
      </c>
      <c r="C101" s="15">
        <f ca="1">_xll.BDH(C$9,"PX_LAST",B101,B101)%</f>
        <v>-3.1900000000000001E-3</v>
      </c>
      <c r="D101">
        <v>89</v>
      </c>
      <c r="E101" s="6">
        <f ca="1">_xll.meDateFromTenor(E100,"-1D","PRECEDING","TGT")</f>
        <v>43368</v>
      </c>
      <c r="F101" s="15">
        <f ca="1">_xll.BDH(F$9,"PX_LAST",E101,E101)%</f>
        <v>-2.6700000000000001E-3</v>
      </c>
      <c r="G101">
        <v>89</v>
      </c>
      <c r="H101" s="6">
        <f ca="1">_xll.meDateFromTenor(H100,"-1D","PRECEDING","NYB:LNB")</f>
        <v>43362</v>
      </c>
      <c r="I101" s="15">
        <f ca="1">_xll.BDH(I$9,"PX_LAST",H101,H101)%</f>
        <v>2.3533800000000001E-2</v>
      </c>
      <c r="J101">
        <v>89</v>
      </c>
      <c r="K101" s="6">
        <f ca="1">_xll.meDateFromTenor(K100,"-1D","PRECEDING","NYB:LNB")</f>
        <v>43362</v>
      </c>
      <c r="L101" s="15">
        <f ca="1">_xll.BDH(L$9,"PX_LAST",K101,K101)%</f>
        <v>2.5717499999999997E-2</v>
      </c>
      <c r="M101">
        <v>89</v>
      </c>
      <c r="N101" s="6">
        <f ca="1">_xll.meDateFromTenor(N100,"-1D","PRECEDING","SYB:LNB")</f>
        <v>43364</v>
      </c>
      <c r="O101" s="15">
        <f ca="1">_xll.BDH(O$9,"PX_LAST",N101,N101)%</f>
        <v>1.9213000000000001E-2</v>
      </c>
      <c r="P101">
        <v>89</v>
      </c>
      <c r="Q101" s="6">
        <f ca="1">_xll.meDateFromTenor(Q100,"-1D","PRECEDING","SYB:LNB")</f>
        <v>43364</v>
      </c>
      <c r="R101" s="15">
        <f ca="1">_xll.BDH(R$9,"PX_LAST",Q101,Q101)%</f>
        <v>2.12E-2</v>
      </c>
      <c r="S101">
        <v>89</v>
      </c>
      <c r="T101" s="6">
        <f ca="1">_xll.meDateFromTenor(T100,"-1D","PRECEDING","SYB:LNB")</f>
        <v>43364</v>
      </c>
      <c r="U101" s="15">
        <f ca="1">_xll.BDH(U$9,"PX_LAST",T101,T101)%</f>
        <v>-4.1329999999999996E-4</v>
      </c>
      <c r="V101">
        <v>89</v>
      </c>
      <c r="W101" s="6">
        <f ca="1">_xll.meDateFromTenor(W100,"-1D","PRECEDING","SYB:LNB")</f>
        <v>43364</v>
      </c>
      <c r="X101" s="15">
        <f ca="1">_xll.BDH(X$9,"PX_LAST",W101,W101)%</f>
        <v>1.883E-4</v>
      </c>
    </row>
    <row r="102" spans="1:24">
      <c r="A102">
        <v>90</v>
      </c>
      <c r="B102" s="6">
        <f ca="1">_xll.meDateFromTenor(B101,"-1D","PRECEDING","TGT")</f>
        <v>43367</v>
      </c>
      <c r="C102" s="15">
        <f ca="1">_xll.BDH(C$9,"PX_LAST",B102,B102)%</f>
        <v>-3.1900000000000001E-3</v>
      </c>
      <c r="D102">
        <v>90</v>
      </c>
      <c r="E102" s="6">
        <f ca="1">_xll.meDateFromTenor(E101,"-1D","PRECEDING","TGT")</f>
        <v>43367</v>
      </c>
      <c r="F102" s="15">
        <f ca="1">_xll.BDH(F$9,"PX_LAST",E102,E102)%</f>
        <v>-2.6700000000000001E-3</v>
      </c>
      <c r="G102">
        <v>90</v>
      </c>
      <c r="H102" s="6">
        <f ca="1">_xll.meDateFromTenor(H101,"-1D","PRECEDING","NYB:LNB")</f>
        <v>43361</v>
      </c>
      <c r="I102" s="15">
        <f ca="1">_xll.BDH(I$9,"PX_LAST",H102,H102)%</f>
        <v>2.3375E-2</v>
      </c>
      <c r="J102">
        <v>90</v>
      </c>
      <c r="K102" s="6">
        <f ca="1">_xll.meDateFromTenor(K101,"-1D","PRECEDING","NYB:LNB")</f>
        <v>43361</v>
      </c>
      <c r="L102" s="15">
        <f ca="1">_xll.BDH(L$9,"PX_LAST",K102,K102)%</f>
        <v>2.5678800000000002E-2</v>
      </c>
      <c r="M102">
        <v>90</v>
      </c>
      <c r="N102" s="6">
        <f ca="1">_xll.meDateFromTenor(N101,"-1D","PRECEDING","SYB:LNB")</f>
        <v>43363</v>
      </c>
      <c r="O102" s="15">
        <f ca="1">_xll.BDH(O$9,"PX_LAST",N102,N102)%</f>
        <v>1.915E-2</v>
      </c>
      <c r="P102">
        <v>90</v>
      </c>
      <c r="Q102" s="6">
        <f ca="1">_xll.meDateFromTenor(Q101,"-1D","PRECEDING","SYB:LNB")</f>
        <v>43363</v>
      </c>
      <c r="R102" s="15">
        <f ca="1">_xll.BDH(R$9,"PX_LAST",Q102,Q102)%</f>
        <v>2.12E-2</v>
      </c>
      <c r="S102">
        <v>90</v>
      </c>
      <c r="T102" s="6">
        <f ca="1">_xll.meDateFromTenor(T101,"-1D","PRECEDING","SYB:LNB")</f>
        <v>43363</v>
      </c>
      <c r="U102" s="15">
        <f ca="1">_xll.BDH(U$9,"PX_LAST",T102,T102)%</f>
        <v>-4.1329999999999996E-4</v>
      </c>
      <c r="V102">
        <v>90</v>
      </c>
      <c r="W102" s="6">
        <f ca="1">_xll.meDateFromTenor(W101,"-1D","PRECEDING","SYB:LNB")</f>
        <v>43363</v>
      </c>
      <c r="X102" s="15">
        <f ca="1">_xll.BDH(X$9,"PX_LAST",W102,W102)%</f>
        <v>2.2329999999999998E-4</v>
      </c>
    </row>
    <row r="103" spans="1:24">
      <c r="A103">
        <v>91</v>
      </c>
      <c r="B103" s="6">
        <f ca="1">_xll.meDateFromTenor(B102,"-1D","PRECEDING","TGT")</f>
        <v>43364</v>
      </c>
      <c r="C103" s="15">
        <f ca="1">_xll.BDH(C$9,"PX_LAST",B103,B103)%</f>
        <v>-3.1900000000000001E-3</v>
      </c>
      <c r="D103">
        <v>91</v>
      </c>
      <c r="E103" s="6">
        <f ca="1">_xll.meDateFromTenor(E102,"-1D","PRECEDING","TGT")</f>
        <v>43364</v>
      </c>
      <c r="F103" s="15">
        <f ca="1">_xll.BDH(F$9,"PX_LAST",E103,E103)%</f>
        <v>-2.6800000000000001E-3</v>
      </c>
      <c r="G103">
        <v>91</v>
      </c>
      <c r="H103" s="6">
        <f ca="1">_xll.meDateFromTenor(H102,"-1D","PRECEDING","NYB:LNB")</f>
        <v>43360</v>
      </c>
      <c r="I103" s="15">
        <f ca="1">_xll.BDH(I$9,"PX_LAST",H103,H103)%</f>
        <v>2.3387500000000002E-2</v>
      </c>
      <c r="J103">
        <v>91</v>
      </c>
      <c r="K103" s="6">
        <f ca="1">_xll.meDateFromTenor(K102,"-1D","PRECEDING","NYB:LNB")</f>
        <v>43360</v>
      </c>
      <c r="L103" s="15">
        <f ca="1">_xll.BDH(L$9,"PX_LAST",K103,K103)%</f>
        <v>2.5707499999999998E-2</v>
      </c>
      <c r="M103">
        <v>91</v>
      </c>
      <c r="N103" s="6">
        <f ca="1">_xll.meDateFromTenor(N102,"-1D","PRECEDING","SYB:LNB")</f>
        <v>43362</v>
      </c>
      <c r="O103" s="15">
        <f ca="1">_xll.BDH(O$9,"PX_LAST",N103,N103)%</f>
        <v>1.925E-2</v>
      </c>
      <c r="P103">
        <v>91</v>
      </c>
      <c r="Q103" s="6">
        <f ca="1">_xll.meDateFromTenor(Q102,"-1D","PRECEDING","SYB:LNB")</f>
        <v>43362</v>
      </c>
      <c r="R103" s="15">
        <f ca="1">_xll.BDH(R$9,"PX_LAST",Q103,Q103)%</f>
        <v>2.1099999999999997E-2</v>
      </c>
      <c r="S103">
        <v>91</v>
      </c>
      <c r="T103" s="6">
        <f ca="1">_xll.meDateFromTenor(T102,"-1D","PRECEDING","SYB:LNB")</f>
        <v>43362</v>
      </c>
      <c r="U103" s="15">
        <f ca="1">_xll.BDH(U$9,"PX_LAST",T103,T103)%</f>
        <v>-3.9669999999999999E-4</v>
      </c>
      <c r="V103">
        <v>91</v>
      </c>
      <c r="W103" s="6">
        <f ca="1">_xll.meDateFromTenor(W102,"-1D","PRECEDING","SYB:LNB")</f>
        <v>43362</v>
      </c>
      <c r="X103" s="15">
        <f ca="1">_xll.BDH(X$9,"PX_LAST",W103,W103)%</f>
        <v>2.4000000000000001E-4</v>
      </c>
    </row>
    <row r="104" spans="1:24">
      <c r="A104">
        <v>92</v>
      </c>
      <c r="B104" s="6">
        <f ca="1">_xll.meDateFromTenor(B103,"-1D","PRECEDING","TGT")</f>
        <v>43363</v>
      </c>
      <c r="C104" s="15">
        <f ca="1">_xll.BDH(C$9,"PX_LAST",B104,B104)%</f>
        <v>-3.1900000000000001E-3</v>
      </c>
      <c r="D104">
        <v>92</v>
      </c>
      <c r="E104" s="6">
        <f ca="1">_xll.meDateFromTenor(E103,"-1D","PRECEDING","TGT")</f>
        <v>43363</v>
      </c>
      <c r="F104" s="15">
        <f ca="1">_xll.BDH(F$9,"PX_LAST",E104,E104)%</f>
        <v>-2.6800000000000001E-3</v>
      </c>
      <c r="G104">
        <v>92</v>
      </c>
      <c r="H104" s="6">
        <f ca="1">_xll.meDateFromTenor(H103,"-1D","PRECEDING","NYB:LNB")</f>
        <v>43357</v>
      </c>
      <c r="I104" s="15">
        <f ca="1">_xll.BDH(I$9,"PX_LAST",H104,H104)%</f>
        <v>2.3371300000000001E-2</v>
      </c>
      <c r="J104">
        <v>92</v>
      </c>
      <c r="K104" s="6">
        <f ca="1">_xll.meDateFromTenor(K103,"-1D","PRECEDING","NYB:LNB")</f>
        <v>43357</v>
      </c>
      <c r="L104" s="15">
        <f ca="1">_xll.BDH(L$9,"PX_LAST",K104,K104)%</f>
        <v>2.5687500000000002E-2</v>
      </c>
      <c r="M104">
        <v>92</v>
      </c>
      <c r="N104" s="6">
        <f ca="1">_xll.meDateFromTenor(N103,"-1D","PRECEDING","SYB:LNB")</f>
        <v>43361</v>
      </c>
      <c r="O104" s="15">
        <f ca="1">_xll.BDH(O$9,"PX_LAST",N104,N104)%</f>
        <v>1.9199999999999998E-2</v>
      </c>
      <c r="P104">
        <v>92</v>
      </c>
      <c r="Q104" s="6">
        <f ca="1">_xll.meDateFromTenor(Q103,"-1D","PRECEDING","SYB:LNB")</f>
        <v>43361</v>
      </c>
      <c r="R104" s="15">
        <f ca="1">_xll.BDH(R$9,"PX_LAST",Q104,Q104)%</f>
        <v>2.1099999999999997E-2</v>
      </c>
      <c r="S104">
        <v>92</v>
      </c>
      <c r="T104" s="6">
        <f ca="1">_xll.meDateFromTenor(T103,"-1D","PRECEDING","SYB:LNB")</f>
        <v>43361</v>
      </c>
      <c r="U104" s="15">
        <f ca="1">_xll.BDH(U$9,"PX_LAST",T104,T104)%</f>
        <v>-3.8499999999999998E-4</v>
      </c>
      <c r="V104">
        <v>92</v>
      </c>
      <c r="W104" s="6">
        <f ca="1">_xll.meDateFromTenor(W103,"-1D","PRECEDING","SYB:LNB")</f>
        <v>43361</v>
      </c>
      <c r="X104" s="15">
        <f ca="1">_xll.BDH(X$9,"PX_LAST",W104,W104)%</f>
        <v>2.2329999999999998E-4</v>
      </c>
    </row>
    <row r="105" spans="1:24">
      <c r="A105">
        <v>93</v>
      </c>
      <c r="B105" s="6">
        <f ca="1">_xll.meDateFromTenor(B104,"-1D","PRECEDING","TGT")</f>
        <v>43362</v>
      </c>
      <c r="C105" s="15">
        <f ca="1">_xll.BDH(C$9,"PX_LAST",B105,B105)%</f>
        <v>-3.1800000000000001E-3</v>
      </c>
      <c r="D105">
        <v>93</v>
      </c>
      <c r="E105" s="6">
        <f ca="1">_xll.meDateFromTenor(E104,"-1D","PRECEDING","TGT")</f>
        <v>43362</v>
      </c>
      <c r="F105" s="15">
        <f ca="1">_xll.BDH(F$9,"PX_LAST",E105,E105)%</f>
        <v>-2.6700000000000001E-3</v>
      </c>
      <c r="G105">
        <v>93</v>
      </c>
      <c r="H105" s="6">
        <f ca="1">_xll.meDateFromTenor(H104,"-1D","PRECEDING","NYB:LNB")</f>
        <v>43356</v>
      </c>
      <c r="I105" s="15">
        <f ca="1">_xll.BDH(I$9,"PX_LAST",H105,H105)%</f>
        <v>2.3341299999999999E-2</v>
      </c>
      <c r="J105">
        <v>93</v>
      </c>
      <c r="K105" s="6">
        <f ca="1">_xll.meDateFromTenor(K104,"-1D","PRECEDING","NYB:LNB")</f>
        <v>43356</v>
      </c>
      <c r="L105" s="15">
        <f ca="1">_xll.BDH(L$9,"PX_LAST",K105,K105)%</f>
        <v>2.5671300000000001E-2</v>
      </c>
      <c r="M105">
        <v>93</v>
      </c>
      <c r="N105" s="6">
        <f ca="1">_xll.meDateFromTenor(N104,"-1D","PRECEDING","SYB:LNB")</f>
        <v>43360</v>
      </c>
      <c r="O105" s="15">
        <f ca="1">_xll.BDH(O$9,"PX_LAST",N105,N105)%</f>
        <v>1.9199999999999998E-2</v>
      </c>
      <c r="P105">
        <v>93</v>
      </c>
      <c r="Q105" s="6">
        <f ca="1">_xll.meDateFromTenor(Q104,"-1D","PRECEDING","SYB:LNB")</f>
        <v>43360</v>
      </c>
      <c r="R105" s="15">
        <f ca="1">_xll.BDH(R$9,"PX_LAST",Q105,Q105)%</f>
        <v>2.1000000000000001E-2</v>
      </c>
      <c r="S105">
        <v>93</v>
      </c>
      <c r="T105" s="6">
        <f ca="1">_xll.meDateFromTenor(T104,"-1D","PRECEDING","SYB:LNB")</f>
        <v>43360</v>
      </c>
      <c r="U105" s="15">
        <f ca="1">_xll.BDH(U$9,"PX_LAST",T105,T105)%</f>
        <v>-3.6830000000000001E-4</v>
      </c>
      <c r="V105">
        <v>93</v>
      </c>
      <c r="W105" s="6">
        <f ca="1">_xll.meDateFromTenor(W104,"-1D","PRECEDING","SYB:LNB")</f>
        <v>43360</v>
      </c>
      <c r="X105" s="15">
        <f ca="1">_xll.BDH(X$9,"PX_LAST",W105,W105)%</f>
        <v>2.4000000000000001E-4</v>
      </c>
    </row>
    <row r="106" spans="1:24">
      <c r="A106">
        <v>94</v>
      </c>
      <c r="B106" s="6">
        <f ca="1">_xll.meDateFromTenor(B105,"-1D","PRECEDING","TGT")</f>
        <v>43361</v>
      </c>
      <c r="C106" s="15">
        <f ca="1">_xll.BDH(C$9,"PX_LAST",B106,B106)%</f>
        <v>-3.1900000000000001E-3</v>
      </c>
      <c r="D106">
        <v>94</v>
      </c>
      <c r="E106" s="6">
        <f ca="1">_xll.meDateFromTenor(E105,"-1D","PRECEDING","TGT")</f>
        <v>43361</v>
      </c>
      <c r="F106" s="15">
        <f ca="1">_xll.BDH(F$9,"PX_LAST",E106,E106)%</f>
        <v>-2.6800000000000001E-3</v>
      </c>
      <c r="G106">
        <v>94</v>
      </c>
      <c r="H106" s="6">
        <f ca="1">_xll.meDateFromTenor(H105,"-1D","PRECEDING","NYB:LNB")</f>
        <v>43355</v>
      </c>
      <c r="I106" s="15">
        <f ca="1">_xll.BDH(I$9,"PX_LAST",H106,H106)%</f>
        <v>2.3315000000000002E-2</v>
      </c>
      <c r="J106">
        <v>94</v>
      </c>
      <c r="K106" s="6">
        <f ca="1">_xll.meDateFromTenor(K105,"-1D","PRECEDING","NYB:LNB")</f>
        <v>43355</v>
      </c>
      <c r="L106" s="15">
        <f ca="1">_xll.BDH(L$9,"PX_LAST",K106,K106)%</f>
        <v>2.5606299999999999E-2</v>
      </c>
      <c r="M106">
        <v>94</v>
      </c>
      <c r="N106" s="6">
        <f ca="1">_xll.meDateFromTenor(N105,"-1D","PRECEDING","SYB:LNB")</f>
        <v>43357</v>
      </c>
      <c r="O106" s="15">
        <f ca="1">_xll.BDH(O$9,"PX_LAST",N106,N106)%</f>
        <v>1.9203999999999999E-2</v>
      </c>
      <c r="P106">
        <v>94</v>
      </c>
      <c r="Q106" s="6">
        <f ca="1">_xll.meDateFromTenor(Q105,"-1D","PRECEDING","SYB:LNB")</f>
        <v>43357</v>
      </c>
      <c r="R106" s="15">
        <f ca="1">_xll.BDH(R$9,"PX_LAST",Q106,Q106)%</f>
        <v>2.1000000000000001E-2</v>
      </c>
      <c r="S106">
        <v>94</v>
      </c>
      <c r="T106" s="6">
        <f ca="1">_xll.meDateFromTenor(T105,"-1D","PRECEDING","SYB:LNB")</f>
        <v>43357</v>
      </c>
      <c r="U106" s="15">
        <f ca="1">_xll.BDH(U$9,"PX_LAST",T106,T106)%</f>
        <v>-3.6830000000000001E-4</v>
      </c>
      <c r="V106">
        <v>94</v>
      </c>
      <c r="W106" s="6">
        <f ca="1">_xll.meDateFromTenor(W105,"-1D","PRECEDING","SYB:LNB")</f>
        <v>43357</v>
      </c>
      <c r="X106" s="15">
        <f ca="1">_xll.BDH(X$9,"PX_LAST",W106,W106)%</f>
        <v>2.2329999999999998E-4</v>
      </c>
    </row>
    <row r="107" spans="1:24">
      <c r="A107">
        <v>95</v>
      </c>
      <c r="B107" s="6">
        <f ca="1">_xll.meDateFromTenor(B106,"-1D","PRECEDING","TGT")</f>
        <v>43360</v>
      </c>
      <c r="C107" s="15">
        <f ca="1">_xll.BDH(C$9,"PX_LAST",B107,B107)%</f>
        <v>-3.1900000000000001E-3</v>
      </c>
      <c r="D107">
        <v>95</v>
      </c>
      <c r="E107" s="6">
        <f ca="1">_xll.meDateFromTenor(E106,"-1D","PRECEDING","TGT")</f>
        <v>43360</v>
      </c>
      <c r="F107" s="15">
        <f ca="1">_xll.BDH(F$9,"PX_LAST",E107,E107)%</f>
        <v>-2.6800000000000001E-3</v>
      </c>
      <c r="G107">
        <v>95</v>
      </c>
      <c r="H107" s="6">
        <f ca="1">_xll.meDateFromTenor(H106,"-1D","PRECEDING","NYB:LNB")</f>
        <v>43354</v>
      </c>
      <c r="I107" s="15">
        <f ca="1">_xll.BDH(I$9,"PX_LAST",H107,H107)%</f>
        <v>2.3342499999999999E-2</v>
      </c>
      <c r="J107">
        <v>95</v>
      </c>
      <c r="K107" s="6">
        <f ca="1">_xll.meDateFromTenor(K106,"-1D","PRECEDING","NYB:LNB")</f>
        <v>43354</v>
      </c>
      <c r="L107" s="15">
        <f ca="1">_xll.BDH(L$9,"PX_LAST",K107,K107)%</f>
        <v>2.55775E-2</v>
      </c>
      <c r="M107">
        <v>95</v>
      </c>
      <c r="N107" s="6">
        <f ca="1">_xll.meDateFromTenor(N106,"-1D","PRECEDING","SYB:LNB")</f>
        <v>43356</v>
      </c>
      <c r="O107" s="15">
        <f ca="1">_xll.BDH(O$9,"PX_LAST",N107,N107)%</f>
        <v>1.9275E-2</v>
      </c>
      <c r="P107">
        <v>95</v>
      </c>
      <c r="Q107" s="6">
        <f ca="1">_xll.meDateFromTenor(Q106,"-1D","PRECEDING","SYB:LNB")</f>
        <v>43356</v>
      </c>
      <c r="R107" s="15">
        <f ca="1">_xll.BDH(R$9,"PX_LAST",Q107,Q107)%</f>
        <v>2.1099999999999997E-2</v>
      </c>
      <c r="S107">
        <v>95</v>
      </c>
      <c r="T107" s="6">
        <f ca="1">_xll.meDateFromTenor(T106,"-1D","PRECEDING","SYB:LNB")</f>
        <v>43356</v>
      </c>
      <c r="U107" s="15">
        <f ca="1">_xll.BDH(U$9,"PX_LAST",T107,T107)%</f>
        <v>-4.0169999999999995E-4</v>
      </c>
      <c r="V107">
        <v>95</v>
      </c>
      <c r="W107" s="6">
        <f ca="1">_xll.meDateFromTenor(W106,"-1D","PRECEDING","SYB:LNB")</f>
        <v>43356</v>
      </c>
      <c r="X107" s="15">
        <f ca="1">_xll.BDH(X$9,"PX_LAST",W107,W107)%</f>
        <v>2.2669999999999998E-4</v>
      </c>
    </row>
    <row r="108" spans="1:24">
      <c r="A108">
        <v>96</v>
      </c>
      <c r="B108" s="6">
        <f ca="1">_xll.meDateFromTenor(B107,"-1D","PRECEDING","TGT")</f>
        <v>43357</v>
      </c>
      <c r="C108" s="15">
        <f ca="1">_xll.BDH(C$9,"PX_LAST",B108,B108)%</f>
        <v>-3.1900000000000001E-3</v>
      </c>
      <c r="D108">
        <v>96</v>
      </c>
      <c r="E108" s="6">
        <f ca="1">_xll.meDateFromTenor(E107,"-1D","PRECEDING","TGT")</f>
        <v>43357</v>
      </c>
      <c r="F108" s="15">
        <f ca="1">_xll.BDH(F$9,"PX_LAST",E108,E108)%</f>
        <v>-2.6900000000000001E-3</v>
      </c>
      <c r="G108">
        <v>96</v>
      </c>
      <c r="H108" s="6">
        <f ca="1">_xll.meDateFromTenor(H107,"-1D","PRECEDING","NYB:LNB")</f>
        <v>43353</v>
      </c>
      <c r="I108" s="15">
        <f ca="1">_xll.BDH(I$9,"PX_LAST",H108,H108)%</f>
        <v>2.3342499999999999E-2</v>
      </c>
      <c r="J108">
        <v>96</v>
      </c>
      <c r="K108" s="6">
        <f ca="1">_xll.meDateFromTenor(K107,"-1D","PRECEDING","NYB:LNB")</f>
        <v>43353</v>
      </c>
      <c r="L108" s="15">
        <f ca="1">_xll.BDH(L$9,"PX_LAST",K108,K108)%</f>
        <v>2.55225E-2</v>
      </c>
      <c r="M108">
        <v>96</v>
      </c>
      <c r="N108" s="6">
        <f ca="1">_xll.meDateFromTenor(N107,"-1D","PRECEDING","SYB:LNB")</f>
        <v>43355</v>
      </c>
      <c r="O108" s="15">
        <f ca="1">_xll.BDH(O$9,"PX_LAST",N108,N108)%</f>
        <v>1.9349999999999999E-2</v>
      </c>
      <c r="P108">
        <v>96</v>
      </c>
      <c r="Q108" s="6">
        <f ca="1">_xll.meDateFromTenor(Q107,"-1D","PRECEDING","SYB:LNB")</f>
        <v>43355</v>
      </c>
      <c r="R108" s="15">
        <f ca="1">_xll.BDH(R$9,"PX_LAST",Q108,Q108)%</f>
        <v>2.1099999999999997E-2</v>
      </c>
      <c r="S108">
        <v>96</v>
      </c>
      <c r="T108" s="6">
        <f ca="1">_xll.meDateFromTenor(T107,"-1D","PRECEDING","SYB:LNB")</f>
        <v>43355</v>
      </c>
      <c r="U108" s="15">
        <f ca="1">_xll.BDH(U$9,"PX_LAST",T108,T108)%</f>
        <v>-3.9829999999999998E-4</v>
      </c>
      <c r="V108">
        <v>96</v>
      </c>
      <c r="W108" s="6">
        <f ca="1">_xll.meDateFromTenor(W107,"-1D","PRECEDING","SYB:LNB")</f>
        <v>43355</v>
      </c>
      <c r="X108" s="15">
        <f ca="1">_xll.BDH(X$9,"PX_LAST",W108,W108)%</f>
        <v>2.2829999999999999E-4</v>
      </c>
    </row>
    <row r="109" spans="1:24">
      <c r="A109">
        <v>97</v>
      </c>
      <c r="B109" s="6">
        <f ca="1">_xll.meDateFromTenor(B108,"-1D","PRECEDING","TGT")</f>
        <v>43356</v>
      </c>
      <c r="C109" s="15">
        <f ca="1">_xll.BDH(C$9,"PX_LAST",B109,B109)%</f>
        <v>-3.1900000000000001E-3</v>
      </c>
      <c r="D109">
        <v>97</v>
      </c>
      <c r="E109" s="6">
        <f ca="1">_xll.meDateFromTenor(E108,"-1D","PRECEDING","TGT")</f>
        <v>43356</v>
      </c>
      <c r="F109" s="15">
        <f ca="1">_xll.BDH(F$9,"PX_LAST",E109,E109)%</f>
        <v>-2.6900000000000001E-3</v>
      </c>
      <c r="G109">
        <v>97</v>
      </c>
      <c r="H109" s="6">
        <f ca="1">_xll.meDateFromTenor(H108,"-1D","PRECEDING","NYB:LNB")</f>
        <v>43350</v>
      </c>
      <c r="I109" s="15">
        <f ca="1">_xll.BDH(I$9,"PX_LAST",H109,H109)%</f>
        <v>2.33125E-2</v>
      </c>
      <c r="J109">
        <v>97</v>
      </c>
      <c r="K109" s="6">
        <f ca="1">_xll.meDateFromTenor(K108,"-1D","PRECEDING","NYB:LNB")</f>
        <v>43350</v>
      </c>
      <c r="L109" s="15">
        <f ca="1">_xll.BDH(L$9,"PX_LAST",K109,K109)%</f>
        <v>2.5415E-2</v>
      </c>
      <c r="M109">
        <v>97</v>
      </c>
      <c r="N109" s="6">
        <f ca="1">_xll.meDateFromTenor(N108,"-1D","PRECEDING","SYB:LNB")</f>
        <v>43354</v>
      </c>
      <c r="O109" s="15">
        <f ca="1">_xll.BDH(O$9,"PX_LAST",N109,N109)%</f>
        <v>1.9300000000000001E-2</v>
      </c>
      <c r="P109">
        <v>97</v>
      </c>
      <c r="Q109" s="6">
        <f ca="1">_xll.meDateFromTenor(Q108,"-1D","PRECEDING","SYB:LNB")</f>
        <v>43354</v>
      </c>
      <c r="R109" s="15">
        <f ca="1">_xll.BDH(R$9,"PX_LAST",Q109,Q109)%</f>
        <v>2.1099999999999997E-2</v>
      </c>
      <c r="S109">
        <v>97</v>
      </c>
      <c r="T109" s="6">
        <f ca="1">_xll.meDateFromTenor(T108,"-1D","PRECEDING","SYB:LNB")</f>
        <v>43354</v>
      </c>
      <c r="U109" s="15">
        <f ca="1">_xll.BDH(U$9,"PX_LAST",T109,T109)%</f>
        <v>-3.9329999999999996E-4</v>
      </c>
      <c r="V109">
        <v>97</v>
      </c>
      <c r="W109" s="6">
        <f ca="1">_xll.meDateFromTenor(W108,"-1D","PRECEDING","SYB:LNB")</f>
        <v>43354</v>
      </c>
      <c r="X109" s="15">
        <f ca="1">_xll.BDH(X$9,"PX_LAST",W109,W109)%</f>
        <v>2.433E-4</v>
      </c>
    </row>
    <row r="110" spans="1:24">
      <c r="A110">
        <v>98</v>
      </c>
      <c r="B110" s="6">
        <f ca="1">_xll.meDateFromTenor(B109,"-1D","PRECEDING","TGT")</f>
        <v>43355</v>
      </c>
      <c r="C110" s="15">
        <f ca="1">_xll.BDH(C$9,"PX_LAST",B110,B110)%</f>
        <v>-3.1900000000000001E-3</v>
      </c>
      <c r="D110">
        <v>98</v>
      </c>
      <c r="E110" s="6">
        <f ca="1">_xll.meDateFromTenor(E109,"-1D","PRECEDING","TGT")</f>
        <v>43355</v>
      </c>
      <c r="F110" s="15">
        <f ca="1">_xll.BDH(F$9,"PX_LAST",E110,E110)%</f>
        <v>-2.6900000000000001E-3</v>
      </c>
      <c r="G110">
        <v>98</v>
      </c>
      <c r="H110" s="6">
        <f ca="1">_xll.meDateFromTenor(H109,"-1D","PRECEDING","NYB:LNB")</f>
        <v>43349</v>
      </c>
      <c r="I110" s="15">
        <f ca="1">_xll.BDH(I$9,"PX_LAST",H110,H110)%</f>
        <v>2.3270599999999999E-2</v>
      </c>
      <c r="J110">
        <v>98</v>
      </c>
      <c r="K110" s="6">
        <f ca="1">_xll.meDateFromTenor(K109,"-1D","PRECEDING","NYB:LNB")</f>
        <v>43349</v>
      </c>
      <c r="L110" s="15">
        <f ca="1">_xll.BDH(L$9,"PX_LAST",K110,K110)%</f>
        <v>2.54419E-2</v>
      </c>
      <c r="M110">
        <v>98</v>
      </c>
      <c r="N110" s="6">
        <f ca="1">_xll.meDateFromTenor(N109,"-1D","PRECEDING","SYB:LNB")</f>
        <v>43353</v>
      </c>
      <c r="O110" s="15">
        <f ca="1">_xll.BDH(O$9,"PX_LAST",N110,N110)%</f>
        <v>1.9300000000000001E-2</v>
      </c>
      <c r="P110">
        <v>98</v>
      </c>
      <c r="Q110" s="6">
        <f ca="1">_xll.meDateFromTenor(Q109,"-1D","PRECEDING","SYB:LNB")</f>
        <v>43353</v>
      </c>
      <c r="R110" s="15">
        <f ca="1">_xll.BDH(R$9,"PX_LAST",Q110,Q110)%</f>
        <v>2.1099999999999997E-2</v>
      </c>
      <c r="S110">
        <v>98</v>
      </c>
      <c r="T110" s="6">
        <f ca="1">_xll.meDateFromTenor(T109,"-1D","PRECEDING","SYB:LNB")</f>
        <v>43353</v>
      </c>
      <c r="U110" s="15">
        <f ca="1">_xll.BDH(U$9,"PX_LAST",T110,T110)%</f>
        <v>-3.8170000000000001E-4</v>
      </c>
      <c r="V110">
        <v>98</v>
      </c>
      <c r="W110" s="6">
        <f ca="1">_xll.meDateFromTenor(W109,"-1D","PRECEDING","SYB:LNB")</f>
        <v>43353</v>
      </c>
      <c r="X110" s="15">
        <f ca="1">_xll.BDH(X$9,"PX_LAST",W110,W110)%</f>
        <v>2.433E-4</v>
      </c>
    </row>
    <row r="111" spans="1:24">
      <c r="A111">
        <v>99</v>
      </c>
      <c r="B111" s="6">
        <f ca="1">_xll.meDateFromTenor(B110,"-1D","PRECEDING","TGT")</f>
        <v>43354</v>
      </c>
      <c r="C111" s="15">
        <f ca="1">_xll.BDH(C$9,"PX_LAST",B111,B111)%</f>
        <v>-3.1900000000000001E-3</v>
      </c>
      <c r="D111">
        <v>99</v>
      </c>
      <c r="E111" s="6">
        <f ca="1">_xll.meDateFromTenor(E110,"-1D","PRECEDING","TGT")</f>
        <v>43354</v>
      </c>
      <c r="F111" s="15">
        <f ca="1">_xll.BDH(F$9,"PX_LAST",E111,E111)%</f>
        <v>-2.6900000000000001E-3</v>
      </c>
      <c r="G111">
        <v>99</v>
      </c>
      <c r="H111" s="6">
        <f ca="1">_xll.meDateFromTenor(H110,"-1D","PRECEDING","NYB:LNB")</f>
        <v>43348</v>
      </c>
      <c r="I111" s="15">
        <f ca="1">_xll.BDH(I$9,"PX_LAST",H111,H111)%</f>
        <v>2.3168099999999997E-2</v>
      </c>
      <c r="J111">
        <v>99</v>
      </c>
      <c r="K111" s="6">
        <f ca="1">_xll.meDateFromTenor(K110,"-1D","PRECEDING","NYB:LNB")</f>
        <v>43348</v>
      </c>
      <c r="L111" s="15">
        <f ca="1">_xll.BDH(L$9,"PX_LAST",K111,K111)%</f>
        <v>2.54056E-2</v>
      </c>
      <c r="M111">
        <v>99</v>
      </c>
      <c r="N111" s="6">
        <f ca="1">_xll.meDateFromTenor(N110,"-1D","PRECEDING","SYB:LNB")</f>
        <v>43350</v>
      </c>
      <c r="O111" s="15">
        <f ca="1">_xll.BDH(O$9,"PX_LAST",N111,N111)%</f>
        <v>1.9318999999999999E-2</v>
      </c>
      <c r="P111">
        <v>99</v>
      </c>
      <c r="Q111" s="6">
        <f ca="1">_xll.meDateFromTenor(Q110,"-1D","PRECEDING","SYB:LNB")</f>
        <v>43350</v>
      </c>
      <c r="R111" s="15">
        <f ca="1">_xll.BDH(R$9,"PX_LAST",Q111,Q111)%</f>
        <v>2.1250000000000002E-2</v>
      </c>
      <c r="S111">
        <v>99</v>
      </c>
      <c r="T111" s="6">
        <f ca="1">_xll.meDateFromTenor(T110,"-1D","PRECEDING","SYB:LNB")</f>
        <v>43350</v>
      </c>
      <c r="U111" s="15">
        <f ca="1">_xll.BDH(U$9,"PX_LAST",T111,T111)%</f>
        <v>-3.6499999999999998E-4</v>
      </c>
      <c r="V111">
        <v>99</v>
      </c>
      <c r="W111" s="6">
        <f ca="1">_xll.meDateFromTenor(W110,"-1D","PRECEDING","SYB:LNB")</f>
        <v>43350</v>
      </c>
      <c r="X111" s="15">
        <f ca="1">_xll.BDH(X$9,"PX_LAST",W111,W111)%</f>
        <v>2.3169999999999999E-4</v>
      </c>
    </row>
    <row r="112" spans="1:24">
      <c r="A112">
        <v>100</v>
      </c>
      <c r="B112" s="6">
        <f ca="1">_xll.meDateFromTenor(B111,"-1D","PRECEDING","TGT")</f>
        <v>43353</v>
      </c>
      <c r="C112" s="15">
        <f ca="1">_xll.BDH(C$9,"PX_LAST",B112,B112)%</f>
        <v>-3.1900000000000001E-3</v>
      </c>
      <c r="D112">
        <v>100</v>
      </c>
      <c r="E112" s="6">
        <f ca="1">_xll.meDateFromTenor(E111,"-1D","PRECEDING","TGT")</f>
        <v>43353</v>
      </c>
      <c r="F112" s="15">
        <f ca="1">_xll.BDH(F$9,"PX_LAST",E112,E112)%</f>
        <v>-2.6900000000000001E-3</v>
      </c>
      <c r="G112">
        <v>100</v>
      </c>
      <c r="H112" s="6">
        <f ca="1">_xll.meDateFromTenor(H111,"-1D","PRECEDING","NYB:LNB")</f>
        <v>43347</v>
      </c>
      <c r="I112" s="15">
        <f ca="1">_xll.BDH(I$9,"PX_LAST",H112,H112)%</f>
        <v>2.3227500000000002E-2</v>
      </c>
      <c r="J112">
        <v>100</v>
      </c>
      <c r="K112" s="6">
        <f ca="1">_xll.meDateFromTenor(K111,"-1D","PRECEDING","NYB:LNB")</f>
        <v>43347</v>
      </c>
      <c r="L112" s="15">
        <f ca="1">_xll.BDH(L$9,"PX_LAST",K112,K112)%</f>
        <v>2.5390000000000003E-2</v>
      </c>
      <c r="M112">
        <v>100</v>
      </c>
      <c r="N112" s="6">
        <f ca="1">_xll.meDateFromTenor(N111,"-1D","PRECEDING","SYB:LNB")</f>
        <v>43349</v>
      </c>
      <c r="O112" s="15">
        <f ca="1">_xll.BDH(O$9,"PX_LAST",N112,N112)%</f>
        <v>1.9550000000000001E-2</v>
      </c>
      <c r="P112">
        <v>100</v>
      </c>
      <c r="Q112" s="6">
        <f ca="1">_xll.meDateFromTenor(Q111,"-1D","PRECEDING","SYB:LNB")</f>
        <v>43349</v>
      </c>
      <c r="R112" s="15">
        <f ca="1">_xll.BDH(R$9,"PX_LAST",Q112,Q112)%</f>
        <v>2.1400000000000002E-2</v>
      </c>
      <c r="S112">
        <v>100</v>
      </c>
      <c r="T112" s="6">
        <f ca="1">_xll.meDateFromTenor(T111,"-1D","PRECEDING","SYB:LNB")</f>
        <v>43349</v>
      </c>
      <c r="U112" s="15">
        <f ca="1">_xll.BDH(U$9,"PX_LAST",T112,T112)%</f>
        <v>-3.4830000000000001E-4</v>
      </c>
      <c r="V112">
        <v>100</v>
      </c>
      <c r="W112" s="6">
        <f ca="1">_xll.meDateFromTenor(W111,"-1D","PRECEDING","SYB:LNB")</f>
        <v>43349</v>
      </c>
      <c r="X112" s="15">
        <f ca="1">_xll.BDH(X$9,"PX_LAST",W112,W112)%</f>
        <v>2.5670000000000001E-4</v>
      </c>
    </row>
    <row r="113" spans="1:24">
      <c r="A113">
        <v>101</v>
      </c>
      <c r="B113" s="6">
        <f ca="1">_xll.meDateFromTenor(B112,"-1D","PRECEDING","TGT")</f>
        <v>43350</v>
      </c>
      <c r="C113" s="15">
        <f ca="1">_xll.BDH(C$9,"PX_LAST",B113,B113)%</f>
        <v>-3.1900000000000001E-3</v>
      </c>
      <c r="D113">
        <v>101</v>
      </c>
      <c r="E113" s="6">
        <f ca="1">_xll.meDateFromTenor(E112,"-1D","PRECEDING","TGT")</f>
        <v>43350</v>
      </c>
      <c r="F113" s="15">
        <f ca="1">_xll.BDH(F$9,"PX_LAST",E113,E113)%</f>
        <v>-2.6900000000000001E-3</v>
      </c>
      <c r="G113">
        <v>101</v>
      </c>
      <c r="H113" s="6">
        <f ca="1">_xll.meDateFromTenor(H112,"-1D","PRECEDING","NYB:LNB")</f>
        <v>43343</v>
      </c>
      <c r="I113" s="15">
        <f ca="1">_xll.BDH(I$9,"PX_LAST",H113,H113)%</f>
        <v>2.3207499999999999E-2</v>
      </c>
      <c r="J113">
        <v>101</v>
      </c>
      <c r="K113" s="6">
        <f ca="1">_xll.meDateFromTenor(K112,"-1D","PRECEDING","NYB:LNB")</f>
        <v>43343</v>
      </c>
      <c r="L113" s="15">
        <f ca="1">_xll.BDH(L$9,"PX_LAST",K113,K113)%</f>
        <v>2.5356300000000002E-2</v>
      </c>
      <c r="M113">
        <v>101</v>
      </c>
      <c r="N113" s="6">
        <f ca="1">_xll.meDateFromTenor(N112,"-1D","PRECEDING","SYB:LNB")</f>
        <v>43348</v>
      </c>
      <c r="O113" s="15">
        <f ca="1">_xll.BDH(O$9,"PX_LAST",N113,N113)%</f>
        <v>1.9400000000000001E-2</v>
      </c>
      <c r="P113">
        <v>101</v>
      </c>
      <c r="Q113" s="6">
        <f ca="1">_xll.meDateFromTenor(Q112,"-1D","PRECEDING","SYB:LNB")</f>
        <v>43348</v>
      </c>
      <c r="R113" s="15">
        <f ca="1">_xll.BDH(R$9,"PX_LAST",Q113,Q113)%</f>
        <v>2.1400000000000002E-2</v>
      </c>
      <c r="S113">
        <v>101</v>
      </c>
      <c r="T113" s="6">
        <f ca="1">_xll.meDateFromTenor(T112,"-1D","PRECEDING","SYB:LNB")</f>
        <v>43348</v>
      </c>
      <c r="U113" s="15">
        <f ca="1">_xll.BDH(U$9,"PX_LAST",T113,T113)%</f>
        <v>-3.8170000000000001E-4</v>
      </c>
      <c r="V113">
        <v>101</v>
      </c>
      <c r="W113" s="6">
        <f ca="1">_xll.meDateFromTenor(W112,"-1D","PRECEDING","SYB:LNB")</f>
        <v>43348</v>
      </c>
      <c r="X113" s="15">
        <f ca="1">_xll.BDH(X$9,"PX_LAST",W113,W113)%</f>
        <v>2.5000000000000001E-4</v>
      </c>
    </row>
    <row r="114" spans="1:24">
      <c r="A114">
        <v>102</v>
      </c>
      <c r="B114" s="6">
        <f ca="1">_xll.meDateFromTenor(B113,"-1D","PRECEDING","TGT")</f>
        <v>43349</v>
      </c>
      <c r="C114" s="15">
        <f ca="1">_xll.BDH(C$9,"PX_LAST",B114,B114)%</f>
        <v>-3.1900000000000001E-3</v>
      </c>
      <c r="D114">
        <v>102</v>
      </c>
      <c r="E114" s="6">
        <f ca="1">_xll.meDateFromTenor(E113,"-1D","PRECEDING","TGT")</f>
        <v>43349</v>
      </c>
      <c r="F114" s="15">
        <f ca="1">_xll.BDH(F$9,"PX_LAST",E114,E114)%</f>
        <v>-2.6900000000000001E-3</v>
      </c>
      <c r="G114">
        <v>102</v>
      </c>
      <c r="H114" s="6">
        <f ca="1">_xll.meDateFromTenor(H113,"-1D","PRECEDING","NYB:LNB")</f>
        <v>43342</v>
      </c>
      <c r="I114" s="15">
        <f ca="1">_xll.BDH(I$9,"PX_LAST",H114,H114)%</f>
        <v>2.32125E-2</v>
      </c>
      <c r="J114">
        <v>102</v>
      </c>
      <c r="K114" s="6">
        <f ca="1">_xll.meDateFromTenor(K113,"-1D","PRECEDING","NYB:LNB")</f>
        <v>43342</v>
      </c>
      <c r="L114" s="15">
        <f ca="1">_xll.BDH(L$9,"PX_LAST",K114,K114)%</f>
        <v>2.5338799999999998E-2</v>
      </c>
      <c r="M114">
        <v>102</v>
      </c>
      <c r="N114" s="6">
        <f ca="1">_xll.meDateFromTenor(N113,"-1D","PRECEDING","SYB:LNB")</f>
        <v>43347</v>
      </c>
      <c r="O114" s="15">
        <f ca="1">_xll.BDH(O$9,"PX_LAST",N114,N114)%</f>
        <v>1.95E-2</v>
      </c>
      <c r="P114">
        <v>102</v>
      </c>
      <c r="Q114" s="6">
        <f ca="1">_xll.meDateFromTenor(Q113,"-1D","PRECEDING","SYB:LNB")</f>
        <v>43347</v>
      </c>
      <c r="R114" s="15">
        <f ca="1">_xll.BDH(R$9,"PX_LAST",Q114,Q114)%</f>
        <v>2.1400000000000002E-2</v>
      </c>
      <c r="S114">
        <v>102</v>
      </c>
      <c r="T114" s="6">
        <f ca="1">_xll.meDateFromTenor(T113,"-1D","PRECEDING","SYB:LNB")</f>
        <v>43347</v>
      </c>
      <c r="U114" s="15">
        <f ca="1">_xll.BDH(U$9,"PX_LAST",T114,T114)%</f>
        <v>-3.5999999999999997E-4</v>
      </c>
      <c r="V114">
        <v>102</v>
      </c>
      <c r="W114" s="6">
        <f ca="1">_xll.meDateFromTenor(W113,"-1D","PRECEDING","SYB:LNB")</f>
        <v>43347</v>
      </c>
      <c r="X114" s="15">
        <f ca="1">_xll.BDH(X$9,"PX_LAST",W114,W114)%</f>
        <v>2.5169999999999999E-4</v>
      </c>
    </row>
    <row r="115" spans="1:24">
      <c r="A115">
        <v>103</v>
      </c>
      <c r="B115" s="6">
        <f ca="1">_xll.meDateFromTenor(B114,"-1D","PRECEDING","TGT")</f>
        <v>43348</v>
      </c>
      <c r="C115" s="15">
        <f ca="1">_xll.BDH(C$9,"PX_LAST",B115,B115)%</f>
        <v>-3.1900000000000001E-3</v>
      </c>
      <c r="D115">
        <v>103</v>
      </c>
      <c r="E115" s="6">
        <f ca="1">_xll.meDateFromTenor(E114,"-1D","PRECEDING","TGT")</f>
        <v>43348</v>
      </c>
      <c r="F115" s="15">
        <f ca="1">_xll.BDH(F$9,"PX_LAST",E115,E115)%</f>
        <v>-2.6900000000000001E-3</v>
      </c>
      <c r="G115">
        <v>103</v>
      </c>
      <c r="H115" s="6">
        <f ca="1">_xll.meDateFromTenor(H114,"-1D","PRECEDING","NYB:LNB")</f>
        <v>43341</v>
      </c>
      <c r="I115" s="15">
        <f ca="1">_xll.BDH(I$9,"PX_LAST",H115,H115)%</f>
        <v>2.3126299999999999E-2</v>
      </c>
      <c r="J115">
        <v>103</v>
      </c>
      <c r="K115" s="6">
        <f ca="1">_xll.meDateFromTenor(K114,"-1D","PRECEDING","NYB:LNB")</f>
        <v>43341</v>
      </c>
      <c r="L115" s="15">
        <f ca="1">_xll.BDH(L$9,"PX_LAST",K115,K115)%</f>
        <v>2.5274999999999999E-2</v>
      </c>
      <c r="M115">
        <v>103</v>
      </c>
      <c r="N115" s="6">
        <f ca="1">_xll.meDateFromTenor(N114,"-1D","PRECEDING","SYB:LNB")</f>
        <v>43346</v>
      </c>
      <c r="O115" s="15">
        <f ca="1">_xll.BDH(O$9,"PX_LAST",N115,N115)%</f>
        <v>1.95E-2</v>
      </c>
      <c r="P115">
        <v>103</v>
      </c>
      <c r="Q115" s="6">
        <f ca="1">_xll.meDateFromTenor(Q114,"-1D","PRECEDING","SYB:LNB")</f>
        <v>43346</v>
      </c>
      <c r="R115" s="15">
        <f ca="1">_xll.BDH(R$9,"PX_LAST",Q115,Q115)%</f>
        <v>2.1400000000000002E-2</v>
      </c>
      <c r="S115">
        <v>103</v>
      </c>
      <c r="T115" s="6">
        <f ca="1">_xll.meDateFromTenor(T114,"-1D","PRECEDING","SYB:LNB")</f>
        <v>43346</v>
      </c>
      <c r="U115" s="15">
        <f ca="1">_xll.BDH(U$9,"PX_LAST",T115,T115)%</f>
        <v>-3.567E-4</v>
      </c>
      <c r="V115">
        <v>103</v>
      </c>
      <c r="W115" s="6">
        <f ca="1">_xll.meDateFromTenor(W114,"-1D","PRECEDING","SYB:LNB")</f>
        <v>43346</v>
      </c>
      <c r="X115" s="15">
        <f ca="1">_xll.BDH(X$9,"PX_LAST",W115,W115)%</f>
        <v>2.6830000000000002E-4</v>
      </c>
    </row>
    <row r="116" spans="1:24">
      <c r="A116">
        <v>104</v>
      </c>
      <c r="B116" s="6">
        <f ca="1">_xll.meDateFromTenor(B115,"-1D","PRECEDING","TGT")</f>
        <v>43347</v>
      </c>
      <c r="C116" s="15">
        <f ca="1">_xll.BDH(C$9,"PX_LAST",B116,B116)%</f>
        <v>-3.1900000000000001E-3</v>
      </c>
      <c r="D116">
        <v>104</v>
      </c>
      <c r="E116" s="6">
        <f ca="1">_xll.meDateFromTenor(E115,"-1D","PRECEDING","TGT")</f>
        <v>43347</v>
      </c>
      <c r="F116" s="15">
        <f ca="1">_xll.BDH(F$9,"PX_LAST",E116,E116)%</f>
        <v>-2.6900000000000001E-3</v>
      </c>
      <c r="G116">
        <v>104</v>
      </c>
      <c r="H116" s="6">
        <f ca="1">_xll.meDateFromTenor(H115,"-1D","PRECEDING","NYB:LNB")</f>
        <v>43340</v>
      </c>
      <c r="I116" s="15">
        <f ca="1">_xll.BDH(I$9,"PX_LAST",H116,H116)%</f>
        <v>2.3147500000000001E-2</v>
      </c>
      <c r="J116">
        <v>104</v>
      </c>
      <c r="K116" s="6">
        <f ca="1">_xll.meDateFromTenor(K115,"-1D","PRECEDING","NYB:LNB")</f>
        <v>43340</v>
      </c>
      <c r="L116" s="15">
        <f ca="1">_xll.BDH(L$9,"PX_LAST",K116,K116)%</f>
        <v>2.5282499999999999E-2</v>
      </c>
      <c r="M116">
        <v>104</v>
      </c>
      <c r="N116" s="6">
        <f ca="1">_xll.meDateFromTenor(N115,"-1D","PRECEDING","SYB:LNB")</f>
        <v>43343</v>
      </c>
      <c r="O116" s="15">
        <f ca="1">_xll.BDH(O$9,"PX_LAST",N116,N116)%</f>
        <v>1.95E-2</v>
      </c>
      <c r="P116">
        <v>104</v>
      </c>
      <c r="Q116" s="6">
        <f ca="1">_xll.meDateFromTenor(Q115,"-1D","PRECEDING","SYB:LNB")</f>
        <v>43343</v>
      </c>
      <c r="R116" s="15">
        <f ca="1">_xll.BDH(R$9,"PX_LAST",Q116,Q116)%</f>
        <v>2.1400000000000002E-2</v>
      </c>
      <c r="S116">
        <v>104</v>
      </c>
      <c r="T116" s="6">
        <f ca="1">_xll.meDateFromTenor(T115,"-1D","PRECEDING","SYB:LNB")</f>
        <v>43343</v>
      </c>
      <c r="U116" s="15">
        <f ca="1">_xll.BDH(U$9,"PX_LAST",T116,T116)%</f>
        <v>-3.233E-4</v>
      </c>
      <c r="V116">
        <v>104</v>
      </c>
      <c r="W116" s="6">
        <f ca="1">_xll.meDateFromTenor(W115,"-1D","PRECEDING","SYB:LNB")</f>
        <v>43343</v>
      </c>
      <c r="X116" s="15">
        <f ca="1">_xll.BDH(X$9,"PX_LAST",W116,W116)%</f>
        <v>2.6669999999999998E-4</v>
      </c>
    </row>
    <row r="117" spans="1:24">
      <c r="A117">
        <v>105</v>
      </c>
      <c r="B117" s="6">
        <f ca="1">_xll.meDateFromTenor(B116,"-1D","PRECEDING","TGT")</f>
        <v>43346</v>
      </c>
      <c r="C117" s="15">
        <f ca="1">_xll.BDH(C$9,"PX_LAST",B117,B117)%</f>
        <v>-3.1900000000000001E-3</v>
      </c>
      <c r="D117">
        <v>105</v>
      </c>
      <c r="E117" s="6">
        <f ca="1">_xll.meDateFromTenor(E116,"-1D","PRECEDING","TGT")</f>
        <v>43346</v>
      </c>
      <c r="F117" s="15">
        <f ca="1">_xll.BDH(F$9,"PX_LAST",E117,E117)%</f>
        <v>-2.6800000000000001E-3</v>
      </c>
      <c r="G117">
        <v>105</v>
      </c>
      <c r="H117" s="6">
        <f ca="1">_xll.meDateFromTenor(H116,"-1D","PRECEDING","NYB:LNB")</f>
        <v>43336</v>
      </c>
      <c r="I117" s="15">
        <f ca="1">_xll.BDH(I$9,"PX_LAST",H117,H117)%</f>
        <v>2.3172499999999999E-2</v>
      </c>
      <c r="J117">
        <v>105</v>
      </c>
      <c r="K117" s="6">
        <f ca="1">_xll.meDateFromTenor(K116,"-1D","PRECEDING","NYB:LNB")</f>
        <v>43336</v>
      </c>
      <c r="L117" s="15">
        <f ca="1">_xll.BDH(L$9,"PX_LAST",K117,K117)%</f>
        <v>2.5230000000000002E-2</v>
      </c>
      <c r="M117">
        <v>105</v>
      </c>
      <c r="N117" s="6">
        <f ca="1">_xll.meDateFromTenor(N116,"-1D","PRECEDING","SYB:LNB")</f>
        <v>43342</v>
      </c>
      <c r="O117" s="15">
        <f ca="1">_xll.BDH(O$9,"PX_LAST",N117,N117)%</f>
        <v>1.9480000000000001E-2</v>
      </c>
      <c r="P117">
        <v>105</v>
      </c>
      <c r="Q117" s="6">
        <f ca="1">_xll.meDateFromTenor(Q116,"-1D","PRECEDING","SYB:LNB")</f>
        <v>43342</v>
      </c>
      <c r="R117" s="15">
        <f ca="1">_xll.BDH(R$9,"PX_LAST",Q117,Q117)%</f>
        <v>2.1400000000000002E-2</v>
      </c>
      <c r="S117">
        <v>105</v>
      </c>
      <c r="T117" s="6">
        <f ca="1">_xll.meDateFromTenor(T116,"-1D","PRECEDING","SYB:LNB")</f>
        <v>43342</v>
      </c>
      <c r="U117" s="15">
        <f ca="1">_xll.BDH(U$9,"PX_LAST",T117,T117)%</f>
        <v>-3.1169999999999999E-4</v>
      </c>
      <c r="V117">
        <v>105</v>
      </c>
      <c r="W117" s="6">
        <f ca="1">_xll.meDateFromTenor(W116,"-1D","PRECEDING","SYB:LNB")</f>
        <v>43342</v>
      </c>
      <c r="X117" s="15">
        <f ca="1">_xll.BDH(X$9,"PX_LAST",W117,W117)%</f>
        <v>2.6669999999999998E-4</v>
      </c>
    </row>
    <row r="118" spans="1:24">
      <c r="A118">
        <v>106</v>
      </c>
      <c r="B118" s="6">
        <f ca="1">_xll.meDateFromTenor(B117,"-1D","PRECEDING","TGT")</f>
        <v>43343</v>
      </c>
      <c r="C118" s="15">
        <f ca="1">_xll.BDH(C$9,"PX_LAST",B118,B118)%</f>
        <v>-3.1900000000000001E-3</v>
      </c>
      <c r="D118">
        <v>106</v>
      </c>
      <c r="E118" s="6">
        <f ca="1">_xll.meDateFromTenor(E117,"-1D","PRECEDING","TGT")</f>
        <v>43343</v>
      </c>
      <c r="F118" s="15">
        <f ca="1">_xll.BDH(F$9,"PX_LAST",E118,E118)%</f>
        <v>-2.6800000000000001E-3</v>
      </c>
      <c r="G118">
        <v>106</v>
      </c>
      <c r="H118" s="6">
        <f ca="1">_xll.meDateFromTenor(H117,"-1D","PRECEDING","NYB:LNB")</f>
        <v>43335</v>
      </c>
      <c r="I118" s="15">
        <f ca="1">_xll.BDH(I$9,"PX_LAST",H118,H118)%</f>
        <v>2.3113799999999997E-2</v>
      </c>
      <c r="J118">
        <v>106</v>
      </c>
      <c r="K118" s="6">
        <f ca="1">_xll.meDateFromTenor(K117,"-1D","PRECEDING","NYB:LNB")</f>
        <v>43335</v>
      </c>
      <c r="L118" s="15">
        <f ca="1">_xll.BDH(L$9,"PX_LAST",K118,K118)%</f>
        <v>2.5161300000000001E-2</v>
      </c>
      <c r="M118">
        <v>106</v>
      </c>
      <c r="N118" s="6">
        <f ca="1">_xll.meDateFromTenor(N117,"-1D","PRECEDING","SYB:LNB")</f>
        <v>43341</v>
      </c>
      <c r="O118" s="15">
        <f ca="1">_xll.BDH(O$9,"PX_LAST",N118,N118)%</f>
        <v>1.9447000000000002E-2</v>
      </c>
      <c r="P118">
        <v>106</v>
      </c>
      <c r="Q118" s="6">
        <f ca="1">_xll.meDateFromTenor(Q117,"-1D","PRECEDING","SYB:LNB")</f>
        <v>43341</v>
      </c>
      <c r="R118" s="15">
        <f ca="1">_xll.BDH(R$9,"PX_LAST",Q118,Q118)%</f>
        <v>2.1499999999999998E-2</v>
      </c>
      <c r="S118">
        <v>106</v>
      </c>
      <c r="T118" s="6">
        <f ca="1">_xll.meDateFromTenor(T117,"-1D","PRECEDING","SYB:LNB")</f>
        <v>43341</v>
      </c>
      <c r="U118" s="15">
        <f ca="1">_xll.BDH(U$9,"PX_LAST",T118,T118)%</f>
        <v>-2.8670000000000003E-4</v>
      </c>
      <c r="V118">
        <v>106</v>
      </c>
      <c r="W118" s="6">
        <f ca="1">_xll.meDateFromTenor(W117,"-1D","PRECEDING","SYB:LNB")</f>
        <v>43341</v>
      </c>
      <c r="X118" s="15">
        <f ca="1">_xll.BDH(X$9,"PX_LAST",W118,W118)%</f>
        <v>2.6499999999999999E-4</v>
      </c>
    </row>
    <row r="119" spans="1:24">
      <c r="A119">
        <v>107</v>
      </c>
      <c r="B119" s="6">
        <f ca="1">_xll.meDateFromTenor(B118,"-1D","PRECEDING","TGT")</f>
        <v>43342</v>
      </c>
      <c r="C119" s="15">
        <f ca="1">_xll.BDH(C$9,"PX_LAST",B119,B119)%</f>
        <v>-3.1900000000000001E-3</v>
      </c>
      <c r="D119">
        <v>107</v>
      </c>
      <c r="E119" s="6">
        <f ca="1">_xll.meDateFromTenor(E118,"-1D","PRECEDING","TGT")</f>
        <v>43342</v>
      </c>
      <c r="F119" s="15">
        <f ca="1">_xll.BDH(F$9,"PX_LAST",E119,E119)%</f>
        <v>-2.6800000000000001E-3</v>
      </c>
      <c r="G119">
        <v>107</v>
      </c>
      <c r="H119" s="6">
        <f ca="1">_xll.meDateFromTenor(H118,"-1D","PRECEDING","NYB:LNB")</f>
        <v>43334</v>
      </c>
      <c r="I119" s="15">
        <f ca="1">_xll.BDH(I$9,"PX_LAST",H119,H119)%</f>
        <v>2.3117499999999999E-2</v>
      </c>
      <c r="J119">
        <v>107</v>
      </c>
      <c r="K119" s="6">
        <f ca="1">_xll.meDateFromTenor(K118,"-1D","PRECEDING","NYB:LNB")</f>
        <v>43334</v>
      </c>
      <c r="L119" s="15">
        <f ca="1">_xll.BDH(L$9,"PX_LAST",K119,K119)%</f>
        <v>2.5125000000000001E-2</v>
      </c>
      <c r="M119">
        <v>107</v>
      </c>
      <c r="N119" s="6">
        <f ca="1">_xll.meDateFromTenor(N118,"-1D","PRECEDING","SYB:LNB")</f>
        <v>43340</v>
      </c>
      <c r="O119" s="15">
        <f ca="1">_xll.BDH(O$9,"PX_LAST",N119,N119)%</f>
        <v>1.9625E-2</v>
      </c>
      <c r="P119">
        <v>107</v>
      </c>
      <c r="Q119" s="6">
        <f ca="1">_xll.meDateFromTenor(Q118,"-1D","PRECEDING","SYB:LNB")</f>
        <v>43340</v>
      </c>
      <c r="R119" s="15">
        <f ca="1">_xll.BDH(R$9,"PX_LAST",Q119,Q119)%</f>
        <v>2.1499999999999998E-2</v>
      </c>
      <c r="S119">
        <v>107</v>
      </c>
      <c r="T119" s="6">
        <f ca="1">_xll.meDateFromTenor(T118,"-1D","PRECEDING","SYB:LNB")</f>
        <v>43340</v>
      </c>
      <c r="U119" s="15">
        <f ca="1">_xll.BDH(U$9,"PX_LAST",T119,T119)%</f>
        <v>-3.2000000000000003E-4</v>
      </c>
      <c r="V119">
        <v>107</v>
      </c>
      <c r="W119" s="6">
        <f ca="1">_xll.meDateFromTenor(W118,"-1D","PRECEDING","SYB:LNB")</f>
        <v>43340</v>
      </c>
      <c r="X119" s="15">
        <f ca="1">_xll.BDH(X$9,"PX_LAST",W119,W119)%</f>
        <v>2.4830000000000002E-4</v>
      </c>
    </row>
    <row r="120" spans="1:24">
      <c r="A120">
        <v>108</v>
      </c>
      <c r="B120" s="6">
        <f ca="1">_xll.meDateFromTenor(B119,"-1D","PRECEDING","TGT")</f>
        <v>43341</v>
      </c>
      <c r="C120" s="15">
        <f ca="1">_xll.BDH(C$9,"PX_LAST",B120,B120)%</f>
        <v>-3.1900000000000001E-3</v>
      </c>
      <c r="D120">
        <v>108</v>
      </c>
      <c r="E120" s="6">
        <f ca="1">_xll.meDateFromTenor(E119,"-1D","PRECEDING","TGT")</f>
        <v>43341</v>
      </c>
      <c r="F120" s="15">
        <f ca="1">_xll.BDH(F$9,"PX_LAST",E120,E120)%</f>
        <v>-2.66E-3</v>
      </c>
      <c r="G120">
        <v>108</v>
      </c>
      <c r="H120" s="6">
        <f ca="1">_xll.meDateFromTenor(H119,"-1D","PRECEDING","NYB:LNB")</f>
        <v>43333</v>
      </c>
      <c r="I120" s="15">
        <f ca="1">_xll.BDH(I$9,"PX_LAST",H120,H120)%</f>
        <v>2.3102499999999998E-2</v>
      </c>
      <c r="J120">
        <v>108</v>
      </c>
      <c r="K120" s="6">
        <f ca="1">_xll.meDateFromTenor(K119,"-1D","PRECEDING","NYB:LNB")</f>
        <v>43333</v>
      </c>
      <c r="L120" s="15">
        <f ca="1">_xll.BDH(L$9,"PX_LAST",K120,K120)%</f>
        <v>2.51288E-2</v>
      </c>
      <c r="M120">
        <v>108</v>
      </c>
      <c r="N120" s="6">
        <f ca="1">_xll.meDateFromTenor(N119,"-1D","PRECEDING","SYB:LNB")</f>
        <v>43336</v>
      </c>
      <c r="O120" s="15">
        <f ca="1">_xll.BDH(O$9,"PX_LAST",N120,N120)%</f>
        <v>1.95E-2</v>
      </c>
      <c r="P120">
        <v>108</v>
      </c>
      <c r="Q120" s="6">
        <f ca="1">_xll.meDateFromTenor(Q119,"-1D","PRECEDING","SYB:LNB")</f>
        <v>43336</v>
      </c>
      <c r="R120" s="15">
        <f ca="1">_xll.BDH(R$9,"PX_LAST",Q120,Q120)%</f>
        <v>2.1499999999999998E-2</v>
      </c>
      <c r="S120">
        <v>108</v>
      </c>
      <c r="T120" s="6">
        <f ca="1">_xll.meDateFromTenor(T119,"-1D","PRECEDING","SYB:LNB")</f>
        <v>43336</v>
      </c>
      <c r="U120" s="15">
        <f ca="1">_xll.BDH(U$9,"PX_LAST",T120,T120)%</f>
        <v>-3.033E-4</v>
      </c>
      <c r="V120">
        <v>108</v>
      </c>
      <c r="W120" s="6">
        <f ca="1">_xll.meDateFromTenor(W119,"-1D","PRECEDING","SYB:LNB")</f>
        <v>43336</v>
      </c>
      <c r="X120" s="15">
        <f ca="1">_xll.BDH(X$9,"PX_LAST",W120,W120)%</f>
        <v>2.8830000000000001E-4</v>
      </c>
    </row>
    <row r="121" spans="1:24">
      <c r="A121">
        <v>109</v>
      </c>
      <c r="B121" s="6">
        <f ca="1">_xll.meDateFromTenor(B120,"-1D","PRECEDING","TGT")</f>
        <v>43340</v>
      </c>
      <c r="C121" s="15">
        <f ca="1">_xll.BDH(C$9,"PX_LAST",B121,B121)%</f>
        <v>-3.1900000000000001E-3</v>
      </c>
      <c r="D121">
        <v>109</v>
      </c>
      <c r="E121" s="6">
        <f ca="1">_xll.meDateFromTenor(E120,"-1D","PRECEDING","TGT")</f>
        <v>43340</v>
      </c>
      <c r="F121" s="15">
        <f ca="1">_xll.BDH(F$9,"PX_LAST",E121,E121)%</f>
        <v>-2.66E-3</v>
      </c>
      <c r="G121">
        <v>109</v>
      </c>
      <c r="H121" s="6">
        <f ca="1">_xll.meDateFromTenor(H120,"-1D","PRECEDING","NYB:LNB")</f>
        <v>43332</v>
      </c>
      <c r="I121" s="15">
        <f ca="1">_xll.BDH(I$9,"PX_LAST",H121,H121)%</f>
        <v>2.30963E-2</v>
      </c>
      <c r="J121">
        <v>109</v>
      </c>
      <c r="K121" s="6">
        <f ca="1">_xll.meDateFromTenor(K120,"-1D","PRECEDING","NYB:LNB")</f>
        <v>43332</v>
      </c>
      <c r="L121" s="15">
        <f ca="1">_xll.BDH(L$9,"PX_LAST",K121,K121)%</f>
        <v>2.5086300000000002E-2</v>
      </c>
      <c r="M121">
        <v>109</v>
      </c>
      <c r="N121" s="6">
        <f ca="1">_xll.meDateFromTenor(N120,"-1D","PRECEDING","SYB:LNB")</f>
        <v>43335</v>
      </c>
      <c r="O121" s="15">
        <f ca="1">_xll.BDH(O$9,"PX_LAST",N121,N121)%</f>
        <v>1.9599999999999999E-2</v>
      </c>
      <c r="P121">
        <v>109</v>
      </c>
      <c r="Q121" s="6">
        <f ca="1">_xll.meDateFromTenor(Q120,"-1D","PRECEDING","SYB:LNB")</f>
        <v>43335</v>
      </c>
      <c r="R121" s="15">
        <f ca="1">_xll.BDH(R$9,"PX_LAST",Q121,Q121)%</f>
        <v>2.1600000000000001E-2</v>
      </c>
      <c r="S121">
        <v>109</v>
      </c>
      <c r="T121" s="6">
        <f ca="1">_xll.meDateFromTenor(T120,"-1D","PRECEDING","SYB:LNB")</f>
        <v>43335</v>
      </c>
      <c r="U121" s="15">
        <f ca="1">_xll.BDH(U$9,"PX_LAST",T121,T121)%</f>
        <v>-3.1169999999999999E-4</v>
      </c>
      <c r="V121">
        <v>109</v>
      </c>
      <c r="W121" s="6">
        <f ca="1">_xll.meDateFromTenor(W120,"-1D","PRECEDING","SYB:LNB")</f>
        <v>43335</v>
      </c>
      <c r="X121" s="15">
        <f ca="1">_xll.BDH(X$9,"PX_LAST",W121,W121)%</f>
        <v>2.9499999999999996E-4</v>
      </c>
    </row>
    <row r="122" spans="1:24">
      <c r="A122">
        <v>110</v>
      </c>
      <c r="B122" s="6">
        <f ca="1">_xll.meDateFromTenor(B121,"-1D","PRECEDING","TGT")</f>
        <v>43339</v>
      </c>
      <c r="C122" s="15">
        <f ca="1">_xll.BDH(C$9,"PX_LAST",B122,B122)%</f>
        <v>-3.1900000000000001E-3</v>
      </c>
      <c r="D122">
        <v>110</v>
      </c>
      <c r="E122" s="6">
        <f ca="1">_xll.meDateFromTenor(E121,"-1D","PRECEDING","TGT")</f>
        <v>43339</v>
      </c>
      <c r="F122" s="15">
        <f ca="1">_xll.BDH(F$9,"PX_LAST",E122,E122)%</f>
        <v>-2.65E-3</v>
      </c>
      <c r="G122">
        <v>110</v>
      </c>
      <c r="H122" s="6">
        <f ca="1">_xll.meDateFromTenor(H121,"-1D","PRECEDING","NYB:LNB")</f>
        <v>43329</v>
      </c>
      <c r="I122" s="15">
        <f ca="1">_xll.BDH(I$9,"PX_LAST",H122,H122)%</f>
        <v>2.3118799999999998E-2</v>
      </c>
      <c r="J122">
        <v>110</v>
      </c>
      <c r="K122" s="6">
        <f ca="1">_xll.meDateFromTenor(K121,"-1D","PRECEDING","NYB:LNB")</f>
        <v>43329</v>
      </c>
      <c r="L122" s="15">
        <f ca="1">_xll.BDH(L$9,"PX_LAST",K122,K122)%</f>
        <v>2.5107499999999998E-2</v>
      </c>
      <c r="M122">
        <v>110</v>
      </c>
      <c r="N122" s="6">
        <f ca="1">_xll.meDateFromTenor(N121,"-1D","PRECEDING","SYB:LNB")</f>
        <v>43334</v>
      </c>
      <c r="O122" s="15">
        <f ca="1">_xll.BDH(O$9,"PX_LAST",N122,N122)%</f>
        <v>1.9525000000000001E-2</v>
      </c>
      <c r="P122">
        <v>110</v>
      </c>
      <c r="Q122" s="6">
        <f ca="1">_xll.meDateFromTenor(Q121,"-1D","PRECEDING","SYB:LNB")</f>
        <v>43334</v>
      </c>
      <c r="R122" s="15">
        <f ca="1">_xll.BDH(R$9,"PX_LAST",Q122,Q122)%</f>
        <v>2.1600000000000001E-2</v>
      </c>
      <c r="S122">
        <v>110</v>
      </c>
      <c r="T122" s="6">
        <f ca="1">_xll.meDateFromTenor(T121,"-1D","PRECEDING","SYB:LNB")</f>
        <v>43334</v>
      </c>
      <c r="U122" s="15">
        <f ca="1">_xll.BDH(U$9,"PX_LAST",T122,T122)%</f>
        <v>-3.367E-4</v>
      </c>
      <c r="V122">
        <v>110</v>
      </c>
      <c r="W122" s="6">
        <f ca="1">_xll.meDateFromTenor(W121,"-1D","PRECEDING","SYB:LNB")</f>
        <v>43334</v>
      </c>
      <c r="X122" s="15">
        <f ca="1">_xll.BDH(X$9,"PX_LAST",W122,W122)%</f>
        <v>2.7E-4</v>
      </c>
    </row>
    <row r="123" spans="1:24">
      <c r="A123">
        <v>111</v>
      </c>
      <c r="B123" s="6">
        <f ca="1">_xll.meDateFromTenor(B122,"-1D","PRECEDING","TGT")</f>
        <v>43336</v>
      </c>
      <c r="C123" s="15">
        <f ca="1">_xll.BDH(C$9,"PX_LAST",B123,B123)%</f>
        <v>-3.1900000000000001E-3</v>
      </c>
      <c r="D123">
        <v>111</v>
      </c>
      <c r="E123" s="6">
        <f ca="1">_xll.meDateFromTenor(E122,"-1D","PRECEDING","TGT")</f>
        <v>43336</v>
      </c>
      <c r="F123" s="15">
        <f ca="1">_xll.BDH(F$9,"PX_LAST",E123,E123)%</f>
        <v>-2.66E-3</v>
      </c>
      <c r="G123">
        <v>111</v>
      </c>
      <c r="H123" s="6">
        <f ca="1">_xll.meDateFromTenor(H122,"-1D","PRECEDING","NYB:LNB")</f>
        <v>43328</v>
      </c>
      <c r="I123" s="15">
        <f ca="1">_xll.BDH(I$9,"PX_LAST",H123,H123)%</f>
        <v>2.32225E-2</v>
      </c>
      <c r="J123">
        <v>111</v>
      </c>
      <c r="K123" s="6">
        <f ca="1">_xll.meDateFromTenor(K122,"-1D","PRECEDING","NYB:LNB")</f>
        <v>43328</v>
      </c>
      <c r="L123" s="15">
        <f ca="1">_xll.BDH(L$9,"PX_LAST",K123,K123)%</f>
        <v>2.5135000000000001E-2</v>
      </c>
      <c r="M123">
        <v>111</v>
      </c>
      <c r="N123" s="6">
        <f ca="1">_xll.meDateFromTenor(N122,"-1D","PRECEDING","SYB:LNB")</f>
        <v>43333</v>
      </c>
      <c r="O123" s="15">
        <f ca="1">_xll.BDH(O$9,"PX_LAST",N123,N123)%</f>
        <v>1.9599999999999999E-2</v>
      </c>
      <c r="P123">
        <v>111</v>
      </c>
      <c r="Q123" s="6">
        <f ca="1">_xll.meDateFromTenor(Q122,"-1D","PRECEDING","SYB:LNB")</f>
        <v>43333</v>
      </c>
      <c r="R123" s="15">
        <f ca="1">_xll.BDH(R$9,"PX_LAST",Q123,Q123)%</f>
        <v>2.1600000000000001E-2</v>
      </c>
      <c r="S123">
        <v>111</v>
      </c>
      <c r="T123" s="6">
        <f ca="1">_xll.meDateFromTenor(T122,"-1D","PRECEDING","SYB:LNB")</f>
        <v>43333</v>
      </c>
      <c r="U123" s="15">
        <f ca="1">_xll.BDH(U$9,"PX_LAST",T123,T123)%</f>
        <v>-3.2000000000000003E-4</v>
      </c>
      <c r="V123">
        <v>111</v>
      </c>
      <c r="W123" s="6">
        <f ca="1">_xll.meDateFromTenor(W122,"-1D","PRECEDING","SYB:LNB")</f>
        <v>43333</v>
      </c>
      <c r="X123" s="15">
        <f ca="1">_xll.BDH(X$9,"PX_LAST",W123,W123)%</f>
        <v>2.8670000000000003E-4</v>
      </c>
    </row>
    <row r="124" spans="1:24">
      <c r="A124">
        <v>112</v>
      </c>
      <c r="B124" s="6">
        <f ca="1">_xll.meDateFromTenor(B123,"-1D","PRECEDING","TGT")</f>
        <v>43335</v>
      </c>
      <c r="C124" s="15">
        <f ca="1">_xll.BDH(C$9,"PX_LAST",B124,B124)%</f>
        <v>-3.1900000000000001E-3</v>
      </c>
      <c r="D124">
        <v>112</v>
      </c>
      <c r="E124" s="6">
        <f ca="1">_xll.meDateFromTenor(E123,"-1D","PRECEDING","TGT")</f>
        <v>43335</v>
      </c>
      <c r="F124" s="15">
        <f ca="1">_xll.BDH(F$9,"PX_LAST",E124,E124)%</f>
        <v>-2.66E-3</v>
      </c>
      <c r="G124">
        <v>112</v>
      </c>
      <c r="H124" s="6">
        <f ca="1">_xll.meDateFromTenor(H123,"-1D","PRECEDING","NYB:LNB")</f>
        <v>43327</v>
      </c>
      <c r="I124" s="15">
        <f ca="1">_xll.BDH(I$9,"PX_LAST",H124,H124)%</f>
        <v>2.3117499999999999E-2</v>
      </c>
      <c r="J124">
        <v>112</v>
      </c>
      <c r="K124" s="6">
        <f ca="1">_xll.meDateFromTenor(K123,"-1D","PRECEDING","NYB:LNB")</f>
        <v>43327</v>
      </c>
      <c r="L124" s="15">
        <f ca="1">_xll.BDH(L$9,"PX_LAST",K124,K124)%</f>
        <v>2.5106299999999998E-2</v>
      </c>
      <c r="M124">
        <v>112</v>
      </c>
      <c r="N124" s="6">
        <f ca="1">_xll.meDateFromTenor(N123,"-1D","PRECEDING","SYB:LNB")</f>
        <v>43332</v>
      </c>
      <c r="O124" s="15">
        <f ca="1">_xll.BDH(O$9,"PX_LAST",N124,N124)%</f>
        <v>1.9550000000000001E-2</v>
      </c>
      <c r="P124">
        <v>112</v>
      </c>
      <c r="Q124" s="6">
        <f ca="1">_xll.meDateFromTenor(Q123,"-1D","PRECEDING","SYB:LNB")</f>
        <v>43332</v>
      </c>
      <c r="R124" s="15">
        <f ca="1">_xll.BDH(R$9,"PX_LAST",Q124,Q124)%</f>
        <v>2.1349999999999997E-2</v>
      </c>
      <c r="S124">
        <v>112</v>
      </c>
      <c r="T124" s="6">
        <f ca="1">_xll.meDateFromTenor(T123,"-1D","PRECEDING","SYB:LNB")</f>
        <v>43332</v>
      </c>
      <c r="U124" s="15">
        <f ca="1">_xll.BDH(U$9,"PX_LAST",T124,T124)%</f>
        <v>-3.7830000000000003E-4</v>
      </c>
      <c r="V124">
        <v>112</v>
      </c>
      <c r="W124" s="6">
        <f ca="1">_xll.meDateFromTenor(W123,"-1D","PRECEDING","SYB:LNB")</f>
        <v>43332</v>
      </c>
      <c r="X124" s="15">
        <f ca="1">_xll.BDH(X$9,"PX_LAST",W124,W124)%</f>
        <v>2.7169999999999999E-4</v>
      </c>
    </row>
    <row r="125" spans="1:24">
      <c r="A125">
        <v>113</v>
      </c>
      <c r="B125" s="6">
        <f ca="1">_xll.meDateFromTenor(B124,"-1D","PRECEDING","TGT")</f>
        <v>43334</v>
      </c>
      <c r="C125" s="15">
        <f ca="1">_xll.BDH(C$9,"PX_LAST",B125,B125)%</f>
        <v>-3.1900000000000001E-3</v>
      </c>
      <c r="D125">
        <v>113</v>
      </c>
      <c r="E125" s="6">
        <f ca="1">_xll.meDateFromTenor(E124,"-1D","PRECEDING","TGT")</f>
        <v>43334</v>
      </c>
      <c r="F125" s="15">
        <f ca="1">_xll.BDH(F$9,"PX_LAST",E125,E125)%</f>
        <v>-2.66E-3</v>
      </c>
      <c r="G125">
        <v>113</v>
      </c>
      <c r="H125" s="6">
        <f ca="1">_xll.meDateFromTenor(H124,"-1D","PRECEDING","NYB:LNB")</f>
        <v>43326</v>
      </c>
      <c r="I125" s="15">
        <f ca="1">_xll.BDH(I$9,"PX_LAST",H125,H125)%</f>
        <v>2.31519E-2</v>
      </c>
      <c r="J125">
        <v>113</v>
      </c>
      <c r="K125" s="6">
        <f ca="1">_xll.meDateFromTenor(K124,"-1D","PRECEDING","NYB:LNB")</f>
        <v>43326</v>
      </c>
      <c r="L125" s="15">
        <f ca="1">_xll.BDH(L$9,"PX_LAST",K125,K125)%</f>
        <v>2.5123799999999998E-2</v>
      </c>
      <c r="M125">
        <v>113</v>
      </c>
      <c r="N125" s="6">
        <f ca="1">_xll.meDateFromTenor(N124,"-1D","PRECEDING","SYB:LNB")</f>
        <v>43329</v>
      </c>
      <c r="O125" s="15">
        <f ca="1">_xll.BDH(O$9,"PX_LAST",N125,N125)%</f>
        <v>1.9525000000000001E-2</v>
      </c>
      <c r="P125">
        <v>113</v>
      </c>
      <c r="Q125" s="6">
        <f ca="1">_xll.meDateFromTenor(Q124,"-1D","PRECEDING","SYB:LNB")</f>
        <v>43329</v>
      </c>
      <c r="R125" s="15">
        <f ca="1">_xll.BDH(R$9,"PX_LAST",Q125,Q125)%</f>
        <v>2.1400000000000002E-2</v>
      </c>
      <c r="S125">
        <v>113</v>
      </c>
      <c r="T125" s="6">
        <f ca="1">_xll.meDateFromTenor(T124,"-1D","PRECEDING","SYB:LNB")</f>
        <v>43329</v>
      </c>
      <c r="U125" s="15">
        <f ca="1">_xll.BDH(U$9,"PX_LAST",T125,T125)%</f>
        <v>-3.7330000000000002E-4</v>
      </c>
      <c r="V125">
        <v>113</v>
      </c>
      <c r="W125" s="6">
        <f ca="1">_xll.meDateFromTenor(W124,"-1D","PRECEDING","SYB:LNB")</f>
        <v>43329</v>
      </c>
      <c r="X125" s="15">
        <f ca="1">_xll.BDH(X$9,"PX_LAST",W125,W125)%</f>
        <v>2.8670000000000003E-4</v>
      </c>
    </row>
    <row r="126" spans="1:24">
      <c r="A126">
        <v>114</v>
      </c>
      <c r="B126" s="6">
        <f ca="1">_xll.meDateFromTenor(B125,"-1D","PRECEDING","TGT")</f>
        <v>43333</v>
      </c>
      <c r="C126" s="15">
        <f ca="1">_xll.BDH(C$9,"PX_LAST",B126,B126)%</f>
        <v>-3.1900000000000001E-3</v>
      </c>
      <c r="D126">
        <v>114</v>
      </c>
      <c r="E126" s="6">
        <f ca="1">_xll.meDateFromTenor(E125,"-1D","PRECEDING","TGT")</f>
        <v>43333</v>
      </c>
      <c r="F126" s="15">
        <f ca="1">_xll.BDH(F$9,"PX_LAST",E126,E126)%</f>
        <v>-2.66E-3</v>
      </c>
      <c r="G126">
        <v>114</v>
      </c>
      <c r="H126" s="6">
        <f ca="1">_xll.meDateFromTenor(H125,"-1D","PRECEDING","NYB:LNB")</f>
        <v>43325</v>
      </c>
      <c r="I126" s="15">
        <f ca="1">_xll.BDH(I$9,"PX_LAST",H126,H126)%</f>
        <v>2.3137499999999998E-2</v>
      </c>
      <c r="J126">
        <v>114</v>
      </c>
      <c r="K126" s="6">
        <f ca="1">_xll.meDateFromTenor(K125,"-1D","PRECEDING","NYB:LNB")</f>
        <v>43325</v>
      </c>
      <c r="L126" s="15">
        <f ca="1">_xll.BDH(L$9,"PX_LAST",K126,K126)%</f>
        <v>2.5076299999999999E-2</v>
      </c>
      <c r="M126">
        <v>114</v>
      </c>
      <c r="N126" s="6">
        <f ca="1">_xll.meDateFromTenor(N125,"-1D","PRECEDING","SYB:LNB")</f>
        <v>43328</v>
      </c>
      <c r="O126" s="15">
        <f ca="1">_xll.BDH(O$9,"PX_LAST",N126,N126)%</f>
        <v>1.9625E-2</v>
      </c>
      <c r="P126">
        <v>114</v>
      </c>
      <c r="Q126" s="6">
        <f ca="1">_xll.meDateFromTenor(Q125,"-1D","PRECEDING","SYB:LNB")</f>
        <v>43328</v>
      </c>
      <c r="R126" s="15">
        <f ca="1">_xll.BDH(R$9,"PX_LAST",Q126,Q126)%</f>
        <v>2.1400000000000002E-2</v>
      </c>
      <c r="S126">
        <v>114</v>
      </c>
      <c r="T126" s="6">
        <f ca="1">_xll.meDateFromTenor(T125,"-1D","PRECEDING","SYB:LNB")</f>
        <v>43328</v>
      </c>
      <c r="U126" s="15">
        <f ca="1">_xll.BDH(U$9,"PX_LAST",T126,T126)%</f>
        <v>-3.3169999999999999E-4</v>
      </c>
      <c r="V126">
        <v>114</v>
      </c>
      <c r="W126" s="6">
        <f ca="1">_xll.meDateFromTenor(W125,"-1D","PRECEDING","SYB:LNB")</f>
        <v>43328</v>
      </c>
      <c r="X126" s="15">
        <f ca="1">_xll.BDH(X$9,"PX_LAST",W126,W126)%</f>
        <v>3.0170000000000002E-4</v>
      </c>
    </row>
    <row r="127" spans="1:24">
      <c r="A127">
        <v>115</v>
      </c>
      <c r="B127" s="6">
        <f ca="1">_xll.meDateFromTenor(B126,"-1D","PRECEDING","TGT")</f>
        <v>43332</v>
      </c>
      <c r="C127" s="15">
        <f ca="1">_xll.BDH(C$9,"PX_LAST",B127,B127)%</f>
        <v>-3.1900000000000001E-3</v>
      </c>
      <c r="D127">
        <v>115</v>
      </c>
      <c r="E127" s="6">
        <f ca="1">_xll.meDateFromTenor(E126,"-1D","PRECEDING","TGT")</f>
        <v>43332</v>
      </c>
      <c r="F127" s="15">
        <f ca="1">_xll.BDH(F$9,"PX_LAST",E127,E127)%</f>
        <v>-2.66E-3</v>
      </c>
      <c r="G127">
        <v>115</v>
      </c>
      <c r="H127" s="6">
        <f ca="1">_xll.meDateFromTenor(H126,"-1D","PRECEDING","NYB:LNB")</f>
        <v>43322</v>
      </c>
      <c r="I127" s="15">
        <f ca="1">_xll.BDH(I$9,"PX_LAST",H127,H127)%</f>
        <v>2.3192499999999998E-2</v>
      </c>
      <c r="J127">
        <v>115</v>
      </c>
      <c r="K127" s="6">
        <f ca="1">_xll.meDateFromTenor(K126,"-1D","PRECEDING","NYB:LNB")</f>
        <v>43322</v>
      </c>
      <c r="L127" s="15">
        <f ca="1">_xll.BDH(L$9,"PX_LAST",K127,K127)%</f>
        <v>2.5121299999999999E-2</v>
      </c>
      <c r="M127">
        <v>115</v>
      </c>
      <c r="N127" s="6">
        <f ca="1">_xll.meDateFromTenor(N126,"-1D","PRECEDING","SYB:LNB")</f>
        <v>43327</v>
      </c>
      <c r="O127" s="15">
        <f ca="1">_xll.BDH(O$9,"PX_LAST",N127,N127)%</f>
        <v>1.95E-2</v>
      </c>
      <c r="P127">
        <v>115</v>
      </c>
      <c r="Q127" s="6">
        <f ca="1">_xll.meDateFromTenor(Q126,"-1D","PRECEDING","SYB:LNB")</f>
        <v>43327</v>
      </c>
      <c r="R127" s="15">
        <f ca="1">_xll.BDH(R$9,"PX_LAST",Q127,Q127)%</f>
        <v>2.1400000000000002E-2</v>
      </c>
      <c r="S127">
        <v>115</v>
      </c>
      <c r="T127" s="6">
        <f ca="1">_xll.meDateFromTenor(T126,"-1D","PRECEDING","SYB:LNB")</f>
        <v>43327</v>
      </c>
      <c r="U127" s="15">
        <f ca="1">_xll.BDH(U$9,"PX_LAST",T127,T127)%</f>
        <v>-3.1169999999999999E-4</v>
      </c>
      <c r="V127">
        <v>115</v>
      </c>
      <c r="W127" s="6">
        <f ca="1">_xll.meDateFromTenor(W126,"-1D","PRECEDING","SYB:LNB")</f>
        <v>43327</v>
      </c>
      <c r="X127" s="15">
        <f ca="1">_xll.BDH(X$9,"PX_LAST",W127,W127)%</f>
        <v>3.0830000000000001E-4</v>
      </c>
    </row>
    <row r="128" spans="1:24">
      <c r="A128">
        <v>116</v>
      </c>
      <c r="B128" s="6">
        <f ca="1">_xll.meDateFromTenor(B127,"-1D","PRECEDING","TGT")</f>
        <v>43329</v>
      </c>
      <c r="C128" s="15">
        <f ca="1">_xll.BDH(C$9,"PX_LAST",B128,B128)%</f>
        <v>-3.1900000000000001E-3</v>
      </c>
      <c r="D128">
        <v>116</v>
      </c>
      <c r="E128" s="6">
        <f ca="1">_xll.meDateFromTenor(E127,"-1D","PRECEDING","TGT")</f>
        <v>43329</v>
      </c>
      <c r="F128" s="15">
        <f ca="1">_xll.BDH(F$9,"PX_LAST",E128,E128)%</f>
        <v>-2.66E-3</v>
      </c>
      <c r="G128">
        <v>116</v>
      </c>
      <c r="H128" s="6">
        <f ca="1">_xll.meDateFromTenor(H127,"-1D","PRECEDING","NYB:LNB")</f>
        <v>43321</v>
      </c>
      <c r="I128" s="15">
        <f ca="1">_xll.BDH(I$9,"PX_LAST",H128,H128)%</f>
        <v>2.3380000000000001E-2</v>
      </c>
      <c r="J128">
        <v>116</v>
      </c>
      <c r="K128" s="6">
        <f ca="1">_xll.meDateFromTenor(K127,"-1D","PRECEDING","NYB:LNB")</f>
        <v>43321</v>
      </c>
      <c r="L128" s="15">
        <f ca="1">_xll.BDH(L$9,"PX_LAST",K128,K128)%</f>
        <v>2.5171299999999997E-2</v>
      </c>
      <c r="M128">
        <v>116</v>
      </c>
      <c r="N128" s="6">
        <f ca="1">_xll.meDateFromTenor(N127,"-1D","PRECEDING","SYB:LNB")</f>
        <v>43326</v>
      </c>
      <c r="O128" s="15">
        <f ca="1">_xll.BDH(O$9,"PX_LAST",N128,N128)%</f>
        <v>1.95E-2</v>
      </c>
      <c r="P128">
        <v>116</v>
      </c>
      <c r="Q128" s="6">
        <f ca="1">_xll.meDateFromTenor(Q127,"-1D","PRECEDING","SYB:LNB")</f>
        <v>43326</v>
      </c>
      <c r="R128" s="15">
        <f ca="1">_xll.BDH(R$9,"PX_LAST",Q128,Q128)%</f>
        <v>2.1400000000000002E-2</v>
      </c>
      <c r="S128">
        <v>116</v>
      </c>
      <c r="T128" s="6">
        <f ca="1">_xll.meDateFromTenor(T127,"-1D","PRECEDING","SYB:LNB")</f>
        <v>43326</v>
      </c>
      <c r="U128" s="15">
        <f ca="1">_xll.BDH(U$9,"PX_LAST",T128,T128)%</f>
        <v>-3.4500000000000004E-4</v>
      </c>
      <c r="V128">
        <v>116</v>
      </c>
      <c r="W128" s="6">
        <f ca="1">_xll.meDateFromTenor(W127,"-1D","PRECEDING","SYB:LNB")</f>
        <v>43326</v>
      </c>
      <c r="X128" s="15">
        <f ca="1">_xll.BDH(X$9,"PX_LAST",W128,W128)%</f>
        <v>2.9329999999999997E-4</v>
      </c>
    </row>
    <row r="129" spans="1:24">
      <c r="A129">
        <v>117</v>
      </c>
      <c r="B129" s="6">
        <f ca="1">_xll.meDateFromTenor(B128,"-1D","PRECEDING","TGT")</f>
        <v>43328</v>
      </c>
      <c r="C129" s="15">
        <f ca="1">_xll.BDH(C$9,"PX_LAST",B129,B129)%</f>
        <v>-3.1900000000000001E-3</v>
      </c>
      <c r="D129">
        <v>117</v>
      </c>
      <c r="E129" s="6">
        <f ca="1">_xll.meDateFromTenor(E128,"-1D","PRECEDING","TGT")</f>
        <v>43328</v>
      </c>
      <c r="F129" s="15">
        <f ca="1">_xll.BDH(F$9,"PX_LAST",E129,E129)%</f>
        <v>-2.66E-3</v>
      </c>
      <c r="G129">
        <v>117</v>
      </c>
      <c r="H129" s="6">
        <f ca="1">_xll.meDateFromTenor(H128,"-1D","PRECEDING","NYB:LNB")</f>
        <v>43320</v>
      </c>
      <c r="I129" s="15">
        <f ca="1">_xll.BDH(I$9,"PX_LAST",H129,H129)%</f>
        <v>2.3404999999999999E-2</v>
      </c>
      <c r="J129">
        <v>117</v>
      </c>
      <c r="K129" s="6">
        <f ca="1">_xll.meDateFromTenor(K128,"-1D","PRECEDING","NYB:LNB")</f>
        <v>43320</v>
      </c>
      <c r="L129" s="15">
        <f ca="1">_xll.BDH(L$9,"PX_LAST",K129,K129)%</f>
        <v>2.5169999999999998E-2</v>
      </c>
      <c r="M129">
        <v>117</v>
      </c>
      <c r="N129" s="6">
        <f ca="1">_xll.meDateFromTenor(N128,"-1D","PRECEDING","SYB:LNB")</f>
        <v>43325</v>
      </c>
      <c r="O129" s="15">
        <f ca="1">_xll.BDH(O$9,"PX_LAST",N129,N129)%</f>
        <v>1.9599999999999999E-2</v>
      </c>
      <c r="P129">
        <v>117</v>
      </c>
      <c r="Q129" s="6">
        <f ca="1">_xll.meDateFromTenor(Q128,"-1D","PRECEDING","SYB:LNB")</f>
        <v>43325</v>
      </c>
      <c r="R129" s="15">
        <f ca="1">_xll.BDH(R$9,"PX_LAST",Q129,Q129)%</f>
        <v>2.1600000000000001E-2</v>
      </c>
      <c r="S129">
        <v>117</v>
      </c>
      <c r="T129" s="6">
        <f ca="1">_xll.meDateFromTenor(T128,"-1D","PRECEDING","SYB:LNB")</f>
        <v>43325</v>
      </c>
      <c r="U129" s="15">
        <f ca="1">_xll.BDH(U$9,"PX_LAST",T129,T129)%</f>
        <v>-4.1669999999999999E-4</v>
      </c>
      <c r="V129">
        <v>117</v>
      </c>
      <c r="W129" s="6">
        <f ca="1">_xll.meDateFromTenor(W128,"-1D","PRECEDING","SYB:LNB")</f>
        <v>43325</v>
      </c>
      <c r="X129" s="15">
        <f ca="1">_xll.BDH(X$9,"PX_LAST",W129,W129)%</f>
        <v>2.3000000000000001E-4</v>
      </c>
    </row>
    <row r="130" spans="1:24">
      <c r="A130">
        <v>118</v>
      </c>
      <c r="B130" s="6">
        <f ca="1">_xll.meDateFromTenor(B129,"-1D","PRECEDING","TGT")</f>
        <v>43327</v>
      </c>
      <c r="C130" s="15">
        <f ca="1">_xll.BDH(C$9,"PX_LAST",B130,B130)%</f>
        <v>-3.1900000000000001E-3</v>
      </c>
      <c r="D130">
        <v>118</v>
      </c>
      <c r="E130" s="6">
        <f ca="1">_xll.meDateFromTenor(E129,"-1D","PRECEDING","TGT")</f>
        <v>43327</v>
      </c>
      <c r="F130" s="15">
        <f ca="1">_xll.BDH(F$9,"PX_LAST",E130,E130)%</f>
        <v>-2.66E-3</v>
      </c>
      <c r="G130">
        <v>118</v>
      </c>
      <c r="H130" s="6">
        <f ca="1">_xll.meDateFromTenor(H129,"-1D","PRECEDING","NYB:LNB")</f>
        <v>43319</v>
      </c>
      <c r="I130" s="15">
        <f ca="1">_xll.BDH(I$9,"PX_LAST",H130,H130)%</f>
        <v>2.3414399999999998E-2</v>
      </c>
      <c r="J130">
        <v>118</v>
      </c>
      <c r="K130" s="6">
        <f ca="1">_xll.meDateFromTenor(K129,"-1D","PRECEDING","NYB:LNB")</f>
        <v>43319</v>
      </c>
      <c r="L130" s="15">
        <f ca="1">_xll.BDH(L$9,"PX_LAST",K130,K130)%</f>
        <v>2.5223800000000001E-2</v>
      </c>
      <c r="M130">
        <v>118</v>
      </c>
      <c r="N130" s="6">
        <f ca="1">_xll.meDateFromTenor(N129,"-1D","PRECEDING","SYB:LNB")</f>
        <v>43322</v>
      </c>
      <c r="O130" s="15">
        <f ca="1">_xll.BDH(O$9,"PX_LAST",N130,N130)%</f>
        <v>1.9625E-2</v>
      </c>
      <c r="P130">
        <v>118</v>
      </c>
      <c r="Q130" s="6">
        <f ca="1">_xll.meDateFromTenor(Q129,"-1D","PRECEDING","SYB:LNB")</f>
        <v>43322</v>
      </c>
      <c r="R130" s="15">
        <f ca="1">_xll.BDH(R$9,"PX_LAST",Q130,Q130)%</f>
        <v>2.1600000000000001E-2</v>
      </c>
      <c r="S130">
        <v>118</v>
      </c>
      <c r="T130" s="6">
        <f ca="1">_xll.meDateFromTenor(T129,"-1D","PRECEDING","SYB:LNB")</f>
        <v>43322</v>
      </c>
      <c r="U130" s="15">
        <f ca="1">_xll.BDH(U$9,"PX_LAST",T130,T130)%</f>
        <v>-4.083E-4</v>
      </c>
      <c r="V130">
        <v>118</v>
      </c>
      <c r="W130" s="6">
        <f ca="1">_xll.meDateFromTenor(W129,"-1D","PRECEDING","SYB:LNB")</f>
        <v>43322</v>
      </c>
      <c r="X130" s="15">
        <f ca="1">_xll.BDH(X$9,"PX_LAST",W130,W130)%</f>
        <v>2.3169999999999999E-4</v>
      </c>
    </row>
    <row r="131" spans="1:24">
      <c r="A131">
        <v>119</v>
      </c>
      <c r="B131" s="6">
        <f ca="1">_xll.meDateFromTenor(B130,"-1D","PRECEDING","TGT")</f>
        <v>43326</v>
      </c>
      <c r="C131" s="15">
        <f ca="1">_xll.BDH(C$9,"PX_LAST",B131,B131)%</f>
        <v>-3.1900000000000001E-3</v>
      </c>
      <c r="D131">
        <v>119</v>
      </c>
      <c r="E131" s="6">
        <f ca="1">_xll.meDateFromTenor(E130,"-1D","PRECEDING","TGT")</f>
        <v>43326</v>
      </c>
      <c r="F131" s="15">
        <f ca="1">_xll.BDH(F$9,"PX_LAST",E131,E131)%</f>
        <v>-2.66E-3</v>
      </c>
      <c r="G131">
        <v>119</v>
      </c>
      <c r="H131" s="6">
        <f ca="1">_xll.meDateFromTenor(H130,"-1D","PRECEDING","NYB:LNB")</f>
        <v>43318</v>
      </c>
      <c r="I131" s="15">
        <f ca="1">_xll.BDH(I$9,"PX_LAST",H131,H131)%</f>
        <v>2.3432499999999998E-2</v>
      </c>
      <c r="J131">
        <v>119</v>
      </c>
      <c r="K131" s="6">
        <f ca="1">_xll.meDateFromTenor(K130,"-1D","PRECEDING","NYB:LNB")</f>
        <v>43318</v>
      </c>
      <c r="L131" s="15">
        <f ca="1">_xll.BDH(L$9,"PX_LAST",K131,K131)%</f>
        <v>2.5216300000000001E-2</v>
      </c>
      <c r="M131">
        <v>119</v>
      </c>
      <c r="N131" s="6">
        <f ca="1">_xll.meDateFromTenor(N130,"-1D","PRECEDING","SYB:LNB")</f>
        <v>43321</v>
      </c>
      <c r="O131" s="15">
        <f ca="1">_xll.BDH(O$9,"PX_LAST",N131,N131)%</f>
        <v>1.9603000000000002E-2</v>
      </c>
      <c r="P131">
        <v>119</v>
      </c>
      <c r="Q131" s="6">
        <f ca="1">_xll.meDateFromTenor(Q130,"-1D","PRECEDING","SYB:LNB")</f>
        <v>43321</v>
      </c>
      <c r="R131" s="15" t="e">
        <f ca="1">_xll.BDH(R$9,"PX_LAST",Q131,Q131)%</f>
        <v>#VALUE!</v>
      </c>
      <c r="S131">
        <v>119</v>
      </c>
      <c r="T131" s="6">
        <f ca="1">_xll.meDateFromTenor(T130,"-1D","PRECEDING","SYB:LNB")</f>
        <v>43321</v>
      </c>
      <c r="U131" s="15">
        <f ca="1">_xll.BDH(U$9,"PX_LAST",T131,T131)%</f>
        <v>-3.9170000000000003E-4</v>
      </c>
      <c r="V131">
        <v>119</v>
      </c>
      <c r="W131" s="6">
        <f ca="1">_xll.meDateFromTenor(W130,"-1D","PRECEDING","SYB:LNB")</f>
        <v>43321</v>
      </c>
      <c r="X131" s="15">
        <f ca="1">_xll.BDH(X$9,"PX_LAST",W131,W131)%</f>
        <v>1.783E-4</v>
      </c>
    </row>
    <row r="132" spans="1:24">
      <c r="A132">
        <v>120</v>
      </c>
      <c r="B132" s="6">
        <f ca="1">_xll.meDateFromTenor(B131,"-1D","PRECEDING","TGT")</f>
        <v>43325</v>
      </c>
      <c r="C132" s="15">
        <f ca="1">_xll.BDH(C$9,"PX_LAST",B132,B132)%</f>
        <v>-3.1900000000000001E-3</v>
      </c>
      <c r="D132">
        <v>120</v>
      </c>
      <c r="E132" s="6">
        <f ca="1">_xll.meDateFromTenor(E131,"-1D","PRECEDING","TGT")</f>
        <v>43325</v>
      </c>
      <c r="F132" s="15">
        <f ca="1">_xll.BDH(F$9,"PX_LAST",E132,E132)%</f>
        <v>-2.66E-3</v>
      </c>
      <c r="G132">
        <v>120</v>
      </c>
      <c r="H132" s="6">
        <f ca="1">_xll.meDateFromTenor(H131,"-1D","PRECEDING","NYB:LNB")</f>
        <v>43315</v>
      </c>
      <c r="I132" s="15">
        <f ca="1">_xll.BDH(I$9,"PX_LAST",H132,H132)%</f>
        <v>2.3429999999999999E-2</v>
      </c>
      <c r="J132">
        <v>120</v>
      </c>
      <c r="K132" s="6">
        <f ca="1">_xll.meDateFromTenor(K131,"-1D","PRECEDING","NYB:LNB")</f>
        <v>43315</v>
      </c>
      <c r="L132" s="15">
        <f ca="1">_xll.BDH(L$9,"PX_LAST",K132,K132)%</f>
        <v>2.5247499999999999E-2</v>
      </c>
      <c r="M132">
        <v>120</v>
      </c>
      <c r="N132" s="6">
        <f ca="1">_xll.meDateFromTenor(N131,"-1D","PRECEDING","SYB:LNB")</f>
        <v>43320</v>
      </c>
      <c r="O132" s="15">
        <f ca="1">_xll.BDH(O$9,"PX_LAST",N132,N132)%</f>
        <v>1.9536999999999999E-2</v>
      </c>
      <c r="P132">
        <v>120</v>
      </c>
      <c r="Q132" s="6">
        <f ca="1">_xll.meDateFromTenor(Q131,"-1D","PRECEDING","SYB:LNB")</f>
        <v>43320</v>
      </c>
      <c r="R132" s="15">
        <f ca="1">_xll.BDH(R$9,"PX_LAST",Q132,Q132)%</f>
        <v>2.1600000000000001E-2</v>
      </c>
      <c r="S132">
        <v>120</v>
      </c>
      <c r="T132" s="6">
        <f ca="1">_xll.meDateFromTenor(T131,"-1D","PRECEDING","SYB:LNB")</f>
        <v>43320</v>
      </c>
      <c r="U132" s="15">
        <f ca="1">_xll.BDH(U$9,"PX_LAST",T132,T132)%</f>
        <v>-4.2500000000000003E-4</v>
      </c>
      <c r="V132">
        <v>120</v>
      </c>
      <c r="W132" s="6">
        <f ca="1">_xll.meDateFromTenor(W131,"-1D","PRECEDING","SYB:LNB")</f>
        <v>43320</v>
      </c>
      <c r="X132" s="15">
        <f ca="1">_xll.BDH(X$9,"PX_LAST",W132,W132)%</f>
        <v>1.383E-4</v>
      </c>
    </row>
    <row r="133" spans="1:24">
      <c r="A133">
        <v>121</v>
      </c>
      <c r="B133" s="6">
        <f ca="1">_xll.meDateFromTenor(B132,"-1D","PRECEDING","TGT")</f>
        <v>43322</v>
      </c>
      <c r="C133" s="15">
        <f ca="1">_xll.BDH(C$9,"PX_LAST",B133,B133)%</f>
        <v>-3.1900000000000001E-3</v>
      </c>
      <c r="D133">
        <v>121</v>
      </c>
      <c r="E133" s="6">
        <f ca="1">_xll.meDateFromTenor(E132,"-1D","PRECEDING","TGT")</f>
        <v>43322</v>
      </c>
      <c r="F133" s="15">
        <f ca="1">_xll.BDH(F$9,"PX_LAST",E133,E133)%</f>
        <v>-2.6700000000000001E-3</v>
      </c>
      <c r="G133">
        <v>121</v>
      </c>
      <c r="H133" s="6">
        <f ca="1">_xll.meDateFromTenor(H132,"-1D","PRECEDING","NYB:LNB")</f>
        <v>43314</v>
      </c>
      <c r="I133" s="15">
        <f ca="1">_xll.BDH(I$9,"PX_LAST",H133,H133)%</f>
        <v>2.3404999999999999E-2</v>
      </c>
      <c r="J133">
        <v>121</v>
      </c>
      <c r="K133" s="6">
        <f ca="1">_xll.meDateFromTenor(K132,"-1D","PRECEDING","NYB:LNB")</f>
        <v>43314</v>
      </c>
      <c r="L133" s="15">
        <f ca="1">_xll.BDH(L$9,"PX_LAST",K133,K133)%</f>
        <v>2.5305000000000001E-2</v>
      </c>
      <c r="M133">
        <v>121</v>
      </c>
      <c r="N133" s="6">
        <f ca="1">_xll.meDateFromTenor(N132,"-1D","PRECEDING","SYB:LNB")</f>
        <v>43319</v>
      </c>
      <c r="O133" s="15">
        <f ca="1">_xll.BDH(O$9,"PX_LAST",N133,N133)%</f>
        <v>1.9649999999999997E-2</v>
      </c>
      <c r="P133">
        <v>121</v>
      </c>
      <c r="Q133" s="6">
        <f ca="1">_xll.meDateFromTenor(Q132,"-1D","PRECEDING","SYB:LNB")</f>
        <v>43319</v>
      </c>
      <c r="R133" s="15">
        <f ca="1">_xll.BDH(R$9,"PX_LAST",Q133,Q133)%</f>
        <v>2.1600000000000001E-2</v>
      </c>
      <c r="S133">
        <v>121</v>
      </c>
      <c r="T133" s="6">
        <f ca="1">_xll.meDateFromTenor(T132,"-1D","PRECEDING","SYB:LNB")</f>
        <v>43319</v>
      </c>
      <c r="U133" s="15">
        <f ca="1">_xll.BDH(U$9,"PX_LAST",T133,T133)%</f>
        <v>-4.2500000000000003E-4</v>
      </c>
      <c r="V133">
        <v>121</v>
      </c>
      <c r="W133" s="6">
        <f ca="1">_xll.meDateFromTenor(W132,"-1D","PRECEDING","SYB:LNB")</f>
        <v>43319</v>
      </c>
      <c r="X133" s="15">
        <f ca="1">_xll.BDH(X$9,"PX_LAST",W133,W133)%</f>
        <v>1.0829999999999999E-4</v>
      </c>
    </row>
    <row r="134" spans="1:24">
      <c r="A134">
        <v>122</v>
      </c>
      <c r="B134" s="6">
        <f ca="1">_xll.meDateFromTenor(B133,"-1D","PRECEDING","TGT")</f>
        <v>43321</v>
      </c>
      <c r="C134" s="15">
        <f ca="1">_xll.BDH(C$9,"PX_LAST",B134,B134)%</f>
        <v>-3.1900000000000001E-3</v>
      </c>
      <c r="D134">
        <v>122</v>
      </c>
      <c r="E134" s="6">
        <f ca="1">_xll.meDateFromTenor(E133,"-1D","PRECEDING","TGT")</f>
        <v>43321</v>
      </c>
      <c r="F134" s="15">
        <f ca="1">_xll.BDH(F$9,"PX_LAST",E134,E134)%</f>
        <v>-2.66E-3</v>
      </c>
      <c r="G134">
        <v>122</v>
      </c>
      <c r="H134" s="6">
        <f ca="1">_xll.meDateFromTenor(H133,"-1D","PRECEDING","NYB:LNB")</f>
        <v>43313</v>
      </c>
      <c r="I134" s="15">
        <f ca="1">_xll.BDH(I$9,"PX_LAST",H134,H134)%</f>
        <v>2.3482500000000003E-2</v>
      </c>
      <c r="J134">
        <v>122</v>
      </c>
      <c r="K134" s="6">
        <f ca="1">_xll.meDateFromTenor(K133,"-1D","PRECEDING","NYB:LNB")</f>
        <v>43313</v>
      </c>
      <c r="L134" s="15">
        <f ca="1">_xll.BDH(L$9,"PX_LAST",K134,K134)%</f>
        <v>2.5336299999999999E-2</v>
      </c>
      <c r="M134">
        <v>122</v>
      </c>
      <c r="N134" s="6">
        <f ca="1">_xll.meDateFromTenor(N133,"-1D","PRECEDING","SYB:LNB")</f>
        <v>43315</v>
      </c>
      <c r="O134" s="15">
        <f ca="1">_xll.BDH(O$9,"PX_LAST",N134,N134)%</f>
        <v>1.9699999999999999E-2</v>
      </c>
      <c r="P134">
        <v>122</v>
      </c>
      <c r="Q134" s="6">
        <f ca="1">_xll.meDateFromTenor(Q133,"-1D","PRECEDING","SYB:LNB")</f>
        <v>43315</v>
      </c>
      <c r="R134" s="15">
        <f ca="1">_xll.BDH(R$9,"PX_LAST",Q134,Q134)%</f>
        <v>2.1499999999999998E-2</v>
      </c>
      <c r="S134">
        <v>122</v>
      </c>
      <c r="T134" s="6">
        <f ca="1">_xll.meDateFromTenor(T133,"-1D","PRECEDING","SYB:LNB")</f>
        <v>43315</v>
      </c>
      <c r="U134" s="15">
        <f ca="1">_xll.BDH(U$9,"PX_LAST",T134,T134)%</f>
        <v>-3.2169999999999996E-4</v>
      </c>
      <c r="V134">
        <v>122</v>
      </c>
      <c r="W134" s="6">
        <f ca="1">_xll.meDateFromTenor(W133,"-1D","PRECEDING","SYB:LNB")</f>
        <v>43315</v>
      </c>
      <c r="X134" s="15">
        <f ca="1">_xll.BDH(X$9,"PX_LAST",W134,W134)%</f>
        <v>1.517E-4</v>
      </c>
    </row>
    <row r="135" spans="1:24">
      <c r="A135">
        <v>123</v>
      </c>
      <c r="B135" s="6">
        <f ca="1">_xll.meDateFromTenor(B134,"-1D","PRECEDING","TGT")</f>
        <v>43320</v>
      </c>
      <c r="C135" s="15">
        <f ca="1">_xll.BDH(C$9,"PX_LAST",B135,B135)%</f>
        <v>-3.1900000000000001E-3</v>
      </c>
      <c r="D135">
        <v>123</v>
      </c>
      <c r="E135" s="6">
        <f ca="1">_xll.meDateFromTenor(E134,"-1D","PRECEDING","TGT")</f>
        <v>43320</v>
      </c>
      <c r="F135" s="15">
        <f ca="1">_xll.BDH(F$9,"PX_LAST",E135,E135)%</f>
        <v>-2.6800000000000001E-3</v>
      </c>
      <c r="G135">
        <v>123</v>
      </c>
      <c r="H135" s="6">
        <f ca="1">_xll.meDateFromTenor(H134,"-1D","PRECEDING","NYB:LNB")</f>
        <v>43312</v>
      </c>
      <c r="I135" s="15">
        <f ca="1">_xll.BDH(I$9,"PX_LAST",H135,H135)%</f>
        <v>2.3485599999999999E-2</v>
      </c>
      <c r="J135">
        <v>123</v>
      </c>
      <c r="K135" s="6">
        <f ca="1">_xll.meDateFromTenor(K134,"-1D","PRECEDING","NYB:LNB")</f>
        <v>43312</v>
      </c>
      <c r="L135" s="15">
        <f ca="1">_xll.BDH(L$9,"PX_LAST",K135,K135)%</f>
        <v>2.5305000000000001E-2</v>
      </c>
      <c r="M135">
        <v>123</v>
      </c>
      <c r="N135" s="6">
        <f ca="1">_xll.meDateFromTenor(N134,"-1D","PRECEDING","SYB:LNB")</f>
        <v>43314</v>
      </c>
      <c r="O135" s="15">
        <f ca="1">_xll.BDH(O$9,"PX_LAST",N135,N135)%</f>
        <v>1.9563000000000001E-2</v>
      </c>
      <c r="P135">
        <v>123</v>
      </c>
      <c r="Q135" s="6">
        <f ca="1">_xll.meDateFromTenor(Q134,"-1D","PRECEDING","SYB:LNB")</f>
        <v>43314</v>
      </c>
      <c r="R135" s="15">
        <f ca="1">_xll.BDH(R$9,"PX_LAST",Q135,Q135)%</f>
        <v>2.1499999999999998E-2</v>
      </c>
      <c r="S135">
        <v>123</v>
      </c>
      <c r="T135" s="6">
        <f ca="1">_xll.meDateFromTenor(T134,"-1D","PRECEDING","SYB:LNB")</f>
        <v>43314</v>
      </c>
      <c r="U135" s="15">
        <f ca="1">_xll.BDH(U$9,"PX_LAST",T135,T135)%</f>
        <v>-3.4669999999999997E-4</v>
      </c>
      <c r="V135">
        <v>123</v>
      </c>
      <c r="W135" s="6">
        <f ca="1">_xll.meDateFromTenor(W134,"-1D","PRECEDING","SYB:LNB")</f>
        <v>43314</v>
      </c>
      <c r="X135" s="15">
        <f ca="1">_xll.BDH(X$9,"PX_LAST",W135,W135)%</f>
        <v>1.4999999999999999E-4</v>
      </c>
    </row>
    <row r="136" spans="1:24">
      <c r="A136">
        <v>124</v>
      </c>
      <c r="B136" s="6">
        <f ca="1">_xll.meDateFromTenor(B135,"-1D","PRECEDING","TGT")</f>
        <v>43319</v>
      </c>
      <c r="C136" s="15">
        <f ca="1">_xll.BDH(C$9,"PX_LAST",B136,B136)%</f>
        <v>-3.1900000000000001E-3</v>
      </c>
      <c r="D136">
        <v>124</v>
      </c>
      <c r="E136" s="6">
        <f ca="1">_xll.meDateFromTenor(E135,"-1D","PRECEDING","TGT")</f>
        <v>43319</v>
      </c>
      <c r="F136" s="15">
        <f ca="1">_xll.BDH(F$9,"PX_LAST",E136,E136)%</f>
        <v>-2.6800000000000001E-3</v>
      </c>
      <c r="G136">
        <v>124</v>
      </c>
      <c r="H136" s="6">
        <f ca="1">_xll.meDateFromTenor(H135,"-1D","PRECEDING","NYB:LNB")</f>
        <v>43311</v>
      </c>
      <c r="I136" s="15">
        <f ca="1">_xll.BDH(I$9,"PX_LAST",H136,H136)%</f>
        <v>2.3431299999999999E-2</v>
      </c>
      <c r="J136">
        <v>124</v>
      </c>
      <c r="K136" s="6">
        <f ca="1">_xll.meDateFromTenor(K135,"-1D","PRECEDING","NYB:LNB")</f>
        <v>43311</v>
      </c>
      <c r="L136" s="15">
        <f ca="1">_xll.BDH(L$9,"PX_LAST",K136,K136)%</f>
        <v>2.5305000000000001E-2</v>
      </c>
      <c r="M136">
        <v>124</v>
      </c>
      <c r="N136" s="6">
        <f ca="1">_xll.meDateFromTenor(N135,"-1D","PRECEDING","SYB:LNB")</f>
        <v>43313</v>
      </c>
      <c r="O136" s="15">
        <f ca="1">_xll.BDH(O$9,"PX_LAST",N136,N136)%</f>
        <v>1.9619000000000001E-2</v>
      </c>
      <c r="P136">
        <v>124</v>
      </c>
      <c r="Q136" s="6">
        <f ca="1">_xll.meDateFromTenor(Q135,"-1D","PRECEDING","SYB:LNB")</f>
        <v>43313</v>
      </c>
      <c r="R136" s="15">
        <f ca="1">_xll.BDH(R$9,"PX_LAST",Q136,Q136)%</f>
        <v>2.1499999999999998E-2</v>
      </c>
      <c r="S136">
        <v>124</v>
      </c>
      <c r="T136" s="6">
        <f ca="1">_xll.meDateFromTenor(T135,"-1D","PRECEDING","SYB:LNB")</f>
        <v>43313</v>
      </c>
      <c r="U136" s="15">
        <f ca="1">_xll.BDH(U$9,"PX_LAST",T136,T136)%</f>
        <v>-3.2829999999999996E-4</v>
      </c>
      <c r="V136">
        <v>124</v>
      </c>
      <c r="W136" s="6">
        <f ca="1">_xll.meDateFromTenor(W135,"-1D","PRECEDING","SYB:LNB")</f>
        <v>43313</v>
      </c>
      <c r="X136" s="15">
        <f ca="1">_xll.BDH(X$9,"PX_LAST",W136,W136)%</f>
        <v>1.483E-4</v>
      </c>
    </row>
    <row r="137" spans="1:24">
      <c r="A137">
        <v>125</v>
      </c>
      <c r="B137" s="6">
        <f ca="1">_xll.meDateFromTenor(B136,"-1D","PRECEDING","TGT")</f>
        <v>43318</v>
      </c>
      <c r="C137" s="15">
        <f ca="1">_xll.BDH(C$9,"PX_LAST",B137,B137)%</f>
        <v>-3.1900000000000001E-3</v>
      </c>
      <c r="D137" s="25">
        <v>125</v>
      </c>
      <c r="E137" s="6">
        <f ca="1">_xll.meDateFromTenor(E136,"-1D","PRECEDING","TGT")</f>
        <v>43318</v>
      </c>
      <c r="F137" s="15">
        <f ca="1">_xll.BDH(F$9,"PX_LAST",E137,E137)%</f>
        <v>-2.6800000000000001E-3</v>
      </c>
      <c r="G137" s="25">
        <v>125</v>
      </c>
      <c r="H137" s="6">
        <f ca="1">_xll.meDateFromTenor(H136,"-1D","PRECEDING","NYB:LNB")</f>
        <v>43308</v>
      </c>
      <c r="I137" s="15">
        <f ca="1">_xll.BDH(I$9,"PX_LAST",H137,H137)%</f>
        <v>2.3423799999999998E-2</v>
      </c>
      <c r="J137" s="25">
        <v>125</v>
      </c>
      <c r="K137" s="6">
        <f ca="1">_xll.meDateFromTenor(K136,"-1D","PRECEDING","NYB:LNB")</f>
        <v>43308</v>
      </c>
      <c r="L137" s="15">
        <f ca="1">_xll.BDH(L$9,"PX_LAST",K137,K137)%</f>
        <v>2.52988E-2</v>
      </c>
      <c r="M137" s="25">
        <v>125</v>
      </c>
      <c r="N137" s="6">
        <f ca="1">_xll.meDateFromTenor(N136,"-1D","PRECEDING","SYB:LNB")</f>
        <v>43312</v>
      </c>
      <c r="O137" s="15">
        <f ca="1">_xll.BDH(O$9,"PX_LAST",N137,N137)%</f>
        <v>1.9632E-2</v>
      </c>
      <c r="P137" s="25">
        <v>125</v>
      </c>
      <c r="Q137" s="6">
        <f ca="1">_xll.meDateFromTenor(Q136,"-1D","PRECEDING","SYB:LNB")</f>
        <v>43312</v>
      </c>
      <c r="R137" s="15">
        <f ca="1">_xll.BDH(R$9,"PX_LAST",Q137,Q137)%</f>
        <v>2.1499999999999998E-2</v>
      </c>
      <c r="S137" s="25">
        <v>125</v>
      </c>
      <c r="T137" s="6">
        <f ca="1">_xll.meDateFromTenor(T136,"-1D","PRECEDING","SYB:LNB")</f>
        <v>43312</v>
      </c>
      <c r="U137" s="15">
        <f ca="1">_xll.BDH(U$9,"PX_LAST",T137,T137)%</f>
        <v>-3.2000000000000003E-4</v>
      </c>
      <c r="V137" s="25">
        <v>125</v>
      </c>
      <c r="W137" s="6">
        <f ca="1">_xll.meDateFromTenor(W136,"-1D","PRECEDING","SYB:LNB")</f>
        <v>43312</v>
      </c>
      <c r="X137" s="15">
        <f ca="1">_xll.BDH(X$9,"PX_LAST",W137,W137)%</f>
        <v>1.45E-4</v>
      </c>
    </row>
    <row r="138" spans="1:24">
      <c r="A138">
        <v>126</v>
      </c>
      <c r="B138" s="6">
        <f ca="1">_xll.meDateFromTenor(B137,"-1D","PRECEDING","TGT")</f>
        <v>43315</v>
      </c>
      <c r="C138" s="15">
        <f ca="1">_xll.BDH(C$9,"PX_LAST",B138,B138)%</f>
        <v>-3.1900000000000001E-3</v>
      </c>
      <c r="D138" s="25">
        <v>126</v>
      </c>
      <c r="E138" s="6">
        <f ca="1">_xll.meDateFromTenor(E137,"-1D","PRECEDING","TGT")</f>
        <v>43315</v>
      </c>
      <c r="F138" s="15">
        <f ca="1">_xll.BDH(F$9,"PX_LAST",E138,E138)%</f>
        <v>-2.6800000000000001E-3</v>
      </c>
      <c r="G138" s="25">
        <v>126</v>
      </c>
      <c r="H138" s="6">
        <f ca="1">_xll.meDateFromTenor(H137,"-1D","PRECEDING","NYB:LNB")</f>
        <v>43307</v>
      </c>
      <c r="I138" s="15">
        <f ca="1">_xll.BDH(I$9,"PX_LAST",H138,H138)%</f>
        <v>2.3388800000000001E-2</v>
      </c>
      <c r="J138" s="25">
        <v>126</v>
      </c>
      <c r="K138" s="6">
        <f ca="1">_xll.meDateFromTenor(K137,"-1D","PRECEDING","NYB:LNB")</f>
        <v>43307</v>
      </c>
      <c r="L138" s="15">
        <f ca="1">_xll.BDH(L$9,"PX_LAST",K138,K138)%</f>
        <v>2.5286300000000001E-2</v>
      </c>
      <c r="M138" s="25">
        <v>126</v>
      </c>
      <c r="N138" s="6">
        <f ca="1">_xll.meDateFromTenor(N137,"-1D","PRECEDING","SYB:LNB")</f>
        <v>43311</v>
      </c>
      <c r="O138" s="15">
        <f ca="1">_xll.BDH(O$9,"PX_LAST",N138,N138)%</f>
        <v>1.9599999999999999E-2</v>
      </c>
      <c r="P138" s="25">
        <v>126</v>
      </c>
      <c r="Q138" s="6">
        <f ca="1">_xll.meDateFromTenor(Q137,"-1D","PRECEDING","SYB:LNB")</f>
        <v>43311</v>
      </c>
      <c r="R138" s="15">
        <f ca="1">_xll.BDH(R$9,"PX_LAST",Q138,Q138)%</f>
        <v>2.1499999999999998E-2</v>
      </c>
      <c r="S138" s="25">
        <v>126</v>
      </c>
      <c r="T138" s="6">
        <f ca="1">_xll.meDateFromTenor(T137,"-1D","PRECEDING","SYB:LNB")</f>
        <v>43311</v>
      </c>
      <c r="U138" s="15">
        <f ca="1">_xll.BDH(U$9,"PX_LAST",T138,T138)%</f>
        <v>-3.5169999999999998E-4</v>
      </c>
      <c r="V138" s="25">
        <v>126</v>
      </c>
      <c r="W138" s="6">
        <f ca="1">_xll.meDateFromTenor(W137,"-1D","PRECEDING","SYB:LNB")</f>
        <v>43311</v>
      </c>
      <c r="X138" s="15">
        <f ca="1">_xll.BDH(X$9,"PX_LAST",W138,W138)%</f>
        <v>1E-4</v>
      </c>
    </row>
    <row r="139" spans="1:24">
      <c r="A139">
        <v>127</v>
      </c>
      <c r="B139" s="6">
        <f ca="1">_xll.meDateFromTenor(B138,"-1D","PRECEDING","TGT")</f>
        <v>43314</v>
      </c>
      <c r="C139" s="15">
        <f ca="1">_xll.BDH(C$9,"PX_LAST",B139,B139)%</f>
        <v>-3.1900000000000001E-3</v>
      </c>
      <c r="D139" s="25">
        <v>127</v>
      </c>
      <c r="E139" s="6">
        <f ca="1">_xll.meDateFromTenor(E138,"-1D","PRECEDING","TGT")</f>
        <v>43314</v>
      </c>
      <c r="F139" s="15">
        <f ca="1">_xll.BDH(F$9,"PX_LAST",E139,E139)%</f>
        <v>-2.6900000000000001E-3</v>
      </c>
      <c r="G139" s="25">
        <v>127</v>
      </c>
      <c r="H139" s="6">
        <f ca="1">_xll.meDateFromTenor(H138,"-1D","PRECEDING","NYB:LNB")</f>
        <v>43306</v>
      </c>
      <c r="I139" s="15">
        <f ca="1">_xll.BDH(I$9,"PX_LAST",H139,H139)%</f>
        <v>2.3368799999999999E-2</v>
      </c>
      <c r="J139" s="25">
        <v>127</v>
      </c>
      <c r="K139" s="6">
        <f ca="1">_xll.meDateFromTenor(K138,"-1D","PRECEDING","NYB:LNB")</f>
        <v>43306</v>
      </c>
      <c r="L139" s="15">
        <f ca="1">_xll.BDH(L$9,"PX_LAST",K139,K139)%</f>
        <v>2.5225000000000001E-2</v>
      </c>
      <c r="M139" s="25">
        <v>127</v>
      </c>
      <c r="N139" s="6">
        <f ca="1">_xll.meDateFromTenor(N138,"-1D","PRECEDING","SYB:LNB")</f>
        <v>43308</v>
      </c>
      <c r="O139" s="15">
        <f ca="1">_xll.BDH(O$9,"PX_LAST",N139,N139)%</f>
        <v>1.9599999999999999E-2</v>
      </c>
      <c r="P139" s="25">
        <v>127</v>
      </c>
      <c r="Q139" s="6">
        <f ca="1">_xll.meDateFromTenor(Q138,"-1D","PRECEDING","SYB:LNB")</f>
        <v>43308</v>
      </c>
      <c r="R139" s="15">
        <f ca="1">_xll.BDH(R$9,"PX_LAST",Q139,Q139)%</f>
        <v>2.1400000000000002E-2</v>
      </c>
      <c r="S139" s="25">
        <v>127</v>
      </c>
      <c r="T139" s="6">
        <f ca="1">_xll.meDateFromTenor(T138,"-1D","PRECEDING","SYB:LNB")</f>
        <v>43308</v>
      </c>
      <c r="U139" s="15">
        <f ca="1">_xll.BDH(U$9,"PX_LAST",T139,T139)%</f>
        <v>-3.1E-4</v>
      </c>
      <c r="V139" s="25">
        <v>127</v>
      </c>
      <c r="W139" s="6">
        <f ca="1">_xll.meDateFromTenor(W138,"-1D","PRECEDING","SYB:LNB")</f>
        <v>43308</v>
      </c>
      <c r="X139" s="15">
        <f ca="1">_xll.BDH(X$9,"PX_LAST",W139,W139)%</f>
        <v>1.3669999999999999E-4</v>
      </c>
    </row>
    <row r="140" spans="1:24">
      <c r="A140">
        <v>128</v>
      </c>
      <c r="B140" s="6">
        <f ca="1">_xll.meDateFromTenor(B139,"-1D","PRECEDING","TGT")</f>
        <v>43313</v>
      </c>
      <c r="C140" s="15">
        <f ca="1">_xll.BDH(C$9,"PX_LAST",B140,B140)%</f>
        <v>-3.1900000000000001E-3</v>
      </c>
      <c r="D140" s="25">
        <v>128</v>
      </c>
      <c r="E140" s="6">
        <f ca="1">_xll.meDateFromTenor(E139,"-1D","PRECEDING","TGT")</f>
        <v>43313</v>
      </c>
      <c r="F140" s="15">
        <f ca="1">_xll.BDH(F$9,"PX_LAST",E140,E140)%</f>
        <v>-2.6900000000000001E-3</v>
      </c>
      <c r="G140" s="25">
        <v>128</v>
      </c>
      <c r="H140" s="6">
        <f ca="1">_xll.meDateFromTenor(H139,"-1D","PRECEDING","NYB:LNB")</f>
        <v>43305</v>
      </c>
      <c r="I140" s="15">
        <f ca="1">_xll.BDH(I$9,"PX_LAST",H140,H140)%</f>
        <v>2.3348799999999999E-2</v>
      </c>
      <c r="J140" s="25">
        <v>128</v>
      </c>
      <c r="K140" s="6">
        <f ca="1">_xll.meDateFromTenor(K139,"-1D","PRECEDING","NYB:LNB")</f>
        <v>43305</v>
      </c>
      <c r="L140" s="15">
        <f ca="1">_xll.BDH(L$9,"PX_LAST",K140,K140)%</f>
        <v>2.5225000000000001E-2</v>
      </c>
      <c r="M140" s="25">
        <v>128</v>
      </c>
      <c r="N140" s="6">
        <f ca="1">_xll.meDateFromTenor(N139,"-1D","PRECEDING","SYB:LNB")</f>
        <v>43307</v>
      </c>
      <c r="O140" s="15">
        <f ca="1">_xll.BDH(O$9,"PX_LAST",N140,N140)%</f>
        <v>1.9699999999999999E-2</v>
      </c>
      <c r="P140" s="25">
        <v>128</v>
      </c>
      <c r="Q140" s="6">
        <f ca="1">_xll.meDateFromTenor(Q139,"-1D","PRECEDING","SYB:LNB")</f>
        <v>43307</v>
      </c>
      <c r="R140" s="15">
        <f ca="1">_xll.BDH(R$9,"PX_LAST",Q140,Q140)%</f>
        <v>2.1400000000000002E-2</v>
      </c>
      <c r="S140" s="25">
        <v>128</v>
      </c>
      <c r="T140" s="6">
        <f ca="1">_xll.meDateFromTenor(T139,"-1D","PRECEDING","SYB:LNB")</f>
        <v>43307</v>
      </c>
      <c r="U140" s="15">
        <f ca="1">_xll.BDH(U$9,"PX_LAST",T140,T140)%</f>
        <v>-3.5169999999999998E-4</v>
      </c>
      <c r="V140" s="25">
        <v>128</v>
      </c>
      <c r="W140" s="6">
        <f ca="1">_xll.meDateFromTenor(W139,"-1D","PRECEDING","SYB:LNB")</f>
        <v>43307</v>
      </c>
      <c r="X140" s="15">
        <f ca="1">_xll.BDH(X$9,"PX_LAST",W140,W140)%</f>
        <v>1.617E-4</v>
      </c>
    </row>
    <row r="141" spans="1:24">
      <c r="A141">
        <v>129</v>
      </c>
      <c r="B141" s="6">
        <f ca="1">_xll.meDateFromTenor(B140,"-1D","PRECEDING","TGT")</f>
        <v>43312</v>
      </c>
      <c r="C141" s="15">
        <f ca="1">_xll.BDH(C$9,"PX_LAST",B141,B141)%</f>
        <v>-3.1900000000000001E-3</v>
      </c>
      <c r="D141" s="25">
        <v>129</v>
      </c>
      <c r="E141" s="6">
        <f ca="1">_xll.meDateFromTenor(E140,"-1D","PRECEDING","TGT")</f>
        <v>43312</v>
      </c>
      <c r="F141" s="15">
        <f ca="1">_xll.BDH(F$9,"PX_LAST",E141,E141)%</f>
        <v>-2.6800000000000001E-3</v>
      </c>
      <c r="G141" s="25">
        <v>129</v>
      </c>
      <c r="H141" s="6">
        <f ca="1">_xll.meDateFromTenor(H140,"-1D","PRECEDING","NYB:LNB")</f>
        <v>43304</v>
      </c>
      <c r="I141" s="15">
        <f ca="1">_xll.BDH(I$9,"PX_LAST",H141,H141)%</f>
        <v>2.3353099999999998E-2</v>
      </c>
      <c r="J141" s="25">
        <v>129</v>
      </c>
      <c r="K141" s="6">
        <f ca="1">_xll.meDateFromTenor(K140,"-1D","PRECEDING","NYB:LNB")</f>
        <v>43304</v>
      </c>
      <c r="L141" s="15">
        <f ca="1">_xll.BDH(L$9,"PX_LAST",K141,K141)%</f>
        <v>2.52088E-2</v>
      </c>
      <c r="M141" s="25">
        <v>129</v>
      </c>
      <c r="N141" s="6">
        <f ca="1">_xll.meDateFromTenor(N140,"-1D","PRECEDING","SYB:LNB")</f>
        <v>43306</v>
      </c>
      <c r="O141" s="15">
        <f ca="1">_xll.BDH(O$9,"PX_LAST",N141,N141)%</f>
        <v>1.9626999999999999E-2</v>
      </c>
      <c r="P141" s="25">
        <v>129</v>
      </c>
      <c r="Q141" s="6">
        <f ca="1">_xll.meDateFromTenor(Q140,"-1D","PRECEDING","SYB:LNB")</f>
        <v>43306</v>
      </c>
      <c r="R141" s="15">
        <f ca="1">_xll.BDH(R$9,"PX_LAST",Q141,Q141)%</f>
        <v>2.1400000000000002E-2</v>
      </c>
      <c r="S141" s="25">
        <v>129</v>
      </c>
      <c r="T141" s="6">
        <f ca="1">_xll.meDateFromTenor(T140,"-1D","PRECEDING","SYB:LNB")</f>
        <v>43306</v>
      </c>
      <c r="U141" s="15">
        <f ca="1">_xll.BDH(U$9,"PX_LAST",T141,T141)%</f>
        <v>-3.6830000000000001E-4</v>
      </c>
      <c r="V141" s="25">
        <v>129</v>
      </c>
      <c r="W141" s="6">
        <f ca="1">_xll.meDateFromTenor(W140,"-1D","PRECEDING","SYB:LNB")</f>
        <v>43306</v>
      </c>
      <c r="X141" s="15">
        <f ca="1">_xll.BDH(X$9,"PX_LAST",W141,W141)%</f>
        <v>1.8669999999999998E-4</v>
      </c>
    </row>
    <row r="142" spans="1:24">
      <c r="A142">
        <v>130</v>
      </c>
      <c r="B142" s="6">
        <f ca="1">_xll.meDateFromTenor(B141,"-1D","PRECEDING","TGT")</f>
        <v>43311</v>
      </c>
      <c r="C142" s="15">
        <f ca="1">_xll.BDH(C$9,"PX_LAST",B142,B142)%</f>
        <v>-3.1900000000000001E-3</v>
      </c>
      <c r="D142" s="25">
        <v>130</v>
      </c>
      <c r="E142" s="6">
        <f ca="1">_xll.meDateFromTenor(E141,"-1D","PRECEDING","TGT")</f>
        <v>43311</v>
      </c>
      <c r="F142" s="15">
        <f ca="1">_xll.BDH(F$9,"PX_LAST",E142,E142)%</f>
        <v>-2.6800000000000001E-3</v>
      </c>
      <c r="G142" s="25">
        <v>130</v>
      </c>
      <c r="H142" s="6">
        <f ca="1">_xll.meDateFromTenor(H141,"-1D","PRECEDING","NYB:LNB")</f>
        <v>43301</v>
      </c>
      <c r="I142" s="15">
        <f ca="1">_xll.BDH(I$9,"PX_LAST",H142,H142)%</f>
        <v>2.3415599999999998E-2</v>
      </c>
      <c r="J142" s="25">
        <v>130</v>
      </c>
      <c r="K142" s="6">
        <f ca="1">_xll.meDateFromTenor(K141,"-1D","PRECEDING","NYB:LNB")</f>
        <v>43301</v>
      </c>
      <c r="L142" s="15">
        <f ca="1">_xll.BDH(L$9,"PX_LAST",K142,K142)%</f>
        <v>2.5242499999999998E-2</v>
      </c>
      <c r="M142" s="25">
        <v>130</v>
      </c>
      <c r="N142" s="6">
        <f ca="1">_xll.meDateFromTenor(N141,"-1D","PRECEDING","SYB:LNB")</f>
        <v>43305</v>
      </c>
      <c r="O142" s="15">
        <f ca="1">_xll.BDH(O$9,"PX_LAST",N142,N142)%</f>
        <v>1.9653E-2</v>
      </c>
      <c r="P142" s="25">
        <v>130</v>
      </c>
      <c r="Q142" s="6">
        <f ca="1">_xll.meDateFromTenor(Q141,"-1D","PRECEDING","SYB:LNB")</f>
        <v>43305</v>
      </c>
      <c r="R142" s="15">
        <f ca="1">_xll.BDH(R$9,"PX_LAST",Q142,Q142)%</f>
        <v>2.1499999999999998E-2</v>
      </c>
      <c r="S142" s="25">
        <v>130</v>
      </c>
      <c r="T142" s="6">
        <f ca="1">_xll.meDateFromTenor(T141,"-1D","PRECEDING","SYB:LNB")</f>
        <v>43305</v>
      </c>
      <c r="U142" s="15">
        <f ca="1">_xll.BDH(U$9,"PX_LAST",T142,T142)%</f>
        <v>-3.5999999999999997E-4</v>
      </c>
      <c r="V142" s="25">
        <v>130</v>
      </c>
      <c r="W142" s="6">
        <f ca="1">_xll.meDateFromTenor(W141,"-1D","PRECEDING","SYB:LNB")</f>
        <v>43305</v>
      </c>
      <c r="X142" s="15">
        <f ca="1">_xll.BDH(X$9,"PX_LAST",W142,W142)%</f>
        <v>1.8669999999999998E-4</v>
      </c>
    </row>
    <row r="143" spans="1:24">
      <c r="A143">
        <v>131</v>
      </c>
      <c r="B143" s="6">
        <f ca="1">_xll.meDateFromTenor(B142,"-1D","PRECEDING","TGT")</f>
        <v>43308</v>
      </c>
      <c r="C143" s="15">
        <f ca="1">_xll.BDH(C$9,"PX_LAST",B143,B143)%</f>
        <v>-3.2000000000000002E-3</v>
      </c>
      <c r="D143" s="25">
        <v>131</v>
      </c>
      <c r="E143" s="6">
        <f ca="1">_xll.meDateFromTenor(E142,"-1D","PRECEDING","TGT")</f>
        <v>43308</v>
      </c>
      <c r="F143" s="15">
        <f ca="1">_xll.BDH(F$9,"PX_LAST",E143,E143)%</f>
        <v>-2.6900000000000001E-3</v>
      </c>
      <c r="G143" s="25">
        <v>131</v>
      </c>
      <c r="H143" s="6">
        <f ca="1">_xll.meDateFromTenor(H142,"-1D","PRECEDING","NYB:LNB")</f>
        <v>43300</v>
      </c>
      <c r="I143" s="15">
        <f ca="1">_xll.BDH(I$9,"PX_LAST",H143,H143)%</f>
        <v>2.3470599999999998E-2</v>
      </c>
      <c r="J143" s="25">
        <v>131</v>
      </c>
      <c r="K143" s="6">
        <f ca="1">_xll.meDateFromTenor(K142,"-1D","PRECEDING","NYB:LNB")</f>
        <v>43300</v>
      </c>
      <c r="L143" s="15">
        <f ca="1">_xll.BDH(L$9,"PX_LAST",K143,K143)%</f>
        <v>2.52725E-2</v>
      </c>
      <c r="M143" s="25">
        <v>131</v>
      </c>
      <c r="N143" s="6">
        <f ca="1">_xll.meDateFromTenor(N142,"-1D","PRECEDING","SYB:LNB")</f>
        <v>43304</v>
      </c>
      <c r="O143" s="15">
        <f ca="1">_xll.BDH(O$9,"PX_LAST",N143,N143)%</f>
        <v>1.9806000000000001E-2</v>
      </c>
      <c r="P143" s="25">
        <v>131</v>
      </c>
      <c r="Q143" s="6">
        <f ca="1">_xll.meDateFromTenor(Q142,"-1D","PRECEDING","SYB:LNB")</f>
        <v>43304</v>
      </c>
      <c r="R143" s="15">
        <f ca="1">_xll.BDH(R$9,"PX_LAST",Q143,Q143)%</f>
        <v>2.1600000000000001E-2</v>
      </c>
      <c r="S143" s="25">
        <v>131</v>
      </c>
      <c r="T143" s="6">
        <f ca="1">_xll.meDateFromTenor(T142,"-1D","PRECEDING","SYB:LNB")</f>
        <v>43304</v>
      </c>
      <c r="U143" s="15">
        <f ca="1">_xll.BDH(U$9,"PX_LAST",T143,T143)%</f>
        <v>-4.0329999999999999E-4</v>
      </c>
      <c r="V143" s="25">
        <v>131</v>
      </c>
      <c r="W143" s="6">
        <f ca="1">_xll.meDateFromTenor(W142,"-1D","PRECEDING","SYB:LNB")</f>
        <v>43304</v>
      </c>
      <c r="X143" s="15">
        <f ca="1">_xll.BDH(X$9,"PX_LAST",W143,W143)%</f>
        <v>1.6830000000000003E-4</v>
      </c>
    </row>
    <row r="144" spans="1:24">
      <c r="A144">
        <v>132</v>
      </c>
      <c r="B144" s="6">
        <f ca="1">_xll.meDateFromTenor(B143,"-1D","PRECEDING","TGT")</f>
        <v>43307</v>
      </c>
      <c r="C144" s="15">
        <f ca="1">_xll.BDH(C$9,"PX_LAST",B144,B144)%</f>
        <v>-3.2000000000000002E-3</v>
      </c>
      <c r="D144" s="25">
        <v>132</v>
      </c>
      <c r="E144" s="6">
        <f ca="1">_xll.meDateFromTenor(E143,"-1D","PRECEDING","TGT")</f>
        <v>43307</v>
      </c>
      <c r="F144" s="15">
        <f ca="1">_xll.BDH(F$9,"PX_LAST",E144,E144)%</f>
        <v>-2.6900000000000001E-3</v>
      </c>
      <c r="G144" s="25">
        <v>132</v>
      </c>
      <c r="H144" s="6">
        <f ca="1">_xll.meDateFromTenor(H143,"-1D","PRECEDING","NYB:LNB")</f>
        <v>43299</v>
      </c>
      <c r="I144" s="15">
        <f ca="1">_xll.BDH(I$9,"PX_LAST",H144,H144)%</f>
        <v>2.3475000000000003E-2</v>
      </c>
      <c r="J144" s="25">
        <v>132</v>
      </c>
      <c r="K144" s="6">
        <f ca="1">_xll.meDateFromTenor(K143,"-1D","PRECEDING","NYB:LNB")</f>
        <v>43299</v>
      </c>
      <c r="L144" s="15">
        <f ca="1">_xll.BDH(L$9,"PX_LAST",K144,K144)%</f>
        <v>2.5266299999999998E-2</v>
      </c>
      <c r="M144" s="25">
        <v>132</v>
      </c>
      <c r="N144" s="6">
        <f ca="1">_xll.meDateFromTenor(N143,"-1D","PRECEDING","SYB:LNB")</f>
        <v>43301</v>
      </c>
      <c r="O144" s="15">
        <f ca="1">_xll.BDH(O$9,"PX_LAST",N144,N144)%</f>
        <v>1.9838000000000001E-2</v>
      </c>
      <c r="P144" s="25">
        <v>132</v>
      </c>
      <c r="Q144" s="6">
        <f ca="1">_xll.meDateFromTenor(Q143,"-1D","PRECEDING","SYB:LNB")</f>
        <v>43301</v>
      </c>
      <c r="R144" s="15">
        <f ca="1">_xll.BDH(R$9,"PX_LAST",Q144,Q144)%</f>
        <v>2.1700000000000001E-2</v>
      </c>
      <c r="S144" s="25">
        <v>132</v>
      </c>
      <c r="T144" s="6">
        <f ca="1">_xll.meDateFromTenor(T143,"-1D","PRECEDING","SYB:LNB")</f>
        <v>43301</v>
      </c>
      <c r="U144" s="15">
        <f ca="1">_xll.BDH(U$9,"PX_LAST",T144,T144)%</f>
        <v>-3.8670000000000002E-4</v>
      </c>
      <c r="V144" s="25">
        <v>132</v>
      </c>
      <c r="W144" s="6">
        <f ca="1">_xll.meDateFromTenor(W143,"-1D","PRECEDING","SYB:LNB")</f>
        <v>43301</v>
      </c>
      <c r="X144" s="15">
        <f ca="1">_xll.BDH(X$9,"PX_LAST",W144,W144)%</f>
        <v>1.65E-4</v>
      </c>
    </row>
    <row r="145" spans="1:24">
      <c r="A145">
        <v>133</v>
      </c>
      <c r="B145" s="6">
        <f ca="1">_xll.meDateFromTenor(B144,"-1D","PRECEDING","TGT")</f>
        <v>43306</v>
      </c>
      <c r="C145" s="15">
        <f ca="1">_xll.BDH(C$9,"PX_LAST",B145,B145)%</f>
        <v>-3.2100000000000002E-3</v>
      </c>
      <c r="D145" s="25">
        <v>133</v>
      </c>
      <c r="E145" s="6">
        <f ca="1">_xll.meDateFromTenor(E144,"-1D","PRECEDING","TGT")</f>
        <v>43306</v>
      </c>
      <c r="F145" s="15">
        <f ca="1">_xll.BDH(F$9,"PX_LAST",E145,E145)%</f>
        <v>-2.6900000000000001E-3</v>
      </c>
      <c r="G145" s="25">
        <v>133</v>
      </c>
      <c r="H145" s="6">
        <f ca="1">_xll.meDateFromTenor(H144,"-1D","PRECEDING","NYB:LNB")</f>
        <v>43298</v>
      </c>
      <c r="I145" s="15">
        <f ca="1">_xll.BDH(I$9,"PX_LAST",H145,H145)%</f>
        <v>2.34194E-2</v>
      </c>
      <c r="J145" s="25">
        <v>133</v>
      </c>
      <c r="K145" s="6">
        <f ca="1">_xll.meDateFromTenor(K144,"-1D","PRECEDING","NYB:LNB")</f>
        <v>43298</v>
      </c>
      <c r="L145" s="15">
        <f ca="1">_xll.BDH(L$9,"PX_LAST",K145,K145)%</f>
        <v>2.5231300000000002E-2</v>
      </c>
      <c r="M145" s="25">
        <v>133</v>
      </c>
      <c r="N145" s="6">
        <f ca="1">_xll.meDateFromTenor(N144,"-1D","PRECEDING","SYB:LNB")</f>
        <v>43300</v>
      </c>
      <c r="O145" s="15">
        <f ca="1">_xll.BDH(O$9,"PX_LAST",N145,N145)%</f>
        <v>2.0049999999999998E-2</v>
      </c>
      <c r="P145" s="25">
        <v>133</v>
      </c>
      <c r="Q145" s="6">
        <f ca="1">_xll.meDateFromTenor(Q144,"-1D","PRECEDING","SYB:LNB")</f>
        <v>43300</v>
      </c>
      <c r="R145" s="15">
        <f ca="1">_xll.BDH(R$9,"PX_LAST",Q145,Q145)%</f>
        <v>2.1700000000000001E-2</v>
      </c>
      <c r="S145" s="25">
        <v>133</v>
      </c>
      <c r="T145" s="6">
        <f ca="1">_xll.meDateFromTenor(T144,"-1D","PRECEDING","SYB:LNB")</f>
        <v>43300</v>
      </c>
      <c r="U145" s="15">
        <f ca="1">_xll.BDH(U$9,"PX_LAST",T145,T145)%</f>
        <v>-3.9500000000000001E-4</v>
      </c>
      <c r="V145" s="25">
        <v>133</v>
      </c>
      <c r="W145" s="6">
        <f ca="1">_xll.meDateFromTenor(W144,"-1D","PRECEDING","SYB:LNB")</f>
        <v>43300</v>
      </c>
      <c r="X145" s="15">
        <f ca="1">_xll.BDH(X$9,"PX_LAST",W145,W145)%</f>
        <v>1.717E-4</v>
      </c>
    </row>
    <row r="146" spans="1:24">
      <c r="A146">
        <v>134</v>
      </c>
      <c r="B146" s="6">
        <f ca="1">_xll.meDateFromTenor(B145,"-1D","PRECEDING","TGT")</f>
        <v>43305</v>
      </c>
      <c r="C146" s="15">
        <f ca="1">_xll.BDH(C$9,"PX_LAST",B146,B146)%</f>
        <v>-3.2100000000000002E-3</v>
      </c>
      <c r="D146" s="25">
        <v>134</v>
      </c>
      <c r="E146" s="6">
        <f ca="1">_xll.meDateFromTenor(E145,"-1D","PRECEDING","TGT")</f>
        <v>43305</v>
      </c>
      <c r="F146" s="15">
        <f ca="1">_xll.BDH(F$9,"PX_LAST",E146,E146)%</f>
        <v>-2.6900000000000001E-3</v>
      </c>
      <c r="G146" s="25">
        <v>134</v>
      </c>
      <c r="H146" s="6">
        <f ca="1">_xll.meDateFromTenor(H145,"-1D","PRECEDING","NYB:LNB")</f>
        <v>43297</v>
      </c>
      <c r="I146" s="15">
        <f ca="1">_xll.BDH(I$9,"PX_LAST",H146,H146)%</f>
        <v>2.3326300000000001E-2</v>
      </c>
      <c r="J146" s="25">
        <v>134</v>
      </c>
      <c r="K146" s="6">
        <f ca="1">_xll.meDateFromTenor(K145,"-1D","PRECEDING","NYB:LNB")</f>
        <v>43297</v>
      </c>
      <c r="L146" s="15">
        <f ca="1">_xll.BDH(L$9,"PX_LAST",K146,K146)%</f>
        <v>2.5184999999999999E-2</v>
      </c>
      <c r="M146" s="25">
        <v>134</v>
      </c>
      <c r="N146" s="6">
        <f ca="1">_xll.meDateFromTenor(N145,"-1D","PRECEDING","SYB:LNB")</f>
        <v>43299</v>
      </c>
      <c r="O146" s="15">
        <f ca="1">_xll.BDH(O$9,"PX_LAST",N146,N146)%</f>
        <v>0.02</v>
      </c>
      <c r="P146" s="25">
        <v>134</v>
      </c>
      <c r="Q146" s="6">
        <f ca="1">_xll.meDateFromTenor(Q145,"-1D","PRECEDING","SYB:LNB")</f>
        <v>43299</v>
      </c>
      <c r="R146" s="15">
        <f ca="1">_xll.BDH(R$9,"PX_LAST",Q146,Q146)%</f>
        <v>2.1700000000000001E-2</v>
      </c>
      <c r="S146" s="25">
        <v>134</v>
      </c>
      <c r="T146" s="6">
        <f ca="1">_xll.meDateFromTenor(T145,"-1D","PRECEDING","SYB:LNB")</f>
        <v>43299</v>
      </c>
      <c r="U146" s="15">
        <f ca="1">_xll.BDH(U$9,"PX_LAST",T146,T146)%</f>
        <v>-3.9500000000000001E-4</v>
      </c>
      <c r="V146" s="25">
        <v>134</v>
      </c>
      <c r="W146" s="6">
        <f ca="1">_xll.meDateFromTenor(W145,"-1D","PRECEDING","SYB:LNB")</f>
        <v>43299</v>
      </c>
      <c r="X146" s="15">
        <f ca="1">_xll.BDH(X$9,"PX_LAST",W146,W146)%</f>
        <v>1.65E-4</v>
      </c>
    </row>
    <row r="147" spans="1:24">
      <c r="A147">
        <v>135</v>
      </c>
      <c r="B147" s="6">
        <f ca="1">_xll.meDateFromTenor(B146,"-1D","PRECEDING","TGT")</f>
        <v>43304</v>
      </c>
      <c r="C147" s="15">
        <f ca="1">_xll.BDH(C$9,"PX_LAST",B147,B147)%</f>
        <v>-3.2100000000000002E-3</v>
      </c>
      <c r="D147" s="25">
        <v>135</v>
      </c>
      <c r="E147" s="6">
        <f ca="1">_xll.meDateFromTenor(E146,"-1D","PRECEDING","TGT")</f>
        <v>43304</v>
      </c>
      <c r="F147" s="15">
        <f ca="1">_xll.BDH(F$9,"PX_LAST",E147,E147)%</f>
        <v>-2.6900000000000001E-3</v>
      </c>
      <c r="G147" s="25">
        <v>135</v>
      </c>
      <c r="H147" s="6">
        <f ca="1">_xll.meDateFromTenor(H146,"-1D","PRECEDING","NYB:LNB")</f>
        <v>43294</v>
      </c>
      <c r="I147" s="15">
        <f ca="1">_xll.BDH(I$9,"PX_LAST",H147,H147)%</f>
        <v>2.3359999999999999E-2</v>
      </c>
      <c r="J147" s="25">
        <v>135</v>
      </c>
      <c r="K147" s="6">
        <f ca="1">_xll.meDateFromTenor(K146,"-1D","PRECEDING","NYB:LNB")</f>
        <v>43294</v>
      </c>
      <c r="L147" s="15">
        <f ca="1">_xll.BDH(L$9,"PX_LAST",K147,K147)%</f>
        <v>2.52088E-2</v>
      </c>
      <c r="M147" s="25">
        <v>135</v>
      </c>
      <c r="N147" s="6">
        <f ca="1">_xll.meDateFromTenor(N146,"-1D","PRECEDING","SYB:LNB")</f>
        <v>43298</v>
      </c>
      <c r="O147" s="15">
        <f ca="1">_xll.BDH(O$9,"PX_LAST",N147,N147)%</f>
        <v>2.0050999999999999E-2</v>
      </c>
      <c r="P147" s="25">
        <v>135</v>
      </c>
      <c r="Q147" s="6">
        <f ca="1">_xll.meDateFromTenor(Q146,"-1D","PRECEDING","SYB:LNB")</f>
        <v>43298</v>
      </c>
      <c r="R147" s="15">
        <f ca="1">_xll.BDH(R$9,"PX_LAST",Q147,Q147)%</f>
        <v>2.18E-2</v>
      </c>
      <c r="S147" s="25">
        <v>135</v>
      </c>
      <c r="T147" s="6">
        <f ca="1">_xll.meDateFromTenor(T146,"-1D","PRECEDING","SYB:LNB")</f>
        <v>43298</v>
      </c>
      <c r="U147" s="15">
        <f ca="1">_xll.BDH(U$9,"PX_LAST",T147,T147)%</f>
        <v>-3.5330000000000002E-4</v>
      </c>
      <c r="V147" s="25">
        <v>135</v>
      </c>
      <c r="W147" s="6">
        <f ca="1">_xll.meDateFromTenor(W146,"-1D","PRECEDING","SYB:LNB")</f>
        <v>43298</v>
      </c>
      <c r="X147" s="15">
        <f ca="1">_xll.BDH(X$9,"PX_LAST",W147,W147)%</f>
        <v>1.917E-4</v>
      </c>
    </row>
    <row r="148" spans="1:24">
      <c r="A148">
        <v>136</v>
      </c>
      <c r="B148" s="6">
        <f ca="1">_xll.meDateFromTenor(B147,"-1D","PRECEDING","TGT")</f>
        <v>43301</v>
      </c>
      <c r="C148" s="15">
        <f ca="1">_xll.BDH(C$9,"PX_LAST",B148,B148)%</f>
        <v>-3.2100000000000002E-3</v>
      </c>
      <c r="D148" s="25">
        <v>136</v>
      </c>
      <c r="E148" s="6">
        <f ca="1">_xll.meDateFromTenor(E147,"-1D","PRECEDING","TGT")</f>
        <v>43301</v>
      </c>
      <c r="F148" s="15">
        <f ca="1">_xll.BDH(F$9,"PX_LAST",E148,E148)%</f>
        <v>-2.6900000000000001E-3</v>
      </c>
      <c r="G148" s="25">
        <v>136</v>
      </c>
      <c r="H148" s="6">
        <f ca="1">_xll.meDateFromTenor(H147,"-1D","PRECEDING","NYB:LNB")</f>
        <v>43293</v>
      </c>
      <c r="I148" s="15">
        <f ca="1">_xll.BDH(I$9,"PX_LAST",H148,H148)%</f>
        <v>2.33919E-2</v>
      </c>
      <c r="J148" s="25">
        <v>136</v>
      </c>
      <c r="K148" s="6">
        <f ca="1">_xll.meDateFromTenor(K147,"-1D","PRECEDING","NYB:LNB")</f>
        <v>43293</v>
      </c>
      <c r="L148" s="15">
        <f ca="1">_xll.BDH(L$9,"PX_LAST",K148,K148)%</f>
        <v>2.5196300000000001E-2</v>
      </c>
      <c r="M148" s="25">
        <v>136</v>
      </c>
      <c r="N148" s="6">
        <f ca="1">_xll.meDateFromTenor(N147,"-1D","PRECEDING","SYB:LNB")</f>
        <v>43297</v>
      </c>
      <c r="O148" s="15">
        <f ca="1">_xll.BDH(O$9,"PX_LAST",N148,N148)%</f>
        <v>2.0304000000000003E-2</v>
      </c>
      <c r="P148" s="25">
        <v>136</v>
      </c>
      <c r="Q148" s="6">
        <f ca="1">_xll.meDateFromTenor(Q147,"-1D","PRECEDING","SYB:LNB")</f>
        <v>43297</v>
      </c>
      <c r="R148" s="15">
        <f ca="1">_xll.BDH(R$9,"PX_LAST",Q148,Q148)%</f>
        <v>2.18E-2</v>
      </c>
      <c r="S148" s="25">
        <v>136</v>
      </c>
      <c r="T148" s="6">
        <f ca="1">_xll.meDateFromTenor(T147,"-1D","PRECEDING","SYB:LNB")</f>
        <v>43297</v>
      </c>
      <c r="U148" s="15">
        <f ca="1">_xll.BDH(U$9,"PX_LAST",T148,T148)%</f>
        <v>-4.0329999999999999E-4</v>
      </c>
      <c r="V148" s="25">
        <v>136</v>
      </c>
      <c r="W148" s="6">
        <f ca="1">_xll.meDateFromTenor(W147,"-1D","PRECEDING","SYB:LNB")</f>
        <v>43297</v>
      </c>
      <c r="X148" s="15">
        <f ca="1">_xll.BDH(X$9,"PX_LAST",W148,W148)%</f>
        <v>1.5669999999999999E-4</v>
      </c>
    </row>
    <row r="149" spans="1:24">
      <c r="A149">
        <v>137</v>
      </c>
      <c r="B149" s="6">
        <f ca="1">_xll.meDateFromTenor(B148,"-1D","PRECEDING","TGT")</f>
        <v>43300</v>
      </c>
      <c r="C149" s="15">
        <f ca="1">_xll.BDH(C$9,"PX_LAST",B149,B149)%</f>
        <v>-3.2100000000000002E-3</v>
      </c>
      <c r="D149" s="25">
        <v>137</v>
      </c>
      <c r="E149" s="6">
        <f ca="1">_xll.meDateFromTenor(E148,"-1D","PRECEDING","TGT")</f>
        <v>43300</v>
      </c>
      <c r="F149" s="15">
        <f ca="1">_xll.BDH(F$9,"PX_LAST",E149,E149)%</f>
        <v>-2.6900000000000001E-3</v>
      </c>
      <c r="G149" s="25">
        <v>137</v>
      </c>
      <c r="H149" s="6">
        <f ca="1">_xll.meDateFromTenor(H148,"-1D","PRECEDING","NYB:LNB")</f>
        <v>43292</v>
      </c>
      <c r="I149" s="15">
        <f ca="1">_xll.BDH(I$9,"PX_LAST",H149,H149)%</f>
        <v>2.3370000000000002E-2</v>
      </c>
      <c r="J149" s="25">
        <v>137</v>
      </c>
      <c r="K149" s="6">
        <f ca="1">_xll.meDateFromTenor(K148,"-1D","PRECEDING","NYB:LNB")</f>
        <v>43292</v>
      </c>
      <c r="L149" s="15">
        <f ca="1">_xll.BDH(L$9,"PX_LAST",K149,K149)%</f>
        <v>2.5123799999999998E-2</v>
      </c>
      <c r="M149" s="25">
        <v>137</v>
      </c>
      <c r="N149" s="6">
        <f ca="1">_xll.meDateFromTenor(N148,"-1D","PRECEDING","SYB:LNB")</f>
        <v>43294</v>
      </c>
      <c r="O149" s="15">
        <f ca="1">_xll.BDH(O$9,"PX_LAST",N149,N149)%</f>
        <v>2.0288E-2</v>
      </c>
      <c r="P149" s="25">
        <v>137</v>
      </c>
      <c r="Q149" s="6">
        <f ca="1">_xll.meDateFromTenor(Q148,"-1D","PRECEDING","SYB:LNB")</f>
        <v>43294</v>
      </c>
      <c r="R149" s="15">
        <f ca="1">_xll.BDH(R$9,"PX_LAST",Q149,Q149)%</f>
        <v>2.1899999999999999E-2</v>
      </c>
      <c r="S149" s="25">
        <v>137</v>
      </c>
      <c r="T149" s="6">
        <f ca="1">_xll.meDateFromTenor(T148,"-1D","PRECEDING","SYB:LNB")</f>
        <v>43294</v>
      </c>
      <c r="U149" s="15">
        <f ca="1">_xll.BDH(U$9,"PX_LAST",T149,T149)%</f>
        <v>-4.283E-4</v>
      </c>
      <c r="V149" s="25">
        <v>137</v>
      </c>
      <c r="W149" s="6">
        <f ca="1">_xll.meDateFromTenor(W148,"-1D","PRECEDING","SYB:LNB")</f>
        <v>43294</v>
      </c>
      <c r="X149" s="15">
        <f ca="1">_xll.BDH(X$9,"PX_LAST",W149,W149)%</f>
        <v>1.483E-4</v>
      </c>
    </row>
    <row r="150" spans="1:24">
      <c r="A150">
        <v>138</v>
      </c>
      <c r="B150" s="6">
        <f ca="1">_xll.meDateFromTenor(B149,"-1D","PRECEDING","TGT")</f>
        <v>43299</v>
      </c>
      <c r="C150" s="15">
        <f ca="1">_xll.BDH(C$9,"PX_LAST",B150,B150)%</f>
        <v>-3.2100000000000002E-3</v>
      </c>
      <c r="D150" s="25">
        <v>138</v>
      </c>
      <c r="E150" s="6">
        <f ca="1">_xll.meDateFromTenor(E149,"-1D","PRECEDING","TGT")</f>
        <v>43299</v>
      </c>
      <c r="F150" s="15">
        <f ca="1">_xll.BDH(F$9,"PX_LAST",E150,E150)%</f>
        <v>-2.6900000000000001E-3</v>
      </c>
      <c r="G150" s="25">
        <v>138</v>
      </c>
      <c r="H150" s="6">
        <f ca="1">_xll.meDateFromTenor(H149,"-1D","PRECEDING","NYB:LNB")</f>
        <v>43291</v>
      </c>
      <c r="I150" s="15">
        <f ca="1">_xll.BDH(I$9,"PX_LAST",H150,H150)%</f>
        <v>2.33744E-2</v>
      </c>
      <c r="J150" s="25">
        <v>138</v>
      </c>
      <c r="K150" s="6">
        <f ca="1">_xll.meDateFromTenor(K149,"-1D","PRECEDING","NYB:LNB")</f>
        <v>43291</v>
      </c>
      <c r="L150" s="15">
        <f ca="1">_xll.BDH(L$9,"PX_LAST",K150,K150)%</f>
        <v>2.51188E-2</v>
      </c>
      <c r="M150" s="25">
        <v>138</v>
      </c>
      <c r="N150" s="6">
        <f ca="1">_xll.meDateFromTenor(N149,"-1D","PRECEDING","SYB:LNB")</f>
        <v>43293</v>
      </c>
      <c r="O150" s="15">
        <f ca="1">_xll.BDH(O$9,"PX_LAST",N150,N150)%</f>
        <v>2.0199999999999999E-2</v>
      </c>
      <c r="P150" s="25">
        <v>138</v>
      </c>
      <c r="Q150" s="6">
        <f ca="1">_xll.meDateFromTenor(Q149,"-1D","PRECEDING","SYB:LNB")</f>
        <v>43293</v>
      </c>
      <c r="R150" s="15">
        <f ca="1">_xll.BDH(R$9,"PX_LAST",Q150,Q150)%</f>
        <v>2.1700000000000001E-2</v>
      </c>
      <c r="S150" s="25">
        <v>138</v>
      </c>
      <c r="T150" s="6">
        <f ca="1">_xll.meDateFromTenor(T149,"-1D","PRECEDING","SYB:LNB")</f>
        <v>43293</v>
      </c>
      <c r="U150" s="15">
        <f ca="1">_xll.BDH(U$9,"PX_LAST",T150,T150)%</f>
        <v>-3.6999999999999999E-4</v>
      </c>
      <c r="V150" s="25">
        <v>138</v>
      </c>
      <c r="W150" s="6">
        <f ca="1">_xll.meDateFromTenor(W149,"-1D","PRECEDING","SYB:LNB")</f>
        <v>43293</v>
      </c>
      <c r="X150" s="15">
        <f ca="1">_xll.BDH(X$9,"PX_LAST",W150,W150)%</f>
        <v>1.55E-4</v>
      </c>
    </row>
    <row r="151" spans="1:24">
      <c r="A151">
        <v>139</v>
      </c>
      <c r="B151" s="6">
        <f ca="1">_xll.meDateFromTenor(B150,"-1D","PRECEDING","TGT")</f>
        <v>43298</v>
      </c>
      <c r="C151" s="15">
        <f ca="1">_xll.BDH(C$9,"PX_LAST",B151,B151)%</f>
        <v>-3.2100000000000002E-3</v>
      </c>
      <c r="D151" s="25">
        <v>139</v>
      </c>
      <c r="E151" s="6">
        <f ca="1">_xll.meDateFromTenor(E150,"-1D","PRECEDING","TGT")</f>
        <v>43298</v>
      </c>
      <c r="F151" s="15">
        <f ca="1">_xll.BDH(F$9,"PX_LAST",E151,E151)%</f>
        <v>-2.6900000000000001E-3</v>
      </c>
      <c r="G151" s="25">
        <v>139</v>
      </c>
      <c r="H151" s="6">
        <f ca="1">_xll.meDateFromTenor(H150,"-1D","PRECEDING","NYB:LNB")</f>
        <v>43290</v>
      </c>
      <c r="I151" s="15">
        <f ca="1">_xll.BDH(I$9,"PX_LAST",H151,H151)%</f>
        <v>2.3331300000000003E-2</v>
      </c>
      <c r="J151" s="25">
        <v>139</v>
      </c>
      <c r="K151" s="6">
        <f ca="1">_xll.meDateFromTenor(K150,"-1D","PRECEDING","NYB:LNB")</f>
        <v>43290</v>
      </c>
      <c r="L151" s="15">
        <f ca="1">_xll.BDH(L$9,"PX_LAST",K151,K151)%</f>
        <v>2.5087499999999999E-2</v>
      </c>
      <c r="M151" s="25">
        <v>139</v>
      </c>
      <c r="N151" s="6">
        <f ca="1">_xll.meDateFromTenor(N150,"-1D","PRECEDING","SYB:LNB")</f>
        <v>43292</v>
      </c>
      <c r="O151" s="15">
        <f ca="1">_xll.BDH(O$9,"PX_LAST",N151,N151)%</f>
        <v>2.0436999999999997E-2</v>
      </c>
      <c r="P151" s="25">
        <v>139</v>
      </c>
      <c r="Q151" s="6">
        <f ca="1">_xll.meDateFromTenor(Q150,"-1D","PRECEDING","SYB:LNB")</f>
        <v>43292</v>
      </c>
      <c r="R151" s="15">
        <f ca="1">_xll.BDH(R$9,"PX_LAST",Q151,Q151)%</f>
        <v>2.1899999999999999E-2</v>
      </c>
      <c r="S151" s="25">
        <v>139</v>
      </c>
      <c r="T151" s="6">
        <f ca="1">_xll.meDateFromTenor(T150,"-1D","PRECEDING","SYB:LNB")</f>
        <v>43292</v>
      </c>
      <c r="U151" s="15">
        <f ca="1">_xll.BDH(U$9,"PX_LAST",T151,T151)%</f>
        <v>-4.2999999999999999E-4</v>
      </c>
      <c r="V151" s="25">
        <v>139</v>
      </c>
      <c r="W151" s="6">
        <f ca="1">_xll.meDateFromTenor(W150,"-1D","PRECEDING","SYB:LNB")</f>
        <v>43292</v>
      </c>
      <c r="X151" s="15">
        <f ca="1">_xll.BDH(X$9,"PX_LAST",W151,W151)%</f>
        <v>1.383E-4</v>
      </c>
    </row>
    <row r="152" spans="1:24">
      <c r="A152">
        <v>140</v>
      </c>
      <c r="B152" s="6">
        <f ca="1">_xll.meDateFromTenor(B151,"-1D","PRECEDING","TGT")</f>
        <v>43297</v>
      </c>
      <c r="C152" s="15">
        <f ca="1">_xll.BDH(C$9,"PX_LAST",B152,B152)%</f>
        <v>-3.2100000000000002E-3</v>
      </c>
      <c r="D152" s="25">
        <v>140</v>
      </c>
      <c r="E152" s="6">
        <f ca="1">_xll.meDateFromTenor(E151,"-1D","PRECEDING","TGT")</f>
        <v>43297</v>
      </c>
      <c r="F152" s="15">
        <f ca="1">_xll.BDH(F$9,"PX_LAST",E152,E152)%</f>
        <v>-2.6900000000000001E-3</v>
      </c>
      <c r="G152" s="25">
        <v>140</v>
      </c>
      <c r="H152" s="6">
        <f ca="1">_xll.meDateFromTenor(H151,"-1D","PRECEDING","NYB:LNB")</f>
        <v>43287</v>
      </c>
      <c r="I152" s="15">
        <f ca="1">_xll.BDH(I$9,"PX_LAST",H152,H152)%</f>
        <v>2.3314400000000002E-2</v>
      </c>
      <c r="J152" s="25">
        <v>140</v>
      </c>
      <c r="K152" s="6">
        <f ca="1">_xll.meDateFromTenor(K151,"-1D","PRECEDING","NYB:LNB")</f>
        <v>43287</v>
      </c>
      <c r="L152" s="15">
        <f ca="1">_xll.BDH(L$9,"PX_LAST",K152,K152)%</f>
        <v>2.5081300000000001E-2</v>
      </c>
      <c r="M152" s="25">
        <v>140</v>
      </c>
      <c r="N152" s="6">
        <f ca="1">_xll.meDateFromTenor(N151,"-1D","PRECEDING","SYB:LNB")</f>
        <v>43291</v>
      </c>
      <c r="O152" s="15">
        <f ca="1">_xll.BDH(O$9,"PX_LAST",N152,N152)%</f>
        <v>2.0649999999999998E-2</v>
      </c>
      <c r="P152" s="25">
        <v>140</v>
      </c>
      <c r="Q152" s="6">
        <f ca="1">_xll.meDateFromTenor(Q151,"-1D","PRECEDING","SYB:LNB")</f>
        <v>43291</v>
      </c>
      <c r="R152" s="15">
        <f ca="1">_xll.BDH(R$9,"PX_LAST",Q152,Q152)%</f>
        <v>2.2099999999999998E-2</v>
      </c>
      <c r="S152" s="25">
        <v>140</v>
      </c>
      <c r="T152" s="6">
        <f ca="1">_xll.meDateFromTenor(T151,"-1D","PRECEDING","SYB:LNB")</f>
        <v>43291</v>
      </c>
      <c r="U152" s="15">
        <f ca="1">_xll.BDH(U$9,"PX_LAST",T152,T152)%</f>
        <v>-4.283E-4</v>
      </c>
      <c r="V152" s="25">
        <v>140</v>
      </c>
      <c r="W152" s="6">
        <f ca="1">_xll.meDateFromTenor(W151,"-1D","PRECEDING","SYB:LNB")</f>
        <v>43291</v>
      </c>
      <c r="X152" s="15">
        <f ca="1">_xll.BDH(X$9,"PX_LAST",W152,W152)%</f>
        <v>1.217E-4</v>
      </c>
    </row>
    <row r="153" spans="1:24">
      <c r="A153">
        <v>141</v>
      </c>
      <c r="B153" s="6">
        <f ca="1">_xll.meDateFromTenor(B152,"-1D","PRECEDING","TGT")</f>
        <v>43294</v>
      </c>
      <c r="C153" s="15">
        <f ca="1">_xll.BDH(C$9,"PX_LAST",B153,B153)%</f>
        <v>-3.2100000000000002E-3</v>
      </c>
      <c r="D153" s="25">
        <v>141</v>
      </c>
      <c r="E153" s="6">
        <f ca="1">_xll.meDateFromTenor(E152,"-1D","PRECEDING","TGT")</f>
        <v>43294</v>
      </c>
      <c r="F153" s="15">
        <f ca="1">_xll.BDH(F$9,"PX_LAST",E153,E153)%</f>
        <v>-2.6800000000000001E-3</v>
      </c>
      <c r="G153" s="25">
        <v>141</v>
      </c>
      <c r="H153" s="6">
        <f ca="1">_xll.meDateFromTenor(H152,"-1D","PRECEDING","NYB:LNB")</f>
        <v>43286</v>
      </c>
      <c r="I153" s="15">
        <f ca="1">_xll.BDH(I$9,"PX_LAST",H153,H153)%</f>
        <v>2.3386300000000002E-2</v>
      </c>
      <c r="J153" s="25">
        <v>141</v>
      </c>
      <c r="K153" s="6">
        <f ca="1">_xll.meDateFromTenor(K152,"-1D","PRECEDING","NYB:LNB")</f>
        <v>43286</v>
      </c>
      <c r="L153" s="15">
        <f ca="1">_xll.BDH(L$9,"PX_LAST",K153,K153)%</f>
        <v>2.5202499999999999E-2</v>
      </c>
      <c r="M153" s="25">
        <v>141</v>
      </c>
      <c r="N153" s="6">
        <f ca="1">_xll.meDateFromTenor(N152,"-1D","PRECEDING","SYB:LNB")</f>
        <v>43290</v>
      </c>
      <c r="O153" s="15">
        <f ca="1">_xll.BDH(O$9,"PX_LAST",N153,N153)%</f>
        <v>2.06E-2</v>
      </c>
      <c r="P153" s="25">
        <v>141</v>
      </c>
      <c r="Q153" s="6">
        <f ca="1">_xll.meDateFromTenor(Q152,"-1D","PRECEDING","SYB:LNB")</f>
        <v>43290</v>
      </c>
      <c r="R153" s="15">
        <f ca="1">_xll.BDH(R$9,"PX_LAST",Q153,Q153)%</f>
        <v>2.1899999999999999E-2</v>
      </c>
      <c r="S153" s="25">
        <v>141</v>
      </c>
      <c r="T153" s="6">
        <f ca="1">_xll.meDateFromTenor(T152,"-1D","PRECEDING","SYB:LNB")</f>
        <v>43290</v>
      </c>
      <c r="U153" s="15">
        <f ca="1">_xll.BDH(U$9,"PX_LAST",T153,T153)%</f>
        <v>-4.3499999999999995E-4</v>
      </c>
      <c r="V153" s="25">
        <v>141</v>
      </c>
      <c r="W153" s="6">
        <f ca="1">_xll.meDateFromTenor(W152,"-1D","PRECEDING","SYB:LNB")</f>
        <v>43290</v>
      </c>
      <c r="X153" s="15">
        <f ca="1">_xll.BDH(X$9,"PX_LAST",W153,W153)%</f>
        <v>6.0000000000000002E-5</v>
      </c>
    </row>
    <row r="154" spans="1:24">
      <c r="A154">
        <v>142</v>
      </c>
      <c r="B154" s="6">
        <f ca="1">_xll.meDateFromTenor(B153,"-1D","PRECEDING","TGT")</f>
        <v>43293</v>
      </c>
      <c r="C154" s="15">
        <f ca="1">_xll.BDH(C$9,"PX_LAST",B154,B154)%</f>
        <v>-3.2100000000000002E-3</v>
      </c>
      <c r="D154" s="25">
        <v>142</v>
      </c>
      <c r="E154" s="6">
        <f ca="1">_xll.meDateFromTenor(E153,"-1D","PRECEDING","TGT")</f>
        <v>43293</v>
      </c>
      <c r="F154" s="15">
        <f ca="1">_xll.BDH(F$9,"PX_LAST",E154,E154)%</f>
        <v>-2.7100000000000002E-3</v>
      </c>
      <c r="G154" s="25">
        <v>142</v>
      </c>
      <c r="H154" s="6">
        <f ca="1">_xll.meDateFromTenor(H153,"-1D","PRECEDING","NYB:LNB")</f>
        <v>43284</v>
      </c>
      <c r="I154" s="15">
        <f ca="1">_xll.BDH(I$9,"PX_LAST",H154,H154)%</f>
        <v>2.3372500000000001E-2</v>
      </c>
      <c r="J154" s="25">
        <v>142</v>
      </c>
      <c r="K154" s="6">
        <f ca="1">_xll.meDateFromTenor(K153,"-1D","PRECEDING","NYB:LNB")</f>
        <v>43284</v>
      </c>
      <c r="L154" s="15">
        <f ca="1">_xll.BDH(L$9,"PX_LAST",K154,K154)%</f>
        <v>2.5068799999999999E-2</v>
      </c>
      <c r="M154" s="25">
        <v>142</v>
      </c>
      <c r="N154" s="6">
        <f ca="1">_xll.meDateFromTenor(N153,"-1D","PRECEDING","SYB:LNB")</f>
        <v>43287</v>
      </c>
      <c r="O154" s="15">
        <f ca="1">_xll.BDH(O$9,"PX_LAST",N154,N154)%</f>
        <v>2.06E-2</v>
      </c>
      <c r="P154" s="25">
        <v>142</v>
      </c>
      <c r="Q154" s="6">
        <f ca="1">_xll.meDateFromTenor(Q153,"-1D","PRECEDING","SYB:LNB")</f>
        <v>43287</v>
      </c>
      <c r="R154" s="15">
        <f ca="1">_xll.BDH(R$9,"PX_LAST",Q154,Q154)%</f>
        <v>2.18E-2</v>
      </c>
      <c r="S154" s="25">
        <v>142</v>
      </c>
      <c r="T154" s="6">
        <f ca="1">_xll.meDateFromTenor(T153,"-1D","PRECEDING","SYB:LNB")</f>
        <v>43287</v>
      </c>
      <c r="U154" s="15">
        <f ca="1">_xll.BDH(U$9,"PX_LAST",T154,T154)%</f>
        <v>-4.6000000000000001E-4</v>
      </c>
      <c r="V154" s="25">
        <v>142</v>
      </c>
      <c r="W154" s="6">
        <f ca="1">_xll.meDateFromTenor(W153,"-1D","PRECEDING","SYB:LNB")</f>
        <v>43287</v>
      </c>
      <c r="X154" s="15">
        <f ca="1">_xll.BDH(X$9,"PX_LAST",W154,W154)%</f>
        <v>1.1169999999999999E-4</v>
      </c>
    </row>
    <row r="155" spans="1:24">
      <c r="A155">
        <v>143</v>
      </c>
      <c r="B155" s="6">
        <f ca="1">_xll.meDateFromTenor(B154,"-1D","PRECEDING","TGT")</f>
        <v>43292</v>
      </c>
      <c r="C155" s="15">
        <f ca="1">_xll.BDH(C$9,"PX_LAST",B155,B155)%</f>
        <v>-3.2100000000000002E-3</v>
      </c>
      <c r="D155" s="25">
        <v>143</v>
      </c>
      <c r="E155" s="6">
        <f ca="1">_xll.meDateFromTenor(E154,"-1D","PRECEDING","TGT")</f>
        <v>43292</v>
      </c>
      <c r="F155" s="15">
        <f ca="1">_xll.BDH(F$9,"PX_LAST",E155,E155)%</f>
        <v>-2.7100000000000002E-3</v>
      </c>
      <c r="G155" s="25">
        <v>143</v>
      </c>
      <c r="H155" s="6">
        <f ca="1">_xll.meDateFromTenor(H154,"-1D","PRECEDING","NYB:LNB")</f>
        <v>43283</v>
      </c>
      <c r="I155" s="15">
        <f ca="1">_xll.BDH(I$9,"PX_LAST",H155,H155)%</f>
        <v>2.3425000000000001E-2</v>
      </c>
      <c r="J155" s="25">
        <v>143</v>
      </c>
      <c r="K155" s="6">
        <f ca="1">_xll.meDateFromTenor(K154,"-1D","PRECEDING","NYB:LNB")</f>
        <v>43283</v>
      </c>
      <c r="L155" s="15">
        <f ca="1">_xll.BDH(L$9,"PX_LAST",K155,K155)%</f>
        <v>2.5096899999999998E-2</v>
      </c>
      <c r="M155" s="25">
        <v>143</v>
      </c>
      <c r="N155" s="6">
        <f ca="1">_xll.meDateFromTenor(N154,"-1D","PRECEDING","SYB:LNB")</f>
        <v>43286</v>
      </c>
      <c r="O155" s="15">
        <f ca="1">_xll.BDH(O$9,"PX_LAST",N155,N155)%</f>
        <v>2.06E-2</v>
      </c>
      <c r="P155" s="25">
        <v>143</v>
      </c>
      <c r="Q155" s="6">
        <f ca="1">_xll.meDateFromTenor(Q154,"-1D","PRECEDING","SYB:LNB")</f>
        <v>43286</v>
      </c>
      <c r="R155" s="15">
        <f ca="1">_xll.BDH(R$9,"PX_LAST",Q155,Q155)%</f>
        <v>2.18E-2</v>
      </c>
      <c r="S155" s="25">
        <v>143</v>
      </c>
      <c r="T155" s="6">
        <f ca="1">_xll.meDateFromTenor(T154,"-1D","PRECEDING","SYB:LNB")</f>
        <v>43286</v>
      </c>
      <c r="U155" s="15">
        <f ca="1">_xll.BDH(U$9,"PX_LAST",T155,T155)%</f>
        <v>-4.1829999999999998E-4</v>
      </c>
      <c r="V155" s="25">
        <v>143</v>
      </c>
      <c r="W155" s="6">
        <f ca="1">_xll.meDateFromTenor(W154,"-1D","PRECEDING","SYB:LNB")</f>
        <v>43286</v>
      </c>
      <c r="X155" s="15">
        <f ca="1">_xll.BDH(X$9,"PX_LAST",W155,W155)%</f>
        <v>1.0829999999999999E-4</v>
      </c>
    </row>
    <row r="156" spans="1:24">
      <c r="A156">
        <v>144</v>
      </c>
      <c r="B156" s="6">
        <f ca="1">_xll.meDateFromTenor(B155,"-1D","PRECEDING","TGT")</f>
        <v>43291</v>
      </c>
      <c r="C156" s="15">
        <f ca="1">_xll.BDH(C$9,"PX_LAST",B156,B156)%</f>
        <v>-3.2100000000000002E-3</v>
      </c>
      <c r="D156" s="25">
        <v>144</v>
      </c>
      <c r="E156" s="6">
        <f ca="1">_xll.meDateFromTenor(E155,"-1D","PRECEDING","TGT")</f>
        <v>43291</v>
      </c>
      <c r="F156" s="15">
        <f ca="1">_xll.BDH(F$9,"PX_LAST",E156,E156)%</f>
        <v>-2.6900000000000001E-3</v>
      </c>
      <c r="G156" s="25">
        <v>144</v>
      </c>
      <c r="H156" s="6">
        <f ca="1">_xll.meDateFromTenor(H155,"-1D","PRECEDING","NYB:LNB")</f>
        <v>43280</v>
      </c>
      <c r="I156" s="15">
        <f ca="1">_xll.BDH(I$9,"PX_LAST",H156,H156)%</f>
        <v>2.33575E-2</v>
      </c>
      <c r="J156" s="25">
        <v>144</v>
      </c>
      <c r="K156" s="6">
        <f ca="1">_xll.meDateFromTenor(K155,"-1D","PRECEDING","NYB:LNB")</f>
        <v>43280</v>
      </c>
      <c r="L156" s="15">
        <f ca="1">_xll.BDH(L$9,"PX_LAST",K156,K156)%</f>
        <v>2.5012499999999997E-2</v>
      </c>
      <c r="M156" s="25">
        <v>144</v>
      </c>
      <c r="N156" s="6">
        <f ca="1">_xll.meDateFromTenor(N155,"-1D","PRECEDING","SYB:LNB")</f>
        <v>43285</v>
      </c>
      <c r="O156" s="15">
        <f ca="1">_xll.BDH(O$9,"PX_LAST",N156,N156)%</f>
        <v>2.0794E-2</v>
      </c>
      <c r="P156" s="25">
        <v>144</v>
      </c>
      <c r="Q156" s="6">
        <f ca="1">_xll.meDateFromTenor(Q155,"-1D","PRECEDING","SYB:LNB")</f>
        <v>43285</v>
      </c>
      <c r="R156" s="15">
        <f ca="1">_xll.BDH(R$9,"PX_LAST",Q156,Q156)%</f>
        <v>2.18E-2</v>
      </c>
      <c r="S156" s="25">
        <v>144</v>
      </c>
      <c r="T156" s="6">
        <f ca="1">_xll.meDateFromTenor(T155,"-1D","PRECEDING","SYB:LNB")</f>
        <v>43285</v>
      </c>
      <c r="U156" s="15">
        <f ca="1">_xll.BDH(U$9,"PX_LAST",T156,T156)%</f>
        <v>-4.1829999999999998E-4</v>
      </c>
      <c r="V156" s="25">
        <v>144</v>
      </c>
      <c r="W156" s="6">
        <f ca="1">_xll.meDateFromTenor(W155,"-1D","PRECEDING","SYB:LNB")</f>
        <v>43285</v>
      </c>
      <c r="X156" s="15">
        <f ca="1">_xll.BDH(X$9,"PX_LAST",W156,W156)%</f>
        <v>1.0829999999999999E-4</v>
      </c>
    </row>
    <row r="157" spans="1:24">
      <c r="A157">
        <v>145</v>
      </c>
      <c r="B157" s="6">
        <f ca="1">_xll.meDateFromTenor(B156,"-1D","PRECEDING","TGT")</f>
        <v>43290</v>
      </c>
      <c r="C157" s="15">
        <f ca="1">_xll.BDH(C$9,"PX_LAST",B157,B157)%</f>
        <v>-3.2100000000000002E-3</v>
      </c>
      <c r="D157" s="25">
        <v>145</v>
      </c>
      <c r="E157" s="6">
        <f ca="1">_xll.meDateFromTenor(E156,"-1D","PRECEDING","TGT")</f>
        <v>43290</v>
      </c>
      <c r="F157" s="15">
        <f ca="1">_xll.BDH(F$9,"PX_LAST",E157,E157)%</f>
        <v>-2.7000000000000001E-3</v>
      </c>
      <c r="G157" s="25">
        <v>145</v>
      </c>
      <c r="H157" s="6">
        <f ca="1">_xll.meDateFromTenor(H156,"-1D","PRECEDING","NYB:LNB")</f>
        <v>43279</v>
      </c>
      <c r="I157" s="15">
        <f ca="1">_xll.BDH(I$9,"PX_LAST",H157,H157)%</f>
        <v>2.33738E-2</v>
      </c>
      <c r="J157" s="25">
        <v>145</v>
      </c>
      <c r="K157" s="6">
        <f ca="1">_xll.meDateFromTenor(K156,"-1D","PRECEDING","NYB:LNB")</f>
        <v>43279</v>
      </c>
      <c r="L157" s="15">
        <f ca="1">_xll.BDH(L$9,"PX_LAST",K157,K157)%</f>
        <v>2.5012499999999997E-2</v>
      </c>
      <c r="M157" s="25">
        <v>145</v>
      </c>
      <c r="N157" s="6">
        <f ca="1">_xll.meDateFromTenor(N156,"-1D","PRECEDING","SYB:LNB")</f>
        <v>43284</v>
      </c>
      <c r="O157" s="15">
        <f ca="1">_xll.BDH(O$9,"PX_LAST",N157,N157)%</f>
        <v>2.0759E-2</v>
      </c>
      <c r="P157" s="25">
        <v>145</v>
      </c>
      <c r="Q157" s="6">
        <f ca="1">_xll.meDateFromTenor(Q156,"-1D","PRECEDING","SYB:LNB")</f>
        <v>43284</v>
      </c>
      <c r="R157" s="15">
        <f ca="1">_xll.BDH(R$9,"PX_LAST",Q157,Q157)%</f>
        <v>2.18E-2</v>
      </c>
      <c r="S157" s="25">
        <v>145</v>
      </c>
      <c r="T157" s="6">
        <f ca="1">_xll.meDateFromTenor(T156,"-1D","PRECEDING","SYB:LNB")</f>
        <v>43284</v>
      </c>
      <c r="U157" s="15">
        <f ca="1">_xll.BDH(U$9,"PX_LAST",T157,T157)%</f>
        <v>-4.5170000000000003E-4</v>
      </c>
      <c r="V157" s="25">
        <v>145</v>
      </c>
      <c r="W157" s="6">
        <f ca="1">_xll.meDateFromTenor(W156,"-1D","PRECEDING","SYB:LNB")</f>
        <v>43284</v>
      </c>
      <c r="X157" s="15">
        <f ca="1">_xll.BDH(X$9,"PX_LAST",W157,W157)%</f>
        <v>5.0000000000000002E-5</v>
      </c>
    </row>
    <row r="158" spans="1:24">
      <c r="A158">
        <v>146</v>
      </c>
      <c r="B158" s="6">
        <f ca="1">_xll.meDateFromTenor(B157,"-1D","PRECEDING","TGT")</f>
        <v>43287</v>
      </c>
      <c r="C158" s="15">
        <f ca="1">_xll.BDH(C$9,"PX_LAST",B158,B158)%</f>
        <v>-3.2100000000000002E-3</v>
      </c>
      <c r="D158" s="25">
        <v>146</v>
      </c>
      <c r="E158" s="6">
        <f ca="1">_xll.meDateFromTenor(E157,"-1D","PRECEDING","TGT")</f>
        <v>43287</v>
      </c>
      <c r="F158" s="15">
        <f ca="1">_xll.BDH(F$9,"PX_LAST",E158,E158)%</f>
        <v>-2.7000000000000001E-3</v>
      </c>
      <c r="G158" s="25">
        <v>146</v>
      </c>
      <c r="H158" s="6">
        <f ca="1">_xll.meDateFromTenor(H157,"-1D","PRECEDING","NYB:LNB")</f>
        <v>43278</v>
      </c>
      <c r="I158" s="15">
        <f ca="1">_xll.BDH(I$9,"PX_LAST",H158,H158)%</f>
        <v>2.3343799999999998E-2</v>
      </c>
      <c r="J158" s="25">
        <v>146</v>
      </c>
      <c r="K158" s="6">
        <f ca="1">_xll.meDateFromTenor(K157,"-1D","PRECEDING","NYB:LNB")</f>
        <v>43278</v>
      </c>
      <c r="L158" s="15">
        <f ca="1">_xll.BDH(L$9,"PX_LAST",K158,K158)%</f>
        <v>2.5006300000000002E-2</v>
      </c>
      <c r="M158" s="25">
        <v>146</v>
      </c>
      <c r="N158" s="6">
        <f ca="1">_xll.meDateFromTenor(N157,"-1D","PRECEDING","SYB:LNB")</f>
        <v>43283</v>
      </c>
      <c r="O158" s="15">
        <f ca="1">_xll.BDH(O$9,"PX_LAST",N158,N158)%</f>
        <v>2.0899999999999998E-2</v>
      </c>
      <c r="P158" s="25">
        <v>146</v>
      </c>
      <c r="Q158" s="6">
        <f ca="1">_xll.meDateFromTenor(Q157,"-1D","PRECEDING","SYB:LNB")</f>
        <v>43283</v>
      </c>
      <c r="R158" s="15">
        <f ca="1">_xll.BDH(R$9,"PX_LAST",Q158,Q158)%</f>
        <v>2.2000000000000002E-2</v>
      </c>
      <c r="S158" s="25">
        <v>146</v>
      </c>
      <c r="T158" s="6">
        <f ca="1">_xll.meDateFromTenor(T157,"-1D","PRECEDING","SYB:LNB")</f>
        <v>43283</v>
      </c>
      <c r="U158" s="15">
        <f ca="1">_xll.BDH(U$9,"PX_LAST",T158,T158)%</f>
        <v>-4.3499999999999995E-4</v>
      </c>
      <c r="V158" s="25">
        <v>146</v>
      </c>
      <c r="W158" s="6">
        <f ca="1">_xll.meDateFromTenor(W157,"-1D","PRECEDING","SYB:LNB")</f>
        <v>43283</v>
      </c>
      <c r="X158" s="15">
        <f ca="1">_xll.BDH(X$9,"PX_LAST",W158,W158)%</f>
        <v>3.6699999999999998E-5</v>
      </c>
    </row>
    <row r="159" spans="1:24">
      <c r="A159">
        <v>147</v>
      </c>
      <c r="B159" s="6">
        <f ca="1">_xll.meDateFromTenor(B158,"-1D","PRECEDING","TGT")</f>
        <v>43286</v>
      </c>
      <c r="C159" s="15">
        <f ca="1">_xll.BDH(C$9,"PX_LAST",B159,B159)%</f>
        <v>-3.2100000000000002E-3</v>
      </c>
      <c r="D159" s="25">
        <v>147</v>
      </c>
      <c r="E159" s="6">
        <f ca="1">_xll.meDateFromTenor(E158,"-1D","PRECEDING","TGT")</f>
        <v>43286</v>
      </c>
      <c r="F159" s="15">
        <f ca="1">_xll.BDH(F$9,"PX_LAST",E159,E159)%</f>
        <v>-2.6900000000000001E-3</v>
      </c>
      <c r="G159" s="25">
        <v>147</v>
      </c>
      <c r="H159" s="6">
        <f ca="1">_xll.meDateFromTenor(H158,"-1D","PRECEDING","NYB:LNB")</f>
        <v>43277</v>
      </c>
      <c r="I159" s="15">
        <f ca="1">_xll.BDH(I$9,"PX_LAST",H159,H159)%</f>
        <v>2.33563E-2</v>
      </c>
      <c r="J159" s="25">
        <v>147</v>
      </c>
      <c r="K159" s="6">
        <f ca="1">_xll.meDateFromTenor(K158,"-1D","PRECEDING","NYB:LNB")</f>
        <v>43277</v>
      </c>
      <c r="L159" s="15">
        <f ca="1">_xll.BDH(L$9,"PX_LAST",K159,K159)%</f>
        <v>2.5024999999999999E-2</v>
      </c>
      <c r="M159" s="25">
        <v>147</v>
      </c>
      <c r="N159" s="6">
        <f ca="1">_xll.meDateFromTenor(N158,"-1D","PRECEDING","SYB:LNB")</f>
        <v>43280</v>
      </c>
      <c r="O159" s="15">
        <f ca="1">_xll.BDH(O$9,"PX_LAST",N159,N159)%</f>
        <v>2.1000000000000001E-2</v>
      </c>
      <c r="P159" s="25">
        <v>147</v>
      </c>
      <c r="Q159" s="6">
        <f ca="1">_xll.meDateFromTenor(Q158,"-1D","PRECEDING","SYB:LNB")</f>
        <v>43280</v>
      </c>
      <c r="R159" s="15">
        <f ca="1">_xll.BDH(R$9,"PX_LAST",Q159,Q159)%</f>
        <v>2.2200000000000001E-2</v>
      </c>
      <c r="S159" s="25">
        <v>147</v>
      </c>
      <c r="T159" s="6">
        <f ca="1">_xll.meDateFromTenor(T158,"-1D","PRECEDING","SYB:LNB")</f>
        <v>43280</v>
      </c>
      <c r="U159" s="15">
        <f ca="1">_xll.BDH(U$9,"PX_LAST",T159,T159)%</f>
        <v>-4.4999999999999999E-4</v>
      </c>
      <c r="V159" s="25">
        <v>147</v>
      </c>
      <c r="W159" s="6">
        <f ca="1">_xll.meDateFromTenor(W158,"-1D","PRECEDING","SYB:LNB")</f>
        <v>43280</v>
      </c>
      <c r="X159" s="15">
        <f ca="1">_xll.BDH(X$9,"PX_LAST",W159,W159)%</f>
        <v>5.4999999999999995E-5</v>
      </c>
    </row>
    <row r="160" spans="1:24">
      <c r="A160">
        <v>148</v>
      </c>
      <c r="B160" s="6">
        <f ca="1">_xll.meDateFromTenor(B159,"-1D","PRECEDING","TGT")</f>
        <v>43285</v>
      </c>
      <c r="C160" s="15">
        <f ca="1">_xll.BDH(C$9,"PX_LAST",B160,B160)%</f>
        <v>-3.2100000000000002E-3</v>
      </c>
      <c r="D160" s="25">
        <v>148</v>
      </c>
      <c r="E160" s="6">
        <f ca="1">_xll.meDateFromTenor(E159,"-1D","PRECEDING","TGT")</f>
        <v>43285</v>
      </c>
      <c r="F160" s="15">
        <f ca="1">_xll.BDH(F$9,"PX_LAST",E160,E160)%</f>
        <v>-2.6900000000000001E-3</v>
      </c>
      <c r="G160" s="25">
        <v>148</v>
      </c>
      <c r="H160" s="6">
        <f ca="1">_xll.meDateFromTenor(H159,"-1D","PRECEDING","NYB:LNB")</f>
        <v>43276</v>
      </c>
      <c r="I160" s="15">
        <f ca="1">_xll.BDH(I$9,"PX_LAST",H160,H160)%</f>
        <v>2.3370000000000002E-2</v>
      </c>
      <c r="J160" s="25">
        <v>148</v>
      </c>
      <c r="K160" s="6">
        <f ca="1">_xll.meDateFromTenor(K159,"-1D","PRECEDING","NYB:LNB")</f>
        <v>43276</v>
      </c>
      <c r="L160" s="15">
        <f ca="1">_xll.BDH(L$9,"PX_LAST",K160,K160)%</f>
        <v>2.5024999999999999E-2</v>
      </c>
      <c r="M160" s="25">
        <v>148</v>
      </c>
      <c r="N160" s="6">
        <f ca="1">_xll.meDateFromTenor(N159,"-1D","PRECEDING","SYB:LNB")</f>
        <v>43279</v>
      </c>
      <c r="O160" s="15">
        <f ca="1">_xll.BDH(O$9,"PX_LAST",N160,N160)%</f>
        <v>2.12E-2</v>
      </c>
      <c r="P160" s="25">
        <v>148</v>
      </c>
      <c r="Q160" s="6">
        <f ca="1">_xll.meDateFromTenor(Q159,"-1D","PRECEDING","SYB:LNB")</f>
        <v>43279</v>
      </c>
      <c r="R160" s="15">
        <f ca="1">_xll.BDH(R$9,"PX_LAST",Q160,Q160)%</f>
        <v>2.2200000000000001E-2</v>
      </c>
      <c r="S160" s="25">
        <v>148</v>
      </c>
      <c r="T160" s="6">
        <f ca="1">_xll.meDateFromTenor(T159,"-1D","PRECEDING","SYB:LNB")</f>
        <v>43279</v>
      </c>
      <c r="U160" s="15">
        <f ca="1">_xll.BDH(U$9,"PX_LAST",T160,T160)%</f>
        <v>-4.75E-4</v>
      </c>
      <c r="V160" s="25">
        <v>148</v>
      </c>
      <c r="W160" s="6">
        <f ca="1">_xll.meDateFromTenor(W159,"-1D","PRECEDING","SYB:LNB")</f>
        <v>43279</v>
      </c>
      <c r="X160" s="15">
        <f ca="1">_xll.BDH(X$9,"PX_LAST",W160,W160)%</f>
        <v>8.9999999999999992E-5</v>
      </c>
    </row>
    <row r="161" spans="1:24">
      <c r="A161">
        <v>149</v>
      </c>
      <c r="B161" s="6">
        <f ca="1">_xll.meDateFromTenor(B160,"-1D","PRECEDING","TGT")</f>
        <v>43284</v>
      </c>
      <c r="C161" s="15">
        <f ca="1">_xll.BDH(C$9,"PX_LAST",B161,B161)%</f>
        <v>-3.2100000000000002E-3</v>
      </c>
      <c r="D161" s="25">
        <v>149</v>
      </c>
      <c r="E161" s="6">
        <f ca="1">_xll.meDateFromTenor(E160,"-1D","PRECEDING","TGT")</f>
        <v>43284</v>
      </c>
      <c r="F161" s="15">
        <f ca="1">_xll.BDH(F$9,"PX_LAST",E161,E161)%</f>
        <v>-2.7000000000000001E-3</v>
      </c>
      <c r="G161" s="25">
        <v>149</v>
      </c>
      <c r="H161" s="6">
        <f ca="1">_xll.meDateFromTenor(H160,"-1D","PRECEDING","NYB:LNB")</f>
        <v>43273</v>
      </c>
      <c r="I161" s="15">
        <f ca="1">_xll.BDH(I$9,"PX_LAST",H161,H161)%</f>
        <v>2.3388800000000001E-2</v>
      </c>
      <c r="J161" s="25">
        <v>149</v>
      </c>
      <c r="K161" s="6">
        <f ca="1">_xll.meDateFromTenor(K160,"-1D","PRECEDING","NYB:LNB")</f>
        <v>43273</v>
      </c>
      <c r="L161" s="15">
        <f ca="1">_xll.BDH(L$9,"PX_LAST",K161,K161)%</f>
        <v>2.5075E-2</v>
      </c>
      <c r="M161" s="25">
        <v>149</v>
      </c>
      <c r="N161" s="6">
        <f ca="1">_xll.meDateFromTenor(N160,"-1D","PRECEDING","SYB:LNB")</f>
        <v>43278</v>
      </c>
      <c r="O161" s="15">
        <f ca="1">_xll.BDH(O$9,"PX_LAST",N161,N161)%</f>
        <v>2.1152999999999998E-2</v>
      </c>
      <c r="P161" s="25">
        <v>149</v>
      </c>
      <c r="Q161" s="6">
        <f ca="1">_xll.meDateFromTenor(Q160,"-1D","PRECEDING","SYB:LNB")</f>
        <v>43278</v>
      </c>
      <c r="R161" s="15">
        <f ca="1">_xll.BDH(R$9,"PX_LAST",Q161,Q161)%</f>
        <v>2.23E-2</v>
      </c>
      <c r="S161" s="25">
        <v>149</v>
      </c>
      <c r="T161" s="6">
        <f ca="1">_xll.meDateFromTenor(T160,"-1D","PRECEDING","SYB:LNB")</f>
        <v>43278</v>
      </c>
      <c r="U161" s="15">
        <f ca="1">_xll.BDH(U$9,"PX_LAST",T161,T161)%</f>
        <v>-3.8330000000000005E-4</v>
      </c>
      <c r="V161" s="25">
        <v>149</v>
      </c>
      <c r="W161" s="6">
        <f ca="1">_xll.meDateFromTenor(W160,"-1D","PRECEDING","SYB:LNB")</f>
        <v>43278</v>
      </c>
      <c r="X161" s="15">
        <f ca="1">_xll.BDH(X$9,"PX_LAST",W161,W161)%</f>
        <v>2.0670000000000001E-4</v>
      </c>
    </row>
    <row r="162" spans="1:24">
      <c r="A162">
        <v>150</v>
      </c>
      <c r="B162" s="6">
        <f ca="1">_xll.meDateFromTenor(B161,"-1D","PRECEDING","TGT")</f>
        <v>43283</v>
      </c>
      <c r="C162" s="15">
        <f ca="1">_xll.BDH(C$9,"PX_LAST",B162,B162)%</f>
        <v>-3.2100000000000002E-3</v>
      </c>
      <c r="D162" s="25">
        <v>150</v>
      </c>
      <c r="E162" s="6">
        <f ca="1">_xll.meDateFromTenor(E161,"-1D","PRECEDING","TGT")</f>
        <v>43283</v>
      </c>
      <c r="F162" s="15">
        <f ca="1">_xll.BDH(F$9,"PX_LAST",E162,E162)%</f>
        <v>-2.6900000000000001E-3</v>
      </c>
      <c r="G162" s="25">
        <v>150</v>
      </c>
      <c r="H162" s="6">
        <f ca="1">_xll.meDateFromTenor(H161,"-1D","PRECEDING","NYB:LNB")</f>
        <v>43272</v>
      </c>
      <c r="I162" s="15">
        <f ca="1">_xll.BDH(I$9,"PX_LAST",H162,H162)%</f>
        <v>2.3350599999999999E-2</v>
      </c>
      <c r="J162" s="25">
        <v>150</v>
      </c>
      <c r="K162" s="6">
        <f ca="1">_xll.meDateFromTenor(K161,"-1D","PRECEDING","NYB:LNB")</f>
        <v>43272</v>
      </c>
      <c r="L162" s="15">
        <f ca="1">_xll.BDH(L$9,"PX_LAST",K162,K162)%</f>
        <v>2.5043800000000001E-2</v>
      </c>
      <c r="M162" s="25">
        <v>150</v>
      </c>
      <c r="N162" s="6">
        <f ca="1">_xll.meDateFromTenor(N161,"-1D","PRECEDING","SYB:LNB")</f>
        <v>43277</v>
      </c>
      <c r="O162" s="15">
        <f ca="1">_xll.BDH(O$9,"PX_LAST",N162,N162)%</f>
        <v>2.1124999999999998E-2</v>
      </c>
      <c r="P162" s="25">
        <v>150</v>
      </c>
      <c r="Q162" s="6">
        <f ca="1">_xll.meDateFromTenor(Q161,"-1D","PRECEDING","SYB:LNB")</f>
        <v>43277</v>
      </c>
      <c r="R162" s="15">
        <f ca="1">_xll.BDH(R$9,"PX_LAST",Q162,Q162)%</f>
        <v>2.23E-2</v>
      </c>
      <c r="S162" s="25">
        <v>150</v>
      </c>
      <c r="T162" s="6">
        <f ca="1">_xll.meDateFromTenor(T161,"-1D","PRECEDING","SYB:LNB")</f>
        <v>43277</v>
      </c>
      <c r="U162" s="15">
        <f ca="1">_xll.BDH(U$9,"PX_LAST",T162,T162)%</f>
        <v>-3.9170000000000003E-4</v>
      </c>
      <c r="V162" s="25">
        <v>150</v>
      </c>
      <c r="W162" s="6">
        <f ca="1">_xll.meDateFromTenor(W161,"-1D","PRECEDING","SYB:LNB")</f>
        <v>43277</v>
      </c>
      <c r="X162" s="15">
        <f ca="1">_xll.BDH(X$9,"PX_LAST",W162,W162)%</f>
        <v>1.8999999999999998E-4</v>
      </c>
    </row>
    <row r="163" spans="1:24">
      <c r="A163">
        <v>151</v>
      </c>
      <c r="B163" s="6">
        <f ca="1">_xll.meDateFromTenor(B162,"-1D","PRECEDING","TGT")</f>
        <v>43280</v>
      </c>
      <c r="C163" s="15">
        <f ca="1">_xll.BDH(C$9,"PX_LAST",B163,B163)%</f>
        <v>-3.2100000000000002E-3</v>
      </c>
      <c r="D163" s="25">
        <v>151</v>
      </c>
      <c r="E163" s="6">
        <f ca="1">_xll.meDateFromTenor(E162,"-1D","PRECEDING","TGT")</f>
        <v>43280</v>
      </c>
      <c r="F163" s="15">
        <f ca="1">_xll.BDH(F$9,"PX_LAST",E163,E163)%</f>
        <v>-2.7000000000000001E-3</v>
      </c>
      <c r="G163" s="25">
        <v>151</v>
      </c>
      <c r="H163" s="6">
        <f ca="1">_xll.meDateFromTenor(H162,"-1D","PRECEDING","NYB:LNB")</f>
        <v>43271</v>
      </c>
      <c r="I163" s="15">
        <f ca="1">_xll.BDH(I$9,"PX_LAST",H163,H163)%</f>
        <v>2.3318800000000001E-2</v>
      </c>
      <c r="J163" s="25">
        <v>151</v>
      </c>
      <c r="K163" s="6">
        <f ca="1">_xll.meDateFromTenor(K162,"-1D","PRECEDING","NYB:LNB")</f>
        <v>43271</v>
      </c>
      <c r="L163" s="15">
        <f ca="1">_xll.BDH(L$9,"PX_LAST",K163,K163)%</f>
        <v>2.5008800000000001E-2</v>
      </c>
      <c r="M163" s="25">
        <v>151</v>
      </c>
      <c r="N163" s="6">
        <f ca="1">_xll.meDateFromTenor(N162,"-1D","PRECEDING","SYB:LNB")</f>
        <v>43276</v>
      </c>
      <c r="O163" s="15">
        <f ca="1">_xll.BDH(O$9,"PX_LAST",N163,N163)%</f>
        <v>2.1099999999999997E-2</v>
      </c>
      <c r="P163" s="25">
        <v>151</v>
      </c>
      <c r="Q163" s="6">
        <f ca="1">_xll.meDateFromTenor(Q162,"-1D","PRECEDING","SYB:LNB")</f>
        <v>43276</v>
      </c>
      <c r="R163" s="15">
        <f ca="1">_xll.BDH(R$9,"PX_LAST",Q163,Q163)%</f>
        <v>2.23E-2</v>
      </c>
      <c r="S163" s="25">
        <v>151</v>
      </c>
      <c r="T163" s="6">
        <f ca="1">_xll.meDateFromTenor(T162,"-1D","PRECEDING","SYB:LNB")</f>
        <v>43276</v>
      </c>
      <c r="U163" s="15">
        <f ca="1">_xll.BDH(U$9,"PX_LAST",T163,T163)%</f>
        <v>-4.3169999999999998E-4</v>
      </c>
      <c r="V163" s="25">
        <v>151</v>
      </c>
      <c r="W163" s="6">
        <f ca="1">_xll.meDateFromTenor(W162,"-1D","PRECEDING","SYB:LNB")</f>
        <v>43276</v>
      </c>
      <c r="X163" s="15">
        <f ca="1">_xll.BDH(X$9,"PX_LAST",W163,W163)%</f>
        <v>1.5329999999999999E-4</v>
      </c>
    </row>
    <row r="164" spans="1:24">
      <c r="A164">
        <v>152</v>
      </c>
      <c r="B164" s="6">
        <f ca="1">_xll.meDateFromTenor(B163,"-1D","PRECEDING","TGT")</f>
        <v>43279</v>
      </c>
      <c r="C164" s="15">
        <f ca="1">_xll.BDH(C$9,"PX_LAST",B164,B164)%</f>
        <v>-3.2400000000000003E-3</v>
      </c>
      <c r="D164" s="25">
        <v>152</v>
      </c>
      <c r="E164" s="6">
        <f ca="1">_xll.meDateFromTenor(E163,"-1D","PRECEDING","TGT")</f>
        <v>43279</v>
      </c>
      <c r="F164" s="15">
        <f ca="1">_xll.BDH(F$9,"PX_LAST",E164,E164)%</f>
        <v>-2.7000000000000001E-3</v>
      </c>
      <c r="G164" s="25">
        <v>152</v>
      </c>
      <c r="H164" s="6">
        <f ca="1">_xll.meDateFromTenor(H163,"-1D","PRECEDING","NYB:LNB")</f>
        <v>43270</v>
      </c>
      <c r="I164" s="15">
        <f ca="1">_xll.BDH(I$9,"PX_LAST",H164,H164)%</f>
        <v>2.33025E-2</v>
      </c>
      <c r="J164" s="25">
        <v>152</v>
      </c>
      <c r="K164" s="6">
        <f ca="1">_xll.meDateFromTenor(K163,"-1D","PRECEDING","NYB:LNB")</f>
        <v>43270</v>
      </c>
      <c r="L164" s="15">
        <f ca="1">_xll.BDH(L$9,"PX_LAST",K164,K164)%</f>
        <v>2.495E-2</v>
      </c>
      <c r="M164" s="25">
        <v>152</v>
      </c>
      <c r="N164" s="6">
        <f ca="1">_xll.meDateFromTenor(N163,"-1D","PRECEDING","SYB:LNB")</f>
        <v>43273</v>
      </c>
      <c r="O164" s="15">
        <f ca="1">_xll.BDH(O$9,"PX_LAST",N164,N164)%</f>
        <v>2.0899999999999998E-2</v>
      </c>
      <c r="P164" s="25">
        <v>152</v>
      </c>
      <c r="Q164" s="6">
        <f ca="1">_xll.meDateFromTenor(Q163,"-1D","PRECEDING","SYB:LNB")</f>
        <v>43273</v>
      </c>
      <c r="R164" s="15">
        <f ca="1">_xll.BDH(R$9,"PX_LAST",Q164,Q164)%</f>
        <v>2.2099999999999998E-2</v>
      </c>
      <c r="S164" s="25">
        <v>152</v>
      </c>
      <c r="T164" s="6">
        <f ca="1">_xll.meDateFromTenor(T163,"-1D","PRECEDING","SYB:LNB")</f>
        <v>43273</v>
      </c>
      <c r="U164" s="15">
        <f ca="1">_xll.BDH(U$9,"PX_LAST",T164,T164)%</f>
        <v>-5.0670000000000001E-4</v>
      </c>
      <c r="V164" s="25">
        <v>152</v>
      </c>
      <c r="W164" s="6">
        <f ca="1">_xll.meDateFromTenor(W163,"-1D","PRECEDING","SYB:LNB")</f>
        <v>43273</v>
      </c>
      <c r="X164" s="15">
        <f ca="1">_xll.BDH(X$9,"PX_LAST",W164,W164)%</f>
        <v>5.3299999999999995E-5</v>
      </c>
    </row>
    <row r="165" spans="1:24">
      <c r="A165">
        <v>153</v>
      </c>
      <c r="B165" s="6">
        <f ca="1">_xll.meDateFromTenor(B164,"-1D","PRECEDING","TGT")</f>
        <v>43278</v>
      </c>
      <c r="C165" s="15">
        <f ca="1">_xll.BDH(C$9,"PX_LAST",B165,B165)%</f>
        <v>-3.2400000000000003E-3</v>
      </c>
      <c r="D165" s="25">
        <v>153</v>
      </c>
      <c r="E165" s="6">
        <f ca="1">_xll.meDateFromTenor(E164,"-1D","PRECEDING","TGT")</f>
        <v>43278</v>
      </c>
      <c r="F165" s="15">
        <f ca="1">_xll.BDH(F$9,"PX_LAST",E165,E165)%</f>
        <v>-2.7000000000000001E-3</v>
      </c>
      <c r="G165" s="25">
        <v>153</v>
      </c>
      <c r="H165" s="6">
        <f ca="1">_xll.meDateFromTenor(H164,"-1D","PRECEDING","NYB:LNB")</f>
        <v>43269</v>
      </c>
      <c r="I165" s="15">
        <f ca="1">_xll.BDH(I$9,"PX_LAST",H165,H165)%</f>
        <v>2.3246900000000001E-2</v>
      </c>
      <c r="J165" s="25">
        <v>153</v>
      </c>
      <c r="K165" s="6">
        <f ca="1">_xll.meDateFromTenor(K164,"-1D","PRECEDING","NYB:LNB")</f>
        <v>43269</v>
      </c>
      <c r="L165" s="15">
        <f ca="1">_xll.BDH(L$9,"PX_LAST",K165,K165)%</f>
        <v>2.4968799999999999E-2</v>
      </c>
      <c r="M165" s="25">
        <v>153</v>
      </c>
      <c r="N165" s="6">
        <f ca="1">_xll.meDateFromTenor(N164,"-1D","PRECEDING","SYB:LNB")</f>
        <v>43272</v>
      </c>
      <c r="O165" s="15">
        <f ca="1">_xll.BDH(O$9,"PX_LAST",N165,N165)%</f>
        <v>2.1075E-2</v>
      </c>
      <c r="P165" s="25">
        <v>153</v>
      </c>
      <c r="Q165" s="6">
        <f ca="1">_xll.meDateFromTenor(Q164,"-1D","PRECEDING","SYB:LNB")</f>
        <v>43272</v>
      </c>
      <c r="R165" s="15">
        <f ca="1">_xll.BDH(R$9,"PX_LAST",Q165,Q165)%</f>
        <v>2.23E-2</v>
      </c>
      <c r="S165" s="25">
        <v>153</v>
      </c>
      <c r="T165" s="6">
        <f ca="1">_xll.meDateFromTenor(T164,"-1D","PRECEDING","SYB:LNB")</f>
        <v>43272</v>
      </c>
      <c r="U165" s="15">
        <f ca="1">_xll.BDH(U$9,"PX_LAST",T165,T165)%</f>
        <v>-4.1169999999999998E-4</v>
      </c>
      <c r="V165" s="25">
        <v>153</v>
      </c>
      <c r="W165" s="6">
        <f ca="1">_xll.meDateFromTenor(W164,"-1D","PRECEDING","SYB:LNB")</f>
        <v>43272</v>
      </c>
      <c r="X165" s="15">
        <f ca="1">_xll.BDH(X$9,"PX_LAST",W165,W165)%</f>
        <v>1.65E-4</v>
      </c>
    </row>
    <row r="166" spans="1:24">
      <c r="A166">
        <v>154</v>
      </c>
      <c r="B166" s="6">
        <f ca="1">_xll.meDateFromTenor(B165,"-1D","PRECEDING","TGT")</f>
        <v>43277</v>
      </c>
      <c r="C166" s="15">
        <f ca="1">_xll.BDH(C$9,"PX_LAST",B166,B166)%</f>
        <v>-3.2300000000000002E-3</v>
      </c>
      <c r="D166" s="25">
        <v>154</v>
      </c>
      <c r="E166" s="6">
        <f ca="1">_xll.meDateFromTenor(E165,"-1D","PRECEDING","TGT")</f>
        <v>43277</v>
      </c>
      <c r="F166" s="15">
        <f ca="1">_xll.BDH(F$9,"PX_LAST",E166,E166)%</f>
        <v>-2.7000000000000001E-3</v>
      </c>
      <c r="G166" s="25">
        <v>154</v>
      </c>
      <c r="H166" s="6">
        <f ca="1">_xll.meDateFromTenor(H165,"-1D","PRECEDING","NYB:LNB")</f>
        <v>43266</v>
      </c>
      <c r="I166" s="15">
        <f ca="1">_xll.BDH(I$9,"PX_LAST",H166,H166)%</f>
        <v>2.32594E-2</v>
      </c>
      <c r="J166" s="25">
        <v>154</v>
      </c>
      <c r="K166" s="6">
        <f ca="1">_xll.meDateFromTenor(K165,"-1D","PRECEDING","NYB:LNB")</f>
        <v>43266</v>
      </c>
      <c r="L166" s="15">
        <f ca="1">_xll.BDH(L$9,"PX_LAST",K166,K166)%</f>
        <v>2.5037500000000001E-2</v>
      </c>
      <c r="M166" s="25">
        <v>154</v>
      </c>
      <c r="N166" s="6">
        <f ca="1">_xll.meDateFromTenor(N165,"-1D","PRECEDING","SYB:LNB")</f>
        <v>43271</v>
      </c>
      <c r="O166" s="15">
        <f ca="1">_xll.BDH(O$9,"PX_LAST",N166,N166)%</f>
        <v>2.12E-2</v>
      </c>
      <c r="P166" s="25">
        <v>154</v>
      </c>
      <c r="Q166" s="6">
        <f ca="1">_xll.meDateFromTenor(Q165,"-1D","PRECEDING","SYB:LNB")</f>
        <v>43271</v>
      </c>
      <c r="R166" s="15">
        <f ca="1">_xll.BDH(R$9,"PX_LAST",Q166,Q166)%</f>
        <v>2.23E-2</v>
      </c>
      <c r="S166" s="25">
        <v>154</v>
      </c>
      <c r="T166" s="6">
        <f ca="1">_xll.meDateFromTenor(T165,"-1D","PRECEDING","SYB:LNB")</f>
        <v>43271</v>
      </c>
      <c r="U166" s="15">
        <f ca="1">_xll.BDH(U$9,"PX_LAST",T166,T166)%</f>
        <v>-4.283E-4</v>
      </c>
      <c r="V166" s="25">
        <v>154</v>
      </c>
      <c r="W166" s="6">
        <f ca="1">_xll.meDateFromTenor(W165,"-1D","PRECEDING","SYB:LNB")</f>
        <v>43271</v>
      </c>
      <c r="X166" s="15">
        <f ca="1">_xll.BDH(X$9,"PX_LAST",W166,W166)%</f>
        <v>1.4000000000000001E-4</v>
      </c>
    </row>
    <row r="167" spans="1:24">
      <c r="A167">
        <v>155</v>
      </c>
      <c r="B167" s="6">
        <f ca="1">_xll.meDateFromTenor(B166,"-1D","PRECEDING","TGT")</f>
        <v>43276</v>
      </c>
      <c r="C167" s="15">
        <f ca="1">_xll.BDH(C$9,"PX_LAST",B167,B167)%</f>
        <v>-3.2400000000000003E-3</v>
      </c>
      <c r="D167" s="25">
        <v>155</v>
      </c>
      <c r="E167" s="6">
        <f ca="1">_xll.meDateFromTenor(E166,"-1D","PRECEDING","TGT")</f>
        <v>43276</v>
      </c>
      <c r="F167" s="15">
        <f ca="1">_xll.BDH(F$9,"PX_LAST",E167,E167)%</f>
        <v>-2.6900000000000001E-3</v>
      </c>
      <c r="G167" s="25">
        <v>155</v>
      </c>
      <c r="H167" s="6">
        <f ca="1">_xll.meDateFromTenor(H166,"-1D","PRECEDING","NYB:LNB")</f>
        <v>43265</v>
      </c>
      <c r="I167" s="15">
        <f ca="1">_xll.BDH(I$9,"PX_LAST",H167,H167)%</f>
        <v>2.33469E-2</v>
      </c>
      <c r="J167" s="25">
        <v>155</v>
      </c>
      <c r="K167" s="6">
        <f ca="1">_xll.meDateFromTenor(K166,"-1D","PRECEDING","NYB:LNB")</f>
        <v>43265</v>
      </c>
      <c r="L167" s="15">
        <f ca="1">_xll.BDH(L$9,"PX_LAST",K167,K167)%</f>
        <v>2.5028800000000004E-2</v>
      </c>
      <c r="M167" s="25">
        <v>155</v>
      </c>
      <c r="N167" s="6">
        <f ca="1">_xll.meDateFromTenor(N166,"-1D","PRECEDING","SYB:LNB")</f>
        <v>43270</v>
      </c>
      <c r="O167" s="15">
        <f ca="1">_xll.BDH(O$9,"PX_LAST",N167,N167)%</f>
        <v>2.0724999999999997E-2</v>
      </c>
      <c r="P167" s="25">
        <v>155</v>
      </c>
      <c r="Q167" s="6">
        <f ca="1">_xll.meDateFromTenor(Q166,"-1D","PRECEDING","SYB:LNB")</f>
        <v>43270</v>
      </c>
      <c r="R167" s="15">
        <f ca="1">_xll.BDH(R$9,"PX_LAST",Q167,Q167)%</f>
        <v>2.1700000000000001E-2</v>
      </c>
      <c r="S167" s="25">
        <v>155</v>
      </c>
      <c r="T167" s="6">
        <f ca="1">_xll.meDateFromTenor(T166,"-1D","PRECEDING","SYB:LNB")</f>
        <v>43270</v>
      </c>
      <c r="U167" s="15">
        <f ca="1">_xll.BDH(U$9,"PX_LAST",T167,T167)%</f>
        <v>-4.6999999999999999E-4</v>
      </c>
      <c r="V167" s="25">
        <v>155</v>
      </c>
      <c r="W167" s="6">
        <f ca="1">_xll.meDateFromTenor(W166,"-1D","PRECEDING","SYB:LNB")</f>
        <v>43270</v>
      </c>
      <c r="X167" s="15">
        <f ca="1">_xll.BDH(X$9,"PX_LAST",W167,W167)%</f>
        <v>1.5669999999999999E-4</v>
      </c>
    </row>
    <row r="168" spans="1:24">
      <c r="A168">
        <v>156</v>
      </c>
      <c r="B168" s="6">
        <f ca="1">_xll.meDateFromTenor(B167,"-1D","PRECEDING","TGT")</f>
        <v>43273</v>
      </c>
      <c r="C168" s="15">
        <f ca="1">_xll.BDH(C$9,"PX_LAST",B168,B168)%</f>
        <v>-3.2300000000000002E-3</v>
      </c>
      <c r="D168" s="25">
        <v>156</v>
      </c>
      <c r="E168" s="6">
        <f ca="1">_xll.meDateFromTenor(E167,"-1D","PRECEDING","TGT")</f>
        <v>43273</v>
      </c>
      <c r="F168" s="15">
        <f ca="1">_xll.BDH(F$9,"PX_LAST",E168,E168)%</f>
        <v>-2.6800000000000001E-3</v>
      </c>
      <c r="G168" s="25">
        <v>156</v>
      </c>
      <c r="H168" s="6">
        <f ca="1">_xll.meDateFromTenor(H167,"-1D","PRECEDING","NYB:LNB")</f>
        <v>43264</v>
      </c>
      <c r="I168" s="15">
        <f ca="1">_xll.BDH(I$9,"PX_LAST",H168,H168)%</f>
        <v>2.3406300000000001E-2</v>
      </c>
      <c r="J168" s="25">
        <v>156</v>
      </c>
      <c r="K168" s="6">
        <f ca="1">_xll.meDateFromTenor(K167,"-1D","PRECEDING","NYB:LNB")</f>
        <v>43264</v>
      </c>
      <c r="L168" s="15">
        <f ca="1">_xll.BDH(L$9,"PX_LAST",K168,K168)%</f>
        <v>2.5001300000000001E-2</v>
      </c>
      <c r="M168" s="25">
        <v>156</v>
      </c>
      <c r="N168" s="6">
        <f ca="1">_xll.meDateFromTenor(N167,"-1D","PRECEDING","SYB:LNB")</f>
        <v>43269</v>
      </c>
      <c r="O168" s="15">
        <f ca="1">_xll.BDH(O$9,"PX_LAST",N168,N168)%</f>
        <v>2.06E-2</v>
      </c>
      <c r="P168" s="25">
        <v>156</v>
      </c>
      <c r="Q168" s="6">
        <f ca="1">_xll.meDateFromTenor(Q167,"-1D","PRECEDING","SYB:LNB")</f>
        <v>43269</v>
      </c>
      <c r="R168" s="15">
        <f ca="1">_xll.BDH(R$9,"PX_LAST",Q168,Q168)%</f>
        <v>2.1600000000000001E-2</v>
      </c>
      <c r="S168" s="25">
        <v>156</v>
      </c>
      <c r="T168" s="6">
        <f ca="1">_xll.meDateFromTenor(T167,"-1D","PRECEDING","SYB:LNB")</f>
        <v>43269</v>
      </c>
      <c r="U168" s="15">
        <f ca="1">_xll.BDH(U$9,"PX_LAST",T168,T168)%</f>
        <v>-4.1169999999999998E-4</v>
      </c>
      <c r="V168" s="25">
        <v>156</v>
      </c>
      <c r="W168" s="6">
        <f ca="1">_xll.meDateFromTenor(W167,"-1D","PRECEDING","SYB:LNB")</f>
        <v>43269</v>
      </c>
      <c r="X168" s="15">
        <f ca="1">_xll.BDH(X$9,"PX_LAST",W168,W168)%</f>
        <v>1.417E-4</v>
      </c>
    </row>
    <row r="169" spans="1:24">
      <c r="A169">
        <v>157</v>
      </c>
      <c r="B169" s="6">
        <f ca="1">_xll.meDateFromTenor(B168,"-1D","PRECEDING","TGT")</f>
        <v>43272</v>
      </c>
      <c r="C169" s="15">
        <f ca="1">_xll.BDH(C$9,"PX_LAST",B169,B169)%</f>
        <v>-3.2300000000000002E-3</v>
      </c>
      <c r="D169" s="25">
        <v>157</v>
      </c>
      <c r="E169" s="6">
        <f ca="1">_xll.meDateFromTenor(E168,"-1D","PRECEDING","TGT")</f>
        <v>43272</v>
      </c>
      <c r="F169" s="15">
        <f ca="1">_xll.BDH(F$9,"PX_LAST",E169,E169)%</f>
        <v>-2.6800000000000001E-3</v>
      </c>
      <c r="G169" s="25">
        <v>157</v>
      </c>
      <c r="H169" s="6">
        <f ca="1">_xll.meDateFromTenor(H168,"-1D","PRECEDING","NYB:LNB")</f>
        <v>43263</v>
      </c>
      <c r="I169" s="15">
        <f ca="1">_xll.BDH(I$9,"PX_LAST",H169,H169)%</f>
        <v>2.33563E-2</v>
      </c>
      <c r="J169" s="25">
        <v>157</v>
      </c>
      <c r="K169" s="6">
        <f ca="1">_xll.meDateFromTenor(K168,"-1D","PRECEDING","NYB:LNB")</f>
        <v>43263</v>
      </c>
      <c r="L169" s="15">
        <f ca="1">_xll.BDH(L$9,"PX_LAST",K169,K169)%</f>
        <v>2.4987500000000003E-2</v>
      </c>
      <c r="M169" s="25">
        <v>157</v>
      </c>
      <c r="N169" s="6">
        <f ca="1">_xll.meDateFromTenor(N168,"-1D","PRECEDING","SYB:LNB")</f>
        <v>43266</v>
      </c>
      <c r="O169" s="15">
        <f ca="1">_xll.BDH(O$9,"PX_LAST",N169,N169)%</f>
        <v>2.0653000000000001E-2</v>
      </c>
      <c r="P169" s="25">
        <v>157</v>
      </c>
      <c r="Q169" s="6">
        <f ca="1">_xll.meDateFromTenor(Q168,"-1D","PRECEDING","SYB:LNB")</f>
        <v>43266</v>
      </c>
      <c r="R169" s="15">
        <f ca="1">_xll.BDH(R$9,"PX_LAST",Q169,Q169)%</f>
        <v>2.1600000000000001E-2</v>
      </c>
      <c r="S169" s="25">
        <v>157</v>
      </c>
      <c r="T169" s="6">
        <f ca="1">_xll.meDateFromTenor(T168,"-1D","PRECEDING","SYB:LNB")</f>
        <v>43266</v>
      </c>
      <c r="U169" s="15">
        <f ca="1">_xll.BDH(U$9,"PX_LAST",T169,T169)%</f>
        <v>-4.0500000000000003E-4</v>
      </c>
      <c r="V169" s="25">
        <v>157</v>
      </c>
      <c r="W169" s="6">
        <f ca="1">_xll.meDateFromTenor(W168,"-1D","PRECEDING","SYB:LNB")</f>
        <v>43266</v>
      </c>
      <c r="X169" s="15">
        <f ca="1">_xll.BDH(X$9,"PX_LAST",W169,W169)%</f>
        <v>1.583E-4</v>
      </c>
    </row>
    <row r="170" spans="1:24">
      <c r="A170">
        <v>158</v>
      </c>
      <c r="B170" s="6">
        <f ca="1">_xll.meDateFromTenor(B169,"-1D","PRECEDING","TGT")</f>
        <v>43271</v>
      </c>
      <c r="C170" s="15">
        <f ca="1">_xll.BDH(C$9,"PX_LAST",B170,B170)%</f>
        <v>-3.2300000000000002E-3</v>
      </c>
      <c r="D170" s="25">
        <v>158</v>
      </c>
      <c r="E170" s="6">
        <f ca="1">_xll.meDateFromTenor(E169,"-1D","PRECEDING","TGT")</f>
        <v>43271</v>
      </c>
      <c r="F170" s="15">
        <f ca="1">_xll.BDH(F$9,"PX_LAST",E170,E170)%</f>
        <v>-2.6800000000000001E-3</v>
      </c>
      <c r="G170" s="25">
        <v>158</v>
      </c>
      <c r="H170" s="6">
        <f ca="1">_xll.meDateFromTenor(H169,"-1D","PRECEDING","NYB:LNB")</f>
        <v>43262</v>
      </c>
      <c r="I170" s="15">
        <f ca="1">_xll.BDH(I$9,"PX_LAST",H170,H170)%</f>
        <v>2.3326300000000001E-2</v>
      </c>
      <c r="J170" s="25">
        <v>158</v>
      </c>
      <c r="K170" s="6">
        <f ca="1">_xll.meDateFromTenor(K169,"-1D","PRECEDING","NYB:LNB")</f>
        <v>43262</v>
      </c>
      <c r="L170" s="15">
        <f ca="1">_xll.BDH(L$9,"PX_LAST",K170,K170)%</f>
        <v>2.49313E-2</v>
      </c>
      <c r="M170" s="25">
        <v>158</v>
      </c>
      <c r="N170" s="6">
        <f ca="1">_xll.meDateFromTenor(N169,"-1D","PRECEDING","SYB:LNB")</f>
        <v>43265</v>
      </c>
      <c r="O170" s="15">
        <f ca="1">_xll.BDH(O$9,"PX_LAST",N170,N170)%</f>
        <v>2.07E-2</v>
      </c>
      <c r="P170" s="25">
        <v>158</v>
      </c>
      <c r="Q170" s="6">
        <f ca="1">_xll.meDateFromTenor(Q169,"-1D","PRECEDING","SYB:LNB")</f>
        <v>43265</v>
      </c>
      <c r="R170" s="15">
        <f ca="1">_xll.BDH(R$9,"PX_LAST",Q170,Q170)%</f>
        <v>2.1600000000000001E-2</v>
      </c>
      <c r="S170" s="25">
        <v>158</v>
      </c>
      <c r="T170" s="6">
        <f ca="1">_xll.meDateFromTenor(T169,"-1D","PRECEDING","SYB:LNB")</f>
        <v>43265</v>
      </c>
      <c r="U170" s="15">
        <f ca="1">_xll.BDH(U$9,"PX_LAST",T170,T170)%</f>
        <v>-4.0500000000000003E-4</v>
      </c>
      <c r="V170" s="25">
        <v>158</v>
      </c>
      <c r="W170" s="6">
        <f ca="1">_xll.meDateFromTenor(W169,"-1D","PRECEDING","SYB:LNB")</f>
        <v>43265</v>
      </c>
      <c r="X170" s="15">
        <f ca="1">_xll.BDH(X$9,"PX_LAST",W170,W170)%</f>
        <v>1.45E-4</v>
      </c>
    </row>
    <row r="171" spans="1:24">
      <c r="A171">
        <v>159</v>
      </c>
      <c r="B171" s="6">
        <f ca="1">_xll.meDateFromTenor(B170,"-1D","PRECEDING","TGT")</f>
        <v>43270</v>
      </c>
      <c r="C171" s="15">
        <f ca="1">_xll.BDH(C$9,"PX_LAST",B171,B171)%</f>
        <v>-3.2300000000000002E-3</v>
      </c>
      <c r="D171" s="25">
        <v>159</v>
      </c>
      <c r="E171" s="6">
        <f ca="1">_xll.meDateFromTenor(E170,"-1D","PRECEDING","TGT")</f>
        <v>43270</v>
      </c>
      <c r="F171" s="15">
        <f ca="1">_xll.BDH(F$9,"PX_LAST",E171,E171)%</f>
        <v>-2.6800000000000001E-3</v>
      </c>
      <c r="G171" s="25">
        <v>159</v>
      </c>
      <c r="H171" s="6">
        <f ca="1">_xll.meDateFromTenor(H170,"-1D","PRECEDING","NYB:LNB")</f>
        <v>43259</v>
      </c>
      <c r="I171" s="15">
        <f ca="1">_xll.BDH(I$9,"PX_LAST",H171,H171)%</f>
        <v>2.3263099999999998E-2</v>
      </c>
      <c r="J171" s="25">
        <v>159</v>
      </c>
      <c r="K171" s="6">
        <f ca="1">_xll.meDateFromTenor(K170,"-1D","PRECEDING","NYB:LNB")</f>
        <v>43259</v>
      </c>
      <c r="L171" s="15">
        <f ca="1">_xll.BDH(L$9,"PX_LAST",K171,K171)%</f>
        <v>2.48875E-2</v>
      </c>
      <c r="M171" s="25">
        <v>159</v>
      </c>
      <c r="N171" s="6">
        <f ca="1">_xll.meDateFromTenor(N170,"-1D","PRECEDING","SYB:LNB")</f>
        <v>43264</v>
      </c>
      <c r="O171" s="15">
        <f ca="1">_xll.BDH(O$9,"PX_LAST",N171,N171)%</f>
        <v>2.07E-2</v>
      </c>
      <c r="P171" s="25">
        <v>159</v>
      </c>
      <c r="Q171" s="6">
        <f ca="1">_xll.meDateFromTenor(Q170,"-1D","PRECEDING","SYB:LNB")</f>
        <v>43264</v>
      </c>
      <c r="R171" s="15">
        <f ca="1">_xll.BDH(R$9,"PX_LAST",Q171,Q171)%</f>
        <v>2.1600000000000001E-2</v>
      </c>
      <c r="S171" s="25">
        <v>159</v>
      </c>
      <c r="T171" s="6">
        <f ca="1">_xll.meDateFromTenor(T170,"-1D","PRECEDING","SYB:LNB")</f>
        <v>43264</v>
      </c>
      <c r="U171" s="15">
        <f ca="1">_xll.BDH(U$9,"PX_LAST",T171,T171)%</f>
        <v>-3.5169999999999998E-4</v>
      </c>
      <c r="V171" s="25">
        <v>159</v>
      </c>
      <c r="W171" s="6">
        <f ca="1">_xll.meDateFromTenor(W170,"-1D","PRECEDING","SYB:LNB")</f>
        <v>43264</v>
      </c>
      <c r="X171" s="15">
        <f ca="1">_xll.BDH(X$9,"PX_LAST",W171,W171)%</f>
        <v>1.65E-4</v>
      </c>
    </row>
    <row r="172" spans="1:24">
      <c r="A172">
        <v>160</v>
      </c>
      <c r="B172" s="6">
        <f ca="1">_xll.meDateFromTenor(B171,"-1D","PRECEDING","TGT")</f>
        <v>43269</v>
      </c>
      <c r="C172" s="15">
        <f ca="1">_xll.BDH(C$9,"PX_LAST",B172,B172)%</f>
        <v>-3.2300000000000002E-3</v>
      </c>
      <c r="D172" s="25">
        <v>160</v>
      </c>
      <c r="E172" s="6">
        <f ca="1">_xll.meDateFromTenor(E171,"-1D","PRECEDING","TGT")</f>
        <v>43269</v>
      </c>
      <c r="F172" s="15">
        <f ca="1">_xll.BDH(F$9,"PX_LAST",E172,E172)%</f>
        <v>-2.6800000000000001E-3</v>
      </c>
      <c r="G172" s="25">
        <v>160</v>
      </c>
      <c r="H172" s="6">
        <f ca="1">_xll.meDateFromTenor(H171,"-1D","PRECEDING","NYB:LNB")</f>
        <v>43258</v>
      </c>
      <c r="I172" s="15">
        <f ca="1">_xll.BDH(I$9,"PX_LAST",H172,H172)%</f>
        <v>2.3271299999999998E-2</v>
      </c>
      <c r="J172" s="25">
        <v>160</v>
      </c>
      <c r="K172" s="6">
        <f ca="1">_xll.meDateFromTenor(K171,"-1D","PRECEDING","NYB:LNB")</f>
        <v>43258</v>
      </c>
      <c r="L172" s="15">
        <f ca="1">_xll.BDH(L$9,"PX_LAST",K172,K172)%</f>
        <v>2.4918800000000001E-2</v>
      </c>
      <c r="M172" s="25">
        <v>160</v>
      </c>
      <c r="N172" s="6">
        <f ca="1">_xll.meDateFromTenor(N171,"-1D","PRECEDING","SYB:LNB")</f>
        <v>43263</v>
      </c>
      <c r="O172" s="15">
        <f ca="1">_xll.BDH(O$9,"PX_LAST",N172,N172)%</f>
        <v>2.0550000000000002E-2</v>
      </c>
      <c r="P172" s="25">
        <v>160</v>
      </c>
      <c r="Q172" s="6">
        <f ca="1">_xll.meDateFromTenor(Q171,"-1D","PRECEDING","SYB:LNB")</f>
        <v>43263</v>
      </c>
      <c r="R172" s="15">
        <f ca="1">_xll.BDH(R$9,"PX_LAST",Q172,Q172)%</f>
        <v>2.1600000000000001E-2</v>
      </c>
      <c r="S172" s="25">
        <v>160</v>
      </c>
      <c r="T172" s="6">
        <f ca="1">_xll.meDateFromTenor(T171,"-1D","PRECEDING","SYB:LNB")</f>
        <v>43263</v>
      </c>
      <c r="U172" s="15">
        <f ca="1">_xll.BDH(U$9,"PX_LAST",T172,T172)%</f>
        <v>-3.5169999999999998E-4</v>
      </c>
      <c r="V172" s="25">
        <v>160</v>
      </c>
      <c r="W172" s="6">
        <f ca="1">_xll.meDateFromTenor(W171,"-1D","PRECEDING","SYB:LNB")</f>
        <v>43263</v>
      </c>
      <c r="X172" s="15">
        <f ca="1">_xll.BDH(X$9,"PX_LAST",W172,W172)%</f>
        <v>1.7330000000000001E-4</v>
      </c>
    </row>
    <row r="173" spans="1:24">
      <c r="A173">
        <v>161</v>
      </c>
      <c r="B173" s="6">
        <f ca="1">_xll.meDateFromTenor(B172,"-1D","PRECEDING","TGT")</f>
        <v>43266</v>
      </c>
      <c r="C173" s="15">
        <f ca="1">_xll.BDH(C$9,"PX_LAST",B173,B173)%</f>
        <v>-3.2100000000000002E-3</v>
      </c>
      <c r="D173" s="25">
        <v>161</v>
      </c>
      <c r="E173" s="6">
        <f ca="1">_xll.meDateFromTenor(E172,"-1D","PRECEDING","TGT")</f>
        <v>43266</v>
      </c>
      <c r="F173" s="15">
        <f ca="1">_xll.BDH(F$9,"PX_LAST",E173,E173)%</f>
        <v>-2.6800000000000001E-3</v>
      </c>
      <c r="G173" s="25">
        <v>161</v>
      </c>
      <c r="H173" s="6">
        <f ca="1">_xll.meDateFromTenor(H172,"-1D","PRECEDING","NYB:LNB")</f>
        <v>43257</v>
      </c>
      <c r="I173" s="15">
        <f ca="1">_xll.BDH(I$9,"PX_LAST",H173,H173)%</f>
        <v>2.3208799999999998E-2</v>
      </c>
      <c r="J173" s="25">
        <v>161</v>
      </c>
      <c r="K173" s="6">
        <f ca="1">_xll.meDateFromTenor(K172,"-1D","PRECEDING","NYB:LNB")</f>
        <v>43257</v>
      </c>
      <c r="L173" s="15">
        <f ca="1">_xll.BDH(L$9,"PX_LAST",K173,K173)%</f>
        <v>2.4837500000000002E-2</v>
      </c>
      <c r="M173" s="25">
        <v>161</v>
      </c>
      <c r="N173" s="6">
        <f ca="1">_xll.meDateFromTenor(N172,"-1D","PRECEDING","SYB:LNB")</f>
        <v>43259</v>
      </c>
      <c r="O173" s="15">
        <f ca="1">_xll.BDH(O$9,"PX_LAST",N173,N173)%</f>
        <v>2.0499999999999997E-2</v>
      </c>
      <c r="P173" s="25">
        <v>161</v>
      </c>
      <c r="Q173" s="6">
        <f ca="1">_xll.meDateFromTenor(Q172,"-1D","PRECEDING","SYB:LNB")</f>
        <v>43259</v>
      </c>
      <c r="R173" s="15">
        <f ca="1">_xll.BDH(R$9,"PX_LAST",Q173,Q173)%</f>
        <v>2.1600000000000001E-2</v>
      </c>
      <c r="S173" s="25">
        <v>161</v>
      </c>
      <c r="T173" s="6">
        <f ca="1">_xll.meDateFromTenor(T172,"-1D","PRECEDING","SYB:LNB")</f>
        <v>43259</v>
      </c>
      <c r="U173" s="15">
        <f ca="1">_xll.BDH(U$9,"PX_LAST",T173,T173)%</f>
        <v>-3.3829999999999998E-4</v>
      </c>
      <c r="V173" s="25">
        <v>161</v>
      </c>
      <c r="W173" s="6">
        <f ca="1">_xll.meDateFromTenor(W172,"-1D","PRECEDING","SYB:LNB")</f>
        <v>43259</v>
      </c>
      <c r="X173" s="15">
        <f ca="1">_xll.BDH(X$9,"PX_LAST",W173,W173)%</f>
        <v>1.795E-4</v>
      </c>
    </row>
    <row r="174" spans="1:24">
      <c r="A174">
        <v>162</v>
      </c>
      <c r="B174" s="6">
        <f ca="1">_xll.meDateFromTenor(B173,"-1D","PRECEDING","TGT")</f>
        <v>43265</v>
      </c>
      <c r="C174" s="15">
        <f ca="1">_xll.BDH(C$9,"PX_LAST",B174,B174)%</f>
        <v>-3.2100000000000002E-3</v>
      </c>
      <c r="D174" s="25">
        <v>162</v>
      </c>
      <c r="E174" s="6">
        <f ca="1">_xll.meDateFromTenor(E173,"-1D","PRECEDING","TGT")</f>
        <v>43265</v>
      </c>
      <c r="F174" s="15">
        <f ca="1">_xll.BDH(F$9,"PX_LAST",E174,E174)%</f>
        <v>-2.6800000000000001E-3</v>
      </c>
      <c r="G174" s="25">
        <v>162</v>
      </c>
      <c r="H174" s="6">
        <f ca="1">_xll.meDateFromTenor(H173,"-1D","PRECEDING","NYB:LNB")</f>
        <v>43256</v>
      </c>
      <c r="I174" s="15">
        <f ca="1">_xll.BDH(I$9,"PX_LAST",H174,H174)%</f>
        <v>2.3191899999999998E-2</v>
      </c>
      <c r="J174" s="25">
        <v>162</v>
      </c>
      <c r="K174" s="6">
        <f ca="1">_xll.meDateFromTenor(K173,"-1D","PRECEDING","NYB:LNB")</f>
        <v>43256</v>
      </c>
      <c r="L174" s="15">
        <f ca="1">_xll.BDH(L$9,"PX_LAST",K174,K174)%</f>
        <v>2.4796300000000004E-2</v>
      </c>
      <c r="M174" s="25">
        <v>162</v>
      </c>
      <c r="N174" s="6">
        <f ca="1">_xll.meDateFromTenor(N173,"-1D","PRECEDING","SYB:LNB")</f>
        <v>43258</v>
      </c>
      <c r="O174" s="15">
        <f ca="1">_xll.BDH(O$9,"PX_LAST",N174,N174)%</f>
        <v>2.0436999999999997E-2</v>
      </c>
      <c r="P174" s="25">
        <v>162</v>
      </c>
      <c r="Q174" s="6">
        <f ca="1">_xll.meDateFromTenor(Q173,"-1D","PRECEDING","SYB:LNB")</f>
        <v>43258</v>
      </c>
      <c r="R174" s="15">
        <f ca="1">_xll.BDH(R$9,"PX_LAST",Q174,Q174)%</f>
        <v>2.1600000000000001E-2</v>
      </c>
      <c r="S174" s="25">
        <v>162</v>
      </c>
      <c r="T174" s="6">
        <f ca="1">_xll.meDateFromTenor(T173,"-1D","PRECEDING","SYB:LNB")</f>
        <v>43258</v>
      </c>
      <c r="U174" s="15">
        <f ca="1">_xll.BDH(U$9,"PX_LAST",T174,T174)%</f>
        <v>-3.2169999999999996E-4</v>
      </c>
      <c r="V174" s="25">
        <v>162</v>
      </c>
      <c r="W174" s="6">
        <f ca="1">_xll.meDateFromTenor(W173,"-1D","PRECEDING","SYB:LNB")</f>
        <v>43258</v>
      </c>
      <c r="X174" s="15">
        <f ca="1">_xll.BDH(X$9,"PX_LAST",W174,W174)%</f>
        <v>2.2679999999999998E-4</v>
      </c>
    </row>
    <row r="175" spans="1:24">
      <c r="A175">
        <v>163</v>
      </c>
      <c r="B175" s="6">
        <f ca="1">_xll.meDateFromTenor(B174,"-1D","PRECEDING","TGT")</f>
        <v>43264</v>
      </c>
      <c r="C175" s="15">
        <f ca="1">_xll.BDH(C$9,"PX_LAST",B175,B175)%</f>
        <v>-3.2100000000000002E-3</v>
      </c>
      <c r="D175" s="25">
        <v>163</v>
      </c>
      <c r="E175" s="6">
        <f ca="1">_xll.meDateFromTenor(E174,"-1D","PRECEDING","TGT")</f>
        <v>43264</v>
      </c>
      <c r="F175" s="15">
        <f ca="1">_xll.BDH(F$9,"PX_LAST",E175,E175)%</f>
        <v>-2.6800000000000001E-3</v>
      </c>
      <c r="G175" s="25">
        <v>163</v>
      </c>
      <c r="H175" s="6">
        <f ca="1">_xll.meDateFromTenor(H174,"-1D","PRECEDING","NYB:LNB")</f>
        <v>43255</v>
      </c>
      <c r="I175" s="15">
        <f ca="1">_xll.BDH(I$9,"PX_LAST",H175,H175)%</f>
        <v>2.3138100000000002E-2</v>
      </c>
      <c r="J175" s="25">
        <v>163</v>
      </c>
      <c r="K175" s="6">
        <f ca="1">_xll.meDateFromTenor(K174,"-1D","PRECEDING","NYB:LNB")</f>
        <v>43255</v>
      </c>
      <c r="L175" s="15">
        <f ca="1">_xll.BDH(L$9,"PX_LAST",K175,K175)%</f>
        <v>2.4840000000000001E-2</v>
      </c>
      <c r="M175" s="25">
        <v>163</v>
      </c>
      <c r="N175" s="6">
        <f ca="1">_xll.meDateFromTenor(N174,"-1D","PRECEDING","SYB:LNB")</f>
        <v>43257</v>
      </c>
      <c r="O175" s="15">
        <f ca="1">_xll.BDH(O$9,"PX_LAST",N175,N175)%</f>
        <v>2.0303000000000002E-2</v>
      </c>
      <c r="P175" s="25">
        <v>163</v>
      </c>
      <c r="Q175" s="6">
        <f ca="1">_xll.meDateFromTenor(Q174,"-1D","PRECEDING","SYB:LNB")</f>
        <v>43257</v>
      </c>
      <c r="R175" s="15">
        <f ca="1">_xll.BDH(R$9,"PX_LAST",Q175,Q175)%</f>
        <v>2.1499999999999998E-2</v>
      </c>
      <c r="S175" s="25">
        <v>163</v>
      </c>
      <c r="T175" s="6">
        <f ca="1">_xll.meDateFromTenor(T174,"-1D","PRECEDING","SYB:LNB")</f>
        <v>43257</v>
      </c>
      <c r="U175" s="15">
        <f ca="1">_xll.BDH(U$9,"PX_LAST",T175,T175)%</f>
        <v>-2.633E-4</v>
      </c>
      <c r="V175" s="25">
        <v>163</v>
      </c>
      <c r="W175" s="6">
        <f ca="1">_xll.meDateFromTenor(W174,"-1D","PRECEDING","SYB:LNB")</f>
        <v>43257</v>
      </c>
      <c r="X175" s="15">
        <f ca="1">_xll.BDH(X$9,"PX_LAST",W175,W175)%</f>
        <v>2.2679999999999998E-4</v>
      </c>
    </row>
    <row r="176" spans="1:24">
      <c r="A176">
        <v>164</v>
      </c>
      <c r="B176" s="6">
        <f ca="1">_xll.meDateFromTenor(B175,"-1D","PRECEDING","TGT")</f>
        <v>43263</v>
      </c>
      <c r="C176" s="15">
        <f ca="1">_xll.BDH(C$9,"PX_LAST",B176,B176)%</f>
        <v>-3.2100000000000002E-3</v>
      </c>
      <c r="D176" s="25">
        <v>164</v>
      </c>
      <c r="E176" s="6">
        <f ca="1">_xll.meDateFromTenor(E175,"-1D","PRECEDING","TGT")</f>
        <v>43263</v>
      </c>
      <c r="F176" s="15">
        <f ca="1">_xll.BDH(F$9,"PX_LAST",E176,E176)%</f>
        <v>-2.6700000000000001E-3</v>
      </c>
      <c r="G176" s="25">
        <v>164</v>
      </c>
      <c r="H176" s="6">
        <f ca="1">_xll.meDateFromTenor(H175,"-1D","PRECEDING","NYB:LNB")</f>
        <v>43252</v>
      </c>
      <c r="I176" s="15">
        <f ca="1">_xll.BDH(I$9,"PX_LAST",H176,H176)%</f>
        <v>2.31781E-2</v>
      </c>
      <c r="J176" s="25">
        <v>164</v>
      </c>
      <c r="K176" s="6">
        <f ca="1">_xll.meDateFromTenor(K175,"-1D","PRECEDING","NYB:LNB")</f>
        <v>43252</v>
      </c>
      <c r="L176" s="15">
        <f ca="1">_xll.BDH(L$9,"PX_LAST",K176,K176)%</f>
        <v>2.47438E-2</v>
      </c>
      <c r="M176" s="25">
        <v>164</v>
      </c>
      <c r="N176" s="6">
        <f ca="1">_xll.meDateFromTenor(N175,"-1D","PRECEDING","SYB:LNB")</f>
        <v>43256</v>
      </c>
      <c r="O176" s="15">
        <f ca="1">_xll.BDH(O$9,"PX_LAST",N176,N176)%</f>
        <v>2.0112999999999999E-2</v>
      </c>
      <c r="P176" s="25">
        <v>164</v>
      </c>
      <c r="Q176" s="6">
        <f ca="1">_xll.meDateFromTenor(Q175,"-1D","PRECEDING","SYB:LNB")</f>
        <v>43256</v>
      </c>
      <c r="R176" s="15">
        <f ca="1">_xll.BDH(R$9,"PX_LAST",Q176,Q176)%</f>
        <v>2.1499999999999998E-2</v>
      </c>
      <c r="S176" s="25">
        <v>164</v>
      </c>
      <c r="T176" s="6">
        <f ca="1">_xll.meDateFromTenor(T175,"-1D","PRECEDING","SYB:LNB")</f>
        <v>43256</v>
      </c>
      <c r="U176" s="15">
        <f ca="1">_xll.BDH(U$9,"PX_LAST",T176,T176)%</f>
        <v>-1.883E-4</v>
      </c>
      <c r="V176" s="25">
        <v>164</v>
      </c>
      <c r="W176" s="6">
        <f ca="1">_xll.meDateFromTenor(W175,"-1D","PRECEDING","SYB:LNB")</f>
        <v>43256</v>
      </c>
      <c r="X176" s="15">
        <f ca="1">_xll.BDH(X$9,"PX_LAST",W176,W176)%</f>
        <v>2.6849999999999997E-4</v>
      </c>
    </row>
    <row r="177" spans="1:24">
      <c r="A177">
        <v>165</v>
      </c>
      <c r="B177" s="6">
        <f ca="1">_xll.meDateFromTenor(B176,"-1D","PRECEDING","TGT")</f>
        <v>43262</v>
      </c>
      <c r="C177" s="15">
        <f ca="1">_xll.BDH(C$9,"PX_LAST",B177,B177)%</f>
        <v>-3.2100000000000002E-3</v>
      </c>
      <c r="D177" s="25">
        <v>165</v>
      </c>
      <c r="E177" s="6">
        <f ca="1">_xll.meDateFromTenor(E176,"-1D","PRECEDING","TGT")</f>
        <v>43262</v>
      </c>
      <c r="F177" s="15">
        <f ca="1">_xll.BDH(F$9,"PX_LAST",E177,E177)%</f>
        <v>-2.6700000000000001E-3</v>
      </c>
      <c r="G177" s="25">
        <v>165</v>
      </c>
      <c r="H177" s="6">
        <f ca="1">_xll.meDateFromTenor(H176,"-1D","PRECEDING","NYB:LNB")</f>
        <v>43251</v>
      </c>
      <c r="I177" s="15">
        <f ca="1">_xll.BDH(I$9,"PX_LAST",H177,H177)%</f>
        <v>2.32125E-2</v>
      </c>
      <c r="J177" s="25">
        <v>165</v>
      </c>
      <c r="K177" s="6">
        <f ca="1">_xll.meDateFromTenor(K176,"-1D","PRECEDING","NYB:LNB")</f>
        <v>43251</v>
      </c>
      <c r="L177" s="15">
        <f ca="1">_xll.BDH(L$9,"PX_LAST",K177,K177)%</f>
        <v>2.4737499999999999E-2</v>
      </c>
      <c r="M177" s="25">
        <v>165</v>
      </c>
      <c r="N177" s="6">
        <f ca="1">_xll.meDateFromTenor(N176,"-1D","PRECEDING","SYB:LNB")</f>
        <v>43255</v>
      </c>
      <c r="O177" s="15">
        <f ca="1">_xll.BDH(O$9,"PX_LAST",N177,N177)%</f>
        <v>0.02</v>
      </c>
      <c r="P177" s="25">
        <v>165</v>
      </c>
      <c r="Q177" s="6">
        <f ca="1">_xll.meDateFromTenor(Q176,"-1D","PRECEDING","SYB:LNB")</f>
        <v>43255</v>
      </c>
      <c r="R177" s="15">
        <f ca="1">_xll.BDH(R$9,"PX_LAST",Q177,Q177)%</f>
        <v>2.1099999999999997E-2</v>
      </c>
      <c r="S177" s="25">
        <v>165</v>
      </c>
      <c r="T177" s="6">
        <f ca="1">_xll.meDateFromTenor(T176,"-1D","PRECEDING","SYB:LNB")</f>
        <v>43255</v>
      </c>
      <c r="U177" s="15">
        <f ca="1">_xll.BDH(U$9,"PX_LAST",T177,T177)%</f>
        <v>-2.2669999999999998E-4</v>
      </c>
      <c r="V177" s="25">
        <v>165</v>
      </c>
      <c r="W177" s="6">
        <f ca="1">_xll.meDateFromTenor(W176,"-1D","PRECEDING","SYB:LNB")</f>
        <v>43255</v>
      </c>
      <c r="X177" s="15">
        <f ca="1">_xll.BDH(X$9,"PX_LAST",W177,W177)%</f>
        <v>2.4350000000000001E-4</v>
      </c>
    </row>
    <row r="178" spans="1:24">
      <c r="A178">
        <v>166</v>
      </c>
      <c r="B178" s="6">
        <f ca="1">_xll.meDateFromTenor(B177,"-1D","PRECEDING","TGT")</f>
        <v>43259</v>
      </c>
      <c r="C178" s="15">
        <f ca="1">_xll.BDH(C$9,"PX_LAST",B178,B178)%</f>
        <v>-3.2100000000000002E-3</v>
      </c>
      <c r="D178" s="25">
        <v>166</v>
      </c>
      <c r="E178" s="6">
        <f ca="1">_xll.meDateFromTenor(E177,"-1D","PRECEDING","TGT")</f>
        <v>43259</v>
      </c>
      <c r="F178" s="15">
        <f ca="1">_xll.BDH(F$9,"PX_LAST",E178,E178)%</f>
        <v>-2.6700000000000001E-3</v>
      </c>
      <c r="G178" s="25">
        <v>166</v>
      </c>
      <c r="H178" s="6">
        <f ca="1">_xll.meDateFromTenor(H177,"-1D","PRECEDING","NYB:LNB")</f>
        <v>43250</v>
      </c>
      <c r="I178" s="15">
        <f ca="1">_xll.BDH(I$9,"PX_LAST",H178,H178)%</f>
        <v>2.3003100000000002E-2</v>
      </c>
      <c r="J178" s="25">
        <v>166</v>
      </c>
      <c r="K178" s="6">
        <f ca="1">_xll.meDateFromTenor(K177,"-1D","PRECEDING","NYB:LNB")</f>
        <v>43250</v>
      </c>
      <c r="L178" s="15">
        <f ca="1">_xll.BDH(L$9,"PX_LAST",K178,K178)%</f>
        <v>2.4668800000000001E-2</v>
      </c>
      <c r="M178" s="25">
        <v>166</v>
      </c>
      <c r="N178" s="6">
        <f ca="1">_xll.meDateFromTenor(N177,"-1D","PRECEDING","SYB:LNB")</f>
        <v>43252</v>
      </c>
      <c r="O178" s="15">
        <f ca="1">_xll.BDH(O$9,"PX_LAST",N178,N178)%</f>
        <v>1.9900000000000001E-2</v>
      </c>
      <c r="P178" s="25">
        <v>166</v>
      </c>
      <c r="Q178" s="6">
        <f ca="1">_xll.meDateFromTenor(Q177,"-1D","PRECEDING","SYB:LNB")</f>
        <v>43252</v>
      </c>
      <c r="R178" s="15">
        <f ca="1">_xll.BDH(R$9,"PX_LAST",Q178,Q178)%</f>
        <v>2.1000000000000001E-2</v>
      </c>
      <c r="S178" s="25">
        <v>166</v>
      </c>
      <c r="T178" s="6">
        <f ca="1">_xll.meDateFromTenor(T177,"-1D","PRECEDING","SYB:LNB")</f>
        <v>43252</v>
      </c>
      <c r="U178" s="15">
        <f ca="1">_xll.BDH(U$9,"PX_LAST",T178,T178)%</f>
        <v>-2.5670000000000001E-4</v>
      </c>
      <c r="V178" s="25">
        <v>166</v>
      </c>
      <c r="W178" s="6">
        <f ca="1">_xll.meDateFromTenor(W177,"-1D","PRECEDING","SYB:LNB")</f>
        <v>43252</v>
      </c>
      <c r="X178" s="15">
        <f ca="1">_xll.BDH(X$9,"PX_LAST",W178,W178)%</f>
        <v>2.2679999999999998E-4</v>
      </c>
    </row>
    <row r="179" spans="1:24">
      <c r="A179">
        <v>167</v>
      </c>
      <c r="B179" s="6">
        <f ca="1">_xll.meDateFromTenor(B178,"-1D","PRECEDING","TGT")</f>
        <v>43258</v>
      </c>
      <c r="C179" s="15">
        <f ca="1">_xll.BDH(C$9,"PX_LAST",B179,B179)%</f>
        <v>-3.2100000000000002E-3</v>
      </c>
      <c r="D179" s="25">
        <v>167</v>
      </c>
      <c r="E179" s="6">
        <f ca="1">_xll.meDateFromTenor(E178,"-1D","PRECEDING","TGT")</f>
        <v>43258</v>
      </c>
      <c r="F179" s="15">
        <f ca="1">_xll.BDH(F$9,"PX_LAST",E179,E179)%</f>
        <v>-2.6900000000000001E-3</v>
      </c>
      <c r="G179" s="25">
        <v>167</v>
      </c>
      <c r="H179" s="6">
        <f ca="1">_xll.meDateFromTenor(H178,"-1D","PRECEDING","NYB:LNB")</f>
        <v>43249</v>
      </c>
      <c r="I179" s="15">
        <f ca="1">_xll.BDH(I$9,"PX_LAST",H179,H179)%</f>
        <v>2.3071899999999999E-2</v>
      </c>
      <c r="J179" s="25">
        <v>167</v>
      </c>
      <c r="K179" s="6">
        <f ca="1">_xll.meDateFromTenor(K178,"-1D","PRECEDING","NYB:LNB")</f>
        <v>43249</v>
      </c>
      <c r="L179" s="15">
        <f ca="1">_xll.BDH(L$9,"PX_LAST",K179,K179)%</f>
        <v>2.4699999999999996E-2</v>
      </c>
      <c r="M179" s="25">
        <v>167</v>
      </c>
      <c r="N179" s="6">
        <f ca="1">_xll.meDateFromTenor(N178,"-1D","PRECEDING","SYB:LNB")</f>
        <v>43251</v>
      </c>
      <c r="O179" s="15">
        <f ca="1">_xll.BDH(O$9,"PX_LAST",N179,N179)%</f>
        <v>1.9799999999999998E-2</v>
      </c>
      <c r="P179" s="25">
        <v>167</v>
      </c>
      <c r="Q179" s="6">
        <f ca="1">_xll.meDateFromTenor(Q178,"-1D","PRECEDING","SYB:LNB")</f>
        <v>43251</v>
      </c>
      <c r="R179" s="15">
        <f ca="1">_xll.BDH(R$9,"PX_LAST",Q179,Q179)%</f>
        <v>2.0899999999999998E-2</v>
      </c>
      <c r="S179" s="25">
        <v>167</v>
      </c>
      <c r="T179" s="6">
        <f ca="1">_xll.meDateFromTenor(T178,"-1D","PRECEDING","SYB:LNB")</f>
        <v>43251</v>
      </c>
      <c r="U179" s="15">
        <f ca="1">_xll.BDH(U$9,"PX_LAST",T179,T179)%</f>
        <v>-1.817E-4</v>
      </c>
      <c r="V179" s="25">
        <v>167</v>
      </c>
      <c r="W179" s="6">
        <f ca="1">_xll.meDateFromTenor(W178,"-1D","PRECEDING","SYB:LNB")</f>
        <v>43251</v>
      </c>
      <c r="X179" s="15">
        <f ca="1">_xll.BDH(X$9,"PX_LAST",W179,W179)%</f>
        <v>2.2919999999999999E-4</v>
      </c>
    </row>
    <row r="180" spans="1:24">
      <c r="A180">
        <v>168</v>
      </c>
      <c r="B180" s="6">
        <f ca="1">_xll.meDateFromTenor(B179,"-1D","PRECEDING","TGT")</f>
        <v>43257</v>
      </c>
      <c r="C180" s="15">
        <f ca="1">_xll.BDH(C$9,"PX_LAST",B180,B180)%</f>
        <v>-3.2100000000000002E-3</v>
      </c>
      <c r="D180" s="25">
        <v>168</v>
      </c>
      <c r="E180" s="6">
        <f ca="1">_xll.meDateFromTenor(E179,"-1D","PRECEDING","TGT")</f>
        <v>43257</v>
      </c>
      <c r="F180" s="15">
        <f ca="1">_xll.BDH(F$9,"PX_LAST",E180,E180)%</f>
        <v>-2.6900000000000001E-3</v>
      </c>
      <c r="G180" s="25">
        <v>168</v>
      </c>
      <c r="H180" s="6">
        <f ca="1">_xll.meDateFromTenor(H179,"-1D","PRECEDING","NYB:LNB")</f>
        <v>43245</v>
      </c>
      <c r="I180" s="15">
        <f ca="1">_xll.BDH(I$9,"PX_LAST",H180,H180)%</f>
        <v>2.3181300000000002E-2</v>
      </c>
      <c r="J180" s="25">
        <v>168</v>
      </c>
      <c r="K180" s="6">
        <f ca="1">_xll.meDateFromTenor(K179,"-1D","PRECEDING","NYB:LNB")</f>
        <v>43245</v>
      </c>
      <c r="L180" s="15">
        <f ca="1">_xll.BDH(L$9,"PX_LAST",K180,K180)%</f>
        <v>2.4818799999999999E-2</v>
      </c>
      <c r="M180" s="25">
        <v>168</v>
      </c>
      <c r="N180" s="6">
        <f ca="1">_xll.meDateFromTenor(N179,"-1D","PRECEDING","SYB:LNB")</f>
        <v>43250</v>
      </c>
      <c r="O180" s="15">
        <f ca="1">_xll.BDH(O$9,"PX_LAST",N180,N180)%</f>
        <v>1.9761999999999998E-2</v>
      </c>
      <c r="P180" s="25">
        <v>168</v>
      </c>
      <c r="Q180" s="6">
        <f ca="1">_xll.meDateFromTenor(Q179,"-1D","PRECEDING","SYB:LNB")</f>
        <v>43250</v>
      </c>
      <c r="R180" s="15">
        <f ca="1">_xll.BDH(R$9,"PX_LAST",Q180,Q180)%</f>
        <v>2.0799999999999999E-2</v>
      </c>
      <c r="S180" s="25">
        <v>168</v>
      </c>
      <c r="T180" s="6">
        <f ca="1">_xll.meDateFromTenor(T179,"-1D","PRECEDING","SYB:LNB")</f>
        <v>43250</v>
      </c>
      <c r="U180" s="15">
        <f ca="1">_xll.BDH(U$9,"PX_LAST",T180,T180)%</f>
        <v>-1.4000000000000001E-4</v>
      </c>
      <c r="V180" s="25">
        <v>168</v>
      </c>
      <c r="W180" s="6">
        <f ca="1">_xll.meDateFromTenor(W179,"-1D","PRECEDING","SYB:LNB")</f>
        <v>43250</v>
      </c>
      <c r="X180" s="15">
        <f ca="1">_xll.BDH(X$9,"PX_LAST",W180,W180)%</f>
        <v>2.5499999999999996E-4</v>
      </c>
    </row>
    <row r="181" spans="1:24">
      <c r="A181">
        <v>169</v>
      </c>
      <c r="B181" s="6">
        <f ca="1">_xll.meDateFromTenor(B180,"-1D","PRECEDING","TGT")</f>
        <v>43256</v>
      </c>
      <c r="C181" s="15">
        <f ca="1">_xll.BDH(C$9,"PX_LAST",B181,B181)%</f>
        <v>-3.2200000000000002E-3</v>
      </c>
      <c r="D181" s="25">
        <v>169</v>
      </c>
      <c r="E181" s="6">
        <f ca="1">_xll.meDateFromTenor(E180,"-1D","PRECEDING","TGT")</f>
        <v>43256</v>
      </c>
      <c r="F181" s="15">
        <f ca="1">_xll.BDH(F$9,"PX_LAST",E181,E181)%</f>
        <v>-2.6900000000000001E-3</v>
      </c>
      <c r="G181" s="25">
        <v>169</v>
      </c>
      <c r="H181" s="6">
        <f ca="1">_xll.meDateFromTenor(H180,"-1D","PRECEDING","NYB:LNB")</f>
        <v>43244</v>
      </c>
      <c r="I181" s="15">
        <f ca="1">_xll.BDH(I$9,"PX_LAST",H181,H181)%</f>
        <v>2.3193799999999997E-2</v>
      </c>
      <c r="J181" s="25">
        <v>169</v>
      </c>
      <c r="K181" s="6">
        <f ca="1">_xll.meDateFromTenor(K180,"-1D","PRECEDING","NYB:LNB")</f>
        <v>43244</v>
      </c>
      <c r="L181" s="15">
        <f ca="1">_xll.BDH(L$9,"PX_LAST",K181,K181)%</f>
        <v>2.4849999999999997E-2</v>
      </c>
      <c r="M181" s="25">
        <v>169</v>
      </c>
      <c r="N181" s="6">
        <f ca="1">_xll.meDateFromTenor(N180,"-1D","PRECEDING","SYB:LNB")</f>
        <v>43249</v>
      </c>
      <c r="O181" s="15">
        <f ca="1">_xll.BDH(O$9,"PX_LAST",N181,N181)%</f>
        <v>1.9512999999999999E-2</v>
      </c>
      <c r="P181" s="25">
        <v>169</v>
      </c>
      <c r="Q181" s="6">
        <f ca="1">_xll.meDateFromTenor(Q180,"-1D","PRECEDING","SYB:LNB")</f>
        <v>43249</v>
      </c>
      <c r="R181" s="15">
        <f ca="1">_xll.BDH(R$9,"PX_LAST",Q181,Q181)%</f>
        <v>2.06E-2</v>
      </c>
      <c r="S181" s="25">
        <v>169</v>
      </c>
      <c r="T181" s="6">
        <f ca="1">_xll.meDateFromTenor(T180,"-1D","PRECEDING","SYB:LNB")</f>
        <v>43249</v>
      </c>
      <c r="U181" s="15">
        <f ca="1">_xll.BDH(U$9,"PX_LAST",T181,T181)%</f>
        <v>-1.483E-4</v>
      </c>
      <c r="V181" s="25">
        <v>169</v>
      </c>
      <c r="W181" s="6">
        <f ca="1">_xll.meDateFromTenor(W180,"-1D","PRECEDING","SYB:LNB")</f>
        <v>43249</v>
      </c>
      <c r="X181" s="15">
        <f ca="1">_xll.BDH(X$9,"PX_LAST",W181,W181)%</f>
        <v>2.542E-4</v>
      </c>
    </row>
    <row r="182" spans="1:24">
      <c r="A182">
        <v>170</v>
      </c>
      <c r="B182" s="24">
        <f ca="1">_xll.meDateFromTenor(B181,"-1D","PRECEDING","TGT")</f>
        <v>43255</v>
      </c>
      <c r="C182" s="23">
        <f ca="1">_xll.BDH(C$9,"PX_LAST",B182,B182)%</f>
        <v>-3.2100000000000002E-3</v>
      </c>
      <c r="D182" s="25">
        <v>170</v>
      </c>
      <c r="E182" s="24">
        <f ca="1">_xll.meDateFromTenor(E181,"-1D","PRECEDING","TGT")</f>
        <v>43255</v>
      </c>
      <c r="F182" s="23">
        <f ca="1">_xll.BDH(F$9,"PX_LAST",E182,E182)%</f>
        <v>-2.6900000000000001E-3</v>
      </c>
      <c r="G182" s="25">
        <v>170</v>
      </c>
      <c r="H182" s="24">
        <f ca="1">_xll.meDateFromTenor(H181,"-1D","PRECEDING","NYB:LNB")</f>
        <v>43243</v>
      </c>
      <c r="I182" s="23">
        <f ca="1">_xll.BDH(I$9,"PX_LAST",H182,H182)%</f>
        <v>2.3300000000000001E-2</v>
      </c>
      <c r="J182" s="25">
        <v>170</v>
      </c>
      <c r="K182" s="24">
        <f ca="1">_xll.meDateFromTenor(K181,"-1D","PRECEDING","NYB:LNB")</f>
        <v>43243</v>
      </c>
      <c r="L182" s="23">
        <f ca="1">_xll.BDH(L$9,"PX_LAST",K182,K182)%</f>
        <v>2.4975000000000001E-2</v>
      </c>
      <c r="M182" s="25">
        <v>170</v>
      </c>
      <c r="N182" s="24">
        <f ca="1">_xll.meDateFromTenor(N181,"-1D","PRECEDING","SYB:LNB")</f>
        <v>43245</v>
      </c>
      <c r="O182" s="23">
        <f ca="1">_xll.BDH(O$9,"PX_LAST",N182,N182)%</f>
        <v>1.9403999999999998E-2</v>
      </c>
      <c r="P182" s="25">
        <v>170</v>
      </c>
      <c r="Q182" s="24">
        <f ca="1">_xll.meDateFromTenor(Q181,"-1D","PRECEDING","SYB:LNB")</f>
        <v>43245</v>
      </c>
      <c r="R182" s="23">
        <f ca="1">_xll.BDH(R$9,"PX_LAST",Q182,Q182)%</f>
        <v>2.06E-2</v>
      </c>
      <c r="S182" s="25">
        <v>170</v>
      </c>
      <c r="T182" s="24">
        <f ca="1">_xll.meDateFromTenor(T181,"-1D","PRECEDING","SYB:LNB")</f>
        <v>43245</v>
      </c>
      <c r="U182" s="23">
        <f ca="1">_xll.BDH(U$9,"PX_LAST",T182,T182)%</f>
        <v>-2.7829999999999999E-4</v>
      </c>
      <c r="V182" s="25">
        <v>170</v>
      </c>
      <c r="W182" s="24">
        <f ca="1">_xll.meDateFromTenor(W181,"-1D","PRECEDING","SYB:LNB")</f>
        <v>43245</v>
      </c>
      <c r="X182" s="23">
        <f ca="1">_xll.BDH(X$9,"PX_LAST",W182,W182)%</f>
        <v>2.2919999999999999E-4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6" tint="0.79998168889431442"/>
  </sheetPr>
  <dimension ref="B2:X51"/>
  <sheetViews>
    <sheetView showGridLines="0" workbookViewId="0"/>
  </sheetViews>
  <sheetFormatPr defaultRowHeight="15"/>
  <cols>
    <col min="1" max="1" width="4.7109375" style="137" customWidth="1"/>
    <col min="2" max="2" width="19.42578125" style="152" customWidth="1"/>
    <col min="3" max="3" width="35.7109375" style="137" bestFit="1" customWidth="1"/>
    <col min="4" max="4" width="11.28515625" style="137" customWidth="1"/>
    <col min="5" max="6" width="4.7109375" style="137" customWidth="1"/>
    <col min="7" max="7" width="21.7109375" style="137" bestFit="1" customWidth="1"/>
    <col min="8" max="8" width="33" style="137" bestFit="1" customWidth="1"/>
    <col min="9" max="9" width="34.7109375" style="137" bestFit="1" customWidth="1"/>
    <col min="10" max="10" width="10.7109375" style="137" customWidth="1"/>
    <col min="11" max="11" width="4.7109375" style="137" customWidth="1"/>
    <col min="12" max="12" width="33" style="137" bestFit="1" customWidth="1"/>
    <col min="13" max="14" width="21.7109375" style="137" customWidth="1"/>
    <col min="15" max="15" width="4.7109375" style="137" customWidth="1"/>
    <col min="16" max="16" width="33" style="137" bestFit="1" customWidth="1"/>
    <col min="17" max="18" width="21.7109375" style="137" customWidth="1"/>
    <col min="19" max="19" width="4.7109375" style="137" customWidth="1"/>
    <col min="20" max="20" width="21.7109375" style="137" bestFit="1" customWidth="1"/>
    <col min="21" max="21" width="31" style="137" bestFit="1" customWidth="1"/>
    <col min="22" max="22" width="34.140625" style="137" bestFit="1" customWidth="1"/>
    <col min="23" max="23" width="10.7109375" style="137" customWidth="1"/>
    <col min="24" max="16384" width="9.140625" style="137"/>
  </cols>
  <sheetData>
    <row r="2" spans="2:24">
      <c r="B2" s="160" t="s">
        <v>214</v>
      </c>
      <c r="C2" s="220" t="str">
        <f ca="1">IF(J7+W7=0,"DATA OK","#LOADING DATA")</f>
        <v>#LOADING DATA</v>
      </c>
      <c r="F2" s="160" t="s">
        <v>246</v>
      </c>
    </row>
    <row r="4" spans="2:24">
      <c r="C4" s="138" t="s">
        <v>216</v>
      </c>
      <c r="D4" s="138"/>
      <c r="F4" s="167"/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9"/>
    </row>
    <row r="5" spans="2:24">
      <c r="B5" s="161" t="s">
        <v>144</v>
      </c>
      <c r="C5" s="217" t="s">
        <v>145</v>
      </c>
      <c r="D5" s="138"/>
      <c r="F5" s="170"/>
      <c r="G5" s="172"/>
      <c r="H5" s="196" t="s">
        <v>217</v>
      </c>
      <c r="I5" s="252" t="str">
        <f>LEFT($C$10,FIND(" ",$C$10)-1)</f>
        <v>USN4578BQA53</v>
      </c>
      <c r="J5" s="197"/>
      <c r="K5" s="172" t="s">
        <v>0</v>
      </c>
      <c r="L5" s="196" t="s">
        <v>247</v>
      </c>
      <c r="M5" s="252" t="str">
        <f>Proxy.ISIN</f>
        <v>USN4578BQA53</v>
      </c>
      <c r="N5" s="253"/>
      <c r="O5" s="172"/>
      <c r="P5" s="196" t="s">
        <v>219</v>
      </c>
      <c r="Q5" s="252" t="str">
        <f>Bond.ISIN</f>
        <v>XS1339542364</v>
      </c>
      <c r="R5" s="253"/>
      <c r="S5" s="172"/>
      <c r="T5" s="172"/>
      <c r="U5" s="196" t="s">
        <v>220</v>
      </c>
      <c r="V5" s="252" t="str">
        <f>LEFT($C$6,FIND(" ",$C$6)-1)</f>
        <v>XS1339542364</v>
      </c>
      <c r="W5" s="197"/>
      <c r="X5" s="173"/>
    </row>
    <row r="6" spans="2:24">
      <c r="B6" s="161" t="s">
        <v>78</v>
      </c>
      <c r="C6" s="233" t="s">
        <v>131</v>
      </c>
      <c r="D6" s="138"/>
      <c r="F6" s="170"/>
      <c r="G6" s="172"/>
      <c r="H6" s="166" t="s">
        <v>221</v>
      </c>
      <c r="I6" s="198" t="str">
        <f>"PROXY_BOND_"&amp;I$5</f>
        <v>PROXY_BOND_USN4578BQA53</v>
      </c>
      <c r="J6" s="213" t="s">
        <v>222</v>
      </c>
      <c r="K6" s="172" t="s">
        <v>0</v>
      </c>
      <c r="L6" s="166" t="s">
        <v>221</v>
      </c>
      <c r="M6" s="289" t="str">
        <f>"PROXY_ASW_"&amp;M5</f>
        <v>PROXY_ASW_USN4578BQA53</v>
      </c>
      <c r="N6" s="289"/>
      <c r="O6" s="172"/>
      <c r="P6" s="166" t="s">
        <v>221</v>
      </c>
      <c r="Q6" s="289" t="str">
        <f>"BOND_ASW_"&amp;V5</f>
        <v>BOND_ASW_XS1339542364</v>
      </c>
      <c r="R6" s="289"/>
      <c r="S6" s="172"/>
      <c r="T6" s="172"/>
      <c r="U6" s="166" t="s">
        <v>221</v>
      </c>
      <c r="V6" s="198" t="str">
        <f>"BOND_"&amp;Bond.ISIN</f>
        <v>BOND_XS1339542364</v>
      </c>
      <c r="W6" s="213" t="s">
        <v>222</v>
      </c>
      <c r="X6" s="173"/>
    </row>
    <row r="7" spans="2:24">
      <c r="B7" s="152" t="s">
        <v>154</v>
      </c>
      <c r="C7" s="218" t="s">
        <v>101</v>
      </c>
      <c r="D7" s="138"/>
      <c r="F7" s="170"/>
      <c r="G7" s="172"/>
      <c r="H7" s="166" t="s">
        <v>223</v>
      </c>
      <c r="I7" s="231" t="str">
        <f ca="1">IF($J$7=0,_xll.meLWOBondCreateFromLVB(I6,H10:I50),"#LOADING")</f>
        <v>#LOADING</v>
      </c>
      <c r="J7" s="215">
        <f ca="1">SUM(J10:J50)</f>
        <v>11</v>
      </c>
      <c r="K7" s="172" t="s">
        <v>0</v>
      </c>
      <c r="L7" s="166" t="s">
        <v>224</v>
      </c>
      <c r="M7" s="231" t="str">
        <f ca="1">IF($J$7=0,_xll.meLWOSwapCreate(M6,L10:N50),"#LOADING")</f>
        <v>#LOADING</v>
      </c>
      <c r="N7" s="231"/>
      <c r="O7" s="172" t="s">
        <v>0</v>
      </c>
      <c r="P7" s="166" t="s">
        <v>225</v>
      </c>
      <c r="Q7" s="231" t="str">
        <f ca="1">IF($W$7=0,_xll.meLWOSwapCreate(Q6,P10:R50),"#LOADING")</f>
        <v>#LOADING</v>
      </c>
      <c r="R7" s="231"/>
      <c r="S7" s="172" t="s">
        <v>0</v>
      </c>
      <c r="T7" s="172"/>
      <c r="U7" s="166" t="s">
        <v>226</v>
      </c>
      <c r="V7" s="231" t="str">
        <f ca="1">IF($W$7=0,_xll.meLWOBondCreateFromLVB(V6,U10:V50),"#LOADING")</f>
        <v>#LOADING</v>
      </c>
      <c r="W7" s="215">
        <f ca="1">SUM(W10:W50)</f>
        <v>11</v>
      </c>
      <c r="X7" s="173" t="s">
        <v>0</v>
      </c>
    </row>
    <row r="8" spans="2:24">
      <c r="B8" s="152" t="s">
        <v>155</v>
      </c>
      <c r="C8" s="218" t="s">
        <v>35</v>
      </c>
      <c r="D8" s="138"/>
      <c r="F8" s="170"/>
      <c r="G8" s="172"/>
      <c r="H8" s="172"/>
      <c r="I8" s="172"/>
      <c r="J8" s="172"/>
      <c r="K8" s="172" t="s">
        <v>0</v>
      </c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3"/>
    </row>
    <row r="9" spans="2:24">
      <c r="B9" s="161" t="s">
        <v>146</v>
      </c>
      <c r="C9" s="246" t="s">
        <v>145</v>
      </c>
      <c r="D9" s="138"/>
      <c r="F9" s="170"/>
      <c r="G9" s="172"/>
      <c r="H9" s="171" t="s">
        <v>229</v>
      </c>
      <c r="I9" s="193"/>
      <c r="J9" s="213"/>
      <c r="K9" s="172"/>
      <c r="L9" s="171" t="s">
        <v>230</v>
      </c>
      <c r="M9" s="194" t="s">
        <v>3</v>
      </c>
      <c r="N9" s="194" t="s">
        <v>4</v>
      </c>
      <c r="O9" s="172"/>
      <c r="P9" s="171" t="s">
        <v>230</v>
      </c>
      <c r="Q9" s="194" t="s">
        <v>3</v>
      </c>
      <c r="R9" s="194" t="s">
        <v>4</v>
      </c>
      <c r="S9" s="172"/>
      <c r="T9" s="172"/>
      <c r="U9" s="171" t="s">
        <v>229</v>
      </c>
      <c r="V9" s="193"/>
      <c r="W9" s="213"/>
      <c r="X9" s="173"/>
    </row>
    <row r="10" spans="2:24">
      <c r="B10" s="161" t="s">
        <v>79</v>
      </c>
      <c r="C10" s="233" t="s">
        <v>132</v>
      </c>
      <c r="D10" s="138"/>
      <c r="F10" s="170"/>
      <c r="G10" s="202"/>
      <c r="H10" s="179" t="s">
        <v>5</v>
      </c>
      <c r="I10" s="156" t="str">
        <f>$C$9</f>
        <v>ING BANK NV</v>
      </c>
      <c r="J10" s="214"/>
      <c r="K10" s="195" t="s">
        <v>0</v>
      </c>
      <c r="L10" s="180" t="s">
        <v>6</v>
      </c>
      <c r="M10" s="181" t="s">
        <v>7</v>
      </c>
      <c r="N10" s="181" t="s">
        <v>8</v>
      </c>
      <c r="O10" s="172"/>
      <c r="P10" s="180" t="s">
        <v>6</v>
      </c>
      <c r="Q10" s="181" t="s">
        <v>7</v>
      </c>
      <c r="R10" s="181" t="s">
        <v>8</v>
      </c>
      <c r="S10" s="172"/>
      <c r="T10" s="182"/>
      <c r="U10" s="179" t="s">
        <v>5</v>
      </c>
      <c r="V10" s="156" t="str">
        <f>$C$5</f>
        <v>ING BANK NV</v>
      </c>
      <c r="W10" s="214"/>
      <c r="X10" s="173"/>
    </row>
    <row r="11" spans="2:24">
      <c r="B11" s="152" t="s">
        <v>148</v>
      </c>
      <c r="C11" s="218" t="s">
        <v>101</v>
      </c>
      <c r="D11" s="138"/>
      <c r="F11" s="170"/>
      <c r="G11" s="203" t="s">
        <v>89</v>
      </c>
      <c r="H11" s="183" t="s">
        <v>9</v>
      </c>
      <c r="I11" s="155" t="str">
        <f ca="1">IF(LEFT(_xll.BDP($C$10,$G11),1)="#","#LOADING",_xll.BDP($C$10,$G11))</f>
        <v>#LOADING</v>
      </c>
      <c r="J11" s="159">
        <f ca="1">IF(LEFT(I11,1)="#",1,0)</f>
        <v>1</v>
      </c>
      <c r="K11" s="199"/>
      <c r="L11" s="184" t="s">
        <v>10</v>
      </c>
      <c r="M11" s="144">
        <v>1000000</v>
      </c>
      <c r="N11" s="144">
        <v>1000000</v>
      </c>
      <c r="O11" s="172"/>
      <c r="P11" s="184" t="s">
        <v>10</v>
      </c>
      <c r="Q11" s="144">
        <v>1000000</v>
      </c>
      <c r="R11" s="144">
        <v>1000000</v>
      </c>
      <c r="S11" s="172"/>
      <c r="T11" s="185" t="s">
        <v>89</v>
      </c>
      <c r="U11" s="183" t="s">
        <v>9</v>
      </c>
      <c r="V11" s="155" t="str">
        <f ca="1">IF(LEFT(_xll.BDP($C$6,$T11),1)="#","#LOADING",_xll.BDP($C$6,$T11))</f>
        <v>#LOADING</v>
      </c>
      <c r="W11" s="159">
        <f ca="1">IF(LEFT(V11,1)="#",1,0)</f>
        <v>1</v>
      </c>
      <c r="X11" s="173"/>
    </row>
    <row r="12" spans="2:24">
      <c r="B12" s="161" t="s">
        <v>156</v>
      </c>
      <c r="C12" s="219" t="s">
        <v>35</v>
      </c>
      <c r="D12" s="138"/>
      <c r="F12" s="170"/>
      <c r="G12" s="203" t="s">
        <v>81</v>
      </c>
      <c r="H12" s="183" t="s">
        <v>11</v>
      </c>
      <c r="I12" s="164" t="str">
        <f>$C$11</f>
        <v>USD</v>
      </c>
      <c r="J12" s="159"/>
      <c r="K12" s="195" t="s">
        <v>0</v>
      </c>
      <c r="L12" s="184" t="s">
        <v>13</v>
      </c>
      <c r="M12" s="140" t="s">
        <v>14</v>
      </c>
      <c r="N12" s="140" t="s">
        <v>14</v>
      </c>
      <c r="O12" s="172"/>
      <c r="P12" s="184" t="s">
        <v>13</v>
      </c>
      <c r="Q12" s="140" t="s">
        <v>14</v>
      </c>
      <c r="R12" s="140" t="s">
        <v>14</v>
      </c>
      <c r="S12" s="172"/>
      <c r="T12" s="185" t="s">
        <v>81</v>
      </c>
      <c r="U12" s="183" t="s">
        <v>11</v>
      </c>
      <c r="V12" s="165" t="str">
        <f>$C$7</f>
        <v>USD</v>
      </c>
      <c r="W12" s="159"/>
      <c r="X12" s="173"/>
    </row>
    <row r="13" spans="2:24">
      <c r="D13" s="138"/>
      <c r="F13" s="170"/>
      <c r="G13" s="204"/>
      <c r="H13" s="183" t="s">
        <v>15</v>
      </c>
      <c r="I13" s="141" t="str">
        <f>$C$10</f>
        <v>USN4578BQA53 Corp</v>
      </c>
      <c r="J13" s="159"/>
      <c r="K13" s="195" t="s">
        <v>0</v>
      </c>
      <c r="L13" s="184" t="s">
        <v>16</v>
      </c>
      <c r="M13" s="140" t="s">
        <v>17</v>
      </c>
      <c r="N13" s="140" t="s">
        <v>18</v>
      </c>
      <c r="O13" s="172"/>
      <c r="P13" s="184" t="s">
        <v>16</v>
      </c>
      <c r="Q13" s="140" t="s">
        <v>17</v>
      </c>
      <c r="R13" s="140" t="s">
        <v>18</v>
      </c>
      <c r="S13" s="172"/>
      <c r="T13" s="186"/>
      <c r="U13" s="183" t="s">
        <v>15</v>
      </c>
      <c r="V13" s="141" t="str">
        <f>$C$6</f>
        <v>XS1339542364 Corp</v>
      </c>
      <c r="W13" s="159"/>
      <c r="X13" s="173"/>
    </row>
    <row r="14" spans="2:24">
      <c r="B14" s="160"/>
      <c r="D14" s="138"/>
      <c r="F14" s="170"/>
      <c r="G14" s="204"/>
      <c r="H14" s="183" t="s">
        <v>19</v>
      </c>
      <c r="I14" s="139" t="s">
        <v>20</v>
      </c>
      <c r="J14" s="159"/>
      <c r="K14" s="195" t="s">
        <v>0</v>
      </c>
      <c r="L14" s="184" t="s">
        <v>21</v>
      </c>
      <c r="M14" s="149"/>
      <c r="N14" s="142" t="str">
        <f>$I$12&amp;VLOOKUP($C$12,Static.FrequencyToCurveIndex,2,FALSE)</f>
        <v>USD3ML</v>
      </c>
      <c r="O14" s="172"/>
      <c r="P14" s="184" t="s">
        <v>21</v>
      </c>
      <c r="Q14" s="149"/>
      <c r="R14" s="142" t="str">
        <f>$I$12&amp;VLOOKUP($C$12,Static.FrequencyToCurveIndex,2,FALSE)</f>
        <v>USD3ML</v>
      </c>
      <c r="S14" s="172"/>
      <c r="T14" s="186"/>
      <c r="U14" s="183" t="s">
        <v>19</v>
      </c>
      <c r="V14" s="139" t="s">
        <v>20</v>
      </c>
      <c r="W14" s="159"/>
      <c r="X14" s="173"/>
    </row>
    <row r="15" spans="2:24">
      <c r="B15" s="160" t="s">
        <v>237</v>
      </c>
      <c r="F15" s="170"/>
      <c r="G15" s="203" t="s">
        <v>82</v>
      </c>
      <c r="H15" s="183" t="s">
        <v>22</v>
      </c>
      <c r="I15" s="155" t="str">
        <f ca="1">IF(LEFT(_xll.BDP($C$10,$G15),1)="#","#LOADING",IF(_xll.BDP($C$10,$G15)="CLEAN",TRUE,FALSE))</f>
        <v>#LOADING</v>
      </c>
      <c r="J15" s="159">
        <f t="shared" ref="J15:J34" ca="1" si="0">IF(LEFT(I15,1)="#",1,0)</f>
        <v>1</v>
      </c>
      <c r="K15" s="195" t="s">
        <v>0</v>
      </c>
      <c r="L15" s="184" t="s">
        <v>23</v>
      </c>
      <c r="M15" s="142" t="str">
        <f>VLOOKUP($I$12,Static.CurrencyToAssetSwap,3,FALSE)</f>
        <v>USDOIS</v>
      </c>
      <c r="N15" s="142" t="str">
        <f>VLOOKUP($I$12,Static.CurrencyToAssetSwap,3,FALSE)</f>
        <v>USDOIS</v>
      </c>
      <c r="O15" s="172"/>
      <c r="P15" s="184" t="s">
        <v>23</v>
      </c>
      <c r="Q15" s="142" t="str">
        <f>VLOOKUP($V$12,Static.CurrencyToAssetSwap,3,FALSE)</f>
        <v>USDOIS</v>
      </c>
      <c r="R15" s="142" t="str">
        <f>VLOOKUP($V$12,Static.CurrencyToAssetSwap,3,FALSE)</f>
        <v>USDOIS</v>
      </c>
      <c r="S15" s="172"/>
      <c r="T15" s="185" t="s">
        <v>82</v>
      </c>
      <c r="U15" s="183" t="s">
        <v>22</v>
      </c>
      <c r="V15" s="155" t="str">
        <f ca="1">IF(LEFT(_xll.BDP($C$6,$T15),1)="#","#LOADING",_xll.BDP($C$6,$T15)="CLEAN")</f>
        <v>#LOADING</v>
      </c>
      <c r="W15" s="159">
        <f t="shared" ref="W15:W34" ca="1" si="1">IF(LEFT(V15,1)="#",1,0)</f>
        <v>1</v>
      </c>
      <c r="X15" s="173"/>
    </row>
    <row r="16" spans="2:24">
      <c r="B16" s="152" t="s">
        <v>151</v>
      </c>
      <c r="C16" s="221" t="str">
        <f ca="1">Booking.Proxy.Bond</f>
        <v>#LOADING</v>
      </c>
      <c r="F16" s="170"/>
      <c r="G16" s="204"/>
      <c r="H16" s="183" t="s">
        <v>25</v>
      </c>
      <c r="I16" s="139" t="s">
        <v>26</v>
      </c>
      <c r="J16" s="159"/>
      <c r="K16" s="195" t="s">
        <v>0</v>
      </c>
      <c r="L16" s="184" t="s">
        <v>11</v>
      </c>
      <c r="M16" s="164" t="str">
        <f>$I$12</f>
        <v>USD</v>
      </c>
      <c r="N16" s="164" t="str">
        <f>$I$12</f>
        <v>USD</v>
      </c>
      <c r="O16" s="172"/>
      <c r="P16" s="184" t="s">
        <v>11</v>
      </c>
      <c r="Q16" s="165" t="str">
        <f>$V$12</f>
        <v>USD</v>
      </c>
      <c r="R16" s="165" t="str">
        <f>$V$12</f>
        <v>USD</v>
      </c>
      <c r="S16" s="172"/>
      <c r="T16" s="186"/>
      <c r="U16" s="183" t="s">
        <v>25</v>
      </c>
      <c r="V16" s="139" t="s">
        <v>26</v>
      </c>
      <c r="W16" s="159"/>
      <c r="X16" s="173"/>
    </row>
    <row r="17" spans="2:24">
      <c r="B17" s="152" t="s">
        <v>150</v>
      </c>
      <c r="C17" s="222" t="str">
        <f ca="1">Booking.Proxy.AssetSwap</f>
        <v>#LOADING</v>
      </c>
      <c r="F17" s="170"/>
      <c r="G17" s="204"/>
      <c r="H17" s="183" t="s">
        <v>16</v>
      </c>
      <c r="I17" s="140" t="s">
        <v>18</v>
      </c>
      <c r="J17" s="159"/>
      <c r="K17" s="195" t="s">
        <v>0</v>
      </c>
      <c r="L17" s="184" t="s">
        <v>27</v>
      </c>
      <c r="M17" s="187">
        <v>1</v>
      </c>
      <c r="N17" s="187">
        <v>1</v>
      </c>
      <c r="O17" s="172"/>
      <c r="P17" s="184" t="s">
        <v>27</v>
      </c>
      <c r="Q17" s="187">
        <v>1</v>
      </c>
      <c r="R17" s="187">
        <v>1</v>
      </c>
      <c r="S17" s="172"/>
      <c r="T17" s="186"/>
      <c r="U17" s="183" t="s">
        <v>16</v>
      </c>
      <c r="V17" s="140" t="s">
        <v>18</v>
      </c>
      <c r="W17" s="159"/>
      <c r="X17" s="173"/>
    </row>
    <row r="18" spans="2:24">
      <c r="B18" s="152" t="s">
        <v>165</v>
      </c>
      <c r="C18" s="222" t="str">
        <f ca="1">Booking.Bond.AssetSwap</f>
        <v>#LOADING</v>
      </c>
      <c r="F18" s="170"/>
      <c r="G18" s="204"/>
      <c r="H18" s="183" t="s">
        <v>13</v>
      </c>
      <c r="I18" s="143" t="s">
        <v>28</v>
      </c>
      <c r="J18" s="159"/>
      <c r="K18" s="195" t="s">
        <v>0</v>
      </c>
      <c r="L18" s="184" t="s">
        <v>29</v>
      </c>
      <c r="M18" s="188" t="str">
        <f ca="1">$I$25</f>
        <v>#LOADING</v>
      </c>
      <c r="N18" s="189"/>
      <c r="O18" s="172"/>
      <c r="P18" s="184" t="s">
        <v>29</v>
      </c>
      <c r="Q18" s="188" t="str">
        <f ca="1">$V$25</f>
        <v>#LOADING</v>
      </c>
      <c r="R18" s="189"/>
      <c r="S18" s="172"/>
      <c r="T18" s="186"/>
      <c r="U18" s="183" t="s">
        <v>13</v>
      </c>
      <c r="V18" s="143" t="s">
        <v>28</v>
      </c>
      <c r="W18" s="159"/>
      <c r="X18" s="173"/>
    </row>
    <row r="19" spans="2:24">
      <c r="B19" s="152" t="s">
        <v>152</v>
      </c>
      <c r="C19" s="223" t="str">
        <f ca="1">Booking.Bond</f>
        <v>#LOADING</v>
      </c>
      <c r="F19" s="170"/>
      <c r="G19" s="204"/>
      <c r="H19" s="183" t="s">
        <v>30</v>
      </c>
      <c r="I19" s="144">
        <v>1000000</v>
      </c>
      <c r="J19" s="159"/>
      <c r="K19" s="195" t="s">
        <v>0</v>
      </c>
      <c r="L19" s="184" t="s">
        <v>31</v>
      </c>
      <c r="M19" s="140"/>
      <c r="N19" s="140" t="s">
        <v>32</v>
      </c>
      <c r="O19" s="172"/>
      <c r="P19" s="184" t="s">
        <v>31</v>
      </c>
      <c r="Q19" s="140"/>
      <c r="R19" s="140" t="s">
        <v>32</v>
      </c>
      <c r="S19" s="172"/>
      <c r="T19" s="186"/>
      <c r="U19" s="183" t="s">
        <v>30</v>
      </c>
      <c r="V19" s="144">
        <v>1000000</v>
      </c>
      <c r="W19" s="159"/>
      <c r="X19" s="173"/>
    </row>
    <row r="20" spans="2:24">
      <c r="F20" s="170"/>
      <c r="G20" s="203" t="s">
        <v>83</v>
      </c>
      <c r="H20" s="183" t="s">
        <v>33</v>
      </c>
      <c r="I20" s="155" t="str">
        <f ca="1">IF(LEFT(_xll.BDP($C$10,$G20),1)="#","#LOADING",DATEVALUE(_xll.BDP($C$10,$G20)))</f>
        <v>#LOADING</v>
      </c>
      <c r="J20" s="159">
        <f t="shared" ca="1" si="0"/>
        <v>1</v>
      </c>
      <c r="K20" s="195" t="s">
        <v>0</v>
      </c>
      <c r="L20" s="184" t="s">
        <v>34</v>
      </c>
      <c r="M20" s="140"/>
      <c r="N20" s="140" t="s">
        <v>32</v>
      </c>
      <c r="O20" s="172"/>
      <c r="P20" s="184" t="s">
        <v>34</v>
      </c>
      <c r="Q20" s="140"/>
      <c r="R20" s="140" t="s">
        <v>32</v>
      </c>
      <c r="S20" s="172"/>
      <c r="T20" s="185" t="s">
        <v>83</v>
      </c>
      <c r="U20" s="183" t="s">
        <v>33</v>
      </c>
      <c r="V20" s="157" t="str">
        <f ca="1">IF(LEFT(_xll.BDP($C$6,$T20),1)="#","#LOADING",DATEVALUE(_xll.BDP($C$6,$T20)))</f>
        <v>#LOADING</v>
      </c>
      <c r="W20" s="159">
        <f t="shared" ca="1" si="1"/>
        <v>1</v>
      </c>
      <c r="X20" s="173"/>
    </row>
    <row r="21" spans="2:24">
      <c r="D21" s="138"/>
      <c r="F21" s="170"/>
      <c r="G21" s="203" t="s">
        <v>85</v>
      </c>
      <c r="H21" s="183" t="s">
        <v>36</v>
      </c>
      <c r="I21" s="155" t="str">
        <f ca="1">IF(LEFT(_xll.BDP($C$10,$G21),1)="#","#LOADING",DATEVALUE(_xll.BDP($C$10,$G21)))</f>
        <v>#LOADING</v>
      </c>
      <c r="J21" s="159">
        <f t="shared" ca="1" si="0"/>
        <v>1</v>
      </c>
      <c r="K21" s="195" t="s">
        <v>0</v>
      </c>
      <c r="L21" s="184" t="s">
        <v>37</v>
      </c>
      <c r="M21" s="190"/>
      <c r="N21" s="154"/>
      <c r="O21" s="172"/>
      <c r="P21" s="184" t="s">
        <v>37</v>
      </c>
      <c r="Q21" s="190"/>
      <c r="R21" s="154"/>
      <c r="S21" s="172"/>
      <c r="T21" s="185" t="s">
        <v>85</v>
      </c>
      <c r="U21" s="183" t="s">
        <v>36</v>
      </c>
      <c r="V21" s="157" t="str">
        <f ca="1">IF(LEFT(_xll.BDP($C$6,$T21),1)="#","#LOADING",DATEVALUE(_xll.BDP($C$6,$T21)))</f>
        <v>#LOADING</v>
      </c>
      <c r="W21" s="159">
        <f t="shared" ca="1" si="1"/>
        <v>1</v>
      </c>
      <c r="X21" s="173"/>
    </row>
    <row r="22" spans="2:24">
      <c r="B22" s="160" t="s">
        <v>237</v>
      </c>
      <c r="C22" s="152"/>
      <c r="D22" s="138"/>
      <c r="F22" s="170"/>
      <c r="G22" s="203" t="s">
        <v>86</v>
      </c>
      <c r="H22" s="191" t="s">
        <v>38</v>
      </c>
      <c r="I22" s="155" t="str">
        <f ca="1">IF(LEFT(_xll.BDP($C$10,$G22),1)="#","#LOADING",DATEVALUE(_xll.BDP($C$10,$G22)))</f>
        <v>#LOADING</v>
      </c>
      <c r="J22" s="159">
        <f t="shared" ca="1" si="0"/>
        <v>1</v>
      </c>
      <c r="K22" s="195" t="s">
        <v>0</v>
      </c>
      <c r="L22" s="184" t="s">
        <v>39</v>
      </c>
      <c r="M22" s="190"/>
      <c r="N22" s="190"/>
      <c r="O22" s="172"/>
      <c r="P22" s="184" t="s">
        <v>39</v>
      </c>
      <c r="Q22" s="190"/>
      <c r="R22" s="190"/>
      <c r="S22" s="172"/>
      <c r="T22" s="185" t="s">
        <v>86</v>
      </c>
      <c r="U22" s="191" t="s">
        <v>38</v>
      </c>
      <c r="V22" s="157" t="str">
        <f ca="1">IF(LEFT(_xll.BDP($C$6,$T22),1)="#","#LOADING",DATEVALUE(_xll.BDP($C$6,$T22)))</f>
        <v>#LOADING</v>
      </c>
      <c r="W22" s="159">
        <f t="shared" ca="1" si="1"/>
        <v>1</v>
      </c>
      <c r="X22" s="173"/>
    </row>
    <row r="23" spans="2:24">
      <c r="C23" s="152"/>
      <c r="D23" s="138"/>
      <c r="F23" s="170"/>
      <c r="G23" s="203" t="s">
        <v>87</v>
      </c>
      <c r="H23" s="191" t="s">
        <v>40</v>
      </c>
      <c r="I23" s="155" t="str">
        <f ca="1">IF(LEFT(_xll.BDP($C$10,$G23),1)="#","#LOADING",DATEVALUE(_xll.BDP($C$10,$G23)))</f>
        <v>#LOADING</v>
      </c>
      <c r="J23" s="159">
        <f t="shared" ca="1" si="0"/>
        <v>1</v>
      </c>
      <c r="K23" s="195" t="s">
        <v>0</v>
      </c>
      <c r="L23" s="184" t="s">
        <v>41</v>
      </c>
      <c r="M23" s="187"/>
      <c r="N23" s="192"/>
      <c r="O23" s="172"/>
      <c r="P23" s="184" t="s">
        <v>41</v>
      </c>
      <c r="Q23" s="187"/>
      <c r="R23" s="192"/>
      <c r="S23" s="172"/>
      <c r="T23" s="185" t="s">
        <v>87</v>
      </c>
      <c r="U23" s="191" t="s">
        <v>40</v>
      </c>
      <c r="V23" s="157" t="str">
        <f ca="1">IF(LEFT(_xll.BDP($C$6,$T23),1)="#","#LOADING",DATEVALUE(_xll.BDP($C$6,$T23)))</f>
        <v>#LOADING</v>
      </c>
      <c r="W23" s="159">
        <f t="shared" ca="1" si="1"/>
        <v>1</v>
      </c>
      <c r="X23" s="173"/>
    </row>
    <row r="24" spans="2:24">
      <c r="C24" s="138" t="s">
        <v>239</v>
      </c>
      <c r="D24" s="138"/>
      <c r="F24" s="170"/>
      <c r="G24" s="203" t="s">
        <v>84</v>
      </c>
      <c r="H24" s="183" t="s">
        <v>42</v>
      </c>
      <c r="I24" s="155" t="str">
        <f ca="1">IF(LEFT(_xll.BDP($C$10,$G24),1)="#","#LOADING",DATEVALUE(_xll.BDP($C$10,$G24)))</f>
        <v>#LOADING</v>
      </c>
      <c r="J24" s="159">
        <f t="shared" ca="1" si="0"/>
        <v>1</v>
      </c>
      <c r="K24" s="195" t="s">
        <v>0</v>
      </c>
      <c r="L24" s="184" t="s">
        <v>43</v>
      </c>
      <c r="M24" s="145" t="str">
        <f ca="1">$I$21</f>
        <v>#LOADING</v>
      </c>
      <c r="N24" s="145" t="str">
        <f ca="1">$I$21</f>
        <v>#LOADING</v>
      </c>
      <c r="O24" s="172"/>
      <c r="P24" s="184" t="s">
        <v>43</v>
      </c>
      <c r="Q24" s="145" t="str">
        <f ca="1">$V$21</f>
        <v>#LOADING</v>
      </c>
      <c r="R24" s="145" t="str">
        <f ca="1">$V$21</f>
        <v>#LOADING</v>
      </c>
      <c r="S24" s="172"/>
      <c r="T24" s="185" t="s">
        <v>84</v>
      </c>
      <c r="U24" s="183" t="s">
        <v>42</v>
      </c>
      <c r="V24" s="157" t="str">
        <f ca="1">IF(LEFT(_xll.BDP($C$6,$T24),1)="#","#LOADING",DATEVALUE(_xll.BDP($C$6,$T24)))</f>
        <v>#LOADING</v>
      </c>
      <c r="W24" s="159">
        <f t="shared" ca="1" si="1"/>
        <v>1</v>
      </c>
      <c r="X24" s="173"/>
    </row>
    <row r="25" spans="2:24">
      <c r="B25" s="152" t="s">
        <v>240</v>
      </c>
      <c r="C25" s="216" t="s">
        <v>163</v>
      </c>
      <c r="D25" s="138" t="s">
        <v>164</v>
      </c>
      <c r="F25" s="170"/>
      <c r="G25" s="203" t="s">
        <v>88</v>
      </c>
      <c r="H25" s="183" t="s">
        <v>44</v>
      </c>
      <c r="I25" s="158" t="str">
        <f ca="1">IF(LEFT(_xll.BDP($C$10,$G25),1)="#","#LOADING",_xll.BDP($C$10,$G25)%)</f>
        <v>#LOADING</v>
      </c>
      <c r="J25" s="159">
        <f t="shared" ca="1" si="0"/>
        <v>1</v>
      </c>
      <c r="K25" s="195" t="s">
        <v>0</v>
      </c>
      <c r="L25" s="184" t="s">
        <v>42</v>
      </c>
      <c r="M25" s="145" t="str">
        <f ca="1">$I$24</f>
        <v>#LOADING</v>
      </c>
      <c r="N25" s="145" t="str">
        <f ca="1">$I$24</f>
        <v>#LOADING</v>
      </c>
      <c r="O25" s="172"/>
      <c r="P25" s="184" t="s">
        <v>42</v>
      </c>
      <c r="Q25" s="145" t="str">
        <f ca="1">$V$24</f>
        <v>#LOADING</v>
      </c>
      <c r="R25" s="145" t="str">
        <f ca="1">$V$24</f>
        <v>#LOADING</v>
      </c>
      <c r="S25" s="172"/>
      <c r="T25" s="185" t="s">
        <v>88</v>
      </c>
      <c r="U25" s="183" t="s">
        <v>44</v>
      </c>
      <c r="V25" s="158" t="str">
        <f ca="1">IF(LEFT(_xll.BDP($C$6,$T25),1)="#","#LOADING",_xll.BDP($C$6,$T25)%)</f>
        <v>#LOADING</v>
      </c>
      <c r="W25" s="159">
        <f t="shared" ca="1" si="1"/>
        <v>1</v>
      </c>
      <c r="X25" s="173"/>
    </row>
    <row r="26" spans="2:24">
      <c r="B26" s="152" t="s">
        <v>241</v>
      </c>
      <c r="C26" s="226" t="str">
        <f ca="1">IF(ISBLANK(D26),_xll.BDP(Proxy.ISIN&amp;" "&amp;$C$25&amp;" Corp","PX_LAST"),D26)</f>
        <v>#N/A Requesting Data...</v>
      </c>
      <c r="D26" s="224"/>
      <c r="F26" s="170"/>
      <c r="G26" s="203" t="s">
        <v>90</v>
      </c>
      <c r="H26" s="183" t="s">
        <v>47</v>
      </c>
      <c r="I26" s="158" t="str">
        <f ca="1">IF(LEFT(_xll.BDP($C$10,$G26),1)="#","#LOADING",VLOOKUP(_xll.BDP($C$10,$G26),Static.CouponFrequency,2,FALSE))</f>
        <v>#LOADING</v>
      </c>
      <c r="J26" s="159">
        <f t="shared" ca="1" si="0"/>
        <v>1</v>
      </c>
      <c r="K26" s="195" t="s">
        <v>0</v>
      </c>
      <c r="L26" s="184" t="s">
        <v>48</v>
      </c>
      <c r="M26" s="146" t="str">
        <f ca="1">$I$26</f>
        <v>#LOADING</v>
      </c>
      <c r="N26" s="142" t="str">
        <f>$C$8</f>
        <v>QUARTERLY</v>
      </c>
      <c r="O26" s="172"/>
      <c r="P26" s="184" t="s">
        <v>48</v>
      </c>
      <c r="Q26" s="146" t="str">
        <f ca="1">$V$26</f>
        <v>#LOADING</v>
      </c>
      <c r="R26" s="142" t="str">
        <f>$C$12</f>
        <v>QUARTERLY</v>
      </c>
      <c r="S26" s="172"/>
      <c r="T26" s="185" t="s">
        <v>90</v>
      </c>
      <c r="U26" s="183" t="s">
        <v>47</v>
      </c>
      <c r="V26" s="158" t="str">
        <f ca="1">IF(LEFT(_xll.BDP($C$6,$T26),1)="#","#LOADING",VLOOKUP(_xll.BDP($C$6,$T26),Static.CouponFrequency,2,FALSE))</f>
        <v>#LOADING</v>
      </c>
      <c r="W26" s="159">
        <f t="shared" ca="1" si="1"/>
        <v>1</v>
      </c>
      <c r="X26" s="173"/>
    </row>
    <row r="27" spans="2:24">
      <c r="B27" s="152" t="s">
        <v>248</v>
      </c>
      <c r="C27" s="227" t="str">
        <f ca="1">IF(ISBLANK(D27),_xll.meLWOAssetSwapSpread(C17,C16,C26,INDIRECT("ValuationSettings"&amp;$C$11),INDIRECT("Fixings"&amp;$C$11&amp;IF(C12="QUARTERLY","3ML","6ML"))),D27)</f>
        <v>#Error: Invalid input, numeric input required</v>
      </c>
      <c r="D27" s="225"/>
      <c r="F27" s="170"/>
      <c r="G27" s="204"/>
      <c r="H27" s="183" t="s">
        <v>50</v>
      </c>
      <c r="I27" s="147" t="s">
        <v>51</v>
      </c>
      <c r="J27" s="159"/>
      <c r="K27" s="195" t="s">
        <v>0</v>
      </c>
      <c r="L27" s="184" t="s">
        <v>52</v>
      </c>
      <c r="M27" s="146" t="str">
        <f ca="1">$I$26</f>
        <v>#LOADING</v>
      </c>
      <c r="N27" s="142" t="str">
        <f>$C$8</f>
        <v>QUARTERLY</v>
      </c>
      <c r="O27" s="172"/>
      <c r="P27" s="184" t="s">
        <v>52</v>
      </c>
      <c r="Q27" s="146" t="str">
        <f ca="1">$V$26</f>
        <v>#LOADING</v>
      </c>
      <c r="R27" s="142" t="str">
        <f>$C$12</f>
        <v>QUARTERLY</v>
      </c>
      <c r="S27" s="172"/>
      <c r="T27" s="186"/>
      <c r="U27" s="183" t="s">
        <v>50</v>
      </c>
      <c r="V27" s="147" t="s">
        <v>51</v>
      </c>
      <c r="W27" s="159"/>
      <c r="X27" s="173"/>
    </row>
    <row r="28" spans="2:24">
      <c r="B28" s="152" t="s">
        <v>243</v>
      </c>
      <c r="C28" s="228" t="str">
        <f ca="1">_xll.meLWOAssetSwapSpreadToCleanPrice(C18,C27,INDIRECT("ValuationSettings"&amp;$C$7),INDIRECT("Fixings"&amp;$C$7&amp;IF(C8="QUARTERLY","3ML","6ML")))</f>
        <v>#Error: Invalid input, numeric input required</v>
      </c>
      <c r="D28" s="229"/>
      <c r="F28" s="170"/>
      <c r="G28" s="204"/>
      <c r="H28" s="183" t="s">
        <v>53</v>
      </c>
      <c r="I28" s="142" t="str">
        <f>VLOOKUP(I$12,Static.CurrencyToCalendar,2,FALSE)</f>
        <v>NYB</v>
      </c>
      <c r="J28" s="159"/>
      <c r="K28" s="195" t="s">
        <v>0</v>
      </c>
      <c r="L28" s="184" t="s">
        <v>54</v>
      </c>
      <c r="M28" s="148" t="str">
        <f ca="1">$I$32</f>
        <v>#LOADING</v>
      </c>
      <c r="N28" s="142" t="str">
        <f>VLOOKUP($I$12,Static.CurrencyToAssetSwap,6,FALSE)</f>
        <v>ACT/360</v>
      </c>
      <c r="O28" s="172"/>
      <c r="P28" s="184" t="s">
        <v>54</v>
      </c>
      <c r="Q28" s="148" t="str">
        <f ca="1">$V$32</f>
        <v>#LOADING</v>
      </c>
      <c r="R28" s="142" t="str">
        <f>VLOOKUP($V$12,Static.CurrencyToAssetSwap,6,FALSE)</f>
        <v>ACT/360</v>
      </c>
      <c r="S28" s="172"/>
      <c r="T28" s="186"/>
      <c r="U28" s="183" t="s">
        <v>53</v>
      </c>
      <c r="V28" s="142" t="str">
        <f>VLOOKUP(V$12,Static.CurrencyToCalendar,2,FALSE)</f>
        <v>NYB</v>
      </c>
      <c r="W28" s="159"/>
      <c r="X28" s="173"/>
    </row>
    <row r="29" spans="2:24">
      <c r="B29" s="152" t="s">
        <v>244</v>
      </c>
      <c r="C29" s="228" t="str">
        <f ca="1">_xll.meLWOBondPriceFromCleanToDirty($C$19,INDIRECT("ValuationDate"&amp;$C$11),C28)</f>
        <v>#Error: Invalid input, numeric input required</v>
      </c>
      <c r="D29" s="152" t="s">
        <v>0</v>
      </c>
      <c r="F29" s="170"/>
      <c r="G29" s="204"/>
      <c r="H29" s="183" t="s">
        <v>56</v>
      </c>
      <c r="I29" s="140" t="s">
        <v>51</v>
      </c>
      <c r="J29" s="159"/>
      <c r="K29" s="195" t="s">
        <v>0</v>
      </c>
      <c r="L29" s="184" t="s">
        <v>57</v>
      </c>
      <c r="M29" s="140"/>
      <c r="N29" s="140" t="s">
        <v>58</v>
      </c>
      <c r="O29" s="172"/>
      <c r="P29" s="184" t="s">
        <v>57</v>
      </c>
      <c r="Q29" s="140"/>
      <c r="R29" s="140" t="s">
        <v>58</v>
      </c>
      <c r="S29" s="172"/>
      <c r="T29" s="186"/>
      <c r="U29" s="183" t="s">
        <v>56</v>
      </c>
      <c r="V29" s="140" t="s">
        <v>51</v>
      </c>
      <c r="W29" s="159"/>
      <c r="X29" s="173"/>
    </row>
    <row r="30" spans="2:24">
      <c r="B30" s="152" t="s">
        <v>245</v>
      </c>
      <c r="C30" s="230" t="str">
        <f ca="1">_xll.meLWOBondYield(C19,INDIRECT("ValuationDate"&amp;$C$11),IF(V15,C28,C29))</f>
        <v>#Error: Invalid input, numeric input required</v>
      </c>
      <c r="D30" s="152"/>
      <c r="F30" s="170"/>
      <c r="G30" s="204"/>
      <c r="H30" s="183" t="s">
        <v>59</v>
      </c>
      <c r="I30" s="142" t="str">
        <f>VLOOKUP(I$12,Static.CurrencyToCalendar,2,FALSE)</f>
        <v>NYB</v>
      </c>
      <c r="J30" s="159"/>
      <c r="K30" s="195" t="s">
        <v>0</v>
      </c>
      <c r="L30" s="184" t="s">
        <v>60</v>
      </c>
      <c r="M30" s="140"/>
      <c r="N30" s="142" t="str">
        <f>VLOOKUP($I$12,Static.CurrencyToAssetSwap,4,FALSE)</f>
        <v>NYB:LNB</v>
      </c>
      <c r="O30" s="172"/>
      <c r="P30" s="184" t="s">
        <v>60</v>
      </c>
      <c r="Q30" s="140"/>
      <c r="R30" s="142" t="str">
        <f>VLOOKUP($V$12,Static.CurrencyToAssetSwap,4,FALSE)</f>
        <v>NYB:LNB</v>
      </c>
      <c r="S30" s="172"/>
      <c r="T30" s="186"/>
      <c r="U30" s="183" t="s">
        <v>59</v>
      </c>
      <c r="V30" s="142" t="str">
        <f>VLOOKUP(V$12,Static.CurrencyToCalendar,2,FALSE)</f>
        <v>NYB</v>
      </c>
      <c r="W30" s="159"/>
      <c r="X30" s="173"/>
    </row>
    <row r="31" spans="2:24">
      <c r="C31" s="152"/>
      <c r="D31" s="152"/>
      <c r="F31" s="170"/>
      <c r="G31" s="204"/>
      <c r="H31" s="183" t="s">
        <v>61</v>
      </c>
      <c r="I31" s="140" t="s">
        <v>62</v>
      </c>
      <c r="J31" s="159"/>
      <c r="K31" s="195" t="s">
        <v>0</v>
      </c>
      <c r="L31" s="184" t="s">
        <v>50</v>
      </c>
      <c r="M31" s="140" t="s">
        <v>51</v>
      </c>
      <c r="N31" s="140" t="s">
        <v>51</v>
      </c>
      <c r="O31" s="172"/>
      <c r="P31" s="184" t="s">
        <v>50</v>
      </c>
      <c r="Q31" s="140" t="s">
        <v>51</v>
      </c>
      <c r="R31" s="140" t="s">
        <v>51</v>
      </c>
      <c r="S31" s="172"/>
      <c r="T31" s="186"/>
      <c r="U31" s="183" t="s">
        <v>61</v>
      </c>
      <c r="V31" s="140" t="s">
        <v>62</v>
      </c>
      <c r="W31" s="159"/>
      <c r="X31" s="173"/>
    </row>
    <row r="32" spans="2:24">
      <c r="C32" s="152"/>
      <c r="D32" s="152"/>
      <c r="F32" s="170"/>
      <c r="G32" s="203" t="s">
        <v>98</v>
      </c>
      <c r="H32" s="183" t="s">
        <v>63</v>
      </c>
      <c r="I32" s="159" t="str">
        <f ca="1">IF(LEFT(_xll.BDP($C$10,$G32),1)="#","#LOADING",_xll.BDP($C$10,$G32))</f>
        <v>#LOADING</v>
      </c>
      <c r="J32" s="159">
        <f t="shared" ca="1" si="0"/>
        <v>1</v>
      </c>
      <c r="K32" s="195" t="s">
        <v>0</v>
      </c>
      <c r="L32" s="184" t="s">
        <v>53</v>
      </c>
      <c r="M32" s="142" t="str">
        <f>$I$28</f>
        <v>NYB</v>
      </c>
      <c r="N32" s="142" t="str">
        <f>VLOOKUP($I$12,Static.CurrencyToAssetSwap,5,FALSE)</f>
        <v>NYB</v>
      </c>
      <c r="O32" s="172"/>
      <c r="P32" s="184" t="s">
        <v>53</v>
      </c>
      <c r="Q32" s="142" t="str">
        <f>$V$28</f>
        <v>NYB</v>
      </c>
      <c r="R32" s="142" t="str">
        <f>VLOOKUP($V$12,Static.CurrencyToAssetSwap,5,FALSE)</f>
        <v>NYB</v>
      </c>
      <c r="S32" s="172"/>
      <c r="T32" s="185" t="s">
        <v>98</v>
      </c>
      <c r="U32" s="183" t="s">
        <v>63</v>
      </c>
      <c r="V32" s="159" t="str">
        <f ca="1">IF(LEFT(_xll.BDP($C$6,$T32),1)="#","#LOADING",_xll.BDP($C$6,$T32))</f>
        <v>#LOADING</v>
      </c>
      <c r="W32" s="159">
        <f t="shared" ca="1" si="1"/>
        <v>1</v>
      </c>
      <c r="X32" s="173"/>
    </row>
    <row r="33" spans="3:24" s="137" customFormat="1">
      <c r="C33" s="152"/>
      <c r="D33" s="152"/>
      <c r="F33" s="170"/>
      <c r="G33" s="204"/>
      <c r="H33" s="183" t="s">
        <v>64</v>
      </c>
      <c r="I33" s="150"/>
      <c r="J33" s="159"/>
      <c r="K33" s="195" t="s">
        <v>0</v>
      </c>
      <c r="L33" s="184" t="s">
        <v>56</v>
      </c>
      <c r="M33" s="140" t="s">
        <v>51</v>
      </c>
      <c r="N33" s="140" t="s">
        <v>51</v>
      </c>
      <c r="O33" s="172"/>
      <c r="P33" s="184" t="s">
        <v>56</v>
      </c>
      <c r="Q33" s="140" t="s">
        <v>51</v>
      </c>
      <c r="R33" s="140" t="s">
        <v>51</v>
      </c>
      <c r="S33" s="172"/>
      <c r="T33" s="186"/>
      <c r="U33" s="183" t="s">
        <v>64</v>
      </c>
      <c r="V33" s="150"/>
      <c r="W33" s="159"/>
      <c r="X33" s="173"/>
    </row>
    <row r="34" spans="3:24" s="137" customFormat="1">
      <c r="C34" s="152"/>
      <c r="D34" s="152"/>
      <c r="F34" s="170"/>
      <c r="G34" s="203" t="s">
        <v>97</v>
      </c>
      <c r="H34" s="183" t="s">
        <v>65</v>
      </c>
      <c r="I34" s="159" t="str">
        <f ca="1">IF(LEFT(_xll.BDP($C$10,$G34),1)="#","#LOADING","Type"&amp;IF(_xll.BDP($C$10,$G34)=999,1,_xll.BDP($C$10,$G34)))</f>
        <v>#LOADING</v>
      </c>
      <c r="J34" s="159">
        <f t="shared" ca="1" si="0"/>
        <v>1</v>
      </c>
      <c r="K34" s="195" t="s">
        <v>0</v>
      </c>
      <c r="L34" s="184" t="s">
        <v>59</v>
      </c>
      <c r="M34" s="142" t="str">
        <f>$I$30</f>
        <v>NYB</v>
      </c>
      <c r="N34" s="142" t="str">
        <f>VLOOKUP($I$12,Static.CurrencyToAssetSwap,5,FALSE)</f>
        <v>NYB</v>
      </c>
      <c r="O34" s="172"/>
      <c r="P34" s="184" t="s">
        <v>59</v>
      </c>
      <c r="Q34" s="142" t="str">
        <f>$V$30</f>
        <v>NYB</v>
      </c>
      <c r="R34" s="142" t="str">
        <f>VLOOKUP($V$12,Static.CurrencyToAssetSwap,5,FALSE)</f>
        <v>NYB</v>
      </c>
      <c r="S34" s="172"/>
      <c r="T34" s="185" t="s">
        <v>97</v>
      </c>
      <c r="U34" s="183" t="s">
        <v>65</v>
      </c>
      <c r="V34" s="159" t="str">
        <f ca="1">IF(LEFT(_xll.BDP($C$6,$T34),1)="#","#LOADING","Type"&amp;IF(_xll.BDP($C$6,$U34)=999,1,_xll.BDP($C$6,$T34)))</f>
        <v>#LOADING</v>
      </c>
      <c r="W34" s="159">
        <f t="shared" ca="1" si="1"/>
        <v>1</v>
      </c>
      <c r="X34" s="173"/>
    </row>
    <row r="35" spans="3:24" s="137" customFormat="1">
      <c r="C35" s="152"/>
      <c r="D35" s="152"/>
      <c r="F35" s="170"/>
      <c r="G35" s="205" t="str">
        <f ca="1">"ExDividendTenor"&amp;$V$34</f>
        <v>ExDividendTenor#LOADING</v>
      </c>
      <c r="H35" s="206" t="str">
        <f t="array" aca="1" ref="H35:I36" ca="1">IF(ISERROR(INDIRECT($T$35)),"",INDIRECT($T$35))</f>
        <v/>
      </c>
      <c r="I35" s="207" t="str">
        <f ca="1"/>
        <v/>
      </c>
      <c r="J35" s="159"/>
      <c r="K35" s="195" t="s">
        <v>0</v>
      </c>
      <c r="L35" s="184" t="s">
        <v>68</v>
      </c>
      <c r="M35" s="145" t="str">
        <f ca="1">I22</f>
        <v>#LOADING</v>
      </c>
      <c r="N35" s="151"/>
      <c r="O35" s="172"/>
      <c r="P35" s="184" t="s">
        <v>68</v>
      </c>
      <c r="Q35" s="145" t="str">
        <f ca="1">V22</f>
        <v>#LOADING</v>
      </c>
      <c r="R35" s="151"/>
      <c r="S35" s="172"/>
      <c r="T35" s="210" t="str">
        <f ca="1">"ExDividendTenor"&amp;$V$34</f>
        <v>ExDividendTenor#LOADING</v>
      </c>
      <c r="U35" s="211" t="str">
        <f t="array" aca="1" ref="U35:V36" ca="1">IF(ISERROR(INDIRECT($T$35)),"",INDIRECT($T$35))</f>
        <v/>
      </c>
      <c r="V35" s="212" t="str">
        <f ca="1"/>
        <v/>
      </c>
      <c r="W35" s="159"/>
      <c r="X35" s="173"/>
    </row>
    <row r="36" spans="3:24" s="137" customFormat="1">
      <c r="C36" s="152"/>
      <c r="D36" s="152"/>
      <c r="F36" s="170"/>
      <c r="G36" s="205" t="str">
        <f ca="1">"ExDividendTenor"&amp;$V$34</f>
        <v>ExDividendTenor#LOADING</v>
      </c>
      <c r="H36" s="206" t="str">
        <f ca="1"/>
        <v/>
      </c>
      <c r="I36" s="207" t="str">
        <f ca="1"/>
        <v/>
      </c>
      <c r="J36" s="159"/>
      <c r="K36" s="195" t="s">
        <v>0</v>
      </c>
      <c r="L36" s="184" t="s">
        <v>70</v>
      </c>
      <c r="M36" s="145" t="str">
        <f ca="1">I23</f>
        <v>#LOADING</v>
      </c>
      <c r="N36" s="140"/>
      <c r="O36" s="172"/>
      <c r="P36" s="184" t="s">
        <v>70</v>
      </c>
      <c r="Q36" s="145" t="str">
        <f ca="1">V23</f>
        <v>#LOADING</v>
      </c>
      <c r="R36" s="140"/>
      <c r="S36" s="172"/>
      <c r="T36" s="210" t="str">
        <f ca="1">"ExDividendTenor"&amp;$V$34</f>
        <v>ExDividendTenor#LOADING</v>
      </c>
      <c r="U36" s="211" t="str">
        <f ca="1"/>
        <v/>
      </c>
      <c r="V36" s="212" t="str">
        <f ca="1"/>
        <v/>
      </c>
      <c r="W36" s="159"/>
      <c r="X36" s="173"/>
    </row>
    <row r="37" spans="3:24" s="137" customFormat="1">
      <c r="C37" s="152"/>
      <c r="D37" s="152"/>
      <c r="F37" s="170"/>
      <c r="G37" s="208"/>
      <c r="H37" s="184"/>
      <c r="I37" s="151"/>
      <c r="J37" s="151"/>
      <c r="K37" s="195" t="s">
        <v>0</v>
      </c>
      <c r="L37" s="184" t="s">
        <v>71</v>
      </c>
      <c r="M37" s="150" t="s">
        <v>80</v>
      </c>
      <c r="N37" s="150"/>
      <c r="O37" s="172"/>
      <c r="P37" s="184" t="s">
        <v>71</v>
      </c>
      <c r="Q37" s="150" t="s">
        <v>80</v>
      </c>
      <c r="R37" s="150"/>
      <c r="S37" s="172"/>
      <c r="T37" s="186"/>
      <c r="U37" s="184"/>
      <c r="V37" s="151"/>
      <c r="W37" s="151"/>
      <c r="X37" s="173"/>
    </row>
    <row r="38" spans="3:24" s="137" customFormat="1">
      <c r="C38" s="152"/>
      <c r="D38" s="152"/>
      <c r="F38" s="170"/>
      <c r="G38" s="208"/>
      <c r="H38" s="184"/>
      <c r="I38" s="151"/>
      <c r="J38" s="151"/>
      <c r="K38" s="195" t="s">
        <v>0</v>
      </c>
      <c r="L38" s="184" t="s">
        <v>72</v>
      </c>
      <c r="M38" s="140"/>
      <c r="N38" s="140" t="s">
        <v>62</v>
      </c>
      <c r="O38" s="172"/>
      <c r="P38" s="184" t="s">
        <v>72</v>
      </c>
      <c r="Q38" s="140"/>
      <c r="R38" s="140" t="s">
        <v>62</v>
      </c>
      <c r="S38" s="172"/>
      <c r="T38" s="186"/>
      <c r="U38" s="184"/>
      <c r="V38" s="151"/>
      <c r="W38" s="151"/>
      <c r="X38" s="173"/>
    </row>
    <row r="39" spans="3:24" s="137" customFormat="1">
      <c r="C39" s="152"/>
      <c r="D39" s="152"/>
      <c r="F39" s="170"/>
      <c r="G39" s="208"/>
      <c r="H39" s="184"/>
      <c r="I39" s="140"/>
      <c r="J39" s="140"/>
      <c r="K39" s="195" t="s">
        <v>0</v>
      </c>
      <c r="L39" s="184" t="s">
        <v>73</v>
      </c>
      <c r="M39" s="140"/>
      <c r="N39" s="140"/>
      <c r="O39" s="172"/>
      <c r="P39" s="184" t="s">
        <v>73</v>
      </c>
      <c r="Q39" s="140"/>
      <c r="R39" s="140"/>
      <c r="S39" s="172"/>
      <c r="T39" s="186"/>
      <c r="U39" s="184"/>
      <c r="V39" s="140"/>
      <c r="W39" s="140"/>
      <c r="X39" s="173"/>
    </row>
    <row r="40" spans="3:24" s="137" customFormat="1">
      <c r="C40" s="152"/>
      <c r="D40" s="152"/>
      <c r="F40" s="170"/>
      <c r="G40" s="208"/>
      <c r="H40" s="184"/>
      <c r="I40" s="140"/>
      <c r="J40" s="140"/>
      <c r="K40" s="195" t="s">
        <v>0</v>
      </c>
      <c r="L40" s="184" t="s">
        <v>61</v>
      </c>
      <c r="M40" s="140" t="s">
        <v>62</v>
      </c>
      <c r="N40" s="140" t="s">
        <v>62</v>
      </c>
      <c r="O40" s="172"/>
      <c r="P40" s="184" t="s">
        <v>61</v>
      </c>
      <c r="Q40" s="140" t="s">
        <v>62</v>
      </c>
      <c r="R40" s="140" t="s">
        <v>62</v>
      </c>
      <c r="S40" s="172"/>
      <c r="T40" s="186"/>
      <c r="U40" s="184"/>
      <c r="V40" s="140"/>
      <c r="W40" s="140"/>
      <c r="X40" s="173"/>
    </row>
    <row r="41" spans="3:24" s="137" customFormat="1">
      <c r="C41" s="152"/>
      <c r="D41" s="152"/>
      <c r="F41" s="170"/>
      <c r="G41" s="208"/>
      <c r="H41" s="184"/>
      <c r="I41" s="140"/>
      <c r="J41" s="140"/>
      <c r="K41" s="195" t="s">
        <v>0</v>
      </c>
      <c r="L41" s="184" t="s">
        <v>74</v>
      </c>
      <c r="M41" s="140"/>
      <c r="N41" s="140" t="s">
        <v>75</v>
      </c>
      <c r="O41" s="172"/>
      <c r="P41" s="184" t="s">
        <v>74</v>
      </c>
      <c r="Q41" s="140"/>
      <c r="R41" s="140" t="s">
        <v>75</v>
      </c>
      <c r="S41" s="172"/>
      <c r="T41" s="186"/>
      <c r="U41" s="184"/>
      <c r="V41" s="140"/>
      <c r="W41" s="140"/>
      <c r="X41" s="173"/>
    </row>
    <row r="42" spans="3:24" s="137" customFormat="1">
      <c r="C42" s="152"/>
      <c r="D42" s="152"/>
      <c r="F42" s="170"/>
      <c r="G42" s="208"/>
      <c r="H42" s="184"/>
      <c r="I42" s="140"/>
      <c r="J42" s="140"/>
      <c r="K42" s="195" t="s">
        <v>0</v>
      </c>
      <c r="L42" s="184" t="s">
        <v>65</v>
      </c>
      <c r="M42" s="145" t="str">
        <f ca="1">$I$34</f>
        <v>#LOADING</v>
      </c>
      <c r="N42" s="149"/>
      <c r="O42" s="172"/>
      <c r="P42" s="184" t="s">
        <v>65</v>
      </c>
      <c r="Q42" s="145" t="str">
        <f ca="1">$V$34</f>
        <v>#LOADING</v>
      </c>
      <c r="R42" s="149"/>
      <c r="S42" s="172"/>
      <c r="T42" s="186"/>
      <c r="U42" s="184"/>
      <c r="V42" s="140"/>
      <c r="W42" s="140"/>
      <c r="X42" s="173"/>
    </row>
    <row r="43" spans="3:24" s="137" customFormat="1">
      <c r="C43" s="152"/>
      <c r="D43" s="152"/>
      <c r="F43" s="170"/>
      <c r="G43" s="208"/>
      <c r="H43" s="184"/>
      <c r="I43" s="140"/>
      <c r="J43" s="140"/>
      <c r="K43" s="195" t="s">
        <v>0</v>
      </c>
      <c r="L43" s="200" t="str">
        <f ca="1">H35</f>
        <v/>
      </c>
      <c r="M43" s="142" t="str">
        <f ca="1">I35</f>
        <v/>
      </c>
      <c r="N43" s="184"/>
      <c r="O43" s="172"/>
      <c r="P43" s="200" t="str">
        <f ca="1">U35</f>
        <v/>
      </c>
      <c r="Q43" s="142" t="str">
        <f ca="1">V35</f>
        <v/>
      </c>
      <c r="R43" s="184"/>
      <c r="S43" s="172"/>
      <c r="T43" s="186"/>
      <c r="U43" s="184"/>
      <c r="V43" s="140"/>
      <c r="W43" s="140"/>
      <c r="X43" s="173"/>
    </row>
    <row r="44" spans="3:24" s="137" customFormat="1">
      <c r="C44" s="152"/>
      <c r="D44" s="152"/>
      <c r="F44" s="170"/>
      <c r="G44" s="208"/>
      <c r="H44" s="184"/>
      <c r="I44" s="140"/>
      <c r="J44" s="140"/>
      <c r="K44" s="195" t="s">
        <v>0</v>
      </c>
      <c r="L44" s="200" t="str">
        <f ca="1">H36</f>
        <v/>
      </c>
      <c r="M44" s="142" t="str">
        <f ca="1">I36</f>
        <v/>
      </c>
      <c r="N44" s="184"/>
      <c r="O44" s="172"/>
      <c r="P44" s="200" t="str">
        <f ca="1">U36</f>
        <v/>
      </c>
      <c r="Q44" s="142" t="str">
        <f ca="1">V36</f>
        <v/>
      </c>
      <c r="R44" s="184"/>
      <c r="S44" s="172"/>
      <c r="T44" s="186"/>
      <c r="U44" s="184"/>
      <c r="V44" s="140"/>
      <c r="W44" s="140"/>
      <c r="X44" s="173"/>
    </row>
    <row r="45" spans="3:24" s="137" customFormat="1">
      <c r="C45" s="152"/>
      <c r="D45" s="152"/>
      <c r="F45" s="170"/>
      <c r="G45" s="204"/>
      <c r="H45" s="186"/>
      <c r="I45" s="140"/>
      <c r="J45" s="140"/>
      <c r="K45" s="172" t="s">
        <v>0</v>
      </c>
      <c r="L45" s="186"/>
      <c r="M45" s="140"/>
      <c r="N45" s="140"/>
      <c r="O45" s="172"/>
      <c r="P45" s="186"/>
      <c r="Q45" s="140"/>
      <c r="R45" s="140"/>
      <c r="S45" s="172"/>
      <c r="T45" s="186"/>
      <c r="U45" s="186"/>
      <c r="V45" s="140"/>
      <c r="W45" s="140"/>
      <c r="X45" s="173"/>
    </row>
    <row r="46" spans="3:24" s="137" customFormat="1">
      <c r="F46" s="170"/>
      <c r="G46" s="204"/>
      <c r="H46" s="186"/>
      <c r="I46" s="140"/>
      <c r="J46" s="140"/>
      <c r="K46" s="172" t="s">
        <v>0</v>
      </c>
      <c r="L46" s="186"/>
      <c r="M46" s="140"/>
      <c r="N46" s="140"/>
      <c r="O46" s="172"/>
      <c r="P46" s="186"/>
      <c r="Q46" s="140"/>
      <c r="R46" s="140"/>
      <c r="S46" s="172"/>
      <c r="T46" s="186"/>
      <c r="U46" s="186"/>
      <c r="V46" s="140"/>
      <c r="W46" s="140"/>
      <c r="X46" s="173"/>
    </row>
    <row r="47" spans="3:24" s="137" customFormat="1">
      <c r="F47" s="170"/>
      <c r="G47" s="204"/>
      <c r="H47" s="186"/>
      <c r="I47" s="140"/>
      <c r="J47" s="140"/>
      <c r="K47" s="172" t="s">
        <v>0</v>
      </c>
      <c r="L47" s="186"/>
      <c r="M47" s="140"/>
      <c r="N47" s="140"/>
      <c r="O47" s="172"/>
      <c r="P47" s="186"/>
      <c r="Q47" s="140"/>
      <c r="R47" s="140"/>
      <c r="S47" s="172"/>
      <c r="T47" s="186"/>
      <c r="U47" s="186"/>
      <c r="V47" s="140"/>
      <c r="W47" s="140"/>
      <c r="X47" s="173"/>
    </row>
    <row r="48" spans="3:24" s="137" customFormat="1">
      <c r="F48" s="170"/>
      <c r="G48" s="204"/>
      <c r="H48" s="186"/>
      <c r="I48" s="140"/>
      <c r="J48" s="140"/>
      <c r="K48" s="172" t="s">
        <v>0</v>
      </c>
      <c r="L48" s="186"/>
      <c r="M48" s="140"/>
      <c r="N48" s="140"/>
      <c r="O48" s="172"/>
      <c r="P48" s="186"/>
      <c r="Q48" s="140"/>
      <c r="R48" s="140"/>
      <c r="S48" s="172"/>
      <c r="T48" s="186"/>
      <c r="U48" s="186"/>
      <c r="V48" s="140"/>
      <c r="W48" s="140"/>
      <c r="X48" s="173"/>
    </row>
    <row r="49" spans="6:24" s="137" customFormat="1">
      <c r="F49" s="170"/>
      <c r="G49" s="204"/>
      <c r="H49" s="186"/>
      <c r="I49" s="140"/>
      <c r="J49" s="140"/>
      <c r="K49" s="172" t="s">
        <v>0</v>
      </c>
      <c r="L49" s="186"/>
      <c r="M49" s="140"/>
      <c r="N49" s="140"/>
      <c r="O49" s="172"/>
      <c r="P49" s="186"/>
      <c r="Q49" s="140"/>
      <c r="R49" s="140"/>
      <c r="S49" s="172"/>
      <c r="T49" s="186"/>
      <c r="U49" s="186"/>
      <c r="V49" s="140"/>
      <c r="W49" s="140"/>
      <c r="X49" s="173"/>
    </row>
    <row r="50" spans="6:24" s="137" customFormat="1">
      <c r="F50" s="170"/>
      <c r="G50" s="209"/>
      <c r="H50" s="201"/>
      <c r="I50" s="153"/>
      <c r="J50" s="153"/>
      <c r="K50" s="172" t="s">
        <v>0</v>
      </c>
      <c r="L50" s="201"/>
      <c r="M50" s="153"/>
      <c r="N50" s="153"/>
      <c r="O50" s="172"/>
      <c r="P50" s="201"/>
      <c r="Q50" s="153"/>
      <c r="R50" s="153"/>
      <c r="S50" s="172"/>
      <c r="T50" s="201"/>
      <c r="U50" s="201"/>
      <c r="V50" s="153"/>
      <c r="W50" s="153"/>
      <c r="X50" s="173"/>
    </row>
    <row r="51" spans="6:24" s="137" customFormat="1">
      <c r="F51" s="174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6"/>
    </row>
  </sheetData>
  <mergeCells count="2">
    <mergeCell ref="M6:N6"/>
    <mergeCell ref="Q6:R6"/>
  </mergeCells>
  <dataValidations count="4">
    <dataValidation type="list" allowBlank="1" showInputMessage="1" showErrorMessage="1" sqref="R26:R27 N26:N27">
      <formula1>"QUARTERLY,SEMI-ANNUAL"</formula1>
    </dataValidation>
    <dataValidation type="list" allowBlank="1" showInputMessage="1" showErrorMessage="1" sqref="I33 Q37:R37 M37:N37 V33">
      <formula1>"EOM,IMM,1,2,3,4,5,6,7,8,9,10,11,12,13,14,15,16,17,18,19,20,21,22,23,24,25,26,27,28,29,30,31"</formula1>
    </dataValidation>
    <dataValidation type="list" allowBlank="1" showInputMessage="1" showErrorMessage="1" sqref="I27 V27">
      <formula1>"None,ShortStart,ShortEnd,LongStart,LongEnd,SS,SE,LS,LE"</formula1>
    </dataValidation>
    <dataValidation type="list" allowBlank="1" showInputMessage="1" showErrorMessage="1" sqref="Q41:R41 Q45:R50 M41:N41 M45:N50">
      <formula1>"SHORTSTART,SHORTEND,LONGSTART,LONGEND"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 tint="0.79998168889431442"/>
  </sheetPr>
  <dimension ref="A1:HI73"/>
  <sheetViews>
    <sheetView showGridLines="0" zoomScaleNormal="100" workbookViewId="0">
      <pane ySplit="6" topLeftCell="A7" activePane="bottomLeft" state="frozen"/>
      <selection activeCell="H1" sqref="H1"/>
      <selection pane="bottomLeft" activeCell="A7" sqref="A7"/>
    </sheetView>
  </sheetViews>
  <sheetFormatPr defaultRowHeight="15" outlineLevelCol="2"/>
  <cols>
    <col min="1" max="1" width="4.7109375" customWidth="1"/>
    <col min="2" max="2" width="32.5703125" style="9" bestFit="1" customWidth="1"/>
    <col min="3" max="3" width="20.85546875" customWidth="1"/>
    <col min="4" max="4" width="14.140625" bestFit="1" customWidth="1"/>
    <col min="5" max="5" width="18.140625" bestFit="1" customWidth="1"/>
    <col min="6" max="6" width="32.5703125" bestFit="1" customWidth="1"/>
    <col min="7" max="7" width="26.28515625" customWidth="1"/>
    <col min="8" max="8" width="15.7109375" customWidth="1"/>
    <col min="9" max="9" width="18.5703125" bestFit="1" customWidth="1"/>
    <col min="10" max="10" width="4.7109375" hidden="1" customWidth="1" outlineLevel="1"/>
    <col min="11" max="18" width="12.7109375" hidden="1" customWidth="1" outlineLevel="1"/>
    <col min="19" max="19" width="8.140625" customWidth="1" collapsed="1"/>
    <col min="20" max="23" width="35.7109375" customWidth="1"/>
    <col min="24" max="24" width="9.140625" customWidth="1"/>
    <col min="25" max="28" width="15.7109375" style="9" hidden="1" customWidth="1" outlineLevel="1"/>
    <col min="29" max="29" width="18.85546875" style="9" hidden="1" customWidth="1" outlineLevel="1"/>
    <col min="30" max="30" width="15.7109375" style="9" hidden="1" customWidth="1" outlineLevel="1"/>
    <col min="31" max="31" width="29.42578125" style="9" hidden="1" customWidth="1" outlineLevel="1"/>
    <col min="32" max="32" width="15.7109375" style="9" hidden="1" customWidth="1" outlineLevel="1"/>
    <col min="33" max="33" width="17.28515625" style="9" hidden="1" customWidth="1" outlineLevel="1"/>
    <col min="34" max="41" width="15.7109375" style="9" hidden="1" customWidth="1" outlineLevel="1"/>
    <col min="42" max="42" width="17.85546875" style="9" hidden="1" customWidth="1" outlineLevel="1"/>
    <col min="43" max="43" width="11" style="9" hidden="1" customWidth="1" outlineLevel="1"/>
    <col min="44" max="44" width="16.42578125" style="9" hidden="1" customWidth="1" outlineLevel="1"/>
    <col min="45" max="45" width="9.7109375" style="9" hidden="1" customWidth="1" outlineLevel="1"/>
    <col min="46" max="47" width="15.7109375" style="9" hidden="1" customWidth="1" outlineLevel="1"/>
    <col min="48" max="48" width="10.5703125" style="9" hidden="1" customWidth="1" outlineLevel="1"/>
    <col min="49" max="49" width="13.7109375" style="9" hidden="1" customWidth="1" outlineLevel="1"/>
    <col min="50" max="50" width="13.7109375" style="9" customWidth="1" collapsed="1"/>
    <col min="51" max="51" width="11.140625" bestFit="1" customWidth="1"/>
    <col min="52" max="52" width="18.85546875" hidden="1" customWidth="1" outlineLevel="2"/>
    <col min="53" max="53" width="15.140625" hidden="1" customWidth="1" outlineLevel="2"/>
    <col min="54" max="54" width="17.28515625" hidden="1" customWidth="1" outlineLevel="2"/>
    <col min="55" max="55" width="11.140625" hidden="1" customWidth="1" outlineLevel="2"/>
    <col min="56" max="56" width="13.7109375" hidden="1" customWidth="1" outlineLevel="2"/>
    <col min="57" max="57" width="14" hidden="1" customWidth="1" outlineLevel="2"/>
    <col min="58" max="58" width="8.85546875" hidden="1" customWidth="1" outlineLevel="2"/>
    <col min="59" max="59" width="9" hidden="1" customWidth="1" outlineLevel="2"/>
    <col min="60" max="60" width="10.140625" hidden="1" customWidth="1" outlineLevel="2"/>
    <col min="61" max="61" width="19.28515625" hidden="1" customWidth="1" outlineLevel="2"/>
    <col min="62" max="62" width="18.85546875" hidden="1" customWidth="1" outlineLevel="2"/>
    <col min="63" max="63" width="10.140625" hidden="1" customWidth="1" outlineLevel="2"/>
    <col min="64" max="64" width="9.7109375" hidden="1" customWidth="1" outlineLevel="2"/>
    <col min="65" max="65" width="11.5703125" hidden="1" customWidth="1" outlineLevel="2"/>
    <col min="66" max="66" width="15" hidden="1" customWidth="1" outlineLevel="2"/>
    <col min="67" max="67" width="14.7109375" hidden="1" customWidth="1" outlineLevel="2"/>
    <col min="68" max="68" width="16.85546875" hidden="1" customWidth="1" outlineLevel="2"/>
    <col min="69" max="69" width="18.42578125" hidden="1" customWidth="1" outlineLevel="2"/>
    <col min="70" max="70" width="12.140625" hidden="1" customWidth="1" outlineLevel="2"/>
    <col min="71" max="71" width="28.28515625" hidden="1" customWidth="1" outlineLevel="2"/>
    <col min="72" max="72" width="14.28515625" hidden="1" customWidth="1" outlineLevel="2"/>
    <col min="73" max="73" width="29.42578125" hidden="1" customWidth="1" outlineLevel="2"/>
    <col min="74" max="74" width="15.42578125" hidden="1" customWidth="1" outlineLevel="2"/>
    <col min="75" max="75" width="31" hidden="1" customWidth="1" outlineLevel="2"/>
    <col min="76" max="76" width="16.85546875" hidden="1" customWidth="1" outlineLevel="2"/>
    <col min="77" max="77" width="15" hidden="1" customWidth="1" outlineLevel="2"/>
    <col min="78" max="78" width="15.42578125" hidden="1" customWidth="1" outlineLevel="2"/>
    <col min="79" max="79" width="7.7109375" hidden="1" customWidth="1" outlineLevel="2"/>
    <col min="80" max="80" width="9.140625" hidden="1" customWidth="1" outlineLevel="2"/>
    <col min="81" max="81" width="13.140625" hidden="1" customWidth="1" outlineLevel="2"/>
    <col min="82" max="82" width="11.7109375" hidden="1" customWidth="1" outlineLevel="2"/>
    <col min="83" max="83" width="9.28515625" hidden="1" customWidth="1" outlineLevel="2"/>
    <col min="84" max="84" width="15.28515625" hidden="1" customWidth="1" outlineLevel="2"/>
    <col min="85" max="85" width="9.140625" hidden="1" customWidth="1" outlineLevel="1"/>
    <col min="86" max="86" width="18.85546875" hidden="1" customWidth="1" outlineLevel="2"/>
    <col min="87" max="87" width="15.140625" hidden="1" customWidth="1" outlineLevel="2"/>
    <col min="88" max="88" width="17.28515625" hidden="1" customWidth="1" outlineLevel="2"/>
    <col min="89" max="89" width="11.140625" hidden="1" customWidth="1" outlineLevel="2"/>
    <col min="90" max="90" width="13.7109375" hidden="1" customWidth="1" outlineLevel="2"/>
    <col min="91" max="91" width="14" hidden="1" customWidth="1" outlineLevel="2"/>
    <col min="92" max="92" width="11" hidden="1" customWidth="1" outlineLevel="2"/>
    <col min="93" max="93" width="9" hidden="1" customWidth="1" outlineLevel="2"/>
    <col min="94" max="94" width="10.140625" hidden="1" customWidth="1" outlineLevel="2"/>
    <col min="95" max="95" width="19.28515625" hidden="1" customWidth="1" outlineLevel="2"/>
    <col min="96" max="96" width="18.85546875" hidden="1" customWidth="1" outlineLevel="2"/>
    <col min="97" max="97" width="10.140625" hidden="1" customWidth="1" outlineLevel="2"/>
    <col min="98" max="98" width="9.7109375" hidden="1" customWidth="1" outlineLevel="2"/>
    <col min="99" max="99" width="11.5703125" hidden="1" customWidth="1" outlineLevel="2"/>
    <col min="100" max="100" width="15" hidden="1" customWidth="1" outlineLevel="2"/>
    <col min="101" max="101" width="14.7109375" hidden="1" customWidth="1" outlineLevel="2"/>
    <col min="102" max="102" width="16.85546875" hidden="1" customWidth="1" outlineLevel="2"/>
    <col min="103" max="103" width="18.42578125" hidden="1" customWidth="1" outlineLevel="2"/>
    <col min="104" max="104" width="10.5703125" hidden="1" customWidth="1" outlineLevel="2"/>
    <col min="105" max="105" width="28.28515625" hidden="1" customWidth="1" outlineLevel="2"/>
    <col min="106" max="106" width="14.28515625" hidden="1" customWidth="1" outlineLevel="2"/>
    <col min="107" max="107" width="29.42578125" hidden="1" customWidth="1" outlineLevel="2"/>
    <col min="108" max="108" width="15.42578125" hidden="1" customWidth="1" outlineLevel="2"/>
    <col min="109" max="109" width="31" hidden="1" customWidth="1" outlineLevel="2"/>
    <col min="110" max="110" width="16.85546875" hidden="1" customWidth="1" outlineLevel="2"/>
    <col min="111" max="111" width="13.140625" hidden="1" customWidth="1" outlineLevel="2"/>
    <col min="112" max="112" width="14" hidden="1" customWidth="1" outlineLevel="2"/>
    <col min="113" max="113" width="7.7109375" hidden="1" customWidth="1" outlineLevel="2"/>
    <col min="114" max="114" width="9.140625" hidden="1" customWidth="1" outlineLevel="2"/>
    <col min="115" max="115" width="13.140625" hidden="1" customWidth="1" outlineLevel="2"/>
    <col min="116" max="116" width="11.7109375" hidden="1" customWidth="1" outlineLevel="2"/>
    <col min="117" max="117" width="9.28515625" hidden="1" customWidth="1" outlineLevel="2"/>
    <col min="118" max="118" width="15.28515625" hidden="1" customWidth="1" outlineLevel="2"/>
    <col min="119" max="119" width="11.5703125" hidden="1" customWidth="1" outlineLevel="1"/>
    <col min="120" max="120" width="9.140625" collapsed="1"/>
    <col min="122" max="154" width="15.7109375" hidden="1" customWidth="1" outlineLevel="2"/>
    <col min="155" max="155" width="9.140625" hidden="1" customWidth="1" outlineLevel="1"/>
    <col min="156" max="188" width="15.7109375" hidden="1" customWidth="1" outlineLevel="2"/>
    <col min="189" max="189" width="11.5703125" hidden="1" customWidth="1" outlineLevel="1"/>
    <col min="190" max="190" width="9.140625" collapsed="1"/>
    <col min="192" max="192" width="32.5703125" style="9" hidden="1" customWidth="1" outlineLevel="1"/>
    <col min="193" max="195" width="15.7109375" style="9" hidden="1" customWidth="1" outlineLevel="1"/>
    <col min="196" max="196" width="18.85546875" style="9" hidden="1" customWidth="1" outlineLevel="1"/>
    <col min="197" max="197" width="15.7109375" style="9" hidden="1" customWidth="1" outlineLevel="1"/>
    <col min="198" max="198" width="29.42578125" style="9" hidden="1" customWidth="1" outlineLevel="1"/>
    <col min="199" max="199" width="15.7109375" style="9" hidden="1" customWidth="1" outlineLevel="1"/>
    <col min="200" max="200" width="17.28515625" style="9" hidden="1" customWidth="1" outlineLevel="1"/>
    <col min="201" max="208" width="15.7109375" style="9" hidden="1" customWidth="1" outlineLevel="1"/>
    <col min="209" max="209" width="17.85546875" style="9" hidden="1" customWidth="1" outlineLevel="1"/>
    <col min="210" max="210" width="11" style="9" hidden="1" customWidth="1" outlineLevel="1"/>
    <col min="211" max="211" width="16.42578125" style="9" hidden="1" customWidth="1" outlineLevel="1"/>
    <col min="212" max="212" width="9.7109375" style="9" hidden="1" customWidth="1" outlineLevel="1"/>
    <col min="213" max="214" width="15.7109375" style="9" hidden="1" customWidth="1" outlineLevel="1"/>
    <col min="215" max="215" width="10.5703125" style="9" hidden="1" customWidth="1" outlineLevel="1"/>
    <col min="216" max="216" width="15.85546875" style="9" hidden="1" customWidth="1" outlineLevel="1"/>
    <col min="217" max="217" width="13.7109375" style="9" customWidth="1" collapsed="1"/>
  </cols>
  <sheetData>
    <row r="1" spans="1:217" s="14" customFormat="1">
      <c r="B1" s="79"/>
      <c r="S1" s="14" t="s">
        <v>199</v>
      </c>
      <c r="Y1" s="79"/>
      <c r="Z1" s="79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  <c r="AW1" s="79"/>
      <c r="AX1" s="80" t="s">
        <v>151</v>
      </c>
      <c r="AY1" s="80"/>
      <c r="CG1" s="14" t="s">
        <v>173</v>
      </c>
      <c r="DO1" s="14" t="s">
        <v>174</v>
      </c>
      <c r="DP1" s="14" t="s">
        <v>175</v>
      </c>
      <c r="EY1" s="14" t="s">
        <v>173</v>
      </c>
      <c r="GG1" s="14" t="s">
        <v>174</v>
      </c>
      <c r="GH1" s="14" t="s">
        <v>178</v>
      </c>
      <c r="GJ1" s="79"/>
      <c r="GK1" s="79"/>
      <c r="GL1" s="79"/>
      <c r="GM1" s="79"/>
      <c r="GN1" s="79"/>
      <c r="GO1" s="79"/>
      <c r="GP1" s="79"/>
      <c r="GQ1" s="79"/>
      <c r="GR1" s="79"/>
      <c r="GS1" s="79"/>
      <c r="GT1" s="79"/>
      <c r="GU1" s="79"/>
      <c r="GV1" s="79"/>
      <c r="GW1" s="79"/>
      <c r="GX1" s="79"/>
      <c r="GY1" s="79"/>
      <c r="GZ1" s="79"/>
      <c r="HA1" s="79"/>
      <c r="HB1" s="79"/>
      <c r="HC1" s="79"/>
      <c r="HD1" s="79"/>
      <c r="HE1" s="79"/>
      <c r="HF1" s="79"/>
      <c r="HG1" s="79"/>
      <c r="HH1" s="79"/>
      <c r="HI1" s="80" t="s">
        <v>152</v>
      </c>
    </row>
    <row r="3" spans="1:217">
      <c r="B3" s="13" t="s">
        <v>168</v>
      </c>
      <c r="K3" s="1" t="s">
        <v>184</v>
      </c>
      <c r="N3" s="1"/>
      <c r="P3" s="1"/>
      <c r="T3" s="1" t="s">
        <v>183</v>
      </c>
      <c r="Y3" s="13" t="s">
        <v>167</v>
      </c>
      <c r="AZ3" s="13" t="s">
        <v>172</v>
      </c>
      <c r="CH3" s="13" t="s">
        <v>172</v>
      </c>
      <c r="DR3" s="13" t="s">
        <v>177</v>
      </c>
      <c r="EZ3" s="13" t="s">
        <v>177</v>
      </c>
      <c r="GJ3" s="13" t="s">
        <v>180</v>
      </c>
    </row>
    <row r="4" spans="1:217">
      <c r="B4" s="85"/>
      <c r="C4" s="86"/>
      <c r="D4" s="86"/>
      <c r="E4" s="86"/>
      <c r="F4" s="86"/>
      <c r="G4" s="86"/>
      <c r="H4" s="86"/>
      <c r="I4" s="87"/>
      <c r="K4" s="93" t="s">
        <v>185</v>
      </c>
      <c r="L4" s="86"/>
      <c r="M4" s="86"/>
      <c r="N4" s="99"/>
      <c r="O4" s="87"/>
      <c r="P4" s="93" t="s">
        <v>180</v>
      </c>
      <c r="Q4" s="86"/>
      <c r="R4" s="87"/>
      <c r="T4" s="93"/>
      <c r="U4" s="86"/>
      <c r="V4" s="86"/>
      <c r="W4" s="87"/>
      <c r="Y4" s="85"/>
      <c r="Z4" s="105"/>
      <c r="AA4" s="105"/>
      <c r="AB4" s="105"/>
      <c r="AC4" s="105"/>
      <c r="AD4" s="105"/>
      <c r="AE4" s="105"/>
      <c r="AF4" s="105"/>
      <c r="AG4" s="105"/>
      <c r="AH4" s="105"/>
      <c r="AI4" s="105"/>
      <c r="AJ4" s="105"/>
      <c r="AK4" s="105"/>
      <c r="AL4" s="105"/>
      <c r="AM4" s="105"/>
      <c r="AN4" s="105"/>
      <c r="AO4" s="105"/>
      <c r="AP4" s="105"/>
      <c r="AQ4" s="105"/>
      <c r="AR4" s="105"/>
      <c r="AS4" s="105"/>
      <c r="AT4" s="105"/>
      <c r="AU4" s="105"/>
      <c r="AV4" s="105"/>
      <c r="AW4" s="106"/>
      <c r="AZ4" s="85" t="s">
        <v>3</v>
      </c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  <c r="BX4" s="86"/>
      <c r="BY4" s="86"/>
      <c r="BZ4" s="86"/>
      <c r="CA4" s="86"/>
      <c r="CB4" s="86"/>
      <c r="CC4" s="86"/>
      <c r="CD4" s="86"/>
      <c r="CE4" s="86"/>
      <c r="CF4" s="87"/>
      <c r="CH4" s="85" t="s">
        <v>4</v>
      </c>
      <c r="CI4" s="86"/>
      <c r="CJ4" s="86"/>
      <c r="CK4" s="86"/>
      <c r="CL4" s="86"/>
      <c r="CM4" s="86"/>
      <c r="CN4" s="86"/>
      <c r="CO4" s="86"/>
      <c r="CP4" s="86"/>
      <c r="CQ4" s="86"/>
      <c r="CR4" s="86"/>
      <c r="CS4" s="86"/>
      <c r="CT4" s="86"/>
      <c r="CU4" s="86"/>
      <c r="CV4" s="86"/>
      <c r="CW4" s="86"/>
      <c r="CX4" s="86"/>
      <c r="CY4" s="86"/>
      <c r="CZ4" s="86"/>
      <c r="DA4" s="86"/>
      <c r="DB4" s="86"/>
      <c r="DC4" s="86"/>
      <c r="DD4" s="86"/>
      <c r="DE4" s="86"/>
      <c r="DF4" s="86"/>
      <c r="DG4" s="86"/>
      <c r="DH4" s="86"/>
      <c r="DI4" s="86"/>
      <c r="DJ4" s="86"/>
      <c r="DK4" s="86"/>
      <c r="DL4" s="86"/>
      <c r="DM4" s="86"/>
      <c r="DN4" s="87"/>
      <c r="DR4" s="85" t="s">
        <v>3</v>
      </c>
      <c r="DS4" s="86"/>
      <c r="DT4" s="86"/>
      <c r="DU4" s="86"/>
      <c r="DV4" s="86"/>
      <c r="DW4" s="86"/>
      <c r="DX4" s="86"/>
      <c r="DY4" s="86"/>
      <c r="DZ4" s="86"/>
      <c r="EA4" s="86"/>
      <c r="EB4" s="86"/>
      <c r="EC4" s="86"/>
      <c r="ED4" s="86"/>
      <c r="EE4" s="86"/>
      <c r="EF4" s="86"/>
      <c r="EG4" s="86"/>
      <c r="EH4" s="86"/>
      <c r="EI4" s="86"/>
      <c r="EJ4" s="86"/>
      <c r="EK4" s="86"/>
      <c r="EL4" s="86"/>
      <c r="EM4" s="86"/>
      <c r="EN4" s="86"/>
      <c r="EO4" s="86"/>
      <c r="EP4" s="86"/>
      <c r="EQ4" s="86"/>
      <c r="ER4" s="86"/>
      <c r="ES4" s="86"/>
      <c r="ET4" s="86"/>
      <c r="EU4" s="86"/>
      <c r="EV4" s="86"/>
      <c r="EW4" s="86"/>
      <c r="EX4" s="87"/>
      <c r="EZ4" s="85" t="s">
        <v>4</v>
      </c>
      <c r="FA4" s="86"/>
      <c r="FB4" s="86"/>
      <c r="FC4" s="86"/>
      <c r="FD4" s="86"/>
      <c r="FE4" s="86"/>
      <c r="FF4" s="86"/>
      <c r="FG4" s="86"/>
      <c r="FH4" s="86"/>
      <c r="FI4" s="86"/>
      <c r="FJ4" s="86"/>
      <c r="FK4" s="86"/>
      <c r="FL4" s="86"/>
      <c r="FM4" s="86"/>
      <c r="FN4" s="86"/>
      <c r="FO4" s="86"/>
      <c r="FP4" s="86"/>
      <c r="FQ4" s="86"/>
      <c r="FR4" s="86"/>
      <c r="FS4" s="86"/>
      <c r="FT4" s="86"/>
      <c r="FU4" s="86"/>
      <c r="FV4" s="86"/>
      <c r="FW4" s="86"/>
      <c r="FX4" s="86"/>
      <c r="FY4" s="86"/>
      <c r="FZ4" s="86"/>
      <c r="GA4" s="86"/>
      <c r="GB4" s="86"/>
      <c r="GC4" s="86"/>
      <c r="GD4" s="86"/>
      <c r="GE4" s="86"/>
      <c r="GF4" s="87"/>
      <c r="GJ4" s="85"/>
      <c r="GK4" s="105"/>
      <c r="GL4" s="105"/>
      <c r="GM4" s="105"/>
      <c r="GN4" s="105"/>
      <c r="GO4" s="105"/>
      <c r="GP4" s="105"/>
      <c r="GQ4" s="105"/>
      <c r="GR4" s="105"/>
      <c r="GS4" s="105"/>
      <c r="GT4" s="105"/>
      <c r="GU4" s="105"/>
      <c r="GV4" s="105"/>
      <c r="GW4" s="105"/>
      <c r="GX4" s="105"/>
      <c r="GY4" s="105"/>
      <c r="GZ4" s="105"/>
      <c r="HA4" s="105"/>
      <c r="HB4" s="105"/>
      <c r="HC4" s="105"/>
      <c r="HD4" s="105"/>
      <c r="HE4" s="105"/>
      <c r="HF4" s="105"/>
      <c r="HG4" s="105"/>
      <c r="HH4" s="106"/>
    </row>
    <row r="5" spans="1:217">
      <c r="B5" s="88"/>
      <c r="C5" s="25"/>
      <c r="D5" s="25"/>
      <c r="E5" s="25"/>
      <c r="F5" s="25"/>
      <c r="G5" s="25"/>
      <c r="H5" s="25"/>
      <c r="I5" s="89"/>
      <c r="K5" s="94"/>
      <c r="L5" s="25"/>
      <c r="M5" s="25"/>
      <c r="N5" s="25"/>
      <c r="O5" s="89"/>
      <c r="P5" s="94"/>
      <c r="Q5" s="25"/>
      <c r="R5" s="89"/>
      <c r="T5" s="94"/>
      <c r="U5" s="25"/>
      <c r="V5" s="25"/>
      <c r="W5" s="89"/>
      <c r="Y5" s="107"/>
      <c r="Z5" s="56" t="s">
        <v>89</v>
      </c>
      <c r="AA5" s="56" t="s">
        <v>81</v>
      </c>
      <c r="AB5" s="55" t="s">
        <v>169</v>
      </c>
      <c r="AC5" s="55"/>
      <c r="AD5" s="56" t="s">
        <v>82</v>
      </c>
      <c r="AE5" s="55"/>
      <c r="AF5" s="55"/>
      <c r="AG5" s="55"/>
      <c r="AH5" s="55"/>
      <c r="AI5" s="56" t="s">
        <v>83</v>
      </c>
      <c r="AJ5" s="56" t="s">
        <v>85</v>
      </c>
      <c r="AK5" s="56" t="s">
        <v>86</v>
      </c>
      <c r="AL5" s="56" t="s">
        <v>87</v>
      </c>
      <c r="AM5" s="56" t="s">
        <v>84</v>
      </c>
      <c r="AN5" s="56" t="s">
        <v>88</v>
      </c>
      <c r="AO5" s="56" t="s">
        <v>90</v>
      </c>
      <c r="AP5" s="55"/>
      <c r="AQ5" s="55"/>
      <c r="AR5" s="55"/>
      <c r="AS5" s="55"/>
      <c r="AT5" s="55"/>
      <c r="AU5" s="56" t="s">
        <v>98</v>
      </c>
      <c r="AV5" s="55"/>
      <c r="AW5" s="108" t="s">
        <v>97</v>
      </c>
      <c r="AX5" s="56"/>
      <c r="AZ5" s="94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2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89"/>
      <c r="CH5" s="94"/>
      <c r="CI5" s="25"/>
      <c r="CJ5" s="25"/>
      <c r="CK5" s="25"/>
      <c r="CL5" s="25"/>
      <c r="CM5" s="25"/>
      <c r="CN5" s="25"/>
      <c r="CO5" s="25"/>
      <c r="CP5" s="25"/>
      <c r="CQ5" s="25"/>
      <c r="CR5" s="25"/>
      <c r="CS5" s="25"/>
      <c r="CT5" s="25"/>
      <c r="CU5" s="25"/>
      <c r="CV5" s="25"/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89"/>
      <c r="DR5" s="94"/>
      <c r="DS5" s="25"/>
      <c r="DT5" s="25"/>
      <c r="DU5" s="25"/>
      <c r="DV5" s="25"/>
      <c r="DW5" s="25"/>
      <c r="DX5" s="25"/>
      <c r="DY5" s="25"/>
      <c r="DZ5" s="25"/>
      <c r="EA5" s="25"/>
      <c r="EB5" s="2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5"/>
      <c r="ER5" s="25"/>
      <c r="ES5" s="25"/>
      <c r="ET5" s="25"/>
      <c r="EU5" s="25"/>
      <c r="EV5" s="25"/>
      <c r="EW5" s="25"/>
      <c r="EX5" s="89"/>
      <c r="EZ5" s="94"/>
      <c r="FA5" s="25"/>
      <c r="FB5" s="25"/>
      <c r="FC5" s="25"/>
      <c r="FD5" s="25"/>
      <c r="FE5" s="25"/>
      <c r="FF5" s="25"/>
      <c r="FG5" s="25"/>
      <c r="FH5" s="25"/>
      <c r="FI5" s="25"/>
      <c r="FJ5" s="25"/>
      <c r="FK5" s="25"/>
      <c r="FL5" s="25"/>
      <c r="FM5" s="25"/>
      <c r="FN5" s="25"/>
      <c r="FO5" s="25"/>
      <c r="FP5" s="25"/>
      <c r="FQ5" s="25"/>
      <c r="FR5" s="25"/>
      <c r="FS5" s="25"/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89"/>
      <c r="GJ5" s="107"/>
      <c r="GK5" s="56" t="s">
        <v>89</v>
      </c>
      <c r="GL5" s="56"/>
      <c r="GM5" s="55"/>
      <c r="GN5" s="55"/>
      <c r="GO5" s="56" t="s">
        <v>82</v>
      </c>
      <c r="GP5" s="55"/>
      <c r="GQ5" s="55"/>
      <c r="GR5" s="55"/>
      <c r="GS5" s="55"/>
      <c r="GT5" s="56" t="s">
        <v>83</v>
      </c>
      <c r="GU5" s="56" t="s">
        <v>273</v>
      </c>
      <c r="GV5" s="56" t="s">
        <v>86</v>
      </c>
      <c r="GW5" s="56" t="s">
        <v>87</v>
      </c>
      <c r="GX5" s="56" t="s">
        <v>84</v>
      </c>
      <c r="GY5" s="56" t="s">
        <v>88</v>
      </c>
      <c r="GZ5" s="56" t="s">
        <v>90</v>
      </c>
      <c r="HA5" s="55"/>
      <c r="HB5" s="55"/>
      <c r="HC5" s="55"/>
      <c r="HD5" s="55"/>
      <c r="HE5" s="55"/>
      <c r="HF5" s="56" t="s">
        <v>98</v>
      </c>
      <c r="HG5" s="55"/>
      <c r="HH5" s="108" t="s">
        <v>97</v>
      </c>
      <c r="HI5" s="56"/>
    </row>
    <row r="6" spans="1:217">
      <c r="B6" s="90" t="s">
        <v>144</v>
      </c>
      <c r="C6" s="91" t="s">
        <v>78</v>
      </c>
      <c r="D6" s="91" t="s">
        <v>154</v>
      </c>
      <c r="E6" s="91" t="s">
        <v>155</v>
      </c>
      <c r="F6" s="91" t="s">
        <v>146</v>
      </c>
      <c r="G6" s="91" t="s">
        <v>79</v>
      </c>
      <c r="H6" s="91" t="s">
        <v>148</v>
      </c>
      <c r="I6" s="92" t="s">
        <v>156</v>
      </c>
      <c r="K6" s="90" t="s">
        <v>170</v>
      </c>
      <c r="L6" s="91" t="s">
        <v>171</v>
      </c>
      <c r="M6" s="91" t="s">
        <v>164</v>
      </c>
      <c r="N6" s="91" t="s">
        <v>176</v>
      </c>
      <c r="O6" s="92" t="s">
        <v>164</v>
      </c>
      <c r="P6" s="100" t="s">
        <v>179</v>
      </c>
      <c r="Q6" s="91" t="s">
        <v>181</v>
      </c>
      <c r="R6" s="92" t="s">
        <v>182</v>
      </c>
      <c r="T6" s="102" t="s">
        <v>151</v>
      </c>
      <c r="U6" s="103" t="s">
        <v>150</v>
      </c>
      <c r="V6" s="103" t="s">
        <v>165</v>
      </c>
      <c r="W6" s="104" t="s">
        <v>152</v>
      </c>
      <c r="Y6" s="109" t="s">
        <v>5</v>
      </c>
      <c r="Z6" s="110" t="s">
        <v>9</v>
      </c>
      <c r="AA6" s="110" t="s">
        <v>11</v>
      </c>
      <c r="AB6" s="110" t="s">
        <v>15</v>
      </c>
      <c r="AC6" s="110" t="s">
        <v>19</v>
      </c>
      <c r="AD6" s="110" t="s">
        <v>22</v>
      </c>
      <c r="AE6" s="110" t="s">
        <v>25</v>
      </c>
      <c r="AF6" s="110" t="s">
        <v>16</v>
      </c>
      <c r="AG6" s="110" t="s">
        <v>13</v>
      </c>
      <c r="AH6" s="110" t="s">
        <v>30</v>
      </c>
      <c r="AI6" s="110" t="s">
        <v>33</v>
      </c>
      <c r="AJ6" s="110" t="s">
        <v>36</v>
      </c>
      <c r="AK6" s="110" t="s">
        <v>38</v>
      </c>
      <c r="AL6" s="110" t="s">
        <v>40</v>
      </c>
      <c r="AM6" s="110" t="s">
        <v>42</v>
      </c>
      <c r="AN6" s="110" t="s">
        <v>44</v>
      </c>
      <c r="AO6" s="110" t="s">
        <v>47</v>
      </c>
      <c r="AP6" s="110" t="s">
        <v>50</v>
      </c>
      <c r="AQ6" s="110" t="s">
        <v>53</v>
      </c>
      <c r="AR6" s="110" t="s">
        <v>56</v>
      </c>
      <c r="AS6" s="110" t="s">
        <v>59</v>
      </c>
      <c r="AT6" s="110" t="s">
        <v>61</v>
      </c>
      <c r="AU6" s="110" t="s">
        <v>63</v>
      </c>
      <c r="AV6" s="110" t="s">
        <v>64</v>
      </c>
      <c r="AW6" s="111" t="s">
        <v>65</v>
      </c>
      <c r="AX6" s="54"/>
      <c r="AZ6" s="109" t="s">
        <v>6</v>
      </c>
      <c r="BA6" s="110" t="s">
        <v>10</v>
      </c>
      <c r="BB6" s="110" t="s">
        <v>13</v>
      </c>
      <c r="BC6" s="110" t="s">
        <v>16</v>
      </c>
      <c r="BD6" s="110" t="s">
        <v>21</v>
      </c>
      <c r="BE6" s="110" t="s">
        <v>23</v>
      </c>
      <c r="BF6" s="110" t="s">
        <v>11</v>
      </c>
      <c r="BG6" s="110" t="s">
        <v>27</v>
      </c>
      <c r="BH6" s="110" t="s">
        <v>29</v>
      </c>
      <c r="BI6" s="110" t="s">
        <v>31</v>
      </c>
      <c r="BJ6" s="110" t="s">
        <v>34</v>
      </c>
      <c r="BK6" s="110" t="s">
        <v>37</v>
      </c>
      <c r="BL6" s="110" t="s">
        <v>39</v>
      </c>
      <c r="BM6" s="110" t="s">
        <v>41</v>
      </c>
      <c r="BN6" s="110" t="s">
        <v>43</v>
      </c>
      <c r="BO6" s="110" t="s">
        <v>42</v>
      </c>
      <c r="BP6" s="110" t="s">
        <v>48</v>
      </c>
      <c r="BQ6" s="110" t="s">
        <v>52</v>
      </c>
      <c r="BR6" s="110" t="s">
        <v>54</v>
      </c>
      <c r="BS6" s="110" t="s">
        <v>57</v>
      </c>
      <c r="BT6" s="110" t="s">
        <v>60</v>
      </c>
      <c r="BU6" s="110" t="s">
        <v>50</v>
      </c>
      <c r="BV6" s="110" t="s">
        <v>53</v>
      </c>
      <c r="BW6" s="110" t="s">
        <v>56</v>
      </c>
      <c r="BX6" s="110" t="s">
        <v>59</v>
      </c>
      <c r="BY6" s="110" t="s">
        <v>68</v>
      </c>
      <c r="BZ6" s="110" t="s">
        <v>70</v>
      </c>
      <c r="CA6" s="110" t="s">
        <v>71</v>
      </c>
      <c r="CB6" s="110" t="s">
        <v>72</v>
      </c>
      <c r="CC6" s="110" t="s">
        <v>73</v>
      </c>
      <c r="CD6" s="110" t="s">
        <v>61</v>
      </c>
      <c r="CE6" s="110" t="s">
        <v>74</v>
      </c>
      <c r="CF6" s="111" t="s">
        <v>65</v>
      </c>
      <c r="CH6" s="109" t="s">
        <v>6</v>
      </c>
      <c r="CI6" s="110" t="s">
        <v>10</v>
      </c>
      <c r="CJ6" s="110" t="s">
        <v>13</v>
      </c>
      <c r="CK6" s="110" t="s">
        <v>16</v>
      </c>
      <c r="CL6" s="110" t="s">
        <v>21</v>
      </c>
      <c r="CM6" s="110" t="s">
        <v>23</v>
      </c>
      <c r="CN6" s="110" t="s">
        <v>11</v>
      </c>
      <c r="CO6" s="110" t="s">
        <v>27</v>
      </c>
      <c r="CP6" s="110" t="s">
        <v>29</v>
      </c>
      <c r="CQ6" s="110" t="s">
        <v>31</v>
      </c>
      <c r="CR6" s="110" t="s">
        <v>34</v>
      </c>
      <c r="CS6" s="110" t="s">
        <v>37</v>
      </c>
      <c r="CT6" s="110" t="s">
        <v>39</v>
      </c>
      <c r="CU6" s="110" t="s">
        <v>41</v>
      </c>
      <c r="CV6" s="110" t="s">
        <v>43</v>
      </c>
      <c r="CW6" s="110" t="s">
        <v>42</v>
      </c>
      <c r="CX6" s="110" t="s">
        <v>48</v>
      </c>
      <c r="CY6" s="110" t="s">
        <v>52</v>
      </c>
      <c r="CZ6" s="110" t="s">
        <v>54</v>
      </c>
      <c r="DA6" s="110" t="s">
        <v>57</v>
      </c>
      <c r="DB6" s="110" t="s">
        <v>60</v>
      </c>
      <c r="DC6" s="110" t="s">
        <v>50</v>
      </c>
      <c r="DD6" s="110" t="s">
        <v>53</v>
      </c>
      <c r="DE6" s="110" t="s">
        <v>56</v>
      </c>
      <c r="DF6" s="110" t="s">
        <v>59</v>
      </c>
      <c r="DG6" s="110" t="s">
        <v>68</v>
      </c>
      <c r="DH6" s="110" t="s">
        <v>70</v>
      </c>
      <c r="DI6" s="110" t="s">
        <v>71</v>
      </c>
      <c r="DJ6" s="110" t="s">
        <v>72</v>
      </c>
      <c r="DK6" s="110" t="s">
        <v>73</v>
      </c>
      <c r="DL6" s="110" t="s">
        <v>61</v>
      </c>
      <c r="DM6" s="110" t="s">
        <v>74</v>
      </c>
      <c r="DN6" s="111" t="s">
        <v>65</v>
      </c>
      <c r="DR6" s="109" t="s">
        <v>6</v>
      </c>
      <c r="DS6" s="110" t="s">
        <v>10</v>
      </c>
      <c r="DT6" s="110" t="s">
        <v>13</v>
      </c>
      <c r="DU6" s="110" t="s">
        <v>16</v>
      </c>
      <c r="DV6" s="110" t="s">
        <v>21</v>
      </c>
      <c r="DW6" s="110" t="s">
        <v>23</v>
      </c>
      <c r="DX6" s="112" t="s">
        <v>11</v>
      </c>
      <c r="DY6" s="110" t="s">
        <v>27</v>
      </c>
      <c r="DZ6" s="112" t="s">
        <v>29</v>
      </c>
      <c r="EA6" s="110" t="s">
        <v>31</v>
      </c>
      <c r="EB6" s="110" t="s">
        <v>34</v>
      </c>
      <c r="EC6" s="110" t="s">
        <v>37</v>
      </c>
      <c r="ED6" s="110" t="s">
        <v>39</v>
      </c>
      <c r="EE6" s="110" t="s">
        <v>41</v>
      </c>
      <c r="EF6" s="110" t="s">
        <v>43</v>
      </c>
      <c r="EG6" s="110" t="s">
        <v>42</v>
      </c>
      <c r="EH6" s="110" t="s">
        <v>48</v>
      </c>
      <c r="EI6" s="110" t="s">
        <v>52</v>
      </c>
      <c r="EJ6" s="110" t="s">
        <v>54</v>
      </c>
      <c r="EK6" s="110" t="s">
        <v>57</v>
      </c>
      <c r="EL6" s="110" t="s">
        <v>60</v>
      </c>
      <c r="EM6" s="110" t="s">
        <v>50</v>
      </c>
      <c r="EN6" s="110" t="s">
        <v>53</v>
      </c>
      <c r="EO6" s="110" t="s">
        <v>56</v>
      </c>
      <c r="EP6" s="110" t="s">
        <v>59</v>
      </c>
      <c r="EQ6" s="110" t="s">
        <v>68</v>
      </c>
      <c r="ER6" s="110" t="s">
        <v>70</v>
      </c>
      <c r="ES6" s="110" t="s">
        <v>71</v>
      </c>
      <c r="ET6" s="110" t="s">
        <v>72</v>
      </c>
      <c r="EU6" s="110" t="s">
        <v>73</v>
      </c>
      <c r="EV6" s="110" t="s">
        <v>61</v>
      </c>
      <c r="EW6" s="110" t="s">
        <v>74</v>
      </c>
      <c r="EX6" s="111" t="s">
        <v>65</v>
      </c>
      <c r="EZ6" s="109" t="s">
        <v>6</v>
      </c>
      <c r="FA6" s="110" t="s">
        <v>10</v>
      </c>
      <c r="FB6" s="110" t="s">
        <v>13</v>
      </c>
      <c r="FC6" s="110" t="s">
        <v>16</v>
      </c>
      <c r="FD6" s="110" t="s">
        <v>21</v>
      </c>
      <c r="FE6" s="110" t="s">
        <v>23</v>
      </c>
      <c r="FF6" s="110" t="s">
        <v>11</v>
      </c>
      <c r="FG6" s="110" t="s">
        <v>27</v>
      </c>
      <c r="FH6" s="110" t="s">
        <v>29</v>
      </c>
      <c r="FI6" s="110" t="s">
        <v>31</v>
      </c>
      <c r="FJ6" s="110" t="s">
        <v>34</v>
      </c>
      <c r="FK6" s="110" t="s">
        <v>37</v>
      </c>
      <c r="FL6" s="110" t="s">
        <v>39</v>
      </c>
      <c r="FM6" s="110" t="s">
        <v>41</v>
      </c>
      <c r="FN6" s="110" t="s">
        <v>43</v>
      </c>
      <c r="FO6" s="110" t="s">
        <v>42</v>
      </c>
      <c r="FP6" s="110" t="s">
        <v>48</v>
      </c>
      <c r="FQ6" s="110" t="s">
        <v>52</v>
      </c>
      <c r="FR6" s="110" t="s">
        <v>54</v>
      </c>
      <c r="FS6" s="110" t="s">
        <v>57</v>
      </c>
      <c r="FT6" s="110" t="s">
        <v>60</v>
      </c>
      <c r="FU6" s="110" t="s">
        <v>50</v>
      </c>
      <c r="FV6" s="110" t="s">
        <v>53</v>
      </c>
      <c r="FW6" s="110" t="s">
        <v>56</v>
      </c>
      <c r="FX6" s="110" t="s">
        <v>59</v>
      </c>
      <c r="FY6" s="110" t="s">
        <v>68</v>
      </c>
      <c r="FZ6" s="110" t="s">
        <v>70</v>
      </c>
      <c r="GA6" s="110" t="s">
        <v>71</v>
      </c>
      <c r="GB6" s="110" t="s">
        <v>72</v>
      </c>
      <c r="GC6" s="110" t="s">
        <v>73</v>
      </c>
      <c r="GD6" s="110" t="s">
        <v>61</v>
      </c>
      <c r="GE6" s="110" t="s">
        <v>74</v>
      </c>
      <c r="GF6" s="111" t="s">
        <v>65</v>
      </c>
      <c r="GJ6" s="109" t="s">
        <v>5</v>
      </c>
      <c r="GK6" s="110" t="s">
        <v>9</v>
      </c>
      <c r="GL6" s="110" t="s">
        <v>11</v>
      </c>
      <c r="GM6" s="110" t="s">
        <v>15</v>
      </c>
      <c r="GN6" s="110" t="s">
        <v>19</v>
      </c>
      <c r="GO6" s="110" t="s">
        <v>22</v>
      </c>
      <c r="GP6" s="110" t="s">
        <v>25</v>
      </c>
      <c r="GQ6" s="110" t="s">
        <v>16</v>
      </c>
      <c r="GR6" s="110" t="s">
        <v>13</v>
      </c>
      <c r="GS6" s="110" t="s">
        <v>30</v>
      </c>
      <c r="GT6" s="110" t="s">
        <v>33</v>
      </c>
      <c r="GU6" s="110" t="s">
        <v>36</v>
      </c>
      <c r="GV6" s="110" t="s">
        <v>38</v>
      </c>
      <c r="GW6" s="110" t="s">
        <v>40</v>
      </c>
      <c r="GX6" s="110" t="s">
        <v>42</v>
      </c>
      <c r="GY6" s="110" t="s">
        <v>44</v>
      </c>
      <c r="GZ6" s="110" t="s">
        <v>47</v>
      </c>
      <c r="HA6" s="110" t="s">
        <v>50</v>
      </c>
      <c r="HB6" s="110" t="s">
        <v>53</v>
      </c>
      <c r="HC6" s="110" t="s">
        <v>56</v>
      </c>
      <c r="HD6" s="110" t="s">
        <v>59</v>
      </c>
      <c r="HE6" s="110" t="s">
        <v>61</v>
      </c>
      <c r="HF6" s="110" t="s">
        <v>63</v>
      </c>
      <c r="HG6" s="110" t="s">
        <v>64</v>
      </c>
      <c r="HH6" s="111" t="s">
        <v>65</v>
      </c>
      <c r="HI6" s="54"/>
    </row>
    <row r="7" spans="1:217">
      <c r="A7" s="101">
        <v>1</v>
      </c>
      <c r="B7" s="57" t="s">
        <v>145</v>
      </c>
      <c r="C7" s="57" t="s">
        <v>131</v>
      </c>
      <c r="D7" s="57" t="s">
        <v>101</v>
      </c>
      <c r="E7" s="57" t="s">
        <v>35</v>
      </c>
      <c r="F7" s="57" t="s">
        <v>145</v>
      </c>
      <c r="G7" s="57" t="s">
        <v>132</v>
      </c>
      <c r="H7" s="57" t="s">
        <v>101</v>
      </c>
      <c r="I7" s="57" t="s">
        <v>35</v>
      </c>
      <c r="J7" s="101">
        <v>1</v>
      </c>
      <c r="K7" s="58" t="s">
        <v>163</v>
      </c>
      <c r="L7" s="59" t="str">
        <f ca="1">IF(ISBLANK(M7),IF($G7="","",_xll.BDP(AB7&amp;" "&amp;$K7&amp;" Corp","PX_LAST")),M7)</f>
        <v>#N/A Requesting Data...</v>
      </c>
      <c r="M7" s="60"/>
      <c r="N7" s="83" t="str">
        <f ca="1">IF(ISBLANK($O7),IF($G7="","",_xll.meLWOAssetSwapSpread($U7,$T7,$L7,INDIRECT("ValuationSettings"&amp;$CN7),INDIRECT("Fixings"&amp;$CN7&amp;IF($I7="QUARTERLY","3ML","6ML")))),$O7)</f>
        <v>#Error: Invalid input, numeric input required</v>
      </c>
      <c r="O7" s="60"/>
      <c r="P7" s="84" t="str">
        <f ca="1">IF($C7="","",_xll.meLWOAssetSwapSpreadToCleanPrice($V7,$N7,INDIRECT("ValuationSettings"&amp;$DX7),INDIRECT("Fixings"&amp;$DX7&amp;IF($E7="QUARTERLY","3ML","6ML"))))</f>
        <v>#Error: Invalid input, numeric input required</v>
      </c>
      <c r="Q7" s="84" t="str">
        <f ca="1">IF($C7="","",_xll.meLWOBondPriceFromCleanToDirty($W7,INDIRECT("ValuationDate"&amp;$D7),$P7))</f>
        <v>#Error: Invalid input, numeric input required</v>
      </c>
      <c r="R7" s="98" t="str">
        <f ca="1">IF($C7="","",_xll.meLWOBondYield($W7,INDIRECT("ValuationDate"&amp;$D7),IF($GO7,$P7,$Q7)))</f>
        <v>#Error: Invalid input, numeric input required</v>
      </c>
      <c r="S7" s="101">
        <v>1</v>
      </c>
      <c r="T7" s="51" t="str">
        <f ca="1">IF($G7="","",IF(LEFT(Z7,1)="#","#LOADING",_xll.meLWOBondCreateFromLVB("PROXY_BOND_"&amp;$AB7,_xll.meUtilityLVBFromKeysValues($Y$6:$AW$6,$Y7:$AW7))))</f>
        <v>#LOADING</v>
      </c>
      <c r="U7" s="53" t="str">
        <f ca="1">IF($G7="","",_xll.meLWOSwapCreate("PROXY_ASW_"&amp;$AB7,_xll.meUtilityLVBFromKeysAndMultipleValues($AZ$6:$CF$6,$AZ7:$CF7,$CH7:$DN7)))</f>
        <v>#Error: Frequency '#LOADING' invalid, must be 'NONE', 'ANNUAL', 'SEMI_ANNUAL', 'QUARTERLY', 'MONTHLY', 'WEEKLY', 'DAILY' or 'AT_MATURITY'.</v>
      </c>
      <c r="V7" s="52" t="str">
        <f ca="1">IF($C7="","",_xll.meLWOSwapCreate("BOND_ASW_"&amp;$GM7,_xll.meUtilityLVBFromKeysAndMultipleValues($DR$6:$EX$6,$DR7:$EX7,$EZ7:$GF7)))</f>
        <v>#Error: Frequency '#LOADING' invalid, must be 'NONE', 'ANNUAL', 'SEMI_ANNUAL', 'QUARTERLY', 'MONTHLY', 'WEEKLY', 'DAILY' or 'AT_MATURITY'.</v>
      </c>
      <c r="W7" s="53" t="str">
        <f ca="1">IF($C7="","",IF(LEFT(GK7,1)="#","#LOADING",_xll.meLWOBondCreateFromLVB("PROXY_BOND_"&amp;$GM7,_xll.meUtilityLVBFromKeysValues($GJ$6:$HH$6,$GJ7:$HH7))))</f>
        <v>#LOADING</v>
      </c>
      <c r="X7" t="s">
        <v>0</v>
      </c>
      <c r="Y7" s="62" t="str">
        <f t="shared" ref="Y7:Y26" si="0">$F7</f>
        <v>ING BANK NV</v>
      </c>
      <c r="Z7" s="63" t="str">
        <f ca="1">IF(LEFT(_xll.BDP($G7,Z$5),1)="#","#LOADING",_xll.BDP($G7,Z$5))</f>
        <v>#LOADING</v>
      </c>
      <c r="AA7" s="41" t="str">
        <f t="shared" ref="AA7:AA26" si="1">$H7</f>
        <v>USD</v>
      </c>
      <c r="AB7" s="63" t="str">
        <f ca="1">IF(LEFT(_xll.BDP($G7,AB$5),1)="#","#LOADING",_xll.BDP($G7,AB$5))</f>
        <v>#LOADING</v>
      </c>
      <c r="AC7" s="64" t="s">
        <v>20</v>
      </c>
      <c r="AD7" s="63" t="str">
        <f ca="1">IF(LEFT(_xll.BDP($G7,AD$5),1)="#","#LOADING",IF(_xll.BDP($G7,AD$5)="CLEAN",TRUE,FALSE))</f>
        <v>#LOADING</v>
      </c>
      <c r="AE7" s="64" t="s">
        <v>26</v>
      </c>
      <c r="AF7" s="61" t="s">
        <v>18</v>
      </c>
      <c r="AG7" s="65" t="s">
        <v>28</v>
      </c>
      <c r="AH7" s="66">
        <v>1000000</v>
      </c>
      <c r="AI7" s="63" t="str">
        <f ca="1">IF(LEFT(_xll.BDP($G7,AI$5),1)="#","#LOADING",DATEVALUE(_xll.BDP($G7,AI$5)))</f>
        <v>#LOADING</v>
      </c>
      <c r="AJ7" s="63" t="str">
        <f ca="1">IF(LEFT(_xll.BDP($G7,AJ$5),1)="#","#LOADING",DATEVALUE(_xll.BDP($G7,AJ$5)))</f>
        <v>#LOADING</v>
      </c>
      <c r="AK7" s="63" t="str">
        <f ca="1">IF(LEFT(_xll.BDP($G7,AK$5),1)="#","#LOADING",DATEVALUE(_xll.BDP($G7,AK$5)))</f>
        <v>#LOADING</v>
      </c>
      <c r="AL7" s="63" t="str">
        <f ca="1">IF(LEFT(_xll.BDP($G7,AL$5),1)="#","#LOADING",DATEVALUE(_xll.BDP($G7,AL$5)))</f>
        <v>#LOADING</v>
      </c>
      <c r="AM7" s="63" t="str">
        <f ca="1">IF(LEFT(_xll.BDP($G7,AM$5),1)="#","#LOADING",DATEVALUE(_xll.BDP($G7,AM$5)))</f>
        <v>#LOADING</v>
      </c>
      <c r="AN7" s="67" t="str">
        <f ca="1">IF(LEFT(_xll.BDP($G7,AN$5),1)="#","#LOADING",_xll.BDP($G7,AN$5)%)</f>
        <v>#LOADING</v>
      </c>
      <c r="AO7" s="67" t="str">
        <f ca="1">IF(LEFT(_xll.BDP($G7,AO$5),1)="#","#LOADING",VLOOKUP(_xll.BDP($G7,AO$5),Static.CouponFrequency,2,FALSE))</f>
        <v>#LOADING</v>
      </c>
      <c r="AP7" s="68" t="s">
        <v>51</v>
      </c>
      <c r="AQ7" s="53" t="str">
        <f t="shared" ref="AQ7:AQ26" si="2">VLOOKUP($AA7,Static.CurrencyToCalendar,2,FALSE)</f>
        <v>NYB</v>
      </c>
      <c r="AR7" s="61" t="s">
        <v>51</v>
      </c>
      <c r="AS7" s="53" t="str">
        <f t="shared" ref="AS7:AS26" si="3">VLOOKUP($AA7,Static.CurrencyToCalendar,2,FALSE)</f>
        <v>NYB</v>
      </c>
      <c r="AT7" s="61" t="s">
        <v>62</v>
      </c>
      <c r="AU7" s="69" t="str">
        <f ca="1">IF(LEFT(_xll.BDP($G7,AU$5),1)="#","#LOADING",_xll.BDP($G7,AU$5))</f>
        <v>#LOADING</v>
      </c>
      <c r="AV7" s="70"/>
      <c r="AW7" s="69" t="str">
        <f ca="1">IF(LEFT(_xll.BDP($G7,AW$5),1)="#","#LOADING","Type"&amp;IF(_xll.BDP($G7,AW$5)=999,1,_xll.BDP($G7,AW$5)))</f>
        <v>#LOADING</v>
      </c>
      <c r="AX7" s="54"/>
      <c r="AZ7" s="61" t="s">
        <v>7</v>
      </c>
      <c r="BA7" s="66">
        <v>1000000</v>
      </c>
      <c r="BB7" s="61" t="s">
        <v>14</v>
      </c>
      <c r="BC7" s="61" t="s">
        <v>17</v>
      </c>
      <c r="BD7" s="70"/>
      <c r="BE7" s="73" t="str">
        <f t="shared" ref="BE7:BE26" si="4">VLOOKUP($AA7,Static.CurrencyToAssetSwap,3,FALSE)</f>
        <v>USDOIS</v>
      </c>
      <c r="BF7" s="74" t="str">
        <f t="shared" ref="BF7:BF26" si="5">$AA7</f>
        <v>USD</v>
      </c>
      <c r="BG7" s="71">
        <v>1</v>
      </c>
      <c r="BH7" s="75" t="str">
        <f t="shared" ref="BH7:BH26" ca="1" si="6">$AN7</f>
        <v>#LOADING</v>
      </c>
      <c r="BI7" s="61"/>
      <c r="BJ7" s="61"/>
      <c r="BK7" s="72"/>
      <c r="BL7" s="72"/>
      <c r="BM7" s="71"/>
      <c r="BN7" s="76" t="str">
        <f t="shared" ref="BN7:BN26" ca="1" si="7">$AJ7</f>
        <v>#LOADING</v>
      </c>
      <c r="BO7" s="76" t="str">
        <f t="shared" ref="BO7:BO26" ca="1" si="8">$AM7</f>
        <v>#LOADING</v>
      </c>
      <c r="BP7" s="77" t="str">
        <f t="shared" ref="BP7:BP26" ca="1" si="9">$AO7</f>
        <v>#LOADING</v>
      </c>
      <c r="BQ7" s="77" t="str">
        <f t="shared" ref="BQ7:BQ26" ca="1" si="10">$AO7</f>
        <v>#LOADING</v>
      </c>
      <c r="BR7" s="78" t="str">
        <f t="shared" ref="BR7:BR26" ca="1" si="11">$AU7</f>
        <v>#LOADING</v>
      </c>
      <c r="BS7" s="61"/>
      <c r="BT7" s="61"/>
      <c r="BU7" s="61" t="s">
        <v>51</v>
      </c>
      <c r="BV7" s="73" t="str">
        <f t="shared" ref="BV7:BV26" si="12">$AQ7</f>
        <v>NYB</v>
      </c>
      <c r="BW7" s="61" t="s">
        <v>51</v>
      </c>
      <c r="BX7" s="73" t="str">
        <f t="shared" ref="BX7:BX26" si="13">$AS7</f>
        <v>NYB</v>
      </c>
      <c r="BY7" s="76" t="str">
        <f t="shared" ref="BY7:BY26" ca="1" si="14">$AK7</f>
        <v>#LOADING</v>
      </c>
      <c r="BZ7" s="76" t="str">
        <f t="shared" ref="BZ7:BZ26" ca="1" si="15">$AL7</f>
        <v>#LOADING</v>
      </c>
      <c r="CA7" s="70" t="s">
        <v>80</v>
      </c>
      <c r="CB7" s="61"/>
      <c r="CC7" s="61"/>
      <c r="CD7" s="61" t="s">
        <v>62</v>
      </c>
      <c r="CE7" s="61"/>
      <c r="CF7" s="76" t="str">
        <f t="shared" ref="CF7:CF26" ca="1" si="16">$AW7</f>
        <v>#LOADING</v>
      </c>
      <c r="CH7" s="61" t="s">
        <v>8</v>
      </c>
      <c r="CI7" s="66">
        <v>1000000</v>
      </c>
      <c r="CJ7" s="61" t="s">
        <v>14</v>
      </c>
      <c r="CK7" s="61" t="s">
        <v>18</v>
      </c>
      <c r="CL7" s="53" t="str">
        <f t="shared" ref="CL7:CL26" si="17">$AA7&amp;VLOOKUP($I7,Static.FrequencyToCurveIndex,2,FALSE)</f>
        <v>USD3ML</v>
      </c>
      <c r="CM7" s="53" t="str">
        <f t="shared" ref="CM7:CM26" si="18">VLOOKUP($AA7,Static.CurrencyToAssetSwap,3,FALSE)</f>
        <v>USDOIS</v>
      </c>
      <c r="CN7" s="41" t="str">
        <f t="shared" ref="CN7:CN26" si="19">$AA7</f>
        <v>USD</v>
      </c>
      <c r="CO7" s="71">
        <v>1</v>
      </c>
      <c r="CP7" s="81"/>
      <c r="CQ7" s="61" t="s">
        <v>32</v>
      </c>
      <c r="CR7" s="61" t="s">
        <v>32</v>
      </c>
      <c r="CS7" s="72"/>
      <c r="CT7" s="72"/>
      <c r="CU7" s="71"/>
      <c r="CV7" s="82" t="str">
        <f t="shared" ref="CV7:CV26" ca="1" si="20">$AJ7</f>
        <v>#LOADING</v>
      </c>
      <c r="CW7" s="82" t="str">
        <f t="shared" ref="CW7:CW26" ca="1" si="21">$AM7</f>
        <v>#LOADING</v>
      </c>
      <c r="CX7" s="53" t="str">
        <f t="shared" ref="CX7:CX26" si="22">$E7</f>
        <v>QUARTERLY</v>
      </c>
      <c r="CY7" s="53" t="str">
        <f t="shared" ref="CY7:CY26" si="23">$E7</f>
        <v>QUARTERLY</v>
      </c>
      <c r="CZ7" s="53" t="str">
        <f t="shared" ref="CZ7:CZ26" si="24">VLOOKUP($AA7,Static.CurrencyToAssetSwap,6,FALSE)</f>
        <v>ACT/360</v>
      </c>
      <c r="DA7" s="61" t="s">
        <v>58</v>
      </c>
      <c r="DB7" s="53" t="str">
        <f t="shared" ref="DB7:DB26" si="25">VLOOKUP($AA7,Static.CurrencyToAssetSwap,4,FALSE)</f>
        <v>NYB:LNB</v>
      </c>
      <c r="DC7" s="61" t="s">
        <v>51</v>
      </c>
      <c r="DD7" s="53" t="str">
        <f t="shared" ref="DD7:DD26" si="26">VLOOKUP($AA7,Static.CurrencyToAssetSwap,5,FALSE)</f>
        <v>NYB</v>
      </c>
      <c r="DE7" s="61" t="s">
        <v>51</v>
      </c>
      <c r="DF7" s="53" t="str">
        <f t="shared" ref="DF7:DF26" si="27">VLOOKUP($AA7,Static.CurrencyToAssetSwap,5,FALSE)</f>
        <v>NYB</v>
      </c>
      <c r="DG7" s="82"/>
      <c r="DH7" s="82"/>
      <c r="DI7" s="70"/>
      <c r="DJ7" s="61" t="s">
        <v>62</v>
      </c>
      <c r="DK7" s="61"/>
      <c r="DL7" s="61" t="s">
        <v>62</v>
      </c>
      <c r="DM7" s="61" t="s">
        <v>75</v>
      </c>
      <c r="DN7" s="82"/>
      <c r="DR7" s="61" t="s">
        <v>7</v>
      </c>
      <c r="DS7" s="66">
        <v>1000000</v>
      </c>
      <c r="DT7" s="61" t="s">
        <v>14</v>
      </c>
      <c r="DU7" s="61" t="s">
        <v>17</v>
      </c>
      <c r="DV7" s="70"/>
      <c r="DW7" s="73" t="str">
        <f t="shared" ref="DW7:DW26" si="28">VLOOKUP($GL7,Static.CurrencyToAssetSwap,3,FALSE)</f>
        <v>USDOIS</v>
      </c>
      <c r="DX7" s="74" t="str">
        <f t="shared" ref="DX7:DX26" si="29">$GL7</f>
        <v>USD</v>
      </c>
      <c r="DY7" s="71">
        <v>1</v>
      </c>
      <c r="DZ7" s="75" t="str">
        <f t="shared" ref="DZ7:DZ26" ca="1" si="30">$GY7</f>
        <v>#LOADING</v>
      </c>
      <c r="EA7" s="61"/>
      <c r="EB7" s="61"/>
      <c r="EC7" s="72"/>
      <c r="ED7" s="72"/>
      <c r="EE7" s="71"/>
      <c r="EF7" s="76" t="str">
        <f t="shared" ref="EF7:EF26" ca="1" si="31">$GU7</f>
        <v>#LOADING</v>
      </c>
      <c r="EG7" s="76" t="str">
        <f t="shared" ref="EG7:EG26" ca="1" si="32">$GX7</f>
        <v>#LOADING</v>
      </c>
      <c r="EH7" s="77" t="str">
        <f t="shared" ref="EH7:EH26" ca="1" si="33">$GZ7</f>
        <v>#LOADING</v>
      </c>
      <c r="EI7" s="77" t="str">
        <f t="shared" ref="EI7:EI26" ca="1" si="34">$GZ7</f>
        <v>#LOADING</v>
      </c>
      <c r="EJ7" s="78" t="str">
        <f t="shared" ref="EJ7:EJ26" ca="1" si="35">$HF7</f>
        <v>#LOADING</v>
      </c>
      <c r="EK7" s="61"/>
      <c r="EL7" s="61"/>
      <c r="EM7" s="61" t="s">
        <v>51</v>
      </c>
      <c r="EN7" s="73" t="str">
        <f t="shared" ref="EN7:EN26" si="36">$HB7</f>
        <v>NYB</v>
      </c>
      <c r="EO7" s="61" t="s">
        <v>51</v>
      </c>
      <c r="EP7" s="73" t="str">
        <f t="shared" ref="EP7:EP26" si="37">$HD7</f>
        <v>NYB</v>
      </c>
      <c r="EQ7" s="76" t="str">
        <f t="shared" ref="EQ7:EQ26" ca="1" si="38">$GV7</f>
        <v>#LOADING</v>
      </c>
      <c r="ER7" s="76" t="str">
        <f t="shared" ref="ER7:ER26" ca="1" si="39">$GW7</f>
        <v>#LOADING</v>
      </c>
      <c r="ES7" s="70" t="s">
        <v>80</v>
      </c>
      <c r="ET7" s="61"/>
      <c r="EU7" s="61"/>
      <c r="EV7" s="61" t="s">
        <v>62</v>
      </c>
      <c r="EW7" s="61"/>
      <c r="EX7" s="76" t="str">
        <f t="shared" ref="EX7:EX26" ca="1" si="40">$HH7</f>
        <v>#LOADING</v>
      </c>
      <c r="EZ7" s="113" t="s">
        <v>8</v>
      </c>
      <c r="FA7" s="114">
        <v>1000000</v>
      </c>
      <c r="FB7" s="113" t="s">
        <v>14</v>
      </c>
      <c r="FC7" s="113" t="s">
        <v>18</v>
      </c>
      <c r="FD7" s="115" t="str">
        <f t="shared" ref="FD7:FD26" si="41">$AA7&amp;VLOOKUP($I7,Static.FrequencyToCurveIndex,2,FALSE)</f>
        <v>USD3ML</v>
      </c>
      <c r="FE7" s="115" t="str">
        <f t="shared" ref="FE7:FE26" si="42">VLOOKUP($GL7,Static.CurrencyToAssetSwap,3,FALSE)</f>
        <v>USDOIS</v>
      </c>
      <c r="FF7" s="116" t="str">
        <f t="shared" ref="FF7:FF26" si="43">$AA7</f>
        <v>USD</v>
      </c>
      <c r="FG7" s="117">
        <v>1</v>
      </c>
      <c r="FH7" s="118"/>
      <c r="FI7" s="113" t="s">
        <v>32</v>
      </c>
      <c r="FJ7" s="113" t="s">
        <v>32</v>
      </c>
      <c r="FK7" s="119"/>
      <c r="FL7" s="119"/>
      <c r="FM7" s="117"/>
      <c r="FN7" s="120" t="str">
        <f t="shared" ref="FN7:FN26" ca="1" si="44">$GU7</f>
        <v>#LOADING</v>
      </c>
      <c r="FO7" s="120" t="str">
        <f t="shared" ref="FO7:FO26" ca="1" si="45">$GX7</f>
        <v>#LOADING</v>
      </c>
      <c r="FP7" s="115" t="str">
        <f t="shared" ref="FP7:FP26" si="46">$I7</f>
        <v>QUARTERLY</v>
      </c>
      <c r="FQ7" s="115" t="str">
        <f t="shared" ref="FQ7:FQ26" si="47">$I7</f>
        <v>QUARTERLY</v>
      </c>
      <c r="FR7" s="115" t="str">
        <f t="shared" ref="FR7:FR26" si="48">VLOOKUP($GL7,Static.CurrencyToAssetSwap,6,FALSE)</f>
        <v>ACT/360</v>
      </c>
      <c r="FS7" s="113" t="s">
        <v>58</v>
      </c>
      <c r="FT7" s="115" t="str">
        <f t="shared" ref="FT7:FT26" si="49">VLOOKUP($GL7,Static.CurrencyToAssetSwap,4,FALSE)</f>
        <v>NYB:LNB</v>
      </c>
      <c r="FU7" s="113" t="s">
        <v>51</v>
      </c>
      <c r="FV7" s="115" t="str">
        <f t="shared" ref="FV7:FV26" si="50">VLOOKUP($GL7,Static.CurrencyToAssetSwap,5,FALSE)</f>
        <v>NYB</v>
      </c>
      <c r="FW7" s="113" t="s">
        <v>51</v>
      </c>
      <c r="FX7" s="115" t="str">
        <f t="shared" ref="FX7:FX26" si="51">VLOOKUP($GL7,Static.CurrencyToAssetSwap,5,FALSE)</f>
        <v>NYB</v>
      </c>
      <c r="FY7" s="121"/>
      <c r="FZ7" s="121"/>
      <c r="GA7" s="122"/>
      <c r="GB7" s="113" t="s">
        <v>62</v>
      </c>
      <c r="GC7" s="113"/>
      <c r="GD7" s="113" t="s">
        <v>62</v>
      </c>
      <c r="GE7" s="113" t="s">
        <v>75</v>
      </c>
      <c r="GF7" s="121"/>
      <c r="GJ7" s="95" t="str">
        <f t="shared" ref="GJ7:GJ26" si="52">$B7</f>
        <v>ING BANK NV</v>
      </c>
      <c r="GK7" s="42" t="str">
        <f ca="1">IF(LEFT(_xll.BDP($C7,GK$5),1)="#","#LOADING",_xll.BDP($C7,GK$5))</f>
        <v>#LOADING</v>
      </c>
      <c r="GL7" s="74" t="str">
        <f t="shared" ref="GL7:GL26" si="53">$D7</f>
        <v>USD</v>
      </c>
      <c r="GM7" s="74" t="str">
        <f t="shared" ref="GM7:GM26" si="54">LEFT(C7,LEN(C7)-5)</f>
        <v>XS1339542364</v>
      </c>
      <c r="GN7" s="64" t="s">
        <v>20</v>
      </c>
      <c r="GO7" s="42" t="str">
        <f ca="1">IF(LEFT(_xll.BDP($C7,GO$5),1)="#","#LOADING",IF(_xll.BDP($C7,GO$5)="CLEAN",TRUE,FALSE))</f>
        <v>#LOADING</v>
      </c>
      <c r="GP7" s="64" t="s">
        <v>26</v>
      </c>
      <c r="GQ7" s="61" t="s">
        <v>18</v>
      </c>
      <c r="GR7" s="65" t="s">
        <v>28</v>
      </c>
      <c r="GS7" s="66">
        <v>1000000</v>
      </c>
      <c r="GT7" s="96" t="str">
        <f ca="1">IF(LEFT(_xll.BDP($C7,GT$5),1)="#","#LOADING",DATEVALUE(_xll.BDP($C7,GT$5)))</f>
        <v>#LOADING</v>
      </c>
      <c r="GU7" s="96" t="str">
        <f ca="1">IF(LEFT(_xll.BDP($C7,GU$5),1)="#","#LOADING",DATEVALUE(_xll.BDP($C7,GU$5)))</f>
        <v>#LOADING</v>
      </c>
      <c r="GV7" s="96" t="str">
        <f ca="1">IF(LEFT(_xll.BDP($C7,GV$5),1)="#","#LOADING",DATEVALUE(_xll.BDP($C7,GV$5)))</f>
        <v>#LOADING</v>
      </c>
      <c r="GW7" s="96" t="str">
        <f ca="1">IF(LEFT(_xll.BDP($C7,GW$5),1)="#","#LOADING",DATEVALUE(_xll.BDP($C7,GW$5)))</f>
        <v>#LOADING</v>
      </c>
      <c r="GX7" s="96" t="str">
        <f ca="1">IF(LEFT(_xll.BDP($C7,GX$5),1)="#","#LOADING",DATEVALUE(_xll.BDP($C7,GX$5)))</f>
        <v>#LOADING</v>
      </c>
      <c r="GY7" s="97" t="str">
        <f ca="1">IF(LEFT(_xll.BDP($C7,GY$5),1)="#","#LOADING",_xll.BDP($C7,GY$5)%)</f>
        <v>#LOADING</v>
      </c>
      <c r="GZ7" s="97" t="str">
        <f ca="1">IF(LEFT(_xll.BDP($C7,GZ$5),1)="#","#LOADING",VLOOKUP(_xll.BDP($C7,GZ$5),Static.CouponFrequency,2,FALSE))</f>
        <v>#LOADING</v>
      </c>
      <c r="HA7" s="68" t="s">
        <v>51</v>
      </c>
      <c r="HB7" s="73" t="str">
        <f t="shared" ref="HB7:HB26" si="55">VLOOKUP($GL7,Static.CurrencyToCalendar,2,FALSE)</f>
        <v>NYB</v>
      </c>
      <c r="HC7" s="61" t="s">
        <v>51</v>
      </c>
      <c r="HD7" s="73" t="str">
        <f t="shared" ref="HD7:HD26" si="56">VLOOKUP($GL7,Static.CurrencyToCalendar,2,FALSE)</f>
        <v>NYB</v>
      </c>
      <c r="HE7" s="61" t="s">
        <v>62</v>
      </c>
      <c r="HF7" s="43" t="str">
        <f ca="1">IF(LEFT(_xll.BDP($C7,HF$5),1)="#","#LOADING",_xll.BDP($C7,HF$5))</f>
        <v>#LOADING</v>
      </c>
      <c r="HG7" s="70"/>
      <c r="HH7" s="43" t="str">
        <f ca="1">IF(LEFT(_xll.BDP($C7,HH$5),1)="#","#LOADING","Type"&amp;IF(_xll.BDP($C7,HH$5)=999,1,_xll.BDP($C7,HH$5)))</f>
        <v>#LOADING</v>
      </c>
      <c r="HI7" s="54"/>
    </row>
    <row r="8" spans="1:217">
      <c r="A8" s="101">
        <v>2</v>
      </c>
      <c r="B8" s="57" t="s">
        <v>186</v>
      </c>
      <c r="C8" s="57" t="s">
        <v>187</v>
      </c>
      <c r="D8" s="57" t="s">
        <v>101</v>
      </c>
      <c r="E8" s="57" t="s">
        <v>35</v>
      </c>
      <c r="F8" s="57" t="s">
        <v>186</v>
      </c>
      <c r="G8" s="57" t="s">
        <v>188</v>
      </c>
      <c r="H8" s="57" t="s">
        <v>101</v>
      </c>
      <c r="I8" s="57" t="s">
        <v>35</v>
      </c>
      <c r="J8" s="101">
        <v>2</v>
      </c>
      <c r="K8" s="58" t="s">
        <v>163</v>
      </c>
      <c r="L8" s="59" t="str">
        <f ca="1">IF(ISBLANK(M8),IF($G8="","",_xll.BDP(AB8&amp;" "&amp;$K8&amp;" Corp","PX_LAST")),M8)</f>
        <v>#N/A Requesting Data...</v>
      </c>
      <c r="M8" s="60"/>
      <c r="N8" s="83" t="str">
        <f ca="1">IF(ISBLANK($O8),IF($G8="","",_xll.meLWOAssetSwapSpread($U8,$T8,$L8,INDIRECT("ValuationSettings"&amp;$CN8),INDIRECT("Fixings"&amp;$CN8&amp;IF($I8="QUARTERLY","3ML","6ML")))),$O8)</f>
        <v>#Error: Invalid input, numeric input required</v>
      </c>
      <c r="O8" s="60"/>
      <c r="P8" s="84" t="str">
        <f ca="1">IF($C8="","",_xll.meLWOAssetSwapSpreadToCleanPrice($V8,$N8,INDIRECT("ValuationSettings"&amp;$DX8),INDIRECT("Fixings"&amp;$DX8&amp;IF($E8="QUARTERLY","3ML","6ML"))))</f>
        <v>#Error: Invalid input, numeric input required</v>
      </c>
      <c r="Q8" s="84" t="str">
        <f ca="1">IF($C8="","",_xll.meLWOBondPriceFromCleanToDirty($W8,INDIRECT("ValuationDate"&amp;$D8),$P8))</f>
        <v>#Error: Invalid input, numeric input required</v>
      </c>
      <c r="R8" s="98" t="str">
        <f ca="1">IF($C8="","",_xll.meLWOBondYield($W8,INDIRECT("ValuationDate"&amp;$D8),IF($GO8,$P8,$Q8)))</f>
        <v>#Error: Invalid input, numeric input required</v>
      </c>
      <c r="S8" s="101">
        <v>2</v>
      </c>
      <c r="T8" s="53" t="str">
        <f ca="1">IF($G8="","",IF(LEFT(Z8,1)="#","#LOADING",_xll.meLWOBondCreateFromLVB("PROXY_BOND_"&amp;$AB8,_xll.meUtilityLVBFromKeysValues($Y$6:$AW$6,$Y8:$AW8))))</f>
        <v>#LOADING</v>
      </c>
      <c r="U8" s="53" t="str">
        <f ca="1">IF($G8="","",_xll.meLWOSwapCreate("PROXY_ASW_"&amp;$AB8,_xll.meUtilityLVBFromKeysAndMultipleValues($AZ$6:$CF$6,$AZ8:$CF8,$CH8:$DN8)))</f>
        <v>#Error: Frequency '#LOADING' invalid, must be 'NONE', 'ANNUAL', 'SEMI_ANNUAL', 'QUARTERLY', 'MONTHLY', 'WEEKLY', 'DAILY' or 'AT_MATURITY'.</v>
      </c>
      <c r="V8" s="53" t="str">
        <f ca="1">IF($C8="","",_xll.meLWOSwapCreate("BOND_ASW_"&amp;$GM8,_xll.meUtilityLVBFromKeysAndMultipleValues($DR$6:$EX$6,$DR8:$EX8,$EZ8:$GF8)))</f>
        <v>#Error: Frequency '#LOADING' invalid, must be 'NONE', 'ANNUAL', 'SEMI_ANNUAL', 'QUARTERLY', 'MONTHLY', 'WEEKLY', 'DAILY' or 'AT_MATURITY'.</v>
      </c>
      <c r="W8" s="53" t="str">
        <f ca="1">IF($C8="","",IF(LEFT(GK8,1)="#","#LOADING",_xll.meLWOBondCreateFromLVB("PROXY_BOND_"&amp;$GM8,_xll.meUtilityLVBFromKeysValues($GJ$6:$HH$6,$GJ8:$HH8))))</f>
        <v>#LOADING</v>
      </c>
      <c r="X8" t="s">
        <v>0</v>
      </c>
      <c r="Y8" s="62" t="str">
        <f t="shared" si="0"/>
        <v>NATIONAL GRID</v>
      </c>
      <c r="Z8" s="63" t="str">
        <f ca="1">IF(LEFT(_xll.BDP($G8,Z$5),1)="#","#LOADING",_xll.BDP($G8,Z$5))</f>
        <v>#LOADING</v>
      </c>
      <c r="AA8" s="41" t="str">
        <f t="shared" si="1"/>
        <v>USD</v>
      </c>
      <c r="AB8" s="63" t="str">
        <f ca="1">IF(LEFT(_xll.BDP($G8,AB$5),1)="#","#LOADING",_xll.BDP($G8,AB$5))</f>
        <v>#LOADING</v>
      </c>
      <c r="AC8" s="64" t="s">
        <v>20</v>
      </c>
      <c r="AD8" s="63" t="str">
        <f ca="1">IF(LEFT(_xll.BDP($G8,AD$5),1)="#","#LOADING",IF(_xll.BDP($G8,AD$5)="CLEAN",TRUE,FALSE))</f>
        <v>#LOADING</v>
      </c>
      <c r="AE8" s="64" t="s">
        <v>26</v>
      </c>
      <c r="AF8" s="61" t="s">
        <v>18</v>
      </c>
      <c r="AG8" s="65" t="s">
        <v>28</v>
      </c>
      <c r="AH8" s="66">
        <v>1000000</v>
      </c>
      <c r="AI8" s="63" t="str">
        <f ca="1">IF(LEFT(_xll.BDP($G8,AI$5),1)="#","#LOADING",DATEVALUE(_xll.BDP($G8,AI$5)))</f>
        <v>#LOADING</v>
      </c>
      <c r="AJ8" s="63" t="str">
        <f ca="1">IF(LEFT(_xll.BDP($G8,AJ$5),1)="#","#LOADING",DATEVALUE(_xll.BDP($G8,AJ$5)))</f>
        <v>#LOADING</v>
      </c>
      <c r="AK8" s="63" t="str">
        <f ca="1">IF(LEFT(_xll.BDP($G8,AK$5),1)="#","#LOADING",DATEVALUE(_xll.BDP($G8,AK$5)))</f>
        <v>#LOADING</v>
      </c>
      <c r="AL8" s="63" t="str">
        <f ca="1">IF(LEFT(_xll.BDP($G8,AL$5),1)="#","#LOADING",DATEVALUE(_xll.BDP($G8,AL$5)))</f>
        <v>#LOADING</v>
      </c>
      <c r="AM8" s="63" t="str">
        <f ca="1">IF(LEFT(_xll.BDP($G8,AM$5),1)="#","#LOADING",DATEVALUE(_xll.BDP($G8,AM$5)))</f>
        <v>#LOADING</v>
      </c>
      <c r="AN8" s="67" t="str">
        <f ca="1">IF(LEFT(_xll.BDP($G8,AN$5),1)="#","#LOADING",_xll.BDP($G8,AN$5)%)</f>
        <v>#LOADING</v>
      </c>
      <c r="AO8" s="67" t="str">
        <f ca="1">IF(LEFT(_xll.BDP($G8,AO$5),1)="#","#LOADING",VLOOKUP(_xll.BDP($G8,AO$5),Static.CouponFrequency,2,FALSE))</f>
        <v>#LOADING</v>
      </c>
      <c r="AP8" s="68" t="s">
        <v>51</v>
      </c>
      <c r="AQ8" s="53" t="str">
        <f t="shared" si="2"/>
        <v>NYB</v>
      </c>
      <c r="AR8" s="61" t="s">
        <v>51</v>
      </c>
      <c r="AS8" s="53" t="str">
        <f t="shared" si="3"/>
        <v>NYB</v>
      </c>
      <c r="AT8" s="61" t="s">
        <v>62</v>
      </c>
      <c r="AU8" s="69" t="str">
        <f ca="1">IF(LEFT(_xll.BDP($G8,AU$5),1)="#","#LOADING",_xll.BDP($G8,AU$5))</f>
        <v>#LOADING</v>
      </c>
      <c r="AV8" s="70"/>
      <c r="AW8" s="69" t="str">
        <f ca="1">IF(LEFT(_xll.BDP($G8,AW$5),1)="#","#LOADING","Type"&amp;IF(_xll.BDP($G8,AW$5)=999,1,_xll.BDP($G8,AW$5)))</f>
        <v>#LOADING</v>
      </c>
      <c r="AX8" s="54"/>
      <c r="AZ8" s="61" t="s">
        <v>7</v>
      </c>
      <c r="BA8" s="66">
        <v>1000000</v>
      </c>
      <c r="BB8" s="61" t="s">
        <v>14</v>
      </c>
      <c r="BC8" s="61" t="s">
        <v>17</v>
      </c>
      <c r="BD8" s="70"/>
      <c r="BE8" s="73" t="str">
        <f t="shared" si="4"/>
        <v>USDOIS</v>
      </c>
      <c r="BF8" s="74" t="str">
        <f t="shared" si="5"/>
        <v>USD</v>
      </c>
      <c r="BG8" s="71">
        <v>1</v>
      </c>
      <c r="BH8" s="75" t="str">
        <f t="shared" ca="1" si="6"/>
        <v>#LOADING</v>
      </c>
      <c r="BI8" s="61"/>
      <c r="BJ8" s="61"/>
      <c r="BK8" s="72"/>
      <c r="BL8" s="72"/>
      <c r="BM8" s="71"/>
      <c r="BN8" s="76" t="str">
        <f t="shared" ca="1" si="7"/>
        <v>#LOADING</v>
      </c>
      <c r="BO8" s="76" t="str">
        <f t="shared" ca="1" si="8"/>
        <v>#LOADING</v>
      </c>
      <c r="BP8" s="77" t="str">
        <f t="shared" ca="1" si="9"/>
        <v>#LOADING</v>
      </c>
      <c r="BQ8" s="77" t="str">
        <f t="shared" ca="1" si="10"/>
        <v>#LOADING</v>
      </c>
      <c r="BR8" s="78" t="str">
        <f t="shared" ca="1" si="11"/>
        <v>#LOADING</v>
      </c>
      <c r="BS8" s="61"/>
      <c r="BT8" s="61"/>
      <c r="BU8" s="61" t="s">
        <v>51</v>
      </c>
      <c r="BV8" s="73" t="str">
        <f t="shared" si="12"/>
        <v>NYB</v>
      </c>
      <c r="BW8" s="61" t="s">
        <v>51</v>
      </c>
      <c r="BX8" s="73" t="str">
        <f t="shared" si="13"/>
        <v>NYB</v>
      </c>
      <c r="BY8" s="76" t="str">
        <f t="shared" ca="1" si="14"/>
        <v>#LOADING</v>
      </c>
      <c r="BZ8" s="76" t="str">
        <f t="shared" ca="1" si="15"/>
        <v>#LOADING</v>
      </c>
      <c r="CA8" s="70" t="s">
        <v>80</v>
      </c>
      <c r="CB8" s="61"/>
      <c r="CC8" s="61"/>
      <c r="CD8" s="61" t="s">
        <v>62</v>
      </c>
      <c r="CE8" s="61"/>
      <c r="CF8" s="76" t="str">
        <f t="shared" ca="1" si="16"/>
        <v>#LOADING</v>
      </c>
      <c r="CH8" s="61" t="s">
        <v>8</v>
      </c>
      <c r="CI8" s="66">
        <v>1000000</v>
      </c>
      <c r="CJ8" s="61" t="s">
        <v>14</v>
      </c>
      <c r="CK8" s="61" t="s">
        <v>18</v>
      </c>
      <c r="CL8" s="53" t="str">
        <f t="shared" si="17"/>
        <v>USD3ML</v>
      </c>
      <c r="CM8" s="53" t="str">
        <f t="shared" si="18"/>
        <v>USDOIS</v>
      </c>
      <c r="CN8" s="41" t="str">
        <f t="shared" si="19"/>
        <v>USD</v>
      </c>
      <c r="CO8" s="71">
        <v>1</v>
      </c>
      <c r="CP8" s="81"/>
      <c r="CQ8" s="61" t="s">
        <v>32</v>
      </c>
      <c r="CR8" s="61" t="s">
        <v>32</v>
      </c>
      <c r="CS8" s="72"/>
      <c r="CT8" s="72"/>
      <c r="CU8" s="71"/>
      <c r="CV8" s="82" t="str">
        <f t="shared" ca="1" si="20"/>
        <v>#LOADING</v>
      </c>
      <c r="CW8" s="82" t="str">
        <f t="shared" ca="1" si="21"/>
        <v>#LOADING</v>
      </c>
      <c r="CX8" s="53" t="str">
        <f t="shared" si="22"/>
        <v>QUARTERLY</v>
      </c>
      <c r="CY8" s="53" t="str">
        <f t="shared" si="23"/>
        <v>QUARTERLY</v>
      </c>
      <c r="CZ8" s="53" t="str">
        <f t="shared" si="24"/>
        <v>ACT/360</v>
      </c>
      <c r="DA8" s="61" t="s">
        <v>58</v>
      </c>
      <c r="DB8" s="53" t="str">
        <f t="shared" si="25"/>
        <v>NYB:LNB</v>
      </c>
      <c r="DC8" s="61" t="s">
        <v>51</v>
      </c>
      <c r="DD8" s="53" t="str">
        <f t="shared" si="26"/>
        <v>NYB</v>
      </c>
      <c r="DE8" s="61" t="s">
        <v>51</v>
      </c>
      <c r="DF8" s="53" t="str">
        <f t="shared" si="27"/>
        <v>NYB</v>
      </c>
      <c r="DG8" s="82"/>
      <c r="DH8" s="82"/>
      <c r="DI8" s="70"/>
      <c r="DJ8" s="61" t="s">
        <v>62</v>
      </c>
      <c r="DK8" s="61"/>
      <c r="DL8" s="61" t="s">
        <v>62</v>
      </c>
      <c r="DM8" s="61" t="s">
        <v>75</v>
      </c>
      <c r="DN8" s="82"/>
      <c r="DR8" s="61" t="s">
        <v>7</v>
      </c>
      <c r="DS8" s="66">
        <v>1000000</v>
      </c>
      <c r="DT8" s="61" t="s">
        <v>14</v>
      </c>
      <c r="DU8" s="61" t="s">
        <v>17</v>
      </c>
      <c r="DV8" s="70"/>
      <c r="DW8" s="73" t="str">
        <f t="shared" si="28"/>
        <v>USDOIS</v>
      </c>
      <c r="DX8" s="74" t="str">
        <f t="shared" si="29"/>
        <v>USD</v>
      </c>
      <c r="DY8" s="71">
        <v>1</v>
      </c>
      <c r="DZ8" s="75" t="str">
        <f ca="1">$GY8</f>
        <v>#LOADING</v>
      </c>
      <c r="EA8" s="61"/>
      <c r="EB8" s="61"/>
      <c r="EC8" s="72"/>
      <c r="ED8" s="72"/>
      <c r="EE8" s="71"/>
      <c r="EF8" s="76" t="str">
        <f t="shared" ca="1" si="31"/>
        <v>#LOADING</v>
      </c>
      <c r="EG8" s="76" t="str">
        <f t="shared" ca="1" si="32"/>
        <v>#LOADING</v>
      </c>
      <c r="EH8" s="77" t="str">
        <f t="shared" ca="1" si="33"/>
        <v>#LOADING</v>
      </c>
      <c r="EI8" s="77" t="str">
        <f t="shared" ca="1" si="34"/>
        <v>#LOADING</v>
      </c>
      <c r="EJ8" s="78" t="str">
        <f t="shared" ca="1" si="35"/>
        <v>#LOADING</v>
      </c>
      <c r="EK8" s="61"/>
      <c r="EL8" s="61"/>
      <c r="EM8" s="61" t="s">
        <v>51</v>
      </c>
      <c r="EN8" s="73" t="str">
        <f t="shared" si="36"/>
        <v>NYB</v>
      </c>
      <c r="EO8" s="61" t="s">
        <v>51</v>
      </c>
      <c r="EP8" s="73" t="str">
        <f t="shared" si="37"/>
        <v>NYB</v>
      </c>
      <c r="EQ8" s="76" t="str">
        <f t="shared" ca="1" si="38"/>
        <v>#LOADING</v>
      </c>
      <c r="ER8" s="76" t="str">
        <f t="shared" ca="1" si="39"/>
        <v>#LOADING</v>
      </c>
      <c r="ES8" s="70" t="s">
        <v>80</v>
      </c>
      <c r="ET8" s="61"/>
      <c r="EU8" s="61"/>
      <c r="EV8" s="61" t="s">
        <v>62</v>
      </c>
      <c r="EW8" s="61"/>
      <c r="EX8" s="76" t="str">
        <f t="shared" ca="1" si="40"/>
        <v>#LOADING</v>
      </c>
      <c r="EZ8" s="61" t="s">
        <v>8</v>
      </c>
      <c r="FA8" s="66">
        <v>1000000</v>
      </c>
      <c r="FB8" s="61" t="s">
        <v>14</v>
      </c>
      <c r="FC8" s="61" t="s">
        <v>18</v>
      </c>
      <c r="FD8" s="73" t="str">
        <f t="shared" si="41"/>
        <v>USD3ML</v>
      </c>
      <c r="FE8" s="73" t="str">
        <f t="shared" si="42"/>
        <v>USDOIS</v>
      </c>
      <c r="FF8" s="41" t="str">
        <f t="shared" si="43"/>
        <v>USD</v>
      </c>
      <c r="FG8" s="71">
        <v>1</v>
      </c>
      <c r="FH8" s="81"/>
      <c r="FI8" s="61" t="s">
        <v>32</v>
      </c>
      <c r="FJ8" s="61" t="s">
        <v>32</v>
      </c>
      <c r="FK8" s="72"/>
      <c r="FL8" s="72"/>
      <c r="FM8" s="71"/>
      <c r="FN8" s="76" t="str">
        <f t="shared" ca="1" si="44"/>
        <v>#LOADING</v>
      </c>
      <c r="FO8" s="76" t="str">
        <f t="shared" ca="1" si="45"/>
        <v>#LOADING</v>
      </c>
      <c r="FP8" s="73" t="str">
        <f t="shared" si="46"/>
        <v>QUARTERLY</v>
      </c>
      <c r="FQ8" s="73" t="str">
        <f t="shared" si="47"/>
        <v>QUARTERLY</v>
      </c>
      <c r="FR8" s="73" t="str">
        <f t="shared" si="48"/>
        <v>ACT/360</v>
      </c>
      <c r="FS8" s="61" t="s">
        <v>58</v>
      </c>
      <c r="FT8" s="73" t="str">
        <f t="shared" si="49"/>
        <v>NYB:LNB</v>
      </c>
      <c r="FU8" s="61" t="s">
        <v>51</v>
      </c>
      <c r="FV8" s="73" t="str">
        <f t="shared" si="50"/>
        <v>NYB</v>
      </c>
      <c r="FW8" s="61" t="s">
        <v>51</v>
      </c>
      <c r="FX8" s="73" t="str">
        <f t="shared" si="51"/>
        <v>NYB</v>
      </c>
      <c r="FY8" s="82"/>
      <c r="FZ8" s="82"/>
      <c r="GA8" s="70"/>
      <c r="GB8" s="61" t="s">
        <v>62</v>
      </c>
      <c r="GC8" s="61"/>
      <c r="GD8" s="61" t="s">
        <v>62</v>
      </c>
      <c r="GE8" s="61" t="s">
        <v>75</v>
      </c>
      <c r="GF8" s="82"/>
      <c r="GJ8" s="95" t="str">
        <f t="shared" si="52"/>
        <v>NATIONAL GRID</v>
      </c>
      <c r="GK8" s="42" t="str">
        <f ca="1">IF(LEFT(_xll.BDP($C8,GK$5),1)="#","#LOADING",_xll.BDP($C8,GK$5))</f>
        <v>#LOADING</v>
      </c>
      <c r="GL8" s="74" t="str">
        <f t="shared" si="53"/>
        <v>USD</v>
      </c>
      <c r="GM8" s="74" t="str">
        <f t="shared" si="54"/>
        <v>XS1215869915</v>
      </c>
      <c r="GN8" s="64" t="s">
        <v>20</v>
      </c>
      <c r="GO8" s="42" t="str">
        <f ca="1">IF(LEFT(_xll.BDP($C8,GO$5),1)="#","#LOADING",IF(_xll.BDP($C8,GO$5)="CLEAN",TRUE,FALSE))</f>
        <v>#LOADING</v>
      </c>
      <c r="GP8" s="64" t="s">
        <v>26</v>
      </c>
      <c r="GQ8" s="61" t="s">
        <v>18</v>
      </c>
      <c r="GR8" s="65" t="s">
        <v>28</v>
      </c>
      <c r="GS8" s="66">
        <v>1000000</v>
      </c>
      <c r="GT8" s="96" t="str">
        <f ca="1">IF(LEFT(_xll.BDP($C8,GT$5),1)="#","#LOADING",DATEVALUE(_xll.BDP($C8,GT$5)))</f>
        <v>#LOADING</v>
      </c>
      <c r="GU8" s="96" t="str">
        <f ca="1">IF(LEFT(_xll.BDP($C8,GU$5),1)="#","#LOADING",DATEVALUE(_xll.BDP($C8,GU$5)))</f>
        <v>#LOADING</v>
      </c>
      <c r="GV8" s="96" t="str">
        <f ca="1">IF(LEFT(_xll.BDP($C8,GV$5),1)="#","#LOADING",DATEVALUE(_xll.BDP($C8,GV$5)))</f>
        <v>#LOADING</v>
      </c>
      <c r="GW8" s="96" t="str">
        <f ca="1">IF(LEFT(_xll.BDP($C8,GW$5),1)="#","#LOADING",DATEVALUE(_xll.BDP($C8,GW$5)))</f>
        <v>#LOADING</v>
      </c>
      <c r="GX8" s="96" t="str">
        <f ca="1">IF(LEFT(_xll.BDP($C8,GX$5),1)="#","#LOADING",DATEVALUE(_xll.BDP($C8,GX$5)))</f>
        <v>#LOADING</v>
      </c>
      <c r="GY8" s="97" t="str">
        <f ca="1">IF(LEFT(_xll.BDP($C8,GY$5),1)="#","#LOADING",_xll.BDP($C8,GY$5)%)</f>
        <v>#LOADING</v>
      </c>
      <c r="GZ8" s="97" t="str">
        <f ca="1">IF(LEFT(_xll.BDP($C8,GZ$5),1)="#","#LOADING",VLOOKUP(_xll.BDP($C8,GZ$5),Static.CouponFrequency,2,FALSE))</f>
        <v>#LOADING</v>
      </c>
      <c r="HA8" s="68" t="s">
        <v>51</v>
      </c>
      <c r="HB8" s="73" t="str">
        <f t="shared" si="55"/>
        <v>NYB</v>
      </c>
      <c r="HC8" s="61" t="s">
        <v>51</v>
      </c>
      <c r="HD8" s="73" t="str">
        <f t="shared" si="56"/>
        <v>NYB</v>
      </c>
      <c r="HE8" s="61" t="s">
        <v>62</v>
      </c>
      <c r="HF8" s="43" t="str">
        <f ca="1">IF(LEFT(_xll.BDP($C8,HF$5),1)="#","#LOADING",_xll.BDP($C8,HF$5))</f>
        <v>#LOADING</v>
      </c>
      <c r="HG8" s="70"/>
      <c r="HH8" s="43" t="str">
        <f ca="1">IF(LEFT(_xll.BDP($C8,HH$5),1)="#","#LOADING","Type"&amp;IF(_xll.BDP($C8,HH$5)=999,1,_xll.BDP($C8,HH$5)))</f>
        <v>#LOADING</v>
      </c>
    </row>
    <row r="9" spans="1:217">
      <c r="A9" s="101">
        <v>3</v>
      </c>
      <c r="B9" s="57" t="s">
        <v>189</v>
      </c>
      <c r="C9" s="57" t="s">
        <v>190</v>
      </c>
      <c r="D9" s="57" t="s">
        <v>101</v>
      </c>
      <c r="E9" s="57" t="s">
        <v>35</v>
      </c>
      <c r="F9" s="57" t="s">
        <v>191</v>
      </c>
      <c r="G9" s="57" t="s">
        <v>192</v>
      </c>
      <c r="H9" s="57" t="s">
        <v>101</v>
      </c>
      <c r="I9" s="57" t="s">
        <v>35</v>
      </c>
      <c r="J9" s="101">
        <v>3</v>
      </c>
      <c r="K9" s="58" t="s">
        <v>163</v>
      </c>
      <c r="L9" s="59" t="str">
        <f ca="1">IF(ISBLANK(M9),IF($G9="","",_xll.BDP(AB9&amp;" "&amp;$K9&amp;" Corp","PX_LAST")),M9)</f>
        <v>#N/A Requesting Data...</v>
      </c>
      <c r="M9" s="60"/>
      <c r="N9" s="83" t="str">
        <f ca="1">IF(ISBLANK($O9),IF($G9="","",_xll.meLWOAssetSwapSpread($U9,$T9,$L9,INDIRECT("ValuationSettings"&amp;$CN9),INDIRECT("Fixings"&amp;$CN9&amp;IF($I9="QUARTERLY","3ML","6ML")))),$O9)</f>
        <v>#Error: Invalid input, numeric input required</v>
      </c>
      <c r="O9" s="60"/>
      <c r="P9" s="84" t="str">
        <f ca="1">IF($C9="","",_xll.meLWOAssetSwapSpreadToCleanPrice($V9,$N9,INDIRECT("ValuationSettings"&amp;$DX9),INDIRECT("Fixings"&amp;$DX9&amp;IF($E9="QUARTERLY","3ML","6ML"))))</f>
        <v>#Error: Invalid input, numeric input required</v>
      </c>
      <c r="Q9" s="84" t="str">
        <f ca="1">IF($C9="","",_xll.meLWOBondPriceFromCleanToDirty($W9,INDIRECT("ValuationDate"&amp;$D9),$P9))</f>
        <v>#Error: Invalid input, numeric input required</v>
      </c>
      <c r="R9" s="98" t="str">
        <f ca="1">IF($C9="","",_xll.meLWOBondYield($W9,INDIRECT("ValuationDate"&amp;$D9),IF($GO9,$P9,$Q9)))</f>
        <v>#Error: Invalid input, numeric input required</v>
      </c>
      <c r="S9" s="101">
        <v>3</v>
      </c>
      <c r="T9" s="53" t="str">
        <f ca="1">IF($G9="","",IF(LEFT(Z9,1)="#","#LOADING",_xll.meLWOBondCreateFromLVB("PROXY_BOND_"&amp;$AB9,_xll.meUtilityLVBFromKeysValues($Y$6:$AW$6,$Y9:$AW9))))</f>
        <v>#LOADING</v>
      </c>
      <c r="U9" s="53" t="str">
        <f ca="1">IF($G9="","",_xll.meLWOSwapCreate("PROXY_ASW_"&amp;$AB9,_xll.meUtilityLVBFromKeysAndMultipleValues($AZ$6:$CF$6,$AZ9:$CF9,$CH9:$DN9)))</f>
        <v>#Error: Frequency '#LOADING' invalid, must be 'NONE', 'ANNUAL', 'SEMI_ANNUAL', 'QUARTERLY', 'MONTHLY', 'WEEKLY', 'DAILY' or 'AT_MATURITY'.</v>
      </c>
      <c r="V9" s="53" t="str">
        <f ca="1">IF($C9="","",_xll.meLWOSwapCreate("BOND_ASW_"&amp;$GM9,_xll.meUtilityLVBFromKeysAndMultipleValues($DR$6:$EX$6,$DR9:$EX9,$EZ9:$GF9)))</f>
        <v>#Error: Frequency '#LOADING' invalid, must be 'NONE', 'ANNUAL', 'SEMI_ANNUAL', 'QUARTERLY', 'MONTHLY', 'WEEKLY', 'DAILY' or 'AT_MATURITY'.</v>
      </c>
      <c r="W9" s="53" t="str">
        <f ca="1">IF($C9="","",IF(LEFT(GK9,1)="#","#LOADING",_xll.meLWOBondCreateFromLVB("PROXY_BOND_"&amp;$GM9,_xll.meUtilityLVBFromKeysValues($GJ$6:$HH$6,$GJ9:$HH9))))</f>
        <v>#LOADING</v>
      </c>
      <c r="X9" t="s">
        <v>0</v>
      </c>
      <c r="Y9" s="62" t="str">
        <f t="shared" si="0"/>
        <v>STATE OF QATAR</v>
      </c>
      <c r="Z9" s="63" t="str">
        <f ca="1">IF(LEFT(_xll.BDP($G9,Z$5),1)="#","#LOADING",_xll.BDP($G9,Z$5))</f>
        <v>#LOADING</v>
      </c>
      <c r="AA9" s="41" t="str">
        <f t="shared" si="1"/>
        <v>USD</v>
      </c>
      <c r="AB9" s="63" t="str">
        <f ca="1">IF(LEFT(_xll.BDP($G9,AB$5),1)="#","#LOADING",_xll.BDP($G9,AB$5))</f>
        <v>#LOADING</v>
      </c>
      <c r="AC9" s="64" t="s">
        <v>20</v>
      </c>
      <c r="AD9" s="63" t="str">
        <f ca="1">IF(LEFT(_xll.BDP($G9,AD$5),1)="#","#LOADING",IF(_xll.BDP($G9,AD$5)="CLEAN",TRUE,FALSE))</f>
        <v>#LOADING</v>
      </c>
      <c r="AE9" s="64" t="s">
        <v>26</v>
      </c>
      <c r="AF9" s="61" t="s">
        <v>18</v>
      </c>
      <c r="AG9" s="65" t="s">
        <v>28</v>
      </c>
      <c r="AH9" s="66">
        <v>1000000</v>
      </c>
      <c r="AI9" s="63" t="str">
        <f ca="1">IF(LEFT(_xll.BDP($G9,AI$5),1)="#","#LOADING",DATEVALUE(_xll.BDP($G9,AI$5)))</f>
        <v>#LOADING</v>
      </c>
      <c r="AJ9" s="63" t="str">
        <f ca="1">IF(LEFT(_xll.BDP($G9,AJ$5),1)="#","#LOADING",DATEVALUE(_xll.BDP($G9,AJ$5)))</f>
        <v>#LOADING</v>
      </c>
      <c r="AK9" s="63" t="str">
        <f ca="1">IF(LEFT(_xll.BDP($G9,AK$5),1)="#","#LOADING",DATEVALUE(_xll.BDP($G9,AK$5)))</f>
        <v>#LOADING</v>
      </c>
      <c r="AL9" s="63" t="str">
        <f ca="1">IF(LEFT(_xll.BDP($G9,AL$5),1)="#","#LOADING",DATEVALUE(_xll.BDP($G9,AL$5)))</f>
        <v>#LOADING</v>
      </c>
      <c r="AM9" s="63" t="str">
        <f ca="1">IF(LEFT(_xll.BDP($G9,AM$5),1)="#","#LOADING",DATEVALUE(_xll.BDP($G9,AM$5)))</f>
        <v>#LOADING</v>
      </c>
      <c r="AN9" s="67" t="str">
        <f ca="1">IF(LEFT(_xll.BDP($G9,AN$5),1)="#","#LOADING",_xll.BDP($G9,AN$5)%)</f>
        <v>#LOADING</v>
      </c>
      <c r="AO9" s="67" t="str">
        <f ca="1">IF(LEFT(_xll.BDP($G9,AO$5),1)="#","#LOADING",VLOOKUP(_xll.BDP($G9,AO$5),Static.CouponFrequency,2,FALSE))</f>
        <v>#LOADING</v>
      </c>
      <c r="AP9" s="68" t="s">
        <v>51</v>
      </c>
      <c r="AQ9" s="53" t="str">
        <f t="shared" si="2"/>
        <v>NYB</v>
      </c>
      <c r="AR9" s="61" t="s">
        <v>51</v>
      </c>
      <c r="AS9" s="53" t="str">
        <f t="shared" si="3"/>
        <v>NYB</v>
      </c>
      <c r="AT9" s="61" t="s">
        <v>62</v>
      </c>
      <c r="AU9" s="69" t="str">
        <f ca="1">IF(LEFT(_xll.BDP($G9,AU$5),1)="#","#LOADING",_xll.BDP($G9,AU$5))</f>
        <v>#LOADING</v>
      </c>
      <c r="AV9" s="70"/>
      <c r="AW9" s="69" t="str">
        <f ca="1">IF(LEFT(_xll.BDP($G9,AW$5),1)="#","#LOADING","Type"&amp;IF(_xll.BDP($G9,AW$5)=999,1,_xll.BDP($G9,AW$5)))</f>
        <v>#LOADING</v>
      </c>
      <c r="AX9" s="54"/>
      <c r="AZ9" s="61" t="s">
        <v>7</v>
      </c>
      <c r="BA9" s="66">
        <v>1000000</v>
      </c>
      <c r="BB9" s="61" t="s">
        <v>14</v>
      </c>
      <c r="BC9" s="61" t="s">
        <v>17</v>
      </c>
      <c r="BD9" s="70"/>
      <c r="BE9" s="73" t="str">
        <f t="shared" si="4"/>
        <v>USDOIS</v>
      </c>
      <c r="BF9" s="74" t="str">
        <f t="shared" si="5"/>
        <v>USD</v>
      </c>
      <c r="BG9" s="71">
        <v>1</v>
      </c>
      <c r="BH9" s="75" t="str">
        <f t="shared" ca="1" si="6"/>
        <v>#LOADING</v>
      </c>
      <c r="BI9" s="61"/>
      <c r="BJ9" s="61"/>
      <c r="BK9" s="72"/>
      <c r="BL9" s="72"/>
      <c r="BM9" s="71"/>
      <c r="BN9" s="76" t="str">
        <f t="shared" ca="1" si="7"/>
        <v>#LOADING</v>
      </c>
      <c r="BO9" s="76" t="str">
        <f t="shared" ca="1" si="8"/>
        <v>#LOADING</v>
      </c>
      <c r="BP9" s="77" t="str">
        <f t="shared" ca="1" si="9"/>
        <v>#LOADING</v>
      </c>
      <c r="BQ9" s="77" t="str">
        <f t="shared" ca="1" si="10"/>
        <v>#LOADING</v>
      </c>
      <c r="BR9" s="78" t="str">
        <f t="shared" ca="1" si="11"/>
        <v>#LOADING</v>
      </c>
      <c r="BS9" s="61"/>
      <c r="BT9" s="61"/>
      <c r="BU9" s="61" t="s">
        <v>51</v>
      </c>
      <c r="BV9" s="73" t="str">
        <f t="shared" si="12"/>
        <v>NYB</v>
      </c>
      <c r="BW9" s="61" t="s">
        <v>51</v>
      </c>
      <c r="BX9" s="73" t="str">
        <f t="shared" si="13"/>
        <v>NYB</v>
      </c>
      <c r="BY9" s="76" t="str">
        <f t="shared" ca="1" si="14"/>
        <v>#LOADING</v>
      </c>
      <c r="BZ9" s="76" t="str">
        <f t="shared" ca="1" si="15"/>
        <v>#LOADING</v>
      </c>
      <c r="CA9" s="70" t="s">
        <v>80</v>
      </c>
      <c r="CB9" s="61"/>
      <c r="CC9" s="61"/>
      <c r="CD9" s="61" t="s">
        <v>62</v>
      </c>
      <c r="CE9" s="61"/>
      <c r="CF9" s="76" t="str">
        <f t="shared" ca="1" si="16"/>
        <v>#LOADING</v>
      </c>
      <c r="CH9" s="61" t="s">
        <v>8</v>
      </c>
      <c r="CI9" s="66">
        <v>1000000</v>
      </c>
      <c r="CJ9" s="61" t="s">
        <v>14</v>
      </c>
      <c r="CK9" s="61" t="s">
        <v>18</v>
      </c>
      <c r="CL9" s="53" t="str">
        <f t="shared" si="17"/>
        <v>USD3ML</v>
      </c>
      <c r="CM9" s="53" t="str">
        <f t="shared" si="18"/>
        <v>USDOIS</v>
      </c>
      <c r="CN9" s="41" t="str">
        <f t="shared" si="19"/>
        <v>USD</v>
      </c>
      <c r="CO9" s="71">
        <v>1</v>
      </c>
      <c r="CP9" s="81"/>
      <c r="CQ9" s="61" t="s">
        <v>32</v>
      </c>
      <c r="CR9" s="61" t="s">
        <v>32</v>
      </c>
      <c r="CS9" s="72"/>
      <c r="CT9" s="72"/>
      <c r="CU9" s="71"/>
      <c r="CV9" s="82" t="str">
        <f t="shared" ca="1" si="20"/>
        <v>#LOADING</v>
      </c>
      <c r="CW9" s="82" t="str">
        <f t="shared" ca="1" si="21"/>
        <v>#LOADING</v>
      </c>
      <c r="CX9" s="53" t="str">
        <f t="shared" si="22"/>
        <v>QUARTERLY</v>
      </c>
      <c r="CY9" s="53" t="str">
        <f t="shared" si="23"/>
        <v>QUARTERLY</v>
      </c>
      <c r="CZ9" s="53" t="str">
        <f t="shared" si="24"/>
        <v>ACT/360</v>
      </c>
      <c r="DA9" s="61" t="s">
        <v>58</v>
      </c>
      <c r="DB9" s="53" t="str">
        <f t="shared" si="25"/>
        <v>NYB:LNB</v>
      </c>
      <c r="DC9" s="61" t="s">
        <v>51</v>
      </c>
      <c r="DD9" s="53" t="str">
        <f t="shared" si="26"/>
        <v>NYB</v>
      </c>
      <c r="DE9" s="61" t="s">
        <v>51</v>
      </c>
      <c r="DF9" s="53" t="str">
        <f t="shared" si="27"/>
        <v>NYB</v>
      </c>
      <c r="DG9" s="82"/>
      <c r="DH9" s="82"/>
      <c r="DI9" s="70"/>
      <c r="DJ9" s="61" t="s">
        <v>62</v>
      </c>
      <c r="DK9" s="61"/>
      <c r="DL9" s="61" t="s">
        <v>62</v>
      </c>
      <c r="DM9" s="61" t="s">
        <v>75</v>
      </c>
      <c r="DN9" s="82"/>
      <c r="DR9" s="61" t="s">
        <v>7</v>
      </c>
      <c r="DS9" s="66">
        <v>1000000</v>
      </c>
      <c r="DT9" s="61" t="s">
        <v>14</v>
      </c>
      <c r="DU9" s="61" t="s">
        <v>17</v>
      </c>
      <c r="DV9" s="70"/>
      <c r="DW9" s="73" t="str">
        <f t="shared" si="28"/>
        <v>USDOIS</v>
      </c>
      <c r="DX9" s="74" t="str">
        <f t="shared" si="29"/>
        <v>USD</v>
      </c>
      <c r="DY9" s="71">
        <v>1</v>
      </c>
      <c r="DZ9" s="75" t="str">
        <f ca="1">$GY9</f>
        <v>#LOADING</v>
      </c>
      <c r="EA9" s="61"/>
      <c r="EB9" s="61"/>
      <c r="EC9" s="72"/>
      <c r="ED9" s="72"/>
      <c r="EE9" s="71"/>
      <c r="EF9" s="76" t="str">
        <f t="shared" ca="1" si="31"/>
        <v>#LOADING</v>
      </c>
      <c r="EG9" s="76" t="str">
        <f t="shared" ca="1" si="32"/>
        <v>#LOADING</v>
      </c>
      <c r="EH9" s="77" t="str">
        <f t="shared" ca="1" si="33"/>
        <v>#LOADING</v>
      </c>
      <c r="EI9" s="77" t="str">
        <f t="shared" ca="1" si="34"/>
        <v>#LOADING</v>
      </c>
      <c r="EJ9" s="78" t="str">
        <f t="shared" ca="1" si="35"/>
        <v>#LOADING</v>
      </c>
      <c r="EK9" s="61"/>
      <c r="EL9" s="61"/>
      <c r="EM9" s="61" t="s">
        <v>51</v>
      </c>
      <c r="EN9" s="73" t="str">
        <f t="shared" si="36"/>
        <v>NYB</v>
      </c>
      <c r="EO9" s="61" t="s">
        <v>51</v>
      </c>
      <c r="EP9" s="73" t="str">
        <f t="shared" si="37"/>
        <v>NYB</v>
      </c>
      <c r="EQ9" s="76" t="str">
        <f t="shared" ca="1" si="38"/>
        <v>#LOADING</v>
      </c>
      <c r="ER9" s="76" t="str">
        <f t="shared" ca="1" si="39"/>
        <v>#LOADING</v>
      </c>
      <c r="ES9" s="70" t="s">
        <v>80</v>
      </c>
      <c r="ET9" s="61"/>
      <c r="EU9" s="61"/>
      <c r="EV9" s="61" t="s">
        <v>62</v>
      </c>
      <c r="EW9" s="61"/>
      <c r="EX9" s="76" t="str">
        <f t="shared" ca="1" si="40"/>
        <v>#LOADING</v>
      </c>
      <c r="EZ9" s="61" t="s">
        <v>8</v>
      </c>
      <c r="FA9" s="66">
        <v>1000000</v>
      </c>
      <c r="FB9" s="61" t="s">
        <v>14</v>
      </c>
      <c r="FC9" s="61" t="s">
        <v>18</v>
      </c>
      <c r="FD9" s="73" t="str">
        <f t="shared" si="41"/>
        <v>USD3ML</v>
      </c>
      <c r="FE9" s="73" t="str">
        <f t="shared" si="42"/>
        <v>USDOIS</v>
      </c>
      <c r="FF9" s="41" t="str">
        <f t="shared" si="43"/>
        <v>USD</v>
      </c>
      <c r="FG9" s="71">
        <v>1</v>
      </c>
      <c r="FH9" s="81"/>
      <c r="FI9" s="61" t="s">
        <v>32</v>
      </c>
      <c r="FJ9" s="61" t="s">
        <v>32</v>
      </c>
      <c r="FK9" s="72"/>
      <c r="FL9" s="72"/>
      <c r="FM9" s="71"/>
      <c r="FN9" s="76" t="str">
        <f t="shared" ca="1" si="44"/>
        <v>#LOADING</v>
      </c>
      <c r="FO9" s="76" t="str">
        <f t="shared" ca="1" si="45"/>
        <v>#LOADING</v>
      </c>
      <c r="FP9" s="73" t="str">
        <f t="shared" si="46"/>
        <v>QUARTERLY</v>
      </c>
      <c r="FQ9" s="73" t="str">
        <f t="shared" si="47"/>
        <v>QUARTERLY</v>
      </c>
      <c r="FR9" s="73" t="str">
        <f t="shared" si="48"/>
        <v>ACT/360</v>
      </c>
      <c r="FS9" s="61" t="s">
        <v>58</v>
      </c>
      <c r="FT9" s="73" t="str">
        <f t="shared" si="49"/>
        <v>NYB:LNB</v>
      </c>
      <c r="FU9" s="61" t="s">
        <v>51</v>
      </c>
      <c r="FV9" s="73" t="str">
        <f t="shared" si="50"/>
        <v>NYB</v>
      </c>
      <c r="FW9" s="61" t="s">
        <v>51</v>
      </c>
      <c r="FX9" s="73" t="str">
        <f t="shared" si="51"/>
        <v>NYB</v>
      </c>
      <c r="FY9" s="82"/>
      <c r="FZ9" s="82"/>
      <c r="GA9" s="70"/>
      <c r="GB9" s="61" t="s">
        <v>62</v>
      </c>
      <c r="GC9" s="61"/>
      <c r="GD9" s="61" t="s">
        <v>62</v>
      </c>
      <c r="GE9" s="61" t="s">
        <v>75</v>
      </c>
      <c r="GF9" s="82"/>
      <c r="GJ9" s="95" t="str">
        <f t="shared" si="52"/>
        <v>DOHA FINANCE LTD</v>
      </c>
      <c r="GK9" s="42" t="str">
        <f ca="1">IF(LEFT(_xll.BDP($C9,GK$5),1)="#","#LOADING",_xll.BDP($C9,GK$5))</f>
        <v>#LOADING</v>
      </c>
      <c r="GL9" s="74" t="str">
        <f t="shared" si="53"/>
        <v>USD</v>
      </c>
      <c r="GM9" s="74" t="str">
        <f t="shared" si="54"/>
        <v>XS1615075048</v>
      </c>
      <c r="GN9" s="64" t="s">
        <v>20</v>
      </c>
      <c r="GO9" s="42" t="str">
        <f ca="1">IF(LEFT(_xll.BDP($C9,GO$5),1)="#","#LOADING",IF(_xll.BDP($C9,GO$5)="CLEAN",TRUE,FALSE))</f>
        <v>#LOADING</v>
      </c>
      <c r="GP9" s="64" t="s">
        <v>26</v>
      </c>
      <c r="GQ9" s="61" t="s">
        <v>18</v>
      </c>
      <c r="GR9" s="65" t="s">
        <v>28</v>
      </c>
      <c r="GS9" s="66">
        <v>1000000</v>
      </c>
      <c r="GT9" s="96" t="str">
        <f ca="1">IF(LEFT(_xll.BDP($C9,GT$5),1)="#","#LOADING",DATEVALUE(_xll.BDP($C9,GT$5)))</f>
        <v>#LOADING</v>
      </c>
      <c r="GU9" s="96" t="str">
        <f ca="1">IF(LEFT(_xll.BDP($C9,GU$5),1)="#","#LOADING",DATEVALUE(_xll.BDP($C9,GU$5)))</f>
        <v>#LOADING</v>
      </c>
      <c r="GV9" s="96" t="str">
        <f ca="1">IF(LEFT(_xll.BDP($C9,GV$5),1)="#","#LOADING",DATEVALUE(_xll.BDP($C9,GV$5)))</f>
        <v>#LOADING</v>
      </c>
      <c r="GW9" s="96" t="str">
        <f ca="1">IF(LEFT(_xll.BDP($C9,GW$5),1)="#","#LOADING",DATEVALUE(_xll.BDP($C9,GW$5)))</f>
        <v>#LOADING</v>
      </c>
      <c r="GX9" s="96" t="str">
        <f ca="1">IF(LEFT(_xll.BDP($C9,GX$5),1)="#","#LOADING",DATEVALUE(_xll.BDP($C9,GX$5)))</f>
        <v>#LOADING</v>
      </c>
      <c r="GY9" s="97" t="str">
        <f ca="1">IF(LEFT(_xll.BDP($C9,GY$5),1)="#","#LOADING",_xll.BDP($C9,GY$5)%)</f>
        <v>#LOADING</v>
      </c>
      <c r="GZ9" s="97" t="str">
        <f ca="1">IF(LEFT(_xll.BDP($C9,GZ$5),1)="#","#LOADING",VLOOKUP(_xll.BDP($C9,GZ$5),Static.CouponFrequency,2,FALSE))</f>
        <v>#LOADING</v>
      </c>
      <c r="HA9" s="68" t="s">
        <v>51</v>
      </c>
      <c r="HB9" s="73" t="str">
        <f t="shared" si="55"/>
        <v>NYB</v>
      </c>
      <c r="HC9" s="61" t="s">
        <v>51</v>
      </c>
      <c r="HD9" s="73" t="str">
        <f t="shared" si="56"/>
        <v>NYB</v>
      </c>
      <c r="HE9" s="61" t="s">
        <v>62</v>
      </c>
      <c r="HF9" s="43" t="str">
        <f ca="1">IF(LEFT(_xll.BDP($C9,HF$5),1)="#","#LOADING",_xll.BDP($C9,HF$5))</f>
        <v>#LOADING</v>
      </c>
      <c r="HG9" s="70"/>
      <c r="HH9" s="43" t="str">
        <f ca="1">IF(LEFT(_xll.BDP($C9,HH$5),1)="#","#LOADING","Type"&amp;IF(_xll.BDP($C9,HH$5)=999,1,_xll.BDP($C9,HH$5)))</f>
        <v>#LOADING</v>
      </c>
    </row>
    <row r="10" spans="1:217">
      <c r="A10" s="101">
        <v>4</v>
      </c>
      <c r="B10" s="57" t="s">
        <v>193</v>
      </c>
      <c r="C10" s="57" t="s">
        <v>194</v>
      </c>
      <c r="D10" s="57" t="s">
        <v>101</v>
      </c>
      <c r="E10" s="57" t="s">
        <v>35</v>
      </c>
      <c r="F10" s="57" t="s">
        <v>193</v>
      </c>
      <c r="G10" s="57" t="s">
        <v>195</v>
      </c>
      <c r="H10" s="57" t="s">
        <v>101</v>
      </c>
      <c r="I10" s="57" t="s">
        <v>35</v>
      </c>
      <c r="J10" s="101">
        <v>4</v>
      </c>
      <c r="K10" s="58" t="s">
        <v>163</v>
      </c>
      <c r="L10" s="59" t="str">
        <f ca="1">IF(ISBLANK(M10),IF($G10="","",_xll.BDP(AB10&amp;" "&amp;$K10&amp;" Corp","PX_LAST")),M10)</f>
        <v>#N/A Requesting Data...</v>
      </c>
      <c r="M10" s="60"/>
      <c r="N10" s="83" t="str">
        <f ca="1">IF(ISBLANK($O10),IF($G10="","",_xll.meLWOAssetSwapSpread($U10,$T10,$L10,INDIRECT("ValuationSettings"&amp;$CN10),INDIRECT("Fixings"&amp;$CN10&amp;IF($I10="QUARTERLY","3ML","6ML")))),$O10)</f>
        <v>#Error: Invalid input, numeric input required</v>
      </c>
      <c r="O10" s="60"/>
      <c r="P10" s="84" t="str">
        <f ca="1">IF($C10="","",_xll.meLWOAssetSwapSpreadToCleanPrice($V10,$N10,INDIRECT("ValuationSettings"&amp;$DX10),INDIRECT("Fixings"&amp;$DX10&amp;IF($E10="QUARTERLY","3ML","6ML"))))</f>
        <v>#Error: Invalid input, numeric input required</v>
      </c>
      <c r="Q10" s="84" t="str">
        <f ca="1">IF($C10="","",_xll.meLWOBondPriceFromCleanToDirty($W10,INDIRECT("ValuationDate"&amp;$D10),$P10))</f>
        <v>#Error: Invalid input, numeric input required</v>
      </c>
      <c r="R10" s="98" t="str">
        <f ca="1">IF($C10="","",_xll.meLWOBondYield($W10,INDIRECT("ValuationDate"&amp;$D10),IF($GO10,$P10,$Q10)))</f>
        <v>#Error: Invalid input, numeric input required</v>
      </c>
      <c r="S10" s="101">
        <v>4</v>
      </c>
      <c r="T10" s="53" t="str">
        <f ca="1">IF($G10="","",IF(LEFT(Z10,1)="#","#LOADING",_xll.meLWOBondCreateFromLVB("PROXY_BOND_"&amp;$AB10,_xll.meUtilityLVBFromKeysValues($Y$6:$AW$6,$Y10:$AW10))))</f>
        <v>#LOADING</v>
      </c>
      <c r="U10" s="53" t="str">
        <f ca="1">IF($G10="","",_xll.meLWOSwapCreate("PROXY_ASW_"&amp;$AB10,_xll.meUtilityLVBFromKeysAndMultipleValues($AZ$6:$CF$6,$AZ10:$CF10,$CH10:$DN10)))</f>
        <v>#Error: Frequency '#LOADING' invalid, must be 'NONE', 'ANNUAL', 'SEMI_ANNUAL', 'QUARTERLY', 'MONTHLY', 'WEEKLY', 'DAILY' or 'AT_MATURITY'.</v>
      </c>
      <c r="V10" s="53" t="str">
        <f ca="1">IF($C10="","",_xll.meLWOSwapCreate("BOND_ASW_"&amp;$GM10,_xll.meUtilityLVBFromKeysAndMultipleValues($DR$6:$EX$6,$DR10:$EX10,$EZ10:$GF10)))</f>
        <v>#Error: Frequency '#LOADING' invalid, must be 'NONE', 'ANNUAL', 'SEMI_ANNUAL', 'QUARTERLY', 'MONTHLY', 'WEEKLY', 'DAILY' or 'AT_MATURITY'.</v>
      </c>
      <c r="W10" s="53" t="str">
        <f ca="1">IF($C10="","",IF(LEFT(GK10,1)="#","#LOADING",_xll.meLWOBondCreateFromLVB("PROXY_BOND_"&amp;$GM10,_xll.meUtilityLVBFromKeysValues($GJ$6:$HH$6,$GJ10:$HH10))))</f>
        <v>#LOADING</v>
      </c>
      <c r="X10" t="s">
        <v>0</v>
      </c>
      <c r="Y10" s="62" t="str">
        <f t="shared" si="0"/>
        <v>BANCO DE CREDITO E INVERSIONES</v>
      </c>
      <c r="Z10" s="63" t="str">
        <f ca="1">IF(LEFT(_xll.BDP($G10,Z$5),1)="#","#LOADING",_xll.BDP($G10,Z$5))</f>
        <v>#LOADING</v>
      </c>
      <c r="AA10" s="41" t="str">
        <f t="shared" si="1"/>
        <v>USD</v>
      </c>
      <c r="AB10" s="63" t="str">
        <f ca="1">IF(LEFT(_xll.BDP($G10,AB$5),1)="#","#LOADING",_xll.BDP($G10,AB$5))</f>
        <v>#LOADING</v>
      </c>
      <c r="AC10" s="64" t="s">
        <v>20</v>
      </c>
      <c r="AD10" s="63" t="str">
        <f ca="1">IF(LEFT(_xll.BDP($G10,AD$5),1)="#","#LOADING",IF(_xll.BDP($G10,AD$5)="CLEAN",TRUE,FALSE))</f>
        <v>#LOADING</v>
      </c>
      <c r="AE10" s="64" t="s">
        <v>26</v>
      </c>
      <c r="AF10" s="61" t="s">
        <v>18</v>
      </c>
      <c r="AG10" s="65" t="s">
        <v>28</v>
      </c>
      <c r="AH10" s="66">
        <v>1000000</v>
      </c>
      <c r="AI10" s="63" t="str">
        <f ca="1">IF(LEFT(_xll.BDP($G10,AI$5),1)="#","#LOADING",DATEVALUE(_xll.BDP($G10,AI$5)))</f>
        <v>#LOADING</v>
      </c>
      <c r="AJ10" s="63" t="str">
        <f ca="1">IF(LEFT(_xll.BDP($G10,AJ$5),1)="#","#LOADING",DATEVALUE(_xll.BDP($G10,AJ$5)))</f>
        <v>#LOADING</v>
      </c>
      <c r="AK10" s="63" t="str">
        <f ca="1">IF(LEFT(_xll.BDP($G10,AK$5),1)="#","#LOADING",DATEVALUE(_xll.BDP($G10,AK$5)))</f>
        <v>#LOADING</v>
      </c>
      <c r="AL10" s="63" t="str">
        <f ca="1">IF(LEFT(_xll.BDP($G10,AL$5),1)="#","#LOADING",DATEVALUE(_xll.BDP($G10,AL$5)))</f>
        <v>#LOADING</v>
      </c>
      <c r="AM10" s="63" t="str">
        <f ca="1">IF(LEFT(_xll.BDP($G10,AM$5),1)="#","#LOADING",DATEVALUE(_xll.BDP($G10,AM$5)))</f>
        <v>#LOADING</v>
      </c>
      <c r="AN10" s="67" t="str">
        <f ca="1">IF(LEFT(_xll.BDP($G10,AN$5),1)="#","#LOADING",_xll.BDP($G10,AN$5)%)</f>
        <v>#LOADING</v>
      </c>
      <c r="AO10" s="67" t="str">
        <f ca="1">IF(LEFT(_xll.BDP($G10,AO$5),1)="#","#LOADING",VLOOKUP(_xll.BDP($G10,AO$5),Static.CouponFrequency,2,FALSE))</f>
        <v>#LOADING</v>
      </c>
      <c r="AP10" s="68" t="s">
        <v>51</v>
      </c>
      <c r="AQ10" s="53" t="str">
        <f t="shared" si="2"/>
        <v>NYB</v>
      </c>
      <c r="AR10" s="61" t="s">
        <v>51</v>
      </c>
      <c r="AS10" s="53" t="str">
        <f t="shared" si="3"/>
        <v>NYB</v>
      </c>
      <c r="AT10" s="61" t="s">
        <v>62</v>
      </c>
      <c r="AU10" s="69" t="str">
        <f ca="1">IF(LEFT(_xll.BDP($G10,AU$5),1)="#","#LOADING",_xll.BDP($G10,AU$5))</f>
        <v>#LOADING</v>
      </c>
      <c r="AV10" s="70"/>
      <c r="AW10" s="69" t="str">
        <f ca="1">IF(LEFT(_xll.BDP($G10,AW$5),1)="#","#LOADING","Type"&amp;IF(_xll.BDP($G10,AW$5)=999,1,_xll.BDP($G10,AW$5)))</f>
        <v>#LOADING</v>
      </c>
      <c r="AX10" s="54"/>
      <c r="AZ10" s="61" t="s">
        <v>7</v>
      </c>
      <c r="BA10" s="66">
        <v>1000000</v>
      </c>
      <c r="BB10" s="61" t="s">
        <v>14</v>
      </c>
      <c r="BC10" s="61" t="s">
        <v>17</v>
      </c>
      <c r="BD10" s="70"/>
      <c r="BE10" s="73" t="str">
        <f t="shared" si="4"/>
        <v>USDOIS</v>
      </c>
      <c r="BF10" s="74" t="str">
        <f t="shared" si="5"/>
        <v>USD</v>
      </c>
      <c r="BG10" s="71">
        <v>1</v>
      </c>
      <c r="BH10" s="75" t="str">
        <f t="shared" ca="1" si="6"/>
        <v>#LOADING</v>
      </c>
      <c r="BI10" s="61"/>
      <c r="BJ10" s="61"/>
      <c r="BK10" s="72"/>
      <c r="BL10" s="72"/>
      <c r="BM10" s="71"/>
      <c r="BN10" s="76" t="str">
        <f t="shared" ca="1" si="7"/>
        <v>#LOADING</v>
      </c>
      <c r="BO10" s="76" t="str">
        <f t="shared" ca="1" si="8"/>
        <v>#LOADING</v>
      </c>
      <c r="BP10" s="77" t="str">
        <f t="shared" ca="1" si="9"/>
        <v>#LOADING</v>
      </c>
      <c r="BQ10" s="77" t="str">
        <f t="shared" ca="1" si="10"/>
        <v>#LOADING</v>
      </c>
      <c r="BR10" s="78" t="str">
        <f t="shared" ca="1" si="11"/>
        <v>#LOADING</v>
      </c>
      <c r="BS10" s="61"/>
      <c r="BT10" s="61"/>
      <c r="BU10" s="61" t="s">
        <v>51</v>
      </c>
      <c r="BV10" s="73" t="str">
        <f t="shared" si="12"/>
        <v>NYB</v>
      </c>
      <c r="BW10" s="61" t="s">
        <v>51</v>
      </c>
      <c r="BX10" s="73" t="str">
        <f t="shared" si="13"/>
        <v>NYB</v>
      </c>
      <c r="BY10" s="76" t="str">
        <f t="shared" ca="1" si="14"/>
        <v>#LOADING</v>
      </c>
      <c r="BZ10" s="76" t="str">
        <f t="shared" ca="1" si="15"/>
        <v>#LOADING</v>
      </c>
      <c r="CA10" s="70" t="s">
        <v>80</v>
      </c>
      <c r="CB10" s="61"/>
      <c r="CC10" s="61"/>
      <c r="CD10" s="61" t="s">
        <v>62</v>
      </c>
      <c r="CE10" s="61"/>
      <c r="CF10" s="76" t="str">
        <f t="shared" ca="1" si="16"/>
        <v>#LOADING</v>
      </c>
      <c r="CH10" s="61" t="s">
        <v>8</v>
      </c>
      <c r="CI10" s="66">
        <v>1000000</v>
      </c>
      <c r="CJ10" s="61" t="s">
        <v>14</v>
      </c>
      <c r="CK10" s="61" t="s">
        <v>18</v>
      </c>
      <c r="CL10" s="53" t="str">
        <f t="shared" si="17"/>
        <v>USD3ML</v>
      </c>
      <c r="CM10" s="53" t="str">
        <f t="shared" si="18"/>
        <v>USDOIS</v>
      </c>
      <c r="CN10" s="41" t="str">
        <f t="shared" si="19"/>
        <v>USD</v>
      </c>
      <c r="CO10" s="71">
        <v>1</v>
      </c>
      <c r="CP10" s="81"/>
      <c r="CQ10" s="61" t="s">
        <v>32</v>
      </c>
      <c r="CR10" s="61" t="s">
        <v>32</v>
      </c>
      <c r="CS10" s="72"/>
      <c r="CT10" s="72"/>
      <c r="CU10" s="71"/>
      <c r="CV10" s="82" t="str">
        <f t="shared" ca="1" si="20"/>
        <v>#LOADING</v>
      </c>
      <c r="CW10" s="82" t="str">
        <f t="shared" ca="1" si="21"/>
        <v>#LOADING</v>
      </c>
      <c r="CX10" s="53" t="str">
        <f t="shared" si="22"/>
        <v>QUARTERLY</v>
      </c>
      <c r="CY10" s="53" t="str">
        <f t="shared" si="23"/>
        <v>QUARTERLY</v>
      </c>
      <c r="CZ10" s="53" t="str">
        <f t="shared" si="24"/>
        <v>ACT/360</v>
      </c>
      <c r="DA10" s="61" t="s">
        <v>58</v>
      </c>
      <c r="DB10" s="53" t="str">
        <f t="shared" si="25"/>
        <v>NYB:LNB</v>
      </c>
      <c r="DC10" s="61" t="s">
        <v>51</v>
      </c>
      <c r="DD10" s="53" t="str">
        <f t="shared" si="26"/>
        <v>NYB</v>
      </c>
      <c r="DE10" s="61" t="s">
        <v>51</v>
      </c>
      <c r="DF10" s="53" t="str">
        <f t="shared" si="27"/>
        <v>NYB</v>
      </c>
      <c r="DG10" s="82"/>
      <c r="DH10" s="82"/>
      <c r="DI10" s="70"/>
      <c r="DJ10" s="61" t="s">
        <v>62</v>
      </c>
      <c r="DK10" s="61"/>
      <c r="DL10" s="61" t="s">
        <v>62</v>
      </c>
      <c r="DM10" s="61" t="s">
        <v>75</v>
      </c>
      <c r="DN10" s="82"/>
      <c r="DR10" s="61" t="s">
        <v>7</v>
      </c>
      <c r="DS10" s="66">
        <v>1000000</v>
      </c>
      <c r="DT10" s="61" t="s">
        <v>14</v>
      </c>
      <c r="DU10" s="61" t="s">
        <v>17</v>
      </c>
      <c r="DV10" s="70"/>
      <c r="DW10" s="73" t="str">
        <f t="shared" si="28"/>
        <v>USDOIS</v>
      </c>
      <c r="DX10" s="74" t="str">
        <f t="shared" si="29"/>
        <v>USD</v>
      </c>
      <c r="DY10" s="71">
        <v>1</v>
      </c>
      <c r="DZ10" s="75" t="str">
        <f ca="1">$GY10</f>
        <v>#LOADING</v>
      </c>
      <c r="EA10" s="61"/>
      <c r="EB10" s="61"/>
      <c r="EC10" s="72"/>
      <c r="ED10" s="72"/>
      <c r="EE10" s="71"/>
      <c r="EF10" s="76" t="str">
        <f t="shared" ca="1" si="31"/>
        <v>#LOADING</v>
      </c>
      <c r="EG10" s="76" t="str">
        <f t="shared" ca="1" si="32"/>
        <v>#LOADING</v>
      </c>
      <c r="EH10" s="77" t="str">
        <f t="shared" ca="1" si="33"/>
        <v>#LOADING</v>
      </c>
      <c r="EI10" s="77" t="str">
        <f t="shared" ca="1" si="34"/>
        <v>#LOADING</v>
      </c>
      <c r="EJ10" s="78" t="str">
        <f t="shared" ca="1" si="35"/>
        <v>#LOADING</v>
      </c>
      <c r="EK10" s="61"/>
      <c r="EL10" s="61"/>
      <c r="EM10" s="61" t="s">
        <v>51</v>
      </c>
      <c r="EN10" s="73" t="str">
        <f t="shared" si="36"/>
        <v>NYB</v>
      </c>
      <c r="EO10" s="61" t="s">
        <v>51</v>
      </c>
      <c r="EP10" s="73" t="str">
        <f t="shared" si="37"/>
        <v>NYB</v>
      </c>
      <c r="EQ10" s="76" t="str">
        <f t="shared" ca="1" si="38"/>
        <v>#LOADING</v>
      </c>
      <c r="ER10" s="76" t="str">
        <f t="shared" ca="1" si="39"/>
        <v>#LOADING</v>
      </c>
      <c r="ES10" s="70" t="s">
        <v>80</v>
      </c>
      <c r="ET10" s="61"/>
      <c r="EU10" s="61"/>
      <c r="EV10" s="61" t="s">
        <v>62</v>
      </c>
      <c r="EW10" s="61"/>
      <c r="EX10" s="76" t="str">
        <f t="shared" ca="1" si="40"/>
        <v>#LOADING</v>
      </c>
      <c r="EZ10" s="61" t="s">
        <v>8</v>
      </c>
      <c r="FA10" s="66">
        <v>1000000</v>
      </c>
      <c r="FB10" s="61" t="s">
        <v>14</v>
      </c>
      <c r="FC10" s="61" t="s">
        <v>18</v>
      </c>
      <c r="FD10" s="73" t="str">
        <f t="shared" si="41"/>
        <v>USD3ML</v>
      </c>
      <c r="FE10" s="73" t="str">
        <f t="shared" si="42"/>
        <v>USDOIS</v>
      </c>
      <c r="FF10" s="41" t="str">
        <f t="shared" si="43"/>
        <v>USD</v>
      </c>
      <c r="FG10" s="71">
        <v>1</v>
      </c>
      <c r="FH10" s="81"/>
      <c r="FI10" s="61" t="s">
        <v>32</v>
      </c>
      <c r="FJ10" s="61" t="s">
        <v>32</v>
      </c>
      <c r="FK10" s="72"/>
      <c r="FL10" s="72"/>
      <c r="FM10" s="71"/>
      <c r="FN10" s="76" t="str">
        <f t="shared" ca="1" si="44"/>
        <v>#LOADING</v>
      </c>
      <c r="FO10" s="76" t="str">
        <f t="shared" ca="1" si="45"/>
        <v>#LOADING</v>
      </c>
      <c r="FP10" s="73" t="str">
        <f t="shared" si="46"/>
        <v>QUARTERLY</v>
      </c>
      <c r="FQ10" s="73" t="str">
        <f t="shared" si="47"/>
        <v>QUARTERLY</v>
      </c>
      <c r="FR10" s="73" t="str">
        <f t="shared" si="48"/>
        <v>ACT/360</v>
      </c>
      <c r="FS10" s="61" t="s">
        <v>58</v>
      </c>
      <c r="FT10" s="73" t="str">
        <f t="shared" si="49"/>
        <v>NYB:LNB</v>
      </c>
      <c r="FU10" s="61" t="s">
        <v>51</v>
      </c>
      <c r="FV10" s="73" t="str">
        <f t="shared" si="50"/>
        <v>NYB</v>
      </c>
      <c r="FW10" s="61" t="s">
        <v>51</v>
      </c>
      <c r="FX10" s="73" t="str">
        <f t="shared" si="51"/>
        <v>NYB</v>
      </c>
      <c r="FY10" s="82"/>
      <c r="FZ10" s="82"/>
      <c r="GA10" s="70"/>
      <c r="GB10" s="61" t="s">
        <v>62</v>
      </c>
      <c r="GC10" s="61"/>
      <c r="GD10" s="61" t="s">
        <v>62</v>
      </c>
      <c r="GE10" s="61" t="s">
        <v>75</v>
      </c>
      <c r="GF10" s="82"/>
      <c r="GJ10" s="95" t="str">
        <f t="shared" si="52"/>
        <v>BANCO DE CREDITO E INVERSIONES</v>
      </c>
      <c r="GK10" s="42" t="str">
        <f ca="1">IF(LEFT(_xll.BDP($C10,GK$5),1)="#","#LOADING",_xll.BDP($C10,GK$5))</f>
        <v>#LOADING</v>
      </c>
      <c r="GL10" s="74" t="str">
        <f t="shared" si="53"/>
        <v>USD</v>
      </c>
      <c r="GM10" s="74" t="str">
        <f t="shared" si="54"/>
        <v>XS1692845396</v>
      </c>
      <c r="GN10" s="64" t="s">
        <v>20</v>
      </c>
      <c r="GO10" s="42" t="str">
        <f ca="1">IF(LEFT(_xll.BDP($C10,GO$5),1)="#","#LOADING",IF(_xll.BDP($C10,GO$5)="CLEAN",TRUE,FALSE))</f>
        <v>#LOADING</v>
      </c>
      <c r="GP10" s="64" t="s">
        <v>26</v>
      </c>
      <c r="GQ10" s="61" t="s">
        <v>18</v>
      </c>
      <c r="GR10" s="65" t="s">
        <v>28</v>
      </c>
      <c r="GS10" s="66">
        <v>1000000</v>
      </c>
      <c r="GT10" s="96" t="str">
        <f ca="1">IF(LEFT(_xll.BDP($C10,GT$5),1)="#","#LOADING",DATEVALUE(_xll.BDP($C10,GT$5)))</f>
        <v>#LOADING</v>
      </c>
      <c r="GU10" s="96" t="str">
        <f ca="1">IF(LEFT(_xll.BDP($C10,GU$5),1)="#","#LOADING",DATEVALUE(_xll.BDP($C10,GU$5)))</f>
        <v>#LOADING</v>
      </c>
      <c r="GV10" s="96" t="str">
        <f ca="1">IF(LEFT(_xll.BDP($C10,GV$5),1)="#","#LOADING",DATEVALUE(_xll.BDP($C10,GV$5)))</f>
        <v>#LOADING</v>
      </c>
      <c r="GW10" s="96" t="str">
        <f ca="1">IF(LEFT(_xll.BDP($C10,GW$5),1)="#","#LOADING",DATEVALUE(_xll.BDP($C10,GW$5)))</f>
        <v>#LOADING</v>
      </c>
      <c r="GX10" s="96" t="str">
        <f ca="1">IF(LEFT(_xll.BDP($C10,GX$5),1)="#","#LOADING",DATEVALUE(_xll.BDP($C10,GX$5)))</f>
        <v>#LOADING</v>
      </c>
      <c r="GY10" s="97" t="str">
        <f ca="1">IF(LEFT(_xll.BDP($C10,GY$5),1)="#","#LOADING",_xll.BDP($C10,GY$5)%)</f>
        <v>#LOADING</v>
      </c>
      <c r="GZ10" s="97" t="str">
        <f ca="1">IF(LEFT(_xll.BDP($C10,GZ$5),1)="#","#LOADING",VLOOKUP(_xll.BDP($C10,GZ$5),Static.CouponFrequency,2,FALSE))</f>
        <v>#LOADING</v>
      </c>
      <c r="HA10" s="68" t="s">
        <v>51</v>
      </c>
      <c r="HB10" s="73" t="str">
        <f t="shared" si="55"/>
        <v>NYB</v>
      </c>
      <c r="HC10" s="61" t="s">
        <v>51</v>
      </c>
      <c r="HD10" s="73" t="str">
        <f t="shared" si="56"/>
        <v>NYB</v>
      </c>
      <c r="HE10" s="61" t="s">
        <v>62</v>
      </c>
      <c r="HF10" s="43" t="str">
        <f ca="1">IF(LEFT(_xll.BDP($C10,HF$5),1)="#","#LOADING",_xll.BDP($C10,HF$5))</f>
        <v>#LOADING</v>
      </c>
      <c r="HG10" s="70"/>
      <c r="HH10" s="43" t="str">
        <f ca="1">IF(LEFT(_xll.BDP($C10,HH$5),1)="#","#LOADING","Type"&amp;IF(_xll.BDP($C10,HH$5)=999,1,_xll.BDP($C10,HH$5)))</f>
        <v>#LOADING</v>
      </c>
    </row>
    <row r="11" spans="1:217">
      <c r="A11" s="101">
        <v>5</v>
      </c>
      <c r="B11" s="57" t="s">
        <v>196</v>
      </c>
      <c r="C11" s="57" t="s">
        <v>197</v>
      </c>
      <c r="D11" s="57" t="s">
        <v>99</v>
      </c>
      <c r="E11" s="57" t="s">
        <v>141</v>
      </c>
      <c r="F11" s="57" t="s">
        <v>196</v>
      </c>
      <c r="G11" s="57" t="s">
        <v>198</v>
      </c>
      <c r="H11" s="57" t="s">
        <v>99</v>
      </c>
      <c r="I11" s="57" t="s">
        <v>141</v>
      </c>
      <c r="J11" s="101">
        <v>5</v>
      </c>
      <c r="K11" s="58" t="s">
        <v>163</v>
      </c>
      <c r="L11" s="59" t="str">
        <f ca="1">IF(ISBLANK(M11),IF($G11="","",_xll.BDP(AB11&amp;" "&amp;$K11&amp;" Corp","PX_LAST")),M11)</f>
        <v>#N/A Requesting Data...</v>
      </c>
      <c r="M11" s="60"/>
      <c r="N11" s="83" t="str">
        <f ca="1">IF(ISBLANK($O11),IF($G11="","",_xll.meLWOAssetSwapSpread($U11,$T11,$L11,INDIRECT("ValuationSettings"&amp;$CN11),INDIRECT("Fixings"&amp;$CN11&amp;IF($I11="QUARTERLY","3ML","6ML")))),$O11)</f>
        <v>#Error: Invalid input, numeric input required</v>
      </c>
      <c r="O11" s="60"/>
      <c r="P11" s="84" t="str">
        <f ca="1">IF($C11="","",_xll.meLWOAssetSwapSpreadToCleanPrice($V11,$N11,INDIRECT("ValuationSettings"&amp;$DX11),INDIRECT("Fixings"&amp;$DX11&amp;IF($E11="QUARTERLY","3ML","6ML"))))</f>
        <v>#Error: Invalid input, numeric input required</v>
      </c>
      <c r="Q11" s="84" t="str">
        <f ca="1">IF($C11="","",_xll.meLWOBondPriceFromCleanToDirty($W11,INDIRECT("ValuationDate"&amp;$D11),$P11))</f>
        <v>#Error: Invalid input, numeric input required</v>
      </c>
      <c r="R11" s="98" t="str">
        <f ca="1">IF($C11="","",_xll.meLWOBondYield($W11,INDIRECT("ValuationDate"&amp;$D11),IF($GO11,$P11,$Q11)))</f>
        <v>#Error: Invalid input, numeric input required</v>
      </c>
      <c r="S11" s="101">
        <v>5</v>
      </c>
      <c r="T11" s="53" t="str">
        <f ca="1">IF($G11="","",IF(LEFT(Z11,1)="#","#LOADING",_xll.meLWOBondCreateFromLVB("PROXY_BOND_"&amp;$AB11,_xll.meUtilityLVBFromKeysValues($Y$6:$AW$6,$Y11:$AW11))))</f>
        <v>#LOADING</v>
      </c>
      <c r="U11" s="53" t="str">
        <f ca="1">IF($G11="","",_xll.meLWOSwapCreate("PROXY_ASW_"&amp;$AB11,_xll.meUtilityLVBFromKeysAndMultipleValues($AZ$6:$CF$6,$AZ11:$CF11,$CH11:$DN11)))</f>
        <v>#Error: Frequency '#LOADING' invalid, must be 'NONE', 'ANNUAL', 'SEMI_ANNUAL', 'QUARTERLY', 'MONTHLY', 'WEEKLY', 'DAILY' or 'AT_MATURITY'.</v>
      </c>
      <c r="V11" s="53" t="str">
        <f ca="1">IF($C11="","",_xll.meLWOSwapCreate("BOND_ASW_"&amp;$GM11,_xll.meUtilityLVBFromKeysAndMultipleValues($DR$6:$EX$6,$DR11:$EX11,$EZ11:$GF11)))</f>
        <v>#Error: Frequency '#LOADING' invalid, must be 'NONE', 'ANNUAL', 'SEMI_ANNUAL', 'QUARTERLY', 'MONTHLY', 'WEEKLY', 'DAILY' or 'AT_MATURITY'.</v>
      </c>
      <c r="W11" s="53" t="str">
        <f ca="1">IF($C11="","",IF(LEFT(GK11,1)="#","#LOADING",_xll.meLWOBondCreateFromLVB("PROXY_BOND_"&amp;$GM11,_xll.meUtilityLVBFromKeysValues($GJ$6:$HH$6,$GJ11:$HH11))))</f>
        <v>#LOADING</v>
      </c>
      <c r="X11" t="s">
        <v>0</v>
      </c>
      <c r="Y11" s="62" t="str">
        <f t="shared" si="0"/>
        <v>ELECTRICITE DE FRANCE SA</v>
      </c>
      <c r="Z11" s="63" t="str">
        <f ca="1">IF(LEFT(_xll.BDP($G11,Z$5),1)="#","#LOADING",_xll.BDP($G11,Z$5))</f>
        <v>#LOADING</v>
      </c>
      <c r="AA11" s="41" t="str">
        <f t="shared" si="1"/>
        <v>EUR</v>
      </c>
      <c r="AB11" s="63" t="str">
        <f ca="1">IF(LEFT(_xll.BDP($G11,AB$5),1)="#","#LOADING",_xll.BDP($G11,AB$5))</f>
        <v>#LOADING</v>
      </c>
      <c r="AC11" s="64" t="s">
        <v>20</v>
      </c>
      <c r="AD11" s="63" t="str">
        <f ca="1">IF(LEFT(_xll.BDP($G11,AD$5),1)="#","#LOADING",IF(_xll.BDP($G11,AD$5)="CLEAN",TRUE,FALSE))</f>
        <v>#LOADING</v>
      </c>
      <c r="AE11" s="64" t="s">
        <v>26</v>
      </c>
      <c r="AF11" s="61" t="s">
        <v>18</v>
      </c>
      <c r="AG11" s="65" t="s">
        <v>28</v>
      </c>
      <c r="AH11" s="66">
        <v>1000000</v>
      </c>
      <c r="AI11" s="63" t="str">
        <f ca="1">IF(LEFT(_xll.BDP($G11,AI$5),1)="#","#LOADING",DATEVALUE(_xll.BDP($G11,AI$5)))</f>
        <v>#LOADING</v>
      </c>
      <c r="AJ11" s="63" t="str">
        <f ca="1">IF(LEFT(_xll.BDP($G11,AJ$5),1)="#","#LOADING",DATEVALUE(_xll.BDP($G11,AJ$5)))</f>
        <v>#LOADING</v>
      </c>
      <c r="AK11" s="63" t="str">
        <f ca="1">IF(LEFT(_xll.BDP($G11,AK$5),1)="#","#LOADING",DATEVALUE(_xll.BDP($G11,AK$5)))</f>
        <v>#LOADING</v>
      </c>
      <c r="AL11" s="63" t="str">
        <f ca="1">IF(LEFT(_xll.BDP($G11,AL$5),1)="#","#LOADING",DATEVALUE(_xll.BDP($G11,AL$5)))</f>
        <v>#LOADING</v>
      </c>
      <c r="AM11" s="63" t="str">
        <f ca="1">IF(LEFT(_xll.BDP($G11,AM$5),1)="#","#LOADING",DATEVALUE(_xll.BDP($G11,AM$5)))</f>
        <v>#LOADING</v>
      </c>
      <c r="AN11" s="67" t="str">
        <f ca="1">IF(LEFT(_xll.BDP($G11,AN$5),1)="#","#LOADING",_xll.BDP($G11,AN$5)%)</f>
        <v>#LOADING</v>
      </c>
      <c r="AO11" s="67" t="str">
        <f ca="1">IF(LEFT(_xll.BDP($G11,AO$5),1)="#","#LOADING",VLOOKUP(_xll.BDP($G11,AO$5),Static.CouponFrequency,2,FALSE))</f>
        <v>#LOADING</v>
      </c>
      <c r="AP11" s="68" t="s">
        <v>51</v>
      </c>
      <c r="AQ11" s="53" t="str">
        <f t="shared" si="2"/>
        <v>TGT</v>
      </c>
      <c r="AR11" s="61" t="s">
        <v>51</v>
      </c>
      <c r="AS11" s="53" t="str">
        <f t="shared" si="3"/>
        <v>TGT</v>
      </c>
      <c r="AT11" s="61" t="s">
        <v>62</v>
      </c>
      <c r="AU11" s="69" t="str">
        <f ca="1">IF(LEFT(_xll.BDP($G11,AU$5),1)="#","#LOADING",_xll.BDP($G11,AU$5))</f>
        <v>#LOADING</v>
      </c>
      <c r="AV11" s="70"/>
      <c r="AW11" s="69" t="str">
        <f ca="1">IF(LEFT(_xll.BDP($G11,AW$5),1)="#","#LOADING","Type"&amp;IF(_xll.BDP($G11,AW$5)=999,1,_xll.BDP($G11,AW$5)))</f>
        <v>#LOADING</v>
      </c>
      <c r="AX11" s="54"/>
      <c r="AZ11" s="61" t="s">
        <v>7</v>
      </c>
      <c r="BA11" s="66">
        <v>1000000</v>
      </c>
      <c r="BB11" s="61" t="s">
        <v>14</v>
      </c>
      <c r="BC11" s="61" t="s">
        <v>17</v>
      </c>
      <c r="BD11" s="70"/>
      <c r="BE11" s="73" t="str">
        <f t="shared" si="4"/>
        <v>EUROIS</v>
      </c>
      <c r="BF11" s="74" t="str">
        <f t="shared" si="5"/>
        <v>EUR</v>
      </c>
      <c r="BG11" s="71">
        <v>1</v>
      </c>
      <c r="BH11" s="75" t="str">
        <f t="shared" ca="1" si="6"/>
        <v>#LOADING</v>
      </c>
      <c r="BI11" s="61"/>
      <c r="BJ11" s="61"/>
      <c r="BK11" s="72"/>
      <c r="BL11" s="72"/>
      <c r="BM11" s="71"/>
      <c r="BN11" s="76" t="str">
        <f t="shared" ca="1" si="7"/>
        <v>#LOADING</v>
      </c>
      <c r="BO11" s="76" t="str">
        <f t="shared" ca="1" si="8"/>
        <v>#LOADING</v>
      </c>
      <c r="BP11" s="77" t="str">
        <f t="shared" ca="1" si="9"/>
        <v>#LOADING</v>
      </c>
      <c r="BQ11" s="77" t="str">
        <f t="shared" ca="1" si="10"/>
        <v>#LOADING</v>
      </c>
      <c r="BR11" s="78" t="str">
        <f t="shared" ca="1" si="11"/>
        <v>#LOADING</v>
      </c>
      <c r="BS11" s="61"/>
      <c r="BT11" s="61"/>
      <c r="BU11" s="61" t="s">
        <v>51</v>
      </c>
      <c r="BV11" s="73" t="str">
        <f t="shared" si="12"/>
        <v>TGT</v>
      </c>
      <c r="BW11" s="61" t="s">
        <v>51</v>
      </c>
      <c r="BX11" s="73" t="str">
        <f t="shared" si="13"/>
        <v>TGT</v>
      </c>
      <c r="BY11" s="76" t="str">
        <f t="shared" ca="1" si="14"/>
        <v>#LOADING</v>
      </c>
      <c r="BZ11" s="76" t="str">
        <f t="shared" ca="1" si="15"/>
        <v>#LOADING</v>
      </c>
      <c r="CA11" s="70" t="s">
        <v>80</v>
      </c>
      <c r="CB11" s="61"/>
      <c r="CC11" s="61"/>
      <c r="CD11" s="61" t="s">
        <v>62</v>
      </c>
      <c r="CE11" s="61"/>
      <c r="CF11" s="76" t="str">
        <f t="shared" ca="1" si="16"/>
        <v>#LOADING</v>
      </c>
      <c r="CH11" s="61" t="s">
        <v>8</v>
      </c>
      <c r="CI11" s="66">
        <v>1000000</v>
      </c>
      <c r="CJ11" s="61" t="s">
        <v>14</v>
      </c>
      <c r="CK11" s="61" t="s">
        <v>18</v>
      </c>
      <c r="CL11" s="53" t="str">
        <f t="shared" si="17"/>
        <v>EUR6ML</v>
      </c>
      <c r="CM11" s="53" t="str">
        <f t="shared" si="18"/>
        <v>EUROIS</v>
      </c>
      <c r="CN11" s="41" t="str">
        <f t="shared" si="19"/>
        <v>EUR</v>
      </c>
      <c r="CO11" s="71">
        <v>1</v>
      </c>
      <c r="CP11" s="81"/>
      <c r="CQ11" s="61" t="s">
        <v>32</v>
      </c>
      <c r="CR11" s="61" t="s">
        <v>32</v>
      </c>
      <c r="CS11" s="72"/>
      <c r="CT11" s="72"/>
      <c r="CU11" s="71"/>
      <c r="CV11" s="82" t="str">
        <f t="shared" ca="1" si="20"/>
        <v>#LOADING</v>
      </c>
      <c r="CW11" s="82" t="str">
        <f t="shared" ca="1" si="21"/>
        <v>#LOADING</v>
      </c>
      <c r="CX11" s="53" t="str">
        <f t="shared" si="22"/>
        <v>SEMI-ANNUAL</v>
      </c>
      <c r="CY11" s="53" t="str">
        <f t="shared" si="23"/>
        <v>SEMI-ANNUAL</v>
      </c>
      <c r="CZ11" s="53" t="str">
        <f t="shared" si="24"/>
        <v>ACT/365</v>
      </c>
      <c r="DA11" s="61" t="s">
        <v>58</v>
      </c>
      <c r="DB11" s="53" t="str">
        <f t="shared" si="25"/>
        <v>TGT</v>
      </c>
      <c r="DC11" s="61" t="s">
        <v>51</v>
      </c>
      <c r="DD11" s="53" t="str">
        <f t="shared" si="26"/>
        <v>TGT</v>
      </c>
      <c r="DE11" s="61" t="s">
        <v>51</v>
      </c>
      <c r="DF11" s="53" t="str">
        <f t="shared" si="27"/>
        <v>TGT</v>
      </c>
      <c r="DG11" s="82"/>
      <c r="DH11" s="82"/>
      <c r="DI11" s="70"/>
      <c r="DJ11" s="61" t="s">
        <v>62</v>
      </c>
      <c r="DK11" s="61"/>
      <c r="DL11" s="61" t="s">
        <v>62</v>
      </c>
      <c r="DM11" s="61" t="s">
        <v>75</v>
      </c>
      <c r="DN11" s="82"/>
      <c r="DR11" s="61" t="s">
        <v>7</v>
      </c>
      <c r="DS11" s="66">
        <v>1000000</v>
      </c>
      <c r="DT11" s="61" t="s">
        <v>14</v>
      </c>
      <c r="DU11" s="61" t="s">
        <v>17</v>
      </c>
      <c r="DV11" s="70"/>
      <c r="DW11" s="73" t="str">
        <f t="shared" si="28"/>
        <v>EUROIS</v>
      </c>
      <c r="DX11" s="74" t="str">
        <f t="shared" si="29"/>
        <v>EUR</v>
      </c>
      <c r="DY11" s="71">
        <v>1</v>
      </c>
      <c r="DZ11" s="75" t="str">
        <f t="shared" ca="1" si="30"/>
        <v>#LOADING</v>
      </c>
      <c r="EA11" s="61"/>
      <c r="EB11" s="61"/>
      <c r="EC11" s="72"/>
      <c r="ED11" s="72"/>
      <c r="EE11" s="71"/>
      <c r="EF11" s="76" t="str">
        <f t="shared" ca="1" si="31"/>
        <v>#LOADING</v>
      </c>
      <c r="EG11" s="76" t="str">
        <f t="shared" ca="1" si="32"/>
        <v>#LOADING</v>
      </c>
      <c r="EH11" s="77" t="str">
        <f t="shared" ca="1" si="33"/>
        <v>#LOADING</v>
      </c>
      <c r="EI11" s="77" t="str">
        <f t="shared" ca="1" si="34"/>
        <v>#LOADING</v>
      </c>
      <c r="EJ11" s="78" t="str">
        <f t="shared" ca="1" si="35"/>
        <v>#LOADING</v>
      </c>
      <c r="EK11" s="61"/>
      <c r="EL11" s="61"/>
      <c r="EM11" s="61" t="s">
        <v>51</v>
      </c>
      <c r="EN11" s="73" t="str">
        <f t="shared" si="36"/>
        <v>TGT</v>
      </c>
      <c r="EO11" s="61" t="s">
        <v>51</v>
      </c>
      <c r="EP11" s="73" t="str">
        <f t="shared" si="37"/>
        <v>TGT</v>
      </c>
      <c r="EQ11" s="76" t="str">
        <f t="shared" ca="1" si="38"/>
        <v>#LOADING</v>
      </c>
      <c r="ER11" s="76" t="str">
        <f t="shared" ca="1" si="39"/>
        <v>#LOADING</v>
      </c>
      <c r="ES11" s="70" t="s">
        <v>80</v>
      </c>
      <c r="ET11" s="61"/>
      <c r="EU11" s="61"/>
      <c r="EV11" s="61" t="s">
        <v>62</v>
      </c>
      <c r="EW11" s="61"/>
      <c r="EX11" s="76" t="str">
        <f t="shared" ca="1" si="40"/>
        <v>#LOADING</v>
      </c>
      <c r="EZ11" s="61" t="s">
        <v>8</v>
      </c>
      <c r="FA11" s="66">
        <v>1000000</v>
      </c>
      <c r="FB11" s="61" t="s">
        <v>14</v>
      </c>
      <c r="FC11" s="61" t="s">
        <v>18</v>
      </c>
      <c r="FD11" s="73" t="str">
        <f t="shared" si="41"/>
        <v>EUR6ML</v>
      </c>
      <c r="FE11" s="73" t="str">
        <f t="shared" si="42"/>
        <v>EUROIS</v>
      </c>
      <c r="FF11" s="41" t="str">
        <f t="shared" si="43"/>
        <v>EUR</v>
      </c>
      <c r="FG11" s="71">
        <v>1</v>
      </c>
      <c r="FH11" s="81"/>
      <c r="FI11" s="61" t="s">
        <v>32</v>
      </c>
      <c r="FJ11" s="61" t="s">
        <v>32</v>
      </c>
      <c r="FK11" s="72"/>
      <c r="FL11" s="72"/>
      <c r="FM11" s="71"/>
      <c r="FN11" s="76" t="str">
        <f t="shared" ca="1" si="44"/>
        <v>#LOADING</v>
      </c>
      <c r="FO11" s="76" t="str">
        <f t="shared" ca="1" si="45"/>
        <v>#LOADING</v>
      </c>
      <c r="FP11" s="73" t="str">
        <f t="shared" si="46"/>
        <v>SEMI-ANNUAL</v>
      </c>
      <c r="FQ11" s="73" t="str">
        <f t="shared" si="47"/>
        <v>SEMI-ANNUAL</v>
      </c>
      <c r="FR11" s="73" t="str">
        <f t="shared" si="48"/>
        <v>ACT/365</v>
      </c>
      <c r="FS11" s="61" t="s">
        <v>58</v>
      </c>
      <c r="FT11" s="73" t="str">
        <f t="shared" si="49"/>
        <v>TGT</v>
      </c>
      <c r="FU11" s="61" t="s">
        <v>51</v>
      </c>
      <c r="FV11" s="73" t="str">
        <f t="shared" si="50"/>
        <v>TGT</v>
      </c>
      <c r="FW11" s="61" t="s">
        <v>51</v>
      </c>
      <c r="FX11" s="73" t="str">
        <f t="shared" si="51"/>
        <v>TGT</v>
      </c>
      <c r="FY11" s="82"/>
      <c r="FZ11" s="82"/>
      <c r="GA11" s="70"/>
      <c r="GB11" s="61" t="s">
        <v>62</v>
      </c>
      <c r="GC11" s="61"/>
      <c r="GD11" s="61" t="s">
        <v>62</v>
      </c>
      <c r="GE11" s="61" t="s">
        <v>75</v>
      </c>
      <c r="GF11" s="82"/>
      <c r="GJ11" s="95" t="str">
        <f t="shared" si="52"/>
        <v>ELECTRICITE DE FRANCE SA</v>
      </c>
      <c r="GK11" s="42" t="str">
        <f ca="1">IF(LEFT(_xll.BDP($C11,GK$5),1)="#","#LOADING",_xll.BDP($C11,GK$5))</f>
        <v>#LOADING</v>
      </c>
      <c r="GL11" s="74" t="str">
        <f t="shared" si="53"/>
        <v>EUR</v>
      </c>
      <c r="GM11" s="74" t="str">
        <f t="shared" si="54"/>
        <v>PPOE027W1</v>
      </c>
      <c r="GN11" s="64" t="s">
        <v>20</v>
      </c>
      <c r="GO11" s="42" t="str">
        <f ca="1">IF(LEFT(_xll.BDP($C11,GO$5),1)="#","#LOADING",IF(_xll.BDP($C11,GO$5)="CLEAN",TRUE,FALSE))</f>
        <v>#LOADING</v>
      </c>
      <c r="GP11" s="64" t="s">
        <v>26</v>
      </c>
      <c r="GQ11" s="61" t="s">
        <v>18</v>
      </c>
      <c r="GR11" s="65" t="s">
        <v>28</v>
      </c>
      <c r="GS11" s="66">
        <v>1000000</v>
      </c>
      <c r="GT11" s="96" t="str">
        <f ca="1">IF(LEFT(_xll.BDP($C11,GT$5),1)="#","#LOADING",DATEVALUE(_xll.BDP($C11,GT$5)))</f>
        <v>#LOADING</v>
      </c>
      <c r="GU11" s="96" t="str">
        <f ca="1">IF(LEFT(_xll.BDP($C11,GU$5),1)="#","#LOADING",DATEVALUE(_xll.BDP($C11,GU$5)))</f>
        <v>#LOADING</v>
      </c>
      <c r="GV11" s="96" t="str">
        <f ca="1">IF(LEFT(_xll.BDP($C11,GV$5),1)="#","#LOADING",DATEVALUE(_xll.BDP($C11,GV$5)))</f>
        <v>#LOADING</v>
      </c>
      <c r="GW11" s="96" t="str">
        <f ca="1">IF(LEFT(_xll.BDP($C11,GW$5),1)="#","#LOADING",DATEVALUE(_xll.BDP($C11,GW$5)))</f>
        <v>#LOADING</v>
      </c>
      <c r="GX11" s="96" t="str">
        <f ca="1">IF(LEFT(_xll.BDP($C11,GX$5),1)="#","#LOADING",DATEVALUE(_xll.BDP($C11,GX$5)))</f>
        <v>#LOADING</v>
      </c>
      <c r="GY11" s="97" t="str">
        <f ca="1">IF(LEFT(_xll.BDP($C11,GY$5),1)="#","#LOADING",_xll.BDP($C11,GY$5)%)</f>
        <v>#LOADING</v>
      </c>
      <c r="GZ11" s="97" t="str">
        <f ca="1">IF(LEFT(_xll.BDP($C11,GZ$5),1)="#","#LOADING",VLOOKUP(_xll.BDP($C11,GZ$5),Static.CouponFrequency,2,FALSE))</f>
        <v>#LOADING</v>
      </c>
      <c r="HA11" s="68" t="s">
        <v>51</v>
      </c>
      <c r="HB11" s="73" t="str">
        <f t="shared" si="55"/>
        <v>TGT</v>
      </c>
      <c r="HC11" s="61" t="s">
        <v>51</v>
      </c>
      <c r="HD11" s="73" t="str">
        <f t="shared" si="56"/>
        <v>TGT</v>
      </c>
      <c r="HE11" s="61" t="s">
        <v>62</v>
      </c>
      <c r="HF11" s="43" t="str">
        <f ca="1">IF(LEFT(_xll.BDP($C11,HF$5),1)="#","#LOADING",_xll.BDP($C11,HF$5))</f>
        <v>#LOADING</v>
      </c>
      <c r="HG11" s="70"/>
      <c r="HH11" s="43" t="str">
        <f ca="1">IF(LEFT(_xll.BDP($C11,HH$5),1)="#","#LOADING","Type"&amp;IF(_xll.BDP($C11,HH$5)=999,1,_xll.BDP($C11,HH$5)))</f>
        <v>#LOADING</v>
      </c>
    </row>
    <row r="12" spans="1:217">
      <c r="A12" s="101">
        <v>6</v>
      </c>
      <c r="B12" s="57"/>
      <c r="C12" s="57"/>
      <c r="D12" s="57"/>
      <c r="E12" s="57"/>
      <c r="F12" s="57"/>
      <c r="G12" s="57"/>
      <c r="H12" s="57"/>
      <c r="I12" s="57"/>
      <c r="J12" s="101">
        <v>6</v>
      </c>
      <c r="K12" s="58" t="s">
        <v>163</v>
      </c>
      <c r="L12" s="59" t="str">
        <f>IF(ISBLANK(M12),IF($G12="","",_xll.BDP(AB12&amp;" "&amp;$K12&amp;" Corp","PX_LAST")),M12)</f>
        <v/>
      </c>
      <c r="M12" s="60"/>
      <c r="N12" s="83" t="str">
        <f ca="1">IF(ISBLANK($O12),IF($G12="","",_xll.meLWOAssetSwapSpread($U12,$T12,$L12,INDIRECT("ValuationSettings"&amp;$CN12),INDIRECT("Fixings"&amp;$CN12&amp;IF($I12="QUARTERLY","3ML","6ML")))),$O12)</f>
        <v/>
      </c>
      <c r="O12" s="60"/>
      <c r="P12" s="84" t="str">
        <f ca="1">IF($C12="","",_xll.meLWOAssetSwapSpreadToCleanPrice($V12,$N12,INDIRECT("ValuationSettings"&amp;$DX12),INDIRECT("Fixings"&amp;$DX12&amp;IF($E12="QUARTERLY","3ML","6ML"))))</f>
        <v/>
      </c>
      <c r="Q12" s="84" t="str">
        <f ca="1">IF($C12="","",_xll.meLWOBondPriceFromCleanToDirty($W12,INDIRECT("ValuationDate"&amp;$D12),$P12))</f>
        <v/>
      </c>
      <c r="R12" s="98" t="str">
        <f ca="1">IF($C12="","",_xll.meLWOBondYield($W12,INDIRECT("ValuationDate"&amp;$D12),IF($GO12,$P12,$Q12)))</f>
        <v/>
      </c>
      <c r="S12" s="101">
        <v>6</v>
      </c>
      <c r="T12" s="53" t="str">
        <f>IF($G12="","",IF(LEFT(Z12,1)="#","#LOADING",_xll.meLWOBondCreateFromLVB("PROXY_BOND_"&amp;$AB12,_xll.meUtilityLVBFromKeysValues($Y$6:$AW$6,$Y12:$AW12))))</f>
        <v/>
      </c>
      <c r="U12" s="53" t="str">
        <f>IF($G12="","",_xll.meLWOSwapCreate("PROXY_ASW_"&amp;$AB12,_xll.meUtilityLVBFromKeysAndMultipleValues($AZ$6:$CF$6,$AZ12:$CF12,$CH12:$DN12)))</f>
        <v/>
      </c>
      <c r="V12" s="53" t="str">
        <f>IF($C12="","",_xll.meLWOSwapCreate("BOND_ASW_"&amp;$GM12,_xll.meUtilityLVBFromKeysAndMultipleValues($DR$6:$EX$6,$DR12:$EX12,$EZ12:$GF12)))</f>
        <v/>
      </c>
      <c r="W12" s="53" t="str">
        <f>IF($C12="","",IF(LEFT(GK12,1)="#","#LOADING",_xll.meLWOBondCreateFromLVB("PROXY_BOND_"&amp;$GM12,_xll.meUtilityLVBFromKeysValues($GJ$6:$HH$6,$GJ12:$HH12))))</f>
        <v/>
      </c>
      <c r="X12" t="s">
        <v>0</v>
      </c>
      <c r="Y12" s="62">
        <f t="shared" si="0"/>
        <v>0</v>
      </c>
      <c r="Z12" s="63">
        <f>IF(LEFT(_xll.BDP($G12,Z$5),1)="#","#LOADING",_xll.BDP($G12,Z$5))</f>
        <v>0</v>
      </c>
      <c r="AA12" s="41">
        <f t="shared" si="1"/>
        <v>0</v>
      </c>
      <c r="AB12" s="63">
        <f>IF(LEFT(_xll.BDP($G12,AB$5),1)="#","#LOADING",_xll.BDP($G12,AB$5))</f>
        <v>0</v>
      </c>
      <c r="AC12" s="64" t="s">
        <v>20</v>
      </c>
      <c r="AD12" s="63" t="b">
        <f>IF(LEFT(_xll.BDP($G12,AD$5),1)="#","#LOADING",IF(_xll.BDP($G12,AD$5)="CLEAN",TRUE,FALSE))</f>
        <v>0</v>
      </c>
      <c r="AE12" s="64" t="s">
        <v>26</v>
      </c>
      <c r="AF12" s="61" t="s">
        <v>18</v>
      </c>
      <c r="AG12" s="65" t="s">
        <v>28</v>
      </c>
      <c r="AH12" s="66">
        <v>1000000</v>
      </c>
      <c r="AI12" s="63" t="e">
        <f>IF(LEFT(_xll.BDP($G12,AI$5),1)="#","#LOADING",DATEVALUE(_xll.BDP($G12,AI$5)))</f>
        <v>#VALUE!</v>
      </c>
      <c r="AJ12" s="63" t="e">
        <f>IF(LEFT(_xll.BDP($G12,AJ$5),1)="#","#LOADING",DATEVALUE(_xll.BDP($G12,AJ$5)))</f>
        <v>#VALUE!</v>
      </c>
      <c r="AK12" s="63" t="e">
        <f>IF(LEFT(_xll.BDP($G12,AK$5),1)="#","#LOADING",DATEVALUE(_xll.BDP($G12,AK$5)))</f>
        <v>#VALUE!</v>
      </c>
      <c r="AL12" s="63" t="e">
        <f>IF(LEFT(_xll.BDP($G12,AL$5),1)="#","#LOADING",DATEVALUE(_xll.BDP($G12,AL$5)))</f>
        <v>#VALUE!</v>
      </c>
      <c r="AM12" s="63" t="e">
        <f>IF(LEFT(_xll.BDP($G12,AM$5),1)="#","#LOADING",DATEVALUE(_xll.BDP($G12,AM$5)))</f>
        <v>#VALUE!</v>
      </c>
      <c r="AN12" s="67">
        <f>IF(LEFT(_xll.BDP($G12,AN$5),1)="#","#LOADING",_xll.BDP($G12,AN$5)%)</f>
        <v>0</v>
      </c>
      <c r="AO12" s="67" t="str">
        <f>IF(LEFT(_xll.BDP($G12,AO$5),1)="#","#LOADING",VLOOKUP(_xll.BDP($G12,AO$5),Static.CouponFrequency,2,FALSE))</f>
        <v>ZERO-COUPON</v>
      </c>
      <c r="AP12" s="68" t="s">
        <v>51</v>
      </c>
      <c r="AQ12" s="53" t="e">
        <f t="shared" si="2"/>
        <v>#N/A</v>
      </c>
      <c r="AR12" s="61" t="s">
        <v>51</v>
      </c>
      <c r="AS12" s="53" t="e">
        <f t="shared" si="3"/>
        <v>#N/A</v>
      </c>
      <c r="AT12" s="61" t="s">
        <v>62</v>
      </c>
      <c r="AU12" s="69">
        <f>IF(LEFT(_xll.BDP($G12,AU$5),1)="#","#LOADING",_xll.BDP($G12,AU$5))</f>
        <v>0</v>
      </c>
      <c r="AV12" s="70"/>
      <c r="AW12" s="69" t="str">
        <f>IF(LEFT(_xll.BDP($G12,AW$5),1)="#","#LOADING","Type"&amp;IF(_xll.BDP($G12,AW$5)=999,1,_xll.BDP($G12,AW$5)))</f>
        <v>Type</v>
      </c>
      <c r="AX12" s="54"/>
      <c r="AZ12" s="61" t="s">
        <v>7</v>
      </c>
      <c r="BA12" s="66">
        <v>1000000</v>
      </c>
      <c r="BB12" s="61" t="s">
        <v>14</v>
      </c>
      <c r="BC12" s="61" t="s">
        <v>17</v>
      </c>
      <c r="BD12" s="70"/>
      <c r="BE12" s="73" t="e">
        <f t="shared" si="4"/>
        <v>#N/A</v>
      </c>
      <c r="BF12" s="74">
        <f t="shared" si="5"/>
        <v>0</v>
      </c>
      <c r="BG12" s="71">
        <v>1</v>
      </c>
      <c r="BH12" s="75">
        <f t="shared" si="6"/>
        <v>0</v>
      </c>
      <c r="BI12" s="61"/>
      <c r="BJ12" s="61"/>
      <c r="BK12" s="72"/>
      <c r="BL12" s="72"/>
      <c r="BM12" s="71"/>
      <c r="BN12" s="76" t="e">
        <f t="shared" si="7"/>
        <v>#VALUE!</v>
      </c>
      <c r="BO12" s="76" t="e">
        <f t="shared" si="8"/>
        <v>#VALUE!</v>
      </c>
      <c r="BP12" s="77" t="str">
        <f t="shared" si="9"/>
        <v>ZERO-COUPON</v>
      </c>
      <c r="BQ12" s="77" t="str">
        <f t="shared" si="10"/>
        <v>ZERO-COUPON</v>
      </c>
      <c r="BR12" s="78">
        <f t="shared" si="11"/>
        <v>0</v>
      </c>
      <c r="BS12" s="61"/>
      <c r="BT12" s="61"/>
      <c r="BU12" s="61" t="s">
        <v>51</v>
      </c>
      <c r="BV12" s="73" t="e">
        <f t="shared" si="12"/>
        <v>#N/A</v>
      </c>
      <c r="BW12" s="61" t="s">
        <v>51</v>
      </c>
      <c r="BX12" s="73" t="e">
        <f t="shared" si="13"/>
        <v>#N/A</v>
      </c>
      <c r="BY12" s="76" t="e">
        <f t="shared" si="14"/>
        <v>#VALUE!</v>
      </c>
      <c r="BZ12" s="76" t="e">
        <f t="shared" si="15"/>
        <v>#VALUE!</v>
      </c>
      <c r="CA12" s="70" t="s">
        <v>80</v>
      </c>
      <c r="CB12" s="61"/>
      <c r="CC12" s="61"/>
      <c r="CD12" s="61" t="s">
        <v>62</v>
      </c>
      <c r="CE12" s="61"/>
      <c r="CF12" s="76" t="str">
        <f t="shared" si="16"/>
        <v>Type</v>
      </c>
      <c r="CH12" s="61" t="s">
        <v>8</v>
      </c>
      <c r="CI12" s="66">
        <v>1000000</v>
      </c>
      <c r="CJ12" s="61" t="s">
        <v>14</v>
      </c>
      <c r="CK12" s="61" t="s">
        <v>18</v>
      </c>
      <c r="CL12" s="53" t="e">
        <f t="shared" si="17"/>
        <v>#N/A</v>
      </c>
      <c r="CM12" s="53" t="e">
        <f t="shared" si="18"/>
        <v>#N/A</v>
      </c>
      <c r="CN12" s="41">
        <f t="shared" si="19"/>
        <v>0</v>
      </c>
      <c r="CO12" s="71">
        <v>1</v>
      </c>
      <c r="CP12" s="81"/>
      <c r="CQ12" s="61" t="s">
        <v>32</v>
      </c>
      <c r="CR12" s="61" t="s">
        <v>32</v>
      </c>
      <c r="CS12" s="72"/>
      <c r="CT12" s="72"/>
      <c r="CU12" s="71"/>
      <c r="CV12" s="82" t="e">
        <f t="shared" si="20"/>
        <v>#VALUE!</v>
      </c>
      <c r="CW12" s="82" t="e">
        <f t="shared" si="21"/>
        <v>#VALUE!</v>
      </c>
      <c r="CX12" s="53">
        <f t="shared" si="22"/>
        <v>0</v>
      </c>
      <c r="CY12" s="53">
        <f t="shared" si="23"/>
        <v>0</v>
      </c>
      <c r="CZ12" s="53" t="e">
        <f t="shared" si="24"/>
        <v>#N/A</v>
      </c>
      <c r="DA12" s="61" t="s">
        <v>58</v>
      </c>
      <c r="DB12" s="53" t="e">
        <f t="shared" si="25"/>
        <v>#N/A</v>
      </c>
      <c r="DC12" s="61" t="s">
        <v>51</v>
      </c>
      <c r="DD12" s="53" t="e">
        <f t="shared" si="26"/>
        <v>#N/A</v>
      </c>
      <c r="DE12" s="61" t="s">
        <v>51</v>
      </c>
      <c r="DF12" s="53" t="e">
        <f t="shared" si="27"/>
        <v>#N/A</v>
      </c>
      <c r="DG12" s="82"/>
      <c r="DH12" s="82"/>
      <c r="DI12" s="70"/>
      <c r="DJ12" s="61" t="s">
        <v>62</v>
      </c>
      <c r="DK12" s="61"/>
      <c r="DL12" s="61" t="s">
        <v>62</v>
      </c>
      <c r="DM12" s="61" t="s">
        <v>75</v>
      </c>
      <c r="DN12" s="82"/>
      <c r="DR12" s="61" t="s">
        <v>7</v>
      </c>
      <c r="DS12" s="66">
        <v>1000000</v>
      </c>
      <c r="DT12" s="61" t="s">
        <v>14</v>
      </c>
      <c r="DU12" s="61" t="s">
        <v>17</v>
      </c>
      <c r="DV12" s="70"/>
      <c r="DW12" s="73" t="e">
        <f t="shared" si="28"/>
        <v>#N/A</v>
      </c>
      <c r="DX12" s="74">
        <f t="shared" si="29"/>
        <v>0</v>
      </c>
      <c r="DY12" s="71">
        <v>1</v>
      </c>
      <c r="DZ12" s="75">
        <f t="shared" si="30"/>
        <v>0</v>
      </c>
      <c r="EA12" s="61"/>
      <c r="EB12" s="61"/>
      <c r="EC12" s="72"/>
      <c r="ED12" s="72"/>
      <c r="EE12" s="71"/>
      <c r="EF12" s="76" t="e">
        <f t="shared" si="31"/>
        <v>#VALUE!</v>
      </c>
      <c r="EG12" s="76" t="e">
        <f t="shared" si="32"/>
        <v>#VALUE!</v>
      </c>
      <c r="EH12" s="77" t="str">
        <f t="shared" si="33"/>
        <v>ZERO-COUPON</v>
      </c>
      <c r="EI12" s="77" t="str">
        <f t="shared" si="34"/>
        <v>ZERO-COUPON</v>
      </c>
      <c r="EJ12" s="78">
        <f t="shared" si="35"/>
        <v>0</v>
      </c>
      <c r="EK12" s="61"/>
      <c r="EL12" s="61"/>
      <c r="EM12" s="61" t="s">
        <v>51</v>
      </c>
      <c r="EN12" s="73" t="e">
        <f t="shared" si="36"/>
        <v>#N/A</v>
      </c>
      <c r="EO12" s="61" t="s">
        <v>51</v>
      </c>
      <c r="EP12" s="73" t="e">
        <f t="shared" si="37"/>
        <v>#N/A</v>
      </c>
      <c r="EQ12" s="76" t="e">
        <f t="shared" si="38"/>
        <v>#VALUE!</v>
      </c>
      <c r="ER12" s="76" t="e">
        <f t="shared" si="39"/>
        <v>#VALUE!</v>
      </c>
      <c r="ES12" s="70" t="s">
        <v>80</v>
      </c>
      <c r="ET12" s="61"/>
      <c r="EU12" s="61"/>
      <c r="EV12" s="61" t="s">
        <v>62</v>
      </c>
      <c r="EW12" s="61"/>
      <c r="EX12" s="76" t="str">
        <f t="shared" si="40"/>
        <v>Type</v>
      </c>
      <c r="EZ12" s="61" t="s">
        <v>8</v>
      </c>
      <c r="FA12" s="66">
        <v>1000000</v>
      </c>
      <c r="FB12" s="61" t="s">
        <v>14</v>
      </c>
      <c r="FC12" s="61" t="s">
        <v>18</v>
      </c>
      <c r="FD12" s="73" t="e">
        <f t="shared" si="41"/>
        <v>#N/A</v>
      </c>
      <c r="FE12" s="73" t="e">
        <f t="shared" si="42"/>
        <v>#N/A</v>
      </c>
      <c r="FF12" s="41">
        <f t="shared" si="43"/>
        <v>0</v>
      </c>
      <c r="FG12" s="71">
        <v>1</v>
      </c>
      <c r="FH12" s="81"/>
      <c r="FI12" s="61" t="s">
        <v>32</v>
      </c>
      <c r="FJ12" s="61" t="s">
        <v>32</v>
      </c>
      <c r="FK12" s="72"/>
      <c r="FL12" s="72"/>
      <c r="FM12" s="71"/>
      <c r="FN12" s="76" t="e">
        <f t="shared" si="44"/>
        <v>#VALUE!</v>
      </c>
      <c r="FO12" s="76" t="e">
        <f t="shared" si="45"/>
        <v>#VALUE!</v>
      </c>
      <c r="FP12" s="73">
        <f t="shared" si="46"/>
        <v>0</v>
      </c>
      <c r="FQ12" s="73">
        <f t="shared" si="47"/>
        <v>0</v>
      </c>
      <c r="FR12" s="73" t="e">
        <f t="shared" si="48"/>
        <v>#N/A</v>
      </c>
      <c r="FS12" s="61" t="s">
        <v>58</v>
      </c>
      <c r="FT12" s="73" t="e">
        <f t="shared" si="49"/>
        <v>#N/A</v>
      </c>
      <c r="FU12" s="61" t="s">
        <v>51</v>
      </c>
      <c r="FV12" s="73" t="e">
        <f t="shared" si="50"/>
        <v>#N/A</v>
      </c>
      <c r="FW12" s="61" t="s">
        <v>51</v>
      </c>
      <c r="FX12" s="73" t="e">
        <f t="shared" si="51"/>
        <v>#N/A</v>
      </c>
      <c r="FY12" s="82"/>
      <c r="FZ12" s="82"/>
      <c r="GA12" s="70"/>
      <c r="GB12" s="61" t="s">
        <v>62</v>
      </c>
      <c r="GC12" s="61"/>
      <c r="GD12" s="61" t="s">
        <v>62</v>
      </c>
      <c r="GE12" s="61" t="s">
        <v>75</v>
      </c>
      <c r="GF12" s="82"/>
      <c r="GJ12" s="95">
        <f t="shared" si="52"/>
        <v>0</v>
      </c>
      <c r="GK12" s="42">
        <f>IF(LEFT(_xll.BDP($C12,GK$5),1)="#","#LOADING",_xll.BDP($C12,GK$5))</f>
        <v>0</v>
      </c>
      <c r="GL12" s="74">
        <f t="shared" si="53"/>
        <v>0</v>
      </c>
      <c r="GM12" s="74" t="e">
        <f t="shared" si="54"/>
        <v>#VALUE!</v>
      </c>
      <c r="GN12" s="64" t="s">
        <v>20</v>
      </c>
      <c r="GO12" s="42" t="b">
        <f>IF(LEFT(_xll.BDP($C12,GO$5),1)="#","#LOADING",IF(_xll.BDP($C12,GO$5)="CLEAN",TRUE,FALSE))</f>
        <v>0</v>
      </c>
      <c r="GP12" s="64" t="s">
        <v>26</v>
      </c>
      <c r="GQ12" s="61" t="s">
        <v>18</v>
      </c>
      <c r="GR12" s="65" t="s">
        <v>28</v>
      </c>
      <c r="GS12" s="66">
        <v>1000000</v>
      </c>
      <c r="GT12" s="96" t="e">
        <f>IF(LEFT(_xll.BDP($C12,GT$5),1)="#","#LOADING",DATEVALUE(_xll.BDP($C12,GT$5)))</f>
        <v>#VALUE!</v>
      </c>
      <c r="GU12" s="96" t="e">
        <f>IF(LEFT(_xll.BDP($C12,GU$5),1)="#","#LOADING",DATEVALUE(_xll.BDP($C12,GU$5)))</f>
        <v>#VALUE!</v>
      </c>
      <c r="GV12" s="96" t="e">
        <f>IF(LEFT(_xll.BDP($C12,GV$5),1)="#","#LOADING",DATEVALUE(_xll.BDP($C12,GV$5)))</f>
        <v>#VALUE!</v>
      </c>
      <c r="GW12" s="96" t="e">
        <f>IF(LEFT(_xll.BDP($C12,GW$5),1)="#","#LOADING",DATEVALUE(_xll.BDP($C12,GW$5)))</f>
        <v>#VALUE!</v>
      </c>
      <c r="GX12" s="96" t="e">
        <f>IF(LEFT(_xll.BDP($C12,GX$5),1)="#","#LOADING",DATEVALUE(_xll.BDP($C12,GX$5)))</f>
        <v>#VALUE!</v>
      </c>
      <c r="GY12" s="97">
        <f>IF(LEFT(_xll.BDP($C12,GY$5),1)="#","#LOADING",_xll.BDP($C12,GY$5)%)</f>
        <v>0</v>
      </c>
      <c r="GZ12" s="97" t="str">
        <f>IF(LEFT(_xll.BDP($C12,GZ$5),1)="#","#LOADING",VLOOKUP(_xll.BDP($C12,GZ$5),Static.CouponFrequency,2,FALSE))</f>
        <v>ZERO-COUPON</v>
      </c>
      <c r="HA12" s="68" t="s">
        <v>51</v>
      </c>
      <c r="HB12" s="73" t="e">
        <f t="shared" si="55"/>
        <v>#N/A</v>
      </c>
      <c r="HC12" s="61" t="s">
        <v>51</v>
      </c>
      <c r="HD12" s="73" t="e">
        <f t="shared" si="56"/>
        <v>#N/A</v>
      </c>
      <c r="HE12" s="61" t="s">
        <v>62</v>
      </c>
      <c r="HF12" s="43">
        <f>IF(LEFT(_xll.BDP($C12,HF$5),1)="#","#LOADING",_xll.BDP($C12,HF$5))</f>
        <v>0</v>
      </c>
      <c r="HG12" s="70"/>
      <c r="HH12" s="43" t="str">
        <f>IF(LEFT(_xll.BDP($C12,HH$5),1)="#","#LOADING","Type"&amp;IF(_xll.BDP($C12,HH$5)=999,1,_xll.BDP($C12,HH$5)))</f>
        <v>Type</v>
      </c>
    </row>
    <row r="13" spans="1:217">
      <c r="A13" s="101">
        <v>7</v>
      </c>
      <c r="B13" s="57"/>
      <c r="C13" s="57"/>
      <c r="D13" s="57"/>
      <c r="E13" s="57"/>
      <c r="F13" s="57"/>
      <c r="G13" s="57"/>
      <c r="H13" s="57"/>
      <c r="I13" s="57"/>
      <c r="J13" s="101">
        <v>7</v>
      </c>
      <c r="K13" s="58" t="s">
        <v>163</v>
      </c>
      <c r="L13" s="59" t="str">
        <f>IF(ISBLANK(M13),IF($G13="","",_xll.BDP(AB13&amp;" "&amp;$K13&amp;" Corp","PX_LAST")),M13)</f>
        <v/>
      </c>
      <c r="M13" s="60"/>
      <c r="N13" s="83" t="str">
        <f ca="1">IF(ISBLANK($O13),IF($G13="","",_xll.meLWOAssetSwapSpread($U13,$T13,$L13,INDIRECT("ValuationSettings"&amp;$CN13),INDIRECT("Fixings"&amp;$CN13&amp;IF($I13="QUARTERLY","3ML","6ML")))),$O13)</f>
        <v/>
      </c>
      <c r="O13" s="60"/>
      <c r="P13" s="84" t="str">
        <f ca="1">IF($C13="","",_xll.meLWOAssetSwapSpreadToCleanPrice($V13,$N13,INDIRECT("ValuationSettings"&amp;$DX13),INDIRECT("Fixings"&amp;$DX13&amp;IF($E13="QUARTERLY","3ML","6ML"))))</f>
        <v/>
      </c>
      <c r="Q13" s="84" t="str">
        <f ca="1">IF($C13="","",_xll.meLWOBondPriceFromCleanToDirty($W13,INDIRECT("ValuationDate"&amp;$D13),$P13))</f>
        <v/>
      </c>
      <c r="R13" s="98" t="str">
        <f ca="1">IF($C13="","",_xll.meLWOBondYield($W13,INDIRECT("ValuationDate"&amp;$D13),IF($GO13,$P13,$Q13)))</f>
        <v/>
      </c>
      <c r="S13" s="101">
        <v>7</v>
      </c>
      <c r="T13" s="53" t="str">
        <f>IF($G13="","",IF(LEFT(Z13,1)="#","#LOADING",_xll.meLWOBondCreateFromLVB("PROXY_BOND_"&amp;$AB13,_xll.meUtilityLVBFromKeysValues($Y$6:$AW$6,$Y13:$AW13))))</f>
        <v/>
      </c>
      <c r="U13" s="53" t="str">
        <f>IF($G13="","",_xll.meLWOSwapCreate("PROXY_ASW_"&amp;$AB13,_xll.meUtilityLVBFromKeysAndMultipleValues($AZ$6:$CF$6,$AZ13:$CF13,$CH13:$DN13)))</f>
        <v/>
      </c>
      <c r="V13" s="53" t="str">
        <f>IF($C13="","",_xll.meLWOSwapCreate("BOND_ASW_"&amp;$GM13,_xll.meUtilityLVBFromKeysAndMultipleValues($DR$6:$EX$6,$DR13:$EX13,$EZ13:$GF13)))</f>
        <v/>
      </c>
      <c r="W13" s="53" t="str">
        <f>IF($C13="","",IF(LEFT(GK13,1)="#","#LOADING",_xll.meLWOBondCreateFromLVB("PROXY_BOND_"&amp;$GM13,_xll.meUtilityLVBFromKeysValues($GJ$6:$HH$6,$GJ13:$HH13))))</f>
        <v/>
      </c>
      <c r="X13" t="s">
        <v>0</v>
      </c>
      <c r="Y13" s="62">
        <f t="shared" si="0"/>
        <v>0</v>
      </c>
      <c r="Z13" s="63">
        <f>IF(LEFT(_xll.BDP($G13,Z$5),1)="#","#LOADING",_xll.BDP($G13,Z$5))</f>
        <v>0</v>
      </c>
      <c r="AA13" s="41">
        <f t="shared" si="1"/>
        <v>0</v>
      </c>
      <c r="AB13" s="63">
        <f>IF(LEFT(_xll.BDP($G13,AB$5),1)="#","#LOADING",_xll.BDP($G13,AB$5))</f>
        <v>0</v>
      </c>
      <c r="AC13" s="64" t="s">
        <v>20</v>
      </c>
      <c r="AD13" s="63" t="b">
        <f>IF(LEFT(_xll.BDP($G13,AD$5),1)="#","#LOADING",IF(_xll.BDP($G13,AD$5)="CLEAN",TRUE,FALSE))</f>
        <v>0</v>
      </c>
      <c r="AE13" s="64" t="s">
        <v>26</v>
      </c>
      <c r="AF13" s="61" t="s">
        <v>18</v>
      </c>
      <c r="AG13" s="65" t="s">
        <v>28</v>
      </c>
      <c r="AH13" s="66">
        <v>1000000</v>
      </c>
      <c r="AI13" s="63" t="e">
        <f>IF(LEFT(_xll.BDP($G13,AI$5),1)="#","#LOADING",DATEVALUE(_xll.BDP($G13,AI$5)))</f>
        <v>#VALUE!</v>
      </c>
      <c r="AJ13" s="63" t="e">
        <f>IF(LEFT(_xll.BDP($G13,AJ$5),1)="#","#LOADING",DATEVALUE(_xll.BDP($G13,AJ$5)))</f>
        <v>#VALUE!</v>
      </c>
      <c r="AK13" s="63" t="e">
        <f>IF(LEFT(_xll.BDP($G13,AK$5),1)="#","#LOADING",DATEVALUE(_xll.BDP($G13,AK$5)))</f>
        <v>#VALUE!</v>
      </c>
      <c r="AL13" s="63" t="e">
        <f>IF(LEFT(_xll.BDP($G13,AL$5),1)="#","#LOADING",DATEVALUE(_xll.BDP($G13,AL$5)))</f>
        <v>#VALUE!</v>
      </c>
      <c r="AM13" s="63" t="e">
        <f>IF(LEFT(_xll.BDP($G13,AM$5),1)="#","#LOADING",DATEVALUE(_xll.BDP($G13,AM$5)))</f>
        <v>#VALUE!</v>
      </c>
      <c r="AN13" s="67">
        <f>IF(LEFT(_xll.BDP($G13,AN$5),1)="#","#LOADING",_xll.BDP($G13,AN$5)%)</f>
        <v>0</v>
      </c>
      <c r="AO13" s="67" t="str">
        <f>IF(LEFT(_xll.BDP($G13,AO$5),1)="#","#LOADING",VLOOKUP(_xll.BDP($G13,AO$5),Static.CouponFrequency,2,FALSE))</f>
        <v>ZERO-COUPON</v>
      </c>
      <c r="AP13" s="68" t="s">
        <v>51</v>
      </c>
      <c r="AQ13" s="53" t="e">
        <f t="shared" si="2"/>
        <v>#N/A</v>
      </c>
      <c r="AR13" s="61" t="s">
        <v>51</v>
      </c>
      <c r="AS13" s="53" t="e">
        <f t="shared" si="3"/>
        <v>#N/A</v>
      </c>
      <c r="AT13" s="61" t="s">
        <v>62</v>
      </c>
      <c r="AU13" s="69">
        <f>IF(LEFT(_xll.BDP($G13,AU$5),1)="#","#LOADING",_xll.BDP($G13,AU$5))</f>
        <v>0</v>
      </c>
      <c r="AV13" s="70"/>
      <c r="AW13" s="69" t="str">
        <f>IF(LEFT(_xll.BDP($G13,AW$5),1)="#","#LOADING","Type"&amp;IF(_xll.BDP($G13,AW$5)=999,1,_xll.BDP($G13,AW$5)))</f>
        <v>Type</v>
      </c>
      <c r="AX13" s="54"/>
      <c r="AZ13" s="61" t="s">
        <v>7</v>
      </c>
      <c r="BA13" s="66">
        <v>1000000</v>
      </c>
      <c r="BB13" s="61" t="s">
        <v>14</v>
      </c>
      <c r="BC13" s="61" t="s">
        <v>17</v>
      </c>
      <c r="BD13" s="70"/>
      <c r="BE13" s="73" t="e">
        <f t="shared" si="4"/>
        <v>#N/A</v>
      </c>
      <c r="BF13" s="74">
        <f t="shared" si="5"/>
        <v>0</v>
      </c>
      <c r="BG13" s="71">
        <v>1</v>
      </c>
      <c r="BH13" s="75">
        <f t="shared" si="6"/>
        <v>0</v>
      </c>
      <c r="BI13" s="61"/>
      <c r="BJ13" s="61"/>
      <c r="BK13" s="72"/>
      <c r="BL13" s="72"/>
      <c r="BM13" s="71"/>
      <c r="BN13" s="76" t="e">
        <f t="shared" si="7"/>
        <v>#VALUE!</v>
      </c>
      <c r="BO13" s="76" t="e">
        <f t="shared" si="8"/>
        <v>#VALUE!</v>
      </c>
      <c r="BP13" s="77" t="str">
        <f t="shared" si="9"/>
        <v>ZERO-COUPON</v>
      </c>
      <c r="BQ13" s="77" t="str">
        <f t="shared" si="10"/>
        <v>ZERO-COUPON</v>
      </c>
      <c r="BR13" s="78">
        <f t="shared" si="11"/>
        <v>0</v>
      </c>
      <c r="BS13" s="61"/>
      <c r="BT13" s="61"/>
      <c r="BU13" s="61" t="s">
        <v>51</v>
      </c>
      <c r="BV13" s="73" t="e">
        <f t="shared" si="12"/>
        <v>#N/A</v>
      </c>
      <c r="BW13" s="61" t="s">
        <v>51</v>
      </c>
      <c r="BX13" s="73" t="e">
        <f t="shared" si="13"/>
        <v>#N/A</v>
      </c>
      <c r="BY13" s="76" t="e">
        <f t="shared" si="14"/>
        <v>#VALUE!</v>
      </c>
      <c r="BZ13" s="76" t="e">
        <f t="shared" si="15"/>
        <v>#VALUE!</v>
      </c>
      <c r="CA13" s="70" t="s">
        <v>80</v>
      </c>
      <c r="CB13" s="61"/>
      <c r="CC13" s="61"/>
      <c r="CD13" s="61" t="s">
        <v>62</v>
      </c>
      <c r="CE13" s="61"/>
      <c r="CF13" s="76" t="str">
        <f t="shared" si="16"/>
        <v>Type</v>
      </c>
      <c r="CH13" s="61" t="s">
        <v>8</v>
      </c>
      <c r="CI13" s="66">
        <v>1000000</v>
      </c>
      <c r="CJ13" s="61" t="s">
        <v>14</v>
      </c>
      <c r="CK13" s="61" t="s">
        <v>18</v>
      </c>
      <c r="CL13" s="53" t="e">
        <f t="shared" si="17"/>
        <v>#N/A</v>
      </c>
      <c r="CM13" s="53" t="e">
        <f t="shared" si="18"/>
        <v>#N/A</v>
      </c>
      <c r="CN13" s="41">
        <f t="shared" si="19"/>
        <v>0</v>
      </c>
      <c r="CO13" s="71">
        <v>1</v>
      </c>
      <c r="CP13" s="81"/>
      <c r="CQ13" s="61" t="s">
        <v>32</v>
      </c>
      <c r="CR13" s="61" t="s">
        <v>32</v>
      </c>
      <c r="CS13" s="72"/>
      <c r="CT13" s="72"/>
      <c r="CU13" s="71"/>
      <c r="CV13" s="82" t="e">
        <f t="shared" si="20"/>
        <v>#VALUE!</v>
      </c>
      <c r="CW13" s="82" t="e">
        <f t="shared" si="21"/>
        <v>#VALUE!</v>
      </c>
      <c r="CX13" s="53">
        <f t="shared" si="22"/>
        <v>0</v>
      </c>
      <c r="CY13" s="53">
        <f t="shared" si="23"/>
        <v>0</v>
      </c>
      <c r="CZ13" s="53" t="e">
        <f t="shared" si="24"/>
        <v>#N/A</v>
      </c>
      <c r="DA13" s="61" t="s">
        <v>58</v>
      </c>
      <c r="DB13" s="53" t="e">
        <f t="shared" si="25"/>
        <v>#N/A</v>
      </c>
      <c r="DC13" s="61" t="s">
        <v>51</v>
      </c>
      <c r="DD13" s="53" t="e">
        <f t="shared" si="26"/>
        <v>#N/A</v>
      </c>
      <c r="DE13" s="61" t="s">
        <v>51</v>
      </c>
      <c r="DF13" s="53" t="e">
        <f t="shared" si="27"/>
        <v>#N/A</v>
      </c>
      <c r="DG13" s="82"/>
      <c r="DH13" s="82"/>
      <c r="DI13" s="70"/>
      <c r="DJ13" s="61" t="s">
        <v>62</v>
      </c>
      <c r="DK13" s="61"/>
      <c r="DL13" s="61" t="s">
        <v>62</v>
      </c>
      <c r="DM13" s="61" t="s">
        <v>75</v>
      </c>
      <c r="DN13" s="82"/>
      <c r="DR13" s="61" t="s">
        <v>7</v>
      </c>
      <c r="DS13" s="66">
        <v>1000000</v>
      </c>
      <c r="DT13" s="61" t="s">
        <v>14</v>
      </c>
      <c r="DU13" s="61" t="s">
        <v>17</v>
      </c>
      <c r="DV13" s="70"/>
      <c r="DW13" s="73" t="e">
        <f t="shared" si="28"/>
        <v>#N/A</v>
      </c>
      <c r="DX13" s="74">
        <f t="shared" si="29"/>
        <v>0</v>
      </c>
      <c r="DY13" s="71">
        <v>1</v>
      </c>
      <c r="DZ13" s="75">
        <f t="shared" si="30"/>
        <v>0</v>
      </c>
      <c r="EA13" s="61"/>
      <c r="EB13" s="61"/>
      <c r="EC13" s="72"/>
      <c r="ED13" s="72"/>
      <c r="EE13" s="71"/>
      <c r="EF13" s="76" t="e">
        <f t="shared" si="31"/>
        <v>#VALUE!</v>
      </c>
      <c r="EG13" s="76" t="e">
        <f t="shared" si="32"/>
        <v>#VALUE!</v>
      </c>
      <c r="EH13" s="77" t="str">
        <f t="shared" si="33"/>
        <v>ZERO-COUPON</v>
      </c>
      <c r="EI13" s="77" t="str">
        <f t="shared" si="34"/>
        <v>ZERO-COUPON</v>
      </c>
      <c r="EJ13" s="78">
        <f t="shared" si="35"/>
        <v>0</v>
      </c>
      <c r="EK13" s="61"/>
      <c r="EL13" s="61"/>
      <c r="EM13" s="61" t="s">
        <v>51</v>
      </c>
      <c r="EN13" s="73" t="e">
        <f t="shared" si="36"/>
        <v>#N/A</v>
      </c>
      <c r="EO13" s="61" t="s">
        <v>51</v>
      </c>
      <c r="EP13" s="73" t="e">
        <f t="shared" si="37"/>
        <v>#N/A</v>
      </c>
      <c r="EQ13" s="76" t="e">
        <f t="shared" si="38"/>
        <v>#VALUE!</v>
      </c>
      <c r="ER13" s="76" t="e">
        <f t="shared" si="39"/>
        <v>#VALUE!</v>
      </c>
      <c r="ES13" s="70" t="s">
        <v>80</v>
      </c>
      <c r="ET13" s="61"/>
      <c r="EU13" s="61"/>
      <c r="EV13" s="61" t="s">
        <v>62</v>
      </c>
      <c r="EW13" s="61"/>
      <c r="EX13" s="76" t="str">
        <f t="shared" si="40"/>
        <v>Type</v>
      </c>
      <c r="EZ13" s="61" t="s">
        <v>8</v>
      </c>
      <c r="FA13" s="66">
        <v>1000000</v>
      </c>
      <c r="FB13" s="61" t="s">
        <v>14</v>
      </c>
      <c r="FC13" s="61" t="s">
        <v>18</v>
      </c>
      <c r="FD13" s="73" t="e">
        <f t="shared" si="41"/>
        <v>#N/A</v>
      </c>
      <c r="FE13" s="73" t="e">
        <f t="shared" si="42"/>
        <v>#N/A</v>
      </c>
      <c r="FF13" s="41">
        <f t="shared" si="43"/>
        <v>0</v>
      </c>
      <c r="FG13" s="71">
        <v>1</v>
      </c>
      <c r="FH13" s="81"/>
      <c r="FI13" s="61" t="s">
        <v>32</v>
      </c>
      <c r="FJ13" s="61" t="s">
        <v>32</v>
      </c>
      <c r="FK13" s="72"/>
      <c r="FL13" s="72"/>
      <c r="FM13" s="71"/>
      <c r="FN13" s="76" t="e">
        <f t="shared" si="44"/>
        <v>#VALUE!</v>
      </c>
      <c r="FO13" s="76" t="e">
        <f t="shared" si="45"/>
        <v>#VALUE!</v>
      </c>
      <c r="FP13" s="73">
        <f t="shared" si="46"/>
        <v>0</v>
      </c>
      <c r="FQ13" s="73">
        <f t="shared" si="47"/>
        <v>0</v>
      </c>
      <c r="FR13" s="73" t="e">
        <f t="shared" si="48"/>
        <v>#N/A</v>
      </c>
      <c r="FS13" s="61" t="s">
        <v>58</v>
      </c>
      <c r="FT13" s="73" t="e">
        <f t="shared" si="49"/>
        <v>#N/A</v>
      </c>
      <c r="FU13" s="61" t="s">
        <v>51</v>
      </c>
      <c r="FV13" s="73" t="e">
        <f t="shared" si="50"/>
        <v>#N/A</v>
      </c>
      <c r="FW13" s="61" t="s">
        <v>51</v>
      </c>
      <c r="FX13" s="73" t="e">
        <f t="shared" si="51"/>
        <v>#N/A</v>
      </c>
      <c r="FY13" s="82"/>
      <c r="FZ13" s="82"/>
      <c r="GA13" s="70"/>
      <c r="GB13" s="61" t="s">
        <v>62</v>
      </c>
      <c r="GC13" s="61"/>
      <c r="GD13" s="61" t="s">
        <v>62</v>
      </c>
      <c r="GE13" s="61" t="s">
        <v>75</v>
      </c>
      <c r="GF13" s="82"/>
      <c r="GJ13" s="95">
        <f t="shared" si="52"/>
        <v>0</v>
      </c>
      <c r="GK13" s="42">
        <f>IF(LEFT(_xll.BDP($C13,GK$5),1)="#","#LOADING",_xll.BDP($C13,GK$5))</f>
        <v>0</v>
      </c>
      <c r="GL13" s="74">
        <f t="shared" si="53"/>
        <v>0</v>
      </c>
      <c r="GM13" s="74" t="e">
        <f t="shared" si="54"/>
        <v>#VALUE!</v>
      </c>
      <c r="GN13" s="64" t="s">
        <v>20</v>
      </c>
      <c r="GO13" s="42" t="b">
        <f>IF(LEFT(_xll.BDP($C13,GO$5),1)="#","#LOADING",IF(_xll.BDP($C13,GO$5)="CLEAN",TRUE,FALSE))</f>
        <v>0</v>
      </c>
      <c r="GP13" s="64" t="s">
        <v>26</v>
      </c>
      <c r="GQ13" s="61" t="s">
        <v>18</v>
      </c>
      <c r="GR13" s="65" t="s">
        <v>28</v>
      </c>
      <c r="GS13" s="66">
        <v>1000000</v>
      </c>
      <c r="GT13" s="96" t="e">
        <f>IF(LEFT(_xll.BDP($C13,GT$5),1)="#","#LOADING",DATEVALUE(_xll.BDP($C13,GT$5)))</f>
        <v>#VALUE!</v>
      </c>
      <c r="GU13" s="96" t="e">
        <f>IF(LEFT(_xll.BDP($C13,GU$5),1)="#","#LOADING",DATEVALUE(_xll.BDP($C13,GU$5)))</f>
        <v>#VALUE!</v>
      </c>
      <c r="GV13" s="96" t="e">
        <f>IF(LEFT(_xll.BDP($C13,GV$5),1)="#","#LOADING",DATEVALUE(_xll.BDP($C13,GV$5)))</f>
        <v>#VALUE!</v>
      </c>
      <c r="GW13" s="96" t="e">
        <f>IF(LEFT(_xll.BDP($C13,GW$5),1)="#","#LOADING",DATEVALUE(_xll.BDP($C13,GW$5)))</f>
        <v>#VALUE!</v>
      </c>
      <c r="GX13" s="96" t="e">
        <f>IF(LEFT(_xll.BDP($C13,GX$5),1)="#","#LOADING",DATEVALUE(_xll.BDP($C13,GX$5)))</f>
        <v>#VALUE!</v>
      </c>
      <c r="GY13" s="97">
        <f>IF(LEFT(_xll.BDP($C13,GY$5),1)="#","#LOADING",_xll.BDP($C13,GY$5)%)</f>
        <v>0</v>
      </c>
      <c r="GZ13" s="97" t="str">
        <f>IF(LEFT(_xll.BDP($C13,GZ$5),1)="#","#LOADING",VLOOKUP(_xll.BDP($C13,GZ$5),Static.CouponFrequency,2,FALSE))</f>
        <v>ZERO-COUPON</v>
      </c>
      <c r="HA13" s="68" t="s">
        <v>51</v>
      </c>
      <c r="HB13" s="73" t="e">
        <f t="shared" si="55"/>
        <v>#N/A</v>
      </c>
      <c r="HC13" s="61" t="s">
        <v>51</v>
      </c>
      <c r="HD13" s="73" t="e">
        <f t="shared" si="56"/>
        <v>#N/A</v>
      </c>
      <c r="HE13" s="61" t="s">
        <v>62</v>
      </c>
      <c r="HF13" s="43">
        <f>IF(LEFT(_xll.BDP($C13,HF$5),1)="#","#LOADING",_xll.BDP($C13,HF$5))</f>
        <v>0</v>
      </c>
      <c r="HG13" s="70"/>
      <c r="HH13" s="43" t="str">
        <f>IF(LEFT(_xll.BDP($C13,HH$5),1)="#","#LOADING","Type"&amp;IF(_xll.BDP($C13,HH$5)=999,1,_xll.BDP($C13,HH$5)))</f>
        <v>Type</v>
      </c>
    </row>
    <row r="14" spans="1:217">
      <c r="A14" s="101">
        <v>8</v>
      </c>
      <c r="B14" s="57"/>
      <c r="C14" s="57"/>
      <c r="D14" s="57"/>
      <c r="E14" s="57"/>
      <c r="F14" s="57"/>
      <c r="G14" s="57"/>
      <c r="H14" s="57"/>
      <c r="I14" s="57"/>
      <c r="J14" s="101">
        <v>8</v>
      </c>
      <c r="K14" s="58" t="s">
        <v>163</v>
      </c>
      <c r="L14" s="59" t="str">
        <f>IF(ISBLANK(M14),IF($G14="","",_xll.BDP(AB14&amp;" "&amp;$K14&amp;" Corp","PX_LAST")),M14)</f>
        <v/>
      </c>
      <c r="M14" s="60"/>
      <c r="N14" s="83" t="str">
        <f ca="1">IF(ISBLANK($O14),IF($G14="","",_xll.meLWOAssetSwapSpread($U14,$T14,$L14,INDIRECT("ValuationSettings"&amp;$CN14),INDIRECT("Fixings"&amp;$CN14&amp;IF($I14="QUARTERLY","3ML","6ML")))),$O14)</f>
        <v/>
      </c>
      <c r="O14" s="60"/>
      <c r="P14" s="84" t="str">
        <f ca="1">IF($C14="","",_xll.meLWOAssetSwapSpreadToCleanPrice($V14,$N14,INDIRECT("ValuationSettings"&amp;$DX14),INDIRECT("Fixings"&amp;$DX14&amp;IF($E14="QUARTERLY","3ML","6ML"))))</f>
        <v/>
      </c>
      <c r="Q14" s="84" t="str">
        <f ca="1">IF($C14="","",_xll.meLWOBondPriceFromCleanToDirty($W14,INDIRECT("ValuationDate"&amp;$D14),$P14))</f>
        <v/>
      </c>
      <c r="R14" s="98" t="str">
        <f ca="1">IF($C14="","",_xll.meLWOBondYield($W14,INDIRECT("ValuationDate"&amp;$D14),IF($GO14,$P14,$Q14)))</f>
        <v/>
      </c>
      <c r="S14" s="101">
        <v>8</v>
      </c>
      <c r="T14" s="53" t="str">
        <f>IF($G14="","",IF(LEFT(Z14,1)="#","#LOADING",_xll.meLWOBondCreateFromLVB("PROXY_BOND_"&amp;$AB14,_xll.meUtilityLVBFromKeysValues($Y$6:$AW$6,$Y14:$AW14))))</f>
        <v/>
      </c>
      <c r="U14" s="53" t="str">
        <f>IF($G14="","",_xll.meLWOSwapCreate("PROXY_ASW_"&amp;$AB14,_xll.meUtilityLVBFromKeysAndMultipleValues($AZ$6:$CF$6,$AZ14:$CF14,$CH14:$DN14)))</f>
        <v/>
      </c>
      <c r="V14" s="53" t="str">
        <f>IF($C14="","",_xll.meLWOSwapCreate("BOND_ASW_"&amp;$GM14,_xll.meUtilityLVBFromKeysAndMultipleValues($DR$6:$EX$6,$DR14:$EX14,$EZ14:$GF14)))</f>
        <v/>
      </c>
      <c r="W14" s="53" t="str">
        <f>IF($C14="","",IF(LEFT(GK14,1)="#","#LOADING",_xll.meLWOBondCreateFromLVB("PROXY_BOND_"&amp;$GM14,_xll.meUtilityLVBFromKeysValues($GJ$6:$HH$6,$GJ14:$HH14))))</f>
        <v/>
      </c>
      <c r="X14" t="s">
        <v>0</v>
      </c>
      <c r="Y14" s="62">
        <f t="shared" si="0"/>
        <v>0</v>
      </c>
      <c r="Z14" s="63">
        <f>IF(LEFT(_xll.BDP($G14,Z$5),1)="#","#LOADING",_xll.BDP($G14,Z$5))</f>
        <v>0</v>
      </c>
      <c r="AA14" s="41">
        <f t="shared" si="1"/>
        <v>0</v>
      </c>
      <c r="AB14" s="63">
        <f>IF(LEFT(_xll.BDP($G14,AB$5),1)="#","#LOADING",_xll.BDP($G14,AB$5))</f>
        <v>0</v>
      </c>
      <c r="AC14" s="64" t="s">
        <v>20</v>
      </c>
      <c r="AD14" s="63" t="b">
        <f>IF(LEFT(_xll.BDP($G14,AD$5),1)="#","#LOADING",IF(_xll.BDP($G14,AD$5)="CLEAN",TRUE,FALSE))</f>
        <v>0</v>
      </c>
      <c r="AE14" s="64" t="s">
        <v>26</v>
      </c>
      <c r="AF14" s="61" t="s">
        <v>18</v>
      </c>
      <c r="AG14" s="65" t="s">
        <v>28</v>
      </c>
      <c r="AH14" s="66">
        <v>1000000</v>
      </c>
      <c r="AI14" s="63" t="e">
        <f>IF(LEFT(_xll.BDP($G14,AI$5),1)="#","#LOADING",DATEVALUE(_xll.BDP($G14,AI$5)))</f>
        <v>#VALUE!</v>
      </c>
      <c r="AJ14" s="63" t="e">
        <f>IF(LEFT(_xll.BDP($G14,AJ$5),1)="#","#LOADING",DATEVALUE(_xll.BDP($G14,AJ$5)))</f>
        <v>#VALUE!</v>
      </c>
      <c r="AK14" s="63" t="e">
        <f>IF(LEFT(_xll.BDP($G14,AK$5),1)="#","#LOADING",DATEVALUE(_xll.BDP($G14,AK$5)))</f>
        <v>#VALUE!</v>
      </c>
      <c r="AL14" s="63" t="e">
        <f>IF(LEFT(_xll.BDP($G14,AL$5),1)="#","#LOADING",DATEVALUE(_xll.BDP($G14,AL$5)))</f>
        <v>#VALUE!</v>
      </c>
      <c r="AM14" s="63" t="e">
        <f>IF(LEFT(_xll.BDP($G14,AM$5),1)="#","#LOADING",DATEVALUE(_xll.BDP($G14,AM$5)))</f>
        <v>#VALUE!</v>
      </c>
      <c r="AN14" s="67">
        <f>IF(LEFT(_xll.BDP($G14,AN$5),1)="#","#LOADING",_xll.BDP($G14,AN$5)%)</f>
        <v>0</v>
      </c>
      <c r="AO14" s="67" t="str">
        <f>IF(LEFT(_xll.BDP($G14,AO$5),1)="#","#LOADING",VLOOKUP(_xll.BDP($G14,AO$5),Static.CouponFrequency,2,FALSE))</f>
        <v>ZERO-COUPON</v>
      </c>
      <c r="AP14" s="68" t="s">
        <v>51</v>
      </c>
      <c r="AQ14" s="53" t="e">
        <f t="shared" si="2"/>
        <v>#N/A</v>
      </c>
      <c r="AR14" s="61" t="s">
        <v>51</v>
      </c>
      <c r="AS14" s="53" t="e">
        <f t="shared" si="3"/>
        <v>#N/A</v>
      </c>
      <c r="AT14" s="61" t="s">
        <v>62</v>
      </c>
      <c r="AU14" s="69">
        <f>IF(LEFT(_xll.BDP($G14,AU$5),1)="#","#LOADING",_xll.BDP($G14,AU$5))</f>
        <v>0</v>
      </c>
      <c r="AV14" s="70"/>
      <c r="AW14" s="69" t="str">
        <f>IF(LEFT(_xll.BDP($G14,AW$5),1)="#","#LOADING","Type"&amp;IF(_xll.BDP($G14,AW$5)=999,1,_xll.BDP($G14,AW$5)))</f>
        <v>Type</v>
      </c>
      <c r="AX14" s="54"/>
      <c r="AZ14" s="61" t="s">
        <v>7</v>
      </c>
      <c r="BA14" s="66">
        <v>1000000</v>
      </c>
      <c r="BB14" s="61" t="s">
        <v>14</v>
      </c>
      <c r="BC14" s="61" t="s">
        <v>17</v>
      </c>
      <c r="BD14" s="70"/>
      <c r="BE14" s="73" t="e">
        <f t="shared" si="4"/>
        <v>#N/A</v>
      </c>
      <c r="BF14" s="74">
        <f t="shared" si="5"/>
        <v>0</v>
      </c>
      <c r="BG14" s="71">
        <v>1</v>
      </c>
      <c r="BH14" s="75">
        <f t="shared" si="6"/>
        <v>0</v>
      </c>
      <c r="BI14" s="61"/>
      <c r="BJ14" s="61"/>
      <c r="BK14" s="72"/>
      <c r="BL14" s="72"/>
      <c r="BM14" s="71"/>
      <c r="BN14" s="76" t="e">
        <f t="shared" si="7"/>
        <v>#VALUE!</v>
      </c>
      <c r="BO14" s="76" t="e">
        <f t="shared" si="8"/>
        <v>#VALUE!</v>
      </c>
      <c r="BP14" s="77" t="str">
        <f t="shared" si="9"/>
        <v>ZERO-COUPON</v>
      </c>
      <c r="BQ14" s="77" t="str">
        <f t="shared" si="10"/>
        <v>ZERO-COUPON</v>
      </c>
      <c r="BR14" s="78">
        <f t="shared" si="11"/>
        <v>0</v>
      </c>
      <c r="BS14" s="61"/>
      <c r="BT14" s="61"/>
      <c r="BU14" s="61" t="s">
        <v>51</v>
      </c>
      <c r="BV14" s="73" t="e">
        <f t="shared" si="12"/>
        <v>#N/A</v>
      </c>
      <c r="BW14" s="61" t="s">
        <v>51</v>
      </c>
      <c r="BX14" s="73" t="e">
        <f t="shared" si="13"/>
        <v>#N/A</v>
      </c>
      <c r="BY14" s="76" t="e">
        <f t="shared" si="14"/>
        <v>#VALUE!</v>
      </c>
      <c r="BZ14" s="76" t="e">
        <f t="shared" si="15"/>
        <v>#VALUE!</v>
      </c>
      <c r="CA14" s="70" t="s">
        <v>80</v>
      </c>
      <c r="CB14" s="61"/>
      <c r="CC14" s="61"/>
      <c r="CD14" s="61" t="s">
        <v>62</v>
      </c>
      <c r="CE14" s="61"/>
      <c r="CF14" s="76" t="str">
        <f t="shared" si="16"/>
        <v>Type</v>
      </c>
      <c r="CH14" s="61" t="s">
        <v>8</v>
      </c>
      <c r="CI14" s="66">
        <v>1000000</v>
      </c>
      <c r="CJ14" s="61" t="s">
        <v>14</v>
      </c>
      <c r="CK14" s="61" t="s">
        <v>18</v>
      </c>
      <c r="CL14" s="53" t="e">
        <f t="shared" si="17"/>
        <v>#N/A</v>
      </c>
      <c r="CM14" s="53" t="e">
        <f t="shared" si="18"/>
        <v>#N/A</v>
      </c>
      <c r="CN14" s="41">
        <f t="shared" si="19"/>
        <v>0</v>
      </c>
      <c r="CO14" s="71">
        <v>1</v>
      </c>
      <c r="CP14" s="81"/>
      <c r="CQ14" s="61" t="s">
        <v>32</v>
      </c>
      <c r="CR14" s="61" t="s">
        <v>32</v>
      </c>
      <c r="CS14" s="72"/>
      <c r="CT14" s="72"/>
      <c r="CU14" s="71"/>
      <c r="CV14" s="82" t="e">
        <f t="shared" si="20"/>
        <v>#VALUE!</v>
      </c>
      <c r="CW14" s="82" t="e">
        <f t="shared" si="21"/>
        <v>#VALUE!</v>
      </c>
      <c r="CX14" s="53">
        <f t="shared" si="22"/>
        <v>0</v>
      </c>
      <c r="CY14" s="53">
        <f t="shared" si="23"/>
        <v>0</v>
      </c>
      <c r="CZ14" s="53" t="e">
        <f t="shared" si="24"/>
        <v>#N/A</v>
      </c>
      <c r="DA14" s="61" t="s">
        <v>58</v>
      </c>
      <c r="DB14" s="53" t="e">
        <f t="shared" si="25"/>
        <v>#N/A</v>
      </c>
      <c r="DC14" s="61" t="s">
        <v>51</v>
      </c>
      <c r="DD14" s="53" t="e">
        <f t="shared" si="26"/>
        <v>#N/A</v>
      </c>
      <c r="DE14" s="61" t="s">
        <v>51</v>
      </c>
      <c r="DF14" s="53" t="e">
        <f t="shared" si="27"/>
        <v>#N/A</v>
      </c>
      <c r="DG14" s="82"/>
      <c r="DH14" s="82"/>
      <c r="DI14" s="70"/>
      <c r="DJ14" s="61" t="s">
        <v>62</v>
      </c>
      <c r="DK14" s="61"/>
      <c r="DL14" s="61" t="s">
        <v>62</v>
      </c>
      <c r="DM14" s="61" t="s">
        <v>75</v>
      </c>
      <c r="DN14" s="82"/>
      <c r="DR14" s="61" t="s">
        <v>7</v>
      </c>
      <c r="DS14" s="66">
        <v>1000000</v>
      </c>
      <c r="DT14" s="61" t="s">
        <v>14</v>
      </c>
      <c r="DU14" s="61" t="s">
        <v>17</v>
      </c>
      <c r="DV14" s="70"/>
      <c r="DW14" s="73" t="e">
        <f t="shared" si="28"/>
        <v>#N/A</v>
      </c>
      <c r="DX14" s="74">
        <f t="shared" si="29"/>
        <v>0</v>
      </c>
      <c r="DY14" s="71">
        <v>1</v>
      </c>
      <c r="DZ14" s="75">
        <f t="shared" si="30"/>
        <v>0</v>
      </c>
      <c r="EA14" s="61"/>
      <c r="EB14" s="61"/>
      <c r="EC14" s="72"/>
      <c r="ED14" s="72"/>
      <c r="EE14" s="71"/>
      <c r="EF14" s="76" t="e">
        <f t="shared" si="31"/>
        <v>#VALUE!</v>
      </c>
      <c r="EG14" s="76" t="e">
        <f t="shared" si="32"/>
        <v>#VALUE!</v>
      </c>
      <c r="EH14" s="77" t="str">
        <f t="shared" si="33"/>
        <v>ZERO-COUPON</v>
      </c>
      <c r="EI14" s="77" t="str">
        <f t="shared" si="34"/>
        <v>ZERO-COUPON</v>
      </c>
      <c r="EJ14" s="78">
        <f t="shared" si="35"/>
        <v>0</v>
      </c>
      <c r="EK14" s="61"/>
      <c r="EL14" s="61"/>
      <c r="EM14" s="61" t="s">
        <v>51</v>
      </c>
      <c r="EN14" s="73" t="e">
        <f t="shared" si="36"/>
        <v>#N/A</v>
      </c>
      <c r="EO14" s="61" t="s">
        <v>51</v>
      </c>
      <c r="EP14" s="73" t="e">
        <f t="shared" si="37"/>
        <v>#N/A</v>
      </c>
      <c r="EQ14" s="76" t="e">
        <f t="shared" si="38"/>
        <v>#VALUE!</v>
      </c>
      <c r="ER14" s="76" t="e">
        <f t="shared" si="39"/>
        <v>#VALUE!</v>
      </c>
      <c r="ES14" s="70" t="s">
        <v>80</v>
      </c>
      <c r="ET14" s="61"/>
      <c r="EU14" s="61"/>
      <c r="EV14" s="61" t="s">
        <v>62</v>
      </c>
      <c r="EW14" s="61"/>
      <c r="EX14" s="76" t="str">
        <f t="shared" si="40"/>
        <v>Type</v>
      </c>
      <c r="EZ14" s="61" t="s">
        <v>8</v>
      </c>
      <c r="FA14" s="66">
        <v>1000000</v>
      </c>
      <c r="FB14" s="61" t="s">
        <v>14</v>
      </c>
      <c r="FC14" s="61" t="s">
        <v>18</v>
      </c>
      <c r="FD14" s="73" t="e">
        <f t="shared" si="41"/>
        <v>#N/A</v>
      </c>
      <c r="FE14" s="73" t="e">
        <f t="shared" si="42"/>
        <v>#N/A</v>
      </c>
      <c r="FF14" s="41">
        <f t="shared" si="43"/>
        <v>0</v>
      </c>
      <c r="FG14" s="71">
        <v>1</v>
      </c>
      <c r="FH14" s="81"/>
      <c r="FI14" s="61" t="s">
        <v>32</v>
      </c>
      <c r="FJ14" s="61" t="s">
        <v>32</v>
      </c>
      <c r="FK14" s="72"/>
      <c r="FL14" s="72"/>
      <c r="FM14" s="71"/>
      <c r="FN14" s="76" t="e">
        <f t="shared" si="44"/>
        <v>#VALUE!</v>
      </c>
      <c r="FO14" s="76" t="e">
        <f t="shared" si="45"/>
        <v>#VALUE!</v>
      </c>
      <c r="FP14" s="73">
        <f t="shared" si="46"/>
        <v>0</v>
      </c>
      <c r="FQ14" s="73">
        <f t="shared" si="47"/>
        <v>0</v>
      </c>
      <c r="FR14" s="73" t="e">
        <f t="shared" si="48"/>
        <v>#N/A</v>
      </c>
      <c r="FS14" s="61" t="s">
        <v>58</v>
      </c>
      <c r="FT14" s="73" t="e">
        <f t="shared" si="49"/>
        <v>#N/A</v>
      </c>
      <c r="FU14" s="61" t="s">
        <v>51</v>
      </c>
      <c r="FV14" s="73" t="e">
        <f t="shared" si="50"/>
        <v>#N/A</v>
      </c>
      <c r="FW14" s="61" t="s">
        <v>51</v>
      </c>
      <c r="FX14" s="73" t="e">
        <f t="shared" si="51"/>
        <v>#N/A</v>
      </c>
      <c r="FY14" s="82"/>
      <c r="FZ14" s="82"/>
      <c r="GA14" s="70"/>
      <c r="GB14" s="61" t="s">
        <v>62</v>
      </c>
      <c r="GC14" s="61"/>
      <c r="GD14" s="61" t="s">
        <v>62</v>
      </c>
      <c r="GE14" s="61" t="s">
        <v>75</v>
      </c>
      <c r="GF14" s="82"/>
      <c r="GJ14" s="95">
        <f t="shared" si="52"/>
        <v>0</v>
      </c>
      <c r="GK14" s="42">
        <f>IF(LEFT(_xll.BDP($C14,GK$5),1)="#","#LOADING",_xll.BDP($C14,GK$5))</f>
        <v>0</v>
      </c>
      <c r="GL14" s="74">
        <f t="shared" si="53"/>
        <v>0</v>
      </c>
      <c r="GM14" s="74" t="e">
        <f t="shared" si="54"/>
        <v>#VALUE!</v>
      </c>
      <c r="GN14" s="64" t="s">
        <v>20</v>
      </c>
      <c r="GO14" s="42" t="b">
        <f>IF(LEFT(_xll.BDP($C14,GO$5),1)="#","#LOADING",IF(_xll.BDP($C14,GO$5)="CLEAN",TRUE,FALSE))</f>
        <v>0</v>
      </c>
      <c r="GP14" s="64" t="s">
        <v>26</v>
      </c>
      <c r="GQ14" s="61" t="s">
        <v>18</v>
      </c>
      <c r="GR14" s="65" t="s">
        <v>28</v>
      </c>
      <c r="GS14" s="66">
        <v>1000000</v>
      </c>
      <c r="GT14" s="96" t="e">
        <f>IF(LEFT(_xll.BDP($C14,GT$5),1)="#","#LOADING",DATEVALUE(_xll.BDP($C14,GT$5)))</f>
        <v>#VALUE!</v>
      </c>
      <c r="GU14" s="96" t="e">
        <f>IF(LEFT(_xll.BDP($C14,GU$5),1)="#","#LOADING",DATEVALUE(_xll.BDP($C14,GU$5)))</f>
        <v>#VALUE!</v>
      </c>
      <c r="GV14" s="96" t="e">
        <f>IF(LEFT(_xll.BDP($C14,GV$5),1)="#","#LOADING",DATEVALUE(_xll.BDP($C14,GV$5)))</f>
        <v>#VALUE!</v>
      </c>
      <c r="GW14" s="96" t="e">
        <f>IF(LEFT(_xll.BDP($C14,GW$5),1)="#","#LOADING",DATEVALUE(_xll.BDP($C14,GW$5)))</f>
        <v>#VALUE!</v>
      </c>
      <c r="GX14" s="96" t="e">
        <f>IF(LEFT(_xll.BDP($C14,GX$5),1)="#","#LOADING",DATEVALUE(_xll.BDP($C14,GX$5)))</f>
        <v>#VALUE!</v>
      </c>
      <c r="GY14" s="97">
        <f>IF(LEFT(_xll.BDP($C14,GY$5),1)="#","#LOADING",_xll.BDP($C14,GY$5)%)</f>
        <v>0</v>
      </c>
      <c r="GZ14" s="97" t="str">
        <f>IF(LEFT(_xll.BDP($C14,GZ$5),1)="#","#LOADING",VLOOKUP(_xll.BDP($C14,GZ$5),Static.CouponFrequency,2,FALSE))</f>
        <v>ZERO-COUPON</v>
      </c>
      <c r="HA14" s="68" t="s">
        <v>51</v>
      </c>
      <c r="HB14" s="73" t="e">
        <f t="shared" si="55"/>
        <v>#N/A</v>
      </c>
      <c r="HC14" s="61" t="s">
        <v>51</v>
      </c>
      <c r="HD14" s="73" t="e">
        <f t="shared" si="56"/>
        <v>#N/A</v>
      </c>
      <c r="HE14" s="61" t="s">
        <v>62</v>
      </c>
      <c r="HF14" s="43">
        <f>IF(LEFT(_xll.BDP($C14,HF$5),1)="#","#LOADING",_xll.BDP($C14,HF$5))</f>
        <v>0</v>
      </c>
      <c r="HG14" s="70"/>
      <c r="HH14" s="43" t="str">
        <f>IF(LEFT(_xll.BDP($C14,HH$5),1)="#","#LOADING","Type"&amp;IF(_xll.BDP($C14,HH$5)=999,1,_xll.BDP($C14,HH$5)))</f>
        <v>Type</v>
      </c>
    </row>
    <row r="15" spans="1:217">
      <c r="A15" s="101">
        <v>9</v>
      </c>
      <c r="B15" s="57"/>
      <c r="C15" s="57"/>
      <c r="D15" s="57"/>
      <c r="E15" s="57"/>
      <c r="F15" s="57"/>
      <c r="G15" s="57"/>
      <c r="H15" s="57"/>
      <c r="I15" s="57"/>
      <c r="J15" s="101">
        <v>9</v>
      </c>
      <c r="K15" s="58" t="s">
        <v>163</v>
      </c>
      <c r="L15" s="59" t="str">
        <f>IF(ISBLANK(M15),IF($G15="","",_xll.BDP(AB15&amp;" "&amp;$K15&amp;" Corp","PX_LAST")),M15)</f>
        <v/>
      </c>
      <c r="M15" s="60"/>
      <c r="N15" s="83" t="str">
        <f ca="1">IF(ISBLANK($O15),IF($G15="","",_xll.meLWOAssetSwapSpread($U15,$T15,$L15,INDIRECT("ValuationSettings"&amp;$CN15),INDIRECT("Fixings"&amp;$CN15&amp;IF($I15="QUARTERLY","3ML","6ML")))),$O15)</f>
        <v/>
      </c>
      <c r="O15" s="60"/>
      <c r="P15" s="84" t="str">
        <f ca="1">IF($C15="","",_xll.meLWOAssetSwapSpreadToCleanPrice($V15,$N15,INDIRECT("ValuationSettings"&amp;$DX15),INDIRECT("Fixings"&amp;$DX15&amp;IF($E15="QUARTERLY","3ML","6ML"))))</f>
        <v/>
      </c>
      <c r="Q15" s="84" t="str">
        <f ca="1">IF($C15="","",_xll.meLWOBondPriceFromCleanToDirty($W15,INDIRECT("ValuationDate"&amp;$D15),$P15))</f>
        <v/>
      </c>
      <c r="R15" s="98" t="str">
        <f ca="1">IF($C15="","",_xll.meLWOBondYield($W15,INDIRECT("ValuationDate"&amp;$D15),IF($GO15,$P15,$Q15)))</f>
        <v/>
      </c>
      <c r="S15" s="101">
        <v>9</v>
      </c>
      <c r="T15" s="53" t="str">
        <f>IF($G15="","",IF(LEFT(Z15,1)="#","#LOADING",_xll.meLWOBondCreateFromLVB("PROXY_BOND_"&amp;$AB15,_xll.meUtilityLVBFromKeysValues($Y$6:$AW$6,$Y15:$AW15))))</f>
        <v/>
      </c>
      <c r="U15" s="53" t="str">
        <f>IF($G15="","",_xll.meLWOSwapCreate("PROXY_ASW_"&amp;$AB15,_xll.meUtilityLVBFromKeysAndMultipleValues($AZ$6:$CF$6,$AZ15:$CF15,$CH15:$DN15)))</f>
        <v/>
      </c>
      <c r="V15" s="53" t="str">
        <f>IF($C15="","",_xll.meLWOSwapCreate("BOND_ASW_"&amp;$GM15,_xll.meUtilityLVBFromKeysAndMultipleValues($DR$6:$EX$6,$DR15:$EX15,$EZ15:$GF15)))</f>
        <v/>
      </c>
      <c r="W15" s="53" t="str">
        <f>IF($C15="","",IF(LEFT(GK15,1)="#","#LOADING",_xll.meLWOBondCreateFromLVB("PROXY_BOND_"&amp;$GM15,_xll.meUtilityLVBFromKeysValues($GJ$6:$HH$6,$GJ15:$HH15))))</f>
        <v/>
      </c>
      <c r="X15" t="s">
        <v>0</v>
      </c>
      <c r="Y15" s="62">
        <f t="shared" si="0"/>
        <v>0</v>
      </c>
      <c r="Z15" s="63">
        <f>IF(LEFT(_xll.BDP($G15,Z$5),1)="#","#LOADING",_xll.BDP($G15,Z$5))</f>
        <v>0</v>
      </c>
      <c r="AA15" s="41">
        <f t="shared" si="1"/>
        <v>0</v>
      </c>
      <c r="AB15" s="63">
        <f>IF(LEFT(_xll.BDP($G15,AB$5),1)="#","#LOADING",_xll.BDP($G15,AB$5))</f>
        <v>0</v>
      </c>
      <c r="AC15" s="64" t="s">
        <v>20</v>
      </c>
      <c r="AD15" s="63" t="b">
        <f>IF(LEFT(_xll.BDP($G15,AD$5),1)="#","#LOADING",IF(_xll.BDP($G15,AD$5)="CLEAN",TRUE,FALSE))</f>
        <v>0</v>
      </c>
      <c r="AE15" s="64" t="s">
        <v>26</v>
      </c>
      <c r="AF15" s="61" t="s">
        <v>18</v>
      </c>
      <c r="AG15" s="65" t="s">
        <v>28</v>
      </c>
      <c r="AH15" s="66">
        <v>1000000</v>
      </c>
      <c r="AI15" s="63" t="e">
        <f>IF(LEFT(_xll.BDP($G15,AI$5),1)="#","#LOADING",DATEVALUE(_xll.BDP($G15,AI$5)))</f>
        <v>#VALUE!</v>
      </c>
      <c r="AJ15" s="63" t="e">
        <f>IF(LEFT(_xll.BDP($G15,AJ$5),1)="#","#LOADING",DATEVALUE(_xll.BDP($G15,AJ$5)))</f>
        <v>#VALUE!</v>
      </c>
      <c r="AK15" s="63" t="e">
        <f>IF(LEFT(_xll.BDP($G15,AK$5),1)="#","#LOADING",DATEVALUE(_xll.BDP($G15,AK$5)))</f>
        <v>#VALUE!</v>
      </c>
      <c r="AL15" s="63" t="e">
        <f>IF(LEFT(_xll.BDP($G15,AL$5),1)="#","#LOADING",DATEVALUE(_xll.BDP($G15,AL$5)))</f>
        <v>#VALUE!</v>
      </c>
      <c r="AM15" s="63" t="e">
        <f>IF(LEFT(_xll.BDP($G15,AM$5),1)="#","#LOADING",DATEVALUE(_xll.BDP($G15,AM$5)))</f>
        <v>#VALUE!</v>
      </c>
      <c r="AN15" s="67">
        <f>IF(LEFT(_xll.BDP($G15,AN$5),1)="#","#LOADING",_xll.BDP($G15,AN$5)%)</f>
        <v>0</v>
      </c>
      <c r="AO15" s="67" t="str">
        <f>IF(LEFT(_xll.BDP($G15,AO$5),1)="#","#LOADING",VLOOKUP(_xll.BDP($G15,AO$5),Static.CouponFrequency,2,FALSE))</f>
        <v>ZERO-COUPON</v>
      </c>
      <c r="AP15" s="68" t="s">
        <v>51</v>
      </c>
      <c r="AQ15" s="53" t="e">
        <f t="shared" si="2"/>
        <v>#N/A</v>
      </c>
      <c r="AR15" s="61" t="s">
        <v>51</v>
      </c>
      <c r="AS15" s="53" t="e">
        <f t="shared" si="3"/>
        <v>#N/A</v>
      </c>
      <c r="AT15" s="61" t="s">
        <v>62</v>
      </c>
      <c r="AU15" s="69">
        <f>IF(LEFT(_xll.BDP($G15,AU$5),1)="#","#LOADING",_xll.BDP($G15,AU$5))</f>
        <v>0</v>
      </c>
      <c r="AV15" s="70"/>
      <c r="AW15" s="69" t="str">
        <f>IF(LEFT(_xll.BDP($G15,AW$5),1)="#","#LOADING","Type"&amp;IF(_xll.BDP($G15,AW$5)=999,1,_xll.BDP($G15,AW$5)))</f>
        <v>Type</v>
      </c>
      <c r="AX15" s="54"/>
      <c r="AZ15" s="61" t="s">
        <v>7</v>
      </c>
      <c r="BA15" s="66">
        <v>1000000</v>
      </c>
      <c r="BB15" s="61" t="s">
        <v>14</v>
      </c>
      <c r="BC15" s="61" t="s">
        <v>17</v>
      </c>
      <c r="BD15" s="70"/>
      <c r="BE15" s="73" t="e">
        <f t="shared" si="4"/>
        <v>#N/A</v>
      </c>
      <c r="BF15" s="74">
        <f t="shared" si="5"/>
        <v>0</v>
      </c>
      <c r="BG15" s="71">
        <v>1</v>
      </c>
      <c r="BH15" s="75">
        <f t="shared" si="6"/>
        <v>0</v>
      </c>
      <c r="BI15" s="61"/>
      <c r="BJ15" s="61"/>
      <c r="BK15" s="72"/>
      <c r="BL15" s="72"/>
      <c r="BM15" s="71"/>
      <c r="BN15" s="76" t="e">
        <f t="shared" si="7"/>
        <v>#VALUE!</v>
      </c>
      <c r="BO15" s="76" t="e">
        <f t="shared" si="8"/>
        <v>#VALUE!</v>
      </c>
      <c r="BP15" s="77" t="str">
        <f t="shared" si="9"/>
        <v>ZERO-COUPON</v>
      </c>
      <c r="BQ15" s="77" t="str">
        <f t="shared" si="10"/>
        <v>ZERO-COUPON</v>
      </c>
      <c r="BR15" s="78">
        <f t="shared" si="11"/>
        <v>0</v>
      </c>
      <c r="BS15" s="61"/>
      <c r="BT15" s="61"/>
      <c r="BU15" s="61" t="s">
        <v>51</v>
      </c>
      <c r="BV15" s="73" t="e">
        <f t="shared" si="12"/>
        <v>#N/A</v>
      </c>
      <c r="BW15" s="61" t="s">
        <v>51</v>
      </c>
      <c r="BX15" s="73" t="e">
        <f t="shared" si="13"/>
        <v>#N/A</v>
      </c>
      <c r="BY15" s="76" t="e">
        <f t="shared" si="14"/>
        <v>#VALUE!</v>
      </c>
      <c r="BZ15" s="76" t="e">
        <f t="shared" si="15"/>
        <v>#VALUE!</v>
      </c>
      <c r="CA15" s="70" t="s">
        <v>80</v>
      </c>
      <c r="CB15" s="61"/>
      <c r="CC15" s="61"/>
      <c r="CD15" s="61" t="s">
        <v>62</v>
      </c>
      <c r="CE15" s="61"/>
      <c r="CF15" s="76" t="str">
        <f t="shared" si="16"/>
        <v>Type</v>
      </c>
      <c r="CH15" s="61" t="s">
        <v>8</v>
      </c>
      <c r="CI15" s="66">
        <v>1000000</v>
      </c>
      <c r="CJ15" s="61" t="s">
        <v>14</v>
      </c>
      <c r="CK15" s="61" t="s">
        <v>18</v>
      </c>
      <c r="CL15" s="53" t="e">
        <f t="shared" si="17"/>
        <v>#N/A</v>
      </c>
      <c r="CM15" s="53" t="e">
        <f t="shared" si="18"/>
        <v>#N/A</v>
      </c>
      <c r="CN15" s="41">
        <f t="shared" si="19"/>
        <v>0</v>
      </c>
      <c r="CO15" s="71">
        <v>1</v>
      </c>
      <c r="CP15" s="81"/>
      <c r="CQ15" s="61" t="s">
        <v>32</v>
      </c>
      <c r="CR15" s="61" t="s">
        <v>32</v>
      </c>
      <c r="CS15" s="72"/>
      <c r="CT15" s="72"/>
      <c r="CU15" s="71"/>
      <c r="CV15" s="82" t="e">
        <f t="shared" si="20"/>
        <v>#VALUE!</v>
      </c>
      <c r="CW15" s="82" t="e">
        <f t="shared" si="21"/>
        <v>#VALUE!</v>
      </c>
      <c r="CX15" s="53">
        <f t="shared" si="22"/>
        <v>0</v>
      </c>
      <c r="CY15" s="53">
        <f t="shared" si="23"/>
        <v>0</v>
      </c>
      <c r="CZ15" s="53" t="e">
        <f t="shared" si="24"/>
        <v>#N/A</v>
      </c>
      <c r="DA15" s="61" t="s">
        <v>58</v>
      </c>
      <c r="DB15" s="53" t="e">
        <f t="shared" si="25"/>
        <v>#N/A</v>
      </c>
      <c r="DC15" s="61" t="s">
        <v>51</v>
      </c>
      <c r="DD15" s="53" t="e">
        <f t="shared" si="26"/>
        <v>#N/A</v>
      </c>
      <c r="DE15" s="61" t="s">
        <v>51</v>
      </c>
      <c r="DF15" s="53" t="e">
        <f t="shared" si="27"/>
        <v>#N/A</v>
      </c>
      <c r="DG15" s="82"/>
      <c r="DH15" s="82"/>
      <c r="DI15" s="70"/>
      <c r="DJ15" s="61" t="s">
        <v>62</v>
      </c>
      <c r="DK15" s="61"/>
      <c r="DL15" s="61" t="s">
        <v>62</v>
      </c>
      <c r="DM15" s="61" t="s">
        <v>75</v>
      </c>
      <c r="DN15" s="82"/>
      <c r="DR15" s="61" t="s">
        <v>7</v>
      </c>
      <c r="DS15" s="66">
        <v>1000000</v>
      </c>
      <c r="DT15" s="61" t="s">
        <v>14</v>
      </c>
      <c r="DU15" s="61" t="s">
        <v>17</v>
      </c>
      <c r="DV15" s="70"/>
      <c r="DW15" s="73" t="e">
        <f t="shared" si="28"/>
        <v>#N/A</v>
      </c>
      <c r="DX15" s="74">
        <f t="shared" si="29"/>
        <v>0</v>
      </c>
      <c r="DY15" s="71">
        <v>1</v>
      </c>
      <c r="DZ15" s="75">
        <f t="shared" si="30"/>
        <v>0</v>
      </c>
      <c r="EA15" s="61"/>
      <c r="EB15" s="61"/>
      <c r="EC15" s="72"/>
      <c r="ED15" s="72"/>
      <c r="EE15" s="71"/>
      <c r="EF15" s="76" t="e">
        <f t="shared" si="31"/>
        <v>#VALUE!</v>
      </c>
      <c r="EG15" s="76" t="e">
        <f t="shared" si="32"/>
        <v>#VALUE!</v>
      </c>
      <c r="EH15" s="77" t="str">
        <f t="shared" si="33"/>
        <v>ZERO-COUPON</v>
      </c>
      <c r="EI15" s="77" t="str">
        <f t="shared" si="34"/>
        <v>ZERO-COUPON</v>
      </c>
      <c r="EJ15" s="78">
        <f t="shared" si="35"/>
        <v>0</v>
      </c>
      <c r="EK15" s="61"/>
      <c r="EL15" s="61"/>
      <c r="EM15" s="61" t="s">
        <v>51</v>
      </c>
      <c r="EN15" s="73" t="e">
        <f t="shared" si="36"/>
        <v>#N/A</v>
      </c>
      <c r="EO15" s="61" t="s">
        <v>51</v>
      </c>
      <c r="EP15" s="73" t="e">
        <f t="shared" si="37"/>
        <v>#N/A</v>
      </c>
      <c r="EQ15" s="76" t="e">
        <f t="shared" si="38"/>
        <v>#VALUE!</v>
      </c>
      <c r="ER15" s="76" t="e">
        <f t="shared" si="39"/>
        <v>#VALUE!</v>
      </c>
      <c r="ES15" s="70" t="s">
        <v>80</v>
      </c>
      <c r="ET15" s="61"/>
      <c r="EU15" s="61"/>
      <c r="EV15" s="61" t="s">
        <v>62</v>
      </c>
      <c r="EW15" s="61"/>
      <c r="EX15" s="76" t="str">
        <f t="shared" si="40"/>
        <v>Type</v>
      </c>
      <c r="EZ15" s="61" t="s">
        <v>8</v>
      </c>
      <c r="FA15" s="66">
        <v>1000000</v>
      </c>
      <c r="FB15" s="61" t="s">
        <v>14</v>
      </c>
      <c r="FC15" s="61" t="s">
        <v>18</v>
      </c>
      <c r="FD15" s="73" t="e">
        <f t="shared" si="41"/>
        <v>#N/A</v>
      </c>
      <c r="FE15" s="73" t="e">
        <f t="shared" si="42"/>
        <v>#N/A</v>
      </c>
      <c r="FF15" s="41">
        <f t="shared" si="43"/>
        <v>0</v>
      </c>
      <c r="FG15" s="71">
        <v>1</v>
      </c>
      <c r="FH15" s="81"/>
      <c r="FI15" s="61" t="s">
        <v>32</v>
      </c>
      <c r="FJ15" s="61" t="s">
        <v>32</v>
      </c>
      <c r="FK15" s="72"/>
      <c r="FL15" s="72"/>
      <c r="FM15" s="71"/>
      <c r="FN15" s="76" t="e">
        <f t="shared" si="44"/>
        <v>#VALUE!</v>
      </c>
      <c r="FO15" s="76" t="e">
        <f t="shared" si="45"/>
        <v>#VALUE!</v>
      </c>
      <c r="FP15" s="73">
        <f t="shared" si="46"/>
        <v>0</v>
      </c>
      <c r="FQ15" s="73">
        <f t="shared" si="47"/>
        <v>0</v>
      </c>
      <c r="FR15" s="73" t="e">
        <f t="shared" si="48"/>
        <v>#N/A</v>
      </c>
      <c r="FS15" s="61" t="s">
        <v>58</v>
      </c>
      <c r="FT15" s="73" t="e">
        <f t="shared" si="49"/>
        <v>#N/A</v>
      </c>
      <c r="FU15" s="61" t="s">
        <v>51</v>
      </c>
      <c r="FV15" s="73" t="e">
        <f t="shared" si="50"/>
        <v>#N/A</v>
      </c>
      <c r="FW15" s="61" t="s">
        <v>51</v>
      </c>
      <c r="FX15" s="73" t="e">
        <f t="shared" si="51"/>
        <v>#N/A</v>
      </c>
      <c r="FY15" s="82"/>
      <c r="FZ15" s="82"/>
      <c r="GA15" s="70"/>
      <c r="GB15" s="61" t="s">
        <v>62</v>
      </c>
      <c r="GC15" s="61"/>
      <c r="GD15" s="61" t="s">
        <v>62</v>
      </c>
      <c r="GE15" s="61" t="s">
        <v>75</v>
      </c>
      <c r="GF15" s="82"/>
      <c r="GJ15" s="95">
        <f t="shared" si="52"/>
        <v>0</v>
      </c>
      <c r="GK15" s="42">
        <f>IF(LEFT(_xll.BDP($C15,GK$5),1)="#","#LOADING",_xll.BDP($C15,GK$5))</f>
        <v>0</v>
      </c>
      <c r="GL15" s="74">
        <f t="shared" si="53"/>
        <v>0</v>
      </c>
      <c r="GM15" s="74" t="e">
        <f t="shared" si="54"/>
        <v>#VALUE!</v>
      </c>
      <c r="GN15" s="64" t="s">
        <v>20</v>
      </c>
      <c r="GO15" s="42" t="b">
        <f>IF(LEFT(_xll.BDP($C15,GO$5),1)="#","#LOADING",IF(_xll.BDP($C15,GO$5)="CLEAN",TRUE,FALSE))</f>
        <v>0</v>
      </c>
      <c r="GP15" s="64" t="s">
        <v>26</v>
      </c>
      <c r="GQ15" s="61" t="s">
        <v>18</v>
      </c>
      <c r="GR15" s="65" t="s">
        <v>28</v>
      </c>
      <c r="GS15" s="66">
        <v>1000000</v>
      </c>
      <c r="GT15" s="96" t="e">
        <f>IF(LEFT(_xll.BDP($C15,GT$5),1)="#","#LOADING",DATEVALUE(_xll.BDP($C15,GT$5)))</f>
        <v>#VALUE!</v>
      </c>
      <c r="GU15" s="96" t="e">
        <f>IF(LEFT(_xll.BDP($C15,GU$5),1)="#","#LOADING",DATEVALUE(_xll.BDP($C15,GU$5)))</f>
        <v>#VALUE!</v>
      </c>
      <c r="GV15" s="96" t="e">
        <f>IF(LEFT(_xll.BDP($C15,GV$5),1)="#","#LOADING",DATEVALUE(_xll.BDP($C15,GV$5)))</f>
        <v>#VALUE!</v>
      </c>
      <c r="GW15" s="96" t="e">
        <f>IF(LEFT(_xll.BDP($C15,GW$5),1)="#","#LOADING",DATEVALUE(_xll.BDP($C15,GW$5)))</f>
        <v>#VALUE!</v>
      </c>
      <c r="GX15" s="96" t="e">
        <f>IF(LEFT(_xll.BDP($C15,GX$5),1)="#","#LOADING",DATEVALUE(_xll.BDP($C15,GX$5)))</f>
        <v>#VALUE!</v>
      </c>
      <c r="GY15" s="97">
        <f>IF(LEFT(_xll.BDP($C15,GY$5),1)="#","#LOADING",_xll.BDP($C15,GY$5)%)</f>
        <v>0</v>
      </c>
      <c r="GZ15" s="97" t="str">
        <f>IF(LEFT(_xll.BDP($C15,GZ$5),1)="#","#LOADING",VLOOKUP(_xll.BDP($C15,GZ$5),Static.CouponFrequency,2,FALSE))</f>
        <v>ZERO-COUPON</v>
      </c>
      <c r="HA15" s="68" t="s">
        <v>51</v>
      </c>
      <c r="HB15" s="73" t="e">
        <f t="shared" si="55"/>
        <v>#N/A</v>
      </c>
      <c r="HC15" s="61" t="s">
        <v>51</v>
      </c>
      <c r="HD15" s="73" t="e">
        <f t="shared" si="56"/>
        <v>#N/A</v>
      </c>
      <c r="HE15" s="61" t="s">
        <v>62</v>
      </c>
      <c r="HF15" s="43">
        <f>IF(LEFT(_xll.BDP($C15,HF$5),1)="#","#LOADING",_xll.BDP($C15,HF$5))</f>
        <v>0</v>
      </c>
      <c r="HG15" s="70"/>
      <c r="HH15" s="43" t="str">
        <f>IF(LEFT(_xll.BDP($C15,HH$5),1)="#","#LOADING","Type"&amp;IF(_xll.BDP($C15,HH$5)=999,1,_xll.BDP($C15,HH$5)))</f>
        <v>Type</v>
      </c>
    </row>
    <row r="16" spans="1:217">
      <c r="A16" s="101">
        <v>10</v>
      </c>
      <c r="B16" s="57"/>
      <c r="C16" s="57"/>
      <c r="D16" s="57"/>
      <c r="E16" s="57"/>
      <c r="F16" s="57"/>
      <c r="G16" s="57"/>
      <c r="H16" s="57"/>
      <c r="I16" s="57"/>
      <c r="J16" s="101">
        <v>10</v>
      </c>
      <c r="K16" s="58" t="s">
        <v>163</v>
      </c>
      <c r="L16" s="59" t="str">
        <f>IF(ISBLANK(M16),IF($G16="","",_xll.BDP(AB16&amp;" "&amp;$K16&amp;" Corp","PX_LAST")),M16)</f>
        <v/>
      </c>
      <c r="M16" s="60"/>
      <c r="N16" s="83" t="str">
        <f ca="1">IF(ISBLANK($O16),IF($G16="","",_xll.meLWOAssetSwapSpread($U16,$T16,$L16,INDIRECT("ValuationSettings"&amp;$CN16),INDIRECT("Fixings"&amp;$CN16&amp;IF($I16="QUARTERLY","3ML","6ML")))),$O16)</f>
        <v/>
      </c>
      <c r="O16" s="60"/>
      <c r="P16" s="84" t="str">
        <f ca="1">IF($C16="","",_xll.meLWOAssetSwapSpreadToCleanPrice($V16,$N16,INDIRECT("ValuationSettings"&amp;$DX16),INDIRECT("Fixings"&amp;$DX16&amp;IF($E16="QUARTERLY","3ML","6ML"))))</f>
        <v/>
      </c>
      <c r="Q16" s="84" t="str">
        <f ca="1">IF($C16="","",_xll.meLWOBondPriceFromCleanToDirty($W16,INDIRECT("ValuationDate"&amp;$D16),$P16))</f>
        <v/>
      </c>
      <c r="R16" s="98" t="str">
        <f ca="1">IF($C16="","",_xll.meLWOBondYield($W16,INDIRECT("ValuationDate"&amp;$D16),IF($GO16,$P16,$Q16)))</f>
        <v/>
      </c>
      <c r="S16" s="101">
        <v>10</v>
      </c>
      <c r="T16" s="53" t="str">
        <f>IF($G16="","",IF(LEFT(Z16,1)="#","#LOADING",_xll.meLWOBondCreateFromLVB("PROXY_BOND_"&amp;$AB16,_xll.meUtilityLVBFromKeysValues($Y$6:$AW$6,$Y16:$AW16))))</f>
        <v/>
      </c>
      <c r="U16" s="53" t="str">
        <f>IF($G16="","",_xll.meLWOSwapCreate("PROXY_ASW_"&amp;$AB16,_xll.meUtilityLVBFromKeysAndMultipleValues($AZ$6:$CF$6,$AZ16:$CF16,$CH16:$DN16)))</f>
        <v/>
      </c>
      <c r="V16" s="53" t="str">
        <f>IF($C16="","",_xll.meLWOSwapCreate("BOND_ASW_"&amp;$GM16,_xll.meUtilityLVBFromKeysAndMultipleValues($DR$6:$EX$6,$DR16:$EX16,$EZ16:$GF16)))</f>
        <v/>
      </c>
      <c r="W16" s="53" t="str">
        <f>IF($C16="","",IF(LEFT(GK16,1)="#","#LOADING",_xll.meLWOBondCreateFromLVB("PROXY_BOND_"&amp;$GM16,_xll.meUtilityLVBFromKeysValues($GJ$6:$HH$6,$GJ16:$HH16))))</f>
        <v/>
      </c>
      <c r="X16" t="s">
        <v>0</v>
      </c>
      <c r="Y16" s="62">
        <f t="shared" si="0"/>
        <v>0</v>
      </c>
      <c r="Z16" s="63">
        <f>IF(LEFT(_xll.BDP($G16,Z$5),1)="#","#LOADING",_xll.BDP($G16,Z$5))</f>
        <v>0</v>
      </c>
      <c r="AA16" s="41">
        <f t="shared" si="1"/>
        <v>0</v>
      </c>
      <c r="AB16" s="63">
        <f>IF(LEFT(_xll.BDP($G16,AB$5),1)="#","#LOADING",_xll.BDP($G16,AB$5))</f>
        <v>0</v>
      </c>
      <c r="AC16" s="64" t="s">
        <v>20</v>
      </c>
      <c r="AD16" s="63" t="b">
        <f>IF(LEFT(_xll.BDP($G16,AD$5),1)="#","#LOADING",IF(_xll.BDP($G16,AD$5)="CLEAN",TRUE,FALSE))</f>
        <v>0</v>
      </c>
      <c r="AE16" s="64" t="s">
        <v>26</v>
      </c>
      <c r="AF16" s="61" t="s">
        <v>18</v>
      </c>
      <c r="AG16" s="65" t="s">
        <v>28</v>
      </c>
      <c r="AH16" s="66">
        <v>1000000</v>
      </c>
      <c r="AI16" s="63" t="e">
        <f>IF(LEFT(_xll.BDP($G16,AI$5),1)="#","#LOADING",DATEVALUE(_xll.BDP($G16,AI$5)))</f>
        <v>#VALUE!</v>
      </c>
      <c r="AJ16" s="63" t="e">
        <f>IF(LEFT(_xll.BDP($G16,AJ$5),1)="#","#LOADING",DATEVALUE(_xll.BDP($G16,AJ$5)))</f>
        <v>#VALUE!</v>
      </c>
      <c r="AK16" s="63" t="e">
        <f>IF(LEFT(_xll.BDP($G16,AK$5),1)="#","#LOADING",DATEVALUE(_xll.BDP($G16,AK$5)))</f>
        <v>#VALUE!</v>
      </c>
      <c r="AL16" s="63" t="e">
        <f>IF(LEFT(_xll.BDP($G16,AL$5),1)="#","#LOADING",DATEVALUE(_xll.BDP($G16,AL$5)))</f>
        <v>#VALUE!</v>
      </c>
      <c r="AM16" s="63" t="e">
        <f>IF(LEFT(_xll.BDP($G16,AM$5),1)="#","#LOADING",DATEVALUE(_xll.BDP($G16,AM$5)))</f>
        <v>#VALUE!</v>
      </c>
      <c r="AN16" s="67">
        <f>IF(LEFT(_xll.BDP($G16,AN$5),1)="#","#LOADING",_xll.BDP($G16,AN$5)%)</f>
        <v>0</v>
      </c>
      <c r="AO16" s="67" t="str">
        <f>IF(LEFT(_xll.BDP($G16,AO$5),1)="#","#LOADING",VLOOKUP(_xll.BDP($G16,AO$5),Static.CouponFrequency,2,FALSE))</f>
        <v>ZERO-COUPON</v>
      </c>
      <c r="AP16" s="68" t="s">
        <v>51</v>
      </c>
      <c r="AQ16" s="53" t="e">
        <f t="shared" si="2"/>
        <v>#N/A</v>
      </c>
      <c r="AR16" s="61" t="s">
        <v>51</v>
      </c>
      <c r="AS16" s="53" t="e">
        <f t="shared" si="3"/>
        <v>#N/A</v>
      </c>
      <c r="AT16" s="61" t="s">
        <v>62</v>
      </c>
      <c r="AU16" s="69">
        <f>IF(LEFT(_xll.BDP($G16,AU$5),1)="#","#LOADING",_xll.BDP($G16,AU$5))</f>
        <v>0</v>
      </c>
      <c r="AV16" s="70"/>
      <c r="AW16" s="69" t="str">
        <f>IF(LEFT(_xll.BDP($G16,AW$5),1)="#","#LOADING","Type"&amp;IF(_xll.BDP($G16,AW$5)=999,1,_xll.BDP($G16,AW$5)))</f>
        <v>Type</v>
      </c>
      <c r="AX16" s="54"/>
      <c r="AZ16" s="61" t="s">
        <v>7</v>
      </c>
      <c r="BA16" s="66">
        <v>1000000</v>
      </c>
      <c r="BB16" s="61" t="s">
        <v>14</v>
      </c>
      <c r="BC16" s="61" t="s">
        <v>17</v>
      </c>
      <c r="BD16" s="70"/>
      <c r="BE16" s="73" t="e">
        <f t="shared" si="4"/>
        <v>#N/A</v>
      </c>
      <c r="BF16" s="74">
        <f t="shared" si="5"/>
        <v>0</v>
      </c>
      <c r="BG16" s="71">
        <v>1</v>
      </c>
      <c r="BH16" s="75">
        <f t="shared" si="6"/>
        <v>0</v>
      </c>
      <c r="BI16" s="61"/>
      <c r="BJ16" s="61"/>
      <c r="BK16" s="72"/>
      <c r="BL16" s="72"/>
      <c r="BM16" s="71"/>
      <c r="BN16" s="76" t="e">
        <f t="shared" si="7"/>
        <v>#VALUE!</v>
      </c>
      <c r="BO16" s="76" t="e">
        <f t="shared" si="8"/>
        <v>#VALUE!</v>
      </c>
      <c r="BP16" s="77" t="str">
        <f t="shared" si="9"/>
        <v>ZERO-COUPON</v>
      </c>
      <c r="BQ16" s="77" t="str">
        <f t="shared" si="10"/>
        <v>ZERO-COUPON</v>
      </c>
      <c r="BR16" s="78">
        <f t="shared" si="11"/>
        <v>0</v>
      </c>
      <c r="BS16" s="61"/>
      <c r="BT16" s="61"/>
      <c r="BU16" s="61" t="s">
        <v>51</v>
      </c>
      <c r="BV16" s="73" t="e">
        <f t="shared" si="12"/>
        <v>#N/A</v>
      </c>
      <c r="BW16" s="61" t="s">
        <v>51</v>
      </c>
      <c r="BX16" s="73" t="e">
        <f t="shared" si="13"/>
        <v>#N/A</v>
      </c>
      <c r="BY16" s="76" t="e">
        <f t="shared" si="14"/>
        <v>#VALUE!</v>
      </c>
      <c r="BZ16" s="76" t="e">
        <f t="shared" si="15"/>
        <v>#VALUE!</v>
      </c>
      <c r="CA16" s="70" t="s">
        <v>80</v>
      </c>
      <c r="CB16" s="61"/>
      <c r="CC16" s="61"/>
      <c r="CD16" s="61" t="s">
        <v>62</v>
      </c>
      <c r="CE16" s="61"/>
      <c r="CF16" s="76" t="str">
        <f t="shared" si="16"/>
        <v>Type</v>
      </c>
      <c r="CH16" s="61" t="s">
        <v>8</v>
      </c>
      <c r="CI16" s="66">
        <v>1000000</v>
      </c>
      <c r="CJ16" s="61" t="s">
        <v>14</v>
      </c>
      <c r="CK16" s="61" t="s">
        <v>18</v>
      </c>
      <c r="CL16" s="53" t="e">
        <f t="shared" si="17"/>
        <v>#N/A</v>
      </c>
      <c r="CM16" s="53" t="e">
        <f t="shared" si="18"/>
        <v>#N/A</v>
      </c>
      <c r="CN16" s="41">
        <f t="shared" si="19"/>
        <v>0</v>
      </c>
      <c r="CO16" s="71">
        <v>1</v>
      </c>
      <c r="CP16" s="81"/>
      <c r="CQ16" s="61" t="s">
        <v>32</v>
      </c>
      <c r="CR16" s="61" t="s">
        <v>32</v>
      </c>
      <c r="CS16" s="72"/>
      <c r="CT16" s="72"/>
      <c r="CU16" s="71"/>
      <c r="CV16" s="82" t="e">
        <f t="shared" si="20"/>
        <v>#VALUE!</v>
      </c>
      <c r="CW16" s="82" t="e">
        <f t="shared" si="21"/>
        <v>#VALUE!</v>
      </c>
      <c r="CX16" s="53">
        <f t="shared" si="22"/>
        <v>0</v>
      </c>
      <c r="CY16" s="53">
        <f t="shared" si="23"/>
        <v>0</v>
      </c>
      <c r="CZ16" s="53" t="e">
        <f t="shared" si="24"/>
        <v>#N/A</v>
      </c>
      <c r="DA16" s="61" t="s">
        <v>58</v>
      </c>
      <c r="DB16" s="53" t="e">
        <f t="shared" si="25"/>
        <v>#N/A</v>
      </c>
      <c r="DC16" s="61" t="s">
        <v>51</v>
      </c>
      <c r="DD16" s="53" t="e">
        <f t="shared" si="26"/>
        <v>#N/A</v>
      </c>
      <c r="DE16" s="61" t="s">
        <v>51</v>
      </c>
      <c r="DF16" s="53" t="e">
        <f t="shared" si="27"/>
        <v>#N/A</v>
      </c>
      <c r="DG16" s="82"/>
      <c r="DH16" s="82"/>
      <c r="DI16" s="70"/>
      <c r="DJ16" s="61" t="s">
        <v>62</v>
      </c>
      <c r="DK16" s="61"/>
      <c r="DL16" s="61" t="s">
        <v>62</v>
      </c>
      <c r="DM16" s="61" t="s">
        <v>75</v>
      </c>
      <c r="DN16" s="82"/>
      <c r="DR16" s="61" t="s">
        <v>7</v>
      </c>
      <c r="DS16" s="66">
        <v>1000000</v>
      </c>
      <c r="DT16" s="61" t="s">
        <v>14</v>
      </c>
      <c r="DU16" s="61" t="s">
        <v>17</v>
      </c>
      <c r="DV16" s="70"/>
      <c r="DW16" s="73" t="e">
        <f t="shared" si="28"/>
        <v>#N/A</v>
      </c>
      <c r="DX16" s="74">
        <f t="shared" si="29"/>
        <v>0</v>
      </c>
      <c r="DY16" s="71">
        <v>1</v>
      </c>
      <c r="DZ16" s="75">
        <f t="shared" si="30"/>
        <v>0</v>
      </c>
      <c r="EA16" s="61"/>
      <c r="EB16" s="61"/>
      <c r="EC16" s="72"/>
      <c r="ED16" s="72"/>
      <c r="EE16" s="71"/>
      <c r="EF16" s="76" t="e">
        <f t="shared" si="31"/>
        <v>#VALUE!</v>
      </c>
      <c r="EG16" s="76" t="e">
        <f t="shared" si="32"/>
        <v>#VALUE!</v>
      </c>
      <c r="EH16" s="77" t="str">
        <f t="shared" si="33"/>
        <v>ZERO-COUPON</v>
      </c>
      <c r="EI16" s="77" t="str">
        <f t="shared" si="34"/>
        <v>ZERO-COUPON</v>
      </c>
      <c r="EJ16" s="78">
        <f t="shared" si="35"/>
        <v>0</v>
      </c>
      <c r="EK16" s="61"/>
      <c r="EL16" s="61"/>
      <c r="EM16" s="61" t="s">
        <v>51</v>
      </c>
      <c r="EN16" s="73" t="e">
        <f t="shared" si="36"/>
        <v>#N/A</v>
      </c>
      <c r="EO16" s="61" t="s">
        <v>51</v>
      </c>
      <c r="EP16" s="73" t="e">
        <f t="shared" si="37"/>
        <v>#N/A</v>
      </c>
      <c r="EQ16" s="76" t="e">
        <f t="shared" si="38"/>
        <v>#VALUE!</v>
      </c>
      <c r="ER16" s="76" t="e">
        <f t="shared" si="39"/>
        <v>#VALUE!</v>
      </c>
      <c r="ES16" s="70" t="s">
        <v>80</v>
      </c>
      <c r="ET16" s="61"/>
      <c r="EU16" s="61"/>
      <c r="EV16" s="61" t="s">
        <v>62</v>
      </c>
      <c r="EW16" s="61"/>
      <c r="EX16" s="76" t="str">
        <f t="shared" si="40"/>
        <v>Type</v>
      </c>
      <c r="EZ16" s="61" t="s">
        <v>8</v>
      </c>
      <c r="FA16" s="66">
        <v>1000000</v>
      </c>
      <c r="FB16" s="61" t="s">
        <v>14</v>
      </c>
      <c r="FC16" s="61" t="s">
        <v>18</v>
      </c>
      <c r="FD16" s="73" t="e">
        <f t="shared" si="41"/>
        <v>#N/A</v>
      </c>
      <c r="FE16" s="73" t="e">
        <f t="shared" si="42"/>
        <v>#N/A</v>
      </c>
      <c r="FF16" s="41">
        <f t="shared" si="43"/>
        <v>0</v>
      </c>
      <c r="FG16" s="71">
        <v>1</v>
      </c>
      <c r="FH16" s="81"/>
      <c r="FI16" s="61" t="s">
        <v>32</v>
      </c>
      <c r="FJ16" s="61" t="s">
        <v>32</v>
      </c>
      <c r="FK16" s="72"/>
      <c r="FL16" s="72"/>
      <c r="FM16" s="71"/>
      <c r="FN16" s="76" t="e">
        <f t="shared" si="44"/>
        <v>#VALUE!</v>
      </c>
      <c r="FO16" s="76" t="e">
        <f t="shared" si="45"/>
        <v>#VALUE!</v>
      </c>
      <c r="FP16" s="73">
        <f t="shared" si="46"/>
        <v>0</v>
      </c>
      <c r="FQ16" s="73">
        <f t="shared" si="47"/>
        <v>0</v>
      </c>
      <c r="FR16" s="73" t="e">
        <f t="shared" si="48"/>
        <v>#N/A</v>
      </c>
      <c r="FS16" s="61" t="s">
        <v>58</v>
      </c>
      <c r="FT16" s="73" t="e">
        <f t="shared" si="49"/>
        <v>#N/A</v>
      </c>
      <c r="FU16" s="61" t="s">
        <v>51</v>
      </c>
      <c r="FV16" s="73" t="e">
        <f t="shared" si="50"/>
        <v>#N/A</v>
      </c>
      <c r="FW16" s="61" t="s">
        <v>51</v>
      </c>
      <c r="FX16" s="73" t="e">
        <f t="shared" si="51"/>
        <v>#N/A</v>
      </c>
      <c r="FY16" s="82"/>
      <c r="FZ16" s="82"/>
      <c r="GA16" s="70"/>
      <c r="GB16" s="61" t="s">
        <v>62</v>
      </c>
      <c r="GC16" s="61"/>
      <c r="GD16" s="61" t="s">
        <v>62</v>
      </c>
      <c r="GE16" s="61" t="s">
        <v>75</v>
      </c>
      <c r="GF16" s="82"/>
      <c r="GJ16" s="95">
        <f t="shared" si="52"/>
        <v>0</v>
      </c>
      <c r="GK16" s="42">
        <f>IF(LEFT(_xll.BDP($C16,GK$5),1)="#","#LOADING",_xll.BDP($C16,GK$5))</f>
        <v>0</v>
      </c>
      <c r="GL16" s="74">
        <f t="shared" si="53"/>
        <v>0</v>
      </c>
      <c r="GM16" s="74" t="e">
        <f t="shared" si="54"/>
        <v>#VALUE!</v>
      </c>
      <c r="GN16" s="64" t="s">
        <v>20</v>
      </c>
      <c r="GO16" s="42" t="b">
        <f>IF(LEFT(_xll.BDP($C16,GO$5),1)="#","#LOADING",IF(_xll.BDP($C16,GO$5)="CLEAN",TRUE,FALSE))</f>
        <v>0</v>
      </c>
      <c r="GP16" s="64" t="s">
        <v>26</v>
      </c>
      <c r="GQ16" s="61" t="s">
        <v>18</v>
      </c>
      <c r="GR16" s="65" t="s">
        <v>28</v>
      </c>
      <c r="GS16" s="66">
        <v>1000000</v>
      </c>
      <c r="GT16" s="96" t="e">
        <f>IF(LEFT(_xll.BDP($C16,GT$5),1)="#","#LOADING",DATEVALUE(_xll.BDP($C16,GT$5)))</f>
        <v>#VALUE!</v>
      </c>
      <c r="GU16" s="96" t="e">
        <f>IF(LEFT(_xll.BDP($C16,GU$5),1)="#","#LOADING",DATEVALUE(_xll.BDP($C16,GU$5)))</f>
        <v>#VALUE!</v>
      </c>
      <c r="GV16" s="96" t="e">
        <f>IF(LEFT(_xll.BDP($C16,GV$5),1)="#","#LOADING",DATEVALUE(_xll.BDP($C16,GV$5)))</f>
        <v>#VALUE!</v>
      </c>
      <c r="GW16" s="96" t="e">
        <f>IF(LEFT(_xll.BDP($C16,GW$5),1)="#","#LOADING",DATEVALUE(_xll.BDP($C16,GW$5)))</f>
        <v>#VALUE!</v>
      </c>
      <c r="GX16" s="96" t="e">
        <f>IF(LEFT(_xll.BDP($C16,GX$5),1)="#","#LOADING",DATEVALUE(_xll.BDP($C16,GX$5)))</f>
        <v>#VALUE!</v>
      </c>
      <c r="GY16" s="97">
        <f>IF(LEFT(_xll.BDP($C16,GY$5),1)="#","#LOADING",_xll.BDP($C16,GY$5)%)</f>
        <v>0</v>
      </c>
      <c r="GZ16" s="97" t="str">
        <f>IF(LEFT(_xll.BDP($C16,GZ$5),1)="#","#LOADING",VLOOKUP(_xll.BDP($C16,GZ$5),Static.CouponFrequency,2,FALSE))</f>
        <v>ZERO-COUPON</v>
      </c>
      <c r="HA16" s="68" t="s">
        <v>51</v>
      </c>
      <c r="HB16" s="73" t="e">
        <f t="shared" si="55"/>
        <v>#N/A</v>
      </c>
      <c r="HC16" s="61" t="s">
        <v>51</v>
      </c>
      <c r="HD16" s="73" t="e">
        <f t="shared" si="56"/>
        <v>#N/A</v>
      </c>
      <c r="HE16" s="61" t="s">
        <v>62</v>
      </c>
      <c r="HF16" s="43">
        <f>IF(LEFT(_xll.BDP($C16,HF$5),1)="#","#LOADING",_xll.BDP($C16,HF$5))</f>
        <v>0</v>
      </c>
      <c r="HG16" s="70"/>
      <c r="HH16" s="43" t="str">
        <f>IF(LEFT(_xll.BDP($C16,HH$5),1)="#","#LOADING","Type"&amp;IF(_xll.BDP($C16,HH$5)=999,1,_xll.BDP($C16,HH$5)))</f>
        <v>Type</v>
      </c>
    </row>
    <row r="17" spans="1:216">
      <c r="A17" s="101">
        <v>11</v>
      </c>
      <c r="B17" s="57"/>
      <c r="C17" s="57"/>
      <c r="D17" s="57"/>
      <c r="E17" s="57"/>
      <c r="F17" s="57"/>
      <c r="G17" s="57"/>
      <c r="H17" s="57"/>
      <c r="I17" s="57"/>
      <c r="J17" s="101">
        <v>11</v>
      </c>
      <c r="K17" s="58" t="s">
        <v>163</v>
      </c>
      <c r="L17" s="59" t="str">
        <f>IF(ISBLANK(M17),IF($G17="","",_xll.BDP(AB17&amp;" "&amp;$K17&amp;" Corp","PX_LAST")),M17)</f>
        <v/>
      </c>
      <c r="M17" s="60"/>
      <c r="N17" s="83" t="str">
        <f ca="1">IF(ISBLANK($O17),IF($G17="","",_xll.meLWOAssetSwapSpread($U17,$T17,$L17,INDIRECT("ValuationSettings"&amp;$CN17),INDIRECT("Fixings"&amp;$CN17&amp;IF($I17="QUARTERLY","3ML","6ML")))),$O17)</f>
        <v/>
      </c>
      <c r="O17" s="60"/>
      <c r="P17" s="84" t="str">
        <f ca="1">IF($C17="","",_xll.meLWOAssetSwapSpreadToCleanPrice($V17,$N17,INDIRECT("ValuationSettings"&amp;$DX17),INDIRECT("Fixings"&amp;$DX17&amp;IF($E17="QUARTERLY","3ML","6ML"))))</f>
        <v/>
      </c>
      <c r="Q17" s="84" t="str">
        <f ca="1">IF($C17="","",_xll.meLWOBondPriceFromCleanToDirty($W17,INDIRECT("ValuationDate"&amp;$D17),$P17))</f>
        <v/>
      </c>
      <c r="R17" s="98" t="str">
        <f ca="1">IF($C17="","",_xll.meLWOBondYield($W17,INDIRECT("ValuationDate"&amp;$D17),IF($GO17,$P17,$Q17)))</f>
        <v/>
      </c>
      <c r="S17" s="101">
        <v>11</v>
      </c>
      <c r="T17" s="53" t="str">
        <f>IF($G17="","",IF(LEFT(Z17,1)="#","#LOADING",_xll.meLWOBondCreateFromLVB("PROXY_BOND_"&amp;$AB17,_xll.meUtilityLVBFromKeysValues($Y$6:$AW$6,$Y17:$AW17))))</f>
        <v/>
      </c>
      <c r="U17" s="53" t="str">
        <f>IF($G17="","",_xll.meLWOSwapCreate("PROXY_ASW_"&amp;$AB17,_xll.meUtilityLVBFromKeysAndMultipleValues($AZ$6:$CF$6,$AZ17:$CF17,$CH17:$DN17)))</f>
        <v/>
      </c>
      <c r="V17" s="53" t="str">
        <f>IF($C17="","",_xll.meLWOSwapCreate("BOND_ASW_"&amp;$GM17,_xll.meUtilityLVBFromKeysAndMultipleValues($DR$6:$EX$6,$DR17:$EX17,$EZ17:$GF17)))</f>
        <v/>
      </c>
      <c r="W17" s="53" t="str">
        <f>IF($C17="","",IF(LEFT(GK17,1)="#","#LOADING",_xll.meLWOBondCreateFromLVB("PROXY_BOND_"&amp;$GM17,_xll.meUtilityLVBFromKeysValues($GJ$6:$HH$6,$GJ17:$HH17))))</f>
        <v/>
      </c>
      <c r="X17" t="s">
        <v>0</v>
      </c>
      <c r="Y17" s="62">
        <f t="shared" si="0"/>
        <v>0</v>
      </c>
      <c r="Z17" s="63">
        <f>IF(LEFT(_xll.BDP($G17,Z$5),1)="#","#LOADING",_xll.BDP($G17,Z$5))</f>
        <v>0</v>
      </c>
      <c r="AA17" s="41">
        <f t="shared" si="1"/>
        <v>0</v>
      </c>
      <c r="AB17" s="63">
        <f>IF(LEFT(_xll.BDP($G17,AB$5),1)="#","#LOADING",_xll.BDP($G17,AB$5))</f>
        <v>0</v>
      </c>
      <c r="AC17" s="64" t="s">
        <v>20</v>
      </c>
      <c r="AD17" s="63" t="b">
        <f>IF(LEFT(_xll.BDP($G17,AD$5),1)="#","#LOADING",IF(_xll.BDP($G17,AD$5)="CLEAN",TRUE,FALSE))</f>
        <v>0</v>
      </c>
      <c r="AE17" s="64" t="s">
        <v>26</v>
      </c>
      <c r="AF17" s="61" t="s">
        <v>18</v>
      </c>
      <c r="AG17" s="65" t="s">
        <v>28</v>
      </c>
      <c r="AH17" s="66">
        <v>1000000</v>
      </c>
      <c r="AI17" s="63" t="e">
        <f>IF(LEFT(_xll.BDP($G17,AI$5),1)="#","#LOADING",DATEVALUE(_xll.BDP($G17,AI$5)))</f>
        <v>#VALUE!</v>
      </c>
      <c r="AJ17" s="63" t="e">
        <f>IF(LEFT(_xll.BDP($G17,AJ$5),1)="#","#LOADING",DATEVALUE(_xll.BDP($G17,AJ$5)))</f>
        <v>#VALUE!</v>
      </c>
      <c r="AK17" s="63" t="e">
        <f>IF(LEFT(_xll.BDP($G17,AK$5),1)="#","#LOADING",DATEVALUE(_xll.BDP($G17,AK$5)))</f>
        <v>#VALUE!</v>
      </c>
      <c r="AL17" s="63" t="e">
        <f>IF(LEFT(_xll.BDP($G17,AL$5),1)="#","#LOADING",DATEVALUE(_xll.BDP($G17,AL$5)))</f>
        <v>#VALUE!</v>
      </c>
      <c r="AM17" s="63" t="e">
        <f>IF(LEFT(_xll.BDP($G17,AM$5),1)="#","#LOADING",DATEVALUE(_xll.BDP($G17,AM$5)))</f>
        <v>#VALUE!</v>
      </c>
      <c r="AN17" s="67">
        <f>IF(LEFT(_xll.BDP($G17,AN$5),1)="#","#LOADING",_xll.BDP($G17,AN$5)%)</f>
        <v>0</v>
      </c>
      <c r="AO17" s="67" t="str">
        <f>IF(LEFT(_xll.BDP($G17,AO$5),1)="#","#LOADING",VLOOKUP(_xll.BDP($G17,AO$5),Static.CouponFrequency,2,FALSE))</f>
        <v>ZERO-COUPON</v>
      </c>
      <c r="AP17" s="68" t="s">
        <v>51</v>
      </c>
      <c r="AQ17" s="53" t="e">
        <f t="shared" si="2"/>
        <v>#N/A</v>
      </c>
      <c r="AR17" s="61" t="s">
        <v>51</v>
      </c>
      <c r="AS17" s="53" t="e">
        <f t="shared" si="3"/>
        <v>#N/A</v>
      </c>
      <c r="AT17" s="61" t="s">
        <v>62</v>
      </c>
      <c r="AU17" s="69">
        <f>IF(LEFT(_xll.BDP($G17,AU$5),1)="#","#LOADING",_xll.BDP($G17,AU$5))</f>
        <v>0</v>
      </c>
      <c r="AV17" s="70"/>
      <c r="AW17" s="69" t="str">
        <f>IF(LEFT(_xll.BDP($G17,AW$5),1)="#","#LOADING","Type"&amp;IF(_xll.BDP($G17,AW$5)=999,1,_xll.BDP($G17,AW$5)))</f>
        <v>Type</v>
      </c>
      <c r="AX17" s="54"/>
      <c r="AZ17" s="61" t="s">
        <v>7</v>
      </c>
      <c r="BA17" s="66">
        <v>1000000</v>
      </c>
      <c r="BB17" s="61" t="s">
        <v>14</v>
      </c>
      <c r="BC17" s="61" t="s">
        <v>17</v>
      </c>
      <c r="BD17" s="70"/>
      <c r="BE17" s="73" t="e">
        <f t="shared" si="4"/>
        <v>#N/A</v>
      </c>
      <c r="BF17" s="74">
        <f t="shared" si="5"/>
        <v>0</v>
      </c>
      <c r="BG17" s="71">
        <v>1</v>
      </c>
      <c r="BH17" s="75">
        <f t="shared" si="6"/>
        <v>0</v>
      </c>
      <c r="BI17" s="61"/>
      <c r="BJ17" s="61"/>
      <c r="BK17" s="72"/>
      <c r="BL17" s="72"/>
      <c r="BM17" s="71"/>
      <c r="BN17" s="76" t="e">
        <f t="shared" si="7"/>
        <v>#VALUE!</v>
      </c>
      <c r="BO17" s="76" t="e">
        <f t="shared" si="8"/>
        <v>#VALUE!</v>
      </c>
      <c r="BP17" s="77" t="str">
        <f t="shared" si="9"/>
        <v>ZERO-COUPON</v>
      </c>
      <c r="BQ17" s="77" t="str">
        <f t="shared" si="10"/>
        <v>ZERO-COUPON</v>
      </c>
      <c r="BR17" s="78">
        <f t="shared" si="11"/>
        <v>0</v>
      </c>
      <c r="BS17" s="61"/>
      <c r="BT17" s="61"/>
      <c r="BU17" s="61" t="s">
        <v>51</v>
      </c>
      <c r="BV17" s="73" t="e">
        <f t="shared" si="12"/>
        <v>#N/A</v>
      </c>
      <c r="BW17" s="61" t="s">
        <v>51</v>
      </c>
      <c r="BX17" s="73" t="e">
        <f t="shared" si="13"/>
        <v>#N/A</v>
      </c>
      <c r="BY17" s="76" t="e">
        <f t="shared" si="14"/>
        <v>#VALUE!</v>
      </c>
      <c r="BZ17" s="76" t="e">
        <f t="shared" si="15"/>
        <v>#VALUE!</v>
      </c>
      <c r="CA17" s="70" t="s">
        <v>80</v>
      </c>
      <c r="CB17" s="61"/>
      <c r="CC17" s="61"/>
      <c r="CD17" s="61" t="s">
        <v>62</v>
      </c>
      <c r="CE17" s="61"/>
      <c r="CF17" s="76" t="str">
        <f t="shared" si="16"/>
        <v>Type</v>
      </c>
      <c r="CH17" s="61" t="s">
        <v>8</v>
      </c>
      <c r="CI17" s="66">
        <v>1000000</v>
      </c>
      <c r="CJ17" s="61" t="s">
        <v>14</v>
      </c>
      <c r="CK17" s="61" t="s">
        <v>18</v>
      </c>
      <c r="CL17" s="53" t="e">
        <f t="shared" si="17"/>
        <v>#N/A</v>
      </c>
      <c r="CM17" s="53" t="e">
        <f t="shared" si="18"/>
        <v>#N/A</v>
      </c>
      <c r="CN17" s="41">
        <f t="shared" si="19"/>
        <v>0</v>
      </c>
      <c r="CO17" s="71">
        <v>1</v>
      </c>
      <c r="CP17" s="81"/>
      <c r="CQ17" s="61" t="s">
        <v>32</v>
      </c>
      <c r="CR17" s="61" t="s">
        <v>32</v>
      </c>
      <c r="CS17" s="72"/>
      <c r="CT17" s="72"/>
      <c r="CU17" s="71"/>
      <c r="CV17" s="82" t="e">
        <f t="shared" si="20"/>
        <v>#VALUE!</v>
      </c>
      <c r="CW17" s="82" t="e">
        <f t="shared" si="21"/>
        <v>#VALUE!</v>
      </c>
      <c r="CX17" s="53">
        <f t="shared" si="22"/>
        <v>0</v>
      </c>
      <c r="CY17" s="53">
        <f t="shared" si="23"/>
        <v>0</v>
      </c>
      <c r="CZ17" s="53" t="e">
        <f t="shared" si="24"/>
        <v>#N/A</v>
      </c>
      <c r="DA17" s="61" t="s">
        <v>58</v>
      </c>
      <c r="DB17" s="53" t="e">
        <f t="shared" si="25"/>
        <v>#N/A</v>
      </c>
      <c r="DC17" s="61" t="s">
        <v>51</v>
      </c>
      <c r="DD17" s="53" t="e">
        <f t="shared" si="26"/>
        <v>#N/A</v>
      </c>
      <c r="DE17" s="61" t="s">
        <v>51</v>
      </c>
      <c r="DF17" s="53" t="e">
        <f t="shared" si="27"/>
        <v>#N/A</v>
      </c>
      <c r="DG17" s="82"/>
      <c r="DH17" s="82"/>
      <c r="DI17" s="70"/>
      <c r="DJ17" s="61" t="s">
        <v>62</v>
      </c>
      <c r="DK17" s="61"/>
      <c r="DL17" s="61" t="s">
        <v>62</v>
      </c>
      <c r="DM17" s="61" t="s">
        <v>75</v>
      </c>
      <c r="DN17" s="82"/>
      <c r="DR17" s="61" t="s">
        <v>7</v>
      </c>
      <c r="DS17" s="66">
        <v>1000000</v>
      </c>
      <c r="DT17" s="61" t="s">
        <v>14</v>
      </c>
      <c r="DU17" s="61" t="s">
        <v>17</v>
      </c>
      <c r="DV17" s="70"/>
      <c r="DW17" s="73" t="e">
        <f t="shared" si="28"/>
        <v>#N/A</v>
      </c>
      <c r="DX17" s="74">
        <f t="shared" si="29"/>
        <v>0</v>
      </c>
      <c r="DY17" s="71">
        <v>1</v>
      </c>
      <c r="DZ17" s="75">
        <f t="shared" si="30"/>
        <v>0</v>
      </c>
      <c r="EA17" s="61"/>
      <c r="EB17" s="61"/>
      <c r="EC17" s="72"/>
      <c r="ED17" s="72"/>
      <c r="EE17" s="71"/>
      <c r="EF17" s="76" t="e">
        <f t="shared" si="31"/>
        <v>#VALUE!</v>
      </c>
      <c r="EG17" s="76" t="e">
        <f t="shared" si="32"/>
        <v>#VALUE!</v>
      </c>
      <c r="EH17" s="77" t="str">
        <f t="shared" si="33"/>
        <v>ZERO-COUPON</v>
      </c>
      <c r="EI17" s="77" t="str">
        <f t="shared" si="34"/>
        <v>ZERO-COUPON</v>
      </c>
      <c r="EJ17" s="78">
        <f t="shared" si="35"/>
        <v>0</v>
      </c>
      <c r="EK17" s="61"/>
      <c r="EL17" s="61"/>
      <c r="EM17" s="61" t="s">
        <v>51</v>
      </c>
      <c r="EN17" s="73" t="e">
        <f t="shared" si="36"/>
        <v>#N/A</v>
      </c>
      <c r="EO17" s="61" t="s">
        <v>51</v>
      </c>
      <c r="EP17" s="73" t="e">
        <f t="shared" si="37"/>
        <v>#N/A</v>
      </c>
      <c r="EQ17" s="76" t="e">
        <f t="shared" si="38"/>
        <v>#VALUE!</v>
      </c>
      <c r="ER17" s="76" t="e">
        <f t="shared" si="39"/>
        <v>#VALUE!</v>
      </c>
      <c r="ES17" s="70" t="s">
        <v>80</v>
      </c>
      <c r="ET17" s="61"/>
      <c r="EU17" s="61"/>
      <c r="EV17" s="61" t="s">
        <v>62</v>
      </c>
      <c r="EW17" s="61"/>
      <c r="EX17" s="76" t="str">
        <f t="shared" si="40"/>
        <v>Type</v>
      </c>
      <c r="EZ17" s="61" t="s">
        <v>8</v>
      </c>
      <c r="FA17" s="66">
        <v>1000000</v>
      </c>
      <c r="FB17" s="61" t="s">
        <v>14</v>
      </c>
      <c r="FC17" s="61" t="s">
        <v>18</v>
      </c>
      <c r="FD17" s="73" t="e">
        <f t="shared" si="41"/>
        <v>#N/A</v>
      </c>
      <c r="FE17" s="73" t="e">
        <f t="shared" si="42"/>
        <v>#N/A</v>
      </c>
      <c r="FF17" s="41">
        <f t="shared" si="43"/>
        <v>0</v>
      </c>
      <c r="FG17" s="71">
        <v>1</v>
      </c>
      <c r="FH17" s="81"/>
      <c r="FI17" s="61" t="s">
        <v>32</v>
      </c>
      <c r="FJ17" s="61" t="s">
        <v>32</v>
      </c>
      <c r="FK17" s="72"/>
      <c r="FL17" s="72"/>
      <c r="FM17" s="71"/>
      <c r="FN17" s="76" t="e">
        <f t="shared" si="44"/>
        <v>#VALUE!</v>
      </c>
      <c r="FO17" s="76" t="e">
        <f t="shared" si="45"/>
        <v>#VALUE!</v>
      </c>
      <c r="FP17" s="73">
        <f t="shared" si="46"/>
        <v>0</v>
      </c>
      <c r="FQ17" s="73">
        <f t="shared" si="47"/>
        <v>0</v>
      </c>
      <c r="FR17" s="73" t="e">
        <f t="shared" si="48"/>
        <v>#N/A</v>
      </c>
      <c r="FS17" s="61" t="s">
        <v>58</v>
      </c>
      <c r="FT17" s="73" t="e">
        <f t="shared" si="49"/>
        <v>#N/A</v>
      </c>
      <c r="FU17" s="61" t="s">
        <v>51</v>
      </c>
      <c r="FV17" s="73" t="e">
        <f t="shared" si="50"/>
        <v>#N/A</v>
      </c>
      <c r="FW17" s="61" t="s">
        <v>51</v>
      </c>
      <c r="FX17" s="73" t="e">
        <f t="shared" si="51"/>
        <v>#N/A</v>
      </c>
      <c r="FY17" s="82"/>
      <c r="FZ17" s="82"/>
      <c r="GA17" s="70"/>
      <c r="GB17" s="61" t="s">
        <v>62</v>
      </c>
      <c r="GC17" s="61"/>
      <c r="GD17" s="61" t="s">
        <v>62</v>
      </c>
      <c r="GE17" s="61" t="s">
        <v>75</v>
      </c>
      <c r="GF17" s="82"/>
      <c r="GJ17" s="95">
        <f t="shared" si="52"/>
        <v>0</v>
      </c>
      <c r="GK17" s="42">
        <f>IF(LEFT(_xll.BDP($C17,GK$5),1)="#","#LOADING",_xll.BDP($C17,GK$5))</f>
        <v>0</v>
      </c>
      <c r="GL17" s="74">
        <f t="shared" si="53"/>
        <v>0</v>
      </c>
      <c r="GM17" s="74" t="e">
        <f t="shared" si="54"/>
        <v>#VALUE!</v>
      </c>
      <c r="GN17" s="64" t="s">
        <v>20</v>
      </c>
      <c r="GO17" s="42" t="b">
        <f>IF(LEFT(_xll.BDP($C17,GO$5),1)="#","#LOADING",IF(_xll.BDP($C17,GO$5)="CLEAN",TRUE,FALSE))</f>
        <v>0</v>
      </c>
      <c r="GP17" s="64" t="s">
        <v>26</v>
      </c>
      <c r="GQ17" s="61" t="s">
        <v>18</v>
      </c>
      <c r="GR17" s="65" t="s">
        <v>28</v>
      </c>
      <c r="GS17" s="66">
        <v>1000000</v>
      </c>
      <c r="GT17" s="96" t="e">
        <f>IF(LEFT(_xll.BDP($C17,GT$5),1)="#","#LOADING",DATEVALUE(_xll.BDP($C17,GT$5)))</f>
        <v>#VALUE!</v>
      </c>
      <c r="GU17" s="96" t="e">
        <f>IF(LEFT(_xll.BDP($C17,GU$5),1)="#","#LOADING",DATEVALUE(_xll.BDP($C17,GU$5)))</f>
        <v>#VALUE!</v>
      </c>
      <c r="GV17" s="96" t="e">
        <f>IF(LEFT(_xll.BDP($C17,GV$5),1)="#","#LOADING",DATEVALUE(_xll.BDP($C17,GV$5)))</f>
        <v>#VALUE!</v>
      </c>
      <c r="GW17" s="96" t="e">
        <f>IF(LEFT(_xll.BDP($C17,GW$5),1)="#","#LOADING",DATEVALUE(_xll.BDP($C17,GW$5)))</f>
        <v>#VALUE!</v>
      </c>
      <c r="GX17" s="96" t="e">
        <f>IF(LEFT(_xll.BDP($C17,GX$5),1)="#","#LOADING",DATEVALUE(_xll.BDP($C17,GX$5)))</f>
        <v>#VALUE!</v>
      </c>
      <c r="GY17" s="97">
        <f>IF(LEFT(_xll.BDP($C17,GY$5),1)="#","#LOADING",_xll.BDP($C17,GY$5)%)</f>
        <v>0</v>
      </c>
      <c r="GZ17" s="97" t="str">
        <f>IF(LEFT(_xll.BDP($C17,GZ$5),1)="#","#LOADING",VLOOKUP(_xll.BDP($C17,GZ$5),Static.CouponFrequency,2,FALSE))</f>
        <v>ZERO-COUPON</v>
      </c>
      <c r="HA17" s="68" t="s">
        <v>51</v>
      </c>
      <c r="HB17" s="73" t="e">
        <f t="shared" si="55"/>
        <v>#N/A</v>
      </c>
      <c r="HC17" s="61" t="s">
        <v>51</v>
      </c>
      <c r="HD17" s="73" t="e">
        <f t="shared" si="56"/>
        <v>#N/A</v>
      </c>
      <c r="HE17" s="61" t="s">
        <v>62</v>
      </c>
      <c r="HF17" s="43">
        <f>IF(LEFT(_xll.BDP($C17,HF$5),1)="#","#LOADING",_xll.BDP($C17,HF$5))</f>
        <v>0</v>
      </c>
      <c r="HG17" s="70"/>
      <c r="HH17" s="43" t="str">
        <f>IF(LEFT(_xll.BDP($C17,HH$5),1)="#","#LOADING","Type"&amp;IF(_xll.BDP($C17,HH$5)=999,1,_xll.BDP($C17,HH$5)))</f>
        <v>Type</v>
      </c>
    </row>
    <row r="18" spans="1:216">
      <c r="A18" s="101">
        <v>12</v>
      </c>
      <c r="B18" s="57"/>
      <c r="C18" s="57"/>
      <c r="D18" s="57"/>
      <c r="E18" s="57"/>
      <c r="F18" s="57"/>
      <c r="G18" s="57"/>
      <c r="H18" s="57"/>
      <c r="I18" s="57"/>
      <c r="J18" s="101">
        <v>12</v>
      </c>
      <c r="K18" s="58" t="s">
        <v>163</v>
      </c>
      <c r="L18" s="59" t="str">
        <f>IF(ISBLANK(M18),IF($G18="","",_xll.BDP(AB18&amp;" "&amp;$K18&amp;" Corp","PX_LAST")),M18)</f>
        <v/>
      </c>
      <c r="M18" s="60"/>
      <c r="N18" s="83" t="str">
        <f ca="1">IF(ISBLANK($O18),IF($G18="","",_xll.meLWOAssetSwapSpread($U18,$T18,$L18,INDIRECT("ValuationSettings"&amp;$CN18),INDIRECT("Fixings"&amp;$CN18&amp;IF($I18="QUARTERLY","3ML","6ML")))),$O18)</f>
        <v/>
      </c>
      <c r="O18" s="60"/>
      <c r="P18" s="84" t="str">
        <f ca="1">IF($C18="","",_xll.meLWOAssetSwapSpreadToCleanPrice($V18,$N18,INDIRECT("ValuationSettings"&amp;$DX18),INDIRECT("Fixings"&amp;$DX18&amp;IF($E18="QUARTERLY","3ML","6ML"))))</f>
        <v/>
      </c>
      <c r="Q18" s="84" t="str">
        <f ca="1">IF($C18="","",_xll.meLWOBondPriceFromCleanToDirty($W18,INDIRECT("ValuationDate"&amp;$D18),$P18))</f>
        <v/>
      </c>
      <c r="R18" s="98" t="str">
        <f ca="1">IF($C18="","",_xll.meLWOBondYield($W18,INDIRECT("ValuationDate"&amp;$D18),IF($GO18,$P18,$Q18)))</f>
        <v/>
      </c>
      <c r="S18" s="101">
        <v>12</v>
      </c>
      <c r="T18" s="53" t="str">
        <f>IF($G18="","",IF(LEFT(Z18,1)="#","#LOADING",_xll.meLWOBondCreateFromLVB("PROXY_BOND_"&amp;$AB18,_xll.meUtilityLVBFromKeysValues($Y$6:$AW$6,$Y18:$AW18))))</f>
        <v/>
      </c>
      <c r="U18" s="53" t="str">
        <f>IF($G18="","",_xll.meLWOSwapCreate("PROXY_ASW_"&amp;$AB18,_xll.meUtilityLVBFromKeysAndMultipleValues($AZ$6:$CF$6,$AZ18:$CF18,$CH18:$DN18)))</f>
        <v/>
      </c>
      <c r="V18" s="53" t="str">
        <f>IF($C18="","",_xll.meLWOSwapCreate("BOND_ASW_"&amp;$GM18,_xll.meUtilityLVBFromKeysAndMultipleValues($DR$6:$EX$6,$DR18:$EX18,$EZ18:$GF18)))</f>
        <v/>
      </c>
      <c r="W18" s="53" t="str">
        <f>IF($C18="","",IF(LEFT(GK18,1)="#","#LOADING",_xll.meLWOBondCreateFromLVB("PROXY_BOND_"&amp;$GM18,_xll.meUtilityLVBFromKeysValues($GJ$6:$HH$6,$GJ18:$HH18))))</f>
        <v/>
      </c>
      <c r="X18" t="s">
        <v>0</v>
      </c>
      <c r="Y18" s="62">
        <f t="shared" si="0"/>
        <v>0</v>
      </c>
      <c r="Z18" s="63">
        <f>IF(LEFT(_xll.BDP($G18,Z$5),1)="#","#LOADING",_xll.BDP($G18,Z$5))</f>
        <v>0</v>
      </c>
      <c r="AA18" s="41">
        <f t="shared" si="1"/>
        <v>0</v>
      </c>
      <c r="AB18" s="63">
        <f>IF(LEFT(_xll.BDP($G18,AB$5),1)="#","#LOADING",_xll.BDP($G18,AB$5))</f>
        <v>0</v>
      </c>
      <c r="AC18" s="64" t="s">
        <v>20</v>
      </c>
      <c r="AD18" s="63" t="b">
        <f>IF(LEFT(_xll.BDP($G18,AD$5),1)="#","#LOADING",IF(_xll.BDP($G18,AD$5)="CLEAN",TRUE,FALSE))</f>
        <v>0</v>
      </c>
      <c r="AE18" s="64" t="s">
        <v>26</v>
      </c>
      <c r="AF18" s="61" t="s">
        <v>18</v>
      </c>
      <c r="AG18" s="65" t="s">
        <v>28</v>
      </c>
      <c r="AH18" s="66">
        <v>1000000</v>
      </c>
      <c r="AI18" s="63" t="e">
        <f>IF(LEFT(_xll.BDP($G18,AI$5),1)="#","#LOADING",DATEVALUE(_xll.BDP($G18,AI$5)))</f>
        <v>#VALUE!</v>
      </c>
      <c r="AJ18" s="63" t="e">
        <f>IF(LEFT(_xll.BDP($G18,AJ$5),1)="#","#LOADING",DATEVALUE(_xll.BDP($G18,AJ$5)))</f>
        <v>#VALUE!</v>
      </c>
      <c r="AK18" s="63" t="e">
        <f>IF(LEFT(_xll.BDP($G18,AK$5),1)="#","#LOADING",DATEVALUE(_xll.BDP($G18,AK$5)))</f>
        <v>#VALUE!</v>
      </c>
      <c r="AL18" s="63" t="e">
        <f>IF(LEFT(_xll.BDP($G18,AL$5),1)="#","#LOADING",DATEVALUE(_xll.BDP($G18,AL$5)))</f>
        <v>#VALUE!</v>
      </c>
      <c r="AM18" s="63" t="e">
        <f>IF(LEFT(_xll.BDP($G18,AM$5),1)="#","#LOADING",DATEVALUE(_xll.BDP($G18,AM$5)))</f>
        <v>#VALUE!</v>
      </c>
      <c r="AN18" s="67">
        <f>IF(LEFT(_xll.BDP($G18,AN$5),1)="#","#LOADING",_xll.BDP($G18,AN$5)%)</f>
        <v>0</v>
      </c>
      <c r="AO18" s="67" t="str">
        <f>IF(LEFT(_xll.BDP($G18,AO$5),1)="#","#LOADING",VLOOKUP(_xll.BDP($G18,AO$5),Static.CouponFrequency,2,FALSE))</f>
        <v>ZERO-COUPON</v>
      </c>
      <c r="AP18" s="68" t="s">
        <v>51</v>
      </c>
      <c r="AQ18" s="53" t="e">
        <f t="shared" si="2"/>
        <v>#N/A</v>
      </c>
      <c r="AR18" s="61" t="s">
        <v>51</v>
      </c>
      <c r="AS18" s="53" t="e">
        <f t="shared" si="3"/>
        <v>#N/A</v>
      </c>
      <c r="AT18" s="61" t="s">
        <v>62</v>
      </c>
      <c r="AU18" s="69">
        <f>IF(LEFT(_xll.BDP($G18,AU$5),1)="#","#LOADING",_xll.BDP($G18,AU$5))</f>
        <v>0</v>
      </c>
      <c r="AV18" s="70"/>
      <c r="AW18" s="69" t="str">
        <f>IF(LEFT(_xll.BDP($G18,AW$5),1)="#","#LOADING","Type"&amp;IF(_xll.BDP($G18,AW$5)=999,1,_xll.BDP($G18,AW$5)))</f>
        <v>Type</v>
      </c>
      <c r="AX18" s="54"/>
      <c r="AZ18" s="61" t="s">
        <v>7</v>
      </c>
      <c r="BA18" s="66">
        <v>1000000</v>
      </c>
      <c r="BB18" s="61" t="s">
        <v>14</v>
      </c>
      <c r="BC18" s="61" t="s">
        <v>17</v>
      </c>
      <c r="BD18" s="70"/>
      <c r="BE18" s="73" t="e">
        <f t="shared" si="4"/>
        <v>#N/A</v>
      </c>
      <c r="BF18" s="74">
        <f t="shared" si="5"/>
        <v>0</v>
      </c>
      <c r="BG18" s="71">
        <v>1</v>
      </c>
      <c r="BH18" s="75">
        <f t="shared" si="6"/>
        <v>0</v>
      </c>
      <c r="BI18" s="61"/>
      <c r="BJ18" s="61"/>
      <c r="BK18" s="72"/>
      <c r="BL18" s="72"/>
      <c r="BM18" s="71"/>
      <c r="BN18" s="76" t="e">
        <f t="shared" si="7"/>
        <v>#VALUE!</v>
      </c>
      <c r="BO18" s="76" t="e">
        <f t="shared" si="8"/>
        <v>#VALUE!</v>
      </c>
      <c r="BP18" s="77" t="str">
        <f t="shared" si="9"/>
        <v>ZERO-COUPON</v>
      </c>
      <c r="BQ18" s="77" t="str">
        <f t="shared" si="10"/>
        <v>ZERO-COUPON</v>
      </c>
      <c r="BR18" s="78">
        <f t="shared" si="11"/>
        <v>0</v>
      </c>
      <c r="BS18" s="61"/>
      <c r="BT18" s="61"/>
      <c r="BU18" s="61" t="s">
        <v>51</v>
      </c>
      <c r="BV18" s="73" t="e">
        <f t="shared" si="12"/>
        <v>#N/A</v>
      </c>
      <c r="BW18" s="61" t="s">
        <v>51</v>
      </c>
      <c r="BX18" s="73" t="e">
        <f t="shared" si="13"/>
        <v>#N/A</v>
      </c>
      <c r="BY18" s="76" t="e">
        <f t="shared" si="14"/>
        <v>#VALUE!</v>
      </c>
      <c r="BZ18" s="76" t="e">
        <f t="shared" si="15"/>
        <v>#VALUE!</v>
      </c>
      <c r="CA18" s="70" t="s">
        <v>80</v>
      </c>
      <c r="CB18" s="61"/>
      <c r="CC18" s="61"/>
      <c r="CD18" s="61" t="s">
        <v>62</v>
      </c>
      <c r="CE18" s="61"/>
      <c r="CF18" s="76" t="str">
        <f t="shared" si="16"/>
        <v>Type</v>
      </c>
      <c r="CH18" s="61" t="s">
        <v>8</v>
      </c>
      <c r="CI18" s="66">
        <v>1000000</v>
      </c>
      <c r="CJ18" s="61" t="s">
        <v>14</v>
      </c>
      <c r="CK18" s="61" t="s">
        <v>18</v>
      </c>
      <c r="CL18" s="53" t="e">
        <f t="shared" si="17"/>
        <v>#N/A</v>
      </c>
      <c r="CM18" s="53" t="e">
        <f t="shared" si="18"/>
        <v>#N/A</v>
      </c>
      <c r="CN18" s="41">
        <f t="shared" si="19"/>
        <v>0</v>
      </c>
      <c r="CO18" s="71">
        <v>1</v>
      </c>
      <c r="CP18" s="81"/>
      <c r="CQ18" s="61" t="s">
        <v>32</v>
      </c>
      <c r="CR18" s="61" t="s">
        <v>32</v>
      </c>
      <c r="CS18" s="72"/>
      <c r="CT18" s="72"/>
      <c r="CU18" s="71"/>
      <c r="CV18" s="82" t="e">
        <f t="shared" si="20"/>
        <v>#VALUE!</v>
      </c>
      <c r="CW18" s="82" t="e">
        <f t="shared" si="21"/>
        <v>#VALUE!</v>
      </c>
      <c r="CX18" s="53">
        <f t="shared" si="22"/>
        <v>0</v>
      </c>
      <c r="CY18" s="53">
        <f t="shared" si="23"/>
        <v>0</v>
      </c>
      <c r="CZ18" s="53" t="e">
        <f t="shared" si="24"/>
        <v>#N/A</v>
      </c>
      <c r="DA18" s="61" t="s">
        <v>58</v>
      </c>
      <c r="DB18" s="53" t="e">
        <f t="shared" si="25"/>
        <v>#N/A</v>
      </c>
      <c r="DC18" s="61" t="s">
        <v>51</v>
      </c>
      <c r="DD18" s="53" t="e">
        <f t="shared" si="26"/>
        <v>#N/A</v>
      </c>
      <c r="DE18" s="61" t="s">
        <v>51</v>
      </c>
      <c r="DF18" s="53" t="e">
        <f t="shared" si="27"/>
        <v>#N/A</v>
      </c>
      <c r="DG18" s="82"/>
      <c r="DH18" s="82"/>
      <c r="DI18" s="70"/>
      <c r="DJ18" s="61" t="s">
        <v>62</v>
      </c>
      <c r="DK18" s="61"/>
      <c r="DL18" s="61" t="s">
        <v>62</v>
      </c>
      <c r="DM18" s="61" t="s">
        <v>75</v>
      </c>
      <c r="DN18" s="82"/>
      <c r="DR18" s="61" t="s">
        <v>7</v>
      </c>
      <c r="DS18" s="66">
        <v>1000000</v>
      </c>
      <c r="DT18" s="61" t="s">
        <v>14</v>
      </c>
      <c r="DU18" s="61" t="s">
        <v>17</v>
      </c>
      <c r="DV18" s="70"/>
      <c r="DW18" s="73" t="e">
        <f t="shared" si="28"/>
        <v>#N/A</v>
      </c>
      <c r="DX18" s="74">
        <f t="shared" si="29"/>
        <v>0</v>
      </c>
      <c r="DY18" s="71">
        <v>1</v>
      </c>
      <c r="DZ18" s="75">
        <f t="shared" si="30"/>
        <v>0</v>
      </c>
      <c r="EA18" s="61"/>
      <c r="EB18" s="61"/>
      <c r="EC18" s="72"/>
      <c r="ED18" s="72"/>
      <c r="EE18" s="71"/>
      <c r="EF18" s="76" t="e">
        <f t="shared" si="31"/>
        <v>#VALUE!</v>
      </c>
      <c r="EG18" s="76" t="e">
        <f t="shared" si="32"/>
        <v>#VALUE!</v>
      </c>
      <c r="EH18" s="77" t="str">
        <f t="shared" si="33"/>
        <v>ZERO-COUPON</v>
      </c>
      <c r="EI18" s="77" t="str">
        <f t="shared" si="34"/>
        <v>ZERO-COUPON</v>
      </c>
      <c r="EJ18" s="78">
        <f t="shared" si="35"/>
        <v>0</v>
      </c>
      <c r="EK18" s="61"/>
      <c r="EL18" s="61"/>
      <c r="EM18" s="61" t="s">
        <v>51</v>
      </c>
      <c r="EN18" s="73" t="e">
        <f t="shared" si="36"/>
        <v>#N/A</v>
      </c>
      <c r="EO18" s="61" t="s">
        <v>51</v>
      </c>
      <c r="EP18" s="73" t="e">
        <f t="shared" si="37"/>
        <v>#N/A</v>
      </c>
      <c r="EQ18" s="76" t="e">
        <f t="shared" si="38"/>
        <v>#VALUE!</v>
      </c>
      <c r="ER18" s="76" t="e">
        <f t="shared" si="39"/>
        <v>#VALUE!</v>
      </c>
      <c r="ES18" s="70" t="s">
        <v>80</v>
      </c>
      <c r="ET18" s="61"/>
      <c r="EU18" s="61"/>
      <c r="EV18" s="61" t="s">
        <v>62</v>
      </c>
      <c r="EW18" s="61"/>
      <c r="EX18" s="76" t="str">
        <f t="shared" si="40"/>
        <v>Type</v>
      </c>
      <c r="EZ18" s="61" t="s">
        <v>8</v>
      </c>
      <c r="FA18" s="66">
        <v>1000000</v>
      </c>
      <c r="FB18" s="61" t="s">
        <v>14</v>
      </c>
      <c r="FC18" s="61" t="s">
        <v>18</v>
      </c>
      <c r="FD18" s="73" t="e">
        <f t="shared" si="41"/>
        <v>#N/A</v>
      </c>
      <c r="FE18" s="73" t="e">
        <f t="shared" si="42"/>
        <v>#N/A</v>
      </c>
      <c r="FF18" s="41">
        <f t="shared" si="43"/>
        <v>0</v>
      </c>
      <c r="FG18" s="71">
        <v>1</v>
      </c>
      <c r="FH18" s="81"/>
      <c r="FI18" s="61" t="s">
        <v>32</v>
      </c>
      <c r="FJ18" s="61" t="s">
        <v>32</v>
      </c>
      <c r="FK18" s="72"/>
      <c r="FL18" s="72"/>
      <c r="FM18" s="71"/>
      <c r="FN18" s="76" t="e">
        <f t="shared" si="44"/>
        <v>#VALUE!</v>
      </c>
      <c r="FO18" s="76" t="e">
        <f t="shared" si="45"/>
        <v>#VALUE!</v>
      </c>
      <c r="FP18" s="73">
        <f t="shared" si="46"/>
        <v>0</v>
      </c>
      <c r="FQ18" s="73">
        <f t="shared" si="47"/>
        <v>0</v>
      </c>
      <c r="FR18" s="73" t="e">
        <f t="shared" si="48"/>
        <v>#N/A</v>
      </c>
      <c r="FS18" s="61" t="s">
        <v>58</v>
      </c>
      <c r="FT18" s="73" t="e">
        <f t="shared" si="49"/>
        <v>#N/A</v>
      </c>
      <c r="FU18" s="61" t="s">
        <v>51</v>
      </c>
      <c r="FV18" s="73" t="e">
        <f t="shared" si="50"/>
        <v>#N/A</v>
      </c>
      <c r="FW18" s="61" t="s">
        <v>51</v>
      </c>
      <c r="FX18" s="73" t="e">
        <f t="shared" si="51"/>
        <v>#N/A</v>
      </c>
      <c r="FY18" s="82"/>
      <c r="FZ18" s="82"/>
      <c r="GA18" s="70"/>
      <c r="GB18" s="61" t="s">
        <v>62</v>
      </c>
      <c r="GC18" s="61"/>
      <c r="GD18" s="61" t="s">
        <v>62</v>
      </c>
      <c r="GE18" s="61" t="s">
        <v>75</v>
      </c>
      <c r="GF18" s="82"/>
      <c r="GJ18" s="95">
        <f t="shared" si="52"/>
        <v>0</v>
      </c>
      <c r="GK18" s="42">
        <f>IF(LEFT(_xll.BDP($C18,GK$5),1)="#","#LOADING",_xll.BDP($C18,GK$5))</f>
        <v>0</v>
      </c>
      <c r="GL18" s="74">
        <f t="shared" si="53"/>
        <v>0</v>
      </c>
      <c r="GM18" s="74" t="e">
        <f t="shared" si="54"/>
        <v>#VALUE!</v>
      </c>
      <c r="GN18" s="64" t="s">
        <v>20</v>
      </c>
      <c r="GO18" s="42" t="b">
        <f>IF(LEFT(_xll.BDP($C18,GO$5),1)="#","#LOADING",IF(_xll.BDP($C18,GO$5)="CLEAN",TRUE,FALSE))</f>
        <v>0</v>
      </c>
      <c r="GP18" s="64" t="s">
        <v>26</v>
      </c>
      <c r="GQ18" s="61" t="s">
        <v>18</v>
      </c>
      <c r="GR18" s="65" t="s">
        <v>28</v>
      </c>
      <c r="GS18" s="66">
        <v>1000000</v>
      </c>
      <c r="GT18" s="96" t="e">
        <f>IF(LEFT(_xll.BDP($C18,GT$5),1)="#","#LOADING",DATEVALUE(_xll.BDP($C18,GT$5)))</f>
        <v>#VALUE!</v>
      </c>
      <c r="GU18" s="96" t="e">
        <f>IF(LEFT(_xll.BDP($C18,GU$5),1)="#","#LOADING",DATEVALUE(_xll.BDP($C18,GU$5)))</f>
        <v>#VALUE!</v>
      </c>
      <c r="GV18" s="96" t="e">
        <f>IF(LEFT(_xll.BDP($C18,GV$5),1)="#","#LOADING",DATEVALUE(_xll.BDP($C18,GV$5)))</f>
        <v>#VALUE!</v>
      </c>
      <c r="GW18" s="96" t="e">
        <f>IF(LEFT(_xll.BDP($C18,GW$5),1)="#","#LOADING",DATEVALUE(_xll.BDP($C18,GW$5)))</f>
        <v>#VALUE!</v>
      </c>
      <c r="GX18" s="96" t="e">
        <f>IF(LEFT(_xll.BDP($C18,GX$5),1)="#","#LOADING",DATEVALUE(_xll.BDP($C18,GX$5)))</f>
        <v>#VALUE!</v>
      </c>
      <c r="GY18" s="97">
        <f>IF(LEFT(_xll.BDP($C18,GY$5),1)="#","#LOADING",_xll.BDP($C18,GY$5)%)</f>
        <v>0</v>
      </c>
      <c r="GZ18" s="97" t="str">
        <f>IF(LEFT(_xll.BDP($C18,GZ$5),1)="#","#LOADING",VLOOKUP(_xll.BDP($C18,GZ$5),Static.CouponFrequency,2,FALSE))</f>
        <v>ZERO-COUPON</v>
      </c>
      <c r="HA18" s="68" t="s">
        <v>51</v>
      </c>
      <c r="HB18" s="73" t="e">
        <f t="shared" si="55"/>
        <v>#N/A</v>
      </c>
      <c r="HC18" s="61" t="s">
        <v>51</v>
      </c>
      <c r="HD18" s="73" t="e">
        <f t="shared" si="56"/>
        <v>#N/A</v>
      </c>
      <c r="HE18" s="61" t="s">
        <v>62</v>
      </c>
      <c r="HF18" s="43">
        <f>IF(LEFT(_xll.BDP($C18,HF$5),1)="#","#LOADING",_xll.BDP($C18,HF$5))</f>
        <v>0</v>
      </c>
      <c r="HG18" s="70"/>
      <c r="HH18" s="43" t="str">
        <f>IF(LEFT(_xll.BDP($C18,HH$5),1)="#","#LOADING","Type"&amp;IF(_xll.BDP($C18,HH$5)=999,1,_xll.BDP($C18,HH$5)))</f>
        <v>Type</v>
      </c>
    </row>
    <row r="19" spans="1:216">
      <c r="A19" s="101">
        <v>13</v>
      </c>
      <c r="B19" s="57"/>
      <c r="C19" s="57"/>
      <c r="D19" s="57"/>
      <c r="E19" s="57"/>
      <c r="F19" s="57"/>
      <c r="G19" s="57"/>
      <c r="H19" s="57"/>
      <c r="I19" s="57"/>
      <c r="J19" s="101">
        <v>13</v>
      </c>
      <c r="K19" s="58" t="s">
        <v>163</v>
      </c>
      <c r="L19" s="59" t="str">
        <f>IF(ISBLANK(M19),IF($G19="","",_xll.BDP(AB19&amp;" "&amp;$K19&amp;" Corp","PX_LAST")),M19)</f>
        <v/>
      </c>
      <c r="M19" s="60"/>
      <c r="N19" s="83" t="str">
        <f ca="1">IF(ISBLANK($O19),IF($G19="","",_xll.meLWOAssetSwapSpread($U19,$T19,$L19,INDIRECT("ValuationSettings"&amp;$CN19),INDIRECT("Fixings"&amp;$CN19&amp;IF($I19="QUARTERLY","3ML","6ML")))),$O19)</f>
        <v/>
      </c>
      <c r="O19" s="60"/>
      <c r="P19" s="84" t="str">
        <f ca="1">IF($C19="","",_xll.meLWOAssetSwapSpreadToCleanPrice($V19,$N19,INDIRECT("ValuationSettings"&amp;$DX19),INDIRECT("Fixings"&amp;$DX19&amp;IF($E19="QUARTERLY","3ML","6ML"))))</f>
        <v/>
      </c>
      <c r="Q19" s="84" t="str">
        <f ca="1">IF($C19="","",_xll.meLWOBondPriceFromCleanToDirty($W19,INDIRECT("ValuationDate"&amp;$D19),$P19))</f>
        <v/>
      </c>
      <c r="R19" s="98" t="str">
        <f ca="1">IF($C19="","",_xll.meLWOBondYield($W19,INDIRECT("ValuationDate"&amp;$D19),IF($GO19,$P19,$Q19)))</f>
        <v/>
      </c>
      <c r="S19" s="101">
        <v>13</v>
      </c>
      <c r="T19" s="53" t="str">
        <f>IF($G19="","",IF(LEFT(Z19,1)="#","#LOADING",_xll.meLWOBondCreateFromLVB("PROXY_BOND_"&amp;$AB19,_xll.meUtilityLVBFromKeysValues($Y$6:$AW$6,$Y19:$AW19))))</f>
        <v/>
      </c>
      <c r="U19" s="53" t="str">
        <f>IF($G19="","",_xll.meLWOSwapCreate("PROXY_ASW_"&amp;$AB19,_xll.meUtilityLVBFromKeysAndMultipleValues($AZ$6:$CF$6,$AZ19:$CF19,$CH19:$DN19)))</f>
        <v/>
      </c>
      <c r="V19" s="53" t="str">
        <f>IF($C19="","",_xll.meLWOSwapCreate("BOND_ASW_"&amp;$GM19,_xll.meUtilityLVBFromKeysAndMultipleValues($DR$6:$EX$6,$DR19:$EX19,$EZ19:$GF19)))</f>
        <v/>
      </c>
      <c r="W19" s="53" t="str">
        <f>IF($C19="","",IF(LEFT(GK19,1)="#","#LOADING",_xll.meLWOBondCreateFromLVB("PROXY_BOND_"&amp;$GM19,_xll.meUtilityLVBFromKeysValues($GJ$6:$HH$6,$GJ19:$HH19))))</f>
        <v/>
      </c>
      <c r="X19" t="s">
        <v>0</v>
      </c>
      <c r="Y19" s="62">
        <f t="shared" si="0"/>
        <v>0</v>
      </c>
      <c r="Z19" s="63">
        <f>IF(LEFT(_xll.BDP($G19,Z$5),1)="#","#LOADING",_xll.BDP($G19,Z$5))</f>
        <v>0</v>
      </c>
      <c r="AA19" s="41">
        <f t="shared" si="1"/>
        <v>0</v>
      </c>
      <c r="AB19" s="63">
        <f>IF(LEFT(_xll.BDP($G19,AB$5),1)="#","#LOADING",_xll.BDP($G19,AB$5))</f>
        <v>0</v>
      </c>
      <c r="AC19" s="64" t="s">
        <v>20</v>
      </c>
      <c r="AD19" s="63" t="b">
        <f>IF(LEFT(_xll.BDP($G19,AD$5),1)="#","#LOADING",IF(_xll.BDP($G19,AD$5)="CLEAN",TRUE,FALSE))</f>
        <v>0</v>
      </c>
      <c r="AE19" s="64" t="s">
        <v>26</v>
      </c>
      <c r="AF19" s="61" t="s">
        <v>18</v>
      </c>
      <c r="AG19" s="65" t="s">
        <v>28</v>
      </c>
      <c r="AH19" s="66">
        <v>1000000</v>
      </c>
      <c r="AI19" s="63" t="e">
        <f>IF(LEFT(_xll.BDP($G19,AI$5),1)="#","#LOADING",DATEVALUE(_xll.BDP($G19,AI$5)))</f>
        <v>#VALUE!</v>
      </c>
      <c r="AJ19" s="63" t="e">
        <f>IF(LEFT(_xll.BDP($G19,AJ$5),1)="#","#LOADING",DATEVALUE(_xll.BDP($G19,AJ$5)))</f>
        <v>#VALUE!</v>
      </c>
      <c r="AK19" s="63" t="e">
        <f>IF(LEFT(_xll.BDP($G19,AK$5),1)="#","#LOADING",DATEVALUE(_xll.BDP($G19,AK$5)))</f>
        <v>#VALUE!</v>
      </c>
      <c r="AL19" s="63" t="e">
        <f>IF(LEFT(_xll.BDP($G19,AL$5),1)="#","#LOADING",DATEVALUE(_xll.BDP($G19,AL$5)))</f>
        <v>#VALUE!</v>
      </c>
      <c r="AM19" s="63" t="e">
        <f>IF(LEFT(_xll.BDP($G19,AM$5),1)="#","#LOADING",DATEVALUE(_xll.BDP($G19,AM$5)))</f>
        <v>#VALUE!</v>
      </c>
      <c r="AN19" s="67">
        <f>IF(LEFT(_xll.BDP($G19,AN$5),1)="#","#LOADING",_xll.BDP($G19,AN$5)%)</f>
        <v>0</v>
      </c>
      <c r="AO19" s="67" t="str">
        <f>IF(LEFT(_xll.BDP($G19,AO$5),1)="#","#LOADING",VLOOKUP(_xll.BDP($G19,AO$5),Static.CouponFrequency,2,FALSE))</f>
        <v>ZERO-COUPON</v>
      </c>
      <c r="AP19" s="68" t="s">
        <v>51</v>
      </c>
      <c r="AQ19" s="53" t="e">
        <f t="shared" si="2"/>
        <v>#N/A</v>
      </c>
      <c r="AR19" s="61" t="s">
        <v>51</v>
      </c>
      <c r="AS19" s="53" t="e">
        <f t="shared" si="3"/>
        <v>#N/A</v>
      </c>
      <c r="AT19" s="61" t="s">
        <v>62</v>
      </c>
      <c r="AU19" s="69">
        <f>IF(LEFT(_xll.BDP($G19,AU$5),1)="#","#LOADING",_xll.BDP($G19,AU$5))</f>
        <v>0</v>
      </c>
      <c r="AV19" s="70"/>
      <c r="AW19" s="69" t="str">
        <f>IF(LEFT(_xll.BDP($G19,AW$5),1)="#","#LOADING","Type"&amp;IF(_xll.BDP($G19,AW$5)=999,1,_xll.BDP($G19,AW$5)))</f>
        <v>Type</v>
      </c>
      <c r="AX19" s="54"/>
      <c r="AZ19" s="61" t="s">
        <v>7</v>
      </c>
      <c r="BA19" s="66">
        <v>1000000</v>
      </c>
      <c r="BB19" s="61" t="s">
        <v>14</v>
      </c>
      <c r="BC19" s="61" t="s">
        <v>17</v>
      </c>
      <c r="BD19" s="70"/>
      <c r="BE19" s="73" t="e">
        <f t="shared" si="4"/>
        <v>#N/A</v>
      </c>
      <c r="BF19" s="74">
        <f t="shared" si="5"/>
        <v>0</v>
      </c>
      <c r="BG19" s="71">
        <v>1</v>
      </c>
      <c r="BH19" s="75">
        <f t="shared" si="6"/>
        <v>0</v>
      </c>
      <c r="BI19" s="61"/>
      <c r="BJ19" s="61"/>
      <c r="BK19" s="72"/>
      <c r="BL19" s="72"/>
      <c r="BM19" s="71"/>
      <c r="BN19" s="76" t="e">
        <f t="shared" si="7"/>
        <v>#VALUE!</v>
      </c>
      <c r="BO19" s="76" t="e">
        <f t="shared" si="8"/>
        <v>#VALUE!</v>
      </c>
      <c r="BP19" s="77" t="str">
        <f t="shared" si="9"/>
        <v>ZERO-COUPON</v>
      </c>
      <c r="BQ19" s="77" t="str">
        <f t="shared" si="10"/>
        <v>ZERO-COUPON</v>
      </c>
      <c r="BR19" s="78">
        <f t="shared" si="11"/>
        <v>0</v>
      </c>
      <c r="BS19" s="61"/>
      <c r="BT19" s="61"/>
      <c r="BU19" s="61" t="s">
        <v>51</v>
      </c>
      <c r="BV19" s="73" t="e">
        <f t="shared" si="12"/>
        <v>#N/A</v>
      </c>
      <c r="BW19" s="61" t="s">
        <v>51</v>
      </c>
      <c r="BX19" s="73" t="e">
        <f t="shared" si="13"/>
        <v>#N/A</v>
      </c>
      <c r="BY19" s="76" t="e">
        <f t="shared" si="14"/>
        <v>#VALUE!</v>
      </c>
      <c r="BZ19" s="76" t="e">
        <f t="shared" si="15"/>
        <v>#VALUE!</v>
      </c>
      <c r="CA19" s="70" t="s">
        <v>80</v>
      </c>
      <c r="CB19" s="61"/>
      <c r="CC19" s="61"/>
      <c r="CD19" s="61" t="s">
        <v>62</v>
      </c>
      <c r="CE19" s="61"/>
      <c r="CF19" s="76" t="str">
        <f t="shared" si="16"/>
        <v>Type</v>
      </c>
      <c r="CH19" s="61" t="s">
        <v>8</v>
      </c>
      <c r="CI19" s="66">
        <v>1000000</v>
      </c>
      <c r="CJ19" s="61" t="s">
        <v>14</v>
      </c>
      <c r="CK19" s="61" t="s">
        <v>18</v>
      </c>
      <c r="CL19" s="53" t="e">
        <f t="shared" si="17"/>
        <v>#N/A</v>
      </c>
      <c r="CM19" s="53" t="e">
        <f t="shared" si="18"/>
        <v>#N/A</v>
      </c>
      <c r="CN19" s="41">
        <f t="shared" si="19"/>
        <v>0</v>
      </c>
      <c r="CO19" s="71">
        <v>1</v>
      </c>
      <c r="CP19" s="81"/>
      <c r="CQ19" s="61" t="s">
        <v>32</v>
      </c>
      <c r="CR19" s="61" t="s">
        <v>32</v>
      </c>
      <c r="CS19" s="72"/>
      <c r="CT19" s="72"/>
      <c r="CU19" s="71"/>
      <c r="CV19" s="82" t="e">
        <f t="shared" si="20"/>
        <v>#VALUE!</v>
      </c>
      <c r="CW19" s="82" t="e">
        <f t="shared" si="21"/>
        <v>#VALUE!</v>
      </c>
      <c r="CX19" s="53">
        <f t="shared" si="22"/>
        <v>0</v>
      </c>
      <c r="CY19" s="53">
        <f t="shared" si="23"/>
        <v>0</v>
      </c>
      <c r="CZ19" s="53" t="e">
        <f t="shared" si="24"/>
        <v>#N/A</v>
      </c>
      <c r="DA19" s="61" t="s">
        <v>58</v>
      </c>
      <c r="DB19" s="53" t="e">
        <f t="shared" si="25"/>
        <v>#N/A</v>
      </c>
      <c r="DC19" s="61" t="s">
        <v>51</v>
      </c>
      <c r="DD19" s="53" t="e">
        <f t="shared" si="26"/>
        <v>#N/A</v>
      </c>
      <c r="DE19" s="61" t="s">
        <v>51</v>
      </c>
      <c r="DF19" s="53" t="e">
        <f t="shared" si="27"/>
        <v>#N/A</v>
      </c>
      <c r="DG19" s="82"/>
      <c r="DH19" s="82"/>
      <c r="DI19" s="70"/>
      <c r="DJ19" s="61" t="s">
        <v>62</v>
      </c>
      <c r="DK19" s="61"/>
      <c r="DL19" s="61" t="s">
        <v>62</v>
      </c>
      <c r="DM19" s="61" t="s">
        <v>75</v>
      </c>
      <c r="DN19" s="82"/>
      <c r="DR19" s="61" t="s">
        <v>7</v>
      </c>
      <c r="DS19" s="66">
        <v>1000000</v>
      </c>
      <c r="DT19" s="61" t="s">
        <v>14</v>
      </c>
      <c r="DU19" s="61" t="s">
        <v>17</v>
      </c>
      <c r="DV19" s="70"/>
      <c r="DW19" s="73" t="e">
        <f t="shared" si="28"/>
        <v>#N/A</v>
      </c>
      <c r="DX19" s="74">
        <f t="shared" si="29"/>
        <v>0</v>
      </c>
      <c r="DY19" s="71">
        <v>1</v>
      </c>
      <c r="DZ19" s="75">
        <f t="shared" si="30"/>
        <v>0</v>
      </c>
      <c r="EA19" s="61"/>
      <c r="EB19" s="61"/>
      <c r="EC19" s="72"/>
      <c r="ED19" s="72"/>
      <c r="EE19" s="71"/>
      <c r="EF19" s="76" t="e">
        <f t="shared" si="31"/>
        <v>#VALUE!</v>
      </c>
      <c r="EG19" s="76" t="e">
        <f t="shared" si="32"/>
        <v>#VALUE!</v>
      </c>
      <c r="EH19" s="77" t="str">
        <f t="shared" si="33"/>
        <v>ZERO-COUPON</v>
      </c>
      <c r="EI19" s="77" t="str">
        <f t="shared" si="34"/>
        <v>ZERO-COUPON</v>
      </c>
      <c r="EJ19" s="78">
        <f t="shared" si="35"/>
        <v>0</v>
      </c>
      <c r="EK19" s="61"/>
      <c r="EL19" s="61"/>
      <c r="EM19" s="61" t="s">
        <v>51</v>
      </c>
      <c r="EN19" s="73" t="e">
        <f t="shared" si="36"/>
        <v>#N/A</v>
      </c>
      <c r="EO19" s="61" t="s">
        <v>51</v>
      </c>
      <c r="EP19" s="73" t="e">
        <f t="shared" si="37"/>
        <v>#N/A</v>
      </c>
      <c r="EQ19" s="76" t="e">
        <f t="shared" si="38"/>
        <v>#VALUE!</v>
      </c>
      <c r="ER19" s="76" t="e">
        <f t="shared" si="39"/>
        <v>#VALUE!</v>
      </c>
      <c r="ES19" s="70" t="s">
        <v>80</v>
      </c>
      <c r="ET19" s="61"/>
      <c r="EU19" s="61"/>
      <c r="EV19" s="61" t="s">
        <v>62</v>
      </c>
      <c r="EW19" s="61"/>
      <c r="EX19" s="76" t="str">
        <f t="shared" si="40"/>
        <v>Type</v>
      </c>
      <c r="EZ19" s="61" t="s">
        <v>8</v>
      </c>
      <c r="FA19" s="66">
        <v>1000000</v>
      </c>
      <c r="FB19" s="61" t="s">
        <v>14</v>
      </c>
      <c r="FC19" s="61" t="s">
        <v>18</v>
      </c>
      <c r="FD19" s="73" t="e">
        <f t="shared" si="41"/>
        <v>#N/A</v>
      </c>
      <c r="FE19" s="73" t="e">
        <f t="shared" si="42"/>
        <v>#N/A</v>
      </c>
      <c r="FF19" s="41">
        <f t="shared" si="43"/>
        <v>0</v>
      </c>
      <c r="FG19" s="71">
        <v>1</v>
      </c>
      <c r="FH19" s="81"/>
      <c r="FI19" s="61" t="s">
        <v>32</v>
      </c>
      <c r="FJ19" s="61" t="s">
        <v>32</v>
      </c>
      <c r="FK19" s="72"/>
      <c r="FL19" s="72"/>
      <c r="FM19" s="71"/>
      <c r="FN19" s="76" t="e">
        <f t="shared" si="44"/>
        <v>#VALUE!</v>
      </c>
      <c r="FO19" s="76" t="e">
        <f t="shared" si="45"/>
        <v>#VALUE!</v>
      </c>
      <c r="FP19" s="73">
        <f t="shared" si="46"/>
        <v>0</v>
      </c>
      <c r="FQ19" s="73">
        <f t="shared" si="47"/>
        <v>0</v>
      </c>
      <c r="FR19" s="73" t="e">
        <f t="shared" si="48"/>
        <v>#N/A</v>
      </c>
      <c r="FS19" s="61" t="s">
        <v>58</v>
      </c>
      <c r="FT19" s="73" t="e">
        <f t="shared" si="49"/>
        <v>#N/A</v>
      </c>
      <c r="FU19" s="61" t="s">
        <v>51</v>
      </c>
      <c r="FV19" s="73" t="e">
        <f t="shared" si="50"/>
        <v>#N/A</v>
      </c>
      <c r="FW19" s="61" t="s">
        <v>51</v>
      </c>
      <c r="FX19" s="73" t="e">
        <f t="shared" si="51"/>
        <v>#N/A</v>
      </c>
      <c r="FY19" s="82"/>
      <c r="FZ19" s="82"/>
      <c r="GA19" s="70"/>
      <c r="GB19" s="61" t="s">
        <v>62</v>
      </c>
      <c r="GC19" s="61"/>
      <c r="GD19" s="61" t="s">
        <v>62</v>
      </c>
      <c r="GE19" s="61" t="s">
        <v>75</v>
      </c>
      <c r="GF19" s="82"/>
      <c r="GJ19" s="95">
        <f t="shared" si="52"/>
        <v>0</v>
      </c>
      <c r="GK19" s="42">
        <f>IF(LEFT(_xll.BDP($C19,GK$5),1)="#","#LOADING",_xll.BDP($C19,GK$5))</f>
        <v>0</v>
      </c>
      <c r="GL19" s="74">
        <f t="shared" si="53"/>
        <v>0</v>
      </c>
      <c r="GM19" s="74" t="e">
        <f t="shared" si="54"/>
        <v>#VALUE!</v>
      </c>
      <c r="GN19" s="64" t="s">
        <v>20</v>
      </c>
      <c r="GO19" s="42" t="b">
        <f>IF(LEFT(_xll.BDP($C19,GO$5),1)="#","#LOADING",IF(_xll.BDP($C19,GO$5)="CLEAN",TRUE,FALSE))</f>
        <v>0</v>
      </c>
      <c r="GP19" s="64" t="s">
        <v>26</v>
      </c>
      <c r="GQ19" s="61" t="s">
        <v>18</v>
      </c>
      <c r="GR19" s="65" t="s">
        <v>28</v>
      </c>
      <c r="GS19" s="66">
        <v>1000000</v>
      </c>
      <c r="GT19" s="96" t="e">
        <f>IF(LEFT(_xll.BDP($C19,GT$5),1)="#","#LOADING",DATEVALUE(_xll.BDP($C19,GT$5)))</f>
        <v>#VALUE!</v>
      </c>
      <c r="GU19" s="96" t="e">
        <f>IF(LEFT(_xll.BDP($C19,GU$5),1)="#","#LOADING",DATEVALUE(_xll.BDP($C19,GU$5)))</f>
        <v>#VALUE!</v>
      </c>
      <c r="GV19" s="96" t="e">
        <f>IF(LEFT(_xll.BDP($C19,GV$5),1)="#","#LOADING",DATEVALUE(_xll.BDP($C19,GV$5)))</f>
        <v>#VALUE!</v>
      </c>
      <c r="GW19" s="96" t="e">
        <f>IF(LEFT(_xll.BDP($C19,GW$5),1)="#","#LOADING",DATEVALUE(_xll.BDP($C19,GW$5)))</f>
        <v>#VALUE!</v>
      </c>
      <c r="GX19" s="96" t="e">
        <f>IF(LEFT(_xll.BDP($C19,GX$5),1)="#","#LOADING",DATEVALUE(_xll.BDP($C19,GX$5)))</f>
        <v>#VALUE!</v>
      </c>
      <c r="GY19" s="97">
        <f>IF(LEFT(_xll.BDP($C19,GY$5),1)="#","#LOADING",_xll.BDP($C19,GY$5)%)</f>
        <v>0</v>
      </c>
      <c r="GZ19" s="97" t="str">
        <f>IF(LEFT(_xll.BDP($C19,GZ$5),1)="#","#LOADING",VLOOKUP(_xll.BDP($C19,GZ$5),Static.CouponFrequency,2,FALSE))</f>
        <v>ZERO-COUPON</v>
      </c>
      <c r="HA19" s="68" t="s">
        <v>51</v>
      </c>
      <c r="HB19" s="73" t="e">
        <f t="shared" si="55"/>
        <v>#N/A</v>
      </c>
      <c r="HC19" s="61" t="s">
        <v>51</v>
      </c>
      <c r="HD19" s="73" t="e">
        <f t="shared" si="56"/>
        <v>#N/A</v>
      </c>
      <c r="HE19" s="61" t="s">
        <v>62</v>
      </c>
      <c r="HF19" s="43">
        <f>IF(LEFT(_xll.BDP($C19,HF$5),1)="#","#LOADING",_xll.BDP($C19,HF$5))</f>
        <v>0</v>
      </c>
      <c r="HG19" s="70"/>
      <c r="HH19" s="43" t="str">
        <f>IF(LEFT(_xll.BDP($C19,HH$5),1)="#","#LOADING","Type"&amp;IF(_xll.BDP($C19,HH$5)=999,1,_xll.BDP($C19,HH$5)))</f>
        <v>Type</v>
      </c>
    </row>
    <row r="20" spans="1:216">
      <c r="A20" s="101">
        <v>14</v>
      </c>
      <c r="B20" s="57"/>
      <c r="C20" s="57"/>
      <c r="D20" s="57"/>
      <c r="E20" s="57"/>
      <c r="F20" s="57"/>
      <c r="G20" s="57"/>
      <c r="H20" s="57"/>
      <c r="I20" s="57"/>
      <c r="J20" s="101">
        <v>14</v>
      </c>
      <c r="K20" s="58" t="s">
        <v>163</v>
      </c>
      <c r="L20" s="59" t="str">
        <f>IF(ISBLANK(M20),IF($G20="","",_xll.BDP(AB20&amp;" "&amp;$K20&amp;" Corp","PX_LAST")),M20)</f>
        <v/>
      </c>
      <c r="M20" s="60"/>
      <c r="N20" s="83" t="str">
        <f ca="1">IF(ISBLANK($O20),IF($G20="","",_xll.meLWOAssetSwapSpread($U20,$T20,$L20,INDIRECT("ValuationSettings"&amp;$CN20),INDIRECT("Fixings"&amp;$CN20&amp;IF($I20="QUARTERLY","3ML","6ML")))),$O20)</f>
        <v/>
      </c>
      <c r="O20" s="60"/>
      <c r="P20" s="84" t="str">
        <f ca="1">IF($C20="","",_xll.meLWOAssetSwapSpreadToCleanPrice($V20,$N20,INDIRECT("ValuationSettings"&amp;$DX20),INDIRECT("Fixings"&amp;$DX20&amp;IF($E20="QUARTERLY","3ML","6ML"))))</f>
        <v/>
      </c>
      <c r="Q20" s="84" t="str">
        <f ca="1">IF($C20="","",_xll.meLWOBondPriceFromCleanToDirty($W20,INDIRECT("ValuationDate"&amp;$D20),$P20))</f>
        <v/>
      </c>
      <c r="R20" s="98" t="str">
        <f ca="1">IF($C20="","",_xll.meLWOBondYield($W20,INDIRECT("ValuationDate"&amp;$D20),IF($GO20,$P20,$Q20)))</f>
        <v/>
      </c>
      <c r="S20" s="101">
        <v>14</v>
      </c>
      <c r="T20" s="53" t="str">
        <f>IF($G20="","",IF(LEFT(Z20,1)="#","#LOADING",_xll.meLWOBondCreateFromLVB("PROXY_BOND_"&amp;$AB20,_xll.meUtilityLVBFromKeysValues($Y$6:$AW$6,$Y20:$AW20))))</f>
        <v/>
      </c>
      <c r="U20" s="53" t="str">
        <f>IF($G20="","",_xll.meLWOSwapCreate("PROXY_ASW_"&amp;$AB20,_xll.meUtilityLVBFromKeysAndMultipleValues($AZ$6:$CF$6,$AZ20:$CF20,$CH20:$DN20)))</f>
        <v/>
      </c>
      <c r="V20" s="53" t="str">
        <f>IF($C20="","",_xll.meLWOSwapCreate("BOND_ASW_"&amp;$GM20,_xll.meUtilityLVBFromKeysAndMultipleValues($DR$6:$EX$6,$DR20:$EX20,$EZ20:$GF20)))</f>
        <v/>
      </c>
      <c r="W20" s="53" t="str">
        <f>IF($C20="","",IF(LEFT(GK20,1)="#","#LOADING",_xll.meLWOBondCreateFromLVB("PROXY_BOND_"&amp;$GM20,_xll.meUtilityLVBFromKeysValues($GJ$6:$HH$6,$GJ20:$HH20))))</f>
        <v/>
      </c>
      <c r="X20" t="s">
        <v>0</v>
      </c>
      <c r="Y20" s="62">
        <f t="shared" si="0"/>
        <v>0</v>
      </c>
      <c r="Z20" s="63">
        <f>IF(LEFT(_xll.BDP($G20,Z$5),1)="#","#LOADING",_xll.BDP($G20,Z$5))</f>
        <v>0</v>
      </c>
      <c r="AA20" s="41">
        <f t="shared" si="1"/>
        <v>0</v>
      </c>
      <c r="AB20" s="63">
        <f>IF(LEFT(_xll.BDP($G20,AB$5),1)="#","#LOADING",_xll.BDP($G20,AB$5))</f>
        <v>0</v>
      </c>
      <c r="AC20" s="64" t="s">
        <v>20</v>
      </c>
      <c r="AD20" s="63" t="b">
        <f>IF(LEFT(_xll.BDP($G20,AD$5),1)="#","#LOADING",IF(_xll.BDP($G20,AD$5)="CLEAN",TRUE,FALSE))</f>
        <v>0</v>
      </c>
      <c r="AE20" s="64" t="s">
        <v>26</v>
      </c>
      <c r="AF20" s="61" t="s">
        <v>18</v>
      </c>
      <c r="AG20" s="65" t="s">
        <v>28</v>
      </c>
      <c r="AH20" s="66">
        <v>1000000</v>
      </c>
      <c r="AI20" s="63" t="e">
        <f>IF(LEFT(_xll.BDP($G20,AI$5),1)="#","#LOADING",DATEVALUE(_xll.BDP($G20,AI$5)))</f>
        <v>#VALUE!</v>
      </c>
      <c r="AJ20" s="63" t="e">
        <f>IF(LEFT(_xll.BDP($G20,AJ$5),1)="#","#LOADING",DATEVALUE(_xll.BDP($G20,AJ$5)))</f>
        <v>#VALUE!</v>
      </c>
      <c r="AK20" s="63" t="e">
        <f>IF(LEFT(_xll.BDP($G20,AK$5),1)="#","#LOADING",DATEVALUE(_xll.BDP($G20,AK$5)))</f>
        <v>#VALUE!</v>
      </c>
      <c r="AL20" s="63" t="e">
        <f>IF(LEFT(_xll.BDP($G20,AL$5),1)="#","#LOADING",DATEVALUE(_xll.BDP($G20,AL$5)))</f>
        <v>#VALUE!</v>
      </c>
      <c r="AM20" s="63" t="e">
        <f>IF(LEFT(_xll.BDP($G20,AM$5),1)="#","#LOADING",DATEVALUE(_xll.BDP($G20,AM$5)))</f>
        <v>#VALUE!</v>
      </c>
      <c r="AN20" s="67">
        <f>IF(LEFT(_xll.BDP($G20,AN$5),1)="#","#LOADING",_xll.BDP($G20,AN$5)%)</f>
        <v>0</v>
      </c>
      <c r="AO20" s="67" t="str">
        <f>IF(LEFT(_xll.BDP($G20,AO$5),1)="#","#LOADING",VLOOKUP(_xll.BDP($G20,AO$5),Static.CouponFrequency,2,FALSE))</f>
        <v>ZERO-COUPON</v>
      </c>
      <c r="AP20" s="68" t="s">
        <v>51</v>
      </c>
      <c r="AQ20" s="53" t="e">
        <f t="shared" si="2"/>
        <v>#N/A</v>
      </c>
      <c r="AR20" s="61" t="s">
        <v>51</v>
      </c>
      <c r="AS20" s="53" t="e">
        <f t="shared" si="3"/>
        <v>#N/A</v>
      </c>
      <c r="AT20" s="61" t="s">
        <v>62</v>
      </c>
      <c r="AU20" s="69">
        <f>IF(LEFT(_xll.BDP($G20,AU$5),1)="#","#LOADING",_xll.BDP($G20,AU$5))</f>
        <v>0</v>
      </c>
      <c r="AV20" s="70"/>
      <c r="AW20" s="69" t="str">
        <f>IF(LEFT(_xll.BDP($G20,AW$5),1)="#","#LOADING","Type"&amp;IF(_xll.BDP($G20,AW$5)=999,1,_xll.BDP($G20,AW$5)))</f>
        <v>Type</v>
      </c>
      <c r="AX20" s="54"/>
      <c r="AZ20" s="61" t="s">
        <v>7</v>
      </c>
      <c r="BA20" s="66">
        <v>1000000</v>
      </c>
      <c r="BB20" s="61" t="s">
        <v>14</v>
      </c>
      <c r="BC20" s="61" t="s">
        <v>17</v>
      </c>
      <c r="BD20" s="70"/>
      <c r="BE20" s="73" t="e">
        <f t="shared" si="4"/>
        <v>#N/A</v>
      </c>
      <c r="BF20" s="74">
        <f t="shared" si="5"/>
        <v>0</v>
      </c>
      <c r="BG20" s="71">
        <v>1</v>
      </c>
      <c r="BH20" s="75">
        <f t="shared" si="6"/>
        <v>0</v>
      </c>
      <c r="BI20" s="61"/>
      <c r="BJ20" s="61"/>
      <c r="BK20" s="72"/>
      <c r="BL20" s="72"/>
      <c r="BM20" s="71"/>
      <c r="BN20" s="76" t="e">
        <f t="shared" si="7"/>
        <v>#VALUE!</v>
      </c>
      <c r="BO20" s="76" t="e">
        <f t="shared" si="8"/>
        <v>#VALUE!</v>
      </c>
      <c r="BP20" s="77" t="str">
        <f t="shared" si="9"/>
        <v>ZERO-COUPON</v>
      </c>
      <c r="BQ20" s="77" t="str">
        <f t="shared" si="10"/>
        <v>ZERO-COUPON</v>
      </c>
      <c r="BR20" s="78">
        <f t="shared" si="11"/>
        <v>0</v>
      </c>
      <c r="BS20" s="61"/>
      <c r="BT20" s="61"/>
      <c r="BU20" s="61" t="s">
        <v>51</v>
      </c>
      <c r="BV20" s="73" t="e">
        <f t="shared" si="12"/>
        <v>#N/A</v>
      </c>
      <c r="BW20" s="61" t="s">
        <v>51</v>
      </c>
      <c r="BX20" s="73" t="e">
        <f t="shared" si="13"/>
        <v>#N/A</v>
      </c>
      <c r="BY20" s="76" t="e">
        <f t="shared" si="14"/>
        <v>#VALUE!</v>
      </c>
      <c r="BZ20" s="76" t="e">
        <f t="shared" si="15"/>
        <v>#VALUE!</v>
      </c>
      <c r="CA20" s="70" t="s">
        <v>80</v>
      </c>
      <c r="CB20" s="61"/>
      <c r="CC20" s="61"/>
      <c r="CD20" s="61" t="s">
        <v>62</v>
      </c>
      <c r="CE20" s="61"/>
      <c r="CF20" s="76" t="str">
        <f t="shared" si="16"/>
        <v>Type</v>
      </c>
      <c r="CH20" s="61" t="s">
        <v>8</v>
      </c>
      <c r="CI20" s="66">
        <v>1000000</v>
      </c>
      <c r="CJ20" s="61" t="s">
        <v>14</v>
      </c>
      <c r="CK20" s="61" t="s">
        <v>18</v>
      </c>
      <c r="CL20" s="53" t="e">
        <f t="shared" si="17"/>
        <v>#N/A</v>
      </c>
      <c r="CM20" s="53" t="e">
        <f t="shared" si="18"/>
        <v>#N/A</v>
      </c>
      <c r="CN20" s="41">
        <f t="shared" si="19"/>
        <v>0</v>
      </c>
      <c r="CO20" s="71">
        <v>1</v>
      </c>
      <c r="CP20" s="81"/>
      <c r="CQ20" s="61" t="s">
        <v>32</v>
      </c>
      <c r="CR20" s="61" t="s">
        <v>32</v>
      </c>
      <c r="CS20" s="72"/>
      <c r="CT20" s="72"/>
      <c r="CU20" s="71"/>
      <c r="CV20" s="82" t="e">
        <f t="shared" si="20"/>
        <v>#VALUE!</v>
      </c>
      <c r="CW20" s="82" t="e">
        <f t="shared" si="21"/>
        <v>#VALUE!</v>
      </c>
      <c r="CX20" s="53">
        <f t="shared" si="22"/>
        <v>0</v>
      </c>
      <c r="CY20" s="53">
        <f t="shared" si="23"/>
        <v>0</v>
      </c>
      <c r="CZ20" s="53" t="e">
        <f t="shared" si="24"/>
        <v>#N/A</v>
      </c>
      <c r="DA20" s="61" t="s">
        <v>58</v>
      </c>
      <c r="DB20" s="53" t="e">
        <f t="shared" si="25"/>
        <v>#N/A</v>
      </c>
      <c r="DC20" s="61" t="s">
        <v>51</v>
      </c>
      <c r="DD20" s="53" t="e">
        <f t="shared" si="26"/>
        <v>#N/A</v>
      </c>
      <c r="DE20" s="61" t="s">
        <v>51</v>
      </c>
      <c r="DF20" s="53" t="e">
        <f t="shared" si="27"/>
        <v>#N/A</v>
      </c>
      <c r="DG20" s="82"/>
      <c r="DH20" s="82"/>
      <c r="DI20" s="70"/>
      <c r="DJ20" s="61" t="s">
        <v>62</v>
      </c>
      <c r="DK20" s="61"/>
      <c r="DL20" s="61" t="s">
        <v>62</v>
      </c>
      <c r="DM20" s="61" t="s">
        <v>75</v>
      </c>
      <c r="DN20" s="82"/>
      <c r="DR20" s="61" t="s">
        <v>7</v>
      </c>
      <c r="DS20" s="66">
        <v>1000000</v>
      </c>
      <c r="DT20" s="61" t="s">
        <v>14</v>
      </c>
      <c r="DU20" s="61" t="s">
        <v>17</v>
      </c>
      <c r="DV20" s="70"/>
      <c r="DW20" s="73" t="e">
        <f t="shared" si="28"/>
        <v>#N/A</v>
      </c>
      <c r="DX20" s="74">
        <f t="shared" si="29"/>
        <v>0</v>
      </c>
      <c r="DY20" s="71">
        <v>1</v>
      </c>
      <c r="DZ20" s="75">
        <f t="shared" si="30"/>
        <v>0</v>
      </c>
      <c r="EA20" s="61"/>
      <c r="EB20" s="61"/>
      <c r="EC20" s="72"/>
      <c r="ED20" s="72"/>
      <c r="EE20" s="71"/>
      <c r="EF20" s="76" t="e">
        <f t="shared" si="31"/>
        <v>#VALUE!</v>
      </c>
      <c r="EG20" s="76" t="e">
        <f t="shared" si="32"/>
        <v>#VALUE!</v>
      </c>
      <c r="EH20" s="77" t="str">
        <f t="shared" si="33"/>
        <v>ZERO-COUPON</v>
      </c>
      <c r="EI20" s="77" t="str">
        <f t="shared" si="34"/>
        <v>ZERO-COUPON</v>
      </c>
      <c r="EJ20" s="78">
        <f t="shared" si="35"/>
        <v>0</v>
      </c>
      <c r="EK20" s="61"/>
      <c r="EL20" s="61"/>
      <c r="EM20" s="61" t="s">
        <v>51</v>
      </c>
      <c r="EN20" s="73" t="e">
        <f t="shared" si="36"/>
        <v>#N/A</v>
      </c>
      <c r="EO20" s="61" t="s">
        <v>51</v>
      </c>
      <c r="EP20" s="73" t="e">
        <f t="shared" si="37"/>
        <v>#N/A</v>
      </c>
      <c r="EQ20" s="76" t="e">
        <f t="shared" si="38"/>
        <v>#VALUE!</v>
      </c>
      <c r="ER20" s="76" t="e">
        <f t="shared" si="39"/>
        <v>#VALUE!</v>
      </c>
      <c r="ES20" s="70" t="s">
        <v>80</v>
      </c>
      <c r="ET20" s="61"/>
      <c r="EU20" s="61"/>
      <c r="EV20" s="61" t="s">
        <v>62</v>
      </c>
      <c r="EW20" s="61"/>
      <c r="EX20" s="76" t="str">
        <f t="shared" si="40"/>
        <v>Type</v>
      </c>
      <c r="EZ20" s="61" t="s">
        <v>8</v>
      </c>
      <c r="FA20" s="66">
        <v>1000000</v>
      </c>
      <c r="FB20" s="61" t="s">
        <v>14</v>
      </c>
      <c r="FC20" s="61" t="s">
        <v>18</v>
      </c>
      <c r="FD20" s="73" t="e">
        <f t="shared" si="41"/>
        <v>#N/A</v>
      </c>
      <c r="FE20" s="73" t="e">
        <f t="shared" si="42"/>
        <v>#N/A</v>
      </c>
      <c r="FF20" s="41">
        <f t="shared" si="43"/>
        <v>0</v>
      </c>
      <c r="FG20" s="71">
        <v>1</v>
      </c>
      <c r="FH20" s="81"/>
      <c r="FI20" s="61" t="s">
        <v>32</v>
      </c>
      <c r="FJ20" s="61" t="s">
        <v>32</v>
      </c>
      <c r="FK20" s="72"/>
      <c r="FL20" s="72"/>
      <c r="FM20" s="71"/>
      <c r="FN20" s="76" t="e">
        <f t="shared" si="44"/>
        <v>#VALUE!</v>
      </c>
      <c r="FO20" s="76" t="e">
        <f t="shared" si="45"/>
        <v>#VALUE!</v>
      </c>
      <c r="FP20" s="73">
        <f t="shared" si="46"/>
        <v>0</v>
      </c>
      <c r="FQ20" s="73">
        <f t="shared" si="47"/>
        <v>0</v>
      </c>
      <c r="FR20" s="73" t="e">
        <f t="shared" si="48"/>
        <v>#N/A</v>
      </c>
      <c r="FS20" s="61" t="s">
        <v>58</v>
      </c>
      <c r="FT20" s="73" t="e">
        <f t="shared" si="49"/>
        <v>#N/A</v>
      </c>
      <c r="FU20" s="61" t="s">
        <v>51</v>
      </c>
      <c r="FV20" s="73" t="e">
        <f t="shared" si="50"/>
        <v>#N/A</v>
      </c>
      <c r="FW20" s="61" t="s">
        <v>51</v>
      </c>
      <c r="FX20" s="73" t="e">
        <f t="shared" si="51"/>
        <v>#N/A</v>
      </c>
      <c r="FY20" s="82"/>
      <c r="FZ20" s="82"/>
      <c r="GA20" s="70"/>
      <c r="GB20" s="61" t="s">
        <v>62</v>
      </c>
      <c r="GC20" s="61"/>
      <c r="GD20" s="61" t="s">
        <v>62</v>
      </c>
      <c r="GE20" s="61" t="s">
        <v>75</v>
      </c>
      <c r="GF20" s="82"/>
      <c r="GJ20" s="95">
        <f t="shared" si="52"/>
        <v>0</v>
      </c>
      <c r="GK20" s="42">
        <f>IF(LEFT(_xll.BDP($C20,GK$5),1)="#","#LOADING",_xll.BDP($C20,GK$5))</f>
        <v>0</v>
      </c>
      <c r="GL20" s="74">
        <f t="shared" si="53"/>
        <v>0</v>
      </c>
      <c r="GM20" s="74" t="e">
        <f t="shared" si="54"/>
        <v>#VALUE!</v>
      </c>
      <c r="GN20" s="64" t="s">
        <v>20</v>
      </c>
      <c r="GO20" s="42" t="b">
        <f>IF(LEFT(_xll.BDP($C20,GO$5),1)="#","#LOADING",IF(_xll.BDP($C20,GO$5)="CLEAN",TRUE,FALSE))</f>
        <v>0</v>
      </c>
      <c r="GP20" s="64" t="s">
        <v>26</v>
      </c>
      <c r="GQ20" s="61" t="s">
        <v>18</v>
      </c>
      <c r="GR20" s="65" t="s">
        <v>28</v>
      </c>
      <c r="GS20" s="66">
        <v>1000000</v>
      </c>
      <c r="GT20" s="96" t="e">
        <f>IF(LEFT(_xll.BDP($C20,GT$5),1)="#","#LOADING",DATEVALUE(_xll.BDP($C20,GT$5)))</f>
        <v>#VALUE!</v>
      </c>
      <c r="GU20" s="96" t="e">
        <f>IF(LEFT(_xll.BDP($C20,GU$5),1)="#","#LOADING",DATEVALUE(_xll.BDP($C20,GU$5)))</f>
        <v>#VALUE!</v>
      </c>
      <c r="GV20" s="96" t="e">
        <f>IF(LEFT(_xll.BDP($C20,GV$5),1)="#","#LOADING",DATEVALUE(_xll.BDP($C20,GV$5)))</f>
        <v>#VALUE!</v>
      </c>
      <c r="GW20" s="96" t="e">
        <f>IF(LEFT(_xll.BDP($C20,GW$5),1)="#","#LOADING",DATEVALUE(_xll.BDP($C20,GW$5)))</f>
        <v>#VALUE!</v>
      </c>
      <c r="GX20" s="96" t="e">
        <f>IF(LEFT(_xll.BDP($C20,GX$5),1)="#","#LOADING",DATEVALUE(_xll.BDP($C20,GX$5)))</f>
        <v>#VALUE!</v>
      </c>
      <c r="GY20" s="97">
        <f>IF(LEFT(_xll.BDP($C20,GY$5),1)="#","#LOADING",_xll.BDP($C20,GY$5)%)</f>
        <v>0</v>
      </c>
      <c r="GZ20" s="97" t="str">
        <f>IF(LEFT(_xll.BDP($C20,GZ$5),1)="#","#LOADING",VLOOKUP(_xll.BDP($C20,GZ$5),Static.CouponFrequency,2,FALSE))</f>
        <v>ZERO-COUPON</v>
      </c>
      <c r="HA20" s="68" t="s">
        <v>51</v>
      </c>
      <c r="HB20" s="73" t="e">
        <f t="shared" si="55"/>
        <v>#N/A</v>
      </c>
      <c r="HC20" s="61" t="s">
        <v>51</v>
      </c>
      <c r="HD20" s="73" t="e">
        <f t="shared" si="56"/>
        <v>#N/A</v>
      </c>
      <c r="HE20" s="61" t="s">
        <v>62</v>
      </c>
      <c r="HF20" s="43">
        <f>IF(LEFT(_xll.BDP($C20,HF$5),1)="#","#LOADING",_xll.BDP($C20,HF$5))</f>
        <v>0</v>
      </c>
      <c r="HG20" s="70"/>
      <c r="HH20" s="43" t="str">
        <f>IF(LEFT(_xll.BDP($C20,HH$5),1)="#","#LOADING","Type"&amp;IF(_xll.BDP($C20,HH$5)=999,1,_xll.BDP($C20,HH$5)))</f>
        <v>Type</v>
      </c>
    </row>
    <row r="21" spans="1:216">
      <c r="A21" s="101">
        <v>15</v>
      </c>
      <c r="B21" s="57"/>
      <c r="C21" s="57"/>
      <c r="D21" s="57"/>
      <c r="E21" s="57"/>
      <c r="F21" s="57"/>
      <c r="G21" s="57"/>
      <c r="H21" s="57"/>
      <c r="I21" s="57"/>
      <c r="J21" s="101">
        <v>15</v>
      </c>
      <c r="K21" s="58" t="s">
        <v>163</v>
      </c>
      <c r="L21" s="59" t="str">
        <f>IF(ISBLANK(M21),IF($G21="","",_xll.BDP(AB21&amp;" "&amp;$K21&amp;" Corp","PX_LAST")),M21)</f>
        <v/>
      </c>
      <c r="M21" s="60"/>
      <c r="N21" s="83" t="str">
        <f ca="1">IF(ISBLANK($O21),IF($G21="","",_xll.meLWOAssetSwapSpread($U21,$T21,$L21,INDIRECT("ValuationSettings"&amp;$CN21),INDIRECT("Fixings"&amp;$CN21&amp;IF($I21="QUARTERLY","3ML","6ML")))),$O21)</f>
        <v/>
      </c>
      <c r="O21" s="60"/>
      <c r="P21" s="84" t="str">
        <f ca="1">IF($C21="","",_xll.meLWOAssetSwapSpreadToCleanPrice($V21,$N21,INDIRECT("ValuationSettings"&amp;$DX21),INDIRECT("Fixings"&amp;$DX21&amp;IF($E21="QUARTERLY","3ML","6ML"))))</f>
        <v/>
      </c>
      <c r="Q21" s="84" t="str">
        <f ca="1">IF($C21="","",_xll.meLWOBondPriceFromCleanToDirty($W21,INDIRECT("ValuationDate"&amp;$D21),$P21))</f>
        <v/>
      </c>
      <c r="R21" s="98" t="str">
        <f ca="1">IF($C21="","",_xll.meLWOBondYield($W21,INDIRECT("ValuationDate"&amp;$D21),IF($GO21,$P21,$Q21)))</f>
        <v/>
      </c>
      <c r="S21" s="101">
        <v>15</v>
      </c>
      <c r="T21" s="53" t="str">
        <f>IF($G21="","",IF(LEFT(Z21,1)="#","#LOADING",_xll.meLWOBondCreateFromLVB("PROXY_BOND_"&amp;$AB21,_xll.meUtilityLVBFromKeysValues($Y$6:$AW$6,$Y21:$AW21))))</f>
        <v/>
      </c>
      <c r="U21" s="53" t="str">
        <f>IF($G21="","",_xll.meLWOSwapCreate("PROXY_ASW_"&amp;$AB21,_xll.meUtilityLVBFromKeysAndMultipleValues($AZ$6:$CF$6,$AZ21:$CF21,$CH21:$DN21)))</f>
        <v/>
      </c>
      <c r="V21" s="53" t="str">
        <f>IF($C21="","",_xll.meLWOSwapCreate("BOND_ASW_"&amp;$GM21,_xll.meUtilityLVBFromKeysAndMultipleValues($DR$6:$EX$6,$DR21:$EX21,$EZ21:$GF21)))</f>
        <v/>
      </c>
      <c r="W21" s="53" t="str">
        <f>IF($C21="","",IF(LEFT(GK21,1)="#","#LOADING",_xll.meLWOBondCreateFromLVB("PROXY_BOND_"&amp;$GM21,_xll.meUtilityLVBFromKeysValues($GJ$6:$HH$6,$GJ21:$HH21))))</f>
        <v/>
      </c>
      <c r="X21" t="s">
        <v>0</v>
      </c>
      <c r="Y21" s="62">
        <f t="shared" si="0"/>
        <v>0</v>
      </c>
      <c r="Z21" s="63">
        <f>IF(LEFT(_xll.BDP($G21,Z$5),1)="#","#LOADING",_xll.BDP($G21,Z$5))</f>
        <v>0</v>
      </c>
      <c r="AA21" s="41">
        <f t="shared" si="1"/>
        <v>0</v>
      </c>
      <c r="AB21" s="63">
        <f>IF(LEFT(_xll.BDP($G21,AB$5),1)="#","#LOADING",_xll.BDP($G21,AB$5))</f>
        <v>0</v>
      </c>
      <c r="AC21" s="64" t="s">
        <v>20</v>
      </c>
      <c r="AD21" s="63" t="b">
        <f>IF(LEFT(_xll.BDP($G21,AD$5),1)="#","#LOADING",IF(_xll.BDP($G21,AD$5)="CLEAN",TRUE,FALSE))</f>
        <v>0</v>
      </c>
      <c r="AE21" s="64" t="s">
        <v>26</v>
      </c>
      <c r="AF21" s="61" t="s">
        <v>18</v>
      </c>
      <c r="AG21" s="65" t="s">
        <v>28</v>
      </c>
      <c r="AH21" s="66">
        <v>1000000</v>
      </c>
      <c r="AI21" s="63" t="e">
        <f>IF(LEFT(_xll.BDP($G21,AI$5),1)="#","#LOADING",DATEVALUE(_xll.BDP($G21,AI$5)))</f>
        <v>#VALUE!</v>
      </c>
      <c r="AJ21" s="63" t="e">
        <f>IF(LEFT(_xll.BDP($G21,AJ$5),1)="#","#LOADING",DATEVALUE(_xll.BDP($G21,AJ$5)))</f>
        <v>#VALUE!</v>
      </c>
      <c r="AK21" s="63" t="e">
        <f>IF(LEFT(_xll.BDP($G21,AK$5),1)="#","#LOADING",DATEVALUE(_xll.BDP($G21,AK$5)))</f>
        <v>#VALUE!</v>
      </c>
      <c r="AL21" s="63" t="e">
        <f>IF(LEFT(_xll.BDP($G21,AL$5),1)="#","#LOADING",DATEVALUE(_xll.BDP($G21,AL$5)))</f>
        <v>#VALUE!</v>
      </c>
      <c r="AM21" s="63" t="e">
        <f>IF(LEFT(_xll.BDP($G21,AM$5),1)="#","#LOADING",DATEVALUE(_xll.BDP($G21,AM$5)))</f>
        <v>#VALUE!</v>
      </c>
      <c r="AN21" s="67">
        <f>IF(LEFT(_xll.BDP($G21,AN$5),1)="#","#LOADING",_xll.BDP($G21,AN$5)%)</f>
        <v>0</v>
      </c>
      <c r="AO21" s="67" t="str">
        <f>IF(LEFT(_xll.BDP($G21,AO$5),1)="#","#LOADING",VLOOKUP(_xll.BDP($G21,AO$5),Static.CouponFrequency,2,FALSE))</f>
        <v>ZERO-COUPON</v>
      </c>
      <c r="AP21" s="68" t="s">
        <v>51</v>
      </c>
      <c r="AQ21" s="53" t="e">
        <f t="shared" si="2"/>
        <v>#N/A</v>
      </c>
      <c r="AR21" s="61" t="s">
        <v>51</v>
      </c>
      <c r="AS21" s="53" t="e">
        <f t="shared" si="3"/>
        <v>#N/A</v>
      </c>
      <c r="AT21" s="61" t="s">
        <v>62</v>
      </c>
      <c r="AU21" s="69">
        <f>IF(LEFT(_xll.BDP($G21,AU$5),1)="#","#LOADING",_xll.BDP($G21,AU$5))</f>
        <v>0</v>
      </c>
      <c r="AV21" s="70"/>
      <c r="AW21" s="69" t="str">
        <f>IF(LEFT(_xll.BDP($G21,AW$5),1)="#","#LOADING","Type"&amp;IF(_xll.BDP($G21,AW$5)=999,1,_xll.BDP($G21,AW$5)))</f>
        <v>Type</v>
      </c>
      <c r="AX21" s="54"/>
      <c r="AZ21" s="61" t="s">
        <v>7</v>
      </c>
      <c r="BA21" s="66">
        <v>1000000</v>
      </c>
      <c r="BB21" s="61" t="s">
        <v>14</v>
      </c>
      <c r="BC21" s="61" t="s">
        <v>17</v>
      </c>
      <c r="BD21" s="70"/>
      <c r="BE21" s="73" t="e">
        <f t="shared" si="4"/>
        <v>#N/A</v>
      </c>
      <c r="BF21" s="74">
        <f t="shared" si="5"/>
        <v>0</v>
      </c>
      <c r="BG21" s="71">
        <v>1</v>
      </c>
      <c r="BH21" s="75">
        <f t="shared" si="6"/>
        <v>0</v>
      </c>
      <c r="BI21" s="61"/>
      <c r="BJ21" s="61"/>
      <c r="BK21" s="72"/>
      <c r="BL21" s="72"/>
      <c r="BM21" s="71"/>
      <c r="BN21" s="76" t="e">
        <f t="shared" si="7"/>
        <v>#VALUE!</v>
      </c>
      <c r="BO21" s="76" t="e">
        <f t="shared" si="8"/>
        <v>#VALUE!</v>
      </c>
      <c r="BP21" s="77" t="str">
        <f t="shared" si="9"/>
        <v>ZERO-COUPON</v>
      </c>
      <c r="BQ21" s="77" t="str">
        <f t="shared" si="10"/>
        <v>ZERO-COUPON</v>
      </c>
      <c r="BR21" s="78">
        <f t="shared" si="11"/>
        <v>0</v>
      </c>
      <c r="BS21" s="61"/>
      <c r="BT21" s="61"/>
      <c r="BU21" s="61" t="s">
        <v>51</v>
      </c>
      <c r="BV21" s="73" t="e">
        <f t="shared" si="12"/>
        <v>#N/A</v>
      </c>
      <c r="BW21" s="61" t="s">
        <v>51</v>
      </c>
      <c r="BX21" s="73" t="e">
        <f t="shared" si="13"/>
        <v>#N/A</v>
      </c>
      <c r="BY21" s="76" t="e">
        <f t="shared" si="14"/>
        <v>#VALUE!</v>
      </c>
      <c r="BZ21" s="76" t="e">
        <f t="shared" si="15"/>
        <v>#VALUE!</v>
      </c>
      <c r="CA21" s="70" t="s">
        <v>80</v>
      </c>
      <c r="CB21" s="61"/>
      <c r="CC21" s="61"/>
      <c r="CD21" s="61" t="s">
        <v>62</v>
      </c>
      <c r="CE21" s="61"/>
      <c r="CF21" s="76" t="str">
        <f t="shared" si="16"/>
        <v>Type</v>
      </c>
      <c r="CH21" s="61" t="s">
        <v>8</v>
      </c>
      <c r="CI21" s="66">
        <v>1000000</v>
      </c>
      <c r="CJ21" s="61" t="s">
        <v>14</v>
      </c>
      <c r="CK21" s="61" t="s">
        <v>18</v>
      </c>
      <c r="CL21" s="53" t="e">
        <f t="shared" si="17"/>
        <v>#N/A</v>
      </c>
      <c r="CM21" s="53" t="e">
        <f t="shared" si="18"/>
        <v>#N/A</v>
      </c>
      <c r="CN21" s="41">
        <f t="shared" si="19"/>
        <v>0</v>
      </c>
      <c r="CO21" s="71">
        <v>1</v>
      </c>
      <c r="CP21" s="81"/>
      <c r="CQ21" s="61" t="s">
        <v>32</v>
      </c>
      <c r="CR21" s="61" t="s">
        <v>32</v>
      </c>
      <c r="CS21" s="72"/>
      <c r="CT21" s="72"/>
      <c r="CU21" s="71"/>
      <c r="CV21" s="82" t="e">
        <f t="shared" si="20"/>
        <v>#VALUE!</v>
      </c>
      <c r="CW21" s="82" t="e">
        <f t="shared" si="21"/>
        <v>#VALUE!</v>
      </c>
      <c r="CX21" s="53">
        <f t="shared" si="22"/>
        <v>0</v>
      </c>
      <c r="CY21" s="53">
        <f t="shared" si="23"/>
        <v>0</v>
      </c>
      <c r="CZ21" s="53" t="e">
        <f t="shared" si="24"/>
        <v>#N/A</v>
      </c>
      <c r="DA21" s="61" t="s">
        <v>58</v>
      </c>
      <c r="DB21" s="53" t="e">
        <f t="shared" si="25"/>
        <v>#N/A</v>
      </c>
      <c r="DC21" s="61" t="s">
        <v>51</v>
      </c>
      <c r="DD21" s="53" t="e">
        <f t="shared" si="26"/>
        <v>#N/A</v>
      </c>
      <c r="DE21" s="61" t="s">
        <v>51</v>
      </c>
      <c r="DF21" s="53" t="e">
        <f t="shared" si="27"/>
        <v>#N/A</v>
      </c>
      <c r="DG21" s="82"/>
      <c r="DH21" s="82"/>
      <c r="DI21" s="70"/>
      <c r="DJ21" s="61" t="s">
        <v>62</v>
      </c>
      <c r="DK21" s="61"/>
      <c r="DL21" s="61" t="s">
        <v>62</v>
      </c>
      <c r="DM21" s="61" t="s">
        <v>75</v>
      </c>
      <c r="DN21" s="82"/>
      <c r="DR21" s="61" t="s">
        <v>7</v>
      </c>
      <c r="DS21" s="66">
        <v>1000000</v>
      </c>
      <c r="DT21" s="61" t="s">
        <v>14</v>
      </c>
      <c r="DU21" s="61" t="s">
        <v>17</v>
      </c>
      <c r="DV21" s="70"/>
      <c r="DW21" s="73" t="e">
        <f t="shared" si="28"/>
        <v>#N/A</v>
      </c>
      <c r="DX21" s="74">
        <f t="shared" si="29"/>
        <v>0</v>
      </c>
      <c r="DY21" s="71">
        <v>1</v>
      </c>
      <c r="DZ21" s="75">
        <f t="shared" si="30"/>
        <v>0</v>
      </c>
      <c r="EA21" s="61"/>
      <c r="EB21" s="61"/>
      <c r="EC21" s="72"/>
      <c r="ED21" s="72"/>
      <c r="EE21" s="71"/>
      <c r="EF21" s="76" t="e">
        <f t="shared" si="31"/>
        <v>#VALUE!</v>
      </c>
      <c r="EG21" s="76" t="e">
        <f t="shared" si="32"/>
        <v>#VALUE!</v>
      </c>
      <c r="EH21" s="77" t="str">
        <f t="shared" si="33"/>
        <v>ZERO-COUPON</v>
      </c>
      <c r="EI21" s="77" t="str">
        <f t="shared" si="34"/>
        <v>ZERO-COUPON</v>
      </c>
      <c r="EJ21" s="78">
        <f t="shared" si="35"/>
        <v>0</v>
      </c>
      <c r="EK21" s="61"/>
      <c r="EL21" s="61"/>
      <c r="EM21" s="61" t="s">
        <v>51</v>
      </c>
      <c r="EN21" s="73" t="e">
        <f t="shared" si="36"/>
        <v>#N/A</v>
      </c>
      <c r="EO21" s="61" t="s">
        <v>51</v>
      </c>
      <c r="EP21" s="73" t="e">
        <f t="shared" si="37"/>
        <v>#N/A</v>
      </c>
      <c r="EQ21" s="76" t="e">
        <f t="shared" si="38"/>
        <v>#VALUE!</v>
      </c>
      <c r="ER21" s="76" t="e">
        <f t="shared" si="39"/>
        <v>#VALUE!</v>
      </c>
      <c r="ES21" s="70" t="s">
        <v>80</v>
      </c>
      <c r="ET21" s="61"/>
      <c r="EU21" s="61"/>
      <c r="EV21" s="61" t="s">
        <v>62</v>
      </c>
      <c r="EW21" s="61"/>
      <c r="EX21" s="76" t="str">
        <f t="shared" si="40"/>
        <v>Type</v>
      </c>
      <c r="EZ21" s="61" t="s">
        <v>8</v>
      </c>
      <c r="FA21" s="66">
        <v>1000000</v>
      </c>
      <c r="FB21" s="61" t="s">
        <v>14</v>
      </c>
      <c r="FC21" s="61" t="s">
        <v>18</v>
      </c>
      <c r="FD21" s="73" t="e">
        <f t="shared" si="41"/>
        <v>#N/A</v>
      </c>
      <c r="FE21" s="73" t="e">
        <f t="shared" si="42"/>
        <v>#N/A</v>
      </c>
      <c r="FF21" s="41">
        <f t="shared" si="43"/>
        <v>0</v>
      </c>
      <c r="FG21" s="71">
        <v>1</v>
      </c>
      <c r="FH21" s="81"/>
      <c r="FI21" s="61" t="s">
        <v>32</v>
      </c>
      <c r="FJ21" s="61" t="s">
        <v>32</v>
      </c>
      <c r="FK21" s="72"/>
      <c r="FL21" s="72"/>
      <c r="FM21" s="71"/>
      <c r="FN21" s="76" t="e">
        <f t="shared" si="44"/>
        <v>#VALUE!</v>
      </c>
      <c r="FO21" s="76" t="e">
        <f t="shared" si="45"/>
        <v>#VALUE!</v>
      </c>
      <c r="FP21" s="73">
        <f t="shared" si="46"/>
        <v>0</v>
      </c>
      <c r="FQ21" s="73">
        <f t="shared" si="47"/>
        <v>0</v>
      </c>
      <c r="FR21" s="73" t="e">
        <f t="shared" si="48"/>
        <v>#N/A</v>
      </c>
      <c r="FS21" s="61" t="s">
        <v>58</v>
      </c>
      <c r="FT21" s="73" t="e">
        <f t="shared" si="49"/>
        <v>#N/A</v>
      </c>
      <c r="FU21" s="61" t="s">
        <v>51</v>
      </c>
      <c r="FV21" s="73" t="e">
        <f t="shared" si="50"/>
        <v>#N/A</v>
      </c>
      <c r="FW21" s="61" t="s">
        <v>51</v>
      </c>
      <c r="FX21" s="73" t="e">
        <f t="shared" si="51"/>
        <v>#N/A</v>
      </c>
      <c r="FY21" s="82"/>
      <c r="FZ21" s="82"/>
      <c r="GA21" s="70"/>
      <c r="GB21" s="61" t="s">
        <v>62</v>
      </c>
      <c r="GC21" s="61"/>
      <c r="GD21" s="61" t="s">
        <v>62</v>
      </c>
      <c r="GE21" s="61" t="s">
        <v>75</v>
      </c>
      <c r="GF21" s="82"/>
      <c r="GJ21" s="95">
        <f t="shared" si="52"/>
        <v>0</v>
      </c>
      <c r="GK21" s="42">
        <f>IF(LEFT(_xll.BDP($C21,GK$5),1)="#","#LOADING",_xll.BDP($C21,GK$5))</f>
        <v>0</v>
      </c>
      <c r="GL21" s="74">
        <f t="shared" si="53"/>
        <v>0</v>
      </c>
      <c r="GM21" s="74" t="e">
        <f t="shared" si="54"/>
        <v>#VALUE!</v>
      </c>
      <c r="GN21" s="64" t="s">
        <v>20</v>
      </c>
      <c r="GO21" s="42" t="b">
        <f>IF(LEFT(_xll.BDP($C21,GO$5),1)="#","#LOADING",IF(_xll.BDP($C21,GO$5)="CLEAN",TRUE,FALSE))</f>
        <v>0</v>
      </c>
      <c r="GP21" s="64" t="s">
        <v>26</v>
      </c>
      <c r="GQ21" s="61" t="s">
        <v>18</v>
      </c>
      <c r="GR21" s="65" t="s">
        <v>28</v>
      </c>
      <c r="GS21" s="66">
        <v>1000000</v>
      </c>
      <c r="GT21" s="96" t="e">
        <f>IF(LEFT(_xll.BDP($C21,GT$5),1)="#","#LOADING",DATEVALUE(_xll.BDP($C21,GT$5)))</f>
        <v>#VALUE!</v>
      </c>
      <c r="GU21" s="96" t="e">
        <f>IF(LEFT(_xll.BDP($C21,GU$5),1)="#","#LOADING",DATEVALUE(_xll.BDP($C21,GU$5)))</f>
        <v>#VALUE!</v>
      </c>
      <c r="GV21" s="96" t="e">
        <f>IF(LEFT(_xll.BDP($C21,GV$5),1)="#","#LOADING",DATEVALUE(_xll.BDP($C21,GV$5)))</f>
        <v>#VALUE!</v>
      </c>
      <c r="GW21" s="96" t="e">
        <f>IF(LEFT(_xll.BDP($C21,GW$5),1)="#","#LOADING",DATEVALUE(_xll.BDP($C21,GW$5)))</f>
        <v>#VALUE!</v>
      </c>
      <c r="GX21" s="96" t="e">
        <f>IF(LEFT(_xll.BDP($C21,GX$5),1)="#","#LOADING",DATEVALUE(_xll.BDP($C21,GX$5)))</f>
        <v>#VALUE!</v>
      </c>
      <c r="GY21" s="97">
        <f>IF(LEFT(_xll.BDP($C21,GY$5),1)="#","#LOADING",_xll.BDP($C21,GY$5)%)</f>
        <v>0</v>
      </c>
      <c r="GZ21" s="97" t="str">
        <f>IF(LEFT(_xll.BDP($C21,GZ$5),1)="#","#LOADING",VLOOKUP(_xll.BDP($C21,GZ$5),Static.CouponFrequency,2,FALSE))</f>
        <v>ZERO-COUPON</v>
      </c>
      <c r="HA21" s="68" t="s">
        <v>51</v>
      </c>
      <c r="HB21" s="73" t="e">
        <f t="shared" si="55"/>
        <v>#N/A</v>
      </c>
      <c r="HC21" s="61" t="s">
        <v>51</v>
      </c>
      <c r="HD21" s="73" t="e">
        <f t="shared" si="56"/>
        <v>#N/A</v>
      </c>
      <c r="HE21" s="61" t="s">
        <v>62</v>
      </c>
      <c r="HF21" s="43">
        <f>IF(LEFT(_xll.BDP($C21,HF$5),1)="#","#LOADING",_xll.BDP($C21,HF$5))</f>
        <v>0</v>
      </c>
      <c r="HG21" s="70"/>
      <c r="HH21" s="43" t="str">
        <f>IF(LEFT(_xll.BDP($C21,HH$5),1)="#","#LOADING","Type"&amp;IF(_xll.BDP($C21,HH$5)=999,1,_xll.BDP($C21,HH$5)))</f>
        <v>Type</v>
      </c>
    </row>
    <row r="22" spans="1:216">
      <c r="A22" s="101">
        <v>16</v>
      </c>
      <c r="B22" s="57"/>
      <c r="C22" s="57"/>
      <c r="D22" s="57"/>
      <c r="E22" s="57"/>
      <c r="F22" s="57"/>
      <c r="G22" s="57"/>
      <c r="H22" s="57"/>
      <c r="I22" s="57"/>
      <c r="J22" s="101">
        <v>16</v>
      </c>
      <c r="K22" s="58" t="s">
        <v>163</v>
      </c>
      <c r="L22" s="59" t="str">
        <f>IF(ISBLANK(M22),IF($G22="","",_xll.BDP(AB22&amp;" "&amp;$K22&amp;" Corp","PX_LAST")),M22)</f>
        <v/>
      </c>
      <c r="M22" s="60"/>
      <c r="N22" s="83" t="str">
        <f ca="1">IF(ISBLANK($O22),IF($G22="","",_xll.meLWOAssetSwapSpread($U22,$T22,$L22,INDIRECT("ValuationSettings"&amp;$CN22),INDIRECT("Fixings"&amp;$CN22&amp;IF($I22="QUARTERLY","3ML","6ML")))),$O22)</f>
        <v/>
      </c>
      <c r="O22" s="60"/>
      <c r="P22" s="84" t="str">
        <f ca="1">IF($C22="","",_xll.meLWOAssetSwapSpreadToCleanPrice($V22,$N22,INDIRECT("ValuationSettings"&amp;$DX22),INDIRECT("Fixings"&amp;$DX22&amp;IF($E22="QUARTERLY","3ML","6ML"))))</f>
        <v/>
      </c>
      <c r="Q22" s="84" t="str">
        <f ca="1">IF($C22="","",_xll.meLWOBondPriceFromCleanToDirty($W22,INDIRECT("ValuationDate"&amp;$D22),$P22))</f>
        <v/>
      </c>
      <c r="R22" s="98" t="str">
        <f ca="1">IF($C22="","",_xll.meLWOBondYield($W22,INDIRECT("ValuationDate"&amp;$D22),IF($GO22,$P22,$Q22)))</f>
        <v/>
      </c>
      <c r="S22" s="101">
        <v>16</v>
      </c>
      <c r="T22" s="53" t="str">
        <f>IF($G22="","",IF(LEFT(Z22,1)="#","#LOADING",_xll.meLWOBondCreateFromLVB("PROXY_BOND_"&amp;$AB22,_xll.meUtilityLVBFromKeysValues($Y$6:$AW$6,$Y22:$AW22))))</f>
        <v/>
      </c>
      <c r="U22" s="53" t="str">
        <f>IF($G22="","",_xll.meLWOSwapCreate("PROXY_ASW_"&amp;$AB22,_xll.meUtilityLVBFromKeysAndMultipleValues($AZ$6:$CF$6,$AZ22:$CF22,$CH22:$DN22)))</f>
        <v/>
      </c>
      <c r="V22" s="53" t="str">
        <f>IF($C22="","",_xll.meLWOSwapCreate("BOND_ASW_"&amp;$GM22,_xll.meUtilityLVBFromKeysAndMultipleValues($DR$6:$EX$6,$DR22:$EX22,$EZ22:$GF22)))</f>
        <v/>
      </c>
      <c r="W22" s="53" t="str">
        <f>IF($C22="","",IF(LEFT(GK22,1)="#","#LOADING",_xll.meLWOBondCreateFromLVB("PROXY_BOND_"&amp;$GM22,_xll.meUtilityLVBFromKeysValues($GJ$6:$HH$6,$GJ22:$HH22))))</f>
        <v/>
      </c>
      <c r="X22" t="s">
        <v>0</v>
      </c>
      <c r="Y22" s="62">
        <f t="shared" si="0"/>
        <v>0</v>
      </c>
      <c r="Z22" s="63">
        <f>IF(LEFT(_xll.BDP($G22,Z$5),1)="#","#LOADING",_xll.BDP($G22,Z$5))</f>
        <v>0</v>
      </c>
      <c r="AA22" s="41">
        <f t="shared" si="1"/>
        <v>0</v>
      </c>
      <c r="AB22" s="63">
        <f>IF(LEFT(_xll.BDP($G22,AB$5),1)="#","#LOADING",_xll.BDP($G22,AB$5))</f>
        <v>0</v>
      </c>
      <c r="AC22" s="64" t="s">
        <v>20</v>
      </c>
      <c r="AD22" s="63" t="b">
        <f>IF(LEFT(_xll.BDP($G22,AD$5),1)="#","#LOADING",IF(_xll.BDP($G22,AD$5)="CLEAN",TRUE,FALSE))</f>
        <v>0</v>
      </c>
      <c r="AE22" s="64" t="s">
        <v>26</v>
      </c>
      <c r="AF22" s="61" t="s">
        <v>18</v>
      </c>
      <c r="AG22" s="65" t="s">
        <v>28</v>
      </c>
      <c r="AH22" s="66">
        <v>1000000</v>
      </c>
      <c r="AI22" s="63" t="e">
        <f>IF(LEFT(_xll.BDP($G22,AI$5),1)="#","#LOADING",DATEVALUE(_xll.BDP($G22,AI$5)))</f>
        <v>#VALUE!</v>
      </c>
      <c r="AJ22" s="63" t="e">
        <f>IF(LEFT(_xll.BDP($G22,AJ$5),1)="#","#LOADING",DATEVALUE(_xll.BDP($G22,AJ$5)))</f>
        <v>#VALUE!</v>
      </c>
      <c r="AK22" s="63" t="e">
        <f>IF(LEFT(_xll.BDP($G22,AK$5),1)="#","#LOADING",DATEVALUE(_xll.BDP($G22,AK$5)))</f>
        <v>#VALUE!</v>
      </c>
      <c r="AL22" s="63" t="e">
        <f>IF(LEFT(_xll.BDP($G22,AL$5),1)="#","#LOADING",DATEVALUE(_xll.BDP($G22,AL$5)))</f>
        <v>#VALUE!</v>
      </c>
      <c r="AM22" s="63" t="e">
        <f>IF(LEFT(_xll.BDP($G22,AM$5),1)="#","#LOADING",DATEVALUE(_xll.BDP($G22,AM$5)))</f>
        <v>#VALUE!</v>
      </c>
      <c r="AN22" s="67">
        <f>IF(LEFT(_xll.BDP($G22,AN$5),1)="#","#LOADING",_xll.BDP($G22,AN$5)%)</f>
        <v>0</v>
      </c>
      <c r="AO22" s="67" t="str">
        <f>IF(LEFT(_xll.BDP($G22,AO$5),1)="#","#LOADING",VLOOKUP(_xll.BDP($G22,AO$5),Static.CouponFrequency,2,FALSE))</f>
        <v>ZERO-COUPON</v>
      </c>
      <c r="AP22" s="68" t="s">
        <v>51</v>
      </c>
      <c r="AQ22" s="53" t="e">
        <f t="shared" si="2"/>
        <v>#N/A</v>
      </c>
      <c r="AR22" s="61" t="s">
        <v>51</v>
      </c>
      <c r="AS22" s="53" t="e">
        <f t="shared" si="3"/>
        <v>#N/A</v>
      </c>
      <c r="AT22" s="61" t="s">
        <v>62</v>
      </c>
      <c r="AU22" s="69">
        <f>IF(LEFT(_xll.BDP($G22,AU$5),1)="#","#LOADING",_xll.BDP($G22,AU$5))</f>
        <v>0</v>
      </c>
      <c r="AV22" s="70"/>
      <c r="AW22" s="69" t="str">
        <f>IF(LEFT(_xll.BDP($G22,AW$5),1)="#","#LOADING","Type"&amp;IF(_xll.BDP($G22,AW$5)=999,1,_xll.BDP($G22,AW$5)))</f>
        <v>Type</v>
      </c>
      <c r="AX22" s="54"/>
      <c r="AZ22" s="61" t="s">
        <v>7</v>
      </c>
      <c r="BA22" s="66">
        <v>1000000</v>
      </c>
      <c r="BB22" s="61" t="s">
        <v>14</v>
      </c>
      <c r="BC22" s="61" t="s">
        <v>17</v>
      </c>
      <c r="BD22" s="70"/>
      <c r="BE22" s="73" t="e">
        <f t="shared" si="4"/>
        <v>#N/A</v>
      </c>
      <c r="BF22" s="74">
        <f t="shared" si="5"/>
        <v>0</v>
      </c>
      <c r="BG22" s="71">
        <v>1</v>
      </c>
      <c r="BH22" s="75">
        <f t="shared" si="6"/>
        <v>0</v>
      </c>
      <c r="BI22" s="61"/>
      <c r="BJ22" s="61"/>
      <c r="BK22" s="72"/>
      <c r="BL22" s="72"/>
      <c r="BM22" s="71"/>
      <c r="BN22" s="76" t="e">
        <f t="shared" si="7"/>
        <v>#VALUE!</v>
      </c>
      <c r="BO22" s="76" t="e">
        <f t="shared" si="8"/>
        <v>#VALUE!</v>
      </c>
      <c r="BP22" s="77" t="str">
        <f t="shared" si="9"/>
        <v>ZERO-COUPON</v>
      </c>
      <c r="BQ22" s="77" t="str">
        <f t="shared" si="10"/>
        <v>ZERO-COUPON</v>
      </c>
      <c r="BR22" s="78">
        <f t="shared" si="11"/>
        <v>0</v>
      </c>
      <c r="BS22" s="61"/>
      <c r="BT22" s="61"/>
      <c r="BU22" s="61" t="s">
        <v>51</v>
      </c>
      <c r="BV22" s="73" t="e">
        <f t="shared" si="12"/>
        <v>#N/A</v>
      </c>
      <c r="BW22" s="61" t="s">
        <v>51</v>
      </c>
      <c r="BX22" s="73" t="e">
        <f t="shared" si="13"/>
        <v>#N/A</v>
      </c>
      <c r="BY22" s="76" t="e">
        <f t="shared" si="14"/>
        <v>#VALUE!</v>
      </c>
      <c r="BZ22" s="76" t="e">
        <f t="shared" si="15"/>
        <v>#VALUE!</v>
      </c>
      <c r="CA22" s="70" t="s">
        <v>80</v>
      </c>
      <c r="CB22" s="61"/>
      <c r="CC22" s="61"/>
      <c r="CD22" s="61" t="s">
        <v>62</v>
      </c>
      <c r="CE22" s="61"/>
      <c r="CF22" s="76" t="str">
        <f t="shared" si="16"/>
        <v>Type</v>
      </c>
      <c r="CH22" s="61" t="s">
        <v>8</v>
      </c>
      <c r="CI22" s="66">
        <v>1000000</v>
      </c>
      <c r="CJ22" s="61" t="s">
        <v>14</v>
      </c>
      <c r="CK22" s="61" t="s">
        <v>18</v>
      </c>
      <c r="CL22" s="53" t="e">
        <f t="shared" si="17"/>
        <v>#N/A</v>
      </c>
      <c r="CM22" s="53" t="e">
        <f t="shared" si="18"/>
        <v>#N/A</v>
      </c>
      <c r="CN22" s="41">
        <f t="shared" si="19"/>
        <v>0</v>
      </c>
      <c r="CO22" s="71">
        <v>1</v>
      </c>
      <c r="CP22" s="81"/>
      <c r="CQ22" s="61" t="s">
        <v>32</v>
      </c>
      <c r="CR22" s="61" t="s">
        <v>32</v>
      </c>
      <c r="CS22" s="72"/>
      <c r="CT22" s="72"/>
      <c r="CU22" s="71"/>
      <c r="CV22" s="82" t="e">
        <f t="shared" si="20"/>
        <v>#VALUE!</v>
      </c>
      <c r="CW22" s="82" t="e">
        <f t="shared" si="21"/>
        <v>#VALUE!</v>
      </c>
      <c r="CX22" s="53">
        <f t="shared" si="22"/>
        <v>0</v>
      </c>
      <c r="CY22" s="53">
        <f t="shared" si="23"/>
        <v>0</v>
      </c>
      <c r="CZ22" s="53" t="e">
        <f t="shared" si="24"/>
        <v>#N/A</v>
      </c>
      <c r="DA22" s="61" t="s">
        <v>58</v>
      </c>
      <c r="DB22" s="53" t="e">
        <f t="shared" si="25"/>
        <v>#N/A</v>
      </c>
      <c r="DC22" s="61" t="s">
        <v>51</v>
      </c>
      <c r="DD22" s="53" t="e">
        <f t="shared" si="26"/>
        <v>#N/A</v>
      </c>
      <c r="DE22" s="61" t="s">
        <v>51</v>
      </c>
      <c r="DF22" s="53" t="e">
        <f t="shared" si="27"/>
        <v>#N/A</v>
      </c>
      <c r="DG22" s="82"/>
      <c r="DH22" s="82"/>
      <c r="DI22" s="70"/>
      <c r="DJ22" s="61" t="s">
        <v>62</v>
      </c>
      <c r="DK22" s="61"/>
      <c r="DL22" s="61" t="s">
        <v>62</v>
      </c>
      <c r="DM22" s="61" t="s">
        <v>75</v>
      </c>
      <c r="DN22" s="82"/>
      <c r="DR22" s="61" t="s">
        <v>7</v>
      </c>
      <c r="DS22" s="66">
        <v>1000000</v>
      </c>
      <c r="DT22" s="61" t="s">
        <v>14</v>
      </c>
      <c r="DU22" s="61" t="s">
        <v>17</v>
      </c>
      <c r="DV22" s="70"/>
      <c r="DW22" s="73" t="e">
        <f t="shared" si="28"/>
        <v>#N/A</v>
      </c>
      <c r="DX22" s="74">
        <f t="shared" si="29"/>
        <v>0</v>
      </c>
      <c r="DY22" s="71">
        <v>1</v>
      </c>
      <c r="DZ22" s="75">
        <f t="shared" si="30"/>
        <v>0</v>
      </c>
      <c r="EA22" s="61"/>
      <c r="EB22" s="61"/>
      <c r="EC22" s="72"/>
      <c r="ED22" s="72"/>
      <c r="EE22" s="71"/>
      <c r="EF22" s="76" t="e">
        <f t="shared" si="31"/>
        <v>#VALUE!</v>
      </c>
      <c r="EG22" s="76" t="e">
        <f t="shared" si="32"/>
        <v>#VALUE!</v>
      </c>
      <c r="EH22" s="77" t="str">
        <f t="shared" si="33"/>
        <v>ZERO-COUPON</v>
      </c>
      <c r="EI22" s="77" t="str">
        <f t="shared" si="34"/>
        <v>ZERO-COUPON</v>
      </c>
      <c r="EJ22" s="78">
        <f t="shared" si="35"/>
        <v>0</v>
      </c>
      <c r="EK22" s="61"/>
      <c r="EL22" s="61"/>
      <c r="EM22" s="61" t="s">
        <v>51</v>
      </c>
      <c r="EN22" s="73" t="e">
        <f t="shared" si="36"/>
        <v>#N/A</v>
      </c>
      <c r="EO22" s="61" t="s">
        <v>51</v>
      </c>
      <c r="EP22" s="73" t="e">
        <f t="shared" si="37"/>
        <v>#N/A</v>
      </c>
      <c r="EQ22" s="76" t="e">
        <f t="shared" si="38"/>
        <v>#VALUE!</v>
      </c>
      <c r="ER22" s="76" t="e">
        <f t="shared" si="39"/>
        <v>#VALUE!</v>
      </c>
      <c r="ES22" s="70" t="s">
        <v>80</v>
      </c>
      <c r="ET22" s="61"/>
      <c r="EU22" s="61"/>
      <c r="EV22" s="61" t="s">
        <v>62</v>
      </c>
      <c r="EW22" s="61"/>
      <c r="EX22" s="76" t="str">
        <f t="shared" si="40"/>
        <v>Type</v>
      </c>
      <c r="EZ22" s="61" t="s">
        <v>8</v>
      </c>
      <c r="FA22" s="66">
        <v>1000000</v>
      </c>
      <c r="FB22" s="61" t="s">
        <v>14</v>
      </c>
      <c r="FC22" s="61" t="s">
        <v>18</v>
      </c>
      <c r="FD22" s="73" t="e">
        <f t="shared" si="41"/>
        <v>#N/A</v>
      </c>
      <c r="FE22" s="73" t="e">
        <f t="shared" si="42"/>
        <v>#N/A</v>
      </c>
      <c r="FF22" s="41">
        <f t="shared" si="43"/>
        <v>0</v>
      </c>
      <c r="FG22" s="71">
        <v>1</v>
      </c>
      <c r="FH22" s="81"/>
      <c r="FI22" s="61" t="s">
        <v>32</v>
      </c>
      <c r="FJ22" s="61" t="s">
        <v>32</v>
      </c>
      <c r="FK22" s="72"/>
      <c r="FL22" s="72"/>
      <c r="FM22" s="71"/>
      <c r="FN22" s="76" t="e">
        <f t="shared" si="44"/>
        <v>#VALUE!</v>
      </c>
      <c r="FO22" s="76" t="e">
        <f t="shared" si="45"/>
        <v>#VALUE!</v>
      </c>
      <c r="FP22" s="73">
        <f t="shared" si="46"/>
        <v>0</v>
      </c>
      <c r="FQ22" s="73">
        <f t="shared" si="47"/>
        <v>0</v>
      </c>
      <c r="FR22" s="73" t="e">
        <f t="shared" si="48"/>
        <v>#N/A</v>
      </c>
      <c r="FS22" s="61" t="s">
        <v>58</v>
      </c>
      <c r="FT22" s="73" t="e">
        <f t="shared" si="49"/>
        <v>#N/A</v>
      </c>
      <c r="FU22" s="61" t="s">
        <v>51</v>
      </c>
      <c r="FV22" s="73" t="e">
        <f t="shared" si="50"/>
        <v>#N/A</v>
      </c>
      <c r="FW22" s="61" t="s">
        <v>51</v>
      </c>
      <c r="FX22" s="73" t="e">
        <f t="shared" si="51"/>
        <v>#N/A</v>
      </c>
      <c r="FY22" s="82"/>
      <c r="FZ22" s="82"/>
      <c r="GA22" s="70"/>
      <c r="GB22" s="61" t="s">
        <v>62</v>
      </c>
      <c r="GC22" s="61"/>
      <c r="GD22" s="61" t="s">
        <v>62</v>
      </c>
      <c r="GE22" s="61" t="s">
        <v>75</v>
      </c>
      <c r="GF22" s="82"/>
      <c r="GJ22" s="95">
        <f t="shared" si="52"/>
        <v>0</v>
      </c>
      <c r="GK22" s="42">
        <f>IF(LEFT(_xll.BDP($C22,GK$5),1)="#","#LOADING",_xll.BDP($C22,GK$5))</f>
        <v>0</v>
      </c>
      <c r="GL22" s="74">
        <f t="shared" si="53"/>
        <v>0</v>
      </c>
      <c r="GM22" s="74" t="e">
        <f t="shared" si="54"/>
        <v>#VALUE!</v>
      </c>
      <c r="GN22" s="64" t="s">
        <v>20</v>
      </c>
      <c r="GO22" s="42" t="b">
        <f>IF(LEFT(_xll.BDP($C22,GO$5),1)="#","#LOADING",IF(_xll.BDP($C22,GO$5)="CLEAN",TRUE,FALSE))</f>
        <v>0</v>
      </c>
      <c r="GP22" s="64" t="s">
        <v>26</v>
      </c>
      <c r="GQ22" s="61" t="s">
        <v>18</v>
      </c>
      <c r="GR22" s="65" t="s">
        <v>28</v>
      </c>
      <c r="GS22" s="66">
        <v>1000000</v>
      </c>
      <c r="GT22" s="96" t="e">
        <f>IF(LEFT(_xll.BDP($C22,GT$5),1)="#","#LOADING",DATEVALUE(_xll.BDP($C22,GT$5)))</f>
        <v>#VALUE!</v>
      </c>
      <c r="GU22" s="96" t="e">
        <f>IF(LEFT(_xll.BDP($C22,GU$5),1)="#","#LOADING",DATEVALUE(_xll.BDP($C22,GU$5)))</f>
        <v>#VALUE!</v>
      </c>
      <c r="GV22" s="96" t="e">
        <f>IF(LEFT(_xll.BDP($C22,GV$5),1)="#","#LOADING",DATEVALUE(_xll.BDP($C22,GV$5)))</f>
        <v>#VALUE!</v>
      </c>
      <c r="GW22" s="96" t="e">
        <f>IF(LEFT(_xll.BDP($C22,GW$5),1)="#","#LOADING",DATEVALUE(_xll.BDP($C22,GW$5)))</f>
        <v>#VALUE!</v>
      </c>
      <c r="GX22" s="96" t="e">
        <f>IF(LEFT(_xll.BDP($C22,GX$5),1)="#","#LOADING",DATEVALUE(_xll.BDP($C22,GX$5)))</f>
        <v>#VALUE!</v>
      </c>
      <c r="GY22" s="97">
        <f>IF(LEFT(_xll.BDP($C22,GY$5),1)="#","#LOADING",_xll.BDP($C22,GY$5)%)</f>
        <v>0</v>
      </c>
      <c r="GZ22" s="97" t="str">
        <f>IF(LEFT(_xll.BDP($C22,GZ$5),1)="#","#LOADING",VLOOKUP(_xll.BDP($C22,GZ$5),Static.CouponFrequency,2,FALSE))</f>
        <v>ZERO-COUPON</v>
      </c>
      <c r="HA22" s="68" t="s">
        <v>51</v>
      </c>
      <c r="HB22" s="73" t="e">
        <f t="shared" si="55"/>
        <v>#N/A</v>
      </c>
      <c r="HC22" s="61" t="s">
        <v>51</v>
      </c>
      <c r="HD22" s="73" t="e">
        <f t="shared" si="56"/>
        <v>#N/A</v>
      </c>
      <c r="HE22" s="61" t="s">
        <v>62</v>
      </c>
      <c r="HF22" s="43">
        <f>IF(LEFT(_xll.BDP($C22,HF$5),1)="#","#LOADING",_xll.BDP($C22,HF$5))</f>
        <v>0</v>
      </c>
      <c r="HG22" s="70"/>
      <c r="HH22" s="43" t="str">
        <f>IF(LEFT(_xll.BDP($C22,HH$5),1)="#","#LOADING","Type"&amp;IF(_xll.BDP($C22,HH$5)=999,1,_xll.BDP($C22,HH$5)))</f>
        <v>Type</v>
      </c>
    </row>
    <row r="23" spans="1:216">
      <c r="A23" s="101">
        <v>17</v>
      </c>
      <c r="B23" s="57"/>
      <c r="C23" s="57"/>
      <c r="D23" s="57"/>
      <c r="E23" s="57"/>
      <c r="F23" s="57"/>
      <c r="G23" s="57"/>
      <c r="H23" s="57"/>
      <c r="I23" s="57"/>
      <c r="J23" s="101">
        <v>17</v>
      </c>
      <c r="K23" s="58" t="s">
        <v>163</v>
      </c>
      <c r="L23" s="59" t="str">
        <f>IF(ISBLANK(M23),IF($G23="","",_xll.BDP(AB23&amp;" "&amp;$K23&amp;" Corp","PX_LAST")),M23)</f>
        <v/>
      </c>
      <c r="M23" s="60"/>
      <c r="N23" s="83" t="str">
        <f ca="1">IF(ISBLANK($O23),IF($G23="","",_xll.meLWOAssetSwapSpread($U23,$T23,$L23,INDIRECT("ValuationSettings"&amp;$CN23),INDIRECT("Fixings"&amp;$CN23&amp;IF($I23="QUARTERLY","3ML","6ML")))),$O23)</f>
        <v/>
      </c>
      <c r="O23" s="60"/>
      <c r="P23" s="84" t="str">
        <f ca="1">IF($C23="","",_xll.meLWOAssetSwapSpreadToCleanPrice($V23,$N23,INDIRECT("ValuationSettings"&amp;$DX23),INDIRECT("Fixings"&amp;$DX23&amp;IF($E23="QUARTERLY","3ML","6ML"))))</f>
        <v/>
      </c>
      <c r="Q23" s="84" t="str">
        <f ca="1">IF($C23="","",_xll.meLWOBondPriceFromCleanToDirty($W23,INDIRECT("ValuationDate"&amp;$D23),$P23))</f>
        <v/>
      </c>
      <c r="R23" s="98" t="str">
        <f ca="1">IF($C23="","",_xll.meLWOBondYield($W23,INDIRECT("ValuationDate"&amp;$D23),IF($GO23,$P23,$Q23)))</f>
        <v/>
      </c>
      <c r="S23" s="101">
        <v>17</v>
      </c>
      <c r="T23" s="53" t="str">
        <f>IF($G23="","",IF(LEFT(Z23,1)="#","#LOADING",_xll.meLWOBondCreateFromLVB("PROXY_BOND_"&amp;$AB23,_xll.meUtilityLVBFromKeysValues($Y$6:$AW$6,$Y23:$AW23))))</f>
        <v/>
      </c>
      <c r="U23" s="53" t="str">
        <f>IF($G23="","",_xll.meLWOSwapCreate("PROXY_ASW_"&amp;$AB23,_xll.meUtilityLVBFromKeysAndMultipleValues($AZ$6:$CF$6,$AZ23:$CF23,$CH23:$DN23)))</f>
        <v/>
      </c>
      <c r="V23" s="53" t="str">
        <f>IF($C23="","",_xll.meLWOSwapCreate("BOND_ASW_"&amp;$GM23,_xll.meUtilityLVBFromKeysAndMultipleValues($DR$6:$EX$6,$DR23:$EX23,$EZ23:$GF23)))</f>
        <v/>
      </c>
      <c r="W23" s="53" t="str">
        <f>IF($C23="","",IF(LEFT(GK23,1)="#","#LOADING",_xll.meLWOBondCreateFromLVB("PROXY_BOND_"&amp;$GM23,_xll.meUtilityLVBFromKeysValues($GJ$6:$HH$6,$GJ23:$HH23))))</f>
        <v/>
      </c>
      <c r="X23" t="s">
        <v>0</v>
      </c>
      <c r="Y23" s="62">
        <f t="shared" si="0"/>
        <v>0</v>
      </c>
      <c r="Z23" s="63">
        <f>IF(LEFT(_xll.BDP($G23,Z$5),1)="#","#LOADING",_xll.BDP($G23,Z$5))</f>
        <v>0</v>
      </c>
      <c r="AA23" s="41">
        <f t="shared" si="1"/>
        <v>0</v>
      </c>
      <c r="AB23" s="63">
        <f>IF(LEFT(_xll.BDP($G23,AB$5),1)="#","#LOADING",_xll.BDP($G23,AB$5))</f>
        <v>0</v>
      </c>
      <c r="AC23" s="64" t="s">
        <v>20</v>
      </c>
      <c r="AD23" s="63" t="b">
        <f>IF(LEFT(_xll.BDP($G23,AD$5),1)="#","#LOADING",IF(_xll.BDP($G23,AD$5)="CLEAN",TRUE,FALSE))</f>
        <v>0</v>
      </c>
      <c r="AE23" s="64" t="s">
        <v>26</v>
      </c>
      <c r="AF23" s="61" t="s">
        <v>18</v>
      </c>
      <c r="AG23" s="65" t="s">
        <v>28</v>
      </c>
      <c r="AH23" s="66">
        <v>1000000</v>
      </c>
      <c r="AI23" s="63" t="e">
        <f>IF(LEFT(_xll.BDP($G23,AI$5),1)="#","#LOADING",DATEVALUE(_xll.BDP($G23,AI$5)))</f>
        <v>#VALUE!</v>
      </c>
      <c r="AJ23" s="63" t="e">
        <f>IF(LEFT(_xll.BDP($G23,AJ$5),1)="#","#LOADING",DATEVALUE(_xll.BDP($G23,AJ$5)))</f>
        <v>#VALUE!</v>
      </c>
      <c r="AK23" s="63" t="e">
        <f>IF(LEFT(_xll.BDP($G23,AK$5),1)="#","#LOADING",DATEVALUE(_xll.BDP($G23,AK$5)))</f>
        <v>#VALUE!</v>
      </c>
      <c r="AL23" s="63" t="e">
        <f>IF(LEFT(_xll.BDP($G23,AL$5),1)="#","#LOADING",DATEVALUE(_xll.BDP($G23,AL$5)))</f>
        <v>#VALUE!</v>
      </c>
      <c r="AM23" s="63" t="e">
        <f>IF(LEFT(_xll.BDP($G23,AM$5),1)="#","#LOADING",DATEVALUE(_xll.BDP($G23,AM$5)))</f>
        <v>#VALUE!</v>
      </c>
      <c r="AN23" s="67">
        <f>IF(LEFT(_xll.BDP($G23,AN$5),1)="#","#LOADING",_xll.BDP($G23,AN$5)%)</f>
        <v>0</v>
      </c>
      <c r="AO23" s="67" t="str">
        <f>IF(LEFT(_xll.BDP($G23,AO$5),1)="#","#LOADING",VLOOKUP(_xll.BDP($G23,AO$5),Static.CouponFrequency,2,FALSE))</f>
        <v>ZERO-COUPON</v>
      </c>
      <c r="AP23" s="68" t="s">
        <v>51</v>
      </c>
      <c r="AQ23" s="53" t="e">
        <f t="shared" si="2"/>
        <v>#N/A</v>
      </c>
      <c r="AR23" s="61" t="s">
        <v>51</v>
      </c>
      <c r="AS23" s="53" t="e">
        <f t="shared" si="3"/>
        <v>#N/A</v>
      </c>
      <c r="AT23" s="61" t="s">
        <v>62</v>
      </c>
      <c r="AU23" s="69">
        <f>IF(LEFT(_xll.BDP($G23,AU$5),1)="#","#LOADING",_xll.BDP($G23,AU$5))</f>
        <v>0</v>
      </c>
      <c r="AV23" s="70"/>
      <c r="AW23" s="69" t="str">
        <f>IF(LEFT(_xll.BDP($G23,AW$5),1)="#","#LOADING","Type"&amp;IF(_xll.BDP($G23,AW$5)=999,1,_xll.BDP($G23,AW$5)))</f>
        <v>Type</v>
      </c>
      <c r="AX23" s="54"/>
      <c r="AZ23" s="61" t="s">
        <v>7</v>
      </c>
      <c r="BA23" s="66">
        <v>1000000</v>
      </c>
      <c r="BB23" s="61" t="s">
        <v>14</v>
      </c>
      <c r="BC23" s="61" t="s">
        <v>17</v>
      </c>
      <c r="BD23" s="70"/>
      <c r="BE23" s="73" t="e">
        <f t="shared" si="4"/>
        <v>#N/A</v>
      </c>
      <c r="BF23" s="74">
        <f t="shared" si="5"/>
        <v>0</v>
      </c>
      <c r="BG23" s="71">
        <v>1</v>
      </c>
      <c r="BH23" s="75">
        <f t="shared" si="6"/>
        <v>0</v>
      </c>
      <c r="BI23" s="61"/>
      <c r="BJ23" s="61"/>
      <c r="BK23" s="72"/>
      <c r="BL23" s="72"/>
      <c r="BM23" s="71"/>
      <c r="BN23" s="76" t="e">
        <f t="shared" si="7"/>
        <v>#VALUE!</v>
      </c>
      <c r="BO23" s="76" t="e">
        <f t="shared" si="8"/>
        <v>#VALUE!</v>
      </c>
      <c r="BP23" s="77" t="str">
        <f t="shared" si="9"/>
        <v>ZERO-COUPON</v>
      </c>
      <c r="BQ23" s="77" t="str">
        <f t="shared" si="10"/>
        <v>ZERO-COUPON</v>
      </c>
      <c r="BR23" s="78">
        <f t="shared" si="11"/>
        <v>0</v>
      </c>
      <c r="BS23" s="61"/>
      <c r="BT23" s="61"/>
      <c r="BU23" s="61" t="s">
        <v>51</v>
      </c>
      <c r="BV23" s="73" t="e">
        <f t="shared" si="12"/>
        <v>#N/A</v>
      </c>
      <c r="BW23" s="61" t="s">
        <v>51</v>
      </c>
      <c r="BX23" s="73" t="e">
        <f t="shared" si="13"/>
        <v>#N/A</v>
      </c>
      <c r="BY23" s="76" t="e">
        <f t="shared" si="14"/>
        <v>#VALUE!</v>
      </c>
      <c r="BZ23" s="76" t="e">
        <f t="shared" si="15"/>
        <v>#VALUE!</v>
      </c>
      <c r="CA23" s="70" t="s">
        <v>80</v>
      </c>
      <c r="CB23" s="61"/>
      <c r="CC23" s="61"/>
      <c r="CD23" s="61" t="s">
        <v>62</v>
      </c>
      <c r="CE23" s="61"/>
      <c r="CF23" s="76" t="str">
        <f t="shared" si="16"/>
        <v>Type</v>
      </c>
      <c r="CH23" s="61" t="s">
        <v>8</v>
      </c>
      <c r="CI23" s="66">
        <v>1000000</v>
      </c>
      <c r="CJ23" s="61" t="s">
        <v>14</v>
      </c>
      <c r="CK23" s="61" t="s">
        <v>18</v>
      </c>
      <c r="CL23" s="53" t="e">
        <f t="shared" si="17"/>
        <v>#N/A</v>
      </c>
      <c r="CM23" s="53" t="e">
        <f t="shared" si="18"/>
        <v>#N/A</v>
      </c>
      <c r="CN23" s="41">
        <f t="shared" si="19"/>
        <v>0</v>
      </c>
      <c r="CO23" s="71">
        <v>1</v>
      </c>
      <c r="CP23" s="81"/>
      <c r="CQ23" s="61" t="s">
        <v>32</v>
      </c>
      <c r="CR23" s="61" t="s">
        <v>32</v>
      </c>
      <c r="CS23" s="72"/>
      <c r="CT23" s="72"/>
      <c r="CU23" s="71"/>
      <c r="CV23" s="82" t="e">
        <f t="shared" si="20"/>
        <v>#VALUE!</v>
      </c>
      <c r="CW23" s="82" t="e">
        <f t="shared" si="21"/>
        <v>#VALUE!</v>
      </c>
      <c r="CX23" s="53">
        <f t="shared" si="22"/>
        <v>0</v>
      </c>
      <c r="CY23" s="53">
        <f t="shared" si="23"/>
        <v>0</v>
      </c>
      <c r="CZ23" s="53" t="e">
        <f t="shared" si="24"/>
        <v>#N/A</v>
      </c>
      <c r="DA23" s="61" t="s">
        <v>58</v>
      </c>
      <c r="DB23" s="53" t="e">
        <f t="shared" si="25"/>
        <v>#N/A</v>
      </c>
      <c r="DC23" s="61" t="s">
        <v>51</v>
      </c>
      <c r="DD23" s="53" t="e">
        <f t="shared" si="26"/>
        <v>#N/A</v>
      </c>
      <c r="DE23" s="61" t="s">
        <v>51</v>
      </c>
      <c r="DF23" s="53" t="e">
        <f t="shared" si="27"/>
        <v>#N/A</v>
      </c>
      <c r="DG23" s="82"/>
      <c r="DH23" s="82"/>
      <c r="DI23" s="70"/>
      <c r="DJ23" s="61" t="s">
        <v>62</v>
      </c>
      <c r="DK23" s="61"/>
      <c r="DL23" s="61" t="s">
        <v>62</v>
      </c>
      <c r="DM23" s="61" t="s">
        <v>75</v>
      </c>
      <c r="DN23" s="82"/>
      <c r="DR23" s="61" t="s">
        <v>7</v>
      </c>
      <c r="DS23" s="66">
        <v>1000000</v>
      </c>
      <c r="DT23" s="61" t="s">
        <v>14</v>
      </c>
      <c r="DU23" s="61" t="s">
        <v>17</v>
      </c>
      <c r="DV23" s="70"/>
      <c r="DW23" s="73" t="e">
        <f t="shared" si="28"/>
        <v>#N/A</v>
      </c>
      <c r="DX23" s="74">
        <f t="shared" si="29"/>
        <v>0</v>
      </c>
      <c r="DY23" s="71">
        <v>1</v>
      </c>
      <c r="DZ23" s="75">
        <f t="shared" si="30"/>
        <v>0</v>
      </c>
      <c r="EA23" s="61"/>
      <c r="EB23" s="61"/>
      <c r="EC23" s="72"/>
      <c r="ED23" s="72"/>
      <c r="EE23" s="71"/>
      <c r="EF23" s="76" t="e">
        <f t="shared" si="31"/>
        <v>#VALUE!</v>
      </c>
      <c r="EG23" s="76" t="e">
        <f t="shared" si="32"/>
        <v>#VALUE!</v>
      </c>
      <c r="EH23" s="77" t="str">
        <f t="shared" si="33"/>
        <v>ZERO-COUPON</v>
      </c>
      <c r="EI23" s="77" t="str">
        <f t="shared" si="34"/>
        <v>ZERO-COUPON</v>
      </c>
      <c r="EJ23" s="78">
        <f t="shared" si="35"/>
        <v>0</v>
      </c>
      <c r="EK23" s="61"/>
      <c r="EL23" s="61"/>
      <c r="EM23" s="61" t="s">
        <v>51</v>
      </c>
      <c r="EN23" s="73" t="e">
        <f t="shared" si="36"/>
        <v>#N/A</v>
      </c>
      <c r="EO23" s="61" t="s">
        <v>51</v>
      </c>
      <c r="EP23" s="73" t="e">
        <f t="shared" si="37"/>
        <v>#N/A</v>
      </c>
      <c r="EQ23" s="76" t="e">
        <f t="shared" si="38"/>
        <v>#VALUE!</v>
      </c>
      <c r="ER23" s="76" t="e">
        <f t="shared" si="39"/>
        <v>#VALUE!</v>
      </c>
      <c r="ES23" s="70" t="s">
        <v>80</v>
      </c>
      <c r="ET23" s="61"/>
      <c r="EU23" s="61"/>
      <c r="EV23" s="61" t="s">
        <v>62</v>
      </c>
      <c r="EW23" s="61"/>
      <c r="EX23" s="76" t="str">
        <f t="shared" si="40"/>
        <v>Type</v>
      </c>
      <c r="EZ23" s="61" t="s">
        <v>8</v>
      </c>
      <c r="FA23" s="66">
        <v>1000000</v>
      </c>
      <c r="FB23" s="61" t="s">
        <v>14</v>
      </c>
      <c r="FC23" s="61" t="s">
        <v>18</v>
      </c>
      <c r="FD23" s="73" t="e">
        <f t="shared" si="41"/>
        <v>#N/A</v>
      </c>
      <c r="FE23" s="73" t="e">
        <f t="shared" si="42"/>
        <v>#N/A</v>
      </c>
      <c r="FF23" s="41">
        <f t="shared" si="43"/>
        <v>0</v>
      </c>
      <c r="FG23" s="71">
        <v>1</v>
      </c>
      <c r="FH23" s="81"/>
      <c r="FI23" s="61" t="s">
        <v>32</v>
      </c>
      <c r="FJ23" s="61" t="s">
        <v>32</v>
      </c>
      <c r="FK23" s="72"/>
      <c r="FL23" s="72"/>
      <c r="FM23" s="71"/>
      <c r="FN23" s="76" t="e">
        <f t="shared" si="44"/>
        <v>#VALUE!</v>
      </c>
      <c r="FO23" s="76" t="e">
        <f t="shared" si="45"/>
        <v>#VALUE!</v>
      </c>
      <c r="FP23" s="73">
        <f t="shared" si="46"/>
        <v>0</v>
      </c>
      <c r="FQ23" s="73">
        <f t="shared" si="47"/>
        <v>0</v>
      </c>
      <c r="FR23" s="73" t="e">
        <f t="shared" si="48"/>
        <v>#N/A</v>
      </c>
      <c r="FS23" s="61" t="s">
        <v>58</v>
      </c>
      <c r="FT23" s="73" t="e">
        <f t="shared" si="49"/>
        <v>#N/A</v>
      </c>
      <c r="FU23" s="61" t="s">
        <v>51</v>
      </c>
      <c r="FV23" s="73" t="e">
        <f t="shared" si="50"/>
        <v>#N/A</v>
      </c>
      <c r="FW23" s="61" t="s">
        <v>51</v>
      </c>
      <c r="FX23" s="73" t="e">
        <f t="shared" si="51"/>
        <v>#N/A</v>
      </c>
      <c r="FY23" s="82"/>
      <c r="FZ23" s="82"/>
      <c r="GA23" s="70"/>
      <c r="GB23" s="61" t="s">
        <v>62</v>
      </c>
      <c r="GC23" s="61"/>
      <c r="GD23" s="61" t="s">
        <v>62</v>
      </c>
      <c r="GE23" s="61" t="s">
        <v>75</v>
      </c>
      <c r="GF23" s="82"/>
      <c r="GJ23" s="95">
        <f t="shared" si="52"/>
        <v>0</v>
      </c>
      <c r="GK23" s="42">
        <f>IF(LEFT(_xll.BDP($C23,GK$5),1)="#","#LOADING",_xll.BDP($C23,GK$5))</f>
        <v>0</v>
      </c>
      <c r="GL23" s="74">
        <f t="shared" si="53"/>
        <v>0</v>
      </c>
      <c r="GM23" s="74" t="e">
        <f t="shared" si="54"/>
        <v>#VALUE!</v>
      </c>
      <c r="GN23" s="64" t="s">
        <v>20</v>
      </c>
      <c r="GO23" s="42" t="b">
        <f>IF(LEFT(_xll.BDP($C23,GO$5),1)="#","#LOADING",IF(_xll.BDP($C23,GO$5)="CLEAN",TRUE,FALSE))</f>
        <v>0</v>
      </c>
      <c r="GP23" s="64" t="s">
        <v>26</v>
      </c>
      <c r="GQ23" s="61" t="s">
        <v>18</v>
      </c>
      <c r="GR23" s="65" t="s">
        <v>28</v>
      </c>
      <c r="GS23" s="66">
        <v>1000000</v>
      </c>
      <c r="GT23" s="96" t="e">
        <f>IF(LEFT(_xll.BDP($C23,GT$5),1)="#","#LOADING",DATEVALUE(_xll.BDP($C23,GT$5)))</f>
        <v>#VALUE!</v>
      </c>
      <c r="GU23" s="96" t="e">
        <f>IF(LEFT(_xll.BDP($C23,GU$5),1)="#","#LOADING",DATEVALUE(_xll.BDP($C23,GU$5)))</f>
        <v>#VALUE!</v>
      </c>
      <c r="GV23" s="96" t="e">
        <f>IF(LEFT(_xll.BDP($C23,GV$5),1)="#","#LOADING",DATEVALUE(_xll.BDP($C23,GV$5)))</f>
        <v>#VALUE!</v>
      </c>
      <c r="GW23" s="96" t="e">
        <f>IF(LEFT(_xll.BDP($C23,GW$5),1)="#","#LOADING",DATEVALUE(_xll.BDP($C23,GW$5)))</f>
        <v>#VALUE!</v>
      </c>
      <c r="GX23" s="96" t="e">
        <f>IF(LEFT(_xll.BDP($C23,GX$5),1)="#","#LOADING",DATEVALUE(_xll.BDP($C23,GX$5)))</f>
        <v>#VALUE!</v>
      </c>
      <c r="GY23" s="97">
        <f>IF(LEFT(_xll.BDP($C23,GY$5),1)="#","#LOADING",_xll.BDP($C23,GY$5)%)</f>
        <v>0</v>
      </c>
      <c r="GZ23" s="97" t="str">
        <f>IF(LEFT(_xll.BDP($C23,GZ$5),1)="#","#LOADING",VLOOKUP(_xll.BDP($C23,GZ$5),Static.CouponFrequency,2,FALSE))</f>
        <v>ZERO-COUPON</v>
      </c>
      <c r="HA23" s="68" t="s">
        <v>51</v>
      </c>
      <c r="HB23" s="73" t="e">
        <f t="shared" si="55"/>
        <v>#N/A</v>
      </c>
      <c r="HC23" s="61" t="s">
        <v>51</v>
      </c>
      <c r="HD23" s="73" t="e">
        <f t="shared" si="56"/>
        <v>#N/A</v>
      </c>
      <c r="HE23" s="61" t="s">
        <v>62</v>
      </c>
      <c r="HF23" s="43">
        <f>IF(LEFT(_xll.BDP($C23,HF$5),1)="#","#LOADING",_xll.BDP($C23,HF$5))</f>
        <v>0</v>
      </c>
      <c r="HG23" s="70"/>
      <c r="HH23" s="43" t="str">
        <f>IF(LEFT(_xll.BDP($C23,HH$5),1)="#","#LOADING","Type"&amp;IF(_xll.BDP($C23,HH$5)=999,1,_xll.BDP($C23,HH$5)))</f>
        <v>Type</v>
      </c>
    </row>
    <row r="24" spans="1:216">
      <c r="A24" s="101">
        <v>18</v>
      </c>
      <c r="B24" s="57"/>
      <c r="C24" s="57"/>
      <c r="D24" s="57"/>
      <c r="E24" s="57"/>
      <c r="F24" s="57"/>
      <c r="G24" s="57"/>
      <c r="H24" s="57"/>
      <c r="I24" s="57"/>
      <c r="J24" s="101">
        <v>18</v>
      </c>
      <c r="K24" s="58" t="s">
        <v>163</v>
      </c>
      <c r="L24" s="59" t="str">
        <f>IF(ISBLANK(M24),IF($G24="","",_xll.BDP(AB24&amp;" "&amp;$K24&amp;" Corp","PX_LAST")),M24)</f>
        <v/>
      </c>
      <c r="M24" s="60"/>
      <c r="N24" s="83" t="str">
        <f ca="1">IF(ISBLANK($O24),IF($G24="","",_xll.meLWOAssetSwapSpread($U24,$T24,$L24,INDIRECT("ValuationSettings"&amp;$CN24),INDIRECT("Fixings"&amp;$CN24&amp;IF($I24="QUARTERLY","3ML","6ML")))),$O24)</f>
        <v/>
      </c>
      <c r="O24" s="60"/>
      <c r="P24" s="84" t="str">
        <f ca="1">IF($C24="","",_xll.meLWOAssetSwapSpreadToCleanPrice($V24,$N24,INDIRECT("ValuationSettings"&amp;$DX24),INDIRECT("Fixings"&amp;$DX24&amp;IF($E24="QUARTERLY","3ML","6ML"))))</f>
        <v/>
      </c>
      <c r="Q24" s="84" t="str">
        <f ca="1">IF($C24="","",_xll.meLWOBondPriceFromCleanToDirty($W24,INDIRECT("ValuationDate"&amp;$D24),$P24))</f>
        <v/>
      </c>
      <c r="R24" s="98" t="str">
        <f ca="1">IF($C24="","",_xll.meLWOBondYield($W24,INDIRECT("ValuationDate"&amp;$D24),IF($GO24,$P24,$Q24)))</f>
        <v/>
      </c>
      <c r="S24" s="101">
        <v>18</v>
      </c>
      <c r="T24" s="53" t="str">
        <f>IF($G24="","",IF(LEFT(Z24,1)="#","#LOADING",_xll.meLWOBondCreateFromLVB("PROXY_BOND_"&amp;$AB24,_xll.meUtilityLVBFromKeysValues($Y$6:$AW$6,$Y24:$AW24))))</f>
        <v/>
      </c>
      <c r="U24" s="53" t="str">
        <f>IF($G24="","",_xll.meLWOSwapCreate("PROXY_ASW_"&amp;$AB24,_xll.meUtilityLVBFromKeysAndMultipleValues($AZ$6:$CF$6,$AZ24:$CF24,$CH24:$DN24)))</f>
        <v/>
      </c>
      <c r="V24" s="53" t="str">
        <f>IF($C24="","",_xll.meLWOSwapCreate("BOND_ASW_"&amp;$GM24,_xll.meUtilityLVBFromKeysAndMultipleValues($DR$6:$EX$6,$DR24:$EX24,$EZ24:$GF24)))</f>
        <v/>
      </c>
      <c r="W24" s="53" t="str">
        <f>IF($C24="","",IF(LEFT(GK24,1)="#","#LOADING",_xll.meLWOBondCreateFromLVB("PROXY_BOND_"&amp;$GM24,_xll.meUtilityLVBFromKeysValues($GJ$6:$HH$6,$GJ24:$HH24))))</f>
        <v/>
      </c>
      <c r="X24" t="s">
        <v>0</v>
      </c>
      <c r="Y24" s="62">
        <f t="shared" si="0"/>
        <v>0</v>
      </c>
      <c r="Z24" s="63">
        <f>IF(LEFT(_xll.BDP($G24,Z$5),1)="#","#LOADING",_xll.BDP($G24,Z$5))</f>
        <v>0</v>
      </c>
      <c r="AA24" s="41">
        <f t="shared" si="1"/>
        <v>0</v>
      </c>
      <c r="AB24" s="63">
        <f>IF(LEFT(_xll.BDP($G24,AB$5),1)="#","#LOADING",_xll.BDP($G24,AB$5))</f>
        <v>0</v>
      </c>
      <c r="AC24" s="64" t="s">
        <v>20</v>
      </c>
      <c r="AD24" s="63" t="b">
        <f>IF(LEFT(_xll.BDP($G24,AD$5),1)="#","#LOADING",IF(_xll.BDP($G24,AD$5)="CLEAN",TRUE,FALSE))</f>
        <v>0</v>
      </c>
      <c r="AE24" s="64" t="s">
        <v>26</v>
      </c>
      <c r="AF24" s="61" t="s">
        <v>18</v>
      </c>
      <c r="AG24" s="65" t="s">
        <v>28</v>
      </c>
      <c r="AH24" s="66">
        <v>1000000</v>
      </c>
      <c r="AI24" s="63" t="e">
        <f>IF(LEFT(_xll.BDP($G24,AI$5),1)="#","#LOADING",DATEVALUE(_xll.BDP($G24,AI$5)))</f>
        <v>#VALUE!</v>
      </c>
      <c r="AJ24" s="63" t="e">
        <f>IF(LEFT(_xll.BDP($G24,AJ$5),1)="#","#LOADING",DATEVALUE(_xll.BDP($G24,AJ$5)))</f>
        <v>#VALUE!</v>
      </c>
      <c r="AK24" s="63" t="e">
        <f>IF(LEFT(_xll.BDP($G24,AK$5),1)="#","#LOADING",DATEVALUE(_xll.BDP($G24,AK$5)))</f>
        <v>#VALUE!</v>
      </c>
      <c r="AL24" s="63" t="e">
        <f>IF(LEFT(_xll.BDP($G24,AL$5),1)="#","#LOADING",DATEVALUE(_xll.BDP($G24,AL$5)))</f>
        <v>#VALUE!</v>
      </c>
      <c r="AM24" s="63" t="e">
        <f>IF(LEFT(_xll.BDP($G24,AM$5),1)="#","#LOADING",DATEVALUE(_xll.BDP($G24,AM$5)))</f>
        <v>#VALUE!</v>
      </c>
      <c r="AN24" s="67">
        <f>IF(LEFT(_xll.BDP($G24,AN$5),1)="#","#LOADING",_xll.BDP($G24,AN$5)%)</f>
        <v>0</v>
      </c>
      <c r="AO24" s="67" t="str">
        <f>IF(LEFT(_xll.BDP($G24,AO$5),1)="#","#LOADING",VLOOKUP(_xll.BDP($G24,AO$5),Static.CouponFrequency,2,FALSE))</f>
        <v>ZERO-COUPON</v>
      </c>
      <c r="AP24" s="68" t="s">
        <v>51</v>
      </c>
      <c r="AQ24" s="53" t="e">
        <f t="shared" si="2"/>
        <v>#N/A</v>
      </c>
      <c r="AR24" s="61" t="s">
        <v>51</v>
      </c>
      <c r="AS24" s="53" t="e">
        <f t="shared" si="3"/>
        <v>#N/A</v>
      </c>
      <c r="AT24" s="61" t="s">
        <v>62</v>
      </c>
      <c r="AU24" s="69">
        <f>IF(LEFT(_xll.BDP($G24,AU$5),1)="#","#LOADING",_xll.BDP($G24,AU$5))</f>
        <v>0</v>
      </c>
      <c r="AV24" s="70"/>
      <c r="AW24" s="69" t="str">
        <f>IF(LEFT(_xll.BDP($G24,AW$5),1)="#","#LOADING","Type"&amp;IF(_xll.BDP($G24,AW$5)=999,1,_xll.BDP($G24,AW$5)))</f>
        <v>Type</v>
      </c>
      <c r="AX24" s="54"/>
      <c r="AZ24" s="61" t="s">
        <v>7</v>
      </c>
      <c r="BA24" s="66">
        <v>1000000</v>
      </c>
      <c r="BB24" s="61" t="s">
        <v>14</v>
      </c>
      <c r="BC24" s="61" t="s">
        <v>17</v>
      </c>
      <c r="BD24" s="70"/>
      <c r="BE24" s="73" t="e">
        <f t="shared" si="4"/>
        <v>#N/A</v>
      </c>
      <c r="BF24" s="74">
        <f t="shared" si="5"/>
        <v>0</v>
      </c>
      <c r="BG24" s="71">
        <v>1</v>
      </c>
      <c r="BH24" s="75">
        <f t="shared" si="6"/>
        <v>0</v>
      </c>
      <c r="BI24" s="61"/>
      <c r="BJ24" s="61"/>
      <c r="BK24" s="72"/>
      <c r="BL24" s="72"/>
      <c r="BM24" s="71"/>
      <c r="BN24" s="76" t="e">
        <f t="shared" si="7"/>
        <v>#VALUE!</v>
      </c>
      <c r="BO24" s="76" t="e">
        <f t="shared" si="8"/>
        <v>#VALUE!</v>
      </c>
      <c r="BP24" s="77" t="str">
        <f t="shared" si="9"/>
        <v>ZERO-COUPON</v>
      </c>
      <c r="BQ24" s="77" t="str">
        <f t="shared" si="10"/>
        <v>ZERO-COUPON</v>
      </c>
      <c r="BR24" s="78">
        <f t="shared" si="11"/>
        <v>0</v>
      </c>
      <c r="BS24" s="61"/>
      <c r="BT24" s="61"/>
      <c r="BU24" s="61" t="s">
        <v>51</v>
      </c>
      <c r="BV24" s="73" t="e">
        <f t="shared" si="12"/>
        <v>#N/A</v>
      </c>
      <c r="BW24" s="61" t="s">
        <v>51</v>
      </c>
      <c r="BX24" s="73" t="e">
        <f t="shared" si="13"/>
        <v>#N/A</v>
      </c>
      <c r="BY24" s="76" t="e">
        <f t="shared" si="14"/>
        <v>#VALUE!</v>
      </c>
      <c r="BZ24" s="76" t="e">
        <f t="shared" si="15"/>
        <v>#VALUE!</v>
      </c>
      <c r="CA24" s="70" t="s">
        <v>80</v>
      </c>
      <c r="CB24" s="61"/>
      <c r="CC24" s="61"/>
      <c r="CD24" s="61" t="s">
        <v>62</v>
      </c>
      <c r="CE24" s="61"/>
      <c r="CF24" s="76" t="str">
        <f t="shared" si="16"/>
        <v>Type</v>
      </c>
      <c r="CH24" s="61" t="s">
        <v>8</v>
      </c>
      <c r="CI24" s="66">
        <v>1000000</v>
      </c>
      <c r="CJ24" s="61" t="s">
        <v>14</v>
      </c>
      <c r="CK24" s="61" t="s">
        <v>18</v>
      </c>
      <c r="CL24" s="53" t="e">
        <f t="shared" si="17"/>
        <v>#N/A</v>
      </c>
      <c r="CM24" s="53" t="e">
        <f t="shared" si="18"/>
        <v>#N/A</v>
      </c>
      <c r="CN24" s="41">
        <f t="shared" si="19"/>
        <v>0</v>
      </c>
      <c r="CO24" s="71">
        <v>1</v>
      </c>
      <c r="CP24" s="81"/>
      <c r="CQ24" s="61" t="s">
        <v>32</v>
      </c>
      <c r="CR24" s="61" t="s">
        <v>32</v>
      </c>
      <c r="CS24" s="72"/>
      <c r="CT24" s="72"/>
      <c r="CU24" s="71"/>
      <c r="CV24" s="82" t="e">
        <f t="shared" si="20"/>
        <v>#VALUE!</v>
      </c>
      <c r="CW24" s="82" t="e">
        <f t="shared" si="21"/>
        <v>#VALUE!</v>
      </c>
      <c r="CX24" s="53">
        <f t="shared" si="22"/>
        <v>0</v>
      </c>
      <c r="CY24" s="53">
        <f t="shared" si="23"/>
        <v>0</v>
      </c>
      <c r="CZ24" s="53" t="e">
        <f t="shared" si="24"/>
        <v>#N/A</v>
      </c>
      <c r="DA24" s="61" t="s">
        <v>58</v>
      </c>
      <c r="DB24" s="53" t="e">
        <f t="shared" si="25"/>
        <v>#N/A</v>
      </c>
      <c r="DC24" s="61" t="s">
        <v>51</v>
      </c>
      <c r="DD24" s="53" t="e">
        <f t="shared" si="26"/>
        <v>#N/A</v>
      </c>
      <c r="DE24" s="61" t="s">
        <v>51</v>
      </c>
      <c r="DF24" s="53" t="e">
        <f t="shared" si="27"/>
        <v>#N/A</v>
      </c>
      <c r="DG24" s="82"/>
      <c r="DH24" s="82"/>
      <c r="DI24" s="70"/>
      <c r="DJ24" s="61" t="s">
        <v>62</v>
      </c>
      <c r="DK24" s="61"/>
      <c r="DL24" s="61" t="s">
        <v>62</v>
      </c>
      <c r="DM24" s="61" t="s">
        <v>75</v>
      </c>
      <c r="DN24" s="82"/>
      <c r="DR24" s="61" t="s">
        <v>7</v>
      </c>
      <c r="DS24" s="66">
        <v>1000000</v>
      </c>
      <c r="DT24" s="61" t="s">
        <v>14</v>
      </c>
      <c r="DU24" s="61" t="s">
        <v>17</v>
      </c>
      <c r="DV24" s="70"/>
      <c r="DW24" s="73" t="e">
        <f t="shared" si="28"/>
        <v>#N/A</v>
      </c>
      <c r="DX24" s="74">
        <f t="shared" si="29"/>
        <v>0</v>
      </c>
      <c r="DY24" s="71">
        <v>1</v>
      </c>
      <c r="DZ24" s="75">
        <f t="shared" si="30"/>
        <v>0</v>
      </c>
      <c r="EA24" s="61"/>
      <c r="EB24" s="61"/>
      <c r="EC24" s="72"/>
      <c r="ED24" s="72"/>
      <c r="EE24" s="71"/>
      <c r="EF24" s="76" t="e">
        <f t="shared" si="31"/>
        <v>#VALUE!</v>
      </c>
      <c r="EG24" s="76" t="e">
        <f t="shared" si="32"/>
        <v>#VALUE!</v>
      </c>
      <c r="EH24" s="77" t="str">
        <f t="shared" si="33"/>
        <v>ZERO-COUPON</v>
      </c>
      <c r="EI24" s="77" t="str">
        <f t="shared" si="34"/>
        <v>ZERO-COUPON</v>
      </c>
      <c r="EJ24" s="78">
        <f t="shared" si="35"/>
        <v>0</v>
      </c>
      <c r="EK24" s="61"/>
      <c r="EL24" s="61"/>
      <c r="EM24" s="61" t="s">
        <v>51</v>
      </c>
      <c r="EN24" s="73" t="e">
        <f t="shared" si="36"/>
        <v>#N/A</v>
      </c>
      <c r="EO24" s="61" t="s">
        <v>51</v>
      </c>
      <c r="EP24" s="73" t="e">
        <f t="shared" si="37"/>
        <v>#N/A</v>
      </c>
      <c r="EQ24" s="76" t="e">
        <f t="shared" si="38"/>
        <v>#VALUE!</v>
      </c>
      <c r="ER24" s="76" t="e">
        <f t="shared" si="39"/>
        <v>#VALUE!</v>
      </c>
      <c r="ES24" s="70" t="s">
        <v>80</v>
      </c>
      <c r="ET24" s="61"/>
      <c r="EU24" s="61"/>
      <c r="EV24" s="61" t="s">
        <v>62</v>
      </c>
      <c r="EW24" s="61"/>
      <c r="EX24" s="76" t="str">
        <f t="shared" si="40"/>
        <v>Type</v>
      </c>
      <c r="EZ24" s="61" t="s">
        <v>8</v>
      </c>
      <c r="FA24" s="66">
        <v>1000000</v>
      </c>
      <c r="FB24" s="61" t="s">
        <v>14</v>
      </c>
      <c r="FC24" s="61" t="s">
        <v>18</v>
      </c>
      <c r="FD24" s="73" t="e">
        <f t="shared" si="41"/>
        <v>#N/A</v>
      </c>
      <c r="FE24" s="73" t="e">
        <f t="shared" si="42"/>
        <v>#N/A</v>
      </c>
      <c r="FF24" s="41">
        <f t="shared" si="43"/>
        <v>0</v>
      </c>
      <c r="FG24" s="71">
        <v>1</v>
      </c>
      <c r="FH24" s="81"/>
      <c r="FI24" s="61" t="s">
        <v>32</v>
      </c>
      <c r="FJ24" s="61" t="s">
        <v>32</v>
      </c>
      <c r="FK24" s="72"/>
      <c r="FL24" s="72"/>
      <c r="FM24" s="71"/>
      <c r="FN24" s="76" t="e">
        <f t="shared" si="44"/>
        <v>#VALUE!</v>
      </c>
      <c r="FO24" s="76" t="e">
        <f t="shared" si="45"/>
        <v>#VALUE!</v>
      </c>
      <c r="FP24" s="73">
        <f t="shared" si="46"/>
        <v>0</v>
      </c>
      <c r="FQ24" s="73">
        <f t="shared" si="47"/>
        <v>0</v>
      </c>
      <c r="FR24" s="73" t="e">
        <f t="shared" si="48"/>
        <v>#N/A</v>
      </c>
      <c r="FS24" s="61" t="s">
        <v>58</v>
      </c>
      <c r="FT24" s="73" t="e">
        <f t="shared" si="49"/>
        <v>#N/A</v>
      </c>
      <c r="FU24" s="61" t="s">
        <v>51</v>
      </c>
      <c r="FV24" s="73" t="e">
        <f t="shared" si="50"/>
        <v>#N/A</v>
      </c>
      <c r="FW24" s="61" t="s">
        <v>51</v>
      </c>
      <c r="FX24" s="73" t="e">
        <f t="shared" si="51"/>
        <v>#N/A</v>
      </c>
      <c r="FY24" s="82"/>
      <c r="FZ24" s="82"/>
      <c r="GA24" s="70"/>
      <c r="GB24" s="61" t="s">
        <v>62</v>
      </c>
      <c r="GC24" s="61"/>
      <c r="GD24" s="61" t="s">
        <v>62</v>
      </c>
      <c r="GE24" s="61" t="s">
        <v>75</v>
      </c>
      <c r="GF24" s="82"/>
      <c r="GJ24" s="95">
        <f t="shared" si="52"/>
        <v>0</v>
      </c>
      <c r="GK24" s="42">
        <f>IF(LEFT(_xll.BDP($C24,GK$5),1)="#","#LOADING",_xll.BDP($C24,GK$5))</f>
        <v>0</v>
      </c>
      <c r="GL24" s="74">
        <f t="shared" si="53"/>
        <v>0</v>
      </c>
      <c r="GM24" s="74" t="e">
        <f t="shared" si="54"/>
        <v>#VALUE!</v>
      </c>
      <c r="GN24" s="64" t="s">
        <v>20</v>
      </c>
      <c r="GO24" s="42" t="b">
        <f>IF(LEFT(_xll.BDP($C24,GO$5),1)="#","#LOADING",IF(_xll.BDP($C24,GO$5)="CLEAN",TRUE,FALSE))</f>
        <v>0</v>
      </c>
      <c r="GP24" s="64" t="s">
        <v>26</v>
      </c>
      <c r="GQ24" s="61" t="s">
        <v>18</v>
      </c>
      <c r="GR24" s="65" t="s">
        <v>28</v>
      </c>
      <c r="GS24" s="66">
        <v>1000000</v>
      </c>
      <c r="GT24" s="96" t="e">
        <f>IF(LEFT(_xll.BDP($C24,GT$5),1)="#","#LOADING",DATEVALUE(_xll.BDP($C24,GT$5)))</f>
        <v>#VALUE!</v>
      </c>
      <c r="GU24" s="96" t="e">
        <f>IF(LEFT(_xll.BDP($C24,GU$5),1)="#","#LOADING",DATEVALUE(_xll.BDP($C24,GU$5)))</f>
        <v>#VALUE!</v>
      </c>
      <c r="GV24" s="96" t="e">
        <f>IF(LEFT(_xll.BDP($C24,GV$5),1)="#","#LOADING",DATEVALUE(_xll.BDP($C24,GV$5)))</f>
        <v>#VALUE!</v>
      </c>
      <c r="GW24" s="96" t="e">
        <f>IF(LEFT(_xll.BDP($C24,GW$5),1)="#","#LOADING",DATEVALUE(_xll.BDP($C24,GW$5)))</f>
        <v>#VALUE!</v>
      </c>
      <c r="GX24" s="96" t="e">
        <f>IF(LEFT(_xll.BDP($C24,GX$5),1)="#","#LOADING",DATEVALUE(_xll.BDP($C24,GX$5)))</f>
        <v>#VALUE!</v>
      </c>
      <c r="GY24" s="97">
        <f>IF(LEFT(_xll.BDP($C24,GY$5),1)="#","#LOADING",_xll.BDP($C24,GY$5)%)</f>
        <v>0</v>
      </c>
      <c r="GZ24" s="97" t="str">
        <f>IF(LEFT(_xll.BDP($C24,GZ$5),1)="#","#LOADING",VLOOKUP(_xll.BDP($C24,GZ$5),Static.CouponFrequency,2,FALSE))</f>
        <v>ZERO-COUPON</v>
      </c>
      <c r="HA24" s="68" t="s">
        <v>51</v>
      </c>
      <c r="HB24" s="73" t="e">
        <f t="shared" si="55"/>
        <v>#N/A</v>
      </c>
      <c r="HC24" s="61" t="s">
        <v>51</v>
      </c>
      <c r="HD24" s="73" t="e">
        <f t="shared" si="56"/>
        <v>#N/A</v>
      </c>
      <c r="HE24" s="61" t="s">
        <v>62</v>
      </c>
      <c r="HF24" s="43">
        <f>IF(LEFT(_xll.BDP($C24,HF$5),1)="#","#LOADING",_xll.BDP($C24,HF$5))</f>
        <v>0</v>
      </c>
      <c r="HG24" s="70"/>
      <c r="HH24" s="43" t="str">
        <f>IF(LEFT(_xll.BDP($C24,HH$5),1)="#","#LOADING","Type"&amp;IF(_xll.BDP($C24,HH$5)=999,1,_xll.BDP($C24,HH$5)))</f>
        <v>Type</v>
      </c>
    </row>
    <row r="25" spans="1:216">
      <c r="A25" s="101">
        <v>19</v>
      </c>
      <c r="B25" s="57"/>
      <c r="C25" s="57"/>
      <c r="D25" s="57"/>
      <c r="E25" s="57"/>
      <c r="F25" s="57"/>
      <c r="G25" s="57"/>
      <c r="H25" s="57"/>
      <c r="I25" s="57"/>
      <c r="J25" s="101">
        <v>19</v>
      </c>
      <c r="K25" s="58" t="s">
        <v>163</v>
      </c>
      <c r="L25" s="59" t="str">
        <f>IF(ISBLANK(M25),IF($G25="","",_xll.BDP(AB25&amp;" "&amp;$K25&amp;" Corp","PX_LAST")),M25)</f>
        <v/>
      </c>
      <c r="M25" s="60"/>
      <c r="N25" s="83" t="str">
        <f ca="1">IF(ISBLANK($O25),IF($G25="","",_xll.meLWOAssetSwapSpread($U25,$T25,$L25,INDIRECT("ValuationSettings"&amp;$CN25),INDIRECT("Fixings"&amp;$CN25&amp;IF($I25="QUARTERLY","3ML","6ML")))),$O25)</f>
        <v/>
      </c>
      <c r="O25" s="60"/>
      <c r="P25" s="84" t="str">
        <f ca="1">IF($C25="","",_xll.meLWOAssetSwapSpreadToCleanPrice($V25,$N25,INDIRECT("ValuationSettings"&amp;$DX25),INDIRECT("Fixings"&amp;$DX25&amp;IF($E25="QUARTERLY","3ML","6ML"))))</f>
        <v/>
      </c>
      <c r="Q25" s="84" t="str">
        <f ca="1">IF($C25="","",_xll.meLWOBondPriceFromCleanToDirty($W25,INDIRECT("ValuationDate"&amp;$D25),$P25))</f>
        <v/>
      </c>
      <c r="R25" s="98" t="str">
        <f ca="1">IF($C25="","",_xll.meLWOBondYield($W25,INDIRECT("ValuationDate"&amp;$D25),IF($GO25,$P25,$Q25)))</f>
        <v/>
      </c>
      <c r="S25" s="101">
        <v>19</v>
      </c>
      <c r="T25" s="53" t="str">
        <f>IF($G25="","",IF(LEFT(Z25,1)="#","#LOADING",_xll.meLWOBondCreateFromLVB("PROXY_BOND_"&amp;$AB25,_xll.meUtilityLVBFromKeysValues($Y$6:$AW$6,$Y25:$AW25))))</f>
        <v/>
      </c>
      <c r="U25" s="53" t="str">
        <f>IF($G25="","",_xll.meLWOSwapCreate("PROXY_ASW_"&amp;$AB25,_xll.meUtilityLVBFromKeysAndMultipleValues($AZ$6:$CF$6,$AZ25:$CF25,$CH25:$DN25)))</f>
        <v/>
      </c>
      <c r="V25" s="53" t="str">
        <f>IF($C25="","",_xll.meLWOSwapCreate("BOND_ASW_"&amp;$GM25,_xll.meUtilityLVBFromKeysAndMultipleValues($DR$6:$EX$6,$DR25:$EX25,$EZ25:$GF25)))</f>
        <v/>
      </c>
      <c r="W25" s="53" t="str">
        <f>IF($C25="","",IF(LEFT(GK25,1)="#","#LOADING",_xll.meLWOBondCreateFromLVB("PROXY_BOND_"&amp;$GM25,_xll.meUtilityLVBFromKeysValues($GJ$6:$HH$6,$GJ25:$HH25))))</f>
        <v/>
      </c>
      <c r="X25" t="s">
        <v>0</v>
      </c>
      <c r="Y25" s="62">
        <f t="shared" si="0"/>
        <v>0</v>
      </c>
      <c r="Z25" s="63">
        <f>IF(LEFT(_xll.BDP($G25,Z$5),1)="#","#LOADING",_xll.BDP($G25,Z$5))</f>
        <v>0</v>
      </c>
      <c r="AA25" s="41">
        <f t="shared" si="1"/>
        <v>0</v>
      </c>
      <c r="AB25" s="63">
        <f>IF(LEFT(_xll.BDP($G25,AB$5),1)="#","#LOADING",_xll.BDP($G25,AB$5))</f>
        <v>0</v>
      </c>
      <c r="AC25" s="64" t="s">
        <v>20</v>
      </c>
      <c r="AD25" s="63" t="b">
        <f>IF(LEFT(_xll.BDP($G25,AD$5),1)="#","#LOADING",IF(_xll.BDP($G25,AD$5)="CLEAN",TRUE,FALSE))</f>
        <v>0</v>
      </c>
      <c r="AE25" s="64" t="s">
        <v>26</v>
      </c>
      <c r="AF25" s="61" t="s">
        <v>18</v>
      </c>
      <c r="AG25" s="65" t="s">
        <v>28</v>
      </c>
      <c r="AH25" s="66">
        <v>1000000</v>
      </c>
      <c r="AI25" s="63" t="e">
        <f>IF(LEFT(_xll.BDP($G25,AI$5),1)="#","#LOADING",DATEVALUE(_xll.BDP($G25,AI$5)))</f>
        <v>#VALUE!</v>
      </c>
      <c r="AJ25" s="63" t="e">
        <f>IF(LEFT(_xll.BDP($G25,AJ$5),1)="#","#LOADING",DATEVALUE(_xll.BDP($G25,AJ$5)))</f>
        <v>#VALUE!</v>
      </c>
      <c r="AK25" s="63" t="e">
        <f>IF(LEFT(_xll.BDP($G25,AK$5),1)="#","#LOADING",DATEVALUE(_xll.BDP($G25,AK$5)))</f>
        <v>#VALUE!</v>
      </c>
      <c r="AL25" s="63" t="e">
        <f>IF(LEFT(_xll.BDP($G25,AL$5),1)="#","#LOADING",DATEVALUE(_xll.BDP($G25,AL$5)))</f>
        <v>#VALUE!</v>
      </c>
      <c r="AM25" s="63" t="e">
        <f>IF(LEFT(_xll.BDP($G25,AM$5),1)="#","#LOADING",DATEVALUE(_xll.BDP($G25,AM$5)))</f>
        <v>#VALUE!</v>
      </c>
      <c r="AN25" s="67">
        <f>IF(LEFT(_xll.BDP($G25,AN$5),1)="#","#LOADING",_xll.BDP($G25,AN$5)%)</f>
        <v>0</v>
      </c>
      <c r="AO25" s="67" t="str">
        <f>IF(LEFT(_xll.BDP($G25,AO$5),1)="#","#LOADING",VLOOKUP(_xll.BDP($G25,AO$5),Static.CouponFrequency,2,FALSE))</f>
        <v>ZERO-COUPON</v>
      </c>
      <c r="AP25" s="68" t="s">
        <v>51</v>
      </c>
      <c r="AQ25" s="53" t="e">
        <f t="shared" si="2"/>
        <v>#N/A</v>
      </c>
      <c r="AR25" s="61" t="s">
        <v>51</v>
      </c>
      <c r="AS25" s="53" t="e">
        <f t="shared" si="3"/>
        <v>#N/A</v>
      </c>
      <c r="AT25" s="61" t="s">
        <v>62</v>
      </c>
      <c r="AU25" s="69">
        <f>IF(LEFT(_xll.BDP($G25,AU$5),1)="#","#LOADING",_xll.BDP($G25,AU$5))</f>
        <v>0</v>
      </c>
      <c r="AV25" s="70"/>
      <c r="AW25" s="69" t="str">
        <f>IF(LEFT(_xll.BDP($G25,AW$5),1)="#","#LOADING","Type"&amp;IF(_xll.BDP($G25,AW$5)=999,1,_xll.BDP($G25,AW$5)))</f>
        <v>Type</v>
      </c>
      <c r="AX25" s="54"/>
      <c r="AZ25" s="61" t="s">
        <v>7</v>
      </c>
      <c r="BA25" s="66">
        <v>1000000</v>
      </c>
      <c r="BB25" s="61" t="s">
        <v>14</v>
      </c>
      <c r="BC25" s="61" t="s">
        <v>17</v>
      </c>
      <c r="BD25" s="70"/>
      <c r="BE25" s="73" t="e">
        <f t="shared" si="4"/>
        <v>#N/A</v>
      </c>
      <c r="BF25" s="74">
        <f t="shared" si="5"/>
        <v>0</v>
      </c>
      <c r="BG25" s="71">
        <v>1</v>
      </c>
      <c r="BH25" s="75">
        <f t="shared" si="6"/>
        <v>0</v>
      </c>
      <c r="BI25" s="61"/>
      <c r="BJ25" s="61"/>
      <c r="BK25" s="72"/>
      <c r="BL25" s="72"/>
      <c r="BM25" s="71"/>
      <c r="BN25" s="76" t="e">
        <f t="shared" si="7"/>
        <v>#VALUE!</v>
      </c>
      <c r="BO25" s="76" t="e">
        <f t="shared" si="8"/>
        <v>#VALUE!</v>
      </c>
      <c r="BP25" s="77" t="str">
        <f t="shared" si="9"/>
        <v>ZERO-COUPON</v>
      </c>
      <c r="BQ25" s="77" t="str">
        <f t="shared" si="10"/>
        <v>ZERO-COUPON</v>
      </c>
      <c r="BR25" s="78">
        <f t="shared" si="11"/>
        <v>0</v>
      </c>
      <c r="BS25" s="61"/>
      <c r="BT25" s="61"/>
      <c r="BU25" s="61" t="s">
        <v>51</v>
      </c>
      <c r="BV25" s="73" t="e">
        <f t="shared" si="12"/>
        <v>#N/A</v>
      </c>
      <c r="BW25" s="61" t="s">
        <v>51</v>
      </c>
      <c r="BX25" s="73" t="e">
        <f t="shared" si="13"/>
        <v>#N/A</v>
      </c>
      <c r="BY25" s="76" t="e">
        <f t="shared" si="14"/>
        <v>#VALUE!</v>
      </c>
      <c r="BZ25" s="76" t="e">
        <f t="shared" si="15"/>
        <v>#VALUE!</v>
      </c>
      <c r="CA25" s="70" t="s">
        <v>80</v>
      </c>
      <c r="CB25" s="61"/>
      <c r="CC25" s="61"/>
      <c r="CD25" s="61" t="s">
        <v>62</v>
      </c>
      <c r="CE25" s="61"/>
      <c r="CF25" s="76" t="str">
        <f t="shared" si="16"/>
        <v>Type</v>
      </c>
      <c r="CH25" s="61" t="s">
        <v>8</v>
      </c>
      <c r="CI25" s="66">
        <v>1000000</v>
      </c>
      <c r="CJ25" s="61" t="s">
        <v>14</v>
      </c>
      <c r="CK25" s="61" t="s">
        <v>18</v>
      </c>
      <c r="CL25" s="53" t="e">
        <f t="shared" si="17"/>
        <v>#N/A</v>
      </c>
      <c r="CM25" s="53" t="e">
        <f t="shared" si="18"/>
        <v>#N/A</v>
      </c>
      <c r="CN25" s="41">
        <f t="shared" si="19"/>
        <v>0</v>
      </c>
      <c r="CO25" s="71">
        <v>1</v>
      </c>
      <c r="CP25" s="81"/>
      <c r="CQ25" s="61" t="s">
        <v>32</v>
      </c>
      <c r="CR25" s="61" t="s">
        <v>32</v>
      </c>
      <c r="CS25" s="72"/>
      <c r="CT25" s="72"/>
      <c r="CU25" s="71"/>
      <c r="CV25" s="82" t="e">
        <f t="shared" si="20"/>
        <v>#VALUE!</v>
      </c>
      <c r="CW25" s="82" t="e">
        <f t="shared" si="21"/>
        <v>#VALUE!</v>
      </c>
      <c r="CX25" s="53">
        <f t="shared" si="22"/>
        <v>0</v>
      </c>
      <c r="CY25" s="53">
        <f t="shared" si="23"/>
        <v>0</v>
      </c>
      <c r="CZ25" s="53" t="e">
        <f t="shared" si="24"/>
        <v>#N/A</v>
      </c>
      <c r="DA25" s="61" t="s">
        <v>58</v>
      </c>
      <c r="DB25" s="53" t="e">
        <f t="shared" si="25"/>
        <v>#N/A</v>
      </c>
      <c r="DC25" s="61" t="s">
        <v>51</v>
      </c>
      <c r="DD25" s="53" t="e">
        <f t="shared" si="26"/>
        <v>#N/A</v>
      </c>
      <c r="DE25" s="61" t="s">
        <v>51</v>
      </c>
      <c r="DF25" s="53" t="e">
        <f t="shared" si="27"/>
        <v>#N/A</v>
      </c>
      <c r="DG25" s="82"/>
      <c r="DH25" s="82"/>
      <c r="DI25" s="70"/>
      <c r="DJ25" s="61" t="s">
        <v>62</v>
      </c>
      <c r="DK25" s="61"/>
      <c r="DL25" s="61" t="s">
        <v>62</v>
      </c>
      <c r="DM25" s="61" t="s">
        <v>75</v>
      </c>
      <c r="DN25" s="82"/>
      <c r="DR25" s="61" t="s">
        <v>7</v>
      </c>
      <c r="DS25" s="66">
        <v>1000000</v>
      </c>
      <c r="DT25" s="61" t="s">
        <v>14</v>
      </c>
      <c r="DU25" s="61" t="s">
        <v>17</v>
      </c>
      <c r="DV25" s="70"/>
      <c r="DW25" s="73" t="e">
        <f t="shared" si="28"/>
        <v>#N/A</v>
      </c>
      <c r="DX25" s="74">
        <f t="shared" si="29"/>
        <v>0</v>
      </c>
      <c r="DY25" s="71">
        <v>1</v>
      </c>
      <c r="DZ25" s="75">
        <f t="shared" si="30"/>
        <v>0</v>
      </c>
      <c r="EA25" s="61"/>
      <c r="EB25" s="61"/>
      <c r="EC25" s="72"/>
      <c r="ED25" s="72"/>
      <c r="EE25" s="71"/>
      <c r="EF25" s="76" t="e">
        <f t="shared" si="31"/>
        <v>#VALUE!</v>
      </c>
      <c r="EG25" s="76" t="e">
        <f t="shared" si="32"/>
        <v>#VALUE!</v>
      </c>
      <c r="EH25" s="77" t="str">
        <f t="shared" si="33"/>
        <v>ZERO-COUPON</v>
      </c>
      <c r="EI25" s="77" t="str">
        <f t="shared" si="34"/>
        <v>ZERO-COUPON</v>
      </c>
      <c r="EJ25" s="78">
        <f t="shared" si="35"/>
        <v>0</v>
      </c>
      <c r="EK25" s="61"/>
      <c r="EL25" s="61"/>
      <c r="EM25" s="61" t="s">
        <v>51</v>
      </c>
      <c r="EN25" s="73" t="e">
        <f t="shared" si="36"/>
        <v>#N/A</v>
      </c>
      <c r="EO25" s="61" t="s">
        <v>51</v>
      </c>
      <c r="EP25" s="73" t="e">
        <f t="shared" si="37"/>
        <v>#N/A</v>
      </c>
      <c r="EQ25" s="76" t="e">
        <f t="shared" si="38"/>
        <v>#VALUE!</v>
      </c>
      <c r="ER25" s="76" t="e">
        <f t="shared" si="39"/>
        <v>#VALUE!</v>
      </c>
      <c r="ES25" s="70" t="s">
        <v>80</v>
      </c>
      <c r="ET25" s="61"/>
      <c r="EU25" s="61"/>
      <c r="EV25" s="61" t="s">
        <v>62</v>
      </c>
      <c r="EW25" s="61"/>
      <c r="EX25" s="76" t="str">
        <f t="shared" si="40"/>
        <v>Type</v>
      </c>
      <c r="EZ25" s="61" t="s">
        <v>8</v>
      </c>
      <c r="FA25" s="66">
        <v>1000000</v>
      </c>
      <c r="FB25" s="61" t="s">
        <v>14</v>
      </c>
      <c r="FC25" s="61" t="s">
        <v>18</v>
      </c>
      <c r="FD25" s="73" t="e">
        <f t="shared" si="41"/>
        <v>#N/A</v>
      </c>
      <c r="FE25" s="73" t="e">
        <f t="shared" si="42"/>
        <v>#N/A</v>
      </c>
      <c r="FF25" s="41">
        <f t="shared" si="43"/>
        <v>0</v>
      </c>
      <c r="FG25" s="71">
        <v>1</v>
      </c>
      <c r="FH25" s="81"/>
      <c r="FI25" s="61" t="s">
        <v>32</v>
      </c>
      <c r="FJ25" s="61" t="s">
        <v>32</v>
      </c>
      <c r="FK25" s="72"/>
      <c r="FL25" s="72"/>
      <c r="FM25" s="71"/>
      <c r="FN25" s="76" t="e">
        <f t="shared" si="44"/>
        <v>#VALUE!</v>
      </c>
      <c r="FO25" s="76" t="e">
        <f t="shared" si="45"/>
        <v>#VALUE!</v>
      </c>
      <c r="FP25" s="73">
        <f t="shared" si="46"/>
        <v>0</v>
      </c>
      <c r="FQ25" s="73">
        <f t="shared" si="47"/>
        <v>0</v>
      </c>
      <c r="FR25" s="73" t="e">
        <f t="shared" si="48"/>
        <v>#N/A</v>
      </c>
      <c r="FS25" s="61" t="s">
        <v>58</v>
      </c>
      <c r="FT25" s="73" t="e">
        <f t="shared" si="49"/>
        <v>#N/A</v>
      </c>
      <c r="FU25" s="61" t="s">
        <v>51</v>
      </c>
      <c r="FV25" s="73" t="e">
        <f t="shared" si="50"/>
        <v>#N/A</v>
      </c>
      <c r="FW25" s="61" t="s">
        <v>51</v>
      </c>
      <c r="FX25" s="73" t="e">
        <f t="shared" si="51"/>
        <v>#N/A</v>
      </c>
      <c r="FY25" s="82"/>
      <c r="FZ25" s="82"/>
      <c r="GA25" s="70"/>
      <c r="GB25" s="61" t="s">
        <v>62</v>
      </c>
      <c r="GC25" s="61"/>
      <c r="GD25" s="61" t="s">
        <v>62</v>
      </c>
      <c r="GE25" s="61" t="s">
        <v>75</v>
      </c>
      <c r="GF25" s="82"/>
      <c r="GJ25" s="95">
        <f t="shared" si="52"/>
        <v>0</v>
      </c>
      <c r="GK25" s="42">
        <f>IF(LEFT(_xll.BDP($C25,GK$5),1)="#","#LOADING",_xll.BDP($C25,GK$5))</f>
        <v>0</v>
      </c>
      <c r="GL25" s="74">
        <f t="shared" si="53"/>
        <v>0</v>
      </c>
      <c r="GM25" s="74" t="e">
        <f t="shared" si="54"/>
        <v>#VALUE!</v>
      </c>
      <c r="GN25" s="64" t="s">
        <v>20</v>
      </c>
      <c r="GO25" s="42" t="b">
        <f>IF(LEFT(_xll.BDP($C25,GO$5),1)="#","#LOADING",IF(_xll.BDP($C25,GO$5)="CLEAN",TRUE,FALSE))</f>
        <v>0</v>
      </c>
      <c r="GP25" s="64" t="s">
        <v>26</v>
      </c>
      <c r="GQ25" s="61" t="s">
        <v>18</v>
      </c>
      <c r="GR25" s="65" t="s">
        <v>28</v>
      </c>
      <c r="GS25" s="66">
        <v>1000000</v>
      </c>
      <c r="GT25" s="96" t="e">
        <f>IF(LEFT(_xll.BDP($C25,GT$5),1)="#","#LOADING",DATEVALUE(_xll.BDP($C25,GT$5)))</f>
        <v>#VALUE!</v>
      </c>
      <c r="GU25" s="96" t="e">
        <f>IF(LEFT(_xll.BDP($C25,GU$5),1)="#","#LOADING",DATEVALUE(_xll.BDP($C25,GU$5)))</f>
        <v>#VALUE!</v>
      </c>
      <c r="GV25" s="96" t="e">
        <f>IF(LEFT(_xll.BDP($C25,GV$5),1)="#","#LOADING",DATEVALUE(_xll.BDP($C25,GV$5)))</f>
        <v>#VALUE!</v>
      </c>
      <c r="GW25" s="96" t="e">
        <f>IF(LEFT(_xll.BDP($C25,GW$5),1)="#","#LOADING",DATEVALUE(_xll.BDP($C25,GW$5)))</f>
        <v>#VALUE!</v>
      </c>
      <c r="GX25" s="96" t="e">
        <f>IF(LEFT(_xll.BDP($C25,GX$5),1)="#","#LOADING",DATEVALUE(_xll.BDP($C25,GX$5)))</f>
        <v>#VALUE!</v>
      </c>
      <c r="GY25" s="97">
        <f>IF(LEFT(_xll.BDP($C25,GY$5),1)="#","#LOADING",_xll.BDP($C25,GY$5)%)</f>
        <v>0</v>
      </c>
      <c r="GZ25" s="97" t="str">
        <f>IF(LEFT(_xll.BDP($C25,GZ$5),1)="#","#LOADING",VLOOKUP(_xll.BDP($C25,GZ$5),Static.CouponFrequency,2,FALSE))</f>
        <v>ZERO-COUPON</v>
      </c>
      <c r="HA25" s="68" t="s">
        <v>51</v>
      </c>
      <c r="HB25" s="73" t="e">
        <f t="shared" si="55"/>
        <v>#N/A</v>
      </c>
      <c r="HC25" s="61" t="s">
        <v>51</v>
      </c>
      <c r="HD25" s="73" t="e">
        <f t="shared" si="56"/>
        <v>#N/A</v>
      </c>
      <c r="HE25" s="61" t="s">
        <v>62</v>
      </c>
      <c r="HF25" s="43">
        <f>IF(LEFT(_xll.BDP($C25,HF$5),1)="#","#LOADING",_xll.BDP($C25,HF$5))</f>
        <v>0</v>
      </c>
      <c r="HG25" s="70"/>
      <c r="HH25" s="43" t="str">
        <f>IF(LEFT(_xll.BDP($C25,HH$5),1)="#","#LOADING","Type"&amp;IF(_xll.BDP($C25,HH$5)=999,1,_xll.BDP($C25,HH$5)))</f>
        <v>Type</v>
      </c>
    </row>
    <row r="26" spans="1:216">
      <c r="A26" s="101">
        <v>20</v>
      </c>
      <c r="B26" s="57"/>
      <c r="C26" s="57"/>
      <c r="D26" s="57"/>
      <c r="E26" s="57"/>
      <c r="F26" s="57"/>
      <c r="G26" s="57"/>
      <c r="H26" s="57"/>
      <c r="I26" s="57"/>
      <c r="J26" s="101">
        <v>20</v>
      </c>
      <c r="K26" s="58" t="s">
        <v>163</v>
      </c>
      <c r="L26" s="59" t="str">
        <f>IF(ISBLANK(M26),IF($G26="","",_xll.BDP(AB26&amp;" "&amp;$K26&amp;" Corp","PX_LAST")),M26)</f>
        <v/>
      </c>
      <c r="M26" s="60"/>
      <c r="N26" s="83" t="str">
        <f ca="1">IF(ISBLANK($O26),IF($G26="","",_xll.meLWOAssetSwapSpread($U26,$T26,$L26,INDIRECT("ValuationSettings"&amp;$CN26),INDIRECT("Fixings"&amp;$CN26&amp;IF($I26="QUARTERLY","3ML","6ML")))),$O26)</f>
        <v/>
      </c>
      <c r="O26" s="60"/>
      <c r="P26" s="84" t="str">
        <f ca="1">IF($C26="","",_xll.meLWOAssetSwapSpreadToCleanPrice($V26,$N26,INDIRECT("ValuationSettings"&amp;$DX26),INDIRECT("Fixings"&amp;$DX26&amp;IF($E26="QUARTERLY","3ML","6ML"))))</f>
        <v/>
      </c>
      <c r="Q26" s="84" t="str">
        <f ca="1">IF($C26="","",_xll.meLWOBondPriceFromCleanToDirty($W26,INDIRECT("ValuationDate"&amp;$D26),$P26))</f>
        <v/>
      </c>
      <c r="R26" s="98" t="str">
        <f ca="1">IF($C26="","",_xll.meLWOBondYield($W26,INDIRECT("ValuationDate"&amp;$D26),IF($GO26,$P26,$Q26)))</f>
        <v/>
      </c>
      <c r="S26" s="101">
        <v>20</v>
      </c>
      <c r="T26" s="53" t="str">
        <f>IF($G26="","",IF(LEFT(Z26,1)="#","#LOADING",_xll.meLWOBondCreateFromLVB("PROXY_BOND_"&amp;$AB26,_xll.meUtilityLVBFromKeysValues($Y$6:$AW$6,$Y26:$AW26))))</f>
        <v/>
      </c>
      <c r="U26" s="53" t="str">
        <f>IF($G26="","",_xll.meLWOSwapCreate("PROXY_ASW_"&amp;$AB26,_xll.meUtilityLVBFromKeysAndMultipleValues($AZ$6:$CF$6,$AZ26:$CF26,$CH26:$DN26)))</f>
        <v/>
      </c>
      <c r="V26" s="53" t="str">
        <f>IF($C26="","",_xll.meLWOSwapCreate("BOND_ASW_"&amp;$GM26,_xll.meUtilityLVBFromKeysAndMultipleValues($DR$6:$EX$6,$DR26:$EX26,$EZ26:$GF26)))</f>
        <v/>
      </c>
      <c r="W26" s="53" t="str">
        <f>IF($C26="","",IF(LEFT(GK26,1)="#","#LOADING",_xll.meLWOBondCreateFromLVB("PROXY_BOND_"&amp;$GM26,_xll.meUtilityLVBFromKeysValues($GJ$6:$HH$6,$GJ26:$HH26))))</f>
        <v/>
      </c>
      <c r="X26" t="s">
        <v>0</v>
      </c>
      <c r="Y26" s="62">
        <f t="shared" si="0"/>
        <v>0</v>
      </c>
      <c r="Z26" s="63">
        <f>IF(LEFT(_xll.BDP($G26,Z$5),1)="#","#LOADING",_xll.BDP($G26,Z$5))</f>
        <v>0</v>
      </c>
      <c r="AA26" s="41">
        <f t="shared" si="1"/>
        <v>0</v>
      </c>
      <c r="AB26" s="63">
        <f>IF(LEFT(_xll.BDP($G26,AB$5),1)="#","#LOADING",_xll.BDP($G26,AB$5))</f>
        <v>0</v>
      </c>
      <c r="AC26" s="64" t="s">
        <v>20</v>
      </c>
      <c r="AD26" s="63" t="b">
        <f>IF(LEFT(_xll.BDP($G26,AD$5),1)="#","#LOADING",IF(_xll.BDP($G26,AD$5)="CLEAN",TRUE,FALSE))</f>
        <v>0</v>
      </c>
      <c r="AE26" s="64" t="s">
        <v>26</v>
      </c>
      <c r="AF26" s="61" t="s">
        <v>18</v>
      </c>
      <c r="AG26" s="65" t="s">
        <v>28</v>
      </c>
      <c r="AH26" s="66">
        <v>1000000</v>
      </c>
      <c r="AI26" s="63" t="e">
        <f>IF(LEFT(_xll.BDP($G26,AI$5),1)="#","#LOADING",DATEVALUE(_xll.BDP($G26,AI$5)))</f>
        <v>#VALUE!</v>
      </c>
      <c r="AJ26" s="63" t="e">
        <f>IF(LEFT(_xll.BDP($G26,AJ$5),1)="#","#LOADING",DATEVALUE(_xll.BDP($G26,AJ$5)))</f>
        <v>#VALUE!</v>
      </c>
      <c r="AK26" s="63" t="e">
        <f>IF(LEFT(_xll.BDP($G26,AK$5),1)="#","#LOADING",DATEVALUE(_xll.BDP($G26,AK$5)))</f>
        <v>#VALUE!</v>
      </c>
      <c r="AL26" s="63" t="e">
        <f>IF(LEFT(_xll.BDP($G26,AL$5),1)="#","#LOADING",DATEVALUE(_xll.BDP($G26,AL$5)))</f>
        <v>#VALUE!</v>
      </c>
      <c r="AM26" s="63" t="e">
        <f>IF(LEFT(_xll.BDP($G26,AM$5),1)="#","#LOADING",DATEVALUE(_xll.BDP($G26,AM$5)))</f>
        <v>#VALUE!</v>
      </c>
      <c r="AN26" s="67">
        <f>IF(LEFT(_xll.BDP($G26,AN$5),1)="#","#LOADING",_xll.BDP($G26,AN$5)%)</f>
        <v>0</v>
      </c>
      <c r="AO26" s="67" t="str">
        <f>IF(LEFT(_xll.BDP($G26,AO$5),1)="#","#LOADING",VLOOKUP(_xll.BDP($G26,AO$5),Static.CouponFrequency,2,FALSE))</f>
        <v>ZERO-COUPON</v>
      </c>
      <c r="AP26" s="68" t="s">
        <v>51</v>
      </c>
      <c r="AQ26" s="53" t="e">
        <f t="shared" si="2"/>
        <v>#N/A</v>
      </c>
      <c r="AR26" s="61" t="s">
        <v>51</v>
      </c>
      <c r="AS26" s="53" t="e">
        <f t="shared" si="3"/>
        <v>#N/A</v>
      </c>
      <c r="AT26" s="61" t="s">
        <v>62</v>
      </c>
      <c r="AU26" s="69">
        <f>IF(LEFT(_xll.BDP($G26,AU$5),1)="#","#LOADING",_xll.BDP($G26,AU$5))</f>
        <v>0</v>
      </c>
      <c r="AV26" s="70"/>
      <c r="AW26" s="69" t="str">
        <f>IF(LEFT(_xll.BDP($G26,AW$5),1)="#","#LOADING","Type"&amp;IF(_xll.BDP($G26,AW$5)=999,1,_xll.BDP($G26,AW$5)))</f>
        <v>Type</v>
      </c>
      <c r="AX26" s="54"/>
      <c r="AZ26" s="61" t="s">
        <v>7</v>
      </c>
      <c r="BA26" s="66">
        <v>1000000</v>
      </c>
      <c r="BB26" s="61" t="s">
        <v>14</v>
      </c>
      <c r="BC26" s="61" t="s">
        <v>17</v>
      </c>
      <c r="BD26" s="70"/>
      <c r="BE26" s="73" t="e">
        <f t="shared" si="4"/>
        <v>#N/A</v>
      </c>
      <c r="BF26" s="74">
        <f t="shared" si="5"/>
        <v>0</v>
      </c>
      <c r="BG26" s="71">
        <v>1</v>
      </c>
      <c r="BH26" s="75">
        <f t="shared" si="6"/>
        <v>0</v>
      </c>
      <c r="BI26" s="61"/>
      <c r="BJ26" s="61"/>
      <c r="BK26" s="72"/>
      <c r="BL26" s="72"/>
      <c r="BM26" s="71"/>
      <c r="BN26" s="76" t="e">
        <f t="shared" si="7"/>
        <v>#VALUE!</v>
      </c>
      <c r="BO26" s="76" t="e">
        <f t="shared" si="8"/>
        <v>#VALUE!</v>
      </c>
      <c r="BP26" s="77" t="str">
        <f t="shared" si="9"/>
        <v>ZERO-COUPON</v>
      </c>
      <c r="BQ26" s="77" t="str">
        <f t="shared" si="10"/>
        <v>ZERO-COUPON</v>
      </c>
      <c r="BR26" s="78">
        <f t="shared" si="11"/>
        <v>0</v>
      </c>
      <c r="BS26" s="61"/>
      <c r="BT26" s="61"/>
      <c r="BU26" s="61" t="s">
        <v>51</v>
      </c>
      <c r="BV26" s="73" t="e">
        <f t="shared" si="12"/>
        <v>#N/A</v>
      </c>
      <c r="BW26" s="61" t="s">
        <v>51</v>
      </c>
      <c r="BX26" s="73" t="e">
        <f t="shared" si="13"/>
        <v>#N/A</v>
      </c>
      <c r="BY26" s="76" t="e">
        <f t="shared" si="14"/>
        <v>#VALUE!</v>
      </c>
      <c r="BZ26" s="76" t="e">
        <f t="shared" si="15"/>
        <v>#VALUE!</v>
      </c>
      <c r="CA26" s="70" t="s">
        <v>80</v>
      </c>
      <c r="CB26" s="61"/>
      <c r="CC26" s="61"/>
      <c r="CD26" s="61" t="s">
        <v>62</v>
      </c>
      <c r="CE26" s="61"/>
      <c r="CF26" s="76" t="str">
        <f t="shared" si="16"/>
        <v>Type</v>
      </c>
      <c r="CH26" s="61" t="s">
        <v>8</v>
      </c>
      <c r="CI26" s="66">
        <v>1000000</v>
      </c>
      <c r="CJ26" s="61" t="s">
        <v>14</v>
      </c>
      <c r="CK26" s="61" t="s">
        <v>18</v>
      </c>
      <c r="CL26" s="53" t="e">
        <f t="shared" si="17"/>
        <v>#N/A</v>
      </c>
      <c r="CM26" s="53" t="e">
        <f t="shared" si="18"/>
        <v>#N/A</v>
      </c>
      <c r="CN26" s="41">
        <f t="shared" si="19"/>
        <v>0</v>
      </c>
      <c r="CO26" s="71">
        <v>1</v>
      </c>
      <c r="CP26" s="81"/>
      <c r="CQ26" s="61" t="s">
        <v>32</v>
      </c>
      <c r="CR26" s="61" t="s">
        <v>32</v>
      </c>
      <c r="CS26" s="72"/>
      <c r="CT26" s="72"/>
      <c r="CU26" s="71"/>
      <c r="CV26" s="82" t="e">
        <f t="shared" si="20"/>
        <v>#VALUE!</v>
      </c>
      <c r="CW26" s="82" t="e">
        <f t="shared" si="21"/>
        <v>#VALUE!</v>
      </c>
      <c r="CX26" s="53">
        <f t="shared" si="22"/>
        <v>0</v>
      </c>
      <c r="CY26" s="53">
        <f t="shared" si="23"/>
        <v>0</v>
      </c>
      <c r="CZ26" s="53" t="e">
        <f t="shared" si="24"/>
        <v>#N/A</v>
      </c>
      <c r="DA26" s="61" t="s">
        <v>58</v>
      </c>
      <c r="DB26" s="53" t="e">
        <f t="shared" si="25"/>
        <v>#N/A</v>
      </c>
      <c r="DC26" s="61" t="s">
        <v>51</v>
      </c>
      <c r="DD26" s="53" t="e">
        <f t="shared" si="26"/>
        <v>#N/A</v>
      </c>
      <c r="DE26" s="61" t="s">
        <v>51</v>
      </c>
      <c r="DF26" s="53" t="e">
        <f t="shared" si="27"/>
        <v>#N/A</v>
      </c>
      <c r="DG26" s="82"/>
      <c r="DH26" s="82"/>
      <c r="DI26" s="70"/>
      <c r="DJ26" s="61" t="s">
        <v>62</v>
      </c>
      <c r="DK26" s="61"/>
      <c r="DL26" s="61" t="s">
        <v>62</v>
      </c>
      <c r="DM26" s="61" t="s">
        <v>75</v>
      </c>
      <c r="DN26" s="82"/>
      <c r="DR26" s="61" t="s">
        <v>7</v>
      </c>
      <c r="DS26" s="66">
        <v>1000000</v>
      </c>
      <c r="DT26" s="61" t="s">
        <v>14</v>
      </c>
      <c r="DU26" s="61" t="s">
        <v>17</v>
      </c>
      <c r="DV26" s="70"/>
      <c r="DW26" s="73" t="e">
        <f t="shared" si="28"/>
        <v>#N/A</v>
      </c>
      <c r="DX26" s="74">
        <f t="shared" si="29"/>
        <v>0</v>
      </c>
      <c r="DY26" s="71">
        <v>1</v>
      </c>
      <c r="DZ26" s="75">
        <f t="shared" si="30"/>
        <v>0</v>
      </c>
      <c r="EA26" s="61"/>
      <c r="EB26" s="61"/>
      <c r="EC26" s="72"/>
      <c r="ED26" s="72"/>
      <c r="EE26" s="71"/>
      <c r="EF26" s="76" t="e">
        <f t="shared" si="31"/>
        <v>#VALUE!</v>
      </c>
      <c r="EG26" s="76" t="e">
        <f t="shared" si="32"/>
        <v>#VALUE!</v>
      </c>
      <c r="EH26" s="77" t="str">
        <f t="shared" si="33"/>
        <v>ZERO-COUPON</v>
      </c>
      <c r="EI26" s="77" t="str">
        <f t="shared" si="34"/>
        <v>ZERO-COUPON</v>
      </c>
      <c r="EJ26" s="78">
        <f t="shared" si="35"/>
        <v>0</v>
      </c>
      <c r="EK26" s="61"/>
      <c r="EL26" s="61"/>
      <c r="EM26" s="61" t="s">
        <v>51</v>
      </c>
      <c r="EN26" s="73" t="e">
        <f t="shared" si="36"/>
        <v>#N/A</v>
      </c>
      <c r="EO26" s="61" t="s">
        <v>51</v>
      </c>
      <c r="EP26" s="73" t="e">
        <f t="shared" si="37"/>
        <v>#N/A</v>
      </c>
      <c r="EQ26" s="76" t="e">
        <f t="shared" si="38"/>
        <v>#VALUE!</v>
      </c>
      <c r="ER26" s="76" t="e">
        <f t="shared" si="39"/>
        <v>#VALUE!</v>
      </c>
      <c r="ES26" s="70" t="s">
        <v>80</v>
      </c>
      <c r="ET26" s="61"/>
      <c r="EU26" s="61"/>
      <c r="EV26" s="61" t="s">
        <v>62</v>
      </c>
      <c r="EW26" s="61"/>
      <c r="EX26" s="76" t="str">
        <f t="shared" si="40"/>
        <v>Type</v>
      </c>
      <c r="EZ26" s="61" t="s">
        <v>8</v>
      </c>
      <c r="FA26" s="66">
        <v>1000000</v>
      </c>
      <c r="FB26" s="61" t="s">
        <v>14</v>
      </c>
      <c r="FC26" s="61" t="s">
        <v>18</v>
      </c>
      <c r="FD26" s="73" t="e">
        <f t="shared" si="41"/>
        <v>#N/A</v>
      </c>
      <c r="FE26" s="73" t="e">
        <f t="shared" si="42"/>
        <v>#N/A</v>
      </c>
      <c r="FF26" s="41">
        <f t="shared" si="43"/>
        <v>0</v>
      </c>
      <c r="FG26" s="71">
        <v>1</v>
      </c>
      <c r="FH26" s="81"/>
      <c r="FI26" s="61" t="s">
        <v>32</v>
      </c>
      <c r="FJ26" s="61" t="s">
        <v>32</v>
      </c>
      <c r="FK26" s="72"/>
      <c r="FL26" s="72"/>
      <c r="FM26" s="71"/>
      <c r="FN26" s="76" t="e">
        <f t="shared" si="44"/>
        <v>#VALUE!</v>
      </c>
      <c r="FO26" s="76" t="e">
        <f t="shared" si="45"/>
        <v>#VALUE!</v>
      </c>
      <c r="FP26" s="73">
        <f t="shared" si="46"/>
        <v>0</v>
      </c>
      <c r="FQ26" s="73">
        <f t="shared" si="47"/>
        <v>0</v>
      </c>
      <c r="FR26" s="73" t="e">
        <f t="shared" si="48"/>
        <v>#N/A</v>
      </c>
      <c r="FS26" s="61" t="s">
        <v>58</v>
      </c>
      <c r="FT26" s="73" t="e">
        <f t="shared" si="49"/>
        <v>#N/A</v>
      </c>
      <c r="FU26" s="61" t="s">
        <v>51</v>
      </c>
      <c r="FV26" s="73" t="e">
        <f t="shared" si="50"/>
        <v>#N/A</v>
      </c>
      <c r="FW26" s="61" t="s">
        <v>51</v>
      </c>
      <c r="FX26" s="73" t="e">
        <f t="shared" si="51"/>
        <v>#N/A</v>
      </c>
      <c r="FY26" s="82"/>
      <c r="FZ26" s="82"/>
      <c r="GA26" s="70"/>
      <c r="GB26" s="61" t="s">
        <v>62</v>
      </c>
      <c r="GC26" s="61"/>
      <c r="GD26" s="61" t="s">
        <v>62</v>
      </c>
      <c r="GE26" s="61" t="s">
        <v>75</v>
      </c>
      <c r="GF26" s="82"/>
      <c r="GJ26" s="95">
        <f t="shared" si="52"/>
        <v>0</v>
      </c>
      <c r="GK26" s="42">
        <f>IF(LEFT(_xll.BDP($C26,GK$5),1)="#","#LOADING",_xll.BDP($C26,GK$5))</f>
        <v>0</v>
      </c>
      <c r="GL26" s="74">
        <f t="shared" si="53"/>
        <v>0</v>
      </c>
      <c r="GM26" s="74" t="e">
        <f t="shared" si="54"/>
        <v>#VALUE!</v>
      </c>
      <c r="GN26" s="64" t="s">
        <v>20</v>
      </c>
      <c r="GO26" s="42" t="b">
        <f>IF(LEFT(_xll.BDP($C26,GO$5),1)="#","#LOADING",IF(_xll.BDP($C26,GO$5)="CLEAN",TRUE,FALSE))</f>
        <v>0</v>
      </c>
      <c r="GP26" s="64" t="s">
        <v>26</v>
      </c>
      <c r="GQ26" s="61" t="s">
        <v>18</v>
      </c>
      <c r="GR26" s="65" t="s">
        <v>28</v>
      </c>
      <c r="GS26" s="66">
        <v>1000000</v>
      </c>
      <c r="GT26" s="96" t="e">
        <f>IF(LEFT(_xll.BDP($C26,GT$5),1)="#","#LOADING",DATEVALUE(_xll.BDP($C26,GT$5)))</f>
        <v>#VALUE!</v>
      </c>
      <c r="GU26" s="96" t="e">
        <f>IF(LEFT(_xll.BDP($C26,GU$5),1)="#","#LOADING",DATEVALUE(_xll.BDP($C26,GU$5)))</f>
        <v>#VALUE!</v>
      </c>
      <c r="GV26" s="96" t="e">
        <f>IF(LEFT(_xll.BDP($C26,GV$5),1)="#","#LOADING",DATEVALUE(_xll.BDP($C26,GV$5)))</f>
        <v>#VALUE!</v>
      </c>
      <c r="GW26" s="96" t="e">
        <f>IF(LEFT(_xll.BDP($C26,GW$5),1)="#","#LOADING",DATEVALUE(_xll.BDP($C26,GW$5)))</f>
        <v>#VALUE!</v>
      </c>
      <c r="GX26" s="96" t="e">
        <f>IF(LEFT(_xll.BDP($C26,GX$5),1)="#","#LOADING",DATEVALUE(_xll.BDP($C26,GX$5)))</f>
        <v>#VALUE!</v>
      </c>
      <c r="GY26" s="97">
        <f>IF(LEFT(_xll.BDP($C26,GY$5),1)="#","#LOADING",_xll.BDP($C26,GY$5)%)</f>
        <v>0</v>
      </c>
      <c r="GZ26" s="97" t="str">
        <f>IF(LEFT(_xll.BDP($C26,GZ$5),1)="#","#LOADING",VLOOKUP(_xll.BDP($C26,GZ$5),Static.CouponFrequency,2,FALSE))</f>
        <v>ZERO-COUPON</v>
      </c>
      <c r="HA26" s="68" t="s">
        <v>51</v>
      </c>
      <c r="HB26" s="73" t="e">
        <f t="shared" si="55"/>
        <v>#N/A</v>
      </c>
      <c r="HC26" s="61" t="s">
        <v>51</v>
      </c>
      <c r="HD26" s="73" t="e">
        <f t="shared" si="56"/>
        <v>#N/A</v>
      </c>
      <c r="HE26" s="61" t="s">
        <v>62</v>
      </c>
      <c r="HF26" s="43">
        <f>IF(LEFT(_xll.BDP($C26,HF$5),1)="#","#LOADING",_xll.BDP($C26,HF$5))</f>
        <v>0</v>
      </c>
      <c r="HG26" s="70"/>
      <c r="HH26" s="43" t="str">
        <f>IF(LEFT(_xll.BDP($C26,HH$5),1)="#","#LOADING","Type"&amp;IF(_xll.BDP($C26,HH$5)=999,1,_xll.BDP($C26,HH$5)))</f>
        <v>Type</v>
      </c>
    </row>
    <row r="27" spans="1:216">
      <c r="A27" t="s">
        <v>0</v>
      </c>
      <c r="B27" t="s">
        <v>0</v>
      </c>
      <c r="C27" t="s">
        <v>0</v>
      </c>
      <c r="D27" t="s">
        <v>0</v>
      </c>
      <c r="E27" t="s">
        <v>0</v>
      </c>
      <c r="F27" t="s">
        <v>0</v>
      </c>
      <c r="G27" t="s">
        <v>0</v>
      </c>
      <c r="H27" t="s">
        <v>0</v>
      </c>
      <c r="I27" t="s">
        <v>0</v>
      </c>
      <c r="J27" t="s">
        <v>0</v>
      </c>
      <c r="K27" t="s">
        <v>0</v>
      </c>
      <c r="L27" t="s">
        <v>0</v>
      </c>
      <c r="M27" t="s">
        <v>0</v>
      </c>
      <c r="N27" t="s">
        <v>0</v>
      </c>
      <c r="O27" t="s">
        <v>0</v>
      </c>
      <c r="P27" t="s">
        <v>0</v>
      </c>
      <c r="Q27" t="s">
        <v>0</v>
      </c>
      <c r="R27" t="s">
        <v>0</v>
      </c>
      <c r="S27" t="s">
        <v>0</v>
      </c>
      <c r="T27" t="s">
        <v>0</v>
      </c>
      <c r="U27" t="s">
        <v>0</v>
      </c>
      <c r="V27" t="s">
        <v>0</v>
      </c>
      <c r="W27" t="s">
        <v>0</v>
      </c>
    </row>
    <row r="28" spans="1:216">
      <c r="N28" s="125"/>
    </row>
    <row r="29" spans="1:216">
      <c r="P29" s="125"/>
    </row>
    <row r="31" spans="1:216">
      <c r="Q31" s="125"/>
    </row>
    <row r="32" spans="1:216">
      <c r="R32" s="126"/>
    </row>
    <row r="34" spans="17:22">
      <c r="Q34" s="125"/>
    </row>
    <row r="35" spans="17:22">
      <c r="R35" s="126"/>
    </row>
    <row r="38" spans="17:22">
      <c r="T38" s="9"/>
      <c r="U38" s="9"/>
      <c r="V38" s="9"/>
    </row>
    <row r="39" spans="17:22">
      <c r="T39" s="9"/>
      <c r="U39" s="9"/>
      <c r="V39" s="9"/>
    </row>
    <row r="40" spans="17:22">
      <c r="T40" s="9"/>
      <c r="U40" s="9"/>
      <c r="V40" s="9"/>
    </row>
    <row r="41" spans="17:22">
      <c r="T41" s="9"/>
      <c r="U41" s="9"/>
      <c r="V41" s="9"/>
    </row>
    <row r="42" spans="17:22">
      <c r="T42" s="9"/>
      <c r="U42" s="9"/>
      <c r="V42" s="9"/>
    </row>
    <row r="43" spans="17:22">
      <c r="T43" s="9"/>
      <c r="U43" s="9"/>
      <c r="V43" s="9"/>
    </row>
    <row r="44" spans="17:22">
      <c r="T44" s="9"/>
      <c r="U44" s="9"/>
      <c r="V44" s="9"/>
    </row>
    <row r="45" spans="17:22">
      <c r="T45" s="9"/>
      <c r="U45" s="9"/>
      <c r="V45" s="9"/>
    </row>
    <row r="46" spans="17:22">
      <c r="T46" s="9"/>
      <c r="U46" s="9"/>
      <c r="V46" s="9"/>
    </row>
    <row r="47" spans="17:22">
      <c r="T47" s="9"/>
      <c r="U47" s="9"/>
      <c r="V47" s="9"/>
    </row>
    <row r="48" spans="17:22">
      <c r="T48" s="9"/>
      <c r="U48" s="9"/>
      <c r="V48" s="9"/>
    </row>
    <row r="49" spans="20:22">
      <c r="T49" s="9"/>
      <c r="U49" s="9"/>
      <c r="V49" s="9"/>
    </row>
    <row r="50" spans="20:22">
      <c r="T50" s="9"/>
      <c r="U50" s="9"/>
      <c r="V50" s="9"/>
    </row>
    <row r="51" spans="20:22">
      <c r="T51" s="9"/>
      <c r="U51" s="9"/>
      <c r="V51" s="9"/>
    </row>
    <row r="52" spans="20:22">
      <c r="T52" s="9"/>
      <c r="U52" s="9"/>
      <c r="V52" s="9"/>
    </row>
    <row r="53" spans="20:22">
      <c r="T53" s="9"/>
      <c r="U53" s="9"/>
      <c r="V53" s="9"/>
    </row>
    <row r="54" spans="20:22">
      <c r="T54" s="9"/>
      <c r="U54" s="9"/>
      <c r="V54" s="9"/>
    </row>
    <row r="55" spans="20:22">
      <c r="T55" s="9"/>
      <c r="U55" s="9"/>
      <c r="V55" s="9"/>
    </row>
    <row r="56" spans="20:22">
      <c r="T56" s="9"/>
      <c r="U56" s="9"/>
      <c r="V56" s="9"/>
    </row>
    <row r="57" spans="20:22">
      <c r="T57" s="9"/>
      <c r="U57" s="9"/>
      <c r="V57" s="9"/>
    </row>
    <row r="58" spans="20:22">
      <c r="T58" s="9"/>
      <c r="U58" s="9"/>
      <c r="V58" s="9"/>
    </row>
    <row r="59" spans="20:22">
      <c r="T59" s="9"/>
      <c r="U59" s="9"/>
      <c r="V59" s="9"/>
    </row>
    <row r="60" spans="20:22">
      <c r="T60" s="9"/>
      <c r="U60" s="9"/>
      <c r="V60" s="9"/>
    </row>
    <row r="61" spans="20:22">
      <c r="T61" s="9"/>
      <c r="U61" s="9"/>
      <c r="V61" s="9"/>
    </row>
    <row r="62" spans="20:22">
      <c r="T62" s="9"/>
      <c r="U62" s="9"/>
      <c r="V62" s="9"/>
    </row>
    <row r="63" spans="20:22">
      <c r="T63" s="9"/>
      <c r="U63" s="9"/>
      <c r="V63" s="9"/>
    </row>
    <row r="64" spans="20:22">
      <c r="T64" s="9"/>
      <c r="U64" s="9"/>
      <c r="V64" s="9"/>
    </row>
    <row r="65" spans="20:22">
      <c r="T65" s="9"/>
      <c r="U65" s="9"/>
      <c r="V65" s="9"/>
    </row>
    <row r="66" spans="20:22">
      <c r="T66" s="9"/>
      <c r="U66" s="9"/>
      <c r="V66" s="9"/>
    </row>
    <row r="67" spans="20:22">
      <c r="T67" s="9"/>
      <c r="U67" s="9"/>
      <c r="V67" s="9"/>
    </row>
    <row r="68" spans="20:22">
      <c r="T68" s="9"/>
      <c r="U68" s="9"/>
      <c r="V68" s="9"/>
    </row>
    <row r="69" spans="20:22">
      <c r="T69" s="9"/>
      <c r="U69" s="9"/>
      <c r="V69" s="9"/>
    </row>
    <row r="70" spans="20:22">
      <c r="T70" s="9"/>
      <c r="U70" s="9"/>
      <c r="V70" s="9"/>
    </row>
    <row r="71" spans="20:22">
      <c r="T71" s="9"/>
      <c r="U71" s="9"/>
      <c r="V71" s="9"/>
    </row>
    <row r="72" spans="20:22">
      <c r="T72" s="9"/>
      <c r="U72" s="9"/>
      <c r="V72" s="9"/>
    </row>
    <row r="73" spans="20:22">
      <c r="T73" s="9"/>
      <c r="U73" s="9"/>
      <c r="V73" s="9"/>
    </row>
  </sheetData>
  <dataValidations disablePrompts="1" count="3">
    <dataValidation type="list" allowBlank="1" showInputMessage="1" showErrorMessage="1" sqref="AP7:AP26 HA7:HA26">
      <formula1>"None,ShortStart,ShortEnd,LongStart,LongEnd,SS,SE,LS,LE"</formula1>
    </dataValidation>
    <dataValidation type="list" allowBlank="1" showInputMessage="1" showErrorMessage="1" sqref="AV7:AV26 HG7:HG26">
      <formula1>"EOM,IMM,1,2,3,4,5,6,7,8,9,10,11,12,13,14,15,16,17,18,19,20,21,22,23,24,25,26,27,28,29,30,31"</formula1>
    </dataValidation>
    <dataValidation type="list" allowBlank="1" showInputMessage="1" showErrorMessage="1" sqref="CX7:CY26 FP7:FQ26">
      <formula1>"QUARTERLY,SEMI-ANNUAL"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6" tint="0.79998168889431442"/>
  </sheetPr>
  <dimension ref="A1:N27"/>
  <sheetViews>
    <sheetView showGridLines="0" zoomScaleNormal="100" workbookViewId="0">
      <pane ySplit="6" topLeftCell="A7" activePane="bottomLeft" state="frozen"/>
      <selection activeCell="H1" sqref="H1"/>
      <selection pane="bottomLeft" activeCell="G43" sqref="G43"/>
    </sheetView>
  </sheetViews>
  <sheetFormatPr defaultRowHeight="15"/>
  <cols>
    <col min="1" max="1" width="4.7109375" customWidth="1"/>
    <col min="2" max="9" width="12.7109375" customWidth="1"/>
    <col min="10" max="10" width="4.7109375" customWidth="1"/>
    <col min="11" max="14" width="35.7109375" customWidth="1"/>
  </cols>
  <sheetData>
    <row r="1" spans="1:14" s="123" customFormat="1"/>
    <row r="3" spans="1:14">
      <c r="B3" s="1" t="s">
        <v>184</v>
      </c>
      <c r="E3" s="1"/>
      <c r="G3" s="1"/>
      <c r="K3" s="1" t="s">
        <v>183</v>
      </c>
    </row>
    <row r="4" spans="1:14">
      <c r="B4" s="124" t="s">
        <v>185</v>
      </c>
      <c r="C4" s="86"/>
      <c r="D4" s="86"/>
      <c r="E4" s="99"/>
      <c r="F4" s="87"/>
      <c r="G4" s="124" t="s">
        <v>180</v>
      </c>
      <c r="H4" s="86"/>
      <c r="I4" s="87"/>
      <c r="K4" s="93"/>
      <c r="L4" s="86"/>
      <c r="M4" s="86"/>
      <c r="N4" s="87"/>
    </row>
    <row r="5" spans="1:14">
      <c r="B5" s="94"/>
      <c r="C5" s="25"/>
      <c r="D5" s="25"/>
      <c r="E5" s="25"/>
      <c r="F5" s="89"/>
      <c r="G5" s="94"/>
      <c r="H5" s="25"/>
      <c r="I5" s="89"/>
      <c r="K5" s="94"/>
      <c r="L5" s="25"/>
      <c r="M5" s="25"/>
      <c r="N5" s="89"/>
    </row>
    <row r="6" spans="1:14">
      <c r="B6" s="90" t="s">
        <v>170</v>
      </c>
      <c r="C6" s="91" t="s">
        <v>171</v>
      </c>
      <c r="D6" s="91" t="s">
        <v>164</v>
      </c>
      <c r="E6" s="91" t="s">
        <v>176</v>
      </c>
      <c r="F6" s="92" t="s">
        <v>164</v>
      </c>
      <c r="G6" s="100" t="s">
        <v>179</v>
      </c>
      <c r="H6" s="91" t="s">
        <v>181</v>
      </c>
      <c r="I6" s="92" t="s">
        <v>182</v>
      </c>
      <c r="K6" s="102" t="s">
        <v>151</v>
      </c>
      <c r="L6" s="103" t="s">
        <v>150</v>
      </c>
      <c r="M6" s="103" t="s">
        <v>165</v>
      </c>
      <c r="N6" s="104" t="s">
        <v>152</v>
      </c>
    </row>
    <row r="7" spans="1:14">
      <c r="A7" s="101">
        <v>1</v>
      </c>
      <c r="B7" s="58" t="s">
        <v>163</v>
      </c>
      <c r="C7" s="59" t="str">
        <f ca="1">IF(FixedBonds!$G7="","",IF(ISBLANK($D7),_xll.BDP(LEFT(FixedBonds!$G7,LEN(FixedBonds!$G7)-5)&amp;" "&amp;FixedBondsSummary!$B7&amp;" Corp","PX_LAST"),$D7))</f>
        <v>#N/A Requesting Data...</v>
      </c>
      <c r="D7" s="60"/>
      <c r="E7" s="83" t="str">
        <f ca="1">IF(ISBLANK($F7),IF(FixedBonds!$G7="","",_xll.meLWOAssetSwapSpread($L7,$K7,$C7,INDIRECT("ValuationSettings"&amp;FixedBonds!$D7),INDIRECT("Fixings"&amp;FixedBonds!$D7&amp;IF(FixedBonds!$E7="QUARTERLY","3ML","6ML")))),$F7)</f>
        <v>#Error: Invalid input, numeric input required</v>
      </c>
      <c r="F7" s="60"/>
      <c r="G7" s="84" t="str">
        <f ca="1">IF(FixedBonds!$C7="","",_xll.meLWOAssetSwapSpreadToCleanPrice($M7,$E7,INDIRECT("ValuationSettings"&amp;FixedBonds!$H7),INDIRECT("Fixings"&amp;FixedBonds!$H7&amp;IF(FixedBonds!$I7="QUARTERLY","3ML","6ML"))))</f>
        <v>#Error: Invalid input, numeric input required</v>
      </c>
      <c r="H7" s="84" t="str">
        <f ca="1">IF(FixedBonds!$C7="","",_xll.meLWOBondPriceFromCleanToDirty($N7,INDIRECT("ValuationDate"&amp;FixedBonds!$H7),$G7))</f>
        <v>#Error: Invalid input, numeric input required</v>
      </c>
      <c r="I7" s="98" t="str">
        <f ca="1">IF(FixedBonds!$C7="","",_xll.meLWOBondYield($N7,INDIRECT("ValuationDate"&amp;FixedBonds!$H7),IF(VLOOKUP("ISCLEANPRICE",_xll.meLWOBondDisplay($N7),2,0),$G7,$H7)))</f>
        <v>#Error: Invalid input, numeric input required</v>
      </c>
      <c r="J7" s="101">
        <v>1</v>
      </c>
      <c r="K7" s="53" t="str">
        <f ca="1">FixedBonds!T7</f>
        <v>#LOADING</v>
      </c>
      <c r="L7" s="53" t="str">
        <f ca="1">FixedBonds!U7</f>
        <v>#Error: Frequency '#LOADING' invalid, must be 'NONE', 'ANNUAL', 'SEMI_ANNUAL', 'QUARTERLY', 'MONTHLY', 'WEEKLY', 'DAILY' or 'AT_MATURITY'.</v>
      </c>
      <c r="M7" s="53" t="str">
        <f ca="1">FixedBonds!V7</f>
        <v>#Error: Frequency '#LOADING' invalid, must be 'NONE', 'ANNUAL', 'SEMI_ANNUAL', 'QUARTERLY', 'MONTHLY', 'WEEKLY', 'DAILY' or 'AT_MATURITY'.</v>
      </c>
      <c r="N7" s="53" t="str">
        <f ca="1">FixedBonds!W7</f>
        <v>#LOADING</v>
      </c>
    </row>
    <row r="8" spans="1:14">
      <c r="A8" s="101">
        <v>2</v>
      </c>
      <c r="B8" s="58" t="s">
        <v>163</v>
      </c>
      <c r="C8" s="59" t="str">
        <f ca="1">IF(FixedBonds!$G8="","",IF(ISBLANK($D8),_xll.BDP(LEFT(FixedBonds!$G8,LEN(FixedBonds!$G8)-5)&amp;" "&amp;FixedBondsSummary!$B8&amp;" Corp","PX_LAST"),$D8))</f>
        <v>#N/A Requesting Data...</v>
      </c>
      <c r="D8" s="60"/>
      <c r="E8" s="83" t="str">
        <f ca="1">IF(ISBLANK($F8),IF(FixedBonds!$G8="","",_xll.meLWOAssetSwapSpread($L8,$K8,$C8,INDIRECT("ValuationSettings"&amp;FixedBonds!$D8),INDIRECT("Fixings"&amp;FixedBonds!$D8&amp;IF(FixedBonds!$E8="QUARTERLY","3ML","6ML")))),$F8)</f>
        <v>#Error: Invalid input, numeric input required</v>
      </c>
      <c r="F8" s="60"/>
      <c r="G8" s="84" t="str">
        <f ca="1">IF(FixedBonds!$C8="","",_xll.meLWOAssetSwapSpreadToCleanPrice($M8,$E8,INDIRECT("ValuationSettings"&amp;FixedBonds!$H8),INDIRECT("Fixings"&amp;FixedBonds!$H8&amp;IF(FixedBonds!$I8="QUARTERLY","3ML","6ML"))))</f>
        <v>#Error: Invalid input, numeric input required</v>
      </c>
      <c r="H8" s="84" t="str">
        <f ca="1">IF(FixedBonds!$C8="","",_xll.meLWOBondPriceFromCleanToDirty($N8,INDIRECT("ValuationDate"&amp;FixedBonds!$H8),$G8))</f>
        <v>#Error: Invalid input, numeric input required</v>
      </c>
      <c r="I8" s="98" t="str">
        <f ca="1">IF(FixedBonds!$C8="","",_xll.meLWOBondYield($N8,INDIRECT("ValuationDate"&amp;FixedBonds!$H8),IF(VLOOKUP("ISCLEANPRICE",_xll.meLWOBondDisplay($N8),2,0),$G8,$H8)))</f>
        <v>#Error: Invalid input, numeric input required</v>
      </c>
      <c r="J8" s="101">
        <v>2</v>
      </c>
      <c r="K8" s="53" t="str">
        <f ca="1">FixedBonds!T8</f>
        <v>#LOADING</v>
      </c>
      <c r="L8" s="53" t="str">
        <f ca="1">FixedBonds!U8</f>
        <v>#Error: Frequency '#LOADING' invalid, must be 'NONE', 'ANNUAL', 'SEMI_ANNUAL', 'QUARTERLY', 'MONTHLY', 'WEEKLY', 'DAILY' or 'AT_MATURITY'.</v>
      </c>
      <c r="M8" s="53" t="str">
        <f ca="1">FixedBonds!V8</f>
        <v>#Error: Frequency '#LOADING' invalid, must be 'NONE', 'ANNUAL', 'SEMI_ANNUAL', 'QUARTERLY', 'MONTHLY', 'WEEKLY', 'DAILY' or 'AT_MATURITY'.</v>
      </c>
      <c r="N8" s="53" t="str">
        <f ca="1">FixedBonds!W8</f>
        <v>#LOADING</v>
      </c>
    </row>
    <row r="9" spans="1:14">
      <c r="A9" s="101">
        <v>3</v>
      </c>
      <c r="B9" s="58" t="s">
        <v>163</v>
      </c>
      <c r="C9" s="59" t="str">
        <f ca="1">IF(FixedBonds!$G9="","",IF(ISBLANK($D9),_xll.BDP(LEFT(FixedBonds!$G9,LEN(FixedBonds!$G9)-5)&amp;" "&amp;FixedBondsSummary!$B9&amp;" Corp","PX_LAST"),$D9))</f>
        <v>#N/A Requesting Data...</v>
      </c>
      <c r="D9" s="60"/>
      <c r="E9" s="83" t="str">
        <f ca="1">IF(ISBLANK($F9),IF(FixedBonds!$G9="","",_xll.meLWOAssetSwapSpread($L9,$K9,$C9,INDIRECT("ValuationSettings"&amp;FixedBonds!$D9),INDIRECT("Fixings"&amp;FixedBonds!$D9&amp;IF(FixedBonds!$E9="QUARTERLY","3ML","6ML")))),$F9)</f>
        <v>#Error: Invalid input, numeric input required</v>
      </c>
      <c r="F9" s="60"/>
      <c r="G9" s="84" t="str">
        <f ca="1">IF(FixedBonds!$C9="","",_xll.meLWOAssetSwapSpreadToCleanPrice($M9,$E9,INDIRECT("ValuationSettings"&amp;FixedBonds!$H9),INDIRECT("Fixings"&amp;FixedBonds!$H9&amp;IF(FixedBonds!$I9="QUARTERLY","3ML","6ML"))))</f>
        <v>#Error: Invalid input, numeric input required</v>
      </c>
      <c r="H9" s="84" t="str">
        <f ca="1">IF(FixedBonds!$C9="","",_xll.meLWOBondPriceFromCleanToDirty($N9,INDIRECT("ValuationDate"&amp;FixedBonds!$H9),$G9))</f>
        <v>#Error: Invalid input, numeric input required</v>
      </c>
      <c r="I9" s="98" t="str">
        <f ca="1">IF(FixedBonds!$C9="","",_xll.meLWOBondYield($N9,INDIRECT("ValuationDate"&amp;FixedBonds!$H9),IF(VLOOKUP("ISCLEANPRICE",_xll.meLWOBondDisplay($N9),2,0),$G9,$H9)))</f>
        <v>#Error: Invalid input, numeric input required</v>
      </c>
      <c r="J9" s="101">
        <v>3</v>
      </c>
      <c r="K9" s="53" t="str">
        <f ca="1">FixedBonds!T9</f>
        <v>#LOADING</v>
      </c>
      <c r="L9" s="53" t="str">
        <f ca="1">FixedBonds!U9</f>
        <v>#Error: Frequency '#LOADING' invalid, must be 'NONE', 'ANNUAL', 'SEMI_ANNUAL', 'QUARTERLY', 'MONTHLY', 'WEEKLY', 'DAILY' or 'AT_MATURITY'.</v>
      </c>
      <c r="M9" s="53" t="str">
        <f ca="1">FixedBonds!V9</f>
        <v>#Error: Frequency '#LOADING' invalid, must be 'NONE', 'ANNUAL', 'SEMI_ANNUAL', 'QUARTERLY', 'MONTHLY', 'WEEKLY', 'DAILY' or 'AT_MATURITY'.</v>
      </c>
      <c r="N9" s="53" t="str">
        <f ca="1">FixedBonds!W9</f>
        <v>#LOADING</v>
      </c>
    </row>
    <row r="10" spans="1:14">
      <c r="A10" s="101">
        <v>4</v>
      </c>
      <c r="B10" s="58" t="s">
        <v>163</v>
      </c>
      <c r="C10" s="59" t="str">
        <f ca="1">IF(FixedBonds!$G10="","",IF(ISBLANK($D10),_xll.BDP(LEFT(FixedBonds!$G10,LEN(FixedBonds!$G10)-5)&amp;" "&amp;FixedBondsSummary!$B10&amp;" Corp","PX_LAST"),$D10))</f>
        <v>#N/A Requesting Data...</v>
      </c>
      <c r="D10" s="60"/>
      <c r="E10" s="83" t="str">
        <f ca="1">IF(ISBLANK($F10),IF(FixedBonds!$G10="","",_xll.meLWOAssetSwapSpread($L10,$K10,$C10,INDIRECT("ValuationSettings"&amp;FixedBonds!$D10),INDIRECT("Fixings"&amp;FixedBonds!$D10&amp;IF(FixedBonds!$E10="QUARTERLY","3ML","6ML")))),$F10)</f>
        <v>#Error: Invalid input, numeric input required</v>
      </c>
      <c r="F10" s="60"/>
      <c r="G10" s="84" t="str">
        <f ca="1">IF(FixedBonds!$C10="","",_xll.meLWOAssetSwapSpreadToCleanPrice($M10,$E10,INDIRECT("ValuationSettings"&amp;FixedBonds!$H10),INDIRECT("Fixings"&amp;FixedBonds!$H10&amp;IF(FixedBonds!$I10="QUARTERLY","3ML","6ML"))))</f>
        <v>#Error: Invalid input, numeric input required</v>
      </c>
      <c r="H10" s="84" t="str">
        <f ca="1">IF(FixedBonds!$C10="","",_xll.meLWOBondPriceFromCleanToDirty($N10,INDIRECT("ValuationDate"&amp;FixedBonds!$H10),$G10))</f>
        <v>#Error: Invalid input, numeric input required</v>
      </c>
      <c r="I10" s="98" t="str">
        <f ca="1">IF(FixedBonds!$C10="","",_xll.meLWOBondYield($N10,INDIRECT("ValuationDate"&amp;FixedBonds!$H10),IF(VLOOKUP("ISCLEANPRICE",_xll.meLWOBondDisplay($N10),2,0),$G10,$H10)))</f>
        <v>#Error: Invalid input, numeric input required</v>
      </c>
      <c r="J10" s="101">
        <v>4</v>
      </c>
      <c r="K10" s="53" t="str">
        <f ca="1">FixedBonds!T10</f>
        <v>#LOADING</v>
      </c>
      <c r="L10" s="53" t="str">
        <f ca="1">FixedBonds!U10</f>
        <v>#Error: Frequency '#LOADING' invalid, must be 'NONE', 'ANNUAL', 'SEMI_ANNUAL', 'QUARTERLY', 'MONTHLY', 'WEEKLY', 'DAILY' or 'AT_MATURITY'.</v>
      </c>
      <c r="M10" s="53" t="str">
        <f ca="1">FixedBonds!V10</f>
        <v>#Error: Frequency '#LOADING' invalid, must be 'NONE', 'ANNUAL', 'SEMI_ANNUAL', 'QUARTERLY', 'MONTHLY', 'WEEKLY', 'DAILY' or 'AT_MATURITY'.</v>
      </c>
      <c r="N10" s="53" t="str">
        <f ca="1">FixedBonds!W10</f>
        <v>#LOADING</v>
      </c>
    </row>
    <row r="11" spans="1:14">
      <c r="A11" s="101">
        <v>5</v>
      </c>
      <c r="B11" s="58" t="s">
        <v>163</v>
      </c>
      <c r="C11" s="59" t="str">
        <f ca="1">IF(FixedBonds!$G11="","",IF(ISBLANK($D11),_xll.BDP(LEFT(FixedBonds!$G11,LEN(FixedBonds!$G11)-5)&amp;" "&amp;FixedBondsSummary!$B11&amp;" Corp","PX_LAST"),$D11))</f>
        <v>#N/A Requesting Data...</v>
      </c>
      <c r="D11" s="60"/>
      <c r="E11" s="83" t="str">
        <f ca="1">IF(ISBLANK($F11),IF(FixedBonds!$G11="","",_xll.meLWOAssetSwapSpread($L11,$K11,$C11,INDIRECT("ValuationSettings"&amp;FixedBonds!$D11),INDIRECT("Fixings"&amp;FixedBonds!$D11&amp;IF(FixedBonds!$E11="QUARTERLY","3ML","6ML")))),$F11)</f>
        <v>#Error: Invalid input, numeric input required</v>
      </c>
      <c r="F11" s="60"/>
      <c r="G11" s="84" t="str">
        <f ca="1">IF(FixedBonds!$C11="","",_xll.meLWOAssetSwapSpreadToCleanPrice($M11,$E11,INDIRECT("ValuationSettings"&amp;FixedBonds!$H11),INDIRECT("Fixings"&amp;FixedBonds!$H11&amp;IF(FixedBonds!$I11="QUARTERLY","3ML","6ML"))))</f>
        <v>#Error: Invalid input, numeric input required</v>
      </c>
      <c r="H11" s="84" t="str">
        <f ca="1">IF(FixedBonds!$C11="","",_xll.meLWOBondPriceFromCleanToDirty($N11,INDIRECT("ValuationDate"&amp;FixedBonds!$H11),$G11))</f>
        <v>#Error: Invalid input, numeric input required</v>
      </c>
      <c r="I11" s="98" t="str">
        <f ca="1">IF(FixedBonds!$C11="","",_xll.meLWOBondYield($N11,INDIRECT("ValuationDate"&amp;FixedBonds!$H11),IF(VLOOKUP("ISCLEANPRICE",_xll.meLWOBondDisplay($N11),2,0),$G11,$H11)))</f>
        <v>#Error: Invalid input, numeric input required</v>
      </c>
      <c r="J11" s="101">
        <v>5</v>
      </c>
      <c r="K11" s="53" t="str">
        <f ca="1">FixedBonds!T11</f>
        <v>#LOADING</v>
      </c>
      <c r="L11" s="53" t="str">
        <f ca="1">FixedBonds!U11</f>
        <v>#Error: Frequency '#LOADING' invalid, must be 'NONE', 'ANNUAL', 'SEMI_ANNUAL', 'QUARTERLY', 'MONTHLY', 'WEEKLY', 'DAILY' or 'AT_MATURITY'.</v>
      </c>
      <c r="M11" s="53" t="str">
        <f ca="1">FixedBonds!V11</f>
        <v>#Error: Frequency '#LOADING' invalid, must be 'NONE', 'ANNUAL', 'SEMI_ANNUAL', 'QUARTERLY', 'MONTHLY', 'WEEKLY', 'DAILY' or 'AT_MATURITY'.</v>
      </c>
      <c r="N11" s="53" t="str">
        <f ca="1">FixedBonds!W11</f>
        <v>#LOADING</v>
      </c>
    </row>
    <row r="12" spans="1:14">
      <c r="A12" s="101">
        <v>6</v>
      </c>
      <c r="B12" s="58" t="s">
        <v>163</v>
      </c>
      <c r="C12" s="59" t="str">
        <f>IF(FixedBonds!$G12="","",IF(ISBLANK($D12),_xll.BDP(LEFT(FixedBonds!$G12,LEN(FixedBonds!$G12)-5)&amp;" "&amp;FixedBondsSummary!$B12&amp;" Corp","PX_LAST"),$D12))</f>
        <v/>
      </c>
      <c r="D12" s="60"/>
      <c r="E12" s="83" t="str">
        <f ca="1">IF(ISBLANK($F12),IF(FixedBonds!$G12="","",_xll.meLWOAssetSwapSpread($L12,$K12,$C12,INDIRECT("ValuationSettings"&amp;FixedBonds!$D12),INDIRECT("Fixings"&amp;FixedBonds!$D12&amp;IF(FixedBonds!$E12="QUARTERLY","3ML","6ML")))),$F12)</f>
        <v/>
      </c>
      <c r="F12" s="60"/>
      <c r="G12" s="84" t="str">
        <f ca="1">IF(FixedBonds!$C12="","",_xll.meLWOAssetSwapSpreadToCleanPrice($M12,$E12,INDIRECT("ValuationSettings"&amp;FixedBonds!$H12),INDIRECT("Fixings"&amp;FixedBonds!$H12&amp;IF(FixedBonds!$I12="QUARTERLY","3ML","6ML"))))</f>
        <v/>
      </c>
      <c r="H12" s="84" t="str">
        <f ca="1">IF(FixedBonds!$C12="","",_xll.meLWOBondPriceFromCleanToDirty($N12,INDIRECT("ValuationDate"&amp;FixedBonds!$H12),$G12))</f>
        <v/>
      </c>
      <c r="I12" s="98" t="str">
        <f ca="1">IF(FixedBonds!$C12="","",_xll.meLWOBondYield($N12,INDIRECT("ValuationDate"&amp;FixedBonds!$H12),IF(VLOOKUP("ISCLEANPRICE",_xll.meLWOBondDisplay($N12),2,0),$G12,$H12)))</f>
        <v/>
      </c>
      <c r="J12" s="101">
        <v>6</v>
      </c>
      <c r="K12" s="53" t="str">
        <f>FixedBonds!T12</f>
        <v/>
      </c>
      <c r="L12" s="53" t="str">
        <f>FixedBonds!U12</f>
        <v/>
      </c>
      <c r="M12" s="53" t="str">
        <f>FixedBonds!V12</f>
        <v/>
      </c>
      <c r="N12" s="53" t="str">
        <f>FixedBonds!W12</f>
        <v/>
      </c>
    </row>
    <row r="13" spans="1:14">
      <c r="A13" s="101">
        <v>7</v>
      </c>
      <c r="B13" s="58" t="s">
        <v>163</v>
      </c>
      <c r="C13" s="59" t="str">
        <f>IF(FixedBonds!$G13="","",IF(ISBLANK($D13),_xll.BDP(LEFT(FixedBonds!$G13,LEN(FixedBonds!$G13)-5)&amp;" "&amp;FixedBondsSummary!$B13&amp;" Corp","PX_LAST"),$D13))</f>
        <v/>
      </c>
      <c r="D13" s="60"/>
      <c r="E13" s="83" t="str">
        <f ca="1">IF(ISBLANK($F13),IF(FixedBonds!$G13="","",_xll.meLWOAssetSwapSpread($L13,$K13,$C13,INDIRECT("ValuationSettings"&amp;FixedBonds!$D13),INDIRECT("Fixings"&amp;FixedBonds!$D13&amp;IF(FixedBonds!$E13="QUARTERLY","3ML","6ML")))),$F13)</f>
        <v/>
      </c>
      <c r="F13" s="60"/>
      <c r="G13" s="84" t="str">
        <f ca="1">IF(FixedBonds!$C13="","",_xll.meLWOAssetSwapSpreadToCleanPrice($M13,$E13,INDIRECT("ValuationSettings"&amp;FixedBonds!$H13),INDIRECT("Fixings"&amp;FixedBonds!$H13&amp;IF(FixedBonds!$I13="QUARTERLY","3ML","6ML"))))</f>
        <v/>
      </c>
      <c r="H13" s="84" t="str">
        <f ca="1">IF(FixedBonds!$C13="","",_xll.meLWOBondPriceFromCleanToDirty($N13,INDIRECT("ValuationDate"&amp;FixedBonds!$H13),$G13))</f>
        <v/>
      </c>
      <c r="I13" s="98" t="str">
        <f ca="1">IF(FixedBonds!$C13="","",_xll.meLWOBondYield($N13,INDIRECT("ValuationDate"&amp;FixedBonds!$H13),IF(VLOOKUP("ISCLEANPRICE",_xll.meLWOBondDisplay($N13),2,0),$G13,$H13)))</f>
        <v/>
      </c>
      <c r="J13" s="101">
        <v>7</v>
      </c>
      <c r="K13" s="53" t="str">
        <f>FixedBonds!T13</f>
        <v/>
      </c>
      <c r="L13" s="53" t="str">
        <f>FixedBonds!U13</f>
        <v/>
      </c>
      <c r="M13" s="53" t="str">
        <f>FixedBonds!V13</f>
        <v/>
      </c>
      <c r="N13" s="53" t="str">
        <f>FixedBonds!W13</f>
        <v/>
      </c>
    </row>
    <row r="14" spans="1:14">
      <c r="A14" s="101">
        <v>8</v>
      </c>
      <c r="B14" s="58" t="s">
        <v>163</v>
      </c>
      <c r="C14" s="59" t="str">
        <f>IF(FixedBonds!$G14="","",IF(ISBLANK($D14),_xll.BDP(LEFT(FixedBonds!$G14,LEN(FixedBonds!$G14)-5)&amp;" "&amp;FixedBondsSummary!$B14&amp;" Corp","PX_LAST"),$D14))</f>
        <v/>
      </c>
      <c r="D14" s="60"/>
      <c r="E14" s="83" t="str">
        <f ca="1">IF(ISBLANK($F14),IF(FixedBonds!$G14="","",_xll.meLWOAssetSwapSpread($L14,$K14,$C14,INDIRECT("ValuationSettings"&amp;FixedBonds!$D14),INDIRECT("Fixings"&amp;FixedBonds!$D14&amp;IF(FixedBonds!$E14="QUARTERLY","3ML","6ML")))),$F14)</f>
        <v/>
      </c>
      <c r="F14" s="60"/>
      <c r="G14" s="84" t="str">
        <f ca="1">IF(FixedBonds!$C14="","",_xll.meLWOAssetSwapSpreadToCleanPrice($M14,$E14,INDIRECT("ValuationSettings"&amp;FixedBonds!$H14),INDIRECT("Fixings"&amp;FixedBonds!$H14&amp;IF(FixedBonds!$I14="QUARTERLY","3ML","6ML"))))</f>
        <v/>
      </c>
      <c r="H14" s="84" t="str">
        <f ca="1">IF(FixedBonds!$C14="","",_xll.meLWOBondPriceFromCleanToDirty($N14,INDIRECT("ValuationDate"&amp;FixedBonds!$H14),$G14))</f>
        <v/>
      </c>
      <c r="I14" s="98" t="str">
        <f ca="1">IF(FixedBonds!$C14="","",_xll.meLWOBondYield($N14,INDIRECT("ValuationDate"&amp;FixedBonds!$H14),IF(VLOOKUP("ISCLEANPRICE",_xll.meLWOBondDisplay($N14),2,0),$G14,$H14)))</f>
        <v/>
      </c>
      <c r="J14" s="101">
        <v>8</v>
      </c>
      <c r="K14" s="53" t="str">
        <f>FixedBonds!T14</f>
        <v/>
      </c>
      <c r="L14" s="53" t="str">
        <f>FixedBonds!U14</f>
        <v/>
      </c>
      <c r="M14" s="53" t="str">
        <f>FixedBonds!V14</f>
        <v/>
      </c>
      <c r="N14" s="53" t="str">
        <f>FixedBonds!W14</f>
        <v/>
      </c>
    </row>
    <row r="15" spans="1:14">
      <c r="A15" s="101">
        <v>9</v>
      </c>
      <c r="B15" s="58" t="s">
        <v>163</v>
      </c>
      <c r="C15" s="59" t="str">
        <f>IF(FixedBonds!$G15="","",IF(ISBLANK($D15),_xll.BDP(LEFT(FixedBonds!$G15,LEN(FixedBonds!$G15)-5)&amp;" "&amp;FixedBondsSummary!$B15&amp;" Corp","PX_LAST"),$D15))</f>
        <v/>
      </c>
      <c r="D15" s="60"/>
      <c r="E15" s="83" t="str">
        <f ca="1">IF(ISBLANK($F15),IF(FixedBonds!$G15="","",_xll.meLWOAssetSwapSpread($L15,$K15,$C15,INDIRECT("ValuationSettings"&amp;FixedBonds!$D15),INDIRECT("Fixings"&amp;FixedBonds!$D15&amp;IF(FixedBonds!$E15="QUARTERLY","3ML","6ML")))),$F15)</f>
        <v/>
      </c>
      <c r="F15" s="60"/>
      <c r="G15" s="84" t="str">
        <f ca="1">IF(FixedBonds!$C15="","",_xll.meLWOAssetSwapSpreadToCleanPrice($M15,$E15,INDIRECT("ValuationSettings"&amp;FixedBonds!$H15),INDIRECT("Fixings"&amp;FixedBonds!$H15&amp;IF(FixedBonds!$I15="QUARTERLY","3ML","6ML"))))</f>
        <v/>
      </c>
      <c r="H15" s="84" t="str">
        <f ca="1">IF(FixedBonds!$C15="","",_xll.meLWOBondPriceFromCleanToDirty($N15,INDIRECT("ValuationDate"&amp;FixedBonds!$H15),$G15))</f>
        <v/>
      </c>
      <c r="I15" s="98" t="str">
        <f ca="1">IF(FixedBonds!$C15="","",_xll.meLWOBondYield($N15,INDIRECT("ValuationDate"&amp;FixedBonds!$H15),IF(VLOOKUP("ISCLEANPRICE",_xll.meLWOBondDisplay($N15),2,0),$G15,$H15)))</f>
        <v/>
      </c>
      <c r="J15" s="101">
        <v>9</v>
      </c>
      <c r="K15" s="53" t="str">
        <f>FixedBonds!T15</f>
        <v/>
      </c>
      <c r="L15" s="53" t="str">
        <f>FixedBonds!U15</f>
        <v/>
      </c>
      <c r="M15" s="53" t="str">
        <f>FixedBonds!V15</f>
        <v/>
      </c>
      <c r="N15" s="53" t="str">
        <f>FixedBonds!W15</f>
        <v/>
      </c>
    </row>
    <row r="16" spans="1:14">
      <c r="A16" s="101">
        <v>10</v>
      </c>
      <c r="B16" s="58" t="s">
        <v>163</v>
      </c>
      <c r="C16" s="59" t="str">
        <f>IF(FixedBonds!$G16="","",IF(ISBLANK($D16),_xll.BDP(LEFT(FixedBonds!$G16,LEN(FixedBonds!$G16)-5)&amp;" "&amp;FixedBondsSummary!$B16&amp;" Corp","PX_LAST"),$D16))</f>
        <v/>
      </c>
      <c r="D16" s="60"/>
      <c r="E16" s="83" t="str">
        <f ca="1">IF(ISBLANK($F16),IF(FixedBonds!$G16="","",_xll.meLWOAssetSwapSpread($L16,$K16,$C16,INDIRECT("ValuationSettings"&amp;FixedBonds!$D16),INDIRECT("Fixings"&amp;FixedBonds!$D16&amp;IF(FixedBonds!$E16="QUARTERLY","3ML","6ML")))),$F16)</f>
        <v/>
      </c>
      <c r="F16" s="60"/>
      <c r="G16" s="84" t="str">
        <f ca="1">IF(FixedBonds!$C16="","",_xll.meLWOAssetSwapSpreadToCleanPrice($M16,$E16,INDIRECT("ValuationSettings"&amp;FixedBonds!$H16),INDIRECT("Fixings"&amp;FixedBonds!$H16&amp;IF(FixedBonds!$I16="QUARTERLY","3ML","6ML"))))</f>
        <v/>
      </c>
      <c r="H16" s="84" t="str">
        <f ca="1">IF(FixedBonds!$C16="","",_xll.meLWOBondPriceFromCleanToDirty($N16,INDIRECT("ValuationDate"&amp;FixedBonds!$H16),$G16))</f>
        <v/>
      </c>
      <c r="I16" s="98" t="str">
        <f ca="1">IF(FixedBonds!$C16="","",_xll.meLWOBondYield($N16,INDIRECT("ValuationDate"&amp;FixedBonds!$H16),IF(VLOOKUP("ISCLEANPRICE",_xll.meLWOBondDisplay($N16),2,0),$G16,$H16)))</f>
        <v/>
      </c>
      <c r="J16" s="101">
        <v>10</v>
      </c>
      <c r="K16" s="53" t="str">
        <f>FixedBonds!T16</f>
        <v/>
      </c>
      <c r="L16" s="53" t="str">
        <f>FixedBonds!U16</f>
        <v/>
      </c>
      <c r="M16" s="53" t="str">
        <f>FixedBonds!V16</f>
        <v/>
      </c>
      <c r="N16" s="53" t="str">
        <f>FixedBonds!W16</f>
        <v/>
      </c>
    </row>
    <row r="17" spans="1:14">
      <c r="A17" s="101">
        <v>11</v>
      </c>
      <c r="B17" s="58" t="s">
        <v>163</v>
      </c>
      <c r="C17" s="59" t="str">
        <f>IF(FixedBonds!$G17="","",IF(ISBLANK($D17),_xll.BDP(LEFT(FixedBonds!$G17,LEN(FixedBonds!$G17)-5)&amp;" "&amp;FixedBondsSummary!$B17&amp;" Corp","PX_LAST"),$D17))</f>
        <v/>
      </c>
      <c r="D17" s="60"/>
      <c r="E17" s="83" t="str">
        <f ca="1">IF(ISBLANK($F17),IF(FixedBonds!$G17="","",_xll.meLWOAssetSwapSpread($L17,$K17,$C17,INDIRECT("ValuationSettings"&amp;FixedBonds!$D17),INDIRECT("Fixings"&amp;FixedBonds!$D17&amp;IF(FixedBonds!$E17="QUARTERLY","3ML","6ML")))),$F17)</f>
        <v/>
      </c>
      <c r="F17" s="60"/>
      <c r="G17" s="84" t="str">
        <f ca="1">IF(FixedBonds!$C17="","",_xll.meLWOAssetSwapSpreadToCleanPrice($M17,$E17,INDIRECT("ValuationSettings"&amp;FixedBonds!$H17),INDIRECT("Fixings"&amp;FixedBonds!$H17&amp;IF(FixedBonds!$I17="QUARTERLY","3ML","6ML"))))</f>
        <v/>
      </c>
      <c r="H17" s="84" t="str">
        <f ca="1">IF(FixedBonds!$C17="","",_xll.meLWOBondPriceFromCleanToDirty($N17,INDIRECT("ValuationDate"&amp;FixedBonds!$H17),$G17))</f>
        <v/>
      </c>
      <c r="I17" s="98" t="str">
        <f ca="1">IF(FixedBonds!$C17="","",_xll.meLWOBondYield($N17,INDIRECT("ValuationDate"&amp;FixedBonds!$H17),IF(VLOOKUP("ISCLEANPRICE",_xll.meLWOBondDisplay($N17),2,0),$G17,$H17)))</f>
        <v/>
      </c>
      <c r="J17" s="101">
        <v>11</v>
      </c>
      <c r="K17" s="53" t="str">
        <f>FixedBonds!T17</f>
        <v/>
      </c>
      <c r="L17" s="53" t="str">
        <f>FixedBonds!U17</f>
        <v/>
      </c>
      <c r="M17" s="53" t="str">
        <f>FixedBonds!V17</f>
        <v/>
      </c>
      <c r="N17" s="53" t="str">
        <f>FixedBonds!W17</f>
        <v/>
      </c>
    </row>
    <row r="18" spans="1:14">
      <c r="A18" s="101">
        <v>12</v>
      </c>
      <c r="B18" s="58" t="s">
        <v>163</v>
      </c>
      <c r="C18" s="59" t="str">
        <f>IF(FixedBonds!$G18="","",IF(ISBLANK($D18),_xll.BDP(LEFT(FixedBonds!$G18,LEN(FixedBonds!$G18)-5)&amp;" "&amp;FixedBondsSummary!$B18&amp;" Corp","PX_LAST"),$D18))</f>
        <v/>
      </c>
      <c r="D18" s="60"/>
      <c r="E18" s="83" t="str">
        <f ca="1">IF(ISBLANK($F18),IF(FixedBonds!$G18="","",_xll.meLWOAssetSwapSpread($L18,$K18,$C18,INDIRECT("ValuationSettings"&amp;FixedBonds!$D18),INDIRECT("Fixings"&amp;FixedBonds!$D18&amp;IF(FixedBonds!$E18="QUARTERLY","3ML","6ML")))),$F18)</f>
        <v/>
      </c>
      <c r="F18" s="60"/>
      <c r="G18" s="84" t="str">
        <f ca="1">IF(FixedBonds!$C18="","",_xll.meLWOAssetSwapSpreadToCleanPrice($M18,$E18,INDIRECT("ValuationSettings"&amp;FixedBonds!$H18),INDIRECT("Fixings"&amp;FixedBonds!$H18&amp;IF(FixedBonds!$I18="QUARTERLY","3ML","6ML"))))</f>
        <v/>
      </c>
      <c r="H18" s="84" t="str">
        <f ca="1">IF(FixedBonds!$C18="","",_xll.meLWOBondPriceFromCleanToDirty($N18,INDIRECT("ValuationDate"&amp;FixedBonds!$H18),$G18))</f>
        <v/>
      </c>
      <c r="I18" s="98" t="str">
        <f ca="1">IF(FixedBonds!$C18="","",_xll.meLWOBondYield($N18,INDIRECT("ValuationDate"&amp;FixedBonds!$H18),IF(VLOOKUP("ISCLEANPRICE",_xll.meLWOBondDisplay($N18),2,0),$G18,$H18)))</f>
        <v/>
      </c>
      <c r="J18" s="101">
        <v>12</v>
      </c>
      <c r="K18" s="53" t="str">
        <f>FixedBonds!T18</f>
        <v/>
      </c>
      <c r="L18" s="53" t="str">
        <f>FixedBonds!U18</f>
        <v/>
      </c>
      <c r="M18" s="53" t="str">
        <f>FixedBonds!V18</f>
        <v/>
      </c>
      <c r="N18" s="53" t="str">
        <f>FixedBonds!W18</f>
        <v/>
      </c>
    </row>
    <row r="19" spans="1:14">
      <c r="A19" s="101">
        <v>13</v>
      </c>
      <c r="B19" s="58" t="s">
        <v>163</v>
      </c>
      <c r="C19" s="59" t="str">
        <f>IF(FixedBonds!$G19="","",IF(ISBLANK($D19),_xll.BDP(LEFT(FixedBonds!$G19,LEN(FixedBonds!$G19)-5)&amp;" "&amp;FixedBondsSummary!$B19&amp;" Corp","PX_LAST"),$D19))</f>
        <v/>
      </c>
      <c r="D19" s="60"/>
      <c r="E19" s="83" t="str">
        <f ca="1">IF(ISBLANK($F19),IF(FixedBonds!$G19="","",_xll.meLWOAssetSwapSpread($L19,$K19,$C19,INDIRECT("ValuationSettings"&amp;FixedBonds!$D19),INDIRECT("Fixings"&amp;FixedBonds!$D19&amp;IF(FixedBonds!$E19="QUARTERLY","3ML","6ML")))),$F19)</f>
        <v/>
      </c>
      <c r="F19" s="60"/>
      <c r="G19" s="84" t="str">
        <f ca="1">IF(FixedBonds!$C19="","",_xll.meLWOAssetSwapSpreadToCleanPrice($M19,$E19,INDIRECT("ValuationSettings"&amp;FixedBonds!$H19),INDIRECT("Fixings"&amp;FixedBonds!$H19&amp;IF(FixedBonds!$I19="QUARTERLY","3ML","6ML"))))</f>
        <v/>
      </c>
      <c r="H19" s="84" t="str">
        <f ca="1">IF(FixedBonds!$C19="","",_xll.meLWOBondPriceFromCleanToDirty($N19,INDIRECT("ValuationDate"&amp;FixedBonds!$H19),$G19))</f>
        <v/>
      </c>
      <c r="I19" s="98" t="str">
        <f ca="1">IF(FixedBonds!$C19="","",_xll.meLWOBondYield($N19,INDIRECT("ValuationDate"&amp;FixedBonds!$H19),IF(VLOOKUP("ISCLEANPRICE",_xll.meLWOBondDisplay($N19),2,0),$G19,$H19)))</f>
        <v/>
      </c>
      <c r="J19" s="101">
        <v>13</v>
      </c>
      <c r="K19" s="53" t="str">
        <f>FixedBonds!T19</f>
        <v/>
      </c>
      <c r="L19" s="53" t="str">
        <f>FixedBonds!U19</f>
        <v/>
      </c>
      <c r="M19" s="53" t="str">
        <f>FixedBonds!V19</f>
        <v/>
      </c>
      <c r="N19" s="53" t="str">
        <f>FixedBonds!W19</f>
        <v/>
      </c>
    </row>
    <row r="20" spans="1:14">
      <c r="A20" s="101">
        <v>14</v>
      </c>
      <c r="B20" s="58" t="s">
        <v>163</v>
      </c>
      <c r="C20" s="59" t="str">
        <f>IF(FixedBonds!$G20="","",IF(ISBLANK($D20),_xll.BDP(LEFT(FixedBonds!$G20,LEN(FixedBonds!$G20)-5)&amp;" "&amp;FixedBondsSummary!$B20&amp;" Corp","PX_LAST"),$D20))</f>
        <v/>
      </c>
      <c r="D20" s="60"/>
      <c r="E20" s="83" t="str">
        <f ca="1">IF(ISBLANK($F20),IF(FixedBonds!$G20="","",_xll.meLWOAssetSwapSpread($L20,$K20,$C20,INDIRECT("ValuationSettings"&amp;FixedBonds!$D20),INDIRECT("Fixings"&amp;FixedBonds!$D20&amp;IF(FixedBonds!$E20="QUARTERLY","3ML","6ML")))),$F20)</f>
        <v/>
      </c>
      <c r="F20" s="60"/>
      <c r="G20" s="84" t="str">
        <f ca="1">IF(FixedBonds!$C20="","",_xll.meLWOAssetSwapSpreadToCleanPrice($M20,$E20,INDIRECT("ValuationSettings"&amp;FixedBonds!$H20),INDIRECT("Fixings"&amp;FixedBonds!$H20&amp;IF(FixedBonds!$I20="QUARTERLY","3ML","6ML"))))</f>
        <v/>
      </c>
      <c r="H20" s="84" t="str">
        <f ca="1">IF(FixedBonds!$C20="","",_xll.meLWOBondPriceFromCleanToDirty($N20,INDIRECT("ValuationDate"&amp;FixedBonds!$H20),$G20))</f>
        <v/>
      </c>
      <c r="I20" s="98" t="str">
        <f ca="1">IF(FixedBonds!$C20="","",_xll.meLWOBondYield($N20,INDIRECT("ValuationDate"&amp;FixedBonds!$H20),IF(VLOOKUP("ISCLEANPRICE",_xll.meLWOBondDisplay($N20),2,0),$G20,$H20)))</f>
        <v/>
      </c>
      <c r="J20" s="101">
        <v>14</v>
      </c>
      <c r="K20" s="53" t="str">
        <f>FixedBonds!T20</f>
        <v/>
      </c>
      <c r="L20" s="53" t="str">
        <f>FixedBonds!U20</f>
        <v/>
      </c>
      <c r="M20" s="53" t="str">
        <f>FixedBonds!V20</f>
        <v/>
      </c>
      <c r="N20" s="53" t="str">
        <f>FixedBonds!W20</f>
        <v/>
      </c>
    </row>
    <row r="21" spans="1:14">
      <c r="A21" s="101">
        <v>15</v>
      </c>
      <c r="B21" s="58" t="s">
        <v>163</v>
      </c>
      <c r="C21" s="59" t="str">
        <f>IF(FixedBonds!$G21="","",IF(ISBLANK($D21),_xll.BDP(LEFT(FixedBonds!$G21,LEN(FixedBonds!$G21)-5)&amp;" "&amp;FixedBondsSummary!$B21&amp;" Corp","PX_LAST"),$D21))</f>
        <v/>
      </c>
      <c r="D21" s="60"/>
      <c r="E21" s="83" t="str">
        <f ca="1">IF(ISBLANK($F21),IF(FixedBonds!$G21="","",_xll.meLWOAssetSwapSpread($L21,$K21,$C21,INDIRECT("ValuationSettings"&amp;FixedBonds!$D21),INDIRECT("Fixings"&amp;FixedBonds!$D21&amp;IF(FixedBonds!$E21="QUARTERLY","3ML","6ML")))),$F21)</f>
        <v/>
      </c>
      <c r="F21" s="60"/>
      <c r="G21" s="84" t="str">
        <f ca="1">IF(FixedBonds!$C21="","",_xll.meLWOAssetSwapSpreadToCleanPrice($M21,$E21,INDIRECT("ValuationSettings"&amp;FixedBonds!$H21),INDIRECT("Fixings"&amp;FixedBonds!$H21&amp;IF(FixedBonds!$I21="QUARTERLY","3ML","6ML"))))</f>
        <v/>
      </c>
      <c r="H21" s="84" t="str">
        <f ca="1">IF(FixedBonds!$C21="","",_xll.meLWOBondPriceFromCleanToDirty($N21,INDIRECT("ValuationDate"&amp;FixedBonds!$H21),$G21))</f>
        <v/>
      </c>
      <c r="I21" s="98" t="str">
        <f ca="1">IF(FixedBonds!$C21="","",_xll.meLWOBondYield($N21,INDIRECT("ValuationDate"&amp;FixedBonds!$H21),IF(VLOOKUP("ISCLEANPRICE",_xll.meLWOBondDisplay($N21),2,0),$G21,$H21)))</f>
        <v/>
      </c>
      <c r="J21" s="101">
        <v>15</v>
      </c>
      <c r="K21" s="53" t="str">
        <f>FixedBonds!T21</f>
        <v/>
      </c>
      <c r="L21" s="53" t="str">
        <f>FixedBonds!U21</f>
        <v/>
      </c>
      <c r="M21" s="53" t="str">
        <f>FixedBonds!V21</f>
        <v/>
      </c>
      <c r="N21" s="53" t="str">
        <f>FixedBonds!W21</f>
        <v/>
      </c>
    </row>
    <row r="22" spans="1:14">
      <c r="A22" s="101">
        <v>16</v>
      </c>
      <c r="B22" s="58" t="s">
        <v>163</v>
      </c>
      <c r="C22" s="59" t="str">
        <f>IF(FixedBonds!$G22="","",IF(ISBLANK($D22),_xll.BDP(LEFT(FixedBonds!$G22,LEN(FixedBonds!$G22)-5)&amp;" "&amp;FixedBondsSummary!$B22&amp;" Corp","PX_LAST"),$D22))</f>
        <v/>
      </c>
      <c r="D22" s="60"/>
      <c r="E22" s="83" t="str">
        <f ca="1">IF(ISBLANK($F22),IF(FixedBonds!$G22="","",_xll.meLWOAssetSwapSpread($L22,$K22,$C22,INDIRECT("ValuationSettings"&amp;FixedBonds!$D22),INDIRECT("Fixings"&amp;FixedBonds!$D22&amp;IF(FixedBonds!$E22="QUARTERLY","3ML","6ML")))),$F22)</f>
        <v/>
      </c>
      <c r="F22" s="60"/>
      <c r="G22" s="84" t="str">
        <f ca="1">IF(FixedBonds!$C22="","",_xll.meLWOAssetSwapSpreadToCleanPrice($M22,$E22,INDIRECT("ValuationSettings"&amp;FixedBonds!$H22),INDIRECT("Fixings"&amp;FixedBonds!$H22&amp;IF(FixedBonds!$I22="QUARTERLY","3ML","6ML"))))</f>
        <v/>
      </c>
      <c r="H22" s="84" t="str">
        <f ca="1">IF(FixedBonds!$C22="","",_xll.meLWOBondPriceFromCleanToDirty($N22,INDIRECT("ValuationDate"&amp;FixedBonds!$H22),$G22))</f>
        <v/>
      </c>
      <c r="I22" s="98" t="str">
        <f ca="1">IF(FixedBonds!$C22="","",_xll.meLWOBondYield($N22,INDIRECT("ValuationDate"&amp;FixedBonds!$H22),IF(VLOOKUP("ISCLEANPRICE",_xll.meLWOBondDisplay($N22),2,0),$G22,$H22)))</f>
        <v/>
      </c>
      <c r="J22" s="101">
        <v>16</v>
      </c>
      <c r="K22" s="53" t="str">
        <f>FixedBonds!T22</f>
        <v/>
      </c>
      <c r="L22" s="53" t="str">
        <f>FixedBonds!U22</f>
        <v/>
      </c>
      <c r="M22" s="53" t="str">
        <f>FixedBonds!V22</f>
        <v/>
      </c>
      <c r="N22" s="53" t="str">
        <f>FixedBonds!W22</f>
        <v/>
      </c>
    </row>
    <row r="23" spans="1:14">
      <c r="A23" s="101">
        <v>17</v>
      </c>
      <c r="B23" s="58" t="s">
        <v>163</v>
      </c>
      <c r="C23" s="59" t="str">
        <f>IF(FixedBonds!$G23="","",IF(ISBLANK($D23),_xll.BDP(LEFT(FixedBonds!$G23,LEN(FixedBonds!$G23)-5)&amp;" "&amp;FixedBondsSummary!$B23&amp;" Corp","PX_LAST"),$D23))</f>
        <v/>
      </c>
      <c r="D23" s="60"/>
      <c r="E23" s="83" t="str">
        <f ca="1">IF(ISBLANK($F23),IF(FixedBonds!$G23="","",_xll.meLWOAssetSwapSpread($L23,$K23,$C23,INDIRECT("ValuationSettings"&amp;FixedBonds!$D23),INDIRECT("Fixings"&amp;FixedBonds!$D23&amp;IF(FixedBonds!$E23="QUARTERLY","3ML","6ML")))),$F23)</f>
        <v/>
      </c>
      <c r="F23" s="60"/>
      <c r="G23" s="84" t="str">
        <f ca="1">IF(FixedBonds!$C23="","",_xll.meLWOAssetSwapSpreadToCleanPrice($M23,$E23,INDIRECT("ValuationSettings"&amp;FixedBonds!$H23),INDIRECT("Fixings"&amp;FixedBonds!$H23&amp;IF(FixedBonds!$I23="QUARTERLY","3ML","6ML"))))</f>
        <v/>
      </c>
      <c r="H23" s="84" t="str">
        <f ca="1">IF(FixedBonds!$C23="","",_xll.meLWOBondPriceFromCleanToDirty($N23,INDIRECT("ValuationDate"&amp;FixedBonds!$H23),$G23))</f>
        <v/>
      </c>
      <c r="I23" s="98" t="str">
        <f ca="1">IF(FixedBonds!$C23="","",_xll.meLWOBondYield($N23,INDIRECT("ValuationDate"&amp;FixedBonds!$H23),IF(VLOOKUP("ISCLEANPRICE",_xll.meLWOBondDisplay($N23),2,0),$G23,$H23)))</f>
        <v/>
      </c>
      <c r="J23" s="101">
        <v>17</v>
      </c>
      <c r="K23" s="53" t="str">
        <f>FixedBonds!T23</f>
        <v/>
      </c>
      <c r="L23" s="53" t="str">
        <f>FixedBonds!U23</f>
        <v/>
      </c>
      <c r="M23" s="53" t="str">
        <f>FixedBonds!V23</f>
        <v/>
      </c>
      <c r="N23" s="53" t="str">
        <f>FixedBonds!W23</f>
        <v/>
      </c>
    </row>
    <row r="24" spans="1:14">
      <c r="A24" s="101">
        <v>18</v>
      </c>
      <c r="B24" s="58" t="s">
        <v>163</v>
      </c>
      <c r="C24" s="59" t="str">
        <f>IF(FixedBonds!$G24="","",IF(ISBLANK($D24),_xll.BDP(LEFT(FixedBonds!$G24,LEN(FixedBonds!$G24)-5)&amp;" "&amp;FixedBondsSummary!$B24&amp;" Corp","PX_LAST"),$D24))</f>
        <v/>
      </c>
      <c r="D24" s="60"/>
      <c r="E24" s="83" t="str">
        <f ca="1">IF(ISBLANK($F24),IF(FixedBonds!$G24="","",_xll.meLWOAssetSwapSpread($L24,$K24,$C24,INDIRECT("ValuationSettings"&amp;FixedBonds!$D24),INDIRECT("Fixings"&amp;FixedBonds!$D24&amp;IF(FixedBonds!$E24="QUARTERLY","3ML","6ML")))),$F24)</f>
        <v/>
      </c>
      <c r="F24" s="60"/>
      <c r="G24" s="84" t="str">
        <f ca="1">IF(FixedBonds!$C24="","",_xll.meLWOAssetSwapSpreadToCleanPrice($M24,$E24,INDIRECT("ValuationSettings"&amp;FixedBonds!$H24),INDIRECT("Fixings"&amp;FixedBonds!$H24&amp;IF(FixedBonds!$I24="QUARTERLY","3ML","6ML"))))</f>
        <v/>
      </c>
      <c r="H24" s="84" t="str">
        <f ca="1">IF(FixedBonds!$C24="","",_xll.meLWOBondPriceFromCleanToDirty($N24,INDIRECT("ValuationDate"&amp;FixedBonds!$H24),$G24))</f>
        <v/>
      </c>
      <c r="I24" s="98" t="str">
        <f ca="1">IF(FixedBonds!$C24="","",_xll.meLWOBondYield($N24,INDIRECT("ValuationDate"&amp;FixedBonds!$H24),IF(VLOOKUP("ISCLEANPRICE",_xll.meLWOBondDisplay($N24),2,0),$G24,$H24)))</f>
        <v/>
      </c>
      <c r="J24" s="101">
        <v>18</v>
      </c>
      <c r="K24" s="53" t="str">
        <f>FixedBonds!T24</f>
        <v/>
      </c>
      <c r="L24" s="53" t="str">
        <f>FixedBonds!U24</f>
        <v/>
      </c>
      <c r="M24" s="53" t="str">
        <f>FixedBonds!V24</f>
        <v/>
      </c>
      <c r="N24" s="53" t="str">
        <f>FixedBonds!W24</f>
        <v/>
      </c>
    </row>
    <row r="25" spans="1:14">
      <c r="A25" s="101">
        <v>19</v>
      </c>
      <c r="B25" s="58" t="s">
        <v>163</v>
      </c>
      <c r="C25" s="59" t="str">
        <f>IF(FixedBonds!$G25="","",IF(ISBLANK($D25),_xll.BDP(LEFT(FixedBonds!$G25,LEN(FixedBonds!$G25)-5)&amp;" "&amp;FixedBondsSummary!$B25&amp;" Corp","PX_LAST"),$D25))</f>
        <v/>
      </c>
      <c r="D25" s="60"/>
      <c r="E25" s="83" t="str">
        <f ca="1">IF(ISBLANK($F25),IF(FixedBonds!$G25="","",_xll.meLWOAssetSwapSpread($L25,$K25,$C25,INDIRECT("ValuationSettings"&amp;FixedBonds!$D25),INDIRECT("Fixings"&amp;FixedBonds!$D25&amp;IF(FixedBonds!$E25="QUARTERLY","3ML","6ML")))),$F25)</f>
        <v/>
      </c>
      <c r="F25" s="60"/>
      <c r="G25" s="84" t="str">
        <f ca="1">IF(FixedBonds!$C25="","",_xll.meLWOAssetSwapSpreadToCleanPrice($M25,$E25,INDIRECT("ValuationSettings"&amp;FixedBonds!$H25),INDIRECT("Fixings"&amp;FixedBonds!$H25&amp;IF(FixedBonds!$I25="QUARTERLY","3ML","6ML"))))</f>
        <v/>
      </c>
      <c r="H25" s="84" t="str">
        <f ca="1">IF(FixedBonds!$C25="","",_xll.meLWOBondPriceFromCleanToDirty($N25,INDIRECT("ValuationDate"&amp;FixedBonds!$H25),$G25))</f>
        <v/>
      </c>
      <c r="I25" s="98" t="str">
        <f ca="1">IF(FixedBonds!$C25="","",_xll.meLWOBondYield($N25,INDIRECT("ValuationDate"&amp;FixedBonds!$H25),IF(VLOOKUP("ISCLEANPRICE",_xll.meLWOBondDisplay($N25),2,0),$G25,$H25)))</f>
        <v/>
      </c>
      <c r="J25" s="101">
        <v>19</v>
      </c>
      <c r="K25" s="53" t="str">
        <f>FixedBonds!T25</f>
        <v/>
      </c>
      <c r="L25" s="53" t="str">
        <f>FixedBonds!U25</f>
        <v/>
      </c>
      <c r="M25" s="53" t="str">
        <f>FixedBonds!V25</f>
        <v/>
      </c>
      <c r="N25" s="53" t="str">
        <f>FixedBonds!W25</f>
        <v/>
      </c>
    </row>
    <row r="26" spans="1:14">
      <c r="A26" s="101">
        <v>20</v>
      </c>
      <c r="B26" s="58" t="s">
        <v>163</v>
      </c>
      <c r="C26" s="59" t="str">
        <f>IF(FixedBonds!$G26="","",IF(ISBLANK($D26),_xll.BDP(LEFT(FixedBonds!$G26,LEN(FixedBonds!$G26)-5)&amp;" "&amp;FixedBondsSummary!$B26&amp;" Corp","PX_LAST"),$D26))</f>
        <v/>
      </c>
      <c r="D26" s="60"/>
      <c r="E26" s="83" t="str">
        <f ca="1">IF(ISBLANK($F26),IF(FixedBonds!$G26="","",_xll.meLWOAssetSwapSpread($L26,$K26,$C26,INDIRECT("ValuationSettings"&amp;FixedBonds!$D26),INDIRECT("Fixings"&amp;FixedBonds!$D26&amp;IF(FixedBonds!$E26="QUARTERLY","3ML","6ML")))),$F26)</f>
        <v/>
      </c>
      <c r="F26" s="60"/>
      <c r="G26" s="84" t="str">
        <f ca="1">IF(FixedBonds!$C26="","",_xll.meLWOAssetSwapSpreadToCleanPrice($M26,$E26,INDIRECT("ValuationSettings"&amp;FixedBonds!$H26),INDIRECT("Fixings"&amp;FixedBonds!$H26&amp;IF(FixedBonds!$I26="QUARTERLY","3ML","6ML"))))</f>
        <v/>
      </c>
      <c r="H26" s="84" t="str">
        <f ca="1">IF(FixedBonds!$C26="","",_xll.meLWOBondPriceFromCleanToDirty($N26,INDIRECT("ValuationDate"&amp;FixedBonds!$H26),$G26))</f>
        <v/>
      </c>
      <c r="I26" s="98" t="str">
        <f ca="1">IF(FixedBonds!$C26="","",_xll.meLWOBondYield($N26,INDIRECT("ValuationDate"&amp;FixedBonds!$H26),IF(VLOOKUP("ISCLEANPRICE",_xll.meLWOBondDisplay($N26),2,0),$G26,$H26)))</f>
        <v/>
      </c>
      <c r="J26" s="101">
        <v>20</v>
      </c>
      <c r="K26" s="53" t="str">
        <f>FixedBonds!T26</f>
        <v/>
      </c>
      <c r="L26" s="53" t="str">
        <f>FixedBonds!U26</f>
        <v/>
      </c>
      <c r="M26" s="53" t="str">
        <f>FixedBonds!V26</f>
        <v/>
      </c>
      <c r="N26" s="53" t="str">
        <f>FixedBonds!W26</f>
        <v/>
      </c>
    </row>
    <row r="27" spans="1:14">
      <c r="A27" t="s">
        <v>0</v>
      </c>
      <c r="B27" t="s">
        <v>0</v>
      </c>
      <c r="C27" t="s">
        <v>0</v>
      </c>
      <c r="D27" t="s">
        <v>0</v>
      </c>
      <c r="E27" t="s">
        <v>0</v>
      </c>
      <c r="F27" t="s">
        <v>0</v>
      </c>
      <c r="G27" t="s">
        <v>0</v>
      </c>
      <c r="H27" t="s">
        <v>0</v>
      </c>
      <c r="I27" t="s">
        <v>0</v>
      </c>
      <c r="J27" t="s">
        <v>0</v>
      </c>
      <c r="K27" t="s">
        <v>0</v>
      </c>
      <c r="L27" t="s">
        <v>0</v>
      </c>
      <c r="M27" t="s">
        <v>0</v>
      </c>
      <c r="N27" t="s">
        <v>0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3" tint="0.79998168889431442"/>
  </sheetPr>
  <dimension ref="A2:X51"/>
  <sheetViews>
    <sheetView showGridLines="0" topLeftCell="A10" workbookViewId="0">
      <selection activeCell="D44" sqref="D44"/>
    </sheetView>
  </sheetViews>
  <sheetFormatPr defaultRowHeight="15"/>
  <cols>
    <col min="1" max="1" width="4.7109375" style="137" customWidth="1"/>
    <col min="2" max="2" width="19.42578125" style="152" customWidth="1"/>
    <col min="3" max="3" width="35.7109375" style="137" bestFit="1" customWidth="1"/>
    <col min="4" max="4" width="11.28515625" style="137" customWidth="1"/>
    <col min="5" max="6" width="4.7109375" style="137" customWidth="1"/>
    <col min="7" max="7" width="21.7109375" style="137" bestFit="1" customWidth="1"/>
    <col min="8" max="8" width="33" style="137" bestFit="1" customWidth="1"/>
    <col min="9" max="9" width="34.7109375" style="137" bestFit="1" customWidth="1"/>
    <col min="10" max="10" width="10.7109375" style="137" customWidth="1"/>
    <col min="11" max="11" width="4.7109375" style="137" customWidth="1"/>
    <col min="12" max="12" width="33" style="137" bestFit="1" customWidth="1"/>
    <col min="13" max="14" width="21.7109375" style="137" customWidth="1"/>
    <col min="15" max="15" width="4.7109375" style="137" customWidth="1"/>
    <col min="16" max="16" width="33" style="137" bestFit="1" customWidth="1"/>
    <col min="17" max="18" width="21.7109375" style="137" customWidth="1"/>
    <col min="19" max="19" width="4.7109375" style="137" customWidth="1"/>
    <col min="20" max="20" width="21.7109375" style="137" bestFit="1" customWidth="1"/>
    <col min="21" max="21" width="31" style="137" bestFit="1" customWidth="1"/>
    <col min="22" max="22" width="34.140625" style="137" bestFit="1" customWidth="1"/>
    <col min="23" max="23" width="10.7109375" style="137" customWidth="1"/>
    <col min="24" max="16384" width="9.140625" style="137"/>
  </cols>
  <sheetData>
    <row r="2" spans="1:24">
      <c r="B2" s="160" t="s">
        <v>214</v>
      </c>
      <c r="C2" s="220" t="str">
        <f ca="1">IF(J7+W7=0,"DATA OK","#LOADING DATA")</f>
        <v>DATA OK</v>
      </c>
      <c r="F2" s="160" t="s">
        <v>215</v>
      </c>
    </row>
    <row r="4" spans="1:24">
      <c r="C4" s="138" t="s">
        <v>216</v>
      </c>
      <c r="D4" s="138"/>
      <c r="F4" s="167"/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9"/>
    </row>
    <row r="5" spans="1:24">
      <c r="B5" s="242" t="s">
        <v>144</v>
      </c>
      <c r="C5" s="217" t="s">
        <v>200</v>
      </c>
      <c r="D5" s="138"/>
      <c r="F5" s="170"/>
      <c r="G5" s="172"/>
      <c r="H5" s="196" t="s">
        <v>217</v>
      </c>
      <c r="I5" s="252" t="str">
        <f>LEFT($C$13,FIND(" ",$C$13)-1)</f>
        <v>USJ46186BC59</v>
      </c>
      <c r="J5" s="197"/>
      <c r="K5" s="172" t="s">
        <v>0</v>
      </c>
      <c r="L5" s="196" t="s">
        <v>218</v>
      </c>
      <c r="M5" s="252" t="str">
        <f>Proxy.ISIN</f>
        <v>USJ46186BC59</v>
      </c>
      <c r="N5" s="253"/>
      <c r="O5" s="172"/>
      <c r="P5" s="196" t="s">
        <v>219</v>
      </c>
      <c r="Q5" s="252" t="str">
        <f>Bond.ISIN</f>
        <v>XS1344710857</v>
      </c>
      <c r="R5" s="253"/>
      <c r="S5" s="172"/>
      <c r="T5" s="172"/>
      <c r="U5" s="196" t="s">
        <v>220</v>
      </c>
      <c r="V5" s="252" t="str">
        <f>LEFT($C$6,FIND(" ",$C$6)-1)</f>
        <v>XS1344710857</v>
      </c>
      <c r="W5" s="197"/>
      <c r="X5" s="173"/>
    </row>
    <row r="6" spans="1:24">
      <c r="B6" s="242" t="s">
        <v>78</v>
      </c>
      <c r="C6" s="233" t="s">
        <v>201</v>
      </c>
      <c r="D6" s="138"/>
      <c r="F6" s="170"/>
      <c r="G6" s="172"/>
      <c r="H6" s="166" t="s">
        <v>221</v>
      </c>
      <c r="I6" s="198" t="str">
        <f>"PROXY_BOND_"&amp;I$5</f>
        <v>PROXY_BOND_USJ46186BC59</v>
      </c>
      <c r="J6" s="213" t="s">
        <v>222</v>
      </c>
      <c r="K6" s="172" t="s">
        <v>0</v>
      </c>
      <c r="L6" s="166" t="s">
        <v>221</v>
      </c>
      <c r="M6" s="289" t="str">
        <f>"PROXY_XCCY_"&amp;M5</f>
        <v>PROXY_XCCY_USJ46186BC59</v>
      </c>
      <c r="N6" s="289"/>
      <c r="O6" s="172"/>
      <c r="P6" s="166" t="s">
        <v>221</v>
      </c>
      <c r="Q6" s="289" t="str">
        <f>"BOND_ASW_"&amp;V5</f>
        <v>BOND_ASW_XS1344710857</v>
      </c>
      <c r="R6" s="289"/>
      <c r="S6" s="172"/>
      <c r="T6" s="172"/>
      <c r="U6" s="166" t="s">
        <v>221</v>
      </c>
      <c r="V6" s="198" t="str">
        <f>"BOND_"&amp;Bond.ISIN</f>
        <v>BOND_XS1344710857</v>
      </c>
      <c r="W6" s="213" t="s">
        <v>222</v>
      </c>
      <c r="X6" s="173"/>
    </row>
    <row r="7" spans="1:24">
      <c r="B7" s="243" t="s">
        <v>154</v>
      </c>
      <c r="C7" s="218" t="s">
        <v>12</v>
      </c>
      <c r="D7" s="138"/>
      <c r="F7" s="170"/>
      <c r="G7" s="172"/>
      <c r="H7" s="166" t="s">
        <v>223</v>
      </c>
      <c r="I7" s="231" t="str">
        <f ca="1">IF($J$7=0,_xll.meLWOBondCreateFromLVB(I6,H10:I50),"#LOADING")</f>
        <v>PROXY_BOND_USJ46186BC59@10:41</v>
      </c>
      <c r="J7" s="215">
        <f ca="1">SUM(J10:J50)</f>
        <v>0</v>
      </c>
      <c r="K7" s="172" t="s">
        <v>0</v>
      </c>
      <c r="L7" s="166" t="s">
        <v>224</v>
      </c>
      <c r="M7" s="231" t="str">
        <f ca="1">IF($J$7=0,_xll.meLWOXccySwapCreate($M$6,$L$10:$N$50,$B$24:$C$26),"#LOADING")</f>
        <v>PROXY_XCCY_USJ46186BC59@12:41</v>
      </c>
      <c r="N7" s="231"/>
      <c r="O7" s="172" t="s">
        <v>0</v>
      </c>
      <c r="P7" s="166" t="s">
        <v>225</v>
      </c>
      <c r="Q7" s="231" t="str">
        <f ca="1">IF($W$7=0,_xll.meLWOSwapCreate(Q6,P10:R50),"#LOADING")</f>
        <v>BOND_ASW_XS1344710857@11:41</v>
      </c>
      <c r="R7" s="231"/>
      <c r="S7" s="172" t="s">
        <v>0</v>
      </c>
      <c r="T7" s="172"/>
      <c r="U7" s="166" t="s">
        <v>226</v>
      </c>
      <c r="V7" s="231" t="str">
        <f ca="1">IF($W$7=0,_xll.meLWOBondCreateFromLVB(V6,U10:V50),"#LOADING")</f>
        <v>BOND_XS1344710857@9:41</v>
      </c>
      <c r="W7" s="215">
        <f ca="1">SUM(W10:W50)</f>
        <v>0</v>
      </c>
      <c r="X7" s="173" t="s">
        <v>0</v>
      </c>
    </row>
    <row r="8" spans="1:24">
      <c r="A8" s="163"/>
      <c r="B8" s="244" t="s">
        <v>155</v>
      </c>
      <c r="C8" s="218" t="s">
        <v>35</v>
      </c>
      <c r="D8" s="138"/>
      <c r="F8" s="170"/>
      <c r="G8" s="172"/>
      <c r="H8" s="172"/>
      <c r="I8" s="172"/>
      <c r="J8" s="172"/>
      <c r="K8" s="172" t="s">
        <v>0</v>
      </c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3"/>
    </row>
    <row r="9" spans="1:24">
      <c r="A9" s="163"/>
      <c r="B9" s="244" t="s">
        <v>227</v>
      </c>
      <c r="C9" s="238" t="s">
        <v>228</v>
      </c>
      <c r="F9" s="170"/>
      <c r="G9" s="172"/>
      <c r="H9" s="171" t="s">
        <v>229</v>
      </c>
      <c r="I9" s="193"/>
      <c r="J9" s="213"/>
      <c r="K9" s="172"/>
      <c r="L9" s="171" t="s">
        <v>230</v>
      </c>
      <c r="M9" s="194" t="s">
        <v>3</v>
      </c>
      <c r="N9" s="194" t="s">
        <v>4</v>
      </c>
      <c r="O9" s="172"/>
      <c r="P9" s="171" t="s">
        <v>230</v>
      </c>
      <c r="Q9" s="194" t="s">
        <v>3</v>
      </c>
      <c r="R9" s="194" t="s">
        <v>4</v>
      </c>
      <c r="S9" s="172"/>
      <c r="T9" s="172"/>
      <c r="U9" s="171" t="s">
        <v>229</v>
      </c>
      <c r="V9" s="193"/>
      <c r="W9" s="213"/>
      <c r="X9" s="173"/>
    </row>
    <row r="10" spans="1:24">
      <c r="A10" s="163"/>
      <c r="B10" s="244" t="s">
        <v>231</v>
      </c>
      <c r="C10" s="238" t="s">
        <v>232</v>
      </c>
      <c r="F10" s="170"/>
      <c r="G10" s="202"/>
      <c r="H10" s="179" t="s">
        <v>5</v>
      </c>
      <c r="I10" s="156" t="str">
        <f>$C$12</f>
        <v>MIZUHO BANK LTD</v>
      </c>
      <c r="J10" s="214"/>
      <c r="K10" s="195" t="s">
        <v>0</v>
      </c>
      <c r="L10" s="180" t="s">
        <v>6</v>
      </c>
      <c r="M10" s="181" t="s">
        <v>7</v>
      </c>
      <c r="N10" s="181" t="s">
        <v>8</v>
      </c>
      <c r="O10" s="172"/>
      <c r="P10" s="180" t="s">
        <v>6</v>
      </c>
      <c r="Q10" s="181" t="s">
        <v>7</v>
      </c>
      <c r="R10" s="181" t="s">
        <v>8</v>
      </c>
      <c r="S10" s="172"/>
      <c r="T10" s="182"/>
      <c r="U10" s="179" t="s">
        <v>5</v>
      </c>
      <c r="V10" s="156" t="str">
        <f>$C$5</f>
        <v>MIZUHO BANK SYDNEY</v>
      </c>
      <c r="W10" s="214"/>
      <c r="X10" s="173"/>
    </row>
    <row r="11" spans="1:24">
      <c r="A11" s="163"/>
      <c r="B11" s="244" t="s">
        <v>233</v>
      </c>
      <c r="C11" s="238" t="s">
        <v>2</v>
      </c>
      <c r="F11" s="170"/>
      <c r="G11" s="203" t="s">
        <v>89</v>
      </c>
      <c r="H11" s="183" t="s">
        <v>9</v>
      </c>
      <c r="I11" s="155" t="str">
        <f ca="1">IF(LEFT(_xll.BDP($C$13,$G11),1)="#","#LOADING",_xll.BDP($C$13,$G11))</f>
        <v>FIXED</v>
      </c>
      <c r="J11" s="159">
        <f ca="1">IF(LEFT(I11,1)="#",1,0)</f>
        <v>0</v>
      </c>
      <c r="K11" s="199"/>
      <c r="L11" s="184" t="s">
        <v>10</v>
      </c>
      <c r="M11" s="144">
        <v>1000000</v>
      </c>
      <c r="N11" s="235">
        <f ca="1">M11/C20</f>
        <v>1375250.9833044531</v>
      </c>
      <c r="O11" s="172"/>
      <c r="P11" s="184" t="s">
        <v>10</v>
      </c>
      <c r="Q11" s="144">
        <v>1000000</v>
      </c>
      <c r="R11" s="144">
        <v>1000000</v>
      </c>
      <c r="S11" s="172"/>
      <c r="T11" s="185" t="s">
        <v>89</v>
      </c>
      <c r="U11" s="183" t="s">
        <v>9</v>
      </c>
      <c r="V11" s="155" t="str">
        <f ca="1">IF(LEFT(_xll.BDP($C$6,$T11),1)="#","#LOADING",_xll.BDP($C$6,$T11))</f>
        <v>FIXED</v>
      </c>
      <c r="W11" s="159">
        <f ca="1">IF(LEFT(V11,1)="#",1,0)</f>
        <v>0</v>
      </c>
      <c r="X11" s="173"/>
    </row>
    <row r="12" spans="1:24">
      <c r="A12" s="163"/>
      <c r="B12" s="245" t="s">
        <v>146</v>
      </c>
      <c r="C12" s="246" t="s">
        <v>202</v>
      </c>
      <c r="D12" s="138"/>
      <c r="F12" s="170"/>
      <c r="G12" s="203" t="s">
        <v>81</v>
      </c>
      <c r="H12" s="183" t="s">
        <v>11</v>
      </c>
      <c r="I12" s="164" t="str">
        <f>$C$14</f>
        <v>USD</v>
      </c>
      <c r="J12" s="159"/>
      <c r="K12" s="195" t="s">
        <v>0</v>
      </c>
      <c r="L12" s="184" t="s">
        <v>13</v>
      </c>
      <c r="M12" s="236" t="s">
        <v>212</v>
      </c>
      <c r="N12" s="236" t="s">
        <v>212</v>
      </c>
      <c r="O12" s="172"/>
      <c r="P12" s="184" t="s">
        <v>13</v>
      </c>
      <c r="Q12" s="140" t="s">
        <v>14</v>
      </c>
      <c r="R12" s="140" t="s">
        <v>14</v>
      </c>
      <c r="S12" s="172"/>
      <c r="T12" s="185" t="s">
        <v>81</v>
      </c>
      <c r="U12" s="183" t="s">
        <v>11</v>
      </c>
      <c r="V12" s="165" t="str">
        <f>$C$7</f>
        <v>AUD</v>
      </c>
      <c r="W12" s="159"/>
      <c r="X12" s="173"/>
    </row>
    <row r="13" spans="1:24">
      <c r="B13" s="161" t="s">
        <v>79</v>
      </c>
      <c r="C13" s="233" t="s">
        <v>203</v>
      </c>
      <c r="D13" s="138"/>
      <c r="F13" s="170"/>
      <c r="G13" s="204"/>
      <c r="H13" s="183" t="s">
        <v>15</v>
      </c>
      <c r="I13" s="141" t="str">
        <f>$C$13</f>
        <v>USJ46186BC59 Corp</v>
      </c>
      <c r="J13" s="159"/>
      <c r="K13" s="195" t="s">
        <v>0</v>
      </c>
      <c r="L13" s="184" t="s">
        <v>16</v>
      </c>
      <c r="M13" s="140" t="s">
        <v>17</v>
      </c>
      <c r="N13" s="140" t="s">
        <v>18</v>
      </c>
      <c r="O13" s="172"/>
      <c r="P13" s="184" t="s">
        <v>16</v>
      </c>
      <c r="Q13" s="140" t="s">
        <v>17</v>
      </c>
      <c r="R13" s="140" t="s">
        <v>18</v>
      </c>
      <c r="S13" s="172"/>
      <c r="T13" s="186"/>
      <c r="U13" s="183" t="s">
        <v>15</v>
      </c>
      <c r="V13" s="141" t="str">
        <f>$C$6</f>
        <v>XS1344710857 Corp</v>
      </c>
      <c r="W13" s="159"/>
      <c r="X13" s="173"/>
    </row>
    <row r="14" spans="1:24">
      <c r="B14" s="152" t="s">
        <v>148</v>
      </c>
      <c r="C14" s="218" t="s">
        <v>101</v>
      </c>
      <c r="D14" s="138"/>
      <c r="F14" s="170"/>
      <c r="G14" s="204"/>
      <c r="H14" s="183" t="s">
        <v>19</v>
      </c>
      <c r="I14" s="139" t="s">
        <v>20</v>
      </c>
      <c r="J14" s="159"/>
      <c r="K14" s="195" t="s">
        <v>0</v>
      </c>
      <c r="L14" s="184" t="s">
        <v>21</v>
      </c>
      <c r="M14" s="149"/>
      <c r="N14" s="142" t="str">
        <f>$N$16&amp;VLOOKUP($C$15,Static.FrequencyToCurveIndex,2,FALSE)</f>
        <v>AUD3ML</v>
      </c>
      <c r="O14" s="172"/>
      <c r="P14" s="184" t="s">
        <v>21</v>
      </c>
      <c r="Q14" s="149"/>
      <c r="R14" s="142" t="str">
        <f>$V$12&amp;VLOOKUP($C$15,Static.FrequencyToCurveIndex,2,FALSE)</f>
        <v>AUD3ML</v>
      </c>
      <c r="S14" s="172"/>
      <c r="T14" s="186"/>
      <c r="U14" s="183" t="s">
        <v>19</v>
      </c>
      <c r="V14" s="139" t="s">
        <v>20</v>
      </c>
      <c r="W14" s="159"/>
      <c r="X14" s="173"/>
    </row>
    <row r="15" spans="1:24">
      <c r="B15" s="161" t="s">
        <v>156</v>
      </c>
      <c r="C15" s="219" t="s">
        <v>35</v>
      </c>
      <c r="D15" s="138"/>
      <c r="F15" s="170"/>
      <c r="G15" s="203" t="s">
        <v>82</v>
      </c>
      <c r="H15" s="183" t="s">
        <v>22</v>
      </c>
      <c r="I15" s="155" t="b">
        <f ca="1">IF(LEFT(_xll.BDP($C$13,$G15),1)="#","#LOADING",IF(_xll.BDP($C$13,$G15)="CLEAN",TRUE,FALSE))</f>
        <v>1</v>
      </c>
      <c r="J15" s="159">
        <f t="shared" ref="J15:J34" ca="1" si="0">IF(LEFT(I15,1)="#",1,0)</f>
        <v>0</v>
      </c>
      <c r="K15" s="195" t="s">
        <v>0</v>
      </c>
      <c r="L15" s="184" t="s">
        <v>23</v>
      </c>
      <c r="M15" s="142" t="str">
        <f>VLOOKUP($I$12,Static.CurrencyToAssetSwap,3,FALSE)</f>
        <v>USDOIS</v>
      </c>
      <c r="N15" s="237" t="str">
        <f>IF($N$16="USD","USDOIS",$N$16&amp;"DF_"&amp;$M$16&amp;"CSA")</f>
        <v>AUDDF_USDCSA</v>
      </c>
      <c r="O15" s="172"/>
      <c r="P15" s="184" t="s">
        <v>23</v>
      </c>
      <c r="Q15" s="142" t="str">
        <f>VLOOKUP($V$12,Static.CurrencyToAssetSwap,3,FALSE)</f>
        <v>AUDOIS</v>
      </c>
      <c r="R15" s="142" t="str">
        <f>VLOOKUP($V$12,Static.CurrencyToAssetSwap,3,FALSE)</f>
        <v>AUDOIS</v>
      </c>
      <c r="S15" s="172"/>
      <c r="T15" s="185" t="s">
        <v>82</v>
      </c>
      <c r="U15" s="183" t="s">
        <v>22</v>
      </c>
      <c r="V15" s="155" t="b">
        <f ca="1">IF(LEFT(_xll.BDP($C$6,$T15),1)="#","#LOADING",_xll.BDP($C$6,$T15)="CLEAN")</f>
        <v>1</v>
      </c>
      <c r="W15" s="159">
        <f t="shared" ref="W15:W34" ca="1" si="1">IF(LEFT(V15,1)="#",1,0)</f>
        <v>0</v>
      </c>
      <c r="X15" s="173"/>
    </row>
    <row r="16" spans="1:24">
      <c r="D16" s="138"/>
      <c r="F16" s="170"/>
      <c r="G16" s="204"/>
      <c r="H16" s="183" t="s">
        <v>25</v>
      </c>
      <c r="I16" s="139" t="s">
        <v>26</v>
      </c>
      <c r="J16" s="159"/>
      <c r="K16" s="195" t="s">
        <v>0</v>
      </c>
      <c r="L16" s="184" t="s">
        <v>11</v>
      </c>
      <c r="M16" s="164" t="str">
        <f>$I$12</f>
        <v>USD</v>
      </c>
      <c r="N16" s="165" t="str">
        <f>$C$7</f>
        <v>AUD</v>
      </c>
      <c r="O16" s="172"/>
      <c r="P16" s="184" t="s">
        <v>11</v>
      </c>
      <c r="Q16" s="165" t="str">
        <f>$V$12</f>
        <v>AUD</v>
      </c>
      <c r="R16" s="165" t="str">
        <f>$V$12</f>
        <v>AUD</v>
      </c>
      <c r="S16" s="172"/>
      <c r="T16" s="186"/>
      <c r="U16" s="183" t="s">
        <v>25</v>
      </c>
      <c r="V16" s="139" t="s">
        <v>26</v>
      </c>
      <c r="W16" s="159"/>
      <c r="X16" s="173"/>
    </row>
    <row r="17" spans="2:24">
      <c r="B17" s="160" t="s">
        <v>234</v>
      </c>
      <c r="D17" s="138"/>
      <c r="F17" s="170"/>
      <c r="G17" s="204"/>
      <c r="H17" s="183" t="s">
        <v>16</v>
      </c>
      <c r="I17" s="140" t="s">
        <v>18</v>
      </c>
      <c r="J17" s="159"/>
      <c r="K17" s="195" t="s">
        <v>0</v>
      </c>
      <c r="L17" s="184" t="s">
        <v>27</v>
      </c>
      <c r="M17" s="187">
        <v>1</v>
      </c>
      <c r="N17" s="187">
        <v>1</v>
      </c>
      <c r="O17" s="172"/>
      <c r="P17" s="184" t="s">
        <v>27</v>
      </c>
      <c r="Q17" s="187">
        <v>1</v>
      </c>
      <c r="R17" s="187">
        <v>1</v>
      </c>
      <c r="S17" s="172"/>
      <c r="T17" s="186"/>
      <c r="U17" s="183" t="s">
        <v>16</v>
      </c>
      <c r="V17" s="140" t="s">
        <v>18</v>
      </c>
      <c r="W17" s="159"/>
      <c r="X17" s="173"/>
    </row>
    <row r="18" spans="2:24">
      <c r="B18" s="177" t="s">
        <v>7</v>
      </c>
      <c r="C18" s="247" t="str">
        <f>$C$14&amp;"YC"</f>
        <v>USDYC</v>
      </c>
      <c r="F18" s="170"/>
      <c r="G18" s="204"/>
      <c r="H18" s="183" t="s">
        <v>13</v>
      </c>
      <c r="I18" s="143" t="s">
        <v>28</v>
      </c>
      <c r="J18" s="159"/>
      <c r="K18" s="195" t="s">
        <v>0</v>
      </c>
      <c r="L18" s="184" t="s">
        <v>29</v>
      </c>
      <c r="M18" s="188">
        <f ca="1">$I$25</f>
        <v>3.2000000000000001E-2</v>
      </c>
      <c r="N18" s="189"/>
      <c r="O18" s="172"/>
      <c r="P18" s="184" t="s">
        <v>29</v>
      </c>
      <c r="Q18" s="188">
        <f ca="1">$V$25</f>
        <v>3.9199999999999999E-2</v>
      </c>
      <c r="R18" s="189"/>
      <c r="S18" s="172"/>
      <c r="T18" s="186"/>
      <c r="U18" s="183" t="s">
        <v>13</v>
      </c>
      <c r="V18" s="143" t="s">
        <v>28</v>
      </c>
      <c r="W18" s="159"/>
      <c r="X18" s="173"/>
    </row>
    <row r="19" spans="2:24">
      <c r="B19" s="232" t="s">
        <v>8</v>
      </c>
      <c r="C19" s="248" t="str">
        <f>$C$7&amp;"YC"</f>
        <v>AUDYC</v>
      </c>
      <c r="D19" s="137" t="s">
        <v>235</v>
      </c>
      <c r="F19" s="170"/>
      <c r="G19" s="204"/>
      <c r="H19" s="183" t="s">
        <v>30</v>
      </c>
      <c r="I19" s="144">
        <v>1000000</v>
      </c>
      <c r="J19" s="159"/>
      <c r="K19" s="195" t="s">
        <v>0</v>
      </c>
      <c r="L19" s="184" t="s">
        <v>31</v>
      </c>
      <c r="M19" s="140"/>
      <c r="N19" s="140" t="s">
        <v>32</v>
      </c>
      <c r="O19" s="172"/>
      <c r="P19" s="184" t="s">
        <v>31</v>
      </c>
      <c r="Q19" s="140"/>
      <c r="R19" s="140" t="s">
        <v>32</v>
      </c>
      <c r="S19" s="172"/>
      <c r="T19" s="186"/>
      <c r="U19" s="183" t="s">
        <v>30</v>
      </c>
      <c r="V19" s="144">
        <v>1000000</v>
      </c>
      <c r="W19" s="159"/>
      <c r="X19" s="173"/>
    </row>
    <row r="20" spans="2:24">
      <c r="B20" s="232" t="s">
        <v>236</v>
      </c>
      <c r="C20" s="136">
        <f ca="1">_xll.BDH(D20,D19,Settings.ValuationDate,Settings.ValuationDate)</f>
        <v>0.72714000000000001</v>
      </c>
      <c r="D20" s="251" t="str">
        <f>C7&amp;C14&amp;" Curncy"</f>
        <v>AUDUSD Curncy</v>
      </c>
      <c r="F20" s="170"/>
      <c r="G20" s="203" t="s">
        <v>83</v>
      </c>
      <c r="H20" s="183" t="s">
        <v>33</v>
      </c>
      <c r="I20" s="155">
        <f ca="1">IF(LEFT(_xll.BDP($C$13,$G20),1)="#","#LOADING",DATEVALUE(_xll.BDP($C$13,$G20)))</f>
        <v>42089</v>
      </c>
      <c r="J20" s="159">
        <f t="shared" ca="1" si="0"/>
        <v>0</v>
      </c>
      <c r="K20" s="195" t="s">
        <v>0</v>
      </c>
      <c r="L20" s="184" t="s">
        <v>34</v>
      </c>
      <c r="M20" s="140"/>
      <c r="N20" s="140" t="s">
        <v>32</v>
      </c>
      <c r="O20" s="172"/>
      <c r="P20" s="184" t="s">
        <v>34</v>
      </c>
      <c r="Q20" s="140"/>
      <c r="R20" s="140" t="s">
        <v>32</v>
      </c>
      <c r="S20" s="172"/>
      <c r="T20" s="185" t="s">
        <v>83</v>
      </c>
      <c r="U20" s="183" t="s">
        <v>33</v>
      </c>
      <c r="V20" s="157">
        <f ca="1">IF(LEFT(_xll.BDP($C$6,$T20),1)="#","#LOADING",DATEVALUE(_xll.BDP($C$6,$T20)))</f>
        <v>42384</v>
      </c>
      <c r="W20" s="159">
        <f t="shared" ca="1" si="1"/>
        <v>0</v>
      </c>
      <c r="X20" s="173"/>
    </row>
    <row r="21" spans="2:24">
      <c r="B21" s="178" t="s">
        <v>77</v>
      </c>
      <c r="C21" s="162">
        <f ca="1">_xll.meDateFromTenor(Settings.ValuationDate,$C$9,$C$10,$C$11)</f>
        <v>43500</v>
      </c>
      <c r="D21" s="137" t="s">
        <v>0</v>
      </c>
      <c r="F21" s="170"/>
      <c r="G21" s="203" t="s">
        <v>85</v>
      </c>
      <c r="H21" s="183" t="s">
        <v>36</v>
      </c>
      <c r="I21" s="155">
        <f ca="1">IF(LEFT(_xll.BDP($C$13,$G21),1)="#","#LOADING",DATEVALUE(_xll.BDP($C$13,$G21)))</f>
        <v>42089</v>
      </c>
      <c r="J21" s="159">
        <f t="shared" ca="1" si="0"/>
        <v>0</v>
      </c>
      <c r="K21" s="195" t="s">
        <v>0</v>
      </c>
      <c r="L21" s="184" t="s">
        <v>37</v>
      </c>
      <c r="M21" s="190"/>
      <c r="N21" s="190"/>
      <c r="O21" s="172"/>
      <c r="P21" s="184" t="s">
        <v>37</v>
      </c>
      <c r="Q21" s="190"/>
      <c r="R21" s="190"/>
      <c r="S21" s="172"/>
      <c r="T21" s="185" t="s">
        <v>85</v>
      </c>
      <c r="U21" s="183" t="s">
        <v>36</v>
      </c>
      <c r="V21" s="157">
        <f ca="1">IF(LEFT(_xll.BDP($C$6,$T21),1)="#","#LOADING",DATEVALUE(_xll.BDP($C$6,$T21)))</f>
        <v>42384</v>
      </c>
      <c r="W21" s="159">
        <f t="shared" ca="1" si="1"/>
        <v>0</v>
      </c>
      <c r="X21" s="173"/>
    </row>
    <row r="22" spans="2:24">
      <c r="F22" s="170"/>
      <c r="G22" s="203" t="s">
        <v>86</v>
      </c>
      <c r="H22" s="191" t="s">
        <v>38</v>
      </c>
      <c r="I22" s="155">
        <f ca="1">IF(LEFT(_xll.BDP($C$13,$G22),1)="#","#LOADING",DATEVALUE(_xll.BDP($C$13,$G22)))</f>
        <v>42273</v>
      </c>
      <c r="J22" s="159">
        <f t="shared" ca="1" si="0"/>
        <v>0</v>
      </c>
      <c r="K22" s="195" t="s">
        <v>0</v>
      </c>
      <c r="L22" s="184" t="s">
        <v>39</v>
      </c>
      <c r="M22" s="190"/>
      <c r="N22" s="190"/>
      <c r="O22" s="172"/>
      <c r="P22" s="184" t="s">
        <v>39</v>
      </c>
      <c r="Q22" s="190"/>
      <c r="R22" s="190"/>
      <c r="S22" s="172"/>
      <c r="T22" s="185" t="s">
        <v>86</v>
      </c>
      <c r="U22" s="191" t="s">
        <v>38</v>
      </c>
      <c r="V22" s="157">
        <f ca="1">IF(LEFT(_xll.BDP($C$6,$T22),1)="#","#LOADING",DATEVALUE(_xll.BDP($C$6,$T22)))</f>
        <v>42566</v>
      </c>
      <c r="W22" s="159">
        <f t="shared" ca="1" si="1"/>
        <v>0</v>
      </c>
      <c r="X22" s="173"/>
    </row>
    <row r="23" spans="2:24">
      <c r="B23" s="160" t="s">
        <v>208</v>
      </c>
      <c r="F23" s="170"/>
      <c r="G23" s="203" t="s">
        <v>87</v>
      </c>
      <c r="H23" s="191" t="s">
        <v>40</v>
      </c>
      <c r="I23" s="155">
        <f ca="1">IF(LEFT(_xll.BDP($C$13,$G23),1)="#","#LOADING",DATEVALUE(_xll.BDP($C$13,$G23)))</f>
        <v>45561</v>
      </c>
      <c r="J23" s="159">
        <f t="shared" ca="1" si="0"/>
        <v>0</v>
      </c>
      <c r="K23" s="195" t="s">
        <v>0</v>
      </c>
      <c r="L23" s="184" t="s">
        <v>41</v>
      </c>
      <c r="M23" s="187"/>
      <c r="N23" s="192"/>
      <c r="O23" s="172"/>
      <c r="P23" s="184" t="s">
        <v>41</v>
      </c>
      <c r="Q23" s="187"/>
      <c r="R23" s="192"/>
      <c r="S23" s="172"/>
      <c r="T23" s="185" t="s">
        <v>87</v>
      </c>
      <c r="U23" s="191" t="s">
        <v>40</v>
      </c>
      <c r="V23" s="157">
        <f ca="1">IF(LEFT(_xll.BDP($C$6,$T23),1)="#","#LOADING",DATEVALUE(_xll.BDP($C$6,$T23)))</f>
        <v>45853</v>
      </c>
      <c r="W23" s="159">
        <f t="shared" ca="1" si="1"/>
        <v>0</v>
      </c>
      <c r="X23" s="173"/>
    </row>
    <row r="24" spans="2:24">
      <c r="B24" s="239" t="s">
        <v>209</v>
      </c>
      <c r="C24" s="181" t="b">
        <v>0</v>
      </c>
      <c r="F24" s="170"/>
      <c r="G24" s="203" t="s">
        <v>84</v>
      </c>
      <c r="H24" s="183" t="s">
        <v>42</v>
      </c>
      <c r="I24" s="155">
        <f ca="1">IF(LEFT(_xll.BDP($C$13,$G24),1)="#","#LOADING",DATEVALUE(_xll.BDP($C$13,$G24)))</f>
        <v>45742</v>
      </c>
      <c r="J24" s="159">
        <f t="shared" ca="1" si="0"/>
        <v>0</v>
      </c>
      <c r="K24" s="195" t="s">
        <v>0</v>
      </c>
      <c r="L24" s="184" t="s">
        <v>43</v>
      </c>
      <c r="M24" s="145">
        <f ca="1">$I$21</f>
        <v>42089</v>
      </c>
      <c r="N24" s="290">
        <f ca="1">M24</f>
        <v>42089</v>
      </c>
      <c r="O24" s="172"/>
      <c r="P24" s="184" t="s">
        <v>43</v>
      </c>
      <c r="Q24" s="145">
        <f ca="1">$V$21</f>
        <v>42384</v>
      </c>
      <c r="R24" s="234">
        <f ca="1">Q24</f>
        <v>42384</v>
      </c>
      <c r="S24" s="172"/>
      <c r="T24" s="185" t="s">
        <v>84</v>
      </c>
      <c r="U24" s="183" t="s">
        <v>42</v>
      </c>
      <c r="V24" s="157">
        <f ca="1">IF(LEFT(_xll.BDP($C$6,$T24),1)="#","#LOADING",DATEVALUE(_xll.BDP($C$6,$T24)))</f>
        <v>46037</v>
      </c>
      <c r="W24" s="159">
        <f t="shared" ca="1" si="1"/>
        <v>0</v>
      </c>
      <c r="X24" s="173"/>
    </row>
    <row r="25" spans="2:24">
      <c r="B25" s="240" t="s">
        <v>210</v>
      </c>
      <c r="C25" s="142" t="str">
        <f>$C$14</f>
        <v>USD</v>
      </c>
      <c r="F25" s="170"/>
      <c r="G25" s="203" t="s">
        <v>88</v>
      </c>
      <c r="H25" s="183" t="s">
        <v>44</v>
      </c>
      <c r="I25" s="158">
        <f ca="1">IF(LEFT(_xll.BDP($C$13,$G25),1)="#","#LOADING",_xll.BDP($C$13,$G25)%)</f>
        <v>3.2000000000000001E-2</v>
      </c>
      <c r="J25" s="159">
        <f t="shared" ca="1" si="0"/>
        <v>0</v>
      </c>
      <c r="K25" s="195" t="s">
        <v>0</v>
      </c>
      <c r="L25" s="184" t="s">
        <v>42</v>
      </c>
      <c r="M25" s="145">
        <f ca="1">$I$24</f>
        <v>45742</v>
      </c>
      <c r="N25" s="290">
        <f ca="1">M25</f>
        <v>45742</v>
      </c>
      <c r="O25" s="172"/>
      <c r="P25" s="184" t="s">
        <v>42</v>
      </c>
      <c r="Q25" s="145">
        <f ca="1">$V$24</f>
        <v>46037</v>
      </c>
      <c r="R25" s="234">
        <f ca="1">$V$24</f>
        <v>46037</v>
      </c>
      <c r="S25" s="172"/>
      <c r="T25" s="185" t="s">
        <v>88</v>
      </c>
      <c r="U25" s="183" t="s">
        <v>44</v>
      </c>
      <c r="V25" s="158">
        <f ca="1">IF(LEFT(_xll.BDP($C$6,$T25),1)="#","#LOADING",_xll.BDP($C$6,$T25)%)</f>
        <v>3.9199999999999999E-2</v>
      </c>
      <c r="W25" s="159">
        <f t="shared" ca="1" si="1"/>
        <v>0</v>
      </c>
      <c r="X25" s="173"/>
    </row>
    <row r="26" spans="2:24">
      <c r="B26" s="241" t="s">
        <v>211</v>
      </c>
      <c r="C26" s="249"/>
      <c r="F26" s="170"/>
      <c r="G26" s="203" t="s">
        <v>90</v>
      </c>
      <c r="H26" s="183" t="s">
        <v>47</v>
      </c>
      <c r="I26" s="158" t="str">
        <f ca="1">IF(LEFT(_xll.BDP($C$13,$G26),1)="#","#LOADING",VLOOKUP(_xll.BDP($C$13,$G26),Static.CouponFrequency,2,FALSE))</f>
        <v>SEMI-ANNUAL</v>
      </c>
      <c r="J26" s="159">
        <f t="shared" ca="1" si="0"/>
        <v>0</v>
      </c>
      <c r="K26" s="195" t="s">
        <v>0</v>
      </c>
      <c r="L26" s="184" t="s">
        <v>48</v>
      </c>
      <c r="M26" s="146" t="str">
        <f ca="1">$I$26</f>
        <v>SEMI-ANNUAL</v>
      </c>
      <c r="N26" s="142" t="str">
        <f>$C$8</f>
        <v>QUARTERLY</v>
      </c>
      <c r="O26" s="172"/>
      <c r="P26" s="184" t="s">
        <v>48</v>
      </c>
      <c r="Q26" s="146" t="str">
        <f ca="1">$V$26</f>
        <v>SEMI-ANNUAL</v>
      </c>
      <c r="R26" s="142" t="str">
        <f>$C$15</f>
        <v>QUARTERLY</v>
      </c>
      <c r="S26" s="172"/>
      <c r="T26" s="185" t="s">
        <v>90</v>
      </c>
      <c r="U26" s="183" t="s">
        <v>47</v>
      </c>
      <c r="V26" s="158" t="str">
        <f ca="1">IF(LEFT(_xll.BDP($C$6,$T26),1)="#","#LOADING",VLOOKUP(_xll.BDP($C$6,$T26),Static.CouponFrequency,2,FALSE))</f>
        <v>SEMI-ANNUAL</v>
      </c>
      <c r="W26" s="159">
        <f t="shared" ca="1" si="1"/>
        <v>0</v>
      </c>
      <c r="X26" s="173"/>
    </row>
    <row r="27" spans="2:24">
      <c r="F27" s="170"/>
      <c r="G27" s="204"/>
      <c r="H27" s="183" t="s">
        <v>50</v>
      </c>
      <c r="I27" s="147" t="s">
        <v>51</v>
      </c>
      <c r="J27" s="159"/>
      <c r="K27" s="195" t="s">
        <v>0</v>
      </c>
      <c r="L27" s="184" t="s">
        <v>52</v>
      </c>
      <c r="M27" s="146" t="str">
        <f ca="1">$I$26</f>
        <v>SEMI-ANNUAL</v>
      </c>
      <c r="N27" s="142" t="str">
        <f>$C$8</f>
        <v>QUARTERLY</v>
      </c>
      <c r="O27" s="172"/>
      <c r="P27" s="184" t="s">
        <v>52</v>
      </c>
      <c r="Q27" s="146" t="str">
        <f ca="1">$V$26</f>
        <v>SEMI-ANNUAL</v>
      </c>
      <c r="R27" s="142" t="str">
        <f>$C$15</f>
        <v>QUARTERLY</v>
      </c>
      <c r="S27" s="172"/>
      <c r="T27" s="186"/>
      <c r="U27" s="183" t="s">
        <v>50</v>
      </c>
      <c r="V27" s="147" t="s">
        <v>51</v>
      </c>
      <c r="W27" s="159"/>
      <c r="X27" s="173"/>
    </row>
    <row r="28" spans="2:24">
      <c r="B28" s="160" t="s">
        <v>237</v>
      </c>
      <c r="F28" s="170"/>
      <c r="G28" s="204"/>
      <c r="H28" s="183" t="s">
        <v>53</v>
      </c>
      <c r="I28" s="142" t="str">
        <f>VLOOKUP(I$12,Static.CurrencyToCalendar,2,FALSE)</f>
        <v>NYB</v>
      </c>
      <c r="J28" s="159"/>
      <c r="K28" s="195" t="s">
        <v>0</v>
      </c>
      <c r="L28" s="184" t="s">
        <v>54</v>
      </c>
      <c r="M28" s="148" t="str">
        <f ca="1">$I$32</f>
        <v>ISMA-30/360</v>
      </c>
      <c r="N28" s="142" t="str">
        <f>VLOOKUP($V$12,Static.CurrencyToAssetSwap,6,FALSE)</f>
        <v>ACT/365</v>
      </c>
      <c r="O28" s="172"/>
      <c r="P28" s="184" t="s">
        <v>54</v>
      </c>
      <c r="Q28" s="148" t="str">
        <f ca="1">$V$32</f>
        <v>ISMA-30/360</v>
      </c>
      <c r="R28" s="142" t="str">
        <f>VLOOKUP($V$12,Static.CurrencyToAssetSwap,6,FALSE)</f>
        <v>ACT/365</v>
      </c>
      <c r="S28" s="172"/>
      <c r="T28" s="186"/>
      <c r="U28" s="183" t="s">
        <v>53</v>
      </c>
      <c r="V28" s="142" t="str">
        <f>VLOOKUP(V$12,Static.CurrencyToCalendar,2,FALSE)</f>
        <v>SYB</v>
      </c>
      <c r="W28" s="159"/>
      <c r="X28" s="173"/>
    </row>
    <row r="29" spans="2:24">
      <c r="B29" s="152" t="s">
        <v>151</v>
      </c>
      <c r="C29" s="221" t="str">
        <f ca="1">Booking.Proxy.Bond</f>
        <v>PROXY_BOND_USJ46186BC59@10:41</v>
      </c>
      <c r="F29" s="170"/>
      <c r="G29" s="204"/>
      <c r="H29" s="183" t="s">
        <v>56</v>
      </c>
      <c r="I29" s="140" t="s">
        <v>51</v>
      </c>
      <c r="J29" s="159"/>
      <c r="K29" s="195" t="s">
        <v>0</v>
      </c>
      <c r="L29" s="184" t="s">
        <v>57</v>
      </c>
      <c r="M29" s="140"/>
      <c r="N29" s="140" t="s">
        <v>58</v>
      </c>
      <c r="O29" s="172"/>
      <c r="P29" s="184" t="s">
        <v>57</v>
      </c>
      <c r="Q29" s="140"/>
      <c r="R29" s="140" t="s">
        <v>58</v>
      </c>
      <c r="S29" s="172"/>
      <c r="T29" s="186"/>
      <c r="U29" s="183" t="s">
        <v>56</v>
      </c>
      <c r="V29" s="140" t="s">
        <v>51</v>
      </c>
      <c r="W29" s="159"/>
      <c r="X29" s="173"/>
    </row>
    <row r="30" spans="2:24">
      <c r="B30" s="152" t="s">
        <v>238</v>
      </c>
      <c r="C30" s="222" t="str">
        <f ca="1">Booking.Proxy.AssetSwap</f>
        <v>PROXY_XCCY_USJ46186BC59@12:41</v>
      </c>
      <c r="F30" s="170"/>
      <c r="G30" s="204"/>
      <c r="H30" s="183" t="s">
        <v>59</v>
      </c>
      <c r="I30" s="142" t="str">
        <f>VLOOKUP(I$12,Static.CurrencyToCalendar,2,FALSE)</f>
        <v>NYB</v>
      </c>
      <c r="J30" s="159"/>
      <c r="K30" s="195" t="s">
        <v>0</v>
      </c>
      <c r="L30" s="184" t="s">
        <v>60</v>
      </c>
      <c r="M30" s="140"/>
      <c r="N30" s="142" t="str">
        <f>VLOOKUP($V$12,Static.CurrencyToAssetSwap,4,FALSE)</f>
        <v>SYB:LNB</v>
      </c>
      <c r="O30" s="172"/>
      <c r="P30" s="184" t="s">
        <v>60</v>
      </c>
      <c r="Q30" s="140"/>
      <c r="R30" s="142" t="str">
        <f>VLOOKUP($V$12,Static.CurrencyToAssetSwap,4,FALSE)</f>
        <v>SYB:LNB</v>
      </c>
      <c r="S30" s="172"/>
      <c r="T30" s="186"/>
      <c r="U30" s="183" t="s">
        <v>59</v>
      </c>
      <c r="V30" s="142" t="str">
        <f>VLOOKUP(V$12,Static.CurrencyToCalendar,2,FALSE)</f>
        <v>SYB</v>
      </c>
      <c r="W30" s="159"/>
      <c r="X30" s="173"/>
    </row>
    <row r="31" spans="2:24">
      <c r="B31" s="152" t="s">
        <v>165</v>
      </c>
      <c r="C31" s="222" t="str">
        <f ca="1">Booking.Bond.AssetSwap</f>
        <v>BOND_ASW_XS1344710857@11:41</v>
      </c>
      <c r="F31" s="170"/>
      <c r="G31" s="204"/>
      <c r="H31" s="183" t="s">
        <v>61</v>
      </c>
      <c r="I31" s="140" t="s">
        <v>62</v>
      </c>
      <c r="J31" s="159"/>
      <c r="K31" s="195" t="s">
        <v>0</v>
      </c>
      <c r="L31" s="184" t="s">
        <v>50</v>
      </c>
      <c r="M31" s="140" t="s">
        <v>51</v>
      </c>
      <c r="N31" s="140" t="s">
        <v>51</v>
      </c>
      <c r="O31" s="172"/>
      <c r="P31" s="184" t="s">
        <v>50</v>
      </c>
      <c r="Q31" s="140" t="s">
        <v>51</v>
      </c>
      <c r="R31" s="140" t="s">
        <v>51</v>
      </c>
      <c r="S31" s="172"/>
      <c r="T31" s="186"/>
      <c r="U31" s="183" t="s">
        <v>61</v>
      </c>
      <c r="V31" s="140" t="s">
        <v>62</v>
      </c>
      <c r="W31" s="159"/>
      <c r="X31" s="173"/>
    </row>
    <row r="32" spans="2:24">
      <c r="B32" s="152" t="s">
        <v>152</v>
      </c>
      <c r="C32" s="223" t="str">
        <f ca="1">Booking.Bond</f>
        <v>BOND_XS1344710857@9:41</v>
      </c>
      <c r="F32" s="170"/>
      <c r="G32" s="203" t="s">
        <v>98</v>
      </c>
      <c r="H32" s="183" t="s">
        <v>63</v>
      </c>
      <c r="I32" s="159" t="str">
        <f ca="1">IF(LEFT(_xll.BDP($C$13,$G32),1)="#","#LOADING",_xll.BDP($C$13,$G32))</f>
        <v>ISMA-30/360</v>
      </c>
      <c r="J32" s="159">
        <f t="shared" ca="1" si="0"/>
        <v>0</v>
      </c>
      <c r="K32" s="195" t="s">
        <v>0</v>
      </c>
      <c r="L32" s="184" t="s">
        <v>53</v>
      </c>
      <c r="M32" s="142" t="str">
        <f>$I$28</f>
        <v>NYB</v>
      </c>
      <c r="N32" s="142" t="str">
        <f>VLOOKUP($V$12,Static.CurrencyToAssetSwap,5,FALSE)</f>
        <v>SYB</v>
      </c>
      <c r="O32" s="172"/>
      <c r="P32" s="184" t="s">
        <v>53</v>
      </c>
      <c r="Q32" s="142" t="str">
        <f>$V$28</f>
        <v>SYB</v>
      </c>
      <c r="R32" s="142" t="str">
        <f>VLOOKUP($V$12,Static.CurrencyToAssetSwap,5,FALSE)</f>
        <v>SYB</v>
      </c>
      <c r="S32" s="172"/>
      <c r="T32" s="185" t="s">
        <v>98</v>
      </c>
      <c r="U32" s="183" t="s">
        <v>63</v>
      </c>
      <c r="V32" s="159" t="str">
        <f ca="1">IF(LEFT(_xll.BDP($C$6,$T32),1)="#","#LOADING",_xll.BDP($C$6,$T32))</f>
        <v>ISMA-30/360</v>
      </c>
      <c r="W32" s="159">
        <f t="shared" ca="1" si="1"/>
        <v>0</v>
      </c>
      <c r="X32" s="173"/>
    </row>
    <row r="33" spans="2:24">
      <c r="F33" s="170"/>
      <c r="G33" s="204"/>
      <c r="H33" s="183" t="s">
        <v>64</v>
      </c>
      <c r="I33" s="150"/>
      <c r="J33" s="159"/>
      <c r="K33" s="195" t="s">
        <v>0</v>
      </c>
      <c r="L33" s="184" t="s">
        <v>56</v>
      </c>
      <c r="M33" s="140" t="s">
        <v>51</v>
      </c>
      <c r="N33" s="140" t="s">
        <v>51</v>
      </c>
      <c r="O33" s="172"/>
      <c r="P33" s="184" t="s">
        <v>56</v>
      </c>
      <c r="Q33" s="140" t="s">
        <v>51</v>
      </c>
      <c r="R33" s="140" t="s">
        <v>51</v>
      </c>
      <c r="S33" s="172"/>
      <c r="T33" s="186"/>
      <c r="U33" s="183" t="s">
        <v>64</v>
      </c>
      <c r="V33" s="150"/>
      <c r="W33" s="159"/>
      <c r="X33" s="173"/>
    </row>
    <row r="34" spans="2:24">
      <c r="B34" s="160" t="s">
        <v>237</v>
      </c>
      <c r="C34" s="152"/>
      <c r="D34" s="138"/>
      <c r="F34" s="170"/>
      <c r="G34" s="203" t="s">
        <v>97</v>
      </c>
      <c r="H34" s="183" t="s">
        <v>65</v>
      </c>
      <c r="I34" s="159" t="str">
        <f ca="1">IF(LEFT(_xll.BDP($C$13,$G34),1)="#","#LOADING","Type"&amp;IF(_xll.BDP($C$13,$G34)=999,1,_xll.BDP($C$13,$G34)))</f>
        <v>Type1</v>
      </c>
      <c r="J34" s="159">
        <f t="shared" ca="1" si="0"/>
        <v>0</v>
      </c>
      <c r="K34" s="195" t="s">
        <v>0</v>
      </c>
      <c r="L34" s="184" t="s">
        <v>59</v>
      </c>
      <c r="M34" s="142" t="str">
        <f>$I$30</f>
        <v>NYB</v>
      </c>
      <c r="N34" s="142" t="str">
        <f>VLOOKUP($V$12,Static.CurrencyToAssetSwap,5,FALSE)</f>
        <v>SYB</v>
      </c>
      <c r="O34" s="172"/>
      <c r="P34" s="184" t="s">
        <v>59</v>
      </c>
      <c r="Q34" s="142" t="str">
        <f>$V$30</f>
        <v>SYB</v>
      </c>
      <c r="R34" s="142" t="str">
        <f>VLOOKUP($V$12,Static.CurrencyToAssetSwap,5,FALSE)</f>
        <v>SYB</v>
      </c>
      <c r="S34" s="172"/>
      <c r="T34" s="185" t="s">
        <v>97</v>
      </c>
      <c r="U34" s="183" t="s">
        <v>65</v>
      </c>
      <c r="V34" s="159" t="str">
        <f ca="1">IF(LEFT(_xll.BDP($C$6,$T34),1)="#","#LOADING","Type"&amp;IF(_xll.BDP($C$6,$U34)=999,1,_xll.BDP($C$6,$T34)))</f>
        <v>Type1</v>
      </c>
      <c r="W34" s="159">
        <f t="shared" ca="1" si="1"/>
        <v>0</v>
      </c>
      <c r="X34" s="173"/>
    </row>
    <row r="35" spans="2:24">
      <c r="C35" s="138" t="s">
        <v>239</v>
      </c>
      <c r="D35" s="138"/>
      <c r="F35" s="170"/>
      <c r="G35" s="205" t="str">
        <f ca="1">"ExDividendTenor"&amp;$V$34</f>
        <v>ExDividendTenorType1</v>
      </c>
      <c r="H35" s="206" t="str">
        <f t="array" aca="1" ref="H35:I36" ca="1">IF(ISERROR(INDIRECT($T$35)),"",INDIRECT($T$35))</f>
        <v/>
      </c>
      <c r="I35" s="207" t="str">
        <f ca="1"/>
        <v/>
      </c>
      <c r="J35" s="159"/>
      <c r="K35" s="195" t="s">
        <v>0</v>
      </c>
      <c r="L35" s="184" t="s">
        <v>68</v>
      </c>
      <c r="M35" s="254">
        <f ca="1">I22</f>
        <v>42273</v>
      </c>
      <c r="N35" s="151"/>
      <c r="O35" s="172"/>
      <c r="P35" s="184" t="s">
        <v>68</v>
      </c>
      <c r="Q35" s="254">
        <f ca="1">V22</f>
        <v>42566</v>
      </c>
      <c r="R35" s="151"/>
      <c r="S35" s="172"/>
      <c r="T35" s="210" t="str">
        <f ca="1">"ExDividendTenor"&amp;$V$34</f>
        <v>ExDividendTenorType1</v>
      </c>
      <c r="U35" s="211" t="str">
        <f t="array" aca="1" ref="U35:V36" ca="1">IF(ISERROR(INDIRECT($T$35)),"",INDIRECT($T$35))</f>
        <v/>
      </c>
      <c r="V35" s="212" t="str">
        <f ca="1"/>
        <v/>
      </c>
      <c r="W35" s="159"/>
      <c r="X35" s="173"/>
    </row>
    <row r="36" spans="2:24">
      <c r="B36" s="152" t="s">
        <v>240</v>
      </c>
      <c r="C36" s="216" t="s">
        <v>163</v>
      </c>
      <c r="D36" s="138" t="s">
        <v>164</v>
      </c>
      <c r="F36" s="170"/>
      <c r="G36" s="205" t="str">
        <f ca="1">"ExDividendTenor"&amp;$V$34</f>
        <v>ExDividendTenorType1</v>
      </c>
      <c r="H36" s="206" t="str">
        <f ca="1"/>
        <v/>
      </c>
      <c r="I36" s="207" t="str">
        <f ca="1"/>
        <v/>
      </c>
      <c r="J36" s="159"/>
      <c r="K36" s="195" t="s">
        <v>0</v>
      </c>
      <c r="L36" s="184" t="s">
        <v>70</v>
      </c>
      <c r="M36" s="254">
        <f ca="1">I23</f>
        <v>45561</v>
      </c>
      <c r="N36" s="140"/>
      <c r="O36" s="172"/>
      <c r="P36" s="184" t="s">
        <v>70</v>
      </c>
      <c r="Q36" s="254">
        <f ca="1">V23</f>
        <v>45853</v>
      </c>
      <c r="R36" s="140"/>
      <c r="S36" s="172"/>
      <c r="T36" s="210" t="str">
        <f ca="1">"ExDividendTenor"&amp;$V$34</f>
        <v>ExDividendTenorType1</v>
      </c>
      <c r="U36" s="211" t="str">
        <f ca="1"/>
        <v/>
      </c>
      <c r="V36" s="212" t="str">
        <f ca="1"/>
        <v/>
      </c>
      <c r="W36" s="159"/>
      <c r="X36" s="173"/>
    </row>
    <row r="37" spans="2:24">
      <c r="B37" s="152" t="s">
        <v>241</v>
      </c>
      <c r="C37" s="226">
        <f ca="1">IF(ISBLANK(D37),_xll.BDP(Proxy.ISIN&amp;" "&amp;$C$36&amp;" Corp","PX_LAST"),D37)</f>
        <v>97.346000000000004</v>
      </c>
      <c r="D37" s="293"/>
      <c r="F37" s="170"/>
      <c r="G37" s="208"/>
      <c r="H37" s="184"/>
      <c r="I37" s="151"/>
      <c r="J37" s="151"/>
      <c r="K37" s="195" t="s">
        <v>0</v>
      </c>
      <c r="L37" s="184" t="s">
        <v>71</v>
      </c>
      <c r="M37" s="150" t="s">
        <v>80</v>
      </c>
      <c r="N37" s="150"/>
      <c r="O37" s="172"/>
      <c r="P37" s="184" t="s">
        <v>71</v>
      </c>
      <c r="Q37" s="150" t="s">
        <v>80</v>
      </c>
      <c r="R37" s="150"/>
      <c r="S37" s="172"/>
      <c r="T37" s="186"/>
      <c r="U37" s="184"/>
      <c r="V37" s="151"/>
      <c r="W37" s="151"/>
      <c r="X37" s="173"/>
    </row>
    <row r="38" spans="2:24">
      <c r="B38" s="152" t="s">
        <v>242</v>
      </c>
      <c r="C38" s="227">
        <f ca="1">IF(ISBLANK(D38),_xll.meLWOAssetSwapSpreadFromPrice($C$30,$C$37,$C$21,$I$15,$B$18:$C$21,INDIRECT("Fixings"&amp;$N$14)),D38)</f>
        <v>142.57114551098931</v>
      </c>
      <c r="D38" s="225"/>
      <c r="E38" s="137" t="s">
        <v>0</v>
      </c>
      <c r="F38" s="170"/>
      <c r="G38" s="208"/>
      <c r="H38" s="184"/>
      <c r="I38" s="151"/>
      <c r="J38" s="151"/>
      <c r="K38" s="195" t="s">
        <v>0</v>
      </c>
      <c r="L38" s="184" t="s">
        <v>72</v>
      </c>
      <c r="M38" s="140"/>
      <c r="N38" s="140" t="s">
        <v>62</v>
      </c>
      <c r="O38" s="172"/>
      <c r="P38" s="184" t="s">
        <v>72</v>
      </c>
      <c r="Q38" s="140"/>
      <c r="R38" s="140" t="s">
        <v>62</v>
      </c>
      <c r="S38" s="172"/>
      <c r="T38" s="186"/>
      <c r="U38" s="184"/>
      <c r="V38" s="151"/>
      <c r="W38" s="151"/>
      <c r="X38" s="173"/>
    </row>
    <row r="39" spans="2:24">
      <c r="B39" s="152" t="s">
        <v>243</v>
      </c>
      <c r="C39" s="228">
        <f ca="1">_xll.meLWOAssetSwapSpreadToCleanPrice(C31,C38,INDIRECT("ValuationSettings"&amp;$C$7),INDIRECT("Fixings"&amp;$C$7&amp;IF(C8="QUARTERLY","3ML","6ML")))</f>
        <v>102.19432061964841</v>
      </c>
      <c r="D39" s="229" t="s">
        <v>0</v>
      </c>
      <c r="F39" s="170"/>
      <c r="G39" s="208"/>
      <c r="H39" s="184"/>
      <c r="I39" s="140"/>
      <c r="J39" s="140"/>
      <c r="K39" s="195" t="s">
        <v>0</v>
      </c>
      <c r="L39" s="184" t="s">
        <v>73</v>
      </c>
      <c r="M39" s="140"/>
      <c r="N39" s="140"/>
      <c r="O39" s="172"/>
      <c r="P39" s="184" t="s">
        <v>73</v>
      </c>
      <c r="Q39" s="140"/>
      <c r="R39" s="140"/>
      <c r="S39" s="172"/>
      <c r="T39" s="186"/>
      <c r="U39" s="184"/>
      <c r="V39" s="140"/>
      <c r="W39" s="140"/>
      <c r="X39" s="173"/>
    </row>
    <row r="40" spans="2:24">
      <c r="B40" s="152" t="s">
        <v>244</v>
      </c>
      <c r="C40" s="228">
        <f ca="1">_xll.meLWOBondPriceFromCleanToDirty($C$32,INDIRECT("ValuationDate"&amp;$C$14),C39)</f>
        <v>102.40120950853729</v>
      </c>
      <c r="D40" s="152" t="s">
        <v>0</v>
      </c>
      <c r="F40" s="170"/>
      <c r="G40" s="208"/>
      <c r="H40" s="184"/>
      <c r="I40" s="140"/>
      <c r="J40" s="140"/>
      <c r="K40" s="195" t="s">
        <v>0</v>
      </c>
      <c r="L40" s="184" t="s">
        <v>61</v>
      </c>
      <c r="M40" s="140" t="s">
        <v>62</v>
      </c>
      <c r="N40" s="140" t="s">
        <v>62</v>
      </c>
      <c r="O40" s="172"/>
      <c r="P40" s="184" t="s">
        <v>61</v>
      </c>
      <c r="Q40" s="140" t="s">
        <v>62</v>
      </c>
      <c r="R40" s="140" t="s">
        <v>62</v>
      </c>
      <c r="S40" s="172"/>
      <c r="T40" s="186"/>
      <c r="U40" s="184"/>
      <c r="V40" s="140"/>
      <c r="W40" s="140"/>
      <c r="X40" s="173"/>
    </row>
    <row r="41" spans="2:24">
      <c r="B41" s="152" t="s">
        <v>245</v>
      </c>
      <c r="C41" s="230">
        <f ca="1">_xll.meLWOBondYield(C32,INDIRECT("ValuationDate"&amp;$C$14),IF(V15,C39,C40))</f>
        <v>3.5604161700965899E-2</v>
      </c>
      <c r="D41" s="152" t="s">
        <v>0</v>
      </c>
      <c r="F41" s="170"/>
      <c r="G41" s="208"/>
      <c r="H41" s="184"/>
      <c r="I41" s="140"/>
      <c r="J41" s="140"/>
      <c r="K41" s="195" t="s">
        <v>0</v>
      </c>
      <c r="L41" s="184" t="s">
        <v>74</v>
      </c>
      <c r="M41" s="140"/>
      <c r="N41" s="140" t="s">
        <v>75</v>
      </c>
      <c r="O41" s="172"/>
      <c r="P41" s="184" t="s">
        <v>74</v>
      </c>
      <c r="Q41" s="140"/>
      <c r="R41" s="140" t="s">
        <v>75</v>
      </c>
      <c r="S41" s="172"/>
      <c r="T41" s="186"/>
      <c r="U41" s="184"/>
      <c r="V41" s="140"/>
      <c r="W41" s="140"/>
      <c r="X41" s="173"/>
    </row>
    <row r="42" spans="2:24">
      <c r="C42" s="250"/>
      <c r="F42" s="170"/>
      <c r="G42" s="208"/>
      <c r="H42" s="184"/>
      <c r="I42" s="140"/>
      <c r="J42" s="140"/>
      <c r="K42" s="195" t="s">
        <v>0</v>
      </c>
      <c r="L42" s="184" t="s">
        <v>65</v>
      </c>
      <c r="M42" s="145" t="str">
        <f ca="1">$I$34</f>
        <v>Type1</v>
      </c>
      <c r="N42" s="149"/>
      <c r="O42" s="172"/>
      <c r="P42" s="184" t="s">
        <v>65</v>
      </c>
      <c r="Q42" s="145" t="str">
        <f ca="1">$V$34</f>
        <v>Type1</v>
      </c>
      <c r="R42" s="149"/>
      <c r="S42" s="172"/>
      <c r="T42" s="186"/>
      <c r="U42" s="184"/>
      <c r="V42" s="140"/>
      <c r="W42" s="140"/>
      <c r="X42" s="173"/>
    </row>
    <row r="43" spans="2:24">
      <c r="F43" s="170"/>
      <c r="G43" s="208"/>
      <c r="H43" s="184"/>
      <c r="I43" s="140"/>
      <c r="J43" s="140"/>
      <c r="K43" s="195" t="s">
        <v>0</v>
      </c>
      <c r="L43" s="184" t="s">
        <v>213</v>
      </c>
      <c r="M43" s="140" t="b">
        <v>0</v>
      </c>
      <c r="N43" s="184" t="b">
        <v>0</v>
      </c>
      <c r="O43" s="172"/>
      <c r="P43" s="184" t="s">
        <v>213</v>
      </c>
      <c r="Q43" s="142" t="str">
        <f ca="1">V35</f>
        <v/>
      </c>
      <c r="R43" s="184" t="b">
        <v>0</v>
      </c>
      <c r="S43" s="172"/>
      <c r="T43" s="186"/>
      <c r="U43" s="184"/>
      <c r="V43" s="140"/>
      <c r="W43" s="140"/>
      <c r="X43" s="173"/>
    </row>
    <row r="44" spans="2:24">
      <c r="F44" s="170"/>
      <c r="G44" s="208"/>
      <c r="H44" s="184"/>
      <c r="I44" s="140"/>
      <c r="J44" s="140"/>
      <c r="K44" s="195" t="s">
        <v>0</v>
      </c>
      <c r="L44" s="200" t="str">
        <f ca="1">H36</f>
        <v/>
      </c>
      <c r="M44" s="142" t="str">
        <f ca="1">I36</f>
        <v/>
      </c>
      <c r="N44" s="184"/>
      <c r="O44" s="172"/>
      <c r="P44" s="200" t="str">
        <f ca="1">U36</f>
        <v/>
      </c>
      <c r="Q44" s="142" t="str">
        <f ca="1">V36</f>
        <v/>
      </c>
      <c r="R44" s="184"/>
      <c r="S44" s="172"/>
      <c r="T44" s="186"/>
      <c r="U44" s="184"/>
      <c r="V44" s="140"/>
      <c r="W44" s="140"/>
      <c r="X44" s="173"/>
    </row>
    <row r="45" spans="2:24">
      <c r="F45" s="170"/>
      <c r="G45" s="204"/>
      <c r="H45" s="186"/>
      <c r="I45" s="140"/>
      <c r="J45" s="140"/>
      <c r="K45" s="172" t="s">
        <v>0</v>
      </c>
      <c r="L45" s="186"/>
      <c r="M45" s="140"/>
      <c r="N45" s="140"/>
      <c r="O45" s="172"/>
      <c r="P45" s="186"/>
      <c r="Q45" s="140"/>
      <c r="R45" s="140"/>
      <c r="S45" s="172"/>
      <c r="T45" s="186"/>
      <c r="U45" s="186"/>
      <c r="V45" s="140"/>
      <c r="W45" s="140"/>
      <c r="X45" s="173"/>
    </row>
    <row r="46" spans="2:24">
      <c r="F46" s="170"/>
      <c r="G46" s="204"/>
      <c r="H46" s="186"/>
      <c r="I46" s="140"/>
      <c r="J46" s="140"/>
      <c r="K46" s="172" t="s">
        <v>0</v>
      </c>
      <c r="L46" s="186"/>
      <c r="M46" s="140"/>
      <c r="N46" s="140"/>
      <c r="O46" s="172"/>
      <c r="P46" s="186"/>
      <c r="Q46" s="140"/>
      <c r="R46" s="140"/>
      <c r="S46" s="172"/>
      <c r="T46" s="186"/>
      <c r="U46" s="186"/>
      <c r="V46" s="140"/>
      <c r="W46" s="140"/>
      <c r="X46" s="173"/>
    </row>
    <row r="47" spans="2:24">
      <c r="F47" s="170"/>
      <c r="G47" s="204"/>
      <c r="H47" s="186"/>
      <c r="I47" s="140"/>
      <c r="J47" s="140"/>
      <c r="K47" s="172" t="s">
        <v>0</v>
      </c>
      <c r="L47" s="186"/>
      <c r="M47" s="140"/>
      <c r="N47" s="140"/>
      <c r="O47" s="172"/>
      <c r="P47" s="186"/>
      <c r="Q47" s="140"/>
      <c r="R47" s="140"/>
      <c r="S47" s="172"/>
      <c r="T47" s="186"/>
      <c r="U47" s="186"/>
      <c r="V47" s="140"/>
      <c r="W47" s="140"/>
      <c r="X47" s="173"/>
    </row>
    <row r="48" spans="2:24">
      <c r="F48" s="170"/>
      <c r="G48" s="204"/>
      <c r="H48" s="186"/>
      <c r="I48" s="140"/>
      <c r="J48" s="140"/>
      <c r="K48" s="172" t="s">
        <v>0</v>
      </c>
      <c r="L48" s="186"/>
      <c r="M48" s="140"/>
      <c r="N48" s="140"/>
      <c r="O48" s="172"/>
      <c r="P48" s="186"/>
      <c r="Q48" s="140"/>
      <c r="R48" s="140"/>
      <c r="S48" s="172"/>
      <c r="T48" s="186"/>
      <c r="U48" s="186"/>
      <c r="V48" s="140"/>
      <c r="W48" s="140"/>
      <c r="X48" s="173"/>
    </row>
    <row r="49" spans="6:24" s="137" customFormat="1">
      <c r="F49" s="170"/>
      <c r="G49" s="204"/>
      <c r="H49" s="186"/>
      <c r="I49" s="140"/>
      <c r="J49" s="140"/>
      <c r="K49" s="172" t="s">
        <v>0</v>
      </c>
      <c r="L49" s="186"/>
      <c r="M49" s="140"/>
      <c r="N49" s="140"/>
      <c r="O49" s="172"/>
      <c r="P49" s="186"/>
      <c r="Q49" s="140"/>
      <c r="R49" s="140"/>
      <c r="S49" s="172"/>
      <c r="T49" s="186"/>
      <c r="U49" s="186"/>
      <c r="V49" s="140"/>
      <c r="W49" s="140"/>
      <c r="X49" s="173"/>
    </row>
    <row r="50" spans="6:24" s="137" customFormat="1">
      <c r="F50" s="170"/>
      <c r="G50" s="209"/>
      <c r="H50" s="201"/>
      <c r="I50" s="153"/>
      <c r="J50" s="153"/>
      <c r="K50" s="172" t="s">
        <v>0</v>
      </c>
      <c r="L50" s="201"/>
      <c r="M50" s="153"/>
      <c r="N50" s="153"/>
      <c r="O50" s="172"/>
      <c r="P50" s="201"/>
      <c r="Q50" s="153"/>
      <c r="R50" s="153"/>
      <c r="S50" s="172"/>
      <c r="T50" s="201"/>
      <c r="U50" s="201"/>
      <c r="V50" s="153"/>
      <c r="W50" s="153"/>
      <c r="X50" s="173"/>
    </row>
    <row r="51" spans="6:24" s="137" customFormat="1">
      <c r="F51" s="174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6"/>
    </row>
  </sheetData>
  <mergeCells count="2">
    <mergeCell ref="M6:N6"/>
    <mergeCell ref="Q6:R6"/>
  </mergeCells>
  <dataValidations count="4">
    <dataValidation type="list" allowBlank="1" showInputMessage="1" showErrorMessage="1" sqref="Q41:R41 Q45:R50 M41:N41 M45:N50">
      <formula1>"SHORTSTART,SHORTEND,LONGSTART,LONGEND"</formula1>
    </dataValidation>
    <dataValidation type="list" allowBlank="1" showInputMessage="1" showErrorMessage="1" sqref="I27 V27">
      <formula1>"None,ShortStart,ShortEnd,LongStart,LongEnd,SS,SE,LS,LE"</formula1>
    </dataValidation>
    <dataValidation type="list" allowBlank="1" showInputMessage="1" showErrorMessage="1" sqref="I33 Q37:R37 M37:N37 V33">
      <formula1>"EOM,IMM,1,2,3,4,5,6,7,8,9,10,11,12,13,14,15,16,17,18,19,20,21,22,23,24,25,26,27,28,29,30,31"</formula1>
    </dataValidation>
    <dataValidation type="list" allowBlank="1" showInputMessage="1" showErrorMessage="1" sqref="R26:R27 N26:N27">
      <formula1>"QUARTERLY,SEMI-ANNUAL"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3" tint="0.79998168889431442"/>
  </sheetPr>
  <dimension ref="A1:HT70"/>
  <sheetViews>
    <sheetView showGridLines="0" topLeftCell="H1" zoomScaleNormal="100" workbookViewId="0">
      <pane ySplit="6" topLeftCell="A7" activePane="bottomLeft" state="frozen"/>
      <selection activeCell="H1" sqref="H1"/>
      <selection pane="bottomLeft" activeCell="T34" sqref="T34"/>
    </sheetView>
  </sheetViews>
  <sheetFormatPr defaultRowHeight="15" outlineLevelCol="2"/>
  <cols>
    <col min="1" max="1" width="4.7109375" customWidth="1"/>
    <col min="2" max="2" width="32.5703125" style="9" bestFit="1" customWidth="1"/>
    <col min="3" max="3" width="20.85546875" customWidth="1"/>
    <col min="4" max="4" width="14.140625" bestFit="1" customWidth="1"/>
    <col min="5" max="5" width="18.140625" bestFit="1" customWidth="1"/>
    <col min="6" max="6" width="32.5703125" bestFit="1" customWidth="1"/>
    <col min="7" max="7" width="26.28515625" customWidth="1"/>
    <col min="8" max="8" width="15.7109375" customWidth="1"/>
    <col min="9" max="9" width="18.5703125" bestFit="1" customWidth="1"/>
    <col min="10" max="10" width="4.7109375" customWidth="1" outlineLevel="1"/>
    <col min="11" max="18" width="12.7109375" customWidth="1" outlineLevel="1"/>
    <col min="19" max="19" width="16.7109375" style="131" customWidth="1" outlineLevel="1"/>
    <col min="20" max="20" width="13.42578125" style="131" customWidth="1" outlineLevel="1"/>
    <col min="21" max="22" width="12.7109375" style="131" customWidth="1" outlineLevel="1"/>
    <col min="23" max="23" width="9.7109375" style="131" customWidth="1" outlineLevel="1"/>
    <col min="24" max="24" width="18.42578125" style="131" customWidth="1" outlineLevel="1"/>
    <col min="25" max="25" width="20" style="131" customWidth="1" outlineLevel="1"/>
    <col min="26" max="26" width="8.140625" customWidth="1"/>
    <col min="27" max="27" width="35.7109375" customWidth="1"/>
    <col min="28" max="28" width="38.7109375" customWidth="1"/>
    <col min="29" max="30" width="35.7109375" customWidth="1"/>
    <col min="31" max="31" width="9.140625" customWidth="1"/>
    <col min="32" max="32" width="26.28515625" style="9" hidden="1" customWidth="1" outlineLevel="1"/>
    <col min="33" max="35" width="15.7109375" style="9" hidden="1" customWidth="1" outlineLevel="1"/>
    <col min="36" max="36" width="18.85546875" style="9" hidden="1" customWidth="1" outlineLevel="1"/>
    <col min="37" max="37" width="15.7109375" style="9" hidden="1" customWidth="1" outlineLevel="1"/>
    <col min="38" max="38" width="29.42578125" style="9" hidden="1" customWidth="1" outlineLevel="1"/>
    <col min="39" max="39" width="15.7109375" style="9" hidden="1" customWidth="1" outlineLevel="1"/>
    <col min="40" max="40" width="17.28515625" style="9" hidden="1" customWidth="1" outlineLevel="1"/>
    <col min="41" max="48" width="15.7109375" style="9" hidden="1" customWidth="1" outlineLevel="1"/>
    <col min="49" max="49" width="17.85546875" style="9" hidden="1" customWidth="1" outlineLevel="1"/>
    <col min="50" max="50" width="11" style="9" hidden="1" customWidth="1" outlineLevel="1"/>
    <col min="51" max="51" width="16.42578125" style="9" hidden="1" customWidth="1" outlineLevel="1"/>
    <col min="52" max="52" width="9.7109375" style="9" hidden="1" customWidth="1" outlineLevel="1"/>
    <col min="53" max="54" width="15.7109375" style="9" hidden="1" customWidth="1" outlineLevel="1"/>
    <col min="55" max="55" width="10.5703125" style="9" hidden="1" customWidth="1" outlineLevel="1"/>
    <col min="56" max="56" width="13.7109375" style="9" hidden="1" customWidth="1" outlineLevel="1"/>
    <col min="57" max="57" width="13.7109375" style="9" customWidth="1" collapsed="1"/>
    <col min="58" max="58" width="11.140625" bestFit="1" customWidth="1"/>
    <col min="59" max="59" width="18.85546875" customWidth="1" outlineLevel="2"/>
    <col min="60" max="60" width="15.140625" customWidth="1" outlineLevel="2"/>
    <col min="61" max="61" width="17.28515625" customWidth="1" outlineLevel="2"/>
    <col min="62" max="62" width="11.140625" customWidth="1" outlineLevel="2"/>
    <col min="63" max="63" width="13.7109375" customWidth="1" outlineLevel="2"/>
    <col min="64" max="64" width="14" customWidth="1" outlineLevel="2"/>
    <col min="65" max="65" width="8.85546875" customWidth="1" outlineLevel="2"/>
    <col min="66" max="66" width="9" customWidth="1" outlineLevel="2"/>
    <col min="67" max="67" width="10.140625" customWidth="1" outlineLevel="2"/>
    <col min="68" max="68" width="19.28515625" customWidth="1" outlineLevel="2"/>
    <col min="69" max="69" width="18.85546875" customWidth="1" outlineLevel="2"/>
    <col min="70" max="70" width="10.140625" customWidth="1" outlineLevel="2"/>
    <col min="71" max="71" width="9.7109375" customWidth="1" outlineLevel="2"/>
    <col min="72" max="72" width="11.5703125" customWidth="1" outlineLevel="2"/>
    <col min="73" max="73" width="15" customWidth="1" outlineLevel="2"/>
    <col min="74" max="74" width="14.7109375" customWidth="1" outlineLevel="2"/>
    <col min="75" max="75" width="16.85546875" customWidth="1" outlineLevel="2"/>
    <col min="76" max="76" width="18.42578125" customWidth="1" outlineLevel="2"/>
    <col min="77" max="77" width="12.140625" customWidth="1" outlineLevel="2"/>
    <col min="78" max="78" width="28.28515625" customWidth="1" outlineLevel="2"/>
    <col min="79" max="79" width="14.28515625" customWidth="1" outlineLevel="2"/>
    <col min="80" max="80" width="29.42578125" customWidth="1" outlineLevel="2"/>
    <col min="81" max="81" width="15.42578125" customWidth="1" outlineLevel="2"/>
    <col min="82" max="82" width="31" customWidth="1" outlineLevel="2"/>
    <col min="83" max="83" width="16.85546875" customWidth="1" outlineLevel="2"/>
    <col min="84" max="84" width="15" customWidth="1" outlineLevel="2"/>
    <col min="85" max="85" width="15.42578125" customWidth="1" outlineLevel="2"/>
    <col min="86" max="86" width="7.7109375" customWidth="1" outlineLevel="2"/>
    <col min="87" max="87" width="9.140625" customWidth="1" outlineLevel="2"/>
    <col min="88" max="88" width="13.140625" customWidth="1" outlineLevel="2"/>
    <col min="89" max="89" width="11.7109375" customWidth="1" outlineLevel="2"/>
    <col min="90" max="90" width="9.28515625" customWidth="1" outlineLevel="2"/>
    <col min="91" max="91" width="9.28515625" style="137" customWidth="1" outlineLevel="2"/>
    <col min="92" max="92" width="15.28515625" customWidth="1" outlineLevel="2"/>
    <col min="93" max="93" width="9.140625" customWidth="1" outlineLevel="1"/>
    <col min="94" max="94" width="18.85546875" customWidth="1" outlineLevel="2"/>
    <col min="95" max="95" width="15.140625" customWidth="1" outlineLevel="2"/>
    <col min="96" max="96" width="17.28515625" customWidth="1" outlineLevel="2"/>
    <col min="97" max="97" width="11.140625" customWidth="1" outlineLevel="2"/>
    <col min="98" max="98" width="13.7109375" customWidth="1" outlineLevel="2"/>
    <col min="99" max="99" width="21" customWidth="1" outlineLevel="2"/>
    <col min="100" max="100" width="11" customWidth="1" outlineLevel="2"/>
    <col min="101" max="101" width="9" customWidth="1" outlineLevel="2"/>
    <col min="102" max="102" width="10.140625" customWidth="1" outlineLevel="2"/>
    <col min="103" max="103" width="19.28515625" customWidth="1" outlineLevel="2"/>
    <col min="104" max="104" width="18.85546875" customWidth="1" outlineLevel="2"/>
    <col min="105" max="105" width="10.140625" customWidth="1" outlineLevel="2"/>
    <col min="106" max="106" width="9.7109375" customWidth="1" outlineLevel="2"/>
    <col min="107" max="107" width="11.5703125" customWidth="1" outlineLevel="2"/>
    <col min="108" max="108" width="15" customWidth="1" outlineLevel="2"/>
    <col min="109" max="109" width="14.7109375" customWidth="1" outlineLevel="2"/>
    <col min="110" max="110" width="16.85546875" customWidth="1" outlineLevel="2"/>
    <col min="111" max="111" width="18.42578125" customWidth="1" outlineLevel="2"/>
    <col min="112" max="112" width="10.5703125" customWidth="1" outlineLevel="2"/>
    <col min="113" max="113" width="28.28515625" customWidth="1" outlineLevel="2"/>
    <col min="114" max="114" width="14.28515625" customWidth="1" outlineLevel="2"/>
    <col min="115" max="115" width="29.42578125" customWidth="1" outlineLevel="2"/>
    <col min="116" max="116" width="15.42578125" customWidth="1" outlineLevel="2"/>
    <col min="117" max="117" width="31" customWidth="1" outlineLevel="2"/>
    <col min="118" max="118" width="16.85546875" customWidth="1" outlineLevel="2"/>
    <col min="119" max="119" width="13.140625" customWidth="1" outlineLevel="2"/>
    <col min="120" max="120" width="14" customWidth="1" outlineLevel="2"/>
    <col min="121" max="121" width="7.7109375" customWidth="1" outlineLevel="2"/>
    <col min="122" max="122" width="9.140625" customWidth="1" outlineLevel="2"/>
    <col min="123" max="123" width="13.140625" customWidth="1" outlineLevel="2"/>
    <col min="124" max="124" width="11.7109375" customWidth="1" outlineLevel="2"/>
    <col min="125" max="125" width="15.140625" customWidth="1" outlineLevel="2"/>
    <col min="126" max="126" width="15.140625" style="137" customWidth="1" outlineLevel="2"/>
    <col min="127" max="127" width="15.28515625" customWidth="1" outlineLevel="2"/>
    <col min="128" max="128" width="11.5703125" customWidth="1" outlineLevel="1"/>
    <col min="131" max="162" width="15.7109375" hidden="1" customWidth="1" outlineLevel="2"/>
    <col min="163" max="163" width="15.7109375" style="137" hidden="1" customWidth="1" outlineLevel="2"/>
    <col min="164" max="164" width="15.7109375" hidden="1" customWidth="1" outlineLevel="2"/>
    <col min="165" max="165" width="9.140625" hidden="1" customWidth="1" outlineLevel="1"/>
    <col min="166" max="197" width="15.7109375" hidden="1" customWidth="1" outlineLevel="2"/>
    <col min="198" max="198" width="15.7109375" style="137" hidden="1" customWidth="1" outlineLevel="2"/>
    <col min="199" max="199" width="15.7109375" hidden="1" customWidth="1" outlineLevel="2"/>
    <col min="200" max="200" width="11.5703125" hidden="1" customWidth="1" outlineLevel="1"/>
    <col min="201" max="201" width="9.140625" collapsed="1"/>
    <col min="203" max="203" width="32.5703125" style="9" hidden="1" customWidth="1" outlineLevel="1"/>
    <col min="204" max="206" width="15.7109375" style="9" hidden="1" customWidth="1" outlineLevel="1"/>
    <col min="207" max="207" width="18.85546875" style="9" hidden="1" customWidth="1" outlineLevel="1"/>
    <col min="208" max="208" width="15.7109375" style="9" hidden="1" customWidth="1" outlineLevel="1"/>
    <col min="209" max="209" width="29.42578125" style="9" hidden="1" customWidth="1" outlineLevel="1"/>
    <col min="210" max="210" width="15.7109375" style="9" hidden="1" customWidth="1" outlineLevel="1"/>
    <col min="211" max="211" width="17.28515625" style="9" hidden="1" customWidth="1" outlineLevel="1"/>
    <col min="212" max="219" width="15.7109375" style="9" hidden="1" customWidth="1" outlineLevel="1"/>
    <col min="220" max="220" width="17.85546875" style="9" hidden="1" customWidth="1" outlineLevel="1"/>
    <col min="221" max="221" width="11" style="9" hidden="1" customWidth="1" outlineLevel="1"/>
    <col min="222" max="222" width="16.42578125" style="9" hidden="1" customWidth="1" outlineLevel="1"/>
    <col min="223" max="223" width="9.7109375" style="9" hidden="1" customWidth="1" outlineLevel="1"/>
    <col min="224" max="225" width="15.7109375" style="9" hidden="1" customWidth="1" outlineLevel="1"/>
    <col min="226" max="226" width="10.5703125" style="9" hidden="1" customWidth="1" outlineLevel="1"/>
    <col min="227" max="227" width="15.85546875" style="9" hidden="1" customWidth="1" outlineLevel="1"/>
    <col min="228" max="228" width="13.7109375" style="9" customWidth="1" collapsed="1"/>
  </cols>
  <sheetData>
    <row r="1" spans="1:228" s="14" customFormat="1">
      <c r="B1" s="79"/>
      <c r="S1" s="132"/>
      <c r="T1" s="132"/>
      <c r="U1" s="132"/>
      <c r="V1" s="132"/>
      <c r="W1" s="132"/>
      <c r="X1" s="132"/>
      <c r="Y1" s="132"/>
      <c r="Z1" s="14" t="s">
        <v>199</v>
      </c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  <c r="AW1" s="79"/>
      <c r="AX1" s="79"/>
      <c r="AY1" s="79"/>
      <c r="AZ1" s="79"/>
      <c r="BA1" s="79"/>
      <c r="BB1" s="79"/>
      <c r="BC1" s="79"/>
      <c r="BD1" s="79"/>
      <c r="BE1" s="80" t="s">
        <v>151</v>
      </c>
      <c r="BF1" s="80"/>
      <c r="CM1" s="160"/>
      <c r="CO1" s="14" t="s">
        <v>173</v>
      </c>
      <c r="DV1" s="160"/>
      <c r="DX1" s="14" t="s">
        <v>174</v>
      </c>
      <c r="DY1" s="14" t="s">
        <v>175</v>
      </c>
      <c r="FG1" s="160"/>
      <c r="FI1" s="14" t="s">
        <v>173</v>
      </c>
      <c r="GP1" s="160"/>
      <c r="GR1" s="14" t="s">
        <v>174</v>
      </c>
      <c r="GS1" s="14" t="s">
        <v>178</v>
      </c>
      <c r="GU1" s="79"/>
      <c r="GV1" s="79"/>
      <c r="GW1" s="79"/>
      <c r="GX1" s="79"/>
      <c r="GY1" s="79"/>
      <c r="GZ1" s="79"/>
      <c r="HA1" s="79"/>
      <c r="HB1" s="79"/>
      <c r="HC1" s="79"/>
      <c r="HD1" s="79"/>
      <c r="HE1" s="79"/>
      <c r="HF1" s="79"/>
      <c r="HG1" s="79"/>
      <c r="HH1" s="79"/>
      <c r="HI1" s="79"/>
      <c r="HJ1" s="79"/>
      <c r="HK1" s="79"/>
      <c r="HL1" s="79"/>
      <c r="HM1" s="79"/>
      <c r="HN1" s="79"/>
      <c r="HO1" s="79"/>
      <c r="HP1" s="79"/>
      <c r="HQ1" s="79"/>
      <c r="HR1" s="79"/>
      <c r="HS1" s="79"/>
      <c r="HT1" s="80" t="s">
        <v>152</v>
      </c>
    </row>
    <row r="3" spans="1:228">
      <c r="B3" s="13" t="s">
        <v>168</v>
      </c>
      <c r="K3" s="1" t="s">
        <v>184</v>
      </c>
      <c r="N3" s="1"/>
      <c r="P3" s="1"/>
      <c r="AA3" s="1" t="s">
        <v>183</v>
      </c>
      <c r="AF3" s="13" t="s">
        <v>167</v>
      </c>
      <c r="BG3" s="13" t="s">
        <v>204</v>
      </c>
      <c r="CP3" s="13" t="s">
        <v>205</v>
      </c>
      <c r="EA3" s="13" t="s">
        <v>177</v>
      </c>
      <c r="FJ3" s="13" t="s">
        <v>177</v>
      </c>
      <c r="GU3" s="13" t="s">
        <v>180</v>
      </c>
    </row>
    <row r="4" spans="1:228">
      <c r="B4" s="85"/>
      <c r="C4" s="86"/>
      <c r="D4" s="86"/>
      <c r="E4" s="86"/>
      <c r="F4" s="86"/>
      <c r="G4" s="86"/>
      <c r="H4" s="86"/>
      <c r="I4" s="87"/>
      <c r="K4" s="93" t="s">
        <v>185</v>
      </c>
      <c r="L4" s="86"/>
      <c r="M4" s="86"/>
      <c r="N4" s="99"/>
      <c r="O4" s="87"/>
      <c r="P4" s="93" t="s">
        <v>180</v>
      </c>
      <c r="Q4" s="86"/>
      <c r="R4" s="87"/>
      <c r="S4" s="99" t="s">
        <v>272</v>
      </c>
      <c r="T4" s="99"/>
      <c r="U4" s="86"/>
      <c r="V4" s="87"/>
      <c r="W4" s="99" t="s">
        <v>208</v>
      </c>
      <c r="X4" s="86"/>
      <c r="Y4" s="87"/>
      <c r="AA4" s="93"/>
      <c r="AB4" s="86"/>
      <c r="AC4" s="86"/>
      <c r="AD4" s="87"/>
      <c r="AF4" s="85"/>
      <c r="AG4" s="105"/>
      <c r="AH4" s="105"/>
      <c r="AI4" s="105"/>
      <c r="AJ4" s="105"/>
      <c r="AK4" s="105"/>
      <c r="AL4" s="105"/>
      <c r="AM4" s="105"/>
      <c r="AN4" s="105"/>
      <c r="AO4" s="105"/>
      <c r="AP4" s="105"/>
      <c r="AQ4" s="105"/>
      <c r="AR4" s="105"/>
      <c r="AS4" s="105"/>
      <c r="AT4" s="105"/>
      <c r="AU4" s="105"/>
      <c r="AV4" s="105"/>
      <c r="AW4" s="105"/>
      <c r="AX4" s="105"/>
      <c r="AY4" s="105"/>
      <c r="AZ4" s="105"/>
      <c r="BA4" s="105"/>
      <c r="BB4" s="105"/>
      <c r="BC4" s="105"/>
      <c r="BD4" s="106"/>
      <c r="BG4" s="85" t="s">
        <v>3</v>
      </c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  <c r="BX4" s="86"/>
      <c r="BY4" s="86"/>
      <c r="BZ4" s="86"/>
      <c r="CA4" s="86"/>
      <c r="CB4" s="86"/>
      <c r="CC4" s="86"/>
      <c r="CD4" s="86"/>
      <c r="CE4" s="86"/>
      <c r="CF4" s="86"/>
      <c r="CG4" s="86"/>
      <c r="CH4" s="86"/>
      <c r="CI4" s="86"/>
      <c r="CJ4" s="86"/>
      <c r="CK4" s="86"/>
      <c r="CL4" s="86"/>
      <c r="CM4" s="86"/>
      <c r="CN4" s="87"/>
      <c r="CP4" s="85" t="s">
        <v>4</v>
      </c>
      <c r="CQ4" s="86"/>
      <c r="CR4" s="86"/>
      <c r="CS4" s="86"/>
      <c r="CT4" s="86"/>
      <c r="CU4" s="86"/>
      <c r="CV4" s="86"/>
      <c r="CW4" s="86"/>
      <c r="CX4" s="86"/>
      <c r="CY4" s="86"/>
      <c r="CZ4" s="86"/>
      <c r="DA4" s="86"/>
      <c r="DB4" s="86"/>
      <c r="DC4" s="86"/>
      <c r="DD4" s="86"/>
      <c r="DE4" s="86"/>
      <c r="DF4" s="86"/>
      <c r="DG4" s="86"/>
      <c r="DH4" s="86"/>
      <c r="DI4" s="86"/>
      <c r="DJ4" s="86"/>
      <c r="DK4" s="86"/>
      <c r="DL4" s="86"/>
      <c r="DM4" s="86"/>
      <c r="DN4" s="86"/>
      <c r="DO4" s="86"/>
      <c r="DP4" s="86"/>
      <c r="DQ4" s="86"/>
      <c r="DR4" s="86"/>
      <c r="DS4" s="86"/>
      <c r="DT4" s="86"/>
      <c r="DU4" s="86"/>
      <c r="DV4" s="86"/>
      <c r="DW4" s="87"/>
      <c r="EA4" s="85" t="s">
        <v>3</v>
      </c>
      <c r="EB4" s="86"/>
      <c r="EC4" s="86"/>
      <c r="ED4" s="86"/>
      <c r="EE4" s="86"/>
      <c r="EF4" s="86"/>
      <c r="EG4" s="86"/>
      <c r="EH4" s="86"/>
      <c r="EI4" s="86"/>
      <c r="EJ4" s="86"/>
      <c r="EK4" s="86"/>
      <c r="EL4" s="86"/>
      <c r="EM4" s="86"/>
      <c r="EN4" s="86"/>
      <c r="EO4" s="86"/>
      <c r="EP4" s="86"/>
      <c r="EQ4" s="86"/>
      <c r="ER4" s="86"/>
      <c r="ES4" s="86"/>
      <c r="ET4" s="86"/>
      <c r="EU4" s="86"/>
      <c r="EV4" s="86"/>
      <c r="EW4" s="86"/>
      <c r="EX4" s="86"/>
      <c r="EY4" s="86"/>
      <c r="EZ4" s="86"/>
      <c r="FA4" s="86"/>
      <c r="FB4" s="86"/>
      <c r="FC4" s="86"/>
      <c r="FD4" s="86"/>
      <c r="FE4" s="86"/>
      <c r="FF4" s="86"/>
      <c r="FG4" s="86"/>
      <c r="FH4" s="87"/>
      <c r="FJ4" s="85" t="s">
        <v>4</v>
      </c>
      <c r="FK4" s="86"/>
      <c r="FL4" s="86"/>
      <c r="FM4" s="86"/>
      <c r="FN4" s="86"/>
      <c r="FO4" s="86"/>
      <c r="FP4" s="86"/>
      <c r="FQ4" s="86"/>
      <c r="FR4" s="86"/>
      <c r="FS4" s="86"/>
      <c r="FT4" s="86"/>
      <c r="FU4" s="86"/>
      <c r="FV4" s="86"/>
      <c r="FW4" s="86"/>
      <c r="FX4" s="86"/>
      <c r="FY4" s="86"/>
      <c r="FZ4" s="86"/>
      <c r="GA4" s="86"/>
      <c r="GB4" s="86"/>
      <c r="GC4" s="86"/>
      <c r="GD4" s="86"/>
      <c r="GE4" s="86"/>
      <c r="GF4" s="86"/>
      <c r="GG4" s="86"/>
      <c r="GH4" s="86"/>
      <c r="GI4" s="86"/>
      <c r="GJ4" s="86"/>
      <c r="GK4" s="86"/>
      <c r="GL4" s="86"/>
      <c r="GM4" s="86"/>
      <c r="GN4" s="86"/>
      <c r="GO4" s="86"/>
      <c r="GP4" s="86"/>
      <c r="GQ4" s="87"/>
      <c r="GU4" s="85"/>
      <c r="GV4" s="105"/>
      <c r="GW4" s="105"/>
      <c r="GX4" s="105"/>
      <c r="GY4" s="105"/>
      <c r="GZ4" s="105"/>
      <c r="HA4" s="105"/>
      <c r="HB4" s="105"/>
      <c r="HC4" s="105"/>
      <c r="HD4" s="105"/>
      <c r="HE4" s="105"/>
      <c r="HF4" s="105"/>
      <c r="HG4" s="105"/>
      <c r="HH4" s="105"/>
      <c r="HI4" s="105"/>
      <c r="HJ4" s="105"/>
      <c r="HK4" s="105"/>
      <c r="HL4" s="105"/>
      <c r="HM4" s="105"/>
      <c r="HN4" s="105"/>
      <c r="HO4" s="105"/>
      <c r="HP4" s="105"/>
      <c r="HQ4" s="105"/>
      <c r="HR4" s="105"/>
      <c r="HS4" s="106"/>
    </row>
    <row r="5" spans="1:228">
      <c r="B5" s="88"/>
      <c r="C5" s="25"/>
      <c r="D5" s="25"/>
      <c r="E5" s="25"/>
      <c r="F5" s="25"/>
      <c r="G5" s="25"/>
      <c r="H5" s="25"/>
      <c r="I5" s="89"/>
      <c r="K5" s="94"/>
      <c r="L5" s="25"/>
      <c r="M5" s="25"/>
      <c r="N5" s="25"/>
      <c r="O5" s="89"/>
      <c r="P5" s="94"/>
      <c r="Q5" s="25"/>
      <c r="R5" s="89"/>
      <c r="S5" s="94"/>
      <c r="T5" s="133"/>
      <c r="U5" s="133"/>
      <c r="V5" s="133"/>
      <c r="W5" s="94"/>
      <c r="X5" s="133"/>
      <c r="Y5" s="89"/>
      <c r="AA5" s="94"/>
      <c r="AB5" s="25"/>
      <c r="AC5" s="25"/>
      <c r="AD5" s="89"/>
      <c r="AF5" s="107"/>
      <c r="AG5" s="56" t="s">
        <v>89</v>
      </c>
      <c r="AH5" s="56" t="s">
        <v>81</v>
      </c>
      <c r="AI5" s="55" t="s">
        <v>169</v>
      </c>
      <c r="AJ5" s="55"/>
      <c r="AK5" s="56" t="s">
        <v>82</v>
      </c>
      <c r="AL5" s="55"/>
      <c r="AM5" s="55"/>
      <c r="AN5" s="55"/>
      <c r="AO5" s="55"/>
      <c r="AP5" s="56" t="s">
        <v>83</v>
      </c>
      <c r="AQ5" s="56" t="s">
        <v>85</v>
      </c>
      <c r="AR5" s="56" t="s">
        <v>86</v>
      </c>
      <c r="AS5" s="56" t="s">
        <v>87</v>
      </c>
      <c r="AT5" s="56" t="s">
        <v>84</v>
      </c>
      <c r="AU5" s="56" t="s">
        <v>88</v>
      </c>
      <c r="AV5" s="56" t="s">
        <v>90</v>
      </c>
      <c r="AW5" s="55"/>
      <c r="AX5" s="55"/>
      <c r="AY5" s="55"/>
      <c r="AZ5" s="55"/>
      <c r="BA5" s="55"/>
      <c r="BB5" s="56" t="s">
        <v>98</v>
      </c>
      <c r="BC5" s="55"/>
      <c r="BD5" s="108" t="s">
        <v>97</v>
      </c>
      <c r="BE5" s="56"/>
      <c r="BG5" s="94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2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25"/>
      <c r="CG5" s="25"/>
      <c r="CH5" s="25"/>
      <c r="CI5" s="25"/>
      <c r="CJ5" s="25"/>
      <c r="CK5" s="25"/>
      <c r="CL5" s="25"/>
      <c r="CM5" s="163"/>
      <c r="CN5" s="89"/>
      <c r="CP5" s="94"/>
      <c r="CQ5" s="25"/>
      <c r="CR5" s="25"/>
      <c r="CS5" s="25"/>
      <c r="CT5" s="25"/>
      <c r="CU5" s="25"/>
      <c r="CV5" s="25"/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163"/>
      <c r="DW5" s="89"/>
      <c r="EA5" s="94"/>
      <c r="EB5" s="2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5"/>
      <c r="ER5" s="25"/>
      <c r="ES5" s="25"/>
      <c r="ET5" s="25"/>
      <c r="EU5" s="25"/>
      <c r="EV5" s="25"/>
      <c r="EW5" s="25"/>
      <c r="EX5" s="25"/>
      <c r="EY5" s="25"/>
      <c r="EZ5" s="25"/>
      <c r="FA5" s="25"/>
      <c r="FB5" s="25"/>
      <c r="FC5" s="25"/>
      <c r="FD5" s="25"/>
      <c r="FE5" s="25"/>
      <c r="FF5" s="25"/>
      <c r="FG5" s="163"/>
      <c r="FH5" s="89"/>
      <c r="FJ5" s="94"/>
      <c r="FK5" s="25"/>
      <c r="FL5" s="25"/>
      <c r="FM5" s="25"/>
      <c r="FN5" s="25"/>
      <c r="FO5" s="25"/>
      <c r="FP5" s="25"/>
      <c r="FQ5" s="25"/>
      <c r="FR5" s="25"/>
      <c r="FS5" s="25"/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25"/>
      <c r="GO5" s="25"/>
      <c r="GP5" s="163"/>
      <c r="GQ5" s="89"/>
      <c r="GU5" s="107"/>
      <c r="GV5" s="56" t="s">
        <v>89</v>
      </c>
      <c r="GW5" s="56"/>
      <c r="GX5" s="55"/>
      <c r="GY5" s="55"/>
      <c r="GZ5" s="56" t="s">
        <v>82</v>
      </c>
      <c r="HA5" s="55"/>
      <c r="HB5" s="55"/>
      <c r="HC5" s="55"/>
      <c r="HD5" s="55"/>
      <c r="HE5" s="56" t="s">
        <v>83</v>
      </c>
      <c r="HF5" s="56" t="s">
        <v>273</v>
      </c>
      <c r="HG5" s="56" t="s">
        <v>86</v>
      </c>
      <c r="HH5" s="56" t="s">
        <v>87</v>
      </c>
      <c r="HI5" s="56" t="s">
        <v>84</v>
      </c>
      <c r="HJ5" s="56" t="s">
        <v>88</v>
      </c>
      <c r="HK5" s="56" t="s">
        <v>90</v>
      </c>
      <c r="HL5" s="55"/>
      <c r="HM5" s="55"/>
      <c r="HN5" s="55"/>
      <c r="HO5" s="55"/>
      <c r="HP5" s="55"/>
      <c r="HQ5" s="56" t="s">
        <v>98</v>
      </c>
      <c r="HR5" s="55"/>
      <c r="HS5" s="108" t="s">
        <v>97</v>
      </c>
      <c r="HT5" s="56"/>
    </row>
    <row r="6" spans="1:228">
      <c r="B6" s="90" t="s">
        <v>144</v>
      </c>
      <c r="C6" s="91" t="s">
        <v>78</v>
      </c>
      <c r="D6" s="91" t="s">
        <v>154</v>
      </c>
      <c r="E6" s="91" t="s">
        <v>155</v>
      </c>
      <c r="F6" s="91" t="s">
        <v>146</v>
      </c>
      <c r="G6" s="91" t="s">
        <v>79</v>
      </c>
      <c r="H6" s="91" t="s">
        <v>148</v>
      </c>
      <c r="I6" s="92" t="s">
        <v>156</v>
      </c>
      <c r="K6" s="90" t="s">
        <v>170</v>
      </c>
      <c r="L6" s="91" t="s">
        <v>171</v>
      </c>
      <c r="M6" s="91" t="s">
        <v>164</v>
      </c>
      <c r="N6" s="91" t="s">
        <v>176</v>
      </c>
      <c r="O6" s="92" t="s">
        <v>164</v>
      </c>
      <c r="P6" s="100" t="s">
        <v>179</v>
      </c>
      <c r="Q6" s="91" t="s">
        <v>181</v>
      </c>
      <c r="R6" s="92" t="s">
        <v>182</v>
      </c>
      <c r="S6" s="100" t="s">
        <v>7</v>
      </c>
      <c r="T6" s="91" t="s">
        <v>8</v>
      </c>
      <c r="U6" s="130" t="s">
        <v>207</v>
      </c>
      <c r="V6" s="128" t="s">
        <v>77</v>
      </c>
      <c r="W6" s="100" t="s">
        <v>209</v>
      </c>
      <c r="X6" s="91" t="s">
        <v>210</v>
      </c>
      <c r="Y6" s="92" t="s">
        <v>211</v>
      </c>
      <c r="AA6" s="102" t="s">
        <v>151</v>
      </c>
      <c r="AB6" s="103" t="s">
        <v>206</v>
      </c>
      <c r="AC6" s="103" t="s">
        <v>165</v>
      </c>
      <c r="AD6" s="104" t="s">
        <v>152</v>
      </c>
      <c r="AF6" s="109" t="s">
        <v>5</v>
      </c>
      <c r="AG6" s="110" t="s">
        <v>9</v>
      </c>
      <c r="AH6" s="110" t="s">
        <v>11</v>
      </c>
      <c r="AI6" s="110" t="s">
        <v>15</v>
      </c>
      <c r="AJ6" s="110" t="s">
        <v>19</v>
      </c>
      <c r="AK6" s="110" t="s">
        <v>22</v>
      </c>
      <c r="AL6" s="110" t="s">
        <v>25</v>
      </c>
      <c r="AM6" s="110" t="s">
        <v>16</v>
      </c>
      <c r="AN6" s="110" t="s">
        <v>13</v>
      </c>
      <c r="AO6" s="110" t="s">
        <v>30</v>
      </c>
      <c r="AP6" s="110" t="s">
        <v>33</v>
      </c>
      <c r="AQ6" s="110" t="s">
        <v>36</v>
      </c>
      <c r="AR6" s="110" t="s">
        <v>38</v>
      </c>
      <c r="AS6" s="110" t="s">
        <v>40</v>
      </c>
      <c r="AT6" s="110" t="s">
        <v>42</v>
      </c>
      <c r="AU6" s="110" t="s">
        <v>44</v>
      </c>
      <c r="AV6" s="110" t="s">
        <v>47</v>
      </c>
      <c r="AW6" s="110" t="s">
        <v>50</v>
      </c>
      <c r="AX6" s="110" t="s">
        <v>53</v>
      </c>
      <c r="AY6" s="110" t="s">
        <v>56</v>
      </c>
      <c r="AZ6" s="110" t="s">
        <v>59</v>
      </c>
      <c r="BA6" s="110" t="s">
        <v>61</v>
      </c>
      <c r="BB6" s="110" t="s">
        <v>63</v>
      </c>
      <c r="BC6" s="110" t="s">
        <v>64</v>
      </c>
      <c r="BD6" s="111" t="s">
        <v>65</v>
      </c>
      <c r="BE6" s="54"/>
      <c r="BG6" s="109" t="s">
        <v>6</v>
      </c>
      <c r="BH6" s="110" t="s">
        <v>10</v>
      </c>
      <c r="BI6" s="110" t="s">
        <v>13</v>
      </c>
      <c r="BJ6" s="110" t="s">
        <v>16</v>
      </c>
      <c r="BK6" s="110" t="s">
        <v>21</v>
      </c>
      <c r="BL6" s="110" t="s">
        <v>23</v>
      </c>
      <c r="BM6" s="110" t="s">
        <v>11</v>
      </c>
      <c r="BN6" s="110" t="s">
        <v>27</v>
      </c>
      <c r="BO6" s="110" t="s">
        <v>29</v>
      </c>
      <c r="BP6" s="110" t="s">
        <v>31</v>
      </c>
      <c r="BQ6" s="110" t="s">
        <v>34</v>
      </c>
      <c r="BR6" s="110" t="s">
        <v>37</v>
      </c>
      <c r="BS6" s="110" t="s">
        <v>39</v>
      </c>
      <c r="BT6" s="110" t="s">
        <v>41</v>
      </c>
      <c r="BU6" s="110" t="s">
        <v>43</v>
      </c>
      <c r="BV6" s="110" t="s">
        <v>42</v>
      </c>
      <c r="BW6" s="110" t="s">
        <v>48</v>
      </c>
      <c r="BX6" s="110" t="s">
        <v>52</v>
      </c>
      <c r="BY6" s="110" t="s">
        <v>54</v>
      </c>
      <c r="BZ6" s="110" t="s">
        <v>57</v>
      </c>
      <c r="CA6" s="110" t="s">
        <v>60</v>
      </c>
      <c r="CB6" s="110" t="s">
        <v>50</v>
      </c>
      <c r="CC6" s="110" t="s">
        <v>53</v>
      </c>
      <c r="CD6" s="110" t="s">
        <v>56</v>
      </c>
      <c r="CE6" s="110" t="s">
        <v>59</v>
      </c>
      <c r="CF6" s="110" t="s">
        <v>68</v>
      </c>
      <c r="CG6" s="110" t="s">
        <v>70</v>
      </c>
      <c r="CH6" s="110" t="s">
        <v>71</v>
      </c>
      <c r="CI6" s="110" t="s">
        <v>72</v>
      </c>
      <c r="CJ6" s="110" t="s">
        <v>73</v>
      </c>
      <c r="CK6" s="110" t="s">
        <v>61</v>
      </c>
      <c r="CL6" s="110" t="s">
        <v>74</v>
      </c>
      <c r="CM6" s="110" t="s">
        <v>213</v>
      </c>
      <c r="CN6" s="111" t="s">
        <v>65</v>
      </c>
      <c r="CP6" s="109" t="s">
        <v>6</v>
      </c>
      <c r="CQ6" s="110" t="s">
        <v>10</v>
      </c>
      <c r="CR6" s="110" t="s">
        <v>13</v>
      </c>
      <c r="CS6" s="110" t="s">
        <v>16</v>
      </c>
      <c r="CT6" s="110" t="s">
        <v>21</v>
      </c>
      <c r="CU6" s="110" t="s">
        <v>23</v>
      </c>
      <c r="CV6" s="110" t="s">
        <v>11</v>
      </c>
      <c r="CW6" s="110" t="s">
        <v>27</v>
      </c>
      <c r="CX6" s="110" t="s">
        <v>29</v>
      </c>
      <c r="CY6" s="110" t="s">
        <v>31</v>
      </c>
      <c r="CZ6" s="110" t="s">
        <v>34</v>
      </c>
      <c r="DA6" s="110" t="s">
        <v>37</v>
      </c>
      <c r="DB6" s="110" t="s">
        <v>39</v>
      </c>
      <c r="DC6" s="110" t="s">
        <v>41</v>
      </c>
      <c r="DD6" s="110" t="s">
        <v>43</v>
      </c>
      <c r="DE6" s="110" t="s">
        <v>42</v>
      </c>
      <c r="DF6" s="110" t="s">
        <v>48</v>
      </c>
      <c r="DG6" s="110" t="s">
        <v>52</v>
      </c>
      <c r="DH6" s="110" t="s">
        <v>54</v>
      </c>
      <c r="DI6" s="110" t="s">
        <v>57</v>
      </c>
      <c r="DJ6" s="110" t="s">
        <v>60</v>
      </c>
      <c r="DK6" s="110" t="s">
        <v>50</v>
      </c>
      <c r="DL6" s="110" t="s">
        <v>53</v>
      </c>
      <c r="DM6" s="110" t="s">
        <v>56</v>
      </c>
      <c r="DN6" s="110" t="s">
        <v>59</v>
      </c>
      <c r="DO6" s="110" t="s">
        <v>68</v>
      </c>
      <c r="DP6" s="110" t="s">
        <v>70</v>
      </c>
      <c r="DQ6" s="110" t="s">
        <v>71</v>
      </c>
      <c r="DR6" s="110" t="s">
        <v>72</v>
      </c>
      <c r="DS6" s="110" t="s">
        <v>73</v>
      </c>
      <c r="DT6" s="110" t="s">
        <v>61</v>
      </c>
      <c r="DU6" s="110" t="s">
        <v>74</v>
      </c>
      <c r="DV6" s="110" t="s">
        <v>213</v>
      </c>
      <c r="DW6" s="111" t="s">
        <v>65</v>
      </c>
      <c r="EA6" s="109" t="s">
        <v>6</v>
      </c>
      <c r="EB6" s="110" t="s">
        <v>10</v>
      </c>
      <c r="EC6" s="110" t="s">
        <v>13</v>
      </c>
      <c r="ED6" s="110" t="s">
        <v>16</v>
      </c>
      <c r="EE6" s="110" t="s">
        <v>21</v>
      </c>
      <c r="EF6" s="110" t="s">
        <v>23</v>
      </c>
      <c r="EG6" s="112" t="s">
        <v>11</v>
      </c>
      <c r="EH6" s="110" t="s">
        <v>27</v>
      </c>
      <c r="EI6" s="112" t="s">
        <v>29</v>
      </c>
      <c r="EJ6" s="110" t="s">
        <v>31</v>
      </c>
      <c r="EK6" s="110" t="s">
        <v>34</v>
      </c>
      <c r="EL6" s="110" t="s">
        <v>37</v>
      </c>
      <c r="EM6" s="110" t="s">
        <v>39</v>
      </c>
      <c r="EN6" s="110" t="s">
        <v>41</v>
      </c>
      <c r="EO6" s="110" t="s">
        <v>43</v>
      </c>
      <c r="EP6" s="110" t="s">
        <v>42</v>
      </c>
      <c r="EQ6" s="110" t="s">
        <v>48</v>
      </c>
      <c r="ER6" s="110" t="s">
        <v>52</v>
      </c>
      <c r="ES6" s="110" t="s">
        <v>54</v>
      </c>
      <c r="ET6" s="110" t="s">
        <v>57</v>
      </c>
      <c r="EU6" s="110" t="s">
        <v>60</v>
      </c>
      <c r="EV6" s="110" t="s">
        <v>50</v>
      </c>
      <c r="EW6" s="110" t="s">
        <v>53</v>
      </c>
      <c r="EX6" s="110" t="s">
        <v>56</v>
      </c>
      <c r="EY6" s="110" t="s">
        <v>59</v>
      </c>
      <c r="EZ6" s="110" t="s">
        <v>68</v>
      </c>
      <c r="FA6" s="110" t="s">
        <v>70</v>
      </c>
      <c r="FB6" s="110" t="s">
        <v>71</v>
      </c>
      <c r="FC6" s="110" t="s">
        <v>72</v>
      </c>
      <c r="FD6" s="110" t="s">
        <v>73</v>
      </c>
      <c r="FE6" s="110" t="s">
        <v>61</v>
      </c>
      <c r="FF6" s="110" t="s">
        <v>74</v>
      </c>
      <c r="FG6" s="110" t="s">
        <v>213</v>
      </c>
      <c r="FH6" s="111" t="s">
        <v>65</v>
      </c>
      <c r="FJ6" s="109" t="s">
        <v>6</v>
      </c>
      <c r="FK6" s="110" t="s">
        <v>10</v>
      </c>
      <c r="FL6" s="110" t="s">
        <v>13</v>
      </c>
      <c r="FM6" s="110" t="s">
        <v>16</v>
      </c>
      <c r="FN6" s="110" t="s">
        <v>21</v>
      </c>
      <c r="FO6" s="110" t="s">
        <v>23</v>
      </c>
      <c r="FP6" s="110" t="s">
        <v>11</v>
      </c>
      <c r="FQ6" s="110" t="s">
        <v>27</v>
      </c>
      <c r="FR6" s="110" t="s">
        <v>29</v>
      </c>
      <c r="FS6" s="110" t="s">
        <v>31</v>
      </c>
      <c r="FT6" s="110" t="s">
        <v>34</v>
      </c>
      <c r="FU6" s="110" t="s">
        <v>37</v>
      </c>
      <c r="FV6" s="110" t="s">
        <v>39</v>
      </c>
      <c r="FW6" s="110" t="s">
        <v>41</v>
      </c>
      <c r="FX6" s="110" t="s">
        <v>43</v>
      </c>
      <c r="FY6" s="110" t="s">
        <v>42</v>
      </c>
      <c r="FZ6" s="110" t="s">
        <v>48</v>
      </c>
      <c r="GA6" s="110" t="s">
        <v>52</v>
      </c>
      <c r="GB6" s="110" t="s">
        <v>54</v>
      </c>
      <c r="GC6" s="110" t="s">
        <v>57</v>
      </c>
      <c r="GD6" s="110" t="s">
        <v>60</v>
      </c>
      <c r="GE6" s="110" t="s">
        <v>50</v>
      </c>
      <c r="GF6" s="110" t="s">
        <v>53</v>
      </c>
      <c r="GG6" s="110" t="s">
        <v>56</v>
      </c>
      <c r="GH6" s="110" t="s">
        <v>59</v>
      </c>
      <c r="GI6" s="110" t="s">
        <v>68</v>
      </c>
      <c r="GJ6" s="110" t="s">
        <v>70</v>
      </c>
      <c r="GK6" s="110" t="s">
        <v>71</v>
      </c>
      <c r="GL6" s="110" t="s">
        <v>72</v>
      </c>
      <c r="GM6" s="110" t="s">
        <v>73</v>
      </c>
      <c r="GN6" s="110" t="s">
        <v>61</v>
      </c>
      <c r="GO6" s="110" t="s">
        <v>74</v>
      </c>
      <c r="GP6" s="54" t="s">
        <v>213</v>
      </c>
      <c r="GQ6" s="111" t="s">
        <v>65</v>
      </c>
      <c r="GU6" s="109" t="s">
        <v>5</v>
      </c>
      <c r="GV6" s="110" t="s">
        <v>9</v>
      </c>
      <c r="GW6" s="110" t="s">
        <v>11</v>
      </c>
      <c r="GX6" s="110" t="s">
        <v>15</v>
      </c>
      <c r="GY6" s="110" t="s">
        <v>19</v>
      </c>
      <c r="GZ6" s="110" t="s">
        <v>22</v>
      </c>
      <c r="HA6" s="110" t="s">
        <v>25</v>
      </c>
      <c r="HB6" s="110" t="s">
        <v>16</v>
      </c>
      <c r="HC6" s="110" t="s">
        <v>13</v>
      </c>
      <c r="HD6" s="110" t="s">
        <v>30</v>
      </c>
      <c r="HE6" s="110" t="s">
        <v>33</v>
      </c>
      <c r="HF6" s="110" t="s">
        <v>36</v>
      </c>
      <c r="HG6" s="110" t="s">
        <v>38</v>
      </c>
      <c r="HH6" s="110" t="s">
        <v>40</v>
      </c>
      <c r="HI6" s="110" t="s">
        <v>42</v>
      </c>
      <c r="HJ6" s="110" t="s">
        <v>44</v>
      </c>
      <c r="HK6" s="110" t="s">
        <v>47</v>
      </c>
      <c r="HL6" s="110" t="s">
        <v>50</v>
      </c>
      <c r="HM6" s="110" t="s">
        <v>53</v>
      </c>
      <c r="HN6" s="110" t="s">
        <v>56</v>
      </c>
      <c r="HO6" s="110" t="s">
        <v>59</v>
      </c>
      <c r="HP6" s="110" t="s">
        <v>61</v>
      </c>
      <c r="HQ6" s="110" t="s">
        <v>63</v>
      </c>
      <c r="HR6" s="110" t="s">
        <v>64</v>
      </c>
      <c r="HS6" s="111" t="s">
        <v>65</v>
      </c>
      <c r="HT6" s="54"/>
    </row>
    <row r="7" spans="1:228">
      <c r="A7" s="101">
        <v>1</v>
      </c>
      <c r="B7" s="57" t="s">
        <v>200</v>
      </c>
      <c r="C7" s="57" t="s">
        <v>201</v>
      </c>
      <c r="D7" s="57" t="s">
        <v>12</v>
      </c>
      <c r="E7" s="57" t="s">
        <v>35</v>
      </c>
      <c r="F7" s="57" t="s">
        <v>202</v>
      </c>
      <c r="G7" s="57" t="s">
        <v>203</v>
      </c>
      <c r="H7" s="57" t="s">
        <v>101</v>
      </c>
      <c r="I7" s="57" t="s">
        <v>35</v>
      </c>
      <c r="J7" s="101">
        <v>1</v>
      </c>
      <c r="K7" s="58" t="s">
        <v>163</v>
      </c>
      <c r="L7" s="59">
        <f ca="1">IF(ISBLANK(M7),IF($G7="","",_xll.BDP(AI7&amp;" "&amp;$K7&amp;" Corp","PX_LAST")),M7)</f>
        <v>97.512</v>
      </c>
      <c r="M7" s="60"/>
      <c r="N7" s="83">
        <f ca="1">IF(ISBLANK($O7),IF($G7="","",_xll.meLWOAssetSwapSpread($AB7,$AA7,$L7,_xll.meUtilityLVBFromKeysValues($S$6:$V$6,S7:V7),INDIRECT("Fixings"&amp;$D7&amp;IF($I7="QUARTERLY","3ML","6ML")))),$O7)</f>
        <v>139.69258978764057</v>
      </c>
      <c r="O7" s="60"/>
      <c r="P7" s="84">
        <f ca="1">IF($C7="","",_xll.meLWOAssetSwapSpreadToCleanPrice($AC7,$N7,INDIRECT("ValuationSettings"&amp;$D7),INDIRECT("Fixings"&amp;$D7&amp;IF($E7="QUARTERLY","3ML","6ML"))))</f>
        <v>102.38380729226269</v>
      </c>
      <c r="Q7" s="84">
        <f ca="1">IF($C7="","",_xll.meLWOBondPriceFromCleanToDirty($AD7,V7,$P7))</f>
        <v>102.59069618115157</v>
      </c>
      <c r="R7" s="98">
        <f ca="1">IF($C7="","",_xll.meLWOBondYield($AD7,V7,IF($GZ7,$P7,$Q7)))</f>
        <v>3.5298109128315831E-2</v>
      </c>
      <c r="S7" s="98" t="str">
        <f t="shared" ref="S7:S11" ca="1" si="0">IF($C7="","",INDIRECT("Settings.CurveOverride."&amp;$H7))</f>
        <v>USDYC</v>
      </c>
      <c r="T7" s="98" t="str">
        <f t="shared" ref="T7:T11" ca="1" si="1">IF($C7="","",INDIRECT("Settings.CurveOverride."&amp;$D7))</f>
        <v>AUDYC</v>
      </c>
      <c r="U7" s="129">
        <f ca="1">IF($C7="","",_xll.BDH(D7&amp;H7&amp;" Curncy","MID",Settings.ValuationDate,Settings.ValuationDate))</f>
        <v>0.72714000000000001</v>
      </c>
      <c r="V7" s="127">
        <f ca="1">INDIRECT("ValuationDate"&amp;$D7)</f>
        <v>43500</v>
      </c>
      <c r="W7" s="98" t="b">
        <v>0</v>
      </c>
      <c r="X7" s="98" t="str">
        <f t="shared" ref="X7:X11" si="2">IF($C7="","",H7)</f>
        <v>USD</v>
      </c>
      <c r="Y7" s="98"/>
      <c r="Z7" s="101">
        <v>1</v>
      </c>
      <c r="AA7" s="53" t="str">
        <f ca="1">IF($G7="","",IF(LEFT(AG7,1)="#","#LOADING",_xll.meLWOBondCreateFromLVB("PROXY_BOND_"&amp;$AI7,_xll.meUtilityLVBFromKeysValues($AF$6:$BD$6,$AF7:$BD7))))</f>
        <v>PROXY_BOND_USJ46186BC59@82:12</v>
      </c>
      <c r="AB7" s="53" t="str">
        <f ca="1">IF($G7="","",_xll.meLWOXccySwapCreate("PROXY_XCCY_ASW_"&amp;$AI7,_xll.meUtilityLVBFromKeysAndMultipleValues($BG$6:$CN$6,$BG7:$CN7,$CP7:$DW7),_xll.meUtilityLVBFromKeysValues($W$6:$Y$6,W7:Y7)))</f>
        <v>PROXY_XCCY_ASW_USJ46186BC59@101:12</v>
      </c>
      <c r="AC7" s="53" t="str">
        <f ca="1">IF($C7="","",_xll.meLWOSwapCreate("BOND_ASW_"&amp;$GX7,_xll.meUtilityLVBFromKeysAndMultipleValues($EA$6:$FH$6,$EA7:$FH7,$FJ7:$GQ7)))</f>
        <v>BOND_ASW_XS1344710857@93:12</v>
      </c>
      <c r="AD7" s="53" t="str">
        <f ca="1">IF($C7="","",IF(LEFT(GV7,1)="#","#LOADING",_xll.meLWOBondCreateFromLVB("PROXY_BOND_"&amp;$GX7,_xll.meUtilityLVBFromKeysValues($GU$6:$HS$6,$GU7:$HS7))))</f>
        <v>PROXY_BOND_XS1344710857@83:12</v>
      </c>
      <c r="AE7" t="s">
        <v>0</v>
      </c>
      <c r="AF7" s="62" t="str">
        <f>$F7</f>
        <v>MIZUHO BANK LTD</v>
      </c>
      <c r="AG7" s="63" t="str">
        <f ca="1">IF(LEFT(_xll.BDP($G7,AG$5),1)="#","#LOADING",_xll.BDP($G7,AG$5))</f>
        <v>FIXED</v>
      </c>
      <c r="AH7" s="41" t="str">
        <f>$H7</f>
        <v>USD</v>
      </c>
      <c r="AI7" s="63" t="str">
        <f ca="1">IF(LEFT(_xll.BDP($G7,AI$5),1)="#","#LOADING",_xll.BDP($G7,AI$5))</f>
        <v>USJ46186BC59</v>
      </c>
      <c r="AJ7" s="64" t="s">
        <v>20</v>
      </c>
      <c r="AK7" s="63" t="b">
        <f ca="1">IF(LEFT(_xll.BDP($G7,AK$5),1)="#","#LOADING",IF(_xll.BDP($G7,AK$5)="CLEAN",TRUE,FALSE))</f>
        <v>1</v>
      </c>
      <c r="AL7" s="64" t="s">
        <v>26</v>
      </c>
      <c r="AM7" s="61" t="s">
        <v>18</v>
      </c>
      <c r="AN7" s="65" t="s">
        <v>28</v>
      </c>
      <c r="AO7" s="66">
        <v>1000000</v>
      </c>
      <c r="AP7" s="63">
        <f ca="1">IF(LEFT(_xll.BDP($G7,AP$5),1)="#","#LOADING",DATEVALUE(_xll.BDP($G7,AP$5)))</f>
        <v>42089</v>
      </c>
      <c r="AQ7" s="63">
        <f ca="1">IF(LEFT(_xll.BDP($G7,AQ$5),1)="#","#LOADING",DATEVALUE(_xll.BDP($G7,AQ$5)))</f>
        <v>42089</v>
      </c>
      <c r="AR7" s="63">
        <f ca="1">IF(LEFT(_xll.BDP($G7,AR$5),1)="#","#LOADING",DATEVALUE(_xll.BDP($G7,AR$5)))</f>
        <v>42273</v>
      </c>
      <c r="AS7" s="63">
        <f ca="1">IF(LEFT(_xll.BDP($G7,AS$5),1)="#","#LOADING",DATEVALUE(_xll.BDP($G7,AS$5)))</f>
        <v>45561</v>
      </c>
      <c r="AT7" s="63">
        <f ca="1">IF(LEFT(_xll.BDP($G7,AT$5),1)="#","#LOADING",DATEVALUE(_xll.BDP($G7,AT$5)))</f>
        <v>45742</v>
      </c>
      <c r="AU7" s="67">
        <f ca="1">IF(LEFT(_xll.BDP($G7,AU$5),1)="#","#LOADING",_xll.BDP($G7,AU$5)%)</f>
        <v>3.2000000000000001E-2</v>
      </c>
      <c r="AV7" s="67" t="str">
        <f ca="1">IF(LEFT(_xll.BDP($G7,AV$5),1)="#","#LOADING",VLOOKUP(_xll.BDP($G7,AV$5),Static.CouponFrequency,2,FALSE))</f>
        <v>SEMI-ANNUAL</v>
      </c>
      <c r="AW7" s="68" t="s">
        <v>51</v>
      </c>
      <c r="AX7" s="53" t="str">
        <f t="shared" ref="AX7:AX26" si="3">VLOOKUP($AH7,Static.CurrencyToCalendar,2,FALSE)</f>
        <v>NYB</v>
      </c>
      <c r="AY7" s="61" t="s">
        <v>51</v>
      </c>
      <c r="AZ7" s="53" t="str">
        <f t="shared" ref="AZ7:AZ26" si="4">VLOOKUP($AH7,Static.CurrencyToCalendar,2,FALSE)</f>
        <v>NYB</v>
      </c>
      <c r="BA7" s="61" t="s">
        <v>62</v>
      </c>
      <c r="BB7" s="69" t="str">
        <f ca="1">IF(LEFT(_xll.BDP($G7,BB$5),1)="#","#LOADING",_xll.BDP($G7,BB$5))</f>
        <v>ISMA-30/360</v>
      </c>
      <c r="BC7" s="70"/>
      <c r="BD7" s="69" t="str">
        <f ca="1">IF(LEFT(_xll.BDP($G7,BD$5),1)="#","#LOADING","Type"&amp;IF(_xll.BDP($G7,BD$5)=999,1,_xll.BDP($G7,BD$5)))</f>
        <v>Type1</v>
      </c>
      <c r="BE7" s="54"/>
      <c r="BG7" s="61" t="s">
        <v>7</v>
      </c>
      <c r="BH7" s="66">
        <v>1000000</v>
      </c>
      <c r="BI7" s="61" t="s">
        <v>212</v>
      </c>
      <c r="BJ7" s="61" t="s">
        <v>17</v>
      </c>
      <c r="BK7" s="70"/>
      <c r="BL7" s="73" t="str">
        <f t="shared" ref="BL7:BL26" si="5">VLOOKUP($AH7,Static.CurrencyToAssetSwap,3,FALSE)</f>
        <v>USDOIS</v>
      </c>
      <c r="BM7" s="74" t="str">
        <f t="shared" ref="BM7:BM26" si="6">$AH7</f>
        <v>USD</v>
      </c>
      <c r="BN7" s="71">
        <v>1</v>
      </c>
      <c r="BO7" s="75">
        <f t="shared" ref="BO7:BO26" ca="1" si="7">$AU7</f>
        <v>3.2000000000000001E-2</v>
      </c>
      <c r="BP7" s="61"/>
      <c r="BQ7" s="61"/>
      <c r="BR7" s="72"/>
      <c r="BS7" s="72"/>
      <c r="BT7" s="71"/>
      <c r="BU7" s="76">
        <f t="shared" ref="BU7:BU26" ca="1" si="8">$AQ7</f>
        <v>42089</v>
      </c>
      <c r="BV7" s="76">
        <f t="shared" ref="BV7:BV26" ca="1" si="9">$AT7</f>
        <v>45742</v>
      </c>
      <c r="BW7" s="77" t="str">
        <f t="shared" ref="BW7:BX26" ca="1" si="10">$AV7</f>
        <v>SEMI-ANNUAL</v>
      </c>
      <c r="BX7" s="77" t="str">
        <f t="shared" ca="1" si="10"/>
        <v>SEMI-ANNUAL</v>
      </c>
      <c r="BY7" s="78" t="str">
        <f t="shared" ref="BY7:BY26" ca="1" si="11">$BB7</f>
        <v>ISMA-30/360</v>
      </c>
      <c r="BZ7" s="61"/>
      <c r="CA7" s="61"/>
      <c r="CB7" s="61" t="s">
        <v>51</v>
      </c>
      <c r="CC7" s="73" t="str">
        <f t="shared" ref="CC7:CC26" si="12">$AX7</f>
        <v>NYB</v>
      </c>
      <c r="CD7" s="61" t="s">
        <v>51</v>
      </c>
      <c r="CE7" s="73" t="str">
        <f t="shared" ref="CE7:CE26" si="13">$AZ7</f>
        <v>NYB</v>
      </c>
      <c r="CF7" s="76">
        <f t="shared" ref="CF7:CF26" ca="1" si="14">$AR7</f>
        <v>42273</v>
      </c>
      <c r="CG7" s="76">
        <f t="shared" ref="CG7:CG26" ca="1" si="15">$AS7</f>
        <v>45561</v>
      </c>
      <c r="CH7" s="70" t="s">
        <v>80</v>
      </c>
      <c r="CI7" s="61"/>
      <c r="CJ7" s="61"/>
      <c r="CK7" s="61" t="s">
        <v>62</v>
      </c>
      <c r="CL7" s="61"/>
      <c r="CM7" s="61"/>
      <c r="CN7" s="76" t="str">
        <f t="shared" ref="CN7:CN26" ca="1" si="16">$BD7</f>
        <v>Type1</v>
      </c>
      <c r="CP7" s="61" t="s">
        <v>8</v>
      </c>
      <c r="CQ7" s="66">
        <f t="shared" ref="CQ7:CQ26" ca="1" si="17">BH7/U7</f>
        <v>1375250.9833044531</v>
      </c>
      <c r="CR7" s="61" t="str">
        <f>BI7</f>
        <v>END</v>
      </c>
      <c r="CS7" s="61" t="s">
        <v>18</v>
      </c>
      <c r="CT7" s="53" t="str">
        <f t="shared" ref="CT7:CT26" si="18">$D7&amp;VLOOKUP($I7,Static.FrequencyToCurveIndex,2,FALSE)</f>
        <v>AUD3ML</v>
      </c>
      <c r="CU7" s="135" t="str">
        <f>IF($D7="USD","USDOIS",$D7&amp;"DF_"&amp;$H7&amp;"CSA")</f>
        <v>AUDDF_USDCSA</v>
      </c>
      <c r="CV7" s="41" t="str">
        <f>$D7</f>
        <v>AUD</v>
      </c>
      <c r="CW7" s="71">
        <v>1</v>
      </c>
      <c r="CX7" s="81"/>
      <c r="CY7" s="61" t="s">
        <v>32</v>
      </c>
      <c r="CZ7" s="61" t="s">
        <v>32</v>
      </c>
      <c r="DA7" s="72"/>
      <c r="DB7" s="72"/>
      <c r="DC7" s="71"/>
      <c r="DD7" s="82">
        <f ca="1">BU7</f>
        <v>42089</v>
      </c>
      <c r="DE7" s="291">
        <f ca="1">BV7</f>
        <v>45742</v>
      </c>
      <c r="DF7" s="82" t="str">
        <f>$FZ7</f>
        <v>QUARTERLY</v>
      </c>
      <c r="DG7" s="82" t="str">
        <f>$GA7</f>
        <v>QUARTERLY</v>
      </c>
      <c r="DH7" s="82" t="str">
        <f>$GB7</f>
        <v>ACT/365</v>
      </c>
      <c r="DI7" s="61" t="str">
        <f>$GC7</f>
        <v>PRECEDING</v>
      </c>
      <c r="DJ7" s="82" t="str">
        <f>$GD7</f>
        <v>SYB:LNB</v>
      </c>
      <c r="DK7" s="61" t="str">
        <f>$GE7</f>
        <v>NO_CHANGE</v>
      </c>
      <c r="DL7" s="82" t="str">
        <f>$GF7</f>
        <v>SYB</v>
      </c>
      <c r="DM7" s="61" t="str">
        <f>$GG7</f>
        <v>NO_CHANGE</v>
      </c>
      <c r="DN7" s="82" t="str">
        <f>$GH7</f>
        <v>SYB</v>
      </c>
      <c r="DO7" s="82"/>
      <c r="DP7" s="82"/>
      <c r="DQ7" s="82"/>
      <c r="DR7" s="61" t="str">
        <f>$GL7</f>
        <v>0D</v>
      </c>
      <c r="DS7" s="82"/>
      <c r="DT7" s="61" t="str">
        <f>$GN7</f>
        <v>0D</v>
      </c>
      <c r="DU7" s="61" t="str">
        <f>$GO7</f>
        <v>SHORTSTART</v>
      </c>
      <c r="DV7" s="61" t="b">
        <v>0</v>
      </c>
      <c r="DW7" s="82"/>
      <c r="EA7" s="61" t="s">
        <v>7</v>
      </c>
      <c r="EB7" s="66">
        <v>1000000</v>
      </c>
      <c r="EC7" s="61" t="s">
        <v>14</v>
      </c>
      <c r="ED7" s="61" t="s">
        <v>17</v>
      </c>
      <c r="EE7" s="70"/>
      <c r="EF7" s="73" t="str">
        <f t="shared" ref="EF7:EF26" si="19">VLOOKUP($GW7,Static.CurrencyToAssetSwap,3,FALSE)</f>
        <v>AUDOIS</v>
      </c>
      <c r="EG7" s="74" t="str">
        <f t="shared" ref="EG7:EG26" si="20">$GW7</f>
        <v>AUD</v>
      </c>
      <c r="EH7" s="71">
        <v>1</v>
      </c>
      <c r="EI7" s="75">
        <f t="shared" ref="EI7:EI26" ca="1" si="21">$HJ7</f>
        <v>3.9199999999999999E-2</v>
      </c>
      <c r="EJ7" s="61"/>
      <c r="EK7" s="61"/>
      <c r="EL7" s="72"/>
      <c r="EM7" s="72"/>
      <c r="EN7" s="71"/>
      <c r="EO7" s="76">
        <f t="shared" ref="EO7:EO26" ca="1" si="22">$HF7</f>
        <v>42384</v>
      </c>
      <c r="EP7" s="76">
        <f t="shared" ref="EP7:EP26" ca="1" si="23">$HI7</f>
        <v>46037</v>
      </c>
      <c r="EQ7" s="77" t="str">
        <f t="shared" ref="EQ7:ER26" ca="1" si="24">$HK7</f>
        <v>SEMI-ANNUAL</v>
      </c>
      <c r="ER7" s="77" t="str">
        <f t="shared" ca="1" si="24"/>
        <v>SEMI-ANNUAL</v>
      </c>
      <c r="ES7" s="78" t="str">
        <f t="shared" ref="ES7:ES26" ca="1" si="25">$HQ7</f>
        <v>ISMA-30/360</v>
      </c>
      <c r="ET7" s="61"/>
      <c r="EU7" s="61"/>
      <c r="EV7" s="61" t="s">
        <v>51</v>
      </c>
      <c r="EW7" s="73" t="str">
        <f t="shared" ref="EW7:EW26" si="26">$HM7</f>
        <v>SYB</v>
      </c>
      <c r="EX7" s="61" t="s">
        <v>51</v>
      </c>
      <c r="EY7" s="73" t="str">
        <f t="shared" ref="EY7:EY26" si="27">$HO7</f>
        <v>SYB</v>
      </c>
      <c r="EZ7" s="76">
        <f t="shared" ref="EZ7:EZ26" ca="1" si="28">$HG7</f>
        <v>42566</v>
      </c>
      <c r="FA7" s="76">
        <f t="shared" ref="FA7:FA26" ca="1" si="29">$HH7</f>
        <v>45853</v>
      </c>
      <c r="FB7" s="70" t="s">
        <v>80</v>
      </c>
      <c r="FC7" s="61"/>
      <c r="FD7" s="61"/>
      <c r="FE7" s="61" t="s">
        <v>62</v>
      </c>
      <c r="FF7" s="61"/>
      <c r="FG7" s="61"/>
      <c r="FH7" s="76" t="str">
        <f t="shared" ref="FH7:FH26" ca="1" si="30">$HS7</f>
        <v>Type1</v>
      </c>
      <c r="FJ7" s="113" t="s">
        <v>8</v>
      </c>
      <c r="FK7" s="114">
        <v>1000000</v>
      </c>
      <c r="FL7" s="113" t="s">
        <v>14</v>
      </c>
      <c r="FM7" s="113" t="s">
        <v>18</v>
      </c>
      <c r="FN7" s="115" t="str">
        <f t="shared" ref="FN7:FN26" si="31">$D7&amp;VLOOKUP($I7,Static.FrequencyToCurveIndex,2,FALSE)</f>
        <v>AUD3ML</v>
      </c>
      <c r="FO7" s="115" t="str">
        <f t="shared" ref="FO7:FO26" si="32">VLOOKUP($D7,Static.CurrencyToAssetSwap,3,FALSE)</f>
        <v>AUDOIS</v>
      </c>
      <c r="FP7" s="116" t="str">
        <f>$D7</f>
        <v>AUD</v>
      </c>
      <c r="FQ7" s="117">
        <v>1</v>
      </c>
      <c r="FR7" s="118"/>
      <c r="FS7" s="113" t="s">
        <v>32</v>
      </c>
      <c r="FT7" s="113" t="s">
        <v>32</v>
      </c>
      <c r="FU7" s="119"/>
      <c r="FV7" s="119"/>
      <c r="FW7" s="117"/>
      <c r="FX7" s="120">
        <f t="shared" ref="FX7:FX26" ca="1" si="33">$HF7</f>
        <v>42384</v>
      </c>
      <c r="FY7" s="120">
        <f t="shared" ref="FY7:FY26" ca="1" si="34">$HI7</f>
        <v>46037</v>
      </c>
      <c r="FZ7" s="115" t="str">
        <f t="shared" ref="FZ7:GA26" si="35">$I7</f>
        <v>QUARTERLY</v>
      </c>
      <c r="GA7" s="115" t="str">
        <f t="shared" si="35"/>
        <v>QUARTERLY</v>
      </c>
      <c r="GB7" s="115" t="str">
        <f t="shared" ref="GB7:GB26" si="36">VLOOKUP($GW7,Static.CurrencyToAssetSwap,6,FALSE)</f>
        <v>ACT/365</v>
      </c>
      <c r="GC7" s="113" t="s">
        <v>58</v>
      </c>
      <c r="GD7" s="115" t="str">
        <f t="shared" ref="GD7:GD26" si="37">VLOOKUP($GW7,Static.CurrencyToAssetSwap,4,FALSE)</f>
        <v>SYB:LNB</v>
      </c>
      <c r="GE7" s="113" t="s">
        <v>51</v>
      </c>
      <c r="GF7" s="115" t="str">
        <f t="shared" ref="GF7:GF26" si="38">VLOOKUP($GW7,Static.CurrencyToAssetSwap,5,FALSE)</f>
        <v>SYB</v>
      </c>
      <c r="GG7" s="113" t="s">
        <v>51</v>
      </c>
      <c r="GH7" s="115" t="str">
        <f t="shared" ref="GH7:GH26" si="39">VLOOKUP($GW7,Static.CurrencyToAssetSwap,5,FALSE)</f>
        <v>SYB</v>
      </c>
      <c r="GI7" s="121"/>
      <c r="GJ7" s="121"/>
      <c r="GK7" s="122"/>
      <c r="GL7" s="113" t="s">
        <v>62</v>
      </c>
      <c r="GM7" s="113"/>
      <c r="GN7" s="113" t="s">
        <v>62</v>
      </c>
      <c r="GO7" s="113" t="s">
        <v>75</v>
      </c>
      <c r="GP7" s="61" t="b">
        <v>0</v>
      </c>
      <c r="GQ7" s="121"/>
      <c r="GU7" s="95" t="str">
        <f t="shared" ref="GU7:GU26" si="40">$B7</f>
        <v>MIZUHO BANK SYDNEY</v>
      </c>
      <c r="GV7" s="42" t="str">
        <f ca="1">IF(LEFT(_xll.BDP($C7,GV$5),1)="#","#LOADING",_xll.BDP($C7,GV$5))</f>
        <v>FIXED</v>
      </c>
      <c r="GW7" s="74" t="str">
        <f t="shared" ref="GW7:GW26" si="41">$D7</f>
        <v>AUD</v>
      </c>
      <c r="GX7" s="74" t="str">
        <f t="shared" ref="GX7:GX26" si="42">LEFT(C7,LEN(C7)-5)</f>
        <v>XS1344710857</v>
      </c>
      <c r="GY7" s="64" t="s">
        <v>20</v>
      </c>
      <c r="GZ7" s="42" t="b">
        <f ca="1">IF(LEFT(_xll.BDP($C7,GZ$5),1)="#","#LOADING",IF(_xll.BDP($C7,GZ$5)="CLEAN",TRUE,FALSE))</f>
        <v>1</v>
      </c>
      <c r="HA7" s="64" t="s">
        <v>26</v>
      </c>
      <c r="HB7" s="61" t="s">
        <v>18</v>
      </c>
      <c r="HC7" s="65" t="s">
        <v>28</v>
      </c>
      <c r="HD7" s="66">
        <v>1000000</v>
      </c>
      <c r="HE7" s="96">
        <f ca="1">IF(LEFT(_xll.BDP($C7,HE$5),1)="#","#LOADING",DATEVALUE(_xll.BDP($C7,HE$5)))</f>
        <v>42384</v>
      </c>
      <c r="HF7" s="96">
        <f ca="1">IF(LEFT(_xll.BDP($C7,HF$5),1)="#","#LOADING",DATEVALUE(_xll.BDP($C7,HF$5)))</f>
        <v>42384</v>
      </c>
      <c r="HG7" s="96">
        <f ca="1">IF(LEFT(_xll.BDP($C7,HG$5),1)="#","#LOADING",DATEVALUE(_xll.BDP($C7,HG$5)))</f>
        <v>42566</v>
      </c>
      <c r="HH7" s="96">
        <f ca="1">IF(LEFT(_xll.BDP($C7,HH$5),1)="#","#LOADING",DATEVALUE(_xll.BDP($C7,HH$5)))</f>
        <v>45853</v>
      </c>
      <c r="HI7" s="96">
        <f ca="1">IF(LEFT(_xll.BDP($C7,HI$5),1)="#","#LOADING",DATEVALUE(_xll.BDP($C7,HI$5)))</f>
        <v>46037</v>
      </c>
      <c r="HJ7" s="97">
        <f ca="1">IF(LEFT(_xll.BDP($C7,HJ$5),1)="#","#LOADING",_xll.BDP($C7,HJ$5)%)</f>
        <v>3.9199999999999999E-2</v>
      </c>
      <c r="HK7" s="97" t="str">
        <f ca="1">IF(LEFT(_xll.BDP($C7,HK$5),1)="#","#LOADING",VLOOKUP(_xll.BDP($C7,HK$5),Static.CouponFrequency,2,FALSE))</f>
        <v>SEMI-ANNUAL</v>
      </c>
      <c r="HL7" s="68" t="s">
        <v>51</v>
      </c>
      <c r="HM7" s="73" t="str">
        <f t="shared" ref="HM7:HM26" si="43">VLOOKUP($GW7,Static.CurrencyToCalendar,2,FALSE)</f>
        <v>SYB</v>
      </c>
      <c r="HN7" s="61" t="s">
        <v>51</v>
      </c>
      <c r="HO7" s="73" t="str">
        <f t="shared" ref="HO7:HO26" si="44">VLOOKUP($GW7,Static.CurrencyToCalendar,2,FALSE)</f>
        <v>SYB</v>
      </c>
      <c r="HP7" s="61" t="s">
        <v>62</v>
      </c>
      <c r="HQ7" s="43" t="str">
        <f ca="1">IF(LEFT(_xll.BDP($C7,HQ$5),1)="#","#LOADING",_xll.BDP($C7,HQ$5))</f>
        <v>ISMA-30/360</v>
      </c>
      <c r="HR7" s="70"/>
      <c r="HS7" s="43" t="str">
        <f ca="1">IF(LEFT(_xll.BDP($C7,HS$5),1)="#","#LOADING","Type"&amp;IF(_xll.BDP($C7,HS$5)=999,1,_xll.BDP($C7,HS$5)))</f>
        <v>Type1</v>
      </c>
      <c r="HT7" s="54"/>
    </row>
    <row r="8" spans="1:228">
      <c r="A8" s="101">
        <v>2</v>
      </c>
      <c r="B8" s="57" t="s">
        <v>200</v>
      </c>
      <c r="C8" s="57" t="s">
        <v>201</v>
      </c>
      <c r="D8" s="57" t="s">
        <v>12</v>
      </c>
      <c r="E8" s="57" t="s">
        <v>35</v>
      </c>
      <c r="F8" s="57" t="s">
        <v>202</v>
      </c>
      <c r="G8" s="57" t="s">
        <v>203</v>
      </c>
      <c r="H8" s="57" t="s">
        <v>101</v>
      </c>
      <c r="I8" s="57" t="s">
        <v>35</v>
      </c>
      <c r="J8" s="101">
        <v>2</v>
      </c>
      <c r="K8" s="58" t="s">
        <v>163</v>
      </c>
      <c r="L8" s="59">
        <f ca="1">IF(ISBLANK(M8),IF($G8="","",_xll.BDP(AI8&amp;" "&amp;$K8&amp;" Corp","PX_LAST")),M8)</f>
        <v>97.512</v>
      </c>
      <c r="M8" s="60"/>
      <c r="N8" s="83">
        <f ca="1">IF(ISBLANK($O8),IF($G8="","",_xll.meLWOAssetSwapSpread($AB8,$AA8,$L8,_xll.meUtilityLVBFromKeysValues($S$6:$V$6,S8:V8),INDIRECT("Fixings"&amp;$D8&amp;IF($I8="QUARTERLY","3ML","6ML")))),$O8)</f>
        <v>139.69258978764057</v>
      </c>
      <c r="O8" s="60"/>
      <c r="P8" s="84">
        <f ca="1">IF($C8="","",_xll.meLWOAssetSwapSpreadToCleanPrice($AC8,$N8,INDIRECT("ValuationSettings"&amp;$D8),INDIRECT("Fixings"&amp;$D8&amp;IF($E8="QUARTERLY","3ML","6ML"))))</f>
        <v>102.38380729226269</v>
      </c>
      <c r="Q8" s="84">
        <f ca="1">IF($C8="","",_xll.meLWOBondPriceFromCleanToDirty($AD8,V8,$P8))</f>
        <v>102.59069618115157</v>
      </c>
      <c r="R8" s="98">
        <f ca="1">IF($C8="","",_xll.meLWOBondYield($AD8,V8,IF($GZ8,$P8,$Q8)))</f>
        <v>3.5298109128315831E-2</v>
      </c>
      <c r="S8" s="98" t="str">
        <f t="shared" ca="1" si="0"/>
        <v>USDYC</v>
      </c>
      <c r="T8" s="98" t="str">
        <f t="shared" ca="1" si="1"/>
        <v>AUDYC</v>
      </c>
      <c r="U8" s="129">
        <f ca="1">IF($C8="","",_xll.BDH(D8&amp;H8&amp;" Curncy","MID",Settings.ValuationDate,Settings.ValuationDate))</f>
        <v>0.72714000000000001</v>
      </c>
      <c r="V8" s="127">
        <f t="shared" ref="V8:V11" ca="1" si="45">INDIRECT("ValuationDate"&amp;$D8)</f>
        <v>43500</v>
      </c>
      <c r="W8" s="292" t="b">
        <v>0</v>
      </c>
      <c r="X8" s="98" t="str">
        <f t="shared" si="2"/>
        <v>USD</v>
      </c>
      <c r="Y8" s="98"/>
      <c r="Z8" s="101">
        <v>2</v>
      </c>
      <c r="AA8" s="53" t="str">
        <f ca="1">IF($G8="","",IF(LEFT(AG8,1)="#","#LOADING",_xll.meLWOBondCreateFromLVB("PROXY_BOND_"&amp;$AI8,_xll.meUtilityLVBFromKeysValues($AF$6:$BD$6,$AF8:$BD8))))</f>
        <v>PROXY_BOND_USJ46186BC59@90:12</v>
      </c>
      <c r="AB8" s="135" t="str">
        <f ca="1">IF($G8="","",_xll.meLWOXccySwapCreate("PROXY_XCCY_ASW_"&amp;$AI8,_xll.meUtilityLVBFromKeysAndMultipleValues($BG$6:$CN$6,$BG8:$CN8,$CP8:$DW8),_xll.meUtilityLVBFromKeysValues($W$6:$Y$6,W8:Y8)))</f>
        <v>PROXY_XCCY_ASW_USJ46186BC59@99:12</v>
      </c>
      <c r="AC8" s="53" t="str">
        <f ca="1">IF($C8="","",_xll.meLWOSwapCreate("BOND_ASW_"&amp;$GX8,_xll.meUtilityLVBFromKeysAndMultipleValues($EA$6:$FH$6,$EA8:$FH8,$FJ8:$GQ8)))</f>
        <v>BOND_ASW_XS1344710857@94:12</v>
      </c>
      <c r="AD8" s="53" t="str">
        <f ca="1">IF($C8="","",IF(LEFT(GV8,1)="#","#LOADING",_xll.meLWOBondCreateFromLVB("PROXY_BOND_"&amp;$GX8,_xll.meUtilityLVBFromKeysValues($GU$6:$HS$6,$GU8:$HS8))))</f>
        <v>PROXY_BOND_XS1344710857@91:12</v>
      </c>
      <c r="AE8" t="s">
        <v>0</v>
      </c>
      <c r="AF8" s="62" t="str">
        <f t="shared" ref="AF8:AF26" si="46">$F8</f>
        <v>MIZUHO BANK LTD</v>
      </c>
      <c r="AG8" s="63" t="str">
        <f ca="1">IF(LEFT(_xll.BDP($G8,AG$5),1)="#","#LOADING",_xll.BDP($G8,AG$5))</f>
        <v>FIXED</v>
      </c>
      <c r="AH8" s="41" t="str">
        <f t="shared" ref="AH8:AH26" si="47">$H8</f>
        <v>USD</v>
      </c>
      <c r="AI8" s="63" t="str">
        <f ca="1">IF(LEFT(_xll.BDP($G8,AI$5),1)="#","#LOADING",_xll.BDP($G8,AI$5))</f>
        <v>USJ46186BC59</v>
      </c>
      <c r="AJ8" s="64" t="s">
        <v>20</v>
      </c>
      <c r="AK8" s="63" t="b">
        <f ca="1">IF(LEFT(_xll.BDP($G8,AK$5),1)="#","#LOADING",IF(_xll.BDP($G8,AK$5)="CLEAN",TRUE,FALSE))</f>
        <v>1</v>
      </c>
      <c r="AL8" s="64" t="s">
        <v>26</v>
      </c>
      <c r="AM8" s="61" t="s">
        <v>18</v>
      </c>
      <c r="AN8" s="65" t="s">
        <v>28</v>
      </c>
      <c r="AO8" s="66">
        <v>1000000</v>
      </c>
      <c r="AP8" s="63">
        <f ca="1">IF(LEFT(_xll.BDP($G8,AP$5),1)="#","#LOADING",DATEVALUE(_xll.BDP($G8,AP$5)))</f>
        <v>42089</v>
      </c>
      <c r="AQ8" s="63">
        <f ca="1">IF(LEFT(_xll.BDP($G8,AQ$5),1)="#","#LOADING",DATEVALUE(_xll.BDP($G8,AQ$5)))</f>
        <v>42089</v>
      </c>
      <c r="AR8" s="63">
        <f ca="1">IF(LEFT(_xll.BDP($G8,AR$5),1)="#","#LOADING",DATEVALUE(_xll.BDP($G8,AR$5)))</f>
        <v>42273</v>
      </c>
      <c r="AS8" s="63">
        <f ca="1">IF(LEFT(_xll.BDP($G8,AS$5),1)="#","#LOADING",DATEVALUE(_xll.BDP($G8,AS$5)))</f>
        <v>45561</v>
      </c>
      <c r="AT8" s="63">
        <f ca="1">IF(LEFT(_xll.BDP($G8,AT$5),1)="#","#LOADING",DATEVALUE(_xll.BDP($G8,AT$5)))</f>
        <v>45742</v>
      </c>
      <c r="AU8" s="67">
        <f ca="1">IF(LEFT(_xll.BDP($G8,AU$5),1)="#","#LOADING",_xll.BDP($G8,AU$5)%)</f>
        <v>3.2000000000000001E-2</v>
      </c>
      <c r="AV8" s="67" t="str">
        <f ca="1">IF(LEFT(_xll.BDP($G8,AV$5),1)="#","#LOADING",VLOOKUP(_xll.BDP($G8,AV$5),Static.CouponFrequency,2,FALSE))</f>
        <v>SEMI-ANNUAL</v>
      </c>
      <c r="AW8" s="68" t="s">
        <v>51</v>
      </c>
      <c r="AX8" s="53" t="str">
        <f t="shared" si="3"/>
        <v>NYB</v>
      </c>
      <c r="AY8" s="61" t="s">
        <v>51</v>
      </c>
      <c r="AZ8" s="53" t="str">
        <f t="shared" si="4"/>
        <v>NYB</v>
      </c>
      <c r="BA8" s="61" t="s">
        <v>62</v>
      </c>
      <c r="BB8" s="69" t="str">
        <f ca="1">IF(LEFT(_xll.BDP($G8,BB$5),1)="#","#LOADING",_xll.BDP($G8,BB$5))</f>
        <v>ISMA-30/360</v>
      </c>
      <c r="BC8" s="70"/>
      <c r="BD8" s="69" t="str">
        <f ca="1">IF(LEFT(_xll.BDP($G8,BD$5),1)="#","#LOADING","Type"&amp;IF(_xll.BDP($G8,BD$5)=999,1,_xll.BDP($G8,BD$5)))</f>
        <v>Type1</v>
      </c>
      <c r="BE8" s="54"/>
      <c r="BG8" s="61" t="s">
        <v>7</v>
      </c>
      <c r="BH8" s="66">
        <v>1000000</v>
      </c>
      <c r="BI8" s="61" t="s">
        <v>212</v>
      </c>
      <c r="BJ8" s="61" t="s">
        <v>17</v>
      </c>
      <c r="BK8" s="70"/>
      <c r="BL8" s="73" t="str">
        <f t="shared" si="5"/>
        <v>USDOIS</v>
      </c>
      <c r="BM8" s="74" t="str">
        <f t="shared" si="6"/>
        <v>USD</v>
      </c>
      <c r="BN8" s="71">
        <v>1</v>
      </c>
      <c r="BO8" s="75">
        <f t="shared" ca="1" si="7"/>
        <v>3.2000000000000001E-2</v>
      </c>
      <c r="BP8" s="61"/>
      <c r="BQ8" s="61"/>
      <c r="BR8" s="72"/>
      <c r="BS8" s="72"/>
      <c r="BT8" s="71"/>
      <c r="BU8" s="76">
        <f t="shared" ca="1" si="8"/>
        <v>42089</v>
      </c>
      <c r="BV8" s="76">
        <f t="shared" ca="1" si="9"/>
        <v>45742</v>
      </c>
      <c r="BW8" s="77" t="str">
        <f t="shared" ca="1" si="10"/>
        <v>SEMI-ANNUAL</v>
      </c>
      <c r="BX8" s="77" t="str">
        <f t="shared" ca="1" si="10"/>
        <v>SEMI-ANNUAL</v>
      </c>
      <c r="BY8" s="78" t="str">
        <f t="shared" ca="1" si="11"/>
        <v>ISMA-30/360</v>
      </c>
      <c r="BZ8" s="61"/>
      <c r="CA8" s="61"/>
      <c r="CB8" s="61" t="s">
        <v>51</v>
      </c>
      <c r="CC8" s="73" t="str">
        <f t="shared" si="12"/>
        <v>NYB</v>
      </c>
      <c r="CD8" s="61" t="s">
        <v>51</v>
      </c>
      <c r="CE8" s="73" t="str">
        <f t="shared" si="13"/>
        <v>NYB</v>
      </c>
      <c r="CF8" s="76">
        <f t="shared" ca="1" si="14"/>
        <v>42273</v>
      </c>
      <c r="CG8" s="76">
        <f t="shared" ca="1" si="15"/>
        <v>45561</v>
      </c>
      <c r="CH8" s="70" t="s">
        <v>80</v>
      </c>
      <c r="CI8" s="61"/>
      <c r="CJ8" s="61"/>
      <c r="CK8" s="61" t="s">
        <v>62</v>
      </c>
      <c r="CL8" s="61"/>
      <c r="CM8" s="61"/>
      <c r="CN8" s="76" t="str">
        <f t="shared" ca="1" si="16"/>
        <v>Type1</v>
      </c>
      <c r="CP8" s="61" t="s">
        <v>8</v>
      </c>
      <c r="CQ8" s="66">
        <f t="shared" ca="1" si="17"/>
        <v>1375250.9833044531</v>
      </c>
      <c r="CR8" s="61" t="str">
        <f t="shared" ref="CR8:CR26" si="48">BI8</f>
        <v>END</v>
      </c>
      <c r="CS8" s="61" t="s">
        <v>18</v>
      </c>
      <c r="CT8" s="135" t="str">
        <f t="shared" si="18"/>
        <v>AUD3ML</v>
      </c>
      <c r="CU8" s="135" t="str">
        <f t="shared" ref="CU8:CU26" si="49">IF($D8="USD","USDOIS",$D8&amp;"DF_"&amp;$H8&amp;"CSA")</f>
        <v>AUDDF_USDCSA</v>
      </c>
      <c r="CV8" s="134" t="str">
        <f t="shared" ref="CV8:CV26" si="50">$D8</f>
        <v>AUD</v>
      </c>
      <c r="CW8" s="71">
        <v>1</v>
      </c>
      <c r="CX8" s="81"/>
      <c r="CY8" s="61" t="s">
        <v>32</v>
      </c>
      <c r="CZ8" s="61" t="s">
        <v>32</v>
      </c>
      <c r="DA8" s="72"/>
      <c r="DB8" s="72"/>
      <c r="DC8" s="71"/>
      <c r="DD8" s="291">
        <f t="shared" ref="DD8:DD26" ca="1" si="51">BU8</f>
        <v>42089</v>
      </c>
      <c r="DE8" s="291">
        <f t="shared" ref="DE8:DE26" ca="1" si="52">BV8</f>
        <v>45742</v>
      </c>
      <c r="DF8" s="53" t="str">
        <f t="shared" ref="DF8:DF26" si="53">$E8</f>
        <v>QUARTERLY</v>
      </c>
      <c r="DG8" s="82" t="str">
        <f t="shared" ref="DG8:DG26" si="54">$GA8</f>
        <v>QUARTERLY</v>
      </c>
      <c r="DH8" s="82" t="str">
        <f t="shared" ref="DH8:DH26" si="55">$GB8</f>
        <v>ACT/365</v>
      </c>
      <c r="DI8" s="61" t="str">
        <f t="shared" ref="DI8:DI26" si="56">$GC8</f>
        <v>PRECEDING</v>
      </c>
      <c r="DJ8" s="82" t="str">
        <f t="shared" ref="DJ8:DJ26" si="57">$GD8</f>
        <v>SYB:LNB</v>
      </c>
      <c r="DK8" s="61" t="str">
        <f t="shared" ref="DK8:DK26" si="58">$GE8</f>
        <v>NO_CHANGE</v>
      </c>
      <c r="DL8" s="82" t="str">
        <f t="shared" ref="DL8:DL26" si="59">$GF8</f>
        <v>SYB</v>
      </c>
      <c r="DM8" s="61" t="str">
        <f t="shared" ref="DM8:DM26" si="60">$GG8</f>
        <v>NO_CHANGE</v>
      </c>
      <c r="DN8" s="82" t="str">
        <f t="shared" ref="DN8:DN26" si="61">$GH8</f>
        <v>SYB</v>
      </c>
      <c r="DO8" s="82"/>
      <c r="DP8" s="82"/>
      <c r="DQ8" s="70"/>
      <c r="DR8" s="61" t="str">
        <f t="shared" ref="DR8:DR26" si="62">$GL8</f>
        <v>0D</v>
      </c>
      <c r="DS8" s="61"/>
      <c r="DT8" s="61" t="str">
        <f t="shared" ref="DT8:DT26" si="63">$GN8</f>
        <v>0D</v>
      </c>
      <c r="DU8" s="61" t="str">
        <f t="shared" ref="DU8:DU26" si="64">$GO8</f>
        <v>SHORTSTART</v>
      </c>
      <c r="DV8" s="61" t="b">
        <v>0</v>
      </c>
      <c r="DW8" s="82"/>
      <c r="EA8" s="61" t="s">
        <v>7</v>
      </c>
      <c r="EB8" s="66">
        <v>1000000</v>
      </c>
      <c r="EC8" s="61" t="s">
        <v>14</v>
      </c>
      <c r="ED8" s="61" t="s">
        <v>17</v>
      </c>
      <c r="EE8" s="70"/>
      <c r="EF8" s="73" t="str">
        <f t="shared" si="19"/>
        <v>AUDOIS</v>
      </c>
      <c r="EG8" s="74" t="str">
        <f t="shared" si="20"/>
        <v>AUD</v>
      </c>
      <c r="EH8" s="71">
        <v>1</v>
      </c>
      <c r="EI8" s="75">
        <f ca="1">$HJ8</f>
        <v>3.9199999999999999E-2</v>
      </c>
      <c r="EJ8" s="61"/>
      <c r="EK8" s="61"/>
      <c r="EL8" s="72"/>
      <c r="EM8" s="72"/>
      <c r="EN8" s="71"/>
      <c r="EO8" s="76">
        <f t="shared" ca="1" si="22"/>
        <v>42384</v>
      </c>
      <c r="EP8" s="76">
        <f t="shared" ca="1" si="23"/>
        <v>46037</v>
      </c>
      <c r="EQ8" s="77" t="str">
        <f t="shared" ca="1" si="24"/>
        <v>SEMI-ANNUAL</v>
      </c>
      <c r="ER8" s="77" t="str">
        <f t="shared" ca="1" si="24"/>
        <v>SEMI-ANNUAL</v>
      </c>
      <c r="ES8" s="78" t="str">
        <f t="shared" ca="1" si="25"/>
        <v>ISMA-30/360</v>
      </c>
      <c r="ET8" s="61"/>
      <c r="EU8" s="61"/>
      <c r="EV8" s="61" t="s">
        <v>51</v>
      </c>
      <c r="EW8" s="73" t="str">
        <f t="shared" si="26"/>
        <v>SYB</v>
      </c>
      <c r="EX8" s="61" t="s">
        <v>51</v>
      </c>
      <c r="EY8" s="73" t="str">
        <f t="shared" si="27"/>
        <v>SYB</v>
      </c>
      <c r="EZ8" s="76">
        <f t="shared" ca="1" si="28"/>
        <v>42566</v>
      </c>
      <c r="FA8" s="76">
        <f t="shared" ca="1" si="29"/>
        <v>45853</v>
      </c>
      <c r="FB8" s="70" t="s">
        <v>80</v>
      </c>
      <c r="FC8" s="61"/>
      <c r="FD8" s="61"/>
      <c r="FE8" s="61" t="s">
        <v>62</v>
      </c>
      <c r="FF8" s="61"/>
      <c r="FG8" s="61"/>
      <c r="FH8" s="76" t="str">
        <f t="shared" ca="1" si="30"/>
        <v>Type1</v>
      </c>
      <c r="FJ8" s="61" t="s">
        <v>8</v>
      </c>
      <c r="FK8" s="66">
        <v>1000000</v>
      </c>
      <c r="FL8" s="61" t="s">
        <v>14</v>
      </c>
      <c r="FM8" s="61" t="s">
        <v>18</v>
      </c>
      <c r="FN8" s="115" t="str">
        <f t="shared" si="31"/>
        <v>AUD3ML</v>
      </c>
      <c r="FO8" s="115" t="str">
        <f t="shared" si="32"/>
        <v>AUDOIS</v>
      </c>
      <c r="FP8" s="116" t="str">
        <f t="shared" ref="FP8:FP26" si="65">$D8</f>
        <v>AUD</v>
      </c>
      <c r="FQ8" s="71">
        <v>1</v>
      </c>
      <c r="FR8" s="81"/>
      <c r="FS8" s="61" t="s">
        <v>32</v>
      </c>
      <c r="FT8" s="61" t="s">
        <v>32</v>
      </c>
      <c r="FU8" s="72"/>
      <c r="FV8" s="72"/>
      <c r="FW8" s="71"/>
      <c r="FX8" s="76">
        <f t="shared" ca="1" si="33"/>
        <v>42384</v>
      </c>
      <c r="FY8" s="76">
        <f t="shared" ca="1" si="34"/>
        <v>46037</v>
      </c>
      <c r="FZ8" s="73" t="str">
        <f t="shared" si="35"/>
        <v>QUARTERLY</v>
      </c>
      <c r="GA8" s="73" t="str">
        <f t="shared" si="35"/>
        <v>QUARTERLY</v>
      </c>
      <c r="GB8" s="73" t="str">
        <f t="shared" si="36"/>
        <v>ACT/365</v>
      </c>
      <c r="GC8" s="61" t="s">
        <v>58</v>
      </c>
      <c r="GD8" s="73" t="str">
        <f t="shared" si="37"/>
        <v>SYB:LNB</v>
      </c>
      <c r="GE8" s="61" t="s">
        <v>51</v>
      </c>
      <c r="GF8" s="73" t="str">
        <f t="shared" si="38"/>
        <v>SYB</v>
      </c>
      <c r="GG8" s="61" t="s">
        <v>51</v>
      </c>
      <c r="GH8" s="73" t="str">
        <f t="shared" si="39"/>
        <v>SYB</v>
      </c>
      <c r="GI8" s="82"/>
      <c r="GJ8" s="82"/>
      <c r="GK8" s="70"/>
      <c r="GL8" s="61" t="s">
        <v>62</v>
      </c>
      <c r="GM8" s="61"/>
      <c r="GN8" s="61" t="s">
        <v>62</v>
      </c>
      <c r="GO8" s="61" t="s">
        <v>75</v>
      </c>
      <c r="GP8" s="61" t="b">
        <v>0</v>
      </c>
      <c r="GQ8" s="82"/>
      <c r="GU8" s="95" t="str">
        <f t="shared" si="40"/>
        <v>MIZUHO BANK SYDNEY</v>
      </c>
      <c r="GV8" s="42" t="str">
        <f ca="1">IF(LEFT(_xll.BDP($C8,GV$5),1)="#","#LOADING",_xll.BDP($C8,GV$5))</f>
        <v>FIXED</v>
      </c>
      <c r="GW8" s="74" t="str">
        <f t="shared" si="41"/>
        <v>AUD</v>
      </c>
      <c r="GX8" s="74" t="str">
        <f t="shared" si="42"/>
        <v>XS1344710857</v>
      </c>
      <c r="GY8" s="64" t="s">
        <v>20</v>
      </c>
      <c r="GZ8" s="42" t="b">
        <f ca="1">IF(LEFT(_xll.BDP($C8,GZ$5),1)="#","#LOADING",IF(_xll.BDP($C8,GZ$5)="CLEAN",TRUE,FALSE))</f>
        <v>1</v>
      </c>
      <c r="HA8" s="64" t="s">
        <v>26</v>
      </c>
      <c r="HB8" s="61" t="s">
        <v>18</v>
      </c>
      <c r="HC8" s="65" t="s">
        <v>28</v>
      </c>
      <c r="HD8" s="66">
        <v>1000000</v>
      </c>
      <c r="HE8" s="96">
        <f ca="1">IF(LEFT(_xll.BDP($C8,HE$5),1)="#","#LOADING",DATEVALUE(_xll.BDP($C8,HE$5)))</f>
        <v>42384</v>
      </c>
      <c r="HF8" s="96">
        <f ca="1">IF(LEFT(_xll.BDP($C8,HF$5),1)="#","#LOADING",DATEVALUE(_xll.BDP($C8,HF$5)))</f>
        <v>42384</v>
      </c>
      <c r="HG8" s="96">
        <f ca="1">IF(LEFT(_xll.BDP($C8,HG$5),1)="#","#LOADING",DATEVALUE(_xll.BDP($C8,HG$5)))</f>
        <v>42566</v>
      </c>
      <c r="HH8" s="96">
        <f ca="1">IF(LEFT(_xll.BDP($C8,HH$5),1)="#","#LOADING",DATEVALUE(_xll.BDP($C8,HH$5)))</f>
        <v>45853</v>
      </c>
      <c r="HI8" s="96">
        <f ca="1">IF(LEFT(_xll.BDP($C8,HI$5),1)="#","#LOADING",DATEVALUE(_xll.BDP($C8,HI$5)))</f>
        <v>46037</v>
      </c>
      <c r="HJ8" s="97">
        <f ca="1">IF(LEFT(_xll.BDP($C8,HJ$5),1)="#","#LOADING",_xll.BDP($C8,HJ$5)%)</f>
        <v>3.9199999999999999E-2</v>
      </c>
      <c r="HK8" s="97" t="str">
        <f ca="1">IF(LEFT(_xll.BDP($C8,HK$5),1)="#","#LOADING",VLOOKUP(_xll.BDP($C8,HK$5),Static.CouponFrequency,2,FALSE))</f>
        <v>SEMI-ANNUAL</v>
      </c>
      <c r="HL8" s="68" t="s">
        <v>51</v>
      </c>
      <c r="HM8" s="73" t="str">
        <f t="shared" si="43"/>
        <v>SYB</v>
      </c>
      <c r="HN8" s="61" t="s">
        <v>51</v>
      </c>
      <c r="HO8" s="73" t="str">
        <f t="shared" si="44"/>
        <v>SYB</v>
      </c>
      <c r="HP8" s="61" t="s">
        <v>62</v>
      </c>
      <c r="HQ8" s="43" t="str">
        <f ca="1">IF(LEFT(_xll.BDP($C8,HQ$5),1)="#","#LOADING",_xll.BDP($C8,HQ$5))</f>
        <v>ISMA-30/360</v>
      </c>
      <c r="HR8" s="70"/>
      <c r="HS8" s="43" t="str">
        <f ca="1">IF(LEFT(_xll.BDP($C8,HS$5),1)="#","#LOADING","Type"&amp;IF(_xll.BDP($C8,HS$5)=999,1,_xll.BDP($C8,HS$5)))</f>
        <v>Type1</v>
      </c>
    </row>
    <row r="9" spans="1:228">
      <c r="A9" s="101">
        <v>3</v>
      </c>
      <c r="B9" s="57" t="s">
        <v>200</v>
      </c>
      <c r="C9" s="57" t="s">
        <v>201</v>
      </c>
      <c r="D9" s="57" t="s">
        <v>12</v>
      </c>
      <c r="E9" s="57" t="s">
        <v>35</v>
      </c>
      <c r="F9" s="57" t="s">
        <v>202</v>
      </c>
      <c r="G9" s="57" t="s">
        <v>203</v>
      </c>
      <c r="H9" s="57" t="s">
        <v>101</v>
      </c>
      <c r="I9" s="57" t="s">
        <v>35</v>
      </c>
      <c r="J9" s="101">
        <v>3</v>
      </c>
      <c r="K9" s="58" t="s">
        <v>163</v>
      </c>
      <c r="L9" s="59">
        <f ca="1">IF(ISBLANK(M9),IF($G9="","",_xll.BDP(AI9&amp;" "&amp;$K9&amp;" Corp","PX_LAST")),M9)</f>
        <v>97.512</v>
      </c>
      <c r="M9" s="60"/>
      <c r="N9" s="83">
        <f ca="1">IF(ISBLANK($O9),IF($G9="","",_xll.meLWOAssetSwapSpread($AB9,$AA9,$L9,_xll.meUtilityLVBFromKeysValues($S$6:$V$6,S9:V9),INDIRECT("Fixings"&amp;$D9&amp;IF($I9="QUARTERLY","3ML","6ML")))),$O9)</f>
        <v>139.69258978764057</v>
      </c>
      <c r="O9" s="60"/>
      <c r="P9" s="84">
        <f ca="1">IF($C9="","",_xll.meLWOAssetSwapSpreadToCleanPrice($AC9,$N9,INDIRECT("ValuationSettings"&amp;$D9),INDIRECT("Fixings"&amp;$D9&amp;IF($E9="QUARTERLY","3ML","6ML"))))</f>
        <v>102.38380729226269</v>
      </c>
      <c r="Q9" s="84">
        <f ca="1">IF($C9="","",_xll.meLWOBondPriceFromCleanToDirty($AD9,V9,$P9))</f>
        <v>102.59069618115157</v>
      </c>
      <c r="R9" s="98">
        <f ca="1">IF($C9="","",_xll.meLWOBondYield($AD9,V9,IF($GZ9,$P9,$Q9)))</f>
        <v>3.5298109128315831E-2</v>
      </c>
      <c r="S9" s="98" t="str">
        <f t="shared" ca="1" si="0"/>
        <v>USDYC</v>
      </c>
      <c r="T9" s="98" t="str">
        <f t="shared" ca="1" si="1"/>
        <v>AUDYC</v>
      </c>
      <c r="U9" s="129">
        <f ca="1">IF($C9="","",_xll.BDH(D9&amp;H9&amp;" Curncy","MID",Settings.ValuationDate,Settings.ValuationDate))</f>
        <v>0.72714000000000001</v>
      </c>
      <c r="V9" s="127">
        <f t="shared" ca="1" si="45"/>
        <v>43500</v>
      </c>
      <c r="W9" s="292" t="b">
        <v>0</v>
      </c>
      <c r="X9" s="98" t="str">
        <f t="shared" si="2"/>
        <v>USD</v>
      </c>
      <c r="Y9" s="98"/>
      <c r="Z9" s="101">
        <v>3</v>
      </c>
      <c r="AA9" s="53" t="str">
        <f ca="1">IF($G9="","",IF(LEFT(AG9,1)="#","#LOADING",_xll.meLWOBondCreateFromLVB("PROXY_BOND_"&amp;$AI9,_xll.meUtilityLVBFromKeysValues($AF$6:$BD$6,$AF9:$BD9))))</f>
        <v>PROXY_BOND_USJ46186BC59@86:12</v>
      </c>
      <c r="AB9" s="135" t="str">
        <f ca="1">IF($G9="","",_xll.meLWOXccySwapCreate("PROXY_XCCY_ASW_"&amp;$AI9,_xll.meUtilityLVBFromKeysAndMultipleValues($BG$6:$CN$6,$BG9:$CN9,$CP9:$DW9),_xll.meUtilityLVBFromKeysValues($W$6:$Y$6,W9:Y9)))</f>
        <v>PROXY_XCCY_ASW_USJ46186BC59@100:12</v>
      </c>
      <c r="AC9" s="53" t="str">
        <f ca="1">IF($C9="","",_xll.meLWOSwapCreate("BOND_ASW_"&amp;$GX9,_xll.meUtilityLVBFromKeysAndMultipleValues($EA$6:$FH$6,$EA9:$FH9,$FJ9:$GQ9)))</f>
        <v>BOND_ASW_XS1344710857@96:12</v>
      </c>
      <c r="AD9" s="53" t="str">
        <f ca="1">IF($C9="","",IF(LEFT(GV9,1)="#","#LOADING",_xll.meLWOBondCreateFromLVB("PROXY_BOND_"&amp;$GX9,_xll.meUtilityLVBFromKeysValues($GU$6:$HS$6,$GU9:$HS9))))</f>
        <v>PROXY_BOND_XS1344710857@85:12</v>
      </c>
      <c r="AE9" t="s">
        <v>0</v>
      </c>
      <c r="AF9" s="62" t="str">
        <f t="shared" si="46"/>
        <v>MIZUHO BANK LTD</v>
      </c>
      <c r="AG9" s="63" t="str">
        <f ca="1">IF(LEFT(_xll.BDP($G9,AG$5),1)="#","#LOADING",_xll.BDP($G9,AG$5))</f>
        <v>FIXED</v>
      </c>
      <c r="AH9" s="41" t="str">
        <f t="shared" si="47"/>
        <v>USD</v>
      </c>
      <c r="AI9" s="63" t="str">
        <f ca="1">IF(LEFT(_xll.BDP($G9,AI$5),1)="#","#LOADING",_xll.BDP($G9,AI$5))</f>
        <v>USJ46186BC59</v>
      </c>
      <c r="AJ9" s="64" t="s">
        <v>20</v>
      </c>
      <c r="AK9" s="63" t="b">
        <f ca="1">IF(LEFT(_xll.BDP($G9,AK$5),1)="#","#LOADING",IF(_xll.BDP($G9,AK$5)="CLEAN",TRUE,FALSE))</f>
        <v>1</v>
      </c>
      <c r="AL9" s="64" t="s">
        <v>26</v>
      </c>
      <c r="AM9" s="61" t="s">
        <v>18</v>
      </c>
      <c r="AN9" s="65" t="s">
        <v>28</v>
      </c>
      <c r="AO9" s="66">
        <v>1000000</v>
      </c>
      <c r="AP9" s="63">
        <f ca="1">IF(LEFT(_xll.BDP($G9,AP$5),1)="#","#LOADING",DATEVALUE(_xll.BDP($G9,AP$5)))</f>
        <v>42089</v>
      </c>
      <c r="AQ9" s="63">
        <f ca="1">IF(LEFT(_xll.BDP($G9,AQ$5),1)="#","#LOADING",DATEVALUE(_xll.BDP($G9,AQ$5)))</f>
        <v>42089</v>
      </c>
      <c r="AR9" s="63">
        <f ca="1">IF(LEFT(_xll.BDP($G9,AR$5),1)="#","#LOADING",DATEVALUE(_xll.BDP($G9,AR$5)))</f>
        <v>42273</v>
      </c>
      <c r="AS9" s="63">
        <f ca="1">IF(LEFT(_xll.BDP($G9,AS$5),1)="#","#LOADING",DATEVALUE(_xll.BDP($G9,AS$5)))</f>
        <v>45561</v>
      </c>
      <c r="AT9" s="63">
        <f ca="1">IF(LEFT(_xll.BDP($G9,AT$5),1)="#","#LOADING",DATEVALUE(_xll.BDP($G9,AT$5)))</f>
        <v>45742</v>
      </c>
      <c r="AU9" s="67">
        <f ca="1">IF(LEFT(_xll.BDP($G9,AU$5),1)="#","#LOADING",_xll.BDP($G9,AU$5)%)</f>
        <v>3.2000000000000001E-2</v>
      </c>
      <c r="AV9" s="67" t="str">
        <f ca="1">IF(LEFT(_xll.BDP($G9,AV$5),1)="#","#LOADING",VLOOKUP(_xll.BDP($G9,AV$5),Static.CouponFrequency,2,FALSE))</f>
        <v>SEMI-ANNUAL</v>
      </c>
      <c r="AW9" s="68" t="s">
        <v>51</v>
      </c>
      <c r="AX9" s="53" t="str">
        <f t="shared" si="3"/>
        <v>NYB</v>
      </c>
      <c r="AY9" s="61" t="s">
        <v>51</v>
      </c>
      <c r="AZ9" s="53" t="str">
        <f t="shared" si="4"/>
        <v>NYB</v>
      </c>
      <c r="BA9" s="61" t="s">
        <v>62</v>
      </c>
      <c r="BB9" s="69" t="str">
        <f ca="1">IF(LEFT(_xll.BDP($G9,BB$5),1)="#","#LOADING",_xll.BDP($G9,BB$5))</f>
        <v>ISMA-30/360</v>
      </c>
      <c r="BC9" s="70"/>
      <c r="BD9" s="69" t="str">
        <f ca="1">IF(LEFT(_xll.BDP($G9,BD$5),1)="#","#LOADING","Type"&amp;IF(_xll.BDP($G9,BD$5)=999,1,_xll.BDP($G9,BD$5)))</f>
        <v>Type1</v>
      </c>
      <c r="BE9" s="54"/>
      <c r="BG9" s="61" t="s">
        <v>7</v>
      </c>
      <c r="BH9" s="66">
        <v>1000000</v>
      </c>
      <c r="BI9" s="61" t="s">
        <v>212</v>
      </c>
      <c r="BJ9" s="61" t="s">
        <v>17</v>
      </c>
      <c r="BK9" s="70"/>
      <c r="BL9" s="73" t="str">
        <f t="shared" si="5"/>
        <v>USDOIS</v>
      </c>
      <c r="BM9" s="74" t="str">
        <f t="shared" si="6"/>
        <v>USD</v>
      </c>
      <c r="BN9" s="71">
        <v>1</v>
      </c>
      <c r="BO9" s="75">
        <f t="shared" ca="1" si="7"/>
        <v>3.2000000000000001E-2</v>
      </c>
      <c r="BP9" s="61"/>
      <c r="BQ9" s="61"/>
      <c r="BR9" s="72"/>
      <c r="BS9" s="72"/>
      <c r="BT9" s="71"/>
      <c r="BU9" s="76">
        <f t="shared" ca="1" si="8"/>
        <v>42089</v>
      </c>
      <c r="BV9" s="76">
        <f t="shared" ca="1" si="9"/>
        <v>45742</v>
      </c>
      <c r="BW9" s="77" t="str">
        <f t="shared" ca="1" si="10"/>
        <v>SEMI-ANNUAL</v>
      </c>
      <c r="BX9" s="77" t="str">
        <f t="shared" ca="1" si="10"/>
        <v>SEMI-ANNUAL</v>
      </c>
      <c r="BY9" s="78" t="str">
        <f t="shared" ca="1" si="11"/>
        <v>ISMA-30/360</v>
      </c>
      <c r="BZ9" s="61"/>
      <c r="CA9" s="61"/>
      <c r="CB9" s="61" t="s">
        <v>51</v>
      </c>
      <c r="CC9" s="73" t="str">
        <f t="shared" si="12"/>
        <v>NYB</v>
      </c>
      <c r="CD9" s="61" t="s">
        <v>51</v>
      </c>
      <c r="CE9" s="73" t="str">
        <f t="shared" si="13"/>
        <v>NYB</v>
      </c>
      <c r="CF9" s="76">
        <f t="shared" ca="1" si="14"/>
        <v>42273</v>
      </c>
      <c r="CG9" s="76">
        <f t="shared" ca="1" si="15"/>
        <v>45561</v>
      </c>
      <c r="CH9" s="70" t="s">
        <v>80</v>
      </c>
      <c r="CI9" s="61"/>
      <c r="CJ9" s="61"/>
      <c r="CK9" s="61" t="s">
        <v>62</v>
      </c>
      <c r="CL9" s="61"/>
      <c r="CM9" s="61"/>
      <c r="CN9" s="76" t="str">
        <f t="shared" ca="1" si="16"/>
        <v>Type1</v>
      </c>
      <c r="CP9" s="61" t="s">
        <v>8</v>
      </c>
      <c r="CQ9" s="66">
        <f t="shared" ca="1" si="17"/>
        <v>1375250.9833044531</v>
      </c>
      <c r="CR9" s="61" t="str">
        <f t="shared" si="48"/>
        <v>END</v>
      </c>
      <c r="CS9" s="61" t="s">
        <v>18</v>
      </c>
      <c r="CT9" s="135" t="str">
        <f t="shared" si="18"/>
        <v>AUD3ML</v>
      </c>
      <c r="CU9" s="135" t="str">
        <f t="shared" si="49"/>
        <v>AUDDF_USDCSA</v>
      </c>
      <c r="CV9" s="134" t="str">
        <f t="shared" si="50"/>
        <v>AUD</v>
      </c>
      <c r="CW9" s="71">
        <v>1</v>
      </c>
      <c r="CX9" s="81"/>
      <c r="CY9" s="61" t="s">
        <v>32</v>
      </c>
      <c r="CZ9" s="61" t="s">
        <v>32</v>
      </c>
      <c r="DA9" s="72"/>
      <c r="DB9" s="72"/>
      <c r="DC9" s="71"/>
      <c r="DD9" s="291">
        <f t="shared" ca="1" si="51"/>
        <v>42089</v>
      </c>
      <c r="DE9" s="291">
        <f t="shared" ca="1" si="52"/>
        <v>45742</v>
      </c>
      <c r="DF9" s="53" t="str">
        <f t="shared" si="53"/>
        <v>QUARTERLY</v>
      </c>
      <c r="DG9" s="82" t="str">
        <f t="shared" si="54"/>
        <v>QUARTERLY</v>
      </c>
      <c r="DH9" s="82" t="str">
        <f t="shared" si="55"/>
        <v>ACT/365</v>
      </c>
      <c r="DI9" s="61" t="str">
        <f t="shared" si="56"/>
        <v>PRECEDING</v>
      </c>
      <c r="DJ9" s="82" t="str">
        <f t="shared" si="57"/>
        <v>SYB:LNB</v>
      </c>
      <c r="DK9" s="61" t="str">
        <f t="shared" si="58"/>
        <v>NO_CHANGE</v>
      </c>
      <c r="DL9" s="82" t="str">
        <f t="shared" si="59"/>
        <v>SYB</v>
      </c>
      <c r="DM9" s="61" t="str">
        <f t="shared" si="60"/>
        <v>NO_CHANGE</v>
      </c>
      <c r="DN9" s="82" t="str">
        <f t="shared" si="61"/>
        <v>SYB</v>
      </c>
      <c r="DO9" s="82"/>
      <c r="DP9" s="82"/>
      <c r="DQ9" s="70"/>
      <c r="DR9" s="61" t="str">
        <f t="shared" si="62"/>
        <v>0D</v>
      </c>
      <c r="DS9" s="61"/>
      <c r="DT9" s="61" t="str">
        <f t="shared" si="63"/>
        <v>0D</v>
      </c>
      <c r="DU9" s="61" t="str">
        <f t="shared" si="64"/>
        <v>SHORTSTART</v>
      </c>
      <c r="DV9" s="61" t="b">
        <v>0</v>
      </c>
      <c r="DW9" s="82"/>
      <c r="EA9" s="61" t="s">
        <v>7</v>
      </c>
      <c r="EB9" s="66">
        <v>1000000</v>
      </c>
      <c r="EC9" s="61" t="s">
        <v>14</v>
      </c>
      <c r="ED9" s="61" t="s">
        <v>17</v>
      </c>
      <c r="EE9" s="70"/>
      <c r="EF9" s="73" t="str">
        <f t="shared" si="19"/>
        <v>AUDOIS</v>
      </c>
      <c r="EG9" s="74" t="str">
        <f t="shared" si="20"/>
        <v>AUD</v>
      </c>
      <c r="EH9" s="71">
        <v>1</v>
      </c>
      <c r="EI9" s="75">
        <f ca="1">$HJ9</f>
        <v>3.9199999999999999E-2</v>
      </c>
      <c r="EJ9" s="61"/>
      <c r="EK9" s="61"/>
      <c r="EL9" s="72"/>
      <c r="EM9" s="72"/>
      <c r="EN9" s="71"/>
      <c r="EO9" s="76">
        <f t="shared" ca="1" si="22"/>
        <v>42384</v>
      </c>
      <c r="EP9" s="76">
        <f t="shared" ca="1" si="23"/>
        <v>46037</v>
      </c>
      <c r="EQ9" s="77" t="str">
        <f t="shared" ca="1" si="24"/>
        <v>SEMI-ANNUAL</v>
      </c>
      <c r="ER9" s="77" t="str">
        <f t="shared" ca="1" si="24"/>
        <v>SEMI-ANNUAL</v>
      </c>
      <c r="ES9" s="78" t="str">
        <f t="shared" ca="1" si="25"/>
        <v>ISMA-30/360</v>
      </c>
      <c r="ET9" s="61"/>
      <c r="EU9" s="61"/>
      <c r="EV9" s="61" t="s">
        <v>51</v>
      </c>
      <c r="EW9" s="73" t="str">
        <f t="shared" si="26"/>
        <v>SYB</v>
      </c>
      <c r="EX9" s="61" t="s">
        <v>51</v>
      </c>
      <c r="EY9" s="73" t="str">
        <f t="shared" si="27"/>
        <v>SYB</v>
      </c>
      <c r="EZ9" s="76">
        <f t="shared" ca="1" si="28"/>
        <v>42566</v>
      </c>
      <c r="FA9" s="76">
        <f t="shared" ca="1" si="29"/>
        <v>45853</v>
      </c>
      <c r="FB9" s="70" t="s">
        <v>80</v>
      </c>
      <c r="FC9" s="61"/>
      <c r="FD9" s="61"/>
      <c r="FE9" s="61" t="s">
        <v>62</v>
      </c>
      <c r="FF9" s="61"/>
      <c r="FG9" s="61"/>
      <c r="FH9" s="76" t="str">
        <f t="shared" ca="1" si="30"/>
        <v>Type1</v>
      </c>
      <c r="FJ9" s="61" t="s">
        <v>8</v>
      </c>
      <c r="FK9" s="66">
        <v>1000000</v>
      </c>
      <c r="FL9" s="61" t="s">
        <v>14</v>
      </c>
      <c r="FM9" s="61" t="s">
        <v>18</v>
      </c>
      <c r="FN9" s="115" t="str">
        <f t="shared" si="31"/>
        <v>AUD3ML</v>
      </c>
      <c r="FO9" s="115" t="str">
        <f t="shared" si="32"/>
        <v>AUDOIS</v>
      </c>
      <c r="FP9" s="116" t="str">
        <f t="shared" si="65"/>
        <v>AUD</v>
      </c>
      <c r="FQ9" s="71">
        <v>1</v>
      </c>
      <c r="FR9" s="81"/>
      <c r="FS9" s="61" t="s">
        <v>32</v>
      </c>
      <c r="FT9" s="61" t="s">
        <v>32</v>
      </c>
      <c r="FU9" s="72"/>
      <c r="FV9" s="72"/>
      <c r="FW9" s="71"/>
      <c r="FX9" s="76">
        <f t="shared" ca="1" si="33"/>
        <v>42384</v>
      </c>
      <c r="FY9" s="76">
        <f t="shared" ca="1" si="34"/>
        <v>46037</v>
      </c>
      <c r="FZ9" s="73" t="str">
        <f t="shared" si="35"/>
        <v>QUARTERLY</v>
      </c>
      <c r="GA9" s="73" t="str">
        <f t="shared" si="35"/>
        <v>QUARTERLY</v>
      </c>
      <c r="GB9" s="73" t="str">
        <f t="shared" si="36"/>
        <v>ACT/365</v>
      </c>
      <c r="GC9" s="61" t="s">
        <v>58</v>
      </c>
      <c r="GD9" s="73" t="str">
        <f t="shared" si="37"/>
        <v>SYB:LNB</v>
      </c>
      <c r="GE9" s="61" t="s">
        <v>51</v>
      </c>
      <c r="GF9" s="73" t="str">
        <f t="shared" si="38"/>
        <v>SYB</v>
      </c>
      <c r="GG9" s="61" t="s">
        <v>51</v>
      </c>
      <c r="GH9" s="73" t="str">
        <f t="shared" si="39"/>
        <v>SYB</v>
      </c>
      <c r="GI9" s="82"/>
      <c r="GJ9" s="82"/>
      <c r="GK9" s="70"/>
      <c r="GL9" s="61" t="s">
        <v>62</v>
      </c>
      <c r="GM9" s="61"/>
      <c r="GN9" s="61" t="s">
        <v>62</v>
      </c>
      <c r="GO9" s="61" t="s">
        <v>75</v>
      </c>
      <c r="GP9" s="61" t="b">
        <v>0</v>
      </c>
      <c r="GQ9" s="82"/>
      <c r="GU9" s="95" t="str">
        <f t="shared" si="40"/>
        <v>MIZUHO BANK SYDNEY</v>
      </c>
      <c r="GV9" s="42" t="str">
        <f ca="1">IF(LEFT(_xll.BDP($C9,GV$5),1)="#","#LOADING",_xll.BDP($C9,GV$5))</f>
        <v>FIXED</v>
      </c>
      <c r="GW9" s="74" t="str">
        <f t="shared" si="41"/>
        <v>AUD</v>
      </c>
      <c r="GX9" s="74" t="str">
        <f t="shared" si="42"/>
        <v>XS1344710857</v>
      </c>
      <c r="GY9" s="64" t="s">
        <v>20</v>
      </c>
      <c r="GZ9" s="42" t="b">
        <f ca="1">IF(LEFT(_xll.BDP($C9,GZ$5),1)="#","#LOADING",IF(_xll.BDP($C9,GZ$5)="CLEAN",TRUE,FALSE))</f>
        <v>1</v>
      </c>
      <c r="HA9" s="64" t="s">
        <v>26</v>
      </c>
      <c r="HB9" s="61" t="s">
        <v>18</v>
      </c>
      <c r="HC9" s="65" t="s">
        <v>28</v>
      </c>
      <c r="HD9" s="66">
        <v>1000000</v>
      </c>
      <c r="HE9" s="96">
        <f ca="1">IF(LEFT(_xll.BDP($C9,HE$5),1)="#","#LOADING",DATEVALUE(_xll.BDP($C9,HE$5)))</f>
        <v>42384</v>
      </c>
      <c r="HF9" s="96">
        <f ca="1">IF(LEFT(_xll.BDP($C9,HF$5),1)="#","#LOADING",DATEVALUE(_xll.BDP($C9,HF$5)))</f>
        <v>42384</v>
      </c>
      <c r="HG9" s="96">
        <f ca="1">IF(LEFT(_xll.BDP($C9,HG$5),1)="#","#LOADING",DATEVALUE(_xll.BDP($C9,HG$5)))</f>
        <v>42566</v>
      </c>
      <c r="HH9" s="96">
        <f ca="1">IF(LEFT(_xll.BDP($C9,HH$5),1)="#","#LOADING",DATEVALUE(_xll.BDP($C9,HH$5)))</f>
        <v>45853</v>
      </c>
      <c r="HI9" s="96">
        <f ca="1">IF(LEFT(_xll.BDP($C9,HI$5),1)="#","#LOADING",DATEVALUE(_xll.BDP($C9,HI$5)))</f>
        <v>46037</v>
      </c>
      <c r="HJ9" s="97">
        <f ca="1">IF(LEFT(_xll.BDP($C9,HJ$5),1)="#","#LOADING",_xll.BDP($C9,HJ$5)%)</f>
        <v>3.9199999999999999E-2</v>
      </c>
      <c r="HK9" s="97" t="str">
        <f ca="1">IF(LEFT(_xll.BDP($C9,HK$5),1)="#","#LOADING",VLOOKUP(_xll.BDP($C9,HK$5),Static.CouponFrequency,2,FALSE))</f>
        <v>SEMI-ANNUAL</v>
      </c>
      <c r="HL9" s="68" t="s">
        <v>51</v>
      </c>
      <c r="HM9" s="73" t="str">
        <f t="shared" si="43"/>
        <v>SYB</v>
      </c>
      <c r="HN9" s="61" t="s">
        <v>51</v>
      </c>
      <c r="HO9" s="73" t="str">
        <f t="shared" si="44"/>
        <v>SYB</v>
      </c>
      <c r="HP9" s="61" t="s">
        <v>62</v>
      </c>
      <c r="HQ9" s="43" t="str">
        <f ca="1">IF(LEFT(_xll.BDP($C9,HQ$5),1)="#","#LOADING",_xll.BDP($C9,HQ$5))</f>
        <v>ISMA-30/360</v>
      </c>
      <c r="HR9" s="70"/>
      <c r="HS9" s="43" t="str">
        <f ca="1">IF(LEFT(_xll.BDP($C9,HS$5),1)="#","#LOADING","Type"&amp;IF(_xll.BDP($C9,HS$5)=999,1,_xll.BDP($C9,HS$5)))</f>
        <v>Type1</v>
      </c>
    </row>
    <row r="10" spans="1:228">
      <c r="A10" s="101">
        <v>4</v>
      </c>
      <c r="B10" s="57" t="s">
        <v>200</v>
      </c>
      <c r="C10" s="57" t="s">
        <v>201</v>
      </c>
      <c r="D10" s="57" t="s">
        <v>12</v>
      </c>
      <c r="E10" s="57" t="s">
        <v>35</v>
      </c>
      <c r="F10" s="57" t="s">
        <v>202</v>
      </c>
      <c r="G10" s="57" t="s">
        <v>203</v>
      </c>
      <c r="H10" s="57" t="s">
        <v>101</v>
      </c>
      <c r="I10" s="57" t="s">
        <v>35</v>
      </c>
      <c r="J10" s="101">
        <v>4</v>
      </c>
      <c r="K10" s="58" t="s">
        <v>163</v>
      </c>
      <c r="L10" s="59">
        <f ca="1">IF(ISBLANK(M10),IF($G10="","",_xll.BDP(AI10&amp;" "&amp;$K10&amp;" Corp","PX_LAST")),M10)</f>
        <v>97.512</v>
      </c>
      <c r="M10" s="60"/>
      <c r="N10" s="83">
        <f ca="1">IF(ISBLANK($O10),IF($G10="","",_xll.meLWOAssetSwapSpread($AB10,$AA10,$L10,_xll.meUtilityLVBFromKeysValues($S$6:$V$6,S10:V10),INDIRECT("Fixings"&amp;$D10&amp;IF($I10="QUARTERLY","3ML","6ML")))),$O10)</f>
        <v>139.69258978764057</v>
      </c>
      <c r="O10" s="60"/>
      <c r="P10" s="84">
        <f ca="1">IF($C10="","",_xll.meLWOAssetSwapSpreadToCleanPrice($AC10,$N10,INDIRECT("ValuationSettings"&amp;$D10),INDIRECT("Fixings"&amp;$D10&amp;IF($E10="QUARTERLY","3ML","6ML"))))</f>
        <v>102.38380729226269</v>
      </c>
      <c r="Q10" s="84">
        <f ca="1">IF($C10="","",_xll.meLWOBondPriceFromCleanToDirty($AD10,V10,$P10))</f>
        <v>102.59069618115157</v>
      </c>
      <c r="R10" s="98">
        <f ca="1">IF($C10="","",_xll.meLWOBondYield($AD10,V10,IF($GZ10,$P10,$Q10)))</f>
        <v>3.5298109128315831E-2</v>
      </c>
      <c r="S10" s="98" t="str">
        <f t="shared" ca="1" si="0"/>
        <v>USDYC</v>
      </c>
      <c r="T10" s="98" t="str">
        <f t="shared" ca="1" si="1"/>
        <v>AUDYC</v>
      </c>
      <c r="U10" s="129">
        <f ca="1">IF($C10="","",_xll.BDH(D10&amp;H10&amp;" Curncy","MID",Settings.ValuationDate,Settings.ValuationDate))</f>
        <v>0.72714000000000001</v>
      </c>
      <c r="V10" s="127">
        <f t="shared" ca="1" si="45"/>
        <v>43500</v>
      </c>
      <c r="W10" s="292" t="b">
        <v>0</v>
      </c>
      <c r="X10" s="98" t="str">
        <f t="shared" si="2"/>
        <v>USD</v>
      </c>
      <c r="Y10" s="98"/>
      <c r="Z10" s="101">
        <v>4</v>
      </c>
      <c r="AA10" s="53" t="str">
        <f ca="1">IF($G10="","",IF(LEFT(AG10,1)="#","#LOADING",_xll.meLWOBondCreateFromLVB("PROXY_BOND_"&amp;$AI10,_xll.meUtilityLVBFromKeysValues($AF$6:$BD$6,$AF10:$BD10))))</f>
        <v>PROXY_BOND_USJ46186BC59@87:12</v>
      </c>
      <c r="AB10" s="135" t="str">
        <f ca="1">IF($G10="","",_xll.meLWOXccySwapCreate("PROXY_XCCY_ASW_"&amp;$AI10,_xll.meUtilityLVBFromKeysAndMultipleValues($BG$6:$CN$6,$BG10:$CN10,$CP10:$DW10),_xll.meUtilityLVBFromKeysValues($W$6:$Y$6,W10:Y10)))</f>
        <v>PROXY_XCCY_ASW_USJ46186BC59@97:12</v>
      </c>
      <c r="AC10" s="53" t="str">
        <f ca="1">IF($C10="","",_xll.meLWOSwapCreate("BOND_ASW_"&amp;$GX10,_xll.meUtilityLVBFromKeysAndMultipleValues($EA$6:$FH$6,$EA10:$FH10,$FJ10:$GQ10)))</f>
        <v>BOND_ASW_XS1344710857@92:12</v>
      </c>
      <c r="AD10" s="53" t="str">
        <f ca="1">IF($C10="","",IF(LEFT(GV10,1)="#","#LOADING",_xll.meLWOBondCreateFromLVB("PROXY_BOND_"&amp;$GX10,_xll.meUtilityLVBFromKeysValues($GU$6:$HS$6,$GU10:$HS10))))</f>
        <v>PROXY_BOND_XS1344710857@88:12</v>
      </c>
      <c r="AE10" t="s">
        <v>0</v>
      </c>
      <c r="AF10" s="62" t="str">
        <f t="shared" si="46"/>
        <v>MIZUHO BANK LTD</v>
      </c>
      <c r="AG10" s="63" t="str">
        <f ca="1">IF(LEFT(_xll.BDP($G10,AG$5),1)="#","#LOADING",_xll.BDP($G10,AG$5))</f>
        <v>FIXED</v>
      </c>
      <c r="AH10" s="41" t="str">
        <f t="shared" si="47"/>
        <v>USD</v>
      </c>
      <c r="AI10" s="63" t="str">
        <f ca="1">IF(LEFT(_xll.BDP($G10,AI$5),1)="#","#LOADING",_xll.BDP($G10,AI$5))</f>
        <v>USJ46186BC59</v>
      </c>
      <c r="AJ10" s="64" t="s">
        <v>20</v>
      </c>
      <c r="AK10" s="63" t="b">
        <f ca="1">IF(LEFT(_xll.BDP($G10,AK$5),1)="#","#LOADING",IF(_xll.BDP($G10,AK$5)="CLEAN",TRUE,FALSE))</f>
        <v>1</v>
      </c>
      <c r="AL10" s="64" t="s">
        <v>26</v>
      </c>
      <c r="AM10" s="61" t="s">
        <v>18</v>
      </c>
      <c r="AN10" s="65" t="s">
        <v>28</v>
      </c>
      <c r="AO10" s="66">
        <v>1000000</v>
      </c>
      <c r="AP10" s="63">
        <f ca="1">IF(LEFT(_xll.BDP($G10,AP$5),1)="#","#LOADING",DATEVALUE(_xll.BDP($G10,AP$5)))</f>
        <v>42089</v>
      </c>
      <c r="AQ10" s="63">
        <f ca="1">IF(LEFT(_xll.BDP($G10,AQ$5),1)="#","#LOADING",DATEVALUE(_xll.BDP($G10,AQ$5)))</f>
        <v>42089</v>
      </c>
      <c r="AR10" s="63">
        <f ca="1">IF(LEFT(_xll.BDP($G10,AR$5),1)="#","#LOADING",DATEVALUE(_xll.BDP($G10,AR$5)))</f>
        <v>42273</v>
      </c>
      <c r="AS10" s="63">
        <f ca="1">IF(LEFT(_xll.BDP($G10,AS$5),1)="#","#LOADING",DATEVALUE(_xll.BDP($G10,AS$5)))</f>
        <v>45561</v>
      </c>
      <c r="AT10" s="63">
        <f ca="1">IF(LEFT(_xll.BDP($G10,AT$5),1)="#","#LOADING",DATEVALUE(_xll.BDP($G10,AT$5)))</f>
        <v>45742</v>
      </c>
      <c r="AU10" s="67">
        <f ca="1">IF(LEFT(_xll.BDP($G10,AU$5),1)="#","#LOADING",_xll.BDP($G10,AU$5)%)</f>
        <v>3.2000000000000001E-2</v>
      </c>
      <c r="AV10" s="67" t="str">
        <f ca="1">IF(LEFT(_xll.BDP($G10,AV$5),1)="#","#LOADING",VLOOKUP(_xll.BDP($G10,AV$5),Static.CouponFrequency,2,FALSE))</f>
        <v>SEMI-ANNUAL</v>
      </c>
      <c r="AW10" s="68" t="s">
        <v>51</v>
      </c>
      <c r="AX10" s="53" t="str">
        <f t="shared" si="3"/>
        <v>NYB</v>
      </c>
      <c r="AY10" s="61" t="s">
        <v>51</v>
      </c>
      <c r="AZ10" s="53" t="str">
        <f t="shared" si="4"/>
        <v>NYB</v>
      </c>
      <c r="BA10" s="61" t="s">
        <v>62</v>
      </c>
      <c r="BB10" s="69" t="str">
        <f ca="1">IF(LEFT(_xll.BDP($G10,BB$5),1)="#","#LOADING",_xll.BDP($G10,BB$5))</f>
        <v>ISMA-30/360</v>
      </c>
      <c r="BC10" s="70"/>
      <c r="BD10" s="69" t="str">
        <f ca="1">IF(LEFT(_xll.BDP($G10,BD$5),1)="#","#LOADING","Type"&amp;IF(_xll.BDP($G10,BD$5)=999,1,_xll.BDP($G10,BD$5)))</f>
        <v>Type1</v>
      </c>
      <c r="BE10" s="54"/>
      <c r="BG10" s="61" t="s">
        <v>7</v>
      </c>
      <c r="BH10" s="66">
        <v>1000000</v>
      </c>
      <c r="BI10" s="61" t="s">
        <v>212</v>
      </c>
      <c r="BJ10" s="61" t="s">
        <v>17</v>
      </c>
      <c r="BK10" s="70"/>
      <c r="BL10" s="73" t="str">
        <f t="shared" si="5"/>
        <v>USDOIS</v>
      </c>
      <c r="BM10" s="74" t="str">
        <f t="shared" si="6"/>
        <v>USD</v>
      </c>
      <c r="BN10" s="71">
        <v>1</v>
      </c>
      <c r="BO10" s="75">
        <f t="shared" ca="1" si="7"/>
        <v>3.2000000000000001E-2</v>
      </c>
      <c r="BP10" s="61"/>
      <c r="BQ10" s="61"/>
      <c r="BR10" s="72"/>
      <c r="BS10" s="72"/>
      <c r="BT10" s="71"/>
      <c r="BU10" s="76">
        <f t="shared" ca="1" si="8"/>
        <v>42089</v>
      </c>
      <c r="BV10" s="76">
        <f t="shared" ca="1" si="9"/>
        <v>45742</v>
      </c>
      <c r="BW10" s="77" t="str">
        <f t="shared" ca="1" si="10"/>
        <v>SEMI-ANNUAL</v>
      </c>
      <c r="BX10" s="77" t="str">
        <f t="shared" ca="1" si="10"/>
        <v>SEMI-ANNUAL</v>
      </c>
      <c r="BY10" s="78" t="str">
        <f t="shared" ca="1" si="11"/>
        <v>ISMA-30/360</v>
      </c>
      <c r="BZ10" s="61"/>
      <c r="CA10" s="61"/>
      <c r="CB10" s="61" t="s">
        <v>51</v>
      </c>
      <c r="CC10" s="73" t="str">
        <f t="shared" si="12"/>
        <v>NYB</v>
      </c>
      <c r="CD10" s="61" t="s">
        <v>51</v>
      </c>
      <c r="CE10" s="73" t="str">
        <f t="shared" si="13"/>
        <v>NYB</v>
      </c>
      <c r="CF10" s="76">
        <f t="shared" ca="1" si="14"/>
        <v>42273</v>
      </c>
      <c r="CG10" s="76">
        <f t="shared" ca="1" si="15"/>
        <v>45561</v>
      </c>
      <c r="CH10" s="70" t="s">
        <v>80</v>
      </c>
      <c r="CI10" s="61"/>
      <c r="CJ10" s="61"/>
      <c r="CK10" s="61" t="s">
        <v>62</v>
      </c>
      <c r="CL10" s="61"/>
      <c r="CM10" s="61"/>
      <c r="CN10" s="76" t="str">
        <f t="shared" ca="1" si="16"/>
        <v>Type1</v>
      </c>
      <c r="CP10" s="61" t="s">
        <v>8</v>
      </c>
      <c r="CQ10" s="66">
        <f t="shared" ca="1" si="17"/>
        <v>1375250.9833044531</v>
      </c>
      <c r="CR10" s="61" t="str">
        <f t="shared" si="48"/>
        <v>END</v>
      </c>
      <c r="CS10" s="61" t="s">
        <v>18</v>
      </c>
      <c r="CT10" s="135" t="str">
        <f t="shared" si="18"/>
        <v>AUD3ML</v>
      </c>
      <c r="CU10" s="135" t="str">
        <f t="shared" si="49"/>
        <v>AUDDF_USDCSA</v>
      </c>
      <c r="CV10" s="134" t="str">
        <f t="shared" si="50"/>
        <v>AUD</v>
      </c>
      <c r="CW10" s="71">
        <v>1</v>
      </c>
      <c r="CX10" s="81"/>
      <c r="CY10" s="61" t="s">
        <v>32</v>
      </c>
      <c r="CZ10" s="61" t="s">
        <v>32</v>
      </c>
      <c r="DA10" s="72"/>
      <c r="DB10" s="72"/>
      <c r="DC10" s="71"/>
      <c r="DD10" s="291">
        <f t="shared" ca="1" si="51"/>
        <v>42089</v>
      </c>
      <c r="DE10" s="291">
        <f t="shared" ca="1" si="52"/>
        <v>45742</v>
      </c>
      <c r="DF10" s="53" t="str">
        <f t="shared" si="53"/>
        <v>QUARTERLY</v>
      </c>
      <c r="DG10" s="82" t="str">
        <f t="shared" si="54"/>
        <v>QUARTERLY</v>
      </c>
      <c r="DH10" s="82" t="str">
        <f t="shared" si="55"/>
        <v>ACT/365</v>
      </c>
      <c r="DI10" s="61" t="str">
        <f t="shared" si="56"/>
        <v>PRECEDING</v>
      </c>
      <c r="DJ10" s="82" t="str">
        <f t="shared" si="57"/>
        <v>SYB:LNB</v>
      </c>
      <c r="DK10" s="61" t="str">
        <f t="shared" si="58"/>
        <v>NO_CHANGE</v>
      </c>
      <c r="DL10" s="82" t="str">
        <f t="shared" si="59"/>
        <v>SYB</v>
      </c>
      <c r="DM10" s="61" t="str">
        <f t="shared" si="60"/>
        <v>NO_CHANGE</v>
      </c>
      <c r="DN10" s="82" t="str">
        <f t="shared" si="61"/>
        <v>SYB</v>
      </c>
      <c r="DO10" s="82"/>
      <c r="DP10" s="82"/>
      <c r="DQ10" s="70"/>
      <c r="DR10" s="61" t="str">
        <f t="shared" si="62"/>
        <v>0D</v>
      </c>
      <c r="DS10" s="61"/>
      <c r="DT10" s="61" t="str">
        <f t="shared" si="63"/>
        <v>0D</v>
      </c>
      <c r="DU10" s="61" t="str">
        <f t="shared" si="64"/>
        <v>SHORTSTART</v>
      </c>
      <c r="DV10" s="61" t="b">
        <v>0</v>
      </c>
      <c r="DW10" s="82"/>
      <c r="EA10" s="61" t="s">
        <v>7</v>
      </c>
      <c r="EB10" s="66">
        <v>1000000</v>
      </c>
      <c r="EC10" s="61" t="s">
        <v>14</v>
      </c>
      <c r="ED10" s="61" t="s">
        <v>17</v>
      </c>
      <c r="EE10" s="70"/>
      <c r="EF10" s="73" t="str">
        <f t="shared" si="19"/>
        <v>AUDOIS</v>
      </c>
      <c r="EG10" s="74" t="str">
        <f t="shared" si="20"/>
        <v>AUD</v>
      </c>
      <c r="EH10" s="71">
        <v>1</v>
      </c>
      <c r="EI10" s="75">
        <f ca="1">$HJ10</f>
        <v>3.9199999999999999E-2</v>
      </c>
      <c r="EJ10" s="61"/>
      <c r="EK10" s="61"/>
      <c r="EL10" s="72"/>
      <c r="EM10" s="72"/>
      <c r="EN10" s="71"/>
      <c r="EO10" s="76">
        <f t="shared" ca="1" si="22"/>
        <v>42384</v>
      </c>
      <c r="EP10" s="76">
        <f t="shared" ca="1" si="23"/>
        <v>46037</v>
      </c>
      <c r="EQ10" s="77" t="str">
        <f t="shared" ca="1" si="24"/>
        <v>SEMI-ANNUAL</v>
      </c>
      <c r="ER10" s="77" t="str">
        <f t="shared" ca="1" si="24"/>
        <v>SEMI-ANNUAL</v>
      </c>
      <c r="ES10" s="78" t="str">
        <f t="shared" ca="1" si="25"/>
        <v>ISMA-30/360</v>
      </c>
      <c r="ET10" s="61"/>
      <c r="EU10" s="61"/>
      <c r="EV10" s="61" t="s">
        <v>51</v>
      </c>
      <c r="EW10" s="73" t="str">
        <f t="shared" si="26"/>
        <v>SYB</v>
      </c>
      <c r="EX10" s="61" t="s">
        <v>51</v>
      </c>
      <c r="EY10" s="73" t="str">
        <f t="shared" si="27"/>
        <v>SYB</v>
      </c>
      <c r="EZ10" s="76">
        <f t="shared" ca="1" si="28"/>
        <v>42566</v>
      </c>
      <c r="FA10" s="76">
        <f t="shared" ca="1" si="29"/>
        <v>45853</v>
      </c>
      <c r="FB10" s="70" t="s">
        <v>80</v>
      </c>
      <c r="FC10" s="61"/>
      <c r="FD10" s="61"/>
      <c r="FE10" s="61" t="s">
        <v>62</v>
      </c>
      <c r="FF10" s="61"/>
      <c r="FG10" s="61"/>
      <c r="FH10" s="76" t="str">
        <f t="shared" ca="1" si="30"/>
        <v>Type1</v>
      </c>
      <c r="FJ10" s="61" t="s">
        <v>8</v>
      </c>
      <c r="FK10" s="66">
        <v>1000000</v>
      </c>
      <c r="FL10" s="61" t="s">
        <v>14</v>
      </c>
      <c r="FM10" s="61" t="s">
        <v>18</v>
      </c>
      <c r="FN10" s="115" t="str">
        <f t="shared" si="31"/>
        <v>AUD3ML</v>
      </c>
      <c r="FO10" s="115" t="str">
        <f t="shared" si="32"/>
        <v>AUDOIS</v>
      </c>
      <c r="FP10" s="116" t="str">
        <f t="shared" si="65"/>
        <v>AUD</v>
      </c>
      <c r="FQ10" s="71">
        <v>1</v>
      </c>
      <c r="FR10" s="81"/>
      <c r="FS10" s="61" t="s">
        <v>32</v>
      </c>
      <c r="FT10" s="61" t="s">
        <v>32</v>
      </c>
      <c r="FU10" s="72"/>
      <c r="FV10" s="72"/>
      <c r="FW10" s="71"/>
      <c r="FX10" s="76">
        <f t="shared" ca="1" si="33"/>
        <v>42384</v>
      </c>
      <c r="FY10" s="76">
        <f t="shared" ca="1" si="34"/>
        <v>46037</v>
      </c>
      <c r="FZ10" s="73" t="str">
        <f t="shared" si="35"/>
        <v>QUARTERLY</v>
      </c>
      <c r="GA10" s="73" t="str">
        <f t="shared" si="35"/>
        <v>QUARTERLY</v>
      </c>
      <c r="GB10" s="73" t="str">
        <f t="shared" si="36"/>
        <v>ACT/365</v>
      </c>
      <c r="GC10" s="61" t="s">
        <v>58</v>
      </c>
      <c r="GD10" s="73" t="str">
        <f t="shared" si="37"/>
        <v>SYB:LNB</v>
      </c>
      <c r="GE10" s="61" t="s">
        <v>51</v>
      </c>
      <c r="GF10" s="73" t="str">
        <f t="shared" si="38"/>
        <v>SYB</v>
      </c>
      <c r="GG10" s="61" t="s">
        <v>51</v>
      </c>
      <c r="GH10" s="73" t="str">
        <f t="shared" si="39"/>
        <v>SYB</v>
      </c>
      <c r="GI10" s="82"/>
      <c r="GJ10" s="82"/>
      <c r="GK10" s="70"/>
      <c r="GL10" s="61" t="s">
        <v>62</v>
      </c>
      <c r="GM10" s="61"/>
      <c r="GN10" s="61" t="s">
        <v>62</v>
      </c>
      <c r="GO10" s="61" t="s">
        <v>75</v>
      </c>
      <c r="GP10" s="61" t="b">
        <v>0</v>
      </c>
      <c r="GQ10" s="82"/>
      <c r="GU10" s="95" t="str">
        <f t="shared" si="40"/>
        <v>MIZUHO BANK SYDNEY</v>
      </c>
      <c r="GV10" s="42" t="str">
        <f ca="1">IF(LEFT(_xll.BDP($C10,GV$5),1)="#","#LOADING",_xll.BDP($C10,GV$5))</f>
        <v>FIXED</v>
      </c>
      <c r="GW10" s="74" t="str">
        <f t="shared" si="41"/>
        <v>AUD</v>
      </c>
      <c r="GX10" s="74" t="str">
        <f t="shared" si="42"/>
        <v>XS1344710857</v>
      </c>
      <c r="GY10" s="64" t="s">
        <v>20</v>
      </c>
      <c r="GZ10" s="42" t="b">
        <f ca="1">IF(LEFT(_xll.BDP($C10,GZ$5),1)="#","#LOADING",IF(_xll.BDP($C10,GZ$5)="CLEAN",TRUE,FALSE))</f>
        <v>1</v>
      </c>
      <c r="HA10" s="64" t="s">
        <v>26</v>
      </c>
      <c r="HB10" s="61" t="s">
        <v>18</v>
      </c>
      <c r="HC10" s="65" t="s">
        <v>28</v>
      </c>
      <c r="HD10" s="66">
        <v>1000000</v>
      </c>
      <c r="HE10" s="96">
        <f ca="1">IF(LEFT(_xll.BDP($C10,HE$5),1)="#","#LOADING",DATEVALUE(_xll.BDP($C10,HE$5)))</f>
        <v>42384</v>
      </c>
      <c r="HF10" s="96">
        <f ca="1">IF(LEFT(_xll.BDP($C10,HF$5),1)="#","#LOADING",DATEVALUE(_xll.BDP($C10,HF$5)))</f>
        <v>42384</v>
      </c>
      <c r="HG10" s="96">
        <f ca="1">IF(LEFT(_xll.BDP($C10,HG$5),1)="#","#LOADING",DATEVALUE(_xll.BDP($C10,HG$5)))</f>
        <v>42566</v>
      </c>
      <c r="HH10" s="96">
        <f ca="1">IF(LEFT(_xll.BDP($C10,HH$5),1)="#","#LOADING",DATEVALUE(_xll.BDP($C10,HH$5)))</f>
        <v>45853</v>
      </c>
      <c r="HI10" s="96">
        <f ca="1">IF(LEFT(_xll.BDP($C10,HI$5),1)="#","#LOADING",DATEVALUE(_xll.BDP($C10,HI$5)))</f>
        <v>46037</v>
      </c>
      <c r="HJ10" s="97">
        <f ca="1">IF(LEFT(_xll.BDP($C10,HJ$5),1)="#","#LOADING",_xll.BDP($C10,HJ$5)%)</f>
        <v>3.9199999999999999E-2</v>
      </c>
      <c r="HK10" s="97" t="str">
        <f ca="1">IF(LEFT(_xll.BDP($C10,HK$5),1)="#","#LOADING",VLOOKUP(_xll.BDP($C10,HK$5),Static.CouponFrequency,2,FALSE))</f>
        <v>SEMI-ANNUAL</v>
      </c>
      <c r="HL10" s="68" t="s">
        <v>51</v>
      </c>
      <c r="HM10" s="73" t="str">
        <f t="shared" si="43"/>
        <v>SYB</v>
      </c>
      <c r="HN10" s="61" t="s">
        <v>51</v>
      </c>
      <c r="HO10" s="73" t="str">
        <f t="shared" si="44"/>
        <v>SYB</v>
      </c>
      <c r="HP10" s="61" t="s">
        <v>62</v>
      </c>
      <c r="HQ10" s="43" t="str">
        <f ca="1">IF(LEFT(_xll.BDP($C10,HQ$5),1)="#","#LOADING",_xll.BDP($C10,HQ$5))</f>
        <v>ISMA-30/360</v>
      </c>
      <c r="HR10" s="70"/>
      <c r="HS10" s="43" t="str">
        <f ca="1">IF(LEFT(_xll.BDP($C10,HS$5),1)="#","#LOADING","Type"&amp;IF(_xll.BDP($C10,HS$5)=999,1,_xll.BDP($C10,HS$5)))</f>
        <v>Type1</v>
      </c>
    </row>
    <row r="11" spans="1:228">
      <c r="A11" s="101">
        <v>5</v>
      </c>
      <c r="B11" s="57" t="s">
        <v>200</v>
      </c>
      <c r="C11" s="57" t="s">
        <v>201</v>
      </c>
      <c r="D11" s="57" t="s">
        <v>12</v>
      </c>
      <c r="E11" s="57" t="s">
        <v>35</v>
      </c>
      <c r="F11" s="57" t="s">
        <v>202</v>
      </c>
      <c r="G11" s="57" t="s">
        <v>203</v>
      </c>
      <c r="H11" s="57" t="s">
        <v>101</v>
      </c>
      <c r="I11" s="57" t="s">
        <v>35</v>
      </c>
      <c r="J11" s="101">
        <v>5</v>
      </c>
      <c r="K11" s="58" t="s">
        <v>163</v>
      </c>
      <c r="L11" s="59">
        <f ca="1">IF(ISBLANK(M11),IF($G11="","",_xll.BDP(AI11&amp;" "&amp;$K11&amp;" Corp","PX_LAST")),M11)</f>
        <v>97.512</v>
      </c>
      <c r="M11" s="60"/>
      <c r="N11" s="83">
        <f ca="1">IF(ISBLANK($O11),IF($G11="","",_xll.meLWOAssetSwapSpread($AB11,$AA11,$L11,_xll.meUtilityLVBFromKeysValues($S$6:$V$6,S11:V11),INDIRECT("Fixings"&amp;$D11&amp;IF($I11="QUARTERLY","3ML","6ML")))),$O11)</f>
        <v>139.69258978764057</v>
      </c>
      <c r="O11" s="60"/>
      <c r="P11" s="84">
        <f ca="1">IF($C11="","",_xll.meLWOAssetSwapSpreadToCleanPrice($AC11,$N11,INDIRECT("ValuationSettings"&amp;$D11),INDIRECT("Fixings"&amp;$D11&amp;IF($E11="QUARTERLY","3ML","6ML"))))</f>
        <v>102.38380729226269</v>
      </c>
      <c r="Q11" s="84">
        <f ca="1">IF($C11="","",_xll.meLWOBondPriceFromCleanToDirty($AD11,V11,$P11))</f>
        <v>102.59069618115157</v>
      </c>
      <c r="R11" s="98">
        <f ca="1">IF($C11="","",_xll.meLWOBondYield($AD11,V11,IF($GZ11,$P11,$Q11)))</f>
        <v>3.5298109128315831E-2</v>
      </c>
      <c r="S11" s="98" t="str">
        <f t="shared" ca="1" si="0"/>
        <v>USDYC</v>
      </c>
      <c r="T11" s="98" t="str">
        <f t="shared" ca="1" si="1"/>
        <v>AUDYC</v>
      </c>
      <c r="U11" s="129">
        <f ca="1">IF($C11="","",_xll.BDH(D11&amp;H11&amp;" Curncy","MID",Settings.ValuationDate,Settings.ValuationDate))</f>
        <v>0.72714000000000001</v>
      </c>
      <c r="V11" s="127">
        <f t="shared" ca="1" si="45"/>
        <v>43500</v>
      </c>
      <c r="W11" s="292" t="b">
        <v>0</v>
      </c>
      <c r="X11" s="98" t="str">
        <f t="shared" si="2"/>
        <v>USD</v>
      </c>
      <c r="Y11" s="98"/>
      <c r="Z11" s="101">
        <v>5</v>
      </c>
      <c r="AA11" s="53" t="str">
        <f ca="1">IF($G11="","",IF(LEFT(AG11,1)="#","#LOADING",_xll.meLWOBondCreateFromLVB("PROXY_BOND_"&amp;$AI11,_xll.meUtilityLVBFromKeysValues($AF$6:$BD$6,$AF11:$BD11))))</f>
        <v>PROXY_BOND_USJ46186BC59@89:12</v>
      </c>
      <c r="AB11" s="135" t="str">
        <f ca="1">IF($G11="","",_xll.meLWOXccySwapCreate("PROXY_XCCY_ASW_"&amp;$AI11,_xll.meUtilityLVBFromKeysAndMultipleValues($BG$6:$CN$6,$BG11:$CN11,$CP11:$DW11),_xll.meUtilityLVBFromKeysValues($W$6:$Y$6,W11:Y11)))</f>
        <v>PROXY_XCCY_ASW_USJ46186BC59@98:12</v>
      </c>
      <c r="AC11" s="53" t="str">
        <f ca="1">IF($C11="","",_xll.meLWOSwapCreate("BOND_ASW_"&amp;$GX11,_xll.meUtilityLVBFromKeysAndMultipleValues($EA$6:$FH$6,$EA11:$FH11,$FJ11:$GQ11)))</f>
        <v>BOND_ASW_XS1344710857@95:12</v>
      </c>
      <c r="AD11" s="53" t="str">
        <f ca="1">IF($C11="","",IF(LEFT(GV11,1)="#","#LOADING",_xll.meLWOBondCreateFromLVB("PROXY_BOND_"&amp;$GX11,_xll.meUtilityLVBFromKeysValues($GU$6:$HS$6,$GU11:$HS11))))</f>
        <v>PROXY_BOND_XS1344710857@84:12</v>
      </c>
      <c r="AE11" t="s">
        <v>0</v>
      </c>
      <c r="AF11" s="62" t="str">
        <f t="shared" si="46"/>
        <v>MIZUHO BANK LTD</v>
      </c>
      <c r="AG11" s="63" t="str">
        <f ca="1">IF(LEFT(_xll.BDP($G11,AG$5),1)="#","#LOADING",_xll.BDP($G11,AG$5))</f>
        <v>FIXED</v>
      </c>
      <c r="AH11" s="41" t="str">
        <f t="shared" si="47"/>
        <v>USD</v>
      </c>
      <c r="AI11" s="63" t="str">
        <f ca="1">IF(LEFT(_xll.BDP($G11,AI$5),1)="#","#LOADING",_xll.BDP($G11,AI$5))</f>
        <v>USJ46186BC59</v>
      </c>
      <c r="AJ11" s="64" t="s">
        <v>20</v>
      </c>
      <c r="AK11" s="63" t="b">
        <f ca="1">IF(LEFT(_xll.BDP($G11,AK$5),1)="#","#LOADING",IF(_xll.BDP($G11,AK$5)="CLEAN",TRUE,FALSE))</f>
        <v>1</v>
      </c>
      <c r="AL11" s="64" t="s">
        <v>26</v>
      </c>
      <c r="AM11" s="61" t="s">
        <v>18</v>
      </c>
      <c r="AN11" s="65" t="s">
        <v>28</v>
      </c>
      <c r="AO11" s="66">
        <v>1000000</v>
      </c>
      <c r="AP11" s="63">
        <f ca="1">IF(LEFT(_xll.BDP($G11,AP$5),1)="#","#LOADING",DATEVALUE(_xll.BDP($G11,AP$5)))</f>
        <v>42089</v>
      </c>
      <c r="AQ11" s="63">
        <f ca="1">IF(LEFT(_xll.BDP($G11,AQ$5),1)="#","#LOADING",DATEVALUE(_xll.BDP($G11,AQ$5)))</f>
        <v>42089</v>
      </c>
      <c r="AR11" s="63">
        <f ca="1">IF(LEFT(_xll.BDP($G11,AR$5),1)="#","#LOADING",DATEVALUE(_xll.BDP($G11,AR$5)))</f>
        <v>42273</v>
      </c>
      <c r="AS11" s="63">
        <f ca="1">IF(LEFT(_xll.BDP($G11,AS$5),1)="#","#LOADING",DATEVALUE(_xll.BDP($G11,AS$5)))</f>
        <v>45561</v>
      </c>
      <c r="AT11" s="63">
        <f ca="1">IF(LEFT(_xll.BDP($G11,AT$5),1)="#","#LOADING",DATEVALUE(_xll.BDP($G11,AT$5)))</f>
        <v>45742</v>
      </c>
      <c r="AU11" s="67">
        <f ca="1">IF(LEFT(_xll.BDP($G11,AU$5),1)="#","#LOADING",_xll.BDP($G11,AU$5)%)</f>
        <v>3.2000000000000001E-2</v>
      </c>
      <c r="AV11" s="67" t="str">
        <f ca="1">IF(LEFT(_xll.BDP($G11,AV$5),1)="#","#LOADING",VLOOKUP(_xll.BDP($G11,AV$5),Static.CouponFrequency,2,FALSE))</f>
        <v>SEMI-ANNUAL</v>
      </c>
      <c r="AW11" s="68" t="s">
        <v>51</v>
      </c>
      <c r="AX11" s="53" t="str">
        <f t="shared" si="3"/>
        <v>NYB</v>
      </c>
      <c r="AY11" s="61" t="s">
        <v>51</v>
      </c>
      <c r="AZ11" s="53" t="str">
        <f t="shared" si="4"/>
        <v>NYB</v>
      </c>
      <c r="BA11" s="61" t="s">
        <v>62</v>
      </c>
      <c r="BB11" s="69" t="str">
        <f ca="1">IF(LEFT(_xll.BDP($G11,BB$5),1)="#","#LOADING",_xll.BDP($G11,BB$5))</f>
        <v>ISMA-30/360</v>
      </c>
      <c r="BC11" s="70"/>
      <c r="BD11" s="69" t="str">
        <f ca="1">IF(LEFT(_xll.BDP($G11,BD$5),1)="#","#LOADING","Type"&amp;IF(_xll.BDP($G11,BD$5)=999,1,_xll.BDP($G11,BD$5)))</f>
        <v>Type1</v>
      </c>
      <c r="BE11" s="54"/>
      <c r="BG11" s="61" t="s">
        <v>7</v>
      </c>
      <c r="BH11" s="66">
        <v>1000000</v>
      </c>
      <c r="BI11" s="61" t="s">
        <v>212</v>
      </c>
      <c r="BJ11" s="61" t="s">
        <v>17</v>
      </c>
      <c r="BK11" s="70"/>
      <c r="BL11" s="73" t="str">
        <f t="shared" si="5"/>
        <v>USDOIS</v>
      </c>
      <c r="BM11" s="74" t="str">
        <f t="shared" si="6"/>
        <v>USD</v>
      </c>
      <c r="BN11" s="71">
        <v>1</v>
      </c>
      <c r="BO11" s="75">
        <f t="shared" ca="1" si="7"/>
        <v>3.2000000000000001E-2</v>
      </c>
      <c r="BP11" s="61"/>
      <c r="BQ11" s="61"/>
      <c r="BR11" s="72"/>
      <c r="BS11" s="72"/>
      <c r="BT11" s="71"/>
      <c r="BU11" s="76">
        <f t="shared" ca="1" si="8"/>
        <v>42089</v>
      </c>
      <c r="BV11" s="76">
        <f t="shared" ca="1" si="9"/>
        <v>45742</v>
      </c>
      <c r="BW11" s="77" t="str">
        <f t="shared" ca="1" si="10"/>
        <v>SEMI-ANNUAL</v>
      </c>
      <c r="BX11" s="77" t="str">
        <f t="shared" ca="1" si="10"/>
        <v>SEMI-ANNUAL</v>
      </c>
      <c r="BY11" s="78" t="str">
        <f t="shared" ca="1" si="11"/>
        <v>ISMA-30/360</v>
      </c>
      <c r="BZ11" s="61"/>
      <c r="CA11" s="61"/>
      <c r="CB11" s="61" t="s">
        <v>51</v>
      </c>
      <c r="CC11" s="73" t="str">
        <f t="shared" si="12"/>
        <v>NYB</v>
      </c>
      <c r="CD11" s="61" t="s">
        <v>51</v>
      </c>
      <c r="CE11" s="73" t="str">
        <f t="shared" si="13"/>
        <v>NYB</v>
      </c>
      <c r="CF11" s="76">
        <f t="shared" ca="1" si="14"/>
        <v>42273</v>
      </c>
      <c r="CG11" s="76">
        <f t="shared" ca="1" si="15"/>
        <v>45561</v>
      </c>
      <c r="CH11" s="70" t="s">
        <v>80</v>
      </c>
      <c r="CI11" s="61"/>
      <c r="CJ11" s="61"/>
      <c r="CK11" s="61" t="s">
        <v>62</v>
      </c>
      <c r="CL11" s="61"/>
      <c r="CM11" s="61"/>
      <c r="CN11" s="76" t="str">
        <f t="shared" ca="1" si="16"/>
        <v>Type1</v>
      </c>
      <c r="CP11" s="61" t="s">
        <v>8</v>
      </c>
      <c r="CQ11" s="66">
        <f t="shared" ca="1" si="17"/>
        <v>1375250.9833044531</v>
      </c>
      <c r="CR11" s="61" t="str">
        <f t="shared" si="48"/>
        <v>END</v>
      </c>
      <c r="CS11" s="61" t="s">
        <v>18</v>
      </c>
      <c r="CT11" s="135" t="str">
        <f t="shared" si="18"/>
        <v>AUD3ML</v>
      </c>
      <c r="CU11" s="135" t="str">
        <f t="shared" si="49"/>
        <v>AUDDF_USDCSA</v>
      </c>
      <c r="CV11" s="134" t="str">
        <f t="shared" si="50"/>
        <v>AUD</v>
      </c>
      <c r="CW11" s="71">
        <v>1</v>
      </c>
      <c r="CX11" s="81"/>
      <c r="CY11" s="61" t="s">
        <v>32</v>
      </c>
      <c r="CZ11" s="61" t="s">
        <v>32</v>
      </c>
      <c r="DA11" s="72"/>
      <c r="DB11" s="72"/>
      <c r="DC11" s="71"/>
      <c r="DD11" s="291">
        <f t="shared" ca="1" si="51"/>
        <v>42089</v>
      </c>
      <c r="DE11" s="291">
        <f t="shared" ca="1" si="52"/>
        <v>45742</v>
      </c>
      <c r="DF11" s="53" t="str">
        <f t="shared" si="53"/>
        <v>QUARTERLY</v>
      </c>
      <c r="DG11" s="82" t="str">
        <f t="shared" si="54"/>
        <v>QUARTERLY</v>
      </c>
      <c r="DH11" s="82" t="str">
        <f t="shared" si="55"/>
        <v>ACT/365</v>
      </c>
      <c r="DI11" s="61" t="str">
        <f t="shared" si="56"/>
        <v>PRECEDING</v>
      </c>
      <c r="DJ11" s="82" t="str">
        <f t="shared" si="57"/>
        <v>SYB:LNB</v>
      </c>
      <c r="DK11" s="61" t="str">
        <f t="shared" si="58"/>
        <v>NO_CHANGE</v>
      </c>
      <c r="DL11" s="82" t="str">
        <f t="shared" si="59"/>
        <v>SYB</v>
      </c>
      <c r="DM11" s="61" t="str">
        <f t="shared" si="60"/>
        <v>NO_CHANGE</v>
      </c>
      <c r="DN11" s="82" t="str">
        <f t="shared" si="61"/>
        <v>SYB</v>
      </c>
      <c r="DO11" s="82"/>
      <c r="DP11" s="82"/>
      <c r="DQ11" s="70"/>
      <c r="DR11" s="61" t="str">
        <f t="shared" si="62"/>
        <v>0D</v>
      </c>
      <c r="DS11" s="61"/>
      <c r="DT11" s="61" t="str">
        <f t="shared" si="63"/>
        <v>0D</v>
      </c>
      <c r="DU11" s="61" t="str">
        <f t="shared" si="64"/>
        <v>SHORTSTART</v>
      </c>
      <c r="DV11" s="61" t="b">
        <v>0</v>
      </c>
      <c r="DW11" s="82"/>
      <c r="EA11" s="61" t="s">
        <v>7</v>
      </c>
      <c r="EB11" s="66">
        <v>1000000</v>
      </c>
      <c r="EC11" s="61" t="s">
        <v>14</v>
      </c>
      <c r="ED11" s="61" t="s">
        <v>17</v>
      </c>
      <c r="EE11" s="70"/>
      <c r="EF11" s="73" t="str">
        <f t="shared" si="19"/>
        <v>AUDOIS</v>
      </c>
      <c r="EG11" s="74" t="str">
        <f t="shared" si="20"/>
        <v>AUD</v>
      </c>
      <c r="EH11" s="71">
        <v>1</v>
      </c>
      <c r="EI11" s="75">
        <f t="shared" ca="1" si="21"/>
        <v>3.9199999999999999E-2</v>
      </c>
      <c r="EJ11" s="61"/>
      <c r="EK11" s="61"/>
      <c r="EL11" s="72"/>
      <c r="EM11" s="72"/>
      <c r="EN11" s="71"/>
      <c r="EO11" s="76">
        <f t="shared" ca="1" si="22"/>
        <v>42384</v>
      </c>
      <c r="EP11" s="76">
        <f t="shared" ca="1" si="23"/>
        <v>46037</v>
      </c>
      <c r="EQ11" s="77" t="str">
        <f t="shared" ca="1" si="24"/>
        <v>SEMI-ANNUAL</v>
      </c>
      <c r="ER11" s="77" t="str">
        <f t="shared" ca="1" si="24"/>
        <v>SEMI-ANNUAL</v>
      </c>
      <c r="ES11" s="78" t="str">
        <f t="shared" ca="1" si="25"/>
        <v>ISMA-30/360</v>
      </c>
      <c r="ET11" s="61"/>
      <c r="EU11" s="61"/>
      <c r="EV11" s="61" t="s">
        <v>51</v>
      </c>
      <c r="EW11" s="73" t="str">
        <f t="shared" si="26"/>
        <v>SYB</v>
      </c>
      <c r="EX11" s="61" t="s">
        <v>51</v>
      </c>
      <c r="EY11" s="73" t="str">
        <f t="shared" si="27"/>
        <v>SYB</v>
      </c>
      <c r="EZ11" s="76">
        <f t="shared" ca="1" si="28"/>
        <v>42566</v>
      </c>
      <c r="FA11" s="76">
        <f t="shared" ca="1" si="29"/>
        <v>45853</v>
      </c>
      <c r="FB11" s="70" t="s">
        <v>80</v>
      </c>
      <c r="FC11" s="61"/>
      <c r="FD11" s="61"/>
      <c r="FE11" s="61" t="s">
        <v>62</v>
      </c>
      <c r="FF11" s="61"/>
      <c r="FG11" s="61"/>
      <c r="FH11" s="76" t="str">
        <f t="shared" ca="1" si="30"/>
        <v>Type1</v>
      </c>
      <c r="FJ11" s="61" t="s">
        <v>8</v>
      </c>
      <c r="FK11" s="66">
        <v>1000000</v>
      </c>
      <c r="FL11" s="61" t="s">
        <v>14</v>
      </c>
      <c r="FM11" s="61" t="s">
        <v>18</v>
      </c>
      <c r="FN11" s="115" t="str">
        <f t="shared" si="31"/>
        <v>AUD3ML</v>
      </c>
      <c r="FO11" s="115" t="str">
        <f t="shared" si="32"/>
        <v>AUDOIS</v>
      </c>
      <c r="FP11" s="116" t="str">
        <f t="shared" si="65"/>
        <v>AUD</v>
      </c>
      <c r="FQ11" s="71">
        <v>1</v>
      </c>
      <c r="FR11" s="81"/>
      <c r="FS11" s="61" t="s">
        <v>32</v>
      </c>
      <c r="FT11" s="61" t="s">
        <v>32</v>
      </c>
      <c r="FU11" s="72"/>
      <c r="FV11" s="72"/>
      <c r="FW11" s="71"/>
      <c r="FX11" s="76">
        <f t="shared" ca="1" si="33"/>
        <v>42384</v>
      </c>
      <c r="FY11" s="76">
        <f t="shared" ca="1" si="34"/>
        <v>46037</v>
      </c>
      <c r="FZ11" s="73" t="str">
        <f t="shared" si="35"/>
        <v>QUARTERLY</v>
      </c>
      <c r="GA11" s="73" t="str">
        <f t="shared" si="35"/>
        <v>QUARTERLY</v>
      </c>
      <c r="GB11" s="73" t="str">
        <f t="shared" si="36"/>
        <v>ACT/365</v>
      </c>
      <c r="GC11" s="61" t="s">
        <v>58</v>
      </c>
      <c r="GD11" s="73" t="str">
        <f t="shared" si="37"/>
        <v>SYB:LNB</v>
      </c>
      <c r="GE11" s="61" t="s">
        <v>51</v>
      </c>
      <c r="GF11" s="73" t="str">
        <f t="shared" si="38"/>
        <v>SYB</v>
      </c>
      <c r="GG11" s="61" t="s">
        <v>51</v>
      </c>
      <c r="GH11" s="73" t="str">
        <f t="shared" si="39"/>
        <v>SYB</v>
      </c>
      <c r="GI11" s="82"/>
      <c r="GJ11" s="82"/>
      <c r="GK11" s="70"/>
      <c r="GL11" s="61" t="s">
        <v>62</v>
      </c>
      <c r="GM11" s="61"/>
      <c r="GN11" s="61" t="s">
        <v>62</v>
      </c>
      <c r="GO11" s="61" t="s">
        <v>75</v>
      </c>
      <c r="GP11" s="61" t="b">
        <v>0</v>
      </c>
      <c r="GQ11" s="82"/>
      <c r="GU11" s="95" t="str">
        <f t="shared" si="40"/>
        <v>MIZUHO BANK SYDNEY</v>
      </c>
      <c r="GV11" s="42" t="str">
        <f ca="1">IF(LEFT(_xll.BDP($C11,GV$5),1)="#","#LOADING",_xll.BDP($C11,GV$5))</f>
        <v>FIXED</v>
      </c>
      <c r="GW11" s="74" t="str">
        <f t="shared" si="41"/>
        <v>AUD</v>
      </c>
      <c r="GX11" s="74" t="str">
        <f t="shared" si="42"/>
        <v>XS1344710857</v>
      </c>
      <c r="GY11" s="64" t="s">
        <v>20</v>
      </c>
      <c r="GZ11" s="42" t="b">
        <f ca="1">IF(LEFT(_xll.BDP($C11,GZ$5),1)="#","#LOADING",IF(_xll.BDP($C11,GZ$5)="CLEAN",TRUE,FALSE))</f>
        <v>1</v>
      </c>
      <c r="HA11" s="64" t="s">
        <v>26</v>
      </c>
      <c r="HB11" s="61" t="s">
        <v>18</v>
      </c>
      <c r="HC11" s="65" t="s">
        <v>28</v>
      </c>
      <c r="HD11" s="66">
        <v>1000000</v>
      </c>
      <c r="HE11" s="96">
        <f ca="1">IF(LEFT(_xll.BDP($C11,HE$5),1)="#","#LOADING",DATEVALUE(_xll.BDP($C11,HE$5)))</f>
        <v>42384</v>
      </c>
      <c r="HF11" s="96">
        <f ca="1">IF(LEFT(_xll.BDP($C11,HF$5),1)="#","#LOADING",DATEVALUE(_xll.BDP($C11,HF$5)))</f>
        <v>42384</v>
      </c>
      <c r="HG11" s="96">
        <f ca="1">IF(LEFT(_xll.BDP($C11,HG$5),1)="#","#LOADING",DATEVALUE(_xll.BDP($C11,HG$5)))</f>
        <v>42566</v>
      </c>
      <c r="HH11" s="96">
        <f ca="1">IF(LEFT(_xll.BDP($C11,HH$5),1)="#","#LOADING",DATEVALUE(_xll.BDP($C11,HH$5)))</f>
        <v>45853</v>
      </c>
      <c r="HI11" s="96">
        <f ca="1">IF(LEFT(_xll.BDP($C11,HI$5),1)="#","#LOADING",DATEVALUE(_xll.BDP($C11,HI$5)))</f>
        <v>46037</v>
      </c>
      <c r="HJ11" s="97">
        <f ca="1">IF(LEFT(_xll.BDP($C11,HJ$5),1)="#","#LOADING",_xll.BDP($C11,HJ$5)%)</f>
        <v>3.9199999999999999E-2</v>
      </c>
      <c r="HK11" s="97" t="str">
        <f ca="1">IF(LEFT(_xll.BDP($C11,HK$5),1)="#","#LOADING",VLOOKUP(_xll.BDP($C11,HK$5),Static.CouponFrequency,2,FALSE))</f>
        <v>SEMI-ANNUAL</v>
      </c>
      <c r="HL11" s="68" t="s">
        <v>51</v>
      </c>
      <c r="HM11" s="73" t="str">
        <f t="shared" si="43"/>
        <v>SYB</v>
      </c>
      <c r="HN11" s="61" t="s">
        <v>51</v>
      </c>
      <c r="HO11" s="73" t="str">
        <f t="shared" si="44"/>
        <v>SYB</v>
      </c>
      <c r="HP11" s="61" t="s">
        <v>62</v>
      </c>
      <c r="HQ11" s="43" t="str">
        <f ca="1">IF(LEFT(_xll.BDP($C11,HQ$5),1)="#","#LOADING",_xll.BDP($C11,HQ$5))</f>
        <v>ISMA-30/360</v>
      </c>
      <c r="HR11" s="70"/>
      <c r="HS11" s="43" t="str">
        <f ca="1">IF(LEFT(_xll.BDP($C11,HS$5),1)="#","#LOADING","Type"&amp;IF(_xll.BDP($C11,HS$5)=999,1,_xll.BDP($C11,HS$5)))</f>
        <v>Type1</v>
      </c>
    </row>
    <row r="12" spans="1:228">
      <c r="A12" s="101">
        <v>6</v>
      </c>
      <c r="B12" s="57"/>
      <c r="C12" s="57"/>
      <c r="D12" s="57"/>
      <c r="E12" s="57"/>
      <c r="F12" s="57"/>
      <c r="G12" s="57"/>
      <c r="H12" s="57"/>
      <c r="I12" s="57"/>
      <c r="J12" s="101">
        <v>6</v>
      </c>
      <c r="K12" s="58" t="s">
        <v>163</v>
      </c>
      <c r="L12" s="59" t="str">
        <f>IF(ISBLANK(M12),IF($G12="","",_xll.BDP(AI12&amp;" "&amp;$K12&amp;" Corp","PX_LAST")),M12)</f>
        <v/>
      </c>
      <c r="M12" s="60"/>
      <c r="N12" s="83" t="str">
        <f ca="1">IF(ISBLANK($O12),IF($G12="","",_xll.meLWOAssetSwapSpread($AB12,$AA12,$L12,_xll.meUtilityLVBFromKeysValues($S$6:$V$6,S12:V12),INDIRECT("Fixings"&amp;$D12&amp;IF($I12="QUARTERLY","3ML","6ML")))),$O12)</f>
        <v/>
      </c>
      <c r="O12" s="60"/>
      <c r="P12" s="84" t="str">
        <f ca="1">IF($C12="","",_xll.meLWOAssetSwapSpreadToCleanPrice($AC12,$N12,INDIRECT("ValuationSettings"&amp;$D12),INDIRECT("Fixings"&amp;$D12&amp;IF($E12="QUARTERLY","3ML","6ML"))))</f>
        <v/>
      </c>
      <c r="Q12" s="84" t="str">
        <f>IF($C12="","",_xll.meLWOBondPriceFromCleanToDirty($AD12,V12,$P12))</f>
        <v/>
      </c>
      <c r="R12" s="98" t="str">
        <f>IF($C12="","",_xll.meLWOBondYield($AD12,V12,IF($GZ12,$P12,$Q12)))</f>
        <v/>
      </c>
      <c r="S12" s="98" t="str">
        <f ca="1">IF($C12="","",INDIRECT("Settings.CurveOverride."&amp;$H12))</f>
        <v/>
      </c>
      <c r="T12" s="98" t="str">
        <f ca="1">IF($C12="","",INDIRECT("Settings.CurveOverride."&amp;$D12))</f>
        <v/>
      </c>
      <c r="U12" s="129" t="str">
        <f>IF($C12="","",_xll.BDH(D12&amp;H12&amp;" Curncy","MID",Settings.ValuationDate,Settings.ValuationDate))</f>
        <v/>
      </c>
      <c r="V12" s="127" t="str">
        <f ca="1">IF($C12="","",INDIRECT("ValuationDate"&amp;$D12))</f>
        <v/>
      </c>
      <c r="W12" s="98" t="str">
        <f>IF($C12="","",TRUE)</f>
        <v/>
      </c>
      <c r="X12" s="98" t="str">
        <f>IF($C12="","",H12)</f>
        <v/>
      </c>
      <c r="Y12" s="98" t="str">
        <f>IF($C12="","",BG12)</f>
        <v/>
      </c>
      <c r="Z12" s="101">
        <v>6</v>
      </c>
      <c r="AA12" s="53" t="str">
        <f>IF($G12="","",IF(LEFT(AG12,1)="#","#LOADING",_xll.meLWOBondCreateFromLVB("PROXY_BOND_"&amp;$AI12,_xll.meUtilityLVBFromKeysValues($AF$6:$BD$6,$AF12:$BD12))))</f>
        <v/>
      </c>
      <c r="AB12" s="135" t="str">
        <f ca="1">IF($G12="","",_xll.meLWOXccySwapCreate("PROXY_XCCY_ASW_"&amp;$AI12,_xll.meUtilityLVBFromKeysAndMultipleValues($BG$6:$CN$6,$BG12:$CN12,$CP12:$DW12),_xll.meUtilityLVBFromKeysValues($W$6:$Y$6,W12:Y12)))</f>
        <v/>
      </c>
      <c r="AC12" s="53" t="str">
        <f>IF($C12="","",_xll.meLWOSwapCreate("BOND_ASW_"&amp;$GX12,_xll.meUtilityLVBFromKeysAndMultipleValues($EA$6:$FH$6,$EA12:$FH12,$FJ12:$GQ12)))</f>
        <v/>
      </c>
      <c r="AD12" s="53" t="str">
        <f>IF($C12="","",IF(LEFT(GV12,1)="#","#LOADING",_xll.meLWOBondCreateFromLVB("PROXY_BOND_"&amp;$GX12,_xll.meUtilityLVBFromKeysValues($GU$6:$HS$6,$GU12:$HS12))))</f>
        <v/>
      </c>
      <c r="AE12" t="s">
        <v>0</v>
      </c>
      <c r="AF12" s="62">
        <f>$F12</f>
        <v>0</v>
      </c>
      <c r="AG12" s="63">
        <f>IF(LEFT(_xll.BDP($G12,AG$5),1)="#","#LOADING",_xll.BDP($G12,AG$5))</f>
        <v>0</v>
      </c>
      <c r="AH12" s="41">
        <f t="shared" si="47"/>
        <v>0</v>
      </c>
      <c r="AI12" s="63">
        <f>IF(LEFT(_xll.BDP($G12,AI$5),1)="#","#LOADING",_xll.BDP($G12,AI$5))</f>
        <v>0</v>
      </c>
      <c r="AJ12" s="64" t="s">
        <v>20</v>
      </c>
      <c r="AK12" s="63" t="b">
        <f>IF(LEFT(_xll.BDP($G12,AK$5),1)="#","#LOADING",IF(_xll.BDP($G12,AK$5)="CLEAN",TRUE,FALSE))</f>
        <v>0</v>
      </c>
      <c r="AL12" s="64" t="s">
        <v>26</v>
      </c>
      <c r="AM12" s="61" t="s">
        <v>18</v>
      </c>
      <c r="AN12" s="65" t="s">
        <v>28</v>
      </c>
      <c r="AO12" s="66">
        <v>1000000</v>
      </c>
      <c r="AP12" s="63" t="e">
        <f>IF(LEFT(_xll.BDP($G12,AP$5),1)="#","#LOADING",DATEVALUE(_xll.BDP($G12,AP$5)))</f>
        <v>#VALUE!</v>
      </c>
      <c r="AQ12" s="63" t="e">
        <f>IF(LEFT(_xll.BDP($G12,AQ$5),1)="#","#LOADING",DATEVALUE(_xll.BDP($G12,AQ$5)))</f>
        <v>#VALUE!</v>
      </c>
      <c r="AR12" s="63" t="e">
        <f>IF(LEFT(_xll.BDP($G12,AR$5),1)="#","#LOADING",DATEVALUE(_xll.BDP($G12,AR$5)))</f>
        <v>#VALUE!</v>
      </c>
      <c r="AS12" s="63" t="e">
        <f>IF(LEFT(_xll.BDP($G12,AS$5),1)="#","#LOADING",DATEVALUE(_xll.BDP($G12,AS$5)))</f>
        <v>#VALUE!</v>
      </c>
      <c r="AT12" s="63" t="e">
        <f>IF(LEFT(_xll.BDP($G12,AT$5),1)="#","#LOADING",DATEVALUE(_xll.BDP($G12,AT$5)))</f>
        <v>#VALUE!</v>
      </c>
      <c r="AU12" s="67">
        <f>IF(LEFT(_xll.BDP($G12,AU$5),1)="#","#LOADING",_xll.BDP($G12,AU$5)%)</f>
        <v>0</v>
      </c>
      <c r="AV12" s="67" t="str">
        <f>IF(LEFT(_xll.BDP($G12,AV$5),1)="#","#LOADING",VLOOKUP(_xll.BDP($G12,AV$5),Static.CouponFrequency,2,FALSE))</f>
        <v>ZERO-COUPON</v>
      </c>
      <c r="AW12" s="68" t="s">
        <v>51</v>
      </c>
      <c r="AX12" s="53" t="e">
        <f t="shared" si="3"/>
        <v>#N/A</v>
      </c>
      <c r="AY12" s="61" t="s">
        <v>51</v>
      </c>
      <c r="AZ12" s="53" t="e">
        <f t="shared" si="4"/>
        <v>#N/A</v>
      </c>
      <c r="BA12" s="61" t="s">
        <v>62</v>
      </c>
      <c r="BB12" s="69">
        <f>IF(LEFT(_xll.BDP($G12,BB$5),1)="#","#LOADING",_xll.BDP($G12,BB$5))</f>
        <v>0</v>
      </c>
      <c r="BC12" s="70"/>
      <c r="BD12" s="69" t="str">
        <f>IF(LEFT(_xll.BDP($G12,BD$5),1)="#","#LOADING","Type"&amp;IF(_xll.BDP($G12,BD$5)=999,1,_xll.BDP($G12,BD$5)))</f>
        <v>Type</v>
      </c>
      <c r="BE12" s="54"/>
      <c r="BG12" s="61" t="s">
        <v>7</v>
      </c>
      <c r="BH12" s="66">
        <v>1000000</v>
      </c>
      <c r="BI12" s="61" t="s">
        <v>212</v>
      </c>
      <c r="BJ12" s="61" t="s">
        <v>17</v>
      </c>
      <c r="BK12" s="70"/>
      <c r="BL12" s="73" t="e">
        <f t="shared" si="5"/>
        <v>#N/A</v>
      </c>
      <c r="BM12" s="74">
        <f t="shared" si="6"/>
        <v>0</v>
      </c>
      <c r="BN12" s="71">
        <v>1</v>
      </c>
      <c r="BO12" s="75">
        <f t="shared" si="7"/>
        <v>0</v>
      </c>
      <c r="BP12" s="61"/>
      <c r="BQ12" s="61"/>
      <c r="BR12" s="72"/>
      <c r="BS12" s="72"/>
      <c r="BT12" s="71"/>
      <c r="BU12" s="76" t="e">
        <f t="shared" si="8"/>
        <v>#VALUE!</v>
      </c>
      <c r="BV12" s="76" t="e">
        <f t="shared" si="9"/>
        <v>#VALUE!</v>
      </c>
      <c r="BW12" s="77" t="str">
        <f t="shared" si="10"/>
        <v>ZERO-COUPON</v>
      </c>
      <c r="BX12" s="77" t="str">
        <f t="shared" si="10"/>
        <v>ZERO-COUPON</v>
      </c>
      <c r="BY12" s="78">
        <f t="shared" si="11"/>
        <v>0</v>
      </c>
      <c r="BZ12" s="61"/>
      <c r="CA12" s="61"/>
      <c r="CB12" s="61" t="s">
        <v>51</v>
      </c>
      <c r="CC12" s="73" t="e">
        <f t="shared" si="12"/>
        <v>#N/A</v>
      </c>
      <c r="CD12" s="61" t="s">
        <v>51</v>
      </c>
      <c r="CE12" s="73" t="e">
        <f t="shared" si="13"/>
        <v>#N/A</v>
      </c>
      <c r="CF12" s="76" t="e">
        <f t="shared" si="14"/>
        <v>#VALUE!</v>
      </c>
      <c r="CG12" s="76" t="e">
        <f t="shared" si="15"/>
        <v>#VALUE!</v>
      </c>
      <c r="CH12" s="70" t="s">
        <v>80</v>
      </c>
      <c r="CI12" s="61"/>
      <c r="CJ12" s="61"/>
      <c r="CK12" s="61" t="s">
        <v>62</v>
      </c>
      <c r="CL12" s="61"/>
      <c r="CM12" s="61"/>
      <c r="CN12" s="76" t="str">
        <f t="shared" si="16"/>
        <v>Type</v>
      </c>
      <c r="CP12" s="61" t="s">
        <v>8</v>
      </c>
      <c r="CQ12" s="66" t="e">
        <f t="shared" si="17"/>
        <v>#VALUE!</v>
      </c>
      <c r="CR12" s="61" t="str">
        <f t="shared" si="48"/>
        <v>END</v>
      </c>
      <c r="CS12" s="61" t="s">
        <v>18</v>
      </c>
      <c r="CT12" s="135" t="e">
        <f t="shared" si="18"/>
        <v>#N/A</v>
      </c>
      <c r="CU12" s="135" t="str">
        <f t="shared" si="49"/>
        <v>DF_CSA</v>
      </c>
      <c r="CV12" s="134">
        <f t="shared" si="50"/>
        <v>0</v>
      </c>
      <c r="CW12" s="71">
        <v>1</v>
      </c>
      <c r="CX12" s="81"/>
      <c r="CY12" s="61" t="s">
        <v>32</v>
      </c>
      <c r="CZ12" s="61" t="s">
        <v>32</v>
      </c>
      <c r="DA12" s="72"/>
      <c r="DB12" s="72"/>
      <c r="DC12" s="71"/>
      <c r="DD12" s="291" t="e">
        <f t="shared" ca="1" si="51"/>
        <v>#VALUE!</v>
      </c>
      <c r="DE12" s="291" t="e">
        <f t="shared" ca="1" si="52"/>
        <v>#VALUE!</v>
      </c>
      <c r="DF12" s="53">
        <f t="shared" si="53"/>
        <v>0</v>
      </c>
      <c r="DG12" s="82">
        <f t="shared" si="54"/>
        <v>0</v>
      </c>
      <c r="DH12" s="82" t="e">
        <f t="shared" si="55"/>
        <v>#N/A</v>
      </c>
      <c r="DI12" s="61" t="str">
        <f t="shared" si="56"/>
        <v>PRECEDING</v>
      </c>
      <c r="DJ12" s="82" t="e">
        <f t="shared" si="57"/>
        <v>#N/A</v>
      </c>
      <c r="DK12" s="61" t="str">
        <f t="shared" si="58"/>
        <v>NO_CHANGE</v>
      </c>
      <c r="DL12" s="82" t="e">
        <f t="shared" si="59"/>
        <v>#N/A</v>
      </c>
      <c r="DM12" s="61" t="str">
        <f t="shared" si="60"/>
        <v>NO_CHANGE</v>
      </c>
      <c r="DN12" s="82" t="e">
        <f t="shared" si="61"/>
        <v>#N/A</v>
      </c>
      <c r="DO12" s="82"/>
      <c r="DP12" s="82"/>
      <c r="DQ12" s="70"/>
      <c r="DR12" s="61" t="str">
        <f t="shared" si="62"/>
        <v>0D</v>
      </c>
      <c r="DS12" s="61"/>
      <c r="DT12" s="61" t="str">
        <f t="shared" si="63"/>
        <v>0D</v>
      </c>
      <c r="DU12" s="61" t="str">
        <f t="shared" si="64"/>
        <v>SHORTSTART</v>
      </c>
      <c r="DV12" s="61" t="b">
        <v>0</v>
      </c>
      <c r="DW12" s="82"/>
      <c r="EA12" s="61" t="s">
        <v>7</v>
      </c>
      <c r="EB12" s="66">
        <v>1000000</v>
      </c>
      <c r="EC12" s="61" t="s">
        <v>14</v>
      </c>
      <c r="ED12" s="61" t="s">
        <v>17</v>
      </c>
      <c r="EE12" s="70"/>
      <c r="EF12" s="73" t="e">
        <f t="shared" si="19"/>
        <v>#N/A</v>
      </c>
      <c r="EG12" s="74">
        <f t="shared" si="20"/>
        <v>0</v>
      </c>
      <c r="EH12" s="71">
        <v>1</v>
      </c>
      <c r="EI12" s="75">
        <f t="shared" si="21"/>
        <v>0</v>
      </c>
      <c r="EJ12" s="61"/>
      <c r="EK12" s="61"/>
      <c r="EL12" s="72"/>
      <c r="EM12" s="72"/>
      <c r="EN12" s="71"/>
      <c r="EO12" s="76" t="e">
        <f t="shared" si="22"/>
        <v>#VALUE!</v>
      </c>
      <c r="EP12" s="76" t="e">
        <f t="shared" si="23"/>
        <v>#VALUE!</v>
      </c>
      <c r="EQ12" s="77" t="str">
        <f t="shared" si="24"/>
        <v>ZERO-COUPON</v>
      </c>
      <c r="ER12" s="77" t="str">
        <f t="shared" si="24"/>
        <v>ZERO-COUPON</v>
      </c>
      <c r="ES12" s="78">
        <f t="shared" si="25"/>
        <v>0</v>
      </c>
      <c r="ET12" s="61"/>
      <c r="EU12" s="61"/>
      <c r="EV12" s="61" t="s">
        <v>51</v>
      </c>
      <c r="EW12" s="73" t="e">
        <f t="shared" si="26"/>
        <v>#N/A</v>
      </c>
      <c r="EX12" s="61" t="s">
        <v>51</v>
      </c>
      <c r="EY12" s="73" t="e">
        <f t="shared" si="27"/>
        <v>#N/A</v>
      </c>
      <c r="EZ12" s="76" t="e">
        <f t="shared" si="28"/>
        <v>#VALUE!</v>
      </c>
      <c r="FA12" s="76" t="e">
        <f t="shared" si="29"/>
        <v>#VALUE!</v>
      </c>
      <c r="FB12" s="70" t="s">
        <v>80</v>
      </c>
      <c r="FC12" s="61"/>
      <c r="FD12" s="61"/>
      <c r="FE12" s="61" t="s">
        <v>62</v>
      </c>
      <c r="FF12" s="61"/>
      <c r="FG12" s="61"/>
      <c r="FH12" s="76" t="str">
        <f t="shared" si="30"/>
        <v>Type</v>
      </c>
      <c r="FJ12" s="61" t="s">
        <v>8</v>
      </c>
      <c r="FK12" s="66">
        <v>1000000</v>
      </c>
      <c r="FL12" s="61" t="s">
        <v>14</v>
      </c>
      <c r="FM12" s="61" t="s">
        <v>18</v>
      </c>
      <c r="FN12" s="115" t="e">
        <f t="shared" si="31"/>
        <v>#N/A</v>
      </c>
      <c r="FO12" s="115" t="e">
        <f t="shared" si="32"/>
        <v>#N/A</v>
      </c>
      <c r="FP12" s="116">
        <f t="shared" si="65"/>
        <v>0</v>
      </c>
      <c r="FQ12" s="71">
        <v>1</v>
      </c>
      <c r="FR12" s="81"/>
      <c r="FS12" s="61" t="s">
        <v>32</v>
      </c>
      <c r="FT12" s="61" t="s">
        <v>32</v>
      </c>
      <c r="FU12" s="72"/>
      <c r="FV12" s="72"/>
      <c r="FW12" s="71"/>
      <c r="FX12" s="76" t="e">
        <f t="shared" si="33"/>
        <v>#VALUE!</v>
      </c>
      <c r="FY12" s="76" t="e">
        <f t="shared" si="34"/>
        <v>#VALUE!</v>
      </c>
      <c r="FZ12" s="73">
        <f t="shared" si="35"/>
        <v>0</v>
      </c>
      <c r="GA12" s="73">
        <f t="shared" si="35"/>
        <v>0</v>
      </c>
      <c r="GB12" s="73" t="e">
        <f t="shared" si="36"/>
        <v>#N/A</v>
      </c>
      <c r="GC12" s="61" t="s">
        <v>58</v>
      </c>
      <c r="GD12" s="73" t="e">
        <f t="shared" si="37"/>
        <v>#N/A</v>
      </c>
      <c r="GE12" s="61" t="s">
        <v>51</v>
      </c>
      <c r="GF12" s="73" t="e">
        <f t="shared" si="38"/>
        <v>#N/A</v>
      </c>
      <c r="GG12" s="61" t="s">
        <v>51</v>
      </c>
      <c r="GH12" s="73" t="e">
        <f t="shared" si="39"/>
        <v>#N/A</v>
      </c>
      <c r="GI12" s="82"/>
      <c r="GJ12" s="82"/>
      <c r="GK12" s="70"/>
      <c r="GL12" s="61" t="s">
        <v>62</v>
      </c>
      <c r="GM12" s="61"/>
      <c r="GN12" s="61" t="s">
        <v>62</v>
      </c>
      <c r="GO12" s="61" t="s">
        <v>75</v>
      </c>
      <c r="GP12" s="61" t="b">
        <v>0</v>
      </c>
      <c r="GQ12" s="82"/>
      <c r="GU12" s="95">
        <f t="shared" si="40"/>
        <v>0</v>
      </c>
      <c r="GV12" s="42">
        <f>IF(LEFT(_xll.BDP($C12,GV$5),1)="#","#LOADING",_xll.BDP($C12,GV$5))</f>
        <v>0</v>
      </c>
      <c r="GW12" s="74">
        <f t="shared" si="41"/>
        <v>0</v>
      </c>
      <c r="GX12" s="74" t="e">
        <f t="shared" si="42"/>
        <v>#VALUE!</v>
      </c>
      <c r="GY12" s="64" t="s">
        <v>20</v>
      </c>
      <c r="GZ12" s="42" t="b">
        <f>IF(LEFT(_xll.BDP($C12,GZ$5),1)="#","#LOADING",IF(_xll.BDP($C12,GZ$5)="CLEAN",TRUE,FALSE))</f>
        <v>0</v>
      </c>
      <c r="HA12" s="64" t="s">
        <v>26</v>
      </c>
      <c r="HB12" s="61" t="s">
        <v>18</v>
      </c>
      <c r="HC12" s="65" t="s">
        <v>28</v>
      </c>
      <c r="HD12" s="66">
        <v>1000000</v>
      </c>
      <c r="HE12" s="96" t="e">
        <f>IF(LEFT(_xll.BDP($C12,HE$5),1)="#","#LOADING",DATEVALUE(_xll.BDP($C12,HE$5)))</f>
        <v>#VALUE!</v>
      </c>
      <c r="HF12" s="96" t="e">
        <f>IF(LEFT(_xll.BDP($C12,HF$5),1)="#","#LOADING",DATEVALUE(_xll.BDP($C12,HF$5)))</f>
        <v>#VALUE!</v>
      </c>
      <c r="HG12" s="96" t="e">
        <f>IF(LEFT(_xll.BDP($C12,HG$5),1)="#","#LOADING",DATEVALUE(_xll.BDP($C12,HG$5)))</f>
        <v>#VALUE!</v>
      </c>
      <c r="HH12" s="96" t="e">
        <f>IF(LEFT(_xll.BDP($C12,HH$5),1)="#","#LOADING",DATEVALUE(_xll.BDP($C12,HH$5)))</f>
        <v>#VALUE!</v>
      </c>
      <c r="HI12" s="96" t="e">
        <f>IF(LEFT(_xll.BDP($C12,HI$5),1)="#","#LOADING",DATEVALUE(_xll.BDP($C12,HI$5)))</f>
        <v>#VALUE!</v>
      </c>
      <c r="HJ12" s="97">
        <f>IF(LEFT(_xll.BDP($C12,HJ$5),1)="#","#LOADING",_xll.BDP($C12,HJ$5)%)</f>
        <v>0</v>
      </c>
      <c r="HK12" s="97" t="str">
        <f>IF(LEFT(_xll.BDP($C12,HK$5),1)="#","#LOADING",VLOOKUP(_xll.BDP($C12,HK$5),Static.CouponFrequency,2,FALSE))</f>
        <v>ZERO-COUPON</v>
      </c>
      <c r="HL12" s="68" t="s">
        <v>51</v>
      </c>
      <c r="HM12" s="73" t="e">
        <f t="shared" si="43"/>
        <v>#N/A</v>
      </c>
      <c r="HN12" s="61" t="s">
        <v>51</v>
      </c>
      <c r="HO12" s="73" t="e">
        <f t="shared" si="44"/>
        <v>#N/A</v>
      </c>
      <c r="HP12" s="61" t="s">
        <v>62</v>
      </c>
      <c r="HQ12" s="43">
        <f>IF(LEFT(_xll.BDP($C12,HQ$5),1)="#","#LOADING",_xll.BDP($C12,HQ$5))</f>
        <v>0</v>
      </c>
      <c r="HR12" s="70"/>
      <c r="HS12" s="43" t="str">
        <f>IF(LEFT(_xll.BDP($C12,HS$5),1)="#","#LOADING","Type"&amp;IF(_xll.BDP($C12,HS$5)=999,1,_xll.BDP($C12,HS$5)))</f>
        <v>Type</v>
      </c>
    </row>
    <row r="13" spans="1:228">
      <c r="A13" s="101">
        <v>7</v>
      </c>
      <c r="B13" s="57"/>
      <c r="C13" s="57"/>
      <c r="D13" s="57"/>
      <c r="E13" s="57"/>
      <c r="F13" s="57"/>
      <c r="G13" s="57"/>
      <c r="H13" s="57"/>
      <c r="I13" s="57"/>
      <c r="J13" s="101">
        <v>7</v>
      </c>
      <c r="K13" s="58" t="s">
        <v>163</v>
      </c>
      <c r="L13" s="59" t="str">
        <f>IF(ISBLANK(M13),IF($G13="","",_xll.BDP(AI13&amp;" "&amp;$K13&amp;" Corp","PX_LAST")),M13)</f>
        <v/>
      </c>
      <c r="M13" s="60"/>
      <c r="N13" s="83" t="str">
        <f ca="1">IF(ISBLANK($O13),IF($G13="","",_xll.meLWOAssetSwapSpread($AB13,$AA13,$L13,_xll.meUtilityLVBFromKeysValues($S$6:$V$6,S13:V13),INDIRECT("Fixings"&amp;$D13&amp;IF($I13="QUARTERLY","3ML","6ML")))),$O13)</f>
        <v/>
      </c>
      <c r="O13" s="60"/>
      <c r="P13" s="84" t="str">
        <f ca="1">IF($C13="","",_xll.meLWOAssetSwapSpreadToCleanPrice($AC13,$N13,INDIRECT("ValuationSettings"&amp;$D13),INDIRECT("Fixings"&amp;$D13&amp;IF($E13="QUARTERLY","3ML","6ML"))))</f>
        <v/>
      </c>
      <c r="Q13" s="84" t="str">
        <f>IF($C13="","",_xll.meLWOBondPriceFromCleanToDirty($AD13,V13,$P13))</f>
        <v/>
      </c>
      <c r="R13" s="98" t="str">
        <f>IF($C13="","",_xll.meLWOBondYield($AD13,V13,IF($GZ13,$P13,$Q13)))</f>
        <v/>
      </c>
      <c r="S13" s="98" t="str">
        <f t="shared" ref="S13:S26" ca="1" si="66">IF($C13="","",INDIRECT("Settings.CurveOverride."&amp;$H13))</f>
        <v/>
      </c>
      <c r="T13" s="98" t="str">
        <f t="shared" ref="T13:T26" ca="1" si="67">IF($C13="","",INDIRECT("Settings.CurveOverride."&amp;$D13))</f>
        <v/>
      </c>
      <c r="U13" s="129" t="str">
        <f>IF($C13="","",_xll.BDH(D13&amp;H13&amp;" Curncy","MID",Settings.ValuationDate,Settings.ValuationDate))</f>
        <v/>
      </c>
      <c r="V13" s="127" t="str">
        <f t="shared" ref="V13:V26" ca="1" si="68">IF($C13="","",INDIRECT("ValuationDate"&amp;$D13))</f>
        <v/>
      </c>
      <c r="W13" s="98" t="str">
        <f t="shared" ref="W13:W26" si="69">IF($C13="","",TRUE)</f>
        <v/>
      </c>
      <c r="X13" s="98" t="str">
        <f t="shared" ref="X13:X26" si="70">IF($C13="","",H13)</f>
        <v/>
      </c>
      <c r="Y13" s="98" t="str">
        <f t="shared" ref="Y13:Y26" si="71">IF($C13="","",BG13)</f>
        <v/>
      </c>
      <c r="Z13" s="101">
        <v>7</v>
      </c>
      <c r="AA13" s="53" t="str">
        <f>IF($G13="","",IF(LEFT(AG13,1)="#","#LOADING",_xll.meLWOBondCreateFromLVB("PROXY_BOND_"&amp;$AI13,_xll.meUtilityLVBFromKeysValues($AF$6:$BD$6,$AF13:$BD13))))</f>
        <v/>
      </c>
      <c r="AB13" s="135" t="str">
        <f ca="1">IF($G13="","",_xll.meLWOXccySwapCreate("PROXY_XCCY_ASW_"&amp;$AI13,_xll.meUtilityLVBFromKeysAndMultipleValues($BG$6:$CN$6,$BG13:$CN13,$CP13:$DW13),_xll.meUtilityLVBFromKeysValues($W$6:$Y$6,W13:Y13)))</f>
        <v/>
      </c>
      <c r="AC13" s="53" t="str">
        <f>IF($C13="","",_xll.meLWOSwapCreate("BOND_ASW_"&amp;$GX13,_xll.meUtilityLVBFromKeysAndMultipleValues($EA$6:$FH$6,$EA13:$FH13,$FJ13:$GQ13)))</f>
        <v/>
      </c>
      <c r="AD13" s="53" t="str">
        <f>IF($C13="","",IF(LEFT(GV13,1)="#","#LOADING",_xll.meLWOBondCreateFromLVB("PROXY_BOND_"&amp;$GX13,_xll.meUtilityLVBFromKeysValues($GU$6:$HS$6,$GU13:$HS13))))</f>
        <v/>
      </c>
      <c r="AE13" t="s">
        <v>0</v>
      </c>
      <c r="AF13" s="62">
        <f t="shared" si="46"/>
        <v>0</v>
      </c>
      <c r="AG13" s="63">
        <f>IF(LEFT(_xll.BDP($G13,AG$5),1)="#","#LOADING",_xll.BDP($G13,AG$5))</f>
        <v>0</v>
      </c>
      <c r="AH13" s="41">
        <f t="shared" si="47"/>
        <v>0</v>
      </c>
      <c r="AI13" s="63">
        <f>IF(LEFT(_xll.BDP($G13,AI$5),1)="#","#LOADING",_xll.BDP($G13,AI$5))</f>
        <v>0</v>
      </c>
      <c r="AJ13" s="64" t="s">
        <v>20</v>
      </c>
      <c r="AK13" s="63" t="b">
        <f>IF(LEFT(_xll.BDP($G13,AK$5),1)="#","#LOADING",IF(_xll.BDP($G13,AK$5)="CLEAN",TRUE,FALSE))</f>
        <v>0</v>
      </c>
      <c r="AL13" s="64" t="s">
        <v>26</v>
      </c>
      <c r="AM13" s="61" t="s">
        <v>18</v>
      </c>
      <c r="AN13" s="65" t="s">
        <v>28</v>
      </c>
      <c r="AO13" s="66">
        <v>1000000</v>
      </c>
      <c r="AP13" s="63" t="e">
        <f>IF(LEFT(_xll.BDP($G13,AP$5),1)="#","#LOADING",DATEVALUE(_xll.BDP($G13,AP$5)))</f>
        <v>#VALUE!</v>
      </c>
      <c r="AQ13" s="63" t="e">
        <f>IF(LEFT(_xll.BDP($G13,AQ$5),1)="#","#LOADING",DATEVALUE(_xll.BDP($G13,AQ$5)))</f>
        <v>#VALUE!</v>
      </c>
      <c r="AR13" s="63" t="e">
        <f>IF(LEFT(_xll.BDP($G13,AR$5),1)="#","#LOADING",DATEVALUE(_xll.BDP($G13,AR$5)))</f>
        <v>#VALUE!</v>
      </c>
      <c r="AS13" s="63" t="e">
        <f>IF(LEFT(_xll.BDP($G13,AS$5),1)="#","#LOADING",DATEVALUE(_xll.BDP($G13,AS$5)))</f>
        <v>#VALUE!</v>
      </c>
      <c r="AT13" s="63" t="e">
        <f>IF(LEFT(_xll.BDP($G13,AT$5),1)="#","#LOADING",DATEVALUE(_xll.BDP($G13,AT$5)))</f>
        <v>#VALUE!</v>
      </c>
      <c r="AU13" s="67">
        <f>IF(LEFT(_xll.BDP($G13,AU$5),1)="#","#LOADING",_xll.BDP($G13,AU$5)%)</f>
        <v>0</v>
      </c>
      <c r="AV13" s="67" t="str">
        <f>IF(LEFT(_xll.BDP($G13,AV$5),1)="#","#LOADING",VLOOKUP(_xll.BDP($G13,AV$5),Static.CouponFrequency,2,FALSE))</f>
        <v>ZERO-COUPON</v>
      </c>
      <c r="AW13" s="68" t="s">
        <v>51</v>
      </c>
      <c r="AX13" s="53" t="e">
        <f t="shared" si="3"/>
        <v>#N/A</v>
      </c>
      <c r="AY13" s="61" t="s">
        <v>51</v>
      </c>
      <c r="AZ13" s="53" t="e">
        <f t="shared" si="4"/>
        <v>#N/A</v>
      </c>
      <c r="BA13" s="61" t="s">
        <v>62</v>
      </c>
      <c r="BB13" s="69">
        <f>IF(LEFT(_xll.BDP($G13,BB$5),1)="#","#LOADING",_xll.BDP($G13,BB$5))</f>
        <v>0</v>
      </c>
      <c r="BC13" s="70"/>
      <c r="BD13" s="69" t="str">
        <f>IF(LEFT(_xll.BDP($G13,BD$5),1)="#","#LOADING","Type"&amp;IF(_xll.BDP($G13,BD$5)=999,1,_xll.BDP($G13,BD$5)))</f>
        <v>Type</v>
      </c>
      <c r="BE13" s="54"/>
      <c r="BG13" s="61" t="s">
        <v>7</v>
      </c>
      <c r="BH13" s="66">
        <v>1000000</v>
      </c>
      <c r="BI13" s="61" t="s">
        <v>212</v>
      </c>
      <c r="BJ13" s="61" t="s">
        <v>17</v>
      </c>
      <c r="BK13" s="70"/>
      <c r="BL13" s="73" t="e">
        <f t="shared" si="5"/>
        <v>#N/A</v>
      </c>
      <c r="BM13" s="74">
        <f t="shared" si="6"/>
        <v>0</v>
      </c>
      <c r="BN13" s="71">
        <v>1</v>
      </c>
      <c r="BO13" s="75">
        <f t="shared" si="7"/>
        <v>0</v>
      </c>
      <c r="BP13" s="61"/>
      <c r="BQ13" s="61"/>
      <c r="BR13" s="72"/>
      <c r="BS13" s="72"/>
      <c r="BT13" s="71"/>
      <c r="BU13" s="76" t="e">
        <f t="shared" si="8"/>
        <v>#VALUE!</v>
      </c>
      <c r="BV13" s="76" t="e">
        <f t="shared" si="9"/>
        <v>#VALUE!</v>
      </c>
      <c r="BW13" s="77" t="str">
        <f t="shared" si="10"/>
        <v>ZERO-COUPON</v>
      </c>
      <c r="BX13" s="77" t="str">
        <f t="shared" si="10"/>
        <v>ZERO-COUPON</v>
      </c>
      <c r="BY13" s="78">
        <f t="shared" si="11"/>
        <v>0</v>
      </c>
      <c r="BZ13" s="61"/>
      <c r="CA13" s="61"/>
      <c r="CB13" s="61" t="s">
        <v>51</v>
      </c>
      <c r="CC13" s="73" t="e">
        <f t="shared" si="12"/>
        <v>#N/A</v>
      </c>
      <c r="CD13" s="61" t="s">
        <v>51</v>
      </c>
      <c r="CE13" s="73" t="e">
        <f t="shared" si="13"/>
        <v>#N/A</v>
      </c>
      <c r="CF13" s="76" t="e">
        <f t="shared" si="14"/>
        <v>#VALUE!</v>
      </c>
      <c r="CG13" s="76" t="e">
        <f t="shared" si="15"/>
        <v>#VALUE!</v>
      </c>
      <c r="CH13" s="70" t="s">
        <v>80</v>
      </c>
      <c r="CI13" s="61"/>
      <c r="CJ13" s="61"/>
      <c r="CK13" s="61" t="s">
        <v>62</v>
      </c>
      <c r="CL13" s="61"/>
      <c r="CM13" s="61"/>
      <c r="CN13" s="76" t="str">
        <f t="shared" si="16"/>
        <v>Type</v>
      </c>
      <c r="CP13" s="61" t="s">
        <v>8</v>
      </c>
      <c r="CQ13" s="66" t="e">
        <f t="shared" si="17"/>
        <v>#VALUE!</v>
      </c>
      <c r="CR13" s="61" t="str">
        <f t="shared" si="48"/>
        <v>END</v>
      </c>
      <c r="CS13" s="61" t="s">
        <v>18</v>
      </c>
      <c r="CT13" s="135" t="e">
        <f t="shared" si="18"/>
        <v>#N/A</v>
      </c>
      <c r="CU13" s="135" t="str">
        <f t="shared" si="49"/>
        <v>DF_CSA</v>
      </c>
      <c r="CV13" s="134">
        <f t="shared" si="50"/>
        <v>0</v>
      </c>
      <c r="CW13" s="71">
        <v>1</v>
      </c>
      <c r="CX13" s="81"/>
      <c r="CY13" s="61" t="s">
        <v>32</v>
      </c>
      <c r="CZ13" s="61" t="s">
        <v>32</v>
      </c>
      <c r="DA13" s="72"/>
      <c r="DB13" s="72"/>
      <c r="DC13" s="71"/>
      <c r="DD13" s="291" t="e">
        <f t="shared" ca="1" si="51"/>
        <v>#VALUE!</v>
      </c>
      <c r="DE13" s="291" t="e">
        <f t="shared" ca="1" si="52"/>
        <v>#VALUE!</v>
      </c>
      <c r="DF13" s="53">
        <f t="shared" si="53"/>
        <v>0</v>
      </c>
      <c r="DG13" s="82">
        <f t="shared" si="54"/>
        <v>0</v>
      </c>
      <c r="DH13" s="82" t="e">
        <f t="shared" si="55"/>
        <v>#N/A</v>
      </c>
      <c r="DI13" s="61" t="str">
        <f t="shared" si="56"/>
        <v>PRECEDING</v>
      </c>
      <c r="DJ13" s="82" t="e">
        <f t="shared" si="57"/>
        <v>#N/A</v>
      </c>
      <c r="DK13" s="61" t="str">
        <f t="shared" si="58"/>
        <v>NO_CHANGE</v>
      </c>
      <c r="DL13" s="82" t="e">
        <f t="shared" si="59"/>
        <v>#N/A</v>
      </c>
      <c r="DM13" s="61" t="str">
        <f t="shared" si="60"/>
        <v>NO_CHANGE</v>
      </c>
      <c r="DN13" s="82" t="e">
        <f t="shared" si="61"/>
        <v>#N/A</v>
      </c>
      <c r="DO13" s="82"/>
      <c r="DP13" s="82"/>
      <c r="DQ13" s="70"/>
      <c r="DR13" s="61" t="str">
        <f t="shared" si="62"/>
        <v>0D</v>
      </c>
      <c r="DS13" s="61"/>
      <c r="DT13" s="61" t="str">
        <f t="shared" si="63"/>
        <v>0D</v>
      </c>
      <c r="DU13" s="61" t="str">
        <f t="shared" si="64"/>
        <v>SHORTSTART</v>
      </c>
      <c r="DV13" s="61" t="b">
        <v>0</v>
      </c>
      <c r="DW13" s="82"/>
      <c r="EA13" s="61" t="s">
        <v>7</v>
      </c>
      <c r="EB13" s="66">
        <v>1000000</v>
      </c>
      <c r="EC13" s="61" t="s">
        <v>14</v>
      </c>
      <c r="ED13" s="61" t="s">
        <v>17</v>
      </c>
      <c r="EE13" s="70"/>
      <c r="EF13" s="73" t="e">
        <f t="shared" si="19"/>
        <v>#N/A</v>
      </c>
      <c r="EG13" s="74">
        <f t="shared" si="20"/>
        <v>0</v>
      </c>
      <c r="EH13" s="71">
        <v>1</v>
      </c>
      <c r="EI13" s="75">
        <f t="shared" si="21"/>
        <v>0</v>
      </c>
      <c r="EJ13" s="61"/>
      <c r="EK13" s="61"/>
      <c r="EL13" s="72"/>
      <c r="EM13" s="72"/>
      <c r="EN13" s="71"/>
      <c r="EO13" s="76" t="e">
        <f t="shared" si="22"/>
        <v>#VALUE!</v>
      </c>
      <c r="EP13" s="76" t="e">
        <f t="shared" si="23"/>
        <v>#VALUE!</v>
      </c>
      <c r="EQ13" s="77" t="str">
        <f t="shared" si="24"/>
        <v>ZERO-COUPON</v>
      </c>
      <c r="ER13" s="77" t="str">
        <f t="shared" si="24"/>
        <v>ZERO-COUPON</v>
      </c>
      <c r="ES13" s="78">
        <f t="shared" si="25"/>
        <v>0</v>
      </c>
      <c r="ET13" s="61"/>
      <c r="EU13" s="61"/>
      <c r="EV13" s="61" t="s">
        <v>51</v>
      </c>
      <c r="EW13" s="73" t="e">
        <f t="shared" si="26"/>
        <v>#N/A</v>
      </c>
      <c r="EX13" s="61" t="s">
        <v>51</v>
      </c>
      <c r="EY13" s="73" t="e">
        <f t="shared" si="27"/>
        <v>#N/A</v>
      </c>
      <c r="EZ13" s="76" t="e">
        <f t="shared" si="28"/>
        <v>#VALUE!</v>
      </c>
      <c r="FA13" s="76" t="e">
        <f t="shared" si="29"/>
        <v>#VALUE!</v>
      </c>
      <c r="FB13" s="70" t="s">
        <v>80</v>
      </c>
      <c r="FC13" s="61"/>
      <c r="FD13" s="61"/>
      <c r="FE13" s="61" t="s">
        <v>62</v>
      </c>
      <c r="FF13" s="61"/>
      <c r="FG13" s="61"/>
      <c r="FH13" s="76" t="str">
        <f t="shared" si="30"/>
        <v>Type</v>
      </c>
      <c r="FJ13" s="61" t="s">
        <v>8</v>
      </c>
      <c r="FK13" s="66">
        <v>1000000</v>
      </c>
      <c r="FL13" s="61" t="s">
        <v>14</v>
      </c>
      <c r="FM13" s="61" t="s">
        <v>18</v>
      </c>
      <c r="FN13" s="115" t="e">
        <f t="shared" si="31"/>
        <v>#N/A</v>
      </c>
      <c r="FO13" s="115" t="e">
        <f t="shared" si="32"/>
        <v>#N/A</v>
      </c>
      <c r="FP13" s="116">
        <f t="shared" si="65"/>
        <v>0</v>
      </c>
      <c r="FQ13" s="71">
        <v>1</v>
      </c>
      <c r="FR13" s="81"/>
      <c r="FS13" s="61" t="s">
        <v>32</v>
      </c>
      <c r="FT13" s="61" t="s">
        <v>32</v>
      </c>
      <c r="FU13" s="72"/>
      <c r="FV13" s="72"/>
      <c r="FW13" s="71"/>
      <c r="FX13" s="76" t="e">
        <f t="shared" si="33"/>
        <v>#VALUE!</v>
      </c>
      <c r="FY13" s="76" t="e">
        <f t="shared" si="34"/>
        <v>#VALUE!</v>
      </c>
      <c r="FZ13" s="73">
        <f t="shared" si="35"/>
        <v>0</v>
      </c>
      <c r="GA13" s="73">
        <f t="shared" si="35"/>
        <v>0</v>
      </c>
      <c r="GB13" s="73" t="e">
        <f t="shared" si="36"/>
        <v>#N/A</v>
      </c>
      <c r="GC13" s="61" t="s">
        <v>58</v>
      </c>
      <c r="GD13" s="73" t="e">
        <f t="shared" si="37"/>
        <v>#N/A</v>
      </c>
      <c r="GE13" s="61" t="s">
        <v>51</v>
      </c>
      <c r="GF13" s="73" t="e">
        <f t="shared" si="38"/>
        <v>#N/A</v>
      </c>
      <c r="GG13" s="61" t="s">
        <v>51</v>
      </c>
      <c r="GH13" s="73" t="e">
        <f t="shared" si="39"/>
        <v>#N/A</v>
      </c>
      <c r="GI13" s="82"/>
      <c r="GJ13" s="82"/>
      <c r="GK13" s="70"/>
      <c r="GL13" s="61" t="s">
        <v>62</v>
      </c>
      <c r="GM13" s="61"/>
      <c r="GN13" s="61" t="s">
        <v>62</v>
      </c>
      <c r="GO13" s="61" t="s">
        <v>75</v>
      </c>
      <c r="GP13" s="61" t="b">
        <v>0</v>
      </c>
      <c r="GQ13" s="82"/>
      <c r="GU13" s="95">
        <f t="shared" si="40"/>
        <v>0</v>
      </c>
      <c r="GV13" s="42">
        <f>IF(LEFT(_xll.BDP($C13,GV$5),1)="#","#LOADING",_xll.BDP($C13,GV$5))</f>
        <v>0</v>
      </c>
      <c r="GW13" s="74">
        <f t="shared" si="41"/>
        <v>0</v>
      </c>
      <c r="GX13" s="74" t="e">
        <f t="shared" si="42"/>
        <v>#VALUE!</v>
      </c>
      <c r="GY13" s="64" t="s">
        <v>20</v>
      </c>
      <c r="GZ13" s="42" t="b">
        <f>IF(LEFT(_xll.BDP($C13,GZ$5),1)="#","#LOADING",IF(_xll.BDP($C13,GZ$5)="CLEAN",TRUE,FALSE))</f>
        <v>0</v>
      </c>
      <c r="HA13" s="64" t="s">
        <v>26</v>
      </c>
      <c r="HB13" s="61" t="s">
        <v>18</v>
      </c>
      <c r="HC13" s="65" t="s">
        <v>28</v>
      </c>
      <c r="HD13" s="66">
        <v>1000000</v>
      </c>
      <c r="HE13" s="96" t="e">
        <f>IF(LEFT(_xll.BDP($C13,HE$5),1)="#","#LOADING",DATEVALUE(_xll.BDP($C13,HE$5)))</f>
        <v>#VALUE!</v>
      </c>
      <c r="HF13" s="96" t="e">
        <f>IF(LEFT(_xll.BDP($C13,HF$5),1)="#","#LOADING",DATEVALUE(_xll.BDP($C13,HF$5)))</f>
        <v>#VALUE!</v>
      </c>
      <c r="HG13" s="96" t="e">
        <f>IF(LEFT(_xll.BDP($C13,HG$5),1)="#","#LOADING",DATEVALUE(_xll.BDP($C13,HG$5)))</f>
        <v>#VALUE!</v>
      </c>
      <c r="HH13" s="96" t="e">
        <f>IF(LEFT(_xll.BDP($C13,HH$5),1)="#","#LOADING",DATEVALUE(_xll.BDP($C13,HH$5)))</f>
        <v>#VALUE!</v>
      </c>
      <c r="HI13" s="96" t="e">
        <f>IF(LEFT(_xll.BDP($C13,HI$5),1)="#","#LOADING",DATEVALUE(_xll.BDP($C13,HI$5)))</f>
        <v>#VALUE!</v>
      </c>
      <c r="HJ13" s="97">
        <f>IF(LEFT(_xll.BDP($C13,HJ$5),1)="#","#LOADING",_xll.BDP($C13,HJ$5)%)</f>
        <v>0</v>
      </c>
      <c r="HK13" s="97" t="str">
        <f>IF(LEFT(_xll.BDP($C13,HK$5),1)="#","#LOADING",VLOOKUP(_xll.BDP($C13,HK$5),Static.CouponFrequency,2,FALSE))</f>
        <v>ZERO-COUPON</v>
      </c>
      <c r="HL13" s="68" t="s">
        <v>51</v>
      </c>
      <c r="HM13" s="73" t="e">
        <f t="shared" si="43"/>
        <v>#N/A</v>
      </c>
      <c r="HN13" s="61" t="s">
        <v>51</v>
      </c>
      <c r="HO13" s="73" t="e">
        <f t="shared" si="44"/>
        <v>#N/A</v>
      </c>
      <c r="HP13" s="61" t="s">
        <v>62</v>
      </c>
      <c r="HQ13" s="43">
        <f>IF(LEFT(_xll.BDP($C13,HQ$5),1)="#","#LOADING",_xll.BDP($C13,HQ$5))</f>
        <v>0</v>
      </c>
      <c r="HR13" s="70"/>
      <c r="HS13" s="43" t="str">
        <f>IF(LEFT(_xll.BDP($C13,HS$5),1)="#","#LOADING","Type"&amp;IF(_xll.BDP($C13,HS$5)=999,1,_xll.BDP($C13,HS$5)))</f>
        <v>Type</v>
      </c>
    </row>
    <row r="14" spans="1:228">
      <c r="A14" s="101">
        <v>8</v>
      </c>
      <c r="B14" s="57"/>
      <c r="C14" s="57"/>
      <c r="D14" s="57"/>
      <c r="E14" s="57"/>
      <c r="F14" s="57"/>
      <c r="G14" s="57"/>
      <c r="H14" s="57"/>
      <c r="I14" s="57"/>
      <c r="J14" s="101">
        <v>8</v>
      </c>
      <c r="K14" s="58" t="s">
        <v>163</v>
      </c>
      <c r="L14" s="59" t="str">
        <f>IF(ISBLANK(M14),IF($G14="","",_xll.BDP(AI14&amp;" "&amp;$K14&amp;" Corp","PX_LAST")),M14)</f>
        <v/>
      </c>
      <c r="M14" s="60"/>
      <c r="N14" s="83" t="str">
        <f ca="1">IF(ISBLANK($O14),IF($G14="","",_xll.meLWOAssetSwapSpread($AB14,$AA14,$L14,_xll.meUtilityLVBFromKeysValues($S$6:$V$6,S14:V14),INDIRECT("Fixings"&amp;$D14&amp;IF($I14="QUARTERLY","3ML","6ML")))),$O14)</f>
        <v/>
      </c>
      <c r="O14" s="60"/>
      <c r="P14" s="84" t="str">
        <f ca="1">IF($C14="","",_xll.meLWOAssetSwapSpreadToCleanPrice($AC14,$N14,INDIRECT("ValuationSettings"&amp;$D14),INDIRECT("Fixings"&amp;$D14&amp;IF($E14="QUARTERLY","3ML","6ML"))))</f>
        <v/>
      </c>
      <c r="Q14" s="84" t="str">
        <f>IF($C14="","",_xll.meLWOBondPriceFromCleanToDirty($AD14,V14,$P14))</f>
        <v/>
      </c>
      <c r="R14" s="98" t="str">
        <f>IF($C14="","",_xll.meLWOBondYield($AD14,V14,IF($GZ14,$P14,$Q14)))</f>
        <v/>
      </c>
      <c r="S14" s="98" t="str">
        <f t="shared" ca="1" si="66"/>
        <v/>
      </c>
      <c r="T14" s="98" t="str">
        <f t="shared" ca="1" si="67"/>
        <v/>
      </c>
      <c r="U14" s="129" t="str">
        <f>IF($C14="","",_xll.BDH(D14&amp;H14&amp;" Curncy","MID",Settings.ValuationDate,Settings.ValuationDate))</f>
        <v/>
      </c>
      <c r="V14" s="127" t="str">
        <f t="shared" ca="1" si="68"/>
        <v/>
      </c>
      <c r="W14" s="98" t="str">
        <f t="shared" si="69"/>
        <v/>
      </c>
      <c r="X14" s="98" t="str">
        <f t="shared" si="70"/>
        <v/>
      </c>
      <c r="Y14" s="98" t="str">
        <f t="shared" si="71"/>
        <v/>
      </c>
      <c r="Z14" s="101">
        <v>8</v>
      </c>
      <c r="AA14" s="53" t="str">
        <f>IF($G14="","",IF(LEFT(AG14,1)="#","#LOADING",_xll.meLWOBondCreateFromLVB("PROXY_BOND_"&amp;$AI14,_xll.meUtilityLVBFromKeysValues($AF$6:$BD$6,$AF14:$BD14))))</f>
        <v/>
      </c>
      <c r="AB14" s="135" t="str">
        <f ca="1">IF($G14="","",_xll.meLWOXccySwapCreate("PROXY_XCCY_ASW_"&amp;$AI14,_xll.meUtilityLVBFromKeysAndMultipleValues($BG$6:$CN$6,$BG14:$CN14,$CP14:$DW14),_xll.meUtilityLVBFromKeysValues($W$6:$Y$6,W14:Y14)))</f>
        <v/>
      </c>
      <c r="AC14" s="53" t="str">
        <f>IF($C14="","",_xll.meLWOSwapCreate("BOND_ASW_"&amp;$GX14,_xll.meUtilityLVBFromKeysAndMultipleValues($EA$6:$FH$6,$EA14:$FH14,$FJ14:$GQ14)))</f>
        <v/>
      </c>
      <c r="AD14" s="53" t="str">
        <f>IF($C14="","",IF(LEFT(GV14,1)="#","#LOADING",_xll.meLWOBondCreateFromLVB("PROXY_BOND_"&amp;$GX14,_xll.meUtilityLVBFromKeysValues($GU$6:$HS$6,$GU14:$HS14))))</f>
        <v/>
      </c>
      <c r="AE14" t="s">
        <v>0</v>
      </c>
      <c r="AF14" s="62">
        <f t="shared" si="46"/>
        <v>0</v>
      </c>
      <c r="AG14" s="63">
        <f>IF(LEFT(_xll.BDP($G14,AG$5),1)="#","#LOADING",_xll.BDP($G14,AG$5))</f>
        <v>0</v>
      </c>
      <c r="AH14" s="41">
        <f t="shared" si="47"/>
        <v>0</v>
      </c>
      <c r="AI14" s="63">
        <f>IF(LEFT(_xll.BDP($G14,AI$5),1)="#","#LOADING",_xll.BDP($G14,AI$5))</f>
        <v>0</v>
      </c>
      <c r="AJ14" s="64" t="s">
        <v>20</v>
      </c>
      <c r="AK14" s="63" t="b">
        <f>IF(LEFT(_xll.BDP($G14,AK$5),1)="#","#LOADING",IF(_xll.BDP($G14,AK$5)="CLEAN",TRUE,FALSE))</f>
        <v>0</v>
      </c>
      <c r="AL14" s="64" t="s">
        <v>26</v>
      </c>
      <c r="AM14" s="61" t="s">
        <v>18</v>
      </c>
      <c r="AN14" s="65" t="s">
        <v>28</v>
      </c>
      <c r="AO14" s="66">
        <v>1000000</v>
      </c>
      <c r="AP14" s="63" t="e">
        <f>IF(LEFT(_xll.BDP($G14,AP$5),1)="#","#LOADING",DATEVALUE(_xll.BDP($G14,AP$5)))</f>
        <v>#VALUE!</v>
      </c>
      <c r="AQ14" s="63" t="e">
        <f>IF(LEFT(_xll.BDP($G14,AQ$5),1)="#","#LOADING",DATEVALUE(_xll.BDP($G14,AQ$5)))</f>
        <v>#VALUE!</v>
      </c>
      <c r="AR14" s="63" t="e">
        <f>IF(LEFT(_xll.BDP($G14,AR$5),1)="#","#LOADING",DATEVALUE(_xll.BDP($G14,AR$5)))</f>
        <v>#VALUE!</v>
      </c>
      <c r="AS14" s="63" t="e">
        <f>IF(LEFT(_xll.BDP($G14,AS$5),1)="#","#LOADING",DATEVALUE(_xll.BDP($G14,AS$5)))</f>
        <v>#VALUE!</v>
      </c>
      <c r="AT14" s="63" t="e">
        <f>IF(LEFT(_xll.BDP($G14,AT$5),1)="#","#LOADING",DATEVALUE(_xll.BDP($G14,AT$5)))</f>
        <v>#VALUE!</v>
      </c>
      <c r="AU14" s="67">
        <f>IF(LEFT(_xll.BDP($G14,AU$5),1)="#","#LOADING",_xll.BDP($G14,AU$5)%)</f>
        <v>0</v>
      </c>
      <c r="AV14" s="67" t="str">
        <f>IF(LEFT(_xll.BDP($G14,AV$5),1)="#","#LOADING",VLOOKUP(_xll.BDP($G14,AV$5),Static.CouponFrequency,2,FALSE))</f>
        <v>ZERO-COUPON</v>
      </c>
      <c r="AW14" s="68" t="s">
        <v>51</v>
      </c>
      <c r="AX14" s="53" t="e">
        <f t="shared" si="3"/>
        <v>#N/A</v>
      </c>
      <c r="AY14" s="61" t="s">
        <v>51</v>
      </c>
      <c r="AZ14" s="53" t="e">
        <f t="shared" si="4"/>
        <v>#N/A</v>
      </c>
      <c r="BA14" s="61" t="s">
        <v>62</v>
      </c>
      <c r="BB14" s="69">
        <f>IF(LEFT(_xll.BDP($G14,BB$5),1)="#","#LOADING",_xll.BDP($G14,BB$5))</f>
        <v>0</v>
      </c>
      <c r="BC14" s="70"/>
      <c r="BD14" s="69" t="str">
        <f>IF(LEFT(_xll.BDP($G14,BD$5),1)="#","#LOADING","Type"&amp;IF(_xll.BDP($G14,BD$5)=999,1,_xll.BDP($G14,BD$5)))</f>
        <v>Type</v>
      </c>
      <c r="BE14" s="54"/>
      <c r="BG14" s="61" t="s">
        <v>7</v>
      </c>
      <c r="BH14" s="66">
        <v>1000000</v>
      </c>
      <c r="BI14" s="61" t="s">
        <v>212</v>
      </c>
      <c r="BJ14" s="61" t="s">
        <v>17</v>
      </c>
      <c r="BK14" s="70"/>
      <c r="BL14" s="73" t="e">
        <f t="shared" si="5"/>
        <v>#N/A</v>
      </c>
      <c r="BM14" s="74">
        <f t="shared" si="6"/>
        <v>0</v>
      </c>
      <c r="BN14" s="71">
        <v>1</v>
      </c>
      <c r="BO14" s="75">
        <f t="shared" si="7"/>
        <v>0</v>
      </c>
      <c r="BP14" s="61"/>
      <c r="BQ14" s="61"/>
      <c r="BR14" s="72"/>
      <c r="BS14" s="72"/>
      <c r="BT14" s="71"/>
      <c r="BU14" s="76" t="e">
        <f t="shared" si="8"/>
        <v>#VALUE!</v>
      </c>
      <c r="BV14" s="76" t="e">
        <f t="shared" si="9"/>
        <v>#VALUE!</v>
      </c>
      <c r="BW14" s="77" t="str">
        <f t="shared" si="10"/>
        <v>ZERO-COUPON</v>
      </c>
      <c r="BX14" s="77" t="str">
        <f t="shared" si="10"/>
        <v>ZERO-COUPON</v>
      </c>
      <c r="BY14" s="78">
        <f t="shared" si="11"/>
        <v>0</v>
      </c>
      <c r="BZ14" s="61"/>
      <c r="CA14" s="61"/>
      <c r="CB14" s="61" t="s">
        <v>51</v>
      </c>
      <c r="CC14" s="73" t="e">
        <f t="shared" si="12"/>
        <v>#N/A</v>
      </c>
      <c r="CD14" s="61" t="s">
        <v>51</v>
      </c>
      <c r="CE14" s="73" t="e">
        <f t="shared" si="13"/>
        <v>#N/A</v>
      </c>
      <c r="CF14" s="76" t="e">
        <f t="shared" si="14"/>
        <v>#VALUE!</v>
      </c>
      <c r="CG14" s="76" t="e">
        <f t="shared" si="15"/>
        <v>#VALUE!</v>
      </c>
      <c r="CH14" s="70" t="s">
        <v>80</v>
      </c>
      <c r="CI14" s="61"/>
      <c r="CJ14" s="61"/>
      <c r="CK14" s="61" t="s">
        <v>62</v>
      </c>
      <c r="CL14" s="61"/>
      <c r="CM14" s="61"/>
      <c r="CN14" s="76" t="str">
        <f t="shared" si="16"/>
        <v>Type</v>
      </c>
      <c r="CP14" s="61" t="s">
        <v>8</v>
      </c>
      <c r="CQ14" s="66" t="e">
        <f t="shared" si="17"/>
        <v>#VALUE!</v>
      </c>
      <c r="CR14" s="61" t="str">
        <f t="shared" si="48"/>
        <v>END</v>
      </c>
      <c r="CS14" s="61" t="s">
        <v>18</v>
      </c>
      <c r="CT14" s="135" t="e">
        <f t="shared" si="18"/>
        <v>#N/A</v>
      </c>
      <c r="CU14" s="135" t="str">
        <f t="shared" si="49"/>
        <v>DF_CSA</v>
      </c>
      <c r="CV14" s="134">
        <f t="shared" si="50"/>
        <v>0</v>
      </c>
      <c r="CW14" s="71">
        <v>1</v>
      </c>
      <c r="CX14" s="81"/>
      <c r="CY14" s="61" t="s">
        <v>32</v>
      </c>
      <c r="CZ14" s="61" t="s">
        <v>32</v>
      </c>
      <c r="DA14" s="72"/>
      <c r="DB14" s="72"/>
      <c r="DC14" s="71"/>
      <c r="DD14" s="291" t="e">
        <f t="shared" ca="1" si="51"/>
        <v>#VALUE!</v>
      </c>
      <c r="DE14" s="291" t="e">
        <f t="shared" ca="1" si="52"/>
        <v>#VALUE!</v>
      </c>
      <c r="DF14" s="53">
        <f t="shared" si="53"/>
        <v>0</v>
      </c>
      <c r="DG14" s="82">
        <f t="shared" si="54"/>
        <v>0</v>
      </c>
      <c r="DH14" s="82" t="e">
        <f t="shared" si="55"/>
        <v>#N/A</v>
      </c>
      <c r="DI14" s="61" t="str">
        <f t="shared" si="56"/>
        <v>PRECEDING</v>
      </c>
      <c r="DJ14" s="82" t="e">
        <f t="shared" si="57"/>
        <v>#N/A</v>
      </c>
      <c r="DK14" s="61" t="str">
        <f t="shared" si="58"/>
        <v>NO_CHANGE</v>
      </c>
      <c r="DL14" s="82" t="e">
        <f t="shared" si="59"/>
        <v>#N/A</v>
      </c>
      <c r="DM14" s="61" t="str">
        <f t="shared" si="60"/>
        <v>NO_CHANGE</v>
      </c>
      <c r="DN14" s="82" t="e">
        <f t="shared" si="61"/>
        <v>#N/A</v>
      </c>
      <c r="DO14" s="82"/>
      <c r="DP14" s="82"/>
      <c r="DQ14" s="70"/>
      <c r="DR14" s="61" t="str">
        <f t="shared" si="62"/>
        <v>0D</v>
      </c>
      <c r="DS14" s="61"/>
      <c r="DT14" s="61" t="str">
        <f t="shared" si="63"/>
        <v>0D</v>
      </c>
      <c r="DU14" s="61" t="str">
        <f t="shared" si="64"/>
        <v>SHORTSTART</v>
      </c>
      <c r="DV14" s="61" t="b">
        <v>0</v>
      </c>
      <c r="DW14" s="82"/>
      <c r="EA14" s="61" t="s">
        <v>7</v>
      </c>
      <c r="EB14" s="66">
        <v>1000000</v>
      </c>
      <c r="EC14" s="61" t="s">
        <v>14</v>
      </c>
      <c r="ED14" s="61" t="s">
        <v>17</v>
      </c>
      <c r="EE14" s="70"/>
      <c r="EF14" s="73" t="e">
        <f t="shared" si="19"/>
        <v>#N/A</v>
      </c>
      <c r="EG14" s="74">
        <f t="shared" si="20"/>
        <v>0</v>
      </c>
      <c r="EH14" s="71">
        <v>1</v>
      </c>
      <c r="EI14" s="75">
        <f t="shared" si="21"/>
        <v>0</v>
      </c>
      <c r="EJ14" s="61"/>
      <c r="EK14" s="61"/>
      <c r="EL14" s="72"/>
      <c r="EM14" s="72"/>
      <c r="EN14" s="71"/>
      <c r="EO14" s="76" t="e">
        <f t="shared" si="22"/>
        <v>#VALUE!</v>
      </c>
      <c r="EP14" s="76" t="e">
        <f t="shared" si="23"/>
        <v>#VALUE!</v>
      </c>
      <c r="EQ14" s="77" t="str">
        <f t="shared" si="24"/>
        <v>ZERO-COUPON</v>
      </c>
      <c r="ER14" s="77" t="str">
        <f t="shared" si="24"/>
        <v>ZERO-COUPON</v>
      </c>
      <c r="ES14" s="78">
        <f t="shared" si="25"/>
        <v>0</v>
      </c>
      <c r="ET14" s="61"/>
      <c r="EU14" s="61"/>
      <c r="EV14" s="61" t="s">
        <v>51</v>
      </c>
      <c r="EW14" s="73" t="e">
        <f t="shared" si="26"/>
        <v>#N/A</v>
      </c>
      <c r="EX14" s="61" t="s">
        <v>51</v>
      </c>
      <c r="EY14" s="73" t="e">
        <f t="shared" si="27"/>
        <v>#N/A</v>
      </c>
      <c r="EZ14" s="76" t="e">
        <f t="shared" si="28"/>
        <v>#VALUE!</v>
      </c>
      <c r="FA14" s="76" t="e">
        <f t="shared" si="29"/>
        <v>#VALUE!</v>
      </c>
      <c r="FB14" s="70" t="s">
        <v>80</v>
      </c>
      <c r="FC14" s="61"/>
      <c r="FD14" s="61"/>
      <c r="FE14" s="61" t="s">
        <v>62</v>
      </c>
      <c r="FF14" s="61"/>
      <c r="FG14" s="61"/>
      <c r="FH14" s="76" t="str">
        <f t="shared" si="30"/>
        <v>Type</v>
      </c>
      <c r="FJ14" s="61" t="s">
        <v>8</v>
      </c>
      <c r="FK14" s="66">
        <v>1000000</v>
      </c>
      <c r="FL14" s="61" t="s">
        <v>14</v>
      </c>
      <c r="FM14" s="61" t="s">
        <v>18</v>
      </c>
      <c r="FN14" s="115" t="e">
        <f t="shared" si="31"/>
        <v>#N/A</v>
      </c>
      <c r="FO14" s="115" t="e">
        <f t="shared" si="32"/>
        <v>#N/A</v>
      </c>
      <c r="FP14" s="116">
        <f t="shared" si="65"/>
        <v>0</v>
      </c>
      <c r="FQ14" s="71">
        <v>1</v>
      </c>
      <c r="FR14" s="81"/>
      <c r="FS14" s="61" t="s">
        <v>32</v>
      </c>
      <c r="FT14" s="61" t="s">
        <v>32</v>
      </c>
      <c r="FU14" s="72"/>
      <c r="FV14" s="72"/>
      <c r="FW14" s="71"/>
      <c r="FX14" s="76" t="e">
        <f t="shared" si="33"/>
        <v>#VALUE!</v>
      </c>
      <c r="FY14" s="76" t="e">
        <f t="shared" si="34"/>
        <v>#VALUE!</v>
      </c>
      <c r="FZ14" s="73">
        <f t="shared" si="35"/>
        <v>0</v>
      </c>
      <c r="GA14" s="73">
        <f t="shared" si="35"/>
        <v>0</v>
      </c>
      <c r="GB14" s="73" t="e">
        <f t="shared" si="36"/>
        <v>#N/A</v>
      </c>
      <c r="GC14" s="61" t="s">
        <v>58</v>
      </c>
      <c r="GD14" s="73" t="e">
        <f t="shared" si="37"/>
        <v>#N/A</v>
      </c>
      <c r="GE14" s="61" t="s">
        <v>51</v>
      </c>
      <c r="GF14" s="73" t="e">
        <f t="shared" si="38"/>
        <v>#N/A</v>
      </c>
      <c r="GG14" s="61" t="s">
        <v>51</v>
      </c>
      <c r="GH14" s="73" t="e">
        <f t="shared" si="39"/>
        <v>#N/A</v>
      </c>
      <c r="GI14" s="82"/>
      <c r="GJ14" s="82"/>
      <c r="GK14" s="70"/>
      <c r="GL14" s="61" t="s">
        <v>62</v>
      </c>
      <c r="GM14" s="61"/>
      <c r="GN14" s="61" t="s">
        <v>62</v>
      </c>
      <c r="GO14" s="61" t="s">
        <v>75</v>
      </c>
      <c r="GP14" s="61" t="b">
        <v>0</v>
      </c>
      <c r="GQ14" s="82"/>
      <c r="GU14" s="95">
        <f t="shared" si="40"/>
        <v>0</v>
      </c>
      <c r="GV14" s="42">
        <f>IF(LEFT(_xll.BDP($C14,GV$5),1)="#","#LOADING",_xll.BDP($C14,GV$5))</f>
        <v>0</v>
      </c>
      <c r="GW14" s="74">
        <f t="shared" si="41"/>
        <v>0</v>
      </c>
      <c r="GX14" s="74" t="e">
        <f t="shared" si="42"/>
        <v>#VALUE!</v>
      </c>
      <c r="GY14" s="64" t="s">
        <v>20</v>
      </c>
      <c r="GZ14" s="42" t="b">
        <f>IF(LEFT(_xll.BDP($C14,GZ$5),1)="#","#LOADING",IF(_xll.BDP($C14,GZ$5)="CLEAN",TRUE,FALSE))</f>
        <v>0</v>
      </c>
      <c r="HA14" s="64" t="s">
        <v>26</v>
      </c>
      <c r="HB14" s="61" t="s">
        <v>18</v>
      </c>
      <c r="HC14" s="65" t="s">
        <v>28</v>
      </c>
      <c r="HD14" s="66">
        <v>1000000</v>
      </c>
      <c r="HE14" s="96" t="e">
        <f>IF(LEFT(_xll.BDP($C14,HE$5),1)="#","#LOADING",DATEVALUE(_xll.BDP($C14,HE$5)))</f>
        <v>#VALUE!</v>
      </c>
      <c r="HF14" s="96" t="e">
        <f>IF(LEFT(_xll.BDP($C14,HF$5),1)="#","#LOADING",DATEVALUE(_xll.BDP($C14,HF$5)))</f>
        <v>#VALUE!</v>
      </c>
      <c r="HG14" s="96" t="e">
        <f>IF(LEFT(_xll.BDP($C14,HG$5),1)="#","#LOADING",DATEVALUE(_xll.BDP($C14,HG$5)))</f>
        <v>#VALUE!</v>
      </c>
      <c r="HH14" s="96" t="e">
        <f>IF(LEFT(_xll.BDP($C14,HH$5),1)="#","#LOADING",DATEVALUE(_xll.BDP($C14,HH$5)))</f>
        <v>#VALUE!</v>
      </c>
      <c r="HI14" s="96" t="e">
        <f>IF(LEFT(_xll.BDP($C14,HI$5),1)="#","#LOADING",DATEVALUE(_xll.BDP($C14,HI$5)))</f>
        <v>#VALUE!</v>
      </c>
      <c r="HJ14" s="97">
        <f>IF(LEFT(_xll.BDP($C14,HJ$5),1)="#","#LOADING",_xll.BDP($C14,HJ$5)%)</f>
        <v>0</v>
      </c>
      <c r="HK14" s="97" t="str">
        <f>IF(LEFT(_xll.BDP($C14,HK$5),1)="#","#LOADING",VLOOKUP(_xll.BDP($C14,HK$5),Static.CouponFrequency,2,FALSE))</f>
        <v>ZERO-COUPON</v>
      </c>
      <c r="HL14" s="68" t="s">
        <v>51</v>
      </c>
      <c r="HM14" s="73" t="e">
        <f t="shared" si="43"/>
        <v>#N/A</v>
      </c>
      <c r="HN14" s="61" t="s">
        <v>51</v>
      </c>
      <c r="HO14" s="73" t="e">
        <f t="shared" si="44"/>
        <v>#N/A</v>
      </c>
      <c r="HP14" s="61" t="s">
        <v>62</v>
      </c>
      <c r="HQ14" s="43">
        <f>IF(LEFT(_xll.BDP($C14,HQ$5),1)="#","#LOADING",_xll.BDP($C14,HQ$5))</f>
        <v>0</v>
      </c>
      <c r="HR14" s="70"/>
      <c r="HS14" s="43" t="str">
        <f>IF(LEFT(_xll.BDP($C14,HS$5),1)="#","#LOADING","Type"&amp;IF(_xll.BDP($C14,HS$5)=999,1,_xll.BDP($C14,HS$5)))</f>
        <v>Type</v>
      </c>
    </row>
    <row r="15" spans="1:228">
      <c r="A15" s="101">
        <v>9</v>
      </c>
      <c r="B15" s="57"/>
      <c r="C15" s="57"/>
      <c r="D15" s="57"/>
      <c r="E15" s="57"/>
      <c r="F15" s="57"/>
      <c r="G15" s="57"/>
      <c r="H15" s="57"/>
      <c r="I15" s="57"/>
      <c r="J15" s="101">
        <v>9</v>
      </c>
      <c r="K15" s="58" t="s">
        <v>163</v>
      </c>
      <c r="L15" s="59" t="str">
        <f>IF(ISBLANK(M15),IF($G15="","",_xll.BDP(AI15&amp;" "&amp;$K15&amp;" Corp","PX_LAST")),M15)</f>
        <v/>
      </c>
      <c r="M15" s="60"/>
      <c r="N15" s="83" t="str">
        <f ca="1">IF(ISBLANK($O15),IF($G15="","",_xll.meLWOAssetSwapSpread($AB15,$AA15,$L15,_xll.meUtilityLVBFromKeysValues($S$6:$V$6,S15:V15),INDIRECT("Fixings"&amp;$D15&amp;IF($I15="QUARTERLY","3ML","6ML")))),$O15)</f>
        <v/>
      </c>
      <c r="O15" s="60"/>
      <c r="P15" s="84" t="str">
        <f ca="1">IF($C15="","",_xll.meLWOAssetSwapSpreadToCleanPrice($AC15,$N15,INDIRECT("ValuationSettings"&amp;$D15),INDIRECT("Fixings"&amp;$D15&amp;IF($E15="QUARTERLY","3ML","6ML"))))</f>
        <v/>
      </c>
      <c r="Q15" s="84" t="str">
        <f>IF($C15="","",_xll.meLWOBondPriceFromCleanToDirty($AD15,V15,$P15))</f>
        <v/>
      </c>
      <c r="R15" s="98" t="str">
        <f>IF($C15="","",_xll.meLWOBondYield($AD15,V15,IF($GZ15,$P15,$Q15)))</f>
        <v/>
      </c>
      <c r="S15" s="98" t="str">
        <f t="shared" ca="1" si="66"/>
        <v/>
      </c>
      <c r="T15" s="98" t="str">
        <f t="shared" ca="1" si="67"/>
        <v/>
      </c>
      <c r="U15" s="129" t="str">
        <f>IF($C15="","",_xll.BDH(D15&amp;H15&amp;" Curncy","MID",Settings.ValuationDate,Settings.ValuationDate))</f>
        <v/>
      </c>
      <c r="V15" s="127" t="str">
        <f t="shared" ca="1" si="68"/>
        <v/>
      </c>
      <c r="W15" s="98" t="str">
        <f t="shared" si="69"/>
        <v/>
      </c>
      <c r="X15" s="98" t="str">
        <f t="shared" si="70"/>
        <v/>
      </c>
      <c r="Y15" s="98" t="str">
        <f t="shared" si="71"/>
        <v/>
      </c>
      <c r="Z15" s="101">
        <v>9</v>
      </c>
      <c r="AA15" s="53" t="str">
        <f>IF($G15="","",IF(LEFT(AG15,1)="#","#LOADING",_xll.meLWOBondCreateFromLVB("PROXY_BOND_"&amp;$AI15,_xll.meUtilityLVBFromKeysValues($AF$6:$BD$6,$AF15:$BD15))))</f>
        <v/>
      </c>
      <c r="AB15" s="135" t="str">
        <f ca="1">IF($G15="","",_xll.meLWOXccySwapCreate("PROXY_XCCY_ASW_"&amp;$AI15,_xll.meUtilityLVBFromKeysAndMultipleValues($BG$6:$CN$6,$BG15:$CN15,$CP15:$DW15),_xll.meUtilityLVBFromKeysValues($W$6:$Y$6,W15:Y15)))</f>
        <v/>
      </c>
      <c r="AC15" s="53" t="str">
        <f>IF($C15="","",_xll.meLWOSwapCreate("BOND_ASW_"&amp;$GX15,_xll.meUtilityLVBFromKeysAndMultipleValues($EA$6:$FH$6,$EA15:$FH15,$FJ15:$GQ15)))</f>
        <v/>
      </c>
      <c r="AD15" s="53" t="str">
        <f>IF($C15="","",IF(LEFT(GV15,1)="#","#LOADING",_xll.meLWOBondCreateFromLVB("PROXY_BOND_"&amp;$GX15,_xll.meUtilityLVBFromKeysValues($GU$6:$HS$6,$GU15:$HS15))))</f>
        <v/>
      </c>
      <c r="AE15" t="s">
        <v>0</v>
      </c>
      <c r="AF15" s="62">
        <f t="shared" si="46"/>
        <v>0</v>
      </c>
      <c r="AG15" s="63">
        <f>IF(LEFT(_xll.BDP($G15,AG$5),1)="#","#LOADING",_xll.BDP($G15,AG$5))</f>
        <v>0</v>
      </c>
      <c r="AH15" s="41">
        <f t="shared" si="47"/>
        <v>0</v>
      </c>
      <c r="AI15" s="63">
        <f>IF(LEFT(_xll.BDP($G15,AI$5),1)="#","#LOADING",_xll.BDP($G15,AI$5))</f>
        <v>0</v>
      </c>
      <c r="AJ15" s="64" t="s">
        <v>20</v>
      </c>
      <c r="AK15" s="63" t="b">
        <f>IF(LEFT(_xll.BDP($G15,AK$5),1)="#","#LOADING",IF(_xll.BDP($G15,AK$5)="CLEAN",TRUE,FALSE))</f>
        <v>0</v>
      </c>
      <c r="AL15" s="64" t="s">
        <v>26</v>
      </c>
      <c r="AM15" s="61" t="s">
        <v>18</v>
      </c>
      <c r="AN15" s="65" t="s">
        <v>28</v>
      </c>
      <c r="AO15" s="66">
        <v>1000000</v>
      </c>
      <c r="AP15" s="63" t="e">
        <f>IF(LEFT(_xll.BDP($G15,AP$5),1)="#","#LOADING",DATEVALUE(_xll.BDP($G15,AP$5)))</f>
        <v>#VALUE!</v>
      </c>
      <c r="AQ15" s="63" t="e">
        <f>IF(LEFT(_xll.BDP($G15,AQ$5),1)="#","#LOADING",DATEVALUE(_xll.BDP($G15,AQ$5)))</f>
        <v>#VALUE!</v>
      </c>
      <c r="AR15" s="63" t="e">
        <f>IF(LEFT(_xll.BDP($G15,AR$5),1)="#","#LOADING",DATEVALUE(_xll.BDP($G15,AR$5)))</f>
        <v>#VALUE!</v>
      </c>
      <c r="AS15" s="63" t="e">
        <f>IF(LEFT(_xll.BDP($G15,AS$5),1)="#","#LOADING",DATEVALUE(_xll.BDP($G15,AS$5)))</f>
        <v>#VALUE!</v>
      </c>
      <c r="AT15" s="63" t="e">
        <f>IF(LEFT(_xll.BDP($G15,AT$5),1)="#","#LOADING",DATEVALUE(_xll.BDP($G15,AT$5)))</f>
        <v>#VALUE!</v>
      </c>
      <c r="AU15" s="67">
        <f>IF(LEFT(_xll.BDP($G15,AU$5),1)="#","#LOADING",_xll.BDP($G15,AU$5)%)</f>
        <v>0</v>
      </c>
      <c r="AV15" s="67" t="str">
        <f>IF(LEFT(_xll.BDP($G15,AV$5),1)="#","#LOADING",VLOOKUP(_xll.BDP($G15,AV$5),Static.CouponFrequency,2,FALSE))</f>
        <v>ZERO-COUPON</v>
      </c>
      <c r="AW15" s="68" t="s">
        <v>51</v>
      </c>
      <c r="AX15" s="53" t="e">
        <f t="shared" si="3"/>
        <v>#N/A</v>
      </c>
      <c r="AY15" s="61" t="s">
        <v>51</v>
      </c>
      <c r="AZ15" s="53" t="e">
        <f t="shared" si="4"/>
        <v>#N/A</v>
      </c>
      <c r="BA15" s="61" t="s">
        <v>62</v>
      </c>
      <c r="BB15" s="69">
        <f>IF(LEFT(_xll.BDP($G15,BB$5),1)="#","#LOADING",_xll.BDP($G15,BB$5))</f>
        <v>0</v>
      </c>
      <c r="BC15" s="70"/>
      <c r="BD15" s="69" t="str">
        <f>IF(LEFT(_xll.BDP($G15,BD$5),1)="#","#LOADING","Type"&amp;IF(_xll.BDP($G15,BD$5)=999,1,_xll.BDP($G15,BD$5)))</f>
        <v>Type</v>
      </c>
      <c r="BE15" s="54"/>
      <c r="BG15" s="61" t="s">
        <v>7</v>
      </c>
      <c r="BH15" s="66">
        <v>1000000</v>
      </c>
      <c r="BI15" s="61" t="s">
        <v>212</v>
      </c>
      <c r="BJ15" s="61" t="s">
        <v>17</v>
      </c>
      <c r="BK15" s="70"/>
      <c r="BL15" s="73" t="e">
        <f t="shared" si="5"/>
        <v>#N/A</v>
      </c>
      <c r="BM15" s="74">
        <f t="shared" si="6"/>
        <v>0</v>
      </c>
      <c r="BN15" s="71">
        <v>1</v>
      </c>
      <c r="BO15" s="75">
        <f t="shared" si="7"/>
        <v>0</v>
      </c>
      <c r="BP15" s="61"/>
      <c r="BQ15" s="61"/>
      <c r="BR15" s="72"/>
      <c r="BS15" s="72"/>
      <c r="BT15" s="71"/>
      <c r="BU15" s="76" t="e">
        <f t="shared" si="8"/>
        <v>#VALUE!</v>
      </c>
      <c r="BV15" s="76" t="e">
        <f t="shared" si="9"/>
        <v>#VALUE!</v>
      </c>
      <c r="BW15" s="77" t="str">
        <f t="shared" si="10"/>
        <v>ZERO-COUPON</v>
      </c>
      <c r="BX15" s="77" t="str">
        <f t="shared" si="10"/>
        <v>ZERO-COUPON</v>
      </c>
      <c r="BY15" s="78">
        <f t="shared" si="11"/>
        <v>0</v>
      </c>
      <c r="BZ15" s="61"/>
      <c r="CA15" s="61"/>
      <c r="CB15" s="61" t="s">
        <v>51</v>
      </c>
      <c r="CC15" s="73" t="e">
        <f t="shared" si="12"/>
        <v>#N/A</v>
      </c>
      <c r="CD15" s="61" t="s">
        <v>51</v>
      </c>
      <c r="CE15" s="73" t="e">
        <f t="shared" si="13"/>
        <v>#N/A</v>
      </c>
      <c r="CF15" s="76" t="e">
        <f t="shared" si="14"/>
        <v>#VALUE!</v>
      </c>
      <c r="CG15" s="76" t="e">
        <f t="shared" si="15"/>
        <v>#VALUE!</v>
      </c>
      <c r="CH15" s="70" t="s">
        <v>80</v>
      </c>
      <c r="CI15" s="61"/>
      <c r="CJ15" s="61"/>
      <c r="CK15" s="61" t="s">
        <v>62</v>
      </c>
      <c r="CL15" s="61"/>
      <c r="CM15" s="61"/>
      <c r="CN15" s="76" t="str">
        <f t="shared" si="16"/>
        <v>Type</v>
      </c>
      <c r="CP15" s="61" t="s">
        <v>8</v>
      </c>
      <c r="CQ15" s="66" t="e">
        <f t="shared" si="17"/>
        <v>#VALUE!</v>
      </c>
      <c r="CR15" s="61" t="str">
        <f t="shared" si="48"/>
        <v>END</v>
      </c>
      <c r="CS15" s="61" t="s">
        <v>18</v>
      </c>
      <c r="CT15" s="135" t="e">
        <f t="shared" si="18"/>
        <v>#N/A</v>
      </c>
      <c r="CU15" s="135" t="str">
        <f t="shared" si="49"/>
        <v>DF_CSA</v>
      </c>
      <c r="CV15" s="134">
        <f t="shared" si="50"/>
        <v>0</v>
      </c>
      <c r="CW15" s="71">
        <v>1</v>
      </c>
      <c r="CX15" s="81"/>
      <c r="CY15" s="61" t="s">
        <v>32</v>
      </c>
      <c r="CZ15" s="61" t="s">
        <v>32</v>
      </c>
      <c r="DA15" s="72"/>
      <c r="DB15" s="72"/>
      <c r="DC15" s="71"/>
      <c r="DD15" s="291" t="e">
        <f t="shared" ca="1" si="51"/>
        <v>#VALUE!</v>
      </c>
      <c r="DE15" s="291" t="e">
        <f t="shared" ca="1" si="52"/>
        <v>#VALUE!</v>
      </c>
      <c r="DF15" s="53">
        <f t="shared" si="53"/>
        <v>0</v>
      </c>
      <c r="DG15" s="82">
        <f t="shared" si="54"/>
        <v>0</v>
      </c>
      <c r="DH15" s="82" t="e">
        <f t="shared" si="55"/>
        <v>#N/A</v>
      </c>
      <c r="DI15" s="61" t="str">
        <f t="shared" si="56"/>
        <v>PRECEDING</v>
      </c>
      <c r="DJ15" s="82" t="e">
        <f t="shared" si="57"/>
        <v>#N/A</v>
      </c>
      <c r="DK15" s="61" t="str">
        <f t="shared" si="58"/>
        <v>NO_CHANGE</v>
      </c>
      <c r="DL15" s="82" t="e">
        <f t="shared" si="59"/>
        <v>#N/A</v>
      </c>
      <c r="DM15" s="61" t="str">
        <f t="shared" si="60"/>
        <v>NO_CHANGE</v>
      </c>
      <c r="DN15" s="82" t="e">
        <f t="shared" si="61"/>
        <v>#N/A</v>
      </c>
      <c r="DO15" s="82"/>
      <c r="DP15" s="82"/>
      <c r="DQ15" s="70"/>
      <c r="DR15" s="61" t="str">
        <f t="shared" si="62"/>
        <v>0D</v>
      </c>
      <c r="DS15" s="61"/>
      <c r="DT15" s="61" t="str">
        <f t="shared" si="63"/>
        <v>0D</v>
      </c>
      <c r="DU15" s="61" t="str">
        <f t="shared" si="64"/>
        <v>SHORTSTART</v>
      </c>
      <c r="DV15" s="61" t="b">
        <v>0</v>
      </c>
      <c r="DW15" s="82"/>
      <c r="EA15" s="61" t="s">
        <v>7</v>
      </c>
      <c r="EB15" s="66">
        <v>1000000</v>
      </c>
      <c r="EC15" s="61" t="s">
        <v>14</v>
      </c>
      <c r="ED15" s="61" t="s">
        <v>17</v>
      </c>
      <c r="EE15" s="70"/>
      <c r="EF15" s="73" t="e">
        <f t="shared" si="19"/>
        <v>#N/A</v>
      </c>
      <c r="EG15" s="74">
        <f t="shared" si="20"/>
        <v>0</v>
      </c>
      <c r="EH15" s="71">
        <v>1</v>
      </c>
      <c r="EI15" s="75">
        <f t="shared" si="21"/>
        <v>0</v>
      </c>
      <c r="EJ15" s="61"/>
      <c r="EK15" s="61"/>
      <c r="EL15" s="72"/>
      <c r="EM15" s="72"/>
      <c r="EN15" s="71"/>
      <c r="EO15" s="76" t="e">
        <f t="shared" si="22"/>
        <v>#VALUE!</v>
      </c>
      <c r="EP15" s="76" t="e">
        <f t="shared" si="23"/>
        <v>#VALUE!</v>
      </c>
      <c r="EQ15" s="77" t="str">
        <f t="shared" si="24"/>
        <v>ZERO-COUPON</v>
      </c>
      <c r="ER15" s="77" t="str">
        <f t="shared" si="24"/>
        <v>ZERO-COUPON</v>
      </c>
      <c r="ES15" s="78">
        <f t="shared" si="25"/>
        <v>0</v>
      </c>
      <c r="ET15" s="61"/>
      <c r="EU15" s="61"/>
      <c r="EV15" s="61" t="s">
        <v>51</v>
      </c>
      <c r="EW15" s="73" t="e">
        <f t="shared" si="26"/>
        <v>#N/A</v>
      </c>
      <c r="EX15" s="61" t="s">
        <v>51</v>
      </c>
      <c r="EY15" s="73" t="e">
        <f t="shared" si="27"/>
        <v>#N/A</v>
      </c>
      <c r="EZ15" s="76" t="e">
        <f t="shared" si="28"/>
        <v>#VALUE!</v>
      </c>
      <c r="FA15" s="76" t="e">
        <f t="shared" si="29"/>
        <v>#VALUE!</v>
      </c>
      <c r="FB15" s="70" t="s">
        <v>80</v>
      </c>
      <c r="FC15" s="61"/>
      <c r="FD15" s="61"/>
      <c r="FE15" s="61" t="s">
        <v>62</v>
      </c>
      <c r="FF15" s="61"/>
      <c r="FG15" s="61"/>
      <c r="FH15" s="76" t="str">
        <f t="shared" si="30"/>
        <v>Type</v>
      </c>
      <c r="FJ15" s="61" t="s">
        <v>8</v>
      </c>
      <c r="FK15" s="66">
        <v>1000000</v>
      </c>
      <c r="FL15" s="61" t="s">
        <v>14</v>
      </c>
      <c r="FM15" s="61" t="s">
        <v>18</v>
      </c>
      <c r="FN15" s="115" t="e">
        <f t="shared" si="31"/>
        <v>#N/A</v>
      </c>
      <c r="FO15" s="115" t="e">
        <f t="shared" si="32"/>
        <v>#N/A</v>
      </c>
      <c r="FP15" s="116">
        <f t="shared" si="65"/>
        <v>0</v>
      </c>
      <c r="FQ15" s="71">
        <v>1</v>
      </c>
      <c r="FR15" s="81"/>
      <c r="FS15" s="61" t="s">
        <v>32</v>
      </c>
      <c r="FT15" s="61" t="s">
        <v>32</v>
      </c>
      <c r="FU15" s="72"/>
      <c r="FV15" s="72"/>
      <c r="FW15" s="71"/>
      <c r="FX15" s="76" t="e">
        <f t="shared" si="33"/>
        <v>#VALUE!</v>
      </c>
      <c r="FY15" s="76" t="e">
        <f t="shared" si="34"/>
        <v>#VALUE!</v>
      </c>
      <c r="FZ15" s="73">
        <f t="shared" si="35"/>
        <v>0</v>
      </c>
      <c r="GA15" s="73">
        <f t="shared" si="35"/>
        <v>0</v>
      </c>
      <c r="GB15" s="73" t="e">
        <f t="shared" si="36"/>
        <v>#N/A</v>
      </c>
      <c r="GC15" s="61" t="s">
        <v>58</v>
      </c>
      <c r="GD15" s="73" t="e">
        <f t="shared" si="37"/>
        <v>#N/A</v>
      </c>
      <c r="GE15" s="61" t="s">
        <v>51</v>
      </c>
      <c r="GF15" s="73" t="e">
        <f t="shared" si="38"/>
        <v>#N/A</v>
      </c>
      <c r="GG15" s="61" t="s">
        <v>51</v>
      </c>
      <c r="GH15" s="73" t="e">
        <f t="shared" si="39"/>
        <v>#N/A</v>
      </c>
      <c r="GI15" s="82"/>
      <c r="GJ15" s="82"/>
      <c r="GK15" s="70"/>
      <c r="GL15" s="61" t="s">
        <v>62</v>
      </c>
      <c r="GM15" s="61"/>
      <c r="GN15" s="61" t="s">
        <v>62</v>
      </c>
      <c r="GO15" s="61" t="s">
        <v>75</v>
      </c>
      <c r="GP15" s="61" t="b">
        <v>0</v>
      </c>
      <c r="GQ15" s="82"/>
      <c r="GU15" s="95">
        <f t="shared" si="40"/>
        <v>0</v>
      </c>
      <c r="GV15" s="42">
        <f>IF(LEFT(_xll.BDP($C15,GV$5),1)="#","#LOADING",_xll.BDP($C15,GV$5))</f>
        <v>0</v>
      </c>
      <c r="GW15" s="74">
        <f t="shared" si="41"/>
        <v>0</v>
      </c>
      <c r="GX15" s="74" t="e">
        <f t="shared" si="42"/>
        <v>#VALUE!</v>
      </c>
      <c r="GY15" s="64" t="s">
        <v>20</v>
      </c>
      <c r="GZ15" s="42" t="b">
        <f>IF(LEFT(_xll.BDP($C15,GZ$5),1)="#","#LOADING",IF(_xll.BDP($C15,GZ$5)="CLEAN",TRUE,FALSE))</f>
        <v>0</v>
      </c>
      <c r="HA15" s="64" t="s">
        <v>26</v>
      </c>
      <c r="HB15" s="61" t="s">
        <v>18</v>
      </c>
      <c r="HC15" s="65" t="s">
        <v>28</v>
      </c>
      <c r="HD15" s="66">
        <v>1000000</v>
      </c>
      <c r="HE15" s="96" t="e">
        <f>IF(LEFT(_xll.BDP($C15,HE$5),1)="#","#LOADING",DATEVALUE(_xll.BDP($C15,HE$5)))</f>
        <v>#VALUE!</v>
      </c>
      <c r="HF15" s="96" t="e">
        <f>IF(LEFT(_xll.BDP($C15,HF$5),1)="#","#LOADING",DATEVALUE(_xll.BDP($C15,HF$5)))</f>
        <v>#VALUE!</v>
      </c>
      <c r="HG15" s="96" t="e">
        <f>IF(LEFT(_xll.BDP($C15,HG$5),1)="#","#LOADING",DATEVALUE(_xll.BDP($C15,HG$5)))</f>
        <v>#VALUE!</v>
      </c>
      <c r="HH15" s="96" t="e">
        <f>IF(LEFT(_xll.BDP($C15,HH$5),1)="#","#LOADING",DATEVALUE(_xll.BDP($C15,HH$5)))</f>
        <v>#VALUE!</v>
      </c>
      <c r="HI15" s="96" t="e">
        <f>IF(LEFT(_xll.BDP($C15,HI$5),1)="#","#LOADING",DATEVALUE(_xll.BDP($C15,HI$5)))</f>
        <v>#VALUE!</v>
      </c>
      <c r="HJ15" s="97">
        <f>IF(LEFT(_xll.BDP($C15,HJ$5),1)="#","#LOADING",_xll.BDP($C15,HJ$5)%)</f>
        <v>0</v>
      </c>
      <c r="HK15" s="97" t="str">
        <f>IF(LEFT(_xll.BDP($C15,HK$5),1)="#","#LOADING",VLOOKUP(_xll.BDP($C15,HK$5),Static.CouponFrequency,2,FALSE))</f>
        <v>ZERO-COUPON</v>
      </c>
      <c r="HL15" s="68" t="s">
        <v>51</v>
      </c>
      <c r="HM15" s="73" t="e">
        <f t="shared" si="43"/>
        <v>#N/A</v>
      </c>
      <c r="HN15" s="61" t="s">
        <v>51</v>
      </c>
      <c r="HO15" s="73" t="e">
        <f t="shared" si="44"/>
        <v>#N/A</v>
      </c>
      <c r="HP15" s="61" t="s">
        <v>62</v>
      </c>
      <c r="HQ15" s="43">
        <f>IF(LEFT(_xll.BDP($C15,HQ$5),1)="#","#LOADING",_xll.BDP($C15,HQ$5))</f>
        <v>0</v>
      </c>
      <c r="HR15" s="70"/>
      <c r="HS15" s="43" t="str">
        <f>IF(LEFT(_xll.BDP($C15,HS$5),1)="#","#LOADING","Type"&amp;IF(_xll.BDP($C15,HS$5)=999,1,_xll.BDP($C15,HS$5)))</f>
        <v>Type</v>
      </c>
    </row>
    <row r="16" spans="1:228">
      <c r="A16" s="101">
        <v>10</v>
      </c>
      <c r="B16" s="57"/>
      <c r="C16" s="57"/>
      <c r="D16" s="57"/>
      <c r="E16" s="57"/>
      <c r="F16" s="57"/>
      <c r="G16" s="57"/>
      <c r="H16" s="57"/>
      <c r="I16" s="57"/>
      <c r="J16" s="101">
        <v>10</v>
      </c>
      <c r="K16" s="58" t="s">
        <v>163</v>
      </c>
      <c r="L16" s="59" t="str">
        <f>IF(ISBLANK(M16),IF($G16="","",_xll.BDP(AI16&amp;" "&amp;$K16&amp;" Corp","PX_LAST")),M16)</f>
        <v/>
      </c>
      <c r="M16" s="60"/>
      <c r="N16" s="83" t="str">
        <f ca="1">IF(ISBLANK($O16),IF($G16="","",_xll.meLWOAssetSwapSpread($AB16,$AA16,$L16,_xll.meUtilityLVBFromKeysValues($S$6:$V$6,S16:V16),INDIRECT("Fixings"&amp;$D16&amp;IF($I16="QUARTERLY","3ML","6ML")))),$O16)</f>
        <v/>
      </c>
      <c r="O16" s="60"/>
      <c r="P16" s="84" t="str">
        <f ca="1">IF($C16="","",_xll.meLWOAssetSwapSpreadToCleanPrice($AC16,$N16,INDIRECT("ValuationSettings"&amp;$D16),INDIRECT("Fixings"&amp;$D16&amp;IF($E16="QUARTERLY","3ML","6ML"))))</f>
        <v/>
      </c>
      <c r="Q16" s="84" t="str">
        <f>IF($C16="","",_xll.meLWOBondPriceFromCleanToDirty($AD16,V16,$P16))</f>
        <v/>
      </c>
      <c r="R16" s="98" t="str">
        <f>IF($C16="","",_xll.meLWOBondYield($AD16,V16,IF($GZ16,$P16,$Q16)))</f>
        <v/>
      </c>
      <c r="S16" s="98" t="str">
        <f t="shared" ca="1" si="66"/>
        <v/>
      </c>
      <c r="T16" s="98" t="str">
        <f t="shared" ca="1" si="67"/>
        <v/>
      </c>
      <c r="U16" s="129" t="str">
        <f>IF($C16="","",_xll.BDH(D16&amp;H16&amp;" Curncy","MID",Settings.ValuationDate,Settings.ValuationDate))</f>
        <v/>
      </c>
      <c r="V16" s="127" t="str">
        <f t="shared" ca="1" si="68"/>
        <v/>
      </c>
      <c r="W16" s="98" t="str">
        <f t="shared" si="69"/>
        <v/>
      </c>
      <c r="X16" s="98" t="str">
        <f t="shared" si="70"/>
        <v/>
      </c>
      <c r="Y16" s="98" t="str">
        <f t="shared" si="71"/>
        <v/>
      </c>
      <c r="Z16" s="101">
        <v>10</v>
      </c>
      <c r="AA16" s="53" t="str">
        <f>IF($G16="","",IF(LEFT(AG16,1)="#","#LOADING",_xll.meLWOBondCreateFromLVB("PROXY_BOND_"&amp;$AI16,_xll.meUtilityLVBFromKeysValues($AF$6:$BD$6,$AF16:$BD16))))</f>
        <v/>
      </c>
      <c r="AB16" s="135" t="str">
        <f ca="1">IF($G16="","",_xll.meLWOXccySwapCreate("PROXY_XCCY_ASW_"&amp;$AI16,_xll.meUtilityLVBFromKeysAndMultipleValues($BG$6:$CN$6,$BG16:$CN16,$CP16:$DW16),_xll.meUtilityLVBFromKeysValues($W$6:$Y$6,W16:Y16)))</f>
        <v/>
      </c>
      <c r="AC16" s="53" t="str">
        <f>IF($C16="","",_xll.meLWOSwapCreate("BOND_ASW_"&amp;$GX16,_xll.meUtilityLVBFromKeysAndMultipleValues($EA$6:$FH$6,$EA16:$FH16,$FJ16:$GQ16)))</f>
        <v/>
      </c>
      <c r="AD16" s="53" t="str">
        <f>IF($C16="","",IF(LEFT(GV16,1)="#","#LOADING",_xll.meLWOBondCreateFromLVB("PROXY_BOND_"&amp;$GX16,_xll.meUtilityLVBFromKeysValues($GU$6:$HS$6,$GU16:$HS16))))</f>
        <v/>
      </c>
      <c r="AE16" t="s">
        <v>0</v>
      </c>
      <c r="AF16" s="62">
        <f t="shared" si="46"/>
        <v>0</v>
      </c>
      <c r="AG16" s="63">
        <f>IF(LEFT(_xll.BDP($G16,AG$5),1)="#","#LOADING",_xll.BDP($G16,AG$5))</f>
        <v>0</v>
      </c>
      <c r="AH16" s="41">
        <f t="shared" si="47"/>
        <v>0</v>
      </c>
      <c r="AI16" s="63">
        <f>IF(LEFT(_xll.BDP($G16,AI$5),1)="#","#LOADING",_xll.BDP($G16,AI$5))</f>
        <v>0</v>
      </c>
      <c r="AJ16" s="64" t="s">
        <v>20</v>
      </c>
      <c r="AK16" s="63" t="b">
        <f>IF(LEFT(_xll.BDP($G16,AK$5),1)="#","#LOADING",IF(_xll.BDP($G16,AK$5)="CLEAN",TRUE,FALSE))</f>
        <v>0</v>
      </c>
      <c r="AL16" s="64" t="s">
        <v>26</v>
      </c>
      <c r="AM16" s="61" t="s">
        <v>18</v>
      </c>
      <c r="AN16" s="65" t="s">
        <v>28</v>
      </c>
      <c r="AO16" s="66">
        <v>1000000</v>
      </c>
      <c r="AP16" s="63" t="e">
        <f>IF(LEFT(_xll.BDP($G16,AP$5),1)="#","#LOADING",DATEVALUE(_xll.BDP($G16,AP$5)))</f>
        <v>#VALUE!</v>
      </c>
      <c r="AQ16" s="63" t="e">
        <f>IF(LEFT(_xll.BDP($G16,AQ$5),1)="#","#LOADING",DATEVALUE(_xll.BDP($G16,AQ$5)))</f>
        <v>#VALUE!</v>
      </c>
      <c r="AR16" s="63" t="e">
        <f>IF(LEFT(_xll.BDP($G16,AR$5),1)="#","#LOADING",DATEVALUE(_xll.BDP($G16,AR$5)))</f>
        <v>#VALUE!</v>
      </c>
      <c r="AS16" s="63" t="e">
        <f>IF(LEFT(_xll.BDP($G16,AS$5),1)="#","#LOADING",DATEVALUE(_xll.BDP($G16,AS$5)))</f>
        <v>#VALUE!</v>
      </c>
      <c r="AT16" s="63" t="e">
        <f>IF(LEFT(_xll.BDP($G16,AT$5),1)="#","#LOADING",DATEVALUE(_xll.BDP($G16,AT$5)))</f>
        <v>#VALUE!</v>
      </c>
      <c r="AU16" s="67">
        <f>IF(LEFT(_xll.BDP($G16,AU$5),1)="#","#LOADING",_xll.BDP($G16,AU$5)%)</f>
        <v>0</v>
      </c>
      <c r="AV16" s="67" t="str">
        <f>IF(LEFT(_xll.BDP($G16,AV$5),1)="#","#LOADING",VLOOKUP(_xll.BDP($G16,AV$5),Static.CouponFrequency,2,FALSE))</f>
        <v>ZERO-COUPON</v>
      </c>
      <c r="AW16" s="68" t="s">
        <v>51</v>
      </c>
      <c r="AX16" s="53" t="e">
        <f t="shared" si="3"/>
        <v>#N/A</v>
      </c>
      <c r="AY16" s="61" t="s">
        <v>51</v>
      </c>
      <c r="AZ16" s="53" t="e">
        <f t="shared" si="4"/>
        <v>#N/A</v>
      </c>
      <c r="BA16" s="61" t="s">
        <v>62</v>
      </c>
      <c r="BB16" s="69">
        <f>IF(LEFT(_xll.BDP($G16,BB$5),1)="#","#LOADING",_xll.BDP($G16,BB$5))</f>
        <v>0</v>
      </c>
      <c r="BC16" s="70"/>
      <c r="BD16" s="69" t="str">
        <f>IF(LEFT(_xll.BDP($G16,BD$5),1)="#","#LOADING","Type"&amp;IF(_xll.BDP($G16,BD$5)=999,1,_xll.BDP($G16,BD$5)))</f>
        <v>Type</v>
      </c>
      <c r="BE16" s="54"/>
      <c r="BG16" s="61" t="s">
        <v>7</v>
      </c>
      <c r="BH16" s="66">
        <v>1000000</v>
      </c>
      <c r="BI16" s="61" t="s">
        <v>212</v>
      </c>
      <c r="BJ16" s="61" t="s">
        <v>17</v>
      </c>
      <c r="BK16" s="70"/>
      <c r="BL16" s="73" t="e">
        <f t="shared" si="5"/>
        <v>#N/A</v>
      </c>
      <c r="BM16" s="74">
        <f t="shared" si="6"/>
        <v>0</v>
      </c>
      <c r="BN16" s="71">
        <v>1</v>
      </c>
      <c r="BO16" s="75">
        <f t="shared" si="7"/>
        <v>0</v>
      </c>
      <c r="BP16" s="61"/>
      <c r="BQ16" s="61"/>
      <c r="BR16" s="72"/>
      <c r="BS16" s="72"/>
      <c r="BT16" s="71"/>
      <c r="BU16" s="76" t="e">
        <f t="shared" si="8"/>
        <v>#VALUE!</v>
      </c>
      <c r="BV16" s="76" t="e">
        <f t="shared" si="9"/>
        <v>#VALUE!</v>
      </c>
      <c r="BW16" s="77" t="str">
        <f t="shared" si="10"/>
        <v>ZERO-COUPON</v>
      </c>
      <c r="BX16" s="77" t="str">
        <f t="shared" si="10"/>
        <v>ZERO-COUPON</v>
      </c>
      <c r="BY16" s="78">
        <f t="shared" si="11"/>
        <v>0</v>
      </c>
      <c r="BZ16" s="61"/>
      <c r="CA16" s="61"/>
      <c r="CB16" s="61" t="s">
        <v>51</v>
      </c>
      <c r="CC16" s="73" t="e">
        <f t="shared" si="12"/>
        <v>#N/A</v>
      </c>
      <c r="CD16" s="61" t="s">
        <v>51</v>
      </c>
      <c r="CE16" s="73" t="e">
        <f t="shared" si="13"/>
        <v>#N/A</v>
      </c>
      <c r="CF16" s="76" t="e">
        <f t="shared" si="14"/>
        <v>#VALUE!</v>
      </c>
      <c r="CG16" s="76" t="e">
        <f t="shared" si="15"/>
        <v>#VALUE!</v>
      </c>
      <c r="CH16" s="70" t="s">
        <v>80</v>
      </c>
      <c r="CI16" s="61"/>
      <c r="CJ16" s="61"/>
      <c r="CK16" s="61" t="s">
        <v>62</v>
      </c>
      <c r="CL16" s="61"/>
      <c r="CM16" s="61"/>
      <c r="CN16" s="76" t="str">
        <f t="shared" si="16"/>
        <v>Type</v>
      </c>
      <c r="CP16" s="61" t="s">
        <v>8</v>
      </c>
      <c r="CQ16" s="66" t="e">
        <f t="shared" si="17"/>
        <v>#VALUE!</v>
      </c>
      <c r="CR16" s="61" t="str">
        <f t="shared" si="48"/>
        <v>END</v>
      </c>
      <c r="CS16" s="61" t="s">
        <v>18</v>
      </c>
      <c r="CT16" s="135" t="e">
        <f t="shared" si="18"/>
        <v>#N/A</v>
      </c>
      <c r="CU16" s="135" t="str">
        <f t="shared" si="49"/>
        <v>DF_CSA</v>
      </c>
      <c r="CV16" s="134">
        <f t="shared" si="50"/>
        <v>0</v>
      </c>
      <c r="CW16" s="71">
        <v>1</v>
      </c>
      <c r="CX16" s="81"/>
      <c r="CY16" s="61" t="s">
        <v>32</v>
      </c>
      <c r="CZ16" s="61" t="s">
        <v>32</v>
      </c>
      <c r="DA16" s="72"/>
      <c r="DB16" s="72"/>
      <c r="DC16" s="71"/>
      <c r="DD16" s="291" t="e">
        <f t="shared" ca="1" si="51"/>
        <v>#VALUE!</v>
      </c>
      <c r="DE16" s="291" t="e">
        <f t="shared" ca="1" si="52"/>
        <v>#VALUE!</v>
      </c>
      <c r="DF16" s="53">
        <f t="shared" si="53"/>
        <v>0</v>
      </c>
      <c r="DG16" s="82">
        <f t="shared" si="54"/>
        <v>0</v>
      </c>
      <c r="DH16" s="82" t="e">
        <f t="shared" si="55"/>
        <v>#N/A</v>
      </c>
      <c r="DI16" s="61" t="str">
        <f t="shared" si="56"/>
        <v>PRECEDING</v>
      </c>
      <c r="DJ16" s="82" t="e">
        <f t="shared" si="57"/>
        <v>#N/A</v>
      </c>
      <c r="DK16" s="61" t="str">
        <f t="shared" si="58"/>
        <v>NO_CHANGE</v>
      </c>
      <c r="DL16" s="82" t="e">
        <f t="shared" si="59"/>
        <v>#N/A</v>
      </c>
      <c r="DM16" s="61" t="str">
        <f t="shared" si="60"/>
        <v>NO_CHANGE</v>
      </c>
      <c r="DN16" s="82" t="e">
        <f t="shared" si="61"/>
        <v>#N/A</v>
      </c>
      <c r="DO16" s="82"/>
      <c r="DP16" s="82"/>
      <c r="DQ16" s="70"/>
      <c r="DR16" s="61" t="str">
        <f t="shared" si="62"/>
        <v>0D</v>
      </c>
      <c r="DS16" s="61"/>
      <c r="DT16" s="61" t="str">
        <f t="shared" si="63"/>
        <v>0D</v>
      </c>
      <c r="DU16" s="61" t="str">
        <f t="shared" si="64"/>
        <v>SHORTSTART</v>
      </c>
      <c r="DV16" s="61" t="b">
        <v>0</v>
      </c>
      <c r="DW16" s="82"/>
      <c r="EA16" s="61" t="s">
        <v>7</v>
      </c>
      <c r="EB16" s="66">
        <v>1000000</v>
      </c>
      <c r="EC16" s="61" t="s">
        <v>14</v>
      </c>
      <c r="ED16" s="61" t="s">
        <v>17</v>
      </c>
      <c r="EE16" s="70"/>
      <c r="EF16" s="73" t="e">
        <f t="shared" si="19"/>
        <v>#N/A</v>
      </c>
      <c r="EG16" s="74">
        <f t="shared" si="20"/>
        <v>0</v>
      </c>
      <c r="EH16" s="71">
        <v>1</v>
      </c>
      <c r="EI16" s="75">
        <f t="shared" si="21"/>
        <v>0</v>
      </c>
      <c r="EJ16" s="61"/>
      <c r="EK16" s="61"/>
      <c r="EL16" s="72"/>
      <c r="EM16" s="72"/>
      <c r="EN16" s="71"/>
      <c r="EO16" s="76" t="e">
        <f t="shared" si="22"/>
        <v>#VALUE!</v>
      </c>
      <c r="EP16" s="76" t="e">
        <f t="shared" si="23"/>
        <v>#VALUE!</v>
      </c>
      <c r="EQ16" s="77" t="str">
        <f t="shared" si="24"/>
        <v>ZERO-COUPON</v>
      </c>
      <c r="ER16" s="77" t="str">
        <f t="shared" si="24"/>
        <v>ZERO-COUPON</v>
      </c>
      <c r="ES16" s="78">
        <f t="shared" si="25"/>
        <v>0</v>
      </c>
      <c r="ET16" s="61"/>
      <c r="EU16" s="61"/>
      <c r="EV16" s="61" t="s">
        <v>51</v>
      </c>
      <c r="EW16" s="73" t="e">
        <f t="shared" si="26"/>
        <v>#N/A</v>
      </c>
      <c r="EX16" s="61" t="s">
        <v>51</v>
      </c>
      <c r="EY16" s="73" t="e">
        <f t="shared" si="27"/>
        <v>#N/A</v>
      </c>
      <c r="EZ16" s="76" t="e">
        <f t="shared" si="28"/>
        <v>#VALUE!</v>
      </c>
      <c r="FA16" s="76" t="e">
        <f t="shared" si="29"/>
        <v>#VALUE!</v>
      </c>
      <c r="FB16" s="70" t="s">
        <v>80</v>
      </c>
      <c r="FC16" s="61"/>
      <c r="FD16" s="61"/>
      <c r="FE16" s="61" t="s">
        <v>62</v>
      </c>
      <c r="FF16" s="61"/>
      <c r="FG16" s="61"/>
      <c r="FH16" s="76" t="str">
        <f t="shared" si="30"/>
        <v>Type</v>
      </c>
      <c r="FJ16" s="61" t="s">
        <v>8</v>
      </c>
      <c r="FK16" s="66">
        <v>1000000</v>
      </c>
      <c r="FL16" s="61" t="s">
        <v>14</v>
      </c>
      <c r="FM16" s="61" t="s">
        <v>18</v>
      </c>
      <c r="FN16" s="115" t="e">
        <f t="shared" si="31"/>
        <v>#N/A</v>
      </c>
      <c r="FO16" s="115" t="e">
        <f t="shared" si="32"/>
        <v>#N/A</v>
      </c>
      <c r="FP16" s="116">
        <f t="shared" si="65"/>
        <v>0</v>
      </c>
      <c r="FQ16" s="71">
        <v>1</v>
      </c>
      <c r="FR16" s="81"/>
      <c r="FS16" s="61" t="s">
        <v>32</v>
      </c>
      <c r="FT16" s="61" t="s">
        <v>32</v>
      </c>
      <c r="FU16" s="72"/>
      <c r="FV16" s="72"/>
      <c r="FW16" s="71"/>
      <c r="FX16" s="76" t="e">
        <f t="shared" si="33"/>
        <v>#VALUE!</v>
      </c>
      <c r="FY16" s="76" t="e">
        <f t="shared" si="34"/>
        <v>#VALUE!</v>
      </c>
      <c r="FZ16" s="73">
        <f t="shared" si="35"/>
        <v>0</v>
      </c>
      <c r="GA16" s="73">
        <f t="shared" si="35"/>
        <v>0</v>
      </c>
      <c r="GB16" s="73" t="e">
        <f t="shared" si="36"/>
        <v>#N/A</v>
      </c>
      <c r="GC16" s="61" t="s">
        <v>58</v>
      </c>
      <c r="GD16" s="73" t="e">
        <f t="shared" si="37"/>
        <v>#N/A</v>
      </c>
      <c r="GE16" s="61" t="s">
        <v>51</v>
      </c>
      <c r="GF16" s="73" t="e">
        <f t="shared" si="38"/>
        <v>#N/A</v>
      </c>
      <c r="GG16" s="61" t="s">
        <v>51</v>
      </c>
      <c r="GH16" s="73" t="e">
        <f t="shared" si="39"/>
        <v>#N/A</v>
      </c>
      <c r="GI16" s="82"/>
      <c r="GJ16" s="82"/>
      <c r="GK16" s="70"/>
      <c r="GL16" s="61" t="s">
        <v>62</v>
      </c>
      <c r="GM16" s="61"/>
      <c r="GN16" s="61" t="s">
        <v>62</v>
      </c>
      <c r="GO16" s="61" t="s">
        <v>75</v>
      </c>
      <c r="GP16" s="61" t="b">
        <v>0</v>
      </c>
      <c r="GQ16" s="82"/>
      <c r="GU16" s="95">
        <f t="shared" si="40"/>
        <v>0</v>
      </c>
      <c r="GV16" s="42">
        <f>IF(LEFT(_xll.BDP($C16,GV$5),1)="#","#LOADING",_xll.BDP($C16,GV$5))</f>
        <v>0</v>
      </c>
      <c r="GW16" s="74">
        <f t="shared" si="41"/>
        <v>0</v>
      </c>
      <c r="GX16" s="74" t="e">
        <f t="shared" si="42"/>
        <v>#VALUE!</v>
      </c>
      <c r="GY16" s="64" t="s">
        <v>20</v>
      </c>
      <c r="GZ16" s="42" t="b">
        <f>IF(LEFT(_xll.BDP($C16,GZ$5),1)="#","#LOADING",IF(_xll.BDP($C16,GZ$5)="CLEAN",TRUE,FALSE))</f>
        <v>0</v>
      </c>
      <c r="HA16" s="64" t="s">
        <v>26</v>
      </c>
      <c r="HB16" s="61" t="s">
        <v>18</v>
      </c>
      <c r="HC16" s="65" t="s">
        <v>28</v>
      </c>
      <c r="HD16" s="66">
        <v>1000000</v>
      </c>
      <c r="HE16" s="96" t="e">
        <f>IF(LEFT(_xll.BDP($C16,HE$5),1)="#","#LOADING",DATEVALUE(_xll.BDP($C16,HE$5)))</f>
        <v>#VALUE!</v>
      </c>
      <c r="HF16" s="96" t="e">
        <f>IF(LEFT(_xll.BDP($C16,HF$5),1)="#","#LOADING",DATEVALUE(_xll.BDP($C16,HF$5)))</f>
        <v>#VALUE!</v>
      </c>
      <c r="HG16" s="96" t="e">
        <f>IF(LEFT(_xll.BDP($C16,HG$5),1)="#","#LOADING",DATEVALUE(_xll.BDP($C16,HG$5)))</f>
        <v>#VALUE!</v>
      </c>
      <c r="HH16" s="96" t="e">
        <f>IF(LEFT(_xll.BDP($C16,HH$5),1)="#","#LOADING",DATEVALUE(_xll.BDP($C16,HH$5)))</f>
        <v>#VALUE!</v>
      </c>
      <c r="HI16" s="96" t="e">
        <f>IF(LEFT(_xll.BDP($C16,HI$5),1)="#","#LOADING",DATEVALUE(_xll.BDP($C16,HI$5)))</f>
        <v>#VALUE!</v>
      </c>
      <c r="HJ16" s="97">
        <f>IF(LEFT(_xll.BDP($C16,HJ$5),1)="#","#LOADING",_xll.BDP($C16,HJ$5)%)</f>
        <v>0</v>
      </c>
      <c r="HK16" s="97" t="str">
        <f>IF(LEFT(_xll.BDP($C16,HK$5),1)="#","#LOADING",VLOOKUP(_xll.BDP($C16,HK$5),Static.CouponFrequency,2,FALSE))</f>
        <v>ZERO-COUPON</v>
      </c>
      <c r="HL16" s="68" t="s">
        <v>51</v>
      </c>
      <c r="HM16" s="73" t="e">
        <f t="shared" si="43"/>
        <v>#N/A</v>
      </c>
      <c r="HN16" s="61" t="s">
        <v>51</v>
      </c>
      <c r="HO16" s="73" t="e">
        <f t="shared" si="44"/>
        <v>#N/A</v>
      </c>
      <c r="HP16" s="61" t="s">
        <v>62</v>
      </c>
      <c r="HQ16" s="43">
        <f>IF(LEFT(_xll.BDP($C16,HQ$5),1)="#","#LOADING",_xll.BDP($C16,HQ$5))</f>
        <v>0</v>
      </c>
      <c r="HR16" s="70"/>
      <c r="HS16" s="43" t="str">
        <f>IF(LEFT(_xll.BDP($C16,HS$5),1)="#","#LOADING","Type"&amp;IF(_xll.BDP($C16,HS$5)=999,1,_xll.BDP($C16,HS$5)))</f>
        <v>Type</v>
      </c>
    </row>
    <row r="17" spans="1:227">
      <c r="A17" s="101">
        <v>11</v>
      </c>
      <c r="B17" s="57"/>
      <c r="C17" s="57"/>
      <c r="D17" s="57"/>
      <c r="E17" s="57"/>
      <c r="F17" s="57"/>
      <c r="G17" s="57"/>
      <c r="H17" s="57"/>
      <c r="I17" s="57"/>
      <c r="J17" s="101">
        <v>11</v>
      </c>
      <c r="K17" s="58" t="s">
        <v>163</v>
      </c>
      <c r="L17" s="59" t="str">
        <f>IF(ISBLANK(M17),IF($G17="","",_xll.BDP(AI17&amp;" "&amp;$K17&amp;" Corp","PX_LAST")),M17)</f>
        <v/>
      </c>
      <c r="M17" s="60"/>
      <c r="N17" s="83" t="str">
        <f ca="1">IF(ISBLANK($O17),IF($G17="","",_xll.meLWOAssetSwapSpread($AB17,$AA17,$L17,_xll.meUtilityLVBFromKeysValues($S$6:$V$6,S17:V17),INDIRECT("Fixings"&amp;$D17&amp;IF($I17="QUARTERLY","3ML","6ML")))),$O17)</f>
        <v/>
      </c>
      <c r="O17" s="60"/>
      <c r="P17" s="84" t="str">
        <f ca="1">IF($C17="","",_xll.meLWOAssetSwapSpreadToCleanPrice($AC17,$N17,INDIRECT("ValuationSettings"&amp;$D17),INDIRECT("Fixings"&amp;$D17&amp;IF($E17="QUARTERLY","3ML","6ML"))))</f>
        <v/>
      </c>
      <c r="Q17" s="84" t="str">
        <f>IF($C17="","",_xll.meLWOBondPriceFromCleanToDirty($AD17,V17,$P17))</f>
        <v/>
      </c>
      <c r="R17" s="98" t="str">
        <f>IF($C17="","",_xll.meLWOBondYield($AD17,V17,IF($GZ17,$P17,$Q17)))</f>
        <v/>
      </c>
      <c r="S17" s="98" t="str">
        <f t="shared" ca="1" si="66"/>
        <v/>
      </c>
      <c r="T17" s="98" t="str">
        <f t="shared" ca="1" si="67"/>
        <v/>
      </c>
      <c r="U17" s="129" t="str">
        <f>IF($C17="","",_xll.BDH(D17&amp;H17&amp;" Curncy","MID",Settings.ValuationDate,Settings.ValuationDate))</f>
        <v/>
      </c>
      <c r="V17" s="127" t="str">
        <f t="shared" ca="1" si="68"/>
        <v/>
      </c>
      <c r="W17" s="98" t="str">
        <f t="shared" si="69"/>
        <v/>
      </c>
      <c r="X17" s="98" t="str">
        <f t="shared" si="70"/>
        <v/>
      </c>
      <c r="Y17" s="98" t="str">
        <f t="shared" si="71"/>
        <v/>
      </c>
      <c r="Z17" s="101">
        <v>11</v>
      </c>
      <c r="AA17" s="53" t="str">
        <f>IF($G17="","",IF(LEFT(AG17,1)="#","#LOADING",_xll.meLWOBondCreateFromLVB("PROXY_BOND_"&amp;$AI17,_xll.meUtilityLVBFromKeysValues($AF$6:$BD$6,$AF17:$BD17))))</f>
        <v/>
      </c>
      <c r="AB17" s="135" t="str">
        <f ca="1">IF($G17="","",_xll.meLWOXccySwapCreate("PROXY_XCCY_ASW_"&amp;$AI17,_xll.meUtilityLVBFromKeysAndMultipleValues($BG$6:$CN$6,$BG17:$CN17,$CP17:$DW17),_xll.meUtilityLVBFromKeysValues($W$6:$Y$6,W17:Y17)))</f>
        <v/>
      </c>
      <c r="AC17" s="53" t="str">
        <f>IF($C17="","",_xll.meLWOSwapCreate("BOND_ASW_"&amp;$GX17,_xll.meUtilityLVBFromKeysAndMultipleValues($EA$6:$FH$6,$EA17:$FH17,$FJ17:$GQ17)))</f>
        <v/>
      </c>
      <c r="AD17" s="53" t="str">
        <f>IF($C17="","",IF(LEFT(GV17,1)="#","#LOADING",_xll.meLWOBondCreateFromLVB("PROXY_BOND_"&amp;$GX17,_xll.meUtilityLVBFromKeysValues($GU$6:$HS$6,$GU17:$HS17))))</f>
        <v/>
      </c>
      <c r="AE17" t="s">
        <v>0</v>
      </c>
      <c r="AF17" s="62">
        <f t="shared" si="46"/>
        <v>0</v>
      </c>
      <c r="AG17" s="63">
        <f>IF(LEFT(_xll.BDP($G17,AG$5),1)="#","#LOADING",_xll.BDP($G17,AG$5))</f>
        <v>0</v>
      </c>
      <c r="AH17" s="41">
        <f t="shared" si="47"/>
        <v>0</v>
      </c>
      <c r="AI17" s="63">
        <f>IF(LEFT(_xll.BDP($G17,AI$5),1)="#","#LOADING",_xll.BDP($G17,AI$5))</f>
        <v>0</v>
      </c>
      <c r="AJ17" s="64" t="s">
        <v>20</v>
      </c>
      <c r="AK17" s="63" t="b">
        <f>IF(LEFT(_xll.BDP($G17,AK$5),1)="#","#LOADING",IF(_xll.BDP($G17,AK$5)="CLEAN",TRUE,FALSE))</f>
        <v>0</v>
      </c>
      <c r="AL17" s="64" t="s">
        <v>26</v>
      </c>
      <c r="AM17" s="61" t="s">
        <v>18</v>
      </c>
      <c r="AN17" s="65" t="s">
        <v>28</v>
      </c>
      <c r="AO17" s="66">
        <v>1000000</v>
      </c>
      <c r="AP17" s="63" t="e">
        <f>IF(LEFT(_xll.BDP($G17,AP$5),1)="#","#LOADING",DATEVALUE(_xll.BDP($G17,AP$5)))</f>
        <v>#VALUE!</v>
      </c>
      <c r="AQ17" s="63" t="e">
        <f>IF(LEFT(_xll.BDP($G17,AQ$5),1)="#","#LOADING",DATEVALUE(_xll.BDP($G17,AQ$5)))</f>
        <v>#VALUE!</v>
      </c>
      <c r="AR17" s="63" t="e">
        <f>IF(LEFT(_xll.BDP($G17,AR$5),1)="#","#LOADING",DATEVALUE(_xll.BDP($G17,AR$5)))</f>
        <v>#VALUE!</v>
      </c>
      <c r="AS17" s="63" t="e">
        <f>IF(LEFT(_xll.BDP($G17,AS$5),1)="#","#LOADING",DATEVALUE(_xll.BDP($G17,AS$5)))</f>
        <v>#VALUE!</v>
      </c>
      <c r="AT17" s="63" t="e">
        <f>IF(LEFT(_xll.BDP($G17,AT$5),1)="#","#LOADING",DATEVALUE(_xll.BDP($G17,AT$5)))</f>
        <v>#VALUE!</v>
      </c>
      <c r="AU17" s="67">
        <f>IF(LEFT(_xll.BDP($G17,AU$5),1)="#","#LOADING",_xll.BDP($G17,AU$5)%)</f>
        <v>0</v>
      </c>
      <c r="AV17" s="67" t="str">
        <f>IF(LEFT(_xll.BDP($G17,AV$5),1)="#","#LOADING",VLOOKUP(_xll.BDP($G17,AV$5),Static.CouponFrequency,2,FALSE))</f>
        <v>ZERO-COUPON</v>
      </c>
      <c r="AW17" s="68" t="s">
        <v>51</v>
      </c>
      <c r="AX17" s="53" t="e">
        <f t="shared" si="3"/>
        <v>#N/A</v>
      </c>
      <c r="AY17" s="61" t="s">
        <v>51</v>
      </c>
      <c r="AZ17" s="53" t="e">
        <f t="shared" si="4"/>
        <v>#N/A</v>
      </c>
      <c r="BA17" s="61" t="s">
        <v>62</v>
      </c>
      <c r="BB17" s="69">
        <f>IF(LEFT(_xll.BDP($G17,BB$5),1)="#","#LOADING",_xll.BDP($G17,BB$5))</f>
        <v>0</v>
      </c>
      <c r="BC17" s="70"/>
      <c r="BD17" s="69" t="str">
        <f>IF(LEFT(_xll.BDP($G17,BD$5),1)="#","#LOADING","Type"&amp;IF(_xll.BDP($G17,BD$5)=999,1,_xll.BDP($G17,BD$5)))</f>
        <v>Type</v>
      </c>
      <c r="BE17" s="54"/>
      <c r="BG17" s="61" t="s">
        <v>7</v>
      </c>
      <c r="BH17" s="66">
        <v>1000000</v>
      </c>
      <c r="BI17" s="61" t="s">
        <v>212</v>
      </c>
      <c r="BJ17" s="61" t="s">
        <v>17</v>
      </c>
      <c r="BK17" s="70"/>
      <c r="BL17" s="73" t="e">
        <f t="shared" si="5"/>
        <v>#N/A</v>
      </c>
      <c r="BM17" s="74">
        <f t="shared" si="6"/>
        <v>0</v>
      </c>
      <c r="BN17" s="71">
        <v>1</v>
      </c>
      <c r="BO17" s="75">
        <f t="shared" si="7"/>
        <v>0</v>
      </c>
      <c r="BP17" s="61"/>
      <c r="BQ17" s="61"/>
      <c r="BR17" s="72"/>
      <c r="BS17" s="72"/>
      <c r="BT17" s="71"/>
      <c r="BU17" s="76" t="e">
        <f t="shared" si="8"/>
        <v>#VALUE!</v>
      </c>
      <c r="BV17" s="76" t="e">
        <f t="shared" si="9"/>
        <v>#VALUE!</v>
      </c>
      <c r="BW17" s="77" t="str">
        <f t="shared" si="10"/>
        <v>ZERO-COUPON</v>
      </c>
      <c r="BX17" s="77" t="str">
        <f t="shared" si="10"/>
        <v>ZERO-COUPON</v>
      </c>
      <c r="BY17" s="78">
        <f t="shared" si="11"/>
        <v>0</v>
      </c>
      <c r="BZ17" s="61"/>
      <c r="CA17" s="61"/>
      <c r="CB17" s="61" t="s">
        <v>51</v>
      </c>
      <c r="CC17" s="73" t="e">
        <f t="shared" si="12"/>
        <v>#N/A</v>
      </c>
      <c r="CD17" s="61" t="s">
        <v>51</v>
      </c>
      <c r="CE17" s="73" t="e">
        <f t="shared" si="13"/>
        <v>#N/A</v>
      </c>
      <c r="CF17" s="76" t="e">
        <f t="shared" si="14"/>
        <v>#VALUE!</v>
      </c>
      <c r="CG17" s="76" t="e">
        <f t="shared" si="15"/>
        <v>#VALUE!</v>
      </c>
      <c r="CH17" s="70" t="s">
        <v>80</v>
      </c>
      <c r="CI17" s="61"/>
      <c r="CJ17" s="61"/>
      <c r="CK17" s="61" t="s">
        <v>62</v>
      </c>
      <c r="CL17" s="61"/>
      <c r="CM17" s="61"/>
      <c r="CN17" s="76" t="str">
        <f t="shared" si="16"/>
        <v>Type</v>
      </c>
      <c r="CP17" s="61" t="s">
        <v>8</v>
      </c>
      <c r="CQ17" s="66" t="e">
        <f t="shared" si="17"/>
        <v>#VALUE!</v>
      </c>
      <c r="CR17" s="61" t="str">
        <f t="shared" si="48"/>
        <v>END</v>
      </c>
      <c r="CS17" s="61" t="s">
        <v>18</v>
      </c>
      <c r="CT17" s="135" t="e">
        <f t="shared" si="18"/>
        <v>#N/A</v>
      </c>
      <c r="CU17" s="135" t="str">
        <f t="shared" si="49"/>
        <v>DF_CSA</v>
      </c>
      <c r="CV17" s="134">
        <f t="shared" si="50"/>
        <v>0</v>
      </c>
      <c r="CW17" s="71">
        <v>1</v>
      </c>
      <c r="CX17" s="81"/>
      <c r="CY17" s="61" t="s">
        <v>32</v>
      </c>
      <c r="CZ17" s="61" t="s">
        <v>32</v>
      </c>
      <c r="DA17" s="72"/>
      <c r="DB17" s="72"/>
      <c r="DC17" s="71"/>
      <c r="DD17" s="291" t="e">
        <f t="shared" ca="1" si="51"/>
        <v>#VALUE!</v>
      </c>
      <c r="DE17" s="291" t="e">
        <f t="shared" ca="1" si="52"/>
        <v>#VALUE!</v>
      </c>
      <c r="DF17" s="53">
        <f t="shared" si="53"/>
        <v>0</v>
      </c>
      <c r="DG17" s="82">
        <f t="shared" si="54"/>
        <v>0</v>
      </c>
      <c r="DH17" s="82" t="e">
        <f t="shared" si="55"/>
        <v>#N/A</v>
      </c>
      <c r="DI17" s="61" t="str">
        <f t="shared" si="56"/>
        <v>PRECEDING</v>
      </c>
      <c r="DJ17" s="82" t="e">
        <f t="shared" si="57"/>
        <v>#N/A</v>
      </c>
      <c r="DK17" s="61" t="str">
        <f t="shared" si="58"/>
        <v>NO_CHANGE</v>
      </c>
      <c r="DL17" s="82" t="e">
        <f t="shared" si="59"/>
        <v>#N/A</v>
      </c>
      <c r="DM17" s="61" t="str">
        <f t="shared" si="60"/>
        <v>NO_CHANGE</v>
      </c>
      <c r="DN17" s="82" t="e">
        <f t="shared" si="61"/>
        <v>#N/A</v>
      </c>
      <c r="DO17" s="82"/>
      <c r="DP17" s="82"/>
      <c r="DQ17" s="70"/>
      <c r="DR17" s="61" t="str">
        <f t="shared" si="62"/>
        <v>0D</v>
      </c>
      <c r="DS17" s="61"/>
      <c r="DT17" s="61" t="str">
        <f t="shared" si="63"/>
        <v>0D</v>
      </c>
      <c r="DU17" s="61" t="str">
        <f t="shared" si="64"/>
        <v>SHORTSTART</v>
      </c>
      <c r="DV17" s="61" t="b">
        <v>0</v>
      </c>
      <c r="DW17" s="82"/>
      <c r="EA17" s="61" t="s">
        <v>7</v>
      </c>
      <c r="EB17" s="66">
        <v>1000000</v>
      </c>
      <c r="EC17" s="61" t="s">
        <v>14</v>
      </c>
      <c r="ED17" s="61" t="s">
        <v>17</v>
      </c>
      <c r="EE17" s="70"/>
      <c r="EF17" s="73" t="e">
        <f t="shared" si="19"/>
        <v>#N/A</v>
      </c>
      <c r="EG17" s="74">
        <f t="shared" si="20"/>
        <v>0</v>
      </c>
      <c r="EH17" s="71">
        <v>1</v>
      </c>
      <c r="EI17" s="75">
        <f t="shared" si="21"/>
        <v>0</v>
      </c>
      <c r="EJ17" s="61"/>
      <c r="EK17" s="61"/>
      <c r="EL17" s="72"/>
      <c r="EM17" s="72"/>
      <c r="EN17" s="71"/>
      <c r="EO17" s="76" t="e">
        <f t="shared" si="22"/>
        <v>#VALUE!</v>
      </c>
      <c r="EP17" s="76" t="e">
        <f t="shared" si="23"/>
        <v>#VALUE!</v>
      </c>
      <c r="EQ17" s="77" t="str">
        <f t="shared" si="24"/>
        <v>ZERO-COUPON</v>
      </c>
      <c r="ER17" s="77" t="str">
        <f t="shared" si="24"/>
        <v>ZERO-COUPON</v>
      </c>
      <c r="ES17" s="78">
        <f t="shared" si="25"/>
        <v>0</v>
      </c>
      <c r="ET17" s="61"/>
      <c r="EU17" s="61"/>
      <c r="EV17" s="61" t="s">
        <v>51</v>
      </c>
      <c r="EW17" s="73" t="e">
        <f t="shared" si="26"/>
        <v>#N/A</v>
      </c>
      <c r="EX17" s="61" t="s">
        <v>51</v>
      </c>
      <c r="EY17" s="73" t="e">
        <f t="shared" si="27"/>
        <v>#N/A</v>
      </c>
      <c r="EZ17" s="76" t="e">
        <f t="shared" si="28"/>
        <v>#VALUE!</v>
      </c>
      <c r="FA17" s="76" t="e">
        <f t="shared" si="29"/>
        <v>#VALUE!</v>
      </c>
      <c r="FB17" s="70" t="s">
        <v>80</v>
      </c>
      <c r="FC17" s="61"/>
      <c r="FD17" s="61"/>
      <c r="FE17" s="61" t="s">
        <v>62</v>
      </c>
      <c r="FF17" s="61"/>
      <c r="FG17" s="61"/>
      <c r="FH17" s="76" t="str">
        <f t="shared" si="30"/>
        <v>Type</v>
      </c>
      <c r="FJ17" s="61" t="s">
        <v>8</v>
      </c>
      <c r="FK17" s="66">
        <v>1000000</v>
      </c>
      <c r="FL17" s="61" t="s">
        <v>14</v>
      </c>
      <c r="FM17" s="61" t="s">
        <v>18</v>
      </c>
      <c r="FN17" s="115" t="e">
        <f t="shared" si="31"/>
        <v>#N/A</v>
      </c>
      <c r="FO17" s="115" t="e">
        <f t="shared" si="32"/>
        <v>#N/A</v>
      </c>
      <c r="FP17" s="116">
        <f t="shared" si="65"/>
        <v>0</v>
      </c>
      <c r="FQ17" s="71">
        <v>1</v>
      </c>
      <c r="FR17" s="81"/>
      <c r="FS17" s="61" t="s">
        <v>32</v>
      </c>
      <c r="FT17" s="61" t="s">
        <v>32</v>
      </c>
      <c r="FU17" s="72"/>
      <c r="FV17" s="72"/>
      <c r="FW17" s="71"/>
      <c r="FX17" s="76" t="e">
        <f t="shared" si="33"/>
        <v>#VALUE!</v>
      </c>
      <c r="FY17" s="76" t="e">
        <f t="shared" si="34"/>
        <v>#VALUE!</v>
      </c>
      <c r="FZ17" s="73">
        <f t="shared" si="35"/>
        <v>0</v>
      </c>
      <c r="GA17" s="73">
        <f t="shared" si="35"/>
        <v>0</v>
      </c>
      <c r="GB17" s="73" t="e">
        <f t="shared" si="36"/>
        <v>#N/A</v>
      </c>
      <c r="GC17" s="61" t="s">
        <v>58</v>
      </c>
      <c r="GD17" s="73" t="e">
        <f t="shared" si="37"/>
        <v>#N/A</v>
      </c>
      <c r="GE17" s="61" t="s">
        <v>51</v>
      </c>
      <c r="GF17" s="73" t="e">
        <f t="shared" si="38"/>
        <v>#N/A</v>
      </c>
      <c r="GG17" s="61" t="s">
        <v>51</v>
      </c>
      <c r="GH17" s="73" t="e">
        <f t="shared" si="39"/>
        <v>#N/A</v>
      </c>
      <c r="GI17" s="82"/>
      <c r="GJ17" s="82"/>
      <c r="GK17" s="70"/>
      <c r="GL17" s="61" t="s">
        <v>62</v>
      </c>
      <c r="GM17" s="61"/>
      <c r="GN17" s="61" t="s">
        <v>62</v>
      </c>
      <c r="GO17" s="61" t="s">
        <v>75</v>
      </c>
      <c r="GP17" s="61" t="b">
        <v>0</v>
      </c>
      <c r="GQ17" s="82"/>
      <c r="GU17" s="95">
        <f t="shared" si="40"/>
        <v>0</v>
      </c>
      <c r="GV17" s="42">
        <f>IF(LEFT(_xll.BDP($C17,GV$5),1)="#","#LOADING",_xll.BDP($C17,GV$5))</f>
        <v>0</v>
      </c>
      <c r="GW17" s="74">
        <f t="shared" si="41"/>
        <v>0</v>
      </c>
      <c r="GX17" s="74" t="e">
        <f t="shared" si="42"/>
        <v>#VALUE!</v>
      </c>
      <c r="GY17" s="64" t="s">
        <v>20</v>
      </c>
      <c r="GZ17" s="42" t="b">
        <f>IF(LEFT(_xll.BDP($C17,GZ$5),1)="#","#LOADING",IF(_xll.BDP($C17,GZ$5)="CLEAN",TRUE,FALSE))</f>
        <v>0</v>
      </c>
      <c r="HA17" s="64" t="s">
        <v>26</v>
      </c>
      <c r="HB17" s="61" t="s">
        <v>18</v>
      </c>
      <c r="HC17" s="65" t="s">
        <v>28</v>
      </c>
      <c r="HD17" s="66">
        <v>1000000</v>
      </c>
      <c r="HE17" s="96" t="e">
        <f>IF(LEFT(_xll.BDP($C17,HE$5),1)="#","#LOADING",DATEVALUE(_xll.BDP($C17,HE$5)))</f>
        <v>#VALUE!</v>
      </c>
      <c r="HF17" s="96" t="e">
        <f>IF(LEFT(_xll.BDP($C17,HF$5),1)="#","#LOADING",DATEVALUE(_xll.BDP($C17,HF$5)))</f>
        <v>#VALUE!</v>
      </c>
      <c r="HG17" s="96" t="e">
        <f>IF(LEFT(_xll.BDP($C17,HG$5),1)="#","#LOADING",DATEVALUE(_xll.BDP($C17,HG$5)))</f>
        <v>#VALUE!</v>
      </c>
      <c r="HH17" s="96" t="e">
        <f>IF(LEFT(_xll.BDP($C17,HH$5),1)="#","#LOADING",DATEVALUE(_xll.BDP($C17,HH$5)))</f>
        <v>#VALUE!</v>
      </c>
      <c r="HI17" s="96" t="e">
        <f>IF(LEFT(_xll.BDP($C17,HI$5),1)="#","#LOADING",DATEVALUE(_xll.BDP($C17,HI$5)))</f>
        <v>#VALUE!</v>
      </c>
      <c r="HJ17" s="97">
        <f>IF(LEFT(_xll.BDP($C17,HJ$5),1)="#","#LOADING",_xll.BDP($C17,HJ$5)%)</f>
        <v>0</v>
      </c>
      <c r="HK17" s="97" t="str">
        <f>IF(LEFT(_xll.BDP($C17,HK$5),1)="#","#LOADING",VLOOKUP(_xll.BDP($C17,HK$5),Static.CouponFrequency,2,FALSE))</f>
        <v>ZERO-COUPON</v>
      </c>
      <c r="HL17" s="68" t="s">
        <v>51</v>
      </c>
      <c r="HM17" s="73" t="e">
        <f t="shared" si="43"/>
        <v>#N/A</v>
      </c>
      <c r="HN17" s="61" t="s">
        <v>51</v>
      </c>
      <c r="HO17" s="73" t="e">
        <f t="shared" si="44"/>
        <v>#N/A</v>
      </c>
      <c r="HP17" s="61" t="s">
        <v>62</v>
      </c>
      <c r="HQ17" s="43">
        <f>IF(LEFT(_xll.BDP($C17,HQ$5),1)="#","#LOADING",_xll.BDP($C17,HQ$5))</f>
        <v>0</v>
      </c>
      <c r="HR17" s="70"/>
      <c r="HS17" s="43" t="str">
        <f>IF(LEFT(_xll.BDP($C17,HS$5),1)="#","#LOADING","Type"&amp;IF(_xll.BDP($C17,HS$5)=999,1,_xll.BDP($C17,HS$5)))</f>
        <v>Type</v>
      </c>
    </row>
    <row r="18" spans="1:227">
      <c r="A18" s="101">
        <v>12</v>
      </c>
      <c r="B18" s="57"/>
      <c r="C18" s="57"/>
      <c r="D18" s="57"/>
      <c r="E18" s="57"/>
      <c r="F18" s="57"/>
      <c r="G18" s="57"/>
      <c r="H18" s="57"/>
      <c r="I18" s="57"/>
      <c r="J18" s="101">
        <v>12</v>
      </c>
      <c r="K18" s="58" t="s">
        <v>163</v>
      </c>
      <c r="L18" s="59" t="str">
        <f>IF(ISBLANK(M18),IF($G18="","",_xll.BDP(AI18&amp;" "&amp;$K18&amp;" Corp","PX_LAST")),M18)</f>
        <v/>
      </c>
      <c r="M18" s="60"/>
      <c r="N18" s="83" t="str">
        <f ca="1">IF(ISBLANK($O18),IF($G18="","",_xll.meLWOAssetSwapSpread($AB18,$AA18,$L18,_xll.meUtilityLVBFromKeysValues($S$6:$V$6,S18:V18),INDIRECT("Fixings"&amp;$D18&amp;IF($I18="QUARTERLY","3ML","6ML")))),$O18)</f>
        <v/>
      </c>
      <c r="O18" s="60"/>
      <c r="P18" s="84" t="str">
        <f ca="1">IF($C18="","",_xll.meLWOAssetSwapSpreadToCleanPrice($AC18,$N18,INDIRECT("ValuationSettings"&amp;$D18),INDIRECT("Fixings"&amp;$D18&amp;IF($E18="QUARTERLY","3ML","6ML"))))</f>
        <v/>
      </c>
      <c r="Q18" s="84" t="str">
        <f>IF($C18="","",_xll.meLWOBondPriceFromCleanToDirty($AD18,V18,$P18))</f>
        <v/>
      </c>
      <c r="R18" s="98" t="str">
        <f>IF($C18="","",_xll.meLWOBondYield($AD18,V18,IF($GZ18,$P18,$Q18)))</f>
        <v/>
      </c>
      <c r="S18" s="98" t="str">
        <f t="shared" ca="1" si="66"/>
        <v/>
      </c>
      <c r="T18" s="98" t="str">
        <f t="shared" ca="1" si="67"/>
        <v/>
      </c>
      <c r="U18" s="129" t="str">
        <f>IF($C18="","",_xll.BDH(D18&amp;H18&amp;" Curncy","MID",Settings.ValuationDate,Settings.ValuationDate))</f>
        <v/>
      </c>
      <c r="V18" s="127" t="str">
        <f t="shared" ca="1" si="68"/>
        <v/>
      </c>
      <c r="W18" s="98" t="str">
        <f t="shared" si="69"/>
        <v/>
      </c>
      <c r="X18" s="98" t="str">
        <f t="shared" si="70"/>
        <v/>
      </c>
      <c r="Y18" s="98" t="str">
        <f t="shared" si="71"/>
        <v/>
      </c>
      <c r="Z18" s="101">
        <v>12</v>
      </c>
      <c r="AA18" s="53" t="str">
        <f>IF($G18="","",IF(LEFT(AG18,1)="#","#LOADING",_xll.meLWOBondCreateFromLVB("PROXY_BOND_"&amp;$AI18,_xll.meUtilityLVBFromKeysValues($AF$6:$BD$6,$AF18:$BD18))))</f>
        <v/>
      </c>
      <c r="AB18" s="135" t="str">
        <f ca="1">IF($G18="","",_xll.meLWOXccySwapCreate("PROXY_XCCY_ASW_"&amp;$AI18,_xll.meUtilityLVBFromKeysAndMultipleValues($BG$6:$CN$6,$BG18:$CN18,$CP18:$DW18),_xll.meUtilityLVBFromKeysValues($W$6:$Y$6,W18:Y18)))</f>
        <v/>
      </c>
      <c r="AC18" s="53" t="str">
        <f>IF($C18="","",_xll.meLWOSwapCreate("BOND_ASW_"&amp;$GX18,_xll.meUtilityLVBFromKeysAndMultipleValues($EA$6:$FH$6,$EA18:$FH18,$FJ18:$GQ18)))</f>
        <v/>
      </c>
      <c r="AD18" s="53" t="str">
        <f>IF($C18="","",IF(LEFT(GV18,1)="#","#LOADING",_xll.meLWOBondCreateFromLVB("PROXY_BOND_"&amp;$GX18,_xll.meUtilityLVBFromKeysValues($GU$6:$HS$6,$GU18:$HS18))))</f>
        <v/>
      </c>
      <c r="AE18" t="s">
        <v>0</v>
      </c>
      <c r="AF18" s="62">
        <f t="shared" si="46"/>
        <v>0</v>
      </c>
      <c r="AG18" s="63">
        <f>IF(LEFT(_xll.BDP($G18,AG$5),1)="#","#LOADING",_xll.BDP($G18,AG$5))</f>
        <v>0</v>
      </c>
      <c r="AH18" s="41">
        <f t="shared" si="47"/>
        <v>0</v>
      </c>
      <c r="AI18" s="63">
        <f>IF(LEFT(_xll.BDP($G18,AI$5),1)="#","#LOADING",_xll.BDP($G18,AI$5))</f>
        <v>0</v>
      </c>
      <c r="AJ18" s="64" t="s">
        <v>20</v>
      </c>
      <c r="AK18" s="63" t="b">
        <f>IF(LEFT(_xll.BDP($G18,AK$5),1)="#","#LOADING",IF(_xll.BDP($G18,AK$5)="CLEAN",TRUE,FALSE))</f>
        <v>0</v>
      </c>
      <c r="AL18" s="64" t="s">
        <v>26</v>
      </c>
      <c r="AM18" s="61" t="s">
        <v>18</v>
      </c>
      <c r="AN18" s="65" t="s">
        <v>28</v>
      </c>
      <c r="AO18" s="66">
        <v>1000000</v>
      </c>
      <c r="AP18" s="63" t="e">
        <f>IF(LEFT(_xll.BDP($G18,AP$5),1)="#","#LOADING",DATEVALUE(_xll.BDP($G18,AP$5)))</f>
        <v>#VALUE!</v>
      </c>
      <c r="AQ18" s="63" t="e">
        <f>IF(LEFT(_xll.BDP($G18,AQ$5),1)="#","#LOADING",DATEVALUE(_xll.BDP($G18,AQ$5)))</f>
        <v>#VALUE!</v>
      </c>
      <c r="AR18" s="63" t="e">
        <f>IF(LEFT(_xll.BDP($G18,AR$5),1)="#","#LOADING",DATEVALUE(_xll.BDP($G18,AR$5)))</f>
        <v>#VALUE!</v>
      </c>
      <c r="AS18" s="63" t="e">
        <f>IF(LEFT(_xll.BDP($G18,AS$5),1)="#","#LOADING",DATEVALUE(_xll.BDP($G18,AS$5)))</f>
        <v>#VALUE!</v>
      </c>
      <c r="AT18" s="63" t="e">
        <f>IF(LEFT(_xll.BDP($G18,AT$5),1)="#","#LOADING",DATEVALUE(_xll.BDP($G18,AT$5)))</f>
        <v>#VALUE!</v>
      </c>
      <c r="AU18" s="67">
        <f>IF(LEFT(_xll.BDP($G18,AU$5),1)="#","#LOADING",_xll.BDP($G18,AU$5)%)</f>
        <v>0</v>
      </c>
      <c r="AV18" s="67" t="str">
        <f>IF(LEFT(_xll.BDP($G18,AV$5),1)="#","#LOADING",VLOOKUP(_xll.BDP($G18,AV$5),Static.CouponFrequency,2,FALSE))</f>
        <v>ZERO-COUPON</v>
      </c>
      <c r="AW18" s="68" t="s">
        <v>51</v>
      </c>
      <c r="AX18" s="53" t="e">
        <f t="shared" si="3"/>
        <v>#N/A</v>
      </c>
      <c r="AY18" s="61" t="s">
        <v>51</v>
      </c>
      <c r="AZ18" s="53" t="e">
        <f t="shared" si="4"/>
        <v>#N/A</v>
      </c>
      <c r="BA18" s="61" t="s">
        <v>62</v>
      </c>
      <c r="BB18" s="69">
        <f>IF(LEFT(_xll.BDP($G18,BB$5),1)="#","#LOADING",_xll.BDP($G18,BB$5))</f>
        <v>0</v>
      </c>
      <c r="BC18" s="70"/>
      <c r="BD18" s="69" t="str">
        <f>IF(LEFT(_xll.BDP($G18,BD$5),1)="#","#LOADING","Type"&amp;IF(_xll.BDP($G18,BD$5)=999,1,_xll.BDP($G18,BD$5)))</f>
        <v>Type</v>
      </c>
      <c r="BE18" s="54"/>
      <c r="BG18" s="61" t="s">
        <v>7</v>
      </c>
      <c r="BH18" s="66">
        <v>1000000</v>
      </c>
      <c r="BI18" s="61" t="s">
        <v>212</v>
      </c>
      <c r="BJ18" s="61" t="s">
        <v>17</v>
      </c>
      <c r="BK18" s="70"/>
      <c r="BL18" s="73" t="e">
        <f t="shared" si="5"/>
        <v>#N/A</v>
      </c>
      <c r="BM18" s="74">
        <f t="shared" si="6"/>
        <v>0</v>
      </c>
      <c r="BN18" s="71">
        <v>1</v>
      </c>
      <c r="BO18" s="75">
        <f t="shared" si="7"/>
        <v>0</v>
      </c>
      <c r="BP18" s="61"/>
      <c r="BQ18" s="61"/>
      <c r="BR18" s="72"/>
      <c r="BS18" s="72"/>
      <c r="BT18" s="71"/>
      <c r="BU18" s="76" t="e">
        <f t="shared" si="8"/>
        <v>#VALUE!</v>
      </c>
      <c r="BV18" s="76" t="e">
        <f t="shared" si="9"/>
        <v>#VALUE!</v>
      </c>
      <c r="BW18" s="77" t="str">
        <f t="shared" si="10"/>
        <v>ZERO-COUPON</v>
      </c>
      <c r="BX18" s="77" t="str">
        <f t="shared" si="10"/>
        <v>ZERO-COUPON</v>
      </c>
      <c r="BY18" s="78">
        <f t="shared" si="11"/>
        <v>0</v>
      </c>
      <c r="BZ18" s="61"/>
      <c r="CA18" s="61"/>
      <c r="CB18" s="61" t="s">
        <v>51</v>
      </c>
      <c r="CC18" s="73" t="e">
        <f t="shared" si="12"/>
        <v>#N/A</v>
      </c>
      <c r="CD18" s="61" t="s">
        <v>51</v>
      </c>
      <c r="CE18" s="73" t="e">
        <f t="shared" si="13"/>
        <v>#N/A</v>
      </c>
      <c r="CF18" s="76" t="e">
        <f t="shared" si="14"/>
        <v>#VALUE!</v>
      </c>
      <c r="CG18" s="76" t="e">
        <f t="shared" si="15"/>
        <v>#VALUE!</v>
      </c>
      <c r="CH18" s="70" t="s">
        <v>80</v>
      </c>
      <c r="CI18" s="61"/>
      <c r="CJ18" s="61"/>
      <c r="CK18" s="61" t="s">
        <v>62</v>
      </c>
      <c r="CL18" s="61"/>
      <c r="CM18" s="61"/>
      <c r="CN18" s="76" t="str">
        <f t="shared" si="16"/>
        <v>Type</v>
      </c>
      <c r="CP18" s="61" t="s">
        <v>8</v>
      </c>
      <c r="CQ18" s="66" t="e">
        <f t="shared" si="17"/>
        <v>#VALUE!</v>
      </c>
      <c r="CR18" s="61" t="str">
        <f t="shared" si="48"/>
        <v>END</v>
      </c>
      <c r="CS18" s="61" t="s">
        <v>18</v>
      </c>
      <c r="CT18" s="135" t="e">
        <f t="shared" si="18"/>
        <v>#N/A</v>
      </c>
      <c r="CU18" s="135" t="str">
        <f t="shared" si="49"/>
        <v>DF_CSA</v>
      </c>
      <c r="CV18" s="134">
        <f t="shared" si="50"/>
        <v>0</v>
      </c>
      <c r="CW18" s="71">
        <v>1</v>
      </c>
      <c r="CX18" s="81"/>
      <c r="CY18" s="61" t="s">
        <v>32</v>
      </c>
      <c r="CZ18" s="61" t="s">
        <v>32</v>
      </c>
      <c r="DA18" s="72"/>
      <c r="DB18" s="72"/>
      <c r="DC18" s="71"/>
      <c r="DD18" s="291" t="e">
        <f t="shared" ca="1" si="51"/>
        <v>#VALUE!</v>
      </c>
      <c r="DE18" s="291" t="e">
        <f t="shared" ca="1" si="52"/>
        <v>#VALUE!</v>
      </c>
      <c r="DF18" s="53">
        <f t="shared" si="53"/>
        <v>0</v>
      </c>
      <c r="DG18" s="82">
        <f t="shared" si="54"/>
        <v>0</v>
      </c>
      <c r="DH18" s="82" t="e">
        <f t="shared" si="55"/>
        <v>#N/A</v>
      </c>
      <c r="DI18" s="61" t="str">
        <f t="shared" si="56"/>
        <v>PRECEDING</v>
      </c>
      <c r="DJ18" s="82" t="e">
        <f t="shared" si="57"/>
        <v>#N/A</v>
      </c>
      <c r="DK18" s="61" t="str">
        <f t="shared" si="58"/>
        <v>NO_CHANGE</v>
      </c>
      <c r="DL18" s="82" t="e">
        <f t="shared" si="59"/>
        <v>#N/A</v>
      </c>
      <c r="DM18" s="61" t="str">
        <f t="shared" si="60"/>
        <v>NO_CHANGE</v>
      </c>
      <c r="DN18" s="82" t="e">
        <f t="shared" si="61"/>
        <v>#N/A</v>
      </c>
      <c r="DO18" s="82"/>
      <c r="DP18" s="82"/>
      <c r="DQ18" s="70"/>
      <c r="DR18" s="61" t="str">
        <f t="shared" si="62"/>
        <v>0D</v>
      </c>
      <c r="DS18" s="61"/>
      <c r="DT18" s="61" t="str">
        <f t="shared" si="63"/>
        <v>0D</v>
      </c>
      <c r="DU18" s="61" t="str">
        <f t="shared" si="64"/>
        <v>SHORTSTART</v>
      </c>
      <c r="DV18" s="61" t="b">
        <v>0</v>
      </c>
      <c r="DW18" s="82"/>
      <c r="EA18" s="61" t="s">
        <v>7</v>
      </c>
      <c r="EB18" s="66">
        <v>1000000</v>
      </c>
      <c r="EC18" s="61" t="s">
        <v>14</v>
      </c>
      <c r="ED18" s="61" t="s">
        <v>17</v>
      </c>
      <c r="EE18" s="70"/>
      <c r="EF18" s="73" t="e">
        <f t="shared" si="19"/>
        <v>#N/A</v>
      </c>
      <c r="EG18" s="74">
        <f t="shared" si="20"/>
        <v>0</v>
      </c>
      <c r="EH18" s="71">
        <v>1</v>
      </c>
      <c r="EI18" s="75">
        <f t="shared" si="21"/>
        <v>0</v>
      </c>
      <c r="EJ18" s="61"/>
      <c r="EK18" s="61"/>
      <c r="EL18" s="72"/>
      <c r="EM18" s="72"/>
      <c r="EN18" s="71"/>
      <c r="EO18" s="76" t="e">
        <f t="shared" si="22"/>
        <v>#VALUE!</v>
      </c>
      <c r="EP18" s="76" t="e">
        <f t="shared" si="23"/>
        <v>#VALUE!</v>
      </c>
      <c r="EQ18" s="77" t="str">
        <f t="shared" si="24"/>
        <v>ZERO-COUPON</v>
      </c>
      <c r="ER18" s="77" t="str">
        <f t="shared" si="24"/>
        <v>ZERO-COUPON</v>
      </c>
      <c r="ES18" s="78">
        <f t="shared" si="25"/>
        <v>0</v>
      </c>
      <c r="ET18" s="61"/>
      <c r="EU18" s="61"/>
      <c r="EV18" s="61" t="s">
        <v>51</v>
      </c>
      <c r="EW18" s="73" t="e">
        <f t="shared" si="26"/>
        <v>#N/A</v>
      </c>
      <c r="EX18" s="61" t="s">
        <v>51</v>
      </c>
      <c r="EY18" s="73" t="e">
        <f t="shared" si="27"/>
        <v>#N/A</v>
      </c>
      <c r="EZ18" s="76" t="e">
        <f t="shared" si="28"/>
        <v>#VALUE!</v>
      </c>
      <c r="FA18" s="76" t="e">
        <f t="shared" si="29"/>
        <v>#VALUE!</v>
      </c>
      <c r="FB18" s="70" t="s">
        <v>80</v>
      </c>
      <c r="FC18" s="61"/>
      <c r="FD18" s="61"/>
      <c r="FE18" s="61" t="s">
        <v>62</v>
      </c>
      <c r="FF18" s="61"/>
      <c r="FG18" s="61"/>
      <c r="FH18" s="76" t="str">
        <f t="shared" si="30"/>
        <v>Type</v>
      </c>
      <c r="FJ18" s="61" t="s">
        <v>8</v>
      </c>
      <c r="FK18" s="66">
        <v>1000000</v>
      </c>
      <c r="FL18" s="61" t="s">
        <v>14</v>
      </c>
      <c r="FM18" s="61" t="s">
        <v>18</v>
      </c>
      <c r="FN18" s="115" t="e">
        <f t="shared" si="31"/>
        <v>#N/A</v>
      </c>
      <c r="FO18" s="115" t="e">
        <f t="shared" si="32"/>
        <v>#N/A</v>
      </c>
      <c r="FP18" s="116">
        <f t="shared" si="65"/>
        <v>0</v>
      </c>
      <c r="FQ18" s="71">
        <v>1</v>
      </c>
      <c r="FR18" s="81"/>
      <c r="FS18" s="61" t="s">
        <v>32</v>
      </c>
      <c r="FT18" s="61" t="s">
        <v>32</v>
      </c>
      <c r="FU18" s="72"/>
      <c r="FV18" s="72"/>
      <c r="FW18" s="71"/>
      <c r="FX18" s="76" t="e">
        <f t="shared" si="33"/>
        <v>#VALUE!</v>
      </c>
      <c r="FY18" s="76" t="e">
        <f t="shared" si="34"/>
        <v>#VALUE!</v>
      </c>
      <c r="FZ18" s="73">
        <f t="shared" si="35"/>
        <v>0</v>
      </c>
      <c r="GA18" s="73">
        <f t="shared" si="35"/>
        <v>0</v>
      </c>
      <c r="GB18" s="73" t="e">
        <f t="shared" si="36"/>
        <v>#N/A</v>
      </c>
      <c r="GC18" s="61" t="s">
        <v>58</v>
      </c>
      <c r="GD18" s="73" t="e">
        <f t="shared" si="37"/>
        <v>#N/A</v>
      </c>
      <c r="GE18" s="61" t="s">
        <v>51</v>
      </c>
      <c r="GF18" s="73" t="e">
        <f t="shared" si="38"/>
        <v>#N/A</v>
      </c>
      <c r="GG18" s="61" t="s">
        <v>51</v>
      </c>
      <c r="GH18" s="73" t="e">
        <f t="shared" si="39"/>
        <v>#N/A</v>
      </c>
      <c r="GI18" s="82"/>
      <c r="GJ18" s="82"/>
      <c r="GK18" s="70"/>
      <c r="GL18" s="61" t="s">
        <v>62</v>
      </c>
      <c r="GM18" s="61"/>
      <c r="GN18" s="61" t="s">
        <v>62</v>
      </c>
      <c r="GO18" s="61" t="s">
        <v>75</v>
      </c>
      <c r="GP18" s="61" t="b">
        <v>0</v>
      </c>
      <c r="GQ18" s="82"/>
      <c r="GU18" s="95">
        <f t="shared" si="40"/>
        <v>0</v>
      </c>
      <c r="GV18" s="42">
        <f>IF(LEFT(_xll.BDP($C18,GV$5),1)="#","#LOADING",_xll.BDP($C18,GV$5))</f>
        <v>0</v>
      </c>
      <c r="GW18" s="74">
        <f t="shared" si="41"/>
        <v>0</v>
      </c>
      <c r="GX18" s="74" t="e">
        <f t="shared" si="42"/>
        <v>#VALUE!</v>
      </c>
      <c r="GY18" s="64" t="s">
        <v>20</v>
      </c>
      <c r="GZ18" s="42" t="b">
        <f>IF(LEFT(_xll.BDP($C18,GZ$5),1)="#","#LOADING",IF(_xll.BDP($C18,GZ$5)="CLEAN",TRUE,FALSE))</f>
        <v>0</v>
      </c>
      <c r="HA18" s="64" t="s">
        <v>26</v>
      </c>
      <c r="HB18" s="61" t="s">
        <v>18</v>
      </c>
      <c r="HC18" s="65" t="s">
        <v>28</v>
      </c>
      <c r="HD18" s="66">
        <v>1000000</v>
      </c>
      <c r="HE18" s="96" t="e">
        <f>IF(LEFT(_xll.BDP($C18,HE$5),1)="#","#LOADING",DATEVALUE(_xll.BDP($C18,HE$5)))</f>
        <v>#VALUE!</v>
      </c>
      <c r="HF18" s="96" t="e">
        <f>IF(LEFT(_xll.BDP($C18,HF$5),1)="#","#LOADING",DATEVALUE(_xll.BDP($C18,HF$5)))</f>
        <v>#VALUE!</v>
      </c>
      <c r="HG18" s="96" t="e">
        <f>IF(LEFT(_xll.BDP($C18,HG$5),1)="#","#LOADING",DATEVALUE(_xll.BDP($C18,HG$5)))</f>
        <v>#VALUE!</v>
      </c>
      <c r="HH18" s="96" t="e">
        <f>IF(LEFT(_xll.BDP($C18,HH$5),1)="#","#LOADING",DATEVALUE(_xll.BDP($C18,HH$5)))</f>
        <v>#VALUE!</v>
      </c>
      <c r="HI18" s="96" t="e">
        <f>IF(LEFT(_xll.BDP($C18,HI$5),1)="#","#LOADING",DATEVALUE(_xll.BDP($C18,HI$5)))</f>
        <v>#VALUE!</v>
      </c>
      <c r="HJ18" s="97">
        <f>IF(LEFT(_xll.BDP($C18,HJ$5),1)="#","#LOADING",_xll.BDP($C18,HJ$5)%)</f>
        <v>0</v>
      </c>
      <c r="HK18" s="97" t="str">
        <f>IF(LEFT(_xll.BDP($C18,HK$5),1)="#","#LOADING",VLOOKUP(_xll.BDP($C18,HK$5),Static.CouponFrequency,2,FALSE))</f>
        <v>ZERO-COUPON</v>
      </c>
      <c r="HL18" s="68" t="s">
        <v>51</v>
      </c>
      <c r="HM18" s="73" t="e">
        <f t="shared" si="43"/>
        <v>#N/A</v>
      </c>
      <c r="HN18" s="61" t="s">
        <v>51</v>
      </c>
      <c r="HO18" s="73" t="e">
        <f t="shared" si="44"/>
        <v>#N/A</v>
      </c>
      <c r="HP18" s="61" t="s">
        <v>62</v>
      </c>
      <c r="HQ18" s="43">
        <f>IF(LEFT(_xll.BDP($C18,HQ$5),1)="#","#LOADING",_xll.BDP($C18,HQ$5))</f>
        <v>0</v>
      </c>
      <c r="HR18" s="70"/>
      <c r="HS18" s="43" t="str">
        <f>IF(LEFT(_xll.BDP($C18,HS$5),1)="#","#LOADING","Type"&amp;IF(_xll.BDP($C18,HS$5)=999,1,_xll.BDP($C18,HS$5)))</f>
        <v>Type</v>
      </c>
    </row>
    <row r="19" spans="1:227">
      <c r="A19" s="101">
        <v>13</v>
      </c>
      <c r="B19" s="57"/>
      <c r="C19" s="57"/>
      <c r="D19" s="57"/>
      <c r="E19" s="57"/>
      <c r="F19" s="57"/>
      <c r="G19" s="57"/>
      <c r="H19" s="57"/>
      <c r="I19" s="57"/>
      <c r="J19" s="101">
        <v>13</v>
      </c>
      <c r="K19" s="58" t="s">
        <v>163</v>
      </c>
      <c r="L19" s="59" t="str">
        <f>IF(ISBLANK(M19),IF($G19="","",_xll.BDP(AI19&amp;" "&amp;$K19&amp;" Corp","PX_LAST")),M19)</f>
        <v/>
      </c>
      <c r="M19" s="60"/>
      <c r="N19" s="83" t="str">
        <f ca="1">IF(ISBLANK($O19),IF($G19="","",_xll.meLWOAssetSwapSpread($AB19,$AA19,$L19,_xll.meUtilityLVBFromKeysValues($S$6:$V$6,S19:V19),INDIRECT("Fixings"&amp;$D19&amp;IF($I19="QUARTERLY","3ML","6ML")))),$O19)</f>
        <v/>
      </c>
      <c r="O19" s="60"/>
      <c r="P19" s="84" t="str">
        <f ca="1">IF($C19="","",_xll.meLWOAssetSwapSpreadToCleanPrice($AC19,$N19,INDIRECT("ValuationSettings"&amp;$D19),INDIRECT("Fixings"&amp;$D19&amp;IF($E19="QUARTERLY","3ML","6ML"))))</f>
        <v/>
      </c>
      <c r="Q19" s="84" t="str">
        <f>IF($C19="","",_xll.meLWOBondPriceFromCleanToDirty($AD19,V19,$P19))</f>
        <v/>
      </c>
      <c r="R19" s="98" t="str">
        <f>IF($C19="","",_xll.meLWOBondYield($AD19,V19,IF($GZ19,$P19,$Q19)))</f>
        <v/>
      </c>
      <c r="S19" s="98" t="str">
        <f t="shared" ca="1" si="66"/>
        <v/>
      </c>
      <c r="T19" s="98" t="str">
        <f t="shared" ca="1" si="67"/>
        <v/>
      </c>
      <c r="U19" s="129" t="str">
        <f>IF($C19="","",_xll.BDH(D19&amp;H19&amp;" Curncy","MID",Settings.ValuationDate,Settings.ValuationDate))</f>
        <v/>
      </c>
      <c r="V19" s="127" t="str">
        <f t="shared" ca="1" si="68"/>
        <v/>
      </c>
      <c r="W19" s="98" t="str">
        <f t="shared" si="69"/>
        <v/>
      </c>
      <c r="X19" s="98" t="str">
        <f t="shared" si="70"/>
        <v/>
      </c>
      <c r="Y19" s="98" t="str">
        <f t="shared" si="71"/>
        <v/>
      </c>
      <c r="Z19" s="101">
        <v>13</v>
      </c>
      <c r="AA19" s="53" t="str">
        <f>IF($G19="","",IF(LEFT(AG19,1)="#","#LOADING",_xll.meLWOBondCreateFromLVB("PROXY_BOND_"&amp;$AI19,_xll.meUtilityLVBFromKeysValues($AF$6:$BD$6,$AF19:$BD19))))</f>
        <v/>
      </c>
      <c r="AB19" s="135" t="str">
        <f ca="1">IF($G19="","",_xll.meLWOXccySwapCreate("PROXY_XCCY_ASW_"&amp;$AI19,_xll.meUtilityLVBFromKeysAndMultipleValues($BG$6:$CN$6,$BG19:$CN19,$CP19:$DW19),_xll.meUtilityLVBFromKeysValues($W$6:$Y$6,W19:Y19)))</f>
        <v/>
      </c>
      <c r="AC19" s="53" t="str">
        <f>IF($C19="","",_xll.meLWOSwapCreate("BOND_ASW_"&amp;$GX19,_xll.meUtilityLVBFromKeysAndMultipleValues($EA$6:$FH$6,$EA19:$FH19,$FJ19:$GQ19)))</f>
        <v/>
      </c>
      <c r="AD19" s="53" t="str">
        <f>IF($C19="","",IF(LEFT(GV19,1)="#","#LOADING",_xll.meLWOBondCreateFromLVB("PROXY_BOND_"&amp;$GX19,_xll.meUtilityLVBFromKeysValues($GU$6:$HS$6,$GU19:$HS19))))</f>
        <v/>
      </c>
      <c r="AE19" t="s">
        <v>0</v>
      </c>
      <c r="AF19" s="62">
        <f t="shared" si="46"/>
        <v>0</v>
      </c>
      <c r="AG19" s="63">
        <f>IF(LEFT(_xll.BDP($G19,AG$5),1)="#","#LOADING",_xll.BDP($G19,AG$5))</f>
        <v>0</v>
      </c>
      <c r="AH19" s="41">
        <f t="shared" si="47"/>
        <v>0</v>
      </c>
      <c r="AI19" s="63">
        <f>IF(LEFT(_xll.BDP($G19,AI$5),1)="#","#LOADING",_xll.BDP($G19,AI$5))</f>
        <v>0</v>
      </c>
      <c r="AJ19" s="64" t="s">
        <v>20</v>
      </c>
      <c r="AK19" s="63" t="b">
        <f>IF(LEFT(_xll.BDP($G19,AK$5),1)="#","#LOADING",IF(_xll.BDP($G19,AK$5)="CLEAN",TRUE,FALSE))</f>
        <v>0</v>
      </c>
      <c r="AL19" s="64" t="s">
        <v>26</v>
      </c>
      <c r="AM19" s="61" t="s">
        <v>18</v>
      </c>
      <c r="AN19" s="65" t="s">
        <v>28</v>
      </c>
      <c r="AO19" s="66">
        <v>1000000</v>
      </c>
      <c r="AP19" s="63" t="e">
        <f>IF(LEFT(_xll.BDP($G19,AP$5),1)="#","#LOADING",DATEVALUE(_xll.BDP($G19,AP$5)))</f>
        <v>#VALUE!</v>
      </c>
      <c r="AQ19" s="63" t="e">
        <f>IF(LEFT(_xll.BDP($G19,AQ$5),1)="#","#LOADING",DATEVALUE(_xll.BDP($G19,AQ$5)))</f>
        <v>#VALUE!</v>
      </c>
      <c r="AR19" s="63" t="e">
        <f>IF(LEFT(_xll.BDP($G19,AR$5),1)="#","#LOADING",DATEVALUE(_xll.BDP($G19,AR$5)))</f>
        <v>#VALUE!</v>
      </c>
      <c r="AS19" s="63" t="e">
        <f>IF(LEFT(_xll.BDP($G19,AS$5),1)="#","#LOADING",DATEVALUE(_xll.BDP($G19,AS$5)))</f>
        <v>#VALUE!</v>
      </c>
      <c r="AT19" s="63" t="e">
        <f>IF(LEFT(_xll.BDP($G19,AT$5),1)="#","#LOADING",DATEVALUE(_xll.BDP($G19,AT$5)))</f>
        <v>#VALUE!</v>
      </c>
      <c r="AU19" s="67">
        <f>IF(LEFT(_xll.BDP($G19,AU$5),1)="#","#LOADING",_xll.BDP($G19,AU$5)%)</f>
        <v>0</v>
      </c>
      <c r="AV19" s="67" t="str">
        <f>IF(LEFT(_xll.BDP($G19,AV$5),1)="#","#LOADING",VLOOKUP(_xll.BDP($G19,AV$5),Static.CouponFrequency,2,FALSE))</f>
        <v>ZERO-COUPON</v>
      </c>
      <c r="AW19" s="68" t="s">
        <v>51</v>
      </c>
      <c r="AX19" s="53" t="e">
        <f t="shared" si="3"/>
        <v>#N/A</v>
      </c>
      <c r="AY19" s="61" t="s">
        <v>51</v>
      </c>
      <c r="AZ19" s="53" t="e">
        <f t="shared" si="4"/>
        <v>#N/A</v>
      </c>
      <c r="BA19" s="61" t="s">
        <v>62</v>
      </c>
      <c r="BB19" s="69">
        <f>IF(LEFT(_xll.BDP($G19,BB$5),1)="#","#LOADING",_xll.BDP($G19,BB$5))</f>
        <v>0</v>
      </c>
      <c r="BC19" s="70"/>
      <c r="BD19" s="69" t="str">
        <f>IF(LEFT(_xll.BDP($G19,BD$5),1)="#","#LOADING","Type"&amp;IF(_xll.BDP($G19,BD$5)=999,1,_xll.BDP($G19,BD$5)))</f>
        <v>Type</v>
      </c>
      <c r="BE19" s="54"/>
      <c r="BG19" s="61" t="s">
        <v>7</v>
      </c>
      <c r="BH19" s="66">
        <v>1000000</v>
      </c>
      <c r="BI19" s="61" t="s">
        <v>212</v>
      </c>
      <c r="BJ19" s="61" t="s">
        <v>17</v>
      </c>
      <c r="BK19" s="70"/>
      <c r="BL19" s="73" t="e">
        <f t="shared" si="5"/>
        <v>#N/A</v>
      </c>
      <c r="BM19" s="74">
        <f t="shared" si="6"/>
        <v>0</v>
      </c>
      <c r="BN19" s="71">
        <v>1</v>
      </c>
      <c r="BO19" s="75">
        <f t="shared" si="7"/>
        <v>0</v>
      </c>
      <c r="BP19" s="61"/>
      <c r="BQ19" s="61"/>
      <c r="BR19" s="72"/>
      <c r="BS19" s="72"/>
      <c r="BT19" s="71"/>
      <c r="BU19" s="76" t="e">
        <f t="shared" si="8"/>
        <v>#VALUE!</v>
      </c>
      <c r="BV19" s="76" t="e">
        <f t="shared" si="9"/>
        <v>#VALUE!</v>
      </c>
      <c r="BW19" s="77" t="str">
        <f t="shared" si="10"/>
        <v>ZERO-COUPON</v>
      </c>
      <c r="BX19" s="77" t="str">
        <f t="shared" si="10"/>
        <v>ZERO-COUPON</v>
      </c>
      <c r="BY19" s="78">
        <f t="shared" si="11"/>
        <v>0</v>
      </c>
      <c r="BZ19" s="61"/>
      <c r="CA19" s="61"/>
      <c r="CB19" s="61" t="s">
        <v>51</v>
      </c>
      <c r="CC19" s="73" t="e">
        <f t="shared" si="12"/>
        <v>#N/A</v>
      </c>
      <c r="CD19" s="61" t="s">
        <v>51</v>
      </c>
      <c r="CE19" s="73" t="e">
        <f t="shared" si="13"/>
        <v>#N/A</v>
      </c>
      <c r="CF19" s="76" t="e">
        <f t="shared" si="14"/>
        <v>#VALUE!</v>
      </c>
      <c r="CG19" s="76" t="e">
        <f t="shared" si="15"/>
        <v>#VALUE!</v>
      </c>
      <c r="CH19" s="70" t="s">
        <v>80</v>
      </c>
      <c r="CI19" s="61"/>
      <c r="CJ19" s="61"/>
      <c r="CK19" s="61" t="s">
        <v>62</v>
      </c>
      <c r="CL19" s="61"/>
      <c r="CM19" s="61"/>
      <c r="CN19" s="76" t="str">
        <f t="shared" si="16"/>
        <v>Type</v>
      </c>
      <c r="CP19" s="61" t="s">
        <v>8</v>
      </c>
      <c r="CQ19" s="66" t="e">
        <f t="shared" si="17"/>
        <v>#VALUE!</v>
      </c>
      <c r="CR19" s="61" t="str">
        <f t="shared" si="48"/>
        <v>END</v>
      </c>
      <c r="CS19" s="61" t="s">
        <v>18</v>
      </c>
      <c r="CT19" s="135" t="e">
        <f t="shared" si="18"/>
        <v>#N/A</v>
      </c>
      <c r="CU19" s="135" t="str">
        <f t="shared" si="49"/>
        <v>DF_CSA</v>
      </c>
      <c r="CV19" s="134">
        <f t="shared" si="50"/>
        <v>0</v>
      </c>
      <c r="CW19" s="71">
        <v>1</v>
      </c>
      <c r="CX19" s="81"/>
      <c r="CY19" s="61" t="s">
        <v>32</v>
      </c>
      <c r="CZ19" s="61" t="s">
        <v>32</v>
      </c>
      <c r="DA19" s="72"/>
      <c r="DB19" s="72"/>
      <c r="DC19" s="71"/>
      <c r="DD19" s="291" t="e">
        <f t="shared" ca="1" si="51"/>
        <v>#VALUE!</v>
      </c>
      <c r="DE19" s="291" t="e">
        <f t="shared" ca="1" si="52"/>
        <v>#VALUE!</v>
      </c>
      <c r="DF19" s="53">
        <f t="shared" si="53"/>
        <v>0</v>
      </c>
      <c r="DG19" s="82">
        <f t="shared" si="54"/>
        <v>0</v>
      </c>
      <c r="DH19" s="82" t="e">
        <f t="shared" si="55"/>
        <v>#N/A</v>
      </c>
      <c r="DI19" s="61" t="str">
        <f t="shared" si="56"/>
        <v>PRECEDING</v>
      </c>
      <c r="DJ19" s="82" t="e">
        <f t="shared" si="57"/>
        <v>#N/A</v>
      </c>
      <c r="DK19" s="61" t="str">
        <f t="shared" si="58"/>
        <v>NO_CHANGE</v>
      </c>
      <c r="DL19" s="82" t="e">
        <f t="shared" si="59"/>
        <v>#N/A</v>
      </c>
      <c r="DM19" s="61" t="str">
        <f t="shared" si="60"/>
        <v>NO_CHANGE</v>
      </c>
      <c r="DN19" s="82" t="e">
        <f t="shared" si="61"/>
        <v>#N/A</v>
      </c>
      <c r="DO19" s="82"/>
      <c r="DP19" s="82"/>
      <c r="DQ19" s="70"/>
      <c r="DR19" s="61" t="str">
        <f t="shared" si="62"/>
        <v>0D</v>
      </c>
      <c r="DS19" s="61"/>
      <c r="DT19" s="61" t="str">
        <f t="shared" si="63"/>
        <v>0D</v>
      </c>
      <c r="DU19" s="61" t="str">
        <f t="shared" si="64"/>
        <v>SHORTSTART</v>
      </c>
      <c r="DV19" s="61" t="b">
        <v>0</v>
      </c>
      <c r="DW19" s="82"/>
      <c r="EA19" s="61" t="s">
        <v>7</v>
      </c>
      <c r="EB19" s="66">
        <v>1000000</v>
      </c>
      <c r="EC19" s="61" t="s">
        <v>14</v>
      </c>
      <c r="ED19" s="61" t="s">
        <v>17</v>
      </c>
      <c r="EE19" s="70"/>
      <c r="EF19" s="73" t="e">
        <f t="shared" si="19"/>
        <v>#N/A</v>
      </c>
      <c r="EG19" s="74">
        <f t="shared" si="20"/>
        <v>0</v>
      </c>
      <c r="EH19" s="71">
        <v>1</v>
      </c>
      <c r="EI19" s="75">
        <f t="shared" si="21"/>
        <v>0</v>
      </c>
      <c r="EJ19" s="61"/>
      <c r="EK19" s="61"/>
      <c r="EL19" s="72"/>
      <c r="EM19" s="72"/>
      <c r="EN19" s="71"/>
      <c r="EO19" s="76" t="e">
        <f t="shared" si="22"/>
        <v>#VALUE!</v>
      </c>
      <c r="EP19" s="76" t="e">
        <f t="shared" si="23"/>
        <v>#VALUE!</v>
      </c>
      <c r="EQ19" s="77" t="str">
        <f t="shared" si="24"/>
        <v>ZERO-COUPON</v>
      </c>
      <c r="ER19" s="77" t="str">
        <f t="shared" si="24"/>
        <v>ZERO-COUPON</v>
      </c>
      <c r="ES19" s="78">
        <f t="shared" si="25"/>
        <v>0</v>
      </c>
      <c r="ET19" s="61"/>
      <c r="EU19" s="61"/>
      <c r="EV19" s="61" t="s">
        <v>51</v>
      </c>
      <c r="EW19" s="73" t="e">
        <f t="shared" si="26"/>
        <v>#N/A</v>
      </c>
      <c r="EX19" s="61" t="s">
        <v>51</v>
      </c>
      <c r="EY19" s="73" t="e">
        <f t="shared" si="27"/>
        <v>#N/A</v>
      </c>
      <c r="EZ19" s="76" t="e">
        <f t="shared" si="28"/>
        <v>#VALUE!</v>
      </c>
      <c r="FA19" s="76" t="e">
        <f t="shared" si="29"/>
        <v>#VALUE!</v>
      </c>
      <c r="FB19" s="70" t="s">
        <v>80</v>
      </c>
      <c r="FC19" s="61"/>
      <c r="FD19" s="61"/>
      <c r="FE19" s="61" t="s">
        <v>62</v>
      </c>
      <c r="FF19" s="61"/>
      <c r="FG19" s="61"/>
      <c r="FH19" s="76" t="str">
        <f t="shared" si="30"/>
        <v>Type</v>
      </c>
      <c r="FJ19" s="61" t="s">
        <v>8</v>
      </c>
      <c r="FK19" s="66">
        <v>1000000</v>
      </c>
      <c r="FL19" s="61" t="s">
        <v>14</v>
      </c>
      <c r="FM19" s="61" t="s">
        <v>18</v>
      </c>
      <c r="FN19" s="115" t="e">
        <f t="shared" si="31"/>
        <v>#N/A</v>
      </c>
      <c r="FO19" s="115" t="e">
        <f t="shared" si="32"/>
        <v>#N/A</v>
      </c>
      <c r="FP19" s="116">
        <f t="shared" si="65"/>
        <v>0</v>
      </c>
      <c r="FQ19" s="71">
        <v>1</v>
      </c>
      <c r="FR19" s="81"/>
      <c r="FS19" s="61" t="s">
        <v>32</v>
      </c>
      <c r="FT19" s="61" t="s">
        <v>32</v>
      </c>
      <c r="FU19" s="72"/>
      <c r="FV19" s="72"/>
      <c r="FW19" s="71"/>
      <c r="FX19" s="76" t="e">
        <f t="shared" si="33"/>
        <v>#VALUE!</v>
      </c>
      <c r="FY19" s="76" t="e">
        <f t="shared" si="34"/>
        <v>#VALUE!</v>
      </c>
      <c r="FZ19" s="73">
        <f t="shared" si="35"/>
        <v>0</v>
      </c>
      <c r="GA19" s="73">
        <f t="shared" si="35"/>
        <v>0</v>
      </c>
      <c r="GB19" s="73" t="e">
        <f t="shared" si="36"/>
        <v>#N/A</v>
      </c>
      <c r="GC19" s="61" t="s">
        <v>58</v>
      </c>
      <c r="GD19" s="73" t="e">
        <f t="shared" si="37"/>
        <v>#N/A</v>
      </c>
      <c r="GE19" s="61" t="s">
        <v>51</v>
      </c>
      <c r="GF19" s="73" t="e">
        <f t="shared" si="38"/>
        <v>#N/A</v>
      </c>
      <c r="GG19" s="61" t="s">
        <v>51</v>
      </c>
      <c r="GH19" s="73" t="e">
        <f t="shared" si="39"/>
        <v>#N/A</v>
      </c>
      <c r="GI19" s="82"/>
      <c r="GJ19" s="82"/>
      <c r="GK19" s="70"/>
      <c r="GL19" s="61" t="s">
        <v>62</v>
      </c>
      <c r="GM19" s="61"/>
      <c r="GN19" s="61" t="s">
        <v>62</v>
      </c>
      <c r="GO19" s="61" t="s">
        <v>75</v>
      </c>
      <c r="GP19" s="61" t="b">
        <v>0</v>
      </c>
      <c r="GQ19" s="82"/>
      <c r="GU19" s="95">
        <f t="shared" si="40"/>
        <v>0</v>
      </c>
      <c r="GV19" s="42">
        <f>IF(LEFT(_xll.BDP($C19,GV$5),1)="#","#LOADING",_xll.BDP($C19,GV$5))</f>
        <v>0</v>
      </c>
      <c r="GW19" s="74">
        <f t="shared" si="41"/>
        <v>0</v>
      </c>
      <c r="GX19" s="74" t="e">
        <f t="shared" si="42"/>
        <v>#VALUE!</v>
      </c>
      <c r="GY19" s="64" t="s">
        <v>20</v>
      </c>
      <c r="GZ19" s="42" t="b">
        <f>IF(LEFT(_xll.BDP($C19,GZ$5),1)="#","#LOADING",IF(_xll.BDP($C19,GZ$5)="CLEAN",TRUE,FALSE))</f>
        <v>0</v>
      </c>
      <c r="HA19" s="64" t="s">
        <v>26</v>
      </c>
      <c r="HB19" s="61" t="s">
        <v>18</v>
      </c>
      <c r="HC19" s="65" t="s">
        <v>28</v>
      </c>
      <c r="HD19" s="66">
        <v>1000000</v>
      </c>
      <c r="HE19" s="96" t="e">
        <f>IF(LEFT(_xll.BDP($C19,HE$5),1)="#","#LOADING",DATEVALUE(_xll.BDP($C19,HE$5)))</f>
        <v>#VALUE!</v>
      </c>
      <c r="HF19" s="96" t="e">
        <f>IF(LEFT(_xll.BDP($C19,HF$5),1)="#","#LOADING",DATEVALUE(_xll.BDP($C19,HF$5)))</f>
        <v>#VALUE!</v>
      </c>
      <c r="HG19" s="96" t="e">
        <f>IF(LEFT(_xll.BDP($C19,HG$5),1)="#","#LOADING",DATEVALUE(_xll.BDP($C19,HG$5)))</f>
        <v>#VALUE!</v>
      </c>
      <c r="HH19" s="96" t="e">
        <f>IF(LEFT(_xll.BDP($C19,HH$5),1)="#","#LOADING",DATEVALUE(_xll.BDP($C19,HH$5)))</f>
        <v>#VALUE!</v>
      </c>
      <c r="HI19" s="96" t="e">
        <f>IF(LEFT(_xll.BDP($C19,HI$5),1)="#","#LOADING",DATEVALUE(_xll.BDP($C19,HI$5)))</f>
        <v>#VALUE!</v>
      </c>
      <c r="HJ19" s="97">
        <f>IF(LEFT(_xll.BDP($C19,HJ$5),1)="#","#LOADING",_xll.BDP($C19,HJ$5)%)</f>
        <v>0</v>
      </c>
      <c r="HK19" s="97" t="str">
        <f>IF(LEFT(_xll.BDP($C19,HK$5),1)="#","#LOADING",VLOOKUP(_xll.BDP($C19,HK$5),Static.CouponFrequency,2,FALSE))</f>
        <v>ZERO-COUPON</v>
      </c>
      <c r="HL19" s="68" t="s">
        <v>51</v>
      </c>
      <c r="HM19" s="73" t="e">
        <f t="shared" si="43"/>
        <v>#N/A</v>
      </c>
      <c r="HN19" s="61" t="s">
        <v>51</v>
      </c>
      <c r="HO19" s="73" t="e">
        <f t="shared" si="44"/>
        <v>#N/A</v>
      </c>
      <c r="HP19" s="61" t="s">
        <v>62</v>
      </c>
      <c r="HQ19" s="43">
        <f>IF(LEFT(_xll.BDP($C19,HQ$5),1)="#","#LOADING",_xll.BDP($C19,HQ$5))</f>
        <v>0</v>
      </c>
      <c r="HR19" s="70"/>
      <c r="HS19" s="43" t="str">
        <f>IF(LEFT(_xll.BDP($C19,HS$5),1)="#","#LOADING","Type"&amp;IF(_xll.BDP($C19,HS$5)=999,1,_xll.BDP($C19,HS$5)))</f>
        <v>Type</v>
      </c>
    </row>
    <row r="20" spans="1:227">
      <c r="A20" s="101">
        <v>14</v>
      </c>
      <c r="B20" s="57"/>
      <c r="C20" s="57"/>
      <c r="D20" s="57"/>
      <c r="E20" s="57"/>
      <c r="F20" s="57"/>
      <c r="G20" s="57"/>
      <c r="H20" s="57"/>
      <c r="I20" s="57"/>
      <c r="J20" s="101">
        <v>14</v>
      </c>
      <c r="K20" s="58" t="s">
        <v>163</v>
      </c>
      <c r="L20" s="59" t="str">
        <f>IF(ISBLANK(M20),IF($G20="","",_xll.BDP(AI20&amp;" "&amp;$K20&amp;" Corp","PX_LAST")),M20)</f>
        <v/>
      </c>
      <c r="M20" s="60"/>
      <c r="N20" s="83" t="str">
        <f ca="1">IF(ISBLANK($O20),IF($G20="","",_xll.meLWOAssetSwapSpread($AB20,$AA20,$L20,_xll.meUtilityLVBFromKeysValues($S$6:$V$6,S20:V20),INDIRECT("Fixings"&amp;$D20&amp;IF($I20="QUARTERLY","3ML","6ML")))),$O20)</f>
        <v/>
      </c>
      <c r="O20" s="60"/>
      <c r="P20" s="84" t="str">
        <f ca="1">IF($C20="","",_xll.meLWOAssetSwapSpreadToCleanPrice($AC20,$N20,INDIRECT("ValuationSettings"&amp;$D20),INDIRECT("Fixings"&amp;$D20&amp;IF($E20="QUARTERLY","3ML","6ML"))))</f>
        <v/>
      </c>
      <c r="Q20" s="84" t="str">
        <f>IF($C20="","",_xll.meLWOBondPriceFromCleanToDirty($AD20,V20,$P20))</f>
        <v/>
      </c>
      <c r="R20" s="98" t="str">
        <f>IF($C20="","",_xll.meLWOBondYield($AD20,V20,IF($GZ20,$P20,$Q20)))</f>
        <v/>
      </c>
      <c r="S20" s="98" t="str">
        <f t="shared" ca="1" si="66"/>
        <v/>
      </c>
      <c r="T20" s="98" t="str">
        <f t="shared" ca="1" si="67"/>
        <v/>
      </c>
      <c r="U20" s="129" t="str">
        <f>IF($C20="","",_xll.BDH(D20&amp;H20&amp;" Curncy","MID",Settings.ValuationDate,Settings.ValuationDate))</f>
        <v/>
      </c>
      <c r="V20" s="127" t="str">
        <f t="shared" ca="1" si="68"/>
        <v/>
      </c>
      <c r="W20" s="98" t="str">
        <f t="shared" si="69"/>
        <v/>
      </c>
      <c r="X20" s="98" t="str">
        <f t="shared" si="70"/>
        <v/>
      </c>
      <c r="Y20" s="98" t="str">
        <f t="shared" si="71"/>
        <v/>
      </c>
      <c r="Z20" s="101">
        <v>14</v>
      </c>
      <c r="AA20" s="53" t="str">
        <f>IF($G20="","",IF(LEFT(AG20,1)="#","#LOADING",_xll.meLWOBondCreateFromLVB("PROXY_BOND_"&amp;$AI20,_xll.meUtilityLVBFromKeysValues($AF$6:$BD$6,$AF20:$BD20))))</f>
        <v/>
      </c>
      <c r="AB20" s="135" t="str">
        <f ca="1">IF($G20="","",_xll.meLWOXccySwapCreate("PROXY_XCCY_ASW_"&amp;$AI20,_xll.meUtilityLVBFromKeysAndMultipleValues($BG$6:$CN$6,$BG20:$CN20,$CP20:$DW20),_xll.meUtilityLVBFromKeysValues($W$6:$Y$6,W20:Y20)))</f>
        <v/>
      </c>
      <c r="AC20" s="53" t="str">
        <f>IF($C20="","",_xll.meLWOSwapCreate("BOND_ASW_"&amp;$GX20,_xll.meUtilityLVBFromKeysAndMultipleValues($EA$6:$FH$6,$EA20:$FH20,$FJ20:$GQ20)))</f>
        <v/>
      </c>
      <c r="AD20" s="53" t="str">
        <f>IF($C20="","",IF(LEFT(GV20,1)="#","#LOADING",_xll.meLWOBondCreateFromLVB("PROXY_BOND_"&amp;$GX20,_xll.meUtilityLVBFromKeysValues($GU$6:$HS$6,$GU20:$HS20))))</f>
        <v/>
      </c>
      <c r="AE20" t="s">
        <v>0</v>
      </c>
      <c r="AF20" s="62">
        <f t="shared" si="46"/>
        <v>0</v>
      </c>
      <c r="AG20" s="63">
        <f>IF(LEFT(_xll.BDP($G20,AG$5),1)="#","#LOADING",_xll.BDP($G20,AG$5))</f>
        <v>0</v>
      </c>
      <c r="AH20" s="41">
        <f t="shared" si="47"/>
        <v>0</v>
      </c>
      <c r="AI20" s="63">
        <f>IF(LEFT(_xll.BDP($G20,AI$5),1)="#","#LOADING",_xll.BDP($G20,AI$5))</f>
        <v>0</v>
      </c>
      <c r="AJ20" s="64" t="s">
        <v>20</v>
      </c>
      <c r="AK20" s="63" t="b">
        <f>IF(LEFT(_xll.BDP($G20,AK$5),1)="#","#LOADING",IF(_xll.BDP($G20,AK$5)="CLEAN",TRUE,FALSE))</f>
        <v>0</v>
      </c>
      <c r="AL20" s="64" t="s">
        <v>26</v>
      </c>
      <c r="AM20" s="61" t="s">
        <v>18</v>
      </c>
      <c r="AN20" s="65" t="s">
        <v>28</v>
      </c>
      <c r="AO20" s="66">
        <v>1000000</v>
      </c>
      <c r="AP20" s="63" t="e">
        <f>IF(LEFT(_xll.BDP($G20,AP$5),1)="#","#LOADING",DATEVALUE(_xll.BDP($G20,AP$5)))</f>
        <v>#VALUE!</v>
      </c>
      <c r="AQ20" s="63" t="e">
        <f>IF(LEFT(_xll.BDP($G20,AQ$5),1)="#","#LOADING",DATEVALUE(_xll.BDP($G20,AQ$5)))</f>
        <v>#VALUE!</v>
      </c>
      <c r="AR20" s="63" t="e">
        <f>IF(LEFT(_xll.BDP($G20,AR$5),1)="#","#LOADING",DATEVALUE(_xll.BDP($G20,AR$5)))</f>
        <v>#VALUE!</v>
      </c>
      <c r="AS20" s="63" t="e">
        <f>IF(LEFT(_xll.BDP($G20,AS$5),1)="#","#LOADING",DATEVALUE(_xll.BDP($G20,AS$5)))</f>
        <v>#VALUE!</v>
      </c>
      <c r="AT20" s="63" t="e">
        <f>IF(LEFT(_xll.BDP($G20,AT$5),1)="#","#LOADING",DATEVALUE(_xll.BDP($G20,AT$5)))</f>
        <v>#VALUE!</v>
      </c>
      <c r="AU20" s="67">
        <f>IF(LEFT(_xll.BDP($G20,AU$5),1)="#","#LOADING",_xll.BDP($G20,AU$5)%)</f>
        <v>0</v>
      </c>
      <c r="AV20" s="67" t="str">
        <f>IF(LEFT(_xll.BDP($G20,AV$5),1)="#","#LOADING",VLOOKUP(_xll.BDP($G20,AV$5),Static.CouponFrequency,2,FALSE))</f>
        <v>ZERO-COUPON</v>
      </c>
      <c r="AW20" s="68" t="s">
        <v>51</v>
      </c>
      <c r="AX20" s="53" t="e">
        <f t="shared" si="3"/>
        <v>#N/A</v>
      </c>
      <c r="AY20" s="61" t="s">
        <v>51</v>
      </c>
      <c r="AZ20" s="53" t="e">
        <f t="shared" si="4"/>
        <v>#N/A</v>
      </c>
      <c r="BA20" s="61" t="s">
        <v>62</v>
      </c>
      <c r="BB20" s="69">
        <f>IF(LEFT(_xll.BDP($G20,BB$5),1)="#","#LOADING",_xll.BDP($G20,BB$5))</f>
        <v>0</v>
      </c>
      <c r="BC20" s="70"/>
      <c r="BD20" s="69" t="str">
        <f>IF(LEFT(_xll.BDP($G20,BD$5),1)="#","#LOADING","Type"&amp;IF(_xll.BDP($G20,BD$5)=999,1,_xll.BDP($G20,BD$5)))</f>
        <v>Type</v>
      </c>
      <c r="BE20" s="54"/>
      <c r="BG20" s="61" t="s">
        <v>7</v>
      </c>
      <c r="BH20" s="66">
        <v>1000000</v>
      </c>
      <c r="BI20" s="61" t="s">
        <v>212</v>
      </c>
      <c r="BJ20" s="61" t="s">
        <v>17</v>
      </c>
      <c r="BK20" s="70"/>
      <c r="BL20" s="73" t="e">
        <f t="shared" si="5"/>
        <v>#N/A</v>
      </c>
      <c r="BM20" s="74">
        <f t="shared" si="6"/>
        <v>0</v>
      </c>
      <c r="BN20" s="71">
        <v>1</v>
      </c>
      <c r="BO20" s="75">
        <f t="shared" si="7"/>
        <v>0</v>
      </c>
      <c r="BP20" s="61"/>
      <c r="BQ20" s="61"/>
      <c r="BR20" s="72"/>
      <c r="BS20" s="72"/>
      <c r="BT20" s="71"/>
      <c r="BU20" s="76" t="e">
        <f t="shared" si="8"/>
        <v>#VALUE!</v>
      </c>
      <c r="BV20" s="76" t="e">
        <f t="shared" si="9"/>
        <v>#VALUE!</v>
      </c>
      <c r="BW20" s="77" t="str">
        <f t="shared" si="10"/>
        <v>ZERO-COUPON</v>
      </c>
      <c r="BX20" s="77" t="str">
        <f t="shared" si="10"/>
        <v>ZERO-COUPON</v>
      </c>
      <c r="BY20" s="78">
        <f t="shared" si="11"/>
        <v>0</v>
      </c>
      <c r="BZ20" s="61"/>
      <c r="CA20" s="61"/>
      <c r="CB20" s="61" t="s">
        <v>51</v>
      </c>
      <c r="CC20" s="73" t="e">
        <f t="shared" si="12"/>
        <v>#N/A</v>
      </c>
      <c r="CD20" s="61" t="s">
        <v>51</v>
      </c>
      <c r="CE20" s="73" t="e">
        <f t="shared" si="13"/>
        <v>#N/A</v>
      </c>
      <c r="CF20" s="76" t="e">
        <f t="shared" si="14"/>
        <v>#VALUE!</v>
      </c>
      <c r="CG20" s="76" t="e">
        <f t="shared" si="15"/>
        <v>#VALUE!</v>
      </c>
      <c r="CH20" s="70" t="s">
        <v>80</v>
      </c>
      <c r="CI20" s="61"/>
      <c r="CJ20" s="61"/>
      <c r="CK20" s="61" t="s">
        <v>62</v>
      </c>
      <c r="CL20" s="61"/>
      <c r="CM20" s="61"/>
      <c r="CN20" s="76" t="str">
        <f t="shared" si="16"/>
        <v>Type</v>
      </c>
      <c r="CP20" s="61" t="s">
        <v>8</v>
      </c>
      <c r="CQ20" s="66" t="e">
        <f t="shared" si="17"/>
        <v>#VALUE!</v>
      </c>
      <c r="CR20" s="61" t="str">
        <f t="shared" si="48"/>
        <v>END</v>
      </c>
      <c r="CS20" s="61" t="s">
        <v>18</v>
      </c>
      <c r="CT20" s="135" t="e">
        <f t="shared" si="18"/>
        <v>#N/A</v>
      </c>
      <c r="CU20" s="135" t="str">
        <f t="shared" si="49"/>
        <v>DF_CSA</v>
      </c>
      <c r="CV20" s="134">
        <f t="shared" si="50"/>
        <v>0</v>
      </c>
      <c r="CW20" s="71">
        <v>1</v>
      </c>
      <c r="CX20" s="81"/>
      <c r="CY20" s="61" t="s">
        <v>32</v>
      </c>
      <c r="CZ20" s="61" t="s">
        <v>32</v>
      </c>
      <c r="DA20" s="72"/>
      <c r="DB20" s="72"/>
      <c r="DC20" s="71"/>
      <c r="DD20" s="291" t="e">
        <f t="shared" ca="1" si="51"/>
        <v>#VALUE!</v>
      </c>
      <c r="DE20" s="291" t="e">
        <f t="shared" ca="1" si="52"/>
        <v>#VALUE!</v>
      </c>
      <c r="DF20" s="53">
        <f t="shared" si="53"/>
        <v>0</v>
      </c>
      <c r="DG20" s="82">
        <f t="shared" si="54"/>
        <v>0</v>
      </c>
      <c r="DH20" s="82" t="e">
        <f t="shared" si="55"/>
        <v>#N/A</v>
      </c>
      <c r="DI20" s="61" t="str">
        <f t="shared" si="56"/>
        <v>PRECEDING</v>
      </c>
      <c r="DJ20" s="82" t="e">
        <f t="shared" si="57"/>
        <v>#N/A</v>
      </c>
      <c r="DK20" s="61" t="str">
        <f t="shared" si="58"/>
        <v>NO_CHANGE</v>
      </c>
      <c r="DL20" s="82" t="e">
        <f t="shared" si="59"/>
        <v>#N/A</v>
      </c>
      <c r="DM20" s="61" t="str">
        <f t="shared" si="60"/>
        <v>NO_CHANGE</v>
      </c>
      <c r="DN20" s="82" t="e">
        <f t="shared" si="61"/>
        <v>#N/A</v>
      </c>
      <c r="DO20" s="82"/>
      <c r="DP20" s="82"/>
      <c r="DQ20" s="70"/>
      <c r="DR20" s="61" t="str">
        <f t="shared" si="62"/>
        <v>0D</v>
      </c>
      <c r="DS20" s="61"/>
      <c r="DT20" s="61" t="str">
        <f t="shared" si="63"/>
        <v>0D</v>
      </c>
      <c r="DU20" s="61" t="str">
        <f t="shared" si="64"/>
        <v>SHORTSTART</v>
      </c>
      <c r="DV20" s="61" t="b">
        <v>0</v>
      </c>
      <c r="DW20" s="82"/>
      <c r="EA20" s="61" t="s">
        <v>7</v>
      </c>
      <c r="EB20" s="66">
        <v>1000000</v>
      </c>
      <c r="EC20" s="61" t="s">
        <v>14</v>
      </c>
      <c r="ED20" s="61" t="s">
        <v>17</v>
      </c>
      <c r="EE20" s="70"/>
      <c r="EF20" s="73" t="e">
        <f t="shared" si="19"/>
        <v>#N/A</v>
      </c>
      <c r="EG20" s="74">
        <f t="shared" si="20"/>
        <v>0</v>
      </c>
      <c r="EH20" s="71">
        <v>1</v>
      </c>
      <c r="EI20" s="75">
        <f t="shared" si="21"/>
        <v>0</v>
      </c>
      <c r="EJ20" s="61"/>
      <c r="EK20" s="61"/>
      <c r="EL20" s="72"/>
      <c r="EM20" s="72"/>
      <c r="EN20" s="71"/>
      <c r="EO20" s="76" t="e">
        <f t="shared" si="22"/>
        <v>#VALUE!</v>
      </c>
      <c r="EP20" s="76" t="e">
        <f t="shared" si="23"/>
        <v>#VALUE!</v>
      </c>
      <c r="EQ20" s="77" t="str">
        <f t="shared" si="24"/>
        <v>ZERO-COUPON</v>
      </c>
      <c r="ER20" s="77" t="str">
        <f t="shared" si="24"/>
        <v>ZERO-COUPON</v>
      </c>
      <c r="ES20" s="78">
        <f t="shared" si="25"/>
        <v>0</v>
      </c>
      <c r="ET20" s="61"/>
      <c r="EU20" s="61"/>
      <c r="EV20" s="61" t="s">
        <v>51</v>
      </c>
      <c r="EW20" s="73" t="e">
        <f t="shared" si="26"/>
        <v>#N/A</v>
      </c>
      <c r="EX20" s="61" t="s">
        <v>51</v>
      </c>
      <c r="EY20" s="73" t="e">
        <f t="shared" si="27"/>
        <v>#N/A</v>
      </c>
      <c r="EZ20" s="76" t="e">
        <f t="shared" si="28"/>
        <v>#VALUE!</v>
      </c>
      <c r="FA20" s="76" t="e">
        <f t="shared" si="29"/>
        <v>#VALUE!</v>
      </c>
      <c r="FB20" s="70" t="s">
        <v>80</v>
      </c>
      <c r="FC20" s="61"/>
      <c r="FD20" s="61"/>
      <c r="FE20" s="61" t="s">
        <v>62</v>
      </c>
      <c r="FF20" s="61"/>
      <c r="FG20" s="61"/>
      <c r="FH20" s="76" t="str">
        <f t="shared" si="30"/>
        <v>Type</v>
      </c>
      <c r="FJ20" s="61" t="s">
        <v>8</v>
      </c>
      <c r="FK20" s="66">
        <v>1000000</v>
      </c>
      <c r="FL20" s="61" t="s">
        <v>14</v>
      </c>
      <c r="FM20" s="61" t="s">
        <v>18</v>
      </c>
      <c r="FN20" s="115" t="e">
        <f t="shared" si="31"/>
        <v>#N/A</v>
      </c>
      <c r="FO20" s="115" t="e">
        <f t="shared" si="32"/>
        <v>#N/A</v>
      </c>
      <c r="FP20" s="116">
        <f t="shared" si="65"/>
        <v>0</v>
      </c>
      <c r="FQ20" s="71">
        <v>1</v>
      </c>
      <c r="FR20" s="81"/>
      <c r="FS20" s="61" t="s">
        <v>32</v>
      </c>
      <c r="FT20" s="61" t="s">
        <v>32</v>
      </c>
      <c r="FU20" s="72"/>
      <c r="FV20" s="72"/>
      <c r="FW20" s="71"/>
      <c r="FX20" s="76" t="e">
        <f t="shared" si="33"/>
        <v>#VALUE!</v>
      </c>
      <c r="FY20" s="76" t="e">
        <f t="shared" si="34"/>
        <v>#VALUE!</v>
      </c>
      <c r="FZ20" s="73">
        <f t="shared" si="35"/>
        <v>0</v>
      </c>
      <c r="GA20" s="73">
        <f t="shared" si="35"/>
        <v>0</v>
      </c>
      <c r="GB20" s="73" t="e">
        <f t="shared" si="36"/>
        <v>#N/A</v>
      </c>
      <c r="GC20" s="61" t="s">
        <v>58</v>
      </c>
      <c r="GD20" s="73" t="e">
        <f t="shared" si="37"/>
        <v>#N/A</v>
      </c>
      <c r="GE20" s="61" t="s">
        <v>51</v>
      </c>
      <c r="GF20" s="73" t="e">
        <f t="shared" si="38"/>
        <v>#N/A</v>
      </c>
      <c r="GG20" s="61" t="s">
        <v>51</v>
      </c>
      <c r="GH20" s="73" t="e">
        <f t="shared" si="39"/>
        <v>#N/A</v>
      </c>
      <c r="GI20" s="82"/>
      <c r="GJ20" s="82"/>
      <c r="GK20" s="70"/>
      <c r="GL20" s="61" t="s">
        <v>62</v>
      </c>
      <c r="GM20" s="61"/>
      <c r="GN20" s="61" t="s">
        <v>62</v>
      </c>
      <c r="GO20" s="61" t="s">
        <v>75</v>
      </c>
      <c r="GP20" s="61" t="b">
        <v>0</v>
      </c>
      <c r="GQ20" s="82"/>
      <c r="GU20" s="95">
        <f t="shared" si="40"/>
        <v>0</v>
      </c>
      <c r="GV20" s="42">
        <f>IF(LEFT(_xll.BDP($C20,GV$5),1)="#","#LOADING",_xll.BDP($C20,GV$5))</f>
        <v>0</v>
      </c>
      <c r="GW20" s="74">
        <f t="shared" si="41"/>
        <v>0</v>
      </c>
      <c r="GX20" s="74" t="e">
        <f t="shared" si="42"/>
        <v>#VALUE!</v>
      </c>
      <c r="GY20" s="64" t="s">
        <v>20</v>
      </c>
      <c r="GZ20" s="42" t="b">
        <f>IF(LEFT(_xll.BDP($C20,GZ$5),1)="#","#LOADING",IF(_xll.BDP($C20,GZ$5)="CLEAN",TRUE,FALSE))</f>
        <v>0</v>
      </c>
      <c r="HA20" s="64" t="s">
        <v>26</v>
      </c>
      <c r="HB20" s="61" t="s">
        <v>18</v>
      </c>
      <c r="HC20" s="65" t="s">
        <v>28</v>
      </c>
      <c r="HD20" s="66">
        <v>1000000</v>
      </c>
      <c r="HE20" s="96" t="e">
        <f>IF(LEFT(_xll.BDP($C20,HE$5),1)="#","#LOADING",DATEVALUE(_xll.BDP($C20,HE$5)))</f>
        <v>#VALUE!</v>
      </c>
      <c r="HF20" s="96" t="e">
        <f>IF(LEFT(_xll.BDP($C20,HF$5),1)="#","#LOADING",DATEVALUE(_xll.BDP($C20,HF$5)))</f>
        <v>#VALUE!</v>
      </c>
      <c r="HG20" s="96" t="e">
        <f>IF(LEFT(_xll.BDP($C20,HG$5),1)="#","#LOADING",DATEVALUE(_xll.BDP($C20,HG$5)))</f>
        <v>#VALUE!</v>
      </c>
      <c r="HH20" s="96" t="e">
        <f>IF(LEFT(_xll.BDP($C20,HH$5),1)="#","#LOADING",DATEVALUE(_xll.BDP($C20,HH$5)))</f>
        <v>#VALUE!</v>
      </c>
      <c r="HI20" s="96" t="e">
        <f>IF(LEFT(_xll.BDP($C20,HI$5),1)="#","#LOADING",DATEVALUE(_xll.BDP($C20,HI$5)))</f>
        <v>#VALUE!</v>
      </c>
      <c r="HJ20" s="97">
        <f>IF(LEFT(_xll.BDP($C20,HJ$5),1)="#","#LOADING",_xll.BDP($C20,HJ$5)%)</f>
        <v>0</v>
      </c>
      <c r="HK20" s="97" t="str">
        <f>IF(LEFT(_xll.BDP($C20,HK$5),1)="#","#LOADING",VLOOKUP(_xll.BDP($C20,HK$5),Static.CouponFrequency,2,FALSE))</f>
        <v>ZERO-COUPON</v>
      </c>
      <c r="HL20" s="68" t="s">
        <v>51</v>
      </c>
      <c r="HM20" s="73" t="e">
        <f t="shared" si="43"/>
        <v>#N/A</v>
      </c>
      <c r="HN20" s="61" t="s">
        <v>51</v>
      </c>
      <c r="HO20" s="73" t="e">
        <f t="shared" si="44"/>
        <v>#N/A</v>
      </c>
      <c r="HP20" s="61" t="s">
        <v>62</v>
      </c>
      <c r="HQ20" s="43">
        <f>IF(LEFT(_xll.BDP($C20,HQ$5),1)="#","#LOADING",_xll.BDP($C20,HQ$5))</f>
        <v>0</v>
      </c>
      <c r="HR20" s="70"/>
      <c r="HS20" s="43" t="str">
        <f>IF(LEFT(_xll.BDP($C20,HS$5),1)="#","#LOADING","Type"&amp;IF(_xll.BDP($C20,HS$5)=999,1,_xll.BDP($C20,HS$5)))</f>
        <v>Type</v>
      </c>
    </row>
    <row r="21" spans="1:227">
      <c r="A21" s="101">
        <v>15</v>
      </c>
      <c r="B21" s="57"/>
      <c r="C21" s="57"/>
      <c r="D21" s="57"/>
      <c r="E21" s="57"/>
      <c r="F21" s="57"/>
      <c r="G21" s="57"/>
      <c r="H21" s="57"/>
      <c r="I21" s="57"/>
      <c r="J21" s="101">
        <v>15</v>
      </c>
      <c r="K21" s="58" t="s">
        <v>163</v>
      </c>
      <c r="L21" s="59" t="str">
        <f>IF(ISBLANK(M21),IF($G21="","",_xll.BDP(AI21&amp;" "&amp;$K21&amp;" Corp","PX_LAST")),M21)</f>
        <v/>
      </c>
      <c r="M21" s="60"/>
      <c r="N21" s="83" t="str">
        <f ca="1">IF(ISBLANK($O21),IF($G21="","",_xll.meLWOAssetSwapSpread($AB21,$AA21,$L21,_xll.meUtilityLVBFromKeysValues($S$6:$V$6,S21:V21),INDIRECT("Fixings"&amp;$D21&amp;IF($I21="QUARTERLY","3ML","6ML")))),$O21)</f>
        <v/>
      </c>
      <c r="O21" s="60"/>
      <c r="P21" s="84" t="str">
        <f ca="1">IF($C21="","",_xll.meLWOAssetSwapSpreadToCleanPrice($AC21,$N21,INDIRECT("ValuationSettings"&amp;$D21),INDIRECT("Fixings"&amp;$D21&amp;IF($E21="QUARTERLY","3ML","6ML"))))</f>
        <v/>
      </c>
      <c r="Q21" s="84" t="str">
        <f>IF($C21="","",_xll.meLWOBondPriceFromCleanToDirty($AD21,V21,$P21))</f>
        <v/>
      </c>
      <c r="R21" s="98" t="str">
        <f>IF($C21="","",_xll.meLWOBondYield($AD21,V21,IF($GZ21,$P21,$Q21)))</f>
        <v/>
      </c>
      <c r="S21" s="98" t="str">
        <f t="shared" ca="1" si="66"/>
        <v/>
      </c>
      <c r="T21" s="98" t="str">
        <f t="shared" ca="1" si="67"/>
        <v/>
      </c>
      <c r="U21" s="129" t="str">
        <f>IF($C21="","",_xll.BDH(D21&amp;H21&amp;" Curncy","MID",Settings.ValuationDate,Settings.ValuationDate))</f>
        <v/>
      </c>
      <c r="V21" s="127" t="str">
        <f t="shared" ca="1" si="68"/>
        <v/>
      </c>
      <c r="W21" s="98" t="str">
        <f t="shared" si="69"/>
        <v/>
      </c>
      <c r="X21" s="98" t="str">
        <f t="shared" si="70"/>
        <v/>
      </c>
      <c r="Y21" s="98" t="str">
        <f t="shared" si="71"/>
        <v/>
      </c>
      <c r="Z21" s="101">
        <v>15</v>
      </c>
      <c r="AA21" s="53" t="str">
        <f>IF($G21="","",IF(LEFT(AG21,1)="#","#LOADING",_xll.meLWOBondCreateFromLVB("PROXY_BOND_"&amp;$AI21,_xll.meUtilityLVBFromKeysValues($AF$6:$BD$6,$AF21:$BD21))))</f>
        <v/>
      </c>
      <c r="AB21" s="135" t="str">
        <f ca="1">IF($G21="","",_xll.meLWOXccySwapCreate("PROXY_XCCY_ASW_"&amp;$AI21,_xll.meUtilityLVBFromKeysAndMultipleValues($BG$6:$CN$6,$BG21:$CN21,$CP21:$DW21),_xll.meUtilityLVBFromKeysValues($W$6:$Y$6,W21:Y21)))</f>
        <v/>
      </c>
      <c r="AC21" s="53" t="str">
        <f>IF($C21="","",_xll.meLWOSwapCreate("BOND_ASW_"&amp;$GX21,_xll.meUtilityLVBFromKeysAndMultipleValues($EA$6:$FH$6,$EA21:$FH21,$FJ21:$GQ21)))</f>
        <v/>
      </c>
      <c r="AD21" s="53" t="str">
        <f>IF($C21="","",IF(LEFT(GV21,1)="#","#LOADING",_xll.meLWOBondCreateFromLVB("PROXY_BOND_"&amp;$GX21,_xll.meUtilityLVBFromKeysValues($GU$6:$HS$6,$GU21:$HS21))))</f>
        <v/>
      </c>
      <c r="AE21" t="s">
        <v>0</v>
      </c>
      <c r="AF21" s="62">
        <f t="shared" si="46"/>
        <v>0</v>
      </c>
      <c r="AG21" s="63">
        <f>IF(LEFT(_xll.BDP($G21,AG$5),1)="#","#LOADING",_xll.BDP($G21,AG$5))</f>
        <v>0</v>
      </c>
      <c r="AH21" s="41">
        <f t="shared" si="47"/>
        <v>0</v>
      </c>
      <c r="AI21" s="63">
        <f>IF(LEFT(_xll.BDP($G21,AI$5),1)="#","#LOADING",_xll.BDP($G21,AI$5))</f>
        <v>0</v>
      </c>
      <c r="AJ21" s="64" t="s">
        <v>20</v>
      </c>
      <c r="AK21" s="63" t="b">
        <f>IF(LEFT(_xll.BDP($G21,AK$5),1)="#","#LOADING",IF(_xll.BDP($G21,AK$5)="CLEAN",TRUE,FALSE))</f>
        <v>0</v>
      </c>
      <c r="AL21" s="64" t="s">
        <v>26</v>
      </c>
      <c r="AM21" s="61" t="s">
        <v>18</v>
      </c>
      <c r="AN21" s="65" t="s">
        <v>28</v>
      </c>
      <c r="AO21" s="66">
        <v>1000000</v>
      </c>
      <c r="AP21" s="63" t="e">
        <f>IF(LEFT(_xll.BDP($G21,AP$5),1)="#","#LOADING",DATEVALUE(_xll.BDP($G21,AP$5)))</f>
        <v>#VALUE!</v>
      </c>
      <c r="AQ21" s="63" t="e">
        <f>IF(LEFT(_xll.BDP($G21,AQ$5),1)="#","#LOADING",DATEVALUE(_xll.BDP($G21,AQ$5)))</f>
        <v>#VALUE!</v>
      </c>
      <c r="AR21" s="63" t="e">
        <f>IF(LEFT(_xll.BDP($G21,AR$5),1)="#","#LOADING",DATEVALUE(_xll.BDP($G21,AR$5)))</f>
        <v>#VALUE!</v>
      </c>
      <c r="AS21" s="63" t="e">
        <f>IF(LEFT(_xll.BDP($G21,AS$5),1)="#","#LOADING",DATEVALUE(_xll.BDP($G21,AS$5)))</f>
        <v>#VALUE!</v>
      </c>
      <c r="AT21" s="63" t="e">
        <f>IF(LEFT(_xll.BDP($G21,AT$5),1)="#","#LOADING",DATEVALUE(_xll.BDP($G21,AT$5)))</f>
        <v>#VALUE!</v>
      </c>
      <c r="AU21" s="67">
        <f>IF(LEFT(_xll.BDP($G21,AU$5),1)="#","#LOADING",_xll.BDP($G21,AU$5)%)</f>
        <v>0</v>
      </c>
      <c r="AV21" s="67" t="str">
        <f>IF(LEFT(_xll.BDP($G21,AV$5),1)="#","#LOADING",VLOOKUP(_xll.BDP($G21,AV$5),Static.CouponFrequency,2,FALSE))</f>
        <v>ZERO-COUPON</v>
      </c>
      <c r="AW21" s="68" t="s">
        <v>51</v>
      </c>
      <c r="AX21" s="53" t="e">
        <f t="shared" si="3"/>
        <v>#N/A</v>
      </c>
      <c r="AY21" s="61" t="s">
        <v>51</v>
      </c>
      <c r="AZ21" s="53" t="e">
        <f t="shared" si="4"/>
        <v>#N/A</v>
      </c>
      <c r="BA21" s="61" t="s">
        <v>62</v>
      </c>
      <c r="BB21" s="69">
        <f>IF(LEFT(_xll.BDP($G21,BB$5),1)="#","#LOADING",_xll.BDP($G21,BB$5))</f>
        <v>0</v>
      </c>
      <c r="BC21" s="70"/>
      <c r="BD21" s="69" t="str">
        <f>IF(LEFT(_xll.BDP($G21,BD$5),1)="#","#LOADING","Type"&amp;IF(_xll.BDP($G21,BD$5)=999,1,_xll.BDP($G21,BD$5)))</f>
        <v>Type</v>
      </c>
      <c r="BE21" s="54"/>
      <c r="BG21" s="61" t="s">
        <v>7</v>
      </c>
      <c r="BH21" s="66">
        <v>1000000</v>
      </c>
      <c r="BI21" s="61" t="s">
        <v>212</v>
      </c>
      <c r="BJ21" s="61" t="s">
        <v>17</v>
      </c>
      <c r="BK21" s="70"/>
      <c r="BL21" s="73" t="e">
        <f t="shared" si="5"/>
        <v>#N/A</v>
      </c>
      <c r="BM21" s="74">
        <f t="shared" si="6"/>
        <v>0</v>
      </c>
      <c r="BN21" s="71">
        <v>1</v>
      </c>
      <c r="BO21" s="75">
        <f t="shared" si="7"/>
        <v>0</v>
      </c>
      <c r="BP21" s="61"/>
      <c r="BQ21" s="61"/>
      <c r="BR21" s="72"/>
      <c r="BS21" s="72"/>
      <c r="BT21" s="71"/>
      <c r="BU21" s="76" t="e">
        <f t="shared" si="8"/>
        <v>#VALUE!</v>
      </c>
      <c r="BV21" s="76" t="e">
        <f t="shared" si="9"/>
        <v>#VALUE!</v>
      </c>
      <c r="BW21" s="77" t="str">
        <f t="shared" si="10"/>
        <v>ZERO-COUPON</v>
      </c>
      <c r="BX21" s="77" t="str">
        <f t="shared" si="10"/>
        <v>ZERO-COUPON</v>
      </c>
      <c r="BY21" s="78">
        <f t="shared" si="11"/>
        <v>0</v>
      </c>
      <c r="BZ21" s="61"/>
      <c r="CA21" s="61"/>
      <c r="CB21" s="61" t="s">
        <v>51</v>
      </c>
      <c r="CC21" s="73" t="e">
        <f t="shared" si="12"/>
        <v>#N/A</v>
      </c>
      <c r="CD21" s="61" t="s">
        <v>51</v>
      </c>
      <c r="CE21" s="73" t="e">
        <f t="shared" si="13"/>
        <v>#N/A</v>
      </c>
      <c r="CF21" s="76" t="e">
        <f t="shared" si="14"/>
        <v>#VALUE!</v>
      </c>
      <c r="CG21" s="76" t="e">
        <f t="shared" si="15"/>
        <v>#VALUE!</v>
      </c>
      <c r="CH21" s="70" t="s">
        <v>80</v>
      </c>
      <c r="CI21" s="61"/>
      <c r="CJ21" s="61"/>
      <c r="CK21" s="61" t="s">
        <v>62</v>
      </c>
      <c r="CL21" s="61"/>
      <c r="CM21" s="61"/>
      <c r="CN21" s="76" t="str">
        <f t="shared" si="16"/>
        <v>Type</v>
      </c>
      <c r="CP21" s="61" t="s">
        <v>8</v>
      </c>
      <c r="CQ21" s="66" t="e">
        <f t="shared" si="17"/>
        <v>#VALUE!</v>
      </c>
      <c r="CR21" s="61" t="str">
        <f t="shared" si="48"/>
        <v>END</v>
      </c>
      <c r="CS21" s="61" t="s">
        <v>18</v>
      </c>
      <c r="CT21" s="135" t="e">
        <f t="shared" si="18"/>
        <v>#N/A</v>
      </c>
      <c r="CU21" s="135" t="str">
        <f t="shared" si="49"/>
        <v>DF_CSA</v>
      </c>
      <c r="CV21" s="134">
        <f t="shared" si="50"/>
        <v>0</v>
      </c>
      <c r="CW21" s="71">
        <v>1</v>
      </c>
      <c r="CX21" s="81"/>
      <c r="CY21" s="61" t="s">
        <v>32</v>
      </c>
      <c r="CZ21" s="61" t="s">
        <v>32</v>
      </c>
      <c r="DA21" s="72"/>
      <c r="DB21" s="72"/>
      <c r="DC21" s="71"/>
      <c r="DD21" s="291" t="e">
        <f t="shared" ca="1" si="51"/>
        <v>#VALUE!</v>
      </c>
      <c r="DE21" s="291" t="e">
        <f t="shared" ca="1" si="52"/>
        <v>#VALUE!</v>
      </c>
      <c r="DF21" s="53">
        <f t="shared" si="53"/>
        <v>0</v>
      </c>
      <c r="DG21" s="82">
        <f t="shared" si="54"/>
        <v>0</v>
      </c>
      <c r="DH21" s="82" t="e">
        <f t="shared" si="55"/>
        <v>#N/A</v>
      </c>
      <c r="DI21" s="61" t="str">
        <f t="shared" si="56"/>
        <v>PRECEDING</v>
      </c>
      <c r="DJ21" s="82" t="e">
        <f t="shared" si="57"/>
        <v>#N/A</v>
      </c>
      <c r="DK21" s="61" t="str">
        <f t="shared" si="58"/>
        <v>NO_CHANGE</v>
      </c>
      <c r="DL21" s="82" t="e">
        <f t="shared" si="59"/>
        <v>#N/A</v>
      </c>
      <c r="DM21" s="61" t="str">
        <f t="shared" si="60"/>
        <v>NO_CHANGE</v>
      </c>
      <c r="DN21" s="82" t="e">
        <f t="shared" si="61"/>
        <v>#N/A</v>
      </c>
      <c r="DO21" s="82"/>
      <c r="DP21" s="82"/>
      <c r="DQ21" s="70"/>
      <c r="DR21" s="61" t="str">
        <f t="shared" si="62"/>
        <v>0D</v>
      </c>
      <c r="DS21" s="61"/>
      <c r="DT21" s="61" t="str">
        <f t="shared" si="63"/>
        <v>0D</v>
      </c>
      <c r="DU21" s="61" t="str">
        <f t="shared" si="64"/>
        <v>SHORTSTART</v>
      </c>
      <c r="DV21" s="61" t="b">
        <v>0</v>
      </c>
      <c r="DW21" s="82"/>
      <c r="EA21" s="61" t="s">
        <v>7</v>
      </c>
      <c r="EB21" s="66">
        <v>1000000</v>
      </c>
      <c r="EC21" s="61" t="s">
        <v>14</v>
      </c>
      <c r="ED21" s="61" t="s">
        <v>17</v>
      </c>
      <c r="EE21" s="70"/>
      <c r="EF21" s="73" t="e">
        <f t="shared" si="19"/>
        <v>#N/A</v>
      </c>
      <c r="EG21" s="74">
        <f t="shared" si="20"/>
        <v>0</v>
      </c>
      <c r="EH21" s="71">
        <v>1</v>
      </c>
      <c r="EI21" s="75">
        <f t="shared" si="21"/>
        <v>0</v>
      </c>
      <c r="EJ21" s="61"/>
      <c r="EK21" s="61"/>
      <c r="EL21" s="72"/>
      <c r="EM21" s="72"/>
      <c r="EN21" s="71"/>
      <c r="EO21" s="76" t="e">
        <f t="shared" si="22"/>
        <v>#VALUE!</v>
      </c>
      <c r="EP21" s="76" t="e">
        <f t="shared" si="23"/>
        <v>#VALUE!</v>
      </c>
      <c r="EQ21" s="77" t="str">
        <f t="shared" si="24"/>
        <v>ZERO-COUPON</v>
      </c>
      <c r="ER21" s="77" t="str">
        <f t="shared" si="24"/>
        <v>ZERO-COUPON</v>
      </c>
      <c r="ES21" s="78">
        <f t="shared" si="25"/>
        <v>0</v>
      </c>
      <c r="ET21" s="61"/>
      <c r="EU21" s="61"/>
      <c r="EV21" s="61" t="s">
        <v>51</v>
      </c>
      <c r="EW21" s="73" t="e">
        <f t="shared" si="26"/>
        <v>#N/A</v>
      </c>
      <c r="EX21" s="61" t="s">
        <v>51</v>
      </c>
      <c r="EY21" s="73" t="e">
        <f t="shared" si="27"/>
        <v>#N/A</v>
      </c>
      <c r="EZ21" s="76" t="e">
        <f t="shared" si="28"/>
        <v>#VALUE!</v>
      </c>
      <c r="FA21" s="76" t="e">
        <f t="shared" si="29"/>
        <v>#VALUE!</v>
      </c>
      <c r="FB21" s="70" t="s">
        <v>80</v>
      </c>
      <c r="FC21" s="61"/>
      <c r="FD21" s="61"/>
      <c r="FE21" s="61" t="s">
        <v>62</v>
      </c>
      <c r="FF21" s="61"/>
      <c r="FG21" s="61"/>
      <c r="FH21" s="76" t="str">
        <f t="shared" si="30"/>
        <v>Type</v>
      </c>
      <c r="FJ21" s="61" t="s">
        <v>8</v>
      </c>
      <c r="FK21" s="66">
        <v>1000000</v>
      </c>
      <c r="FL21" s="61" t="s">
        <v>14</v>
      </c>
      <c r="FM21" s="61" t="s">
        <v>18</v>
      </c>
      <c r="FN21" s="115" t="e">
        <f t="shared" si="31"/>
        <v>#N/A</v>
      </c>
      <c r="FO21" s="115" t="e">
        <f t="shared" si="32"/>
        <v>#N/A</v>
      </c>
      <c r="FP21" s="116">
        <f t="shared" si="65"/>
        <v>0</v>
      </c>
      <c r="FQ21" s="71">
        <v>1</v>
      </c>
      <c r="FR21" s="81"/>
      <c r="FS21" s="61" t="s">
        <v>32</v>
      </c>
      <c r="FT21" s="61" t="s">
        <v>32</v>
      </c>
      <c r="FU21" s="72"/>
      <c r="FV21" s="72"/>
      <c r="FW21" s="71"/>
      <c r="FX21" s="76" t="e">
        <f t="shared" si="33"/>
        <v>#VALUE!</v>
      </c>
      <c r="FY21" s="76" t="e">
        <f t="shared" si="34"/>
        <v>#VALUE!</v>
      </c>
      <c r="FZ21" s="73">
        <f t="shared" si="35"/>
        <v>0</v>
      </c>
      <c r="GA21" s="73">
        <f t="shared" si="35"/>
        <v>0</v>
      </c>
      <c r="GB21" s="73" t="e">
        <f t="shared" si="36"/>
        <v>#N/A</v>
      </c>
      <c r="GC21" s="61" t="s">
        <v>58</v>
      </c>
      <c r="GD21" s="73" t="e">
        <f t="shared" si="37"/>
        <v>#N/A</v>
      </c>
      <c r="GE21" s="61" t="s">
        <v>51</v>
      </c>
      <c r="GF21" s="73" t="e">
        <f t="shared" si="38"/>
        <v>#N/A</v>
      </c>
      <c r="GG21" s="61" t="s">
        <v>51</v>
      </c>
      <c r="GH21" s="73" t="e">
        <f t="shared" si="39"/>
        <v>#N/A</v>
      </c>
      <c r="GI21" s="82"/>
      <c r="GJ21" s="82"/>
      <c r="GK21" s="70"/>
      <c r="GL21" s="61" t="s">
        <v>62</v>
      </c>
      <c r="GM21" s="61"/>
      <c r="GN21" s="61" t="s">
        <v>62</v>
      </c>
      <c r="GO21" s="61" t="s">
        <v>75</v>
      </c>
      <c r="GP21" s="61" t="b">
        <v>0</v>
      </c>
      <c r="GQ21" s="82"/>
      <c r="GU21" s="95">
        <f t="shared" si="40"/>
        <v>0</v>
      </c>
      <c r="GV21" s="42">
        <f>IF(LEFT(_xll.BDP($C21,GV$5),1)="#","#LOADING",_xll.BDP($C21,GV$5))</f>
        <v>0</v>
      </c>
      <c r="GW21" s="74">
        <f t="shared" si="41"/>
        <v>0</v>
      </c>
      <c r="GX21" s="74" t="e">
        <f t="shared" si="42"/>
        <v>#VALUE!</v>
      </c>
      <c r="GY21" s="64" t="s">
        <v>20</v>
      </c>
      <c r="GZ21" s="42" t="b">
        <f>IF(LEFT(_xll.BDP($C21,GZ$5),1)="#","#LOADING",IF(_xll.BDP($C21,GZ$5)="CLEAN",TRUE,FALSE))</f>
        <v>0</v>
      </c>
      <c r="HA21" s="64" t="s">
        <v>26</v>
      </c>
      <c r="HB21" s="61" t="s">
        <v>18</v>
      </c>
      <c r="HC21" s="65" t="s">
        <v>28</v>
      </c>
      <c r="HD21" s="66">
        <v>1000000</v>
      </c>
      <c r="HE21" s="96" t="e">
        <f>IF(LEFT(_xll.BDP($C21,HE$5),1)="#","#LOADING",DATEVALUE(_xll.BDP($C21,HE$5)))</f>
        <v>#VALUE!</v>
      </c>
      <c r="HF21" s="96" t="e">
        <f>IF(LEFT(_xll.BDP($C21,HF$5),1)="#","#LOADING",DATEVALUE(_xll.BDP($C21,HF$5)))</f>
        <v>#VALUE!</v>
      </c>
      <c r="HG21" s="96" t="e">
        <f>IF(LEFT(_xll.BDP($C21,HG$5),1)="#","#LOADING",DATEVALUE(_xll.BDP($C21,HG$5)))</f>
        <v>#VALUE!</v>
      </c>
      <c r="HH21" s="96" t="e">
        <f>IF(LEFT(_xll.BDP($C21,HH$5),1)="#","#LOADING",DATEVALUE(_xll.BDP($C21,HH$5)))</f>
        <v>#VALUE!</v>
      </c>
      <c r="HI21" s="96" t="e">
        <f>IF(LEFT(_xll.BDP($C21,HI$5),1)="#","#LOADING",DATEVALUE(_xll.BDP($C21,HI$5)))</f>
        <v>#VALUE!</v>
      </c>
      <c r="HJ21" s="97">
        <f>IF(LEFT(_xll.BDP($C21,HJ$5),1)="#","#LOADING",_xll.BDP($C21,HJ$5)%)</f>
        <v>0</v>
      </c>
      <c r="HK21" s="97" t="str">
        <f>IF(LEFT(_xll.BDP($C21,HK$5),1)="#","#LOADING",VLOOKUP(_xll.BDP($C21,HK$5),Static.CouponFrequency,2,FALSE))</f>
        <v>ZERO-COUPON</v>
      </c>
      <c r="HL21" s="68" t="s">
        <v>51</v>
      </c>
      <c r="HM21" s="73" t="e">
        <f t="shared" si="43"/>
        <v>#N/A</v>
      </c>
      <c r="HN21" s="61" t="s">
        <v>51</v>
      </c>
      <c r="HO21" s="73" t="e">
        <f t="shared" si="44"/>
        <v>#N/A</v>
      </c>
      <c r="HP21" s="61" t="s">
        <v>62</v>
      </c>
      <c r="HQ21" s="43">
        <f>IF(LEFT(_xll.BDP($C21,HQ$5),1)="#","#LOADING",_xll.BDP($C21,HQ$5))</f>
        <v>0</v>
      </c>
      <c r="HR21" s="70"/>
      <c r="HS21" s="43" t="str">
        <f>IF(LEFT(_xll.BDP($C21,HS$5),1)="#","#LOADING","Type"&amp;IF(_xll.BDP($C21,HS$5)=999,1,_xll.BDP($C21,HS$5)))</f>
        <v>Type</v>
      </c>
    </row>
    <row r="22" spans="1:227">
      <c r="A22" s="101">
        <v>16</v>
      </c>
      <c r="B22" s="57"/>
      <c r="C22" s="57"/>
      <c r="D22" s="57"/>
      <c r="E22" s="57"/>
      <c r="F22" s="57"/>
      <c r="G22" s="57"/>
      <c r="H22" s="57"/>
      <c r="I22" s="57"/>
      <c r="J22" s="101">
        <v>16</v>
      </c>
      <c r="K22" s="58" t="s">
        <v>163</v>
      </c>
      <c r="L22" s="59" t="str">
        <f>IF(ISBLANK(M22),IF($G22="","",_xll.BDP(AI22&amp;" "&amp;$K22&amp;" Corp","PX_LAST")),M22)</f>
        <v/>
      </c>
      <c r="M22" s="60"/>
      <c r="N22" s="83" t="str">
        <f ca="1">IF(ISBLANK($O22),IF($G22="","",_xll.meLWOAssetSwapSpread($AB22,$AA22,$L22,_xll.meUtilityLVBFromKeysValues($S$6:$V$6,S22:V22),INDIRECT("Fixings"&amp;$D22&amp;IF($I22="QUARTERLY","3ML","6ML")))),$O22)</f>
        <v/>
      </c>
      <c r="O22" s="60"/>
      <c r="P22" s="84" t="str">
        <f ca="1">IF($C22="","",_xll.meLWOAssetSwapSpreadToCleanPrice($AC22,$N22,INDIRECT("ValuationSettings"&amp;$D22),INDIRECT("Fixings"&amp;$D22&amp;IF($E22="QUARTERLY","3ML","6ML"))))</f>
        <v/>
      </c>
      <c r="Q22" s="84" t="str">
        <f>IF($C22="","",_xll.meLWOBondPriceFromCleanToDirty($AD22,V22,$P22))</f>
        <v/>
      </c>
      <c r="R22" s="98" t="str">
        <f>IF($C22="","",_xll.meLWOBondYield($AD22,V22,IF($GZ22,$P22,$Q22)))</f>
        <v/>
      </c>
      <c r="S22" s="98" t="str">
        <f t="shared" ca="1" si="66"/>
        <v/>
      </c>
      <c r="T22" s="98" t="str">
        <f t="shared" ca="1" si="67"/>
        <v/>
      </c>
      <c r="U22" s="129" t="str">
        <f>IF($C22="","",_xll.BDH(D22&amp;H22&amp;" Curncy","MID",Settings.ValuationDate,Settings.ValuationDate))</f>
        <v/>
      </c>
      <c r="V22" s="127" t="str">
        <f t="shared" ca="1" si="68"/>
        <v/>
      </c>
      <c r="W22" s="98" t="str">
        <f t="shared" si="69"/>
        <v/>
      </c>
      <c r="X22" s="98" t="str">
        <f t="shared" si="70"/>
        <v/>
      </c>
      <c r="Y22" s="98" t="str">
        <f t="shared" si="71"/>
        <v/>
      </c>
      <c r="Z22" s="101">
        <v>16</v>
      </c>
      <c r="AA22" s="53" t="str">
        <f>IF($G22="","",IF(LEFT(AG22,1)="#","#LOADING",_xll.meLWOBondCreateFromLVB("PROXY_BOND_"&amp;$AI22,_xll.meUtilityLVBFromKeysValues($AF$6:$BD$6,$AF22:$BD22))))</f>
        <v/>
      </c>
      <c r="AB22" s="135" t="str">
        <f ca="1">IF($G22="","",_xll.meLWOXccySwapCreate("PROXY_XCCY_ASW_"&amp;$AI22,_xll.meUtilityLVBFromKeysAndMultipleValues($BG$6:$CN$6,$BG22:$CN22,$CP22:$DW22),_xll.meUtilityLVBFromKeysValues($W$6:$Y$6,W22:Y22)))</f>
        <v/>
      </c>
      <c r="AC22" s="53" t="str">
        <f>IF($C22="","",_xll.meLWOSwapCreate("BOND_ASW_"&amp;$GX22,_xll.meUtilityLVBFromKeysAndMultipleValues($EA$6:$FH$6,$EA22:$FH22,$FJ22:$GQ22)))</f>
        <v/>
      </c>
      <c r="AD22" s="53" t="str">
        <f>IF($C22="","",IF(LEFT(GV22,1)="#","#LOADING",_xll.meLWOBondCreateFromLVB("PROXY_BOND_"&amp;$GX22,_xll.meUtilityLVBFromKeysValues($GU$6:$HS$6,$GU22:$HS22))))</f>
        <v/>
      </c>
      <c r="AE22" t="s">
        <v>0</v>
      </c>
      <c r="AF22" s="62">
        <f t="shared" si="46"/>
        <v>0</v>
      </c>
      <c r="AG22" s="63">
        <f>IF(LEFT(_xll.BDP($G22,AG$5),1)="#","#LOADING",_xll.BDP($G22,AG$5))</f>
        <v>0</v>
      </c>
      <c r="AH22" s="41">
        <f t="shared" si="47"/>
        <v>0</v>
      </c>
      <c r="AI22" s="63">
        <f>IF(LEFT(_xll.BDP($G22,AI$5),1)="#","#LOADING",_xll.BDP($G22,AI$5))</f>
        <v>0</v>
      </c>
      <c r="AJ22" s="64" t="s">
        <v>20</v>
      </c>
      <c r="AK22" s="63" t="b">
        <f>IF(LEFT(_xll.BDP($G22,AK$5),1)="#","#LOADING",IF(_xll.BDP($G22,AK$5)="CLEAN",TRUE,FALSE))</f>
        <v>0</v>
      </c>
      <c r="AL22" s="64" t="s">
        <v>26</v>
      </c>
      <c r="AM22" s="61" t="s">
        <v>18</v>
      </c>
      <c r="AN22" s="65" t="s">
        <v>28</v>
      </c>
      <c r="AO22" s="66">
        <v>1000000</v>
      </c>
      <c r="AP22" s="63" t="e">
        <f>IF(LEFT(_xll.BDP($G22,AP$5),1)="#","#LOADING",DATEVALUE(_xll.BDP($G22,AP$5)))</f>
        <v>#VALUE!</v>
      </c>
      <c r="AQ22" s="63" t="e">
        <f>IF(LEFT(_xll.BDP($G22,AQ$5),1)="#","#LOADING",DATEVALUE(_xll.BDP($G22,AQ$5)))</f>
        <v>#VALUE!</v>
      </c>
      <c r="AR22" s="63" t="e">
        <f>IF(LEFT(_xll.BDP($G22,AR$5),1)="#","#LOADING",DATEVALUE(_xll.BDP($G22,AR$5)))</f>
        <v>#VALUE!</v>
      </c>
      <c r="AS22" s="63" t="e">
        <f>IF(LEFT(_xll.BDP($G22,AS$5),1)="#","#LOADING",DATEVALUE(_xll.BDP($G22,AS$5)))</f>
        <v>#VALUE!</v>
      </c>
      <c r="AT22" s="63" t="e">
        <f>IF(LEFT(_xll.BDP($G22,AT$5),1)="#","#LOADING",DATEVALUE(_xll.BDP($G22,AT$5)))</f>
        <v>#VALUE!</v>
      </c>
      <c r="AU22" s="67">
        <f>IF(LEFT(_xll.BDP($G22,AU$5),1)="#","#LOADING",_xll.BDP($G22,AU$5)%)</f>
        <v>0</v>
      </c>
      <c r="AV22" s="67" t="str">
        <f>IF(LEFT(_xll.BDP($G22,AV$5),1)="#","#LOADING",VLOOKUP(_xll.BDP($G22,AV$5),Static.CouponFrequency,2,FALSE))</f>
        <v>ZERO-COUPON</v>
      </c>
      <c r="AW22" s="68" t="s">
        <v>51</v>
      </c>
      <c r="AX22" s="53" t="e">
        <f t="shared" si="3"/>
        <v>#N/A</v>
      </c>
      <c r="AY22" s="61" t="s">
        <v>51</v>
      </c>
      <c r="AZ22" s="53" t="e">
        <f t="shared" si="4"/>
        <v>#N/A</v>
      </c>
      <c r="BA22" s="61" t="s">
        <v>62</v>
      </c>
      <c r="BB22" s="69">
        <f>IF(LEFT(_xll.BDP($G22,BB$5),1)="#","#LOADING",_xll.BDP($G22,BB$5))</f>
        <v>0</v>
      </c>
      <c r="BC22" s="70"/>
      <c r="BD22" s="69" t="str">
        <f>IF(LEFT(_xll.BDP($G22,BD$5),1)="#","#LOADING","Type"&amp;IF(_xll.BDP($G22,BD$5)=999,1,_xll.BDP($G22,BD$5)))</f>
        <v>Type</v>
      </c>
      <c r="BE22" s="54"/>
      <c r="BG22" s="61" t="s">
        <v>7</v>
      </c>
      <c r="BH22" s="66">
        <v>1000000</v>
      </c>
      <c r="BI22" s="61" t="s">
        <v>212</v>
      </c>
      <c r="BJ22" s="61" t="s">
        <v>17</v>
      </c>
      <c r="BK22" s="70"/>
      <c r="BL22" s="73" t="e">
        <f t="shared" si="5"/>
        <v>#N/A</v>
      </c>
      <c r="BM22" s="74">
        <f t="shared" si="6"/>
        <v>0</v>
      </c>
      <c r="BN22" s="71">
        <v>1</v>
      </c>
      <c r="BO22" s="75">
        <f t="shared" si="7"/>
        <v>0</v>
      </c>
      <c r="BP22" s="61"/>
      <c r="BQ22" s="61"/>
      <c r="BR22" s="72"/>
      <c r="BS22" s="72"/>
      <c r="BT22" s="71"/>
      <c r="BU22" s="76" t="e">
        <f t="shared" si="8"/>
        <v>#VALUE!</v>
      </c>
      <c r="BV22" s="76" t="e">
        <f t="shared" si="9"/>
        <v>#VALUE!</v>
      </c>
      <c r="BW22" s="77" t="str">
        <f t="shared" si="10"/>
        <v>ZERO-COUPON</v>
      </c>
      <c r="BX22" s="77" t="str">
        <f t="shared" si="10"/>
        <v>ZERO-COUPON</v>
      </c>
      <c r="BY22" s="78">
        <f t="shared" si="11"/>
        <v>0</v>
      </c>
      <c r="BZ22" s="61"/>
      <c r="CA22" s="61"/>
      <c r="CB22" s="61" t="s">
        <v>51</v>
      </c>
      <c r="CC22" s="73" t="e">
        <f t="shared" si="12"/>
        <v>#N/A</v>
      </c>
      <c r="CD22" s="61" t="s">
        <v>51</v>
      </c>
      <c r="CE22" s="73" t="e">
        <f t="shared" si="13"/>
        <v>#N/A</v>
      </c>
      <c r="CF22" s="76" t="e">
        <f t="shared" si="14"/>
        <v>#VALUE!</v>
      </c>
      <c r="CG22" s="76" t="e">
        <f t="shared" si="15"/>
        <v>#VALUE!</v>
      </c>
      <c r="CH22" s="70" t="s">
        <v>80</v>
      </c>
      <c r="CI22" s="61"/>
      <c r="CJ22" s="61"/>
      <c r="CK22" s="61" t="s">
        <v>62</v>
      </c>
      <c r="CL22" s="61"/>
      <c r="CM22" s="61"/>
      <c r="CN22" s="76" t="str">
        <f t="shared" si="16"/>
        <v>Type</v>
      </c>
      <c r="CP22" s="61" t="s">
        <v>8</v>
      </c>
      <c r="CQ22" s="66" t="e">
        <f t="shared" si="17"/>
        <v>#VALUE!</v>
      </c>
      <c r="CR22" s="61" t="str">
        <f t="shared" si="48"/>
        <v>END</v>
      </c>
      <c r="CS22" s="61" t="s">
        <v>18</v>
      </c>
      <c r="CT22" s="135" t="e">
        <f t="shared" si="18"/>
        <v>#N/A</v>
      </c>
      <c r="CU22" s="135" t="str">
        <f t="shared" si="49"/>
        <v>DF_CSA</v>
      </c>
      <c r="CV22" s="134">
        <f t="shared" si="50"/>
        <v>0</v>
      </c>
      <c r="CW22" s="71">
        <v>1</v>
      </c>
      <c r="CX22" s="81"/>
      <c r="CY22" s="61" t="s">
        <v>32</v>
      </c>
      <c r="CZ22" s="61" t="s">
        <v>32</v>
      </c>
      <c r="DA22" s="72"/>
      <c r="DB22" s="72"/>
      <c r="DC22" s="71"/>
      <c r="DD22" s="291" t="e">
        <f t="shared" ca="1" si="51"/>
        <v>#VALUE!</v>
      </c>
      <c r="DE22" s="291" t="e">
        <f t="shared" ca="1" si="52"/>
        <v>#VALUE!</v>
      </c>
      <c r="DF22" s="53">
        <f t="shared" si="53"/>
        <v>0</v>
      </c>
      <c r="DG22" s="82">
        <f t="shared" si="54"/>
        <v>0</v>
      </c>
      <c r="DH22" s="82" t="e">
        <f t="shared" si="55"/>
        <v>#N/A</v>
      </c>
      <c r="DI22" s="61" t="str">
        <f t="shared" si="56"/>
        <v>PRECEDING</v>
      </c>
      <c r="DJ22" s="82" t="e">
        <f t="shared" si="57"/>
        <v>#N/A</v>
      </c>
      <c r="DK22" s="61" t="str">
        <f t="shared" si="58"/>
        <v>NO_CHANGE</v>
      </c>
      <c r="DL22" s="82" t="e">
        <f t="shared" si="59"/>
        <v>#N/A</v>
      </c>
      <c r="DM22" s="61" t="str">
        <f t="shared" si="60"/>
        <v>NO_CHANGE</v>
      </c>
      <c r="DN22" s="82" t="e">
        <f t="shared" si="61"/>
        <v>#N/A</v>
      </c>
      <c r="DO22" s="82"/>
      <c r="DP22" s="82"/>
      <c r="DQ22" s="70"/>
      <c r="DR22" s="61" t="str">
        <f t="shared" si="62"/>
        <v>0D</v>
      </c>
      <c r="DS22" s="61"/>
      <c r="DT22" s="61" t="str">
        <f t="shared" si="63"/>
        <v>0D</v>
      </c>
      <c r="DU22" s="61" t="str">
        <f t="shared" si="64"/>
        <v>SHORTSTART</v>
      </c>
      <c r="DV22" s="61" t="b">
        <v>0</v>
      </c>
      <c r="DW22" s="82"/>
      <c r="EA22" s="61" t="s">
        <v>7</v>
      </c>
      <c r="EB22" s="66">
        <v>1000000</v>
      </c>
      <c r="EC22" s="61" t="s">
        <v>14</v>
      </c>
      <c r="ED22" s="61" t="s">
        <v>17</v>
      </c>
      <c r="EE22" s="70"/>
      <c r="EF22" s="73" t="e">
        <f t="shared" si="19"/>
        <v>#N/A</v>
      </c>
      <c r="EG22" s="74">
        <f t="shared" si="20"/>
        <v>0</v>
      </c>
      <c r="EH22" s="71">
        <v>1</v>
      </c>
      <c r="EI22" s="75">
        <f t="shared" si="21"/>
        <v>0</v>
      </c>
      <c r="EJ22" s="61"/>
      <c r="EK22" s="61"/>
      <c r="EL22" s="72"/>
      <c r="EM22" s="72"/>
      <c r="EN22" s="71"/>
      <c r="EO22" s="76" t="e">
        <f t="shared" si="22"/>
        <v>#VALUE!</v>
      </c>
      <c r="EP22" s="76" t="e">
        <f t="shared" si="23"/>
        <v>#VALUE!</v>
      </c>
      <c r="EQ22" s="77" t="str">
        <f t="shared" si="24"/>
        <v>ZERO-COUPON</v>
      </c>
      <c r="ER22" s="77" t="str">
        <f t="shared" si="24"/>
        <v>ZERO-COUPON</v>
      </c>
      <c r="ES22" s="78">
        <f t="shared" si="25"/>
        <v>0</v>
      </c>
      <c r="ET22" s="61"/>
      <c r="EU22" s="61"/>
      <c r="EV22" s="61" t="s">
        <v>51</v>
      </c>
      <c r="EW22" s="73" t="e">
        <f t="shared" si="26"/>
        <v>#N/A</v>
      </c>
      <c r="EX22" s="61" t="s">
        <v>51</v>
      </c>
      <c r="EY22" s="73" t="e">
        <f t="shared" si="27"/>
        <v>#N/A</v>
      </c>
      <c r="EZ22" s="76" t="e">
        <f t="shared" si="28"/>
        <v>#VALUE!</v>
      </c>
      <c r="FA22" s="76" t="e">
        <f t="shared" si="29"/>
        <v>#VALUE!</v>
      </c>
      <c r="FB22" s="70" t="s">
        <v>80</v>
      </c>
      <c r="FC22" s="61"/>
      <c r="FD22" s="61"/>
      <c r="FE22" s="61" t="s">
        <v>62</v>
      </c>
      <c r="FF22" s="61"/>
      <c r="FG22" s="61"/>
      <c r="FH22" s="76" t="str">
        <f t="shared" si="30"/>
        <v>Type</v>
      </c>
      <c r="FJ22" s="61" t="s">
        <v>8</v>
      </c>
      <c r="FK22" s="66">
        <v>1000000</v>
      </c>
      <c r="FL22" s="61" t="s">
        <v>14</v>
      </c>
      <c r="FM22" s="61" t="s">
        <v>18</v>
      </c>
      <c r="FN22" s="115" t="e">
        <f t="shared" si="31"/>
        <v>#N/A</v>
      </c>
      <c r="FO22" s="115" t="e">
        <f t="shared" si="32"/>
        <v>#N/A</v>
      </c>
      <c r="FP22" s="116">
        <f t="shared" si="65"/>
        <v>0</v>
      </c>
      <c r="FQ22" s="71">
        <v>1</v>
      </c>
      <c r="FR22" s="81"/>
      <c r="FS22" s="61" t="s">
        <v>32</v>
      </c>
      <c r="FT22" s="61" t="s">
        <v>32</v>
      </c>
      <c r="FU22" s="72"/>
      <c r="FV22" s="72"/>
      <c r="FW22" s="71"/>
      <c r="FX22" s="76" t="e">
        <f t="shared" si="33"/>
        <v>#VALUE!</v>
      </c>
      <c r="FY22" s="76" t="e">
        <f t="shared" si="34"/>
        <v>#VALUE!</v>
      </c>
      <c r="FZ22" s="73">
        <f t="shared" si="35"/>
        <v>0</v>
      </c>
      <c r="GA22" s="73">
        <f t="shared" si="35"/>
        <v>0</v>
      </c>
      <c r="GB22" s="73" t="e">
        <f t="shared" si="36"/>
        <v>#N/A</v>
      </c>
      <c r="GC22" s="61" t="s">
        <v>58</v>
      </c>
      <c r="GD22" s="73" t="e">
        <f t="shared" si="37"/>
        <v>#N/A</v>
      </c>
      <c r="GE22" s="61" t="s">
        <v>51</v>
      </c>
      <c r="GF22" s="73" t="e">
        <f t="shared" si="38"/>
        <v>#N/A</v>
      </c>
      <c r="GG22" s="61" t="s">
        <v>51</v>
      </c>
      <c r="GH22" s="73" t="e">
        <f t="shared" si="39"/>
        <v>#N/A</v>
      </c>
      <c r="GI22" s="82"/>
      <c r="GJ22" s="82"/>
      <c r="GK22" s="70"/>
      <c r="GL22" s="61" t="s">
        <v>62</v>
      </c>
      <c r="GM22" s="61"/>
      <c r="GN22" s="61" t="s">
        <v>62</v>
      </c>
      <c r="GO22" s="61" t="s">
        <v>75</v>
      </c>
      <c r="GP22" s="61" t="b">
        <v>0</v>
      </c>
      <c r="GQ22" s="82"/>
      <c r="GU22" s="95">
        <f t="shared" si="40"/>
        <v>0</v>
      </c>
      <c r="GV22" s="42">
        <f>IF(LEFT(_xll.BDP($C22,GV$5),1)="#","#LOADING",_xll.BDP($C22,GV$5))</f>
        <v>0</v>
      </c>
      <c r="GW22" s="74">
        <f t="shared" si="41"/>
        <v>0</v>
      </c>
      <c r="GX22" s="74" t="e">
        <f t="shared" si="42"/>
        <v>#VALUE!</v>
      </c>
      <c r="GY22" s="64" t="s">
        <v>20</v>
      </c>
      <c r="GZ22" s="42" t="b">
        <f>IF(LEFT(_xll.BDP($C22,GZ$5),1)="#","#LOADING",IF(_xll.BDP($C22,GZ$5)="CLEAN",TRUE,FALSE))</f>
        <v>0</v>
      </c>
      <c r="HA22" s="64" t="s">
        <v>26</v>
      </c>
      <c r="HB22" s="61" t="s">
        <v>18</v>
      </c>
      <c r="HC22" s="65" t="s">
        <v>28</v>
      </c>
      <c r="HD22" s="66">
        <v>1000000</v>
      </c>
      <c r="HE22" s="96" t="e">
        <f>IF(LEFT(_xll.BDP($C22,HE$5),1)="#","#LOADING",DATEVALUE(_xll.BDP($C22,HE$5)))</f>
        <v>#VALUE!</v>
      </c>
      <c r="HF22" s="96" t="e">
        <f>IF(LEFT(_xll.BDP($C22,HF$5),1)="#","#LOADING",DATEVALUE(_xll.BDP($C22,HF$5)))</f>
        <v>#VALUE!</v>
      </c>
      <c r="HG22" s="96" t="e">
        <f>IF(LEFT(_xll.BDP($C22,HG$5),1)="#","#LOADING",DATEVALUE(_xll.BDP($C22,HG$5)))</f>
        <v>#VALUE!</v>
      </c>
      <c r="HH22" s="96" t="e">
        <f>IF(LEFT(_xll.BDP($C22,HH$5),1)="#","#LOADING",DATEVALUE(_xll.BDP($C22,HH$5)))</f>
        <v>#VALUE!</v>
      </c>
      <c r="HI22" s="96" t="e">
        <f>IF(LEFT(_xll.BDP($C22,HI$5),1)="#","#LOADING",DATEVALUE(_xll.BDP($C22,HI$5)))</f>
        <v>#VALUE!</v>
      </c>
      <c r="HJ22" s="97">
        <f>IF(LEFT(_xll.BDP($C22,HJ$5),1)="#","#LOADING",_xll.BDP($C22,HJ$5)%)</f>
        <v>0</v>
      </c>
      <c r="HK22" s="97" t="str">
        <f>IF(LEFT(_xll.BDP($C22,HK$5),1)="#","#LOADING",VLOOKUP(_xll.BDP($C22,HK$5),Static.CouponFrequency,2,FALSE))</f>
        <v>ZERO-COUPON</v>
      </c>
      <c r="HL22" s="68" t="s">
        <v>51</v>
      </c>
      <c r="HM22" s="73" t="e">
        <f t="shared" si="43"/>
        <v>#N/A</v>
      </c>
      <c r="HN22" s="61" t="s">
        <v>51</v>
      </c>
      <c r="HO22" s="73" t="e">
        <f t="shared" si="44"/>
        <v>#N/A</v>
      </c>
      <c r="HP22" s="61" t="s">
        <v>62</v>
      </c>
      <c r="HQ22" s="43">
        <f>IF(LEFT(_xll.BDP($C22,HQ$5),1)="#","#LOADING",_xll.BDP($C22,HQ$5))</f>
        <v>0</v>
      </c>
      <c r="HR22" s="70"/>
      <c r="HS22" s="43" t="str">
        <f>IF(LEFT(_xll.BDP($C22,HS$5),1)="#","#LOADING","Type"&amp;IF(_xll.BDP($C22,HS$5)=999,1,_xll.BDP($C22,HS$5)))</f>
        <v>Type</v>
      </c>
    </row>
    <row r="23" spans="1:227">
      <c r="A23" s="101">
        <v>17</v>
      </c>
      <c r="B23" s="57"/>
      <c r="C23" s="57"/>
      <c r="D23" s="57"/>
      <c r="E23" s="57"/>
      <c r="F23" s="57"/>
      <c r="G23" s="57"/>
      <c r="H23" s="57"/>
      <c r="I23" s="57"/>
      <c r="J23" s="101">
        <v>17</v>
      </c>
      <c r="K23" s="58" t="s">
        <v>163</v>
      </c>
      <c r="L23" s="59" t="str">
        <f>IF(ISBLANK(M23),IF($G23="","",_xll.BDP(AI23&amp;" "&amp;$K23&amp;" Corp","PX_LAST")),M23)</f>
        <v/>
      </c>
      <c r="M23" s="60"/>
      <c r="N23" s="83" t="str">
        <f ca="1">IF(ISBLANK($O23),IF($G23="","",_xll.meLWOAssetSwapSpread($AB23,$AA23,$L23,_xll.meUtilityLVBFromKeysValues($S$6:$V$6,S23:V23),INDIRECT("Fixings"&amp;$D23&amp;IF($I23="QUARTERLY","3ML","6ML")))),$O23)</f>
        <v/>
      </c>
      <c r="O23" s="60"/>
      <c r="P23" s="84" t="str">
        <f ca="1">IF($C23="","",_xll.meLWOAssetSwapSpreadToCleanPrice($AC23,$N23,INDIRECT("ValuationSettings"&amp;$D23),INDIRECT("Fixings"&amp;$D23&amp;IF($E23="QUARTERLY","3ML","6ML"))))</f>
        <v/>
      </c>
      <c r="Q23" s="84" t="str">
        <f>IF($C23="","",_xll.meLWOBondPriceFromCleanToDirty($AD23,V23,$P23))</f>
        <v/>
      </c>
      <c r="R23" s="98" t="str">
        <f>IF($C23="","",_xll.meLWOBondYield($AD23,V23,IF($GZ23,$P23,$Q23)))</f>
        <v/>
      </c>
      <c r="S23" s="98" t="str">
        <f t="shared" ca="1" si="66"/>
        <v/>
      </c>
      <c r="T23" s="98" t="str">
        <f t="shared" ca="1" si="67"/>
        <v/>
      </c>
      <c r="U23" s="129" t="str">
        <f>IF($C23="","",_xll.BDH(D23&amp;H23&amp;" Curncy","MID",Settings.ValuationDate,Settings.ValuationDate))</f>
        <v/>
      </c>
      <c r="V23" s="127" t="str">
        <f t="shared" ca="1" si="68"/>
        <v/>
      </c>
      <c r="W23" s="98" t="str">
        <f t="shared" si="69"/>
        <v/>
      </c>
      <c r="X23" s="98" t="str">
        <f t="shared" si="70"/>
        <v/>
      </c>
      <c r="Y23" s="98" t="str">
        <f t="shared" si="71"/>
        <v/>
      </c>
      <c r="Z23" s="101">
        <v>17</v>
      </c>
      <c r="AA23" s="53" t="str">
        <f>IF($G23="","",IF(LEFT(AG23,1)="#","#LOADING",_xll.meLWOBondCreateFromLVB("PROXY_BOND_"&amp;$AI23,_xll.meUtilityLVBFromKeysValues($AF$6:$BD$6,$AF23:$BD23))))</f>
        <v/>
      </c>
      <c r="AB23" s="135" t="str">
        <f ca="1">IF($G23="","",_xll.meLWOXccySwapCreate("PROXY_XCCY_ASW_"&amp;$AI23,_xll.meUtilityLVBFromKeysAndMultipleValues($BG$6:$CN$6,$BG23:$CN23,$CP23:$DW23),_xll.meUtilityLVBFromKeysValues($W$6:$Y$6,W23:Y23)))</f>
        <v/>
      </c>
      <c r="AC23" s="53" t="str">
        <f>IF($C23="","",_xll.meLWOSwapCreate("BOND_ASW_"&amp;$GX23,_xll.meUtilityLVBFromKeysAndMultipleValues($EA$6:$FH$6,$EA23:$FH23,$FJ23:$GQ23)))</f>
        <v/>
      </c>
      <c r="AD23" s="53" t="str">
        <f>IF($C23="","",IF(LEFT(GV23,1)="#","#LOADING",_xll.meLWOBondCreateFromLVB("PROXY_BOND_"&amp;$GX23,_xll.meUtilityLVBFromKeysValues($GU$6:$HS$6,$GU23:$HS23))))</f>
        <v/>
      </c>
      <c r="AE23" t="s">
        <v>0</v>
      </c>
      <c r="AF23" s="62">
        <f t="shared" si="46"/>
        <v>0</v>
      </c>
      <c r="AG23" s="63">
        <f>IF(LEFT(_xll.BDP($G23,AG$5),1)="#","#LOADING",_xll.BDP($G23,AG$5))</f>
        <v>0</v>
      </c>
      <c r="AH23" s="41">
        <f t="shared" si="47"/>
        <v>0</v>
      </c>
      <c r="AI23" s="63">
        <f>IF(LEFT(_xll.BDP($G23,AI$5),1)="#","#LOADING",_xll.BDP($G23,AI$5))</f>
        <v>0</v>
      </c>
      <c r="AJ23" s="64" t="s">
        <v>20</v>
      </c>
      <c r="AK23" s="63" t="b">
        <f>IF(LEFT(_xll.BDP($G23,AK$5),1)="#","#LOADING",IF(_xll.BDP($G23,AK$5)="CLEAN",TRUE,FALSE))</f>
        <v>0</v>
      </c>
      <c r="AL23" s="64" t="s">
        <v>26</v>
      </c>
      <c r="AM23" s="61" t="s">
        <v>18</v>
      </c>
      <c r="AN23" s="65" t="s">
        <v>28</v>
      </c>
      <c r="AO23" s="66">
        <v>1000000</v>
      </c>
      <c r="AP23" s="63" t="e">
        <f>IF(LEFT(_xll.BDP($G23,AP$5),1)="#","#LOADING",DATEVALUE(_xll.BDP($G23,AP$5)))</f>
        <v>#VALUE!</v>
      </c>
      <c r="AQ23" s="63" t="e">
        <f>IF(LEFT(_xll.BDP($G23,AQ$5),1)="#","#LOADING",DATEVALUE(_xll.BDP($G23,AQ$5)))</f>
        <v>#VALUE!</v>
      </c>
      <c r="AR23" s="63" t="e">
        <f>IF(LEFT(_xll.BDP($G23,AR$5),1)="#","#LOADING",DATEVALUE(_xll.BDP($G23,AR$5)))</f>
        <v>#VALUE!</v>
      </c>
      <c r="AS23" s="63" t="e">
        <f>IF(LEFT(_xll.BDP($G23,AS$5),1)="#","#LOADING",DATEVALUE(_xll.BDP($G23,AS$5)))</f>
        <v>#VALUE!</v>
      </c>
      <c r="AT23" s="63" t="e">
        <f>IF(LEFT(_xll.BDP($G23,AT$5),1)="#","#LOADING",DATEVALUE(_xll.BDP($G23,AT$5)))</f>
        <v>#VALUE!</v>
      </c>
      <c r="AU23" s="67">
        <f>IF(LEFT(_xll.BDP($G23,AU$5),1)="#","#LOADING",_xll.BDP($G23,AU$5)%)</f>
        <v>0</v>
      </c>
      <c r="AV23" s="67" t="str">
        <f>IF(LEFT(_xll.BDP($G23,AV$5),1)="#","#LOADING",VLOOKUP(_xll.BDP($G23,AV$5),Static.CouponFrequency,2,FALSE))</f>
        <v>ZERO-COUPON</v>
      </c>
      <c r="AW23" s="68" t="s">
        <v>51</v>
      </c>
      <c r="AX23" s="53" t="e">
        <f t="shared" si="3"/>
        <v>#N/A</v>
      </c>
      <c r="AY23" s="61" t="s">
        <v>51</v>
      </c>
      <c r="AZ23" s="53" t="e">
        <f t="shared" si="4"/>
        <v>#N/A</v>
      </c>
      <c r="BA23" s="61" t="s">
        <v>62</v>
      </c>
      <c r="BB23" s="69">
        <f>IF(LEFT(_xll.BDP($G23,BB$5),1)="#","#LOADING",_xll.BDP($G23,BB$5))</f>
        <v>0</v>
      </c>
      <c r="BC23" s="70"/>
      <c r="BD23" s="69" t="str">
        <f>IF(LEFT(_xll.BDP($G23,BD$5),1)="#","#LOADING","Type"&amp;IF(_xll.BDP($G23,BD$5)=999,1,_xll.BDP($G23,BD$5)))</f>
        <v>Type</v>
      </c>
      <c r="BE23" s="54"/>
      <c r="BG23" s="61" t="s">
        <v>7</v>
      </c>
      <c r="BH23" s="66">
        <v>1000000</v>
      </c>
      <c r="BI23" s="61" t="s">
        <v>212</v>
      </c>
      <c r="BJ23" s="61" t="s">
        <v>17</v>
      </c>
      <c r="BK23" s="70"/>
      <c r="BL23" s="73" t="e">
        <f t="shared" si="5"/>
        <v>#N/A</v>
      </c>
      <c r="BM23" s="74">
        <f t="shared" si="6"/>
        <v>0</v>
      </c>
      <c r="BN23" s="71">
        <v>1</v>
      </c>
      <c r="BO23" s="75">
        <f t="shared" si="7"/>
        <v>0</v>
      </c>
      <c r="BP23" s="61"/>
      <c r="BQ23" s="61"/>
      <c r="BR23" s="72"/>
      <c r="BS23" s="72"/>
      <c r="BT23" s="71"/>
      <c r="BU23" s="76" t="e">
        <f t="shared" si="8"/>
        <v>#VALUE!</v>
      </c>
      <c r="BV23" s="76" t="e">
        <f t="shared" si="9"/>
        <v>#VALUE!</v>
      </c>
      <c r="BW23" s="77" t="str">
        <f t="shared" si="10"/>
        <v>ZERO-COUPON</v>
      </c>
      <c r="BX23" s="77" t="str">
        <f t="shared" si="10"/>
        <v>ZERO-COUPON</v>
      </c>
      <c r="BY23" s="78">
        <f t="shared" si="11"/>
        <v>0</v>
      </c>
      <c r="BZ23" s="61"/>
      <c r="CA23" s="61"/>
      <c r="CB23" s="61" t="s">
        <v>51</v>
      </c>
      <c r="CC23" s="73" t="e">
        <f t="shared" si="12"/>
        <v>#N/A</v>
      </c>
      <c r="CD23" s="61" t="s">
        <v>51</v>
      </c>
      <c r="CE23" s="73" t="e">
        <f t="shared" si="13"/>
        <v>#N/A</v>
      </c>
      <c r="CF23" s="76" t="e">
        <f t="shared" si="14"/>
        <v>#VALUE!</v>
      </c>
      <c r="CG23" s="76" t="e">
        <f t="shared" si="15"/>
        <v>#VALUE!</v>
      </c>
      <c r="CH23" s="70" t="s">
        <v>80</v>
      </c>
      <c r="CI23" s="61"/>
      <c r="CJ23" s="61"/>
      <c r="CK23" s="61" t="s">
        <v>62</v>
      </c>
      <c r="CL23" s="61"/>
      <c r="CM23" s="61"/>
      <c r="CN23" s="76" t="str">
        <f t="shared" si="16"/>
        <v>Type</v>
      </c>
      <c r="CP23" s="61" t="s">
        <v>8</v>
      </c>
      <c r="CQ23" s="66" t="e">
        <f t="shared" si="17"/>
        <v>#VALUE!</v>
      </c>
      <c r="CR23" s="61" t="str">
        <f t="shared" si="48"/>
        <v>END</v>
      </c>
      <c r="CS23" s="61" t="s">
        <v>18</v>
      </c>
      <c r="CT23" s="135" t="e">
        <f t="shared" si="18"/>
        <v>#N/A</v>
      </c>
      <c r="CU23" s="135" t="str">
        <f t="shared" si="49"/>
        <v>DF_CSA</v>
      </c>
      <c r="CV23" s="134">
        <f t="shared" si="50"/>
        <v>0</v>
      </c>
      <c r="CW23" s="71">
        <v>1</v>
      </c>
      <c r="CX23" s="81"/>
      <c r="CY23" s="61" t="s">
        <v>32</v>
      </c>
      <c r="CZ23" s="61" t="s">
        <v>32</v>
      </c>
      <c r="DA23" s="72"/>
      <c r="DB23" s="72"/>
      <c r="DC23" s="71"/>
      <c r="DD23" s="291" t="e">
        <f t="shared" ca="1" si="51"/>
        <v>#VALUE!</v>
      </c>
      <c r="DE23" s="291" t="e">
        <f t="shared" ca="1" si="52"/>
        <v>#VALUE!</v>
      </c>
      <c r="DF23" s="53">
        <f t="shared" si="53"/>
        <v>0</v>
      </c>
      <c r="DG23" s="82">
        <f t="shared" si="54"/>
        <v>0</v>
      </c>
      <c r="DH23" s="82" t="e">
        <f t="shared" si="55"/>
        <v>#N/A</v>
      </c>
      <c r="DI23" s="61" t="str">
        <f t="shared" si="56"/>
        <v>PRECEDING</v>
      </c>
      <c r="DJ23" s="82" t="e">
        <f t="shared" si="57"/>
        <v>#N/A</v>
      </c>
      <c r="DK23" s="61" t="str">
        <f t="shared" si="58"/>
        <v>NO_CHANGE</v>
      </c>
      <c r="DL23" s="82" t="e">
        <f t="shared" si="59"/>
        <v>#N/A</v>
      </c>
      <c r="DM23" s="61" t="str">
        <f t="shared" si="60"/>
        <v>NO_CHANGE</v>
      </c>
      <c r="DN23" s="82" t="e">
        <f t="shared" si="61"/>
        <v>#N/A</v>
      </c>
      <c r="DO23" s="82"/>
      <c r="DP23" s="82"/>
      <c r="DQ23" s="70"/>
      <c r="DR23" s="61" t="str">
        <f t="shared" si="62"/>
        <v>0D</v>
      </c>
      <c r="DS23" s="61"/>
      <c r="DT23" s="61" t="str">
        <f t="shared" si="63"/>
        <v>0D</v>
      </c>
      <c r="DU23" s="61" t="str">
        <f t="shared" si="64"/>
        <v>SHORTSTART</v>
      </c>
      <c r="DV23" s="61" t="b">
        <v>0</v>
      </c>
      <c r="DW23" s="82"/>
      <c r="EA23" s="61" t="s">
        <v>7</v>
      </c>
      <c r="EB23" s="66">
        <v>1000000</v>
      </c>
      <c r="EC23" s="61" t="s">
        <v>14</v>
      </c>
      <c r="ED23" s="61" t="s">
        <v>17</v>
      </c>
      <c r="EE23" s="70"/>
      <c r="EF23" s="73" t="e">
        <f t="shared" si="19"/>
        <v>#N/A</v>
      </c>
      <c r="EG23" s="74">
        <f t="shared" si="20"/>
        <v>0</v>
      </c>
      <c r="EH23" s="71">
        <v>1</v>
      </c>
      <c r="EI23" s="75">
        <f t="shared" si="21"/>
        <v>0</v>
      </c>
      <c r="EJ23" s="61"/>
      <c r="EK23" s="61"/>
      <c r="EL23" s="72"/>
      <c r="EM23" s="72"/>
      <c r="EN23" s="71"/>
      <c r="EO23" s="76" t="e">
        <f t="shared" si="22"/>
        <v>#VALUE!</v>
      </c>
      <c r="EP23" s="76" t="e">
        <f t="shared" si="23"/>
        <v>#VALUE!</v>
      </c>
      <c r="EQ23" s="77" t="str">
        <f t="shared" si="24"/>
        <v>ZERO-COUPON</v>
      </c>
      <c r="ER23" s="77" t="str">
        <f t="shared" si="24"/>
        <v>ZERO-COUPON</v>
      </c>
      <c r="ES23" s="78">
        <f t="shared" si="25"/>
        <v>0</v>
      </c>
      <c r="ET23" s="61"/>
      <c r="EU23" s="61"/>
      <c r="EV23" s="61" t="s">
        <v>51</v>
      </c>
      <c r="EW23" s="73" t="e">
        <f t="shared" si="26"/>
        <v>#N/A</v>
      </c>
      <c r="EX23" s="61" t="s">
        <v>51</v>
      </c>
      <c r="EY23" s="73" t="e">
        <f t="shared" si="27"/>
        <v>#N/A</v>
      </c>
      <c r="EZ23" s="76" t="e">
        <f t="shared" si="28"/>
        <v>#VALUE!</v>
      </c>
      <c r="FA23" s="76" t="e">
        <f t="shared" si="29"/>
        <v>#VALUE!</v>
      </c>
      <c r="FB23" s="70" t="s">
        <v>80</v>
      </c>
      <c r="FC23" s="61"/>
      <c r="FD23" s="61"/>
      <c r="FE23" s="61" t="s">
        <v>62</v>
      </c>
      <c r="FF23" s="61"/>
      <c r="FG23" s="61"/>
      <c r="FH23" s="76" t="str">
        <f t="shared" si="30"/>
        <v>Type</v>
      </c>
      <c r="FJ23" s="61" t="s">
        <v>8</v>
      </c>
      <c r="FK23" s="66">
        <v>1000000</v>
      </c>
      <c r="FL23" s="61" t="s">
        <v>14</v>
      </c>
      <c r="FM23" s="61" t="s">
        <v>18</v>
      </c>
      <c r="FN23" s="115" t="e">
        <f t="shared" si="31"/>
        <v>#N/A</v>
      </c>
      <c r="FO23" s="115" t="e">
        <f t="shared" si="32"/>
        <v>#N/A</v>
      </c>
      <c r="FP23" s="116">
        <f t="shared" si="65"/>
        <v>0</v>
      </c>
      <c r="FQ23" s="71">
        <v>1</v>
      </c>
      <c r="FR23" s="81"/>
      <c r="FS23" s="61" t="s">
        <v>32</v>
      </c>
      <c r="FT23" s="61" t="s">
        <v>32</v>
      </c>
      <c r="FU23" s="72"/>
      <c r="FV23" s="72"/>
      <c r="FW23" s="71"/>
      <c r="FX23" s="76" t="e">
        <f t="shared" si="33"/>
        <v>#VALUE!</v>
      </c>
      <c r="FY23" s="76" t="e">
        <f t="shared" si="34"/>
        <v>#VALUE!</v>
      </c>
      <c r="FZ23" s="73">
        <f t="shared" si="35"/>
        <v>0</v>
      </c>
      <c r="GA23" s="73">
        <f t="shared" si="35"/>
        <v>0</v>
      </c>
      <c r="GB23" s="73" t="e">
        <f t="shared" si="36"/>
        <v>#N/A</v>
      </c>
      <c r="GC23" s="61" t="s">
        <v>58</v>
      </c>
      <c r="GD23" s="73" t="e">
        <f t="shared" si="37"/>
        <v>#N/A</v>
      </c>
      <c r="GE23" s="61" t="s">
        <v>51</v>
      </c>
      <c r="GF23" s="73" t="e">
        <f t="shared" si="38"/>
        <v>#N/A</v>
      </c>
      <c r="GG23" s="61" t="s">
        <v>51</v>
      </c>
      <c r="GH23" s="73" t="e">
        <f t="shared" si="39"/>
        <v>#N/A</v>
      </c>
      <c r="GI23" s="82"/>
      <c r="GJ23" s="82"/>
      <c r="GK23" s="70"/>
      <c r="GL23" s="61" t="s">
        <v>62</v>
      </c>
      <c r="GM23" s="61"/>
      <c r="GN23" s="61" t="s">
        <v>62</v>
      </c>
      <c r="GO23" s="61" t="s">
        <v>75</v>
      </c>
      <c r="GP23" s="61" t="b">
        <v>0</v>
      </c>
      <c r="GQ23" s="82"/>
      <c r="GU23" s="95">
        <f t="shared" si="40"/>
        <v>0</v>
      </c>
      <c r="GV23" s="42">
        <f>IF(LEFT(_xll.BDP($C23,GV$5),1)="#","#LOADING",_xll.BDP($C23,GV$5))</f>
        <v>0</v>
      </c>
      <c r="GW23" s="74">
        <f t="shared" si="41"/>
        <v>0</v>
      </c>
      <c r="GX23" s="74" t="e">
        <f t="shared" si="42"/>
        <v>#VALUE!</v>
      </c>
      <c r="GY23" s="64" t="s">
        <v>20</v>
      </c>
      <c r="GZ23" s="42" t="b">
        <f>IF(LEFT(_xll.BDP($C23,GZ$5),1)="#","#LOADING",IF(_xll.BDP($C23,GZ$5)="CLEAN",TRUE,FALSE))</f>
        <v>0</v>
      </c>
      <c r="HA23" s="64" t="s">
        <v>26</v>
      </c>
      <c r="HB23" s="61" t="s">
        <v>18</v>
      </c>
      <c r="HC23" s="65" t="s">
        <v>28</v>
      </c>
      <c r="HD23" s="66">
        <v>1000000</v>
      </c>
      <c r="HE23" s="96" t="e">
        <f>IF(LEFT(_xll.BDP($C23,HE$5),1)="#","#LOADING",DATEVALUE(_xll.BDP($C23,HE$5)))</f>
        <v>#VALUE!</v>
      </c>
      <c r="HF23" s="96" t="e">
        <f>IF(LEFT(_xll.BDP($C23,HF$5),1)="#","#LOADING",DATEVALUE(_xll.BDP($C23,HF$5)))</f>
        <v>#VALUE!</v>
      </c>
      <c r="HG23" s="96" t="e">
        <f>IF(LEFT(_xll.BDP($C23,HG$5),1)="#","#LOADING",DATEVALUE(_xll.BDP($C23,HG$5)))</f>
        <v>#VALUE!</v>
      </c>
      <c r="HH23" s="96" t="e">
        <f>IF(LEFT(_xll.BDP($C23,HH$5),1)="#","#LOADING",DATEVALUE(_xll.BDP($C23,HH$5)))</f>
        <v>#VALUE!</v>
      </c>
      <c r="HI23" s="96" t="e">
        <f>IF(LEFT(_xll.BDP($C23,HI$5),1)="#","#LOADING",DATEVALUE(_xll.BDP($C23,HI$5)))</f>
        <v>#VALUE!</v>
      </c>
      <c r="HJ23" s="97">
        <f>IF(LEFT(_xll.BDP($C23,HJ$5),1)="#","#LOADING",_xll.BDP($C23,HJ$5)%)</f>
        <v>0</v>
      </c>
      <c r="HK23" s="97" t="str">
        <f>IF(LEFT(_xll.BDP($C23,HK$5),1)="#","#LOADING",VLOOKUP(_xll.BDP($C23,HK$5),Static.CouponFrequency,2,FALSE))</f>
        <v>ZERO-COUPON</v>
      </c>
      <c r="HL23" s="68" t="s">
        <v>51</v>
      </c>
      <c r="HM23" s="73" t="e">
        <f t="shared" si="43"/>
        <v>#N/A</v>
      </c>
      <c r="HN23" s="61" t="s">
        <v>51</v>
      </c>
      <c r="HO23" s="73" t="e">
        <f t="shared" si="44"/>
        <v>#N/A</v>
      </c>
      <c r="HP23" s="61" t="s">
        <v>62</v>
      </c>
      <c r="HQ23" s="43">
        <f>IF(LEFT(_xll.BDP($C23,HQ$5),1)="#","#LOADING",_xll.BDP($C23,HQ$5))</f>
        <v>0</v>
      </c>
      <c r="HR23" s="70"/>
      <c r="HS23" s="43" t="str">
        <f>IF(LEFT(_xll.BDP($C23,HS$5),1)="#","#LOADING","Type"&amp;IF(_xll.BDP($C23,HS$5)=999,1,_xll.BDP($C23,HS$5)))</f>
        <v>Type</v>
      </c>
    </row>
    <row r="24" spans="1:227">
      <c r="A24" s="101">
        <v>18</v>
      </c>
      <c r="B24" s="57"/>
      <c r="C24" s="57"/>
      <c r="D24" s="57"/>
      <c r="E24" s="57"/>
      <c r="F24" s="57"/>
      <c r="G24" s="57"/>
      <c r="H24" s="57"/>
      <c r="I24" s="57"/>
      <c r="J24" s="101">
        <v>18</v>
      </c>
      <c r="K24" s="58" t="s">
        <v>163</v>
      </c>
      <c r="L24" s="59" t="str">
        <f>IF(ISBLANK(M24),IF($G24="","",_xll.BDP(AI24&amp;" "&amp;$K24&amp;" Corp","PX_LAST")),M24)</f>
        <v/>
      </c>
      <c r="M24" s="60"/>
      <c r="N24" s="83" t="str">
        <f ca="1">IF(ISBLANK($O24),IF($G24="","",_xll.meLWOAssetSwapSpread($AB24,$AA24,$L24,_xll.meUtilityLVBFromKeysValues($S$6:$V$6,S24:V24),INDIRECT("Fixings"&amp;$D24&amp;IF($I24="QUARTERLY","3ML","6ML")))),$O24)</f>
        <v/>
      </c>
      <c r="O24" s="60"/>
      <c r="P24" s="84" t="str">
        <f ca="1">IF($C24="","",_xll.meLWOAssetSwapSpreadToCleanPrice($AC24,$N24,INDIRECT("ValuationSettings"&amp;$D24),INDIRECT("Fixings"&amp;$D24&amp;IF($E24="QUARTERLY","3ML","6ML"))))</f>
        <v/>
      </c>
      <c r="Q24" s="84" t="str">
        <f>IF($C24="","",_xll.meLWOBondPriceFromCleanToDirty($AD24,V24,$P24))</f>
        <v/>
      </c>
      <c r="R24" s="98" t="str">
        <f>IF($C24="","",_xll.meLWOBondYield($AD24,V24,IF($GZ24,$P24,$Q24)))</f>
        <v/>
      </c>
      <c r="S24" s="98" t="str">
        <f t="shared" ca="1" si="66"/>
        <v/>
      </c>
      <c r="T24" s="98" t="str">
        <f t="shared" ca="1" si="67"/>
        <v/>
      </c>
      <c r="U24" s="129" t="str">
        <f>IF($C24="","",_xll.BDH(D24&amp;H24&amp;" Curncy","MID",Settings.ValuationDate,Settings.ValuationDate))</f>
        <v/>
      </c>
      <c r="V24" s="127" t="str">
        <f t="shared" ca="1" si="68"/>
        <v/>
      </c>
      <c r="W24" s="98" t="str">
        <f t="shared" si="69"/>
        <v/>
      </c>
      <c r="X24" s="98" t="str">
        <f t="shared" si="70"/>
        <v/>
      </c>
      <c r="Y24" s="98" t="str">
        <f t="shared" si="71"/>
        <v/>
      </c>
      <c r="Z24" s="101">
        <v>18</v>
      </c>
      <c r="AA24" s="53" t="str">
        <f>IF($G24="","",IF(LEFT(AG24,1)="#","#LOADING",_xll.meLWOBondCreateFromLVB("PROXY_BOND_"&amp;$AI24,_xll.meUtilityLVBFromKeysValues($AF$6:$BD$6,$AF24:$BD24))))</f>
        <v/>
      </c>
      <c r="AB24" s="135" t="str">
        <f ca="1">IF($G24="","",_xll.meLWOXccySwapCreate("PROXY_XCCY_ASW_"&amp;$AI24,_xll.meUtilityLVBFromKeysAndMultipleValues($BG$6:$CN$6,$BG24:$CN24,$CP24:$DW24),_xll.meUtilityLVBFromKeysValues($W$6:$Y$6,W24:Y24)))</f>
        <v/>
      </c>
      <c r="AC24" s="53" t="str">
        <f>IF($C24="","",_xll.meLWOSwapCreate("BOND_ASW_"&amp;$GX24,_xll.meUtilityLVBFromKeysAndMultipleValues($EA$6:$FH$6,$EA24:$FH24,$FJ24:$GQ24)))</f>
        <v/>
      </c>
      <c r="AD24" s="53" t="str">
        <f>IF($C24="","",IF(LEFT(GV24,1)="#","#LOADING",_xll.meLWOBondCreateFromLVB("PROXY_BOND_"&amp;$GX24,_xll.meUtilityLVBFromKeysValues($GU$6:$HS$6,$GU24:$HS24))))</f>
        <v/>
      </c>
      <c r="AE24" t="s">
        <v>0</v>
      </c>
      <c r="AF24" s="62">
        <f t="shared" si="46"/>
        <v>0</v>
      </c>
      <c r="AG24" s="63">
        <f>IF(LEFT(_xll.BDP($G24,AG$5),1)="#","#LOADING",_xll.BDP($G24,AG$5))</f>
        <v>0</v>
      </c>
      <c r="AH24" s="41">
        <f t="shared" si="47"/>
        <v>0</v>
      </c>
      <c r="AI24" s="63">
        <f>IF(LEFT(_xll.BDP($G24,AI$5),1)="#","#LOADING",_xll.BDP($G24,AI$5))</f>
        <v>0</v>
      </c>
      <c r="AJ24" s="64" t="s">
        <v>20</v>
      </c>
      <c r="AK24" s="63" t="b">
        <f>IF(LEFT(_xll.BDP($G24,AK$5),1)="#","#LOADING",IF(_xll.BDP($G24,AK$5)="CLEAN",TRUE,FALSE))</f>
        <v>0</v>
      </c>
      <c r="AL24" s="64" t="s">
        <v>26</v>
      </c>
      <c r="AM24" s="61" t="s">
        <v>18</v>
      </c>
      <c r="AN24" s="65" t="s">
        <v>28</v>
      </c>
      <c r="AO24" s="66">
        <v>1000000</v>
      </c>
      <c r="AP24" s="63" t="e">
        <f>IF(LEFT(_xll.BDP($G24,AP$5),1)="#","#LOADING",DATEVALUE(_xll.BDP($G24,AP$5)))</f>
        <v>#VALUE!</v>
      </c>
      <c r="AQ24" s="63" t="e">
        <f>IF(LEFT(_xll.BDP($G24,AQ$5),1)="#","#LOADING",DATEVALUE(_xll.BDP($G24,AQ$5)))</f>
        <v>#VALUE!</v>
      </c>
      <c r="AR24" s="63" t="e">
        <f>IF(LEFT(_xll.BDP($G24,AR$5),1)="#","#LOADING",DATEVALUE(_xll.BDP($G24,AR$5)))</f>
        <v>#VALUE!</v>
      </c>
      <c r="AS24" s="63" t="e">
        <f>IF(LEFT(_xll.BDP($G24,AS$5),1)="#","#LOADING",DATEVALUE(_xll.BDP($G24,AS$5)))</f>
        <v>#VALUE!</v>
      </c>
      <c r="AT24" s="63" t="e">
        <f>IF(LEFT(_xll.BDP($G24,AT$5),1)="#","#LOADING",DATEVALUE(_xll.BDP($G24,AT$5)))</f>
        <v>#VALUE!</v>
      </c>
      <c r="AU24" s="67">
        <f>IF(LEFT(_xll.BDP($G24,AU$5),1)="#","#LOADING",_xll.BDP($G24,AU$5)%)</f>
        <v>0</v>
      </c>
      <c r="AV24" s="67" t="str">
        <f>IF(LEFT(_xll.BDP($G24,AV$5),1)="#","#LOADING",VLOOKUP(_xll.BDP($G24,AV$5),Static.CouponFrequency,2,FALSE))</f>
        <v>ZERO-COUPON</v>
      </c>
      <c r="AW24" s="68" t="s">
        <v>51</v>
      </c>
      <c r="AX24" s="53" t="e">
        <f t="shared" si="3"/>
        <v>#N/A</v>
      </c>
      <c r="AY24" s="61" t="s">
        <v>51</v>
      </c>
      <c r="AZ24" s="53" t="e">
        <f t="shared" si="4"/>
        <v>#N/A</v>
      </c>
      <c r="BA24" s="61" t="s">
        <v>62</v>
      </c>
      <c r="BB24" s="69">
        <f>IF(LEFT(_xll.BDP($G24,BB$5),1)="#","#LOADING",_xll.BDP($G24,BB$5))</f>
        <v>0</v>
      </c>
      <c r="BC24" s="70"/>
      <c r="BD24" s="69" t="str">
        <f>IF(LEFT(_xll.BDP($G24,BD$5),1)="#","#LOADING","Type"&amp;IF(_xll.BDP($G24,BD$5)=999,1,_xll.BDP($G24,BD$5)))</f>
        <v>Type</v>
      </c>
      <c r="BE24" s="54"/>
      <c r="BG24" s="61" t="s">
        <v>7</v>
      </c>
      <c r="BH24" s="66">
        <v>1000000</v>
      </c>
      <c r="BI24" s="61" t="s">
        <v>212</v>
      </c>
      <c r="BJ24" s="61" t="s">
        <v>17</v>
      </c>
      <c r="BK24" s="70"/>
      <c r="BL24" s="73" t="e">
        <f t="shared" si="5"/>
        <v>#N/A</v>
      </c>
      <c r="BM24" s="74">
        <f t="shared" si="6"/>
        <v>0</v>
      </c>
      <c r="BN24" s="71">
        <v>1</v>
      </c>
      <c r="BO24" s="75">
        <f t="shared" si="7"/>
        <v>0</v>
      </c>
      <c r="BP24" s="61"/>
      <c r="BQ24" s="61"/>
      <c r="BR24" s="72"/>
      <c r="BS24" s="72"/>
      <c r="BT24" s="71"/>
      <c r="BU24" s="76" t="e">
        <f t="shared" si="8"/>
        <v>#VALUE!</v>
      </c>
      <c r="BV24" s="76" t="e">
        <f t="shared" si="9"/>
        <v>#VALUE!</v>
      </c>
      <c r="BW24" s="77" t="str">
        <f t="shared" si="10"/>
        <v>ZERO-COUPON</v>
      </c>
      <c r="BX24" s="77" t="str">
        <f t="shared" si="10"/>
        <v>ZERO-COUPON</v>
      </c>
      <c r="BY24" s="78">
        <f t="shared" si="11"/>
        <v>0</v>
      </c>
      <c r="BZ24" s="61"/>
      <c r="CA24" s="61"/>
      <c r="CB24" s="61" t="s">
        <v>51</v>
      </c>
      <c r="CC24" s="73" t="e">
        <f t="shared" si="12"/>
        <v>#N/A</v>
      </c>
      <c r="CD24" s="61" t="s">
        <v>51</v>
      </c>
      <c r="CE24" s="73" t="e">
        <f t="shared" si="13"/>
        <v>#N/A</v>
      </c>
      <c r="CF24" s="76" t="e">
        <f t="shared" si="14"/>
        <v>#VALUE!</v>
      </c>
      <c r="CG24" s="76" t="e">
        <f t="shared" si="15"/>
        <v>#VALUE!</v>
      </c>
      <c r="CH24" s="70" t="s">
        <v>80</v>
      </c>
      <c r="CI24" s="61"/>
      <c r="CJ24" s="61"/>
      <c r="CK24" s="61" t="s">
        <v>62</v>
      </c>
      <c r="CL24" s="61"/>
      <c r="CM24" s="61"/>
      <c r="CN24" s="76" t="str">
        <f t="shared" si="16"/>
        <v>Type</v>
      </c>
      <c r="CP24" s="61" t="s">
        <v>8</v>
      </c>
      <c r="CQ24" s="66" t="e">
        <f t="shared" si="17"/>
        <v>#VALUE!</v>
      </c>
      <c r="CR24" s="61" t="str">
        <f t="shared" si="48"/>
        <v>END</v>
      </c>
      <c r="CS24" s="61" t="s">
        <v>18</v>
      </c>
      <c r="CT24" s="135" t="e">
        <f t="shared" si="18"/>
        <v>#N/A</v>
      </c>
      <c r="CU24" s="135" t="str">
        <f t="shared" si="49"/>
        <v>DF_CSA</v>
      </c>
      <c r="CV24" s="134">
        <f t="shared" si="50"/>
        <v>0</v>
      </c>
      <c r="CW24" s="71">
        <v>1</v>
      </c>
      <c r="CX24" s="81"/>
      <c r="CY24" s="61" t="s">
        <v>32</v>
      </c>
      <c r="CZ24" s="61" t="s">
        <v>32</v>
      </c>
      <c r="DA24" s="72"/>
      <c r="DB24" s="72"/>
      <c r="DC24" s="71"/>
      <c r="DD24" s="291" t="e">
        <f t="shared" ca="1" si="51"/>
        <v>#VALUE!</v>
      </c>
      <c r="DE24" s="291" t="e">
        <f t="shared" ca="1" si="52"/>
        <v>#VALUE!</v>
      </c>
      <c r="DF24" s="53">
        <f t="shared" si="53"/>
        <v>0</v>
      </c>
      <c r="DG24" s="82">
        <f t="shared" si="54"/>
        <v>0</v>
      </c>
      <c r="DH24" s="82" t="e">
        <f t="shared" si="55"/>
        <v>#N/A</v>
      </c>
      <c r="DI24" s="61" t="str">
        <f t="shared" si="56"/>
        <v>PRECEDING</v>
      </c>
      <c r="DJ24" s="82" t="e">
        <f t="shared" si="57"/>
        <v>#N/A</v>
      </c>
      <c r="DK24" s="61" t="str">
        <f t="shared" si="58"/>
        <v>NO_CHANGE</v>
      </c>
      <c r="DL24" s="82" t="e">
        <f t="shared" si="59"/>
        <v>#N/A</v>
      </c>
      <c r="DM24" s="61" t="str">
        <f t="shared" si="60"/>
        <v>NO_CHANGE</v>
      </c>
      <c r="DN24" s="82" t="e">
        <f t="shared" si="61"/>
        <v>#N/A</v>
      </c>
      <c r="DO24" s="82"/>
      <c r="DP24" s="82"/>
      <c r="DQ24" s="70"/>
      <c r="DR24" s="61" t="str">
        <f t="shared" si="62"/>
        <v>0D</v>
      </c>
      <c r="DS24" s="61"/>
      <c r="DT24" s="61" t="str">
        <f t="shared" si="63"/>
        <v>0D</v>
      </c>
      <c r="DU24" s="61" t="str">
        <f t="shared" si="64"/>
        <v>SHORTSTART</v>
      </c>
      <c r="DV24" s="61" t="b">
        <v>0</v>
      </c>
      <c r="DW24" s="82"/>
      <c r="EA24" s="61" t="s">
        <v>7</v>
      </c>
      <c r="EB24" s="66">
        <v>1000000</v>
      </c>
      <c r="EC24" s="61" t="s">
        <v>14</v>
      </c>
      <c r="ED24" s="61" t="s">
        <v>17</v>
      </c>
      <c r="EE24" s="70"/>
      <c r="EF24" s="73" t="e">
        <f t="shared" si="19"/>
        <v>#N/A</v>
      </c>
      <c r="EG24" s="74">
        <f t="shared" si="20"/>
        <v>0</v>
      </c>
      <c r="EH24" s="71">
        <v>1</v>
      </c>
      <c r="EI24" s="75">
        <f t="shared" si="21"/>
        <v>0</v>
      </c>
      <c r="EJ24" s="61"/>
      <c r="EK24" s="61"/>
      <c r="EL24" s="72"/>
      <c r="EM24" s="72"/>
      <c r="EN24" s="71"/>
      <c r="EO24" s="76" t="e">
        <f t="shared" si="22"/>
        <v>#VALUE!</v>
      </c>
      <c r="EP24" s="76" t="e">
        <f t="shared" si="23"/>
        <v>#VALUE!</v>
      </c>
      <c r="EQ24" s="77" t="str">
        <f t="shared" si="24"/>
        <v>ZERO-COUPON</v>
      </c>
      <c r="ER24" s="77" t="str">
        <f t="shared" si="24"/>
        <v>ZERO-COUPON</v>
      </c>
      <c r="ES24" s="78">
        <f t="shared" si="25"/>
        <v>0</v>
      </c>
      <c r="ET24" s="61"/>
      <c r="EU24" s="61"/>
      <c r="EV24" s="61" t="s">
        <v>51</v>
      </c>
      <c r="EW24" s="73" t="e">
        <f t="shared" si="26"/>
        <v>#N/A</v>
      </c>
      <c r="EX24" s="61" t="s">
        <v>51</v>
      </c>
      <c r="EY24" s="73" t="e">
        <f t="shared" si="27"/>
        <v>#N/A</v>
      </c>
      <c r="EZ24" s="76" t="e">
        <f t="shared" si="28"/>
        <v>#VALUE!</v>
      </c>
      <c r="FA24" s="76" t="e">
        <f t="shared" si="29"/>
        <v>#VALUE!</v>
      </c>
      <c r="FB24" s="70" t="s">
        <v>80</v>
      </c>
      <c r="FC24" s="61"/>
      <c r="FD24" s="61"/>
      <c r="FE24" s="61" t="s">
        <v>62</v>
      </c>
      <c r="FF24" s="61"/>
      <c r="FG24" s="61"/>
      <c r="FH24" s="76" t="str">
        <f t="shared" si="30"/>
        <v>Type</v>
      </c>
      <c r="FJ24" s="61" t="s">
        <v>8</v>
      </c>
      <c r="FK24" s="66">
        <v>1000000</v>
      </c>
      <c r="FL24" s="61" t="s">
        <v>14</v>
      </c>
      <c r="FM24" s="61" t="s">
        <v>18</v>
      </c>
      <c r="FN24" s="115" t="e">
        <f t="shared" si="31"/>
        <v>#N/A</v>
      </c>
      <c r="FO24" s="115" t="e">
        <f t="shared" si="32"/>
        <v>#N/A</v>
      </c>
      <c r="FP24" s="116">
        <f t="shared" si="65"/>
        <v>0</v>
      </c>
      <c r="FQ24" s="71">
        <v>1</v>
      </c>
      <c r="FR24" s="81"/>
      <c r="FS24" s="61" t="s">
        <v>32</v>
      </c>
      <c r="FT24" s="61" t="s">
        <v>32</v>
      </c>
      <c r="FU24" s="72"/>
      <c r="FV24" s="72"/>
      <c r="FW24" s="71"/>
      <c r="FX24" s="76" t="e">
        <f t="shared" si="33"/>
        <v>#VALUE!</v>
      </c>
      <c r="FY24" s="76" t="e">
        <f t="shared" si="34"/>
        <v>#VALUE!</v>
      </c>
      <c r="FZ24" s="73">
        <f t="shared" si="35"/>
        <v>0</v>
      </c>
      <c r="GA24" s="73">
        <f t="shared" si="35"/>
        <v>0</v>
      </c>
      <c r="GB24" s="73" t="e">
        <f t="shared" si="36"/>
        <v>#N/A</v>
      </c>
      <c r="GC24" s="61" t="s">
        <v>58</v>
      </c>
      <c r="GD24" s="73" t="e">
        <f t="shared" si="37"/>
        <v>#N/A</v>
      </c>
      <c r="GE24" s="61" t="s">
        <v>51</v>
      </c>
      <c r="GF24" s="73" t="e">
        <f t="shared" si="38"/>
        <v>#N/A</v>
      </c>
      <c r="GG24" s="61" t="s">
        <v>51</v>
      </c>
      <c r="GH24" s="73" t="e">
        <f t="shared" si="39"/>
        <v>#N/A</v>
      </c>
      <c r="GI24" s="82"/>
      <c r="GJ24" s="82"/>
      <c r="GK24" s="70"/>
      <c r="GL24" s="61" t="s">
        <v>62</v>
      </c>
      <c r="GM24" s="61"/>
      <c r="GN24" s="61" t="s">
        <v>62</v>
      </c>
      <c r="GO24" s="61" t="s">
        <v>75</v>
      </c>
      <c r="GP24" s="61" t="b">
        <v>0</v>
      </c>
      <c r="GQ24" s="82"/>
      <c r="GU24" s="95">
        <f t="shared" si="40"/>
        <v>0</v>
      </c>
      <c r="GV24" s="42">
        <f>IF(LEFT(_xll.BDP($C24,GV$5),1)="#","#LOADING",_xll.BDP($C24,GV$5))</f>
        <v>0</v>
      </c>
      <c r="GW24" s="74">
        <f t="shared" si="41"/>
        <v>0</v>
      </c>
      <c r="GX24" s="74" t="e">
        <f t="shared" si="42"/>
        <v>#VALUE!</v>
      </c>
      <c r="GY24" s="64" t="s">
        <v>20</v>
      </c>
      <c r="GZ24" s="42" t="b">
        <f>IF(LEFT(_xll.BDP($C24,GZ$5),1)="#","#LOADING",IF(_xll.BDP($C24,GZ$5)="CLEAN",TRUE,FALSE))</f>
        <v>0</v>
      </c>
      <c r="HA24" s="64" t="s">
        <v>26</v>
      </c>
      <c r="HB24" s="61" t="s">
        <v>18</v>
      </c>
      <c r="HC24" s="65" t="s">
        <v>28</v>
      </c>
      <c r="HD24" s="66">
        <v>1000000</v>
      </c>
      <c r="HE24" s="96" t="e">
        <f>IF(LEFT(_xll.BDP($C24,HE$5),1)="#","#LOADING",DATEVALUE(_xll.BDP($C24,HE$5)))</f>
        <v>#VALUE!</v>
      </c>
      <c r="HF24" s="96" t="e">
        <f>IF(LEFT(_xll.BDP($C24,HF$5),1)="#","#LOADING",DATEVALUE(_xll.BDP($C24,HF$5)))</f>
        <v>#VALUE!</v>
      </c>
      <c r="HG24" s="96" t="e">
        <f>IF(LEFT(_xll.BDP($C24,HG$5),1)="#","#LOADING",DATEVALUE(_xll.BDP($C24,HG$5)))</f>
        <v>#VALUE!</v>
      </c>
      <c r="HH24" s="96" t="e">
        <f>IF(LEFT(_xll.BDP($C24,HH$5),1)="#","#LOADING",DATEVALUE(_xll.BDP($C24,HH$5)))</f>
        <v>#VALUE!</v>
      </c>
      <c r="HI24" s="96" t="e">
        <f>IF(LEFT(_xll.BDP($C24,HI$5),1)="#","#LOADING",DATEVALUE(_xll.BDP($C24,HI$5)))</f>
        <v>#VALUE!</v>
      </c>
      <c r="HJ24" s="97">
        <f>IF(LEFT(_xll.BDP($C24,HJ$5),1)="#","#LOADING",_xll.BDP($C24,HJ$5)%)</f>
        <v>0</v>
      </c>
      <c r="HK24" s="97" t="str">
        <f>IF(LEFT(_xll.BDP($C24,HK$5),1)="#","#LOADING",VLOOKUP(_xll.BDP($C24,HK$5),Static.CouponFrequency,2,FALSE))</f>
        <v>ZERO-COUPON</v>
      </c>
      <c r="HL24" s="68" t="s">
        <v>51</v>
      </c>
      <c r="HM24" s="73" t="e">
        <f t="shared" si="43"/>
        <v>#N/A</v>
      </c>
      <c r="HN24" s="61" t="s">
        <v>51</v>
      </c>
      <c r="HO24" s="73" t="e">
        <f t="shared" si="44"/>
        <v>#N/A</v>
      </c>
      <c r="HP24" s="61" t="s">
        <v>62</v>
      </c>
      <c r="HQ24" s="43">
        <f>IF(LEFT(_xll.BDP($C24,HQ$5),1)="#","#LOADING",_xll.BDP($C24,HQ$5))</f>
        <v>0</v>
      </c>
      <c r="HR24" s="70"/>
      <c r="HS24" s="43" t="str">
        <f>IF(LEFT(_xll.BDP($C24,HS$5),1)="#","#LOADING","Type"&amp;IF(_xll.BDP($C24,HS$5)=999,1,_xll.BDP($C24,HS$5)))</f>
        <v>Type</v>
      </c>
    </row>
    <row r="25" spans="1:227">
      <c r="A25" s="101">
        <v>19</v>
      </c>
      <c r="B25" s="57"/>
      <c r="C25" s="57"/>
      <c r="D25" s="57"/>
      <c r="E25" s="57"/>
      <c r="F25" s="57"/>
      <c r="G25" s="57"/>
      <c r="H25" s="57"/>
      <c r="I25" s="57"/>
      <c r="J25" s="101">
        <v>19</v>
      </c>
      <c r="K25" s="58" t="s">
        <v>163</v>
      </c>
      <c r="L25" s="59" t="str">
        <f>IF(ISBLANK(M25),IF($G25="","",_xll.BDP(AI25&amp;" "&amp;$K25&amp;" Corp","PX_LAST")),M25)</f>
        <v/>
      </c>
      <c r="M25" s="60"/>
      <c r="N25" s="83" t="str">
        <f ca="1">IF(ISBLANK($O25),IF($G25="","",_xll.meLWOAssetSwapSpread($AB25,$AA25,$L25,_xll.meUtilityLVBFromKeysValues($S$6:$V$6,S25:V25),INDIRECT("Fixings"&amp;$D25&amp;IF($I25="QUARTERLY","3ML","6ML")))),$O25)</f>
        <v/>
      </c>
      <c r="O25" s="60"/>
      <c r="P25" s="84" t="str">
        <f ca="1">IF($C25="","",_xll.meLWOAssetSwapSpreadToCleanPrice($AC25,$N25,INDIRECT("ValuationSettings"&amp;$D25),INDIRECT("Fixings"&amp;$D25&amp;IF($E25="QUARTERLY","3ML","6ML"))))</f>
        <v/>
      </c>
      <c r="Q25" s="84" t="str">
        <f>IF($C25="","",_xll.meLWOBondPriceFromCleanToDirty($AD25,V25,$P25))</f>
        <v/>
      </c>
      <c r="R25" s="98" t="str">
        <f>IF($C25="","",_xll.meLWOBondYield($AD25,V25,IF($GZ25,$P25,$Q25)))</f>
        <v/>
      </c>
      <c r="S25" s="98" t="str">
        <f t="shared" ca="1" si="66"/>
        <v/>
      </c>
      <c r="T25" s="98" t="str">
        <f t="shared" ca="1" si="67"/>
        <v/>
      </c>
      <c r="U25" s="129" t="str">
        <f>IF($C25="","",_xll.BDH(D25&amp;H25&amp;" Curncy","MID",Settings.ValuationDate,Settings.ValuationDate))</f>
        <v/>
      </c>
      <c r="V25" s="127" t="str">
        <f t="shared" ca="1" si="68"/>
        <v/>
      </c>
      <c r="W25" s="98" t="str">
        <f t="shared" si="69"/>
        <v/>
      </c>
      <c r="X25" s="98" t="str">
        <f t="shared" si="70"/>
        <v/>
      </c>
      <c r="Y25" s="98" t="str">
        <f t="shared" si="71"/>
        <v/>
      </c>
      <c r="Z25" s="101">
        <v>19</v>
      </c>
      <c r="AA25" s="53" t="str">
        <f>IF($G25="","",IF(LEFT(AG25,1)="#","#LOADING",_xll.meLWOBondCreateFromLVB("PROXY_BOND_"&amp;$AI25,_xll.meUtilityLVBFromKeysValues($AF$6:$BD$6,$AF25:$BD25))))</f>
        <v/>
      </c>
      <c r="AB25" s="135" t="str">
        <f ca="1">IF($G25="","",_xll.meLWOXccySwapCreate("PROXY_XCCY_ASW_"&amp;$AI25,_xll.meUtilityLVBFromKeysAndMultipleValues($BG$6:$CN$6,$BG25:$CN25,$CP25:$DW25),_xll.meUtilityLVBFromKeysValues($W$6:$Y$6,W25:Y25)))</f>
        <v/>
      </c>
      <c r="AC25" s="53" t="str">
        <f>IF($C25="","",_xll.meLWOSwapCreate("BOND_ASW_"&amp;$GX25,_xll.meUtilityLVBFromKeysAndMultipleValues($EA$6:$FH$6,$EA25:$FH25,$FJ25:$GQ25)))</f>
        <v/>
      </c>
      <c r="AD25" s="53" t="str">
        <f>IF($C25="","",IF(LEFT(GV25,1)="#","#LOADING",_xll.meLWOBondCreateFromLVB("PROXY_BOND_"&amp;$GX25,_xll.meUtilityLVBFromKeysValues($GU$6:$HS$6,$GU25:$HS25))))</f>
        <v/>
      </c>
      <c r="AE25" t="s">
        <v>0</v>
      </c>
      <c r="AF25" s="62">
        <f t="shared" si="46"/>
        <v>0</v>
      </c>
      <c r="AG25" s="63">
        <f>IF(LEFT(_xll.BDP($G25,AG$5),1)="#","#LOADING",_xll.BDP($G25,AG$5))</f>
        <v>0</v>
      </c>
      <c r="AH25" s="41">
        <f t="shared" si="47"/>
        <v>0</v>
      </c>
      <c r="AI25" s="63">
        <f>IF(LEFT(_xll.BDP($G25,AI$5),1)="#","#LOADING",_xll.BDP($G25,AI$5))</f>
        <v>0</v>
      </c>
      <c r="AJ25" s="64" t="s">
        <v>20</v>
      </c>
      <c r="AK25" s="63" t="b">
        <f>IF(LEFT(_xll.BDP($G25,AK$5),1)="#","#LOADING",IF(_xll.BDP($G25,AK$5)="CLEAN",TRUE,FALSE))</f>
        <v>0</v>
      </c>
      <c r="AL25" s="64" t="s">
        <v>26</v>
      </c>
      <c r="AM25" s="61" t="s">
        <v>18</v>
      </c>
      <c r="AN25" s="65" t="s">
        <v>28</v>
      </c>
      <c r="AO25" s="66">
        <v>1000000</v>
      </c>
      <c r="AP25" s="63" t="e">
        <f>IF(LEFT(_xll.BDP($G25,AP$5),1)="#","#LOADING",DATEVALUE(_xll.BDP($G25,AP$5)))</f>
        <v>#VALUE!</v>
      </c>
      <c r="AQ25" s="63" t="e">
        <f>IF(LEFT(_xll.BDP($G25,AQ$5),1)="#","#LOADING",DATEVALUE(_xll.BDP($G25,AQ$5)))</f>
        <v>#VALUE!</v>
      </c>
      <c r="AR25" s="63" t="e">
        <f>IF(LEFT(_xll.BDP($G25,AR$5),1)="#","#LOADING",DATEVALUE(_xll.BDP($G25,AR$5)))</f>
        <v>#VALUE!</v>
      </c>
      <c r="AS25" s="63" t="e">
        <f>IF(LEFT(_xll.BDP($G25,AS$5),1)="#","#LOADING",DATEVALUE(_xll.BDP($G25,AS$5)))</f>
        <v>#VALUE!</v>
      </c>
      <c r="AT25" s="63" t="e">
        <f>IF(LEFT(_xll.BDP($G25,AT$5),1)="#","#LOADING",DATEVALUE(_xll.BDP($G25,AT$5)))</f>
        <v>#VALUE!</v>
      </c>
      <c r="AU25" s="67">
        <f>IF(LEFT(_xll.BDP($G25,AU$5),1)="#","#LOADING",_xll.BDP($G25,AU$5)%)</f>
        <v>0</v>
      </c>
      <c r="AV25" s="67" t="str">
        <f>IF(LEFT(_xll.BDP($G25,AV$5),1)="#","#LOADING",VLOOKUP(_xll.BDP($G25,AV$5),Static.CouponFrequency,2,FALSE))</f>
        <v>ZERO-COUPON</v>
      </c>
      <c r="AW25" s="68" t="s">
        <v>51</v>
      </c>
      <c r="AX25" s="53" t="e">
        <f t="shared" si="3"/>
        <v>#N/A</v>
      </c>
      <c r="AY25" s="61" t="s">
        <v>51</v>
      </c>
      <c r="AZ25" s="53" t="e">
        <f t="shared" si="4"/>
        <v>#N/A</v>
      </c>
      <c r="BA25" s="61" t="s">
        <v>62</v>
      </c>
      <c r="BB25" s="69">
        <f>IF(LEFT(_xll.BDP($G25,BB$5),1)="#","#LOADING",_xll.BDP($G25,BB$5))</f>
        <v>0</v>
      </c>
      <c r="BC25" s="70"/>
      <c r="BD25" s="69" t="str">
        <f>IF(LEFT(_xll.BDP($G25,BD$5),1)="#","#LOADING","Type"&amp;IF(_xll.BDP($G25,BD$5)=999,1,_xll.BDP($G25,BD$5)))</f>
        <v>Type</v>
      </c>
      <c r="BE25" s="54"/>
      <c r="BG25" s="61" t="s">
        <v>7</v>
      </c>
      <c r="BH25" s="66">
        <v>1000000</v>
      </c>
      <c r="BI25" s="61" t="s">
        <v>212</v>
      </c>
      <c r="BJ25" s="61" t="s">
        <v>17</v>
      </c>
      <c r="BK25" s="70"/>
      <c r="BL25" s="73" t="e">
        <f t="shared" si="5"/>
        <v>#N/A</v>
      </c>
      <c r="BM25" s="74">
        <f t="shared" si="6"/>
        <v>0</v>
      </c>
      <c r="BN25" s="71">
        <v>1</v>
      </c>
      <c r="BO25" s="75">
        <f t="shared" si="7"/>
        <v>0</v>
      </c>
      <c r="BP25" s="61"/>
      <c r="BQ25" s="61"/>
      <c r="BR25" s="72"/>
      <c r="BS25" s="72"/>
      <c r="BT25" s="71"/>
      <c r="BU25" s="76" t="e">
        <f t="shared" si="8"/>
        <v>#VALUE!</v>
      </c>
      <c r="BV25" s="76" t="e">
        <f t="shared" si="9"/>
        <v>#VALUE!</v>
      </c>
      <c r="BW25" s="77" t="str">
        <f t="shared" si="10"/>
        <v>ZERO-COUPON</v>
      </c>
      <c r="BX25" s="77" t="str">
        <f t="shared" si="10"/>
        <v>ZERO-COUPON</v>
      </c>
      <c r="BY25" s="78">
        <f t="shared" si="11"/>
        <v>0</v>
      </c>
      <c r="BZ25" s="61"/>
      <c r="CA25" s="61"/>
      <c r="CB25" s="61" t="s">
        <v>51</v>
      </c>
      <c r="CC25" s="73" t="e">
        <f t="shared" si="12"/>
        <v>#N/A</v>
      </c>
      <c r="CD25" s="61" t="s">
        <v>51</v>
      </c>
      <c r="CE25" s="73" t="e">
        <f t="shared" si="13"/>
        <v>#N/A</v>
      </c>
      <c r="CF25" s="76" t="e">
        <f t="shared" si="14"/>
        <v>#VALUE!</v>
      </c>
      <c r="CG25" s="76" t="e">
        <f t="shared" si="15"/>
        <v>#VALUE!</v>
      </c>
      <c r="CH25" s="70" t="s">
        <v>80</v>
      </c>
      <c r="CI25" s="61"/>
      <c r="CJ25" s="61"/>
      <c r="CK25" s="61" t="s">
        <v>62</v>
      </c>
      <c r="CL25" s="61"/>
      <c r="CM25" s="61"/>
      <c r="CN25" s="76" t="str">
        <f t="shared" si="16"/>
        <v>Type</v>
      </c>
      <c r="CP25" s="61" t="s">
        <v>8</v>
      </c>
      <c r="CQ25" s="66" t="e">
        <f t="shared" si="17"/>
        <v>#VALUE!</v>
      </c>
      <c r="CR25" s="61" t="str">
        <f t="shared" si="48"/>
        <v>END</v>
      </c>
      <c r="CS25" s="61" t="s">
        <v>18</v>
      </c>
      <c r="CT25" s="135" t="e">
        <f t="shared" si="18"/>
        <v>#N/A</v>
      </c>
      <c r="CU25" s="135" t="str">
        <f t="shared" si="49"/>
        <v>DF_CSA</v>
      </c>
      <c r="CV25" s="134">
        <f t="shared" si="50"/>
        <v>0</v>
      </c>
      <c r="CW25" s="71">
        <v>1</v>
      </c>
      <c r="CX25" s="81"/>
      <c r="CY25" s="61" t="s">
        <v>32</v>
      </c>
      <c r="CZ25" s="61" t="s">
        <v>32</v>
      </c>
      <c r="DA25" s="72"/>
      <c r="DB25" s="72"/>
      <c r="DC25" s="71"/>
      <c r="DD25" s="291" t="e">
        <f t="shared" ca="1" si="51"/>
        <v>#VALUE!</v>
      </c>
      <c r="DE25" s="291" t="e">
        <f t="shared" ca="1" si="52"/>
        <v>#VALUE!</v>
      </c>
      <c r="DF25" s="53">
        <f t="shared" si="53"/>
        <v>0</v>
      </c>
      <c r="DG25" s="82">
        <f t="shared" si="54"/>
        <v>0</v>
      </c>
      <c r="DH25" s="82" t="e">
        <f t="shared" si="55"/>
        <v>#N/A</v>
      </c>
      <c r="DI25" s="61" t="str">
        <f t="shared" si="56"/>
        <v>PRECEDING</v>
      </c>
      <c r="DJ25" s="82" t="e">
        <f t="shared" si="57"/>
        <v>#N/A</v>
      </c>
      <c r="DK25" s="61" t="str">
        <f t="shared" si="58"/>
        <v>NO_CHANGE</v>
      </c>
      <c r="DL25" s="82" t="e">
        <f t="shared" si="59"/>
        <v>#N/A</v>
      </c>
      <c r="DM25" s="61" t="str">
        <f t="shared" si="60"/>
        <v>NO_CHANGE</v>
      </c>
      <c r="DN25" s="82" t="e">
        <f t="shared" si="61"/>
        <v>#N/A</v>
      </c>
      <c r="DO25" s="82"/>
      <c r="DP25" s="82"/>
      <c r="DQ25" s="70"/>
      <c r="DR25" s="61" t="str">
        <f t="shared" si="62"/>
        <v>0D</v>
      </c>
      <c r="DS25" s="61"/>
      <c r="DT25" s="61" t="str">
        <f t="shared" si="63"/>
        <v>0D</v>
      </c>
      <c r="DU25" s="61" t="str">
        <f t="shared" si="64"/>
        <v>SHORTSTART</v>
      </c>
      <c r="DV25" s="61" t="b">
        <v>0</v>
      </c>
      <c r="DW25" s="82"/>
      <c r="EA25" s="61" t="s">
        <v>7</v>
      </c>
      <c r="EB25" s="66">
        <v>1000000</v>
      </c>
      <c r="EC25" s="61" t="s">
        <v>14</v>
      </c>
      <c r="ED25" s="61" t="s">
        <v>17</v>
      </c>
      <c r="EE25" s="70"/>
      <c r="EF25" s="73" t="e">
        <f t="shared" si="19"/>
        <v>#N/A</v>
      </c>
      <c r="EG25" s="74">
        <f t="shared" si="20"/>
        <v>0</v>
      </c>
      <c r="EH25" s="71">
        <v>1</v>
      </c>
      <c r="EI25" s="75">
        <f t="shared" si="21"/>
        <v>0</v>
      </c>
      <c r="EJ25" s="61"/>
      <c r="EK25" s="61"/>
      <c r="EL25" s="72"/>
      <c r="EM25" s="72"/>
      <c r="EN25" s="71"/>
      <c r="EO25" s="76" t="e">
        <f t="shared" si="22"/>
        <v>#VALUE!</v>
      </c>
      <c r="EP25" s="76" t="e">
        <f t="shared" si="23"/>
        <v>#VALUE!</v>
      </c>
      <c r="EQ25" s="77" t="str">
        <f t="shared" si="24"/>
        <v>ZERO-COUPON</v>
      </c>
      <c r="ER25" s="77" t="str">
        <f t="shared" si="24"/>
        <v>ZERO-COUPON</v>
      </c>
      <c r="ES25" s="78">
        <f t="shared" si="25"/>
        <v>0</v>
      </c>
      <c r="ET25" s="61"/>
      <c r="EU25" s="61"/>
      <c r="EV25" s="61" t="s">
        <v>51</v>
      </c>
      <c r="EW25" s="73" t="e">
        <f t="shared" si="26"/>
        <v>#N/A</v>
      </c>
      <c r="EX25" s="61" t="s">
        <v>51</v>
      </c>
      <c r="EY25" s="73" t="e">
        <f t="shared" si="27"/>
        <v>#N/A</v>
      </c>
      <c r="EZ25" s="76" t="e">
        <f t="shared" si="28"/>
        <v>#VALUE!</v>
      </c>
      <c r="FA25" s="76" t="e">
        <f t="shared" si="29"/>
        <v>#VALUE!</v>
      </c>
      <c r="FB25" s="70" t="s">
        <v>80</v>
      </c>
      <c r="FC25" s="61"/>
      <c r="FD25" s="61"/>
      <c r="FE25" s="61" t="s">
        <v>62</v>
      </c>
      <c r="FF25" s="61"/>
      <c r="FG25" s="61"/>
      <c r="FH25" s="76" t="str">
        <f t="shared" si="30"/>
        <v>Type</v>
      </c>
      <c r="FJ25" s="61" t="s">
        <v>8</v>
      </c>
      <c r="FK25" s="66">
        <v>1000000</v>
      </c>
      <c r="FL25" s="61" t="s">
        <v>14</v>
      </c>
      <c r="FM25" s="61" t="s">
        <v>18</v>
      </c>
      <c r="FN25" s="115" t="e">
        <f t="shared" si="31"/>
        <v>#N/A</v>
      </c>
      <c r="FO25" s="115" t="e">
        <f t="shared" si="32"/>
        <v>#N/A</v>
      </c>
      <c r="FP25" s="116">
        <f t="shared" si="65"/>
        <v>0</v>
      </c>
      <c r="FQ25" s="71">
        <v>1</v>
      </c>
      <c r="FR25" s="81"/>
      <c r="FS25" s="61" t="s">
        <v>32</v>
      </c>
      <c r="FT25" s="61" t="s">
        <v>32</v>
      </c>
      <c r="FU25" s="72"/>
      <c r="FV25" s="72"/>
      <c r="FW25" s="71"/>
      <c r="FX25" s="76" t="e">
        <f t="shared" si="33"/>
        <v>#VALUE!</v>
      </c>
      <c r="FY25" s="76" t="e">
        <f t="shared" si="34"/>
        <v>#VALUE!</v>
      </c>
      <c r="FZ25" s="73">
        <f t="shared" si="35"/>
        <v>0</v>
      </c>
      <c r="GA25" s="73">
        <f t="shared" si="35"/>
        <v>0</v>
      </c>
      <c r="GB25" s="73" t="e">
        <f t="shared" si="36"/>
        <v>#N/A</v>
      </c>
      <c r="GC25" s="61" t="s">
        <v>58</v>
      </c>
      <c r="GD25" s="73" t="e">
        <f t="shared" si="37"/>
        <v>#N/A</v>
      </c>
      <c r="GE25" s="61" t="s">
        <v>51</v>
      </c>
      <c r="GF25" s="73" t="e">
        <f t="shared" si="38"/>
        <v>#N/A</v>
      </c>
      <c r="GG25" s="61" t="s">
        <v>51</v>
      </c>
      <c r="GH25" s="73" t="e">
        <f t="shared" si="39"/>
        <v>#N/A</v>
      </c>
      <c r="GI25" s="82"/>
      <c r="GJ25" s="82"/>
      <c r="GK25" s="70"/>
      <c r="GL25" s="61" t="s">
        <v>62</v>
      </c>
      <c r="GM25" s="61"/>
      <c r="GN25" s="61" t="s">
        <v>62</v>
      </c>
      <c r="GO25" s="61" t="s">
        <v>75</v>
      </c>
      <c r="GP25" s="61" t="b">
        <v>0</v>
      </c>
      <c r="GQ25" s="82"/>
      <c r="GU25" s="95">
        <f t="shared" si="40"/>
        <v>0</v>
      </c>
      <c r="GV25" s="42">
        <f>IF(LEFT(_xll.BDP($C25,GV$5),1)="#","#LOADING",_xll.BDP($C25,GV$5))</f>
        <v>0</v>
      </c>
      <c r="GW25" s="74">
        <f t="shared" si="41"/>
        <v>0</v>
      </c>
      <c r="GX25" s="74" t="e">
        <f t="shared" si="42"/>
        <v>#VALUE!</v>
      </c>
      <c r="GY25" s="64" t="s">
        <v>20</v>
      </c>
      <c r="GZ25" s="42" t="b">
        <f>IF(LEFT(_xll.BDP($C25,GZ$5),1)="#","#LOADING",IF(_xll.BDP($C25,GZ$5)="CLEAN",TRUE,FALSE))</f>
        <v>0</v>
      </c>
      <c r="HA25" s="64" t="s">
        <v>26</v>
      </c>
      <c r="HB25" s="61" t="s">
        <v>18</v>
      </c>
      <c r="HC25" s="65" t="s">
        <v>28</v>
      </c>
      <c r="HD25" s="66">
        <v>1000000</v>
      </c>
      <c r="HE25" s="96" t="e">
        <f>IF(LEFT(_xll.BDP($C25,HE$5),1)="#","#LOADING",DATEVALUE(_xll.BDP($C25,HE$5)))</f>
        <v>#VALUE!</v>
      </c>
      <c r="HF25" s="96" t="e">
        <f>IF(LEFT(_xll.BDP($C25,HF$5),1)="#","#LOADING",DATEVALUE(_xll.BDP($C25,HF$5)))</f>
        <v>#VALUE!</v>
      </c>
      <c r="HG25" s="96" t="e">
        <f>IF(LEFT(_xll.BDP($C25,HG$5),1)="#","#LOADING",DATEVALUE(_xll.BDP($C25,HG$5)))</f>
        <v>#VALUE!</v>
      </c>
      <c r="HH25" s="96" t="e">
        <f>IF(LEFT(_xll.BDP($C25,HH$5),1)="#","#LOADING",DATEVALUE(_xll.BDP($C25,HH$5)))</f>
        <v>#VALUE!</v>
      </c>
      <c r="HI25" s="96" t="e">
        <f>IF(LEFT(_xll.BDP($C25,HI$5),1)="#","#LOADING",DATEVALUE(_xll.BDP($C25,HI$5)))</f>
        <v>#VALUE!</v>
      </c>
      <c r="HJ25" s="97">
        <f>IF(LEFT(_xll.BDP($C25,HJ$5),1)="#","#LOADING",_xll.BDP($C25,HJ$5)%)</f>
        <v>0</v>
      </c>
      <c r="HK25" s="97" t="str">
        <f>IF(LEFT(_xll.BDP($C25,HK$5),1)="#","#LOADING",VLOOKUP(_xll.BDP($C25,HK$5),Static.CouponFrequency,2,FALSE))</f>
        <v>ZERO-COUPON</v>
      </c>
      <c r="HL25" s="68" t="s">
        <v>51</v>
      </c>
      <c r="HM25" s="73" t="e">
        <f t="shared" si="43"/>
        <v>#N/A</v>
      </c>
      <c r="HN25" s="61" t="s">
        <v>51</v>
      </c>
      <c r="HO25" s="73" t="e">
        <f t="shared" si="44"/>
        <v>#N/A</v>
      </c>
      <c r="HP25" s="61" t="s">
        <v>62</v>
      </c>
      <c r="HQ25" s="43">
        <f>IF(LEFT(_xll.BDP($C25,HQ$5),1)="#","#LOADING",_xll.BDP($C25,HQ$5))</f>
        <v>0</v>
      </c>
      <c r="HR25" s="70"/>
      <c r="HS25" s="43" t="str">
        <f>IF(LEFT(_xll.BDP($C25,HS$5),1)="#","#LOADING","Type"&amp;IF(_xll.BDP($C25,HS$5)=999,1,_xll.BDP($C25,HS$5)))</f>
        <v>Type</v>
      </c>
    </row>
    <row r="26" spans="1:227">
      <c r="A26" s="101">
        <v>20</v>
      </c>
      <c r="B26" s="57"/>
      <c r="C26" s="57"/>
      <c r="D26" s="57"/>
      <c r="E26" s="57"/>
      <c r="F26" s="57"/>
      <c r="G26" s="57"/>
      <c r="H26" s="57"/>
      <c r="I26" s="57"/>
      <c r="J26" s="101">
        <v>20</v>
      </c>
      <c r="K26" s="58" t="s">
        <v>163</v>
      </c>
      <c r="L26" s="59" t="str">
        <f>IF(ISBLANK(M26),IF($G26="","",_xll.BDP(AI26&amp;" "&amp;$K26&amp;" Corp","PX_LAST")),M26)</f>
        <v/>
      </c>
      <c r="M26" s="60"/>
      <c r="N26" s="83" t="str">
        <f ca="1">IF(ISBLANK($O26),IF($G26="","",_xll.meLWOAssetSwapSpread($AB26,$AA26,$L26,_xll.meUtilityLVBFromKeysValues($S$6:$V$6,S26:V26),INDIRECT("Fixings"&amp;$D26&amp;IF($I26="QUARTERLY","3ML","6ML")))),$O26)</f>
        <v/>
      </c>
      <c r="O26" s="60"/>
      <c r="P26" s="84" t="str">
        <f ca="1">IF($C26="","",_xll.meLWOAssetSwapSpreadToCleanPrice($AC26,$N26,INDIRECT("ValuationSettings"&amp;$D26),INDIRECT("Fixings"&amp;$D26&amp;IF($E26="QUARTERLY","3ML","6ML"))))</f>
        <v/>
      </c>
      <c r="Q26" s="84" t="str">
        <f>IF($C26="","",_xll.meLWOBondPriceFromCleanToDirty($AD26,V26,$P26))</f>
        <v/>
      </c>
      <c r="R26" s="98" t="str">
        <f>IF($C26="","",_xll.meLWOBondYield($AD26,V26,IF($GZ26,$P26,$Q26)))</f>
        <v/>
      </c>
      <c r="S26" s="98" t="str">
        <f t="shared" ca="1" si="66"/>
        <v/>
      </c>
      <c r="T26" s="98" t="str">
        <f t="shared" ca="1" si="67"/>
        <v/>
      </c>
      <c r="U26" s="129" t="str">
        <f>IF($C26="","",_xll.BDH(D26&amp;H26&amp;" Curncy","MID",Settings.ValuationDate,Settings.ValuationDate))</f>
        <v/>
      </c>
      <c r="V26" s="127" t="str">
        <f t="shared" ca="1" si="68"/>
        <v/>
      </c>
      <c r="W26" s="98" t="str">
        <f t="shared" si="69"/>
        <v/>
      </c>
      <c r="X26" s="98" t="str">
        <f t="shared" si="70"/>
        <v/>
      </c>
      <c r="Y26" s="98" t="str">
        <f t="shared" si="71"/>
        <v/>
      </c>
      <c r="Z26" s="101">
        <v>20</v>
      </c>
      <c r="AA26" s="53" t="str">
        <f>IF($G26="","",IF(LEFT(AG26,1)="#","#LOADING",_xll.meLWOBondCreateFromLVB("PROXY_BOND_"&amp;$AI26,_xll.meUtilityLVBFromKeysValues($AF$6:$BD$6,$AF26:$BD26))))</f>
        <v/>
      </c>
      <c r="AB26" s="135" t="str">
        <f ca="1">IF($G26="","",_xll.meLWOXccySwapCreate("PROXY_XCCY_ASW_"&amp;$AI26,_xll.meUtilityLVBFromKeysAndMultipleValues($BG$6:$CN$6,$BG26:$CN26,$CP26:$DW26),_xll.meUtilityLVBFromKeysValues($W$6:$Y$6,W26:Y26)))</f>
        <v/>
      </c>
      <c r="AC26" s="53" t="str">
        <f>IF($C26="","",_xll.meLWOSwapCreate("BOND_ASW_"&amp;$GX26,_xll.meUtilityLVBFromKeysAndMultipleValues($EA$6:$FH$6,$EA26:$FH26,$FJ26:$GQ26)))</f>
        <v/>
      </c>
      <c r="AD26" s="53" t="str">
        <f>IF($C26="","",IF(LEFT(GV26,1)="#","#LOADING",_xll.meLWOBondCreateFromLVB("PROXY_BOND_"&amp;$GX26,_xll.meUtilityLVBFromKeysValues($GU$6:$HS$6,$GU26:$HS26))))</f>
        <v/>
      </c>
      <c r="AE26" t="s">
        <v>0</v>
      </c>
      <c r="AF26" s="62">
        <f t="shared" si="46"/>
        <v>0</v>
      </c>
      <c r="AG26" s="63">
        <f>IF(LEFT(_xll.BDP($G26,AG$5),1)="#","#LOADING",_xll.BDP($G26,AG$5))</f>
        <v>0</v>
      </c>
      <c r="AH26" s="41">
        <f t="shared" si="47"/>
        <v>0</v>
      </c>
      <c r="AI26" s="63">
        <f>IF(LEFT(_xll.BDP($G26,AI$5),1)="#","#LOADING",_xll.BDP($G26,AI$5))</f>
        <v>0</v>
      </c>
      <c r="AJ26" s="64" t="s">
        <v>20</v>
      </c>
      <c r="AK26" s="63" t="b">
        <f>IF(LEFT(_xll.BDP($G26,AK$5),1)="#","#LOADING",IF(_xll.BDP($G26,AK$5)="CLEAN",TRUE,FALSE))</f>
        <v>0</v>
      </c>
      <c r="AL26" s="64" t="s">
        <v>26</v>
      </c>
      <c r="AM26" s="61" t="s">
        <v>18</v>
      </c>
      <c r="AN26" s="65" t="s">
        <v>28</v>
      </c>
      <c r="AO26" s="66">
        <v>1000000</v>
      </c>
      <c r="AP26" s="63" t="e">
        <f>IF(LEFT(_xll.BDP($G26,AP$5),1)="#","#LOADING",DATEVALUE(_xll.BDP($G26,AP$5)))</f>
        <v>#VALUE!</v>
      </c>
      <c r="AQ26" s="63" t="e">
        <f>IF(LEFT(_xll.BDP($G26,AQ$5),1)="#","#LOADING",DATEVALUE(_xll.BDP($G26,AQ$5)))</f>
        <v>#VALUE!</v>
      </c>
      <c r="AR26" s="63" t="e">
        <f>IF(LEFT(_xll.BDP($G26,AR$5),1)="#","#LOADING",DATEVALUE(_xll.BDP($G26,AR$5)))</f>
        <v>#VALUE!</v>
      </c>
      <c r="AS26" s="63" t="e">
        <f>IF(LEFT(_xll.BDP($G26,AS$5),1)="#","#LOADING",DATEVALUE(_xll.BDP($G26,AS$5)))</f>
        <v>#VALUE!</v>
      </c>
      <c r="AT26" s="63" t="e">
        <f>IF(LEFT(_xll.BDP($G26,AT$5),1)="#","#LOADING",DATEVALUE(_xll.BDP($G26,AT$5)))</f>
        <v>#VALUE!</v>
      </c>
      <c r="AU26" s="67">
        <f>IF(LEFT(_xll.BDP($G26,AU$5),1)="#","#LOADING",_xll.BDP($G26,AU$5)%)</f>
        <v>0</v>
      </c>
      <c r="AV26" s="67" t="str">
        <f>IF(LEFT(_xll.BDP($G26,AV$5),1)="#","#LOADING",VLOOKUP(_xll.BDP($G26,AV$5),Static.CouponFrequency,2,FALSE))</f>
        <v>ZERO-COUPON</v>
      </c>
      <c r="AW26" s="68" t="s">
        <v>51</v>
      </c>
      <c r="AX26" s="53" t="e">
        <f t="shared" si="3"/>
        <v>#N/A</v>
      </c>
      <c r="AY26" s="61" t="s">
        <v>51</v>
      </c>
      <c r="AZ26" s="53" t="e">
        <f t="shared" si="4"/>
        <v>#N/A</v>
      </c>
      <c r="BA26" s="61" t="s">
        <v>62</v>
      </c>
      <c r="BB26" s="69">
        <f>IF(LEFT(_xll.BDP($G26,BB$5),1)="#","#LOADING",_xll.BDP($G26,BB$5))</f>
        <v>0</v>
      </c>
      <c r="BC26" s="70"/>
      <c r="BD26" s="69" t="str">
        <f>IF(LEFT(_xll.BDP($G26,BD$5),1)="#","#LOADING","Type"&amp;IF(_xll.BDP($G26,BD$5)=999,1,_xll.BDP($G26,BD$5)))</f>
        <v>Type</v>
      </c>
      <c r="BE26" s="54"/>
      <c r="BG26" s="61" t="s">
        <v>7</v>
      </c>
      <c r="BH26" s="66">
        <v>1000000</v>
      </c>
      <c r="BI26" s="61" t="s">
        <v>212</v>
      </c>
      <c r="BJ26" s="61" t="s">
        <v>17</v>
      </c>
      <c r="BK26" s="70"/>
      <c r="BL26" s="73" t="e">
        <f t="shared" si="5"/>
        <v>#N/A</v>
      </c>
      <c r="BM26" s="74">
        <f t="shared" si="6"/>
        <v>0</v>
      </c>
      <c r="BN26" s="71">
        <v>1</v>
      </c>
      <c r="BO26" s="75">
        <f t="shared" si="7"/>
        <v>0</v>
      </c>
      <c r="BP26" s="61"/>
      <c r="BQ26" s="61"/>
      <c r="BR26" s="72"/>
      <c r="BS26" s="72"/>
      <c r="BT26" s="71"/>
      <c r="BU26" s="76" t="e">
        <f t="shared" si="8"/>
        <v>#VALUE!</v>
      </c>
      <c r="BV26" s="76" t="e">
        <f t="shared" si="9"/>
        <v>#VALUE!</v>
      </c>
      <c r="BW26" s="77" t="str">
        <f t="shared" si="10"/>
        <v>ZERO-COUPON</v>
      </c>
      <c r="BX26" s="77" t="str">
        <f t="shared" si="10"/>
        <v>ZERO-COUPON</v>
      </c>
      <c r="BY26" s="78">
        <f t="shared" si="11"/>
        <v>0</v>
      </c>
      <c r="BZ26" s="61"/>
      <c r="CA26" s="61"/>
      <c r="CB26" s="61" t="s">
        <v>51</v>
      </c>
      <c r="CC26" s="73" t="e">
        <f t="shared" si="12"/>
        <v>#N/A</v>
      </c>
      <c r="CD26" s="61" t="s">
        <v>51</v>
      </c>
      <c r="CE26" s="73" t="e">
        <f t="shared" si="13"/>
        <v>#N/A</v>
      </c>
      <c r="CF26" s="76" t="e">
        <f t="shared" si="14"/>
        <v>#VALUE!</v>
      </c>
      <c r="CG26" s="76" t="e">
        <f t="shared" si="15"/>
        <v>#VALUE!</v>
      </c>
      <c r="CH26" s="70" t="s">
        <v>80</v>
      </c>
      <c r="CI26" s="61"/>
      <c r="CJ26" s="61"/>
      <c r="CK26" s="61" t="s">
        <v>62</v>
      </c>
      <c r="CL26" s="61"/>
      <c r="CM26" s="61"/>
      <c r="CN26" s="76" t="str">
        <f t="shared" si="16"/>
        <v>Type</v>
      </c>
      <c r="CP26" s="61" t="s">
        <v>8</v>
      </c>
      <c r="CQ26" s="66" t="e">
        <f t="shared" si="17"/>
        <v>#VALUE!</v>
      </c>
      <c r="CR26" s="61" t="str">
        <f t="shared" si="48"/>
        <v>END</v>
      </c>
      <c r="CS26" s="61" t="s">
        <v>18</v>
      </c>
      <c r="CT26" s="135" t="e">
        <f t="shared" si="18"/>
        <v>#N/A</v>
      </c>
      <c r="CU26" s="135" t="str">
        <f t="shared" si="49"/>
        <v>DF_CSA</v>
      </c>
      <c r="CV26" s="134">
        <f t="shared" si="50"/>
        <v>0</v>
      </c>
      <c r="CW26" s="71">
        <v>1</v>
      </c>
      <c r="CX26" s="81"/>
      <c r="CY26" s="61" t="s">
        <v>32</v>
      </c>
      <c r="CZ26" s="61" t="s">
        <v>32</v>
      </c>
      <c r="DA26" s="72"/>
      <c r="DB26" s="72"/>
      <c r="DC26" s="71"/>
      <c r="DD26" s="291" t="e">
        <f t="shared" ca="1" si="51"/>
        <v>#VALUE!</v>
      </c>
      <c r="DE26" s="291" t="e">
        <f t="shared" ca="1" si="52"/>
        <v>#VALUE!</v>
      </c>
      <c r="DF26" s="53">
        <f t="shared" si="53"/>
        <v>0</v>
      </c>
      <c r="DG26" s="82">
        <f t="shared" si="54"/>
        <v>0</v>
      </c>
      <c r="DH26" s="82" t="e">
        <f t="shared" si="55"/>
        <v>#N/A</v>
      </c>
      <c r="DI26" s="61" t="str">
        <f t="shared" si="56"/>
        <v>PRECEDING</v>
      </c>
      <c r="DJ26" s="82" t="e">
        <f t="shared" si="57"/>
        <v>#N/A</v>
      </c>
      <c r="DK26" s="61" t="str">
        <f t="shared" si="58"/>
        <v>NO_CHANGE</v>
      </c>
      <c r="DL26" s="82" t="e">
        <f t="shared" si="59"/>
        <v>#N/A</v>
      </c>
      <c r="DM26" s="61" t="str">
        <f t="shared" si="60"/>
        <v>NO_CHANGE</v>
      </c>
      <c r="DN26" s="82" t="e">
        <f t="shared" si="61"/>
        <v>#N/A</v>
      </c>
      <c r="DO26" s="82"/>
      <c r="DP26" s="82"/>
      <c r="DQ26" s="70"/>
      <c r="DR26" s="61" t="str">
        <f t="shared" si="62"/>
        <v>0D</v>
      </c>
      <c r="DS26" s="61"/>
      <c r="DT26" s="61" t="str">
        <f t="shared" si="63"/>
        <v>0D</v>
      </c>
      <c r="DU26" s="61" t="str">
        <f t="shared" si="64"/>
        <v>SHORTSTART</v>
      </c>
      <c r="DV26" s="61" t="b">
        <v>0</v>
      </c>
      <c r="DW26" s="82"/>
      <c r="EA26" s="61" t="s">
        <v>7</v>
      </c>
      <c r="EB26" s="66">
        <v>1000000</v>
      </c>
      <c r="EC26" s="61" t="s">
        <v>14</v>
      </c>
      <c r="ED26" s="61" t="s">
        <v>17</v>
      </c>
      <c r="EE26" s="70"/>
      <c r="EF26" s="73" t="e">
        <f t="shared" si="19"/>
        <v>#N/A</v>
      </c>
      <c r="EG26" s="74">
        <f t="shared" si="20"/>
        <v>0</v>
      </c>
      <c r="EH26" s="71">
        <v>1</v>
      </c>
      <c r="EI26" s="75">
        <f t="shared" si="21"/>
        <v>0</v>
      </c>
      <c r="EJ26" s="61"/>
      <c r="EK26" s="61"/>
      <c r="EL26" s="72"/>
      <c r="EM26" s="72"/>
      <c r="EN26" s="71"/>
      <c r="EO26" s="76" t="e">
        <f t="shared" si="22"/>
        <v>#VALUE!</v>
      </c>
      <c r="EP26" s="76" t="e">
        <f t="shared" si="23"/>
        <v>#VALUE!</v>
      </c>
      <c r="EQ26" s="77" t="str">
        <f t="shared" si="24"/>
        <v>ZERO-COUPON</v>
      </c>
      <c r="ER26" s="77" t="str">
        <f t="shared" si="24"/>
        <v>ZERO-COUPON</v>
      </c>
      <c r="ES26" s="78">
        <f t="shared" si="25"/>
        <v>0</v>
      </c>
      <c r="ET26" s="61"/>
      <c r="EU26" s="61"/>
      <c r="EV26" s="61" t="s">
        <v>51</v>
      </c>
      <c r="EW26" s="73" t="e">
        <f t="shared" si="26"/>
        <v>#N/A</v>
      </c>
      <c r="EX26" s="61" t="s">
        <v>51</v>
      </c>
      <c r="EY26" s="73" t="e">
        <f t="shared" si="27"/>
        <v>#N/A</v>
      </c>
      <c r="EZ26" s="76" t="e">
        <f t="shared" si="28"/>
        <v>#VALUE!</v>
      </c>
      <c r="FA26" s="76" t="e">
        <f t="shared" si="29"/>
        <v>#VALUE!</v>
      </c>
      <c r="FB26" s="70" t="s">
        <v>80</v>
      </c>
      <c r="FC26" s="61"/>
      <c r="FD26" s="61"/>
      <c r="FE26" s="61" t="s">
        <v>62</v>
      </c>
      <c r="FF26" s="61"/>
      <c r="FG26" s="61"/>
      <c r="FH26" s="76" t="str">
        <f t="shared" si="30"/>
        <v>Type</v>
      </c>
      <c r="FJ26" s="61" t="s">
        <v>8</v>
      </c>
      <c r="FK26" s="66">
        <v>1000000</v>
      </c>
      <c r="FL26" s="61" t="s">
        <v>14</v>
      </c>
      <c r="FM26" s="61" t="s">
        <v>18</v>
      </c>
      <c r="FN26" s="115" t="e">
        <f t="shared" si="31"/>
        <v>#N/A</v>
      </c>
      <c r="FO26" s="115" t="e">
        <f t="shared" si="32"/>
        <v>#N/A</v>
      </c>
      <c r="FP26" s="116">
        <f t="shared" si="65"/>
        <v>0</v>
      </c>
      <c r="FQ26" s="71">
        <v>1</v>
      </c>
      <c r="FR26" s="81"/>
      <c r="FS26" s="61" t="s">
        <v>32</v>
      </c>
      <c r="FT26" s="61" t="s">
        <v>32</v>
      </c>
      <c r="FU26" s="72"/>
      <c r="FV26" s="72"/>
      <c r="FW26" s="71"/>
      <c r="FX26" s="76" t="e">
        <f t="shared" si="33"/>
        <v>#VALUE!</v>
      </c>
      <c r="FY26" s="76" t="e">
        <f t="shared" si="34"/>
        <v>#VALUE!</v>
      </c>
      <c r="FZ26" s="73">
        <f t="shared" si="35"/>
        <v>0</v>
      </c>
      <c r="GA26" s="73">
        <f t="shared" si="35"/>
        <v>0</v>
      </c>
      <c r="GB26" s="73" t="e">
        <f t="shared" si="36"/>
        <v>#N/A</v>
      </c>
      <c r="GC26" s="61" t="s">
        <v>58</v>
      </c>
      <c r="GD26" s="73" t="e">
        <f t="shared" si="37"/>
        <v>#N/A</v>
      </c>
      <c r="GE26" s="61" t="s">
        <v>51</v>
      </c>
      <c r="GF26" s="73" t="e">
        <f t="shared" si="38"/>
        <v>#N/A</v>
      </c>
      <c r="GG26" s="61" t="s">
        <v>51</v>
      </c>
      <c r="GH26" s="73" t="e">
        <f t="shared" si="39"/>
        <v>#N/A</v>
      </c>
      <c r="GI26" s="82"/>
      <c r="GJ26" s="82"/>
      <c r="GK26" s="70"/>
      <c r="GL26" s="61" t="s">
        <v>62</v>
      </c>
      <c r="GM26" s="61"/>
      <c r="GN26" s="61" t="s">
        <v>62</v>
      </c>
      <c r="GO26" s="61" t="s">
        <v>75</v>
      </c>
      <c r="GP26" s="61" t="b">
        <v>0</v>
      </c>
      <c r="GQ26" s="82"/>
      <c r="GU26" s="95">
        <f t="shared" si="40"/>
        <v>0</v>
      </c>
      <c r="GV26" s="42">
        <f>IF(LEFT(_xll.BDP($C26,GV$5),1)="#","#LOADING",_xll.BDP($C26,GV$5))</f>
        <v>0</v>
      </c>
      <c r="GW26" s="74">
        <f t="shared" si="41"/>
        <v>0</v>
      </c>
      <c r="GX26" s="74" t="e">
        <f t="shared" si="42"/>
        <v>#VALUE!</v>
      </c>
      <c r="GY26" s="64" t="s">
        <v>20</v>
      </c>
      <c r="GZ26" s="42" t="b">
        <f>IF(LEFT(_xll.BDP($C26,GZ$5),1)="#","#LOADING",IF(_xll.BDP($C26,GZ$5)="CLEAN",TRUE,FALSE))</f>
        <v>0</v>
      </c>
      <c r="HA26" s="64" t="s">
        <v>26</v>
      </c>
      <c r="HB26" s="61" t="s">
        <v>18</v>
      </c>
      <c r="HC26" s="65" t="s">
        <v>28</v>
      </c>
      <c r="HD26" s="66">
        <v>1000000</v>
      </c>
      <c r="HE26" s="96" t="e">
        <f>IF(LEFT(_xll.BDP($C26,HE$5),1)="#","#LOADING",DATEVALUE(_xll.BDP($C26,HE$5)))</f>
        <v>#VALUE!</v>
      </c>
      <c r="HF26" s="96" t="e">
        <f>IF(LEFT(_xll.BDP($C26,HF$5),1)="#","#LOADING",DATEVALUE(_xll.BDP($C26,HF$5)))</f>
        <v>#VALUE!</v>
      </c>
      <c r="HG26" s="96" t="e">
        <f>IF(LEFT(_xll.BDP($C26,HG$5),1)="#","#LOADING",DATEVALUE(_xll.BDP($C26,HG$5)))</f>
        <v>#VALUE!</v>
      </c>
      <c r="HH26" s="96" t="e">
        <f>IF(LEFT(_xll.BDP($C26,HH$5),1)="#","#LOADING",DATEVALUE(_xll.BDP($C26,HH$5)))</f>
        <v>#VALUE!</v>
      </c>
      <c r="HI26" s="96" t="e">
        <f>IF(LEFT(_xll.BDP($C26,HI$5),1)="#","#LOADING",DATEVALUE(_xll.BDP($C26,HI$5)))</f>
        <v>#VALUE!</v>
      </c>
      <c r="HJ26" s="97">
        <f>IF(LEFT(_xll.BDP($C26,HJ$5),1)="#","#LOADING",_xll.BDP($C26,HJ$5)%)</f>
        <v>0</v>
      </c>
      <c r="HK26" s="97" t="str">
        <f>IF(LEFT(_xll.BDP($C26,HK$5),1)="#","#LOADING",VLOOKUP(_xll.BDP($C26,HK$5),Static.CouponFrequency,2,FALSE))</f>
        <v>ZERO-COUPON</v>
      </c>
      <c r="HL26" s="68" t="s">
        <v>51</v>
      </c>
      <c r="HM26" s="73" t="e">
        <f t="shared" si="43"/>
        <v>#N/A</v>
      </c>
      <c r="HN26" s="61" t="s">
        <v>51</v>
      </c>
      <c r="HO26" s="73" t="e">
        <f t="shared" si="44"/>
        <v>#N/A</v>
      </c>
      <c r="HP26" s="61" t="s">
        <v>62</v>
      </c>
      <c r="HQ26" s="43">
        <f>IF(LEFT(_xll.BDP($C26,HQ$5),1)="#","#LOADING",_xll.BDP($C26,HQ$5))</f>
        <v>0</v>
      </c>
      <c r="HR26" s="70"/>
      <c r="HS26" s="43" t="str">
        <f>IF(LEFT(_xll.BDP($C26,HS$5),1)="#","#LOADING","Type"&amp;IF(_xll.BDP($C26,HS$5)=999,1,_xll.BDP($C26,HS$5)))</f>
        <v>Type</v>
      </c>
    </row>
    <row r="28" spans="1:227" s="9" customFormat="1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 s="125"/>
      <c r="R28"/>
      <c r="S28" s="131"/>
      <c r="T28" s="131"/>
      <c r="U28" s="131"/>
      <c r="V28" s="131"/>
      <c r="W28" s="131"/>
      <c r="X28" s="131"/>
      <c r="Y28" s="131"/>
      <c r="Z28"/>
      <c r="AA28"/>
      <c r="AB28"/>
      <c r="AC28"/>
      <c r="AD28"/>
      <c r="A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 s="137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 s="137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 s="137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 s="137"/>
      <c r="GQ28"/>
      <c r="GR28"/>
      <c r="GS28"/>
      <c r="GT28"/>
    </row>
    <row r="29" spans="1:227" s="9" customFormat="1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 s="126"/>
      <c r="S29" s="126"/>
      <c r="T29" s="126"/>
      <c r="U29" s="126"/>
      <c r="V29" s="126"/>
      <c r="W29" s="126"/>
      <c r="X29" s="126"/>
      <c r="Y29" s="126"/>
      <c r="Z29"/>
      <c r="AA29"/>
      <c r="AB29"/>
      <c r="AC29"/>
      <c r="AD29"/>
      <c r="A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 s="137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 s="137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 s="137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 s="137"/>
      <c r="GQ29"/>
      <c r="GR29"/>
      <c r="GS29"/>
      <c r="GT29"/>
    </row>
    <row r="31" spans="1:227">
      <c r="Q31" s="125"/>
    </row>
    <row r="32" spans="1:227">
      <c r="R32" s="126"/>
      <c r="S32" s="126"/>
      <c r="T32" s="126"/>
      <c r="U32" s="126"/>
      <c r="V32" s="126"/>
      <c r="W32" s="126"/>
      <c r="X32" s="126"/>
      <c r="Y32" s="126"/>
    </row>
    <row r="35" spans="27:29">
      <c r="AA35" s="9"/>
      <c r="AB35" s="9"/>
      <c r="AC35" s="9"/>
    </row>
    <row r="36" spans="27:29">
      <c r="AA36" s="9"/>
      <c r="AB36" s="9"/>
      <c r="AC36" s="9"/>
    </row>
    <row r="37" spans="27:29">
      <c r="AA37" s="9"/>
      <c r="AB37" s="9"/>
      <c r="AC37" s="9"/>
    </row>
    <row r="38" spans="27:29">
      <c r="AA38" s="9"/>
      <c r="AB38" s="9"/>
      <c r="AC38" s="9"/>
    </row>
    <row r="39" spans="27:29">
      <c r="AA39" s="9"/>
      <c r="AB39" s="9"/>
      <c r="AC39" s="9"/>
    </row>
    <row r="40" spans="27:29">
      <c r="AA40" s="9"/>
      <c r="AB40" s="9"/>
      <c r="AC40" s="9"/>
    </row>
    <row r="41" spans="27:29">
      <c r="AA41" s="9"/>
      <c r="AB41" s="9"/>
      <c r="AC41" s="9"/>
    </row>
    <row r="42" spans="27:29">
      <c r="AA42" s="9"/>
      <c r="AB42" s="9"/>
      <c r="AC42" s="9"/>
    </row>
    <row r="43" spans="27:29">
      <c r="AA43" s="9"/>
      <c r="AB43" s="9"/>
      <c r="AC43" s="9"/>
    </row>
    <row r="44" spans="27:29">
      <c r="AA44" s="9"/>
      <c r="AB44" s="9"/>
      <c r="AC44" s="9"/>
    </row>
    <row r="45" spans="27:29">
      <c r="AA45" s="9"/>
      <c r="AB45" s="9"/>
      <c r="AC45" s="9"/>
    </row>
    <row r="46" spans="27:29">
      <c r="AA46" s="9"/>
      <c r="AB46" s="9"/>
      <c r="AC46" s="9"/>
    </row>
    <row r="47" spans="27:29">
      <c r="AA47" s="9"/>
      <c r="AB47" s="9"/>
      <c r="AC47" s="9"/>
    </row>
    <row r="48" spans="27:29">
      <c r="AA48" s="9"/>
      <c r="AB48" s="9"/>
      <c r="AC48" s="9"/>
    </row>
    <row r="49" spans="27:29">
      <c r="AA49" s="9"/>
      <c r="AB49" s="9"/>
      <c r="AC49" s="9"/>
    </row>
    <row r="50" spans="27:29">
      <c r="AA50" s="9"/>
      <c r="AB50" s="9"/>
      <c r="AC50" s="9"/>
    </row>
    <row r="51" spans="27:29">
      <c r="AA51" s="9"/>
      <c r="AB51" s="9"/>
      <c r="AC51" s="9"/>
    </row>
    <row r="52" spans="27:29">
      <c r="AA52" s="9"/>
      <c r="AB52" s="9"/>
      <c r="AC52" s="9"/>
    </row>
    <row r="53" spans="27:29">
      <c r="AA53" s="9"/>
      <c r="AB53" s="9"/>
      <c r="AC53" s="9"/>
    </row>
    <row r="54" spans="27:29">
      <c r="AA54" s="9"/>
      <c r="AB54" s="9"/>
      <c r="AC54" s="9"/>
    </row>
    <row r="55" spans="27:29">
      <c r="AA55" s="9"/>
      <c r="AB55" s="9"/>
      <c r="AC55" s="9"/>
    </row>
    <row r="56" spans="27:29">
      <c r="AA56" s="9"/>
      <c r="AB56" s="9"/>
      <c r="AC56" s="9"/>
    </row>
    <row r="57" spans="27:29">
      <c r="AA57" s="9"/>
      <c r="AB57" s="9"/>
      <c r="AC57" s="9"/>
    </row>
    <row r="58" spans="27:29">
      <c r="AA58" s="9"/>
      <c r="AB58" s="9"/>
      <c r="AC58" s="9"/>
    </row>
    <row r="59" spans="27:29">
      <c r="AA59" s="9"/>
      <c r="AB59" s="9"/>
      <c r="AC59" s="9"/>
    </row>
    <row r="60" spans="27:29">
      <c r="AA60" s="9"/>
      <c r="AB60" s="9"/>
      <c r="AC60" s="9"/>
    </row>
    <row r="61" spans="27:29">
      <c r="AA61" s="9"/>
      <c r="AB61" s="9"/>
      <c r="AC61" s="9"/>
    </row>
    <row r="62" spans="27:29">
      <c r="AA62" s="9"/>
      <c r="AB62" s="9"/>
      <c r="AC62" s="9"/>
    </row>
    <row r="63" spans="27:29">
      <c r="AA63" s="9"/>
      <c r="AB63" s="9"/>
      <c r="AC63" s="9"/>
    </row>
    <row r="64" spans="27:29">
      <c r="AA64" s="9"/>
      <c r="AB64" s="9"/>
      <c r="AC64" s="9"/>
    </row>
    <row r="65" spans="27:29">
      <c r="AA65" s="9"/>
      <c r="AB65" s="9"/>
      <c r="AC65" s="9"/>
    </row>
    <row r="66" spans="27:29">
      <c r="AA66" s="9"/>
      <c r="AB66" s="9"/>
      <c r="AC66" s="9"/>
    </row>
    <row r="67" spans="27:29">
      <c r="AA67" s="9"/>
      <c r="AB67" s="9"/>
      <c r="AC67" s="9"/>
    </row>
    <row r="68" spans="27:29">
      <c r="AA68" s="9"/>
      <c r="AB68" s="9"/>
      <c r="AC68" s="9"/>
    </row>
    <row r="69" spans="27:29">
      <c r="AA69" s="9"/>
      <c r="AB69" s="9"/>
      <c r="AC69" s="9"/>
    </row>
    <row r="70" spans="27:29">
      <c r="AA70" s="9"/>
      <c r="AB70" s="9"/>
      <c r="AC70" s="9"/>
    </row>
  </sheetData>
  <dataValidations count="3">
    <dataValidation type="list" allowBlank="1" showInputMessage="1" showErrorMessage="1" sqref="FZ7:GA26 DF8:DF26">
      <formula1>"QUARTERLY,SEMI-ANNUAL"</formula1>
    </dataValidation>
    <dataValidation type="list" allowBlank="1" showInputMessage="1" showErrorMessage="1" sqref="BC7:BC26 HR7:HR26">
      <formula1>"EOM,IMM,1,2,3,4,5,6,7,8,9,10,11,12,13,14,15,16,17,18,19,20,21,22,23,24,25,26,27,28,29,30,31"</formula1>
    </dataValidation>
    <dataValidation type="list" allowBlank="1" showInputMessage="1" showErrorMessage="1" sqref="AW7:AW26 HL7:HL26">
      <formula1>"None,ShortStart,ShortEnd,LongStart,LongEnd,SS,SE,LS,LE"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3" tint="0.79998168889431442"/>
  </sheetPr>
  <dimension ref="A1:N26"/>
  <sheetViews>
    <sheetView showGridLines="0" zoomScaleNormal="100" workbookViewId="0">
      <pane ySplit="6" topLeftCell="A7" activePane="bottomLeft" state="frozen"/>
      <selection activeCell="H1" sqref="H1"/>
      <selection pane="bottomLeft" activeCell="A7" sqref="A7"/>
    </sheetView>
  </sheetViews>
  <sheetFormatPr defaultRowHeight="15"/>
  <cols>
    <col min="1" max="1" width="4.7109375" customWidth="1"/>
    <col min="2" max="9" width="12.7109375" customWidth="1"/>
    <col min="10" max="10" width="4.7109375" customWidth="1"/>
    <col min="11" max="11" width="35.7109375" customWidth="1"/>
    <col min="12" max="12" width="38.42578125" customWidth="1"/>
    <col min="13" max="14" width="35.7109375" customWidth="1"/>
  </cols>
  <sheetData>
    <row r="1" spans="1:14" s="123" customFormat="1"/>
    <row r="3" spans="1:14">
      <c r="B3" s="1" t="s">
        <v>184</v>
      </c>
      <c r="E3" s="1"/>
      <c r="G3" s="1"/>
      <c r="K3" s="1" t="s">
        <v>183</v>
      </c>
    </row>
    <row r="4" spans="1:14">
      <c r="B4" s="124" t="s">
        <v>185</v>
      </c>
      <c r="C4" s="86"/>
      <c r="D4" s="86"/>
      <c r="E4" s="99"/>
      <c r="F4" s="87"/>
      <c r="G4" s="124" t="s">
        <v>180</v>
      </c>
      <c r="H4" s="86"/>
      <c r="I4" s="87"/>
      <c r="K4" s="93"/>
      <c r="L4" s="86"/>
      <c r="M4" s="86"/>
      <c r="N4" s="87"/>
    </row>
    <row r="5" spans="1:14">
      <c r="B5" s="94"/>
      <c r="C5" s="25"/>
      <c r="D5" s="25"/>
      <c r="E5" s="25"/>
      <c r="F5" s="89"/>
      <c r="G5" s="94"/>
      <c r="H5" s="25"/>
      <c r="I5" s="89"/>
      <c r="K5" s="94"/>
      <c r="L5" s="25"/>
      <c r="M5" s="25"/>
      <c r="N5" s="89"/>
    </row>
    <row r="6" spans="1:14">
      <c r="B6" s="90" t="s">
        <v>170</v>
      </c>
      <c r="C6" s="91" t="s">
        <v>171</v>
      </c>
      <c r="D6" s="91" t="s">
        <v>164</v>
      </c>
      <c r="E6" s="91" t="s">
        <v>176</v>
      </c>
      <c r="F6" s="92" t="s">
        <v>164</v>
      </c>
      <c r="G6" s="100" t="s">
        <v>179</v>
      </c>
      <c r="H6" s="91" t="s">
        <v>181</v>
      </c>
      <c r="I6" s="92" t="s">
        <v>182</v>
      </c>
      <c r="K6" s="102" t="s">
        <v>151</v>
      </c>
      <c r="L6" s="103" t="s">
        <v>150</v>
      </c>
      <c r="M6" s="103" t="s">
        <v>165</v>
      </c>
      <c r="N6" s="104" t="s">
        <v>152</v>
      </c>
    </row>
    <row r="7" spans="1:14">
      <c r="A7" s="101">
        <v>1</v>
      </c>
      <c r="B7" s="58" t="str">
        <f>XccyFixedBonds!K7</f>
        <v>BGN</v>
      </c>
      <c r="C7" s="59" t="str">
        <f ca="1">XccyFixedBonds!L7</f>
        <v>#N/A Requesting Data...</v>
      </c>
      <c r="D7" s="60"/>
      <c r="E7" s="83" t="str">
        <f ca="1">XccyFixedBonds!N7</f>
        <v>#Error: Invalid input, numeric input required</v>
      </c>
      <c r="F7" s="60"/>
      <c r="G7" s="84" t="str">
        <f ca="1">XccyFixedBonds!P7</f>
        <v>#Error: Invalid input, numeric input required</v>
      </c>
      <c r="H7" s="84" t="str">
        <f ca="1">XccyFixedBonds!Q7</f>
        <v>#Error: Invalid input, numeric input required</v>
      </c>
      <c r="I7" s="273" t="str">
        <f ca="1">XccyFixedBonds!R7</f>
        <v>#Error: Invalid input, numeric input required</v>
      </c>
      <c r="J7" s="101">
        <v>1</v>
      </c>
      <c r="K7" s="53" t="str">
        <f ca="1">XccyFixedBonds!AA7</f>
        <v>#LOADING</v>
      </c>
      <c r="L7" s="53" t="str">
        <f ca="1">XccyFixedBonds!AB7</f>
        <v>#Error: Invalid Swap Input: Swap trades require at least 2 trade legs.</v>
      </c>
      <c r="M7" s="283" t="str">
        <f ca="1">XccyFixedBonds!AC7</f>
        <v>#Error: Frequency '#LOADING' invalid, must be 'NONE', 'ANNUAL', 'SEMI_ANNUAL', 'QUARTERLY', 'MONTHLY', 'WEEKLY', 'DAILY' or 'AT_MATURITY'.</v>
      </c>
      <c r="N7" s="283" t="str">
        <f ca="1">XccyFixedBonds!AD7</f>
        <v>#LOADING</v>
      </c>
    </row>
    <row r="8" spans="1:14">
      <c r="A8" s="101">
        <v>2</v>
      </c>
      <c r="B8" s="58" t="str">
        <f>XccyFixedBonds!K8</f>
        <v>BGN</v>
      </c>
      <c r="C8" s="59" t="str">
        <f ca="1">XccyFixedBonds!L8</f>
        <v>#N/A Requesting Data...</v>
      </c>
      <c r="D8" s="60"/>
      <c r="E8" s="83" t="str">
        <f ca="1">XccyFixedBonds!N8</f>
        <v>#Error: Invalid input, numeric input required</v>
      </c>
      <c r="F8" s="60"/>
      <c r="G8" s="84" t="str">
        <f ca="1">XccyFixedBonds!P8</f>
        <v>#Error: Invalid input, numeric input required</v>
      </c>
      <c r="H8" s="84" t="str">
        <f ca="1">XccyFixedBonds!Q8</f>
        <v>#Error: Invalid input, numeric input required</v>
      </c>
      <c r="I8" s="273" t="str">
        <f ca="1">XccyFixedBonds!R8</f>
        <v>#Error: Invalid input, numeric input required</v>
      </c>
      <c r="J8" s="101">
        <v>2</v>
      </c>
      <c r="K8" s="283" t="str">
        <f ca="1">XccyFixedBonds!AA8</f>
        <v>#LOADING</v>
      </c>
      <c r="L8" s="283" t="str">
        <f ca="1">XccyFixedBonds!AB8</f>
        <v>#Error: Invalid Swap Input: Swap trades require at least 2 trade legs.</v>
      </c>
      <c r="M8" s="283" t="str">
        <f ca="1">XccyFixedBonds!AC8</f>
        <v>#Error: Frequency '#LOADING' invalid, must be 'NONE', 'ANNUAL', 'SEMI_ANNUAL', 'QUARTERLY', 'MONTHLY', 'WEEKLY', 'DAILY' or 'AT_MATURITY'.</v>
      </c>
      <c r="N8" s="283" t="str">
        <f ca="1">XccyFixedBonds!AD8</f>
        <v>#LOADING</v>
      </c>
    </row>
    <row r="9" spans="1:14">
      <c r="A9" s="101">
        <v>3</v>
      </c>
      <c r="B9" s="58" t="str">
        <f>XccyFixedBonds!K9</f>
        <v>BGN</v>
      </c>
      <c r="C9" s="59" t="str">
        <f ca="1">XccyFixedBonds!L9</f>
        <v>#N/A Requesting Data...</v>
      </c>
      <c r="D9" s="60"/>
      <c r="E9" s="83" t="str">
        <f ca="1">XccyFixedBonds!N9</f>
        <v>#Error: Invalid input, numeric input required</v>
      </c>
      <c r="F9" s="60"/>
      <c r="G9" s="84" t="str">
        <f ca="1">XccyFixedBonds!P9</f>
        <v>#Error: Invalid input, numeric input required</v>
      </c>
      <c r="H9" s="84" t="str">
        <f ca="1">XccyFixedBonds!Q9</f>
        <v>#Error: Invalid input, numeric input required</v>
      </c>
      <c r="I9" s="273" t="str">
        <f ca="1">XccyFixedBonds!R9</f>
        <v>#Error: Invalid input, numeric input required</v>
      </c>
      <c r="J9" s="101">
        <v>3</v>
      </c>
      <c r="K9" s="283" t="str">
        <f ca="1">XccyFixedBonds!AA9</f>
        <v>#LOADING</v>
      </c>
      <c r="L9" s="283" t="str">
        <f ca="1">XccyFixedBonds!AB9</f>
        <v>#Error: Invalid Swap Input: Swap trades require at least 2 trade legs.</v>
      </c>
      <c r="M9" s="283" t="str">
        <f ca="1">XccyFixedBonds!AC9</f>
        <v>#Error: Frequency '#LOADING' invalid, must be 'NONE', 'ANNUAL', 'SEMI_ANNUAL', 'QUARTERLY', 'MONTHLY', 'WEEKLY', 'DAILY' or 'AT_MATURITY'.</v>
      </c>
      <c r="N9" s="283" t="str">
        <f ca="1">XccyFixedBonds!AD9</f>
        <v>#LOADING</v>
      </c>
    </row>
    <row r="10" spans="1:14">
      <c r="A10" s="101">
        <v>4</v>
      </c>
      <c r="B10" s="58" t="str">
        <f>XccyFixedBonds!K10</f>
        <v>BGN</v>
      </c>
      <c r="C10" s="59" t="str">
        <f ca="1">XccyFixedBonds!L10</f>
        <v>#N/A Requesting Data...</v>
      </c>
      <c r="D10" s="60"/>
      <c r="E10" s="83" t="str">
        <f ca="1">XccyFixedBonds!N10</f>
        <v>#Error: Invalid input, numeric input required</v>
      </c>
      <c r="F10" s="60"/>
      <c r="G10" s="84" t="str">
        <f ca="1">XccyFixedBonds!P10</f>
        <v>#Error: Invalid input, numeric input required</v>
      </c>
      <c r="H10" s="84" t="str">
        <f ca="1">XccyFixedBonds!Q10</f>
        <v>#Error: Invalid input, numeric input required</v>
      </c>
      <c r="I10" s="273" t="str">
        <f ca="1">XccyFixedBonds!R10</f>
        <v>#Error: Invalid input, numeric input required</v>
      </c>
      <c r="J10" s="101">
        <v>4</v>
      </c>
      <c r="K10" s="283" t="str">
        <f ca="1">XccyFixedBonds!AA10</f>
        <v>#LOADING</v>
      </c>
      <c r="L10" s="283" t="str">
        <f ca="1">XccyFixedBonds!AB10</f>
        <v>#Error: Invalid Swap Input: Swap trades require at least 2 trade legs.</v>
      </c>
      <c r="M10" s="283" t="str">
        <f ca="1">XccyFixedBonds!AC10</f>
        <v>#Error: Frequency '#LOADING' invalid, must be 'NONE', 'ANNUAL', 'SEMI_ANNUAL', 'QUARTERLY', 'MONTHLY', 'WEEKLY', 'DAILY' or 'AT_MATURITY'.</v>
      </c>
      <c r="N10" s="283" t="str">
        <f ca="1">XccyFixedBonds!AD10</f>
        <v>#LOADING</v>
      </c>
    </row>
    <row r="11" spans="1:14">
      <c r="A11" s="101">
        <v>5</v>
      </c>
      <c r="B11" s="58" t="str">
        <f>XccyFixedBonds!K11</f>
        <v>BGN</v>
      </c>
      <c r="C11" s="59" t="str">
        <f ca="1">XccyFixedBonds!L11</f>
        <v>#N/A Requesting Data...</v>
      </c>
      <c r="D11" s="60"/>
      <c r="E11" s="83" t="str">
        <f ca="1">XccyFixedBonds!N11</f>
        <v>#Error: Invalid input, numeric input required</v>
      </c>
      <c r="F11" s="60"/>
      <c r="G11" s="84" t="str">
        <f ca="1">XccyFixedBonds!P11</f>
        <v>#Error: Invalid input, numeric input required</v>
      </c>
      <c r="H11" s="84" t="str">
        <f ca="1">XccyFixedBonds!Q11</f>
        <v>#Error: Invalid input, numeric input required</v>
      </c>
      <c r="I11" s="273" t="str">
        <f ca="1">XccyFixedBonds!R11</f>
        <v>#Error: Invalid input, numeric input required</v>
      </c>
      <c r="J11" s="101">
        <v>5</v>
      </c>
      <c r="K11" s="283" t="str">
        <f ca="1">XccyFixedBonds!AA11</f>
        <v>#LOADING</v>
      </c>
      <c r="L11" s="283" t="str">
        <f ca="1">XccyFixedBonds!AB11</f>
        <v>#Error: Invalid Swap Input: Swap trades require at least 2 trade legs.</v>
      </c>
      <c r="M11" s="283" t="str">
        <f ca="1">XccyFixedBonds!AC11</f>
        <v>#Error: Frequency '#LOADING' invalid, must be 'NONE', 'ANNUAL', 'SEMI_ANNUAL', 'QUARTERLY', 'MONTHLY', 'WEEKLY', 'DAILY' or 'AT_MATURITY'.</v>
      </c>
      <c r="N11" s="283" t="str">
        <f ca="1">XccyFixedBonds!AD11</f>
        <v>#LOADING</v>
      </c>
    </row>
    <row r="12" spans="1:14">
      <c r="A12" s="101">
        <v>6</v>
      </c>
      <c r="B12" s="58" t="str">
        <f>XccyFixedBonds!K12</f>
        <v>BGN</v>
      </c>
      <c r="C12" s="59" t="str">
        <f>XccyFixedBonds!L12</f>
        <v/>
      </c>
      <c r="D12" s="60"/>
      <c r="E12" s="83" t="str">
        <f ca="1">XccyFixedBonds!N12</f>
        <v/>
      </c>
      <c r="F12" s="60"/>
      <c r="G12" s="84" t="str">
        <f ca="1">XccyFixedBonds!P12</f>
        <v/>
      </c>
      <c r="H12" s="84" t="str">
        <f>XccyFixedBonds!Q12</f>
        <v/>
      </c>
      <c r="I12" s="273" t="str">
        <f>XccyFixedBonds!R12</f>
        <v/>
      </c>
      <c r="J12" s="101">
        <v>6</v>
      </c>
      <c r="K12" s="283" t="str">
        <f>XccyFixedBonds!AA12</f>
        <v/>
      </c>
      <c r="L12" s="283" t="str">
        <f ca="1">XccyFixedBonds!AB12</f>
        <v/>
      </c>
      <c r="M12" s="283" t="str">
        <f>XccyFixedBonds!AC12</f>
        <v/>
      </c>
      <c r="N12" s="283" t="str">
        <f>XccyFixedBonds!AD12</f>
        <v/>
      </c>
    </row>
    <row r="13" spans="1:14">
      <c r="A13" s="101">
        <v>7</v>
      </c>
      <c r="B13" s="58" t="str">
        <f>XccyFixedBonds!K13</f>
        <v>BGN</v>
      </c>
      <c r="C13" s="59" t="str">
        <f>XccyFixedBonds!L13</f>
        <v/>
      </c>
      <c r="D13" s="60"/>
      <c r="E13" s="83" t="str">
        <f ca="1">XccyFixedBonds!N13</f>
        <v/>
      </c>
      <c r="F13" s="60"/>
      <c r="G13" s="84" t="str">
        <f ca="1">XccyFixedBonds!P13</f>
        <v/>
      </c>
      <c r="H13" s="84" t="str">
        <f>XccyFixedBonds!Q13</f>
        <v/>
      </c>
      <c r="I13" s="273" t="str">
        <f>XccyFixedBonds!R13</f>
        <v/>
      </c>
      <c r="J13" s="101">
        <v>7</v>
      </c>
      <c r="K13" s="283" t="str">
        <f>XccyFixedBonds!AA13</f>
        <v/>
      </c>
      <c r="L13" s="283" t="str">
        <f ca="1">XccyFixedBonds!AB13</f>
        <v/>
      </c>
      <c r="M13" s="283" t="str">
        <f>XccyFixedBonds!AC13</f>
        <v/>
      </c>
      <c r="N13" s="283" t="str">
        <f>XccyFixedBonds!AD13</f>
        <v/>
      </c>
    </row>
    <row r="14" spans="1:14">
      <c r="A14" s="101">
        <v>8</v>
      </c>
      <c r="B14" s="58" t="str">
        <f>XccyFixedBonds!K14</f>
        <v>BGN</v>
      </c>
      <c r="C14" s="59" t="str">
        <f>XccyFixedBonds!L14</f>
        <v/>
      </c>
      <c r="D14" s="60"/>
      <c r="E14" s="83" t="str">
        <f ca="1">XccyFixedBonds!N14</f>
        <v/>
      </c>
      <c r="F14" s="60"/>
      <c r="G14" s="84" t="str">
        <f ca="1">XccyFixedBonds!P14</f>
        <v/>
      </c>
      <c r="H14" s="84" t="str">
        <f>XccyFixedBonds!Q14</f>
        <v/>
      </c>
      <c r="I14" s="273" t="str">
        <f>XccyFixedBonds!R14</f>
        <v/>
      </c>
      <c r="J14" s="101">
        <v>8</v>
      </c>
      <c r="K14" s="283" t="str">
        <f>XccyFixedBonds!AA14</f>
        <v/>
      </c>
      <c r="L14" s="283" t="str">
        <f ca="1">XccyFixedBonds!AB14</f>
        <v/>
      </c>
      <c r="M14" s="283" t="str">
        <f>XccyFixedBonds!AC14</f>
        <v/>
      </c>
      <c r="N14" s="283" t="str">
        <f>XccyFixedBonds!AD14</f>
        <v/>
      </c>
    </row>
    <row r="15" spans="1:14">
      <c r="A15" s="101">
        <v>9</v>
      </c>
      <c r="B15" s="58" t="str">
        <f>XccyFixedBonds!K15</f>
        <v>BGN</v>
      </c>
      <c r="C15" s="59" t="str">
        <f>XccyFixedBonds!L15</f>
        <v/>
      </c>
      <c r="D15" s="60"/>
      <c r="E15" s="83" t="str">
        <f ca="1">XccyFixedBonds!N15</f>
        <v/>
      </c>
      <c r="F15" s="60"/>
      <c r="G15" s="84" t="str">
        <f ca="1">XccyFixedBonds!P15</f>
        <v/>
      </c>
      <c r="H15" s="84" t="str">
        <f>XccyFixedBonds!Q15</f>
        <v/>
      </c>
      <c r="I15" s="273" t="str">
        <f>XccyFixedBonds!R15</f>
        <v/>
      </c>
      <c r="J15" s="101">
        <v>9</v>
      </c>
      <c r="K15" s="283" t="str">
        <f>XccyFixedBonds!AA15</f>
        <v/>
      </c>
      <c r="L15" s="283" t="str">
        <f ca="1">XccyFixedBonds!AB15</f>
        <v/>
      </c>
      <c r="M15" s="283" t="str">
        <f>XccyFixedBonds!AC15</f>
        <v/>
      </c>
      <c r="N15" s="283" t="str">
        <f>XccyFixedBonds!AD15</f>
        <v/>
      </c>
    </row>
    <row r="16" spans="1:14">
      <c r="A16" s="101">
        <v>10</v>
      </c>
      <c r="B16" s="58" t="str">
        <f>XccyFixedBonds!K16</f>
        <v>BGN</v>
      </c>
      <c r="C16" s="59" t="str">
        <f>XccyFixedBonds!L16</f>
        <v/>
      </c>
      <c r="D16" s="60"/>
      <c r="E16" s="83" t="str">
        <f ca="1">XccyFixedBonds!N16</f>
        <v/>
      </c>
      <c r="F16" s="60"/>
      <c r="G16" s="84" t="str">
        <f ca="1">XccyFixedBonds!P16</f>
        <v/>
      </c>
      <c r="H16" s="84" t="str">
        <f>XccyFixedBonds!Q16</f>
        <v/>
      </c>
      <c r="I16" s="273" t="str">
        <f>XccyFixedBonds!R16</f>
        <v/>
      </c>
      <c r="J16" s="101">
        <v>10</v>
      </c>
      <c r="K16" s="283" t="str">
        <f>XccyFixedBonds!AA16</f>
        <v/>
      </c>
      <c r="L16" s="283" t="str">
        <f ca="1">XccyFixedBonds!AB16</f>
        <v/>
      </c>
      <c r="M16" s="283" t="str">
        <f>XccyFixedBonds!AC16</f>
        <v/>
      </c>
      <c r="N16" s="283" t="str">
        <f>XccyFixedBonds!AD16</f>
        <v/>
      </c>
    </row>
    <row r="17" spans="1:14">
      <c r="A17" s="101">
        <v>11</v>
      </c>
      <c r="B17" s="58" t="str">
        <f>XccyFixedBonds!K17</f>
        <v>BGN</v>
      </c>
      <c r="C17" s="59" t="str">
        <f>XccyFixedBonds!L17</f>
        <v/>
      </c>
      <c r="D17" s="60"/>
      <c r="E17" s="83" t="str">
        <f ca="1">XccyFixedBonds!N17</f>
        <v/>
      </c>
      <c r="F17" s="60"/>
      <c r="G17" s="84" t="str">
        <f ca="1">XccyFixedBonds!P17</f>
        <v/>
      </c>
      <c r="H17" s="84" t="str">
        <f>XccyFixedBonds!Q17</f>
        <v/>
      </c>
      <c r="I17" s="273" t="str">
        <f>XccyFixedBonds!R17</f>
        <v/>
      </c>
      <c r="J17" s="101">
        <v>11</v>
      </c>
      <c r="K17" s="283" t="str">
        <f>XccyFixedBonds!AA17</f>
        <v/>
      </c>
      <c r="L17" s="283" t="str">
        <f ca="1">XccyFixedBonds!AB17</f>
        <v/>
      </c>
      <c r="M17" s="283" t="str">
        <f>XccyFixedBonds!AC17</f>
        <v/>
      </c>
      <c r="N17" s="283" t="str">
        <f>XccyFixedBonds!AD17</f>
        <v/>
      </c>
    </row>
    <row r="18" spans="1:14">
      <c r="A18" s="101">
        <v>12</v>
      </c>
      <c r="B18" s="58" t="str">
        <f>XccyFixedBonds!K18</f>
        <v>BGN</v>
      </c>
      <c r="C18" s="59" t="str">
        <f>XccyFixedBonds!L18</f>
        <v/>
      </c>
      <c r="D18" s="60"/>
      <c r="E18" s="83" t="str">
        <f ca="1">XccyFixedBonds!N18</f>
        <v/>
      </c>
      <c r="F18" s="60"/>
      <c r="G18" s="84" t="str">
        <f ca="1">XccyFixedBonds!P18</f>
        <v/>
      </c>
      <c r="H18" s="84" t="str">
        <f>XccyFixedBonds!Q18</f>
        <v/>
      </c>
      <c r="I18" s="273" t="str">
        <f>XccyFixedBonds!R18</f>
        <v/>
      </c>
      <c r="J18" s="101">
        <v>12</v>
      </c>
      <c r="K18" s="283" t="str">
        <f>XccyFixedBonds!AA18</f>
        <v/>
      </c>
      <c r="L18" s="283" t="str">
        <f ca="1">XccyFixedBonds!AB18</f>
        <v/>
      </c>
      <c r="M18" s="283" t="str">
        <f>XccyFixedBonds!AC18</f>
        <v/>
      </c>
      <c r="N18" s="283" t="str">
        <f>XccyFixedBonds!AD18</f>
        <v/>
      </c>
    </row>
    <row r="19" spans="1:14">
      <c r="A19" s="101">
        <v>13</v>
      </c>
      <c r="B19" s="58" t="str">
        <f>XccyFixedBonds!K19</f>
        <v>BGN</v>
      </c>
      <c r="C19" s="59" t="str">
        <f>XccyFixedBonds!L19</f>
        <v/>
      </c>
      <c r="D19" s="60"/>
      <c r="E19" s="83" t="str">
        <f ca="1">XccyFixedBonds!N19</f>
        <v/>
      </c>
      <c r="F19" s="60"/>
      <c r="G19" s="84" t="str">
        <f ca="1">XccyFixedBonds!P19</f>
        <v/>
      </c>
      <c r="H19" s="84" t="str">
        <f>XccyFixedBonds!Q19</f>
        <v/>
      </c>
      <c r="I19" s="273" t="str">
        <f>XccyFixedBonds!R19</f>
        <v/>
      </c>
      <c r="J19" s="101">
        <v>13</v>
      </c>
      <c r="K19" s="283" t="str">
        <f>XccyFixedBonds!AA19</f>
        <v/>
      </c>
      <c r="L19" s="283" t="str">
        <f ca="1">XccyFixedBonds!AB19</f>
        <v/>
      </c>
      <c r="M19" s="283" t="str">
        <f>XccyFixedBonds!AC19</f>
        <v/>
      </c>
      <c r="N19" s="283" t="str">
        <f>XccyFixedBonds!AD19</f>
        <v/>
      </c>
    </row>
    <row r="20" spans="1:14">
      <c r="A20" s="101">
        <v>14</v>
      </c>
      <c r="B20" s="58" t="str">
        <f>XccyFixedBonds!K20</f>
        <v>BGN</v>
      </c>
      <c r="C20" s="59" t="str">
        <f>XccyFixedBonds!L20</f>
        <v/>
      </c>
      <c r="D20" s="60"/>
      <c r="E20" s="83" t="str">
        <f ca="1">XccyFixedBonds!N20</f>
        <v/>
      </c>
      <c r="F20" s="60"/>
      <c r="G20" s="84" t="str">
        <f ca="1">XccyFixedBonds!P20</f>
        <v/>
      </c>
      <c r="H20" s="84" t="str">
        <f>XccyFixedBonds!Q20</f>
        <v/>
      </c>
      <c r="I20" s="273" t="str">
        <f>XccyFixedBonds!R20</f>
        <v/>
      </c>
      <c r="J20" s="101">
        <v>14</v>
      </c>
      <c r="K20" s="283" t="str">
        <f>XccyFixedBonds!AA20</f>
        <v/>
      </c>
      <c r="L20" s="283" t="str">
        <f ca="1">XccyFixedBonds!AB20</f>
        <v/>
      </c>
      <c r="M20" s="283" t="str">
        <f>XccyFixedBonds!AC20</f>
        <v/>
      </c>
      <c r="N20" s="283" t="str">
        <f>XccyFixedBonds!AD20</f>
        <v/>
      </c>
    </row>
    <row r="21" spans="1:14">
      <c r="A21" s="101">
        <v>15</v>
      </c>
      <c r="B21" s="58" t="str">
        <f>XccyFixedBonds!K21</f>
        <v>BGN</v>
      </c>
      <c r="C21" s="59" t="str">
        <f>XccyFixedBonds!L21</f>
        <v/>
      </c>
      <c r="D21" s="60"/>
      <c r="E21" s="83" t="str">
        <f ca="1">XccyFixedBonds!N21</f>
        <v/>
      </c>
      <c r="F21" s="60"/>
      <c r="G21" s="84" t="str">
        <f ca="1">XccyFixedBonds!P21</f>
        <v/>
      </c>
      <c r="H21" s="84" t="str">
        <f>XccyFixedBonds!Q21</f>
        <v/>
      </c>
      <c r="I21" s="273" t="str">
        <f>XccyFixedBonds!R21</f>
        <v/>
      </c>
      <c r="J21" s="101">
        <v>15</v>
      </c>
      <c r="K21" s="283" t="str">
        <f>XccyFixedBonds!AA21</f>
        <v/>
      </c>
      <c r="L21" s="283" t="str">
        <f ca="1">XccyFixedBonds!AB21</f>
        <v/>
      </c>
      <c r="M21" s="283" t="str">
        <f>XccyFixedBonds!AC21</f>
        <v/>
      </c>
      <c r="N21" s="283" t="str">
        <f>XccyFixedBonds!AD21</f>
        <v/>
      </c>
    </row>
    <row r="22" spans="1:14">
      <c r="A22" s="101">
        <v>16</v>
      </c>
      <c r="B22" s="58" t="str">
        <f>XccyFixedBonds!K22</f>
        <v>BGN</v>
      </c>
      <c r="C22" s="59" t="str">
        <f>XccyFixedBonds!L22</f>
        <v/>
      </c>
      <c r="D22" s="60"/>
      <c r="E22" s="83" t="str">
        <f ca="1">XccyFixedBonds!N22</f>
        <v/>
      </c>
      <c r="F22" s="60"/>
      <c r="G22" s="84" t="str">
        <f ca="1">XccyFixedBonds!P22</f>
        <v/>
      </c>
      <c r="H22" s="84" t="str">
        <f>XccyFixedBonds!Q22</f>
        <v/>
      </c>
      <c r="I22" s="273" t="str">
        <f>XccyFixedBonds!R22</f>
        <v/>
      </c>
      <c r="J22" s="101">
        <v>16</v>
      </c>
      <c r="K22" s="283" t="str">
        <f>XccyFixedBonds!AA22</f>
        <v/>
      </c>
      <c r="L22" s="283" t="str">
        <f ca="1">XccyFixedBonds!AB22</f>
        <v/>
      </c>
      <c r="M22" s="283" t="str">
        <f>XccyFixedBonds!AC22</f>
        <v/>
      </c>
      <c r="N22" s="283" t="str">
        <f>XccyFixedBonds!AD22</f>
        <v/>
      </c>
    </row>
    <row r="23" spans="1:14">
      <c r="A23" s="101">
        <v>17</v>
      </c>
      <c r="B23" s="58" t="str">
        <f>XccyFixedBonds!K23</f>
        <v>BGN</v>
      </c>
      <c r="C23" s="59" t="str">
        <f>XccyFixedBonds!L23</f>
        <v/>
      </c>
      <c r="D23" s="60"/>
      <c r="E23" s="83" t="str">
        <f ca="1">XccyFixedBonds!N23</f>
        <v/>
      </c>
      <c r="F23" s="60"/>
      <c r="G23" s="84" t="str">
        <f ca="1">XccyFixedBonds!P23</f>
        <v/>
      </c>
      <c r="H23" s="84" t="str">
        <f>XccyFixedBonds!Q23</f>
        <v/>
      </c>
      <c r="I23" s="273" t="str">
        <f>XccyFixedBonds!R23</f>
        <v/>
      </c>
      <c r="J23" s="101">
        <v>17</v>
      </c>
      <c r="K23" s="283" t="str">
        <f>XccyFixedBonds!AA23</f>
        <v/>
      </c>
      <c r="L23" s="283" t="str">
        <f ca="1">XccyFixedBonds!AB23</f>
        <v/>
      </c>
      <c r="M23" s="283" t="str">
        <f>XccyFixedBonds!AC23</f>
        <v/>
      </c>
      <c r="N23" s="283" t="str">
        <f>XccyFixedBonds!AD23</f>
        <v/>
      </c>
    </row>
    <row r="24" spans="1:14">
      <c r="A24" s="101">
        <v>18</v>
      </c>
      <c r="B24" s="58" t="str">
        <f>XccyFixedBonds!K24</f>
        <v>BGN</v>
      </c>
      <c r="C24" s="59" t="str">
        <f>XccyFixedBonds!L24</f>
        <v/>
      </c>
      <c r="D24" s="60"/>
      <c r="E24" s="83" t="str">
        <f ca="1">XccyFixedBonds!N24</f>
        <v/>
      </c>
      <c r="F24" s="60"/>
      <c r="G24" s="84" t="str">
        <f ca="1">XccyFixedBonds!P24</f>
        <v/>
      </c>
      <c r="H24" s="84" t="str">
        <f>XccyFixedBonds!Q24</f>
        <v/>
      </c>
      <c r="I24" s="273" t="str">
        <f>XccyFixedBonds!R24</f>
        <v/>
      </c>
      <c r="J24" s="101">
        <v>18</v>
      </c>
      <c r="K24" s="283" t="str">
        <f>XccyFixedBonds!AA24</f>
        <v/>
      </c>
      <c r="L24" s="283" t="str">
        <f ca="1">XccyFixedBonds!AB24</f>
        <v/>
      </c>
      <c r="M24" s="283" t="str">
        <f>XccyFixedBonds!AC24</f>
        <v/>
      </c>
      <c r="N24" s="283" t="str">
        <f>XccyFixedBonds!AD24</f>
        <v/>
      </c>
    </row>
    <row r="25" spans="1:14">
      <c r="A25" s="101">
        <v>19</v>
      </c>
      <c r="B25" s="58" t="str">
        <f>XccyFixedBonds!K25</f>
        <v>BGN</v>
      </c>
      <c r="C25" s="59" t="str">
        <f>XccyFixedBonds!L25</f>
        <v/>
      </c>
      <c r="D25" s="60"/>
      <c r="E25" s="83" t="str">
        <f ca="1">XccyFixedBonds!N25</f>
        <v/>
      </c>
      <c r="F25" s="60"/>
      <c r="G25" s="84" t="str">
        <f ca="1">XccyFixedBonds!P25</f>
        <v/>
      </c>
      <c r="H25" s="84" t="str">
        <f>XccyFixedBonds!Q25</f>
        <v/>
      </c>
      <c r="I25" s="273" t="str">
        <f>XccyFixedBonds!R25</f>
        <v/>
      </c>
      <c r="J25" s="101">
        <v>19</v>
      </c>
      <c r="K25" s="283" t="str">
        <f>XccyFixedBonds!AA25</f>
        <v/>
      </c>
      <c r="L25" s="283" t="str">
        <f ca="1">XccyFixedBonds!AB25</f>
        <v/>
      </c>
      <c r="M25" s="283" t="str">
        <f>XccyFixedBonds!AC25</f>
        <v/>
      </c>
      <c r="N25" s="283" t="str">
        <f>XccyFixedBonds!AD25</f>
        <v/>
      </c>
    </row>
    <row r="26" spans="1:14">
      <c r="A26" s="101">
        <v>20</v>
      </c>
      <c r="B26" s="58" t="str">
        <f>XccyFixedBonds!K26</f>
        <v>BGN</v>
      </c>
      <c r="C26" s="59" t="str">
        <f>XccyFixedBonds!L26</f>
        <v/>
      </c>
      <c r="D26" s="60"/>
      <c r="E26" s="83" t="str">
        <f ca="1">XccyFixedBonds!N26</f>
        <v/>
      </c>
      <c r="F26" s="60"/>
      <c r="G26" s="84" t="str">
        <f ca="1">XccyFixedBonds!P26</f>
        <v/>
      </c>
      <c r="H26" s="84" t="str">
        <f>XccyFixedBonds!Q26</f>
        <v/>
      </c>
      <c r="I26" s="273" t="str">
        <f>XccyFixedBonds!R26</f>
        <v/>
      </c>
      <c r="J26" s="101">
        <v>20</v>
      </c>
      <c r="K26" s="283" t="str">
        <f>XccyFixedBonds!AA26</f>
        <v/>
      </c>
      <c r="L26" s="283" t="str">
        <f ca="1">XccyFixedBonds!AB26</f>
        <v/>
      </c>
      <c r="M26" s="283" t="str">
        <f>XccyFixedBonds!AC26</f>
        <v/>
      </c>
      <c r="N26" s="283" t="str">
        <f>XccyFixedBonds!AD26</f>
        <v/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CC"/>
  </sheetPr>
  <dimension ref="B2:X55"/>
  <sheetViews>
    <sheetView showGridLines="0" tabSelected="1" topLeftCell="G13" workbookViewId="0">
      <selection activeCell="H55" sqref="H55"/>
    </sheetView>
  </sheetViews>
  <sheetFormatPr defaultRowHeight="15"/>
  <cols>
    <col min="1" max="1" width="4.7109375" style="137" customWidth="1"/>
    <col min="2" max="2" width="24.42578125" style="152" bestFit="1" customWidth="1"/>
    <col min="3" max="3" width="35.7109375" style="137" bestFit="1" customWidth="1"/>
    <col min="4" max="4" width="21.7109375" style="137" bestFit="1" customWidth="1"/>
    <col min="5" max="6" width="4.7109375" style="137" customWidth="1"/>
    <col min="7" max="7" width="21.7109375" style="137" bestFit="1" customWidth="1"/>
    <col min="8" max="8" width="33" style="137" bestFit="1" customWidth="1"/>
    <col min="9" max="9" width="36.5703125" style="137" customWidth="1"/>
    <col min="10" max="10" width="10.7109375" style="137" customWidth="1"/>
    <col min="11" max="11" width="4.7109375" style="137" customWidth="1"/>
    <col min="12" max="12" width="33" style="137" bestFit="1" customWidth="1"/>
    <col min="13" max="14" width="21.7109375" style="137" customWidth="1"/>
    <col min="15" max="15" width="4.7109375" style="137" customWidth="1"/>
    <col min="16" max="16" width="33" style="137" bestFit="1" customWidth="1"/>
    <col min="17" max="18" width="21.7109375" style="137" customWidth="1"/>
    <col min="19" max="19" width="4.7109375" style="137" customWidth="1"/>
    <col min="20" max="20" width="25.28515625" style="137" customWidth="1"/>
    <col min="21" max="21" width="31" style="137" bestFit="1" customWidth="1"/>
    <col min="22" max="22" width="34.140625" style="137" bestFit="1" customWidth="1"/>
    <col min="23" max="23" width="10.7109375" style="137" customWidth="1"/>
    <col min="24" max="16384" width="9.140625" style="137"/>
  </cols>
  <sheetData>
    <row r="2" spans="2:24">
      <c r="B2" s="160" t="s">
        <v>214</v>
      </c>
      <c r="C2" s="220" t="str">
        <f ca="1">IF(J7+W7=0,"DATA OK","#LOADING DATA")</f>
        <v>DATA OK</v>
      </c>
      <c r="F2" s="160" t="s">
        <v>252</v>
      </c>
    </row>
    <row r="4" spans="2:24">
      <c r="C4" s="138" t="s">
        <v>216</v>
      </c>
      <c r="D4" s="138"/>
      <c r="F4" s="167"/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9"/>
    </row>
    <row r="5" spans="2:24">
      <c r="B5" s="161" t="s">
        <v>144</v>
      </c>
      <c r="C5" s="217" t="s">
        <v>249</v>
      </c>
      <c r="D5" s="138"/>
      <c r="F5" s="170"/>
      <c r="G5" s="172"/>
      <c r="H5" s="196" t="s">
        <v>217</v>
      </c>
      <c r="I5" s="252" t="str">
        <f>LEFT($C$10,FIND(" ",$C$10)-1)</f>
        <v>US05565QCT31</v>
      </c>
      <c r="J5" s="197"/>
      <c r="K5" s="172" t="s">
        <v>0</v>
      </c>
      <c r="L5" s="196" t="s">
        <v>247</v>
      </c>
      <c r="M5" s="252" t="str">
        <f>Proxy.ISIN</f>
        <v>USN4578BQA53</v>
      </c>
      <c r="N5" s="253"/>
      <c r="O5" s="172"/>
      <c r="P5" s="196" t="s">
        <v>219</v>
      </c>
      <c r="Q5" s="252" t="str">
        <f>Bond.ISIN</f>
        <v>XS1339542364</v>
      </c>
      <c r="R5" s="253"/>
      <c r="S5" s="172"/>
      <c r="T5" s="172"/>
      <c r="U5" s="196" t="s">
        <v>220</v>
      </c>
      <c r="V5" s="252" t="str">
        <f>LEFT($C$6,FIND(" ",$C$6)-1)</f>
        <v>XS1193905160</v>
      </c>
      <c r="W5" s="197"/>
      <c r="X5" s="173"/>
    </row>
    <row r="6" spans="2:24">
      <c r="B6" s="161" t="s">
        <v>78</v>
      </c>
      <c r="C6" s="233" t="s">
        <v>250</v>
      </c>
      <c r="D6" s="13"/>
      <c r="F6" s="170"/>
      <c r="G6" s="172"/>
      <c r="H6" s="166" t="s">
        <v>221</v>
      </c>
      <c r="I6" s="198" t="str">
        <f>"PROXY_BOND_"&amp;I$5</f>
        <v>PROXY_BOND_US05565QCT31</v>
      </c>
      <c r="J6" s="213" t="s">
        <v>222</v>
      </c>
      <c r="K6" s="172" t="s">
        <v>0</v>
      </c>
      <c r="L6" s="166" t="s">
        <v>221</v>
      </c>
      <c r="M6" s="289" t="str">
        <f>"PROXY_ASW_"&amp;M5</f>
        <v>PROXY_ASW_USN4578BQA53</v>
      </c>
      <c r="N6" s="289"/>
      <c r="O6" s="172"/>
      <c r="P6" s="166" t="s">
        <v>221</v>
      </c>
      <c r="Q6" s="289" t="str">
        <f>"BOND_ASW_"&amp;V5</f>
        <v>BOND_ASW_XS1193905160</v>
      </c>
      <c r="R6" s="289"/>
      <c r="S6" s="172"/>
      <c r="T6" s="172"/>
      <c r="U6" s="166" t="s">
        <v>221</v>
      </c>
      <c r="V6" s="198" t="str">
        <f>"BOND_"&amp;Bond.ISIN</f>
        <v>BOND_XS1339542364</v>
      </c>
      <c r="W6" s="213" t="s">
        <v>222</v>
      </c>
      <c r="X6" s="173"/>
    </row>
    <row r="7" spans="2:24">
      <c r="B7" s="152" t="s">
        <v>154</v>
      </c>
      <c r="C7" s="218" t="s">
        <v>101</v>
      </c>
      <c r="D7" s="138"/>
      <c r="F7" s="170"/>
      <c r="G7" s="172"/>
      <c r="H7" s="166" t="s">
        <v>223</v>
      </c>
      <c r="I7" s="231" t="str">
        <f ca="1">IF($J$7=0,_xll.meLWOBondCreateFromLVB(I6,H10:I50),"#LOADING")</f>
        <v>PROXY_BOND_US05565QCT31@103:4</v>
      </c>
      <c r="J7" s="215">
        <f ca="1">SUM(J10:J50)</f>
        <v>0</v>
      </c>
      <c r="K7" s="172" t="s">
        <v>0</v>
      </c>
      <c r="L7" s="166" t="s">
        <v>224</v>
      </c>
      <c r="M7" s="231" t="str">
        <f ca="1">IF($J$7=0,_xll.meLWOSwapCreate(M6,L10:N50),"#LOADING")</f>
        <v>PROXY_ASW_USN4578BQA53@102:4</v>
      </c>
      <c r="N7" s="231"/>
      <c r="O7" s="172" t="s">
        <v>0</v>
      </c>
      <c r="P7" s="166" t="s">
        <v>225</v>
      </c>
      <c r="Q7" s="231" t="str">
        <f ca="1">IF($W$7=0,_xll.meLWOSwapCreate(Q6,P10:R50),"#LOADING")</f>
        <v>BOND_ASW_XS1193905160@104:4</v>
      </c>
      <c r="R7" s="231"/>
      <c r="S7" s="172" t="s">
        <v>0</v>
      </c>
      <c r="T7" s="172"/>
      <c r="U7" s="166" t="s">
        <v>226</v>
      </c>
      <c r="V7" s="231" t="str">
        <f ca="1">IF($W$7=0,_xll.meLWOBondCreateFromLVB(V6,U10:V50,FALSE),"#LOADING")</f>
        <v>BOND_XS1339542364@105:4</v>
      </c>
      <c r="W7" s="215">
        <f ca="1">SUM(W10:W50)</f>
        <v>0</v>
      </c>
      <c r="X7" s="173" t="s">
        <v>0</v>
      </c>
    </row>
    <row r="8" spans="2:24">
      <c r="B8" s="152" t="s">
        <v>155</v>
      </c>
      <c r="C8" s="218" t="s">
        <v>35</v>
      </c>
      <c r="D8" s="138"/>
      <c r="F8" s="170"/>
      <c r="G8" s="172"/>
      <c r="H8" s="172"/>
      <c r="I8" s="172"/>
      <c r="J8" s="172"/>
      <c r="K8" s="172" t="s">
        <v>0</v>
      </c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3"/>
    </row>
    <row r="9" spans="2:24">
      <c r="B9" s="161" t="s">
        <v>146</v>
      </c>
      <c r="C9" s="246" t="s">
        <v>249</v>
      </c>
      <c r="D9" s="138"/>
      <c r="F9" s="170"/>
      <c r="G9" s="172"/>
      <c r="H9" s="171" t="s">
        <v>229</v>
      </c>
      <c r="I9" s="193"/>
      <c r="J9" s="213"/>
      <c r="K9" s="172"/>
      <c r="L9" s="171" t="s">
        <v>230</v>
      </c>
      <c r="M9" s="194" t="s">
        <v>3</v>
      </c>
      <c r="N9" s="194" t="s">
        <v>4</v>
      </c>
      <c r="O9" s="172"/>
      <c r="P9" s="171" t="s">
        <v>230</v>
      </c>
      <c r="Q9" s="194" t="s">
        <v>4</v>
      </c>
      <c r="R9" s="194" t="s">
        <v>3</v>
      </c>
      <c r="S9" s="172"/>
      <c r="T9" s="172"/>
      <c r="U9" s="171" t="s">
        <v>229</v>
      </c>
      <c r="V9" s="193"/>
      <c r="W9" s="213"/>
      <c r="X9" s="173"/>
    </row>
    <row r="10" spans="2:24">
      <c r="B10" s="161" t="s">
        <v>79</v>
      </c>
      <c r="C10" s="233" t="s">
        <v>251</v>
      </c>
      <c r="D10" s="13"/>
      <c r="F10" s="170"/>
      <c r="G10" s="202"/>
      <c r="H10" s="179" t="s">
        <v>5</v>
      </c>
      <c r="I10" s="156" t="str">
        <f>$C$9</f>
        <v>BP CAPITAL MARKETS</v>
      </c>
      <c r="J10" s="214"/>
      <c r="K10" s="195" t="s">
        <v>0</v>
      </c>
      <c r="L10" s="180" t="s">
        <v>6</v>
      </c>
      <c r="M10" s="181" t="s">
        <v>7</v>
      </c>
      <c r="N10" s="181" t="s">
        <v>8</v>
      </c>
      <c r="O10" s="172"/>
      <c r="P10" s="180" t="s">
        <v>6</v>
      </c>
      <c r="Q10" s="181" t="s">
        <v>253</v>
      </c>
      <c r="R10" s="181" t="s">
        <v>254</v>
      </c>
      <c r="S10" s="172"/>
      <c r="T10" s="182"/>
      <c r="U10" s="179" t="s">
        <v>5</v>
      </c>
      <c r="V10" s="156" t="str">
        <f>$C$5</f>
        <v>BP CAPITAL MARKETS</v>
      </c>
      <c r="W10" s="214"/>
      <c r="X10" s="173"/>
    </row>
    <row r="11" spans="2:24">
      <c r="B11" s="152" t="s">
        <v>148</v>
      </c>
      <c r="C11" s="218" t="s">
        <v>101</v>
      </c>
      <c r="D11" s="138"/>
      <c r="F11" s="170"/>
      <c r="G11" s="203" t="s">
        <v>89</v>
      </c>
      <c r="H11" s="183" t="s">
        <v>9</v>
      </c>
      <c r="I11" s="155" t="str">
        <f ca="1">IF(LEFT(_xll.BDP($C$10,$G11),1)="#","#LOADING",_xll.BDP($C$10,$G11))</f>
        <v>FIXED</v>
      </c>
      <c r="J11" s="159">
        <f ca="1">IF(LEFT(I11,1)="#",1,0)</f>
        <v>0</v>
      </c>
      <c r="K11" s="199"/>
      <c r="L11" s="184" t="s">
        <v>10</v>
      </c>
      <c r="M11" s="144">
        <v>1000000</v>
      </c>
      <c r="N11" s="144">
        <v>1000000</v>
      </c>
      <c r="O11" s="172"/>
      <c r="P11" s="184" t="s">
        <v>10</v>
      </c>
      <c r="Q11" s="144">
        <v>1000000</v>
      </c>
      <c r="R11" s="144">
        <v>1000000</v>
      </c>
      <c r="S11" s="172"/>
      <c r="T11" s="185" t="s">
        <v>89</v>
      </c>
      <c r="U11" s="183" t="s">
        <v>9</v>
      </c>
      <c r="V11" s="155" t="str">
        <f ca="1">IF(LEFT(_xll.BDP($C$6,$T11),1)="#","#LOADING",_xll.BDP($C$6,$T11))</f>
        <v>FLOATING</v>
      </c>
      <c r="W11" s="159">
        <f ca="1">IF(LEFT(V11,1)="#",1,0)</f>
        <v>0</v>
      </c>
      <c r="X11" s="173"/>
    </row>
    <row r="12" spans="2:24">
      <c r="B12" s="161" t="s">
        <v>156</v>
      </c>
      <c r="C12" s="219" t="s">
        <v>35</v>
      </c>
      <c r="D12" s="138"/>
      <c r="F12" s="170"/>
      <c r="G12" s="203" t="s">
        <v>81</v>
      </c>
      <c r="H12" s="183" t="s">
        <v>11</v>
      </c>
      <c r="I12" s="164" t="str">
        <f>$C$11</f>
        <v>USD</v>
      </c>
      <c r="J12" s="159"/>
      <c r="K12" s="195" t="s">
        <v>0</v>
      </c>
      <c r="L12" s="184" t="s">
        <v>13</v>
      </c>
      <c r="M12" s="140" t="s">
        <v>14</v>
      </c>
      <c r="N12" s="140" t="s">
        <v>14</v>
      </c>
      <c r="O12" s="172"/>
      <c r="P12" s="184" t="s">
        <v>13</v>
      </c>
      <c r="Q12" s="140" t="s">
        <v>14</v>
      </c>
      <c r="R12" s="140" t="s">
        <v>14</v>
      </c>
      <c r="S12" s="172"/>
      <c r="T12" s="185" t="s">
        <v>81</v>
      </c>
      <c r="U12" s="183" t="s">
        <v>11</v>
      </c>
      <c r="V12" s="165" t="str">
        <f>$C$7</f>
        <v>USD</v>
      </c>
      <c r="W12" s="159"/>
      <c r="X12" s="173"/>
    </row>
    <row r="13" spans="2:24">
      <c r="D13" s="138"/>
      <c r="F13" s="170"/>
      <c r="G13" s="204"/>
      <c r="H13" s="183" t="s">
        <v>15</v>
      </c>
      <c r="I13" s="141" t="str">
        <f>$C$10</f>
        <v>US05565QCT31 Corp</v>
      </c>
      <c r="J13" s="159"/>
      <c r="K13" s="195" t="s">
        <v>0</v>
      </c>
      <c r="L13" s="184" t="s">
        <v>16</v>
      </c>
      <c r="M13" s="140" t="s">
        <v>17</v>
      </c>
      <c r="N13" s="140" t="s">
        <v>18</v>
      </c>
      <c r="O13" s="172"/>
      <c r="P13" s="184" t="s">
        <v>16</v>
      </c>
      <c r="Q13" s="140" t="s">
        <v>17</v>
      </c>
      <c r="R13" s="140" t="s">
        <v>18</v>
      </c>
      <c r="S13" s="172"/>
      <c r="T13" s="186"/>
      <c r="U13" s="183" t="s">
        <v>15</v>
      </c>
      <c r="V13" s="141" t="str">
        <f>$C$6</f>
        <v>XS1193905160 Corp</v>
      </c>
      <c r="W13" s="159"/>
      <c r="X13" s="173"/>
    </row>
    <row r="14" spans="2:24">
      <c r="B14" s="160"/>
      <c r="D14" s="138"/>
      <c r="F14" s="170"/>
      <c r="G14" s="204"/>
      <c r="H14" s="183" t="s">
        <v>19</v>
      </c>
      <c r="I14" s="139" t="s">
        <v>20</v>
      </c>
      <c r="J14" s="159"/>
      <c r="K14" s="195" t="s">
        <v>0</v>
      </c>
      <c r="L14" s="184" t="s">
        <v>21</v>
      </c>
      <c r="M14" s="149"/>
      <c r="N14" s="142" t="str">
        <f>$I$12&amp;VLOOKUP($C$12,Static.FrequencyToCurveIndex,2,FALSE)</f>
        <v>USD3ML</v>
      </c>
      <c r="O14" s="172"/>
      <c r="P14" s="184" t="s">
        <v>21</v>
      </c>
      <c r="Q14" s="142"/>
      <c r="R14" s="142" t="str">
        <f>$I$12&amp;VLOOKUP($C$12,Static.FrequencyToCurveIndex,2,FALSE)</f>
        <v>USD3ML</v>
      </c>
      <c r="S14" s="172"/>
      <c r="T14" s="186"/>
      <c r="U14" s="183" t="s">
        <v>19</v>
      </c>
      <c r="V14" s="139" t="s">
        <v>20</v>
      </c>
      <c r="W14" s="159"/>
      <c r="X14" s="173"/>
    </row>
    <row r="15" spans="2:24">
      <c r="B15" s="160" t="s">
        <v>237</v>
      </c>
      <c r="F15" s="170"/>
      <c r="G15" s="203" t="s">
        <v>82</v>
      </c>
      <c r="H15" s="183" t="s">
        <v>22</v>
      </c>
      <c r="I15" s="155" t="b">
        <f ca="1">IF(LEFT(_xll.BDP($C$10,$G15),1)="#","#LOADING",IF(_xll.BDP($C$10,$G15)="CLEAN",TRUE,FALSE))</f>
        <v>1</v>
      </c>
      <c r="J15" s="159">
        <f t="shared" ref="J15:J34" ca="1" si="0">IF(LEFT(I15,1)="#",1,0)</f>
        <v>0</v>
      </c>
      <c r="K15" s="195" t="s">
        <v>0</v>
      </c>
      <c r="L15" s="184" t="s">
        <v>23</v>
      </c>
      <c r="M15" s="142" t="str">
        <f>VLOOKUP($I$12,Static.CurrencyToAssetSwap,3,FALSE)</f>
        <v>USDOIS</v>
      </c>
      <c r="N15" s="142" t="str">
        <f>VLOOKUP($I$12,Static.CurrencyToAssetSwap,3,FALSE)</f>
        <v>USDOIS</v>
      </c>
      <c r="O15" s="172"/>
      <c r="P15" s="184" t="s">
        <v>23</v>
      </c>
      <c r="Q15" s="142" t="str">
        <f>VLOOKUP($V$12,Static.CurrencyToAssetSwap,3,FALSE)</f>
        <v>USDOIS</v>
      </c>
      <c r="R15" s="142" t="str">
        <f>VLOOKUP($V$12,Static.CurrencyToAssetSwap,3,FALSE)</f>
        <v>USDOIS</v>
      </c>
      <c r="S15" s="172"/>
      <c r="T15" s="185" t="s">
        <v>82</v>
      </c>
      <c r="U15" s="183" t="s">
        <v>22</v>
      </c>
      <c r="V15" s="155" t="b">
        <f ca="1">IF(LEFT(_xll.BDP($C$6,$T15),1)="#","#LOADING",_xll.BDP($C$6,$T15)="CLEAN")</f>
        <v>1</v>
      </c>
      <c r="W15" s="159">
        <f t="shared" ref="W15:W34" ca="1" si="1">IF(LEFT(V15,1)="#",1,0)</f>
        <v>0</v>
      </c>
      <c r="X15" s="173"/>
    </row>
    <row r="16" spans="2:24">
      <c r="B16" s="152" t="s">
        <v>151</v>
      </c>
      <c r="C16" s="221" t="str">
        <f ca="1">I7</f>
        <v>PROXY_BOND_US05565QCT31@103:4</v>
      </c>
      <c r="D16" s="137" t="s">
        <v>0</v>
      </c>
      <c r="F16" s="170"/>
      <c r="G16" s="204"/>
      <c r="H16" s="183" t="s">
        <v>25</v>
      </c>
      <c r="I16" s="139" t="s">
        <v>26</v>
      </c>
      <c r="J16" s="159"/>
      <c r="K16" s="195" t="s">
        <v>0</v>
      </c>
      <c r="L16" s="184" t="s">
        <v>11</v>
      </c>
      <c r="M16" s="164" t="str">
        <f>$I$12</f>
        <v>USD</v>
      </c>
      <c r="N16" s="164" t="str">
        <f>$I$12</f>
        <v>USD</v>
      </c>
      <c r="O16" s="172"/>
      <c r="P16" s="184" t="s">
        <v>11</v>
      </c>
      <c r="Q16" s="165" t="str">
        <f>$V$12</f>
        <v>USD</v>
      </c>
      <c r="R16" s="165" t="str">
        <f>$V$12</f>
        <v>USD</v>
      </c>
      <c r="S16" s="172"/>
      <c r="T16" s="186"/>
      <c r="U16" s="183" t="s">
        <v>25</v>
      </c>
      <c r="V16" s="139" t="s">
        <v>26</v>
      </c>
      <c r="W16" s="159"/>
      <c r="X16" s="173"/>
    </row>
    <row r="17" spans="2:24">
      <c r="B17" s="152" t="s">
        <v>150</v>
      </c>
      <c r="C17" s="222" t="str">
        <f ca="1">M7</f>
        <v>PROXY_ASW_USN4578BQA53@102:4</v>
      </c>
      <c r="D17" s="137" t="s">
        <v>0</v>
      </c>
      <c r="F17" s="170"/>
      <c r="G17" s="204"/>
      <c r="H17" s="183" t="s">
        <v>16</v>
      </c>
      <c r="I17" s="140" t="s">
        <v>18</v>
      </c>
      <c r="J17" s="159"/>
      <c r="K17" s="195" t="s">
        <v>0</v>
      </c>
      <c r="L17" s="184" t="s">
        <v>27</v>
      </c>
      <c r="M17" s="187">
        <v>1</v>
      </c>
      <c r="N17" s="187">
        <v>1</v>
      </c>
      <c r="O17" s="172"/>
      <c r="P17" s="184" t="s">
        <v>27</v>
      </c>
      <c r="Q17" s="187">
        <v>1</v>
      </c>
      <c r="R17" s="187">
        <v>1</v>
      </c>
      <c r="S17" s="172"/>
      <c r="T17" s="186"/>
      <c r="U17" s="183" t="s">
        <v>16</v>
      </c>
      <c r="V17" s="140" t="s">
        <v>18</v>
      </c>
      <c r="W17" s="159"/>
      <c r="X17" s="173"/>
    </row>
    <row r="18" spans="2:24">
      <c r="B18" s="152" t="s">
        <v>165</v>
      </c>
      <c r="C18" s="222" t="str">
        <f ca="1">Q7</f>
        <v>BOND_ASW_XS1193905160@104:4</v>
      </c>
      <c r="D18" s="137" t="s">
        <v>0</v>
      </c>
      <c r="F18" s="170"/>
      <c r="G18" s="204"/>
      <c r="H18" s="183" t="s">
        <v>13</v>
      </c>
      <c r="I18" s="143" t="s">
        <v>28</v>
      </c>
      <c r="J18" s="159"/>
      <c r="K18" s="195" t="s">
        <v>0</v>
      </c>
      <c r="L18" s="184" t="s">
        <v>29</v>
      </c>
      <c r="M18" s="188">
        <f ca="1">$I$25</f>
        <v>2.521E-2</v>
      </c>
      <c r="N18" s="189"/>
      <c r="O18" s="172"/>
      <c r="P18" s="184" t="s">
        <v>29</v>
      </c>
      <c r="Q18" s="188">
        <f ca="1">$V$25</f>
        <v>3.2445000000000002E-2</v>
      </c>
      <c r="R18" s="189"/>
      <c r="S18" s="172"/>
      <c r="T18" s="186"/>
      <c r="U18" s="183" t="s">
        <v>13</v>
      </c>
      <c r="V18" s="143" t="s">
        <v>28</v>
      </c>
      <c r="W18" s="159"/>
      <c r="X18" s="173"/>
    </row>
    <row r="19" spans="2:24">
      <c r="B19" s="152" t="s">
        <v>152</v>
      </c>
      <c r="C19" s="223" t="str">
        <f ca="1">V7</f>
        <v>BOND_XS1339542364@105:4</v>
      </c>
      <c r="D19" s="137" t="s">
        <v>0</v>
      </c>
      <c r="F19" s="170"/>
      <c r="G19" s="204"/>
      <c r="H19" s="183" t="s">
        <v>30</v>
      </c>
      <c r="I19" s="144">
        <v>1000000</v>
      </c>
      <c r="J19" s="159"/>
      <c r="K19" s="195" t="s">
        <v>0</v>
      </c>
      <c r="L19" s="184" t="s">
        <v>31</v>
      </c>
      <c r="M19" s="140"/>
      <c r="N19" s="140" t="s">
        <v>32</v>
      </c>
      <c r="O19" s="172"/>
      <c r="P19" s="184" t="s">
        <v>31</v>
      </c>
      <c r="Q19" s="140"/>
      <c r="R19" s="140" t="s">
        <v>32</v>
      </c>
      <c r="S19" s="172"/>
      <c r="T19" s="186"/>
      <c r="U19" s="183" t="s">
        <v>30</v>
      </c>
      <c r="V19" s="144">
        <v>1000000</v>
      </c>
      <c r="W19" s="159"/>
      <c r="X19" s="173"/>
    </row>
    <row r="20" spans="2:24">
      <c r="F20" s="170"/>
      <c r="G20" s="203" t="s">
        <v>83</v>
      </c>
      <c r="H20" s="183" t="s">
        <v>33</v>
      </c>
      <c r="I20" s="155">
        <f ca="1">IF(LEFT(_xll.BDP($C$10,$G20),1)="#","#LOADING",DATEVALUE(_xll.BDP($C$10,$G20)))</f>
        <v>41947</v>
      </c>
      <c r="J20" s="159">
        <f t="shared" ca="1" si="0"/>
        <v>0</v>
      </c>
      <c r="K20" s="195" t="s">
        <v>0</v>
      </c>
      <c r="L20" s="184" t="s">
        <v>34</v>
      </c>
      <c r="M20" s="140"/>
      <c r="N20" s="140" t="s">
        <v>32</v>
      </c>
      <c r="O20" s="172"/>
      <c r="P20" s="184" t="s">
        <v>34</v>
      </c>
      <c r="Q20" s="140"/>
      <c r="R20" s="140" t="s">
        <v>32</v>
      </c>
      <c r="S20" s="172"/>
      <c r="T20" s="185" t="s">
        <v>83</v>
      </c>
      <c r="U20" s="183" t="s">
        <v>33</v>
      </c>
      <c r="V20" s="157">
        <f ca="1">IF(LEFT(_xll.BDP($C$6,$T20),1)="#","#LOADING",DATEVALUE(_xll.BDP($C$6,$T20)))</f>
        <v>42055</v>
      </c>
      <c r="W20" s="159">
        <f t="shared" ca="1" si="1"/>
        <v>0</v>
      </c>
      <c r="X20" s="173"/>
    </row>
    <row r="21" spans="2:24">
      <c r="D21" s="138"/>
      <c r="F21" s="170"/>
      <c r="G21" s="203" t="s">
        <v>85</v>
      </c>
      <c r="H21" s="183" t="s">
        <v>36</v>
      </c>
      <c r="I21" s="155">
        <f ca="1">IF(LEFT(_xll.BDP($C$10,$G21),1)="#","#LOADING",DATEVALUE(_xll.BDP($C$10,$G21)))</f>
        <v>41947</v>
      </c>
      <c r="J21" s="159">
        <f t="shared" ca="1" si="0"/>
        <v>0</v>
      </c>
      <c r="K21" s="195" t="s">
        <v>0</v>
      </c>
      <c r="L21" s="184" t="s">
        <v>37</v>
      </c>
      <c r="M21" s="190"/>
      <c r="N21" s="154"/>
      <c r="O21" s="172"/>
      <c r="P21" s="184" t="s">
        <v>37</v>
      </c>
      <c r="Q21" s="190"/>
      <c r="R21" s="154"/>
      <c r="S21" s="172"/>
      <c r="T21" s="185" t="s">
        <v>85</v>
      </c>
      <c r="U21" s="183" t="s">
        <v>36</v>
      </c>
      <c r="V21" s="157">
        <f ca="1">IF(LEFT(_xll.BDP($C$6,$T21),1)="#","#LOADING",IF(DATEVALUE(_xll.BDP($C$6,$T21))&gt;V22,V20,DATEVALUE(_xll.BDP($C$6,$T21))))</f>
        <v>42055</v>
      </c>
      <c r="W21" s="159">
        <f t="shared" ca="1" si="1"/>
        <v>0</v>
      </c>
      <c r="X21" s="173"/>
    </row>
    <row r="22" spans="2:24">
      <c r="B22" s="160" t="s">
        <v>237</v>
      </c>
      <c r="C22" s="152"/>
      <c r="D22" s="138"/>
      <c r="F22" s="170"/>
      <c r="G22" s="203" t="s">
        <v>86</v>
      </c>
      <c r="H22" s="191" t="s">
        <v>38</v>
      </c>
      <c r="I22" s="155">
        <f ca="1">IF(LEFT(_xll.BDP($C$10,$G22),1)="#","#LOADING",DATEVALUE(_xll.BDP($C$10,$G22)))</f>
        <v>42019</v>
      </c>
      <c r="J22" s="159">
        <f t="shared" ca="1" si="0"/>
        <v>0</v>
      </c>
      <c r="K22" s="195" t="s">
        <v>0</v>
      </c>
      <c r="L22" s="184" t="s">
        <v>39</v>
      </c>
      <c r="M22" s="190"/>
      <c r="N22" s="190"/>
      <c r="O22" s="172"/>
      <c r="P22" s="184" t="s">
        <v>39</v>
      </c>
      <c r="Q22" s="190"/>
      <c r="R22" s="190"/>
      <c r="S22" s="172"/>
      <c r="T22" s="185" t="s">
        <v>86</v>
      </c>
      <c r="U22" s="191" t="s">
        <v>38</v>
      </c>
      <c r="V22" s="157">
        <f ca="1">IF(LEFT(_xll.BDP($C$6,$T22),1)="#","#LOADING",DATEVALUE(_xll.BDP($C$6,$T22)))</f>
        <v>42144</v>
      </c>
      <c r="W22" s="159">
        <f t="shared" ca="1" si="1"/>
        <v>0</v>
      </c>
      <c r="X22" s="173"/>
    </row>
    <row r="23" spans="2:24">
      <c r="C23" s="152"/>
      <c r="D23" s="138"/>
      <c r="F23" s="170"/>
      <c r="G23" s="203" t="s">
        <v>87</v>
      </c>
      <c r="H23" s="191" t="s">
        <v>40</v>
      </c>
      <c r="I23" s="155">
        <f ca="1">IF(LEFT(_xll.BDP($C$10,$G23),1)="#","#LOADING",DATEVALUE(_xll.BDP($C$10,$G23)))</f>
        <v>43661</v>
      </c>
      <c r="J23" s="159">
        <f t="shared" ca="1" si="0"/>
        <v>0</v>
      </c>
      <c r="K23" s="195" t="s">
        <v>0</v>
      </c>
      <c r="L23" s="184" t="s">
        <v>41</v>
      </c>
      <c r="M23" s="187"/>
      <c r="N23" s="192"/>
      <c r="O23" s="172"/>
      <c r="P23" s="184" t="s">
        <v>41</v>
      </c>
      <c r="Q23" s="187"/>
      <c r="R23" s="192"/>
      <c r="S23" s="172"/>
      <c r="T23" s="185" t="s">
        <v>87</v>
      </c>
      <c r="U23" s="191" t="s">
        <v>40</v>
      </c>
      <c r="V23" s="157">
        <f ca="1">IF(LEFT(_xll.BDP($C$6,$T23),1)="#","#LOADING",DATEVALUE(_xll.BDP($C$6,$T23)))</f>
        <v>43789</v>
      </c>
      <c r="W23" s="159">
        <f t="shared" ca="1" si="1"/>
        <v>0</v>
      </c>
      <c r="X23" s="173"/>
    </row>
    <row r="24" spans="2:24">
      <c r="C24" s="138" t="s">
        <v>239</v>
      </c>
      <c r="D24" s="138"/>
      <c r="F24" s="170"/>
      <c r="G24" s="203" t="s">
        <v>84</v>
      </c>
      <c r="H24" s="183" t="s">
        <v>42</v>
      </c>
      <c r="I24" s="155">
        <f ca="1">IF(LEFT(_xll.BDP($C$10,$G24),1)="#","#LOADING",DATEVALUE(_xll.BDP($C$10,$G24)))</f>
        <v>43845</v>
      </c>
      <c r="J24" s="159">
        <f t="shared" ca="1" si="0"/>
        <v>0</v>
      </c>
      <c r="K24" s="195" t="s">
        <v>0</v>
      </c>
      <c r="L24" s="184" t="s">
        <v>43</v>
      </c>
      <c r="M24" s="145">
        <f ca="1">$I$21</f>
        <v>41947</v>
      </c>
      <c r="N24" s="145">
        <f ca="1">$I$21</f>
        <v>41947</v>
      </c>
      <c r="O24" s="172"/>
      <c r="P24" s="184" t="s">
        <v>43</v>
      </c>
      <c r="Q24" s="145">
        <f ca="1">$V$21</f>
        <v>42055</v>
      </c>
      <c r="R24" s="145">
        <f ca="1">$V$21</f>
        <v>42055</v>
      </c>
      <c r="S24" s="172"/>
      <c r="T24" s="185" t="s">
        <v>84</v>
      </c>
      <c r="U24" s="183" t="s">
        <v>42</v>
      </c>
      <c r="V24" s="157">
        <f ca="1">IF(LEFT(_xll.BDP($C$6,$T24),1)="#","#LOADING",DATEVALUE(_xll.BDP($C$6,$T24)))</f>
        <v>43881</v>
      </c>
      <c r="W24" s="159">
        <f t="shared" ca="1" si="1"/>
        <v>0</v>
      </c>
      <c r="X24" s="173"/>
    </row>
    <row r="25" spans="2:24">
      <c r="B25" s="152" t="s">
        <v>240</v>
      </c>
      <c r="C25" s="216" t="s">
        <v>163</v>
      </c>
      <c r="D25" s="138" t="s">
        <v>164</v>
      </c>
      <c r="F25" s="170"/>
      <c r="G25" s="203" t="s">
        <v>88</v>
      </c>
      <c r="H25" s="183" t="s">
        <v>44</v>
      </c>
      <c r="I25" s="158">
        <f ca="1">IF(LEFT(_xll.BDP($C$10,$G25),1)="#","#LOADING",_xll.BDP($C$10,$G25)%)</f>
        <v>2.521E-2</v>
      </c>
      <c r="J25" s="159">
        <f t="shared" ca="1" si="0"/>
        <v>0</v>
      </c>
      <c r="K25" s="195" t="s">
        <v>0</v>
      </c>
      <c r="L25" s="184" t="s">
        <v>42</v>
      </c>
      <c r="M25" s="145">
        <f ca="1">$I$24</f>
        <v>43845</v>
      </c>
      <c r="N25" s="145">
        <f ca="1">$I$24</f>
        <v>43845</v>
      </c>
      <c r="O25" s="172"/>
      <c r="P25" s="184" t="s">
        <v>42</v>
      </c>
      <c r="Q25" s="145">
        <f ca="1">$V$24</f>
        <v>43881</v>
      </c>
      <c r="R25" s="145">
        <f ca="1">$V$24</f>
        <v>43881</v>
      </c>
      <c r="S25" s="172"/>
      <c r="T25" s="185" t="s">
        <v>88</v>
      </c>
      <c r="U25" s="183" t="s">
        <v>44</v>
      </c>
      <c r="V25" s="158">
        <f ca="1">IF(LEFT(_xll.BDP($C$6,$T25),1)="#","#LOADING",_xll.BDP($C$6,$T25)%)</f>
        <v>3.2445000000000002E-2</v>
      </c>
      <c r="W25" s="159">
        <f t="shared" ca="1" si="1"/>
        <v>0</v>
      </c>
      <c r="X25" s="173"/>
    </row>
    <row r="26" spans="2:24">
      <c r="B26" s="152" t="s">
        <v>241</v>
      </c>
      <c r="C26" s="226">
        <f ca="1">IF(ISBLANK(D26),_xll.BDP(C10&amp;" "&amp;$C$25&amp;" Corp","PX_LAST"),D26)</f>
        <v>99.709000000000003</v>
      </c>
      <c r="D26" s="224"/>
      <c r="F26" s="170"/>
      <c r="G26" s="203" t="s">
        <v>90</v>
      </c>
      <c r="H26" s="183" t="s">
        <v>47</v>
      </c>
      <c r="I26" s="158" t="str">
        <f ca="1">IF(LEFT(_xll.BDP($C$10,$G26),1)="#","#LOADING",VLOOKUP(_xll.BDP($C$10,$G26),Static.CouponFrequency,2,FALSE))</f>
        <v>SEMI-ANNUAL</v>
      </c>
      <c r="J26" s="159">
        <f t="shared" ca="1" si="0"/>
        <v>0</v>
      </c>
      <c r="K26" s="195" t="s">
        <v>0</v>
      </c>
      <c r="L26" s="184" t="s">
        <v>48</v>
      </c>
      <c r="M26" s="146" t="str">
        <f ca="1">$I$26</f>
        <v>SEMI-ANNUAL</v>
      </c>
      <c r="N26" s="142" t="str">
        <f>$C$8</f>
        <v>QUARTERLY</v>
      </c>
      <c r="O26" s="172"/>
      <c r="P26" s="184" t="s">
        <v>48</v>
      </c>
      <c r="Q26" s="146" t="str">
        <f ca="1">$V$26</f>
        <v>QUARTERLY</v>
      </c>
      <c r="R26" s="142" t="str">
        <f>$C$12</f>
        <v>QUARTERLY</v>
      </c>
      <c r="S26" s="172"/>
      <c r="T26" s="185" t="s">
        <v>90</v>
      </c>
      <c r="U26" s="183" t="s">
        <v>47</v>
      </c>
      <c r="V26" s="158" t="str">
        <f ca="1">IF(LEFT(_xll.BDP($C$6,$T26),1)="#","#LOADING",VLOOKUP(_xll.BDP($C$6,$T26),Static.CouponFrequency,2,FALSE))</f>
        <v>QUARTERLY</v>
      </c>
      <c r="W26" s="159">
        <f t="shared" ca="1" si="1"/>
        <v>0</v>
      </c>
      <c r="X26" s="173"/>
    </row>
    <row r="27" spans="2:24">
      <c r="B27" s="152" t="s">
        <v>248</v>
      </c>
      <c r="C27" s="227">
        <f ca="1">IF(ISBLANK(D27),_xll.meLWOAssetSwapSpread(C17,C16,C26,INDIRECT("ValuationSettings"&amp;$C$11),INDIRECT("Fixings"&amp;$C$11&amp;IF(C12="QUARTERLY","3ML","6ML"))),D27)</f>
        <v>13.368558354806424</v>
      </c>
      <c r="D27" s="225"/>
      <c r="F27" s="170"/>
      <c r="G27" s="204"/>
      <c r="H27" s="183" t="s">
        <v>50</v>
      </c>
      <c r="I27" s="147" t="s">
        <v>51</v>
      </c>
      <c r="J27" s="159"/>
      <c r="K27" s="195" t="s">
        <v>0</v>
      </c>
      <c r="L27" s="184" t="s">
        <v>52</v>
      </c>
      <c r="M27" s="146" t="str">
        <f ca="1">$I$26</f>
        <v>SEMI-ANNUAL</v>
      </c>
      <c r="N27" s="142" t="str">
        <f>$C$8</f>
        <v>QUARTERLY</v>
      </c>
      <c r="O27" s="172"/>
      <c r="P27" s="184" t="s">
        <v>52</v>
      </c>
      <c r="Q27" s="146" t="str">
        <f ca="1">$V$26</f>
        <v>QUARTERLY</v>
      </c>
      <c r="R27" s="142" t="str">
        <f>$C$12</f>
        <v>QUARTERLY</v>
      </c>
      <c r="S27" s="172"/>
      <c r="T27" s="186"/>
      <c r="U27" s="183" t="s">
        <v>50</v>
      </c>
      <c r="V27" s="147" t="s">
        <v>51</v>
      </c>
      <c r="W27" s="159"/>
      <c r="X27" s="173"/>
    </row>
    <row r="28" spans="2:24">
      <c r="B28" s="152" t="s">
        <v>243</v>
      </c>
      <c r="C28" s="228">
        <f ca="1">_xll.meLWOAssetSwapSpreadToCleanPrice(C18,C27,INDIRECT("ValuationSettings"&amp;$C$7),INDIRECT("Fixings"&amp;$C$7&amp;IF(C8="QUARTERLY","3ML","6ML")))</f>
        <v>100.58417155472794</v>
      </c>
      <c r="D28" s="255"/>
      <c r="F28" s="170"/>
      <c r="G28" s="204"/>
      <c r="H28" s="183" t="s">
        <v>53</v>
      </c>
      <c r="I28" s="142" t="str">
        <f>VLOOKUP(I$12,Static.CurrencyToCalendar,2,FALSE)</f>
        <v>NYB</v>
      </c>
      <c r="J28" s="159"/>
      <c r="K28" s="195" t="s">
        <v>0</v>
      </c>
      <c r="L28" s="184" t="s">
        <v>54</v>
      </c>
      <c r="M28" s="148" t="str">
        <f ca="1">$I$32</f>
        <v>30/360</v>
      </c>
      <c r="N28" s="142" t="str">
        <f>VLOOKUP($I$12,Static.CurrencyToAssetSwap,6,FALSE)</f>
        <v>ACT/360</v>
      </c>
      <c r="O28" s="172"/>
      <c r="P28" s="184" t="s">
        <v>54</v>
      </c>
      <c r="Q28" s="148" t="str">
        <f ca="1">$V$32</f>
        <v>ACT/360</v>
      </c>
      <c r="R28" s="142" t="str">
        <f>VLOOKUP($V$12,Static.CurrencyToAssetSwap,6,FALSE)</f>
        <v>ACT/360</v>
      </c>
      <c r="S28" s="172"/>
      <c r="T28" s="186"/>
      <c r="U28" s="183" t="s">
        <v>53</v>
      </c>
      <c r="V28" s="142" t="str">
        <f>VLOOKUP(V$12,Static.CurrencyToCalendar,2,FALSE)</f>
        <v>NYB</v>
      </c>
      <c r="W28" s="159"/>
      <c r="X28" s="173"/>
    </row>
    <row r="29" spans="2:24">
      <c r="B29" s="152" t="s">
        <v>244</v>
      </c>
      <c r="C29" s="228">
        <f ca="1">_xll.meLWOBondPriceFromCleanToDirty($C$19,$B$33:$C$34,C28)</f>
        <v>101.26912155472795</v>
      </c>
      <c r="D29" s="152" t="s">
        <v>0</v>
      </c>
      <c r="F29" s="170"/>
      <c r="G29" s="204"/>
      <c r="H29" s="183" t="s">
        <v>56</v>
      </c>
      <c r="I29" s="140" t="s">
        <v>51</v>
      </c>
      <c r="J29" s="159"/>
      <c r="K29" s="195" t="s">
        <v>0</v>
      </c>
      <c r="L29" s="184" t="s">
        <v>57</v>
      </c>
      <c r="M29" s="140"/>
      <c r="N29" s="140" t="s">
        <v>58</v>
      </c>
      <c r="O29" s="172"/>
      <c r="P29" s="184" t="s">
        <v>57</v>
      </c>
      <c r="Q29" s="140"/>
      <c r="R29" s="140" t="s">
        <v>58</v>
      </c>
      <c r="S29" s="172"/>
      <c r="T29" s="186"/>
      <c r="U29" s="183" t="s">
        <v>56</v>
      </c>
      <c r="V29" s="140" t="s">
        <v>51</v>
      </c>
      <c r="W29" s="159"/>
      <c r="X29" s="173"/>
    </row>
    <row r="30" spans="2:24">
      <c r="B30" s="152" t="s">
        <v>245</v>
      </c>
      <c r="C30" s="230">
        <f ca="1">_xll.meLWOBondYield(C19,B33:C36,IF(V15,C28,C29))</f>
        <v>2.7834880729601635E-2</v>
      </c>
      <c r="D30" s="152" t="s">
        <v>0</v>
      </c>
      <c r="F30" s="170"/>
      <c r="G30" s="204"/>
      <c r="H30" s="183" t="s">
        <v>59</v>
      </c>
      <c r="I30" s="142" t="str">
        <f>VLOOKUP(I$12,Static.CurrencyToCalendar,2,FALSE)</f>
        <v>NYB</v>
      </c>
      <c r="J30" s="159"/>
      <c r="K30" s="195" t="s">
        <v>0</v>
      </c>
      <c r="L30" s="184" t="s">
        <v>60</v>
      </c>
      <c r="M30" s="140"/>
      <c r="N30" s="142" t="str">
        <f>VLOOKUP($I$12,Static.CurrencyToAssetSwap,4,FALSE)</f>
        <v>NYB:LNB</v>
      </c>
      <c r="O30" s="172"/>
      <c r="P30" s="184" t="s">
        <v>60</v>
      </c>
      <c r="Q30" s="140"/>
      <c r="R30" s="142" t="str">
        <f>VLOOKUP($V$12,Static.CurrencyToAssetSwap,4,FALSE)</f>
        <v>NYB:LNB</v>
      </c>
      <c r="S30" s="172"/>
      <c r="T30" s="186"/>
      <c r="U30" s="183" t="s">
        <v>59</v>
      </c>
      <c r="V30" s="142" t="str">
        <f>VLOOKUP(V$12,Static.CurrencyToCalendar,2,FALSE)</f>
        <v>NYB</v>
      </c>
      <c r="W30" s="159"/>
      <c r="X30" s="173"/>
    </row>
    <row r="31" spans="2:24">
      <c r="C31" s="256"/>
      <c r="D31" s="152"/>
      <c r="F31" s="170"/>
      <c r="G31" s="204"/>
      <c r="H31" s="183" t="s">
        <v>61</v>
      </c>
      <c r="I31" s="140" t="s">
        <v>62</v>
      </c>
      <c r="J31" s="159"/>
      <c r="K31" s="195" t="s">
        <v>0</v>
      </c>
      <c r="L31" s="184" t="s">
        <v>50</v>
      </c>
      <c r="M31" s="140" t="s">
        <v>51</v>
      </c>
      <c r="N31" s="140" t="s">
        <v>51</v>
      </c>
      <c r="O31" s="172"/>
      <c r="P31" s="184" t="s">
        <v>50</v>
      </c>
      <c r="Q31" s="140" t="s">
        <v>51</v>
      </c>
      <c r="R31" s="140" t="s">
        <v>51</v>
      </c>
      <c r="S31" s="172"/>
      <c r="T31" s="186"/>
      <c r="U31" s="183" t="s">
        <v>61</v>
      </c>
      <c r="V31" s="140" t="s">
        <v>62</v>
      </c>
      <c r="W31" s="159"/>
      <c r="X31" s="173"/>
    </row>
    <row r="32" spans="2:24">
      <c r="B32" s="160" t="s">
        <v>255</v>
      </c>
      <c r="C32" s="152"/>
      <c r="D32" s="152"/>
      <c r="F32" s="170"/>
      <c r="G32" s="203" t="s">
        <v>98</v>
      </c>
      <c r="H32" s="183" t="s">
        <v>63</v>
      </c>
      <c r="I32" s="159" t="str">
        <f ca="1">IF(LEFT(_xll.BDP($C$10,$G32),1)="#","#LOADING",_xll.BDP($C$10,$G32))</f>
        <v>30/360</v>
      </c>
      <c r="J32" s="159">
        <f t="shared" ca="1" si="0"/>
        <v>0</v>
      </c>
      <c r="K32" s="195" t="s">
        <v>0</v>
      </c>
      <c r="L32" s="184" t="s">
        <v>53</v>
      </c>
      <c r="M32" s="142" t="str">
        <f>$I$28</f>
        <v>NYB</v>
      </c>
      <c r="N32" s="142" t="str">
        <f>VLOOKUP($I$12,Static.CurrencyToAssetSwap,5,FALSE)</f>
        <v>NYB</v>
      </c>
      <c r="O32" s="172"/>
      <c r="P32" s="184" t="s">
        <v>53</v>
      </c>
      <c r="Q32" s="142" t="str">
        <f>$V$28</f>
        <v>NYB</v>
      </c>
      <c r="R32" s="142" t="str">
        <f>VLOOKUP($V$12,Static.CurrencyToAssetSwap,5,FALSE)</f>
        <v>NYB</v>
      </c>
      <c r="S32" s="172"/>
      <c r="T32" s="185" t="s">
        <v>98</v>
      </c>
      <c r="U32" s="183" t="s">
        <v>63</v>
      </c>
      <c r="V32" s="159" t="str">
        <f ca="1">IF(LEFT(_xll.BDP($C$6,$T32),1)="#","#LOADING",_xll.BDP($C$6,$T32))</f>
        <v>ACT/360</v>
      </c>
      <c r="W32" s="159">
        <f t="shared" ca="1" si="1"/>
        <v>0</v>
      </c>
      <c r="X32" s="173"/>
    </row>
    <row r="33" spans="2:24">
      <c r="B33" s="257" t="s">
        <v>256</v>
      </c>
      <c r="C33" s="258">
        <f ca="1">ValuationDateUSD</f>
        <v>43500</v>
      </c>
      <c r="D33" s="152"/>
      <c r="F33" s="170"/>
      <c r="G33" s="204"/>
      <c r="H33" s="183" t="s">
        <v>64</v>
      </c>
      <c r="I33" s="150"/>
      <c r="J33" s="159"/>
      <c r="K33" s="195" t="s">
        <v>0</v>
      </c>
      <c r="L33" s="184" t="s">
        <v>56</v>
      </c>
      <c r="M33" s="140" t="s">
        <v>51</v>
      </c>
      <c r="N33" s="140" t="s">
        <v>51</v>
      </c>
      <c r="O33" s="172"/>
      <c r="P33" s="184" t="s">
        <v>56</v>
      </c>
      <c r="Q33" s="140" t="s">
        <v>51</v>
      </c>
      <c r="R33" s="140" t="s">
        <v>51</v>
      </c>
      <c r="S33" s="172"/>
      <c r="T33" s="186"/>
      <c r="U33" s="183" t="s">
        <v>64</v>
      </c>
      <c r="V33" s="150"/>
      <c r="W33" s="159"/>
      <c r="X33" s="173"/>
    </row>
    <row r="34" spans="2:24">
      <c r="B34" s="259" t="s">
        <v>257</v>
      </c>
      <c r="C34" s="260">
        <f ca="1">V25</f>
        <v>3.2445000000000002E-2</v>
      </c>
      <c r="D34" s="152"/>
      <c r="F34" s="170"/>
      <c r="G34" s="203" t="s">
        <v>97</v>
      </c>
      <c r="H34" s="183" t="s">
        <v>65</v>
      </c>
      <c r="I34" s="159" t="str">
        <f ca="1">IF(LEFT(_xll.BDP($C$10,$G34),1)="#","#LOADING","Type"&amp;IF(_xll.BDP($C$10,$G34)=999,1,_xll.BDP($C$10,$G34)))</f>
        <v>Type1</v>
      </c>
      <c r="J34" s="159">
        <f t="shared" ca="1" si="0"/>
        <v>0</v>
      </c>
      <c r="K34" s="195" t="s">
        <v>0</v>
      </c>
      <c r="L34" s="184" t="s">
        <v>59</v>
      </c>
      <c r="M34" s="142" t="str">
        <f>$I$30</f>
        <v>NYB</v>
      </c>
      <c r="N34" s="142" t="str">
        <f>VLOOKUP($I$12,Static.CurrencyToAssetSwap,5,FALSE)</f>
        <v>NYB</v>
      </c>
      <c r="O34" s="172"/>
      <c r="P34" s="184" t="s">
        <v>59</v>
      </c>
      <c r="Q34" s="142" t="str">
        <f>$V$30</f>
        <v>NYB</v>
      </c>
      <c r="R34" s="142" t="str">
        <f>VLOOKUP($V$12,Static.CurrencyToAssetSwap,5,FALSE)</f>
        <v>NYB</v>
      </c>
      <c r="S34" s="172"/>
      <c r="T34" s="185" t="s">
        <v>97</v>
      </c>
      <c r="U34" s="183" t="s">
        <v>65</v>
      </c>
      <c r="V34" s="159" t="str">
        <f ca="1">IF(LEFT(_xll.BDP($C$6,$T34),1)="#","#LOADING","Type"&amp;IF(_xll.BDP($C$6,$U34)=999,1,_xll.BDP($C$6,$T34)))</f>
        <v>Type21</v>
      </c>
      <c r="W34" s="159">
        <f t="shared" ca="1" si="1"/>
        <v>0</v>
      </c>
      <c r="X34" s="173"/>
    </row>
    <row r="35" spans="2:24">
      <c r="B35" s="259" t="s">
        <v>258</v>
      </c>
      <c r="C35" s="261">
        <f ca="1">V39</f>
        <v>2.7374999999999997E-2</v>
      </c>
      <c r="D35" s="152"/>
      <c r="F35" s="170"/>
      <c r="G35" s="205" t="str">
        <f ca="1">"ExDividendTenor"&amp;$V$34</f>
        <v>ExDividendTenorType21</v>
      </c>
      <c r="H35" s="206" t="str">
        <f t="array" aca="1" ref="H35:I36" ca="1">IF(ISERROR(INDIRECT($T$36)),"",INDIRECT($T$36))</f>
        <v/>
      </c>
      <c r="I35" s="207" t="str">
        <f ca="1"/>
        <v/>
      </c>
      <c r="J35" s="159"/>
      <c r="K35" s="195" t="s">
        <v>0</v>
      </c>
      <c r="L35" s="184" t="s">
        <v>68</v>
      </c>
      <c r="M35" s="145">
        <f ca="1">I22</f>
        <v>42019</v>
      </c>
      <c r="N35" s="151"/>
      <c r="O35" s="172"/>
      <c r="P35" s="184" t="s">
        <v>68</v>
      </c>
      <c r="Q35" s="145">
        <f ca="1">V22</f>
        <v>42144</v>
      </c>
      <c r="R35" s="151"/>
      <c r="S35" s="172"/>
      <c r="T35" s="185" t="s">
        <v>259</v>
      </c>
      <c r="U35" s="183" t="s">
        <v>260</v>
      </c>
      <c r="V35" s="262">
        <f ca="1">IF(LEFT(_xll.BDP($C$6,$T35),1)="#","#LOADING",_xll.BDP($C$6,$T35))</f>
        <v>60</v>
      </c>
      <c r="W35" s="159">
        <f ca="1">IF(LEFT(V35,1)="#",1,0)</f>
        <v>0</v>
      </c>
      <c r="X35" s="173"/>
    </row>
    <row r="36" spans="2:24">
      <c r="B36" s="263" t="s">
        <v>261</v>
      </c>
      <c r="C36" s="264">
        <f ca="1">V40</f>
        <v>2.4499160869565214E-2</v>
      </c>
      <c r="D36" s="152"/>
      <c r="F36" s="170"/>
      <c r="G36" s="205" t="str">
        <f ca="1">"ExDividendTenor"&amp;$V$34</f>
        <v>ExDividendTenorType21</v>
      </c>
      <c r="H36" s="206" t="str">
        <f ca="1"/>
        <v/>
      </c>
      <c r="I36" s="207" t="str">
        <f ca="1"/>
        <v/>
      </c>
      <c r="J36" s="159"/>
      <c r="K36" s="195" t="s">
        <v>0</v>
      </c>
      <c r="L36" s="184" t="s">
        <v>70</v>
      </c>
      <c r="M36" s="145">
        <f ca="1">I23</f>
        <v>43661</v>
      </c>
      <c r="N36" s="140"/>
      <c r="O36" s="172"/>
      <c r="P36" s="184" t="s">
        <v>70</v>
      </c>
      <c r="Q36" s="145">
        <f ca="1">V23</f>
        <v>43789</v>
      </c>
      <c r="R36" s="140"/>
      <c r="S36" s="172"/>
      <c r="T36" s="210" t="str">
        <f ca="1">"ExDividendTenor"&amp;$V$34</f>
        <v>ExDividendTenorType21</v>
      </c>
      <c r="U36" s="211" t="str">
        <f t="array" aca="1" ref="U36:V37" ca="1">IF(ISERROR(INDIRECT($T$36)),"",INDIRECT($T$36))</f>
        <v/>
      </c>
      <c r="V36" s="212" t="str">
        <f ca="1"/>
        <v/>
      </c>
      <c r="W36" s="151"/>
      <c r="X36" s="173"/>
    </row>
    <row r="37" spans="2:24">
      <c r="C37" s="152"/>
      <c r="D37" s="152"/>
      <c r="F37" s="170"/>
      <c r="G37" s="208"/>
      <c r="H37" s="184"/>
      <c r="I37" s="151"/>
      <c r="J37" s="151"/>
      <c r="K37" s="195" t="s">
        <v>0</v>
      </c>
      <c r="L37" s="184" t="s">
        <v>71</v>
      </c>
      <c r="M37" s="150" t="s">
        <v>80</v>
      </c>
      <c r="N37" s="150"/>
      <c r="O37" s="172"/>
      <c r="P37" s="184" t="s">
        <v>71</v>
      </c>
      <c r="Q37" s="150" t="s">
        <v>80</v>
      </c>
      <c r="R37" s="150"/>
      <c r="S37" s="172"/>
      <c r="T37" s="210" t="str">
        <f ca="1">"ExDividendTenor"&amp;$V$34</f>
        <v>ExDividendTenorType21</v>
      </c>
      <c r="U37" s="211" t="str">
        <f ca="1"/>
        <v/>
      </c>
      <c r="V37" s="212" t="str">
        <f ca="1"/>
        <v/>
      </c>
      <c r="W37" s="151"/>
      <c r="X37" s="173"/>
    </row>
    <row r="38" spans="2:24">
      <c r="B38" s="13" t="s">
        <v>262</v>
      </c>
      <c r="C38" s="256"/>
      <c r="D38" s="152"/>
      <c r="F38" s="170"/>
      <c r="G38" s="208"/>
      <c r="H38" s="184"/>
      <c r="I38" s="151"/>
      <c r="J38" s="151"/>
      <c r="K38" s="195" t="s">
        <v>0</v>
      </c>
      <c r="L38" s="184" t="s">
        <v>72</v>
      </c>
      <c r="M38" s="140"/>
      <c r="N38" s="140" t="s">
        <v>62</v>
      </c>
      <c r="O38" s="172"/>
      <c r="P38" s="184" t="s">
        <v>72</v>
      </c>
      <c r="Q38" s="140"/>
      <c r="R38" s="140" t="s">
        <v>62</v>
      </c>
      <c r="S38" s="172"/>
      <c r="T38" s="186"/>
      <c r="U38" s="184"/>
      <c r="V38" s="140"/>
      <c r="W38" s="140"/>
      <c r="X38" s="173"/>
    </row>
    <row r="39" spans="2:24">
      <c r="B39" s="152" t="s">
        <v>256</v>
      </c>
      <c r="C39" s="265" t="s">
        <v>263</v>
      </c>
      <c r="D39" s="266"/>
      <c r="F39" s="170"/>
      <c r="G39" s="208"/>
      <c r="H39" s="184"/>
      <c r="I39" s="140"/>
      <c r="J39" s="140"/>
      <c r="K39" s="195" t="s">
        <v>0</v>
      </c>
      <c r="L39" s="184" t="s">
        <v>73</v>
      </c>
      <c r="M39" s="140"/>
      <c r="N39" s="140"/>
      <c r="O39" s="172"/>
      <c r="P39" s="184" t="s">
        <v>73</v>
      </c>
      <c r="Q39" s="140"/>
      <c r="R39" s="140"/>
      <c r="S39" s="172"/>
      <c r="T39" s="267" t="s">
        <v>264</v>
      </c>
      <c r="U39" s="183" t="s">
        <v>265</v>
      </c>
      <c r="V39" s="268">
        <f ca="1">_xll.BDP($C$6,$T39)%</f>
        <v>2.7374999999999997E-2</v>
      </c>
      <c r="W39" s="159">
        <f ca="1">IF(LEFT(V39,1)="#",1,0)</f>
        <v>0</v>
      </c>
      <c r="X39" s="173"/>
    </row>
    <row r="40" spans="2:24">
      <c r="B40" s="152" t="s">
        <v>257</v>
      </c>
      <c r="C40" s="265" t="s">
        <v>266</v>
      </c>
      <c r="D40" s="152"/>
      <c r="F40" s="170"/>
      <c r="G40" s="208"/>
      <c r="H40" s="184"/>
      <c r="I40" s="140"/>
      <c r="J40" s="140"/>
      <c r="K40" s="195" t="s">
        <v>0</v>
      </c>
      <c r="L40" s="184" t="s">
        <v>61</v>
      </c>
      <c r="M40" s="140" t="s">
        <v>62</v>
      </c>
      <c r="N40" s="140" t="s">
        <v>62</v>
      </c>
      <c r="O40" s="172"/>
      <c r="P40" s="184" t="s">
        <v>61</v>
      </c>
      <c r="Q40" s="140" t="s">
        <v>62</v>
      </c>
      <c r="R40" s="140" t="s">
        <v>62</v>
      </c>
      <c r="S40" s="172"/>
      <c r="T40" s="267" t="s">
        <v>267</v>
      </c>
      <c r="U40" s="183" t="s">
        <v>268</v>
      </c>
      <c r="V40" s="268">
        <f ca="1">_xll.BDP($C$6,$T40)%</f>
        <v>2.4499160869565214E-2</v>
      </c>
      <c r="W40" s="140"/>
      <c r="X40" s="173"/>
    </row>
    <row r="41" spans="2:24">
      <c r="B41" s="152" t="s">
        <v>258</v>
      </c>
      <c r="C41" s="269" t="s">
        <v>269</v>
      </c>
      <c r="D41" s="152"/>
      <c r="F41" s="170"/>
      <c r="G41" s="208"/>
      <c r="H41" s="184"/>
      <c r="I41" s="140"/>
      <c r="J41" s="140"/>
      <c r="K41" s="195" t="s">
        <v>0</v>
      </c>
      <c r="L41" s="184" t="s">
        <v>74</v>
      </c>
      <c r="M41" s="140"/>
      <c r="N41" s="140" t="s">
        <v>75</v>
      </c>
      <c r="O41" s="172"/>
      <c r="P41" s="184" t="s">
        <v>74</v>
      </c>
      <c r="Q41" s="140"/>
      <c r="R41" s="140" t="s">
        <v>75</v>
      </c>
      <c r="S41" s="172"/>
      <c r="T41" s="186"/>
      <c r="U41" s="184"/>
      <c r="V41" s="140"/>
      <c r="W41" s="140"/>
      <c r="X41" s="173"/>
    </row>
    <row r="42" spans="2:24">
      <c r="B42" s="152" t="s">
        <v>261</v>
      </c>
      <c r="C42" s="265" t="s">
        <v>270</v>
      </c>
      <c r="D42" s="152"/>
      <c r="F42" s="170"/>
      <c r="G42" s="208"/>
      <c r="H42" s="184"/>
      <c r="I42" s="140"/>
      <c r="J42" s="140"/>
      <c r="K42" s="195" t="s">
        <v>0</v>
      </c>
      <c r="L42" s="184" t="s">
        <v>65</v>
      </c>
      <c r="M42" s="145" t="str">
        <f ca="1">$I$34</f>
        <v>Type1</v>
      </c>
      <c r="N42" s="149"/>
      <c r="O42" s="172"/>
      <c r="P42" s="184" t="s">
        <v>65</v>
      </c>
      <c r="Q42" s="145"/>
      <c r="R42" s="270" t="str">
        <f ca="1">V34</f>
        <v>Type21</v>
      </c>
      <c r="S42" s="172"/>
      <c r="T42" s="186"/>
      <c r="U42" s="184"/>
      <c r="V42" s="140"/>
      <c r="W42" s="140"/>
      <c r="X42" s="173"/>
    </row>
    <row r="43" spans="2:24">
      <c r="D43" s="271"/>
      <c r="F43" s="170"/>
      <c r="G43" s="208"/>
      <c r="H43" s="184"/>
      <c r="I43" s="140"/>
      <c r="J43" s="140"/>
      <c r="K43" s="195" t="s">
        <v>0</v>
      </c>
      <c r="L43" s="200" t="str">
        <f ca="1">H35</f>
        <v/>
      </c>
      <c r="M43" s="142" t="str">
        <f ca="1">I35</f>
        <v/>
      </c>
      <c r="N43" s="184"/>
      <c r="O43" s="172"/>
      <c r="P43" s="184" t="s">
        <v>260</v>
      </c>
      <c r="Q43" s="142" t="str">
        <f ca="1">V36</f>
        <v/>
      </c>
      <c r="R43" s="272">
        <f ca="1">V35</f>
        <v>60</v>
      </c>
      <c r="S43" s="172"/>
      <c r="T43" s="186"/>
      <c r="U43" s="184"/>
      <c r="V43" s="140"/>
      <c r="W43" s="140"/>
      <c r="X43" s="173"/>
    </row>
    <row r="44" spans="2:24">
      <c r="C44" s="269"/>
      <c r="D44" s="271"/>
      <c r="F44" s="170"/>
      <c r="G44" s="208"/>
      <c r="H44" s="184"/>
      <c r="I44" s="140"/>
      <c r="J44" s="140"/>
      <c r="K44" s="195" t="s">
        <v>0</v>
      </c>
      <c r="L44" s="200" t="str">
        <f ca="1">H36</f>
        <v/>
      </c>
      <c r="M44" s="142" t="str">
        <f ca="1">I36</f>
        <v/>
      </c>
      <c r="N44" s="184"/>
      <c r="O44" s="172"/>
      <c r="P44" s="200" t="str">
        <f ca="1">U37</f>
        <v/>
      </c>
      <c r="Q44" s="142" t="str">
        <f ca="1">V37</f>
        <v/>
      </c>
      <c r="R44" s="184"/>
      <c r="S44" s="172"/>
      <c r="T44" s="186"/>
      <c r="U44" s="184"/>
      <c r="V44" s="140"/>
      <c r="W44" s="140"/>
      <c r="X44" s="173"/>
    </row>
    <row r="45" spans="2:24">
      <c r="C45" s="152"/>
      <c r="D45" s="271"/>
      <c r="F45" s="170"/>
      <c r="G45" s="204"/>
      <c r="H45" s="186"/>
      <c r="I45" s="140"/>
      <c r="J45" s="140"/>
      <c r="K45" s="172" t="s">
        <v>0</v>
      </c>
      <c r="L45" s="186"/>
      <c r="M45" s="140"/>
      <c r="N45" s="140"/>
      <c r="O45" s="172"/>
      <c r="P45" s="186"/>
      <c r="Q45" s="140"/>
      <c r="R45" s="140"/>
      <c r="S45" s="172"/>
      <c r="T45" s="186"/>
      <c r="U45" s="186"/>
      <c r="V45" s="140"/>
      <c r="W45" s="140"/>
      <c r="X45" s="173"/>
    </row>
    <row r="46" spans="2:24">
      <c r="F46" s="170"/>
      <c r="G46" s="204"/>
      <c r="H46" s="186"/>
      <c r="I46" s="140"/>
      <c r="J46" s="140"/>
      <c r="K46" s="172" t="s">
        <v>0</v>
      </c>
      <c r="L46" s="186"/>
      <c r="M46" s="140"/>
      <c r="N46" s="140"/>
      <c r="O46" s="172"/>
      <c r="P46" s="186"/>
      <c r="Q46" s="140"/>
      <c r="R46" s="140"/>
      <c r="S46" s="172"/>
      <c r="T46" s="186"/>
      <c r="U46" s="186"/>
      <c r="V46" s="140"/>
      <c r="W46" s="140"/>
      <c r="X46" s="173"/>
    </row>
    <row r="47" spans="2:24">
      <c r="F47" s="170"/>
      <c r="G47" s="204"/>
      <c r="H47" s="186"/>
      <c r="I47" s="140"/>
      <c r="J47" s="140"/>
      <c r="K47" s="172" t="s">
        <v>0</v>
      </c>
      <c r="L47" s="186"/>
      <c r="M47" s="140"/>
      <c r="N47" s="140"/>
      <c r="O47" s="172"/>
      <c r="P47" s="186"/>
      <c r="Q47" s="140"/>
      <c r="R47" s="140"/>
      <c r="S47" s="172"/>
      <c r="T47" s="186"/>
      <c r="U47" s="186"/>
      <c r="V47" s="140"/>
      <c r="W47" s="140"/>
      <c r="X47" s="173"/>
    </row>
    <row r="48" spans="2:24">
      <c r="F48" s="170"/>
      <c r="G48" s="204"/>
      <c r="H48" s="186"/>
      <c r="I48" s="140"/>
      <c r="J48" s="140"/>
      <c r="K48" s="172" t="s">
        <v>0</v>
      </c>
      <c r="L48" s="186"/>
      <c r="M48" s="140"/>
      <c r="N48" s="140"/>
      <c r="O48" s="172"/>
      <c r="P48" s="186"/>
      <c r="Q48" s="140"/>
      <c r="R48" s="140"/>
      <c r="S48" s="172"/>
      <c r="T48" s="186"/>
      <c r="U48" s="186"/>
      <c r="V48" s="140"/>
      <c r="W48" s="140"/>
      <c r="X48" s="173"/>
    </row>
    <row r="49" spans="2:24">
      <c r="B49" s="137"/>
      <c r="F49" s="170"/>
      <c r="G49" s="204"/>
      <c r="H49" s="186"/>
      <c r="I49" s="140"/>
      <c r="J49" s="140"/>
      <c r="K49" s="172" t="s">
        <v>0</v>
      </c>
      <c r="L49" s="186"/>
      <c r="M49" s="140"/>
      <c r="N49" s="140"/>
      <c r="O49" s="172"/>
      <c r="P49" s="186"/>
      <c r="Q49" s="140"/>
      <c r="R49" s="140"/>
      <c r="S49" s="172"/>
      <c r="T49" s="186"/>
      <c r="U49" s="186"/>
      <c r="V49" s="140"/>
      <c r="W49" s="140"/>
      <c r="X49" s="173"/>
    </row>
    <row r="50" spans="2:24">
      <c r="B50" s="137"/>
      <c r="F50" s="170"/>
      <c r="G50" s="209"/>
      <c r="H50" s="201"/>
      <c r="I50" s="153"/>
      <c r="J50" s="153"/>
      <c r="K50" s="172" t="s">
        <v>0</v>
      </c>
      <c r="L50" s="201"/>
      <c r="M50" s="153"/>
      <c r="N50" s="153"/>
      <c r="O50" s="172"/>
      <c r="P50" s="201"/>
      <c r="Q50" s="153"/>
      <c r="R50" s="153"/>
      <c r="S50" s="172"/>
      <c r="T50" s="201"/>
      <c r="U50" s="201"/>
      <c r="V50" s="153"/>
      <c r="W50" s="153"/>
      <c r="X50" s="173"/>
    </row>
    <row r="51" spans="2:24">
      <c r="B51" s="137"/>
      <c r="F51" s="174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6"/>
    </row>
    <row r="55" spans="2:24">
      <c r="B55" s="137"/>
      <c r="G55" s="125"/>
    </row>
  </sheetData>
  <mergeCells count="2">
    <mergeCell ref="M6:N6"/>
    <mergeCell ref="Q6:R6"/>
  </mergeCells>
  <dataValidations count="4">
    <dataValidation type="list" allowBlank="1" showInputMessage="1" showErrorMessage="1" sqref="R26:R27 N26:N27">
      <formula1>"QUARTERLY,SEMI-ANNUAL"</formula1>
    </dataValidation>
    <dataValidation type="list" allowBlank="1" showInputMessage="1" showErrorMessage="1" sqref="I33 Q37:R37 M37:N37 V33">
      <formula1>"EOM,IMM,1,2,3,4,5,6,7,8,9,10,11,12,13,14,15,16,17,18,19,20,21,22,23,24,25,26,27,28,29,30,31"</formula1>
    </dataValidation>
    <dataValidation type="list" allowBlank="1" showInputMessage="1" showErrorMessage="1" sqref="I27 V27">
      <formula1>"None,ShortStart,ShortEnd,LongStart,LongEnd,SS,SE,LS,LE"</formula1>
    </dataValidation>
    <dataValidation type="list" allowBlank="1" showInputMessage="1" showErrorMessage="1" sqref="Q41:R41 Q45:R50 M41:N41 M45:N50">
      <formula1>"SHORTSTART,SHORTEND,LONGSTART,LONGEND"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CC"/>
  </sheetPr>
  <dimension ref="A1:HP72"/>
  <sheetViews>
    <sheetView showGridLines="0" zoomScaleNormal="100" workbookViewId="0">
      <pane ySplit="6" topLeftCell="A7" activePane="bottomLeft" state="frozen"/>
      <selection activeCell="H1" sqref="H1"/>
      <selection pane="bottomLeft" activeCell="I39" sqref="I39"/>
    </sheetView>
  </sheetViews>
  <sheetFormatPr defaultRowHeight="15" outlineLevelCol="2"/>
  <cols>
    <col min="1" max="1" width="4.7109375" customWidth="1"/>
    <col min="2" max="2" width="32.5703125" style="9" bestFit="1" customWidth="1"/>
    <col min="3" max="3" width="20.85546875" customWidth="1"/>
    <col min="4" max="4" width="14.140625" bestFit="1" customWidth="1"/>
    <col min="5" max="5" width="18.140625" bestFit="1" customWidth="1"/>
    <col min="6" max="6" width="32.5703125" bestFit="1" customWidth="1"/>
    <col min="7" max="7" width="26.28515625" customWidth="1"/>
    <col min="8" max="8" width="15.7109375" customWidth="1"/>
    <col min="9" max="9" width="18.5703125" bestFit="1" customWidth="1"/>
    <col min="10" max="10" width="4.7109375" hidden="1" customWidth="1" outlineLevel="1"/>
    <col min="11" max="17" width="12.7109375" hidden="1" customWidth="1" outlineLevel="1"/>
    <col min="18" max="18" width="12.7109375" style="277" hidden="1" customWidth="1" outlineLevel="1"/>
    <col min="19" max="19" width="17.85546875" style="277" hidden="1" customWidth="1" outlineLevel="1"/>
    <col min="20" max="20" width="24" style="277" hidden="1" customWidth="1" outlineLevel="1"/>
    <col min="21" max="21" width="29.140625" style="277" hidden="1" customWidth="1" outlineLevel="1"/>
    <col min="22" max="22" width="28.85546875" hidden="1" customWidth="1" outlineLevel="1"/>
    <col min="23" max="23" width="8.140625" customWidth="1" collapsed="1"/>
    <col min="24" max="27" width="35.7109375" customWidth="1"/>
    <col min="28" max="28" width="9.140625" customWidth="1"/>
    <col min="29" max="29" width="27.42578125" style="9" hidden="1" customWidth="1" outlineLevel="1"/>
    <col min="30" max="32" width="15.7109375" style="9" hidden="1" customWidth="1" outlineLevel="1"/>
    <col min="33" max="33" width="18.85546875" style="9" hidden="1" customWidth="1" outlineLevel="1"/>
    <col min="34" max="34" width="15.7109375" style="9" hidden="1" customWidth="1" outlineLevel="1"/>
    <col min="35" max="35" width="29.42578125" style="9" hidden="1" customWidth="1" outlineLevel="1"/>
    <col min="36" max="36" width="15.7109375" style="9" hidden="1" customWidth="1" outlineLevel="1"/>
    <col min="37" max="37" width="17.28515625" style="9" hidden="1" customWidth="1" outlineLevel="1"/>
    <col min="38" max="45" width="15.7109375" style="9" hidden="1" customWidth="1" outlineLevel="1"/>
    <col min="46" max="46" width="17.85546875" style="9" hidden="1" customWidth="1" outlineLevel="1"/>
    <col min="47" max="47" width="11" style="9" hidden="1" customWidth="1" outlineLevel="1"/>
    <col min="48" max="48" width="16.42578125" style="9" hidden="1" customWidth="1" outlineLevel="1"/>
    <col min="49" max="49" width="9.7109375" style="9" hidden="1" customWidth="1" outlineLevel="1"/>
    <col min="50" max="51" width="15.7109375" style="9" hidden="1" customWidth="1" outlineLevel="1"/>
    <col min="52" max="52" width="10.5703125" style="9" hidden="1" customWidth="1" outlineLevel="1"/>
    <col min="53" max="53" width="13.7109375" style="9" hidden="1" customWidth="1" outlineLevel="1"/>
    <col min="54" max="54" width="13.7109375" style="9" customWidth="1" collapsed="1"/>
    <col min="55" max="55" width="11.140625" bestFit="1" customWidth="1"/>
    <col min="56" max="56" width="18.85546875" hidden="1" customWidth="1" outlineLevel="2"/>
    <col min="57" max="57" width="15.140625" hidden="1" customWidth="1" outlineLevel="2"/>
    <col min="58" max="58" width="17.28515625" hidden="1" customWidth="1" outlineLevel="2"/>
    <col min="59" max="59" width="11.140625" hidden="1" customWidth="1" outlineLevel="2"/>
    <col min="60" max="60" width="13.7109375" hidden="1" customWidth="1" outlineLevel="2"/>
    <col min="61" max="61" width="14" hidden="1" customWidth="1" outlineLevel="2"/>
    <col min="62" max="62" width="8.85546875" hidden="1" customWidth="1" outlineLevel="2"/>
    <col min="63" max="63" width="9" hidden="1" customWidth="1" outlineLevel="2"/>
    <col min="64" max="64" width="10.140625" hidden="1" customWidth="1" outlineLevel="2"/>
    <col min="65" max="65" width="19.28515625" hidden="1" customWidth="1" outlineLevel="2"/>
    <col min="66" max="66" width="18.85546875" hidden="1" customWidth="1" outlineLevel="2"/>
    <col min="67" max="67" width="10.140625" hidden="1" customWidth="1" outlineLevel="2"/>
    <col min="68" max="68" width="9.7109375" hidden="1" customWidth="1" outlineLevel="2"/>
    <col min="69" max="69" width="11.5703125" hidden="1" customWidth="1" outlineLevel="2"/>
    <col min="70" max="70" width="15" hidden="1" customWidth="1" outlineLevel="2"/>
    <col min="71" max="71" width="14.7109375" hidden="1" customWidth="1" outlineLevel="2"/>
    <col min="72" max="72" width="16.85546875" hidden="1" customWidth="1" outlineLevel="2"/>
    <col min="73" max="73" width="18.42578125" hidden="1" customWidth="1" outlineLevel="2"/>
    <col min="74" max="74" width="12.140625" hidden="1" customWidth="1" outlineLevel="2"/>
    <col min="75" max="75" width="28.28515625" hidden="1" customWidth="1" outlineLevel="2"/>
    <col min="76" max="76" width="14.28515625" hidden="1" customWidth="1" outlineLevel="2"/>
    <col min="77" max="77" width="29.42578125" hidden="1" customWidth="1" outlineLevel="2"/>
    <col min="78" max="78" width="15.42578125" hidden="1" customWidth="1" outlineLevel="2"/>
    <col min="79" max="79" width="31" hidden="1" customWidth="1" outlineLevel="2"/>
    <col min="80" max="80" width="16.85546875" hidden="1" customWidth="1" outlineLevel="2"/>
    <col min="81" max="81" width="15" hidden="1" customWidth="1" outlineLevel="2"/>
    <col min="82" max="82" width="15.42578125" hidden="1" customWidth="1" outlineLevel="2"/>
    <col min="83" max="83" width="7.7109375" hidden="1" customWidth="1" outlineLevel="2"/>
    <col min="84" max="84" width="9.140625" hidden="1" customWidth="1" outlineLevel="2"/>
    <col min="85" max="85" width="13.140625" hidden="1" customWidth="1" outlineLevel="2"/>
    <col min="86" max="86" width="11.7109375" hidden="1" customWidth="1" outlineLevel="2"/>
    <col min="87" max="87" width="9.28515625" hidden="1" customWidth="1" outlineLevel="2"/>
    <col min="88" max="88" width="15.28515625" hidden="1" customWidth="1" outlineLevel="2"/>
    <col min="89" max="89" width="9.140625" hidden="1" customWidth="1" outlineLevel="1"/>
    <col min="90" max="90" width="18.85546875" hidden="1" customWidth="1" outlineLevel="2"/>
    <col min="91" max="91" width="15.140625" hidden="1" customWidth="1" outlineLevel="2"/>
    <col min="92" max="92" width="17.28515625" hidden="1" customWidth="1" outlineLevel="2"/>
    <col min="93" max="93" width="11.140625" hidden="1" customWidth="1" outlineLevel="2"/>
    <col min="94" max="94" width="13.7109375" hidden="1" customWidth="1" outlineLevel="2"/>
    <col min="95" max="95" width="14" hidden="1" customWidth="1" outlineLevel="2"/>
    <col min="96" max="96" width="11" hidden="1" customWidth="1" outlineLevel="2"/>
    <col min="97" max="97" width="9" hidden="1" customWidth="1" outlineLevel="2"/>
    <col min="98" max="98" width="10.140625" hidden="1" customWidth="1" outlineLevel="2"/>
    <col min="99" max="99" width="19.28515625" hidden="1" customWidth="1" outlineLevel="2"/>
    <col min="100" max="100" width="18.85546875" hidden="1" customWidth="1" outlineLevel="2"/>
    <col min="101" max="101" width="10.140625" hidden="1" customWidth="1" outlineLevel="2"/>
    <col min="102" max="102" width="9.7109375" hidden="1" customWidth="1" outlineLevel="2"/>
    <col min="103" max="103" width="11.5703125" hidden="1" customWidth="1" outlineLevel="2"/>
    <col min="104" max="104" width="15" hidden="1" customWidth="1" outlineLevel="2"/>
    <col min="105" max="105" width="14.7109375" hidden="1" customWidth="1" outlineLevel="2"/>
    <col min="106" max="106" width="16.85546875" hidden="1" customWidth="1" outlineLevel="2"/>
    <col min="107" max="107" width="18.42578125" hidden="1" customWidth="1" outlineLevel="2"/>
    <col min="108" max="108" width="10.5703125" hidden="1" customWidth="1" outlineLevel="2"/>
    <col min="109" max="109" width="28.28515625" hidden="1" customWidth="1" outlineLevel="2"/>
    <col min="110" max="110" width="14.28515625" hidden="1" customWidth="1" outlineLevel="2"/>
    <col min="111" max="111" width="29.42578125" hidden="1" customWidth="1" outlineLevel="2"/>
    <col min="112" max="112" width="15.42578125" hidden="1" customWidth="1" outlineLevel="2"/>
    <col min="113" max="113" width="31" hidden="1" customWidth="1" outlineLevel="2"/>
    <col min="114" max="114" width="16.85546875" hidden="1" customWidth="1" outlineLevel="2"/>
    <col min="115" max="115" width="13.140625" hidden="1" customWidth="1" outlineLevel="2"/>
    <col min="116" max="116" width="14" hidden="1" customWidth="1" outlineLevel="2"/>
    <col min="117" max="117" width="7.7109375" hidden="1" customWidth="1" outlineLevel="2"/>
    <col min="118" max="118" width="9.140625" hidden="1" customWidth="1" outlineLevel="2"/>
    <col min="119" max="119" width="13.140625" hidden="1" customWidth="1" outlineLevel="2"/>
    <col min="120" max="120" width="11.7109375" hidden="1" customWidth="1" outlineLevel="2"/>
    <col min="121" max="121" width="9.28515625" hidden="1" customWidth="1" outlineLevel="2"/>
    <col min="122" max="122" width="15.28515625" hidden="1" customWidth="1" outlineLevel="2"/>
    <col min="123" max="123" width="11.5703125" hidden="1" customWidth="1" outlineLevel="1"/>
    <col min="124" max="124" width="9.140625" collapsed="1"/>
    <col min="126" max="156" width="15.7109375" hidden="1" customWidth="1" outlineLevel="2"/>
    <col min="157" max="158" width="15.7109375" style="277" hidden="1" customWidth="1" outlineLevel="2"/>
    <col min="159" max="159" width="15.7109375" hidden="1" customWidth="1" outlineLevel="2"/>
    <col min="160" max="160" width="9.140625" hidden="1" customWidth="1" outlineLevel="1"/>
    <col min="161" max="192" width="15.7109375" hidden="1" customWidth="1" outlineLevel="2"/>
    <col min="193" max="193" width="15.7109375" style="137" hidden="1" customWidth="1" outlineLevel="2"/>
    <col min="194" max="194" width="15.7109375" hidden="1" customWidth="1" outlineLevel="2"/>
    <col min="195" max="195" width="11.5703125" hidden="1" customWidth="1" outlineLevel="1"/>
    <col min="196" max="196" width="9.140625" collapsed="1"/>
    <col min="198" max="198" width="32.5703125" style="9" hidden="1" customWidth="1" outlineLevel="1"/>
    <col min="199" max="201" width="15.7109375" style="9" hidden="1" customWidth="1" outlineLevel="1"/>
    <col min="202" max="202" width="18.85546875" style="9" hidden="1" customWidth="1" outlineLevel="1"/>
    <col min="203" max="203" width="15.7109375" style="9" hidden="1" customWidth="1" outlineLevel="1"/>
    <col min="204" max="204" width="29.42578125" style="9" hidden="1" customWidth="1" outlineLevel="1"/>
    <col min="205" max="205" width="15.7109375" style="9" hidden="1" customWidth="1" outlineLevel="1"/>
    <col min="206" max="206" width="17.28515625" style="9" hidden="1" customWidth="1" outlineLevel="1"/>
    <col min="207" max="214" width="15.7109375" style="9" hidden="1" customWidth="1" outlineLevel="1"/>
    <col min="215" max="215" width="17.85546875" style="9" hidden="1" customWidth="1" outlineLevel="1"/>
    <col min="216" max="216" width="11" style="9" hidden="1" customWidth="1" outlineLevel="1"/>
    <col min="217" max="217" width="16.42578125" style="9" hidden="1" customWidth="1" outlineLevel="1"/>
    <col min="218" max="218" width="9.7109375" style="9" hidden="1" customWidth="1" outlineLevel="1"/>
    <col min="219" max="220" width="15.7109375" style="9" hidden="1" customWidth="1" outlineLevel="1"/>
    <col min="221" max="221" width="10.5703125" style="9" hidden="1" customWidth="1" outlineLevel="1"/>
    <col min="222" max="222" width="15.140625" style="276" hidden="1" customWidth="1" outlineLevel="1"/>
    <col min="223" max="223" width="15.85546875" style="9" hidden="1" customWidth="1" outlineLevel="1"/>
    <col min="224" max="224" width="13.7109375" style="9" customWidth="1" collapsed="1"/>
  </cols>
  <sheetData>
    <row r="1" spans="1:224" s="14" customFormat="1">
      <c r="B1" s="79"/>
      <c r="R1" s="278"/>
      <c r="S1" s="278"/>
      <c r="T1" s="278"/>
      <c r="U1" s="278"/>
      <c r="W1" s="14" t="s">
        <v>199</v>
      </c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  <c r="AW1" s="79"/>
      <c r="AX1" s="79"/>
      <c r="AY1" s="79"/>
      <c r="AZ1" s="79"/>
      <c r="BA1" s="79"/>
      <c r="BB1" s="80" t="s">
        <v>151</v>
      </c>
      <c r="BC1" s="80"/>
      <c r="CK1" s="14" t="s">
        <v>173</v>
      </c>
      <c r="DS1" s="14" t="s">
        <v>174</v>
      </c>
      <c r="DT1" s="14" t="s">
        <v>175</v>
      </c>
      <c r="FA1" s="278"/>
      <c r="FB1" s="278"/>
      <c r="FD1" s="14" t="s">
        <v>173</v>
      </c>
      <c r="GK1" s="160"/>
      <c r="GM1" s="14" t="s">
        <v>174</v>
      </c>
      <c r="GN1" s="14" t="s">
        <v>178</v>
      </c>
      <c r="GP1" s="79"/>
      <c r="GQ1" s="79"/>
      <c r="GR1" s="79"/>
      <c r="GS1" s="79"/>
      <c r="GT1" s="79"/>
      <c r="GU1" s="79"/>
      <c r="GV1" s="79"/>
      <c r="GW1" s="79"/>
      <c r="GX1" s="79"/>
      <c r="GY1" s="79"/>
      <c r="GZ1" s="79"/>
      <c r="HA1" s="79"/>
      <c r="HB1" s="79"/>
      <c r="HC1" s="79"/>
      <c r="HD1" s="79"/>
      <c r="HE1" s="79"/>
      <c r="HF1" s="79"/>
      <c r="HG1" s="79"/>
      <c r="HH1" s="79"/>
      <c r="HI1" s="79"/>
      <c r="HJ1" s="79"/>
      <c r="HK1" s="79"/>
      <c r="HL1" s="79"/>
      <c r="HM1" s="79"/>
      <c r="HN1" s="79"/>
      <c r="HO1" s="79"/>
      <c r="HP1" s="80" t="s">
        <v>152</v>
      </c>
    </row>
    <row r="3" spans="1:224">
      <c r="B3" s="13" t="s">
        <v>168</v>
      </c>
      <c r="K3" s="1" t="s">
        <v>184</v>
      </c>
      <c r="N3" s="1"/>
      <c r="P3" s="1"/>
      <c r="X3" s="1" t="s">
        <v>183</v>
      </c>
      <c r="AC3" s="13" t="s">
        <v>167</v>
      </c>
      <c r="BD3" s="13" t="s">
        <v>172</v>
      </c>
      <c r="CL3" s="13" t="s">
        <v>172</v>
      </c>
      <c r="DV3" s="13" t="s">
        <v>177</v>
      </c>
      <c r="FE3" s="13" t="s">
        <v>177</v>
      </c>
      <c r="GP3" s="13" t="s">
        <v>180</v>
      </c>
    </row>
    <row r="4" spans="1:224">
      <c r="B4" s="85"/>
      <c r="C4" s="86"/>
      <c r="D4" s="86"/>
      <c r="E4" s="86"/>
      <c r="F4" s="86"/>
      <c r="G4" s="86"/>
      <c r="H4" s="86"/>
      <c r="I4" s="87"/>
      <c r="K4" s="93" t="s">
        <v>185</v>
      </c>
      <c r="L4" s="86"/>
      <c r="M4" s="86"/>
      <c r="N4" s="99"/>
      <c r="O4" s="87"/>
      <c r="P4" s="93" t="s">
        <v>180</v>
      </c>
      <c r="Q4" s="86"/>
      <c r="R4" s="87"/>
      <c r="S4" s="99" t="s">
        <v>272</v>
      </c>
      <c r="T4" s="86"/>
      <c r="U4" s="86"/>
      <c r="V4" s="282"/>
      <c r="X4" s="93"/>
      <c r="Y4" s="86"/>
      <c r="Z4" s="86"/>
      <c r="AA4" s="87"/>
      <c r="AC4" s="85"/>
      <c r="AD4" s="105"/>
      <c r="AE4" s="105"/>
      <c r="AF4" s="105"/>
      <c r="AG4" s="105"/>
      <c r="AH4" s="105"/>
      <c r="AI4" s="105"/>
      <c r="AJ4" s="105"/>
      <c r="AK4" s="105"/>
      <c r="AL4" s="105"/>
      <c r="AM4" s="105"/>
      <c r="AN4" s="105"/>
      <c r="AO4" s="105"/>
      <c r="AP4" s="105"/>
      <c r="AQ4" s="105"/>
      <c r="AR4" s="105"/>
      <c r="AS4" s="105"/>
      <c r="AT4" s="105"/>
      <c r="AU4" s="105"/>
      <c r="AV4" s="105"/>
      <c r="AW4" s="105"/>
      <c r="AX4" s="105"/>
      <c r="AY4" s="105"/>
      <c r="AZ4" s="105"/>
      <c r="BA4" s="106"/>
      <c r="BD4" s="85" t="s">
        <v>3</v>
      </c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  <c r="BX4" s="86"/>
      <c r="BY4" s="86"/>
      <c r="BZ4" s="86"/>
      <c r="CA4" s="86"/>
      <c r="CB4" s="86"/>
      <c r="CC4" s="86"/>
      <c r="CD4" s="86"/>
      <c r="CE4" s="86"/>
      <c r="CF4" s="86"/>
      <c r="CG4" s="86"/>
      <c r="CH4" s="86"/>
      <c r="CI4" s="86"/>
      <c r="CJ4" s="87"/>
      <c r="CL4" s="85" t="s">
        <v>4</v>
      </c>
      <c r="CM4" s="86"/>
      <c r="CN4" s="86"/>
      <c r="CO4" s="86"/>
      <c r="CP4" s="86"/>
      <c r="CQ4" s="86"/>
      <c r="CR4" s="86"/>
      <c r="CS4" s="86"/>
      <c r="CT4" s="86"/>
      <c r="CU4" s="86"/>
      <c r="CV4" s="86"/>
      <c r="CW4" s="86"/>
      <c r="CX4" s="86"/>
      <c r="CY4" s="86"/>
      <c r="CZ4" s="86"/>
      <c r="DA4" s="86"/>
      <c r="DB4" s="86"/>
      <c r="DC4" s="86"/>
      <c r="DD4" s="86"/>
      <c r="DE4" s="86"/>
      <c r="DF4" s="86"/>
      <c r="DG4" s="86"/>
      <c r="DH4" s="86"/>
      <c r="DI4" s="86"/>
      <c r="DJ4" s="86"/>
      <c r="DK4" s="86"/>
      <c r="DL4" s="86"/>
      <c r="DM4" s="86"/>
      <c r="DN4" s="86"/>
      <c r="DO4" s="86"/>
      <c r="DP4" s="86"/>
      <c r="DQ4" s="86"/>
      <c r="DR4" s="87"/>
      <c r="DV4" s="85" t="s">
        <v>271</v>
      </c>
      <c r="DW4" s="86"/>
      <c r="DX4" s="86"/>
      <c r="DY4" s="86"/>
      <c r="DZ4" s="86"/>
      <c r="EA4" s="86"/>
      <c r="EB4" s="86"/>
      <c r="EC4" s="86"/>
      <c r="ED4" s="86"/>
      <c r="EE4" s="86"/>
      <c r="EF4" s="86"/>
      <c r="EG4" s="86"/>
      <c r="EH4" s="86"/>
      <c r="EI4" s="86"/>
      <c r="EJ4" s="86"/>
      <c r="EK4" s="86"/>
      <c r="EL4" s="86"/>
      <c r="EM4" s="86"/>
      <c r="EN4" s="86"/>
      <c r="EO4" s="86"/>
      <c r="EP4" s="86"/>
      <c r="EQ4" s="86"/>
      <c r="ER4" s="86"/>
      <c r="ES4" s="86"/>
      <c r="ET4" s="86"/>
      <c r="EU4" s="86"/>
      <c r="EV4" s="86"/>
      <c r="EW4" s="86"/>
      <c r="EX4" s="86"/>
      <c r="EY4" s="86"/>
      <c r="EZ4" s="86"/>
      <c r="FA4" s="86"/>
      <c r="FB4" s="86"/>
      <c r="FC4" s="86"/>
      <c r="FE4" s="85" t="s">
        <v>3</v>
      </c>
      <c r="FF4" s="86"/>
      <c r="FG4" s="86"/>
      <c r="FH4" s="86"/>
      <c r="FI4" s="86"/>
      <c r="FJ4" s="86"/>
      <c r="FK4" s="86"/>
      <c r="FL4" s="86"/>
      <c r="FM4" s="86"/>
      <c r="FN4" s="86"/>
      <c r="FO4" s="86"/>
      <c r="FP4" s="86"/>
      <c r="FQ4" s="86"/>
      <c r="FR4" s="86"/>
      <c r="FS4" s="86"/>
      <c r="FT4" s="86"/>
      <c r="FU4" s="86"/>
      <c r="FV4" s="86"/>
      <c r="FW4" s="86"/>
      <c r="FX4" s="86"/>
      <c r="FY4" s="86"/>
      <c r="FZ4" s="86"/>
      <c r="GA4" s="86"/>
      <c r="GB4" s="86"/>
      <c r="GC4" s="86"/>
      <c r="GD4" s="86"/>
      <c r="GE4" s="86"/>
      <c r="GF4" s="86"/>
      <c r="GG4" s="86"/>
      <c r="GH4" s="86"/>
      <c r="GI4" s="86"/>
      <c r="GJ4" s="86"/>
      <c r="GK4" s="86"/>
      <c r="GL4" s="87"/>
      <c r="GP4" s="85"/>
      <c r="GQ4" s="105"/>
      <c r="GR4" s="105"/>
      <c r="GS4" s="105"/>
      <c r="GT4" s="105"/>
      <c r="GU4" s="105"/>
      <c r="GV4" s="105"/>
      <c r="GW4" s="105"/>
      <c r="GX4" s="105"/>
      <c r="GY4" s="105"/>
      <c r="GZ4" s="105"/>
      <c r="HA4" s="105"/>
      <c r="HB4" s="105"/>
      <c r="HC4" s="105"/>
      <c r="HD4" s="105"/>
      <c r="HE4" s="105"/>
      <c r="HF4" s="105"/>
      <c r="HG4" s="105"/>
      <c r="HH4" s="105"/>
      <c r="HI4" s="105"/>
      <c r="HJ4" s="105"/>
      <c r="HK4" s="105"/>
      <c r="HL4" s="105"/>
      <c r="HM4" s="105"/>
      <c r="HN4" s="105"/>
      <c r="HO4" s="106"/>
    </row>
    <row r="5" spans="1:224">
      <c r="B5" s="88"/>
      <c r="C5" s="25"/>
      <c r="D5" s="25"/>
      <c r="E5" s="25"/>
      <c r="F5" s="25"/>
      <c r="G5" s="25"/>
      <c r="H5" s="25"/>
      <c r="I5" s="89"/>
      <c r="K5" s="94"/>
      <c r="L5" s="25"/>
      <c r="M5" s="25"/>
      <c r="N5" s="25"/>
      <c r="O5" s="89"/>
      <c r="P5" s="94"/>
      <c r="Q5" s="25"/>
      <c r="R5" s="89"/>
      <c r="S5" s="279"/>
      <c r="T5" s="279"/>
      <c r="U5" s="279" t="s">
        <v>264</v>
      </c>
      <c r="V5" s="275" t="s">
        <v>267</v>
      </c>
      <c r="X5" s="94"/>
      <c r="Y5" s="25"/>
      <c r="Z5" s="25"/>
      <c r="AA5" s="89"/>
      <c r="AC5" s="107"/>
      <c r="AD5" s="56" t="s">
        <v>89</v>
      </c>
      <c r="AE5" s="56" t="s">
        <v>81</v>
      </c>
      <c r="AF5" s="55" t="s">
        <v>169</v>
      </c>
      <c r="AG5" s="55"/>
      <c r="AH5" s="56" t="s">
        <v>82</v>
      </c>
      <c r="AI5" s="55"/>
      <c r="AJ5" s="55"/>
      <c r="AK5" s="55"/>
      <c r="AL5" s="55"/>
      <c r="AM5" s="56" t="s">
        <v>83</v>
      </c>
      <c r="AN5" s="56" t="s">
        <v>85</v>
      </c>
      <c r="AO5" s="56" t="s">
        <v>86</v>
      </c>
      <c r="AP5" s="56" t="s">
        <v>87</v>
      </c>
      <c r="AQ5" s="56" t="s">
        <v>84</v>
      </c>
      <c r="AR5" s="56" t="s">
        <v>88</v>
      </c>
      <c r="AS5" s="56" t="s">
        <v>90</v>
      </c>
      <c r="AT5" s="55"/>
      <c r="AU5" s="55"/>
      <c r="AV5" s="55"/>
      <c r="AW5" s="55"/>
      <c r="AX5" s="55"/>
      <c r="AY5" s="56" t="s">
        <v>98</v>
      </c>
      <c r="AZ5" s="55"/>
      <c r="BA5" s="108" t="s">
        <v>97</v>
      </c>
      <c r="BB5" s="56"/>
      <c r="BD5" s="94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2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25"/>
      <c r="CG5" s="25"/>
      <c r="CH5" s="25"/>
      <c r="CI5" s="25"/>
      <c r="CJ5" s="89"/>
      <c r="CL5" s="94"/>
      <c r="CM5" s="25"/>
      <c r="CN5" s="25"/>
      <c r="CO5" s="25"/>
      <c r="CP5" s="25"/>
      <c r="CQ5" s="25"/>
      <c r="CR5" s="25"/>
      <c r="CS5" s="25"/>
      <c r="CT5" s="25"/>
      <c r="CU5" s="25"/>
      <c r="CV5" s="25"/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89"/>
      <c r="DV5" s="94"/>
      <c r="DW5" s="25"/>
      <c r="DX5" s="25"/>
      <c r="DY5" s="25"/>
      <c r="DZ5" s="25"/>
      <c r="EA5" s="25"/>
      <c r="EB5" s="2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5"/>
      <c r="ER5" s="25"/>
      <c r="ES5" s="25"/>
      <c r="ET5" s="25"/>
      <c r="EU5" s="25"/>
      <c r="EV5" s="25"/>
      <c r="EW5" s="25"/>
      <c r="EX5" s="25"/>
      <c r="EY5" s="25"/>
      <c r="EZ5" s="25"/>
      <c r="FA5" s="279"/>
      <c r="FB5" s="279"/>
      <c r="FC5" s="25"/>
      <c r="FE5" s="94"/>
      <c r="FF5" s="25"/>
      <c r="FG5" s="25"/>
      <c r="FH5" s="25"/>
      <c r="FI5" s="25"/>
      <c r="FJ5" s="25"/>
      <c r="FK5" s="25"/>
      <c r="FL5" s="25"/>
      <c r="FM5" s="25"/>
      <c r="FN5" s="25"/>
      <c r="FO5" s="25"/>
      <c r="FP5" s="25"/>
      <c r="FQ5" s="25"/>
      <c r="FR5" s="25"/>
      <c r="FS5" s="25"/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163"/>
      <c r="GL5" s="89"/>
      <c r="GP5" s="107"/>
      <c r="GQ5" s="56" t="s">
        <v>89</v>
      </c>
      <c r="GR5" s="56"/>
      <c r="GS5" s="55"/>
      <c r="GT5" s="55"/>
      <c r="GU5" s="56" t="s">
        <v>82</v>
      </c>
      <c r="GV5" s="55"/>
      <c r="GW5" s="55"/>
      <c r="GX5" s="55"/>
      <c r="GY5" s="55"/>
      <c r="GZ5" s="56" t="s">
        <v>83</v>
      </c>
      <c r="HA5" s="288" t="s">
        <v>273</v>
      </c>
      <c r="HB5" s="56" t="s">
        <v>86</v>
      </c>
      <c r="HC5" s="56" t="s">
        <v>87</v>
      </c>
      <c r="HD5" s="56" t="s">
        <v>84</v>
      </c>
      <c r="HE5" s="56" t="s">
        <v>88</v>
      </c>
      <c r="HF5" s="56" t="s">
        <v>90</v>
      </c>
      <c r="HG5" s="55"/>
      <c r="HH5" s="55"/>
      <c r="HI5" s="55"/>
      <c r="HJ5" s="55"/>
      <c r="HK5" s="55"/>
      <c r="HL5" s="56" t="s">
        <v>98</v>
      </c>
      <c r="HM5" s="55"/>
      <c r="HN5" s="287" t="s">
        <v>259</v>
      </c>
      <c r="HO5" s="108" t="s">
        <v>97</v>
      </c>
      <c r="HP5" s="56"/>
    </row>
    <row r="6" spans="1:224">
      <c r="B6" s="90" t="s">
        <v>144</v>
      </c>
      <c r="C6" s="91" t="s">
        <v>78</v>
      </c>
      <c r="D6" s="91" t="s">
        <v>154</v>
      </c>
      <c r="E6" s="91" t="s">
        <v>155</v>
      </c>
      <c r="F6" s="91" t="s">
        <v>146</v>
      </c>
      <c r="G6" s="91" t="s">
        <v>79</v>
      </c>
      <c r="H6" s="91" t="s">
        <v>148</v>
      </c>
      <c r="I6" s="92" t="s">
        <v>156</v>
      </c>
      <c r="K6" s="90" t="s">
        <v>170</v>
      </c>
      <c r="L6" s="91" t="s">
        <v>171</v>
      </c>
      <c r="M6" s="91" t="s">
        <v>164</v>
      </c>
      <c r="N6" s="91" t="s">
        <v>176</v>
      </c>
      <c r="O6" s="92" t="s">
        <v>164</v>
      </c>
      <c r="P6" s="100" t="s">
        <v>179</v>
      </c>
      <c r="Q6" s="91" t="s">
        <v>181</v>
      </c>
      <c r="R6" s="92" t="s">
        <v>182</v>
      </c>
      <c r="S6" s="130" t="s">
        <v>256</v>
      </c>
      <c r="T6" s="130" t="s">
        <v>257</v>
      </c>
      <c r="U6" t="s">
        <v>258</v>
      </c>
      <c r="V6" s="275" t="s">
        <v>261</v>
      </c>
      <c r="X6" s="102" t="s">
        <v>151</v>
      </c>
      <c r="Y6" s="103" t="s">
        <v>150</v>
      </c>
      <c r="Z6" s="103" t="s">
        <v>165</v>
      </c>
      <c r="AA6" s="104" t="s">
        <v>152</v>
      </c>
      <c r="AC6" s="109" t="s">
        <v>5</v>
      </c>
      <c r="AD6" s="110" t="s">
        <v>9</v>
      </c>
      <c r="AE6" s="110" t="s">
        <v>11</v>
      </c>
      <c r="AF6" s="110" t="s">
        <v>15</v>
      </c>
      <c r="AG6" s="110" t="s">
        <v>19</v>
      </c>
      <c r="AH6" s="110" t="s">
        <v>22</v>
      </c>
      <c r="AI6" s="110" t="s">
        <v>25</v>
      </c>
      <c r="AJ6" s="110" t="s">
        <v>16</v>
      </c>
      <c r="AK6" s="110" t="s">
        <v>13</v>
      </c>
      <c r="AL6" s="110" t="s">
        <v>30</v>
      </c>
      <c r="AM6" s="110" t="s">
        <v>33</v>
      </c>
      <c r="AN6" s="110" t="s">
        <v>36</v>
      </c>
      <c r="AO6" s="110" t="s">
        <v>38</v>
      </c>
      <c r="AP6" s="110" t="s">
        <v>40</v>
      </c>
      <c r="AQ6" s="110" t="s">
        <v>42</v>
      </c>
      <c r="AR6" s="110" t="s">
        <v>44</v>
      </c>
      <c r="AS6" s="110" t="s">
        <v>47</v>
      </c>
      <c r="AT6" s="110" t="s">
        <v>50</v>
      </c>
      <c r="AU6" s="110" t="s">
        <v>53</v>
      </c>
      <c r="AV6" s="110" t="s">
        <v>56</v>
      </c>
      <c r="AW6" s="110" t="s">
        <v>59</v>
      </c>
      <c r="AX6" s="110" t="s">
        <v>61</v>
      </c>
      <c r="AY6" s="110" t="s">
        <v>63</v>
      </c>
      <c r="AZ6" s="110" t="s">
        <v>64</v>
      </c>
      <c r="BA6" s="111" t="s">
        <v>65</v>
      </c>
      <c r="BB6" s="54"/>
      <c r="BD6" s="109" t="s">
        <v>6</v>
      </c>
      <c r="BE6" s="110" t="s">
        <v>10</v>
      </c>
      <c r="BF6" s="110" t="s">
        <v>13</v>
      </c>
      <c r="BG6" s="110" t="s">
        <v>16</v>
      </c>
      <c r="BH6" s="110" t="s">
        <v>21</v>
      </c>
      <c r="BI6" s="110" t="s">
        <v>23</v>
      </c>
      <c r="BJ6" s="110" t="s">
        <v>11</v>
      </c>
      <c r="BK6" s="110" t="s">
        <v>27</v>
      </c>
      <c r="BL6" s="110" t="s">
        <v>29</v>
      </c>
      <c r="BM6" s="110" t="s">
        <v>31</v>
      </c>
      <c r="BN6" s="110" t="s">
        <v>34</v>
      </c>
      <c r="BO6" s="110" t="s">
        <v>37</v>
      </c>
      <c r="BP6" s="110" t="s">
        <v>39</v>
      </c>
      <c r="BQ6" s="110" t="s">
        <v>41</v>
      </c>
      <c r="BR6" s="110" t="s">
        <v>43</v>
      </c>
      <c r="BS6" s="110" t="s">
        <v>42</v>
      </c>
      <c r="BT6" s="110" t="s">
        <v>48</v>
      </c>
      <c r="BU6" s="110" t="s">
        <v>52</v>
      </c>
      <c r="BV6" s="110" t="s">
        <v>54</v>
      </c>
      <c r="BW6" s="110" t="s">
        <v>57</v>
      </c>
      <c r="BX6" s="110" t="s">
        <v>60</v>
      </c>
      <c r="BY6" s="110" t="s">
        <v>50</v>
      </c>
      <c r="BZ6" s="110" t="s">
        <v>53</v>
      </c>
      <c r="CA6" s="110" t="s">
        <v>56</v>
      </c>
      <c r="CB6" s="110" t="s">
        <v>59</v>
      </c>
      <c r="CC6" s="110" t="s">
        <v>68</v>
      </c>
      <c r="CD6" s="110" t="s">
        <v>70</v>
      </c>
      <c r="CE6" s="110" t="s">
        <v>71</v>
      </c>
      <c r="CF6" s="110" t="s">
        <v>72</v>
      </c>
      <c r="CG6" s="110" t="s">
        <v>73</v>
      </c>
      <c r="CH6" s="110" t="s">
        <v>61</v>
      </c>
      <c r="CI6" s="110" t="s">
        <v>74</v>
      </c>
      <c r="CJ6" s="111" t="s">
        <v>65</v>
      </c>
      <c r="CL6" s="109" t="s">
        <v>6</v>
      </c>
      <c r="CM6" s="110" t="s">
        <v>10</v>
      </c>
      <c r="CN6" s="110" t="s">
        <v>13</v>
      </c>
      <c r="CO6" s="110" t="s">
        <v>16</v>
      </c>
      <c r="CP6" s="110" t="s">
        <v>21</v>
      </c>
      <c r="CQ6" s="110" t="s">
        <v>23</v>
      </c>
      <c r="CR6" s="110" t="s">
        <v>11</v>
      </c>
      <c r="CS6" s="110" t="s">
        <v>27</v>
      </c>
      <c r="CT6" s="110" t="s">
        <v>29</v>
      </c>
      <c r="CU6" s="110" t="s">
        <v>31</v>
      </c>
      <c r="CV6" s="110" t="s">
        <v>34</v>
      </c>
      <c r="CW6" s="110" t="s">
        <v>37</v>
      </c>
      <c r="CX6" s="110" t="s">
        <v>39</v>
      </c>
      <c r="CY6" s="110" t="s">
        <v>41</v>
      </c>
      <c r="CZ6" s="110" t="s">
        <v>43</v>
      </c>
      <c r="DA6" s="110" t="s">
        <v>42</v>
      </c>
      <c r="DB6" s="110" t="s">
        <v>48</v>
      </c>
      <c r="DC6" s="110" t="s">
        <v>52</v>
      </c>
      <c r="DD6" s="110" t="s">
        <v>54</v>
      </c>
      <c r="DE6" s="110" t="s">
        <v>57</v>
      </c>
      <c r="DF6" s="110" t="s">
        <v>60</v>
      </c>
      <c r="DG6" s="110" t="s">
        <v>50</v>
      </c>
      <c r="DH6" s="110" t="s">
        <v>53</v>
      </c>
      <c r="DI6" s="110" t="s">
        <v>56</v>
      </c>
      <c r="DJ6" s="110" t="s">
        <v>59</v>
      </c>
      <c r="DK6" s="110" t="s">
        <v>68</v>
      </c>
      <c r="DL6" s="110" t="s">
        <v>70</v>
      </c>
      <c r="DM6" s="110" t="s">
        <v>71</v>
      </c>
      <c r="DN6" s="110" t="s">
        <v>72</v>
      </c>
      <c r="DO6" s="110" t="s">
        <v>73</v>
      </c>
      <c r="DP6" s="110" t="s">
        <v>61</v>
      </c>
      <c r="DQ6" s="110" t="s">
        <v>74</v>
      </c>
      <c r="DR6" s="111" t="s">
        <v>65</v>
      </c>
      <c r="DV6" s="109" t="s">
        <v>6</v>
      </c>
      <c r="DW6" s="110" t="s">
        <v>10</v>
      </c>
      <c r="DX6" s="110" t="s">
        <v>13</v>
      </c>
      <c r="DY6" s="110" t="s">
        <v>16</v>
      </c>
      <c r="DZ6" s="110" t="s">
        <v>21</v>
      </c>
      <c r="EA6" s="110" t="s">
        <v>23</v>
      </c>
      <c r="EB6" s="112" t="s">
        <v>11</v>
      </c>
      <c r="EC6" s="110" t="s">
        <v>27</v>
      </c>
      <c r="ED6" s="112" t="s">
        <v>29</v>
      </c>
      <c r="EE6" s="110" t="s">
        <v>31</v>
      </c>
      <c r="EF6" s="110" t="s">
        <v>34</v>
      </c>
      <c r="EG6" s="110" t="s">
        <v>37</v>
      </c>
      <c r="EH6" s="110" t="s">
        <v>39</v>
      </c>
      <c r="EI6" s="110" t="s">
        <v>41</v>
      </c>
      <c r="EJ6" s="110" t="s">
        <v>43</v>
      </c>
      <c r="EK6" s="110" t="s">
        <v>42</v>
      </c>
      <c r="EL6" s="110" t="s">
        <v>48</v>
      </c>
      <c r="EM6" s="110" t="s">
        <v>52</v>
      </c>
      <c r="EN6" s="110" t="s">
        <v>54</v>
      </c>
      <c r="EO6" s="110" t="s">
        <v>57</v>
      </c>
      <c r="EP6" s="110" t="s">
        <v>60</v>
      </c>
      <c r="EQ6" s="110" t="s">
        <v>50</v>
      </c>
      <c r="ER6" s="110" t="s">
        <v>53</v>
      </c>
      <c r="ES6" s="110" t="s">
        <v>56</v>
      </c>
      <c r="ET6" s="110" t="s">
        <v>59</v>
      </c>
      <c r="EU6" s="110" t="s">
        <v>68</v>
      </c>
      <c r="EV6" s="110" t="s">
        <v>70</v>
      </c>
      <c r="EW6" s="110" t="s">
        <v>71</v>
      </c>
      <c r="EX6" s="110" t="s">
        <v>72</v>
      </c>
      <c r="EY6" s="110" t="s">
        <v>73</v>
      </c>
      <c r="EZ6" s="110" t="s">
        <v>61</v>
      </c>
      <c r="FA6" s="110" t="s">
        <v>74</v>
      </c>
      <c r="FB6" s="110" t="s">
        <v>260</v>
      </c>
      <c r="FC6" s="110" t="s">
        <v>65</v>
      </c>
      <c r="FE6" s="109" t="s">
        <v>6</v>
      </c>
      <c r="FF6" s="110" t="s">
        <v>10</v>
      </c>
      <c r="FG6" s="110" t="s">
        <v>13</v>
      </c>
      <c r="FH6" s="110" t="s">
        <v>16</v>
      </c>
      <c r="FI6" s="110" t="s">
        <v>21</v>
      </c>
      <c r="FJ6" s="110" t="s">
        <v>23</v>
      </c>
      <c r="FK6" s="110" t="s">
        <v>11</v>
      </c>
      <c r="FL6" s="110" t="s">
        <v>27</v>
      </c>
      <c r="FM6" s="110" t="s">
        <v>29</v>
      </c>
      <c r="FN6" s="110" t="s">
        <v>31</v>
      </c>
      <c r="FO6" s="110" t="s">
        <v>34</v>
      </c>
      <c r="FP6" s="110" t="s">
        <v>37</v>
      </c>
      <c r="FQ6" s="110" t="s">
        <v>39</v>
      </c>
      <c r="FR6" s="110" t="s">
        <v>41</v>
      </c>
      <c r="FS6" s="110" t="s">
        <v>43</v>
      </c>
      <c r="FT6" s="110" t="s">
        <v>42</v>
      </c>
      <c r="FU6" s="110" t="s">
        <v>48</v>
      </c>
      <c r="FV6" s="110" t="s">
        <v>52</v>
      </c>
      <c r="FW6" s="110" t="s">
        <v>54</v>
      </c>
      <c r="FX6" s="110" t="s">
        <v>57</v>
      </c>
      <c r="FY6" s="110" t="s">
        <v>60</v>
      </c>
      <c r="FZ6" s="110" t="s">
        <v>50</v>
      </c>
      <c r="GA6" s="110" t="s">
        <v>53</v>
      </c>
      <c r="GB6" s="110" t="s">
        <v>56</v>
      </c>
      <c r="GC6" s="110" t="s">
        <v>59</v>
      </c>
      <c r="GD6" s="110" t="s">
        <v>68</v>
      </c>
      <c r="GE6" s="110" t="s">
        <v>70</v>
      </c>
      <c r="GF6" s="110" t="s">
        <v>71</v>
      </c>
      <c r="GG6" s="110" t="s">
        <v>72</v>
      </c>
      <c r="GH6" s="110" t="s">
        <v>73</v>
      </c>
      <c r="GI6" s="110" t="s">
        <v>61</v>
      </c>
      <c r="GJ6" s="110" t="s">
        <v>74</v>
      </c>
      <c r="GK6" s="110" t="s">
        <v>260</v>
      </c>
      <c r="GL6" s="111" t="s">
        <v>65</v>
      </c>
      <c r="GP6" s="109" t="s">
        <v>5</v>
      </c>
      <c r="GQ6" s="110" t="s">
        <v>9</v>
      </c>
      <c r="GR6" s="110" t="s">
        <v>11</v>
      </c>
      <c r="GS6" s="110" t="s">
        <v>15</v>
      </c>
      <c r="GT6" s="110" t="s">
        <v>19</v>
      </c>
      <c r="GU6" s="110" t="s">
        <v>22</v>
      </c>
      <c r="GV6" s="110" t="s">
        <v>25</v>
      </c>
      <c r="GW6" s="110" t="s">
        <v>16</v>
      </c>
      <c r="GX6" s="110" t="s">
        <v>13</v>
      </c>
      <c r="GY6" s="110" t="s">
        <v>30</v>
      </c>
      <c r="GZ6" s="110" t="s">
        <v>33</v>
      </c>
      <c r="HA6" s="110" t="s">
        <v>36</v>
      </c>
      <c r="HB6" s="110" t="s">
        <v>38</v>
      </c>
      <c r="HC6" s="110" t="s">
        <v>40</v>
      </c>
      <c r="HD6" s="110" t="s">
        <v>42</v>
      </c>
      <c r="HE6" s="110" t="s">
        <v>44</v>
      </c>
      <c r="HF6" s="110" t="s">
        <v>47</v>
      </c>
      <c r="HG6" s="110" t="s">
        <v>50</v>
      </c>
      <c r="HH6" s="110" t="s">
        <v>53</v>
      </c>
      <c r="HI6" s="110" t="s">
        <v>56</v>
      </c>
      <c r="HJ6" s="110" t="s">
        <v>59</v>
      </c>
      <c r="HK6" s="110" t="s">
        <v>61</v>
      </c>
      <c r="HL6" s="110" t="s">
        <v>63</v>
      </c>
      <c r="HM6" s="110" t="s">
        <v>64</v>
      </c>
      <c r="HN6" s="110" t="s">
        <v>260</v>
      </c>
      <c r="HO6" s="111" t="s">
        <v>65</v>
      </c>
      <c r="HP6" s="54"/>
    </row>
    <row r="7" spans="1:224">
      <c r="A7" s="101">
        <v>1</v>
      </c>
      <c r="B7" s="57" t="s">
        <v>249</v>
      </c>
      <c r="C7" s="57" t="s">
        <v>250</v>
      </c>
      <c r="D7" s="57" t="s">
        <v>101</v>
      </c>
      <c r="E7" s="57" t="s">
        <v>35</v>
      </c>
      <c r="F7" s="57" t="s">
        <v>249</v>
      </c>
      <c r="G7" s="57" t="s">
        <v>251</v>
      </c>
      <c r="H7" s="57" t="s">
        <v>101</v>
      </c>
      <c r="I7" s="57" t="s">
        <v>35</v>
      </c>
      <c r="J7" s="101">
        <v>1</v>
      </c>
      <c r="K7" s="58" t="s">
        <v>163</v>
      </c>
      <c r="L7" s="59" t="str">
        <f ca="1">IF(ISBLANK(M7),IF($G7="","",_xll.BDP(G7&amp;" "&amp;$K7&amp;" Corp","PX_LAST")),M7)</f>
        <v>#N/A Requesting Data...</v>
      </c>
      <c r="M7" s="60"/>
      <c r="N7" s="83" t="str">
        <f ca="1">IF(ISBLANK($O7),IF($G7="","",_xll.meLWOAssetSwapSpread($Y7,$X7,$L7,INDIRECT("ValuationSettings"&amp;$CR7),INDIRECT("Fixings"&amp;$CR7&amp;IF($I7="QUARTERLY","3ML","6ML")))),$O7)</f>
        <v>#Error: Invalid input, numeric input required</v>
      </c>
      <c r="O7" s="60"/>
      <c r="P7" s="84" t="str">
        <f ca="1">IF($C7="","",_xll.meLWOAssetSwapSpreadToCleanPrice($Z7,$N7,INDIRECT("ValuationSettings"&amp;$D7),INDIRECT("Fixings"&amp;$EB7&amp;IF($E7="QUARTERLY","3ML","6ML"))))</f>
        <v>#Error: Invalid input, numeric input required</v>
      </c>
      <c r="Q7" s="84" t="str">
        <f ca="1">IF($C7="","",_xll.meLWOBondPriceFromCleanToDirty($AA7,_xll.meUtilityLVBFromKeysValues($S$6:$T$6,S7:T7),$P7))</f>
        <v>#Error: Invalid input, numeric input required</v>
      </c>
      <c r="R7" s="98" t="str">
        <f ca="1">IF($C7="","",_xll.meLWOBondYield($AA7,_xll.meUtilityLVBFromKeysValues($S$6:$V$6,S7:V7),IF($GU7,$P7,$Q7)))</f>
        <v>#Error: Invalid input, numeric input required</v>
      </c>
      <c r="S7" s="127">
        <f ca="1">IF($C7="","",INDIRECT("ValuationDate"&amp;$D7))</f>
        <v>43500</v>
      </c>
      <c r="T7" s="98" t="str">
        <f ca="1">IF($C7="","",HE7)</f>
        <v>#LOADING</v>
      </c>
      <c r="U7" s="98" t="e">
        <f ca="1">IF($C7="","",_xll.BDP($C7,$U$5)%)</f>
        <v>#VALUE!</v>
      </c>
      <c r="V7" s="274" t="e">
        <f ca="1">IF($C7="","",_xll.BDP($C7,$V$5)%)</f>
        <v>#VALUE!</v>
      </c>
      <c r="W7" s="101">
        <v>1</v>
      </c>
      <c r="X7" s="53" t="str">
        <f ca="1">IF($G7="","",IF(LEFT(AD7,1)="#","#LOADING",_xll.meLWOBondCreateFromLVB("PROXY_BOND_"&amp;$AF7,_xll.meUtilityLVBFromKeysValues($AC$6:$BA$6,$AC7:$BA7))))</f>
        <v>#LOADING</v>
      </c>
      <c r="Y7" s="53" t="str">
        <f ca="1">IF($G7="","",_xll.meLWOSwapCreate("PROXY_ASW_"&amp;$AF7,_xll.meUtilityLVBFromKeysAndMultipleValues($BD$6:$CJ$6,$BD7:$CJ7,$CL7:$DR7)))</f>
        <v>#Error: Frequency '#LOADING' invalid, must be 'NONE', 'ANNUAL', 'SEMI_ANNUAL', 'QUARTERLY', 'MONTHLY', 'WEEKLY', 'DAILY' or 'AT_MATURITY'.</v>
      </c>
      <c r="Z7" s="53" t="str">
        <f ca="1">IF($C7="","",_xll.meLWOSwapCreate("BOND_ASW_"&amp;$GS7,_xll.meUtilityLVBFromKeysAndMultipleValues($DV$6:$FC$6,$DV7:$FC7,$FE7:$GL7)))</f>
        <v>#Error: Frequency '#LOADING' invalid, must be 'NONE', 'ANNUAL', 'SEMI_ANNUAL', 'QUARTERLY', 'MONTHLY', 'WEEKLY', 'DAILY' or 'AT_MATURITY'.</v>
      </c>
      <c r="AA7" s="53" t="str">
        <f ca="1">IF($C7="","",IF(LEFT(GQ7,1)="#","#LOADING",_xll.meLWOBondCreateFromLVB("PROXY_BOND_"&amp;$GS7,_xll.meUtilityLVBFromKeysValues($GP$6:$HO$6,$GP7:$HO7))))</f>
        <v>#LOADING</v>
      </c>
      <c r="AB7" t="s">
        <v>0</v>
      </c>
      <c r="AC7" s="62" t="str">
        <f t="shared" ref="AC7:AC26" si="0">$F7</f>
        <v>BP CAPITAL MARKETS</v>
      </c>
      <c r="AD7" s="63" t="str">
        <f ca="1">IF(LEFT(_xll.BDP($G7,AD$5),1)="#","#LOADING",_xll.BDP($G7,AD$5))</f>
        <v>#LOADING</v>
      </c>
      <c r="AE7" s="41" t="str">
        <f t="shared" ref="AE7:AE26" si="1">$H7</f>
        <v>USD</v>
      </c>
      <c r="AF7" s="63" t="str">
        <f ca="1">IF(LEFT(_xll.BDP($G7,AF$5),1)="#","#LOADING",_xll.BDP($G7,AF$5))</f>
        <v>#LOADING</v>
      </c>
      <c r="AG7" s="64" t="s">
        <v>20</v>
      </c>
      <c r="AH7" s="63" t="str">
        <f ca="1">IF(LEFT(_xll.BDP($G7,AH$5),1)="#","#LOADING",IF(_xll.BDP($G7,AH$5)="CLEAN",TRUE,FALSE))</f>
        <v>#LOADING</v>
      </c>
      <c r="AI7" s="64" t="s">
        <v>26</v>
      </c>
      <c r="AJ7" s="61" t="s">
        <v>18</v>
      </c>
      <c r="AK7" s="65" t="s">
        <v>28</v>
      </c>
      <c r="AL7" s="66">
        <v>1000000</v>
      </c>
      <c r="AM7" s="63" t="str">
        <f ca="1">IF(LEFT(_xll.BDP($G7,AM$5),1)="#","#LOADING",DATEVALUE(_xll.BDP($G7,AM$5)))</f>
        <v>#LOADING</v>
      </c>
      <c r="AN7" s="63" t="str">
        <f ca="1">IF(LEFT(_xll.BDP($G7,AN$5),1)="#","#LOADING",DATEVALUE(_xll.BDP($G7,AN$5)))</f>
        <v>#LOADING</v>
      </c>
      <c r="AO7" s="63" t="str">
        <f ca="1">IF(LEFT(_xll.BDP($G7,AO$5),1)="#","#LOADING",DATEVALUE(_xll.BDP($G7,AO$5)))</f>
        <v>#LOADING</v>
      </c>
      <c r="AP7" s="63" t="str">
        <f ca="1">IF(LEFT(_xll.BDP($G7,AP$5),1)="#","#LOADING",DATEVALUE(_xll.BDP($G7,AP$5)))</f>
        <v>#LOADING</v>
      </c>
      <c r="AQ7" s="63" t="str">
        <f ca="1">IF(LEFT(_xll.BDP($G7,AQ$5),1)="#","#LOADING",DATEVALUE(_xll.BDP($G7,AQ$5)))</f>
        <v>#LOADING</v>
      </c>
      <c r="AR7" s="67" t="str">
        <f ca="1">IF(LEFT(_xll.BDP($G7,AR$5),1)="#","#LOADING",_xll.BDP($G7,AR$5)%)</f>
        <v>#LOADING</v>
      </c>
      <c r="AS7" s="67" t="str">
        <f ca="1">IF(LEFT(_xll.BDP($G7,AS$5),1)="#","#LOADING",VLOOKUP(_xll.BDP($G7,AS$5),Static.CouponFrequency,2,FALSE))</f>
        <v>#LOADING</v>
      </c>
      <c r="AT7" s="68" t="s">
        <v>51</v>
      </c>
      <c r="AU7" s="53" t="str">
        <f t="shared" ref="AU7:AU26" si="2">VLOOKUP($AE7,Static.CurrencyToCalendar,2,FALSE)</f>
        <v>NYB</v>
      </c>
      <c r="AV7" s="61" t="s">
        <v>51</v>
      </c>
      <c r="AW7" s="53" t="str">
        <f t="shared" ref="AW7:AW26" si="3">VLOOKUP($AE7,Static.CurrencyToCalendar,2,FALSE)</f>
        <v>NYB</v>
      </c>
      <c r="AX7" s="61" t="s">
        <v>62</v>
      </c>
      <c r="AY7" s="69" t="str">
        <f ca="1">IF(LEFT(_xll.BDP($G7,AY$5),1)="#","#LOADING",_xll.BDP($G7,AY$5))</f>
        <v>#LOADING</v>
      </c>
      <c r="AZ7" s="70"/>
      <c r="BA7" s="69" t="str">
        <f ca="1">IF(LEFT(_xll.BDP($G7,BA$5),1)="#","#LOADING","Type"&amp;IF(_xll.BDP($G7,BA$5)=999,1,_xll.BDP($G7,BA$5)))</f>
        <v>#LOADING</v>
      </c>
      <c r="BB7" s="54"/>
      <c r="BD7" s="61" t="s">
        <v>7</v>
      </c>
      <c r="BE7" s="66">
        <v>1000000</v>
      </c>
      <c r="BF7" s="61" t="s">
        <v>14</v>
      </c>
      <c r="BG7" s="61" t="s">
        <v>17</v>
      </c>
      <c r="BH7" s="70"/>
      <c r="BI7" s="73" t="str">
        <f t="shared" ref="BI7:BI26" si="4">VLOOKUP($AE7,Static.CurrencyToAssetSwap,3,FALSE)</f>
        <v>USDOIS</v>
      </c>
      <c r="BJ7" s="74" t="str">
        <f t="shared" ref="BJ7:BJ26" si="5">$AE7</f>
        <v>USD</v>
      </c>
      <c r="BK7" s="71">
        <v>1</v>
      </c>
      <c r="BL7" s="75" t="str">
        <f t="shared" ref="BL7:BL26" ca="1" si="6">$AR7</f>
        <v>#LOADING</v>
      </c>
      <c r="BM7" s="61"/>
      <c r="BN7" s="61"/>
      <c r="BO7" s="72"/>
      <c r="BP7" s="72"/>
      <c r="BQ7" s="71"/>
      <c r="BR7" s="76" t="str">
        <f t="shared" ref="BR7:BR26" ca="1" si="7">$AN7</f>
        <v>#LOADING</v>
      </c>
      <c r="BS7" s="76" t="str">
        <f t="shared" ref="BS7:BS26" ca="1" si="8">$AQ7</f>
        <v>#LOADING</v>
      </c>
      <c r="BT7" s="77" t="str">
        <f t="shared" ref="BT7:BU26" ca="1" si="9">$AS7</f>
        <v>#LOADING</v>
      </c>
      <c r="BU7" s="77" t="str">
        <f t="shared" ca="1" si="9"/>
        <v>#LOADING</v>
      </c>
      <c r="BV7" s="78" t="str">
        <f t="shared" ref="BV7:BV26" ca="1" si="10">$AY7</f>
        <v>#LOADING</v>
      </c>
      <c r="BW7" s="61"/>
      <c r="BX7" s="61"/>
      <c r="BY7" s="61" t="s">
        <v>51</v>
      </c>
      <c r="BZ7" s="73" t="str">
        <f t="shared" ref="BZ7:BZ26" si="11">$AU7</f>
        <v>NYB</v>
      </c>
      <c r="CA7" s="61" t="s">
        <v>51</v>
      </c>
      <c r="CB7" s="73" t="str">
        <f t="shared" ref="CB7:CB26" si="12">$AW7</f>
        <v>NYB</v>
      </c>
      <c r="CC7" s="76" t="str">
        <f t="shared" ref="CC7:CC26" ca="1" si="13">$AO7</f>
        <v>#LOADING</v>
      </c>
      <c r="CD7" s="76" t="str">
        <f t="shared" ref="CD7:CD26" ca="1" si="14">$AP7</f>
        <v>#LOADING</v>
      </c>
      <c r="CE7" s="70" t="s">
        <v>80</v>
      </c>
      <c r="CF7" s="61"/>
      <c r="CG7" s="61"/>
      <c r="CH7" s="61" t="s">
        <v>62</v>
      </c>
      <c r="CI7" s="61"/>
      <c r="CJ7" s="76" t="str">
        <f t="shared" ref="CJ7:CJ26" ca="1" si="15">$BA7</f>
        <v>#LOADING</v>
      </c>
      <c r="CL7" s="61" t="s">
        <v>8</v>
      </c>
      <c r="CM7" s="66">
        <v>1000000</v>
      </c>
      <c r="CN7" s="61" t="s">
        <v>14</v>
      </c>
      <c r="CO7" s="61" t="s">
        <v>18</v>
      </c>
      <c r="CP7" s="53" t="str">
        <f t="shared" ref="CP7:CP26" si="16">$AE7&amp;VLOOKUP($I7,Static.FrequencyToCurveIndex,2,FALSE)</f>
        <v>USD3ML</v>
      </c>
      <c r="CQ7" s="53" t="str">
        <f t="shared" ref="CQ7:CQ26" si="17">VLOOKUP($AE7,Static.CurrencyToAssetSwap,3,FALSE)</f>
        <v>USDOIS</v>
      </c>
      <c r="CR7" s="41" t="str">
        <f t="shared" ref="CR7:CR26" si="18">$AE7</f>
        <v>USD</v>
      </c>
      <c r="CS7" s="71">
        <v>1</v>
      </c>
      <c r="CT7" s="81"/>
      <c r="CU7" s="61" t="s">
        <v>32</v>
      </c>
      <c r="CV7" s="61" t="s">
        <v>32</v>
      </c>
      <c r="CW7" s="72"/>
      <c r="CX7" s="72"/>
      <c r="CY7" s="71"/>
      <c r="CZ7" s="82" t="str">
        <f t="shared" ref="CZ7:CZ26" ca="1" si="19">$AN7</f>
        <v>#LOADING</v>
      </c>
      <c r="DA7" s="82" t="str">
        <f t="shared" ref="DA7:DA26" ca="1" si="20">$AQ7</f>
        <v>#LOADING</v>
      </c>
      <c r="DB7" s="53" t="str">
        <f t="shared" ref="DB7:DC26" si="21">$E7</f>
        <v>QUARTERLY</v>
      </c>
      <c r="DC7" s="53" t="str">
        <f t="shared" si="21"/>
        <v>QUARTERLY</v>
      </c>
      <c r="DD7" s="53" t="str">
        <f t="shared" ref="DD7:DD26" si="22">VLOOKUP($AE7,Static.CurrencyToAssetSwap,6,FALSE)</f>
        <v>ACT/360</v>
      </c>
      <c r="DE7" s="61" t="s">
        <v>58</v>
      </c>
      <c r="DF7" s="53" t="str">
        <f t="shared" ref="DF7:DF26" si="23">VLOOKUP($AE7,Static.CurrencyToAssetSwap,4,FALSE)</f>
        <v>NYB:LNB</v>
      </c>
      <c r="DG7" s="61" t="s">
        <v>51</v>
      </c>
      <c r="DH7" s="53" t="str">
        <f t="shared" ref="DH7:DH26" si="24">VLOOKUP($AE7,Static.CurrencyToAssetSwap,5,FALSE)</f>
        <v>NYB</v>
      </c>
      <c r="DI7" s="61" t="s">
        <v>51</v>
      </c>
      <c r="DJ7" s="53" t="str">
        <f t="shared" ref="DJ7:DJ26" si="25">VLOOKUP($AE7,Static.CurrencyToAssetSwap,5,FALSE)</f>
        <v>NYB</v>
      </c>
      <c r="DK7" s="82"/>
      <c r="DL7" s="82"/>
      <c r="DM7" s="70"/>
      <c r="DN7" s="61" t="s">
        <v>62</v>
      </c>
      <c r="DO7" s="61"/>
      <c r="DP7" s="61" t="s">
        <v>62</v>
      </c>
      <c r="DQ7" s="61" t="s">
        <v>75</v>
      </c>
      <c r="DR7" s="82"/>
      <c r="DV7" s="61" t="s">
        <v>253</v>
      </c>
      <c r="DW7" s="66">
        <v>1000000</v>
      </c>
      <c r="DX7" s="61" t="s">
        <v>14</v>
      </c>
      <c r="DY7" s="61" t="s">
        <v>17</v>
      </c>
      <c r="DZ7" s="70"/>
      <c r="EA7" s="73" t="str">
        <f t="shared" ref="EA7:EA26" si="26">VLOOKUP($GR7,Static.CurrencyToAssetSwap,3,FALSE)</f>
        <v>USDOIS</v>
      </c>
      <c r="EB7" s="74" t="str">
        <f t="shared" ref="EB7:EB26" si="27">$GR7</f>
        <v>USD</v>
      </c>
      <c r="EC7" s="71">
        <v>1</v>
      </c>
      <c r="ED7" s="75" t="str">
        <f t="shared" ref="ED7:ED26" ca="1" si="28">$HE7</f>
        <v>#LOADING</v>
      </c>
      <c r="EE7" s="61"/>
      <c r="EF7" s="61"/>
      <c r="EG7" s="72"/>
      <c r="EH7" s="72"/>
      <c r="EI7" s="71"/>
      <c r="EJ7" s="76" t="str">
        <f t="shared" ref="EJ7:EJ26" ca="1" si="29">$HA7</f>
        <v>#LOADING</v>
      </c>
      <c r="EK7" s="76" t="str">
        <f t="shared" ref="EK7:EK26" ca="1" si="30">$HD7</f>
        <v>#LOADING</v>
      </c>
      <c r="EL7" s="77" t="str">
        <f t="shared" ref="EL7:EM26" ca="1" si="31">$HF7</f>
        <v>#LOADING</v>
      </c>
      <c r="EM7" s="77" t="str">
        <f t="shared" ca="1" si="31"/>
        <v>#LOADING</v>
      </c>
      <c r="EN7" s="78" t="str">
        <f t="shared" ref="EN7:EN26" ca="1" si="32">$HL7</f>
        <v>#LOADING</v>
      </c>
      <c r="EO7" s="61"/>
      <c r="EP7" s="61"/>
      <c r="EQ7" s="61" t="s">
        <v>51</v>
      </c>
      <c r="ER7" s="73" t="str">
        <f t="shared" ref="ER7:ER26" si="33">$HH7</f>
        <v>NYB</v>
      </c>
      <c r="ES7" s="61" t="s">
        <v>51</v>
      </c>
      <c r="ET7" s="73" t="str">
        <f t="shared" ref="ET7:ET26" si="34">$HJ7</f>
        <v>NYB</v>
      </c>
      <c r="EU7" s="76" t="str">
        <f t="shared" ref="EU7:EU26" ca="1" si="35">$HB7</f>
        <v>#LOADING</v>
      </c>
      <c r="EV7" s="76" t="str">
        <f t="shared" ref="EV7:EV26" ca="1" si="36">$HC7</f>
        <v>#LOADING</v>
      </c>
      <c r="EW7" s="70" t="s">
        <v>80</v>
      </c>
      <c r="EX7" s="61"/>
      <c r="EY7" s="61"/>
      <c r="EZ7" s="61" t="s">
        <v>62</v>
      </c>
      <c r="FA7" s="61"/>
      <c r="FB7" s="61"/>
      <c r="FC7" s="61"/>
      <c r="FE7" s="113" t="s">
        <v>254</v>
      </c>
      <c r="FF7" s="114">
        <v>1000000</v>
      </c>
      <c r="FG7" s="113" t="s">
        <v>14</v>
      </c>
      <c r="FH7" s="113" t="s">
        <v>18</v>
      </c>
      <c r="FI7" s="115" t="str">
        <f t="shared" ref="FI7:FI26" si="37">$AE7&amp;VLOOKUP($I7,Static.FrequencyToCurveIndex,2,FALSE)</f>
        <v>USD3ML</v>
      </c>
      <c r="FJ7" s="115" t="str">
        <f t="shared" ref="FJ7:FJ26" si="38">VLOOKUP($GR7,Static.CurrencyToAssetSwap,3,FALSE)</f>
        <v>USDOIS</v>
      </c>
      <c r="FK7" s="116" t="str">
        <f t="shared" ref="FK7:FK26" si="39">$AE7</f>
        <v>USD</v>
      </c>
      <c r="FL7" s="117">
        <v>1</v>
      </c>
      <c r="FM7" s="118"/>
      <c r="FN7" s="113" t="s">
        <v>32</v>
      </c>
      <c r="FO7" s="113" t="s">
        <v>32</v>
      </c>
      <c r="FP7" s="119"/>
      <c r="FQ7" s="119"/>
      <c r="FR7" s="117"/>
      <c r="FS7" s="120" t="str">
        <f t="shared" ref="FS7:FS26" ca="1" si="40">$HA7</f>
        <v>#LOADING</v>
      </c>
      <c r="FT7" s="120" t="str">
        <f t="shared" ref="FT7:FT26" ca="1" si="41">$HD7</f>
        <v>#LOADING</v>
      </c>
      <c r="FU7" s="115" t="str">
        <f t="shared" ref="FU7:FV26" si="42">$I7</f>
        <v>QUARTERLY</v>
      </c>
      <c r="FV7" s="115" t="str">
        <f t="shared" si="42"/>
        <v>QUARTERLY</v>
      </c>
      <c r="FW7" s="115" t="str">
        <f t="shared" ref="FW7:FW26" si="43">VLOOKUP($GR7,Static.CurrencyToAssetSwap,6,FALSE)</f>
        <v>ACT/360</v>
      </c>
      <c r="FX7" s="113" t="s">
        <v>58</v>
      </c>
      <c r="FY7" s="115" t="str">
        <f t="shared" ref="FY7:FY26" si="44">VLOOKUP($GR7,Static.CurrencyToAssetSwap,4,FALSE)</f>
        <v>NYB:LNB</v>
      </c>
      <c r="FZ7" s="113" t="s">
        <v>51</v>
      </c>
      <c r="GA7" s="115" t="str">
        <f t="shared" ref="GA7:GA26" si="45">VLOOKUP($GR7,Static.CurrencyToAssetSwap,5,FALSE)</f>
        <v>NYB</v>
      </c>
      <c r="GB7" s="113" t="s">
        <v>51</v>
      </c>
      <c r="GC7" s="115" t="str">
        <f t="shared" ref="GC7:GC26" si="46">VLOOKUP($GR7,Static.CurrencyToAssetSwap,5,FALSE)</f>
        <v>NYB</v>
      </c>
      <c r="GD7" s="121"/>
      <c r="GE7" s="121"/>
      <c r="GF7" s="122"/>
      <c r="GG7" s="113" t="s">
        <v>62</v>
      </c>
      <c r="GH7" s="113"/>
      <c r="GI7" s="113" t="s">
        <v>62</v>
      </c>
      <c r="GJ7" s="113" t="s">
        <v>75</v>
      </c>
      <c r="GK7" s="285" t="str">
        <f ca="1">HN7</f>
        <v>#LOADING</v>
      </c>
      <c r="GL7" s="121" t="str">
        <f ca="1">HO7</f>
        <v>#LOADING</v>
      </c>
      <c r="GP7" s="95" t="str">
        <f t="shared" ref="GP7:GP26" si="47">$B7</f>
        <v>BP CAPITAL MARKETS</v>
      </c>
      <c r="GQ7" s="42" t="str">
        <f ca="1">IF(LEFT(_xll.BDP($C7,GQ$5),1)="#","#LOADING",_xll.BDP($C7,GQ$5))</f>
        <v>#LOADING</v>
      </c>
      <c r="GR7" s="74" t="str">
        <f t="shared" ref="GR7:GR26" si="48">$D7</f>
        <v>USD</v>
      </c>
      <c r="GS7" s="74" t="str">
        <f t="shared" ref="GS7:GS26" si="49">LEFT(C7,LEN(C7)-5)</f>
        <v>XS1193905160</v>
      </c>
      <c r="GT7" s="64" t="s">
        <v>20</v>
      </c>
      <c r="GU7" s="42" t="str">
        <f ca="1">IF(LEFT(_xll.BDP($C7,GU$5),1)="#","#LOADING",IF(_xll.BDP($C7,GU$5)="CLEAN",TRUE,FALSE))</f>
        <v>#LOADING</v>
      </c>
      <c r="GV7" s="64" t="s">
        <v>26</v>
      </c>
      <c r="GW7" s="61" t="s">
        <v>18</v>
      </c>
      <c r="GX7" s="65" t="s">
        <v>28</v>
      </c>
      <c r="GY7" s="66">
        <v>1000000</v>
      </c>
      <c r="GZ7" s="96" t="str">
        <f ca="1">IF(LEFT(_xll.BDP($C7,GZ$5),1)="#","#LOADING",DATEVALUE(_xll.BDP($C7,GZ$5)))</f>
        <v>#LOADING</v>
      </c>
      <c r="HA7" s="96" t="str">
        <f ca="1">IF(LEFT(_xll.BDP($C7,HA$5),1)="#","#LOADING",DATEVALUE(_xll.BDP($C7,HA$5)))</f>
        <v>#LOADING</v>
      </c>
      <c r="HB7" s="96" t="str">
        <f ca="1">IF(LEFT(_xll.BDP($C7,HB$5),1)="#","#LOADING",DATEVALUE(_xll.BDP($C7,HB$5)))</f>
        <v>#LOADING</v>
      </c>
      <c r="HC7" s="96" t="str">
        <f ca="1">IF(LEFT(_xll.BDP($C7,HC$5),1)="#","#LOADING",DATEVALUE(_xll.BDP($C7,HC$5)))</f>
        <v>#LOADING</v>
      </c>
      <c r="HD7" s="96" t="str">
        <f ca="1">IF(LEFT(_xll.BDP($C7,HD$5),1)="#","#LOADING",DATEVALUE(_xll.BDP($C7,HD$5)))</f>
        <v>#LOADING</v>
      </c>
      <c r="HE7" s="97" t="str">
        <f ca="1">IF(LEFT(_xll.BDP($C7,HE$5),1)="#","#LOADING",_xll.BDP($C7,HE$5)%)</f>
        <v>#LOADING</v>
      </c>
      <c r="HF7" s="97" t="str">
        <f ca="1">IF(LEFT(_xll.BDP($C7,HF$5),1)="#","#LOADING",VLOOKUP(_xll.BDP($C7,HF$5),Static.CouponFrequency,2,FALSE))</f>
        <v>#LOADING</v>
      </c>
      <c r="HG7" s="68" t="s">
        <v>51</v>
      </c>
      <c r="HH7" s="73" t="str">
        <f t="shared" ref="HH7:HH26" si="50">VLOOKUP($GR7,Static.CurrencyToCalendar,2,FALSE)</f>
        <v>NYB</v>
      </c>
      <c r="HI7" s="61" t="s">
        <v>51</v>
      </c>
      <c r="HJ7" s="73" t="str">
        <f t="shared" ref="HJ7:HJ26" si="51">VLOOKUP($GR7,Static.CurrencyToCalendar,2,FALSE)</f>
        <v>NYB</v>
      </c>
      <c r="HK7" s="61" t="s">
        <v>62</v>
      </c>
      <c r="HL7" s="43" t="str">
        <f ca="1">IF(LEFT(_xll.BDP($C7,HL$5),1)="#","#LOADING",_xll.BDP($C7,HL$5))</f>
        <v>#LOADING</v>
      </c>
      <c r="HM7" s="70"/>
      <c r="HN7" s="280" t="str">
        <f ca="1">IF(LEFT(_xll.BDP($C7,HN$5),1)="#","#LOADING",_xll.BDP($C7,HN$5))</f>
        <v>#LOADING</v>
      </c>
      <c r="HO7" s="43" t="str">
        <f ca="1">IF(LEFT(_xll.BDP($C7,HO$5),1)="#","#LOADING","Type"&amp;IF(_xll.BDP($C7,HO$5)=999,1,_xll.BDP($C7,HO$5)))</f>
        <v>#LOADING</v>
      </c>
      <c r="HP7" s="54"/>
    </row>
    <row r="8" spans="1:224">
      <c r="A8" s="101">
        <v>2</v>
      </c>
      <c r="B8" s="57" t="s">
        <v>249</v>
      </c>
      <c r="C8" s="57" t="s">
        <v>250</v>
      </c>
      <c r="D8" s="57" t="s">
        <v>101</v>
      </c>
      <c r="E8" s="57" t="s">
        <v>35</v>
      </c>
      <c r="F8" s="57" t="s">
        <v>249</v>
      </c>
      <c r="G8" s="57" t="s">
        <v>251</v>
      </c>
      <c r="H8" s="57" t="s">
        <v>101</v>
      </c>
      <c r="I8" s="57" t="s">
        <v>35</v>
      </c>
      <c r="J8" s="101">
        <v>2</v>
      </c>
      <c r="K8" s="58" t="s">
        <v>163</v>
      </c>
      <c r="L8" s="59" t="str">
        <f ca="1">IF(ISBLANK(M8),IF($G8="","",_xll.BDP(G8&amp;" "&amp;$K8&amp;" Corp","PX_LAST")),M8)</f>
        <v>#N/A Requesting Data...</v>
      </c>
      <c r="M8" s="60"/>
      <c r="N8" s="83" t="str">
        <f ca="1">IF(ISBLANK($O8),IF($G8="","",_xll.meLWOAssetSwapSpread($Y8,$X8,$L8,INDIRECT("ValuationSettings"&amp;$CR8),INDIRECT("Fixings"&amp;$CR8&amp;IF($I8="QUARTERLY","3ML","6ML")))),$O8)</f>
        <v>#Error: Invalid input, numeric input required</v>
      </c>
      <c r="O8" s="60"/>
      <c r="P8" s="84" t="str">
        <f ca="1">IF($C8="","",_xll.meLWOAssetSwapSpreadToCleanPrice($Z8,$N8,INDIRECT("ValuationSettings"&amp;$D8),INDIRECT("Fixings"&amp;$EB8&amp;IF($E8="QUARTERLY","3ML","6ML"))))</f>
        <v>#Error: Invalid input, numeric input required</v>
      </c>
      <c r="Q8" s="84" t="str">
        <f ca="1">IF($C8="","",_xll.meLWOBondPriceFromCleanToDirty($AA8,_xll.meUtilityLVBFromKeysValues($S$6:$T$6,S8:T8),$P8))</f>
        <v>#Error: Invalid input, numeric input required</v>
      </c>
      <c r="R8" s="98" t="str">
        <f ca="1">IF($C8="","",_xll.meLWOBondYield($AA8,_xll.meUtilityLVBFromKeysValues($S$6:$V$6,S8:V8),IF($GU8,$P8,$Q8)))</f>
        <v>#Error: Invalid input, numeric input required</v>
      </c>
      <c r="S8" s="127">
        <f t="shared" ref="S8:S26" ca="1" si="52">IF($C8="","",INDIRECT("ValuationDate"&amp;$D8))</f>
        <v>43500</v>
      </c>
      <c r="T8" s="98" t="str">
        <f t="shared" ref="T8:T26" ca="1" si="53">IF($C8="","",HE8)</f>
        <v>#LOADING</v>
      </c>
      <c r="U8" s="98" t="e">
        <f ca="1">IF($C8="","",_xll.BDP($C8,$U$5)%)</f>
        <v>#VALUE!</v>
      </c>
      <c r="V8" s="274" t="e">
        <f ca="1">IF($C8="","",_xll.BDP($C8,$V$5)%)</f>
        <v>#VALUE!</v>
      </c>
      <c r="W8" s="101">
        <v>2</v>
      </c>
      <c r="X8" s="53" t="str">
        <f ca="1">IF($G8="","",IF(LEFT(AD8,1)="#","#LOADING",_xll.meLWOBondCreateFromLVB("PROXY_BOND_"&amp;$AF8,_xll.meUtilityLVBFromKeysValues($AC$6:$BA$6,$AC8:$BA8))))</f>
        <v>#LOADING</v>
      </c>
      <c r="Y8" s="53" t="str">
        <f ca="1">IF($G8="","",_xll.meLWOSwapCreate("PROXY_ASW_"&amp;$AF8,_xll.meUtilityLVBFromKeysAndMultipleValues($BD$6:$CJ$6,$BD8:$CJ8,$CL8:$DR8)))</f>
        <v>#Error: Frequency '#LOADING' invalid, must be 'NONE', 'ANNUAL', 'SEMI_ANNUAL', 'QUARTERLY', 'MONTHLY', 'WEEKLY', 'DAILY' or 'AT_MATURITY'.</v>
      </c>
      <c r="Z8" s="53" t="str">
        <f ca="1">IF($C8="","",_xll.meLWOSwapCreate("BOND_ASW_"&amp;$GS8,_xll.meUtilityLVBFromKeysAndMultipleValues($DV$6:$FC$6,$DV8:$FC8,$FE8:$GL8)))</f>
        <v>#Error: Frequency '#LOADING' invalid, must be 'NONE', 'ANNUAL', 'SEMI_ANNUAL', 'QUARTERLY', 'MONTHLY', 'WEEKLY', 'DAILY' or 'AT_MATURITY'.</v>
      </c>
      <c r="AA8" s="53" t="str">
        <f ca="1">IF($C8="","",IF(LEFT(GQ8,1)="#","#LOADING",_xll.meLWOBondCreateFromLVB("PROXY_BOND_"&amp;$GS8,_xll.meUtilityLVBFromKeysValues($GP$6:$HO$6,$GP8:$HO8))))</f>
        <v>#LOADING</v>
      </c>
      <c r="AB8" t="s">
        <v>0</v>
      </c>
      <c r="AC8" s="62" t="str">
        <f t="shared" si="0"/>
        <v>BP CAPITAL MARKETS</v>
      </c>
      <c r="AD8" s="63" t="str">
        <f ca="1">IF(LEFT(_xll.BDP($G8,AD$5),1)="#","#LOADING",_xll.BDP($G8,AD$5))</f>
        <v>#LOADING</v>
      </c>
      <c r="AE8" s="41" t="str">
        <f t="shared" si="1"/>
        <v>USD</v>
      </c>
      <c r="AF8" s="63" t="str">
        <f ca="1">IF(LEFT(_xll.BDP($G8,AF$5),1)="#","#LOADING",_xll.BDP($G8,AF$5))</f>
        <v>#LOADING</v>
      </c>
      <c r="AG8" s="64" t="s">
        <v>20</v>
      </c>
      <c r="AH8" s="63" t="str">
        <f ca="1">IF(LEFT(_xll.BDP($G8,AH$5),1)="#","#LOADING",IF(_xll.BDP($G8,AH$5)="CLEAN",TRUE,FALSE))</f>
        <v>#LOADING</v>
      </c>
      <c r="AI8" s="64" t="s">
        <v>26</v>
      </c>
      <c r="AJ8" s="61" t="s">
        <v>18</v>
      </c>
      <c r="AK8" s="65" t="s">
        <v>28</v>
      </c>
      <c r="AL8" s="66">
        <v>1000000</v>
      </c>
      <c r="AM8" s="63" t="str">
        <f ca="1">IF(LEFT(_xll.BDP($G8,AM$5),1)="#","#LOADING",DATEVALUE(_xll.BDP($G8,AM$5)))</f>
        <v>#LOADING</v>
      </c>
      <c r="AN8" s="63" t="str">
        <f ca="1">IF(LEFT(_xll.BDP($G8,AN$5),1)="#","#LOADING",DATEVALUE(_xll.BDP($G8,AN$5)))</f>
        <v>#LOADING</v>
      </c>
      <c r="AO8" s="63" t="str">
        <f ca="1">IF(LEFT(_xll.BDP($G8,AO$5),1)="#","#LOADING",DATEVALUE(_xll.BDP($G8,AO$5)))</f>
        <v>#LOADING</v>
      </c>
      <c r="AP8" s="63" t="str">
        <f ca="1">IF(LEFT(_xll.BDP($G8,AP$5),1)="#","#LOADING",DATEVALUE(_xll.BDP($G8,AP$5)))</f>
        <v>#LOADING</v>
      </c>
      <c r="AQ8" s="63" t="str">
        <f ca="1">IF(LEFT(_xll.BDP($G8,AQ$5),1)="#","#LOADING",DATEVALUE(_xll.BDP($G8,AQ$5)))</f>
        <v>#LOADING</v>
      </c>
      <c r="AR8" s="67" t="str">
        <f ca="1">IF(LEFT(_xll.BDP($G8,AR$5),1)="#","#LOADING",_xll.BDP($G8,AR$5)%)</f>
        <v>#LOADING</v>
      </c>
      <c r="AS8" s="67" t="str">
        <f ca="1">IF(LEFT(_xll.BDP($G8,AS$5),1)="#","#LOADING",VLOOKUP(_xll.BDP($G8,AS$5),Static.CouponFrequency,2,FALSE))</f>
        <v>#LOADING</v>
      </c>
      <c r="AT8" s="68" t="s">
        <v>51</v>
      </c>
      <c r="AU8" s="53" t="str">
        <f t="shared" si="2"/>
        <v>NYB</v>
      </c>
      <c r="AV8" s="61" t="s">
        <v>51</v>
      </c>
      <c r="AW8" s="53" t="str">
        <f t="shared" si="3"/>
        <v>NYB</v>
      </c>
      <c r="AX8" s="61" t="s">
        <v>62</v>
      </c>
      <c r="AY8" s="69" t="str">
        <f ca="1">IF(LEFT(_xll.BDP($G8,AY$5),1)="#","#LOADING",_xll.BDP($G8,AY$5))</f>
        <v>#LOADING</v>
      </c>
      <c r="AZ8" s="70"/>
      <c r="BA8" s="69" t="str">
        <f ca="1">IF(LEFT(_xll.BDP($G8,BA$5),1)="#","#LOADING","Type"&amp;IF(_xll.BDP($G8,BA$5)=999,1,_xll.BDP($G8,BA$5)))</f>
        <v>#LOADING</v>
      </c>
      <c r="BB8" s="54"/>
      <c r="BD8" s="61" t="s">
        <v>7</v>
      </c>
      <c r="BE8" s="66">
        <v>1000000</v>
      </c>
      <c r="BF8" s="61" t="s">
        <v>14</v>
      </c>
      <c r="BG8" s="61" t="s">
        <v>17</v>
      </c>
      <c r="BH8" s="70"/>
      <c r="BI8" s="73" t="str">
        <f t="shared" si="4"/>
        <v>USDOIS</v>
      </c>
      <c r="BJ8" s="74" t="str">
        <f t="shared" si="5"/>
        <v>USD</v>
      </c>
      <c r="BK8" s="71">
        <v>1</v>
      </c>
      <c r="BL8" s="75" t="str">
        <f t="shared" ca="1" si="6"/>
        <v>#LOADING</v>
      </c>
      <c r="BM8" s="61"/>
      <c r="BN8" s="61"/>
      <c r="BO8" s="72"/>
      <c r="BP8" s="72"/>
      <c r="BQ8" s="71"/>
      <c r="BR8" s="76" t="str">
        <f t="shared" ca="1" si="7"/>
        <v>#LOADING</v>
      </c>
      <c r="BS8" s="76" t="str">
        <f t="shared" ca="1" si="8"/>
        <v>#LOADING</v>
      </c>
      <c r="BT8" s="77" t="str">
        <f t="shared" ca="1" si="9"/>
        <v>#LOADING</v>
      </c>
      <c r="BU8" s="77" t="str">
        <f t="shared" ca="1" si="9"/>
        <v>#LOADING</v>
      </c>
      <c r="BV8" s="78" t="str">
        <f t="shared" ca="1" si="10"/>
        <v>#LOADING</v>
      </c>
      <c r="BW8" s="61"/>
      <c r="BX8" s="61"/>
      <c r="BY8" s="61" t="s">
        <v>51</v>
      </c>
      <c r="BZ8" s="73" t="str">
        <f t="shared" si="11"/>
        <v>NYB</v>
      </c>
      <c r="CA8" s="61" t="s">
        <v>51</v>
      </c>
      <c r="CB8" s="73" t="str">
        <f t="shared" si="12"/>
        <v>NYB</v>
      </c>
      <c r="CC8" s="76" t="str">
        <f t="shared" ca="1" si="13"/>
        <v>#LOADING</v>
      </c>
      <c r="CD8" s="76" t="str">
        <f t="shared" ca="1" si="14"/>
        <v>#LOADING</v>
      </c>
      <c r="CE8" s="70" t="s">
        <v>80</v>
      </c>
      <c r="CF8" s="61"/>
      <c r="CG8" s="61"/>
      <c r="CH8" s="61" t="s">
        <v>62</v>
      </c>
      <c r="CI8" s="61"/>
      <c r="CJ8" s="76" t="str">
        <f t="shared" ca="1" si="15"/>
        <v>#LOADING</v>
      </c>
      <c r="CL8" s="61" t="s">
        <v>8</v>
      </c>
      <c r="CM8" s="66">
        <v>1000000</v>
      </c>
      <c r="CN8" s="61" t="s">
        <v>14</v>
      </c>
      <c r="CO8" s="61" t="s">
        <v>18</v>
      </c>
      <c r="CP8" s="53" t="str">
        <f t="shared" si="16"/>
        <v>USD3ML</v>
      </c>
      <c r="CQ8" s="53" t="str">
        <f t="shared" si="17"/>
        <v>USDOIS</v>
      </c>
      <c r="CR8" s="41" t="str">
        <f t="shared" si="18"/>
        <v>USD</v>
      </c>
      <c r="CS8" s="71">
        <v>1</v>
      </c>
      <c r="CT8" s="81"/>
      <c r="CU8" s="61" t="s">
        <v>32</v>
      </c>
      <c r="CV8" s="61" t="s">
        <v>32</v>
      </c>
      <c r="CW8" s="72"/>
      <c r="CX8" s="72"/>
      <c r="CY8" s="71"/>
      <c r="CZ8" s="82" t="str">
        <f t="shared" ca="1" si="19"/>
        <v>#LOADING</v>
      </c>
      <c r="DA8" s="82" t="str">
        <f t="shared" ca="1" si="20"/>
        <v>#LOADING</v>
      </c>
      <c r="DB8" s="53" t="str">
        <f t="shared" si="21"/>
        <v>QUARTERLY</v>
      </c>
      <c r="DC8" s="53" t="str">
        <f t="shared" si="21"/>
        <v>QUARTERLY</v>
      </c>
      <c r="DD8" s="53" t="str">
        <f t="shared" si="22"/>
        <v>ACT/360</v>
      </c>
      <c r="DE8" s="61" t="s">
        <v>58</v>
      </c>
      <c r="DF8" s="53" t="str">
        <f t="shared" si="23"/>
        <v>NYB:LNB</v>
      </c>
      <c r="DG8" s="61" t="s">
        <v>51</v>
      </c>
      <c r="DH8" s="53" t="str">
        <f t="shared" si="24"/>
        <v>NYB</v>
      </c>
      <c r="DI8" s="61" t="s">
        <v>51</v>
      </c>
      <c r="DJ8" s="53" t="str">
        <f t="shared" si="25"/>
        <v>NYB</v>
      </c>
      <c r="DK8" s="82"/>
      <c r="DL8" s="82"/>
      <c r="DM8" s="70"/>
      <c r="DN8" s="61" t="s">
        <v>62</v>
      </c>
      <c r="DO8" s="61"/>
      <c r="DP8" s="61" t="s">
        <v>62</v>
      </c>
      <c r="DQ8" s="61" t="s">
        <v>75</v>
      </c>
      <c r="DR8" s="82"/>
      <c r="DV8" s="61" t="s">
        <v>253</v>
      </c>
      <c r="DW8" s="66">
        <v>1000000</v>
      </c>
      <c r="DX8" s="61" t="s">
        <v>14</v>
      </c>
      <c r="DY8" s="61" t="s">
        <v>17</v>
      </c>
      <c r="DZ8" s="70"/>
      <c r="EA8" s="73" t="str">
        <f t="shared" si="26"/>
        <v>USDOIS</v>
      </c>
      <c r="EB8" s="74" t="str">
        <f t="shared" si="27"/>
        <v>USD</v>
      </c>
      <c r="EC8" s="71">
        <v>1</v>
      </c>
      <c r="ED8" s="75" t="str">
        <f ca="1">$HE8</f>
        <v>#LOADING</v>
      </c>
      <c r="EE8" s="61"/>
      <c r="EF8" s="61"/>
      <c r="EG8" s="72"/>
      <c r="EH8" s="72"/>
      <c r="EI8" s="71"/>
      <c r="EJ8" s="76" t="str">
        <f t="shared" ca="1" si="29"/>
        <v>#LOADING</v>
      </c>
      <c r="EK8" s="76" t="str">
        <f t="shared" ca="1" si="30"/>
        <v>#LOADING</v>
      </c>
      <c r="EL8" s="77" t="str">
        <f t="shared" ca="1" si="31"/>
        <v>#LOADING</v>
      </c>
      <c r="EM8" s="77" t="str">
        <f t="shared" ca="1" si="31"/>
        <v>#LOADING</v>
      </c>
      <c r="EN8" s="78" t="str">
        <f t="shared" ca="1" si="32"/>
        <v>#LOADING</v>
      </c>
      <c r="EO8" s="61"/>
      <c r="EP8" s="61"/>
      <c r="EQ8" s="61" t="s">
        <v>51</v>
      </c>
      <c r="ER8" s="73" t="str">
        <f t="shared" si="33"/>
        <v>NYB</v>
      </c>
      <c r="ES8" s="61" t="s">
        <v>51</v>
      </c>
      <c r="ET8" s="73" t="str">
        <f t="shared" si="34"/>
        <v>NYB</v>
      </c>
      <c r="EU8" s="76" t="str">
        <f t="shared" ca="1" si="35"/>
        <v>#LOADING</v>
      </c>
      <c r="EV8" s="76" t="str">
        <f t="shared" ca="1" si="36"/>
        <v>#LOADING</v>
      </c>
      <c r="EW8" s="70" t="s">
        <v>80</v>
      </c>
      <c r="EX8" s="61"/>
      <c r="EY8" s="61"/>
      <c r="EZ8" s="61" t="s">
        <v>62</v>
      </c>
      <c r="FA8" s="61"/>
      <c r="FB8" s="61"/>
      <c r="FC8" s="61"/>
      <c r="FE8" s="61" t="s">
        <v>254</v>
      </c>
      <c r="FF8" s="66">
        <v>1000000</v>
      </c>
      <c r="FG8" s="61" t="s">
        <v>14</v>
      </c>
      <c r="FH8" s="61" t="s">
        <v>18</v>
      </c>
      <c r="FI8" s="73" t="str">
        <f t="shared" si="37"/>
        <v>USD3ML</v>
      </c>
      <c r="FJ8" s="73" t="str">
        <f t="shared" si="38"/>
        <v>USDOIS</v>
      </c>
      <c r="FK8" s="41" t="str">
        <f t="shared" si="39"/>
        <v>USD</v>
      </c>
      <c r="FL8" s="71">
        <v>1</v>
      </c>
      <c r="FM8" s="81"/>
      <c r="FN8" s="61" t="s">
        <v>32</v>
      </c>
      <c r="FO8" s="61" t="s">
        <v>32</v>
      </c>
      <c r="FP8" s="72"/>
      <c r="FQ8" s="72"/>
      <c r="FR8" s="71"/>
      <c r="FS8" s="76" t="str">
        <f t="shared" ca="1" si="40"/>
        <v>#LOADING</v>
      </c>
      <c r="FT8" s="76" t="str">
        <f t="shared" ca="1" si="41"/>
        <v>#LOADING</v>
      </c>
      <c r="FU8" s="73" t="str">
        <f t="shared" si="42"/>
        <v>QUARTERLY</v>
      </c>
      <c r="FV8" s="73" t="str">
        <f t="shared" si="42"/>
        <v>QUARTERLY</v>
      </c>
      <c r="FW8" s="73" t="str">
        <f t="shared" si="43"/>
        <v>ACT/360</v>
      </c>
      <c r="FX8" s="61" t="s">
        <v>58</v>
      </c>
      <c r="FY8" s="73" t="str">
        <f t="shared" si="44"/>
        <v>NYB:LNB</v>
      </c>
      <c r="FZ8" s="61" t="s">
        <v>51</v>
      </c>
      <c r="GA8" s="73" t="str">
        <f t="shared" si="45"/>
        <v>NYB</v>
      </c>
      <c r="GB8" s="61" t="s">
        <v>51</v>
      </c>
      <c r="GC8" s="73" t="str">
        <f t="shared" si="46"/>
        <v>NYB</v>
      </c>
      <c r="GD8" s="82"/>
      <c r="GE8" s="82"/>
      <c r="GF8" s="70"/>
      <c r="GG8" s="61" t="s">
        <v>62</v>
      </c>
      <c r="GH8" s="61"/>
      <c r="GI8" s="61" t="s">
        <v>62</v>
      </c>
      <c r="GJ8" s="61" t="s">
        <v>75</v>
      </c>
      <c r="GK8" s="286" t="str">
        <f t="shared" ref="GK8:GK26" ca="1" si="54">HN8</f>
        <v>#LOADING</v>
      </c>
      <c r="GL8" s="82" t="str">
        <f t="shared" ref="GL8:GL26" ca="1" si="55">HO8</f>
        <v>#LOADING</v>
      </c>
      <c r="GP8" s="95" t="str">
        <f t="shared" si="47"/>
        <v>BP CAPITAL MARKETS</v>
      </c>
      <c r="GQ8" s="42" t="str">
        <f ca="1">IF(LEFT(_xll.BDP($C8,GQ$5),1)="#","#LOADING",_xll.BDP($C8,GQ$5))</f>
        <v>#LOADING</v>
      </c>
      <c r="GR8" s="74" t="str">
        <f t="shared" si="48"/>
        <v>USD</v>
      </c>
      <c r="GS8" s="74" t="str">
        <f t="shared" si="49"/>
        <v>XS1193905160</v>
      </c>
      <c r="GT8" s="64" t="s">
        <v>20</v>
      </c>
      <c r="GU8" s="42" t="str">
        <f ca="1">IF(LEFT(_xll.BDP($C8,GU$5),1)="#","#LOADING",IF(_xll.BDP($C8,GU$5)="CLEAN",TRUE,FALSE))</f>
        <v>#LOADING</v>
      </c>
      <c r="GV8" s="64" t="s">
        <v>26</v>
      </c>
      <c r="GW8" s="61" t="s">
        <v>18</v>
      </c>
      <c r="GX8" s="65" t="s">
        <v>28</v>
      </c>
      <c r="GY8" s="66">
        <v>1000000</v>
      </c>
      <c r="GZ8" s="96" t="str">
        <f ca="1">IF(LEFT(_xll.BDP($C8,GZ$5),1)="#","#LOADING",DATEVALUE(_xll.BDP($C8,GZ$5)))</f>
        <v>#LOADING</v>
      </c>
      <c r="HA8" s="96" t="str">
        <f ca="1">IF(LEFT(_xll.BDP($C8,HA$5),1)="#","#LOADING",DATEVALUE(_xll.BDP($C8,HA$5)))</f>
        <v>#LOADING</v>
      </c>
      <c r="HB8" s="96" t="str">
        <f ca="1">IF(LEFT(_xll.BDP($C8,HB$5),1)="#","#LOADING",DATEVALUE(_xll.BDP($C8,HB$5)))</f>
        <v>#LOADING</v>
      </c>
      <c r="HC8" s="96" t="str">
        <f ca="1">IF(LEFT(_xll.BDP($C8,HC$5),1)="#","#LOADING",DATEVALUE(_xll.BDP($C8,HC$5)))</f>
        <v>#LOADING</v>
      </c>
      <c r="HD8" s="96" t="str">
        <f ca="1">IF(LEFT(_xll.BDP($C8,HD$5),1)="#","#LOADING",DATEVALUE(_xll.BDP($C8,HD$5)))</f>
        <v>#LOADING</v>
      </c>
      <c r="HE8" s="97" t="str">
        <f ca="1">IF(LEFT(_xll.BDP($C8,HE$5),1)="#","#LOADING",_xll.BDP($C8,HE$5)%)</f>
        <v>#LOADING</v>
      </c>
      <c r="HF8" s="97" t="str">
        <f ca="1">IF(LEFT(_xll.BDP($C8,HF$5),1)="#","#LOADING",VLOOKUP(_xll.BDP($C8,HF$5),Static.CouponFrequency,2,FALSE))</f>
        <v>#LOADING</v>
      </c>
      <c r="HG8" s="68" t="s">
        <v>51</v>
      </c>
      <c r="HH8" s="73" t="str">
        <f t="shared" si="50"/>
        <v>NYB</v>
      </c>
      <c r="HI8" s="61" t="s">
        <v>51</v>
      </c>
      <c r="HJ8" s="73" t="str">
        <f t="shared" si="51"/>
        <v>NYB</v>
      </c>
      <c r="HK8" s="61" t="s">
        <v>62</v>
      </c>
      <c r="HL8" s="43" t="str">
        <f ca="1">IF(LEFT(_xll.BDP($C8,HL$5),1)="#","#LOADING",_xll.BDP($C8,HL$5))</f>
        <v>#LOADING</v>
      </c>
      <c r="HM8" s="70"/>
      <c r="HN8" s="280" t="str">
        <f ca="1">IF(LEFT(_xll.BDP($C8,HN$5),1)="#","#LOADING",_xll.BDP($C8,HN$5))</f>
        <v>#LOADING</v>
      </c>
      <c r="HO8" s="43" t="str">
        <f ca="1">IF(LEFT(_xll.BDP($C8,HO$5),1)="#","#LOADING","Type"&amp;IF(_xll.BDP($C8,HO$5)=999,1,_xll.BDP($C8,HO$5)))</f>
        <v>#LOADING</v>
      </c>
    </row>
    <row r="9" spans="1:224">
      <c r="A9" s="101">
        <v>3</v>
      </c>
      <c r="B9" s="57" t="s">
        <v>249</v>
      </c>
      <c r="C9" s="57" t="s">
        <v>250</v>
      </c>
      <c r="D9" s="57" t="s">
        <v>101</v>
      </c>
      <c r="E9" s="57" t="s">
        <v>35</v>
      </c>
      <c r="F9" s="57" t="s">
        <v>249</v>
      </c>
      <c r="G9" s="57" t="s">
        <v>251</v>
      </c>
      <c r="H9" s="57" t="s">
        <v>101</v>
      </c>
      <c r="I9" s="57" t="s">
        <v>35</v>
      </c>
      <c r="J9" s="101">
        <v>3</v>
      </c>
      <c r="K9" s="58" t="s">
        <v>163</v>
      </c>
      <c r="L9" s="59" t="str">
        <f ca="1">IF(ISBLANK(M9),IF($G9="","",_xll.BDP(G9&amp;" "&amp;$K9&amp;" Corp","PX_LAST")),M9)</f>
        <v>#N/A Requesting Data...</v>
      </c>
      <c r="M9" s="60"/>
      <c r="N9" s="83" t="str">
        <f ca="1">IF(ISBLANK($O9),IF($G9="","",_xll.meLWOAssetSwapSpread($Y9,$X9,$L9,INDIRECT("ValuationSettings"&amp;$CR9),INDIRECT("Fixings"&amp;$CR9&amp;IF($I9="QUARTERLY","3ML","6ML")))),$O9)</f>
        <v>#Error: Invalid input, numeric input required</v>
      </c>
      <c r="O9" s="60"/>
      <c r="P9" s="84" t="str">
        <f ca="1">IF($C9="","",_xll.meLWOAssetSwapSpreadToCleanPrice($Z9,$N9,INDIRECT("ValuationSettings"&amp;$D9),INDIRECT("Fixings"&amp;$EB9&amp;IF($E9="QUARTERLY","3ML","6ML"))))</f>
        <v>#Error: Invalid input, numeric input required</v>
      </c>
      <c r="Q9" s="84" t="str">
        <f ca="1">IF($C9="","",_xll.meLWOBondPriceFromCleanToDirty($AA9,_xll.meUtilityLVBFromKeysValues($S$6:$T$6,S9:T9),$P9))</f>
        <v>#Error: Invalid input, numeric input required</v>
      </c>
      <c r="R9" s="98" t="str">
        <f ca="1">IF($C9="","",_xll.meLWOBondYield($AA9,_xll.meUtilityLVBFromKeysValues($S$6:$V$6,S9:V9),IF($GU9,$P9,$Q9)))</f>
        <v>#Error: Invalid input, numeric input required</v>
      </c>
      <c r="S9" s="127">
        <f t="shared" ca="1" si="52"/>
        <v>43500</v>
      </c>
      <c r="T9" s="98" t="str">
        <f t="shared" ca="1" si="53"/>
        <v>#LOADING</v>
      </c>
      <c r="U9" s="98" t="e">
        <f ca="1">IF($C9="","",_xll.BDP($C9,$U$5)%)</f>
        <v>#VALUE!</v>
      </c>
      <c r="V9" s="274" t="e">
        <f ca="1">IF($C9="","",_xll.BDP($C9,$V$5)%)</f>
        <v>#VALUE!</v>
      </c>
      <c r="W9" s="101">
        <v>3</v>
      </c>
      <c r="X9" s="53" t="str">
        <f ca="1">IF($G9="","",IF(LEFT(AD9,1)="#","#LOADING",_xll.meLWOBondCreateFromLVB("PROXY_BOND_"&amp;$AF9,_xll.meUtilityLVBFromKeysValues($AC$6:$BA$6,$AC9:$BA9))))</f>
        <v>#LOADING</v>
      </c>
      <c r="Y9" s="53" t="str">
        <f ca="1">IF($G9="","",_xll.meLWOSwapCreate("PROXY_ASW_"&amp;$AF9,_xll.meUtilityLVBFromKeysAndMultipleValues($BD$6:$CJ$6,$BD9:$CJ9,$CL9:$DR9)))</f>
        <v>#Error: Frequency '#LOADING' invalid, must be 'NONE', 'ANNUAL', 'SEMI_ANNUAL', 'QUARTERLY', 'MONTHLY', 'WEEKLY', 'DAILY' or 'AT_MATURITY'.</v>
      </c>
      <c r="Z9" s="53" t="str">
        <f ca="1">IF($C9="","",_xll.meLWOSwapCreate("BOND_ASW_"&amp;$GS9,_xll.meUtilityLVBFromKeysAndMultipleValues($DV$6:$FC$6,$DV9:$FC9,$FE9:$GL9)))</f>
        <v>#Error: Frequency '#LOADING' invalid, must be 'NONE', 'ANNUAL', 'SEMI_ANNUAL', 'QUARTERLY', 'MONTHLY', 'WEEKLY', 'DAILY' or 'AT_MATURITY'.</v>
      </c>
      <c r="AA9" s="53" t="str">
        <f ca="1">IF($C9="","",IF(LEFT(GQ9,1)="#","#LOADING",_xll.meLWOBondCreateFromLVB("PROXY_BOND_"&amp;$GS9,_xll.meUtilityLVBFromKeysValues($GP$6:$HO$6,$GP9:$HO9))))</f>
        <v>#LOADING</v>
      </c>
      <c r="AB9" t="s">
        <v>0</v>
      </c>
      <c r="AC9" s="62" t="str">
        <f t="shared" si="0"/>
        <v>BP CAPITAL MARKETS</v>
      </c>
      <c r="AD9" s="63" t="str">
        <f ca="1">IF(LEFT(_xll.BDP($G9,AD$5),1)="#","#LOADING",_xll.BDP($G9,AD$5))</f>
        <v>#LOADING</v>
      </c>
      <c r="AE9" s="41" t="str">
        <f t="shared" si="1"/>
        <v>USD</v>
      </c>
      <c r="AF9" s="63" t="str">
        <f ca="1">IF(LEFT(_xll.BDP($G9,AF$5),1)="#","#LOADING",_xll.BDP($G9,AF$5))</f>
        <v>#LOADING</v>
      </c>
      <c r="AG9" s="64" t="s">
        <v>20</v>
      </c>
      <c r="AH9" s="63" t="str">
        <f ca="1">IF(LEFT(_xll.BDP($G9,AH$5),1)="#","#LOADING",IF(_xll.BDP($G9,AH$5)="CLEAN",TRUE,FALSE))</f>
        <v>#LOADING</v>
      </c>
      <c r="AI9" s="64" t="s">
        <v>26</v>
      </c>
      <c r="AJ9" s="61" t="s">
        <v>18</v>
      </c>
      <c r="AK9" s="65" t="s">
        <v>28</v>
      </c>
      <c r="AL9" s="66">
        <v>1000000</v>
      </c>
      <c r="AM9" s="63" t="str">
        <f ca="1">IF(LEFT(_xll.BDP($G9,AM$5),1)="#","#LOADING",DATEVALUE(_xll.BDP($G9,AM$5)))</f>
        <v>#LOADING</v>
      </c>
      <c r="AN9" s="63" t="str">
        <f ca="1">IF(LEFT(_xll.BDP($G9,AN$5),1)="#","#LOADING",DATEVALUE(_xll.BDP($G9,AN$5)))</f>
        <v>#LOADING</v>
      </c>
      <c r="AO9" s="63" t="str">
        <f ca="1">IF(LEFT(_xll.BDP($G9,AO$5),1)="#","#LOADING",DATEVALUE(_xll.BDP($G9,AO$5)))</f>
        <v>#LOADING</v>
      </c>
      <c r="AP9" s="63" t="str">
        <f ca="1">IF(LEFT(_xll.BDP($G9,AP$5),1)="#","#LOADING",DATEVALUE(_xll.BDP($G9,AP$5)))</f>
        <v>#LOADING</v>
      </c>
      <c r="AQ9" s="63" t="str">
        <f ca="1">IF(LEFT(_xll.BDP($G9,AQ$5),1)="#","#LOADING",DATEVALUE(_xll.BDP($G9,AQ$5)))</f>
        <v>#LOADING</v>
      </c>
      <c r="AR9" s="67" t="str">
        <f ca="1">IF(LEFT(_xll.BDP($G9,AR$5),1)="#","#LOADING",_xll.BDP($G9,AR$5)%)</f>
        <v>#LOADING</v>
      </c>
      <c r="AS9" s="67" t="str">
        <f ca="1">IF(LEFT(_xll.BDP($G9,AS$5),1)="#","#LOADING",VLOOKUP(_xll.BDP($G9,AS$5),Static.CouponFrequency,2,FALSE))</f>
        <v>#LOADING</v>
      </c>
      <c r="AT9" s="68" t="s">
        <v>51</v>
      </c>
      <c r="AU9" s="53" t="str">
        <f t="shared" si="2"/>
        <v>NYB</v>
      </c>
      <c r="AV9" s="61" t="s">
        <v>51</v>
      </c>
      <c r="AW9" s="53" t="str">
        <f t="shared" si="3"/>
        <v>NYB</v>
      </c>
      <c r="AX9" s="61" t="s">
        <v>62</v>
      </c>
      <c r="AY9" s="69" t="str">
        <f ca="1">IF(LEFT(_xll.BDP($G9,AY$5),1)="#","#LOADING",_xll.BDP($G9,AY$5))</f>
        <v>#LOADING</v>
      </c>
      <c r="AZ9" s="70"/>
      <c r="BA9" s="69" t="str">
        <f ca="1">IF(LEFT(_xll.BDP($G9,BA$5),1)="#","#LOADING","Type"&amp;IF(_xll.BDP($G9,BA$5)=999,1,_xll.BDP($G9,BA$5)))</f>
        <v>#LOADING</v>
      </c>
      <c r="BB9" s="54"/>
      <c r="BD9" s="61" t="s">
        <v>7</v>
      </c>
      <c r="BE9" s="66">
        <v>1000000</v>
      </c>
      <c r="BF9" s="61" t="s">
        <v>14</v>
      </c>
      <c r="BG9" s="61" t="s">
        <v>17</v>
      </c>
      <c r="BH9" s="70"/>
      <c r="BI9" s="73" t="str">
        <f t="shared" si="4"/>
        <v>USDOIS</v>
      </c>
      <c r="BJ9" s="74" t="str">
        <f t="shared" si="5"/>
        <v>USD</v>
      </c>
      <c r="BK9" s="71">
        <v>1</v>
      </c>
      <c r="BL9" s="75" t="str">
        <f t="shared" ca="1" si="6"/>
        <v>#LOADING</v>
      </c>
      <c r="BM9" s="61"/>
      <c r="BN9" s="61"/>
      <c r="BO9" s="72"/>
      <c r="BP9" s="72"/>
      <c r="BQ9" s="71"/>
      <c r="BR9" s="76" t="str">
        <f t="shared" ca="1" si="7"/>
        <v>#LOADING</v>
      </c>
      <c r="BS9" s="76" t="str">
        <f t="shared" ca="1" si="8"/>
        <v>#LOADING</v>
      </c>
      <c r="BT9" s="77" t="str">
        <f t="shared" ca="1" si="9"/>
        <v>#LOADING</v>
      </c>
      <c r="BU9" s="77" t="str">
        <f t="shared" ca="1" si="9"/>
        <v>#LOADING</v>
      </c>
      <c r="BV9" s="78" t="str">
        <f t="shared" ca="1" si="10"/>
        <v>#LOADING</v>
      </c>
      <c r="BW9" s="61"/>
      <c r="BX9" s="61"/>
      <c r="BY9" s="61" t="s">
        <v>51</v>
      </c>
      <c r="BZ9" s="73" t="str">
        <f t="shared" si="11"/>
        <v>NYB</v>
      </c>
      <c r="CA9" s="61" t="s">
        <v>51</v>
      </c>
      <c r="CB9" s="73" t="str">
        <f t="shared" si="12"/>
        <v>NYB</v>
      </c>
      <c r="CC9" s="76" t="str">
        <f t="shared" ca="1" si="13"/>
        <v>#LOADING</v>
      </c>
      <c r="CD9" s="76" t="str">
        <f t="shared" ca="1" si="14"/>
        <v>#LOADING</v>
      </c>
      <c r="CE9" s="70" t="s">
        <v>80</v>
      </c>
      <c r="CF9" s="61"/>
      <c r="CG9" s="61"/>
      <c r="CH9" s="61" t="s">
        <v>62</v>
      </c>
      <c r="CI9" s="61"/>
      <c r="CJ9" s="76" t="str">
        <f t="shared" ca="1" si="15"/>
        <v>#LOADING</v>
      </c>
      <c r="CL9" s="61" t="s">
        <v>8</v>
      </c>
      <c r="CM9" s="66">
        <v>1000000</v>
      </c>
      <c r="CN9" s="61" t="s">
        <v>14</v>
      </c>
      <c r="CO9" s="61" t="s">
        <v>18</v>
      </c>
      <c r="CP9" s="53" t="str">
        <f t="shared" si="16"/>
        <v>USD3ML</v>
      </c>
      <c r="CQ9" s="53" t="str">
        <f t="shared" si="17"/>
        <v>USDOIS</v>
      </c>
      <c r="CR9" s="41" t="str">
        <f t="shared" si="18"/>
        <v>USD</v>
      </c>
      <c r="CS9" s="71">
        <v>1</v>
      </c>
      <c r="CT9" s="81"/>
      <c r="CU9" s="61" t="s">
        <v>32</v>
      </c>
      <c r="CV9" s="61" t="s">
        <v>32</v>
      </c>
      <c r="CW9" s="72"/>
      <c r="CX9" s="72"/>
      <c r="CY9" s="71"/>
      <c r="CZ9" s="82" t="str">
        <f t="shared" ca="1" si="19"/>
        <v>#LOADING</v>
      </c>
      <c r="DA9" s="82" t="str">
        <f t="shared" ca="1" si="20"/>
        <v>#LOADING</v>
      </c>
      <c r="DB9" s="53" t="str">
        <f t="shared" si="21"/>
        <v>QUARTERLY</v>
      </c>
      <c r="DC9" s="53" t="str">
        <f t="shared" si="21"/>
        <v>QUARTERLY</v>
      </c>
      <c r="DD9" s="53" t="str">
        <f t="shared" si="22"/>
        <v>ACT/360</v>
      </c>
      <c r="DE9" s="61" t="s">
        <v>58</v>
      </c>
      <c r="DF9" s="53" t="str">
        <f t="shared" si="23"/>
        <v>NYB:LNB</v>
      </c>
      <c r="DG9" s="61" t="s">
        <v>51</v>
      </c>
      <c r="DH9" s="53" t="str">
        <f t="shared" si="24"/>
        <v>NYB</v>
      </c>
      <c r="DI9" s="61" t="s">
        <v>51</v>
      </c>
      <c r="DJ9" s="53" t="str">
        <f t="shared" si="25"/>
        <v>NYB</v>
      </c>
      <c r="DK9" s="82"/>
      <c r="DL9" s="82"/>
      <c r="DM9" s="70"/>
      <c r="DN9" s="61" t="s">
        <v>62</v>
      </c>
      <c r="DO9" s="61"/>
      <c r="DP9" s="61" t="s">
        <v>62</v>
      </c>
      <c r="DQ9" s="61" t="s">
        <v>75</v>
      </c>
      <c r="DR9" s="82"/>
      <c r="DV9" s="61" t="s">
        <v>253</v>
      </c>
      <c r="DW9" s="66">
        <v>1000000</v>
      </c>
      <c r="DX9" s="61" t="s">
        <v>14</v>
      </c>
      <c r="DY9" s="61" t="s">
        <v>17</v>
      </c>
      <c r="DZ9" s="70"/>
      <c r="EA9" s="73" t="str">
        <f t="shared" si="26"/>
        <v>USDOIS</v>
      </c>
      <c r="EB9" s="74" t="str">
        <f t="shared" si="27"/>
        <v>USD</v>
      </c>
      <c r="EC9" s="71">
        <v>1</v>
      </c>
      <c r="ED9" s="75" t="str">
        <f ca="1">$HE9</f>
        <v>#LOADING</v>
      </c>
      <c r="EE9" s="61"/>
      <c r="EF9" s="61"/>
      <c r="EG9" s="72"/>
      <c r="EH9" s="72"/>
      <c r="EI9" s="71"/>
      <c r="EJ9" s="76" t="str">
        <f t="shared" ca="1" si="29"/>
        <v>#LOADING</v>
      </c>
      <c r="EK9" s="76" t="str">
        <f t="shared" ca="1" si="30"/>
        <v>#LOADING</v>
      </c>
      <c r="EL9" s="77" t="str">
        <f t="shared" ca="1" si="31"/>
        <v>#LOADING</v>
      </c>
      <c r="EM9" s="77" t="str">
        <f t="shared" ca="1" si="31"/>
        <v>#LOADING</v>
      </c>
      <c r="EN9" s="78" t="str">
        <f t="shared" ca="1" si="32"/>
        <v>#LOADING</v>
      </c>
      <c r="EO9" s="61"/>
      <c r="EP9" s="61"/>
      <c r="EQ9" s="61" t="s">
        <v>51</v>
      </c>
      <c r="ER9" s="73" t="str">
        <f t="shared" si="33"/>
        <v>NYB</v>
      </c>
      <c r="ES9" s="61" t="s">
        <v>51</v>
      </c>
      <c r="ET9" s="73" t="str">
        <f t="shared" si="34"/>
        <v>NYB</v>
      </c>
      <c r="EU9" s="76" t="str">
        <f t="shared" ca="1" si="35"/>
        <v>#LOADING</v>
      </c>
      <c r="EV9" s="76" t="str">
        <f t="shared" ca="1" si="36"/>
        <v>#LOADING</v>
      </c>
      <c r="EW9" s="70" t="s">
        <v>80</v>
      </c>
      <c r="EX9" s="61"/>
      <c r="EY9" s="61"/>
      <c r="EZ9" s="61" t="s">
        <v>62</v>
      </c>
      <c r="FA9" s="61"/>
      <c r="FB9" s="61"/>
      <c r="FC9" s="61"/>
      <c r="FE9" s="61" t="s">
        <v>254</v>
      </c>
      <c r="FF9" s="66">
        <v>1000000</v>
      </c>
      <c r="FG9" s="61" t="s">
        <v>14</v>
      </c>
      <c r="FH9" s="61" t="s">
        <v>18</v>
      </c>
      <c r="FI9" s="73" t="str">
        <f t="shared" si="37"/>
        <v>USD3ML</v>
      </c>
      <c r="FJ9" s="73" t="str">
        <f t="shared" si="38"/>
        <v>USDOIS</v>
      </c>
      <c r="FK9" s="41" t="str">
        <f t="shared" si="39"/>
        <v>USD</v>
      </c>
      <c r="FL9" s="71">
        <v>1</v>
      </c>
      <c r="FM9" s="81"/>
      <c r="FN9" s="61" t="s">
        <v>32</v>
      </c>
      <c r="FO9" s="61" t="s">
        <v>32</v>
      </c>
      <c r="FP9" s="72"/>
      <c r="FQ9" s="72"/>
      <c r="FR9" s="71"/>
      <c r="FS9" s="76" t="str">
        <f t="shared" ca="1" si="40"/>
        <v>#LOADING</v>
      </c>
      <c r="FT9" s="76" t="str">
        <f t="shared" ca="1" si="41"/>
        <v>#LOADING</v>
      </c>
      <c r="FU9" s="73" t="str">
        <f t="shared" si="42"/>
        <v>QUARTERLY</v>
      </c>
      <c r="FV9" s="73" t="str">
        <f t="shared" si="42"/>
        <v>QUARTERLY</v>
      </c>
      <c r="FW9" s="73" t="str">
        <f t="shared" si="43"/>
        <v>ACT/360</v>
      </c>
      <c r="FX9" s="61" t="s">
        <v>58</v>
      </c>
      <c r="FY9" s="73" t="str">
        <f t="shared" si="44"/>
        <v>NYB:LNB</v>
      </c>
      <c r="FZ9" s="61" t="s">
        <v>51</v>
      </c>
      <c r="GA9" s="73" t="str">
        <f t="shared" si="45"/>
        <v>NYB</v>
      </c>
      <c r="GB9" s="61" t="s">
        <v>51</v>
      </c>
      <c r="GC9" s="73" t="str">
        <f t="shared" si="46"/>
        <v>NYB</v>
      </c>
      <c r="GD9" s="82"/>
      <c r="GE9" s="82"/>
      <c r="GF9" s="70"/>
      <c r="GG9" s="61" t="s">
        <v>62</v>
      </c>
      <c r="GH9" s="61"/>
      <c r="GI9" s="61" t="s">
        <v>62</v>
      </c>
      <c r="GJ9" s="61" t="s">
        <v>75</v>
      </c>
      <c r="GK9" s="286" t="str">
        <f t="shared" ca="1" si="54"/>
        <v>#LOADING</v>
      </c>
      <c r="GL9" s="82" t="str">
        <f t="shared" ca="1" si="55"/>
        <v>#LOADING</v>
      </c>
      <c r="GP9" s="95" t="str">
        <f t="shared" si="47"/>
        <v>BP CAPITAL MARKETS</v>
      </c>
      <c r="GQ9" s="42" t="str">
        <f ca="1">IF(LEFT(_xll.BDP($C9,GQ$5),1)="#","#LOADING",_xll.BDP($C9,GQ$5))</f>
        <v>#LOADING</v>
      </c>
      <c r="GR9" s="74" t="str">
        <f t="shared" si="48"/>
        <v>USD</v>
      </c>
      <c r="GS9" s="74" t="str">
        <f t="shared" si="49"/>
        <v>XS1193905160</v>
      </c>
      <c r="GT9" s="64" t="s">
        <v>20</v>
      </c>
      <c r="GU9" s="42" t="str">
        <f ca="1">IF(LEFT(_xll.BDP($C9,GU$5),1)="#","#LOADING",IF(_xll.BDP($C9,GU$5)="CLEAN",TRUE,FALSE))</f>
        <v>#LOADING</v>
      </c>
      <c r="GV9" s="64" t="s">
        <v>26</v>
      </c>
      <c r="GW9" s="61" t="s">
        <v>18</v>
      </c>
      <c r="GX9" s="65" t="s">
        <v>28</v>
      </c>
      <c r="GY9" s="66">
        <v>1000000</v>
      </c>
      <c r="GZ9" s="96" t="str">
        <f ca="1">IF(LEFT(_xll.BDP($C9,GZ$5),1)="#","#LOADING",DATEVALUE(_xll.BDP($C9,GZ$5)))</f>
        <v>#LOADING</v>
      </c>
      <c r="HA9" s="96" t="str">
        <f ca="1">IF(LEFT(_xll.BDP($C9,HA$5),1)="#","#LOADING",DATEVALUE(_xll.BDP($C9,HA$5)))</f>
        <v>#LOADING</v>
      </c>
      <c r="HB9" s="96" t="str">
        <f ca="1">IF(LEFT(_xll.BDP($C9,HB$5),1)="#","#LOADING",DATEVALUE(_xll.BDP($C9,HB$5)))</f>
        <v>#LOADING</v>
      </c>
      <c r="HC9" s="96" t="str">
        <f ca="1">IF(LEFT(_xll.BDP($C9,HC$5),1)="#","#LOADING",DATEVALUE(_xll.BDP($C9,HC$5)))</f>
        <v>#LOADING</v>
      </c>
      <c r="HD9" s="96" t="str">
        <f ca="1">IF(LEFT(_xll.BDP($C9,HD$5),1)="#","#LOADING",DATEVALUE(_xll.BDP($C9,HD$5)))</f>
        <v>#LOADING</v>
      </c>
      <c r="HE9" s="97" t="str">
        <f ca="1">IF(LEFT(_xll.BDP($C9,HE$5),1)="#","#LOADING",_xll.BDP($C9,HE$5)%)</f>
        <v>#LOADING</v>
      </c>
      <c r="HF9" s="97" t="str">
        <f ca="1">IF(LEFT(_xll.BDP($C9,HF$5),1)="#","#LOADING",VLOOKUP(_xll.BDP($C9,HF$5),Static.CouponFrequency,2,FALSE))</f>
        <v>#LOADING</v>
      </c>
      <c r="HG9" s="68" t="s">
        <v>51</v>
      </c>
      <c r="HH9" s="73" t="str">
        <f t="shared" si="50"/>
        <v>NYB</v>
      </c>
      <c r="HI9" s="61" t="s">
        <v>51</v>
      </c>
      <c r="HJ9" s="73" t="str">
        <f t="shared" si="51"/>
        <v>NYB</v>
      </c>
      <c r="HK9" s="61" t="s">
        <v>62</v>
      </c>
      <c r="HL9" s="43" t="str">
        <f ca="1">IF(LEFT(_xll.BDP($C9,HL$5),1)="#","#LOADING",_xll.BDP($C9,HL$5))</f>
        <v>#LOADING</v>
      </c>
      <c r="HM9" s="70"/>
      <c r="HN9" s="280" t="str">
        <f ca="1">IF(LEFT(_xll.BDP($C9,HN$5),1)="#","#LOADING",_xll.BDP($C9,HN$5))</f>
        <v>#LOADING</v>
      </c>
      <c r="HO9" s="43" t="str">
        <f ca="1">IF(LEFT(_xll.BDP($C9,HO$5),1)="#","#LOADING","Type"&amp;IF(_xll.BDP($C9,HO$5)=999,1,_xll.BDP($C9,HO$5)))</f>
        <v>#LOADING</v>
      </c>
    </row>
    <row r="10" spans="1:224">
      <c r="A10" s="101">
        <v>4</v>
      </c>
      <c r="B10" s="57" t="s">
        <v>249</v>
      </c>
      <c r="C10" s="57" t="s">
        <v>250</v>
      </c>
      <c r="D10" s="57" t="s">
        <v>101</v>
      </c>
      <c r="E10" s="57" t="s">
        <v>35</v>
      </c>
      <c r="F10" s="57" t="s">
        <v>249</v>
      </c>
      <c r="G10" s="57" t="s">
        <v>251</v>
      </c>
      <c r="H10" s="57" t="s">
        <v>101</v>
      </c>
      <c r="I10" s="57" t="s">
        <v>35</v>
      </c>
      <c r="J10" s="101">
        <v>4</v>
      </c>
      <c r="K10" s="58" t="s">
        <v>163</v>
      </c>
      <c r="L10" s="59" t="str">
        <f ca="1">IF(ISBLANK(M10),IF($G10="","",_xll.BDP(G10&amp;" "&amp;$K10&amp;" Corp","PX_LAST")),M10)</f>
        <v>#N/A Requesting Data...</v>
      </c>
      <c r="M10" s="60"/>
      <c r="N10" s="83" t="str">
        <f ca="1">IF(ISBLANK($O10),IF($G10="","",_xll.meLWOAssetSwapSpread($Y10,$X10,$L10,INDIRECT("ValuationSettings"&amp;$CR10),INDIRECT("Fixings"&amp;$CR10&amp;IF($I10="QUARTERLY","3ML","6ML")))),$O10)</f>
        <v>#Error: Invalid input, numeric input required</v>
      </c>
      <c r="O10" s="60"/>
      <c r="P10" s="84" t="str">
        <f ca="1">IF($C10="","",_xll.meLWOAssetSwapSpreadToCleanPrice($Z10,$N10,INDIRECT("ValuationSettings"&amp;$D10),INDIRECT("Fixings"&amp;$EB10&amp;IF($E10="QUARTERLY","3ML","6ML"))))</f>
        <v>#Error: Invalid input, numeric input required</v>
      </c>
      <c r="Q10" s="84" t="str">
        <f ca="1">IF($C10="","",_xll.meLWOBondPriceFromCleanToDirty($AA10,_xll.meUtilityLVBFromKeysValues($S$6:$T$6,S10:T10),$P10))</f>
        <v>#Error: Invalid input, numeric input required</v>
      </c>
      <c r="R10" s="98" t="str">
        <f ca="1">IF($C10="","",_xll.meLWOBondYield($AA10,_xll.meUtilityLVBFromKeysValues($S$6:$V$6,S10:V10),IF($GU10,$P10,$Q10)))</f>
        <v>#Error: Invalid input, numeric input required</v>
      </c>
      <c r="S10" s="127">
        <f t="shared" ca="1" si="52"/>
        <v>43500</v>
      </c>
      <c r="T10" s="98" t="str">
        <f t="shared" ca="1" si="53"/>
        <v>#LOADING</v>
      </c>
      <c r="U10" s="98" t="e">
        <f ca="1">IF($C10="","",_xll.BDP($C10,$U$5)%)</f>
        <v>#VALUE!</v>
      </c>
      <c r="V10" s="274" t="e">
        <f ca="1">IF($C10="","",_xll.BDP($C10,$V$5)%)</f>
        <v>#VALUE!</v>
      </c>
      <c r="W10" s="101">
        <v>4</v>
      </c>
      <c r="X10" s="53" t="str">
        <f ca="1">IF($G10="","",IF(LEFT(AD10,1)="#","#LOADING",_xll.meLWOBondCreateFromLVB("PROXY_BOND_"&amp;$AF10,_xll.meUtilityLVBFromKeysValues($AC$6:$BA$6,$AC10:$BA10))))</f>
        <v>#LOADING</v>
      </c>
      <c r="Y10" s="53" t="str">
        <f ca="1">IF($G10="","",_xll.meLWOSwapCreate("PROXY_ASW_"&amp;$AF10,_xll.meUtilityLVBFromKeysAndMultipleValues($BD$6:$CJ$6,$BD10:$CJ10,$CL10:$DR10)))</f>
        <v>#Error: Frequency '#LOADING' invalid, must be 'NONE', 'ANNUAL', 'SEMI_ANNUAL', 'QUARTERLY', 'MONTHLY', 'WEEKLY', 'DAILY' or 'AT_MATURITY'.</v>
      </c>
      <c r="Z10" s="53" t="str">
        <f ca="1">IF($C10="","",_xll.meLWOSwapCreate("BOND_ASW_"&amp;$GS10,_xll.meUtilityLVBFromKeysAndMultipleValues($DV$6:$FC$6,$DV10:$FC10,$FE10:$GL10)))</f>
        <v>#Error: Frequency '#LOADING' invalid, must be 'NONE', 'ANNUAL', 'SEMI_ANNUAL', 'QUARTERLY', 'MONTHLY', 'WEEKLY', 'DAILY' or 'AT_MATURITY'.</v>
      </c>
      <c r="AA10" s="53" t="str">
        <f ca="1">IF($C10="","",IF(LEFT(GQ10,1)="#","#LOADING",_xll.meLWOBondCreateFromLVB("PROXY_BOND_"&amp;$GS10,_xll.meUtilityLVBFromKeysValues($GP$6:$HO$6,$GP10:$HO10))))</f>
        <v>#LOADING</v>
      </c>
      <c r="AB10" t="s">
        <v>0</v>
      </c>
      <c r="AC10" s="62" t="str">
        <f t="shared" si="0"/>
        <v>BP CAPITAL MARKETS</v>
      </c>
      <c r="AD10" s="63" t="str">
        <f ca="1">IF(LEFT(_xll.BDP($G10,AD$5),1)="#","#LOADING",_xll.BDP($G10,AD$5))</f>
        <v>#LOADING</v>
      </c>
      <c r="AE10" s="41" t="str">
        <f t="shared" si="1"/>
        <v>USD</v>
      </c>
      <c r="AF10" s="63" t="str">
        <f ca="1">IF(LEFT(_xll.BDP($G10,AF$5),1)="#","#LOADING",_xll.BDP($G10,AF$5))</f>
        <v>#LOADING</v>
      </c>
      <c r="AG10" s="64" t="s">
        <v>20</v>
      </c>
      <c r="AH10" s="63" t="str">
        <f ca="1">IF(LEFT(_xll.BDP($G10,AH$5),1)="#","#LOADING",IF(_xll.BDP($G10,AH$5)="CLEAN",TRUE,FALSE))</f>
        <v>#LOADING</v>
      </c>
      <c r="AI10" s="64" t="s">
        <v>26</v>
      </c>
      <c r="AJ10" s="61" t="s">
        <v>18</v>
      </c>
      <c r="AK10" s="65" t="s">
        <v>28</v>
      </c>
      <c r="AL10" s="66">
        <v>1000000</v>
      </c>
      <c r="AM10" s="63" t="str">
        <f ca="1">IF(LEFT(_xll.BDP($G10,AM$5),1)="#","#LOADING",DATEVALUE(_xll.BDP($G10,AM$5)))</f>
        <v>#LOADING</v>
      </c>
      <c r="AN10" s="63" t="str">
        <f ca="1">IF(LEFT(_xll.BDP($G10,AN$5),1)="#","#LOADING",DATEVALUE(_xll.BDP($G10,AN$5)))</f>
        <v>#LOADING</v>
      </c>
      <c r="AO10" s="63" t="str">
        <f ca="1">IF(LEFT(_xll.BDP($G10,AO$5),1)="#","#LOADING",DATEVALUE(_xll.BDP($G10,AO$5)))</f>
        <v>#LOADING</v>
      </c>
      <c r="AP10" s="63" t="str">
        <f ca="1">IF(LEFT(_xll.BDP($G10,AP$5),1)="#","#LOADING",DATEVALUE(_xll.BDP($G10,AP$5)))</f>
        <v>#LOADING</v>
      </c>
      <c r="AQ10" s="63" t="str">
        <f ca="1">IF(LEFT(_xll.BDP($G10,AQ$5),1)="#","#LOADING",DATEVALUE(_xll.BDP($G10,AQ$5)))</f>
        <v>#LOADING</v>
      </c>
      <c r="AR10" s="67" t="str">
        <f ca="1">IF(LEFT(_xll.BDP($G10,AR$5),1)="#","#LOADING",_xll.BDP($G10,AR$5)%)</f>
        <v>#LOADING</v>
      </c>
      <c r="AS10" s="67" t="str">
        <f ca="1">IF(LEFT(_xll.BDP($G10,AS$5),1)="#","#LOADING",VLOOKUP(_xll.BDP($G10,AS$5),Static.CouponFrequency,2,FALSE))</f>
        <v>#LOADING</v>
      </c>
      <c r="AT10" s="68" t="s">
        <v>51</v>
      </c>
      <c r="AU10" s="53" t="str">
        <f t="shared" si="2"/>
        <v>NYB</v>
      </c>
      <c r="AV10" s="61" t="s">
        <v>51</v>
      </c>
      <c r="AW10" s="53" t="str">
        <f t="shared" si="3"/>
        <v>NYB</v>
      </c>
      <c r="AX10" s="61" t="s">
        <v>62</v>
      </c>
      <c r="AY10" s="69" t="str">
        <f ca="1">IF(LEFT(_xll.BDP($G10,AY$5),1)="#","#LOADING",_xll.BDP($G10,AY$5))</f>
        <v>#LOADING</v>
      </c>
      <c r="AZ10" s="70"/>
      <c r="BA10" s="69" t="str">
        <f ca="1">IF(LEFT(_xll.BDP($G10,BA$5),1)="#","#LOADING","Type"&amp;IF(_xll.BDP($G10,BA$5)=999,1,_xll.BDP($G10,BA$5)))</f>
        <v>#LOADING</v>
      </c>
      <c r="BB10" s="54"/>
      <c r="BD10" s="61" t="s">
        <v>7</v>
      </c>
      <c r="BE10" s="66">
        <v>1000000</v>
      </c>
      <c r="BF10" s="61" t="s">
        <v>14</v>
      </c>
      <c r="BG10" s="61" t="s">
        <v>17</v>
      </c>
      <c r="BH10" s="70"/>
      <c r="BI10" s="73" t="str">
        <f t="shared" si="4"/>
        <v>USDOIS</v>
      </c>
      <c r="BJ10" s="74" t="str">
        <f t="shared" si="5"/>
        <v>USD</v>
      </c>
      <c r="BK10" s="71">
        <v>1</v>
      </c>
      <c r="BL10" s="75" t="str">
        <f t="shared" ca="1" si="6"/>
        <v>#LOADING</v>
      </c>
      <c r="BM10" s="61"/>
      <c r="BN10" s="61"/>
      <c r="BO10" s="72"/>
      <c r="BP10" s="72"/>
      <c r="BQ10" s="71"/>
      <c r="BR10" s="76" t="str">
        <f t="shared" ca="1" si="7"/>
        <v>#LOADING</v>
      </c>
      <c r="BS10" s="76" t="str">
        <f t="shared" ca="1" si="8"/>
        <v>#LOADING</v>
      </c>
      <c r="BT10" s="77" t="str">
        <f t="shared" ca="1" si="9"/>
        <v>#LOADING</v>
      </c>
      <c r="BU10" s="77" t="str">
        <f t="shared" ca="1" si="9"/>
        <v>#LOADING</v>
      </c>
      <c r="BV10" s="78" t="str">
        <f t="shared" ca="1" si="10"/>
        <v>#LOADING</v>
      </c>
      <c r="BW10" s="61"/>
      <c r="BX10" s="61"/>
      <c r="BY10" s="61" t="s">
        <v>51</v>
      </c>
      <c r="BZ10" s="73" t="str">
        <f t="shared" si="11"/>
        <v>NYB</v>
      </c>
      <c r="CA10" s="61" t="s">
        <v>51</v>
      </c>
      <c r="CB10" s="73" t="str">
        <f t="shared" si="12"/>
        <v>NYB</v>
      </c>
      <c r="CC10" s="76" t="str">
        <f t="shared" ca="1" si="13"/>
        <v>#LOADING</v>
      </c>
      <c r="CD10" s="76" t="str">
        <f t="shared" ca="1" si="14"/>
        <v>#LOADING</v>
      </c>
      <c r="CE10" s="70" t="s">
        <v>80</v>
      </c>
      <c r="CF10" s="61"/>
      <c r="CG10" s="61"/>
      <c r="CH10" s="61" t="s">
        <v>62</v>
      </c>
      <c r="CI10" s="61"/>
      <c r="CJ10" s="76" t="str">
        <f t="shared" ca="1" si="15"/>
        <v>#LOADING</v>
      </c>
      <c r="CL10" s="61" t="s">
        <v>8</v>
      </c>
      <c r="CM10" s="66">
        <v>1000000</v>
      </c>
      <c r="CN10" s="61" t="s">
        <v>14</v>
      </c>
      <c r="CO10" s="61" t="s">
        <v>18</v>
      </c>
      <c r="CP10" s="53" t="str">
        <f t="shared" si="16"/>
        <v>USD3ML</v>
      </c>
      <c r="CQ10" s="53" t="str">
        <f t="shared" si="17"/>
        <v>USDOIS</v>
      </c>
      <c r="CR10" s="41" t="str">
        <f t="shared" si="18"/>
        <v>USD</v>
      </c>
      <c r="CS10" s="71">
        <v>1</v>
      </c>
      <c r="CT10" s="81"/>
      <c r="CU10" s="61" t="s">
        <v>32</v>
      </c>
      <c r="CV10" s="61" t="s">
        <v>32</v>
      </c>
      <c r="CW10" s="72"/>
      <c r="CX10" s="72"/>
      <c r="CY10" s="71"/>
      <c r="CZ10" s="82" t="str">
        <f t="shared" ca="1" si="19"/>
        <v>#LOADING</v>
      </c>
      <c r="DA10" s="82" t="str">
        <f t="shared" ca="1" si="20"/>
        <v>#LOADING</v>
      </c>
      <c r="DB10" s="53" t="str">
        <f t="shared" si="21"/>
        <v>QUARTERLY</v>
      </c>
      <c r="DC10" s="53" t="str">
        <f t="shared" si="21"/>
        <v>QUARTERLY</v>
      </c>
      <c r="DD10" s="53" t="str">
        <f t="shared" si="22"/>
        <v>ACT/360</v>
      </c>
      <c r="DE10" s="61" t="s">
        <v>58</v>
      </c>
      <c r="DF10" s="53" t="str">
        <f t="shared" si="23"/>
        <v>NYB:LNB</v>
      </c>
      <c r="DG10" s="61" t="s">
        <v>51</v>
      </c>
      <c r="DH10" s="53" t="str">
        <f t="shared" si="24"/>
        <v>NYB</v>
      </c>
      <c r="DI10" s="61" t="s">
        <v>51</v>
      </c>
      <c r="DJ10" s="53" t="str">
        <f t="shared" si="25"/>
        <v>NYB</v>
      </c>
      <c r="DK10" s="82"/>
      <c r="DL10" s="82"/>
      <c r="DM10" s="70"/>
      <c r="DN10" s="61" t="s">
        <v>62</v>
      </c>
      <c r="DO10" s="61"/>
      <c r="DP10" s="61" t="s">
        <v>62</v>
      </c>
      <c r="DQ10" s="61" t="s">
        <v>75</v>
      </c>
      <c r="DR10" s="82"/>
      <c r="DV10" s="61" t="s">
        <v>253</v>
      </c>
      <c r="DW10" s="66">
        <v>1000000</v>
      </c>
      <c r="DX10" s="61" t="s">
        <v>14</v>
      </c>
      <c r="DY10" s="61" t="s">
        <v>17</v>
      </c>
      <c r="DZ10" s="70"/>
      <c r="EA10" s="73" t="str">
        <f t="shared" si="26"/>
        <v>USDOIS</v>
      </c>
      <c r="EB10" s="74" t="str">
        <f t="shared" si="27"/>
        <v>USD</v>
      </c>
      <c r="EC10" s="71">
        <v>1</v>
      </c>
      <c r="ED10" s="75" t="str">
        <f ca="1">$HE10</f>
        <v>#LOADING</v>
      </c>
      <c r="EE10" s="61"/>
      <c r="EF10" s="61"/>
      <c r="EG10" s="72"/>
      <c r="EH10" s="72"/>
      <c r="EI10" s="71"/>
      <c r="EJ10" s="76" t="str">
        <f t="shared" ca="1" si="29"/>
        <v>#LOADING</v>
      </c>
      <c r="EK10" s="76" t="str">
        <f t="shared" ca="1" si="30"/>
        <v>#LOADING</v>
      </c>
      <c r="EL10" s="77" t="str">
        <f t="shared" ca="1" si="31"/>
        <v>#LOADING</v>
      </c>
      <c r="EM10" s="77" t="str">
        <f t="shared" ca="1" si="31"/>
        <v>#LOADING</v>
      </c>
      <c r="EN10" s="78" t="str">
        <f t="shared" ca="1" si="32"/>
        <v>#LOADING</v>
      </c>
      <c r="EO10" s="61"/>
      <c r="EP10" s="61"/>
      <c r="EQ10" s="61" t="s">
        <v>51</v>
      </c>
      <c r="ER10" s="73" t="str">
        <f t="shared" si="33"/>
        <v>NYB</v>
      </c>
      <c r="ES10" s="61" t="s">
        <v>51</v>
      </c>
      <c r="ET10" s="73" t="str">
        <f t="shared" si="34"/>
        <v>NYB</v>
      </c>
      <c r="EU10" s="76" t="str">
        <f t="shared" ca="1" si="35"/>
        <v>#LOADING</v>
      </c>
      <c r="EV10" s="76" t="str">
        <f t="shared" ca="1" si="36"/>
        <v>#LOADING</v>
      </c>
      <c r="EW10" s="70" t="s">
        <v>80</v>
      </c>
      <c r="EX10" s="61"/>
      <c r="EY10" s="61"/>
      <c r="EZ10" s="61" t="s">
        <v>62</v>
      </c>
      <c r="FA10" s="61"/>
      <c r="FB10" s="61"/>
      <c r="FC10" s="61"/>
      <c r="FE10" s="61" t="s">
        <v>254</v>
      </c>
      <c r="FF10" s="66">
        <v>1000000</v>
      </c>
      <c r="FG10" s="61" t="s">
        <v>14</v>
      </c>
      <c r="FH10" s="61" t="s">
        <v>18</v>
      </c>
      <c r="FI10" s="73" t="str">
        <f t="shared" si="37"/>
        <v>USD3ML</v>
      </c>
      <c r="FJ10" s="73" t="str">
        <f t="shared" si="38"/>
        <v>USDOIS</v>
      </c>
      <c r="FK10" s="41" t="str">
        <f t="shared" si="39"/>
        <v>USD</v>
      </c>
      <c r="FL10" s="71">
        <v>1</v>
      </c>
      <c r="FM10" s="81"/>
      <c r="FN10" s="61" t="s">
        <v>32</v>
      </c>
      <c r="FO10" s="61" t="s">
        <v>32</v>
      </c>
      <c r="FP10" s="72"/>
      <c r="FQ10" s="72"/>
      <c r="FR10" s="71"/>
      <c r="FS10" s="76" t="str">
        <f t="shared" ca="1" si="40"/>
        <v>#LOADING</v>
      </c>
      <c r="FT10" s="76" t="str">
        <f t="shared" ca="1" si="41"/>
        <v>#LOADING</v>
      </c>
      <c r="FU10" s="73" t="str">
        <f t="shared" si="42"/>
        <v>QUARTERLY</v>
      </c>
      <c r="FV10" s="73" t="str">
        <f t="shared" si="42"/>
        <v>QUARTERLY</v>
      </c>
      <c r="FW10" s="73" t="str">
        <f t="shared" si="43"/>
        <v>ACT/360</v>
      </c>
      <c r="FX10" s="61" t="s">
        <v>58</v>
      </c>
      <c r="FY10" s="73" t="str">
        <f t="shared" si="44"/>
        <v>NYB:LNB</v>
      </c>
      <c r="FZ10" s="61" t="s">
        <v>51</v>
      </c>
      <c r="GA10" s="73" t="str">
        <f t="shared" si="45"/>
        <v>NYB</v>
      </c>
      <c r="GB10" s="61" t="s">
        <v>51</v>
      </c>
      <c r="GC10" s="73" t="str">
        <f t="shared" si="46"/>
        <v>NYB</v>
      </c>
      <c r="GD10" s="82"/>
      <c r="GE10" s="82"/>
      <c r="GF10" s="70"/>
      <c r="GG10" s="61" t="s">
        <v>62</v>
      </c>
      <c r="GH10" s="61"/>
      <c r="GI10" s="61" t="s">
        <v>62</v>
      </c>
      <c r="GJ10" s="61" t="s">
        <v>75</v>
      </c>
      <c r="GK10" s="286" t="str">
        <f t="shared" ca="1" si="54"/>
        <v>#LOADING</v>
      </c>
      <c r="GL10" s="82" t="str">
        <f t="shared" ca="1" si="55"/>
        <v>#LOADING</v>
      </c>
      <c r="GP10" s="95" t="str">
        <f t="shared" si="47"/>
        <v>BP CAPITAL MARKETS</v>
      </c>
      <c r="GQ10" s="42" t="str">
        <f ca="1">IF(LEFT(_xll.BDP($C10,GQ$5),1)="#","#LOADING",_xll.BDP($C10,GQ$5))</f>
        <v>#LOADING</v>
      </c>
      <c r="GR10" s="74" t="str">
        <f t="shared" si="48"/>
        <v>USD</v>
      </c>
      <c r="GS10" s="74" t="str">
        <f t="shared" si="49"/>
        <v>XS1193905160</v>
      </c>
      <c r="GT10" s="64" t="s">
        <v>20</v>
      </c>
      <c r="GU10" s="42" t="str">
        <f ca="1">IF(LEFT(_xll.BDP($C10,GU$5),1)="#","#LOADING",IF(_xll.BDP($C10,GU$5)="CLEAN",TRUE,FALSE))</f>
        <v>#LOADING</v>
      </c>
      <c r="GV10" s="64" t="s">
        <v>26</v>
      </c>
      <c r="GW10" s="61" t="s">
        <v>18</v>
      </c>
      <c r="GX10" s="65" t="s">
        <v>28</v>
      </c>
      <c r="GY10" s="66">
        <v>1000000</v>
      </c>
      <c r="GZ10" s="96" t="str">
        <f ca="1">IF(LEFT(_xll.BDP($C10,GZ$5),1)="#","#LOADING",DATEVALUE(_xll.BDP($C10,GZ$5)))</f>
        <v>#LOADING</v>
      </c>
      <c r="HA10" s="96" t="str">
        <f ca="1">IF(LEFT(_xll.BDP($C10,HA$5),1)="#","#LOADING",DATEVALUE(_xll.BDP($C10,HA$5)))</f>
        <v>#LOADING</v>
      </c>
      <c r="HB10" s="96" t="str">
        <f ca="1">IF(LEFT(_xll.BDP($C10,HB$5),1)="#","#LOADING",DATEVALUE(_xll.BDP($C10,HB$5)))</f>
        <v>#LOADING</v>
      </c>
      <c r="HC10" s="96" t="str">
        <f ca="1">IF(LEFT(_xll.BDP($C10,HC$5),1)="#","#LOADING",DATEVALUE(_xll.BDP($C10,HC$5)))</f>
        <v>#LOADING</v>
      </c>
      <c r="HD10" s="96" t="str">
        <f ca="1">IF(LEFT(_xll.BDP($C10,HD$5),1)="#","#LOADING",DATEVALUE(_xll.BDP($C10,HD$5)))</f>
        <v>#LOADING</v>
      </c>
      <c r="HE10" s="97" t="str">
        <f ca="1">IF(LEFT(_xll.BDP($C10,HE$5),1)="#","#LOADING",_xll.BDP($C10,HE$5)%)</f>
        <v>#LOADING</v>
      </c>
      <c r="HF10" s="97" t="str">
        <f ca="1">IF(LEFT(_xll.BDP($C10,HF$5),1)="#","#LOADING",VLOOKUP(_xll.BDP($C10,HF$5),Static.CouponFrequency,2,FALSE))</f>
        <v>#LOADING</v>
      </c>
      <c r="HG10" s="68" t="s">
        <v>51</v>
      </c>
      <c r="HH10" s="73" t="str">
        <f t="shared" si="50"/>
        <v>NYB</v>
      </c>
      <c r="HI10" s="61" t="s">
        <v>51</v>
      </c>
      <c r="HJ10" s="73" t="str">
        <f t="shared" si="51"/>
        <v>NYB</v>
      </c>
      <c r="HK10" s="61" t="s">
        <v>62</v>
      </c>
      <c r="HL10" s="43" t="str">
        <f ca="1">IF(LEFT(_xll.BDP($C10,HL$5),1)="#","#LOADING",_xll.BDP($C10,HL$5))</f>
        <v>#LOADING</v>
      </c>
      <c r="HM10" s="70"/>
      <c r="HN10" s="280" t="str">
        <f ca="1">IF(LEFT(_xll.BDP($C10,HN$5),1)="#","#LOADING",_xll.BDP($C10,HN$5))</f>
        <v>#LOADING</v>
      </c>
      <c r="HO10" s="43" t="str">
        <f ca="1">IF(LEFT(_xll.BDP($C10,HO$5),1)="#","#LOADING","Type"&amp;IF(_xll.BDP($C10,HO$5)=999,1,_xll.BDP($C10,HO$5)))</f>
        <v>#LOADING</v>
      </c>
    </row>
    <row r="11" spans="1:224">
      <c r="A11" s="101">
        <v>5</v>
      </c>
      <c r="B11" s="57" t="s">
        <v>249</v>
      </c>
      <c r="C11" s="57" t="s">
        <v>250</v>
      </c>
      <c r="D11" s="57" t="s">
        <v>101</v>
      </c>
      <c r="E11" s="57" t="s">
        <v>35</v>
      </c>
      <c r="F11" s="57" t="s">
        <v>249</v>
      </c>
      <c r="G11" s="57" t="s">
        <v>251</v>
      </c>
      <c r="H11" s="57" t="s">
        <v>101</v>
      </c>
      <c r="I11" s="57" t="s">
        <v>35</v>
      </c>
      <c r="J11" s="101">
        <v>5</v>
      </c>
      <c r="K11" s="58" t="s">
        <v>163</v>
      </c>
      <c r="L11" s="59" t="str">
        <f ca="1">IF(ISBLANK(M11),IF($G11="","",_xll.BDP(G11&amp;" "&amp;$K11&amp;" Corp","PX_LAST")),M11)</f>
        <v>#N/A Requesting Data...</v>
      </c>
      <c r="M11" s="60"/>
      <c r="N11" s="83" t="str">
        <f ca="1">IF(ISBLANK($O11),IF($G11="","",_xll.meLWOAssetSwapSpread($Y11,$X11,$L11,INDIRECT("ValuationSettings"&amp;$CR11),INDIRECT("Fixings"&amp;$CR11&amp;IF($I11="QUARTERLY","3ML","6ML")))),$O11)</f>
        <v>#Error: Invalid input, numeric input required</v>
      </c>
      <c r="O11" s="60"/>
      <c r="P11" s="84" t="str">
        <f ca="1">IF($C11="","",_xll.meLWOAssetSwapSpreadToCleanPrice($Z11,$N11,INDIRECT("ValuationSettings"&amp;$D11),INDIRECT("Fixings"&amp;$EB11&amp;IF($E11="QUARTERLY","3ML","6ML"))))</f>
        <v>#Error: Invalid input, numeric input required</v>
      </c>
      <c r="Q11" s="84" t="str">
        <f ca="1">IF($C11="","",_xll.meLWOBondPriceFromCleanToDirty($AA11,_xll.meUtilityLVBFromKeysValues($S$6:$T$6,S11:T11),$P11))</f>
        <v>#Error: Invalid input, numeric input required</v>
      </c>
      <c r="R11" s="98" t="str">
        <f ca="1">IF($C11="","",_xll.meLWOBondYield($AA11,_xll.meUtilityLVBFromKeysValues($S$6:$V$6,S11:V11),IF($GU11,$P11,$Q11)))</f>
        <v>#Error: Invalid input, numeric input required</v>
      </c>
      <c r="S11" s="127">
        <f t="shared" ca="1" si="52"/>
        <v>43500</v>
      </c>
      <c r="T11" s="98" t="str">
        <f t="shared" ca="1" si="53"/>
        <v>#LOADING</v>
      </c>
      <c r="U11" s="98" t="e">
        <f ca="1">IF($C11="","",_xll.BDP($C11,$U$5)%)</f>
        <v>#VALUE!</v>
      </c>
      <c r="V11" s="274" t="e">
        <f ca="1">IF($C11="","",_xll.BDP($C11,$V$5)%)</f>
        <v>#VALUE!</v>
      </c>
      <c r="W11" s="101">
        <v>5</v>
      </c>
      <c r="X11" s="53" t="str">
        <f ca="1">IF($G11="","",IF(LEFT(AD11,1)="#","#LOADING",_xll.meLWOBondCreateFromLVB("PROXY_BOND_"&amp;$AF11,_xll.meUtilityLVBFromKeysValues($AC$6:$BA$6,$AC11:$BA11))))</f>
        <v>#LOADING</v>
      </c>
      <c r="Y11" s="53" t="str">
        <f ca="1">IF($G11="","",_xll.meLWOSwapCreate("PROXY_ASW_"&amp;$AF11,_xll.meUtilityLVBFromKeysAndMultipleValues($BD$6:$CJ$6,$BD11:$CJ11,$CL11:$DR11)))</f>
        <v>#Error: Frequency '#LOADING' invalid, must be 'NONE', 'ANNUAL', 'SEMI_ANNUAL', 'QUARTERLY', 'MONTHLY', 'WEEKLY', 'DAILY' or 'AT_MATURITY'.</v>
      </c>
      <c r="Z11" s="53" t="str">
        <f ca="1">IF($C11="","",_xll.meLWOSwapCreate("BOND_ASW_"&amp;$GS11,_xll.meUtilityLVBFromKeysAndMultipleValues($DV$6:$FC$6,$DV11:$FC11,$FE11:$GL11)))</f>
        <v>#Error: Frequency '#LOADING' invalid, must be 'NONE', 'ANNUAL', 'SEMI_ANNUAL', 'QUARTERLY', 'MONTHLY', 'WEEKLY', 'DAILY' or 'AT_MATURITY'.</v>
      </c>
      <c r="AA11" s="53" t="str">
        <f ca="1">IF($C11="","",IF(LEFT(GQ11,1)="#","#LOADING",_xll.meLWOBondCreateFromLVB("PROXY_BOND_"&amp;$GS11,_xll.meUtilityLVBFromKeysValues($GP$6:$HO$6,$GP11:$HO11))))</f>
        <v>#LOADING</v>
      </c>
      <c r="AB11" t="s">
        <v>0</v>
      </c>
      <c r="AC11" s="62" t="str">
        <f t="shared" si="0"/>
        <v>BP CAPITAL MARKETS</v>
      </c>
      <c r="AD11" s="63" t="str">
        <f ca="1">IF(LEFT(_xll.BDP($G11,AD$5),1)="#","#LOADING",_xll.BDP($G11,AD$5))</f>
        <v>#LOADING</v>
      </c>
      <c r="AE11" s="41" t="str">
        <f t="shared" si="1"/>
        <v>USD</v>
      </c>
      <c r="AF11" s="63" t="str">
        <f ca="1">IF(LEFT(_xll.BDP($G11,AF$5),1)="#","#LOADING",_xll.BDP($G11,AF$5))</f>
        <v>#LOADING</v>
      </c>
      <c r="AG11" s="64" t="s">
        <v>20</v>
      </c>
      <c r="AH11" s="63" t="str">
        <f ca="1">IF(LEFT(_xll.BDP($G11,AH$5),1)="#","#LOADING",IF(_xll.BDP($G11,AH$5)="CLEAN",TRUE,FALSE))</f>
        <v>#LOADING</v>
      </c>
      <c r="AI11" s="64" t="s">
        <v>26</v>
      </c>
      <c r="AJ11" s="61" t="s">
        <v>18</v>
      </c>
      <c r="AK11" s="65" t="s">
        <v>28</v>
      </c>
      <c r="AL11" s="66">
        <v>1000000</v>
      </c>
      <c r="AM11" s="63" t="str">
        <f ca="1">IF(LEFT(_xll.BDP($G11,AM$5),1)="#","#LOADING",DATEVALUE(_xll.BDP($G11,AM$5)))</f>
        <v>#LOADING</v>
      </c>
      <c r="AN11" s="63" t="str">
        <f ca="1">IF(LEFT(_xll.BDP($G11,AN$5),1)="#","#LOADING",DATEVALUE(_xll.BDP($G11,AN$5)))</f>
        <v>#LOADING</v>
      </c>
      <c r="AO11" s="63" t="str">
        <f ca="1">IF(LEFT(_xll.BDP($G11,AO$5),1)="#","#LOADING",DATEVALUE(_xll.BDP($G11,AO$5)))</f>
        <v>#LOADING</v>
      </c>
      <c r="AP11" s="63" t="str">
        <f ca="1">IF(LEFT(_xll.BDP($G11,AP$5),1)="#","#LOADING",DATEVALUE(_xll.BDP($G11,AP$5)))</f>
        <v>#LOADING</v>
      </c>
      <c r="AQ11" s="63" t="str">
        <f ca="1">IF(LEFT(_xll.BDP($G11,AQ$5),1)="#","#LOADING",DATEVALUE(_xll.BDP($G11,AQ$5)))</f>
        <v>#LOADING</v>
      </c>
      <c r="AR11" s="67" t="str">
        <f ca="1">IF(LEFT(_xll.BDP($G11,AR$5),1)="#","#LOADING",_xll.BDP($G11,AR$5)%)</f>
        <v>#LOADING</v>
      </c>
      <c r="AS11" s="67" t="str">
        <f ca="1">IF(LEFT(_xll.BDP($G11,AS$5),1)="#","#LOADING",VLOOKUP(_xll.BDP($G11,AS$5),Static.CouponFrequency,2,FALSE))</f>
        <v>#LOADING</v>
      </c>
      <c r="AT11" s="68" t="s">
        <v>51</v>
      </c>
      <c r="AU11" s="53" t="str">
        <f t="shared" si="2"/>
        <v>NYB</v>
      </c>
      <c r="AV11" s="61" t="s">
        <v>51</v>
      </c>
      <c r="AW11" s="53" t="str">
        <f t="shared" si="3"/>
        <v>NYB</v>
      </c>
      <c r="AX11" s="61" t="s">
        <v>62</v>
      </c>
      <c r="AY11" s="69" t="str">
        <f ca="1">IF(LEFT(_xll.BDP($G11,AY$5),1)="#","#LOADING",_xll.BDP($G11,AY$5))</f>
        <v>#LOADING</v>
      </c>
      <c r="AZ11" s="70"/>
      <c r="BA11" s="69" t="str">
        <f ca="1">IF(LEFT(_xll.BDP($G11,BA$5),1)="#","#LOADING","Type"&amp;IF(_xll.BDP($G11,BA$5)=999,1,_xll.BDP($G11,BA$5)))</f>
        <v>#LOADING</v>
      </c>
      <c r="BB11" s="54"/>
      <c r="BD11" s="61" t="s">
        <v>7</v>
      </c>
      <c r="BE11" s="66">
        <v>1000000</v>
      </c>
      <c r="BF11" s="61" t="s">
        <v>14</v>
      </c>
      <c r="BG11" s="61" t="s">
        <v>17</v>
      </c>
      <c r="BH11" s="70"/>
      <c r="BI11" s="73" t="str">
        <f t="shared" si="4"/>
        <v>USDOIS</v>
      </c>
      <c r="BJ11" s="74" t="str">
        <f t="shared" si="5"/>
        <v>USD</v>
      </c>
      <c r="BK11" s="71">
        <v>1</v>
      </c>
      <c r="BL11" s="75" t="str">
        <f t="shared" ca="1" si="6"/>
        <v>#LOADING</v>
      </c>
      <c r="BM11" s="61"/>
      <c r="BN11" s="61"/>
      <c r="BO11" s="72"/>
      <c r="BP11" s="72"/>
      <c r="BQ11" s="71"/>
      <c r="BR11" s="76" t="str">
        <f t="shared" ca="1" si="7"/>
        <v>#LOADING</v>
      </c>
      <c r="BS11" s="76" t="str">
        <f t="shared" ca="1" si="8"/>
        <v>#LOADING</v>
      </c>
      <c r="BT11" s="77" t="str">
        <f t="shared" ca="1" si="9"/>
        <v>#LOADING</v>
      </c>
      <c r="BU11" s="77" t="str">
        <f t="shared" ca="1" si="9"/>
        <v>#LOADING</v>
      </c>
      <c r="BV11" s="78" t="str">
        <f t="shared" ca="1" si="10"/>
        <v>#LOADING</v>
      </c>
      <c r="BW11" s="61"/>
      <c r="BX11" s="61"/>
      <c r="BY11" s="61" t="s">
        <v>51</v>
      </c>
      <c r="BZ11" s="73" t="str">
        <f t="shared" si="11"/>
        <v>NYB</v>
      </c>
      <c r="CA11" s="61" t="s">
        <v>51</v>
      </c>
      <c r="CB11" s="73" t="str">
        <f t="shared" si="12"/>
        <v>NYB</v>
      </c>
      <c r="CC11" s="76" t="str">
        <f t="shared" ca="1" si="13"/>
        <v>#LOADING</v>
      </c>
      <c r="CD11" s="76" t="str">
        <f t="shared" ca="1" si="14"/>
        <v>#LOADING</v>
      </c>
      <c r="CE11" s="70" t="s">
        <v>80</v>
      </c>
      <c r="CF11" s="61"/>
      <c r="CG11" s="61"/>
      <c r="CH11" s="61" t="s">
        <v>62</v>
      </c>
      <c r="CI11" s="61"/>
      <c r="CJ11" s="76" t="str">
        <f t="shared" ca="1" si="15"/>
        <v>#LOADING</v>
      </c>
      <c r="CL11" s="61" t="s">
        <v>8</v>
      </c>
      <c r="CM11" s="66">
        <v>1000000</v>
      </c>
      <c r="CN11" s="61" t="s">
        <v>14</v>
      </c>
      <c r="CO11" s="61" t="s">
        <v>18</v>
      </c>
      <c r="CP11" s="53" t="str">
        <f t="shared" si="16"/>
        <v>USD3ML</v>
      </c>
      <c r="CQ11" s="53" t="str">
        <f t="shared" si="17"/>
        <v>USDOIS</v>
      </c>
      <c r="CR11" s="41" t="str">
        <f t="shared" si="18"/>
        <v>USD</v>
      </c>
      <c r="CS11" s="71">
        <v>1</v>
      </c>
      <c r="CT11" s="81"/>
      <c r="CU11" s="61" t="s">
        <v>32</v>
      </c>
      <c r="CV11" s="61" t="s">
        <v>32</v>
      </c>
      <c r="CW11" s="72"/>
      <c r="CX11" s="72"/>
      <c r="CY11" s="71"/>
      <c r="CZ11" s="82" t="str">
        <f t="shared" ca="1" si="19"/>
        <v>#LOADING</v>
      </c>
      <c r="DA11" s="82" t="str">
        <f t="shared" ca="1" si="20"/>
        <v>#LOADING</v>
      </c>
      <c r="DB11" s="53" t="str">
        <f t="shared" si="21"/>
        <v>QUARTERLY</v>
      </c>
      <c r="DC11" s="53" t="str">
        <f t="shared" si="21"/>
        <v>QUARTERLY</v>
      </c>
      <c r="DD11" s="53" t="str">
        <f t="shared" si="22"/>
        <v>ACT/360</v>
      </c>
      <c r="DE11" s="61" t="s">
        <v>58</v>
      </c>
      <c r="DF11" s="53" t="str">
        <f t="shared" si="23"/>
        <v>NYB:LNB</v>
      </c>
      <c r="DG11" s="61" t="s">
        <v>51</v>
      </c>
      <c r="DH11" s="53" t="str">
        <f t="shared" si="24"/>
        <v>NYB</v>
      </c>
      <c r="DI11" s="61" t="s">
        <v>51</v>
      </c>
      <c r="DJ11" s="53" t="str">
        <f t="shared" si="25"/>
        <v>NYB</v>
      </c>
      <c r="DK11" s="82"/>
      <c r="DL11" s="82"/>
      <c r="DM11" s="70"/>
      <c r="DN11" s="61" t="s">
        <v>62</v>
      </c>
      <c r="DO11" s="61"/>
      <c r="DP11" s="61" t="s">
        <v>62</v>
      </c>
      <c r="DQ11" s="61" t="s">
        <v>75</v>
      </c>
      <c r="DR11" s="82"/>
      <c r="DV11" s="61" t="s">
        <v>253</v>
      </c>
      <c r="DW11" s="66">
        <v>1000000</v>
      </c>
      <c r="DX11" s="61" t="s">
        <v>14</v>
      </c>
      <c r="DY11" s="61" t="s">
        <v>17</v>
      </c>
      <c r="DZ11" s="70"/>
      <c r="EA11" s="73" t="str">
        <f t="shared" si="26"/>
        <v>USDOIS</v>
      </c>
      <c r="EB11" s="74" t="str">
        <f t="shared" si="27"/>
        <v>USD</v>
      </c>
      <c r="EC11" s="71">
        <v>1</v>
      </c>
      <c r="ED11" s="75" t="str">
        <f t="shared" ca="1" si="28"/>
        <v>#LOADING</v>
      </c>
      <c r="EE11" s="61"/>
      <c r="EF11" s="61"/>
      <c r="EG11" s="72"/>
      <c r="EH11" s="72"/>
      <c r="EI11" s="71"/>
      <c r="EJ11" s="76" t="str">
        <f t="shared" ca="1" si="29"/>
        <v>#LOADING</v>
      </c>
      <c r="EK11" s="76" t="str">
        <f t="shared" ca="1" si="30"/>
        <v>#LOADING</v>
      </c>
      <c r="EL11" s="77" t="str">
        <f t="shared" ca="1" si="31"/>
        <v>#LOADING</v>
      </c>
      <c r="EM11" s="77" t="str">
        <f t="shared" ca="1" si="31"/>
        <v>#LOADING</v>
      </c>
      <c r="EN11" s="78" t="str">
        <f t="shared" ca="1" si="32"/>
        <v>#LOADING</v>
      </c>
      <c r="EO11" s="61"/>
      <c r="EP11" s="61"/>
      <c r="EQ11" s="61" t="s">
        <v>51</v>
      </c>
      <c r="ER11" s="73" t="str">
        <f t="shared" si="33"/>
        <v>NYB</v>
      </c>
      <c r="ES11" s="61" t="s">
        <v>51</v>
      </c>
      <c r="ET11" s="73" t="str">
        <f t="shared" si="34"/>
        <v>NYB</v>
      </c>
      <c r="EU11" s="76" t="str">
        <f t="shared" ca="1" si="35"/>
        <v>#LOADING</v>
      </c>
      <c r="EV11" s="76" t="str">
        <f t="shared" ca="1" si="36"/>
        <v>#LOADING</v>
      </c>
      <c r="EW11" s="70" t="s">
        <v>80</v>
      </c>
      <c r="EX11" s="61"/>
      <c r="EY11" s="61"/>
      <c r="EZ11" s="61" t="s">
        <v>62</v>
      </c>
      <c r="FA11" s="61"/>
      <c r="FB11" s="61"/>
      <c r="FC11" s="61"/>
      <c r="FE11" s="61" t="s">
        <v>254</v>
      </c>
      <c r="FF11" s="66">
        <v>1000000</v>
      </c>
      <c r="FG11" s="61" t="s">
        <v>14</v>
      </c>
      <c r="FH11" s="61" t="s">
        <v>18</v>
      </c>
      <c r="FI11" s="73" t="str">
        <f t="shared" si="37"/>
        <v>USD3ML</v>
      </c>
      <c r="FJ11" s="73" t="str">
        <f t="shared" si="38"/>
        <v>USDOIS</v>
      </c>
      <c r="FK11" s="41" t="str">
        <f t="shared" si="39"/>
        <v>USD</v>
      </c>
      <c r="FL11" s="71">
        <v>1</v>
      </c>
      <c r="FM11" s="81"/>
      <c r="FN11" s="61" t="s">
        <v>32</v>
      </c>
      <c r="FO11" s="61" t="s">
        <v>32</v>
      </c>
      <c r="FP11" s="72"/>
      <c r="FQ11" s="72"/>
      <c r="FR11" s="71"/>
      <c r="FS11" s="76" t="str">
        <f t="shared" ca="1" si="40"/>
        <v>#LOADING</v>
      </c>
      <c r="FT11" s="76" t="str">
        <f t="shared" ca="1" si="41"/>
        <v>#LOADING</v>
      </c>
      <c r="FU11" s="73" t="str">
        <f t="shared" si="42"/>
        <v>QUARTERLY</v>
      </c>
      <c r="FV11" s="73" t="str">
        <f t="shared" si="42"/>
        <v>QUARTERLY</v>
      </c>
      <c r="FW11" s="73" t="str">
        <f t="shared" si="43"/>
        <v>ACT/360</v>
      </c>
      <c r="FX11" s="61" t="s">
        <v>58</v>
      </c>
      <c r="FY11" s="73" t="str">
        <f t="shared" si="44"/>
        <v>NYB:LNB</v>
      </c>
      <c r="FZ11" s="61" t="s">
        <v>51</v>
      </c>
      <c r="GA11" s="73" t="str">
        <f t="shared" si="45"/>
        <v>NYB</v>
      </c>
      <c r="GB11" s="61" t="s">
        <v>51</v>
      </c>
      <c r="GC11" s="73" t="str">
        <f t="shared" si="46"/>
        <v>NYB</v>
      </c>
      <c r="GD11" s="82"/>
      <c r="GE11" s="82"/>
      <c r="GF11" s="70"/>
      <c r="GG11" s="61" t="s">
        <v>62</v>
      </c>
      <c r="GH11" s="61"/>
      <c r="GI11" s="61" t="s">
        <v>62</v>
      </c>
      <c r="GJ11" s="61" t="s">
        <v>75</v>
      </c>
      <c r="GK11" s="286" t="str">
        <f t="shared" ca="1" si="54"/>
        <v>#LOADING</v>
      </c>
      <c r="GL11" s="82" t="str">
        <f t="shared" ca="1" si="55"/>
        <v>#LOADING</v>
      </c>
      <c r="GP11" s="95" t="str">
        <f t="shared" si="47"/>
        <v>BP CAPITAL MARKETS</v>
      </c>
      <c r="GQ11" s="42" t="str">
        <f ca="1">IF(LEFT(_xll.BDP($C11,GQ$5),1)="#","#LOADING",_xll.BDP($C11,GQ$5))</f>
        <v>#LOADING</v>
      </c>
      <c r="GR11" s="74" t="str">
        <f t="shared" si="48"/>
        <v>USD</v>
      </c>
      <c r="GS11" s="74" t="str">
        <f t="shared" si="49"/>
        <v>XS1193905160</v>
      </c>
      <c r="GT11" s="64" t="s">
        <v>20</v>
      </c>
      <c r="GU11" s="42" t="str">
        <f ca="1">IF(LEFT(_xll.BDP($C11,GU$5),1)="#","#LOADING",IF(_xll.BDP($C11,GU$5)="CLEAN",TRUE,FALSE))</f>
        <v>#LOADING</v>
      </c>
      <c r="GV11" s="64" t="s">
        <v>26</v>
      </c>
      <c r="GW11" s="61" t="s">
        <v>18</v>
      </c>
      <c r="GX11" s="65" t="s">
        <v>28</v>
      </c>
      <c r="GY11" s="66">
        <v>1000000</v>
      </c>
      <c r="GZ11" s="96" t="str">
        <f ca="1">IF(LEFT(_xll.BDP($C11,GZ$5),1)="#","#LOADING",DATEVALUE(_xll.BDP($C11,GZ$5)))</f>
        <v>#LOADING</v>
      </c>
      <c r="HA11" s="96" t="str">
        <f ca="1">IF(LEFT(_xll.BDP($C11,HA$5),1)="#","#LOADING",DATEVALUE(_xll.BDP($C11,HA$5)))</f>
        <v>#LOADING</v>
      </c>
      <c r="HB11" s="96" t="str">
        <f ca="1">IF(LEFT(_xll.BDP($C11,HB$5),1)="#","#LOADING",DATEVALUE(_xll.BDP($C11,HB$5)))</f>
        <v>#LOADING</v>
      </c>
      <c r="HC11" s="96" t="str">
        <f ca="1">IF(LEFT(_xll.BDP($C11,HC$5),1)="#","#LOADING",DATEVALUE(_xll.BDP($C11,HC$5)))</f>
        <v>#LOADING</v>
      </c>
      <c r="HD11" s="96" t="str">
        <f ca="1">IF(LEFT(_xll.BDP($C11,HD$5),1)="#","#LOADING",DATEVALUE(_xll.BDP($C11,HD$5)))</f>
        <v>#LOADING</v>
      </c>
      <c r="HE11" s="97" t="str">
        <f ca="1">IF(LEFT(_xll.BDP($C11,HE$5),1)="#","#LOADING",_xll.BDP($C11,HE$5)%)</f>
        <v>#LOADING</v>
      </c>
      <c r="HF11" s="97" t="str">
        <f ca="1">IF(LEFT(_xll.BDP($C11,HF$5),1)="#","#LOADING",VLOOKUP(_xll.BDP($C11,HF$5),Static.CouponFrequency,2,FALSE))</f>
        <v>#LOADING</v>
      </c>
      <c r="HG11" s="68" t="s">
        <v>51</v>
      </c>
      <c r="HH11" s="73" t="str">
        <f t="shared" si="50"/>
        <v>NYB</v>
      </c>
      <c r="HI11" s="61" t="s">
        <v>51</v>
      </c>
      <c r="HJ11" s="73" t="str">
        <f t="shared" si="51"/>
        <v>NYB</v>
      </c>
      <c r="HK11" s="61" t="s">
        <v>62</v>
      </c>
      <c r="HL11" s="43" t="str">
        <f ca="1">IF(LEFT(_xll.BDP($C11,HL$5),1)="#","#LOADING",_xll.BDP($C11,HL$5))</f>
        <v>#LOADING</v>
      </c>
      <c r="HM11" s="70"/>
      <c r="HN11" s="280" t="str">
        <f ca="1">IF(LEFT(_xll.BDP($C11,HN$5),1)="#","#LOADING",_xll.BDP($C11,HN$5))</f>
        <v>#LOADING</v>
      </c>
      <c r="HO11" s="43" t="str">
        <f ca="1">IF(LEFT(_xll.BDP($C11,HO$5),1)="#","#LOADING","Type"&amp;IF(_xll.BDP($C11,HO$5)=999,1,_xll.BDP($C11,HO$5)))</f>
        <v>#LOADING</v>
      </c>
    </row>
    <row r="12" spans="1:224">
      <c r="A12" s="101">
        <v>6</v>
      </c>
      <c r="B12" s="57"/>
      <c r="C12" s="57"/>
      <c r="D12" s="57"/>
      <c r="E12" s="57"/>
      <c r="F12" s="57"/>
      <c r="G12" s="57"/>
      <c r="H12" s="57"/>
      <c r="I12" s="57"/>
      <c r="J12" s="101">
        <v>6</v>
      </c>
      <c r="K12" s="58" t="s">
        <v>163</v>
      </c>
      <c r="L12" s="59" t="str">
        <f>IF(ISBLANK(M12),IF($G12="","",_xll.BDP(G12&amp;" "&amp;$K12&amp;" Corp","PX_LAST")),M12)</f>
        <v/>
      </c>
      <c r="M12" s="60"/>
      <c r="N12" s="83" t="str">
        <f ca="1">IF(ISBLANK($O12),IF($G12="","",_xll.meLWOAssetSwapSpread($Y12,$X12,$L12,INDIRECT("ValuationSettings"&amp;$CR12),INDIRECT("Fixings"&amp;$CR12&amp;IF($I12="QUARTERLY","3ML","6ML")))),$O12)</f>
        <v/>
      </c>
      <c r="O12" s="60"/>
      <c r="P12" s="84" t="str">
        <f ca="1">IF($C12="","",_xll.meLWOAssetSwapSpreadToCleanPrice($Z12,$N12,INDIRECT("ValuationSettings"&amp;$D12),INDIRECT("Fixings"&amp;$EB12&amp;IF($E12="QUARTERLY","3ML","6ML"))))</f>
        <v/>
      </c>
      <c r="Q12" s="84" t="str">
        <f>IF($C12="","",_xll.meLWOBondPriceFromCleanToDirty($AA12,_xll.meUtilityLVBFromKeysValues($S$6:$T$6,S12:T12),$P12))</f>
        <v/>
      </c>
      <c r="R12" s="98" t="str">
        <f>IF($C12="","",_xll.meLWOBondYield($AA12,_xll.meUtilityLVBFromKeysValues($S$6:$V$6,S12:V12),IF($GU12,$P12,$Q12)))</f>
        <v/>
      </c>
      <c r="S12" s="127" t="str">
        <f t="shared" ca="1" si="52"/>
        <v/>
      </c>
      <c r="T12" s="98" t="str">
        <f t="shared" si="53"/>
        <v/>
      </c>
      <c r="U12" s="98" t="str">
        <f>IF($C12="","",_xll.BDP($C12,$U$5)%)</f>
        <v/>
      </c>
      <c r="V12" s="274" t="str">
        <f>IF($C12="","",_xll.BDP($C12,$V$5)%)</f>
        <v/>
      </c>
      <c r="W12" s="101">
        <v>6</v>
      </c>
      <c r="X12" s="53" t="str">
        <f>IF($G12="","",IF(LEFT(AD12,1)="#","#LOADING",_xll.meLWOBondCreateFromLVB("PROXY_BOND_"&amp;$AF12,_xll.meUtilityLVBFromKeysValues($AC$6:$BA$6,$AC12:$BA12))))</f>
        <v/>
      </c>
      <c r="Y12" s="53" t="str">
        <f>IF($G12="","",_xll.meLWOSwapCreate("PROXY_ASW_"&amp;$AF12,_xll.meUtilityLVBFromKeysAndMultipleValues($BD$6:$CJ$6,$BD12:$CJ12,$CL12:$DR12)))</f>
        <v/>
      </c>
      <c r="Z12" s="53" t="str">
        <f>IF($C12="","",_xll.meLWOSwapCreate("BOND_ASW_"&amp;$GS12,_xll.meUtilityLVBFromKeysAndMultipleValues($DV$6:$FC$6,$DV12:$FC12,$FE12:$GL12)))</f>
        <v/>
      </c>
      <c r="AA12" s="53" t="str">
        <f>IF($C12="","",IF(LEFT(GQ12,1)="#","#LOADING",_xll.meLWOBondCreateFromLVB("PROXY_BOND_"&amp;$GS12,_xll.meUtilityLVBFromKeysValues($GP$6:$HO$6,$GP12:$HO12))))</f>
        <v/>
      </c>
      <c r="AB12" t="s">
        <v>0</v>
      </c>
      <c r="AC12" s="62">
        <f t="shared" si="0"/>
        <v>0</v>
      </c>
      <c r="AD12" s="63">
        <f>IF(LEFT(_xll.BDP($G12,AD$5),1)="#","#LOADING",_xll.BDP($G12,AD$5))</f>
        <v>0</v>
      </c>
      <c r="AE12" s="41">
        <f t="shared" si="1"/>
        <v>0</v>
      </c>
      <c r="AF12" s="63">
        <f>IF(LEFT(_xll.BDP($G12,AF$5),1)="#","#LOADING",_xll.BDP($G12,AF$5))</f>
        <v>0</v>
      </c>
      <c r="AG12" s="64" t="s">
        <v>20</v>
      </c>
      <c r="AH12" s="63" t="b">
        <f>IF(LEFT(_xll.BDP($G12,AH$5),1)="#","#LOADING",IF(_xll.BDP($G12,AH$5)="CLEAN",TRUE,FALSE))</f>
        <v>0</v>
      </c>
      <c r="AI12" s="64" t="s">
        <v>26</v>
      </c>
      <c r="AJ12" s="61" t="s">
        <v>18</v>
      </c>
      <c r="AK12" s="65" t="s">
        <v>28</v>
      </c>
      <c r="AL12" s="66">
        <v>1000000</v>
      </c>
      <c r="AM12" s="63" t="e">
        <f>IF(LEFT(_xll.BDP($G12,AM$5),1)="#","#LOADING",DATEVALUE(_xll.BDP($G12,AM$5)))</f>
        <v>#VALUE!</v>
      </c>
      <c r="AN12" s="63" t="e">
        <f>IF(LEFT(_xll.BDP($G12,AN$5),1)="#","#LOADING",DATEVALUE(_xll.BDP($G12,AN$5)))</f>
        <v>#VALUE!</v>
      </c>
      <c r="AO12" s="63" t="e">
        <f>IF(LEFT(_xll.BDP($G12,AO$5),1)="#","#LOADING",DATEVALUE(_xll.BDP($G12,AO$5)))</f>
        <v>#VALUE!</v>
      </c>
      <c r="AP12" s="63" t="e">
        <f>IF(LEFT(_xll.BDP($G12,AP$5),1)="#","#LOADING",DATEVALUE(_xll.BDP($G12,AP$5)))</f>
        <v>#VALUE!</v>
      </c>
      <c r="AQ12" s="63" t="e">
        <f>IF(LEFT(_xll.BDP($G12,AQ$5),1)="#","#LOADING",DATEVALUE(_xll.BDP($G12,AQ$5)))</f>
        <v>#VALUE!</v>
      </c>
      <c r="AR12" s="67">
        <f>IF(LEFT(_xll.BDP($G12,AR$5),1)="#","#LOADING",_xll.BDP($G12,AR$5)%)</f>
        <v>0</v>
      </c>
      <c r="AS12" s="67" t="str">
        <f>IF(LEFT(_xll.BDP($G12,AS$5),1)="#","#LOADING",VLOOKUP(_xll.BDP($G12,AS$5),Static.CouponFrequency,2,FALSE))</f>
        <v>ZERO-COUPON</v>
      </c>
      <c r="AT12" s="68" t="s">
        <v>51</v>
      </c>
      <c r="AU12" s="53" t="e">
        <f t="shared" si="2"/>
        <v>#N/A</v>
      </c>
      <c r="AV12" s="61" t="s">
        <v>51</v>
      </c>
      <c r="AW12" s="53" t="e">
        <f t="shared" si="3"/>
        <v>#N/A</v>
      </c>
      <c r="AX12" s="61" t="s">
        <v>62</v>
      </c>
      <c r="AY12" s="69">
        <f>IF(LEFT(_xll.BDP($G12,AY$5),1)="#","#LOADING",_xll.BDP($G12,AY$5))</f>
        <v>0</v>
      </c>
      <c r="AZ12" s="70"/>
      <c r="BA12" s="69" t="str">
        <f>IF(LEFT(_xll.BDP($G12,BA$5),1)="#","#LOADING","Type"&amp;IF(_xll.BDP($G12,BA$5)=999,1,_xll.BDP($G12,BA$5)))</f>
        <v>Type</v>
      </c>
      <c r="BB12" s="54"/>
      <c r="BD12" s="61" t="s">
        <v>7</v>
      </c>
      <c r="BE12" s="66">
        <v>1000000</v>
      </c>
      <c r="BF12" s="61" t="s">
        <v>14</v>
      </c>
      <c r="BG12" s="61" t="s">
        <v>17</v>
      </c>
      <c r="BH12" s="70"/>
      <c r="BI12" s="73" t="e">
        <f t="shared" si="4"/>
        <v>#N/A</v>
      </c>
      <c r="BJ12" s="74">
        <f t="shared" si="5"/>
        <v>0</v>
      </c>
      <c r="BK12" s="71">
        <v>1</v>
      </c>
      <c r="BL12" s="75">
        <f t="shared" si="6"/>
        <v>0</v>
      </c>
      <c r="BM12" s="61"/>
      <c r="BN12" s="61"/>
      <c r="BO12" s="72"/>
      <c r="BP12" s="72"/>
      <c r="BQ12" s="71"/>
      <c r="BR12" s="76" t="e">
        <f t="shared" si="7"/>
        <v>#VALUE!</v>
      </c>
      <c r="BS12" s="76" t="e">
        <f t="shared" si="8"/>
        <v>#VALUE!</v>
      </c>
      <c r="BT12" s="77" t="str">
        <f t="shared" si="9"/>
        <v>ZERO-COUPON</v>
      </c>
      <c r="BU12" s="77" t="str">
        <f t="shared" si="9"/>
        <v>ZERO-COUPON</v>
      </c>
      <c r="BV12" s="78">
        <f t="shared" si="10"/>
        <v>0</v>
      </c>
      <c r="BW12" s="61"/>
      <c r="BX12" s="61"/>
      <c r="BY12" s="61" t="s">
        <v>51</v>
      </c>
      <c r="BZ12" s="73" t="e">
        <f t="shared" si="11"/>
        <v>#N/A</v>
      </c>
      <c r="CA12" s="61" t="s">
        <v>51</v>
      </c>
      <c r="CB12" s="73" t="e">
        <f t="shared" si="12"/>
        <v>#N/A</v>
      </c>
      <c r="CC12" s="76" t="e">
        <f t="shared" si="13"/>
        <v>#VALUE!</v>
      </c>
      <c r="CD12" s="76" t="e">
        <f t="shared" si="14"/>
        <v>#VALUE!</v>
      </c>
      <c r="CE12" s="70" t="s">
        <v>80</v>
      </c>
      <c r="CF12" s="61"/>
      <c r="CG12" s="61"/>
      <c r="CH12" s="61" t="s">
        <v>62</v>
      </c>
      <c r="CI12" s="61"/>
      <c r="CJ12" s="76" t="str">
        <f t="shared" si="15"/>
        <v>Type</v>
      </c>
      <c r="CL12" s="61" t="s">
        <v>8</v>
      </c>
      <c r="CM12" s="66">
        <v>1000000</v>
      </c>
      <c r="CN12" s="61" t="s">
        <v>14</v>
      </c>
      <c r="CO12" s="61" t="s">
        <v>18</v>
      </c>
      <c r="CP12" s="53" t="e">
        <f t="shared" si="16"/>
        <v>#N/A</v>
      </c>
      <c r="CQ12" s="53" t="e">
        <f t="shared" si="17"/>
        <v>#N/A</v>
      </c>
      <c r="CR12" s="41">
        <f t="shared" si="18"/>
        <v>0</v>
      </c>
      <c r="CS12" s="71">
        <v>1</v>
      </c>
      <c r="CT12" s="81"/>
      <c r="CU12" s="61" t="s">
        <v>32</v>
      </c>
      <c r="CV12" s="61" t="s">
        <v>32</v>
      </c>
      <c r="CW12" s="72"/>
      <c r="CX12" s="72"/>
      <c r="CY12" s="71"/>
      <c r="CZ12" s="82" t="e">
        <f t="shared" si="19"/>
        <v>#VALUE!</v>
      </c>
      <c r="DA12" s="82" t="e">
        <f t="shared" si="20"/>
        <v>#VALUE!</v>
      </c>
      <c r="DB12" s="53">
        <f t="shared" si="21"/>
        <v>0</v>
      </c>
      <c r="DC12" s="53">
        <f t="shared" si="21"/>
        <v>0</v>
      </c>
      <c r="DD12" s="53" t="e">
        <f t="shared" si="22"/>
        <v>#N/A</v>
      </c>
      <c r="DE12" s="61" t="s">
        <v>58</v>
      </c>
      <c r="DF12" s="53" t="e">
        <f t="shared" si="23"/>
        <v>#N/A</v>
      </c>
      <c r="DG12" s="61" t="s">
        <v>51</v>
      </c>
      <c r="DH12" s="53" t="e">
        <f t="shared" si="24"/>
        <v>#N/A</v>
      </c>
      <c r="DI12" s="61" t="s">
        <v>51</v>
      </c>
      <c r="DJ12" s="53" t="e">
        <f t="shared" si="25"/>
        <v>#N/A</v>
      </c>
      <c r="DK12" s="82"/>
      <c r="DL12" s="82"/>
      <c r="DM12" s="70"/>
      <c r="DN12" s="61" t="s">
        <v>62</v>
      </c>
      <c r="DO12" s="61"/>
      <c r="DP12" s="61" t="s">
        <v>62</v>
      </c>
      <c r="DQ12" s="61" t="s">
        <v>75</v>
      </c>
      <c r="DR12" s="82"/>
      <c r="DV12" s="61" t="s">
        <v>253</v>
      </c>
      <c r="DW12" s="66">
        <v>1000000</v>
      </c>
      <c r="DX12" s="61" t="s">
        <v>14</v>
      </c>
      <c r="DY12" s="61" t="s">
        <v>17</v>
      </c>
      <c r="DZ12" s="70"/>
      <c r="EA12" s="73" t="e">
        <f t="shared" si="26"/>
        <v>#N/A</v>
      </c>
      <c r="EB12" s="74">
        <f t="shared" si="27"/>
        <v>0</v>
      </c>
      <c r="EC12" s="71">
        <v>1</v>
      </c>
      <c r="ED12" s="75">
        <f t="shared" si="28"/>
        <v>0</v>
      </c>
      <c r="EE12" s="61"/>
      <c r="EF12" s="61"/>
      <c r="EG12" s="72"/>
      <c r="EH12" s="72"/>
      <c r="EI12" s="71"/>
      <c r="EJ12" s="76" t="e">
        <f t="shared" si="29"/>
        <v>#VALUE!</v>
      </c>
      <c r="EK12" s="76" t="e">
        <f t="shared" si="30"/>
        <v>#VALUE!</v>
      </c>
      <c r="EL12" s="77" t="str">
        <f t="shared" si="31"/>
        <v>ZERO-COUPON</v>
      </c>
      <c r="EM12" s="77" t="str">
        <f t="shared" si="31"/>
        <v>ZERO-COUPON</v>
      </c>
      <c r="EN12" s="78">
        <f t="shared" si="32"/>
        <v>0</v>
      </c>
      <c r="EO12" s="61"/>
      <c r="EP12" s="61"/>
      <c r="EQ12" s="61" t="s">
        <v>51</v>
      </c>
      <c r="ER12" s="73" t="e">
        <f t="shared" si="33"/>
        <v>#N/A</v>
      </c>
      <c r="ES12" s="61" t="s">
        <v>51</v>
      </c>
      <c r="ET12" s="73" t="e">
        <f t="shared" si="34"/>
        <v>#N/A</v>
      </c>
      <c r="EU12" s="76" t="e">
        <f t="shared" si="35"/>
        <v>#VALUE!</v>
      </c>
      <c r="EV12" s="76" t="e">
        <f t="shared" si="36"/>
        <v>#VALUE!</v>
      </c>
      <c r="EW12" s="70" t="s">
        <v>80</v>
      </c>
      <c r="EX12" s="61"/>
      <c r="EY12" s="61"/>
      <c r="EZ12" s="61" t="s">
        <v>62</v>
      </c>
      <c r="FA12" s="61"/>
      <c r="FB12" s="61"/>
      <c r="FC12" s="61"/>
      <c r="FE12" s="61" t="s">
        <v>254</v>
      </c>
      <c r="FF12" s="66">
        <v>1000000</v>
      </c>
      <c r="FG12" s="61" t="s">
        <v>14</v>
      </c>
      <c r="FH12" s="61" t="s">
        <v>18</v>
      </c>
      <c r="FI12" s="73" t="e">
        <f t="shared" si="37"/>
        <v>#N/A</v>
      </c>
      <c r="FJ12" s="73" t="e">
        <f t="shared" si="38"/>
        <v>#N/A</v>
      </c>
      <c r="FK12" s="41">
        <f t="shared" si="39"/>
        <v>0</v>
      </c>
      <c r="FL12" s="71">
        <v>1</v>
      </c>
      <c r="FM12" s="81"/>
      <c r="FN12" s="61" t="s">
        <v>32</v>
      </c>
      <c r="FO12" s="61" t="s">
        <v>32</v>
      </c>
      <c r="FP12" s="72"/>
      <c r="FQ12" s="72"/>
      <c r="FR12" s="71"/>
      <c r="FS12" s="76" t="e">
        <f t="shared" si="40"/>
        <v>#VALUE!</v>
      </c>
      <c r="FT12" s="76" t="e">
        <f t="shared" si="41"/>
        <v>#VALUE!</v>
      </c>
      <c r="FU12" s="73">
        <f t="shared" si="42"/>
        <v>0</v>
      </c>
      <c r="FV12" s="73">
        <f t="shared" si="42"/>
        <v>0</v>
      </c>
      <c r="FW12" s="73" t="e">
        <f t="shared" si="43"/>
        <v>#N/A</v>
      </c>
      <c r="FX12" s="61" t="s">
        <v>58</v>
      </c>
      <c r="FY12" s="73" t="e">
        <f t="shared" si="44"/>
        <v>#N/A</v>
      </c>
      <c r="FZ12" s="61" t="s">
        <v>51</v>
      </c>
      <c r="GA12" s="73" t="e">
        <f t="shared" si="45"/>
        <v>#N/A</v>
      </c>
      <c r="GB12" s="61" t="s">
        <v>51</v>
      </c>
      <c r="GC12" s="73" t="e">
        <f t="shared" si="46"/>
        <v>#N/A</v>
      </c>
      <c r="GD12" s="82"/>
      <c r="GE12" s="82"/>
      <c r="GF12" s="70"/>
      <c r="GG12" s="61" t="s">
        <v>62</v>
      </c>
      <c r="GH12" s="61"/>
      <c r="GI12" s="61" t="s">
        <v>62</v>
      </c>
      <c r="GJ12" s="61" t="s">
        <v>75</v>
      </c>
      <c r="GK12" s="286">
        <f t="shared" si="54"/>
        <v>0</v>
      </c>
      <c r="GL12" s="82" t="str">
        <f t="shared" si="55"/>
        <v>Type</v>
      </c>
      <c r="GP12" s="95">
        <f t="shared" si="47"/>
        <v>0</v>
      </c>
      <c r="GQ12" s="42">
        <f>IF(LEFT(_xll.BDP($C12,GQ$5),1)="#","#LOADING",_xll.BDP($C12,GQ$5))</f>
        <v>0</v>
      </c>
      <c r="GR12" s="74">
        <f t="shared" si="48"/>
        <v>0</v>
      </c>
      <c r="GS12" s="74" t="e">
        <f t="shared" si="49"/>
        <v>#VALUE!</v>
      </c>
      <c r="GT12" s="64" t="s">
        <v>20</v>
      </c>
      <c r="GU12" s="42" t="b">
        <f>IF(LEFT(_xll.BDP($C12,GU$5),1)="#","#LOADING",IF(_xll.BDP($C12,GU$5)="CLEAN",TRUE,FALSE))</f>
        <v>0</v>
      </c>
      <c r="GV12" s="64" t="s">
        <v>26</v>
      </c>
      <c r="GW12" s="61" t="s">
        <v>18</v>
      </c>
      <c r="GX12" s="65" t="s">
        <v>28</v>
      </c>
      <c r="GY12" s="66">
        <v>1000000</v>
      </c>
      <c r="GZ12" s="96" t="e">
        <f>IF(LEFT(_xll.BDP($C12,GZ$5),1)="#","#LOADING",DATEVALUE(_xll.BDP($C12,GZ$5)))</f>
        <v>#VALUE!</v>
      </c>
      <c r="HA12" s="96" t="e">
        <f>IF(LEFT(_xll.BDP($C12,HA$5),1)="#","#LOADING",DATEVALUE(_xll.BDP($C12,HA$5)))</f>
        <v>#VALUE!</v>
      </c>
      <c r="HB12" s="96" t="e">
        <f>IF(LEFT(_xll.BDP($C12,HB$5),1)="#","#LOADING",DATEVALUE(_xll.BDP($C12,HB$5)))</f>
        <v>#VALUE!</v>
      </c>
      <c r="HC12" s="96" t="e">
        <f>IF(LEFT(_xll.BDP($C12,HC$5),1)="#","#LOADING",DATEVALUE(_xll.BDP($C12,HC$5)))</f>
        <v>#VALUE!</v>
      </c>
      <c r="HD12" s="96" t="e">
        <f>IF(LEFT(_xll.BDP($C12,HD$5),1)="#","#LOADING",DATEVALUE(_xll.BDP($C12,HD$5)))</f>
        <v>#VALUE!</v>
      </c>
      <c r="HE12" s="97">
        <f>IF(LEFT(_xll.BDP($C12,HE$5),1)="#","#LOADING",_xll.BDP($C12,HE$5)%)</f>
        <v>0</v>
      </c>
      <c r="HF12" s="97" t="str">
        <f>IF(LEFT(_xll.BDP($C12,HF$5),1)="#","#LOADING",VLOOKUP(_xll.BDP($C12,HF$5),Static.CouponFrequency,2,FALSE))</f>
        <v>ZERO-COUPON</v>
      </c>
      <c r="HG12" s="68" t="s">
        <v>51</v>
      </c>
      <c r="HH12" s="73" t="e">
        <f t="shared" si="50"/>
        <v>#N/A</v>
      </c>
      <c r="HI12" s="61" t="s">
        <v>51</v>
      </c>
      <c r="HJ12" s="73" t="e">
        <f t="shared" si="51"/>
        <v>#N/A</v>
      </c>
      <c r="HK12" s="61" t="s">
        <v>62</v>
      </c>
      <c r="HL12" s="43">
        <f>IF(LEFT(_xll.BDP($C12,HL$5),1)="#","#LOADING",_xll.BDP($C12,HL$5))</f>
        <v>0</v>
      </c>
      <c r="HM12" s="70"/>
      <c r="HN12" s="280">
        <f>IF(LEFT(_xll.BDP($C12,HN$5),1)="#","#LOADING",_xll.BDP($C12,HN$5))</f>
        <v>0</v>
      </c>
      <c r="HO12" s="43" t="str">
        <f>IF(LEFT(_xll.BDP($C12,HO$5),1)="#","#LOADING","Type"&amp;IF(_xll.BDP($C12,HO$5)=999,1,_xll.BDP($C12,HO$5)))</f>
        <v>Type</v>
      </c>
    </row>
    <row r="13" spans="1:224">
      <c r="A13" s="101">
        <v>7</v>
      </c>
      <c r="B13" s="57"/>
      <c r="C13" s="57"/>
      <c r="D13" s="57"/>
      <c r="E13" s="57"/>
      <c r="F13" s="57"/>
      <c r="G13" s="57"/>
      <c r="H13" s="57"/>
      <c r="I13" s="57"/>
      <c r="J13" s="101">
        <v>7</v>
      </c>
      <c r="K13" s="58" t="s">
        <v>163</v>
      </c>
      <c r="L13" s="59" t="str">
        <f>IF(ISBLANK(M13),IF($G13="","",_xll.BDP(G13&amp;" "&amp;$K13&amp;" Corp","PX_LAST")),M13)</f>
        <v/>
      </c>
      <c r="M13" s="60"/>
      <c r="N13" s="83" t="str">
        <f ca="1">IF(ISBLANK($O13),IF($G13="","",_xll.meLWOAssetSwapSpread($Y13,$X13,$L13,INDIRECT("ValuationSettings"&amp;$CR13),INDIRECT("Fixings"&amp;$CR13&amp;IF($I13="QUARTERLY","3ML","6ML")))),$O13)</f>
        <v/>
      </c>
      <c r="O13" s="60"/>
      <c r="P13" s="84" t="str">
        <f ca="1">IF($C13="","",_xll.meLWOAssetSwapSpreadToCleanPrice($Z13,$N13,INDIRECT("ValuationSettings"&amp;$D13),INDIRECT("Fixings"&amp;$EB13&amp;IF($E13="QUARTERLY","3ML","6ML"))))</f>
        <v/>
      </c>
      <c r="Q13" s="84" t="str">
        <f>IF($C13="","",_xll.meLWOBondPriceFromCleanToDirty($AA13,_xll.meUtilityLVBFromKeysValues($S$6:$T$6,S13:T13),$P13))</f>
        <v/>
      </c>
      <c r="R13" s="98" t="str">
        <f>IF($C13="","",_xll.meLWOBondYield($AA13,_xll.meUtilityLVBFromKeysValues($S$6:$V$6,S13:V13),IF($GU13,$P13,$Q13)))</f>
        <v/>
      </c>
      <c r="S13" s="127" t="str">
        <f t="shared" ca="1" si="52"/>
        <v/>
      </c>
      <c r="T13" s="98" t="str">
        <f t="shared" si="53"/>
        <v/>
      </c>
      <c r="U13" s="98" t="str">
        <f>IF($C13="","",_xll.BDP($C13,$U$5)%)</f>
        <v/>
      </c>
      <c r="V13" s="274" t="str">
        <f>IF($C13="","",_xll.BDP($C13,$V$5)%)</f>
        <v/>
      </c>
      <c r="W13" s="101">
        <v>7</v>
      </c>
      <c r="X13" s="53" t="str">
        <f>IF($G13="","",IF(LEFT(AD13,1)="#","#LOADING",_xll.meLWOBondCreateFromLVB("PROXY_BOND_"&amp;$AF13,_xll.meUtilityLVBFromKeysValues($AC$6:$BA$6,$AC13:$BA13))))</f>
        <v/>
      </c>
      <c r="Y13" s="53" t="str">
        <f>IF($G13="","",_xll.meLWOSwapCreate("PROXY_ASW_"&amp;$AF13,_xll.meUtilityLVBFromKeysAndMultipleValues($BD$6:$CJ$6,$BD13:$CJ13,$CL13:$DR13)))</f>
        <v/>
      </c>
      <c r="Z13" s="53" t="str">
        <f>IF($C13="","",_xll.meLWOSwapCreate("BOND_ASW_"&amp;$GS13,_xll.meUtilityLVBFromKeysAndMultipleValues($DV$6:$FC$6,$DV13:$FC13,$FE13:$GL13)))</f>
        <v/>
      </c>
      <c r="AA13" s="53" t="str">
        <f>IF($C13="","",IF(LEFT(GQ13,1)="#","#LOADING",_xll.meLWOBondCreateFromLVB("PROXY_BOND_"&amp;$GS13,_xll.meUtilityLVBFromKeysValues($GP$6:$HO$6,$GP13:$HO13))))</f>
        <v/>
      </c>
      <c r="AB13" t="s">
        <v>0</v>
      </c>
      <c r="AC13" s="62">
        <f t="shared" si="0"/>
        <v>0</v>
      </c>
      <c r="AD13" s="63">
        <f>IF(LEFT(_xll.BDP($G13,AD$5),1)="#","#LOADING",_xll.BDP($G13,AD$5))</f>
        <v>0</v>
      </c>
      <c r="AE13" s="41">
        <f t="shared" si="1"/>
        <v>0</v>
      </c>
      <c r="AF13" s="63">
        <f>IF(LEFT(_xll.BDP($G13,AF$5),1)="#","#LOADING",_xll.BDP($G13,AF$5))</f>
        <v>0</v>
      </c>
      <c r="AG13" s="64" t="s">
        <v>20</v>
      </c>
      <c r="AH13" s="63" t="b">
        <f>IF(LEFT(_xll.BDP($G13,AH$5),1)="#","#LOADING",IF(_xll.BDP($G13,AH$5)="CLEAN",TRUE,FALSE))</f>
        <v>0</v>
      </c>
      <c r="AI13" s="64" t="s">
        <v>26</v>
      </c>
      <c r="AJ13" s="61" t="s">
        <v>18</v>
      </c>
      <c r="AK13" s="65" t="s">
        <v>28</v>
      </c>
      <c r="AL13" s="66">
        <v>1000000</v>
      </c>
      <c r="AM13" s="63" t="e">
        <f>IF(LEFT(_xll.BDP($G13,AM$5),1)="#","#LOADING",DATEVALUE(_xll.BDP($G13,AM$5)))</f>
        <v>#VALUE!</v>
      </c>
      <c r="AN13" s="63" t="e">
        <f>IF(LEFT(_xll.BDP($G13,AN$5),1)="#","#LOADING",DATEVALUE(_xll.BDP($G13,AN$5)))</f>
        <v>#VALUE!</v>
      </c>
      <c r="AO13" s="63" t="e">
        <f>IF(LEFT(_xll.BDP($G13,AO$5),1)="#","#LOADING",DATEVALUE(_xll.BDP($G13,AO$5)))</f>
        <v>#VALUE!</v>
      </c>
      <c r="AP13" s="63" t="e">
        <f>IF(LEFT(_xll.BDP($G13,AP$5),1)="#","#LOADING",DATEVALUE(_xll.BDP($G13,AP$5)))</f>
        <v>#VALUE!</v>
      </c>
      <c r="AQ13" s="63" t="e">
        <f>IF(LEFT(_xll.BDP($G13,AQ$5),1)="#","#LOADING",DATEVALUE(_xll.BDP($G13,AQ$5)))</f>
        <v>#VALUE!</v>
      </c>
      <c r="AR13" s="67">
        <f>IF(LEFT(_xll.BDP($G13,AR$5),1)="#","#LOADING",_xll.BDP($G13,AR$5)%)</f>
        <v>0</v>
      </c>
      <c r="AS13" s="67" t="str">
        <f>IF(LEFT(_xll.BDP($G13,AS$5),1)="#","#LOADING",VLOOKUP(_xll.BDP($G13,AS$5),Static.CouponFrequency,2,FALSE))</f>
        <v>ZERO-COUPON</v>
      </c>
      <c r="AT13" s="68" t="s">
        <v>51</v>
      </c>
      <c r="AU13" s="53" t="e">
        <f t="shared" si="2"/>
        <v>#N/A</v>
      </c>
      <c r="AV13" s="61" t="s">
        <v>51</v>
      </c>
      <c r="AW13" s="53" t="e">
        <f t="shared" si="3"/>
        <v>#N/A</v>
      </c>
      <c r="AX13" s="61" t="s">
        <v>62</v>
      </c>
      <c r="AY13" s="69">
        <f>IF(LEFT(_xll.BDP($G13,AY$5),1)="#","#LOADING",_xll.BDP($G13,AY$5))</f>
        <v>0</v>
      </c>
      <c r="AZ13" s="70"/>
      <c r="BA13" s="69" t="str">
        <f>IF(LEFT(_xll.BDP($G13,BA$5),1)="#","#LOADING","Type"&amp;IF(_xll.BDP($G13,BA$5)=999,1,_xll.BDP($G13,BA$5)))</f>
        <v>Type</v>
      </c>
      <c r="BB13" s="54"/>
      <c r="BD13" s="61" t="s">
        <v>7</v>
      </c>
      <c r="BE13" s="66">
        <v>1000000</v>
      </c>
      <c r="BF13" s="61" t="s">
        <v>14</v>
      </c>
      <c r="BG13" s="61" t="s">
        <v>17</v>
      </c>
      <c r="BH13" s="70"/>
      <c r="BI13" s="73" t="e">
        <f t="shared" si="4"/>
        <v>#N/A</v>
      </c>
      <c r="BJ13" s="74">
        <f t="shared" si="5"/>
        <v>0</v>
      </c>
      <c r="BK13" s="71">
        <v>1</v>
      </c>
      <c r="BL13" s="75">
        <f t="shared" si="6"/>
        <v>0</v>
      </c>
      <c r="BM13" s="61"/>
      <c r="BN13" s="61"/>
      <c r="BO13" s="72"/>
      <c r="BP13" s="72"/>
      <c r="BQ13" s="71"/>
      <c r="BR13" s="76" t="e">
        <f t="shared" si="7"/>
        <v>#VALUE!</v>
      </c>
      <c r="BS13" s="76" t="e">
        <f t="shared" si="8"/>
        <v>#VALUE!</v>
      </c>
      <c r="BT13" s="77" t="str">
        <f t="shared" si="9"/>
        <v>ZERO-COUPON</v>
      </c>
      <c r="BU13" s="77" t="str">
        <f t="shared" si="9"/>
        <v>ZERO-COUPON</v>
      </c>
      <c r="BV13" s="78">
        <f t="shared" si="10"/>
        <v>0</v>
      </c>
      <c r="BW13" s="61"/>
      <c r="BX13" s="61"/>
      <c r="BY13" s="61" t="s">
        <v>51</v>
      </c>
      <c r="BZ13" s="73" t="e">
        <f t="shared" si="11"/>
        <v>#N/A</v>
      </c>
      <c r="CA13" s="61" t="s">
        <v>51</v>
      </c>
      <c r="CB13" s="73" t="e">
        <f t="shared" si="12"/>
        <v>#N/A</v>
      </c>
      <c r="CC13" s="76" t="e">
        <f t="shared" si="13"/>
        <v>#VALUE!</v>
      </c>
      <c r="CD13" s="76" t="e">
        <f t="shared" si="14"/>
        <v>#VALUE!</v>
      </c>
      <c r="CE13" s="70" t="s">
        <v>80</v>
      </c>
      <c r="CF13" s="61"/>
      <c r="CG13" s="61"/>
      <c r="CH13" s="61" t="s">
        <v>62</v>
      </c>
      <c r="CI13" s="61"/>
      <c r="CJ13" s="76" t="str">
        <f t="shared" si="15"/>
        <v>Type</v>
      </c>
      <c r="CL13" s="61" t="s">
        <v>8</v>
      </c>
      <c r="CM13" s="66">
        <v>1000000</v>
      </c>
      <c r="CN13" s="61" t="s">
        <v>14</v>
      </c>
      <c r="CO13" s="61" t="s">
        <v>18</v>
      </c>
      <c r="CP13" s="53" t="e">
        <f t="shared" si="16"/>
        <v>#N/A</v>
      </c>
      <c r="CQ13" s="53" t="e">
        <f t="shared" si="17"/>
        <v>#N/A</v>
      </c>
      <c r="CR13" s="41">
        <f t="shared" si="18"/>
        <v>0</v>
      </c>
      <c r="CS13" s="71">
        <v>1</v>
      </c>
      <c r="CT13" s="81"/>
      <c r="CU13" s="61" t="s">
        <v>32</v>
      </c>
      <c r="CV13" s="61" t="s">
        <v>32</v>
      </c>
      <c r="CW13" s="72"/>
      <c r="CX13" s="72"/>
      <c r="CY13" s="71"/>
      <c r="CZ13" s="82" t="e">
        <f t="shared" si="19"/>
        <v>#VALUE!</v>
      </c>
      <c r="DA13" s="82" t="e">
        <f t="shared" si="20"/>
        <v>#VALUE!</v>
      </c>
      <c r="DB13" s="53">
        <f t="shared" si="21"/>
        <v>0</v>
      </c>
      <c r="DC13" s="53">
        <f t="shared" si="21"/>
        <v>0</v>
      </c>
      <c r="DD13" s="53" t="e">
        <f t="shared" si="22"/>
        <v>#N/A</v>
      </c>
      <c r="DE13" s="61" t="s">
        <v>58</v>
      </c>
      <c r="DF13" s="53" t="e">
        <f t="shared" si="23"/>
        <v>#N/A</v>
      </c>
      <c r="DG13" s="61" t="s">
        <v>51</v>
      </c>
      <c r="DH13" s="53" t="e">
        <f t="shared" si="24"/>
        <v>#N/A</v>
      </c>
      <c r="DI13" s="61" t="s">
        <v>51</v>
      </c>
      <c r="DJ13" s="53" t="e">
        <f t="shared" si="25"/>
        <v>#N/A</v>
      </c>
      <c r="DK13" s="82"/>
      <c r="DL13" s="82"/>
      <c r="DM13" s="70"/>
      <c r="DN13" s="61" t="s">
        <v>62</v>
      </c>
      <c r="DO13" s="61"/>
      <c r="DP13" s="61" t="s">
        <v>62</v>
      </c>
      <c r="DQ13" s="61" t="s">
        <v>75</v>
      </c>
      <c r="DR13" s="82"/>
      <c r="DV13" s="61" t="s">
        <v>253</v>
      </c>
      <c r="DW13" s="66">
        <v>1000000</v>
      </c>
      <c r="DX13" s="61" t="s">
        <v>14</v>
      </c>
      <c r="DY13" s="61" t="s">
        <v>17</v>
      </c>
      <c r="DZ13" s="70"/>
      <c r="EA13" s="73" t="e">
        <f t="shared" si="26"/>
        <v>#N/A</v>
      </c>
      <c r="EB13" s="74">
        <f t="shared" si="27"/>
        <v>0</v>
      </c>
      <c r="EC13" s="71">
        <v>1</v>
      </c>
      <c r="ED13" s="75">
        <f t="shared" si="28"/>
        <v>0</v>
      </c>
      <c r="EE13" s="61"/>
      <c r="EF13" s="61"/>
      <c r="EG13" s="72"/>
      <c r="EH13" s="72"/>
      <c r="EI13" s="71"/>
      <c r="EJ13" s="76" t="e">
        <f t="shared" si="29"/>
        <v>#VALUE!</v>
      </c>
      <c r="EK13" s="76" t="e">
        <f t="shared" si="30"/>
        <v>#VALUE!</v>
      </c>
      <c r="EL13" s="77" t="str">
        <f t="shared" si="31"/>
        <v>ZERO-COUPON</v>
      </c>
      <c r="EM13" s="77" t="str">
        <f t="shared" si="31"/>
        <v>ZERO-COUPON</v>
      </c>
      <c r="EN13" s="78">
        <f t="shared" si="32"/>
        <v>0</v>
      </c>
      <c r="EO13" s="61"/>
      <c r="EP13" s="61"/>
      <c r="EQ13" s="61" t="s">
        <v>51</v>
      </c>
      <c r="ER13" s="73" t="e">
        <f t="shared" si="33"/>
        <v>#N/A</v>
      </c>
      <c r="ES13" s="61" t="s">
        <v>51</v>
      </c>
      <c r="ET13" s="73" t="e">
        <f t="shared" si="34"/>
        <v>#N/A</v>
      </c>
      <c r="EU13" s="76" t="e">
        <f t="shared" si="35"/>
        <v>#VALUE!</v>
      </c>
      <c r="EV13" s="76" t="e">
        <f t="shared" si="36"/>
        <v>#VALUE!</v>
      </c>
      <c r="EW13" s="70" t="s">
        <v>80</v>
      </c>
      <c r="EX13" s="61"/>
      <c r="EY13" s="61"/>
      <c r="EZ13" s="61" t="s">
        <v>62</v>
      </c>
      <c r="FA13" s="61"/>
      <c r="FB13" s="61"/>
      <c r="FC13" s="61"/>
      <c r="FE13" s="61" t="s">
        <v>254</v>
      </c>
      <c r="FF13" s="66">
        <v>1000000</v>
      </c>
      <c r="FG13" s="61" t="s">
        <v>14</v>
      </c>
      <c r="FH13" s="61" t="s">
        <v>18</v>
      </c>
      <c r="FI13" s="73" t="e">
        <f t="shared" si="37"/>
        <v>#N/A</v>
      </c>
      <c r="FJ13" s="73" t="e">
        <f t="shared" si="38"/>
        <v>#N/A</v>
      </c>
      <c r="FK13" s="41">
        <f t="shared" si="39"/>
        <v>0</v>
      </c>
      <c r="FL13" s="71">
        <v>1</v>
      </c>
      <c r="FM13" s="81"/>
      <c r="FN13" s="61" t="s">
        <v>32</v>
      </c>
      <c r="FO13" s="61" t="s">
        <v>32</v>
      </c>
      <c r="FP13" s="72"/>
      <c r="FQ13" s="72"/>
      <c r="FR13" s="71"/>
      <c r="FS13" s="76" t="e">
        <f t="shared" si="40"/>
        <v>#VALUE!</v>
      </c>
      <c r="FT13" s="76" t="e">
        <f t="shared" si="41"/>
        <v>#VALUE!</v>
      </c>
      <c r="FU13" s="73">
        <f t="shared" si="42"/>
        <v>0</v>
      </c>
      <c r="FV13" s="73">
        <f t="shared" si="42"/>
        <v>0</v>
      </c>
      <c r="FW13" s="73" t="e">
        <f t="shared" si="43"/>
        <v>#N/A</v>
      </c>
      <c r="FX13" s="61" t="s">
        <v>58</v>
      </c>
      <c r="FY13" s="73" t="e">
        <f t="shared" si="44"/>
        <v>#N/A</v>
      </c>
      <c r="FZ13" s="61" t="s">
        <v>51</v>
      </c>
      <c r="GA13" s="73" t="e">
        <f t="shared" si="45"/>
        <v>#N/A</v>
      </c>
      <c r="GB13" s="61" t="s">
        <v>51</v>
      </c>
      <c r="GC13" s="73" t="e">
        <f t="shared" si="46"/>
        <v>#N/A</v>
      </c>
      <c r="GD13" s="82"/>
      <c r="GE13" s="82"/>
      <c r="GF13" s="70"/>
      <c r="GG13" s="61" t="s">
        <v>62</v>
      </c>
      <c r="GH13" s="61"/>
      <c r="GI13" s="61" t="s">
        <v>62</v>
      </c>
      <c r="GJ13" s="61" t="s">
        <v>75</v>
      </c>
      <c r="GK13" s="286">
        <f t="shared" si="54"/>
        <v>0</v>
      </c>
      <c r="GL13" s="82" t="str">
        <f t="shared" si="55"/>
        <v>Type</v>
      </c>
      <c r="GP13" s="95">
        <f t="shared" si="47"/>
        <v>0</v>
      </c>
      <c r="GQ13" s="42">
        <f>IF(LEFT(_xll.BDP($C13,GQ$5),1)="#","#LOADING",_xll.BDP($C13,GQ$5))</f>
        <v>0</v>
      </c>
      <c r="GR13" s="74">
        <f t="shared" si="48"/>
        <v>0</v>
      </c>
      <c r="GS13" s="74" t="e">
        <f t="shared" si="49"/>
        <v>#VALUE!</v>
      </c>
      <c r="GT13" s="64" t="s">
        <v>20</v>
      </c>
      <c r="GU13" s="42" t="b">
        <f>IF(LEFT(_xll.BDP($C13,GU$5),1)="#","#LOADING",IF(_xll.BDP($C13,GU$5)="CLEAN",TRUE,FALSE))</f>
        <v>0</v>
      </c>
      <c r="GV13" s="64" t="s">
        <v>26</v>
      </c>
      <c r="GW13" s="61" t="s">
        <v>18</v>
      </c>
      <c r="GX13" s="65" t="s">
        <v>28</v>
      </c>
      <c r="GY13" s="66">
        <v>1000000</v>
      </c>
      <c r="GZ13" s="96" t="e">
        <f>IF(LEFT(_xll.BDP($C13,GZ$5),1)="#","#LOADING",DATEVALUE(_xll.BDP($C13,GZ$5)))</f>
        <v>#VALUE!</v>
      </c>
      <c r="HA13" s="96" t="e">
        <f>IF(LEFT(_xll.BDP($C13,HA$5),1)="#","#LOADING",DATEVALUE(_xll.BDP($C13,HA$5)))</f>
        <v>#VALUE!</v>
      </c>
      <c r="HB13" s="96" t="e">
        <f>IF(LEFT(_xll.BDP($C13,HB$5),1)="#","#LOADING",DATEVALUE(_xll.BDP($C13,HB$5)))</f>
        <v>#VALUE!</v>
      </c>
      <c r="HC13" s="96" t="e">
        <f>IF(LEFT(_xll.BDP($C13,HC$5),1)="#","#LOADING",DATEVALUE(_xll.BDP($C13,HC$5)))</f>
        <v>#VALUE!</v>
      </c>
      <c r="HD13" s="96" t="e">
        <f>IF(LEFT(_xll.BDP($C13,HD$5),1)="#","#LOADING",DATEVALUE(_xll.BDP($C13,HD$5)))</f>
        <v>#VALUE!</v>
      </c>
      <c r="HE13" s="97">
        <f>IF(LEFT(_xll.BDP($C13,HE$5),1)="#","#LOADING",_xll.BDP($C13,HE$5)%)</f>
        <v>0</v>
      </c>
      <c r="HF13" s="97" t="str">
        <f>IF(LEFT(_xll.BDP($C13,HF$5),1)="#","#LOADING",VLOOKUP(_xll.BDP($C13,HF$5),Static.CouponFrequency,2,FALSE))</f>
        <v>ZERO-COUPON</v>
      </c>
      <c r="HG13" s="68" t="s">
        <v>51</v>
      </c>
      <c r="HH13" s="73" t="e">
        <f t="shared" si="50"/>
        <v>#N/A</v>
      </c>
      <c r="HI13" s="61" t="s">
        <v>51</v>
      </c>
      <c r="HJ13" s="73" t="e">
        <f t="shared" si="51"/>
        <v>#N/A</v>
      </c>
      <c r="HK13" s="61" t="s">
        <v>62</v>
      </c>
      <c r="HL13" s="43">
        <f>IF(LEFT(_xll.BDP($C13,HL$5),1)="#","#LOADING",_xll.BDP($C13,HL$5))</f>
        <v>0</v>
      </c>
      <c r="HM13" s="70"/>
      <c r="HN13" s="280">
        <f>IF(LEFT(_xll.BDP($C13,HN$5),1)="#","#LOADING",_xll.BDP($C13,HN$5))</f>
        <v>0</v>
      </c>
      <c r="HO13" s="43" t="str">
        <f>IF(LEFT(_xll.BDP($C13,HO$5),1)="#","#LOADING","Type"&amp;IF(_xll.BDP($C13,HO$5)=999,1,_xll.BDP($C13,HO$5)))</f>
        <v>Type</v>
      </c>
    </row>
    <row r="14" spans="1:224">
      <c r="A14" s="101">
        <v>8</v>
      </c>
      <c r="B14" s="57"/>
      <c r="C14" s="57"/>
      <c r="D14" s="57"/>
      <c r="E14" s="57"/>
      <c r="F14" s="57"/>
      <c r="G14" s="57"/>
      <c r="H14" s="57"/>
      <c r="I14" s="57"/>
      <c r="J14" s="101">
        <v>8</v>
      </c>
      <c r="K14" s="58" t="s">
        <v>163</v>
      </c>
      <c r="L14" s="59" t="str">
        <f>IF(ISBLANK(M14),IF($G14="","",_xll.BDP(G14&amp;" "&amp;$K14&amp;" Corp","PX_LAST")),M14)</f>
        <v/>
      </c>
      <c r="M14" s="60"/>
      <c r="N14" s="83" t="str">
        <f ca="1">IF(ISBLANK($O14),IF($G14="","",_xll.meLWOAssetSwapSpread($Y14,$X14,$L14,INDIRECT("ValuationSettings"&amp;$CR14),INDIRECT("Fixings"&amp;$CR14&amp;IF($I14="QUARTERLY","3ML","6ML")))),$O14)</f>
        <v/>
      </c>
      <c r="O14" s="60"/>
      <c r="P14" s="84" t="str">
        <f ca="1">IF($C14="","",_xll.meLWOAssetSwapSpreadToCleanPrice($Z14,$N14,INDIRECT("ValuationSettings"&amp;$D14),INDIRECT("Fixings"&amp;$EB14&amp;IF($E14="QUARTERLY","3ML","6ML"))))</f>
        <v/>
      </c>
      <c r="Q14" s="84" t="str">
        <f>IF($C14="","",_xll.meLWOBondPriceFromCleanToDirty($AA14,_xll.meUtilityLVBFromKeysValues($S$6:$T$6,S14:T14),$P14))</f>
        <v/>
      </c>
      <c r="R14" s="98" t="str">
        <f>IF($C14="","",_xll.meLWOBondYield($AA14,_xll.meUtilityLVBFromKeysValues($S$6:$V$6,S14:V14),IF($GU14,$P14,$Q14)))</f>
        <v/>
      </c>
      <c r="S14" s="127" t="str">
        <f t="shared" ca="1" si="52"/>
        <v/>
      </c>
      <c r="T14" s="98" t="str">
        <f t="shared" si="53"/>
        <v/>
      </c>
      <c r="U14" s="98" t="str">
        <f>IF($C14="","",_xll.BDP($C14,$U$5)%)</f>
        <v/>
      </c>
      <c r="V14" s="274" t="str">
        <f>IF($C14="","",_xll.BDP($C14,$V$5)%)</f>
        <v/>
      </c>
      <c r="W14" s="101">
        <v>8</v>
      </c>
      <c r="X14" s="53" t="str">
        <f>IF($G14="","",IF(LEFT(AD14,1)="#","#LOADING",_xll.meLWOBondCreateFromLVB("PROXY_BOND_"&amp;$AF14,_xll.meUtilityLVBFromKeysValues($AC$6:$BA$6,$AC14:$BA14))))</f>
        <v/>
      </c>
      <c r="Y14" s="53" t="str">
        <f>IF($G14="","",_xll.meLWOSwapCreate("PROXY_ASW_"&amp;$AF14,_xll.meUtilityLVBFromKeysAndMultipleValues($BD$6:$CJ$6,$BD14:$CJ14,$CL14:$DR14)))</f>
        <v/>
      </c>
      <c r="Z14" s="53" t="str">
        <f>IF($C14="","",_xll.meLWOSwapCreate("BOND_ASW_"&amp;$GS14,_xll.meUtilityLVBFromKeysAndMultipleValues($DV$6:$FC$6,$DV14:$FC14,$FE14:$GL14)))</f>
        <v/>
      </c>
      <c r="AA14" s="53" t="str">
        <f>IF($C14="","",IF(LEFT(GQ14,1)="#","#LOADING",_xll.meLWOBondCreateFromLVB("PROXY_BOND_"&amp;$GS14,_xll.meUtilityLVBFromKeysValues($GP$6:$HO$6,$GP14:$HO14))))</f>
        <v/>
      </c>
      <c r="AB14" t="s">
        <v>0</v>
      </c>
      <c r="AC14" s="62">
        <f t="shared" si="0"/>
        <v>0</v>
      </c>
      <c r="AD14" s="63">
        <f>IF(LEFT(_xll.BDP($G14,AD$5),1)="#","#LOADING",_xll.BDP($G14,AD$5))</f>
        <v>0</v>
      </c>
      <c r="AE14" s="41">
        <f t="shared" si="1"/>
        <v>0</v>
      </c>
      <c r="AF14" s="63">
        <f>IF(LEFT(_xll.BDP($G14,AF$5),1)="#","#LOADING",_xll.BDP($G14,AF$5))</f>
        <v>0</v>
      </c>
      <c r="AG14" s="64" t="s">
        <v>20</v>
      </c>
      <c r="AH14" s="63" t="b">
        <f>IF(LEFT(_xll.BDP($G14,AH$5),1)="#","#LOADING",IF(_xll.BDP($G14,AH$5)="CLEAN",TRUE,FALSE))</f>
        <v>0</v>
      </c>
      <c r="AI14" s="64" t="s">
        <v>26</v>
      </c>
      <c r="AJ14" s="61" t="s">
        <v>18</v>
      </c>
      <c r="AK14" s="65" t="s">
        <v>28</v>
      </c>
      <c r="AL14" s="66">
        <v>1000000</v>
      </c>
      <c r="AM14" s="63" t="e">
        <f>IF(LEFT(_xll.BDP($G14,AM$5),1)="#","#LOADING",DATEVALUE(_xll.BDP($G14,AM$5)))</f>
        <v>#VALUE!</v>
      </c>
      <c r="AN14" s="63" t="e">
        <f>IF(LEFT(_xll.BDP($G14,AN$5),1)="#","#LOADING",DATEVALUE(_xll.BDP($G14,AN$5)))</f>
        <v>#VALUE!</v>
      </c>
      <c r="AO14" s="63" t="e">
        <f>IF(LEFT(_xll.BDP($G14,AO$5),1)="#","#LOADING",DATEVALUE(_xll.BDP($G14,AO$5)))</f>
        <v>#VALUE!</v>
      </c>
      <c r="AP14" s="63" t="e">
        <f>IF(LEFT(_xll.BDP($G14,AP$5),1)="#","#LOADING",DATEVALUE(_xll.BDP($G14,AP$5)))</f>
        <v>#VALUE!</v>
      </c>
      <c r="AQ14" s="63" t="e">
        <f>IF(LEFT(_xll.BDP($G14,AQ$5),1)="#","#LOADING",DATEVALUE(_xll.BDP($G14,AQ$5)))</f>
        <v>#VALUE!</v>
      </c>
      <c r="AR14" s="67">
        <f>IF(LEFT(_xll.BDP($G14,AR$5),1)="#","#LOADING",_xll.BDP($G14,AR$5)%)</f>
        <v>0</v>
      </c>
      <c r="AS14" s="67" t="str">
        <f>IF(LEFT(_xll.BDP($G14,AS$5),1)="#","#LOADING",VLOOKUP(_xll.BDP($G14,AS$5),Static.CouponFrequency,2,FALSE))</f>
        <v>ZERO-COUPON</v>
      </c>
      <c r="AT14" s="68" t="s">
        <v>51</v>
      </c>
      <c r="AU14" s="53" t="e">
        <f t="shared" si="2"/>
        <v>#N/A</v>
      </c>
      <c r="AV14" s="61" t="s">
        <v>51</v>
      </c>
      <c r="AW14" s="53" t="e">
        <f t="shared" si="3"/>
        <v>#N/A</v>
      </c>
      <c r="AX14" s="61" t="s">
        <v>62</v>
      </c>
      <c r="AY14" s="69">
        <f>IF(LEFT(_xll.BDP($G14,AY$5),1)="#","#LOADING",_xll.BDP($G14,AY$5))</f>
        <v>0</v>
      </c>
      <c r="AZ14" s="70"/>
      <c r="BA14" s="69" t="str">
        <f>IF(LEFT(_xll.BDP($G14,BA$5),1)="#","#LOADING","Type"&amp;IF(_xll.BDP($G14,BA$5)=999,1,_xll.BDP($G14,BA$5)))</f>
        <v>Type</v>
      </c>
      <c r="BB14" s="54"/>
      <c r="BD14" s="61" t="s">
        <v>7</v>
      </c>
      <c r="BE14" s="66">
        <v>1000000</v>
      </c>
      <c r="BF14" s="61" t="s">
        <v>14</v>
      </c>
      <c r="BG14" s="61" t="s">
        <v>17</v>
      </c>
      <c r="BH14" s="70"/>
      <c r="BI14" s="73" t="e">
        <f t="shared" si="4"/>
        <v>#N/A</v>
      </c>
      <c r="BJ14" s="74">
        <f t="shared" si="5"/>
        <v>0</v>
      </c>
      <c r="BK14" s="71">
        <v>1</v>
      </c>
      <c r="BL14" s="75">
        <f t="shared" si="6"/>
        <v>0</v>
      </c>
      <c r="BM14" s="61"/>
      <c r="BN14" s="61"/>
      <c r="BO14" s="72"/>
      <c r="BP14" s="72"/>
      <c r="BQ14" s="71"/>
      <c r="BR14" s="76" t="e">
        <f t="shared" si="7"/>
        <v>#VALUE!</v>
      </c>
      <c r="BS14" s="76" t="e">
        <f t="shared" si="8"/>
        <v>#VALUE!</v>
      </c>
      <c r="BT14" s="77" t="str">
        <f t="shared" si="9"/>
        <v>ZERO-COUPON</v>
      </c>
      <c r="BU14" s="77" t="str">
        <f t="shared" si="9"/>
        <v>ZERO-COUPON</v>
      </c>
      <c r="BV14" s="78">
        <f t="shared" si="10"/>
        <v>0</v>
      </c>
      <c r="BW14" s="61"/>
      <c r="BX14" s="61"/>
      <c r="BY14" s="61" t="s">
        <v>51</v>
      </c>
      <c r="BZ14" s="73" t="e">
        <f t="shared" si="11"/>
        <v>#N/A</v>
      </c>
      <c r="CA14" s="61" t="s">
        <v>51</v>
      </c>
      <c r="CB14" s="73" t="e">
        <f t="shared" si="12"/>
        <v>#N/A</v>
      </c>
      <c r="CC14" s="76" t="e">
        <f t="shared" si="13"/>
        <v>#VALUE!</v>
      </c>
      <c r="CD14" s="76" t="e">
        <f t="shared" si="14"/>
        <v>#VALUE!</v>
      </c>
      <c r="CE14" s="70" t="s">
        <v>80</v>
      </c>
      <c r="CF14" s="61"/>
      <c r="CG14" s="61"/>
      <c r="CH14" s="61" t="s">
        <v>62</v>
      </c>
      <c r="CI14" s="61"/>
      <c r="CJ14" s="76" t="str">
        <f t="shared" si="15"/>
        <v>Type</v>
      </c>
      <c r="CL14" s="61" t="s">
        <v>8</v>
      </c>
      <c r="CM14" s="66">
        <v>1000000</v>
      </c>
      <c r="CN14" s="61" t="s">
        <v>14</v>
      </c>
      <c r="CO14" s="61" t="s">
        <v>18</v>
      </c>
      <c r="CP14" s="53" t="e">
        <f t="shared" si="16"/>
        <v>#N/A</v>
      </c>
      <c r="CQ14" s="53" t="e">
        <f t="shared" si="17"/>
        <v>#N/A</v>
      </c>
      <c r="CR14" s="41">
        <f t="shared" si="18"/>
        <v>0</v>
      </c>
      <c r="CS14" s="71">
        <v>1</v>
      </c>
      <c r="CT14" s="81"/>
      <c r="CU14" s="61" t="s">
        <v>32</v>
      </c>
      <c r="CV14" s="61" t="s">
        <v>32</v>
      </c>
      <c r="CW14" s="72"/>
      <c r="CX14" s="72"/>
      <c r="CY14" s="71"/>
      <c r="CZ14" s="82" t="e">
        <f t="shared" si="19"/>
        <v>#VALUE!</v>
      </c>
      <c r="DA14" s="82" t="e">
        <f t="shared" si="20"/>
        <v>#VALUE!</v>
      </c>
      <c r="DB14" s="53">
        <f t="shared" si="21"/>
        <v>0</v>
      </c>
      <c r="DC14" s="53">
        <f t="shared" si="21"/>
        <v>0</v>
      </c>
      <c r="DD14" s="53" t="e">
        <f t="shared" si="22"/>
        <v>#N/A</v>
      </c>
      <c r="DE14" s="61" t="s">
        <v>58</v>
      </c>
      <c r="DF14" s="53" t="e">
        <f t="shared" si="23"/>
        <v>#N/A</v>
      </c>
      <c r="DG14" s="61" t="s">
        <v>51</v>
      </c>
      <c r="DH14" s="53" t="e">
        <f t="shared" si="24"/>
        <v>#N/A</v>
      </c>
      <c r="DI14" s="61" t="s">
        <v>51</v>
      </c>
      <c r="DJ14" s="53" t="e">
        <f t="shared" si="25"/>
        <v>#N/A</v>
      </c>
      <c r="DK14" s="82"/>
      <c r="DL14" s="82"/>
      <c r="DM14" s="70"/>
      <c r="DN14" s="61" t="s">
        <v>62</v>
      </c>
      <c r="DO14" s="61"/>
      <c r="DP14" s="61" t="s">
        <v>62</v>
      </c>
      <c r="DQ14" s="61" t="s">
        <v>75</v>
      </c>
      <c r="DR14" s="82"/>
      <c r="DV14" s="61" t="s">
        <v>253</v>
      </c>
      <c r="DW14" s="66">
        <v>1000000</v>
      </c>
      <c r="DX14" s="61" t="s">
        <v>14</v>
      </c>
      <c r="DY14" s="61" t="s">
        <v>17</v>
      </c>
      <c r="DZ14" s="70"/>
      <c r="EA14" s="73" t="e">
        <f t="shared" si="26"/>
        <v>#N/A</v>
      </c>
      <c r="EB14" s="74">
        <f t="shared" si="27"/>
        <v>0</v>
      </c>
      <c r="EC14" s="71">
        <v>1</v>
      </c>
      <c r="ED14" s="75">
        <f t="shared" si="28"/>
        <v>0</v>
      </c>
      <c r="EE14" s="61"/>
      <c r="EF14" s="61"/>
      <c r="EG14" s="72"/>
      <c r="EH14" s="72"/>
      <c r="EI14" s="71"/>
      <c r="EJ14" s="76" t="e">
        <f t="shared" si="29"/>
        <v>#VALUE!</v>
      </c>
      <c r="EK14" s="76" t="e">
        <f t="shared" si="30"/>
        <v>#VALUE!</v>
      </c>
      <c r="EL14" s="77" t="str">
        <f t="shared" si="31"/>
        <v>ZERO-COUPON</v>
      </c>
      <c r="EM14" s="77" t="str">
        <f t="shared" si="31"/>
        <v>ZERO-COUPON</v>
      </c>
      <c r="EN14" s="78">
        <f t="shared" si="32"/>
        <v>0</v>
      </c>
      <c r="EO14" s="61"/>
      <c r="EP14" s="61"/>
      <c r="EQ14" s="61" t="s">
        <v>51</v>
      </c>
      <c r="ER14" s="73" t="e">
        <f t="shared" si="33"/>
        <v>#N/A</v>
      </c>
      <c r="ES14" s="61" t="s">
        <v>51</v>
      </c>
      <c r="ET14" s="73" t="e">
        <f t="shared" si="34"/>
        <v>#N/A</v>
      </c>
      <c r="EU14" s="76" t="e">
        <f t="shared" si="35"/>
        <v>#VALUE!</v>
      </c>
      <c r="EV14" s="76" t="e">
        <f t="shared" si="36"/>
        <v>#VALUE!</v>
      </c>
      <c r="EW14" s="70" t="s">
        <v>80</v>
      </c>
      <c r="EX14" s="61"/>
      <c r="EY14" s="61"/>
      <c r="EZ14" s="61" t="s">
        <v>62</v>
      </c>
      <c r="FA14" s="61"/>
      <c r="FB14" s="61"/>
      <c r="FC14" s="61"/>
      <c r="FE14" s="61" t="s">
        <v>254</v>
      </c>
      <c r="FF14" s="66">
        <v>1000000</v>
      </c>
      <c r="FG14" s="61" t="s">
        <v>14</v>
      </c>
      <c r="FH14" s="61" t="s">
        <v>18</v>
      </c>
      <c r="FI14" s="73" t="e">
        <f t="shared" si="37"/>
        <v>#N/A</v>
      </c>
      <c r="FJ14" s="73" t="e">
        <f t="shared" si="38"/>
        <v>#N/A</v>
      </c>
      <c r="FK14" s="41">
        <f t="shared" si="39"/>
        <v>0</v>
      </c>
      <c r="FL14" s="71">
        <v>1</v>
      </c>
      <c r="FM14" s="81"/>
      <c r="FN14" s="61" t="s">
        <v>32</v>
      </c>
      <c r="FO14" s="61" t="s">
        <v>32</v>
      </c>
      <c r="FP14" s="72"/>
      <c r="FQ14" s="72"/>
      <c r="FR14" s="71"/>
      <c r="FS14" s="76" t="e">
        <f t="shared" si="40"/>
        <v>#VALUE!</v>
      </c>
      <c r="FT14" s="76" t="e">
        <f t="shared" si="41"/>
        <v>#VALUE!</v>
      </c>
      <c r="FU14" s="73">
        <f t="shared" si="42"/>
        <v>0</v>
      </c>
      <c r="FV14" s="73">
        <f t="shared" si="42"/>
        <v>0</v>
      </c>
      <c r="FW14" s="73" t="e">
        <f t="shared" si="43"/>
        <v>#N/A</v>
      </c>
      <c r="FX14" s="61" t="s">
        <v>58</v>
      </c>
      <c r="FY14" s="73" t="e">
        <f t="shared" si="44"/>
        <v>#N/A</v>
      </c>
      <c r="FZ14" s="61" t="s">
        <v>51</v>
      </c>
      <c r="GA14" s="73" t="e">
        <f t="shared" si="45"/>
        <v>#N/A</v>
      </c>
      <c r="GB14" s="61" t="s">
        <v>51</v>
      </c>
      <c r="GC14" s="73" t="e">
        <f t="shared" si="46"/>
        <v>#N/A</v>
      </c>
      <c r="GD14" s="82"/>
      <c r="GE14" s="82"/>
      <c r="GF14" s="70"/>
      <c r="GG14" s="61" t="s">
        <v>62</v>
      </c>
      <c r="GH14" s="61"/>
      <c r="GI14" s="61" t="s">
        <v>62</v>
      </c>
      <c r="GJ14" s="61" t="s">
        <v>75</v>
      </c>
      <c r="GK14" s="286">
        <f t="shared" si="54"/>
        <v>0</v>
      </c>
      <c r="GL14" s="82" t="str">
        <f t="shared" si="55"/>
        <v>Type</v>
      </c>
      <c r="GP14" s="95">
        <f t="shared" si="47"/>
        <v>0</v>
      </c>
      <c r="GQ14" s="42">
        <f>IF(LEFT(_xll.BDP($C14,GQ$5),1)="#","#LOADING",_xll.BDP($C14,GQ$5))</f>
        <v>0</v>
      </c>
      <c r="GR14" s="74">
        <f t="shared" si="48"/>
        <v>0</v>
      </c>
      <c r="GS14" s="74" t="e">
        <f t="shared" si="49"/>
        <v>#VALUE!</v>
      </c>
      <c r="GT14" s="64" t="s">
        <v>20</v>
      </c>
      <c r="GU14" s="42" t="b">
        <f>IF(LEFT(_xll.BDP($C14,GU$5),1)="#","#LOADING",IF(_xll.BDP($C14,GU$5)="CLEAN",TRUE,FALSE))</f>
        <v>0</v>
      </c>
      <c r="GV14" s="64" t="s">
        <v>26</v>
      </c>
      <c r="GW14" s="61" t="s">
        <v>18</v>
      </c>
      <c r="GX14" s="65" t="s">
        <v>28</v>
      </c>
      <c r="GY14" s="66">
        <v>1000000</v>
      </c>
      <c r="GZ14" s="96" t="e">
        <f>IF(LEFT(_xll.BDP($C14,GZ$5),1)="#","#LOADING",DATEVALUE(_xll.BDP($C14,GZ$5)))</f>
        <v>#VALUE!</v>
      </c>
      <c r="HA14" s="96" t="e">
        <f>IF(LEFT(_xll.BDP($C14,HA$5),1)="#","#LOADING",DATEVALUE(_xll.BDP($C14,HA$5)))</f>
        <v>#VALUE!</v>
      </c>
      <c r="HB14" s="96" t="e">
        <f>IF(LEFT(_xll.BDP($C14,HB$5),1)="#","#LOADING",DATEVALUE(_xll.BDP($C14,HB$5)))</f>
        <v>#VALUE!</v>
      </c>
      <c r="HC14" s="96" t="e">
        <f>IF(LEFT(_xll.BDP($C14,HC$5),1)="#","#LOADING",DATEVALUE(_xll.BDP($C14,HC$5)))</f>
        <v>#VALUE!</v>
      </c>
      <c r="HD14" s="96" t="e">
        <f>IF(LEFT(_xll.BDP($C14,HD$5),1)="#","#LOADING",DATEVALUE(_xll.BDP($C14,HD$5)))</f>
        <v>#VALUE!</v>
      </c>
      <c r="HE14" s="97">
        <f>IF(LEFT(_xll.BDP($C14,HE$5),1)="#","#LOADING",_xll.BDP($C14,HE$5)%)</f>
        <v>0</v>
      </c>
      <c r="HF14" s="97" t="str">
        <f>IF(LEFT(_xll.BDP($C14,HF$5),1)="#","#LOADING",VLOOKUP(_xll.BDP($C14,HF$5),Static.CouponFrequency,2,FALSE))</f>
        <v>ZERO-COUPON</v>
      </c>
      <c r="HG14" s="68" t="s">
        <v>51</v>
      </c>
      <c r="HH14" s="73" t="e">
        <f t="shared" si="50"/>
        <v>#N/A</v>
      </c>
      <c r="HI14" s="61" t="s">
        <v>51</v>
      </c>
      <c r="HJ14" s="73" t="e">
        <f t="shared" si="51"/>
        <v>#N/A</v>
      </c>
      <c r="HK14" s="61" t="s">
        <v>62</v>
      </c>
      <c r="HL14" s="43">
        <f>IF(LEFT(_xll.BDP($C14,HL$5),1)="#","#LOADING",_xll.BDP($C14,HL$5))</f>
        <v>0</v>
      </c>
      <c r="HM14" s="70"/>
      <c r="HN14" s="280">
        <f>IF(LEFT(_xll.BDP($C14,HN$5),1)="#","#LOADING",_xll.BDP($C14,HN$5))</f>
        <v>0</v>
      </c>
      <c r="HO14" s="43" t="str">
        <f>IF(LEFT(_xll.BDP($C14,HO$5),1)="#","#LOADING","Type"&amp;IF(_xll.BDP($C14,HO$5)=999,1,_xll.BDP($C14,HO$5)))</f>
        <v>Type</v>
      </c>
    </row>
    <row r="15" spans="1:224">
      <c r="A15" s="101">
        <v>9</v>
      </c>
      <c r="B15" s="57"/>
      <c r="C15" s="57"/>
      <c r="D15" s="57"/>
      <c r="E15" s="57"/>
      <c r="F15" s="57"/>
      <c r="G15" s="57"/>
      <c r="H15" s="57"/>
      <c r="I15" s="57"/>
      <c r="J15" s="101">
        <v>9</v>
      </c>
      <c r="K15" s="58" t="s">
        <v>163</v>
      </c>
      <c r="L15" s="59" t="str">
        <f>IF(ISBLANK(M15),IF($G15="","",_xll.BDP(G15&amp;" "&amp;$K15&amp;" Corp","PX_LAST")),M15)</f>
        <v/>
      </c>
      <c r="M15" s="60"/>
      <c r="N15" s="83" t="str">
        <f ca="1">IF(ISBLANK($O15),IF($G15="","",_xll.meLWOAssetSwapSpread($Y15,$X15,$L15,INDIRECT("ValuationSettings"&amp;$CR15),INDIRECT("Fixings"&amp;$CR15&amp;IF($I15="QUARTERLY","3ML","6ML")))),$O15)</f>
        <v/>
      </c>
      <c r="O15" s="60"/>
      <c r="P15" s="84" t="str">
        <f ca="1">IF($C15="","",_xll.meLWOAssetSwapSpreadToCleanPrice($Z15,$N15,INDIRECT("ValuationSettings"&amp;$D15),INDIRECT("Fixings"&amp;$EB15&amp;IF($E15="QUARTERLY","3ML","6ML"))))</f>
        <v/>
      </c>
      <c r="Q15" s="84" t="str">
        <f>IF($C15="","",_xll.meLWOBondPriceFromCleanToDirty($AA15,_xll.meUtilityLVBFromKeysValues($S$6:$T$6,S15:T15),$P15))</f>
        <v/>
      </c>
      <c r="R15" s="98" t="str">
        <f>IF($C15="","",_xll.meLWOBondYield($AA15,_xll.meUtilityLVBFromKeysValues($S$6:$V$6,S15:V15),IF($GU15,$P15,$Q15)))</f>
        <v/>
      </c>
      <c r="S15" s="127" t="str">
        <f t="shared" ca="1" si="52"/>
        <v/>
      </c>
      <c r="T15" s="98" t="str">
        <f t="shared" si="53"/>
        <v/>
      </c>
      <c r="U15" s="98" t="str">
        <f>IF($C15="","",_xll.BDP($C15,$U$5)%)</f>
        <v/>
      </c>
      <c r="V15" s="274" t="str">
        <f>IF($C15="","",_xll.BDP($C15,$V$5)%)</f>
        <v/>
      </c>
      <c r="W15" s="101">
        <v>9</v>
      </c>
      <c r="X15" s="53" t="str">
        <f>IF($G15="","",IF(LEFT(AD15,1)="#","#LOADING",_xll.meLWOBondCreateFromLVB("PROXY_BOND_"&amp;$AF15,_xll.meUtilityLVBFromKeysValues($AC$6:$BA$6,$AC15:$BA15))))</f>
        <v/>
      </c>
      <c r="Y15" s="53" t="str">
        <f>IF($G15="","",_xll.meLWOSwapCreate("PROXY_ASW_"&amp;$AF15,_xll.meUtilityLVBFromKeysAndMultipleValues($BD$6:$CJ$6,$BD15:$CJ15,$CL15:$DR15)))</f>
        <v/>
      </c>
      <c r="Z15" s="53" t="str">
        <f>IF($C15="","",_xll.meLWOSwapCreate("BOND_ASW_"&amp;$GS15,_xll.meUtilityLVBFromKeysAndMultipleValues($DV$6:$FC$6,$DV15:$FC15,$FE15:$GL15)))</f>
        <v/>
      </c>
      <c r="AA15" s="53" t="str">
        <f>IF($C15="","",IF(LEFT(GQ15,1)="#","#LOADING",_xll.meLWOBondCreateFromLVB("PROXY_BOND_"&amp;$GS15,_xll.meUtilityLVBFromKeysValues($GP$6:$HO$6,$GP15:$HO15))))</f>
        <v/>
      </c>
      <c r="AB15" t="s">
        <v>0</v>
      </c>
      <c r="AC15" s="62">
        <f t="shared" si="0"/>
        <v>0</v>
      </c>
      <c r="AD15" s="63">
        <f>IF(LEFT(_xll.BDP($G15,AD$5),1)="#","#LOADING",_xll.BDP($G15,AD$5))</f>
        <v>0</v>
      </c>
      <c r="AE15" s="41">
        <f t="shared" si="1"/>
        <v>0</v>
      </c>
      <c r="AF15" s="63">
        <f>IF(LEFT(_xll.BDP($G15,AF$5),1)="#","#LOADING",_xll.BDP($G15,AF$5))</f>
        <v>0</v>
      </c>
      <c r="AG15" s="64" t="s">
        <v>20</v>
      </c>
      <c r="AH15" s="63" t="b">
        <f>IF(LEFT(_xll.BDP($G15,AH$5),1)="#","#LOADING",IF(_xll.BDP($G15,AH$5)="CLEAN",TRUE,FALSE))</f>
        <v>0</v>
      </c>
      <c r="AI15" s="64" t="s">
        <v>26</v>
      </c>
      <c r="AJ15" s="61" t="s">
        <v>18</v>
      </c>
      <c r="AK15" s="65" t="s">
        <v>28</v>
      </c>
      <c r="AL15" s="66">
        <v>1000000</v>
      </c>
      <c r="AM15" s="63" t="e">
        <f>IF(LEFT(_xll.BDP($G15,AM$5),1)="#","#LOADING",DATEVALUE(_xll.BDP($G15,AM$5)))</f>
        <v>#VALUE!</v>
      </c>
      <c r="AN15" s="63" t="e">
        <f>IF(LEFT(_xll.BDP($G15,AN$5),1)="#","#LOADING",DATEVALUE(_xll.BDP($G15,AN$5)))</f>
        <v>#VALUE!</v>
      </c>
      <c r="AO15" s="63" t="e">
        <f>IF(LEFT(_xll.BDP($G15,AO$5),1)="#","#LOADING",DATEVALUE(_xll.BDP($G15,AO$5)))</f>
        <v>#VALUE!</v>
      </c>
      <c r="AP15" s="63" t="e">
        <f>IF(LEFT(_xll.BDP($G15,AP$5),1)="#","#LOADING",DATEVALUE(_xll.BDP($G15,AP$5)))</f>
        <v>#VALUE!</v>
      </c>
      <c r="AQ15" s="63" t="e">
        <f>IF(LEFT(_xll.BDP($G15,AQ$5),1)="#","#LOADING",DATEVALUE(_xll.BDP($G15,AQ$5)))</f>
        <v>#VALUE!</v>
      </c>
      <c r="AR15" s="67">
        <f>IF(LEFT(_xll.BDP($G15,AR$5),1)="#","#LOADING",_xll.BDP($G15,AR$5)%)</f>
        <v>0</v>
      </c>
      <c r="AS15" s="67" t="str">
        <f>IF(LEFT(_xll.BDP($G15,AS$5),1)="#","#LOADING",VLOOKUP(_xll.BDP($G15,AS$5),Static.CouponFrequency,2,FALSE))</f>
        <v>ZERO-COUPON</v>
      </c>
      <c r="AT15" s="68" t="s">
        <v>51</v>
      </c>
      <c r="AU15" s="53" t="e">
        <f t="shared" si="2"/>
        <v>#N/A</v>
      </c>
      <c r="AV15" s="61" t="s">
        <v>51</v>
      </c>
      <c r="AW15" s="53" t="e">
        <f t="shared" si="3"/>
        <v>#N/A</v>
      </c>
      <c r="AX15" s="61" t="s">
        <v>62</v>
      </c>
      <c r="AY15" s="69">
        <f>IF(LEFT(_xll.BDP($G15,AY$5),1)="#","#LOADING",_xll.BDP($G15,AY$5))</f>
        <v>0</v>
      </c>
      <c r="AZ15" s="70"/>
      <c r="BA15" s="69" t="str">
        <f>IF(LEFT(_xll.BDP($G15,BA$5),1)="#","#LOADING","Type"&amp;IF(_xll.BDP($G15,BA$5)=999,1,_xll.BDP($G15,BA$5)))</f>
        <v>Type</v>
      </c>
      <c r="BB15" s="54"/>
      <c r="BD15" s="61" t="s">
        <v>7</v>
      </c>
      <c r="BE15" s="66">
        <v>1000000</v>
      </c>
      <c r="BF15" s="61" t="s">
        <v>14</v>
      </c>
      <c r="BG15" s="61" t="s">
        <v>17</v>
      </c>
      <c r="BH15" s="70"/>
      <c r="BI15" s="73" t="e">
        <f t="shared" si="4"/>
        <v>#N/A</v>
      </c>
      <c r="BJ15" s="74">
        <f t="shared" si="5"/>
        <v>0</v>
      </c>
      <c r="BK15" s="71">
        <v>1</v>
      </c>
      <c r="BL15" s="75">
        <f t="shared" si="6"/>
        <v>0</v>
      </c>
      <c r="BM15" s="61"/>
      <c r="BN15" s="61"/>
      <c r="BO15" s="72"/>
      <c r="BP15" s="72"/>
      <c r="BQ15" s="71"/>
      <c r="BR15" s="76" t="e">
        <f t="shared" si="7"/>
        <v>#VALUE!</v>
      </c>
      <c r="BS15" s="76" t="e">
        <f t="shared" si="8"/>
        <v>#VALUE!</v>
      </c>
      <c r="BT15" s="77" t="str">
        <f t="shared" si="9"/>
        <v>ZERO-COUPON</v>
      </c>
      <c r="BU15" s="77" t="str">
        <f t="shared" si="9"/>
        <v>ZERO-COUPON</v>
      </c>
      <c r="BV15" s="78">
        <f t="shared" si="10"/>
        <v>0</v>
      </c>
      <c r="BW15" s="61"/>
      <c r="BX15" s="61"/>
      <c r="BY15" s="61" t="s">
        <v>51</v>
      </c>
      <c r="BZ15" s="73" t="e">
        <f t="shared" si="11"/>
        <v>#N/A</v>
      </c>
      <c r="CA15" s="61" t="s">
        <v>51</v>
      </c>
      <c r="CB15" s="73" t="e">
        <f t="shared" si="12"/>
        <v>#N/A</v>
      </c>
      <c r="CC15" s="76" t="e">
        <f t="shared" si="13"/>
        <v>#VALUE!</v>
      </c>
      <c r="CD15" s="76" t="e">
        <f t="shared" si="14"/>
        <v>#VALUE!</v>
      </c>
      <c r="CE15" s="70" t="s">
        <v>80</v>
      </c>
      <c r="CF15" s="61"/>
      <c r="CG15" s="61"/>
      <c r="CH15" s="61" t="s">
        <v>62</v>
      </c>
      <c r="CI15" s="61"/>
      <c r="CJ15" s="76" t="str">
        <f t="shared" si="15"/>
        <v>Type</v>
      </c>
      <c r="CL15" s="61" t="s">
        <v>8</v>
      </c>
      <c r="CM15" s="66">
        <v>1000000</v>
      </c>
      <c r="CN15" s="61" t="s">
        <v>14</v>
      </c>
      <c r="CO15" s="61" t="s">
        <v>18</v>
      </c>
      <c r="CP15" s="53" t="e">
        <f t="shared" si="16"/>
        <v>#N/A</v>
      </c>
      <c r="CQ15" s="53" t="e">
        <f t="shared" si="17"/>
        <v>#N/A</v>
      </c>
      <c r="CR15" s="41">
        <f t="shared" si="18"/>
        <v>0</v>
      </c>
      <c r="CS15" s="71">
        <v>1</v>
      </c>
      <c r="CT15" s="81"/>
      <c r="CU15" s="61" t="s">
        <v>32</v>
      </c>
      <c r="CV15" s="61" t="s">
        <v>32</v>
      </c>
      <c r="CW15" s="72"/>
      <c r="CX15" s="72"/>
      <c r="CY15" s="71"/>
      <c r="CZ15" s="82" t="e">
        <f t="shared" si="19"/>
        <v>#VALUE!</v>
      </c>
      <c r="DA15" s="82" t="e">
        <f t="shared" si="20"/>
        <v>#VALUE!</v>
      </c>
      <c r="DB15" s="53">
        <f t="shared" si="21"/>
        <v>0</v>
      </c>
      <c r="DC15" s="53">
        <f t="shared" si="21"/>
        <v>0</v>
      </c>
      <c r="DD15" s="53" t="e">
        <f t="shared" si="22"/>
        <v>#N/A</v>
      </c>
      <c r="DE15" s="61" t="s">
        <v>58</v>
      </c>
      <c r="DF15" s="53" t="e">
        <f t="shared" si="23"/>
        <v>#N/A</v>
      </c>
      <c r="DG15" s="61" t="s">
        <v>51</v>
      </c>
      <c r="DH15" s="53" t="e">
        <f t="shared" si="24"/>
        <v>#N/A</v>
      </c>
      <c r="DI15" s="61" t="s">
        <v>51</v>
      </c>
      <c r="DJ15" s="53" t="e">
        <f t="shared" si="25"/>
        <v>#N/A</v>
      </c>
      <c r="DK15" s="82"/>
      <c r="DL15" s="82"/>
      <c r="DM15" s="70"/>
      <c r="DN15" s="61" t="s">
        <v>62</v>
      </c>
      <c r="DO15" s="61"/>
      <c r="DP15" s="61" t="s">
        <v>62</v>
      </c>
      <c r="DQ15" s="61" t="s">
        <v>75</v>
      </c>
      <c r="DR15" s="82"/>
      <c r="DV15" s="61" t="s">
        <v>253</v>
      </c>
      <c r="DW15" s="66">
        <v>1000000</v>
      </c>
      <c r="DX15" s="61" t="s">
        <v>14</v>
      </c>
      <c r="DY15" s="61" t="s">
        <v>17</v>
      </c>
      <c r="DZ15" s="70"/>
      <c r="EA15" s="73" t="e">
        <f t="shared" si="26"/>
        <v>#N/A</v>
      </c>
      <c r="EB15" s="74">
        <f t="shared" si="27"/>
        <v>0</v>
      </c>
      <c r="EC15" s="71">
        <v>1</v>
      </c>
      <c r="ED15" s="75">
        <f t="shared" si="28"/>
        <v>0</v>
      </c>
      <c r="EE15" s="61"/>
      <c r="EF15" s="61"/>
      <c r="EG15" s="72"/>
      <c r="EH15" s="72"/>
      <c r="EI15" s="71"/>
      <c r="EJ15" s="76" t="e">
        <f t="shared" si="29"/>
        <v>#VALUE!</v>
      </c>
      <c r="EK15" s="76" t="e">
        <f t="shared" si="30"/>
        <v>#VALUE!</v>
      </c>
      <c r="EL15" s="77" t="str">
        <f t="shared" si="31"/>
        <v>ZERO-COUPON</v>
      </c>
      <c r="EM15" s="77" t="str">
        <f t="shared" si="31"/>
        <v>ZERO-COUPON</v>
      </c>
      <c r="EN15" s="78">
        <f t="shared" si="32"/>
        <v>0</v>
      </c>
      <c r="EO15" s="61"/>
      <c r="EP15" s="61"/>
      <c r="EQ15" s="61" t="s">
        <v>51</v>
      </c>
      <c r="ER15" s="73" t="e">
        <f t="shared" si="33"/>
        <v>#N/A</v>
      </c>
      <c r="ES15" s="61" t="s">
        <v>51</v>
      </c>
      <c r="ET15" s="73" t="e">
        <f t="shared" si="34"/>
        <v>#N/A</v>
      </c>
      <c r="EU15" s="76" t="e">
        <f t="shared" si="35"/>
        <v>#VALUE!</v>
      </c>
      <c r="EV15" s="76" t="e">
        <f t="shared" si="36"/>
        <v>#VALUE!</v>
      </c>
      <c r="EW15" s="70" t="s">
        <v>80</v>
      </c>
      <c r="EX15" s="61"/>
      <c r="EY15" s="61"/>
      <c r="EZ15" s="61" t="s">
        <v>62</v>
      </c>
      <c r="FA15" s="61"/>
      <c r="FB15" s="61"/>
      <c r="FC15" s="61"/>
      <c r="FE15" s="61" t="s">
        <v>254</v>
      </c>
      <c r="FF15" s="66">
        <v>1000000</v>
      </c>
      <c r="FG15" s="61" t="s">
        <v>14</v>
      </c>
      <c r="FH15" s="61" t="s">
        <v>18</v>
      </c>
      <c r="FI15" s="73" t="e">
        <f t="shared" si="37"/>
        <v>#N/A</v>
      </c>
      <c r="FJ15" s="73" t="e">
        <f t="shared" si="38"/>
        <v>#N/A</v>
      </c>
      <c r="FK15" s="41">
        <f t="shared" si="39"/>
        <v>0</v>
      </c>
      <c r="FL15" s="71">
        <v>1</v>
      </c>
      <c r="FM15" s="81"/>
      <c r="FN15" s="61" t="s">
        <v>32</v>
      </c>
      <c r="FO15" s="61" t="s">
        <v>32</v>
      </c>
      <c r="FP15" s="72"/>
      <c r="FQ15" s="72"/>
      <c r="FR15" s="71"/>
      <c r="FS15" s="76" t="e">
        <f t="shared" si="40"/>
        <v>#VALUE!</v>
      </c>
      <c r="FT15" s="76" t="e">
        <f t="shared" si="41"/>
        <v>#VALUE!</v>
      </c>
      <c r="FU15" s="73">
        <f t="shared" si="42"/>
        <v>0</v>
      </c>
      <c r="FV15" s="73">
        <f t="shared" si="42"/>
        <v>0</v>
      </c>
      <c r="FW15" s="73" t="e">
        <f t="shared" si="43"/>
        <v>#N/A</v>
      </c>
      <c r="FX15" s="61" t="s">
        <v>58</v>
      </c>
      <c r="FY15" s="73" t="e">
        <f t="shared" si="44"/>
        <v>#N/A</v>
      </c>
      <c r="FZ15" s="61" t="s">
        <v>51</v>
      </c>
      <c r="GA15" s="73" t="e">
        <f t="shared" si="45"/>
        <v>#N/A</v>
      </c>
      <c r="GB15" s="61" t="s">
        <v>51</v>
      </c>
      <c r="GC15" s="73" t="e">
        <f t="shared" si="46"/>
        <v>#N/A</v>
      </c>
      <c r="GD15" s="82"/>
      <c r="GE15" s="82"/>
      <c r="GF15" s="70"/>
      <c r="GG15" s="61" t="s">
        <v>62</v>
      </c>
      <c r="GH15" s="61"/>
      <c r="GI15" s="61" t="s">
        <v>62</v>
      </c>
      <c r="GJ15" s="61" t="s">
        <v>75</v>
      </c>
      <c r="GK15" s="286">
        <f t="shared" si="54"/>
        <v>0</v>
      </c>
      <c r="GL15" s="82" t="str">
        <f t="shared" si="55"/>
        <v>Type</v>
      </c>
      <c r="GP15" s="95">
        <f t="shared" si="47"/>
        <v>0</v>
      </c>
      <c r="GQ15" s="42">
        <f>IF(LEFT(_xll.BDP($C15,GQ$5),1)="#","#LOADING",_xll.BDP($C15,GQ$5))</f>
        <v>0</v>
      </c>
      <c r="GR15" s="74">
        <f t="shared" si="48"/>
        <v>0</v>
      </c>
      <c r="GS15" s="74" t="e">
        <f t="shared" si="49"/>
        <v>#VALUE!</v>
      </c>
      <c r="GT15" s="64" t="s">
        <v>20</v>
      </c>
      <c r="GU15" s="42" t="b">
        <f>IF(LEFT(_xll.BDP($C15,GU$5),1)="#","#LOADING",IF(_xll.BDP($C15,GU$5)="CLEAN",TRUE,FALSE))</f>
        <v>0</v>
      </c>
      <c r="GV15" s="64" t="s">
        <v>26</v>
      </c>
      <c r="GW15" s="61" t="s">
        <v>18</v>
      </c>
      <c r="GX15" s="65" t="s">
        <v>28</v>
      </c>
      <c r="GY15" s="66">
        <v>1000000</v>
      </c>
      <c r="GZ15" s="96" t="e">
        <f>IF(LEFT(_xll.BDP($C15,GZ$5),1)="#","#LOADING",DATEVALUE(_xll.BDP($C15,GZ$5)))</f>
        <v>#VALUE!</v>
      </c>
      <c r="HA15" s="96" t="e">
        <f>IF(LEFT(_xll.BDP($C15,HA$5),1)="#","#LOADING",DATEVALUE(_xll.BDP($C15,HA$5)))</f>
        <v>#VALUE!</v>
      </c>
      <c r="HB15" s="96" t="e">
        <f>IF(LEFT(_xll.BDP($C15,HB$5),1)="#","#LOADING",DATEVALUE(_xll.BDP($C15,HB$5)))</f>
        <v>#VALUE!</v>
      </c>
      <c r="HC15" s="96" t="e">
        <f>IF(LEFT(_xll.BDP($C15,HC$5),1)="#","#LOADING",DATEVALUE(_xll.BDP($C15,HC$5)))</f>
        <v>#VALUE!</v>
      </c>
      <c r="HD15" s="96" t="e">
        <f>IF(LEFT(_xll.BDP($C15,HD$5),1)="#","#LOADING",DATEVALUE(_xll.BDP($C15,HD$5)))</f>
        <v>#VALUE!</v>
      </c>
      <c r="HE15" s="97">
        <f>IF(LEFT(_xll.BDP($C15,HE$5),1)="#","#LOADING",_xll.BDP($C15,HE$5)%)</f>
        <v>0</v>
      </c>
      <c r="HF15" s="97" t="str">
        <f>IF(LEFT(_xll.BDP($C15,HF$5),1)="#","#LOADING",VLOOKUP(_xll.BDP($C15,HF$5),Static.CouponFrequency,2,FALSE))</f>
        <v>ZERO-COUPON</v>
      </c>
      <c r="HG15" s="68" t="s">
        <v>51</v>
      </c>
      <c r="HH15" s="73" t="e">
        <f t="shared" si="50"/>
        <v>#N/A</v>
      </c>
      <c r="HI15" s="61" t="s">
        <v>51</v>
      </c>
      <c r="HJ15" s="73" t="e">
        <f t="shared" si="51"/>
        <v>#N/A</v>
      </c>
      <c r="HK15" s="61" t="s">
        <v>62</v>
      </c>
      <c r="HL15" s="43">
        <f>IF(LEFT(_xll.BDP($C15,HL$5),1)="#","#LOADING",_xll.BDP($C15,HL$5))</f>
        <v>0</v>
      </c>
      <c r="HM15" s="70"/>
      <c r="HN15" s="280">
        <f>IF(LEFT(_xll.BDP($C15,HN$5),1)="#","#LOADING",_xll.BDP($C15,HN$5))</f>
        <v>0</v>
      </c>
      <c r="HO15" s="43" t="str">
        <f>IF(LEFT(_xll.BDP($C15,HO$5),1)="#","#LOADING","Type"&amp;IF(_xll.BDP($C15,HO$5)=999,1,_xll.BDP($C15,HO$5)))</f>
        <v>Type</v>
      </c>
    </row>
    <row r="16" spans="1:224">
      <c r="A16" s="101">
        <v>10</v>
      </c>
      <c r="B16" s="57"/>
      <c r="C16" s="57"/>
      <c r="D16" s="57"/>
      <c r="E16" s="57"/>
      <c r="F16" s="57"/>
      <c r="G16" s="57"/>
      <c r="H16" s="57"/>
      <c r="I16" s="57"/>
      <c r="J16" s="101">
        <v>10</v>
      </c>
      <c r="K16" s="58" t="s">
        <v>163</v>
      </c>
      <c r="L16" s="59" t="str">
        <f>IF(ISBLANK(M16),IF($G16="","",_xll.BDP(G16&amp;" "&amp;$K16&amp;" Corp","PX_LAST")),M16)</f>
        <v/>
      </c>
      <c r="M16" s="60"/>
      <c r="N16" s="83" t="str">
        <f ca="1">IF(ISBLANK($O16),IF($G16="","",_xll.meLWOAssetSwapSpread($Y16,$X16,$L16,INDIRECT("ValuationSettings"&amp;$CR16),INDIRECT("Fixings"&amp;$CR16&amp;IF($I16="QUARTERLY","3ML","6ML")))),$O16)</f>
        <v/>
      </c>
      <c r="O16" s="60"/>
      <c r="P16" s="84" t="str">
        <f ca="1">IF($C16="","",_xll.meLWOAssetSwapSpreadToCleanPrice($Z16,$N16,INDIRECT("ValuationSettings"&amp;$D16),INDIRECT("Fixings"&amp;$EB16&amp;IF($E16="QUARTERLY","3ML","6ML"))))</f>
        <v/>
      </c>
      <c r="Q16" s="84" t="str">
        <f>IF($C16="","",_xll.meLWOBondPriceFromCleanToDirty($AA16,_xll.meUtilityLVBFromKeysValues($S$6:$T$6,S16:T16),$P16))</f>
        <v/>
      </c>
      <c r="R16" s="98" t="str">
        <f>IF($C16="","",_xll.meLWOBondYield($AA16,_xll.meUtilityLVBFromKeysValues($S$6:$V$6,S16:V16),IF($GU16,$P16,$Q16)))</f>
        <v/>
      </c>
      <c r="S16" s="127" t="str">
        <f t="shared" ca="1" si="52"/>
        <v/>
      </c>
      <c r="T16" s="98" t="str">
        <f t="shared" si="53"/>
        <v/>
      </c>
      <c r="U16" s="98" t="str">
        <f>IF($C16="","",_xll.BDP($C16,$U$5)%)</f>
        <v/>
      </c>
      <c r="V16" s="274" t="str">
        <f>IF($C16="","",_xll.BDP($C16,$V$5)%)</f>
        <v/>
      </c>
      <c r="W16" s="101">
        <v>10</v>
      </c>
      <c r="X16" s="53" t="str">
        <f>IF($G16="","",IF(LEFT(AD16,1)="#","#LOADING",_xll.meLWOBondCreateFromLVB("PROXY_BOND_"&amp;$AF16,_xll.meUtilityLVBFromKeysValues($AC$6:$BA$6,$AC16:$BA16))))</f>
        <v/>
      </c>
      <c r="Y16" s="53" t="str">
        <f>IF($G16="","",_xll.meLWOSwapCreate("PROXY_ASW_"&amp;$AF16,_xll.meUtilityLVBFromKeysAndMultipleValues($BD$6:$CJ$6,$BD16:$CJ16,$CL16:$DR16)))</f>
        <v/>
      </c>
      <c r="Z16" s="53" t="str">
        <f>IF($C16="","",_xll.meLWOSwapCreate("BOND_ASW_"&amp;$GS16,_xll.meUtilityLVBFromKeysAndMultipleValues($DV$6:$FC$6,$DV16:$FC16,$FE16:$GL16)))</f>
        <v/>
      </c>
      <c r="AA16" s="53" t="str">
        <f>IF($C16="","",IF(LEFT(GQ16,1)="#","#LOADING",_xll.meLWOBondCreateFromLVB("PROXY_BOND_"&amp;$GS16,_xll.meUtilityLVBFromKeysValues($GP$6:$HO$6,$GP16:$HO16))))</f>
        <v/>
      </c>
      <c r="AB16" t="s">
        <v>0</v>
      </c>
      <c r="AC16" s="62">
        <f t="shared" si="0"/>
        <v>0</v>
      </c>
      <c r="AD16" s="63">
        <f>IF(LEFT(_xll.BDP($G16,AD$5),1)="#","#LOADING",_xll.BDP($G16,AD$5))</f>
        <v>0</v>
      </c>
      <c r="AE16" s="41">
        <f t="shared" si="1"/>
        <v>0</v>
      </c>
      <c r="AF16" s="63">
        <f>IF(LEFT(_xll.BDP($G16,AF$5),1)="#","#LOADING",_xll.BDP($G16,AF$5))</f>
        <v>0</v>
      </c>
      <c r="AG16" s="64" t="s">
        <v>20</v>
      </c>
      <c r="AH16" s="63" t="b">
        <f>IF(LEFT(_xll.BDP($G16,AH$5),1)="#","#LOADING",IF(_xll.BDP($G16,AH$5)="CLEAN",TRUE,FALSE))</f>
        <v>0</v>
      </c>
      <c r="AI16" s="64" t="s">
        <v>26</v>
      </c>
      <c r="AJ16" s="61" t="s">
        <v>18</v>
      </c>
      <c r="AK16" s="65" t="s">
        <v>28</v>
      </c>
      <c r="AL16" s="66">
        <v>1000000</v>
      </c>
      <c r="AM16" s="63" t="e">
        <f>IF(LEFT(_xll.BDP($G16,AM$5),1)="#","#LOADING",DATEVALUE(_xll.BDP($G16,AM$5)))</f>
        <v>#VALUE!</v>
      </c>
      <c r="AN16" s="63" t="e">
        <f>IF(LEFT(_xll.BDP($G16,AN$5),1)="#","#LOADING",DATEVALUE(_xll.BDP($G16,AN$5)))</f>
        <v>#VALUE!</v>
      </c>
      <c r="AO16" s="63" t="e">
        <f>IF(LEFT(_xll.BDP($G16,AO$5),1)="#","#LOADING",DATEVALUE(_xll.BDP($G16,AO$5)))</f>
        <v>#VALUE!</v>
      </c>
      <c r="AP16" s="63" t="e">
        <f>IF(LEFT(_xll.BDP($G16,AP$5),1)="#","#LOADING",DATEVALUE(_xll.BDP($G16,AP$5)))</f>
        <v>#VALUE!</v>
      </c>
      <c r="AQ16" s="63" t="e">
        <f>IF(LEFT(_xll.BDP($G16,AQ$5),1)="#","#LOADING",DATEVALUE(_xll.BDP($G16,AQ$5)))</f>
        <v>#VALUE!</v>
      </c>
      <c r="AR16" s="67">
        <f>IF(LEFT(_xll.BDP($G16,AR$5),1)="#","#LOADING",_xll.BDP($G16,AR$5)%)</f>
        <v>0</v>
      </c>
      <c r="AS16" s="67" t="str">
        <f>IF(LEFT(_xll.BDP($G16,AS$5),1)="#","#LOADING",VLOOKUP(_xll.BDP($G16,AS$5),Static.CouponFrequency,2,FALSE))</f>
        <v>ZERO-COUPON</v>
      </c>
      <c r="AT16" s="68" t="s">
        <v>51</v>
      </c>
      <c r="AU16" s="53" t="e">
        <f t="shared" si="2"/>
        <v>#N/A</v>
      </c>
      <c r="AV16" s="61" t="s">
        <v>51</v>
      </c>
      <c r="AW16" s="53" t="e">
        <f t="shared" si="3"/>
        <v>#N/A</v>
      </c>
      <c r="AX16" s="61" t="s">
        <v>62</v>
      </c>
      <c r="AY16" s="69">
        <f>IF(LEFT(_xll.BDP($G16,AY$5),1)="#","#LOADING",_xll.BDP($G16,AY$5))</f>
        <v>0</v>
      </c>
      <c r="AZ16" s="70"/>
      <c r="BA16" s="69" t="str">
        <f>IF(LEFT(_xll.BDP($G16,BA$5),1)="#","#LOADING","Type"&amp;IF(_xll.BDP($G16,BA$5)=999,1,_xll.BDP($G16,BA$5)))</f>
        <v>Type</v>
      </c>
      <c r="BB16" s="54"/>
      <c r="BD16" s="61" t="s">
        <v>7</v>
      </c>
      <c r="BE16" s="66">
        <v>1000000</v>
      </c>
      <c r="BF16" s="61" t="s">
        <v>14</v>
      </c>
      <c r="BG16" s="61" t="s">
        <v>17</v>
      </c>
      <c r="BH16" s="70"/>
      <c r="BI16" s="73" t="e">
        <f t="shared" si="4"/>
        <v>#N/A</v>
      </c>
      <c r="BJ16" s="74">
        <f t="shared" si="5"/>
        <v>0</v>
      </c>
      <c r="BK16" s="71">
        <v>1</v>
      </c>
      <c r="BL16" s="75">
        <f t="shared" si="6"/>
        <v>0</v>
      </c>
      <c r="BM16" s="61"/>
      <c r="BN16" s="61"/>
      <c r="BO16" s="72"/>
      <c r="BP16" s="72"/>
      <c r="BQ16" s="71"/>
      <c r="BR16" s="76" t="e">
        <f t="shared" si="7"/>
        <v>#VALUE!</v>
      </c>
      <c r="BS16" s="76" t="e">
        <f t="shared" si="8"/>
        <v>#VALUE!</v>
      </c>
      <c r="BT16" s="77" t="str">
        <f t="shared" si="9"/>
        <v>ZERO-COUPON</v>
      </c>
      <c r="BU16" s="77" t="str">
        <f t="shared" si="9"/>
        <v>ZERO-COUPON</v>
      </c>
      <c r="BV16" s="78">
        <f t="shared" si="10"/>
        <v>0</v>
      </c>
      <c r="BW16" s="61"/>
      <c r="BX16" s="61"/>
      <c r="BY16" s="61" t="s">
        <v>51</v>
      </c>
      <c r="BZ16" s="73" t="e">
        <f t="shared" si="11"/>
        <v>#N/A</v>
      </c>
      <c r="CA16" s="61" t="s">
        <v>51</v>
      </c>
      <c r="CB16" s="73" t="e">
        <f t="shared" si="12"/>
        <v>#N/A</v>
      </c>
      <c r="CC16" s="76" t="e">
        <f t="shared" si="13"/>
        <v>#VALUE!</v>
      </c>
      <c r="CD16" s="76" t="e">
        <f t="shared" si="14"/>
        <v>#VALUE!</v>
      </c>
      <c r="CE16" s="70" t="s">
        <v>80</v>
      </c>
      <c r="CF16" s="61"/>
      <c r="CG16" s="61"/>
      <c r="CH16" s="61" t="s">
        <v>62</v>
      </c>
      <c r="CI16" s="61"/>
      <c r="CJ16" s="76" t="str">
        <f t="shared" si="15"/>
        <v>Type</v>
      </c>
      <c r="CL16" s="61" t="s">
        <v>8</v>
      </c>
      <c r="CM16" s="66">
        <v>1000000</v>
      </c>
      <c r="CN16" s="61" t="s">
        <v>14</v>
      </c>
      <c r="CO16" s="61" t="s">
        <v>18</v>
      </c>
      <c r="CP16" s="53" t="e">
        <f t="shared" si="16"/>
        <v>#N/A</v>
      </c>
      <c r="CQ16" s="53" t="e">
        <f t="shared" si="17"/>
        <v>#N/A</v>
      </c>
      <c r="CR16" s="41">
        <f t="shared" si="18"/>
        <v>0</v>
      </c>
      <c r="CS16" s="71">
        <v>1</v>
      </c>
      <c r="CT16" s="81"/>
      <c r="CU16" s="61" t="s">
        <v>32</v>
      </c>
      <c r="CV16" s="61" t="s">
        <v>32</v>
      </c>
      <c r="CW16" s="72"/>
      <c r="CX16" s="72"/>
      <c r="CY16" s="71"/>
      <c r="CZ16" s="82" t="e">
        <f t="shared" si="19"/>
        <v>#VALUE!</v>
      </c>
      <c r="DA16" s="82" t="e">
        <f t="shared" si="20"/>
        <v>#VALUE!</v>
      </c>
      <c r="DB16" s="53">
        <f t="shared" si="21"/>
        <v>0</v>
      </c>
      <c r="DC16" s="53">
        <f t="shared" si="21"/>
        <v>0</v>
      </c>
      <c r="DD16" s="53" t="e">
        <f t="shared" si="22"/>
        <v>#N/A</v>
      </c>
      <c r="DE16" s="61" t="s">
        <v>58</v>
      </c>
      <c r="DF16" s="53" t="e">
        <f t="shared" si="23"/>
        <v>#N/A</v>
      </c>
      <c r="DG16" s="61" t="s">
        <v>51</v>
      </c>
      <c r="DH16" s="53" t="e">
        <f t="shared" si="24"/>
        <v>#N/A</v>
      </c>
      <c r="DI16" s="61" t="s">
        <v>51</v>
      </c>
      <c r="DJ16" s="53" t="e">
        <f t="shared" si="25"/>
        <v>#N/A</v>
      </c>
      <c r="DK16" s="82"/>
      <c r="DL16" s="82"/>
      <c r="DM16" s="70"/>
      <c r="DN16" s="61" t="s">
        <v>62</v>
      </c>
      <c r="DO16" s="61"/>
      <c r="DP16" s="61" t="s">
        <v>62</v>
      </c>
      <c r="DQ16" s="61" t="s">
        <v>75</v>
      </c>
      <c r="DR16" s="82"/>
      <c r="DV16" s="61" t="s">
        <v>253</v>
      </c>
      <c r="DW16" s="66">
        <v>1000000</v>
      </c>
      <c r="DX16" s="61" t="s">
        <v>14</v>
      </c>
      <c r="DY16" s="61" t="s">
        <v>17</v>
      </c>
      <c r="DZ16" s="70"/>
      <c r="EA16" s="73" t="e">
        <f t="shared" si="26"/>
        <v>#N/A</v>
      </c>
      <c r="EB16" s="74">
        <f t="shared" si="27"/>
        <v>0</v>
      </c>
      <c r="EC16" s="71">
        <v>1</v>
      </c>
      <c r="ED16" s="75">
        <f t="shared" si="28"/>
        <v>0</v>
      </c>
      <c r="EE16" s="61"/>
      <c r="EF16" s="61"/>
      <c r="EG16" s="72"/>
      <c r="EH16" s="72"/>
      <c r="EI16" s="71"/>
      <c r="EJ16" s="76" t="e">
        <f t="shared" si="29"/>
        <v>#VALUE!</v>
      </c>
      <c r="EK16" s="76" t="e">
        <f t="shared" si="30"/>
        <v>#VALUE!</v>
      </c>
      <c r="EL16" s="77" t="str">
        <f t="shared" si="31"/>
        <v>ZERO-COUPON</v>
      </c>
      <c r="EM16" s="77" t="str">
        <f t="shared" si="31"/>
        <v>ZERO-COUPON</v>
      </c>
      <c r="EN16" s="78">
        <f t="shared" si="32"/>
        <v>0</v>
      </c>
      <c r="EO16" s="61"/>
      <c r="EP16" s="61"/>
      <c r="EQ16" s="61" t="s">
        <v>51</v>
      </c>
      <c r="ER16" s="73" t="e">
        <f t="shared" si="33"/>
        <v>#N/A</v>
      </c>
      <c r="ES16" s="61" t="s">
        <v>51</v>
      </c>
      <c r="ET16" s="73" t="e">
        <f t="shared" si="34"/>
        <v>#N/A</v>
      </c>
      <c r="EU16" s="76" t="e">
        <f t="shared" si="35"/>
        <v>#VALUE!</v>
      </c>
      <c r="EV16" s="76" t="e">
        <f t="shared" si="36"/>
        <v>#VALUE!</v>
      </c>
      <c r="EW16" s="70" t="s">
        <v>80</v>
      </c>
      <c r="EX16" s="61"/>
      <c r="EY16" s="61"/>
      <c r="EZ16" s="61" t="s">
        <v>62</v>
      </c>
      <c r="FA16" s="61"/>
      <c r="FB16" s="61"/>
      <c r="FC16" s="61"/>
      <c r="FE16" s="61" t="s">
        <v>254</v>
      </c>
      <c r="FF16" s="66">
        <v>1000000</v>
      </c>
      <c r="FG16" s="61" t="s">
        <v>14</v>
      </c>
      <c r="FH16" s="61" t="s">
        <v>18</v>
      </c>
      <c r="FI16" s="73" t="e">
        <f t="shared" si="37"/>
        <v>#N/A</v>
      </c>
      <c r="FJ16" s="73" t="e">
        <f t="shared" si="38"/>
        <v>#N/A</v>
      </c>
      <c r="FK16" s="41">
        <f t="shared" si="39"/>
        <v>0</v>
      </c>
      <c r="FL16" s="71">
        <v>1</v>
      </c>
      <c r="FM16" s="81"/>
      <c r="FN16" s="61" t="s">
        <v>32</v>
      </c>
      <c r="FO16" s="61" t="s">
        <v>32</v>
      </c>
      <c r="FP16" s="72"/>
      <c r="FQ16" s="72"/>
      <c r="FR16" s="71"/>
      <c r="FS16" s="76" t="e">
        <f t="shared" si="40"/>
        <v>#VALUE!</v>
      </c>
      <c r="FT16" s="76" t="e">
        <f t="shared" si="41"/>
        <v>#VALUE!</v>
      </c>
      <c r="FU16" s="73">
        <f t="shared" si="42"/>
        <v>0</v>
      </c>
      <c r="FV16" s="73">
        <f t="shared" si="42"/>
        <v>0</v>
      </c>
      <c r="FW16" s="73" t="e">
        <f t="shared" si="43"/>
        <v>#N/A</v>
      </c>
      <c r="FX16" s="61" t="s">
        <v>58</v>
      </c>
      <c r="FY16" s="73" t="e">
        <f t="shared" si="44"/>
        <v>#N/A</v>
      </c>
      <c r="FZ16" s="61" t="s">
        <v>51</v>
      </c>
      <c r="GA16" s="73" t="e">
        <f t="shared" si="45"/>
        <v>#N/A</v>
      </c>
      <c r="GB16" s="61" t="s">
        <v>51</v>
      </c>
      <c r="GC16" s="73" t="e">
        <f t="shared" si="46"/>
        <v>#N/A</v>
      </c>
      <c r="GD16" s="82"/>
      <c r="GE16" s="82"/>
      <c r="GF16" s="70"/>
      <c r="GG16" s="61" t="s">
        <v>62</v>
      </c>
      <c r="GH16" s="61"/>
      <c r="GI16" s="61" t="s">
        <v>62</v>
      </c>
      <c r="GJ16" s="61" t="s">
        <v>75</v>
      </c>
      <c r="GK16" s="286">
        <f t="shared" si="54"/>
        <v>0</v>
      </c>
      <c r="GL16" s="82" t="str">
        <f t="shared" si="55"/>
        <v>Type</v>
      </c>
      <c r="GP16" s="95">
        <f t="shared" si="47"/>
        <v>0</v>
      </c>
      <c r="GQ16" s="42">
        <f>IF(LEFT(_xll.BDP($C16,GQ$5),1)="#","#LOADING",_xll.BDP($C16,GQ$5))</f>
        <v>0</v>
      </c>
      <c r="GR16" s="74">
        <f t="shared" si="48"/>
        <v>0</v>
      </c>
      <c r="GS16" s="74" t="e">
        <f t="shared" si="49"/>
        <v>#VALUE!</v>
      </c>
      <c r="GT16" s="64" t="s">
        <v>20</v>
      </c>
      <c r="GU16" s="42" t="b">
        <f>IF(LEFT(_xll.BDP($C16,GU$5),1)="#","#LOADING",IF(_xll.BDP($C16,GU$5)="CLEAN",TRUE,FALSE))</f>
        <v>0</v>
      </c>
      <c r="GV16" s="64" t="s">
        <v>26</v>
      </c>
      <c r="GW16" s="61" t="s">
        <v>18</v>
      </c>
      <c r="GX16" s="65" t="s">
        <v>28</v>
      </c>
      <c r="GY16" s="66">
        <v>1000000</v>
      </c>
      <c r="GZ16" s="96" t="e">
        <f>IF(LEFT(_xll.BDP($C16,GZ$5),1)="#","#LOADING",DATEVALUE(_xll.BDP($C16,GZ$5)))</f>
        <v>#VALUE!</v>
      </c>
      <c r="HA16" s="96" t="e">
        <f>IF(LEFT(_xll.BDP($C16,HA$5),1)="#","#LOADING",DATEVALUE(_xll.BDP($C16,HA$5)))</f>
        <v>#VALUE!</v>
      </c>
      <c r="HB16" s="96" t="e">
        <f>IF(LEFT(_xll.BDP($C16,HB$5),1)="#","#LOADING",DATEVALUE(_xll.BDP($C16,HB$5)))</f>
        <v>#VALUE!</v>
      </c>
      <c r="HC16" s="96" t="e">
        <f>IF(LEFT(_xll.BDP($C16,HC$5),1)="#","#LOADING",DATEVALUE(_xll.BDP($C16,HC$5)))</f>
        <v>#VALUE!</v>
      </c>
      <c r="HD16" s="96" t="e">
        <f>IF(LEFT(_xll.BDP($C16,HD$5),1)="#","#LOADING",DATEVALUE(_xll.BDP($C16,HD$5)))</f>
        <v>#VALUE!</v>
      </c>
      <c r="HE16" s="97">
        <f>IF(LEFT(_xll.BDP($C16,HE$5),1)="#","#LOADING",_xll.BDP($C16,HE$5)%)</f>
        <v>0</v>
      </c>
      <c r="HF16" s="97" t="str">
        <f>IF(LEFT(_xll.BDP($C16,HF$5),1)="#","#LOADING",VLOOKUP(_xll.BDP($C16,HF$5),Static.CouponFrequency,2,FALSE))</f>
        <v>ZERO-COUPON</v>
      </c>
      <c r="HG16" s="68" t="s">
        <v>51</v>
      </c>
      <c r="HH16" s="73" t="e">
        <f t="shared" si="50"/>
        <v>#N/A</v>
      </c>
      <c r="HI16" s="61" t="s">
        <v>51</v>
      </c>
      <c r="HJ16" s="73" t="e">
        <f t="shared" si="51"/>
        <v>#N/A</v>
      </c>
      <c r="HK16" s="61" t="s">
        <v>62</v>
      </c>
      <c r="HL16" s="43">
        <f>IF(LEFT(_xll.BDP($C16,HL$5),1)="#","#LOADING",_xll.BDP($C16,HL$5))</f>
        <v>0</v>
      </c>
      <c r="HM16" s="70"/>
      <c r="HN16" s="280">
        <f>IF(LEFT(_xll.BDP($C16,HN$5),1)="#","#LOADING",_xll.BDP($C16,HN$5))</f>
        <v>0</v>
      </c>
      <c r="HO16" s="43" t="str">
        <f>IF(LEFT(_xll.BDP($C16,HO$5),1)="#","#LOADING","Type"&amp;IF(_xll.BDP($C16,HO$5)=999,1,_xll.BDP($C16,HO$5)))</f>
        <v>Type</v>
      </c>
    </row>
    <row r="17" spans="1:223">
      <c r="A17" s="101">
        <v>11</v>
      </c>
      <c r="B17" s="57"/>
      <c r="C17" s="57"/>
      <c r="D17" s="57"/>
      <c r="E17" s="57"/>
      <c r="F17" s="57"/>
      <c r="G17" s="57"/>
      <c r="H17" s="57"/>
      <c r="I17" s="57"/>
      <c r="J17" s="101">
        <v>11</v>
      </c>
      <c r="K17" s="58" t="s">
        <v>163</v>
      </c>
      <c r="L17" s="59" t="str">
        <f>IF(ISBLANK(M17),IF($G17="","",_xll.BDP(G17&amp;" "&amp;$K17&amp;" Corp","PX_LAST")),M17)</f>
        <v/>
      </c>
      <c r="M17" s="60"/>
      <c r="N17" s="83" t="str">
        <f ca="1">IF(ISBLANK($O17),IF($G17="","",_xll.meLWOAssetSwapSpread($Y17,$X17,$L17,INDIRECT("ValuationSettings"&amp;$CR17),INDIRECT("Fixings"&amp;$CR17&amp;IF($I17="QUARTERLY","3ML","6ML")))),$O17)</f>
        <v/>
      </c>
      <c r="O17" s="60"/>
      <c r="P17" s="84" t="str">
        <f ca="1">IF($C17="","",_xll.meLWOAssetSwapSpreadToCleanPrice($Z17,$N17,INDIRECT("ValuationSettings"&amp;$D17),INDIRECT("Fixings"&amp;$EB17&amp;IF($E17="QUARTERLY","3ML","6ML"))))</f>
        <v/>
      </c>
      <c r="Q17" s="84" t="str">
        <f>IF($C17="","",_xll.meLWOBondPriceFromCleanToDirty($AA17,_xll.meUtilityLVBFromKeysValues($S$6:$T$6,S17:T17),$P17))</f>
        <v/>
      </c>
      <c r="R17" s="98" t="str">
        <f>IF($C17="","",_xll.meLWOBondYield($AA17,_xll.meUtilityLVBFromKeysValues($S$6:$V$6,S17:V17),IF($GU17,$P17,$Q17)))</f>
        <v/>
      </c>
      <c r="S17" s="127" t="str">
        <f t="shared" ca="1" si="52"/>
        <v/>
      </c>
      <c r="T17" s="98" t="str">
        <f t="shared" si="53"/>
        <v/>
      </c>
      <c r="U17" s="98" t="str">
        <f>IF($C17="","",_xll.BDP($C17,$U$5)%)</f>
        <v/>
      </c>
      <c r="V17" s="274" t="str">
        <f>IF($C17="","",_xll.BDP($C17,$V$5)%)</f>
        <v/>
      </c>
      <c r="W17" s="101">
        <v>11</v>
      </c>
      <c r="X17" s="53" t="str">
        <f>IF($G17="","",IF(LEFT(AD17,1)="#","#LOADING",_xll.meLWOBondCreateFromLVB("PROXY_BOND_"&amp;$AF17,_xll.meUtilityLVBFromKeysValues($AC$6:$BA$6,$AC17:$BA17))))</f>
        <v/>
      </c>
      <c r="Y17" s="53" t="str">
        <f>IF($G17="","",_xll.meLWOSwapCreate("PROXY_ASW_"&amp;$AF17,_xll.meUtilityLVBFromKeysAndMultipleValues($BD$6:$CJ$6,$BD17:$CJ17,$CL17:$DR17)))</f>
        <v/>
      </c>
      <c r="Z17" s="53" t="str">
        <f>IF($C17="","",_xll.meLWOSwapCreate("BOND_ASW_"&amp;$GS17,_xll.meUtilityLVBFromKeysAndMultipleValues($DV$6:$FC$6,$DV17:$FC17,$FE17:$GL17)))</f>
        <v/>
      </c>
      <c r="AA17" s="53" t="str">
        <f>IF($C17="","",IF(LEFT(GQ17,1)="#","#LOADING",_xll.meLWOBondCreateFromLVB("PROXY_BOND_"&amp;$GS17,_xll.meUtilityLVBFromKeysValues($GP$6:$HO$6,$GP17:$HO17))))</f>
        <v/>
      </c>
      <c r="AB17" t="s">
        <v>0</v>
      </c>
      <c r="AC17" s="62">
        <f t="shared" si="0"/>
        <v>0</v>
      </c>
      <c r="AD17" s="63">
        <f>IF(LEFT(_xll.BDP($G17,AD$5),1)="#","#LOADING",_xll.BDP($G17,AD$5))</f>
        <v>0</v>
      </c>
      <c r="AE17" s="41">
        <f t="shared" si="1"/>
        <v>0</v>
      </c>
      <c r="AF17" s="63">
        <f>IF(LEFT(_xll.BDP($G17,AF$5),1)="#","#LOADING",_xll.BDP($G17,AF$5))</f>
        <v>0</v>
      </c>
      <c r="AG17" s="64" t="s">
        <v>20</v>
      </c>
      <c r="AH17" s="63" t="b">
        <f>IF(LEFT(_xll.BDP($G17,AH$5),1)="#","#LOADING",IF(_xll.BDP($G17,AH$5)="CLEAN",TRUE,FALSE))</f>
        <v>0</v>
      </c>
      <c r="AI17" s="64" t="s">
        <v>26</v>
      </c>
      <c r="AJ17" s="61" t="s">
        <v>18</v>
      </c>
      <c r="AK17" s="65" t="s">
        <v>28</v>
      </c>
      <c r="AL17" s="66">
        <v>1000000</v>
      </c>
      <c r="AM17" s="63" t="e">
        <f>IF(LEFT(_xll.BDP($G17,AM$5),1)="#","#LOADING",DATEVALUE(_xll.BDP($G17,AM$5)))</f>
        <v>#VALUE!</v>
      </c>
      <c r="AN17" s="63" t="e">
        <f>IF(LEFT(_xll.BDP($G17,AN$5),1)="#","#LOADING",DATEVALUE(_xll.BDP($G17,AN$5)))</f>
        <v>#VALUE!</v>
      </c>
      <c r="AO17" s="63" t="e">
        <f>IF(LEFT(_xll.BDP($G17,AO$5),1)="#","#LOADING",DATEVALUE(_xll.BDP($G17,AO$5)))</f>
        <v>#VALUE!</v>
      </c>
      <c r="AP17" s="63" t="e">
        <f>IF(LEFT(_xll.BDP($G17,AP$5),1)="#","#LOADING",DATEVALUE(_xll.BDP($G17,AP$5)))</f>
        <v>#VALUE!</v>
      </c>
      <c r="AQ17" s="63" t="e">
        <f>IF(LEFT(_xll.BDP($G17,AQ$5),1)="#","#LOADING",DATEVALUE(_xll.BDP($G17,AQ$5)))</f>
        <v>#VALUE!</v>
      </c>
      <c r="AR17" s="67">
        <f>IF(LEFT(_xll.BDP($G17,AR$5),1)="#","#LOADING",_xll.BDP($G17,AR$5)%)</f>
        <v>0</v>
      </c>
      <c r="AS17" s="67" t="str">
        <f>IF(LEFT(_xll.BDP($G17,AS$5),1)="#","#LOADING",VLOOKUP(_xll.BDP($G17,AS$5),Static.CouponFrequency,2,FALSE))</f>
        <v>ZERO-COUPON</v>
      </c>
      <c r="AT17" s="68" t="s">
        <v>51</v>
      </c>
      <c r="AU17" s="53" t="e">
        <f t="shared" si="2"/>
        <v>#N/A</v>
      </c>
      <c r="AV17" s="61" t="s">
        <v>51</v>
      </c>
      <c r="AW17" s="53" t="e">
        <f t="shared" si="3"/>
        <v>#N/A</v>
      </c>
      <c r="AX17" s="61" t="s">
        <v>62</v>
      </c>
      <c r="AY17" s="69">
        <f>IF(LEFT(_xll.BDP($G17,AY$5),1)="#","#LOADING",_xll.BDP($G17,AY$5))</f>
        <v>0</v>
      </c>
      <c r="AZ17" s="70"/>
      <c r="BA17" s="69" t="str">
        <f>IF(LEFT(_xll.BDP($G17,BA$5),1)="#","#LOADING","Type"&amp;IF(_xll.BDP($G17,BA$5)=999,1,_xll.BDP($G17,BA$5)))</f>
        <v>Type</v>
      </c>
      <c r="BB17" s="54"/>
      <c r="BD17" s="61" t="s">
        <v>7</v>
      </c>
      <c r="BE17" s="66">
        <v>1000000</v>
      </c>
      <c r="BF17" s="61" t="s">
        <v>14</v>
      </c>
      <c r="BG17" s="61" t="s">
        <v>17</v>
      </c>
      <c r="BH17" s="70"/>
      <c r="BI17" s="73" t="e">
        <f t="shared" si="4"/>
        <v>#N/A</v>
      </c>
      <c r="BJ17" s="74">
        <f t="shared" si="5"/>
        <v>0</v>
      </c>
      <c r="BK17" s="71">
        <v>1</v>
      </c>
      <c r="BL17" s="75">
        <f t="shared" si="6"/>
        <v>0</v>
      </c>
      <c r="BM17" s="61"/>
      <c r="BN17" s="61"/>
      <c r="BO17" s="72"/>
      <c r="BP17" s="72"/>
      <c r="BQ17" s="71"/>
      <c r="BR17" s="76" t="e">
        <f t="shared" si="7"/>
        <v>#VALUE!</v>
      </c>
      <c r="BS17" s="76" t="e">
        <f t="shared" si="8"/>
        <v>#VALUE!</v>
      </c>
      <c r="BT17" s="77" t="str">
        <f t="shared" si="9"/>
        <v>ZERO-COUPON</v>
      </c>
      <c r="BU17" s="77" t="str">
        <f t="shared" si="9"/>
        <v>ZERO-COUPON</v>
      </c>
      <c r="BV17" s="78">
        <f t="shared" si="10"/>
        <v>0</v>
      </c>
      <c r="BW17" s="61"/>
      <c r="BX17" s="61"/>
      <c r="BY17" s="61" t="s">
        <v>51</v>
      </c>
      <c r="BZ17" s="73" t="e">
        <f t="shared" si="11"/>
        <v>#N/A</v>
      </c>
      <c r="CA17" s="61" t="s">
        <v>51</v>
      </c>
      <c r="CB17" s="73" t="e">
        <f t="shared" si="12"/>
        <v>#N/A</v>
      </c>
      <c r="CC17" s="76" t="e">
        <f t="shared" si="13"/>
        <v>#VALUE!</v>
      </c>
      <c r="CD17" s="76" t="e">
        <f t="shared" si="14"/>
        <v>#VALUE!</v>
      </c>
      <c r="CE17" s="70" t="s">
        <v>80</v>
      </c>
      <c r="CF17" s="61"/>
      <c r="CG17" s="61"/>
      <c r="CH17" s="61" t="s">
        <v>62</v>
      </c>
      <c r="CI17" s="61"/>
      <c r="CJ17" s="76" t="str">
        <f t="shared" si="15"/>
        <v>Type</v>
      </c>
      <c r="CL17" s="61" t="s">
        <v>8</v>
      </c>
      <c r="CM17" s="66">
        <v>1000000</v>
      </c>
      <c r="CN17" s="61" t="s">
        <v>14</v>
      </c>
      <c r="CO17" s="61" t="s">
        <v>18</v>
      </c>
      <c r="CP17" s="53" t="e">
        <f t="shared" si="16"/>
        <v>#N/A</v>
      </c>
      <c r="CQ17" s="53" t="e">
        <f t="shared" si="17"/>
        <v>#N/A</v>
      </c>
      <c r="CR17" s="41">
        <f t="shared" si="18"/>
        <v>0</v>
      </c>
      <c r="CS17" s="71">
        <v>1</v>
      </c>
      <c r="CT17" s="81"/>
      <c r="CU17" s="61" t="s">
        <v>32</v>
      </c>
      <c r="CV17" s="61" t="s">
        <v>32</v>
      </c>
      <c r="CW17" s="72"/>
      <c r="CX17" s="72"/>
      <c r="CY17" s="71"/>
      <c r="CZ17" s="82" t="e">
        <f t="shared" si="19"/>
        <v>#VALUE!</v>
      </c>
      <c r="DA17" s="82" t="e">
        <f t="shared" si="20"/>
        <v>#VALUE!</v>
      </c>
      <c r="DB17" s="53">
        <f t="shared" si="21"/>
        <v>0</v>
      </c>
      <c r="DC17" s="53">
        <f t="shared" si="21"/>
        <v>0</v>
      </c>
      <c r="DD17" s="53" t="e">
        <f t="shared" si="22"/>
        <v>#N/A</v>
      </c>
      <c r="DE17" s="61" t="s">
        <v>58</v>
      </c>
      <c r="DF17" s="53" t="e">
        <f t="shared" si="23"/>
        <v>#N/A</v>
      </c>
      <c r="DG17" s="61" t="s">
        <v>51</v>
      </c>
      <c r="DH17" s="53" t="e">
        <f t="shared" si="24"/>
        <v>#N/A</v>
      </c>
      <c r="DI17" s="61" t="s">
        <v>51</v>
      </c>
      <c r="DJ17" s="53" t="e">
        <f t="shared" si="25"/>
        <v>#N/A</v>
      </c>
      <c r="DK17" s="82"/>
      <c r="DL17" s="82"/>
      <c r="DM17" s="70"/>
      <c r="DN17" s="61" t="s">
        <v>62</v>
      </c>
      <c r="DO17" s="61"/>
      <c r="DP17" s="61" t="s">
        <v>62</v>
      </c>
      <c r="DQ17" s="61" t="s">
        <v>75</v>
      </c>
      <c r="DR17" s="82"/>
      <c r="DV17" s="61" t="s">
        <v>253</v>
      </c>
      <c r="DW17" s="66">
        <v>1000000</v>
      </c>
      <c r="DX17" s="61" t="s">
        <v>14</v>
      </c>
      <c r="DY17" s="61" t="s">
        <v>17</v>
      </c>
      <c r="DZ17" s="70"/>
      <c r="EA17" s="73" t="e">
        <f t="shared" si="26"/>
        <v>#N/A</v>
      </c>
      <c r="EB17" s="74">
        <f t="shared" si="27"/>
        <v>0</v>
      </c>
      <c r="EC17" s="71">
        <v>1</v>
      </c>
      <c r="ED17" s="75">
        <f t="shared" si="28"/>
        <v>0</v>
      </c>
      <c r="EE17" s="61"/>
      <c r="EF17" s="61"/>
      <c r="EG17" s="72"/>
      <c r="EH17" s="72"/>
      <c r="EI17" s="71"/>
      <c r="EJ17" s="76" t="e">
        <f t="shared" si="29"/>
        <v>#VALUE!</v>
      </c>
      <c r="EK17" s="76" t="e">
        <f t="shared" si="30"/>
        <v>#VALUE!</v>
      </c>
      <c r="EL17" s="77" t="str">
        <f t="shared" si="31"/>
        <v>ZERO-COUPON</v>
      </c>
      <c r="EM17" s="77" t="str">
        <f t="shared" si="31"/>
        <v>ZERO-COUPON</v>
      </c>
      <c r="EN17" s="78">
        <f t="shared" si="32"/>
        <v>0</v>
      </c>
      <c r="EO17" s="61"/>
      <c r="EP17" s="61"/>
      <c r="EQ17" s="61" t="s">
        <v>51</v>
      </c>
      <c r="ER17" s="73" t="e">
        <f t="shared" si="33"/>
        <v>#N/A</v>
      </c>
      <c r="ES17" s="61" t="s">
        <v>51</v>
      </c>
      <c r="ET17" s="73" t="e">
        <f t="shared" si="34"/>
        <v>#N/A</v>
      </c>
      <c r="EU17" s="76" t="e">
        <f t="shared" si="35"/>
        <v>#VALUE!</v>
      </c>
      <c r="EV17" s="76" t="e">
        <f t="shared" si="36"/>
        <v>#VALUE!</v>
      </c>
      <c r="EW17" s="70" t="s">
        <v>80</v>
      </c>
      <c r="EX17" s="61"/>
      <c r="EY17" s="61"/>
      <c r="EZ17" s="61" t="s">
        <v>62</v>
      </c>
      <c r="FA17" s="61"/>
      <c r="FB17" s="61"/>
      <c r="FC17" s="61"/>
      <c r="FE17" s="61" t="s">
        <v>254</v>
      </c>
      <c r="FF17" s="66">
        <v>1000000</v>
      </c>
      <c r="FG17" s="61" t="s">
        <v>14</v>
      </c>
      <c r="FH17" s="61" t="s">
        <v>18</v>
      </c>
      <c r="FI17" s="73" t="e">
        <f t="shared" si="37"/>
        <v>#N/A</v>
      </c>
      <c r="FJ17" s="73" t="e">
        <f t="shared" si="38"/>
        <v>#N/A</v>
      </c>
      <c r="FK17" s="41">
        <f t="shared" si="39"/>
        <v>0</v>
      </c>
      <c r="FL17" s="71">
        <v>1</v>
      </c>
      <c r="FM17" s="81"/>
      <c r="FN17" s="61" t="s">
        <v>32</v>
      </c>
      <c r="FO17" s="61" t="s">
        <v>32</v>
      </c>
      <c r="FP17" s="72"/>
      <c r="FQ17" s="72"/>
      <c r="FR17" s="71"/>
      <c r="FS17" s="76" t="e">
        <f t="shared" si="40"/>
        <v>#VALUE!</v>
      </c>
      <c r="FT17" s="76" t="e">
        <f t="shared" si="41"/>
        <v>#VALUE!</v>
      </c>
      <c r="FU17" s="73">
        <f t="shared" si="42"/>
        <v>0</v>
      </c>
      <c r="FV17" s="73">
        <f t="shared" si="42"/>
        <v>0</v>
      </c>
      <c r="FW17" s="73" t="e">
        <f t="shared" si="43"/>
        <v>#N/A</v>
      </c>
      <c r="FX17" s="61" t="s">
        <v>58</v>
      </c>
      <c r="FY17" s="73" t="e">
        <f t="shared" si="44"/>
        <v>#N/A</v>
      </c>
      <c r="FZ17" s="61" t="s">
        <v>51</v>
      </c>
      <c r="GA17" s="73" t="e">
        <f t="shared" si="45"/>
        <v>#N/A</v>
      </c>
      <c r="GB17" s="61" t="s">
        <v>51</v>
      </c>
      <c r="GC17" s="73" t="e">
        <f t="shared" si="46"/>
        <v>#N/A</v>
      </c>
      <c r="GD17" s="82"/>
      <c r="GE17" s="82"/>
      <c r="GF17" s="70"/>
      <c r="GG17" s="61" t="s">
        <v>62</v>
      </c>
      <c r="GH17" s="61"/>
      <c r="GI17" s="61" t="s">
        <v>62</v>
      </c>
      <c r="GJ17" s="61" t="s">
        <v>75</v>
      </c>
      <c r="GK17" s="286">
        <f t="shared" si="54"/>
        <v>0</v>
      </c>
      <c r="GL17" s="82" t="str">
        <f t="shared" si="55"/>
        <v>Type</v>
      </c>
      <c r="GP17" s="95">
        <f t="shared" si="47"/>
        <v>0</v>
      </c>
      <c r="GQ17" s="42">
        <f>IF(LEFT(_xll.BDP($C17,GQ$5),1)="#","#LOADING",_xll.BDP($C17,GQ$5))</f>
        <v>0</v>
      </c>
      <c r="GR17" s="74">
        <f t="shared" si="48"/>
        <v>0</v>
      </c>
      <c r="GS17" s="74" t="e">
        <f t="shared" si="49"/>
        <v>#VALUE!</v>
      </c>
      <c r="GT17" s="64" t="s">
        <v>20</v>
      </c>
      <c r="GU17" s="42" t="b">
        <f>IF(LEFT(_xll.BDP($C17,GU$5),1)="#","#LOADING",IF(_xll.BDP($C17,GU$5)="CLEAN",TRUE,FALSE))</f>
        <v>0</v>
      </c>
      <c r="GV17" s="64" t="s">
        <v>26</v>
      </c>
      <c r="GW17" s="61" t="s">
        <v>18</v>
      </c>
      <c r="GX17" s="65" t="s">
        <v>28</v>
      </c>
      <c r="GY17" s="66">
        <v>1000000</v>
      </c>
      <c r="GZ17" s="96" t="e">
        <f>IF(LEFT(_xll.BDP($C17,GZ$5),1)="#","#LOADING",DATEVALUE(_xll.BDP($C17,GZ$5)))</f>
        <v>#VALUE!</v>
      </c>
      <c r="HA17" s="96" t="e">
        <f>IF(LEFT(_xll.BDP($C17,HA$5),1)="#","#LOADING",DATEVALUE(_xll.BDP($C17,HA$5)))</f>
        <v>#VALUE!</v>
      </c>
      <c r="HB17" s="96" t="e">
        <f>IF(LEFT(_xll.BDP($C17,HB$5),1)="#","#LOADING",DATEVALUE(_xll.BDP($C17,HB$5)))</f>
        <v>#VALUE!</v>
      </c>
      <c r="HC17" s="96" t="e">
        <f>IF(LEFT(_xll.BDP($C17,HC$5),1)="#","#LOADING",DATEVALUE(_xll.BDP($C17,HC$5)))</f>
        <v>#VALUE!</v>
      </c>
      <c r="HD17" s="96" t="e">
        <f>IF(LEFT(_xll.BDP($C17,HD$5),1)="#","#LOADING",DATEVALUE(_xll.BDP($C17,HD$5)))</f>
        <v>#VALUE!</v>
      </c>
      <c r="HE17" s="97">
        <f>IF(LEFT(_xll.BDP($C17,HE$5),1)="#","#LOADING",_xll.BDP($C17,HE$5)%)</f>
        <v>0</v>
      </c>
      <c r="HF17" s="97" t="str">
        <f>IF(LEFT(_xll.BDP($C17,HF$5),1)="#","#LOADING",VLOOKUP(_xll.BDP($C17,HF$5),Static.CouponFrequency,2,FALSE))</f>
        <v>ZERO-COUPON</v>
      </c>
      <c r="HG17" s="68" t="s">
        <v>51</v>
      </c>
      <c r="HH17" s="73" t="e">
        <f t="shared" si="50"/>
        <v>#N/A</v>
      </c>
      <c r="HI17" s="61" t="s">
        <v>51</v>
      </c>
      <c r="HJ17" s="73" t="e">
        <f t="shared" si="51"/>
        <v>#N/A</v>
      </c>
      <c r="HK17" s="61" t="s">
        <v>62</v>
      </c>
      <c r="HL17" s="43">
        <f>IF(LEFT(_xll.BDP($C17,HL$5),1)="#","#LOADING",_xll.BDP($C17,HL$5))</f>
        <v>0</v>
      </c>
      <c r="HM17" s="70"/>
      <c r="HN17" s="280">
        <f>IF(LEFT(_xll.BDP($C17,HN$5),1)="#","#LOADING",_xll.BDP($C17,HN$5))</f>
        <v>0</v>
      </c>
      <c r="HO17" s="43" t="str">
        <f>IF(LEFT(_xll.BDP($C17,HO$5),1)="#","#LOADING","Type"&amp;IF(_xll.BDP($C17,HO$5)=999,1,_xll.BDP($C17,HO$5)))</f>
        <v>Type</v>
      </c>
    </row>
    <row r="18" spans="1:223">
      <c r="A18" s="101">
        <v>12</v>
      </c>
      <c r="B18" s="57"/>
      <c r="C18" s="57"/>
      <c r="D18" s="57"/>
      <c r="E18" s="57"/>
      <c r="F18" s="57"/>
      <c r="G18" s="57"/>
      <c r="H18" s="57"/>
      <c r="I18" s="57"/>
      <c r="J18" s="101">
        <v>12</v>
      </c>
      <c r="K18" s="58" t="s">
        <v>163</v>
      </c>
      <c r="L18" s="59" t="str">
        <f>IF(ISBLANK(M18),IF($G18="","",_xll.BDP(G18&amp;" "&amp;$K18&amp;" Corp","PX_LAST")),M18)</f>
        <v/>
      </c>
      <c r="M18" s="60"/>
      <c r="N18" s="83" t="str">
        <f ca="1">IF(ISBLANK($O18),IF($G18="","",_xll.meLWOAssetSwapSpread($Y18,$X18,$L18,INDIRECT("ValuationSettings"&amp;$CR18),INDIRECT("Fixings"&amp;$CR18&amp;IF($I18="QUARTERLY","3ML","6ML")))),$O18)</f>
        <v/>
      </c>
      <c r="O18" s="60"/>
      <c r="P18" s="84" t="str">
        <f ca="1">IF($C18="","",_xll.meLWOAssetSwapSpreadToCleanPrice($Z18,$N18,INDIRECT("ValuationSettings"&amp;$D18),INDIRECT("Fixings"&amp;$EB18&amp;IF($E18="QUARTERLY","3ML","6ML"))))</f>
        <v/>
      </c>
      <c r="Q18" s="84" t="str">
        <f>IF($C18="","",_xll.meLWOBondPriceFromCleanToDirty($AA18,_xll.meUtilityLVBFromKeysValues($S$6:$T$6,S18:T18),$P18))</f>
        <v/>
      </c>
      <c r="R18" s="98" t="str">
        <f>IF($C18="","",_xll.meLWOBondYield($AA18,_xll.meUtilityLVBFromKeysValues($S$6:$V$6,S18:V18),IF($GU18,$P18,$Q18)))</f>
        <v/>
      </c>
      <c r="S18" s="127" t="str">
        <f t="shared" ca="1" si="52"/>
        <v/>
      </c>
      <c r="T18" s="98" t="str">
        <f t="shared" si="53"/>
        <v/>
      </c>
      <c r="U18" s="98" t="str">
        <f>IF($C18="","",_xll.BDP($C18,$U$5)%)</f>
        <v/>
      </c>
      <c r="V18" s="274" t="str">
        <f>IF($C18="","",_xll.BDP($C18,$V$5)%)</f>
        <v/>
      </c>
      <c r="W18" s="101">
        <v>12</v>
      </c>
      <c r="X18" s="53" t="str">
        <f>IF($G18="","",IF(LEFT(AD18,1)="#","#LOADING",_xll.meLWOBondCreateFromLVB("PROXY_BOND_"&amp;$AF18,_xll.meUtilityLVBFromKeysValues($AC$6:$BA$6,$AC18:$BA18))))</f>
        <v/>
      </c>
      <c r="Y18" s="53" t="str">
        <f>IF($G18="","",_xll.meLWOSwapCreate("PROXY_ASW_"&amp;$AF18,_xll.meUtilityLVBFromKeysAndMultipleValues($BD$6:$CJ$6,$BD18:$CJ18,$CL18:$DR18)))</f>
        <v/>
      </c>
      <c r="Z18" s="53" t="str">
        <f>IF($C18="","",_xll.meLWOSwapCreate("BOND_ASW_"&amp;$GS18,_xll.meUtilityLVBFromKeysAndMultipleValues($DV$6:$FC$6,$DV18:$FC18,$FE18:$GL18)))</f>
        <v/>
      </c>
      <c r="AA18" s="53" t="str">
        <f>IF($C18="","",IF(LEFT(GQ18,1)="#","#LOADING",_xll.meLWOBondCreateFromLVB("PROXY_BOND_"&amp;$GS18,_xll.meUtilityLVBFromKeysValues($GP$6:$HO$6,$GP18:$HO18))))</f>
        <v/>
      </c>
      <c r="AB18" t="s">
        <v>0</v>
      </c>
      <c r="AC18" s="62">
        <f t="shared" si="0"/>
        <v>0</v>
      </c>
      <c r="AD18" s="63">
        <f>IF(LEFT(_xll.BDP($G18,AD$5),1)="#","#LOADING",_xll.BDP($G18,AD$5))</f>
        <v>0</v>
      </c>
      <c r="AE18" s="41">
        <f t="shared" si="1"/>
        <v>0</v>
      </c>
      <c r="AF18" s="63">
        <f>IF(LEFT(_xll.BDP($G18,AF$5),1)="#","#LOADING",_xll.BDP($G18,AF$5))</f>
        <v>0</v>
      </c>
      <c r="AG18" s="64" t="s">
        <v>20</v>
      </c>
      <c r="AH18" s="63" t="b">
        <f>IF(LEFT(_xll.BDP($G18,AH$5),1)="#","#LOADING",IF(_xll.BDP($G18,AH$5)="CLEAN",TRUE,FALSE))</f>
        <v>0</v>
      </c>
      <c r="AI18" s="64" t="s">
        <v>26</v>
      </c>
      <c r="AJ18" s="61" t="s">
        <v>18</v>
      </c>
      <c r="AK18" s="65" t="s">
        <v>28</v>
      </c>
      <c r="AL18" s="66">
        <v>1000000</v>
      </c>
      <c r="AM18" s="63" t="e">
        <f>IF(LEFT(_xll.BDP($G18,AM$5),1)="#","#LOADING",DATEVALUE(_xll.BDP($G18,AM$5)))</f>
        <v>#VALUE!</v>
      </c>
      <c r="AN18" s="63" t="e">
        <f>IF(LEFT(_xll.BDP($G18,AN$5),1)="#","#LOADING",DATEVALUE(_xll.BDP($G18,AN$5)))</f>
        <v>#VALUE!</v>
      </c>
      <c r="AO18" s="63" t="e">
        <f>IF(LEFT(_xll.BDP($G18,AO$5),1)="#","#LOADING",DATEVALUE(_xll.BDP($G18,AO$5)))</f>
        <v>#VALUE!</v>
      </c>
      <c r="AP18" s="63" t="e">
        <f>IF(LEFT(_xll.BDP($G18,AP$5),1)="#","#LOADING",DATEVALUE(_xll.BDP($G18,AP$5)))</f>
        <v>#VALUE!</v>
      </c>
      <c r="AQ18" s="63" t="e">
        <f>IF(LEFT(_xll.BDP($G18,AQ$5),1)="#","#LOADING",DATEVALUE(_xll.BDP($G18,AQ$5)))</f>
        <v>#VALUE!</v>
      </c>
      <c r="AR18" s="67">
        <f>IF(LEFT(_xll.BDP($G18,AR$5),1)="#","#LOADING",_xll.BDP($G18,AR$5)%)</f>
        <v>0</v>
      </c>
      <c r="AS18" s="67" t="str">
        <f>IF(LEFT(_xll.BDP($G18,AS$5),1)="#","#LOADING",VLOOKUP(_xll.BDP($G18,AS$5),Static.CouponFrequency,2,FALSE))</f>
        <v>ZERO-COUPON</v>
      </c>
      <c r="AT18" s="68" t="s">
        <v>51</v>
      </c>
      <c r="AU18" s="53" t="e">
        <f t="shared" si="2"/>
        <v>#N/A</v>
      </c>
      <c r="AV18" s="61" t="s">
        <v>51</v>
      </c>
      <c r="AW18" s="53" t="e">
        <f t="shared" si="3"/>
        <v>#N/A</v>
      </c>
      <c r="AX18" s="61" t="s">
        <v>62</v>
      </c>
      <c r="AY18" s="69">
        <f>IF(LEFT(_xll.BDP($G18,AY$5),1)="#","#LOADING",_xll.BDP($G18,AY$5))</f>
        <v>0</v>
      </c>
      <c r="AZ18" s="70"/>
      <c r="BA18" s="69" t="str">
        <f>IF(LEFT(_xll.BDP($G18,BA$5),1)="#","#LOADING","Type"&amp;IF(_xll.BDP($G18,BA$5)=999,1,_xll.BDP($G18,BA$5)))</f>
        <v>Type</v>
      </c>
      <c r="BB18" s="54"/>
      <c r="BD18" s="61" t="s">
        <v>7</v>
      </c>
      <c r="BE18" s="66">
        <v>1000000</v>
      </c>
      <c r="BF18" s="61" t="s">
        <v>14</v>
      </c>
      <c r="BG18" s="61" t="s">
        <v>17</v>
      </c>
      <c r="BH18" s="70"/>
      <c r="BI18" s="73" t="e">
        <f t="shared" si="4"/>
        <v>#N/A</v>
      </c>
      <c r="BJ18" s="74">
        <f t="shared" si="5"/>
        <v>0</v>
      </c>
      <c r="BK18" s="71">
        <v>1</v>
      </c>
      <c r="BL18" s="75">
        <f t="shared" si="6"/>
        <v>0</v>
      </c>
      <c r="BM18" s="61"/>
      <c r="BN18" s="61"/>
      <c r="BO18" s="72"/>
      <c r="BP18" s="72"/>
      <c r="BQ18" s="71"/>
      <c r="BR18" s="76" t="e">
        <f t="shared" si="7"/>
        <v>#VALUE!</v>
      </c>
      <c r="BS18" s="76" t="e">
        <f t="shared" si="8"/>
        <v>#VALUE!</v>
      </c>
      <c r="BT18" s="77" t="str">
        <f t="shared" si="9"/>
        <v>ZERO-COUPON</v>
      </c>
      <c r="BU18" s="77" t="str">
        <f t="shared" si="9"/>
        <v>ZERO-COUPON</v>
      </c>
      <c r="BV18" s="78">
        <f t="shared" si="10"/>
        <v>0</v>
      </c>
      <c r="BW18" s="61"/>
      <c r="BX18" s="61"/>
      <c r="BY18" s="61" t="s">
        <v>51</v>
      </c>
      <c r="BZ18" s="73" t="e">
        <f t="shared" si="11"/>
        <v>#N/A</v>
      </c>
      <c r="CA18" s="61" t="s">
        <v>51</v>
      </c>
      <c r="CB18" s="73" t="e">
        <f t="shared" si="12"/>
        <v>#N/A</v>
      </c>
      <c r="CC18" s="76" t="e">
        <f t="shared" si="13"/>
        <v>#VALUE!</v>
      </c>
      <c r="CD18" s="76" t="e">
        <f t="shared" si="14"/>
        <v>#VALUE!</v>
      </c>
      <c r="CE18" s="70" t="s">
        <v>80</v>
      </c>
      <c r="CF18" s="61"/>
      <c r="CG18" s="61"/>
      <c r="CH18" s="61" t="s">
        <v>62</v>
      </c>
      <c r="CI18" s="61"/>
      <c r="CJ18" s="76" t="str">
        <f t="shared" si="15"/>
        <v>Type</v>
      </c>
      <c r="CL18" s="61" t="s">
        <v>8</v>
      </c>
      <c r="CM18" s="66">
        <v>1000000</v>
      </c>
      <c r="CN18" s="61" t="s">
        <v>14</v>
      </c>
      <c r="CO18" s="61" t="s">
        <v>18</v>
      </c>
      <c r="CP18" s="53" t="e">
        <f t="shared" si="16"/>
        <v>#N/A</v>
      </c>
      <c r="CQ18" s="53" t="e">
        <f t="shared" si="17"/>
        <v>#N/A</v>
      </c>
      <c r="CR18" s="41">
        <f t="shared" si="18"/>
        <v>0</v>
      </c>
      <c r="CS18" s="71">
        <v>1</v>
      </c>
      <c r="CT18" s="81"/>
      <c r="CU18" s="61" t="s">
        <v>32</v>
      </c>
      <c r="CV18" s="61" t="s">
        <v>32</v>
      </c>
      <c r="CW18" s="72"/>
      <c r="CX18" s="72"/>
      <c r="CY18" s="71"/>
      <c r="CZ18" s="82" t="e">
        <f t="shared" si="19"/>
        <v>#VALUE!</v>
      </c>
      <c r="DA18" s="82" t="e">
        <f t="shared" si="20"/>
        <v>#VALUE!</v>
      </c>
      <c r="DB18" s="53">
        <f t="shared" si="21"/>
        <v>0</v>
      </c>
      <c r="DC18" s="53">
        <f t="shared" si="21"/>
        <v>0</v>
      </c>
      <c r="DD18" s="53" t="e">
        <f t="shared" si="22"/>
        <v>#N/A</v>
      </c>
      <c r="DE18" s="61" t="s">
        <v>58</v>
      </c>
      <c r="DF18" s="53" t="e">
        <f t="shared" si="23"/>
        <v>#N/A</v>
      </c>
      <c r="DG18" s="61" t="s">
        <v>51</v>
      </c>
      <c r="DH18" s="53" t="e">
        <f t="shared" si="24"/>
        <v>#N/A</v>
      </c>
      <c r="DI18" s="61" t="s">
        <v>51</v>
      </c>
      <c r="DJ18" s="53" t="e">
        <f t="shared" si="25"/>
        <v>#N/A</v>
      </c>
      <c r="DK18" s="82"/>
      <c r="DL18" s="82"/>
      <c r="DM18" s="70"/>
      <c r="DN18" s="61" t="s">
        <v>62</v>
      </c>
      <c r="DO18" s="61"/>
      <c r="DP18" s="61" t="s">
        <v>62</v>
      </c>
      <c r="DQ18" s="61" t="s">
        <v>75</v>
      </c>
      <c r="DR18" s="82"/>
      <c r="DV18" s="61" t="s">
        <v>253</v>
      </c>
      <c r="DW18" s="66">
        <v>1000000</v>
      </c>
      <c r="DX18" s="61" t="s">
        <v>14</v>
      </c>
      <c r="DY18" s="61" t="s">
        <v>17</v>
      </c>
      <c r="DZ18" s="70"/>
      <c r="EA18" s="73" t="e">
        <f t="shared" si="26"/>
        <v>#N/A</v>
      </c>
      <c r="EB18" s="74">
        <f t="shared" si="27"/>
        <v>0</v>
      </c>
      <c r="EC18" s="71">
        <v>1</v>
      </c>
      <c r="ED18" s="75">
        <f t="shared" si="28"/>
        <v>0</v>
      </c>
      <c r="EE18" s="61"/>
      <c r="EF18" s="61"/>
      <c r="EG18" s="72"/>
      <c r="EH18" s="72"/>
      <c r="EI18" s="71"/>
      <c r="EJ18" s="76" t="e">
        <f t="shared" si="29"/>
        <v>#VALUE!</v>
      </c>
      <c r="EK18" s="76" t="e">
        <f t="shared" si="30"/>
        <v>#VALUE!</v>
      </c>
      <c r="EL18" s="77" t="str">
        <f t="shared" si="31"/>
        <v>ZERO-COUPON</v>
      </c>
      <c r="EM18" s="77" t="str">
        <f t="shared" si="31"/>
        <v>ZERO-COUPON</v>
      </c>
      <c r="EN18" s="78">
        <f t="shared" si="32"/>
        <v>0</v>
      </c>
      <c r="EO18" s="61"/>
      <c r="EP18" s="61"/>
      <c r="EQ18" s="61" t="s">
        <v>51</v>
      </c>
      <c r="ER18" s="73" t="e">
        <f t="shared" si="33"/>
        <v>#N/A</v>
      </c>
      <c r="ES18" s="61" t="s">
        <v>51</v>
      </c>
      <c r="ET18" s="73" t="e">
        <f t="shared" si="34"/>
        <v>#N/A</v>
      </c>
      <c r="EU18" s="76" t="e">
        <f t="shared" si="35"/>
        <v>#VALUE!</v>
      </c>
      <c r="EV18" s="76" t="e">
        <f t="shared" si="36"/>
        <v>#VALUE!</v>
      </c>
      <c r="EW18" s="70" t="s">
        <v>80</v>
      </c>
      <c r="EX18" s="61"/>
      <c r="EY18" s="61"/>
      <c r="EZ18" s="61" t="s">
        <v>62</v>
      </c>
      <c r="FA18" s="61"/>
      <c r="FB18" s="61"/>
      <c r="FC18" s="61"/>
      <c r="FE18" s="61" t="s">
        <v>254</v>
      </c>
      <c r="FF18" s="66">
        <v>1000000</v>
      </c>
      <c r="FG18" s="61" t="s">
        <v>14</v>
      </c>
      <c r="FH18" s="61" t="s">
        <v>18</v>
      </c>
      <c r="FI18" s="73" t="e">
        <f t="shared" si="37"/>
        <v>#N/A</v>
      </c>
      <c r="FJ18" s="73" t="e">
        <f t="shared" si="38"/>
        <v>#N/A</v>
      </c>
      <c r="FK18" s="41">
        <f t="shared" si="39"/>
        <v>0</v>
      </c>
      <c r="FL18" s="71">
        <v>1</v>
      </c>
      <c r="FM18" s="81"/>
      <c r="FN18" s="61" t="s">
        <v>32</v>
      </c>
      <c r="FO18" s="61" t="s">
        <v>32</v>
      </c>
      <c r="FP18" s="72"/>
      <c r="FQ18" s="72"/>
      <c r="FR18" s="71"/>
      <c r="FS18" s="76" t="e">
        <f t="shared" si="40"/>
        <v>#VALUE!</v>
      </c>
      <c r="FT18" s="76" t="e">
        <f t="shared" si="41"/>
        <v>#VALUE!</v>
      </c>
      <c r="FU18" s="73">
        <f t="shared" si="42"/>
        <v>0</v>
      </c>
      <c r="FV18" s="73">
        <f t="shared" si="42"/>
        <v>0</v>
      </c>
      <c r="FW18" s="73" t="e">
        <f t="shared" si="43"/>
        <v>#N/A</v>
      </c>
      <c r="FX18" s="61" t="s">
        <v>58</v>
      </c>
      <c r="FY18" s="73" t="e">
        <f t="shared" si="44"/>
        <v>#N/A</v>
      </c>
      <c r="FZ18" s="61" t="s">
        <v>51</v>
      </c>
      <c r="GA18" s="73" t="e">
        <f t="shared" si="45"/>
        <v>#N/A</v>
      </c>
      <c r="GB18" s="61" t="s">
        <v>51</v>
      </c>
      <c r="GC18" s="73" t="e">
        <f t="shared" si="46"/>
        <v>#N/A</v>
      </c>
      <c r="GD18" s="82"/>
      <c r="GE18" s="82"/>
      <c r="GF18" s="70"/>
      <c r="GG18" s="61" t="s">
        <v>62</v>
      </c>
      <c r="GH18" s="61"/>
      <c r="GI18" s="61" t="s">
        <v>62</v>
      </c>
      <c r="GJ18" s="61" t="s">
        <v>75</v>
      </c>
      <c r="GK18" s="286">
        <f t="shared" si="54"/>
        <v>0</v>
      </c>
      <c r="GL18" s="82" t="str">
        <f t="shared" si="55"/>
        <v>Type</v>
      </c>
      <c r="GP18" s="95">
        <f t="shared" si="47"/>
        <v>0</v>
      </c>
      <c r="GQ18" s="42">
        <f>IF(LEFT(_xll.BDP($C18,GQ$5),1)="#","#LOADING",_xll.BDP($C18,GQ$5))</f>
        <v>0</v>
      </c>
      <c r="GR18" s="74">
        <f t="shared" si="48"/>
        <v>0</v>
      </c>
      <c r="GS18" s="74" t="e">
        <f t="shared" si="49"/>
        <v>#VALUE!</v>
      </c>
      <c r="GT18" s="64" t="s">
        <v>20</v>
      </c>
      <c r="GU18" s="42" t="b">
        <f>IF(LEFT(_xll.BDP($C18,GU$5),1)="#","#LOADING",IF(_xll.BDP($C18,GU$5)="CLEAN",TRUE,FALSE))</f>
        <v>0</v>
      </c>
      <c r="GV18" s="64" t="s">
        <v>26</v>
      </c>
      <c r="GW18" s="61" t="s">
        <v>18</v>
      </c>
      <c r="GX18" s="65" t="s">
        <v>28</v>
      </c>
      <c r="GY18" s="66">
        <v>1000000</v>
      </c>
      <c r="GZ18" s="96" t="e">
        <f>IF(LEFT(_xll.BDP($C18,GZ$5),1)="#","#LOADING",DATEVALUE(_xll.BDP($C18,GZ$5)))</f>
        <v>#VALUE!</v>
      </c>
      <c r="HA18" s="96" t="e">
        <f>IF(LEFT(_xll.BDP($C18,HA$5),1)="#","#LOADING",DATEVALUE(_xll.BDP($C18,HA$5)))</f>
        <v>#VALUE!</v>
      </c>
      <c r="HB18" s="96" t="e">
        <f>IF(LEFT(_xll.BDP($C18,HB$5),1)="#","#LOADING",DATEVALUE(_xll.BDP($C18,HB$5)))</f>
        <v>#VALUE!</v>
      </c>
      <c r="HC18" s="96" t="e">
        <f>IF(LEFT(_xll.BDP($C18,HC$5),1)="#","#LOADING",DATEVALUE(_xll.BDP($C18,HC$5)))</f>
        <v>#VALUE!</v>
      </c>
      <c r="HD18" s="96" t="e">
        <f>IF(LEFT(_xll.BDP($C18,HD$5),1)="#","#LOADING",DATEVALUE(_xll.BDP($C18,HD$5)))</f>
        <v>#VALUE!</v>
      </c>
      <c r="HE18" s="97">
        <f>IF(LEFT(_xll.BDP($C18,HE$5),1)="#","#LOADING",_xll.BDP($C18,HE$5)%)</f>
        <v>0</v>
      </c>
      <c r="HF18" s="97" t="str">
        <f>IF(LEFT(_xll.BDP($C18,HF$5),1)="#","#LOADING",VLOOKUP(_xll.BDP($C18,HF$5),Static.CouponFrequency,2,FALSE))</f>
        <v>ZERO-COUPON</v>
      </c>
      <c r="HG18" s="68" t="s">
        <v>51</v>
      </c>
      <c r="HH18" s="73" t="e">
        <f t="shared" si="50"/>
        <v>#N/A</v>
      </c>
      <c r="HI18" s="61" t="s">
        <v>51</v>
      </c>
      <c r="HJ18" s="73" t="e">
        <f t="shared" si="51"/>
        <v>#N/A</v>
      </c>
      <c r="HK18" s="61" t="s">
        <v>62</v>
      </c>
      <c r="HL18" s="43">
        <f>IF(LEFT(_xll.BDP($C18,HL$5),1)="#","#LOADING",_xll.BDP($C18,HL$5))</f>
        <v>0</v>
      </c>
      <c r="HM18" s="70"/>
      <c r="HN18" s="280">
        <f>IF(LEFT(_xll.BDP($C18,HN$5),1)="#","#LOADING",_xll.BDP($C18,HN$5))</f>
        <v>0</v>
      </c>
      <c r="HO18" s="43" t="str">
        <f>IF(LEFT(_xll.BDP($C18,HO$5),1)="#","#LOADING","Type"&amp;IF(_xll.BDP($C18,HO$5)=999,1,_xll.BDP($C18,HO$5)))</f>
        <v>Type</v>
      </c>
    </row>
    <row r="19" spans="1:223">
      <c r="A19" s="101">
        <v>13</v>
      </c>
      <c r="B19" s="57"/>
      <c r="C19" s="57"/>
      <c r="D19" s="57"/>
      <c r="E19" s="57"/>
      <c r="F19" s="57"/>
      <c r="G19" s="57"/>
      <c r="H19" s="57"/>
      <c r="I19" s="57"/>
      <c r="J19" s="101">
        <v>13</v>
      </c>
      <c r="K19" s="58" t="s">
        <v>163</v>
      </c>
      <c r="L19" s="59" t="str">
        <f>IF(ISBLANK(M19),IF($G19="","",_xll.BDP(G19&amp;" "&amp;$K19&amp;" Corp","PX_LAST")),M19)</f>
        <v/>
      </c>
      <c r="M19" s="60"/>
      <c r="N19" s="83" t="str">
        <f ca="1">IF(ISBLANK($O19),IF($G19="","",_xll.meLWOAssetSwapSpread($Y19,$X19,$L19,INDIRECT("ValuationSettings"&amp;$CR19),INDIRECT("Fixings"&amp;$CR19&amp;IF($I19="QUARTERLY","3ML","6ML")))),$O19)</f>
        <v/>
      </c>
      <c r="O19" s="60"/>
      <c r="P19" s="84" t="str">
        <f ca="1">IF($C19="","",_xll.meLWOAssetSwapSpreadToCleanPrice($Z19,$N19,INDIRECT("ValuationSettings"&amp;$D19),INDIRECT("Fixings"&amp;$EB19&amp;IF($E19="QUARTERLY","3ML","6ML"))))</f>
        <v/>
      </c>
      <c r="Q19" s="84" t="str">
        <f>IF($C19="","",_xll.meLWOBondPriceFromCleanToDirty($AA19,_xll.meUtilityLVBFromKeysValues($S$6:$T$6,S19:T19),$P19))</f>
        <v/>
      </c>
      <c r="R19" s="98" t="str">
        <f>IF($C19="","",_xll.meLWOBondYield($AA19,_xll.meUtilityLVBFromKeysValues($S$6:$V$6,S19:V19),IF($GU19,$P19,$Q19)))</f>
        <v/>
      </c>
      <c r="S19" s="127" t="str">
        <f t="shared" ca="1" si="52"/>
        <v/>
      </c>
      <c r="T19" s="98" t="str">
        <f t="shared" si="53"/>
        <v/>
      </c>
      <c r="U19" s="98" t="str">
        <f>IF($C19="","",_xll.BDP($C19,$U$5)%)</f>
        <v/>
      </c>
      <c r="V19" s="274" t="str">
        <f>IF($C19="","",_xll.BDP($C19,$V$5)%)</f>
        <v/>
      </c>
      <c r="W19" s="101">
        <v>13</v>
      </c>
      <c r="X19" s="53" t="str">
        <f>IF($G19="","",IF(LEFT(AD19,1)="#","#LOADING",_xll.meLWOBondCreateFromLVB("PROXY_BOND_"&amp;$AF19,_xll.meUtilityLVBFromKeysValues($AC$6:$BA$6,$AC19:$BA19))))</f>
        <v/>
      </c>
      <c r="Y19" s="53" t="str">
        <f>IF($G19="","",_xll.meLWOSwapCreate("PROXY_ASW_"&amp;$AF19,_xll.meUtilityLVBFromKeysAndMultipleValues($BD$6:$CJ$6,$BD19:$CJ19,$CL19:$DR19)))</f>
        <v/>
      </c>
      <c r="Z19" s="53" t="str">
        <f>IF($C19="","",_xll.meLWOSwapCreate("BOND_ASW_"&amp;$GS19,_xll.meUtilityLVBFromKeysAndMultipleValues($DV$6:$FC$6,$DV19:$FC19,$FE19:$GL19)))</f>
        <v/>
      </c>
      <c r="AA19" s="53" t="str">
        <f>IF($C19="","",IF(LEFT(GQ19,1)="#","#LOADING",_xll.meLWOBondCreateFromLVB("PROXY_BOND_"&amp;$GS19,_xll.meUtilityLVBFromKeysValues($GP$6:$HO$6,$GP19:$HO19))))</f>
        <v/>
      </c>
      <c r="AB19" t="s">
        <v>0</v>
      </c>
      <c r="AC19" s="62">
        <f t="shared" si="0"/>
        <v>0</v>
      </c>
      <c r="AD19" s="63">
        <f>IF(LEFT(_xll.BDP($G19,AD$5),1)="#","#LOADING",_xll.BDP($G19,AD$5))</f>
        <v>0</v>
      </c>
      <c r="AE19" s="41">
        <f t="shared" si="1"/>
        <v>0</v>
      </c>
      <c r="AF19" s="63">
        <f>IF(LEFT(_xll.BDP($G19,AF$5),1)="#","#LOADING",_xll.BDP($G19,AF$5))</f>
        <v>0</v>
      </c>
      <c r="AG19" s="64" t="s">
        <v>20</v>
      </c>
      <c r="AH19" s="63" t="b">
        <f>IF(LEFT(_xll.BDP($G19,AH$5),1)="#","#LOADING",IF(_xll.BDP($G19,AH$5)="CLEAN",TRUE,FALSE))</f>
        <v>0</v>
      </c>
      <c r="AI19" s="64" t="s">
        <v>26</v>
      </c>
      <c r="AJ19" s="61" t="s">
        <v>18</v>
      </c>
      <c r="AK19" s="65" t="s">
        <v>28</v>
      </c>
      <c r="AL19" s="66">
        <v>1000000</v>
      </c>
      <c r="AM19" s="63" t="e">
        <f>IF(LEFT(_xll.BDP($G19,AM$5),1)="#","#LOADING",DATEVALUE(_xll.BDP($G19,AM$5)))</f>
        <v>#VALUE!</v>
      </c>
      <c r="AN19" s="63" t="e">
        <f>IF(LEFT(_xll.BDP($G19,AN$5),1)="#","#LOADING",DATEVALUE(_xll.BDP($G19,AN$5)))</f>
        <v>#VALUE!</v>
      </c>
      <c r="AO19" s="63" t="e">
        <f>IF(LEFT(_xll.BDP($G19,AO$5),1)="#","#LOADING",DATEVALUE(_xll.BDP($G19,AO$5)))</f>
        <v>#VALUE!</v>
      </c>
      <c r="AP19" s="63" t="e">
        <f>IF(LEFT(_xll.BDP($G19,AP$5),1)="#","#LOADING",DATEVALUE(_xll.BDP($G19,AP$5)))</f>
        <v>#VALUE!</v>
      </c>
      <c r="AQ19" s="63" t="e">
        <f>IF(LEFT(_xll.BDP($G19,AQ$5),1)="#","#LOADING",DATEVALUE(_xll.BDP($G19,AQ$5)))</f>
        <v>#VALUE!</v>
      </c>
      <c r="AR19" s="67">
        <f>IF(LEFT(_xll.BDP($G19,AR$5),1)="#","#LOADING",_xll.BDP($G19,AR$5)%)</f>
        <v>0</v>
      </c>
      <c r="AS19" s="67" t="str">
        <f>IF(LEFT(_xll.BDP($G19,AS$5),1)="#","#LOADING",VLOOKUP(_xll.BDP($G19,AS$5),Static.CouponFrequency,2,FALSE))</f>
        <v>ZERO-COUPON</v>
      </c>
      <c r="AT19" s="68" t="s">
        <v>51</v>
      </c>
      <c r="AU19" s="53" t="e">
        <f t="shared" si="2"/>
        <v>#N/A</v>
      </c>
      <c r="AV19" s="61" t="s">
        <v>51</v>
      </c>
      <c r="AW19" s="53" t="e">
        <f t="shared" si="3"/>
        <v>#N/A</v>
      </c>
      <c r="AX19" s="61" t="s">
        <v>62</v>
      </c>
      <c r="AY19" s="69">
        <f>IF(LEFT(_xll.BDP($G19,AY$5),1)="#","#LOADING",_xll.BDP($G19,AY$5))</f>
        <v>0</v>
      </c>
      <c r="AZ19" s="70"/>
      <c r="BA19" s="69" t="str">
        <f>IF(LEFT(_xll.BDP($G19,BA$5),1)="#","#LOADING","Type"&amp;IF(_xll.BDP($G19,BA$5)=999,1,_xll.BDP($G19,BA$5)))</f>
        <v>Type</v>
      </c>
      <c r="BB19" s="54"/>
      <c r="BD19" s="61" t="s">
        <v>7</v>
      </c>
      <c r="BE19" s="66">
        <v>1000000</v>
      </c>
      <c r="BF19" s="61" t="s">
        <v>14</v>
      </c>
      <c r="BG19" s="61" t="s">
        <v>17</v>
      </c>
      <c r="BH19" s="70"/>
      <c r="BI19" s="73" t="e">
        <f t="shared" si="4"/>
        <v>#N/A</v>
      </c>
      <c r="BJ19" s="74">
        <f t="shared" si="5"/>
        <v>0</v>
      </c>
      <c r="BK19" s="71">
        <v>1</v>
      </c>
      <c r="BL19" s="75">
        <f t="shared" si="6"/>
        <v>0</v>
      </c>
      <c r="BM19" s="61"/>
      <c r="BN19" s="61"/>
      <c r="BO19" s="72"/>
      <c r="BP19" s="72"/>
      <c r="BQ19" s="71"/>
      <c r="BR19" s="76" t="e">
        <f t="shared" si="7"/>
        <v>#VALUE!</v>
      </c>
      <c r="BS19" s="76" t="e">
        <f t="shared" si="8"/>
        <v>#VALUE!</v>
      </c>
      <c r="BT19" s="77" t="str">
        <f t="shared" si="9"/>
        <v>ZERO-COUPON</v>
      </c>
      <c r="BU19" s="77" t="str">
        <f t="shared" si="9"/>
        <v>ZERO-COUPON</v>
      </c>
      <c r="BV19" s="78">
        <f t="shared" si="10"/>
        <v>0</v>
      </c>
      <c r="BW19" s="61"/>
      <c r="BX19" s="61"/>
      <c r="BY19" s="61" t="s">
        <v>51</v>
      </c>
      <c r="BZ19" s="73" t="e">
        <f t="shared" si="11"/>
        <v>#N/A</v>
      </c>
      <c r="CA19" s="61" t="s">
        <v>51</v>
      </c>
      <c r="CB19" s="73" t="e">
        <f t="shared" si="12"/>
        <v>#N/A</v>
      </c>
      <c r="CC19" s="76" t="e">
        <f t="shared" si="13"/>
        <v>#VALUE!</v>
      </c>
      <c r="CD19" s="76" t="e">
        <f t="shared" si="14"/>
        <v>#VALUE!</v>
      </c>
      <c r="CE19" s="70" t="s">
        <v>80</v>
      </c>
      <c r="CF19" s="61"/>
      <c r="CG19" s="61"/>
      <c r="CH19" s="61" t="s">
        <v>62</v>
      </c>
      <c r="CI19" s="61"/>
      <c r="CJ19" s="76" t="str">
        <f t="shared" si="15"/>
        <v>Type</v>
      </c>
      <c r="CL19" s="61" t="s">
        <v>8</v>
      </c>
      <c r="CM19" s="66">
        <v>1000000</v>
      </c>
      <c r="CN19" s="61" t="s">
        <v>14</v>
      </c>
      <c r="CO19" s="61" t="s">
        <v>18</v>
      </c>
      <c r="CP19" s="53" t="e">
        <f t="shared" si="16"/>
        <v>#N/A</v>
      </c>
      <c r="CQ19" s="53" t="e">
        <f t="shared" si="17"/>
        <v>#N/A</v>
      </c>
      <c r="CR19" s="41">
        <f t="shared" si="18"/>
        <v>0</v>
      </c>
      <c r="CS19" s="71">
        <v>1</v>
      </c>
      <c r="CT19" s="81"/>
      <c r="CU19" s="61" t="s">
        <v>32</v>
      </c>
      <c r="CV19" s="61" t="s">
        <v>32</v>
      </c>
      <c r="CW19" s="72"/>
      <c r="CX19" s="72"/>
      <c r="CY19" s="71"/>
      <c r="CZ19" s="82" t="e">
        <f t="shared" si="19"/>
        <v>#VALUE!</v>
      </c>
      <c r="DA19" s="82" t="e">
        <f t="shared" si="20"/>
        <v>#VALUE!</v>
      </c>
      <c r="DB19" s="53">
        <f t="shared" si="21"/>
        <v>0</v>
      </c>
      <c r="DC19" s="53">
        <f t="shared" si="21"/>
        <v>0</v>
      </c>
      <c r="DD19" s="53" t="e">
        <f t="shared" si="22"/>
        <v>#N/A</v>
      </c>
      <c r="DE19" s="61" t="s">
        <v>58</v>
      </c>
      <c r="DF19" s="53" t="e">
        <f t="shared" si="23"/>
        <v>#N/A</v>
      </c>
      <c r="DG19" s="61" t="s">
        <v>51</v>
      </c>
      <c r="DH19" s="53" t="e">
        <f t="shared" si="24"/>
        <v>#N/A</v>
      </c>
      <c r="DI19" s="61" t="s">
        <v>51</v>
      </c>
      <c r="DJ19" s="53" t="e">
        <f t="shared" si="25"/>
        <v>#N/A</v>
      </c>
      <c r="DK19" s="82"/>
      <c r="DL19" s="82"/>
      <c r="DM19" s="70"/>
      <c r="DN19" s="61" t="s">
        <v>62</v>
      </c>
      <c r="DO19" s="61"/>
      <c r="DP19" s="61" t="s">
        <v>62</v>
      </c>
      <c r="DQ19" s="61" t="s">
        <v>75</v>
      </c>
      <c r="DR19" s="82"/>
      <c r="DV19" s="61" t="s">
        <v>253</v>
      </c>
      <c r="DW19" s="66">
        <v>1000000</v>
      </c>
      <c r="DX19" s="61" t="s">
        <v>14</v>
      </c>
      <c r="DY19" s="61" t="s">
        <v>17</v>
      </c>
      <c r="DZ19" s="70"/>
      <c r="EA19" s="73" t="e">
        <f t="shared" si="26"/>
        <v>#N/A</v>
      </c>
      <c r="EB19" s="74">
        <f t="shared" si="27"/>
        <v>0</v>
      </c>
      <c r="EC19" s="71">
        <v>1</v>
      </c>
      <c r="ED19" s="75">
        <f t="shared" si="28"/>
        <v>0</v>
      </c>
      <c r="EE19" s="61"/>
      <c r="EF19" s="61"/>
      <c r="EG19" s="72"/>
      <c r="EH19" s="72"/>
      <c r="EI19" s="71"/>
      <c r="EJ19" s="76" t="e">
        <f t="shared" si="29"/>
        <v>#VALUE!</v>
      </c>
      <c r="EK19" s="76" t="e">
        <f t="shared" si="30"/>
        <v>#VALUE!</v>
      </c>
      <c r="EL19" s="77" t="str">
        <f t="shared" si="31"/>
        <v>ZERO-COUPON</v>
      </c>
      <c r="EM19" s="77" t="str">
        <f t="shared" si="31"/>
        <v>ZERO-COUPON</v>
      </c>
      <c r="EN19" s="78">
        <f t="shared" si="32"/>
        <v>0</v>
      </c>
      <c r="EO19" s="61"/>
      <c r="EP19" s="61"/>
      <c r="EQ19" s="61" t="s">
        <v>51</v>
      </c>
      <c r="ER19" s="73" t="e">
        <f t="shared" si="33"/>
        <v>#N/A</v>
      </c>
      <c r="ES19" s="61" t="s">
        <v>51</v>
      </c>
      <c r="ET19" s="73" t="e">
        <f t="shared" si="34"/>
        <v>#N/A</v>
      </c>
      <c r="EU19" s="76" t="e">
        <f t="shared" si="35"/>
        <v>#VALUE!</v>
      </c>
      <c r="EV19" s="76" t="e">
        <f t="shared" si="36"/>
        <v>#VALUE!</v>
      </c>
      <c r="EW19" s="70" t="s">
        <v>80</v>
      </c>
      <c r="EX19" s="61"/>
      <c r="EY19" s="61"/>
      <c r="EZ19" s="61" t="s">
        <v>62</v>
      </c>
      <c r="FA19" s="61"/>
      <c r="FB19" s="61"/>
      <c r="FC19" s="61"/>
      <c r="FE19" s="61" t="s">
        <v>254</v>
      </c>
      <c r="FF19" s="66">
        <v>1000000</v>
      </c>
      <c r="FG19" s="61" t="s">
        <v>14</v>
      </c>
      <c r="FH19" s="61" t="s">
        <v>18</v>
      </c>
      <c r="FI19" s="73" t="e">
        <f t="shared" si="37"/>
        <v>#N/A</v>
      </c>
      <c r="FJ19" s="73" t="e">
        <f t="shared" si="38"/>
        <v>#N/A</v>
      </c>
      <c r="FK19" s="41">
        <f t="shared" si="39"/>
        <v>0</v>
      </c>
      <c r="FL19" s="71">
        <v>1</v>
      </c>
      <c r="FM19" s="81"/>
      <c r="FN19" s="61" t="s">
        <v>32</v>
      </c>
      <c r="FO19" s="61" t="s">
        <v>32</v>
      </c>
      <c r="FP19" s="72"/>
      <c r="FQ19" s="72"/>
      <c r="FR19" s="71"/>
      <c r="FS19" s="76" t="e">
        <f t="shared" si="40"/>
        <v>#VALUE!</v>
      </c>
      <c r="FT19" s="76" t="e">
        <f t="shared" si="41"/>
        <v>#VALUE!</v>
      </c>
      <c r="FU19" s="73">
        <f t="shared" si="42"/>
        <v>0</v>
      </c>
      <c r="FV19" s="73">
        <f t="shared" si="42"/>
        <v>0</v>
      </c>
      <c r="FW19" s="73" t="e">
        <f t="shared" si="43"/>
        <v>#N/A</v>
      </c>
      <c r="FX19" s="61" t="s">
        <v>58</v>
      </c>
      <c r="FY19" s="73" t="e">
        <f t="shared" si="44"/>
        <v>#N/A</v>
      </c>
      <c r="FZ19" s="61" t="s">
        <v>51</v>
      </c>
      <c r="GA19" s="73" t="e">
        <f t="shared" si="45"/>
        <v>#N/A</v>
      </c>
      <c r="GB19" s="61" t="s">
        <v>51</v>
      </c>
      <c r="GC19" s="73" t="e">
        <f t="shared" si="46"/>
        <v>#N/A</v>
      </c>
      <c r="GD19" s="82"/>
      <c r="GE19" s="82"/>
      <c r="GF19" s="70"/>
      <c r="GG19" s="61" t="s">
        <v>62</v>
      </c>
      <c r="GH19" s="61"/>
      <c r="GI19" s="61" t="s">
        <v>62</v>
      </c>
      <c r="GJ19" s="61" t="s">
        <v>75</v>
      </c>
      <c r="GK19" s="286">
        <f t="shared" si="54"/>
        <v>0</v>
      </c>
      <c r="GL19" s="82" t="str">
        <f t="shared" si="55"/>
        <v>Type</v>
      </c>
      <c r="GP19" s="95">
        <f t="shared" si="47"/>
        <v>0</v>
      </c>
      <c r="GQ19" s="42">
        <f>IF(LEFT(_xll.BDP($C19,GQ$5),1)="#","#LOADING",_xll.BDP($C19,GQ$5))</f>
        <v>0</v>
      </c>
      <c r="GR19" s="74">
        <f t="shared" si="48"/>
        <v>0</v>
      </c>
      <c r="GS19" s="74" t="e">
        <f t="shared" si="49"/>
        <v>#VALUE!</v>
      </c>
      <c r="GT19" s="64" t="s">
        <v>20</v>
      </c>
      <c r="GU19" s="42" t="b">
        <f>IF(LEFT(_xll.BDP($C19,GU$5),1)="#","#LOADING",IF(_xll.BDP($C19,GU$5)="CLEAN",TRUE,FALSE))</f>
        <v>0</v>
      </c>
      <c r="GV19" s="64" t="s">
        <v>26</v>
      </c>
      <c r="GW19" s="61" t="s">
        <v>18</v>
      </c>
      <c r="GX19" s="65" t="s">
        <v>28</v>
      </c>
      <c r="GY19" s="66">
        <v>1000000</v>
      </c>
      <c r="GZ19" s="96" t="e">
        <f>IF(LEFT(_xll.BDP($C19,GZ$5),1)="#","#LOADING",DATEVALUE(_xll.BDP($C19,GZ$5)))</f>
        <v>#VALUE!</v>
      </c>
      <c r="HA19" s="96" t="e">
        <f>IF(LEFT(_xll.BDP($C19,HA$5),1)="#","#LOADING",DATEVALUE(_xll.BDP($C19,HA$5)))</f>
        <v>#VALUE!</v>
      </c>
      <c r="HB19" s="96" t="e">
        <f>IF(LEFT(_xll.BDP($C19,HB$5),1)="#","#LOADING",DATEVALUE(_xll.BDP($C19,HB$5)))</f>
        <v>#VALUE!</v>
      </c>
      <c r="HC19" s="96" t="e">
        <f>IF(LEFT(_xll.BDP($C19,HC$5),1)="#","#LOADING",DATEVALUE(_xll.BDP($C19,HC$5)))</f>
        <v>#VALUE!</v>
      </c>
      <c r="HD19" s="96" t="e">
        <f>IF(LEFT(_xll.BDP($C19,HD$5),1)="#","#LOADING",DATEVALUE(_xll.BDP($C19,HD$5)))</f>
        <v>#VALUE!</v>
      </c>
      <c r="HE19" s="97">
        <f>IF(LEFT(_xll.BDP($C19,HE$5),1)="#","#LOADING",_xll.BDP($C19,HE$5)%)</f>
        <v>0</v>
      </c>
      <c r="HF19" s="97" t="str">
        <f>IF(LEFT(_xll.BDP($C19,HF$5),1)="#","#LOADING",VLOOKUP(_xll.BDP($C19,HF$5),Static.CouponFrequency,2,FALSE))</f>
        <v>ZERO-COUPON</v>
      </c>
      <c r="HG19" s="68" t="s">
        <v>51</v>
      </c>
      <c r="HH19" s="73" t="e">
        <f t="shared" si="50"/>
        <v>#N/A</v>
      </c>
      <c r="HI19" s="61" t="s">
        <v>51</v>
      </c>
      <c r="HJ19" s="73" t="e">
        <f t="shared" si="51"/>
        <v>#N/A</v>
      </c>
      <c r="HK19" s="61" t="s">
        <v>62</v>
      </c>
      <c r="HL19" s="43">
        <f>IF(LEFT(_xll.BDP($C19,HL$5),1)="#","#LOADING",_xll.BDP($C19,HL$5))</f>
        <v>0</v>
      </c>
      <c r="HM19" s="70"/>
      <c r="HN19" s="280">
        <f>IF(LEFT(_xll.BDP($C19,HN$5),1)="#","#LOADING",_xll.BDP($C19,HN$5))</f>
        <v>0</v>
      </c>
      <c r="HO19" s="43" t="str">
        <f>IF(LEFT(_xll.BDP($C19,HO$5),1)="#","#LOADING","Type"&amp;IF(_xll.BDP($C19,HO$5)=999,1,_xll.BDP($C19,HO$5)))</f>
        <v>Type</v>
      </c>
    </row>
    <row r="20" spans="1:223">
      <c r="A20" s="101">
        <v>14</v>
      </c>
      <c r="B20" s="57"/>
      <c r="C20" s="57"/>
      <c r="D20" s="57"/>
      <c r="E20" s="57"/>
      <c r="F20" s="57"/>
      <c r="G20" s="57"/>
      <c r="H20" s="57"/>
      <c r="I20" s="57"/>
      <c r="J20" s="101">
        <v>14</v>
      </c>
      <c r="K20" s="58" t="s">
        <v>163</v>
      </c>
      <c r="L20" s="59" t="str">
        <f>IF(ISBLANK(M20),IF($G20="","",_xll.BDP(G20&amp;" "&amp;$K20&amp;" Corp","PX_LAST")),M20)</f>
        <v/>
      </c>
      <c r="M20" s="60"/>
      <c r="N20" s="83" t="str">
        <f ca="1">IF(ISBLANK($O20),IF($G20="","",_xll.meLWOAssetSwapSpread($Y20,$X20,$L20,INDIRECT("ValuationSettings"&amp;$CR20),INDIRECT("Fixings"&amp;$CR20&amp;IF($I20="QUARTERLY","3ML","6ML")))),$O20)</f>
        <v/>
      </c>
      <c r="O20" s="60"/>
      <c r="P20" s="84" t="str">
        <f ca="1">IF($C20="","",_xll.meLWOAssetSwapSpreadToCleanPrice($Z20,$N20,INDIRECT("ValuationSettings"&amp;$D20),INDIRECT("Fixings"&amp;$EB20&amp;IF($E20="QUARTERLY","3ML","6ML"))))</f>
        <v/>
      </c>
      <c r="Q20" s="84" t="str">
        <f>IF($C20="","",_xll.meLWOBondPriceFromCleanToDirty($AA20,_xll.meUtilityLVBFromKeysValues($S$6:$T$6,S20:T20),$P20))</f>
        <v/>
      </c>
      <c r="R20" s="98" t="str">
        <f>IF($C20="","",_xll.meLWOBondYield($AA20,_xll.meUtilityLVBFromKeysValues($S$6:$V$6,S20:V20),IF($GU20,$P20,$Q20)))</f>
        <v/>
      </c>
      <c r="S20" s="127" t="str">
        <f t="shared" ca="1" si="52"/>
        <v/>
      </c>
      <c r="T20" s="98" t="str">
        <f t="shared" si="53"/>
        <v/>
      </c>
      <c r="U20" s="98" t="str">
        <f>IF($C20="","",_xll.BDP($C20,$U$5)%)</f>
        <v/>
      </c>
      <c r="V20" s="274" t="str">
        <f>IF($C20="","",_xll.BDP($C20,$V$5)%)</f>
        <v/>
      </c>
      <c r="W20" s="101">
        <v>14</v>
      </c>
      <c r="X20" s="53" t="str">
        <f>IF($G20="","",IF(LEFT(AD20,1)="#","#LOADING",_xll.meLWOBondCreateFromLVB("PROXY_BOND_"&amp;$AF20,_xll.meUtilityLVBFromKeysValues($AC$6:$BA$6,$AC20:$BA20))))</f>
        <v/>
      </c>
      <c r="Y20" s="53" t="str">
        <f>IF($G20="","",_xll.meLWOSwapCreate("PROXY_ASW_"&amp;$AF20,_xll.meUtilityLVBFromKeysAndMultipleValues($BD$6:$CJ$6,$BD20:$CJ20,$CL20:$DR20)))</f>
        <v/>
      </c>
      <c r="Z20" s="53" t="str">
        <f>IF($C20="","",_xll.meLWOSwapCreate("BOND_ASW_"&amp;$GS20,_xll.meUtilityLVBFromKeysAndMultipleValues($DV$6:$FC$6,$DV20:$FC20,$FE20:$GL20)))</f>
        <v/>
      </c>
      <c r="AA20" s="53" t="str">
        <f>IF($C20="","",IF(LEFT(GQ20,1)="#","#LOADING",_xll.meLWOBondCreateFromLVB("PROXY_BOND_"&amp;$GS20,_xll.meUtilityLVBFromKeysValues($GP$6:$HO$6,$GP20:$HO20))))</f>
        <v/>
      </c>
      <c r="AB20" t="s">
        <v>0</v>
      </c>
      <c r="AC20" s="62">
        <f t="shared" si="0"/>
        <v>0</v>
      </c>
      <c r="AD20" s="63">
        <f>IF(LEFT(_xll.BDP($G20,AD$5),1)="#","#LOADING",_xll.BDP($G20,AD$5))</f>
        <v>0</v>
      </c>
      <c r="AE20" s="41">
        <f t="shared" si="1"/>
        <v>0</v>
      </c>
      <c r="AF20" s="63">
        <f>IF(LEFT(_xll.BDP($G20,AF$5),1)="#","#LOADING",_xll.BDP($G20,AF$5))</f>
        <v>0</v>
      </c>
      <c r="AG20" s="64" t="s">
        <v>20</v>
      </c>
      <c r="AH20" s="63" t="b">
        <f>IF(LEFT(_xll.BDP($G20,AH$5),1)="#","#LOADING",IF(_xll.BDP($G20,AH$5)="CLEAN",TRUE,FALSE))</f>
        <v>0</v>
      </c>
      <c r="AI20" s="64" t="s">
        <v>26</v>
      </c>
      <c r="AJ20" s="61" t="s">
        <v>18</v>
      </c>
      <c r="AK20" s="65" t="s">
        <v>28</v>
      </c>
      <c r="AL20" s="66">
        <v>1000000</v>
      </c>
      <c r="AM20" s="63" t="e">
        <f>IF(LEFT(_xll.BDP($G20,AM$5),1)="#","#LOADING",DATEVALUE(_xll.BDP($G20,AM$5)))</f>
        <v>#VALUE!</v>
      </c>
      <c r="AN20" s="63" t="e">
        <f>IF(LEFT(_xll.BDP($G20,AN$5),1)="#","#LOADING",DATEVALUE(_xll.BDP($G20,AN$5)))</f>
        <v>#VALUE!</v>
      </c>
      <c r="AO20" s="63" t="e">
        <f>IF(LEFT(_xll.BDP($G20,AO$5),1)="#","#LOADING",DATEVALUE(_xll.BDP($G20,AO$5)))</f>
        <v>#VALUE!</v>
      </c>
      <c r="AP20" s="63" t="e">
        <f>IF(LEFT(_xll.BDP($G20,AP$5),1)="#","#LOADING",DATEVALUE(_xll.BDP($G20,AP$5)))</f>
        <v>#VALUE!</v>
      </c>
      <c r="AQ20" s="63" t="e">
        <f>IF(LEFT(_xll.BDP($G20,AQ$5),1)="#","#LOADING",DATEVALUE(_xll.BDP($G20,AQ$5)))</f>
        <v>#VALUE!</v>
      </c>
      <c r="AR20" s="67">
        <f>IF(LEFT(_xll.BDP($G20,AR$5),1)="#","#LOADING",_xll.BDP($G20,AR$5)%)</f>
        <v>0</v>
      </c>
      <c r="AS20" s="67" t="str">
        <f>IF(LEFT(_xll.BDP($G20,AS$5),1)="#","#LOADING",VLOOKUP(_xll.BDP($G20,AS$5),Static.CouponFrequency,2,FALSE))</f>
        <v>ZERO-COUPON</v>
      </c>
      <c r="AT20" s="68" t="s">
        <v>51</v>
      </c>
      <c r="AU20" s="53" t="e">
        <f t="shared" si="2"/>
        <v>#N/A</v>
      </c>
      <c r="AV20" s="61" t="s">
        <v>51</v>
      </c>
      <c r="AW20" s="53" t="e">
        <f t="shared" si="3"/>
        <v>#N/A</v>
      </c>
      <c r="AX20" s="61" t="s">
        <v>62</v>
      </c>
      <c r="AY20" s="69">
        <f>IF(LEFT(_xll.BDP($G20,AY$5),1)="#","#LOADING",_xll.BDP($G20,AY$5))</f>
        <v>0</v>
      </c>
      <c r="AZ20" s="70"/>
      <c r="BA20" s="69" t="str">
        <f>IF(LEFT(_xll.BDP($G20,BA$5),1)="#","#LOADING","Type"&amp;IF(_xll.BDP($G20,BA$5)=999,1,_xll.BDP($G20,BA$5)))</f>
        <v>Type</v>
      </c>
      <c r="BB20" s="54"/>
      <c r="BD20" s="61" t="s">
        <v>7</v>
      </c>
      <c r="BE20" s="66">
        <v>1000000</v>
      </c>
      <c r="BF20" s="61" t="s">
        <v>14</v>
      </c>
      <c r="BG20" s="61" t="s">
        <v>17</v>
      </c>
      <c r="BH20" s="70"/>
      <c r="BI20" s="73" t="e">
        <f t="shared" si="4"/>
        <v>#N/A</v>
      </c>
      <c r="BJ20" s="74">
        <f t="shared" si="5"/>
        <v>0</v>
      </c>
      <c r="BK20" s="71">
        <v>1</v>
      </c>
      <c r="BL20" s="75">
        <f t="shared" si="6"/>
        <v>0</v>
      </c>
      <c r="BM20" s="61"/>
      <c r="BN20" s="61"/>
      <c r="BO20" s="72"/>
      <c r="BP20" s="72"/>
      <c r="BQ20" s="71"/>
      <c r="BR20" s="76" t="e">
        <f t="shared" si="7"/>
        <v>#VALUE!</v>
      </c>
      <c r="BS20" s="76" t="e">
        <f t="shared" si="8"/>
        <v>#VALUE!</v>
      </c>
      <c r="BT20" s="77" t="str">
        <f t="shared" si="9"/>
        <v>ZERO-COUPON</v>
      </c>
      <c r="BU20" s="77" t="str">
        <f t="shared" si="9"/>
        <v>ZERO-COUPON</v>
      </c>
      <c r="BV20" s="78">
        <f t="shared" si="10"/>
        <v>0</v>
      </c>
      <c r="BW20" s="61"/>
      <c r="BX20" s="61"/>
      <c r="BY20" s="61" t="s">
        <v>51</v>
      </c>
      <c r="BZ20" s="73" t="e">
        <f t="shared" si="11"/>
        <v>#N/A</v>
      </c>
      <c r="CA20" s="61" t="s">
        <v>51</v>
      </c>
      <c r="CB20" s="73" t="e">
        <f t="shared" si="12"/>
        <v>#N/A</v>
      </c>
      <c r="CC20" s="76" t="e">
        <f t="shared" si="13"/>
        <v>#VALUE!</v>
      </c>
      <c r="CD20" s="76" t="e">
        <f t="shared" si="14"/>
        <v>#VALUE!</v>
      </c>
      <c r="CE20" s="70" t="s">
        <v>80</v>
      </c>
      <c r="CF20" s="61"/>
      <c r="CG20" s="61"/>
      <c r="CH20" s="61" t="s">
        <v>62</v>
      </c>
      <c r="CI20" s="61"/>
      <c r="CJ20" s="76" t="str">
        <f t="shared" si="15"/>
        <v>Type</v>
      </c>
      <c r="CL20" s="61" t="s">
        <v>8</v>
      </c>
      <c r="CM20" s="66">
        <v>1000000</v>
      </c>
      <c r="CN20" s="61" t="s">
        <v>14</v>
      </c>
      <c r="CO20" s="61" t="s">
        <v>18</v>
      </c>
      <c r="CP20" s="53" t="e">
        <f t="shared" si="16"/>
        <v>#N/A</v>
      </c>
      <c r="CQ20" s="53" t="e">
        <f t="shared" si="17"/>
        <v>#N/A</v>
      </c>
      <c r="CR20" s="41">
        <f t="shared" si="18"/>
        <v>0</v>
      </c>
      <c r="CS20" s="71">
        <v>1</v>
      </c>
      <c r="CT20" s="81"/>
      <c r="CU20" s="61" t="s">
        <v>32</v>
      </c>
      <c r="CV20" s="61" t="s">
        <v>32</v>
      </c>
      <c r="CW20" s="72"/>
      <c r="CX20" s="72"/>
      <c r="CY20" s="71"/>
      <c r="CZ20" s="82" t="e">
        <f t="shared" si="19"/>
        <v>#VALUE!</v>
      </c>
      <c r="DA20" s="82" t="e">
        <f t="shared" si="20"/>
        <v>#VALUE!</v>
      </c>
      <c r="DB20" s="53">
        <f t="shared" si="21"/>
        <v>0</v>
      </c>
      <c r="DC20" s="53">
        <f t="shared" si="21"/>
        <v>0</v>
      </c>
      <c r="DD20" s="53" t="e">
        <f t="shared" si="22"/>
        <v>#N/A</v>
      </c>
      <c r="DE20" s="61" t="s">
        <v>58</v>
      </c>
      <c r="DF20" s="53" t="e">
        <f t="shared" si="23"/>
        <v>#N/A</v>
      </c>
      <c r="DG20" s="61" t="s">
        <v>51</v>
      </c>
      <c r="DH20" s="53" t="e">
        <f t="shared" si="24"/>
        <v>#N/A</v>
      </c>
      <c r="DI20" s="61" t="s">
        <v>51</v>
      </c>
      <c r="DJ20" s="53" t="e">
        <f t="shared" si="25"/>
        <v>#N/A</v>
      </c>
      <c r="DK20" s="82"/>
      <c r="DL20" s="82"/>
      <c r="DM20" s="70"/>
      <c r="DN20" s="61" t="s">
        <v>62</v>
      </c>
      <c r="DO20" s="61"/>
      <c r="DP20" s="61" t="s">
        <v>62</v>
      </c>
      <c r="DQ20" s="61" t="s">
        <v>75</v>
      </c>
      <c r="DR20" s="82"/>
      <c r="DV20" s="61" t="s">
        <v>253</v>
      </c>
      <c r="DW20" s="66">
        <v>1000000</v>
      </c>
      <c r="DX20" s="61" t="s">
        <v>14</v>
      </c>
      <c r="DY20" s="61" t="s">
        <v>17</v>
      </c>
      <c r="DZ20" s="70"/>
      <c r="EA20" s="73" t="e">
        <f t="shared" si="26"/>
        <v>#N/A</v>
      </c>
      <c r="EB20" s="74">
        <f t="shared" si="27"/>
        <v>0</v>
      </c>
      <c r="EC20" s="71">
        <v>1</v>
      </c>
      <c r="ED20" s="75">
        <f t="shared" si="28"/>
        <v>0</v>
      </c>
      <c r="EE20" s="61"/>
      <c r="EF20" s="61"/>
      <c r="EG20" s="72"/>
      <c r="EH20" s="72"/>
      <c r="EI20" s="71"/>
      <c r="EJ20" s="76" t="e">
        <f t="shared" si="29"/>
        <v>#VALUE!</v>
      </c>
      <c r="EK20" s="76" t="e">
        <f t="shared" si="30"/>
        <v>#VALUE!</v>
      </c>
      <c r="EL20" s="77" t="str">
        <f t="shared" si="31"/>
        <v>ZERO-COUPON</v>
      </c>
      <c r="EM20" s="77" t="str">
        <f t="shared" si="31"/>
        <v>ZERO-COUPON</v>
      </c>
      <c r="EN20" s="78">
        <f t="shared" si="32"/>
        <v>0</v>
      </c>
      <c r="EO20" s="61"/>
      <c r="EP20" s="61"/>
      <c r="EQ20" s="61" t="s">
        <v>51</v>
      </c>
      <c r="ER20" s="73" t="e">
        <f t="shared" si="33"/>
        <v>#N/A</v>
      </c>
      <c r="ES20" s="61" t="s">
        <v>51</v>
      </c>
      <c r="ET20" s="73" t="e">
        <f t="shared" si="34"/>
        <v>#N/A</v>
      </c>
      <c r="EU20" s="76" t="e">
        <f t="shared" si="35"/>
        <v>#VALUE!</v>
      </c>
      <c r="EV20" s="76" t="e">
        <f t="shared" si="36"/>
        <v>#VALUE!</v>
      </c>
      <c r="EW20" s="70" t="s">
        <v>80</v>
      </c>
      <c r="EX20" s="61"/>
      <c r="EY20" s="61"/>
      <c r="EZ20" s="61" t="s">
        <v>62</v>
      </c>
      <c r="FA20" s="61"/>
      <c r="FB20" s="61"/>
      <c r="FC20" s="61"/>
      <c r="FE20" s="61" t="s">
        <v>254</v>
      </c>
      <c r="FF20" s="66">
        <v>1000000</v>
      </c>
      <c r="FG20" s="61" t="s">
        <v>14</v>
      </c>
      <c r="FH20" s="61" t="s">
        <v>18</v>
      </c>
      <c r="FI20" s="73" t="e">
        <f t="shared" si="37"/>
        <v>#N/A</v>
      </c>
      <c r="FJ20" s="73" t="e">
        <f t="shared" si="38"/>
        <v>#N/A</v>
      </c>
      <c r="FK20" s="41">
        <f t="shared" si="39"/>
        <v>0</v>
      </c>
      <c r="FL20" s="71">
        <v>1</v>
      </c>
      <c r="FM20" s="81"/>
      <c r="FN20" s="61" t="s">
        <v>32</v>
      </c>
      <c r="FO20" s="61" t="s">
        <v>32</v>
      </c>
      <c r="FP20" s="72"/>
      <c r="FQ20" s="72"/>
      <c r="FR20" s="71"/>
      <c r="FS20" s="76" t="e">
        <f t="shared" si="40"/>
        <v>#VALUE!</v>
      </c>
      <c r="FT20" s="76" t="e">
        <f t="shared" si="41"/>
        <v>#VALUE!</v>
      </c>
      <c r="FU20" s="73">
        <f t="shared" si="42"/>
        <v>0</v>
      </c>
      <c r="FV20" s="73">
        <f t="shared" si="42"/>
        <v>0</v>
      </c>
      <c r="FW20" s="73" t="e">
        <f t="shared" si="43"/>
        <v>#N/A</v>
      </c>
      <c r="FX20" s="61" t="s">
        <v>58</v>
      </c>
      <c r="FY20" s="73" t="e">
        <f t="shared" si="44"/>
        <v>#N/A</v>
      </c>
      <c r="FZ20" s="61" t="s">
        <v>51</v>
      </c>
      <c r="GA20" s="73" t="e">
        <f t="shared" si="45"/>
        <v>#N/A</v>
      </c>
      <c r="GB20" s="61" t="s">
        <v>51</v>
      </c>
      <c r="GC20" s="73" t="e">
        <f t="shared" si="46"/>
        <v>#N/A</v>
      </c>
      <c r="GD20" s="82"/>
      <c r="GE20" s="82"/>
      <c r="GF20" s="70"/>
      <c r="GG20" s="61" t="s">
        <v>62</v>
      </c>
      <c r="GH20" s="61"/>
      <c r="GI20" s="61" t="s">
        <v>62</v>
      </c>
      <c r="GJ20" s="61" t="s">
        <v>75</v>
      </c>
      <c r="GK20" s="286">
        <f t="shared" si="54"/>
        <v>0</v>
      </c>
      <c r="GL20" s="82" t="str">
        <f t="shared" si="55"/>
        <v>Type</v>
      </c>
      <c r="GP20" s="95">
        <f t="shared" si="47"/>
        <v>0</v>
      </c>
      <c r="GQ20" s="42">
        <f>IF(LEFT(_xll.BDP($C20,GQ$5),1)="#","#LOADING",_xll.BDP($C20,GQ$5))</f>
        <v>0</v>
      </c>
      <c r="GR20" s="74">
        <f t="shared" si="48"/>
        <v>0</v>
      </c>
      <c r="GS20" s="74" t="e">
        <f t="shared" si="49"/>
        <v>#VALUE!</v>
      </c>
      <c r="GT20" s="64" t="s">
        <v>20</v>
      </c>
      <c r="GU20" s="42" t="b">
        <f>IF(LEFT(_xll.BDP($C20,GU$5),1)="#","#LOADING",IF(_xll.BDP($C20,GU$5)="CLEAN",TRUE,FALSE))</f>
        <v>0</v>
      </c>
      <c r="GV20" s="64" t="s">
        <v>26</v>
      </c>
      <c r="GW20" s="61" t="s">
        <v>18</v>
      </c>
      <c r="GX20" s="65" t="s">
        <v>28</v>
      </c>
      <c r="GY20" s="66">
        <v>1000000</v>
      </c>
      <c r="GZ20" s="96" t="e">
        <f>IF(LEFT(_xll.BDP($C20,GZ$5),1)="#","#LOADING",DATEVALUE(_xll.BDP($C20,GZ$5)))</f>
        <v>#VALUE!</v>
      </c>
      <c r="HA20" s="96" t="e">
        <f>IF(LEFT(_xll.BDP($C20,HA$5),1)="#","#LOADING",DATEVALUE(_xll.BDP($C20,HA$5)))</f>
        <v>#VALUE!</v>
      </c>
      <c r="HB20" s="96" t="e">
        <f>IF(LEFT(_xll.BDP($C20,HB$5),1)="#","#LOADING",DATEVALUE(_xll.BDP($C20,HB$5)))</f>
        <v>#VALUE!</v>
      </c>
      <c r="HC20" s="96" t="e">
        <f>IF(LEFT(_xll.BDP($C20,HC$5),1)="#","#LOADING",DATEVALUE(_xll.BDP($C20,HC$5)))</f>
        <v>#VALUE!</v>
      </c>
      <c r="HD20" s="96" t="e">
        <f>IF(LEFT(_xll.BDP($C20,HD$5),1)="#","#LOADING",DATEVALUE(_xll.BDP($C20,HD$5)))</f>
        <v>#VALUE!</v>
      </c>
      <c r="HE20" s="97">
        <f>IF(LEFT(_xll.BDP($C20,HE$5),1)="#","#LOADING",_xll.BDP($C20,HE$5)%)</f>
        <v>0</v>
      </c>
      <c r="HF20" s="97" t="str">
        <f>IF(LEFT(_xll.BDP($C20,HF$5),1)="#","#LOADING",VLOOKUP(_xll.BDP($C20,HF$5),Static.CouponFrequency,2,FALSE))</f>
        <v>ZERO-COUPON</v>
      </c>
      <c r="HG20" s="68" t="s">
        <v>51</v>
      </c>
      <c r="HH20" s="73" t="e">
        <f t="shared" si="50"/>
        <v>#N/A</v>
      </c>
      <c r="HI20" s="61" t="s">
        <v>51</v>
      </c>
      <c r="HJ20" s="73" t="e">
        <f t="shared" si="51"/>
        <v>#N/A</v>
      </c>
      <c r="HK20" s="61" t="s">
        <v>62</v>
      </c>
      <c r="HL20" s="43">
        <f>IF(LEFT(_xll.BDP($C20,HL$5),1)="#","#LOADING",_xll.BDP($C20,HL$5))</f>
        <v>0</v>
      </c>
      <c r="HM20" s="70"/>
      <c r="HN20" s="280">
        <f>IF(LEFT(_xll.BDP($C20,HN$5),1)="#","#LOADING",_xll.BDP($C20,HN$5))</f>
        <v>0</v>
      </c>
      <c r="HO20" s="43" t="str">
        <f>IF(LEFT(_xll.BDP($C20,HO$5),1)="#","#LOADING","Type"&amp;IF(_xll.BDP($C20,HO$5)=999,1,_xll.BDP($C20,HO$5)))</f>
        <v>Type</v>
      </c>
    </row>
    <row r="21" spans="1:223">
      <c r="A21" s="101">
        <v>15</v>
      </c>
      <c r="B21" s="57"/>
      <c r="C21" s="57"/>
      <c r="D21" s="57"/>
      <c r="E21" s="57"/>
      <c r="F21" s="57"/>
      <c r="G21" s="57"/>
      <c r="H21" s="57"/>
      <c r="I21" s="57"/>
      <c r="J21" s="101">
        <v>15</v>
      </c>
      <c r="K21" s="58" t="s">
        <v>163</v>
      </c>
      <c r="L21" s="59" t="str">
        <f>IF(ISBLANK(M21),IF($G21="","",_xll.BDP(G21&amp;" "&amp;$K21&amp;" Corp","PX_LAST")),M21)</f>
        <v/>
      </c>
      <c r="M21" s="60"/>
      <c r="N21" s="83" t="str">
        <f ca="1">IF(ISBLANK($O21),IF($G21="","",_xll.meLWOAssetSwapSpread($Y21,$X21,$L21,INDIRECT("ValuationSettings"&amp;$CR21),INDIRECT("Fixings"&amp;$CR21&amp;IF($I21="QUARTERLY","3ML","6ML")))),$O21)</f>
        <v/>
      </c>
      <c r="O21" s="60"/>
      <c r="P21" s="84" t="str">
        <f ca="1">IF($C21="","",_xll.meLWOAssetSwapSpreadToCleanPrice($Z21,$N21,INDIRECT("ValuationSettings"&amp;$D21),INDIRECT("Fixings"&amp;$EB21&amp;IF($E21="QUARTERLY","3ML","6ML"))))</f>
        <v/>
      </c>
      <c r="Q21" s="84" t="str">
        <f>IF($C21="","",_xll.meLWOBondPriceFromCleanToDirty($AA21,_xll.meUtilityLVBFromKeysValues($S$6:$T$6,S21:T21),$P21))</f>
        <v/>
      </c>
      <c r="R21" s="98" t="str">
        <f>IF($C21="","",_xll.meLWOBondYield($AA21,_xll.meUtilityLVBFromKeysValues($S$6:$V$6,S21:V21),IF($GU21,$P21,$Q21)))</f>
        <v/>
      </c>
      <c r="S21" s="127" t="str">
        <f t="shared" ca="1" si="52"/>
        <v/>
      </c>
      <c r="T21" s="98" t="str">
        <f t="shared" si="53"/>
        <v/>
      </c>
      <c r="U21" s="98" t="str">
        <f>IF($C21="","",_xll.BDP($C21,$U$5)%)</f>
        <v/>
      </c>
      <c r="V21" s="274" t="str">
        <f>IF($C21="","",_xll.BDP($C21,$V$5)%)</f>
        <v/>
      </c>
      <c r="W21" s="101">
        <v>15</v>
      </c>
      <c r="X21" s="53" t="str">
        <f>IF($G21="","",IF(LEFT(AD21,1)="#","#LOADING",_xll.meLWOBondCreateFromLVB("PROXY_BOND_"&amp;$AF21,_xll.meUtilityLVBFromKeysValues($AC$6:$BA$6,$AC21:$BA21))))</f>
        <v/>
      </c>
      <c r="Y21" s="53" t="str">
        <f>IF($G21="","",_xll.meLWOSwapCreate("PROXY_ASW_"&amp;$AF21,_xll.meUtilityLVBFromKeysAndMultipleValues($BD$6:$CJ$6,$BD21:$CJ21,$CL21:$DR21)))</f>
        <v/>
      </c>
      <c r="Z21" s="53" t="str">
        <f>IF($C21="","",_xll.meLWOSwapCreate("BOND_ASW_"&amp;$GS21,_xll.meUtilityLVBFromKeysAndMultipleValues($DV$6:$FC$6,$DV21:$FC21,$FE21:$GL21)))</f>
        <v/>
      </c>
      <c r="AA21" s="53" t="str">
        <f>IF($C21="","",IF(LEFT(GQ21,1)="#","#LOADING",_xll.meLWOBondCreateFromLVB("PROXY_BOND_"&amp;$GS21,_xll.meUtilityLVBFromKeysValues($GP$6:$HO$6,$GP21:$HO21))))</f>
        <v/>
      </c>
      <c r="AB21" t="s">
        <v>0</v>
      </c>
      <c r="AC21" s="62">
        <f t="shared" si="0"/>
        <v>0</v>
      </c>
      <c r="AD21" s="63">
        <f>IF(LEFT(_xll.BDP($G21,AD$5),1)="#","#LOADING",_xll.BDP($G21,AD$5))</f>
        <v>0</v>
      </c>
      <c r="AE21" s="41">
        <f t="shared" si="1"/>
        <v>0</v>
      </c>
      <c r="AF21" s="63">
        <f>IF(LEFT(_xll.BDP($G21,AF$5),1)="#","#LOADING",_xll.BDP($G21,AF$5))</f>
        <v>0</v>
      </c>
      <c r="AG21" s="64" t="s">
        <v>20</v>
      </c>
      <c r="AH21" s="63" t="b">
        <f>IF(LEFT(_xll.BDP($G21,AH$5),1)="#","#LOADING",IF(_xll.BDP($G21,AH$5)="CLEAN",TRUE,FALSE))</f>
        <v>0</v>
      </c>
      <c r="AI21" s="64" t="s">
        <v>26</v>
      </c>
      <c r="AJ21" s="61" t="s">
        <v>18</v>
      </c>
      <c r="AK21" s="65" t="s">
        <v>28</v>
      </c>
      <c r="AL21" s="66">
        <v>1000000</v>
      </c>
      <c r="AM21" s="63" t="e">
        <f>IF(LEFT(_xll.BDP($G21,AM$5),1)="#","#LOADING",DATEVALUE(_xll.BDP($G21,AM$5)))</f>
        <v>#VALUE!</v>
      </c>
      <c r="AN21" s="63" t="e">
        <f>IF(LEFT(_xll.BDP($G21,AN$5),1)="#","#LOADING",DATEVALUE(_xll.BDP($G21,AN$5)))</f>
        <v>#VALUE!</v>
      </c>
      <c r="AO21" s="63" t="e">
        <f>IF(LEFT(_xll.BDP($G21,AO$5),1)="#","#LOADING",DATEVALUE(_xll.BDP($G21,AO$5)))</f>
        <v>#VALUE!</v>
      </c>
      <c r="AP21" s="63" t="e">
        <f>IF(LEFT(_xll.BDP($G21,AP$5),1)="#","#LOADING",DATEVALUE(_xll.BDP($G21,AP$5)))</f>
        <v>#VALUE!</v>
      </c>
      <c r="AQ21" s="63" t="e">
        <f>IF(LEFT(_xll.BDP($G21,AQ$5),1)="#","#LOADING",DATEVALUE(_xll.BDP($G21,AQ$5)))</f>
        <v>#VALUE!</v>
      </c>
      <c r="AR21" s="67">
        <f>IF(LEFT(_xll.BDP($G21,AR$5),1)="#","#LOADING",_xll.BDP($G21,AR$5)%)</f>
        <v>0</v>
      </c>
      <c r="AS21" s="67" t="str">
        <f>IF(LEFT(_xll.BDP($G21,AS$5),1)="#","#LOADING",VLOOKUP(_xll.BDP($G21,AS$5),Static.CouponFrequency,2,FALSE))</f>
        <v>ZERO-COUPON</v>
      </c>
      <c r="AT21" s="68" t="s">
        <v>51</v>
      </c>
      <c r="AU21" s="53" t="e">
        <f t="shared" si="2"/>
        <v>#N/A</v>
      </c>
      <c r="AV21" s="61" t="s">
        <v>51</v>
      </c>
      <c r="AW21" s="53" t="e">
        <f t="shared" si="3"/>
        <v>#N/A</v>
      </c>
      <c r="AX21" s="61" t="s">
        <v>62</v>
      </c>
      <c r="AY21" s="69">
        <f>IF(LEFT(_xll.BDP($G21,AY$5),1)="#","#LOADING",_xll.BDP($G21,AY$5))</f>
        <v>0</v>
      </c>
      <c r="AZ21" s="70"/>
      <c r="BA21" s="69" t="str">
        <f>IF(LEFT(_xll.BDP($G21,BA$5),1)="#","#LOADING","Type"&amp;IF(_xll.BDP($G21,BA$5)=999,1,_xll.BDP($G21,BA$5)))</f>
        <v>Type</v>
      </c>
      <c r="BB21" s="54"/>
      <c r="BD21" s="61" t="s">
        <v>7</v>
      </c>
      <c r="BE21" s="66">
        <v>1000000</v>
      </c>
      <c r="BF21" s="61" t="s">
        <v>14</v>
      </c>
      <c r="BG21" s="61" t="s">
        <v>17</v>
      </c>
      <c r="BH21" s="70"/>
      <c r="BI21" s="73" t="e">
        <f t="shared" si="4"/>
        <v>#N/A</v>
      </c>
      <c r="BJ21" s="74">
        <f t="shared" si="5"/>
        <v>0</v>
      </c>
      <c r="BK21" s="71">
        <v>1</v>
      </c>
      <c r="BL21" s="75">
        <f t="shared" si="6"/>
        <v>0</v>
      </c>
      <c r="BM21" s="61"/>
      <c r="BN21" s="61"/>
      <c r="BO21" s="72"/>
      <c r="BP21" s="72"/>
      <c r="BQ21" s="71"/>
      <c r="BR21" s="76" t="e">
        <f t="shared" si="7"/>
        <v>#VALUE!</v>
      </c>
      <c r="BS21" s="76" t="e">
        <f t="shared" si="8"/>
        <v>#VALUE!</v>
      </c>
      <c r="BT21" s="77" t="str">
        <f t="shared" si="9"/>
        <v>ZERO-COUPON</v>
      </c>
      <c r="BU21" s="77" t="str">
        <f t="shared" si="9"/>
        <v>ZERO-COUPON</v>
      </c>
      <c r="BV21" s="78">
        <f t="shared" si="10"/>
        <v>0</v>
      </c>
      <c r="BW21" s="61"/>
      <c r="BX21" s="61"/>
      <c r="BY21" s="61" t="s">
        <v>51</v>
      </c>
      <c r="BZ21" s="73" t="e">
        <f t="shared" si="11"/>
        <v>#N/A</v>
      </c>
      <c r="CA21" s="61" t="s">
        <v>51</v>
      </c>
      <c r="CB21" s="73" t="e">
        <f t="shared" si="12"/>
        <v>#N/A</v>
      </c>
      <c r="CC21" s="76" t="e">
        <f t="shared" si="13"/>
        <v>#VALUE!</v>
      </c>
      <c r="CD21" s="76" t="e">
        <f t="shared" si="14"/>
        <v>#VALUE!</v>
      </c>
      <c r="CE21" s="70" t="s">
        <v>80</v>
      </c>
      <c r="CF21" s="61"/>
      <c r="CG21" s="61"/>
      <c r="CH21" s="61" t="s">
        <v>62</v>
      </c>
      <c r="CI21" s="61"/>
      <c r="CJ21" s="76" t="str">
        <f t="shared" si="15"/>
        <v>Type</v>
      </c>
      <c r="CL21" s="61" t="s">
        <v>8</v>
      </c>
      <c r="CM21" s="66">
        <v>1000000</v>
      </c>
      <c r="CN21" s="61" t="s">
        <v>14</v>
      </c>
      <c r="CO21" s="61" t="s">
        <v>18</v>
      </c>
      <c r="CP21" s="53" t="e">
        <f t="shared" si="16"/>
        <v>#N/A</v>
      </c>
      <c r="CQ21" s="53" t="e">
        <f t="shared" si="17"/>
        <v>#N/A</v>
      </c>
      <c r="CR21" s="41">
        <f t="shared" si="18"/>
        <v>0</v>
      </c>
      <c r="CS21" s="71">
        <v>1</v>
      </c>
      <c r="CT21" s="81"/>
      <c r="CU21" s="61" t="s">
        <v>32</v>
      </c>
      <c r="CV21" s="61" t="s">
        <v>32</v>
      </c>
      <c r="CW21" s="72"/>
      <c r="CX21" s="72"/>
      <c r="CY21" s="71"/>
      <c r="CZ21" s="82" t="e">
        <f t="shared" si="19"/>
        <v>#VALUE!</v>
      </c>
      <c r="DA21" s="82" t="e">
        <f t="shared" si="20"/>
        <v>#VALUE!</v>
      </c>
      <c r="DB21" s="53">
        <f t="shared" si="21"/>
        <v>0</v>
      </c>
      <c r="DC21" s="53">
        <f t="shared" si="21"/>
        <v>0</v>
      </c>
      <c r="DD21" s="53" t="e">
        <f t="shared" si="22"/>
        <v>#N/A</v>
      </c>
      <c r="DE21" s="61" t="s">
        <v>58</v>
      </c>
      <c r="DF21" s="53" t="e">
        <f t="shared" si="23"/>
        <v>#N/A</v>
      </c>
      <c r="DG21" s="61" t="s">
        <v>51</v>
      </c>
      <c r="DH21" s="53" t="e">
        <f t="shared" si="24"/>
        <v>#N/A</v>
      </c>
      <c r="DI21" s="61" t="s">
        <v>51</v>
      </c>
      <c r="DJ21" s="53" t="e">
        <f t="shared" si="25"/>
        <v>#N/A</v>
      </c>
      <c r="DK21" s="82"/>
      <c r="DL21" s="82"/>
      <c r="DM21" s="70"/>
      <c r="DN21" s="61" t="s">
        <v>62</v>
      </c>
      <c r="DO21" s="61"/>
      <c r="DP21" s="61" t="s">
        <v>62</v>
      </c>
      <c r="DQ21" s="61" t="s">
        <v>75</v>
      </c>
      <c r="DR21" s="82"/>
      <c r="DV21" s="61" t="s">
        <v>253</v>
      </c>
      <c r="DW21" s="66">
        <v>1000000</v>
      </c>
      <c r="DX21" s="61" t="s">
        <v>14</v>
      </c>
      <c r="DY21" s="61" t="s">
        <v>17</v>
      </c>
      <c r="DZ21" s="70"/>
      <c r="EA21" s="73" t="e">
        <f t="shared" si="26"/>
        <v>#N/A</v>
      </c>
      <c r="EB21" s="74">
        <f t="shared" si="27"/>
        <v>0</v>
      </c>
      <c r="EC21" s="71">
        <v>1</v>
      </c>
      <c r="ED21" s="75">
        <f t="shared" si="28"/>
        <v>0</v>
      </c>
      <c r="EE21" s="61"/>
      <c r="EF21" s="61"/>
      <c r="EG21" s="72"/>
      <c r="EH21" s="72"/>
      <c r="EI21" s="71"/>
      <c r="EJ21" s="76" t="e">
        <f t="shared" si="29"/>
        <v>#VALUE!</v>
      </c>
      <c r="EK21" s="76" t="e">
        <f t="shared" si="30"/>
        <v>#VALUE!</v>
      </c>
      <c r="EL21" s="77" t="str">
        <f t="shared" si="31"/>
        <v>ZERO-COUPON</v>
      </c>
      <c r="EM21" s="77" t="str">
        <f t="shared" si="31"/>
        <v>ZERO-COUPON</v>
      </c>
      <c r="EN21" s="78">
        <f t="shared" si="32"/>
        <v>0</v>
      </c>
      <c r="EO21" s="61"/>
      <c r="EP21" s="61"/>
      <c r="EQ21" s="61" t="s">
        <v>51</v>
      </c>
      <c r="ER21" s="73" t="e">
        <f t="shared" si="33"/>
        <v>#N/A</v>
      </c>
      <c r="ES21" s="61" t="s">
        <v>51</v>
      </c>
      <c r="ET21" s="73" t="e">
        <f t="shared" si="34"/>
        <v>#N/A</v>
      </c>
      <c r="EU21" s="76" t="e">
        <f t="shared" si="35"/>
        <v>#VALUE!</v>
      </c>
      <c r="EV21" s="76" t="e">
        <f t="shared" si="36"/>
        <v>#VALUE!</v>
      </c>
      <c r="EW21" s="70" t="s">
        <v>80</v>
      </c>
      <c r="EX21" s="61"/>
      <c r="EY21" s="61"/>
      <c r="EZ21" s="61" t="s">
        <v>62</v>
      </c>
      <c r="FA21" s="61"/>
      <c r="FB21" s="61"/>
      <c r="FC21" s="61"/>
      <c r="FE21" s="61" t="s">
        <v>254</v>
      </c>
      <c r="FF21" s="66">
        <v>1000000</v>
      </c>
      <c r="FG21" s="61" t="s">
        <v>14</v>
      </c>
      <c r="FH21" s="61" t="s">
        <v>18</v>
      </c>
      <c r="FI21" s="73" t="e">
        <f t="shared" si="37"/>
        <v>#N/A</v>
      </c>
      <c r="FJ21" s="73" t="e">
        <f t="shared" si="38"/>
        <v>#N/A</v>
      </c>
      <c r="FK21" s="41">
        <f t="shared" si="39"/>
        <v>0</v>
      </c>
      <c r="FL21" s="71">
        <v>1</v>
      </c>
      <c r="FM21" s="81"/>
      <c r="FN21" s="61" t="s">
        <v>32</v>
      </c>
      <c r="FO21" s="61" t="s">
        <v>32</v>
      </c>
      <c r="FP21" s="72"/>
      <c r="FQ21" s="72"/>
      <c r="FR21" s="71"/>
      <c r="FS21" s="76" t="e">
        <f t="shared" si="40"/>
        <v>#VALUE!</v>
      </c>
      <c r="FT21" s="76" t="e">
        <f t="shared" si="41"/>
        <v>#VALUE!</v>
      </c>
      <c r="FU21" s="73">
        <f t="shared" si="42"/>
        <v>0</v>
      </c>
      <c r="FV21" s="73">
        <f t="shared" si="42"/>
        <v>0</v>
      </c>
      <c r="FW21" s="73" t="e">
        <f t="shared" si="43"/>
        <v>#N/A</v>
      </c>
      <c r="FX21" s="61" t="s">
        <v>58</v>
      </c>
      <c r="FY21" s="73" t="e">
        <f t="shared" si="44"/>
        <v>#N/A</v>
      </c>
      <c r="FZ21" s="61" t="s">
        <v>51</v>
      </c>
      <c r="GA21" s="73" t="e">
        <f t="shared" si="45"/>
        <v>#N/A</v>
      </c>
      <c r="GB21" s="61" t="s">
        <v>51</v>
      </c>
      <c r="GC21" s="73" t="e">
        <f t="shared" si="46"/>
        <v>#N/A</v>
      </c>
      <c r="GD21" s="82"/>
      <c r="GE21" s="82"/>
      <c r="GF21" s="70"/>
      <c r="GG21" s="61" t="s">
        <v>62</v>
      </c>
      <c r="GH21" s="61"/>
      <c r="GI21" s="61" t="s">
        <v>62</v>
      </c>
      <c r="GJ21" s="61" t="s">
        <v>75</v>
      </c>
      <c r="GK21" s="286">
        <f t="shared" si="54"/>
        <v>0</v>
      </c>
      <c r="GL21" s="82" t="str">
        <f t="shared" si="55"/>
        <v>Type</v>
      </c>
      <c r="GP21" s="95">
        <f t="shared" si="47"/>
        <v>0</v>
      </c>
      <c r="GQ21" s="42">
        <f>IF(LEFT(_xll.BDP($C21,GQ$5),1)="#","#LOADING",_xll.BDP($C21,GQ$5))</f>
        <v>0</v>
      </c>
      <c r="GR21" s="74">
        <f t="shared" si="48"/>
        <v>0</v>
      </c>
      <c r="GS21" s="74" t="e">
        <f t="shared" si="49"/>
        <v>#VALUE!</v>
      </c>
      <c r="GT21" s="64" t="s">
        <v>20</v>
      </c>
      <c r="GU21" s="42" t="b">
        <f>IF(LEFT(_xll.BDP($C21,GU$5),1)="#","#LOADING",IF(_xll.BDP($C21,GU$5)="CLEAN",TRUE,FALSE))</f>
        <v>0</v>
      </c>
      <c r="GV21" s="64" t="s">
        <v>26</v>
      </c>
      <c r="GW21" s="61" t="s">
        <v>18</v>
      </c>
      <c r="GX21" s="65" t="s">
        <v>28</v>
      </c>
      <c r="GY21" s="66">
        <v>1000000</v>
      </c>
      <c r="GZ21" s="96" t="e">
        <f>IF(LEFT(_xll.BDP($C21,GZ$5),1)="#","#LOADING",DATEVALUE(_xll.BDP($C21,GZ$5)))</f>
        <v>#VALUE!</v>
      </c>
      <c r="HA21" s="96" t="e">
        <f>IF(LEFT(_xll.BDP($C21,HA$5),1)="#","#LOADING",DATEVALUE(_xll.BDP($C21,HA$5)))</f>
        <v>#VALUE!</v>
      </c>
      <c r="HB21" s="96" t="e">
        <f>IF(LEFT(_xll.BDP($C21,HB$5),1)="#","#LOADING",DATEVALUE(_xll.BDP($C21,HB$5)))</f>
        <v>#VALUE!</v>
      </c>
      <c r="HC21" s="96" t="e">
        <f>IF(LEFT(_xll.BDP($C21,HC$5),1)="#","#LOADING",DATEVALUE(_xll.BDP($C21,HC$5)))</f>
        <v>#VALUE!</v>
      </c>
      <c r="HD21" s="96" t="e">
        <f>IF(LEFT(_xll.BDP($C21,HD$5),1)="#","#LOADING",DATEVALUE(_xll.BDP($C21,HD$5)))</f>
        <v>#VALUE!</v>
      </c>
      <c r="HE21" s="97">
        <f>IF(LEFT(_xll.BDP($C21,HE$5),1)="#","#LOADING",_xll.BDP($C21,HE$5)%)</f>
        <v>0</v>
      </c>
      <c r="HF21" s="97" t="str">
        <f>IF(LEFT(_xll.BDP($C21,HF$5),1)="#","#LOADING",VLOOKUP(_xll.BDP($C21,HF$5),Static.CouponFrequency,2,FALSE))</f>
        <v>ZERO-COUPON</v>
      </c>
      <c r="HG21" s="68" t="s">
        <v>51</v>
      </c>
      <c r="HH21" s="73" t="e">
        <f t="shared" si="50"/>
        <v>#N/A</v>
      </c>
      <c r="HI21" s="61" t="s">
        <v>51</v>
      </c>
      <c r="HJ21" s="73" t="e">
        <f t="shared" si="51"/>
        <v>#N/A</v>
      </c>
      <c r="HK21" s="61" t="s">
        <v>62</v>
      </c>
      <c r="HL21" s="43">
        <f>IF(LEFT(_xll.BDP($C21,HL$5),1)="#","#LOADING",_xll.BDP($C21,HL$5))</f>
        <v>0</v>
      </c>
      <c r="HM21" s="70"/>
      <c r="HN21" s="280">
        <f>IF(LEFT(_xll.BDP($C21,HN$5),1)="#","#LOADING",_xll.BDP($C21,HN$5))</f>
        <v>0</v>
      </c>
      <c r="HO21" s="43" t="str">
        <f>IF(LEFT(_xll.BDP($C21,HO$5),1)="#","#LOADING","Type"&amp;IF(_xll.BDP($C21,HO$5)=999,1,_xll.BDP($C21,HO$5)))</f>
        <v>Type</v>
      </c>
    </row>
    <row r="22" spans="1:223">
      <c r="A22" s="101">
        <v>16</v>
      </c>
      <c r="B22" s="57"/>
      <c r="C22" s="57"/>
      <c r="D22" s="57"/>
      <c r="E22" s="57"/>
      <c r="F22" s="57"/>
      <c r="G22" s="57"/>
      <c r="H22" s="57"/>
      <c r="I22" s="57"/>
      <c r="J22" s="101">
        <v>16</v>
      </c>
      <c r="K22" s="58" t="s">
        <v>163</v>
      </c>
      <c r="L22" s="59" t="str">
        <f>IF(ISBLANK(M22),IF($G22="","",_xll.BDP(G22&amp;" "&amp;$K22&amp;" Corp","PX_LAST")),M22)</f>
        <v/>
      </c>
      <c r="M22" s="60"/>
      <c r="N22" s="83" t="str">
        <f ca="1">IF(ISBLANK($O22),IF($G22="","",_xll.meLWOAssetSwapSpread($Y22,$X22,$L22,INDIRECT("ValuationSettings"&amp;$CR22),INDIRECT("Fixings"&amp;$CR22&amp;IF($I22="QUARTERLY","3ML","6ML")))),$O22)</f>
        <v/>
      </c>
      <c r="O22" s="60"/>
      <c r="P22" s="84" t="str">
        <f ca="1">IF($C22="","",_xll.meLWOAssetSwapSpreadToCleanPrice($Z22,$N22,INDIRECT("ValuationSettings"&amp;$D22),INDIRECT("Fixings"&amp;$EB22&amp;IF($E22="QUARTERLY","3ML","6ML"))))</f>
        <v/>
      </c>
      <c r="Q22" s="84" t="str">
        <f>IF($C22="","",_xll.meLWOBondPriceFromCleanToDirty($AA22,_xll.meUtilityLVBFromKeysValues($S$6:$T$6,S22:T22),$P22))</f>
        <v/>
      </c>
      <c r="R22" s="98" t="str">
        <f>IF($C22="","",_xll.meLWOBondYield($AA22,_xll.meUtilityLVBFromKeysValues($S$6:$V$6,S22:V22),IF($GU22,$P22,$Q22)))</f>
        <v/>
      </c>
      <c r="S22" s="127" t="str">
        <f t="shared" ca="1" si="52"/>
        <v/>
      </c>
      <c r="T22" s="98" t="str">
        <f t="shared" si="53"/>
        <v/>
      </c>
      <c r="U22" s="98" t="str">
        <f>IF($C22="","",_xll.BDP($C22,$U$5)%)</f>
        <v/>
      </c>
      <c r="V22" s="274" t="str">
        <f>IF($C22="","",_xll.BDP($C22,$V$5)%)</f>
        <v/>
      </c>
      <c r="W22" s="101">
        <v>16</v>
      </c>
      <c r="X22" s="53" t="str">
        <f>IF($G22="","",IF(LEFT(AD22,1)="#","#LOADING",_xll.meLWOBondCreateFromLVB("PROXY_BOND_"&amp;$AF22,_xll.meUtilityLVBFromKeysValues($AC$6:$BA$6,$AC22:$BA22))))</f>
        <v/>
      </c>
      <c r="Y22" s="53" t="str">
        <f>IF($G22="","",_xll.meLWOSwapCreate("PROXY_ASW_"&amp;$AF22,_xll.meUtilityLVBFromKeysAndMultipleValues($BD$6:$CJ$6,$BD22:$CJ22,$CL22:$DR22)))</f>
        <v/>
      </c>
      <c r="Z22" s="53" t="str">
        <f>IF($C22="","",_xll.meLWOSwapCreate("BOND_ASW_"&amp;$GS22,_xll.meUtilityLVBFromKeysAndMultipleValues($DV$6:$FC$6,$DV22:$FC22,$FE22:$GL22)))</f>
        <v/>
      </c>
      <c r="AA22" s="53" t="str">
        <f>IF($C22="","",IF(LEFT(GQ22,1)="#","#LOADING",_xll.meLWOBondCreateFromLVB("PROXY_BOND_"&amp;$GS22,_xll.meUtilityLVBFromKeysValues($GP$6:$HO$6,$GP22:$HO22))))</f>
        <v/>
      </c>
      <c r="AB22" t="s">
        <v>0</v>
      </c>
      <c r="AC22" s="62">
        <f t="shared" si="0"/>
        <v>0</v>
      </c>
      <c r="AD22" s="63">
        <f>IF(LEFT(_xll.BDP($G22,AD$5),1)="#","#LOADING",_xll.BDP($G22,AD$5))</f>
        <v>0</v>
      </c>
      <c r="AE22" s="41">
        <f t="shared" si="1"/>
        <v>0</v>
      </c>
      <c r="AF22" s="63">
        <f>IF(LEFT(_xll.BDP($G22,AF$5),1)="#","#LOADING",_xll.BDP($G22,AF$5))</f>
        <v>0</v>
      </c>
      <c r="AG22" s="64" t="s">
        <v>20</v>
      </c>
      <c r="AH22" s="63" t="b">
        <f>IF(LEFT(_xll.BDP($G22,AH$5),1)="#","#LOADING",IF(_xll.BDP($G22,AH$5)="CLEAN",TRUE,FALSE))</f>
        <v>0</v>
      </c>
      <c r="AI22" s="64" t="s">
        <v>26</v>
      </c>
      <c r="AJ22" s="61" t="s">
        <v>18</v>
      </c>
      <c r="AK22" s="65" t="s">
        <v>28</v>
      </c>
      <c r="AL22" s="66">
        <v>1000000</v>
      </c>
      <c r="AM22" s="63" t="e">
        <f>IF(LEFT(_xll.BDP($G22,AM$5),1)="#","#LOADING",DATEVALUE(_xll.BDP($G22,AM$5)))</f>
        <v>#VALUE!</v>
      </c>
      <c r="AN22" s="63" t="e">
        <f>IF(LEFT(_xll.BDP($G22,AN$5),1)="#","#LOADING",DATEVALUE(_xll.BDP($G22,AN$5)))</f>
        <v>#VALUE!</v>
      </c>
      <c r="AO22" s="63" t="e">
        <f>IF(LEFT(_xll.BDP($G22,AO$5),1)="#","#LOADING",DATEVALUE(_xll.BDP($G22,AO$5)))</f>
        <v>#VALUE!</v>
      </c>
      <c r="AP22" s="63" t="e">
        <f>IF(LEFT(_xll.BDP($G22,AP$5),1)="#","#LOADING",DATEVALUE(_xll.BDP($G22,AP$5)))</f>
        <v>#VALUE!</v>
      </c>
      <c r="AQ22" s="63" t="e">
        <f>IF(LEFT(_xll.BDP($G22,AQ$5),1)="#","#LOADING",DATEVALUE(_xll.BDP($G22,AQ$5)))</f>
        <v>#VALUE!</v>
      </c>
      <c r="AR22" s="67">
        <f>IF(LEFT(_xll.BDP($G22,AR$5),1)="#","#LOADING",_xll.BDP($G22,AR$5)%)</f>
        <v>0</v>
      </c>
      <c r="AS22" s="67" t="str">
        <f>IF(LEFT(_xll.BDP($G22,AS$5),1)="#","#LOADING",VLOOKUP(_xll.BDP($G22,AS$5),Static.CouponFrequency,2,FALSE))</f>
        <v>ZERO-COUPON</v>
      </c>
      <c r="AT22" s="68" t="s">
        <v>51</v>
      </c>
      <c r="AU22" s="53" t="e">
        <f t="shared" si="2"/>
        <v>#N/A</v>
      </c>
      <c r="AV22" s="61" t="s">
        <v>51</v>
      </c>
      <c r="AW22" s="53" t="e">
        <f t="shared" si="3"/>
        <v>#N/A</v>
      </c>
      <c r="AX22" s="61" t="s">
        <v>62</v>
      </c>
      <c r="AY22" s="69">
        <f>IF(LEFT(_xll.BDP($G22,AY$5),1)="#","#LOADING",_xll.BDP($G22,AY$5))</f>
        <v>0</v>
      </c>
      <c r="AZ22" s="70"/>
      <c r="BA22" s="69" t="str">
        <f>IF(LEFT(_xll.BDP($G22,BA$5),1)="#","#LOADING","Type"&amp;IF(_xll.BDP($G22,BA$5)=999,1,_xll.BDP($G22,BA$5)))</f>
        <v>Type</v>
      </c>
      <c r="BB22" s="54"/>
      <c r="BD22" s="61" t="s">
        <v>7</v>
      </c>
      <c r="BE22" s="66">
        <v>1000000</v>
      </c>
      <c r="BF22" s="61" t="s">
        <v>14</v>
      </c>
      <c r="BG22" s="61" t="s">
        <v>17</v>
      </c>
      <c r="BH22" s="70"/>
      <c r="BI22" s="73" t="e">
        <f t="shared" si="4"/>
        <v>#N/A</v>
      </c>
      <c r="BJ22" s="74">
        <f t="shared" si="5"/>
        <v>0</v>
      </c>
      <c r="BK22" s="71">
        <v>1</v>
      </c>
      <c r="BL22" s="75">
        <f t="shared" si="6"/>
        <v>0</v>
      </c>
      <c r="BM22" s="61"/>
      <c r="BN22" s="61"/>
      <c r="BO22" s="72"/>
      <c r="BP22" s="72"/>
      <c r="BQ22" s="71"/>
      <c r="BR22" s="76" t="e">
        <f t="shared" si="7"/>
        <v>#VALUE!</v>
      </c>
      <c r="BS22" s="76" t="e">
        <f t="shared" si="8"/>
        <v>#VALUE!</v>
      </c>
      <c r="BT22" s="77" t="str">
        <f t="shared" si="9"/>
        <v>ZERO-COUPON</v>
      </c>
      <c r="BU22" s="77" t="str">
        <f t="shared" si="9"/>
        <v>ZERO-COUPON</v>
      </c>
      <c r="BV22" s="78">
        <f t="shared" si="10"/>
        <v>0</v>
      </c>
      <c r="BW22" s="61"/>
      <c r="BX22" s="61"/>
      <c r="BY22" s="61" t="s">
        <v>51</v>
      </c>
      <c r="BZ22" s="73" t="e">
        <f t="shared" si="11"/>
        <v>#N/A</v>
      </c>
      <c r="CA22" s="61" t="s">
        <v>51</v>
      </c>
      <c r="CB22" s="73" t="e">
        <f t="shared" si="12"/>
        <v>#N/A</v>
      </c>
      <c r="CC22" s="76" t="e">
        <f t="shared" si="13"/>
        <v>#VALUE!</v>
      </c>
      <c r="CD22" s="76" t="e">
        <f t="shared" si="14"/>
        <v>#VALUE!</v>
      </c>
      <c r="CE22" s="70" t="s">
        <v>80</v>
      </c>
      <c r="CF22" s="61"/>
      <c r="CG22" s="61"/>
      <c r="CH22" s="61" t="s">
        <v>62</v>
      </c>
      <c r="CI22" s="61"/>
      <c r="CJ22" s="76" t="str">
        <f t="shared" si="15"/>
        <v>Type</v>
      </c>
      <c r="CL22" s="61" t="s">
        <v>8</v>
      </c>
      <c r="CM22" s="66">
        <v>1000000</v>
      </c>
      <c r="CN22" s="61" t="s">
        <v>14</v>
      </c>
      <c r="CO22" s="61" t="s">
        <v>18</v>
      </c>
      <c r="CP22" s="53" t="e">
        <f t="shared" si="16"/>
        <v>#N/A</v>
      </c>
      <c r="CQ22" s="53" t="e">
        <f t="shared" si="17"/>
        <v>#N/A</v>
      </c>
      <c r="CR22" s="41">
        <f t="shared" si="18"/>
        <v>0</v>
      </c>
      <c r="CS22" s="71">
        <v>1</v>
      </c>
      <c r="CT22" s="81"/>
      <c r="CU22" s="61" t="s">
        <v>32</v>
      </c>
      <c r="CV22" s="61" t="s">
        <v>32</v>
      </c>
      <c r="CW22" s="72"/>
      <c r="CX22" s="72"/>
      <c r="CY22" s="71"/>
      <c r="CZ22" s="82" t="e">
        <f t="shared" si="19"/>
        <v>#VALUE!</v>
      </c>
      <c r="DA22" s="82" t="e">
        <f t="shared" si="20"/>
        <v>#VALUE!</v>
      </c>
      <c r="DB22" s="53">
        <f t="shared" si="21"/>
        <v>0</v>
      </c>
      <c r="DC22" s="53">
        <f t="shared" si="21"/>
        <v>0</v>
      </c>
      <c r="DD22" s="53" t="e">
        <f t="shared" si="22"/>
        <v>#N/A</v>
      </c>
      <c r="DE22" s="61" t="s">
        <v>58</v>
      </c>
      <c r="DF22" s="53" t="e">
        <f t="shared" si="23"/>
        <v>#N/A</v>
      </c>
      <c r="DG22" s="61" t="s">
        <v>51</v>
      </c>
      <c r="DH22" s="53" t="e">
        <f t="shared" si="24"/>
        <v>#N/A</v>
      </c>
      <c r="DI22" s="61" t="s">
        <v>51</v>
      </c>
      <c r="DJ22" s="53" t="e">
        <f t="shared" si="25"/>
        <v>#N/A</v>
      </c>
      <c r="DK22" s="82"/>
      <c r="DL22" s="82"/>
      <c r="DM22" s="70"/>
      <c r="DN22" s="61" t="s">
        <v>62</v>
      </c>
      <c r="DO22" s="61"/>
      <c r="DP22" s="61" t="s">
        <v>62</v>
      </c>
      <c r="DQ22" s="61" t="s">
        <v>75</v>
      </c>
      <c r="DR22" s="82"/>
      <c r="DV22" s="61" t="s">
        <v>253</v>
      </c>
      <c r="DW22" s="66">
        <v>1000000</v>
      </c>
      <c r="DX22" s="61" t="s">
        <v>14</v>
      </c>
      <c r="DY22" s="61" t="s">
        <v>17</v>
      </c>
      <c r="DZ22" s="70"/>
      <c r="EA22" s="73" t="e">
        <f t="shared" si="26"/>
        <v>#N/A</v>
      </c>
      <c r="EB22" s="74">
        <f t="shared" si="27"/>
        <v>0</v>
      </c>
      <c r="EC22" s="71">
        <v>1</v>
      </c>
      <c r="ED22" s="75">
        <f t="shared" si="28"/>
        <v>0</v>
      </c>
      <c r="EE22" s="61"/>
      <c r="EF22" s="61"/>
      <c r="EG22" s="72"/>
      <c r="EH22" s="72"/>
      <c r="EI22" s="71"/>
      <c r="EJ22" s="76" t="e">
        <f t="shared" si="29"/>
        <v>#VALUE!</v>
      </c>
      <c r="EK22" s="76" t="e">
        <f t="shared" si="30"/>
        <v>#VALUE!</v>
      </c>
      <c r="EL22" s="77" t="str">
        <f t="shared" si="31"/>
        <v>ZERO-COUPON</v>
      </c>
      <c r="EM22" s="77" t="str">
        <f t="shared" si="31"/>
        <v>ZERO-COUPON</v>
      </c>
      <c r="EN22" s="78">
        <f t="shared" si="32"/>
        <v>0</v>
      </c>
      <c r="EO22" s="61"/>
      <c r="EP22" s="61"/>
      <c r="EQ22" s="61" t="s">
        <v>51</v>
      </c>
      <c r="ER22" s="73" t="e">
        <f t="shared" si="33"/>
        <v>#N/A</v>
      </c>
      <c r="ES22" s="61" t="s">
        <v>51</v>
      </c>
      <c r="ET22" s="73" t="e">
        <f t="shared" si="34"/>
        <v>#N/A</v>
      </c>
      <c r="EU22" s="76" t="e">
        <f t="shared" si="35"/>
        <v>#VALUE!</v>
      </c>
      <c r="EV22" s="76" t="e">
        <f t="shared" si="36"/>
        <v>#VALUE!</v>
      </c>
      <c r="EW22" s="70" t="s">
        <v>80</v>
      </c>
      <c r="EX22" s="61"/>
      <c r="EY22" s="61"/>
      <c r="EZ22" s="61" t="s">
        <v>62</v>
      </c>
      <c r="FA22" s="61"/>
      <c r="FB22" s="61"/>
      <c r="FC22" s="61"/>
      <c r="FE22" s="61" t="s">
        <v>254</v>
      </c>
      <c r="FF22" s="66">
        <v>1000000</v>
      </c>
      <c r="FG22" s="61" t="s">
        <v>14</v>
      </c>
      <c r="FH22" s="61" t="s">
        <v>18</v>
      </c>
      <c r="FI22" s="73" t="e">
        <f t="shared" si="37"/>
        <v>#N/A</v>
      </c>
      <c r="FJ22" s="73" t="e">
        <f t="shared" si="38"/>
        <v>#N/A</v>
      </c>
      <c r="FK22" s="41">
        <f t="shared" si="39"/>
        <v>0</v>
      </c>
      <c r="FL22" s="71">
        <v>1</v>
      </c>
      <c r="FM22" s="81"/>
      <c r="FN22" s="61" t="s">
        <v>32</v>
      </c>
      <c r="FO22" s="61" t="s">
        <v>32</v>
      </c>
      <c r="FP22" s="72"/>
      <c r="FQ22" s="72"/>
      <c r="FR22" s="71"/>
      <c r="FS22" s="76" t="e">
        <f t="shared" si="40"/>
        <v>#VALUE!</v>
      </c>
      <c r="FT22" s="76" t="e">
        <f t="shared" si="41"/>
        <v>#VALUE!</v>
      </c>
      <c r="FU22" s="73">
        <f t="shared" si="42"/>
        <v>0</v>
      </c>
      <c r="FV22" s="73">
        <f t="shared" si="42"/>
        <v>0</v>
      </c>
      <c r="FW22" s="73" t="e">
        <f t="shared" si="43"/>
        <v>#N/A</v>
      </c>
      <c r="FX22" s="61" t="s">
        <v>58</v>
      </c>
      <c r="FY22" s="73" t="e">
        <f t="shared" si="44"/>
        <v>#N/A</v>
      </c>
      <c r="FZ22" s="61" t="s">
        <v>51</v>
      </c>
      <c r="GA22" s="73" t="e">
        <f t="shared" si="45"/>
        <v>#N/A</v>
      </c>
      <c r="GB22" s="61" t="s">
        <v>51</v>
      </c>
      <c r="GC22" s="73" t="e">
        <f t="shared" si="46"/>
        <v>#N/A</v>
      </c>
      <c r="GD22" s="82"/>
      <c r="GE22" s="82"/>
      <c r="GF22" s="70"/>
      <c r="GG22" s="61" t="s">
        <v>62</v>
      </c>
      <c r="GH22" s="61"/>
      <c r="GI22" s="61" t="s">
        <v>62</v>
      </c>
      <c r="GJ22" s="61" t="s">
        <v>75</v>
      </c>
      <c r="GK22" s="286">
        <f t="shared" si="54"/>
        <v>0</v>
      </c>
      <c r="GL22" s="82" t="str">
        <f t="shared" si="55"/>
        <v>Type</v>
      </c>
      <c r="GP22" s="95">
        <f t="shared" si="47"/>
        <v>0</v>
      </c>
      <c r="GQ22" s="42">
        <f>IF(LEFT(_xll.BDP($C22,GQ$5),1)="#","#LOADING",_xll.BDP($C22,GQ$5))</f>
        <v>0</v>
      </c>
      <c r="GR22" s="74">
        <f t="shared" si="48"/>
        <v>0</v>
      </c>
      <c r="GS22" s="74" t="e">
        <f t="shared" si="49"/>
        <v>#VALUE!</v>
      </c>
      <c r="GT22" s="64" t="s">
        <v>20</v>
      </c>
      <c r="GU22" s="42" t="b">
        <f>IF(LEFT(_xll.BDP($C22,GU$5),1)="#","#LOADING",IF(_xll.BDP($C22,GU$5)="CLEAN",TRUE,FALSE))</f>
        <v>0</v>
      </c>
      <c r="GV22" s="64" t="s">
        <v>26</v>
      </c>
      <c r="GW22" s="61" t="s">
        <v>18</v>
      </c>
      <c r="GX22" s="65" t="s">
        <v>28</v>
      </c>
      <c r="GY22" s="66">
        <v>1000000</v>
      </c>
      <c r="GZ22" s="96" t="e">
        <f>IF(LEFT(_xll.BDP($C22,GZ$5),1)="#","#LOADING",DATEVALUE(_xll.BDP($C22,GZ$5)))</f>
        <v>#VALUE!</v>
      </c>
      <c r="HA22" s="96" t="e">
        <f>IF(LEFT(_xll.BDP($C22,HA$5),1)="#","#LOADING",DATEVALUE(_xll.BDP($C22,HA$5)))</f>
        <v>#VALUE!</v>
      </c>
      <c r="HB22" s="96" t="e">
        <f>IF(LEFT(_xll.BDP($C22,HB$5),1)="#","#LOADING",DATEVALUE(_xll.BDP($C22,HB$5)))</f>
        <v>#VALUE!</v>
      </c>
      <c r="HC22" s="96" t="e">
        <f>IF(LEFT(_xll.BDP($C22,HC$5),1)="#","#LOADING",DATEVALUE(_xll.BDP($C22,HC$5)))</f>
        <v>#VALUE!</v>
      </c>
      <c r="HD22" s="96" t="e">
        <f>IF(LEFT(_xll.BDP($C22,HD$5),1)="#","#LOADING",DATEVALUE(_xll.BDP($C22,HD$5)))</f>
        <v>#VALUE!</v>
      </c>
      <c r="HE22" s="97">
        <f>IF(LEFT(_xll.BDP($C22,HE$5),1)="#","#LOADING",_xll.BDP($C22,HE$5)%)</f>
        <v>0</v>
      </c>
      <c r="HF22" s="97" t="str">
        <f>IF(LEFT(_xll.BDP($C22,HF$5),1)="#","#LOADING",VLOOKUP(_xll.BDP($C22,HF$5),Static.CouponFrequency,2,FALSE))</f>
        <v>ZERO-COUPON</v>
      </c>
      <c r="HG22" s="68" t="s">
        <v>51</v>
      </c>
      <c r="HH22" s="73" t="e">
        <f t="shared" si="50"/>
        <v>#N/A</v>
      </c>
      <c r="HI22" s="61" t="s">
        <v>51</v>
      </c>
      <c r="HJ22" s="73" t="e">
        <f t="shared" si="51"/>
        <v>#N/A</v>
      </c>
      <c r="HK22" s="61" t="s">
        <v>62</v>
      </c>
      <c r="HL22" s="43">
        <f>IF(LEFT(_xll.BDP($C22,HL$5),1)="#","#LOADING",_xll.BDP($C22,HL$5))</f>
        <v>0</v>
      </c>
      <c r="HM22" s="70"/>
      <c r="HN22" s="280">
        <f>IF(LEFT(_xll.BDP($C22,HN$5),1)="#","#LOADING",_xll.BDP($C22,HN$5))</f>
        <v>0</v>
      </c>
      <c r="HO22" s="43" t="str">
        <f>IF(LEFT(_xll.BDP($C22,HO$5),1)="#","#LOADING","Type"&amp;IF(_xll.BDP($C22,HO$5)=999,1,_xll.BDP($C22,HO$5)))</f>
        <v>Type</v>
      </c>
    </row>
    <row r="23" spans="1:223">
      <c r="A23" s="101">
        <v>17</v>
      </c>
      <c r="B23" s="57"/>
      <c r="C23" s="57"/>
      <c r="D23" s="57"/>
      <c r="E23" s="57"/>
      <c r="F23" s="57"/>
      <c r="G23" s="57"/>
      <c r="H23" s="57"/>
      <c r="I23" s="57"/>
      <c r="J23" s="101">
        <v>17</v>
      </c>
      <c r="K23" s="58" t="s">
        <v>163</v>
      </c>
      <c r="L23" s="59" t="str">
        <f>IF(ISBLANK(M23),IF($G23="","",_xll.BDP(G23&amp;" "&amp;$K23&amp;" Corp","PX_LAST")),M23)</f>
        <v/>
      </c>
      <c r="M23" s="60"/>
      <c r="N23" s="83" t="str">
        <f ca="1">IF(ISBLANK($O23),IF($G23="","",_xll.meLWOAssetSwapSpread($Y23,$X23,$L23,INDIRECT("ValuationSettings"&amp;$CR23),INDIRECT("Fixings"&amp;$CR23&amp;IF($I23="QUARTERLY","3ML","6ML")))),$O23)</f>
        <v/>
      </c>
      <c r="O23" s="60"/>
      <c r="P23" s="84" t="str">
        <f ca="1">IF($C23="","",_xll.meLWOAssetSwapSpreadToCleanPrice($Z23,$N23,INDIRECT("ValuationSettings"&amp;$D23),INDIRECT("Fixings"&amp;$EB23&amp;IF($E23="QUARTERLY","3ML","6ML"))))</f>
        <v/>
      </c>
      <c r="Q23" s="84" t="str">
        <f>IF($C23="","",_xll.meLWOBondPriceFromCleanToDirty($AA23,_xll.meUtilityLVBFromKeysValues($S$6:$T$6,S23:T23),$P23))</f>
        <v/>
      </c>
      <c r="R23" s="98" t="str">
        <f>IF($C23="","",_xll.meLWOBondYield($AA23,_xll.meUtilityLVBFromKeysValues($S$6:$V$6,S23:V23),IF($GU23,$P23,$Q23)))</f>
        <v/>
      </c>
      <c r="S23" s="127" t="str">
        <f t="shared" ca="1" si="52"/>
        <v/>
      </c>
      <c r="T23" s="98" t="str">
        <f t="shared" si="53"/>
        <v/>
      </c>
      <c r="U23" s="98" t="str">
        <f>IF($C23="","",_xll.BDP($C23,$U$5)%)</f>
        <v/>
      </c>
      <c r="V23" s="274" t="str">
        <f>IF($C23="","",_xll.BDP($C23,$V$5)%)</f>
        <v/>
      </c>
      <c r="W23" s="101">
        <v>17</v>
      </c>
      <c r="X23" s="53" t="str">
        <f>IF($G23="","",IF(LEFT(AD23,1)="#","#LOADING",_xll.meLWOBondCreateFromLVB("PROXY_BOND_"&amp;$AF23,_xll.meUtilityLVBFromKeysValues($AC$6:$BA$6,$AC23:$BA23))))</f>
        <v/>
      </c>
      <c r="Y23" s="53" t="str">
        <f>IF($G23="","",_xll.meLWOSwapCreate("PROXY_ASW_"&amp;$AF23,_xll.meUtilityLVBFromKeysAndMultipleValues($BD$6:$CJ$6,$BD23:$CJ23,$CL23:$DR23)))</f>
        <v/>
      </c>
      <c r="Z23" s="53" t="str">
        <f>IF($C23="","",_xll.meLWOSwapCreate("BOND_ASW_"&amp;$GS23,_xll.meUtilityLVBFromKeysAndMultipleValues($DV$6:$FC$6,$DV23:$FC23,$FE23:$GL23)))</f>
        <v/>
      </c>
      <c r="AA23" s="53" t="str">
        <f>IF($C23="","",IF(LEFT(GQ23,1)="#","#LOADING",_xll.meLWOBondCreateFromLVB("PROXY_BOND_"&amp;$GS23,_xll.meUtilityLVBFromKeysValues($GP$6:$HO$6,$GP23:$HO23))))</f>
        <v/>
      </c>
      <c r="AB23" t="s">
        <v>0</v>
      </c>
      <c r="AC23" s="62">
        <f t="shared" si="0"/>
        <v>0</v>
      </c>
      <c r="AD23" s="63">
        <f>IF(LEFT(_xll.BDP($G23,AD$5),1)="#","#LOADING",_xll.BDP($G23,AD$5))</f>
        <v>0</v>
      </c>
      <c r="AE23" s="41">
        <f t="shared" si="1"/>
        <v>0</v>
      </c>
      <c r="AF23" s="63">
        <f>IF(LEFT(_xll.BDP($G23,AF$5),1)="#","#LOADING",_xll.BDP($G23,AF$5))</f>
        <v>0</v>
      </c>
      <c r="AG23" s="64" t="s">
        <v>20</v>
      </c>
      <c r="AH23" s="63" t="b">
        <f>IF(LEFT(_xll.BDP($G23,AH$5),1)="#","#LOADING",IF(_xll.BDP($G23,AH$5)="CLEAN",TRUE,FALSE))</f>
        <v>0</v>
      </c>
      <c r="AI23" s="64" t="s">
        <v>26</v>
      </c>
      <c r="AJ23" s="61" t="s">
        <v>18</v>
      </c>
      <c r="AK23" s="65" t="s">
        <v>28</v>
      </c>
      <c r="AL23" s="66">
        <v>1000000</v>
      </c>
      <c r="AM23" s="63" t="e">
        <f>IF(LEFT(_xll.BDP($G23,AM$5),1)="#","#LOADING",DATEVALUE(_xll.BDP($G23,AM$5)))</f>
        <v>#VALUE!</v>
      </c>
      <c r="AN23" s="63" t="e">
        <f>IF(LEFT(_xll.BDP($G23,AN$5),1)="#","#LOADING",DATEVALUE(_xll.BDP($G23,AN$5)))</f>
        <v>#VALUE!</v>
      </c>
      <c r="AO23" s="63" t="e">
        <f>IF(LEFT(_xll.BDP($G23,AO$5),1)="#","#LOADING",DATEVALUE(_xll.BDP($G23,AO$5)))</f>
        <v>#VALUE!</v>
      </c>
      <c r="AP23" s="63" t="e">
        <f>IF(LEFT(_xll.BDP($G23,AP$5),1)="#","#LOADING",DATEVALUE(_xll.BDP($G23,AP$5)))</f>
        <v>#VALUE!</v>
      </c>
      <c r="AQ23" s="63" t="e">
        <f>IF(LEFT(_xll.BDP($G23,AQ$5),1)="#","#LOADING",DATEVALUE(_xll.BDP($G23,AQ$5)))</f>
        <v>#VALUE!</v>
      </c>
      <c r="AR23" s="67">
        <f>IF(LEFT(_xll.BDP($G23,AR$5),1)="#","#LOADING",_xll.BDP($G23,AR$5)%)</f>
        <v>0</v>
      </c>
      <c r="AS23" s="67" t="str">
        <f>IF(LEFT(_xll.BDP($G23,AS$5),1)="#","#LOADING",VLOOKUP(_xll.BDP($G23,AS$5),Static.CouponFrequency,2,FALSE))</f>
        <v>ZERO-COUPON</v>
      </c>
      <c r="AT23" s="68" t="s">
        <v>51</v>
      </c>
      <c r="AU23" s="53" t="e">
        <f t="shared" si="2"/>
        <v>#N/A</v>
      </c>
      <c r="AV23" s="61" t="s">
        <v>51</v>
      </c>
      <c r="AW23" s="53" t="e">
        <f t="shared" si="3"/>
        <v>#N/A</v>
      </c>
      <c r="AX23" s="61" t="s">
        <v>62</v>
      </c>
      <c r="AY23" s="69">
        <f>IF(LEFT(_xll.BDP($G23,AY$5),1)="#","#LOADING",_xll.BDP($G23,AY$5))</f>
        <v>0</v>
      </c>
      <c r="AZ23" s="70"/>
      <c r="BA23" s="69" t="str">
        <f>IF(LEFT(_xll.BDP($G23,BA$5),1)="#","#LOADING","Type"&amp;IF(_xll.BDP($G23,BA$5)=999,1,_xll.BDP($G23,BA$5)))</f>
        <v>Type</v>
      </c>
      <c r="BB23" s="54"/>
      <c r="BD23" s="61" t="s">
        <v>7</v>
      </c>
      <c r="BE23" s="66">
        <v>1000000</v>
      </c>
      <c r="BF23" s="61" t="s">
        <v>14</v>
      </c>
      <c r="BG23" s="61" t="s">
        <v>17</v>
      </c>
      <c r="BH23" s="70"/>
      <c r="BI23" s="73" t="e">
        <f t="shared" si="4"/>
        <v>#N/A</v>
      </c>
      <c r="BJ23" s="74">
        <f t="shared" si="5"/>
        <v>0</v>
      </c>
      <c r="BK23" s="71">
        <v>1</v>
      </c>
      <c r="BL23" s="75">
        <f t="shared" si="6"/>
        <v>0</v>
      </c>
      <c r="BM23" s="61"/>
      <c r="BN23" s="61"/>
      <c r="BO23" s="72"/>
      <c r="BP23" s="72"/>
      <c r="BQ23" s="71"/>
      <c r="BR23" s="76" t="e">
        <f t="shared" si="7"/>
        <v>#VALUE!</v>
      </c>
      <c r="BS23" s="76" t="e">
        <f t="shared" si="8"/>
        <v>#VALUE!</v>
      </c>
      <c r="BT23" s="77" t="str">
        <f t="shared" si="9"/>
        <v>ZERO-COUPON</v>
      </c>
      <c r="BU23" s="77" t="str">
        <f t="shared" si="9"/>
        <v>ZERO-COUPON</v>
      </c>
      <c r="BV23" s="78">
        <f t="shared" si="10"/>
        <v>0</v>
      </c>
      <c r="BW23" s="61"/>
      <c r="BX23" s="61"/>
      <c r="BY23" s="61" t="s">
        <v>51</v>
      </c>
      <c r="BZ23" s="73" t="e">
        <f t="shared" si="11"/>
        <v>#N/A</v>
      </c>
      <c r="CA23" s="61" t="s">
        <v>51</v>
      </c>
      <c r="CB23" s="73" t="e">
        <f t="shared" si="12"/>
        <v>#N/A</v>
      </c>
      <c r="CC23" s="76" t="e">
        <f t="shared" si="13"/>
        <v>#VALUE!</v>
      </c>
      <c r="CD23" s="76" t="e">
        <f t="shared" si="14"/>
        <v>#VALUE!</v>
      </c>
      <c r="CE23" s="70" t="s">
        <v>80</v>
      </c>
      <c r="CF23" s="61"/>
      <c r="CG23" s="61"/>
      <c r="CH23" s="61" t="s">
        <v>62</v>
      </c>
      <c r="CI23" s="61"/>
      <c r="CJ23" s="76" t="str">
        <f t="shared" si="15"/>
        <v>Type</v>
      </c>
      <c r="CL23" s="61" t="s">
        <v>8</v>
      </c>
      <c r="CM23" s="66">
        <v>1000000</v>
      </c>
      <c r="CN23" s="61" t="s">
        <v>14</v>
      </c>
      <c r="CO23" s="61" t="s">
        <v>18</v>
      </c>
      <c r="CP23" s="53" t="e">
        <f t="shared" si="16"/>
        <v>#N/A</v>
      </c>
      <c r="CQ23" s="53" t="e">
        <f t="shared" si="17"/>
        <v>#N/A</v>
      </c>
      <c r="CR23" s="41">
        <f t="shared" si="18"/>
        <v>0</v>
      </c>
      <c r="CS23" s="71">
        <v>1</v>
      </c>
      <c r="CT23" s="81"/>
      <c r="CU23" s="61" t="s">
        <v>32</v>
      </c>
      <c r="CV23" s="61" t="s">
        <v>32</v>
      </c>
      <c r="CW23" s="72"/>
      <c r="CX23" s="72"/>
      <c r="CY23" s="71"/>
      <c r="CZ23" s="82" t="e">
        <f t="shared" si="19"/>
        <v>#VALUE!</v>
      </c>
      <c r="DA23" s="82" t="e">
        <f t="shared" si="20"/>
        <v>#VALUE!</v>
      </c>
      <c r="DB23" s="53">
        <f t="shared" si="21"/>
        <v>0</v>
      </c>
      <c r="DC23" s="53">
        <f t="shared" si="21"/>
        <v>0</v>
      </c>
      <c r="DD23" s="53" t="e">
        <f t="shared" si="22"/>
        <v>#N/A</v>
      </c>
      <c r="DE23" s="61" t="s">
        <v>58</v>
      </c>
      <c r="DF23" s="53" t="e">
        <f t="shared" si="23"/>
        <v>#N/A</v>
      </c>
      <c r="DG23" s="61" t="s">
        <v>51</v>
      </c>
      <c r="DH23" s="53" t="e">
        <f t="shared" si="24"/>
        <v>#N/A</v>
      </c>
      <c r="DI23" s="61" t="s">
        <v>51</v>
      </c>
      <c r="DJ23" s="53" t="e">
        <f t="shared" si="25"/>
        <v>#N/A</v>
      </c>
      <c r="DK23" s="82"/>
      <c r="DL23" s="82"/>
      <c r="DM23" s="70"/>
      <c r="DN23" s="61" t="s">
        <v>62</v>
      </c>
      <c r="DO23" s="61"/>
      <c r="DP23" s="61" t="s">
        <v>62</v>
      </c>
      <c r="DQ23" s="61" t="s">
        <v>75</v>
      </c>
      <c r="DR23" s="82"/>
      <c r="DV23" s="61" t="s">
        <v>253</v>
      </c>
      <c r="DW23" s="66">
        <v>1000000</v>
      </c>
      <c r="DX23" s="61" t="s">
        <v>14</v>
      </c>
      <c r="DY23" s="61" t="s">
        <v>17</v>
      </c>
      <c r="DZ23" s="70"/>
      <c r="EA23" s="73" t="e">
        <f t="shared" si="26"/>
        <v>#N/A</v>
      </c>
      <c r="EB23" s="74">
        <f t="shared" si="27"/>
        <v>0</v>
      </c>
      <c r="EC23" s="71">
        <v>1</v>
      </c>
      <c r="ED23" s="75">
        <f t="shared" si="28"/>
        <v>0</v>
      </c>
      <c r="EE23" s="61"/>
      <c r="EF23" s="61"/>
      <c r="EG23" s="72"/>
      <c r="EH23" s="72"/>
      <c r="EI23" s="71"/>
      <c r="EJ23" s="76" t="e">
        <f t="shared" si="29"/>
        <v>#VALUE!</v>
      </c>
      <c r="EK23" s="76" t="e">
        <f t="shared" si="30"/>
        <v>#VALUE!</v>
      </c>
      <c r="EL23" s="77" t="str">
        <f t="shared" si="31"/>
        <v>ZERO-COUPON</v>
      </c>
      <c r="EM23" s="77" t="str">
        <f t="shared" si="31"/>
        <v>ZERO-COUPON</v>
      </c>
      <c r="EN23" s="78">
        <f t="shared" si="32"/>
        <v>0</v>
      </c>
      <c r="EO23" s="61"/>
      <c r="EP23" s="61"/>
      <c r="EQ23" s="61" t="s">
        <v>51</v>
      </c>
      <c r="ER23" s="73" t="e">
        <f t="shared" si="33"/>
        <v>#N/A</v>
      </c>
      <c r="ES23" s="61" t="s">
        <v>51</v>
      </c>
      <c r="ET23" s="73" t="e">
        <f t="shared" si="34"/>
        <v>#N/A</v>
      </c>
      <c r="EU23" s="76" t="e">
        <f t="shared" si="35"/>
        <v>#VALUE!</v>
      </c>
      <c r="EV23" s="76" t="e">
        <f t="shared" si="36"/>
        <v>#VALUE!</v>
      </c>
      <c r="EW23" s="70" t="s">
        <v>80</v>
      </c>
      <c r="EX23" s="61"/>
      <c r="EY23" s="61"/>
      <c r="EZ23" s="61" t="s">
        <v>62</v>
      </c>
      <c r="FA23" s="61"/>
      <c r="FB23" s="61"/>
      <c r="FC23" s="61"/>
      <c r="FE23" s="61" t="s">
        <v>254</v>
      </c>
      <c r="FF23" s="66">
        <v>1000000</v>
      </c>
      <c r="FG23" s="61" t="s">
        <v>14</v>
      </c>
      <c r="FH23" s="61" t="s">
        <v>18</v>
      </c>
      <c r="FI23" s="73" t="e">
        <f t="shared" si="37"/>
        <v>#N/A</v>
      </c>
      <c r="FJ23" s="73" t="e">
        <f t="shared" si="38"/>
        <v>#N/A</v>
      </c>
      <c r="FK23" s="41">
        <f t="shared" si="39"/>
        <v>0</v>
      </c>
      <c r="FL23" s="71">
        <v>1</v>
      </c>
      <c r="FM23" s="81"/>
      <c r="FN23" s="61" t="s">
        <v>32</v>
      </c>
      <c r="FO23" s="61" t="s">
        <v>32</v>
      </c>
      <c r="FP23" s="72"/>
      <c r="FQ23" s="72"/>
      <c r="FR23" s="71"/>
      <c r="FS23" s="76" t="e">
        <f t="shared" si="40"/>
        <v>#VALUE!</v>
      </c>
      <c r="FT23" s="76" t="e">
        <f t="shared" si="41"/>
        <v>#VALUE!</v>
      </c>
      <c r="FU23" s="73">
        <f t="shared" si="42"/>
        <v>0</v>
      </c>
      <c r="FV23" s="73">
        <f t="shared" si="42"/>
        <v>0</v>
      </c>
      <c r="FW23" s="73" t="e">
        <f t="shared" si="43"/>
        <v>#N/A</v>
      </c>
      <c r="FX23" s="61" t="s">
        <v>58</v>
      </c>
      <c r="FY23" s="73" t="e">
        <f t="shared" si="44"/>
        <v>#N/A</v>
      </c>
      <c r="FZ23" s="61" t="s">
        <v>51</v>
      </c>
      <c r="GA23" s="73" t="e">
        <f t="shared" si="45"/>
        <v>#N/A</v>
      </c>
      <c r="GB23" s="61" t="s">
        <v>51</v>
      </c>
      <c r="GC23" s="73" t="e">
        <f t="shared" si="46"/>
        <v>#N/A</v>
      </c>
      <c r="GD23" s="82"/>
      <c r="GE23" s="82"/>
      <c r="GF23" s="70"/>
      <c r="GG23" s="61" t="s">
        <v>62</v>
      </c>
      <c r="GH23" s="61"/>
      <c r="GI23" s="61" t="s">
        <v>62</v>
      </c>
      <c r="GJ23" s="61" t="s">
        <v>75</v>
      </c>
      <c r="GK23" s="286">
        <f t="shared" si="54"/>
        <v>0</v>
      </c>
      <c r="GL23" s="82" t="str">
        <f t="shared" si="55"/>
        <v>Type</v>
      </c>
      <c r="GP23" s="95">
        <f t="shared" si="47"/>
        <v>0</v>
      </c>
      <c r="GQ23" s="42">
        <f>IF(LEFT(_xll.BDP($C23,GQ$5),1)="#","#LOADING",_xll.BDP($C23,GQ$5))</f>
        <v>0</v>
      </c>
      <c r="GR23" s="74">
        <f t="shared" si="48"/>
        <v>0</v>
      </c>
      <c r="GS23" s="74" t="e">
        <f t="shared" si="49"/>
        <v>#VALUE!</v>
      </c>
      <c r="GT23" s="64" t="s">
        <v>20</v>
      </c>
      <c r="GU23" s="42" t="b">
        <f>IF(LEFT(_xll.BDP($C23,GU$5),1)="#","#LOADING",IF(_xll.BDP($C23,GU$5)="CLEAN",TRUE,FALSE))</f>
        <v>0</v>
      </c>
      <c r="GV23" s="64" t="s">
        <v>26</v>
      </c>
      <c r="GW23" s="61" t="s">
        <v>18</v>
      </c>
      <c r="GX23" s="65" t="s">
        <v>28</v>
      </c>
      <c r="GY23" s="66">
        <v>1000000</v>
      </c>
      <c r="GZ23" s="96" t="e">
        <f>IF(LEFT(_xll.BDP($C23,GZ$5),1)="#","#LOADING",DATEVALUE(_xll.BDP($C23,GZ$5)))</f>
        <v>#VALUE!</v>
      </c>
      <c r="HA23" s="96" t="e">
        <f>IF(LEFT(_xll.BDP($C23,HA$5),1)="#","#LOADING",DATEVALUE(_xll.BDP($C23,HA$5)))</f>
        <v>#VALUE!</v>
      </c>
      <c r="HB23" s="96" t="e">
        <f>IF(LEFT(_xll.BDP($C23,HB$5),1)="#","#LOADING",DATEVALUE(_xll.BDP($C23,HB$5)))</f>
        <v>#VALUE!</v>
      </c>
      <c r="HC23" s="96" t="e">
        <f>IF(LEFT(_xll.BDP($C23,HC$5),1)="#","#LOADING",DATEVALUE(_xll.BDP($C23,HC$5)))</f>
        <v>#VALUE!</v>
      </c>
      <c r="HD23" s="96" t="e">
        <f>IF(LEFT(_xll.BDP($C23,HD$5),1)="#","#LOADING",DATEVALUE(_xll.BDP($C23,HD$5)))</f>
        <v>#VALUE!</v>
      </c>
      <c r="HE23" s="97">
        <f>IF(LEFT(_xll.BDP($C23,HE$5),1)="#","#LOADING",_xll.BDP($C23,HE$5)%)</f>
        <v>0</v>
      </c>
      <c r="HF23" s="97" t="str">
        <f>IF(LEFT(_xll.BDP($C23,HF$5),1)="#","#LOADING",VLOOKUP(_xll.BDP($C23,HF$5),Static.CouponFrequency,2,FALSE))</f>
        <v>ZERO-COUPON</v>
      </c>
      <c r="HG23" s="68" t="s">
        <v>51</v>
      </c>
      <c r="HH23" s="73" t="e">
        <f t="shared" si="50"/>
        <v>#N/A</v>
      </c>
      <c r="HI23" s="61" t="s">
        <v>51</v>
      </c>
      <c r="HJ23" s="73" t="e">
        <f t="shared" si="51"/>
        <v>#N/A</v>
      </c>
      <c r="HK23" s="61" t="s">
        <v>62</v>
      </c>
      <c r="HL23" s="43">
        <f>IF(LEFT(_xll.BDP($C23,HL$5),1)="#","#LOADING",_xll.BDP($C23,HL$5))</f>
        <v>0</v>
      </c>
      <c r="HM23" s="70"/>
      <c r="HN23" s="280">
        <f>IF(LEFT(_xll.BDP($C23,HN$5),1)="#","#LOADING",_xll.BDP($C23,HN$5))</f>
        <v>0</v>
      </c>
      <c r="HO23" s="43" t="str">
        <f>IF(LEFT(_xll.BDP($C23,HO$5),1)="#","#LOADING","Type"&amp;IF(_xll.BDP($C23,HO$5)=999,1,_xll.BDP($C23,HO$5)))</f>
        <v>Type</v>
      </c>
    </row>
    <row r="24" spans="1:223">
      <c r="A24" s="101">
        <v>18</v>
      </c>
      <c r="B24" s="57"/>
      <c r="C24" s="57"/>
      <c r="D24" s="57"/>
      <c r="E24" s="57"/>
      <c r="F24" s="57"/>
      <c r="G24" s="57"/>
      <c r="H24" s="57"/>
      <c r="I24" s="57"/>
      <c r="J24" s="101">
        <v>18</v>
      </c>
      <c r="K24" s="58" t="s">
        <v>163</v>
      </c>
      <c r="L24" s="59" t="str">
        <f>IF(ISBLANK(M24),IF($G24="","",_xll.BDP(G24&amp;" "&amp;$K24&amp;" Corp","PX_LAST")),M24)</f>
        <v/>
      </c>
      <c r="M24" s="60"/>
      <c r="N24" s="83" t="str">
        <f ca="1">IF(ISBLANK($O24),IF($G24="","",_xll.meLWOAssetSwapSpread($Y24,$X24,$L24,INDIRECT("ValuationSettings"&amp;$CR24),INDIRECT("Fixings"&amp;$CR24&amp;IF($I24="QUARTERLY","3ML","6ML")))),$O24)</f>
        <v/>
      </c>
      <c r="O24" s="60"/>
      <c r="P24" s="84" t="str">
        <f ca="1">IF($C24="","",_xll.meLWOAssetSwapSpreadToCleanPrice($Z24,$N24,INDIRECT("ValuationSettings"&amp;$D24),INDIRECT("Fixings"&amp;$EB24&amp;IF($E24="QUARTERLY","3ML","6ML"))))</f>
        <v/>
      </c>
      <c r="Q24" s="84" t="str">
        <f>IF($C24="","",_xll.meLWOBondPriceFromCleanToDirty($AA24,_xll.meUtilityLVBFromKeysValues($S$6:$T$6,S24:T24),$P24))</f>
        <v/>
      </c>
      <c r="R24" s="98" t="str">
        <f>IF($C24="","",_xll.meLWOBondYield($AA24,_xll.meUtilityLVBFromKeysValues($S$6:$V$6,S24:V24),IF($GU24,$P24,$Q24)))</f>
        <v/>
      </c>
      <c r="S24" s="127" t="str">
        <f t="shared" ca="1" si="52"/>
        <v/>
      </c>
      <c r="T24" s="98" t="str">
        <f t="shared" si="53"/>
        <v/>
      </c>
      <c r="U24" s="98" t="str">
        <f>IF($C24="","",_xll.BDP($C24,$U$5)%)</f>
        <v/>
      </c>
      <c r="V24" s="274" t="str">
        <f>IF($C24="","",_xll.BDP($C24,$V$5)%)</f>
        <v/>
      </c>
      <c r="W24" s="101">
        <v>18</v>
      </c>
      <c r="X24" s="53" t="str">
        <f>IF($G24="","",IF(LEFT(AD24,1)="#","#LOADING",_xll.meLWOBondCreateFromLVB("PROXY_BOND_"&amp;$AF24,_xll.meUtilityLVBFromKeysValues($AC$6:$BA$6,$AC24:$BA24))))</f>
        <v/>
      </c>
      <c r="Y24" s="53" t="str">
        <f>IF($G24="","",_xll.meLWOSwapCreate("PROXY_ASW_"&amp;$AF24,_xll.meUtilityLVBFromKeysAndMultipleValues($BD$6:$CJ$6,$BD24:$CJ24,$CL24:$DR24)))</f>
        <v/>
      </c>
      <c r="Z24" s="53" t="str">
        <f>IF($C24="","",_xll.meLWOSwapCreate("BOND_ASW_"&amp;$GS24,_xll.meUtilityLVBFromKeysAndMultipleValues($DV$6:$FC$6,$DV24:$FC24,$FE24:$GL24)))</f>
        <v/>
      </c>
      <c r="AA24" s="53" t="str">
        <f>IF($C24="","",IF(LEFT(GQ24,1)="#","#LOADING",_xll.meLWOBondCreateFromLVB("PROXY_BOND_"&amp;$GS24,_xll.meUtilityLVBFromKeysValues($GP$6:$HO$6,$GP24:$HO24))))</f>
        <v/>
      </c>
      <c r="AB24" t="s">
        <v>0</v>
      </c>
      <c r="AC24" s="62">
        <f t="shared" si="0"/>
        <v>0</v>
      </c>
      <c r="AD24" s="63">
        <f>IF(LEFT(_xll.BDP($G24,AD$5),1)="#","#LOADING",_xll.BDP($G24,AD$5))</f>
        <v>0</v>
      </c>
      <c r="AE24" s="41">
        <f t="shared" si="1"/>
        <v>0</v>
      </c>
      <c r="AF24" s="63">
        <f>IF(LEFT(_xll.BDP($G24,AF$5),1)="#","#LOADING",_xll.BDP($G24,AF$5))</f>
        <v>0</v>
      </c>
      <c r="AG24" s="64" t="s">
        <v>20</v>
      </c>
      <c r="AH24" s="63" t="b">
        <f>IF(LEFT(_xll.BDP($G24,AH$5),1)="#","#LOADING",IF(_xll.BDP($G24,AH$5)="CLEAN",TRUE,FALSE))</f>
        <v>0</v>
      </c>
      <c r="AI24" s="64" t="s">
        <v>26</v>
      </c>
      <c r="AJ24" s="61" t="s">
        <v>18</v>
      </c>
      <c r="AK24" s="65" t="s">
        <v>28</v>
      </c>
      <c r="AL24" s="66">
        <v>1000000</v>
      </c>
      <c r="AM24" s="63" t="e">
        <f>IF(LEFT(_xll.BDP($G24,AM$5),1)="#","#LOADING",DATEVALUE(_xll.BDP($G24,AM$5)))</f>
        <v>#VALUE!</v>
      </c>
      <c r="AN24" s="63" t="e">
        <f>IF(LEFT(_xll.BDP($G24,AN$5),1)="#","#LOADING",DATEVALUE(_xll.BDP($G24,AN$5)))</f>
        <v>#VALUE!</v>
      </c>
      <c r="AO24" s="63" t="e">
        <f>IF(LEFT(_xll.BDP($G24,AO$5),1)="#","#LOADING",DATEVALUE(_xll.BDP($G24,AO$5)))</f>
        <v>#VALUE!</v>
      </c>
      <c r="AP24" s="63" t="e">
        <f>IF(LEFT(_xll.BDP($G24,AP$5),1)="#","#LOADING",DATEVALUE(_xll.BDP($G24,AP$5)))</f>
        <v>#VALUE!</v>
      </c>
      <c r="AQ24" s="63" t="e">
        <f>IF(LEFT(_xll.BDP($G24,AQ$5),1)="#","#LOADING",DATEVALUE(_xll.BDP($G24,AQ$5)))</f>
        <v>#VALUE!</v>
      </c>
      <c r="AR24" s="67">
        <f>IF(LEFT(_xll.BDP($G24,AR$5),1)="#","#LOADING",_xll.BDP($G24,AR$5)%)</f>
        <v>0</v>
      </c>
      <c r="AS24" s="67" t="str">
        <f>IF(LEFT(_xll.BDP($G24,AS$5),1)="#","#LOADING",VLOOKUP(_xll.BDP($G24,AS$5),Static.CouponFrequency,2,FALSE))</f>
        <v>ZERO-COUPON</v>
      </c>
      <c r="AT24" s="68" t="s">
        <v>51</v>
      </c>
      <c r="AU24" s="53" t="e">
        <f t="shared" si="2"/>
        <v>#N/A</v>
      </c>
      <c r="AV24" s="61" t="s">
        <v>51</v>
      </c>
      <c r="AW24" s="53" t="e">
        <f t="shared" si="3"/>
        <v>#N/A</v>
      </c>
      <c r="AX24" s="61" t="s">
        <v>62</v>
      </c>
      <c r="AY24" s="69">
        <f>IF(LEFT(_xll.BDP($G24,AY$5),1)="#","#LOADING",_xll.BDP($G24,AY$5))</f>
        <v>0</v>
      </c>
      <c r="AZ24" s="70"/>
      <c r="BA24" s="69" t="str">
        <f>IF(LEFT(_xll.BDP($G24,BA$5),1)="#","#LOADING","Type"&amp;IF(_xll.BDP($G24,BA$5)=999,1,_xll.BDP($G24,BA$5)))</f>
        <v>Type</v>
      </c>
      <c r="BB24" s="54"/>
      <c r="BD24" s="61" t="s">
        <v>7</v>
      </c>
      <c r="BE24" s="66">
        <v>1000000</v>
      </c>
      <c r="BF24" s="61" t="s">
        <v>14</v>
      </c>
      <c r="BG24" s="61" t="s">
        <v>17</v>
      </c>
      <c r="BH24" s="70"/>
      <c r="BI24" s="73" t="e">
        <f t="shared" si="4"/>
        <v>#N/A</v>
      </c>
      <c r="BJ24" s="74">
        <f t="shared" si="5"/>
        <v>0</v>
      </c>
      <c r="BK24" s="71">
        <v>1</v>
      </c>
      <c r="BL24" s="75">
        <f t="shared" si="6"/>
        <v>0</v>
      </c>
      <c r="BM24" s="61"/>
      <c r="BN24" s="61"/>
      <c r="BO24" s="72"/>
      <c r="BP24" s="72"/>
      <c r="BQ24" s="71"/>
      <c r="BR24" s="76" t="e">
        <f t="shared" si="7"/>
        <v>#VALUE!</v>
      </c>
      <c r="BS24" s="76" t="e">
        <f t="shared" si="8"/>
        <v>#VALUE!</v>
      </c>
      <c r="BT24" s="77" t="str">
        <f t="shared" si="9"/>
        <v>ZERO-COUPON</v>
      </c>
      <c r="BU24" s="77" t="str">
        <f t="shared" si="9"/>
        <v>ZERO-COUPON</v>
      </c>
      <c r="BV24" s="78">
        <f t="shared" si="10"/>
        <v>0</v>
      </c>
      <c r="BW24" s="61"/>
      <c r="BX24" s="61"/>
      <c r="BY24" s="61" t="s">
        <v>51</v>
      </c>
      <c r="BZ24" s="73" t="e">
        <f t="shared" si="11"/>
        <v>#N/A</v>
      </c>
      <c r="CA24" s="61" t="s">
        <v>51</v>
      </c>
      <c r="CB24" s="73" t="e">
        <f t="shared" si="12"/>
        <v>#N/A</v>
      </c>
      <c r="CC24" s="76" t="e">
        <f t="shared" si="13"/>
        <v>#VALUE!</v>
      </c>
      <c r="CD24" s="76" t="e">
        <f t="shared" si="14"/>
        <v>#VALUE!</v>
      </c>
      <c r="CE24" s="70" t="s">
        <v>80</v>
      </c>
      <c r="CF24" s="61"/>
      <c r="CG24" s="61"/>
      <c r="CH24" s="61" t="s">
        <v>62</v>
      </c>
      <c r="CI24" s="61"/>
      <c r="CJ24" s="76" t="str">
        <f t="shared" si="15"/>
        <v>Type</v>
      </c>
      <c r="CL24" s="61" t="s">
        <v>8</v>
      </c>
      <c r="CM24" s="66">
        <v>1000000</v>
      </c>
      <c r="CN24" s="61" t="s">
        <v>14</v>
      </c>
      <c r="CO24" s="61" t="s">
        <v>18</v>
      </c>
      <c r="CP24" s="53" t="e">
        <f t="shared" si="16"/>
        <v>#N/A</v>
      </c>
      <c r="CQ24" s="53" t="e">
        <f t="shared" si="17"/>
        <v>#N/A</v>
      </c>
      <c r="CR24" s="41">
        <f t="shared" si="18"/>
        <v>0</v>
      </c>
      <c r="CS24" s="71">
        <v>1</v>
      </c>
      <c r="CT24" s="81"/>
      <c r="CU24" s="61" t="s">
        <v>32</v>
      </c>
      <c r="CV24" s="61" t="s">
        <v>32</v>
      </c>
      <c r="CW24" s="72"/>
      <c r="CX24" s="72"/>
      <c r="CY24" s="71"/>
      <c r="CZ24" s="82" t="e">
        <f t="shared" si="19"/>
        <v>#VALUE!</v>
      </c>
      <c r="DA24" s="82" t="e">
        <f t="shared" si="20"/>
        <v>#VALUE!</v>
      </c>
      <c r="DB24" s="53">
        <f t="shared" si="21"/>
        <v>0</v>
      </c>
      <c r="DC24" s="53">
        <f t="shared" si="21"/>
        <v>0</v>
      </c>
      <c r="DD24" s="53" t="e">
        <f t="shared" si="22"/>
        <v>#N/A</v>
      </c>
      <c r="DE24" s="61" t="s">
        <v>58</v>
      </c>
      <c r="DF24" s="53" t="e">
        <f t="shared" si="23"/>
        <v>#N/A</v>
      </c>
      <c r="DG24" s="61" t="s">
        <v>51</v>
      </c>
      <c r="DH24" s="53" t="e">
        <f t="shared" si="24"/>
        <v>#N/A</v>
      </c>
      <c r="DI24" s="61" t="s">
        <v>51</v>
      </c>
      <c r="DJ24" s="53" t="e">
        <f t="shared" si="25"/>
        <v>#N/A</v>
      </c>
      <c r="DK24" s="82"/>
      <c r="DL24" s="82"/>
      <c r="DM24" s="70"/>
      <c r="DN24" s="61" t="s">
        <v>62</v>
      </c>
      <c r="DO24" s="61"/>
      <c r="DP24" s="61" t="s">
        <v>62</v>
      </c>
      <c r="DQ24" s="61" t="s">
        <v>75</v>
      </c>
      <c r="DR24" s="82"/>
      <c r="DV24" s="61" t="s">
        <v>253</v>
      </c>
      <c r="DW24" s="66">
        <v>1000000</v>
      </c>
      <c r="DX24" s="61" t="s">
        <v>14</v>
      </c>
      <c r="DY24" s="61" t="s">
        <v>17</v>
      </c>
      <c r="DZ24" s="70"/>
      <c r="EA24" s="73" t="e">
        <f t="shared" si="26"/>
        <v>#N/A</v>
      </c>
      <c r="EB24" s="74">
        <f t="shared" si="27"/>
        <v>0</v>
      </c>
      <c r="EC24" s="71">
        <v>1</v>
      </c>
      <c r="ED24" s="75">
        <f t="shared" si="28"/>
        <v>0</v>
      </c>
      <c r="EE24" s="61"/>
      <c r="EF24" s="61"/>
      <c r="EG24" s="72"/>
      <c r="EH24" s="72"/>
      <c r="EI24" s="71"/>
      <c r="EJ24" s="76" t="e">
        <f t="shared" si="29"/>
        <v>#VALUE!</v>
      </c>
      <c r="EK24" s="76" t="e">
        <f t="shared" si="30"/>
        <v>#VALUE!</v>
      </c>
      <c r="EL24" s="77" t="str">
        <f t="shared" si="31"/>
        <v>ZERO-COUPON</v>
      </c>
      <c r="EM24" s="77" t="str">
        <f t="shared" si="31"/>
        <v>ZERO-COUPON</v>
      </c>
      <c r="EN24" s="78">
        <f t="shared" si="32"/>
        <v>0</v>
      </c>
      <c r="EO24" s="61"/>
      <c r="EP24" s="61"/>
      <c r="EQ24" s="61" t="s">
        <v>51</v>
      </c>
      <c r="ER24" s="73" t="e">
        <f t="shared" si="33"/>
        <v>#N/A</v>
      </c>
      <c r="ES24" s="61" t="s">
        <v>51</v>
      </c>
      <c r="ET24" s="73" t="e">
        <f t="shared" si="34"/>
        <v>#N/A</v>
      </c>
      <c r="EU24" s="76" t="e">
        <f t="shared" si="35"/>
        <v>#VALUE!</v>
      </c>
      <c r="EV24" s="76" t="e">
        <f t="shared" si="36"/>
        <v>#VALUE!</v>
      </c>
      <c r="EW24" s="70" t="s">
        <v>80</v>
      </c>
      <c r="EX24" s="61"/>
      <c r="EY24" s="61"/>
      <c r="EZ24" s="61" t="s">
        <v>62</v>
      </c>
      <c r="FA24" s="61"/>
      <c r="FB24" s="61"/>
      <c r="FC24" s="61"/>
      <c r="FE24" s="61" t="s">
        <v>254</v>
      </c>
      <c r="FF24" s="66">
        <v>1000000</v>
      </c>
      <c r="FG24" s="61" t="s">
        <v>14</v>
      </c>
      <c r="FH24" s="61" t="s">
        <v>18</v>
      </c>
      <c r="FI24" s="73" t="e">
        <f t="shared" si="37"/>
        <v>#N/A</v>
      </c>
      <c r="FJ24" s="73" t="e">
        <f t="shared" si="38"/>
        <v>#N/A</v>
      </c>
      <c r="FK24" s="41">
        <f t="shared" si="39"/>
        <v>0</v>
      </c>
      <c r="FL24" s="71">
        <v>1</v>
      </c>
      <c r="FM24" s="81"/>
      <c r="FN24" s="61" t="s">
        <v>32</v>
      </c>
      <c r="FO24" s="61" t="s">
        <v>32</v>
      </c>
      <c r="FP24" s="72"/>
      <c r="FQ24" s="72"/>
      <c r="FR24" s="71"/>
      <c r="FS24" s="76" t="e">
        <f t="shared" si="40"/>
        <v>#VALUE!</v>
      </c>
      <c r="FT24" s="76" t="e">
        <f t="shared" si="41"/>
        <v>#VALUE!</v>
      </c>
      <c r="FU24" s="73">
        <f t="shared" si="42"/>
        <v>0</v>
      </c>
      <c r="FV24" s="73">
        <f t="shared" si="42"/>
        <v>0</v>
      </c>
      <c r="FW24" s="73" t="e">
        <f t="shared" si="43"/>
        <v>#N/A</v>
      </c>
      <c r="FX24" s="61" t="s">
        <v>58</v>
      </c>
      <c r="FY24" s="73" t="e">
        <f t="shared" si="44"/>
        <v>#N/A</v>
      </c>
      <c r="FZ24" s="61" t="s">
        <v>51</v>
      </c>
      <c r="GA24" s="73" t="e">
        <f t="shared" si="45"/>
        <v>#N/A</v>
      </c>
      <c r="GB24" s="61" t="s">
        <v>51</v>
      </c>
      <c r="GC24" s="73" t="e">
        <f t="shared" si="46"/>
        <v>#N/A</v>
      </c>
      <c r="GD24" s="82"/>
      <c r="GE24" s="82"/>
      <c r="GF24" s="70"/>
      <c r="GG24" s="61" t="s">
        <v>62</v>
      </c>
      <c r="GH24" s="61"/>
      <c r="GI24" s="61" t="s">
        <v>62</v>
      </c>
      <c r="GJ24" s="61" t="s">
        <v>75</v>
      </c>
      <c r="GK24" s="286">
        <f t="shared" si="54"/>
        <v>0</v>
      </c>
      <c r="GL24" s="82" t="str">
        <f t="shared" si="55"/>
        <v>Type</v>
      </c>
      <c r="GP24" s="95">
        <f t="shared" si="47"/>
        <v>0</v>
      </c>
      <c r="GQ24" s="42">
        <f>IF(LEFT(_xll.BDP($C24,GQ$5),1)="#","#LOADING",_xll.BDP($C24,GQ$5))</f>
        <v>0</v>
      </c>
      <c r="GR24" s="74">
        <f t="shared" si="48"/>
        <v>0</v>
      </c>
      <c r="GS24" s="74" t="e">
        <f t="shared" si="49"/>
        <v>#VALUE!</v>
      </c>
      <c r="GT24" s="64" t="s">
        <v>20</v>
      </c>
      <c r="GU24" s="42" t="b">
        <f>IF(LEFT(_xll.BDP($C24,GU$5),1)="#","#LOADING",IF(_xll.BDP($C24,GU$5)="CLEAN",TRUE,FALSE))</f>
        <v>0</v>
      </c>
      <c r="GV24" s="64" t="s">
        <v>26</v>
      </c>
      <c r="GW24" s="61" t="s">
        <v>18</v>
      </c>
      <c r="GX24" s="65" t="s">
        <v>28</v>
      </c>
      <c r="GY24" s="66">
        <v>1000000</v>
      </c>
      <c r="GZ24" s="96" t="e">
        <f>IF(LEFT(_xll.BDP($C24,GZ$5),1)="#","#LOADING",DATEVALUE(_xll.BDP($C24,GZ$5)))</f>
        <v>#VALUE!</v>
      </c>
      <c r="HA24" s="96" t="e">
        <f>IF(LEFT(_xll.BDP($C24,HA$5),1)="#","#LOADING",DATEVALUE(_xll.BDP($C24,HA$5)))</f>
        <v>#VALUE!</v>
      </c>
      <c r="HB24" s="96" t="e">
        <f>IF(LEFT(_xll.BDP($C24,HB$5),1)="#","#LOADING",DATEVALUE(_xll.BDP($C24,HB$5)))</f>
        <v>#VALUE!</v>
      </c>
      <c r="HC24" s="96" t="e">
        <f>IF(LEFT(_xll.BDP($C24,HC$5),1)="#","#LOADING",DATEVALUE(_xll.BDP($C24,HC$5)))</f>
        <v>#VALUE!</v>
      </c>
      <c r="HD24" s="96" t="e">
        <f>IF(LEFT(_xll.BDP($C24,HD$5),1)="#","#LOADING",DATEVALUE(_xll.BDP($C24,HD$5)))</f>
        <v>#VALUE!</v>
      </c>
      <c r="HE24" s="97">
        <f>IF(LEFT(_xll.BDP($C24,HE$5),1)="#","#LOADING",_xll.BDP($C24,HE$5)%)</f>
        <v>0</v>
      </c>
      <c r="HF24" s="97" t="str">
        <f>IF(LEFT(_xll.BDP($C24,HF$5),1)="#","#LOADING",VLOOKUP(_xll.BDP($C24,HF$5),Static.CouponFrequency,2,FALSE))</f>
        <v>ZERO-COUPON</v>
      </c>
      <c r="HG24" s="68" t="s">
        <v>51</v>
      </c>
      <c r="HH24" s="73" t="e">
        <f t="shared" si="50"/>
        <v>#N/A</v>
      </c>
      <c r="HI24" s="61" t="s">
        <v>51</v>
      </c>
      <c r="HJ24" s="73" t="e">
        <f t="shared" si="51"/>
        <v>#N/A</v>
      </c>
      <c r="HK24" s="61" t="s">
        <v>62</v>
      </c>
      <c r="HL24" s="43">
        <f>IF(LEFT(_xll.BDP($C24,HL$5),1)="#","#LOADING",_xll.BDP($C24,HL$5))</f>
        <v>0</v>
      </c>
      <c r="HM24" s="70"/>
      <c r="HN24" s="280">
        <f>IF(LEFT(_xll.BDP($C24,HN$5),1)="#","#LOADING",_xll.BDP($C24,HN$5))</f>
        <v>0</v>
      </c>
      <c r="HO24" s="43" t="str">
        <f>IF(LEFT(_xll.BDP($C24,HO$5),1)="#","#LOADING","Type"&amp;IF(_xll.BDP($C24,HO$5)=999,1,_xll.BDP($C24,HO$5)))</f>
        <v>Type</v>
      </c>
    </row>
    <row r="25" spans="1:223">
      <c r="A25" s="101">
        <v>19</v>
      </c>
      <c r="B25" s="57"/>
      <c r="C25" s="57"/>
      <c r="D25" s="57"/>
      <c r="E25" s="57"/>
      <c r="F25" s="57"/>
      <c r="G25" s="57"/>
      <c r="H25" s="57"/>
      <c r="I25" s="57"/>
      <c r="J25" s="101">
        <v>19</v>
      </c>
      <c r="K25" s="58" t="s">
        <v>163</v>
      </c>
      <c r="L25" s="59" t="str">
        <f>IF(ISBLANK(M25),IF($G25="","",_xll.BDP(G25&amp;" "&amp;$K25&amp;" Corp","PX_LAST")),M25)</f>
        <v/>
      </c>
      <c r="M25" s="60"/>
      <c r="N25" s="83" t="str">
        <f ca="1">IF(ISBLANK($O25),IF($G25="","",_xll.meLWOAssetSwapSpread($Y25,$X25,$L25,INDIRECT("ValuationSettings"&amp;$CR25),INDIRECT("Fixings"&amp;$CR25&amp;IF($I25="QUARTERLY","3ML","6ML")))),$O25)</f>
        <v/>
      </c>
      <c r="O25" s="60"/>
      <c r="P25" s="84" t="str">
        <f ca="1">IF($C25="","",_xll.meLWOAssetSwapSpreadToCleanPrice($Z25,$N25,INDIRECT("ValuationSettings"&amp;$D25),INDIRECT("Fixings"&amp;$EB25&amp;IF($E25="QUARTERLY","3ML","6ML"))))</f>
        <v/>
      </c>
      <c r="Q25" s="84" t="str">
        <f>IF($C25="","",_xll.meLWOBondPriceFromCleanToDirty($AA25,_xll.meUtilityLVBFromKeysValues($S$6:$T$6,S25:T25),$P25))</f>
        <v/>
      </c>
      <c r="R25" s="98" t="str">
        <f>IF($C25="","",_xll.meLWOBondYield($AA25,_xll.meUtilityLVBFromKeysValues($S$6:$V$6,S25:V25),IF($GU25,$P25,$Q25)))</f>
        <v/>
      </c>
      <c r="S25" s="127" t="str">
        <f t="shared" ca="1" si="52"/>
        <v/>
      </c>
      <c r="T25" s="98" t="str">
        <f t="shared" si="53"/>
        <v/>
      </c>
      <c r="U25" s="98" t="str">
        <f>IF($C25="","",_xll.BDP($C25,$U$5)%)</f>
        <v/>
      </c>
      <c r="V25" s="274" t="str">
        <f>IF($C25="","",_xll.BDP($C25,$V$5)%)</f>
        <v/>
      </c>
      <c r="W25" s="101">
        <v>19</v>
      </c>
      <c r="X25" s="53" t="str">
        <f>IF($G25="","",IF(LEFT(AD25,1)="#","#LOADING",_xll.meLWOBondCreateFromLVB("PROXY_BOND_"&amp;$AF25,_xll.meUtilityLVBFromKeysValues($AC$6:$BA$6,$AC25:$BA25))))</f>
        <v/>
      </c>
      <c r="Y25" s="53" t="str">
        <f>IF($G25="","",_xll.meLWOSwapCreate("PROXY_ASW_"&amp;$AF25,_xll.meUtilityLVBFromKeysAndMultipleValues($BD$6:$CJ$6,$BD25:$CJ25,$CL25:$DR25)))</f>
        <v/>
      </c>
      <c r="Z25" s="53" t="str">
        <f>IF($C25="","",_xll.meLWOSwapCreate("BOND_ASW_"&amp;$GS25,_xll.meUtilityLVBFromKeysAndMultipleValues($DV$6:$FC$6,$DV25:$FC25,$FE25:$GL25)))</f>
        <v/>
      </c>
      <c r="AA25" s="53" t="str">
        <f>IF($C25="","",IF(LEFT(GQ25,1)="#","#LOADING",_xll.meLWOBondCreateFromLVB("PROXY_BOND_"&amp;$GS25,_xll.meUtilityLVBFromKeysValues($GP$6:$HO$6,$GP25:$HO25))))</f>
        <v/>
      </c>
      <c r="AB25" t="s">
        <v>0</v>
      </c>
      <c r="AC25" s="62">
        <f t="shared" si="0"/>
        <v>0</v>
      </c>
      <c r="AD25" s="63">
        <f>IF(LEFT(_xll.BDP($G25,AD$5),1)="#","#LOADING",_xll.BDP($G25,AD$5))</f>
        <v>0</v>
      </c>
      <c r="AE25" s="41">
        <f t="shared" si="1"/>
        <v>0</v>
      </c>
      <c r="AF25" s="63">
        <f>IF(LEFT(_xll.BDP($G25,AF$5),1)="#","#LOADING",_xll.BDP($G25,AF$5))</f>
        <v>0</v>
      </c>
      <c r="AG25" s="64" t="s">
        <v>20</v>
      </c>
      <c r="AH25" s="63" t="b">
        <f>IF(LEFT(_xll.BDP($G25,AH$5),1)="#","#LOADING",IF(_xll.BDP($G25,AH$5)="CLEAN",TRUE,FALSE))</f>
        <v>0</v>
      </c>
      <c r="AI25" s="64" t="s">
        <v>26</v>
      </c>
      <c r="AJ25" s="61" t="s">
        <v>18</v>
      </c>
      <c r="AK25" s="65" t="s">
        <v>28</v>
      </c>
      <c r="AL25" s="66">
        <v>1000000</v>
      </c>
      <c r="AM25" s="63" t="e">
        <f>IF(LEFT(_xll.BDP($G25,AM$5),1)="#","#LOADING",DATEVALUE(_xll.BDP($G25,AM$5)))</f>
        <v>#VALUE!</v>
      </c>
      <c r="AN25" s="63" t="e">
        <f>IF(LEFT(_xll.BDP($G25,AN$5),1)="#","#LOADING",DATEVALUE(_xll.BDP($G25,AN$5)))</f>
        <v>#VALUE!</v>
      </c>
      <c r="AO25" s="63" t="e">
        <f>IF(LEFT(_xll.BDP($G25,AO$5),1)="#","#LOADING",DATEVALUE(_xll.BDP($G25,AO$5)))</f>
        <v>#VALUE!</v>
      </c>
      <c r="AP25" s="63" t="e">
        <f>IF(LEFT(_xll.BDP($G25,AP$5),1)="#","#LOADING",DATEVALUE(_xll.BDP($G25,AP$5)))</f>
        <v>#VALUE!</v>
      </c>
      <c r="AQ25" s="63" t="e">
        <f>IF(LEFT(_xll.BDP($G25,AQ$5),1)="#","#LOADING",DATEVALUE(_xll.BDP($G25,AQ$5)))</f>
        <v>#VALUE!</v>
      </c>
      <c r="AR25" s="67">
        <f>IF(LEFT(_xll.BDP($G25,AR$5),1)="#","#LOADING",_xll.BDP($G25,AR$5)%)</f>
        <v>0</v>
      </c>
      <c r="AS25" s="67" t="str">
        <f>IF(LEFT(_xll.BDP($G25,AS$5),1)="#","#LOADING",VLOOKUP(_xll.BDP($G25,AS$5),Static.CouponFrequency,2,FALSE))</f>
        <v>ZERO-COUPON</v>
      </c>
      <c r="AT25" s="68" t="s">
        <v>51</v>
      </c>
      <c r="AU25" s="53" t="e">
        <f t="shared" si="2"/>
        <v>#N/A</v>
      </c>
      <c r="AV25" s="61" t="s">
        <v>51</v>
      </c>
      <c r="AW25" s="53" t="e">
        <f t="shared" si="3"/>
        <v>#N/A</v>
      </c>
      <c r="AX25" s="61" t="s">
        <v>62</v>
      </c>
      <c r="AY25" s="69">
        <f>IF(LEFT(_xll.BDP($G25,AY$5),1)="#","#LOADING",_xll.BDP($G25,AY$5))</f>
        <v>0</v>
      </c>
      <c r="AZ25" s="70"/>
      <c r="BA25" s="69" t="str">
        <f>IF(LEFT(_xll.BDP($G25,BA$5),1)="#","#LOADING","Type"&amp;IF(_xll.BDP($G25,BA$5)=999,1,_xll.BDP($G25,BA$5)))</f>
        <v>Type</v>
      </c>
      <c r="BB25" s="54"/>
      <c r="BD25" s="61" t="s">
        <v>7</v>
      </c>
      <c r="BE25" s="66">
        <v>1000000</v>
      </c>
      <c r="BF25" s="61" t="s">
        <v>14</v>
      </c>
      <c r="BG25" s="61" t="s">
        <v>17</v>
      </c>
      <c r="BH25" s="70"/>
      <c r="BI25" s="73" t="e">
        <f t="shared" si="4"/>
        <v>#N/A</v>
      </c>
      <c r="BJ25" s="74">
        <f t="shared" si="5"/>
        <v>0</v>
      </c>
      <c r="BK25" s="71">
        <v>1</v>
      </c>
      <c r="BL25" s="75">
        <f t="shared" si="6"/>
        <v>0</v>
      </c>
      <c r="BM25" s="61"/>
      <c r="BN25" s="61"/>
      <c r="BO25" s="72"/>
      <c r="BP25" s="72"/>
      <c r="BQ25" s="71"/>
      <c r="BR25" s="76" t="e">
        <f t="shared" si="7"/>
        <v>#VALUE!</v>
      </c>
      <c r="BS25" s="76" t="e">
        <f t="shared" si="8"/>
        <v>#VALUE!</v>
      </c>
      <c r="BT25" s="77" t="str">
        <f t="shared" si="9"/>
        <v>ZERO-COUPON</v>
      </c>
      <c r="BU25" s="77" t="str">
        <f t="shared" si="9"/>
        <v>ZERO-COUPON</v>
      </c>
      <c r="BV25" s="78">
        <f t="shared" si="10"/>
        <v>0</v>
      </c>
      <c r="BW25" s="61"/>
      <c r="BX25" s="61"/>
      <c r="BY25" s="61" t="s">
        <v>51</v>
      </c>
      <c r="BZ25" s="73" t="e">
        <f t="shared" si="11"/>
        <v>#N/A</v>
      </c>
      <c r="CA25" s="61" t="s">
        <v>51</v>
      </c>
      <c r="CB25" s="73" t="e">
        <f t="shared" si="12"/>
        <v>#N/A</v>
      </c>
      <c r="CC25" s="76" t="e">
        <f t="shared" si="13"/>
        <v>#VALUE!</v>
      </c>
      <c r="CD25" s="76" t="e">
        <f t="shared" si="14"/>
        <v>#VALUE!</v>
      </c>
      <c r="CE25" s="70" t="s">
        <v>80</v>
      </c>
      <c r="CF25" s="61"/>
      <c r="CG25" s="61"/>
      <c r="CH25" s="61" t="s">
        <v>62</v>
      </c>
      <c r="CI25" s="61"/>
      <c r="CJ25" s="76" t="str">
        <f t="shared" si="15"/>
        <v>Type</v>
      </c>
      <c r="CL25" s="61" t="s">
        <v>8</v>
      </c>
      <c r="CM25" s="66">
        <v>1000000</v>
      </c>
      <c r="CN25" s="61" t="s">
        <v>14</v>
      </c>
      <c r="CO25" s="61" t="s">
        <v>18</v>
      </c>
      <c r="CP25" s="53" t="e">
        <f t="shared" si="16"/>
        <v>#N/A</v>
      </c>
      <c r="CQ25" s="53" t="e">
        <f t="shared" si="17"/>
        <v>#N/A</v>
      </c>
      <c r="CR25" s="41">
        <f t="shared" si="18"/>
        <v>0</v>
      </c>
      <c r="CS25" s="71">
        <v>1</v>
      </c>
      <c r="CT25" s="81"/>
      <c r="CU25" s="61" t="s">
        <v>32</v>
      </c>
      <c r="CV25" s="61" t="s">
        <v>32</v>
      </c>
      <c r="CW25" s="72"/>
      <c r="CX25" s="72"/>
      <c r="CY25" s="71"/>
      <c r="CZ25" s="82" t="e">
        <f t="shared" si="19"/>
        <v>#VALUE!</v>
      </c>
      <c r="DA25" s="82" t="e">
        <f t="shared" si="20"/>
        <v>#VALUE!</v>
      </c>
      <c r="DB25" s="53">
        <f t="shared" si="21"/>
        <v>0</v>
      </c>
      <c r="DC25" s="53">
        <f t="shared" si="21"/>
        <v>0</v>
      </c>
      <c r="DD25" s="53" t="e">
        <f t="shared" si="22"/>
        <v>#N/A</v>
      </c>
      <c r="DE25" s="61" t="s">
        <v>58</v>
      </c>
      <c r="DF25" s="53" t="e">
        <f t="shared" si="23"/>
        <v>#N/A</v>
      </c>
      <c r="DG25" s="61" t="s">
        <v>51</v>
      </c>
      <c r="DH25" s="53" t="e">
        <f t="shared" si="24"/>
        <v>#N/A</v>
      </c>
      <c r="DI25" s="61" t="s">
        <v>51</v>
      </c>
      <c r="DJ25" s="53" t="e">
        <f t="shared" si="25"/>
        <v>#N/A</v>
      </c>
      <c r="DK25" s="82"/>
      <c r="DL25" s="82"/>
      <c r="DM25" s="70"/>
      <c r="DN25" s="61" t="s">
        <v>62</v>
      </c>
      <c r="DO25" s="61"/>
      <c r="DP25" s="61" t="s">
        <v>62</v>
      </c>
      <c r="DQ25" s="61" t="s">
        <v>75</v>
      </c>
      <c r="DR25" s="82"/>
      <c r="DV25" s="61" t="s">
        <v>253</v>
      </c>
      <c r="DW25" s="66">
        <v>1000000</v>
      </c>
      <c r="DX25" s="61" t="s">
        <v>14</v>
      </c>
      <c r="DY25" s="61" t="s">
        <v>17</v>
      </c>
      <c r="DZ25" s="70"/>
      <c r="EA25" s="73" t="e">
        <f t="shared" si="26"/>
        <v>#N/A</v>
      </c>
      <c r="EB25" s="74">
        <f t="shared" si="27"/>
        <v>0</v>
      </c>
      <c r="EC25" s="71">
        <v>1</v>
      </c>
      <c r="ED25" s="75">
        <f t="shared" si="28"/>
        <v>0</v>
      </c>
      <c r="EE25" s="61"/>
      <c r="EF25" s="61"/>
      <c r="EG25" s="72"/>
      <c r="EH25" s="72"/>
      <c r="EI25" s="71"/>
      <c r="EJ25" s="76" t="e">
        <f t="shared" si="29"/>
        <v>#VALUE!</v>
      </c>
      <c r="EK25" s="76" t="e">
        <f t="shared" si="30"/>
        <v>#VALUE!</v>
      </c>
      <c r="EL25" s="77" t="str">
        <f t="shared" si="31"/>
        <v>ZERO-COUPON</v>
      </c>
      <c r="EM25" s="77" t="str">
        <f t="shared" si="31"/>
        <v>ZERO-COUPON</v>
      </c>
      <c r="EN25" s="78">
        <f t="shared" si="32"/>
        <v>0</v>
      </c>
      <c r="EO25" s="61"/>
      <c r="EP25" s="61"/>
      <c r="EQ25" s="61" t="s">
        <v>51</v>
      </c>
      <c r="ER25" s="73" t="e">
        <f t="shared" si="33"/>
        <v>#N/A</v>
      </c>
      <c r="ES25" s="61" t="s">
        <v>51</v>
      </c>
      <c r="ET25" s="73" t="e">
        <f t="shared" si="34"/>
        <v>#N/A</v>
      </c>
      <c r="EU25" s="76" t="e">
        <f t="shared" si="35"/>
        <v>#VALUE!</v>
      </c>
      <c r="EV25" s="76" t="e">
        <f t="shared" si="36"/>
        <v>#VALUE!</v>
      </c>
      <c r="EW25" s="70" t="s">
        <v>80</v>
      </c>
      <c r="EX25" s="61"/>
      <c r="EY25" s="61"/>
      <c r="EZ25" s="61" t="s">
        <v>62</v>
      </c>
      <c r="FA25" s="61"/>
      <c r="FB25" s="61"/>
      <c r="FC25" s="61"/>
      <c r="FE25" s="61" t="s">
        <v>254</v>
      </c>
      <c r="FF25" s="66">
        <v>1000000</v>
      </c>
      <c r="FG25" s="61" t="s">
        <v>14</v>
      </c>
      <c r="FH25" s="61" t="s">
        <v>18</v>
      </c>
      <c r="FI25" s="73" t="e">
        <f t="shared" si="37"/>
        <v>#N/A</v>
      </c>
      <c r="FJ25" s="73" t="e">
        <f t="shared" si="38"/>
        <v>#N/A</v>
      </c>
      <c r="FK25" s="41">
        <f t="shared" si="39"/>
        <v>0</v>
      </c>
      <c r="FL25" s="71">
        <v>1</v>
      </c>
      <c r="FM25" s="81"/>
      <c r="FN25" s="61" t="s">
        <v>32</v>
      </c>
      <c r="FO25" s="61" t="s">
        <v>32</v>
      </c>
      <c r="FP25" s="72"/>
      <c r="FQ25" s="72"/>
      <c r="FR25" s="71"/>
      <c r="FS25" s="76" t="e">
        <f t="shared" si="40"/>
        <v>#VALUE!</v>
      </c>
      <c r="FT25" s="76" t="e">
        <f t="shared" si="41"/>
        <v>#VALUE!</v>
      </c>
      <c r="FU25" s="73">
        <f t="shared" si="42"/>
        <v>0</v>
      </c>
      <c r="FV25" s="73">
        <f t="shared" si="42"/>
        <v>0</v>
      </c>
      <c r="FW25" s="73" t="e">
        <f t="shared" si="43"/>
        <v>#N/A</v>
      </c>
      <c r="FX25" s="61" t="s">
        <v>58</v>
      </c>
      <c r="FY25" s="73" t="e">
        <f t="shared" si="44"/>
        <v>#N/A</v>
      </c>
      <c r="FZ25" s="61" t="s">
        <v>51</v>
      </c>
      <c r="GA25" s="73" t="e">
        <f t="shared" si="45"/>
        <v>#N/A</v>
      </c>
      <c r="GB25" s="61" t="s">
        <v>51</v>
      </c>
      <c r="GC25" s="73" t="e">
        <f t="shared" si="46"/>
        <v>#N/A</v>
      </c>
      <c r="GD25" s="82"/>
      <c r="GE25" s="82"/>
      <c r="GF25" s="70"/>
      <c r="GG25" s="61" t="s">
        <v>62</v>
      </c>
      <c r="GH25" s="61"/>
      <c r="GI25" s="61" t="s">
        <v>62</v>
      </c>
      <c r="GJ25" s="61" t="s">
        <v>75</v>
      </c>
      <c r="GK25" s="286">
        <f t="shared" si="54"/>
        <v>0</v>
      </c>
      <c r="GL25" s="82" t="str">
        <f t="shared" si="55"/>
        <v>Type</v>
      </c>
      <c r="GP25" s="95">
        <f t="shared" si="47"/>
        <v>0</v>
      </c>
      <c r="GQ25" s="42">
        <f>IF(LEFT(_xll.BDP($C25,GQ$5),1)="#","#LOADING",_xll.BDP($C25,GQ$5))</f>
        <v>0</v>
      </c>
      <c r="GR25" s="74">
        <f t="shared" si="48"/>
        <v>0</v>
      </c>
      <c r="GS25" s="74" t="e">
        <f t="shared" si="49"/>
        <v>#VALUE!</v>
      </c>
      <c r="GT25" s="64" t="s">
        <v>20</v>
      </c>
      <c r="GU25" s="42" t="b">
        <f>IF(LEFT(_xll.BDP($C25,GU$5),1)="#","#LOADING",IF(_xll.BDP($C25,GU$5)="CLEAN",TRUE,FALSE))</f>
        <v>0</v>
      </c>
      <c r="GV25" s="64" t="s">
        <v>26</v>
      </c>
      <c r="GW25" s="61" t="s">
        <v>18</v>
      </c>
      <c r="GX25" s="65" t="s">
        <v>28</v>
      </c>
      <c r="GY25" s="66">
        <v>1000000</v>
      </c>
      <c r="GZ25" s="96" t="e">
        <f>IF(LEFT(_xll.BDP($C25,GZ$5),1)="#","#LOADING",DATEVALUE(_xll.BDP($C25,GZ$5)))</f>
        <v>#VALUE!</v>
      </c>
      <c r="HA25" s="96" t="e">
        <f>IF(LEFT(_xll.BDP($C25,HA$5),1)="#","#LOADING",DATEVALUE(_xll.BDP($C25,HA$5)))</f>
        <v>#VALUE!</v>
      </c>
      <c r="HB25" s="96" t="e">
        <f>IF(LEFT(_xll.BDP($C25,HB$5),1)="#","#LOADING",DATEVALUE(_xll.BDP($C25,HB$5)))</f>
        <v>#VALUE!</v>
      </c>
      <c r="HC25" s="96" t="e">
        <f>IF(LEFT(_xll.BDP($C25,HC$5),1)="#","#LOADING",DATEVALUE(_xll.BDP($C25,HC$5)))</f>
        <v>#VALUE!</v>
      </c>
      <c r="HD25" s="96" t="e">
        <f>IF(LEFT(_xll.BDP($C25,HD$5),1)="#","#LOADING",DATEVALUE(_xll.BDP($C25,HD$5)))</f>
        <v>#VALUE!</v>
      </c>
      <c r="HE25" s="97">
        <f>IF(LEFT(_xll.BDP($C25,HE$5),1)="#","#LOADING",_xll.BDP($C25,HE$5)%)</f>
        <v>0</v>
      </c>
      <c r="HF25" s="97" t="str">
        <f>IF(LEFT(_xll.BDP($C25,HF$5),1)="#","#LOADING",VLOOKUP(_xll.BDP($C25,HF$5),Static.CouponFrequency,2,FALSE))</f>
        <v>ZERO-COUPON</v>
      </c>
      <c r="HG25" s="68" t="s">
        <v>51</v>
      </c>
      <c r="HH25" s="73" t="e">
        <f t="shared" si="50"/>
        <v>#N/A</v>
      </c>
      <c r="HI25" s="61" t="s">
        <v>51</v>
      </c>
      <c r="HJ25" s="73" t="e">
        <f t="shared" si="51"/>
        <v>#N/A</v>
      </c>
      <c r="HK25" s="61" t="s">
        <v>62</v>
      </c>
      <c r="HL25" s="43">
        <f>IF(LEFT(_xll.BDP($C25,HL$5),1)="#","#LOADING",_xll.BDP($C25,HL$5))</f>
        <v>0</v>
      </c>
      <c r="HM25" s="70"/>
      <c r="HN25" s="280">
        <f>IF(LEFT(_xll.BDP($C25,HN$5),1)="#","#LOADING",_xll.BDP($C25,HN$5))</f>
        <v>0</v>
      </c>
      <c r="HO25" s="43" t="str">
        <f>IF(LEFT(_xll.BDP($C25,HO$5),1)="#","#LOADING","Type"&amp;IF(_xll.BDP($C25,HO$5)=999,1,_xll.BDP($C25,HO$5)))</f>
        <v>Type</v>
      </c>
    </row>
    <row r="26" spans="1:223">
      <c r="A26" s="101">
        <v>20</v>
      </c>
      <c r="B26" s="57"/>
      <c r="C26" s="57"/>
      <c r="D26" s="57"/>
      <c r="E26" s="57"/>
      <c r="F26" s="57"/>
      <c r="G26" s="57"/>
      <c r="H26" s="57"/>
      <c r="I26" s="57"/>
      <c r="J26" s="101">
        <v>20</v>
      </c>
      <c r="K26" s="58" t="s">
        <v>163</v>
      </c>
      <c r="L26" s="59" t="str">
        <f>IF(ISBLANK(M26),IF($G26="","",_xll.BDP(G26&amp;" "&amp;$K26&amp;" Corp","PX_LAST")),M26)</f>
        <v/>
      </c>
      <c r="M26" s="60"/>
      <c r="N26" s="83" t="str">
        <f ca="1">IF(ISBLANK($O26),IF($G26="","",_xll.meLWOAssetSwapSpread($Y26,$X26,$L26,INDIRECT("ValuationSettings"&amp;$CR26),INDIRECT("Fixings"&amp;$CR26&amp;IF($I26="QUARTERLY","3ML","6ML")))),$O26)</f>
        <v/>
      </c>
      <c r="O26" s="60"/>
      <c r="P26" s="84" t="str">
        <f ca="1">IF($C26="","",_xll.meLWOAssetSwapSpreadToCleanPrice($Z26,$N26,INDIRECT("ValuationSettings"&amp;$D26),INDIRECT("Fixings"&amp;$EB26&amp;IF($E26="QUARTERLY","3ML","6ML"))))</f>
        <v/>
      </c>
      <c r="Q26" s="84" t="str">
        <f>IF($C26="","",_xll.meLWOBondPriceFromCleanToDirty($AA26,_xll.meUtilityLVBFromKeysValues($S$6:$T$6,S26:T26),$P26))</f>
        <v/>
      </c>
      <c r="R26" s="98" t="str">
        <f>IF($C26="","",_xll.meLWOBondYield($AA26,_xll.meUtilityLVBFromKeysValues($S$6:$V$6,S26:V26),IF($GU26,$P26,$Q26)))</f>
        <v/>
      </c>
      <c r="S26" s="127" t="str">
        <f t="shared" ca="1" si="52"/>
        <v/>
      </c>
      <c r="T26" s="98" t="str">
        <f t="shared" si="53"/>
        <v/>
      </c>
      <c r="U26" s="98" t="str">
        <f>IF($C26="","",_xll.BDP($C26,$U$5)%)</f>
        <v/>
      </c>
      <c r="V26" s="274" t="str">
        <f>IF($C26="","",_xll.BDP($C26,$V$5)%)</f>
        <v/>
      </c>
      <c r="W26" s="101">
        <v>20</v>
      </c>
      <c r="X26" s="53" t="str">
        <f>IF($G26="","",IF(LEFT(AD26,1)="#","#LOADING",_xll.meLWOBondCreateFromLVB("PROXY_BOND_"&amp;$AF26,_xll.meUtilityLVBFromKeysValues($AC$6:$BA$6,$AC26:$BA26))))</f>
        <v/>
      </c>
      <c r="Y26" s="53" t="str">
        <f>IF($G26="","",_xll.meLWOSwapCreate("PROXY_ASW_"&amp;$AF26,_xll.meUtilityLVBFromKeysAndMultipleValues($BD$6:$CJ$6,$BD26:$CJ26,$CL26:$DR26)))</f>
        <v/>
      </c>
      <c r="Z26" s="53" t="str">
        <f>IF($C26="","",_xll.meLWOSwapCreate("BOND_ASW_"&amp;$GS26,_xll.meUtilityLVBFromKeysAndMultipleValues($DV$6:$FC$6,$DV26:$FC26,$FE26:$GL26)))</f>
        <v/>
      </c>
      <c r="AA26" s="53" t="str">
        <f>IF($C26="","",IF(LEFT(GQ26,1)="#","#LOADING",_xll.meLWOBondCreateFromLVB("PROXY_BOND_"&amp;$GS26,_xll.meUtilityLVBFromKeysValues($GP$6:$HO$6,$GP26:$HO26))))</f>
        <v/>
      </c>
      <c r="AB26" t="s">
        <v>0</v>
      </c>
      <c r="AC26" s="62">
        <f t="shared" si="0"/>
        <v>0</v>
      </c>
      <c r="AD26" s="63">
        <f>IF(LEFT(_xll.BDP($G26,AD$5),1)="#","#LOADING",_xll.BDP($G26,AD$5))</f>
        <v>0</v>
      </c>
      <c r="AE26" s="41">
        <f t="shared" si="1"/>
        <v>0</v>
      </c>
      <c r="AF26" s="63">
        <f>IF(LEFT(_xll.BDP($G26,AF$5),1)="#","#LOADING",_xll.BDP($G26,AF$5))</f>
        <v>0</v>
      </c>
      <c r="AG26" s="64" t="s">
        <v>20</v>
      </c>
      <c r="AH26" s="63" t="b">
        <f>IF(LEFT(_xll.BDP($G26,AH$5),1)="#","#LOADING",IF(_xll.BDP($G26,AH$5)="CLEAN",TRUE,FALSE))</f>
        <v>0</v>
      </c>
      <c r="AI26" s="64" t="s">
        <v>26</v>
      </c>
      <c r="AJ26" s="61" t="s">
        <v>18</v>
      </c>
      <c r="AK26" s="65" t="s">
        <v>28</v>
      </c>
      <c r="AL26" s="66">
        <v>1000000</v>
      </c>
      <c r="AM26" s="63" t="e">
        <f>IF(LEFT(_xll.BDP($G26,AM$5),1)="#","#LOADING",DATEVALUE(_xll.BDP($G26,AM$5)))</f>
        <v>#VALUE!</v>
      </c>
      <c r="AN26" s="63" t="e">
        <f>IF(LEFT(_xll.BDP($G26,AN$5),1)="#","#LOADING",DATEVALUE(_xll.BDP($G26,AN$5)))</f>
        <v>#VALUE!</v>
      </c>
      <c r="AO26" s="63" t="e">
        <f>IF(LEFT(_xll.BDP($G26,AO$5),1)="#","#LOADING",DATEVALUE(_xll.BDP($G26,AO$5)))</f>
        <v>#VALUE!</v>
      </c>
      <c r="AP26" s="63" t="e">
        <f>IF(LEFT(_xll.BDP($G26,AP$5),1)="#","#LOADING",DATEVALUE(_xll.BDP($G26,AP$5)))</f>
        <v>#VALUE!</v>
      </c>
      <c r="AQ26" s="63" t="e">
        <f>IF(LEFT(_xll.BDP($G26,AQ$5),1)="#","#LOADING",DATEVALUE(_xll.BDP($G26,AQ$5)))</f>
        <v>#VALUE!</v>
      </c>
      <c r="AR26" s="67">
        <f>IF(LEFT(_xll.BDP($G26,AR$5),1)="#","#LOADING",_xll.BDP($G26,AR$5)%)</f>
        <v>0</v>
      </c>
      <c r="AS26" s="67" t="str">
        <f>IF(LEFT(_xll.BDP($G26,AS$5),1)="#","#LOADING",VLOOKUP(_xll.BDP($G26,AS$5),Static.CouponFrequency,2,FALSE))</f>
        <v>ZERO-COUPON</v>
      </c>
      <c r="AT26" s="68" t="s">
        <v>51</v>
      </c>
      <c r="AU26" s="53" t="e">
        <f t="shared" si="2"/>
        <v>#N/A</v>
      </c>
      <c r="AV26" s="61" t="s">
        <v>51</v>
      </c>
      <c r="AW26" s="53" t="e">
        <f t="shared" si="3"/>
        <v>#N/A</v>
      </c>
      <c r="AX26" s="61" t="s">
        <v>62</v>
      </c>
      <c r="AY26" s="69">
        <f>IF(LEFT(_xll.BDP($G26,AY$5),1)="#","#LOADING",_xll.BDP($G26,AY$5))</f>
        <v>0</v>
      </c>
      <c r="AZ26" s="70"/>
      <c r="BA26" s="69" t="str">
        <f>IF(LEFT(_xll.BDP($G26,BA$5),1)="#","#LOADING","Type"&amp;IF(_xll.BDP($G26,BA$5)=999,1,_xll.BDP($G26,BA$5)))</f>
        <v>Type</v>
      </c>
      <c r="BB26" s="54"/>
      <c r="BD26" s="61" t="s">
        <v>7</v>
      </c>
      <c r="BE26" s="66">
        <v>1000000</v>
      </c>
      <c r="BF26" s="61" t="s">
        <v>14</v>
      </c>
      <c r="BG26" s="61" t="s">
        <v>17</v>
      </c>
      <c r="BH26" s="70"/>
      <c r="BI26" s="73" t="e">
        <f t="shared" si="4"/>
        <v>#N/A</v>
      </c>
      <c r="BJ26" s="74">
        <f t="shared" si="5"/>
        <v>0</v>
      </c>
      <c r="BK26" s="71">
        <v>1</v>
      </c>
      <c r="BL26" s="75">
        <f t="shared" si="6"/>
        <v>0</v>
      </c>
      <c r="BM26" s="61"/>
      <c r="BN26" s="61"/>
      <c r="BO26" s="72"/>
      <c r="BP26" s="72"/>
      <c r="BQ26" s="71"/>
      <c r="BR26" s="76" t="e">
        <f t="shared" si="7"/>
        <v>#VALUE!</v>
      </c>
      <c r="BS26" s="76" t="e">
        <f t="shared" si="8"/>
        <v>#VALUE!</v>
      </c>
      <c r="BT26" s="77" t="str">
        <f t="shared" si="9"/>
        <v>ZERO-COUPON</v>
      </c>
      <c r="BU26" s="77" t="str">
        <f t="shared" si="9"/>
        <v>ZERO-COUPON</v>
      </c>
      <c r="BV26" s="78">
        <f t="shared" si="10"/>
        <v>0</v>
      </c>
      <c r="BW26" s="61"/>
      <c r="BX26" s="61"/>
      <c r="BY26" s="61" t="s">
        <v>51</v>
      </c>
      <c r="BZ26" s="73" t="e">
        <f t="shared" si="11"/>
        <v>#N/A</v>
      </c>
      <c r="CA26" s="61" t="s">
        <v>51</v>
      </c>
      <c r="CB26" s="73" t="e">
        <f t="shared" si="12"/>
        <v>#N/A</v>
      </c>
      <c r="CC26" s="76" t="e">
        <f t="shared" si="13"/>
        <v>#VALUE!</v>
      </c>
      <c r="CD26" s="76" t="e">
        <f t="shared" si="14"/>
        <v>#VALUE!</v>
      </c>
      <c r="CE26" s="70" t="s">
        <v>80</v>
      </c>
      <c r="CF26" s="61"/>
      <c r="CG26" s="61"/>
      <c r="CH26" s="61" t="s">
        <v>62</v>
      </c>
      <c r="CI26" s="61"/>
      <c r="CJ26" s="76" t="str">
        <f t="shared" si="15"/>
        <v>Type</v>
      </c>
      <c r="CL26" s="61" t="s">
        <v>8</v>
      </c>
      <c r="CM26" s="66">
        <v>1000000</v>
      </c>
      <c r="CN26" s="61" t="s">
        <v>14</v>
      </c>
      <c r="CO26" s="61" t="s">
        <v>18</v>
      </c>
      <c r="CP26" s="53" t="e">
        <f t="shared" si="16"/>
        <v>#N/A</v>
      </c>
      <c r="CQ26" s="53" t="e">
        <f t="shared" si="17"/>
        <v>#N/A</v>
      </c>
      <c r="CR26" s="41">
        <f t="shared" si="18"/>
        <v>0</v>
      </c>
      <c r="CS26" s="71">
        <v>1</v>
      </c>
      <c r="CT26" s="81"/>
      <c r="CU26" s="61" t="s">
        <v>32</v>
      </c>
      <c r="CV26" s="61" t="s">
        <v>32</v>
      </c>
      <c r="CW26" s="72"/>
      <c r="CX26" s="72"/>
      <c r="CY26" s="71"/>
      <c r="CZ26" s="82" t="e">
        <f t="shared" si="19"/>
        <v>#VALUE!</v>
      </c>
      <c r="DA26" s="82" t="e">
        <f t="shared" si="20"/>
        <v>#VALUE!</v>
      </c>
      <c r="DB26" s="53">
        <f t="shared" si="21"/>
        <v>0</v>
      </c>
      <c r="DC26" s="53">
        <f t="shared" si="21"/>
        <v>0</v>
      </c>
      <c r="DD26" s="53" t="e">
        <f t="shared" si="22"/>
        <v>#N/A</v>
      </c>
      <c r="DE26" s="61" t="s">
        <v>58</v>
      </c>
      <c r="DF26" s="53" t="e">
        <f t="shared" si="23"/>
        <v>#N/A</v>
      </c>
      <c r="DG26" s="61" t="s">
        <v>51</v>
      </c>
      <c r="DH26" s="53" t="e">
        <f t="shared" si="24"/>
        <v>#N/A</v>
      </c>
      <c r="DI26" s="61" t="s">
        <v>51</v>
      </c>
      <c r="DJ26" s="53" t="e">
        <f t="shared" si="25"/>
        <v>#N/A</v>
      </c>
      <c r="DK26" s="82"/>
      <c r="DL26" s="82"/>
      <c r="DM26" s="70"/>
      <c r="DN26" s="61" t="s">
        <v>62</v>
      </c>
      <c r="DO26" s="61"/>
      <c r="DP26" s="61" t="s">
        <v>62</v>
      </c>
      <c r="DQ26" s="61" t="s">
        <v>75</v>
      </c>
      <c r="DR26" s="82"/>
      <c r="DV26" s="61" t="s">
        <v>253</v>
      </c>
      <c r="DW26" s="66">
        <v>1000000</v>
      </c>
      <c r="DX26" s="61" t="s">
        <v>14</v>
      </c>
      <c r="DY26" s="61" t="s">
        <v>17</v>
      </c>
      <c r="DZ26" s="70"/>
      <c r="EA26" s="73" t="e">
        <f t="shared" si="26"/>
        <v>#N/A</v>
      </c>
      <c r="EB26" s="74">
        <f t="shared" si="27"/>
        <v>0</v>
      </c>
      <c r="EC26" s="71">
        <v>1</v>
      </c>
      <c r="ED26" s="75">
        <f t="shared" si="28"/>
        <v>0</v>
      </c>
      <c r="EE26" s="61"/>
      <c r="EF26" s="61"/>
      <c r="EG26" s="72"/>
      <c r="EH26" s="72"/>
      <c r="EI26" s="71"/>
      <c r="EJ26" s="76" t="e">
        <f t="shared" si="29"/>
        <v>#VALUE!</v>
      </c>
      <c r="EK26" s="76" t="e">
        <f t="shared" si="30"/>
        <v>#VALUE!</v>
      </c>
      <c r="EL26" s="77" t="str">
        <f t="shared" si="31"/>
        <v>ZERO-COUPON</v>
      </c>
      <c r="EM26" s="77" t="str">
        <f t="shared" si="31"/>
        <v>ZERO-COUPON</v>
      </c>
      <c r="EN26" s="78">
        <f t="shared" si="32"/>
        <v>0</v>
      </c>
      <c r="EO26" s="61"/>
      <c r="EP26" s="61"/>
      <c r="EQ26" s="61" t="s">
        <v>51</v>
      </c>
      <c r="ER26" s="73" t="e">
        <f t="shared" si="33"/>
        <v>#N/A</v>
      </c>
      <c r="ES26" s="61" t="s">
        <v>51</v>
      </c>
      <c r="ET26" s="73" t="e">
        <f t="shared" si="34"/>
        <v>#N/A</v>
      </c>
      <c r="EU26" s="76" t="e">
        <f t="shared" si="35"/>
        <v>#VALUE!</v>
      </c>
      <c r="EV26" s="76" t="e">
        <f t="shared" si="36"/>
        <v>#VALUE!</v>
      </c>
      <c r="EW26" s="70" t="s">
        <v>80</v>
      </c>
      <c r="EX26" s="61"/>
      <c r="EY26" s="61"/>
      <c r="EZ26" s="61" t="s">
        <v>62</v>
      </c>
      <c r="FA26" s="61"/>
      <c r="FB26" s="61"/>
      <c r="FC26" s="61"/>
      <c r="FE26" s="61" t="s">
        <v>254</v>
      </c>
      <c r="FF26" s="66">
        <v>1000000</v>
      </c>
      <c r="FG26" s="61" t="s">
        <v>14</v>
      </c>
      <c r="FH26" s="61" t="s">
        <v>18</v>
      </c>
      <c r="FI26" s="73" t="e">
        <f t="shared" si="37"/>
        <v>#N/A</v>
      </c>
      <c r="FJ26" s="73" t="e">
        <f t="shared" si="38"/>
        <v>#N/A</v>
      </c>
      <c r="FK26" s="41">
        <f t="shared" si="39"/>
        <v>0</v>
      </c>
      <c r="FL26" s="71">
        <v>1</v>
      </c>
      <c r="FM26" s="81"/>
      <c r="FN26" s="61" t="s">
        <v>32</v>
      </c>
      <c r="FO26" s="61" t="s">
        <v>32</v>
      </c>
      <c r="FP26" s="72"/>
      <c r="FQ26" s="72"/>
      <c r="FR26" s="71"/>
      <c r="FS26" s="76" t="e">
        <f t="shared" si="40"/>
        <v>#VALUE!</v>
      </c>
      <c r="FT26" s="76" t="e">
        <f t="shared" si="41"/>
        <v>#VALUE!</v>
      </c>
      <c r="FU26" s="73">
        <f t="shared" si="42"/>
        <v>0</v>
      </c>
      <c r="FV26" s="73">
        <f t="shared" si="42"/>
        <v>0</v>
      </c>
      <c r="FW26" s="73" t="e">
        <f t="shared" si="43"/>
        <v>#N/A</v>
      </c>
      <c r="FX26" s="61" t="s">
        <v>58</v>
      </c>
      <c r="FY26" s="73" t="e">
        <f t="shared" si="44"/>
        <v>#N/A</v>
      </c>
      <c r="FZ26" s="61" t="s">
        <v>51</v>
      </c>
      <c r="GA26" s="73" t="e">
        <f t="shared" si="45"/>
        <v>#N/A</v>
      </c>
      <c r="GB26" s="61" t="s">
        <v>51</v>
      </c>
      <c r="GC26" s="73" t="e">
        <f t="shared" si="46"/>
        <v>#N/A</v>
      </c>
      <c r="GD26" s="82"/>
      <c r="GE26" s="82"/>
      <c r="GF26" s="70"/>
      <c r="GG26" s="61" t="s">
        <v>62</v>
      </c>
      <c r="GH26" s="61"/>
      <c r="GI26" s="61" t="s">
        <v>62</v>
      </c>
      <c r="GJ26" s="61" t="s">
        <v>75</v>
      </c>
      <c r="GK26" s="286">
        <f t="shared" si="54"/>
        <v>0</v>
      </c>
      <c r="GL26" s="82" t="str">
        <f t="shared" si="55"/>
        <v>Type</v>
      </c>
      <c r="GP26" s="95">
        <f t="shared" si="47"/>
        <v>0</v>
      </c>
      <c r="GQ26" s="42">
        <f>IF(LEFT(_xll.BDP($C26,GQ$5),1)="#","#LOADING",_xll.BDP($C26,GQ$5))</f>
        <v>0</v>
      </c>
      <c r="GR26" s="74">
        <f t="shared" si="48"/>
        <v>0</v>
      </c>
      <c r="GS26" s="74" t="e">
        <f t="shared" si="49"/>
        <v>#VALUE!</v>
      </c>
      <c r="GT26" s="64" t="s">
        <v>20</v>
      </c>
      <c r="GU26" s="42" t="b">
        <f>IF(LEFT(_xll.BDP($C26,GU$5),1)="#","#LOADING",IF(_xll.BDP($C26,GU$5)="CLEAN",TRUE,FALSE))</f>
        <v>0</v>
      </c>
      <c r="GV26" s="64" t="s">
        <v>26</v>
      </c>
      <c r="GW26" s="61" t="s">
        <v>18</v>
      </c>
      <c r="GX26" s="65" t="s">
        <v>28</v>
      </c>
      <c r="GY26" s="66">
        <v>1000000</v>
      </c>
      <c r="GZ26" s="96" t="e">
        <f>IF(LEFT(_xll.BDP($C26,GZ$5),1)="#","#LOADING",DATEVALUE(_xll.BDP($C26,GZ$5)))</f>
        <v>#VALUE!</v>
      </c>
      <c r="HA26" s="96" t="e">
        <f>IF(LEFT(_xll.BDP($C26,HA$5),1)="#","#LOADING",DATEVALUE(_xll.BDP($C26,HA$5)))</f>
        <v>#VALUE!</v>
      </c>
      <c r="HB26" s="96" t="e">
        <f>IF(LEFT(_xll.BDP($C26,HB$5),1)="#","#LOADING",DATEVALUE(_xll.BDP($C26,HB$5)))</f>
        <v>#VALUE!</v>
      </c>
      <c r="HC26" s="96" t="e">
        <f>IF(LEFT(_xll.BDP($C26,HC$5),1)="#","#LOADING",DATEVALUE(_xll.BDP($C26,HC$5)))</f>
        <v>#VALUE!</v>
      </c>
      <c r="HD26" s="96" t="e">
        <f>IF(LEFT(_xll.BDP($C26,HD$5),1)="#","#LOADING",DATEVALUE(_xll.BDP($C26,HD$5)))</f>
        <v>#VALUE!</v>
      </c>
      <c r="HE26" s="97">
        <f>IF(LEFT(_xll.BDP($C26,HE$5),1)="#","#LOADING",_xll.BDP($C26,HE$5)%)</f>
        <v>0</v>
      </c>
      <c r="HF26" s="97" t="str">
        <f>IF(LEFT(_xll.BDP($C26,HF$5),1)="#","#LOADING",VLOOKUP(_xll.BDP($C26,HF$5),Static.CouponFrequency,2,FALSE))</f>
        <v>ZERO-COUPON</v>
      </c>
      <c r="HG26" s="68" t="s">
        <v>51</v>
      </c>
      <c r="HH26" s="73" t="e">
        <f t="shared" si="50"/>
        <v>#N/A</v>
      </c>
      <c r="HI26" s="61" t="s">
        <v>51</v>
      </c>
      <c r="HJ26" s="73" t="e">
        <f t="shared" si="51"/>
        <v>#N/A</v>
      </c>
      <c r="HK26" s="61" t="s">
        <v>62</v>
      </c>
      <c r="HL26" s="43">
        <f>IF(LEFT(_xll.BDP($C26,HL$5),1)="#","#LOADING",_xll.BDP($C26,HL$5))</f>
        <v>0</v>
      </c>
      <c r="HM26" s="70"/>
      <c r="HN26" s="280">
        <f>IF(LEFT(_xll.BDP($C26,HN$5),1)="#","#LOADING",_xll.BDP($C26,HN$5))</f>
        <v>0</v>
      </c>
      <c r="HO26" s="43" t="str">
        <f>IF(LEFT(_xll.BDP($C26,HO$5),1)="#","#LOADING","Type"&amp;IF(_xll.BDP($C26,HO$5)=999,1,_xll.BDP($C26,HO$5)))</f>
        <v>Type</v>
      </c>
    </row>
    <row r="27" spans="1:223">
      <c r="N27" s="125"/>
    </row>
    <row r="28" spans="1:223">
      <c r="P28" s="125"/>
      <c r="Q28" s="284"/>
    </row>
    <row r="30" spans="1:223">
      <c r="Q30" s="125"/>
      <c r="R30" s="281"/>
      <c r="S30" s="281"/>
      <c r="T30" s="281"/>
      <c r="U30" s="281"/>
    </row>
    <row r="31" spans="1:223">
      <c r="V31" s="126"/>
    </row>
    <row r="33" spans="17:26">
      <c r="Q33" s="125"/>
      <c r="R33" s="281"/>
      <c r="S33" s="281"/>
      <c r="T33" s="281"/>
      <c r="U33" s="281"/>
    </row>
    <row r="34" spans="17:26">
      <c r="V34" s="126"/>
    </row>
    <row r="37" spans="17:26">
      <c r="X37" s="9"/>
      <c r="Y37" s="9"/>
      <c r="Z37" s="9"/>
    </row>
    <row r="38" spans="17:26">
      <c r="X38" s="9"/>
      <c r="Y38" s="9"/>
      <c r="Z38" s="9"/>
    </row>
    <row r="39" spans="17:26">
      <c r="X39" s="9"/>
      <c r="Y39" s="9"/>
      <c r="Z39" s="9"/>
    </row>
    <row r="40" spans="17:26">
      <c r="X40" s="9"/>
      <c r="Y40" s="9"/>
      <c r="Z40" s="9"/>
    </row>
    <row r="41" spans="17:26">
      <c r="X41" s="9"/>
      <c r="Y41" s="9"/>
      <c r="Z41" s="9"/>
    </row>
    <row r="42" spans="17:26">
      <c r="X42" s="9"/>
      <c r="Y42" s="9"/>
      <c r="Z42" s="9"/>
    </row>
    <row r="43" spans="17:26">
      <c r="X43" s="9"/>
      <c r="Y43" s="9"/>
      <c r="Z43" s="9"/>
    </row>
    <row r="44" spans="17:26">
      <c r="X44" s="9"/>
      <c r="Y44" s="9"/>
      <c r="Z44" s="9"/>
    </row>
    <row r="45" spans="17:26">
      <c r="X45" s="9"/>
      <c r="Y45" s="9"/>
      <c r="Z45" s="9"/>
    </row>
    <row r="46" spans="17:26">
      <c r="X46" s="9"/>
      <c r="Y46" s="9"/>
      <c r="Z46" s="9"/>
    </row>
    <row r="47" spans="17:26">
      <c r="X47" s="9"/>
      <c r="Y47" s="9"/>
      <c r="Z47" s="9"/>
    </row>
    <row r="48" spans="17:26">
      <c r="X48" s="9"/>
      <c r="Y48" s="9"/>
      <c r="Z48" s="9"/>
    </row>
    <row r="49" spans="24:26">
      <c r="X49" s="9"/>
      <c r="Y49" s="9"/>
      <c r="Z49" s="9"/>
    </row>
    <row r="50" spans="24:26">
      <c r="X50" s="9"/>
      <c r="Y50" s="9"/>
      <c r="Z50" s="9"/>
    </row>
    <row r="51" spans="24:26">
      <c r="X51" s="9"/>
      <c r="Y51" s="9"/>
      <c r="Z51" s="9"/>
    </row>
    <row r="52" spans="24:26">
      <c r="X52" s="9"/>
      <c r="Y52" s="9"/>
      <c r="Z52" s="9"/>
    </row>
    <row r="53" spans="24:26">
      <c r="X53" s="9"/>
      <c r="Y53" s="9"/>
      <c r="Z53" s="9"/>
    </row>
    <row r="54" spans="24:26">
      <c r="X54" s="9"/>
      <c r="Y54" s="9"/>
      <c r="Z54" s="9"/>
    </row>
    <row r="55" spans="24:26">
      <c r="X55" s="9"/>
      <c r="Y55" s="9"/>
      <c r="Z55" s="9"/>
    </row>
    <row r="56" spans="24:26">
      <c r="X56" s="9"/>
      <c r="Y56" s="9"/>
      <c r="Z56" s="9"/>
    </row>
    <row r="57" spans="24:26">
      <c r="X57" s="9"/>
      <c r="Y57" s="9"/>
      <c r="Z57" s="9"/>
    </row>
    <row r="58" spans="24:26">
      <c r="X58" s="9"/>
      <c r="Y58" s="9"/>
      <c r="Z58" s="9"/>
    </row>
    <row r="59" spans="24:26">
      <c r="X59" s="9"/>
      <c r="Y59" s="9"/>
      <c r="Z59" s="9"/>
    </row>
    <row r="60" spans="24:26">
      <c r="X60" s="9"/>
      <c r="Y60" s="9"/>
      <c r="Z60" s="9"/>
    </row>
    <row r="61" spans="24:26">
      <c r="X61" s="9"/>
      <c r="Y61" s="9"/>
      <c r="Z61" s="9"/>
    </row>
    <row r="62" spans="24:26">
      <c r="X62" s="9"/>
      <c r="Y62" s="9"/>
      <c r="Z62" s="9"/>
    </row>
    <row r="63" spans="24:26">
      <c r="X63" s="9"/>
      <c r="Y63" s="9"/>
      <c r="Z63" s="9"/>
    </row>
    <row r="64" spans="24:26">
      <c r="X64" s="9"/>
      <c r="Y64" s="9"/>
      <c r="Z64" s="9"/>
    </row>
    <row r="65" spans="24:26">
      <c r="X65" s="9"/>
      <c r="Y65" s="9"/>
      <c r="Z65" s="9"/>
    </row>
    <row r="66" spans="24:26">
      <c r="X66" s="9"/>
      <c r="Y66" s="9"/>
      <c r="Z66" s="9"/>
    </row>
    <row r="67" spans="24:26">
      <c r="X67" s="9"/>
      <c r="Y67" s="9"/>
      <c r="Z67" s="9"/>
    </row>
    <row r="68" spans="24:26">
      <c r="X68" s="9"/>
      <c r="Y68" s="9"/>
      <c r="Z68" s="9"/>
    </row>
    <row r="69" spans="24:26">
      <c r="X69" s="9"/>
      <c r="Y69" s="9"/>
      <c r="Z69" s="9"/>
    </row>
    <row r="70" spans="24:26">
      <c r="X70" s="9"/>
      <c r="Y70" s="9"/>
      <c r="Z70" s="9"/>
    </row>
    <row r="71" spans="24:26">
      <c r="X71" s="9"/>
      <c r="Y71" s="9"/>
      <c r="Z71" s="9"/>
    </row>
    <row r="72" spans="24:26">
      <c r="X72" s="9"/>
      <c r="Y72" s="9"/>
      <c r="Z72" s="9"/>
    </row>
  </sheetData>
  <dataValidations count="3">
    <dataValidation type="list" allowBlank="1" showInputMessage="1" showErrorMessage="1" sqref="DB7:DC26 FU7:FV26">
      <formula1>"QUARTERLY,SEMI-ANNUAL"</formula1>
    </dataValidation>
    <dataValidation type="list" allowBlank="1" showInputMessage="1" showErrorMessage="1" sqref="AZ7:AZ26 HM7:HM26">
      <formula1>"EOM,IMM,1,2,3,4,5,6,7,8,9,10,11,12,13,14,15,16,17,18,19,20,21,22,23,24,25,26,27,28,29,30,31"</formula1>
    </dataValidation>
    <dataValidation type="list" allowBlank="1" showInputMessage="1" showErrorMessage="1" sqref="AT7:AT26 HG7:HG26">
      <formula1>"None,ShortStart,ShortEnd,LongStart,LongEnd,SS,SE,LS,LE"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FFCC"/>
  </sheetPr>
  <dimension ref="A1:N26"/>
  <sheetViews>
    <sheetView showGridLines="0" zoomScaleNormal="100" workbookViewId="0">
      <pane ySplit="6" topLeftCell="A7" activePane="bottomLeft" state="frozen"/>
      <selection activeCell="H1" sqref="H1"/>
      <selection pane="bottomLeft" activeCell="A7" sqref="A7"/>
    </sheetView>
  </sheetViews>
  <sheetFormatPr defaultRowHeight="15"/>
  <cols>
    <col min="1" max="1" width="4.7109375" customWidth="1"/>
    <col min="2" max="9" width="12.7109375" customWidth="1"/>
    <col min="10" max="10" width="4.7109375" customWidth="1"/>
    <col min="11" max="14" width="35.7109375" customWidth="1"/>
  </cols>
  <sheetData>
    <row r="1" spans="1:14" s="123" customFormat="1"/>
    <row r="3" spans="1:14">
      <c r="B3" s="1" t="s">
        <v>184</v>
      </c>
      <c r="E3" s="1"/>
      <c r="G3" s="1"/>
      <c r="K3" s="1" t="s">
        <v>183</v>
      </c>
    </row>
    <row r="4" spans="1:14">
      <c r="B4" s="124" t="s">
        <v>185</v>
      </c>
      <c r="C4" s="86"/>
      <c r="D4" s="86"/>
      <c r="E4" s="99"/>
      <c r="F4" s="87"/>
      <c r="G4" s="124" t="s">
        <v>180</v>
      </c>
      <c r="H4" s="86"/>
      <c r="I4" s="87"/>
      <c r="K4" s="93"/>
      <c r="L4" s="86"/>
      <c r="M4" s="86"/>
      <c r="N4" s="87"/>
    </row>
    <row r="5" spans="1:14">
      <c r="B5" s="94"/>
      <c r="C5" s="25"/>
      <c r="D5" s="25"/>
      <c r="E5" s="25"/>
      <c r="F5" s="89"/>
      <c r="G5" s="94"/>
      <c r="H5" s="25"/>
      <c r="I5" s="89"/>
      <c r="K5" s="94"/>
      <c r="L5" s="25"/>
      <c r="M5" s="25"/>
      <c r="N5" s="89"/>
    </row>
    <row r="6" spans="1:14">
      <c r="B6" s="90" t="s">
        <v>170</v>
      </c>
      <c r="C6" s="91" t="s">
        <v>171</v>
      </c>
      <c r="D6" s="91" t="s">
        <v>164</v>
      </c>
      <c r="E6" s="91" t="s">
        <v>176</v>
      </c>
      <c r="F6" s="92" t="s">
        <v>164</v>
      </c>
      <c r="G6" s="100" t="s">
        <v>179</v>
      </c>
      <c r="H6" s="91" t="s">
        <v>181</v>
      </c>
      <c r="I6" s="92" t="s">
        <v>182</v>
      </c>
      <c r="K6" s="102" t="s">
        <v>151</v>
      </c>
      <c r="L6" s="103" t="s">
        <v>150</v>
      </c>
      <c r="M6" s="103" t="s">
        <v>165</v>
      </c>
      <c r="N6" s="104" t="s">
        <v>152</v>
      </c>
    </row>
    <row r="7" spans="1:14">
      <c r="A7" s="101">
        <v>1</v>
      </c>
      <c r="B7" s="58" t="str">
        <f>FloatBonds!K7</f>
        <v>BGN</v>
      </c>
      <c r="C7" s="59" t="str">
        <f ca="1">FloatBonds!L7</f>
        <v>#N/A Requesting Data...</v>
      </c>
      <c r="D7" s="60"/>
      <c r="E7" s="83" t="str">
        <f ca="1">FloatBonds!N7</f>
        <v>#Error: Invalid input, numeric input required</v>
      </c>
      <c r="F7" s="60"/>
      <c r="G7" s="84" t="str">
        <f ca="1">FloatBonds!P7</f>
        <v>#Error: Invalid input, numeric input required</v>
      </c>
      <c r="H7" s="84" t="str">
        <f ca="1">FloatBonds!Q7</f>
        <v>#Error: Invalid input, numeric input required</v>
      </c>
      <c r="I7" s="273" t="str">
        <f ca="1">FloatBonds!R7</f>
        <v>#Error: Invalid input, numeric input required</v>
      </c>
      <c r="J7" s="101">
        <v>1</v>
      </c>
      <c r="K7" s="53" t="str">
        <f ca="1">FloatBonds!X7</f>
        <v>#LOADING</v>
      </c>
      <c r="L7" s="283" t="str">
        <f ca="1">FloatBonds!Y7</f>
        <v>#Error: Frequency '#LOADING' invalid, must be 'NONE', 'ANNUAL', 'SEMI_ANNUAL', 'QUARTERLY', 'MONTHLY', 'WEEKLY', 'DAILY' or 'AT_MATURITY'.</v>
      </c>
      <c r="M7" s="283" t="str">
        <f ca="1">FloatBonds!Z7</f>
        <v>#Error: Frequency '#LOADING' invalid, must be 'NONE', 'ANNUAL', 'SEMI_ANNUAL', 'QUARTERLY', 'MONTHLY', 'WEEKLY', 'DAILY' or 'AT_MATURITY'.</v>
      </c>
      <c r="N7" s="283" t="str">
        <f ca="1">FloatBonds!AA7</f>
        <v>#LOADING</v>
      </c>
    </row>
    <row r="8" spans="1:14">
      <c r="A8" s="101">
        <v>2</v>
      </c>
      <c r="B8" s="58" t="str">
        <f>FloatBonds!K8</f>
        <v>BGN</v>
      </c>
      <c r="C8" s="59" t="str">
        <f ca="1">FloatBonds!L8</f>
        <v>#N/A Requesting Data...</v>
      </c>
      <c r="D8" s="60"/>
      <c r="E8" s="83" t="str">
        <f ca="1">FloatBonds!N8</f>
        <v>#Error: Invalid input, numeric input required</v>
      </c>
      <c r="F8" s="60"/>
      <c r="G8" s="84" t="str">
        <f ca="1">FloatBonds!P8</f>
        <v>#Error: Invalid input, numeric input required</v>
      </c>
      <c r="H8" s="84" t="str">
        <f ca="1">FloatBonds!Q8</f>
        <v>#Error: Invalid input, numeric input required</v>
      </c>
      <c r="I8" s="273" t="str">
        <f ca="1">FloatBonds!R8</f>
        <v>#Error: Invalid input, numeric input required</v>
      </c>
      <c r="J8" s="101">
        <v>2</v>
      </c>
      <c r="K8" s="283" t="str">
        <f ca="1">FloatBonds!X8</f>
        <v>#LOADING</v>
      </c>
      <c r="L8" s="283" t="str">
        <f ca="1">FloatBonds!Y8</f>
        <v>#Error: Frequency '#LOADING' invalid, must be 'NONE', 'ANNUAL', 'SEMI_ANNUAL', 'QUARTERLY', 'MONTHLY', 'WEEKLY', 'DAILY' or 'AT_MATURITY'.</v>
      </c>
      <c r="M8" s="283" t="str">
        <f ca="1">FloatBonds!Z8</f>
        <v>#Error: Frequency '#LOADING' invalid, must be 'NONE', 'ANNUAL', 'SEMI_ANNUAL', 'QUARTERLY', 'MONTHLY', 'WEEKLY', 'DAILY' or 'AT_MATURITY'.</v>
      </c>
      <c r="N8" s="283" t="str">
        <f ca="1">FloatBonds!AA8</f>
        <v>#LOADING</v>
      </c>
    </row>
    <row r="9" spans="1:14">
      <c r="A9" s="101">
        <v>3</v>
      </c>
      <c r="B9" s="58" t="str">
        <f>FloatBonds!K9</f>
        <v>BGN</v>
      </c>
      <c r="C9" s="59" t="str">
        <f ca="1">FloatBonds!L9</f>
        <v>#N/A Requesting Data...</v>
      </c>
      <c r="D9" s="60"/>
      <c r="E9" s="83" t="str">
        <f ca="1">FloatBonds!N9</f>
        <v>#Error: Invalid input, numeric input required</v>
      </c>
      <c r="F9" s="60"/>
      <c r="G9" s="84" t="str">
        <f ca="1">FloatBonds!P9</f>
        <v>#Error: Invalid input, numeric input required</v>
      </c>
      <c r="H9" s="84" t="str">
        <f ca="1">FloatBonds!Q9</f>
        <v>#Error: Invalid input, numeric input required</v>
      </c>
      <c r="I9" s="273" t="str">
        <f ca="1">FloatBonds!R9</f>
        <v>#Error: Invalid input, numeric input required</v>
      </c>
      <c r="J9" s="101">
        <v>3</v>
      </c>
      <c r="K9" s="283" t="str">
        <f ca="1">FloatBonds!X9</f>
        <v>#LOADING</v>
      </c>
      <c r="L9" s="283" t="str">
        <f ca="1">FloatBonds!Y9</f>
        <v>#Error: Frequency '#LOADING' invalid, must be 'NONE', 'ANNUAL', 'SEMI_ANNUAL', 'QUARTERLY', 'MONTHLY', 'WEEKLY', 'DAILY' or 'AT_MATURITY'.</v>
      </c>
      <c r="M9" s="283" t="str">
        <f ca="1">FloatBonds!Z9</f>
        <v>#Error: Frequency '#LOADING' invalid, must be 'NONE', 'ANNUAL', 'SEMI_ANNUAL', 'QUARTERLY', 'MONTHLY', 'WEEKLY', 'DAILY' or 'AT_MATURITY'.</v>
      </c>
      <c r="N9" s="283" t="str">
        <f ca="1">FloatBonds!AA9</f>
        <v>#LOADING</v>
      </c>
    </row>
    <row r="10" spans="1:14">
      <c r="A10" s="101">
        <v>4</v>
      </c>
      <c r="B10" s="58" t="str">
        <f>FloatBonds!K10</f>
        <v>BGN</v>
      </c>
      <c r="C10" s="59" t="str">
        <f ca="1">FloatBonds!L10</f>
        <v>#N/A Requesting Data...</v>
      </c>
      <c r="D10" s="60"/>
      <c r="E10" s="83" t="str">
        <f ca="1">FloatBonds!N10</f>
        <v>#Error: Invalid input, numeric input required</v>
      </c>
      <c r="F10" s="60"/>
      <c r="G10" s="84" t="str">
        <f ca="1">FloatBonds!P10</f>
        <v>#Error: Invalid input, numeric input required</v>
      </c>
      <c r="H10" s="84" t="str">
        <f ca="1">FloatBonds!Q10</f>
        <v>#Error: Invalid input, numeric input required</v>
      </c>
      <c r="I10" s="273" t="str">
        <f ca="1">FloatBonds!R10</f>
        <v>#Error: Invalid input, numeric input required</v>
      </c>
      <c r="J10" s="101">
        <v>4</v>
      </c>
      <c r="K10" s="283" t="str">
        <f ca="1">FloatBonds!X10</f>
        <v>#LOADING</v>
      </c>
      <c r="L10" s="283" t="str">
        <f ca="1">FloatBonds!Y10</f>
        <v>#Error: Frequency '#LOADING' invalid, must be 'NONE', 'ANNUAL', 'SEMI_ANNUAL', 'QUARTERLY', 'MONTHLY', 'WEEKLY', 'DAILY' or 'AT_MATURITY'.</v>
      </c>
      <c r="M10" s="283" t="str">
        <f ca="1">FloatBonds!Z10</f>
        <v>#Error: Frequency '#LOADING' invalid, must be 'NONE', 'ANNUAL', 'SEMI_ANNUAL', 'QUARTERLY', 'MONTHLY', 'WEEKLY', 'DAILY' or 'AT_MATURITY'.</v>
      </c>
      <c r="N10" s="283" t="str">
        <f ca="1">FloatBonds!AA10</f>
        <v>#LOADING</v>
      </c>
    </row>
    <row r="11" spans="1:14">
      <c r="A11" s="101">
        <v>5</v>
      </c>
      <c r="B11" s="58" t="str">
        <f>FloatBonds!K11</f>
        <v>BGN</v>
      </c>
      <c r="C11" s="59" t="str">
        <f ca="1">FloatBonds!L11</f>
        <v>#N/A Requesting Data...</v>
      </c>
      <c r="D11" s="60"/>
      <c r="E11" s="83" t="str">
        <f ca="1">FloatBonds!N11</f>
        <v>#Error: Invalid input, numeric input required</v>
      </c>
      <c r="F11" s="60"/>
      <c r="G11" s="84" t="str">
        <f ca="1">FloatBonds!P11</f>
        <v>#Error: Invalid input, numeric input required</v>
      </c>
      <c r="H11" s="84" t="str">
        <f ca="1">FloatBonds!Q11</f>
        <v>#Error: Invalid input, numeric input required</v>
      </c>
      <c r="I11" s="273" t="str">
        <f ca="1">FloatBonds!R11</f>
        <v>#Error: Invalid input, numeric input required</v>
      </c>
      <c r="J11" s="101">
        <v>5</v>
      </c>
      <c r="K11" s="283" t="str">
        <f ca="1">FloatBonds!X11</f>
        <v>#LOADING</v>
      </c>
      <c r="L11" s="283" t="str">
        <f ca="1">FloatBonds!Y11</f>
        <v>#Error: Frequency '#LOADING' invalid, must be 'NONE', 'ANNUAL', 'SEMI_ANNUAL', 'QUARTERLY', 'MONTHLY', 'WEEKLY', 'DAILY' or 'AT_MATURITY'.</v>
      </c>
      <c r="M11" s="283" t="str">
        <f ca="1">FloatBonds!Z11</f>
        <v>#Error: Frequency '#LOADING' invalid, must be 'NONE', 'ANNUAL', 'SEMI_ANNUAL', 'QUARTERLY', 'MONTHLY', 'WEEKLY', 'DAILY' or 'AT_MATURITY'.</v>
      </c>
      <c r="N11" s="283" t="str">
        <f ca="1">FloatBonds!AA11</f>
        <v>#LOADING</v>
      </c>
    </row>
    <row r="12" spans="1:14">
      <c r="A12" s="101">
        <v>6</v>
      </c>
      <c r="B12" s="58" t="str">
        <f>FloatBonds!K12</f>
        <v>BGN</v>
      </c>
      <c r="C12" s="59" t="str">
        <f>FloatBonds!L12</f>
        <v/>
      </c>
      <c r="D12" s="60"/>
      <c r="E12" s="83" t="str">
        <f ca="1">FloatBonds!N12</f>
        <v/>
      </c>
      <c r="F12" s="60"/>
      <c r="G12" s="84" t="str">
        <f ca="1">FloatBonds!P12</f>
        <v/>
      </c>
      <c r="H12" s="84" t="str">
        <f>FloatBonds!Q12</f>
        <v/>
      </c>
      <c r="I12" s="273" t="str">
        <f>FloatBonds!R12</f>
        <v/>
      </c>
      <c r="J12" s="101">
        <v>6</v>
      </c>
      <c r="K12" s="283" t="str">
        <f>FloatBonds!X12</f>
        <v/>
      </c>
      <c r="L12" s="283" t="str">
        <f>FloatBonds!Y12</f>
        <v/>
      </c>
      <c r="M12" s="283" t="str">
        <f>FloatBonds!Z12</f>
        <v/>
      </c>
      <c r="N12" s="283" t="str">
        <f>FloatBonds!AA12</f>
        <v/>
      </c>
    </row>
    <row r="13" spans="1:14">
      <c r="A13" s="101">
        <v>7</v>
      </c>
      <c r="B13" s="58" t="str">
        <f>FloatBonds!K13</f>
        <v>BGN</v>
      </c>
      <c r="C13" s="59" t="str">
        <f>FloatBonds!L13</f>
        <v/>
      </c>
      <c r="D13" s="60"/>
      <c r="E13" s="83" t="str">
        <f ca="1">FloatBonds!N13</f>
        <v/>
      </c>
      <c r="F13" s="60"/>
      <c r="G13" s="84" t="str">
        <f ca="1">FloatBonds!P13</f>
        <v/>
      </c>
      <c r="H13" s="84" t="str">
        <f>FloatBonds!Q13</f>
        <v/>
      </c>
      <c r="I13" s="273" t="str">
        <f>FloatBonds!R13</f>
        <v/>
      </c>
      <c r="J13" s="101">
        <v>7</v>
      </c>
      <c r="K13" s="283" t="str">
        <f>FloatBonds!X13</f>
        <v/>
      </c>
      <c r="L13" s="283" t="str">
        <f>FloatBonds!Y13</f>
        <v/>
      </c>
      <c r="M13" s="283" t="str">
        <f>FloatBonds!Z13</f>
        <v/>
      </c>
      <c r="N13" s="283" t="str">
        <f>FloatBonds!AA13</f>
        <v/>
      </c>
    </row>
    <row r="14" spans="1:14">
      <c r="A14" s="101">
        <v>8</v>
      </c>
      <c r="B14" s="58" t="str">
        <f>FloatBonds!K14</f>
        <v>BGN</v>
      </c>
      <c r="C14" s="59" t="str">
        <f>FloatBonds!L14</f>
        <v/>
      </c>
      <c r="D14" s="60"/>
      <c r="E14" s="83" t="str">
        <f ca="1">FloatBonds!N14</f>
        <v/>
      </c>
      <c r="F14" s="60"/>
      <c r="G14" s="84" t="str">
        <f ca="1">FloatBonds!P14</f>
        <v/>
      </c>
      <c r="H14" s="84" t="str">
        <f>FloatBonds!Q14</f>
        <v/>
      </c>
      <c r="I14" s="273" t="str">
        <f>FloatBonds!R14</f>
        <v/>
      </c>
      <c r="J14" s="101">
        <v>8</v>
      </c>
      <c r="K14" s="283" t="str">
        <f>FloatBonds!X14</f>
        <v/>
      </c>
      <c r="L14" s="283" t="str">
        <f>FloatBonds!Y14</f>
        <v/>
      </c>
      <c r="M14" s="283" t="str">
        <f>FloatBonds!Z14</f>
        <v/>
      </c>
      <c r="N14" s="283" t="str">
        <f>FloatBonds!AA14</f>
        <v/>
      </c>
    </row>
    <row r="15" spans="1:14">
      <c r="A15" s="101">
        <v>9</v>
      </c>
      <c r="B15" s="58" t="str">
        <f>FloatBonds!K15</f>
        <v>BGN</v>
      </c>
      <c r="C15" s="59" t="str">
        <f>FloatBonds!L15</f>
        <v/>
      </c>
      <c r="D15" s="60"/>
      <c r="E15" s="83" t="str">
        <f ca="1">FloatBonds!N15</f>
        <v/>
      </c>
      <c r="F15" s="60"/>
      <c r="G15" s="84" t="str">
        <f ca="1">FloatBonds!P15</f>
        <v/>
      </c>
      <c r="H15" s="84" t="str">
        <f>FloatBonds!Q15</f>
        <v/>
      </c>
      <c r="I15" s="273" t="str">
        <f>FloatBonds!R15</f>
        <v/>
      </c>
      <c r="J15" s="101">
        <v>9</v>
      </c>
      <c r="K15" s="283" t="str">
        <f>FloatBonds!X15</f>
        <v/>
      </c>
      <c r="L15" s="283" t="str">
        <f>FloatBonds!Y15</f>
        <v/>
      </c>
      <c r="M15" s="283" t="str">
        <f>FloatBonds!Z15</f>
        <v/>
      </c>
      <c r="N15" s="283" t="str">
        <f>FloatBonds!AA15</f>
        <v/>
      </c>
    </row>
    <row r="16" spans="1:14">
      <c r="A16" s="101">
        <v>10</v>
      </c>
      <c r="B16" s="58" t="str">
        <f>FloatBonds!K16</f>
        <v>BGN</v>
      </c>
      <c r="C16" s="59" t="str">
        <f>FloatBonds!L16</f>
        <v/>
      </c>
      <c r="D16" s="60"/>
      <c r="E16" s="83" t="str">
        <f ca="1">FloatBonds!N16</f>
        <v/>
      </c>
      <c r="F16" s="60"/>
      <c r="G16" s="84" t="str">
        <f ca="1">FloatBonds!P16</f>
        <v/>
      </c>
      <c r="H16" s="84" t="str">
        <f>FloatBonds!Q16</f>
        <v/>
      </c>
      <c r="I16" s="273" t="str">
        <f>FloatBonds!R16</f>
        <v/>
      </c>
      <c r="J16" s="101">
        <v>10</v>
      </c>
      <c r="K16" s="283" t="str">
        <f>FloatBonds!X16</f>
        <v/>
      </c>
      <c r="L16" s="283" t="str">
        <f>FloatBonds!Y16</f>
        <v/>
      </c>
      <c r="M16" s="283" t="str">
        <f>FloatBonds!Z16</f>
        <v/>
      </c>
      <c r="N16" s="283" t="str">
        <f>FloatBonds!AA16</f>
        <v/>
      </c>
    </row>
    <row r="17" spans="1:14">
      <c r="A17" s="101">
        <v>11</v>
      </c>
      <c r="B17" s="58" t="str">
        <f>FloatBonds!K17</f>
        <v>BGN</v>
      </c>
      <c r="C17" s="59" t="str">
        <f>FloatBonds!L17</f>
        <v/>
      </c>
      <c r="D17" s="60"/>
      <c r="E17" s="83" t="str">
        <f ca="1">FloatBonds!N17</f>
        <v/>
      </c>
      <c r="F17" s="60"/>
      <c r="G17" s="84" t="str">
        <f ca="1">FloatBonds!P17</f>
        <v/>
      </c>
      <c r="H17" s="84" t="str">
        <f>FloatBonds!Q17</f>
        <v/>
      </c>
      <c r="I17" s="273" t="str">
        <f>FloatBonds!R17</f>
        <v/>
      </c>
      <c r="J17" s="101">
        <v>11</v>
      </c>
      <c r="K17" s="283" t="str">
        <f>FloatBonds!X17</f>
        <v/>
      </c>
      <c r="L17" s="283" t="str">
        <f>FloatBonds!Y17</f>
        <v/>
      </c>
      <c r="M17" s="283" t="str">
        <f>FloatBonds!Z17</f>
        <v/>
      </c>
      <c r="N17" s="283" t="str">
        <f>FloatBonds!AA17</f>
        <v/>
      </c>
    </row>
    <row r="18" spans="1:14">
      <c r="A18" s="101">
        <v>12</v>
      </c>
      <c r="B18" s="58" t="str">
        <f>FloatBonds!K18</f>
        <v>BGN</v>
      </c>
      <c r="C18" s="59" t="str">
        <f>FloatBonds!L18</f>
        <v/>
      </c>
      <c r="D18" s="60"/>
      <c r="E18" s="83" t="str">
        <f ca="1">FloatBonds!N18</f>
        <v/>
      </c>
      <c r="F18" s="60"/>
      <c r="G18" s="84" t="str">
        <f ca="1">FloatBonds!P18</f>
        <v/>
      </c>
      <c r="H18" s="84" t="str">
        <f>FloatBonds!Q18</f>
        <v/>
      </c>
      <c r="I18" s="273" t="str">
        <f>FloatBonds!R18</f>
        <v/>
      </c>
      <c r="J18" s="101">
        <v>12</v>
      </c>
      <c r="K18" s="283" t="str">
        <f>FloatBonds!X18</f>
        <v/>
      </c>
      <c r="L18" s="283" t="str">
        <f>FloatBonds!Y18</f>
        <v/>
      </c>
      <c r="M18" s="283" t="str">
        <f>FloatBonds!Z18</f>
        <v/>
      </c>
      <c r="N18" s="283" t="str">
        <f>FloatBonds!AA18</f>
        <v/>
      </c>
    </row>
    <row r="19" spans="1:14">
      <c r="A19" s="101">
        <v>13</v>
      </c>
      <c r="B19" s="58" t="str">
        <f>FloatBonds!K19</f>
        <v>BGN</v>
      </c>
      <c r="C19" s="59" t="str">
        <f>FloatBonds!L19</f>
        <v/>
      </c>
      <c r="D19" s="60"/>
      <c r="E19" s="83" t="str">
        <f ca="1">FloatBonds!N19</f>
        <v/>
      </c>
      <c r="F19" s="60"/>
      <c r="G19" s="84" t="str">
        <f ca="1">FloatBonds!P19</f>
        <v/>
      </c>
      <c r="H19" s="84" t="str">
        <f>FloatBonds!Q19</f>
        <v/>
      </c>
      <c r="I19" s="273" t="str">
        <f>FloatBonds!R19</f>
        <v/>
      </c>
      <c r="J19" s="101">
        <v>13</v>
      </c>
      <c r="K19" s="283" t="str">
        <f>FloatBonds!X19</f>
        <v/>
      </c>
      <c r="L19" s="283" t="str">
        <f>FloatBonds!Y19</f>
        <v/>
      </c>
      <c r="M19" s="283" t="str">
        <f>FloatBonds!Z19</f>
        <v/>
      </c>
      <c r="N19" s="283" t="str">
        <f>FloatBonds!AA19</f>
        <v/>
      </c>
    </row>
    <row r="20" spans="1:14">
      <c r="A20" s="101">
        <v>14</v>
      </c>
      <c r="B20" s="58" t="str">
        <f>FloatBonds!K20</f>
        <v>BGN</v>
      </c>
      <c r="C20" s="59" t="str">
        <f>FloatBonds!L20</f>
        <v/>
      </c>
      <c r="D20" s="60"/>
      <c r="E20" s="83" t="str">
        <f ca="1">FloatBonds!N20</f>
        <v/>
      </c>
      <c r="F20" s="60"/>
      <c r="G20" s="84" t="str">
        <f ca="1">FloatBonds!P20</f>
        <v/>
      </c>
      <c r="H20" s="84" t="str">
        <f>FloatBonds!Q20</f>
        <v/>
      </c>
      <c r="I20" s="273" t="str">
        <f>FloatBonds!R20</f>
        <v/>
      </c>
      <c r="J20" s="101">
        <v>14</v>
      </c>
      <c r="K20" s="283" t="str">
        <f>FloatBonds!X20</f>
        <v/>
      </c>
      <c r="L20" s="283" t="str">
        <f>FloatBonds!Y20</f>
        <v/>
      </c>
      <c r="M20" s="283" t="str">
        <f>FloatBonds!Z20</f>
        <v/>
      </c>
      <c r="N20" s="283" t="str">
        <f>FloatBonds!AA20</f>
        <v/>
      </c>
    </row>
    <row r="21" spans="1:14">
      <c r="A21" s="101">
        <v>15</v>
      </c>
      <c r="B21" s="58" t="str">
        <f>FloatBonds!K21</f>
        <v>BGN</v>
      </c>
      <c r="C21" s="59" t="str">
        <f>FloatBonds!L21</f>
        <v/>
      </c>
      <c r="D21" s="60"/>
      <c r="E21" s="83" t="str">
        <f ca="1">FloatBonds!N21</f>
        <v/>
      </c>
      <c r="F21" s="60"/>
      <c r="G21" s="84" t="str">
        <f ca="1">FloatBonds!P21</f>
        <v/>
      </c>
      <c r="H21" s="84" t="str">
        <f>FloatBonds!Q21</f>
        <v/>
      </c>
      <c r="I21" s="273" t="str">
        <f>FloatBonds!R21</f>
        <v/>
      </c>
      <c r="J21" s="101">
        <v>15</v>
      </c>
      <c r="K21" s="283" t="str">
        <f>FloatBonds!X21</f>
        <v/>
      </c>
      <c r="L21" s="283" t="str">
        <f>FloatBonds!Y21</f>
        <v/>
      </c>
      <c r="M21" s="283" t="str">
        <f>FloatBonds!Z21</f>
        <v/>
      </c>
      <c r="N21" s="283" t="str">
        <f>FloatBonds!AA21</f>
        <v/>
      </c>
    </row>
    <row r="22" spans="1:14">
      <c r="A22" s="101">
        <v>16</v>
      </c>
      <c r="B22" s="58" t="str">
        <f>FloatBonds!K22</f>
        <v>BGN</v>
      </c>
      <c r="C22" s="59" t="str">
        <f>FloatBonds!L22</f>
        <v/>
      </c>
      <c r="D22" s="60"/>
      <c r="E22" s="83" t="str">
        <f ca="1">FloatBonds!N22</f>
        <v/>
      </c>
      <c r="F22" s="60"/>
      <c r="G22" s="84" t="str">
        <f ca="1">FloatBonds!P22</f>
        <v/>
      </c>
      <c r="H22" s="84" t="str">
        <f>FloatBonds!Q22</f>
        <v/>
      </c>
      <c r="I22" s="273" t="str">
        <f>FloatBonds!R22</f>
        <v/>
      </c>
      <c r="J22" s="101">
        <v>16</v>
      </c>
      <c r="K22" s="283" t="str">
        <f>FloatBonds!X22</f>
        <v/>
      </c>
      <c r="L22" s="283" t="str">
        <f>FloatBonds!Y22</f>
        <v/>
      </c>
      <c r="M22" s="283" t="str">
        <f>FloatBonds!Z22</f>
        <v/>
      </c>
      <c r="N22" s="283" t="str">
        <f>FloatBonds!AA22</f>
        <v/>
      </c>
    </row>
    <row r="23" spans="1:14">
      <c r="A23" s="101">
        <v>17</v>
      </c>
      <c r="B23" s="58" t="str">
        <f>FloatBonds!K23</f>
        <v>BGN</v>
      </c>
      <c r="C23" s="59" t="str">
        <f>FloatBonds!L23</f>
        <v/>
      </c>
      <c r="D23" s="60"/>
      <c r="E23" s="83" t="str">
        <f ca="1">FloatBonds!N23</f>
        <v/>
      </c>
      <c r="F23" s="60"/>
      <c r="G23" s="84" t="str">
        <f ca="1">FloatBonds!P23</f>
        <v/>
      </c>
      <c r="H23" s="84" t="str">
        <f>FloatBonds!Q23</f>
        <v/>
      </c>
      <c r="I23" s="273" t="str">
        <f>FloatBonds!R23</f>
        <v/>
      </c>
      <c r="J23" s="101">
        <v>17</v>
      </c>
      <c r="K23" s="283" t="str">
        <f>FloatBonds!X23</f>
        <v/>
      </c>
      <c r="L23" s="283" t="str">
        <f>FloatBonds!Y23</f>
        <v/>
      </c>
      <c r="M23" s="283" t="str">
        <f>FloatBonds!Z23</f>
        <v/>
      </c>
      <c r="N23" s="283" t="str">
        <f>FloatBonds!AA23</f>
        <v/>
      </c>
    </row>
    <row r="24" spans="1:14">
      <c r="A24" s="101">
        <v>18</v>
      </c>
      <c r="B24" s="58" t="str">
        <f>FloatBonds!K24</f>
        <v>BGN</v>
      </c>
      <c r="C24" s="59" t="str">
        <f>FloatBonds!L24</f>
        <v/>
      </c>
      <c r="D24" s="60"/>
      <c r="E24" s="83" t="str">
        <f ca="1">FloatBonds!N24</f>
        <v/>
      </c>
      <c r="F24" s="60"/>
      <c r="G24" s="84" t="str">
        <f ca="1">FloatBonds!P24</f>
        <v/>
      </c>
      <c r="H24" s="84" t="str">
        <f>FloatBonds!Q24</f>
        <v/>
      </c>
      <c r="I24" s="273" t="str">
        <f>FloatBonds!R24</f>
        <v/>
      </c>
      <c r="J24" s="101">
        <v>18</v>
      </c>
      <c r="K24" s="283" t="str">
        <f>FloatBonds!X24</f>
        <v/>
      </c>
      <c r="L24" s="283" t="str">
        <f>FloatBonds!Y24</f>
        <v/>
      </c>
      <c r="M24" s="283" t="str">
        <f>FloatBonds!Z24</f>
        <v/>
      </c>
      <c r="N24" s="283" t="str">
        <f>FloatBonds!AA24</f>
        <v/>
      </c>
    </row>
    <row r="25" spans="1:14">
      <c r="A25" s="101">
        <v>19</v>
      </c>
      <c r="B25" s="58" t="str">
        <f>FloatBonds!K25</f>
        <v>BGN</v>
      </c>
      <c r="C25" s="59" t="str">
        <f>FloatBonds!L25</f>
        <v/>
      </c>
      <c r="D25" s="60"/>
      <c r="E25" s="83" t="str">
        <f ca="1">FloatBonds!N25</f>
        <v/>
      </c>
      <c r="F25" s="60"/>
      <c r="G25" s="84" t="str">
        <f ca="1">FloatBonds!P25</f>
        <v/>
      </c>
      <c r="H25" s="84" t="str">
        <f>FloatBonds!Q25</f>
        <v/>
      </c>
      <c r="I25" s="273" t="str">
        <f>FloatBonds!R25</f>
        <v/>
      </c>
      <c r="J25" s="101">
        <v>19</v>
      </c>
      <c r="K25" s="283" t="str">
        <f>FloatBonds!X25</f>
        <v/>
      </c>
      <c r="L25" s="283" t="str">
        <f>FloatBonds!Y25</f>
        <v/>
      </c>
      <c r="M25" s="283" t="str">
        <f>FloatBonds!Z25</f>
        <v/>
      </c>
      <c r="N25" s="283" t="str">
        <f>FloatBonds!AA25</f>
        <v/>
      </c>
    </row>
    <row r="26" spans="1:14">
      <c r="A26" s="101">
        <v>20</v>
      </c>
      <c r="B26" s="58" t="str">
        <f>FloatBonds!K26</f>
        <v>BGN</v>
      </c>
      <c r="C26" s="59" t="str">
        <f>FloatBonds!L26</f>
        <v/>
      </c>
      <c r="D26" s="60"/>
      <c r="E26" s="83" t="str">
        <f ca="1">FloatBonds!N26</f>
        <v/>
      </c>
      <c r="F26" s="60"/>
      <c r="G26" s="84" t="str">
        <f ca="1">FloatBonds!P26</f>
        <v/>
      </c>
      <c r="H26" s="84" t="str">
        <f>FloatBonds!Q26</f>
        <v/>
      </c>
      <c r="I26" s="273" t="str">
        <f>FloatBonds!R26</f>
        <v/>
      </c>
      <c r="J26" s="101">
        <v>20</v>
      </c>
      <c r="K26" s="283" t="str">
        <f>FloatBonds!X26</f>
        <v/>
      </c>
      <c r="L26" s="283" t="str">
        <f>FloatBonds!Y26</f>
        <v/>
      </c>
      <c r="M26" s="283" t="str">
        <f>FloatBonds!Z26</f>
        <v/>
      </c>
      <c r="N26" s="283" t="str">
        <f>FloatBonds!AA26</f>
        <v/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38</vt:i4>
      </vt:variant>
    </vt:vector>
  </HeadingPairs>
  <TitlesOfParts>
    <vt:vector size="50" baseType="lpstr">
      <vt:lpstr>Settings</vt:lpstr>
      <vt:lpstr>Static</vt:lpstr>
      <vt:lpstr>FixingTables</vt:lpstr>
      <vt:lpstr>FixedBondSingle</vt:lpstr>
      <vt:lpstr>FixedBonds</vt:lpstr>
      <vt:lpstr>FixedBondsSummary</vt:lpstr>
      <vt:lpstr>XccyFixedBondSingle</vt:lpstr>
      <vt:lpstr>XccyFixedBonds</vt:lpstr>
      <vt:lpstr>XccyFixedBondsSummary</vt:lpstr>
      <vt:lpstr>FloatBondSingle</vt:lpstr>
      <vt:lpstr>FloatBonds</vt:lpstr>
      <vt:lpstr>FloatBondsSummary</vt:lpstr>
      <vt:lpstr>XccyFixedBondSingle!Bond.ISIN</vt:lpstr>
      <vt:lpstr>Bond.ISIN</vt:lpstr>
      <vt:lpstr>XccyFixedBondSingle!Booking.Bond</vt:lpstr>
      <vt:lpstr>Booking.Bond</vt:lpstr>
      <vt:lpstr>XccyFixedBondSingle!Booking.Bond.AssetSwap</vt:lpstr>
      <vt:lpstr>Booking.Bond.AssetSwap</vt:lpstr>
      <vt:lpstr>XccyFixedBondSingle!Booking.Proxy.AssetSwap</vt:lpstr>
      <vt:lpstr>Booking.Proxy.AssetSwap</vt:lpstr>
      <vt:lpstr>XccyFixedBondSingle!Booking.Proxy.Bond</vt:lpstr>
      <vt:lpstr>Booking.Proxy.Bond</vt:lpstr>
      <vt:lpstr>ExdividendTenorType23</vt:lpstr>
      <vt:lpstr>ExdividendTenorType26</vt:lpstr>
      <vt:lpstr>FixingsAUD3ML</vt:lpstr>
      <vt:lpstr>FixingsAUD6ML</vt:lpstr>
      <vt:lpstr>FixingsEUR3ML</vt:lpstr>
      <vt:lpstr>FixingsEUR6ML</vt:lpstr>
      <vt:lpstr>FixingsJPY3ML</vt:lpstr>
      <vt:lpstr>FixingsJPY6ML</vt:lpstr>
      <vt:lpstr>FixingsUSD3ML</vt:lpstr>
      <vt:lpstr>FixingsUSD6ML</vt:lpstr>
      <vt:lpstr>XccyFixedBondSingle!Proxy.ISIN</vt:lpstr>
      <vt:lpstr>Proxy.ISIN</vt:lpstr>
      <vt:lpstr>Settings.CurveOverride.AUD</vt:lpstr>
      <vt:lpstr>Settings.CurveOverride.EUR</vt:lpstr>
      <vt:lpstr>Settings.CurveOverride.JPY</vt:lpstr>
      <vt:lpstr>Settings.CurveOverride.USD</vt:lpstr>
      <vt:lpstr>Settings.ValuationDate</vt:lpstr>
      <vt:lpstr>Static.CouponFrequency</vt:lpstr>
      <vt:lpstr>Static.CurrencyToAssetSwap</vt:lpstr>
      <vt:lpstr>Static.CurrencyToCalendar</vt:lpstr>
      <vt:lpstr>Static.FrequencyToCurveIndex</vt:lpstr>
      <vt:lpstr>ValuationDateAUD</vt:lpstr>
      <vt:lpstr>ValuationDateEUR</vt:lpstr>
      <vt:lpstr>ValuationDateJPY</vt:lpstr>
      <vt:lpstr>ValuationDateUSD</vt:lpstr>
      <vt:lpstr>ValuationSettingsAUD</vt:lpstr>
      <vt:lpstr>ValuationSettingsEUR</vt:lpstr>
      <vt:lpstr>ValuationSettingsUSD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Zheng Yongyan</cp:lastModifiedBy>
  <dcterms:created xsi:type="dcterms:W3CDTF">2018-09-10T12:33:12Z</dcterms:created>
  <dcterms:modified xsi:type="dcterms:W3CDTF">2019-01-31T17:53:55Z</dcterms:modified>
</cp:coreProperties>
</file>