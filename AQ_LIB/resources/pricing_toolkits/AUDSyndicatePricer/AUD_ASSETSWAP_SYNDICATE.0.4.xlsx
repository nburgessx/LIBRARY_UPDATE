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165" windowWidth="18975" windowHeight="3765"/>
  </bookViews>
  <sheets>
    <sheet name="SETTINGS" sheetId="5" r:id="rId1"/>
    <sheet name="AUD CURVE TICKERS" sheetId="9" r:id="rId2"/>
    <sheet name="AUD CURVE" sheetId="4" r:id="rId3"/>
    <sheet name="AUD REPRICING" sheetId="10" r:id="rId4"/>
    <sheet name="SYNDICATE AUD IRS" sheetId="8" r:id="rId5"/>
    <sheet name="TAP AUD ASW" sheetId="11" r:id="rId6"/>
    <sheet name="ACGB_BONDS" sheetId="13" r:id="rId7"/>
  </sheets>
  <definedNames>
    <definedName name="_xlnm._FilterDatabase" localSheetId="6" hidden="1">ACGB_BONDS!$B$7:$W$7</definedName>
    <definedName name="Settings.AllowCalibrationUpdates">SETTINGS!$C$10</definedName>
    <definedName name="Settings.BloombergPCS">SETTINGS!$C$6</definedName>
    <definedName name="Settings.COB">SETTINGS!$C$4</definedName>
    <definedName name="Settings.CurveSide.MidBidAsk">SETTINGS!$C$7</definedName>
    <definedName name="Settings.EnableCurveChart">SETTINGS!$C$9</definedName>
    <definedName name="Settings.Futures.Convexity.HW1F.Vol">SETTINGS!$C$8</definedName>
    <definedName name="Settings.isCOBToday">SETTINGS!$C$3</definedName>
    <definedName name="Settings.SwapCurve.Interpolation">SETTINGS!$C$11</definedName>
  </definedNames>
  <calcPr calcId="145621"/>
</workbook>
</file>

<file path=xl/calcChain.xml><?xml version="1.0" encoding="utf-8"?>
<calcChain xmlns="http://schemas.openxmlformats.org/spreadsheetml/2006/main">
  <c r="M14" i="13" l="1"/>
  <c r="M9" i="13"/>
  <c r="M36" i="13"/>
  <c r="M15" i="13"/>
  <c r="M38" i="13"/>
  <c r="L12" i="13"/>
  <c r="L26" i="13"/>
  <c r="M33" i="13"/>
  <c r="M31" i="13"/>
  <c r="M24" i="13"/>
  <c r="M22" i="13"/>
  <c r="L32" i="13"/>
  <c r="L23" i="13"/>
  <c r="L34" i="13"/>
  <c r="M16" i="13"/>
  <c r="M34" i="13"/>
  <c r="M23" i="13"/>
  <c r="L22" i="13"/>
  <c r="L31" i="13"/>
  <c r="L11" i="13"/>
  <c r="M26" i="13"/>
  <c r="L38" i="13"/>
  <c r="L9" i="13"/>
  <c r="M18" i="13"/>
  <c r="L8" i="13"/>
  <c r="M11" i="13"/>
  <c r="L16" i="13"/>
  <c r="M32" i="13"/>
  <c r="L24" i="13"/>
  <c r="L33" i="13"/>
  <c r="M12" i="13"/>
  <c r="L36" i="13"/>
  <c r="M21" i="13"/>
  <c r="M10" i="13"/>
  <c r="L27" i="13"/>
  <c r="M30" i="13"/>
  <c r="M19" i="13"/>
  <c r="M25" i="13"/>
  <c r="M35" i="13"/>
  <c r="L13" i="13"/>
  <c r="L29" i="13"/>
  <c r="L37" i="13"/>
  <c r="M37" i="13"/>
  <c r="M29" i="13"/>
  <c r="M13" i="13"/>
  <c r="L35" i="13"/>
  <c r="L25" i="13"/>
  <c r="L19" i="13"/>
  <c r="L30" i="13"/>
  <c r="M20" i="13"/>
  <c r="M27" i="13"/>
  <c r="M28" i="13"/>
  <c r="M8" i="13"/>
  <c r="L10" i="13"/>
  <c r="L17" i="13"/>
  <c r="L18" i="13"/>
  <c r="L21" i="13"/>
  <c r="L15" i="13"/>
  <c r="L14" i="13"/>
  <c r="M17" i="13"/>
  <c r="L28" i="13"/>
  <c r="L20" i="13"/>
  <c r="X17" i="13" l="1"/>
  <c r="X8" i="13"/>
  <c r="X28" i="13"/>
  <c r="X27" i="13"/>
  <c r="X20" i="13"/>
  <c r="X13" i="13"/>
  <c r="X29" i="13"/>
  <c r="X37" i="13"/>
  <c r="X35" i="13"/>
  <c r="X25" i="13"/>
  <c r="X19" i="13"/>
  <c r="X30" i="13"/>
  <c r="X10" i="13"/>
  <c r="X21" i="13"/>
  <c r="X12" i="13"/>
  <c r="X32" i="13"/>
  <c r="X11" i="13"/>
  <c r="X18" i="13"/>
  <c r="X26" i="13"/>
  <c r="X23" i="13"/>
  <c r="X34" i="13"/>
  <c r="X16" i="13"/>
  <c r="X22" i="13"/>
  <c r="X24" i="13"/>
  <c r="X31" i="13"/>
  <c r="X33" i="13"/>
  <c r="X38" i="13"/>
  <c r="X15" i="13"/>
  <c r="X36" i="13"/>
  <c r="X9" i="13"/>
  <c r="X14" i="13"/>
  <c r="B4" i="13"/>
  <c r="C3" i="5"/>
  <c r="C4" i="5"/>
  <c r="D41" i="4" s="1"/>
  <c r="F6" i="4"/>
  <c r="E15" i="9"/>
  <c r="G15" i="9" s="1"/>
  <c r="I15" i="9"/>
  <c r="F7" i="4"/>
  <c r="R6" i="4"/>
  <c r="O15" i="9"/>
  <c r="Q15" i="9" s="1"/>
  <c r="S15" i="9"/>
  <c r="R7" i="4"/>
  <c r="O16" i="9"/>
  <c r="Q16" i="9" s="1"/>
  <c r="S16" i="9"/>
  <c r="R8" i="4"/>
  <c r="O17" i="9"/>
  <c r="Q17" i="9" s="1"/>
  <c r="S17" i="9"/>
  <c r="R9" i="4"/>
  <c r="O18" i="9"/>
  <c r="Q18" i="9" s="1"/>
  <c r="S18" i="9"/>
  <c r="AL48" i="9"/>
  <c r="AN48" i="9"/>
  <c r="AP48" i="9"/>
  <c r="R10" i="4"/>
  <c r="O19" i="9"/>
  <c r="Q19" i="9" s="1"/>
  <c r="S19" i="9"/>
  <c r="AL49" i="9"/>
  <c r="AN49" i="9"/>
  <c r="AP49" i="9"/>
  <c r="R11" i="4"/>
  <c r="O20" i="9"/>
  <c r="Q20" i="9"/>
  <c r="S20" i="9"/>
  <c r="AL50" i="9"/>
  <c r="AN50" i="9" s="1"/>
  <c r="AP50" i="9"/>
  <c r="R12" i="4"/>
  <c r="O21" i="9"/>
  <c r="Q21" i="9" s="1"/>
  <c r="S21" i="9"/>
  <c r="AL51" i="9"/>
  <c r="AN51" i="9"/>
  <c r="AP51" i="9"/>
  <c r="R13" i="4"/>
  <c r="O22" i="9"/>
  <c r="Q22" i="9" s="1"/>
  <c r="S22" i="9"/>
  <c r="AL52" i="9"/>
  <c r="AN52" i="9"/>
  <c r="AP52" i="9"/>
  <c r="R14" i="4"/>
  <c r="O23" i="9"/>
  <c r="Q23" i="9" s="1"/>
  <c r="S23" i="9"/>
  <c r="AL53" i="9"/>
  <c r="AN53" i="9" s="1"/>
  <c r="AP53" i="9"/>
  <c r="R15" i="4"/>
  <c r="O24" i="9"/>
  <c r="Q24" i="9" s="1"/>
  <c r="S24" i="9"/>
  <c r="AL54" i="9"/>
  <c r="AN54" i="9"/>
  <c r="AP54" i="9"/>
  <c r="R16" i="4"/>
  <c r="O25" i="9"/>
  <c r="Q25" i="9" s="1"/>
  <c r="S25" i="9"/>
  <c r="AL55" i="9"/>
  <c r="AN55" i="9"/>
  <c r="AP55" i="9"/>
  <c r="R17" i="4"/>
  <c r="O26" i="9"/>
  <c r="Q26" i="9" s="1"/>
  <c r="S26" i="9"/>
  <c r="AL56" i="9"/>
  <c r="AN56" i="9"/>
  <c r="AP56" i="9"/>
  <c r="R18" i="4"/>
  <c r="O27" i="9"/>
  <c r="Q27" i="9" s="1"/>
  <c r="S27" i="9"/>
  <c r="AL57" i="9"/>
  <c r="AN57" i="9" s="1"/>
  <c r="AP57" i="9"/>
  <c r="R19" i="4"/>
  <c r="O28" i="9"/>
  <c r="Q28" i="9" s="1"/>
  <c r="S28" i="9"/>
  <c r="AL58" i="9"/>
  <c r="AN58" i="9"/>
  <c r="AP58" i="9"/>
  <c r="V6" i="4"/>
  <c r="AB45" i="9"/>
  <c r="AD45" i="9" s="1"/>
  <c r="AF45" i="9"/>
  <c r="V7" i="4"/>
  <c r="AB46" i="9"/>
  <c r="AD46" i="9" s="1"/>
  <c r="AF46" i="9"/>
  <c r="V8" i="4"/>
  <c r="AB47" i="9"/>
  <c r="AD47" i="9" s="1"/>
  <c r="AF47" i="9"/>
  <c r="V9" i="4"/>
  <c r="AB48" i="9"/>
  <c r="AD48" i="9" s="1"/>
  <c r="AF48" i="9"/>
  <c r="V10" i="4"/>
  <c r="AB49" i="9"/>
  <c r="AD49" i="9" s="1"/>
  <c r="AF49" i="9"/>
  <c r="V11" i="4"/>
  <c r="AB50" i="9"/>
  <c r="AD50" i="9" s="1"/>
  <c r="AF50" i="9"/>
  <c r="V12" i="4"/>
  <c r="AB51" i="9"/>
  <c r="AD51" i="9" s="1"/>
  <c r="AF51" i="9"/>
  <c r="V13" i="4"/>
  <c r="AB52" i="9"/>
  <c r="AD52" i="9" s="1"/>
  <c r="AF52" i="9"/>
  <c r="V14" i="4"/>
  <c r="AB53" i="9"/>
  <c r="AD53" i="9" s="1"/>
  <c r="AF53" i="9"/>
  <c r="V15" i="4"/>
  <c r="AB54" i="9"/>
  <c r="AD54" i="9" s="1"/>
  <c r="AF54" i="9"/>
  <c r="V16" i="4"/>
  <c r="AB55" i="9"/>
  <c r="AD55" i="9" s="1"/>
  <c r="AF55" i="9"/>
  <c r="V17" i="4"/>
  <c r="AB56" i="9"/>
  <c r="AD56" i="9" s="1"/>
  <c r="AF56" i="9"/>
  <c r="V18" i="4"/>
  <c r="AB57" i="9"/>
  <c r="AD57" i="9" s="1"/>
  <c r="AF57" i="9"/>
  <c r="V19" i="4"/>
  <c r="AB58" i="9"/>
  <c r="AD58" i="9" s="1"/>
  <c r="AF58" i="9"/>
  <c r="E16" i="9"/>
  <c r="G16" i="9" s="1"/>
  <c r="I16" i="9"/>
  <c r="F8" i="4"/>
  <c r="E17" i="9"/>
  <c r="G17" i="9" s="1"/>
  <c r="I17" i="9"/>
  <c r="F9" i="4"/>
  <c r="E18" i="9"/>
  <c r="G18" i="9" s="1"/>
  <c r="I18" i="9"/>
  <c r="F10" i="4"/>
  <c r="E19" i="9"/>
  <c r="G19" i="9" s="1"/>
  <c r="I19" i="9"/>
  <c r="F11" i="4"/>
  <c r="E20" i="9"/>
  <c r="G20" i="9" s="1"/>
  <c r="I20" i="9"/>
  <c r="F12" i="4"/>
  <c r="E21" i="9"/>
  <c r="G21" i="9" s="1"/>
  <c r="I21" i="9"/>
  <c r="F13" i="4"/>
  <c r="E22" i="9"/>
  <c r="G22" i="9" s="1"/>
  <c r="I22" i="9"/>
  <c r="F14" i="4"/>
  <c r="E23" i="9"/>
  <c r="G23" i="9"/>
  <c r="I23" i="9"/>
  <c r="F15" i="4"/>
  <c r="E24" i="9"/>
  <c r="G24" i="9" s="1"/>
  <c r="I24" i="9"/>
  <c r="F16" i="4"/>
  <c r="E25" i="9"/>
  <c r="G25" i="9"/>
  <c r="I25" i="9"/>
  <c r="F17" i="4"/>
  <c r="E26" i="9"/>
  <c r="G26" i="9" s="1"/>
  <c r="I26" i="9"/>
  <c r="F18" i="4"/>
  <c r="E27" i="9"/>
  <c r="G27" i="9" s="1"/>
  <c r="I27" i="9"/>
  <c r="F19" i="4"/>
  <c r="E28" i="9"/>
  <c r="G28" i="9" s="1"/>
  <c r="I28" i="9"/>
  <c r="F20" i="4"/>
  <c r="E29" i="9"/>
  <c r="G29" i="9" s="1"/>
  <c r="I29" i="9"/>
  <c r="F21" i="4"/>
  <c r="E30" i="9"/>
  <c r="G30" i="9" s="1"/>
  <c r="I30" i="9"/>
  <c r="F22" i="4"/>
  <c r="E31" i="9"/>
  <c r="G31" i="9" s="1"/>
  <c r="I31" i="9"/>
  <c r="F23" i="4"/>
  <c r="E32" i="9"/>
  <c r="G32" i="9" s="1"/>
  <c r="I32" i="9"/>
  <c r="F24" i="4"/>
  <c r="E33" i="9"/>
  <c r="G33" i="9" s="1"/>
  <c r="I33" i="9"/>
  <c r="F25" i="4"/>
  <c r="E34" i="9"/>
  <c r="G34" i="9" s="1"/>
  <c r="I34" i="9"/>
  <c r="F26" i="4"/>
  <c r="E35" i="9"/>
  <c r="G35" i="9" s="1"/>
  <c r="I35" i="9"/>
  <c r="F27" i="4"/>
  <c r="E36" i="9"/>
  <c r="G36" i="9"/>
  <c r="I36" i="9"/>
  <c r="F28" i="4"/>
  <c r="E37" i="9"/>
  <c r="G37" i="9" s="1"/>
  <c r="I37" i="9"/>
  <c r="AI14" i="4"/>
  <c r="AI15" i="4"/>
  <c r="AI18" i="4"/>
  <c r="F39" i="4"/>
  <c r="E46" i="9"/>
  <c r="G46" i="9" s="1"/>
  <c r="I46" i="9"/>
  <c r="L39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V39" i="4"/>
  <c r="AL46" i="9"/>
  <c r="AN46" i="9" s="1"/>
  <c r="AP46" i="9"/>
  <c r="V40" i="4"/>
  <c r="AL47" i="9"/>
  <c r="AN47" i="9"/>
  <c r="AP47" i="9"/>
  <c r="V41" i="4"/>
  <c r="V42" i="4"/>
  <c r="V43" i="4"/>
  <c r="V44" i="4"/>
  <c r="V45" i="4"/>
  <c r="V46" i="4"/>
  <c r="V47" i="4"/>
  <c r="V48" i="4"/>
  <c r="V49" i="4"/>
  <c r="V50" i="4"/>
  <c r="V51" i="4"/>
  <c r="O45" i="9"/>
  <c r="Q45" i="9"/>
  <c r="S45" i="9"/>
  <c r="P39" i="4"/>
  <c r="L40" i="4"/>
  <c r="O46" i="9"/>
  <c r="Q46" i="9" s="1"/>
  <c r="S46" i="9"/>
  <c r="P40" i="4"/>
  <c r="L41" i="4"/>
  <c r="O47" i="9"/>
  <c r="Q47" i="9" s="1"/>
  <c r="S47" i="9"/>
  <c r="P41" i="4"/>
  <c r="L42" i="4"/>
  <c r="O48" i="9"/>
  <c r="Q48" i="9" s="1"/>
  <c r="S48" i="9"/>
  <c r="P42" i="4"/>
  <c r="L43" i="4"/>
  <c r="O49" i="9"/>
  <c r="Q49" i="9" s="1"/>
  <c r="S49" i="9"/>
  <c r="P43" i="4"/>
  <c r="L44" i="4"/>
  <c r="O50" i="9"/>
  <c r="Q50" i="9" s="1"/>
  <c r="S50" i="9"/>
  <c r="P44" i="4"/>
  <c r="AN14" i="4"/>
  <c r="AN15" i="4"/>
  <c r="AN18" i="4"/>
  <c r="F73" i="4"/>
  <c r="E47" i="9"/>
  <c r="G47" i="9" s="1"/>
  <c r="I47" i="9"/>
  <c r="I73" i="4"/>
  <c r="R73" i="4"/>
  <c r="O75" i="9"/>
  <c r="Q75" i="9" s="1"/>
  <c r="S75" i="9"/>
  <c r="R74" i="4"/>
  <c r="O76" i="9"/>
  <c r="Q76" i="9" s="1"/>
  <c r="S76" i="9"/>
  <c r="R75" i="4"/>
  <c r="O77" i="9"/>
  <c r="Q77" i="9"/>
  <c r="S77" i="9"/>
  <c r="R76" i="4"/>
  <c r="O78" i="9"/>
  <c r="Q78" i="9" s="1"/>
  <c r="S78" i="9"/>
  <c r="R77" i="4"/>
  <c r="O79" i="9"/>
  <c r="Q79" i="9" s="1"/>
  <c r="S79" i="9"/>
  <c r="R78" i="4"/>
  <c r="O80" i="9"/>
  <c r="Q80" i="9" s="1"/>
  <c r="S80" i="9"/>
  <c r="R79" i="4"/>
  <c r="O81" i="9"/>
  <c r="Q81" i="9" s="1"/>
  <c r="S81" i="9"/>
  <c r="R80" i="4"/>
  <c r="O82" i="9"/>
  <c r="Q82" i="9" s="1"/>
  <c r="S82" i="9"/>
  <c r="R81" i="4"/>
  <c r="O83" i="9"/>
  <c r="Q83" i="9" s="1"/>
  <c r="S83" i="9"/>
  <c r="R82" i="4"/>
  <c r="O84" i="9"/>
  <c r="Q84" i="9" s="1"/>
  <c r="S84" i="9"/>
  <c r="R83" i="4"/>
  <c r="O85" i="9"/>
  <c r="Q85" i="9" s="1"/>
  <c r="S85" i="9"/>
  <c r="R84" i="4"/>
  <c r="O86" i="9"/>
  <c r="Q86" i="9" s="1"/>
  <c r="S86" i="9"/>
  <c r="R85" i="4"/>
  <c r="O87" i="9"/>
  <c r="Q87" i="9" s="1"/>
  <c r="S87" i="9"/>
  <c r="R86" i="4"/>
  <c r="O88" i="9"/>
  <c r="Q88" i="9" s="1"/>
  <c r="S88" i="9"/>
  <c r="R87" i="4"/>
  <c r="O89" i="9"/>
  <c r="Q89" i="9" s="1"/>
  <c r="S89" i="9"/>
  <c r="E75" i="9"/>
  <c r="G75" i="9"/>
  <c r="I75" i="9"/>
  <c r="I74" i="4"/>
  <c r="E76" i="9"/>
  <c r="G76" i="9"/>
  <c r="I76" i="9"/>
  <c r="I75" i="4"/>
  <c r="E77" i="9"/>
  <c r="G77" i="9"/>
  <c r="I77" i="9"/>
  <c r="F10" i="11"/>
  <c r="F3" i="11"/>
  <c r="F7" i="11"/>
  <c r="F12" i="11"/>
  <c r="F23" i="11"/>
  <c r="F29" i="11"/>
  <c r="O23" i="11"/>
  <c r="O24" i="11"/>
  <c r="J23" i="11"/>
  <c r="O25" i="11"/>
  <c r="O26" i="11"/>
  <c r="O27" i="11"/>
  <c r="O28" i="11"/>
  <c r="O31" i="11"/>
  <c r="O32" i="11"/>
  <c r="O33" i="11"/>
  <c r="N11" i="11"/>
  <c r="I8" i="11"/>
  <c r="J8" i="11"/>
  <c r="J9" i="11"/>
  <c r="J11" i="11"/>
  <c r="C38" i="11" s="1"/>
  <c r="I23" i="11"/>
  <c r="I24" i="11"/>
  <c r="J24" i="11"/>
  <c r="I25" i="11"/>
  <c r="I34" i="11"/>
  <c r="I40" i="11"/>
  <c r="I41" i="11"/>
  <c r="P23" i="8"/>
  <c r="U23" i="8"/>
  <c r="U24" i="8"/>
  <c r="U25" i="8"/>
  <c r="P24" i="8"/>
  <c r="U26" i="8"/>
  <c r="U27" i="8"/>
  <c r="U28" i="8"/>
  <c r="U29" i="8"/>
  <c r="U32" i="8"/>
  <c r="U33" i="8"/>
  <c r="U34" i="8"/>
  <c r="C37" i="11"/>
  <c r="T12" i="8"/>
  <c r="J4" i="8"/>
  <c r="J11" i="8"/>
  <c r="J29" i="8"/>
  <c r="O23" i="8"/>
  <c r="E45" i="9"/>
  <c r="G45" i="9" s="1"/>
  <c r="I45" i="9"/>
  <c r="AP45" i="9"/>
  <c r="AL45" i="9"/>
  <c r="AN45" i="9" s="1"/>
  <c r="O26" i="8"/>
  <c r="P9" i="8"/>
  <c r="O9" i="8"/>
  <c r="O24" i="8"/>
  <c r="O25" i="8"/>
  <c r="P21" i="8"/>
  <c r="P25" i="8"/>
  <c r="J7" i="8"/>
  <c r="P12" i="8"/>
  <c r="C4" i="13"/>
  <c r="J77" i="9"/>
  <c r="J35" i="9"/>
  <c r="J27" i="9"/>
  <c r="J19" i="9"/>
  <c r="J22" i="9"/>
  <c r="J21" i="9"/>
  <c r="J20" i="9"/>
  <c r="J76" i="9"/>
  <c r="J34" i="9"/>
  <c r="J26" i="9"/>
  <c r="J18" i="9"/>
  <c r="J75" i="9"/>
  <c r="J33" i="9"/>
  <c r="J25" i="9"/>
  <c r="J17" i="9"/>
  <c r="J47" i="9"/>
  <c r="J32" i="9"/>
  <c r="J24" i="9"/>
  <c r="J16" i="9"/>
  <c r="J37" i="9"/>
  <c r="J28" i="9"/>
  <c r="J46" i="9"/>
  <c r="J31" i="9"/>
  <c r="J23" i="9"/>
  <c r="J15" i="9"/>
  <c r="J45" i="9"/>
  <c r="J30" i="9"/>
  <c r="J29" i="9"/>
  <c r="J36" i="9"/>
  <c r="J14" i="13"/>
  <c r="J9" i="13"/>
  <c r="J36" i="13"/>
  <c r="J15" i="13"/>
  <c r="J38" i="13"/>
  <c r="J16" i="13"/>
  <c r="J23" i="13"/>
  <c r="J10" i="13"/>
  <c r="J30" i="13"/>
  <c r="J35" i="13"/>
  <c r="J11" i="13"/>
  <c r="J33" i="13"/>
  <c r="J31" i="13"/>
  <c r="J24" i="13"/>
  <c r="J34" i="13"/>
  <c r="J17" i="13"/>
  <c r="J25" i="13"/>
  <c r="J8" i="13"/>
  <c r="J32" i="13"/>
  <c r="J26" i="13"/>
  <c r="J12" i="13"/>
  <c r="J21" i="13"/>
  <c r="J18" i="13"/>
  <c r="J19" i="13"/>
  <c r="J28" i="13"/>
  <c r="J37" i="13"/>
  <c r="J29" i="13"/>
  <c r="J13" i="13"/>
  <c r="J20" i="13"/>
  <c r="J27" i="13"/>
  <c r="J22" i="13"/>
  <c r="Q22" i="13"/>
  <c r="Q24" i="13"/>
  <c r="Q31" i="13"/>
  <c r="Q33" i="13"/>
  <c r="Q11" i="13"/>
  <c r="Q38" i="13"/>
  <c r="Q15" i="13"/>
  <c r="Q36" i="13"/>
  <c r="Q9" i="13"/>
  <c r="Q14" i="13"/>
  <c r="Q8" i="13"/>
  <c r="Q27" i="13"/>
  <c r="Q13" i="13"/>
  <c r="Q29" i="13"/>
  <c r="Q37" i="13"/>
  <c r="Q35" i="13"/>
  <c r="Q25" i="13"/>
  <c r="Q19" i="13"/>
  <c r="Q30" i="13"/>
  <c r="Q10" i="13"/>
  <c r="Q17" i="13"/>
  <c r="Q18" i="13"/>
  <c r="Q21" i="13"/>
  <c r="Q12" i="13"/>
  <c r="Q26" i="13"/>
  <c r="Q32" i="13"/>
  <c r="Q23" i="13"/>
  <c r="Q34" i="13"/>
  <c r="Q16" i="13"/>
  <c r="Q28" i="13"/>
  <c r="Q20" i="13"/>
  <c r="F18" i="11"/>
  <c r="V38" i="8"/>
  <c r="T78" i="9"/>
  <c r="F19" i="11"/>
  <c r="F34" i="11"/>
  <c r="V39" i="8"/>
  <c r="AG49" i="9"/>
  <c r="T86" i="9"/>
  <c r="F22" i="11"/>
  <c r="W47" i="9"/>
  <c r="F20" i="11"/>
  <c r="P39" i="11"/>
  <c r="V40" i="8"/>
  <c r="P37" i="11"/>
  <c r="AG53" i="9"/>
  <c r="AG57" i="9"/>
  <c r="V50" i="9"/>
  <c r="T82" i="9"/>
  <c r="P38" i="11"/>
  <c r="T46" i="9"/>
  <c r="C13" i="11"/>
  <c r="F21" i="11"/>
  <c r="V41" i="8"/>
  <c r="AG45" i="9"/>
  <c r="V42" i="8"/>
  <c r="V45" i="9"/>
  <c r="P41" i="11"/>
  <c r="AQ51" i="9"/>
  <c r="AQ53" i="9"/>
  <c r="AQ55" i="9"/>
  <c r="AQ57" i="9"/>
  <c r="W45" i="9"/>
  <c r="F17" i="11"/>
  <c r="F31" i="11"/>
  <c r="T16" i="9"/>
  <c r="F35" i="11"/>
  <c r="P40" i="11"/>
  <c r="P42" i="11"/>
  <c r="N38" i="13"/>
  <c r="N15" i="13"/>
  <c r="N36" i="13"/>
  <c r="N9" i="13"/>
  <c r="N14" i="13"/>
  <c r="K37" i="13"/>
  <c r="K29" i="13"/>
  <c r="K13" i="13"/>
  <c r="I16" i="13"/>
  <c r="I34" i="13"/>
  <c r="I23" i="13"/>
  <c r="I32" i="13"/>
  <c r="H14" i="13"/>
  <c r="H9" i="13"/>
  <c r="H36" i="13"/>
  <c r="H15" i="13"/>
  <c r="H38" i="13"/>
  <c r="F12" i="13"/>
  <c r="F26" i="13"/>
  <c r="E35" i="13"/>
  <c r="E25" i="13"/>
  <c r="E19" i="13"/>
  <c r="E30" i="13"/>
  <c r="C8" i="13"/>
  <c r="C28" i="13"/>
  <c r="C27" i="13"/>
  <c r="C20" i="13"/>
  <c r="D22" i="13"/>
  <c r="D24" i="13"/>
  <c r="D31" i="13"/>
  <c r="D33" i="13"/>
  <c r="D11" i="13"/>
  <c r="N8" i="13"/>
  <c r="N28" i="13"/>
  <c r="N27" i="13"/>
  <c r="N20" i="13"/>
  <c r="N22" i="13"/>
  <c r="K20" i="13"/>
  <c r="K27" i="13"/>
  <c r="K28" i="13"/>
  <c r="K8" i="13"/>
  <c r="I26" i="13"/>
  <c r="I12" i="13"/>
  <c r="H11" i="13"/>
  <c r="H33" i="13"/>
  <c r="H31" i="13"/>
  <c r="H24" i="13"/>
  <c r="H22" i="13"/>
  <c r="F32" i="13"/>
  <c r="F23" i="13"/>
  <c r="F34" i="13"/>
  <c r="F16" i="13"/>
  <c r="E10" i="13"/>
  <c r="E17" i="13"/>
  <c r="E18" i="13"/>
  <c r="E21" i="13"/>
  <c r="C13" i="13"/>
  <c r="C29" i="13"/>
  <c r="C37" i="13"/>
  <c r="D38" i="13"/>
  <c r="D15" i="13"/>
  <c r="D36" i="13"/>
  <c r="D9" i="13"/>
  <c r="D14" i="13"/>
  <c r="N13" i="13"/>
  <c r="N29" i="13"/>
  <c r="N37" i="13"/>
  <c r="K14" i="13"/>
  <c r="K9" i="13"/>
  <c r="K36" i="13"/>
  <c r="K15" i="13"/>
  <c r="K38" i="13"/>
  <c r="I21" i="13"/>
  <c r="I18" i="13"/>
  <c r="I17" i="13"/>
  <c r="I10" i="13"/>
  <c r="H16" i="13"/>
  <c r="H34" i="13"/>
  <c r="H23" i="13"/>
  <c r="H32" i="13"/>
  <c r="F22" i="13"/>
  <c r="F24" i="13"/>
  <c r="F31" i="13"/>
  <c r="F33" i="13"/>
  <c r="F11" i="13"/>
  <c r="E12" i="13"/>
  <c r="E26" i="13"/>
  <c r="C35" i="13"/>
  <c r="C25" i="13"/>
  <c r="C19" i="13"/>
  <c r="C30" i="13"/>
  <c r="D8" i="13"/>
  <c r="D28" i="13"/>
  <c r="D27" i="13"/>
  <c r="D20" i="13"/>
  <c r="N35" i="13"/>
  <c r="N25" i="13"/>
  <c r="N19" i="13"/>
  <c r="N30" i="13"/>
  <c r="K11" i="13"/>
  <c r="K33" i="13"/>
  <c r="K31" i="13"/>
  <c r="K24" i="13"/>
  <c r="K22" i="13"/>
  <c r="I30" i="13"/>
  <c r="I19" i="13"/>
  <c r="I25" i="13"/>
  <c r="I35" i="13"/>
  <c r="H26" i="13"/>
  <c r="H12" i="13"/>
  <c r="F38" i="13"/>
  <c r="F15" i="13"/>
  <c r="F36" i="13"/>
  <c r="F9" i="13"/>
  <c r="F14" i="13"/>
  <c r="E32" i="13"/>
  <c r="E23" i="13"/>
  <c r="E34" i="13"/>
  <c r="E16" i="13"/>
  <c r="C10" i="13"/>
  <c r="C17" i="13"/>
  <c r="C18" i="13"/>
  <c r="C21" i="13"/>
  <c r="D13" i="13"/>
  <c r="D29" i="13"/>
  <c r="D37" i="13"/>
  <c r="N10" i="13"/>
  <c r="N18" i="13"/>
  <c r="K16" i="13"/>
  <c r="K23" i="13"/>
  <c r="I37" i="13"/>
  <c r="I13" i="13"/>
  <c r="H18" i="13"/>
  <c r="H10" i="13"/>
  <c r="F28" i="13"/>
  <c r="F20" i="13"/>
  <c r="E24" i="13"/>
  <c r="E33" i="13"/>
  <c r="C12" i="13"/>
  <c r="C26" i="13"/>
  <c r="D35" i="13"/>
  <c r="D19" i="13"/>
  <c r="G18" i="8"/>
  <c r="H42" i="8"/>
  <c r="N12" i="13"/>
  <c r="N26" i="13"/>
  <c r="I27" i="13"/>
  <c r="I8" i="13"/>
  <c r="H19" i="13"/>
  <c r="H35" i="13"/>
  <c r="F29" i="13"/>
  <c r="E15" i="13"/>
  <c r="E9" i="13"/>
  <c r="C32" i="13"/>
  <c r="C34" i="13"/>
  <c r="D10" i="13"/>
  <c r="D18" i="13"/>
  <c r="H18" i="8"/>
  <c r="G35" i="8"/>
  <c r="N32" i="13"/>
  <c r="N34" i="13"/>
  <c r="K21" i="13"/>
  <c r="K17" i="13"/>
  <c r="I14" i="13"/>
  <c r="I36" i="13"/>
  <c r="I38" i="13"/>
  <c r="H37" i="13"/>
  <c r="H13" i="13"/>
  <c r="F25" i="13"/>
  <c r="F30" i="13"/>
  <c r="E28" i="13"/>
  <c r="E20" i="13"/>
  <c r="C24" i="13"/>
  <c r="C33" i="13"/>
  <c r="D12" i="13"/>
  <c r="D26" i="13"/>
  <c r="AI6" i="4"/>
  <c r="H6" i="8"/>
  <c r="H35" i="8"/>
  <c r="G32" i="8"/>
  <c r="K26" i="13"/>
  <c r="K12" i="13"/>
  <c r="I20" i="13"/>
  <c r="I28" i="13"/>
  <c r="H30" i="13"/>
  <c r="H25" i="13"/>
  <c r="F13" i="13"/>
  <c r="F37" i="13"/>
  <c r="E38" i="13"/>
  <c r="E36" i="13"/>
  <c r="E14" i="13"/>
  <c r="C23" i="13"/>
  <c r="C16" i="13"/>
  <c r="D17" i="13"/>
  <c r="D21" i="13"/>
  <c r="N24" i="13"/>
  <c r="K30" i="13"/>
  <c r="I11" i="13"/>
  <c r="I22" i="13"/>
  <c r="H8" i="13"/>
  <c r="F21" i="13"/>
  <c r="C9" i="13"/>
  <c r="D34" i="13"/>
  <c r="G20" i="8"/>
  <c r="G14" i="8"/>
  <c r="H32" i="8"/>
  <c r="G37" i="8"/>
  <c r="H20" i="8"/>
  <c r="H22" i="8"/>
  <c r="N17" i="13"/>
  <c r="K34" i="13"/>
  <c r="H21" i="13"/>
  <c r="F8" i="13"/>
  <c r="E22" i="13"/>
  <c r="E11" i="13"/>
  <c r="D30" i="13"/>
  <c r="AN6" i="4"/>
  <c r="G36" i="8"/>
  <c r="H39" i="8"/>
  <c r="G25" i="8"/>
  <c r="H15" i="8"/>
  <c r="H27" i="8"/>
  <c r="H45" i="8"/>
  <c r="H25" i="8"/>
  <c r="N23" i="13"/>
  <c r="K18" i="13"/>
  <c r="I9" i="13"/>
  <c r="F35" i="13"/>
  <c r="E8" i="13"/>
  <c r="C22" i="13"/>
  <c r="C11" i="13"/>
  <c r="G6" i="8"/>
  <c r="H36" i="8"/>
  <c r="G43" i="8"/>
  <c r="G9" i="8"/>
  <c r="G21" i="8"/>
  <c r="G23" i="8"/>
  <c r="H44" i="8"/>
  <c r="G33" i="8"/>
  <c r="N21" i="13"/>
  <c r="K32" i="13"/>
  <c r="I29" i="13"/>
  <c r="H17" i="13"/>
  <c r="F27" i="13"/>
  <c r="E31" i="13"/>
  <c r="D25" i="13"/>
  <c r="G17" i="8"/>
  <c r="H16" i="8"/>
  <c r="H41" i="8"/>
  <c r="H14" i="8"/>
  <c r="G38" i="8"/>
  <c r="G39" i="8"/>
  <c r="G26" i="8"/>
  <c r="H40" i="8"/>
  <c r="N31" i="13"/>
  <c r="H20" i="13"/>
  <c r="E13" i="13"/>
  <c r="C14" i="13"/>
  <c r="H34" i="8"/>
  <c r="G15" i="8"/>
  <c r="H23" i="8"/>
  <c r="H19" i="8"/>
  <c r="N33" i="13"/>
  <c r="H27" i="13"/>
  <c r="E29" i="13"/>
  <c r="D32" i="13"/>
  <c r="H26" i="8"/>
  <c r="H24" i="8"/>
  <c r="H21" i="8"/>
  <c r="N16" i="13"/>
  <c r="H29" i="13"/>
  <c r="E27" i="13"/>
  <c r="H13" i="8"/>
  <c r="H43" i="8"/>
  <c r="G19" i="8"/>
  <c r="N11" i="13"/>
  <c r="H28" i="13"/>
  <c r="E37" i="13"/>
  <c r="D23" i="13"/>
  <c r="H17" i="8"/>
  <c r="H38" i="8"/>
  <c r="H33" i="8"/>
  <c r="H9" i="8"/>
  <c r="K19" i="13"/>
  <c r="F10" i="13"/>
  <c r="D16" i="13"/>
  <c r="G24" i="8"/>
  <c r="K25" i="13"/>
  <c r="F17" i="13"/>
  <c r="G41" i="8"/>
  <c r="B11" i="10"/>
  <c r="B9" i="10"/>
  <c r="B5" i="10"/>
  <c r="B20" i="10"/>
  <c r="B12" i="10"/>
  <c r="B34" i="10"/>
  <c r="B23" i="10"/>
  <c r="K10" i="13"/>
  <c r="F19" i="13"/>
  <c r="G44" i="8"/>
  <c r="C11" i="10"/>
  <c r="M11" i="10" s="1"/>
  <c r="C9" i="10"/>
  <c r="M9" i="10" s="1"/>
  <c r="C5" i="10"/>
  <c r="C20" i="10"/>
  <c r="C12" i="10"/>
  <c r="C34" i="10"/>
  <c r="C23" i="10"/>
  <c r="K35" i="13"/>
  <c r="F18" i="13"/>
  <c r="AD6" i="4"/>
  <c r="G16" i="8"/>
  <c r="G27" i="8"/>
  <c r="B25" i="10"/>
  <c r="B14" i="10"/>
  <c r="B27" i="10"/>
  <c r="B24" i="10"/>
  <c r="M20" i="10"/>
  <c r="I31" i="13"/>
  <c r="C15" i="13"/>
  <c r="G31" i="8"/>
  <c r="G45" i="8"/>
  <c r="B33" i="10"/>
  <c r="B22" i="10"/>
  <c r="B7" i="10"/>
  <c r="B36" i="10"/>
  <c r="B31" i="10"/>
  <c r="B29" i="10"/>
  <c r="B26" i="10"/>
  <c r="I15" i="13"/>
  <c r="C31" i="13"/>
  <c r="I33" i="13"/>
  <c r="G40" i="8"/>
  <c r="O9" i="10"/>
  <c r="B8" i="10"/>
  <c r="B32" i="10"/>
  <c r="B13" i="10"/>
  <c r="B6" i="10"/>
  <c r="C24" i="10"/>
  <c r="M24" i="10" s="1"/>
  <c r="B30" i="10"/>
  <c r="I24" i="13"/>
  <c r="G22" i="8"/>
  <c r="C25" i="10"/>
  <c r="M25" i="10" s="1"/>
  <c r="C27" i="10"/>
  <c r="M27" i="10" s="1"/>
  <c r="O20" i="10"/>
  <c r="C32" i="10"/>
  <c r="M32" i="10" s="1"/>
  <c r="B28" i="10"/>
  <c r="C14" i="10"/>
  <c r="M14" i="10" s="1"/>
  <c r="C7" i="10"/>
  <c r="M7" i="10" s="1"/>
  <c r="O7" i="10" s="1"/>
  <c r="C38" i="13"/>
  <c r="G13" i="8"/>
  <c r="O25" i="10"/>
  <c r="C22" i="10"/>
  <c r="O27" i="10"/>
  <c r="B35" i="10"/>
  <c r="B10" i="10"/>
  <c r="O32" i="10"/>
  <c r="M23" i="10"/>
  <c r="O23" i="10" s="1"/>
  <c r="C35" i="10"/>
  <c r="M35" i="10" s="1"/>
  <c r="O35" i="10" s="1"/>
  <c r="M5" i="10"/>
  <c r="O5" i="10" s="1"/>
  <c r="C29" i="10"/>
  <c r="M29" i="10" s="1"/>
  <c r="O29" i="10" s="1"/>
  <c r="G34" i="8"/>
  <c r="O14" i="10"/>
  <c r="B21" i="10"/>
  <c r="O24" i="10"/>
  <c r="C30" i="10"/>
  <c r="M30" i="10" s="1"/>
  <c r="O30" i="10" s="1"/>
  <c r="C36" i="13"/>
  <c r="H31" i="8"/>
  <c r="M22" i="10"/>
  <c r="O22" i="10" s="1"/>
  <c r="C36" i="10"/>
  <c r="C26" i="10"/>
  <c r="M26" i="10" s="1"/>
  <c r="O26" i="10" s="1"/>
  <c r="O11" i="10"/>
  <c r="M36" i="10"/>
  <c r="O36" i="10" s="1"/>
  <c r="M34" i="10"/>
  <c r="O34" i="10"/>
  <c r="G42" i="8"/>
  <c r="C33" i="10"/>
  <c r="M12" i="10"/>
  <c r="O12" i="10" s="1"/>
  <c r="H37" i="8"/>
  <c r="M33" i="10"/>
  <c r="O33" i="10" s="1"/>
  <c r="C31" i="10"/>
  <c r="M31" i="10" s="1"/>
  <c r="O31" i="10" s="1"/>
  <c r="C8" i="10"/>
  <c r="M8" i="10" s="1"/>
  <c r="O8" i="10" s="1"/>
  <c r="C13" i="10"/>
  <c r="M13" i="10" s="1"/>
  <c r="O13" i="10" s="1"/>
  <c r="C6" i="10"/>
  <c r="M6" i="10" s="1"/>
  <c r="O6" i="10" s="1"/>
  <c r="C28" i="10"/>
  <c r="M28" i="10" s="1"/>
  <c r="O28" i="10" s="1"/>
  <c r="C10" i="10"/>
  <c r="M10" i="10" s="1"/>
  <c r="O10" i="10" s="1"/>
  <c r="C21" i="10"/>
  <c r="M21" i="10" s="1"/>
  <c r="O21" i="10" s="1"/>
  <c r="I32" i="11" l="1"/>
  <c r="J73" i="4"/>
  <c r="O7" i="4"/>
  <c r="S7" i="4" s="1"/>
  <c r="I39" i="11"/>
  <c r="N39" i="4"/>
  <c r="G28" i="4"/>
  <c r="G24" i="4"/>
  <c r="G20" i="4"/>
  <c r="G16" i="4"/>
  <c r="P14" i="10" s="1"/>
  <c r="G12" i="4"/>
  <c r="P10" i="10" s="1"/>
  <c r="Q10" i="10" s="1"/>
  <c r="G8" i="4"/>
  <c r="P6" i="10" s="1"/>
  <c r="Q6" i="10" s="1"/>
  <c r="P18" i="4"/>
  <c r="W50" i="4"/>
  <c r="P16" i="4"/>
  <c r="W48" i="4"/>
  <c r="P14" i="4"/>
  <c r="W46" i="4"/>
  <c r="P12" i="4"/>
  <c r="W44" i="4"/>
  <c r="M39" i="4"/>
  <c r="G13" i="4"/>
  <c r="P11" i="10" s="1"/>
  <c r="Q11" i="10" s="1"/>
  <c r="W6" i="4"/>
  <c r="I22" i="11"/>
  <c r="J22" i="11" s="1"/>
  <c r="O22" i="11" s="1"/>
  <c r="C24" i="11"/>
  <c r="O40" i="4"/>
  <c r="G25" i="4"/>
  <c r="G21" i="4"/>
  <c r="G17" i="4"/>
  <c r="S80" i="4"/>
  <c r="P29" i="10" s="1"/>
  <c r="M44" i="4"/>
  <c r="W18" i="4"/>
  <c r="S50" i="4"/>
  <c r="S46" i="4"/>
  <c r="W14" i="4"/>
  <c r="I33" i="11"/>
  <c r="N41" i="4"/>
  <c r="I15" i="11"/>
  <c r="S84" i="4"/>
  <c r="P33" i="10" s="1"/>
  <c r="Q33" i="10" s="1"/>
  <c r="W10" i="4"/>
  <c r="S42" i="4"/>
  <c r="I21" i="11"/>
  <c r="J21" i="11" s="1"/>
  <c r="G9" i="4"/>
  <c r="P7" i="10" s="1"/>
  <c r="Q7" i="10" s="1"/>
  <c r="S76" i="4"/>
  <c r="P25" i="10" s="1"/>
  <c r="Q25" i="10" s="1"/>
  <c r="I42" i="8"/>
  <c r="J42" i="8" s="1"/>
  <c r="Q14" i="10"/>
  <c r="I34" i="8"/>
  <c r="J34" i="8" s="1"/>
  <c r="Q29" i="10"/>
  <c r="I13" i="8"/>
  <c r="J13" i="8" s="1"/>
  <c r="I22" i="8"/>
  <c r="J22" i="8" s="1"/>
  <c r="I40" i="8"/>
  <c r="J40" i="8" s="1"/>
  <c r="I45" i="8"/>
  <c r="J45" i="8" s="1"/>
  <c r="I31" i="8"/>
  <c r="J31" i="8" s="1"/>
  <c r="I27" i="8"/>
  <c r="J27" i="8" s="1"/>
  <c r="I16" i="8"/>
  <c r="J16" i="8" s="1"/>
  <c r="D21" i="4"/>
  <c r="I44" i="8"/>
  <c r="J44" i="8" s="1"/>
  <c r="I41" i="8"/>
  <c r="J41" i="8" s="1"/>
  <c r="I24" i="8"/>
  <c r="J24" i="8" s="1"/>
  <c r="I19" i="8"/>
  <c r="J19" i="8" s="1"/>
  <c r="I15" i="8"/>
  <c r="J15" i="8" s="1"/>
  <c r="I26" i="8"/>
  <c r="J26" i="8" s="1"/>
  <c r="I39" i="8"/>
  <c r="J39" i="8" s="1"/>
  <c r="I38" i="8"/>
  <c r="J38" i="8" s="1"/>
  <c r="I17" i="8"/>
  <c r="J17" i="8" s="1"/>
  <c r="I33" i="8"/>
  <c r="J33" i="8" s="1"/>
  <c r="I23" i="8"/>
  <c r="J23" i="8" s="1"/>
  <c r="I21" i="8"/>
  <c r="J21" i="8" s="1"/>
  <c r="I9" i="8"/>
  <c r="J9" i="8" s="1"/>
  <c r="F9" i="8" s="1"/>
  <c r="I43" i="8"/>
  <c r="J43" i="8" s="1"/>
  <c r="I6" i="8"/>
  <c r="J6" i="8" s="1"/>
  <c r="F6" i="8" s="1"/>
  <c r="I25" i="8"/>
  <c r="J25" i="8" s="1"/>
  <c r="I36" i="8"/>
  <c r="J36" i="8" s="1"/>
  <c r="D89" i="4"/>
  <c r="I37" i="8"/>
  <c r="J37" i="8" s="1"/>
  <c r="I14" i="8"/>
  <c r="J14" i="8" s="1"/>
  <c r="I20" i="8"/>
  <c r="J20" i="8" s="1"/>
  <c r="I32" i="8"/>
  <c r="J32" i="8" s="1"/>
  <c r="D55" i="4"/>
  <c r="I35" i="8"/>
  <c r="J35" i="8" s="1"/>
  <c r="I18" i="8"/>
  <c r="J18" i="8" s="1"/>
  <c r="C3" i="11"/>
  <c r="C4" i="8"/>
  <c r="D9" i="4"/>
  <c r="D75" i="4"/>
  <c r="P8" i="13"/>
  <c r="P11" i="13"/>
  <c r="P30" i="13"/>
  <c r="P22" i="13"/>
  <c r="P15" i="13"/>
  <c r="P19" i="13"/>
  <c r="P20" i="13"/>
  <c r="P38" i="13"/>
  <c r="T38" i="13" s="1"/>
  <c r="P31" i="13"/>
  <c r="P28" i="13"/>
  <c r="P16" i="13"/>
  <c r="P35" i="13"/>
  <c r="P33" i="13"/>
  <c r="P34" i="13"/>
  <c r="P25" i="13"/>
  <c r="P21" i="13"/>
  <c r="P23" i="13"/>
  <c r="P12" i="13"/>
  <c r="P37" i="13"/>
  <c r="P14" i="13"/>
  <c r="P17" i="13"/>
  <c r="P18" i="13"/>
  <c r="P29" i="13"/>
  <c r="P9" i="13"/>
  <c r="P24" i="13"/>
  <c r="P10" i="13"/>
  <c r="T10" i="13" s="1"/>
  <c r="P13" i="13"/>
  <c r="P36" i="13"/>
  <c r="P27" i="13"/>
  <c r="P32" i="13"/>
  <c r="P26" i="13"/>
  <c r="T17" i="9"/>
  <c r="V48" i="9"/>
  <c r="T20" i="9"/>
  <c r="AQ46" i="9"/>
  <c r="AQ54" i="9"/>
  <c r="W46" i="9"/>
  <c r="T23" i="9"/>
  <c r="T84" i="9"/>
  <c r="AG51" i="9"/>
  <c r="T85" i="9"/>
  <c r="T50" i="9"/>
  <c r="AQ58" i="9"/>
  <c r="V47" i="9"/>
  <c r="AQ47" i="9"/>
  <c r="AQ45" i="9"/>
  <c r="AG56" i="9"/>
  <c r="T18" i="9"/>
  <c r="AQ52" i="9"/>
  <c r="T45" i="9"/>
  <c r="T21" i="9"/>
  <c r="T80" i="9"/>
  <c r="AG47" i="9"/>
  <c r="AG54" i="9"/>
  <c r="T24" i="9"/>
  <c r="T27" i="9"/>
  <c r="T49" i="9"/>
  <c r="T75" i="9"/>
  <c r="T89" i="9"/>
  <c r="AG52" i="9"/>
  <c r="AQ50" i="9"/>
  <c r="AG58" i="9"/>
  <c r="T19" i="9"/>
  <c r="T76" i="9"/>
  <c r="AG48" i="9"/>
  <c r="AQ48" i="9"/>
  <c r="W48" i="9"/>
  <c r="AG46" i="9"/>
  <c r="V46" i="9"/>
  <c r="W50" i="9"/>
  <c r="T79" i="9"/>
  <c r="V49" i="9"/>
  <c r="T22" i="9"/>
  <c r="T25" i="9"/>
  <c r="AG55" i="9"/>
  <c r="N14" i="11"/>
  <c r="N15" i="11" s="1"/>
  <c r="T81" i="9"/>
  <c r="T28" i="9"/>
  <c r="T87" i="9"/>
  <c r="AG50" i="9"/>
  <c r="T47" i="9"/>
  <c r="T77" i="9"/>
  <c r="T26" i="9"/>
  <c r="W49" i="9"/>
  <c r="T83" i="9"/>
  <c r="T48" i="9"/>
  <c r="T15" i="9"/>
  <c r="AQ49" i="9"/>
  <c r="AQ56" i="9"/>
  <c r="T88" i="9"/>
  <c r="S29" i="13"/>
  <c r="W18" i="13"/>
  <c r="R26" i="13"/>
  <c r="V10" i="13"/>
  <c r="V14" i="13"/>
  <c r="R20" i="13"/>
  <c r="W10" i="13"/>
  <c r="R23" i="13"/>
  <c r="W17" i="13"/>
  <c r="S14" i="13"/>
  <c r="S26" i="13"/>
  <c r="R32" i="13"/>
  <c r="R21" i="13"/>
  <c r="W23" i="13"/>
  <c r="R22" i="13"/>
  <c r="W26" i="13"/>
  <c r="S35" i="13"/>
  <c r="W14" i="13"/>
  <c r="V33" i="13"/>
  <c r="V18" i="13"/>
  <c r="V23" i="13"/>
  <c r="V26" i="13"/>
  <c r="R13" i="13"/>
  <c r="W32" i="13"/>
  <c r="S22" i="13"/>
  <c r="W29" i="13"/>
  <c r="S24" i="13"/>
  <c r="R37" i="13"/>
  <c r="S17" i="13"/>
  <c r="V32" i="13"/>
  <c r="R36" i="13"/>
  <c r="V22" i="13"/>
  <c r="W24" i="13"/>
  <c r="V19" i="13"/>
  <c r="S20" i="13"/>
  <c r="W34" i="13"/>
  <c r="R8" i="13"/>
  <c r="W12" i="13"/>
  <c r="W21" i="13"/>
  <c r="S33" i="13"/>
  <c r="W31" i="13"/>
  <c r="V12" i="13"/>
  <c r="R18" i="13"/>
  <c r="C7" i="11"/>
  <c r="V37" i="13"/>
  <c r="S10" i="13"/>
  <c r="W35" i="13"/>
  <c r="W9" i="13"/>
  <c r="S23" i="13"/>
  <c r="R33" i="13"/>
  <c r="V30" i="13"/>
  <c r="C8" i="8"/>
  <c r="R29" i="13"/>
  <c r="S38" i="13"/>
  <c r="R10" i="13"/>
  <c r="S32" i="13"/>
  <c r="S15" i="13"/>
  <c r="S8" i="13"/>
  <c r="R35" i="13"/>
  <c r="V24" i="13"/>
  <c r="S18" i="13"/>
  <c r="R9" i="13"/>
  <c r="W30" i="13"/>
  <c r="V29" i="13"/>
  <c r="R17" i="13"/>
  <c r="V17" i="13"/>
  <c r="W13" i="13"/>
  <c r="V13" i="13"/>
  <c r="S13" i="13"/>
  <c r="R14" i="13"/>
  <c r="V20" i="13"/>
  <c r="W20" i="13"/>
  <c r="W33" i="13"/>
  <c r="V35" i="13"/>
  <c r="S21" i="13"/>
  <c r="V21" i="13"/>
  <c r="R12" i="13"/>
  <c r="S12" i="13"/>
  <c r="R30" i="13"/>
  <c r="S30" i="13"/>
  <c r="W22" i="13"/>
  <c r="S9" i="13"/>
  <c r="V9" i="13"/>
  <c r="W19" i="13"/>
  <c r="R19" i="13"/>
  <c r="S19" i="13"/>
  <c r="S36" i="13"/>
  <c r="V36" i="13"/>
  <c r="W36" i="13"/>
  <c r="S31" i="13"/>
  <c r="R31" i="13"/>
  <c r="V31" i="13"/>
  <c r="R24" i="13"/>
  <c r="V8" i="13"/>
  <c r="W8" i="13"/>
  <c r="V34" i="13"/>
  <c r="S34" i="13"/>
  <c r="R34" i="13"/>
  <c r="W37" i="13"/>
  <c r="S37" i="13"/>
  <c r="W15" i="13"/>
  <c r="V15" i="13"/>
  <c r="R15" i="13"/>
  <c r="S28" i="13"/>
  <c r="V28" i="13"/>
  <c r="R28" i="13"/>
  <c r="W28" i="13"/>
  <c r="W38" i="13"/>
  <c r="V38" i="13"/>
  <c r="R38" i="13"/>
  <c r="V11" i="13"/>
  <c r="S11" i="13"/>
  <c r="R11" i="13"/>
  <c r="W11" i="13"/>
  <c r="V16" i="13"/>
  <c r="S16" i="13"/>
  <c r="R16" i="13"/>
  <c r="W16" i="13"/>
  <c r="V25" i="13"/>
  <c r="S25" i="13"/>
  <c r="W25" i="13"/>
  <c r="R25" i="13"/>
  <c r="V27" i="13"/>
  <c r="W27" i="13"/>
  <c r="R27" i="13"/>
  <c r="S27" i="13"/>
  <c r="U11" i="13"/>
  <c r="T11" i="13"/>
  <c r="U30" i="13"/>
  <c r="T30" i="13"/>
  <c r="T22" i="13"/>
  <c r="U22" i="13"/>
  <c r="U15" i="13"/>
  <c r="T15" i="13"/>
  <c r="U19" i="13"/>
  <c r="T19" i="13"/>
  <c r="U20" i="13"/>
  <c r="T20" i="13"/>
  <c r="U38" i="13"/>
  <c r="U31" i="13"/>
  <c r="T31" i="13"/>
  <c r="U28" i="13"/>
  <c r="T28" i="13"/>
  <c r="T8" i="13"/>
  <c r="U8" i="13"/>
  <c r="U16" i="13"/>
  <c r="T16" i="13"/>
  <c r="T35" i="13"/>
  <c r="U35" i="13"/>
  <c r="U33" i="13"/>
  <c r="T33" i="13"/>
  <c r="U34" i="13"/>
  <c r="T34" i="13"/>
  <c r="U25" i="13"/>
  <c r="T25" i="13"/>
  <c r="U21" i="13"/>
  <c r="T21" i="13"/>
  <c r="U23" i="13"/>
  <c r="T23" i="13"/>
  <c r="U12" i="13"/>
  <c r="T12" i="13"/>
  <c r="U37" i="13"/>
  <c r="T37" i="13"/>
  <c r="U14" i="13"/>
  <c r="T14" i="13"/>
  <c r="U17" i="13"/>
  <c r="T17" i="13"/>
  <c r="U18" i="13"/>
  <c r="T18" i="13"/>
  <c r="U29" i="13"/>
  <c r="T29" i="13"/>
  <c r="U9" i="13"/>
  <c r="T9" i="13"/>
  <c r="U24" i="13"/>
  <c r="T24" i="13"/>
  <c r="U10" i="13"/>
  <c r="T13" i="13"/>
  <c r="U13" i="13"/>
  <c r="U36" i="13"/>
  <c r="T36" i="13"/>
  <c r="U27" i="13"/>
  <c r="T27" i="13"/>
  <c r="U32" i="13"/>
  <c r="T32" i="13"/>
  <c r="U26" i="13"/>
  <c r="T26" i="13"/>
  <c r="S86" i="4" l="1"/>
  <c r="P35" i="10" s="1"/>
  <c r="Q35" i="10" s="1"/>
  <c r="P17" i="4"/>
  <c r="W49" i="4"/>
  <c r="P10" i="4"/>
  <c r="W42" i="4"/>
  <c r="O6" i="4"/>
  <c r="S6" i="4" s="1"/>
  <c r="C6" i="9"/>
  <c r="O42" i="4"/>
  <c r="G7" i="4"/>
  <c r="P5" i="10" s="1"/>
  <c r="Q5" i="10" s="1"/>
  <c r="S81" i="4"/>
  <c r="P30" i="10" s="1"/>
  <c r="Q30" i="10" s="1"/>
  <c r="G10" i="4"/>
  <c r="P8" i="10" s="1"/>
  <c r="Q8" i="10" s="1"/>
  <c r="N43" i="4"/>
  <c r="O17" i="4"/>
  <c r="S75" i="4"/>
  <c r="P24" i="10" s="1"/>
  <c r="Q24" i="10" s="1"/>
  <c r="O41" i="4"/>
  <c r="G11" i="4"/>
  <c r="P9" i="10" s="1"/>
  <c r="Q9" i="10" s="1"/>
  <c r="J75" i="4"/>
  <c r="S43" i="4"/>
  <c r="W11" i="4"/>
  <c r="S85" i="4"/>
  <c r="P34" i="10" s="1"/>
  <c r="Q34" i="10" s="1"/>
  <c r="G14" i="4"/>
  <c r="P12" i="10" s="1"/>
  <c r="Q12" i="10" s="1"/>
  <c r="G73" i="4"/>
  <c r="O19" i="4"/>
  <c r="S79" i="4"/>
  <c r="P28" i="10" s="1"/>
  <c r="Q28" i="10" s="1"/>
  <c r="L8" i="11"/>
  <c r="L18" i="11" s="1"/>
  <c r="J18" i="11" s="1"/>
  <c r="W16" i="4"/>
  <c r="S48" i="4"/>
  <c r="O16" i="4"/>
  <c r="S16" i="4" s="1"/>
  <c r="O13" i="4"/>
  <c r="M43" i="4"/>
  <c r="S77" i="4"/>
  <c r="P26" i="10" s="1"/>
  <c r="Q26" i="10" s="1"/>
  <c r="N44" i="4"/>
  <c r="M40" i="4"/>
  <c r="F7" i="9"/>
  <c r="C22" i="5" s="1"/>
  <c r="S39" i="4"/>
  <c r="P20" i="10" s="1"/>
  <c r="Q20" i="10" s="1"/>
  <c r="W7" i="4"/>
  <c r="F8" i="9"/>
  <c r="C8" i="9"/>
  <c r="N42" i="4"/>
  <c r="C5" i="9"/>
  <c r="G6" i="4"/>
  <c r="W41" i="4"/>
  <c r="P9" i="4"/>
  <c r="S41" i="4"/>
  <c r="W9" i="4"/>
  <c r="S74" i="4"/>
  <c r="P23" i="10" s="1"/>
  <c r="Q23" i="10" s="1"/>
  <c r="G19" i="4"/>
  <c r="O10" i="4"/>
  <c r="S51" i="4"/>
  <c r="S52" i="4" s="1"/>
  <c r="S53" i="4" s="1"/>
  <c r="W19" i="4"/>
  <c r="W20" i="4" s="1"/>
  <c r="W21" i="4" s="1"/>
  <c r="W43" i="4"/>
  <c r="P11" i="4"/>
  <c r="G22" i="4"/>
  <c r="F5" i="9"/>
  <c r="S45" i="4"/>
  <c r="W13" i="4"/>
  <c r="S87" i="4"/>
  <c r="S73" i="4"/>
  <c r="P22" i="10" s="1"/>
  <c r="Q22" i="10" s="1"/>
  <c r="I7" i="9"/>
  <c r="O43" i="4"/>
  <c r="O18" i="4"/>
  <c r="S18" i="4" s="1"/>
  <c r="O15" i="4"/>
  <c r="S47" i="4"/>
  <c r="W15" i="4"/>
  <c r="J74" i="4"/>
  <c r="I6" i="9"/>
  <c r="W8" i="4"/>
  <c r="S40" i="4"/>
  <c r="P21" i="10" s="1"/>
  <c r="Q21" i="10" s="1"/>
  <c r="S78" i="4"/>
  <c r="P27" i="10" s="1"/>
  <c r="Q27" i="10" s="1"/>
  <c r="G23" i="4"/>
  <c r="O12" i="4"/>
  <c r="S12" i="4" s="1"/>
  <c r="O39" i="4"/>
  <c r="F6" i="9"/>
  <c r="C21" i="5" s="1"/>
  <c r="W45" i="4"/>
  <c r="P13" i="4"/>
  <c r="G26" i="4"/>
  <c r="O9" i="4"/>
  <c r="S49" i="4"/>
  <c r="W17" i="4"/>
  <c r="F9" i="9"/>
  <c r="P6" i="4"/>
  <c r="C7" i="9"/>
  <c r="W40" i="4"/>
  <c r="P8" i="4"/>
  <c r="M41" i="4"/>
  <c r="G39" i="4"/>
  <c r="W51" i="4"/>
  <c r="W52" i="4" s="1"/>
  <c r="W53" i="4" s="1"/>
  <c r="P19" i="4"/>
  <c r="O44" i="4"/>
  <c r="G15" i="4"/>
  <c r="P13" i="10" s="1"/>
  <c r="Q13" i="10" s="1"/>
  <c r="G18" i="4"/>
  <c r="S83" i="4"/>
  <c r="P32" i="10" s="1"/>
  <c r="Q32" i="10" s="1"/>
  <c r="W12" i="4"/>
  <c r="S44" i="4"/>
  <c r="S82" i="4"/>
  <c r="P31" i="10" s="1"/>
  <c r="Q31" i="10" s="1"/>
  <c r="G27" i="4"/>
  <c r="O14" i="4"/>
  <c r="S14" i="4" s="1"/>
  <c r="N40" i="4"/>
  <c r="W47" i="4"/>
  <c r="P15" i="4"/>
  <c r="P7" i="4"/>
  <c r="W39" i="4"/>
  <c r="O11" i="4"/>
  <c r="M42" i="4"/>
  <c r="O8" i="4"/>
  <c r="S8" i="4" s="1"/>
  <c r="O21" i="11"/>
  <c r="L11" i="11" s="1"/>
  <c r="C17" i="8"/>
  <c r="C28" i="8"/>
  <c r="C35" i="11"/>
  <c r="C43" i="11"/>
  <c r="L20" i="8"/>
  <c r="K20" i="8" s="1"/>
  <c r="L21" i="8"/>
  <c r="K21" i="8" s="1"/>
  <c r="L19" i="8"/>
  <c r="K19" i="8" s="1"/>
  <c r="L22" i="8"/>
  <c r="L27" i="8"/>
  <c r="K27" i="8" s="1"/>
  <c r="L25" i="8"/>
  <c r="K25" i="8" s="1"/>
  <c r="L23" i="8"/>
  <c r="K23" i="8" s="1"/>
  <c r="L26" i="8"/>
  <c r="K26" i="8" s="1"/>
  <c r="L24" i="8"/>
  <c r="K24" i="8" s="1"/>
  <c r="K17" i="8"/>
  <c r="L17" i="8" s="1"/>
  <c r="K16" i="8"/>
  <c r="L16" i="8" s="1"/>
  <c r="K18" i="8"/>
  <c r="L18" i="8" s="1"/>
  <c r="K15" i="8"/>
  <c r="L15" i="8" s="1"/>
  <c r="K13" i="8"/>
  <c r="L13" i="8" s="1"/>
  <c r="K14" i="8"/>
  <c r="L14" i="8" s="1"/>
  <c r="Z27" i="13"/>
  <c r="Y27" i="13"/>
  <c r="Z8" i="13"/>
  <c r="Y8" i="13"/>
  <c r="Z17" i="13"/>
  <c r="Y17" i="13"/>
  <c r="Y19" i="13"/>
  <c r="Z19" i="13"/>
  <c r="Y10" i="13"/>
  <c r="Z10" i="13"/>
  <c r="Y25" i="13"/>
  <c r="Z25" i="13"/>
  <c r="Z31" i="13"/>
  <c r="Y31" i="13"/>
  <c r="Y29" i="13"/>
  <c r="Z29" i="13"/>
  <c r="Y22" i="13"/>
  <c r="Z22" i="13"/>
  <c r="Z21" i="13"/>
  <c r="Y21" i="13"/>
  <c r="Y23" i="13"/>
  <c r="Z23" i="13"/>
  <c r="Y35" i="13"/>
  <c r="Z35" i="13"/>
  <c r="Z18" i="13"/>
  <c r="Y18" i="13"/>
  <c r="Y15" i="13"/>
  <c r="Z15" i="13"/>
  <c r="Y16" i="13"/>
  <c r="Z16" i="13"/>
  <c r="Y36" i="13"/>
  <c r="Z36" i="13"/>
  <c r="Z24" i="13"/>
  <c r="Y24" i="13"/>
  <c r="Y32" i="13"/>
  <c r="Z32" i="13"/>
  <c r="Z11" i="13"/>
  <c r="Y11" i="13"/>
  <c r="Y9" i="13"/>
  <c r="Z9" i="13"/>
  <c r="Y30" i="13"/>
  <c r="Z30" i="13"/>
  <c r="Y26" i="13"/>
  <c r="Z26" i="13"/>
  <c r="Y38" i="13"/>
  <c r="Z38" i="13"/>
  <c r="Y37" i="13"/>
  <c r="Z37" i="13"/>
  <c r="Y28" i="13"/>
  <c r="Z28" i="13"/>
  <c r="Z12" i="13"/>
  <c r="Y12" i="13"/>
  <c r="Y20" i="13"/>
  <c r="Z20" i="13"/>
  <c r="Z33" i="13"/>
  <c r="Y33" i="13"/>
  <c r="Z34" i="13"/>
  <c r="Y34" i="13"/>
  <c r="Y14" i="13"/>
  <c r="Z14" i="13"/>
  <c r="Y13" i="13"/>
  <c r="Z13" i="13"/>
  <c r="D47" i="4"/>
  <c r="AA13" i="13" l="1"/>
  <c r="AB13" i="13" s="1"/>
  <c r="AA14" i="13"/>
  <c r="AB14" i="13" s="1"/>
  <c r="AA34" i="13"/>
  <c r="AB34" i="13" s="1"/>
  <c r="AA33" i="13"/>
  <c r="AB33" i="13" s="1"/>
  <c r="AA20" i="13"/>
  <c r="AB20" i="13" s="1"/>
  <c r="AA12" i="13"/>
  <c r="AB12" i="13" s="1"/>
  <c r="AA28" i="13"/>
  <c r="AB28" i="13" s="1"/>
  <c r="AA37" i="13"/>
  <c r="AB37" i="13" s="1"/>
  <c r="AA38" i="13"/>
  <c r="AB38" i="13" s="1"/>
  <c r="AA26" i="13"/>
  <c r="AB26" i="13" s="1"/>
  <c r="AA30" i="13"/>
  <c r="AB30" i="13" s="1"/>
  <c r="AA9" i="13"/>
  <c r="AB9" i="13" s="1"/>
  <c r="AA11" i="13"/>
  <c r="AB11" i="13" s="1"/>
  <c r="AA32" i="13"/>
  <c r="AB32" i="13" s="1"/>
  <c r="AA24" i="13"/>
  <c r="AB24" i="13" s="1"/>
  <c r="AA36" i="13"/>
  <c r="AB36" i="13" s="1"/>
  <c r="AA16" i="13"/>
  <c r="AB16" i="13" s="1"/>
  <c r="AA15" i="13"/>
  <c r="AB15" i="13" s="1"/>
  <c r="AA18" i="13"/>
  <c r="AB18" i="13" s="1"/>
  <c r="AA35" i="13"/>
  <c r="AB35" i="13" s="1"/>
  <c r="AA23" i="13"/>
  <c r="AB23" i="13" s="1"/>
  <c r="AA21" i="13"/>
  <c r="AB21" i="13" s="1"/>
  <c r="AA22" i="13"/>
  <c r="AB22" i="13" s="1"/>
  <c r="AA29" i="13"/>
  <c r="AB29" i="13" s="1"/>
  <c r="AA31" i="13"/>
  <c r="AB31" i="13" s="1"/>
  <c r="AA25" i="13"/>
  <c r="AB25" i="13" s="1"/>
  <c r="AA10" i="13"/>
  <c r="AB10" i="13" s="1"/>
  <c r="AA19" i="13"/>
  <c r="AB19" i="13" s="1"/>
  <c r="AA17" i="13"/>
  <c r="AB17" i="13" s="1"/>
  <c r="AA8" i="13"/>
  <c r="AB8" i="13" s="1"/>
  <c r="AA27" i="13"/>
  <c r="AB27" i="13" s="1"/>
  <c r="S10" i="4"/>
  <c r="S11" i="4"/>
  <c r="S15" i="4"/>
  <c r="S9" i="4"/>
  <c r="C4" i="9"/>
  <c r="C16" i="5" s="1"/>
  <c r="C20" i="5"/>
  <c r="F4" i="9"/>
  <c r="C17" i="5" s="1"/>
  <c r="I5" i="9"/>
  <c r="I4" i="9" s="1"/>
  <c r="C18" i="5" s="1"/>
  <c r="S13" i="4"/>
  <c r="S17" i="4"/>
  <c r="S19" i="4"/>
  <c r="S20" i="4" s="1"/>
  <c r="S21" i="4" s="1"/>
  <c r="S88" i="4"/>
  <c r="P36" i="10"/>
  <c r="Q36" i="10" s="1"/>
  <c r="P22" i="8"/>
  <c r="O22" i="8"/>
  <c r="K22" i="8"/>
  <c r="C34" i="8"/>
  <c r="C37" i="8" s="1"/>
  <c r="D14" i="4"/>
  <c r="D27" i="4" s="1" a="1"/>
  <c r="T15" i="8"/>
  <c r="T16" i="8" s="1"/>
  <c r="D29" i="4" l="1"/>
  <c r="D28" i="4"/>
  <c r="D27" i="4"/>
  <c r="D31" i="4" s="1"/>
  <c r="D30" i="4"/>
  <c r="S89" i="4"/>
  <c r="R9" i="8"/>
  <c r="R19" i="8" s="1"/>
  <c r="P19" i="8" s="1"/>
  <c r="U22" i="8"/>
  <c r="D61" i="4" a="1"/>
  <c r="D81" i="4"/>
  <c r="D62" i="4" l="1"/>
  <c r="D63" i="4"/>
  <c r="D61" i="4"/>
  <c r="D65" i="4" s="1"/>
  <c r="D64" i="4"/>
  <c r="D95" i="4" a="1"/>
  <c r="D95" i="4" l="1"/>
  <c r="D99" i="4" s="1"/>
  <c r="D98" i="4"/>
  <c r="D96" i="4"/>
  <c r="D97" i="4"/>
  <c r="O5" i="8"/>
  <c r="C40" i="8" s="1"/>
  <c r="F4" i="11"/>
  <c r="Q3" i="5" a="1"/>
  <c r="I4" i="11"/>
  <c r="R12" i="8"/>
  <c r="C25" i="11"/>
  <c r="C27" i="11"/>
  <c r="C26" i="11"/>
  <c r="C29" i="11"/>
  <c r="C28" i="11"/>
  <c r="C30" i="11"/>
  <c r="C31" i="11"/>
  <c r="C44" i="11"/>
  <c r="C46" i="11" s="1"/>
  <c r="C47" i="11" s="1"/>
  <c r="C36" i="11" l="1"/>
  <c r="R77" i="5"/>
  <c r="R97" i="5"/>
  <c r="S40" i="5"/>
  <c r="Q72" i="5"/>
  <c r="T158" i="5"/>
  <c r="Q138" i="5"/>
  <c r="Q50" i="5"/>
  <c r="T168" i="5"/>
  <c r="R137" i="5"/>
  <c r="S194" i="5"/>
  <c r="S125" i="5"/>
  <c r="R87" i="5"/>
  <c r="R37" i="5"/>
  <c r="Q17" i="5"/>
  <c r="R144" i="5"/>
  <c r="Q77" i="5"/>
  <c r="S27" i="5"/>
  <c r="T14" i="5"/>
  <c r="Q180" i="5"/>
  <c r="Q90" i="5"/>
  <c r="Q156" i="5"/>
  <c r="S50" i="5"/>
  <c r="R27" i="5"/>
  <c r="R191" i="5"/>
  <c r="Q97" i="5"/>
  <c r="S53" i="5"/>
  <c r="S57" i="5"/>
  <c r="S160" i="5"/>
  <c r="R181" i="5"/>
  <c r="S175" i="5"/>
  <c r="Q9" i="5"/>
  <c r="Q11" i="5"/>
  <c r="Q54" i="5"/>
  <c r="S92" i="5"/>
  <c r="Q159" i="5"/>
  <c r="S127" i="5"/>
  <c r="Q76" i="5"/>
  <c r="T104" i="5"/>
  <c r="S28" i="5"/>
  <c r="S168" i="5"/>
  <c r="S172" i="5"/>
  <c r="R161" i="5"/>
  <c r="T132" i="5"/>
  <c r="Q42" i="5"/>
  <c r="Q192" i="5"/>
  <c r="Q93" i="5"/>
  <c r="T35" i="5"/>
  <c r="R176" i="5"/>
  <c r="R193" i="5"/>
  <c r="R111" i="5"/>
  <c r="T33" i="5"/>
  <c r="S199" i="5"/>
  <c r="T47" i="5"/>
  <c r="T170" i="5"/>
  <c r="Q82" i="5"/>
  <c r="T142" i="5"/>
  <c r="S171" i="5"/>
  <c r="S158" i="5"/>
  <c r="T139" i="5"/>
  <c r="R188" i="5"/>
  <c r="S6" i="5"/>
  <c r="S170" i="5"/>
  <c r="T83" i="5"/>
  <c r="S25" i="5"/>
  <c r="S97" i="5"/>
  <c r="T152" i="5"/>
  <c r="Q29" i="5"/>
  <c r="T59" i="5"/>
  <c r="T110" i="5"/>
  <c r="R143" i="5"/>
  <c r="S37" i="5"/>
  <c r="T178" i="5"/>
  <c r="Q108" i="5"/>
  <c r="T107" i="5"/>
  <c r="R14" i="5"/>
  <c r="R36" i="5"/>
  <c r="R166" i="5"/>
  <c r="Q126" i="5"/>
  <c r="S140" i="5"/>
  <c r="T88" i="5"/>
  <c r="Q171" i="5"/>
  <c r="T171" i="5"/>
  <c r="S35" i="5"/>
  <c r="Q34" i="5"/>
  <c r="Q163" i="5"/>
  <c r="R128" i="5"/>
  <c r="Q116" i="5"/>
  <c r="T131" i="5"/>
  <c r="R54" i="5"/>
  <c r="T10" i="5"/>
  <c r="T153" i="5"/>
  <c r="Q182" i="5"/>
  <c r="S159" i="5"/>
  <c r="R3" i="5"/>
  <c r="Q131" i="5"/>
  <c r="R60" i="5"/>
  <c r="Q168" i="5"/>
  <c r="Q21" i="5"/>
  <c r="R26" i="5"/>
  <c r="S4" i="5"/>
  <c r="Q16" i="5"/>
  <c r="S9" i="5"/>
  <c r="R22" i="5"/>
  <c r="T13" i="5"/>
  <c r="Q6" i="5"/>
  <c r="R45" i="5"/>
  <c r="R129" i="5"/>
  <c r="R4" i="5"/>
  <c r="Q150" i="5"/>
  <c r="S129" i="5"/>
  <c r="R136" i="5"/>
  <c r="R186" i="5"/>
  <c r="S182" i="5"/>
  <c r="S49" i="5"/>
  <c r="S181" i="5"/>
  <c r="Q105" i="5"/>
  <c r="R94" i="5"/>
  <c r="T114" i="5"/>
  <c r="Q185" i="5"/>
  <c r="R53" i="5"/>
  <c r="S75" i="5"/>
  <c r="T74" i="5"/>
  <c r="R58" i="5"/>
  <c r="T12" i="5"/>
  <c r="S47" i="5"/>
  <c r="S62" i="5"/>
  <c r="S130" i="5"/>
  <c r="T199" i="5"/>
  <c r="Q24" i="5"/>
  <c r="R173" i="5"/>
  <c r="S89" i="5"/>
  <c r="R157" i="5"/>
  <c r="R95" i="5"/>
  <c r="Q109" i="5"/>
  <c r="Q4" i="5"/>
  <c r="R200" i="5"/>
  <c r="S151" i="5"/>
  <c r="Q165" i="5"/>
  <c r="T61" i="5"/>
  <c r="S59" i="5"/>
  <c r="Q128" i="5"/>
  <c r="S66" i="5"/>
  <c r="Q92" i="5"/>
  <c r="S118" i="5"/>
  <c r="Q13" i="5"/>
  <c r="S8" i="5"/>
  <c r="R124" i="5"/>
  <c r="R18" i="5"/>
  <c r="T49" i="5"/>
  <c r="T44" i="5"/>
  <c r="Q199" i="5"/>
  <c r="R115" i="5"/>
  <c r="Q66" i="5"/>
  <c r="S34" i="5"/>
  <c r="S137" i="5"/>
  <c r="S119" i="5"/>
  <c r="S121" i="5"/>
  <c r="R78" i="5"/>
  <c r="Q125" i="5"/>
  <c r="T169" i="5"/>
  <c r="T149" i="5"/>
  <c r="T55" i="5"/>
  <c r="Q96" i="5"/>
  <c r="T123" i="5"/>
  <c r="S91" i="5"/>
  <c r="S64" i="5"/>
  <c r="T176" i="5"/>
  <c r="S99" i="5"/>
  <c r="R8" i="5"/>
  <c r="S61" i="5"/>
  <c r="Q41" i="5"/>
  <c r="R106" i="5"/>
  <c r="T194" i="5"/>
  <c r="Q19" i="5"/>
  <c r="Q119" i="5"/>
  <c r="Q130" i="5"/>
  <c r="Q134" i="5"/>
  <c r="Q55" i="5"/>
  <c r="Q157" i="5"/>
  <c r="T126" i="5"/>
  <c r="S155" i="5"/>
  <c r="R23" i="5"/>
  <c r="T179" i="5"/>
  <c r="S165" i="5"/>
  <c r="S12" i="5"/>
  <c r="S173" i="5"/>
  <c r="Q88" i="5"/>
  <c r="Q103" i="5"/>
  <c r="Q81" i="5"/>
  <c r="Q139" i="5"/>
  <c r="R139" i="5"/>
  <c r="T58" i="5"/>
  <c r="R28" i="5"/>
  <c r="R113" i="5"/>
  <c r="R81" i="5"/>
  <c r="S41" i="5"/>
  <c r="T5" i="5"/>
  <c r="R6" i="5"/>
  <c r="R152" i="5"/>
  <c r="R198" i="5"/>
  <c r="T186" i="5"/>
  <c r="R90" i="5"/>
  <c r="Q149" i="5"/>
  <c r="Q194" i="5"/>
  <c r="R13" i="5"/>
  <c r="R105" i="5"/>
  <c r="S90" i="5"/>
  <c r="S68" i="5"/>
  <c r="R57" i="5"/>
  <c r="T200" i="5"/>
  <c r="Q56" i="5"/>
  <c r="S178" i="5"/>
  <c r="R162" i="5"/>
  <c r="R148" i="5"/>
  <c r="T175" i="5"/>
  <c r="T46" i="5"/>
  <c r="T73" i="5"/>
  <c r="S87" i="5"/>
  <c r="S15" i="5"/>
  <c r="Q175" i="5"/>
  <c r="S104" i="5"/>
  <c r="R93" i="5"/>
  <c r="Q10" i="5"/>
  <c r="S79" i="5"/>
  <c r="R32" i="5"/>
  <c r="T137" i="5"/>
  <c r="T18" i="5"/>
  <c r="Q170" i="5"/>
  <c r="S67" i="5"/>
  <c r="Q107" i="5"/>
  <c r="S3" i="5"/>
  <c r="Q39" i="5"/>
  <c r="Q146" i="5"/>
  <c r="Q191" i="5"/>
  <c r="Q123" i="5"/>
  <c r="R48" i="5"/>
  <c r="T136" i="5"/>
  <c r="Q71" i="5"/>
  <c r="R71" i="5"/>
  <c r="S188" i="5"/>
  <c r="Q32" i="5"/>
  <c r="T167" i="5"/>
  <c r="Q38" i="5"/>
  <c r="R104" i="5"/>
  <c r="T161" i="5"/>
  <c r="S60" i="5"/>
  <c r="R167" i="5"/>
  <c r="T151" i="5"/>
  <c r="R170" i="5"/>
  <c r="R140" i="5"/>
  <c r="Q26" i="5"/>
  <c r="T147" i="5"/>
  <c r="T86" i="5"/>
  <c r="S169" i="5"/>
  <c r="Q49" i="5"/>
  <c r="S52" i="5"/>
  <c r="R67" i="5"/>
  <c r="T51" i="5"/>
  <c r="Q120" i="5"/>
  <c r="S185" i="5"/>
  <c r="R174" i="5"/>
  <c r="Q5" i="5"/>
  <c r="Q198" i="5"/>
  <c r="T20" i="5"/>
  <c r="R31" i="5"/>
  <c r="T125" i="5"/>
  <c r="T30" i="5"/>
  <c r="T190" i="5"/>
  <c r="Q190" i="5"/>
  <c r="Q183" i="5"/>
  <c r="S29" i="5"/>
  <c r="T122" i="5"/>
  <c r="S109" i="5"/>
  <c r="S156" i="5"/>
  <c r="T133" i="5"/>
  <c r="T140" i="5"/>
  <c r="T181" i="5"/>
  <c r="R121" i="5"/>
  <c r="S11" i="5"/>
  <c r="Q179" i="5"/>
  <c r="T87" i="5"/>
  <c r="R131" i="5"/>
  <c r="R110" i="5"/>
  <c r="T191" i="5"/>
  <c r="R183" i="5"/>
  <c r="R40" i="5"/>
  <c r="R116" i="5"/>
  <c r="S157" i="5"/>
  <c r="T19" i="5"/>
  <c r="S124" i="5"/>
  <c r="S184" i="5"/>
  <c r="Q95" i="5"/>
  <c r="Q89" i="5"/>
  <c r="R197" i="5"/>
  <c r="S55" i="5"/>
  <c r="R73" i="5"/>
  <c r="S80" i="5"/>
  <c r="S85" i="5"/>
  <c r="Q174" i="5"/>
  <c r="R120" i="5"/>
  <c r="S94" i="5"/>
  <c r="T38" i="5"/>
  <c r="Q121" i="5"/>
  <c r="T72" i="5"/>
  <c r="T80" i="5"/>
  <c r="S142" i="5"/>
  <c r="T144" i="5"/>
  <c r="Q136" i="5"/>
  <c r="R76" i="5"/>
  <c r="T97" i="5"/>
  <c r="T198" i="5"/>
  <c r="R133" i="5"/>
  <c r="R72" i="5"/>
  <c r="T43" i="5"/>
  <c r="Q18" i="5"/>
  <c r="Q64" i="5"/>
  <c r="Q62" i="5"/>
  <c r="R17" i="5"/>
  <c r="T53" i="5"/>
  <c r="T146" i="5"/>
  <c r="R159" i="5"/>
  <c r="S19" i="5"/>
  <c r="S17" i="5"/>
  <c r="S96" i="5"/>
  <c r="Q197" i="5"/>
  <c r="T24" i="5"/>
  <c r="S106" i="5"/>
  <c r="R89" i="5"/>
  <c r="Q98" i="5"/>
  <c r="T159" i="5"/>
  <c r="T81" i="5"/>
  <c r="R130" i="5"/>
  <c r="S111" i="5"/>
  <c r="Q114" i="5"/>
  <c r="T40" i="5"/>
  <c r="S153" i="5"/>
  <c r="R70" i="5"/>
  <c r="T89" i="5"/>
  <c r="T95" i="5"/>
  <c r="T109" i="5"/>
  <c r="S46" i="5"/>
  <c r="Q44" i="5"/>
  <c r="R125" i="5"/>
  <c r="S81" i="5"/>
  <c r="T163" i="5"/>
  <c r="T9" i="5"/>
  <c r="Q25" i="5"/>
  <c r="T105" i="5"/>
  <c r="R41" i="5"/>
  <c r="T165" i="5"/>
  <c r="Q85" i="5"/>
  <c r="T39" i="5"/>
  <c r="S105" i="5"/>
  <c r="Q86" i="5"/>
  <c r="T182" i="5"/>
  <c r="Q57" i="5"/>
  <c r="T127" i="5"/>
  <c r="T77" i="5"/>
  <c r="Q161" i="5"/>
  <c r="R80" i="5"/>
  <c r="T54" i="5"/>
  <c r="R39" i="5"/>
  <c r="T154" i="5"/>
  <c r="Q196" i="5"/>
  <c r="S154" i="5"/>
  <c r="R112" i="5"/>
  <c r="T82" i="5"/>
  <c r="S123" i="5"/>
  <c r="R145" i="5"/>
  <c r="R35" i="5"/>
  <c r="Q111" i="5"/>
  <c r="Q158" i="5"/>
  <c r="T68" i="5"/>
  <c r="R126" i="5"/>
  <c r="Q61" i="5"/>
  <c r="R101" i="5"/>
  <c r="S143" i="5"/>
  <c r="Q12" i="5"/>
  <c r="T25" i="5"/>
  <c r="T79" i="5"/>
  <c r="S93" i="5"/>
  <c r="S77" i="5"/>
  <c r="Q74" i="5"/>
  <c r="T145" i="5"/>
  <c r="T16" i="5"/>
  <c r="Q79" i="5"/>
  <c r="S187" i="5"/>
  <c r="R118" i="5"/>
  <c r="T21" i="5"/>
  <c r="S69" i="5"/>
  <c r="Q188" i="5"/>
  <c r="T69" i="5"/>
  <c r="R156" i="5"/>
  <c r="T64" i="5"/>
  <c r="S26" i="5"/>
  <c r="S177" i="5"/>
  <c r="S147" i="5"/>
  <c r="R163" i="5"/>
  <c r="S152" i="5"/>
  <c r="Q181" i="5"/>
  <c r="T15" i="5"/>
  <c r="T102" i="5"/>
  <c r="S195" i="5"/>
  <c r="Q87" i="5"/>
  <c r="Q78" i="5"/>
  <c r="R85" i="5"/>
  <c r="R108" i="5"/>
  <c r="S18" i="5"/>
  <c r="Q147" i="5"/>
  <c r="Q60" i="5"/>
  <c r="S44" i="5"/>
  <c r="T160" i="5"/>
  <c r="R117" i="5"/>
  <c r="S191" i="5"/>
  <c r="R7" i="5"/>
  <c r="R38" i="5"/>
  <c r="T119" i="5"/>
  <c r="Q124" i="5"/>
  <c r="Q115" i="5"/>
  <c r="S122" i="5"/>
  <c r="T41" i="5"/>
  <c r="R43" i="5"/>
  <c r="T75" i="5"/>
  <c r="S63" i="5"/>
  <c r="R103" i="5"/>
  <c r="S134" i="5"/>
  <c r="S58" i="5"/>
  <c r="R177" i="5"/>
  <c r="S120" i="5"/>
  <c r="R25" i="5"/>
  <c r="R147" i="5"/>
  <c r="T92" i="5"/>
  <c r="S31" i="5"/>
  <c r="T8" i="5"/>
  <c r="S86" i="5"/>
  <c r="R187" i="5"/>
  <c r="Q70" i="5"/>
  <c r="Q15" i="5"/>
  <c r="R122" i="5"/>
  <c r="Q52" i="5"/>
  <c r="R123" i="5"/>
  <c r="S189" i="5"/>
  <c r="R158" i="5"/>
  <c r="Q22" i="5"/>
  <c r="Q186" i="5"/>
  <c r="T148" i="5"/>
  <c r="R194" i="5"/>
  <c r="R42" i="5"/>
  <c r="S43" i="5"/>
  <c r="R114" i="5"/>
  <c r="T26" i="5"/>
  <c r="T99" i="5"/>
  <c r="R61" i="5"/>
  <c r="R98" i="5"/>
  <c r="T3" i="5"/>
  <c r="S112" i="5"/>
  <c r="S22" i="5"/>
  <c r="T4" i="5"/>
  <c r="R196" i="5"/>
  <c r="S38" i="5"/>
  <c r="S54" i="5"/>
  <c r="T157" i="5"/>
  <c r="T103" i="5"/>
  <c r="T62" i="5"/>
  <c r="S131" i="5"/>
  <c r="Q148" i="5"/>
  <c r="Q45" i="5"/>
  <c r="T91" i="5"/>
  <c r="R5" i="5"/>
  <c r="Q187" i="5"/>
  <c r="T94" i="5"/>
  <c r="T188" i="5"/>
  <c r="T173" i="5"/>
  <c r="Q69" i="5"/>
  <c r="S179" i="5"/>
  <c r="S108" i="5"/>
  <c r="Q140" i="5"/>
  <c r="R185" i="5"/>
  <c r="Q177" i="5"/>
  <c r="R74" i="5"/>
  <c r="T155" i="5"/>
  <c r="T183" i="5"/>
  <c r="S176" i="5"/>
  <c r="Q63" i="5"/>
  <c r="S14" i="5"/>
  <c r="S113" i="5"/>
  <c r="Q40" i="5"/>
  <c r="R56" i="5"/>
  <c r="Q195" i="5"/>
  <c r="S174" i="5"/>
  <c r="S148" i="5"/>
  <c r="R168" i="5"/>
  <c r="T184" i="5"/>
  <c r="T138" i="5"/>
  <c r="S138" i="5"/>
  <c r="S107" i="5"/>
  <c r="T143" i="5"/>
  <c r="R132" i="5"/>
  <c r="R192" i="5"/>
  <c r="T11" i="5"/>
  <c r="T116" i="5"/>
  <c r="Q178" i="5"/>
  <c r="T177" i="5"/>
  <c r="S161" i="5"/>
  <c r="R199" i="5"/>
  <c r="Q166" i="5"/>
  <c r="R15" i="5"/>
  <c r="R119" i="5"/>
  <c r="T101" i="5"/>
  <c r="R189" i="5"/>
  <c r="Q184" i="5"/>
  <c r="R86" i="5"/>
  <c r="R175" i="5"/>
  <c r="T50" i="5"/>
  <c r="Q176" i="5"/>
  <c r="Q172" i="5"/>
  <c r="R88" i="5"/>
  <c r="S197" i="5"/>
  <c r="R179" i="5"/>
  <c r="Q37" i="5"/>
  <c r="S117" i="5"/>
  <c r="R151" i="5"/>
  <c r="S84" i="5"/>
  <c r="T56" i="5"/>
  <c r="Q169" i="5"/>
  <c r="Q73" i="5"/>
  <c r="R59" i="5"/>
  <c r="T115" i="5"/>
  <c r="S13" i="5"/>
  <c r="Q133" i="5"/>
  <c r="T71" i="5"/>
  <c r="Q154" i="5"/>
  <c r="Q129" i="5"/>
  <c r="R195" i="5"/>
  <c r="S126" i="5"/>
  <c r="R127" i="5"/>
  <c r="R63" i="5"/>
  <c r="R55" i="5"/>
  <c r="S76" i="5"/>
  <c r="R21" i="5"/>
  <c r="Q30" i="5"/>
  <c r="S10" i="5"/>
  <c r="Q152" i="5"/>
  <c r="S128" i="5"/>
  <c r="Q106" i="5"/>
  <c r="R160" i="5"/>
  <c r="T189" i="5"/>
  <c r="S88" i="5"/>
  <c r="Q113" i="5"/>
  <c r="Q99" i="5"/>
  <c r="S33" i="5"/>
  <c r="S95" i="5"/>
  <c r="R46" i="5"/>
  <c r="R109" i="5"/>
  <c r="S20" i="5"/>
  <c r="Q153" i="5"/>
  <c r="T93" i="5"/>
  <c r="T76" i="5"/>
  <c r="Q47" i="5"/>
  <c r="T29" i="5"/>
  <c r="Q83" i="5"/>
  <c r="S183" i="5"/>
  <c r="T174" i="5"/>
  <c r="S74" i="5"/>
  <c r="R83" i="5"/>
  <c r="Q193" i="5"/>
  <c r="S24" i="5"/>
  <c r="Q164" i="5"/>
  <c r="T120" i="5"/>
  <c r="S101" i="5"/>
  <c r="S116" i="5"/>
  <c r="R135" i="5"/>
  <c r="R146" i="5"/>
  <c r="R16" i="5"/>
  <c r="R68" i="5"/>
  <c r="Q101" i="5"/>
  <c r="S30" i="5"/>
  <c r="T28" i="5"/>
  <c r="R9" i="5"/>
  <c r="R12" i="5"/>
  <c r="R69" i="5"/>
  <c r="S133" i="5"/>
  <c r="S144" i="5"/>
  <c r="T60" i="5"/>
  <c r="T185" i="5"/>
  <c r="S48" i="5"/>
  <c r="T22" i="5"/>
  <c r="R182" i="5"/>
  <c r="Q68" i="5"/>
  <c r="T106" i="5"/>
  <c r="T117" i="5"/>
  <c r="Q75" i="5"/>
  <c r="S98" i="5"/>
  <c r="R96" i="5"/>
  <c r="Q48" i="5"/>
  <c r="S164" i="5"/>
  <c r="Q46" i="5"/>
  <c r="R19" i="5"/>
  <c r="S167" i="5"/>
  <c r="R164" i="5"/>
  <c r="R169" i="5"/>
  <c r="Q141" i="5"/>
  <c r="T134" i="5"/>
  <c r="R99" i="5"/>
  <c r="S135" i="5"/>
  <c r="T67" i="5"/>
  <c r="T65" i="5"/>
  <c r="R150" i="5"/>
  <c r="T187" i="5"/>
  <c r="T63" i="5"/>
  <c r="T78" i="5"/>
  <c r="S5" i="5"/>
  <c r="Q117" i="5"/>
  <c r="T7" i="5"/>
  <c r="T172" i="5"/>
  <c r="S200" i="5"/>
  <c r="S198" i="5"/>
  <c r="S39" i="5"/>
  <c r="Q35" i="5"/>
  <c r="R29" i="5"/>
  <c r="R154" i="5"/>
  <c r="T36" i="5"/>
  <c r="Q160" i="5"/>
  <c r="R178" i="5"/>
  <c r="S163" i="5"/>
  <c r="Q144" i="5"/>
  <c r="S192" i="5"/>
  <c r="R138" i="5"/>
  <c r="T166" i="5"/>
  <c r="T85" i="5"/>
  <c r="T6" i="5"/>
  <c r="Q31" i="5"/>
  <c r="T57" i="5"/>
  <c r="S114" i="5"/>
  <c r="R65" i="5"/>
  <c r="T124" i="5"/>
  <c r="S83" i="5"/>
  <c r="R30" i="5"/>
  <c r="R190" i="5"/>
  <c r="S132" i="5"/>
  <c r="T108" i="5"/>
  <c r="S45" i="5"/>
  <c r="S42" i="5"/>
  <c r="R79" i="5"/>
  <c r="R149" i="5"/>
  <c r="R107" i="5"/>
  <c r="T112" i="5"/>
  <c r="S56" i="5"/>
  <c r="Q142" i="5"/>
  <c r="S146" i="5"/>
  <c r="S166" i="5"/>
  <c r="Q14" i="5"/>
  <c r="R44" i="5"/>
  <c r="S115" i="5"/>
  <c r="T84" i="5"/>
  <c r="S21" i="5"/>
  <c r="T121" i="5"/>
  <c r="R82" i="5"/>
  <c r="R24" i="5"/>
  <c r="R92" i="5"/>
  <c r="Q155" i="5"/>
  <c r="T193" i="5"/>
  <c r="R172" i="5"/>
  <c r="T23" i="5"/>
  <c r="S149" i="5"/>
  <c r="Q143" i="5"/>
  <c r="Q132" i="5"/>
  <c r="Q8" i="5"/>
  <c r="T129" i="5"/>
  <c r="R34" i="5"/>
  <c r="Q84" i="5"/>
  <c r="S70" i="5"/>
  <c r="R134" i="5"/>
  <c r="T113" i="5"/>
  <c r="R51" i="5"/>
  <c r="T164" i="5"/>
  <c r="T180" i="5"/>
  <c r="S73" i="5"/>
  <c r="R62" i="5"/>
  <c r="S136" i="5"/>
  <c r="T162" i="5"/>
  <c r="T34" i="5"/>
  <c r="T45" i="5"/>
  <c r="S141" i="5"/>
  <c r="R100" i="5"/>
  <c r="R84" i="5"/>
  <c r="Q112" i="5"/>
  <c r="Q27" i="5"/>
  <c r="Q80" i="5"/>
  <c r="S150" i="5"/>
  <c r="T37" i="5"/>
  <c r="Q7" i="5"/>
  <c r="S180" i="5"/>
  <c r="Q137" i="5"/>
  <c r="Q102" i="5"/>
  <c r="S103" i="5"/>
  <c r="R50" i="5"/>
  <c r="T195" i="5"/>
  <c r="R33" i="5"/>
  <c r="S139" i="5"/>
  <c r="R184" i="5"/>
  <c r="S145" i="5"/>
  <c r="S36" i="5"/>
  <c r="Q173" i="5"/>
  <c r="T42" i="5"/>
  <c r="S100" i="5"/>
  <c r="S23" i="5"/>
  <c r="Q167" i="5"/>
  <c r="Q189" i="5"/>
  <c r="Q53" i="5"/>
  <c r="Q151" i="5"/>
  <c r="Q110" i="5"/>
  <c r="Q59" i="5"/>
  <c r="S186" i="5"/>
  <c r="T70" i="5"/>
  <c r="R66" i="5"/>
  <c r="S51" i="5"/>
  <c r="T96" i="5"/>
  <c r="Q36" i="5"/>
  <c r="Q58" i="5"/>
  <c r="R52" i="5"/>
  <c r="R165" i="5"/>
  <c r="R102" i="5"/>
  <c r="T17" i="5"/>
  <c r="T32" i="5"/>
  <c r="Q122" i="5"/>
  <c r="S162" i="5"/>
  <c r="T130" i="5"/>
  <c r="T118" i="5"/>
  <c r="T27" i="5"/>
  <c r="T128" i="5"/>
  <c r="R49" i="5"/>
  <c r="Q162" i="5"/>
  <c r="Q200" i="5"/>
  <c r="R142" i="5"/>
  <c r="Q145" i="5"/>
  <c r="R180" i="5"/>
  <c r="S72" i="5"/>
  <c r="T100" i="5"/>
  <c r="S65" i="5"/>
  <c r="R141" i="5"/>
  <c r="Q127" i="5"/>
  <c r="T48" i="5"/>
  <c r="Q23" i="5"/>
  <c r="T66" i="5"/>
  <c r="S32" i="5"/>
  <c r="T150" i="5"/>
  <c r="T98" i="5"/>
  <c r="T111" i="5"/>
  <c r="T90" i="5"/>
  <c r="R47" i="5"/>
  <c r="R91" i="5"/>
  <c r="R64" i="5"/>
  <c r="Q118" i="5"/>
  <c r="S82" i="5"/>
  <c r="S102" i="5"/>
  <c r="S190" i="5"/>
  <c r="Q104" i="5"/>
  <c r="T156" i="5"/>
  <c r="T31" i="5"/>
  <c r="T135" i="5"/>
  <c r="S71" i="5"/>
  <c r="Q43" i="5"/>
  <c r="T196" i="5"/>
  <c r="S196" i="5"/>
  <c r="T197" i="5"/>
  <c r="Q33" i="5"/>
  <c r="Q100" i="5"/>
  <c r="Q135" i="5"/>
  <c r="Q3" i="5"/>
  <c r="R153" i="5"/>
  <c r="T141" i="5"/>
  <c r="R171" i="5"/>
  <c r="Q91" i="5"/>
  <c r="T192" i="5"/>
  <c r="S110" i="5"/>
  <c r="Q94" i="5"/>
  <c r="T52" i="5"/>
  <c r="R11" i="5"/>
  <c r="R20" i="5"/>
  <c r="S193" i="5"/>
  <c r="S78" i="5"/>
  <c r="R155" i="5"/>
  <c r="Q20" i="5"/>
  <c r="Q51" i="5"/>
  <c r="S7" i="5"/>
  <c r="Q28" i="5"/>
  <c r="S16" i="5"/>
  <c r="Q67" i="5"/>
  <c r="R75" i="5"/>
  <c r="Q65" i="5"/>
  <c r="R10" i="5"/>
  <c r="C34" i="11"/>
  <c r="C39" i="11"/>
</calcChain>
</file>

<file path=xl/sharedStrings.xml><?xml version="1.0" encoding="utf-8"?>
<sst xmlns="http://schemas.openxmlformats.org/spreadsheetml/2006/main" count="2376" uniqueCount="653">
  <si>
    <t>Yield</t>
  </si>
  <si>
    <t>BOND SPECIFICATION</t>
  </si>
  <si>
    <t>BondDescription</t>
  </si>
  <si>
    <t>BondType</t>
  </si>
  <si>
    <t>FIXED</t>
  </si>
  <si>
    <t>Currency</t>
  </si>
  <si>
    <t>ISIN</t>
  </si>
  <si>
    <t>YieldType</t>
  </si>
  <si>
    <t>YIELD-TO-MATURITY</t>
  </si>
  <si>
    <t>IsCleanPrice</t>
  </si>
  <si>
    <t>BondQuoteConvention</t>
  </si>
  <si>
    <t>PayReceive</t>
  </si>
  <si>
    <t>RECEIVE</t>
  </si>
  <si>
    <t>NotionalExchange</t>
  </si>
  <si>
    <t>START_AND_END</t>
  </si>
  <si>
    <t>FaceValue</t>
  </si>
  <si>
    <t>FirstCouponDate</t>
  </si>
  <si>
    <t>LastCouponDate</t>
  </si>
  <si>
    <t>MaturityDate</t>
  </si>
  <si>
    <t>Coupon</t>
  </si>
  <si>
    <t>Frequency</t>
  </si>
  <si>
    <t>AccrualBusinessDayAdjustment</t>
  </si>
  <si>
    <t>NO_CHANGE</t>
  </si>
  <si>
    <t>AccrualCalendar</t>
  </si>
  <si>
    <t>PaymentBusinessDayAdjustment</t>
  </si>
  <si>
    <t>PaymentCalendar</t>
  </si>
  <si>
    <t>PaymentLag</t>
  </si>
  <si>
    <t>0D</t>
  </si>
  <si>
    <t>DayCount</t>
  </si>
  <si>
    <t>ACT/ACT</t>
  </si>
  <si>
    <t>Rollday</t>
  </si>
  <si>
    <t>CalculationType</t>
  </si>
  <si>
    <t>LegType</t>
  </si>
  <si>
    <t>Leg2:Float</t>
  </si>
  <si>
    <t>Notional</t>
  </si>
  <si>
    <t>PAY</t>
  </si>
  <si>
    <t>ForecastCurve</t>
  </si>
  <si>
    <t>DiscountCurve</t>
  </si>
  <si>
    <t>Leverage</t>
  </si>
  <si>
    <t>FixedRate</t>
  </si>
  <si>
    <t>FirstStubCurveIndex</t>
  </si>
  <si>
    <t>LastStubCurveIndex</t>
  </si>
  <si>
    <t>FirstFixing</t>
  </si>
  <si>
    <t>LastFixing</t>
  </si>
  <si>
    <t>FloatSpread</t>
  </si>
  <si>
    <t>EffectiveDate</t>
  </si>
  <si>
    <t>QUARTERLY</t>
  </si>
  <si>
    <t>Daycount</t>
  </si>
  <si>
    <t>FixingBusinessDayAdjustment</t>
  </si>
  <si>
    <t>MOD_FOLLOWING</t>
  </si>
  <si>
    <t>FixingCalendar</t>
  </si>
  <si>
    <t>FirstStubDate</t>
  </si>
  <si>
    <t>LastStubDate</t>
  </si>
  <si>
    <t>RollDay</t>
  </si>
  <si>
    <t>FixingLag</t>
  </si>
  <si>
    <t>2D</t>
  </si>
  <si>
    <t>FirstFixingLag</t>
  </si>
  <si>
    <t>StubType</t>
  </si>
  <si>
    <t>ASSET SWAP</t>
  </si>
  <si>
    <t>BOND LEG</t>
  </si>
  <si>
    <t>FUNDING LEG</t>
  </si>
  <si>
    <t>SHORTSTART</t>
  </si>
  <si>
    <t>BOND</t>
  </si>
  <si>
    <t xml:space="preserve"> </t>
  </si>
  <si>
    <t>Create Asset Swap</t>
  </si>
  <si>
    <t>Create Bond</t>
  </si>
  <si>
    <t>Handle Name</t>
  </si>
  <si>
    <t>BOND RESULTS</t>
  </si>
  <si>
    <t>SettlementDate</t>
  </si>
  <si>
    <t>1D</t>
  </si>
  <si>
    <t>SettlementLag</t>
  </si>
  <si>
    <t>Calendar</t>
  </si>
  <si>
    <t>ValuationDate</t>
  </si>
  <si>
    <t>BusDayAdjustment</t>
  </si>
  <si>
    <t>SETTLEMENT DATE</t>
  </si>
  <si>
    <t>Clean Price</t>
  </si>
  <si>
    <t>Dirty Price</t>
  </si>
  <si>
    <t>AccruedInterestDays</t>
  </si>
  <si>
    <t>AccruedInterest</t>
  </si>
  <si>
    <t>Quote Price</t>
  </si>
  <si>
    <t>DV01</t>
  </si>
  <si>
    <t>ModifiedDuration</t>
  </si>
  <si>
    <t>IssueDate</t>
  </si>
  <si>
    <t>AccrualStartDate</t>
  </si>
  <si>
    <t>CurveCollection</t>
  </si>
  <si>
    <t>ResetRate</t>
  </si>
  <si>
    <t>RESET LOOKUP</t>
  </si>
  <si>
    <t>Leg1:FixedBond</t>
  </si>
  <si>
    <t>ValuationLag</t>
  </si>
  <si>
    <t>NATURAL</t>
  </si>
  <si>
    <t>Tenor</t>
  </si>
  <si>
    <t>CurveIndex</t>
  </si>
  <si>
    <t>1M</t>
  </si>
  <si>
    <t>2M</t>
  </si>
  <si>
    <t>3M</t>
  </si>
  <si>
    <t>6M</t>
  </si>
  <si>
    <t>12M</t>
  </si>
  <si>
    <t>UseCurveIndex</t>
  </si>
  <si>
    <t>FloatFrequency</t>
  </si>
  <si>
    <t>FloatDaycount</t>
  </si>
  <si>
    <t>FloatBusinessDayAdjustment</t>
  </si>
  <si>
    <t>FloatCalendar</t>
  </si>
  <si>
    <t>FloatRollDay</t>
  </si>
  <si>
    <t>FloatFixingLag</t>
  </si>
  <si>
    <t>FloatFirstStubDate</t>
  </si>
  <si>
    <t>FloatLastStubDate</t>
  </si>
  <si>
    <t>FloatStubType</t>
  </si>
  <si>
    <t>STUB RATE TABLE</t>
  </si>
  <si>
    <t>STUB RATE FLOAT LEG LVB</t>
  </si>
  <si>
    <t>AUDYC</t>
  </si>
  <si>
    <t>SYB</t>
  </si>
  <si>
    <t>AUD</t>
  </si>
  <si>
    <t>AUDOIS</t>
  </si>
  <si>
    <t>AUD3ML</t>
  </si>
  <si>
    <t>AUD1ML</t>
  </si>
  <si>
    <t>AUD2ML</t>
  </si>
  <si>
    <t>AUD6ML</t>
  </si>
  <si>
    <t>AUD12ML</t>
  </si>
  <si>
    <t>ACT/365</t>
  </si>
  <si>
    <t>NONE</t>
  </si>
  <si>
    <t>RBACOR Index</t>
  </si>
  <si>
    <t>PX_LAST</t>
  </si>
  <si>
    <t>PX_ASK</t>
  </si>
  <si>
    <t>BloombergTicker</t>
  </si>
  <si>
    <t>Field</t>
  </si>
  <si>
    <t>STUB TICKERS</t>
  </si>
  <si>
    <t>BondIdentifier</t>
  </si>
  <si>
    <t>MYNEWBOND</t>
  </si>
  <si>
    <t>PRICING INPUTS</t>
  </si>
  <si>
    <t>AUD_ASSET_SWAP</t>
  </si>
  <si>
    <t>… FIXING INFO</t>
  </si>
  <si>
    <t>10Y Bond Future</t>
  </si>
  <si>
    <t>XMA Comdty</t>
  </si>
  <si>
    <t>3Y Bond Future</t>
  </si>
  <si>
    <t>YMA Comdty</t>
  </si>
  <si>
    <t>Exchange for Physical, EFP</t>
  </si>
  <si>
    <t>ADSF2Q IAUS Curncy</t>
  </si>
  <si>
    <t>ADSF3Q IAUS Curncy</t>
  </si>
  <si>
    <t>ADSF4 IAUS Curncy</t>
  </si>
  <si>
    <t>ADSF5 IAUS Curncy</t>
  </si>
  <si>
    <t>ADSF6 IAUS Curncy</t>
  </si>
  <si>
    <t>ADSF7 IAUS Curncy</t>
  </si>
  <si>
    <t>ADSF8 IAUS Curncy</t>
  </si>
  <si>
    <t>ADSF9 IAUS Curncy</t>
  </si>
  <si>
    <t>ADSF10 IAUS Curncy</t>
  </si>
  <si>
    <t>ADSF12 IAUS Curncy</t>
  </si>
  <si>
    <t>ADSF15 IAUS Curncy</t>
  </si>
  <si>
    <t>ADSF20 IAUS Curncy</t>
  </si>
  <si>
    <t>ADSF25 IAUS Curncy</t>
  </si>
  <si>
    <t>ADSF30 IAUS Curncy</t>
  </si>
  <si>
    <t>Bid</t>
  </si>
  <si>
    <t>Ask</t>
  </si>
  <si>
    <t>Ticker</t>
  </si>
  <si>
    <t>Mid</t>
  </si>
  <si>
    <t>MID</t>
  </si>
  <si>
    <t>Use</t>
  </si>
  <si>
    <t>Rate</t>
  </si>
  <si>
    <t>ADBBCF1 IAUS Curncy</t>
  </si>
  <si>
    <t>ADBBCF2 IAUS Curncy</t>
  </si>
  <si>
    <t>ADBBCF3 IAUS Curncy</t>
  </si>
  <si>
    <t>ADBBCF4 IAUS Curncy</t>
  </si>
  <si>
    <t>ADBBCF5 IAUS Curncy</t>
  </si>
  <si>
    <t>ADBBCF6 IAUS Curncy</t>
  </si>
  <si>
    <t>ADBBCF7 IAUS Curncy</t>
  </si>
  <si>
    <t>ADBBCF8 IAUS Curncy</t>
  </si>
  <si>
    <t>ADBBCF9 IAUS Curncy</t>
  </si>
  <si>
    <t>ADBBCF10 IAUS Curncy</t>
  </si>
  <si>
    <t>ADBBCF12 IAUS Curncy</t>
  </si>
  <si>
    <t>ADBBCF15 IAUS Curncy</t>
  </si>
  <si>
    <t>ADBBCF20 IAUS Curncy</t>
  </si>
  <si>
    <t>ADBBCF25 IAUS Curncy</t>
  </si>
  <si>
    <t>ADBBCF30 IAUS Curncy</t>
  </si>
  <si>
    <t>2Y</t>
  </si>
  <si>
    <t>3Y</t>
  </si>
  <si>
    <t>4Y</t>
  </si>
  <si>
    <t>5Y</t>
  </si>
  <si>
    <t>6Y</t>
  </si>
  <si>
    <t>7Y</t>
  </si>
  <si>
    <t>8Y</t>
  </si>
  <si>
    <t>9Y</t>
  </si>
  <si>
    <t>12Y</t>
  </si>
  <si>
    <t>10Y</t>
  </si>
  <si>
    <t>15Y</t>
  </si>
  <si>
    <t>20Y</t>
  </si>
  <si>
    <t>25Y</t>
  </si>
  <si>
    <t>30Y</t>
  </si>
  <si>
    <t>Tenor Basis 3M vs 6M</t>
  </si>
  <si>
    <t>1Y</t>
  </si>
  <si>
    <r>
      <t xml:space="preserve">ADSF1Q </t>
    </r>
    <r>
      <rPr>
        <b/>
        <sz val="11"/>
        <color rgb="FFC00000"/>
        <rFont val="Calibri"/>
        <family val="2"/>
        <scheme val="minor"/>
      </rPr>
      <t>WBCA</t>
    </r>
    <r>
      <rPr>
        <sz val="11"/>
        <color theme="1"/>
        <rFont val="Calibri"/>
        <family val="2"/>
        <scheme val="minor"/>
      </rPr>
      <t xml:space="preserve"> Curncy</t>
    </r>
  </si>
  <si>
    <t>Benchmark Side</t>
  </si>
  <si>
    <t>Benchmark Tenor</t>
  </si>
  <si>
    <t>… BENCHMARK LEVEL</t>
  </si>
  <si>
    <t>BondFrequency</t>
  </si>
  <si>
    <t>Benchmark Level (%)</t>
  </si>
  <si>
    <t>Override Benchmark (%)</t>
  </si>
  <si>
    <t>BENCHMARK LEVEL</t>
  </si>
  <si>
    <t>SWP Q</t>
  </si>
  <si>
    <t>SWP S</t>
  </si>
  <si>
    <t>MARKETDATAPROPERTIES</t>
  </si>
  <si>
    <t>OIS</t>
  </si>
  <si>
    <t>OISFIXINGS</t>
  </si>
  <si>
    <t>LIBOROISBASISSPREADS</t>
  </si>
  <si>
    <t>SWAPS</t>
  </si>
  <si>
    <t>Term</t>
  </si>
  <si>
    <t>StartDate</t>
  </si>
  <si>
    <t>EndDate</t>
  </si>
  <si>
    <t>BaseDate</t>
  </si>
  <si>
    <t>3ML</t>
  </si>
  <si>
    <t>CurveType</t>
  </si>
  <si>
    <t>CurveIndexFrequency</t>
  </si>
  <si>
    <t>DAILY</t>
  </si>
  <si>
    <t>AsOfDate</t>
  </si>
  <si>
    <t>6ML</t>
  </si>
  <si>
    <t>Create Market Data Handle</t>
  </si>
  <si>
    <t>AUD_OIS_CURVE_MARKETDATA</t>
  </si>
  <si>
    <t>Market Data Handle</t>
  </si>
  <si>
    <t>Curve Dictionary</t>
  </si>
  <si>
    <t>AUD_OIS_CURVE</t>
  </si>
  <si>
    <t>Curve Generator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</si>
  <si>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</si>
  <si>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</si>
  <si>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</si>
  <si>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</si>
  <si>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</si>
  <si>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</si>
  <si>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</si>
  <si>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ON</t>
  </si>
  <si>
    <t>1W</t>
  </si>
  <si>
    <t>4M</t>
  </si>
  <si>
    <t>5M</t>
  </si>
  <si>
    <t>9M</t>
  </si>
  <si>
    <t>Start</t>
  </si>
  <si>
    <t>Maturity</t>
  </si>
  <si>
    <t>Create Curve Generator</t>
  </si>
  <si>
    <t>CURVEPROPERTIES</t>
  </si>
  <si>
    <t>StaticDataTable</t>
  </si>
  <si>
    <t>IndexName</t>
  </si>
  <si>
    <t>OIS:AUDOIS:AUDDF:AUDDF_AUDCSA:AUDDF_NOCSA</t>
  </si>
  <si>
    <t>interpolation</t>
  </si>
  <si>
    <t>FN_SPLINEINTERPOLATION</t>
  </si>
  <si>
    <t>yieldgen.interpolation</t>
  </si>
  <si>
    <t>calendar</t>
  </si>
  <si>
    <t>SYB:LNB</t>
  </si>
  <si>
    <t>daycount</t>
  </si>
  <si>
    <t>frequency</t>
  </si>
  <si>
    <t>ANNUAL</t>
  </si>
  <si>
    <t>generatemethod</t>
  </si>
  <si>
    <t>DAILYCOMPOUNDING</t>
  </si>
  <si>
    <t>resetlag</t>
  </si>
  <si>
    <t>firstrate</t>
  </si>
  <si>
    <t>SHORTMARKET</t>
  </si>
  <si>
    <t>slidingrule</t>
  </si>
  <si>
    <t>eomday</t>
  </si>
  <si>
    <t>iseomroll</t>
  </si>
  <si>
    <t>shorttermconvention</t>
  </si>
  <si>
    <t>ARITHMETICAVERAGE</t>
  </si>
  <si>
    <t>longtermconvention</t>
  </si>
  <si>
    <t>longterm</t>
  </si>
  <si>
    <t>longterm.generatemethod</t>
  </si>
  <si>
    <t>Epsilon</t>
  </si>
  <si>
    <t>MaxLoop</t>
  </si>
  <si>
    <t>CompoundingMethod</t>
  </si>
  <si>
    <t>GEOMETRIC</t>
  </si>
  <si>
    <t>SmoothShortEnd</t>
  </si>
  <si>
    <t>LIBOROISBASIS</t>
  </si>
  <si>
    <t>OIS FLOAT LEG CONVENTIONS</t>
  </si>
  <si>
    <t>slidingRule</t>
  </si>
  <si>
    <t>LIBOR SWAP CONVENTIONS - FIXED LEG</t>
  </si>
  <si>
    <t>SYB:LnB</t>
  </si>
  <si>
    <t>daycountfix</t>
  </si>
  <si>
    <t>frequencyfix</t>
  </si>
  <si>
    <t>Semi-Annual</t>
  </si>
  <si>
    <t>frequencyfix.1y</t>
  </si>
  <si>
    <t>frequencyfix.2y</t>
  </si>
  <si>
    <t>frequencyfix.3y</t>
  </si>
  <si>
    <t>HandleName</t>
  </si>
  <si>
    <t>AUD_OIS_CURVE_GENERATOR</t>
  </si>
  <si>
    <t>CREATE GENERATOR</t>
  </si>
  <si>
    <t>LIBORFIXINGS</t>
  </si>
  <si>
    <t>FRAS</t>
  </si>
  <si>
    <t>FUTURES</t>
  </si>
  <si>
    <t>Volatility</t>
  </si>
  <si>
    <t>SWAP</t>
  </si>
  <si>
    <t>AUD OIS</t>
  </si>
  <si>
    <t>AUD 3ML</t>
  </si>
  <si>
    <t>BASISSWAPS</t>
  </si>
  <si>
    <t>STD</t>
  </si>
  <si>
    <t>STD:AUD3ML</t>
  </si>
  <si>
    <t>FN_LINEARSPLINEINTERPOLATION</t>
  </si>
  <si>
    <t>isfrause</t>
  </si>
  <si>
    <t>isfutureuse</t>
  </si>
  <si>
    <t>future.interpolation</t>
  </si>
  <si>
    <t>SIMPLE</t>
  </si>
  <si>
    <t>dfcurvename</t>
  </si>
  <si>
    <t>IsSwapTenorAdjust</t>
  </si>
  <si>
    <t>TenorSwapName</t>
  </si>
  <si>
    <t>3M6MBasis</t>
  </si>
  <si>
    <t>FastRebuild</t>
  </si>
  <si>
    <t>MONEYMARKET</t>
  </si>
  <si>
    <t>Slidingrule</t>
  </si>
  <si>
    <t>FOLLOWING</t>
  </si>
  <si>
    <t>Simple</t>
  </si>
  <si>
    <t>Resetlag</t>
  </si>
  <si>
    <t>SlidingRule</t>
  </si>
  <si>
    <t>ResetLag</t>
  </si>
  <si>
    <t>ApplyTension</t>
  </si>
  <si>
    <t>TensionGap</t>
  </si>
  <si>
    <t>Act/360</t>
  </si>
  <si>
    <t>2</t>
  </si>
  <si>
    <t>MeanReversion</t>
  </si>
  <si>
    <t>DayCountFix</t>
  </si>
  <si>
    <t>DayCountFloat</t>
  </si>
  <si>
    <t>SEMI-ANNUAL</t>
  </si>
  <si>
    <t>FrequencyFix.1y</t>
  </si>
  <si>
    <t>FrequencyFix.2y</t>
  </si>
  <si>
    <t>FrequencyFix.3y</t>
  </si>
  <si>
    <t>FrequencyFloat</t>
  </si>
  <si>
    <t>FrequencyFloat.1y</t>
  </si>
  <si>
    <t>FrequencyFloat.2y</t>
  </si>
  <si>
    <t>FrequencyFloat.3y</t>
  </si>
  <si>
    <t>IsNewtonraphson</t>
  </si>
  <si>
    <t>issimultaneouseq</t>
  </si>
  <si>
    <t>BaseFrequencyFloat</t>
  </si>
  <si>
    <t>IsEomRoll</t>
  </si>
  <si>
    <t>IsLeg1Spread</t>
  </si>
  <si>
    <t>Leg1cashlet.calendar</t>
  </si>
  <si>
    <t>Leg1cashlet.daycount</t>
  </si>
  <si>
    <t>Leg1cashlet.frequency</t>
  </si>
  <si>
    <t>Leg1cashlet.slidingrule</t>
  </si>
  <si>
    <t>Leg1cashlet.spotlag</t>
  </si>
  <si>
    <t>Leg1discount</t>
  </si>
  <si>
    <t>Leg1forecast</t>
  </si>
  <si>
    <t>Leg1index.accessary</t>
  </si>
  <si>
    <t>Leg1index.daycount</t>
  </si>
  <si>
    <t>Leg1index.fixing.calendar</t>
  </si>
  <si>
    <t>Leg1index.frequency</t>
  </si>
  <si>
    <t>Leg1index.payment.calendar</t>
  </si>
  <si>
    <t>Leg1index.resetlag</t>
  </si>
  <si>
    <t>Leg1index.slidingrule</t>
  </si>
  <si>
    <t>Leg2cashlet.calendar</t>
  </si>
  <si>
    <t>Leg2cashlet.daycount</t>
  </si>
  <si>
    <t>Leg2cashlet.frequency</t>
  </si>
  <si>
    <t>Quarterly</t>
  </si>
  <si>
    <t>Leg2cashlet.slidingrule</t>
  </si>
  <si>
    <t>Leg2cashlet.spotlag</t>
  </si>
  <si>
    <t>Leg2discount</t>
  </si>
  <si>
    <t>Leg2forecast</t>
  </si>
  <si>
    <t>Leg2index.accessary</t>
  </si>
  <si>
    <t>Leg2index.daycount</t>
  </si>
  <si>
    <t>Leg2index.fixing.calendar</t>
  </si>
  <si>
    <t>Leg2index.frequency</t>
  </si>
  <si>
    <t>Leg2index.payment.calendar</t>
  </si>
  <si>
    <t>Leg2index.resetlag</t>
  </si>
  <si>
    <t>Leg2index.slidingrule</t>
  </si>
  <si>
    <t>Target</t>
  </si>
  <si>
    <t>Leg2Forecast</t>
  </si>
  <si>
    <t>issamegridindex</t>
  </si>
  <si>
    <t>AUD3ML - GENERATOR TEMPLATE</t>
  </si>
  <si>
    <t>AUDOIS - GENERATOR TEMPLATE</t>
  </si>
  <si>
    <t>AUD_3ML_CURVE_GENERATOR</t>
  </si>
  <si>
    <t>AUD_SWAP_3M_CURVE</t>
  </si>
  <si>
    <t>AUD_SWAP_3ML_CURVE_MARKETDATA</t>
  </si>
  <si>
    <t>LOBASIS</t>
  </si>
  <si>
    <t>0Y</t>
  </si>
  <si>
    <t>Libor-OIS Q</t>
  </si>
  <si>
    <t>Basis 3X6</t>
  </si>
  <si>
    <t>Credit Spread (bps)</t>
  </si>
  <si>
    <t>New Issue Yield Approx (%)</t>
  </si>
  <si>
    <t>AUD 6ML</t>
  </si>
  <si>
    <t>AUD_SWAP_6ML_CURVE_MARKETDATA</t>
  </si>
  <si>
    <t>AUD_6ML_CURVE_GENERATOR</t>
  </si>
  <si>
    <t>isfraUse</t>
  </si>
  <si>
    <t>isfutureUse</t>
  </si>
  <si>
    <t>1x7</t>
  </si>
  <si>
    <t>2x8</t>
  </si>
  <si>
    <t>3x9</t>
  </si>
  <si>
    <t>AccrualFrequency</t>
  </si>
  <si>
    <t>PaymentFrequency</t>
  </si>
  <si>
    <t>FundingAccrualFrequency</t>
  </si>
  <si>
    <t>FundingPaymentFrequency</t>
  </si>
  <si>
    <t>PRICING PARAMETERS</t>
  </si>
  <si>
    <t>Side: Bid/Ask</t>
  </si>
  <si>
    <t>Type: Govt/Corp</t>
  </si>
  <si>
    <t>GOVT</t>
  </si>
  <si>
    <t>Bloomberg ID</t>
  </si>
  <si>
    <t>Bloomberg Yield</t>
  </si>
  <si>
    <t>Yield Override</t>
  </si>
  <si>
    <t>BOND Z-SPREAD</t>
  </si>
  <si>
    <t>BondName</t>
  </si>
  <si>
    <t>BondPrice</t>
  </si>
  <si>
    <t>Z-Spread</t>
  </si>
  <si>
    <t>PrevCouponDate</t>
  </si>
  <si>
    <t>NextCouponDate</t>
  </si>
  <si>
    <t>ASSET SWAP RESULTS</t>
  </si>
  <si>
    <t>Asset Swap Spread (Bps)</t>
  </si>
  <si>
    <t>Override ASW Spread (Bps)</t>
  </si>
  <si>
    <t>FromAssetSwapToBondCleanPrice</t>
  </si>
  <si>
    <t>BondYield</t>
  </si>
  <si>
    <t>SWAP SPECIFICATION</t>
  </si>
  <si>
    <t>Create Swap</t>
  </si>
  <si>
    <t>CompoundMethod</t>
  </si>
  <si>
    <t>FLAT</t>
  </si>
  <si>
    <t>Leg1:Fixed</t>
  </si>
  <si>
    <t>AUD_SWAP</t>
  </si>
  <si>
    <t>BondAccrualFrequency</t>
  </si>
  <si>
    <t>BondPaymentFrequency</t>
  </si>
  <si>
    <t>PX_MID</t>
  </si>
  <si>
    <t>PricingSource (PCS)</t>
  </si>
  <si>
    <t>Broker</t>
  </si>
  <si>
    <t>Database</t>
  </si>
  <si>
    <t>Index</t>
  </si>
  <si>
    <t>Curncy</t>
  </si>
  <si>
    <t>RBACOR</t>
  </si>
  <si>
    <t>ADSO1Z</t>
  </si>
  <si>
    <t>ADSOA</t>
  </si>
  <si>
    <t>ADSOB</t>
  </si>
  <si>
    <t>ADSOC</t>
  </si>
  <si>
    <t>ADSOD</t>
  </si>
  <si>
    <t>ADSOE</t>
  </si>
  <si>
    <t>ADSOF</t>
  </si>
  <si>
    <t>ADSOI</t>
  </si>
  <si>
    <t>ADSO1</t>
  </si>
  <si>
    <t>ADSO2</t>
  </si>
  <si>
    <t>ADSO3</t>
  </si>
  <si>
    <t>ADSO4</t>
  </si>
  <si>
    <t>ADSO5</t>
  </si>
  <si>
    <t>ADSO6</t>
  </si>
  <si>
    <t>ADSO7</t>
  </si>
  <si>
    <t>ADSO8</t>
  </si>
  <si>
    <t>ADSO9</t>
  </si>
  <si>
    <t>ADSO10</t>
  </si>
  <si>
    <t>ADSO15</t>
  </si>
  <si>
    <t>ADSO20</t>
  </si>
  <si>
    <t>ADSO25</t>
  </si>
  <si>
    <t>ADSO30</t>
  </si>
  <si>
    <t>Used</t>
  </si>
  <si>
    <t>InstrumentID</t>
  </si>
  <si>
    <t>CloseOfBusiness (COB)</t>
  </si>
  <si>
    <t>isCOBToday</t>
  </si>
  <si>
    <t>Result</t>
  </si>
  <si>
    <t>Side</t>
  </si>
  <si>
    <t>ADBBCO1</t>
  </si>
  <si>
    <t>ADBBCO2</t>
  </si>
  <si>
    <t>ADBBCO3</t>
  </si>
  <si>
    <t>ADBBCO4</t>
  </si>
  <si>
    <t>ADBBCO5</t>
  </si>
  <si>
    <t>ADBBCO6</t>
  </si>
  <si>
    <t>ADBBCO7</t>
  </si>
  <si>
    <t>ADBBCO8</t>
  </si>
  <si>
    <t>ADBBCO9</t>
  </si>
  <si>
    <t>ADBBCO10</t>
  </si>
  <si>
    <t>ADBBCO15</t>
  </si>
  <si>
    <t>ADBBCO20</t>
  </si>
  <si>
    <t>ADBBCO25</t>
  </si>
  <si>
    <t>ADBBCO30</t>
  </si>
  <si>
    <t>ADBBCF1</t>
  </si>
  <si>
    <t>ADBBCF2</t>
  </si>
  <si>
    <t>ADBBCF3</t>
  </si>
  <si>
    <t>ADBBCF4</t>
  </si>
  <si>
    <t>ADBBCF5</t>
  </si>
  <si>
    <t>ADBBCF6</t>
  </si>
  <si>
    <t>ADBBCF7</t>
  </si>
  <si>
    <t>ADBBCF8</t>
  </si>
  <si>
    <t>ADBBCF9</t>
  </si>
  <si>
    <t>ADBBCF10</t>
  </si>
  <si>
    <t>ADBBCF15</t>
  </si>
  <si>
    <t>ADBBCF20</t>
  </si>
  <si>
    <t>ADBBCF25</t>
  </si>
  <si>
    <t>ADBBCF30</t>
  </si>
  <si>
    <t xml:space="preserve">OIS </t>
  </si>
  <si>
    <t>ADSW1Q</t>
  </si>
  <si>
    <t>ADSW2Q</t>
  </si>
  <si>
    <t>ADSW3Q</t>
  </si>
  <si>
    <t>ADSW4</t>
  </si>
  <si>
    <t>ADSW5</t>
  </si>
  <si>
    <t>ADSW6</t>
  </si>
  <si>
    <t>ADSW7</t>
  </si>
  <si>
    <t>ADSW8</t>
  </si>
  <si>
    <t>ADSW9</t>
  </si>
  <si>
    <t>ADSW10</t>
  </si>
  <si>
    <t>ADSW15</t>
  </si>
  <si>
    <t>ADSW20</t>
  </si>
  <si>
    <t>ADSW25</t>
  </si>
  <si>
    <t>ADSW30</t>
  </si>
  <si>
    <t>OIS.Outrights</t>
  </si>
  <si>
    <t>OIS.LiborOIS</t>
  </si>
  <si>
    <t>Check for Missing Instrument Data</t>
  </si>
  <si>
    <t>Settings</t>
  </si>
  <si>
    <t>OIS.TenorBasis</t>
  </si>
  <si>
    <t>OIS.IRS</t>
  </si>
  <si>
    <t>Curve</t>
  </si>
  <si>
    <t>MissingDataPts</t>
  </si>
  <si>
    <t>ADBB1M</t>
  </si>
  <si>
    <t>ADBB3M</t>
  </si>
  <si>
    <t>ADBB6M</t>
  </si>
  <si>
    <t>Comdty</t>
  </si>
  <si>
    <t>IR1</t>
  </si>
  <si>
    <t>IR2</t>
  </si>
  <si>
    <t>IR3</t>
  </si>
  <si>
    <t>IR4</t>
  </si>
  <si>
    <t>IR5</t>
  </si>
  <si>
    <t>IR6</t>
  </si>
  <si>
    <t>INT_RATE_FUT_START_DT</t>
  </si>
  <si>
    <t>INT_RATE_FUT_END_DT</t>
  </si>
  <si>
    <t>FUTURES.DATES</t>
  </si>
  <si>
    <t>Swap3M.LiborFixings</t>
  </si>
  <si>
    <t>Swap3M.Futures</t>
  </si>
  <si>
    <t>Swap3M.Futures.Dates</t>
  </si>
  <si>
    <t>Swap3M.IRS</t>
  </si>
  <si>
    <t>Swap3M.TenorBasis</t>
  </si>
  <si>
    <t>ADFR0AG</t>
  </si>
  <si>
    <t>ADFR0BH</t>
  </si>
  <si>
    <t>ADFR0CI</t>
  </si>
  <si>
    <t>Swap6M.Fixings</t>
  </si>
  <si>
    <t>Swap6M.FRAs</t>
  </si>
  <si>
    <t>Swap6M.IRS</t>
  </si>
  <si>
    <t>Futures.Data</t>
  </si>
  <si>
    <t>Futures.Dates</t>
  </si>
  <si>
    <t>Fixing.Data</t>
  </si>
  <si>
    <t>ADSW1</t>
  </si>
  <si>
    <t>ADSW2</t>
  </si>
  <si>
    <t xml:space="preserve">ADSW3 </t>
  </si>
  <si>
    <t>ADSW12</t>
  </si>
  <si>
    <t>Curve Data Monitor</t>
  </si>
  <si>
    <t>Curve Display Settings</t>
  </si>
  <si>
    <t>CurveIndices</t>
  </si>
  <si>
    <t>EnableCurveChart</t>
  </si>
  <si>
    <t>… Curve Generator Templtes</t>
  </si>
  <si>
    <t>AUD Curve Chart</t>
  </si>
  <si>
    <t>… Curve Display</t>
  </si>
  <si>
    <t>RESULT</t>
  </si>
  <si>
    <t>ParRate (%)</t>
  </si>
  <si>
    <t>&lt;&lt; AUDOIS</t>
  </si>
  <si>
    <t>&lt;&lt; AUD3ML</t>
  </si>
  <si>
    <t>CurveSide (Bid-Offer)</t>
  </si>
  <si>
    <t>Futures.Convexity.HW1F.Vol (%)</t>
  </si>
  <si>
    <t>MaturityOrTenor</t>
  </si>
  <si>
    <t>&lt;&lt; AUD6ML</t>
  </si>
  <si>
    <t>AUD6ML - GENERATOR TEMPLATE</t>
  </si>
  <si>
    <t>Trade Dates</t>
  </si>
  <si>
    <t>Generator</t>
  </si>
  <si>
    <t>PayRec</t>
  </si>
  <si>
    <t>Spread</t>
  </si>
  <si>
    <t>AUD_OIS</t>
  </si>
  <si>
    <t>SWAPS: AUDOIS</t>
  </si>
  <si>
    <t>CreateSwap</t>
  </si>
  <si>
    <t>ParRate</t>
  </si>
  <si>
    <t>+/- (Bps)</t>
  </si>
  <si>
    <t>Unadjusted</t>
  </si>
  <si>
    <t>SWAPS:AUD3ML/AUD6ML</t>
  </si>
  <si>
    <t>AUD_3ML</t>
  </si>
  <si>
    <t>AUD_6ML</t>
  </si>
  <si>
    <t>AllowCalibrationUpdates</t>
  </si>
  <si>
    <t>OverrideDate</t>
  </si>
  <si>
    <t>ForwardStartTenor</t>
  </si>
  <si>
    <t>BondDaycount</t>
  </si>
  <si>
    <t>BondQuoteCleanOrDirty</t>
  </si>
  <si>
    <t>CLEAN</t>
  </si>
  <si>
    <t>AsOfDay</t>
  </si>
  <si>
    <t>ExdividendTenor</t>
  </si>
  <si>
    <t>ExdividendBusinessDayAdjustment</t>
  </si>
  <si>
    <t>7D</t>
  </si>
  <si>
    <t>VALUATION SETTINGS</t>
  </si>
  <si>
    <t>SwapCurve.Interpolation</t>
  </si>
  <si>
    <t>SPLINE</t>
  </si>
  <si>
    <t>LNB:SYB</t>
  </si>
  <si>
    <t>PRECEDING</t>
  </si>
  <si>
    <t>QUOTE_TO_3_DECIMAL_PLACES</t>
  </si>
  <si>
    <t>AUD_SWAP_6M_CURVE</t>
  </si>
  <si>
    <t>Curve Forward Rates</t>
  </si>
  <si>
    <t>40Y</t>
  </si>
  <si>
    <t>50Y</t>
  </si>
  <si>
    <t>Extrapolation</t>
  </si>
  <si>
    <t>FIRST FLOAT RESET</t>
  </si>
  <si>
    <t>ADBB1M Curncy</t>
  </si>
  <si>
    <t>ADBB3M Curncy</t>
  </si>
  <si>
    <t>ADBB6M Curncy</t>
  </si>
  <si>
    <t>ADBB12M Curncy</t>
  </si>
  <si>
    <t>AU3CB0250215 Corp</t>
  </si>
  <si>
    <t>OVERRIDE</t>
  </si>
  <si>
    <r>
      <t>FundingIncludeAccrued</t>
    </r>
    <r>
      <rPr>
        <sz val="11"/>
        <color rgb="FFC00000"/>
        <rFont val="Calibri"/>
        <family val="2"/>
        <scheme val="minor"/>
      </rPr>
      <t xml:space="preserve"> *</t>
    </r>
  </si>
  <si>
    <t>* Funding Leg: TRUE = Full First Float Coupon</t>
  </si>
  <si>
    <r>
      <t>IncludeAccrued</t>
    </r>
    <r>
      <rPr>
        <sz val="11"/>
        <color rgb="FFC00000"/>
        <rFont val="Calibri"/>
        <family val="2"/>
        <scheme val="minor"/>
      </rPr>
      <t xml:space="preserve"> *</t>
    </r>
  </si>
  <si>
    <t>FULL FIRST RESET RATE</t>
  </si>
  <si>
    <t>FRONT STUB RATE</t>
  </si>
  <si>
    <t>ADBB2M Curncy</t>
  </si>
  <si>
    <t>AUDDF</t>
  </si>
  <si>
    <t>AO836930 Corp</t>
  </si>
  <si>
    <t>AU555712 Corp</t>
  </si>
  <si>
    <t>EJ036821 Corp</t>
  </si>
  <si>
    <t>UV471848 Corp</t>
  </si>
  <si>
    <t>EK841545 Corp</t>
  </si>
  <si>
    <t>AM152866 Corp</t>
  </si>
  <si>
    <t>EJ847557 Corp</t>
  </si>
  <si>
    <t>LW020767 Corp</t>
  </si>
  <si>
    <t>AP364296 Corp</t>
  </si>
  <si>
    <t>AS904985 Corp</t>
  </si>
  <si>
    <t>EI405114 Corp</t>
  </si>
  <si>
    <t>AM564740 Corp</t>
  </si>
  <si>
    <t>EJ244569 Corp</t>
  </si>
  <si>
    <t>JV319866 Corp</t>
  </si>
  <si>
    <t>EK821167 Corp</t>
  </si>
  <si>
    <t>AT496992 Corp</t>
  </si>
  <si>
    <t>AQ762933 Corp</t>
  </si>
  <si>
    <t>QZ542945 Corp</t>
  </si>
  <si>
    <t>EH994413 Corp</t>
  </si>
  <si>
    <t>EJ679130 Corp</t>
  </si>
  <si>
    <t>EJ393853 Corp</t>
  </si>
  <si>
    <t>QJ152182 Corp</t>
  </si>
  <si>
    <t>EK544675 Corp</t>
  </si>
  <si>
    <t>GG728188 Corp</t>
  </si>
  <si>
    <t>EK115060 Corp</t>
  </si>
  <si>
    <t>EH807646 Corp</t>
  </si>
  <si>
    <t>EJ943727 Corp</t>
  </si>
  <si>
    <t>EI849265 Corp</t>
  </si>
  <si>
    <t>EI683148 Corp</t>
  </si>
  <si>
    <t>EG821160 Corp</t>
  </si>
  <si>
    <t>EI214281 Corp</t>
  </si>
  <si>
    <t>ID_ISIN</t>
  </si>
  <si>
    <t>Valuation Date</t>
  </si>
  <si>
    <t>Settlement Date</t>
  </si>
  <si>
    <t>Bond Generator</t>
  </si>
  <si>
    <t>AUSTRALIAN_GOVT_TYPE23</t>
  </si>
  <si>
    <t>YLD_YTM_ASK</t>
  </si>
  <si>
    <t>Bond Identifier</t>
  </si>
  <si>
    <t>QuoteType</t>
  </si>
  <si>
    <t>CreateBond</t>
  </si>
  <si>
    <t>CleanPrice</t>
  </si>
  <si>
    <t>DirtyPrice</t>
  </si>
  <si>
    <t>ModDuration</t>
  </si>
  <si>
    <t>CPN</t>
  </si>
  <si>
    <t>SECURITY_DES</t>
  </si>
  <si>
    <t>ISSUE_DT</t>
  </si>
  <si>
    <t>START_ACC_DT</t>
  </si>
  <si>
    <t>FIRST_CPN_DT</t>
  </si>
  <si>
    <t>PENULTIMATE_CPN_DT</t>
  </si>
  <si>
    <t>MATURITY</t>
  </si>
  <si>
    <t>PX_DIRTY_CLEAN</t>
  </si>
  <si>
    <t>… Bond Static</t>
  </si>
  <si>
    <t>BBG_YTM</t>
  </si>
  <si>
    <t>Coupon Override</t>
  </si>
  <si>
    <t>EFP Benchmark</t>
  </si>
  <si>
    <t>BID</t>
  </si>
  <si>
    <t>EFP Bid</t>
  </si>
  <si>
    <t>EFP Ask</t>
  </si>
  <si>
    <t>MaturityYears</t>
  </si>
  <si>
    <t>MTY_YEARS</t>
  </si>
  <si>
    <t>DAY_CNT_DES</t>
  </si>
  <si>
    <t>ASK</t>
  </si>
  <si>
    <t>Accrued Days</t>
  </si>
  <si>
    <t>Accrued Int</t>
  </si>
  <si>
    <t>EFP YTM</t>
  </si>
  <si>
    <t>IAUS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</si>
</sst>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"/>
    <numFmt numFmtId="165" formatCode="0.000000%"/>
    <numFmt numFmtId="166" formatCode="ddd\ d\-mmm\-yy"/>
    <numFmt numFmtId="167" formatCode="#,##0.0000"/>
    <numFmt numFmtId="168" formatCode="ddd\,\ d\-mmm\-yy"/>
    <numFmt numFmtId="169" formatCode="0.00000%"/>
    <numFmt numFmtId="170" formatCode="0.000%"/>
    <numFmt numFmtId="171" formatCode="0.0000%"/>
    <numFmt numFmtId="172" formatCode="_(&quot;$&quot;* #,##0.00_);_(&quot;$&quot;* \(#,##0.00\);_(&quot;$&quot;* &quot;-&quot;??_);_(@_)"/>
    <numFmt numFmtId="173" formatCode="0\ &quot; days&quot;"/>
    <numFmt numFmtId="174" formatCode="mmm\-yyyy"/>
    <numFmt numFmtId="175" formatCode="0.000"/>
    <numFmt numFmtId="176" formatCode="dd/m/yy"/>
    <numFmt numFmtId="177" formatCode="_(&quot;$&quot;* #,##0_);_(&quot;$&quot;* \(#,##0\);_(&quot;$&quot;* &quot;-&quot;_);_(@_)"/>
    <numFmt numFmtId="178" formatCode="0.00_)"/>
    <numFmt numFmtId="179" formatCode="dd\-mmm\-yy;dd\-mmm\-yy;"/>
    <numFmt numFmtId="180" formatCode="_ * #,##0_ ;_ * \-#,##0_ ;_ * &quot;-&quot;_ ;_ @_ "/>
    <numFmt numFmtId="181" formatCode="0.00000"/>
    <numFmt numFmtId="182" formatCode="#,##0.00000"/>
  </numFmts>
  <fonts count="1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39933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9933"/>
        <bgColor indexed="64"/>
      </patternFill>
    </fill>
  </fills>
  <borders count="8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/>
      <right style="double">
        <color theme="0" tint="-0.14996795556505021"/>
      </right>
      <top/>
      <bottom/>
      <diagonal/>
    </border>
    <border>
      <left/>
      <right/>
      <top/>
      <bottom style="double">
        <color theme="0" tint="-0.14996795556505021"/>
      </bottom>
      <diagonal/>
    </border>
    <border>
      <left/>
      <right style="double">
        <color theme="0" tint="-0.14996795556505021"/>
      </right>
      <top/>
      <bottom style="double">
        <color theme="0" tint="-0.14996795556505021"/>
      </bottom>
      <diagonal/>
    </border>
    <border>
      <left/>
      <right/>
      <top style="double">
        <color theme="0" tint="-0.14990691854609822"/>
      </top>
      <bottom/>
      <diagonal/>
    </border>
    <border>
      <left/>
      <right style="double">
        <color theme="0" tint="-0.14990691854609822"/>
      </right>
      <top style="double">
        <color theme="0" tint="-0.14990691854609822"/>
      </top>
      <bottom/>
      <diagonal/>
    </border>
    <border>
      <left style="double">
        <color theme="0" tint="-0.1498764000366222"/>
      </left>
      <right/>
      <top style="double">
        <color theme="0" tint="-0.14990691854609822"/>
      </top>
      <bottom/>
      <diagonal/>
    </border>
    <border>
      <left style="double">
        <color theme="0" tint="-0.1498764000366222"/>
      </left>
      <right/>
      <top/>
      <bottom/>
      <diagonal/>
    </border>
    <border>
      <left style="double">
        <color theme="0" tint="-0.1498764000366222"/>
      </left>
      <right/>
      <top/>
      <bottom style="double">
        <color theme="0" tint="-0.14996795556505021"/>
      </bottom>
      <diagonal/>
    </border>
  </borders>
  <cellStyleXfs count="8445">
    <xf numFmtId="0" fontId="0" fillId="0" borderId="0"/>
    <xf numFmtId="41" fontId="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3" fillId="0" borderId="0">
      <alignment vertical="center"/>
    </xf>
    <xf numFmtId="9" fontId="14" fillId="0" borderId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13" borderId="0" applyNumberFormat="0" applyBorder="0" applyAlignment="0" applyProtection="0"/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1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8" borderId="0" applyNumberFormat="0" applyBorder="0" applyAlignment="0" applyProtection="0"/>
    <xf numFmtId="0" fontId="16" fillId="29" borderId="0" applyNumberFormat="0" applyBorder="0" applyAlignment="0" applyProtection="0"/>
    <xf numFmtId="0" fontId="16" fillId="17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5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30" borderId="0" applyNumberFormat="0" applyBorder="0" applyAlignment="0" applyProtection="0"/>
    <xf numFmtId="0" fontId="16" fillId="19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7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1" borderId="0" applyNumberFormat="0" applyBorder="0" applyAlignment="0" applyProtection="0"/>
    <xf numFmtId="0" fontId="16" fillId="29" borderId="0" applyNumberFormat="0" applyBorder="0" applyAlignment="0" applyProtection="0"/>
    <xf numFmtId="0" fontId="16" fillId="37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8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7" fillId="0" borderId="10" applyNumberFormat="0" applyFill="0" applyAlignment="0" applyProtection="0">
      <alignment horizontal="left"/>
    </xf>
    <xf numFmtId="0" fontId="18" fillId="0" borderId="10">
      <protection hidden="1"/>
    </xf>
    <xf numFmtId="0" fontId="19" fillId="40" borderId="0" applyNumberFormat="0" applyFont="0" applyBorder="0" applyAlignment="0" applyProtection="0"/>
    <xf numFmtId="0" fontId="12" fillId="18" borderId="0"/>
    <xf numFmtId="0" fontId="12" fillId="18" borderId="0"/>
    <xf numFmtId="0" fontId="12" fillId="18" borderId="0"/>
    <xf numFmtId="0" fontId="12" fillId="18" borderId="0"/>
    <xf numFmtId="0" fontId="12" fillId="18" borderId="0"/>
    <xf numFmtId="0" fontId="12" fillId="18" borderId="0"/>
    <xf numFmtId="0" fontId="12" fillId="18" borderId="0"/>
    <xf numFmtId="0" fontId="20" fillId="41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3" fillId="42" borderId="0"/>
    <xf numFmtId="0" fontId="24" fillId="43" borderId="0" applyNumberFormat="0" applyFont="0" applyBorder="0" applyAlignment="0" applyProtection="0">
      <alignment horizontal="center"/>
    </xf>
    <xf numFmtId="0" fontId="25" fillId="0" borderId="0">
      <alignment horizontal="right"/>
    </xf>
    <xf numFmtId="170" fontId="26" fillId="44" borderId="0"/>
    <xf numFmtId="0" fontId="27" fillId="45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3" fillId="35" borderId="12" applyNumberFormat="0" applyAlignment="0" applyProtection="0"/>
    <xf numFmtId="0" fontId="23" fillId="46" borderId="12" applyNumberFormat="0" applyAlignment="0" applyProtection="0"/>
    <xf numFmtId="0" fontId="23" fillId="46" borderId="12" applyNumberFormat="0" applyAlignment="0" applyProtection="0"/>
    <xf numFmtId="0" fontId="23" fillId="46" borderId="12" applyNumberFormat="0" applyAlignment="0" applyProtection="0"/>
    <xf numFmtId="0" fontId="29" fillId="0" borderId="10" applyNumberFormat="0" applyBorder="0" applyAlignment="0" applyProtection="0">
      <alignment horizontal="left"/>
    </xf>
    <xf numFmtId="38" fontId="30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2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33" fillId="0" borderId="0">
      <alignment horizontal="right"/>
    </xf>
    <xf numFmtId="0" fontId="14" fillId="47" borderId="13" applyNumberFormat="0" applyFont="0" applyBorder="0" applyAlignment="0" applyProtection="0">
      <alignment horizontal="centerContinuous"/>
    </xf>
    <xf numFmtId="0" fontId="34" fillId="48" borderId="0" applyNumberFormat="0" applyBorder="0" applyAlignment="0">
      <alignment horizontal="center"/>
    </xf>
    <xf numFmtId="0" fontId="35" fillId="49" borderId="14">
      <alignment horizontal="center"/>
      <protection locked="0"/>
    </xf>
    <xf numFmtId="15" fontId="36" fillId="50" borderId="15" applyFont="0" applyFill="0" applyBorder="0" applyAlignment="0" applyProtection="0">
      <alignment horizontal="left"/>
    </xf>
    <xf numFmtId="17" fontId="36" fillId="50" borderId="15" applyFont="0" applyFill="0" applyBorder="0" applyAlignment="0" applyProtection="0">
      <alignment horizontal="left"/>
    </xf>
    <xf numFmtId="0" fontId="36" fillId="50" borderId="0">
      <alignment vertical="center"/>
    </xf>
    <xf numFmtId="173" fontId="36" fillId="0" borderId="0" applyFont="0" applyFill="0" applyBorder="0" applyAlignment="0" applyProtection="0"/>
    <xf numFmtId="0" fontId="19" fillId="1" borderId="16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35" borderId="0"/>
    <xf numFmtId="174" fontId="39" fillId="51" borderId="17" applyBorder="0"/>
    <xf numFmtId="0" fontId="12" fillId="20" borderId="16"/>
    <xf numFmtId="0" fontId="12" fillId="20" borderId="16"/>
    <xf numFmtId="0" fontId="12" fillId="20" borderId="16"/>
    <xf numFmtId="0" fontId="12" fillId="20" borderId="16"/>
    <xf numFmtId="175" fontId="40" fillId="45" borderId="0"/>
    <xf numFmtId="0" fontId="41" fillId="52" borderId="16"/>
    <xf numFmtId="174" fontId="39" fillId="0" borderId="16"/>
    <xf numFmtId="174" fontId="39" fillId="53" borderId="16"/>
    <xf numFmtId="174" fontId="39" fillId="54" borderId="18" applyBorder="0"/>
    <xf numFmtId="174" fontId="39" fillId="55" borderId="16"/>
    <xf numFmtId="0" fontId="42" fillId="45" borderId="16"/>
    <xf numFmtId="0" fontId="38" fillId="56" borderId="16"/>
    <xf numFmtId="0" fontId="43" fillId="57" borderId="19" applyBorder="0">
      <alignment horizontal="right"/>
    </xf>
    <xf numFmtId="38" fontId="12" fillId="0" borderId="16"/>
    <xf numFmtId="0" fontId="12" fillId="0" borderId="16"/>
    <xf numFmtId="0" fontId="12" fillId="8" borderId="16"/>
    <xf numFmtId="0" fontId="12" fillId="8" borderId="16"/>
    <xf numFmtId="0" fontId="12" fillId="8" borderId="16"/>
    <xf numFmtId="0" fontId="12" fillId="8" borderId="16"/>
    <xf numFmtId="174" fontId="39" fillId="53" borderId="16"/>
    <xf numFmtId="0" fontId="44" fillId="51" borderId="20">
      <alignment horizontal="center"/>
    </xf>
    <xf numFmtId="174" fontId="39" fillId="45" borderId="16"/>
    <xf numFmtId="0" fontId="45" fillId="58" borderId="0"/>
    <xf numFmtId="0" fontId="46" fillId="0" borderId="0"/>
    <xf numFmtId="0" fontId="47" fillId="0" borderId="0" applyNumberFormat="0" applyFill="0" applyBorder="0" applyAlignment="0" applyProtection="0"/>
    <xf numFmtId="0" fontId="48" fillId="35" borderId="0">
      <alignment horizontal="center"/>
    </xf>
    <xf numFmtId="0" fontId="49" fillId="20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0" fillId="59" borderId="21" applyNumberFormat="0" applyFont="0" applyBorder="0" applyAlignment="0">
      <alignment horizontal="centerContinuous"/>
    </xf>
    <xf numFmtId="0" fontId="51" fillId="18" borderId="16" applyProtection="0">
      <alignment horizontal="center"/>
      <protection locked="0"/>
    </xf>
    <xf numFmtId="0" fontId="52" fillId="0" borderId="22" applyNumberFormat="0" applyFill="0" applyAlignment="0" applyProtection="0"/>
    <xf numFmtId="0" fontId="53" fillId="0" borderId="23" applyNumberFormat="0" applyFill="0" applyAlignment="0" applyProtection="0"/>
    <xf numFmtId="0" fontId="52" fillId="0" borderId="24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4" fillId="0" borderId="25" applyNumberFormat="0" applyFill="0" applyAlignment="0" applyProtection="0"/>
    <xf numFmtId="0" fontId="55" fillId="0" borderId="26" applyNumberFormat="0" applyFill="0" applyAlignment="0" applyProtection="0"/>
    <xf numFmtId="0" fontId="54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6" fillId="0" borderId="29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60" borderId="0" applyNumberFormat="0" applyFont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1" fillId="23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2" fontId="12" fillId="61" borderId="30" applyNumberFormat="0" applyBorder="0">
      <alignment horizontal="right" vertical="center"/>
    </xf>
    <xf numFmtId="2" fontId="62" fillId="62" borderId="31" applyBorder="0">
      <alignment horizontal="left" vertical="center"/>
    </xf>
    <xf numFmtId="10" fontId="63" fillId="45" borderId="0" applyBorder="0">
      <alignment horizontal="right"/>
      <protection locked="0"/>
    </xf>
    <xf numFmtId="15" fontId="63" fillId="45" borderId="16" applyBorder="0">
      <alignment horizontal="center"/>
      <protection locked="0"/>
    </xf>
    <xf numFmtId="15" fontId="63" fillId="45" borderId="0" applyBorder="0">
      <alignment horizontal="left"/>
      <protection locked="0"/>
    </xf>
    <xf numFmtId="0" fontId="64" fillId="63" borderId="0" applyFont="0" applyFill="0" applyBorder="0" applyAlignment="0" applyProtection="0">
      <alignment horizontal="right" vertical="center"/>
    </xf>
    <xf numFmtId="2" fontId="65" fillId="64" borderId="31" applyNumberFormat="0">
      <alignment horizontal="center" vertical="center"/>
    </xf>
    <xf numFmtId="0" fontId="66" fillId="0" borderId="10" applyNumberFormat="0" applyFill="0" applyBorder="0" applyAlignment="0" applyProtection="0"/>
    <xf numFmtId="176" fontId="67" fillId="18" borderId="21" applyBorder="0">
      <alignment horizontal="left"/>
      <protection locked="0"/>
    </xf>
    <xf numFmtId="176" fontId="67" fillId="18" borderId="32" applyBorder="0">
      <alignment horizontal="right"/>
      <protection locked="0"/>
    </xf>
    <xf numFmtId="0" fontId="68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43" fillId="0" borderId="20"/>
    <xf numFmtId="0" fontId="19" fillId="0" borderId="0"/>
    <xf numFmtId="0" fontId="71" fillId="0" borderId="10">
      <alignment horizontal="left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0" fontId="72" fillId="65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178" fontId="7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>
      <alignment vertical="center"/>
    </xf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8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75" fillId="0" borderId="10" applyNumberFormat="0" applyFill="0" applyBorder="0" applyAlignment="0" applyProtection="0">
      <alignment horizontal="left"/>
      <protection locked="0"/>
    </xf>
    <xf numFmtId="0" fontId="76" fillId="45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7" fillId="66" borderId="0" applyNumberFormat="0" applyFont="0" applyBorder="0" applyAlignment="0" applyProtection="0"/>
    <xf numFmtId="0" fontId="77" fillId="67" borderId="0" applyNumberFormat="0" applyFont="0" applyBorder="0" applyAlignment="0" applyProtection="0"/>
    <xf numFmtId="0" fontId="77" fillId="68" borderId="0" applyNumberFormat="0" applyFont="0" applyBorder="0" applyAlignment="0" applyProtection="0">
      <alignment horizontal="center"/>
    </xf>
    <xf numFmtId="0" fontId="77" fillId="69" borderId="36" applyNumberFormat="0" applyFont="0" applyBorder="0" applyAlignment="0" applyProtection="0"/>
    <xf numFmtId="0" fontId="77" fillId="70" borderId="36" applyNumberFormat="0" applyFont="0" applyBorder="0" applyAlignment="0"/>
    <xf numFmtId="0" fontId="77" fillId="71" borderId="36" applyNumberFormat="0" applyFont="0" applyBorder="0" applyAlignment="0"/>
    <xf numFmtId="0" fontId="19" fillId="72" borderId="0" applyNumberFormat="0" applyFont="0" applyBorder="0" applyAlignment="0" applyProtection="0">
      <alignment horizontal="center"/>
      <protection hidden="1"/>
    </xf>
    <xf numFmtId="0" fontId="12" fillId="40" borderId="0" applyNumberFormat="0" applyFont="0" applyBorder="0" applyAlignment="0" applyProtection="0">
      <protection hidden="1"/>
    </xf>
    <xf numFmtId="0" fontId="12" fillId="73" borderId="0" applyNumberFormat="0" applyFont="0" applyBorder="0" applyAlignment="0" applyProtection="0">
      <protection hidden="1"/>
    </xf>
    <xf numFmtId="0" fontId="12" fillId="74" borderId="0" applyNumberFormat="0" applyFont="0" applyBorder="0" applyAlignment="0" applyProtection="0">
      <protection hidden="1"/>
    </xf>
    <xf numFmtId="0" fontId="12" fillId="75" borderId="0" applyNumberFormat="0" applyFont="0" applyBorder="0" applyAlignment="0" applyProtection="0">
      <protection hidden="1"/>
    </xf>
    <xf numFmtId="0" fontId="12" fillId="76" borderId="0" applyNumberFormat="0" applyFont="0" applyBorder="0" applyAlignment="0" applyProtection="0">
      <protection hidden="1"/>
    </xf>
    <xf numFmtId="0" fontId="12" fillId="77" borderId="0" applyNumberFormat="0" applyFont="0" applyBorder="0" applyAlignment="0" applyProtection="0">
      <protection hidden="1"/>
    </xf>
    <xf numFmtId="9" fontId="12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6" fillId="50" borderId="15" applyFont="0" applyFill="0" applyBorder="0" applyAlignment="0" applyProtection="0">
      <alignment horizontal="left"/>
    </xf>
    <xf numFmtId="0" fontId="78" fillId="0" borderId="37" applyBorder="0"/>
    <xf numFmtId="0" fontId="36" fillId="78" borderId="0" applyFont="0" applyFill="0" applyBorder="0">
      <alignment horizontal="left"/>
    </xf>
    <xf numFmtId="0" fontId="79" fillId="0" borderId="0"/>
    <xf numFmtId="179" fontId="80" fillId="0" borderId="37" applyBorder="0">
      <alignment horizontal="center"/>
      <protection locked="0"/>
    </xf>
    <xf numFmtId="0" fontId="12" fillId="0" borderId="0">
      <alignment horizontal="left" wrapText="1"/>
    </xf>
    <xf numFmtId="0" fontId="12" fillId="0" borderId="0"/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 applyNumberFormat="0" applyFill="0" applyBorder="0" applyAlignment="0" applyProtection="0"/>
    <xf numFmtId="0" fontId="12" fillId="45" borderId="16" applyAlignment="0">
      <alignment horizontal="right"/>
    </xf>
    <xf numFmtId="0" fontId="12" fillId="45" borderId="16" applyAlignment="0">
      <alignment horizontal="right"/>
    </xf>
    <xf numFmtId="0" fontId="82" fillId="0" borderId="0"/>
    <xf numFmtId="0" fontId="83" fillId="0" borderId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7" fillId="0" borderId="0">
      <alignment horizontal="center"/>
    </xf>
    <xf numFmtId="0" fontId="88" fillId="17" borderId="10"/>
    <xf numFmtId="0" fontId="89" fillId="0" borderId="38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90" fillId="18" borderId="0" applyNumberFormat="0" applyFont="0" applyBorder="0" applyAlignment="0" applyProtection="0">
      <alignment horizontal="left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180" fontId="12" fillId="0" borderId="0" applyFont="0" applyFill="0" applyBorder="0" applyAlignment="0" applyProtection="0"/>
    <xf numFmtId="0" fontId="30" fillId="0" borderId="0">
      <alignment vertical="center"/>
    </xf>
    <xf numFmtId="0" fontId="92" fillId="0" borderId="0">
      <alignment vertical="center"/>
    </xf>
    <xf numFmtId="0" fontId="11" fillId="0" borderId="0">
      <alignment vertical="center"/>
    </xf>
    <xf numFmtId="0" fontId="30" fillId="0" borderId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46" applyNumberFormat="0" applyFill="0" applyAlignment="0" applyProtection="0"/>
    <xf numFmtId="0" fontId="95" fillId="0" borderId="47" applyNumberFormat="0" applyFill="0" applyAlignment="0" applyProtection="0"/>
    <xf numFmtId="0" fontId="96" fillId="0" borderId="48" applyNumberFormat="0" applyFill="0" applyAlignment="0" applyProtection="0"/>
    <xf numFmtId="0" fontId="96" fillId="0" borderId="0" applyNumberFormat="0" applyFill="0" applyBorder="0" applyAlignment="0" applyProtection="0"/>
    <xf numFmtId="0" fontId="97" fillId="80" borderId="0" applyNumberFormat="0" applyBorder="0" applyAlignment="0" applyProtection="0"/>
    <xf numFmtId="0" fontId="98" fillId="81" borderId="0" applyNumberFormat="0" applyBorder="0" applyAlignment="0" applyProtection="0"/>
    <xf numFmtId="0" fontId="99" fillId="82" borderId="0" applyNumberFormat="0" applyBorder="0" applyAlignment="0" applyProtection="0"/>
    <xf numFmtId="0" fontId="100" fillId="83" borderId="49" applyNumberFormat="0" applyAlignment="0" applyProtection="0"/>
    <xf numFmtId="0" fontId="101" fillId="84" borderId="50" applyNumberFormat="0" applyAlignment="0" applyProtection="0"/>
    <xf numFmtId="0" fontId="102" fillId="84" borderId="49" applyNumberFormat="0" applyAlignment="0" applyProtection="0"/>
    <xf numFmtId="0" fontId="103" fillId="0" borderId="51" applyNumberFormat="0" applyFill="0" applyAlignment="0" applyProtection="0"/>
    <xf numFmtId="0" fontId="1" fillId="85" borderId="52" applyNumberFormat="0" applyAlignment="0" applyProtection="0"/>
    <xf numFmtId="0" fontId="104" fillId="0" borderId="0" applyNumberFormat="0" applyFill="0" applyBorder="0" applyAlignment="0" applyProtection="0"/>
    <xf numFmtId="0" fontId="9" fillId="86" borderId="53" applyNumberFormat="0" applyFont="0" applyAlignment="0" applyProtection="0"/>
    <xf numFmtId="0" fontId="105" fillId="0" borderId="0" applyNumberFormat="0" applyFill="0" applyBorder="0" applyAlignment="0" applyProtection="0"/>
    <xf numFmtId="0" fontId="2" fillId="0" borderId="54" applyNumberFormat="0" applyFill="0" applyAlignment="0" applyProtection="0"/>
    <xf numFmtId="0" fontId="10" fillId="87" borderId="0" applyNumberFormat="0" applyBorder="0" applyAlignment="0" applyProtection="0"/>
    <xf numFmtId="0" fontId="9" fillId="88" borderId="0" applyNumberFormat="0" applyBorder="0" applyAlignment="0" applyProtection="0"/>
    <xf numFmtId="0" fontId="9" fillId="89" borderId="0" applyNumberFormat="0" applyBorder="0" applyAlignment="0" applyProtection="0"/>
    <xf numFmtId="0" fontId="10" fillId="90" borderId="0" applyNumberFormat="0" applyBorder="0" applyAlignment="0" applyProtection="0"/>
    <xf numFmtId="0" fontId="10" fillId="91" borderId="0" applyNumberFormat="0" applyBorder="0" applyAlignment="0" applyProtection="0"/>
    <xf numFmtId="0" fontId="9" fillId="92" borderId="0" applyNumberFormat="0" applyBorder="0" applyAlignment="0" applyProtection="0"/>
    <xf numFmtId="0" fontId="9" fillId="93" borderId="0" applyNumberFormat="0" applyBorder="0" applyAlignment="0" applyProtection="0"/>
    <xf numFmtId="0" fontId="10" fillId="94" borderId="0" applyNumberFormat="0" applyBorder="0" applyAlignment="0" applyProtection="0"/>
    <xf numFmtId="0" fontId="10" fillId="95" borderId="0" applyNumberFormat="0" applyBorder="0" applyAlignment="0" applyProtection="0"/>
    <xf numFmtId="0" fontId="9" fillId="96" borderId="0" applyNumberFormat="0" applyBorder="0" applyAlignment="0" applyProtection="0"/>
    <xf numFmtId="0" fontId="9" fillId="97" borderId="0" applyNumberFormat="0" applyBorder="0" applyAlignment="0" applyProtection="0"/>
    <xf numFmtId="0" fontId="10" fillId="98" borderId="0" applyNumberFormat="0" applyBorder="0" applyAlignment="0" applyProtection="0"/>
    <xf numFmtId="0" fontId="10" fillId="99" borderId="0" applyNumberFormat="0" applyBorder="0" applyAlignment="0" applyProtection="0"/>
    <xf numFmtId="0" fontId="9" fillId="100" borderId="0" applyNumberFormat="0" applyBorder="0" applyAlignment="0" applyProtection="0"/>
    <xf numFmtId="0" fontId="9" fillId="101" borderId="0" applyNumberFormat="0" applyBorder="0" applyAlignment="0" applyProtection="0"/>
    <xf numFmtId="0" fontId="10" fillId="102" borderId="0" applyNumberFormat="0" applyBorder="0" applyAlignment="0" applyProtection="0"/>
    <xf numFmtId="0" fontId="10" fillId="103" borderId="0" applyNumberFormat="0" applyBorder="0" applyAlignment="0" applyProtection="0"/>
    <xf numFmtId="0" fontId="9" fillId="104" borderId="0" applyNumberFormat="0" applyBorder="0" applyAlignment="0" applyProtection="0"/>
    <xf numFmtId="0" fontId="9" fillId="105" borderId="0" applyNumberFormat="0" applyBorder="0" applyAlignment="0" applyProtection="0"/>
    <xf numFmtId="0" fontId="10" fillId="106" borderId="0" applyNumberFormat="0" applyBorder="0" applyAlignment="0" applyProtection="0"/>
    <xf numFmtId="0" fontId="10" fillId="107" borderId="0" applyNumberFormat="0" applyBorder="0" applyAlignment="0" applyProtection="0"/>
    <xf numFmtId="0" fontId="9" fillId="108" borderId="0" applyNumberFormat="0" applyBorder="0" applyAlignment="0" applyProtection="0"/>
    <xf numFmtId="0" fontId="9" fillId="109" borderId="0" applyNumberFormat="0" applyBorder="0" applyAlignment="0" applyProtection="0"/>
    <xf numFmtId="0" fontId="10" fillId="110" borderId="0" applyNumberFormat="0" applyBorder="0" applyAlignment="0" applyProtection="0"/>
    <xf numFmtId="43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>
      <alignment vertical="center"/>
    </xf>
    <xf numFmtId="41" fontId="9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09">
    <xf numFmtId="0" fontId="0" fillId="0" borderId="0" xfId="0"/>
    <xf numFmtId="0" fontId="2" fillId="0" borderId="0" xfId="0" applyFont="1"/>
    <xf numFmtId="164" fontId="3" fillId="0" borderId="0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167" fontId="6" fillId="0" borderId="1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>
      <alignment horizontal="center" vertical="center"/>
    </xf>
    <xf numFmtId="168" fontId="6" fillId="0" borderId="3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2" fillId="0" borderId="0" xfId="0" applyFont="1" applyAlignment="1">
      <alignment horizontal="center" vertical="center"/>
    </xf>
    <xf numFmtId="0" fontId="7" fillId="0" borderId="0" xfId="0" applyFont="1"/>
    <xf numFmtId="170" fontId="0" fillId="0" borderId="0" xfId="0" applyNumberFormat="1"/>
    <xf numFmtId="0" fontId="0" fillId="0" borderId="0" xfId="0" applyAlignment="1">
      <alignment horizontal="center" vertical="center"/>
    </xf>
    <xf numFmtId="168" fontId="6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8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/>
    <xf numFmtId="168" fontId="4" fillId="111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center" vertical="center"/>
    </xf>
    <xf numFmtId="164" fontId="4" fillId="111" borderId="2" xfId="0" applyNumberFormat="1" applyFont="1" applyFill="1" applyBorder="1" applyAlignment="1">
      <alignment horizontal="center" vertical="center"/>
    </xf>
    <xf numFmtId="166" fontId="4" fillId="111" borderId="1" xfId="0" applyNumberFormat="1" applyFont="1" applyFill="1" applyBorder="1" applyAlignment="1">
      <alignment horizontal="center" vertical="center"/>
    </xf>
    <xf numFmtId="0" fontId="3" fillId="111" borderId="1" xfId="0" applyFont="1" applyFill="1" applyBorder="1" applyAlignment="1">
      <alignment horizontal="center" vertical="center"/>
    </xf>
    <xf numFmtId="166" fontId="4" fillId="111" borderId="9" xfId="0" applyNumberFormat="1" applyFont="1" applyFill="1" applyBorder="1" applyAlignment="1">
      <alignment horizontal="center" vertical="center"/>
    </xf>
    <xf numFmtId="0" fontId="4" fillId="111" borderId="1" xfId="0" applyFont="1" applyFill="1" applyBorder="1" applyAlignment="1">
      <alignment horizontal="center" vertical="center"/>
    </xf>
    <xf numFmtId="167" fontId="4" fillId="111" borderId="1" xfId="0" applyNumberFormat="1" applyFont="1" applyFill="1" applyBorder="1" applyAlignment="1">
      <alignment horizontal="center" vertical="center"/>
    </xf>
    <xf numFmtId="0" fontId="4" fillId="111" borderId="1" xfId="0" quotePrefix="1" applyFont="1" applyFill="1" applyBorder="1" applyAlignment="1">
      <alignment horizontal="center" vertical="center"/>
    </xf>
    <xf numFmtId="0" fontId="3" fillId="111" borderId="1" xfId="0" applyFont="1" applyFill="1" applyBorder="1" applyAlignment="1">
      <alignment horizontal="center"/>
    </xf>
    <xf numFmtId="15" fontId="4" fillId="111" borderId="1" xfId="0" applyNumberFormat="1" applyFont="1" applyFill="1" applyBorder="1" applyAlignment="1">
      <alignment horizontal="center" vertical="center"/>
    </xf>
    <xf numFmtId="0" fontId="4" fillId="111" borderId="3" xfId="0" applyFont="1" applyFill="1" applyBorder="1" applyAlignment="1">
      <alignment horizontal="center" vertical="center"/>
    </xf>
    <xf numFmtId="168" fontId="6" fillId="111" borderId="1" xfId="0" applyNumberFormat="1" applyFont="1" applyFill="1" applyBorder="1" applyAlignment="1">
      <alignment horizontal="center" vertical="center"/>
    </xf>
    <xf numFmtId="166" fontId="6" fillId="111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0" fontId="5" fillId="111" borderId="1" xfId="0" applyFont="1" applyFill="1" applyBorder="1" applyAlignment="1">
      <alignment horizontal="center" vertical="center"/>
    </xf>
    <xf numFmtId="0" fontId="4" fillId="111" borderId="4" xfId="0" applyFont="1" applyFill="1" applyBorder="1" applyAlignment="1">
      <alignment horizontal="center" vertical="center"/>
    </xf>
    <xf numFmtId="15" fontId="6" fillId="111" borderId="1" xfId="0" applyNumberFormat="1" applyFont="1" applyFill="1" applyBorder="1" applyAlignment="1">
      <alignment horizontal="center" vertical="center"/>
    </xf>
    <xf numFmtId="0" fontId="6" fillId="111" borderId="1" xfId="0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9" fontId="5" fillId="2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0" fillId="2" borderId="43" xfId="0" applyFill="1" applyBorder="1"/>
    <xf numFmtId="0" fontId="0" fillId="2" borderId="44" xfId="0" applyFill="1" applyBorder="1"/>
    <xf numFmtId="0" fontId="0" fillId="2" borderId="5" xfId="0" applyFill="1" applyBorder="1"/>
    <xf numFmtId="0" fontId="0" fillId="2" borderId="6" xfId="0" applyFill="1" applyBorder="1"/>
    <xf numFmtId="15" fontId="0" fillId="0" borderId="0" xfId="0" applyNumberFormat="1"/>
    <xf numFmtId="169" fontId="6" fillId="79" borderId="1" xfId="0" applyNumberFormat="1" applyFont="1" applyFill="1" applyBorder="1" applyAlignment="1">
      <alignment horizontal="center" vertical="center"/>
    </xf>
    <xf numFmtId="169" fontId="6" fillId="111" borderId="1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171" fontId="5" fillId="2" borderId="8" xfId="0" applyNumberFormat="1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71" fontId="5" fillId="2" borderId="44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171" fontId="5" fillId="2" borderId="6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0" fontId="6" fillId="111" borderId="1" xfId="0" applyNumberFormat="1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2" fillId="112" borderId="3" xfId="0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0" fontId="0" fillId="2" borderId="0" xfId="0" applyFill="1" applyBorder="1"/>
    <xf numFmtId="171" fontId="6" fillId="2" borderId="44" xfId="0" applyNumberFormat="1" applyFont="1" applyFill="1" applyBorder="1" applyAlignment="1">
      <alignment horizontal="center" vertical="center"/>
    </xf>
    <xf numFmtId="171" fontId="6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164" fontId="0" fillId="2" borderId="42" xfId="0" applyNumberFormat="1" applyFill="1" applyBorder="1" applyAlignment="1">
      <alignment horizontal="center" vertical="center"/>
    </xf>
    <xf numFmtId="164" fontId="2" fillId="2" borderId="44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0" fontId="0" fillId="2" borderId="7" xfId="0" applyFill="1" applyBorder="1" applyAlignment="1"/>
    <xf numFmtId="0" fontId="0" fillId="2" borderId="42" xfId="0" applyFill="1" applyBorder="1" applyAlignment="1"/>
    <xf numFmtId="0" fontId="2" fillId="2" borderId="43" xfId="0" applyFont="1" applyFill="1" applyBorder="1" applyAlignment="1"/>
    <xf numFmtId="0" fontId="0" fillId="2" borderId="0" xfId="0" applyFill="1" applyBorder="1" applyAlignment="1"/>
    <xf numFmtId="0" fontId="0" fillId="2" borderId="43" xfId="0" applyFill="1" applyBorder="1" applyAlignment="1"/>
    <xf numFmtId="0" fontId="0" fillId="2" borderId="43" xfId="0" applyFill="1" applyBorder="1" applyAlignment="1">
      <alignment vertical="center"/>
    </xf>
    <xf numFmtId="0" fontId="0" fillId="2" borderId="5" xfId="0" applyFill="1" applyBorder="1" applyAlignment="1"/>
    <xf numFmtId="0" fontId="0" fillId="2" borderId="45" xfId="0" applyFill="1" applyBorder="1" applyAlignment="1"/>
    <xf numFmtId="0" fontId="2" fillId="2" borderId="43" xfId="0" applyFont="1" applyFill="1" applyBorder="1" applyAlignment="1">
      <alignment horizontal="left" vertical="center"/>
    </xf>
    <xf numFmtId="164" fontId="6" fillId="2" borderId="45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2" fillId="2" borderId="42" xfId="0" applyNumberFormat="1" applyFont="1" applyFill="1" applyBorder="1" applyAlignment="1">
      <alignment horizontal="center" vertical="center"/>
    </xf>
    <xf numFmtId="164" fontId="6" fillId="112" borderId="0" xfId="0" applyNumberFormat="1" applyFont="1" applyFill="1" applyBorder="1" applyAlignment="1">
      <alignment horizontal="center" vertical="center"/>
    </xf>
    <xf numFmtId="171" fontId="6" fillId="2" borderId="1" xfId="0" applyNumberFormat="1" applyFont="1" applyFill="1" applyBorder="1" applyAlignment="1">
      <alignment horizontal="center" vertical="center"/>
    </xf>
    <xf numFmtId="167" fontId="3" fillId="112" borderId="1" xfId="0" applyNumberFormat="1" applyFont="1" applyFill="1" applyBorder="1" applyAlignment="1">
      <alignment horizontal="center" vertical="center"/>
    </xf>
    <xf numFmtId="164" fontId="6" fillId="112" borderId="42" xfId="0" applyNumberFormat="1" applyFont="1" applyFill="1" applyBorder="1" applyAlignment="1">
      <alignment horizontal="center" vertical="center"/>
    </xf>
    <xf numFmtId="171" fontId="6" fillId="2" borderId="6" xfId="0" applyNumberFormat="1" applyFont="1" applyFill="1" applyBorder="1" applyAlignment="1">
      <alignment horizontal="center" vertical="center"/>
    </xf>
    <xf numFmtId="171" fontId="6" fillId="2" borderId="45" xfId="0" applyNumberFormat="1" applyFont="1" applyFill="1" applyBorder="1" applyAlignment="1">
      <alignment horizontal="center" vertical="center"/>
    </xf>
    <xf numFmtId="171" fontId="7" fillId="2" borderId="44" xfId="0" applyNumberFormat="1" applyFont="1" applyFill="1" applyBorder="1" applyAlignment="1">
      <alignment horizontal="center" vertical="center"/>
    </xf>
    <xf numFmtId="171" fontId="106" fillId="2" borderId="0" xfId="0" applyNumberFormat="1" applyFont="1" applyFill="1" applyBorder="1" applyAlignment="1">
      <alignment horizontal="center" vertical="center"/>
    </xf>
    <xf numFmtId="164" fontId="2" fillId="2" borderId="56" xfId="0" applyNumberFormat="1" applyFont="1" applyFill="1" applyBorder="1" applyAlignment="1">
      <alignment horizontal="center" vertical="center"/>
    </xf>
    <xf numFmtId="171" fontId="6" fillId="2" borderId="56" xfId="0" applyNumberFormat="1" applyFont="1" applyFill="1" applyBorder="1" applyAlignment="1">
      <alignment horizontal="center" vertical="center"/>
    </xf>
    <xf numFmtId="171" fontId="7" fillId="2" borderId="56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71" fontId="0" fillId="3" borderId="1" xfId="0" applyNumberFormat="1" applyFont="1" applyFill="1" applyBorder="1" applyAlignment="1">
      <alignment horizontal="center" vertical="center"/>
    </xf>
    <xf numFmtId="0" fontId="107" fillId="2" borderId="42" xfId="0" applyFont="1" applyFill="1" applyBorder="1"/>
    <xf numFmtId="0" fontId="106" fillId="2" borderId="42" xfId="0" applyFont="1" applyFill="1" applyBorder="1" applyAlignment="1">
      <alignment horizontal="center" vertical="center"/>
    </xf>
    <xf numFmtId="0" fontId="0" fillId="2" borderId="42" xfId="0" applyFill="1" applyBorder="1"/>
    <xf numFmtId="0" fontId="107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0" fillId="111" borderId="2" xfId="0" applyFont="1" applyFill="1" applyBorder="1"/>
    <xf numFmtId="0" fontId="0" fillId="111" borderId="2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169" fontId="6" fillId="0" borderId="42" xfId="0" applyNumberFormat="1" applyFont="1" applyFill="1" applyBorder="1" applyAlignment="1">
      <alignment horizontal="center" vertical="center"/>
    </xf>
    <xf numFmtId="15" fontId="6" fillId="0" borderId="42" xfId="0" applyNumberFormat="1" applyFont="1" applyFill="1" applyBorder="1" applyAlignment="1">
      <alignment horizontal="center" vertical="center"/>
    </xf>
    <xf numFmtId="15" fontId="6" fillId="0" borderId="0" xfId="0" applyNumberFormat="1" applyFont="1" applyFill="1" applyBorder="1" applyAlignment="1">
      <alignment horizontal="center" vertical="center"/>
    </xf>
    <xf numFmtId="15" fontId="4" fillId="0" borderId="44" xfId="0" applyNumberFormat="1" applyFont="1" applyFill="1" applyBorder="1" applyAlignment="1">
      <alignment horizontal="center" vertical="center"/>
    </xf>
    <xf numFmtId="15" fontId="6" fillId="0" borderId="43" xfId="0" applyNumberFormat="1" applyFont="1" applyFill="1" applyBorder="1" applyAlignment="1">
      <alignment horizontal="center" vertical="center"/>
    </xf>
    <xf numFmtId="170" fontId="6" fillId="0" borderId="44" xfId="0" applyNumberFormat="1" applyFont="1" applyFill="1" applyBorder="1" applyAlignment="1">
      <alignment horizontal="center" vertical="center"/>
    </xf>
    <xf numFmtId="171" fontId="6" fillId="0" borderId="8" xfId="0" applyNumberFormat="1" applyFont="1" applyFill="1" applyBorder="1" applyAlignment="1">
      <alignment horizontal="center" vertical="center"/>
    </xf>
    <xf numFmtId="169" fontId="6" fillId="0" borderId="8" xfId="0" applyNumberFormat="1" applyFont="1" applyFill="1" applyBorder="1" applyAlignment="1">
      <alignment horizontal="center" vertical="center"/>
    </xf>
    <xf numFmtId="0" fontId="7" fillId="2" borderId="44" xfId="0" applyFont="1" applyFill="1" applyBorder="1"/>
    <xf numFmtId="0" fontId="0" fillId="111" borderId="1" xfId="0" applyFont="1" applyFill="1" applyBorder="1"/>
    <xf numFmtId="0" fontId="0" fillId="111" borderId="1" xfId="0" applyFont="1" applyFill="1" applyBorder="1" applyAlignment="1">
      <alignment horizontal="left" vertical="center"/>
    </xf>
    <xf numFmtId="0" fontId="6" fillId="0" borderId="43" xfId="0" applyFont="1" applyFill="1" applyBorder="1" applyAlignment="1">
      <alignment horizontal="center" vertical="center"/>
    </xf>
    <xf numFmtId="169" fontId="6" fillId="0" borderId="0" xfId="0" applyNumberFormat="1" applyFont="1" applyFill="1" applyBorder="1" applyAlignment="1">
      <alignment horizontal="center" vertical="center"/>
    </xf>
    <xf numFmtId="171" fontId="6" fillId="0" borderId="44" xfId="0" applyNumberFormat="1" applyFont="1" applyFill="1" applyBorder="1" applyAlignment="1">
      <alignment horizontal="center" vertical="center"/>
    </xf>
    <xf numFmtId="169" fontId="6" fillId="0" borderId="44" xfId="0" applyNumberFormat="1" applyFont="1" applyFill="1" applyBorder="1" applyAlignment="1">
      <alignment horizontal="center" vertical="center"/>
    </xf>
    <xf numFmtId="0" fontId="0" fillId="111" borderId="3" xfId="0" applyFont="1" applyFill="1" applyBorder="1"/>
    <xf numFmtId="0" fontId="106" fillId="2" borderId="44" xfId="0" applyFont="1" applyFill="1" applyBorder="1"/>
    <xf numFmtId="0" fontId="0" fillId="111" borderId="2" xfId="0" applyFill="1" applyBorder="1"/>
    <xf numFmtId="0" fontId="0" fillId="111" borderId="3" xfId="0" applyFill="1" applyBorder="1"/>
    <xf numFmtId="0" fontId="0" fillId="2" borderId="0" xfId="0" applyFont="1" applyFill="1" applyBorder="1"/>
    <xf numFmtId="0" fontId="2" fillId="2" borderId="0" xfId="0" applyFont="1" applyFill="1" applyBorder="1"/>
    <xf numFmtId="0" fontId="0" fillId="0" borderId="2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left" vertic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06" fillId="2" borderId="0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169" fontId="6" fillId="0" borderId="45" xfId="0" applyNumberFormat="1" applyFont="1" applyFill="1" applyBorder="1" applyAlignment="1">
      <alignment horizontal="center" vertical="center"/>
    </xf>
    <xf numFmtId="15" fontId="6" fillId="0" borderId="45" xfId="0" applyNumberFormat="1" applyFont="1" applyFill="1" applyBorder="1" applyAlignment="1">
      <alignment horizontal="center" vertical="center"/>
    </xf>
    <xf numFmtId="15" fontId="4" fillId="0" borderId="6" xfId="0" applyNumberFormat="1" applyFont="1" applyFill="1" applyBorder="1" applyAlignment="1">
      <alignment horizontal="center" vertical="center"/>
    </xf>
    <xf numFmtId="15" fontId="6" fillId="0" borderId="5" xfId="0" applyNumberFormat="1" applyFont="1" applyFill="1" applyBorder="1" applyAlignment="1">
      <alignment horizontal="center" vertical="center"/>
    </xf>
    <xf numFmtId="170" fontId="6" fillId="0" borderId="6" xfId="0" applyNumberFormat="1" applyFont="1" applyFill="1" applyBorder="1" applyAlignment="1">
      <alignment horizontal="center" vertical="center"/>
    </xf>
    <xf numFmtId="169" fontId="6" fillId="0" borderId="6" xfId="0" applyNumberFormat="1" applyFont="1" applyFill="1" applyBorder="1" applyAlignment="1">
      <alignment horizontal="center" vertical="center"/>
    </xf>
    <xf numFmtId="0" fontId="7" fillId="2" borderId="0" xfId="0" applyFont="1" applyFill="1" applyBorder="1"/>
    <xf numFmtId="0" fontId="106" fillId="2" borderId="0" xfId="0" applyFont="1" applyFill="1" applyBorder="1"/>
    <xf numFmtId="0" fontId="0" fillId="2" borderId="45" xfId="0" applyFill="1" applyBorder="1"/>
    <xf numFmtId="0" fontId="3" fillId="2" borderId="0" xfId="0" applyFont="1" applyFill="1" applyBorder="1"/>
    <xf numFmtId="0" fontId="4" fillId="0" borderId="0" xfId="0" applyFont="1"/>
    <xf numFmtId="0" fontId="4" fillId="2" borderId="42" xfId="0" applyFont="1" applyFill="1" applyBorder="1"/>
    <xf numFmtId="0" fontId="4" fillId="2" borderId="45" xfId="0" applyFont="1" applyFill="1" applyBorder="1"/>
    <xf numFmtId="14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0" borderId="2" xfId="0" applyFont="1" applyFill="1" applyBorder="1"/>
    <xf numFmtId="15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15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/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44" xfId="0" applyNumberFormat="1" applyFont="1" applyFill="1" applyBorder="1" applyAlignment="1">
      <alignment horizontal="center" vertical="center"/>
    </xf>
    <xf numFmtId="3" fontId="4" fillId="0" borderId="44" xfId="0" applyNumberFormat="1" applyFont="1" applyFill="1" applyBorder="1" applyAlignment="1">
      <alignment horizontal="center" vertical="center"/>
    </xf>
    <xf numFmtId="3" fontId="3" fillId="112" borderId="44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1" fontId="0" fillId="2" borderId="0" xfId="0" applyNumberFormat="1" applyFill="1" applyBorder="1"/>
    <xf numFmtId="170" fontId="0" fillId="2" borderId="0" xfId="0" applyNumberFormat="1" applyFill="1" applyBorder="1"/>
    <xf numFmtId="0" fontId="6" fillId="111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111" borderId="0" xfId="0" applyFill="1"/>
    <xf numFmtId="0" fontId="0" fillId="2" borderId="57" xfId="0" applyFill="1" applyBorder="1"/>
    <xf numFmtId="0" fontId="0" fillId="2" borderId="58" xfId="0" applyFill="1" applyBorder="1"/>
    <xf numFmtId="0" fontId="0" fillId="2" borderId="59" xfId="0" applyFill="1" applyBorder="1"/>
    <xf numFmtId="0" fontId="107" fillId="2" borderId="0" xfId="0" applyFont="1" applyFill="1"/>
    <xf numFmtId="0" fontId="0" fillId="2" borderId="0" xfId="0" applyFill="1"/>
    <xf numFmtId="0" fontId="4" fillId="111" borderId="2" xfId="0" applyFont="1" applyFill="1" applyBorder="1"/>
    <xf numFmtId="15" fontId="4" fillId="111" borderId="2" xfId="0" applyNumberFormat="1" applyFont="1" applyFill="1" applyBorder="1" applyAlignment="1">
      <alignment horizontal="left" vertical="center"/>
    </xf>
    <xf numFmtId="0" fontId="0" fillId="2" borderId="4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111" borderId="1" xfId="0" applyFont="1" applyFill="1" applyBorder="1"/>
    <xf numFmtId="15" fontId="4" fillId="111" borderId="1" xfId="0" applyNumberFormat="1" applyFont="1" applyFill="1" applyBorder="1" applyAlignment="1">
      <alignment horizontal="left" vertical="center"/>
    </xf>
    <xf numFmtId="0" fontId="6" fillId="111" borderId="7" xfId="0" applyFont="1" applyFill="1" applyBorder="1" applyAlignment="1">
      <alignment horizontal="center" vertical="center"/>
    </xf>
    <xf numFmtId="171" fontId="6" fillId="111" borderId="8" xfId="0" applyNumberFormat="1" applyFont="1" applyFill="1" applyBorder="1" applyAlignment="1">
      <alignment horizontal="center" vertical="center"/>
    </xf>
    <xf numFmtId="15" fontId="6" fillId="111" borderId="7" xfId="0" applyNumberFormat="1" applyFont="1" applyFill="1" applyBorder="1" applyAlignment="1">
      <alignment horizontal="center" vertical="center"/>
    </xf>
    <xf numFmtId="15" fontId="6" fillId="111" borderId="42" xfId="7666" quotePrefix="1" applyNumberFormat="1" applyFont="1" applyFill="1" applyBorder="1" applyAlignment="1">
      <alignment horizontal="center" vertical="center"/>
    </xf>
    <xf numFmtId="170" fontId="4" fillId="111" borderId="8" xfId="1" quotePrefix="1" applyNumberFormat="1" applyFont="1" applyFill="1" applyBorder="1" applyAlignment="1">
      <alignment horizontal="center" vertical="center"/>
    </xf>
    <xf numFmtId="0" fontId="4" fillId="111" borderId="8" xfId="0" applyFont="1" applyFill="1" applyBorder="1" applyAlignment="1">
      <alignment horizontal="center" vertical="center"/>
    </xf>
    <xf numFmtId="0" fontId="6" fillId="111" borderId="43" xfId="0" applyFont="1" applyFill="1" applyBorder="1" applyAlignment="1">
      <alignment horizontal="center" vertical="center"/>
    </xf>
    <xf numFmtId="171" fontId="6" fillId="111" borderId="44" xfId="0" applyNumberFormat="1" applyFont="1" applyFill="1" applyBorder="1" applyAlignment="1">
      <alignment horizontal="center" vertical="center"/>
    </xf>
    <xf numFmtId="15" fontId="6" fillId="111" borderId="0" xfId="7666" quotePrefix="1" applyNumberFormat="1" applyFont="1" applyFill="1" applyBorder="1" applyAlignment="1">
      <alignment horizontal="center" vertical="center"/>
    </xf>
    <xf numFmtId="164" fontId="6" fillId="111" borderId="0" xfId="0" applyNumberFormat="1" applyFont="1" applyFill="1" applyBorder="1" applyAlignment="1">
      <alignment horizontal="center" vertical="center"/>
    </xf>
    <xf numFmtId="170" fontId="4" fillId="111" borderId="44" xfId="1" quotePrefix="1" applyNumberFormat="1" applyFont="1" applyFill="1" applyBorder="1" applyAlignment="1">
      <alignment horizontal="center" vertical="center"/>
    </xf>
    <xf numFmtId="171" fontId="6" fillId="111" borderId="0" xfId="0" applyNumberFormat="1" applyFont="1" applyFill="1" applyBorder="1" applyAlignment="1">
      <alignment horizontal="center" vertical="center"/>
    </xf>
    <xf numFmtId="0" fontId="4" fillId="111" borderId="44" xfId="0" applyFont="1" applyFill="1" applyBorder="1" applyAlignment="1">
      <alignment horizontal="center" vertical="center"/>
    </xf>
    <xf numFmtId="15" fontId="6" fillId="111" borderId="0" xfId="7666" applyNumberFormat="1" applyFont="1" applyFill="1" applyBorder="1" applyAlignment="1">
      <alignment horizontal="center" vertical="center"/>
    </xf>
    <xf numFmtId="170" fontId="4" fillId="111" borderId="44" xfId="1" applyNumberFormat="1" applyFont="1" applyFill="1" applyBorder="1" applyAlignment="1">
      <alignment horizontal="center" vertical="center"/>
    </xf>
    <xf numFmtId="0" fontId="0" fillId="111" borderId="1" xfId="0" applyFill="1" applyBorder="1"/>
    <xf numFmtId="0" fontId="4" fillId="111" borderId="1" xfId="0" applyFont="1" applyFill="1" applyBorder="1" applyAlignment="1">
      <alignment horizontal="left"/>
    </xf>
    <xf numFmtId="0" fontId="4" fillId="111" borderId="3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center" vertical="center"/>
    </xf>
    <xf numFmtId="0" fontId="2" fillId="2" borderId="0" xfId="0" applyFont="1" applyFill="1"/>
    <xf numFmtId="0" fontId="108" fillId="2" borderId="0" xfId="0" applyFont="1" applyFill="1" applyBorder="1" applyAlignment="1">
      <alignment horizontal="left" vertical="center"/>
    </xf>
    <xf numFmtId="0" fontId="6" fillId="111" borderId="5" xfId="0" applyFont="1" applyFill="1" applyBorder="1" applyAlignment="1">
      <alignment horizontal="center" vertical="center"/>
    </xf>
    <xf numFmtId="171" fontId="6" fillId="111" borderId="6" xfId="0" applyNumberFormat="1" applyFont="1" applyFill="1" applyBorder="1" applyAlignment="1">
      <alignment horizontal="center" vertical="center"/>
    </xf>
    <xf numFmtId="15" fontId="6" fillId="111" borderId="45" xfId="7666" applyNumberFormat="1" applyFont="1" applyFill="1" applyBorder="1" applyAlignment="1">
      <alignment horizontal="center" vertical="center"/>
    </xf>
    <xf numFmtId="164" fontId="6" fillId="111" borderId="45" xfId="0" applyNumberFormat="1" applyFont="1" applyFill="1" applyBorder="1" applyAlignment="1">
      <alignment horizontal="center" vertical="center"/>
    </xf>
    <xf numFmtId="170" fontId="4" fillId="111" borderId="6" xfId="1" applyNumberFormat="1" applyFont="1" applyFill="1" applyBorder="1" applyAlignment="1">
      <alignment horizontal="center" vertical="center"/>
    </xf>
    <xf numFmtId="171" fontId="6" fillId="111" borderId="45" xfId="0" applyNumberFormat="1" applyFont="1" applyFill="1" applyBorder="1" applyAlignment="1">
      <alignment horizontal="center" vertical="center"/>
    </xf>
    <xf numFmtId="0" fontId="4" fillId="111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15" fontId="6" fillId="111" borderId="43" xfId="0" applyNumberFormat="1" applyFont="1" applyFill="1" applyBorder="1" applyAlignment="1">
      <alignment horizontal="center" vertical="center"/>
    </xf>
    <xf numFmtId="167" fontId="6" fillId="0" borderId="42" xfId="0" applyNumberFormat="1" applyFont="1" applyFill="1" applyBorder="1" applyAlignment="1">
      <alignment horizontal="center" vertical="center"/>
    </xf>
    <xf numFmtId="167" fontId="6" fillId="0" borderId="0" xfId="0" applyNumberFormat="1" applyFont="1" applyFill="1" applyBorder="1" applyAlignment="1">
      <alignment horizontal="center" vertical="center"/>
    </xf>
    <xf numFmtId="0" fontId="0" fillId="2" borderId="60" xfId="0" applyFill="1" applyBorder="1"/>
    <xf numFmtId="0" fontId="0" fillId="2" borderId="61" xfId="0" applyFill="1" applyBorder="1"/>
    <xf numFmtId="0" fontId="0" fillId="2" borderId="62" xfId="0" applyFill="1" applyBorder="1"/>
    <xf numFmtId="0" fontId="0" fillId="2" borderId="63" xfId="0" applyFill="1" applyBorder="1"/>
    <xf numFmtId="0" fontId="0" fillId="2" borderId="64" xfId="0" applyFill="1" applyBorder="1"/>
    <xf numFmtId="168" fontId="109" fillId="2" borderId="7" xfId="0" applyNumberFormat="1" applyFont="1" applyFill="1" applyBorder="1" applyAlignment="1">
      <alignment horizontal="center" vertical="center"/>
    </xf>
    <xf numFmtId="169" fontId="109" fillId="2" borderId="42" xfId="0" applyNumberFormat="1" applyFont="1" applyFill="1" applyBorder="1" applyAlignment="1">
      <alignment horizontal="center" vertical="center"/>
    </xf>
    <xf numFmtId="169" fontId="109" fillId="2" borderId="8" xfId="0" applyNumberFormat="1" applyFont="1" applyFill="1" applyBorder="1" applyAlignment="1">
      <alignment horizontal="center" vertical="center"/>
    </xf>
    <xf numFmtId="168" fontId="109" fillId="2" borderId="43" xfId="0" applyNumberFormat="1" applyFont="1" applyFill="1" applyBorder="1" applyAlignment="1">
      <alignment horizontal="center" vertical="center"/>
    </xf>
    <xf numFmtId="169" fontId="109" fillId="2" borderId="0" xfId="0" applyNumberFormat="1" applyFont="1" applyFill="1" applyBorder="1" applyAlignment="1">
      <alignment horizontal="center" vertical="center"/>
    </xf>
    <xf numFmtId="169" fontId="109" fillId="2" borderId="44" xfId="0" applyNumberFormat="1" applyFont="1" applyFill="1" applyBorder="1" applyAlignment="1">
      <alignment horizontal="center" vertical="center"/>
    </xf>
    <xf numFmtId="168" fontId="109" fillId="2" borderId="5" xfId="0" applyNumberFormat="1" applyFont="1" applyFill="1" applyBorder="1" applyAlignment="1">
      <alignment horizontal="center" vertical="center"/>
    </xf>
    <xf numFmtId="169" fontId="109" fillId="2" borderId="45" xfId="0" applyNumberFormat="1" applyFont="1" applyFill="1" applyBorder="1" applyAlignment="1">
      <alignment horizontal="center" vertical="center"/>
    </xf>
    <xf numFmtId="169" fontId="109" fillId="2" borderId="6" xfId="0" applyNumberFormat="1" applyFont="1" applyFill="1" applyBorder="1" applyAlignment="1">
      <alignment horizontal="center" vertical="center"/>
    </xf>
    <xf numFmtId="0" fontId="6" fillId="0" borderId="6" xfId="0" applyFont="1" applyFill="1" applyBorder="1"/>
    <xf numFmtId="0" fontId="4" fillId="0" borderId="4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4" fillId="111" borderId="2" xfId="0" applyFont="1" applyFill="1" applyBorder="1" applyAlignment="1">
      <alignment horizontal="center" vertical="center"/>
    </xf>
    <xf numFmtId="10" fontId="4" fillId="0" borderId="44" xfId="0" applyNumberFormat="1" applyFont="1" applyFill="1" applyBorder="1" applyAlignment="1">
      <alignment horizontal="center" vertical="center"/>
    </xf>
    <xf numFmtId="11" fontId="4" fillId="0" borderId="44" xfId="0" applyNumberFormat="1" applyFont="1" applyFill="1" applyBorder="1" applyAlignment="1">
      <alignment horizontal="center" vertical="center"/>
    </xf>
    <xf numFmtId="0" fontId="6" fillId="0" borderId="3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11" fontId="4" fillId="0" borderId="0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0" fontId="6" fillId="0" borderId="45" xfId="0" applyFont="1" applyFill="1" applyBorder="1"/>
    <xf numFmtId="0" fontId="4" fillId="0" borderId="42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0" xfId="0" applyFont="1"/>
    <xf numFmtId="0" fontId="6" fillId="111" borderId="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2" borderId="45" xfId="0" applyFont="1" applyFill="1" applyBorder="1"/>
    <xf numFmtId="0" fontId="0" fillId="2" borderId="58" xfId="0" applyFont="1" applyFill="1" applyBorder="1"/>
    <xf numFmtId="0" fontId="0" fillId="2" borderId="0" xfId="0" applyFont="1" applyFill="1"/>
    <xf numFmtId="168" fontId="6" fillId="111" borderId="1" xfId="0" applyNumberFormat="1" applyFont="1" applyFill="1" applyBorder="1" applyAlignment="1">
      <alignment horizontal="left" vertical="center"/>
    </xf>
    <xf numFmtId="0" fontId="0" fillId="2" borderId="63" xfId="0" applyFont="1" applyFill="1" applyBorder="1"/>
    <xf numFmtId="171" fontId="109" fillId="0" borderId="42" xfId="0" applyNumberFormat="1" applyFont="1" applyFill="1" applyBorder="1" applyAlignment="1">
      <alignment horizontal="center" vertical="center"/>
    </xf>
    <xf numFmtId="171" fontId="109" fillId="111" borderId="0" xfId="0" applyNumberFormat="1" applyFont="1" applyFill="1" applyBorder="1" applyAlignment="1">
      <alignment horizontal="center" vertical="center"/>
    </xf>
    <xf numFmtId="0" fontId="109" fillId="111" borderId="7" xfId="0" applyFont="1" applyFill="1" applyBorder="1" applyAlignment="1">
      <alignment horizontal="center" vertical="center"/>
    </xf>
    <xf numFmtId="0" fontId="109" fillId="111" borderId="43" xfId="0" applyFont="1" applyFill="1" applyBorder="1" applyAlignment="1">
      <alignment horizontal="center" vertical="center"/>
    </xf>
    <xf numFmtId="168" fontId="109" fillId="111" borderId="3" xfId="0" applyNumberFormat="1" applyFont="1" applyFill="1" applyBorder="1" applyAlignment="1">
      <alignment horizontal="left" vertical="center"/>
    </xf>
    <xf numFmtId="169" fontId="6" fillId="2" borderId="0" xfId="0" applyNumberFormat="1" applyFont="1" applyFill="1" applyBorder="1" applyAlignment="1">
      <alignment horizontal="center" vertical="center"/>
    </xf>
    <xf numFmtId="171" fontId="7" fillId="2" borderId="0" xfId="0" applyNumberFormat="1" applyFont="1" applyFill="1" applyBorder="1" applyAlignment="1">
      <alignment horizontal="center" vertical="center"/>
    </xf>
    <xf numFmtId="165" fontId="0" fillId="0" borderId="0" xfId="0" applyNumberFormat="1"/>
    <xf numFmtId="168" fontId="6" fillId="3" borderId="2" xfId="0" applyNumberFormat="1" applyFont="1" applyFill="1" applyBorder="1" applyAlignment="1">
      <alignment horizontal="center" vertical="center"/>
    </xf>
    <xf numFmtId="167" fontId="0" fillId="3" borderId="2" xfId="0" applyNumberFormat="1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" fontId="4" fillId="111" borderId="1" xfId="0" applyNumberFormat="1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0" fontId="0" fillId="111" borderId="2" xfId="0" applyFont="1" applyFill="1" applyBorder="1" applyAlignment="1">
      <alignment horizontal="center" vertical="center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43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4" fillId="111" borderId="3" xfId="0" applyFont="1" applyFill="1" applyBorder="1" applyAlignment="1">
      <alignment horizontal="center" vertical="center"/>
    </xf>
    <xf numFmtId="168" fontId="6" fillId="111" borderId="1" xfId="0" applyNumberFormat="1" applyFont="1" applyFill="1" applyBorder="1" applyAlignment="1">
      <alignment horizontal="center" vertical="center"/>
    </xf>
    <xf numFmtId="0" fontId="0" fillId="2" borderId="0" xfId="0" applyFill="1" applyBorder="1"/>
    <xf numFmtId="14" fontId="0" fillId="0" borderId="0" xfId="0" applyNumberFormat="1"/>
    <xf numFmtId="167" fontId="6" fillId="2" borderId="1" xfId="0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70" fontId="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111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65" xfId="0" applyFont="1" applyFill="1" applyBorder="1"/>
    <xf numFmtId="0" fontId="0" fillId="2" borderId="66" xfId="0" applyFont="1" applyFill="1" applyBorder="1" applyAlignment="1">
      <alignment horizontal="left" vertical="center"/>
    </xf>
    <xf numFmtId="0" fontId="0" fillId="2" borderId="66" xfId="0" applyFont="1" applyFill="1" applyBorder="1"/>
    <xf numFmtId="0" fontId="0" fillId="3" borderId="68" xfId="0" applyFill="1" applyBorder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6" fillId="111" borderId="0" xfId="0" applyFont="1" applyFill="1" applyBorder="1"/>
    <xf numFmtId="0" fontId="0" fillId="111" borderId="0" xfId="0" applyFill="1" applyAlignment="1">
      <alignment horizontal="center" vertical="center"/>
    </xf>
    <xf numFmtId="0" fontId="0" fillId="79" borderId="0" xfId="0" applyFill="1"/>
    <xf numFmtId="0" fontId="0" fillId="79" borderId="0" xfId="0" applyFill="1" applyAlignment="1">
      <alignment horizontal="center" vertical="center"/>
    </xf>
    <xf numFmtId="0" fontId="107" fillId="111" borderId="0" xfId="0" applyFont="1" applyFill="1"/>
    <xf numFmtId="3" fontId="6" fillId="2" borderId="44" xfId="0" applyNumberFormat="1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0" fontId="6" fillId="111" borderId="8" xfId="1" quotePrefix="1" applyNumberFormat="1" applyFont="1" applyFill="1" applyBorder="1" applyAlignment="1">
      <alignment horizontal="center" vertical="center"/>
    </xf>
    <xf numFmtId="170" fontId="6" fillId="111" borderId="44" xfId="1" quotePrefix="1" applyNumberFormat="1" applyFont="1" applyFill="1" applyBorder="1" applyAlignment="1">
      <alignment horizontal="center" vertical="center"/>
    </xf>
    <xf numFmtId="170" fontId="6" fillId="111" borderId="44" xfId="1" applyNumberFormat="1" applyFont="1" applyFill="1" applyBorder="1" applyAlignment="1">
      <alignment horizontal="center" vertical="center"/>
    </xf>
    <xf numFmtId="171" fontId="10" fillId="4" borderId="3" xfId="0" applyNumberFormat="1" applyFont="1" applyFill="1" applyBorder="1" applyAlignment="1">
      <alignment horizontal="center" vertical="center"/>
    </xf>
    <xf numFmtId="0" fontId="2" fillId="111" borderId="0" xfId="0" applyFont="1" applyFill="1" applyBorder="1"/>
    <xf numFmtId="0" fontId="0" fillId="2" borderId="41" xfId="0" applyFill="1" applyBorder="1"/>
    <xf numFmtId="171" fontId="10" fillId="4" borderId="41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8" fontId="6" fillId="111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0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8" fontId="6" fillId="2" borderId="7" xfId="0" applyNumberFormat="1" applyFont="1" applyFill="1" applyBorder="1" applyAlignment="1">
      <alignment horizontal="center" vertical="center"/>
    </xf>
    <xf numFmtId="168" fontId="6" fillId="2" borderId="8" xfId="0" applyNumberFormat="1" applyFont="1" applyFill="1" applyBorder="1" applyAlignment="1">
      <alignment horizontal="center" vertical="center"/>
    </xf>
    <xf numFmtId="168" fontId="0" fillId="3" borderId="7" xfId="0" quotePrefix="1" applyNumberFormat="1" applyFill="1" applyBorder="1" applyAlignment="1">
      <alignment horizontal="center" vertical="center"/>
    </xf>
    <xf numFmtId="168" fontId="0" fillId="3" borderId="42" xfId="0" applyNumberFormat="1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3" fontId="0" fillId="3" borderId="42" xfId="0" applyNumberFormat="1" applyFill="1" applyBorder="1" applyAlignment="1">
      <alignment horizontal="center" vertical="center"/>
    </xf>
    <xf numFmtId="169" fontId="0" fillId="3" borderId="42" xfId="0" applyNumberFormat="1" applyFill="1" applyBorder="1" applyAlignment="1">
      <alignment horizontal="center" vertical="center"/>
    </xf>
    <xf numFmtId="167" fontId="0" fillId="3" borderId="8" xfId="0" applyNumberFormat="1" applyFill="1" applyBorder="1" applyAlignment="1">
      <alignment horizontal="center" vertical="center"/>
    </xf>
    <xf numFmtId="168" fontId="6" fillId="2" borderId="43" xfId="0" applyNumberFormat="1" applyFont="1" applyFill="1" applyBorder="1" applyAlignment="1">
      <alignment horizontal="center" vertical="center"/>
    </xf>
    <xf numFmtId="168" fontId="6" fillId="2" borderId="44" xfId="0" applyNumberFormat="1" applyFont="1" applyFill="1" applyBorder="1" applyAlignment="1">
      <alignment horizontal="center" vertical="center"/>
    </xf>
    <xf numFmtId="168" fontId="0" fillId="3" borderId="43" xfId="0" quotePrefix="1" applyNumberFormat="1" applyFill="1" applyBorder="1" applyAlignment="1">
      <alignment horizontal="center" vertical="center"/>
    </xf>
    <xf numFmtId="168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69" fontId="0" fillId="3" borderId="0" xfId="0" applyNumberFormat="1" applyFill="1" applyBorder="1" applyAlignment="1">
      <alignment horizontal="center" vertical="center"/>
    </xf>
    <xf numFmtId="167" fontId="0" fillId="3" borderId="44" xfId="0" applyNumberFormat="1" applyFill="1" applyBorder="1" applyAlignment="1">
      <alignment horizontal="center" vertical="center"/>
    </xf>
    <xf numFmtId="168" fontId="6" fillId="2" borderId="5" xfId="0" applyNumberFormat="1" applyFont="1" applyFill="1" applyBorder="1" applyAlignment="1">
      <alignment horizontal="center" vertical="center"/>
    </xf>
    <xf numFmtId="168" fontId="6" fillId="2" borderId="6" xfId="0" applyNumberFormat="1" applyFont="1" applyFill="1" applyBorder="1" applyAlignment="1">
      <alignment horizontal="center" vertical="center"/>
    </xf>
    <xf numFmtId="168" fontId="0" fillId="3" borderId="5" xfId="0" quotePrefix="1" applyNumberFormat="1" applyFill="1" applyBorder="1" applyAlignment="1">
      <alignment horizontal="center" vertical="center"/>
    </xf>
    <xf numFmtId="168" fontId="0" fillId="3" borderId="45" xfId="0" applyNumberFormat="1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3" fontId="0" fillId="3" borderId="45" xfId="0" applyNumberFormat="1" applyFill="1" applyBorder="1" applyAlignment="1">
      <alignment horizontal="center" vertical="center"/>
    </xf>
    <xf numFmtId="169" fontId="0" fillId="3" borderId="45" xfId="0" applyNumberFormat="1" applyFill="1" applyBorder="1" applyAlignment="1">
      <alignment horizontal="center" vertical="center"/>
    </xf>
    <xf numFmtId="167" fontId="0" fillId="3" borderId="6" xfId="0" applyNumberFormat="1" applyFill="1" applyBorder="1" applyAlignment="1">
      <alignment horizontal="center" vertical="center"/>
    </xf>
    <xf numFmtId="0" fontId="106" fillId="0" borderId="0" xfId="0" applyFont="1"/>
    <xf numFmtId="0" fontId="2" fillId="0" borderId="0" xfId="0" quotePrefix="1" applyFont="1" applyAlignment="1">
      <alignment horizontal="center" vertical="center"/>
    </xf>
    <xf numFmtId="0" fontId="111" fillId="0" borderId="0" xfId="0" applyFont="1"/>
    <xf numFmtId="0" fontId="6" fillId="2" borderId="7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169" fontId="6" fillId="2" borderId="42" xfId="0" applyNumberFormat="1" applyFont="1" applyFill="1" applyBorder="1" applyAlignment="1">
      <alignment horizontal="center" vertical="center"/>
    </xf>
    <xf numFmtId="167" fontId="6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67" fontId="6" fillId="2" borderId="4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45" xfId="0" applyFont="1" applyFill="1" applyBorder="1" applyAlignment="1">
      <alignment horizontal="center"/>
    </xf>
    <xf numFmtId="169" fontId="6" fillId="2" borderId="45" xfId="0" applyNumberFormat="1" applyFont="1" applyFill="1" applyBorder="1" applyAlignment="1">
      <alignment horizontal="center" vertical="center"/>
    </xf>
    <xf numFmtId="167" fontId="6" fillId="2" borderId="6" xfId="0" applyNumberFormat="1" applyFont="1" applyFill="1" applyBorder="1" applyAlignment="1">
      <alignment horizontal="center" vertical="center"/>
    </xf>
    <xf numFmtId="169" fontId="4" fillId="111" borderId="1" xfId="0" applyNumberFormat="1" applyFont="1" applyFill="1" applyBorder="1" applyAlignment="1">
      <alignment horizontal="center" vertical="center"/>
    </xf>
    <xf numFmtId="167" fontId="2" fillId="112" borderId="1" xfId="0" applyNumberFormat="1" applyFont="1" applyFill="1" applyBorder="1" applyAlignment="1">
      <alignment horizontal="center" vertical="center"/>
    </xf>
    <xf numFmtId="167" fontId="2" fillId="0" borderId="0" xfId="0" quotePrefix="1" applyNumberFormat="1" applyFont="1" applyAlignment="1">
      <alignment horizontal="center" vertical="center"/>
    </xf>
    <xf numFmtId="0" fontId="106" fillId="113" borderId="69" xfId="0" applyFont="1" applyFill="1" applyBorder="1" applyAlignment="1">
      <alignment horizontal="center" vertical="center"/>
    </xf>
    <xf numFmtId="0" fontId="106" fillId="113" borderId="70" xfId="0" applyFont="1" applyFill="1" applyBorder="1" applyAlignment="1">
      <alignment horizontal="center" vertical="center"/>
    </xf>
    <xf numFmtId="0" fontId="7" fillId="113" borderId="70" xfId="0" applyFont="1" applyFill="1" applyBorder="1" applyAlignment="1">
      <alignment horizontal="center" vertical="center"/>
    </xf>
    <xf numFmtId="0" fontId="7" fillId="113" borderId="71" xfId="0" applyFont="1" applyFill="1" applyBorder="1" applyAlignment="1">
      <alignment horizontal="center" vertical="center"/>
    </xf>
    <xf numFmtId="0" fontId="4" fillId="113" borderId="69" xfId="0" applyFont="1" applyFill="1" applyBorder="1" applyAlignment="1">
      <alignment horizontal="center" vertical="center"/>
    </xf>
    <xf numFmtId="0" fontId="4" fillId="113" borderId="70" xfId="0" applyFont="1" applyFill="1" applyBorder="1" applyAlignment="1">
      <alignment horizontal="center" vertical="center"/>
    </xf>
    <xf numFmtId="0" fontId="4" fillId="113" borderId="71" xfId="0" applyFont="1" applyFill="1" applyBorder="1" applyAlignment="1">
      <alignment horizontal="center" vertical="center"/>
    </xf>
    <xf numFmtId="168" fontId="109" fillId="2" borderId="68" xfId="0" applyNumberFormat="1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center" vertical="center"/>
    </xf>
    <xf numFmtId="171" fontId="0" fillId="3" borderId="68" xfId="0" applyNumberFormat="1" applyFill="1" applyBorder="1" applyAlignment="1">
      <alignment horizontal="center" vertical="center"/>
    </xf>
    <xf numFmtId="0" fontId="4" fillId="3" borderId="68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168" fontId="109" fillId="112" borderId="68" xfId="0" applyNumberFormat="1" applyFont="1" applyFill="1" applyBorder="1" applyAlignment="1">
      <alignment horizontal="center" vertical="center"/>
    </xf>
    <xf numFmtId="0" fontId="3" fillId="112" borderId="1" xfId="0" applyFont="1" applyFill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0" fontId="0" fillId="113" borderId="1" xfId="0" applyFont="1" applyFill="1" applyBorder="1" applyAlignment="1">
      <alignment horizontal="center" vertical="center"/>
    </xf>
    <xf numFmtId="182" fontId="4" fillId="3" borderId="1" xfId="0" applyNumberFormat="1" applyFont="1" applyFill="1" applyBorder="1" applyAlignment="1">
      <alignment horizontal="center" vertical="center"/>
    </xf>
    <xf numFmtId="168" fontId="2" fillId="112" borderId="3" xfId="0" applyNumberFormat="1" applyFont="1" applyFill="1" applyBorder="1" applyAlignment="1">
      <alignment horizontal="center" vertical="center"/>
    </xf>
    <xf numFmtId="169" fontId="6" fillId="0" borderId="3" xfId="0" applyNumberFormat="1" applyFont="1" applyBorder="1" applyAlignment="1">
      <alignment horizontal="center" vertical="center"/>
    </xf>
    <xf numFmtId="169" fontId="0" fillId="0" borderId="0" xfId="0" applyNumberFormat="1"/>
    <xf numFmtId="167" fontId="10" fillId="4" borderId="1" xfId="0" applyNumberFormat="1" applyFont="1" applyFill="1" applyBorder="1" applyAlignment="1">
      <alignment horizontal="center"/>
    </xf>
    <xf numFmtId="169" fontId="6" fillId="0" borderId="2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11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4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2" borderId="73" xfId="0" applyFont="1" applyFill="1" applyBorder="1"/>
    <xf numFmtId="0" fontId="6" fillId="11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/>
    </xf>
    <xf numFmtId="171" fontId="7" fillId="0" borderId="44" xfId="0" applyNumberFormat="1" applyFont="1" applyFill="1" applyBorder="1" applyAlignment="1">
      <alignment horizontal="center" vertical="center"/>
    </xf>
    <xf numFmtId="0" fontId="7" fillId="111" borderId="43" xfId="0" applyFont="1" applyFill="1" applyBorder="1" applyAlignment="1">
      <alignment horizontal="center" vertical="center"/>
    </xf>
    <xf numFmtId="171" fontId="7" fillId="111" borderId="0" xfId="0" applyNumberFormat="1" applyFont="1" applyFill="1" applyBorder="1" applyAlignment="1">
      <alignment horizontal="center" vertical="center"/>
    </xf>
    <xf numFmtId="0" fontId="7" fillId="111" borderId="4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61" xfId="0" applyFont="1" applyFill="1" applyBorder="1"/>
    <xf numFmtId="0" fontId="7" fillId="2" borderId="0" xfId="0" applyFont="1" applyFill="1" applyBorder="1" applyAlignment="1">
      <alignment horizontal="left" vertical="center"/>
    </xf>
    <xf numFmtId="169" fontId="1" fillId="4" borderId="55" xfId="0" applyNumberFormat="1" applyFont="1" applyFill="1" applyBorder="1" applyAlignment="1">
      <alignment horizontal="center" vertical="center"/>
    </xf>
    <xf numFmtId="169" fontId="2" fillId="112" borderId="41" xfId="0" applyNumberFormat="1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7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4" fillId="0" borderId="0" xfId="0" applyFont="1" applyFill="1"/>
    <xf numFmtId="0" fontId="2" fillId="0" borderId="0" xfId="0" quotePrefix="1" applyFont="1" applyFill="1" applyAlignment="1">
      <alignment horizontal="center" vertical="center"/>
    </xf>
    <xf numFmtId="15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" fontId="106" fillId="0" borderId="0" xfId="0" quotePrefix="1" applyNumberFormat="1" applyFont="1" applyFill="1" applyAlignment="1">
      <alignment horizontal="center" vertical="center"/>
    </xf>
    <xf numFmtId="4" fontId="106" fillId="0" borderId="0" xfId="0" applyNumberFormat="1" applyFont="1" applyFill="1" applyAlignment="1">
      <alignment horizontal="center" vertical="center"/>
    </xf>
    <xf numFmtId="168" fontId="6" fillId="2" borderId="41" xfId="0" applyNumberFormat="1" applyFont="1" applyFill="1" applyBorder="1" applyAlignment="1">
      <alignment horizontal="center" vertical="center"/>
    </xf>
    <xf numFmtId="15" fontId="3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112" borderId="55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/>
    <xf numFmtId="0" fontId="0" fillId="3" borderId="0" xfId="0" applyFont="1" applyFill="1" applyAlignment="1">
      <alignment horizontal="center" vertical="center"/>
    </xf>
    <xf numFmtId="171" fontId="6" fillId="2" borderId="0" xfId="0" applyNumberFormat="1" applyFont="1" applyFill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/>
    </xf>
    <xf numFmtId="0" fontId="0" fillId="0" borderId="0" xfId="0" applyFont="1" applyFill="1"/>
    <xf numFmtId="0" fontId="7" fillId="0" borderId="0" xfId="0" applyFont="1" applyFill="1"/>
    <xf numFmtId="0" fontId="6" fillId="0" borderId="0" xfId="0" applyFont="1" applyFill="1"/>
    <xf numFmtId="170" fontId="7" fillId="2" borderId="0" xfId="0" applyNumberFormat="1" applyFont="1" applyFill="1" applyAlignment="1">
      <alignment horizontal="center" vertical="center"/>
    </xf>
    <xf numFmtId="0" fontId="10" fillId="114" borderId="0" xfId="0" applyFont="1" applyFill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171" fontId="7" fillId="2" borderId="0" xfId="0" applyNumberFormat="1" applyFont="1" applyFill="1" applyAlignment="1">
      <alignment horizontal="center" vertical="center"/>
    </xf>
    <xf numFmtId="170" fontId="7" fillId="3" borderId="0" xfId="0" applyNumberFormat="1" applyFont="1" applyFill="1" applyAlignment="1">
      <alignment horizontal="center" vertical="center"/>
    </xf>
    <xf numFmtId="0" fontId="111" fillId="0" borderId="0" xfId="0" applyFont="1" applyFill="1"/>
    <xf numFmtId="0" fontId="0" fillId="0" borderId="0" xfId="0" applyFill="1" applyAlignment="1">
      <alignment horizontal="center" vertical="center"/>
    </xf>
    <xf numFmtId="168" fontId="7" fillId="2" borderId="0" xfId="0" applyNumberFormat="1" applyFont="1" applyFill="1" applyBorder="1" applyAlignment="1">
      <alignment horizontal="center" vertical="center"/>
    </xf>
    <xf numFmtId="170" fontId="7" fillId="2" borderId="0" xfId="0" applyNumberFormat="1" applyFont="1" applyFill="1" applyBorder="1" applyAlignment="1">
      <alignment horizontal="center" vertical="center"/>
    </xf>
    <xf numFmtId="168" fontId="7" fillId="2" borderId="74" xfId="0" applyNumberFormat="1" applyFont="1" applyFill="1" applyBorder="1" applyAlignment="1">
      <alignment horizontal="center" vertical="center"/>
    </xf>
    <xf numFmtId="168" fontId="7" fillId="2" borderId="0" xfId="8444" applyNumberFormat="1" applyFont="1" applyFill="1" applyBorder="1" applyAlignment="1">
      <alignment horizontal="center" vertical="center"/>
    </xf>
    <xf numFmtId="168" fontId="7" fillId="2" borderId="74" xfId="8444" applyNumberFormat="1" applyFont="1" applyFill="1" applyBorder="1" applyAlignment="1">
      <alignment horizontal="center" vertical="center"/>
    </xf>
    <xf numFmtId="168" fontId="7" fillId="2" borderId="75" xfId="0" applyNumberFormat="1" applyFont="1" applyFill="1" applyBorder="1" applyAlignment="1">
      <alignment horizontal="center" vertical="center"/>
    </xf>
    <xf numFmtId="168" fontId="7" fillId="2" borderId="75" xfId="8444" applyNumberFormat="1" applyFont="1" applyFill="1" applyBorder="1" applyAlignment="1">
      <alignment horizontal="center" vertical="center"/>
    </xf>
    <xf numFmtId="170" fontId="7" fillId="2" borderId="75" xfId="0" applyNumberFormat="1" applyFont="1" applyFill="1" applyBorder="1" applyAlignment="1">
      <alignment horizontal="center" vertical="center"/>
    </xf>
    <xf numFmtId="168" fontId="7" fillId="2" borderId="76" xfId="8444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68" fontId="7" fillId="2" borderId="77" xfId="0" applyNumberFormat="1" applyFont="1" applyFill="1" applyBorder="1" applyAlignment="1">
      <alignment horizontal="center" vertical="center"/>
    </xf>
    <xf numFmtId="170" fontId="7" fillId="2" borderId="77" xfId="0" applyNumberFormat="1" applyFont="1" applyFill="1" applyBorder="1" applyAlignment="1">
      <alignment horizontal="center" vertical="center"/>
    </xf>
    <xf numFmtId="0" fontId="7" fillId="2" borderId="79" xfId="0" applyFont="1" applyFill="1" applyBorder="1" applyAlignment="1">
      <alignment horizontal="center" vertical="center"/>
    </xf>
    <xf numFmtId="0" fontId="7" fillId="2" borderId="80" xfId="0" applyFont="1" applyFill="1" applyBorder="1" applyAlignment="1">
      <alignment horizontal="center" vertical="center"/>
    </xf>
    <xf numFmtId="0" fontId="7" fillId="2" borderId="81" xfId="0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4" fontId="111" fillId="0" borderId="0" xfId="0" applyNumberFormat="1" applyFont="1" applyFill="1" applyAlignment="1">
      <alignment horizontal="center" vertical="center"/>
    </xf>
    <xf numFmtId="168" fontId="7" fillId="2" borderId="77" xfId="8444" applyNumberFormat="1" applyFont="1" applyFill="1" applyBorder="1" applyAlignment="1">
      <alignment horizontal="center" vertical="center"/>
    </xf>
    <xf numFmtId="168" fontId="7" fillId="2" borderId="78" xfId="8444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8" fontId="6" fillId="0" borderId="0" xfId="0" applyNumberFormat="1" applyFont="1" applyFill="1" applyAlignment="1">
      <alignment horizontal="center" vertical="center"/>
    </xf>
  </cellXfs>
  <cellStyles count="8445">
    <cellStyle name="_ADN" xfId="2"/>
    <cellStyle name="_Apollo" xfId="3"/>
    <cellStyle name="_Book2" xfId="4"/>
    <cellStyle name="_Book2_ValuationViewer" xfId="5"/>
    <cellStyle name="_btec" xfId="6"/>
    <cellStyle name="_Composite Page" xfId="7"/>
    <cellStyle name="_Composite Page_Composite Page" xfId="8"/>
    <cellStyle name="_Composite Page_Config" xfId="9"/>
    <cellStyle name="_Config" xfId="10"/>
    <cellStyle name="_Config_apollo_curves" xfId="11"/>
    <cellStyle name="_Config_Apollo_Spread" xfId="12"/>
    <cellStyle name="_config_db" xfId="13"/>
    <cellStyle name="_Cprty" xfId="14"/>
    <cellStyle name="_data" xfId="15"/>
    <cellStyle name="_DISPLAY" xfId="16"/>
    <cellStyle name="_DISPLAY 2" xfId="17"/>
    <cellStyle name="_DISPLAY_121Fut_View" xfId="18"/>
    <cellStyle name="_DISPLAY_121Fut_View 2" xfId="19"/>
    <cellStyle name="_DISPLAY_Apollo" xfId="20"/>
    <cellStyle name="_DISPLAY_AssetSwap" xfId="21"/>
    <cellStyle name="_DISPLAY_Closes" xfId="22"/>
    <cellStyle name="_DISPLAY_Composite Page" xfId="23"/>
    <cellStyle name="_DISPLAY_Config" xfId="24"/>
    <cellStyle name="_DISPLAY_Config_Composite Page" xfId="25"/>
    <cellStyle name="_DISPLAY_Convexity" xfId="26"/>
    <cellStyle name="_DISPLAY_Core" xfId="27"/>
    <cellStyle name="_DISPLAY_Core 2" xfId="28"/>
    <cellStyle name="_DISPLAY_Core_Composite Page" xfId="29"/>
    <cellStyle name="_DISPLAY_Core_Config" xfId="30"/>
    <cellStyle name="_DISPLAY_cp_Closes" xfId="31"/>
    <cellStyle name="_DISPLAY_DISPLAY" xfId="32"/>
    <cellStyle name="_DISPLAY_EOD_Closes" xfId="33"/>
    <cellStyle name="_DISPLAY_EOD_Closes_1" xfId="34"/>
    <cellStyle name="_DISPLAY_EOD_Curve" xfId="35"/>
    <cellStyle name="_DISPLAY_EOD_Curve 2" xfId="36"/>
    <cellStyle name="_DISPLAY_EOD_Curve 3" xfId="37"/>
    <cellStyle name="_DISPLAY_EOD_Curve_Composite Page" xfId="38"/>
    <cellStyle name="_DISPLAY_EOD_Curve_Core" xfId="39"/>
    <cellStyle name="_DISPLAY_EOD_Curve_Core 2" xfId="40"/>
    <cellStyle name="_DISPLAY_EOD_Curve_Futures" xfId="41"/>
    <cellStyle name="_DISPLAY_EOD_Curve_Swaps" xfId="42"/>
    <cellStyle name="_DISPLAY_Futures" xfId="43"/>
    <cellStyle name="_DISPLAY_Futures 2" xfId="44"/>
    <cellStyle name="_DISPLAY_Futures_Composite Page" xfId="45"/>
    <cellStyle name="_DISPLAY_Futures_Config" xfId="46"/>
    <cellStyle name="_DISPLAY_Gamma" xfId="47"/>
    <cellStyle name="_DISPLAY_Gamma_1" xfId="48"/>
    <cellStyle name="_DISPLAY_Gamma_Composite Page" xfId="49"/>
    <cellStyle name="_DISPLAY_Gamma_Core" xfId="50"/>
    <cellStyle name="_DISPLAY_Gamma_Futures" xfId="51"/>
    <cellStyle name="_DISPLAY_Gamma_Futures_1" xfId="52"/>
    <cellStyle name="_DISPLAY_Gamma_Swaps" xfId="53"/>
    <cellStyle name="_DISPLAY_Gamma_Treasuries" xfId="54"/>
    <cellStyle name="_DISPLAY_holidays" xfId="55"/>
    <cellStyle name="_DISPLAY_Real_Time" xfId="56"/>
    <cellStyle name="_DISPLAY_Real-Time" xfId="57"/>
    <cellStyle name="_DISPLAY_Real-Time 2" xfId="58"/>
    <cellStyle name="_DISPLAY_Real-Time_1" xfId="59"/>
    <cellStyle name="_DISPLAY_Real-Time_Composite Page" xfId="60"/>
    <cellStyle name="_DISPLAY_Real-Time_Core" xfId="61"/>
    <cellStyle name="_DISPLAY_Real-Time_Futures" xfId="62"/>
    <cellStyle name="_DISPLAY_Real-Time_Futures_1" xfId="63"/>
    <cellStyle name="_DISPLAY_Real-Time_Swaps" xfId="64"/>
    <cellStyle name="_DISPLAY_Real-Time_Treasuries" xfId="65"/>
    <cellStyle name="_DISPLAY_Sheet1" xfId="66"/>
    <cellStyle name="_DISPLAY_Swaps" xfId="67"/>
    <cellStyle name="_DISPLAY_Swaps 2" xfId="68"/>
    <cellStyle name="_DISPLAY_Swaps_Composite Page" xfId="69"/>
    <cellStyle name="_DISPLAY_Swaps_Config" xfId="70"/>
    <cellStyle name="_DISPLAY_T-Notes" xfId="71"/>
    <cellStyle name="_DISPLAY_T-Notes 2" xfId="72"/>
    <cellStyle name="_DISPLAY_T-Notes_Composite Page" xfId="73"/>
    <cellStyle name="_DISPLAY_T-Notes_Config" xfId="74"/>
    <cellStyle name="_DISPLAY_ToDo" xfId="75"/>
    <cellStyle name="_DISPLAY_ToDo 2" xfId="76"/>
    <cellStyle name="_DISPLAY_ToDoList" xfId="77"/>
    <cellStyle name="_DISPLAY_ToDoList 2" xfId="78"/>
    <cellStyle name="_DISPLAY_Treasuries" xfId="79"/>
    <cellStyle name="_DISPLAY_Treasuries 2" xfId="80"/>
    <cellStyle name="_DISPLAY_Treasuries_Composite Page" xfId="81"/>
    <cellStyle name="_DISPLAY_Treasuries_Config" xfId="82"/>
    <cellStyle name="_FRA_Map" xfId="83"/>
    <cellStyle name="_FRA_Map 2" xfId="84"/>
    <cellStyle name="_FRA_Map_121Fut_View" xfId="85"/>
    <cellStyle name="_FRA_Map_121Fut_View 2" xfId="86"/>
    <cellStyle name="_FRA_Map_Apollo" xfId="87"/>
    <cellStyle name="_FRA_Map_AssetSwap" xfId="88"/>
    <cellStyle name="_FRA_Map_Closes" xfId="89"/>
    <cellStyle name="_FRA_Map_Composite Page" xfId="90"/>
    <cellStyle name="_FRA_Map_Config" xfId="91"/>
    <cellStyle name="_FRA_Map_Config_Composite Page" xfId="92"/>
    <cellStyle name="_FRA_Map_Convexity" xfId="93"/>
    <cellStyle name="_FRA_Map_Core" xfId="94"/>
    <cellStyle name="_FRA_Map_Core 2" xfId="95"/>
    <cellStyle name="_FRA_Map_Core_Composite Page" xfId="96"/>
    <cellStyle name="_FRA_Map_Core_Config" xfId="97"/>
    <cellStyle name="_FRA_Map_cp_Closes" xfId="98"/>
    <cellStyle name="_FRA_Map_DISPLAY" xfId="99"/>
    <cellStyle name="_FRA_Map_EOD_Closes" xfId="100"/>
    <cellStyle name="_FRA_Map_EOD_Closes_1" xfId="101"/>
    <cellStyle name="_FRA_Map_EOD_Curve" xfId="102"/>
    <cellStyle name="_FRA_Map_EOD_Curve 2" xfId="103"/>
    <cellStyle name="_FRA_Map_EOD_Curve 3" xfId="104"/>
    <cellStyle name="_FRA_Map_EOD_Curve_Composite Page" xfId="105"/>
    <cellStyle name="_FRA_Map_EOD_Curve_Core" xfId="106"/>
    <cellStyle name="_FRA_Map_EOD_Curve_Core 2" xfId="107"/>
    <cellStyle name="_FRA_Map_EOD_Curve_Futures" xfId="108"/>
    <cellStyle name="_FRA_Map_EOD_Curve_Swaps" xfId="109"/>
    <cellStyle name="_FRA_Map_Futures" xfId="110"/>
    <cellStyle name="_FRA_Map_Futures 2" xfId="111"/>
    <cellStyle name="_FRA_Map_Futures_Composite Page" xfId="112"/>
    <cellStyle name="_FRA_Map_Futures_Config" xfId="113"/>
    <cellStyle name="_FRA_Map_Gamma" xfId="114"/>
    <cellStyle name="_FRA_Map_Gamma_1" xfId="115"/>
    <cellStyle name="_FRA_Map_Gamma_Composite Page" xfId="116"/>
    <cellStyle name="_FRA_Map_Gamma_Core" xfId="117"/>
    <cellStyle name="_FRA_Map_Gamma_Futures" xfId="118"/>
    <cellStyle name="_FRA_Map_Gamma_Futures_1" xfId="119"/>
    <cellStyle name="_FRA_Map_Gamma_Swaps" xfId="120"/>
    <cellStyle name="_FRA_Map_Gamma_Treasuries" xfId="121"/>
    <cellStyle name="_FRA_Map_holidays" xfId="122"/>
    <cellStyle name="_FRA_Map_Real_Time" xfId="123"/>
    <cellStyle name="_FRA_Map_Real-Time" xfId="124"/>
    <cellStyle name="_FRA_Map_Real-Time 2" xfId="125"/>
    <cellStyle name="_FRA_Map_Real-Time_1" xfId="126"/>
    <cellStyle name="_FRA_Map_Real-Time_Composite Page" xfId="127"/>
    <cellStyle name="_FRA_Map_Real-Time_Core" xfId="128"/>
    <cellStyle name="_FRA_Map_Real-Time_Futures" xfId="129"/>
    <cellStyle name="_FRA_Map_Real-Time_Futures_1" xfId="130"/>
    <cellStyle name="_FRA_Map_Real-Time_Swaps" xfId="131"/>
    <cellStyle name="_FRA_Map_Real-Time_Treasuries" xfId="132"/>
    <cellStyle name="_FRA_Map_Sheet1" xfId="133"/>
    <cellStyle name="_FRA_Map_Swaps" xfId="134"/>
    <cellStyle name="_FRA_Map_Swaps 2" xfId="135"/>
    <cellStyle name="_FRA_Map_Swaps_Composite Page" xfId="136"/>
    <cellStyle name="_FRA_Map_Swaps_Config" xfId="137"/>
    <cellStyle name="_FRA_Map_T-Notes" xfId="138"/>
    <cellStyle name="_FRA_Map_T-Notes 2" xfId="139"/>
    <cellStyle name="_FRA_Map_T-Notes_Composite Page" xfId="140"/>
    <cellStyle name="_FRA_Map_T-Notes_Config" xfId="141"/>
    <cellStyle name="_FRA_Map_ToDo" xfId="142"/>
    <cellStyle name="_FRA_Map_ToDo 2" xfId="143"/>
    <cellStyle name="_FRA_Map_ToDoList" xfId="144"/>
    <cellStyle name="_FRA_Map_ToDoList 2" xfId="145"/>
    <cellStyle name="_FRA_Map_Treasuries" xfId="146"/>
    <cellStyle name="_FRA_Map_Treasuries 2" xfId="147"/>
    <cellStyle name="_FRA_Map_Treasuries_Composite Page" xfId="148"/>
    <cellStyle name="_FRA_Map_Treasuries_Config" xfId="149"/>
    <cellStyle name="_Front" xfId="150"/>
    <cellStyle name="_Front_ADN" xfId="151"/>
    <cellStyle name="_Front_ImportBonds" xfId="152"/>
    <cellStyle name="_Front_Sheet1" xfId="153"/>
    <cellStyle name="_Front_Today" xfId="154"/>
    <cellStyle name="_Front_Yesterday" xfId="155"/>
    <cellStyle name="_Futures" xfId="156"/>
    <cellStyle name="_Gamma" xfId="157"/>
    <cellStyle name="_Gamma 2" xfId="158"/>
    <cellStyle name="_Gamma_Composite Page" xfId="159"/>
    <cellStyle name="_Gamma_Config" xfId="160"/>
    <cellStyle name="_Home" xfId="161"/>
    <cellStyle name="_Home 2" xfId="162"/>
    <cellStyle name="_Home_Composite Page" xfId="163"/>
    <cellStyle name="_Home_Config" xfId="164"/>
    <cellStyle name="_Hong Kong" xfId="165"/>
    <cellStyle name="_ImportBonds" xfId="166"/>
    <cellStyle name="_London" xfId="167"/>
    <cellStyle name="_London 2" xfId="168"/>
    <cellStyle name="_London_Composite Page" xfId="169"/>
    <cellStyle name="_London_Config" xfId="170"/>
    <cellStyle name="_LynxTrader" xfId="171"/>
    <cellStyle name="_LynxTrader_LynxTrader" xfId="172"/>
    <cellStyle name="_LynxTrader_Trade" xfId="173"/>
    <cellStyle name="_LynxTrader_Vector Editor" xfId="174"/>
    <cellStyle name="_Main" xfId="175"/>
    <cellStyle name="_manual" xfId="176"/>
    <cellStyle name="_manual_ADN" xfId="177"/>
    <cellStyle name="_manual_ImportBonds" xfId="178"/>
    <cellStyle name="_manual_Sheet1" xfId="179"/>
    <cellStyle name="_manual_Today" xfId="180"/>
    <cellStyle name="_manual_Yesterday" xfId="181"/>
    <cellStyle name="_New York" xfId="182"/>
    <cellStyle name="_NoteFuts" xfId="183"/>
    <cellStyle name="_Past 10 yr" xfId="184"/>
    <cellStyle name="_Past 10 yr 2" xfId="185"/>
    <cellStyle name="_Past 10 yr_Composite Page" xfId="186"/>
    <cellStyle name="_Past 10 yr_Config" xfId="187"/>
    <cellStyle name="_PnL" xfId="188"/>
    <cellStyle name="_PnL 2" xfId="189"/>
    <cellStyle name="_PnL Predictor" xfId="190"/>
    <cellStyle name="_PnL Predictor 2" xfId="191"/>
    <cellStyle name="_PnL Predictor_Composite Page" xfId="192"/>
    <cellStyle name="_PnL Predictor_Config" xfId="193"/>
    <cellStyle name="_PnL_Composite Page" xfId="194"/>
    <cellStyle name="_PnL_Config" xfId="195"/>
    <cellStyle name="_Positions" xfId="196"/>
    <cellStyle name="_Repo Blotter" xfId="197"/>
    <cellStyle name="_Repo Blotter_ADN" xfId="198"/>
    <cellStyle name="_Repo Blotter_ImportBonds" xfId="199"/>
    <cellStyle name="_Repo Blotter_Sheet1" xfId="200"/>
    <cellStyle name="_Repo Blotter_Today" xfId="201"/>
    <cellStyle name="_Repo Blotter_Yesterday" xfId="202"/>
    <cellStyle name="_Setup" xfId="203"/>
    <cellStyle name="_Setup_ADN" xfId="204"/>
    <cellStyle name="_Setup_ImportBonds" xfId="205"/>
    <cellStyle name="_Setup_Sheet1" xfId="206"/>
    <cellStyle name="_Setup_Today" xfId="207"/>
    <cellStyle name="_Setup_Yesterday" xfId="208"/>
    <cellStyle name="_Sheet1" xfId="209"/>
    <cellStyle name="_Strip_ZCurve" xfId="210"/>
    <cellStyle name="_Strip_ZCurve 2" xfId="211"/>
    <cellStyle name="_Strip_ZCurve_121Fut_View" xfId="212"/>
    <cellStyle name="_Strip_ZCurve_121Fut_View 2" xfId="213"/>
    <cellStyle name="_Strip_ZCurve_Apollo" xfId="214"/>
    <cellStyle name="_Strip_ZCurve_AssetSwap" xfId="215"/>
    <cellStyle name="_Strip_ZCurve_Closes" xfId="216"/>
    <cellStyle name="_Strip_ZCurve_Composite Page" xfId="217"/>
    <cellStyle name="_Strip_ZCurve_Config" xfId="218"/>
    <cellStyle name="_Strip_ZCurve_Config_Composite Page" xfId="219"/>
    <cellStyle name="_Strip_ZCurve_Convexity" xfId="220"/>
    <cellStyle name="_Strip_ZCurve_Core" xfId="221"/>
    <cellStyle name="_Strip_ZCurve_Core 2" xfId="222"/>
    <cellStyle name="_Strip_ZCurve_Core_Composite Page" xfId="223"/>
    <cellStyle name="_Strip_ZCurve_Core_Config" xfId="224"/>
    <cellStyle name="_Strip_ZCurve_cp_Closes" xfId="225"/>
    <cellStyle name="_Strip_ZCurve_DISPLAY" xfId="226"/>
    <cellStyle name="_Strip_ZCurve_EOD_Closes" xfId="227"/>
    <cellStyle name="_Strip_ZCurve_EOD_Closes_1" xfId="228"/>
    <cellStyle name="_Strip_ZCurve_EOD_Curve" xfId="229"/>
    <cellStyle name="_Strip_ZCurve_EOD_Curve 2" xfId="230"/>
    <cellStyle name="_Strip_ZCurve_EOD_Curve 3" xfId="231"/>
    <cellStyle name="_Strip_ZCurve_EOD_Curve_Composite Page" xfId="232"/>
    <cellStyle name="_Strip_ZCurve_EOD_Curve_Core" xfId="233"/>
    <cellStyle name="_Strip_ZCurve_EOD_Curve_Core 2" xfId="234"/>
    <cellStyle name="_Strip_ZCurve_EOD_Curve_Futures" xfId="235"/>
    <cellStyle name="_Strip_ZCurve_EOD_Curve_Swaps" xfId="236"/>
    <cellStyle name="_Strip_ZCurve_Futures" xfId="237"/>
    <cellStyle name="_Strip_ZCurve_Futures 2" xfId="238"/>
    <cellStyle name="_Strip_ZCurve_Futures_Composite Page" xfId="239"/>
    <cellStyle name="_Strip_ZCurve_Futures_Config" xfId="240"/>
    <cellStyle name="_Strip_ZCurve_Gamma" xfId="241"/>
    <cellStyle name="_Strip_ZCurve_Gamma_1" xfId="242"/>
    <cellStyle name="_Strip_ZCurve_Gamma_Composite Page" xfId="243"/>
    <cellStyle name="_Strip_ZCurve_Gamma_Core" xfId="244"/>
    <cellStyle name="_Strip_ZCurve_Gamma_Futures" xfId="245"/>
    <cellStyle name="_Strip_ZCurve_Gamma_Futures_1" xfId="246"/>
    <cellStyle name="_Strip_ZCurve_Gamma_Swaps" xfId="247"/>
    <cellStyle name="_Strip_ZCurve_Gamma_Treasuries" xfId="248"/>
    <cellStyle name="_Strip_ZCurve_holidays" xfId="249"/>
    <cellStyle name="_Strip_ZCurve_Real_Time" xfId="250"/>
    <cellStyle name="_Strip_ZCurve_Real-Time" xfId="251"/>
    <cellStyle name="_Strip_ZCurve_Real-Time 2" xfId="252"/>
    <cellStyle name="_Strip_ZCurve_Real-Time_1" xfId="253"/>
    <cellStyle name="_Strip_ZCurve_Real-Time_Composite Page" xfId="254"/>
    <cellStyle name="_Strip_ZCurve_Real-Time_Core" xfId="255"/>
    <cellStyle name="_Strip_ZCurve_Real-Time_Futures" xfId="256"/>
    <cellStyle name="_Strip_ZCurve_Real-Time_Futures_1" xfId="257"/>
    <cellStyle name="_Strip_ZCurve_Real-Time_Swaps" xfId="258"/>
    <cellStyle name="_Strip_ZCurve_Real-Time_Treasuries" xfId="259"/>
    <cellStyle name="_Strip_ZCurve_Sheet1" xfId="260"/>
    <cellStyle name="_Strip_ZCurve_Swaps" xfId="261"/>
    <cellStyle name="_Strip_ZCurve_Swaps 2" xfId="262"/>
    <cellStyle name="_Strip_ZCurve_Swaps_Composite Page" xfId="263"/>
    <cellStyle name="_Strip_ZCurve_Swaps_Config" xfId="264"/>
    <cellStyle name="_Strip_ZCurve_T-Notes" xfId="265"/>
    <cellStyle name="_Strip_ZCurve_T-Notes 2" xfId="266"/>
    <cellStyle name="_Strip_ZCurve_T-Notes_Composite Page" xfId="267"/>
    <cellStyle name="_Strip_ZCurve_T-Notes_Config" xfId="268"/>
    <cellStyle name="_Strip_ZCurve_ToDo" xfId="269"/>
    <cellStyle name="_Strip_ZCurve_ToDo 2" xfId="270"/>
    <cellStyle name="_Strip_ZCurve_ToDoList" xfId="271"/>
    <cellStyle name="_Strip_ZCurve_ToDoList 2" xfId="272"/>
    <cellStyle name="_Strip_ZCurve_Treasuries" xfId="273"/>
    <cellStyle name="_Strip_ZCurve_Treasuries 2" xfId="274"/>
    <cellStyle name="_Strip_ZCurve_Treasuries_Composite Page" xfId="275"/>
    <cellStyle name="_Strip_ZCurve_Treasuries_Config" xfId="276"/>
    <cellStyle name="_Summary" xfId="277"/>
    <cellStyle name="_Summary 2" xfId="278"/>
    <cellStyle name="_Summary_Composite Page" xfId="279"/>
    <cellStyle name="_Summary_Config" xfId="280"/>
    <cellStyle name="_Today" xfId="281"/>
    <cellStyle name="_Trade Blotter" xfId="282"/>
    <cellStyle name="_Treasuries" xfId="283"/>
    <cellStyle name="_Treasuries 2" xfId="284"/>
    <cellStyle name="_Treasuries_Composite Page" xfId="285"/>
    <cellStyle name="_Treasuries_Config" xfId="286"/>
    <cellStyle name="_Turn" xfId="287"/>
    <cellStyle name="_Turn 2" xfId="288"/>
    <cellStyle name="_Turn_121Fut_View" xfId="289"/>
    <cellStyle name="_Turn_121Fut_View 2" xfId="290"/>
    <cellStyle name="_Turn_Apollo" xfId="291"/>
    <cellStyle name="_Turn_apollo_curves" xfId="292"/>
    <cellStyle name="_Turn_Apollo_Spread" xfId="293"/>
    <cellStyle name="_Turn_AssetSwap" xfId="294"/>
    <cellStyle name="_Turn_Composite Page" xfId="295"/>
    <cellStyle name="_Turn_Config" xfId="296"/>
    <cellStyle name="_Turn_Config_Composite Page" xfId="297"/>
    <cellStyle name="_Turn_Convexity" xfId="298"/>
    <cellStyle name="_Turn_Core" xfId="299"/>
    <cellStyle name="_Turn_Core 2" xfId="300"/>
    <cellStyle name="_Turn_Core_Composite Page" xfId="301"/>
    <cellStyle name="_Turn_Core_Config" xfId="302"/>
    <cellStyle name="_Turn_cp_Closes" xfId="303"/>
    <cellStyle name="_Turn_DISPLAY" xfId="304"/>
    <cellStyle name="_Turn_EOD_Closes" xfId="305"/>
    <cellStyle name="_Turn_EOD_Curve" xfId="306"/>
    <cellStyle name="_Turn_EOD_Curve 2" xfId="307"/>
    <cellStyle name="_Turn_EOD_Curve 3" xfId="308"/>
    <cellStyle name="_Turn_EOD_Curve_Composite Page" xfId="309"/>
    <cellStyle name="_Turn_EOD_Curve_Core" xfId="310"/>
    <cellStyle name="_Turn_EOD_Curve_Core 2" xfId="311"/>
    <cellStyle name="_Turn_EOD_Curve_Futures" xfId="312"/>
    <cellStyle name="_Turn_EOD_Curve_Swaps" xfId="313"/>
    <cellStyle name="_Turn_Futures" xfId="314"/>
    <cellStyle name="_Turn_Futures 2" xfId="315"/>
    <cellStyle name="_Turn_Futures_Composite Page" xfId="316"/>
    <cellStyle name="_Turn_Futures_Config" xfId="317"/>
    <cellStyle name="_Turn_Gamma" xfId="318"/>
    <cellStyle name="_Turn_Gamma_1" xfId="319"/>
    <cellStyle name="_Turn_Gamma_Composite Page" xfId="320"/>
    <cellStyle name="_Turn_Gamma_Core" xfId="321"/>
    <cellStyle name="_Turn_Gamma_Futures" xfId="322"/>
    <cellStyle name="_Turn_Gamma_Futures_1" xfId="323"/>
    <cellStyle name="_Turn_Gamma_Swaps" xfId="324"/>
    <cellStyle name="_Turn_Gamma_Treasuries" xfId="325"/>
    <cellStyle name="_Turn_holidays" xfId="326"/>
    <cellStyle name="_Turn_Real_Time" xfId="327"/>
    <cellStyle name="_Turn_Real-Time" xfId="328"/>
    <cellStyle name="_Turn_Real-Time 2" xfId="329"/>
    <cellStyle name="_Turn_Real-Time_1" xfId="330"/>
    <cellStyle name="_Turn_Real-Time_Composite Page" xfId="331"/>
    <cellStyle name="_Turn_Real-Time_Core" xfId="332"/>
    <cellStyle name="_Turn_Real-Time_Futures" xfId="333"/>
    <cellStyle name="_Turn_Real-Time_Futures_1" xfId="334"/>
    <cellStyle name="_Turn_Real-Time_Swaps" xfId="335"/>
    <cellStyle name="_Turn_Real-Time_Treasuries" xfId="336"/>
    <cellStyle name="_Turn_Swaps" xfId="337"/>
    <cellStyle name="_Turn_Swaps 2" xfId="338"/>
    <cellStyle name="_Turn_Swaps_Composite Page" xfId="339"/>
    <cellStyle name="_Turn_Swaps_Config" xfId="340"/>
    <cellStyle name="_Turn_T-Notes" xfId="341"/>
    <cellStyle name="_Turn_T-Notes 2" xfId="342"/>
    <cellStyle name="_Turn_T-Notes_Composite Page" xfId="343"/>
    <cellStyle name="_Turn_T-Notes_Config" xfId="344"/>
    <cellStyle name="_Turn_ToDo" xfId="345"/>
    <cellStyle name="_Turn_ToDo 2" xfId="346"/>
    <cellStyle name="_Turn_ToDoList" xfId="347"/>
    <cellStyle name="_Turn_ToDoList 2" xfId="348"/>
    <cellStyle name="_Turn_Treasuries" xfId="349"/>
    <cellStyle name="_Turn_Treasuries 2" xfId="350"/>
    <cellStyle name="_Turn_Treasuries_Composite Page" xfId="351"/>
    <cellStyle name="_Turn_Treasuries_Config" xfId="352"/>
    <cellStyle name="_ValuationViewer" xfId="353"/>
    <cellStyle name="_ValuationViewer_ValuationViewer" xfId="354"/>
    <cellStyle name="_Yesterday" xfId="355"/>
    <cellStyle name="=C:\WINNT35\SYSTEM32\COMMAND.COM" xfId="356"/>
    <cellStyle name="0.0000%" xfId="357"/>
    <cellStyle name="20% - Accent1" xfId="7641" builtinId="30" customBuiltin="1"/>
    <cellStyle name="20% - Accent1 2" xfId="358"/>
    <cellStyle name="20% - Accent1 2 2" xfId="359"/>
    <cellStyle name="20% - Accent1 3" xfId="360"/>
    <cellStyle name="20% - Accent1 4" xfId="361"/>
    <cellStyle name="20% - Accent1 5" xfId="362"/>
    <cellStyle name="20% - Accent1 6" xfId="363"/>
    <cellStyle name="20% - Accent2" xfId="7645" builtinId="34" customBuiltin="1"/>
    <cellStyle name="20% - Accent2 2" xfId="364"/>
    <cellStyle name="20% - Accent2 2 2" xfId="365"/>
    <cellStyle name="20% - Accent2 3" xfId="366"/>
    <cellStyle name="20% - Accent2 4" xfId="367"/>
    <cellStyle name="20% - Accent2 5" xfId="368"/>
    <cellStyle name="20% - Accent2 6" xfId="369"/>
    <cellStyle name="20% - Accent3" xfId="7649" builtinId="38" customBuiltin="1"/>
    <cellStyle name="20% - Accent3 2" xfId="370"/>
    <cellStyle name="20% - Accent3 2 2" xfId="371"/>
    <cellStyle name="20% - Accent3 3" xfId="372"/>
    <cellStyle name="20% - Accent3 4" xfId="373"/>
    <cellStyle name="20% - Accent3 5" xfId="374"/>
    <cellStyle name="20% - Accent3 6" xfId="375"/>
    <cellStyle name="20% - Accent4" xfId="7653" builtinId="42" customBuiltin="1"/>
    <cellStyle name="20% - Accent4 2" xfId="376"/>
    <cellStyle name="20% - Accent4 2 2" xfId="377"/>
    <cellStyle name="20% - Accent4 3" xfId="378"/>
    <cellStyle name="20% - Accent4 4" xfId="379"/>
    <cellStyle name="20% - Accent4 5" xfId="380"/>
    <cellStyle name="20% - Accent4 6" xfId="381"/>
    <cellStyle name="20% - Accent5" xfId="7657" builtinId="46" customBuiltin="1"/>
    <cellStyle name="20% - Accent5 2" xfId="382"/>
    <cellStyle name="20% - Accent5 2 2" xfId="383"/>
    <cellStyle name="20% - Accent5 3" xfId="384"/>
    <cellStyle name="20% - Accent5 4" xfId="385"/>
    <cellStyle name="20% - Accent6" xfId="7661" builtinId="50" customBuiltin="1"/>
    <cellStyle name="20% - Accent6 2" xfId="386"/>
    <cellStyle name="20% - Accent6 2 2" xfId="387"/>
    <cellStyle name="20% - Accent6 3" xfId="388"/>
    <cellStyle name="20% - Accent6 4" xfId="389"/>
    <cellStyle name="40% - Accent1" xfId="7642" builtinId="31" customBuiltin="1"/>
    <cellStyle name="40% - Accent1 2" xfId="390"/>
    <cellStyle name="40% - Accent1 2 2" xfId="391"/>
    <cellStyle name="40% - Accent1 3" xfId="392"/>
    <cellStyle name="40% - Accent1 4" xfId="393"/>
    <cellStyle name="40% - Accent1 5" xfId="394"/>
    <cellStyle name="40% - Accent1 6" xfId="395"/>
    <cellStyle name="40% - Accent2" xfId="7646" builtinId="35" customBuiltin="1"/>
    <cellStyle name="40% - Accent2 2" xfId="396"/>
    <cellStyle name="40% - Accent2 2 2" xfId="397"/>
    <cellStyle name="40% - Accent2 3" xfId="398"/>
    <cellStyle name="40% - Accent2 4" xfId="399"/>
    <cellStyle name="40% - Accent3" xfId="7650" builtinId="39" customBuiltin="1"/>
    <cellStyle name="40% - Accent3 2" xfId="400"/>
    <cellStyle name="40% - Accent3 2 2" xfId="401"/>
    <cellStyle name="40% - Accent3 3" xfId="402"/>
    <cellStyle name="40% - Accent3 4" xfId="403"/>
    <cellStyle name="40% - Accent3 5" xfId="404"/>
    <cellStyle name="40% - Accent3 6" xfId="405"/>
    <cellStyle name="40% - Accent4" xfId="7654" builtinId="43" customBuiltin="1"/>
    <cellStyle name="40% - Accent4 2" xfId="406"/>
    <cellStyle name="40% - Accent4 2 2" xfId="407"/>
    <cellStyle name="40% - Accent4 3" xfId="408"/>
    <cellStyle name="40% - Accent4 4" xfId="409"/>
    <cellStyle name="40% - Accent4 5" xfId="410"/>
    <cellStyle name="40% - Accent4 6" xfId="411"/>
    <cellStyle name="40% - Accent5" xfId="7658" builtinId="47" customBuiltin="1"/>
    <cellStyle name="40% - Accent5 2" xfId="412"/>
    <cellStyle name="40% - Accent5 2 2" xfId="413"/>
    <cellStyle name="40% - Accent5 3" xfId="414"/>
    <cellStyle name="40% - Accent5 4" xfId="415"/>
    <cellStyle name="40% - Accent6" xfId="7662" builtinId="51" customBuiltin="1"/>
    <cellStyle name="40% - Accent6 2" xfId="416"/>
    <cellStyle name="40% - Accent6 2 2" xfId="417"/>
    <cellStyle name="40% - Accent6 3" xfId="418"/>
    <cellStyle name="40% - Accent6 4" xfId="419"/>
    <cellStyle name="40% - Accent6 5" xfId="420"/>
    <cellStyle name="40% - Accent6 6" xfId="421"/>
    <cellStyle name="60% - Accent1" xfId="7643" builtinId="32" customBuiltin="1"/>
    <cellStyle name="60% - Accent1 2" xfId="422"/>
    <cellStyle name="60% - Accent1 2 2" xfId="423"/>
    <cellStyle name="60% - Accent1 3" xfId="424"/>
    <cellStyle name="60% - Accent1 4" xfId="425"/>
    <cellStyle name="60% - Accent1 5" xfId="426"/>
    <cellStyle name="60% - Accent1 6" xfId="427"/>
    <cellStyle name="60% - Accent2" xfId="7647" builtinId="36" customBuiltin="1"/>
    <cellStyle name="60% - Accent2 2" xfId="428"/>
    <cellStyle name="60% - Accent2 2 2" xfId="429"/>
    <cellStyle name="60% - Accent2 3" xfId="430"/>
    <cellStyle name="60% - Accent2 4" xfId="431"/>
    <cellStyle name="60% - Accent3" xfId="7651" builtinId="40" customBuiltin="1"/>
    <cellStyle name="60% - Accent3 2" xfId="432"/>
    <cellStyle name="60% - Accent3 2 2" xfId="433"/>
    <cellStyle name="60% - Accent3 3" xfId="434"/>
    <cellStyle name="60% - Accent3 4" xfId="435"/>
    <cellStyle name="60% - Accent3 5" xfId="436"/>
    <cellStyle name="60% - Accent3 6" xfId="437"/>
    <cellStyle name="60% - Accent4" xfId="7655" builtinId="44" customBuiltin="1"/>
    <cellStyle name="60% - Accent4 2" xfId="438"/>
    <cellStyle name="60% - Accent4 2 2" xfId="439"/>
    <cellStyle name="60% - Accent4 3" xfId="440"/>
    <cellStyle name="60% - Accent4 4" xfId="441"/>
    <cellStyle name="60% - Accent4 5" xfId="442"/>
    <cellStyle name="60% - Accent4 6" xfId="443"/>
    <cellStyle name="60% - Accent5" xfId="7659" builtinId="48" customBuiltin="1"/>
    <cellStyle name="60% - Accent5 2" xfId="444"/>
    <cellStyle name="60% - Accent5 2 2" xfId="445"/>
    <cellStyle name="60% - Accent5 3" xfId="446"/>
    <cellStyle name="60% - Accent5 4" xfId="447"/>
    <cellStyle name="60% - Accent6" xfId="7663" builtinId="52" customBuiltin="1"/>
    <cellStyle name="60% - Accent6 2" xfId="448"/>
    <cellStyle name="60% - Accent6 2 2" xfId="449"/>
    <cellStyle name="60% - Accent6 3" xfId="450"/>
    <cellStyle name="60% - Accent6 4" xfId="451"/>
    <cellStyle name="60% - Accent6 5" xfId="452"/>
    <cellStyle name="60% - Accent6 6" xfId="453"/>
    <cellStyle name="Accent1" xfId="7640" builtinId="29" customBuiltin="1"/>
    <cellStyle name="Accent1 2" xfId="454"/>
    <cellStyle name="Accent1 2 2" xfId="455"/>
    <cellStyle name="Accent1 3" xfId="456"/>
    <cellStyle name="Accent1 4" xfId="457"/>
    <cellStyle name="Accent1 5" xfId="458"/>
    <cellStyle name="Accent1 6" xfId="459"/>
    <cellStyle name="Accent2" xfId="7644" builtinId="33" customBuiltin="1"/>
    <cellStyle name="Accent2 2" xfId="460"/>
    <cellStyle name="Accent2 2 2" xfId="461"/>
    <cellStyle name="Accent2 3" xfId="462"/>
    <cellStyle name="Accent2 4" xfId="463"/>
    <cellStyle name="Accent3" xfId="7648" builtinId="37" customBuiltin="1"/>
    <cellStyle name="Accent3 2" xfId="464"/>
    <cellStyle name="Accent3 2 2" xfId="465"/>
    <cellStyle name="Accent3 3" xfId="466"/>
    <cellStyle name="Accent3 4" xfId="467"/>
    <cellStyle name="Accent4" xfId="7652" builtinId="41" customBuiltin="1"/>
    <cellStyle name="Accent4 2" xfId="468"/>
    <cellStyle name="Accent4 2 2" xfId="469"/>
    <cellStyle name="Accent4 3" xfId="470"/>
    <cellStyle name="Accent4 4" xfId="471"/>
    <cellStyle name="Accent4 5" xfId="472"/>
    <cellStyle name="Accent4 6" xfId="473"/>
    <cellStyle name="Accent5" xfId="7656" builtinId="45" customBuiltin="1"/>
    <cellStyle name="Accent5 2" xfId="474"/>
    <cellStyle name="Accent5 2 2" xfId="475"/>
    <cellStyle name="Accent5 3" xfId="476"/>
    <cellStyle name="Accent5 4" xfId="477"/>
    <cellStyle name="Accent6" xfId="7660" builtinId="49" customBuiltin="1"/>
    <cellStyle name="Accent6 2" xfId="478"/>
    <cellStyle name="Accent6 2 2" xfId="479"/>
    <cellStyle name="Accent6 3" xfId="480"/>
    <cellStyle name="Accent6 4" xfId="481"/>
    <cellStyle name="AppSvrCode" xfId="482"/>
    <cellStyle name="Array" xfId="483"/>
    <cellStyle name="Background" xfId="484"/>
    <cellStyle name="BackGround 2" xfId="485"/>
    <cellStyle name="Background 3" xfId="486"/>
    <cellStyle name="Background 4" xfId="487"/>
    <cellStyle name="Background 5" xfId="488"/>
    <cellStyle name="Background 6" xfId="489"/>
    <cellStyle name="Background 7" xfId="490"/>
    <cellStyle name="Background_apollo_curves" xfId="491"/>
    <cellStyle name="Bad" xfId="7629" builtinId="27" customBuiltin="1"/>
    <cellStyle name="Bad 2" xfId="492"/>
    <cellStyle name="Bad 2 2" xfId="493"/>
    <cellStyle name="Bad 3" xfId="494"/>
    <cellStyle name="Bad 4" xfId="495"/>
    <cellStyle name="Bad 5" xfId="496"/>
    <cellStyle name="Bad 6" xfId="497"/>
    <cellStyle name="blp_column_header" xfId="498"/>
    <cellStyle name="Border" xfId="499"/>
    <cellStyle name="bullet" xfId="500"/>
    <cellStyle name="calc" xfId="501"/>
    <cellStyle name="Calculation" xfId="7633" builtinId="22" customBuiltin="1"/>
    <cellStyle name="Calculation 2" xfId="502"/>
    <cellStyle name="Calculation 2 2" xfId="503"/>
    <cellStyle name="Calculation 2 2 2" xfId="504"/>
    <cellStyle name="Calculation 2 2 2 2" xfId="505"/>
    <cellStyle name="Calculation 2 2 2 2 2" xfId="506"/>
    <cellStyle name="Calculation 2 2 2 2 2 2" xfId="507"/>
    <cellStyle name="Calculation 2 2 2 2 2 2 2" xfId="508"/>
    <cellStyle name="Calculation 2 2 2 2 2 2 2 2" xfId="509"/>
    <cellStyle name="Calculation 2 2 2 2 2 2 2 2 2" xfId="510"/>
    <cellStyle name="Calculation 2 2 2 2 2 2 2 3" xfId="511"/>
    <cellStyle name="Calculation 2 2 2 2 2 2 3" xfId="512"/>
    <cellStyle name="Calculation 2 2 2 2 2 2 3 2" xfId="513"/>
    <cellStyle name="Calculation 2 2 2 2 2 2 4" xfId="514"/>
    <cellStyle name="Calculation 2 2 2 2 2 3" xfId="515"/>
    <cellStyle name="Calculation 2 2 2 2 2 3 2" xfId="516"/>
    <cellStyle name="Calculation 2 2 2 2 2 3 2 2" xfId="517"/>
    <cellStyle name="Calculation 2 2 2 2 2 3 3" xfId="518"/>
    <cellStyle name="Calculation 2 2 2 2 2 3 4" xfId="519"/>
    <cellStyle name="Calculation 2 2 2 2 2 4" xfId="520"/>
    <cellStyle name="Calculation 2 2 2 2 2 4 2" xfId="521"/>
    <cellStyle name="Calculation 2 2 2 2 2 4 2 2" xfId="522"/>
    <cellStyle name="Calculation 2 2 2 2 2 4 3" xfId="523"/>
    <cellStyle name="Calculation 2 2 2 2 2 5" xfId="524"/>
    <cellStyle name="Calculation 2 2 2 2 2 5 2" xfId="525"/>
    <cellStyle name="Calculation 2 2 2 2 2 6" xfId="526"/>
    <cellStyle name="Calculation 2 2 2 2 3" xfId="527"/>
    <cellStyle name="Calculation 2 2 2 2 3 2" xfId="528"/>
    <cellStyle name="Calculation 2 2 2 2 3 2 2" xfId="529"/>
    <cellStyle name="Calculation 2 2 2 2 3 2 2 2" xfId="530"/>
    <cellStyle name="Calculation 2 2 2 2 3 2 2 2 2" xfId="531"/>
    <cellStyle name="Calculation 2 2 2 2 3 2 2 3" xfId="532"/>
    <cellStyle name="Calculation 2 2 2 2 3 2 3" xfId="533"/>
    <cellStyle name="Calculation 2 2 2 2 3 2 3 2" xfId="534"/>
    <cellStyle name="Calculation 2 2 2 2 3 2 4" xfId="535"/>
    <cellStyle name="Calculation 2 2 2 2 3 3" xfId="536"/>
    <cellStyle name="Calculation 2 2 2 2 3 3 2" xfId="537"/>
    <cellStyle name="Calculation 2 2 2 2 3 3 2 2" xfId="538"/>
    <cellStyle name="Calculation 2 2 2 2 3 3 3" xfId="539"/>
    <cellStyle name="Calculation 2 2 2 2 3 3 4" xfId="540"/>
    <cellStyle name="Calculation 2 2 2 2 3 4" xfId="541"/>
    <cellStyle name="Calculation 2 2 2 2 3 4 2" xfId="542"/>
    <cellStyle name="Calculation 2 2 2 2 3 4 2 2" xfId="543"/>
    <cellStyle name="Calculation 2 2 2 2 3 4 3" xfId="544"/>
    <cellStyle name="Calculation 2 2 2 2 3 5" xfId="545"/>
    <cellStyle name="Calculation 2 2 2 2 3 5 2" xfId="546"/>
    <cellStyle name="Calculation 2 2 2 2 3 6" xfId="547"/>
    <cellStyle name="Calculation 2 2 2 2 4" xfId="548"/>
    <cellStyle name="Calculation 2 2 2 2 4 2" xfId="549"/>
    <cellStyle name="Calculation 2 2 2 2 4 2 2" xfId="550"/>
    <cellStyle name="Calculation 2 2 2 2 4 2 2 2" xfId="551"/>
    <cellStyle name="Calculation 2 2 2 2 4 2 2 2 2" xfId="552"/>
    <cellStyle name="Calculation 2 2 2 2 4 2 2 3" xfId="553"/>
    <cellStyle name="Calculation 2 2 2 2 4 2 3" xfId="554"/>
    <cellStyle name="Calculation 2 2 2 2 4 2 3 2" xfId="555"/>
    <cellStyle name="Calculation 2 2 2 2 4 2 4" xfId="556"/>
    <cellStyle name="Calculation 2 2 2 2 4 3" xfId="557"/>
    <cellStyle name="Calculation 2 2 2 2 4 3 2" xfId="558"/>
    <cellStyle name="Calculation 2 2 2 2 4 3 2 2" xfId="559"/>
    <cellStyle name="Calculation 2 2 2 2 4 3 3" xfId="560"/>
    <cellStyle name="Calculation 2 2 2 2 4 3 4" xfId="561"/>
    <cellStyle name="Calculation 2 2 2 2 4 4" xfId="562"/>
    <cellStyle name="Calculation 2 2 2 2 4 4 2" xfId="563"/>
    <cellStyle name="Calculation 2 2 2 2 4 4 2 2" xfId="564"/>
    <cellStyle name="Calculation 2 2 2 2 4 4 3" xfId="565"/>
    <cellStyle name="Calculation 2 2 2 2 4 5" xfId="566"/>
    <cellStyle name="Calculation 2 2 2 2 4 5 2" xfId="567"/>
    <cellStyle name="Calculation 2 2 2 2 4 6" xfId="568"/>
    <cellStyle name="Calculation 2 2 2 2 5" xfId="569"/>
    <cellStyle name="Calculation 2 2 2 2 5 2" xfId="570"/>
    <cellStyle name="Calculation 2 2 2 3" xfId="571"/>
    <cellStyle name="Calculation 2 2 2 3 2" xfId="572"/>
    <cellStyle name="Calculation 2 2 2 3 2 2" xfId="573"/>
    <cellStyle name="Calculation 2 2 2 3 2 2 2" xfId="574"/>
    <cellStyle name="Calculation 2 2 2 3 2 2 2 2" xfId="575"/>
    <cellStyle name="Calculation 2 2 2 3 2 2 3" xfId="576"/>
    <cellStyle name="Calculation 2 2 2 3 2 3" xfId="577"/>
    <cellStyle name="Calculation 2 2 2 3 2 3 2" xfId="578"/>
    <cellStyle name="Calculation 2 2 2 3 2 4" xfId="579"/>
    <cellStyle name="Calculation 2 2 2 3 3" xfId="580"/>
    <cellStyle name="Calculation 2 2 2 3 3 2" xfId="581"/>
    <cellStyle name="Calculation 2 2 2 3 3 2 2" xfId="582"/>
    <cellStyle name="Calculation 2 2 2 3 3 3" xfId="583"/>
    <cellStyle name="Calculation 2 2 2 3 3 4" xfId="584"/>
    <cellStyle name="Calculation 2 2 2 3 4" xfId="585"/>
    <cellStyle name="Calculation 2 2 2 3 4 2" xfId="586"/>
    <cellStyle name="Calculation 2 2 2 3 4 2 2" xfId="587"/>
    <cellStyle name="Calculation 2 2 2 3 4 3" xfId="588"/>
    <cellStyle name="Calculation 2 2 2 3 5" xfId="589"/>
    <cellStyle name="Calculation 2 2 2 3 5 2" xfId="590"/>
    <cellStyle name="Calculation 2 2 2 3 6" xfId="591"/>
    <cellStyle name="Calculation 2 2 2 4" xfId="592"/>
    <cellStyle name="Calculation 2 2 2 4 2" xfId="593"/>
    <cellStyle name="Calculation 2 2 2 4 2 2" xfId="594"/>
    <cellStyle name="Calculation 2 2 2 4 2 2 2" xfId="595"/>
    <cellStyle name="Calculation 2 2 2 4 2 2 2 2" xfId="596"/>
    <cellStyle name="Calculation 2 2 2 4 2 2 3" xfId="597"/>
    <cellStyle name="Calculation 2 2 2 4 2 3" xfId="598"/>
    <cellStyle name="Calculation 2 2 2 4 2 3 2" xfId="599"/>
    <cellStyle name="Calculation 2 2 2 4 2 4" xfId="600"/>
    <cellStyle name="Calculation 2 2 2 4 3" xfId="601"/>
    <cellStyle name="Calculation 2 2 2 4 3 2" xfId="602"/>
    <cellStyle name="Calculation 2 2 2 4 3 2 2" xfId="603"/>
    <cellStyle name="Calculation 2 2 2 4 3 3" xfId="604"/>
    <cellStyle name="Calculation 2 2 2 4 3 4" xfId="605"/>
    <cellStyle name="Calculation 2 2 2 4 4" xfId="606"/>
    <cellStyle name="Calculation 2 2 2 4 4 2" xfId="607"/>
    <cellStyle name="Calculation 2 2 2 4 4 2 2" xfId="608"/>
    <cellStyle name="Calculation 2 2 2 4 4 3" xfId="609"/>
    <cellStyle name="Calculation 2 2 2 4 5" xfId="610"/>
    <cellStyle name="Calculation 2 2 2 4 5 2" xfId="611"/>
    <cellStyle name="Calculation 2 2 2 4 6" xfId="612"/>
    <cellStyle name="Calculation 2 2 2 5" xfId="613"/>
    <cellStyle name="Calculation 2 2 2 5 2" xfId="614"/>
    <cellStyle name="Calculation 2 2 2 5 2 2" xfId="615"/>
    <cellStyle name="Calculation 2 2 2 5 2 2 2" xfId="616"/>
    <cellStyle name="Calculation 2 2 2 5 2 2 2 2" xfId="617"/>
    <cellStyle name="Calculation 2 2 2 5 2 2 3" xfId="618"/>
    <cellStyle name="Calculation 2 2 2 5 2 3" xfId="619"/>
    <cellStyle name="Calculation 2 2 2 5 2 3 2" xfId="620"/>
    <cellStyle name="Calculation 2 2 2 5 2 4" xfId="621"/>
    <cellStyle name="Calculation 2 2 2 5 3" xfId="622"/>
    <cellStyle name="Calculation 2 2 2 5 3 2" xfId="623"/>
    <cellStyle name="Calculation 2 2 2 5 3 2 2" xfId="624"/>
    <cellStyle name="Calculation 2 2 2 5 3 3" xfId="625"/>
    <cellStyle name="Calculation 2 2 2 5 3 4" xfId="626"/>
    <cellStyle name="Calculation 2 2 2 5 4" xfId="627"/>
    <cellStyle name="Calculation 2 2 2 5 4 2" xfId="628"/>
    <cellStyle name="Calculation 2 2 2 5 4 2 2" xfId="629"/>
    <cellStyle name="Calculation 2 2 2 5 4 3" xfId="630"/>
    <cellStyle name="Calculation 2 2 2 5 5" xfId="631"/>
    <cellStyle name="Calculation 2 2 2 5 5 2" xfId="632"/>
    <cellStyle name="Calculation 2 2 2 5 6" xfId="633"/>
    <cellStyle name="Calculation 2 2 3" xfId="634"/>
    <cellStyle name="Calculation 2 2 3 2" xfId="635"/>
    <cellStyle name="Calculation 2 2 3 2 2" xfId="636"/>
    <cellStyle name="Calculation 2 2 3 2 2 2" xfId="637"/>
    <cellStyle name="Calculation 2 2 3 2 2 2 2" xfId="638"/>
    <cellStyle name="Calculation 2 2 3 2 2 2 2 2" xfId="639"/>
    <cellStyle name="Calculation 2 2 3 2 2 2 3" xfId="640"/>
    <cellStyle name="Calculation 2 2 3 2 2 3" xfId="641"/>
    <cellStyle name="Calculation 2 2 3 2 2 3 2" xfId="642"/>
    <cellStyle name="Calculation 2 2 3 2 2 4" xfId="643"/>
    <cellStyle name="Calculation 2 2 3 2 3" xfId="644"/>
    <cellStyle name="Calculation 2 2 3 2 3 2" xfId="645"/>
    <cellStyle name="Calculation 2 2 3 2 3 2 2" xfId="646"/>
    <cellStyle name="Calculation 2 2 3 2 3 3" xfId="647"/>
    <cellStyle name="Calculation 2 2 3 2 3 4" xfId="648"/>
    <cellStyle name="Calculation 2 2 3 2 4" xfId="649"/>
    <cellStyle name="Calculation 2 2 3 2 4 2" xfId="650"/>
    <cellStyle name="Calculation 2 2 3 2 4 2 2" xfId="651"/>
    <cellStyle name="Calculation 2 2 3 2 4 3" xfId="652"/>
    <cellStyle name="Calculation 2 2 3 2 5" xfId="653"/>
    <cellStyle name="Calculation 2 2 3 2 5 2" xfId="654"/>
    <cellStyle name="Calculation 2 2 3 2 6" xfId="655"/>
    <cellStyle name="Calculation 2 2 3 3" xfId="656"/>
    <cellStyle name="Calculation 2 2 3 3 2" xfId="657"/>
    <cellStyle name="Calculation 2 2 3 3 2 2" xfId="658"/>
    <cellStyle name="Calculation 2 2 3 3 2 2 2" xfId="659"/>
    <cellStyle name="Calculation 2 2 3 3 2 2 2 2" xfId="660"/>
    <cellStyle name="Calculation 2 2 3 3 2 2 3" xfId="661"/>
    <cellStyle name="Calculation 2 2 3 3 2 3" xfId="662"/>
    <cellStyle name="Calculation 2 2 3 3 2 3 2" xfId="663"/>
    <cellStyle name="Calculation 2 2 3 3 2 4" xfId="664"/>
    <cellStyle name="Calculation 2 2 3 3 3" xfId="665"/>
    <cellStyle name="Calculation 2 2 3 3 3 2" xfId="666"/>
    <cellStyle name="Calculation 2 2 3 3 3 2 2" xfId="667"/>
    <cellStyle name="Calculation 2 2 3 3 3 3" xfId="668"/>
    <cellStyle name="Calculation 2 2 3 3 3 4" xfId="669"/>
    <cellStyle name="Calculation 2 2 3 3 4" xfId="670"/>
    <cellStyle name="Calculation 2 2 3 3 4 2" xfId="671"/>
    <cellStyle name="Calculation 2 2 3 3 4 2 2" xfId="672"/>
    <cellStyle name="Calculation 2 2 3 3 4 3" xfId="673"/>
    <cellStyle name="Calculation 2 2 3 3 5" xfId="674"/>
    <cellStyle name="Calculation 2 2 3 3 5 2" xfId="675"/>
    <cellStyle name="Calculation 2 2 3 3 6" xfId="676"/>
    <cellStyle name="Calculation 2 2 3 4" xfId="677"/>
    <cellStyle name="Calculation 2 2 3 4 2" xfId="678"/>
    <cellStyle name="Calculation 2 2 3 4 2 2" xfId="679"/>
    <cellStyle name="Calculation 2 2 3 4 2 2 2" xfId="680"/>
    <cellStyle name="Calculation 2 2 3 4 2 2 2 2" xfId="681"/>
    <cellStyle name="Calculation 2 2 3 4 2 2 3" xfId="682"/>
    <cellStyle name="Calculation 2 2 3 4 2 3" xfId="683"/>
    <cellStyle name="Calculation 2 2 3 4 2 3 2" xfId="684"/>
    <cellStyle name="Calculation 2 2 3 4 2 4" xfId="685"/>
    <cellStyle name="Calculation 2 2 3 4 3" xfId="686"/>
    <cellStyle name="Calculation 2 2 3 4 3 2" xfId="687"/>
    <cellStyle name="Calculation 2 2 3 4 3 2 2" xfId="688"/>
    <cellStyle name="Calculation 2 2 3 4 3 3" xfId="689"/>
    <cellStyle name="Calculation 2 2 3 4 3 4" xfId="690"/>
    <cellStyle name="Calculation 2 2 3 4 4" xfId="691"/>
    <cellStyle name="Calculation 2 2 3 4 4 2" xfId="692"/>
    <cellStyle name="Calculation 2 2 3 4 4 2 2" xfId="693"/>
    <cellStyle name="Calculation 2 2 3 4 4 3" xfId="694"/>
    <cellStyle name="Calculation 2 2 3 4 5" xfId="695"/>
    <cellStyle name="Calculation 2 2 3 4 5 2" xfId="696"/>
    <cellStyle name="Calculation 2 2 3 4 6" xfId="697"/>
    <cellStyle name="Calculation 2 2 3 5" xfId="698"/>
    <cellStyle name="Calculation 2 2 3 5 2" xfId="699"/>
    <cellStyle name="Calculation 2 2 4" xfId="700"/>
    <cellStyle name="Calculation 2 2 4 2" xfId="701"/>
    <cellStyle name="Calculation 2 2 4 2 2" xfId="702"/>
    <cellStyle name="Calculation 2 2 4 2 2 2" xfId="703"/>
    <cellStyle name="Calculation 2 2 4 2 2 2 2" xfId="704"/>
    <cellStyle name="Calculation 2 2 4 2 2 2 2 2" xfId="705"/>
    <cellStyle name="Calculation 2 2 4 2 2 2 3" xfId="706"/>
    <cellStyle name="Calculation 2 2 4 2 2 3" xfId="707"/>
    <cellStyle name="Calculation 2 2 4 2 2 3 2" xfId="708"/>
    <cellStyle name="Calculation 2 2 4 2 2 4" xfId="709"/>
    <cellStyle name="Calculation 2 2 4 2 3" xfId="710"/>
    <cellStyle name="Calculation 2 2 4 2 3 2" xfId="711"/>
    <cellStyle name="Calculation 2 2 4 2 3 2 2" xfId="712"/>
    <cellStyle name="Calculation 2 2 4 2 3 3" xfId="713"/>
    <cellStyle name="Calculation 2 2 4 2 3 4" xfId="714"/>
    <cellStyle name="Calculation 2 2 4 2 4" xfId="715"/>
    <cellStyle name="Calculation 2 2 4 2 4 2" xfId="716"/>
    <cellStyle name="Calculation 2 2 4 2 4 2 2" xfId="717"/>
    <cellStyle name="Calculation 2 2 4 2 4 3" xfId="718"/>
    <cellStyle name="Calculation 2 2 4 2 5" xfId="719"/>
    <cellStyle name="Calculation 2 2 4 2 5 2" xfId="720"/>
    <cellStyle name="Calculation 2 2 4 2 6" xfId="721"/>
    <cellStyle name="Calculation 2 2 4 3" xfId="722"/>
    <cellStyle name="Calculation 2 2 4 3 2" xfId="723"/>
    <cellStyle name="Calculation 2 2 4 3 2 2" xfId="724"/>
    <cellStyle name="Calculation 2 2 4 3 2 2 2" xfId="725"/>
    <cellStyle name="Calculation 2 2 4 3 2 2 2 2" xfId="726"/>
    <cellStyle name="Calculation 2 2 4 3 2 2 3" xfId="727"/>
    <cellStyle name="Calculation 2 2 4 3 2 3" xfId="728"/>
    <cellStyle name="Calculation 2 2 4 3 2 3 2" xfId="729"/>
    <cellStyle name="Calculation 2 2 4 3 2 4" xfId="730"/>
    <cellStyle name="Calculation 2 2 4 3 3" xfId="731"/>
    <cellStyle name="Calculation 2 2 4 3 3 2" xfId="732"/>
    <cellStyle name="Calculation 2 2 4 3 3 2 2" xfId="733"/>
    <cellStyle name="Calculation 2 2 4 3 3 3" xfId="734"/>
    <cellStyle name="Calculation 2 2 4 3 3 4" xfId="735"/>
    <cellStyle name="Calculation 2 2 4 3 4" xfId="736"/>
    <cellStyle name="Calculation 2 2 4 3 4 2" xfId="737"/>
    <cellStyle name="Calculation 2 2 4 3 4 2 2" xfId="738"/>
    <cellStyle name="Calculation 2 2 4 3 4 3" xfId="739"/>
    <cellStyle name="Calculation 2 2 4 3 5" xfId="740"/>
    <cellStyle name="Calculation 2 2 4 3 5 2" xfId="741"/>
    <cellStyle name="Calculation 2 2 4 3 6" xfId="742"/>
    <cellStyle name="Calculation 2 2 4 4" xfId="743"/>
    <cellStyle name="Calculation 2 2 4 4 2" xfId="744"/>
    <cellStyle name="Calculation 2 2 4 4 2 2" xfId="745"/>
    <cellStyle name="Calculation 2 2 4 4 2 2 2" xfId="746"/>
    <cellStyle name="Calculation 2 2 4 4 2 3" xfId="747"/>
    <cellStyle name="Calculation 2 2 4 4 3" xfId="748"/>
    <cellStyle name="Calculation 2 2 4 4 3 2" xfId="749"/>
    <cellStyle name="Calculation 2 2 4 4 4" xfId="750"/>
    <cellStyle name="Calculation 2 2 4 5" xfId="751"/>
    <cellStyle name="Calculation 2 2 4 5 2" xfId="752"/>
    <cellStyle name="Calculation 2 2 4 5 2 2" xfId="753"/>
    <cellStyle name="Calculation 2 2 4 5 3" xfId="754"/>
    <cellStyle name="Calculation 2 2 4 5 4" xfId="755"/>
    <cellStyle name="Calculation 2 2 4 6" xfId="756"/>
    <cellStyle name="Calculation 2 2 4 6 2" xfId="757"/>
    <cellStyle name="Calculation 2 2 4 6 2 2" xfId="758"/>
    <cellStyle name="Calculation 2 2 4 6 3" xfId="759"/>
    <cellStyle name="Calculation 2 2 4 7" xfId="760"/>
    <cellStyle name="Calculation 2 2 4 7 2" xfId="761"/>
    <cellStyle name="Calculation 2 2 4 8" xfId="762"/>
    <cellStyle name="Calculation 2 2 5" xfId="763"/>
    <cellStyle name="Calculation 2 2 5 2" xfId="764"/>
    <cellStyle name="Calculation 2 2 5 2 2" xfId="765"/>
    <cellStyle name="Calculation 2 2 5 2 2 2" xfId="766"/>
    <cellStyle name="Calculation 2 2 5 2 2 2 2" xfId="767"/>
    <cellStyle name="Calculation 2 2 5 2 2 3" xfId="768"/>
    <cellStyle name="Calculation 2 2 5 2 3" xfId="769"/>
    <cellStyle name="Calculation 2 2 5 2 3 2" xfId="770"/>
    <cellStyle name="Calculation 2 2 5 2 4" xfId="771"/>
    <cellStyle name="Calculation 2 2 5 3" xfId="772"/>
    <cellStyle name="Calculation 2 2 5 3 2" xfId="773"/>
    <cellStyle name="Calculation 2 2 5 3 2 2" xfId="774"/>
    <cellStyle name="Calculation 2 2 5 3 3" xfId="775"/>
    <cellStyle name="Calculation 2 2 5 3 4" xfId="776"/>
    <cellStyle name="Calculation 2 2 5 4" xfId="777"/>
    <cellStyle name="Calculation 2 2 5 4 2" xfId="778"/>
    <cellStyle name="Calculation 2 2 5 4 2 2" xfId="779"/>
    <cellStyle name="Calculation 2 2 5 4 3" xfId="780"/>
    <cellStyle name="Calculation 2 2 5 5" xfId="781"/>
    <cellStyle name="Calculation 2 2 5 5 2" xfId="782"/>
    <cellStyle name="Calculation 2 2 5 6" xfId="783"/>
    <cellStyle name="Calculation 2 3" xfId="784"/>
    <cellStyle name="Calculation 2 3 2" xfId="785"/>
    <cellStyle name="Calculation 2 3 2 2" xfId="786"/>
    <cellStyle name="Calculation 2 3 2 2 2" xfId="787"/>
    <cellStyle name="Calculation 2 3 2 2 2 2" xfId="788"/>
    <cellStyle name="Calculation 2 3 2 2 2 2 2" xfId="789"/>
    <cellStyle name="Calculation 2 3 2 2 2 2 2 2" xfId="790"/>
    <cellStyle name="Calculation 2 3 2 2 2 2 3" xfId="791"/>
    <cellStyle name="Calculation 2 3 2 2 2 3" xfId="792"/>
    <cellStyle name="Calculation 2 3 2 2 2 3 2" xfId="793"/>
    <cellStyle name="Calculation 2 3 2 2 2 4" xfId="794"/>
    <cellStyle name="Calculation 2 3 2 2 3" xfId="795"/>
    <cellStyle name="Calculation 2 3 2 2 3 2" xfId="796"/>
    <cellStyle name="Calculation 2 3 2 2 3 2 2" xfId="797"/>
    <cellStyle name="Calculation 2 3 2 2 3 3" xfId="798"/>
    <cellStyle name="Calculation 2 3 2 2 3 4" xfId="799"/>
    <cellStyle name="Calculation 2 3 2 2 4" xfId="800"/>
    <cellStyle name="Calculation 2 3 2 2 4 2" xfId="801"/>
    <cellStyle name="Calculation 2 3 2 2 4 2 2" xfId="802"/>
    <cellStyle name="Calculation 2 3 2 2 4 3" xfId="803"/>
    <cellStyle name="Calculation 2 3 2 2 5" xfId="804"/>
    <cellStyle name="Calculation 2 3 2 2 5 2" xfId="805"/>
    <cellStyle name="Calculation 2 3 2 2 6" xfId="806"/>
    <cellStyle name="Calculation 2 3 2 3" xfId="807"/>
    <cellStyle name="Calculation 2 3 2 3 2" xfId="808"/>
    <cellStyle name="Calculation 2 3 2 3 2 2" xfId="809"/>
    <cellStyle name="Calculation 2 3 2 3 2 2 2" xfId="810"/>
    <cellStyle name="Calculation 2 3 2 3 2 2 2 2" xfId="811"/>
    <cellStyle name="Calculation 2 3 2 3 2 2 3" xfId="812"/>
    <cellStyle name="Calculation 2 3 2 3 2 3" xfId="813"/>
    <cellStyle name="Calculation 2 3 2 3 2 3 2" xfId="814"/>
    <cellStyle name="Calculation 2 3 2 3 2 4" xfId="815"/>
    <cellStyle name="Calculation 2 3 2 3 3" xfId="816"/>
    <cellStyle name="Calculation 2 3 2 3 3 2" xfId="817"/>
    <cellStyle name="Calculation 2 3 2 3 3 2 2" xfId="818"/>
    <cellStyle name="Calculation 2 3 2 3 3 3" xfId="819"/>
    <cellStyle name="Calculation 2 3 2 3 3 4" xfId="820"/>
    <cellStyle name="Calculation 2 3 2 3 4" xfId="821"/>
    <cellStyle name="Calculation 2 3 2 3 4 2" xfId="822"/>
    <cellStyle name="Calculation 2 3 2 3 4 2 2" xfId="823"/>
    <cellStyle name="Calculation 2 3 2 3 4 3" xfId="824"/>
    <cellStyle name="Calculation 2 3 2 3 5" xfId="825"/>
    <cellStyle name="Calculation 2 3 2 3 5 2" xfId="826"/>
    <cellStyle name="Calculation 2 3 2 3 6" xfId="827"/>
    <cellStyle name="Calculation 2 3 2 4" xfId="828"/>
    <cellStyle name="Calculation 2 3 2 4 2" xfId="829"/>
    <cellStyle name="Calculation 2 3 2 4 2 2" xfId="830"/>
    <cellStyle name="Calculation 2 3 2 4 2 2 2" xfId="831"/>
    <cellStyle name="Calculation 2 3 2 4 2 2 2 2" xfId="832"/>
    <cellStyle name="Calculation 2 3 2 4 2 2 3" xfId="833"/>
    <cellStyle name="Calculation 2 3 2 4 2 3" xfId="834"/>
    <cellStyle name="Calculation 2 3 2 4 2 3 2" xfId="835"/>
    <cellStyle name="Calculation 2 3 2 4 2 4" xfId="836"/>
    <cellStyle name="Calculation 2 3 2 4 3" xfId="837"/>
    <cellStyle name="Calculation 2 3 2 4 3 2" xfId="838"/>
    <cellStyle name="Calculation 2 3 2 4 3 2 2" xfId="839"/>
    <cellStyle name="Calculation 2 3 2 4 3 3" xfId="840"/>
    <cellStyle name="Calculation 2 3 2 4 3 4" xfId="841"/>
    <cellStyle name="Calculation 2 3 2 4 4" xfId="842"/>
    <cellStyle name="Calculation 2 3 2 4 4 2" xfId="843"/>
    <cellStyle name="Calculation 2 3 2 4 4 2 2" xfId="844"/>
    <cellStyle name="Calculation 2 3 2 4 4 3" xfId="845"/>
    <cellStyle name="Calculation 2 3 2 4 5" xfId="846"/>
    <cellStyle name="Calculation 2 3 2 4 5 2" xfId="847"/>
    <cellStyle name="Calculation 2 3 2 4 6" xfId="848"/>
    <cellStyle name="Calculation 2 3 2 5" xfId="849"/>
    <cellStyle name="Calculation 2 3 2 5 2" xfId="850"/>
    <cellStyle name="Calculation 2 3 3" xfId="851"/>
    <cellStyle name="Calculation 2 3 3 2" xfId="852"/>
    <cellStyle name="Calculation 2 3 3 2 2" xfId="853"/>
    <cellStyle name="Calculation 2 3 3 2 2 2" xfId="854"/>
    <cellStyle name="Calculation 2 3 3 2 2 2 2" xfId="855"/>
    <cellStyle name="Calculation 2 3 3 2 2 3" xfId="856"/>
    <cellStyle name="Calculation 2 3 3 2 3" xfId="857"/>
    <cellStyle name="Calculation 2 3 3 2 3 2" xfId="858"/>
    <cellStyle name="Calculation 2 3 3 2 4" xfId="859"/>
    <cellStyle name="Calculation 2 3 3 3" xfId="860"/>
    <cellStyle name="Calculation 2 3 3 3 2" xfId="861"/>
    <cellStyle name="Calculation 2 3 3 3 2 2" xfId="862"/>
    <cellStyle name="Calculation 2 3 3 3 3" xfId="863"/>
    <cellStyle name="Calculation 2 3 3 3 4" xfId="864"/>
    <cellStyle name="Calculation 2 3 3 4" xfId="865"/>
    <cellStyle name="Calculation 2 3 3 4 2" xfId="866"/>
    <cellStyle name="Calculation 2 3 3 4 2 2" xfId="867"/>
    <cellStyle name="Calculation 2 3 3 4 3" xfId="868"/>
    <cellStyle name="Calculation 2 3 3 5" xfId="869"/>
    <cellStyle name="Calculation 2 3 3 5 2" xfId="870"/>
    <cellStyle name="Calculation 2 3 3 6" xfId="871"/>
    <cellStyle name="Calculation 2 3 4" xfId="872"/>
    <cellStyle name="Calculation 2 3 4 2" xfId="873"/>
    <cellStyle name="Calculation 2 3 4 2 2" xfId="874"/>
    <cellStyle name="Calculation 2 3 4 2 2 2" xfId="875"/>
    <cellStyle name="Calculation 2 3 4 2 2 2 2" xfId="876"/>
    <cellStyle name="Calculation 2 3 4 2 2 3" xfId="877"/>
    <cellStyle name="Calculation 2 3 4 2 3" xfId="878"/>
    <cellStyle name="Calculation 2 3 4 2 3 2" xfId="879"/>
    <cellStyle name="Calculation 2 3 4 2 4" xfId="880"/>
    <cellStyle name="Calculation 2 3 4 3" xfId="881"/>
    <cellStyle name="Calculation 2 3 4 3 2" xfId="882"/>
    <cellStyle name="Calculation 2 3 4 3 2 2" xfId="883"/>
    <cellStyle name="Calculation 2 3 4 3 3" xfId="884"/>
    <cellStyle name="Calculation 2 3 4 3 4" xfId="885"/>
    <cellStyle name="Calculation 2 3 4 4" xfId="886"/>
    <cellStyle name="Calculation 2 3 4 4 2" xfId="887"/>
    <cellStyle name="Calculation 2 3 4 4 2 2" xfId="888"/>
    <cellStyle name="Calculation 2 3 4 4 3" xfId="889"/>
    <cellStyle name="Calculation 2 3 4 5" xfId="890"/>
    <cellStyle name="Calculation 2 3 4 5 2" xfId="891"/>
    <cellStyle name="Calculation 2 3 4 6" xfId="892"/>
    <cellStyle name="Calculation 2 3 5" xfId="893"/>
    <cellStyle name="Calculation 2 3 5 2" xfId="894"/>
    <cellStyle name="Calculation 2 3 5 2 2" xfId="895"/>
    <cellStyle name="Calculation 2 3 5 2 2 2" xfId="896"/>
    <cellStyle name="Calculation 2 3 5 2 2 2 2" xfId="897"/>
    <cellStyle name="Calculation 2 3 5 2 2 3" xfId="898"/>
    <cellStyle name="Calculation 2 3 5 2 3" xfId="899"/>
    <cellStyle name="Calculation 2 3 5 2 3 2" xfId="900"/>
    <cellStyle name="Calculation 2 3 5 2 4" xfId="901"/>
    <cellStyle name="Calculation 2 3 5 3" xfId="902"/>
    <cellStyle name="Calculation 2 3 5 3 2" xfId="903"/>
    <cellStyle name="Calculation 2 3 5 3 2 2" xfId="904"/>
    <cellStyle name="Calculation 2 3 5 3 3" xfId="905"/>
    <cellStyle name="Calculation 2 3 5 3 4" xfId="906"/>
    <cellStyle name="Calculation 2 3 5 4" xfId="907"/>
    <cellStyle name="Calculation 2 3 5 4 2" xfId="908"/>
    <cellStyle name="Calculation 2 3 5 4 2 2" xfId="909"/>
    <cellStyle name="Calculation 2 3 5 4 3" xfId="910"/>
    <cellStyle name="Calculation 2 3 5 5" xfId="911"/>
    <cellStyle name="Calculation 2 3 5 5 2" xfId="912"/>
    <cellStyle name="Calculation 2 3 5 6" xfId="913"/>
    <cellStyle name="Calculation 2 4" xfId="914"/>
    <cellStyle name="Calculation 2 4 2" xfId="915"/>
    <cellStyle name="Calculation 2 4 2 2" xfId="916"/>
    <cellStyle name="Calculation 2 4 2 2 2" xfId="917"/>
    <cellStyle name="Calculation 2 4 2 2 2 2" xfId="918"/>
    <cellStyle name="Calculation 2 4 2 2 2 2 2" xfId="919"/>
    <cellStyle name="Calculation 2 4 2 2 2 3" xfId="920"/>
    <cellStyle name="Calculation 2 4 2 2 3" xfId="921"/>
    <cellStyle name="Calculation 2 4 2 2 3 2" xfId="922"/>
    <cellStyle name="Calculation 2 4 2 2 4" xfId="923"/>
    <cellStyle name="Calculation 2 4 2 3" xfId="924"/>
    <cellStyle name="Calculation 2 4 2 3 2" xfId="925"/>
    <cellStyle name="Calculation 2 4 2 3 2 2" xfId="926"/>
    <cellStyle name="Calculation 2 4 2 3 3" xfId="927"/>
    <cellStyle name="Calculation 2 4 2 3 4" xfId="928"/>
    <cellStyle name="Calculation 2 4 2 4" xfId="929"/>
    <cellStyle name="Calculation 2 4 2 4 2" xfId="930"/>
    <cellStyle name="Calculation 2 4 2 4 2 2" xfId="931"/>
    <cellStyle name="Calculation 2 4 2 4 3" xfId="932"/>
    <cellStyle name="Calculation 2 4 2 5" xfId="933"/>
    <cellStyle name="Calculation 2 4 2 5 2" xfId="934"/>
    <cellStyle name="Calculation 2 4 2 6" xfId="935"/>
    <cellStyle name="Calculation 2 4 3" xfId="936"/>
    <cellStyle name="Calculation 2 4 3 2" xfId="937"/>
    <cellStyle name="Calculation 2 4 3 2 2" xfId="938"/>
    <cellStyle name="Calculation 2 4 3 2 2 2" xfId="939"/>
    <cellStyle name="Calculation 2 4 3 2 2 2 2" xfId="940"/>
    <cellStyle name="Calculation 2 4 3 2 2 3" xfId="941"/>
    <cellStyle name="Calculation 2 4 3 2 3" xfId="942"/>
    <cellStyle name="Calculation 2 4 3 2 3 2" xfId="943"/>
    <cellStyle name="Calculation 2 4 3 2 4" xfId="944"/>
    <cellStyle name="Calculation 2 4 3 3" xfId="945"/>
    <cellStyle name="Calculation 2 4 3 3 2" xfId="946"/>
    <cellStyle name="Calculation 2 4 3 3 2 2" xfId="947"/>
    <cellStyle name="Calculation 2 4 3 3 3" xfId="948"/>
    <cellStyle name="Calculation 2 4 3 3 4" xfId="949"/>
    <cellStyle name="Calculation 2 4 3 4" xfId="950"/>
    <cellStyle name="Calculation 2 4 3 4 2" xfId="951"/>
    <cellStyle name="Calculation 2 4 3 4 2 2" xfId="952"/>
    <cellStyle name="Calculation 2 4 3 4 3" xfId="953"/>
    <cellStyle name="Calculation 2 4 3 5" xfId="954"/>
    <cellStyle name="Calculation 2 4 3 5 2" xfId="955"/>
    <cellStyle name="Calculation 2 4 3 6" xfId="956"/>
    <cellStyle name="Calculation 2 4 4" xfId="957"/>
    <cellStyle name="Calculation 2 4 4 2" xfId="958"/>
    <cellStyle name="Calculation 2 4 4 2 2" xfId="959"/>
    <cellStyle name="Calculation 2 4 4 2 2 2" xfId="960"/>
    <cellStyle name="Calculation 2 4 4 2 2 2 2" xfId="961"/>
    <cellStyle name="Calculation 2 4 4 2 2 3" xfId="962"/>
    <cellStyle name="Calculation 2 4 4 2 3" xfId="963"/>
    <cellStyle name="Calculation 2 4 4 2 3 2" xfId="964"/>
    <cellStyle name="Calculation 2 4 4 2 4" xfId="965"/>
    <cellStyle name="Calculation 2 4 4 3" xfId="966"/>
    <cellStyle name="Calculation 2 4 4 3 2" xfId="967"/>
    <cellStyle name="Calculation 2 4 4 3 2 2" xfId="968"/>
    <cellStyle name="Calculation 2 4 4 3 3" xfId="969"/>
    <cellStyle name="Calculation 2 4 4 3 4" xfId="970"/>
    <cellStyle name="Calculation 2 4 4 4" xfId="971"/>
    <cellStyle name="Calculation 2 4 4 4 2" xfId="972"/>
    <cellStyle name="Calculation 2 4 4 4 2 2" xfId="973"/>
    <cellStyle name="Calculation 2 4 4 4 3" xfId="974"/>
    <cellStyle name="Calculation 2 4 4 5" xfId="975"/>
    <cellStyle name="Calculation 2 4 4 5 2" xfId="976"/>
    <cellStyle name="Calculation 2 4 4 6" xfId="977"/>
    <cellStyle name="Calculation 2 4 5" xfId="978"/>
    <cellStyle name="Calculation 2 4 5 2" xfId="979"/>
    <cellStyle name="Calculation 2 5" xfId="980"/>
    <cellStyle name="Calculation 2 5 2" xfId="981"/>
    <cellStyle name="Calculation 2 5 2 2" xfId="982"/>
    <cellStyle name="Calculation 2 5 2 2 2" xfId="983"/>
    <cellStyle name="Calculation 2 5 2 2 2 2" xfId="984"/>
    <cellStyle name="Calculation 2 5 2 2 2 2 2" xfId="985"/>
    <cellStyle name="Calculation 2 5 2 2 2 3" xfId="986"/>
    <cellStyle name="Calculation 2 5 2 2 3" xfId="987"/>
    <cellStyle name="Calculation 2 5 2 2 3 2" xfId="988"/>
    <cellStyle name="Calculation 2 5 2 2 4" xfId="989"/>
    <cellStyle name="Calculation 2 5 2 3" xfId="990"/>
    <cellStyle name="Calculation 2 5 2 3 2" xfId="991"/>
    <cellStyle name="Calculation 2 5 2 3 2 2" xfId="992"/>
    <cellStyle name="Calculation 2 5 2 3 3" xfId="993"/>
    <cellStyle name="Calculation 2 5 2 3 4" xfId="994"/>
    <cellStyle name="Calculation 2 5 2 4" xfId="995"/>
    <cellStyle name="Calculation 2 5 2 4 2" xfId="996"/>
    <cellStyle name="Calculation 2 5 2 4 2 2" xfId="997"/>
    <cellStyle name="Calculation 2 5 2 4 3" xfId="998"/>
    <cellStyle name="Calculation 2 5 2 5" xfId="999"/>
    <cellStyle name="Calculation 2 5 2 5 2" xfId="1000"/>
    <cellStyle name="Calculation 2 5 2 6" xfId="1001"/>
    <cellStyle name="Calculation 2 5 3" xfId="1002"/>
    <cellStyle name="Calculation 2 5 3 2" xfId="1003"/>
    <cellStyle name="Calculation 2 5 3 2 2" xfId="1004"/>
    <cellStyle name="Calculation 2 5 3 2 2 2" xfId="1005"/>
    <cellStyle name="Calculation 2 5 3 2 2 2 2" xfId="1006"/>
    <cellStyle name="Calculation 2 5 3 2 2 3" xfId="1007"/>
    <cellStyle name="Calculation 2 5 3 2 3" xfId="1008"/>
    <cellStyle name="Calculation 2 5 3 2 3 2" xfId="1009"/>
    <cellStyle name="Calculation 2 5 3 2 4" xfId="1010"/>
    <cellStyle name="Calculation 2 5 3 3" xfId="1011"/>
    <cellStyle name="Calculation 2 5 3 3 2" xfId="1012"/>
    <cellStyle name="Calculation 2 5 3 3 2 2" xfId="1013"/>
    <cellStyle name="Calculation 2 5 3 3 3" xfId="1014"/>
    <cellStyle name="Calculation 2 5 3 3 4" xfId="1015"/>
    <cellStyle name="Calculation 2 5 3 4" xfId="1016"/>
    <cellStyle name="Calculation 2 5 3 4 2" xfId="1017"/>
    <cellStyle name="Calculation 2 5 3 4 2 2" xfId="1018"/>
    <cellStyle name="Calculation 2 5 3 4 3" xfId="1019"/>
    <cellStyle name="Calculation 2 5 3 5" xfId="1020"/>
    <cellStyle name="Calculation 2 5 3 5 2" xfId="1021"/>
    <cellStyle name="Calculation 2 5 3 6" xfId="1022"/>
    <cellStyle name="Calculation 2 5 4" xfId="1023"/>
    <cellStyle name="Calculation 2 5 4 2" xfId="1024"/>
    <cellStyle name="Calculation 2 5 4 2 2" xfId="1025"/>
    <cellStyle name="Calculation 2 5 4 2 2 2" xfId="1026"/>
    <cellStyle name="Calculation 2 5 4 2 3" xfId="1027"/>
    <cellStyle name="Calculation 2 5 4 3" xfId="1028"/>
    <cellStyle name="Calculation 2 5 4 3 2" xfId="1029"/>
    <cellStyle name="Calculation 2 5 4 4" xfId="1030"/>
    <cellStyle name="Calculation 2 5 5" xfId="1031"/>
    <cellStyle name="Calculation 2 5 5 2" xfId="1032"/>
    <cellStyle name="Calculation 2 5 5 2 2" xfId="1033"/>
    <cellStyle name="Calculation 2 5 5 3" xfId="1034"/>
    <cellStyle name="Calculation 2 5 5 4" xfId="1035"/>
    <cellStyle name="Calculation 2 5 6" xfId="1036"/>
    <cellStyle name="Calculation 2 5 6 2" xfId="1037"/>
    <cellStyle name="Calculation 2 5 6 2 2" xfId="1038"/>
    <cellStyle name="Calculation 2 5 6 3" xfId="1039"/>
    <cellStyle name="Calculation 2 5 7" xfId="1040"/>
    <cellStyle name="Calculation 2 5 7 2" xfId="1041"/>
    <cellStyle name="Calculation 2 5 8" xfId="1042"/>
    <cellStyle name="Calculation 2 6" xfId="1043"/>
    <cellStyle name="Calculation 2 6 2" xfId="1044"/>
    <cellStyle name="Calculation 2 6 2 2" xfId="1045"/>
    <cellStyle name="Calculation 2 6 2 2 2" xfId="1046"/>
    <cellStyle name="Calculation 2 6 2 2 2 2" xfId="1047"/>
    <cellStyle name="Calculation 2 6 2 2 3" xfId="1048"/>
    <cellStyle name="Calculation 2 6 2 3" xfId="1049"/>
    <cellStyle name="Calculation 2 6 2 3 2" xfId="1050"/>
    <cellStyle name="Calculation 2 6 2 4" xfId="1051"/>
    <cellStyle name="Calculation 2 6 3" xfId="1052"/>
    <cellStyle name="Calculation 2 6 3 2" xfId="1053"/>
    <cellStyle name="Calculation 2 6 3 2 2" xfId="1054"/>
    <cellStyle name="Calculation 2 6 3 3" xfId="1055"/>
    <cellStyle name="Calculation 2 6 3 4" xfId="1056"/>
    <cellStyle name="Calculation 2 6 4" xfId="1057"/>
    <cellStyle name="Calculation 2 6 4 2" xfId="1058"/>
    <cellStyle name="Calculation 2 6 4 2 2" xfId="1059"/>
    <cellStyle name="Calculation 2 6 4 3" xfId="1060"/>
    <cellStyle name="Calculation 2 6 5" xfId="1061"/>
    <cellStyle name="Calculation 2 6 5 2" xfId="1062"/>
    <cellStyle name="Calculation 2 6 6" xfId="1063"/>
    <cellStyle name="Calculation 3" xfId="1064"/>
    <cellStyle name="Calculation 3 2" xfId="1065"/>
    <cellStyle name="Calculation 3 2 2" xfId="1066"/>
    <cellStyle name="Calculation 3 2 2 2" xfId="1067"/>
    <cellStyle name="Calculation 3 2 2 2 2" xfId="1068"/>
    <cellStyle name="Calculation 3 2 2 2 2 2" xfId="1069"/>
    <cellStyle name="Calculation 3 2 2 2 2 2 2" xfId="1070"/>
    <cellStyle name="Calculation 3 2 2 2 2 2 2 2" xfId="1071"/>
    <cellStyle name="Calculation 3 2 2 2 2 2 3" xfId="1072"/>
    <cellStyle name="Calculation 3 2 2 2 2 3" xfId="1073"/>
    <cellStyle name="Calculation 3 2 2 2 2 3 2" xfId="1074"/>
    <cellStyle name="Calculation 3 2 2 2 2 4" xfId="1075"/>
    <cellStyle name="Calculation 3 2 2 2 3" xfId="1076"/>
    <cellStyle name="Calculation 3 2 2 2 3 2" xfId="1077"/>
    <cellStyle name="Calculation 3 2 2 2 3 2 2" xfId="1078"/>
    <cellStyle name="Calculation 3 2 2 2 3 3" xfId="1079"/>
    <cellStyle name="Calculation 3 2 2 2 3 4" xfId="1080"/>
    <cellStyle name="Calculation 3 2 2 2 4" xfId="1081"/>
    <cellStyle name="Calculation 3 2 2 2 4 2" xfId="1082"/>
    <cellStyle name="Calculation 3 2 2 2 4 2 2" xfId="1083"/>
    <cellStyle name="Calculation 3 2 2 2 4 3" xfId="1084"/>
    <cellStyle name="Calculation 3 2 2 2 5" xfId="1085"/>
    <cellStyle name="Calculation 3 2 2 2 5 2" xfId="1086"/>
    <cellStyle name="Calculation 3 2 2 2 6" xfId="1087"/>
    <cellStyle name="Calculation 3 2 2 3" xfId="1088"/>
    <cellStyle name="Calculation 3 2 2 3 2" xfId="1089"/>
    <cellStyle name="Calculation 3 2 2 3 2 2" xfId="1090"/>
    <cellStyle name="Calculation 3 2 2 3 2 2 2" xfId="1091"/>
    <cellStyle name="Calculation 3 2 2 3 2 2 2 2" xfId="1092"/>
    <cellStyle name="Calculation 3 2 2 3 2 2 3" xfId="1093"/>
    <cellStyle name="Calculation 3 2 2 3 2 3" xfId="1094"/>
    <cellStyle name="Calculation 3 2 2 3 2 3 2" xfId="1095"/>
    <cellStyle name="Calculation 3 2 2 3 2 4" xfId="1096"/>
    <cellStyle name="Calculation 3 2 2 3 3" xfId="1097"/>
    <cellStyle name="Calculation 3 2 2 3 3 2" xfId="1098"/>
    <cellStyle name="Calculation 3 2 2 3 3 2 2" xfId="1099"/>
    <cellStyle name="Calculation 3 2 2 3 3 3" xfId="1100"/>
    <cellStyle name="Calculation 3 2 2 3 3 4" xfId="1101"/>
    <cellStyle name="Calculation 3 2 2 3 4" xfId="1102"/>
    <cellStyle name="Calculation 3 2 2 3 4 2" xfId="1103"/>
    <cellStyle name="Calculation 3 2 2 3 4 2 2" xfId="1104"/>
    <cellStyle name="Calculation 3 2 2 3 4 3" xfId="1105"/>
    <cellStyle name="Calculation 3 2 2 3 5" xfId="1106"/>
    <cellStyle name="Calculation 3 2 2 3 5 2" xfId="1107"/>
    <cellStyle name="Calculation 3 2 2 3 6" xfId="1108"/>
    <cellStyle name="Calculation 3 2 2 4" xfId="1109"/>
    <cellStyle name="Calculation 3 2 2 4 2" xfId="1110"/>
    <cellStyle name="Calculation 3 2 2 4 2 2" xfId="1111"/>
    <cellStyle name="Calculation 3 2 2 4 2 2 2" xfId="1112"/>
    <cellStyle name="Calculation 3 2 2 4 2 2 2 2" xfId="1113"/>
    <cellStyle name="Calculation 3 2 2 4 2 2 3" xfId="1114"/>
    <cellStyle name="Calculation 3 2 2 4 2 3" xfId="1115"/>
    <cellStyle name="Calculation 3 2 2 4 2 3 2" xfId="1116"/>
    <cellStyle name="Calculation 3 2 2 4 2 4" xfId="1117"/>
    <cellStyle name="Calculation 3 2 2 4 3" xfId="1118"/>
    <cellStyle name="Calculation 3 2 2 4 3 2" xfId="1119"/>
    <cellStyle name="Calculation 3 2 2 4 3 2 2" xfId="1120"/>
    <cellStyle name="Calculation 3 2 2 4 3 3" xfId="1121"/>
    <cellStyle name="Calculation 3 2 2 4 3 4" xfId="1122"/>
    <cellStyle name="Calculation 3 2 2 4 4" xfId="1123"/>
    <cellStyle name="Calculation 3 2 2 4 4 2" xfId="1124"/>
    <cellStyle name="Calculation 3 2 2 4 4 2 2" xfId="1125"/>
    <cellStyle name="Calculation 3 2 2 4 4 3" xfId="1126"/>
    <cellStyle name="Calculation 3 2 2 4 5" xfId="1127"/>
    <cellStyle name="Calculation 3 2 2 4 5 2" xfId="1128"/>
    <cellStyle name="Calculation 3 2 2 4 6" xfId="1129"/>
    <cellStyle name="Calculation 3 2 2 5" xfId="1130"/>
    <cellStyle name="Calculation 3 2 2 5 2" xfId="1131"/>
    <cellStyle name="Calculation 3 2 3" xfId="1132"/>
    <cellStyle name="Calculation 3 2 3 2" xfId="1133"/>
    <cellStyle name="Calculation 3 2 3 2 2" xfId="1134"/>
    <cellStyle name="Calculation 3 2 3 2 2 2" xfId="1135"/>
    <cellStyle name="Calculation 3 2 3 2 2 2 2" xfId="1136"/>
    <cellStyle name="Calculation 3 2 3 2 2 3" xfId="1137"/>
    <cellStyle name="Calculation 3 2 3 2 3" xfId="1138"/>
    <cellStyle name="Calculation 3 2 3 2 3 2" xfId="1139"/>
    <cellStyle name="Calculation 3 2 3 2 4" xfId="1140"/>
    <cellStyle name="Calculation 3 2 3 3" xfId="1141"/>
    <cellStyle name="Calculation 3 2 3 3 2" xfId="1142"/>
    <cellStyle name="Calculation 3 2 3 3 2 2" xfId="1143"/>
    <cellStyle name="Calculation 3 2 3 3 3" xfId="1144"/>
    <cellStyle name="Calculation 3 2 3 3 4" xfId="1145"/>
    <cellStyle name="Calculation 3 2 3 4" xfId="1146"/>
    <cellStyle name="Calculation 3 2 3 4 2" xfId="1147"/>
    <cellStyle name="Calculation 3 2 3 4 2 2" xfId="1148"/>
    <cellStyle name="Calculation 3 2 3 4 3" xfId="1149"/>
    <cellStyle name="Calculation 3 2 3 5" xfId="1150"/>
    <cellStyle name="Calculation 3 2 3 5 2" xfId="1151"/>
    <cellStyle name="Calculation 3 2 3 6" xfId="1152"/>
    <cellStyle name="Calculation 3 2 4" xfId="1153"/>
    <cellStyle name="Calculation 3 2 4 2" xfId="1154"/>
    <cellStyle name="Calculation 3 2 4 2 2" xfId="1155"/>
    <cellStyle name="Calculation 3 2 4 2 2 2" xfId="1156"/>
    <cellStyle name="Calculation 3 2 4 2 2 2 2" xfId="1157"/>
    <cellStyle name="Calculation 3 2 4 2 2 3" xfId="1158"/>
    <cellStyle name="Calculation 3 2 4 2 3" xfId="1159"/>
    <cellStyle name="Calculation 3 2 4 2 3 2" xfId="1160"/>
    <cellStyle name="Calculation 3 2 4 2 4" xfId="1161"/>
    <cellStyle name="Calculation 3 2 4 3" xfId="1162"/>
    <cellStyle name="Calculation 3 2 4 3 2" xfId="1163"/>
    <cellStyle name="Calculation 3 2 4 3 2 2" xfId="1164"/>
    <cellStyle name="Calculation 3 2 4 3 3" xfId="1165"/>
    <cellStyle name="Calculation 3 2 4 3 4" xfId="1166"/>
    <cellStyle name="Calculation 3 2 4 4" xfId="1167"/>
    <cellStyle name="Calculation 3 2 4 4 2" xfId="1168"/>
    <cellStyle name="Calculation 3 2 4 4 2 2" xfId="1169"/>
    <cellStyle name="Calculation 3 2 4 4 3" xfId="1170"/>
    <cellStyle name="Calculation 3 2 4 5" xfId="1171"/>
    <cellStyle name="Calculation 3 2 4 5 2" xfId="1172"/>
    <cellStyle name="Calculation 3 2 4 6" xfId="1173"/>
    <cellStyle name="Calculation 3 2 5" xfId="1174"/>
    <cellStyle name="Calculation 3 2 5 2" xfId="1175"/>
    <cellStyle name="Calculation 3 2 5 2 2" xfId="1176"/>
    <cellStyle name="Calculation 3 2 5 2 2 2" xfId="1177"/>
    <cellStyle name="Calculation 3 2 5 2 2 2 2" xfId="1178"/>
    <cellStyle name="Calculation 3 2 5 2 2 3" xfId="1179"/>
    <cellStyle name="Calculation 3 2 5 2 3" xfId="1180"/>
    <cellStyle name="Calculation 3 2 5 2 3 2" xfId="1181"/>
    <cellStyle name="Calculation 3 2 5 2 4" xfId="1182"/>
    <cellStyle name="Calculation 3 2 5 3" xfId="1183"/>
    <cellStyle name="Calculation 3 2 5 3 2" xfId="1184"/>
    <cellStyle name="Calculation 3 2 5 3 2 2" xfId="1185"/>
    <cellStyle name="Calculation 3 2 5 3 3" xfId="1186"/>
    <cellStyle name="Calculation 3 2 5 3 4" xfId="1187"/>
    <cellStyle name="Calculation 3 2 5 4" xfId="1188"/>
    <cellStyle name="Calculation 3 2 5 4 2" xfId="1189"/>
    <cellStyle name="Calculation 3 2 5 4 2 2" xfId="1190"/>
    <cellStyle name="Calculation 3 2 5 4 3" xfId="1191"/>
    <cellStyle name="Calculation 3 2 5 5" xfId="1192"/>
    <cellStyle name="Calculation 3 2 5 5 2" xfId="1193"/>
    <cellStyle name="Calculation 3 2 5 6" xfId="1194"/>
    <cellStyle name="Calculation 3 3" xfId="1195"/>
    <cellStyle name="Calculation 3 3 2" xfId="1196"/>
    <cellStyle name="Calculation 3 3 2 2" xfId="1197"/>
    <cellStyle name="Calculation 3 3 2 2 2" xfId="1198"/>
    <cellStyle name="Calculation 3 3 2 2 2 2" xfId="1199"/>
    <cellStyle name="Calculation 3 3 2 2 2 2 2" xfId="1200"/>
    <cellStyle name="Calculation 3 3 2 2 2 3" xfId="1201"/>
    <cellStyle name="Calculation 3 3 2 2 3" xfId="1202"/>
    <cellStyle name="Calculation 3 3 2 2 3 2" xfId="1203"/>
    <cellStyle name="Calculation 3 3 2 2 4" xfId="1204"/>
    <cellStyle name="Calculation 3 3 2 3" xfId="1205"/>
    <cellStyle name="Calculation 3 3 2 3 2" xfId="1206"/>
    <cellStyle name="Calculation 3 3 2 3 2 2" xfId="1207"/>
    <cellStyle name="Calculation 3 3 2 3 3" xfId="1208"/>
    <cellStyle name="Calculation 3 3 2 3 4" xfId="1209"/>
    <cellStyle name="Calculation 3 3 2 4" xfId="1210"/>
    <cellStyle name="Calculation 3 3 2 4 2" xfId="1211"/>
    <cellStyle name="Calculation 3 3 2 4 2 2" xfId="1212"/>
    <cellStyle name="Calculation 3 3 2 4 3" xfId="1213"/>
    <cellStyle name="Calculation 3 3 2 5" xfId="1214"/>
    <cellStyle name="Calculation 3 3 2 5 2" xfId="1215"/>
    <cellStyle name="Calculation 3 3 2 6" xfId="1216"/>
    <cellStyle name="Calculation 3 3 3" xfId="1217"/>
    <cellStyle name="Calculation 3 3 3 2" xfId="1218"/>
    <cellStyle name="Calculation 3 3 3 2 2" xfId="1219"/>
    <cellStyle name="Calculation 3 3 3 2 2 2" xfId="1220"/>
    <cellStyle name="Calculation 3 3 3 2 2 2 2" xfId="1221"/>
    <cellStyle name="Calculation 3 3 3 2 2 3" xfId="1222"/>
    <cellStyle name="Calculation 3 3 3 2 3" xfId="1223"/>
    <cellStyle name="Calculation 3 3 3 2 3 2" xfId="1224"/>
    <cellStyle name="Calculation 3 3 3 2 4" xfId="1225"/>
    <cellStyle name="Calculation 3 3 3 3" xfId="1226"/>
    <cellStyle name="Calculation 3 3 3 3 2" xfId="1227"/>
    <cellStyle name="Calculation 3 3 3 3 2 2" xfId="1228"/>
    <cellStyle name="Calculation 3 3 3 3 3" xfId="1229"/>
    <cellStyle name="Calculation 3 3 3 3 4" xfId="1230"/>
    <cellStyle name="Calculation 3 3 3 4" xfId="1231"/>
    <cellStyle name="Calculation 3 3 3 4 2" xfId="1232"/>
    <cellStyle name="Calculation 3 3 3 4 2 2" xfId="1233"/>
    <cellStyle name="Calculation 3 3 3 4 3" xfId="1234"/>
    <cellStyle name="Calculation 3 3 3 5" xfId="1235"/>
    <cellStyle name="Calculation 3 3 3 5 2" xfId="1236"/>
    <cellStyle name="Calculation 3 3 3 6" xfId="1237"/>
    <cellStyle name="Calculation 3 3 4" xfId="1238"/>
    <cellStyle name="Calculation 3 3 4 2" xfId="1239"/>
    <cellStyle name="Calculation 3 3 4 2 2" xfId="1240"/>
    <cellStyle name="Calculation 3 3 4 2 2 2" xfId="1241"/>
    <cellStyle name="Calculation 3 3 4 2 2 2 2" xfId="1242"/>
    <cellStyle name="Calculation 3 3 4 2 2 3" xfId="1243"/>
    <cellStyle name="Calculation 3 3 4 2 3" xfId="1244"/>
    <cellStyle name="Calculation 3 3 4 2 3 2" xfId="1245"/>
    <cellStyle name="Calculation 3 3 4 2 4" xfId="1246"/>
    <cellStyle name="Calculation 3 3 4 3" xfId="1247"/>
    <cellStyle name="Calculation 3 3 4 3 2" xfId="1248"/>
    <cellStyle name="Calculation 3 3 4 3 2 2" xfId="1249"/>
    <cellStyle name="Calculation 3 3 4 3 3" xfId="1250"/>
    <cellStyle name="Calculation 3 3 4 3 4" xfId="1251"/>
    <cellStyle name="Calculation 3 3 4 4" xfId="1252"/>
    <cellStyle name="Calculation 3 3 4 4 2" xfId="1253"/>
    <cellStyle name="Calculation 3 3 4 4 2 2" xfId="1254"/>
    <cellStyle name="Calculation 3 3 4 4 3" xfId="1255"/>
    <cellStyle name="Calculation 3 3 4 5" xfId="1256"/>
    <cellStyle name="Calculation 3 3 4 5 2" xfId="1257"/>
    <cellStyle name="Calculation 3 3 4 6" xfId="1258"/>
    <cellStyle name="Calculation 3 3 5" xfId="1259"/>
    <cellStyle name="Calculation 3 3 5 2" xfId="1260"/>
    <cellStyle name="Calculation 3 4" xfId="1261"/>
    <cellStyle name="Calculation 3 4 2" xfId="1262"/>
    <cellStyle name="Calculation 3 4 2 2" xfId="1263"/>
    <cellStyle name="Calculation 3 4 2 2 2" xfId="1264"/>
    <cellStyle name="Calculation 3 4 2 2 2 2" xfId="1265"/>
    <cellStyle name="Calculation 3 4 2 2 2 2 2" xfId="1266"/>
    <cellStyle name="Calculation 3 4 2 2 2 3" xfId="1267"/>
    <cellStyle name="Calculation 3 4 2 2 3" xfId="1268"/>
    <cellStyle name="Calculation 3 4 2 2 3 2" xfId="1269"/>
    <cellStyle name="Calculation 3 4 2 2 4" xfId="1270"/>
    <cellStyle name="Calculation 3 4 2 3" xfId="1271"/>
    <cellStyle name="Calculation 3 4 2 3 2" xfId="1272"/>
    <cellStyle name="Calculation 3 4 2 3 2 2" xfId="1273"/>
    <cellStyle name="Calculation 3 4 2 3 3" xfId="1274"/>
    <cellStyle name="Calculation 3 4 2 3 4" xfId="1275"/>
    <cellStyle name="Calculation 3 4 2 4" xfId="1276"/>
    <cellStyle name="Calculation 3 4 2 4 2" xfId="1277"/>
    <cellStyle name="Calculation 3 4 2 4 2 2" xfId="1278"/>
    <cellStyle name="Calculation 3 4 2 4 3" xfId="1279"/>
    <cellStyle name="Calculation 3 4 2 5" xfId="1280"/>
    <cellStyle name="Calculation 3 4 2 5 2" xfId="1281"/>
    <cellStyle name="Calculation 3 4 2 6" xfId="1282"/>
    <cellStyle name="Calculation 3 4 3" xfId="1283"/>
    <cellStyle name="Calculation 3 4 3 2" xfId="1284"/>
    <cellStyle name="Calculation 3 4 3 2 2" xfId="1285"/>
    <cellStyle name="Calculation 3 4 3 2 2 2" xfId="1286"/>
    <cellStyle name="Calculation 3 4 3 2 2 2 2" xfId="1287"/>
    <cellStyle name="Calculation 3 4 3 2 2 3" xfId="1288"/>
    <cellStyle name="Calculation 3 4 3 2 3" xfId="1289"/>
    <cellStyle name="Calculation 3 4 3 2 3 2" xfId="1290"/>
    <cellStyle name="Calculation 3 4 3 2 4" xfId="1291"/>
    <cellStyle name="Calculation 3 4 3 3" xfId="1292"/>
    <cellStyle name="Calculation 3 4 3 3 2" xfId="1293"/>
    <cellStyle name="Calculation 3 4 3 3 2 2" xfId="1294"/>
    <cellStyle name="Calculation 3 4 3 3 3" xfId="1295"/>
    <cellStyle name="Calculation 3 4 3 3 4" xfId="1296"/>
    <cellStyle name="Calculation 3 4 3 4" xfId="1297"/>
    <cellStyle name="Calculation 3 4 3 4 2" xfId="1298"/>
    <cellStyle name="Calculation 3 4 3 4 2 2" xfId="1299"/>
    <cellStyle name="Calculation 3 4 3 4 3" xfId="1300"/>
    <cellStyle name="Calculation 3 4 3 5" xfId="1301"/>
    <cellStyle name="Calculation 3 4 3 5 2" xfId="1302"/>
    <cellStyle name="Calculation 3 4 3 6" xfId="1303"/>
    <cellStyle name="Calculation 3 4 4" xfId="1304"/>
    <cellStyle name="Calculation 3 4 4 2" xfId="1305"/>
    <cellStyle name="Calculation 3 4 4 2 2" xfId="1306"/>
    <cellStyle name="Calculation 3 4 4 2 2 2" xfId="1307"/>
    <cellStyle name="Calculation 3 4 4 2 3" xfId="1308"/>
    <cellStyle name="Calculation 3 4 4 3" xfId="1309"/>
    <cellStyle name="Calculation 3 4 4 3 2" xfId="1310"/>
    <cellStyle name="Calculation 3 4 4 4" xfId="1311"/>
    <cellStyle name="Calculation 3 4 5" xfId="1312"/>
    <cellStyle name="Calculation 3 4 5 2" xfId="1313"/>
    <cellStyle name="Calculation 3 4 5 2 2" xfId="1314"/>
    <cellStyle name="Calculation 3 4 5 3" xfId="1315"/>
    <cellStyle name="Calculation 3 4 5 4" xfId="1316"/>
    <cellStyle name="Calculation 3 4 6" xfId="1317"/>
    <cellStyle name="Calculation 3 4 6 2" xfId="1318"/>
    <cellStyle name="Calculation 3 4 6 2 2" xfId="1319"/>
    <cellStyle name="Calculation 3 4 6 3" xfId="1320"/>
    <cellStyle name="Calculation 3 4 7" xfId="1321"/>
    <cellStyle name="Calculation 3 4 7 2" xfId="1322"/>
    <cellStyle name="Calculation 3 4 8" xfId="1323"/>
    <cellStyle name="Calculation 3 5" xfId="1324"/>
    <cellStyle name="Calculation 3 5 2" xfId="1325"/>
    <cellStyle name="Calculation 3 5 2 2" xfId="1326"/>
    <cellStyle name="Calculation 3 5 2 2 2" xfId="1327"/>
    <cellStyle name="Calculation 3 5 2 2 2 2" xfId="1328"/>
    <cellStyle name="Calculation 3 5 2 2 3" xfId="1329"/>
    <cellStyle name="Calculation 3 5 2 3" xfId="1330"/>
    <cellStyle name="Calculation 3 5 2 3 2" xfId="1331"/>
    <cellStyle name="Calculation 3 5 2 4" xfId="1332"/>
    <cellStyle name="Calculation 3 5 3" xfId="1333"/>
    <cellStyle name="Calculation 3 5 3 2" xfId="1334"/>
    <cellStyle name="Calculation 3 5 3 2 2" xfId="1335"/>
    <cellStyle name="Calculation 3 5 3 3" xfId="1336"/>
    <cellStyle name="Calculation 3 5 3 4" xfId="1337"/>
    <cellStyle name="Calculation 3 5 4" xfId="1338"/>
    <cellStyle name="Calculation 3 5 4 2" xfId="1339"/>
    <cellStyle name="Calculation 3 5 4 2 2" xfId="1340"/>
    <cellStyle name="Calculation 3 5 4 3" xfId="1341"/>
    <cellStyle name="Calculation 3 5 5" xfId="1342"/>
    <cellStyle name="Calculation 3 5 5 2" xfId="1343"/>
    <cellStyle name="Calculation 3 5 6" xfId="1344"/>
    <cellStyle name="Calculation 4" xfId="1345"/>
    <cellStyle name="Calculation 4 2" xfId="1346"/>
    <cellStyle name="Calculation 4 2 2" xfId="1347"/>
    <cellStyle name="Calculation 4 2 2 2" xfId="1348"/>
    <cellStyle name="Calculation 4 2 2 2 2" xfId="1349"/>
    <cellStyle name="Calculation 4 2 2 2 2 2" xfId="1350"/>
    <cellStyle name="Calculation 4 2 2 2 2 2 2" xfId="1351"/>
    <cellStyle name="Calculation 4 2 2 2 2 3" xfId="1352"/>
    <cellStyle name="Calculation 4 2 2 2 3" xfId="1353"/>
    <cellStyle name="Calculation 4 2 2 2 3 2" xfId="1354"/>
    <cellStyle name="Calculation 4 2 2 2 4" xfId="1355"/>
    <cellStyle name="Calculation 4 2 2 3" xfId="1356"/>
    <cellStyle name="Calculation 4 2 2 3 2" xfId="1357"/>
    <cellStyle name="Calculation 4 2 2 3 2 2" xfId="1358"/>
    <cellStyle name="Calculation 4 2 2 3 3" xfId="1359"/>
    <cellStyle name="Calculation 4 2 2 3 4" xfId="1360"/>
    <cellStyle name="Calculation 4 2 2 4" xfId="1361"/>
    <cellStyle name="Calculation 4 2 2 4 2" xfId="1362"/>
    <cellStyle name="Calculation 4 2 2 4 2 2" xfId="1363"/>
    <cellStyle name="Calculation 4 2 2 4 3" xfId="1364"/>
    <cellStyle name="Calculation 4 2 2 5" xfId="1365"/>
    <cellStyle name="Calculation 4 2 2 5 2" xfId="1366"/>
    <cellStyle name="Calculation 4 2 2 6" xfId="1367"/>
    <cellStyle name="Calculation 4 2 3" xfId="1368"/>
    <cellStyle name="Calculation 4 2 3 2" xfId="1369"/>
    <cellStyle name="Calculation 4 2 3 2 2" xfId="1370"/>
    <cellStyle name="Calculation 4 2 3 2 2 2" xfId="1371"/>
    <cellStyle name="Calculation 4 2 3 2 2 2 2" xfId="1372"/>
    <cellStyle name="Calculation 4 2 3 2 2 3" xfId="1373"/>
    <cellStyle name="Calculation 4 2 3 2 3" xfId="1374"/>
    <cellStyle name="Calculation 4 2 3 2 3 2" xfId="1375"/>
    <cellStyle name="Calculation 4 2 3 2 4" xfId="1376"/>
    <cellStyle name="Calculation 4 2 3 3" xfId="1377"/>
    <cellStyle name="Calculation 4 2 3 3 2" xfId="1378"/>
    <cellStyle name="Calculation 4 2 3 3 2 2" xfId="1379"/>
    <cellStyle name="Calculation 4 2 3 3 3" xfId="1380"/>
    <cellStyle name="Calculation 4 2 3 3 4" xfId="1381"/>
    <cellStyle name="Calculation 4 2 3 4" xfId="1382"/>
    <cellStyle name="Calculation 4 2 3 4 2" xfId="1383"/>
    <cellStyle name="Calculation 4 2 3 4 2 2" xfId="1384"/>
    <cellStyle name="Calculation 4 2 3 4 3" xfId="1385"/>
    <cellStyle name="Calculation 4 2 3 5" xfId="1386"/>
    <cellStyle name="Calculation 4 2 3 5 2" xfId="1387"/>
    <cellStyle name="Calculation 4 2 3 6" xfId="1388"/>
    <cellStyle name="Calculation 4 2 4" xfId="1389"/>
    <cellStyle name="Calculation 4 2 4 2" xfId="1390"/>
    <cellStyle name="Calculation 4 2 4 2 2" xfId="1391"/>
    <cellStyle name="Calculation 4 2 4 2 2 2" xfId="1392"/>
    <cellStyle name="Calculation 4 2 4 2 2 2 2" xfId="1393"/>
    <cellStyle name="Calculation 4 2 4 2 2 3" xfId="1394"/>
    <cellStyle name="Calculation 4 2 4 2 3" xfId="1395"/>
    <cellStyle name="Calculation 4 2 4 2 3 2" xfId="1396"/>
    <cellStyle name="Calculation 4 2 4 2 4" xfId="1397"/>
    <cellStyle name="Calculation 4 2 4 3" xfId="1398"/>
    <cellStyle name="Calculation 4 2 4 3 2" xfId="1399"/>
    <cellStyle name="Calculation 4 2 4 3 2 2" xfId="1400"/>
    <cellStyle name="Calculation 4 2 4 3 3" xfId="1401"/>
    <cellStyle name="Calculation 4 2 4 3 4" xfId="1402"/>
    <cellStyle name="Calculation 4 2 4 4" xfId="1403"/>
    <cellStyle name="Calculation 4 2 4 4 2" xfId="1404"/>
    <cellStyle name="Calculation 4 2 4 4 2 2" xfId="1405"/>
    <cellStyle name="Calculation 4 2 4 4 3" xfId="1406"/>
    <cellStyle name="Calculation 4 2 4 5" xfId="1407"/>
    <cellStyle name="Calculation 4 2 4 5 2" xfId="1408"/>
    <cellStyle name="Calculation 4 2 4 6" xfId="1409"/>
    <cellStyle name="Calculation 4 2 5" xfId="1410"/>
    <cellStyle name="Calculation 4 2 5 2" xfId="1411"/>
    <cellStyle name="Calculation 4 3" xfId="1412"/>
    <cellStyle name="Calculation 4 3 2" xfId="1413"/>
    <cellStyle name="Calculation 4 3 2 2" xfId="1414"/>
    <cellStyle name="Calculation 4 3 2 2 2" xfId="1415"/>
    <cellStyle name="Calculation 4 3 2 2 2 2" xfId="1416"/>
    <cellStyle name="Calculation 4 3 2 2 2 2 2" xfId="1417"/>
    <cellStyle name="Calculation 4 3 2 2 2 3" xfId="1418"/>
    <cellStyle name="Calculation 4 3 2 2 3" xfId="1419"/>
    <cellStyle name="Calculation 4 3 2 2 3 2" xfId="1420"/>
    <cellStyle name="Calculation 4 3 2 2 4" xfId="1421"/>
    <cellStyle name="Calculation 4 3 2 3" xfId="1422"/>
    <cellStyle name="Calculation 4 3 2 3 2" xfId="1423"/>
    <cellStyle name="Calculation 4 3 2 3 2 2" xfId="1424"/>
    <cellStyle name="Calculation 4 3 2 3 3" xfId="1425"/>
    <cellStyle name="Calculation 4 3 2 3 4" xfId="1426"/>
    <cellStyle name="Calculation 4 3 2 4" xfId="1427"/>
    <cellStyle name="Calculation 4 3 2 4 2" xfId="1428"/>
    <cellStyle name="Calculation 4 3 2 4 2 2" xfId="1429"/>
    <cellStyle name="Calculation 4 3 2 4 3" xfId="1430"/>
    <cellStyle name="Calculation 4 3 2 5" xfId="1431"/>
    <cellStyle name="Calculation 4 3 2 5 2" xfId="1432"/>
    <cellStyle name="Calculation 4 3 2 6" xfId="1433"/>
    <cellStyle name="Calculation 4 3 3" xfId="1434"/>
    <cellStyle name="Calculation 4 3 3 2" xfId="1435"/>
    <cellStyle name="Calculation 4 3 3 2 2" xfId="1436"/>
    <cellStyle name="Calculation 4 3 3 2 2 2" xfId="1437"/>
    <cellStyle name="Calculation 4 3 3 2 2 2 2" xfId="1438"/>
    <cellStyle name="Calculation 4 3 3 2 2 3" xfId="1439"/>
    <cellStyle name="Calculation 4 3 3 2 3" xfId="1440"/>
    <cellStyle name="Calculation 4 3 3 2 3 2" xfId="1441"/>
    <cellStyle name="Calculation 4 3 3 2 4" xfId="1442"/>
    <cellStyle name="Calculation 4 3 3 3" xfId="1443"/>
    <cellStyle name="Calculation 4 3 3 3 2" xfId="1444"/>
    <cellStyle name="Calculation 4 3 3 3 2 2" xfId="1445"/>
    <cellStyle name="Calculation 4 3 3 3 3" xfId="1446"/>
    <cellStyle name="Calculation 4 3 3 3 4" xfId="1447"/>
    <cellStyle name="Calculation 4 3 3 4" xfId="1448"/>
    <cellStyle name="Calculation 4 3 3 4 2" xfId="1449"/>
    <cellStyle name="Calculation 4 3 3 4 2 2" xfId="1450"/>
    <cellStyle name="Calculation 4 3 3 4 3" xfId="1451"/>
    <cellStyle name="Calculation 4 3 3 5" xfId="1452"/>
    <cellStyle name="Calculation 4 3 3 5 2" xfId="1453"/>
    <cellStyle name="Calculation 4 3 3 6" xfId="1454"/>
    <cellStyle name="Calculation 4 3 4" xfId="1455"/>
    <cellStyle name="Calculation 4 3 4 2" xfId="1456"/>
    <cellStyle name="Calculation 4 3 4 2 2" xfId="1457"/>
    <cellStyle name="Calculation 4 3 4 2 2 2" xfId="1458"/>
    <cellStyle name="Calculation 4 3 4 2 3" xfId="1459"/>
    <cellStyle name="Calculation 4 3 4 3" xfId="1460"/>
    <cellStyle name="Calculation 4 3 4 3 2" xfId="1461"/>
    <cellStyle name="Calculation 4 3 4 4" xfId="1462"/>
    <cellStyle name="Calculation 4 3 5" xfId="1463"/>
    <cellStyle name="Calculation 4 3 5 2" xfId="1464"/>
    <cellStyle name="Calculation 4 3 5 2 2" xfId="1465"/>
    <cellStyle name="Calculation 4 3 5 3" xfId="1466"/>
    <cellStyle name="Calculation 4 3 5 4" xfId="1467"/>
    <cellStyle name="Calculation 4 3 6" xfId="1468"/>
    <cellStyle name="Calculation 4 3 6 2" xfId="1469"/>
    <cellStyle name="Calculation 4 3 6 2 2" xfId="1470"/>
    <cellStyle name="Calculation 4 3 6 3" xfId="1471"/>
    <cellStyle name="Calculation 4 3 7" xfId="1472"/>
    <cellStyle name="Calculation 4 3 7 2" xfId="1473"/>
    <cellStyle name="Calculation 4 3 8" xfId="1474"/>
    <cellStyle name="Calculation 4 4" xfId="1475"/>
    <cellStyle name="Calculation 4 4 2" xfId="1476"/>
    <cellStyle name="Calculation 4 4 2 2" xfId="1477"/>
    <cellStyle name="Calculation 4 4 2 2 2" xfId="1478"/>
    <cellStyle name="Calculation 4 4 2 2 2 2" xfId="1479"/>
    <cellStyle name="Calculation 4 4 2 2 3" xfId="1480"/>
    <cellStyle name="Calculation 4 4 2 3" xfId="1481"/>
    <cellStyle name="Calculation 4 4 2 3 2" xfId="1482"/>
    <cellStyle name="Calculation 4 4 2 4" xfId="1483"/>
    <cellStyle name="Calculation 4 4 3" xfId="1484"/>
    <cellStyle name="Calculation 4 4 3 2" xfId="1485"/>
    <cellStyle name="Calculation 4 4 3 2 2" xfId="1486"/>
    <cellStyle name="Calculation 4 4 3 3" xfId="1487"/>
    <cellStyle name="Calculation 4 4 3 4" xfId="1488"/>
    <cellStyle name="Calculation 4 4 4" xfId="1489"/>
    <cellStyle name="Calculation 4 4 4 2" xfId="1490"/>
    <cellStyle name="Calculation 4 4 4 2 2" xfId="1491"/>
    <cellStyle name="Calculation 4 4 4 3" xfId="1492"/>
    <cellStyle name="Calculation 4 4 5" xfId="1493"/>
    <cellStyle name="Calculation 4 4 5 2" xfId="1494"/>
    <cellStyle name="Calculation 4 4 6" xfId="1495"/>
    <cellStyle name="Calculation 5" xfId="1496"/>
    <cellStyle name="Calculation 5 2" xfId="1497"/>
    <cellStyle name="Calculation 5 2 2" xfId="1498"/>
    <cellStyle name="Calculation 5 2 2 2" xfId="1499"/>
    <cellStyle name="Calculation 5 2 2 2 2" xfId="1500"/>
    <cellStyle name="Calculation 5 2 2 2 2 2" xfId="1501"/>
    <cellStyle name="Calculation 5 2 2 2 2 2 2" xfId="1502"/>
    <cellStyle name="Calculation 5 2 2 2 2 3" xfId="1503"/>
    <cellStyle name="Calculation 5 2 2 2 3" xfId="1504"/>
    <cellStyle name="Calculation 5 2 2 2 3 2" xfId="1505"/>
    <cellStyle name="Calculation 5 2 2 2 4" xfId="1506"/>
    <cellStyle name="Calculation 5 2 2 3" xfId="1507"/>
    <cellStyle name="Calculation 5 2 2 3 2" xfId="1508"/>
    <cellStyle name="Calculation 5 2 2 3 2 2" xfId="1509"/>
    <cellStyle name="Calculation 5 2 2 3 3" xfId="1510"/>
    <cellStyle name="Calculation 5 2 2 3 4" xfId="1511"/>
    <cellStyle name="Calculation 5 2 2 4" xfId="1512"/>
    <cellStyle name="Calculation 5 2 2 4 2" xfId="1513"/>
    <cellStyle name="Calculation 5 2 2 4 2 2" xfId="1514"/>
    <cellStyle name="Calculation 5 2 2 4 3" xfId="1515"/>
    <cellStyle name="Calculation 5 2 2 5" xfId="1516"/>
    <cellStyle name="Calculation 5 2 2 5 2" xfId="1517"/>
    <cellStyle name="Calculation 5 2 2 6" xfId="1518"/>
    <cellStyle name="Calculation 5 2 3" xfId="1519"/>
    <cellStyle name="Calculation 5 2 3 2" xfId="1520"/>
    <cellStyle name="Calculation 5 2 3 2 2" xfId="1521"/>
    <cellStyle name="Calculation 5 2 3 2 2 2" xfId="1522"/>
    <cellStyle name="Calculation 5 2 3 2 2 2 2" xfId="1523"/>
    <cellStyle name="Calculation 5 2 3 2 2 3" xfId="1524"/>
    <cellStyle name="Calculation 5 2 3 2 3" xfId="1525"/>
    <cellStyle name="Calculation 5 2 3 2 3 2" xfId="1526"/>
    <cellStyle name="Calculation 5 2 3 2 4" xfId="1527"/>
    <cellStyle name="Calculation 5 2 3 3" xfId="1528"/>
    <cellStyle name="Calculation 5 2 3 3 2" xfId="1529"/>
    <cellStyle name="Calculation 5 2 3 3 2 2" xfId="1530"/>
    <cellStyle name="Calculation 5 2 3 3 3" xfId="1531"/>
    <cellStyle name="Calculation 5 2 3 3 4" xfId="1532"/>
    <cellStyle name="Calculation 5 2 3 4" xfId="1533"/>
    <cellStyle name="Calculation 5 2 3 4 2" xfId="1534"/>
    <cellStyle name="Calculation 5 2 3 4 2 2" xfId="1535"/>
    <cellStyle name="Calculation 5 2 3 4 3" xfId="1536"/>
    <cellStyle name="Calculation 5 2 3 5" xfId="1537"/>
    <cellStyle name="Calculation 5 2 3 5 2" xfId="1538"/>
    <cellStyle name="Calculation 5 2 3 6" xfId="1539"/>
    <cellStyle name="Calculation 5 2 4" xfId="1540"/>
    <cellStyle name="Calculation 5 2 4 2" xfId="1541"/>
    <cellStyle name="Calculation 5 2 4 2 2" xfId="1542"/>
    <cellStyle name="Calculation 5 2 4 2 2 2" xfId="1543"/>
    <cellStyle name="Calculation 5 2 4 2 2 2 2" xfId="1544"/>
    <cellStyle name="Calculation 5 2 4 2 2 3" xfId="1545"/>
    <cellStyle name="Calculation 5 2 4 2 3" xfId="1546"/>
    <cellStyle name="Calculation 5 2 4 2 3 2" xfId="1547"/>
    <cellStyle name="Calculation 5 2 4 2 4" xfId="1548"/>
    <cellStyle name="Calculation 5 2 4 3" xfId="1549"/>
    <cellStyle name="Calculation 5 2 4 3 2" xfId="1550"/>
    <cellStyle name="Calculation 5 2 4 3 2 2" xfId="1551"/>
    <cellStyle name="Calculation 5 2 4 3 3" xfId="1552"/>
    <cellStyle name="Calculation 5 2 4 3 4" xfId="1553"/>
    <cellStyle name="Calculation 5 2 4 4" xfId="1554"/>
    <cellStyle name="Calculation 5 2 4 4 2" xfId="1555"/>
    <cellStyle name="Calculation 5 2 4 4 2 2" xfId="1556"/>
    <cellStyle name="Calculation 5 2 4 4 3" xfId="1557"/>
    <cellStyle name="Calculation 5 2 4 5" xfId="1558"/>
    <cellStyle name="Calculation 5 2 4 5 2" xfId="1559"/>
    <cellStyle name="Calculation 5 2 4 6" xfId="1560"/>
    <cellStyle name="Calculation 5 2 5" xfId="1561"/>
    <cellStyle name="Calculation 5 2 5 2" xfId="1562"/>
    <cellStyle name="Calculation 5 3" xfId="1563"/>
    <cellStyle name="Calculation 5 3 2" xfId="1564"/>
    <cellStyle name="Calculation 5 3 2 2" xfId="1565"/>
    <cellStyle name="Calculation 5 3 2 2 2" xfId="1566"/>
    <cellStyle name="Calculation 5 3 2 2 2 2" xfId="1567"/>
    <cellStyle name="Calculation 5 3 2 2 2 2 2" xfId="1568"/>
    <cellStyle name="Calculation 5 3 2 2 2 3" xfId="1569"/>
    <cellStyle name="Calculation 5 3 2 2 3" xfId="1570"/>
    <cellStyle name="Calculation 5 3 2 2 3 2" xfId="1571"/>
    <cellStyle name="Calculation 5 3 2 2 4" xfId="1572"/>
    <cellStyle name="Calculation 5 3 2 3" xfId="1573"/>
    <cellStyle name="Calculation 5 3 2 3 2" xfId="1574"/>
    <cellStyle name="Calculation 5 3 2 3 2 2" xfId="1575"/>
    <cellStyle name="Calculation 5 3 2 3 3" xfId="1576"/>
    <cellStyle name="Calculation 5 3 2 3 4" xfId="1577"/>
    <cellStyle name="Calculation 5 3 2 4" xfId="1578"/>
    <cellStyle name="Calculation 5 3 2 4 2" xfId="1579"/>
    <cellStyle name="Calculation 5 3 2 4 2 2" xfId="1580"/>
    <cellStyle name="Calculation 5 3 2 4 3" xfId="1581"/>
    <cellStyle name="Calculation 5 3 2 5" xfId="1582"/>
    <cellStyle name="Calculation 5 3 2 5 2" xfId="1583"/>
    <cellStyle name="Calculation 5 3 2 6" xfId="1584"/>
    <cellStyle name="Calculation 5 3 3" xfId="1585"/>
    <cellStyle name="Calculation 5 3 3 2" xfId="1586"/>
    <cellStyle name="Calculation 5 3 3 2 2" xfId="1587"/>
    <cellStyle name="Calculation 5 3 3 2 2 2" xfId="1588"/>
    <cellStyle name="Calculation 5 3 3 2 2 2 2" xfId="1589"/>
    <cellStyle name="Calculation 5 3 3 2 2 3" xfId="1590"/>
    <cellStyle name="Calculation 5 3 3 2 3" xfId="1591"/>
    <cellStyle name="Calculation 5 3 3 2 3 2" xfId="1592"/>
    <cellStyle name="Calculation 5 3 3 2 4" xfId="1593"/>
    <cellStyle name="Calculation 5 3 3 3" xfId="1594"/>
    <cellStyle name="Calculation 5 3 3 3 2" xfId="1595"/>
    <cellStyle name="Calculation 5 3 3 3 2 2" xfId="1596"/>
    <cellStyle name="Calculation 5 3 3 3 3" xfId="1597"/>
    <cellStyle name="Calculation 5 3 3 3 4" xfId="1598"/>
    <cellStyle name="Calculation 5 3 3 4" xfId="1599"/>
    <cellStyle name="Calculation 5 3 3 4 2" xfId="1600"/>
    <cellStyle name="Calculation 5 3 3 4 2 2" xfId="1601"/>
    <cellStyle name="Calculation 5 3 3 4 3" xfId="1602"/>
    <cellStyle name="Calculation 5 3 3 5" xfId="1603"/>
    <cellStyle name="Calculation 5 3 3 5 2" xfId="1604"/>
    <cellStyle name="Calculation 5 3 3 6" xfId="1605"/>
    <cellStyle name="Calculation 5 3 4" xfId="1606"/>
    <cellStyle name="Calculation 5 3 4 2" xfId="1607"/>
    <cellStyle name="Calculation 5 3 4 2 2" xfId="1608"/>
    <cellStyle name="Calculation 5 3 4 2 2 2" xfId="1609"/>
    <cellStyle name="Calculation 5 3 4 2 3" xfId="1610"/>
    <cellStyle name="Calculation 5 3 4 3" xfId="1611"/>
    <cellStyle name="Calculation 5 3 4 3 2" xfId="1612"/>
    <cellStyle name="Calculation 5 3 4 4" xfId="1613"/>
    <cellStyle name="Calculation 5 3 5" xfId="1614"/>
    <cellStyle name="Calculation 5 3 5 2" xfId="1615"/>
    <cellStyle name="Calculation 5 3 5 2 2" xfId="1616"/>
    <cellStyle name="Calculation 5 3 5 3" xfId="1617"/>
    <cellStyle name="Calculation 5 3 5 4" xfId="1618"/>
    <cellStyle name="Calculation 5 3 6" xfId="1619"/>
    <cellStyle name="Calculation 5 3 6 2" xfId="1620"/>
    <cellStyle name="Calculation 5 3 6 2 2" xfId="1621"/>
    <cellStyle name="Calculation 5 3 6 3" xfId="1622"/>
    <cellStyle name="Calculation 5 3 7" xfId="1623"/>
    <cellStyle name="Calculation 5 3 7 2" xfId="1624"/>
    <cellStyle name="Calculation 5 3 8" xfId="1625"/>
    <cellStyle name="Calculation 5 4" xfId="1626"/>
    <cellStyle name="Calculation 5 4 2" xfId="1627"/>
    <cellStyle name="Calculation 5 4 2 2" xfId="1628"/>
    <cellStyle name="Calculation 5 4 2 2 2" xfId="1629"/>
    <cellStyle name="Calculation 5 4 2 2 2 2" xfId="1630"/>
    <cellStyle name="Calculation 5 4 2 2 3" xfId="1631"/>
    <cellStyle name="Calculation 5 4 2 3" xfId="1632"/>
    <cellStyle name="Calculation 5 4 2 3 2" xfId="1633"/>
    <cellStyle name="Calculation 5 4 2 4" xfId="1634"/>
    <cellStyle name="Calculation 5 4 3" xfId="1635"/>
    <cellStyle name="Calculation 5 4 3 2" xfId="1636"/>
    <cellStyle name="Calculation 5 4 3 2 2" xfId="1637"/>
    <cellStyle name="Calculation 5 4 3 3" xfId="1638"/>
    <cellStyle name="Calculation 5 4 3 4" xfId="1639"/>
    <cellStyle name="Calculation 5 4 4" xfId="1640"/>
    <cellStyle name="Calculation 5 4 4 2" xfId="1641"/>
    <cellStyle name="Calculation 5 4 4 2 2" xfId="1642"/>
    <cellStyle name="Calculation 5 4 4 3" xfId="1643"/>
    <cellStyle name="Calculation 5 4 5" xfId="1644"/>
    <cellStyle name="Calculation 5 4 5 2" xfId="1645"/>
    <cellStyle name="Calculation 5 4 6" xfId="1646"/>
    <cellStyle name="Calculation 6" xfId="1647"/>
    <cellStyle name="Calculation 6 2" xfId="1648"/>
    <cellStyle name="Calculation 6 2 2" xfId="1649"/>
    <cellStyle name="Calculation 6 2 2 2" xfId="1650"/>
    <cellStyle name="Calculation 6 2 2 2 2" xfId="1651"/>
    <cellStyle name="Calculation 6 2 2 2 2 2" xfId="1652"/>
    <cellStyle name="Calculation 6 2 2 2 2 2 2" xfId="1653"/>
    <cellStyle name="Calculation 6 2 2 2 2 3" xfId="1654"/>
    <cellStyle name="Calculation 6 2 2 2 3" xfId="1655"/>
    <cellStyle name="Calculation 6 2 2 2 3 2" xfId="1656"/>
    <cellStyle name="Calculation 6 2 2 2 4" xfId="1657"/>
    <cellStyle name="Calculation 6 2 2 3" xfId="1658"/>
    <cellStyle name="Calculation 6 2 2 3 2" xfId="1659"/>
    <cellStyle name="Calculation 6 2 2 3 2 2" xfId="1660"/>
    <cellStyle name="Calculation 6 2 2 3 3" xfId="1661"/>
    <cellStyle name="Calculation 6 2 2 3 4" xfId="1662"/>
    <cellStyle name="Calculation 6 2 2 4" xfId="1663"/>
    <cellStyle name="Calculation 6 2 2 4 2" xfId="1664"/>
    <cellStyle name="Calculation 6 2 2 4 2 2" xfId="1665"/>
    <cellStyle name="Calculation 6 2 2 4 3" xfId="1666"/>
    <cellStyle name="Calculation 6 2 2 5" xfId="1667"/>
    <cellStyle name="Calculation 6 2 2 5 2" xfId="1668"/>
    <cellStyle name="Calculation 6 2 2 6" xfId="1669"/>
    <cellStyle name="Calculation 6 2 3" xfId="1670"/>
    <cellStyle name="Calculation 6 2 3 2" xfId="1671"/>
    <cellStyle name="Calculation 6 2 3 2 2" xfId="1672"/>
    <cellStyle name="Calculation 6 2 3 2 2 2" xfId="1673"/>
    <cellStyle name="Calculation 6 2 3 2 2 2 2" xfId="1674"/>
    <cellStyle name="Calculation 6 2 3 2 2 3" xfId="1675"/>
    <cellStyle name="Calculation 6 2 3 2 3" xfId="1676"/>
    <cellStyle name="Calculation 6 2 3 2 3 2" xfId="1677"/>
    <cellStyle name="Calculation 6 2 3 2 4" xfId="1678"/>
    <cellStyle name="Calculation 6 2 3 3" xfId="1679"/>
    <cellStyle name="Calculation 6 2 3 3 2" xfId="1680"/>
    <cellStyle name="Calculation 6 2 3 3 2 2" xfId="1681"/>
    <cellStyle name="Calculation 6 2 3 3 3" xfId="1682"/>
    <cellStyle name="Calculation 6 2 3 3 4" xfId="1683"/>
    <cellStyle name="Calculation 6 2 3 4" xfId="1684"/>
    <cellStyle name="Calculation 6 2 3 4 2" xfId="1685"/>
    <cellStyle name="Calculation 6 2 3 4 2 2" xfId="1686"/>
    <cellStyle name="Calculation 6 2 3 4 3" xfId="1687"/>
    <cellStyle name="Calculation 6 2 3 5" xfId="1688"/>
    <cellStyle name="Calculation 6 2 3 5 2" xfId="1689"/>
    <cellStyle name="Calculation 6 2 3 6" xfId="1690"/>
    <cellStyle name="Calculation 6 2 4" xfId="1691"/>
    <cellStyle name="Calculation 6 2 4 2" xfId="1692"/>
    <cellStyle name="Calculation 6 2 4 2 2" xfId="1693"/>
    <cellStyle name="Calculation 6 2 4 2 2 2" xfId="1694"/>
    <cellStyle name="Calculation 6 2 4 2 3" xfId="1695"/>
    <cellStyle name="Calculation 6 2 4 3" xfId="1696"/>
    <cellStyle name="Calculation 6 2 4 3 2" xfId="1697"/>
    <cellStyle name="Calculation 6 2 4 4" xfId="1698"/>
    <cellStyle name="Calculation 6 2 5" xfId="1699"/>
    <cellStyle name="Calculation 6 2 5 2" xfId="1700"/>
    <cellStyle name="Calculation 6 2 5 2 2" xfId="1701"/>
    <cellStyle name="Calculation 6 2 5 3" xfId="1702"/>
    <cellStyle name="Calculation 6 2 5 4" xfId="1703"/>
    <cellStyle name="Calculation 6 2 6" xfId="1704"/>
    <cellStyle name="Calculation 6 2 6 2" xfId="1705"/>
    <cellStyle name="Calculation 6 2 6 2 2" xfId="1706"/>
    <cellStyle name="Calculation 6 2 6 3" xfId="1707"/>
    <cellStyle name="Calculation 6 2 7" xfId="1708"/>
    <cellStyle name="Calculation 6 2 7 2" xfId="1709"/>
    <cellStyle name="Calculation 6 2 8" xfId="1710"/>
    <cellStyle name="Calculation 6 3" xfId="1711"/>
    <cellStyle name="Calculation 6 3 2" xfId="1712"/>
    <cellStyle name="Calculation 6 3 2 2" xfId="1713"/>
    <cellStyle name="Calculation 6 3 2 2 2" xfId="1714"/>
    <cellStyle name="Calculation 6 3 2 2 2 2" xfId="1715"/>
    <cellStyle name="Calculation 6 3 2 2 3" xfId="1716"/>
    <cellStyle name="Calculation 6 3 2 3" xfId="1717"/>
    <cellStyle name="Calculation 6 3 2 3 2" xfId="1718"/>
    <cellStyle name="Calculation 6 3 2 4" xfId="1719"/>
    <cellStyle name="Calculation 6 3 3" xfId="1720"/>
    <cellStyle name="Calculation 6 3 3 2" xfId="1721"/>
    <cellStyle name="Calculation 6 3 3 2 2" xfId="1722"/>
    <cellStyle name="Calculation 6 3 3 3" xfId="1723"/>
    <cellStyle name="Calculation 6 3 3 4" xfId="1724"/>
    <cellStyle name="Calculation 6 3 4" xfId="1725"/>
    <cellStyle name="Calculation 6 3 4 2" xfId="1726"/>
    <cellStyle name="Calculation 6 3 4 2 2" xfId="1727"/>
    <cellStyle name="Calculation 6 3 4 3" xfId="1728"/>
    <cellStyle name="Calculation 6 3 5" xfId="1729"/>
    <cellStyle name="Calculation 6 3 5 2" xfId="1730"/>
    <cellStyle name="Calculation 6 3 6" xfId="1731"/>
    <cellStyle name="Calculation 6 4" xfId="1732"/>
    <cellStyle name="Calculation 6 4 2" xfId="1733"/>
    <cellStyle name="Calculation 7" xfId="1734"/>
    <cellStyle name="Calculation 7 2" xfId="1735"/>
    <cellStyle name="Calculation 7 2 2" xfId="1736"/>
    <cellStyle name="Calculation 7 2 2 2" xfId="1737"/>
    <cellStyle name="Calculation 7 2 2 2 2" xfId="1738"/>
    <cellStyle name="Calculation 7 2 2 2 2 2" xfId="1739"/>
    <cellStyle name="Calculation 7 2 2 2 3" xfId="1740"/>
    <cellStyle name="Calculation 7 2 2 3" xfId="1741"/>
    <cellStyle name="Calculation 7 2 2 3 2" xfId="1742"/>
    <cellStyle name="Calculation 7 2 2 4" xfId="1743"/>
    <cellStyle name="Calculation 7 2 3" xfId="1744"/>
    <cellStyle name="Calculation 7 2 3 2" xfId="1745"/>
    <cellStyle name="Calculation 7 2 3 2 2" xfId="1746"/>
    <cellStyle name="Calculation 7 2 3 3" xfId="1747"/>
    <cellStyle name="Calculation 7 2 3 4" xfId="1748"/>
    <cellStyle name="Calculation 7 2 4" xfId="1749"/>
    <cellStyle name="Calculation 7 2 4 2" xfId="1750"/>
    <cellStyle name="Calculation 7 2 4 2 2" xfId="1751"/>
    <cellStyle name="Calculation 7 2 4 3" xfId="1752"/>
    <cellStyle name="Calculation 7 2 5" xfId="1753"/>
    <cellStyle name="Calculation 7 2 5 2" xfId="1754"/>
    <cellStyle name="Calculation 7 2 6" xfId="1755"/>
    <cellStyle name="Calculation 7 3" xfId="1756"/>
    <cellStyle name="Calculation 7 3 2" xfId="1757"/>
    <cellStyle name="Calculation 7 3 2 2" xfId="1758"/>
    <cellStyle name="Calculation 7 3 2 2 2" xfId="1759"/>
    <cellStyle name="Calculation 7 3 2 2 2 2" xfId="1760"/>
    <cellStyle name="Calculation 7 3 2 2 3" xfId="1761"/>
    <cellStyle name="Calculation 7 3 2 3" xfId="1762"/>
    <cellStyle name="Calculation 7 3 2 3 2" xfId="1763"/>
    <cellStyle name="Calculation 7 3 2 4" xfId="1764"/>
    <cellStyle name="Calculation 7 3 3" xfId="1765"/>
    <cellStyle name="Calculation 7 3 3 2" xfId="1766"/>
    <cellStyle name="Calculation 7 3 3 2 2" xfId="1767"/>
    <cellStyle name="Calculation 7 3 3 3" xfId="1768"/>
    <cellStyle name="Calculation 7 3 3 4" xfId="1769"/>
    <cellStyle name="Calculation 7 3 4" xfId="1770"/>
    <cellStyle name="Calculation 7 3 4 2" xfId="1771"/>
    <cellStyle name="Calculation 7 3 4 2 2" xfId="1772"/>
    <cellStyle name="Calculation 7 3 4 3" xfId="1773"/>
    <cellStyle name="Calculation 7 3 5" xfId="1774"/>
    <cellStyle name="Calculation 7 3 5 2" xfId="1775"/>
    <cellStyle name="Calculation 7 3 6" xfId="1776"/>
    <cellStyle name="Calculation 7 4" xfId="1777"/>
    <cellStyle name="Calculation 7 4 2" xfId="1778"/>
    <cellStyle name="Calculation 7 4 2 2" xfId="1779"/>
    <cellStyle name="Calculation 7 4 2 2 2" xfId="1780"/>
    <cellStyle name="Calculation 7 4 2 3" xfId="1781"/>
    <cellStyle name="Calculation 7 4 3" xfId="1782"/>
    <cellStyle name="Calculation 7 4 3 2" xfId="1783"/>
    <cellStyle name="Calculation 7 4 4" xfId="1784"/>
    <cellStyle name="Calculation 7 5" xfId="1785"/>
    <cellStyle name="Calculation 7 5 2" xfId="1786"/>
    <cellStyle name="Calculation 7 5 2 2" xfId="1787"/>
    <cellStyle name="Calculation 7 5 3" xfId="1788"/>
    <cellStyle name="Calculation 7 5 4" xfId="1789"/>
    <cellStyle name="Calculation 7 6" xfId="1790"/>
    <cellStyle name="Calculation 7 6 2" xfId="1791"/>
    <cellStyle name="Calculation 7 6 2 2" xfId="1792"/>
    <cellStyle name="Calculation 7 6 3" xfId="1793"/>
    <cellStyle name="Calculation 7 7" xfId="1794"/>
    <cellStyle name="Calculation 7 7 2" xfId="1795"/>
    <cellStyle name="Calculation 7 8" xfId="1796"/>
    <cellStyle name="Check Cell" xfId="7635" builtinId="23" customBuiltin="1"/>
    <cellStyle name="Check Cell 2" xfId="1797"/>
    <cellStyle name="Check Cell 2 2" xfId="1798"/>
    <cellStyle name="Check Cell 3" xfId="1799"/>
    <cellStyle name="Check Cell 4" xfId="1800"/>
    <cellStyle name="code" xfId="1801"/>
    <cellStyle name="Comma [0] 2" xfId="1802"/>
    <cellStyle name="Comma [0] 2 2" xfId="1803"/>
    <cellStyle name="Comma [0] 2 2 2" xfId="1804"/>
    <cellStyle name="Comma [0] 2 2 2 2" xfId="7361"/>
    <cellStyle name="Comma [0] 2 2 2 2 2" xfId="7925"/>
    <cellStyle name="Comma [0] 2 2 2 3" xfId="8285"/>
    <cellStyle name="Comma [0] 2 2 2 4" xfId="7669"/>
    <cellStyle name="Comma [0] 2 2 3" xfId="7360"/>
    <cellStyle name="Comma [0] 2 2 3 2" xfId="7924"/>
    <cellStyle name="Comma [0] 2 2 4" xfId="8190"/>
    <cellStyle name="Comma [0] 2 2 5" xfId="7668"/>
    <cellStyle name="Comma [0] 3" xfId="1805"/>
    <cellStyle name="Comma [0] 3 2" xfId="1806"/>
    <cellStyle name="Comma [0] 3 2 2" xfId="1807"/>
    <cellStyle name="Comma [0] 3 2 2 2" xfId="7363"/>
    <cellStyle name="Comma [0] 3 2 2 2 2" xfId="7927"/>
    <cellStyle name="Comma [0] 3 2 2 3" xfId="8286"/>
    <cellStyle name="Comma [0] 3 2 2 4" xfId="7671"/>
    <cellStyle name="Comma [0] 3 2 3" xfId="7362"/>
    <cellStyle name="Comma [0] 3 2 3 2" xfId="7926"/>
    <cellStyle name="Comma [0] 3 2 4" xfId="8191"/>
    <cellStyle name="Comma [0] 3 2 5" xfId="7670"/>
    <cellStyle name="Comma [0] 4" xfId="1808"/>
    <cellStyle name="Comma [0] 4 2" xfId="1809"/>
    <cellStyle name="Comma [0] 4 2 2" xfId="7365"/>
    <cellStyle name="Comma [0] 4 2 2 2" xfId="7929"/>
    <cellStyle name="Comma [0] 4 2 3" xfId="8282"/>
    <cellStyle name="Comma [0] 4 2 4" xfId="7673"/>
    <cellStyle name="Comma [0] 4 3" xfId="7364"/>
    <cellStyle name="Comma [0] 4 3 2" xfId="7928"/>
    <cellStyle name="Comma [0] 4 4" xfId="8188"/>
    <cellStyle name="Comma [0] 4 5" xfId="7672"/>
    <cellStyle name="Comma [0] 5" xfId="1"/>
    <cellStyle name="Comma [0] 5 2" xfId="7366"/>
    <cellStyle name="Comma [0] 5 2 2" xfId="7930"/>
    <cellStyle name="Comma [0] 5 3" xfId="8341"/>
    <cellStyle name="Comma [0] 5 4" xfId="7667"/>
    <cellStyle name="Comma 10" xfId="1810"/>
    <cellStyle name="Comma 10 2" xfId="1811"/>
    <cellStyle name="Comma 10 2 2" xfId="1812"/>
    <cellStyle name="Comma 10 2 2 2" xfId="1813"/>
    <cellStyle name="Comma 10 2 2 2 2" xfId="1814"/>
    <cellStyle name="Comma 10 2 2 2 2 2" xfId="7371"/>
    <cellStyle name="Comma 10 2 2 2 2 2 2" xfId="7935"/>
    <cellStyle name="Comma 10 2 2 2 2 3" xfId="8290"/>
    <cellStyle name="Comma 10 2 2 2 2 4" xfId="7678"/>
    <cellStyle name="Comma 10 2 2 2 3" xfId="7370"/>
    <cellStyle name="Comma 10 2 2 2 3 2" xfId="7934"/>
    <cellStyle name="Comma 10 2 2 2 4" xfId="8195"/>
    <cellStyle name="Comma 10 2 2 2 5" xfId="7677"/>
    <cellStyle name="Comma 10 2 2 3" xfId="1815"/>
    <cellStyle name="Comma 10 2 2 3 2" xfId="7372"/>
    <cellStyle name="Comma 10 2 2 3 2 2" xfId="7936"/>
    <cellStyle name="Comma 10 2 2 3 3" xfId="8289"/>
    <cellStyle name="Comma 10 2 2 3 4" xfId="7679"/>
    <cellStyle name="Comma 10 2 2 4" xfId="7369"/>
    <cellStyle name="Comma 10 2 2 4 2" xfId="7933"/>
    <cellStyle name="Comma 10 2 2 5" xfId="8194"/>
    <cellStyle name="Comma 10 2 2 6" xfId="7676"/>
    <cellStyle name="Comma 10 2 3" xfId="1816"/>
    <cellStyle name="Comma 10 2 3 2" xfId="1817"/>
    <cellStyle name="Comma 10 2 3 2 2" xfId="7374"/>
    <cellStyle name="Comma 10 2 3 2 2 2" xfId="7938"/>
    <cellStyle name="Comma 10 2 3 2 3" xfId="8291"/>
    <cellStyle name="Comma 10 2 3 2 4" xfId="7681"/>
    <cellStyle name="Comma 10 2 3 3" xfId="7373"/>
    <cellStyle name="Comma 10 2 3 3 2" xfId="7937"/>
    <cellStyle name="Comma 10 2 3 4" xfId="8196"/>
    <cellStyle name="Comma 10 2 3 5" xfId="7680"/>
    <cellStyle name="Comma 10 2 4" xfId="1818"/>
    <cellStyle name="Comma 10 2 4 2" xfId="7375"/>
    <cellStyle name="Comma 10 2 4 2 2" xfId="7939"/>
    <cellStyle name="Comma 10 2 4 3" xfId="8288"/>
    <cellStyle name="Comma 10 2 4 4" xfId="7682"/>
    <cellStyle name="Comma 10 2 5" xfId="7368"/>
    <cellStyle name="Comma 10 2 5 2" xfId="7932"/>
    <cellStyle name="Comma 10 2 6" xfId="8193"/>
    <cellStyle name="Comma 10 2 7" xfId="7675"/>
    <cellStyle name="Comma 10 3" xfId="1819"/>
    <cellStyle name="Comma 10 3 2" xfId="1820"/>
    <cellStyle name="Comma 10 3 2 2" xfId="1821"/>
    <cellStyle name="Comma 10 3 2 2 2" xfId="7378"/>
    <cellStyle name="Comma 10 3 2 2 2 2" xfId="7942"/>
    <cellStyle name="Comma 10 3 2 2 3" xfId="8293"/>
    <cellStyle name="Comma 10 3 2 2 4" xfId="7685"/>
    <cellStyle name="Comma 10 3 2 3" xfId="7377"/>
    <cellStyle name="Comma 10 3 2 3 2" xfId="7941"/>
    <cellStyle name="Comma 10 3 2 4" xfId="8198"/>
    <cellStyle name="Comma 10 3 2 5" xfId="7684"/>
    <cellStyle name="Comma 10 3 3" xfId="1822"/>
    <cellStyle name="Comma 10 3 3 2" xfId="7379"/>
    <cellStyle name="Comma 10 3 3 2 2" xfId="7943"/>
    <cellStyle name="Comma 10 3 3 3" xfId="8292"/>
    <cellStyle name="Comma 10 3 3 4" xfId="7686"/>
    <cellStyle name="Comma 10 3 4" xfId="7376"/>
    <cellStyle name="Comma 10 3 4 2" xfId="7940"/>
    <cellStyle name="Comma 10 3 5" xfId="8197"/>
    <cellStyle name="Comma 10 3 6" xfId="7683"/>
    <cellStyle name="Comma 10 4" xfId="1823"/>
    <cellStyle name="Comma 10 4 2" xfId="1824"/>
    <cellStyle name="Comma 10 4 2 2" xfId="7381"/>
    <cellStyle name="Comma 10 4 2 2 2" xfId="7945"/>
    <cellStyle name="Comma 10 4 2 3" xfId="8294"/>
    <cellStyle name="Comma 10 4 2 4" xfId="7688"/>
    <cellStyle name="Comma 10 4 3" xfId="7380"/>
    <cellStyle name="Comma 10 4 3 2" xfId="7944"/>
    <cellStyle name="Comma 10 4 4" xfId="8199"/>
    <cellStyle name="Comma 10 4 5" xfId="7687"/>
    <cellStyle name="Comma 10 5" xfId="1825"/>
    <cellStyle name="Comma 10 5 2" xfId="1826"/>
    <cellStyle name="Comma 10 5 2 2" xfId="7383"/>
    <cellStyle name="Comma 10 5 2 2 2" xfId="7947"/>
    <cellStyle name="Comma 10 5 2 3" xfId="8295"/>
    <cellStyle name="Comma 10 5 2 4" xfId="7690"/>
    <cellStyle name="Comma 10 5 3" xfId="7382"/>
    <cellStyle name="Comma 10 5 3 2" xfId="7946"/>
    <cellStyle name="Comma 10 5 4" xfId="8200"/>
    <cellStyle name="Comma 10 5 5" xfId="7689"/>
    <cellStyle name="Comma 10 6" xfId="1827"/>
    <cellStyle name="Comma 10 6 2" xfId="7384"/>
    <cellStyle name="Comma 10 6 2 2" xfId="7948"/>
    <cellStyle name="Comma 10 6 3" xfId="8287"/>
    <cellStyle name="Comma 10 6 4" xfId="7691"/>
    <cellStyle name="Comma 10 7" xfId="7367"/>
    <cellStyle name="Comma 10 7 2" xfId="7931"/>
    <cellStyle name="Comma 10 8" xfId="8192"/>
    <cellStyle name="Comma 10 9" xfId="7674"/>
    <cellStyle name="Comma 100" xfId="1828"/>
    <cellStyle name="Comma 100 2" xfId="7385"/>
    <cellStyle name="Comma 100 2 2" xfId="7949"/>
    <cellStyle name="Comma 100 3" xfId="8409"/>
    <cellStyle name="Comma 100 4" xfId="7692"/>
    <cellStyle name="Comma 101" xfId="1829"/>
    <cellStyle name="Comma 101 2" xfId="7386"/>
    <cellStyle name="Comma 101 2 2" xfId="7950"/>
    <cellStyle name="Comma 101 3" xfId="8415"/>
    <cellStyle name="Comma 101 4" xfId="7693"/>
    <cellStyle name="Comma 102" xfId="1830"/>
    <cellStyle name="Comma 102 2" xfId="7387"/>
    <cellStyle name="Comma 102 2 2" xfId="7951"/>
    <cellStyle name="Comma 102 3" xfId="8418"/>
    <cellStyle name="Comma 102 4" xfId="7694"/>
    <cellStyle name="Comma 103" xfId="1831"/>
    <cellStyle name="Comma 103 2" xfId="7388"/>
    <cellStyle name="Comma 103 2 2" xfId="7952"/>
    <cellStyle name="Comma 103 3" xfId="8420"/>
    <cellStyle name="Comma 103 4" xfId="7695"/>
    <cellStyle name="Comma 104" xfId="1832"/>
    <cellStyle name="Comma 104 2" xfId="7389"/>
    <cellStyle name="Comma 104 2 2" xfId="7953"/>
    <cellStyle name="Comma 104 3" xfId="8413"/>
    <cellStyle name="Comma 104 4" xfId="7696"/>
    <cellStyle name="Comma 105" xfId="1833"/>
    <cellStyle name="Comma 105 2" xfId="7390"/>
    <cellStyle name="Comma 105 2 2" xfId="7954"/>
    <cellStyle name="Comma 105 3" xfId="8426"/>
    <cellStyle name="Comma 105 4" xfId="7697"/>
    <cellStyle name="Comma 106" xfId="1834"/>
    <cellStyle name="Comma 106 2" xfId="7391"/>
    <cellStyle name="Comma 106 2 2" xfId="7955"/>
    <cellStyle name="Comma 106 3" xfId="8428"/>
    <cellStyle name="Comma 106 4" xfId="7698"/>
    <cellStyle name="Comma 107" xfId="1835"/>
    <cellStyle name="Comma 107 2" xfId="7392"/>
    <cellStyle name="Comma 107 2 2" xfId="7956"/>
    <cellStyle name="Comma 107 3" xfId="8414"/>
    <cellStyle name="Comma 107 4" xfId="7699"/>
    <cellStyle name="Comma 108" xfId="1836"/>
    <cellStyle name="Comma 108 2" xfId="7393"/>
    <cellStyle name="Comma 108 2 2" xfId="7957"/>
    <cellStyle name="Comma 108 3" xfId="8421"/>
    <cellStyle name="Comma 108 4" xfId="7700"/>
    <cellStyle name="Comma 109" xfId="1837"/>
    <cellStyle name="Comma 109 2" xfId="7394"/>
    <cellStyle name="Comma 109 2 2" xfId="7958"/>
    <cellStyle name="Comma 109 3" xfId="8412"/>
    <cellStyle name="Comma 109 4" xfId="7701"/>
    <cellStyle name="Comma 11" xfId="1838"/>
    <cellStyle name="Comma 11 2" xfId="1839"/>
    <cellStyle name="Comma 11 2 2" xfId="1840"/>
    <cellStyle name="Comma 11 2 2 2" xfId="1841"/>
    <cellStyle name="Comma 11 2 2 2 2" xfId="7398"/>
    <cellStyle name="Comma 11 2 2 2 2 2" xfId="7962"/>
    <cellStyle name="Comma 11 2 2 2 3" xfId="8298"/>
    <cellStyle name="Comma 11 2 2 2 4" xfId="7705"/>
    <cellStyle name="Comma 11 2 2 3" xfId="7397"/>
    <cellStyle name="Comma 11 2 2 3 2" xfId="7961"/>
    <cellStyle name="Comma 11 2 2 4" xfId="8203"/>
    <cellStyle name="Comma 11 2 2 5" xfId="7704"/>
    <cellStyle name="Comma 11 2 3" xfId="1842"/>
    <cellStyle name="Comma 11 2 3 2" xfId="7399"/>
    <cellStyle name="Comma 11 2 3 2 2" xfId="7963"/>
    <cellStyle name="Comma 11 2 3 3" xfId="8297"/>
    <cellStyle name="Comma 11 2 3 4" xfId="7706"/>
    <cellStyle name="Comma 11 2 4" xfId="7396"/>
    <cellStyle name="Comma 11 2 4 2" xfId="7960"/>
    <cellStyle name="Comma 11 2 5" xfId="8202"/>
    <cellStyle name="Comma 11 2 6" xfId="7703"/>
    <cellStyle name="Comma 11 3" xfId="1843"/>
    <cellStyle name="Comma 11 3 2" xfId="1844"/>
    <cellStyle name="Comma 11 3 2 2" xfId="7401"/>
    <cellStyle name="Comma 11 3 2 2 2" xfId="7965"/>
    <cellStyle name="Comma 11 3 2 3" xfId="8299"/>
    <cellStyle name="Comma 11 3 2 4" xfId="7708"/>
    <cellStyle name="Comma 11 3 3" xfId="7400"/>
    <cellStyle name="Comma 11 3 3 2" xfId="7964"/>
    <cellStyle name="Comma 11 3 4" xfId="8204"/>
    <cellStyle name="Comma 11 3 5" xfId="7707"/>
    <cellStyle name="Comma 11 4" xfId="1845"/>
    <cellStyle name="Comma 11 4 2" xfId="1846"/>
    <cellStyle name="Comma 11 4 2 2" xfId="7403"/>
    <cellStyle name="Comma 11 4 2 2 2" xfId="7967"/>
    <cellStyle name="Comma 11 4 2 3" xfId="8300"/>
    <cellStyle name="Comma 11 4 2 4" xfId="7710"/>
    <cellStyle name="Comma 11 4 3" xfId="7402"/>
    <cellStyle name="Comma 11 4 3 2" xfId="7966"/>
    <cellStyle name="Comma 11 4 4" xfId="8205"/>
    <cellStyle name="Comma 11 4 5" xfId="7709"/>
    <cellStyle name="Comma 11 5" xfId="1847"/>
    <cellStyle name="Comma 11 5 2" xfId="7404"/>
    <cellStyle name="Comma 11 5 2 2" xfId="7968"/>
    <cellStyle name="Comma 11 5 3" xfId="8296"/>
    <cellStyle name="Comma 11 5 4" xfId="7711"/>
    <cellStyle name="Comma 11 6" xfId="7395"/>
    <cellStyle name="Comma 11 6 2" xfId="7959"/>
    <cellStyle name="Comma 11 7" xfId="8201"/>
    <cellStyle name="Comma 11 8" xfId="7702"/>
    <cellStyle name="Comma 110" xfId="1848"/>
    <cellStyle name="Comma 110 2" xfId="7405"/>
    <cellStyle name="Comma 110 2 2" xfId="7969"/>
    <cellStyle name="Comma 110 3" xfId="8427"/>
    <cellStyle name="Comma 110 4" xfId="7712"/>
    <cellStyle name="Comma 111" xfId="1849"/>
    <cellStyle name="Comma 111 2" xfId="7406"/>
    <cellStyle name="Comma 111 2 2" xfId="7970"/>
    <cellStyle name="Comma 111 3" xfId="8424"/>
    <cellStyle name="Comma 111 4" xfId="7713"/>
    <cellStyle name="Comma 112" xfId="1850"/>
    <cellStyle name="Comma 112 2" xfId="7407"/>
    <cellStyle name="Comma 112 2 2" xfId="7971"/>
    <cellStyle name="Comma 112 3" xfId="8408"/>
    <cellStyle name="Comma 112 4" xfId="7714"/>
    <cellStyle name="Comma 113" xfId="1851"/>
    <cellStyle name="Comma 113 2" xfId="7408"/>
    <cellStyle name="Comma 113 2 2" xfId="7972"/>
    <cellStyle name="Comma 113 3" xfId="8422"/>
    <cellStyle name="Comma 113 4" xfId="7715"/>
    <cellStyle name="Comma 114" xfId="1852"/>
    <cellStyle name="Comma 114 2" xfId="7409"/>
    <cellStyle name="Comma 114 2 2" xfId="7973"/>
    <cellStyle name="Comma 114 3" xfId="8411"/>
    <cellStyle name="Comma 114 4" xfId="7716"/>
    <cellStyle name="Comma 115" xfId="1853"/>
    <cellStyle name="Comma 115 2" xfId="7410"/>
    <cellStyle name="Comma 115 2 2" xfId="7974"/>
    <cellStyle name="Comma 115 3" xfId="8423"/>
    <cellStyle name="Comma 115 4" xfId="7717"/>
    <cellStyle name="Comma 116" xfId="1854"/>
    <cellStyle name="Comma 116 2" xfId="7411"/>
    <cellStyle name="Comma 116 2 2" xfId="7975"/>
    <cellStyle name="Comma 116 3" xfId="8443"/>
    <cellStyle name="Comma 116 4" xfId="7718"/>
    <cellStyle name="Comma 117" xfId="1855"/>
    <cellStyle name="Comma 117 2" xfId="7412"/>
    <cellStyle name="Comma 117 2 2" xfId="7976"/>
    <cellStyle name="Comma 117 3" xfId="8431"/>
    <cellStyle name="Comma 117 4" xfId="7719"/>
    <cellStyle name="Comma 118" xfId="1856"/>
    <cellStyle name="Comma 118 2" xfId="7413"/>
    <cellStyle name="Comma 118 2 2" xfId="7977"/>
    <cellStyle name="Comma 118 3" xfId="8439"/>
    <cellStyle name="Comma 118 4" xfId="7720"/>
    <cellStyle name="Comma 119" xfId="1857"/>
    <cellStyle name="Comma 119 2" xfId="7414"/>
    <cellStyle name="Comma 119 2 2" xfId="7978"/>
    <cellStyle name="Comma 119 3" xfId="8436"/>
    <cellStyle name="Comma 119 4" xfId="7721"/>
    <cellStyle name="Comma 12" xfId="1858"/>
    <cellStyle name="Comma 12 2" xfId="1859"/>
    <cellStyle name="Comma 12 2 2" xfId="1860"/>
    <cellStyle name="Comma 12 2 2 2" xfId="1861"/>
    <cellStyle name="Comma 12 2 2 2 2" xfId="7418"/>
    <cellStyle name="Comma 12 2 2 2 2 2" xfId="7982"/>
    <cellStyle name="Comma 12 2 2 2 3" xfId="8303"/>
    <cellStyle name="Comma 12 2 2 2 4" xfId="7725"/>
    <cellStyle name="Comma 12 2 2 3" xfId="7417"/>
    <cellStyle name="Comma 12 2 2 3 2" xfId="7981"/>
    <cellStyle name="Comma 12 2 2 4" xfId="8208"/>
    <cellStyle name="Comma 12 2 2 5" xfId="7724"/>
    <cellStyle name="Comma 12 2 3" xfId="1862"/>
    <cellStyle name="Comma 12 2 3 2" xfId="7419"/>
    <cellStyle name="Comma 12 2 3 2 2" xfId="7983"/>
    <cellStyle name="Comma 12 2 3 3" xfId="8302"/>
    <cellStyle name="Comma 12 2 3 4" xfId="7726"/>
    <cellStyle name="Comma 12 2 4" xfId="7416"/>
    <cellStyle name="Comma 12 2 4 2" xfId="7980"/>
    <cellStyle name="Comma 12 2 5" xfId="8207"/>
    <cellStyle name="Comma 12 2 6" xfId="7723"/>
    <cellStyle name="Comma 12 3" xfId="1863"/>
    <cellStyle name="Comma 12 3 2" xfId="1864"/>
    <cellStyle name="Comma 12 3 2 2" xfId="7421"/>
    <cellStyle name="Comma 12 3 2 2 2" xfId="7985"/>
    <cellStyle name="Comma 12 3 2 3" xfId="8304"/>
    <cellStyle name="Comma 12 3 2 4" xfId="7728"/>
    <cellStyle name="Comma 12 3 3" xfId="7420"/>
    <cellStyle name="Comma 12 3 3 2" xfId="7984"/>
    <cellStyle name="Comma 12 3 4" xfId="8209"/>
    <cellStyle name="Comma 12 3 5" xfId="7727"/>
    <cellStyle name="Comma 12 4" xfId="1865"/>
    <cellStyle name="Comma 12 4 2" xfId="1866"/>
    <cellStyle name="Comma 12 4 2 2" xfId="7423"/>
    <cellStyle name="Comma 12 4 2 2 2" xfId="7987"/>
    <cellStyle name="Comma 12 4 2 3" xfId="8305"/>
    <cellStyle name="Comma 12 4 2 4" xfId="7730"/>
    <cellStyle name="Comma 12 4 3" xfId="7422"/>
    <cellStyle name="Comma 12 4 3 2" xfId="7986"/>
    <cellStyle name="Comma 12 4 4" xfId="8210"/>
    <cellStyle name="Comma 12 4 5" xfId="7729"/>
    <cellStyle name="Comma 12 5" xfId="1867"/>
    <cellStyle name="Comma 12 5 2" xfId="7424"/>
    <cellStyle name="Comma 12 5 2 2" xfId="7988"/>
    <cellStyle name="Comma 12 5 3" xfId="8301"/>
    <cellStyle name="Comma 12 5 4" xfId="7731"/>
    <cellStyle name="Comma 12 6" xfId="7415"/>
    <cellStyle name="Comma 12 6 2" xfId="7979"/>
    <cellStyle name="Comma 12 7" xfId="8206"/>
    <cellStyle name="Comma 12 8" xfId="7722"/>
    <cellStyle name="Comma 120" xfId="1868"/>
    <cellStyle name="Comma 120 2" xfId="7425"/>
    <cellStyle name="Comma 120 2 2" xfId="7989"/>
    <cellStyle name="Comma 120 3" xfId="8437"/>
    <cellStyle name="Comma 120 4" xfId="7732"/>
    <cellStyle name="Comma 121" xfId="1869"/>
    <cellStyle name="Comma 121 2" xfId="7426"/>
    <cellStyle name="Comma 121 2 2" xfId="7990"/>
    <cellStyle name="Comma 121 3" xfId="8442"/>
    <cellStyle name="Comma 121 4" xfId="7733"/>
    <cellStyle name="Comma 122" xfId="1870"/>
    <cellStyle name="Comma 122 2" xfId="7427"/>
    <cellStyle name="Comma 122 2 2" xfId="7991"/>
    <cellStyle name="Comma 122 3" xfId="8441"/>
    <cellStyle name="Comma 122 4" xfId="7734"/>
    <cellStyle name="Comma 123" xfId="1871"/>
    <cellStyle name="Comma 123 2" xfId="7428"/>
    <cellStyle name="Comma 123 2 2" xfId="7992"/>
    <cellStyle name="Comma 123 3" xfId="8433"/>
    <cellStyle name="Comma 123 4" xfId="7735"/>
    <cellStyle name="Comma 124" xfId="1872"/>
    <cellStyle name="Comma 124 2" xfId="7429"/>
    <cellStyle name="Comma 124 2 2" xfId="7993"/>
    <cellStyle name="Comma 124 3" xfId="8432"/>
    <cellStyle name="Comma 124 4" xfId="7736"/>
    <cellStyle name="Comma 125" xfId="1873"/>
    <cellStyle name="Comma 125 2" xfId="7430"/>
    <cellStyle name="Comma 125 2 2" xfId="7994"/>
    <cellStyle name="Comma 125 3" xfId="8435"/>
    <cellStyle name="Comma 125 4" xfId="7737"/>
    <cellStyle name="Comma 126" xfId="1874"/>
    <cellStyle name="Comma 126 2" xfId="7431"/>
    <cellStyle name="Comma 126 2 2" xfId="7995"/>
    <cellStyle name="Comma 126 3" xfId="8438"/>
    <cellStyle name="Comma 126 4" xfId="7738"/>
    <cellStyle name="Comma 127" xfId="1875"/>
    <cellStyle name="Comma 127 2" xfId="7432"/>
    <cellStyle name="Comma 127 2 2" xfId="7996"/>
    <cellStyle name="Comma 127 3" xfId="8440"/>
    <cellStyle name="Comma 127 4" xfId="7739"/>
    <cellStyle name="Comma 128" xfId="1876"/>
    <cellStyle name="Comma 128 2" xfId="7433"/>
    <cellStyle name="Comma 128 2 2" xfId="7997"/>
    <cellStyle name="Comma 128 3" xfId="8434"/>
    <cellStyle name="Comma 128 4" xfId="7740"/>
    <cellStyle name="Comma 129" xfId="7617"/>
    <cellStyle name="Comma 129 2" xfId="8181"/>
    <cellStyle name="Comma 13" xfId="1877"/>
    <cellStyle name="Comma 13 2" xfId="1878"/>
    <cellStyle name="Comma 13 2 2" xfId="7435"/>
    <cellStyle name="Comma 13 2 2 2" xfId="7999"/>
    <cellStyle name="Comma 13 2 3" xfId="8306"/>
    <cellStyle name="Comma 13 2 4" xfId="7742"/>
    <cellStyle name="Comma 13 3" xfId="7434"/>
    <cellStyle name="Comma 13 3 2" xfId="7998"/>
    <cellStyle name="Comma 13 4" xfId="8211"/>
    <cellStyle name="Comma 13 5" xfId="7741"/>
    <cellStyle name="Comma 130" xfId="7618"/>
    <cellStyle name="Comma 130 2" xfId="8182"/>
    <cellStyle name="Comma 131" xfId="7619"/>
    <cellStyle name="Comma 131 2" xfId="8183"/>
    <cellStyle name="Comma 132" xfId="7620"/>
    <cellStyle name="Comma 132 2" xfId="8184"/>
    <cellStyle name="Comma 133" xfId="7621"/>
    <cellStyle name="Comma 133 2" xfId="8185"/>
    <cellStyle name="Comma 14" xfId="1879"/>
    <cellStyle name="Comma 14 2" xfId="1880"/>
    <cellStyle name="Comma 14 2 2" xfId="7437"/>
    <cellStyle name="Comma 14 2 2 2" xfId="8001"/>
    <cellStyle name="Comma 14 2 3" xfId="8307"/>
    <cellStyle name="Comma 14 2 4" xfId="7744"/>
    <cellStyle name="Comma 14 3" xfId="7436"/>
    <cellStyle name="Comma 14 3 2" xfId="8000"/>
    <cellStyle name="Comma 14 4" xfId="8212"/>
    <cellStyle name="Comma 14 5" xfId="7743"/>
    <cellStyle name="Comma 15" xfId="1881"/>
    <cellStyle name="Comma 15 2" xfId="1882"/>
    <cellStyle name="Comma 15 2 2" xfId="7439"/>
    <cellStyle name="Comma 15 2 2 2" xfId="8003"/>
    <cellStyle name="Comma 15 2 3" xfId="8308"/>
    <cellStyle name="Comma 15 2 4" xfId="7746"/>
    <cellStyle name="Comma 15 3" xfId="7438"/>
    <cellStyle name="Comma 15 3 2" xfId="8002"/>
    <cellStyle name="Comma 15 4" xfId="8213"/>
    <cellStyle name="Comma 15 5" xfId="7745"/>
    <cellStyle name="Comma 16" xfId="1883"/>
    <cellStyle name="Comma 16 2" xfId="1884"/>
    <cellStyle name="Comma 16 2 2" xfId="7441"/>
    <cellStyle name="Comma 16 2 2 2" xfId="8005"/>
    <cellStyle name="Comma 16 2 3" xfId="8284"/>
    <cellStyle name="Comma 16 2 4" xfId="7748"/>
    <cellStyle name="Comma 16 3" xfId="7440"/>
    <cellStyle name="Comma 16 3 2" xfId="8004"/>
    <cellStyle name="Comma 16 4" xfId="8189"/>
    <cellStyle name="Comma 16 5" xfId="7747"/>
    <cellStyle name="Comma 17" xfId="1885"/>
    <cellStyle name="Comma 17 2" xfId="1886"/>
    <cellStyle name="Comma 17 2 2" xfId="7443"/>
    <cellStyle name="Comma 17 2 2 2" xfId="8007"/>
    <cellStyle name="Comma 17 2 3" xfId="8309"/>
    <cellStyle name="Comma 17 2 4" xfId="7750"/>
    <cellStyle name="Comma 17 3" xfId="7442"/>
    <cellStyle name="Comma 17 3 2" xfId="8006"/>
    <cellStyle name="Comma 17 4" xfId="8214"/>
    <cellStyle name="Comma 17 5" xfId="7749"/>
    <cellStyle name="Comma 18" xfId="1887"/>
    <cellStyle name="Comma 18 2" xfId="1888"/>
    <cellStyle name="Comma 18 2 2" xfId="7445"/>
    <cellStyle name="Comma 18 2 2 2" xfId="8009"/>
    <cellStyle name="Comma 18 2 3" xfId="8310"/>
    <cellStyle name="Comma 18 2 4" xfId="7752"/>
    <cellStyle name="Comma 18 3" xfId="7444"/>
    <cellStyle name="Comma 18 3 2" xfId="8008"/>
    <cellStyle name="Comma 18 4" xfId="8215"/>
    <cellStyle name="Comma 18 5" xfId="7751"/>
    <cellStyle name="Comma 19" xfId="1889"/>
    <cellStyle name="Comma 19 2" xfId="1890"/>
    <cellStyle name="Comma 19 2 2" xfId="7447"/>
    <cellStyle name="Comma 19 2 2 2" xfId="8011"/>
    <cellStyle name="Comma 19 2 3" xfId="8311"/>
    <cellStyle name="Comma 19 2 4" xfId="7754"/>
    <cellStyle name="Comma 19 3" xfId="7446"/>
    <cellStyle name="Comma 19 3 2" xfId="8010"/>
    <cellStyle name="Comma 19 4" xfId="8216"/>
    <cellStyle name="Comma 19 5" xfId="7753"/>
    <cellStyle name="Comma 2" xfId="1891"/>
    <cellStyle name="Comma 2 2" xfId="1892"/>
    <cellStyle name="Comma 2 2 2" xfId="1893"/>
    <cellStyle name="Comma 2 2 2 2" xfId="7450"/>
    <cellStyle name="Comma 2 2 2 2 2" xfId="8014"/>
    <cellStyle name="Comma 2 2 2 3" xfId="8283"/>
    <cellStyle name="Comma 2 2 2 4" xfId="7757"/>
    <cellStyle name="Comma 2 2 3" xfId="7449"/>
    <cellStyle name="Comma 2 2 3 2" xfId="8013"/>
    <cellStyle name="Comma 2 2 4" xfId="8249"/>
    <cellStyle name="Comma 2 2 5" xfId="7756"/>
    <cellStyle name="Comma 2 3" xfId="1894"/>
    <cellStyle name="Comma 2 3 2" xfId="7451"/>
    <cellStyle name="Comma 2 3 2 2" xfId="8015"/>
    <cellStyle name="Comma 2 3 3" xfId="8281"/>
    <cellStyle name="Comma 2 3 4" xfId="7758"/>
    <cellStyle name="Comma 2 4" xfId="7448"/>
    <cellStyle name="Comma 2 4 2" xfId="8012"/>
    <cellStyle name="Comma 2 5" xfId="8187"/>
    <cellStyle name="Comma 2 6" xfId="7755"/>
    <cellStyle name="Comma 20" xfId="1895"/>
    <cellStyle name="Comma 20 2" xfId="1896"/>
    <cellStyle name="Comma 20 2 2" xfId="7453"/>
    <cellStyle name="Comma 20 2 2 2" xfId="8017"/>
    <cellStyle name="Comma 20 2 3" xfId="8312"/>
    <cellStyle name="Comma 20 2 4" xfId="7760"/>
    <cellStyle name="Comma 20 3" xfId="7452"/>
    <cellStyle name="Comma 20 3 2" xfId="8016"/>
    <cellStyle name="Comma 20 4" xfId="8217"/>
    <cellStyle name="Comma 20 5" xfId="7759"/>
    <cellStyle name="Comma 21" xfId="1897"/>
    <cellStyle name="Comma 21 2" xfId="1898"/>
    <cellStyle name="Comma 21 2 2" xfId="7455"/>
    <cellStyle name="Comma 21 2 2 2" xfId="8019"/>
    <cellStyle name="Comma 21 2 3" xfId="8313"/>
    <cellStyle name="Comma 21 2 4" xfId="7762"/>
    <cellStyle name="Comma 21 3" xfId="7454"/>
    <cellStyle name="Comma 21 3 2" xfId="8018"/>
    <cellStyle name="Comma 21 4" xfId="8218"/>
    <cellStyle name="Comma 21 5" xfId="7761"/>
    <cellStyle name="Comma 22" xfId="1899"/>
    <cellStyle name="Comma 23" xfId="1900"/>
    <cellStyle name="Comma 24" xfId="1901"/>
    <cellStyle name="Comma 25" xfId="1902"/>
    <cellStyle name="Comma 26" xfId="1903"/>
    <cellStyle name="Comma 26 2" xfId="1904"/>
    <cellStyle name="Comma 26 2 2" xfId="7457"/>
    <cellStyle name="Comma 26 2 2 2" xfId="8021"/>
    <cellStyle name="Comma 26 2 3" xfId="8343"/>
    <cellStyle name="Comma 26 2 4" xfId="7764"/>
    <cellStyle name="Comma 26 3" xfId="7456"/>
    <cellStyle name="Comma 26 3 2" xfId="8020"/>
    <cellStyle name="Comma 26 4" xfId="8245"/>
    <cellStyle name="Comma 26 5" xfId="7763"/>
    <cellStyle name="Comma 27" xfId="1905"/>
    <cellStyle name="Comma 27 2" xfId="1906"/>
    <cellStyle name="Comma 27 2 2" xfId="7459"/>
    <cellStyle name="Comma 27 2 2 2" xfId="8023"/>
    <cellStyle name="Comma 27 2 3" xfId="8344"/>
    <cellStyle name="Comma 27 2 4" xfId="7766"/>
    <cellStyle name="Comma 27 3" xfId="7458"/>
    <cellStyle name="Comma 27 3 2" xfId="8022"/>
    <cellStyle name="Comma 27 4" xfId="8267"/>
    <cellStyle name="Comma 27 5" xfId="7765"/>
    <cellStyle name="Comma 28" xfId="1907"/>
    <cellStyle name="Comma 28 2" xfId="1908"/>
    <cellStyle name="Comma 28 2 2" xfId="7461"/>
    <cellStyle name="Comma 28 2 2 2" xfId="8025"/>
    <cellStyle name="Comma 28 2 3" xfId="8350"/>
    <cellStyle name="Comma 28 2 4" xfId="7768"/>
    <cellStyle name="Comma 28 3" xfId="7460"/>
    <cellStyle name="Comma 28 3 2" xfId="8024"/>
    <cellStyle name="Comma 28 4" xfId="8246"/>
    <cellStyle name="Comma 28 5" xfId="7767"/>
    <cellStyle name="Comma 29" xfId="1909"/>
    <cellStyle name="Comma 29 2" xfId="1910"/>
    <cellStyle name="Comma 29 2 2" xfId="7463"/>
    <cellStyle name="Comma 29 2 2 2" xfId="8027"/>
    <cellStyle name="Comma 29 2 3" xfId="8345"/>
    <cellStyle name="Comma 29 2 4" xfId="7770"/>
    <cellStyle name="Comma 29 3" xfId="7462"/>
    <cellStyle name="Comma 29 3 2" xfId="8026"/>
    <cellStyle name="Comma 29 4" xfId="8266"/>
    <cellStyle name="Comma 29 5" xfId="7769"/>
    <cellStyle name="Comma 3" xfId="1911"/>
    <cellStyle name="Comma 3 2" xfId="1912"/>
    <cellStyle name="Comma 3 2 2" xfId="7465"/>
    <cellStyle name="Comma 3 2 2 2" xfId="8029"/>
    <cellStyle name="Comma 3 2 3" xfId="8314"/>
    <cellStyle name="Comma 3 2 4" xfId="7772"/>
    <cellStyle name="Comma 3 3" xfId="7464"/>
    <cellStyle name="Comma 3 3 2" xfId="8028"/>
    <cellStyle name="Comma 3 4" xfId="7664"/>
    <cellStyle name="Comma 3 4 2" xfId="8186"/>
    <cellStyle name="Comma 3 5" xfId="8219"/>
    <cellStyle name="Comma 3 6" xfId="7771"/>
    <cellStyle name="Comma 30" xfId="1913"/>
    <cellStyle name="Comma 30 2" xfId="1914"/>
    <cellStyle name="Comma 30 2 2" xfId="7467"/>
    <cellStyle name="Comma 30 2 2 2" xfId="8031"/>
    <cellStyle name="Comma 30 2 3" xfId="8348"/>
    <cellStyle name="Comma 30 2 4" xfId="7774"/>
    <cellStyle name="Comma 30 3" xfId="7466"/>
    <cellStyle name="Comma 30 3 2" xfId="8030"/>
    <cellStyle name="Comma 30 4" xfId="8257"/>
    <cellStyle name="Comma 30 5" xfId="7773"/>
    <cellStyle name="Comma 31" xfId="1915"/>
    <cellStyle name="Comma 31 2" xfId="1916"/>
    <cellStyle name="Comma 31 2 2" xfId="7469"/>
    <cellStyle name="Comma 31 2 2 2" xfId="8033"/>
    <cellStyle name="Comma 31 2 3" xfId="8346"/>
    <cellStyle name="Comma 31 2 4" xfId="7776"/>
    <cellStyle name="Comma 31 3" xfId="7468"/>
    <cellStyle name="Comma 31 3 2" xfId="8032"/>
    <cellStyle name="Comma 31 4" xfId="8251"/>
    <cellStyle name="Comma 31 5" xfId="7775"/>
    <cellStyle name="Comma 32" xfId="1917"/>
    <cellStyle name="Comma 32 2" xfId="1918"/>
    <cellStyle name="Comma 32 2 2" xfId="7471"/>
    <cellStyle name="Comma 32 2 2 2" xfId="8035"/>
    <cellStyle name="Comma 32 2 3" xfId="8347"/>
    <cellStyle name="Comma 32 2 4" xfId="7778"/>
    <cellStyle name="Comma 32 3" xfId="7470"/>
    <cellStyle name="Comma 32 3 2" xfId="8034"/>
    <cellStyle name="Comma 32 4" xfId="8250"/>
    <cellStyle name="Comma 32 5" xfId="7777"/>
    <cellStyle name="Comma 33" xfId="1919"/>
    <cellStyle name="Comma 33 2" xfId="1920"/>
    <cellStyle name="Comma 33 2 2" xfId="7473"/>
    <cellStyle name="Comma 33 2 2 2" xfId="8037"/>
    <cellStyle name="Comma 33 2 3" xfId="8349"/>
    <cellStyle name="Comma 33 2 4" xfId="7780"/>
    <cellStyle name="Comma 33 3" xfId="7472"/>
    <cellStyle name="Comma 33 3 2" xfId="8036"/>
    <cellStyle name="Comma 33 4" xfId="8255"/>
    <cellStyle name="Comma 33 5" xfId="7779"/>
    <cellStyle name="Comma 34" xfId="1921"/>
    <cellStyle name="Comma 34 2" xfId="1922"/>
    <cellStyle name="Comma 34 2 2" xfId="7475"/>
    <cellStyle name="Comma 34 2 2 2" xfId="8039"/>
    <cellStyle name="Comma 34 2 3" xfId="8356"/>
    <cellStyle name="Comma 34 2 4" xfId="7782"/>
    <cellStyle name="Comma 34 3" xfId="7474"/>
    <cellStyle name="Comma 34 3 2" xfId="8038"/>
    <cellStyle name="Comma 34 4" xfId="8268"/>
    <cellStyle name="Comma 34 5" xfId="7781"/>
    <cellStyle name="Comma 35" xfId="1923"/>
    <cellStyle name="Comma 35 2" xfId="1924"/>
    <cellStyle name="Comma 35 2 2" xfId="7477"/>
    <cellStyle name="Comma 35 2 2 2" xfId="8041"/>
    <cellStyle name="Comma 35 2 3" xfId="8351"/>
    <cellStyle name="Comma 35 2 4" xfId="7784"/>
    <cellStyle name="Comma 35 3" xfId="7476"/>
    <cellStyle name="Comma 35 3 2" xfId="8040"/>
    <cellStyle name="Comma 35 4" xfId="8256"/>
    <cellStyle name="Comma 35 5" xfId="7783"/>
    <cellStyle name="Comma 36" xfId="1925"/>
    <cellStyle name="Comma 36 2" xfId="1926"/>
    <cellStyle name="Comma 36 2 2" xfId="7479"/>
    <cellStyle name="Comma 36 2 2 2" xfId="8043"/>
    <cellStyle name="Comma 36 2 3" xfId="8353"/>
    <cellStyle name="Comma 36 2 4" xfId="7786"/>
    <cellStyle name="Comma 36 3" xfId="7478"/>
    <cellStyle name="Comma 36 3 2" xfId="8042"/>
    <cellStyle name="Comma 36 4" xfId="8260"/>
    <cellStyle name="Comma 36 5" xfId="7785"/>
    <cellStyle name="Comma 37" xfId="1927"/>
    <cellStyle name="Comma 37 2" xfId="1928"/>
    <cellStyle name="Comma 37 2 2" xfId="7481"/>
    <cellStyle name="Comma 37 2 2 2" xfId="8045"/>
    <cellStyle name="Comma 37 2 3" xfId="8355"/>
    <cellStyle name="Comma 37 2 4" xfId="7788"/>
    <cellStyle name="Comma 37 3" xfId="7480"/>
    <cellStyle name="Comma 37 3 2" xfId="8044"/>
    <cellStyle name="Comma 37 4" xfId="8253"/>
    <cellStyle name="Comma 37 5" xfId="7787"/>
    <cellStyle name="Comma 38" xfId="1929"/>
    <cellStyle name="Comma 38 2" xfId="1930"/>
    <cellStyle name="Comma 38 2 2" xfId="7483"/>
    <cellStyle name="Comma 38 2 2 2" xfId="8047"/>
    <cellStyle name="Comma 38 2 3" xfId="8354"/>
    <cellStyle name="Comma 38 2 4" xfId="7790"/>
    <cellStyle name="Comma 38 3" xfId="7482"/>
    <cellStyle name="Comma 38 3 2" xfId="8046"/>
    <cellStyle name="Comma 38 4" xfId="8254"/>
    <cellStyle name="Comma 38 5" xfId="7789"/>
    <cellStyle name="Comma 39" xfId="1931"/>
    <cellStyle name="Comma 39 2" xfId="1932"/>
    <cellStyle name="Comma 39 2 2" xfId="7485"/>
    <cellStyle name="Comma 39 2 2 2" xfId="8049"/>
    <cellStyle name="Comma 39 2 3" xfId="8352"/>
    <cellStyle name="Comma 39 2 4" xfId="7792"/>
    <cellStyle name="Comma 39 3" xfId="7484"/>
    <cellStyle name="Comma 39 3 2" xfId="8048"/>
    <cellStyle name="Comma 39 4" xfId="8248"/>
    <cellStyle name="Comma 39 5" xfId="7791"/>
    <cellStyle name="Comma 4" xfId="1933"/>
    <cellStyle name="Comma 4 2" xfId="1934"/>
    <cellStyle name="Comma 4 2 2" xfId="7487"/>
    <cellStyle name="Comma 4 2 2 2" xfId="8051"/>
    <cellStyle name="Comma 4 2 3" xfId="8315"/>
    <cellStyle name="Comma 4 2 4" xfId="7794"/>
    <cellStyle name="Comma 4 3" xfId="7486"/>
    <cellStyle name="Comma 4 3 2" xfId="8050"/>
    <cellStyle name="Comma 4 4" xfId="8220"/>
    <cellStyle name="Comma 4 5" xfId="7793"/>
    <cellStyle name="Comma 40" xfId="1935"/>
    <cellStyle name="Comma 40 2" xfId="1936"/>
    <cellStyle name="Comma 40 2 2" xfId="7489"/>
    <cellStyle name="Comma 40 2 2 2" xfId="8053"/>
    <cellStyle name="Comma 40 2 3" xfId="8381"/>
    <cellStyle name="Comma 40 2 4" xfId="7796"/>
    <cellStyle name="Comma 40 3" xfId="7488"/>
    <cellStyle name="Comma 40 3 2" xfId="8052"/>
    <cellStyle name="Comma 40 4" xfId="8264"/>
    <cellStyle name="Comma 40 5" xfId="7795"/>
    <cellStyle name="Comma 41" xfId="1937"/>
    <cellStyle name="Comma 41 2" xfId="1938"/>
    <cellStyle name="Comma 41 2 2" xfId="7491"/>
    <cellStyle name="Comma 41 2 2 2" xfId="8055"/>
    <cellStyle name="Comma 41 2 3" xfId="8357"/>
    <cellStyle name="Comma 41 2 4" xfId="7798"/>
    <cellStyle name="Comma 41 3" xfId="7490"/>
    <cellStyle name="Comma 41 3 2" xfId="8054"/>
    <cellStyle name="Comma 41 4" xfId="8258"/>
    <cellStyle name="Comma 41 5" xfId="7797"/>
    <cellStyle name="Comma 42" xfId="1939"/>
    <cellStyle name="Comma 42 2" xfId="1940"/>
    <cellStyle name="Comma 42 2 2" xfId="7493"/>
    <cellStyle name="Comma 42 2 2 2" xfId="8057"/>
    <cellStyle name="Comma 42 2 3" xfId="8364"/>
    <cellStyle name="Comma 42 2 4" xfId="7800"/>
    <cellStyle name="Comma 42 3" xfId="7492"/>
    <cellStyle name="Comma 42 3 2" xfId="8056"/>
    <cellStyle name="Comma 42 4" xfId="8261"/>
    <cellStyle name="Comma 42 5" xfId="7799"/>
    <cellStyle name="Comma 43" xfId="1941"/>
    <cellStyle name="Comma 43 2" xfId="1942"/>
    <cellStyle name="Comma 43 2 2" xfId="7495"/>
    <cellStyle name="Comma 43 2 2 2" xfId="8059"/>
    <cellStyle name="Comma 43 2 3" xfId="8372"/>
    <cellStyle name="Comma 43 2 4" xfId="7802"/>
    <cellStyle name="Comma 43 3" xfId="7494"/>
    <cellStyle name="Comma 43 3 2" xfId="8058"/>
    <cellStyle name="Comma 43 4" xfId="8252"/>
    <cellStyle name="Comma 43 5" xfId="7801"/>
    <cellStyle name="Comma 44" xfId="1943"/>
    <cellStyle name="Comma 44 2" xfId="1944"/>
    <cellStyle name="Comma 44 2 2" xfId="7497"/>
    <cellStyle name="Comma 44 2 2 2" xfId="8061"/>
    <cellStyle name="Comma 44 2 3" xfId="8371"/>
    <cellStyle name="Comma 44 2 4" xfId="7804"/>
    <cellStyle name="Comma 44 3" xfId="7496"/>
    <cellStyle name="Comma 44 3 2" xfId="8060"/>
    <cellStyle name="Comma 44 4" xfId="8274"/>
    <cellStyle name="Comma 44 5" xfId="7803"/>
    <cellStyle name="Comma 45" xfId="1945"/>
    <cellStyle name="Comma 45 2" xfId="1946"/>
    <cellStyle name="Comma 45 2 2" xfId="7499"/>
    <cellStyle name="Comma 45 2 2 2" xfId="8063"/>
    <cellStyle name="Comma 45 2 3" xfId="8362"/>
    <cellStyle name="Comma 45 2 4" xfId="7806"/>
    <cellStyle name="Comma 45 3" xfId="7498"/>
    <cellStyle name="Comma 45 3 2" xfId="8062"/>
    <cellStyle name="Comma 45 4" xfId="8247"/>
    <cellStyle name="Comma 45 5" xfId="7805"/>
    <cellStyle name="Comma 46" xfId="1947"/>
    <cellStyle name="Comma 46 2" xfId="1948"/>
    <cellStyle name="Comma 46 2 2" xfId="7501"/>
    <cellStyle name="Comma 46 2 2 2" xfId="8065"/>
    <cellStyle name="Comma 46 2 3" xfId="8363"/>
    <cellStyle name="Comma 46 2 4" xfId="7808"/>
    <cellStyle name="Comma 46 3" xfId="7500"/>
    <cellStyle name="Comma 46 3 2" xfId="8064"/>
    <cellStyle name="Comma 46 4" xfId="8269"/>
    <cellStyle name="Comma 46 5" xfId="7807"/>
    <cellStyle name="Comma 47" xfId="1949"/>
    <cellStyle name="Comma 47 2" xfId="1950"/>
    <cellStyle name="Comma 47 2 2" xfId="7503"/>
    <cellStyle name="Comma 47 2 2 2" xfId="8067"/>
    <cellStyle name="Comma 47 2 3" xfId="8374"/>
    <cellStyle name="Comma 47 2 4" xfId="7810"/>
    <cellStyle name="Comma 47 3" xfId="7502"/>
    <cellStyle name="Comma 47 3 2" xfId="8066"/>
    <cellStyle name="Comma 47 4" xfId="8263"/>
    <cellStyle name="Comma 47 5" xfId="7809"/>
    <cellStyle name="Comma 48" xfId="1951"/>
    <cellStyle name="Comma 48 2" xfId="1952"/>
    <cellStyle name="Comma 48 2 2" xfId="7505"/>
    <cellStyle name="Comma 48 2 2 2" xfId="8069"/>
    <cellStyle name="Comma 48 2 3" xfId="8379"/>
    <cellStyle name="Comma 48 2 4" xfId="7812"/>
    <cellStyle name="Comma 48 3" xfId="7504"/>
    <cellStyle name="Comma 48 3 2" xfId="8068"/>
    <cellStyle name="Comma 48 4" xfId="8262"/>
    <cellStyle name="Comma 48 5" xfId="7811"/>
    <cellStyle name="Comma 49" xfId="1953"/>
    <cellStyle name="Comma 49 2" xfId="1954"/>
    <cellStyle name="Comma 49 2 2" xfId="7507"/>
    <cellStyle name="Comma 49 2 2 2" xfId="8071"/>
    <cellStyle name="Comma 49 2 3" xfId="8377"/>
    <cellStyle name="Comma 49 2 4" xfId="7814"/>
    <cellStyle name="Comma 49 3" xfId="7506"/>
    <cellStyle name="Comma 49 3 2" xfId="8070"/>
    <cellStyle name="Comma 49 4" xfId="8275"/>
    <cellStyle name="Comma 49 5" xfId="7813"/>
    <cellStyle name="Comma 5" xfId="1955"/>
    <cellStyle name="Comma 5 2" xfId="1956"/>
    <cellStyle name="Comma 5 2 2" xfId="1957"/>
    <cellStyle name="Comma 5 2 2 2" xfId="7510"/>
    <cellStyle name="Comma 5 2 2 2 2" xfId="8074"/>
    <cellStyle name="Comma 5 2 2 3" xfId="8317"/>
    <cellStyle name="Comma 5 2 2 4" xfId="7817"/>
    <cellStyle name="Comma 5 2 3" xfId="7509"/>
    <cellStyle name="Comma 5 2 3 2" xfId="8073"/>
    <cellStyle name="Comma 5 2 4" xfId="8222"/>
    <cellStyle name="Comma 5 2 5" xfId="7816"/>
    <cellStyle name="Comma 5 3" xfId="1958"/>
    <cellStyle name="Comma 5 3 2" xfId="7511"/>
    <cellStyle name="Comma 5 3 2 2" xfId="8075"/>
    <cellStyle name="Comma 5 3 3" xfId="8316"/>
    <cellStyle name="Comma 5 3 4" xfId="7818"/>
    <cellStyle name="Comma 5 4" xfId="7508"/>
    <cellStyle name="Comma 5 4 2" xfId="8072"/>
    <cellStyle name="Comma 5 5" xfId="8221"/>
    <cellStyle name="Comma 5 6" xfId="7815"/>
    <cellStyle name="Comma 50" xfId="1959"/>
    <cellStyle name="Comma 50 2" xfId="1960"/>
    <cellStyle name="Comma 50 2 2" xfId="7513"/>
    <cellStyle name="Comma 50 2 2 2" xfId="8077"/>
    <cellStyle name="Comma 50 2 3" xfId="8360"/>
    <cellStyle name="Comma 50 2 4" xfId="7820"/>
    <cellStyle name="Comma 50 3" xfId="7512"/>
    <cellStyle name="Comma 50 3 2" xfId="8076"/>
    <cellStyle name="Comma 50 4" xfId="8271"/>
    <cellStyle name="Comma 50 5" xfId="7819"/>
    <cellStyle name="Comma 51" xfId="1961"/>
    <cellStyle name="Comma 51 2" xfId="1962"/>
    <cellStyle name="Comma 51 2 2" xfId="7515"/>
    <cellStyle name="Comma 51 2 2 2" xfId="8079"/>
    <cellStyle name="Comma 51 2 3" xfId="8366"/>
    <cellStyle name="Comma 51 2 4" xfId="7822"/>
    <cellStyle name="Comma 51 3" xfId="7514"/>
    <cellStyle name="Comma 51 3 2" xfId="8078"/>
    <cellStyle name="Comma 51 4" xfId="8265"/>
    <cellStyle name="Comma 51 5" xfId="7821"/>
    <cellStyle name="Comma 52" xfId="1963"/>
    <cellStyle name="Comma 52 2" xfId="1964"/>
    <cellStyle name="Comma 52 2 2" xfId="7517"/>
    <cellStyle name="Comma 52 2 2 2" xfId="8081"/>
    <cellStyle name="Comma 52 2 3" xfId="8373"/>
    <cellStyle name="Comma 52 2 4" xfId="7824"/>
    <cellStyle name="Comma 52 3" xfId="7516"/>
    <cellStyle name="Comma 52 3 2" xfId="8080"/>
    <cellStyle name="Comma 52 4" xfId="8259"/>
    <cellStyle name="Comma 52 5" xfId="7823"/>
    <cellStyle name="Comma 53" xfId="1965"/>
    <cellStyle name="Comma 53 2" xfId="1966"/>
    <cellStyle name="Comma 53 2 2" xfId="7519"/>
    <cellStyle name="Comma 53 2 2 2" xfId="8083"/>
    <cellStyle name="Comma 53 2 3" xfId="8380"/>
    <cellStyle name="Comma 53 2 4" xfId="7826"/>
    <cellStyle name="Comma 53 3" xfId="7518"/>
    <cellStyle name="Comma 53 3 2" xfId="8082"/>
    <cellStyle name="Comma 53 4" xfId="8276"/>
    <cellStyle name="Comma 53 5" xfId="7825"/>
    <cellStyle name="Comma 54" xfId="1967"/>
    <cellStyle name="Comma 54 2" xfId="1968"/>
    <cellStyle name="Comma 54 2 2" xfId="7521"/>
    <cellStyle name="Comma 54 2 2 2" xfId="8085"/>
    <cellStyle name="Comma 54 2 3" xfId="8378"/>
    <cellStyle name="Comma 54 2 4" xfId="7828"/>
    <cellStyle name="Comma 54 3" xfId="7520"/>
    <cellStyle name="Comma 54 3 2" xfId="8084"/>
    <cellStyle name="Comma 54 4" xfId="8277"/>
    <cellStyle name="Comma 54 5" xfId="7827"/>
    <cellStyle name="Comma 55" xfId="1969"/>
    <cellStyle name="Comma 55 2" xfId="1970"/>
    <cellStyle name="Comma 55 2 2" xfId="7523"/>
    <cellStyle name="Comma 55 2 2 2" xfId="8087"/>
    <cellStyle name="Comma 55 2 3" xfId="8359"/>
    <cellStyle name="Comma 55 2 4" xfId="7830"/>
    <cellStyle name="Comma 55 3" xfId="7522"/>
    <cellStyle name="Comma 55 3 2" xfId="8086"/>
    <cellStyle name="Comma 55 4" xfId="8278"/>
    <cellStyle name="Comma 55 5" xfId="7829"/>
    <cellStyle name="Comma 56" xfId="1971"/>
    <cellStyle name="Comma 56 2" xfId="1972"/>
    <cellStyle name="Comma 56 2 2" xfId="7525"/>
    <cellStyle name="Comma 56 2 2 2" xfId="8089"/>
    <cellStyle name="Comma 56 2 3" xfId="8367"/>
    <cellStyle name="Comma 56 2 4" xfId="7832"/>
    <cellStyle name="Comma 56 3" xfId="7524"/>
    <cellStyle name="Comma 56 3 2" xfId="8088"/>
    <cellStyle name="Comma 56 4" xfId="8272"/>
    <cellStyle name="Comma 56 5" xfId="7831"/>
    <cellStyle name="Comma 57" xfId="1973"/>
    <cellStyle name="Comma 57 2" xfId="1974"/>
    <cellStyle name="Comma 57 2 2" xfId="7527"/>
    <cellStyle name="Comma 57 2 2 2" xfId="8091"/>
    <cellStyle name="Comma 57 2 3" xfId="8375"/>
    <cellStyle name="Comma 57 2 4" xfId="7834"/>
    <cellStyle name="Comma 57 3" xfId="7526"/>
    <cellStyle name="Comma 57 3 2" xfId="8090"/>
    <cellStyle name="Comma 57 4" xfId="8279"/>
    <cellStyle name="Comma 57 5" xfId="7833"/>
    <cellStyle name="Comma 58" xfId="1975"/>
    <cellStyle name="Comma 58 2" xfId="1976"/>
    <cellStyle name="Comma 58 2 2" xfId="7529"/>
    <cellStyle name="Comma 58 2 2 2" xfId="8093"/>
    <cellStyle name="Comma 58 2 3" xfId="8370"/>
    <cellStyle name="Comma 58 2 4" xfId="7836"/>
    <cellStyle name="Comma 58 3" xfId="7528"/>
    <cellStyle name="Comma 58 3 2" xfId="8092"/>
    <cellStyle name="Comma 58 4" xfId="8273"/>
    <cellStyle name="Comma 58 5" xfId="7835"/>
    <cellStyle name="Comma 59" xfId="1977"/>
    <cellStyle name="Comma 59 2" xfId="1978"/>
    <cellStyle name="Comma 59 2 2" xfId="7531"/>
    <cellStyle name="Comma 59 2 2 2" xfId="8095"/>
    <cellStyle name="Comma 59 2 3" xfId="8358"/>
    <cellStyle name="Comma 59 2 4" xfId="7838"/>
    <cellStyle name="Comma 59 3" xfId="7530"/>
    <cellStyle name="Comma 59 3 2" xfId="8094"/>
    <cellStyle name="Comma 59 4" xfId="8270"/>
    <cellStyle name="Comma 59 5" xfId="7837"/>
    <cellStyle name="Comma 6" xfId="1979"/>
    <cellStyle name="Comma 6 2" xfId="1980"/>
    <cellStyle name="Comma 6 2 2" xfId="1981"/>
    <cellStyle name="Comma 6 2 2 2" xfId="7534"/>
    <cellStyle name="Comma 6 2 2 2 2" xfId="8098"/>
    <cellStyle name="Comma 6 2 2 3" xfId="8319"/>
    <cellStyle name="Comma 6 2 2 4" xfId="7841"/>
    <cellStyle name="Comma 6 2 3" xfId="7533"/>
    <cellStyle name="Comma 6 2 3 2" xfId="8097"/>
    <cellStyle name="Comma 6 2 4" xfId="8224"/>
    <cellStyle name="Comma 6 2 5" xfId="7840"/>
    <cellStyle name="Comma 6 3" xfId="1982"/>
    <cellStyle name="Comma 6 3 2" xfId="7535"/>
    <cellStyle name="Comma 6 3 2 2" xfId="8099"/>
    <cellStyle name="Comma 6 3 3" xfId="8318"/>
    <cellStyle name="Comma 6 3 4" xfId="7842"/>
    <cellStyle name="Comma 6 4" xfId="7532"/>
    <cellStyle name="Comma 6 4 2" xfId="8096"/>
    <cellStyle name="Comma 6 5" xfId="8223"/>
    <cellStyle name="Comma 6 6" xfId="7839"/>
    <cellStyle name="Comma 60" xfId="1983"/>
    <cellStyle name="Comma 60 2" xfId="1984"/>
    <cellStyle name="Comma 60 2 2" xfId="7537"/>
    <cellStyle name="Comma 60 2 2 2" xfId="8101"/>
    <cellStyle name="Comma 60 2 3" xfId="8369"/>
    <cellStyle name="Comma 60 2 4" xfId="7844"/>
    <cellStyle name="Comma 60 3" xfId="7536"/>
    <cellStyle name="Comma 60 3 2" xfId="8100"/>
    <cellStyle name="Comma 60 4" xfId="8280"/>
    <cellStyle name="Comma 60 5" xfId="7843"/>
    <cellStyle name="Comma 61" xfId="1985"/>
    <cellStyle name="Comma 61 2" xfId="7538"/>
    <cellStyle name="Comma 61 2 2" xfId="8102"/>
    <cellStyle name="Comma 61 3" xfId="8361"/>
    <cellStyle name="Comma 61 4" xfId="7845"/>
    <cellStyle name="Comma 62" xfId="1986"/>
    <cellStyle name="Comma 62 2" xfId="7539"/>
    <cellStyle name="Comma 62 2 2" xfId="8103"/>
    <cellStyle name="Comma 62 3" xfId="8376"/>
    <cellStyle name="Comma 62 4" xfId="7846"/>
    <cellStyle name="Comma 63" xfId="1987"/>
    <cellStyle name="Comma 63 2" xfId="7540"/>
    <cellStyle name="Comma 63 2 2" xfId="8104"/>
    <cellStyle name="Comma 63 3" xfId="8365"/>
    <cellStyle name="Comma 63 4" xfId="7847"/>
    <cellStyle name="Comma 64" xfId="1988"/>
    <cellStyle name="Comma 64 2" xfId="7541"/>
    <cellStyle name="Comma 64 2 2" xfId="8105"/>
    <cellStyle name="Comma 64 3" xfId="8368"/>
    <cellStyle name="Comma 64 4" xfId="7848"/>
    <cellStyle name="Comma 65" xfId="1989"/>
    <cellStyle name="Comma 65 2" xfId="7542"/>
    <cellStyle name="Comma 65 2 2" xfId="8106"/>
    <cellStyle name="Comma 65 3" xfId="8387"/>
    <cellStyle name="Comma 65 4" xfId="7849"/>
    <cellStyle name="Comma 66" xfId="1990"/>
    <cellStyle name="Comma 66 2" xfId="7543"/>
    <cellStyle name="Comma 66 2 2" xfId="8107"/>
    <cellStyle name="Comma 66 3" xfId="8389"/>
    <cellStyle name="Comma 66 4" xfId="7850"/>
    <cellStyle name="Comma 67" xfId="1991"/>
    <cellStyle name="Comma 67 2" xfId="7544"/>
    <cellStyle name="Comma 67 2 2" xfId="8108"/>
    <cellStyle name="Comma 67 3" xfId="8388"/>
    <cellStyle name="Comma 67 4" xfId="7851"/>
    <cellStyle name="Comma 68" xfId="1992"/>
    <cellStyle name="Comma 68 2" xfId="7545"/>
    <cellStyle name="Comma 68 2 2" xfId="8109"/>
    <cellStyle name="Comma 68 3" xfId="8382"/>
    <cellStyle name="Comma 68 4" xfId="7852"/>
    <cellStyle name="Comma 69" xfId="1993"/>
    <cellStyle name="Comma 69 2" xfId="7546"/>
    <cellStyle name="Comma 69 2 2" xfId="8110"/>
    <cellStyle name="Comma 69 3" xfId="8384"/>
    <cellStyle name="Comma 69 4" xfId="7853"/>
    <cellStyle name="Comma 7" xfId="1994"/>
    <cellStyle name="Comma 7 2" xfId="1995"/>
    <cellStyle name="Comma 7 2 2" xfId="1996"/>
    <cellStyle name="Comma 7 2 2 2" xfId="1997"/>
    <cellStyle name="Comma 7 2 2 2 2" xfId="7550"/>
    <cellStyle name="Comma 7 2 2 2 2 2" xfId="8114"/>
    <cellStyle name="Comma 7 2 2 2 3" xfId="8322"/>
    <cellStyle name="Comma 7 2 2 2 4" xfId="7857"/>
    <cellStyle name="Comma 7 2 2 3" xfId="7549"/>
    <cellStyle name="Comma 7 2 2 3 2" xfId="8113"/>
    <cellStyle name="Comma 7 2 2 4" xfId="8227"/>
    <cellStyle name="Comma 7 2 2 5" xfId="7856"/>
    <cellStyle name="Comma 7 2 3" xfId="1998"/>
    <cellStyle name="Comma 7 2 3 2" xfId="7551"/>
    <cellStyle name="Comma 7 2 3 2 2" xfId="8115"/>
    <cellStyle name="Comma 7 2 3 3" xfId="8321"/>
    <cellStyle name="Comma 7 2 3 4" xfId="7858"/>
    <cellStyle name="Comma 7 2 4" xfId="7548"/>
    <cellStyle name="Comma 7 2 4 2" xfId="8112"/>
    <cellStyle name="Comma 7 2 5" xfId="8226"/>
    <cellStyle name="Comma 7 2 6" xfId="7855"/>
    <cellStyle name="Comma 7 3" xfId="1999"/>
    <cellStyle name="Comma 7 3 2" xfId="2000"/>
    <cellStyle name="Comma 7 3 2 2" xfId="7553"/>
    <cellStyle name="Comma 7 3 2 2 2" xfId="8117"/>
    <cellStyle name="Comma 7 3 2 3" xfId="8323"/>
    <cellStyle name="Comma 7 3 2 4" xfId="7860"/>
    <cellStyle name="Comma 7 3 3" xfId="7552"/>
    <cellStyle name="Comma 7 3 3 2" xfId="8116"/>
    <cellStyle name="Comma 7 3 4" xfId="8228"/>
    <cellStyle name="Comma 7 3 5" xfId="7859"/>
    <cellStyle name="Comma 7 4" xfId="2001"/>
    <cellStyle name="Comma 7 4 2" xfId="2002"/>
    <cellStyle name="Comma 7 4 2 2" xfId="7555"/>
    <cellStyle name="Comma 7 4 2 2 2" xfId="8119"/>
    <cellStyle name="Comma 7 4 2 3" xfId="8324"/>
    <cellStyle name="Comma 7 4 2 4" xfId="7862"/>
    <cellStyle name="Comma 7 4 3" xfId="7554"/>
    <cellStyle name="Comma 7 4 3 2" xfId="8118"/>
    <cellStyle name="Comma 7 4 4" xfId="8229"/>
    <cellStyle name="Comma 7 4 5" xfId="7861"/>
    <cellStyle name="Comma 7 5" xfId="2003"/>
    <cellStyle name="Comma 7 5 2" xfId="7556"/>
    <cellStyle name="Comma 7 5 2 2" xfId="8120"/>
    <cellStyle name="Comma 7 5 3" xfId="8320"/>
    <cellStyle name="Comma 7 5 4" xfId="7863"/>
    <cellStyle name="Comma 7 6" xfId="7547"/>
    <cellStyle name="Comma 7 6 2" xfId="8111"/>
    <cellStyle name="Comma 7 7" xfId="8225"/>
    <cellStyle name="Comma 7 8" xfId="7854"/>
    <cellStyle name="Comma 70" xfId="2004"/>
    <cellStyle name="Comma 70 2" xfId="7557"/>
    <cellStyle name="Comma 70 2 2" xfId="8121"/>
    <cellStyle name="Comma 70 3" xfId="8386"/>
    <cellStyle name="Comma 70 4" xfId="7864"/>
    <cellStyle name="Comma 71" xfId="2005"/>
    <cellStyle name="Comma 71 2" xfId="7558"/>
    <cellStyle name="Comma 71 2 2" xfId="8122"/>
    <cellStyle name="Comma 71 3" xfId="8383"/>
    <cellStyle name="Comma 71 4" xfId="7865"/>
    <cellStyle name="Comma 72" xfId="2006"/>
    <cellStyle name="Comma 72 2" xfId="7559"/>
    <cellStyle name="Comma 72 2 2" xfId="8123"/>
    <cellStyle name="Comma 72 3" xfId="8385"/>
    <cellStyle name="Comma 72 4" xfId="7866"/>
    <cellStyle name="Comma 73" xfId="2007"/>
    <cellStyle name="Comma 73 2" xfId="7560"/>
    <cellStyle name="Comma 73 2 2" xfId="8124"/>
    <cellStyle name="Comma 73 3" xfId="8394"/>
    <cellStyle name="Comma 73 4" xfId="7867"/>
    <cellStyle name="Comma 74" xfId="2008"/>
    <cellStyle name="Comma 74 2" xfId="7561"/>
    <cellStyle name="Comma 74 2 2" xfId="8125"/>
    <cellStyle name="Comma 74 3" xfId="8393"/>
    <cellStyle name="Comma 74 4" xfId="7868"/>
    <cellStyle name="Comma 75" xfId="2009"/>
    <cellStyle name="Comma 75 2" xfId="7562"/>
    <cellStyle name="Comma 75 2 2" xfId="8126"/>
    <cellStyle name="Comma 75 3" xfId="8395"/>
    <cellStyle name="Comma 75 4" xfId="7869"/>
    <cellStyle name="Comma 76" xfId="2010"/>
    <cellStyle name="Comma 76 2" xfId="7563"/>
    <cellStyle name="Comma 76 2 2" xfId="8127"/>
    <cellStyle name="Comma 76 3" xfId="8401"/>
    <cellStyle name="Comma 76 4" xfId="7870"/>
    <cellStyle name="Comma 77" xfId="2011"/>
    <cellStyle name="Comma 77 2" xfId="7564"/>
    <cellStyle name="Comma 77 2 2" xfId="8128"/>
    <cellStyle name="Comma 77 3" xfId="8405"/>
    <cellStyle name="Comma 77 4" xfId="7871"/>
    <cellStyle name="Comma 78" xfId="2012"/>
    <cellStyle name="Comma 78 2" xfId="7565"/>
    <cellStyle name="Comma 78 2 2" xfId="8129"/>
    <cellStyle name="Comma 78 3" xfId="8340"/>
    <cellStyle name="Comma 78 4" xfId="7872"/>
    <cellStyle name="Comma 79" xfId="2013"/>
    <cellStyle name="Comma 79 2" xfId="7566"/>
    <cellStyle name="Comma 79 2 2" xfId="8130"/>
    <cellStyle name="Comma 79 3" xfId="8397"/>
    <cellStyle name="Comma 79 4" xfId="7873"/>
    <cellStyle name="Comma 8" xfId="2014"/>
    <cellStyle name="Comma 8 2" xfId="2015"/>
    <cellStyle name="Comma 8 2 2" xfId="2016"/>
    <cellStyle name="Comma 8 2 2 2" xfId="2017"/>
    <cellStyle name="Comma 8 2 2 2 2" xfId="7570"/>
    <cellStyle name="Comma 8 2 2 2 2 2" xfId="8134"/>
    <cellStyle name="Comma 8 2 2 2 3" xfId="8327"/>
    <cellStyle name="Comma 8 2 2 2 4" xfId="7877"/>
    <cellStyle name="Comma 8 2 2 3" xfId="7569"/>
    <cellStyle name="Comma 8 2 2 3 2" xfId="8133"/>
    <cellStyle name="Comma 8 2 2 4" xfId="8232"/>
    <cellStyle name="Comma 8 2 2 5" xfId="7876"/>
    <cellStyle name="Comma 8 2 3" xfId="2018"/>
    <cellStyle name="Comma 8 2 3 2" xfId="7571"/>
    <cellStyle name="Comma 8 2 3 2 2" xfId="8135"/>
    <cellStyle name="Comma 8 2 3 3" xfId="8326"/>
    <cellStyle name="Comma 8 2 3 4" xfId="7878"/>
    <cellStyle name="Comma 8 2 4" xfId="7568"/>
    <cellStyle name="Comma 8 2 4 2" xfId="8132"/>
    <cellStyle name="Comma 8 2 5" xfId="8231"/>
    <cellStyle name="Comma 8 2 6" xfId="7875"/>
    <cellStyle name="Comma 8 3" xfId="2019"/>
    <cellStyle name="Comma 8 3 2" xfId="2020"/>
    <cellStyle name="Comma 8 3 2 2" xfId="7573"/>
    <cellStyle name="Comma 8 3 2 2 2" xfId="8137"/>
    <cellStyle name="Comma 8 3 2 3" xfId="8328"/>
    <cellStyle name="Comma 8 3 2 4" xfId="7880"/>
    <cellStyle name="Comma 8 3 3" xfId="7572"/>
    <cellStyle name="Comma 8 3 3 2" xfId="8136"/>
    <cellStyle name="Comma 8 3 4" xfId="8233"/>
    <cellStyle name="Comma 8 3 5" xfId="7879"/>
    <cellStyle name="Comma 8 4" xfId="2021"/>
    <cellStyle name="Comma 8 4 2" xfId="2022"/>
    <cellStyle name="Comma 8 4 2 2" xfId="7575"/>
    <cellStyle name="Comma 8 4 2 2 2" xfId="8139"/>
    <cellStyle name="Comma 8 4 2 3" xfId="8329"/>
    <cellStyle name="Comma 8 4 2 4" xfId="7882"/>
    <cellStyle name="Comma 8 4 3" xfId="7574"/>
    <cellStyle name="Comma 8 4 3 2" xfId="8138"/>
    <cellStyle name="Comma 8 4 4" xfId="8234"/>
    <cellStyle name="Comma 8 4 5" xfId="7881"/>
    <cellStyle name="Comma 8 5" xfId="2023"/>
    <cellStyle name="Comma 8 5 2" xfId="7576"/>
    <cellStyle name="Comma 8 5 2 2" xfId="8140"/>
    <cellStyle name="Comma 8 5 3" xfId="8325"/>
    <cellStyle name="Comma 8 5 4" xfId="7883"/>
    <cellStyle name="Comma 8 6" xfId="7567"/>
    <cellStyle name="Comma 8 6 2" xfId="8131"/>
    <cellStyle name="Comma 8 7" xfId="8230"/>
    <cellStyle name="Comma 8 8" xfId="7874"/>
    <cellStyle name="Comma 80" xfId="2024"/>
    <cellStyle name="Comma 80 2" xfId="7577"/>
    <cellStyle name="Comma 80 2 2" xfId="8141"/>
    <cellStyle name="Comma 80 3" xfId="8391"/>
    <cellStyle name="Comma 80 4" xfId="7884"/>
    <cellStyle name="Comma 81" xfId="2025"/>
    <cellStyle name="Comma 81 2" xfId="7578"/>
    <cellStyle name="Comma 81 2 2" xfId="8142"/>
    <cellStyle name="Comma 81 3" xfId="8390"/>
    <cellStyle name="Comma 81 4" xfId="7885"/>
    <cellStyle name="Comma 82" xfId="2026"/>
    <cellStyle name="Comma 82 2" xfId="7579"/>
    <cellStyle name="Comma 82 2 2" xfId="8143"/>
    <cellStyle name="Comma 82 3" xfId="8400"/>
    <cellStyle name="Comma 82 4" xfId="7886"/>
    <cellStyle name="Comma 83" xfId="2027"/>
    <cellStyle name="Comma 83 2" xfId="7580"/>
    <cellStyle name="Comma 83 2 2" xfId="8144"/>
    <cellStyle name="Comma 83 3" xfId="8402"/>
    <cellStyle name="Comma 83 4" xfId="7887"/>
    <cellStyle name="Comma 84" xfId="2028"/>
    <cellStyle name="Comma 84 2" xfId="7581"/>
    <cellStyle name="Comma 84 2 2" xfId="8145"/>
    <cellStyle name="Comma 84 3" xfId="8398"/>
    <cellStyle name="Comma 84 4" xfId="7888"/>
    <cellStyle name="Comma 85" xfId="2029"/>
    <cellStyle name="Comma 85 2" xfId="7582"/>
    <cellStyle name="Comma 85 2 2" xfId="8146"/>
    <cellStyle name="Comma 85 3" xfId="8404"/>
    <cellStyle name="Comma 85 4" xfId="7889"/>
    <cellStyle name="Comma 86" xfId="2030"/>
    <cellStyle name="Comma 86 2" xfId="7583"/>
    <cellStyle name="Comma 86 2 2" xfId="8147"/>
    <cellStyle name="Comma 86 3" xfId="8406"/>
    <cellStyle name="Comma 86 4" xfId="7890"/>
    <cellStyle name="Comma 87" xfId="2031"/>
    <cellStyle name="Comma 87 2" xfId="7584"/>
    <cellStyle name="Comma 87 2 2" xfId="8148"/>
    <cellStyle name="Comma 87 3" xfId="8403"/>
    <cellStyle name="Comma 87 4" xfId="7891"/>
    <cellStyle name="Comma 88" xfId="2032"/>
    <cellStyle name="Comma 88 2" xfId="7585"/>
    <cellStyle name="Comma 88 2 2" xfId="8149"/>
    <cellStyle name="Comma 88 3" xfId="8392"/>
    <cellStyle name="Comma 88 4" xfId="7892"/>
    <cellStyle name="Comma 89" xfId="2033"/>
    <cellStyle name="Comma 89 2" xfId="7586"/>
    <cellStyle name="Comma 89 2 2" xfId="8150"/>
    <cellStyle name="Comma 89 3" xfId="8396"/>
    <cellStyle name="Comma 89 4" xfId="7893"/>
    <cellStyle name="Comma 9" xfId="2034"/>
    <cellStyle name="Comma 9 2" xfId="2035"/>
    <cellStyle name="Comma 9 2 2" xfId="2036"/>
    <cellStyle name="Comma 9 2 2 2" xfId="2037"/>
    <cellStyle name="Comma 9 2 2 2 2" xfId="7590"/>
    <cellStyle name="Comma 9 2 2 2 2 2" xfId="8154"/>
    <cellStyle name="Comma 9 2 2 2 3" xfId="8332"/>
    <cellStyle name="Comma 9 2 2 2 4" xfId="7897"/>
    <cellStyle name="Comma 9 2 2 3" xfId="7589"/>
    <cellStyle name="Comma 9 2 2 3 2" xfId="8153"/>
    <cellStyle name="Comma 9 2 2 4" xfId="8237"/>
    <cellStyle name="Comma 9 2 2 5" xfId="7896"/>
    <cellStyle name="Comma 9 2 3" xfId="2038"/>
    <cellStyle name="Comma 9 2 3 2" xfId="7591"/>
    <cellStyle name="Comma 9 2 3 2 2" xfId="8155"/>
    <cellStyle name="Comma 9 2 3 3" xfId="8331"/>
    <cellStyle name="Comma 9 2 3 4" xfId="7898"/>
    <cellStyle name="Comma 9 2 4" xfId="7588"/>
    <cellStyle name="Comma 9 2 4 2" xfId="8152"/>
    <cellStyle name="Comma 9 2 5" xfId="8236"/>
    <cellStyle name="Comma 9 2 6" xfId="7895"/>
    <cellStyle name="Comma 9 3" xfId="2039"/>
    <cellStyle name="Comma 9 3 2" xfId="2040"/>
    <cellStyle name="Comma 9 3 2 2" xfId="7593"/>
    <cellStyle name="Comma 9 3 2 2 2" xfId="8157"/>
    <cellStyle name="Comma 9 3 2 3" xfId="8333"/>
    <cellStyle name="Comma 9 3 2 4" xfId="7900"/>
    <cellStyle name="Comma 9 3 3" xfId="7592"/>
    <cellStyle name="Comma 9 3 3 2" xfId="8156"/>
    <cellStyle name="Comma 9 3 4" xfId="8238"/>
    <cellStyle name="Comma 9 3 5" xfId="7899"/>
    <cellStyle name="Comma 9 4" xfId="2041"/>
    <cellStyle name="Comma 9 4 2" xfId="2042"/>
    <cellStyle name="Comma 9 4 2 2" xfId="7595"/>
    <cellStyle name="Comma 9 4 2 2 2" xfId="8159"/>
    <cellStyle name="Comma 9 4 2 3" xfId="8334"/>
    <cellStyle name="Comma 9 4 2 4" xfId="7902"/>
    <cellStyle name="Comma 9 4 3" xfId="7594"/>
    <cellStyle name="Comma 9 4 3 2" xfId="8158"/>
    <cellStyle name="Comma 9 4 4" xfId="8239"/>
    <cellStyle name="Comma 9 4 5" xfId="7901"/>
    <cellStyle name="Comma 9 5" xfId="2043"/>
    <cellStyle name="Comma 9 5 2" xfId="7596"/>
    <cellStyle name="Comma 9 5 2 2" xfId="8160"/>
    <cellStyle name="Comma 9 5 3" xfId="8330"/>
    <cellStyle name="Comma 9 5 4" xfId="7903"/>
    <cellStyle name="Comma 9 6" xfId="7587"/>
    <cellStyle name="Comma 9 6 2" xfId="8151"/>
    <cellStyle name="Comma 9 7" xfId="8235"/>
    <cellStyle name="Comma 9 8" xfId="7894"/>
    <cellStyle name="Comma 90" xfId="2044"/>
    <cellStyle name="Comma 90 2" xfId="7597"/>
    <cellStyle name="Comma 90 2 2" xfId="8161"/>
    <cellStyle name="Comma 90 3" xfId="8342"/>
    <cellStyle name="Comma 90 4" xfId="7904"/>
    <cellStyle name="Comma 91" xfId="2045"/>
    <cellStyle name="Comma 91 2" xfId="7598"/>
    <cellStyle name="Comma 91 2 2" xfId="8162"/>
    <cellStyle name="Comma 91 3" xfId="8399"/>
    <cellStyle name="Comma 91 4" xfId="7905"/>
    <cellStyle name="Comma 92" xfId="2046"/>
    <cellStyle name="Comma 92 2" xfId="7599"/>
    <cellStyle name="Comma 92 2 2" xfId="8163"/>
    <cellStyle name="Comma 92 3" xfId="8430"/>
    <cellStyle name="Comma 92 4" xfId="7906"/>
    <cellStyle name="Comma 93" xfId="2047"/>
    <cellStyle name="Comma 93 2" xfId="7600"/>
    <cellStyle name="Comma 93 2 2" xfId="8164"/>
    <cellStyle name="Comma 93 3" xfId="8407"/>
    <cellStyle name="Comma 93 4" xfId="7907"/>
    <cellStyle name="Comma 94" xfId="2048"/>
    <cellStyle name="Comma 94 2" xfId="7601"/>
    <cellStyle name="Comma 94 2 2" xfId="8165"/>
    <cellStyle name="Comma 94 3" xfId="8419"/>
    <cellStyle name="Comma 94 4" xfId="7908"/>
    <cellStyle name="Comma 95" xfId="2049"/>
    <cellStyle name="Comma 95 2" xfId="7602"/>
    <cellStyle name="Comma 95 2 2" xfId="8166"/>
    <cellStyle name="Comma 95 3" xfId="8416"/>
    <cellStyle name="Comma 95 4" xfId="7909"/>
    <cellStyle name="Comma 96" xfId="2050"/>
    <cellStyle name="Comma 96 2" xfId="7603"/>
    <cellStyle name="Comma 96 2 2" xfId="8167"/>
    <cellStyle name="Comma 96 3" xfId="8417"/>
    <cellStyle name="Comma 96 4" xfId="7910"/>
    <cellStyle name="Comma 97" xfId="2051"/>
    <cellStyle name="Comma 97 2" xfId="7604"/>
    <cellStyle name="Comma 97 2 2" xfId="8168"/>
    <cellStyle name="Comma 97 3" xfId="8429"/>
    <cellStyle name="Comma 97 4" xfId="7911"/>
    <cellStyle name="Comma 98" xfId="2052"/>
    <cellStyle name="Comma 98 2" xfId="7605"/>
    <cellStyle name="Comma 98 2 2" xfId="8169"/>
    <cellStyle name="Comma 98 3" xfId="8425"/>
    <cellStyle name="Comma 98 4" xfId="7912"/>
    <cellStyle name="Comma 99" xfId="2053"/>
    <cellStyle name="Comma 99 2" xfId="7606"/>
    <cellStyle name="Comma 99 2 2" xfId="8170"/>
    <cellStyle name="Comma 99 3" xfId="8410"/>
    <cellStyle name="Comma 99 4" xfId="7913"/>
    <cellStyle name="COMMENTS" xfId="2054"/>
    <cellStyle name="Currency 2" xfId="2055"/>
    <cellStyle name="Currency 2 2" xfId="2056"/>
    <cellStyle name="Currency 2 2 2" xfId="7608"/>
    <cellStyle name="Currency 2 2 2 2" xfId="8172"/>
    <cellStyle name="Currency 2 2 3" xfId="8335"/>
    <cellStyle name="Currency 2 2 4" xfId="7915"/>
    <cellStyle name="Currency 2 3" xfId="7607"/>
    <cellStyle name="Currency 2 3 2" xfId="8171"/>
    <cellStyle name="Currency 2 4" xfId="8240"/>
    <cellStyle name="Currency 2 5" xfId="7914"/>
    <cellStyle name="Currency 3" xfId="2057"/>
    <cellStyle name="Currency 3 2" xfId="2058"/>
    <cellStyle name="Currency 3 2 2" xfId="7610"/>
    <cellStyle name="Currency 3 2 2 2" xfId="8174"/>
    <cellStyle name="Currency 3 2 3" xfId="8336"/>
    <cellStyle name="Currency 3 2 4" xfId="7917"/>
    <cellStyle name="Currency 3 3" xfId="7609"/>
    <cellStyle name="Currency 3 3 2" xfId="8173"/>
    <cellStyle name="Currency 3 4" xfId="8241"/>
    <cellStyle name="Currency 3 5" xfId="7916"/>
    <cellStyle name="Currency 4" xfId="2059"/>
    <cellStyle name="Currency 4 2" xfId="2060"/>
    <cellStyle name="Currency 4 2 2" xfId="7612"/>
    <cellStyle name="Currency 4 2 2 2" xfId="8176"/>
    <cellStyle name="Currency 4 2 3" xfId="8337"/>
    <cellStyle name="Currency 4 2 4" xfId="7919"/>
    <cellStyle name="Currency 4 3" xfId="7611"/>
    <cellStyle name="Currency 4 3 2" xfId="8175"/>
    <cellStyle name="Currency 4 4" xfId="8242"/>
    <cellStyle name="Currency 4 5" xfId="7918"/>
    <cellStyle name="Currency 5" xfId="2061"/>
    <cellStyle name="Currency 5 2" xfId="2062"/>
    <cellStyle name="Currency 5 2 2" xfId="7614"/>
    <cellStyle name="Currency 5 2 2 2" xfId="8178"/>
    <cellStyle name="Currency 5 2 3" xfId="8338"/>
    <cellStyle name="Currency 5 2 4" xfId="7921"/>
    <cellStyle name="Currency 5 3" xfId="7613"/>
    <cellStyle name="Currency 5 3 2" xfId="8177"/>
    <cellStyle name="Currency 5 4" xfId="8243"/>
    <cellStyle name="Currency 5 5" xfId="7920"/>
    <cellStyle name="Currency 6" xfId="2063"/>
    <cellStyle name="Currency 6 2" xfId="2064"/>
    <cellStyle name="Currency 6 2 2" xfId="7616"/>
    <cellStyle name="Currency 6 2 2 2" xfId="8180"/>
    <cellStyle name="Currency 6 2 3" xfId="8339"/>
    <cellStyle name="Currency 6 2 4" xfId="7923"/>
    <cellStyle name="Currency 6 3" xfId="7615"/>
    <cellStyle name="Currency 6 3 2" xfId="8179"/>
    <cellStyle name="Currency 6 4" xfId="8244"/>
    <cellStyle name="Currency 6 5" xfId="7922"/>
    <cellStyle name="Currency 7" xfId="2065"/>
    <cellStyle name="dash" xfId="2066"/>
    <cellStyle name="Data" xfId="2067"/>
    <cellStyle name="Data2" xfId="2068"/>
    <cellStyle name="Data5" xfId="2069"/>
    <cellStyle name="date" xfId="2070"/>
    <cellStyle name="date 2" xfId="2071"/>
    <cellStyle name="Daymethod" xfId="2072"/>
    <cellStyle name="days" xfId="2073"/>
    <cellStyle name="Dialog" xfId="2074"/>
    <cellStyle name="Explanatory Text" xfId="7638" builtinId="53" customBuiltin="1"/>
    <cellStyle name="Explanatory Text 2" xfId="2075"/>
    <cellStyle name="Explanatory Text 3" xfId="2076"/>
    <cellStyle name="FcBackground" xfId="2077"/>
    <cellStyle name="FcBluesFuts" xfId="2078"/>
    <cellStyle name="FcCalculated" xfId="2079"/>
    <cellStyle name="FcCalculated 2" xfId="2080"/>
    <cellStyle name="FcCalculated 3" xfId="2081"/>
    <cellStyle name="FcCalculated_apollo_curves" xfId="2082"/>
    <cellStyle name="FcCalculated2" xfId="2083"/>
    <cellStyle name="FcExtData" xfId="2084"/>
    <cellStyle name="FcFrontFut" xfId="2085"/>
    <cellStyle name="FcFrontRed" xfId="2086"/>
    <cellStyle name="FcGoldFuts" xfId="2087"/>
    <cellStyle name="FcGreenFuts" xfId="2088"/>
    <cellStyle name="FcInput" xfId="2089"/>
    <cellStyle name="FcLabel1" xfId="2090"/>
    <cellStyle name="FcLabel2" xfId="2091"/>
    <cellStyle name="FcNumeric" xfId="2092"/>
    <cellStyle name="FcNumeric 2" xfId="2093"/>
    <cellStyle name="FcRealTime" xfId="2094"/>
    <cellStyle name="FcRealTime 2" xfId="2095"/>
    <cellStyle name="FcRealTime 3" xfId="2096"/>
    <cellStyle name="FcRealTime_apollo_curves" xfId="2097"/>
    <cellStyle name="FcRedFuts" xfId="2098"/>
    <cellStyle name="FcSubHeading" xfId="2099"/>
    <cellStyle name="FcTechHackers" xfId="2100"/>
    <cellStyle name="FcTopLine" xfId="2101"/>
    <cellStyle name="footnote" xfId="2102"/>
    <cellStyle name="footnote2" xfId="2103"/>
    <cellStyle name="GeneralText" xfId="2104"/>
    <cellStyle name="Good" xfId="7628" builtinId="26" customBuiltin="1"/>
    <cellStyle name="Good 2" xfId="2105"/>
    <cellStyle name="Good 2 2" xfId="2106"/>
    <cellStyle name="Good 3" xfId="2107"/>
    <cellStyle name="Good 4" xfId="2108"/>
    <cellStyle name="Header" xfId="2109"/>
    <cellStyle name="Header 2" xfId="2110"/>
    <cellStyle name="Heading 1" xfId="7624" builtinId="16" customBuiltin="1"/>
    <cellStyle name="Heading 1 2" xfId="2111"/>
    <cellStyle name="Heading 1 2 2" xfId="2112"/>
    <cellStyle name="Heading 1 3" xfId="2113"/>
    <cellStyle name="Heading 1 3 2" xfId="2114"/>
    <cellStyle name="Heading 1 4" xfId="2115"/>
    <cellStyle name="Heading 1 5" xfId="2116"/>
    <cellStyle name="Heading 1 6" xfId="2117"/>
    <cellStyle name="Heading 2" xfId="7625" builtinId="17" customBuiltin="1"/>
    <cellStyle name="Heading 2 2" xfId="2118"/>
    <cellStyle name="Heading 2 2 2" xfId="2119"/>
    <cellStyle name="Heading 2 3" xfId="2120"/>
    <cellStyle name="Heading 2 4" xfId="2121"/>
    <cellStyle name="Heading 2 5" xfId="2122"/>
    <cellStyle name="Heading 2 6" xfId="2123"/>
    <cellStyle name="Heading 3" xfId="7626" builtinId="18" customBuiltin="1"/>
    <cellStyle name="Heading 3 2" xfId="2124"/>
    <cellStyle name="Heading 3 2 2" xfId="2125"/>
    <cellStyle name="Heading 3 3" xfId="2126"/>
    <cellStyle name="Heading 3 3 2" xfId="2127"/>
    <cellStyle name="Heading 3 4" xfId="2128"/>
    <cellStyle name="Heading 3 5" xfId="2129"/>
    <cellStyle name="Heading 3 6" xfId="2130"/>
    <cellStyle name="Heading 4" xfId="7627" builtinId="19" customBuiltin="1"/>
    <cellStyle name="Heading 4 2" xfId="2131"/>
    <cellStyle name="Heading 4 2 2" xfId="2132"/>
    <cellStyle name="Heading 4 3" xfId="2133"/>
    <cellStyle name="Heading 4 4" xfId="2134"/>
    <cellStyle name="Heading 4 5" xfId="2135"/>
    <cellStyle name="Hidden" xfId="2136"/>
    <cellStyle name="Hyperlink 2" xfId="2137"/>
    <cellStyle name="Hyperlink 2 2" xfId="2138"/>
    <cellStyle name="Hyperlink 2_Instructions and Positions" xfId="2139"/>
    <cellStyle name="implemented" xfId="2140"/>
    <cellStyle name="Input" xfId="7631" builtinId="20" customBuiltin="1"/>
    <cellStyle name="Input 2" xfId="2141"/>
    <cellStyle name="Input 2 2" xfId="2142"/>
    <cellStyle name="Input 2 2 2" xfId="2143"/>
    <cellStyle name="Input 2 2 2 2" xfId="2144"/>
    <cellStyle name="Input 2 2 2 2 2" xfId="2145"/>
    <cellStyle name="Input 2 2 2 2 2 2" xfId="2146"/>
    <cellStyle name="Input 2 2 2 2 2 2 2" xfId="2147"/>
    <cellStyle name="Input 2 2 2 2 2 2 2 2" xfId="2148"/>
    <cellStyle name="Input 2 2 2 2 2 2 2 2 2" xfId="2149"/>
    <cellStyle name="Input 2 2 2 2 2 2 2 3" xfId="2150"/>
    <cellStyle name="Input 2 2 2 2 2 2 3" xfId="2151"/>
    <cellStyle name="Input 2 2 2 2 2 2 3 2" xfId="2152"/>
    <cellStyle name="Input 2 2 2 2 2 2 4" xfId="2153"/>
    <cellStyle name="Input 2 2 2 2 2 3" xfId="2154"/>
    <cellStyle name="Input 2 2 2 2 2 3 2" xfId="2155"/>
    <cellStyle name="Input 2 2 2 2 2 3 2 2" xfId="2156"/>
    <cellStyle name="Input 2 2 2 2 2 3 3" xfId="2157"/>
    <cellStyle name="Input 2 2 2 2 2 3 4" xfId="2158"/>
    <cellStyle name="Input 2 2 2 2 2 4" xfId="2159"/>
    <cellStyle name="Input 2 2 2 2 2 4 2" xfId="2160"/>
    <cellStyle name="Input 2 2 2 2 2 4 2 2" xfId="2161"/>
    <cellStyle name="Input 2 2 2 2 2 4 3" xfId="2162"/>
    <cellStyle name="Input 2 2 2 2 2 5" xfId="2163"/>
    <cellStyle name="Input 2 2 2 2 2 5 2" xfId="2164"/>
    <cellStyle name="Input 2 2 2 2 2 6" xfId="2165"/>
    <cellStyle name="Input 2 2 2 2 3" xfId="2166"/>
    <cellStyle name="Input 2 2 2 2 3 2" xfId="2167"/>
    <cellStyle name="Input 2 2 2 2 3 2 2" xfId="2168"/>
    <cellStyle name="Input 2 2 2 2 3 2 2 2" xfId="2169"/>
    <cellStyle name="Input 2 2 2 2 3 2 2 2 2" xfId="2170"/>
    <cellStyle name="Input 2 2 2 2 3 2 2 3" xfId="2171"/>
    <cellStyle name="Input 2 2 2 2 3 2 3" xfId="2172"/>
    <cellStyle name="Input 2 2 2 2 3 2 3 2" xfId="2173"/>
    <cellStyle name="Input 2 2 2 2 3 2 4" xfId="2174"/>
    <cellStyle name="Input 2 2 2 2 3 3" xfId="2175"/>
    <cellStyle name="Input 2 2 2 2 3 3 2" xfId="2176"/>
    <cellStyle name="Input 2 2 2 2 3 3 2 2" xfId="2177"/>
    <cellStyle name="Input 2 2 2 2 3 3 3" xfId="2178"/>
    <cellStyle name="Input 2 2 2 2 3 3 4" xfId="2179"/>
    <cellStyle name="Input 2 2 2 2 3 4" xfId="2180"/>
    <cellStyle name="Input 2 2 2 2 3 4 2" xfId="2181"/>
    <cellStyle name="Input 2 2 2 2 3 4 2 2" xfId="2182"/>
    <cellStyle name="Input 2 2 2 2 3 4 3" xfId="2183"/>
    <cellStyle name="Input 2 2 2 2 3 5" xfId="2184"/>
    <cellStyle name="Input 2 2 2 2 3 5 2" xfId="2185"/>
    <cellStyle name="Input 2 2 2 2 3 6" xfId="2186"/>
    <cellStyle name="Input 2 2 2 2 4" xfId="2187"/>
    <cellStyle name="Input 2 2 2 2 4 2" xfId="2188"/>
    <cellStyle name="Input 2 2 2 2 4 2 2" xfId="2189"/>
    <cellStyle name="Input 2 2 2 2 4 2 2 2" xfId="2190"/>
    <cellStyle name="Input 2 2 2 2 4 2 2 2 2" xfId="2191"/>
    <cellStyle name="Input 2 2 2 2 4 2 2 3" xfId="2192"/>
    <cellStyle name="Input 2 2 2 2 4 2 3" xfId="2193"/>
    <cellStyle name="Input 2 2 2 2 4 2 3 2" xfId="2194"/>
    <cellStyle name="Input 2 2 2 2 4 2 4" xfId="2195"/>
    <cellStyle name="Input 2 2 2 2 4 3" xfId="2196"/>
    <cellStyle name="Input 2 2 2 2 4 3 2" xfId="2197"/>
    <cellStyle name="Input 2 2 2 2 4 3 2 2" xfId="2198"/>
    <cellStyle name="Input 2 2 2 2 4 3 3" xfId="2199"/>
    <cellStyle name="Input 2 2 2 2 4 3 4" xfId="2200"/>
    <cellStyle name="Input 2 2 2 2 4 4" xfId="2201"/>
    <cellStyle name="Input 2 2 2 2 4 4 2" xfId="2202"/>
    <cellStyle name="Input 2 2 2 2 4 4 2 2" xfId="2203"/>
    <cellStyle name="Input 2 2 2 2 4 4 3" xfId="2204"/>
    <cellStyle name="Input 2 2 2 2 4 5" xfId="2205"/>
    <cellStyle name="Input 2 2 2 2 4 5 2" xfId="2206"/>
    <cellStyle name="Input 2 2 2 2 4 6" xfId="2207"/>
    <cellStyle name="Input 2 2 2 2 5" xfId="2208"/>
    <cellStyle name="Input 2 2 2 2 5 2" xfId="2209"/>
    <cellStyle name="Input 2 2 2 3" xfId="2210"/>
    <cellStyle name="Input 2 2 2 3 2" xfId="2211"/>
    <cellStyle name="Input 2 2 2 3 2 2" xfId="2212"/>
    <cellStyle name="Input 2 2 2 3 2 2 2" xfId="2213"/>
    <cellStyle name="Input 2 2 2 3 2 2 2 2" xfId="2214"/>
    <cellStyle name="Input 2 2 2 3 2 2 3" xfId="2215"/>
    <cellStyle name="Input 2 2 2 3 2 3" xfId="2216"/>
    <cellStyle name="Input 2 2 2 3 2 3 2" xfId="2217"/>
    <cellStyle name="Input 2 2 2 3 2 4" xfId="2218"/>
    <cellStyle name="Input 2 2 2 3 3" xfId="2219"/>
    <cellStyle name="Input 2 2 2 3 3 2" xfId="2220"/>
    <cellStyle name="Input 2 2 2 3 3 2 2" xfId="2221"/>
    <cellStyle name="Input 2 2 2 3 3 3" xfId="2222"/>
    <cellStyle name="Input 2 2 2 3 3 4" xfId="2223"/>
    <cellStyle name="Input 2 2 2 3 4" xfId="2224"/>
    <cellStyle name="Input 2 2 2 3 4 2" xfId="2225"/>
    <cellStyle name="Input 2 2 2 3 4 2 2" xfId="2226"/>
    <cellStyle name="Input 2 2 2 3 4 3" xfId="2227"/>
    <cellStyle name="Input 2 2 2 3 5" xfId="2228"/>
    <cellStyle name="Input 2 2 2 3 5 2" xfId="2229"/>
    <cellStyle name="Input 2 2 2 3 6" xfId="2230"/>
    <cellStyle name="Input 2 2 2 4" xfId="2231"/>
    <cellStyle name="Input 2 2 2 4 2" xfId="2232"/>
    <cellStyle name="Input 2 2 2 4 2 2" xfId="2233"/>
    <cellStyle name="Input 2 2 2 4 2 2 2" xfId="2234"/>
    <cellStyle name="Input 2 2 2 4 2 2 2 2" xfId="2235"/>
    <cellStyle name="Input 2 2 2 4 2 2 3" xfId="2236"/>
    <cellStyle name="Input 2 2 2 4 2 3" xfId="2237"/>
    <cellStyle name="Input 2 2 2 4 2 3 2" xfId="2238"/>
    <cellStyle name="Input 2 2 2 4 2 4" xfId="2239"/>
    <cellStyle name="Input 2 2 2 4 3" xfId="2240"/>
    <cellStyle name="Input 2 2 2 4 3 2" xfId="2241"/>
    <cellStyle name="Input 2 2 2 4 3 2 2" xfId="2242"/>
    <cellStyle name="Input 2 2 2 4 3 3" xfId="2243"/>
    <cellStyle name="Input 2 2 2 4 3 4" xfId="2244"/>
    <cellStyle name="Input 2 2 2 4 4" xfId="2245"/>
    <cellStyle name="Input 2 2 2 4 4 2" xfId="2246"/>
    <cellStyle name="Input 2 2 2 4 4 2 2" xfId="2247"/>
    <cellStyle name="Input 2 2 2 4 4 3" xfId="2248"/>
    <cellStyle name="Input 2 2 2 4 5" xfId="2249"/>
    <cellStyle name="Input 2 2 2 4 5 2" xfId="2250"/>
    <cellStyle name="Input 2 2 2 4 6" xfId="2251"/>
    <cellStyle name="Input 2 2 2 5" xfId="2252"/>
    <cellStyle name="Input 2 2 2 5 2" xfId="2253"/>
    <cellStyle name="Input 2 2 2 5 2 2" xfId="2254"/>
    <cellStyle name="Input 2 2 2 5 2 2 2" xfId="2255"/>
    <cellStyle name="Input 2 2 2 5 2 2 2 2" xfId="2256"/>
    <cellStyle name="Input 2 2 2 5 2 2 3" xfId="2257"/>
    <cellStyle name="Input 2 2 2 5 2 3" xfId="2258"/>
    <cellStyle name="Input 2 2 2 5 2 3 2" xfId="2259"/>
    <cellStyle name="Input 2 2 2 5 2 4" xfId="2260"/>
    <cellStyle name="Input 2 2 2 5 3" xfId="2261"/>
    <cellStyle name="Input 2 2 2 5 3 2" xfId="2262"/>
    <cellStyle name="Input 2 2 2 5 3 2 2" xfId="2263"/>
    <cellStyle name="Input 2 2 2 5 3 3" xfId="2264"/>
    <cellStyle name="Input 2 2 2 5 3 4" xfId="2265"/>
    <cellStyle name="Input 2 2 2 5 4" xfId="2266"/>
    <cellStyle name="Input 2 2 2 5 4 2" xfId="2267"/>
    <cellStyle name="Input 2 2 2 5 4 2 2" xfId="2268"/>
    <cellStyle name="Input 2 2 2 5 4 3" xfId="2269"/>
    <cellStyle name="Input 2 2 2 5 5" xfId="2270"/>
    <cellStyle name="Input 2 2 2 5 5 2" xfId="2271"/>
    <cellStyle name="Input 2 2 2 5 6" xfId="2272"/>
    <cellStyle name="Input 2 2 3" xfId="2273"/>
    <cellStyle name="Input 2 2 3 2" xfId="2274"/>
    <cellStyle name="Input 2 2 3 2 2" xfId="2275"/>
    <cellStyle name="Input 2 2 3 2 2 2" xfId="2276"/>
    <cellStyle name="Input 2 2 3 2 2 2 2" xfId="2277"/>
    <cellStyle name="Input 2 2 3 2 2 2 2 2" xfId="2278"/>
    <cellStyle name="Input 2 2 3 2 2 2 3" xfId="2279"/>
    <cellStyle name="Input 2 2 3 2 2 3" xfId="2280"/>
    <cellStyle name="Input 2 2 3 2 2 3 2" xfId="2281"/>
    <cellStyle name="Input 2 2 3 2 2 4" xfId="2282"/>
    <cellStyle name="Input 2 2 3 2 3" xfId="2283"/>
    <cellStyle name="Input 2 2 3 2 3 2" xfId="2284"/>
    <cellStyle name="Input 2 2 3 2 3 2 2" xfId="2285"/>
    <cellStyle name="Input 2 2 3 2 3 3" xfId="2286"/>
    <cellStyle name="Input 2 2 3 2 3 4" xfId="2287"/>
    <cellStyle name="Input 2 2 3 2 4" xfId="2288"/>
    <cellStyle name="Input 2 2 3 2 4 2" xfId="2289"/>
    <cellStyle name="Input 2 2 3 2 4 2 2" xfId="2290"/>
    <cellStyle name="Input 2 2 3 2 4 3" xfId="2291"/>
    <cellStyle name="Input 2 2 3 2 5" xfId="2292"/>
    <cellStyle name="Input 2 2 3 2 5 2" xfId="2293"/>
    <cellStyle name="Input 2 2 3 2 6" xfId="2294"/>
    <cellStyle name="Input 2 2 3 3" xfId="2295"/>
    <cellStyle name="Input 2 2 3 3 2" xfId="2296"/>
    <cellStyle name="Input 2 2 3 3 2 2" xfId="2297"/>
    <cellStyle name="Input 2 2 3 3 2 2 2" xfId="2298"/>
    <cellStyle name="Input 2 2 3 3 2 2 2 2" xfId="2299"/>
    <cellStyle name="Input 2 2 3 3 2 2 3" xfId="2300"/>
    <cellStyle name="Input 2 2 3 3 2 3" xfId="2301"/>
    <cellStyle name="Input 2 2 3 3 2 3 2" xfId="2302"/>
    <cellStyle name="Input 2 2 3 3 2 4" xfId="2303"/>
    <cellStyle name="Input 2 2 3 3 3" xfId="2304"/>
    <cellStyle name="Input 2 2 3 3 3 2" xfId="2305"/>
    <cellStyle name="Input 2 2 3 3 3 2 2" xfId="2306"/>
    <cellStyle name="Input 2 2 3 3 3 3" xfId="2307"/>
    <cellStyle name="Input 2 2 3 3 3 4" xfId="2308"/>
    <cellStyle name="Input 2 2 3 3 4" xfId="2309"/>
    <cellStyle name="Input 2 2 3 3 4 2" xfId="2310"/>
    <cellStyle name="Input 2 2 3 3 4 2 2" xfId="2311"/>
    <cellStyle name="Input 2 2 3 3 4 3" xfId="2312"/>
    <cellStyle name="Input 2 2 3 3 5" xfId="2313"/>
    <cellStyle name="Input 2 2 3 3 5 2" xfId="2314"/>
    <cellStyle name="Input 2 2 3 3 6" xfId="2315"/>
    <cellStyle name="Input 2 2 3 4" xfId="2316"/>
    <cellStyle name="Input 2 2 3 4 2" xfId="2317"/>
    <cellStyle name="Input 2 2 3 4 2 2" xfId="2318"/>
    <cellStyle name="Input 2 2 3 4 2 2 2" xfId="2319"/>
    <cellStyle name="Input 2 2 3 4 2 2 2 2" xfId="2320"/>
    <cellStyle name="Input 2 2 3 4 2 2 3" xfId="2321"/>
    <cellStyle name="Input 2 2 3 4 2 3" xfId="2322"/>
    <cellStyle name="Input 2 2 3 4 2 3 2" xfId="2323"/>
    <cellStyle name="Input 2 2 3 4 2 4" xfId="2324"/>
    <cellStyle name="Input 2 2 3 4 3" xfId="2325"/>
    <cellStyle name="Input 2 2 3 4 3 2" xfId="2326"/>
    <cellStyle name="Input 2 2 3 4 3 2 2" xfId="2327"/>
    <cellStyle name="Input 2 2 3 4 3 3" xfId="2328"/>
    <cellStyle name="Input 2 2 3 4 3 4" xfId="2329"/>
    <cellStyle name="Input 2 2 3 4 4" xfId="2330"/>
    <cellStyle name="Input 2 2 3 4 4 2" xfId="2331"/>
    <cellStyle name="Input 2 2 3 4 4 2 2" xfId="2332"/>
    <cellStyle name="Input 2 2 3 4 4 3" xfId="2333"/>
    <cellStyle name="Input 2 2 3 4 5" xfId="2334"/>
    <cellStyle name="Input 2 2 3 4 5 2" xfId="2335"/>
    <cellStyle name="Input 2 2 3 4 6" xfId="2336"/>
    <cellStyle name="Input 2 2 3 5" xfId="2337"/>
    <cellStyle name="Input 2 2 3 5 2" xfId="2338"/>
    <cellStyle name="Input 2 2 4" xfId="2339"/>
    <cellStyle name="Input 2 2 4 2" xfId="2340"/>
    <cellStyle name="Input 2 2 4 2 2" xfId="2341"/>
    <cellStyle name="Input 2 2 4 2 2 2" xfId="2342"/>
    <cellStyle name="Input 2 2 4 2 2 2 2" xfId="2343"/>
    <cellStyle name="Input 2 2 4 2 2 2 2 2" xfId="2344"/>
    <cellStyle name="Input 2 2 4 2 2 2 3" xfId="2345"/>
    <cellStyle name="Input 2 2 4 2 2 3" xfId="2346"/>
    <cellStyle name="Input 2 2 4 2 2 3 2" xfId="2347"/>
    <cellStyle name="Input 2 2 4 2 2 4" xfId="2348"/>
    <cellStyle name="Input 2 2 4 2 3" xfId="2349"/>
    <cellStyle name="Input 2 2 4 2 3 2" xfId="2350"/>
    <cellStyle name="Input 2 2 4 2 3 2 2" xfId="2351"/>
    <cellStyle name="Input 2 2 4 2 3 3" xfId="2352"/>
    <cellStyle name="Input 2 2 4 2 3 4" xfId="2353"/>
    <cellStyle name="Input 2 2 4 2 4" xfId="2354"/>
    <cellStyle name="Input 2 2 4 2 4 2" xfId="2355"/>
    <cellStyle name="Input 2 2 4 2 4 2 2" xfId="2356"/>
    <cellStyle name="Input 2 2 4 2 4 3" xfId="2357"/>
    <cellStyle name="Input 2 2 4 2 5" xfId="2358"/>
    <cellStyle name="Input 2 2 4 2 5 2" xfId="2359"/>
    <cellStyle name="Input 2 2 4 2 6" xfId="2360"/>
    <cellStyle name="Input 2 2 4 3" xfId="2361"/>
    <cellStyle name="Input 2 2 4 3 2" xfId="2362"/>
    <cellStyle name="Input 2 2 4 3 2 2" xfId="2363"/>
    <cellStyle name="Input 2 2 4 3 2 2 2" xfId="2364"/>
    <cellStyle name="Input 2 2 4 3 2 2 2 2" xfId="2365"/>
    <cellStyle name="Input 2 2 4 3 2 2 3" xfId="2366"/>
    <cellStyle name="Input 2 2 4 3 2 3" xfId="2367"/>
    <cellStyle name="Input 2 2 4 3 2 3 2" xfId="2368"/>
    <cellStyle name="Input 2 2 4 3 2 4" xfId="2369"/>
    <cellStyle name="Input 2 2 4 3 3" xfId="2370"/>
    <cellStyle name="Input 2 2 4 3 3 2" xfId="2371"/>
    <cellStyle name="Input 2 2 4 3 3 2 2" xfId="2372"/>
    <cellStyle name="Input 2 2 4 3 3 3" xfId="2373"/>
    <cellStyle name="Input 2 2 4 3 3 4" xfId="2374"/>
    <cellStyle name="Input 2 2 4 3 4" xfId="2375"/>
    <cellStyle name="Input 2 2 4 3 4 2" xfId="2376"/>
    <cellStyle name="Input 2 2 4 3 4 2 2" xfId="2377"/>
    <cellStyle name="Input 2 2 4 3 4 3" xfId="2378"/>
    <cellStyle name="Input 2 2 4 3 5" xfId="2379"/>
    <cellStyle name="Input 2 2 4 3 5 2" xfId="2380"/>
    <cellStyle name="Input 2 2 4 3 6" xfId="2381"/>
    <cellStyle name="Input 2 2 4 4" xfId="2382"/>
    <cellStyle name="Input 2 2 4 4 2" xfId="2383"/>
    <cellStyle name="Input 2 2 4 4 2 2" xfId="2384"/>
    <cellStyle name="Input 2 2 4 4 2 2 2" xfId="2385"/>
    <cellStyle name="Input 2 2 4 4 2 3" xfId="2386"/>
    <cellStyle name="Input 2 2 4 4 3" xfId="2387"/>
    <cellStyle name="Input 2 2 4 4 3 2" xfId="2388"/>
    <cellStyle name="Input 2 2 4 4 4" xfId="2389"/>
    <cellStyle name="Input 2 2 4 5" xfId="2390"/>
    <cellStyle name="Input 2 2 4 5 2" xfId="2391"/>
    <cellStyle name="Input 2 2 4 5 2 2" xfId="2392"/>
    <cellStyle name="Input 2 2 4 5 3" xfId="2393"/>
    <cellStyle name="Input 2 2 4 5 4" xfId="2394"/>
    <cellStyle name="Input 2 2 4 6" xfId="2395"/>
    <cellStyle name="Input 2 2 4 6 2" xfId="2396"/>
    <cellStyle name="Input 2 2 4 6 2 2" xfId="2397"/>
    <cellStyle name="Input 2 2 4 6 3" xfId="2398"/>
    <cellStyle name="Input 2 2 4 7" xfId="2399"/>
    <cellStyle name="Input 2 2 4 7 2" xfId="2400"/>
    <cellStyle name="Input 2 2 4 8" xfId="2401"/>
    <cellStyle name="Input 2 2 5" xfId="2402"/>
    <cellStyle name="Input 2 2 5 2" xfId="2403"/>
    <cellStyle name="Input 2 2 5 2 2" xfId="2404"/>
    <cellStyle name="Input 2 2 5 2 2 2" xfId="2405"/>
    <cellStyle name="Input 2 2 5 2 2 2 2" xfId="2406"/>
    <cellStyle name="Input 2 2 5 2 2 3" xfId="2407"/>
    <cellStyle name="Input 2 2 5 2 3" xfId="2408"/>
    <cellStyle name="Input 2 2 5 2 3 2" xfId="2409"/>
    <cellStyle name="Input 2 2 5 2 4" xfId="2410"/>
    <cellStyle name="Input 2 2 5 3" xfId="2411"/>
    <cellStyle name="Input 2 2 5 3 2" xfId="2412"/>
    <cellStyle name="Input 2 2 5 3 2 2" xfId="2413"/>
    <cellStyle name="Input 2 2 5 3 3" xfId="2414"/>
    <cellStyle name="Input 2 2 5 3 4" xfId="2415"/>
    <cellStyle name="Input 2 2 5 4" xfId="2416"/>
    <cellStyle name="Input 2 2 5 4 2" xfId="2417"/>
    <cellStyle name="Input 2 2 5 4 2 2" xfId="2418"/>
    <cellStyle name="Input 2 2 5 4 3" xfId="2419"/>
    <cellStyle name="Input 2 2 5 5" xfId="2420"/>
    <cellStyle name="Input 2 2 5 5 2" xfId="2421"/>
    <cellStyle name="Input 2 2 5 6" xfId="2422"/>
    <cellStyle name="Input 2 3" xfId="2423"/>
    <cellStyle name="Input 2 3 2" xfId="2424"/>
    <cellStyle name="Input 2 3 2 2" xfId="2425"/>
    <cellStyle name="Input 2 3 2 2 2" xfId="2426"/>
    <cellStyle name="Input 2 3 2 2 2 2" xfId="2427"/>
    <cellStyle name="Input 2 3 2 2 2 2 2" xfId="2428"/>
    <cellStyle name="Input 2 3 2 2 2 2 2 2" xfId="2429"/>
    <cellStyle name="Input 2 3 2 2 2 2 3" xfId="2430"/>
    <cellStyle name="Input 2 3 2 2 2 3" xfId="2431"/>
    <cellStyle name="Input 2 3 2 2 2 3 2" xfId="2432"/>
    <cellStyle name="Input 2 3 2 2 2 4" xfId="2433"/>
    <cellStyle name="Input 2 3 2 2 3" xfId="2434"/>
    <cellStyle name="Input 2 3 2 2 3 2" xfId="2435"/>
    <cellStyle name="Input 2 3 2 2 3 2 2" xfId="2436"/>
    <cellStyle name="Input 2 3 2 2 3 3" xfId="2437"/>
    <cellStyle name="Input 2 3 2 2 3 4" xfId="2438"/>
    <cellStyle name="Input 2 3 2 2 4" xfId="2439"/>
    <cellStyle name="Input 2 3 2 2 4 2" xfId="2440"/>
    <cellStyle name="Input 2 3 2 2 4 2 2" xfId="2441"/>
    <cellStyle name="Input 2 3 2 2 4 3" xfId="2442"/>
    <cellStyle name="Input 2 3 2 2 5" xfId="2443"/>
    <cellStyle name="Input 2 3 2 2 5 2" xfId="2444"/>
    <cellStyle name="Input 2 3 2 2 6" xfId="2445"/>
    <cellStyle name="Input 2 3 2 3" xfId="2446"/>
    <cellStyle name="Input 2 3 2 3 2" xfId="2447"/>
    <cellStyle name="Input 2 3 2 3 2 2" xfId="2448"/>
    <cellStyle name="Input 2 3 2 3 2 2 2" xfId="2449"/>
    <cellStyle name="Input 2 3 2 3 2 2 2 2" xfId="2450"/>
    <cellStyle name="Input 2 3 2 3 2 2 3" xfId="2451"/>
    <cellStyle name="Input 2 3 2 3 2 3" xfId="2452"/>
    <cellStyle name="Input 2 3 2 3 2 3 2" xfId="2453"/>
    <cellStyle name="Input 2 3 2 3 2 4" xfId="2454"/>
    <cellStyle name="Input 2 3 2 3 3" xfId="2455"/>
    <cellStyle name="Input 2 3 2 3 3 2" xfId="2456"/>
    <cellStyle name="Input 2 3 2 3 3 2 2" xfId="2457"/>
    <cellStyle name="Input 2 3 2 3 3 3" xfId="2458"/>
    <cellStyle name="Input 2 3 2 3 3 4" xfId="2459"/>
    <cellStyle name="Input 2 3 2 3 4" xfId="2460"/>
    <cellStyle name="Input 2 3 2 3 4 2" xfId="2461"/>
    <cellStyle name="Input 2 3 2 3 4 2 2" xfId="2462"/>
    <cellStyle name="Input 2 3 2 3 4 3" xfId="2463"/>
    <cellStyle name="Input 2 3 2 3 5" xfId="2464"/>
    <cellStyle name="Input 2 3 2 3 5 2" xfId="2465"/>
    <cellStyle name="Input 2 3 2 3 6" xfId="2466"/>
    <cellStyle name="Input 2 3 2 4" xfId="2467"/>
    <cellStyle name="Input 2 3 2 4 2" xfId="2468"/>
    <cellStyle name="Input 2 3 2 4 2 2" xfId="2469"/>
    <cellStyle name="Input 2 3 2 4 2 2 2" xfId="2470"/>
    <cellStyle name="Input 2 3 2 4 2 2 2 2" xfId="2471"/>
    <cellStyle name="Input 2 3 2 4 2 2 3" xfId="2472"/>
    <cellStyle name="Input 2 3 2 4 2 3" xfId="2473"/>
    <cellStyle name="Input 2 3 2 4 2 3 2" xfId="2474"/>
    <cellStyle name="Input 2 3 2 4 2 4" xfId="2475"/>
    <cellStyle name="Input 2 3 2 4 3" xfId="2476"/>
    <cellStyle name="Input 2 3 2 4 3 2" xfId="2477"/>
    <cellStyle name="Input 2 3 2 4 3 2 2" xfId="2478"/>
    <cellStyle name="Input 2 3 2 4 3 3" xfId="2479"/>
    <cellStyle name="Input 2 3 2 4 3 4" xfId="2480"/>
    <cellStyle name="Input 2 3 2 4 4" xfId="2481"/>
    <cellStyle name="Input 2 3 2 4 4 2" xfId="2482"/>
    <cellStyle name="Input 2 3 2 4 4 2 2" xfId="2483"/>
    <cellStyle name="Input 2 3 2 4 4 3" xfId="2484"/>
    <cellStyle name="Input 2 3 2 4 5" xfId="2485"/>
    <cellStyle name="Input 2 3 2 4 5 2" xfId="2486"/>
    <cellStyle name="Input 2 3 2 4 6" xfId="2487"/>
    <cellStyle name="Input 2 3 2 5" xfId="2488"/>
    <cellStyle name="Input 2 3 2 5 2" xfId="2489"/>
    <cellStyle name="Input 2 3 3" xfId="2490"/>
    <cellStyle name="Input 2 3 3 2" xfId="2491"/>
    <cellStyle name="Input 2 3 3 2 2" xfId="2492"/>
    <cellStyle name="Input 2 3 3 2 2 2" xfId="2493"/>
    <cellStyle name="Input 2 3 3 2 2 2 2" xfId="2494"/>
    <cellStyle name="Input 2 3 3 2 2 3" xfId="2495"/>
    <cellStyle name="Input 2 3 3 2 3" xfId="2496"/>
    <cellStyle name="Input 2 3 3 2 3 2" xfId="2497"/>
    <cellStyle name="Input 2 3 3 2 4" xfId="2498"/>
    <cellStyle name="Input 2 3 3 3" xfId="2499"/>
    <cellStyle name="Input 2 3 3 3 2" xfId="2500"/>
    <cellStyle name="Input 2 3 3 3 2 2" xfId="2501"/>
    <cellStyle name="Input 2 3 3 3 3" xfId="2502"/>
    <cellStyle name="Input 2 3 3 3 4" xfId="2503"/>
    <cellStyle name="Input 2 3 3 4" xfId="2504"/>
    <cellStyle name="Input 2 3 3 4 2" xfId="2505"/>
    <cellStyle name="Input 2 3 3 4 2 2" xfId="2506"/>
    <cellStyle name="Input 2 3 3 4 3" xfId="2507"/>
    <cellStyle name="Input 2 3 3 5" xfId="2508"/>
    <cellStyle name="Input 2 3 3 5 2" xfId="2509"/>
    <cellStyle name="Input 2 3 3 6" xfId="2510"/>
    <cellStyle name="Input 2 3 4" xfId="2511"/>
    <cellStyle name="Input 2 3 4 2" xfId="2512"/>
    <cellStyle name="Input 2 3 4 2 2" xfId="2513"/>
    <cellStyle name="Input 2 3 4 2 2 2" xfId="2514"/>
    <cellStyle name="Input 2 3 4 2 2 2 2" xfId="2515"/>
    <cellStyle name="Input 2 3 4 2 2 3" xfId="2516"/>
    <cellStyle name="Input 2 3 4 2 3" xfId="2517"/>
    <cellStyle name="Input 2 3 4 2 3 2" xfId="2518"/>
    <cellStyle name="Input 2 3 4 2 4" xfId="2519"/>
    <cellStyle name="Input 2 3 4 3" xfId="2520"/>
    <cellStyle name="Input 2 3 4 3 2" xfId="2521"/>
    <cellStyle name="Input 2 3 4 3 2 2" xfId="2522"/>
    <cellStyle name="Input 2 3 4 3 3" xfId="2523"/>
    <cellStyle name="Input 2 3 4 3 4" xfId="2524"/>
    <cellStyle name="Input 2 3 4 4" xfId="2525"/>
    <cellStyle name="Input 2 3 4 4 2" xfId="2526"/>
    <cellStyle name="Input 2 3 4 4 2 2" xfId="2527"/>
    <cellStyle name="Input 2 3 4 4 3" xfId="2528"/>
    <cellStyle name="Input 2 3 4 5" xfId="2529"/>
    <cellStyle name="Input 2 3 4 5 2" xfId="2530"/>
    <cellStyle name="Input 2 3 4 6" xfId="2531"/>
    <cellStyle name="Input 2 3 5" xfId="2532"/>
    <cellStyle name="Input 2 3 5 2" xfId="2533"/>
    <cellStyle name="Input 2 3 5 2 2" xfId="2534"/>
    <cellStyle name="Input 2 3 5 2 2 2" xfId="2535"/>
    <cellStyle name="Input 2 3 5 2 2 2 2" xfId="2536"/>
    <cellStyle name="Input 2 3 5 2 2 3" xfId="2537"/>
    <cellStyle name="Input 2 3 5 2 3" xfId="2538"/>
    <cellStyle name="Input 2 3 5 2 3 2" xfId="2539"/>
    <cellStyle name="Input 2 3 5 2 4" xfId="2540"/>
    <cellStyle name="Input 2 3 5 3" xfId="2541"/>
    <cellStyle name="Input 2 3 5 3 2" xfId="2542"/>
    <cellStyle name="Input 2 3 5 3 2 2" xfId="2543"/>
    <cellStyle name="Input 2 3 5 3 3" xfId="2544"/>
    <cellStyle name="Input 2 3 5 3 4" xfId="2545"/>
    <cellStyle name="Input 2 3 5 4" xfId="2546"/>
    <cellStyle name="Input 2 3 5 4 2" xfId="2547"/>
    <cellStyle name="Input 2 3 5 4 2 2" xfId="2548"/>
    <cellStyle name="Input 2 3 5 4 3" xfId="2549"/>
    <cellStyle name="Input 2 3 5 5" xfId="2550"/>
    <cellStyle name="Input 2 3 5 5 2" xfId="2551"/>
    <cellStyle name="Input 2 3 5 6" xfId="2552"/>
    <cellStyle name="Input 2 4" xfId="2553"/>
    <cellStyle name="Input 2 4 2" xfId="2554"/>
    <cellStyle name="Input 2 4 2 2" xfId="2555"/>
    <cellStyle name="Input 2 4 2 2 2" xfId="2556"/>
    <cellStyle name="Input 2 4 2 2 2 2" xfId="2557"/>
    <cellStyle name="Input 2 4 2 2 2 2 2" xfId="2558"/>
    <cellStyle name="Input 2 4 2 2 2 3" xfId="2559"/>
    <cellStyle name="Input 2 4 2 2 3" xfId="2560"/>
    <cellStyle name="Input 2 4 2 2 3 2" xfId="2561"/>
    <cellStyle name="Input 2 4 2 2 4" xfId="2562"/>
    <cellStyle name="Input 2 4 2 3" xfId="2563"/>
    <cellStyle name="Input 2 4 2 3 2" xfId="2564"/>
    <cellStyle name="Input 2 4 2 3 2 2" xfId="2565"/>
    <cellStyle name="Input 2 4 2 3 3" xfId="2566"/>
    <cellStyle name="Input 2 4 2 3 4" xfId="2567"/>
    <cellStyle name="Input 2 4 2 4" xfId="2568"/>
    <cellStyle name="Input 2 4 2 4 2" xfId="2569"/>
    <cellStyle name="Input 2 4 2 4 2 2" xfId="2570"/>
    <cellStyle name="Input 2 4 2 4 3" xfId="2571"/>
    <cellStyle name="Input 2 4 2 5" xfId="2572"/>
    <cellStyle name="Input 2 4 2 5 2" xfId="2573"/>
    <cellStyle name="Input 2 4 2 6" xfId="2574"/>
    <cellStyle name="Input 2 4 3" xfId="2575"/>
    <cellStyle name="Input 2 4 3 2" xfId="2576"/>
    <cellStyle name="Input 2 4 3 2 2" xfId="2577"/>
    <cellStyle name="Input 2 4 3 2 2 2" xfId="2578"/>
    <cellStyle name="Input 2 4 3 2 2 2 2" xfId="2579"/>
    <cellStyle name="Input 2 4 3 2 2 3" xfId="2580"/>
    <cellStyle name="Input 2 4 3 2 3" xfId="2581"/>
    <cellStyle name="Input 2 4 3 2 3 2" xfId="2582"/>
    <cellStyle name="Input 2 4 3 2 4" xfId="2583"/>
    <cellStyle name="Input 2 4 3 3" xfId="2584"/>
    <cellStyle name="Input 2 4 3 3 2" xfId="2585"/>
    <cellStyle name="Input 2 4 3 3 2 2" xfId="2586"/>
    <cellStyle name="Input 2 4 3 3 3" xfId="2587"/>
    <cellStyle name="Input 2 4 3 3 4" xfId="2588"/>
    <cellStyle name="Input 2 4 3 4" xfId="2589"/>
    <cellStyle name="Input 2 4 3 4 2" xfId="2590"/>
    <cellStyle name="Input 2 4 3 4 2 2" xfId="2591"/>
    <cellStyle name="Input 2 4 3 4 3" xfId="2592"/>
    <cellStyle name="Input 2 4 3 5" xfId="2593"/>
    <cellStyle name="Input 2 4 3 5 2" xfId="2594"/>
    <cellStyle name="Input 2 4 3 6" xfId="2595"/>
    <cellStyle name="Input 2 4 4" xfId="2596"/>
    <cellStyle name="Input 2 4 4 2" xfId="2597"/>
    <cellStyle name="Input 2 4 4 2 2" xfId="2598"/>
    <cellStyle name="Input 2 4 4 2 2 2" xfId="2599"/>
    <cellStyle name="Input 2 4 4 2 2 2 2" xfId="2600"/>
    <cellStyle name="Input 2 4 4 2 2 3" xfId="2601"/>
    <cellStyle name="Input 2 4 4 2 3" xfId="2602"/>
    <cellStyle name="Input 2 4 4 2 3 2" xfId="2603"/>
    <cellStyle name="Input 2 4 4 2 4" xfId="2604"/>
    <cellStyle name="Input 2 4 4 3" xfId="2605"/>
    <cellStyle name="Input 2 4 4 3 2" xfId="2606"/>
    <cellStyle name="Input 2 4 4 3 2 2" xfId="2607"/>
    <cellStyle name="Input 2 4 4 3 3" xfId="2608"/>
    <cellStyle name="Input 2 4 4 3 4" xfId="2609"/>
    <cellStyle name="Input 2 4 4 4" xfId="2610"/>
    <cellStyle name="Input 2 4 4 4 2" xfId="2611"/>
    <cellStyle name="Input 2 4 4 4 2 2" xfId="2612"/>
    <cellStyle name="Input 2 4 4 4 3" xfId="2613"/>
    <cellStyle name="Input 2 4 4 5" xfId="2614"/>
    <cellStyle name="Input 2 4 4 5 2" xfId="2615"/>
    <cellStyle name="Input 2 4 4 6" xfId="2616"/>
    <cellStyle name="Input 2 4 5" xfId="2617"/>
    <cellStyle name="Input 2 4 5 2" xfId="2618"/>
    <cellStyle name="Input 2 5" xfId="2619"/>
    <cellStyle name="Input 2 5 2" xfId="2620"/>
    <cellStyle name="Input 2 5 2 2" xfId="2621"/>
    <cellStyle name="Input 2 5 2 2 2" xfId="2622"/>
    <cellStyle name="Input 2 5 2 2 2 2" xfId="2623"/>
    <cellStyle name="Input 2 5 2 2 2 2 2" xfId="2624"/>
    <cellStyle name="Input 2 5 2 2 2 3" xfId="2625"/>
    <cellStyle name="Input 2 5 2 2 3" xfId="2626"/>
    <cellStyle name="Input 2 5 2 2 3 2" xfId="2627"/>
    <cellStyle name="Input 2 5 2 2 4" xfId="2628"/>
    <cellStyle name="Input 2 5 2 3" xfId="2629"/>
    <cellStyle name="Input 2 5 2 3 2" xfId="2630"/>
    <cellStyle name="Input 2 5 2 3 2 2" xfId="2631"/>
    <cellStyle name="Input 2 5 2 3 3" xfId="2632"/>
    <cellStyle name="Input 2 5 2 3 4" xfId="2633"/>
    <cellStyle name="Input 2 5 2 4" xfId="2634"/>
    <cellStyle name="Input 2 5 2 4 2" xfId="2635"/>
    <cellStyle name="Input 2 5 2 4 2 2" xfId="2636"/>
    <cellStyle name="Input 2 5 2 4 3" xfId="2637"/>
    <cellStyle name="Input 2 5 2 5" xfId="2638"/>
    <cellStyle name="Input 2 5 2 5 2" xfId="2639"/>
    <cellStyle name="Input 2 5 2 6" xfId="2640"/>
    <cellStyle name="Input 2 5 3" xfId="2641"/>
    <cellStyle name="Input 2 5 3 2" xfId="2642"/>
    <cellStyle name="Input 2 5 3 2 2" xfId="2643"/>
    <cellStyle name="Input 2 5 3 2 2 2" xfId="2644"/>
    <cellStyle name="Input 2 5 3 2 2 2 2" xfId="2645"/>
    <cellStyle name="Input 2 5 3 2 2 3" xfId="2646"/>
    <cellStyle name="Input 2 5 3 2 3" xfId="2647"/>
    <cellStyle name="Input 2 5 3 2 3 2" xfId="2648"/>
    <cellStyle name="Input 2 5 3 2 4" xfId="2649"/>
    <cellStyle name="Input 2 5 3 3" xfId="2650"/>
    <cellStyle name="Input 2 5 3 3 2" xfId="2651"/>
    <cellStyle name="Input 2 5 3 3 2 2" xfId="2652"/>
    <cellStyle name="Input 2 5 3 3 3" xfId="2653"/>
    <cellStyle name="Input 2 5 3 3 4" xfId="2654"/>
    <cellStyle name="Input 2 5 3 4" xfId="2655"/>
    <cellStyle name="Input 2 5 3 4 2" xfId="2656"/>
    <cellStyle name="Input 2 5 3 4 2 2" xfId="2657"/>
    <cellStyle name="Input 2 5 3 4 3" xfId="2658"/>
    <cellStyle name="Input 2 5 3 5" xfId="2659"/>
    <cellStyle name="Input 2 5 3 5 2" xfId="2660"/>
    <cellStyle name="Input 2 5 3 6" xfId="2661"/>
    <cellStyle name="Input 2 5 4" xfId="2662"/>
    <cellStyle name="Input 2 5 4 2" xfId="2663"/>
    <cellStyle name="Input 2 5 4 2 2" xfId="2664"/>
    <cellStyle name="Input 2 5 4 2 2 2" xfId="2665"/>
    <cellStyle name="Input 2 5 4 2 3" xfId="2666"/>
    <cellStyle name="Input 2 5 4 3" xfId="2667"/>
    <cellStyle name="Input 2 5 4 3 2" xfId="2668"/>
    <cellStyle name="Input 2 5 4 4" xfId="2669"/>
    <cellStyle name="Input 2 5 5" xfId="2670"/>
    <cellStyle name="Input 2 5 5 2" xfId="2671"/>
    <cellStyle name="Input 2 5 5 2 2" xfId="2672"/>
    <cellStyle name="Input 2 5 5 3" xfId="2673"/>
    <cellStyle name="Input 2 5 5 4" xfId="2674"/>
    <cellStyle name="Input 2 5 6" xfId="2675"/>
    <cellStyle name="Input 2 5 6 2" xfId="2676"/>
    <cellStyle name="Input 2 5 6 2 2" xfId="2677"/>
    <cellStyle name="Input 2 5 6 3" xfId="2678"/>
    <cellStyle name="Input 2 5 7" xfId="2679"/>
    <cellStyle name="Input 2 5 7 2" xfId="2680"/>
    <cellStyle name="Input 2 5 8" xfId="2681"/>
    <cellStyle name="Input 2 6" xfId="2682"/>
    <cellStyle name="Input 2 6 2" xfId="2683"/>
    <cellStyle name="Input 2 6 2 2" xfId="2684"/>
    <cellStyle name="Input 2 6 2 2 2" xfId="2685"/>
    <cellStyle name="Input 2 6 2 2 2 2" xfId="2686"/>
    <cellStyle name="Input 2 6 2 2 3" xfId="2687"/>
    <cellStyle name="Input 2 6 2 3" xfId="2688"/>
    <cellStyle name="Input 2 6 2 3 2" xfId="2689"/>
    <cellStyle name="Input 2 6 2 4" xfId="2690"/>
    <cellStyle name="Input 2 6 3" xfId="2691"/>
    <cellStyle name="Input 2 6 3 2" xfId="2692"/>
    <cellStyle name="Input 2 6 3 2 2" xfId="2693"/>
    <cellStyle name="Input 2 6 3 3" xfId="2694"/>
    <cellStyle name="Input 2 6 3 4" xfId="2695"/>
    <cellStyle name="Input 2 6 4" xfId="2696"/>
    <cellStyle name="Input 2 6 4 2" xfId="2697"/>
    <cellStyle name="Input 2 6 4 2 2" xfId="2698"/>
    <cellStyle name="Input 2 6 4 3" xfId="2699"/>
    <cellStyle name="Input 2 6 5" xfId="2700"/>
    <cellStyle name="Input 2 6 5 2" xfId="2701"/>
    <cellStyle name="Input 2 6 6" xfId="2702"/>
    <cellStyle name="Input 3" xfId="2703"/>
    <cellStyle name="Input 3 2" xfId="2704"/>
    <cellStyle name="Input 3 2 2" xfId="2705"/>
    <cellStyle name="Input 3 2 2 2" xfId="2706"/>
    <cellStyle name="Input 3 2 2 2 2" xfId="2707"/>
    <cellStyle name="Input 3 2 2 2 2 2" xfId="2708"/>
    <cellStyle name="Input 3 2 2 2 2 2 2" xfId="2709"/>
    <cellStyle name="Input 3 2 2 2 2 3" xfId="2710"/>
    <cellStyle name="Input 3 2 2 2 3" xfId="2711"/>
    <cellStyle name="Input 3 2 2 2 3 2" xfId="2712"/>
    <cellStyle name="Input 3 2 2 2 4" xfId="2713"/>
    <cellStyle name="Input 3 2 2 3" xfId="2714"/>
    <cellStyle name="Input 3 2 2 3 2" xfId="2715"/>
    <cellStyle name="Input 3 2 2 3 2 2" xfId="2716"/>
    <cellStyle name="Input 3 2 2 3 3" xfId="2717"/>
    <cellStyle name="Input 3 2 2 3 4" xfId="2718"/>
    <cellStyle name="Input 3 2 2 4" xfId="2719"/>
    <cellStyle name="Input 3 2 2 4 2" xfId="2720"/>
    <cellStyle name="Input 3 2 2 4 2 2" xfId="2721"/>
    <cellStyle name="Input 3 2 2 4 3" xfId="2722"/>
    <cellStyle name="Input 3 2 2 5" xfId="2723"/>
    <cellStyle name="Input 3 2 2 5 2" xfId="2724"/>
    <cellStyle name="Input 3 2 2 6" xfId="2725"/>
    <cellStyle name="Input 3 2 3" xfId="2726"/>
    <cellStyle name="Input 3 2 3 2" xfId="2727"/>
    <cellStyle name="Input 3 2 3 2 2" xfId="2728"/>
    <cellStyle name="Input 3 2 3 2 2 2" xfId="2729"/>
    <cellStyle name="Input 3 2 3 2 2 2 2" xfId="2730"/>
    <cellStyle name="Input 3 2 3 2 2 3" xfId="2731"/>
    <cellStyle name="Input 3 2 3 2 3" xfId="2732"/>
    <cellStyle name="Input 3 2 3 2 3 2" xfId="2733"/>
    <cellStyle name="Input 3 2 3 2 4" xfId="2734"/>
    <cellStyle name="Input 3 2 3 3" xfId="2735"/>
    <cellStyle name="Input 3 2 3 3 2" xfId="2736"/>
    <cellStyle name="Input 3 2 3 3 2 2" xfId="2737"/>
    <cellStyle name="Input 3 2 3 3 3" xfId="2738"/>
    <cellStyle name="Input 3 2 3 3 4" xfId="2739"/>
    <cellStyle name="Input 3 2 3 4" xfId="2740"/>
    <cellStyle name="Input 3 2 3 4 2" xfId="2741"/>
    <cellStyle name="Input 3 2 3 4 2 2" xfId="2742"/>
    <cellStyle name="Input 3 2 3 4 3" xfId="2743"/>
    <cellStyle name="Input 3 2 3 5" xfId="2744"/>
    <cellStyle name="Input 3 2 3 5 2" xfId="2745"/>
    <cellStyle name="Input 3 2 3 6" xfId="2746"/>
    <cellStyle name="Input 3 2 4" xfId="2747"/>
    <cellStyle name="Input 3 2 4 2" xfId="2748"/>
    <cellStyle name="Input 3 2 4 2 2" xfId="2749"/>
    <cellStyle name="Input 3 2 4 2 2 2" xfId="2750"/>
    <cellStyle name="Input 3 2 4 2 2 2 2" xfId="2751"/>
    <cellStyle name="Input 3 2 4 2 2 3" xfId="2752"/>
    <cellStyle name="Input 3 2 4 2 3" xfId="2753"/>
    <cellStyle name="Input 3 2 4 2 3 2" xfId="2754"/>
    <cellStyle name="Input 3 2 4 2 4" xfId="2755"/>
    <cellStyle name="Input 3 2 4 3" xfId="2756"/>
    <cellStyle name="Input 3 2 4 3 2" xfId="2757"/>
    <cellStyle name="Input 3 2 4 3 2 2" xfId="2758"/>
    <cellStyle name="Input 3 2 4 3 3" xfId="2759"/>
    <cellStyle name="Input 3 2 4 3 4" xfId="2760"/>
    <cellStyle name="Input 3 2 4 4" xfId="2761"/>
    <cellStyle name="Input 3 2 4 4 2" xfId="2762"/>
    <cellStyle name="Input 3 2 4 4 2 2" xfId="2763"/>
    <cellStyle name="Input 3 2 4 4 3" xfId="2764"/>
    <cellStyle name="Input 3 2 4 5" xfId="2765"/>
    <cellStyle name="Input 3 2 4 5 2" xfId="2766"/>
    <cellStyle name="Input 3 2 4 6" xfId="2767"/>
    <cellStyle name="Input 3 2 5" xfId="2768"/>
    <cellStyle name="Input 3 2 5 2" xfId="2769"/>
    <cellStyle name="Input 3 3" xfId="2770"/>
    <cellStyle name="Input 3 3 2" xfId="2771"/>
    <cellStyle name="Input 3 3 2 2" xfId="2772"/>
    <cellStyle name="Input 3 3 2 2 2" xfId="2773"/>
    <cellStyle name="Input 3 3 2 2 2 2" xfId="2774"/>
    <cellStyle name="Input 3 3 2 2 2 2 2" xfId="2775"/>
    <cellStyle name="Input 3 3 2 2 2 3" xfId="2776"/>
    <cellStyle name="Input 3 3 2 2 3" xfId="2777"/>
    <cellStyle name="Input 3 3 2 2 3 2" xfId="2778"/>
    <cellStyle name="Input 3 3 2 2 4" xfId="2779"/>
    <cellStyle name="Input 3 3 2 3" xfId="2780"/>
    <cellStyle name="Input 3 3 2 3 2" xfId="2781"/>
    <cellStyle name="Input 3 3 2 3 2 2" xfId="2782"/>
    <cellStyle name="Input 3 3 2 3 3" xfId="2783"/>
    <cellStyle name="Input 3 3 2 3 4" xfId="2784"/>
    <cellStyle name="Input 3 3 2 4" xfId="2785"/>
    <cellStyle name="Input 3 3 2 4 2" xfId="2786"/>
    <cellStyle name="Input 3 3 2 4 2 2" xfId="2787"/>
    <cellStyle name="Input 3 3 2 4 3" xfId="2788"/>
    <cellStyle name="Input 3 3 2 5" xfId="2789"/>
    <cellStyle name="Input 3 3 2 5 2" xfId="2790"/>
    <cellStyle name="Input 3 3 2 6" xfId="2791"/>
    <cellStyle name="Input 3 3 3" xfId="2792"/>
    <cellStyle name="Input 3 3 3 2" xfId="2793"/>
    <cellStyle name="Input 3 3 3 2 2" xfId="2794"/>
    <cellStyle name="Input 3 3 3 2 2 2" xfId="2795"/>
    <cellStyle name="Input 3 3 3 2 2 2 2" xfId="2796"/>
    <cellStyle name="Input 3 3 3 2 2 3" xfId="2797"/>
    <cellStyle name="Input 3 3 3 2 3" xfId="2798"/>
    <cellStyle name="Input 3 3 3 2 3 2" xfId="2799"/>
    <cellStyle name="Input 3 3 3 2 4" xfId="2800"/>
    <cellStyle name="Input 3 3 3 3" xfId="2801"/>
    <cellStyle name="Input 3 3 3 3 2" xfId="2802"/>
    <cellStyle name="Input 3 3 3 3 2 2" xfId="2803"/>
    <cellStyle name="Input 3 3 3 3 3" xfId="2804"/>
    <cellStyle name="Input 3 3 3 3 4" xfId="2805"/>
    <cellStyle name="Input 3 3 3 4" xfId="2806"/>
    <cellStyle name="Input 3 3 3 4 2" xfId="2807"/>
    <cellStyle name="Input 3 3 3 4 2 2" xfId="2808"/>
    <cellStyle name="Input 3 3 3 4 3" xfId="2809"/>
    <cellStyle name="Input 3 3 3 5" xfId="2810"/>
    <cellStyle name="Input 3 3 3 5 2" xfId="2811"/>
    <cellStyle name="Input 3 3 3 6" xfId="2812"/>
    <cellStyle name="Input 3 3 4" xfId="2813"/>
    <cellStyle name="Input 3 3 4 2" xfId="2814"/>
    <cellStyle name="Input 3 3 4 2 2" xfId="2815"/>
    <cellStyle name="Input 3 3 4 2 2 2" xfId="2816"/>
    <cellStyle name="Input 3 3 4 2 3" xfId="2817"/>
    <cellStyle name="Input 3 3 4 3" xfId="2818"/>
    <cellStyle name="Input 3 3 4 3 2" xfId="2819"/>
    <cellStyle name="Input 3 3 4 4" xfId="2820"/>
    <cellStyle name="Input 3 3 5" xfId="2821"/>
    <cellStyle name="Input 3 3 5 2" xfId="2822"/>
    <cellStyle name="Input 3 3 5 2 2" xfId="2823"/>
    <cellStyle name="Input 3 3 5 3" xfId="2824"/>
    <cellStyle name="Input 3 3 5 4" xfId="2825"/>
    <cellStyle name="Input 3 3 6" xfId="2826"/>
    <cellStyle name="Input 3 3 6 2" xfId="2827"/>
    <cellStyle name="Input 3 3 6 2 2" xfId="2828"/>
    <cellStyle name="Input 3 3 6 3" xfId="2829"/>
    <cellStyle name="Input 3 3 7" xfId="2830"/>
    <cellStyle name="Input 3 3 7 2" xfId="2831"/>
    <cellStyle name="Input 3 3 8" xfId="2832"/>
    <cellStyle name="Input 3 4" xfId="2833"/>
    <cellStyle name="Input 3 4 2" xfId="2834"/>
    <cellStyle name="Input 3 4 2 2" xfId="2835"/>
    <cellStyle name="Input 3 4 2 2 2" xfId="2836"/>
    <cellStyle name="Input 3 4 2 2 2 2" xfId="2837"/>
    <cellStyle name="Input 3 4 2 2 3" xfId="2838"/>
    <cellStyle name="Input 3 4 2 3" xfId="2839"/>
    <cellStyle name="Input 3 4 2 3 2" xfId="2840"/>
    <cellStyle name="Input 3 4 2 4" xfId="2841"/>
    <cellStyle name="Input 3 4 3" xfId="2842"/>
    <cellStyle name="Input 3 4 3 2" xfId="2843"/>
    <cellStyle name="Input 3 4 3 2 2" xfId="2844"/>
    <cellStyle name="Input 3 4 3 3" xfId="2845"/>
    <cellStyle name="Input 3 4 3 4" xfId="2846"/>
    <cellStyle name="Input 3 4 4" xfId="2847"/>
    <cellStyle name="Input 3 4 4 2" xfId="2848"/>
    <cellStyle name="Input 3 4 4 2 2" xfId="2849"/>
    <cellStyle name="Input 3 4 4 3" xfId="2850"/>
    <cellStyle name="Input 3 4 5" xfId="2851"/>
    <cellStyle name="Input 3 4 5 2" xfId="2852"/>
    <cellStyle name="Input 3 4 6" xfId="2853"/>
    <cellStyle name="Input 4" xfId="2854"/>
    <cellStyle name="Input 4 2" xfId="2855"/>
    <cellStyle name="Input 4 2 2" xfId="2856"/>
    <cellStyle name="Input 4 2 2 2" xfId="2857"/>
    <cellStyle name="Input 4 2 2 2 2" xfId="2858"/>
    <cellStyle name="Input 4 2 2 2 2 2" xfId="2859"/>
    <cellStyle name="Input 4 2 2 2 2 2 2" xfId="2860"/>
    <cellStyle name="Input 4 2 2 2 2 3" xfId="2861"/>
    <cellStyle name="Input 4 2 2 2 3" xfId="2862"/>
    <cellStyle name="Input 4 2 2 2 3 2" xfId="2863"/>
    <cellStyle name="Input 4 2 2 2 4" xfId="2864"/>
    <cellStyle name="Input 4 2 2 3" xfId="2865"/>
    <cellStyle name="Input 4 2 2 3 2" xfId="2866"/>
    <cellStyle name="Input 4 2 2 3 2 2" xfId="2867"/>
    <cellStyle name="Input 4 2 2 3 3" xfId="2868"/>
    <cellStyle name="Input 4 2 2 3 4" xfId="2869"/>
    <cellStyle name="Input 4 2 2 4" xfId="2870"/>
    <cellStyle name="Input 4 2 2 4 2" xfId="2871"/>
    <cellStyle name="Input 4 2 2 4 2 2" xfId="2872"/>
    <cellStyle name="Input 4 2 2 4 3" xfId="2873"/>
    <cellStyle name="Input 4 2 2 5" xfId="2874"/>
    <cellStyle name="Input 4 2 2 5 2" xfId="2875"/>
    <cellStyle name="Input 4 2 2 6" xfId="2876"/>
    <cellStyle name="Input 4 2 3" xfId="2877"/>
    <cellStyle name="Input 4 2 3 2" xfId="2878"/>
    <cellStyle name="Input 4 2 3 2 2" xfId="2879"/>
    <cellStyle name="Input 4 2 3 2 2 2" xfId="2880"/>
    <cellStyle name="Input 4 2 3 2 2 2 2" xfId="2881"/>
    <cellStyle name="Input 4 2 3 2 2 3" xfId="2882"/>
    <cellStyle name="Input 4 2 3 2 3" xfId="2883"/>
    <cellStyle name="Input 4 2 3 2 3 2" xfId="2884"/>
    <cellStyle name="Input 4 2 3 2 4" xfId="2885"/>
    <cellStyle name="Input 4 2 3 3" xfId="2886"/>
    <cellStyle name="Input 4 2 3 3 2" xfId="2887"/>
    <cellStyle name="Input 4 2 3 3 2 2" xfId="2888"/>
    <cellStyle name="Input 4 2 3 3 3" xfId="2889"/>
    <cellStyle name="Input 4 2 3 3 4" xfId="2890"/>
    <cellStyle name="Input 4 2 3 4" xfId="2891"/>
    <cellStyle name="Input 4 2 3 4 2" xfId="2892"/>
    <cellStyle name="Input 4 2 3 4 2 2" xfId="2893"/>
    <cellStyle name="Input 4 2 3 4 3" xfId="2894"/>
    <cellStyle name="Input 4 2 3 5" xfId="2895"/>
    <cellStyle name="Input 4 2 3 5 2" xfId="2896"/>
    <cellStyle name="Input 4 2 3 6" xfId="2897"/>
    <cellStyle name="Input 4 2 4" xfId="2898"/>
    <cellStyle name="Input 4 2 4 2" xfId="2899"/>
    <cellStyle name="Input 4 2 4 2 2" xfId="2900"/>
    <cellStyle name="Input 4 2 4 2 2 2" xfId="2901"/>
    <cellStyle name="Input 4 2 4 2 2 2 2" xfId="2902"/>
    <cellStyle name="Input 4 2 4 2 2 3" xfId="2903"/>
    <cellStyle name="Input 4 2 4 2 3" xfId="2904"/>
    <cellStyle name="Input 4 2 4 2 3 2" xfId="2905"/>
    <cellStyle name="Input 4 2 4 2 4" xfId="2906"/>
    <cellStyle name="Input 4 2 4 3" xfId="2907"/>
    <cellStyle name="Input 4 2 4 3 2" xfId="2908"/>
    <cellStyle name="Input 4 2 4 3 2 2" xfId="2909"/>
    <cellStyle name="Input 4 2 4 3 3" xfId="2910"/>
    <cellStyle name="Input 4 2 4 3 4" xfId="2911"/>
    <cellStyle name="Input 4 2 4 4" xfId="2912"/>
    <cellStyle name="Input 4 2 4 4 2" xfId="2913"/>
    <cellStyle name="Input 4 2 4 4 2 2" xfId="2914"/>
    <cellStyle name="Input 4 2 4 4 3" xfId="2915"/>
    <cellStyle name="Input 4 2 4 5" xfId="2916"/>
    <cellStyle name="Input 4 2 4 5 2" xfId="2917"/>
    <cellStyle name="Input 4 2 4 6" xfId="2918"/>
    <cellStyle name="Input 4 2 5" xfId="2919"/>
    <cellStyle name="Input 4 2 5 2" xfId="2920"/>
    <cellStyle name="Input 4 3" xfId="2921"/>
    <cellStyle name="Input 4 3 2" xfId="2922"/>
    <cellStyle name="Input 4 3 2 2" xfId="2923"/>
    <cellStyle name="Input 4 3 2 2 2" xfId="2924"/>
    <cellStyle name="Input 4 3 2 2 2 2" xfId="2925"/>
    <cellStyle name="Input 4 3 2 2 2 2 2" xfId="2926"/>
    <cellStyle name="Input 4 3 2 2 2 3" xfId="2927"/>
    <cellStyle name="Input 4 3 2 2 3" xfId="2928"/>
    <cellStyle name="Input 4 3 2 2 3 2" xfId="2929"/>
    <cellStyle name="Input 4 3 2 2 4" xfId="2930"/>
    <cellStyle name="Input 4 3 2 3" xfId="2931"/>
    <cellStyle name="Input 4 3 2 3 2" xfId="2932"/>
    <cellStyle name="Input 4 3 2 3 2 2" xfId="2933"/>
    <cellStyle name="Input 4 3 2 3 3" xfId="2934"/>
    <cellStyle name="Input 4 3 2 3 4" xfId="2935"/>
    <cellStyle name="Input 4 3 2 4" xfId="2936"/>
    <cellStyle name="Input 4 3 2 4 2" xfId="2937"/>
    <cellStyle name="Input 4 3 2 4 2 2" xfId="2938"/>
    <cellStyle name="Input 4 3 2 4 3" xfId="2939"/>
    <cellStyle name="Input 4 3 2 5" xfId="2940"/>
    <cellStyle name="Input 4 3 2 5 2" xfId="2941"/>
    <cellStyle name="Input 4 3 2 6" xfId="2942"/>
    <cellStyle name="Input 4 3 3" xfId="2943"/>
    <cellStyle name="Input 4 3 3 2" xfId="2944"/>
    <cellStyle name="Input 4 3 3 2 2" xfId="2945"/>
    <cellStyle name="Input 4 3 3 2 2 2" xfId="2946"/>
    <cellStyle name="Input 4 3 3 2 2 2 2" xfId="2947"/>
    <cellStyle name="Input 4 3 3 2 2 3" xfId="2948"/>
    <cellStyle name="Input 4 3 3 2 3" xfId="2949"/>
    <cellStyle name="Input 4 3 3 2 3 2" xfId="2950"/>
    <cellStyle name="Input 4 3 3 2 4" xfId="2951"/>
    <cellStyle name="Input 4 3 3 3" xfId="2952"/>
    <cellStyle name="Input 4 3 3 3 2" xfId="2953"/>
    <cellStyle name="Input 4 3 3 3 2 2" xfId="2954"/>
    <cellStyle name="Input 4 3 3 3 3" xfId="2955"/>
    <cellStyle name="Input 4 3 3 3 4" xfId="2956"/>
    <cellStyle name="Input 4 3 3 4" xfId="2957"/>
    <cellStyle name="Input 4 3 3 4 2" xfId="2958"/>
    <cellStyle name="Input 4 3 3 4 2 2" xfId="2959"/>
    <cellStyle name="Input 4 3 3 4 3" xfId="2960"/>
    <cellStyle name="Input 4 3 3 5" xfId="2961"/>
    <cellStyle name="Input 4 3 3 5 2" xfId="2962"/>
    <cellStyle name="Input 4 3 3 6" xfId="2963"/>
    <cellStyle name="Input 4 3 4" xfId="2964"/>
    <cellStyle name="Input 4 3 4 2" xfId="2965"/>
    <cellStyle name="Input 4 3 4 2 2" xfId="2966"/>
    <cellStyle name="Input 4 3 4 2 2 2" xfId="2967"/>
    <cellStyle name="Input 4 3 4 2 3" xfId="2968"/>
    <cellStyle name="Input 4 3 4 3" xfId="2969"/>
    <cellStyle name="Input 4 3 4 3 2" xfId="2970"/>
    <cellStyle name="Input 4 3 4 4" xfId="2971"/>
    <cellStyle name="Input 4 3 5" xfId="2972"/>
    <cellStyle name="Input 4 3 5 2" xfId="2973"/>
    <cellStyle name="Input 4 3 5 2 2" xfId="2974"/>
    <cellStyle name="Input 4 3 5 3" xfId="2975"/>
    <cellStyle name="Input 4 3 5 4" xfId="2976"/>
    <cellStyle name="Input 4 3 6" xfId="2977"/>
    <cellStyle name="Input 4 3 6 2" xfId="2978"/>
    <cellStyle name="Input 4 3 6 2 2" xfId="2979"/>
    <cellStyle name="Input 4 3 6 3" xfId="2980"/>
    <cellStyle name="Input 4 3 7" xfId="2981"/>
    <cellStyle name="Input 4 3 7 2" xfId="2982"/>
    <cellStyle name="Input 4 3 8" xfId="2983"/>
    <cellStyle name="Input 4 4" xfId="2984"/>
    <cellStyle name="Input 4 4 2" xfId="2985"/>
    <cellStyle name="Input 4 4 2 2" xfId="2986"/>
    <cellStyle name="Input 4 4 2 2 2" xfId="2987"/>
    <cellStyle name="Input 4 4 2 2 2 2" xfId="2988"/>
    <cellStyle name="Input 4 4 2 2 3" xfId="2989"/>
    <cellStyle name="Input 4 4 2 3" xfId="2990"/>
    <cellStyle name="Input 4 4 2 3 2" xfId="2991"/>
    <cellStyle name="Input 4 4 2 4" xfId="2992"/>
    <cellStyle name="Input 4 4 3" xfId="2993"/>
    <cellStyle name="Input 4 4 3 2" xfId="2994"/>
    <cellStyle name="Input 4 4 3 2 2" xfId="2995"/>
    <cellStyle name="Input 4 4 3 3" xfId="2996"/>
    <cellStyle name="Input 4 4 3 4" xfId="2997"/>
    <cellStyle name="Input 4 4 4" xfId="2998"/>
    <cellStyle name="Input 4 4 4 2" xfId="2999"/>
    <cellStyle name="Input 4 4 4 2 2" xfId="3000"/>
    <cellStyle name="Input 4 4 4 3" xfId="3001"/>
    <cellStyle name="Input 4 4 5" xfId="3002"/>
    <cellStyle name="Input 4 4 5 2" xfId="3003"/>
    <cellStyle name="Input 4 4 6" xfId="3004"/>
    <cellStyle name="Input 5" xfId="3005"/>
    <cellStyle name="Input 5 2" xfId="3006"/>
    <cellStyle name="Input 5 2 2" xfId="3007"/>
    <cellStyle name="Input 5 2 2 2" xfId="3008"/>
    <cellStyle name="Input 5 2 2 2 2" xfId="3009"/>
    <cellStyle name="Input 5 2 2 2 2 2" xfId="3010"/>
    <cellStyle name="Input 5 2 2 2 3" xfId="3011"/>
    <cellStyle name="Input 5 2 2 3" xfId="3012"/>
    <cellStyle name="Input 5 2 2 3 2" xfId="3013"/>
    <cellStyle name="Input 5 2 2 4" xfId="3014"/>
    <cellStyle name="Input 5 2 3" xfId="3015"/>
    <cellStyle name="Input 5 2 3 2" xfId="3016"/>
    <cellStyle name="Input 5 2 3 2 2" xfId="3017"/>
    <cellStyle name="Input 5 2 3 3" xfId="3018"/>
    <cellStyle name="Input 5 2 3 4" xfId="3019"/>
    <cellStyle name="Input 5 2 4" xfId="3020"/>
    <cellStyle name="Input 5 2 4 2" xfId="3021"/>
    <cellStyle name="Input 5 2 4 2 2" xfId="3022"/>
    <cellStyle name="Input 5 2 4 3" xfId="3023"/>
    <cellStyle name="Input 5 2 5" xfId="3024"/>
    <cellStyle name="Input 5 2 5 2" xfId="3025"/>
    <cellStyle name="Input 5 2 6" xfId="3026"/>
    <cellStyle name="Input 5 3" xfId="3027"/>
    <cellStyle name="Input 5 3 2" xfId="3028"/>
    <cellStyle name="Input 5 3 2 2" xfId="3029"/>
    <cellStyle name="Input 5 3 2 2 2" xfId="3030"/>
    <cellStyle name="Input 5 3 2 2 2 2" xfId="3031"/>
    <cellStyle name="Input 5 3 2 2 3" xfId="3032"/>
    <cellStyle name="Input 5 3 2 3" xfId="3033"/>
    <cellStyle name="Input 5 3 2 3 2" xfId="3034"/>
    <cellStyle name="Input 5 3 2 4" xfId="3035"/>
    <cellStyle name="Input 5 3 3" xfId="3036"/>
    <cellStyle name="Input 5 3 3 2" xfId="3037"/>
    <cellStyle name="Input 5 3 3 2 2" xfId="3038"/>
    <cellStyle name="Input 5 3 3 3" xfId="3039"/>
    <cellStyle name="Input 5 3 3 4" xfId="3040"/>
    <cellStyle name="Input 5 3 4" xfId="3041"/>
    <cellStyle name="Input 5 3 4 2" xfId="3042"/>
    <cellStyle name="Input 5 3 4 2 2" xfId="3043"/>
    <cellStyle name="Input 5 3 4 3" xfId="3044"/>
    <cellStyle name="Input 5 3 5" xfId="3045"/>
    <cellStyle name="Input 5 3 5 2" xfId="3046"/>
    <cellStyle name="Input 5 3 6" xfId="3047"/>
    <cellStyle name="Input 5 4" xfId="3048"/>
    <cellStyle name="Input 5 4 2" xfId="3049"/>
    <cellStyle name="Input 5 4 2 2" xfId="3050"/>
    <cellStyle name="Input 5 4 2 2 2" xfId="3051"/>
    <cellStyle name="Input 5 4 2 2 2 2" xfId="3052"/>
    <cellStyle name="Input 5 4 2 2 3" xfId="3053"/>
    <cellStyle name="Input 5 4 2 3" xfId="3054"/>
    <cellStyle name="Input 5 4 2 3 2" xfId="3055"/>
    <cellStyle name="Input 5 4 2 4" xfId="3056"/>
    <cellStyle name="Input 5 4 3" xfId="3057"/>
    <cellStyle name="Input 5 4 3 2" xfId="3058"/>
    <cellStyle name="Input 5 4 3 2 2" xfId="3059"/>
    <cellStyle name="Input 5 4 3 3" xfId="3060"/>
    <cellStyle name="Input 5 4 3 4" xfId="3061"/>
    <cellStyle name="Input 5 4 4" xfId="3062"/>
    <cellStyle name="Input 5 4 4 2" xfId="3063"/>
    <cellStyle name="Input 5 4 4 2 2" xfId="3064"/>
    <cellStyle name="Input 5 4 4 3" xfId="3065"/>
    <cellStyle name="Input 5 4 5" xfId="3066"/>
    <cellStyle name="Input 5 4 5 2" xfId="3067"/>
    <cellStyle name="Input 5 4 6" xfId="3068"/>
    <cellStyle name="Input 5 5" xfId="3069"/>
    <cellStyle name="Input 5 5 2" xfId="3070"/>
    <cellStyle name="Input 6" xfId="3071"/>
    <cellStyle name="Input 6 2" xfId="3072"/>
    <cellStyle name="Input 6 2 2" xfId="3073"/>
    <cellStyle name="Input 6 2 2 2" xfId="3074"/>
    <cellStyle name="Input 6 2 2 2 2" xfId="3075"/>
    <cellStyle name="Input 6 2 2 2 2 2" xfId="3076"/>
    <cellStyle name="Input 6 2 2 2 3" xfId="3077"/>
    <cellStyle name="Input 6 2 2 3" xfId="3078"/>
    <cellStyle name="Input 6 2 2 3 2" xfId="3079"/>
    <cellStyle name="Input 6 2 2 4" xfId="3080"/>
    <cellStyle name="Input 6 2 3" xfId="3081"/>
    <cellStyle name="Input 6 2 3 2" xfId="3082"/>
    <cellStyle name="Input 6 2 3 2 2" xfId="3083"/>
    <cellStyle name="Input 6 2 3 3" xfId="3084"/>
    <cellStyle name="Input 6 2 3 4" xfId="3085"/>
    <cellStyle name="Input 6 2 4" xfId="3086"/>
    <cellStyle name="Input 6 2 4 2" xfId="3087"/>
    <cellStyle name="Input 6 2 4 2 2" xfId="3088"/>
    <cellStyle name="Input 6 2 4 3" xfId="3089"/>
    <cellStyle name="Input 6 2 5" xfId="3090"/>
    <cellStyle name="Input 6 2 5 2" xfId="3091"/>
    <cellStyle name="Input 6 2 6" xfId="3092"/>
    <cellStyle name="Input 6 3" xfId="3093"/>
    <cellStyle name="Input 6 3 2" xfId="3094"/>
    <cellStyle name="Input 6 3 2 2" xfId="3095"/>
    <cellStyle name="Input 6 3 2 2 2" xfId="3096"/>
    <cellStyle name="Input 6 3 2 2 2 2" xfId="3097"/>
    <cellStyle name="Input 6 3 2 2 3" xfId="3098"/>
    <cellStyle name="Input 6 3 2 3" xfId="3099"/>
    <cellStyle name="Input 6 3 2 3 2" xfId="3100"/>
    <cellStyle name="Input 6 3 2 4" xfId="3101"/>
    <cellStyle name="Input 6 3 3" xfId="3102"/>
    <cellStyle name="Input 6 3 3 2" xfId="3103"/>
    <cellStyle name="Input 6 3 3 2 2" xfId="3104"/>
    <cellStyle name="Input 6 3 3 3" xfId="3105"/>
    <cellStyle name="Input 6 3 3 4" xfId="3106"/>
    <cellStyle name="Input 6 3 4" xfId="3107"/>
    <cellStyle name="Input 6 3 4 2" xfId="3108"/>
    <cellStyle name="Input 6 3 4 2 2" xfId="3109"/>
    <cellStyle name="Input 6 3 4 3" xfId="3110"/>
    <cellStyle name="Input 6 3 5" xfId="3111"/>
    <cellStyle name="Input 6 3 5 2" xfId="3112"/>
    <cellStyle name="Input 6 3 6" xfId="3113"/>
    <cellStyle name="Input 6 4" xfId="3114"/>
    <cellStyle name="Input 6 4 2" xfId="3115"/>
    <cellStyle name="Input 6 4 2 2" xfId="3116"/>
    <cellStyle name="Input 6 4 2 2 2" xfId="3117"/>
    <cellStyle name="Input 6 4 2 3" xfId="3118"/>
    <cellStyle name="Input 6 4 3" xfId="3119"/>
    <cellStyle name="Input 6 4 3 2" xfId="3120"/>
    <cellStyle name="Input 6 4 4" xfId="3121"/>
    <cellStyle name="Input 6 5" xfId="3122"/>
    <cellStyle name="Input 6 5 2" xfId="3123"/>
    <cellStyle name="Input 6 5 2 2" xfId="3124"/>
    <cellStyle name="Input 6 5 3" xfId="3125"/>
    <cellStyle name="Input 6 5 4" xfId="3126"/>
    <cellStyle name="Input 6 6" xfId="3127"/>
    <cellStyle name="Input 6 6 2" xfId="3128"/>
    <cellStyle name="Input 6 6 2 2" xfId="3129"/>
    <cellStyle name="Input 6 6 3" xfId="3130"/>
    <cellStyle name="Input 6 7" xfId="3131"/>
    <cellStyle name="Input 6 7 2" xfId="3132"/>
    <cellStyle name="Input 6 8" xfId="3133"/>
    <cellStyle name="InputDataRow" xfId="3134"/>
    <cellStyle name="InputLabelRow" xfId="3135"/>
    <cellStyle name="InputPc2Right" xfId="3136"/>
    <cellStyle name="InputShortText" xfId="3137"/>
    <cellStyle name="InputTextLeft" xfId="3138"/>
    <cellStyle name="Int.conven" xfId="3139"/>
    <cellStyle name="IntermediateLabelColumn" xfId="3140"/>
    <cellStyle name="JG" xfId="3141"/>
    <cellStyle name="LabelLeft" xfId="3142"/>
    <cellStyle name="LabelRight" xfId="3143"/>
    <cellStyle name="Linked Cell" xfId="7634" builtinId="24" customBuiltin="1"/>
    <cellStyle name="Linked Cell 2" xfId="3144"/>
    <cellStyle name="Linked Cell 2 2" xfId="3145"/>
    <cellStyle name="Linked Cell 3" xfId="3146"/>
    <cellStyle name="Linked Cell 4" xfId="3147"/>
    <cellStyle name="LocalFormat" xfId="3148"/>
    <cellStyle name="LocalFormat 2" xfId="3149"/>
    <cellStyle name="LocalFormat 2 2" xfId="3150"/>
    <cellStyle name="LocalFormat 2 2 2" xfId="3151"/>
    <cellStyle name="LocalFormat 2 2 2 2" xfId="3152"/>
    <cellStyle name="LocalFormat 2 2 2 2 2" xfId="3153"/>
    <cellStyle name="LocalFormat 2 2 2 2 2 2" xfId="3154"/>
    <cellStyle name="LocalFormat 2 2 2 2 2 2 2" xfId="3155"/>
    <cellStyle name="LocalFormat 2 2 2 2 2 3" xfId="3156"/>
    <cellStyle name="LocalFormat 2 2 2 2 3" xfId="3157"/>
    <cellStyle name="LocalFormat 2 2 2 2 3 2" xfId="3158"/>
    <cellStyle name="LocalFormat 2 2 2 2 4" xfId="3159"/>
    <cellStyle name="LocalFormat 2 2 2 3" xfId="3160"/>
    <cellStyle name="LocalFormat 2 2 2 3 2" xfId="3161"/>
    <cellStyle name="LocalFormat 2 2 2 3 2 2" xfId="3162"/>
    <cellStyle name="LocalFormat 2 2 2 3 3" xfId="3163"/>
    <cellStyle name="LocalFormat 2 2 2 3 4" xfId="3164"/>
    <cellStyle name="LocalFormat 2 2 2 4" xfId="3165"/>
    <cellStyle name="LocalFormat 2 2 2 4 2" xfId="3166"/>
    <cellStyle name="LocalFormat 2 2 2 4 2 2" xfId="3167"/>
    <cellStyle name="LocalFormat 2 2 2 4 3" xfId="3168"/>
    <cellStyle name="LocalFormat 2 2 2 5" xfId="3169"/>
    <cellStyle name="LocalFormat 2 2 3" xfId="3170"/>
    <cellStyle name="LocalFormat 2 2 3 2" xfId="3171"/>
    <cellStyle name="LocalFormat 2 2 3 2 2" xfId="3172"/>
    <cellStyle name="LocalFormat 2 2 3 2 2 2" xfId="3173"/>
    <cellStyle name="LocalFormat 2 2 3 2 2 2 2" xfId="3174"/>
    <cellStyle name="LocalFormat 2 2 3 2 2 3" xfId="3175"/>
    <cellStyle name="LocalFormat 2 2 3 2 3" xfId="3176"/>
    <cellStyle name="LocalFormat 2 2 3 2 3 2" xfId="3177"/>
    <cellStyle name="LocalFormat 2 2 3 2 4" xfId="3178"/>
    <cellStyle name="LocalFormat 2 2 3 3" xfId="3179"/>
    <cellStyle name="LocalFormat 2 2 3 3 2" xfId="3180"/>
    <cellStyle name="LocalFormat 2 2 3 3 2 2" xfId="3181"/>
    <cellStyle name="LocalFormat 2 2 3 3 3" xfId="3182"/>
    <cellStyle name="LocalFormat 2 2 3 3 4" xfId="3183"/>
    <cellStyle name="LocalFormat 2 2 3 4" xfId="3184"/>
    <cellStyle name="LocalFormat 2 2 3 4 2" xfId="3185"/>
    <cellStyle name="LocalFormat 2 2 3 4 2 2" xfId="3186"/>
    <cellStyle name="LocalFormat 2 2 3 4 3" xfId="3187"/>
    <cellStyle name="LocalFormat 2 2 3 5" xfId="3188"/>
    <cellStyle name="LocalFormat 2 2 3 5 2" xfId="3189"/>
    <cellStyle name="LocalFormat 2 2 3 6" xfId="3190"/>
    <cellStyle name="LocalFormat 2 2 4" xfId="3191"/>
    <cellStyle name="LocalFormat 2 2 4 2" xfId="3192"/>
    <cellStyle name="LocalFormat 2 2 4 2 2" xfId="3193"/>
    <cellStyle name="LocalFormat 2 2 4 2 2 2" xfId="3194"/>
    <cellStyle name="LocalFormat 2 2 4 2 2 2 2" xfId="3195"/>
    <cellStyle name="LocalFormat 2 2 4 2 2 3" xfId="3196"/>
    <cellStyle name="LocalFormat 2 2 4 2 3" xfId="3197"/>
    <cellStyle name="LocalFormat 2 2 4 2 3 2" xfId="3198"/>
    <cellStyle name="LocalFormat 2 2 4 2 4" xfId="3199"/>
    <cellStyle name="LocalFormat 2 2 4 3" xfId="3200"/>
    <cellStyle name="LocalFormat 2 2 4 3 2" xfId="3201"/>
    <cellStyle name="LocalFormat 2 2 4 3 2 2" xfId="3202"/>
    <cellStyle name="LocalFormat 2 2 4 3 3" xfId="3203"/>
    <cellStyle name="LocalFormat 2 2 4 3 4" xfId="3204"/>
    <cellStyle name="LocalFormat 2 2 4 4" xfId="3205"/>
    <cellStyle name="LocalFormat 2 2 4 4 2" xfId="3206"/>
    <cellStyle name="LocalFormat 2 2 4 4 2 2" xfId="3207"/>
    <cellStyle name="LocalFormat 2 2 4 4 3" xfId="3208"/>
    <cellStyle name="LocalFormat 2 2 4 5" xfId="3209"/>
    <cellStyle name="LocalFormat 2 2 4 5 2" xfId="3210"/>
    <cellStyle name="LocalFormat 2 2 4 6" xfId="3211"/>
    <cellStyle name="LocalFormat 2 2 5" xfId="3212"/>
    <cellStyle name="LocalFormat 2 2 5 2" xfId="3213"/>
    <cellStyle name="LocalFormat 2 3" xfId="3214"/>
    <cellStyle name="LocalFormat 2 3 2" xfId="3215"/>
    <cellStyle name="LocalFormat 2 3 2 2" xfId="3216"/>
    <cellStyle name="LocalFormat 2 3 2 2 2" xfId="3217"/>
    <cellStyle name="LocalFormat 2 3 2 2 2 2" xfId="3218"/>
    <cellStyle name="LocalFormat 2 3 2 2 3" xfId="3219"/>
    <cellStyle name="LocalFormat 2 3 2 3" xfId="3220"/>
    <cellStyle name="LocalFormat 2 3 2 3 2" xfId="3221"/>
    <cellStyle name="LocalFormat 2 3 2 4" xfId="3222"/>
    <cellStyle name="LocalFormat 2 3 3" xfId="3223"/>
    <cellStyle name="LocalFormat 2 3 3 2" xfId="3224"/>
    <cellStyle name="LocalFormat 2 3 3 2 2" xfId="3225"/>
    <cellStyle name="LocalFormat 2 3 3 3" xfId="3226"/>
    <cellStyle name="LocalFormat 2 3 3 4" xfId="3227"/>
    <cellStyle name="LocalFormat 2 3 4" xfId="3228"/>
    <cellStyle name="LocalFormat 2 3 4 2" xfId="3229"/>
    <cellStyle name="LocalFormat 2 3 4 2 2" xfId="3230"/>
    <cellStyle name="LocalFormat 2 3 4 3" xfId="3231"/>
    <cellStyle name="LocalFormat 2 3 5" xfId="3232"/>
    <cellStyle name="LocalFormat 2 4" xfId="3233"/>
    <cellStyle name="LocalFormat 2 4 2" xfId="3234"/>
    <cellStyle name="LocalFormat 2 4 2 2" xfId="3235"/>
    <cellStyle name="LocalFormat 2 4 2 2 2" xfId="3236"/>
    <cellStyle name="LocalFormat 2 4 2 2 2 2" xfId="3237"/>
    <cellStyle name="LocalFormat 2 4 2 2 3" xfId="3238"/>
    <cellStyle name="LocalFormat 2 4 2 3" xfId="3239"/>
    <cellStyle name="LocalFormat 2 4 2 3 2" xfId="3240"/>
    <cellStyle name="LocalFormat 2 4 2 4" xfId="3241"/>
    <cellStyle name="LocalFormat 2 4 3" xfId="3242"/>
    <cellStyle name="LocalFormat 2 4 3 2" xfId="3243"/>
    <cellStyle name="LocalFormat 2 4 3 2 2" xfId="3244"/>
    <cellStyle name="LocalFormat 2 4 3 3" xfId="3245"/>
    <cellStyle name="LocalFormat 2 4 3 4" xfId="3246"/>
    <cellStyle name="LocalFormat 2 4 4" xfId="3247"/>
    <cellStyle name="LocalFormat 2 4 4 2" xfId="3248"/>
    <cellStyle name="LocalFormat 2 4 4 2 2" xfId="3249"/>
    <cellStyle name="LocalFormat 2 4 4 3" xfId="3250"/>
    <cellStyle name="LocalFormat 2 4 5" xfId="3251"/>
    <cellStyle name="LocalFormat 2 4 5 2" xfId="3252"/>
    <cellStyle name="LocalFormat 2 4 6" xfId="3253"/>
    <cellStyle name="LocalFormat 2 5" xfId="3254"/>
    <cellStyle name="LocalFormat 2 5 2" xfId="3255"/>
    <cellStyle name="LocalFormat 2 5 2 2" xfId="3256"/>
    <cellStyle name="LocalFormat 2 5 2 2 2" xfId="3257"/>
    <cellStyle name="LocalFormat 2 5 2 2 2 2" xfId="3258"/>
    <cellStyle name="LocalFormat 2 5 2 2 3" xfId="3259"/>
    <cellStyle name="LocalFormat 2 5 2 3" xfId="3260"/>
    <cellStyle name="LocalFormat 2 5 2 3 2" xfId="3261"/>
    <cellStyle name="LocalFormat 2 5 2 4" xfId="3262"/>
    <cellStyle name="LocalFormat 2 5 3" xfId="3263"/>
    <cellStyle name="LocalFormat 2 5 3 2" xfId="3264"/>
    <cellStyle name="LocalFormat 2 5 3 2 2" xfId="3265"/>
    <cellStyle name="LocalFormat 2 5 3 3" xfId="3266"/>
    <cellStyle name="LocalFormat 2 5 3 4" xfId="3267"/>
    <cellStyle name="LocalFormat 2 5 4" xfId="3268"/>
    <cellStyle name="LocalFormat 2 5 4 2" xfId="3269"/>
    <cellStyle name="LocalFormat 2 5 4 2 2" xfId="3270"/>
    <cellStyle name="LocalFormat 2 5 4 3" xfId="3271"/>
    <cellStyle name="LocalFormat 2 5 5" xfId="3272"/>
    <cellStyle name="LocalFormat 2 5 5 2" xfId="3273"/>
    <cellStyle name="LocalFormat 2 5 6" xfId="3274"/>
    <cellStyle name="LocalFormat 3" xfId="3275"/>
    <cellStyle name="LocalFormat 3 2" xfId="3276"/>
    <cellStyle name="LocalFormat 3 2 2" xfId="3277"/>
    <cellStyle name="LocalFormat 3 2 2 2" xfId="3278"/>
    <cellStyle name="LocalFormat 3 2 2 2 2" xfId="3279"/>
    <cellStyle name="LocalFormat 3 2 2 2 2 2" xfId="3280"/>
    <cellStyle name="LocalFormat 3 2 2 2 3" xfId="3281"/>
    <cellStyle name="LocalFormat 3 2 2 3" xfId="3282"/>
    <cellStyle name="LocalFormat 3 2 2 3 2" xfId="3283"/>
    <cellStyle name="LocalFormat 3 2 2 4" xfId="3284"/>
    <cellStyle name="LocalFormat 3 2 3" xfId="3285"/>
    <cellStyle name="LocalFormat 3 2 3 2" xfId="3286"/>
    <cellStyle name="LocalFormat 3 2 3 2 2" xfId="3287"/>
    <cellStyle name="LocalFormat 3 2 3 3" xfId="3288"/>
    <cellStyle name="LocalFormat 3 2 3 4" xfId="3289"/>
    <cellStyle name="LocalFormat 3 2 4" xfId="3290"/>
    <cellStyle name="LocalFormat 3 2 4 2" xfId="3291"/>
    <cellStyle name="LocalFormat 3 2 4 2 2" xfId="3292"/>
    <cellStyle name="LocalFormat 3 2 4 3" xfId="3293"/>
    <cellStyle name="LocalFormat 3 2 5" xfId="3294"/>
    <cellStyle name="LocalFormat 3 3" xfId="3295"/>
    <cellStyle name="LocalFormat 3 3 2" xfId="3296"/>
    <cellStyle name="LocalFormat 3 3 2 2" xfId="3297"/>
    <cellStyle name="LocalFormat 3 3 2 2 2" xfId="3298"/>
    <cellStyle name="LocalFormat 3 3 2 2 2 2" xfId="3299"/>
    <cellStyle name="LocalFormat 3 3 2 2 3" xfId="3300"/>
    <cellStyle name="LocalFormat 3 3 2 3" xfId="3301"/>
    <cellStyle name="LocalFormat 3 3 2 3 2" xfId="3302"/>
    <cellStyle name="LocalFormat 3 3 2 4" xfId="3303"/>
    <cellStyle name="LocalFormat 3 3 3" xfId="3304"/>
    <cellStyle name="LocalFormat 3 3 3 2" xfId="3305"/>
    <cellStyle name="LocalFormat 3 3 3 2 2" xfId="3306"/>
    <cellStyle name="LocalFormat 3 3 3 3" xfId="3307"/>
    <cellStyle name="LocalFormat 3 3 3 4" xfId="3308"/>
    <cellStyle name="LocalFormat 3 3 4" xfId="3309"/>
    <cellStyle name="LocalFormat 3 3 4 2" xfId="3310"/>
    <cellStyle name="LocalFormat 3 3 4 2 2" xfId="3311"/>
    <cellStyle name="LocalFormat 3 3 4 3" xfId="3312"/>
    <cellStyle name="LocalFormat 3 3 5" xfId="3313"/>
    <cellStyle name="LocalFormat 3 3 5 2" xfId="3314"/>
    <cellStyle name="LocalFormat 3 3 6" xfId="3315"/>
    <cellStyle name="LocalFormat 3 4" xfId="3316"/>
    <cellStyle name="LocalFormat 3 4 2" xfId="3317"/>
    <cellStyle name="LocalFormat 3 4 2 2" xfId="3318"/>
    <cellStyle name="LocalFormat 3 4 2 2 2" xfId="3319"/>
    <cellStyle name="LocalFormat 3 4 2 2 2 2" xfId="3320"/>
    <cellStyle name="LocalFormat 3 4 2 2 3" xfId="3321"/>
    <cellStyle name="LocalFormat 3 4 2 3" xfId="3322"/>
    <cellStyle name="LocalFormat 3 4 2 3 2" xfId="3323"/>
    <cellStyle name="LocalFormat 3 4 2 4" xfId="3324"/>
    <cellStyle name="LocalFormat 3 4 3" xfId="3325"/>
    <cellStyle name="LocalFormat 3 4 3 2" xfId="3326"/>
    <cellStyle name="LocalFormat 3 4 3 2 2" xfId="3327"/>
    <cellStyle name="LocalFormat 3 4 3 3" xfId="3328"/>
    <cellStyle name="LocalFormat 3 4 3 4" xfId="3329"/>
    <cellStyle name="LocalFormat 3 4 4" xfId="3330"/>
    <cellStyle name="LocalFormat 3 4 4 2" xfId="3331"/>
    <cellStyle name="LocalFormat 3 4 4 2 2" xfId="3332"/>
    <cellStyle name="LocalFormat 3 4 4 3" xfId="3333"/>
    <cellStyle name="LocalFormat 3 4 5" xfId="3334"/>
    <cellStyle name="LocalFormat 3 4 5 2" xfId="3335"/>
    <cellStyle name="LocalFormat 3 4 6" xfId="3336"/>
    <cellStyle name="LocalFormat 3 5" xfId="3337"/>
    <cellStyle name="LocalFormat 3 5 2" xfId="3338"/>
    <cellStyle name="LocalFormat 4" xfId="3339"/>
    <cellStyle name="LocalFormat 4 2" xfId="3340"/>
    <cellStyle name="LocalFormat 4 2 2" xfId="3341"/>
    <cellStyle name="LocalFormat 4 2 2 2" xfId="3342"/>
    <cellStyle name="LocalFormat 4 2 2 2 2" xfId="3343"/>
    <cellStyle name="LocalFormat 4 2 2 2 2 2" xfId="3344"/>
    <cellStyle name="LocalFormat 4 2 2 2 3" xfId="3345"/>
    <cellStyle name="LocalFormat 4 2 2 3" xfId="3346"/>
    <cellStyle name="LocalFormat 4 2 2 3 2" xfId="3347"/>
    <cellStyle name="LocalFormat 4 2 2 4" xfId="3348"/>
    <cellStyle name="LocalFormat 4 2 3" xfId="3349"/>
    <cellStyle name="LocalFormat 4 2 3 2" xfId="3350"/>
    <cellStyle name="LocalFormat 4 2 3 2 2" xfId="3351"/>
    <cellStyle name="LocalFormat 4 2 3 3" xfId="3352"/>
    <cellStyle name="LocalFormat 4 2 3 4" xfId="3353"/>
    <cellStyle name="LocalFormat 4 2 4" xfId="3354"/>
    <cellStyle name="LocalFormat 4 2 4 2" xfId="3355"/>
    <cellStyle name="LocalFormat 4 2 4 2 2" xfId="3356"/>
    <cellStyle name="LocalFormat 4 2 4 3" xfId="3357"/>
    <cellStyle name="LocalFormat 4 2 5" xfId="3358"/>
    <cellStyle name="LocalFormat 4 2 5 2" xfId="3359"/>
    <cellStyle name="LocalFormat 4 2 6" xfId="3360"/>
    <cellStyle name="LocalFormat 4 3" xfId="3361"/>
    <cellStyle name="LocalFormat 4 3 2" xfId="3362"/>
    <cellStyle name="LocalFormat 4 3 2 2" xfId="3363"/>
    <cellStyle name="LocalFormat 4 3 2 2 2" xfId="3364"/>
    <cellStyle name="LocalFormat 4 3 2 2 2 2" xfId="3365"/>
    <cellStyle name="LocalFormat 4 3 2 2 3" xfId="3366"/>
    <cellStyle name="LocalFormat 4 3 2 3" xfId="3367"/>
    <cellStyle name="LocalFormat 4 3 2 3 2" xfId="3368"/>
    <cellStyle name="LocalFormat 4 3 2 4" xfId="3369"/>
    <cellStyle name="LocalFormat 4 3 3" xfId="3370"/>
    <cellStyle name="LocalFormat 4 3 3 2" xfId="3371"/>
    <cellStyle name="LocalFormat 4 3 3 2 2" xfId="3372"/>
    <cellStyle name="LocalFormat 4 3 3 3" xfId="3373"/>
    <cellStyle name="LocalFormat 4 3 3 4" xfId="3374"/>
    <cellStyle name="LocalFormat 4 3 4" xfId="3375"/>
    <cellStyle name="LocalFormat 4 3 4 2" xfId="3376"/>
    <cellStyle name="LocalFormat 4 3 4 2 2" xfId="3377"/>
    <cellStyle name="LocalFormat 4 3 4 3" xfId="3378"/>
    <cellStyle name="LocalFormat 4 3 5" xfId="3379"/>
    <cellStyle name="LocalFormat 4 3 5 2" xfId="3380"/>
    <cellStyle name="LocalFormat 4 3 6" xfId="3381"/>
    <cellStyle name="LocalFormat 4 4" xfId="3382"/>
    <cellStyle name="LocalFormat 4 4 2" xfId="3383"/>
    <cellStyle name="LocalFormat 4 4 2 2" xfId="3384"/>
    <cellStyle name="LocalFormat 4 4 2 2 2" xfId="3385"/>
    <cellStyle name="LocalFormat 4 4 2 3" xfId="3386"/>
    <cellStyle name="LocalFormat 4 4 3" xfId="3387"/>
    <cellStyle name="LocalFormat 4 4 3 2" xfId="3388"/>
    <cellStyle name="LocalFormat 4 4 4" xfId="3389"/>
    <cellStyle name="LocalFormat 4 5" xfId="3390"/>
    <cellStyle name="LocalFormat 4 5 2" xfId="3391"/>
    <cellStyle name="LocalFormat 4 5 2 2" xfId="3392"/>
    <cellStyle name="LocalFormat 4 5 3" xfId="3393"/>
    <cellStyle name="LocalFormat 4 5 4" xfId="3394"/>
    <cellStyle name="LocalFormat 4 6" xfId="3395"/>
    <cellStyle name="LocalFormat 4 6 2" xfId="3396"/>
    <cellStyle name="LocalFormat 4 6 2 2" xfId="3397"/>
    <cellStyle name="LocalFormat 4 6 3" xfId="3398"/>
    <cellStyle name="LocalFormat 4 7" xfId="3399"/>
    <cellStyle name="LocalFormat 5" xfId="3400"/>
    <cellStyle name="LocalFormat 5 2" xfId="3401"/>
    <cellStyle name="LocalFormat 5 2 2" xfId="3402"/>
    <cellStyle name="LocalFormat 5 2 2 2" xfId="3403"/>
    <cellStyle name="LocalFormat 5 2 2 2 2" xfId="3404"/>
    <cellStyle name="LocalFormat 5 2 2 3" xfId="3405"/>
    <cellStyle name="LocalFormat 5 2 3" xfId="3406"/>
    <cellStyle name="LocalFormat 5 2 3 2" xfId="3407"/>
    <cellStyle name="LocalFormat 5 2 4" xfId="3408"/>
    <cellStyle name="LocalFormat 5 3" xfId="3409"/>
    <cellStyle name="LocalFormat 5 3 2" xfId="3410"/>
    <cellStyle name="LocalFormat 5 3 2 2" xfId="3411"/>
    <cellStyle name="LocalFormat 5 3 3" xfId="3412"/>
    <cellStyle name="LocalFormat 5 3 4" xfId="3413"/>
    <cellStyle name="LocalFormat 5 4" xfId="3414"/>
    <cellStyle name="LocalFormat 5 4 2" xfId="3415"/>
    <cellStyle name="LocalFormat 5 4 2 2" xfId="3416"/>
    <cellStyle name="LocalFormat 5 4 3" xfId="3417"/>
    <cellStyle name="LocalFormat 5 5" xfId="3418"/>
    <cellStyle name="Macro Header" xfId="3419"/>
    <cellStyle name="Macro Text" xfId="3420"/>
    <cellStyle name="MacroCode" xfId="3421"/>
    <cellStyle name="Millares [0]_2AV_M_M " xfId="3422"/>
    <cellStyle name="Millares_2AV_M_M " xfId="3423"/>
    <cellStyle name="Milliers [0]_Open&amp;Close" xfId="3424"/>
    <cellStyle name="Milliers_Open&amp;Close" xfId="3425"/>
    <cellStyle name="Mon?taire [0]_Open&amp;Close" xfId="3426"/>
    <cellStyle name="Mon?taire_Open&amp;Close" xfId="3427"/>
    <cellStyle name="Moneda [0]_2AV_M_M " xfId="3428"/>
    <cellStyle name="Moneda_2AV_M_M " xfId="3429"/>
    <cellStyle name="Monétaire [0]_Open&amp;Close" xfId="3430"/>
    <cellStyle name="Monétaire_Open&amp;Close" xfId="3431"/>
    <cellStyle name="Neutral" xfId="7630" builtinId="28" customBuiltin="1"/>
    <cellStyle name="Neutral 2" xfId="3432"/>
    <cellStyle name="Neutral 2 2" xfId="3433"/>
    <cellStyle name="Neutral 3" xfId="3434"/>
    <cellStyle name="Neutral 4" xfId="3435"/>
    <cellStyle name="Normal" xfId="0" builtinId="0"/>
    <cellStyle name="Normal - Style1" xfId="3436"/>
    <cellStyle name="Normal 10" xfId="3437"/>
    <cellStyle name="Normal 10 2" xfId="3438"/>
    <cellStyle name="Normal 10 2 2" xfId="3439"/>
    <cellStyle name="Normal 10 2 2 2" xfId="3440"/>
    <cellStyle name="Normal 10 2 2 2 2" xfId="3441"/>
    <cellStyle name="Normal 10 2 2 3" xfId="3442"/>
    <cellStyle name="Normal 10 2 3" xfId="3443"/>
    <cellStyle name="Normal 10 2 3 2" xfId="3444"/>
    <cellStyle name="Normal 10 2 4" xfId="3445"/>
    <cellStyle name="Normal 10 3" xfId="3446"/>
    <cellStyle name="Normal 10 3 2" xfId="3447"/>
    <cellStyle name="Normal 10 3 2 2" xfId="3448"/>
    <cellStyle name="Normal 10 3 2 2 2" xfId="3449"/>
    <cellStyle name="Normal 10 3 2 3" xfId="3450"/>
    <cellStyle name="Normal 10 3 3" xfId="3451"/>
    <cellStyle name="Normal 10 3 3 2" xfId="3452"/>
    <cellStyle name="Normal 10 3 4" xfId="3453"/>
    <cellStyle name="Normal 10 4" xfId="3454"/>
    <cellStyle name="Normal 10 4 2" xfId="3455"/>
    <cellStyle name="Normal 10 4 2 2" xfId="3456"/>
    <cellStyle name="Normal 10 4 3" xfId="3457"/>
    <cellStyle name="Normal 10 5" xfId="3458"/>
    <cellStyle name="Normal 10 5 2" xfId="3459"/>
    <cellStyle name="Normal 10 6" xfId="3460"/>
    <cellStyle name="Normal 11" xfId="3461"/>
    <cellStyle name="Normal 11 2" xfId="3462"/>
    <cellStyle name="Normal 11 2 2" xfId="3463"/>
    <cellStyle name="Normal 12" xfId="3464"/>
    <cellStyle name="Normal 12 2" xfId="3465"/>
    <cellStyle name="Normal 12 2 2" xfId="3466"/>
    <cellStyle name="Normal 13" xfId="3467"/>
    <cellStyle name="Normal 13 2" xfId="3468"/>
    <cellStyle name="Normal 13 2 2" xfId="3469"/>
    <cellStyle name="Normal 13 3" xfId="3470"/>
    <cellStyle name="Normal 13 4" xfId="3471"/>
    <cellStyle name="Normal 14" xfId="3472"/>
    <cellStyle name="Normal 14 2" xfId="3473"/>
    <cellStyle name="Normal 14 2 2" xfId="3474"/>
    <cellStyle name="Normal 14 3" xfId="3475"/>
    <cellStyle name="Normal 14 4" xfId="3476"/>
    <cellStyle name="Normal 15" xfId="3477"/>
    <cellStyle name="Normal 15 2" xfId="3478"/>
    <cellStyle name="Normal 15 2 2" xfId="3479"/>
    <cellStyle name="Normal 15 3" xfId="3480"/>
    <cellStyle name="Normal 15 4" xfId="3481"/>
    <cellStyle name="Normal 16" xfId="3482"/>
    <cellStyle name="Normal 16 2" xfId="3483"/>
    <cellStyle name="Normal 17" xfId="3484"/>
    <cellStyle name="Normal 17 2" xfId="3485"/>
    <cellStyle name="Normal 18" xfId="3486"/>
    <cellStyle name="Normal 18 2" xfId="3487"/>
    <cellStyle name="Normal 19" xfId="3488"/>
    <cellStyle name="Normal 19 2" xfId="3489"/>
    <cellStyle name="Normal 2" xfId="3490"/>
    <cellStyle name="Normal 2 2" xfId="3491"/>
    <cellStyle name="Normal 2 3" xfId="3492"/>
    <cellStyle name="Normal 20" xfId="3493"/>
    <cellStyle name="Normal 20 2" xfId="3494"/>
    <cellStyle name="Normal 21" xfId="3495"/>
    <cellStyle name="Normal 21 2" xfId="3496"/>
    <cellStyle name="Normal 22" xfId="3497"/>
    <cellStyle name="Normal 22 2" xfId="3498"/>
    <cellStyle name="Normal 22 2 2" xfId="3499"/>
    <cellStyle name="Normal 22 3" xfId="3500"/>
    <cellStyle name="Normal 22 4" xfId="3501"/>
    <cellStyle name="Normal 23" xfId="3502"/>
    <cellStyle name="Normal 23 2" xfId="3503"/>
    <cellStyle name="Normal 24" xfId="3504"/>
    <cellStyle name="Normal 24 2" xfId="3505"/>
    <cellStyle name="Normal 25" xfId="3506"/>
    <cellStyle name="Normal 25 2" xfId="3507"/>
    <cellStyle name="Normal 25 2 2" xfId="3508"/>
    <cellStyle name="Normal 25 3" xfId="3509"/>
    <cellStyle name="Normal 26" xfId="3510"/>
    <cellStyle name="Normal 26 2" xfId="3511"/>
    <cellStyle name="Normal 26 2 2" xfId="3512"/>
    <cellStyle name="Normal 26 3" xfId="3513"/>
    <cellStyle name="Normal 27" xfId="3514"/>
    <cellStyle name="Normal 27 2" xfId="3515"/>
    <cellStyle name="Normal 28" xfId="3516"/>
    <cellStyle name="Normal 28 2" xfId="3517"/>
    <cellStyle name="Normal 29" xfId="3518"/>
    <cellStyle name="Normal 29 2" xfId="3519"/>
    <cellStyle name="Normal 3" xfId="3520"/>
    <cellStyle name="Normal 3 2" xfId="3521"/>
    <cellStyle name="Normal 3 3" xfId="3522"/>
    <cellStyle name="Normal 3 3 2" xfId="3523"/>
    <cellStyle name="Normal 3 3 2 2" xfId="3524"/>
    <cellStyle name="Normal 3 3 2 2 2" xfId="3525"/>
    <cellStyle name="Normal 3 3 2 2 2 2" xfId="3526"/>
    <cellStyle name="Normal 3 3 2 2 3" xfId="3527"/>
    <cellStyle name="Normal 3 3 2 3" xfId="3528"/>
    <cellStyle name="Normal 3 3 2 3 2" xfId="3529"/>
    <cellStyle name="Normal 3 3 2 4" xfId="3530"/>
    <cellStyle name="Normal 3 3 3" xfId="3531"/>
    <cellStyle name="Normal 3 3 3 2" xfId="3532"/>
    <cellStyle name="Normal 3 3 3 2 2" xfId="3533"/>
    <cellStyle name="Normal 3 3 3 2 2 2" xfId="3534"/>
    <cellStyle name="Normal 3 3 3 2 3" xfId="3535"/>
    <cellStyle name="Normal 3 3 3 3" xfId="3536"/>
    <cellStyle name="Normal 3 3 3 3 2" xfId="3537"/>
    <cellStyle name="Normal 3 3 3 4" xfId="3538"/>
    <cellStyle name="Normal 3 3 4" xfId="3539"/>
    <cellStyle name="Normal 3 3 4 2" xfId="3540"/>
    <cellStyle name="Normal 3 3 4 2 2" xfId="3541"/>
    <cellStyle name="Normal 3 3 4 3" xfId="3542"/>
    <cellStyle name="Normal 3 3 5" xfId="3543"/>
    <cellStyle name="Normal 3 3 5 2" xfId="3544"/>
    <cellStyle name="Normal 3 3 6" xfId="3545"/>
    <cellStyle name="Normal 3 4" xfId="3546"/>
    <cellStyle name="Normal 3 4 2" xfId="3547"/>
    <cellStyle name="Normal 3 4 2 2" xfId="3548"/>
    <cellStyle name="Normal 3 4 2 2 2" xfId="3549"/>
    <cellStyle name="Normal 3 4 2 2 2 2" xfId="3550"/>
    <cellStyle name="Normal 3 4 2 2 3" xfId="3551"/>
    <cellStyle name="Normal 3 4 2 3" xfId="3552"/>
    <cellStyle name="Normal 3 4 2 3 2" xfId="3553"/>
    <cellStyle name="Normal 3 4 2 4" xfId="3554"/>
    <cellStyle name="Normal 3 4 3" xfId="3555"/>
    <cellStyle name="Normal 3 4 3 2" xfId="3556"/>
    <cellStyle name="Normal 3 4 3 2 2" xfId="3557"/>
    <cellStyle name="Normal 3 4 3 2 2 2" xfId="3558"/>
    <cellStyle name="Normal 3 4 3 2 3" xfId="3559"/>
    <cellStyle name="Normal 3 4 3 3" xfId="3560"/>
    <cellStyle name="Normal 3 4 3 3 2" xfId="3561"/>
    <cellStyle name="Normal 3 4 3 4" xfId="3562"/>
    <cellStyle name="Normal 3 4 4" xfId="3563"/>
    <cellStyle name="Normal 3 4 4 2" xfId="3564"/>
    <cellStyle name="Normal 3 4 4 2 2" xfId="3565"/>
    <cellStyle name="Normal 3 4 4 3" xfId="3566"/>
    <cellStyle name="Normal 3 4 5" xfId="3567"/>
    <cellStyle name="Normal 3 4 5 2" xfId="3568"/>
    <cellStyle name="Normal 3 4 6" xfId="3569"/>
    <cellStyle name="Normal 3 5" xfId="3570"/>
    <cellStyle name="Normal 30" xfId="3571"/>
    <cellStyle name="Normal 30 2" xfId="3572"/>
    <cellStyle name="Normal 30 2 2" xfId="3573"/>
    <cellStyle name="Normal 30 3" xfId="3574"/>
    <cellStyle name="Normal 31" xfId="3575"/>
    <cellStyle name="Normal 31 2" xfId="3576"/>
    <cellStyle name="Normal 32" xfId="3577"/>
    <cellStyle name="Normal 32 2" xfId="3578"/>
    <cellStyle name="Normal 33" xfId="3579"/>
    <cellStyle name="Normal 33 2" xfId="3580"/>
    <cellStyle name="Normal 34" xfId="3581"/>
    <cellStyle name="Normal 34 2" xfId="3582"/>
    <cellStyle name="Normal 35" xfId="3583"/>
    <cellStyle name="Normal 35 2" xfId="3584"/>
    <cellStyle name="Normal 36" xfId="3585"/>
    <cellStyle name="Normal 36 2" xfId="3586"/>
    <cellStyle name="Normal 37" xfId="3587"/>
    <cellStyle name="Normal 37 2" xfId="3588"/>
    <cellStyle name="Normal 38" xfId="3589"/>
    <cellStyle name="Normal 38 2" xfId="3590"/>
    <cellStyle name="Normal 39" xfId="3591"/>
    <cellStyle name="Normal 39 2" xfId="3592"/>
    <cellStyle name="Normal 4" xfId="3593"/>
    <cellStyle name="Normal 4 2" xfId="3594"/>
    <cellStyle name="Normal 4 3" xfId="3595"/>
    <cellStyle name="Normal 40" xfId="3596"/>
    <cellStyle name="Normal 40 2" xfId="3597"/>
    <cellStyle name="Normal 41" xfId="3598"/>
    <cellStyle name="Normal 41 2" xfId="3599"/>
    <cellStyle name="Normal 41 2 2" xfId="3600"/>
    <cellStyle name="Normal 41 3" xfId="3601"/>
    <cellStyle name="Normal 42" xfId="3602"/>
    <cellStyle name="Normal 42 2" xfId="3603"/>
    <cellStyle name="Normal 42 2 2" xfId="3604"/>
    <cellStyle name="Normal 42 3" xfId="3605"/>
    <cellStyle name="Normal 43" xfId="3606"/>
    <cellStyle name="Normal 43 2" xfId="3607"/>
    <cellStyle name="Normal 44" xfId="3608"/>
    <cellStyle name="Normal 44 2" xfId="3609"/>
    <cellStyle name="Normal 45" xfId="3610"/>
    <cellStyle name="Normal 45 2" xfId="3611"/>
    <cellStyle name="Normal 46" xfId="3612"/>
    <cellStyle name="Normal 47" xfId="3613"/>
    <cellStyle name="Normal 48" xfId="3614"/>
    <cellStyle name="Normal 49" xfId="3615"/>
    <cellStyle name="Normal 49 2" xfId="3616"/>
    <cellStyle name="Normal 5" xfId="3617"/>
    <cellStyle name="Normal 5 2" xfId="3618"/>
    <cellStyle name="Normal 5 3" xfId="3619"/>
    <cellStyle name="Normal 50" xfId="3620"/>
    <cellStyle name="Normal 50 2" xfId="3621"/>
    <cellStyle name="Normal 51" xfId="3622"/>
    <cellStyle name="Normal 51 2" xfId="3623"/>
    <cellStyle name="Normal 52" xfId="3624"/>
    <cellStyle name="Normal 52 2" xfId="3625"/>
    <cellStyle name="Normal 53" xfId="3626"/>
    <cellStyle name="Normal 53 2" xfId="3627"/>
    <cellStyle name="Normal 54" xfId="3628"/>
    <cellStyle name="Normal 54 2" xfId="3629"/>
    <cellStyle name="Normal 55" xfId="3630"/>
    <cellStyle name="Normal 55 2" xfId="3631"/>
    <cellStyle name="Normal 56" xfId="3632"/>
    <cellStyle name="Normal 56 2" xfId="3633"/>
    <cellStyle name="Normal 57" xfId="3634"/>
    <cellStyle name="Normal 57 2" xfId="3635"/>
    <cellStyle name="Normal 58" xfId="3636"/>
    <cellStyle name="Normal 59" xfId="3637"/>
    <cellStyle name="Normal 6" xfId="3638"/>
    <cellStyle name="Normal 60" xfId="3639"/>
    <cellStyle name="Normal 61" xfId="3640"/>
    <cellStyle name="Normal 62" xfId="3641"/>
    <cellStyle name="Normal 63" xfId="3642"/>
    <cellStyle name="Normal 64" xfId="3643"/>
    <cellStyle name="Normal 65" xfId="3644"/>
    <cellStyle name="Normal 66" xfId="3645"/>
    <cellStyle name="Normal 67" xfId="3646"/>
    <cellStyle name="Normal 68" xfId="3647"/>
    <cellStyle name="Normal 7" xfId="3648"/>
    <cellStyle name="Normal 8" xfId="3649"/>
    <cellStyle name="Normal 9" xfId="3650"/>
    <cellStyle name="Normal 9 2" xfId="3651"/>
    <cellStyle name="Normal 9 2 2" xfId="3652"/>
    <cellStyle name="Normal 9 2 2 2" xfId="3653"/>
    <cellStyle name="Normal 9 2 2 2 2" xfId="3654"/>
    <cellStyle name="Normal 9 2 2 3" xfId="3655"/>
    <cellStyle name="Normal 9 2 3" xfId="3656"/>
    <cellStyle name="Normal 9 2 3 2" xfId="3657"/>
    <cellStyle name="Normal 9 2 4" xfId="3658"/>
    <cellStyle name="Normal 9 3" xfId="3659"/>
    <cellStyle name="Normal 9 3 2" xfId="3660"/>
    <cellStyle name="Normal 9 3 2 2" xfId="3661"/>
    <cellStyle name="Normal 9 3 2 2 2" xfId="3662"/>
    <cellStyle name="Normal 9 3 2 3" xfId="3663"/>
    <cellStyle name="Normal 9 3 3" xfId="3664"/>
    <cellStyle name="Normal 9 3 3 2" xfId="3665"/>
    <cellStyle name="Normal 9 3 4" xfId="3666"/>
    <cellStyle name="Normal 9 4" xfId="3667"/>
    <cellStyle name="Normal 9 4 2" xfId="3668"/>
    <cellStyle name="Normal 9 4 2 2" xfId="3669"/>
    <cellStyle name="Normal 9 4 3" xfId="3670"/>
    <cellStyle name="Normal 9 5" xfId="3671"/>
    <cellStyle name="Normal 9 5 2" xfId="3672"/>
    <cellStyle name="Normal 9 6" xfId="3673"/>
    <cellStyle name="Note" xfId="7637" builtinId="10" customBuiltin="1"/>
    <cellStyle name="Note 2" xfId="3674"/>
    <cellStyle name="Note 2 2" xfId="3675"/>
    <cellStyle name="Note 2 2 2" xfId="3676"/>
    <cellStyle name="Note 2 2 2 2" xfId="3677"/>
    <cellStyle name="Note 2 2 2 2 2" xfId="3678"/>
    <cellStyle name="Note 2 2 2 2 2 2" xfId="3679"/>
    <cellStyle name="Note 2 2 2 2 2 2 2" xfId="3680"/>
    <cellStyle name="Note 2 2 2 2 2 2 2 2" xfId="3681"/>
    <cellStyle name="Note 2 2 2 2 2 2 2 2 2" xfId="3682"/>
    <cellStyle name="Note 2 2 2 2 2 2 2 3" xfId="3683"/>
    <cellStyle name="Note 2 2 2 2 2 2 3" xfId="3684"/>
    <cellStyle name="Note 2 2 2 2 2 2 3 2" xfId="3685"/>
    <cellStyle name="Note 2 2 2 2 2 2 4" xfId="3686"/>
    <cellStyle name="Note 2 2 2 2 2 3" xfId="3687"/>
    <cellStyle name="Note 2 2 2 2 2 3 2" xfId="3688"/>
    <cellStyle name="Note 2 2 2 2 2 3 2 2" xfId="3689"/>
    <cellStyle name="Note 2 2 2 2 2 3 3" xfId="3690"/>
    <cellStyle name="Note 2 2 2 2 2 3 4" xfId="3691"/>
    <cellStyle name="Note 2 2 2 2 2 4" xfId="3692"/>
    <cellStyle name="Note 2 2 2 2 2 4 2" xfId="3693"/>
    <cellStyle name="Note 2 2 2 2 2 4 2 2" xfId="3694"/>
    <cellStyle name="Note 2 2 2 2 2 4 3" xfId="3695"/>
    <cellStyle name="Note 2 2 2 2 2 5" xfId="3696"/>
    <cellStyle name="Note 2 2 2 2 3" xfId="3697"/>
    <cellStyle name="Note 2 2 2 2 3 2" xfId="3698"/>
    <cellStyle name="Note 2 2 2 2 3 2 2" xfId="3699"/>
    <cellStyle name="Note 2 2 2 2 3 2 2 2" xfId="3700"/>
    <cellStyle name="Note 2 2 2 2 3 2 2 2 2" xfId="3701"/>
    <cellStyle name="Note 2 2 2 2 3 2 2 3" xfId="3702"/>
    <cellStyle name="Note 2 2 2 2 3 2 3" xfId="3703"/>
    <cellStyle name="Note 2 2 2 2 3 2 3 2" xfId="3704"/>
    <cellStyle name="Note 2 2 2 2 3 2 4" xfId="3705"/>
    <cellStyle name="Note 2 2 2 2 3 3" xfId="3706"/>
    <cellStyle name="Note 2 2 2 2 3 3 2" xfId="3707"/>
    <cellStyle name="Note 2 2 2 2 3 3 2 2" xfId="3708"/>
    <cellStyle name="Note 2 2 2 2 3 3 3" xfId="3709"/>
    <cellStyle name="Note 2 2 2 2 3 3 4" xfId="3710"/>
    <cellStyle name="Note 2 2 2 2 3 4" xfId="3711"/>
    <cellStyle name="Note 2 2 2 2 3 4 2" xfId="3712"/>
    <cellStyle name="Note 2 2 2 2 3 4 2 2" xfId="3713"/>
    <cellStyle name="Note 2 2 2 2 3 4 3" xfId="3714"/>
    <cellStyle name="Note 2 2 2 2 3 5" xfId="3715"/>
    <cellStyle name="Note 2 2 2 2 3 5 2" xfId="3716"/>
    <cellStyle name="Note 2 2 2 2 3 6" xfId="3717"/>
    <cellStyle name="Note 2 2 2 2 4" xfId="3718"/>
    <cellStyle name="Note 2 2 2 2 4 2" xfId="3719"/>
    <cellStyle name="Note 2 2 2 2 4 2 2" xfId="3720"/>
    <cellStyle name="Note 2 2 2 2 4 2 2 2" xfId="3721"/>
    <cellStyle name="Note 2 2 2 2 4 2 2 2 2" xfId="3722"/>
    <cellStyle name="Note 2 2 2 2 4 2 2 3" xfId="3723"/>
    <cellStyle name="Note 2 2 2 2 4 2 3" xfId="3724"/>
    <cellStyle name="Note 2 2 2 2 4 2 3 2" xfId="3725"/>
    <cellStyle name="Note 2 2 2 2 4 2 4" xfId="3726"/>
    <cellStyle name="Note 2 2 2 2 4 3" xfId="3727"/>
    <cellStyle name="Note 2 2 2 2 4 3 2" xfId="3728"/>
    <cellStyle name="Note 2 2 2 2 4 3 2 2" xfId="3729"/>
    <cellStyle name="Note 2 2 2 2 4 3 3" xfId="3730"/>
    <cellStyle name="Note 2 2 2 2 4 3 4" xfId="3731"/>
    <cellStyle name="Note 2 2 2 2 4 4" xfId="3732"/>
    <cellStyle name="Note 2 2 2 2 4 4 2" xfId="3733"/>
    <cellStyle name="Note 2 2 2 2 4 4 2 2" xfId="3734"/>
    <cellStyle name="Note 2 2 2 2 4 4 3" xfId="3735"/>
    <cellStyle name="Note 2 2 2 2 4 5" xfId="3736"/>
    <cellStyle name="Note 2 2 2 2 4 5 2" xfId="3737"/>
    <cellStyle name="Note 2 2 2 2 4 6" xfId="3738"/>
    <cellStyle name="Note 2 2 2 2 5" xfId="3739"/>
    <cellStyle name="Note 2 2 2 2 5 2" xfId="3740"/>
    <cellStyle name="Note 2 2 2 3" xfId="3741"/>
    <cellStyle name="Note 2 2 2 3 2" xfId="3742"/>
    <cellStyle name="Note 2 2 2 3 2 2" xfId="3743"/>
    <cellStyle name="Note 2 2 2 3 2 2 2" xfId="3744"/>
    <cellStyle name="Note 2 2 2 3 2 2 2 2" xfId="3745"/>
    <cellStyle name="Note 2 2 2 3 2 2 3" xfId="3746"/>
    <cellStyle name="Note 2 2 2 3 2 3" xfId="3747"/>
    <cellStyle name="Note 2 2 2 3 2 3 2" xfId="3748"/>
    <cellStyle name="Note 2 2 2 3 2 4" xfId="3749"/>
    <cellStyle name="Note 2 2 2 3 3" xfId="3750"/>
    <cellStyle name="Note 2 2 2 3 3 2" xfId="3751"/>
    <cellStyle name="Note 2 2 2 3 3 2 2" xfId="3752"/>
    <cellStyle name="Note 2 2 2 3 3 3" xfId="3753"/>
    <cellStyle name="Note 2 2 2 3 3 4" xfId="3754"/>
    <cellStyle name="Note 2 2 2 3 4" xfId="3755"/>
    <cellStyle name="Note 2 2 2 3 4 2" xfId="3756"/>
    <cellStyle name="Note 2 2 2 3 4 2 2" xfId="3757"/>
    <cellStyle name="Note 2 2 2 3 4 3" xfId="3758"/>
    <cellStyle name="Note 2 2 2 3 5" xfId="3759"/>
    <cellStyle name="Note 2 2 2 4" xfId="3760"/>
    <cellStyle name="Note 2 2 2 4 2" xfId="3761"/>
    <cellStyle name="Note 2 2 2 4 2 2" xfId="3762"/>
    <cellStyle name="Note 2 2 2 4 2 2 2" xfId="3763"/>
    <cellStyle name="Note 2 2 2 4 2 2 2 2" xfId="3764"/>
    <cellStyle name="Note 2 2 2 4 2 2 3" xfId="3765"/>
    <cellStyle name="Note 2 2 2 4 2 3" xfId="3766"/>
    <cellStyle name="Note 2 2 2 4 2 3 2" xfId="3767"/>
    <cellStyle name="Note 2 2 2 4 2 4" xfId="3768"/>
    <cellStyle name="Note 2 2 2 4 3" xfId="3769"/>
    <cellStyle name="Note 2 2 2 4 3 2" xfId="3770"/>
    <cellStyle name="Note 2 2 2 4 3 2 2" xfId="3771"/>
    <cellStyle name="Note 2 2 2 4 3 3" xfId="3772"/>
    <cellStyle name="Note 2 2 2 4 3 4" xfId="3773"/>
    <cellStyle name="Note 2 2 2 4 4" xfId="3774"/>
    <cellStyle name="Note 2 2 2 4 4 2" xfId="3775"/>
    <cellStyle name="Note 2 2 2 4 4 2 2" xfId="3776"/>
    <cellStyle name="Note 2 2 2 4 4 3" xfId="3777"/>
    <cellStyle name="Note 2 2 2 4 5" xfId="3778"/>
    <cellStyle name="Note 2 2 2 4 5 2" xfId="3779"/>
    <cellStyle name="Note 2 2 2 4 6" xfId="3780"/>
    <cellStyle name="Note 2 2 2 5" xfId="3781"/>
    <cellStyle name="Note 2 2 2 5 2" xfId="3782"/>
    <cellStyle name="Note 2 2 2 5 2 2" xfId="3783"/>
    <cellStyle name="Note 2 2 2 5 2 2 2" xfId="3784"/>
    <cellStyle name="Note 2 2 2 5 2 2 2 2" xfId="3785"/>
    <cellStyle name="Note 2 2 2 5 2 2 3" xfId="3786"/>
    <cellStyle name="Note 2 2 2 5 2 3" xfId="3787"/>
    <cellStyle name="Note 2 2 2 5 2 3 2" xfId="3788"/>
    <cellStyle name="Note 2 2 2 5 2 4" xfId="3789"/>
    <cellStyle name="Note 2 2 2 5 3" xfId="3790"/>
    <cellStyle name="Note 2 2 2 5 3 2" xfId="3791"/>
    <cellStyle name="Note 2 2 2 5 3 2 2" xfId="3792"/>
    <cellStyle name="Note 2 2 2 5 3 3" xfId="3793"/>
    <cellStyle name="Note 2 2 2 5 3 4" xfId="3794"/>
    <cellStyle name="Note 2 2 2 5 4" xfId="3795"/>
    <cellStyle name="Note 2 2 2 5 4 2" xfId="3796"/>
    <cellStyle name="Note 2 2 2 5 4 2 2" xfId="3797"/>
    <cellStyle name="Note 2 2 2 5 4 3" xfId="3798"/>
    <cellStyle name="Note 2 2 2 5 5" xfId="3799"/>
    <cellStyle name="Note 2 2 2 5 5 2" xfId="3800"/>
    <cellStyle name="Note 2 2 2 5 6" xfId="3801"/>
    <cellStyle name="Note 2 2 3" xfId="3802"/>
    <cellStyle name="Note 2 2 3 2" xfId="3803"/>
    <cellStyle name="Note 2 2 3 2 2" xfId="3804"/>
    <cellStyle name="Note 2 2 3 2 2 2" xfId="3805"/>
    <cellStyle name="Note 2 2 3 2 2 2 2" xfId="3806"/>
    <cellStyle name="Note 2 2 3 2 2 2 2 2" xfId="3807"/>
    <cellStyle name="Note 2 2 3 2 2 2 3" xfId="3808"/>
    <cellStyle name="Note 2 2 3 2 2 3" xfId="3809"/>
    <cellStyle name="Note 2 2 3 2 2 3 2" xfId="3810"/>
    <cellStyle name="Note 2 2 3 2 2 4" xfId="3811"/>
    <cellStyle name="Note 2 2 3 2 3" xfId="3812"/>
    <cellStyle name="Note 2 2 3 2 3 2" xfId="3813"/>
    <cellStyle name="Note 2 2 3 2 3 2 2" xfId="3814"/>
    <cellStyle name="Note 2 2 3 2 3 3" xfId="3815"/>
    <cellStyle name="Note 2 2 3 2 3 4" xfId="3816"/>
    <cellStyle name="Note 2 2 3 2 4" xfId="3817"/>
    <cellStyle name="Note 2 2 3 2 4 2" xfId="3818"/>
    <cellStyle name="Note 2 2 3 2 4 2 2" xfId="3819"/>
    <cellStyle name="Note 2 2 3 2 4 3" xfId="3820"/>
    <cellStyle name="Note 2 2 3 2 5" xfId="3821"/>
    <cellStyle name="Note 2 2 3 3" xfId="3822"/>
    <cellStyle name="Note 2 2 3 3 2" xfId="3823"/>
    <cellStyle name="Note 2 2 3 3 2 2" xfId="3824"/>
    <cellStyle name="Note 2 2 3 3 2 2 2" xfId="3825"/>
    <cellStyle name="Note 2 2 3 3 2 2 2 2" xfId="3826"/>
    <cellStyle name="Note 2 2 3 3 2 2 3" xfId="3827"/>
    <cellStyle name="Note 2 2 3 3 2 3" xfId="3828"/>
    <cellStyle name="Note 2 2 3 3 2 3 2" xfId="3829"/>
    <cellStyle name="Note 2 2 3 3 2 4" xfId="3830"/>
    <cellStyle name="Note 2 2 3 3 3" xfId="3831"/>
    <cellStyle name="Note 2 2 3 3 3 2" xfId="3832"/>
    <cellStyle name="Note 2 2 3 3 3 2 2" xfId="3833"/>
    <cellStyle name="Note 2 2 3 3 3 3" xfId="3834"/>
    <cellStyle name="Note 2 2 3 3 3 4" xfId="3835"/>
    <cellStyle name="Note 2 2 3 3 4" xfId="3836"/>
    <cellStyle name="Note 2 2 3 3 4 2" xfId="3837"/>
    <cellStyle name="Note 2 2 3 3 4 2 2" xfId="3838"/>
    <cellStyle name="Note 2 2 3 3 4 3" xfId="3839"/>
    <cellStyle name="Note 2 2 3 3 5" xfId="3840"/>
    <cellStyle name="Note 2 2 3 3 5 2" xfId="3841"/>
    <cellStyle name="Note 2 2 3 3 6" xfId="3842"/>
    <cellStyle name="Note 2 2 3 4" xfId="3843"/>
    <cellStyle name="Note 2 2 3 4 2" xfId="3844"/>
    <cellStyle name="Note 2 2 3 4 2 2" xfId="3845"/>
    <cellStyle name="Note 2 2 3 4 2 2 2" xfId="3846"/>
    <cellStyle name="Note 2 2 3 4 2 2 2 2" xfId="3847"/>
    <cellStyle name="Note 2 2 3 4 2 2 3" xfId="3848"/>
    <cellStyle name="Note 2 2 3 4 2 3" xfId="3849"/>
    <cellStyle name="Note 2 2 3 4 2 3 2" xfId="3850"/>
    <cellStyle name="Note 2 2 3 4 2 4" xfId="3851"/>
    <cellStyle name="Note 2 2 3 4 3" xfId="3852"/>
    <cellStyle name="Note 2 2 3 4 3 2" xfId="3853"/>
    <cellStyle name="Note 2 2 3 4 3 2 2" xfId="3854"/>
    <cellStyle name="Note 2 2 3 4 3 3" xfId="3855"/>
    <cellStyle name="Note 2 2 3 4 3 4" xfId="3856"/>
    <cellStyle name="Note 2 2 3 4 4" xfId="3857"/>
    <cellStyle name="Note 2 2 3 4 4 2" xfId="3858"/>
    <cellStyle name="Note 2 2 3 4 4 2 2" xfId="3859"/>
    <cellStyle name="Note 2 2 3 4 4 3" xfId="3860"/>
    <cellStyle name="Note 2 2 3 4 5" xfId="3861"/>
    <cellStyle name="Note 2 2 3 4 5 2" xfId="3862"/>
    <cellStyle name="Note 2 2 3 4 6" xfId="3863"/>
    <cellStyle name="Note 2 2 3 5" xfId="3864"/>
    <cellStyle name="Note 2 2 3 5 2" xfId="3865"/>
    <cellStyle name="Note 2 2 4" xfId="3866"/>
    <cellStyle name="Note 2 2 4 2" xfId="3867"/>
    <cellStyle name="Note 2 2 4 2 2" xfId="3868"/>
    <cellStyle name="Note 2 2 4 2 2 2" xfId="3869"/>
    <cellStyle name="Note 2 2 4 2 2 2 2" xfId="3870"/>
    <cellStyle name="Note 2 2 4 2 2 2 2 2" xfId="3871"/>
    <cellStyle name="Note 2 2 4 2 2 2 3" xfId="3872"/>
    <cellStyle name="Note 2 2 4 2 2 3" xfId="3873"/>
    <cellStyle name="Note 2 2 4 2 2 3 2" xfId="3874"/>
    <cellStyle name="Note 2 2 4 2 2 4" xfId="3875"/>
    <cellStyle name="Note 2 2 4 2 3" xfId="3876"/>
    <cellStyle name="Note 2 2 4 2 3 2" xfId="3877"/>
    <cellStyle name="Note 2 2 4 2 3 2 2" xfId="3878"/>
    <cellStyle name="Note 2 2 4 2 3 3" xfId="3879"/>
    <cellStyle name="Note 2 2 4 2 3 4" xfId="3880"/>
    <cellStyle name="Note 2 2 4 2 4" xfId="3881"/>
    <cellStyle name="Note 2 2 4 2 4 2" xfId="3882"/>
    <cellStyle name="Note 2 2 4 2 4 2 2" xfId="3883"/>
    <cellStyle name="Note 2 2 4 2 4 3" xfId="3884"/>
    <cellStyle name="Note 2 2 4 2 5" xfId="3885"/>
    <cellStyle name="Note 2 2 4 2 5 2" xfId="3886"/>
    <cellStyle name="Note 2 2 4 2 6" xfId="3887"/>
    <cellStyle name="Note 2 2 4 3" xfId="3888"/>
    <cellStyle name="Note 2 2 4 3 2" xfId="3889"/>
    <cellStyle name="Note 2 2 4 3 2 2" xfId="3890"/>
    <cellStyle name="Note 2 2 4 3 2 2 2" xfId="3891"/>
    <cellStyle name="Note 2 2 4 3 2 2 2 2" xfId="3892"/>
    <cellStyle name="Note 2 2 4 3 2 2 3" xfId="3893"/>
    <cellStyle name="Note 2 2 4 3 2 3" xfId="3894"/>
    <cellStyle name="Note 2 2 4 3 2 3 2" xfId="3895"/>
    <cellStyle name="Note 2 2 4 3 2 4" xfId="3896"/>
    <cellStyle name="Note 2 2 4 3 3" xfId="3897"/>
    <cellStyle name="Note 2 2 4 3 3 2" xfId="3898"/>
    <cellStyle name="Note 2 2 4 3 3 2 2" xfId="3899"/>
    <cellStyle name="Note 2 2 4 3 3 3" xfId="3900"/>
    <cellStyle name="Note 2 2 4 3 3 4" xfId="3901"/>
    <cellStyle name="Note 2 2 4 3 4" xfId="3902"/>
    <cellStyle name="Note 2 2 4 3 4 2" xfId="3903"/>
    <cellStyle name="Note 2 2 4 3 4 2 2" xfId="3904"/>
    <cellStyle name="Note 2 2 4 3 4 3" xfId="3905"/>
    <cellStyle name="Note 2 2 4 3 5" xfId="3906"/>
    <cellStyle name="Note 2 2 4 3 5 2" xfId="3907"/>
    <cellStyle name="Note 2 2 4 3 6" xfId="3908"/>
    <cellStyle name="Note 2 2 4 4" xfId="3909"/>
    <cellStyle name="Note 2 2 4 4 2" xfId="3910"/>
    <cellStyle name="Note 2 2 4 4 2 2" xfId="3911"/>
    <cellStyle name="Note 2 2 4 4 2 2 2" xfId="3912"/>
    <cellStyle name="Note 2 2 4 4 2 3" xfId="3913"/>
    <cellStyle name="Note 2 2 4 4 3" xfId="3914"/>
    <cellStyle name="Note 2 2 4 4 3 2" xfId="3915"/>
    <cellStyle name="Note 2 2 4 4 4" xfId="3916"/>
    <cellStyle name="Note 2 2 4 5" xfId="3917"/>
    <cellStyle name="Note 2 2 4 5 2" xfId="3918"/>
    <cellStyle name="Note 2 2 4 5 2 2" xfId="3919"/>
    <cellStyle name="Note 2 2 4 5 3" xfId="3920"/>
    <cellStyle name="Note 2 2 4 5 4" xfId="3921"/>
    <cellStyle name="Note 2 2 4 6" xfId="3922"/>
    <cellStyle name="Note 2 2 4 6 2" xfId="3923"/>
    <cellStyle name="Note 2 2 4 6 2 2" xfId="3924"/>
    <cellStyle name="Note 2 2 4 6 3" xfId="3925"/>
    <cellStyle name="Note 2 2 4 7" xfId="3926"/>
    <cellStyle name="Note 2 2 5" xfId="3927"/>
    <cellStyle name="Note 2 2 5 2" xfId="3928"/>
    <cellStyle name="Note 2 2 5 2 2" xfId="3929"/>
    <cellStyle name="Note 2 2 5 2 2 2" xfId="3930"/>
    <cellStyle name="Note 2 2 5 2 2 2 2" xfId="3931"/>
    <cellStyle name="Note 2 2 5 2 2 3" xfId="3932"/>
    <cellStyle name="Note 2 2 5 2 3" xfId="3933"/>
    <cellStyle name="Note 2 2 5 2 3 2" xfId="3934"/>
    <cellStyle name="Note 2 2 5 2 4" xfId="3935"/>
    <cellStyle name="Note 2 2 5 3" xfId="3936"/>
    <cellStyle name="Note 2 2 5 3 2" xfId="3937"/>
    <cellStyle name="Note 2 2 5 3 2 2" xfId="3938"/>
    <cellStyle name="Note 2 2 5 3 3" xfId="3939"/>
    <cellStyle name="Note 2 2 5 3 4" xfId="3940"/>
    <cellStyle name="Note 2 2 5 4" xfId="3941"/>
    <cellStyle name="Note 2 2 5 4 2" xfId="3942"/>
    <cellStyle name="Note 2 2 5 4 2 2" xfId="3943"/>
    <cellStyle name="Note 2 2 5 4 3" xfId="3944"/>
    <cellStyle name="Note 2 2 5 5" xfId="3945"/>
    <cellStyle name="Note 2 3" xfId="3946"/>
    <cellStyle name="Note 2 3 2" xfId="3947"/>
    <cellStyle name="Note 2 3 2 2" xfId="3948"/>
    <cellStyle name="Note 2 3 2 2 2" xfId="3949"/>
    <cellStyle name="Note 2 3 2 2 2 2" xfId="3950"/>
    <cellStyle name="Note 2 3 2 2 2 2 2" xfId="3951"/>
    <cellStyle name="Note 2 3 2 2 2 2 2 2" xfId="3952"/>
    <cellStyle name="Note 2 3 2 2 2 2 3" xfId="3953"/>
    <cellStyle name="Note 2 3 2 2 2 3" xfId="3954"/>
    <cellStyle name="Note 2 3 2 2 2 3 2" xfId="3955"/>
    <cellStyle name="Note 2 3 2 2 2 4" xfId="3956"/>
    <cellStyle name="Note 2 3 2 2 3" xfId="3957"/>
    <cellStyle name="Note 2 3 2 2 3 2" xfId="3958"/>
    <cellStyle name="Note 2 3 2 2 3 2 2" xfId="3959"/>
    <cellStyle name="Note 2 3 2 2 3 3" xfId="3960"/>
    <cellStyle name="Note 2 3 2 2 3 4" xfId="3961"/>
    <cellStyle name="Note 2 3 2 2 4" xfId="3962"/>
    <cellStyle name="Note 2 3 2 2 4 2" xfId="3963"/>
    <cellStyle name="Note 2 3 2 2 4 2 2" xfId="3964"/>
    <cellStyle name="Note 2 3 2 2 4 3" xfId="3965"/>
    <cellStyle name="Note 2 3 2 2 5" xfId="3966"/>
    <cellStyle name="Note 2 3 2 3" xfId="3967"/>
    <cellStyle name="Note 2 3 2 3 2" xfId="3968"/>
    <cellStyle name="Note 2 3 2 3 2 2" xfId="3969"/>
    <cellStyle name="Note 2 3 2 3 2 2 2" xfId="3970"/>
    <cellStyle name="Note 2 3 2 3 2 2 2 2" xfId="3971"/>
    <cellStyle name="Note 2 3 2 3 2 2 3" xfId="3972"/>
    <cellStyle name="Note 2 3 2 3 2 3" xfId="3973"/>
    <cellStyle name="Note 2 3 2 3 2 3 2" xfId="3974"/>
    <cellStyle name="Note 2 3 2 3 2 4" xfId="3975"/>
    <cellStyle name="Note 2 3 2 3 3" xfId="3976"/>
    <cellStyle name="Note 2 3 2 3 3 2" xfId="3977"/>
    <cellStyle name="Note 2 3 2 3 3 2 2" xfId="3978"/>
    <cellStyle name="Note 2 3 2 3 3 3" xfId="3979"/>
    <cellStyle name="Note 2 3 2 3 3 4" xfId="3980"/>
    <cellStyle name="Note 2 3 2 3 4" xfId="3981"/>
    <cellStyle name="Note 2 3 2 3 4 2" xfId="3982"/>
    <cellStyle name="Note 2 3 2 3 4 2 2" xfId="3983"/>
    <cellStyle name="Note 2 3 2 3 4 3" xfId="3984"/>
    <cellStyle name="Note 2 3 2 3 5" xfId="3985"/>
    <cellStyle name="Note 2 3 2 3 5 2" xfId="3986"/>
    <cellStyle name="Note 2 3 2 3 6" xfId="3987"/>
    <cellStyle name="Note 2 3 2 4" xfId="3988"/>
    <cellStyle name="Note 2 3 2 4 2" xfId="3989"/>
    <cellStyle name="Note 2 3 2 4 2 2" xfId="3990"/>
    <cellStyle name="Note 2 3 2 4 2 2 2" xfId="3991"/>
    <cellStyle name="Note 2 3 2 4 2 2 2 2" xfId="3992"/>
    <cellStyle name="Note 2 3 2 4 2 2 3" xfId="3993"/>
    <cellStyle name="Note 2 3 2 4 2 3" xfId="3994"/>
    <cellStyle name="Note 2 3 2 4 2 3 2" xfId="3995"/>
    <cellStyle name="Note 2 3 2 4 2 4" xfId="3996"/>
    <cellStyle name="Note 2 3 2 4 3" xfId="3997"/>
    <cellStyle name="Note 2 3 2 4 3 2" xfId="3998"/>
    <cellStyle name="Note 2 3 2 4 3 2 2" xfId="3999"/>
    <cellStyle name="Note 2 3 2 4 3 3" xfId="4000"/>
    <cellStyle name="Note 2 3 2 4 3 4" xfId="4001"/>
    <cellStyle name="Note 2 3 2 4 4" xfId="4002"/>
    <cellStyle name="Note 2 3 2 4 4 2" xfId="4003"/>
    <cellStyle name="Note 2 3 2 4 4 2 2" xfId="4004"/>
    <cellStyle name="Note 2 3 2 4 4 3" xfId="4005"/>
    <cellStyle name="Note 2 3 2 4 5" xfId="4006"/>
    <cellStyle name="Note 2 3 2 4 5 2" xfId="4007"/>
    <cellStyle name="Note 2 3 2 4 6" xfId="4008"/>
    <cellStyle name="Note 2 3 2 5" xfId="4009"/>
    <cellStyle name="Note 2 3 2 5 2" xfId="4010"/>
    <cellStyle name="Note 2 3 3" xfId="4011"/>
    <cellStyle name="Note 2 3 3 2" xfId="4012"/>
    <cellStyle name="Note 2 3 3 2 2" xfId="4013"/>
    <cellStyle name="Note 2 3 3 2 2 2" xfId="4014"/>
    <cellStyle name="Note 2 3 3 2 2 2 2" xfId="4015"/>
    <cellStyle name="Note 2 3 3 2 2 3" xfId="4016"/>
    <cellStyle name="Note 2 3 3 2 3" xfId="4017"/>
    <cellStyle name="Note 2 3 3 2 3 2" xfId="4018"/>
    <cellStyle name="Note 2 3 3 2 4" xfId="4019"/>
    <cellStyle name="Note 2 3 3 3" xfId="4020"/>
    <cellStyle name="Note 2 3 3 3 2" xfId="4021"/>
    <cellStyle name="Note 2 3 3 3 2 2" xfId="4022"/>
    <cellStyle name="Note 2 3 3 3 3" xfId="4023"/>
    <cellStyle name="Note 2 3 3 3 4" xfId="4024"/>
    <cellStyle name="Note 2 3 3 4" xfId="4025"/>
    <cellStyle name="Note 2 3 3 4 2" xfId="4026"/>
    <cellStyle name="Note 2 3 3 4 2 2" xfId="4027"/>
    <cellStyle name="Note 2 3 3 4 3" xfId="4028"/>
    <cellStyle name="Note 2 3 3 5" xfId="4029"/>
    <cellStyle name="Note 2 3 4" xfId="4030"/>
    <cellStyle name="Note 2 3 4 2" xfId="4031"/>
    <cellStyle name="Note 2 3 4 2 2" xfId="4032"/>
    <cellStyle name="Note 2 3 4 2 2 2" xfId="4033"/>
    <cellStyle name="Note 2 3 4 2 2 2 2" xfId="4034"/>
    <cellStyle name="Note 2 3 4 2 2 3" xfId="4035"/>
    <cellStyle name="Note 2 3 4 2 3" xfId="4036"/>
    <cellStyle name="Note 2 3 4 2 3 2" xfId="4037"/>
    <cellStyle name="Note 2 3 4 2 4" xfId="4038"/>
    <cellStyle name="Note 2 3 4 3" xfId="4039"/>
    <cellStyle name="Note 2 3 4 3 2" xfId="4040"/>
    <cellStyle name="Note 2 3 4 3 2 2" xfId="4041"/>
    <cellStyle name="Note 2 3 4 3 3" xfId="4042"/>
    <cellStyle name="Note 2 3 4 3 4" xfId="4043"/>
    <cellStyle name="Note 2 3 4 4" xfId="4044"/>
    <cellStyle name="Note 2 3 4 4 2" xfId="4045"/>
    <cellStyle name="Note 2 3 4 4 2 2" xfId="4046"/>
    <cellStyle name="Note 2 3 4 4 3" xfId="4047"/>
    <cellStyle name="Note 2 3 4 5" xfId="4048"/>
    <cellStyle name="Note 2 3 4 5 2" xfId="4049"/>
    <cellStyle name="Note 2 3 4 6" xfId="4050"/>
    <cellStyle name="Note 2 3 5" xfId="4051"/>
    <cellStyle name="Note 2 3 5 2" xfId="4052"/>
    <cellStyle name="Note 2 3 5 2 2" xfId="4053"/>
    <cellStyle name="Note 2 3 5 2 2 2" xfId="4054"/>
    <cellStyle name="Note 2 3 5 2 2 2 2" xfId="4055"/>
    <cellStyle name="Note 2 3 5 2 2 3" xfId="4056"/>
    <cellStyle name="Note 2 3 5 2 3" xfId="4057"/>
    <cellStyle name="Note 2 3 5 2 3 2" xfId="4058"/>
    <cellStyle name="Note 2 3 5 2 4" xfId="4059"/>
    <cellStyle name="Note 2 3 5 3" xfId="4060"/>
    <cellStyle name="Note 2 3 5 3 2" xfId="4061"/>
    <cellStyle name="Note 2 3 5 3 2 2" xfId="4062"/>
    <cellStyle name="Note 2 3 5 3 3" xfId="4063"/>
    <cellStyle name="Note 2 3 5 3 4" xfId="4064"/>
    <cellStyle name="Note 2 3 5 4" xfId="4065"/>
    <cellStyle name="Note 2 3 5 4 2" xfId="4066"/>
    <cellStyle name="Note 2 3 5 4 2 2" xfId="4067"/>
    <cellStyle name="Note 2 3 5 4 3" xfId="4068"/>
    <cellStyle name="Note 2 3 5 5" xfId="4069"/>
    <cellStyle name="Note 2 3 5 5 2" xfId="4070"/>
    <cellStyle name="Note 2 3 5 6" xfId="4071"/>
    <cellStyle name="Note 2 4" xfId="4072"/>
    <cellStyle name="Note 2 4 2" xfId="4073"/>
    <cellStyle name="Note 2 4 2 2" xfId="4074"/>
    <cellStyle name="Note 2 4 2 2 2" xfId="4075"/>
    <cellStyle name="Note 2 4 2 2 2 2" xfId="4076"/>
    <cellStyle name="Note 2 4 2 2 2 2 2" xfId="4077"/>
    <cellStyle name="Note 2 4 2 2 2 3" xfId="4078"/>
    <cellStyle name="Note 2 4 2 2 3" xfId="4079"/>
    <cellStyle name="Note 2 4 2 2 3 2" xfId="4080"/>
    <cellStyle name="Note 2 4 2 2 4" xfId="4081"/>
    <cellStyle name="Note 2 4 2 3" xfId="4082"/>
    <cellStyle name="Note 2 4 2 3 2" xfId="4083"/>
    <cellStyle name="Note 2 4 2 3 2 2" xfId="4084"/>
    <cellStyle name="Note 2 4 2 3 3" xfId="4085"/>
    <cellStyle name="Note 2 4 2 3 4" xfId="4086"/>
    <cellStyle name="Note 2 4 2 4" xfId="4087"/>
    <cellStyle name="Note 2 4 2 4 2" xfId="4088"/>
    <cellStyle name="Note 2 4 2 4 2 2" xfId="4089"/>
    <cellStyle name="Note 2 4 2 4 3" xfId="4090"/>
    <cellStyle name="Note 2 4 2 5" xfId="4091"/>
    <cellStyle name="Note 2 4 3" xfId="4092"/>
    <cellStyle name="Note 2 4 3 2" xfId="4093"/>
    <cellStyle name="Note 2 4 3 2 2" xfId="4094"/>
    <cellStyle name="Note 2 4 3 2 2 2" xfId="4095"/>
    <cellStyle name="Note 2 4 3 2 2 2 2" xfId="4096"/>
    <cellStyle name="Note 2 4 3 2 2 3" xfId="4097"/>
    <cellStyle name="Note 2 4 3 2 3" xfId="4098"/>
    <cellStyle name="Note 2 4 3 2 3 2" xfId="4099"/>
    <cellStyle name="Note 2 4 3 2 4" xfId="4100"/>
    <cellStyle name="Note 2 4 3 3" xfId="4101"/>
    <cellStyle name="Note 2 4 3 3 2" xfId="4102"/>
    <cellStyle name="Note 2 4 3 3 2 2" xfId="4103"/>
    <cellStyle name="Note 2 4 3 3 3" xfId="4104"/>
    <cellStyle name="Note 2 4 3 3 4" xfId="4105"/>
    <cellStyle name="Note 2 4 3 4" xfId="4106"/>
    <cellStyle name="Note 2 4 3 4 2" xfId="4107"/>
    <cellStyle name="Note 2 4 3 4 2 2" xfId="4108"/>
    <cellStyle name="Note 2 4 3 4 3" xfId="4109"/>
    <cellStyle name="Note 2 4 3 5" xfId="4110"/>
    <cellStyle name="Note 2 4 3 5 2" xfId="4111"/>
    <cellStyle name="Note 2 4 3 6" xfId="4112"/>
    <cellStyle name="Note 2 4 4" xfId="4113"/>
    <cellStyle name="Note 2 4 4 2" xfId="4114"/>
    <cellStyle name="Note 2 4 4 2 2" xfId="4115"/>
    <cellStyle name="Note 2 4 4 2 2 2" xfId="4116"/>
    <cellStyle name="Note 2 4 4 2 2 2 2" xfId="4117"/>
    <cellStyle name="Note 2 4 4 2 2 3" xfId="4118"/>
    <cellStyle name="Note 2 4 4 2 3" xfId="4119"/>
    <cellStyle name="Note 2 4 4 2 3 2" xfId="4120"/>
    <cellStyle name="Note 2 4 4 2 4" xfId="4121"/>
    <cellStyle name="Note 2 4 4 3" xfId="4122"/>
    <cellStyle name="Note 2 4 4 3 2" xfId="4123"/>
    <cellStyle name="Note 2 4 4 3 2 2" xfId="4124"/>
    <cellStyle name="Note 2 4 4 3 3" xfId="4125"/>
    <cellStyle name="Note 2 4 4 3 4" xfId="4126"/>
    <cellStyle name="Note 2 4 4 4" xfId="4127"/>
    <cellStyle name="Note 2 4 4 4 2" xfId="4128"/>
    <cellStyle name="Note 2 4 4 4 2 2" xfId="4129"/>
    <cellStyle name="Note 2 4 4 4 3" xfId="4130"/>
    <cellStyle name="Note 2 4 4 5" xfId="4131"/>
    <cellStyle name="Note 2 4 4 5 2" xfId="4132"/>
    <cellStyle name="Note 2 4 4 6" xfId="4133"/>
    <cellStyle name="Note 2 4 5" xfId="4134"/>
    <cellStyle name="Note 2 4 5 2" xfId="4135"/>
    <cellStyle name="Note 2 5" xfId="4136"/>
    <cellStyle name="Note 2 5 2" xfId="4137"/>
    <cellStyle name="Note 2 5 2 2" xfId="4138"/>
    <cellStyle name="Note 2 5 2 2 2" xfId="4139"/>
    <cellStyle name="Note 2 5 2 2 2 2" xfId="4140"/>
    <cellStyle name="Note 2 5 2 2 2 2 2" xfId="4141"/>
    <cellStyle name="Note 2 5 2 2 2 3" xfId="4142"/>
    <cellStyle name="Note 2 5 2 2 3" xfId="4143"/>
    <cellStyle name="Note 2 5 2 2 3 2" xfId="4144"/>
    <cellStyle name="Note 2 5 2 2 4" xfId="4145"/>
    <cellStyle name="Note 2 5 2 3" xfId="4146"/>
    <cellStyle name="Note 2 5 2 3 2" xfId="4147"/>
    <cellStyle name="Note 2 5 2 3 2 2" xfId="4148"/>
    <cellStyle name="Note 2 5 2 3 3" xfId="4149"/>
    <cellStyle name="Note 2 5 2 3 4" xfId="4150"/>
    <cellStyle name="Note 2 5 2 4" xfId="4151"/>
    <cellStyle name="Note 2 5 2 4 2" xfId="4152"/>
    <cellStyle name="Note 2 5 2 4 2 2" xfId="4153"/>
    <cellStyle name="Note 2 5 2 4 3" xfId="4154"/>
    <cellStyle name="Note 2 5 2 5" xfId="4155"/>
    <cellStyle name="Note 2 5 2 5 2" xfId="4156"/>
    <cellStyle name="Note 2 5 2 6" xfId="4157"/>
    <cellStyle name="Note 2 5 3" xfId="4158"/>
    <cellStyle name="Note 2 5 3 2" xfId="4159"/>
    <cellStyle name="Note 2 5 3 2 2" xfId="4160"/>
    <cellStyle name="Note 2 5 3 2 2 2" xfId="4161"/>
    <cellStyle name="Note 2 5 3 2 2 2 2" xfId="4162"/>
    <cellStyle name="Note 2 5 3 2 2 3" xfId="4163"/>
    <cellStyle name="Note 2 5 3 2 3" xfId="4164"/>
    <cellStyle name="Note 2 5 3 2 3 2" xfId="4165"/>
    <cellStyle name="Note 2 5 3 2 4" xfId="4166"/>
    <cellStyle name="Note 2 5 3 3" xfId="4167"/>
    <cellStyle name="Note 2 5 3 3 2" xfId="4168"/>
    <cellStyle name="Note 2 5 3 3 2 2" xfId="4169"/>
    <cellStyle name="Note 2 5 3 3 3" xfId="4170"/>
    <cellStyle name="Note 2 5 3 3 4" xfId="4171"/>
    <cellStyle name="Note 2 5 3 4" xfId="4172"/>
    <cellStyle name="Note 2 5 3 4 2" xfId="4173"/>
    <cellStyle name="Note 2 5 3 4 2 2" xfId="4174"/>
    <cellStyle name="Note 2 5 3 4 3" xfId="4175"/>
    <cellStyle name="Note 2 5 3 5" xfId="4176"/>
    <cellStyle name="Note 2 5 3 5 2" xfId="4177"/>
    <cellStyle name="Note 2 5 3 6" xfId="4178"/>
    <cellStyle name="Note 2 5 4" xfId="4179"/>
    <cellStyle name="Note 2 5 4 2" xfId="4180"/>
    <cellStyle name="Note 2 5 4 2 2" xfId="4181"/>
    <cellStyle name="Note 2 5 4 2 2 2" xfId="4182"/>
    <cellStyle name="Note 2 5 4 2 3" xfId="4183"/>
    <cellStyle name="Note 2 5 4 3" xfId="4184"/>
    <cellStyle name="Note 2 5 4 3 2" xfId="4185"/>
    <cellStyle name="Note 2 5 4 4" xfId="4186"/>
    <cellStyle name="Note 2 5 5" xfId="4187"/>
    <cellStyle name="Note 2 5 5 2" xfId="4188"/>
    <cellStyle name="Note 2 5 5 2 2" xfId="4189"/>
    <cellStyle name="Note 2 5 5 3" xfId="4190"/>
    <cellStyle name="Note 2 5 5 4" xfId="4191"/>
    <cellStyle name="Note 2 5 6" xfId="4192"/>
    <cellStyle name="Note 2 5 6 2" xfId="4193"/>
    <cellStyle name="Note 2 5 6 2 2" xfId="4194"/>
    <cellStyle name="Note 2 5 6 3" xfId="4195"/>
    <cellStyle name="Note 2 5 7" xfId="4196"/>
    <cellStyle name="Note 2 6" xfId="4197"/>
    <cellStyle name="Note 2 6 2" xfId="4198"/>
    <cellStyle name="Note 2 6 2 2" xfId="4199"/>
    <cellStyle name="Note 2 6 2 2 2" xfId="4200"/>
    <cellStyle name="Note 2 6 2 2 2 2" xfId="4201"/>
    <cellStyle name="Note 2 6 2 2 3" xfId="4202"/>
    <cellStyle name="Note 2 6 2 3" xfId="4203"/>
    <cellStyle name="Note 2 6 2 3 2" xfId="4204"/>
    <cellStyle name="Note 2 6 2 4" xfId="4205"/>
    <cellStyle name="Note 2 6 3" xfId="4206"/>
    <cellStyle name="Note 2 6 3 2" xfId="4207"/>
    <cellStyle name="Note 2 6 3 2 2" xfId="4208"/>
    <cellStyle name="Note 2 6 3 3" xfId="4209"/>
    <cellStyle name="Note 2 6 3 4" xfId="4210"/>
    <cellStyle name="Note 2 6 4" xfId="4211"/>
    <cellStyle name="Note 2 6 4 2" xfId="4212"/>
    <cellStyle name="Note 2 6 4 2 2" xfId="4213"/>
    <cellStyle name="Note 2 6 4 3" xfId="4214"/>
    <cellStyle name="Note 2 6 5" xfId="4215"/>
    <cellStyle name="Note 3" xfId="4216"/>
    <cellStyle name="Note 3 2" xfId="4217"/>
    <cellStyle name="Note 3 2 2" xfId="4218"/>
    <cellStyle name="Note 3 2 2 2" xfId="4219"/>
    <cellStyle name="Note 3 2 2 2 2" xfId="4220"/>
    <cellStyle name="Note 3 2 2 2 2 2" xfId="4221"/>
    <cellStyle name="Note 3 2 2 2 2 2 2" xfId="4222"/>
    <cellStyle name="Note 3 2 2 2 2 3" xfId="4223"/>
    <cellStyle name="Note 3 2 2 2 3" xfId="4224"/>
    <cellStyle name="Note 3 2 2 2 3 2" xfId="4225"/>
    <cellStyle name="Note 3 2 2 2 4" xfId="4226"/>
    <cellStyle name="Note 3 2 2 3" xfId="4227"/>
    <cellStyle name="Note 3 2 2 3 2" xfId="4228"/>
    <cellStyle name="Note 3 2 2 3 2 2" xfId="4229"/>
    <cellStyle name="Note 3 2 2 3 3" xfId="4230"/>
    <cellStyle name="Note 3 2 2 3 4" xfId="4231"/>
    <cellStyle name="Note 3 2 2 4" xfId="4232"/>
    <cellStyle name="Note 3 2 2 4 2" xfId="4233"/>
    <cellStyle name="Note 3 2 2 4 2 2" xfId="4234"/>
    <cellStyle name="Note 3 2 2 4 3" xfId="4235"/>
    <cellStyle name="Note 3 2 2 5" xfId="4236"/>
    <cellStyle name="Note 3 2 3" xfId="4237"/>
    <cellStyle name="Note 3 2 3 2" xfId="4238"/>
    <cellStyle name="Note 3 2 3 2 2" xfId="4239"/>
    <cellStyle name="Note 3 2 3 2 2 2" xfId="4240"/>
    <cellStyle name="Note 3 2 3 2 2 2 2" xfId="4241"/>
    <cellStyle name="Note 3 2 3 2 2 3" xfId="4242"/>
    <cellStyle name="Note 3 2 3 2 3" xfId="4243"/>
    <cellStyle name="Note 3 2 3 2 3 2" xfId="4244"/>
    <cellStyle name="Note 3 2 3 2 4" xfId="4245"/>
    <cellStyle name="Note 3 2 3 3" xfId="4246"/>
    <cellStyle name="Note 3 2 3 3 2" xfId="4247"/>
    <cellStyle name="Note 3 2 3 3 2 2" xfId="4248"/>
    <cellStyle name="Note 3 2 3 3 3" xfId="4249"/>
    <cellStyle name="Note 3 2 3 3 4" xfId="4250"/>
    <cellStyle name="Note 3 2 3 4" xfId="4251"/>
    <cellStyle name="Note 3 2 3 4 2" xfId="4252"/>
    <cellStyle name="Note 3 2 3 4 2 2" xfId="4253"/>
    <cellStyle name="Note 3 2 3 4 3" xfId="4254"/>
    <cellStyle name="Note 3 2 3 5" xfId="4255"/>
    <cellStyle name="Note 3 2 3 5 2" xfId="4256"/>
    <cellStyle name="Note 3 2 3 6" xfId="4257"/>
    <cellStyle name="Note 3 2 4" xfId="4258"/>
    <cellStyle name="Note 3 2 4 2" xfId="4259"/>
    <cellStyle name="Note 3 2 4 2 2" xfId="4260"/>
    <cellStyle name="Note 3 2 4 2 2 2" xfId="4261"/>
    <cellStyle name="Note 3 2 4 2 2 2 2" xfId="4262"/>
    <cellStyle name="Note 3 2 4 2 2 3" xfId="4263"/>
    <cellStyle name="Note 3 2 4 2 3" xfId="4264"/>
    <cellStyle name="Note 3 2 4 2 3 2" xfId="4265"/>
    <cellStyle name="Note 3 2 4 2 4" xfId="4266"/>
    <cellStyle name="Note 3 2 4 3" xfId="4267"/>
    <cellStyle name="Note 3 2 4 3 2" xfId="4268"/>
    <cellStyle name="Note 3 2 4 3 2 2" xfId="4269"/>
    <cellStyle name="Note 3 2 4 3 3" xfId="4270"/>
    <cellStyle name="Note 3 2 4 3 4" xfId="4271"/>
    <cellStyle name="Note 3 2 4 4" xfId="4272"/>
    <cellStyle name="Note 3 2 4 4 2" xfId="4273"/>
    <cellStyle name="Note 3 2 4 4 2 2" xfId="4274"/>
    <cellStyle name="Note 3 2 4 4 3" xfId="4275"/>
    <cellStyle name="Note 3 2 4 5" xfId="4276"/>
    <cellStyle name="Note 3 2 4 5 2" xfId="4277"/>
    <cellStyle name="Note 3 2 4 6" xfId="4278"/>
    <cellStyle name="Note 3 2 5" xfId="4279"/>
    <cellStyle name="Note 3 2 5 2" xfId="4280"/>
    <cellStyle name="Note 3 3" xfId="4281"/>
    <cellStyle name="Note 3 3 2" xfId="4282"/>
    <cellStyle name="Note 3 3 2 2" xfId="4283"/>
    <cellStyle name="Note 3 3 2 2 2" xfId="4284"/>
    <cellStyle name="Note 3 3 2 2 2 2" xfId="4285"/>
    <cellStyle name="Note 3 3 2 2 2 2 2" xfId="4286"/>
    <cellStyle name="Note 3 3 2 2 2 3" xfId="4287"/>
    <cellStyle name="Note 3 3 2 2 3" xfId="4288"/>
    <cellStyle name="Note 3 3 2 2 3 2" xfId="4289"/>
    <cellStyle name="Note 3 3 2 2 4" xfId="4290"/>
    <cellStyle name="Note 3 3 2 3" xfId="4291"/>
    <cellStyle name="Note 3 3 2 3 2" xfId="4292"/>
    <cellStyle name="Note 3 3 2 3 2 2" xfId="4293"/>
    <cellStyle name="Note 3 3 2 3 3" xfId="4294"/>
    <cellStyle name="Note 3 3 2 3 4" xfId="4295"/>
    <cellStyle name="Note 3 3 2 4" xfId="4296"/>
    <cellStyle name="Note 3 3 2 4 2" xfId="4297"/>
    <cellStyle name="Note 3 3 2 4 2 2" xfId="4298"/>
    <cellStyle name="Note 3 3 2 4 3" xfId="4299"/>
    <cellStyle name="Note 3 3 2 5" xfId="4300"/>
    <cellStyle name="Note 3 3 2 5 2" xfId="4301"/>
    <cellStyle name="Note 3 3 2 6" xfId="4302"/>
    <cellStyle name="Note 3 3 3" xfId="4303"/>
    <cellStyle name="Note 3 3 3 2" xfId="4304"/>
    <cellStyle name="Note 3 3 3 2 2" xfId="4305"/>
    <cellStyle name="Note 3 3 3 2 2 2" xfId="4306"/>
    <cellStyle name="Note 3 3 3 2 2 2 2" xfId="4307"/>
    <cellStyle name="Note 3 3 3 2 2 3" xfId="4308"/>
    <cellStyle name="Note 3 3 3 2 3" xfId="4309"/>
    <cellStyle name="Note 3 3 3 2 3 2" xfId="4310"/>
    <cellStyle name="Note 3 3 3 2 4" xfId="4311"/>
    <cellStyle name="Note 3 3 3 3" xfId="4312"/>
    <cellStyle name="Note 3 3 3 3 2" xfId="4313"/>
    <cellStyle name="Note 3 3 3 3 2 2" xfId="4314"/>
    <cellStyle name="Note 3 3 3 3 3" xfId="4315"/>
    <cellStyle name="Note 3 3 3 3 4" xfId="4316"/>
    <cellStyle name="Note 3 3 3 4" xfId="4317"/>
    <cellStyle name="Note 3 3 3 4 2" xfId="4318"/>
    <cellStyle name="Note 3 3 3 4 2 2" xfId="4319"/>
    <cellStyle name="Note 3 3 3 4 3" xfId="4320"/>
    <cellStyle name="Note 3 3 3 5" xfId="4321"/>
    <cellStyle name="Note 3 3 3 5 2" xfId="4322"/>
    <cellStyle name="Note 3 3 3 6" xfId="4323"/>
    <cellStyle name="Note 3 3 4" xfId="4324"/>
    <cellStyle name="Note 3 3 4 2" xfId="4325"/>
    <cellStyle name="Note 3 3 4 2 2" xfId="4326"/>
    <cellStyle name="Note 3 3 4 2 2 2" xfId="4327"/>
    <cellStyle name="Note 3 3 4 2 3" xfId="4328"/>
    <cellStyle name="Note 3 3 4 3" xfId="4329"/>
    <cellStyle name="Note 3 3 4 3 2" xfId="4330"/>
    <cellStyle name="Note 3 3 4 4" xfId="4331"/>
    <cellStyle name="Note 3 3 5" xfId="4332"/>
    <cellStyle name="Note 3 3 5 2" xfId="4333"/>
    <cellStyle name="Note 3 3 5 2 2" xfId="4334"/>
    <cellStyle name="Note 3 3 5 3" xfId="4335"/>
    <cellStyle name="Note 3 3 5 4" xfId="4336"/>
    <cellStyle name="Note 3 3 6" xfId="4337"/>
    <cellStyle name="Note 3 3 6 2" xfId="4338"/>
    <cellStyle name="Note 3 3 6 2 2" xfId="4339"/>
    <cellStyle name="Note 3 3 6 3" xfId="4340"/>
    <cellStyle name="Note 3 3 7" xfId="4341"/>
    <cellStyle name="Note 3 4" xfId="4342"/>
    <cellStyle name="Note 3 4 2" xfId="4343"/>
    <cellStyle name="Note 3 4 2 2" xfId="4344"/>
    <cellStyle name="Note 3 4 2 2 2" xfId="4345"/>
    <cellStyle name="Note 3 4 2 2 2 2" xfId="4346"/>
    <cellStyle name="Note 3 4 2 2 3" xfId="4347"/>
    <cellStyle name="Note 3 4 2 3" xfId="4348"/>
    <cellStyle name="Note 3 4 2 3 2" xfId="4349"/>
    <cellStyle name="Note 3 4 2 4" xfId="4350"/>
    <cellStyle name="Note 3 4 3" xfId="4351"/>
    <cellStyle name="Note 3 4 3 2" xfId="4352"/>
    <cellStyle name="Note 3 4 3 2 2" xfId="4353"/>
    <cellStyle name="Note 3 4 3 3" xfId="4354"/>
    <cellStyle name="Note 3 4 3 4" xfId="4355"/>
    <cellStyle name="Note 3 4 4" xfId="4356"/>
    <cellStyle name="Note 3 4 4 2" xfId="4357"/>
    <cellStyle name="Note 3 4 4 2 2" xfId="4358"/>
    <cellStyle name="Note 3 4 4 3" xfId="4359"/>
    <cellStyle name="Note 3 4 5" xfId="4360"/>
    <cellStyle name="Note 4" xfId="4361"/>
    <cellStyle name="Note 4 2" xfId="4362"/>
    <cellStyle name="Note 4 2 2" xfId="4363"/>
    <cellStyle name="Note 4 2 2 2" xfId="4364"/>
    <cellStyle name="Note 4 2 2 2 2" xfId="4365"/>
    <cellStyle name="Note 4 2 2 2 2 2" xfId="4366"/>
    <cellStyle name="Note 4 2 2 2 2 2 2" xfId="4367"/>
    <cellStyle name="Note 4 2 2 2 2 3" xfId="4368"/>
    <cellStyle name="Note 4 2 2 2 3" xfId="4369"/>
    <cellStyle name="Note 4 2 2 2 3 2" xfId="4370"/>
    <cellStyle name="Note 4 2 2 2 4" xfId="4371"/>
    <cellStyle name="Note 4 2 2 3" xfId="4372"/>
    <cellStyle name="Note 4 2 2 3 2" xfId="4373"/>
    <cellStyle name="Note 4 2 2 3 2 2" xfId="4374"/>
    <cellStyle name="Note 4 2 2 3 3" xfId="4375"/>
    <cellStyle name="Note 4 2 2 3 4" xfId="4376"/>
    <cellStyle name="Note 4 2 2 4" xfId="4377"/>
    <cellStyle name="Note 4 2 2 4 2" xfId="4378"/>
    <cellStyle name="Note 4 2 2 4 2 2" xfId="4379"/>
    <cellStyle name="Note 4 2 2 4 3" xfId="4380"/>
    <cellStyle name="Note 4 2 2 5" xfId="4381"/>
    <cellStyle name="Note 4 2 3" xfId="4382"/>
    <cellStyle name="Note 4 2 3 2" xfId="4383"/>
    <cellStyle name="Note 4 2 3 2 2" xfId="4384"/>
    <cellStyle name="Note 4 2 3 2 2 2" xfId="4385"/>
    <cellStyle name="Note 4 2 3 2 2 2 2" xfId="4386"/>
    <cellStyle name="Note 4 2 3 2 2 3" xfId="4387"/>
    <cellStyle name="Note 4 2 3 2 3" xfId="4388"/>
    <cellStyle name="Note 4 2 3 2 3 2" xfId="4389"/>
    <cellStyle name="Note 4 2 3 2 4" xfId="4390"/>
    <cellStyle name="Note 4 2 3 3" xfId="4391"/>
    <cellStyle name="Note 4 2 3 3 2" xfId="4392"/>
    <cellStyle name="Note 4 2 3 3 2 2" xfId="4393"/>
    <cellStyle name="Note 4 2 3 3 3" xfId="4394"/>
    <cellStyle name="Note 4 2 3 3 4" xfId="4395"/>
    <cellStyle name="Note 4 2 3 4" xfId="4396"/>
    <cellStyle name="Note 4 2 3 4 2" xfId="4397"/>
    <cellStyle name="Note 4 2 3 4 2 2" xfId="4398"/>
    <cellStyle name="Note 4 2 3 4 3" xfId="4399"/>
    <cellStyle name="Note 4 2 3 5" xfId="4400"/>
    <cellStyle name="Note 4 2 3 5 2" xfId="4401"/>
    <cellStyle name="Note 4 2 3 6" xfId="4402"/>
    <cellStyle name="Note 4 2 4" xfId="4403"/>
    <cellStyle name="Note 4 2 4 2" xfId="4404"/>
    <cellStyle name="Note 4 2 4 2 2" xfId="4405"/>
    <cellStyle name="Note 4 2 4 2 2 2" xfId="4406"/>
    <cellStyle name="Note 4 2 4 2 2 2 2" xfId="4407"/>
    <cellStyle name="Note 4 2 4 2 2 3" xfId="4408"/>
    <cellStyle name="Note 4 2 4 2 3" xfId="4409"/>
    <cellStyle name="Note 4 2 4 2 3 2" xfId="4410"/>
    <cellStyle name="Note 4 2 4 2 4" xfId="4411"/>
    <cellStyle name="Note 4 2 4 3" xfId="4412"/>
    <cellStyle name="Note 4 2 4 3 2" xfId="4413"/>
    <cellStyle name="Note 4 2 4 3 2 2" xfId="4414"/>
    <cellStyle name="Note 4 2 4 3 3" xfId="4415"/>
    <cellStyle name="Note 4 2 4 3 4" xfId="4416"/>
    <cellStyle name="Note 4 2 4 4" xfId="4417"/>
    <cellStyle name="Note 4 2 4 4 2" xfId="4418"/>
    <cellStyle name="Note 4 2 4 4 2 2" xfId="4419"/>
    <cellStyle name="Note 4 2 4 4 3" xfId="4420"/>
    <cellStyle name="Note 4 2 4 5" xfId="4421"/>
    <cellStyle name="Note 4 2 4 5 2" xfId="4422"/>
    <cellStyle name="Note 4 2 4 6" xfId="4423"/>
    <cellStyle name="Note 4 2 5" xfId="4424"/>
    <cellStyle name="Note 4 2 5 2" xfId="4425"/>
    <cellStyle name="Note 4 3" xfId="4426"/>
    <cellStyle name="Note 4 3 2" xfId="4427"/>
    <cellStyle name="Note 4 3 2 2" xfId="4428"/>
    <cellStyle name="Note 4 3 2 2 2" xfId="4429"/>
    <cellStyle name="Note 4 3 2 2 2 2" xfId="4430"/>
    <cellStyle name="Note 4 3 2 2 2 2 2" xfId="4431"/>
    <cellStyle name="Note 4 3 2 2 2 3" xfId="4432"/>
    <cellStyle name="Note 4 3 2 2 3" xfId="4433"/>
    <cellStyle name="Note 4 3 2 2 3 2" xfId="4434"/>
    <cellStyle name="Note 4 3 2 2 4" xfId="4435"/>
    <cellStyle name="Note 4 3 2 3" xfId="4436"/>
    <cellStyle name="Note 4 3 2 3 2" xfId="4437"/>
    <cellStyle name="Note 4 3 2 3 2 2" xfId="4438"/>
    <cellStyle name="Note 4 3 2 3 3" xfId="4439"/>
    <cellStyle name="Note 4 3 2 3 4" xfId="4440"/>
    <cellStyle name="Note 4 3 2 4" xfId="4441"/>
    <cellStyle name="Note 4 3 2 4 2" xfId="4442"/>
    <cellStyle name="Note 4 3 2 4 2 2" xfId="4443"/>
    <cellStyle name="Note 4 3 2 4 3" xfId="4444"/>
    <cellStyle name="Note 4 3 2 5" xfId="4445"/>
    <cellStyle name="Note 4 3 2 5 2" xfId="4446"/>
    <cellStyle name="Note 4 3 2 6" xfId="4447"/>
    <cellStyle name="Note 4 3 3" xfId="4448"/>
    <cellStyle name="Note 4 3 3 2" xfId="4449"/>
    <cellStyle name="Note 4 3 3 2 2" xfId="4450"/>
    <cellStyle name="Note 4 3 3 2 2 2" xfId="4451"/>
    <cellStyle name="Note 4 3 3 2 2 2 2" xfId="4452"/>
    <cellStyle name="Note 4 3 3 2 2 3" xfId="4453"/>
    <cellStyle name="Note 4 3 3 2 3" xfId="4454"/>
    <cellStyle name="Note 4 3 3 2 3 2" xfId="4455"/>
    <cellStyle name="Note 4 3 3 2 4" xfId="4456"/>
    <cellStyle name="Note 4 3 3 3" xfId="4457"/>
    <cellStyle name="Note 4 3 3 3 2" xfId="4458"/>
    <cellStyle name="Note 4 3 3 3 2 2" xfId="4459"/>
    <cellStyle name="Note 4 3 3 3 3" xfId="4460"/>
    <cellStyle name="Note 4 3 3 3 4" xfId="4461"/>
    <cellStyle name="Note 4 3 3 4" xfId="4462"/>
    <cellStyle name="Note 4 3 3 4 2" xfId="4463"/>
    <cellStyle name="Note 4 3 3 4 2 2" xfId="4464"/>
    <cellStyle name="Note 4 3 3 4 3" xfId="4465"/>
    <cellStyle name="Note 4 3 3 5" xfId="4466"/>
    <cellStyle name="Note 4 3 3 5 2" xfId="4467"/>
    <cellStyle name="Note 4 3 3 6" xfId="4468"/>
    <cellStyle name="Note 4 3 4" xfId="4469"/>
    <cellStyle name="Note 4 3 4 2" xfId="4470"/>
    <cellStyle name="Note 4 3 4 2 2" xfId="4471"/>
    <cellStyle name="Note 4 3 4 2 2 2" xfId="4472"/>
    <cellStyle name="Note 4 3 4 2 3" xfId="4473"/>
    <cellStyle name="Note 4 3 4 3" xfId="4474"/>
    <cellStyle name="Note 4 3 4 3 2" xfId="4475"/>
    <cellStyle name="Note 4 3 4 4" xfId="4476"/>
    <cellStyle name="Note 4 3 5" xfId="4477"/>
    <cellStyle name="Note 4 3 5 2" xfId="4478"/>
    <cellStyle name="Note 4 3 5 2 2" xfId="4479"/>
    <cellStyle name="Note 4 3 5 3" xfId="4480"/>
    <cellStyle name="Note 4 3 5 4" xfId="4481"/>
    <cellStyle name="Note 4 3 6" xfId="4482"/>
    <cellStyle name="Note 4 3 6 2" xfId="4483"/>
    <cellStyle name="Note 4 3 6 2 2" xfId="4484"/>
    <cellStyle name="Note 4 3 6 3" xfId="4485"/>
    <cellStyle name="Note 4 3 7" xfId="4486"/>
    <cellStyle name="Note 4 4" xfId="4487"/>
    <cellStyle name="Note 4 4 2" xfId="4488"/>
    <cellStyle name="Note 4 4 2 2" xfId="4489"/>
    <cellStyle name="Note 4 4 2 2 2" xfId="4490"/>
    <cellStyle name="Note 4 4 2 2 2 2" xfId="4491"/>
    <cellStyle name="Note 4 4 2 2 3" xfId="4492"/>
    <cellStyle name="Note 4 4 2 3" xfId="4493"/>
    <cellStyle name="Note 4 4 2 3 2" xfId="4494"/>
    <cellStyle name="Note 4 4 2 4" xfId="4495"/>
    <cellStyle name="Note 4 4 3" xfId="4496"/>
    <cellStyle name="Note 4 4 3 2" xfId="4497"/>
    <cellStyle name="Note 4 4 3 2 2" xfId="4498"/>
    <cellStyle name="Note 4 4 3 3" xfId="4499"/>
    <cellStyle name="Note 4 4 3 4" xfId="4500"/>
    <cellStyle name="Note 4 4 4" xfId="4501"/>
    <cellStyle name="Note 4 4 4 2" xfId="4502"/>
    <cellStyle name="Note 4 4 4 2 2" xfId="4503"/>
    <cellStyle name="Note 4 4 4 3" xfId="4504"/>
    <cellStyle name="Note 4 4 5" xfId="4505"/>
    <cellStyle name="Note 5" xfId="4506"/>
    <cellStyle name="Note 5 2" xfId="4507"/>
    <cellStyle name="Note 5 2 2" xfId="4508"/>
    <cellStyle name="Note 5 2 2 2" xfId="4509"/>
    <cellStyle name="Note 5 2 2 2 2" xfId="4510"/>
    <cellStyle name="Note 5 2 2 2 2 2" xfId="4511"/>
    <cellStyle name="Note 5 2 2 2 3" xfId="4512"/>
    <cellStyle name="Note 5 2 2 3" xfId="4513"/>
    <cellStyle name="Note 5 2 2 3 2" xfId="4514"/>
    <cellStyle name="Note 5 2 2 4" xfId="4515"/>
    <cellStyle name="Note 5 2 3" xfId="4516"/>
    <cellStyle name="Note 5 2 3 2" xfId="4517"/>
    <cellStyle name="Note 5 2 3 2 2" xfId="4518"/>
    <cellStyle name="Note 5 2 3 3" xfId="4519"/>
    <cellStyle name="Note 5 2 3 4" xfId="4520"/>
    <cellStyle name="Note 5 2 4" xfId="4521"/>
    <cellStyle name="Note 5 2 4 2" xfId="4522"/>
    <cellStyle name="Note 5 2 4 2 2" xfId="4523"/>
    <cellStyle name="Note 5 2 4 3" xfId="4524"/>
    <cellStyle name="Note 5 2 5" xfId="4525"/>
    <cellStyle name="Note 5 3" xfId="4526"/>
    <cellStyle name="Note 5 3 2" xfId="4527"/>
    <cellStyle name="Note 5 3 2 2" xfId="4528"/>
    <cellStyle name="Note 5 3 2 2 2" xfId="4529"/>
    <cellStyle name="Note 5 3 2 2 2 2" xfId="4530"/>
    <cellStyle name="Note 5 3 2 2 3" xfId="4531"/>
    <cellStyle name="Note 5 3 2 3" xfId="4532"/>
    <cellStyle name="Note 5 3 2 3 2" xfId="4533"/>
    <cellStyle name="Note 5 3 2 4" xfId="4534"/>
    <cellStyle name="Note 5 3 3" xfId="4535"/>
    <cellStyle name="Note 5 3 3 2" xfId="4536"/>
    <cellStyle name="Note 5 3 3 2 2" xfId="4537"/>
    <cellStyle name="Note 5 3 3 3" xfId="4538"/>
    <cellStyle name="Note 5 3 3 4" xfId="4539"/>
    <cellStyle name="Note 5 3 4" xfId="4540"/>
    <cellStyle name="Note 5 3 4 2" xfId="4541"/>
    <cellStyle name="Note 5 3 4 2 2" xfId="4542"/>
    <cellStyle name="Note 5 3 4 3" xfId="4543"/>
    <cellStyle name="Note 5 3 5" xfId="4544"/>
    <cellStyle name="Note 5 3 5 2" xfId="4545"/>
    <cellStyle name="Note 5 3 6" xfId="4546"/>
    <cellStyle name="Note 5 4" xfId="4547"/>
    <cellStyle name="Note 5 4 2" xfId="4548"/>
    <cellStyle name="Note 5 4 2 2" xfId="4549"/>
    <cellStyle name="Note 5 4 2 2 2" xfId="4550"/>
    <cellStyle name="Note 5 4 2 2 2 2" xfId="4551"/>
    <cellStyle name="Note 5 4 2 2 3" xfId="4552"/>
    <cellStyle name="Note 5 4 2 3" xfId="4553"/>
    <cellStyle name="Note 5 4 2 3 2" xfId="4554"/>
    <cellStyle name="Note 5 4 2 4" xfId="4555"/>
    <cellStyle name="Note 5 4 3" xfId="4556"/>
    <cellStyle name="Note 5 4 3 2" xfId="4557"/>
    <cellStyle name="Note 5 4 3 2 2" xfId="4558"/>
    <cellStyle name="Note 5 4 3 3" xfId="4559"/>
    <cellStyle name="Note 5 4 3 4" xfId="4560"/>
    <cellStyle name="Note 5 4 4" xfId="4561"/>
    <cellStyle name="Note 5 4 4 2" xfId="4562"/>
    <cellStyle name="Note 5 4 4 2 2" xfId="4563"/>
    <cellStyle name="Note 5 4 4 3" xfId="4564"/>
    <cellStyle name="Note 5 4 5" xfId="4565"/>
    <cellStyle name="Note 5 4 5 2" xfId="4566"/>
    <cellStyle name="Note 5 4 6" xfId="4567"/>
    <cellStyle name="Note 5 5" xfId="4568"/>
    <cellStyle name="Note 5 5 2" xfId="4569"/>
    <cellStyle name="Note 6" xfId="4570"/>
    <cellStyle name="Note 6 2" xfId="4571"/>
    <cellStyle name="Note 6 2 2" xfId="4572"/>
    <cellStyle name="Note 6 2 2 2" xfId="4573"/>
    <cellStyle name="Note 6 2 2 2 2" xfId="4574"/>
    <cellStyle name="Note 6 2 2 2 2 2" xfId="4575"/>
    <cellStyle name="Note 6 2 2 2 3" xfId="4576"/>
    <cellStyle name="Note 6 2 2 3" xfId="4577"/>
    <cellStyle name="Note 6 2 2 3 2" xfId="4578"/>
    <cellStyle name="Note 6 2 2 4" xfId="4579"/>
    <cellStyle name="Note 6 2 3" xfId="4580"/>
    <cellStyle name="Note 6 2 3 2" xfId="4581"/>
    <cellStyle name="Note 6 2 3 2 2" xfId="4582"/>
    <cellStyle name="Note 6 2 3 3" xfId="4583"/>
    <cellStyle name="Note 6 2 3 4" xfId="4584"/>
    <cellStyle name="Note 6 2 4" xfId="4585"/>
    <cellStyle name="Note 6 2 4 2" xfId="4586"/>
    <cellStyle name="Note 6 2 4 2 2" xfId="4587"/>
    <cellStyle name="Note 6 2 4 3" xfId="4588"/>
    <cellStyle name="Note 6 2 5" xfId="4589"/>
    <cellStyle name="Note 6 2 5 2" xfId="4590"/>
    <cellStyle name="Note 6 2 6" xfId="4591"/>
    <cellStyle name="Note 6 3" xfId="4592"/>
    <cellStyle name="Note 6 3 2" xfId="4593"/>
    <cellStyle name="Note 6 3 2 2" xfId="4594"/>
    <cellStyle name="Note 6 3 2 2 2" xfId="4595"/>
    <cellStyle name="Note 6 3 2 2 2 2" xfId="4596"/>
    <cellStyle name="Note 6 3 2 2 3" xfId="4597"/>
    <cellStyle name="Note 6 3 2 3" xfId="4598"/>
    <cellStyle name="Note 6 3 2 3 2" xfId="4599"/>
    <cellStyle name="Note 6 3 2 4" xfId="4600"/>
    <cellStyle name="Note 6 3 3" xfId="4601"/>
    <cellStyle name="Note 6 3 3 2" xfId="4602"/>
    <cellStyle name="Note 6 3 3 2 2" xfId="4603"/>
    <cellStyle name="Note 6 3 3 3" xfId="4604"/>
    <cellStyle name="Note 6 3 3 4" xfId="4605"/>
    <cellStyle name="Note 6 3 4" xfId="4606"/>
    <cellStyle name="Note 6 3 4 2" xfId="4607"/>
    <cellStyle name="Note 6 3 4 2 2" xfId="4608"/>
    <cellStyle name="Note 6 3 4 3" xfId="4609"/>
    <cellStyle name="Note 6 3 5" xfId="4610"/>
    <cellStyle name="Note 6 3 5 2" xfId="4611"/>
    <cellStyle name="Note 6 3 6" xfId="4612"/>
    <cellStyle name="Note 6 4" xfId="4613"/>
    <cellStyle name="Note 6 4 2" xfId="4614"/>
    <cellStyle name="Note 6 4 2 2" xfId="4615"/>
    <cellStyle name="Note 6 4 2 2 2" xfId="4616"/>
    <cellStyle name="Note 6 4 2 3" xfId="4617"/>
    <cellStyle name="Note 6 4 3" xfId="4618"/>
    <cellStyle name="Note 6 4 3 2" xfId="4619"/>
    <cellStyle name="Note 6 4 4" xfId="4620"/>
    <cellStyle name="Note 6 5" xfId="4621"/>
    <cellStyle name="Note 6 5 2" xfId="4622"/>
    <cellStyle name="Note 6 5 2 2" xfId="4623"/>
    <cellStyle name="Note 6 5 3" xfId="4624"/>
    <cellStyle name="Note 6 5 4" xfId="4625"/>
    <cellStyle name="Note 6 6" xfId="4626"/>
    <cellStyle name="Note 6 6 2" xfId="4627"/>
    <cellStyle name="Note 6 6 2 2" xfId="4628"/>
    <cellStyle name="Note 6 6 3" xfId="4629"/>
    <cellStyle name="Note 6 7" xfId="4630"/>
    <cellStyle name="Notes" xfId="4631"/>
    <cellStyle name="Output" xfId="7632" builtinId="21" customBuiltin="1"/>
    <cellStyle name="Output 2" xfId="4632"/>
    <cellStyle name="Output 2 2" xfId="4633"/>
    <cellStyle name="Output 2 2 2" xfId="4634"/>
    <cellStyle name="Output 2 2 2 2" xfId="4635"/>
    <cellStyle name="Output 2 2 2 2 2" xfId="4636"/>
    <cellStyle name="Output 2 2 2 2 2 2" xfId="4637"/>
    <cellStyle name="Output 2 2 2 2 2 2 2" xfId="4638"/>
    <cellStyle name="Output 2 2 2 2 2 2 2 2" xfId="4639"/>
    <cellStyle name="Output 2 2 2 2 2 2 2 2 2" xfId="4640"/>
    <cellStyle name="Output 2 2 2 2 2 2 2 3" xfId="4641"/>
    <cellStyle name="Output 2 2 2 2 2 2 3" xfId="4642"/>
    <cellStyle name="Output 2 2 2 2 2 2 3 2" xfId="4643"/>
    <cellStyle name="Output 2 2 2 2 2 2 4" xfId="4644"/>
    <cellStyle name="Output 2 2 2 2 2 3" xfId="4645"/>
    <cellStyle name="Output 2 2 2 2 2 3 2" xfId="4646"/>
    <cellStyle name="Output 2 2 2 2 2 3 2 2" xfId="4647"/>
    <cellStyle name="Output 2 2 2 2 2 3 3" xfId="4648"/>
    <cellStyle name="Output 2 2 2 2 2 3 4" xfId="4649"/>
    <cellStyle name="Output 2 2 2 2 2 4" xfId="4650"/>
    <cellStyle name="Output 2 2 2 2 2 4 2" xfId="4651"/>
    <cellStyle name="Output 2 2 2 2 2 4 2 2" xfId="4652"/>
    <cellStyle name="Output 2 2 2 2 2 4 3" xfId="4653"/>
    <cellStyle name="Output 2 2 2 2 2 5" xfId="4654"/>
    <cellStyle name="Output 2 2 2 2 2 5 2" xfId="4655"/>
    <cellStyle name="Output 2 2 2 2 2 6" xfId="4656"/>
    <cellStyle name="Output 2 2 2 2 3" xfId="4657"/>
    <cellStyle name="Output 2 2 2 2 3 2" xfId="4658"/>
    <cellStyle name="Output 2 2 2 2 3 2 2" xfId="4659"/>
    <cellStyle name="Output 2 2 2 2 3 2 2 2" xfId="4660"/>
    <cellStyle name="Output 2 2 2 2 3 2 2 2 2" xfId="4661"/>
    <cellStyle name="Output 2 2 2 2 3 2 2 3" xfId="4662"/>
    <cellStyle name="Output 2 2 2 2 3 2 3" xfId="4663"/>
    <cellStyle name="Output 2 2 2 2 3 2 3 2" xfId="4664"/>
    <cellStyle name="Output 2 2 2 2 3 2 4" xfId="4665"/>
    <cellStyle name="Output 2 2 2 2 3 3" xfId="4666"/>
    <cellStyle name="Output 2 2 2 2 3 3 2" xfId="4667"/>
    <cellStyle name="Output 2 2 2 2 3 3 2 2" xfId="4668"/>
    <cellStyle name="Output 2 2 2 2 3 3 3" xfId="4669"/>
    <cellStyle name="Output 2 2 2 2 3 3 4" xfId="4670"/>
    <cellStyle name="Output 2 2 2 2 3 4" xfId="4671"/>
    <cellStyle name="Output 2 2 2 2 3 4 2" xfId="4672"/>
    <cellStyle name="Output 2 2 2 2 3 4 2 2" xfId="4673"/>
    <cellStyle name="Output 2 2 2 2 3 4 3" xfId="4674"/>
    <cellStyle name="Output 2 2 2 2 3 5" xfId="4675"/>
    <cellStyle name="Output 2 2 2 2 3 5 2" xfId="4676"/>
    <cellStyle name="Output 2 2 2 2 3 6" xfId="4677"/>
    <cellStyle name="Output 2 2 2 2 4" xfId="4678"/>
    <cellStyle name="Output 2 2 2 2 4 2" xfId="4679"/>
    <cellStyle name="Output 2 2 2 3" xfId="4680"/>
    <cellStyle name="Output 2 2 2 3 2" xfId="4681"/>
    <cellStyle name="Output 2 2 2 3 2 2" xfId="4682"/>
    <cellStyle name="Output 2 2 2 3 2 2 2" xfId="4683"/>
    <cellStyle name="Output 2 2 2 3 2 2 2 2" xfId="4684"/>
    <cellStyle name="Output 2 2 2 3 2 2 3" xfId="4685"/>
    <cellStyle name="Output 2 2 2 3 2 3" xfId="4686"/>
    <cellStyle name="Output 2 2 2 3 2 3 2" xfId="4687"/>
    <cellStyle name="Output 2 2 2 3 2 4" xfId="4688"/>
    <cellStyle name="Output 2 2 2 3 3" xfId="4689"/>
    <cellStyle name="Output 2 2 2 3 3 2" xfId="4690"/>
    <cellStyle name="Output 2 2 2 3 3 2 2" xfId="4691"/>
    <cellStyle name="Output 2 2 2 3 3 3" xfId="4692"/>
    <cellStyle name="Output 2 2 2 3 3 4" xfId="4693"/>
    <cellStyle name="Output 2 2 2 3 4" xfId="4694"/>
    <cellStyle name="Output 2 2 2 3 4 2" xfId="4695"/>
    <cellStyle name="Output 2 2 2 3 4 2 2" xfId="4696"/>
    <cellStyle name="Output 2 2 2 3 4 3" xfId="4697"/>
    <cellStyle name="Output 2 2 2 3 5" xfId="4698"/>
    <cellStyle name="Output 2 2 2 3 5 2" xfId="4699"/>
    <cellStyle name="Output 2 2 2 3 6" xfId="4700"/>
    <cellStyle name="Output 2 2 2 4" xfId="4701"/>
    <cellStyle name="Output 2 2 2 4 2" xfId="4702"/>
    <cellStyle name="Output 2 2 2 4 2 2" xfId="4703"/>
    <cellStyle name="Output 2 2 2 4 2 2 2" xfId="4704"/>
    <cellStyle name="Output 2 2 2 4 2 2 2 2" xfId="4705"/>
    <cellStyle name="Output 2 2 2 4 2 2 3" xfId="4706"/>
    <cellStyle name="Output 2 2 2 4 2 3" xfId="4707"/>
    <cellStyle name="Output 2 2 2 4 2 3 2" xfId="4708"/>
    <cellStyle name="Output 2 2 2 4 2 4" xfId="4709"/>
    <cellStyle name="Output 2 2 2 4 3" xfId="4710"/>
    <cellStyle name="Output 2 2 2 4 3 2" xfId="4711"/>
    <cellStyle name="Output 2 2 2 4 3 2 2" xfId="4712"/>
    <cellStyle name="Output 2 2 2 4 3 3" xfId="4713"/>
    <cellStyle name="Output 2 2 2 4 3 4" xfId="4714"/>
    <cellStyle name="Output 2 2 2 4 4" xfId="4715"/>
    <cellStyle name="Output 2 2 2 4 4 2" xfId="4716"/>
    <cellStyle name="Output 2 2 2 4 4 2 2" xfId="4717"/>
    <cellStyle name="Output 2 2 2 4 4 3" xfId="4718"/>
    <cellStyle name="Output 2 2 2 4 5" xfId="4719"/>
    <cellStyle name="Output 2 2 2 4 5 2" xfId="4720"/>
    <cellStyle name="Output 2 2 2 4 6" xfId="4721"/>
    <cellStyle name="Output 2 2 2 5" xfId="4722"/>
    <cellStyle name="Output 2 2 2 5 2" xfId="4723"/>
    <cellStyle name="Output 2 2 3" xfId="4724"/>
    <cellStyle name="Output 2 2 3 2" xfId="4725"/>
    <cellStyle name="Output 2 2 3 2 2" xfId="4726"/>
    <cellStyle name="Output 2 2 3 2 2 2" xfId="4727"/>
    <cellStyle name="Output 2 2 3 2 2 2 2" xfId="4728"/>
    <cellStyle name="Output 2 2 3 2 2 2 2 2" xfId="4729"/>
    <cellStyle name="Output 2 2 3 2 2 2 3" xfId="4730"/>
    <cellStyle name="Output 2 2 3 2 2 3" xfId="4731"/>
    <cellStyle name="Output 2 2 3 2 2 3 2" xfId="4732"/>
    <cellStyle name="Output 2 2 3 2 2 4" xfId="4733"/>
    <cellStyle name="Output 2 2 3 2 3" xfId="4734"/>
    <cellStyle name="Output 2 2 3 2 3 2" xfId="4735"/>
    <cellStyle name="Output 2 2 3 2 3 2 2" xfId="4736"/>
    <cellStyle name="Output 2 2 3 2 3 3" xfId="4737"/>
    <cellStyle name="Output 2 2 3 2 3 4" xfId="4738"/>
    <cellStyle name="Output 2 2 3 2 4" xfId="4739"/>
    <cellStyle name="Output 2 2 3 2 4 2" xfId="4740"/>
    <cellStyle name="Output 2 2 3 2 4 2 2" xfId="4741"/>
    <cellStyle name="Output 2 2 3 2 4 3" xfId="4742"/>
    <cellStyle name="Output 2 2 3 2 5" xfId="4743"/>
    <cellStyle name="Output 2 2 3 2 5 2" xfId="4744"/>
    <cellStyle name="Output 2 2 3 2 6" xfId="4745"/>
    <cellStyle name="Output 2 2 3 3" xfId="4746"/>
    <cellStyle name="Output 2 2 3 3 2" xfId="4747"/>
    <cellStyle name="Output 2 2 3 3 2 2" xfId="4748"/>
    <cellStyle name="Output 2 2 3 3 2 2 2" xfId="4749"/>
    <cellStyle name="Output 2 2 3 3 2 2 2 2" xfId="4750"/>
    <cellStyle name="Output 2 2 3 3 2 2 3" xfId="4751"/>
    <cellStyle name="Output 2 2 3 3 2 3" xfId="4752"/>
    <cellStyle name="Output 2 2 3 3 2 3 2" xfId="4753"/>
    <cellStyle name="Output 2 2 3 3 2 4" xfId="4754"/>
    <cellStyle name="Output 2 2 3 3 3" xfId="4755"/>
    <cellStyle name="Output 2 2 3 3 3 2" xfId="4756"/>
    <cellStyle name="Output 2 2 3 3 3 2 2" xfId="4757"/>
    <cellStyle name="Output 2 2 3 3 3 3" xfId="4758"/>
    <cellStyle name="Output 2 2 3 3 3 4" xfId="4759"/>
    <cellStyle name="Output 2 2 3 3 4" xfId="4760"/>
    <cellStyle name="Output 2 2 3 3 4 2" xfId="4761"/>
    <cellStyle name="Output 2 2 3 3 4 2 2" xfId="4762"/>
    <cellStyle name="Output 2 2 3 3 4 3" xfId="4763"/>
    <cellStyle name="Output 2 2 3 3 5" xfId="4764"/>
    <cellStyle name="Output 2 2 3 3 5 2" xfId="4765"/>
    <cellStyle name="Output 2 2 3 3 6" xfId="4766"/>
    <cellStyle name="Output 2 2 3 4" xfId="4767"/>
    <cellStyle name="Output 2 2 3 4 2" xfId="4768"/>
    <cellStyle name="Output 2 2 4" xfId="4769"/>
    <cellStyle name="Output 2 2 4 2" xfId="4770"/>
    <cellStyle name="Output 2 2 4 2 2" xfId="4771"/>
    <cellStyle name="Output 2 2 4 2 2 2" xfId="4772"/>
    <cellStyle name="Output 2 2 4 2 2 2 2" xfId="4773"/>
    <cellStyle name="Output 2 2 4 2 2 2 2 2" xfId="4774"/>
    <cellStyle name="Output 2 2 4 2 2 2 3" xfId="4775"/>
    <cellStyle name="Output 2 2 4 2 2 3" xfId="4776"/>
    <cellStyle name="Output 2 2 4 2 2 3 2" xfId="4777"/>
    <cellStyle name="Output 2 2 4 2 2 4" xfId="4778"/>
    <cellStyle name="Output 2 2 4 2 3" xfId="4779"/>
    <cellStyle name="Output 2 2 4 2 3 2" xfId="4780"/>
    <cellStyle name="Output 2 2 4 2 3 2 2" xfId="4781"/>
    <cellStyle name="Output 2 2 4 2 3 3" xfId="4782"/>
    <cellStyle name="Output 2 2 4 2 3 4" xfId="4783"/>
    <cellStyle name="Output 2 2 4 2 4" xfId="4784"/>
    <cellStyle name="Output 2 2 4 2 4 2" xfId="4785"/>
    <cellStyle name="Output 2 2 4 2 4 2 2" xfId="4786"/>
    <cellStyle name="Output 2 2 4 2 4 3" xfId="4787"/>
    <cellStyle name="Output 2 2 4 2 5" xfId="4788"/>
    <cellStyle name="Output 2 2 4 2 5 2" xfId="4789"/>
    <cellStyle name="Output 2 2 4 2 6" xfId="4790"/>
    <cellStyle name="Output 2 2 4 3" xfId="4791"/>
    <cellStyle name="Output 2 2 4 3 2" xfId="4792"/>
    <cellStyle name="Output 2 2 4 3 2 2" xfId="4793"/>
    <cellStyle name="Output 2 2 4 3 3" xfId="4794"/>
    <cellStyle name="Output 2 2 4 4" xfId="4795"/>
    <cellStyle name="Output 2 2 4 4 2" xfId="4796"/>
    <cellStyle name="Output 2 2 4 4 2 2" xfId="4797"/>
    <cellStyle name="Output 2 2 4 4 2 2 2" xfId="4798"/>
    <cellStyle name="Output 2 2 4 4 2 2 2 2" xfId="4799"/>
    <cellStyle name="Output 2 2 4 4 2 2 3" xfId="4800"/>
    <cellStyle name="Output 2 2 4 4 2 3" xfId="4801"/>
    <cellStyle name="Output 2 2 4 4 2 3 2" xfId="4802"/>
    <cellStyle name="Output 2 2 4 4 2 4" xfId="4803"/>
    <cellStyle name="Output 2 2 4 4 3" xfId="4804"/>
    <cellStyle name="Output 2 2 4 4 3 2" xfId="4805"/>
    <cellStyle name="Output 2 2 4 4 3 2 2" xfId="4806"/>
    <cellStyle name="Output 2 2 4 4 3 3" xfId="4807"/>
    <cellStyle name="Output 2 2 4 4 3 4" xfId="4808"/>
    <cellStyle name="Output 2 2 4 4 4" xfId="4809"/>
    <cellStyle name="Output 2 2 4 4 4 2" xfId="4810"/>
    <cellStyle name="Output 2 2 4 4 4 2 2" xfId="4811"/>
    <cellStyle name="Output 2 2 4 4 4 3" xfId="4812"/>
    <cellStyle name="Output 2 2 4 4 5" xfId="4813"/>
    <cellStyle name="Output 2 2 4 4 5 2" xfId="4814"/>
    <cellStyle name="Output 2 2 4 4 6" xfId="4815"/>
    <cellStyle name="Output 2 2 4 5" xfId="4816"/>
    <cellStyle name="Output 2 2 4 5 2" xfId="4817"/>
    <cellStyle name="Output 2 2 4 5 2 2" xfId="4818"/>
    <cellStyle name="Output 2 2 4 5 2 2 2" xfId="4819"/>
    <cellStyle name="Output 2 2 4 5 2 3" xfId="4820"/>
    <cellStyle name="Output 2 2 4 5 3" xfId="4821"/>
    <cellStyle name="Output 2 2 4 5 3 2" xfId="4822"/>
    <cellStyle name="Output 2 2 4 5 4" xfId="4823"/>
    <cellStyle name="Output 2 2 4 6" xfId="4824"/>
    <cellStyle name="Output 2 2 4 6 2" xfId="4825"/>
    <cellStyle name="Output 2 2 4 6 2 2" xfId="4826"/>
    <cellStyle name="Output 2 2 4 6 3" xfId="4827"/>
    <cellStyle name="Output 2 2 4 6 4" xfId="4828"/>
    <cellStyle name="Output 2 2 4 7" xfId="4829"/>
    <cellStyle name="Output 2 2 4 7 2" xfId="4830"/>
    <cellStyle name="Output 2 2 4 7 2 2" xfId="4831"/>
    <cellStyle name="Output 2 2 4 7 3" xfId="4832"/>
    <cellStyle name="Output 2 2 4 8" xfId="4833"/>
    <cellStyle name="Output 2 2 4 8 2" xfId="4834"/>
    <cellStyle name="Output 2 2 4 9" xfId="4835"/>
    <cellStyle name="Output 2 2 5" xfId="4836"/>
    <cellStyle name="Output 2 2 5 2" xfId="4837"/>
    <cellStyle name="Output 2 2 5 2 2" xfId="4838"/>
    <cellStyle name="Output 2 2 5 2 2 2" xfId="4839"/>
    <cellStyle name="Output 2 2 5 2 2 2 2" xfId="4840"/>
    <cellStyle name="Output 2 2 5 2 2 3" xfId="4841"/>
    <cellStyle name="Output 2 2 5 2 3" xfId="4842"/>
    <cellStyle name="Output 2 2 5 2 3 2" xfId="4843"/>
    <cellStyle name="Output 2 2 5 2 4" xfId="4844"/>
    <cellStyle name="Output 2 2 5 3" xfId="4845"/>
    <cellStyle name="Output 2 2 5 3 2" xfId="4846"/>
    <cellStyle name="Output 2 2 5 3 2 2" xfId="4847"/>
    <cellStyle name="Output 2 2 5 3 3" xfId="4848"/>
    <cellStyle name="Output 2 2 5 3 4" xfId="4849"/>
    <cellStyle name="Output 2 2 5 4" xfId="4850"/>
    <cellStyle name="Output 2 2 5 4 2" xfId="4851"/>
    <cellStyle name="Output 2 2 5 4 2 2" xfId="4852"/>
    <cellStyle name="Output 2 2 5 4 3" xfId="4853"/>
    <cellStyle name="Output 2 2 5 5" xfId="4854"/>
    <cellStyle name="Output 2 2 5 5 2" xfId="4855"/>
    <cellStyle name="Output 2 2 5 6" xfId="4856"/>
    <cellStyle name="Output 2 3" xfId="4857"/>
    <cellStyle name="Output 2 3 2" xfId="4858"/>
    <cellStyle name="Output 2 3 2 2" xfId="4859"/>
    <cellStyle name="Output 2 3 2 2 2" xfId="4860"/>
    <cellStyle name="Output 2 3 2 2 2 2" xfId="4861"/>
    <cellStyle name="Output 2 3 2 2 2 2 2" xfId="4862"/>
    <cellStyle name="Output 2 3 2 2 2 2 2 2" xfId="4863"/>
    <cellStyle name="Output 2 3 2 2 2 2 3" xfId="4864"/>
    <cellStyle name="Output 2 3 2 2 2 3" xfId="4865"/>
    <cellStyle name="Output 2 3 2 2 2 3 2" xfId="4866"/>
    <cellStyle name="Output 2 3 2 2 2 4" xfId="4867"/>
    <cellStyle name="Output 2 3 2 2 3" xfId="4868"/>
    <cellStyle name="Output 2 3 2 2 3 2" xfId="4869"/>
    <cellStyle name="Output 2 3 2 2 3 2 2" xfId="4870"/>
    <cellStyle name="Output 2 3 2 2 3 3" xfId="4871"/>
    <cellStyle name="Output 2 3 2 2 3 4" xfId="4872"/>
    <cellStyle name="Output 2 3 2 2 4" xfId="4873"/>
    <cellStyle name="Output 2 3 2 2 4 2" xfId="4874"/>
    <cellStyle name="Output 2 3 2 2 4 2 2" xfId="4875"/>
    <cellStyle name="Output 2 3 2 2 4 3" xfId="4876"/>
    <cellStyle name="Output 2 3 2 2 5" xfId="4877"/>
    <cellStyle name="Output 2 3 2 2 5 2" xfId="4878"/>
    <cellStyle name="Output 2 3 2 2 6" xfId="4879"/>
    <cellStyle name="Output 2 3 2 3" xfId="4880"/>
    <cellStyle name="Output 2 3 2 3 2" xfId="4881"/>
    <cellStyle name="Output 2 3 2 3 2 2" xfId="4882"/>
    <cellStyle name="Output 2 3 2 3 2 2 2" xfId="4883"/>
    <cellStyle name="Output 2 3 2 3 2 2 2 2" xfId="4884"/>
    <cellStyle name="Output 2 3 2 3 2 2 3" xfId="4885"/>
    <cellStyle name="Output 2 3 2 3 2 3" xfId="4886"/>
    <cellStyle name="Output 2 3 2 3 2 3 2" xfId="4887"/>
    <cellStyle name="Output 2 3 2 3 2 4" xfId="4888"/>
    <cellStyle name="Output 2 3 2 3 3" xfId="4889"/>
    <cellStyle name="Output 2 3 2 3 3 2" xfId="4890"/>
    <cellStyle name="Output 2 3 2 3 3 2 2" xfId="4891"/>
    <cellStyle name="Output 2 3 2 3 3 3" xfId="4892"/>
    <cellStyle name="Output 2 3 2 3 3 4" xfId="4893"/>
    <cellStyle name="Output 2 3 2 3 4" xfId="4894"/>
    <cellStyle name="Output 2 3 2 3 4 2" xfId="4895"/>
    <cellStyle name="Output 2 3 2 3 4 2 2" xfId="4896"/>
    <cellStyle name="Output 2 3 2 3 4 3" xfId="4897"/>
    <cellStyle name="Output 2 3 2 3 5" xfId="4898"/>
    <cellStyle name="Output 2 3 2 3 5 2" xfId="4899"/>
    <cellStyle name="Output 2 3 2 3 6" xfId="4900"/>
    <cellStyle name="Output 2 3 2 4" xfId="4901"/>
    <cellStyle name="Output 2 3 2 4 2" xfId="4902"/>
    <cellStyle name="Output 2 3 3" xfId="4903"/>
    <cellStyle name="Output 2 3 3 2" xfId="4904"/>
    <cellStyle name="Output 2 3 3 2 2" xfId="4905"/>
    <cellStyle name="Output 2 3 3 2 2 2" xfId="4906"/>
    <cellStyle name="Output 2 3 3 2 2 2 2" xfId="4907"/>
    <cellStyle name="Output 2 3 3 2 2 3" xfId="4908"/>
    <cellStyle name="Output 2 3 3 2 3" xfId="4909"/>
    <cellStyle name="Output 2 3 3 2 3 2" xfId="4910"/>
    <cellStyle name="Output 2 3 3 2 4" xfId="4911"/>
    <cellStyle name="Output 2 3 3 3" xfId="4912"/>
    <cellStyle name="Output 2 3 3 3 2" xfId="4913"/>
    <cellStyle name="Output 2 3 3 3 2 2" xfId="4914"/>
    <cellStyle name="Output 2 3 3 3 3" xfId="4915"/>
    <cellStyle name="Output 2 3 3 3 4" xfId="4916"/>
    <cellStyle name="Output 2 3 3 4" xfId="4917"/>
    <cellStyle name="Output 2 3 3 4 2" xfId="4918"/>
    <cellStyle name="Output 2 3 3 4 2 2" xfId="4919"/>
    <cellStyle name="Output 2 3 3 4 3" xfId="4920"/>
    <cellStyle name="Output 2 3 3 5" xfId="4921"/>
    <cellStyle name="Output 2 3 3 5 2" xfId="4922"/>
    <cellStyle name="Output 2 3 3 6" xfId="4923"/>
    <cellStyle name="Output 2 3 4" xfId="4924"/>
    <cellStyle name="Output 2 3 4 2" xfId="4925"/>
    <cellStyle name="Output 2 3 4 2 2" xfId="4926"/>
    <cellStyle name="Output 2 3 4 2 2 2" xfId="4927"/>
    <cellStyle name="Output 2 3 4 2 2 2 2" xfId="4928"/>
    <cellStyle name="Output 2 3 4 2 2 3" xfId="4929"/>
    <cellStyle name="Output 2 3 4 2 3" xfId="4930"/>
    <cellStyle name="Output 2 3 4 2 3 2" xfId="4931"/>
    <cellStyle name="Output 2 3 4 2 4" xfId="4932"/>
    <cellStyle name="Output 2 3 4 3" xfId="4933"/>
    <cellStyle name="Output 2 3 4 3 2" xfId="4934"/>
    <cellStyle name="Output 2 3 4 3 2 2" xfId="4935"/>
    <cellStyle name="Output 2 3 4 3 3" xfId="4936"/>
    <cellStyle name="Output 2 3 4 3 4" xfId="4937"/>
    <cellStyle name="Output 2 3 4 4" xfId="4938"/>
    <cellStyle name="Output 2 3 4 4 2" xfId="4939"/>
    <cellStyle name="Output 2 3 4 4 2 2" xfId="4940"/>
    <cellStyle name="Output 2 3 4 4 3" xfId="4941"/>
    <cellStyle name="Output 2 3 4 5" xfId="4942"/>
    <cellStyle name="Output 2 3 4 5 2" xfId="4943"/>
    <cellStyle name="Output 2 3 4 6" xfId="4944"/>
    <cellStyle name="Output 2 3 5" xfId="4945"/>
    <cellStyle name="Output 2 3 5 2" xfId="4946"/>
    <cellStyle name="Output 2 4" xfId="4947"/>
    <cellStyle name="Output 2 4 2" xfId="4948"/>
    <cellStyle name="Output 2 4 2 2" xfId="4949"/>
    <cellStyle name="Output 2 4 2 2 2" xfId="4950"/>
    <cellStyle name="Output 2 4 2 2 2 2" xfId="4951"/>
    <cellStyle name="Output 2 4 2 2 2 2 2" xfId="4952"/>
    <cellStyle name="Output 2 4 2 2 2 3" xfId="4953"/>
    <cellStyle name="Output 2 4 2 2 3" xfId="4954"/>
    <cellStyle name="Output 2 4 2 2 3 2" xfId="4955"/>
    <cellStyle name="Output 2 4 2 2 4" xfId="4956"/>
    <cellStyle name="Output 2 4 2 3" xfId="4957"/>
    <cellStyle name="Output 2 4 2 3 2" xfId="4958"/>
    <cellStyle name="Output 2 4 2 3 2 2" xfId="4959"/>
    <cellStyle name="Output 2 4 2 3 3" xfId="4960"/>
    <cellStyle name="Output 2 4 2 3 4" xfId="4961"/>
    <cellStyle name="Output 2 4 2 4" xfId="4962"/>
    <cellStyle name="Output 2 4 2 4 2" xfId="4963"/>
    <cellStyle name="Output 2 4 2 4 2 2" xfId="4964"/>
    <cellStyle name="Output 2 4 2 4 3" xfId="4965"/>
    <cellStyle name="Output 2 4 2 5" xfId="4966"/>
    <cellStyle name="Output 2 4 2 5 2" xfId="4967"/>
    <cellStyle name="Output 2 4 2 6" xfId="4968"/>
    <cellStyle name="Output 2 4 3" xfId="4969"/>
    <cellStyle name="Output 2 4 3 2" xfId="4970"/>
    <cellStyle name="Output 2 4 3 2 2" xfId="4971"/>
    <cellStyle name="Output 2 4 3 2 2 2" xfId="4972"/>
    <cellStyle name="Output 2 4 3 2 2 2 2" xfId="4973"/>
    <cellStyle name="Output 2 4 3 2 2 3" xfId="4974"/>
    <cellStyle name="Output 2 4 3 2 3" xfId="4975"/>
    <cellStyle name="Output 2 4 3 2 3 2" xfId="4976"/>
    <cellStyle name="Output 2 4 3 2 4" xfId="4977"/>
    <cellStyle name="Output 2 4 3 3" xfId="4978"/>
    <cellStyle name="Output 2 4 3 3 2" xfId="4979"/>
    <cellStyle name="Output 2 4 3 3 2 2" xfId="4980"/>
    <cellStyle name="Output 2 4 3 3 3" xfId="4981"/>
    <cellStyle name="Output 2 4 3 3 4" xfId="4982"/>
    <cellStyle name="Output 2 4 3 4" xfId="4983"/>
    <cellStyle name="Output 2 4 3 4 2" xfId="4984"/>
    <cellStyle name="Output 2 4 3 4 2 2" xfId="4985"/>
    <cellStyle name="Output 2 4 3 4 3" xfId="4986"/>
    <cellStyle name="Output 2 4 3 5" xfId="4987"/>
    <cellStyle name="Output 2 4 3 5 2" xfId="4988"/>
    <cellStyle name="Output 2 4 3 6" xfId="4989"/>
    <cellStyle name="Output 2 4 4" xfId="4990"/>
    <cellStyle name="Output 2 4 4 2" xfId="4991"/>
    <cellStyle name="Output 2 5" xfId="4992"/>
    <cellStyle name="Output 2 5 2" xfId="4993"/>
    <cellStyle name="Output 2 5 2 2" xfId="4994"/>
    <cellStyle name="Output 2 5 2 2 2" xfId="4995"/>
    <cellStyle name="Output 2 5 2 2 2 2" xfId="4996"/>
    <cellStyle name="Output 2 5 2 2 2 2 2" xfId="4997"/>
    <cellStyle name="Output 2 5 2 2 2 3" xfId="4998"/>
    <cellStyle name="Output 2 5 2 2 3" xfId="4999"/>
    <cellStyle name="Output 2 5 2 2 3 2" xfId="5000"/>
    <cellStyle name="Output 2 5 2 2 4" xfId="5001"/>
    <cellStyle name="Output 2 5 2 3" xfId="5002"/>
    <cellStyle name="Output 2 5 2 3 2" xfId="5003"/>
    <cellStyle name="Output 2 5 2 3 2 2" xfId="5004"/>
    <cellStyle name="Output 2 5 2 3 3" xfId="5005"/>
    <cellStyle name="Output 2 5 2 3 4" xfId="5006"/>
    <cellStyle name="Output 2 5 2 4" xfId="5007"/>
    <cellStyle name="Output 2 5 2 4 2" xfId="5008"/>
    <cellStyle name="Output 2 5 2 4 2 2" xfId="5009"/>
    <cellStyle name="Output 2 5 2 4 3" xfId="5010"/>
    <cellStyle name="Output 2 5 2 5" xfId="5011"/>
    <cellStyle name="Output 2 5 2 5 2" xfId="5012"/>
    <cellStyle name="Output 2 5 2 6" xfId="5013"/>
    <cellStyle name="Output 2 5 3" xfId="5014"/>
    <cellStyle name="Output 2 5 3 2" xfId="5015"/>
    <cellStyle name="Output 2 5 3 2 2" xfId="5016"/>
    <cellStyle name="Output 2 5 3 3" xfId="5017"/>
    <cellStyle name="Output 2 5 4" xfId="5018"/>
    <cellStyle name="Output 2 5 4 2" xfId="5019"/>
    <cellStyle name="Output 2 5 4 2 2" xfId="5020"/>
    <cellStyle name="Output 2 5 4 2 2 2" xfId="5021"/>
    <cellStyle name="Output 2 5 4 2 2 2 2" xfId="5022"/>
    <cellStyle name="Output 2 5 4 2 2 3" xfId="5023"/>
    <cellStyle name="Output 2 5 4 2 3" xfId="5024"/>
    <cellStyle name="Output 2 5 4 2 3 2" xfId="5025"/>
    <cellStyle name="Output 2 5 4 2 4" xfId="5026"/>
    <cellStyle name="Output 2 5 4 3" xfId="5027"/>
    <cellStyle name="Output 2 5 4 3 2" xfId="5028"/>
    <cellStyle name="Output 2 5 4 3 2 2" xfId="5029"/>
    <cellStyle name="Output 2 5 4 3 3" xfId="5030"/>
    <cellStyle name="Output 2 5 4 3 4" xfId="5031"/>
    <cellStyle name="Output 2 5 4 4" xfId="5032"/>
    <cellStyle name="Output 2 5 4 4 2" xfId="5033"/>
    <cellStyle name="Output 2 5 4 4 2 2" xfId="5034"/>
    <cellStyle name="Output 2 5 4 4 3" xfId="5035"/>
    <cellStyle name="Output 2 5 4 5" xfId="5036"/>
    <cellStyle name="Output 2 5 4 5 2" xfId="5037"/>
    <cellStyle name="Output 2 5 4 6" xfId="5038"/>
    <cellStyle name="Output 2 5 5" xfId="5039"/>
    <cellStyle name="Output 2 5 5 2" xfId="5040"/>
    <cellStyle name="Output 2 5 5 2 2" xfId="5041"/>
    <cellStyle name="Output 2 5 5 2 2 2" xfId="5042"/>
    <cellStyle name="Output 2 5 5 2 3" xfId="5043"/>
    <cellStyle name="Output 2 5 5 3" xfId="5044"/>
    <cellStyle name="Output 2 5 5 3 2" xfId="5045"/>
    <cellStyle name="Output 2 5 5 4" xfId="5046"/>
    <cellStyle name="Output 2 5 6" xfId="5047"/>
    <cellStyle name="Output 2 5 6 2" xfId="5048"/>
    <cellStyle name="Output 2 5 6 2 2" xfId="5049"/>
    <cellStyle name="Output 2 5 6 3" xfId="5050"/>
    <cellStyle name="Output 2 5 6 4" xfId="5051"/>
    <cellStyle name="Output 2 5 7" xfId="5052"/>
    <cellStyle name="Output 2 5 7 2" xfId="5053"/>
    <cellStyle name="Output 2 5 7 2 2" xfId="5054"/>
    <cellStyle name="Output 2 5 7 3" xfId="5055"/>
    <cellStyle name="Output 2 5 8" xfId="5056"/>
    <cellStyle name="Output 2 5 8 2" xfId="5057"/>
    <cellStyle name="Output 2 5 9" xfId="5058"/>
    <cellStyle name="Output 2 6" xfId="5059"/>
    <cellStyle name="Output 2 6 2" xfId="5060"/>
    <cellStyle name="Output 2 6 2 2" xfId="5061"/>
    <cellStyle name="Output 2 6 2 2 2" xfId="5062"/>
    <cellStyle name="Output 2 6 2 2 2 2" xfId="5063"/>
    <cellStyle name="Output 2 6 2 2 3" xfId="5064"/>
    <cellStyle name="Output 2 6 2 3" xfId="5065"/>
    <cellStyle name="Output 2 6 2 3 2" xfId="5066"/>
    <cellStyle name="Output 2 6 2 4" xfId="5067"/>
    <cellStyle name="Output 2 6 3" xfId="5068"/>
    <cellStyle name="Output 2 6 3 2" xfId="5069"/>
    <cellStyle name="Output 2 6 3 2 2" xfId="5070"/>
    <cellStyle name="Output 2 6 3 3" xfId="5071"/>
    <cellStyle name="Output 2 6 3 4" xfId="5072"/>
    <cellStyle name="Output 2 6 4" xfId="5073"/>
    <cellStyle name="Output 2 6 4 2" xfId="5074"/>
    <cellStyle name="Output 2 6 4 2 2" xfId="5075"/>
    <cellStyle name="Output 2 6 4 3" xfId="5076"/>
    <cellStyle name="Output 2 6 5" xfId="5077"/>
    <cellStyle name="Output 2 6 5 2" xfId="5078"/>
    <cellStyle name="Output 2 6 6" xfId="5079"/>
    <cellStyle name="Output 3" xfId="5080"/>
    <cellStyle name="Output 3 2" xfId="5081"/>
    <cellStyle name="Output 3 2 2" xfId="5082"/>
    <cellStyle name="Output 3 2 2 2" xfId="5083"/>
    <cellStyle name="Output 3 2 2 2 2" xfId="5084"/>
    <cellStyle name="Output 3 2 2 2 2 2" xfId="5085"/>
    <cellStyle name="Output 3 2 2 2 2 2 2" xfId="5086"/>
    <cellStyle name="Output 3 2 2 2 2 2 2 2" xfId="5087"/>
    <cellStyle name="Output 3 2 2 2 2 2 3" xfId="5088"/>
    <cellStyle name="Output 3 2 2 2 2 3" xfId="5089"/>
    <cellStyle name="Output 3 2 2 2 2 3 2" xfId="5090"/>
    <cellStyle name="Output 3 2 2 2 2 4" xfId="5091"/>
    <cellStyle name="Output 3 2 2 2 3" xfId="5092"/>
    <cellStyle name="Output 3 2 2 2 3 2" xfId="5093"/>
    <cellStyle name="Output 3 2 2 2 3 2 2" xfId="5094"/>
    <cellStyle name="Output 3 2 2 2 3 3" xfId="5095"/>
    <cellStyle name="Output 3 2 2 2 3 4" xfId="5096"/>
    <cellStyle name="Output 3 2 2 2 4" xfId="5097"/>
    <cellStyle name="Output 3 2 2 2 4 2" xfId="5098"/>
    <cellStyle name="Output 3 2 2 2 4 2 2" xfId="5099"/>
    <cellStyle name="Output 3 2 2 2 4 3" xfId="5100"/>
    <cellStyle name="Output 3 2 2 2 5" xfId="5101"/>
    <cellStyle name="Output 3 2 2 2 5 2" xfId="5102"/>
    <cellStyle name="Output 3 2 2 2 6" xfId="5103"/>
    <cellStyle name="Output 3 2 2 3" xfId="5104"/>
    <cellStyle name="Output 3 2 2 3 2" xfId="5105"/>
    <cellStyle name="Output 3 2 2 3 2 2" xfId="5106"/>
    <cellStyle name="Output 3 2 2 3 2 2 2" xfId="5107"/>
    <cellStyle name="Output 3 2 2 3 2 2 2 2" xfId="5108"/>
    <cellStyle name="Output 3 2 2 3 2 2 3" xfId="5109"/>
    <cellStyle name="Output 3 2 2 3 2 3" xfId="5110"/>
    <cellStyle name="Output 3 2 2 3 2 3 2" xfId="5111"/>
    <cellStyle name="Output 3 2 2 3 2 4" xfId="5112"/>
    <cellStyle name="Output 3 2 2 3 3" xfId="5113"/>
    <cellStyle name="Output 3 2 2 3 3 2" xfId="5114"/>
    <cellStyle name="Output 3 2 2 3 3 2 2" xfId="5115"/>
    <cellStyle name="Output 3 2 2 3 3 3" xfId="5116"/>
    <cellStyle name="Output 3 2 2 3 3 4" xfId="5117"/>
    <cellStyle name="Output 3 2 2 3 4" xfId="5118"/>
    <cellStyle name="Output 3 2 2 3 4 2" xfId="5119"/>
    <cellStyle name="Output 3 2 2 3 4 2 2" xfId="5120"/>
    <cellStyle name="Output 3 2 2 3 4 3" xfId="5121"/>
    <cellStyle name="Output 3 2 2 3 5" xfId="5122"/>
    <cellStyle name="Output 3 2 2 3 5 2" xfId="5123"/>
    <cellStyle name="Output 3 2 2 3 6" xfId="5124"/>
    <cellStyle name="Output 3 2 2 4" xfId="5125"/>
    <cellStyle name="Output 3 2 2 4 2" xfId="5126"/>
    <cellStyle name="Output 3 2 3" xfId="5127"/>
    <cellStyle name="Output 3 2 3 2" xfId="5128"/>
    <cellStyle name="Output 3 2 3 2 2" xfId="5129"/>
    <cellStyle name="Output 3 2 3 2 2 2" xfId="5130"/>
    <cellStyle name="Output 3 2 3 2 2 2 2" xfId="5131"/>
    <cellStyle name="Output 3 2 3 2 2 3" xfId="5132"/>
    <cellStyle name="Output 3 2 3 2 3" xfId="5133"/>
    <cellStyle name="Output 3 2 3 2 3 2" xfId="5134"/>
    <cellStyle name="Output 3 2 3 2 4" xfId="5135"/>
    <cellStyle name="Output 3 2 3 3" xfId="5136"/>
    <cellStyle name="Output 3 2 3 3 2" xfId="5137"/>
    <cellStyle name="Output 3 2 3 3 2 2" xfId="5138"/>
    <cellStyle name="Output 3 2 3 3 3" xfId="5139"/>
    <cellStyle name="Output 3 2 3 3 4" xfId="5140"/>
    <cellStyle name="Output 3 2 3 4" xfId="5141"/>
    <cellStyle name="Output 3 2 3 4 2" xfId="5142"/>
    <cellStyle name="Output 3 2 3 4 2 2" xfId="5143"/>
    <cellStyle name="Output 3 2 3 4 3" xfId="5144"/>
    <cellStyle name="Output 3 2 3 5" xfId="5145"/>
    <cellStyle name="Output 3 2 3 5 2" xfId="5146"/>
    <cellStyle name="Output 3 2 3 6" xfId="5147"/>
    <cellStyle name="Output 3 2 4" xfId="5148"/>
    <cellStyle name="Output 3 2 4 2" xfId="5149"/>
    <cellStyle name="Output 3 2 4 2 2" xfId="5150"/>
    <cellStyle name="Output 3 2 4 2 2 2" xfId="5151"/>
    <cellStyle name="Output 3 2 4 2 2 2 2" xfId="5152"/>
    <cellStyle name="Output 3 2 4 2 2 3" xfId="5153"/>
    <cellStyle name="Output 3 2 4 2 3" xfId="5154"/>
    <cellStyle name="Output 3 2 4 2 3 2" xfId="5155"/>
    <cellStyle name="Output 3 2 4 2 4" xfId="5156"/>
    <cellStyle name="Output 3 2 4 3" xfId="5157"/>
    <cellStyle name="Output 3 2 4 3 2" xfId="5158"/>
    <cellStyle name="Output 3 2 4 3 2 2" xfId="5159"/>
    <cellStyle name="Output 3 2 4 3 3" xfId="5160"/>
    <cellStyle name="Output 3 2 4 3 4" xfId="5161"/>
    <cellStyle name="Output 3 2 4 4" xfId="5162"/>
    <cellStyle name="Output 3 2 4 4 2" xfId="5163"/>
    <cellStyle name="Output 3 2 4 4 2 2" xfId="5164"/>
    <cellStyle name="Output 3 2 4 4 3" xfId="5165"/>
    <cellStyle name="Output 3 2 4 5" xfId="5166"/>
    <cellStyle name="Output 3 2 4 5 2" xfId="5167"/>
    <cellStyle name="Output 3 2 4 6" xfId="5168"/>
    <cellStyle name="Output 3 2 5" xfId="5169"/>
    <cellStyle name="Output 3 2 5 2" xfId="5170"/>
    <cellStyle name="Output 3 3" xfId="5171"/>
    <cellStyle name="Output 3 3 2" xfId="5172"/>
    <cellStyle name="Output 3 3 2 2" xfId="5173"/>
    <cellStyle name="Output 3 3 2 2 2" xfId="5174"/>
    <cellStyle name="Output 3 3 2 2 2 2" xfId="5175"/>
    <cellStyle name="Output 3 3 2 2 2 2 2" xfId="5176"/>
    <cellStyle name="Output 3 3 2 2 2 3" xfId="5177"/>
    <cellStyle name="Output 3 3 2 2 3" xfId="5178"/>
    <cellStyle name="Output 3 3 2 2 3 2" xfId="5179"/>
    <cellStyle name="Output 3 3 2 2 4" xfId="5180"/>
    <cellStyle name="Output 3 3 2 3" xfId="5181"/>
    <cellStyle name="Output 3 3 2 3 2" xfId="5182"/>
    <cellStyle name="Output 3 3 2 3 2 2" xfId="5183"/>
    <cellStyle name="Output 3 3 2 3 3" xfId="5184"/>
    <cellStyle name="Output 3 3 2 3 4" xfId="5185"/>
    <cellStyle name="Output 3 3 2 4" xfId="5186"/>
    <cellStyle name="Output 3 3 2 4 2" xfId="5187"/>
    <cellStyle name="Output 3 3 2 4 2 2" xfId="5188"/>
    <cellStyle name="Output 3 3 2 4 3" xfId="5189"/>
    <cellStyle name="Output 3 3 2 5" xfId="5190"/>
    <cellStyle name="Output 3 3 2 5 2" xfId="5191"/>
    <cellStyle name="Output 3 3 2 6" xfId="5192"/>
    <cellStyle name="Output 3 3 3" xfId="5193"/>
    <cellStyle name="Output 3 3 3 2" xfId="5194"/>
    <cellStyle name="Output 3 3 3 2 2" xfId="5195"/>
    <cellStyle name="Output 3 3 3 2 2 2" xfId="5196"/>
    <cellStyle name="Output 3 3 3 2 2 2 2" xfId="5197"/>
    <cellStyle name="Output 3 3 3 2 2 3" xfId="5198"/>
    <cellStyle name="Output 3 3 3 2 3" xfId="5199"/>
    <cellStyle name="Output 3 3 3 2 3 2" xfId="5200"/>
    <cellStyle name="Output 3 3 3 2 4" xfId="5201"/>
    <cellStyle name="Output 3 3 3 3" xfId="5202"/>
    <cellStyle name="Output 3 3 3 3 2" xfId="5203"/>
    <cellStyle name="Output 3 3 3 3 2 2" xfId="5204"/>
    <cellStyle name="Output 3 3 3 3 3" xfId="5205"/>
    <cellStyle name="Output 3 3 3 3 4" xfId="5206"/>
    <cellStyle name="Output 3 3 3 4" xfId="5207"/>
    <cellStyle name="Output 3 3 3 4 2" xfId="5208"/>
    <cellStyle name="Output 3 3 3 4 2 2" xfId="5209"/>
    <cellStyle name="Output 3 3 3 4 3" xfId="5210"/>
    <cellStyle name="Output 3 3 3 5" xfId="5211"/>
    <cellStyle name="Output 3 3 3 5 2" xfId="5212"/>
    <cellStyle name="Output 3 3 3 6" xfId="5213"/>
    <cellStyle name="Output 3 3 4" xfId="5214"/>
    <cellStyle name="Output 3 3 4 2" xfId="5215"/>
    <cellStyle name="Output 3 4" xfId="5216"/>
    <cellStyle name="Output 3 4 2" xfId="5217"/>
    <cellStyle name="Output 3 4 2 2" xfId="5218"/>
    <cellStyle name="Output 3 4 2 2 2" xfId="5219"/>
    <cellStyle name="Output 3 4 2 2 2 2" xfId="5220"/>
    <cellStyle name="Output 3 4 2 2 2 2 2" xfId="5221"/>
    <cellStyle name="Output 3 4 2 2 2 3" xfId="5222"/>
    <cellStyle name="Output 3 4 2 2 3" xfId="5223"/>
    <cellStyle name="Output 3 4 2 2 3 2" xfId="5224"/>
    <cellStyle name="Output 3 4 2 2 4" xfId="5225"/>
    <cellStyle name="Output 3 4 2 3" xfId="5226"/>
    <cellStyle name="Output 3 4 2 3 2" xfId="5227"/>
    <cellStyle name="Output 3 4 2 3 2 2" xfId="5228"/>
    <cellStyle name="Output 3 4 2 3 3" xfId="5229"/>
    <cellStyle name="Output 3 4 2 3 4" xfId="5230"/>
    <cellStyle name="Output 3 4 2 4" xfId="5231"/>
    <cellStyle name="Output 3 4 2 4 2" xfId="5232"/>
    <cellStyle name="Output 3 4 2 4 2 2" xfId="5233"/>
    <cellStyle name="Output 3 4 2 4 3" xfId="5234"/>
    <cellStyle name="Output 3 4 2 5" xfId="5235"/>
    <cellStyle name="Output 3 4 2 5 2" xfId="5236"/>
    <cellStyle name="Output 3 4 2 6" xfId="5237"/>
    <cellStyle name="Output 3 4 3" xfId="5238"/>
    <cellStyle name="Output 3 4 3 2" xfId="5239"/>
    <cellStyle name="Output 3 4 3 2 2" xfId="5240"/>
    <cellStyle name="Output 3 4 3 3" xfId="5241"/>
    <cellStyle name="Output 3 4 4" xfId="5242"/>
    <cellStyle name="Output 3 4 4 2" xfId="5243"/>
    <cellStyle name="Output 3 4 4 2 2" xfId="5244"/>
    <cellStyle name="Output 3 4 4 2 2 2" xfId="5245"/>
    <cellStyle name="Output 3 4 4 2 2 2 2" xfId="5246"/>
    <cellStyle name="Output 3 4 4 2 2 3" xfId="5247"/>
    <cellStyle name="Output 3 4 4 2 3" xfId="5248"/>
    <cellStyle name="Output 3 4 4 2 3 2" xfId="5249"/>
    <cellStyle name="Output 3 4 4 2 4" xfId="5250"/>
    <cellStyle name="Output 3 4 4 3" xfId="5251"/>
    <cellStyle name="Output 3 4 4 3 2" xfId="5252"/>
    <cellStyle name="Output 3 4 4 3 2 2" xfId="5253"/>
    <cellStyle name="Output 3 4 4 3 3" xfId="5254"/>
    <cellStyle name="Output 3 4 4 3 4" xfId="5255"/>
    <cellStyle name="Output 3 4 4 4" xfId="5256"/>
    <cellStyle name="Output 3 4 4 4 2" xfId="5257"/>
    <cellStyle name="Output 3 4 4 4 2 2" xfId="5258"/>
    <cellStyle name="Output 3 4 4 4 3" xfId="5259"/>
    <cellStyle name="Output 3 4 4 5" xfId="5260"/>
    <cellStyle name="Output 3 4 4 5 2" xfId="5261"/>
    <cellStyle name="Output 3 4 4 6" xfId="5262"/>
    <cellStyle name="Output 3 4 5" xfId="5263"/>
    <cellStyle name="Output 3 4 5 2" xfId="5264"/>
    <cellStyle name="Output 3 4 5 2 2" xfId="5265"/>
    <cellStyle name="Output 3 4 5 2 2 2" xfId="5266"/>
    <cellStyle name="Output 3 4 5 2 3" xfId="5267"/>
    <cellStyle name="Output 3 4 5 3" xfId="5268"/>
    <cellStyle name="Output 3 4 5 3 2" xfId="5269"/>
    <cellStyle name="Output 3 4 5 4" xfId="5270"/>
    <cellStyle name="Output 3 4 6" xfId="5271"/>
    <cellStyle name="Output 3 4 6 2" xfId="5272"/>
    <cellStyle name="Output 3 4 6 2 2" xfId="5273"/>
    <cellStyle name="Output 3 4 6 3" xfId="5274"/>
    <cellStyle name="Output 3 4 6 4" xfId="5275"/>
    <cellStyle name="Output 3 4 7" xfId="5276"/>
    <cellStyle name="Output 3 4 7 2" xfId="5277"/>
    <cellStyle name="Output 3 4 7 2 2" xfId="5278"/>
    <cellStyle name="Output 3 4 7 3" xfId="5279"/>
    <cellStyle name="Output 3 4 8" xfId="5280"/>
    <cellStyle name="Output 3 4 8 2" xfId="5281"/>
    <cellStyle name="Output 3 4 9" xfId="5282"/>
    <cellStyle name="Output 3 5" xfId="5283"/>
    <cellStyle name="Output 3 5 2" xfId="5284"/>
    <cellStyle name="Output 3 5 2 2" xfId="5285"/>
    <cellStyle name="Output 3 5 2 2 2" xfId="5286"/>
    <cellStyle name="Output 3 5 2 2 2 2" xfId="5287"/>
    <cellStyle name="Output 3 5 2 2 3" xfId="5288"/>
    <cellStyle name="Output 3 5 2 3" xfId="5289"/>
    <cellStyle name="Output 3 5 2 3 2" xfId="5290"/>
    <cellStyle name="Output 3 5 2 4" xfId="5291"/>
    <cellStyle name="Output 3 5 3" xfId="5292"/>
    <cellStyle name="Output 3 5 3 2" xfId="5293"/>
    <cellStyle name="Output 3 5 3 2 2" xfId="5294"/>
    <cellStyle name="Output 3 5 3 3" xfId="5295"/>
    <cellStyle name="Output 3 5 3 4" xfId="5296"/>
    <cellStyle name="Output 3 5 4" xfId="5297"/>
    <cellStyle name="Output 3 5 4 2" xfId="5298"/>
    <cellStyle name="Output 3 5 4 2 2" xfId="5299"/>
    <cellStyle name="Output 3 5 4 3" xfId="5300"/>
    <cellStyle name="Output 3 5 5" xfId="5301"/>
    <cellStyle name="Output 3 5 5 2" xfId="5302"/>
    <cellStyle name="Output 3 5 6" xfId="5303"/>
    <cellStyle name="Output 4" xfId="5304"/>
    <cellStyle name="Output 4 2" xfId="5305"/>
    <cellStyle name="Output 4 2 2" xfId="5306"/>
    <cellStyle name="Output 4 2 2 2" xfId="5307"/>
    <cellStyle name="Output 4 2 2 2 2" xfId="5308"/>
    <cellStyle name="Output 4 2 2 2 2 2" xfId="5309"/>
    <cellStyle name="Output 4 2 2 2 2 2 2" xfId="5310"/>
    <cellStyle name="Output 4 2 2 2 2 3" xfId="5311"/>
    <cellStyle name="Output 4 2 2 2 3" xfId="5312"/>
    <cellStyle name="Output 4 2 2 2 3 2" xfId="5313"/>
    <cellStyle name="Output 4 2 2 2 4" xfId="5314"/>
    <cellStyle name="Output 4 2 2 3" xfId="5315"/>
    <cellStyle name="Output 4 2 2 3 2" xfId="5316"/>
    <cellStyle name="Output 4 2 2 3 2 2" xfId="5317"/>
    <cellStyle name="Output 4 2 2 3 3" xfId="5318"/>
    <cellStyle name="Output 4 2 2 3 4" xfId="5319"/>
    <cellStyle name="Output 4 2 2 4" xfId="5320"/>
    <cellStyle name="Output 4 2 2 4 2" xfId="5321"/>
    <cellStyle name="Output 4 2 2 4 2 2" xfId="5322"/>
    <cellStyle name="Output 4 2 2 4 3" xfId="5323"/>
    <cellStyle name="Output 4 2 2 5" xfId="5324"/>
    <cellStyle name="Output 4 2 2 5 2" xfId="5325"/>
    <cellStyle name="Output 4 2 2 6" xfId="5326"/>
    <cellStyle name="Output 4 2 3" xfId="5327"/>
    <cellStyle name="Output 4 2 3 2" xfId="5328"/>
    <cellStyle name="Output 4 2 3 2 2" xfId="5329"/>
    <cellStyle name="Output 4 2 3 2 2 2" xfId="5330"/>
    <cellStyle name="Output 4 2 3 2 2 2 2" xfId="5331"/>
    <cellStyle name="Output 4 2 3 2 2 3" xfId="5332"/>
    <cellStyle name="Output 4 2 3 2 3" xfId="5333"/>
    <cellStyle name="Output 4 2 3 2 3 2" xfId="5334"/>
    <cellStyle name="Output 4 2 3 2 4" xfId="5335"/>
    <cellStyle name="Output 4 2 3 3" xfId="5336"/>
    <cellStyle name="Output 4 2 3 3 2" xfId="5337"/>
    <cellStyle name="Output 4 2 3 3 2 2" xfId="5338"/>
    <cellStyle name="Output 4 2 3 3 3" xfId="5339"/>
    <cellStyle name="Output 4 2 3 3 4" xfId="5340"/>
    <cellStyle name="Output 4 2 3 4" xfId="5341"/>
    <cellStyle name="Output 4 2 3 4 2" xfId="5342"/>
    <cellStyle name="Output 4 2 3 4 2 2" xfId="5343"/>
    <cellStyle name="Output 4 2 3 4 3" xfId="5344"/>
    <cellStyle name="Output 4 2 3 5" xfId="5345"/>
    <cellStyle name="Output 4 2 3 5 2" xfId="5346"/>
    <cellStyle name="Output 4 2 3 6" xfId="5347"/>
    <cellStyle name="Output 4 2 4" xfId="5348"/>
    <cellStyle name="Output 4 2 4 2" xfId="5349"/>
    <cellStyle name="Output 4 3" xfId="5350"/>
    <cellStyle name="Output 4 3 2" xfId="5351"/>
    <cellStyle name="Output 4 3 2 2" xfId="5352"/>
    <cellStyle name="Output 4 3 2 2 2" xfId="5353"/>
    <cellStyle name="Output 4 3 2 2 2 2" xfId="5354"/>
    <cellStyle name="Output 4 3 2 2 2 2 2" xfId="5355"/>
    <cellStyle name="Output 4 3 2 2 2 3" xfId="5356"/>
    <cellStyle name="Output 4 3 2 2 3" xfId="5357"/>
    <cellStyle name="Output 4 3 2 2 3 2" xfId="5358"/>
    <cellStyle name="Output 4 3 2 2 4" xfId="5359"/>
    <cellStyle name="Output 4 3 2 3" xfId="5360"/>
    <cellStyle name="Output 4 3 2 3 2" xfId="5361"/>
    <cellStyle name="Output 4 3 2 3 2 2" xfId="5362"/>
    <cellStyle name="Output 4 3 2 3 3" xfId="5363"/>
    <cellStyle name="Output 4 3 2 3 4" xfId="5364"/>
    <cellStyle name="Output 4 3 2 4" xfId="5365"/>
    <cellStyle name="Output 4 3 2 4 2" xfId="5366"/>
    <cellStyle name="Output 4 3 2 4 2 2" xfId="5367"/>
    <cellStyle name="Output 4 3 2 4 3" xfId="5368"/>
    <cellStyle name="Output 4 3 2 5" xfId="5369"/>
    <cellStyle name="Output 4 3 2 5 2" xfId="5370"/>
    <cellStyle name="Output 4 3 2 6" xfId="5371"/>
    <cellStyle name="Output 4 3 3" xfId="5372"/>
    <cellStyle name="Output 4 3 3 2" xfId="5373"/>
    <cellStyle name="Output 4 3 3 2 2" xfId="5374"/>
    <cellStyle name="Output 4 3 3 3" xfId="5375"/>
    <cellStyle name="Output 4 3 4" xfId="5376"/>
    <cellStyle name="Output 4 3 4 2" xfId="5377"/>
    <cellStyle name="Output 4 3 4 2 2" xfId="5378"/>
    <cellStyle name="Output 4 3 4 2 2 2" xfId="5379"/>
    <cellStyle name="Output 4 3 4 2 2 2 2" xfId="5380"/>
    <cellStyle name="Output 4 3 4 2 2 3" xfId="5381"/>
    <cellStyle name="Output 4 3 4 2 3" xfId="5382"/>
    <cellStyle name="Output 4 3 4 2 3 2" xfId="5383"/>
    <cellStyle name="Output 4 3 4 2 4" xfId="5384"/>
    <cellStyle name="Output 4 3 4 3" xfId="5385"/>
    <cellStyle name="Output 4 3 4 3 2" xfId="5386"/>
    <cellStyle name="Output 4 3 4 3 2 2" xfId="5387"/>
    <cellStyle name="Output 4 3 4 3 3" xfId="5388"/>
    <cellStyle name="Output 4 3 4 3 4" xfId="5389"/>
    <cellStyle name="Output 4 3 4 4" xfId="5390"/>
    <cellStyle name="Output 4 3 4 4 2" xfId="5391"/>
    <cellStyle name="Output 4 3 4 4 2 2" xfId="5392"/>
    <cellStyle name="Output 4 3 4 4 3" xfId="5393"/>
    <cellStyle name="Output 4 3 4 5" xfId="5394"/>
    <cellStyle name="Output 4 3 4 5 2" xfId="5395"/>
    <cellStyle name="Output 4 3 4 6" xfId="5396"/>
    <cellStyle name="Output 4 3 5" xfId="5397"/>
    <cellStyle name="Output 4 3 5 2" xfId="5398"/>
    <cellStyle name="Output 4 3 5 2 2" xfId="5399"/>
    <cellStyle name="Output 4 3 5 2 2 2" xfId="5400"/>
    <cellStyle name="Output 4 3 5 2 3" xfId="5401"/>
    <cellStyle name="Output 4 3 5 3" xfId="5402"/>
    <cellStyle name="Output 4 3 5 3 2" xfId="5403"/>
    <cellStyle name="Output 4 3 5 4" xfId="5404"/>
    <cellStyle name="Output 4 3 6" xfId="5405"/>
    <cellStyle name="Output 4 3 6 2" xfId="5406"/>
    <cellStyle name="Output 4 3 6 2 2" xfId="5407"/>
    <cellStyle name="Output 4 3 6 3" xfId="5408"/>
    <cellStyle name="Output 4 3 6 4" xfId="5409"/>
    <cellStyle name="Output 4 3 7" xfId="5410"/>
    <cellStyle name="Output 4 3 7 2" xfId="5411"/>
    <cellStyle name="Output 4 3 7 2 2" xfId="5412"/>
    <cellStyle name="Output 4 3 7 3" xfId="5413"/>
    <cellStyle name="Output 4 3 8" xfId="5414"/>
    <cellStyle name="Output 4 3 8 2" xfId="5415"/>
    <cellStyle name="Output 4 3 9" xfId="5416"/>
    <cellStyle name="Output 4 4" xfId="5417"/>
    <cellStyle name="Output 4 4 2" xfId="5418"/>
    <cellStyle name="Output 4 4 2 2" xfId="5419"/>
    <cellStyle name="Output 4 4 2 2 2" xfId="5420"/>
    <cellStyle name="Output 4 4 2 2 2 2" xfId="5421"/>
    <cellStyle name="Output 4 4 2 2 3" xfId="5422"/>
    <cellStyle name="Output 4 4 2 3" xfId="5423"/>
    <cellStyle name="Output 4 4 2 3 2" xfId="5424"/>
    <cellStyle name="Output 4 4 2 4" xfId="5425"/>
    <cellStyle name="Output 4 4 3" xfId="5426"/>
    <cellStyle name="Output 4 4 3 2" xfId="5427"/>
    <cellStyle name="Output 4 4 3 2 2" xfId="5428"/>
    <cellStyle name="Output 4 4 3 3" xfId="5429"/>
    <cellStyle name="Output 4 4 3 4" xfId="5430"/>
    <cellStyle name="Output 4 4 4" xfId="5431"/>
    <cellStyle name="Output 4 4 4 2" xfId="5432"/>
    <cellStyle name="Output 4 4 4 2 2" xfId="5433"/>
    <cellStyle name="Output 4 4 4 3" xfId="5434"/>
    <cellStyle name="Output 4 4 5" xfId="5435"/>
    <cellStyle name="Output 4 4 5 2" xfId="5436"/>
    <cellStyle name="Output 4 4 6" xfId="5437"/>
    <cellStyle name="Output 5" xfId="5438"/>
    <cellStyle name="Output 5 2" xfId="5439"/>
    <cellStyle name="Output 5 2 2" xfId="5440"/>
    <cellStyle name="Output 5 2 2 2" xfId="5441"/>
    <cellStyle name="Output 5 2 2 2 2" xfId="5442"/>
    <cellStyle name="Output 5 2 2 2 2 2" xfId="5443"/>
    <cellStyle name="Output 5 2 2 2 2 2 2" xfId="5444"/>
    <cellStyle name="Output 5 2 2 2 2 3" xfId="5445"/>
    <cellStyle name="Output 5 2 2 2 3" xfId="5446"/>
    <cellStyle name="Output 5 2 2 2 3 2" xfId="5447"/>
    <cellStyle name="Output 5 2 2 2 4" xfId="5448"/>
    <cellStyle name="Output 5 2 2 3" xfId="5449"/>
    <cellStyle name="Output 5 2 2 3 2" xfId="5450"/>
    <cellStyle name="Output 5 2 2 3 2 2" xfId="5451"/>
    <cellStyle name="Output 5 2 2 3 3" xfId="5452"/>
    <cellStyle name="Output 5 2 2 3 4" xfId="5453"/>
    <cellStyle name="Output 5 2 2 4" xfId="5454"/>
    <cellStyle name="Output 5 2 2 4 2" xfId="5455"/>
    <cellStyle name="Output 5 2 2 4 2 2" xfId="5456"/>
    <cellStyle name="Output 5 2 2 4 3" xfId="5457"/>
    <cellStyle name="Output 5 2 2 5" xfId="5458"/>
    <cellStyle name="Output 5 2 2 5 2" xfId="5459"/>
    <cellStyle name="Output 5 2 2 6" xfId="5460"/>
    <cellStyle name="Output 5 2 3" xfId="5461"/>
    <cellStyle name="Output 5 2 3 2" xfId="5462"/>
    <cellStyle name="Output 5 2 3 2 2" xfId="5463"/>
    <cellStyle name="Output 5 2 3 2 2 2" xfId="5464"/>
    <cellStyle name="Output 5 2 3 2 2 2 2" xfId="5465"/>
    <cellStyle name="Output 5 2 3 2 2 3" xfId="5466"/>
    <cellStyle name="Output 5 2 3 2 3" xfId="5467"/>
    <cellStyle name="Output 5 2 3 2 3 2" xfId="5468"/>
    <cellStyle name="Output 5 2 3 2 4" xfId="5469"/>
    <cellStyle name="Output 5 2 3 3" xfId="5470"/>
    <cellStyle name="Output 5 2 3 3 2" xfId="5471"/>
    <cellStyle name="Output 5 2 3 3 2 2" xfId="5472"/>
    <cellStyle name="Output 5 2 3 3 3" xfId="5473"/>
    <cellStyle name="Output 5 2 3 3 4" xfId="5474"/>
    <cellStyle name="Output 5 2 3 4" xfId="5475"/>
    <cellStyle name="Output 5 2 3 4 2" xfId="5476"/>
    <cellStyle name="Output 5 2 3 4 2 2" xfId="5477"/>
    <cellStyle name="Output 5 2 3 4 3" xfId="5478"/>
    <cellStyle name="Output 5 2 3 5" xfId="5479"/>
    <cellStyle name="Output 5 2 3 5 2" xfId="5480"/>
    <cellStyle name="Output 5 2 3 6" xfId="5481"/>
    <cellStyle name="Output 5 2 4" xfId="5482"/>
    <cellStyle name="Output 5 2 4 2" xfId="5483"/>
    <cellStyle name="Output 5 3" xfId="5484"/>
    <cellStyle name="Output 5 3 2" xfId="5485"/>
    <cellStyle name="Output 5 3 2 2" xfId="5486"/>
    <cellStyle name="Output 5 3 2 2 2" xfId="5487"/>
    <cellStyle name="Output 5 3 2 2 2 2" xfId="5488"/>
    <cellStyle name="Output 5 3 2 2 2 2 2" xfId="5489"/>
    <cellStyle name="Output 5 3 2 2 2 3" xfId="5490"/>
    <cellStyle name="Output 5 3 2 2 3" xfId="5491"/>
    <cellStyle name="Output 5 3 2 2 3 2" xfId="5492"/>
    <cellStyle name="Output 5 3 2 2 4" xfId="5493"/>
    <cellStyle name="Output 5 3 2 3" xfId="5494"/>
    <cellStyle name="Output 5 3 2 3 2" xfId="5495"/>
    <cellStyle name="Output 5 3 2 3 2 2" xfId="5496"/>
    <cellStyle name="Output 5 3 2 3 3" xfId="5497"/>
    <cellStyle name="Output 5 3 2 3 4" xfId="5498"/>
    <cellStyle name="Output 5 3 2 4" xfId="5499"/>
    <cellStyle name="Output 5 3 2 4 2" xfId="5500"/>
    <cellStyle name="Output 5 3 2 4 2 2" xfId="5501"/>
    <cellStyle name="Output 5 3 2 4 3" xfId="5502"/>
    <cellStyle name="Output 5 3 2 5" xfId="5503"/>
    <cellStyle name="Output 5 3 2 5 2" xfId="5504"/>
    <cellStyle name="Output 5 3 2 6" xfId="5505"/>
    <cellStyle name="Output 5 3 3" xfId="5506"/>
    <cellStyle name="Output 5 3 3 2" xfId="5507"/>
    <cellStyle name="Output 5 3 3 2 2" xfId="5508"/>
    <cellStyle name="Output 5 3 3 3" xfId="5509"/>
    <cellStyle name="Output 5 3 4" xfId="5510"/>
    <cellStyle name="Output 5 3 4 2" xfId="5511"/>
    <cellStyle name="Output 5 3 4 2 2" xfId="5512"/>
    <cellStyle name="Output 5 3 4 2 2 2" xfId="5513"/>
    <cellStyle name="Output 5 3 4 2 2 2 2" xfId="5514"/>
    <cellStyle name="Output 5 3 4 2 2 3" xfId="5515"/>
    <cellStyle name="Output 5 3 4 2 3" xfId="5516"/>
    <cellStyle name="Output 5 3 4 2 3 2" xfId="5517"/>
    <cellStyle name="Output 5 3 4 2 4" xfId="5518"/>
    <cellStyle name="Output 5 3 4 3" xfId="5519"/>
    <cellStyle name="Output 5 3 4 3 2" xfId="5520"/>
    <cellStyle name="Output 5 3 4 3 2 2" xfId="5521"/>
    <cellStyle name="Output 5 3 4 3 3" xfId="5522"/>
    <cellStyle name="Output 5 3 4 3 4" xfId="5523"/>
    <cellStyle name="Output 5 3 4 4" xfId="5524"/>
    <cellStyle name="Output 5 3 4 4 2" xfId="5525"/>
    <cellStyle name="Output 5 3 4 4 2 2" xfId="5526"/>
    <cellStyle name="Output 5 3 4 4 3" xfId="5527"/>
    <cellStyle name="Output 5 3 4 5" xfId="5528"/>
    <cellStyle name="Output 5 3 4 5 2" xfId="5529"/>
    <cellStyle name="Output 5 3 4 6" xfId="5530"/>
    <cellStyle name="Output 5 3 5" xfId="5531"/>
    <cellStyle name="Output 5 3 5 2" xfId="5532"/>
    <cellStyle name="Output 5 3 5 2 2" xfId="5533"/>
    <cellStyle name="Output 5 3 5 2 2 2" xfId="5534"/>
    <cellStyle name="Output 5 3 5 2 3" xfId="5535"/>
    <cellStyle name="Output 5 3 5 3" xfId="5536"/>
    <cellStyle name="Output 5 3 5 3 2" xfId="5537"/>
    <cellStyle name="Output 5 3 5 4" xfId="5538"/>
    <cellStyle name="Output 5 3 6" xfId="5539"/>
    <cellStyle name="Output 5 3 6 2" xfId="5540"/>
    <cellStyle name="Output 5 3 6 2 2" xfId="5541"/>
    <cellStyle name="Output 5 3 6 3" xfId="5542"/>
    <cellStyle name="Output 5 3 6 4" xfId="5543"/>
    <cellStyle name="Output 5 3 7" xfId="5544"/>
    <cellStyle name="Output 5 3 7 2" xfId="5545"/>
    <cellStyle name="Output 5 3 7 2 2" xfId="5546"/>
    <cellStyle name="Output 5 3 7 3" xfId="5547"/>
    <cellStyle name="Output 5 3 8" xfId="5548"/>
    <cellStyle name="Output 5 3 8 2" xfId="5549"/>
    <cellStyle name="Output 5 3 9" xfId="5550"/>
    <cellStyle name="Output 5 4" xfId="5551"/>
    <cellStyle name="Output 5 4 2" xfId="5552"/>
    <cellStyle name="Output 5 4 2 2" xfId="5553"/>
    <cellStyle name="Output 5 4 2 2 2" xfId="5554"/>
    <cellStyle name="Output 5 4 2 2 2 2" xfId="5555"/>
    <cellStyle name="Output 5 4 2 2 3" xfId="5556"/>
    <cellStyle name="Output 5 4 2 3" xfId="5557"/>
    <cellStyle name="Output 5 4 2 3 2" xfId="5558"/>
    <cellStyle name="Output 5 4 2 4" xfId="5559"/>
    <cellStyle name="Output 5 4 3" xfId="5560"/>
    <cellStyle name="Output 5 4 3 2" xfId="5561"/>
    <cellStyle name="Output 5 4 3 2 2" xfId="5562"/>
    <cellStyle name="Output 5 4 3 3" xfId="5563"/>
    <cellStyle name="Output 5 4 3 4" xfId="5564"/>
    <cellStyle name="Output 5 4 4" xfId="5565"/>
    <cellStyle name="Output 5 4 4 2" xfId="5566"/>
    <cellStyle name="Output 5 4 4 2 2" xfId="5567"/>
    <cellStyle name="Output 5 4 4 3" xfId="5568"/>
    <cellStyle name="Output 5 4 5" xfId="5569"/>
    <cellStyle name="Output 5 4 5 2" xfId="5570"/>
    <cellStyle name="Output 5 4 6" xfId="5571"/>
    <cellStyle name="Output 5 5" xfId="5572"/>
    <cellStyle name="Output 5 5 2" xfId="5573"/>
    <cellStyle name="Output 6" xfId="5574"/>
    <cellStyle name="Output 6 2" xfId="5575"/>
    <cellStyle name="Output 6 2 2" xfId="5576"/>
    <cellStyle name="Output 6 2 2 2" xfId="5577"/>
    <cellStyle name="Output 6 2 2 2 2" xfId="5578"/>
    <cellStyle name="Output 6 2 2 2 2 2" xfId="5579"/>
    <cellStyle name="Output 6 2 2 2 2 2 2" xfId="5580"/>
    <cellStyle name="Output 6 2 2 2 2 3" xfId="5581"/>
    <cellStyle name="Output 6 2 2 2 3" xfId="5582"/>
    <cellStyle name="Output 6 2 2 2 3 2" xfId="5583"/>
    <cellStyle name="Output 6 2 2 2 4" xfId="5584"/>
    <cellStyle name="Output 6 2 2 3" xfId="5585"/>
    <cellStyle name="Output 6 2 2 3 2" xfId="5586"/>
    <cellStyle name="Output 6 2 2 3 2 2" xfId="5587"/>
    <cellStyle name="Output 6 2 2 3 3" xfId="5588"/>
    <cellStyle name="Output 6 2 2 3 4" xfId="5589"/>
    <cellStyle name="Output 6 2 2 4" xfId="5590"/>
    <cellStyle name="Output 6 2 2 4 2" xfId="5591"/>
    <cellStyle name="Output 6 2 2 4 2 2" xfId="5592"/>
    <cellStyle name="Output 6 2 2 4 3" xfId="5593"/>
    <cellStyle name="Output 6 2 2 5" xfId="5594"/>
    <cellStyle name="Output 6 2 2 5 2" xfId="5595"/>
    <cellStyle name="Output 6 2 2 6" xfId="5596"/>
    <cellStyle name="Output 6 2 3" xfId="5597"/>
    <cellStyle name="Output 6 2 3 2" xfId="5598"/>
    <cellStyle name="Output 6 2 3 2 2" xfId="5599"/>
    <cellStyle name="Output 6 2 3 3" xfId="5600"/>
    <cellStyle name="Output 6 2 4" xfId="5601"/>
    <cellStyle name="Output 6 2 4 2" xfId="5602"/>
    <cellStyle name="Output 6 2 4 2 2" xfId="5603"/>
    <cellStyle name="Output 6 2 4 2 2 2" xfId="5604"/>
    <cellStyle name="Output 6 2 4 2 2 2 2" xfId="5605"/>
    <cellStyle name="Output 6 2 4 2 2 3" xfId="5606"/>
    <cellStyle name="Output 6 2 4 2 3" xfId="5607"/>
    <cellStyle name="Output 6 2 4 2 3 2" xfId="5608"/>
    <cellStyle name="Output 6 2 4 2 4" xfId="5609"/>
    <cellStyle name="Output 6 2 4 3" xfId="5610"/>
    <cellStyle name="Output 6 2 4 3 2" xfId="5611"/>
    <cellStyle name="Output 6 2 4 3 2 2" xfId="5612"/>
    <cellStyle name="Output 6 2 4 3 3" xfId="5613"/>
    <cellStyle name="Output 6 2 4 3 4" xfId="5614"/>
    <cellStyle name="Output 6 2 4 4" xfId="5615"/>
    <cellStyle name="Output 6 2 4 4 2" xfId="5616"/>
    <cellStyle name="Output 6 2 4 4 2 2" xfId="5617"/>
    <cellStyle name="Output 6 2 4 4 3" xfId="5618"/>
    <cellStyle name="Output 6 2 4 5" xfId="5619"/>
    <cellStyle name="Output 6 2 4 5 2" xfId="5620"/>
    <cellStyle name="Output 6 2 4 6" xfId="5621"/>
    <cellStyle name="Output 6 2 5" xfId="5622"/>
    <cellStyle name="Output 6 2 5 2" xfId="5623"/>
    <cellStyle name="Output 6 2 5 2 2" xfId="5624"/>
    <cellStyle name="Output 6 2 5 2 2 2" xfId="5625"/>
    <cellStyle name="Output 6 2 5 2 3" xfId="5626"/>
    <cellStyle name="Output 6 2 5 3" xfId="5627"/>
    <cellStyle name="Output 6 2 5 3 2" xfId="5628"/>
    <cellStyle name="Output 6 2 5 4" xfId="5629"/>
    <cellStyle name="Output 6 2 6" xfId="5630"/>
    <cellStyle name="Output 6 2 6 2" xfId="5631"/>
    <cellStyle name="Output 6 2 6 2 2" xfId="5632"/>
    <cellStyle name="Output 6 2 6 3" xfId="5633"/>
    <cellStyle name="Output 6 2 6 4" xfId="5634"/>
    <cellStyle name="Output 6 2 7" xfId="5635"/>
    <cellStyle name="Output 6 2 7 2" xfId="5636"/>
    <cellStyle name="Output 6 2 7 2 2" xfId="5637"/>
    <cellStyle name="Output 6 2 7 3" xfId="5638"/>
    <cellStyle name="Output 6 2 8" xfId="5639"/>
    <cellStyle name="Output 6 2 8 2" xfId="5640"/>
    <cellStyle name="Output 6 2 9" xfId="5641"/>
    <cellStyle name="Output 6 3" xfId="5642"/>
    <cellStyle name="Output 6 3 2" xfId="5643"/>
    <cellStyle name="Output 6 3 2 2" xfId="5644"/>
    <cellStyle name="Output 6 3 2 2 2" xfId="5645"/>
    <cellStyle name="Output 6 3 2 2 2 2" xfId="5646"/>
    <cellStyle name="Output 6 3 2 2 3" xfId="5647"/>
    <cellStyle name="Output 6 3 2 3" xfId="5648"/>
    <cellStyle name="Output 6 3 2 3 2" xfId="5649"/>
    <cellStyle name="Output 6 3 2 4" xfId="5650"/>
    <cellStyle name="Output 6 3 3" xfId="5651"/>
    <cellStyle name="Output 6 3 3 2" xfId="5652"/>
    <cellStyle name="Output 6 3 3 2 2" xfId="5653"/>
    <cellStyle name="Output 6 3 3 3" xfId="5654"/>
    <cellStyle name="Output 6 3 3 4" xfId="5655"/>
    <cellStyle name="Output 6 3 4" xfId="5656"/>
    <cellStyle name="Output 6 3 4 2" xfId="5657"/>
    <cellStyle name="Output 6 3 4 2 2" xfId="5658"/>
    <cellStyle name="Output 6 3 4 3" xfId="5659"/>
    <cellStyle name="Output 6 3 5" xfId="5660"/>
    <cellStyle name="Output 6 3 5 2" xfId="5661"/>
    <cellStyle name="Output 6 3 6" xfId="5662"/>
    <cellStyle name="Output 6 4" xfId="5663"/>
    <cellStyle name="Output 6 4 2" xfId="5664"/>
    <cellStyle name="Output 7" xfId="5665"/>
    <cellStyle name="Output 7 2" xfId="5666"/>
    <cellStyle name="Output 7 2 2" xfId="5667"/>
    <cellStyle name="Output 7 2 2 2" xfId="5668"/>
    <cellStyle name="Output 7 2 2 2 2" xfId="5669"/>
    <cellStyle name="Output 7 2 2 2 2 2" xfId="5670"/>
    <cellStyle name="Output 7 2 2 2 3" xfId="5671"/>
    <cellStyle name="Output 7 2 2 3" xfId="5672"/>
    <cellStyle name="Output 7 2 2 3 2" xfId="5673"/>
    <cellStyle name="Output 7 2 2 4" xfId="5674"/>
    <cellStyle name="Output 7 2 3" xfId="5675"/>
    <cellStyle name="Output 7 2 3 2" xfId="5676"/>
    <cellStyle name="Output 7 2 3 2 2" xfId="5677"/>
    <cellStyle name="Output 7 2 3 3" xfId="5678"/>
    <cellStyle name="Output 7 2 3 4" xfId="5679"/>
    <cellStyle name="Output 7 2 4" xfId="5680"/>
    <cellStyle name="Output 7 2 4 2" xfId="5681"/>
    <cellStyle name="Output 7 2 4 2 2" xfId="5682"/>
    <cellStyle name="Output 7 2 4 3" xfId="5683"/>
    <cellStyle name="Output 7 2 5" xfId="5684"/>
    <cellStyle name="Output 7 2 5 2" xfId="5685"/>
    <cellStyle name="Output 7 2 6" xfId="5686"/>
    <cellStyle name="Output 7 3" xfId="5687"/>
    <cellStyle name="Output 7 3 2" xfId="5688"/>
    <cellStyle name="Output 7 3 2 2" xfId="5689"/>
    <cellStyle name="Output 7 3 3" xfId="5690"/>
    <cellStyle name="Output 7 4" xfId="5691"/>
    <cellStyle name="Output 7 4 2" xfId="5692"/>
    <cellStyle name="Output 7 4 2 2" xfId="5693"/>
    <cellStyle name="Output 7 4 2 2 2" xfId="5694"/>
    <cellStyle name="Output 7 4 2 2 2 2" xfId="5695"/>
    <cellStyle name="Output 7 4 2 2 3" xfId="5696"/>
    <cellStyle name="Output 7 4 2 3" xfId="5697"/>
    <cellStyle name="Output 7 4 2 3 2" xfId="5698"/>
    <cellStyle name="Output 7 4 2 4" xfId="5699"/>
    <cellStyle name="Output 7 4 3" xfId="5700"/>
    <cellStyle name="Output 7 4 3 2" xfId="5701"/>
    <cellStyle name="Output 7 4 3 2 2" xfId="5702"/>
    <cellStyle name="Output 7 4 3 3" xfId="5703"/>
    <cellStyle name="Output 7 4 3 4" xfId="5704"/>
    <cellStyle name="Output 7 4 4" xfId="5705"/>
    <cellStyle name="Output 7 4 4 2" xfId="5706"/>
    <cellStyle name="Output 7 4 4 2 2" xfId="5707"/>
    <cellStyle name="Output 7 4 4 3" xfId="5708"/>
    <cellStyle name="Output 7 4 5" xfId="5709"/>
    <cellStyle name="Output 7 4 5 2" xfId="5710"/>
    <cellStyle name="Output 7 4 6" xfId="5711"/>
    <cellStyle name="Output 7 5" xfId="5712"/>
    <cellStyle name="Output 7 5 2" xfId="5713"/>
    <cellStyle name="Output 7 5 2 2" xfId="5714"/>
    <cellStyle name="Output 7 5 2 2 2" xfId="5715"/>
    <cellStyle name="Output 7 5 2 3" xfId="5716"/>
    <cellStyle name="Output 7 5 3" xfId="5717"/>
    <cellStyle name="Output 7 5 3 2" xfId="5718"/>
    <cellStyle name="Output 7 5 4" xfId="5719"/>
    <cellStyle name="Output 7 6" xfId="5720"/>
    <cellStyle name="Output 7 6 2" xfId="5721"/>
    <cellStyle name="Output 7 6 2 2" xfId="5722"/>
    <cellStyle name="Output 7 6 3" xfId="5723"/>
    <cellStyle name="Output 7 6 4" xfId="5724"/>
    <cellStyle name="Output 7 7" xfId="5725"/>
    <cellStyle name="Output 7 7 2" xfId="5726"/>
    <cellStyle name="Output 7 7 2 2" xfId="5727"/>
    <cellStyle name="Output 7 7 3" xfId="5728"/>
    <cellStyle name="Output 7 8" xfId="5729"/>
    <cellStyle name="Output 7 8 2" xfId="5730"/>
    <cellStyle name="Output 7 9" xfId="5731"/>
    <cellStyle name="Page 1" xfId="5732"/>
    <cellStyle name="Page 2" xfId="5733"/>
    <cellStyle name="Page 3" xfId="5734"/>
    <cellStyle name="Page 4" xfId="5735"/>
    <cellStyle name="Page 5" xfId="5736"/>
    <cellStyle name="Page 6" xfId="5737"/>
    <cellStyle name="Page 7" xfId="5738"/>
    <cellStyle name="Page1" xfId="5739"/>
    <cellStyle name="Page2" xfId="5740"/>
    <cellStyle name="Page3" xfId="5741"/>
    <cellStyle name="Page4" xfId="5742"/>
    <cellStyle name="Page5" xfId="5743"/>
    <cellStyle name="Page6" xfId="5744"/>
    <cellStyle name="Percent" xfId="8444" builtinId="5"/>
    <cellStyle name="Percent 2" xfId="5745"/>
    <cellStyle name="Percent 3" xfId="5746"/>
    <cellStyle name="Percent 3 2" xfId="5747"/>
    <cellStyle name="Percent 4" xfId="5748"/>
    <cellStyle name="Percent 4 2" xfId="5749"/>
    <cellStyle name="Percent 5" xfId="5750"/>
    <cellStyle name="Percent 5 2" xfId="7622"/>
    <cellStyle name="Percent 5 2 2" xfId="7665"/>
    <cellStyle name="Percent 6" xfId="5751"/>
    <cellStyle name="Percentage" xfId="5752"/>
    <cellStyle name="RangeName" xfId="5753"/>
    <cellStyle name="RateConven" xfId="5754"/>
    <cellStyle name="red" xfId="5755"/>
    <cellStyle name="ResultDateCenter" xfId="5756"/>
    <cellStyle name="Style 1" xfId="5757"/>
    <cellStyle name="Style 1 2" xfId="5758"/>
    <cellStyle name="Style 1 3" xfId="5759"/>
    <cellStyle name="Style 1 3 2" xfId="5760"/>
    <cellStyle name="Style 1 3 2 2" xfId="5761"/>
    <cellStyle name="Style 1 3 2 2 2" xfId="5762"/>
    <cellStyle name="Style 1 3 2 2 2 2" xfId="5763"/>
    <cellStyle name="Style 1 3 2 2 2 2 2" xfId="5764"/>
    <cellStyle name="Style 1 3 2 2 2 2 2 2" xfId="5765"/>
    <cellStyle name="Style 1 3 2 2 2 2 2 2 2" xfId="5766"/>
    <cellStyle name="Style 1 3 2 2 2 2 2 3" xfId="5767"/>
    <cellStyle name="Style 1 3 2 2 2 2 3" xfId="5768"/>
    <cellStyle name="Style 1 3 2 2 2 2 3 2" xfId="5769"/>
    <cellStyle name="Style 1 3 2 2 2 2 4" xfId="5770"/>
    <cellStyle name="Style 1 3 2 2 2 3" xfId="5771"/>
    <cellStyle name="Style 1 3 2 2 2 3 2" xfId="5772"/>
    <cellStyle name="Style 1 3 2 2 2 3 2 2" xfId="5773"/>
    <cellStyle name="Style 1 3 2 2 2 3 3" xfId="5774"/>
    <cellStyle name="Style 1 3 2 2 2 3 4" xfId="5775"/>
    <cellStyle name="Style 1 3 2 2 2 4" xfId="5776"/>
    <cellStyle name="Style 1 3 2 2 2 4 2" xfId="5777"/>
    <cellStyle name="Style 1 3 2 2 2 4 2 2" xfId="5778"/>
    <cellStyle name="Style 1 3 2 2 2 4 3" xfId="5779"/>
    <cellStyle name="Style 1 3 2 2 2 5" xfId="5780"/>
    <cellStyle name="Style 1 3 2 2 3" xfId="5781"/>
    <cellStyle name="Style 1 3 2 2 3 2" xfId="5782"/>
    <cellStyle name="Style 1 3 2 2 3 2 2" xfId="5783"/>
    <cellStyle name="Style 1 3 2 2 3 2 2 2" xfId="5784"/>
    <cellStyle name="Style 1 3 2 2 3 2 2 2 2" xfId="5785"/>
    <cellStyle name="Style 1 3 2 2 3 2 2 3" xfId="5786"/>
    <cellStyle name="Style 1 3 2 2 3 2 3" xfId="5787"/>
    <cellStyle name="Style 1 3 2 2 3 2 3 2" xfId="5788"/>
    <cellStyle name="Style 1 3 2 2 3 2 4" xfId="5789"/>
    <cellStyle name="Style 1 3 2 2 3 3" xfId="5790"/>
    <cellStyle name="Style 1 3 2 2 3 3 2" xfId="5791"/>
    <cellStyle name="Style 1 3 2 2 3 3 2 2" xfId="5792"/>
    <cellStyle name="Style 1 3 2 2 3 3 3" xfId="5793"/>
    <cellStyle name="Style 1 3 2 2 3 3 4" xfId="5794"/>
    <cellStyle name="Style 1 3 2 2 3 4" xfId="5795"/>
    <cellStyle name="Style 1 3 2 2 3 4 2" xfId="5796"/>
    <cellStyle name="Style 1 3 2 2 3 4 2 2" xfId="5797"/>
    <cellStyle name="Style 1 3 2 2 3 4 3" xfId="5798"/>
    <cellStyle name="Style 1 3 2 2 3 5" xfId="5799"/>
    <cellStyle name="Style 1 3 2 2 3 5 2" xfId="5800"/>
    <cellStyle name="Style 1 3 2 2 3 6" xfId="5801"/>
    <cellStyle name="Style 1 3 2 2 4" xfId="5802"/>
    <cellStyle name="Style 1 3 2 2 4 2" xfId="5803"/>
    <cellStyle name="Style 1 3 2 2 4 2 2" xfId="5804"/>
    <cellStyle name="Style 1 3 2 2 4 2 2 2" xfId="5805"/>
    <cellStyle name="Style 1 3 2 2 4 2 2 2 2" xfId="5806"/>
    <cellStyle name="Style 1 3 2 2 4 2 2 3" xfId="5807"/>
    <cellStyle name="Style 1 3 2 2 4 2 3" xfId="5808"/>
    <cellStyle name="Style 1 3 2 2 4 2 3 2" xfId="5809"/>
    <cellStyle name="Style 1 3 2 2 4 2 4" xfId="5810"/>
    <cellStyle name="Style 1 3 2 2 4 3" xfId="5811"/>
    <cellStyle name="Style 1 3 2 2 4 3 2" xfId="5812"/>
    <cellStyle name="Style 1 3 2 2 4 3 2 2" xfId="5813"/>
    <cellStyle name="Style 1 3 2 2 4 3 3" xfId="5814"/>
    <cellStyle name="Style 1 3 2 2 4 3 4" xfId="5815"/>
    <cellStyle name="Style 1 3 2 2 4 4" xfId="5816"/>
    <cellStyle name="Style 1 3 2 2 4 4 2" xfId="5817"/>
    <cellStyle name="Style 1 3 2 2 4 4 2 2" xfId="5818"/>
    <cellStyle name="Style 1 3 2 2 4 4 3" xfId="5819"/>
    <cellStyle name="Style 1 3 2 2 4 5" xfId="5820"/>
    <cellStyle name="Style 1 3 2 2 4 5 2" xfId="5821"/>
    <cellStyle name="Style 1 3 2 2 4 6" xfId="5822"/>
    <cellStyle name="Style 1 3 2 2 5" xfId="5823"/>
    <cellStyle name="Style 1 3 2 2 5 2" xfId="5824"/>
    <cellStyle name="Style 1 3 2 3" xfId="5825"/>
    <cellStyle name="Style 1 3 2 3 2" xfId="5826"/>
    <cellStyle name="Style 1 3 2 3 2 2" xfId="5827"/>
    <cellStyle name="Style 1 3 2 3 2 2 2" xfId="5828"/>
    <cellStyle name="Style 1 3 2 3 2 2 2 2" xfId="5829"/>
    <cellStyle name="Style 1 3 2 3 2 2 3" xfId="5830"/>
    <cellStyle name="Style 1 3 2 3 2 3" xfId="5831"/>
    <cellStyle name="Style 1 3 2 3 2 3 2" xfId="5832"/>
    <cellStyle name="Style 1 3 2 3 2 4" xfId="5833"/>
    <cellStyle name="Style 1 3 2 3 3" xfId="5834"/>
    <cellStyle name="Style 1 3 2 3 3 2" xfId="5835"/>
    <cellStyle name="Style 1 3 2 3 3 2 2" xfId="5836"/>
    <cellStyle name="Style 1 3 2 3 3 3" xfId="5837"/>
    <cellStyle name="Style 1 3 2 3 3 4" xfId="5838"/>
    <cellStyle name="Style 1 3 2 3 4" xfId="5839"/>
    <cellStyle name="Style 1 3 2 3 4 2" xfId="5840"/>
    <cellStyle name="Style 1 3 2 3 4 2 2" xfId="5841"/>
    <cellStyle name="Style 1 3 2 3 4 3" xfId="5842"/>
    <cellStyle name="Style 1 3 2 3 5" xfId="5843"/>
    <cellStyle name="Style 1 3 2 4" xfId="5844"/>
    <cellStyle name="Style 1 3 2 4 2" xfId="5845"/>
    <cellStyle name="Style 1 3 2 4 2 2" xfId="5846"/>
    <cellStyle name="Style 1 3 2 4 2 2 2" xfId="5847"/>
    <cellStyle name="Style 1 3 2 4 2 2 2 2" xfId="5848"/>
    <cellStyle name="Style 1 3 2 4 2 2 3" xfId="5849"/>
    <cellStyle name="Style 1 3 2 4 2 3" xfId="5850"/>
    <cellStyle name="Style 1 3 2 4 2 3 2" xfId="5851"/>
    <cellStyle name="Style 1 3 2 4 2 4" xfId="5852"/>
    <cellStyle name="Style 1 3 2 4 3" xfId="5853"/>
    <cellStyle name="Style 1 3 2 4 3 2" xfId="5854"/>
    <cellStyle name="Style 1 3 2 4 3 2 2" xfId="5855"/>
    <cellStyle name="Style 1 3 2 4 3 3" xfId="5856"/>
    <cellStyle name="Style 1 3 2 4 3 4" xfId="5857"/>
    <cellStyle name="Style 1 3 2 4 4" xfId="5858"/>
    <cellStyle name="Style 1 3 2 4 4 2" xfId="5859"/>
    <cellStyle name="Style 1 3 2 4 4 2 2" xfId="5860"/>
    <cellStyle name="Style 1 3 2 4 4 3" xfId="5861"/>
    <cellStyle name="Style 1 3 2 4 5" xfId="5862"/>
    <cellStyle name="Style 1 3 2 4 5 2" xfId="5863"/>
    <cellStyle name="Style 1 3 2 4 6" xfId="5864"/>
    <cellStyle name="Style 1 3 2 5" xfId="5865"/>
    <cellStyle name="Style 1 3 2 5 2" xfId="5866"/>
    <cellStyle name="Style 1 3 2 5 2 2" xfId="5867"/>
    <cellStyle name="Style 1 3 2 5 2 2 2" xfId="5868"/>
    <cellStyle name="Style 1 3 2 5 2 2 2 2" xfId="5869"/>
    <cellStyle name="Style 1 3 2 5 2 2 3" xfId="5870"/>
    <cellStyle name="Style 1 3 2 5 2 3" xfId="5871"/>
    <cellStyle name="Style 1 3 2 5 2 3 2" xfId="5872"/>
    <cellStyle name="Style 1 3 2 5 2 4" xfId="5873"/>
    <cellStyle name="Style 1 3 2 5 3" xfId="5874"/>
    <cellStyle name="Style 1 3 2 5 3 2" xfId="5875"/>
    <cellStyle name="Style 1 3 2 5 3 2 2" xfId="5876"/>
    <cellStyle name="Style 1 3 2 5 3 3" xfId="5877"/>
    <cellStyle name="Style 1 3 2 5 3 4" xfId="5878"/>
    <cellStyle name="Style 1 3 2 5 4" xfId="5879"/>
    <cellStyle name="Style 1 3 2 5 4 2" xfId="5880"/>
    <cellStyle name="Style 1 3 2 5 4 2 2" xfId="5881"/>
    <cellStyle name="Style 1 3 2 5 4 3" xfId="5882"/>
    <cellStyle name="Style 1 3 2 5 5" xfId="5883"/>
    <cellStyle name="Style 1 3 2 5 5 2" xfId="5884"/>
    <cellStyle name="Style 1 3 2 5 6" xfId="5885"/>
    <cellStyle name="Style 1 3 3" xfId="5886"/>
    <cellStyle name="Style 1 3 3 2" xfId="5887"/>
    <cellStyle name="Style 1 3 3 2 2" xfId="5888"/>
    <cellStyle name="Style 1 3 3 2 2 2" xfId="5889"/>
    <cellStyle name="Style 1 3 3 2 2 2 2" xfId="5890"/>
    <cellStyle name="Style 1 3 3 2 2 2 2 2" xfId="5891"/>
    <cellStyle name="Style 1 3 3 2 2 2 3" xfId="5892"/>
    <cellStyle name="Style 1 3 3 2 2 3" xfId="5893"/>
    <cellStyle name="Style 1 3 3 2 2 3 2" xfId="5894"/>
    <cellStyle name="Style 1 3 3 2 2 4" xfId="5895"/>
    <cellStyle name="Style 1 3 3 2 3" xfId="5896"/>
    <cellStyle name="Style 1 3 3 2 3 2" xfId="5897"/>
    <cellStyle name="Style 1 3 3 2 3 2 2" xfId="5898"/>
    <cellStyle name="Style 1 3 3 2 3 3" xfId="5899"/>
    <cellStyle name="Style 1 3 3 2 3 4" xfId="5900"/>
    <cellStyle name="Style 1 3 3 2 4" xfId="5901"/>
    <cellStyle name="Style 1 3 3 2 4 2" xfId="5902"/>
    <cellStyle name="Style 1 3 3 2 4 2 2" xfId="5903"/>
    <cellStyle name="Style 1 3 3 2 4 3" xfId="5904"/>
    <cellStyle name="Style 1 3 3 2 5" xfId="5905"/>
    <cellStyle name="Style 1 3 3 3" xfId="5906"/>
    <cellStyle name="Style 1 3 3 3 2" xfId="5907"/>
    <cellStyle name="Style 1 3 3 3 2 2" xfId="5908"/>
    <cellStyle name="Style 1 3 3 3 2 2 2" xfId="5909"/>
    <cellStyle name="Style 1 3 3 3 2 2 2 2" xfId="5910"/>
    <cellStyle name="Style 1 3 3 3 2 2 3" xfId="5911"/>
    <cellStyle name="Style 1 3 3 3 2 3" xfId="5912"/>
    <cellStyle name="Style 1 3 3 3 2 3 2" xfId="5913"/>
    <cellStyle name="Style 1 3 3 3 2 4" xfId="5914"/>
    <cellStyle name="Style 1 3 3 3 3" xfId="5915"/>
    <cellStyle name="Style 1 3 3 3 3 2" xfId="5916"/>
    <cellStyle name="Style 1 3 3 3 3 2 2" xfId="5917"/>
    <cellStyle name="Style 1 3 3 3 3 3" xfId="5918"/>
    <cellStyle name="Style 1 3 3 3 3 4" xfId="5919"/>
    <cellStyle name="Style 1 3 3 3 4" xfId="5920"/>
    <cellStyle name="Style 1 3 3 3 4 2" xfId="5921"/>
    <cellStyle name="Style 1 3 3 3 4 2 2" xfId="5922"/>
    <cellStyle name="Style 1 3 3 3 4 3" xfId="5923"/>
    <cellStyle name="Style 1 3 3 3 5" xfId="5924"/>
    <cellStyle name="Style 1 3 3 3 5 2" xfId="5925"/>
    <cellStyle name="Style 1 3 3 3 6" xfId="5926"/>
    <cellStyle name="Style 1 3 3 4" xfId="5927"/>
    <cellStyle name="Style 1 3 3 4 2" xfId="5928"/>
    <cellStyle name="Style 1 3 3 4 2 2" xfId="5929"/>
    <cellStyle name="Style 1 3 3 4 2 2 2" xfId="5930"/>
    <cellStyle name="Style 1 3 3 4 2 2 2 2" xfId="5931"/>
    <cellStyle name="Style 1 3 3 4 2 2 3" xfId="5932"/>
    <cellStyle name="Style 1 3 3 4 2 3" xfId="5933"/>
    <cellStyle name="Style 1 3 3 4 2 3 2" xfId="5934"/>
    <cellStyle name="Style 1 3 3 4 2 4" xfId="5935"/>
    <cellStyle name="Style 1 3 3 4 3" xfId="5936"/>
    <cellStyle name="Style 1 3 3 4 3 2" xfId="5937"/>
    <cellStyle name="Style 1 3 3 4 3 2 2" xfId="5938"/>
    <cellStyle name="Style 1 3 3 4 3 3" xfId="5939"/>
    <cellStyle name="Style 1 3 3 4 3 4" xfId="5940"/>
    <cellStyle name="Style 1 3 3 4 4" xfId="5941"/>
    <cellStyle name="Style 1 3 3 4 4 2" xfId="5942"/>
    <cellStyle name="Style 1 3 3 4 4 2 2" xfId="5943"/>
    <cellStyle name="Style 1 3 3 4 4 3" xfId="5944"/>
    <cellStyle name="Style 1 3 3 4 5" xfId="5945"/>
    <cellStyle name="Style 1 3 3 4 5 2" xfId="5946"/>
    <cellStyle name="Style 1 3 3 4 6" xfId="5947"/>
    <cellStyle name="Style 1 3 3 5" xfId="5948"/>
    <cellStyle name="Style 1 3 3 5 2" xfId="5949"/>
    <cellStyle name="Style 1 3 4" xfId="5950"/>
    <cellStyle name="Style 1 3 4 2" xfId="5951"/>
    <cellStyle name="Style 1 3 4 2 2" xfId="5952"/>
    <cellStyle name="Style 1 3 4 2 2 2" xfId="5953"/>
    <cellStyle name="Style 1 3 4 2 2 2 2" xfId="5954"/>
    <cellStyle name="Style 1 3 4 2 2 2 2 2" xfId="5955"/>
    <cellStyle name="Style 1 3 4 2 2 2 3" xfId="5956"/>
    <cellStyle name="Style 1 3 4 2 2 3" xfId="5957"/>
    <cellStyle name="Style 1 3 4 2 2 3 2" xfId="5958"/>
    <cellStyle name="Style 1 3 4 2 2 4" xfId="5959"/>
    <cellStyle name="Style 1 3 4 2 3" xfId="5960"/>
    <cellStyle name="Style 1 3 4 2 3 2" xfId="5961"/>
    <cellStyle name="Style 1 3 4 2 3 2 2" xfId="5962"/>
    <cellStyle name="Style 1 3 4 2 3 3" xfId="5963"/>
    <cellStyle name="Style 1 3 4 2 3 4" xfId="5964"/>
    <cellStyle name="Style 1 3 4 2 4" xfId="5965"/>
    <cellStyle name="Style 1 3 4 2 4 2" xfId="5966"/>
    <cellStyle name="Style 1 3 4 2 4 2 2" xfId="5967"/>
    <cellStyle name="Style 1 3 4 2 4 3" xfId="5968"/>
    <cellStyle name="Style 1 3 4 2 5" xfId="5969"/>
    <cellStyle name="Style 1 3 4 2 5 2" xfId="5970"/>
    <cellStyle name="Style 1 3 4 2 6" xfId="5971"/>
    <cellStyle name="Style 1 3 4 3" xfId="5972"/>
    <cellStyle name="Style 1 3 4 3 2" xfId="5973"/>
    <cellStyle name="Style 1 3 4 3 2 2" xfId="5974"/>
    <cellStyle name="Style 1 3 4 3 2 2 2" xfId="5975"/>
    <cellStyle name="Style 1 3 4 3 2 2 2 2" xfId="5976"/>
    <cellStyle name="Style 1 3 4 3 2 2 3" xfId="5977"/>
    <cellStyle name="Style 1 3 4 3 2 3" xfId="5978"/>
    <cellStyle name="Style 1 3 4 3 2 3 2" xfId="5979"/>
    <cellStyle name="Style 1 3 4 3 2 4" xfId="5980"/>
    <cellStyle name="Style 1 3 4 3 3" xfId="5981"/>
    <cellStyle name="Style 1 3 4 3 3 2" xfId="5982"/>
    <cellStyle name="Style 1 3 4 3 3 2 2" xfId="5983"/>
    <cellStyle name="Style 1 3 4 3 3 3" xfId="5984"/>
    <cellStyle name="Style 1 3 4 3 3 4" xfId="5985"/>
    <cellStyle name="Style 1 3 4 3 4" xfId="5986"/>
    <cellStyle name="Style 1 3 4 3 4 2" xfId="5987"/>
    <cellStyle name="Style 1 3 4 3 4 2 2" xfId="5988"/>
    <cellStyle name="Style 1 3 4 3 4 3" xfId="5989"/>
    <cellStyle name="Style 1 3 4 3 5" xfId="5990"/>
    <cellStyle name="Style 1 3 4 3 5 2" xfId="5991"/>
    <cellStyle name="Style 1 3 4 3 6" xfId="5992"/>
    <cellStyle name="Style 1 3 4 4" xfId="5993"/>
    <cellStyle name="Style 1 3 4 4 2" xfId="5994"/>
    <cellStyle name="Style 1 3 4 4 2 2" xfId="5995"/>
    <cellStyle name="Style 1 3 4 4 2 2 2" xfId="5996"/>
    <cellStyle name="Style 1 3 4 4 2 3" xfId="5997"/>
    <cellStyle name="Style 1 3 4 4 3" xfId="5998"/>
    <cellStyle name="Style 1 3 4 4 3 2" xfId="5999"/>
    <cellStyle name="Style 1 3 4 4 4" xfId="6000"/>
    <cellStyle name="Style 1 3 4 5" xfId="6001"/>
    <cellStyle name="Style 1 3 4 5 2" xfId="6002"/>
    <cellStyle name="Style 1 3 4 5 2 2" xfId="6003"/>
    <cellStyle name="Style 1 3 4 5 3" xfId="6004"/>
    <cellStyle name="Style 1 3 4 5 4" xfId="6005"/>
    <cellStyle name="Style 1 3 4 6" xfId="6006"/>
    <cellStyle name="Style 1 3 4 6 2" xfId="6007"/>
    <cellStyle name="Style 1 3 4 6 2 2" xfId="6008"/>
    <cellStyle name="Style 1 3 4 6 3" xfId="6009"/>
    <cellStyle name="Style 1 3 4 7" xfId="6010"/>
    <cellStyle name="Style 1 3 5" xfId="6011"/>
    <cellStyle name="Style 1 3 5 2" xfId="6012"/>
    <cellStyle name="Style 1 3 5 2 2" xfId="6013"/>
    <cellStyle name="Style 1 3 5 2 2 2" xfId="6014"/>
    <cellStyle name="Style 1 3 5 2 2 2 2" xfId="6015"/>
    <cellStyle name="Style 1 3 5 2 2 3" xfId="6016"/>
    <cellStyle name="Style 1 3 5 2 3" xfId="6017"/>
    <cellStyle name="Style 1 3 5 2 3 2" xfId="6018"/>
    <cellStyle name="Style 1 3 5 2 4" xfId="6019"/>
    <cellStyle name="Style 1 3 5 3" xfId="6020"/>
    <cellStyle name="Style 1 3 5 3 2" xfId="6021"/>
    <cellStyle name="Style 1 3 5 3 2 2" xfId="6022"/>
    <cellStyle name="Style 1 3 5 3 3" xfId="6023"/>
    <cellStyle name="Style 1 3 5 3 4" xfId="6024"/>
    <cellStyle name="Style 1 3 5 4" xfId="6025"/>
    <cellStyle name="Style 1 3 5 4 2" xfId="6026"/>
    <cellStyle name="Style 1 3 5 4 2 2" xfId="6027"/>
    <cellStyle name="Style 1 3 5 4 3" xfId="6028"/>
    <cellStyle name="Style 1 3 5 5" xfId="6029"/>
    <cellStyle name="Style 1 4" xfId="6030"/>
    <cellStyle name="Style 1 5" xfId="6031"/>
    <cellStyle name="Style 1 6" xfId="6032"/>
    <cellStyle name="Style 1_apollo_curves" xfId="6033"/>
    <cellStyle name="Style 2" xfId="6034"/>
    <cellStyle name="TableF" xfId="6035"/>
    <cellStyle name="TableF 2" xfId="6036"/>
    <cellStyle name="text" xfId="6037"/>
    <cellStyle name="text2" xfId="6038"/>
    <cellStyle name="Title" xfId="7623" builtinId="15" customBuiltin="1"/>
    <cellStyle name="Title 2" xfId="6039"/>
    <cellStyle name="Title 2 2" xfId="6040"/>
    <cellStyle name="Title 3" xfId="6041"/>
    <cellStyle name="Title 4" xfId="6042"/>
    <cellStyle name="Title 5" xfId="6043"/>
    <cellStyle name="Title 6" xfId="6044"/>
    <cellStyle name="title2" xfId="6045"/>
    <cellStyle name="TopGrey" xfId="6046"/>
    <cellStyle name="Total" xfId="7639" builtinId="25" customBuiltin="1"/>
    <cellStyle name="Total 2" xfId="6047"/>
    <cellStyle name="Total 2 2" xfId="6048"/>
    <cellStyle name="Total 2 2 2" xfId="6049"/>
    <cellStyle name="Total 2 2 2 2" xfId="6050"/>
    <cellStyle name="Total 2 2 2 2 2" xfId="6051"/>
    <cellStyle name="Total 2 2 2 2 2 2" xfId="6052"/>
    <cellStyle name="Total 2 2 2 2 2 2 2" xfId="6053"/>
    <cellStyle name="Total 2 2 2 2 2 2 2 2" xfId="6054"/>
    <cellStyle name="Total 2 2 2 2 2 2 2 2 2" xfId="6055"/>
    <cellStyle name="Total 2 2 2 2 2 2 2 3" xfId="6056"/>
    <cellStyle name="Total 2 2 2 2 2 2 3" xfId="6057"/>
    <cellStyle name="Total 2 2 2 2 2 2 3 2" xfId="6058"/>
    <cellStyle name="Total 2 2 2 2 2 2 4" xfId="6059"/>
    <cellStyle name="Total 2 2 2 2 2 3" xfId="6060"/>
    <cellStyle name="Total 2 2 2 2 2 3 2" xfId="6061"/>
    <cellStyle name="Total 2 2 2 2 2 3 2 2" xfId="6062"/>
    <cellStyle name="Total 2 2 2 2 2 3 3" xfId="6063"/>
    <cellStyle name="Total 2 2 2 2 2 3 4" xfId="6064"/>
    <cellStyle name="Total 2 2 2 2 2 4" xfId="6065"/>
    <cellStyle name="Total 2 2 2 2 2 4 2" xfId="6066"/>
    <cellStyle name="Total 2 2 2 2 2 4 2 2" xfId="6067"/>
    <cellStyle name="Total 2 2 2 2 2 4 3" xfId="6068"/>
    <cellStyle name="Total 2 2 2 2 2 5" xfId="6069"/>
    <cellStyle name="Total 2 2 2 2 2 5 2" xfId="6070"/>
    <cellStyle name="Total 2 2 2 2 2 6" xfId="6071"/>
    <cellStyle name="Total 2 2 2 2 3" xfId="6072"/>
    <cellStyle name="Total 2 2 2 2 3 2" xfId="6073"/>
    <cellStyle name="Total 2 2 2 2 3 2 2" xfId="6074"/>
    <cellStyle name="Total 2 2 2 2 3 2 2 2" xfId="6075"/>
    <cellStyle name="Total 2 2 2 2 3 2 2 2 2" xfId="6076"/>
    <cellStyle name="Total 2 2 2 2 3 2 2 3" xfId="6077"/>
    <cellStyle name="Total 2 2 2 2 3 2 3" xfId="6078"/>
    <cellStyle name="Total 2 2 2 2 3 2 3 2" xfId="6079"/>
    <cellStyle name="Total 2 2 2 2 3 2 4" xfId="6080"/>
    <cellStyle name="Total 2 2 2 2 3 3" xfId="6081"/>
    <cellStyle name="Total 2 2 2 2 3 3 2" xfId="6082"/>
    <cellStyle name="Total 2 2 2 2 3 3 2 2" xfId="6083"/>
    <cellStyle name="Total 2 2 2 2 3 3 3" xfId="6084"/>
    <cellStyle name="Total 2 2 2 2 3 3 4" xfId="6085"/>
    <cellStyle name="Total 2 2 2 2 3 4" xfId="6086"/>
    <cellStyle name="Total 2 2 2 2 3 4 2" xfId="6087"/>
    <cellStyle name="Total 2 2 2 2 3 4 2 2" xfId="6088"/>
    <cellStyle name="Total 2 2 2 2 3 4 3" xfId="6089"/>
    <cellStyle name="Total 2 2 2 2 3 5" xfId="6090"/>
    <cellStyle name="Total 2 2 2 2 3 5 2" xfId="6091"/>
    <cellStyle name="Total 2 2 2 2 3 6" xfId="6092"/>
    <cellStyle name="Total 2 2 2 2 4" xfId="6093"/>
    <cellStyle name="Total 2 2 2 2 4 2" xfId="6094"/>
    <cellStyle name="Total 2 2 2 2 4 2 2" xfId="6095"/>
    <cellStyle name="Total 2 2 2 2 4 2 2 2" xfId="6096"/>
    <cellStyle name="Total 2 2 2 2 4 2 2 2 2" xfId="6097"/>
    <cellStyle name="Total 2 2 2 2 4 2 2 3" xfId="6098"/>
    <cellStyle name="Total 2 2 2 2 4 2 3" xfId="6099"/>
    <cellStyle name="Total 2 2 2 2 4 2 3 2" xfId="6100"/>
    <cellStyle name="Total 2 2 2 2 4 2 4" xfId="6101"/>
    <cellStyle name="Total 2 2 2 2 4 3" xfId="6102"/>
    <cellStyle name="Total 2 2 2 2 4 3 2" xfId="6103"/>
    <cellStyle name="Total 2 2 2 2 4 3 2 2" xfId="6104"/>
    <cellStyle name="Total 2 2 2 2 4 3 3" xfId="6105"/>
    <cellStyle name="Total 2 2 2 2 4 3 4" xfId="6106"/>
    <cellStyle name="Total 2 2 2 2 4 4" xfId="6107"/>
    <cellStyle name="Total 2 2 2 2 4 4 2" xfId="6108"/>
    <cellStyle name="Total 2 2 2 2 4 4 2 2" xfId="6109"/>
    <cellStyle name="Total 2 2 2 2 4 4 3" xfId="6110"/>
    <cellStyle name="Total 2 2 2 2 4 5" xfId="6111"/>
    <cellStyle name="Total 2 2 2 2 4 5 2" xfId="6112"/>
    <cellStyle name="Total 2 2 2 2 4 6" xfId="6113"/>
    <cellStyle name="Total 2 2 2 2 5" xfId="6114"/>
    <cellStyle name="Total 2 2 2 2 5 2" xfId="6115"/>
    <cellStyle name="Total 2 2 2 3" xfId="6116"/>
    <cellStyle name="Total 2 2 2 3 2" xfId="6117"/>
    <cellStyle name="Total 2 2 2 3 2 2" xfId="6118"/>
    <cellStyle name="Total 2 2 2 3 2 2 2" xfId="6119"/>
    <cellStyle name="Total 2 2 2 3 2 2 2 2" xfId="6120"/>
    <cellStyle name="Total 2 2 2 3 2 2 3" xfId="6121"/>
    <cellStyle name="Total 2 2 2 3 2 3" xfId="6122"/>
    <cellStyle name="Total 2 2 2 3 2 3 2" xfId="6123"/>
    <cellStyle name="Total 2 2 2 3 2 4" xfId="6124"/>
    <cellStyle name="Total 2 2 2 3 3" xfId="6125"/>
    <cellStyle name="Total 2 2 2 3 3 2" xfId="6126"/>
    <cellStyle name="Total 2 2 2 3 3 2 2" xfId="6127"/>
    <cellStyle name="Total 2 2 2 3 3 3" xfId="6128"/>
    <cellStyle name="Total 2 2 2 3 3 4" xfId="6129"/>
    <cellStyle name="Total 2 2 2 3 4" xfId="6130"/>
    <cellStyle name="Total 2 2 2 3 4 2" xfId="6131"/>
    <cellStyle name="Total 2 2 2 3 4 2 2" xfId="6132"/>
    <cellStyle name="Total 2 2 2 3 4 3" xfId="6133"/>
    <cellStyle name="Total 2 2 2 3 5" xfId="6134"/>
    <cellStyle name="Total 2 2 2 3 5 2" xfId="6135"/>
    <cellStyle name="Total 2 2 2 3 6" xfId="6136"/>
    <cellStyle name="Total 2 2 2 4" xfId="6137"/>
    <cellStyle name="Total 2 2 2 4 2" xfId="6138"/>
    <cellStyle name="Total 2 2 2 4 2 2" xfId="6139"/>
    <cellStyle name="Total 2 2 2 4 2 2 2" xfId="6140"/>
    <cellStyle name="Total 2 2 2 4 2 2 2 2" xfId="6141"/>
    <cellStyle name="Total 2 2 2 4 2 2 3" xfId="6142"/>
    <cellStyle name="Total 2 2 2 4 2 3" xfId="6143"/>
    <cellStyle name="Total 2 2 2 4 2 3 2" xfId="6144"/>
    <cellStyle name="Total 2 2 2 4 2 4" xfId="6145"/>
    <cellStyle name="Total 2 2 2 4 3" xfId="6146"/>
    <cellStyle name="Total 2 2 2 4 3 2" xfId="6147"/>
    <cellStyle name="Total 2 2 2 4 3 2 2" xfId="6148"/>
    <cellStyle name="Total 2 2 2 4 3 3" xfId="6149"/>
    <cellStyle name="Total 2 2 2 4 3 4" xfId="6150"/>
    <cellStyle name="Total 2 2 2 4 4" xfId="6151"/>
    <cellStyle name="Total 2 2 2 4 4 2" xfId="6152"/>
    <cellStyle name="Total 2 2 2 4 4 2 2" xfId="6153"/>
    <cellStyle name="Total 2 2 2 4 4 3" xfId="6154"/>
    <cellStyle name="Total 2 2 2 4 5" xfId="6155"/>
    <cellStyle name="Total 2 2 2 4 5 2" xfId="6156"/>
    <cellStyle name="Total 2 2 2 4 6" xfId="6157"/>
    <cellStyle name="Total 2 2 2 5" xfId="6158"/>
    <cellStyle name="Total 2 2 2 5 2" xfId="6159"/>
    <cellStyle name="Total 2 2 2 5 2 2" xfId="6160"/>
    <cellStyle name="Total 2 2 2 5 2 2 2" xfId="6161"/>
    <cellStyle name="Total 2 2 2 5 2 2 2 2" xfId="6162"/>
    <cellStyle name="Total 2 2 2 5 2 2 3" xfId="6163"/>
    <cellStyle name="Total 2 2 2 5 2 3" xfId="6164"/>
    <cellStyle name="Total 2 2 2 5 2 3 2" xfId="6165"/>
    <cellStyle name="Total 2 2 2 5 2 4" xfId="6166"/>
    <cellStyle name="Total 2 2 2 5 3" xfId="6167"/>
    <cellStyle name="Total 2 2 2 5 3 2" xfId="6168"/>
    <cellStyle name="Total 2 2 2 5 3 2 2" xfId="6169"/>
    <cellStyle name="Total 2 2 2 5 3 3" xfId="6170"/>
    <cellStyle name="Total 2 2 2 5 3 4" xfId="6171"/>
    <cellStyle name="Total 2 2 2 5 4" xfId="6172"/>
    <cellStyle name="Total 2 2 2 5 4 2" xfId="6173"/>
    <cellStyle name="Total 2 2 2 5 4 2 2" xfId="6174"/>
    <cellStyle name="Total 2 2 2 5 4 3" xfId="6175"/>
    <cellStyle name="Total 2 2 2 5 5" xfId="6176"/>
    <cellStyle name="Total 2 2 2 5 5 2" xfId="6177"/>
    <cellStyle name="Total 2 2 2 5 6" xfId="6178"/>
    <cellStyle name="Total 2 2 2 6" xfId="6179"/>
    <cellStyle name="Total 2 2 2 6 2" xfId="6180"/>
    <cellStyle name="Total 2 2 3" xfId="6181"/>
    <cellStyle name="Total 2 2 3 2" xfId="6182"/>
    <cellStyle name="Total 2 2 3 2 2" xfId="6183"/>
    <cellStyle name="Total 2 2 3 2 2 2" xfId="6184"/>
    <cellStyle name="Total 2 2 3 2 2 2 2" xfId="6185"/>
    <cellStyle name="Total 2 2 3 2 2 2 2 2" xfId="6186"/>
    <cellStyle name="Total 2 2 3 2 2 2 3" xfId="6187"/>
    <cellStyle name="Total 2 2 3 2 2 3" xfId="6188"/>
    <cellStyle name="Total 2 2 3 2 2 3 2" xfId="6189"/>
    <cellStyle name="Total 2 2 3 2 2 4" xfId="6190"/>
    <cellStyle name="Total 2 2 3 2 3" xfId="6191"/>
    <cellStyle name="Total 2 2 3 2 3 2" xfId="6192"/>
    <cellStyle name="Total 2 2 3 2 3 2 2" xfId="6193"/>
    <cellStyle name="Total 2 2 3 2 3 3" xfId="6194"/>
    <cellStyle name="Total 2 2 3 2 3 4" xfId="6195"/>
    <cellStyle name="Total 2 2 3 2 4" xfId="6196"/>
    <cellStyle name="Total 2 2 3 2 4 2" xfId="6197"/>
    <cellStyle name="Total 2 2 3 2 4 2 2" xfId="6198"/>
    <cellStyle name="Total 2 2 3 2 4 3" xfId="6199"/>
    <cellStyle name="Total 2 2 3 2 5" xfId="6200"/>
    <cellStyle name="Total 2 2 3 2 5 2" xfId="6201"/>
    <cellStyle name="Total 2 2 3 2 6" xfId="6202"/>
    <cellStyle name="Total 2 2 3 3" xfId="6203"/>
    <cellStyle name="Total 2 2 3 3 2" xfId="6204"/>
    <cellStyle name="Total 2 2 3 3 2 2" xfId="6205"/>
    <cellStyle name="Total 2 2 3 3 2 2 2" xfId="6206"/>
    <cellStyle name="Total 2 2 3 3 2 2 2 2" xfId="6207"/>
    <cellStyle name="Total 2 2 3 3 2 2 3" xfId="6208"/>
    <cellStyle name="Total 2 2 3 3 2 3" xfId="6209"/>
    <cellStyle name="Total 2 2 3 3 2 3 2" xfId="6210"/>
    <cellStyle name="Total 2 2 3 3 2 4" xfId="6211"/>
    <cellStyle name="Total 2 2 3 3 3" xfId="6212"/>
    <cellStyle name="Total 2 2 3 3 3 2" xfId="6213"/>
    <cellStyle name="Total 2 2 3 3 3 2 2" xfId="6214"/>
    <cellStyle name="Total 2 2 3 3 3 3" xfId="6215"/>
    <cellStyle name="Total 2 2 3 3 3 4" xfId="6216"/>
    <cellStyle name="Total 2 2 3 3 4" xfId="6217"/>
    <cellStyle name="Total 2 2 3 3 4 2" xfId="6218"/>
    <cellStyle name="Total 2 2 3 3 4 2 2" xfId="6219"/>
    <cellStyle name="Total 2 2 3 3 4 3" xfId="6220"/>
    <cellStyle name="Total 2 2 3 3 5" xfId="6221"/>
    <cellStyle name="Total 2 2 3 3 5 2" xfId="6222"/>
    <cellStyle name="Total 2 2 3 3 6" xfId="6223"/>
    <cellStyle name="Total 2 2 3 4" xfId="6224"/>
    <cellStyle name="Total 2 2 3 4 2" xfId="6225"/>
    <cellStyle name="Total 2 2 3 4 2 2" xfId="6226"/>
    <cellStyle name="Total 2 2 3 4 2 2 2" xfId="6227"/>
    <cellStyle name="Total 2 2 3 4 2 2 2 2" xfId="6228"/>
    <cellStyle name="Total 2 2 3 4 2 2 3" xfId="6229"/>
    <cellStyle name="Total 2 2 3 4 2 3" xfId="6230"/>
    <cellStyle name="Total 2 2 3 4 2 3 2" xfId="6231"/>
    <cellStyle name="Total 2 2 3 4 2 4" xfId="6232"/>
    <cellStyle name="Total 2 2 3 4 3" xfId="6233"/>
    <cellStyle name="Total 2 2 3 4 3 2" xfId="6234"/>
    <cellStyle name="Total 2 2 3 4 3 2 2" xfId="6235"/>
    <cellStyle name="Total 2 2 3 4 3 3" xfId="6236"/>
    <cellStyle name="Total 2 2 3 4 3 4" xfId="6237"/>
    <cellStyle name="Total 2 2 3 4 4" xfId="6238"/>
    <cellStyle name="Total 2 2 3 4 4 2" xfId="6239"/>
    <cellStyle name="Total 2 2 3 4 4 2 2" xfId="6240"/>
    <cellStyle name="Total 2 2 3 4 4 3" xfId="6241"/>
    <cellStyle name="Total 2 2 3 4 5" xfId="6242"/>
    <cellStyle name="Total 2 2 3 4 5 2" xfId="6243"/>
    <cellStyle name="Total 2 2 3 4 6" xfId="6244"/>
    <cellStyle name="Total 2 2 3 5" xfId="6245"/>
    <cellStyle name="Total 2 2 3 5 2" xfId="6246"/>
    <cellStyle name="Total 2 2 4" xfId="6247"/>
    <cellStyle name="Total 2 2 4 2" xfId="6248"/>
    <cellStyle name="Total 2 2 4 2 2" xfId="6249"/>
    <cellStyle name="Total 2 2 4 2 2 2" xfId="6250"/>
    <cellStyle name="Total 2 2 4 2 2 2 2" xfId="6251"/>
    <cellStyle name="Total 2 2 4 2 2 2 2 2" xfId="6252"/>
    <cellStyle name="Total 2 2 4 2 2 2 3" xfId="6253"/>
    <cellStyle name="Total 2 2 4 2 2 3" xfId="6254"/>
    <cellStyle name="Total 2 2 4 2 2 3 2" xfId="6255"/>
    <cellStyle name="Total 2 2 4 2 2 4" xfId="6256"/>
    <cellStyle name="Total 2 2 4 2 3" xfId="6257"/>
    <cellStyle name="Total 2 2 4 2 3 2" xfId="6258"/>
    <cellStyle name="Total 2 2 4 2 3 2 2" xfId="6259"/>
    <cellStyle name="Total 2 2 4 2 3 3" xfId="6260"/>
    <cellStyle name="Total 2 2 4 2 3 4" xfId="6261"/>
    <cellStyle name="Total 2 2 4 2 4" xfId="6262"/>
    <cellStyle name="Total 2 2 4 2 4 2" xfId="6263"/>
    <cellStyle name="Total 2 2 4 2 4 2 2" xfId="6264"/>
    <cellStyle name="Total 2 2 4 2 4 3" xfId="6265"/>
    <cellStyle name="Total 2 2 4 2 5" xfId="6266"/>
    <cellStyle name="Total 2 2 4 2 5 2" xfId="6267"/>
    <cellStyle name="Total 2 2 4 2 6" xfId="6268"/>
    <cellStyle name="Total 2 2 4 3" xfId="6269"/>
    <cellStyle name="Total 2 2 4 3 2" xfId="6270"/>
    <cellStyle name="Total 2 2 4 3 2 2" xfId="6271"/>
    <cellStyle name="Total 2 2 4 3 2 2 2" xfId="6272"/>
    <cellStyle name="Total 2 2 4 3 2 2 2 2" xfId="6273"/>
    <cellStyle name="Total 2 2 4 3 2 2 3" xfId="6274"/>
    <cellStyle name="Total 2 2 4 3 2 3" xfId="6275"/>
    <cellStyle name="Total 2 2 4 3 2 3 2" xfId="6276"/>
    <cellStyle name="Total 2 2 4 3 2 4" xfId="6277"/>
    <cellStyle name="Total 2 2 4 3 3" xfId="6278"/>
    <cellStyle name="Total 2 2 4 3 3 2" xfId="6279"/>
    <cellStyle name="Total 2 2 4 3 3 2 2" xfId="6280"/>
    <cellStyle name="Total 2 2 4 3 3 3" xfId="6281"/>
    <cellStyle name="Total 2 2 4 3 3 4" xfId="6282"/>
    <cellStyle name="Total 2 2 4 3 4" xfId="6283"/>
    <cellStyle name="Total 2 2 4 3 4 2" xfId="6284"/>
    <cellStyle name="Total 2 2 4 3 4 2 2" xfId="6285"/>
    <cellStyle name="Total 2 2 4 3 4 3" xfId="6286"/>
    <cellStyle name="Total 2 2 4 3 5" xfId="6287"/>
    <cellStyle name="Total 2 2 4 3 5 2" xfId="6288"/>
    <cellStyle name="Total 2 2 4 3 6" xfId="6289"/>
    <cellStyle name="Total 2 2 4 4" xfId="6290"/>
    <cellStyle name="Total 2 2 4 4 2" xfId="6291"/>
    <cellStyle name="Total 2 2 4 4 2 2" xfId="6292"/>
    <cellStyle name="Total 2 2 4 4 2 2 2" xfId="6293"/>
    <cellStyle name="Total 2 2 4 4 2 3" xfId="6294"/>
    <cellStyle name="Total 2 2 4 4 3" xfId="6295"/>
    <cellStyle name="Total 2 2 4 4 3 2" xfId="6296"/>
    <cellStyle name="Total 2 2 4 4 4" xfId="6297"/>
    <cellStyle name="Total 2 2 4 5" xfId="6298"/>
    <cellStyle name="Total 2 2 4 5 2" xfId="6299"/>
    <cellStyle name="Total 2 2 4 5 2 2" xfId="6300"/>
    <cellStyle name="Total 2 2 4 5 3" xfId="6301"/>
    <cellStyle name="Total 2 2 4 5 4" xfId="6302"/>
    <cellStyle name="Total 2 2 4 6" xfId="6303"/>
    <cellStyle name="Total 2 2 4 6 2" xfId="6304"/>
    <cellStyle name="Total 2 2 4 6 2 2" xfId="6305"/>
    <cellStyle name="Total 2 2 4 6 3" xfId="6306"/>
    <cellStyle name="Total 2 2 4 7" xfId="6307"/>
    <cellStyle name="Total 2 2 4 7 2" xfId="6308"/>
    <cellStyle name="Total 2 2 4 8" xfId="6309"/>
    <cellStyle name="Total 2 2 5" xfId="6310"/>
    <cellStyle name="Total 2 2 5 2" xfId="6311"/>
    <cellStyle name="Total 2 2 5 2 2" xfId="6312"/>
    <cellStyle name="Total 2 2 5 2 2 2" xfId="6313"/>
    <cellStyle name="Total 2 2 5 2 2 2 2" xfId="6314"/>
    <cellStyle name="Total 2 2 5 2 2 3" xfId="6315"/>
    <cellStyle name="Total 2 2 5 2 3" xfId="6316"/>
    <cellStyle name="Total 2 2 5 2 3 2" xfId="6317"/>
    <cellStyle name="Total 2 2 5 2 4" xfId="6318"/>
    <cellStyle name="Total 2 2 5 3" xfId="6319"/>
    <cellStyle name="Total 2 2 5 3 2" xfId="6320"/>
    <cellStyle name="Total 2 2 5 3 2 2" xfId="6321"/>
    <cellStyle name="Total 2 2 5 3 3" xfId="6322"/>
    <cellStyle name="Total 2 2 5 3 4" xfId="6323"/>
    <cellStyle name="Total 2 2 5 4" xfId="6324"/>
    <cellStyle name="Total 2 2 5 4 2" xfId="6325"/>
    <cellStyle name="Total 2 2 5 4 2 2" xfId="6326"/>
    <cellStyle name="Total 2 2 5 4 3" xfId="6327"/>
    <cellStyle name="Total 2 2 5 5" xfId="6328"/>
    <cellStyle name="Total 2 2 5 5 2" xfId="6329"/>
    <cellStyle name="Total 2 2 5 6" xfId="6330"/>
    <cellStyle name="Total 2 3" xfId="6331"/>
    <cellStyle name="Total 2 3 2" xfId="6332"/>
    <cellStyle name="Total 2 3 2 2" xfId="6333"/>
    <cellStyle name="Total 2 3 2 2 2" xfId="6334"/>
    <cellStyle name="Total 2 3 2 2 2 2" xfId="6335"/>
    <cellStyle name="Total 2 3 2 2 2 2 2" xfId="6336"/>
    <cellStyle name="Total 2 3 2 2 2 2 2 2" xfId="6337"/>
    <cellStyle name="Total 2 3 2 2 2 2 3" xfId="6338"/>
    <cellStyle name="Total 2 3 2 2 2 3" xfId="6339"/>
    <cellStyle name="Total 2 3 2 2 2 3 2" xfId="6340"/>
    <cellStyle name="Total 2 3 2 2 2 4" xfId="6341"/>
    <cellStyle name="Total 2 3 2 2 3" xfId="6342"/>
    <cellStyle name="Total 2 3 2 2 3 2" xfId="6343"/>
    <cellStyle name="Total 2 3 2 2 3 2 2" xfId="6344"/>
    <cellStyle name="Total 2 3 2 2 3 3" xfId="6345"/>
    <cellStyle name="Total 2 3 2 2 3 4" xfId="6346"/>
    <cellStyle name="Total 2 3 2 2 4" xfId="6347"/>
    <cellStyle name="Total 2 3 2 2 4 2" xfId="6348"/>
    <cellStyle name="Total 2 3 2 2 4 2 2" xfId="6349"/>
    <cellStyle name="Total 2 3 2 2 4 3" xfId="6350"/>
    <cellStyle name="Total 2 3 2 2 5" xfId="6351"/>
    <cellStyle name="Total 2 3 2 2 5 2" xfId="6352"/>
    <cellStyle name="Total 2 3 2 2 6" xfId="6353"/>
    <cellStyle name="Total 2 3 2 3" xfId="6354"/>
    <cellStyle name="Total 2 3 2 3 2" xfId="6355"/>
    <cellStyle name="Total 2 3 2 3 2 2" xfId="6356"/>
    <cellStyle name="Total 2 3 2 3 2 2 2" xfId="6357"/>
    <cellStyle name="Total 2 3 2 3 2 2 2 2" xfId="6358"/>
    <cellStyle name="Total 2 3 2 3 2 2 3" xfId="6359"/>
    <cellStyle name="Total 2 3 2 3 2 3" xfId="6360"/>
    <cellStyle name="Total 2 3 2 3 2 3 2" xfId="6361"/>
    <cellStyle name="Total 2 3 2 3 2 4" xfId="6362"/>
    <cellStyle name="Total 2 3 2 3 3" xfId="6363"/>
    <cellStyle name="Total 2 3 2 3 3 2" xfId="6364"/>
    <cellStyle name="Total 2 3 2 3 3 2 2" xfId="6365"/>
    <cellStyle name="Total 2 3 2 3 3 3" xfId="6366"/>
    <cellStyle name="Total 2 3 2 3 3 4" xfId="6367"/>
    <cellStyle name="Total 2 3 2 3 4" xfId="6368"/>
    <cellStyle name="Total 2 3 2 3 4 2" xfId="6369"/>
    <cellStyle name="Total 2 3 2 3 4 2 2" xfId="6370"/>
    <cellStyle name="Total 2 3 2 3 4 3" xfId="6371"/>
    <cellStyle name="Total 2 3 2 3 5" xfId="6372"/>
    <cellStyle name="Total 2 3 2 3 5 2" xfId="6373"/>
    <cellStyle name="Total 2 3 2 3 6" xfId="6374"/>
    <cellStyle name="Total 2 3 2 4" xfId="6375"/>
    <cellStyle name="Total 2 3 2 4 2" xfId="6376"/>
    <cellStyle name="Total 2 3 2 4 2 2" xfId="6377"/>
    <cellStyle name="Total 2 3 2 4 2 2 2" xfId="6378"/>
    <cellStyle name="Total 2 3 2 4 2 2 2 2" xfId="6379"/>
    <cellStyle name="Total 2 3 2 4 2 2 3" xfId="6380"/>
    <cellStyle name="Total 2 3 2 4 2 3" xfId="6381"/>
    <cellStyle name="Total 2 3 2 4 2 3 2" xfId="6382"/>
    <cellStyle name="Total 2 3 2 4 2 4" xfId="6383"/>
    <cellStyle name="Total 2 3 2 4 3" xfId="6384"/>
    <cellStyle name="Total 2 3 2 4 3 2" xfId="6385"/>
    <cellStyle name="Total 2 3 2 4 3 2 2" xfId="6386"/>
    <cellStyle name="Total 2 3 2 4 3 3" xfId="6387"/>
    <cellStyle name="Total 2 3 2 4 3 4" xfId="6388"/>
    <cellStyle name="Total 2 3 2 4 4" xfId="6389"/>
    <cellStyle name="Total 2 3 2 4 4 2" xfId="6390"/>
    <cellStyle name="Total 2 3 2 4 4 2 2" xfId="6391"/>
    <cellStyle name="Total 2 3 2 4 4 3" xfId="6392"/>
    <cellStyle name="Total 2 3 2 4 5" xfId="6393"/>
    <cellStyle name="Total 2 3 2 4 5 2" xfId="6394"/>
    <cellStyle name="Total 2 3 2 4 6" xfId="6395"/>
    <cellStyle name="Total 2 3 2 5" xfId="6396"/>
    <cellStyle name="Total 2 3 2 5 2" xfId="6397"/>
    <cellStyle name="Total 2 3 3" xfId="6398"/>
    <cellStyle name="Total 2 3 3 2" xfId="6399"/>
    <cellStyle name="Total 2 3 3 2 2" xfId="6400"/>
    <cellStyle name="Total 2 3 3 2 2 2" xfId="6401"/>
    <cellStyle name="Total 2 3 3 2 2 2 2" xfId="6402"/>
    <cellStyle name="Total 2 3 3 2 2 3" xfId="6403"/>
    <cellStyle name="Total 2 3 3 2 3" xfId="6404"/>
    <cellStyle name="Total 2 3 3 2 3 2" xfId="6405"/>
    <cellStyle name="Total 2 3 3 2 4" xfId="6406"/>
    <cellStyle name="Total 2 3 3 3" xfId="6407"/>
    <cellStyle name="Total 2 3 3 3 2" xfId="6408"/>
    <cellStyle name="Total 2 3 3 3 2 2" xfId="6409"/>
    <cellStyle name="Total 2 3 3 3 3" xfId="6410"/>
    <cellStyle name="Total 2 3 3 3 4" xfId="6411"/>
    <cellStyle name="Total 2 3 3 4" xfId="6412"/>
    <cellStyle name="Total 2 3 3 4 2" xfId="6413"/>
    <cellStyle name="Total 2 3 3 4 2 2" xfId="6414"/>
    <cellStyle name="Total 2 3 3 4 3" xfId="6415"/>
    <cellStyle name="Total 2 3 3 5" xfId="6416"/>
    <cellStyle name="Total 2 3 3 5 2" xfId="6417"/>
    <cellStyle name="Total 2 3 3 6" xfId="6418"/>
    <cellStyle name="Total 2 3 4" xfId="6419"/>
    <cellStyle name="Total 2 3 4 2" xfId="6420"/>
    <cellStyle name="Total 2 3 4 2 2" xfId="6421"/>
    <cellStyle name="Total 2 3 4 2 2 2" xfId="6422"/>
    <cellStyle name="Total 2 3 4 2 2 2 2" xfId="6423"/>
    <cellStyle name="Total 2 3 4 2 2 3" xfId="6424"/>
    <cellStyle name="Total 2 3 4 2 3" xfId="6425"/>
    <cellStyle name="Total 2 3 4 2 3 2" xfId="6426"/>
    <cellStyle name="Total 2 3 4 2 4" xfId="6427"/>
    <cellStyle name="Total 2 3 4 3" xfId="6428"/>
    <cellStyle name="Total 2 3 4 3 2" xfId="6429"/>
    <cellStyle name="Total 2 3 4 3 2 2" xfId="6430"/>
    <cellStyle name="Total 2 3 4 3 3" xfId="6431"/>
    <cellStyle name="Total 2 3 4 3 4" xfId="6432"/>
    <cellStyle name="Total 2 3 4 4" xfId="6433"/>
    <cellStyle name="Total 2 3 4 4 2" xfId="6434"/>
    <cellStyle name="Total 2 3 4 4 2 2" xfId="6435"/>
    <cellStyle name="Total 2 3 4 4 3" xfId="6436"/>
    <cellStyle name="Total 2 3 4 5" xfId="6437"/>
    <cellStyle name="Total 2 3 4 5 2" xfId="6438"/>
    <cellStyle name="Total 2 3 4 6" xfId="6439"/>
    <cellStyle name="Total 2 3 5" xfId="6440"/>
    <cellStyle name="Total 2 3 5 2" xfId="6441"/>
    <cellStyle name="Total 2 3 5 2 2" xfId="6442"/>
    <cellStyle name="Total 2 3 5 2 2 2" xfId="6443"/>
    <cellStyle name="Total 2 3 5 2 2 2 2" xfId="6444"/>
    <cellStyle name="Total 2 3 5 2 2 3" xfId="6445"/>
    <cellStyle name="Total 2 3 5 2 3" xfId="6446"/>
    <cellStyle name="Total 2 3 5 2 3 2" xfId="6447"/>
    <cellStyle name="Total 2 3 5 2 4" xfId="6448"/>
    <cellStyle name="Total 2 3 5 3" xfId="6449"/>
    <cellStyle name="Total 2 3 5 3 2" xfId="6450"/>
    <cellStyle name="Total 2 3 5 3 2 2" xfId="6451"/>
    <cellStyle name="Total 2 3 5 3 3" xfId="6452"/>
    <cellStyle name="Total 2 3 5 3 4" xfId="6453"/>
    <cellStyle name="Total 2 3 5 4" xfId="6454"/>
    <cellStyle name="Total 2 3 5 4 2" xfId="6455"/>
    <cellStyle name="Total 2 3 5 4 2 2" xfId="6456"/>
    <cellStyle name="Total 2 3 5 4 3" xfId="6457"/>
    <cellStyle name="Total 2 3 5 5" xfId="6458"/>
    <cellStyle name="Total 2 3 5 5 2" xfId="6459"/>
    <cellStyle name="Total 2 3 5 6" xfId="6460"/>
    <cellStyle name="Total 2 3 6" xfId="6461"/>
    <cellStyle name="Total 2 3 6 2" xfId="6462"/>
    <cellStyle name="Total 2 4" xfId="6463"/>
    <cellStyle name="Total 2 4 2" xfId="6464"/>
    <cellStyle name="Total 2 4 2 2" xfId="6465"/>
    <cellStyle name="Total 2 4 2 2 2" xfId="6466"/>
    <cellStyle name="Total 2 4 2 2 2 2" xfId="6467"/>
    <cellStyle name="Total 2 4 2 2 2 2 2" xfId="6468"/>
    <cellStyle name="Total 2 4 2 2 2 3" xfId="6469"/>
    <cellStyle name="Total 2 4 2 2 3" xfId="6470"/>
    <cellStyle name="Total 2 4 2 2 3 2" xfId="6471"/>
    <cellStyle name="Total 2 4 2 2 4" xfId="6472"/>
    <cellStyle name="Total 2 4 2 3" xfId="6473"/>
    <cellStyle name="Total 2 4 2 3 2" xfId="6474"/>
    <cellStyle name="Total 2 4 2 3 2 2" xfId="6475"/>
    <cellStyle name="Total 2 4 2 3 3" xfId="6476"/>
    <cellStyle name="Total 2 4 2 3 4" xfId="6477"/>
    <cellStyle name="Total 2 4 2 4" xfId="6478"/>
    <cellStyle name="Total 2 4 2 4 2" xfId="6479"/>
    <cellStyle name="Total 2 4 2 4 2 2" xfId="6480"/>
    <cellStyle name="Total 2 4 2 4 3" xfId="6481"/>
    <cellStyle name="Total 2 4 2 5" xfId="6482"/>
    <cellStyle name="Total 2 4 2 5 2" xfId="6483"/>
    <cellStyle name="Total 2 4 2 6" xfId="6484"/>
    <cellStyle name="Total 2 4 3" xfId="6485"/>
    <cellStyle name="Total 2 4 3 2" xfId="6486"/>
    <cellStyle name="Total 2 4 3 2 2" xfId="6487"/>
    <cellStyle name="Total 2 4 3 2 2 2" xfId="6488"/>
    <cellStyle name="Total 2 4 3 2 2 2 2" xfId="6489"/>
    <cellStyle name="Total 2 4 3 2 2 3" xfId="6490"/>
    <cellStyle name="Total 2 4 3 2 3" xfId="6491"/>
    <cellStyle name="Total 2 4 3 2 3 2" xfId="6492"/>
    <cellStyle name="Total 2 4 3 2 4" xfId="6493"/>
    <cellStyle name="Total 2 4 3 3" xfId="6494"/>
    <cellStyle name="Total 2 4 3 3 2" xfId="6495"/>
    <cellStyle name="Total 2 4 3 3 2 2" xfId="6496"/>
    <cellStyle name="Total 2 4 3 3 3" xfId="6497"/>
    <cellStyle name="Total 2 4 3 3 4" xfId="6498"/>
    <cellStyle name="Total 2 4 3 4" xfId="6499"/>
    <cellStyle name="Total 2 4 3 4 2" xfId="6500"/>
    <cellStyle name="Total 2 4 3 4 2 2" xfId="6501"/>
    <cellStyle name="Total 2 4 3 4 3" xfId="6502"/>
    <cellStyle name="Total 2 4 3 5" xfId="6503"/>
    <cellStyle name="Total 2 4 3 5 2" xfId="6504"/>
    <cellStyle name="Total 2 4 3 6" xfId="6505"/>
    <cellStyle name="Total 2 4 4" xfId="6506"/>
    <cellStyle name="Total 2 4 4 2" xfId="6507"/>
    <cellStyle name="Total 2 4 4 2 2" xfId="6508"/>
    <cellStyle name="Total 2 4 4 2 2 2" xfId="6509"/>
    <cellStyle name="Total 2 4 4 2 2 2 2" xfId="6510"/>
    <cellStyle name="Total 2 4 4 2 2 3" xfId="6511"/>
    <cellStyle name="Total 2 4 4 2 3" xfId="6512"/>
    <cellStyle name="Total 2 4 4 2 3 2" xfId="6513"/>
    <cellStyle name="Total 2 4 4 2 4" xfId="6514"/>
    <cellStyle name="Total 2 4 4 3" xfId="6515"/>
    <cellStyle name="Total 2 4 4 3 2" xfId="6516"/>
    <cellStyle name="Total 2 4 4 3 2 2" xfId="6517"/>
    <cellStyle name="Total 2 4 4 3 3" xfId="6518"/>
    <cellStyle name="Total 2 4 4 3 4" xfId="6519"/>
    <cellStyle name="Total 2 4 4 4" xfId="6520"/>
    <cellStyle name="Total 2 4 4 4 2" xfId="6521"/>
    <cellStyle name="Total 2 4 4 4 2 2" xfId="6522"/>
    <cellStyle name="Total 2 4 4 4 3" xfId="6523"/>
    <cellStyle name="Total 2 4 4 5" xfId="6524"/>
    <cellStyle name="Total 2 4 4 5 2" xfId="6525"/>
    <cellStyle name="Total 2 4 4 6" xfId="6526"/>
    <cellStyle name="Total 2 4 5" xfId="6527"/>
    <cellStyle name="Total 2 4 5 2" xfId="6528"/>
    <cellStyle name="Total 2 5" xfId="6529"/>
    <cellStyle name="Total 2 5 2" xfId="6530"/>
    <cellStyle name="Total 2 5 2 2" xfId="6531"/>
    <cellStyle name="Total 2 5 2 2 2" xfId="6532"/>
    <cellStyle name="Total 2 5 2 2 2 2" xfId="6533"/>
    <cellStyle name="Total 2 5 2 2 2 2 2" xfId="6534"/>
    <cellStyle name="Total 2 5 2 2 2 3" xfId="6535"/>
    <cellStyle name="Total 2 5 2 2 3" xfId="6536"/>
    <cellStyle name="Total 2 5 2 2 3 2" xfId="6537"/>
    <cellStyle name="Total 2 5 2 2 4" xfId="6538"/>
    <cellStyle name="Total 2 5 2 3" xfId="6539"/>
    <cellStyle name="Total 2 5 2 3 2" xfId="6540"/>
    <cellStyle name="Total 2 5 2 3 2 2" xfId="6541"/>
    <cellStyle name="Total 2 5 2 3 3" xfId="6542"/>
    <cellStyle name="Total 2 5 2 3 4" xfId="6543"/>
    <cellStyle name="Total 2 5 2 4" xfId="6544"/>
    <cellStyle name="Total 2 5 2 4 2" xfId="6545"/>
    <cellStyle name="Total 2 5 2 4 2 2" xfId="6546"/>
    <cellStyle name="Total 2 5 2 4 3" xfId="6547"/>
    <cellStyle name="Total 2 5 2 5" xfId="6548"/>
    <cellStyle name="Total 2 5 2 5 2" xfId="6549"/>
    <cellStyle name="Total 2 5 2 6" xfId="6550"/>
    <cellStyle name="Total 2 5 3" xfId="6551"/>
    <cellStyle name="Total 2 5 3 2" xfId="6552"/>
    <cellStyle name="Total 2 5 3 2 2" xfId="6553"/>
    <cellStyle name="Total 2 5 3 2 2 2" xfId="6554"/>
    <cellStyle name="Total 2 5 3 2 2 2 2" xfId="6555"/>
    <cellStyle name="Total 2 5 3 2 2 3" xfId="6556"/>
    <cellStyle name="Total 2 5 3 2 3" xfId="6557"/>
    <cellStyle name="Total 2 5 3 2 3 2" xfId="6558"/>
    <cellStyle name="Total 2 5 3 2 4" xfId="6559"/>
    <cellStyle name="Total 2 5 3 3" xfId="6560"/>
    <cellStyle name="Total 2 5 3 3 2" xfId="6561"/>
    <cellStyle name="Total 2 5 3 3 2 2" xfId="6562"/>
    <cellStyle name="Total 2 5 3 3 3" xfId="6563"/>
    <cellStyle name="Total 2 5 3 3 4" xfId="6564"/>
    <cellStyle name="Total 2 5 3 4" xfId="6565"/>
    <cellStyle name="Total 2 5 3 4 2" xfId="6566"/>
    <cellStyle name="Total 2 5 3 4 2 2" xfId="6567"/>
    <cellStyle name="Total 2 5 3 4 3" xfId="6568"/>
    <cellStyle name="Total 2 5 3 5" xfId="6569"/>
    <cellStyle name="Total 2 5 3 5 2" xfId="6570"/>
    <cellStyle name="Total 2 5 3 6" xfId="6571"/>
    <cellStyle name="Total 2 5 4" xfId="6572"/>
    <cellStyle name="Total 2 5 4 2" xfId="6573"/>
    <cellStyle name="Total 2 5 4 2 2" xfId="6574"/>
    <cellStyle name="Total 2 5 4 2 2 2" xfId="6575"/>
    <cellStyle name="Total 2 5 4 2 3" xfId="6576"/>
    <cellStyle name="Total 2 5 4 3" xfId="6577"/>
    <cellStyle name="Total 2 5 4 3 2" xfId="6578"/>
    <cellStyle name="Total 2 5 4 4" xfId="6579"/>
    <cellStyle name="Total 2 5 5" xfId="6580"/>
    <cellStyle name="Total 2 5 5 2" xfId="6581"/>
    <cellStyle name="Total 2 5 5 2 2" xfId="6582"/>
    <cellStyle name="Total 2 5 5 3" xfId="6583"/>
    <cellStyle name="Total 2 5 5 4" xfId="6584"/>
    <cellStyle name="Total 2 5 6" xfId="6585"/>
    <cellStyle name="Total 2 5 6 2" xfId="6586"/>
    <cellStyle name="Total 2 5 6 2 2" xfId="6587"/>
    <cellStyle name="Total 2 5 6 3" xfId="6588"/>
    <cellStyle name="Total 2 5 7" xfId="6589"/>
    <cellStyle name="Total 2 5 7 2" xfId="6590"/>
    <cellStyle name="Total 2 5 8" xfId="6591"/>
    <cellStyle name="Total 2 6" xfId="6592"/>
    <cellStyle name="Total 2 6 2" xfId="6593"/>
    <cellStyle name="Total 2 6 2 2" xfId="6594"/>
    <cellStyle name="Total 2 6 2 2 2" xfId="6595"/>
    <cellStyle name="Total 2 6 2 2 2 2" xfId="6596"/>
    <cellStyle name="Total 2 6 2 2 3" xfId="6597"/>
    <cellStyle name="Total 2 6 2 3" xfId="6598"/>
    <cellStyle name="Total 2 6 2 3 2" xfId="6599"/>
    <cellStyle name="Total 2 6 2 4" xfId="6600"/>
    <cellStyle name="Total 2 6 3" xfId="6601"/>
    <cellStyle name="Total 2 6 3 2" xfId="6602"/>
    <cellStyle name="Total 2 6 3 2 2" xfId="6603"/>
    <cellStyle name="Total 2 6 3 3" xfId="6604"/>
    <cellStyle name="Total 2 6 3 4" xfId="6605"/>
    <cellStyle name="Total 2 6 4" xfId="6606"/>
    <cellStyle name="Total 2 6 4 2" xfId="6607"/>
    <cellStyle name="Total 2 6 4 2 2" xfId="6608"/>
    <cellStyle name="Total 2 6 4 3" xfId="6609"/>
    <cellStyle name="Total 2 6 5" xfId="6610"/>
    <cellStyle name="Total 2 6 5 2" xfId="6611"/>
    <cellStyle name="Total 2 6 6" xfId="6612"/>
    <cellStyle name="Total 3" xfId="6613"/>
    <cellStyle name="Total 3 2" xfId="6614"/>
    <cellStyle name="Total 3 2 2" xfId="6615"/>
    <cellStyle name="Total 3 2 2 2" xfId="6616"/>
    <cellStyle name="Total 3 2 2 2 2" xfId="6617"/>
    <cellStyle name="Total 3 2 2 2 2 2" xfId="6618"/>
    <cellStyle name="Total 3 2 2 2 2 2 2" xfId="6619"/>
    <cellStyle name="Total 3 2 2 2 2 2 2 2" xfId="6620"/>
    <cellStyle name="Total 3 2 2 2 2 2 3" xfId="6621"/>
    <cellStyle name="Total 3 2 2 2 2 3" xfId="6622"/>
    <cellStyle name="Total 3 2 2 2 2 3 2" xfId="6623"/>
    <cellStyle name="Total 3 2 2 2 2 4" xfId="6624"/>
    <cellStyle name="Total 3 2 2 2 3" xfId="6625"/>
    <cellStyle name="Total 3 2 2 2 3 2" xfId="6626"/>
    <cellStyle name="Total 3 2 2 2 3 2 2" xfId="6627"/>
    <cellStyle name="Total 3 2 2 2 3 3" xfId="6628"/>
    <cellStyle name="Total 3 2 2 2 3 4" xfId="6629"/>
    <cellStyle name="Total 3 2 2 2 4" xfId="6630"/>
    <cellStyle name="Total 3 2 2 2 4 2" xfId="6631"/>
    <cellStyle name="Total 3 2 2 2 4 2 2" xfId="6632"/>
    <cellStyle name="Total 3 2 2 2 4 3" xfId="6633"/>
    <cellStyle name="Total 3 2 2 2 5" xfId="6634"/>
    <cellStyle name="Total 3 2 2 2 5 2" xfId="6635"/>
    <cellStyle name="Total 3 2 2 2 6" xfId="6636"/>
    <cellStyle name="Total 3 2 2 3" xfId="6637"/>
    <cellStyle name="Total 3 2 2 3 2" xfId="6638"/>
    <cellStyle name="Total 3 2 2 3 2 2" xfId="6639"/>
    <cellStyle name="Total 3 2 2 3 2 2 2" xfId="6640"/>
    <cellStyle name="Total 3 2 2 3 2 2 2 2" xfId="6641"/>
    <cellStyle name="Total 3 2 2 3 2 2 3" xfId="6642"/>
    <cellStyle name="Total 3 2 2 3 2 3" xfId="6643"/>
    <cellStyle name="Total 3 2 2 3 2 3 2" xfId="6644"/>
    <cellStyle name="Total 3 2 2 3 2 4" xfId="6645"/>
    <cellStyle name="Total 3 2 2 3 3" xfId="6646"/>
    <cellStyle name="Total 3 2 2 3 3 2" xfId="6647"/>
    <cellStyle name="Total 3 2 2 3 3 2 2" xfId="6648"/>
    <cellStyle name="Total 3 2 2 3 3 3" xfId="6649"/>
    <cellStyle name="Total 3 2 2 3 3 4" xfId="6650"/>
    <cellStyle name="Total 3 2 2 3 4" xfId="6651"/>
    <cellStyle name="Total 3 2 2 3 4 2" xfId="6652"/>
    <cellStyle name="Total 3 2 2 3 4 2 2" xfId="6653"/>
    <cellStyle name="Total 3 2 2 3 4 3" xfId="6654"/>
    <cellStyle name="Total 3 2 2 3 5" xfId="6655"/>
    <cellStyle name="Total 3 2 2 3 5 2" xfId="6656"/>
    <cellStyle name="Total 3 2 2 3 6" xfId="6657"/>
    <cellStyle name="Total 3 2 2 4" xfId="6658"/>
    <cellStyle name="Total 3 2 2 4 2" xfId="6659"/>
    <cellStyle name="Total 3 2 2 4 2 2" xfId="6660"/>
    <cellStyle name="Total 3 2 2 4 2 2 2" xfId="6661"/>
    <cellStyle name="Total 3 2 2 4 2 2 2 2" xfId="6662"/>
    <cellStyle name="Total 3 2 2 4 2 2 3" xfId="6663"/>
    <cellStyle name="Total 3 2 2 4 2 3" xfId="6664"/>
    <cellStyle name="Total 3 2 2 4 2 3 2" xfId="6665"/>
    <cellStyle name="Total 3 2 2 4 2 4" xfId="6666"/>
    <cellStyle name="Total 3 2 2 4 3" xfId="6667"/>
    <cellStyle name="Total 3 2 2 4 3 2" xfId="6668"/>
    <cellStyle name="Total 3 2 2 4 3 2 2" xfId="6669"/>
    <cellStyle name="Total 3 2 2 4 3 3" xfId="6670"/>
    <cellStyle name="Total 3 2 2 4 3 4" xfId="6671"/>
    <cellStyle name="Total 3 2 2 4 4" xfId="6672"/>
    <cellStyle name="Total 3 2 2 4 4 2" xfId="6673"/>
    <cellStyle name="Total 3 2 2 4 4 2 2" xfId="6674"/>
    <cellStyle name="Total 3 2 2 4 4 3" xfId="6675"/>
    <cellStyle name="Total 3 2 2 4 5" xfId="6676"/>
    <cellStyle name="Total 3 2 2 4 5 2" xfId="6677"/>
    <cellStyle name="Total 3 2 2 4 6" xfId="6678"/>
    <cellStyle name="Total 3 2 2 5" xfId="6679"/>
    <cellStyle name="Total 3 2 2 5 2" xfId="6680"/>
    <cellStyle name="Total 3 2 3" xfId="6681"/>
    <cellStyle name="Total 3 2 3 2" xfId="6682"/>
    <cellStyle name="Total 3 2 3 2 2" xfId="6683"/>
    <cellStyle name="Total 3 2 3 2 2 2" xfId="6684"/>
    <cellStyle name="Total 3 2 3 2 2 2 2" xfId="6685"/>
    <cellStyle name="Total 3 2 3 2 2 3" xfId="6686"/>
    <cellStyle name="Total 3 2 3 2 3" xfId="6687"/>
    <cellStyle name="Total 3 2 3 2 3 2" xfId="6688"/>
    <cellStyle name="Total 3 2 3 2 4" xfId="6689"/>
    <cellStyle name="Total 3 2 3 3" xfId="6690"/>
    <cellStyle name="Total 3 2 3 3 2" xfId="6691"/>
    <cellStyle name="Total 3 2 3 3 2 2" xfId="6692"/>
    <cellStyle name="Total 3 2 3 3 3" xfId="6693"/>
    <cellStyle name="Total 3 2 3 3 4" xfId="6694"/>
    <cellStyle name="Total 3 2 3 4" xfId="6695"/>
    <cellStyle name="Total 3 2 3 4 2" xfId="6696"/>
    <cellStyle name="Total 3 2 3 4 2 2" xfId="6697"/>
    <cellStyle name="Total 3 2 3 4 3" xfId="6698"/>
    <cellStyle name="Total 3 2 3 5" xfId="6699"/>
    <cellStyle name="Total 3 2 3 5 2" xfId="6700"/>
    <cellStyle name="Total 3 2 3 6" xfId="6701"/>
    <cellStyle name="Total 3 2 4" xfId="6702"/>
    <cellStyle name="Total 3 2 4 2" xfId="6703"/>
    <cellStyle name="Total 3 2 4 2 2" xfId="6704"/>
    <cellStyle name="Total 3 2 4 2 2 2" xfId="6705"/>
    <cellStyle name="Total 3 2 4 2 2 2 2" xfId="6706"/>
    <cellStyle name="Total 3 2 4 2 2 3" xfId="6707"/>
    <cellStyle name="Total 3 2 4 2 3" xfId="6708"/>
    <cellStyle name="Total 3 2 4 2 3 2" xfId="6709"/>
    <cellStyle name="Total 3 2 4 2 4" xfId="6710"/>
    <cellStyle name="Total 3 2 4 3" xfId="6711"/>
    <cellStyle name="Total 3 2 4 3 2" xfId="6712"/>
    <cellStyle name="Total 3 2 4 3 2 2" xfId="6713"/>
    <cellStyle name="Total 3 2 4 3 3" xfId="6714"/>
    <cellStyle name="Total 3 2 4 3 4" xfId="6715"/>
    <cellStyle name="Total 3 2 4 4" xfId="6716"/>
    <cellStyle name="Total 3 2 4 4 2" xfId="6717"/>
    <cellStyle name="Total 3 2 4 4 2 2" xfId="6718"/>
    <cellStyle name="Total 3 2 4 4 3" xfId="6719"/>
    <cellStyle name="Total 3 2 4 5" xfId="6720"/>
    <cellStyle name="Total 3 2 4 5 2" xfId="6721"/>
    <cellStyle name="Total 3 2 4 6" xfId="6722"/>
    <cellStyle name="Total 3 2 5" xfId="6723"/>
    <cellStyle name="Total 3 2 5 2" xfId="6724"/>
    <cellStyle name="Total 3 2 5 2 2" xfId="6725"/>
    <cellStyle name="Total 3 2 5 2 2 2" xfId="6726"/>
    <cellStyle name="Total 3 2 5 2 2 2 2" xfId="6727"/>
    <cellStyle name="Total 3 2 5 2 2 3" xfId="6728"/>
    <cellStyle name="Total 3 2 5 2 3" xfId="6729"/>
    <cellStyle name="Total 3 2 5 2 3 2" xfId="6730"/>
    <cellStyle name="Total 3 2 5 2 4" xfId="6731"/>
    <cellStyle name="Total 3 2 5 3" xfId="6732"/>
    <cellStyle name="Total 3 2 5 3 2" xfId="6733"/>
    <cellStyle name="Total 3 2 5 3 2 2" xfId="6734"/>
    <cellStyle name="Total 3 2 5 3 3" xfId="6735"/>
    <cellStyle name="Total 3 2 5 3 4" xfId="6736"/>
    <cellStyle name="Total 3 2 5 4" xfId="6737"/>
    <cellStyle name="Total 3 2 5 4 2" xfId="6738"/>
    <cellStyle name="Total 3 2 5 4 2 2" xfId="6739"/>
    <cellStyle name="Total 3 2 5 4 3" xfId="6740"/>
    <cellStyle name="Total 3 2 5 5" xfId="6741"/>
    <cellStyle name="Total 3 2 5 5 2" xfId="6742"/>
    <cellStyle name="Total 3 2 5 6" xfId="6743"/>
    <cellStyle name="Total 3 2 6" xfId="6744"/>
    <cellStyle name="Total 3 2 6 2" xfId="6745"/>
    <cellStyle name="Total 3 3" xfId="6746"/>
    <cellStyle name="Total 3 3 2" xfId="6747"/>
    <cellStyle name="Total 3 3 2 2" xfId="6748"/>
    <cellStyle name="Total 3 3 2 2 2" xfId="6749"/>
    <cellStyle name="Total 3 3 2 2 2 2" xfId="6750"/>
    <cellStyle name="Total 3 3 2 2 2 2 2" xfId="6751"/>
    <cellStyle name="Total 3 3 2 2 2 3" xfId="6752"/>
    <cellStyle name="Total 3 3 2 2 3" xfId="6753"/>
    <cellStyle name="Total 3 3 2 2 3 2" xfId="6754"/>
    <cellStyle name="Total 3 3 2 2 4" xfId="6755"/>
    <cellStyle name="Total 3 3 2 3" xfId="6756"/>
    <cellStyle name="Total 3 3 2 3 2" xfId="6757"/>
    <cellStyle name="Total 3 3 2 3 2 2" xfId="6758"/>
    <cellStyle name="Total 3 3 2 3 3" xfId="6759"/>
    <cellStyle name="Total 3 3 2 3 4" xfId="6760"/>
    <cellStyle name="Total 3 3 2 4" xfId="6761"/>
    <cellStyle name="Total 3 3 2 4 2" xfId="6762"/>
    <cellStyle name="Total 3 3 2 4 2 2" xfId="6763"/>
    <cellStyle name="Total 3 3 2 4 3" xfId="6764"/>
    <cellStyle name="Total 3 3 2 5" xfId="6765"/>
    <cellStyle name="Total 3 3 2 5 2" xfId="6766"/>
    <cellStyle name="Total 3 3 2 6" xfId="6767"/>
    <cellStyle name="Total 3 3 3" xfId="6768"/>
    <cellStyle name="Total 3 3 3 2" xfId="6769"/>
    <cellStyle name="Total 3 3 3 2 2" xfId="6770"/>
    <cellStyle name="Total 3 3 3 2 2 2" xfId="6771"/>
    <cellStyle name="Total 3 3 3 2 2 2 2" xfId="6772"/>
    <cellStyle name="Total 3 3 3 2 2 3" xfId="6773"/>
    <cellStyle name="Total 3 3 3 2 3" xfId="6774"/>
    <cellStyle name="Total 3 3 3 2 3 2" xfId="6775"/>
    <cellStyle name="Total 3 3 3 2 4" xfId="6776"/>
    <cellStyle name="Total 3 3 3 3" xfId="6777"/>
    <cellStyle name="Total 3 3 3 3 2" xfId="6778"/>
    <cellStyle name="Total 3 3 3 3 2 2" xfId="6779"/>
    <cellStyle name="Total 3 3 3 3 3" xfId="6780"/>
    <cellStyle name="Total 3 3 3 3 4" xfId="6781"/>
    <cellStyle name="Total 3 3 3 4" xfId="6782"/>
    <cellStyle name="Total 3 3 3 4 2" xfId="6783"/>
    <cellStyle name="Total 3 3 3 4 2 2" xfId="6784"/>
    <cellStyle name="Total 3 3 3 4 3" xfId="6785"/>
    <cellStyle name="Total 3 3 3 5" xfId="6786"/>
    <cellStyle name="Total 3 3 3 5 2" xfId="6787"/>
    <cellStyle name="Total 3 3 3 6" xfId="6788"/>
    <cellStyle name="Total 3 3 4" xfId="6789"/>
    <cellStyle name="Total 3 3 4 2" xfId="6790"/>
    <cellStyle name="Total 3 3 4 2 2" xfId="6791"/>
    <cellStyle name="Total 3 3 4 2 2 2" xfId="6792"/>
    <cellStyle name="Total 3 3 4 2 2 2 2" xfId="6793"/>
    <cellStyle name="Total 3 3 4 2 2 3" xfId="6794"/>
    <cellStyle name="Total 3 3 4 2 3" xfId="6795"/>
    <cellStyle name="Total 3 3 4 2 3 2" xfId="6796"/>
    <cellStyle name="Total 3 3 4 2 4" xfId="6797"/>
    <cellStyle name="Total 3 3 4 3" xfId="6798"/>
    <cellStyle name="Total 3 3 4 3 2" xfId="6799"/>
    <cellStyle name="Total 3 3 4 3 2 2" xfId="6800"/>
    <cellStyle name="Total 3 3 4 3 3" xfId="6801"/>
    <cellStyle name="Total 3 3 4 3 4" xfId="6802"/>
    <cellStyle name="Total 3 3 4 4" xfId="6803"/>
    <cellStyle name="Total 3 3 4 4 2" xfId="6804"/>
    <cellStyle name="Total 3 3 4 4 2 2" xfId="6805"/>
    <cellStyle name="Total 3 3 4 4 3" xfId="6806"/>
    <cellStyle name="Total 3 3 4 5" xfId="6807"/>
    <cellStyle name="Total 3 3 4 5 2" xfId="6808"/>
    <cellStyle name="Total 3 3 4 6" xfId="6809"/>
    <cellStyle name="Total 3 3 5" xfId="6810"/>
    <cellStyle name="Total 3 3 5 2" xfId="6811"/>
    <cellStyle name="Total 3 4" xfId="6812"/>
    <cellStyle name="Total 3 4 2" xfId="6813"/>
    <cellStyle name="Total 3 4 2 2" xfId="6814"/>
    <cellStyle name="Total 3 4 2 2 2" xfId="6815"/>
    <cellStyle name="Total 3 4 2 2 2 2" xfId="6816"/>
    <cellStyle name="Total 3 4 2 2 2 2 2" xfId="6817"/>
    <cellStyle name="Total 3 4 2 2 2 3" xfId="6818"/>
    <cellStyle name="Total 3 4 2 2 3" xfId="6819"/>
    <cellStyle name="Total 3 4 2 2 3 2" xfId="6820"/>
    <cellStyle name="Total 3 4 2 2 4" xfId="6821"/>
    <cellStyle name="Total 3 4 2 3" xfId="6822"/>
    <cellStyle name="Total 3 4 2 3 2" xfId="6823"/>
    <cellStyle name="Total 3 4 2 3 2 2" xfId="6824"/>
    <cellStyle name="Total 3 4 2 3 3" xfId="6825"/>
    <cellStyle name="Total 3 4 2 3 4" xfId="6826"/>
    <cellStyle name="Total 3 4 2 4" xfId="6827"/>
    <cellStyle name="Total 3 4 2 4 2" xfId="6828"/>
    <cellStyle name="Total 3 4 2 4 2 2" xfId="6829"/>
    <cellStyle name="Total 3 4 2 4 3" xfId="6830"/>
    <cellStyle name="Total 3 4 2 5" xfId="6831"/>
    <cellStyle name="Total 3 4 2 5 2" xfId="6832"/>
    <cellStyle name="Total 3 4 2 6" xfId="6833"/>
    <cellStyle name="Total 3 4 3" xfId="6834"/>
    <cellStyle name="Total 3 4 3 2" xfId="6835"/>
    <cellStyle name="Total 3 4 3 2 2" xfId="6836"/>
    <cellStyle name="Total 3 4 3 2 2 2" xfId="6837"/>
    <cellStyle name="Total 3 4 3 2 2 2 2" xfId="6838"/>
    <cellStyle name="Total 3 4 3 2 2 3" xfId="6839"/>
    <cellStyle name="Total 3 4 3 2 3" xfId="6840"/>
    <cellStyle name="Total 3 4 3 2 3 2" xfId="6841"/>
    <cellStyle name="Total 3 4 3 2 4" xfId="6842"/>
    <cellStyle name="Total 3 4 3 3" xfId="6843"/>
    <cellStyle name="Total 3 4 3 3 2" xfId="6844"/>
    <cellStyle name="Total 3 4 3 3 2 2" xfId="6845"/>
    <cellStyle name="Total 3 4 3 3 3" xfId="6846"/>
    <cellStyle name="Total 3 4 3 3 4" xfId="6847"/>
    <cellStyle name="Total 3 4 3 4" xfId="6848"/>
    <cellStyle name="Total 3 4 3 4 2" xfId="6849"/>
    <cellStyle name="Total 3 4 3 4 2 2" xfId="6850"/>
    <cellStyle name="Total 3 4 3 4 3" xfId="6851"/>
    <cellStyle name="Total 3 4 3 5" xfId="6852"/>
    <cellStyle name="Total 3 4 3 5 2" xfId="6853"/>
    <cellStyle name="Total 3 4 3 6" xfId="6854"/>
    <cellStyle name="Total 3 4 4" xfId="6855"/>
    <cellStyle name="Total 3 4 4 2" xfId="6856"/>
    <cellStyle name="Total 3 4 4 2 2" xfId="6857"/>
    <cellStyle name="Total 3 4 4 2 2 2" xfId="6858"/>
    <cellStyle name="Total 3 4 4 2 3" xfId="6859"/>
    <cellStyle name="Total 3 4 4 3" xfId="6860"/>
    <cellStyle name="Total 3 4 4 3 2" xfId="6861"/>
    <cellStyle name="Total 3 4 4 4" xfId="6862"/>
    <cellStyle name="Total 3 4 5" xfId="6863"/>
    <cellStyle name="Total 3 4 5 2" xfId="6864"/>
    <cellStyle name="Total 3 4 5 2 2" xfId="6865"/>
    <cellStyle name="Total 3 4 5 3" xfId="6866"/>
    <cellStyle name="Total 3 4 5 4" xfId="6867"/>
    <cellStyle name="Total 3 4 6" xfId="6868"/>
    <cellStyle name="Total 3 4 6 2" xfId="6869"/>
    <cellStyle name="Total 3 4 6 2 2" xfId="6870"/>
    <cellStyle name="Total 3 4 6 3" xfId="6871"/>
    <cellStyle name="Total 3 4 7" xfId="6872"/>
    <cellStyle name="Total 3 4 7 2" xfId="6873"/>
    <cellStyle name="Total 3 4 8" xfId="6874"/>
    <cellStyle name="Total 3 5" xfId="6875"/>
    <cellStyle name="Total 3 5 2" xfId="6876"/>
    <cellStyle name="Total 3 5 2 2" xfId="6877"/>
    <cellStyle name="Total 3 5 2 2 2" xfId="6878"/>
    <cellStyle name="Total 3 5 2 2 2 2" xfId="6879"/>
    <cellStyle name="Total 3 5 2 2 3" xfId="6880"/>
    <cellStyle name="Total 3 5 2 3" xfId="6881"/>
    <cellStyle name="Total 3 5 2 3 2" xfId="6882"/>
    <cellStyle name="Total 3 5 2 4" xfId="6883"/>
    <cellStyle name="Total 3 5 3" xfId="6884"/>
    <cellStyle name="Total 3 5 3 2" xfId="6885"/>
    <cellStyle name="Total 3 5 3 2 2" xfId="6886"/>
    <cellStyle name="Total 3 5 3 3" xfId="6887"/>
    <cellStyle name="Total 3 5 3 4" xfId="6888"/>
    <cellStyle name="Total 3 5 4" xfId="6889"/>
    <cellStyle name="Total 3 5 4 2" xfId="6890"/>
    <cellStyle name="Total 3 5 4 2 2" xfId="6891"/>
    <cellStyle name="Total 3 5 4 3" xfId="6892"/>
    <cellStyle name="Total 3 5 5" xfId="6893"/>
    <cellStyle name="Total 3 5 5 2" xfId="6894"/>
    <cellStyle name="Total 3 5 6" xfId="6895"/>
    <cellStyle name="Total 4" xfId="6896"/>
    <cellStyle name="Total 4 2" xfId="6897"/>
    <cellStyle name="Total 4 2 2" xfId="6898"/>
    <cellStyle name="Total 4 2 2 2" xfId="6899"/>
    <cellStyle name="Total 4 2 2 2 2" xfId="6900"/>
    <cellStyle name="Total 4 2 2 2 2 2" xfId="6901"/>
    <cellStyle name="Total 4 2 2 2 2 2 2" xfId="6902"/>
    <cellStyle name="Total 4 2 2 2 2 3" xfId="6903"/>
    <cellStyle name="Total 4 2 2 2 3" xfId="6904"/>
    <cellStyle name="Total 4 2 2 2 3 2" xfId="6905"/>
    <cellStyle name="Total 4 2 2 2 4" xfId="6906"/>
    <cellStyle name="Total 4 2 2 3" xfId="6907"/>
    <cellStyle name="Total 4 2 2 3 2" xfId="6908"/>
    <cellStyle name="Total 4 2 2 3 2 2" xfId="6909"/>
    <cellStyle name="Total 4 2 2 3 3" xfId="6910"/>
    <cellStyle name="Total 4 2 2 3 4" xfId="6911"/>
    <cellStyle name="Total 4 2 2 4" xfId="6912"/>
    <cellStyle name="Total 4 2 2 4 2" xfId="6913"/>
    <cellStyle name="Total 4 2 2 4 2 2" xfId="6914"/>
    <cellStyle name="Total 4 2 2 4 3" xfId="6915"/>
    <cellStyle name="Total 4 2 2 5" xfId="6916"/>
    <cellStyle name="Total 4 2 2 5 2" xfId="6917"/>
    <cellStyle name="Total 4 2 2 6" xfId="6918"/>
    <cellStyle name="Total 4 2 3" xfId="6919"/>
    <cellStyle name="Total 4 2 3 2" xfId="6920"/>
    <cellStyle name="Total 4 2 3 2 2" xfId="6921"/>
    <cellStyle name="Total 4 2 3 2 2 2" xfId="6922"/>
    <cellStyle name="Total 4 2 3 2 2 2 2" xfId="6923"/>
    <cellStyle name="Total 4 2 3 2 2 3" xfId="6924"/>
    <cellStyle name="Total 4 2 3 2 3" xfId="6925"/>
    <cellStyle name="Total 4 2 3 2 3 2" xfId="6926"/>
    <cellStyle name="Total 4 2 3 2 4" xfId="6927"/>
    <cellStyle name="Total 4 2 3 3" xfId="6928"/>
    <cellStyle name="Total 4 2 3 3 2" xfId="6929"/>
    <cellStyle name="Total 4 2 3 3 2 2" xfId="6930"/>
    <cellStyle name="Total 4 2 3 3 3" xfId="6931"/>
    <cellStyle name="Total 4 2 3 3 4" xfId="6932"/>
    <cellStyle name="Total 4 2 3 4" xfId="6933"/>
    <cellStyle name="Total 4 2 3 4 2" xfId="6934"/>
    <cellStyle name="Total 4 2 3 4 2 2" xfId="6935"/>
    <cellStyle name="Total 4 2 3 4 3" xfId="6936"/>
    <cellStyle name="Total 4 2 3 5" xfId="6937"/>
    <cellStyle name="Total 4 2 3 5 2" xfId="6938"/>
    <cellStyle name="Total 4 2 3 6" xfId="6939"/>
    <cellStyle name="Total 4 2 4" xfId="6940"/>
    <cellStyle name="Total 4 2 4 2" xfId="6941"/>
    <cellStyle name="Total 4 2 4 2 2" xfId="6942"/>
    <cellStyle name="Total 4 2 4 2 2 2" xfId="6943"/>
    <cellStyle name="Total 4 2 4 2 2 2 2" xfId="6944"/>
    <cellStyle name="Total 4 2 4 2 2 3" xfId="6945"/>
    <cellStyle name="Total 4 2 4 2 3" xfId="6946"/>
    <cellStyle name="Total 4 2 4 2 3 2" xfId="6947"/>
    <cellStyle name="Total 4 2 4 2 4" xfId="6948"/>
    <cellStyle name="Total 4 2 4 3" xfId="6949"/>
    <cellStyle name="Total 4 2 4 3 2" xfId="6950"/>
    <cellStyle name="Total 4 2 4 3 2 2" xfId="6951"/>
    <cellStyle name="Total 4 2 4 3 3" xfId="6952"/>
    <cellStyle name="Total 4 2 4 3 4" xfId="6953"/>
    <cellStyle name="Total 4 2 4 4" xfId="6954"/>
    <cellStyle name="Total 4 2 4 4 2" xfId="6955"/>
    <cellStyle name="Total 4 2 4 4 2 2" xfId="6956"/>
    <cellStyle name="Total 4 2 4 4 3" xfId="6957"/>
    <cellStyle name="Total 4 2 4 5" xfId="6958"/>
    <cellStyle name="Total 4 2 4 5 2" xfId="6959"/>
    <cellStyle name="Total 4 2 4 6" xfId="6960"/>
    <cellStyle name="Total 4 2 5" xfId="6961"/>
    <cellStyle name="Total 4 2 5 2" xfId="6962"/>
    <cellStyle name="Total 4 3" xfId="6963"/>
    <cellStyle name="Total 4 3 2" xfId="6964"/>
    <cellStyle name="Total 4 3 2 2" xfId="6965"/>
    <cellStyle name="Total 4 3 2 2 2" xfId="6966"/>
    <cellStyle name="Total 4 3 2 2 2 2" xfId="6967"/>
    <cellStyle name="Total 4 3 2 2 2 2 2" xfId="6968"/>
    <cellStyle name="Total 4 3 2 2 2 3" xfId="6969"/>
    <cellStyle name="Total 4 3 2 2 3" xfId="6970"/>
    <cellStyle name="Total 4 3 2 2 3 2" xfId="6971"/>
    <cellStyle name="Total 4 3 2 2 4" xfId="6972"/>
    <cellStyle name="Total 4 3 2 3" xfId="6973"/>
    <cellStyle name="Total 4 3 2 3 2" xfId="6974"/>
    <cellStyle name="Total 4 3 2 3 2 2" xfId="6975"/>
    <cellStyle name="Total 4 3 2 3 3" xfId="6976"/>
    <cellStyle name="Total 4 3 2 3 4" xfId="6977"/>
    <cellStyle name="Total 4 3 2 4" xfId="6978"/>
    <cellStyle name="Total 4 3 2 4 2" xfId="6979"/>
    <cellStyle name="Total 4 3 2 4 2 2" xfId="6980"/>
    <cellStyle name="Total 4 3 2 4 3" xfId="6981"/>
    <cellStyle name="Total 4 3 2 5" xfId="6982"/>
    <cellStyle name="Total 4 3 2 5 2" xfId="6983"/>
    <cellStyle name="Total 4 3 2 6" xfId="6984"/>
    <cellStyle name="Total 4 3 3" xfId="6985"/>
    <cellStyle name="Total 4 3 3 2" xfId="6986"/>
    <cellStyle name="Total 4 3 3 2 2" xfId="6987"/>
    <cellStyle name="Total 4 3 3 2 2 2" xfId="6988"/>
    <cellStyle name="Total 4 3 3 2 2 2 2" xfId="6989"/>
    <cellStyle name="Total 4 3 3 2 2 3" xfId="6990"/>
    <cellStyle name="Total 4 3 3 2 3" xfId="6991"/>
    <cellStyle name="Total 4 3 3 2 3 2" xfId="6992"/>
    <cellStyle name="Total 4 3 3 2 4" xfId="6993"/>
    <cellStyle name="Total 4 3 3 3" xfId="6994"/>
    <cellStyle name="Total 4 3 3 3 2" xfId="6995"/>
    <cellStyle name="Total 4 3 3 3 2 2" xfId="6996"/>
    <cellStyle name="Total 4 3 3 3 3" xfId="6997"/>
    <cellStyle name="Total 4 3 3 3 4" xfId="6998"/>
    <cellStyle name="Total 4 3 3 4" xfId="6999"/>
    <cellStyle name="Total 4 3 3 4 2" xfId="7000"/>
    <cellStyle name="Total 4 3 3 4 2 2" xfId="7001"/>
    <cellStyle name="Total 4 3 3 4 3" xfId="7002"/>
    <cellStyle name="Total 4 3 3 5" xfId="7003"/>
    <cellStyle name="Total 4 3 3 5 2" xfId="7004"/>
    <cellStyle name="Total 4 3 3 6" xfId="7005"/>
    <cellStyle name="Total 4 3 4" xfId="7006"/>
    <cellStyle name="Total 4 3 4 2" xfId="7007"/>
    <cellStyle name="Total 4 3 4 2 2" xfId="7008"/>
    <cellStyle name="Total 4 3 4 2 2 2" xfId="7009"/>
    <cellStyle name="Total 4 3 4 2 3" xfId="7010"/>
    <cellStyle name="Total 4 3 4 3" xfId="7011"/>
    <cellStyle name="Total 4 3 4 3 2" xfId="7012"/>
    <cellStyle name="Total 4 3 4 4" xfId="7013"/>
    <cellStyle name="Total 4 3 5" xfId="7014"/>
    <cellStyle name="Total 4 3 5 2" xfId="7015"/>
    <cellStyle name="Total 4 3 5 2 2" xfId="7016"/>
    <cellStyle name="Total 4 3 5 3" xfId="7017"/>
    <cellStyle name="Total 4 3 5 4" xfId="7018"/>
    <cellStyle name="Total 4 3 6" xfId="7019"/>
    <cellStyle name="Total 4 3 6 2" xfId="7020"/>
    <cellStyle name="Total 4 3 6 2 2" xfId="7021"/>
    <cellStyle name="Total 4 3 6 3" xfId="7022"/>
    <cellStyle name="Total 4 3 7" xfId="7023"/>
    <cellStyle name="Total 4 3 7 2" xfId="7024"/>
    <cellStyle name="Total 4 3 8" xfId="7025"/>
    <cellStyle name="Total 4 4" xfId="7026"/>
    <cellStyle name="Total 4 4 2" xfId="7027"/>
    <cellStyle name="Total 4 4 2 2" xfId="7028"/>
    <cellStyle name="Total 4 4 2 2 2" xfId="7029"/>
    <cellStyle name="Total 4 4 2 2 2 2" xfId="7030"/>
    <cellStyle name="Total 4 4 2 2 3" xfId="7031"/>
    <cellStyle name="Total 4 4 2 3" xfId="7032"/>
    <cellStyle name="Total 4 4 2 3 2" xfId="7033"/>
    <cellStyle name="Total 4 4 2 4" xfId="7034"/>
    <cellStyle name="Total 4 4 3" xfId="7035"/>
    <cellStyle name="Total 4 4 3 2" xfId="7036"/>
    <cellStyle name="Total 4 4 3 2 2" xfId="7037"/>
    <cellStyle name="Total 4 4 3 3" xfId="7038"/>
    <cellStyle name="Total 4 4 3 4" xfId="7039"/>
    <cellStyle name="Total 4 4 4" xfId="7040"/>
    <cellStyle name="Total 4 4 4 2" xfId="7041"/>
    <cellStyle name="Total 4 4 4 2 2" xfId="7042"/>
    <cellStyle name="Total 4 4 4 3" xfId="7043"/>
    <cellStyle name="Total 4 4 5" xfId="7044"/>
    <cellStyle name="Total 4 4 5 2" xfId="7045"/>
    <cellStyle name="Total 4 4 6" xfId="7046"/>
    <cellStyle name="Total 5" xfId="7047"/>
    <cellStyle name="Total 5 2" xfId="7048"/>
    <cellStyle name="Total 5 2 2" xfId="7049"/>
    <cellStyle name="Total 5 2 2 2" xfId="7050"/>
    <cellStyle name="Total 5 2 2 2 2" xfId="7051"/>
    <cellStyle name="Total 5 2 2 2 2 2" xfId="7052"/>
    <cellStyle name="Total 5 2 2 2 2 2 2" xfId="7053"/>
    <cellStyle name="Total 5 2 2 2 2 3" xfId="7054"/>
    <cellStyle name="Total 5 2 2 2 3" xfId="7055"/>
    <cellStyle name="Total 5 2 2 2 3 2" xfId="7056"/>
    <cellStyle name="Total 5 2 2 2 4" xfId="7057"/>
    <cellStyle name="Total 5 2 2 3" xfId="7058"/>
    <cellStyle name="Total 5 2 2 3 2" xfId="7059"/>
    <cellStyle name="Total 5 2 2 3 2 2" xfId="7060"/>
    <cellStyle name="Total 5 2 2 3 3" xfId="7061"/>
    <cellStyle name="Total 5 2 2 3 4" xfId="7062"/>
    <cellStyle name="Total 5 2 2 4" xfId="7063"/>
    <cellStyle name="Total 5 2 2 4 2" xfId="7064"/>
    <cellStyle name="Total 5 2 2 4 2 2" xfId="7065"/>
    <cellStyle name="Total 5 2 2 4 3" xfId="7066"/>
    <cellStyle name="Total 5 2 2 5" xfId="7067"/>
    <cellStyle name="Total 5 2 2 5 2" xfId="7068"/>
    <cellStyle name="Total 5 2 2 6" xfId="7069"/>
    <cellStyle name="Total 5 2 3" xfId="7070"/>
    <cellStyle name="Total 5 2 3 2" xfId="7071"/>
    <cellStyle name="Total 5 2 3 2 2" xfId="7072"/>
    <cellStyle name="Total 5 2 3 2 2 2" xfId="7073"/>
    <cellStyle name="Total 5 2 3 2 2 2 2" xfId="7074"/>
    <cellStyle name="Total 5 2 3 2 2 3" xfId="7075"/>
    <cellStyle name="Total 5 2 3 2 3" xfId="7076"/>
    <cellStyle name="Total 5 2 3 2 3 2" xfId="7077"/>
    <cellStyle name="Total 5 2 3 2 4" xfId="7078"/>
    <cellStyle name="Total 5 2 3 3" xfId="7079"/>
    <cellStyle name="Total 5 2 3 3 2" xfId="7080"/>
    <cellStyle name="Total 5 2 3 3 2 2" xfId="7081"/>
    <cellStyle name="Total 5 2 3 3 3" xfId="7082"/>
    <cellStyle name="Total 5 2 3 3 4" xfId="7083"/>
    <cellStyle name="Total 5 2 3 4" xfId="7084"/>
    <cellStyle name="Total 5 2 3 4 2" xfId="7085"/>
    <cellStyle name="Total 5 2 3 4 2 2" xfId="7086"/>
    <cellStyle name="Total 5 2 3 4 3" xfId="7087"/>
    <cellStyle name="Total 5 2 3 5" xfId="7088"/>
    <cellStyle name="Total 5 2 3 5 2" xfId="7089"/>
    <cellStyle name="Total 5 2 3 6" xfId="7090"/>
    <cellStyle name="Total 5 2 4" xfId="7091"/>
    <cellStyle name="Total 5 2 4 2" xfId="7092"/>
    <cellStyle name="Total 5 2 4 2 2" xfId="7093"/>
    <cellStyle name="Total 5 2 4 2 2 2" xfId="7094"/>
    <cellStyle name="Total 5 2 4 2 2 2 2" xfId="7095"/>
    <cellStyle name="Total 5 2 4 2 2 3" xfId="7096"/>
    <cellStyle name="Total 5 2 4 2 3" xfId="7097"/>
    <cellStyle name="Total 5 2 4 2 3 2" xfId="7098"/>
    <cellStyle name="Total 5 2 4 2 4" xfId="7099"/>
    <cellStyle name="Total 5 2 4 3" xfId="7100"/>
    <cellStyle name="Total 5 2 4 3 2" xfId="7101"/>
    <cellStyle name="Total 5 2 4 3 2 2" xfId="7102"/>
    <cellStyle name="Total 5 2 4 3 3" xfId="7103"/>
    <cellStyle name="Total 5 2 4 3 4" xfId="7104"/>
    <cellStyle name="Total 5 2 4 4" xfId="7105"/>
    <cellStyle name="Total 5 2 4 4 2" xfId="7106"/>
    <cellStyle name="Total 5 2 4 4 2 2" xfId="7107"/>
    <cellStyle name="Total 5 2 4 4 3" xfId="7108"/>
    <cellStyle name="Total 5 2 4 5" xfId="7109"/>
    <cellStyle name="Total 5 2 4 5 2" xfId="7110"/>
    <cellStyle name="Total 5 2 4 6" xfId="7111"/>
    <cellStyle name="Total 5 2 5" xfId="7112"/>
    <cellStyle name="Total 5 2 5 2" xfId="7113"/>
    <cellStyle name="Total 5 3" xfId="7114"/>
    <cellStyle name="Total 5 3 2" xfId="7115"/>
    <cellStyle name="Total 5 3 2 2" xfId="7116"/>
    <cellStyle name="Total 5 3 2 2 2" xfId="7117"/>
    <cellStyle name="Total 5 3 2 2 2 2" xfId="7118"/>
    <cellStyle name="Total 5 3 2 2 2 2 2" xfId="7119"/>
    <cellStyle name="Total 5 3 2 2 2 3" xfId="7120"/>
    <cellStyle name="Total 5 3 2 2 3" xfId="7121"/>
    <cellStyle name="Total 5 3 2 2 3 2" xfId="7122"/>
    <cellStyle name="Total 5 3 2 2 4" xfId="7123"/>
    <cellStyle name="Total 5 3 2 3" xfId="7124"/>
    <cellStyle name="Total 5 3 2 3 2" xfId="7125"/>
    <cellStyle name="Total 5 3 2 3 2 2" xfId="7126"/>
    <cellStyle name="Total 5 3 2 3 3" xfId="7127"/>
    <cellStyle name="Total 5 3 2 3 4" xfId="7128"/>
    <cellStyle name="Total 5 3 2 4" xfId="7129"/>
    <cellStyle name="Total 5 3 2 4 2" xfId="7130"/>
    <cellStyle name="Total 5 3 2 4 2 2" xfId="7131"/>
    <cellStyle name="Total 5 3 2 4 3" xfId="7132"/>
    <cellStyle name="Total 5 3 2 5" xfId="7133"/>
    <cellStyle name="Total 5 3 2 5 2" xfId="7134"/>
    <cellStyle name="Total 5 3 2 6" xfId="7135"/>
    <cellStyle name="Total 5 3 3" xfId="7136"/>
    <cellStyle name="Total 5 3 3 2" xfId="7137"/>
    <cellStyle name="Total 5 3 3 2 2" xfId="7138"/>
    <cellStyle name="Total 5 3 3 2 2 2" xfId="7139"/>
    <cellStyle name="Total 5 3 3 2 2 2 2" xfId="7140"/>
    <cellStyle name="Total 5 3 3 2 2 3" xfId="7141"/>
    <cellStyle name="Total 5 3 3 2 3" xfId="7142"/>
    <cellStyle name="Total 5 3 3 2 3 2" xfId="7143"/>
    <cellStyle name="Total 5 3 3 2 4" xfId="7144"/>
    <cellStyle name="Total 5 3 3 3" xfId="7145"/>
    <cellStyle name="Total 5 3 3 3 2" xfId="7146"/>
    <cellStyle name="Total 5 3 3 3 2 2" xfId="7147"/>
    <cellStyle name="Total 5 3 3 3 3" xfId="7148"/>
    <cellStyle name="Total 5 3 3 3 4" xfId="7149"/>
    <cellStyle name="Total 5 3 3 4" xfId="7150"/>
    <cellStyle name="Total 5 3 3 4 2" xfId="7151"/>
    <cellStyle name="Total 5 3 3 4 2 2" xfId="7152"/>
    <cellStyle name="Total 5 3 3 4 3" xfId="7153"/>
    <cellStyle name="Total 5 3 3 5" xfId="7154"/>
    <cellStyle name="Total 5 3 3 5 2" xfId="7155"/>
    <cellStyle name="Total 5 3 3 6" xfId="7156"/>
    <cellStyle name="Total 5 3 4" xfId="7157"/>
    <cellStyle name="Total 5 3 4 2" xfId="7158"/>
    <cellStyle name="Total 5 3 4 2 2" xfId="7159"/>
    <cellStyle name="Total 5 3 4 2 2 2" xfId="7160"/>
    <cellStyle name="Total 5 3 4 2 3" xfId="7161"/>
    <cellStyle name="Total 5 3 4 3" xfId="7162"/>
    <cellStyle name="Total 5 3 4 3 2" xfId="7163"/>
    <cellStyle name="Total 5 3 4 4" xfId="7164"/>
    <cellStyle name="Total 5 3 5" xfId="7165"/>
    <cellStyle name="Total 5 3 5 2" xfId="7166"/>
    <cellStyle name="Total 5 3 5 2 2" xfId="7167"/>
    <cellStyle name="Total 5 3 5 3" xfId="7168"/>
    <cellStyle name="Total 5 3 5 4" xfId="7169"/>
    <cellStyle name="Total 5 3 6" xfId="7170"/>
    <cellStyle name="Total 5 3 6 2" xfId="7171"/>
    <cellStyle name="Total 5 3 6 2 2" xfId="7172"/>
    <cellStyle name="Total 5 3 6 3" xfId="7173"/>
    <cellStyle name="Total 5 3 7" xfId="7174"/>
    <cellStyle name="Total 5 3 7 2" xfId="7175"/>
    <cellStyle name="Total 5 3 8" xfId="7176"/>
    <cellStyle name="Total 5 4" xfId="7177"/>
    <cellStyle name="Total 5 4 2" xfId="7178"/>
    <cellStyle name="Total 5 4 2 2" xfId="7179"/>
    <cellStyle name="Total 5 4 2 2 2" xfId="7180"/>
    <cellStyle name="Total 5 4 2 2 2 2" xfId="7181"/>
    <cellStyle name="Total 5 4 2 2 3" xfId="7182"/>
    <cellStyle name="Total 5 4 2 3" xfId="7183"/>
    <cellStyle name="Total 5 4 2 3 2" xfId="7184"/>
    <cellStyle name="Total 5 4 2 4" xfId="7185"/>
    <cellStyle name="Total 5 4 3" xfId="7186"/>
    <cellStyle name="Total 5 4 3 2" xfId="7187"/>
    <cellStyle name="Total 5 4 3 2 2" xfId="7188"/>
    <cellStyle name="Total 5 4 3 3" xfId="7189"/>
    <cellStyle name="Total 5 4 3 4" xfId="7190"/>
    <cellStyle name="Total 5 4 4" xfId="7191"/>
    <cellStyle name="Total 5 4 4 2" xfId="7192"/>
    <cellStyle name="Total 5 4 4 2 2" xfId="7193"/>
    <cellStyle name="Total 5 4 4 3" xfId="7194"/>
    <cellStyle name="Total 5 4 5" xfId="7195"/>
    <cellStyle name="Total 5 4 5 2" xfId="7196"/>
    <cellStyle name="Total 5 4 6" xfId="7197"/>
    <cellStyle name="Total 5 5" xfId="7198"/>
    <cellStyle name="Total 5 5 2" xfId="7199"/>
    <cellStyle name="Total 6" xfId="7200"/>
    <cellStyle name="Total 6 2" xfId="7201"/>
    <cellStyle name="Total 6 2 2" xfId="7202"/>
    <cellStyle name="Total 6 2 2 2" xfId="7203"/>
    <cellStyle name="Total 6 2 2 2 2" xfId="7204"/>
    <cellStyle name="Total 6 2 2 2 2 2" xfId="7205"/>
    <cellStyle name="Total 6 2 2 2 2 2 2" xfId="7206"/>
    <cellStyle name="Total 6 2 2 2 2 3" xfId="7207"/>
    <cellStyle name="Total 6 2 2 2 3" xfId="7208"/>
    <cellStyle name="Total 6 2 2 2 3 2" xfId="7209"/>
    <cellStyle name="Total 6 2 2 2 4" xfId="7210"/>
    <cellStyle name="Total 6 2 2 3" xfId="7211"/>
    <cellStyle name="Total 6 2 2 3 2" xfId="7212"/>
    <cellStyle name="Total 6 2 2 3 2 2" xfId="7213"/>
    <cellStyle name="Total 6 2 2 3 3" xfId="7214"/>
    <cellStyle name="Total 6 2 2 3 4" xfId="7215"/>
    <cellStyle name="Total 6 2 2 4" xfId="7216"/>
    <cellStyle name="Total 6 2 2 4 2" xfId="7217"/>
    <cellStyle name="Total 6 2 2 4 2 2" xfId="7218"/>
    <cellStyle name="Total 6 2 2 4 3" xfId="7219"/>
    <cellStyle name="Total 6 2 2 5" xfId="7220"/>
    <cellStyle name="Total 6 2 2 5 2" xfId="7221"/>
    <cellStyle name="Total 6 2 2 6" xfId="7222"/>
    <cellStyle name="Total 6 2 3" xfId="7223"/>
    <cellStyle name="Total 6 2 3 2" xfId="7224"/>
    <cellStyle name="Total 6 2 3 2 2" xfId="7225"/>
    <cellStyle name="Total 6 2 3 2 2 2" xfId="7226"/>
    <cellStyle name="Total 6 2 3 2 2 2 2" xfId="7227"/>
    <cellStyle name="Total 6 2 3 2 2 3" xfId="7228"/>
    <cellStyle name="Total 6 2 3 2 3" xfId="7229"/>
    <cellStyle name="Total 6 2 3 2 3 2" xfId="7230"/>
    <cellStyle name="Total 6 2 3 2 4" xfId="7231"/>
    <cellStyle name="Total 6 2 3 3" xfId="7232"/>
    <cellStyle name="Total 6 2 3 3 2" xfId="7233"/>
    <cellStyle name="Total 6 2 3 3 2 2" xfId="7234"/>
    <cellStyle name="Total 6 2 3 3 3" xfId="7235"/>
    <cellStyle name="Total 6 2 3 3 4" xfId="7236"/>
    <cellStyle name="Total 6 2 3 4" xfId="7237"/>
    <cellStyle name="Total 6 2 3 4 2" xfId="7238"/>
    <cellStyle name="Total 6 2 3 4 2 2" xfId="7239"/>
    <cellStyle name="Total 6 2 3 4 3" xfId="7240"/>
    <cellStyle name="Total 6 2 3 5" xfId="7241"/>
    <cellStyle name="Total 6 2 3 5 2" xfId="7242"/>
    <cellStyle name="Total 6 2 3 6" xfId="7243"/>
    <cellStyle name="Total 6 2 4" xfId="7244"/>
    <cellStyle name="Total 6 2 4 2" xfId="7245"/>
    <cellStyle name="Total 6 2 4 2 2" xfId="7246"/>
    <cellStyle name="Total 6 2 4 2 2 2" xfId="7247"/>
    <cellStyle name="Total 6 2 4 2 3" xfId="7248"/>
    <cellStyle name="Total 6 2 4 3" xfId="7249"/>
    <cellStyle name="Total 6 2 4 3 2" xfId="7250"/>
    <cellStyle name="Total 6 2 4 4" xfId="7251"/>
    <cellStyle name="Total 6 2 5" xfId="7252"/>
    <cellStyle name="Total 6 2 5 2" xfId="7253"/>
    <cellStyle name="Total 6 2 5 2 2" xfId="7254"/>
    <cellStyle name="Total 6 2 5 3" xfId="7255"/>
    <cellStyle name="Total 6 2 5 4" xfId="7256"/>
    <cellStyle name="Total 6 2 6" xfId="7257"/>
    <cellStyle name="Total 6 2 6 2" xfId="7258"/>
    <cellStyle name="Total 6 2 6 2 2" xfId="7259"/>
    <cellStyle name="Total 6 2 6 3" xfId="7260"/>
    <cellStyle name="Total 6 2 7" xfId="7261"/>
    <cellStyle name="Total 6 2 7 2" xfId="7262"/>
    <cellStyle name="Total 6 2 8" xfId="7263"/>
    <cellStyle name="Total 6 3" xfId="7264"/>
    <cellStyle name="Total 6 3 2" xfId="7265"/>
    <cellStyle name="Total 6 3 2 2" xfId="7266"/>
    <cellStyle name="Total 6 3 2 2 2" xfId="7267"/>
    <cellStyle name="Total 6 3 2 2 2 2" xfId="7268"/>
    <cellStyle name="Total 6 3 2 2 3" xfId="7269"/>
    <cellStyle name="Total 6 3 2 3" xfId="7270"/>
    <cellStyle name="Total 6 3 2 3 2" xfId="7271"/>
    <cellStyle name="Total 6 3 2 4" xfId="7272"/>
    <cellStyle name="Total 6 3 3" xfId="7273"/>
    <cellStyle name="Total 6 3 3 2" xfId="7274"/>
    <cellStyle name="Total 6 3 3 2 2" xfId="7275"/>
    <cellStyle name="Total 6 3 3 3" xfId="7276"/>
    <cellStyle name="Total 6 3 3 4" xfId="7277"/>
    <cellStyle name="Total 6 3 4" xfId="7278"/>
    <cellStyle name="Total 6 3 4 2" xfId="7279"/>
    <cellStyle name="Total 6 3 4 2 2" xfId="7280"/>
    <cellStyle name="Total 6 3 4 3" xfId="7281"/>
    <cellStyle name="Total 6 3 5" xfId="7282"/>
    <cellStyle name="Total 6 3 5 2" xfId="7283"/>
    <cellStyle name="Total 6 3 6" xfId="7284"/>
    <cellStyle name="Total 6 4" xfId="7285"/>
    <cellStyle name="Total 6 4 2" xfId="7286"/>
    <cellStyle name="Total 7" xfId="7287"/>
    <cellStyle name="Total 7 2" xfId="7288"/>
    <cellStyle name="Total 7 2 2" xfId="7289"/>
    <cellStyle name="Total 7 2 2 2" xfId="7290"/>
    <cellStyle name="Total 7 2 2 2 2" xfId="7291"/>
    <cellStyle name="Total 7 2 2 2 2 2" xfId="7292"/>
    <cellStyle name="Total 7 2 2 2 3" xfId="7293"/>
    <cellStyle name="Total 7 2 2 3" xfId="7294"/>
    <cellStyle name="Total 7 2 2 3 2" xfId="7295"/>
    <cellStyle name="Total 7 2 2 4" xfId="7296"/>
    <cellStyle name="Total 7 2 3" xfId="7297"/>
    <cellStyle name="Total 7 2 3 2" xfId="7298"/>
    <cellStyle name="Total 7 2 3 2 2" xfId="7299"/>
    <cellStyle name="Total 7 2 3 3" xfId="7300"/>
    <cellStyle name="Total 7 2 3 4" xfId="7301"/>
    <cellStyle name="Total 7 2 4" xfId="7302"/>
    <cellStyle name="Total 7 2 4 2" xfId="7303"/>
    <cellStyle name="Total 7 2 4 2 2" xfId="7304"/>
    <cellStyle name="Total 7 2 4 3" xfId="7305"/>
    <cellStyle name="Total 7 2 5" xfId="7306"/>
    <cellStyle name="Total 7 2 5 2" xfId="7307"/>
    <cellStyle name="Total 7 2 6" xfId="7308"/>
    <cellStyle name="Total 7 3" xfId="7309"/>
    <cellStyle name="Total 7 3 2" xfId="7310"/>
    <cellStyle name="Total 7 3 2 2" xfId="7311"/>
    <cellStyle name="Total 7 3 2 2 2" xfId="7312"/>
    <cellStyle name="Total 7 3 2 2 2 2" xfId="7313"/>
    <cellStyle name="Total 7 3 2 2 3" xfId="7314"/>
    <cellStyle name="Total 7 3 2 3" xfId="7315"/>
    <cellStyle name="Total 7 3 2 3 2" xfId="7316"/>
    <cellStyle name="Total 7 3 2 4" xfId="7317"/>
    <cellStyle name="Total 7 3 3" xfId="7318"/>
    <cellStyle name="Total 7 3 3 2" xfId="7319"/>
    <cellStyle name="Total 7 3 3 2 2" xfId="7320"/>
    <cellStyle name="Total 7 3 3 3" xfId="7321"/>
    <cellStyle name="Total 7 3 3 4" xfId="7322"/>
    <cellStyle name="Total 7 3 4" xfId="7323"/>
    <cellStyle name="Total 7 3 4 2" xfId="7324"/>
    <cellStyle name="Total 7 3 4 2 2" xfId="7325"/>
    <cellStyle name="Total 7 3 4 3" xfId="7326"/>
    <cellStyle name="Total 7 3 5" xfId="7327"/>
    <cellStyle name="Total 7 3 5 2" xfId="7328"/>
    <cellStyle name="Total 7 3 6" xfId="7329"/>
    <cellStyle name="Total 7 4" xfId="7330"/>
    <cellStyle name="Total 7 4 2" xfId="7331"/>
    <cellStyle name="Total 7 4 2 2" xfId="7332"/>
    <cellStyle name="Total 7 4 2 2 2" xfId="7333"/>
    <cellStyle name="Total 7 4 2 3" xfId="7334"/>
    <cellStyle name="Total 7 4 3" xfId="7335"/>
    <cellStyle name="Total 7 4 3 2" xfId="7336"/>
    <cellStyle name="Total 7 4 4" xfId="7337"/>
    <cellStyle name="Total 7 5" xfId="7338"/>
    <cellStyle name="Total 7 5 2" xfId="7339"/>
    <cellStyle name="Total 7 5 2 2" xfId="7340"/>
    <cellStyle name="Total 7 5 3" xfId="7341"/>
    <cellStyle name="Total 7 5 4" xfId="7342"/>
    <cellStyle name="Total 7 6" xfId="7343"/>
    <cellStyle name="Total 7 6 2" xfId="7344"/>
    <cellStyle name="Total 7 6 2 2" xfId="7345"/>
    <cellStyle name="Total 7 6 3" xfId="7346"/>
    <cellStyle name="Total 7 7" xfId="7347"/>
    <cellStyle name="Total 7 7 2" xfId="7348"/>
    <cellStyle name="Total 7 8" xfId="7349"/>
    <cellStyle name="toto" xfId="7350"/>
    <cellStyle name="Warning Text" xfId="7636" builtinId="11" customBuiltin="1"/>
    <cellStyle name="Warning Text 2" xfId="7351"/>
    <cellStyle name="Warning Text 3" xfId="7352"/>
    <cellStyle name="パーセント 2" xfId="7353"/>
    <cellStyle name="桁区切り 2" xfId="7354"/>
    <cellStyle name="桁区切り_DegitalOption_test" xfId="7355"/>
    <cellStyle name="標準 2" xfId="7356"/>
    <cellStyle name="標準 3" xfId="7357"/>
    <cellStyle name="標準 4" xfId="7358"/>
    <cellStyle name="標準_examplePortfolio" xfId="7359"/>
    <cellStyle name="標準_Input_OutPut20060417" xfId="7666"/>
  </cellStyles>
  <dxfs count="0"/>
  <tableStyles count="0" defaultTableStyle="TableStyleMedium2" defaultPivotStyle="PivotStyleLight16"/>
  <colors>
    <mruColors>
      <color rgb="FF006600"/>
      <color rgb="FFF0F4F0"/>
      <color rgb="FFFFFFCC"/>
      <color rgb="FFFFFF99"/>
      <color rgb="FF0000FF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15/10/2009</v>
        <stp/>
        <stp>##V3_BDPV12</stp>
        <stp>EH807646 Corp</stp>
        <stp>FIRST_CPN_DT</stp>
        <stp>[AUD_ASSETSWAP_SYNDICATE.0.4.xlsx]ACGB_BONDS!R8C8</stp>
        <tr r="H8" s="13"/>
      </tp>
      <tp>
        <v>2.145</v>
        <stp/>
        <stp>##V3_BDPV12</stp>
        <stp>ADSW1   Curncy</stp>
        <stp>PX_MID</stp>
        <stp>[AUD_ASSETSWAP_SYNDICATE.0.4.xlsx]AUD CURVE TICKERS!R75C20</stp>
        <tr r="T75" s="9"/>
      </tp>
      <tp>
        <v>2.2469999999999999</v>
        <stp/>
        <stp>##V3_BDPV12</stp>
        <stp>ADSW2   Curncy</stp>
        <stp>PX_MID</stp>
        <stp>[AUD_ASSETSWAP_SYNDICATE.0.4.xlsx]AUD CURVE TICKERS!R76C20</stp>
        <tr r="T76" s="9"/>
      </tp>
      <tp t="s">
        <v>ACGB 4 08/20/20</v>
        <stp/>
        <stp>##V3_BDPV12</stp>
        <stp>GG728188 Corp</stp>
        <stp>SECURITY_DES</stp>
        <stp>[AUD_ASSETSWAP_SYNDICATE.0.4.xlsx]ACGB_BONDS!R9C3</stp>
        <tr r="C9" s="13"/>
      </tp>
      <tp>
        <v>1.4017796030116358</v>
        <stp/>
        <stp>##V3_BDPV12</stp>
        <stp>EH807646 Corp</stp>
        <stp>MTY_YEARS</stp>
        <stp>[AUD_ASSETSWAP_SYNDICATE.0.4.xlsx]ACGB_BONDS!R8C13</stp>
        <tr r="M8" s="13"/>
      </tp>
      <tp t="s">
        <v>20/08/2020</v>
        <stp/>
        <stp>##V3_BDPV12</stp>
        <stp>GG728188 Corp</stp>
        <stp>MATURITY</stp>
        <stp>[AUD_ASSETSWAP_SYNDICATE.0.4.xlsx]ACGB_BONDS!R9C11</stp>
        <tr r="K9" s="13"/>
      </tp>
      <tp t="s">
        <v>15/04/2020</v>
        <stp/>
        <stp>##V3_BDPV12</stp>
        <stp>EH807646 Corp</stp>
        <stp>MATURITY</stp>
        <stp>[AUD_ASSETSWAP_SYNDICATE.0.4.xlsx]ACGB_BONDS!R8C11</stp>
        <tr r="K8" s="13"/>
      </tp>
      <tp t="s">
        <v>ACGB 4 1/2 04/15/20</v>
        <stp/>
        <stp>##V3_BDPV12</stp>
        <stp>EH807646 Corp</stp>
        <stp>SECURITY_DES</stp>
        <stp>[AUD_ASSETSWAP_SYNDICATE.0.4.xlsx]ACGB_BONDS!R8C3</stp>
        <tr r="C8" s="13"/>
      </tp>
      <tp t="s">
        <v>20/11/1996</v>
        <stp/>
        <stp>##V3_BDPV12</stp>
        <stp>GG728188 Corp</stp>
        <stp>FIRST_CPN_DT</stp>
        <stp>[AUD_ASSETSWAP_SYNDICATE.0.4.xlsx]ACGB_BONDS!R9C8</stp>
        <tr r="H9" s="13"/>
      </tp>
      <tp>
        <v>1.7494866529774127</v>
        <stp/>
        <stp>##V3_BDPV12</stp>
        <stp>GG728188 Corp</stp>
        <stp>MTY_YEARS</stp>
        <stp>[AUD_ASSETSWAP_SYNDICATE.0.4.xlsx]ACGB_BONDS!R9C13</stp>
        <tr r="M9" s="13"/>
      </tp>
      <tp>
        <v>3.45</v>
        <stp/>
        <stp>##V3_BDPV12</stp>
        <stp>AU3CB0250215 Corp</stp>
        <stp>CPN</stp>
        <stp>[AUD_ASSETSWAP_SYNDICATE.0.4.xlsx]TAP AUD ASW!R22C6</stp>
        <tr r="F22" s="11"/>
      </tp>
      <tp>
        <v>2.0067387885618566</v>
        <stp/>
        <stp>##V3_BDPV12</stp>
        <stp>EH807646 Corp</stp>
        <stp>YLD_YTM_ASK</stp>
        <stp>[AUD_ASSETSWAP_SYNDICATE.0.4.xlsx]ACGB_BONDS!R8C17</stp>
        <tr r="Q8" s="13"/>
      </tp>
      <tp>
        <v>4</v>
        <stp/>
        <stp>##V3_BDPV12</stp>
        <stp>GG728188 Corp</stp>
        <stp>CPN</stp>
        <stp>[AUD_ASSETSWAP_SYNDICATE.0.4.xlsx]ACGB_BONDS!R9C10</stp>
        <tr r="J9" s="13"/>
      </tp>
      <tp t="s">
        <v>ACT/ACT</v>
        <stp/>
        <stp>##V3_BDPV12</stp>
        <stp>EH807646 Corp</stp>
        <stp>DAY_CNT_DES</stp>
        <stp>[AUD_ASSETSWAP_SYNDICATE.0.4.xlsx]ACGB_BONDS!R8C12</stp>
        <tr r="L8" s="13"/>
      </tp>
      <tp t="s">
        <v>15/10/2019</v>
        <stp/>
        <stp>##V3_BDPV12</stp>
        <stp>EH807646 Corp</stp>
        <stp>PENULTIMATE_CPN_DT</stp>
        <stp>[AUD_ASSETSWAP_SYNDICATE.0.4.xlsx]ACGB_BONDS!R8C9</stp>
        <tr r="I8" s="13"/>
      </tp>
      <tp t="s">
        <v>15/04/2009</v>
        <stp/>
        <stp>##V3_BDPV12</stp>
        <stp>EH807646 Corp</stp>
        <stp>START_ACC_DT</stp>
        <stp>[AUD_ASSETSWAP_SYNDICATE.0.4.xlsx]ACGB_BONDS!R8C6</stp>
        <tr r="F8" s="13"/>
      </tp>
      <tp>
        <v>97.295000000000002</v>
        <stp/>
        <stp>##V3_BDPV12</stp>
        <stp>XMA Comdty</stp>
        <stp>BID</stp>
        <stp>[AUD_ASSETSWAP_SYNDICATE.0.4.xlsx]ACGB_BONDS!R18C25</stp>
        <tr r="Y18" s="13"/>
      </tp>
      <tp>
        <v>97.295000000000002</v>
        <stp/>
        <stp>##V3_BDPV12</stp>
        <stp>XMA Comdty</stp>
        <stp>BID</stp>
        <stp>[AUD_ASSETSWAP_SYNDICATE.0.4.xlsx]ACGB_BONDS!R19C25</stp>
        <tr r="Y19" s="13"/>
      </tp>
      <tp>
        <v>97.295000000000002</v>
        <stp/>
        <stp>##V3_BDPV12</stp>
        <stp>XMA Comdty</stp>
        <stp>BID</stp>
        <stp>[AUD_ASSETSWAP_SYNDICATE.0.4.xlsx]ACGB_BONDS!R26C25</stp>
        <tr r="Y26" s="13"/>
      </tp>
      <tp>
        <v>97.295000000000002</v>
        <stp/>
        <stp>##V3_BDPV12</stp>
        <stp>XMA Comdty</stp>
        <stp>BID</stp>
        <stp>[AUD_ASSETSWAP_SYNDICATE.0.4.xlsx]ACGB_BONDS!R27C25</stp>
        <tr r="Y27" s="13"/>
      </tp>
      <tp>
        <v>97.295000000000002</v>
        <stp/>
        <stp>##V3_BDPV12</stp>
        <stp>XMA Comdty</stp>
        <stp>BID</stp>
        <stp>[AUD_ASSETSWAP_SYNDICATE.0.4.xlsx]ACGB_BONDS!R24C25</stp>
        <tr r="Y24" s="13"/>
      </tp>
      <tp>
        <v>97.295000000000002</v>
        <stp/>
        <stp>##V3_BDPV12</stp>
        <stp>XMA Comdty</stp>
        <stp>BID</stp>
        <stp>[AUD_ASSETSWAP_SYNDICATE.0.4.xlsx]ACGB_BONDS!R25C25</stp>
        <tr r="Y25" s="13"/>
      </tp>
      <tp>
        <v>97.295000000000002</v>
        <stp/>
        <stp>##V3_BDPV12</stp>
        <stp>XMA Comdty</stp>
        <stp>BID</stp>
        <stp>[AUD_ASSETSWAP_SYNDICATE.0.4.xlsx]ACGB_BONDS!R22C25</stp>
        <tr r="Y22" s="13"/>
      </tp>
      <tp>
        <v>97.295000000000002</v>
        <stp/>
        <stp>##V3_BDPV12</stp>
        <stp>XMA Comdty</stp>
        <stp>BID</stp>
        <stp>[AUD_ASSETSWAP_SYNDICATE.0.4.xlsx]ACGB_BONDS!R23C25</stp>
        <tr r="Y23" s="13"/>
      </tp>
      <tp>
        <v>97.295000000000002</v>
        <stp/>
        <stp>##V3_BDPV12</stp>
        <stp>XMA Comdty</stp>
        <stp>BID</stp>
        <stp>[AUD_ASSETSWAP_SYNDICATE.0.4.xlsx]ACGB_BONDS!R20C25</stp>
        <tr r="Y20" s="13"/>
      </tp>
      <tp>
        <v>97.295000000000002</v>
        <stp/>
        <stp>##V3_BDPV12</stp>
        <stp>XMA Comdty</stp>
        <stp>BID</stp>
        <stp>[AUD_ASSETSWAP_SYNDICATE.0.4.xlsx]ACGB_BONDS!R21C25</stp>
        <tr r="Y21" s="13"/>
      </tp>
      <tp>
        <v>97.295000000000002</v>
        <stp/>
        <stp>##V3_BDPV12</stp>
        <stp>XMA Comdty</stp>
        <stp>BID</stp>
        <stp>[AUD_ASSETSWAP_SYNDICATE.0.4.xlsx]ACGB_BONDS!R28C25</stp>
        <tr r="Y28" s="13"/>
      </tp>
      <tp>
        <v>97.295000000000002</v>
        <stp/>
        <stp>##V3_BDPV12</stp>
        <stp>XMA Comdty</stp>
        <stp>BID</stp>
        <stp>[AUD_ASSETSWAP_SYNDICATE.0.4.xlsx]ACGB_BONDS!R29C25</stp>
        <tr r="Y29" s="13"/>
      </tp>
      <tp>
        <v>97.295000000000002</v>
        <stp/>
        <stp>##V3_BDPV12</stp>
        <stp>XMA Comdty</stp>
        <stp>BID</stp>
        <stp>[AUD_ASSETSWAP_SYNDICATE.0.4.xlsx]ACGB_BONDS!R36C25</stp>
        <tr r="Y36" s="13"/>
      </tp>
      <tp>
        <v>97.295000000000002</v>
        <stp/>
        <stp>##V3_BDPV12</stp>
        <stp>XMA Comdty</stp>
        <stp>BID</stp>
        <stp>[AUD_ASSETSWAP_SYNDICATE.0.4.xlsx]ACGB_BONDS!R37C25</stp>
        <tr r="Y37" s="13"/>
      </tp>
      <tp>
        <v>97.295000000000002</v>
        <stp/>
        <stp>##V3_BDPV12</stp>
        <stp>XMA Comdty</stp>
        <stp>BID</stp>
        <stp>[AUD_ASSETSWAP_SYNDICATE.0.4.xlsx]ACGB_BONDS!R34C25</stp>
        <tr r="Y34" s="13"/>
      </tp>
      <tp>
        <v>97.295000000000002</v>
        <stp/>
        <stp>##V3_BDPV12</stp>
        <stp>XMA Comdty</stp>
        <stp>BID</stp>
        <stp>[AUD_ASSETSWAP_SYNDICATE.0.4.xlsx]ACGB_BONDS!R35C25</stp>
        <tr r="Y35" s="13"/>
      </tp>
      <tp>
        <v>97.295000000000002</v>
        <stp/>
        <stp>##V3_BDPV12</stp>
        <stp>XMA Comdty</stp>
        <stp>BID</stp>
        <stp>[AUD_ASSETSWAP_SYNDICATE.0.4.xlsx]ACGB_BONDS!R32C25</stp>
        <tr r="Y32" s="13"/>
      </tp>
      <tp>
        <v>97.295000000000002</v>
        <stp/>
        <stp>##V3_BDPV12</stp>
        <stp>XMA Comdty</stp>
        <stp>BID</stp>
        <stp>[AUD_ASSETSWAP_SYNDICATE.0.4.xlsx]ACGB_BONDS!R33C25</stp>
        <tr r="Y33" s="13"/>
      </tp>
      <tp>
        <v>97.295000000000002</v>
        <stp/>
        <stp>##V3_BDPV12</stp>
        <stp>XMA Comdty</stp>
        <stp>BID</stp>
        <stp>[AUD_ASSETSWAP_SYNDICATE.0.4.xlsx]ACGB_BONDS!R30C25</stp>
        <tr r="Y30" s="13"/>
      </tp>
      <tp>
        <v>97.295000000000002</v>
        <stp/>
        <stp>##V3_BDPV12</stp>
        <stp>XMA Comdty</stp>
        <stp>BID</stp>
        <stp>[AUD_ASSETSWAP_SYNDICATE.0.4.xlsx]ACGB_BONDS!R31C25</stp>
        <tr r="Y31" s="13"/>
      </tp>
      <tp>
        <v>97.295000000000002</v>
        <stp/>
        <stp>##V3_BDPV12</stp>
        <stp>XMA Comdty</stp>
        <stp>BID</stp>
        <stp>[AUD_ASSETSWAP_SYNDICATE.0.4.xlsx]ACGB_BONDS!R38C25</stp>
        <tr r="Y38" s="13"/>
      </tp>
      <tp>
        <v>97.825000000000003</v>
        <stp/>
        <stp>##V3_BDPV12</stp>
        <stp>YMA Comdty</stp>
        <stp>BID</stp>
        <stp>[AUD_ASSETSWAP_SYNDICATE.0.4.xlsx]ACGB_BONDS!R16C25</stp>
        <tr r="Y16" s="13"/>
      </tp>
      <tp>
        <v>97.825000000000003</v>
        <stp/>
        <stp>##V3_BDPV12</stp>
        <stp>YMA Comdty</stp>
        <stp>BID</stp>
        <stp>[AUD_ASSETSWAP_SYNDICATE.0.4.xlsx]ACGB_BONDS!R17C25</stp>
        <tr r="Y17" s="13"/>
      </tp>
      <tp>
        <v>97.825000000000003</v>
        <stp/>
        <stp>##V3_BDPV12</stp>
        <stp>YMA Comdty</stp>
        <stp>BID</stp>
        <stp>[AUD_ASSETSWAP_SYNDICATE.0.4.xlsx]ACGB_BONDS!R14C25</stp>
        <tr r="Y14" s="13"/>
      </tp>
      <tp>
        <v>97.825000000000003</v>
        <stp/>
        <stp>##V3_BDPV12</stp>
        <stp>YMA Comdty</stp>
        <stp>BID</stp>
        <stp>[AUD_ASSETSWAP_SYNDICATE.0.4.xlsx]ACGB_BONDS!R15C25</stp>
        <tr r="Y15" s="13"/>
      </tp>
      <tp>
        <v>97.825000000000003</v>
        <stp/>
        <stp>##V3_BDPV12</stp>
        <stp>YMA Comdty</stp>
        <stp>BID</stp>
        <stp>[AUD_ASSETSWAP_SYNDICATE.0.4.xlsx]ACGB_BONDS!R12C25</stp>
        <tr r="Y12" s="13"/>
      </tp>
      <tp>
        <v>97.825000000000003</v>
        <stp/>
        <stp>##V3_BDPV12</stp>
        <stp>YMA Comdty</stp>
        <stp>BID</stp>
        <stp>[AUD_ASSETSWAP_SYNDICATE.0.4.xlsx]ACGB_BONDS!R13C25</stp>
        <tr r="Y13" s="13"/>
      </tp>
      <tp>
        <v>97.825000000000003</v>
        <stp/>
        <stp>##V3_BDPV12</stp>
        <stp>YMA Comdty</stp>
        <stp>BID</stp>
        <stp>[AUD_ASSETSWAP_SYNDICATE.0.4.xlsx]ACGB_BONDS!R10C25</stp>
        <tr r="Y10" s="13"/>
      </tp>
      <tp>
        <v>97.825000000000003</v>
        <stp/>
        <stp>##V3_BDPV12</stp>
        <stp>YMA Comdty</stp>
        <stp>BID</stp>
        <stp>[AUD_ASSETSWAP_SYNDICATE.0.4.xlsx]ACGB_BONDS!R11C25</stp>
        <tr r="Y11" s="13"/>
      </tp>
      <tp>
        <v>12.625</v>
        <stp/>
        <stp>##V3_BDPV12</stp>
        <stp>ADBBCF9 IAUS Curncy</stp>
        <stp>PX_MID</stp>
        <stp>[AUD_ASSETSWAP_SYNDICATE.0.4.xlsx]AUD CURVE TICKERS!R53C43</stp>
        <tr r="AQ53" s="9"/>
      </tp>
      <tp>
        <v>41.75</v>
        <stp/>
        <stp>##V3_BDPV12</stp>
        <stp>ADBBCO9 IAUS Curncy</stp>
        <stp>PX_MID</stp>
        <stp>[AUD_ASSETSWAP_SYNDICATE.0.4.xlsx]AUD CURVE TICKERS!R23C20</stp>
        <tr r="T23" s="9"/>
      </tp>
      <tp>
        <v>97.3</v>
        <stp/>
        <stp>##V3_BDPV12</stp>
        <stp>XMA Comdty</stp>
        <stp>ASK</stp>
        <stp>[AUD_ASSETSWAP_SYNDICATE.0.4.xlsx]ACGB_BONDS!R18C26</stp>
        <tr r="Z18" s="13"/>
      </tp>
      <tp>
        <v>97.3</v>
        <stp/>
        <stp>##V3_BDPV12</stp>
        <stp>XMA Comdty</stp>
        <stp>ASK</stp>
        <stp>[AUD_ASSETSWAP_SYNDICATE.0.4.xlsx]ACGB_BONDS!R19C26</stp>
        <tr r="Z19" s="13"/>
      </tp>
      <tp>
        <v>97.3</v>
        <stp/>
        <stp>##V3_BDPV12</stp>
        <stp>XMA Comdty</stp>
        <stp>ASK</stp>
        <stp>[AUD_ASSETSWAP_SYNDICATE.0.4.xlsx]ACGB_BONDS!R26C26</stp>
        <tr r="Z26" s="13"/>
      </tp>
      <tp>
        <v>97.3</v>
        <stp/>
        <stp>##V3_BDPV12</stp>
        <stp>XMA Comdty</stp>
        <stp>ASK</stp>
        <stp>[AUD_ASSETSWAP_SYNDICATE.0.4.xlsx]ACGB_BONDS!R27C26</stp>
        <tr r="Z27" s="13"/>
      </tp>
      <tp>
        <v>97.3</v>
        <stp/>
        <stp>##V3_BDPV12</stp>
        <stp>XMA Comdty</stp>
        <stp>ASK</stp>
        <stp>[AUD_ASSETSWAP_SYNDICATE.0.4.xlsx]ACGB_BONDS!R24C26</stp>
        <tr r="Z24" s="13"/>
      </tp>
      <tp>
        <v>97.3</v>
        <stp/>
        <stp>##V3_BDPV12</stp>
        <stp>XMA Comdty</stp>
        <stp>ASK</stp>
        <stp>[AUD_ASSETSWAP_SYNDICATE.0.4.xlsx]ACGB_BONDS!R25C26</stp>
        <tr r="Z25" s="13"/>
      </tp>
      <tp>
        <v>97.3</v>
        <stp/>
        <stp>##V3_BDPV12</stp>
        <stp>XMA Comdty</stp>
        <stp>ASK</stp>
        <stp>[AUD_ASSETSWAP_SYNDICATE.0.4.xlsx]ACGB_BONDS!R22C26</stp>
        <tr r="Z22" s="13"/>
      </tp>
      <tp>
        <v>97.3</v>
        <stp/>
        <stp>##V3_BDPV12</stp>
        <stp>XMA Comdty</stp>
        <stp>ASK</stp>
        <stp>[AUD_ASSETSWAP_SYNDICATE.0.4.xlsx]ACGB_BONDS!R23C26</stp>
        <tr r="Z23" s="13"/>
      </tp>
      <tp>
        <v>97.3</v>
        <stp/>
        <stp>##V3_BDPV12</stp>
        <stp>XMA Comdty</stp>
        <stp>ASK</stp>
        <stp>[AUD_ASSETSWAP_SYNDICATE.0.4.xlsx]ACGB_BONDS!R20C26</stp>
        <tr r="Z20" s="13"/>
      </tp>
      <tp>
        <v>97.3</v>
        <stp/>
        <stp>##V3_BDPV12</stp>
        <stp>XMA Comdty</stp>
        <stp>ASK</stp>
        <stp>[AUD_ASSETSWAP_SYNDICATE.0.4.xlsx]ACGB_BONDS!R21C26</stp>
        <tr r="Z21" s="13"/>
      </tp>
      <tp>
        <v>97.3</v>
        <stp/>
        <stp>##V3_BDPV12</stp>
        <stp>XMA Comdty</stp>
        <stp>ASK</stp>
        <stp>[AUD_ASSETSWAP_SYNDICATE.0.4.xlsx]ACGB_BONDS!R28C26</stp>
        <tr r="Z28" s="13"/>
      </tp>
      <tp>
        <v>97.3</v>
        <stp/>
        <stp>##V3_BDPV12</stp>
        <stp>XMA Comdty</stp>
        <stp>ASK</stp>
        <stp>[AUD_ASSETSWAP_SYNDICATE.0.4.xlsx]ACGB_BONDS!R29C26</stp>
        <tr r="Z29" s="13"/>
      </tp>
      <tp>
        <v>97.3</v>
        <stp/>
        <stp>##V3_BDPV12</stp>
        <stp>XMA Comdty</stp>
        <stp>ASK</stp>
        <stp>[AUD_ASSETSWAP_SYNDICATE.0.4.xlsx]ACGB_BONDS!R36C26</stp>
        <tr r="Z36" s="13"/>
      </tp>
      <tp>
        <v>97.3</v>
        <stp/>
        <stp>##V3_BDPV12</stp>
        <stp>XMA Comdty</stp>
        <stp>ASK</stp>
        <stp>[AUD_ASSETSWAP_SYNDICATE.0.4.xlsx]ACGB_BONDS!R37C26</stp>
        <tr r="Z37" s="13"/>
      </tp>
      <tp>
        <v>97.3</v>
        <stp/>
        <stp>##V3_BDPV12</stp>
        <stp>XMA Comdty</stp>
        <stp>ASK</stp>
        <stp>[AUD_ASSETSWAP_SYNDICATE.0.4.xlsx]ACGB_BONDS!R34C26</stp>
        <tr r="Z34" s="13"/>
      </tp>
      <tp>
        <v>97.3</v>
        <stp/>
        <stp>##V3_BDPV12</stp>
        <stp>XMA Comdty</stp>
        <stp>ASK</stp>
        <stp>[AUD_ASSETSWAP_SYNDICATE.0.4.xlsx]ACGB_BONDS!R35C26</stp>
        <tr r="Z35" s="13"/>
      </tp>
      <tp>
        <v>97.3</v>
        <stp/>
        <stp>##V3_BDPV12</stp>
        <stp>XMA Comdty</stp>
        <stp>ASK</stp>
        <stp>[AUD_ASSETSWAP_SYNDICATE.0.4.xlsx]ACGB_BONDS!R32C26</stp>
        <tr r="Z32" s="13"/>
      </tp>
      <tp>
        <v>97.3</v>
        <stp/>
        <stp>##V3_BDPV12</stp>
        <stp>XMA Comdty</stp>
        <stp>ASK</stp>
        <stp>[AUD_ASSETSWAP_SYNDICATE.0.4.xlsx]ACGB_BONDS!R33C26</stp>
        <tr r="Z33" s="13"/>
      </tp>
      <tp>
        <v>97.3</v>
        <stp/>
        <stp>##V3_BDPV12</stp>
        <stp>XMA Comdty</stp>
        <stp>ASK</stp>
        <stp>[AUD_ASSETSWAP_SYNDICATE.0.4.xlsx]ACGB_BONDS!R30C26</stp>
        <tr r="Z30" s="13"/>
      </tp>
      <tp>
        <v>97.3</v>
        <stp/>
        <stp>##V3_BDPV12</stp>
        <stp>XMA Comdty</stp>
        <stp>ASK</stp>
        <stp>[AUD_ASSETSWAP_SYNDICATE.0.4.xlsx]ACGB_BONDS!R31C26</stp>
        <tr r="Z31" s="13"/>
      </tp>
      <tp>
        <v>97.3</v>
        <stp/>
        <stp>##V3_BDPV12</stp>
        <stp>XMA Comdty</stp>
        <stp>ASK</stp>
        <stp>[AUD_ASSETSWAP_SYNDICATE.0.4.xlsx]ACGB_BONDS!R38C26</stp>
        <tr r="Z38" s="13"/>
      </tp>
      <tp>
        <v>97.83</v>
        <stp/>
        <stp>##V3_BDPV12</stp>
        <stp>YMA Comdty</stp>
        <stp>ASK</stp>
        <stp>[AUD_ASSETSWAP_SYNDICATE.0.4.xlsx]ACGB_BONDS!R16C26</stp>
        <tr r="Z16" s="13"/>
      </tp>
      <tp>
        <v>97.83</v>
        <stp/>
        <stp>##V3_BDPV12</stp>
        <stp>YMA Comdty</stp>
        <stp>ASK</stp>
        <stp>[AUD_ASSETSWAP_SYNDICATE.0.4.xlsx]ACGB_BONDS!R17C26</stp>
        <tr r="Z17" s="13"/>
      </tp>
      <tp>
        <v>97.83</v>
        <stp/>
        <stp>##V3_BDPV12</stp>
        <stp>YMA Comdty</stp>
        <stp>ASK</stp>
        <stp>[AUD_ASSETSWAP_SYNDICATE.0.4.xlsx]ACGB_BONDS!R14C26</stp>
        <tr r="Z14" s="13"/>
      </tp>
      <tp>
        <v>97.83</v>
        <stp/>
        <stp>##V3_BDPV12</stp>
        <stp>YMA Comdty</stp>
        <stp>ASK</stp>
        <stp>[AUD_ASSETSWAP_SYNDICATE.0.4.xlsx]ACGB_BONDS!R15C26</stp>
        <tr r="Z15" s="13"/>
      </tp>
      <tp>
        <v>97.83</v>
        <stp/>
        <stp>##V3_BDPV12</stp>
        <stp>YMA Comdty</stp>
        <stp>ASK</stp>
        <stp>[AUD_ASSETSWAP_SYNDICATE.0.4.xlsx]ACGB_BONDS!R12C26</stp>
        <tr r="Z12" s="13"/>
      </tp>
      <tp>
        <v>97.83</v>
        <stp/>
        <stp>##V3_BDPV12</stp>
        <stp>YMA Comdty</stp>
        <stp>ASK</stp>
        <stp>[AUD_ASSETSWAP_SYNDICATE.0.4.xlsx]ACGB_BONDS!R13C26</stp>
        <tr r="Z13" s="13"/>
      </tp>
      <tp>
        <v>97.83</v>
        <stp/>
        <stp>##V3_BDPV12</stp>
        <stp>YMA Comdty</stp>
        <stp>ASK</stp>
        <stp>[AUD_ASSETSWAP_SYNDICATE.0.4.xlsx]ACGB_BONDS!R10C26</stp>
        <tr r="Z10" s="13"/>
      </tp>
      <tp>
        <v>97.83</v>
        <stp/>
        <stp>##V3_BDPV12</stp>
        <stp>YMA Comdty</stp>
        <stp>ASK</stp>
        <stp>[AUD_ASSETSWAP_SYNDICATE.0.4.xlsx]ACGB_BONDS!R11C26</stp>
        <tr r="Z11" s="13"/>
      </tp>
      <tp>
        <v>13.125</v>
        <stp/>
        <stp>##V3_BDPV12</stp>
        <stp>ADBBCF8 IAUS Curncy</stp>
        <stp>PX_MID</stp>
        <stp>[AUD_ASSETSWAP_SYNDICATE.0.4.xlsx]AUD CURVE TICKERS!R52C43</stp>
        <tr r="AQ52" s="9"/>
      </tp>
      <tp>
        <v>41.75</v>
        <stp/>
        <stp>##V3_BDPV12</stp>
        <stp>ADBBCO8 IAUS Curncy</stp>
        <stp>PX_MID</stp>
        <stp>[AUD_ASSETSWAP_SYNDICATE.0.4.xlsx]AUD CURVE TICKERS!R22C20</stp>
        <tr r="T22" s="9"/>
      </tp>
      <tp>
        <v>1.5</v>
        <stp/>
        <stp>##V3_BDPV12</stp>
        <stp>RBACOR IAUS Index</stp>
        <stp>PX_MID</stp>
        <stp>[AUD_ASSETSWAP_SYNDICATE.0.4.xlsx]AUD CURVE TICKERS!R15C10</stp>
        <tr r="J15" s="9"/>
      </tp>
      <tp>
        <v>13.75</v>
        <stp/>
        <stp>##V3_BDPV12</stp>
        <stp>ADBBCF7 IAUS Curncy</stp>
        <stp>PX_MID</stp>
        <stp>[AUD_ASSETSWAP_SYNDICATE.0.4.xlsx]AUD CURVE TICKERS!R51C43</stp>
        <tr r="AQ51" s="9"/>
      </tp>
      <tp>
        <v>41.75</v>
        <stp/>
        <stp>##V3_BDPV12</stp>
        <stp>ADBBCO7 IAUS Curncy</stp>
        <stp>PX_MID</stp>
        <stp>[AUD_ASSETSWAP_SYNDICATE.0.4.xlsx]AUD CURVE TICKERS!R21C20</stp>
        <tr r="T21" s="9"/>
      </tp>
      <tp>
        <v>14.25</v>
        <stp/>
        <stp>##V3_BDPV12</stp>
        <stp>ADBBCF6 IAUS Curncy</stp>
        <stp>PX_MID</stp>
        <stp>[AUD_ASSETSWAP_SYNDICATE.0.4.xlsx]AUD CURVE TICKERS!R50C43</stp>
        <tr r="AQ50" s="9"/>
      </tp>
      <tp>
        <v>41.625</v>
        <stp/>
        <stp>##V3_BDPV12</stp>
        <stp>ADBBCO6 IAUS Curncy</stp>
        <stp>PX_MID</stp>
        <stp>[AUD_ASSETSWAP_SYNDICATE.0.4.xlsx]AUD CURVE TICKERS!R20C20</stp>
        <tr r="T20" s="9"/>
      </tp>
      <tp t="s">
        <v>ACT/ACT</v>
        <stp/>
        <stp>##V3_BDPV12</stp>
        <stp>GG728188 Corp</stp>
        <stp>DAY_CNT_DES</stp>
        <stp>[AUD_ASSETSWAP_SYNDICATE.0.4.xlsx]ACGB_BONDS!R9C12</stp>
        <tr r="L9" s="13"/>
      </tp>
      <tp>
        <v>4.5</v>
        <stp/>
        <stp>##V3_BDPV12</stp>
        <stp>EH807646 Corp</stp>
        <stp>CPN</stp>
        <stp>[AUD_ASSETSWAP_SYNDICATE.0.4.xlsx]ACGB_BONDS!R8C10</stp>
        <tr r="J8" s="13"/>
      </tp>
      <tp>
        <v>0.37519999999999998</v>
        <stp/>
        <stp>##V3_BDPV12</stp>
        <stp>GG728188 Corp</stp>
        <stp>YLD_YTM_ASK</stp>
        <stp>[AUD_ASSETSWAP_SYNDICATE.0.4.xlsx]ACGB_BONDS!R9C17</stp>
        <tr r="Q9" s="13"/>
      </tp>
      <tp>
        <v>14.75</v>
        <stp/>
        <stp>##V3_BDPV12</stp>
        <stp>ADBBCF5 IAUS Curncy</stp>
        <stp>PX_MID</stp>
        <stp>[AUD_ASSETSWAP_SYNDICATE.0.4.xlsx]AUD CURVE TICKERS!R49C43</stp>
        <tr r="AQ49" s="9"/>
      </tp>
      <tp>
        <v>41.5</v>
        <stp/>
        <stp>##V3_BDPV12</stp>
        <stp>ADBBCO5 IAUS Curncy</stp>
        <stp>PX_MID</stp>
        <stp>[AUD_ASSETSWAP_SYNDICATE.0.4.xlsx]AUD CURVE TICKERS!R19C20</stp>
        <tr r="T19" s="9"/>
      </tp>
      <tp t="s">
        <v>17/07/2018</v>
        <stp/>
        <stp>##V3_BDPV12</stp>
        <stp>AU3CB0250215 Corp</stp>
        <stp>PREV_CPN_DT</stp>
        <stp>[AUD_ASSETSWAP_SYNDICATE.0.4.xlsx]TAP AUD ASW!R34C6</stp>
        <tr r="F34" s="11"/>
      </tp>
      <tp>
        <v>42.25</v>
        <stp/>
        <stp>##V3_BDPV12</stp>
        <stp>ADBBCO20 IAUS Curncy</stp>
        <stp>PX_MID</stp>
        <stp>[AUD_ASSETSWAP_SYNDICATE.0.4.xlsx]AUD CURVE TICKERS!R26C20</stp>
        <tr r="T26" s="9"/>
      </tp>
      <tp>
        <v>41.625</v>
        <stp/>
        <stp>##V3_BDPV12</stp>
        <stp>ADBBCO10 IAUS Curncy</stp>
        <stp>PX_MID</stp>
        <stp>[AUD_ASSETSWAP_SYNDICATE.0.4.xlsx]AUD CURVE TICKERS!R24C20</stp>
        <tr r="T24" s="9"/>
      </tp>
      <tp>
        <v>43</v>
        <stp/>
        <stp>##V3_BDPV12</stp>
        <stp>ADBBCO30 IAUS Curncy</stp>
        <stp>PX_MID</stp>
        <stp>[AUD_ASSETSWAP_SYNDICATE.0.4.xlsx]AUD CURVE TICKERS!R28C20</stp>
        <tr r="T28" s="9"/>
      </tp>
      <tp>
        <v>10.375</v>
        <stp/>
        <stp>##V3_BDPV12</stp>
        <stp>ADBBCF20 IAUS Curncy</stp>
        <stp>PX_MID</stp>
        <stp>[AUD_ASSETSWAP_SYNDICATE.0.4.xlsx]AUD CURVE TICKERS!R56C43</stp>
        <tr r="AQ56" s="9"/>
      </tp>
      <tp>
        <v>12</v>
        <stp/>
        <stp>##V3_BDPV12</stp>
        <stp>ADBBCF10 IAUS Curncy</stp>
        <stp>PX_MID</stp>
        <stp>[AUD_ASSETSWAP_SYNDICATE.0.4.xlsx]AUD CURVE TICKERS!R54C43</stp>
        <tr r="AQ54" s="9"/>
      </tp>
      <tp>
        <v>10.625</v>
        <stp/>
        <stp>##V3_BDPV12</stp>
        <stp>ADBBCF30 IAUS Curncy</stp>
        <stp>PX_MID</stp>
        <stp>[AUD_ASSETSWAP_SYNDICATE.0.4.xlsx]AUD CURVE TICKERS!R58C43</stp>
        <tr r="AQ58" s="9"/>
      </tp>
      <tp>
        <v>15</v>
        <stp/>
        <stp>##V3_BDPV12</stp>
        <stp>ADBBCF4 IAUS Curncy</stp>
        <stp>PX_MID</stp>
        <stp>[AUD_ASSETSWAP_SYNDICATE.0.4.xlsx]AUD CURVE TICKERS!R48C43</stp>
        <tr r="AQ48" s="9"/>
      </tp>
      <tp>
        <v>41.5</v>
        <stp/>
        <stp>##V3_BDPV12</stp>
        <stp>ADBBCO4 IAUS Curncy</stp>
        <stp>PX_MID</stp>
        <stp>[AUD_ASSETSWAP_SYNDICATE.0.4.xlsx]AUD CURVE TICKERS!R18C20</stp>
        <tr r="T18" s="9"/>
      </tp>
      <tp t="s">
        <v>20/08/1996</v>
        <stp/>
        <stp>##V3_BDPV12</stp>
        <stp>GG728188 Corp</stp>
        <stp>START_ACC_DT</stp>
        <stp>[AUD_ASSETSWAP_SYNDICATE.0.4.xlsx]ACGB_BONDS!R9C6</stp>
        <tr r="F9" s="13"/>
      </tp>
      <tp>
        <v>15.125</v>
        <stp/>
        <stp>##V3_BDPV12</stp>
        <stp>ADBBCF3 IAUS Curncy</stp>
        <stp>PX_MID</stp>
        <stp>[AUD_ASSETSWAP_SYNDICATE.0.4.xlsx]AUD CURVE TICKERS!R47C43</stp>
        <tr r="AQ47" s="9"/>
      </tp>
      <tp>
        <v>41.5</v>
        <stp/>
        <stp>##V3_BDPV12</stp>
        <stp>ADBBCO3 IAUS Curncy</stp>
        <stp>PX_MID</stp>
        <stp>[AUD_ASSETSWAP_SYNDICATE.0.4.xlsx]AUD CURVE TICKERS!R17C20</stp>
        <tr r="T17" s="9"/>
      </tp>
      <tp>
        <v>15.625</v>
        <stp/>
        <stp>##V3_BDPV12</stp>
        <stp>ADBBCF2 IAUS Curncy</stp>
        <stp>PX_MID</stp>
        <stp>[AUD_ASSETSWAP_SYNDICATE.0.4.xlsx]AUD CURVE TICKERS!R46C43</stp>
        <tr r="AQ46" s="9"/>
      </tp>
      <tp>
        <v>42.25</v>
        <stp/>
        <stp>##V3_BDPV12</stp>
        <stp>ADBBCO2 IAUS Curncy</stp>
        <stp>PX_MID</stp>
        <stp>[AUD_ASSETSWAP_SYNDICATE.0.4.xlsx]AUD CURVE TICKERS!R16C20</stp>
        <tr r="T16" s="9"/>
      </tp>
      <tp>
        <v>42</v>
        <stp/>
        <stp>##V3_BDPV12</stp>
        <stp>ADBBCO15 IAUS Curncy</stp>
        <stp>PX_MID</stp>
        <stp>[AUD_ASSETSWAP_SYNDICATE.0.4.xlsx]AUD CURVE TICKERS!R25C20</stp>
        <tr r="T25" s="9"/>
      </tp>
      <tp>
        <v>42.625</v>
        <stp/>
        <stp>##V3_BDPV12</stp>
        <stp>ADBBCO25 IAUS Curncy</stp>
        <stp>PX_MID</stp>
        <stp>[AUD_ASSETSWAP_SYNDICATE.0.4.xlsx]AUD CURVE TICKERS!R27C20</stp>
        <tr r="T27" s="9"/>
      </tp>
      <tp>
        <v>98.025000000000006</v>
        <stp/>
        <stp>##V3_BDPV12</stp>
        <stp>IR1   Comdty</stp>
        <stp>PX_MID</stp>
        <stp>[AUD_ASSETSWAP_SYNDICATE.0.4.xlsx]AUD CURVE TICKERS!R45C20</stp>
        <tr r="T45" s="9"/>
      </tp>
      <tp>
        <v>98.045000000000002</v>
        <stp/>
        <stp>##V3_BDPV12</stp>
        <stp>IR2   Comdty</stp>
        <stp>PX_MID</stp>
        <stp>[AUD_ASSETSWAP_SYNDICATE.0.4.xlsx]AUD CURVE TICKERS!R46C20</stp>
        <tr r="T46" s="9"/>
      </tp>
      <tp>
        <v>98.004999999999995</v>
        <stp/>
        <stp>##V3_BDPV12</stp>
        <stp>IR3   Comdty</stp>
        <stp>PX_MID</stp>
        <stp>[AUD_ASSETSWAP_SYNDICATE.0.4.xlsx]AUD CURVE TICKERS!R47C20</stp>
        <tr r="T47" s="9"/>
      </tp>
      <tp>
        <v>97.935000000000002</v>
        <stp/>
        <stp>##V3_BDPV12</stp>
        <stp>IR4   Comdty</stp>
        <stp>PX_MID</stp>
        <stp>[AUD_ASSETSWAP_SYNDICATE.0.4.xlsx]AUD CURVE TICKERS!R48C20</stp>
        <tr r="T48" s="9"/>
      </tp>
      <tp>
        <v>97.875</v>
        <stp/>
        <stp>##V3_BDPV12</stp>
        <stp>IR5   Comdty</stp>
        <stp>PX_MID</stp>
        <stp>[AUD_ASSETSWAP_SYNDICATE.0.4.xlsx]AUD CURVE TICKERS!R49C20</stp>
        <tr r="T49" s="9"/>
      </tp>
      <tp>
        <v>97.814999999999998</v>
        <stp/>
        <stp>##V3_BDPV12</stp>
        <stp>IR6   Comdty</stp>
        <stp>PX_MID</stp>
        <stp>[AUD_ASSETSWAP_SYNDICATE.0.4.xlsx]AUD CURVE TICKERS!R50C20</stp>
        <tr r="T50" s="9"/>
      </tp>
      <tp>
        <v>10.5</v>
        <stp/>
        <stp>##V3_BDPV12</stp>
        <stp>ADBBCF15 IAUS Curncy</stp>
        <stp>PX_MID</stp>
        <stp>[AUD_ASSETSWAP_SYNDICATE.0.4.xlsx]AUD CURVE TICKERS!R55C43</stp>
        <tr r="AQ55" s="9"/>
      </tp>
      <tp>
        <v>10.625</v>
        <stp/>
        <stp>##V3_BDPV12</stp>
        <stp>ADBBCF25 IAUS Curncy</stp>
        <stp>PX_MID</stp>
        <stp>[AUD_ASSETSWAP_SYNDICATE.0.4.xlsx]AUD CURVE TICKERS!R57C43</stp>
        <tr r="AQ57" s="9"/>
      </tp>
      <tp>
        <v>16.125</v>
        <stp/>
        <stp>##V3_BDPV12</stp>
        <stp>ADBBCF1 IAUS Curncy</stp>
        <stp>PX_MID</stp>
        <stp>[AUD_ASSETSWAP_SYNDICATE.0.4.xlsx]AUD CURVE TICKERS!R45C43</stp>
        <tr r="AQ45" s="9"/>
      </tp>
      <tp>
        <v>43.5</v>
        <stp/>
        <stp>##V3_BDPV12</stp>
        <stp>ADBBCO1 IAUS Curncy</stp>
        <stp>PX_MID</stp>
        <stp>[AUD_ASSETSWAP_SYNDICATE.0.4.xlsx]AUD CURVE TICKERS!R15C20</stp>
        <tr r="T15" s="9"/>
      </tp>
      <tp t="s">
        <v>20/05/2020</v>
        <stp/>
        <stp>##V3_BDPV12</stp>
        <stp>GG728188 Corp</stp>
        <stp>PENULTIMATE_CPN_DT</stp>
        <stp>[AUD_ASSETSWAP_SYNDICATE.0.4.xlsx]ACGB_BONDS!R9C9</stp>
        <tr r="I9" s="13"/>
      </tp>
      <tp>
        <v>25.75</v>
        <stp/>
        <stp>##V3_BDPV12</stp>
        <stp>ADSF4 IAUS Curncy</stp>
        <stp>Bid</stp>
        <stp>[AUD_ASSETSWAP_SYNDICATE.0.4.xlsx]SYNDICATE AUD IRS!R16C7</stp>
        <tr r="G16" s="8"/>
      </tp>
      <tp>
        <v>34.875</v>
        <stp/>
        <stp>##V3_BDPV12</stp>
        <stp>ADSF5 IAUS Curncy</stp>
        <stp>Bid</stp>
        <stp>[AUD_ASSETSWAP_SYNDICATE.0.4.xlsx]SYNDICATE AUD IRS!R17C7</stp>
        <tr r="G17" s="8"/>
      </tp>
    </main>
    <main first="bloomberg.rtd">
      <tp t="s">
        <v>21/11/2017</v>
        <stp/>
        <stp>##V3_BDPV12</stp>
        <stp>AQ762933 Corp</stp>
        <stp>START_ACC_DT</stp>
        <stp>[AUD_ASSETSWAP_SYNDICATE.0.4.xlsx]ACGB_BONDS!R27C6</stp>
        <tr r="F27" s="13"/>
      </tp>
      <tp t="s">
        <v>21/04/2012</v>
        <stp/>
        <stp>##V3_BDPV12</stp>
        <stp>EJ244569 Corp</stp>
        <stp>START_ACC_DT</stp>
        <stp>[AUD_ASSETSWAP_SYNDICATE.0.4.xlsx]ACGB_BONDS!R17C6</stp>
        <tr r="F17" s="13"/>
      </tp>
      <tp>
        <v>2.75</v>
        <stp/>
        <stp>##V3_BDPV12</stp>
        <stp>EJ244569 Corp</stp>
        <stp>CPN</stp>
        <stp>[AUD_ASSETSWAP_SYNDICATE.0.4.xlsx]ACGB_BONDS!R17C10</stp>
        <tr r="J17" s="13"/>
      </tp>
      <tp>
        <v>1</v>
        <stp/>
        <stp>##V3_BDPV12</stp>
        <stp>AU555712 Corp</stp>
        <stp>CPN</stp>
        <stp>[AUD_ASSETSWAP_SYNDICATE.0.4.xlsx]ACGB_BONDS!R38C10</stp>
        <tr r="J38" s="13"/>
      </tp>
      <tp>
        <v>2.75</v>
        <stp/>
        <stp>##V3_BDPV12</stp>
        <stp>AQ762933 Corp</stp>
        <stp>CPN</stp>
        <stp>[AUD_ASSETSWAP_SYNDICATE.0.4.xlsx]ACGB_BONDS!R27C10</stp>
        <tr r="J27" s="13"/>
      </tp>
      <tp>
        <v>2.67298092105769</v>
        <stp/>
        <stp>##V3_BDPV12</stp>
        <stp>LW020767 Corp</stp>
        <stp>YLD_YTM_ASK</stp>
        <stp>[AUD_ASSETSWAP_SYNDICATE.0.4.xlsx]ACGB_BONDS!R24C17</stp>
        <tr r="Q24" s="13"/>
      </tp>
      <tp t="s">
        <v>ACT/ACT</v>
        <stp/>
        <stp>##V3_BDPV12</stp>
        <stp>AQ762933 Corp</stp>
        <stp>DAY_CNT_DES</stp>
        <stp>[AUD_ASSETSWAP_SYNDICATE.0.4.xlsx]ACGB_BONDS!R27C12</stp>
        <tr r="L27" s="13"/>
      </tp>
      <tp t="s">
        <v>ACT/ACT</v>
        <stp/>
        <stp>##V3_BDPV12</stp>
        <stp>AU555712 Corp</stp>
        <stp>DAY_CNT_DES</stp>
        <stp>[AUD_ASSETSWAP_SYNDICATE.0.4.xlsx]ACGB_BONDS!R38C12</stp>
        <tr r="L38" s="13"/>
      </tp>
      <tp>
        <v>1.5</v>
        <stp/>
        <stp>##V3_BDPV12</stp>
        <stp>ADSOB IAUS Curncy</stp>
        <stp>PX_MID</stp>
        <stp>[AUD_ASSETSWAP_SYNDICATE.0.4.xlsx]AUD CURVE TICKERS!R18C10</stp>
        <tr r="J18" s="9"/>
      </tp>
      <tp t="s">
        <v>ACT/ACT</v>
        <stp/>
        <stp>##V3_BDPV12</stp>
        <stp>EJ244569 Corp</stp>
        <stp>DAY_CNT_DES</stp>
        <stp>[AUD_ASSETSWAP_SYNDICATE.0.4.xlsx]ACGB_BONDS!R17C12</stp>
        <tr r="L17" s="13"/>
      </tp>
      <tp>
        <v>2.6789962641158298</v>
        <stp/>
        <stp>##V3_BDPV12</stp>
        <stp>EJ393853 Corp</stp>
        <stp>YLD_YTM_ASK</stp>
        <stp>[AUD_ASSETSWAP_SYNDICATE.0.4.xlsx]ACGB_BONDS!R26C17</stp>
        <tr r="Q26" s="13"/>
      </tp>
      <tp t="s">
        <v>08/03/2019</v>
        <stp/>
        <stp>##V3_BDPV12</stp>
        <stp>IR2   Comdty</stp>
        <stp>INT_RATE_FUT_START_DT</stp>
        <stp>[AUD_ASSETSWAP_SYNDICATE.0.4.xlsx]AUD CURVE TICKERS!R46C22</stp>
        <tr r="V46" s="9"/>
      </tp>
      <tp t="s">
        <v>CLEAN</v>
        <stp/>
        <stp>##V3_BDPV12</stp>
        <stp>LW020767 Corp</stp>
        <stp>PX_DIRTY_CLEAN</stp>
        <stp>[AUD_ASSETSWAP_SYNDICATE.0.4.xlsx]ACGB_BONDS!R24C14</stp>
        <tr r="N24" s="13"/>
      </tp>
      <tp t="s">
        <v>21/11/2015</v>
        <stp/>
        <stp>##V3_BDPV12</stp>
        <stp>LW020767 Corp</stp>
        <stp>START_ACC_DT</stp>
        <stp>[AUD_ASSETSWAP_SYNDICATE.0.4.xlsx]ACGB_BONDS!R24C6</stp>
        <tr r="F24" s="13"/>
      </tp>
      <tp>
        <v>2.75</v>
        <stp/>
        <stp>##V3_BDPV12</stp>
        <stp>JV319866 Corp</stp>
        <stp>CPN</stp>
        <stp>[AUD_ASSETSWAP_SYNDICATE.0.4.xlsx]ACGB_BONDS!R23C10</stp>
        <tr r="J23" s="13"/>
      </tp>
      <tp>
        <v>3.25</v>
        <stp/>
        <stp>##V3_BDPV12</stp>
        <stp>EJ679130 Corp</stp>
        <stp>CPN</stp>
        <stp>[AUD_ASSETSWAP_SYNDICATE.0.4.xlsx]ACGB_BONDS!R18C10</stp>
        <tr r="J18" s="13"/>
      </tp>
      <tp>
        <v>2.5</v>
        <stp/>
        <stp>##V3_BDPV12</stp>
        <stp>EI405114 Corp</stp>
        <stp>CPN</stp>
        <stp>[AUD_ASSETSWAP_SYNDICATE.0.4.xlsx]ACGB_BONDS!R29C10</stp>
        <tr r="J29" s="13"/>
      </tp>
      <tp t="s">
        <v>ACT/ACT</v>
        <stp/>
        <stp>##V3_BDPV12</stp>
        <stp>EI405114 Corp</stp>
        <stp>DAY_CNT_DES</stp>
        <stp>[AUD_ASSETSWAP_SYNDICATE.0.4.xlsx]ACGB_BONDS!R29C12</stp>
        <tr r="L29" s="13"/>
      </tp>
      <tp t="s">
        <v>ACT/ACT</v>
        <stp/>
        <stp>##V3_BDPV12</stp>
        <stp>JV319866 Corp</stp>
        <stp>DAY_CNT_DES</stp>
        <stp>[AUD_ASSETSWAP_SYNDICATE.0.4.xlsx]ACGB_BONDS!R23C12</stp>
        <tr r="L23" s="13"/>
      </tp>
      <tp t="s">
        <v>ACT/ACT</v>
        <stp/>
        <stp>##V3_BDPV12</stp>
        <stp>EJ679130 Corp</stp>
        <stp>DAY_CNT_DES</stp>
        <stp>[AUD_ASSETSWAP_SYNDICATE.0.4.xlsx]ACGB_BONDS!R18C12</stp>
        <tr r="L18" s="13"/>
      </tp>
      <tp>
        <v>2.5390305991583371</v>
        <stp/>
        <stp>##V3_BDPV12</stp>
        <stp>EK115060 Corp</stp>
        <stp>YLD_YTM_ASK</stp>
        <stp>[AUD_ASSETSWAP_SYNDICATE.0.4.xlsx]ACGB_BONDS!R20C17</stp>
        <tr r="Q20" s="13"/>
      </tp>
      <tp>
        <v>1.5004999999999999</v>
        <stp/>
        <stp>##V3_BDPV12</stp>
        <stp>ADSOC IAUS Curncy</stp>
        <stp>PX_MID</stp>
        <stp>[AUD_ASSETSWAP_SYNDICATE.0.4.xlsx]AUD CURVE TICKERS!R19C10</stp>
        <tr r="J19" s="9"/>
      </tp>
      <tp>
        <v>2.1356419196322602</v>
        <stp/>
        <stp>##V3_BDPV12</stp>
        <stp>AM152866 Corp</stp>
        <stp>YLD_YTM_ASK</stp>
        <stp>[AUD_ASSETSWAP_SYNDICATE.0.4.xlsx]ACGB_BONDS!R12C17</stp>
        <tr r="Q12" s="13"/>
      </tp>
      <tp t="s">
        <v>14/06/2019</v>
        <stp/>
        <stp>##V3_BDPV12</stp>
        <stp>IR3   Comdty</stp>
        <stp>INT_RATE_FUT_START_DT</stp>
        <stp>[AUD_ASSETSWAP_SYNDICATE.0.4.xlsx]AUD CURVE TICKERS!R47C22</stp>
        <tr r="V47" s="9"/>
      </tp>
      <tp t="s">
        <v>AU3TB0000143</v>
        <stp/>
        <stp>##V3_BDPV12</stp>
        <stp>EJ244569 Corp</stp>
        <stp>ID_ISIN</stp>
        <stp>[AUD_ASSETSWAP_SYNDICATE.0.4.xlsx]ACGB_BONDS!R17C4</stp>
        <tr r="D17" s="13"/>
      </tp>
      <tp t="s">
        <v>CLEAN</v>
        <stp/>
        <stp>##V3_BDPV12</stp>
        <stp>QZ542945 Corp</stp>
        <stp>PX_DIRTY_CLEAN</stp>
        <stp>[AUD_ASSETSWAP_SYNDICATE.0.4.xlsx]ACGB_BONDS!R37C14</stp>
        <tr r="N37" s="13"/>
      </tp>
      <tp t="s">
        <v>21/02/2012</v>
        <stp/>
        <stp>##V3_BDPV12</stp>
        <stp>EJ036821 Corp</stp>
        <stp>START_ACC_DT</stp>
        <stp>[AUD_ASSETSWAP_SYNDICATE.0.4.xlsx]ACGB_BONDS!R13C6</stp>
        <tr r="F13" s="13"/>
      </tp>
      <tp t="s">
        <v>21/10/2014</v>
        <stp/>
        <stp>##V3_BDPV12</stp>
        <stp>EK544675 Corp</stp>
        <stp>START_ACC_DT</stp>
        <stp>[AUD_ASSETSWAP_SYNDICATE.0.4.xlsx]ACGB_BONDS!R33C6</stp>
        <tr r="F33" s="13"/>
      </tp>
      <tp t="s">
        <v>20/09/2009</v>
        <stp/>
        <stp>##V3_BDPV12</stp>
        <stp>EH994413 Corp</stp>
        <stp>START_ACC_DT</stp>
        <stp>[AUD_ASSETSWAP_SYNDICATE.0.4.xlsx]ACGB_BONDS!R19C6</stp>
        <tr r="F19" s="13"/>
      </tp>
      <tp>
        <v>3.25</v>
        <stp/>
        <stp>##V3_BDPV12</stp>
        <stp>EJ393853 Corp</stp>
        <stp>CPN</stp>
        <stp>[AUD_ASSETSWAP_SYNDICATE.0.4.xlsx]ACGB_BONDS!R26C10</stp>
        <tr r="J26" s="13"/>
      </tp>
      <tp>
        <v>2.25</v>
        <stp/>
        <stp>##V3_BDPV12</stp>
        <stp>LW020767 Corp</stp>
        <stp>CPN</stp>
        <stp>[AUD_ASSETSWAP_SYNDICATE.0.4.xlsx]ACGB_BONDS!R24C10</stp>
        <tr r="J24" s="13"/>
      </tp>
      <tp>
        <v>2.6903930982244586</v>
        <stp/>
        <stp>##V3_BDPV12</stp>
        <stp>AQ762933 Corp</stp>
        <stp>YLD_YTM_ASK</stp>
        <stp>[AUD_ASSETSWAP_SYNDICATE.0.4.xlsx]ACGB_BONDS!R27C17</stp>
        <tr r="Q27" s="13"/>
      </tp>
      <tp t="s">
        <v>ACT/ACT</v>
        <stp/>
        <stp>##V3_BDPV12</stp>
        <stp>LW020767 Corp</stp>
        <stp>DAY_CNT_DES</stp>
        <stp>[AUD_ASSETSWAP_SYNDICATE.0.4.xlsx]ACGB_BONDS!R24C12</stp>
        <tr r="L24" s="13"/>
      </tp>
      <tp>
        <v>1.0912999999999999</v>
        <stp/>
        <stp>##V3_BDPV12</stp>
        <stp>AU555712 Corp</stp>
        <stp>YLD_YTM_ASK</stp>
        <stp>[AUD_ASSETSWAP_SYNDICATE.0.4.xlsx]ACGB_BONDS!R38C17</stp>
        <tr r="Q38" s="13"/>
      </tp>
      <tp>
        <v>2.3770212776756847</v>
        <stp/>
        <stp>##V3_BDPV12</stp>
        <stp>EJ244569 Corp</stp>
        <stp>YLD_YTM_ASK</stp>
        <stp>[AUD_ASSETSWAP_SYNDICATE.0.4.xlsx]ACGB_BONDS!R17C17</stp>
        <tr r="Q17" s="13"/>
      </tp>
      <tp t="s">
        <v>ACT/ACT</v>
        <stp/>
        <stp>##V3_BDPV12</stp>
        <stp>EJ393853 Corp</stp>
        <stp>DAY_CNT_DES</stp>
        <stp>[AUD_ASSETSWAP_SYNDICATE.0.4.xlsx]ACGB_BONDS!R26C12</stp>
        <tr r="L26" s="13"/>
      </tp>
      <tp t="s">
        <v>AU000XCLWAM0</v>
        <stp/>
        <stp>##V3_BDPV12</stp>
        <stp>EK821167 Corp</stp>
        <stp>ID_ISIN</stp>
        <stp>[AUD_ASSETSWAP_SYNDICATE.0.4.xlsx]ACGB_BONDS!R31C4</stp>
        <tr r="D31" s="13"/>
      </tp>
      <tp t="s">
        <v>AU000XCLWAI8</v>
        <stp/>
        <stp>##V3_BDPV12</stp>
        <stp>EK115060 Corp</stp>
        <stp>ID_ISIN</stp>
        <stp>[AUD_ASSETSWAP_SYNDICATE.0.4.xlsx]ACGB_BONDS!R20C4</stp>
        <tr r="D20" s="13"/>
      </tp>
      <tp>
        <v>-4.625</v>
        <stp/>
        <stp>##V3_BDPV12</stp>
        <stp>ADSF6 IAUS Curncy</stp>
        <stp>Ask</stp>
        <stp>[AUD_ASSETSWAP_SYNDICATE.0.4.xlsx]SYNDICATE AUD IRS!R18C8</stp>
        <tr r="H18" s="8"/>
      </tp>
      <tp>
        <v>3</v>
        <stp/>
        <stp>##V3_BDPV12</stp>
        <stp>ADSF7 IAUS Curncy</stp>
        <stp>Ask</stp>
        <stp>[AUD_ASSETSWAP_SYNDICATE.0.4.xlsx]SYNDICATE AUD IRS!R19C8</stp>
        <tr r="H19" s="8"/>
      </tp>
      <tp t="s">
        <v>CLEAN</v>
        <stp/>
        <stp>##V3_BDPV12</stp>
        <stp>AP364296 Corp</stp>
        <stp>PX_DIRTY_CLEAN</stp>
        <stp>[AUD_ASSETSWAP_SYNDICATE.0.4.xlsx]ACGB_BONDS!R15C14</stp>
        <tr r="N15" s="13"/>
      </tp>
      <tp t="s">
        <v>CLEAN</v>
        <stp/>
        <stp>##V3_BDPV12</stp>
        <stp>AU555712 Corp</stp>
        <stp>PX_DIRTY_CLEAN</stp>
        <stp>[AUD_ASSETSWAP_SYNDICATE.0.4.xlsx]ACGB_BONDS!R38C14</stp>
        <tr r="N38" s="13"/>
      </tp>
      <tp t="s">
        <v>21/10/2012</v>
        <stp/>
        <stp>##V3_BDPV12</stp>
        <stp>EJ393853 Corp</stp>
        <stp>START_ACC_DT</stp>
        <stp>[AUD_ASSETSWAP_SYNDICATE.0.4.xlsx]ACGB_BONDS!R26C6</stp>
        <tr r="F26" s="13"/>
      </tp>
      <tp>
        <v>2</v>
        <stp/>
        <stp>##V3_BDPV12</stp>
        <stp>AM152866 Corp</stp>
        <stp>CPN</stp>
        <stp>[AUD_ASSETSWAP_SYNDICATE.0.4.xlsx]ACGB_BONDS!R12C10</stp>
        <tr r="J12" s="13"/>
      </tp>
      <tp>
        <v>4.25</v>
        <stp/>
        <stp>##V3_BDPV12</stp>
        <stp>EK115060 Corp</stp>
        <stp>CPN</stp>
        <stp>[AUD_ASSETSWAP_SYNDICATE.0.4.xlsx]ACGB_BONDS!R20C10</stp>
        <tr r="J20" s="13"/>
      </tp>
      <tp>
        <v>0.81410000000000005</v>
        <stp/>
        <stp>##V3_BDPV12</stp>
        <stp>EI405114 Corp</stp>
        <stp>YLD_YTM_ASK</stp>
        <stp>[AUD_ASSETSWAP_SYNDICATE.0.4.xlsx]ACGB_BONDS!R29C17</stp>
        <tr r="Q29" s="13"/>
      </tp>
      <tp>
        <v>2.4659450366330846</v>
        <stp/>
        <stp>##V3_BDPV12</stp>
        <stp>EJ679130 Corp</stp>
        <stp>YLD_YTM_ASK</stp>
        <stp>[AUD_ASSETSWAP_SYNDICATE.0.4.xlsx]ACGB_BONDS!R18C17</stp>
        <tr r="Q18" s="13"/>
      </tp>
      <tp>
        <v>2.6489813249676488</v>
        <stp/>
        <stp>##V3_BDPV12</stp>
        <stp>JV319866 Corp</stp>
        <stp>YLD_YTM_ASK</stp>
        <stp>[AUD_ASSETSWAP_SYNDICATE.0.4.xlsx]ACGB_BONDS!R23C17</stp>
        <tr r="Q23" s="13"/>
      </tp>
      <tp>
        <v>1.5</v>
        <stp/>
        <stp>##V3_BDPV12</stp>
        <stp>ADSOA IAUS Curncy</stp>
        <stp>PX_MID</stp>
        <stp>[AUD_ASSETSWAP_SYNDICATE.0.4.xlsx]AUD CURVE TICKERS!R17C10</stp>
        <tr r="J17" s="9"/>
      </tp>
      <tp t="s">
        <v>ACT/ACT</v>
        <stp/>
        <stp>##V3_BDPV12</stp>
        <stp>EK115060 Corp</stp>
        <stp>DAY_CNT_DES</stp>
        <stp>[AUD_ASSETSWAP_SYNDICATE.0.4.xlsx]ACGB_BONDS!R20C12</stp>
        <tr r="L20" s="13"/>
      </tp>
      <tp t="s">
        <v>ACT/ACT</v>
        <stp/>
        <stp>##V3_BDPV12</stp>
        <stp>AM152866 Corp</stp>
        <stp>DAY_CNT_DES</stp>
        <stp>[AUD_ASSETSWAP_SYNDICATE.0.4.xlsx]ACGB_BONDS!R12C12</stp>
        <tr r="L12" s="13"/>
      </tp>
      <tp t="s">
        <v>14/12/2018</v>
        <stp/>
        <stp>##V3_BDPV12</stp>
        <stp>IR1   Comdty</stp>
        <stp>INT_RATE_FUT_START_DT</stp>
        <stp>[AUD_ASSETSWAP_SYNDICATE.0.4.xlsx]AUD CURVE TICKERS!R45C22</stp>
        <tr r="V45" s="9"/>
      </tp>
      <tp t="s">
        <v>AU3TB0000135</v>
        <stp/>
        <stp>##V3_BDPV12</stp>
        <stp>EI849265 Corp</stp>
        <stp>ID_ISIN</stp>
        <stp>[AUD_ASSETSWAP_SYNDICATE.0.4.xlsx]ACGB_BONDS!R21C4</stp>
        <tr r="D21" s="13"/>
      </tp>
      <tp>
        <v>1.9775</v>
        <stp/>
        <stp>##V3_BDPV12</stp>
        <stp>ADSW1Q IAUS Curncy</stp>
        <stp>PX_MID</stp>
        <stp>[AUD_ASSETSWAP_SYNDICATE.0.4.xlsx]AUD CURVE TICKERS!R45C33</stp>
        <tr r="AG45" s="9"/>
      </tp>
      <tp>
        <v>2.0862500000000002</v>
        <stp/>
        <stp>##V3_BDPV12</stp>
        <stp>ADSW2Q IAUS Curncy</stp>
        <stp>PX_MID</stp>
        <stp>[AUD_ASSETSWAP_SYNDICATE.0.4.xlsx]AUD CURVE TICKERS!R46C33</stp>
        <tr r="AG46" s="9"/>
      </tp>
      <tp>
        <v>2.1887500000000002</v>
        <stp/>
        <stp>##V3_BDPV12</stp>
        <stp>ADSW3Q IAUS Curncy</stp>
        <stp>PX_MID</stp>
        <stp>[AUD_ASSETSWAP_SYNDICATE.0.4.xlsx]AUD CURVE TICKERS!R47C33</stp>
        <tr r="AG47" s="9"/>
      </tp>
      <tp t="s">
        <v>21/10/2013</v>
        <stp/>
        <stp>##V3_BDPV12</stp>
        <stp>EK115060 Corp</stp>
        <stp>START_ACC_DT</stp>
        <stp>[AUD_ASSETSWAP_SYNDICATE.0.4.xlsx]ACGB_BONDS!R20C6</stp>
        <tr r="F20" s="13"/>
      </tp>
      <tp>
        <v>1.25</v>
        <stp/>
        <stp>##V3_BDPV12</stp>
        <stp>UV471848 Corp</stp>
        <stp>CPN</stp>
        <stp>[AUD_ASSETSWAP_SYNDICATE.0.4.xlsx]ACGB_BONDS!R35C10</stp>
        <tr r="J35" s="13"/>
      </tp>
      <tp>
        <v>3.0005117486676252</v>
        <stp/>
        <stp>##V3_BDPV12</stp>
        <stp>EK544675 Corp</stp>
        <stp>YLD_YTM_ASK</stp>
        <stp>[AUD_ASSETSWAP_SYNDICATE.0.4.xlsx]ACGB_BONDS!R33C17</stp>
        <tr r="Q33" s="13"/>
      </tp>
      <tp>
        <v>1.508</v>
        <stp/>
        <stp>##V3_BDPV12</stp>
        <stp>ADSOF IAUS Curncy</stp>
        <stp>PX_MID</stp>
        <stp>[AUD_ASSETSWAP_SYNDICATE.0.4.xlsx]AUD CURVE TICKERS!R22C10</stp>
        <tr r="J22" s="9"/>
      </tp>
      <tp>
        <v>2.2580460280735015</v>
        <stp/>
        <stp>##V3_BDPV12</stp>
        <stp>EI683148 Corp</stp>
        <stp>YLD_YTM_ASK</stp>
        <stp>[AUD_ASSETSWAP_SYNDICATE.0.4.xlsx]ACGB_BONDS!R16C17</stp>
        <tr r="Q16" s="13"/>
      </tp>
      <tp>
        <v>0.46560000000000001</v>
        <stp/>
        <stp>##V3_BDPV12</stp>
        <stp>EJ036821 Corp</stp>
        <stp>YLD_YTM_ASK</stp>
        <stp>[AUD_ASSETSWAP_SYNDICATE.0.4.xlsx]ACGB_BONDS!R13C17</stp>
        <tr r="Q13" s="13"/>
      </tp>
      <tp t="s">
        <v>ACT/ACT</v>
        <stp/>
        <stp>##V3_BDPV12</stp>
        <stp>UV471848 Corp</stp>
        <stp>DAY_CNT_DES</stp>
        <stp>[AUD_ASSETSWAP_SYNDICATE.0.4.xlsx]ACGB_BONDS!R35C12</stp>
        <tr r="L35" s="13"/>
      </tp>
      <tp t="s">
        <v>AU000XCLWAF4</v>
        <stp/>
        <stp>##V3_BDPV12</stp>
        <stp>EJ847557 Corp</stp>
        <stp>ID_ISIN</stp>
        <stp>[AUD_ASSETSWAP_SYNDICATE.0.4.xlsx]ACGB_BONDS!R32C4</stp>
        <tr r="D32" s="13"/>
      </tp>
      <tp t="s">
        <v>13/03/2020</v>
        <stp/>
        <stp>##V3_BDPV12</stp>
        <stp>IR6   Comdty</stp>
        <stp>INT_RATE_FUT_START_DT</stp>
        <stp>[AUD_ASSETSWAP_SYNDICATE.0.4.xlsx]AUD CURVE TICKERS!R50C22</stp>
        <tr r="V50" s="9"/>
      </tp>
      <tp t="s">
        <v>AU000XCLWAG2</v>
        <stp/>
        <stp>##V3_BDPV12</stp>
        <stp>EJ943727 Corp</stp>
        <stp>ID_ISIN</stp>
        <stp>[AUD_ASSETSWAP_SYNDICATE.0.4.xlsx]ACGB_BONDS!R30C4</stp>
        <tr r="D30" s="13"/>
      </tp>
      <tp>
        <v>9.75</v>
        <stp/>
        <stp>##V3_BDPV12</stp>
        <stp>ADSF8 IAUS Curncy</stp>
        <stp>Ask</stp>
        <stp>[AUD_ASSETSWAP_SYNDICATE.0.4.xlsx]SYNDICATE AUD IRS!R20C8</stp>
        <tr r="H20" s="8"/>
      </tp>
      <tp>
        <v>15.625</v>
        <stp/>
        <stp>##V3_BDPV12</stp>
        <stp>ADSF9 IAUS Curncy</stp>
        <stp>Ask</stp>
        <stp>[AUD_ASSETSWAP_SYNDICATE.0.4.xlsx]SYNDICATE AUD IRS!R21C8</stp>
        <tr r="H21" s="8"/>
      </tp>
      <tp t="s">
        <v>21/09/2016</v>
        <stp/>
        <stp>##V3_BDPV12</stp>
        <stp>QZ542945 Corp</stp>
        <stp>START_ACC_DT</stp>
        <stp>[AUD_ASSETSWAP_SYNDICATE.0.4.xlsx]ACGB_BONDS!R37C6</stp>
        <tr r="F37" s="13"/>
      </tp>
      <tp t="s">
        <v>21/11/2015</v>
        <stp/>
        <stp>##V3_BDPV12</stp>
        <stp>JV319866 Corp</stp>
        <stp>START_ACC_DT</stp>
        <stp>[AUD_ASSETSWAP_SYNDICATE.0.4.xlsx]ACGB_BONDS!R23C6</stp>
        <tr r="F23" s="13"/>
      </tp>
      <tp>
        <v>2.75</v>
        <stp/>
        <stp>##V3_BDPV12</stp>
        <stp>AM564740 Corp</stp>
        <stp>CPN</stp>
        <stp>[AUD_ASSETSWAP_SYNDICATE.0.4.xlsx]ACGB_BONDS!R25C10</stp>
        <tr r="J25" s="13"/>
      </tp>
      <tp>
        <v>2.5</v>
        <stp/>
        <stp>##V3_BDPV12</stp>
        <stp>AS904985 Corp</stp>
        <stp>CPN</stp>
        <stp>[AUD_ASSETSWAP_SYNDICATE.0.4.xlsx]ACGB_BONDS!R28C10</stp>
        <tr r="J28" s="13"/>
      </tp>
      <tp>
        <v>3</v>
        <stp/>
        <stp>##V3_BDPV12</stp>
        <stp>QZ542945 Corp</stp>
        <stp>CPN</stp>
        <stp>[AUD_ASSETSWAP_SYNDICATE.0.4.xlsx]ACGB_BONDS!R37C10</stp>
        <tr r="J37" s="13"/>
      </tp>
      <tp t="s">
        <v>ACT/ACT</v>
        <stp/>
        <stp>##V3_BDPV12</stp>
        <stp>AS904985 Corp</stp>
        <stp>DAY_CNT_DES</stp>
        <stp>[AUD_ASSETSWAP_SYNDICATE.0.4.xlsx]ACGB_BONDS!R28C12</stp>
        <tr r="L28" s="13"/>
      </tp>
      <tp t="s">
        <v>ACT/ACT</v>
        <stp/>
        <stp>##V3_BDPV12</stp>
        <stp>AM564740 Corp</stp>
        <stp>DAY_CNT_DES</stp>
        <stp>[AUD_ASSETSWAP_SYNDICATE.0.4.xlsx]ACGB_BONDS!R25C12</stp>
        <tr r="L25" s="13"/>
      </tp>
      <tp t="s">
        <v>ACT/ACT</v>
        <stp/>
        <stp>##V3_BDPV12</stp>
        <stp>QZ542945 Corp</stp>
        <stp>DAY_CNT_DES</stp>
        <stp>[AUD_ASSETSWAP_SYNDICATE.0.4.xlsx]ACGB_BONDS!R37C12</stp>
        <tr r="L37" s="13"/>
      </tp>
      <tp t="s">
        <v>21/12/2016</v>
        <stp/>
        <stp>##V3_BDPV12</stp>
        <stp>AM152866 Corp</stp>
        <stp>START_ACC_DT</stp>
        <stp>[AUD_ASSETSWAP_SYNDICATE.0.4.xlsx]ACGB_BONDS!R12C6</stp>
        <tr r="F12" s="13"/>
      </tp>
      <tp t="s">
        <v>21/05/2015</v>
        <stp/>
        <stp>##V3_BDPV12</stp>
        <stp>UV471848 Corp</stp>
        <stp>START_ACC_DT</stp>
        <stp>[AUD_ASSETSWAP_SYNDICATE.0.4.xlsx]ACGB_BONDS!R35C6</stp>
        <tr r="F35" s="13"/>
      </tp>
      <tp>
        <v>1.25</v>
        <stp/>
        <stp>##V3_BDPV12</stp>
        <stp>EJ036821 Corp</stp>
        <stp>CPN</stp>
        <stp>[AUD_ASSETSWAP_SYNDICATE.0.4.xlsx]ACGB_BONDS!R13C10</stp>
        <tr r="J13" s="13"/>
      </tp>
      <tp>
        <v>5.5</v>
        <stp/>
        <stp>##V3_BDPV12</stp>
        <stp>EI683148 Corp</stp>
        <stp>CPN</stp>
        <stp>[AUD_ASSETSWAP_SYNDICATE.0.4.xlsx]ACGB_BONDS!R16C10</stp>
        <tr r="J16" s="13"/>
      </tp>
      <tp>
        <v>3.75</v>
        <stp/>
        <stp>##V3_BDPV12</stp>
        <stp>EK544675 Corp</stp>
        <stp>CPN</stp>
        <stp>[AUD_ASSETSWAP_SYNDICATE.0.4.xlsx]ACGB_BONDS!R33C10</stp>
        <tr r="J33" s="13"/>
      </tp>
      <tp t="s">
        <v>ACT/ACT</v>
        <stp/>
        <stp>##V3_BDPV12</stp>
        <stp>EI683148 Corp</stp>
        <stp>DAY_CNT_DES</stp>
        <stp>[AUD_ASSETSWAP_SYNDICATE.0.4.xlsx]ACGB_BONDS!R16C12</stp>
        <tr r="L16" s="13"/>
      </tp>
      <tp>
        <v>1.502</v>
        <stp/>
        <stp>##V3_BDPV12</stp>
        <stp>ADSOD IAUS Curncy</stp>
        <stp>PX_MID</stp>
        <stp>[AUD_ASSETSWAP_SYNDICATE.0.4.xlsx]AUD CURVE TICKERS!R20C10</stp>
        <tr r="J20" s="9"/>
      </tp>
      <tp t="s">
        <v>ACT/ACT</v>
        <stp/>
        <stp>##V3_BDPV12</stp>
        <stp>EK544675 Corp</stp>
        <stp>DAY_CNT_DES</stp>
        <stp>[AUD_ASSETSWAP_SYNDICATE.0.4.xlsx]ACGB_BONDS!R33C12</stp>
        <tr r="L33" s="13"/>
      </tp>
      <tp t="s">
        <v>ACT/ACT</v>
        <stp/>
        <stp>##V3_BDPV12</stp>
        <stp>EJ036821 Corp</stp>
        <stp>DAY_CNT_DES</stp>
        <stp>[AUD_ASSETSWAP_SYNDICATE.0.4.xlsx]ACGB_BONDS!R13C12</stp>
        <tr r="L13" s="13"/>
      </tp>
      <tp>
        <v>1.0430999999999999</v>
        <stp/>
        <stp>##V3_BDPV12</stp>
        <stp>UV471848 Corp</stp>
        <stp>YLD_YTM_ASK</stp>
        <stp>[AUD_ASSETSWAP_SYNDICATE.0.4.xlsx]ACGB_BONDS!R35C17</stp>
        <tr r="Q35" s="13"/>
      </tp>
      <tp t="s">
        <v>13/09/2019</v>
        <stp/>
        <stp>##V3_BDPV12</stp>
        <stp>IR4   Comdty</stp>
        <stp>INT_RATE_FUT_START_DT</stp>
        <stp>[AUD_ASSETSWAP_SYNDICATE.0.4.xlsx]AUD CURVE TICKERS!R48C22</stp>
        <tr r="V48" s="9"/>
      </tp>
      <tp t="s">
        <v>AU000XCLWAP3</v>
        <stp/>
        <stp>##V3_BDPV12</stp>
        <stp>QJ152182 Corp</stp>
        <stp>ID_ISIN</stp>
        <stp>[AUD_ASSETSWAP_SYNDICATE.0.4.xlsx]ACGB_BONDS!R34C4</stp>
        <tr r="D34" s="13"/>
      </tp>
      <tp t="s">
        <v>AU3TB0000051</v>
        <stp/>
        <stp>##V3_BDPV12</stp>
        <stp>EI214281 Corp</stp>
        <stp>ID_ISIN</stp>
        <stp>[AUD_ASSETSWAP_SYNDICATE.0.4.xlsx]ACGB_BONDS!R14C4</stp>
        <tr r="D14" s="13"/>
      </tp>
      <tp t="s">
        <v>AU000XCLWAU3</v>
        <stp/>
        <stp>##V3_BDPV12</stp>
        <stp>AM564740 Corp</stp>
        <stp>ID_ISIN</stp>
        <stp>[AUD_ASSETSWAP_SYNDICATE.0.4.xlsx]ACGB_BONDS!R25C4</stp>
        <tr r="D25" s="13"/>
      </tp>
      <tp t="s">
        <v>21/04/2011</v>
        <stp/>
        <stp>##V3_BDPV12</stp>
        <stp>EI683148 Corp</stp>
        <stp>START_ACC_DT</stp>
        <stp>[AUD_ASSETSWAP_SYNDICATE.0.4.xlsx]ACGB_BONDS!R16C6</stp>
        <tr r="F16" s="13"/>
      </tp>
      <tp t="s">
        <v>21/11/2016</v>
        <stp/>
        <stp>##V3_BDPV12</stp>
        <stp>AM564740 Corp</stp>
        <stp>START_ACC_DT</stp>
        <stp>[AUD_ASSETSWAP_SYNDICATE.0.4.xlsx]ACGB_BONDS!R25C6</stp>
        <tr r="F25" s="13"/>
      </tp>
      <tp>
        <v>2.7224511232688791</v>
        <stp/>
        <stp>##V3_BDPV12</stp>
        <stp>AS904985 Corp</stp>
        <stp>YLD_YTM_ASK</stp>
        <stp>[AUD_ASSETSWAP_SYNDICATE.0.4.xlsx]ACGB_BONDS!R28C17</stp>
        <tr r="Q28" s="13"/>
      </tp>
      <tp>
        <v>2.6745420013585535</v>
        <stp/>
        <stp>##V3_BDPV12</stp>
        <stp>AM564740 Corp</stp>
        <stp>YLD_YTM_ASK</stp>
        <stp>[AUD_ASSETSWAP_SYNDICATE.0.4.xlsx]ACGB_BONDS!R25C17</stp>
        <tr r="Q25" s="13"/>
      </tp>
      <tp>
        <v>3.1794809644331301</v>
        <stp/>
        <stp>##V3_BDPV12</stp>
        <stp>QZ542945 Corp</stp>
        <stp>YLD_YTM_ASK</stp>
        <stp>[AUD_ASSETSWAP_SYNDICATE.0.4.xlsx]ACGB_BONDS!R37C17</stp>
        <tr r="Q37" s="13"/>
      </tp>
      <tp>
        <v>1.5037499999999999</v>
        <stp/>
        <stp>##V3_BDPV12</stp>
        <stp>ADSOE IAUS Curncy</stp>
        <stp>PX_MID</stp>
        <stp>[AUD_ASSETSWAP_SYNDICATE.0.4.xlsx]AUD CURVE TICKERS!R21C10</stp>
        <tr r="J21" s="9"/>
      </tp>
      <tp t="s">
        <v>AU000XCLWAN8</v>
        <stp/>
        <stp>##V3_BDPV12</stp>
        <stp>EK841545 Corp</stp>
        <stp>ID_ISIN</stp>
        <stp>[AUD_ASSETSWAP_SYNDICATE.0.4.xlsx]ACGB_BONDS!R10C4</stp>
        <tr r="D10" s="13"/>
      </tp>
      <tp t="s">
        <v>13/12/2019</v>
        <stp/>
        <stp>##V3_BDPV12</stp>
        <stp>IR5   Comdty</stp>
        <stp>INT_RATE_FUT_START_DT</stp>
        <stp>[AUD_ASSETSWAP_SYNDICATE.0.4.xlsx]AUD CURVE TICKERS!R49C22</stp>
        <tr r="V49" s="9"/>
      </tp>
      <tp t="s">
        <v>AU3TB0000101</v>
        <stp/>
        <stp>##V3_BDPV12</stp>
        <stp>EI683148 Corp</stp>
        <stp>ID_ISIN</stp>
        <stp>[AUD_ASSETSWAP_SYNDICATE.0.4.xlsx]ACGB_BONDS!R16C4</stp>
        <tr r="D16" s="13"/>
      </tp>
      <tp t="s">
        <v>AU3TB0000192</v>
        <stp/>
        <stp>##V3_BDPV12</stp>
        <stp>EK544675 Corp</stp>
        <stp>ID_ISIN</stp>
        <stp>[AUD_ASSETSWAP_SYNDICATE.0.4.xlsx]ACGB_BONDS!R33C4</stp>
        <tr r="D33" s="13"/>
      </tp>
      <tp t="s">
        <v>21/10/2013</v>
        <stp/>
        <stp>##V3_BDPV12</stp>
        <stp>EJ943727 Corp</stp>
        <stp>START_ACC_DT</stp>
        <stp>[AUD_ASSETSWAP_SYNDICATE.0.4.xlsx]ACGB_BONDS!R30C6</stp>
        <tr r="F30" s="13"/>
      </tp>
      <tp t="s">
        <v>21/05/2018</v>
        <stp/>
        <stp>##V3_BDPV12</stp>
        <stp>AT496992 Corp</stp>
        <stp>START_ACC_DT</stp>
        <stp>[AUD_ASSETSWAP_SYNDICATE.0.4.xlsx]ACGB_BONDS!R36C6</stp>
        <tr r="F36" s="13"/>
      </tp>
      <tp>
        <v>1.75</v>
        <stp/>
        <stp>##V3_BDPV12</stp>
        <stp>EK841545 Corp</stp>
        <stp>CPN</stp>
        <stp>[AUD_ASSETSWAP_SYNDICATE.0.4.xlsx]ACGB_BONDS!R10C10</stp>
        <tr r="J10" s="13"/>
      </tp>
      <tp>
        <v>2.9484733397395804</v>
        <stp/>
        <stp>##V3_BDPV12</stp>
        <stp>EK821167 Corp</stp>
        <stp>YLD_YTM_ASK</stp>
        <stp>[AUD_ASSETSWAP_SYNDICATE.0.4.xlsx]ACGB_BONDS!R31C17</stp>
        <tr r="Q31" s="13"/>
      </tp>
      <tp t="s">
        <v>17/07/2028</v>
        <stp/>
        <stp>##V3_BDPV12</stp>
        <stp>AU3CB0250215 Corp</stp>
        <stp>MATURITY</stp>
        <stp>[AUD_ASSETSWAP_SYNDICATE.0.4.xlsx]TAP AUD ASW!R21C6</stp>
        <tr r="F21" s="11"/>
      </tp>
      <tp>
        <v>2.5990125078255342</v>
        <stp/>
        <stp>##V3_BDPV12</stp>
        <stp>EI849265 Corp</stp>
        <stp>YLD_YTM_ASK</stp>
        <stp>[AUD_ASSETSWAP_SYNDICATE.0.4.xlsx]ACGB_BONDS!R21C17</stp>
        <tr r="Q21" s="13"/>
      </tp>
      <tp t="s">
        <v>ACT/ACT</v>
        <stp/>
        <stp>##V3_BDPV12</stp>
        <stp>EK841545 Corp</stp>
        <stp>DAY_CNT_DES</stp>
        <stp>[AUD_ASSETSWAP_SYNDICATE.0.4.xlsx]ACGB_BONDS!R10C12</stp>
        <tr r="L10" s="13"/>
      </tp>
      <tp>
        <v>2.076329185582702</v>
        <stp/>
        <stp>##V3_BDPV12</stp>
        <stp>EG821160 Corp</stp>
        <stp>YLD_YTM_ASK</stp>
        <stp>[AUD_ASSETSWAP_SYNDICATE.0.4.xlsx]ACGB_BONDS!R11C17</stp>
        <tr r="Q11" s="13"/>
      </tp>
      <tp t="s">
        <v>AU0000XCLWV6</v>
        <stp/>
        <stp>##V3_BDPV12</stp>
        <stp>EI405114 Corp</stp>
        <stp>ID_ISIN</stp>
        <stp>[AUD_ASSETSWAP_SYNDICATE.0.4.xlsx]ACGB_BONDS!R29C4</stp>
        <tr r="D29" s="13"/>
      </tp>
      <tp t="s">
        <v>AU000XCLWAB3</v>
        <stp/>
        <stp>##V3_BDPV12</stp>
        <stp>EJ036821 Corp</stp>
        <stp>ID_ISIN</stp>
        <stp>[AUD_ASSETSWAP_SYNDICATE.0.4.xlsx]ACGB_BONDS!R13C4</stp>
        <tr r="D13" s="13"/>
      </tp>
      <tp t="s">
        <v>CLEAN</v>
        <stp/>
        <stp>##V3_BDPV12</stp>
        <stp>AQ762933 Corp</stp>
        <stp>PX_DIRTY_CLEAN</stp>
        <stp>[AUD_ASSETSWAP_SYNDICATE.0.4.xlsx]ACGB_BONDS!R27C14</stp>
        <tr r="N27" s="13"/>
      </tp>
      <tp>
        <v>2.75</v>
        <stp/>
        <stp>##V3_BDPV12</stp>
        <stp>AT496992 Corp</stp>
        <stp>CPN</stp>
        <stp>[AUD_ASSETSWAP_SYNDICATE.0.4.xlsx]ACGB_BONDS!R36C10</stp>
        <tr r="J36" s="13"/>
      </tp>
      <tp>
        <v>2</v>
        <stp/>
        <stp>##V3_BDPV12</stp>
        <stp>EJ847557 Corp</stp>
        <stp>CPN</stp>
        <stp>[AUD_ASSETSWAP_SYNDICATE.0.4.xlsx]ACGB_BONDS!R32C10</stp>
        <tr r="J32" s="13"/>
      </tp>
      <tp t="s">
        <v>ACT/ACT</v>
        <stp/>
        <stp>##V3_BDPV12</stp>
        <stp>EJ847557 Corp</stp>
        <stp>DAY_CNT_DES</stp>
        <stp>[AUD_ASSETSWAP_SYNDICATE.0.4.xlsx]ACGB_BONDS!R32C12</stp>
        <tr r="L32" s="13"/>
      </tp>
      <tp t="s">
        <v>ACT/ACT</v>
        <stp/>
        <stp>##V3_BDPV12</stp>
        <stp>AT496992 Corp</stp>
        <stp>DAY_CNT_DES</stp>
        <stp>[AUD_ASSETSWAP_SYNDICATE.0.4.xlsx]ACGB_BONDS!R36C12</stp>
        <tr r="L36" s="13"/>
      </tp>
      <tp>
        <v>1.9300000000000002</v>
        <stp/>
        <stp>##V3_BDHV12</stp>
        <stp>ADBB3M Curncy</stp>
        <stp>PX_ASK</stp>
        <stp>16/11/2018</stp>
        <stp>16/11/2018</stp>
        <stp>[AUD_ASSETSWAP_SYNDICATE.0.4.xlsx]SYNDICATE AUD IRS!R16C20</stp>
        <tr r="T16" s="8"/>
      </tp>
      <tp>
        <v>4.75</v>
        <stp/>
        <stp>##V3_BDPV12</stp>
        <stp>ADSF8 IAUS Curncy</stp>
        <stp>Bid</stp>
        <stp>[AUD_ASSETSWAP_SYNDICATE.0.4.xlsx]SYNDICATE AUD IRS!R20C7</stp>
        <tr r="G20" s="8"/>
      </tp>
      <tp>
        <v>10.625</v>
        <stp/>
        <stp>##V3_BDPV12</stp>
        <stp>ADSF9 IAUS Curncy</stp>
        <stp>Bid</stp>
        <stp>[AUD_ASSETSWAP_SYNDICATE.0.4.xlsx]SYNDICATE AUD IRS!R21C7</stp>
        <tr r="G21" s="8"/>
      </tp>
      <tp t="s">
        <v>21/08/2017</v>
        <stp/>
        <stp>##V3_BDPV12</stp>
        <stp>AO836930 Corp</stp>
        <stp>START_ACC_DT</stp>
        <stp>[AUD_ASSETSWAP_SYNDICATE.0.4.xlsx]ACGB_BONDS!R22C6</stp>
        <tr r="F22" s="13"/>
      </tp>
      <tp t="s">
        <v>21/05/2018</v>
        <stp/>
        <stp>##V3_BDPV12</stp>
        <stp>AS904985 Corp</stp>
        <stp>START_ACC_DT</stp>
        <stp>[AUD_ASSETSWAP_SYNDICATE.0.4.xlsx]ACGB_BONDS!R28C6</stp>
        <tr r="F28" s="13"/>
      </tp>
      <tp t="s">
        <v>25/01/2018</v>
        <stp/>
        <stp>##V3_BDPV12</stp>
        <stp>AU3CB0250215 Corp</stp>
        <stp>ISSUE_DT</stp>
        <stp>[AUD_ASSETSWAP_SYNDICATE.0.4.xlsx]TAP AUD ASW!R17C6</stp>
        <tr r="F17" s="11"/>
      </tp>
      <tp>
        <v>2.75</v>
        <stp/>
        <stp>##V3_BDPV12</stp>
        <stp>EK821167 Corp</stp>
        <stp>CPN</stp>
        <stp>[AUD_ASSETSWAP_SYNDICATE.0.4.xlsx]ACGB_BONDS!R31C10</stp>
        <tr r="J31" s="13"/>
      </tp>
      <tp>
        <v>5.75</v>
        <stp/>
        <stp>##V3_BDPV12</stp>
        <stp>EG821160 Corp</stp>
        <stp>CPN</stp>
        <stp>[AUD_ASSETSWAP_SYNDICATE.0.4.xlsx]ACGB_BONDS!R11C10</stp>
        <tr r="J11" s="13"/>
      </tp>
      <tp>
        <v>4.75</v>
        <stp/>
        <stp>##V3_BDPV12</stp>
        <stp>EI849265 Corp</stp>
        <stp>CPN</stp>
        <stp>[AUD_ASSETSWAP_SYNDICATE.0.4.xlsx]ACGB_BONDS!R21C10</stp>
        <tr r="J21" s="13"/>
      </tp>
      <tp t="s">
        <v>ACT/ACT</v>
        <stp/>
        <stp>##V3_BDPV12</stp>
        <stp>EK821167 Corp</stp>
        <stp>DAY_CNT_DES</stp>
        <stp>[AUD_ASSETSWAP_SYNDICATE.0.4.xlsx]ACGB_BONDS!R31C12</stp>
        <tr r="L31" s="13"/>
      </tp>
      <tp>
        <v>2.0472011576675548</v>
        <stp/>
        <stp>##V3_BDPV12</stp>
        <stp>EK841545 Corp</stp>
        <stp>YLD_YTM_ASK</stp>
        <stp>[AUD_ASSETSWAP_SYNDICATE.0.4.xlsx]ACGB_BONDS!R10C17</stp>
        <tr r="Q10" s="13"/>
      </tp>
      <tp t="s">
        <v>ACT/ACT</v>
        <stp/>
        <stp>##V3_BDPV12</stp>
        <stp>EI849265 Corp</stp>
        <stp>DAY_CNT_DES</stp>
        <stp>[AUD_ASSETSWAP_SYNDICATE.0.4.xlsx]ACGB_BONDS!R21C12</stp>
        <tr r="L21" s="13"/>
      </tp>
      <tp t="s">
        <v>ACT/ACT</v>
        <stp/>
        <stp>##V3_BDPV12</stp>
        <stp>EG821160 Corp</stp>
        <stp>DAY_CNT_DES</stp>
        <stp>[AUD_ASSETSWAP_SYNDICATE.0.4.xlsx]ACGB_BONDS!R11C12</stp>
        <tr r="L11" s="13"/>
      </tp>
      <tp t="s">
        <v>AU3TB0000168</v>
        <stp/>
        <stp>##V3_BDPV12</stp>
        <stp>EJ679130 Corp</stp>
        <stp>ID_ISIN</stp>
        <stp>[AUD_ASSETSWAP_SYNDICATE.0.4.xlsx]ACGB_BONDS!R18C4</stp>
        <tr r="D18" s="13"/>
      </tp>
      <tp t="s">
        <v>CLEAN</v>
        <stp/>
        <stp>##V3_BDPV12</stp>
        <stp>AS904985 Corp</stp>
        <stp>PX_DIRTY_CLEAN</stp>
        <stp>[AUD_ASSETSWAP_SYNDICATE.0.4.xlsx]ACGB_BONDS!R28C14</stp>
        <tr r="N28" s="13"/>
      </tp>
      <tp>
        <v>1.5225</v>
        <stp/>
        <stp>##V3_BDPV12</stp>
        <stp>ADSOI IAUS Curncy</stp>
        <stp>PX_MID</stp>
        <stp>[AUD_ASSETSWAP_SYNDICATE.0.4.xlsx]AUD CURVE TICKERS!R23C10</stp>
        <tr r="J23" s="9"/>
      </tp>
      <tp>
        <v>0.95499999999999996</v>
        <stp/>
        <stp>##V3_BDPV12</stp>
        <stp>EJ847557 Corp</stp>
        <stp>YLD_YTM_ASK</stp>
        <stp>[AUD_ASSETSWAP_SYNDICATE.0.4.xlsx]ACGB_BONDS!R32C17</stp>
        <tr r="Q32" s="13"/>
      </tp>
      <tp>
        <v>3.1120805363839512</v>
        <stp/>
        <stp>##V3_BDPV12</stp>
        <stp>AT496992 Corp</stp>
        <stp>YLD_YTM_ASK</stp>
        <stp>[AUD_ASSETSWAP_SYNDICATE.0.4.xlsx]ACGB_BONDS!R36C17</stp>
        <tr r="Q36" s="13"/>
      </tp>
      <tp>
        <v>-9.625</v>
        <stp/>
        <stp>##V3_BDPV12</stp>
        <stp>ADSF6 IAUS Curncy</stp>
        <stp>Bid</stp>
        <stp>[AUD_ASSETSWAP_SYNDICATE.0.4.xlsx]SYNDICATE AUD IRS!R18C7</stp>
        <tr r="G18" s="8"/>
      </tp>
      <tp>
        <v>-2</v>
        <stp/>
        <stp>##V3_BDPV12</stp>
        <stp>ADSF7 IAUS Curncy</stp>
        <stp>Bid</stp>
        <stp>[AUD_ASSETSWAP_SYNDICATE.0.4.xlsx]SYNDICATE AUD IRS!R19C7</stp>
        <tr r="G19" s="8"/>
      </tp>
      <tp t="s">
        <v>CLEAN</v>
        <stp/>
        <stp>##V3_BDPV12</stp>
        <stp>AT496992 Corp</stp>
        <stp>PX_DIRTY_CLEAN</stp>
        <stp>[AUD_ASSETSWAP_SYNDICATE.0.4.xlsx]ACGB_BONDS!R36C14</stp>
        <tr r="N36" s="13"/>
      </tp>
      <tp t="s">
        <v>21/08/2013</v>
        <stp/>
        <stp>##V3_BDPV12</stp>
        <stp>EJ847557 Corp</stp>
        <stp>START_ACC_DT</stp>
        <stp>[AUD_ASSETSWAP_SYNDICATE.0.4.xlsx]ACGB_BONDS!R32C6</stp>
        <tr r="F32" s="13"/>
      </tp>
      <tp t="s">
        <v>15/05/2007</v>
        <stp/>
        <stp>##V3_BDPV12</stp>
        <stp>EG821160 Corp</stp>
        <stp>START_ACC_DT</stp>
        <stp>[AUD_ASSETSWAP_SYNDICATE.0.4.xlsx]ACGB_BONDS!R11C6</stp>
        <tr r="F11" s="13"/>
      </tp>
      <tp t="s">
        <v>21/10/2011</v>
        <stp/>
        <stp>##V3_BDPV12</stp>
        <stp>EI849265 Corp</stp>
        <stp>START_ACC_DT</stp>
        <stp>[AUD_ASSETSWAP_SYNDICATE.0.4.xlsx]ACGB_BONDS!R21C6</stp>
        <tr r="F21" s="13"/>
      </tp>
      <tp t="s">
        <v>21/05/2017</v>
        <stp/>
        <stp>##V3_BDPV12</stp>
        <stp>AP364296 Corp</stp>
        <stp>START_ACC_DT</stp>
        <stp>[AUD_ASSETSWAP_SYNDICATE.0.4.xlsx]ACGB_BONDS!R15C6</stp>
        <tr r="F15" s="13"/>
      </tp>
      <tp t="s">
        <v>21/12/2014</v>
        <stp/>
        <stp>##V3_BDPV12</stp>
        <stp>EK821167 Corp</stp>
        <stp>START_ACC_DT</stp>
        <stp>[AUD_ASSETSWAP_SYNDICATE.0.4.xlsx]ACGB_BONDS!R31C6</stp>
        <tr r="F31" s="13"/>
      </tp>
      <tp>
        <v>3</v>
        <stp/>
        <stp>##V3_BDPV12</stp>
        <stp>EH994413 Corp</stp>
        <stp>CPN</stp>
        <stp>[AUD_ASSETSWAP_SYNDICATE.0.4.xlsx]ACGB_BONDS!R19C10</stp>
        <tr r="J19" s="13"/>
      </tp>
      <tp>
        <v>2.1691312332435699</v>
        <stp/>
        <stp>##V3_BDPV12</stp>
        <stp>EI214281 Corp</stp>
        <stp>YLD_YTM_ASK</stp>
        <stp>[AUD_ASSETSWAP_SYNDICATE.0.4.xlsx]ACGB_BONDS!R14C17</stp>
        <tr r="Q14" s="13"/>
      </tp>
      <tp>
        <v>2.2284517884399762</v>
        <stp/>
        <stp>##V3_BDPV12</stp>
        <stp>AP364296 Corp</stp>
        <stp>YLD_YTM_ASK</stp>
        <stp>[AUD_ASSETSWAP_SYNDICATE.0.4.xlsx]ACGB_BONDS!R15C17</stp>
        <tr r="Q15" s="13"/>
      </tp>
      <tp t="s">
        <v>ACT/ACT</v>
        <stp/>
        <stp>##V3_BDPV12</stp>
        <stp>EH994413 Corp</stp>
        <stp>DAY_CNT_DES</stp>
        <stp>[AUD_ASSETSWAP_SYNDICATE.0.4.xlsx]ACGB_BONDS!R19C12</stp>
        <tr r="L19" s="13"/>
      </tp>
      <tp t="s">
        <v>AU0000XCLWP8</v>
        <stp/>
        <stp>##V3_BDPV12</stp>
        <stp>EH994413 Corp</stp>
        <stp>ID_ISIN</stp>
        <stp>[AUD_ASSETSWAP_SYNDICATE.0.4.xlsx]ACGB_BONDS!R19C4</stp>
        <tr r="D19" s="13"/>
      </tp>
      <tp t="s">
        <v>15/01/2010</v>
        <stp/>
        <stp>##V3_BDPV12</stp>
        <stp>EI214281 Corp</stp>
        <stp>START_ACC_DT</stp>
        <stp>[AUD_ASSETSWAP_SYNDICATE.0.4.xlsx]ACGB_BONDS!R14C6</stp>
        <tr r="F14" s="13"/>
      </tp>
      <tp>
        <v>3.25</v>
        <stp/>
        <stp>##V3_BDPV12</stp>
        <stp>QJ152182 Corp</stp>
        <stp>CPN</stp>
        <stp>[AUD_ASSETSWAP_SYNDICATE.0.4.xlsx]ACGB_BONDS!R34C10</stp>
        <tr r="J34" s="13"/>
      </tp>
      <tp t="s">
        <v>ACT/ACT</v>
        <stp/>
        <stp>##V3_BDPV12</stp>
        <stp>QJ152182 Corp</stp>
        <stp>DAY_CNT_DES</stp>
        <stp>[AUD_ASSETSWAP_SYNDICATE.0.4.xlsx]ACGB_BONDS!R34C12</stp>
        <tr r="L34" s="13"/>
      </tp>
      <tp>
        <v>2.8319673076617513</v>
        <stp/>
        <stp>##V3_BDPV12</stp>
        <stp>EJ943727 Corp</stp>
        <stp>YLD_YTM_ASK</stp>
        <stp>[AUD_ASSETSWAP_SYNDICATE.0.4.xlsx]ACGB_BONDS!R30C17</stp>
        <tr r="Q30" s="13"/>
      </tp>
      <tp>
        <v>0.75060000000000004</v>
        <stp/>
        <stp>##V3_BDPV12</stp>
        <stp>AO836930 Corp</stp>
        <stp>YLD_YTM_ASK</stp>
        <stp>[AUD_ASSETSWAP_SYNDICATE.0.4.xlsx]ACGB_BONDS!R22C17</stp>
        <tr r="Q22" s="13"/>
      </tp>
      <tp t="s">
        <v>AU000XCLWAV1</v>
        <stp/>
        <stp>##V3_BDPV12</stp>
        <stp>AO836930 Corp</stp>
        <stp>ID_ISIN</stp>
        <stp>[AUD_ASSETSWAP_SYNDICATE.0.4.xlsx]ACGB_BONDS!R22C4</stp>
        <tr r="D22" s="13"/>
      </tp>
      <tp t="s">
        <v>AU3TB0000150</v>
        <stp/>
        <stp>##V3_BDPV12</stp>
        <stp>EJ393853 Corp</stp>
        <stp>ID_ISIN</stp>
        <stp>[AUD_ASSETSWAP_SYNDICATE.0.4.xlsx]ACGB_BONDS!R26C4</stp>
        <tr r="D26" s="13"/>
      </tp>
      <tp>
        <v>2.0287999999999999</v>
        <stp/>
        <stp>##V3_BDHV12</stp>
        <stp>ADBB3M Curncy</stp>
        <stp>PX_ASK</stp>
        <stp>13/07/2018</stp>
        <stp>13/07/2018</stp>
        <stp>[AUD_ASSETSWAP_SYNDICATE.0.4.xlsx]TAP AUD ASW!R15C14</stp>
        <tr r="N15" s="11"/>
      </tp>
      <tp t="s">
        <v>21/06/2015</v>
        <stp/>
        <stp>##V3_BDPV12</stp>
        <stp>QJ152182 Corp</stp>
        <stp>START_ACC_DT</stp>
        <stp>[AUD_ASSETSWAP_SYNDICATE.0.4.xlsx]ACGB_BONDS!R34C6</stp>
        <tr r="F34" s="13"/>
      </tp>
      <tp t="s">
        <v>21/04/2013</v>
        <stp/>
        <stp>##V3_BDPV12</stp>
        <stp>EJ679130 Corp</stp>
        <stp>START_ACC_DT</stp>
        <stp>[AUD_ASSETSWAP_SYNDICATE.0.4.xlsx]ACGB_BONDS!R18C6</stp>
        <tr r="F18" s="13"/>
      </tp>
      <tp>
        <v>5.75</v>
        <stp/>
        <stp>##V3_BDPV12</stp>
        <stp>EI214281 Corp</stp>
        <stp>CPN</stp>
        <stp>[AUD_ASSETSWAP_SYNDICATE.0.4.xlsx]ACGB_BONDS!R14C10</stp>
        <tr r="J14" s="13"/>
      </tp>
      <tp>
        <v>2.25</v>
        <stp/>
        <stp>##V3_BDPV12</stp>
        <stp>AP364296 Corp</stp>
        <stp>CPN</stp>
        <stp>[AUD_ASSETSWAP_SYNDICATE.0.4.xlsx]ACGB_BONDS!R15C10</stp>
        <tr r="J15" s="13"/>
      </tp>
      <tp t="s">
        <v>ACT/ACT</v>
        <stp/>
        <stp>##V3_BDPV12</stp>
        <stp>EI214281 Corp</stp>
        <stp>DAY_CNT_DES</stp>
        <stp>[AUD_ASSETSWAP_SYNDICATE.0.4.xlsx]ACGB_BONDS!R14C12</stp>
        <tr r="L14" s="13"/>
      </tp>
      <tp t="s">
        <v>ACT/ACT</v>
        <stp/>
        <stp>##V3_BDPV12</stp>
        <stp>AP364296 Corp</stp>
        <stp>DAY_CNT_DES</stp>
        <stp>[AUD_ASSETSWAP_SYNDICATE.0.4.xlsx]ACGB_BONDS!R15C12</stp>
        <tr r="L15" s="13"/>
      </tp>
      <tp>
        <v>0.68240000000000001</v>
        <stp/>
        <stp>##V3_BDPV12</stp>
        <stp>EH994413 Corp</stp>
        <stp>YLD_YTM_ASK</stp>
        <stp>[AUD_ASSETSWAP_SYNDICATE.0.4.xlsx]ACGB_BONDS!R19C17</stp>
        <tr r="Q19" s="13"/>
      </tp>
      <tp t="s">
        <v>AU0000XCLWM5</v>
        <stp/>
        <stp>##V3_BDPV12</stp>
        <stp>EG821160 Corp</stp>
        <stp>ID_ISIN</stp>
        <stp>[AUD_ASSETSWAP_SYNDICATE.0.4.xlsx]ACGB_BONDS!R11C4</stp>
        <tr r="D11" s="13"/>
      </tp>
      <tp t="s">
        <v>AU000XCLWAT5</v>
        <stp/>
        <stp>##V3_BDPV12</stp>
        <stp>AM152866 Corp</stp>
        <stp>ID_ISIN</stp>
        <stp>[AUD_ASSETSWAP_SYNDICATE.0.4.xlsx]ACGB_BONDS!R12C4</stp>
        <tr r="D12" s="13"/>
      </tp>
      <tp>
        <v>30.75</v>
        <stp/>
        <stp>##V3_BDPV12</stp>
        <stp>ADSF4 IAUS Curncy</stp>
        <stp>Ask</stp>
        <stp>[AUD_ASSETSWAP_SYNDICATE.0.4.xlsx]SYNDICATE AUD IRS!R16C8</stp>
        <tr r="H16" s="8"/>
      </tp>
      <tp>
        <v>39.875</v>
        <stp/>
        <stp>##V3_BDPV12</stp>
        <stp>ADSF5 IAUS Curncy</stp>
        <stp>Ask</stp>
        <stp>[AUD_ASSETSWAP_SYNDICATE.0.4.xlsx]SYNDICATE AUD IRS!R17C8</stp>
        <tr r="H17" s="8"/>
      </tp>
      <tp t="s">
        <v>CLEAN</v>
        <stp/>
        <stp>##V3_BDPV12</stp>
        <stp>UV471848 Corp</stp>
        <stp>PX_DIRTY_CLEAN</stp>
        <stp>[AUD_ASSETSWAP_SYNDICATE.0.4.xlsx]ACGB_BONDS!R35C14</stp>
        <tr r="N35" s="13"/>
      </tp>
      <tp t="s">
        <v>CLEAN</v>
        <stp/>
        <stp>##V3_BDPV12</stp>
        <stp>JV319866 Corp</stp>
        <stp>PX_DIRTY_CLEAN</stp>
        <stp>[AUD_ASSETSWAP_SYNDICATE.0.4.xlsx]ACGB_BONDS!R23C14</stp>
        <tr r="N23" s="13"/>
      </tp>
      <tp>
        <v>1.5</v>
        <stp/>
        <stp>##V3_BDPV12</stp>
        <stp>ADSO1Z IAUS Curncy</stp>
        <stp>PX_MID</stp>
        <stp>[AUD_ASSETSWAP_SYNDICATE.0.4.xlsx]AUD CURVE TICKERS!R16C10</stp>
        <tr r="J16" s="9"/>
      </tp>
      <tp t="s">
        <v>21/11/2014</v>
        <stp/>
        <stp>##V3_BDPV12</stp>
        <stp>EK841545 Corp</stp>
        <stp>START_ACC_DT</stp>
        <stp>[AUD_ASSETSWAP_SYNDICATE.0.4.xlsx]ACGB_BONDS!R10C6</stp>
        <tr r="F10" s="13"/>
      </tp>
      <tp t="s">
        <v>21/08/2018</v>
        <stp/>
        <stp>##V3_BDPV12</stp>
        <stp>AU555712 Corp</stp>
        <stp>START_ACC_DT</stp>
        <stp>[AUD_ASSETSWAP_SYNDICATE.0.4.xlsx]ACGB_BONDS!R38C6</stp>
        <tr r="F38" s="13"/>
      </tp>
      <tp t="s">
        <v>20/09/2010</v>
        <stp/>
        <stp>##V3_BDPV12</stp>
        <stp>EI405114 Corp</stp>
        <stp>START_ACC_DT</stp>
        <stp>[AUD_ASSETSWAP_SYNDICATE.0.4.xlsx]ACGB_BONDS!R29C6</stp>
        <tr r="F29" s="13"/>
      </tp>
      <tp>
        <v>0.75</v>
        <stp/>
        <stp>##V3_BDPV12</stp>
        <stp>AO836930 Corp</stp>
        <stp>CPN</stp>
        <stp>[AUD_ASSETSWAP_SYNDICATE.0.4.xlsx]ACGB_BONDS!R22C10</stp>
        <tr r="J22" s="13"/>
      </tp>
      <tp>
        <v>4.5</v>
        <stp/>
        <stp>##V3_BDPV12</stp>
        <stp>EJ943727 Corp</stp>
        <stp>CPN</stp>
        <stp>[AUD_ASSETSWAP_SYNDICATE.0.4.xlsx]ACGB_BONDS!R30C10</stp>
        <tr r="J30" s="13"/>
      </tp>
      <tp>
        <v>3.0664739148042717</v>
        <stp/>
        <stp>##V3_BDPV12</stp>
        <stp>QJ152182 Corp</stp>
        <stp>YLD_YTM_ASK</stp>
        <stp>[AUD_ASSETSWAP_SYNDICATE.0.4.xlsx]ACGB_BONDS!R34C17</stp>
        <tr r="Q34" s="13"/>
      </tp>
      <tp t="s">
        <v>ACT/ACT</v>
        <stp/>
        <stp>##V3_BDPV12</stp>
        <stp>EJ943727 Corp</stp>
        <stp>DAY_CNT_DES</stp>
        <stp>[AUD_ASSETSWAP_SYNDICATE.0.4.xlsx]ACGB_BONDS!R30C12</stp>
        <tr r="L30" s="13"/>
      </tp>
      <tp t="s">
        <v>ACT/ACT</v>
        <stp/>
        <stp>##V3_BDPV12</stp>
        <stp>AO836930 Corp</stp>
        <stp>DAY_CNT_DES</stp>
        <stp>[AUD_ASSETSWAP_SYNDICATE.0.4.xlsx]ACGB_BONDS!R22C12</stp>
        <tr r="L22" s="13"/>
      </tp>
      <tp t="s">
        <v>21/11/2018</v>
        <stp/>
        <stp>##V3_BDPV12</stp>
        <stp>AT496992 Corp</stp>
        <stp>FIRST_CPN_DT</stp>
        <stp>[AUD_ASSETSWAP_SYNDICATE.0.4.xlsx]ACGB_BONDS!R36C8</stp>
        <tr r="H36" s="13"/>
      </tp>
      <tp t="s">
        <v>ACGB 2 1/2 05/21/30</v>
        <stp/>
        <stp>##V3_BDPV12</stp>
        <stp>AS904985 Corp</stp>
        <stp>SECURITY_DES</stp>
        <stp>[AUD_ASSETSWAP_SYNDICATE.0.4.xlsx]ACGB_BONDS!R28C3</stp>
        <tr r="C28" s="13"/>
      </tp>
      <tp t="s">
        <v>ACGB 0 3/4 11/21/27</v>
        <stp/>
        <stp>##V3_BDPV12</stp>
        <stp>AO836930 Corp</stp>
        <stp>SECURITY_DES</stp>
        <stp>[AUD_ASSETSWAP_SYNDICATE.0.4.xlsx]ACGB_BONDS!R22C3</stp>
        <tr r="C22" s="13"/>
      </tp>
      <tp t="s">
        <v>21/04/2014</v>
        <stp/>
        <stp>##V3_BDPV12</stp>
        <stp>EJ943727 Corp</stp>
        <stp>FIRST_CPN_DT</stp>
        <stp>[AUD_ASSETSWAP_SYNDICATE.0.4.xlsx]ACGB_BONDS!R30C8</stp>
        <tr r="H30" s="13"/>
      </tp>
      <tp>
        <v>40.875</v>
        <stp/>
        <stp>##V3_BDPV12</stp>
        <stp>ADSF20 IAUS Curncy</stp>
        <stp>Bid</stp>
        <stp>[AUD_ASSETSWAP_SYNDICATE.0.4.xlsx]SYNDICATE AUD IRS!R25C7</stp>
        <tr r="G25" s="8"/>
      </tp>
      <tp t="s">
        <v>ACGB 2 3/4 05/21/41</v>
        <stp/>
        <stp>##V3_BDPV12</stp>
        <stp>AT496992 Corp</stp>
        <stp>SECURITY_DES</stp>
        <stp>[AUD_ASSETSWAP_SYNDICATE.0.4.xlsx]ACGB_BONDS!R36C3</stp>
        <tr r="C36" s="13"/>
      </tp>
      <tp t="s">
        <v>21/11/2018</v>
        <stp/>
        <stp>##V3_BDPV12</stp>
        <stp>AS904985 Corp</stp>
        <stp>FIRST_CPN_DT</stp>
        <stp>[AUD_ASSETSWAP_SYNDICATE.0.4.xlsx]ACGB_BONDS!R28C8</stp>
        <tr r="H28" s="13"/>
      </tp>
      <tp t="s">
        <v>ACGB 4 1/2 04/21/33</v>
        <stp/>
        <stp>##V3_BDPV12</stp>
        <stp>EJ943727 Corp</stp>
        <stp>SECURITY_DES</stp>
        <stp>[AUD_ASSETSWAP_SYNDICATE.0.4.xlsx]ACGB_BONDS!R30C3</stp>
        <tr r="C30" s="13"/>
      </tp>
      <tp t="s">
        <v>21/11/2017</v>
        <stp/>
        <stp>##V3_BDPV12</stp>
        <stp>AO836930 Corp</stp>
        <stp>FIRST_CPN_DT</stp>
        <stp>[AUD_ASSETSWAP_SYNDICATE.0.4.xlsx]ACGB_BONDS!R22C8</stp>
        <tr r="H22" s="13"/>
      </tp>
      <tp>
        <v>38.625</v>
        <stp/>
        <stp>##V3_BDPV12</stp>
        <stp>ADSF30 IAUS Curncy</stp>
        <stp>Bid</stp>
        <stp>[AUD_ASSETSWAP_SYNDICATE.0.4.xlsx]SYNDICATE AUD IRS!R27C7</stp>
        <tr r="G27" s="8"/>
      </tp>
      <tp t="s">
        <v>AU0000018442</v>
        <stp/>
        <stp>##V3_BDPV12</stp>
        <stp>AT496992 Corp</stp>
        <stp>ID_ISIN</stp>
        <stp>[AUD_ASSETSWAP_SYNDICATE.0.4.xlsx]ACGB_BONDS!R36C4</stp>
        <tr r="D36" s="13"/>
      </tp>
      <tp t="s">
        <v>AU000XCLWAO6</v>
        <stp/>
        <stp>##V3_BDPV12</stp>
        <stp>UV471848 Corp</stp>
        <stp>ID_ISIN</stp>
        <stp>[AUD_ASSETSWAP_SYNDICATE.0.4.xlsx]ACGB_BONDS!R35C4</stp>
        <tr r="D35" s="13"/>
      </tp>
      <tp t="s">
        <v>CLEAN</v>
        <stp/>
        <stp>##V3_BDPV12</stp>
        <stp>EJ036821 Corp</stp>
        <stp>PX_DIRTY_CLEAN</stp>
        <stp>[AUD_ASSETSWAP_SYNDICATE.0.4.xlsx]ACGB_BONDS!R13C14</stp>
        <tr r="N13" s="13"/>
      </tp>
      <tp t="s">
        <v>CLEAN</v>
        <stp/>
        <stp>##V3_BDPV12</stp>
        <stp>EJ393853 Corp</stp>
        <stp>PX_DIRTY_CLEAN</stp>
        <stp>[AUD_ASSETSWAP_SYNDICATE.0.4.xlsx]ACGB_BONDS!R26C14</stp>
        <tr r="N26" s="13"/>
      </tp>
      <tp t="s">
        <v>AU0000024044</v>
        <stp/>
        <stp>##V3_BDPV12</stp>
        <stp>AU555712 Corp</stp>
        <stp>ID_ISIN</stp>
        <stp>[AUD_ASSETSWAP_SYNDICATE.0.4.xlsx]ACGB_BONDS!R38C4</stp>
        <tr r="D38" s="13"/>
      </tp>
      <tp t="s">
        <v>CLEAN</v>
        <stp/>
        <stp>##V3_BDPV12</stp>
        <stp>AM152866 Corp</stp>
        <stp>PX_DIRTY_CLEAN</stp>
        <stp>[AUD_ASSETSWAP_SYNDICATE.0.4.xlsx]ACGB_BONDS!R12C14</stp>
        <tr r="N12" s="13"/>
      </tp>
      <tp t="s">
        <v>ACGB 3 1/4 04/21/25</v>
        <stp/>
        <stp>##V3_BDPV12</stp>
        <stp>EJ679130 Corp</stp>
        <stp>SECURITY_DES</stp>
        <stp>[AUD_ASSETSWAP_SYNDICATE.0.4.xlsx]ACGB_BONDS!R18C3</stp>
        <tr r="C18" s="13"/>
      </tp>
      <tp t="s">
        <v>ACGB 3 1/4 06/21/39</v>
        <stp/>
        <stp>##V3_BDPV12</stp>
        <stp>QJ152182 Corp</stp>
        <stp>SECURITY_DES</stp>
        <stp>[AUD_ASSETSWAP_SYNDICATE.0.4.xlsx]ACGB_BONDS!R34C3</stp>
        <tr r="C34" s="13"/>
      </tp>
      <tp t="s">
        <v>21/06/2015</v>
        <stp/>
        <stp>##V3_BDPV12</stp>
        <stp>EK821167 Corp</stp>
        <stp>FIRST_CPN_DT</stp>
        <stp>[AUD_ASSETSWAP_SYNDICATE.0.4.xlsx]ACGB_BONDS!R31C8</stp>
        <tr r="H31" s="13"/>
      </tp>
      <tp t="s">
        <v>15/11/2007</v>
        <stp/>
        <stp>##V3_BDPV12</stp>
        <stp>EG821160 Corp</stp>
        <stp>FIRST_CPN_DT</stp>
        <stp>[AUD_ASSETSWAP_SYNDICATE.0.4.xlsx]ACGB_BONDS!R11C8</stp>
        <tr r="H11" s="13"/>
      </tp>
      <tp t="s">
        <v>21/11/2013</v>
        <stp/>
        <stp>##V3_BDPV12</stp>
        <stp>EJ847557 Corp</stp>
        <stp>FIRST_CPN_DT</stp>
        <stp>[AUD_ASSETSWAP_SYNDICATE.0.4.xlsx]ACGB_BONDS!R32C8</stp>
        <tr r="H32" s="13"/>
      </tp>
      <tp t="s">
        <v>21/11/2017</v>
        <stp/>
        <stp>##V3_BDPV12</stp>
        <stp>AP364296 Corp</stp>
        <stp>FIRST_CPN_DT</stp>
        <stp>[AUD_ASSETSWAP_SYNDICATE.0.4.xlsx]ACGB_BONDS!R15C8</stp>
        <tr r="H15" s="13"/>
      </tp>
      <tp t="s">
        <v>21/04/2012</v>
        <stp/>
        <stp>##V3_BDPV12</stp>
        <stp>EI849265 Corp</stp>
        <stp>FIRST_CPN_DT</stp>
        <stp>[AUD_ASSETSWAP_SYNDICATE.0.4.xlsx]ACGB_BONDS!R21C8</stp>
        <tr r="H21" s="13"/>
      </tp>
      <tp>
        <v>24.625</v>
        <stp/>
        <stp>##V3_BDPV12</stp>
        <stp>ADSF12 IAUS Curncy</stp>
        <stp>Bid</stp>
        <stp>[AUD_ASSETSWAP_SYNDICATE.0.4.xlsx]SYNDICATE AUD IRS!R23C7</stp>
        <tr r="G23" s="8"/>
      </tp>
      <tp>
        <v>34.125</v>
        <stp/>
        <stp>##V3_BDPV12</stp>
        <stp>ADSF15 IAUS Curncy</stp>
        <stp>Bid</stp>
        <stp>[AUD_ASSETSWAP_SYNDICATE.0.4.xlsx]SYNDICATE AUD IRS!R24C7</stp>
        <tr r="G24" s="8"/>
      </tp>
      <tp t="s">
        <v>AU000XCLWAQ1</v>
        <stp/>
        <stp>##V3_BDPV12</stp>
        <stp>JV319866 Corp</stp>
        <stp>ID_ISIN</stp>
        <stp>[AUD_ASSETSWAP_SYNDICATE.0.4.xlsx]ACGB_BONDS!R23C4</stp>
        <tr r="D23" s="13"/>
      </tp>
      <tp t="s">
        <v>ACGB 1 02/21/50</v>
        <stp/>
        <stp>##V3_BDPV12</stp>
        <stp>AU555712 Corp</stp>
        <stp>SECURITY_DES</stp>
        <stp>[AUD_ASSETSWAP_SYNDICATE.0.4.xlsx]ACGB_BONDS!R38C3</stp>
        <tr r="C38" s="13"/>
      </tp>
      <tp t="s">
        <v>ACGB 2 1/2 09/20/30</v>
        <stp/>
        <stp>##V3_BDPV12</stp>
        <stp>EI405114 Corp</stp>
        <stp>SECURITY_DES</stp>
        <stp>[AUD_ASSETSWAP_SYNDICATE.0.4.xlsx]ACGB_BONDS!R29C3</stp>
        <tr r="C29" s="13"/>
      </tp>
      <tp t="s">
        <v>15/07/2010</v>
        <stp/>
        <stp>##V3_BDPV12</stp>
        <stp>EI214281 Corp</stp>
        <stp>FIRST_CPN_DT</stp>
        <stp>[AUD_ASSETSWAP_SYNDICATE.0.4.xlsx]ACGB_BONDS!R14C8</stp>
        <tr r="H14" s="13"/>
      </tp>
      <tp t="s">
        <v>ACGB 1 3/4 11/21/20</v>
        <stp/>
        <stp>##V3_BDPV12</stp>
        <stp>EK841545 Corp</stp>
        <stp>SECURITY_DES</stp>
        <stp>[AUD_ASSETSWAP_SYNDICATE.0.4.xlsx]ACGB_BONDS!R10C3</stp>
        <tr r="C10" s="13"/>
      </tp>
      <tp>
        <v>23</v>
        <stp/>
        <stp>##V3_BDPV12</stp>
        <stp>AU3CB0250215 Corp</stp>
        <stp>CALC_TYP</stp>
        <stp>[AUD_ASSETSWAP_SYNDICATE.0.4.xlsx]TAP AUD ASW!R31C6</stp>
        <tr r="F31" s="11"/>
      </tp>
      <tp t="s">
        <v>21/10/2013</v>
        <stp/>
        <stp>##V3_BDPV12</stp>
        <stp>EJ679130 Corp</stp>
        <stp>FIRST_CPN_DT</stp>
        <stp>[AUD_ASSETSWAP_SYNDICATE.0.4.xlsx]ACGB_BONDS!R18C8</stp>
        <tr r="H18" s="13"/>
      </tp>
      <tp t="s">
        <v>21/12/2015</v>
        <stp/>
        <stp>##V3_BDPV12</stp>
        <stp>QJ152182 Corp</stp>
        <stp>FIRST_CPN_DT</stp>
        <stp>[AUD_ASSETSWAP_SYNDICATE.0.4.xlsx]ACGB_BONDS!R34C8</stp>
        <tr r="H34" s="13"/>
      </tp>
      <tp t="s">
        <v>ACGB 2 3/4 06/21/35</v>
        <stp/>
        <stp>##V3_BDPV12</stp>
        <stp>EK821167 Corp</stp>
        <stp>SECURITY_DES</stp>
        <stp>[AUD_ASSETSWAP_SYNDICATE.0.4.xlsx]ACGB_BONDS!R31C3</stp>
        <tr r="C31" s="13"/>
      </tp>
      <tp t="s">
        <v>ACGB 2 08/21/35</v>
        <stp/>
        <stp>##V3_BDPV12</stp>
        <stp>EJ847557 Corp</stp>
        <stp>SECURITY_DES</stp>
        <stp>[AUD_ASSETSWAP_SYNDICATE.0.4.xlsx]ACGB_BONDS!R32C3</stp>
        <tr r="C32" s="13"/>
      </tp>
      <tp t="s">
        <v>ACGB 5 3/4 05/15/21</v>
        <stp/>
        <stp>##V3_BDPV12</stp>
        <stp>EG821160 Corp</stp>
        <stp>SECURITY_DES</stp>
        <stp>[AUD_ASSETSWAP_SYNDICATE.0.4.xlsx]ACGB_BONDS!R11C3</stp>
        <tr r="C11" s="13"/>
      </tp>
      <tp t="s">
        <v>ACGB 4 3/4 04/21/27</v>
        <stp/>
        <stp>##V3_BDPV12</stp>
        <stp>EI849265 Corp</stp>
        <stp>SECURITY_DES</stp>
        <stp>[AUD_ASSETSWAP_SYNDICATE.0.4.xlsx]ACGB_BONDS!R21C3</stp>
        <tr r="C21" s="13"/>
      </tp>
      <tp t="s">
        <v>ACGB 2 1/4 11/21/22</v>
        <stp/>
        <stp>##V3_BDPV12</stp>
        <stp>AP364296 Corp</stp>
        <stp>SECURITY_DES</stp>
        <stp>[AUD_ASSETSWAP_SYNDICATE.0.4.xlsx]ACGB_BONDS!R15C3</stp>
        <tr r="C15" s="13"/>
      </tp>
      <tp>
        <v>41.875</v>
        <stp/>
        <stp>##V3_BDPV12</stp>
        <stp>ADSF25 IAUS Curncy</stp>
        <stp>Bid</stp>
        <stp>[AUD_ASSETSWAP_SYNDICATE.0.4.xlsx]SYNDICATE AUD IRS!R26C7</stp>
        <tr r="G26" s="8"/>
      </tp>
      <tp t="s">
        <v>AU000XCLWAX7</v>
        <stp/>
        <stp>##V3_BDPV12</stp>
        <stp>AQ762933 Corp</stp>
        <stp>ID_ISIN</stp>
        <stp>[AUD_ASSETSWAP_SYNDICATE.0.4.xlsx]ACGB_BONDS!R27C4</stp>
        <tr r="D27" s="13"/>
      </tp>
      <tp t="s">
        <v>CLEAN</v>
        <stp/>
        <stp>##V3_BDPV12</stp>
        <stp>AO836930 Corp</stp>
        <stp>PX_DIRTY_CLEAN</stp>
        <stp>[AUD_ASSETSWAP_SYNDICATE.0.4.xlsx]ACGB_BONDS!R22C14</stp>
        <tr r="N22" s="13"/>
      </tp>
      <tp t="s">
        <v>CLEAN</v>
        <stp/>
        <stp>##V3_BDPV12</stp>
        <stp>EG821160 Corp</stp>
        <stp>PX_DIRTY_CLEAN</stp>
        <stp>[AUD_ASSETSWAP_SYNDICATE.0.4.xlsx]ACGB_BONDS!R11C14</stp>
        <tr r="N11" s="13"/>
      </tp>
      <tp t="s">
        <v>21/11/2018</v>
        <stp/>
        <stp>##V3_BDPV12</stp>
        <stp>AU555712 Corp</stp>
        <stp>FIRST_CPN_DT</stp>
        <stp>[AUD_ASSETSWAP_SYNDICATE.0.4.xlsx]ACGB_BONDS!R38C8</stp>
        <tr r="H38" s="13"/>
      </tp>
      <tp t="s">
        <v>20/12/2010</v>
        <stp/>
        <stp>##V3_BDPV12</stp>
        <stp>EI405114 Corp</stp>
        <stp>FIRST_CPN_DT</stp>
        <stp>[AUD_ASSETSWAP_SYNDICATE.0.4.xlsx]ACGB_BONDS!R29C8</stp>
        <tr r="H29" s="13"/>
      </tp>
      <tp t="s">
        <v>21/05/2015</v>
        <stp/>
        <stp>##V3_BDPV12</stp>
        <stp>EK841545 Corp</stp>
        <stp>FIRST_CPN_DT</stp>
        <stp>[AUD_ASSETSWAP_SYNDICATE.0.4.xlsx]ACGB_BONDS!R10C8</stp>
        <tr r="H10" s="13"/>
      </tp>
      <tp t="s">
        <v>ACGB 5 3/4 07/15/22</v>
        <stp/>
        <stp>##V3_BDPV12</stp>
        <stp>EI214281 Corp</stp>
        <stp>SECURITY_DES</stp>
        <stp>[AUD_ASSETSWAP_SYNDICATE.0.4.xlsx]ACGB_BONDS!R14C3</stp>
        <tr r="C14" s="13"/>
      </tp>
      <tp>
        <v>15.875</v>
        <stp/>
        <stp>##V3_BDPV12</stp>
        <stp>ADSF10 IAUS Curncy</stp>
        <stp>Bid</stp>
        <stp>[AUD_ASSETSWAP_SYNDICATE.0.4.xlsx]SYNDICATE AUD IRS!R22C7</stp>
        <tr r="G22" s="8"/>
      </tp>
      <tp t="s">
        <v>13/09/2019</v>
        <stp/>
        <stp>##V3_BDPV12</stp>
        <stp>IR3   Comdty</stp>
        <stp>INT_RATE_FUT_END_DT</stp>
        <stp>[AUD_ASSETSWAP_SYNDICATE.0.4.xlsx]AUD CURVE TICKERS!R47C23</stp>
        <tr r="W47" s="9"/>
      </tp>
      <tp t="s">
        <v>14/06/2019</v>
        <stp/>
        <stp>##V3_BDPV12</stp>
        <stp>IR2   Comdty</stp>
        <stp>INT_RATE_FUT_END_DT</stp>
        <stp>[AUD_ASSETSWAP_SYNDICATE.0.4.xlsx]AUD CURVE TICKERS!R46C23</stp>
        <tr r="W46" s="9"/>
      </tp>
      <tp t="s">
        <v>08/03/2019</v>
        <stp/>
        <stp>##V3_BDPV12</stp>
        <stp>IR1   Comdty</stp>
        <stp>INT_RATE_FUT_END_DT</stp>
        <stp>[AUD_ASSETSWAP_SYNDICATE.0.4.xlsx]AUD CURVE TICKERS!R45C23</stp>
        <tr r="W45" s="9"/>
      </tp>
      <tp t="s">
        <v>12/06/2020</v>
        <stp/>
        <stp>##V3_BDPV12</stp>
        <stp>IR6   Comdty</stp>
        <stp>INT_RATE_FUT_END_DT</stp>
        <stp>[AUD_ASSETSWAP_SYNDICATE.0.4.xlsx]AUD CURVE TICKERS!R50C23</stp>
        <tr r="W50" s="9"/>
      </tp>
      <tp t="s">
        <v>13/03/2020</v>
        <stp/>
        <stp>##V3_BDPV12</stp>
        <stp>IR5   Comdty</stp>
        <stp>INT_RATE_FUT_END_DT</stp>
        <stp>[AUD_ASSETSWAP_SYNDICATE.0.4.xlsx]AUD CURVE TICKERS!R49C23</stp>
        <tr r="W49" s="9"/>
      </tp>
      <tp t="s">
        <v>13/12/2019</v>
        <stp/>
        <stp>##V3_BDPV12</stp>
        <stp>IR4   Comdty</stp>
        <stp>INT_RATE_FUT_END_DT</stp>
        <stp>[AUD_ASSETSWAP_SYNDICATE.0.4.xlsx]AUD CURVE TICKERS!R48C23</stp>
        <tr r="W48" s="9"/>
      </tp>
      <tp t="s">
        <v>21/10/2012</v>
        <stp/>
        <stp>##V3_BDPV12</stp>
        <stp>EJ244569 Corp</stp>
        <stp>FIRST_CPN_DT</stp>
        <stp>[AUD_ASSETSWAP_SYNDICATE.0.4.xlsx]ACGB_BONDS!R17C8</stp>
        <tr r="H17" s="13"/>
      </tp>
      <tp t="s">
        <v>ACGB 3 09/20/25</v>
        <stp/>
        <stp>##V3_BDPV12</stp>
        <stp>EH994413 Corp</stp>
        <stp>SECURITY_DES</stp>
        <stp>[AUD_ASSETSWAP_SYNDICATE.0.4.xlsx]ACGB_BONDS!R19C3</stp>
        <tr r="C19" s="13"/>
      </tp>
      <tp t="s">
        <v>21/05/2018</v>
        <stp/>
        <stp>##V3_BDPV12</stp>
        <stp>AQ762933 Corp</stp>
        <stp>FIRST_CPN_DT</stp>
        <stp>[AUD_ASSETSWAP_SYNDICATE.0.4.xlsx]ACGB_BONDS!R27C8</stp>
        <tr r="H27" s="13"/>
      </tp>
      <tp t="s">
        <v>ACGB 1 1/4 02/21/22</v>
        <stp/>
        <stp>##V3_BDPV12</stp>
        <stp>EJ036821 Corp</stp>
        <stp>SECURITY_DES</stp>
        <stp>[AUD_ASSETSWAP_SYNDICATE.0.4.xlsx]ACGB_BONDS!R13C3</stp>
        <tr r="C13" s="13"/>
      </tp>
      <tp t="s">
        <v>ACGB 3 3/4 04/21/37</v>
        <stp/>
        <stp>##V3_BDPV12</stp>
        <stp>EK544675 Corp</stp>
        <stp>SECURITY_DES</stp>
        <stp>[AUD_ASSETSWAP_SYNDICATE.0.4.xlsx]ACGB_BONDS!R33C3</stp>
        <tr r="C33" s="13"/>
      </tp>
      <tp>
        <v>20.875</v>
        <stp/>
        <stp>##V3_BDPV12</stp>
        <stp>ADSF10 IAUS Curncy</stp>
        <stp>Ask</stp>
        <stp>[AUD_ASSETSWAP_SYNDICATE.0.4.xlsx]SYNDICATE AUD IRS!R22C8</stp>
        <tr r="H22" s="8"/>
      </tp>
      <tp t="s">
        <v>CLEAN</v>
        <stp/>
        <stp>##V3_BDPV12</stp>
        <stp>EI683148 Corp</stp>
        <stp>PX_DIRTY_CLEAN</stp>
        <stp>[AUD_ASSETSWAP_SYNDICATE.0.4.xlsx]ACGB_BONDS!R16C14</stp>
        <tr r="N16" s="13"/>
      </tp>
      <tp t="s">
        <v>CLEAN</v>
        <stp/>
        <stp>##V3_BDPV12</stp>
        <stp>EI405114 Corp</stp>
        <stp>PX_DIRTY_CLEAN</stp>
        <stp>[AUD_ASSETSWAP_SYNDICATE.0.4.xlsx]ACGB_BONDS!R29C14</stp>
        <tr r="N29" s="13"/>
      </tp>
      <tp t="s">
        <v>ACGB 3 1/4 04/21/29</v>
        <stp/>
        <stp>##V3_BDPV12</stp>
        <stp>EJ393853 Corp</stp>
        <stp>SECURITY_DES</stp>
        <stp>[AUD_ASSETSWAP_SYNDICATE.0.4.xlsx]ACGB_BONDS!R26C3</stp>
        <tr r="C26" s="13"/>
      </tp>
      <tp t="s">
        <v>21/05/2016</v>
        <stp/>
        <stp>##V3_BDPV12</stp>
        <stp>LW020767 Corp</stp>
        <stp>FIRST_CPN_DT</stp>
        <stp>[AUD_ASSETSWAP_SYNDICATE.0.4.xlsx]ACGB_BONDS!R24C8</stp>
        <tr r="H24" s="13"/>
      </tp>
      <tp>
        <v>47.875</v>
        <stp/>
        <stp>##V3_BDPV12</stp>
        <stp>ADSF25 IAUS Curncy</stp>
        <stp>Ask</stp>
        <stp>[AUD_ASSETSWAP_SYNDICATE.0.4.xlsx]SYNDICATE AUD IRS!R26C8</stp>
        <tr r="H26" s="8"/>
      </tp>
      <tp t="s">
        <v>CLEAN</v>
        <stp/>
        <stp>##V3_BDPV12</stp>
        <stp>QJ152182 Corp</stp>
        <stp>PX_DIRTY_CLEAN</stp>
        <stp>[AUD_ASSETSWAP_SYNDICATE.0.4.xlsx]ACGB_BONDS!R34C14</stp>
        <tr r="N34" s="13"/>
      </tp>
      <tp t="s">
        <v>CLEAN</v>
        <stp/>
        <stp>##V3_BDPV12</stp>
        <stp>EI214281 Corp</stp>
        <stp>PX_DIRTY_CLEAN</stp>
        <stp>[AUD_ASSETSWAP_SYNDICATE.0.4.xlsx]ACGB_BONDS!R14C14</stp>
        <tr r="N14" s="13"/>
      </tp>
      <tp t="s">
        <v>CLEAN</v>
        <stp/>
        <stp>##V3_BDPV12</stp>
        <stp>EI849265 Corp</stp>
        <stp>PX_DIRTY_CLEAN</stp>
        <stp>[AUD_ASSETSWAP_SYNDICATE.0.4.xlsx]ACGB_BONDS!R21C14</stp>
        <tr r="N21" s="13"/>
      </tp>
      <tp t="s">
        <v>CLEAN</v>
        <stp/>
        <stp>##V3_BDPV12</stp>
        <stp>EJ679130 Corp</stp>
        <stp>PX_DIRTY_CLEAN</stp>
        <stp>[AUD_ASSETSWAP_SYNDICATE.0.4.xlsx]ACGB_BONDS!R18C14</stp>
        <tr r="N18" s="13"/>
      </tp>
      <tp t="s">
        <v>CLEAN</v>
        <stp/>
        <stp>##V3_BDPV12</stp>
        <stp>EK115060 Corp</stp>
        <stp>PX_DIRTY_CLEAN</stp>
        <stp>[AUD_ASSETSWAP_SYNDICATE.0.4.xlsx]ACGB_BONDS!R20C14</stp>
        <tr r="N20" s="13"/>
      </tp>
      <tp t="s">
        <v>ACGB 2 3/4 04/21/24</v>
        <stp/>
        <stp>##V3_BDPV12</stp>
        <stp>EJ244569 Corp</stp>
        <stp>SECURITY_DES</stp>
        <stp>[AUD_ASSETSWAP_SYNDICATE.0.4.xlsx]ACGB_BONDS!R17C3</stp>
        <tr r="C17" s="13"/>
      </tp>
      <tp t="s">
        <v>20/12/2009</v>
        <stp/>
        <stp>##V3_BDPV12</stp>
        <stp>EH994413 Corp</stp>
        <stp>FIRST_CPN_DT</stp>
        <stp>[AUD_ASSETSWAP_SYNDICATE.0.4.xlsx]ACGB_BONDS!R19C8</stp>
        <tr r="H19" s="13"/>
      </tp>
      <tp t="s">
        <v>ACGB 2 3/4 11/21/29</v>
        <stp/>
        <stp>##V3_BDPV12</stp>
        <stp>AQ762933 Corp</stp>
        <stp>SECURITY_DES</stp>
        <stp>[AUD_ASSETSWAP_SYNDICATE.0.4.xlsx]ACGB_BONDS!R27C3</stp>
        <tr r="C27" s="13"/>
      </tp>
      <tp t="s">
        <v>21/05/2012</v>
        <stp/>
        <stp>##V3_BDPV12</stp>
        <stp>EJ036821 Corp</stp>
        <stp>FIRST_CPN_DT</stp>
        <stp>[AUD_ASSETSWAP_SYNDICATE.0.4.xlsx]ACGB_BONDS!R13C8</stp>
        <tr r="H13" s="13"/>
      </tp>
      <tp t="s">
        <v>21/04/2015</v>
        <stp/>
        <stp>##V3_BDPV12</stp>
        <stp>EK544675 Corp</stp>
        <stp>FIRST_CPN_DT</stp>
        <stp>[AUD_ASSETSWAP_SYNDICATE.0.4.xlsx]ACGB_BONDS!R33C8</stp>
        <tr r="H33" s="13"/>
      </tp>
      <tp t="s">
        <v>CLEAN</v>
        <stp/>
        <stp>##V3_BDPV12</stp>
        <stp>EK821167 Corp</stp>
        <stp>PX_DIRTY_CLEAN</stp>
        <stp>[AUD_ASSETSWAP_SYNDICATE.0.4.xlsx]ACGB_BONDS!R31C14</stp>
        <tr r="N31" s="13"/>
      </tp>
      <tp t="s">
        <v>CLEAN</v>
        <stp/>
        <stp>##V3_BDPV12</stp>
        <stp>AM564740 Corp</stp>
        <stp>PX_DIRTY_CLEAN</stp>
        <stp>[AUD_ASSETSWAP_SYNDICATE.0.4.xlsx]ACGB_BONDS!R25C14</stp>
        <tr r="N25" s="13"/>
      </tp>
      <tp t="s">
        <v>21/04/2013</v>
        <stp/>
        <stp>##V3_BDPV12</stp>
        <stp>EJ393853 Corp</stp>
        <stp>FIRST_CPN_DT</stp>
        <stp>[AUD_ASSETSWAP_SYNDICATE.0.4.xlsx]ACGB_BONDS!R26C8</stp>
        <tr r="H26" s="13"/>
      </tp>
      <tp t="s">
        <v>ACGB 2 1/4 05/21/28</v>
        <stp/>
        <stp>##V3_BDPV12</stp>
        <stp>LW020767 Corp</stp>
        <stp>SECURITY_DES</stp>
        <stp>[AUD_ASSETSWAP_SYNDICATE.0.4.xlsx]ACGB_BONDS!R24C3</stp>
        <tr r="C24" s="13"/>
      </tp>
      <tp>
        <v>30.625</v>
        <stp/>
        <stp>##V3_BDPV12</stp>
        <stp>ADSF12 IAUS Curncy</stp>
        <stp>Ask</stp>
        <stp>[AUD_ASSETSWAP_SYNDICATE.0.4.xlsx]SYNDICATE AUD IRS!R23C8</stp>
        <tr r="H23" s="8"/>
      </tp>
      <tp>
        <v>40.125</v>
        <stp/>
        <stp>##V3_BDPV12</stp>
        <stp>ADSF15 IAUS Curncy</stp>
        <stp>Ask</stp>
        <stp>[AUD_ASSETSWAP_SYNDICATE.0.4.xlsx]SYNDICATE AUD IRS!R24C8</stp>
        <tr r="H24" s="8"/>
      </tp>
      <tp t="s">
        <v>AU0000013740</v>
        <stp/>
        <stp>##V3_BDPV12</stp>
        <stp>AS904985 Corp</stp>
        <stp>ID_ISIN</stp>
        <stp>[AUD_ASSETSWAP_SYNDICATE.0.4.xlsx]ACGB_BONDS!R28C4</stp>
        <tr r="D28" s="13"/>
      </tp>
      <tp t="s">
        <v>CLEAN</v>
        <stp/>
        <stp>##V3_BDPV12</stp>
        <stp>EJ943727 Corp</stp>
        <stp>PX_DIRTY_CLEAN</stp>
        <stp>[AUD_ASSETSWAP_SYNDICATE.0.4.xlsx]ACGB_BONDS!R30C14</stp>
        <tr r="N30" s="13"/>
      </tp>
      <tp t="s">
        <v>CLEAN</v>
        <stp/>
        <stp>##V3_BDPV12</stp>
        <stp>EK544675 Corp</stp>
        <stp>PX_DIRTY_CLEAN</stp>
        <stp>[AUD_ASSETSWAP_SYNDICATE.0.4.xlsx]ACGB_BONDS!R33C14</stp>
        <tr r="N33" s="13"/>
      </tp>
      <tp t="s">
        <v>ACGB 1 1/4 08/21/40</v>
        <stp/>
        <stp>##V3_BDPV12</stp>
        <stp>UV471848 Corp</stp>
        <stp>SECURITY_DES</stp>
        <stp>[AUD_ASSETSWAP_SYNDICATE.0.4.xlsx]ACGB_BONDS!R35C3</stp>
        <tr r="C35" s="13"/>
      </tp>
      <tp t="s">
        <v>ACGB 2 12/21/21</v>
        <stp/>
        <stp>##V3_BDPV12</stp>
        <stp>AM152866 Corp</stp>
        <stp>SECURITY_DES</stp>
        <stp>[AUD_ASSETSWAP_SYNDICATE.0.4.xlsx]ACGB_BONDS!R12C3</stp>
        <tr r="C12" s="13"/>
      </tp>
      <tp t="s">
        <v>21/04/2014</v>
        <stp/>
        <stp>##V3_BDPV12</stp>
        <stp>EK115060 Corp</stp>
        <stp>FIRST_CPN_DT</stp>
        <stp>[AUD_ASSETSWAP_SYNDICATE.0.4.xlsx]ACGB_BONDS!R20C8</stp>
        <tr r="H20" s="13"/>
      </tp>
      <tp t="s">
        <v>CLEAN</v>
        <stp/>
        <stp>##V3_BDPV12</stp>
        <stp>EH994413 Corp</stp>
        <stp>PX_DIRTY_CLEAN</stp>
        <stp>[AUD_ASSETSWAP_SYNDICATE.0.4.xlsx]ACGB_BONDS!R19C14</stp>
        <tr r="N19" s="13"/>
      </tp>
      <tp t="s">
        <v>21/05/2016</v>
        <stp/>
        <stp>##V3_BDPV12</stp>
        <stp>JV319866 Corp</stp>
        <stp>FIRST_CPN_DT</stp>
        <stp>[AUD_ASSETSWAP_SYNDICATE.0.4.xlsx]ACGB_BONDS!R23C8</stp>
        <tr r="H23" s="13"/>
      </tp>
      <tp t="s">
        <v>ACGB 2 3/4 11/21/28</v>
        <stp/>
        <stp>##V3_BDPV12</stp>
        <stp>AM564740 Corp</stp>
        <stp>SECURITY_DES</stp>
        <stp>[AUD_ASSETSWAP_SYNDICATE.0.4.xlsx]ACGB_BONDS!R25C3</stp>
        <tr r="C25" s="13"/>
      </tp>
      <tp t="s">
        <v>ACGB 5 1/2 04/21/23</v>
        <stp/>
        <stp>##V3_BDPV12</stp>
        <stp>EI683148 Corp</stp>
        <stp>SECURITY_DES</stp>
        <stp>[AUD_ASSETSWAP_SYNDICATE.0.4.xlsx]ACGB_BONDS!R16C3</stp>
        <tr r="C16" s="13"/>
      </tp>
      <tp t="s">
        <v>21/03/2017</v>
        <stp/>
        <stp>##V3_BDPV12</stp>
        <stp>QZ542945 Corp</stp>
        <stp>FIRST_CPN_DT</stp>
        <stp>[AUD_ASSETSWAP_SYNDICATE.0.4.xlsx]ACGB_BONDS!R37C8</stp>
        <tr r="H37" s="13"/>
      </tp>
      <tp>
        <v>44.625</v>
        <stp/>
        <stp>##V3_BDPV12</stp>
        <stp>ADSF30 IAUS Curncy</stp>
        <stp>Ask</stp>
        <stp>[AUD_ASSETSWAP_SYNDICATE.0.4.xlsx]SYNDICATE AUD IRS!R27C8</stp>
        <tr r="H27" s="8"/>
      </tp>
      <tp t="s">
        <v>AU000XCLWAR9</v>
        <stp/>
        <stp>##V3_BDPV12</stp>
        <stp>LW020767 Corp</stp>
        <stp>ID_ISIN</stp>
        <stp>[AUD_ASSETSWAP_SYNDICATE.0.4.xlsx]ACGB_BONDS!R24C4</stp>
        <tr r="D24" s="13"/>
      </tp>
      <tp t="s">
        <v>AU000XCLWAS7</v>
        <stp/>
        <stp>##V3_BDPV12</stp>
        <stp>QZ542945 Corp</stp>
        <stp>ID_ISIN</stp>
        <stp>[AUD_ASSETSWAP_SYNDICATE.0.4.xlsx]ACGB_BONDS!R37C4</stp>
        <tr r="D37" s="13"/>
      </tp>
      <tp t="s">
        <v>CLEAN</v>
        <stp/>
        <stp>##V3_BDPV12</stp>
        <stp>EJ847557 Corp</stp>
        <stp>PX_DIRTY_CLEAN</stp>
        <stp>[AUD_ASSETSWAP_SYNDICATE.0.4.xlsx]ACGB_BONDS!R32C14</stp>
        <tr r="N32" s="13"/>
      </tp>
      <tp t="s">
        <v>CLEAN</v>
        <stp/>
        <stp>##V3_BDPV12</stp>
        <stp>EJ244569 Corp</stp>
        <stp>PX_DIRTY_CLEAN</stp>
        <stp>[AUD_ASSETSWAP_SYNDICATE.0.4.xlsx]ACGB_BONDS!R17C14</stp>
        <tr r="N17" s="13"/>
      </tp>
      <tp t="s">
        <v>21/08/2015</v>
        <stp/>
        <stp>##V3_BDPV12</stp>
        <stp>UV471848 Corp</stp>
        <stp>FIRST_CPN_DT</stp>
        <stp>[AUD_ASSETSWAP_SYNDICATE.0.4.xlsx]ACGB_BONDS!R35C8</stp>
        <tr r="H35" s="13"/>
      </tp>
      <tp t="s">
        <v>21/06/2017</v>
        <stp/>
        <stp>##V3_BDPV12</stp>
        <stp>AM152866 Corp</stp>
        <stp>FIRST_CPN_DT</stp>
        <stp>[AUD_ASSETSWAP_SYNDICATE.0.4.xlsx]ACGB_BONDS!R12C8</stp>
        <tr r="H12" s="13"/>
      </tp>
      <tp t="s">
        <v>ACGB 4 1/4 04/21/26</v>
        <stp/>
        <stp>##V3_BDPV12</stp>
        <stp>EK115060 Corp</stp>
        <stp>SECURITY_DES</stp>
        <stp>[AUD_ASSETSWAP_SYNDICATE.0.4.xlsx]ACGB_BONDS!R20C3</stp>
        <tr r="C20" s="13"/>
      </tp>
      <tp t="s">
        <v>AU000XCLWAW9</v>
        <stp/>
        <stp>##V3_BDPV12</stp>
        <stp>AP364296 Corp</stp>
        <stp>ID_ISIN</stp>
        <stp>[AUD_ASSETSWAP_SYNDICATE.0.4.xlsx]ACGB_BONDS!R15C4</stp>
        <tr r="D15" s="13"/>
      </tp>
      <tp t="s">
        <v>CLEAN</v>
        <stp/>
        <stp>##V3_BDPV12</stp>
        <stp>EK841545 Corp</stp>
        <stp>PX_DIRTY_CLEAN</stp>
        <stp>[AUD_ASSETSWAP_SYNDICATE.0.4.xlsx]ACGB_BONDS!R10C14</stp>
        <tr r="N10" s="13"/>
      </tp>
      <tp t="s">
        <v>21/05/2017</v>
        <stp/>
        <stp>##V3_BDPV12</stp>
        <stp>AM564740 Corp</stp>
        <stp>FIRST_CPN_DT</stp>
        <stp>[AUD_ASSETSWAP_SYNDICATE.0.4.xlsx]ACGB_BONDS!R25C8</stp>
        <tr r="H25" s="13"/>
      </tp>
      <tp t="s">
        <v>ACGB 2 3/4 11/21/27</v>
        <stp/>
        <stp>##V3_BDPV12</stp>
        <stp>JV319866 Corp</stp>
        <stp>SECURITY_DES</stp>
        <stp>[AUD_ASSETSWAP_SYNDICATE.0.4.xlsx]ACGB_BONDS!R23C3</stp>
        <tr r="C23" s="13"/>
      </tp>
      <tp t="s">
        <v>21/10/2011</v>
        <stp/>
        <stp>##V3_BDPV12</stp>
        <stp>EI683148 Corp</stp>
        <stp>FIRST_CPN_DT</stp>
        <stp>[AUD_ASSETSWAP_SYNDICATE.0.4.xlsx]ACGB_BONDS!R16C8</stp>
        <tr r="H16" s="13"/>
      </tp>
      <tp t="s">
        <v>ACGB 3 03/21/47</v>
        <stp/>
        <stp>##V3_BDPV12</stp>
        <stp>QZ542945 Corp</stp>
        <stp>SECURITY_DES</stp>
        <stp>[AUD_ASSETSWAP_SYNDICATE.0.4.xlsx]ACGB_BONDS!R37C3</stp>
        <tr r="C37" s="13"/>
      </tp>
      <tp>
        <v>46.875</v>
        <stp/>
        <stp>##V3_BDPV12</stp>
        <stp>ADSF20 IAUS Curncy</stp>
        <stp>Ask</stp>
        <stp>[AUD_ASSETSWAP_SYNDICATE.0.4.xlsx]SYNDICATE AUD IRS!R25C8</stp>
        <tr r="H25" s="8"/>
      </tp>
      <tp>
        <v>3.13625</v>
        <stp/>
        <stp>##V3_BDPV12</stp>
        <stp>ADSW25 IAUS Curncy</stp>
        <stp>PX_MID</stp>
        <stp>[AUD_ASSETSWAP_SYNDICATE.0.4.xlsx]AUD CURVE TICKERS!R88C20</stp>
        <tr r="T88" s="9"/>
      </tp>
      <tp>
        <v>3.0587499999999999</v>
        <stp/>
        <stp>##V3_BDPV12</stp>
        <stp>ADSW15 IAUS Curncy</stp>
        <stp>PX_MID</stp>
        <stp>[AUD_ASSETSWAP_SYNDICATE.0.4.xlsx]AUD CURVE TICKERS!R86C20</stp>
        <tr r="T86" s="9"/>
      </tp>
      <tp>
        <v>3.13625</v>
        <stp/>
        <stp>##V3_BDPV12</stp>
        <stp>ADSW25 IAUS Curncy</stp>
        <stp>PX_MID</stp>
        <stp>[AUD_ASSETSWAP_SYNDICATE.0.4.xlsx]AUD CURVE TICKERS!R57C33</stp>
        <tr r="AG57" s="9"/>
      </tp>
      <tp>
        <v>3.0587499999999999</v>
        <stp/>
        <stp>##V3_BDPV12</stp>
        <stp>ADSW15 IAUS Curncy</stp>
        <stp>PX_MID</stp>
        <stp>[AUD_ASSETSWAP_SYNDICATE.0.4.xlsx]AUD CURVE TICKERS!R55C33</stp>
        <tr r="AG55" s="9"/>
      </tp>
      <tp>
        <v>2.548</v>
        <stp/>
        <stp>##V3_BDPV12</stp>
        <stp>ADSO15 IAUS Curncy</stp>
        <stp>PX_MID</stp>
        <stp>[AUD_ASSETSWAP_SYNDICATE.0.4.xlsx]AUD CURVE TICKERS!R34C10</stp>
        <tr r="J34" s="9"/>
      </tp>
      <tp>
        <v>2.62</v>
        <stp/>
        <stp>##V3_BDPV12</stp>
        <stp>ADSO25 IAUS Curncy</stp>
        <stp>PX_MID</stp>
        <stp>[AUD_ASSETSWAP_SYNDICATE.0.4.xlsx]AUD CURVE TICKERS!R36C10</stp>
        <tr r="J36" s="9"/>
      </tp>
      <tp>
        <v>-17.75</v>
        <stp/>
        <stp>##V3_BDPV12</stp>
        <stp>ADSF1Q WBCA Curncy</stp>
        <stp>Bid</stp>
        <stp>[AUD_ASSETSWAP_SYNDICATE.0.4.xlsx]SYNDICATE AUD IRS!R13C7</stp>
        <tr r="G13" s="8"/>
      </tp>
      <tp>
        <v>3.1037499999999998</v>
        <stp/>
        <stp>##V3_BDPV12</stp>
        <stp>ADSW30 IAUS Curncy</stp>
        <stp>PX_MID</stp>
        <stp>[AUD_ASSETSWAP_SYNDICATE.0.4.xlsx]AUD CURVE TICKERS!R89C20</stp>
        <tr r="T89" s="9"/>
      </tp>
      <tp>
        <v>2.8712499999999999</v>
        <stp/>
        <stp>##V3_BDPV12</stp>
        <stp>ADSW10 IAUS Curncy</stp>
        <stp>PX_MID</stp>
        <stp>[AUD_ASSETSWAP_SYNDICATE.0.4.xlsx]AUD CURVE TICKERS!R84C20</stp>
        <tr r="T84" s="9"/>
      </tp>
      <tp>
        <v>3.1262500000000002</v>
        <stp/>
        <stp>##V3_BDPV12</stp>
        <stp>ADSW20 IAUS Curncy</stp>
        <stp>PX_MID</stp>
        <stp>[AUD_ASSETSWAP_SYNDICATE.0.4.xlsx]AUD CURVE TICKERS!R87C20</stp>
        <tr r="T87" s="9"/>
      </tp>
      <tp>
        <v>3.1037499999999998</v>
        <stp/>
        <stp>##V3_BDPV12</stp>
        <stp>ADSW30 IAUS Curncy</stp>
        <stp>PX_MID</stp>
        <stp>[AUD_ASSETSWAP_SYNDICATE.0.4.xlsx]AUD CURVE TICKERS!R58C33</stp>
        <tr r="AG58" s="9"/>
      </tp>
      <tp>
        <v>2.8712499999999999</v>
        <stp/>
        <stp>##V3_BDPV12</stp>
        <stp>ADSW10 IAUS Curncy</stp>
        <stp>PX_MID</stp>
        <stp>[AUD_ASSETSWAP_SYNDICATE.0.4.xlsx]AUD CURVE TICKERS!R54C33</stp>
        <tr r="AG54" s="9"/>
      </tp>
      <tp>
        <v>3.1262500000000002</v>
        <stp/>
        <stp>##V3_BDPV12</stp>
        <stp>ADSW20 IAUS Curncy</stp>
        <stp>PX_MID</stp>
        <stp>[AUD_ASSETSWAP_SYNDICATE.0.4.xlsx]AUD CURVE TICKERS!R56C33</stp>
        <tr r="AG56" s="9"/>
      </tp>
      <tp>
        <v>2.5830000000000002</v>
        <stp/>
        <stp>##V3_BDPV12</stp>
        <stp>ADSO30 IAUS Curncy</stp>
        <stp>PX_MID</stp>
        <stp>[AUD_ASSETSWAP_SYNDICATE.0.4.xlsx]AUD CURVE TICKERS!R37C10</stp>
        <tr r="J37" s="9"/>
      </tp>
      <tp>
        <v>2.6150000000000002</v>
        <stp/>
        <stp>##V3_BDPV12</stp>
        <stp>ADSO20 IAUS Curncy</stp>
        <stp>PX_MID</stp>
        <stp>[AUD_ASSETSWAP_SYNDICATE.0.4.xlsx]AUD CURVE TICKERS!R35C10</stp>
        <tr r="J35" s="9"/>
      </tp>
      <tp>
        <v>2.3479999999999999</v>
        <stp/>
        <stp>##V3_BDPV12</stp>
        <stp>ADSO10 IAUS Curncy</stp>
        <stp>PX_MID</stp>
        <stp>[AUD_ASSETSWAP_SYNDICATE.0.4.xlsx]AUD CURVE TICKERS!R33C10</stp>
        <tr r="J33" s="9"/>
      </tp>
      <tp>
        <v>2.9637500000000001</v>
        <stp/>
        <stp>##V3_BDPV12</stp>
        <stp>ADSW12 IAUS Curncy</stp>
        <stp>PX_MID</stp>
        <stp>[AUD_ASSETSWAP_SYNDICATE.0.4.xlsx]AUD CURVE TICKERS!R85C20</stp>
        <tr r="T85" s="9"/>
      </tp>
      <tp t="s">
        <v>AU3TB0000036</v>
        <stp/>
        <stp>##V3_BDPV12</stp>
        <stp>EH807646 Corp</stp>
        <stp>ID_ISIN</stp>
        <stp>[AUD_ASSETSWAP_SYNDICATE.0.4.xlsx]ACGB_BONDS!R8C4</stp>
        <tr r="D8" s="13"/>
      </tp>
      <tp>
        <v>2.13</v>
        <stp/>
        <stp>##V3_BDPV12</stp>
        <stp>ADFR0CI   Curncy</stp>
        <stp>PX_MID</stp>
        <stp>[AUD_ASSETSWAP_SYNDICATE.0.4.xlsx]AUD CURVE TICKERS!R77C10</stp>
        <tr r="J77" s="9"/>
      </tp>
      <tp>
        <v>2.129</v>
        <stp/>
        <stp>##V3_BDPV12</stp>
        <stp>ADFR0BH   Curncy</stp>
        <stp>PX_MID</stp>
        <stp>[AUD_ASSETSWAP_SYNDICATE.0.4.xlsx]AUD CURVE TICKERS!R76C10</stp>
        <tr r="J76" s="9"/>
      </tp>
      <tp>
        <v>2.1309999999999998</v>
        <stp/>
        <stp>##V3_BDPV12</stp>
        <stp>ADFR0AG   Curncy</stp>
        <stp>PX_MID</stp>
        <stp>[AUD_ASSETSWAP_SYNDICATE.0.4.xlsx]AUD CURVE TICKERS!R75C10</stp>
        <tr r="J75" s="9"/>
      </tp>
      <tp>
        <v>2.3450000000000002</v>
        <stp/>
        <stp>##V3_BDPV12</stp>
        <stp>ADSW3    Curncy</stp>
        <stp>PX_MID</stp>
        <stp>[AUD_ASSETSWAP_SYNDICATE.0.4.xlsx]AUD CURVE TICKERS!R77C20</stp>
        <tr r="T77" s="9"/>
      </tp>
      <tp t="s">
        <v>AU0000XCLWE2</v>
        <stp/>
        <stp>##V3_BDPV12</stp>
        <stp>GG728188 Corp</stp>
        <stp>ID_ISIN</stp>
        <stp>[AUD_ASSETSWAP_SYNDICATE.0.4.xlsx]ACGB_BONDS!R9C4</stp>
        <tr r="D9" s="13"/>
      </tp>
      <tp>
        <v>-17.75</v>
        <stp/>
        <stp>##V3_BDPV12</stp>
        <stp>ADSF1Q WBCA Curncy</stp>
        <stp>Ask</stp>
        <stp>[AUD_ASSETSWAP_SYNDICATE.0.4.xlsx]SYNDICATE AUD IRS!R13C8</stp>
        <tr r="H13" s="8"/>
      </tp>
      <tp>
        <v>-9.625</v>
        <stp/>
        <stp>##V3_BDPV12</stp>
        <stp>ADSF2Q IAUS Curncy</stp>
        <stp>Bid</stp>
        <stp>[AUD_ASSETSWAP_SYNDICATE.0.4.xlsx]SYNDICATE AUD IRS!R14C7</stp>
        <tr r="G14" s="8"/>
      </tp>
      <tp t="s">
        <v>CLEAN</v>
        <stp/>
        <stp>##V3_BDPV12</stp>
        <stp>EH807646 Corp</stp>
        <stp>PX_DIRTY_CLEAN</stp>
        <stp>[AUD_ASSETSWAP_SYNDICATE.0.4.xlsx]ACGB_BONDS!R8C14</stp>
        <tr r="N8" s="13"/>
      </tp>
      <tp>
        <v>1.675</v>
        <stp/>
        <stp>##V3_BDPV12</stp>
        <stp>ADSO2 IAUS Curncy</stp>
        <stp>PX_MID</stp>
        <stp>[AUD_ASSETSWAP_SYNDICATE.0.4.xlsx]AUD CURVE TICKERS!R25C10</stp>
        <tr r="J25" s="9"/>
      </tp>
      <tp>
        <v>1.125</v>
        <stp/>
        <stp>##V3_BDPV12</stp>
        <stp>ADSF3Q IAUS Curncy</stp>
        <stp>Bid</stp>
        <stp>[AUD_ASSETSWAP_SYNDICATE.0.4.xlsx]SYNDICATE AUD IRS!R15C7</stp>
        <tr r="G15" s="8"/>
      </tp>
      <tp>
        <v>1.7849999999999999</v>
        <stp/>
        <stp>##V3_BDPV12</stp>
        <stp>ADSO3 IAUS Curncy</stp>
        <stp>PX_MID</stp>
        <stp>[AUD_ASSETSWAP_SYNDICATE.0.4.xlsx]AUD CURVE TICKERS!R26C10</stp>
        <tr r="J26" s="9"/>
      </tp>
      <tp t="s">
        <v>04/05/2009</v>
        <stp/>
        <stp>##V3_BDPV12</stp>
        <stp>EH807646 Corp</stp>
        <stp>ISSUE_DT</stp>
        <stp>[AUD_ASSETSWAP_SYNDICATE.0.4.xlsx]ACGB_BONDS!R8C5</stp>
        <tr r="E8" s="13"/>
      </tp>
      <tp>
        <v>1.5475000000000001</v>
        <stp/>
        <stp>##V3_BDPV12</stp>
        <stp>ADSO1 IAUS Curncy</stp>
        <stp>PX_MID</stp>
        <stp>[AUD_ASSETSWAP_SYNDICATE.0.4.xlsx]AUD CURVE TICKERS!R24C10</stp>
        <tr r="J24" s="9"/>
      </tp>
      <tp t="s">
        <v>17/01/2028</v>
        <stp/>
        <stp>##V3_BDPV12</stp>
        <stp>AU3CB0250215 Corp</stp>
        <stp>PENULTIMATE_CPN_DT</stp>
        <stp>[AUD_ASSETSWAP_SYNDICATE.0.4.xlsx]TAP AUD ASW!R20C6</stp>
        <tr r="F20" s="11"/>
      </tp>
      <tp>
        <v>2.0630000000000002</v>
        <stp/>
        <stp>##V3_BDPV12</stp>
        <stp>ADSO6 IAUS Curncy</stp>
        <stp>PX_MID</stp>
        <stp>[AUD_ASSETSWAP_SYNDICATE.0.4.xlsx]AUD CURVE TICKERS!R29C10</stp>
        <tr r="J29" s="9"/>
      </tp>
      <tp>
        <v>2.61625</v>
        <stp/>
        <stp>##V3_BDPV12</stp>
        <stp>ADSW6 IAUS Curncy</stp>
        <stp>PX_MID</stp>
        <stp>[AUD_ASSETSWAP_SYNDICATE.0.4.xlsx]AUD CURVE TICKERS!R50C33</stp>
        <tr r="AG50" s="9"/>
      </tp>
      <tp>
        <v>2.61625</v>
        <stp/>
        <stp>##V3_BDPV12</stp>
        <stp>ADSW6 IAUS Curncy</stp>
        <stp>PX_MID</stp>
        <stp>[AUD_ASSETSWAP_SYNDICATE.0.4.xlsx]AUD CURVE TICKERS!R80C20</stp>
        <tr r="T80" s="9"/>
      </tp>
      <tp>
        <v>97.825000000000003</v>
        <stp/>
        <stp>##V3_BDPV12</stp>
        <stp>YMA Comdty</stp>
        <stp>BID</stp>
        <stp>[AUD_ASSETSWAP_SYNDICATE.0.4.xlsx]ACGB_BONDS!R9C25</stp>
        <tr r="Y9" s="13"/>
      </tp>
      <tp>
        <v>97.825000000000003</v>
        <stp/>
        <stp>##V3_BDPV12</stp>
        <stp>YMA Comdty</stp>
        <stp>BID</stp>
        <stp>[AUD_ASSETSWAP_SYNDICATE.0.4.xlsx]ACGB_BONDS!R8C25</stp>
        <tr r="Y8" s="13"/>
      </tp>
      <tp>
        <v>97.83</v>
        <stp/>
        <stp>##V3_BDPV12</stp>
        <stp>YMA Comdty</stp>
        <stp>ASK</stp>
        <stp>[AUD_ASSETSWAP_SYNDICATE.0.4.xlsx]ACGB_BONDS!R8C26</stp>
        <tr r="Z8" s="13"/>
      </tp>
      <tp>
        <v>97.83</v>
        <stp/>
        <stp>##V3_BDPV12</stp>
        <stp>YMA Comdty</stp>
        <stp>ASK</stp>
        <stp>[AUD_ASSETSWAP_SYNDICATE.0.4.xlsx]ACGB_BONDS!R9C26</stp>
        <tr r="Z9" s="13"/>
      </tp>
      <tp>
        <v>2.1480000000000001</v>
        <stp/>
        <stp>##V3_BDPV12</stp>
        <stp>ADSO7 IAUS Curncy</stp>
        <stp>PX_MID</stp>
        <stp>[AUD_ASSETSWAP_SYNDICATE.0.4.xlsx]AUD CURVE TICKERS!R30C10</stp>
        <tr r="J30" s="9"/>
      </tp>
      <tp>
        <v>2.6924999999999999</v>
        <stp/>
        <stp>##V3_BDPV12</stp>
        <stp>ADSW7 IAUS Curncy</stp>
        <stp>PX_MID</stp>
        <stp>[AUD_ASSETSWAP_SYNDICATE.0.4.xlsx]AUD CURVE TICKERS!R51C33</stp>
        <tr r="AG51" s="9"/>
      </tp>
      <tp>
        <v>2.6924999999999999</v>
        <stp/>
        <stp>##V3_BDPV12</stp>
        <stp>ADSW7 IAUS Curncy</stp>
        <stp>PX_MID</stp>
        <stp>[AUD_ASSETSWAP_SYNDICATE.0.4.xlsx]AUD CURVE TICKERS!R81C20</stp>
        <tr r="T81" s="9"/>
      </tp>
      <tp>
        <v>1.883</v>
        <stp/>
        <stp>##V3_BDPV12</stp>
        <stp>ADSO4 IAUS Curncy</stp>
        <stp>PX_MID</stp>
        <stp>[AUD_ASSETSWAP_SYNDICATE.0.4.xlsx]AUD CURVE TICKERS!R27C10</stp>
        <tr r="J27" s="9"/>
      </tp>
      <tp>
        <v>2.44</v>
        <stp/>
        <stp>##V3_BDPV12</stp>
        <stp>ADSW4 IAUS Curncy</stp>
        <stp>PX_MID</stp>
        <stp>[AUD_ASSETSWAP_SYNDICATE.0.4.xlsx]AUD CURVE TICKERS!R48C33</stp>
        <tr r="AG48" s="9"/>
      </tp>
      <tp>
        <v>2.44</v>
        <stp/>
        <stp>##V3_BDPV12</stp>
        <stp>ADSW4 IAUS Curncy</stp>
        <stp>PX_MID</stp>
        <stp>[AUD_ASSETSWAP_SYNDICATE.0.4.xlsx]AUD CURVE TICKERS!R78C20</stp>
        <tr r="T78" s="9"/>
      </tp>
      <tp t="s">
        <v>17/01/2019</v>
        <stp/>
        <stp>##V3_BDPV12</stp>
        <stp>AU3CB0250215 Corp</stp>
        <stp>NXT_CPN_DT</stp>
        <stp>[AUD_ASSETSWAP_SYNDICATE.0.4.xlsx]TAP AUD ASW!R35C6</stp>
        <tr r="F35" s="11"/>
      </tp>
      <tp>
        <v>1.978</v>
        <stp/>
        <stp>##V3_BDPV12</stp>
        <stp>ADSO5 IAUS Curncy</stp>
        <stp>PX_MID</stp>
        <stp>[AUD_ASSETSWAP_SYNDICATE.0.4.xlsx]AUD CURVE TICKERS!R28C10</stp>
        <tr r="J28" s="9"/>
      </tp>
      <tp>
        <v>2.53125</v>
        <stp/>
        <stp>##V3_BDPV12</stp>
        <stp>ADSW5 IAUS Curncy</stp>
        <stp>PX_MID</stp>
        <stp>[AUD_ASSETSWAP_SYNDICATE.0.4.xlsx]AUD CURVE TICKERS!R49C33</stp>
        <tr r="AG49" s="9"/>
      </tp>
      <tp>
        <v>2.53125</v>
        <stp/>
        <stp>##V3_BDPV12</stp>
        <stp>ADSW5 IAUS Curncy</stp>
        <stp>PX_MID</stp>
        <stp>[AUD_ASSETSWAP_SYNDICATE.0.4.xlsx]AUD CURVE TICKERS!R79C20</stp>
        <tr r="T79" s="9"/>
      </tp>
      <tp>
        <v>2.11</v>
        <stp/>
        <stp>##V3_BDPV12</stp>
        <stp>ADBB6M   Curncy</stp>
        <stp>PX_ASK</stp>
        <stp>[AUD_ASSETSWAP_SYNDICATE.0.4.xlsx]AUD CURVE TICKERS!R47C10</stp>
        <tr r="J47" s="9"/>
      </tp>
      <tp>
        <v>1.86</v>
        <stp/>
        <stp>##V3_BDPV12</stp>
        <stp>ADBB1M   Curncy</stp>
        <stp>PX_ASK</stp>
        <stp>[AUD_ASSETSWAP_SYNDICATE.0.4.xlsx]AUD CURVE TICKERS!R45C10</stp>
        <tr r="J45" s="9"/>
      </tp>
      <tp>
        <v>1.93</v>
        <stp/>
        <stp>##V3_BDPV12</stp>
        <stp>ADBB3M   Curncy</stp>
        <stp>PX_ASK</stp>
        <stp>[AUD_ASSETSWAP_SYNDICATE.0.4.xlsx]AUD CURVE TICKERS!R46C10</stp>
        <tr r="J46" s="9"/>
      </tp>
      <tp>
        <v>2.2149999999999999</v>
        <stp/>
        <stp>##V3_BDPV12</stp>
        <stp>ADSO8 IAUS Curncy</stp>
        <stp>PX_MID</stp>
        <stp>[AUD_ASSETSWAP_SYNDICATE.0.4.xlsx]AUD CURVE TICKERS!R31C10</stp>
        <tr r="J31" s="9"/>
      </tp>
      <tp>
        <v>2.76</v>
        <stp/>
        <stp>##V3_BDPV12</stp>
        <stp>ADSW8 IAUS Curncy</stp>
        <stp>PX_MID</stp>
        <stp>[AUD_ASSETSWAP_SYNDICATE.0.4.xlsx]AUD CURVE TICKERS!R52C33</stp>
        <tr r="AG52" s="9"/>
      </tp>
      <tp>
        <v>2.76</v>
        <stp/>
        <stp>##V3_BDPV12</stp>
        <stp>ADSW8 IAUS Curncy</stp>
        <stp>PX_MID</stp>
        <stp>[AUD_ASSETSWAP_SYNDICATE.0.4.xlsx]AUD CURVE TICKERS!R82C20</stp>
        <tr r="T82" s="9"/>
      </tp>
      <tp t="s">
        <v>14/10/1996</v>
        <stp/>
        <stp>##V3_BDPV12</stp>
        <stp>GG728188 Corp</stp>
        <stp>ISSUE_DT</stp>
        <stp>[AUD_ASSETSWAP_SYNDICATE.0.4.xlsx]ACGB_BONDS!R9C5</stp>
        <tr r="E9" s="13"/>
      </tp>
      <tp>
        <v>2.2799999999999998</v>
        <stp/>
        <stp>##V3_BDPV12</stp>
        <stp>ADSO9 IAUS Curncy</stp>
        <stp>PX_MID</stp>
        <stp>[AUD_ASSETSWAP_SYNDICATE.0.4.xlsx]AUD CURVE TICKERS!R32C10</stp>
        <tr r="J32" s="9"/>
      </tp>
      <tp>
        <v>2.8187500000000001</v>
        <stp/>
        <stp>##V3_BDPV12</stp>
        <stp>ADSW9 IAUS Curncy</stp>
        <stp>PX_MID</stp>
        <stp>[AUD_ASSETSWAP_SYNDICATE.0.4.xlsx]AUD CURVE TICKERS!R53C33</stp>
        <tr r="AG53" s="9"/>
      </tp>
      <tp>
        <v>2.8187500000000001</v>
        <stp/>
        <stp>##V3_BDPV12</stp>
        <stp>ADSW9 IAUS Curncy</stp>
        <stp>PX_MID</stp>
        <stp>[AUD_ASSETSWAP_SYNDICATE.0.4.xlsx]AUD CURVE TICKERS!R83C20</stp>
        <tr r="T83" s="9"/>
      </tp>
      <tp t="s">
        <v>CLEAN</v>
        <stp/>
        <stp>##V3_BDPV12</stp>
        <stp>GG728188 Corp</stp>
        <stp>PX_DIRTY_CLEAN</stp>
        <stp>[AUD_ASSETSWAP_SYNDICATE.0.4.xlsx]ACGB_BONDS!R9C14</stp>
        <tr r="N9" s="13"/>
      </tp>
      <tp>
        <v>5.125</v>
        <stp/>
        <stp>##V3_BDPV12</stp>
        <stp>ADSF3Q IAUS Curncy</stp>
        <stp>Ask</stp>
        <stp>[AUD_ASSETSWAP_SYNDICATE.0.4.xlsx]SYNDICATE AUD IRS!R15C8</stp>
        <tr r="H15" s="8"/>
      </tp>
      <tp>
        <v>-4.625</v>
        <stp/>
        <stp>##V3_BDPV12</stp>
        <stp>ADSF2Q IAUS Curncy</stp>
        <stp>Ask</stp>
        <stp>[AUD_ASSETSWAP_SYNDICATE.0.4.xlsx]SYNDICATE AUD IRS!R14C8</stp>
        <tr r="H14" s="8"/>
      </tp>
      <tp t="s">
        <v>21/08/2040</v>
        <stp/>
        <stp>##V3_BDPV12</stp>
        <stp>UV471848 Corp</stp>
        <stp>MATURITY</stp>
        <stp>[AUD_ASSETSWAP_SYNDICATE.0.4.xlsx]ACGB_BONDS!R35C11</stp>
        <tr r="K35" s="13"/>
      </tp>
      <tp>
        <v>17.125</v>
        <stp/>
        <stp>##V3_BDPV12</stp>
        <stp>ADBBCF1 IAUS Curncy</stp>
        <stp>Ask</stp>
        <stp>[AUD_ASSETSWAP_SYNDICATE.0.4.xlsx]SYNDICATE AUD IRS!R31C8</stp>
        <tr r="H31" s="8"/>
      </tp>
      <tp>
        <v>16.625</v>
        <stp/>
        <stp>##V3_BDPV12</stp>
        <stp>ADBBCF2 IAUS Curncy</stp>
        <stp>Ask</stp>
        <stp>[AUD_ASSETSWAP_SYNDICATE.0.4.xlsx]SYNDICATE AUD IRS!R32C8</stp>
        <tr r="H32" s="8"/>
      </tp>
      <tp>
        <v>16.125</v>
        <stp/>
        <stp>##V3_BDPV12</stp>
        <stp>ADBBCF3 IAUS Curncy</stp>
        <stp>Ask</stp>
        <stp>[AUD_ASSETSWAP_SYNDICATE.0.4.xlsx]SYNDICATE AUD IRS!R33C8</stp>
        <tr r="H33" s="8"/>
      </tp>
      <tp>
        <v>16</v>
        <stp/>
        <stp>##V3_BDPV12</stp>
        <stp>ADBBCF4 IAUS Curncy</stp>
        <stp>Ask</stp>
        <stp>[AUD_ASSETSWAP_SYNDICATE.0.4.xlsx]SYNDICATE AUD IRS!R34C8</stp>
        <tr r="H34" s="8"/>
      </tp>
      <tp>
        <v>15.75</v>
        <stp/>
        <stp>##V3_BDPV12</stp>
        <stp>ADBBCF5 IAUS Curncy</stp>
        <stp>Ask</stp>
        <stp>[AUD_ASSETSWAP_SYNDICATE.0.4.xlsx]SYNDICATE AUD IRS!R35C8</stp>
        <tr r="H35" s="8"/>
      </tp>
      <tp>
        <v>15.25</v>
        <stp/>
        <stp>##V3_BDPV12</stp>
        <stp>ADBBCF6 IAUS Curncy</stp>
        <stp>Ask</stp>
        <stp>[AUD_ASSETSWAP_SYNDICATE.0.4.xlsx]SYNDICATE AUD IRS!R36C8</stp>
        <tr r="H36" s="8"/>
      </tp>
      <tp>
        <v>14.75</v>
        <stp/>
        <stp>##V3_BDPV12</stp>
        <stp>ADBBCF7 IAUS Curncy</stp>
        <stp>Ask</stp>
        <stp>[AUD_ASSETSWAP_SYNDICATE.0.4.xlsx]SYNDICATE AUD IRS!R37C8</stp>
        <tr r="H37" s="8"/>
      </tp>
      <tp>
        <v>14.125</v>
        <stp/>
        <stp>##V3_BDPV12</stp>
        <stp>ADBBCF8 IAUS Curncy</stp>
        <stp>Ask</stp>
        <stp>[AUD_ASSETSWAP_SYNDICATE.0.4.xlsx]SYNDICATE AUD IRS!R38C8</stp>
        <tr r="H38" s="8"/>
      </tp>
      <tp>
        <v>13.625</v>
        <stp/>
        <stp>##V3_BDPV12</stp>
        <stp>ADBBCF9 IAUS Curncy</stp>
        <stp>Ask</stp>
        <stp>[AUD_ASSETSWAP_SYNDICATE.0.4.xlsx]SYNDICATE AUD IRS!R39C8</stp>
        <tr r="H39" s="8"/>
      </tp>
      <tp t="s">
        <v>27/07/2018</v>
        <stp/>
        <stp>##V3_BDPV12</stp>
        <stp>AT496992 Corp</stp>
        <stp>ISSUE_DT</stp>
        <stp>[AUD_ASSETSWAP_SYNDICATE.0.4.xlsx]ACGB_BONDS!R36C5</stp>
        <tr r="E36" s="13"/>
      </tp>
      <tp t="s">
        <v>26/11/2013</v>
        <stp/>
        <stp>##V3_BDPV12</stp>
        <stp>EJ943727 Corp</stp>
        <stp>ISSUE_DT</stp>
        <stp>[AUD_ASSETSWAP_SYNDICATE.0.4.xlsx]ACGB_BONDS!R30C5</stp>
        <tr r="E30" s="13"/>
      </tp>
      <tp t="s">
        <v>17/07/2018</v>
        <stp/>
        <stp>##V3_BDPV12</stp>
        <stp>AU3CB0250215 Corp</stp>
        <stp>FIRST_CPN_DT</stp>
        <stp>[AUD_ASSETSWAP_SYNDICATE.0.4.xlsx]TAP AUD ASW!R19C6</stp>
        <tr r="F19" s="11"/>
      </tp>
      <tp>
        <v>12.125</v>
        <stp/>
        <stp>##V3_BDPV12</stp>
        <stp>ADBBCF30 IAUS Curncy</stp>
        <stp>Ask</stp>
        <stp>[AUD_ASSETSWAP_SYNDICATE.0.4.xlsx]SYNDICATE AUD IRS!R45C8</stp>
        <tr r="H45" s="8"/>
      </tp>
      <tp t="s">
        <v>21/04/2024</v>
        <stp/>
        <stp>##V3_BDPV12</stp>
        <stp>EJ244569 Corp</stp>
        <stp>MATURITY</stp>
        <stp>[AUD_ASSETSWAP_SYNDICATE.0.4.xlsx]ACGB_BONDS!R17C11</stp>
        <tr r="K17" s="13"/>
      </tp>
      <tp>
        <v>97.3</v>
        <stp/>
        <stp>##V3_BDPV12</stp>
        <stp>XMA Comdty</stp>
        <stp>Ask</stp>
        <stp>[AUD_ASSETSWAP_SYNDICATE.0.4.xlsx]SYNDICATE AUD IRS!R9C8</stp>
        <tr r="H9" s="8"/>
      </tp>
      <tp t="s">
        <v>20/06/2025</v>
        <stp/>
        <stp>##V3_BDPV12</stp>
        <stp>EH994413 Corp</stp>
        <stp>PENULTIMATE_CPN_DT</stp>
        <stp>[AUD_ASSETSWAP_SYNDICATE.0.4.xlsx]ACGB_BONDS!R19C9</stp>
        <tr r="I19" s="13"/>
      </tp>
      <tp t="s">
        <v>31/08/2017</v>
        <stp/>
        <stp>##V3_BDPV12</stp>
        <stp>AO836930 Corp</stp>
        <stp>ISSUE_DT</stp>
        <stp>[AUD_ASSETSWAP_SYNDICATE.0.4.xlsx]ACGB_BONDS!R22C5</stp>
        <tr r="E22" s="13"/>
      </tp>
      <tp t="s">
        <v>13/06/2018</v>
        <stp/>
        <stp>##V3_BDPV12</stp>
        <stp>AS904985 Corp</stp>
        <stp>ISSUE_DT</stp>
        <stp>[AUD_ASSETSWAP_SYNDICATE.0.4.xlsx]ACGB_BONDS!R28C5</stp>
        <tr r="E28" s="13"/>
      </tp>
      <tp t="s">
        <v>21/11/2027</v>
        <stp/>
        <stp>##V3_BDPV12</stp>
        <stp>LW020767 Corp</stp>
        <stp>PENULTIMATE_CPN_DT</stp>
        <stp>[AUD_ASSETSWAP_SYNDICATE.0.4.xlsx]ACGB_BONDS!R24C9</stp>
        <tr r="I24" s="13"/>
      </tp>
      <tp>
        <v>2.15</v>
        <stp/>
        <stp>##V3_BDPV12</stp>
        <stp>ADBB12M Curncy</stp>
        <stp>PX_ASK</stp>
        <stp>[AUD_ASSETSWAP_SYNDICATE.0.4.xlsx]SYNDICATE AUD IRS!R42C22</stp>
        <tr r="V42" s="8"/>
      </tp>
      <tp>
        <v>12</v>
        <stp/>
        <stp>##V3_BDPV12</stp>
        <stp>ADBBCF15 IAUS Curncy</stp>
        <stp>Ask</stp>
        <stp>[AUD_ASSETSWAP_SYNDICATE.0.4.xlsx]SYNDICATE AUD IRS!R42C8</stp>
        <tr r="H42" s="8"/>
      </tp>
      <tp t="s">
        <v>20/06/2030</v>
        <stp/>
        <stp>##V3_BDPV12</stp>
        <stp>EI405114 Corp</stp>
        <stp>PENULTIMATE_CPN_DT</stp>
        <stp>[AUD_ASSETSWAP_SYNDICATE.0.4.xlsx]ACGB_BONDS!R29C9</stp>
        <tr r="I29" s="13"/>
      </tp>
      <tp t="s">
        <v>21/05/2041</v>
        <stp/>
        <stp>##V3_BDPV12</stp>
        <stp>AT496992 Corp</stp>
        <stp>MATURITY</stp>
        <stp>[AUD_ASSETSWAP_SYNDICATE.0.4.xlsx]ACGB_BONDS!R36C11</stp>
        <tr r="K36" s="13"/>
      </tp>
      <tp>
        <v>13</v>
        <stp/>
        <stp>##V3_BDPV12</stp>
        <stp>ADBBCF10 IAUS Curncy</stp>
        <stp>Ask</stp>
        <stp>[AUD_ASSETSWAP_SYNDICATE.0.4.xlsx]SYNDICATE AUD IRS!R40C8</stp>
        <tr r="H40" s="8"/>
      </tp>
      <tp t="s">
        <v>03/10/2013</v>
        <stp/>
        <stp>##V3_BDPV12</stp>
        <stp>EJ847557 Corp</stp>
        <stp>ISSUE_DT</stp>
        <stp>[AUD_ASSETSWAP_SYNDICATE.0.4.xlsx]ACGB_BONDS!R32C5</stp>
        <tr r="E32" s="13"/>
      </tp>
      <tp t="s">
        <v>13/09/2007</v>
        <stp/>
        <stp>##V3_BDPV12</stp>
        <stp>EG821160 Corp</stp>
        <stp>ISSUE_DT</stp>
        <stp>[AUD_ASSETSWAP_SYNDICATE.0.4.xlsx]ACGB_BONDS!R11C5</stp>
        <tr r="E11" s="13"/>
      </tp>
      <tp t="s">
        <v>27/10/2011</v>
        <stp/>
        <stp>##V3_BDPV12</stp>
        <stp>EI849265 Corp</stp>
        <stp>ISSUE_DT</stp>
        <stp>[AUD_ASSETSWAP_SYNDICATE.0.4.xlsx]ACGB_BONDS!R21C5</stp>
        <tr r="E21" s="13"/>
      </tp>
      <tp t="s">
        <v>13/10/2017</v>
        <stp/>
        <stp>##V3_BDPV12</stp>
        <stp>AP364296 Corp</stp>
        <stp>ISSUE_DT</stp>
        <stp>[AUD_ASSETSWAP_SYNDICATE.0.4.xlsx]ACGB_BONDS!R15C5</stp>
        <tr r="E15" s="13"/>
      </tp>
      <tp t="s">
        <v>31/03/2015</v>
        <stp/>
        <stp>##V3_BDPV12</stp>
        <stp>EK821167 Corp</stp>
        <stp>ISSUE_DT</stp>
        <stp>[AUD_ASSETSWAP_SYNDICATE.0.4.xlsx]ACGB_BONDS!R31C5</stp>
        <tr r="E31" s="13"/>
      </tp>
      <tp t="s">
        <v>21/04/2029</v>
        <stp/>
        <stp>##V3_BDPV12</stp>
        <stp>EJ393853 Corp</stp>
        <stp>MATURITY</stp>
        <stp>[AUD_ASSETSWAP_SYNDICATE.0.4.xlsx]ACGB_BONDS!R26C11</stp>
        <tr r="K26" s="13"/>
      </tp>
      <tp t="s">
        <v>20/09/2025</v>
        <stp/>
        <stp>##V3_BDPV12</stp>
        <stp>EH994413 Corp</stp>
        <stp>MATURITY</stp>
        <stp>[AUD_ASSETSWAP_SYNDICATE.0.4.xlsx]ACGB_BONDS!R19C11</stp>
        <tr r="K19" s="13"/>
      </tp>
      <tp>
        <v>12.125</v>
        <stp/>
        <stp>##V3_BDPV12</stp>
        <stp>ADBBCF25 IAUS Curncy</stp>
        <stp>Ask</stp>
        <stp>[AUD_ASSETSWAP_SYNDICATE.0.4.xlsx]SYNDICATE AUD IRS!R44C8</stp>
        <tr r="H44" s="8"/>
      </tp>
      <tp t="s">
        <v>12/04/2010</v>
        <stp/>
        <stp>##V3_BDPV12</stp>
        <stp>EI214281 Corp</stp>
        <stp>ISSUE_DT</stp>
        <stp>[AUD_ASSETSWAP_SYNDICATE.0.4.xlsx]ACGB_BONDS!R14C5</stp>
        <tr r="E14" s="13"/>
      </tp>
      <tp t="s">
        <v>29/05/2013</v>
        <stp/>
        <stp>##V3_BDPV12</stp>
        <stp>EJ679130 Corp</stp>
        <stp>ISSUE_DT</stp>
        <stp>[AUD_ASSETSWAP_SYNDICATE.0.4.xlsx]ACGB_BONDS!R18C5</stp>
        <tr r="E18" s="13"/>
      </tp>
      <tp t="s">
        <v>21/10/2015</v>
        <stp/>
        <stp>##V3_BDPV12</stp>
        <stp>QJ152182 Corp</stp>
        <stp>ISSUE_DT</stp>
        <stp>[AUD_ASSETSWAP_SYNDICATE.0.4.xlsx]ACGB_BONDS!R34C5</stp>
        <tr r="E34" s="13"/>
      </tp>
      <tp t="s">
        <v>21/11/2049</v>
        <stp/>
        <stp>##V3_BDPV12</stp>
        <stp>AU555712 Corp</stp>
        <stp>PENULTIMATE_CPN_DT</stp>
        <stp>[AUD_ASSETSWAP_SYNDICATE.0.4.xlsx]ACGB_BONDS!R38C9</stp>
        <tr r="I38" s="13"/>
      </tp>
      <tp>
        <v>12.5</v>
        <stp/>
        <stp>##V3_BDPV12</stp>
        <stp>ADBBCF12 IAUS Curncy</stp>
        <stp>Ask</stp>
        <stp>[AUD_ASSETSWAP_SYNDICATE.0.4.xlsx]SYNDICATE AUD IRS!R41C8</stp>
        <tr r="H41" s="8"/>
      </tp>
      <tp>
        <v>11.875</v>
        <stp/>
        <stp>##V3_BDPV12</stp>
        <stp>ADBBCF20 IAUS Curncy</stp>
        <stp>Ask</stp>
        <stp>[AUD_ASSETSWAP_SYNDICATE.0.4.xlsx]SYNDICATE AUD IRS!R43C8</stp>
        <tr r="H43" s="8"/>
      </tp>
      <tp t="s">
        <v>21/10/2026</v>
        <stp/>
        <stp>##V3_BDPV12</stp>
        <stp>EI849265 Corp</stp>
        <stp>PENULTIMATE_CPN_DT</stp>
        <stp>[AUD_ASSETSWAP_SYNDICATE.0.4.xlsx]ACGB_BONDS!R21C9</stp>
        <tr r="I21" s="13"/>
      </tp>
      <tp t="s">
        <v>15/04/2015</v>
        <stp/>
        <stp>##V3_BDPV12</stp>
        <stp>EK841545 Corp</stp>
        <stp>ISSUE_DT</stp>
        <stp>[AUD_ASSETSWAP_SYNDICATE.0.4.xlsx]ACGB_BONDS!R10C5</stp>
        <tr r="E10" s="13"/>
      </tp>
      <tp t="s">
        <v>25/09/2018</v>
        <stp/>
        <stp>##V3_BDPV12</stp>
        <stp>AU555712 Corp</stp>
        <stp>ISSUE_DT</stp>
        <stp>[AUD_ASSETSWAP_SYNDICATE.0.4.xlsx]ACGB_BONDS!R38C5</stp>
        <tr r="E38" s="13"/>
      </tp>
      <tp t="s">
        <v>21/09/2010</v>
        <stp/>
        <stp>##V3_BDPV12</stp>
        <stp>EI405114 Corp</stp>
        <stp>ISSUE_DT</stp>
        <stp>[AUD_ASSETSWAP_SYNDICATE.0.4.xlsx]ACGB_BONDS!R29C5</stp>
        <tr r="E29" s="13"/>
      </tp>
      <tp t="s">
        <v>21/11/2029</v>
        <stp/>
        <stp>##V3_BDPV12</stp>
        <stp>AS904985 Corp</stp>
        <stp>PENULTIMATE_CPN_DT</stp>
        <stp>[AUD_ASSETSWAP_SYNDICATE.0.4.xlsx]ACGB_BONDS!R28C9</stp>
        <tr r="I28" s="13"/>
      </tp>
      <tp t="s">
        <v>21/06/2039</v>
        <stp/>
        <stp>##V3_BDPV12</stp>
        <stp>QJ152182 Corp</stp>
        <stp>MATURITY</stp>
        <stp>[AUD_ASSETSWAP_SYNDICATE.0.4.xlsx]ACGB_BONDS!R34C11</stp>
        <tr r="K34" s="13"/>
      </tp>
      <tp t="s">
        <v>21/04/2025</v>
        <stp/>
        <stp>##V3_BDPV12</stp>
        <stp>EJ679130 Corp</stp>
        <stp>MATURITY</stp>
        <stp>[AUD_ASSETSWAP_SYNDICATE.0.4.xlsx]ACGB_BONDS!R18C11</stp>
        <tr r="K18" s="13"/>
      </tp>
      <tp t="s">
        <v>21/02/2050</v>
        <stp/>
        <stp>##V3_BDPV12</stp>
        <stp>AU555712 Corp</stp>
        <stp>MATURITY</stp>
        <stp>[AUD_ASSETSWAP_SYNDICATE.0.4.xlsx]ACGB_BONDS!R38C11</stp>
        <tr r="K38" s="13"/>
      </tp>
      <tp t="s">
        <v>21/11/2027</v>
        <stp/>
        <stp>##V3_BDPV12</stp>
        <stp>JV319866 Corp</stp>
        <stp>MATURITY</stp>
        <stp>[AUD_ASSETSWAP_SYNDICATE.0.4.xlsx]ACGB_BONDS!R23C11</stp>
        <tr r="K23" s="13"/>
      </tp>
      <tp>
        <v>8.875</v>
        <stp/>
        <stp>##V3_BDPV12</stp>
        <stp>ADBBCF20 IAUS Curncy</stp>
        <stp>Bid</stp>
        <stp>[AUD_ASSETSWAP_SYNDICATE.0.4.xlsx]SYNDICATE AUD IRS!R43C7</stp>
        <tr r="G43" s="8"/>
      </tp>
      <tp>
        <v>9.5</v>
        <stp/>
        <stp>##V3_BDPV12</stp>
        <stp>ADBBCF12 IAUS Curncy</stp>
        <stp>Bid</stp>
        <stp>[AUD_ASSETSWAP_SYNDICATE.0.4.xlsx]SYNDICATE AUD IRS!R41C7</stp>
        <tr r="G41" s="8"/>
      </tp>
      <tp t="s">
        <v>21/10/2036</v>
        <stp/>
        <stp>##V3_BDPV12</stp>
        <stp>EK544675 Corp</stp>
        <stp>PENULTIMATE_CPN_DT</stp>
        <stp>[AUD_ASSETSWAP_SYNDICATE.0.4.xlsx]ACGB_BONDS!R33C9</stp>
        <tr r="I33" s="13"/>
      </tp>
      <tp t="s">
        <v>25/06/2012</v>
        <stp/>
        <stp>##V3_BDPV12</stp>
        <stp>EJ244569 Corp</stp>
        <stp>ISSUE_DT</stp>
        <stp>[AUD_ASSETSWAP_SYNDICATE.0.4.xlsx]ACGB_BONDS!R17C5</stp>
        <tr r="E17" s="13"/>
      </tp>
      <tp t="s">
        <v>25/01/2018</v>
        <stp/>
        <stp>##V3_BDPV12</stp>
        <stp>AQ762933 Corp</stp>
        <stp>ISSUE_DT</stp>
        <stp>[AUD_ASSETSWAP_SYNDICATE.0.4.xlsx]ACGB_BONDS!R27C5</stp>
        <tr r="E27" s="13"/>
      </tp>
      <tp t="s">
        <v>21/11/2028</v>
        <stp/>
        <stp>##V3_BDPV12</stp>
        <stp>AM564740 Corp</stp>
        <stp>MATURITY</stp>
        <stp>[AUD_ASSETSWAP_SYNDICATE.0.4.xlsx]ACGB_BONDS!R25C11</stp>
        <tr r="K25" s="13"/>
      </tp>
      <tp t="s">
        <v>19/05/2016</v>
        <stp/>
        <stp>##V3_BDPV12</stp>
        <stp>LW020767 Corp</stp>
        <stp>ISSUE_DT</stp>
        <stp>[AUD_ASSETSWAP_SYNDICATE.0.4.xlsx]ACGB_BONDS!R24C5</stp>
        <tr r="E24" s="13"/>
      </tp>
      <tp>
        <v>21.752224503764545</v>
        <stp/>
        <stp>##V3_BDPV12</stp>
        <stp>UV471848 Corp</stp>
        <stp>MTY_YEARS</stp>
        <stp>[AUD_ASSETSWAP_SYNDICATE.0.4.xlsx]ACGB_BONDS!R35C13</stp>
        <tr r="M35" s="13"/>
      </tp>
      <tp t="s">
        <v>21/05/2028</v>
        <stp/>
        <stp>##V3_BDPV12</stp>
        <stp>LW020767 Corp</stp>
        <stp>MATURITY</stp>
        <stp>[AUD_ASSETSWAP_SYNDICATE.0.4.xlsx]ACGB_BONDS!R24C11</stp>
        <tr r="K24" s="13"/>
      </tp>
      <tp t="s">
        <v>21/05/2030</v>
        <stp/>
        <stp>##V3_BDPV12</stp>
        <stp>AS904985 Corp</stp>
        <stp>MATURITY</stp>
        <stp>[AUD_ASSETSWAP_SYNDICATE.0.4.xlsx]ACGB_BONDS!R28C11</stp>
        <tr r="K28" s="13"/>
      </tp>
      <tp t="s">
        <v>21/06/2035</v>
        <stp/>
        <stp>##V3_BDPV12</stp>
        <stp>EK821167 Corp</stp>
        <stp>MATURITY</stp>
        <stp>[AUD_ASSETSWAP_SYNDICATE.0.4.xlsx]ACGB_BONDS!R31C11</stp>
        <tr r="K31" s="13"/>
      </tp>
      <tp t="s">
        <v>21/11/2029</v>
        <stp/>
        <stp>##V3_BDPV12</stp>
        <stp>AQ762933 Corp</stp>
        <stp>MATURITY</stp>
        <stp>[AUD_ASSETSWAP_SYNDICATE.0.4.xlsx]ACGB_BONDS!R27C11</stp>
        <tr r="K27" s="13"/>
      </tp>
      <tp>
        <v>9.125</v>
        <stp/>
        <stp>##V3_BDPV12</stp>
        <stp>ADBBCF25 IAUS Curncy</stp>
        <stp>Bid</stp>
        <stp>[AUD_ASSETSWAP_SYNDICATE.0.4.xlsx]SYNDICATE AUD IRS!R44C7</stp>
        <tr r="G44" s="8"/>
      </tp>
      <tp t="s">
        <v>08/10/2009</v>
        <stp/>
        <stp>##V3_BDPV12</stp>
        <stp>EH994413 Corp</stp>
        <stp>ISSUE_DT</stp>
        <stp>[AUD_ASSETSWAP_SYNDICATE.0.4.xlsx]ACGB_BONDS!R19C5</stp>
        <tr r="E19" s="13"/>
      </tp>
      <tp t="s">
        <v>21/05/2035</v>
        <stp/>
        <stp>##V3_BDPV12</stp>
        <stp>EJ847557 Corp</stp>
        <stp>PENULTIMATE_CPN_DT</stp>
        <stp>[AUD_ASSETSWAP_SYNDICATE.0.4.xlsx]ACGB_BONDS!R32C9</stp>
        <tr r="I32" s="13"/>
      </tp>
      <tp t="s">
        <v>21/10/2022</v>
        <stp/>
        <stp>##V3_BDPV12</stp>
        <stp>EI683148 Corp</stp>
        <stp>PENULTIMATE_CPN_DT</stp>
        <stp>[AUD_ASSETSWAP_SYNDICATE.0.4.xlsx]ACGB_BONDS!R16C9</stp>
        <tr r="I16" s="13"/>
      </tp>
      <tp t="s">
        <v>21/10/2025</v>
        <stp/>
        <stp>##V3_BDPV12</stp>
        <stp>EK115060 Corp</stp>
        <stp>PENULTIMATE_CPN_DT</stp>
        <stp>[AUD_ASSETSWAP_SYNDICATE.0.4.xlsx]ACGB_BONDS!R20C9</stp>
        <tr r="I20" s="13"/>
      </tp>
      <tp t="s">
        <v>21/05/2028</v>
        <stp/>
        <stp>##V3_BDPV12</stp>
        <stp>AM564740 Corp</stp>
        <stp>PENULTIMATE_CPN_DT</stp>
        <stp>[AUD_ASSETSWAP_SYNDICATE.0.4.xlsx]ACGB_BONDS!R25C9</stp>
        <tr r="I25" s="13"/>
      </tp>
      <tp t="s">
        <v>28/02/2012</v>
        <stp/>
        <stp>##V3_BDPV12</stp>
        <stp>EJ036821 Corp</stp>
        <stp>ISSUE_DT</stp>
        <stp>[AUD_ASSETSWAP_SYNDICATE.0.4.xlsx]ACGB_BONDS!R13C5</stp>
        <tr r="E13" s="13"/>
      </tp>
      <tp t="s">
        <v>21/10/2014</v>
        <stp/>
        <stp>##V3_BDPV12</stp>
        <stp>EK544675 Corp</stp>
        <stp>ISSUE_DT</stp>
        <stp>[AUD_ASSETSWAP_SYNDICATE.0.4.xlsx]ACGB_BONDS!R33C5</stp>
        <tr r="E33" s="13"/>
      </tp>
      <tp t="s">
        <v>21/10/2028</v>
        <stp/>
        <stp>##V3_BDPV12</stp>
        <stp>EJ393853 Corp</stp>
        <stp>PENULTIMATE_CPN_DT</stp>
        <stp>[AUD_ASSETSWAP_SYNDICATE.0.4.xlsx]ACGB_BONDS!R26C9</stp>
        <tr r="I26" s="13"/>
      </tp>
      <tp t="s">
        <v>21/11/2021</v>
        <stp/>
        <stp>##V3_BDPV12</stp>
        <stp>EJ036821 Corp</stp>
        <stp>PENULTIMATE_CPN_DT</stp>
        <stp>[AUD_ASSETSWAP_SYNDICATE.0.4.xlsx]ACGB_BONDS!R13C9</stp>
        <tr r="I13" s="13"/>
      </tp>
      <tp t="s">
        <v>21/05/2027</v>
        <stp/>
        <stp>##V3_BDPV12</stp>
        <stp>JV319866 Corp</stp>
        <stp>PENULTIMATE_CPN_DT</stp>
        <stp>[AUD_ASSETSWAP_SYNDICATE.0.4.xlsx]ACGB_BONDS!R23C9</stp>
        <tr r="I23" s="13"/>
      </tp>
      <tp t="s">
        <v>21/05/2022</v>
        <stp/>
        <stp>##V3_BDPV12</stp>
        <stp>AP364296 Corp</stp>
        <stp>PENULTIMATE_CPN_DT</stp>
        <stp>[AUD_ASSETSWAP_SYNDICATE.0.4.xlsx]ACGB_BONDS!R15C9</stp>
        <tr r="I15" s="13"/>
      </tp>
      <tp t="s">
        <v>20/09/2030</v>
        <stp/>
        <stp>##V3_BDPV12</stp>
        <stp>EI405114 Corp</stp>
        <stp>MATURITY</stp>
        <stp>[AUD_ASSETSWAP_SYNDICATE.0.4.xlsx]ACGB_BONDS!R29C11</stp>
        <tr r="K29" s="13"/>
      </tp>
      <tp>
        <v>11</v>
        <stp/>
        <stp>##V3_BDPV12</stp>
        <stp>ADBBCF10 IAUS Curncy</stp>
        <stp>Bid</stp>
        <stp>[AUD_ASSETSWAP_SYNDICATE.0.4.xlsx]SYNDICATE AUD IRS!R40C7</stp>
        <tr r="G40" s="8"/>
      </tp>
      <tp t="s">
        <v>17/10/2012</v>
        <stp/>
        <stp>##V3_BDPV12</stp>
        <stp>EJ393853 Corp</stp>
        <stp>ISSUE_DT</stp>
        <stp>[AUD_ASSETSWAP_SYNDICATE.0.4.xlsx]ACGB_BONDS!R26C5</stp>
        <tr r="E26" s="13"/>
      </tp>
      <tp t="s">
        <v>21/06/2021</v>
        <stp/>
        <stp>##V3_BDPV12</stp>
        <stp>AM152866 Corp</stp>
        <stp>PENULTIMATE_CPN_DT</stp>
        <stp>[AUD_ASSETSWAP_SYNDICATE.0.4.xlsx]ACGB_BONDS!R12C9</stp>
        <tr r="I12" s="13"/>
      </tp>
      <tp t="s">
        <v>21/11/2040</v>
        <stp/>
        <stp>##V3_BDPV12</stp>
        <stp>AT496992 Corp</stp>
        <stp>PENULTIMATE_CPN_DT</stp>
        <stp>[AUD_ASSETSWAP_SYNDICATE.0.4.xlsx]ACGB_BONDS!R36C9</stp>
        <tr r="I36" s="13"/>
      </tp>
      <tp t="s">
        <v>21/11/2027</v>
        <stp/>
        <stp>##V3_BDPV12</stp>
        <stp>AO836930 Corp</stp>
        <stp>MATURITY</stp>
        <stp>[AUD_ASSETSWAP_SYNDICATE.0.4.xlsx]ACGB_BONDS!R22C11</stp>
        <tr r="K22" s="13"/>
      </tp>
      <tp t="s">
        <v>21/04/2033</v>
        <stp/>
        <stp>##V3_BDPV12</stp>
        <stp>EJ943727 Corp</stp>
        <stp>MATURITY</stp>
        <stp>[AUD_ASSETSWAP_SYNDICATE.0.4.xlsx]ACGB_BONDS!R30C11</stp>
        <tr r="K30" s="13"/>
      </tp>
      <tp t="s">
        <v>21/12/2021</v>
        <stp/>
        <stp>##V3_BDPV12</stp>
        <stp>AM152866 Corp</stp>
        <stp>MATURITY</stp>
        <stp>[AUD_ASSETSWAP_SYNDICATE.0.4.xlsx]ACGB_BONDS!R12C11</stp>
        <tr r="K12" s="13"/>
      </tp>
      <tp t="s">
        <v>21/08/2035</v>
        <stp/>
        <stp>##V3_BDPV12</stp>
        <stp>EJ847557 Corp</stp>
        <stp>MATURITY</stp>
        <stp>[AUD_ASSETSWAP_SYNDICATE.0.4.xlsx]ACGB_BONDS!R32C11</stp>
        <tr r="K32" s="13"/>
      </tp>
      <tp>
        <v>1.5</v>
        <stp/>
        <stp>##V3_BDPV12</stp>
        <stp>RBACOR Index</stp>
        <stp>PX_LAST</stp>
        <stp>[AUD_ASSETSWAP_SYNDICATE.0.4.xlsx]SYNDICATE AUD IRS!R38C22</stp>
        <tr r="V38" s="8"/>
      </tp>
      <tp>
        <v>97.83</v>
        <stp/>
        <stp>##V3_BDPV12</stp>
        <stp>YMA Comdty</stp>
        <stp>Ask</stp>
        <stp>[AUD_ASSETSWAP_SYNDICATE.0.4.xlsx]SYNDICATE AUD IRS!R6C8</stp>
        <tr r="H6" s="8"/>
      </tp>
      <tp>
        <v>9</v>
        <stp/>
        <stp>##V3_BDPV12</stp>
        <stp>ADBBCF15 IAUS Curncy</stp>
        <stp>Bid</stp>
        <stp>[AUD_ASSETSWAP_SYNDICATE.0.4.xlsx]SYNDICATE AUD IRS!R42C7</stp>
        <tr r="G42" s="8"/>
      </tp>
      <tp t="s">
        <v>21/10/2032</v>
        <stp/>
        <stp>##V3_BDPV12</stp>
        <stp>EJ943727 Corp</stp>
        <stp>PENULTIMATE_CPN_DT</stp>
        <stp>[AUD_ASSETSWAP_SYNDICATE.0.4.xlsx]ACGB_BONDS!R30C9</stp>
        <tr r="I30" s="13"/>
      </tp>
      <tp t="s">
        <v>21/10/2023</v>
        <stp/>
        <stp>##V3_BDPV12</stp>
        <stp>EJ244569 Corp</stp>
        <stp>PENULTIMATE_CPN_DT</stp>
        <stp>[AUD_ASSETSWAP_SYNDICATE.0.4.xlsx]ACGB_BONDS!R17C9</stp>
        <tr r="I17" s="13"/>
      </tp>
      <tp t="s">
        <v>19/03/2014</v>
        <stp/>
        <stp>##V3_BDPV12</stp>
        <stp>EK115060 Corp</stp>
        <stp>ISSUE_DT</stp>
        <stp>[AUD_ASSETSWAP_SYNDICATE.0.4.xlsx]ACGB_BONDS!R20C5</stp>
        <tr r="E20" s="13"/>
      </tp>
      <tp>
        <v>28.331279945242983</v>
        <stp/>
        <stp>##V3_BDPV12</stp>
        <stp>QZ542945 Corp</stp>
        <stp>MTY_YEARS</stp>
        <stp>[AUD_ASSETSWAP_SYNDICATE.0.4.xlsx]ACGB_BONDS!R37C13</stp>
        <tr r="M37" s="13"/>
      </tp>
      <tp>
        <v>20.583162217659137</v>
        <stp/>
        <stp>##V3_BDPV12</stp>
        <stp>QJ152182 Corp</stp>
        <stp>MTY_YEARS</stp>
        <stp>[AUD_ASSETSWAP_SYNDICATE.0.4.xlsx]ACGB_BONDS!R34C13</stp>
        <tr r="M34" s="13"/>
      </tp>
      <tp t="s">
        <v>15/05/2021</v>
        <stp/>
        <stp>##V3_BDPV12</stp>
        <stp>EG821160 Corp</stp>
        <stp>MATURITY</stp>
        <stp>[AUD_ASSETSWAP_SYNDICATE.0.4.xlsx]ACGB_BONDS!R11C11</stp>
        <tr r="K11" s="13"/>
      </tp>
      <tp t="s">
        <v>21/02/2022</v>
        <stp/>
        <stp>##V3_BDPV12</stp>
        <stp>EJ036821 Corp</stp>
        <stp>MATURITY</stp>
        <stp>[AUD_ASSETSWAP_SYNDICATE.0.4.xlsx]ACGB_BONDS!R13C11</stp>
        <tr r="K13" s="13"/>
      </tp>
      <tp>
        <v>2.15</v>
        <stp/>
        <stp>##V3_BDPV12</stp>
        <stp>ADBB12M Curncy</stp>
        <stp>PX_ASK</stp>
        <stp>[AUD_ASSETSWAP_SYNDICATE.0.4.xlsx]TAP AUD ASW!R42C16</stp>
        <tr r="P42" s="11"/>
      </tp>
      <tp t="s">
        <v>19/10/2016</v>
        <stp/>
        <stp>##V3_BDPV12</stp>
        <stp>QZ542945 Corp</stp>
        <stp>ISSUE_DT</stp>
        <stp>[AUD_ASSETSWAP_SYNDICATE.0.4.xlsx]ACGB_BONDS!R37C5</stp>
        <tr r="E37" s="13"/>
      </tp>
      <tp t="s">
        <v>28/01/2016</v>
        <stp/>
        <stp>##V3_BDPV12</stp>
        <stp>JV319866 Corp</stp>
        <stp>ISSUE_DT</stp>
        <stp>[AUD_ASSETSWAP_SYNDICATE.0.4.xlsx]ACGB_BONDS!R23C5</stp>
        <tr r="E23" s="13"/>
      </tp>
      <tp t="s">
        <v>21/03/2047</v>
        <stp/>
        <stp>##V3_BDPV12</stp>
        <stp>QZ542945 Corp</stp>
        <stp>MATURITY</stp>
        <stp>[AUD_ASSETSWAP_SYNDICATE.0.4.xlsx]ACGB_BONDS!R37C11</stp>
        <tr r="K37" s="13"/>
      </tp>
      <tp t="s">
        <v>21/04/2027</v>
        <stp/>
        <stp>##V3_BDPV12</stp>
        <stp>EI849265 Corp</stp>
        <stp>MATURITY</stp>
        <stp>[AUD_ASSETSWAP_SYNDICATE.0.4.xlsx]ACGB_BONDS!R21C11</stp>
        <tr r="K21" s="13"/>
      </tp>
      <tp t="s">
        <v>21/11/2020</v>
        <stp/>
        <stp>##V3_BDPV12</stp>
        <stp>EK841545 Corp</stp>
        <stp>MATURITY</stp>
        <stp>[AUD_ASSETSWAP_SYNDICATE.0.4.xlsx]ACGB_BONDS!R10C11</stp>
        <tr r="K10" s="13"/>
      </tp>
      <tp t="s">
        <v>21/04/2037</v>
        <stp/>
        <stp>##V3_BDPV12</stp>
        <stp>EK544675 Corp</stp>
        <stp>MATURITY</stp>
        <stp>[AUD_ASSETSWAP_SYNDICATE.0.4.xlsx]ACGB_BONDS!R33C11</stp>
        <tr r="K33" s="13"/>
      </tp>
      <tp t="s">
        <v>21/04/2026</v>
        <stp/>
        <stp>##V3_BDPV12</stp>
        <stp>EK115060 Corp</stp>
        <stp>MATURITY</stp>
        <stp>[AUD_ASSETSWAP_SYNDICATE.0.4.xlsx]ACGB_BONDS!R20C11</stp>
        <tr r="K20" s="13"/>
      </tp>
      <tp>
        <v>9.125</v>
        <stp/>
        <stp>##V3_BDPV12</stp>
        <stp>ADBBCF30 IAUS Curncy</stp>
        <stp>Bid</stp>
        <stp>[AUD_ASSETSWAP_SYNDICATE.0.4.xlsx]SYNDICATE AUD IRS!R45C7</stp>
        <tr r="G45" s="8"/>
      </tp>
      <tp t="s">
        <v>21/05/2020</v>
        <stp/>
        <stp>##V3_BDPV12</stp>
        <stp>EK841545 Corp</stp>
        <stp>PENULTIMATE_CPN_DT</stp>
        <stp>[AUD_ASSETSWAP_SYNDICATE.0.4.xlsx]ACGB_BONDS!R10C9</stp>
        <tr r="I10" s="13"/>
      </tp>
      <tp t="s">
        <v>20/08/2015</v>
        <stp/>
        <stp>##V3_BDPV12</stp>
        <stp>UV471848 Corp</stp>
        <stp>ISSUE_DT</stp>
        <stp>[AUD_ASSETSWAP_SYNDICATE.0.4.xlsx]ACGB_BONDS!R35C5</stp>
        <tr r="E35" s="13"/>
      </tp>
      <tp t="s">
        <v>21/10/2024</v>
        <stp/>
        <stp>##V3_BDPV12</stp>
        <stp>EJ679130 Corp</stp>
        <stp>PENULTIMATE_CPN_DT</stp>
        <stp>[AUD_ASSETSWAP_SYNDICATE.0.4.xlsx]ACGB_BONDS!R18C9</stp>
        <tr r="I18" s="13"/>
      </tp>
      <tp t="s">
        <v>27/01/2017</v>
        <stp/>
        <stp>##V3_BDPV12</stp>
        <stp>AM152866 Corp</stp>
        <stp>ISSUE_DT</stp>
        <stp>[AUD_ASSETSWAP_SYNDICATE.0.4.xlsx]ACGB_BONDS!R12C5</stp>
        <tr r="E12" s="13"/>
      </tp>
      <tp t="s">
        <v>21/05/2029</v>
        <stp/>
        <stp>##V3_BDPV12</stp>
        <stp>AQ762933 Corp</stp>
        <stp>PENULTIMATE_CPN_DT</stp>
        <stp>[AUD_ASSETSWAP_SYNDICATE.0.4.xlsx]ACGB_BONDS!R27C9</stp>
        <tr r="I27" s="13"/>
      </tp>
      <tp t="s">
        <v>21/04/2023</v>
        <stp/>
        <stp>##V3_BDPV12</stp>
        <stp>EI683148 Corp</stp>
        <stp>MATURITY</stp>
        <stp>[AUD_ASSETSWAP_SYNDICATE.0.4.xlsx]ACGB_BONDS!R16C11</stp>
        <tr r="K16" s="13"/>
      </tp>
      <tp t="s">
        <v>21/11/2022</v>
        <stp/>
        <stp>##V3_BDPV12</stp>
        <stp>AP364296 Corp</stp>
        <stp>MATURITY</stp>
        <stp>[AUD_ASSETSWAP_SYNDICATE.0.4.xlsx]ACGB_BONDS!R15C11</stp>
        <tr r="K15" s="13"/>
      </tp>
      <tp t="s">
        <v>15/07/2022</v>
        <stp/>
        <stp>##V3_BDPV12</stp>
        <stp>EI214281 Corp</stp>
        <stp>MATURITY</stp>
        <stp>[AUD_ASSETSWAP_SYNDICATE.0.4.xlsx]ACGB_BONDS!R14C11</stp>
        <tr r="K14" s="13"/>
      </tp>
      <tp>
        <v>15.125</v>
        <stp/>
        <stp>##V3_BDPV12</stp>
        <stp>ADBBCF1 IAUS Curncy</stp>
        <stp>Bid</stp>
        <stp>[AUD_ASSETSWAP_SYNDICATE.0.4.xlsx]SYNDICATE AUD IRS!R31C7</stp>
        <tr r="G31" s="8"/>
      </tp>
      <tp>
        <v>14.625</v>
        <stp/>
        <stp>##V3_BDPV12</stp>
        <stp>ADBBCF2 IAUS Curncy</stp>
        <stp>Bid</stp>
        <stp>[AUD_ASSETSWAP_SYNDICATE.0.4.xlsx]SYNDICATE AUD IRS!R32C7</stp>
        <tr r="G32" s="8"/>
      </tp>
      <tp>
        <v>14.125</v>
        <stp/>
        <stp>##V3_BDPV12</stp>
        <stp>ADBBCF3 IAUS Curncy</stp>
        <stp>Bid</stp>
        <stp>[AUD_ASSETSWAP_SYNDICATE.0.4.xlsx]SYNDICATE AUD IRS!R33C7</stp>
        <tr r="G33" s="8"/>
      </tp>
      <tp>
        <v>14</v>
        <stp/>
        <stp>##V3_BDPV12</stp>
        <stp>ADBBCF4 IAUS Curncy</stp>
        <stp>Bid</stp>
        <stp>[AUD_ASSETSWAP_SYNDICATE.0.4.xlsx]SYNDICATE AUD IRS!R34C7</stp>
        <tr r="G34" s="8"/>
      </tp>
      <tp>
        <v>13.75</v>
        <stp/>
        <stp>##V3_BDPV12</stp>
        <stp>ADBBCF5 IAUS Curncy</stp>
        <stp>Bid</stp>
        <stp>[AUD_ASSETSWAP_SYNDICATE.0.4.xlsx]SYNDICATE AUD IRS!R35C7</stp>
        <tr r="G35" s="8"/>
      </tp>
      <tp>
        <v>13.25</v>
        <stp/>
        <stp>##V3_BDPV12</stp>
        <stp>ADBBCF6 IAUS Curncy</stp>
        <stp>Bid</stp>
        <stp>[AUD_ASSETSWAP_SYNDICATE.0.4.xlsx]SYNDICATE AUD IRS!R36C7</stp>
        <tr r="G36" s="8"/>
      </tp>
      <tp>
        <v>12.75</v>
        <stp/>
        <stp>##V3_BDPV12</stp>
        <stp>ADBBCF7 IAUS Curncy</stp>
        <stp>Bid</stp>
        <stp>[AUD_ASSETSWAP_SYNDICATE.0.4.xlsx]SYNDICATE AUD IRS!R37C7</stp>
        <tr r="G37" s="8"/>
      </tp>
      <tp>
        <v>12.125</v>
        <stp/>
        <stp>##V3_BDPV12</stp>
        <stp>ADBBCF8 IAUS Curncy</stp>
        <stp>Bid</stp>
        <stp>[AUD_ASSETSWAP_SYNDICATE.0.4.xlsx]SYNDICATE AUD IRS!R38C7</stp>
        <tr r="G38" s="8"/>
      </tp>
      <tp>
        <v>11.625</v>
        <stp/>
        <stp>##V3_BDPV12</stp>
        <stp>ADBBCF9 IAUS Curncy</stp>
        <stp>Bid</stp>
        <stp>[AUD_ASSETSWAP_SYNDICATE.0.4.xlsx]SYNDICATE AUD IRS!R39C7</stp>
        <tr r="G39" s="8"/>
      </tp>
      <tp t="s">
        <v>15/01/2022</v>
        <stp/>
        <stp>##V3_BDPV12</stp>
        <stp>EI214281 Corp</stp>
        <stp>PENULTIMATE_CPN_DT</stp>
        <stp>[AUD_ASSETSWAP_SYNDICATE.0.4.xlsx]ACGB_BONDS!R14C9</stp>
        <tr r="I14" s="13"/>
      </tp>
      <tp t="s">
        <v>21/12/2034</v>
        <stp/>
        <stp>##V3_BDPV12</stp>
        <stp>EK821167 Corp</stp>
        <stp>PENULTIMATE_CPN_DT</stp>
        <stp>[AUD_ASSETSWAP_SYNDICATE.0.4.xlsx]ACGB_BONDS!R31C9</stp>
        <tr r="I31" s="13"/>
      </tp>
      <tp t="s">
        <v>23/05/2011</v>
        <stp/>
        <stp>##V3_BDPV12</stp>
        <stp>EI683148 Corp</stp>
        <stp>ISSUE_DT</stp>
        <stp>[AUD_ASSETSWAP_SYNDICATE.0.4.xlsx]ACGB_BONDS!R16C5</stp>
        <tr r="E16" s="13"/>
      </tp>
      <tp t="s">
        <v>15/11/2020</v>
        <stp/>
        <stp>##V3_BDPV12</stp>
        <stp>EG821160 Corp</stp>
        <stp>PENULTIMATE_CPN_DT</stp>
        <stp>[AUD_ASSETSWAP_SYNDICATE.0.4.xlsx]ACGB_BONDS!R11C9</stp>
        <tr r="I11" s="13"/>
      </tp>
      <tp t="s">
        <v>21/08/2027</v>
        <stp/>
        <stp>##V3_BDPV12</stp>
        <stp>AO836930 Corp</stp>
        <stp>PENULTIMATE_CPN_DT</stp>
        <stp>[AUD_ASSETSWAP_SYNDICATE.0.4.xlsx]ACGB_BONDS!R22C9</stp>
        <tr r="I22" s="13"/>
      </tp>
      <tp t="s">
        <v>02/03/2017</v>
        <stp/>
        <stp>##V3_BDPV12</stp>
        <stp>AM564740 Corp</stp>
        <stp>ISSUE_DT</stp>
        <stp>[AUD_ASSETSWAP_SYNDICATE.0.4.xlsx]ACGB_BONDS!R25C5</stp>
        <tr r="E25" s="13"/>
      </tp>
      <tp>
        <v>2.11</v>
        <stp/>
        <stp>##V3_BDPV12</stp>
        <stp>ADBB6M Curncy</stp>
        <stp>PX_ASK</stp>
        <stp>[AUD_ASSETSWAP_SYNDICATE.0.4.xlsx]SYNDICATE AUD IRS!R41C22</stp>
        <tr r="V41" s="8"/>
      </tp>
      <tp>
        <v>9.500342231348391</v>
        <stp/>
        <stp>##V3_BDPV12</stp>
        <stp>LW020767 Corp</stp>
        <stp>MTY_YEARS</stp>
        <stp>[AUD_ASSETSWAP_SYNDICATE.0.4.xlsx]ACGB_BONDS!R24C13</stp>
        <tr r="M24" s="13"/>
      </tp>
      <tp>
        <v>8.4161533196440796</v>
        <stp/>
        <stp>##V3_BDPV12</stp>
        <stp>EI849265 Corp</stp>
        <stp>MTY_YEARS</stp>
        <stp>[AUD_ASSETSWAP_SYNDICATE.0.4.xlsx]ACGB_BONDS!R21C13</stp>
        <tr r="M21" s="13"/>
      </tp>
      <tp>
        <v>6.4175222450376452</v>
        <stp/>
        <stp>##V3_BDPV12</stp>
        <stp>EJ679130 Corp</stp>
        <stp>MTY_YEARS</stp>
        <stp>[AUD_ASSETSWAP_SYNDICATE.0.4.xlsx]ACGB_BONDS!R18C13</stp>
        <tr r="M18" s="13"/>
      </tp>
      <tp>
        <v>1.91</v>
        <stp/>
        <stp>##V3_BDPV12</stp>
        <stp>ADBB2M Curncy</stp>
        <stp>PX_ASK</stp>
        <stp>[AUD_ASSETSWAP_SYNDICATE.0.4.xlsx]TAP AUD ASW!R39C16</stp>
        <tr r="P39" s="11"/>
      </tp>
      <tp>
        <v>2.11</v>
        <stp/>
        <stp>##V3_BDPV12</stp>
        <stp>ADBB6M Curncy</stp>
        <stp>PX_ASK</stp>
        <stp>[AUD_ASSETSWAP_SYNDICATE.0.4.xlsx]TAP AUD ASW!R41C16</stp>
        <tr r="P41" s="11"/>
      </tp>
      <tp>
        <v>1.86</v>
        <stp/>
        <stp>##V3_BDPV12</stp>
        <stp>ADBB1M Curncy</stp>
        <stp>PX_ASK</stp>
        <stp>[AUD_ASSETSWAP_SYNDICATE.0.4.xlsx]TAP AUD ASW!R38C16</stp>
        <tr r="P38" s="11"/>
      </tp>
      <tp>
        <v>1.93</v>
        <stp/>
        <stp>##V3_BDPV12</stp>
        <stp>ADBB3M Curncy</stp>
        <stp>PX_ASK</stp>
        <stp>[AUD_ASSETSWAP_SYNDICATE.0.4.xlsx]TAP AUD ASW!R40C16</stp>
        <tr r="P40" s="11"/>
      </tp>
      <tp>
        <v>1.5</v>
        <stp/>
        <stp>##V3_BDPV12</stp>
        <stp>RBACOR Index</stp>
        <stp>PX_LAST</stp>
        <stp>[AUD_ASSETSWAP_SYNDICATE.0.4.xlsx]TAP AUD ASW!R37C16</stp>
        <tr r="P37" s="11"/>
      </tp>
      <tp>
        <v>3.2647689999999998</v>
        <stp/>
        <stp>##V3_BDPV12</stp>
        <stp>AU3CB0250215 Corp</stp>
        <stp>YAS_BOND_YLD</stp>
        <stp>[AUD_ASSETSWAP_SYNDICATE.0.4.xlsx]TAP AUD ASW!R13C3</stp>
        <tr r="C13" s="11"/>
      </tp>
      <tp>
        <v>1.93</v>
        <stp/>
        <stp>##V3_BDPV12</stp>
        <stp>ADBB3M Curncy</stp>
        <stp>PX_ASK</stp>
        <stp>[AUD_ASSETSWAP_SYNDICATE.0.4.xlsx]SYNDICATE AUD IRS!R40C22</stp>
        <tr r="V40" s="8"/>
      </tp>
      <tp>
        <v>97.825000000000003</v>
        <stp/>
        <stp>##V3_BDPV12</stp>
        <stp>YMA Comdty</stp>
        <stp>Bid</stp>
        <stp>[AUD_ASSETSWAP_SYNDICATE.0.4.xlsx]SYNDICATE AUD IRS!R6C7</stp>
        <tr r="G6" s="8"/>
      </tp>
      <tp>
        <v>1.86</v>
        <stp/>
        <stp>##V3_BDPV12</stp>
        <stp>ADBB1M Curncy</stp>
        <stp>PX_ASK</stp>
        <stp>[AUD_ASSETSWAP_SYNDICATE.0.4.xlsx]SYNDICATE AUD IRS!R39C22</stp>
        <tr r="V39" s="8"/>
      </tp>
      <tp>
        <v>4.4161533196440796</v>
        <stp/>
        <stp>##V3_BDPV12</stp>
        <stp>EI683148 Corp</stp>
        <stp>MTY_YEARS</stp>
        <stp>[AUD_ASSETSWAP_SYNDICATE.0.4.xlsx]ACGB_BONDS!R16C13</stp>
        <tr r="M16" s="13"/>
      </tp>
      <tp>
        <v>14.417522245037645</v>
        <stp/>
        <stp>##V3_BDPV12</stp>
        <stp>EJ943727 Corp</stp>
        <stp>MTY_YEARS</stp>
        <stp>[AUD_ASSETSWAP_SYNDICATE.0.4.xlsx]ACGB_BONDS!R30C13</stp>
        <tr r="M30" s="13"/>
      </tp>
      <tp>
        <v>10.417522245037645</v>
        <stp/>
        <stp>##V3_BDPV12</stp>
        <stp>EJ393853 Corp</stp>
        <stp>MTY_YEARS</stp>
        <stp>[AUD_ASSETSWAP_SYNDICATE.0.4.xlsx]ACGB_BONDS!R26C13</stp>
        <tr r="M26" s="13"/>
      </tp>
      <tp>
        <v>97.295000000000002</v>
        <stp/>
        <stp>##V3_BDPV12</stp>
        <stp>XMA Comdty</stp>
        <stp>Bid</stp>
        <stp>[AUD_ASSETSWAP_SYNDICATE.0.4.xlsx]SYNDICATE AUD IRS!R9C7</stp>
        <tr r="G9" s="8"/>
      </tp>
      <tp>
        <v>22.499657768651609</v>
        <stp/>
        <stp>##V3_BDPV12</stp>
        <stp>AT496992 Corp</stp>
        <stp>MTY_YEARS</stp>
        <stp>[AUD_ASSETSWAP_SYNDICATE.0.4.xlsx]ACGB_BONDS!R36C13</stp>
        <tr r="M36" s="13"/>
      </tp>
      <tp>
        <v>9.0020533880903493</v>
        <stp/>
        <stp>##V3_BDPV12</stp>
        <stp>AO836930 Corp</stp>
        <stp>MTY_YEARS</stp>
        <stp>[AUD_ASSETSWAP_SYNDICATE.0.4.xlsx]ACGB_BONDS!R22C13</stp>
        <tr r="M22" s="13"/>
      </tp>
      <tp>
        <v>31.255304585900067</v>
        <stp/>
        <stp>##V3_BDPV12</stp>
        <stp>AU555712 Corp</stp>
        <stp>MTY_YEARS</stp>
        <stp>[AUD_ASSETSWAP_SYNDICATE.0.4.xlsx]ACGB_BONDS!R38C13</stp>
        <tr r="M38" s="13"/>
      </tp>
      <tp>
        <v>16.583162217659137</v>
        <stp/>
        <stp>##V3_BDPV12</stp>
        <stp>EK821167 Corp</stp>
        <stp>MTY_YEARS</stp>
        <stp>[AUD_ASSETSWAP_SYNDICATE.0.4.xlsx]ACGB_BONDS!R31C13</stp>
        <tr r="M31" s="13"/>
      </tp>
      <tp>
        <v>2.0041067761806981</v>
        <stp/>
        <stp>##V3_BDPV12</stp>
        <stp>EK841545 Corp</stp>
        <stp>MTY_YEARS</stp>
        <stp>[AUD_ASSETSWAP_SYNDICATE.0.4.xlsx]ACGB_BONDS!R10C13</stp>
        <tr r="M10" s="13"/>
      </tp>
      <tp>
        <v>2.4832306639288158</v>
        <stp/>
        <stp>##V3_BDPV12</stp>
        <stp>EG821160 Corp</stp>
        <stp>MTY_YEARS</stp>
        <stp>[AUD_ASSETSWAP_SYNDICATE.0.4.xlsx]ACGB_BONDS!R11C13</stp>
        <tr r="M11" s="13"/>
      </tp>
      <tp>
        <v>11.498973305954825</v>
        <stp/>
        <stp>##V3_BDPV12</stp>
        <stp>AS904985 Corp</stp>
        <stp>MTY_YEARS</stp>
        <stp>[AUD_ASSETSWAP_SYNDICATE.0.4.xlsx]ACGB_BONDS!R28C13</stp>
        <tr r="M28" s="13"/>
      </tp>
      <tp>
        <v>4.0027378507871321</v>
        <stp/>
        <stp>##V3_BDPV12</stp>
        <stp>AP364296 Corp</stp>
        <stp>MTY_YEARS</stp>
        <stp>[AUD_ASSETSWAP_SYNDICATE.0.4.xlsx]ACGB_BONDS!R15C13</stp>
        <tr r="M15" s="13"/>
      </tp>
      <tp>
        <v>10.004106776180699</v>
        <stp/>
        <stp>##V3_BDPV12</stp>
        <stp>AM564740 Corp</stp>
        <stp>MTY_YEARS</stp>
        <stp>[AUD_ASSETSWAP_SYNDICATE.0.4.xlsx]ACGB_BONDS!R25C13</stp>
        <tr r="M25" s="13"/>
      </tp>
      <tp t="s">
        <v>21/05/2040</v>
        <stp/>
        <stp>##V3_BDPV12</stp>
        <stp>UV471848 Corp</stp>
        <stp>PENULTIMATE_CPN_DT</stp>
        <stp>[AUD_ASSETSWAP_SYNDICATE.0.4.xlsx]ACGB_BONDS!R35C9</stp>
        <tr r="I35" s="13"/>
      </tp>
      <tp>
        <v>16.750171115674195</v>
        <stp/>
        <stp>##V3_BDPV12</stp>
        <stp>EJ847557 Corp</stp>
        <stp>MTY_YEARS</stp>
        <stp>[AUD_ASSETSWAP_SYNDICATE.0.4.xlsx]ACGB_BONDS!R32C13</stp>
        <tr r="M32" s="13"/>
      </tp>
      <tp>
        <v>11.003422313483915</v>
        <stp/>
        <stp>##V3_BDPV12</stp>
        <stp>AQ762933 Corp</stp>
        <stp>MTY_YEARS</stp>
        <stp>[AUD_ASSETSWAP_SYNDICATE.0.4.xlsx]ACGB_BONDS!R27C13</stp>
        <tr r="M27" s="13"/>
      </tp>
      <tp>
        <v>9.0020533880903493</v>
        <stp/>
        <stp>##V3_BDPV12</stp>
        <stp>JV319866 Corp</stp>
        <stp>MTY_YEARS</stp>
        <stp>[AUD_ASSETSWAP_SYNDICATE.0.4.xlsx]ACGB_BONDS!R23C13</stp>
        <tr r="M23" s="13"/>
      </tp>
      <tp t="s">
        <v>17/01/2018</v>
        <stp/>
        <stp>##V3_BDPV12</stp>
        <stp>AU3CB0250215 Corp</stp>
        <stp>START_ACC_DT</stp>
        <stp>[AUD_ASSETSWAP_SYNDICATE.0.4.xlsx]TAP AUD ASW!R18C6</stp>
        <tr r="F18" s="11"/>
      </tp>
      <tp>
        <v>3.2553045859000687</v>
        <stp/>
        <stp>##V3_BDPV12</stp>
        <stp>EJ036821 Corp</stp>
        <stp>MTY_YEARS</stp>
        <stp>[AUD_ASSETSWAP_SYNDICATE.0.4.xlsx]ACGB_BONDS!R13C13</stp>
        <tr r="M13" s="13"/>
      </tp>
      <tp>
        <v>3.0855578370978782</v>
        <stp/>
        <stp>##V3_BDPV12</stp>
        <stp>AM152866 Corp</stp>
        <stp>MTY_YEARS</stp>
        <stp>[AUD_ASSETSWAP_SYNDICATE.0.4.xlsx]ACGB_BONDS!R12C13</stp>
        <tr r="M12" s="13"/>
      </tp>
      <tp t="s">
        <v>21/12/2038</v>
        <stp/>
        <stp>##V3_BDPV12</stp>
        <stp>QJ152182 Corp</stp>
        <stp>PENULTIMATE_CPN_DT</stp>
        <stp>[AUD_ASSETSWAP_SYNDICATE.0.4.xlsx]ACGB_BONDS!R34C9</stp>
        <tr r="I34" s="13"/>
      </tp>
      <tp>
        <v>7.4168377823408624</v>
        <stp/>
        <stp>##V3_BDPV12</stp>
        <stp>EK115060 Corp</stp>
        <stp>MTY_YEARS</stp>
        <stp>[AUD_ASSETSWAP_SYNDICATE.0.4.xlsx]ACGB_BONDS!R20C13</stp>
        <tr r="M20" s="13"/>
      </tp>
      <tp>
        <v>11.832991101984941</v>
        <stp/>
        <stp>##V3_BDPV12</stp>
        <stp>EI405114 Corp</stp>
        <stp>MTY_YEARS</stp>
        <stp>[AUD_ASSETSWAP_SYNDICATE.0.4.xlsx]ACGB_BONDS!R29C13</stp>
        <tr r="M29" s="13"/>
      </tp>
      <tp t="s">
        <v>21/09/2046</v>
        <stp/>
        <stp>##V3_BDPV12</stp>
        <stp>QZ542945 Corp</stp>
        <stp>PENULTIMATE_CPN_DT</stp>
        <stp>[AUD_ASSETSWAP_SYNDICATE.0.4.xlsx]ACGB_BONDS!R37C9</stp>
        <tr r="I37" s="13"/>
      </tp>
      <tp>
        <v>3.6495550992470909</v>
        <stp/>
        <stp>##V3_BDPV12</stp>
        <stp>EI214281 Corp</stp>
        <stp>MTY_YEARS</stp>
        <stp>[AUD_ASSETSWAP_SYNDICATE.0.4.xlsx]ACGB_BONDS!R14C13</stp>
        <tr r="M14" s="13"/>
      </tp>
      <tp>
        <v>5.4182067077344289</v>
        <stp/>
        <stp>##V3_BDPV12</stp>
        <stp>EJ244569 Corp</stp>
        <stp>MTY_YEARS</stp>
        <stp>[AUD_ASSETSWAP_SYNDICATE.0.4.xlsx]ACGB_BONDS!R17C13</stp>
        <tr r="M17" s="13"/>
      </tp>
      <tp>
        <v>6.8336755646817249</v>
        <stp/>
        <stp>##V3_BDPV12</stp>
        <stp>EH994413 Corp</stp>
        <stp>MTY_YEARS</stp>
        <stp>[AUD_ASSETSWAP_SYNDICATE.0.4.xlsx]ACGB_BONDS!R19C13</stp>
        <tr r="M19" s="13"/>
      </tp>
      <tp>
        <v>18.417522245037645</v>
        <stp/>
        <stp>##V3_BDPV12</stp>
        <stp>EK544675 Corp</stp>
        <stp>MTY_YEARS</stp>
        <stp>[AUD_ASSETSWAP_SYNDICATE.0.4.xlsx]ACGB_BONDS!R33C13</stp>
        <tr r="M33" s="1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70974748846049"/>
          <c:y val="4.5554181585436192E-2"/>
          <c:w val="0.80287084804054665"/>
          <c:h val="0.74781519131568153"/>
        </c:manualLayout>
      </c:layout>
      <c:lineChart>
        <c:grouping val="standard"/>
        <c:varyColors val="0"/>
        <c:ser>
          <c:idx val="0"/>
          <c:order val="0"/>
          <c:tx>
            <c:strRef>
              <c:f>SETTINGS!$R$3</c:f>
              <c:strCache>
                <c:ptCount val="1"/>
                <c:pt idx="0">
                  <c:v>AUDOIS</c:v>
                </c:pt>
              </c:strCache>
            </c:strRef>
          </c:tx>
          <c:marker>
            <c:symbol val="none"/>
          </c:marker>
          <c:cat>
            <c:numRef>
              <c:f>SETTINGS!$Q$4:$Q$200</c:f>
              <c:numCache>
                <c:formatCode>ddd\,\ d\-mmm\-yy</c:formatCode>
                <c:ptCount val="197"/>
                <c:pt idx="0">
                  <c:v>43420</c:v>
                </c:pt>
                <c:pt idx="1">
                  <c:v>43514</c:v>
                </c:pt>
                <c:pt idx="2">
                  <c:v>43601</c:v>
                </c:pt>
                <c:pt idx="3">
                  <c:v>43693</c:v>
                </c:pt>
                <c:pt idx="4">
                  <c:v>43787</c:v>
                </c:pt>
                <c:pt idx="5">
                  <c:v>43878</c:v>
                </c:pt>
                <c:pt idx="6">
                  <c:v>43969</c:v>
                </c:pt>
                <c:pt idx="7">
                  <c:v>44060</c:v>
                </c:pt>
                <c:pt idx="8">
                  <c:v>44151</c:v>
                </c:pt>
                <c:pt idx="9">
                  <c:v>44243</c:v>
                </c:pt>
                <c:pt idx="10">
                  <c:v>44333</c:v>
                </c:pt>
                <c:pt idx="11">
                  <c:v>44424</c:v>
                </c:pt>
                <c:pt idx="12">
                  <c:v>44516</c:v>
                </c:pt>
                <c:pt idx="13">
                  <c:v>44608</c:v>
                </c:pt>
                <c:pt idx="14">
                  <c:v>44697</c:v>
                </c:pt>
                <c:pt idx="15">
                  <c:v>44789</c:v>
                </c:pt>
                <c:pt idx="16">
                  <c:v>44881</c:v>
                </c:pt>
                <c:pt idx="17">
                  <c:v>44973</c:v>
                </c:pt>
                <c:pt idx="18">
                  <c:v>45062</c:v>
                </c:pt>
                <c:pt idx="19">
                  <c:v>45154</c:v>
                </c:pt>
                <c:pt idx="20">
                  <c:v>45246</c:v>
                </c:pt>
                <c:pt idx="21">
                  <c:v>45338</c:v>
                </c:pt>
                <c:pt idx="22">
                  <c:v>45428</c:v>
                </c:pt>
                <c:pt idx="23">
                  <c:v>45520</c:v>
                </c:pt>
                <c:pt idx="24">
                  <c:v>45614</c:v>
                </c:pt>
                <c:pt idx="25">
                  <c:v>45705</c:v>
                </c:pt>
                <c:pt idx="26">
                  <c:v>45793</c:v>
                </c:pt>
                <c:pt idx="27">
                  <c:v>45887</c:v>
                </c:pt>
                <c:pt idx="28">
                  <c:v>45978</c:v>
                </c:pt>
                <c:pt idx="29">
                  <c:v>46069</c:v>
                </c:pt>
                <c:pt idx="30">
                  <c:v>46160</c:v>
                </c:pt>
                <c:pt idx="31">
                  <c:v>46251</c:v>
                </c:pt>
                <c:pt idx="32">
                  <c:v>46342</c:v>
                </c:pt>
                <c:pt idx="33">
                  <c:v>46434</c:v>
                </c:pt>
                <c:pt idx="34">
                  <c:v>46524</c:v>
                </c:pt>
                <c:pt idx="35">
                  <c:v>46615</c:v>
                </c:pt>
                <c:pt idx="36">
                  <c:v>46707</c:v>
                </c:pt>
                <c:pt idx="37">
                  <c:v>46799</c:v>
                </c:pt>
                <c:pt idx="38">
                  <c:v>46889</c:v>
                </c:pt>
                <c:pt idx="39">
                  <c:v>46981</c:v>
                </c:pt>
                <c:pt idx="40">
                  <c:v>47073</c:v>
                </c:pt>
                <c:pt idx="41">
                  <c:v>47165</c:v>
                </c:pt>
                <c:pt idx="42">
                  <c:v>47254</c:v>
                </c:pt>
                <c:pt idx="43">
                  <c:v>47346</c:v>
                </c:pt>
                <c:pt idx="44">
                  <c:v>47438</c:v>
                </c:pt>
                <c:pt idx="45">
                  <c:v>47532</c:v>
                </c:pt>
                <c:pt idx="46">
                  <c:v>47619</c:v>
                </c:pt>
                <c:pt idx="47">
                  <c:v>47711</c:v>
                </c:pt>
                <c:pt idx="48">
                  <c:v>47805</c:v>
                </c:pt>
                <c:pt idx="49">
                  <c:v>47896</c:v>
                </c:pt>
                <c:pt idx="50">
                  <c:v>47984</c:v>
                </c:pt>
                <c:pt idx="51">
                  <c:v>48078</c:v>
                </c:pt>
                <c:pt idx="52">
                  <c:v>48169</c:v>
                </c:pt>
                <c:pt idx="53">
                  <c:v>48260</c:v>
                </c:pt>
                <c:pt idx="54">
                  <c:v>48351</c:v>
                </c:pt>
                <c:pt idx="55">
                  <c:v>48442</c:v>
                </c:pt>
                <c:pt idx="56">
                  <c:v>48534</c:v>
                </c:pt>
                <c:pt idx="57">
                  <c:v>48626</c:v>
                </c:pt>
                <c:pt idx="58">
                  <c:v>48715</c:v>
                </c:pt>
                <c:pt idx="59">
                  <c:v>48807</c:v>
                </c:pt>
                <c:pt idx="60">
                  <c:v>48899</c:v>
                </c:pt>
                <c:pt idx="61">
                  <c:v>48991</c:v>
                </c:pt>
                <c:pt idx="62">
                  <c:v>49080</c:v>
                </c:pt>
                <c:pt idx="63">
                  <c:v>49172</c:v>
                </c:pt>
                <c:pt idx="64">
                  <c:v>49264</c:v>
                </c:pt>
                <c:pt idx="65">
                  <c:v>49356</c:v>
                </c:pt>
                <c:pt idx="66">
                  <c:v>49445</c:v>
                </c:pt>
                <c:pt idx="67">
                  <c:v>49537</c:v>
                </c:pt>
                <c:pt idx="68">
                  <c:v>49629</c:v>
                </c:pt>
                <c:pt idx="69">
                  <c:v>49723</c:v>
                </c:pt>
                <c:pt idx="70">
                  <c:v>49811</c:v>
                </c:pt>
                <c:pt idx="71">
                  <c:v>49905</c:v>
                </c:pt>
                <c:pt idx="72">
                  <c:v>49996</c:v>
                </c:pt>
                <c:pt idx="73">
                  <c:v>50087</c:v>
                </c:pt>
                <c:pt idx="74">
                  <c:v>50178</c:v>
                </c:pt>
                <c:pt idx="75">
                  <c:v>50269</c:v>
                </c:pt>
                <c:pt idx="76">
                  <c:v>50360</c:v>
                </c:pt>
                <c:pt idx="77">
                  <c:v>50452</c:v>
                </c:pt>
                <c:pt idx="78">
                  <c:v>50542</c:v>
                </c:pt>
                <c:pt idx="79">
                  <c:v>50633</c:v>
                </c:pt>
                <c:pt idx="80">
                  <c:v>50725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SETTINGS!$R$4:$R$200</c:f>
              <c:numCache>
                <c:formatCode>0.00000%</c:formatCode>
                <c:ptCount val="197"/>
                <c:pt idx="0">
                  <c:v>1.5000000000006491E-2</c:v>
                </c:pt>
                <c:pt idx="1">
                  <c:v>1.4991401575146284E-2</c:v>
                </c:pt>
                <c:pt idx="2">
                  <c:v>1.5262621327966137E-2</c:v>
                </c:pt>
                <c:pt idx="3">
                  <c:v>1.55950617897124E-2</c:v>
                </c:pt>
                <c:pt idx="4">
                  <c:v>1.6418902481712364E-2</c:v>
                </c:pt>
                <c:pt idx="5">
                  <c:v>1.7205574450589938E-2</c:v>
                </c:pt>
                <c:pt idx="6">
                  <c:v>1.7935831740377065E-2</c:v>
                </c:pt>
                <c:pt idx="7">
                  <c:v>1.8564484081007738E-2</c:v>
                </c:pt>
                <c:pt idx="8">
                  <c:v>1.9089888066815969E-2</c:v>
                </c:pt>
                <c:pt idx="9">
                  <c:v>1.9607841341598271E-2</c:v>
                </c:pt>
                <c:pt idx="10">
                  <c:v>2.0039444555853096E-2</c:v>
                </c:pt>
                <c:pt idx="11">
                  <c:v>2.0450782954086009E-2</c:v>
                </c:pt>
                <c:pt idx="12">
                  <c:v>2.0840571330391983E-2</c:v>
                </c:pt>
                <c:pt idx="13">
                  <c:v>2.1230641169246781E-2</c:v>
                </c:pt>
                <c:pt idx="14">
                  <c:v>2.1637085908027587E-2</c:v>
                </c:pt>
                <c:pt idx="15">
                  <c:v>2.2088040233718992E-2</c:v>
                </c:pt>
                <c:pt idx="16">
                  <c:v>2.2571080570933665E-2</c:v>
                </c:pt>
                <c:pt idx="17">
                  <c:v>2.3067413451797168E-2</c:v>
                </c:pt>
                <c:pt idx="18">
                  <c:v>2.3537865721444784E-2</c:v>
                </c:pt>
                <c:pt idx="19">
                  <c:v>2.4013946295116342E-2</c:v>
                </c:pt>
                <c:pt idx="20">
                  <c:v>2.4479452001946674E-2</c:v>
                </c:pt>
                <c:pt idx="21">
                  <c:v>2.485254338066116E-2</c:v>
                </c:pt>
                <c:pt idx="22">
                  <c:v>2.5219486648267089E-2</c:v>
                </c:pt>
                <c:pt idx="23">
                  <c:v>2.5552654801659538E-2</c:v>
                </c:pt>
                <c:pt idx="24">
                  <c:v>2.5825834746886149E-2</c:v>
                </c:pt>
                <c:pt idx="25">
                  <c:v>2.6153314384038829E-2</c:v>
                </c:pt>
                <c:pt idx="26">
                  <c:v>2.6436615964339733E-2</c:v>
                </c:pt>
                <c:pt idx="27">
                  <c:v>2.6761273550930522E-2</c:v>
                </c:pt>
                <c:pt idx="28">
                  <c:v>2.711388057939924E-2</c:v>
                </c:pt>
                <c:pt idx="29">
                  <c:v>2.7448383039613389E-2</c:v>
                </c:pt>
                <c:pt idx="30">
                  <c:v>2.7708588938080248E-2</c:v>
                </c:pt>
                <c:pt idx="31">
                  <c:v>2.7892397802878981E-2</c:v>
                </c:pt>
                <c:pt idx="32">
                  <c:v>2.799764434087721E-2</c:v>
                </c:pt>
                <c:pt idx="33">
                  <c:v>2.8094702765418013E-2</c:v>
                </c:pt>
                <c:pt idx="34">
                  <c:v>2.8258991492547209E-2</c:v>
                </c:pt>
                <c:pt idx="35">
                  <c:v>2.8496857838183218E-2</c:v>
                </c:pt>
                <c:pt idx="36">
                  <c:v>2.8812767221983414E-2</c:v>
                </c:pt>
                <c:pt idx="37">
                  <c:v>2.9061931121884859E-2</c:v>
                </c:pt>
                <c:pt idx="38">
                  <c:v>2.9325574195632864E-2</c:v>
                </c:pt>
                <c:pt idx="39">
                  <c:v>2.9535369819799102E-2</c:v>
                </c:pt>
                <c:pt idx="40">
                  <c:v>2.9682974937747363E-2</c:v>
                </c:pt>
                <c:pt idx="41">
                  <c:v>2.9875346886864287E-2</c:v>
                </c:pt>
                <c:pt idx="42">
                  <c:v>2.9962360451551723E-2</c:v>
                </c:pt>
                <c:pt idx="43">
                  <c:v>3.0041505270362028E-2</c:v>
                </c:pt>
                <c:pt idx="44">
                  <c:v>3.0108590181332218E-2</c:v>
                </c:pt>
                <c:pt idx="45">
                  <c:v>3.0157264703343029E-2</c:v>
                </c:pt>
                <c:pt idx="46">
                  <c:v>3.0195038229932997E-2</c:v>
                </c:pt>
                <c:pt idx="47">
                  <c:v>3.0226812672686492E-2</c:v>
                </c:pt>
                <c:pt idx="48">
                  <c:v>3.0241758620450841E-2</c:v>
                </c:pt>
                <c:pt idx="49">
                  <c:v>3.0247778149974192E-2</c:v>
                </c:pt>
                <c:pt idx="50">
                  <c:v>3.0246028313488237E-2</c:v>
                </c:pt>
                <c:pt idx="51">
                  <c:v>3.0228046721713288E-2</c:v>
                </c:pt>
                <c:pt idx="52">
                  <c:v>3.020167759644846E-2</c:v>
                </c:pt>
                <c:pt idx="53">
                  <c:v>3.0082614105000603E-2</c:v>
                </c:pt>
                <c:pt idx="54">
                  <c:v>3.003674727535242E-2</c:v>
                </c:pt>
                <c:pt idx="55">
                  <c:v>2.9981259129582018E-2</c:v>
                </c:pt>
                <c:pt idx="56">
                  <c:v>2.9915117247179827E-2</c:v>
                </c:pt>
                <c:pt idx="57">
                  <c:v>2.9921101590116579E-2</c:v>
                </c:pt>
                <c:pt idx="58">
                  <c:v>2.9839063000276844E-2</c:v>
                </c:pt>
                <c:pt idx="59">
                  <c:v>2.9745311272278651E-2</c:v>
                </c:pt>
                <c:pt idx="60">
                  <c:v>2.9642240372664479E-2</c:v>
                </c:pt>
                <c:pt idx="61">
                  <c:v>2.9532681736832052E-2</c:v>
                </c:pt>
                <c:pt idx="62">
                  <c:v>2.942394302496925E-2</c:v>
                </c:pt>
                <c:pt idx="63">
                  <c:v>2.9308675069235731E-2</c:v>
                </c:pt>
                <c:pt idx="64">
                  <c:v>2.9190469309723983E-2</c:v>
                </c:pt>
                <c:pt idx="65">
                  <c:v>2.9071310681106782E-2</c:v>
                </c:pt>
                <c:pt idx="66">
                  <c:v>2.89533231717315E-2</c:v>
                </c:pt>
                <c:pt idx="67">
                  <c:v>2.8831673907186769E-2</c:v>
                </c:pt>
                <c:pt idx="68">
                  <c:v>2.8710253737144861E-2</c:v>
                </c:pt>
                <c:pt idx="69">
                  <c:v>2.8506655487570573E-2</c:v>
                </c:pt>
                <c:pt idx="70">
                  <c:v>2.8392639893435292E-2</c:v>
                </c:pt>
                <c:pt idx="71">
                  <c:v>2.8270375296102577E-2</c:v>
                </c:pt>
                <c:pt idx="72">
                  <c:v>2.8154373573465077E-2</c:v>
                </c:pt>
                <c:pt idx="73">
                  <c:v>2.8117365104270195E-2</c:v>
                </c:pt>
                <c:pt idx="74">
                  <c:v>2.8006373939115935E-2</c:v>
                </c:pt>
                <c:pt idx="75">
                  <c:v>2.7898835923869915E-2</c:v>
                </c:pt>
                <c:pt idx="76">
                  <c:v>2.7794898804281102E-2</c:v>
                </c:pt>
                <c:pt idx="77">
                  <c:v>2.7694360650217995E-2</c:v>
                </c:pt>
                <c:pt idx="78">
                  <c:v>2.7601382499270372E-2</c:v>
                </c:pt>
                <c:pt idx="79">
                  <c:v>2.7512969978536063E-2</c:v>
                </c:pt>
                <c:pt idx="80">
                  <c:v>2.7429509160457177E-2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SETTINGS!$S$3</c:f>
              <c:strCache>
                <c:ptCount val="1"/>
                <c:pt idx="0">
                  <c:v>AUD3ML</c:v>
                </c:pt>
              </c:strCache>
            </c:strRef>
          </c:tx>
          <c:marker>
            <c:symbol val="none"/>
          </c:marker>
          <c:cat>
            <c:numRef>
              <c:f>SETTINGS!$Q$4:$Q$200</c:f>
              <c:numCache>
                <c:formatCode>ddd\,\ d\-mmm\-yy</c:formatCode>
                <c:ptCount val="197"/>
                <c:pt idx="0">
                  <c:v>43420</c:v>
                </c:pt>
                <c:pt idx="1">
                  <c:v>43514</c:v>
                </c:pt>
                <c:pt idx="2">
                  <c:v>43601</c:v>
                </c:pt>
                <c:pt idx="3">
                  <c:v>43693</c:v>
                </c:pt>
                <c:pt idx="4">
                  <c:v>43787</c:v>
                </c:pt>
                <c:pt idx="5">
                  <c:v>43878</c:v>
                </c:pt>
                <c:pt idx="6">
                  <c:v>43969</c:v>
                </c:pt>
                <c:pt idx="7">
                  <c:v>44060</c:v>
                </c:pt>
                <c:pt idx="8">
                  <c:v>44151</c:v>
                </c:pt>
                <c:pt idx="9">
                  <c:v>44243</c:v>
                </c:pt>
                <c:pt idx="10">
                  <c:v>44333</c:v>
                </c:pt>
                <c:pt idx="11">
                  <c:v>44424</c:v>
                </c:pt>
                <c:pt idx="12">
                  <c:v>44516</c:v>
                </c:pt>
                <c:pt idx="13">
                  <c:v>44608</c:v>
                </c:pt>
                <c:pt idx="14">
                  <c:v>44697</c:v>
                </c:pt>
                <c:pt idx="15">
                  <c:v>44789</c:v>
                </c:pt>
                <c:pt idx="16">
                  <c:v>44881</c:v>
                </c:pt>
                <c:pt idx="17">
                  <c:v>44973</c:v>
                </c:pt>
                <c:pt idx="18">
                  <c:v>45062</c:v>
                </c:pt>
                <c:pt idx="19">
                  <c:v>45154</c:v>
                </c:pt>
                <c:pt idx="20">
                  <c:v>45246</c:v>
                </c:pt>
                <c:pt idx="21">
                  <c:v>45338</c:v>
                </c:pt>
                <c:pt idx="22">
                  <c:v>45428</c:v>
                </c:pt>
                <c:pt idx="23">
                  <c:v>45520</c:v>
                </c:pt>
                <c:pt idx="24">
                  <c:v>45614</c:v>
                </c:pt>
                <c:pt idx="25">
                  <c:v>45705</c:v>
                </c:pt>
                <c:pt idx="26">
                  <c:v>45793</c:v>
                </c:pt>
                <c:pt idx="27">
                  <c:v>45887</c:v>
                </c:pt>
                <c:pt idx="28">
                  <c:v>45978</c:v>
                </c:pt>
                <c:pt idx="29">
                  <c:v>46069</c:v>
                </c:pt>
                <c:pt idx="30">
                  <c:v>46160</c:v>
                </c:pt>
                <c:pt idx="31">
                  <c:v>46251</c:v>
                </c:pt>
                <c:pt idx="32">
                  <c:v>46342</c:v>
                </c:pt>
                <c:pt idx="33">
                  <c:v>46434</c:v>
                </c:pt>
                <c:pt idx="34">
                  <c:v>46524</c:v>
                </c:pt>
                <c:pt idx="35">
                  <c:v>46615</c:v>
                </c:pt>
                <c:pt idx="36">
                  <c:v>46707</c:v>
                </c:pt>
                <c:pt idx="37">
                  <c:v>46799</c:v>
                </c:pt>
                <c:pt idx="38">
                  <c:v>46889</c:v>
                </c:pt>
                <c:pt idx="39">
                  <c:v>46981</c:v>
                </c:pt>
                <c:pt idx="40">
                  <c:v>47073</c:v>
                </c:pt>
                <c:pt idx="41">
                  <c:v>47165</c:v>
                </c:pt>
                <c:pt idx="42">
                  <c:v>47254</c:v>
                </c:pt>
                <c:pt idx="43">
                  <c:v>47346</c:v>
                </c:pt>
                <c:pt idx="44">
                  <c:v>47438</c:v>
                </c:pt>
                <c:pt idx="45">
                  <c:v>47532</c:v>
                </c:pt>
                <c:pt idx="46">
                  <c:v>47619</c:v>
                </c:pt>
                <c:pt idx="47">
                  <c:v>47711</c:v>
                </c:pt>
                <c:pt idx="48">
                  <c:v>47805</c:v>
                </c:pt>
                <c:pt idx="49">
                  <c:v>47896</c:v>
                </c:pt>
                <c:pt idx="50">
                  <c:v>47984</c:v>
                </c:pt>
                <c:pt idx="51">
                  <c:v>48078</c:v>
                </c:pt>
                <c:pt idx="52">
                  <c:v>48169</c:v>
                </c:pt>
                <c:pt idx="53">
                  <c:v>48260</c:v>
                </c:pt>
                <c:pt idx="54">
                  <c:v>48351</c:v>
                </c:pt>
                <c:pt idx="55">
                  <c:v>48442</c:v>
                </c:pt>
                <c:pt idx="56">
                  <c:v>48534</c:v>
                </c:pt>
                <c:pt idx="57">
                  <c:v>48626</c:v>
                </c:pt>
                <c:pt idx="58">
                  <c:v>48715</c:v>
                </c:pt>
                <c:pt idx="59">
                  <c:v>48807</c:v>
                </c:pt>
                <c:pt idx="60">
                  <c:v>48899</c:v>
                </c:pt>
                <c:pt idx="61">
                  <c:v>48991</c:v>
                </c:pt>
                <c:pt idx="62">
                  <c:v>49080</c:v>
                </c:pt>
                <c:pt idx="63">
                  <c:v>49172</c:v>
                </c:pt>
                <c:pt idx="64">
                  <c:v>49264</c:v>
                </c:pt>
                <c:pt idx="65">
                  <c:v>49356</c:v>
                </c:pt>
                <c:pt idx="66">
                  <c:v>49445</c:v>
                </c:pt>
                <c:pt idx="67">
                  <c:v>49537</c:v>
                </c:pt>
                <c:pt idx="68">
                  <c:v>49629</c:v>
                </c:pt>
                <c:pt idx="69">
                  <c:v>49723</c:v>
                </c:pt>
                <c:pt idx="70">
                  <c:v>49811</c:v>
                </c:pt>
                <c:pt idx="71">
                  <c:v>49905</c:v>
                </c:pt>
                <c:pt idx="72">
                  <c:v>49996</c:v>
                </c:pt>
                <c:pt idx="73">
                  <c:v>50087</c:v>
                </c:pt>
                <c:pt idx="74">
                  <c:v>50178</c:v>
                </c:pt>
                <c:pt idx="75">
                  <c:v>50269</c:v>
                </c:pt>
                <c:pt idx="76">
                  <c:v>50360</c:v>
                </c:pt>
                <c:pt idx="77">
                  <c:v>50452</c:v>
                </c:pt>
                <c:pt idx="78">
                  <c:v>50542</c:v>
                </c:pt>
                <c:pt idx="79">
                  <c:v>50633</c:v>
                </c:pt>
                <c:pt idx="80">
                  <c:v>50725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SETTINGS!$S$4:$S$200</c:f>
              <c:numCache>
                <c:formatCode>0.00000%</c:formatCode>
                <c:ptCount val="197"/>
                <c:pt idx="0">
                  <c:v>1.9300000000000001E-2</c:v>
                </c:pt>
                <c:pt idx="1">
                  <c:v>1.9657708339601204E-2</c:v>
                </c:pt>
                <c:pt idx="2">
                  <c:v>2.009769466556665E-2</c:v>
                </c:pt>
                <c:pt idx="3">
                  <c:v>2.0575069668822003E-2</c:v>
                </c:pt>
                <c:pt idx="4">
                  <c:v>2.1052197131169327E-2</c:v>
                </c:pt>
                <c:pt idx="5">
                  <c:v>2.1528665153296472E-2</c:v>
                </c:pt>
                <c:pt idx="6">
                  <c:v>2.2064812517584249E-2</c:v>
                </c:pt>
                <c:pt idx="7">
                  <c:v>2.2613545586140087E-2</c:v>
                </c:pt>
                <c:pt idx="8">
                  <c:v>2.3207109466908779E-2</c:v>
                </c:pt>
                <c:pt idx="9">
                  <c:v>2.3763347942051143E-2</c:v>
                </c:pt>
                <c:pt idx="10">
                  <c:v>2.4258927611851479E-2</c:v>
                </c:pt>
                <c:pt idx="11">
                  <c:v>2.4707461008363241E-2</c:v>
                </c:pt>
                <c:pt idx="12">
                  <c:v>2.5134804103753145E-2</c:v>
                </c:pt>
                <c:pt idx="13">
                  <c:v>2.5556313943521026E-2</c:v>
                </c:pt>
                <c:pt idx="14">
                  <c:v>2.5996520930225048E-2</c:v>
                </c:pt>
                <c:pt idx="15">
                  <c:v>2.6477838502556927E-2</c:v>
                </c:pt>
                <c:pt idx="16">
                  <c:v>2.6963769627383838E-2</c:v>
                </c:pt>
                <c:pt idx="17">
                  <c:v>2.7456374340686086E-2</c:v>
                </c:pt>
                <c:pt idx="18">
                  <c:v>2.7948808503762697E-2</c:v>
                </c:pt>
                <c:pt idx="19">
                  <c:v>2.844077693296844E-2</c:v>
                </c:pt>
                <c:pt idx="20">
                  <c:v>2.8886286212610964E-2</c:v>
                </c:pt>
                <c:pt idx="21">
                  <c:v>2.928302470207424E-2</c:v>
                </c:pt>
                <c:pt idx="22">
                  <c:v>2.965399442939852E-2</c:v>
                </c:pt>
                <c:pt idx="23">
                  <c:v>2.9969344072592694E-2</c:v>
                </c:pt>
                <c:pt idx="24">
                  <c:v>3.0287835973152658E-2</c:v>
                </c:pt>
                <c:pt idx="25">
                  <c:v>3.0589207788498295E-2</c:v>
                </c:pt>
                <c:pt idx="26">
                  <c:v>3.0880712407812181E-2</c:v>
                </c:pt>
                <c:pt idx="27">
                  <c:v>3.120406732391957E-2</c:v>
                </c:pt>
                <c:pt idx="28">
                  <c:v>3.1525144187027558E-2</c:v>
                </c:pt>
                <c:pt idx="29">
                  <c:v>3.1791249126828916E-2</c:v>
                </c:pt>
                <c:pt idx="30">
                  <c:v>3.2012200386400923E-2</c:v>
                </c:pt>
                <c:pt idx="31">
                  <c:v>3.2164188653136833E-2</c:v>
                </c:pt>
                <c:pt idx="32">
                  <c:v>3.2272241690846845E-2</c:v>
                </c:pt>
                <c:pt idx="33">
                  <c:v>3.2404578393918811E-2</c:v>
                </c:pt>
                <c:pt idx="34">
                  <c:v>3.2597548378676254E-2</c:v>
                </c:pt>
                <c:pt idx="35">
                  <c:v>3.2836453876859691E-2</c:v>
                </c:pt>
                <c:pt idx="36">
                  <c:v>3.3071740381928977E-2</c:v>
                </c:pt>
                <c:pt idx="37">
                  <c:v>3.3279297763982078E-2</c:v>
                </c:pt>
                <c:pt idx="38">
                  <c:v>3.3504396894008477E-2</c:v>
                </c:pt>
                <c:pt idx="39">
                  <c:v>3.3686566312082382E-2</c:v>
                </c:pt>
                <c:pt idx="40">
                  <c:v>3.3892801972482983E-2</c:v>
                </c:pt>
                <c:pt idx="41">
                  <c:v>3.4072393728204593E-2</c:v>
                </c:pt>
                <c:pt idx="42">
                  <c:v>3.4195436982454509E-2</c:v>
                </c:pt>
                <c:pt idx="43">
                  <c:v>3.4304784616319028E-2</c:v>
                </c:pt>
                <c:pt idx="44">
                  <c:v>3.4399880830312424E-2</c:v>
                </c:pt>
                <c:pt idx="45">
                  <c:v>3.4477586036347388E-2</c:v>
                </c:pt>
                <c:pt idx="46">
                  <c:v>3.4543531332152502E-2</c:v>
                </c:pt>
                <c:pt idx="47">
                  <c:v>3.4595037537506423E-2</c:v>
                </c:pt>
                <c:pt idx="48">
                  <c:v>3.463239374610428E-2</c:v>
                </c:pt>
                <c:pt idx="49">
                  <c:v>3.4648811494609202E-2</c:v>
                </c:pt>
                <c:pt idx="50">
                  <c:v>3.4660699548138406E-2</c:v>
                </c:pt>
                <c:pt idx="51">
                  <c:v>3.4654133044310996E-2</c:v>
                </c:pt>
                <c:pt idx="52">
                  <c:v>3.4582040840179053E-2</c:v>
                </c:pt>
                <c:pt idx="53">
                  <c:v>3.449940013289602E-2</c:v>
                </c:pt>
                <c:pt idx="54">
                  <c:v>3.4451612561784944E-2</c:v>
                </c:pt>
                <c:pt idx="55">
                  <c:v>3.4386635785367832E-2</c:v>
                </c:pt>
                <c:pt idx="56">
                  <c:v>3.4360506365955751E-2</c:v>
                </c:pt>
                <c:pt idx="57">
                  <c:v>3.4306085066263078E-2</c:v>
                </c:pt>
                <c:pt idx="58">
                  <c:v>3.4202698361206409E-2</c:v>
                </c:pt>
                <c:pt idx="59">
                  <c:v>3.4080963618297051E-2</c:v>
                </c:pt>
                <c:pt idx="60">
                  <c:v>3.3943987061840181E-2</c:v>
                </c:pt>
                <c:pt idx="61">
                  <c:v>3.3807478918418288E-2</c:v>
                </c:pt>
                <c:pt idx="62">
                  <c:v>3.3682402224397959E-2</c:v>
                </c:pt>
                <c:pt idx="63">
                  <c:v>3.3552367885510338E-2</c:v>
                </c:pt>
                <c:pt idx="64">
                  <c:v>3.342736920278809E-2</c:v>
                </c:pt>
                <c:pt idx="65">
                  <c:v>3.3305217292311E-2</c:v>
                </c:pt>
                <c:pt idx="66">
                  <c:v>3.3191655634650354E-2</c:v>
                </c:pt>
                <c:pt idx="67">
                  <c:v>3.3078627464226643E-2</c:v>
                </c:pt>
                <c:pt idx="68">
                  <c:v>3.291972110403605E-2</c:v>
                </c:pt>
                <c:pt idx="69">
                  <c:v>3.276582617123399E-2</c:v>
                </c:pt>
                <c:pt idx="70">
                  <c:v>3.2668772938228133E-2</c:v>
                </c:pt>
                <c:pt idx="71">
                  <c:v>3.2566712458807059E-2</c:v>
                </c:pt>
                <c:pt idx="72">
                  <c:v>3.2519157464572276E-2</c:v>
                </c:pt>
                <c:pt idx="73">
                  <c:v>3.2465634347508245E-2</c:v>
                </c:pt>
                <c:pt idx="74">
                  <c:v>3.2380434243950582E-2</c:v>
                </c:pt>
                <c:pt idx="75">
                  <c:v>3.2295194231980753E-2</c:v>
                </c:pt>
                <c:pt idx="76">
                  <c:v>3.2213592103003057E-2</c:v>
                </c:pt>
                <c:pt idx="77">
                  <c:v>3.2131448636697917E-2</c:v>
                </c:pt>
                <c:pt idx="78">
                  <c:v>3.2060461807858973E-2</c:v>
                </c:pt>
                <c:pt idx="79">
                  <c:v>3.1989190185629311E-2</c:v>
                </c:pt>
                <c:pt idx="80">
                  <c:v>3.1920567022511455E-2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SETTINGS!$T$3</c:f>
              <c:strCache>
                <c:ptCount val="1"/>
                <c:pt idx="0">
                  <c:v>AUD6ML</c:v>
                </c:pt>
              </c:strCache>
            </c:strRef>
          </c:tx>
          <c:marker>
            <c:symbol val="none"/>
          </c:marker>
          <c:cat>
            <c:numRef>
              <c:f>SETTINGS!$Q$4:$Q$200</c:f>
              <c:numCache>
                <c:formatCode>ddd\,\ d\-mmm\-yy</c:formatCode>
                <c:ptCount val="197"/>
                <c:pt idx="0">
                  <c:v>43420</c:v>
                </c:pt>
                <c:pt idx="1">
                  <c:v>43514</c:v>
                </c:pt>
                <c:pt idx="2">
                  <c:v>43601</c:v>
                </c:pt>
                <c:pt idx="3">
                  <c:v>43693</c:v>
                </c:pt>
                <c:pt idx="4">
                  <c:v>43787</c:v>
                </c:pt>
                <c:pt idx="5">
                  <c:v>43878</c:v>
                </c:pt>
                <c:pt idx="6">
                  <c:v>43969</c:v>
                </c:pt>
                <c:pt idx="7">
                  <c:v>44060</c:v>
                </c:pt>
                <c:pt idx="8">
                  <c:v>44151</c:v>
                </c:pt>
                <c:pt idx="9">
                  <c:v>44243</c:v>
                </c:pt>
                <c:pt idx="10">
                  <c:v>44333</c:v>
                </c:pt>
                <c:pt idx="11">
                  <c:v>44424</c:v>
                </c:pt>
                <c:pt idx="12">
                  <c:v>44516</c:v>
                </c:pt>
                <c:pt idx="13">
                  <c:v>44608</c:v>
                </c:pt>
                <c:pt idx="14">
                  <c:v>44697</c:v>
                </c:pt>
                <c:pt idx="15">
                  <c:v>44789</c:v>
                </c:pt>
                <c:pt idx="16">
                  <c:v>44881</c:v>
                </c:pt>
                <c:pt idx="17">
                  <c:v>44973</c:v>
                </c:pt>
                <c:pt idx="18">
                  <c:v>45062</c:v>
                </c:pt>
                <c:pt idx="19">
                  <c:v>45154</c:v>
                </c:pt>
                <c:pt idx="20">
                  <c:v>45246</c:v>
                </c:pt>
                <c:pt idx="21">
                  <c:v>45338</c:v>
                </c:pt>
                <c:pt idx="22">
                  <c:v>45428</c:v>
                </c:pt>
                <c:pt idx="23">
                  <c:v>45520</c:v>
                </c:pt>
                <c:pt idx="24">
                  <c:v>45614</c:v>
                </c:pt>
                <c:pt idx="25">
                  <c:v>45705</c:v>
                </c:pt>
                <c:pt idx="26">
                  <c:v>45793</c:v>
                </c:pt>
                <c:pt idx="27">
                  <c:v>45887</c:v>
                </c:pt>
                <c:pt idx="28">
                  <c:v>45978</c:v>
                </c:pt>
                <c:pt idx="29">
                  <c:v>46069</c:v>
                </c:pt>
                <c:pt idx="30">
                  <c:v>46160</c:v>
                </c:pt>
                <c:pt idx="31">
                  <c:v>46251</c:v>
                </c:pt>
                <c:pt idx="32">
                  <c:v>46342</c:v>
                </c:pt>
                <c:pt idx="33">
                  <c:v>46434</c:v>
                </c:pt>
                <c:pt idx="34">
                  <c:v>46524</c:v>
                </c:pt>
                <c:pt idx="35">
                  <c:v>46615</c:v>
                </c:pt>
                <c:pt idx="36">
                  <c:v>46707</c:v>
                </c:pt>
                <c:pt idx="37">
                  <c:v>46799</c:v>
                </c:pt>
                <c:pt idx="38">
                  <c:v>46889</c:v>
                </c:pt>
                <c:pt idx="39">
                  <c:v>46981</c:v>
                </c:pt>
                <c:pt idx="40">
                  <c:v>47073</c:v>
                </c:pt>
                <c:pt idx="41">
                  <c:v>47165</c:v>
                </c:pt>
                <c:pt idx="42">
                  <c:v>47254</c:v>
                </c:pt>
                <c:pt idx="43">
                  <c:v>47346</c:v>
                </c:pt>
                <c:pt idx="44">
                  <c:v>47438</c:v>
                </c:pt>
                <c:pt idx="45">
                  <c:v>47532</c:v>
                </c:pt>
                <c:pt idx="46">
                  <c:v>47619</c:v>
                </c:pt>
                <c:pt idx="47">
                  <c:v>47711</c:v>
                </c:pt>
                <c:pt idx="48">
                  <c:v>47805</c:v>
                </c:pt>
                <c:pt idx="49">
                  <c:v>47896</c:v>
                </c:pt>
                <c:pt idx="50">
                  <c:v>47984</c:v>
                </c:pt>
                <c:pt idx="51">
                  <c:v>48078</c:v>
                </c:pt>
                <c:pt idx="52">
                  <c:v>48169</c:v>
                </c:pt>
                <c:pt idx="53">
                  <c:v>48260</c:v>
                </c:pt>
                <c:pt idx="54">
                  <c:v>48351</c:v>
                </c:pt>
                <c:pt idx="55">
                  <c:v>48442</c:v>
                </c:pt>
                <c:pt idx="56">
                  <c:v>48534</c:v>
                </c:pt>
                <c:pt idx="57">
                  <c:v>48626</c:v>
                </c:pt>
                <c:pt idx="58">
                  <c:v>48715</c:v>
                </c:pt>
                <c:pt idx="59">
                  <c:v>48807</c:v>
                </c:pt>
                <c:pt idx="60">
                  <c:v>48899</c:v>
                </c:pt>
                <c:pt idx="61">
                  <c:v>48991</c:v>
                </c:pt>
                <c:pt idx="62">
                  <c:v>49080</c:v>
                </c:pt>
                <c:pt idx="63">
                  <c:v>49172</c:v>
                </c:pt>
                <c:pt idx="64">
                  <c:v>49264</c:v>
                </c:pt>
                <c:pt idx="65">
                  <c:v>49356</c:v>
                </c:pt>
                <c:pt idx="66">
                  <c:v>49445</c:v>
                </c:pt>
                <c:pt idx="67">
                  <c:v>49537</c:v>
                </c:pt>
                <c:pt idx="68">
                  <c:v>49629</c:v>
                </c:pt>
                <c:pt idx="69">
                  <c:v>49723</c:v>
                </c:pt>
                <c:pt idx="70">
                  <c:v>49811</c:v>
                </c:pt>
                <c:pt idx="71">
                  <c:v>49905</c:v>
                </c:pt>
                <c:pt idx="72">
                  <c:v>49996</c:v>
                </c:pt>
                <c:pt idx="73">
                  <c:v>50087</c:v>
                </c:pt>
                <c:pt idx="74">
                  <c:v>50178</c:v>
                </c:pt>
                <c:pt idx="75">
                  <c:v>50269</c:v>
                </c:pt>
                <c:pt idx="76">
                  <c:v>50360</c:v>
                </c:pt>
                <c:pt idx="77">
                  <c:v>50452</c:v>
                </c:pt>
                <c:pt idx="78">
                  <c:v>50542</c:v>
                </c:pt>
                <c:pt idx="79">
                  <c:v>50633</c:v>
                </c:pt>
                <c:pt idx="80">
                  <c:v>50725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SETTINGS!$T$4:$T$200</c:f>
              <c:numCache>
                <c:formatCode>0.00000%</c:formatCode>
                <c:ptCount val="197"/>
                <c:pt idx="0">
                  <c:v>2.1099999999999997E-2</c:v>
                </c:pt>
                <c:pt idx="1">
                  <c:v>2.1297863390470666E-2</c:v>
                </c:pt>
                <c:pt idx="2">
                  <c:v>2.1765164328006577E-2</c:v>
                </c:pt>
                <c:pt idx="3">
                  <c:v>2.2448270821216549E-2</c:v>
                </c:pt>
                <c:pt idx="4">
                  <c:v>2.3074495059083378E-2</c:v>
                </c:pt>
                <c:pt idx="5">
                  <c:v>2.3520047884113188E-2</c:v>
                </c:pt>
                <c:pt idx="6">
                  <c:v>2.3923979802256749E-2</c:v>
                </c:pt>
                <c:pt idx="7">
                  <c:v>2.441499383083302E-2</c:v>
                </c:pt>
                <c:pt idx="8">
                  <c:v>2.4953310791870437E-2</c:v>
                </c:pt>
                <c:pt idx="9">
                  <c:v>2.5475294502943741E-2</c:v>
                </c:pt>
                <c:pt idx="10">
                  <c:v>2.5953366723811048E-2</c:v>
                </c:pt>
                <c:pt idx="11">
                  <c:v>2.641153092579495E-2</c:v>
                </c:pt>
                <c:pt idx="12">
                  <c:v>2.687026841890457E-2</c:v>
                </c:pt>
                <c:pt idx="13">
                  <c:v>2.734238058071229E-2</c:v>
                </c:pt>
                <c:pt idx="14">
                  <c:v>2.7799109169265954E-2</c:v>
                </c:pt>
                <c:pt idx="15">
                  <c:v>2.8255959042192535E-2</c:v>
                </c:pt>
                <c:pt idx="16">
                  <c:v>2.8709833123091753E-2</c:v>
                </c:pt>
                <c:pt idx="17">
                  <c:v>2.9172752200117755E-2</c:v>
                </c:pt>
                <c:pt idx="18">
                  <c:v>2.9604279193292709E-2</c:v>
                </c:pt>
                <c:pt idx="19">
                  <c:v>3.0005313463710076E-2</c:v>
                </c:pt>
                <c:pt idx="20">
                  <c:v>3.0370081662456114E-2</c:v>
                </c:pt>
                <c:pt idx="21">
                  <c:v>3.071470714335452E-2</c:v>
                </c:pt>
                <c:pt idx="22">
                  <c:v>3.1034125840218935E-2</c:v>
                </c:pt>
                <c:pt idx="23">
                  <c:v>3.1341252606527037E-2</c:v>
                </c:pt>
                <c:pt idx="24">
                  <c:v>3.1636237476446838E-2</c:v>
                </c:pt>
                <c:pt idx="25">
                  <c:v>3.1905951683672551E-2</c:v>
                </c:pt>
                <c:pt idx="26">
                  <c:v>3.2152162538856978E-2</c:v>
                </c:pt>
                <c:pt idx="27">
                  <c:v>3.2398987219904633E-2</c:v>
                </c:pt>
                <c:pt idx="28">
                  <c:v>3.2622724092032075E-2</c:v>
                </c:pt>
                <c:pt idx="29">
                  <c:v>3.2830187371041687E-2</c:v>
                </c:pt>
                <c:pt idx="30">
                  <c:v>3.3010770817721483E-2</c:v>
                </c:pt>
                <c:pt idx="31">
                  <c:v>3.3159023852897686E-2</c:v>
                </c:pt>
                <c:pt idx="32">
                  <c:v>3.330106189005802E-2</c:v>
                </c:pt>
                <c:pt idx="33">
                  <c:v>3.3463097029130258E-2</c:v>
                </c:pt>
                <c:pt idx="34">
                  <c:v>3.3620498589113555E-2</c:v>
                </c:pt>
                <c:pt idx="35">
                  <c:v>3.3757398245856107E-2</c:v>
                </c:pt>
                <c:pt idx="36">
                  <c:v>3.3894662495727979E-2</c:v>
                </c:pt>
                <c:pt idx="37">
                  <c:v>3.4058907399231682E-2</c:v>
                </c:pt>
                <c:pt idx="38">
                  <c:v>3.4251923494282646E-2</c:v>
                </c:pt>
                <c:pt idx="39">
                  <c:v>3.4477255489759911E-2</c:v>
                </c:pt>
                <c:pt idx="40">
                  <c:v>3.4700380824339225E-2</c:v>
                </c:pt>
                <c:pt idx="41">
                  <c:v>3.4890175830584416E-2</c:v>
                </c:pt>
                <c:pt idx="42">
                  <c:v>3.5039067581742189E-2</c:v>
                </c:pt>
                <c:pt idx="43">
                  <c:v>3.516234996574398E-2</c:v>
                </c:pt>
                <c:pt idx="44">
                  <c:v>3.5262414813674217E-2</c:v>
                </c:pt>
                <c:pt idx="45">
                  <c:v>3.5346827208608274E-2</c:v>
                </c:pt>
                <c:pt idx="46">
                  <c:v>3.5403555115539387E-2</c:v>
                </c:pt>
                <c:pt idx="47">
                  <c:v>3.5436523518520578E-2</c:v>
                </c:pt>
                <c:pt idx="48">
                  <c:v>3.5455744715114305E-2</c:v>
                </c:pt>
                <c:pt idx="49">
                  <c:v>3.5471652889938164E-2</c:v>
                </c:pt>
                <c:pt idx="50">
                  <c:v>3.5465108698767872E-2</c:v>
                </c:pt>
                <c:pt idx="51">
                  <c:v>3.5414576481389501E-2</c:v>
                </c:pt>
                <c:pt idx="52">
                  <c:v>3.5344637759429733E-2</c:v>
                </c:pt>
                <c:pt idx="53">
                  <c:v>3.5282171044354861E-2</c:v>
                </c:pt>
                <c:pt idx="54">
                  <c:v>3.5236677759925325E-2</c:v>
                </c:pt>
                <c:pt idx="55">
                  <c:v>3.5207811361866501E-2</c:v>
                </c:pt>
                <c:pt idx="56">
                  <c:v>3.5173627809408241E-2</c:v>
                </c:pt>
                <c:pt idx="57">
                  <c:v>3.5111671632751223E-2</c:v>
                </c:pt>
                <c:pt idx="58">
                  <c:v>3.5025622612079421E-2</c:v>
                </c:pt>
                <c:pt idx="59">
                  <c:v>3.4917718964519381E-2</c:v>
                </c:pt>
                <c:pt idx="60">
                  <c:v>3.4803909687986925E-2</c:v>
                </c:pt>
                <c:pt idx="61">
                  <c:v>3.4695965496359879E-2</c:v>
                </c:pt>
                <c:pt idx="62">
                  <c:v>3.459429896436253E-2</c:v>
                </c:pt>
                <c:pt idx="63">
                  <c:v>3.4487537889449381E-2</c:v>
                </c:pt>
                <c:pt idx="64">
                  <c:v>3.4386255714339953E-2</c:v>
                </c:pt>
                <c:pt idx="65">
                  <c:v>3.4295538698047495E-2</c:v>
                </c:pt>
                <c:pt idx="66">
                  <c:v>3.4199866892959167E-2</c:v>
                </c:pt>
                <c:pt idx="67">
                  <c:v>3.4075416412142311E-2</c:v>
                </c:pt>
                <c:pt idx="68">
                  <c:v>3.3944697054584777E-2</c:v>
                </c:pt>
                <c:pt idx="69">
                  <c:v>3.3832608800506439E-2</c:v>
                </c:pt>
                <c:pt idx="70">
                  <c:v>3.3756688561706633E-2</c:v>
                </c:pt>
                <c:pt idx="71">
                  <c:v>3.3706541526282649E-2</c:v>
                </c:pt>
                <c:pt idx="72">
                  <c:v>3.3666610517460241E-2</c:v>
                </c:pt>
                <c:pt idx="73">
                  <c:v>3.3613159919383788E-2</c:v>
                </c:pt>
                <c:pt idx="74">
                  <c:v>3.3547819534788387E-2</c:v>
                </c:pt>
                <c:pt idx="75">
                  <c:v>3.3478336793990163E-2</c:v>
                </c:pt>
                <c:pt idx="76">
                  <c:v>3.3411377089441037E-2</c:v>
                </c:pt>
                <c:pt idx="77">
                  <c:v>3.3350677611329524E-2</c:v>
                </c:pt>
                <c:pt idx="78">
                  <c:v>3.3293549783857138E-2</c:v>
                </c:pt>
                <c:pt idx="79">
                  <c:v>3.3232753537194758E-2</c:v>
                </c:pt>
                <c:pt idx="80">
                  <c:v>3.3170299237013257E-2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57184"/>
        <c:axId val="270558720"/>
      </c:lineChart>
      <c:dateAx>
        <c:axId val="270557184"/>
        <c:scaling>
          <c:orientation val="minMax"/>
        </c:scaling>
        <c:delete val="0"/>
        <c:axPos val="b"/>
        <c:numFmt formatCode="ddd\,\ 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270558720"/>
        <c:crosses val="autoZero"/>
        <c:auto val="1"/>
        <c:lblOffset val="100"/>
        <c:baseTimeUnit val="months"/>
      </c:dateAx>
      <c:valAx>
        <c:axId val="27055872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0.00000%" sourceLinked="1"/>
        <c:majorTickMark val="out"/>
        <c:minorTickMark val="none"/>
        <c:tickLblPos val="nextTo"/>
        <c:crossAx val="27055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1684496334509907"/>
          <c:y val="0.59343983867881323"/>
          <c:w val="0.21533894470087792"/>
          <c:h val="0.188609291901062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0</xdr:rowOff>
    </xdr:from>
    <xdr:to>
      <xdr:col>12</xdr:col>
      <xdr:colOff>114300</xdr:colOff>
      <xdr:row>21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00"/>
  <sheetViews>
    <sheetView showGridLines="0" tabSelected="1" workbookViewId="0"/>
  </sheetViews>
  <sheetFormatPr defaultRowHeight="15" outlineLevelCol="1"/>
  <cols>
    <col min="2" max="2" width="30.140625" customWidth="1"/>
    <col min="3" max="3" width="25.7109375" customWidth="1"/>
    <col min="4" max="4" width="9.140625" customWidth="1"/>
    <col min="5" max="13" width="9.140625" customWidth="1" outlineLevel="1"/>
    <col min="14" max="14" width="20.85546875" customWidth="1" outlineLevel="1"/>
    <col min="15" max="15" width="12" customWidth="1" outlineLevel="1"/>
    <col min="16" max="16" width="9.140625" customWidth="1" outlineLevel="1"/>
    <col min="17" max="17" width="20.7109375" customWidth="1" outlineLevel="1"/>
    <col min="18" max="20" width="10.7109375" customWidth="1" outlineLevel="1"/>
  </cols>
  <sheetData>
    <row r="1" spans="1:21">
      <c r="U1" s="1" t="s">
        <v>529</v>
      </c>
    </row>
    <row r="2" spans="1:21">
      <c r="B2" s="1" t="s">
        <v>487</v>
      </c>
      <c r="E2" s="1" t="s">
        <v>528</v>
      </c>
      <c r="N2" s="1" t="s">
        <v>524</v>
      </c>
      <c r="O2" s="306"/>
      <c r="Q2" s="1" t="s">
        <v>569</v>
      </c>
    </row>
    <row r="3" spans="1:21">
      <c r="B3" s="322" t="s">
        <v>438</v>
      </c>
      <c r="C3" s="401" t="b">
        <f>IF(ISBLANK(C5),TRUE,FALSE)</f>
        <v>1</v>
      </c>
      <c r="N3" s="11" t="s">
        <v>231</v>
      </c>
      <c r="O3" s="175" t="s">
        <v>363</v>
      </c>
      <c r="Q3" s="251" t="str">
        <f t="array" aca="1" ref="Q3:T200" ca="1">IF(AND($C$9,'AUD CURVE'!$D$99),_xll.meLWOCurveForwardRatesTable($N$8,$O$8:$O$10,$O$3,$O$4,,,,$O$5),NA())</f>
        <v>Fixing Dates</v>
      </c>
      <c r="R3" s="252" t="str">
        <f ca="1"/>
        <v>AUDOIS</v>
      </c>
      <c r="S3" s="252" t="str">
        <f ca="1"/>
        <v>AUD3ML</v>
      </c>
      <c r="T3" s="253" t="str">
        <f ca="1"/>
        <v>AUD6ML</v>
      </c>
    </row>
    <row r="4" spans="1:21">
      <c r="B4" s="323" t="s">
        <v>437</v>
      </c>
      <c r="C4" s="400">
        <f ca="1">IF(Settings.isCOBToday,TODAY(),$C$5)</f>
        <v>43420</v>
      </c>
      <c r="D4" s="1"/>
      <c r="N4" s="307" t="s">
        <v>232</v>
      </c>
      <c r="O4" s="84" t="s">
        <v>183</v>
      </c>
      <c r="Q4" s="254">
        <f ca="1"/>
        <v>43420</v>
      </c>
      <c r="R4" s="255">
        <f ca="1"/>
        <v>1.5000000000006491E-2</v>
      </c>
      <c r="S4" s="255">
        <f ca="1"/>
        <v>1.9300000000000001E-2</v>
      </c>
      <c r="T4" s="256">
        <f ca="1"/>
        <v>2.1099999999999997E-2</v>
      </c>
    </row>
    <row r="5" spans="1:21">
      <c r="B5" s="323" t="s">
        <v>553</v>
      </c>
      <c r="C5" s="405"/>
      <c r="N5" s="308" t="s">
        <v>20</v>
      </c>
      <c r="O5" s="176" t="s">
        <v>46</v>
      </c>
      <c r="Q5" s="254">
        <f ca="1"/>
        <v>43514</v>
      </c>
      <c r="R5" s="255">
        <f ca="1"/>
        <v>1.4991401575146284E-2</v>
      </c>
      <c r="S5" s="255">
        <f ca="1"/>
        <v>1.9657708339601204E-2</v>
      </c>
      <c r="T5" s="256">
        <f ca="1"/>
        <v>2.1297863390470666E-2</v>
      </c>
    </row>
    <row r="6" spans="1:21">
      <c r="B6" s="324" t="s">
        <v>407</v>
      </c>
      <c r="C6" s="325" t="s">
        <v>652</v>
      </c>
      <c r="N6" s="306"/>
      <c r="O6" s="306"/>
      <c r="Q6" s="254">
        <f ca="1"/>
        <v>43601</v>
      </c>
      <c r="R6" s="255">
        <f ca="1"/>
        <v>1.5262621327966137E-2</v>
      </c>
      <c r="S6" s="255">
        <f ca="1"/>
        <v>2.009769466556665E-2</v>
      </c>
      <c r="T6" s="256">
        <f ca="1"/>
        <v>2.1765164328006577E-2</v>
      </c>
    </row>
    <row r="7" spans="1:21">
      <c r="A7" s="306"/>
      <c r="B7" s="324" t="s">
        <v>534</v>
      </c>
      <c r="C7" s="325" t="s">
        <v>406</v>
      </c>
      <c r="N7" s="1" t="s">
        <v>84</v>
      </c>
      <c r="O7" s="1" t="s">
        <v>525</v>
      </c>
      <c r="Q7" s="254">
        <f ca="1"/>
        <v>43693</v>
      </c>
      <c r="R7" s="255">
        <f ca="1"/>
        <v>1.55950617897124E-2</v>
      </c>
      <c r="S7" s="255">
        <f ca="1"/>
        <v>2.0575069668822003E-2</v>
      </c>
      <c r="T7" s="256">
        <f ca="1"/>
        <v>2.2448270821216549E-2</v>
      </c>
    </row>
    <row r="8" spans="1:21">
      <c r="B8" s="324" t="s">
        <v>535</v>
      </c>
      <c r="C8" s="402">
        <v>0.02</v>
      </c>
      <c r="N8" s="202" t="s">
        <v>109</v>
      </c>
      <c r="O8" s="202" t="s">
        <v>112</v>
      </c>
      <c r="Q8" s="254">
        <f ca="1"/>
        <v>43787</v>
      </c>
      <c r="R8" s="255">
        <f ca="1"/>
        <v>1.6418902481712364E-2</v>
      </c>
      <c r="S8" s="255">
        <f ca="1"/>
        <v>2.1052197131169327E-2</v>
      </c>
      <c r="T8" s="256">
        <f ca="1"/>
        <v>2.3074495059083378E-2</v>
      </c>
    </row>
    <row r="9" spans="1:21">
      <c r="B9" s="324" t="s">
        <v>526</v>
      </c>
      <c r="C9" s="403" t="b">
        <v>1</v>
      </c>
      <c r="N9" s="306"/>
      <c r="O9" s="306" t="s">
        <v>113</v>
      </c>
      <c r="Q9" s="254">
        <f ca="1"/>
        <v>43878</v>
      </c>
      <c r="R9" s="255">
        <f ca="1"/>
        <v>1.7205574450589938E-2</v>
      </c>
      <c r="S9" s="255">
        <f ca="1"/>
        <v>2.1528665153296472E-2</v>
      </c>
      <c r="T9" s="256">
        <f ca="1"/>
        <v>2.3520047884113188E-2</v>
      </c>
    </row>
    <row r="10" spans="1:21">
      <c r="B10" s="324" t="s">
        <v>552</v>
      </c>
      <c r="C10" s="403" t="b">
        <v>0</v>
      </c>
      <c r="N10" s="202"/>
      <c r="O10" s="202" t="s">
        <v>116</v>
      </c>
      <c r="Q10" s="254">
        <f ca="1"/>
        <v>43969</v>
      </c>
      <c r="R10" s="255">
        <f ca="1"/>
        <v>1.7935831740377065E-2</v>
      </c>
      <c r="S10" s="255">
        <f ca="1"/>
        <v>2.2064812517584249E-2</v>
      </c>
      <c r="T10" s="256">
        <f ca="1"/>
        <v>2.3923979802256749E-2</v>
      </c>
    </row>
    <row r="11" spans="1:21">
      <c r="B11" s="424" t="s">
        <v>563</v>
      </c>
      <c r="C11" s="404" t="s">
        <v>564</v>
      </c>
      <c r="Q11" s="254">
        <f ca="1"/>
        <v>44060</v>
      </c>
      <c r="R11" s="255">
        <f ca="1"/>
        <v>1.8564484081007738E-2</v>
      </c>
      <c r="S11" s="255">
        <f ca="1"/>
        <v>2.2613545586140087E-2</v>
      </c>
      <c r="T11" s="256">
        <f ca="1"/>
        <v>2.441499383083302E-2</v>
      </c>
    </row>
    <row r="12" spans="1:21">
      <c r="B12" s="306"/>
      <c r="C12" s="306"/>
      <c r="Q12" s="254">
        <f ca="1"/>
        <v>44151</v>
      </c>
      <c r="R12" s="255">
        <f ca="1"/>
        <v>1.9089888066815969E-2</v>
      </c>
      <c r="S12" s="255">
        <f ca="1"/>
        <v>2.3207109466908779E-2</v>
      </c>
      <c r="T12" s="256">
        <f ca="1"/>
        <v>2.4953310791870437E-2</v>
      </c>
    </row>
    <row r="13" spans="1:21">
      <c r="B13" s="306"/>
      <c r="C13" s="306"/>
      <c r="Q13" s="254">
        <f ca="1"/>
        <v>44243</v>
      </c>
      <c r="R13" s="255">
        <f ca="1"/>
        <v>1.9607841341598271E-2</v>
      </c>
      <c r="S13" s="255">
        <f ca="1"/>
        <v>2.3763347942051143E-2</v>
      </c>
      <c r="T13" s="256">
        <f ca="1"/>
        <v>2.5475294502943741E-2</v>
      </c>
    </row>
    <row r="14" spans="1:21">
      <c r="B14" s="1" t="s">
        <v>523</v>
      </c>
      <c r="Q14" s="254">
        <f ca="1"/>
        <v>44333</v>
      </c>
      <c r="R14" s="255">
        <f ca="1"/>
        <v>2.0039444555853096E-2</v>
      </c>
      <c r="S14" s="255">
        <f ca="1"/>
        <v>2.4258927611851479E-2</v>
      </c>
      <c r="T14" s="256">
        <f ca="1"/>
        <v>2.5953366723811048E-2</v>
      </c>
    </row>
    <row r="15" spans="1:21">
      <c r="B15" s="336" t="s">
        <v>490</v>
      </c>
      <c r="C15" s="337" t="s">
        <v>491</v>
      </c>
      <c r="Q15" s="254">
        <f ca="1"/>
        <v>44424</v>
      </c>
      <c r="R15" s="255">
        <f ca="1"/>
        <v>2.0450782954086009E-2</v>
      </c>
      <c r="S15" s="255">
        <f ca="1"/>
        <v>2.4707461008363241E-2</v>
      </c>
      <c r="T15" s="256">
        <f ca="1"/>
        <v>2.641153092579495E-2</v>
      </c>
    </row>
    <row r="16" spans="1:21">
      <c r="B16" s="73" t="s">
        <v>112</v>
      </c>
      <c r="C16" s="333">
        <f>'AUD CURVE TICKERS'!C4</f>
        <v>0</v>
      </c>
      <c r="Q16" s="254">
        <f ca="1"/>
        <v>44516</v>
      </c>
      <c r="R16" s="255">
        <f ca="1"/>
        <v>2.0840571330391983E-2</v>
      </c>
      <c r="S16" s="255">
        <f ca="1"/>
        <v>2.5134804103753145E-2</v>
      </c>
      <c r="T16" s="256">
        <f ca="1"/>
        <v>2.687026841890457E-2</v>
      </c>
    </row>
    <row r="17" spans="2:20">
      <c r="B17" s="73" t="s">
        <v>113</v>
      </c>
      <c r="C17" s="333">
        <f>'AUD CURVE TICKERS'!F4</f>
        <v>0</v>
      </c>
      <c r="Q17" s="254">
        <f ca="1"/>
        <v>44608</v>
      </c>
      <c r="R17" s="255">
        <f ca="1"/>
        <v>2.1230641169246781E-2</v>
      </c>
      <c r="S17" s="255">
        <f ca="1"/>
        <v>2.5556313943521026E-2</v>
      </c>
      <c r="T17" s="256">
        <f ca="1"/>
        <v>2.734238058071229E-2</v>
      </c>
    </row>
    <row r="18" spans="2:20">
      <c r="B18" s="73" t="s">
        <v>116</v>
      </c>
      <c r="C18" s="333">
        <f>'AUD CURVE TICKERS'!I4</f>
        <v>0</v>
      </c>
      <c r="Q18" s="254">
        <f ca="1"/>
        <v>44697</v>
      </c>
      <c r="R18" s="255">
        <f ca="1"/>
        <v>2.1637085908027587E-2</v>
      </c>
      <c r="S18" s="255">
        <f ca="1"/>
        <v>2.5996520930225048E-2</v>
      </c>
      <c r="T18" s="256">
        <f ca="1"/>
        <v>2.7799109169265954E-2</v>
      </c>
    </row>
    <row r="19" spans="2:20">
      <c r="B19" s="73"/>
      <c r="C19" s="334"/>
      <c r="Q19" s="254">
        <f ca="1"/>
        <v>44789</v>
      </c>
      <c r="R19" s="255">
        <f ca="1"/>
        <v>2.2088040233718992E-2</v>
      </c>
      <c r="S19" s="255">
        <f ca="1"/>
        <v>2.6477838502556927E-2</v>
      </c>
      <c r="T19" s="256">
        <f ca="1"/>
        <v>2.8255959042192535E-2</v>
      </c>
    </row>
    <row r="20" spans="2:20">
      <c r="B20" s="73" t="s">
        <v>518</v>
      </c>
      <c r="C20" s="333">
        <f>'AUD CURVE TICKERS'!F5</f>
        <v>0</v>
      </c>
      <c r="Q20" s="254">
        <f ca="1"/>
        <v>44881</v>
      </c>
      <c r="R20" s="255">
        <f ca="1"/>
        <v>2.2571080570933665E-2</v>
      </c>
      <c r="S20" s="255">
        <f ca="1"/>
        <v>2.6963769627383838E-2</v>
      </c>
      <c r="T20" s="256">
        <f ca="1"/>
        <v>2.8709833123091753E-2</v>
      </c>
    </row>
    <row r="21" spans="2:20">
      <c r="B21" s="73" t="s">
        <v>516</v>
      </c>
      <c r="C21" s="333">
        <f>'AUD CURVE TICKERS'!F6</f>
        <v>0</v>
      </c>
      <c r="Q21" s="254">
        <f ca="1"/>
        <v>44973</v>
      </c>
      <c r="R21" s="255">
        <f ca="1"/>
        <v>2.3067413451797168E-2</v>
      </c>
      <c r="S21" s="255">
        <f ca="1"/>
        <v>2.7456374340686086E-2</v>
      </c>
      <c r="T21" s="256">
        <f ca="1"/>
        <v>2.9172752200117755E-2</v>
      </c>
    </row>
    <row r="22" spans="2:20">
      <c r="B22" s="73" t="s">
        <v>517</v>
      </c>
      <c r="C22" s="333">
        <f>'AUD CURVE TICKERS'!F7</f>
        <v>0</v>
      </c>
      <c r="Q22" s="254">
        <f ca="1"/>
        <v>45062</v>
      </c>
      <c r="R22" s="255">
        <f ca="1"/>
        <v>2.3537865721444784E-2</v>
      </c>
      <c r="S22" s="255">
        <f ca="1"/>
        <v>2.7948808503762697E-2</v>
      </c>
      <c r="T22" s="256">
        <f ca="1"/>
        <v>2.9604279193292709E-2</v>
      </c>
    </row>
    <row r="23" spans="2:20">
      <c r="B23" s="76"/>
      <c r="C23" s="335"/>
      <c r="Q23" s="254">
        <f ca="1"/>
        <v>45154</v>
      </c>
      <c r="R23" s="255">
        <f ca="1"/>
        <v>2.4013946295116342E-2</v>
      </c>
      <c r="S23" s="255">
        <f ca="1"/>
        <v>2.844077693296844E-2</v>
      </c>
      <c r="T23" s="256">
        <f ca="1"/>
        <v>3.0005313463710076E-2</v>
      </c>
    </row>
    <row r="24" spans="2:20">
      <c r="Q24" s="254">
        <f ca="1"/>
        <v>45246</v>
      </c>
      <c r="R24" s="255">
        <f ca="1"/>
        <v>2.4479452001946674E-2</v>
      </c>
      <c r="S24" s="255">
        <f ca="1"/>
        <v>2.8886286212610964E-2</v>
      </c>
      <c r="T24" s="256">
        <f ca="1"/>
        <v>3.0370081662456114E-2</v>
      </c>
    </row>
    <row r="25" spans="2:20">
      <c r="Q25" s="254">
        <f ca="1"/>
        <v>45338</v>
      </c>
      <c r="R25" s="255">
        <f ca="1"/>
        <v>2.485254338066116E-2</v>
      </c>
      <c r="S25" s="255">
        <f ca="1"/>
        <v>2.928302470207424E-2</v>
      </c>
      <c r="T25" s="256">
        <f ca="1"/>
        <v>3.071470714335452E-2</v>
      </c>
    </row>
    <row r="26" spans="2:20">
      <c r="Q26" s="254">
        <f ca="1"/>
        <v>45428</v>
      </c>
      <c r="R26" s="255">
        <f ca="1"/>
        <v>2.5219486648267089E-2</v>
      </c>
      <c r="S26" s="255">
        <f ca="1"/>
        <v>2.965399442939852E-2</v>
      </c>
      <c r="T26" s="256">
        <f ca="1"/>
        <v>3.1034125840218935E-2</v>
      </c>
    </row>
    <row r="27" spans="2:20">
      <c r="Q27" s="254">
        <f ca="1"/>
        <v>45520</v>
      </c>
      <c r="R27" s="255">
        <f ca="1"/>
        <v>2.5552654801659538E-2</v>
      </c>
      <c r="S27" s="255">
        <f ca="1"/>
        <v>2.9969344072592694E-2</v>
      </c>
      <c r="T27" s="256">
        <f ca="1"/>
        <v>3.1341252606527037E-2</v>
      </c>
    </row>
    <row r="28" spans="2:20">
      <c r="Q28" s="254">
        <f ca="1"/>
        <v>45614</v>
      </c>
      <c r="R28" s="255">
        <f ca="1"/>
        <v>2.5825834746886149E-2</v>
      </c>
      <c r="S28" s="255">
        <f ca="1"/>
        <v>3.0287835973152658E-2</v>
      </c>
      <c r="T28" s="256">
        <f ca="1"/>
        <v>3.1636237476446838E-2</v>
      </c>
    </row>
    <row r="29" spans="2:20">
      <c r="Q29" s="254">
        <f ca="1"/>
        <v>45705</v>
      </c>
      <c r="R29" s="255">
        <f ca="1"/>
        <v>2.6153314384038829E-2</v>
      </c>
      <c r="S29" s="255">
        <f ca="1"/>
        <v>3.0589207788498295E-2</v>
      </c>
      <c r="T29" s="256">
        <f ca="1"/>
        <v>3.1905951683672551E-2</v>
      </c>
    </row>
    <row r="30" spans="2:20">
      <c r="Q30" s="254">
        <f ca="1"/>
        <v>45793</v>
      </c>
      <c r="R30" s="255">
        <f ca="1"/>
        <v>2.6436615964339733E-2</v>
      </c>
      <c r="S30" s="255">
        <f ca="1"/>
        <v>3.0880712407812181E-2</v>
      </c>
      <c r="T30" s="256">
        <f ca="1"/>
        <v>3.2152162538856978E-2</v>
      </c>
    </row>
    <row r="31" spans="2:20">
      <c r="Q31" s="254">
        <f ca="1"/>
        <v>45887</v>
      </c>
      <c r="R31" s="255">
        <f ca="1"/>
        <v>2.6761273550930522E-2</v>
      </c>
      <c r="S31" s="255">
        <f ca="1"/>
        <v>3.120406732391957E-2</v>
      </c>
      <c r="T31" s="256">
        <f ca="1"/>
        <v>3.2398987219904633E-2</v>
      </c>
    </row>
    <row r="32" spans="2:20">
      <c r="Q32" s="254">
        <f ca="1"/>
        <v>45978</v>
      </c>
      <c r="R32" s="255">
        <f ca="1"/>
        <v>2.711388057939924E-2</v>
      </c>
      <c r="S32" s="255">
        <f ca="1"/>
        <v>3.1525144187027558E-2</v>
      </c>
      <c r="T32" s="256">
        <f ca="1"/>
        <v>3.2622724092032075E-2</v>
      </c>
    </row>
    <row r="33" spans="17:20">
      <c r="Q33" s="254">
        <f ca="1"/>
        <v>46069</v>
      </c>
      <c r="R33" s="255">
        <f ca="1"/>
        <v>2.7448383039613389E-2</v>
      </c>
      <c r="S33" s="255">
        <f ca="1"/>
        <v>3.1791249126828916E-2</v>
      </c>
      <c r="T33" s="256">
        <f ca="1"/>
        <v>3.2830187371041687E-2</v>
      </c>
    </row>
    <row r="34" spans="17:20">
      <c r="Q34" s="254">
        <f ca="1"/>
        <v>46160</v>
      </c>
      <c r="R34" s="255">
        <f ca="1"/>
        <v>2.7708588938080248E-2</v>
      </c>
      <c r="S34" s="255">
        <f ca="1"/>
        <v>3.2012200386400923E-2</v>
      </c>
      <c r="T34" s="256">
        <f ca="1"/>
        <v>3.3010770817721483E-2</v>
      </c>
    </row>
    <row r="35" spans="17:20">
      <c r="Q35" s="254">
        <f ca="1"/>
        <v>46251</v>
      </c>
      <c r="R35" s="255">
        <f ca="1"/>
        <v>2.7892397802878981E-2</v>
      </c>
      <c r="S35" s="255">
        <f ca="1"/>
        <v>3.2164188653136833E-2</v>
      </c>
      <c r="T35" s="256">
        <f ca="1"/>
        <v>3.3159023852897686E-2</v>
      </c>
    </row>
    <row r="36" spans="17:20">
      <c r="Q36" s="254">
        <f ca="1"/>
        <v>46342</v>
      </c>
      <c r="R36" s="255">
        <f ca="1"/>
        <v>2.799764434087721E-2</v>
      </c>
      <c r="S36" s="255">
        <f ca="1"/>
        <v>3.2272241690846845E-2</v>
      </c>
      <c r="T36" s="256">
        <f ca="1"/>
        <v>3.330106189005802E-2</v>
      </c>
    </row>
    <row r="37" spans="17:20">
      <c r="Q37" s="254">
        <f ca="1"/>
        <v>46434</v>
      </c>
      <c r="R37" s="255">
        <f ca="1"/>
        <v>2.8094702765418013E-2</v>
      </c>
      <c r="S37" s="255">
        <f ca="1"/>
        <v>3.2404578393918811E-2</v>
      </c>
      <c r="T37" s="256">
        <f ca="1"/>
        <v>3.3463097029130258E-2</v>
      </c>
    </row>
    <row r="38" spans="17:20">
      <c r="Q38" s="254">
        <f ca="1"/>
        <v>46524</v>
      </c>
      <c r="R38" s="255">
        <f ca="1"/>
        <v>2.8258991492547209E-2</v>
      </c>
      <c r="S38" s="255">
        <f ca="1"/>
        <v>3.2597548378676254E-2</v>
      </c>
      <c r="T38" s="256">
        <f ca="1"/>
        <v>3.3620498589113555E-2</v>
      </c>
    </row>
    <row r="39" spans="17:20">
      <c r="Q39" s="254">
        <f ca="1"/>
        <v>46615</v>
      </c>
      <c r="R39" s="255">
        <f ca="1"/>
        <v>2.8496857838183218E-2</v>
      </c>
      <c r="S39" s="255">
        <f ca="1"/>
        <v>3.2836453876859691E-2</v>
      </c>
      <c r="T39" s="256">
        <f ca="1"/>
        <v>3.3757398245856107E-2</v>
      </c>
    </row>
    <row r="40" spans="17:20">
      <c r="Q40" s="254">
        <f ca="1"/>
        <v>46707</v>
      </c>
      <c r="R40" s="255">
        <f ca="1"/>
        <v>2.8812767221983414E-2</v>
      </c>
      <c r="S40" s="255">
        <f ca="1"/>
        <v>3.3071740381928977E-2</v>
      </c>
      <c r="T40" s="256">
        <f ca="1"/>
        <v>3.3894662495727979E-2</v>
      </c>
    </row>
    <row r="41" spans="17:20">
      <c r="Q41" s="254">
        <f ca="1"/>
        <v>46799</v>
      </c>
      <c r="R41" s="255">
        <f ca="1"/>
        <v>2.9061931121884859E-2</v>
      </c>
      <c r="S41" s="255">
        <f ca="1"/>
        <v>3.3279297763982078E-2</v>
      </c>
      <c r="T41" s="256">
        <f ca="1"/>
        <v>3.4058907399231682E-2</v>
      </c>
    </row>
    <row r="42" spans="17:20">
      <c r="Q42" s="254">
        <f ca="1"/>
        <v>46889</v>
      </c>
      <c r="R42" s="255">
        <f ca="1"/>
        <v>2.9325574195632864E-2</v>
      </c>
      <c r="S42" s="255">
        <f ca="1"/>
        <v>3.3504396894008477E-2</v>
      </c>
      <c r="T42" s="256">
        <f ca="1"/>
        <v>3.4251923494282646E-2</v>
      </c>
    </row>
    <row r="43" spans="17:20">
      <c r="Q43" s="254">
        <f ca="1"/>
        <v>46981</v>
      </c>
      <c r="R43" s="255">
        <f ca="1"/>
        <v>2.9535369819799102E-2</v>
      </c>
      <c r="S43" s="255">
        <f ca="1"/>
        <v>3.3686566312082382E-2</v>
      </c>
      <c r="T43" s="256">
        <f ca="1"/>
        <v>3.4477255489759911E-2</v>
      </c>
    </row>
    <row r="44" spans="17:20">
      <c r="Q44" s="254">
        <f ca="1"/>
        <v>47073</v>
      </c>
      <c r="R44" s="255">
        <f ca="1"/>
        <v>2.9682974937747363E-2</v>
      </c>
      <c r="S44" s="255">
        <f ca="1"/>
        <v>3.3892801972482983E-2</v>
      </c>
      <c r="T44" s="256">
        <f ca="1"/>
        <v>3.4700380824339225E-2</v>
      </c>
    </row>
    <row r="45" spans="17:20">
      <c r="Q45" s="254">
        <f ca="1"/>
        <v>47165</v>
      </c>
      <c r="R45" s="255">
        <f ca="1"/>
        <v>2.9875346886864287E-2</v>
      </c>
      <c r="S45" s="255">
        <f ca="1"/>
        <v>3.4072393728204593E-2</v>
      </c>
      <c r="T45" s="256">
        <f ca="1"/>
        <v>3.4890175830584416E-2</v>
      </c>
    </row>
    <row r="46" spans="17:20">
      <c r="Q46" s="254">
        <f ca="1"/>
        <v>47254</v>
      </c>
      <c r="R46" s="255">
        <f ca="1"/>
        <v>2.9962360451551723E-2</v>
      </c>
      <c r="S46" s="255">
        <f ca="1"/>
        <v>3.4195436982454509E-2</v>
      </c>
      <c r="T46" s="256">
        <f ca="1"/>
        <v>3.5039067581742189E-2</v>
      </c>
    </row>
    <row r="47" spans="17:20">
      <c r="Q47" s="254">
        <f ca="1"/>
        <v>47346</v>
      </c>
      <c r="R47" s="255">
        <f ca="1"/>
        <v>3.0041505270362028E-2</v>
      </c>
      <c r="S47" s="255">
        <f ca="1"/>
        <v>3.4304784616319028E-2</v>
      </c>
      <c r="T47" s="256">
        <f ca="1"/>
        <v>3.516234996574398E-2</v>
      </c>
    </row>
    <row r="48" spans="17:20">
      <c r="Q48" s="254">
        <f ca="1"/>
        <v>47438</v>
      </c>
      <c r="R48" s="255">
        <f ca="1"/>
        <v>3.0108590181332218E-2</v>
      </c>
      <c r="S48" s="255">
        <f ca="1"/>
        <v>3.4399880830312424E-2</v>
      </c>
      <c r="T48" s="256">
        <f ca="1"/>
        <v>3.5262414813674217E-2</v>
      </c>
    </row>
    <row r="49" spans="17:20">
      <c r="Q49" s="254">
        <f ca="1"/>
        <v>47532</v>
      </c>
      <c r="R49" s="255">
        <f ca="1"/>
        <v>3.0157264703343029E-2</v>
      </c>
      <c r="S49" s="255">
        <f ca="1"/>
        <v>3.4477586036347388E-2</v>
      </c>
      <c r="T49" s="256">
        <f ca="1"/>
        <v>3.5346827208608274E-2</v>
      </c>
    </row>
    <row r="50" spans="17:20">
      <c r="Q50" s="254">
        <f ca="1"/>
        <v>47619</v>
      </c>
      <c r="R50" s="255">
        <f ca="1"/>
        <v>3.0195038229932997E-2</v>
      </c>
      <c r="S50" s="255">
        <f ca="1"/>
        <v>3.4543531332152502E-2</v>
      </c>
      <c r="T50" s="256">
        <f ca="1"/>
        <v>3.5403555115539387E-2</v>
      </c>
    </row>
    <row r="51" spans="17:20">
      <c r="Q51" s="254">
        <f ca="1"/>
        <v>47711</v>
      </c>
      <c r="R51" s="255">
        <f ca="1"/>
        <v>3.0226812672686492E-2</v>
      </c>
      <c r="S51" s="255">
        <f ca="1"/>
        <v>3.4595037537506423E-2</v>
      </c>
      <c r="T51" s="256">
        <f ca="1"/>
        <v>3.5436523518520578E-2</v>
      </c>
    </row>
    <row r="52" spans="17:20">
      <c r="Q52" s="254">
        <f ca="1"/>
        <v>47805</v>
      </c>
      <c r="R52" s="255">
        <f ca="1"/>
        <v>3.0241758620450841E-2</v>
      </c>
      <c r="S52" s="255">
        <f ca="1"/>
        <v>3.463239374610428E-2</v>
      </c>
      <c r="T52" s="256">
        <f ca="1"/>
        <v>3.5455744715114305E-2</v>
      </c>
    </row>
    <row r="53" spans="17:20">
      <c r="Q53" s="254">
        <f ca="1"/>
        <v>47896</v>
      </c>
      <c r="R53" s="255">
        <f ca="1"/>
        <v>3.0247778149974192E-2</v>
      </c>
      <c r="S53" s="255">
        <f ca="1"/>
        <v>3.4648811494609202E-2</v>
      </c>
      <c r="T53" s="256">
        <f ca="1"/>
        <v>3.5471652889938164E-2</v>
      </c>
    </row>
    <row r="54" spans="17:20">
      <c r="Q54" s="254">
        <f ca="1"/>
        <v>47984</v>
      </c>
      <c r="R54" s="255">
        <f ca="1"/>
        <v>3.0246028313488237E-2</v>
      </c>
      <c r="S54" s="255">
        <f ca="1"/>
        <v>3.4660699548138406E-2</v>
      </c>
      <c r="T54" s="256">
        <f ca="1"/>
        <v>3.5465108698767872E-2</v>
      </c>
    </row>
    <row r="55" spans="17:20">
      <c r="Q55" s="254">
        <f ca="1"/>
        <v>48078</v>
      </c>
      <c r="R55" s="255">
        <f ca="1"/>
        <v>3.0228046721713288E-2</v>
      </c>
      <c r="S55" s="255">
        <f ca="1"/>
        <v>3.4654133044310996E-2</v>
      </c>
      <c r="T55" s="256">
        <f ca="1"/>
        <v>3.5414576481389501E-2</v>
      </c>
    </row>
    <row r="56" spans="17:20">
      <c r="Q56" s="254">
        <f ca="1"/>
        <v>48169</v>
      </c>
      <c r="R56" s="255">
        <f ca="1"/>
        <v>3.020167759644846E-2</v>
      </c>
      <c r="S56" s="255">
        <f ca="1"/>
        <v>3.4582040840179053E-2</v>
      </c>
      <c r="T56" s="256">
        <f ca="1"/>
        <v>3.5344637759429733E-2</v>
      </c>
    </row>
    <row r="57" spans="17:20">
      <c r="Q57" s="254">
        <f ca="1"/>
        <v>48260</v>
      </c>
      <c r="R57" s="255">
        <f ca="1"/>
        <v>3.0082614105000603E-2</v>
      </c>
      <c r="S57" s="255">
        <f ca="1"/>
        <v>3.449940013289602E-2</v>
      </c>
      <c r="T57" s="256">
        <f ca="1"/>
        <v>3.5282171044354861E-2</v>
      </c>
    </row>
    <row r="58" spans="17:20">
      <c r="Q58" s="254">
        <f ca="1"/>
        <v>48351</v>
      </c>
      <c r="R58" s="255">
        <f ca="1"/>
        <v>3.003674727535242E-2</v>
      </c>
      <c r="S58" s="255">
        <f ca="1"/>
        <v>3.4451612561784944E-2</v>
      </c>
      <c r="T58" s="256">
        <f ca="1"/>
        <v>3.5236677759925325E-2</v>
      </c>
    </row>
    <row r="59" spans="17:20">
      <c r="Q59" s="254">
        <f ca="1"/>
        <v>48442</v>
      </c>
      <c r="R59" s="255">
        <f ca="1"/>
        <v>2.9981259129582018E-2</v>
      </c>
      <c r="S59" s="255">
        <f ca="1"/>
        <v>3.4386635785367832E-2</v>
      </c>
      <c r="T59" s="256">
        <f ca="1"/>
        <v>3.5207811361866501E-2</v>
      </c>
    </row>
    <row r="60" spans="17:20">
      <c r="Q60" s="254">
        <f ca="1"/>
        <v>48534</v>
      </c>
      <c r="R60" s="255">
        <f ca="1"/>
        <v>2.9915117247179827E-2</v>
      </c>
      <c r="S60" s="255">
        <f ca="1"/>
        <v>3.4360506365955751E-2</v>
      </c>
      <c r="T60" s="256">
        <f ca="1"/>
        <v>3.5173627809408241E-2</v>
      </c>
    </row>
    <row r="61" spans="17:20">
      <c r="Q61" s="254">
        <f ca="1"/>
        <v>48626</v>
      </c>
      <c r="R61" s="255">
        <f ca="1"/>
        <v>2.9921101590116579E-2</v>
      </c>
      <c r="S61" s="255">
        <f ca="1"/>
        <v>3.4306085066263078E-2</v>
      </c>
      <c r="T61" s="256">
        <f ca="1"/>
        <v>3.5111671632751223E-2</v>
      </c>
    </row>
    <row r="62" spans="17:20">
      <c r="Q62" s="254">
        <f ca="1"/>
        <v>48715</v>
      </c>
      <c r="R62" s="255">
        <f ca="1"/>
        <v>2.9839063000276844E-2</v>
      </c>
      <c r="S62" s="255">
        <f ca="1"/>
        <v>3.4202698361206409E-2</v>
      </c>
      <c r="T62" s="256">
        <f ca="1"/>
        <v>3.5025622612079421E-2</v>
      </c>
    </row>
    <row r="63" spans="17:20">
      <c r="Q63" s="254">
        <f ca="1"/>
        <v>48807</v>
      </c>
      <c r="R63" s="255">
        <f ca="1"/>
        <v>2.9745311272278651E-2</v>
      </c>
      <c r="S63" s="255">
        <f ca="1"/>
        <v>3.4080963618297051E-2</v>
      </c>
      <c r="T63" s="256">
        <f ca="1"/>
        <v>3.4917718964519381E-2</v>
      </c>
    </row>
    <row r="64" spans="17:20">
      <c r="Q64" s="254">
        <f ca="1"/>
        <v>48899</v>
      </c>
      <c r="R64" s="255">
        <f ca="1"/>
        <v>2.9642240372664479E-2</v>
      </c>
      <c r="S64" s="255">
        <f ca="1"/>
        <v>3.3943987061840181E-2</v>
      </c>
      <c r="T64" s="256">
        <f ca="1"/>
        <v>3.4803909687986925E-2</v>
      </c>
    </row>
    <row r="65" spans="17:20">
      <c r="Q65" s="254">
        <f ca="1"/>
        <v>48991</v>
      </c>
      <c r="R65" s="255">
        <f ca="1"/>
        <v>2.9532681736832052E-2</v>
      </c>
      <c r="S65" s="255">
        <f ca="1"/>
        <v>3.3807478918418288E-2</v>
      </c>
      <c r="T65" s="256">
        <f ca="1"/>
        <v>3.4695965496359879E-2</v>
      </c>
    </row>
    <row r="66" spans="17:20">
      <c r="Q66" s="254">
        <f ca="1"/>
        <v>49080</v>
      </c>
      <c r="R66" s="255">
        <f ca="1"/>
        <v>2.942394302496925E-2</v>
      </c>
      <c r="S66" s="255">
        <f ca="1"/>
        <v>3.3682402224397959E-2</v>
      </c>
      <c r="T66" s="256">
        <f ca="1"/>
        <v>3.459429896436253E-2</v>
      </c>
    </row>
    <row r="67" spans="17:20">
      <c r="Q67" s="254">
        <f ca="1"/>
        <v>49172</v>
      </c>
      <c r="R67" s="255">
        <f ca="1"/>
        <v>2.9308675069235731E-2</v>
      </c>
      <c r="S67" s="255">
        <f ca="1"/>
        <v>3.3552367885510338E-2</v>
      </c>
      <c r="T67" s="256">
        <f ca="1"/>
        <v>3.4487537889449381E-2</v>
      </c>
    </row>
    <row r="68" spans="17:20">
      <c r="Q68" s="254">
        <f ca="1"/>
        <v>49264</v>
      </c>
      <c r="R68" s="255">
        <f ca="1"/>
        <v>2.9190469309723983E-2</v>
      </c>
      <c r="S68" s="255">
        <f ca="1"/>
        <v>3.342736920278809E-2</v>
      </c>
      <c r="T68" s="256">
        <f ca="1"/>
        <v>3.4386255714339953E-2</v>
      </c>
    </row>
    <row r="69" spans="17:20">
      <c r="Q69" s="254">
        <f ca="1"/>
        <v>49356</v>
      </c>
      <c r="R69" s="255">
        <f ca="1"/>
        <v>2.9071310681106782E-2</v>
      </c>
      <c r="S69" s="255">
        <f ca="1"/>
        <v>3.3305217292311E-2</v>
      </c>
      <c r="T69" s="256">
        <f ca="1"/>
        <v>3.4295538698047495E-2</v>
      </c>
    </row>
    <row r="70" spans="17:20">
      <c r="Q70" s="254">
        <f ca="1"/>
        <v>49445</v>
      </c>
      <c r="R70" s="255">
        <f ca="1"/>
        <v>2.89533231717315E-2</v>
      </c>
      <c r="S70" s="255">
        <f ca="1"/>
        <v>3.3191655634650354E-2</v>
      </c>
      <c r="T70" s="256">
        <f ca="1"/>
        <v>3.4199866892959167E-2</v>
      </c>
    </row>
    <row r="71" spans="17:20">
      <c r="Q71" s="254">
        <f ca="1"/>
        <v>49537</v>
      </c>
      <c r="R71" s="255">
        <f ca="1"/>
        <v>2.8831673907186769E-2</v>
      </c>
      <c r="S71" s="255">
        <f ca="1"/>
        <v>3.3078627464226643E-2</v>
      </c>
      <c r="T71" s="256">
        <f ca="1"/>
        <v>3.4075416412142311E-2</v>
      </c>
    </row>
    <row r="72" spans="17:20">
      <c r="Q72" s="254">
        <f ca="1"/>
        <v>49629</v>
      </c>
      <c r="R72" s="255">
        <f ca="1"/>
        <v>2.8710253737144861E-2</v>
      </c>
      <c r="S72" s="255">
        <f ca="1"/>
        <v>3.291972110403605E-2</v>
      </c>
      <c r="T72" s="256">
        <f ca="1"/>
        <v>3.3944697054584777E-2</v>
      </c>
    </row>
    <row r="73" spans="17:20">
      <c r="Q73" s="254">
        <f ca="1"/>
        <v>49723</v>
      </c>
      <c r="R73" s="255">
        <f ca="1"/>
        <v>2.8506655487570573E-2</v>
      </c>
      <c r="S73" s="255">
        <f ca="1"/>
        <v>3.276582617123399E-2</v>
      </c>
      <c r="T73" s="256">
        <f ca="1"/>
        <v>3.3832608800506439E-2</v>
      </c>
    </row>
    <row r="74" spans="17:20">
      <c r="Q74" s="254">
        <f ca="1"/>
        <v>49811</v>
      </c>
      <c r="R74" s="255">
        <f ca="1"/>
        <v>2.8392639893435292E-2</v>
      </c>
      <c r="S74" s="255">
        <f ca="1"/>
        <v>3.2668772938228133E-2</v>
      </c>
      <c r="T74" s="256">
        <f ca="1"/>
        <v>3.3756688561706633E-2</v>
      </c>
    </row>
    <row r="75" spans="17:20">
      <c r="Q75" s="254">
        <f ca="1"/>
        <v>49905</v>
      </c>
      <c r="R75" s="255">
        <f ca="1"/>
        <v>2.8270375296102577E-2</v>
      </c>
      <c r="S75" s="255">
        <f ca="1"/>
        <v>3.2566712458807059E-2</v>
      </c>
      <c r="T75" s="256">
        <f ca="1"/>
        <v>3.3706541526282649E-2</v>
      </c>
    </row>
    <row r="76" spans="17:20">
      <c r="Q76" s="254">
        <f ca="1"/>
        <v>49996</v>
      </c>
      <c r="R76" s="255">
        <f ca="1"/>
        <v>2.8154373573465077E-2</v>
      </c>
      <c r="S76" s="255">
        <f ca="1"/>
        <v>3.2519157464572276E-2</v>
      </c>
      <c r="T76" s="256">
        <f ca="1"/>
        <v>3.3666610517460241E-2</v>
      </c>
    </row>
    <row r="77" spans="17:20">
      <c r="Q77" s="254">
        <f ca="1"/>
        <v>50087</v>
      </c>
      <c r="R77" s="255">
        <f ca="1"/>
        <v>2.8117365104270195E-2</v>
      </c>
      <c r="S77" s="255">
        <f ca="1"/>
        <v>3.2465634347508245E-2</v>
      </c>
      <c r="T77" s="256">
        <f ca="1"/>
        <v>3.3613159919383788E-2</v>
      </c>
    </row>
    <row r="78" spans="17:20">
      <c r="Q78" s="254">
        <f ca="1"/>
        <v>50178</v>
      </c>
      <c r="R78" s="255">
        <f ca="1"/>
        <v>2.8006373939115935E-2</v>
      </c>
      <c r="S78" s="255">
        <f ca="1"/>
        <v>3.2380434243950582E-2</v>
      </c>
      <c r="T78" s="256">
        <f ca="1"/>
        <v>3.3547819534788387E-2</v>
      </c>
    </row>
    <row r="79" spans="17:20">
      <c r="Q79" s="254">
        <f ca="1"/>
        <v>50269</v>
      </c>
      <c r="R79" s="255">
        <f ca="1"/>
        <v>2.7898835923869915E-2</v>
      </c>
      <c r="S79" s="255">
        <f ca="1"/>
        <v>3.2295194231980753E-2</v>
      </c>
      <c r="T79" s="256">
        <f ca="1"/>
        <v>3.3478336793990163E-2</v>
      </c>
    </row>
    <row r="80" spans="17:20">
      <c r="Q80" s="254">
        <f ca="1"/>
        <v>50360</v>
      </c>
      <c r="R80" s="255">
        <f ca="1"/>
        <v>2.7794898804281102E-2</v>
      </c>
      <c r="S80" s="255">
        <f ca="1"/>
        <v>3.2213592103003057E-2</v>
      </c>
      <c r="T80" s="256">
        <f ca="1"/>
        <v>3.3411377089441037E-2</v>
      </c>
    </row>
    <row r="81" spans="17:20">
      <c r="Q81" s="254">
        <f ca="1"/>
        <v>50452</v>
      </c>
      <c r="R81" s="255">
        <f ca="1"/>
        <v>2.7694360650217995E-2</v>
      </c>
      <c r="S81" s="255">
        <f ca="1"/>
        <v>3.2131448636697917E-2</v>
      </c>
      <c r="T81" s="256">
        <f ca="1"/>
        <v>3.3350677611329524E-2</v>
      </c>
    </row>
    <row r="82" spans="17:20">
      <c r="Q82" s="254">
        <f ca="1"/>
        <v>50542</v>
      </c>
      <c r="R82" s="255">
        <f ca="1"/>
        <v>2.7601382499270372E-2</v>
      </c>
      <c r="S82" s="255">
        <f ca="1"/>
        <v>3.2060461807858973E-2</v>
      </c>
      <c r="T82" s="256">
        <f ca="1"/>
        <v>3.3293549783857138E-2</v>
      </c>
    </row>
    <row r="83" spans="17:20">
      <c r="Q83" s="254">
        <f ca="1"/>
        <v>50633</v>
      </c>
      <c r="R83" s="255">
        <f ca="1"/>
        <v>2.7512969978536063E-2</v>
      </c>
      <c r="S83" s="255">
        <f ca="1"/>
        <v>3.1989190185629311E-2</v>
      </c>
      <c r="T83" s="256">
        <f ca="1"/>
        <v>3.3232753537194758E-2</v>
      </c>
    </row>
    <row r="84" spans="17:20">
      <c r="Q84" s="254">
        <f ca="1"/>
        <v>50725</v>
      </c>
      <c r="R84" s="255">
        <f ca="1"/>
        <v>2.7429509160457177E-2</v>
      </c>
      <c r="S84" s="255">
        <f ca="1"/>
        <v>3.1920567022511455E-2</v>
      </c>
      <c r="T84" s="256">
        <f ca="1"/>
        <v>3.3170299237013257E-2</v>
      </c>
    </row>
    <row r="85" spans="17:20">
      <c r="Q85" s="254" t="e">
        <f ca="1"/>
        <v>#N/A</v>
      </c>
      <c r="R85" s="255" t="e">
        <f ca="1"/>
        <v>#N/A</v>
      </c>
      <c r="S85" s="255" t="e">
        <f ca="1"/>
        <v>#N/A</v>
      </c>
      <c r="T85" s="256" t="e">
        <f ca="1"/>
        <v>#N/A</v>
      </c>
    </row>
    <row r="86" spans="17:20">
      <c r="Q86" s="254" t="e">
        <f ca="1"/>
        <v>#N/A</v>
      </c>
      <c r="R86" s="255" t="e">
        <f ca="1"/>
        <v>#N/A</v>
      </c>
      <c r="S86" s="255" t="e">
        <f ca="1"/>
        <v>#N/A</v>
      </c>
      <c r="T86" s="256" t="e">
        <f ca="1"/>
        <v>#N/A</v>
      </c>
    </row>
    <row r="87" spans="17:20">
      <c r="Q87" s="254" t="e">
        <f ca="1"/>
        <v>#N/A</v>
      </c>
      <c r="R87" s="255" t="e">
        <f ca="1"/>
        <v>#N/A</v>
      </c>
      <c r="S87" s="255" t="e">
        <f ca="1"/>
        <v>#N/A</v>
      </c>
      <c r="T87" s="256" t="e">
        <f ca="1"/>
        <v>#N/A</v>
      </c>
    </row>
    <row r="88" spans="17:20">
      <c r="Q88" s="254" t="e">
        <f ca="1"/>
        <v>#N/A</v>
      </c>
      <c r="R88" s="255" t="e">
        <f ca="1"/>
        <v>#N/A</v>
      </c>
      <c r="S88" s="255" t="e">
        <f ca="1"/>
        <v>#N/A</v>
      </c>
      <c r="T88" s="256" t="e">
        <f ca="1"/>
        <v>#N/A</v>
      </c>
    </row>
    <row r="89" spans="17:20">
      <c r="Q89" s="254" t="e">
        <f ca="1"/>
        <v>#N/A</v>
      </c>
      <c r="R89" s="255" t="e">
        <f ca="1"/>
        <v>#N/A</v>
      </c>
      <c r="S89" s="255" t="e">
        <f ca="1"/>
        <v>#N/A</v>
      </c>
      <c r="T89" s="256" t="e">
        <f ca="1"/>
        <v>#N/A</v>
      </c>
    </row>
    <row r="90" spans="17:20">
      <c r="Q90" s="254" t="e">
        <f ca="1"/>
        <v>#N/A</v>
      </c>
      <c r="R90" s="255" t="e">
        <f ca="1"/>
        <v>#N/A</v>
      </c>
      <c r="S90" s="255" t="e">
        <f ca="1"/>
        <v>#N/A</v>
      </c>
      <c r="T90" s="256" t="e">
        <f ca="1"/>
        <v>#N/A</v>
      </c>
    </row>
    <row r="91" spans="17:20">
      <c r="Q91" s="254" t="e">
        <f ca="1"/>
        <v>#N/A</v>
      </c>
      <c r="R91" s="255" t="e">
        <f ca="1"/>
        <v>#N/A</v>
      </c>
      <c r="S91" s="255" t="e">
        <f ca="1"/>
        <v>#N/A</v>
      </c>
      <c r="T91" s="256" t="e">
        <f ca="1"/>
        <v>#N/A</v>
      </c>
    </row>
    <row r="92" spans="17:20">
      <c r="Q92" s="254" t="e">
        <f ca="1"/>
        <v>#N/A</v>
      </c>
      <c r="R92" s="255" t="e">
        <f ca="1"/>
        <v>#N/A</v>
      </c>
      <c r="S92" s="255" t="e">
        <f ca="1"/>
        <v>#N/A</v>
      </c>
      <c r="T92" s="256" t="e">
        <f ca="1"/>
        <v>#N/A</v>
      </c>
    </row>
    <row r="93" spans="17:20">
      <c r="Q93" s="254" t="e">
        <f ca="1"/>
        <v>#N/A</v>
      </c>
      <c r="R93" s="255" t="e">
        <f ca="1"/>
        <v>#N/A</v>
      </c>
      <c r="S93" s="255" t="e">
        <f ca="1"/>
        <v>#N/A</v>
      </c>
      <c r="T93" s="256" t="e">
        <f ca="1"/>
        <v>#N/A</v>
      </c>
    </row>
    <row r="94" spans="17:20">
      <c r="Q94" s="254" t="e">
        <f ca="1"/>
        <v>#N/A</v>
      </c>
      <c r="R94" s="255" t="e">
        <f ca="1"/>
        <v>#N/A</v>
      </c>
      <c r="S94" s="255" t="e">
        <f ca="1"/>
        <v>#N/A</v>
      </c>
      <c r="T94" s="256" t="e">
        <f ca="1"/>
        <v>#N/A</v>
      </c>
    </row>
    <row r="95" spans="17:20">
      <c r="Q95" s="254" t="e">
        <f ca="1"/>
        <v>#N/A</v>
      </c>
      <c r="R95" s="255" t="e">
        <f ca="1"/>
        <v>#N/A</v>
      </c>
      <c r="S95" s="255" t="e">
        <f ca="1"/>
        <v>#N/A</v>
      </c>
      <c r="T95" s="256" t="e">
        <f ca="1"/>
        <v>#N/A</v>
      </c>
    </row>
    <row r="96" spans="17:20">
      <c r="Q96" s="254" t="e">
        <f ca="1"/>
        <v>#N/A</v>
      </c>
      <c r="R96" s="255" t="e">
        <f ca="1"/>
        <v>#N/A</v>
      </c>
      <c r="S96" s="255" t="e">
        <f ca="1"/>
        <v>#N/A</v>
      </c>
      <c r="T96" s="256" t="e">
        <f ca="1"/>
        <v>#N/A</v>
      </c>
    </row>
    <row r="97" spans="17:20">
      <c r="Q97" s="254" t="e">
        <f ca="1"/>
        <v>#N/A</v>
      </c>
      <c r="R97" s="255" t="e">
        <f ca="1"/>
        <v>#N/A</v>
      </c>
      <c r="S97" s="255" t="e">
        <f ca="1"/>
        <v>#N/A</v>
      </c>
      <c r="T97" s="256" t="e">
        <f ca="1"/>
        <v>#N/A</v>
      </c>
    </row>
    <row r="98" spans="17:20">
      <c r="Q98" s="254" t="e">
        <f ca="1"/>
        <v>#N/A</v>
      </c>
      <c r="R98" s="255" t="e">
        <f ca="1"/>
        <v>#N/A</v>
      </c>
      <c r="S98" s="255" t="e">
        <f ca="1"/>
        <v>#N/A</v>
      </c>
      <c r="T98" s="256" t="e">
        <f ca="1"/>
        <v>#N/A</v>
      </c>
    </row>
    <row r="99" spans="17:20">
      <c r="Q99" s="254" t="e">
        <f ca="1"/>
        <v>#N/A</v>
      </c>
      <c r="R99" s="255" t="e">
        <f ca="1"/>
        <v>#N/A</v>
      </c>
      <c r="S99" s="255" t="e">
        <f ca="1"/>
        <v>#N/A</v>
      </c>
      <c r="T99" s="256" t="e">
        <f ca="1"/>
        <v>#N/A</v>
      </c>
    </row>
    <row r="100" spans="17:20">
      <c r="Q100" s="254" t="e">
        <f ca="1"/>
        <v>#N/A</v>
      </c>
      <c r="R100" s="255" t="e">
        <f ca="1"/>
        <v>#N/A</v>
      </c>
      <c r="S100" s="255" t="e">
        <f ca="1"/>
        <v>#N/A</v>
      </c>
      <c r="T100" s="256" t="e">
        <f ca="1"/>
        <v>#N/A</v>
      </c>
    </row>
    <row r="101" spans="17:20">
      <c r="Q101" s="254" t="e">
        <f ca="1"/>
        <v>#N/A</v>
      </c>
      <c r="R101" s="255" t="e">
        <f ca="1"/>
        <v>#N/A</v>
      </c>
      <c r="S101" s="255" t="e">
        <f ca="1"/>
        <v>#N/A</v>
      </c>
      <c r="T101" s="256" t="e">
        <f ca="1"/>
        <v>#N/A</v>
      </c>
    </row>
    <row r="102" spans="17:20">
      <c r="Q102" s="254" t="e">
        <f ca="1"/>
        <v>#N/A</v>
      </c>
      <c r="R102" s="255" t="e">
        <f ca="1"/>
        <v>#N/A</v>
      </c>
      <c r="S102" s="255" t="e">
        <f ca="1"/>
        <v>#N/A</v>
      </c>
      <c r="T102" s="256" t="e">
        <f ca="1"/>
        <v>#N/A</v>
      </c>
    </row>
    <row r="103" spans="17:20">
      <c r="Q103" s="254" t="e">
        <f ca="1"/>
        <v>#N/A</v>
      </c>
      <c r="R103" s="255" t="e">
        <f ca="1"/>
        <v>#N/A</v>
      </c>
      <c r="S103" s="255" t="e">
        <f ca="1"/>
        <v>#N/A</v>
      </c>
      <c r="T103" s="256" t="e">
        <f ca="1"/>
        <v>#N/A</v>
      </c>
    </row>
    <row r="104" spans="17:20">
      <c r="Q104" s="254" t="e">
        <f ca="1"/>
        <v>#N/A</v>
      </c>
      <c r="R104" s="255" t="e">
        <f ca="1"/>
        <v>#N/A</v>
      </c>
      <c r="S104" s="255" t="e">
        <f ca="1"/>
        <v>#N/A</v>
      </c>
      <c r="T104" s="256" t="e">
        <f ca="1"/>
        <v>#N/A</v>
      </c>
    </row>
    <row r="105" spans="17:20">
      <c r="Q105" s="254" t="e">
        <f ca="1"/>
        <v>#N/A</v>
      </c>
      <c r="R105" s="255" t="e">
        <f ca="1"/>
        <v>#N/A</v>
      </c>
      <c r="S105" s="255" t="e">
        <f ca="1"/>
        <v>#N/A</v>
      </c>
      <c r="T105" s="256" t="e">
        <f ca="1"/>
        <v>#N/A</v>
      </c>
    </row>
    <row r="106" spans="17:20">
      <c r="Q106" s="254" t="e">
        <f ca="1"/>
        <v>#N/A</v>
      </c>
      <c r="R106" s="255" t="e">
        <f ca="1"/>
        <v>#N/A</v>
      </c>
      <c r="S106" s="255" t="e">
        <f ca="1"/>
        <v>#N/A</v>
      </c>
      <c r="T106" s="256" t="e">
        <f ca="1"/>
        <v>#N/A</v>
      </c>
    </row>
    <row r="107" spans="17:20">
      <c r="Q107" s="254" t="e">
        <f ca="1"/>
        <v>#N/A</v>
      </c>
      <c r="R107" s="255" t="e">
        <f ca="1"/>
        <v>#N/A</v>
      </c>
      <c r="S107" s="255" t="e">
        <f ca="1"/>
        <v>#N/A</v>
      </c>
      <c r="T107" s="256" t="e">
        <f ca="1"/>
        <v>#N/A</v>
      </c>
    </row>
    <row r="108" spans="17:20">
      <c r="Q108" s="254" t="e">
        <f ca="1"/>
        <v>#N/A</v>
      </c>
      <c r="R108" s="255" t="e">
        <f ca="1"/>
        <v>#N/A</v>
      </c>
      <c r="S108" s="255" t="e">
        <f ca="1"/>
        <v>#N/A</v>
      </c>
      <c r="T108" s="256" t="e">
        <f ca="1"/>
        <v>#N/A</v>
      </c>
    </row>
    <row r="109" spans="17:20">
      <c r="Q109" s="254" t="e">
        <f ca="1"/>
        <v>#N/A</v>
      </c>
      <c r="R109" s="255" t="e">
        <f ca="1"/>
        <v>#N/A</v>
      </c>
      <c r="S109" s="255" t="e">
        <f ca="1"/>
        <v>#N/A</v>
      </c>
      <c r="T109" s="256" t="e">
        <f ca="1"/>
        <v>#N/A</v>
      </c>
    </row>
    <row r="110" spans="17:20">
      <c r="Q110" s="254" t="e">
        <f ca="1"/>
        <v>#N/A</v>
      </c>
      <c r="R110" s="255" t="e">
        <f ca="1"/>
        <v>#N/A</v>
      </c>
      <c r="S110" s="255" t="e">
        <f ca="1"/>
        <v>#N/A</v>
      </c>
      <c r="T110" s="256" t="e">
        <f ca="1"/>
        <v>#N/A</v>
      </c>
    </row>
    <row r="111" spans="17:20">
      <c r="Q111" s="254" t="e">
        <f ca="1"/>
        <v>#N/A</v>
      </c>
      <c r="R111" s="255" t="e">
        <f ca="1"/>
        <v>#N/A</v>
      </c>
      <c r="S111" s="255" t="e">
        <f ca="1"/>
        <v>#N/A</v>
      </c>
      <c r="T111" s="256" t="e">
        <f ca="1"/>
        <v>#N/A</v>
      </c>
    </row>
    <row r="112" spans="17:20">
      <c r="Q112" s="254" t="e">
        <f ca="1"/>
        <v>#N/A</v>
      </c>
      <c r="R112" s="255" t="e">
        <f ca="1"/>
        <v>#N/A</v>
      </c>
      <c r="S112" s="255" t="e">
        <f ca="1"/>
        <v>#N/A</v>
      </c>
      <c r="T112" s="256" t="e">
        <f ca="1"/>
        <v>#N/A</v>
      </c>
    </row>
    <row r="113" spans="17:20">
      <c r="Q113" s="254" t="e">
        <f ca="1"/>
        <v>#N/A</v>
      </c>
      <c r="R113" s="255" t="e">
        <f ca="1"/>
        <v>#N/A</v>
      </c>
      <c r="S113" s="255" t="e">
        <f ca="1"/>
        <v>#N/A</v>
      </c>
      <c r="T113" s="256" t="e">
        <f ca="1"/>
        <v>#N/A</v>
      </c>
    </row>
    <row r="114" spans="17:20">
      <c r="Q114" s="254" t="e">
        <f ca="1"/>
        <v>#N/A</v>
      </c>
      <c r="R114" s="255" t="e">
        <f ca="1"/>
        <v>#N/A</v>
      </c>
      <c r="S114" s="255" t="e">
        <f ca="1"/>
        <v>#N/A</v>
      </c>
      <c r="T114" s="256" t="e">
        <f ca="1"/>
        <v>#N/A</v>
      </c>
    </row>
    <row r="115" spans="17:20">
      <c r="Q115" s="254" t="e">
        <f ca="1"/>
        <v>#N/A</v>
      </c>
      <c r="R115" s="255" t="e">
        <f ca="1"/>
        <v>#N/A</v>
      </c>
      <c r="S115" s="255" t="e">
        <f ca="1"/>
        <v>#N/A</v>
      </c>
      <c r="T115" s="256" t="e">
        <f ca="1"/>
        <v>#N/A</v>
      </c>
    </row>
    <row r="116" spans="17:20">
      <c r="Q116" s="254" t="e">
        <f ca="1"/>
        <v>#N/A</v>
      </c>
      <c r="R116" s="255" t="e">
        <f ca="1"/>
        <v>#N/A</v>
      </c>
      <c r="S116" s="255" t="e">
        <f ca="1"/>
        <v>#N/A</v>
      </c>
      <c r="T116" s="256" t="e">
        <f ca="1"/>
        <v>#N/A</v>
      </c>
    </row>
    <row r="117" spans="17:20">
      <c r="Q117" s="254" t="e">
        <f ca="1"/>
        <v>#N/A</v>
      </c>
      <c r="R117" s="255" t="e">
        <f ca="1"/>
        <v>#N/A</v>
      </c>
      <c r="S117" s="255" t="e">
        <f ca="1"/>
        <v>#N/A</v>
      </c>
      <c r="T117" s="256" t="e">
        <f ca="1"/>
        <v>#N/A</v>
      </c>
    </row>
    <row r="118" spans="17:20">
      <c r="Q118" s="254" t="e">
        <f ca="1"/>
        <v>#N/A</v>
      </c>
      <c r="R118" s="255" t="e">
        <f ca="1"/>
        <v>#N/A</v>
      </c>
      <c r="S118" s="255" t="e">
        <f ca="1"/>
        <v>#N/A</v>
      </c>
      <c r="T118" s="256" t="e">
        <f ca="1"/>
        <v>#N/A</v>
      </c>
    </row>
    <row r="119" spans="17:20">
      <c r="Q119" s="254" t="e">
        <f ca="1"/>
        <v>#N/A</v>
      </c>
      <c r="R119" s="255" t="e">
        <f ca="1"/>
        <v>#N/A</v>
      </c>
      <c r="S119" s="255" t="e">
        <f ca="1"/>
        <v>#N/A</v>
      </c>
      <c r="T119" s="256" t="e">
        <f ca="1"/>
        <v>#N/A</v>
      </c>
    </row>
    <row r="120" spans="17:20">
      <c r="Q120" s="254" t="e">
        <f ca="1"/>
        <v>#N/A</v>
      </c>
      <c r="R120" s="255" t="e">
        <f ca="1"/>
        <v>#N/A</v>
      </c>
      <c r="S120" s="255" t="e">
        <f ca="1"/>
        <v>#N/A</v>
      </c>
      <c r="T120" s="256" t="e">
        <f ca="1"/>
        <v>#N/A</v>
      </c>
    </row>
    <row r="121" spans="17:20">
      <c r="Q121" s="254" t="e">
        <f ca="1"/>
        <v>#N/A</v>
      </c>
      <c r="R121" s="255" t="e">
        <f ca="1"/>
        <v>#N/A</v>
      </c>
      <c r="S121" s="255" t="e">
        <f ca="1"/>
        <v>#N/A</v>
      </c>
      <c r="T121" s="256" t="e">
        <f ca="1"/>
        <v>#N/A</v>
      </c>
    </row>
    <row r="122" spans="17:20">
      <c r="Q122" s="254" t="e">
        <f ca="1"/>
        <v>#N/A</v>
      </c>
      <c r="R122" s="255" t="e">
        <f ca="1"/>
        <v>#N/A</v>
      </c>
      <c r="S122" s="255" t="e">
        <f ca="1"/>
        <v>#N/A</v>
      </c>
      <c r="T122" s="256" t="e">
        <f ca="1"/>
        <v>#N/A</v>
      </c>
    </row>
    <row r="123" spans="17:20">
      <c r="Q123" s="254" t="e">
        <f ca="1"/>
        <v>#N/A</v>
      </c>
      <c r="R123" s="255" t="e">
        <f ca="1"/>
        <v>#N/A</v>
      </c>
      <c r="S123" s="255" t="e">
        <f ca="1"/>
        <v>#N/A</v>
      </c>
      <c r="T123" s="256" t="e">
        <f ca="1"/>
        <v>#N/A</v>
      </c>
    </row>
    <row r="124" spans="17:20">
      <c r="Q124" s="254" t="e">
        <f ca="1"/>
        <v>#N/A</v>
      </c>
      <c r="R124" s="255" t="e">
        <f ca="1"/>
        <v>#N/A</v>
      </c>
      <c r="S124" s="255" t="e">
        <f ca="1"/>
        <v>#N/A</v>
      </c>
      <c r="T124" s="256" t="e">
        <f ca="1"/>
        <v>#N/A</v>
      </c>
    </row>
    <row r="125" spans="17:20">
      <c r="Q125" s="254" t="e">
        <f ca="1"/>
        <v>#N/A</v>
      </c>
      <c r="R125" s="255" t="e">
        <f ca="1"/>
        <v>#N/A</v>
      </c>
      <c r="S125" s="255" t="e">
        <f ca="1"/>
        <v>#N/A</v>
      </c>
      <c r="T125" s="256" t="e">
        <f ca="1"/>
        <v>#N/A</v>
      </c>
    </row>
    <row r="126" spans="17:20">
      <c r="Q126" s="254" t="e">
        <f ca="1"/>
        <v>#N/A</v>
      </c>
      <c r="R126" s="255" t="e">
        <f ca="1"/>
        <v>#N/A</v>
      </c>
      <c r="S126" s="255" t="e">
        <f ca="1"/>
        <v>#N/A</v>
      </c>
      <c r="T126" s="256" t="e">
        <f ca="1"/>
        <v>#N/A</v>
      </c>
    </row>
    <row r="127" spans="17:20">
      <c r="Q127" s="254" t="e">
        <f ca="1"/>
        <v>#N/A</v>
      </c>
      <c r="R127" s="255" t="e">
        <f ca="1"/>
        <v>#N/A</v>
      </c>
      <c r="S127" s="255" t="e">
        <f ca="1"/>
        <v>#N/A</v>
      </c>
      <c r="T127" s="256" t="e">
        <f ca="1"/>
        <v>#N/A</v>
      </c>
    </row>
    <row r="128" spans="17:20">
      <c r="Q128" s="254" t="e">
        <f ca="1"/>
        <v>#N/A</v>
      </c>
      <c r="R128" s="255" t="e">
        <f ca="1"/>
        <v>#N/A</v>
      </c>
      <c r="S128" s="255" t="e">
        <f ca="1"/>
        <v>#N/A</v>
      </c>
      <c r="T128" s="256" t="e">
        <f ca="1"/>
        <v>#N/A</v>
      </c>
    </row>
    <row r="129" spans="17:20">
      <c r="Q129" s="254" t="e">
        <f ca="1"/>
        <v>#N/A</v>
      </c>
      <c r="R129" s="255" t="e">
        <f ca="1"/>
        <v>#N/A</v>
      </c>
      <c r="S129" s="255" t="e">
        <f ca="1"/>
        <v>#N/A</v>
      </c>
      <c r="T129" s="256" t="e">
        <f ca="1"/>
        <v>#N/A</v>
      </c>
    </row>
    <row r="130" spans="17:20">
      <c r="Q130" s="254" t="e">
        <f ca="1"/>
        <v>#N/A</v>
      </c>
      <c r="R130" s="255" t="e">
        <f ca="1"/>
        <v>#N/A</v>
      </c>
      <c r="S130" s="255" t="e">
        <f ca="1"/>
        <v>#N/A</v>
      </c>
      <c r="T130" s="256" t="e">
        <f ca="1"/>
        <v>#N/A</v>
      </c>
    </row>
    <row r="131" spans="17:20">
      <c r="Q131" s="254" t="e">
        <f ca="1"/>
        <v>#N/A</v>
      </c>
      <c r="R131" s="255" t="e">
        <f ca="1"/>
        <v>#N/A</v>
      </c>
      <c r="S131" s="255" t="e">
        <f ca="1"/>
        <v>#N/A</v>
      </c>
      <c r="T131" s="256" t="e">
        <f ca="1"/>
        <v>#N/A</v>
      </c>
    </row>
    <row r="132" spans="17:20">
      <c r="Q132" s="254" t="e">
        <f ca="1"/>
        <v>#N/A</v>
      </c>
      <c r="R132" s="255" t="e">
        <f ca="1"/>
        <v>#N/A</v>
      </c>
      <c r="S132" s="255" t="e">
        <f ca="1"/>
        <v>#N/A</v>
      </c>
      <c r="T132" s="256" t="e">
        <f ca="1"/>
        <v>#N/A</v>
      </c>
    </row>
    <row r="133" spans="17:20">
      <c r="Q133" s="254" t="e">
        <f ca="1"/>
        <v>#N/A</v>
      </c>
      <c r="R133" s="255" t="e">
        <f ca="1"/>
        <v>#N/A</v>
      </c>
      <c r="S133" s="255" t="e">
        <f ca="1"/>
        <v>#N/A</v>
      </c>
      <c r="T133" s="256" t="e">
        <f ca="1"/>
        <v>#N/A</v>
      </c>
    </row>
    <row r="134" spans="17:20">
      <c r="Q134" s="254" t="e">
        <f ca="1"/>
        <v>#N/A</v>
      </c>
      <c r="R134" s="255" t="e">
        <f ca="1"/>
        <v>#N/A</v>
      </c>
      <c r="S134" s="255" t="e">
        <f ca="1"/>
        <v>#N/A</v>
      </c>
      <c r="T134" s="256" t="e">
        <f ca="1"/>
        <v>#N/A</v>
      </c>
    </row>
    <row r="135" spans="17:20">
      <c r="Q135" s="254" t="e">
        <f ca="1"/>
        <v>#N/A</v>
      </c>
      <c r="R135" s="255" t="e">
        <f ca="1"/>
        <v>#N/A</v>
      </c>
      <c r="S135" s="255" t="e">
        <f ca="1"/>
        <v>#N/A</v>
      </c>
      <c r="T135" s="256" t="e">
        <f ca="1"/>
        <v>#N/A</v>
      </c>
    </row>
    <row r="136" spans="17:20">
      <c r="Q136" s="254" t="e">
        <f ca="1"/>
        <v>#N/A</v>
      </c>
      <c r="R136" s="255" t="e">
        <f ca="1"/>
        <v>#N/A</v>
      </c>
      <c r="S136" s="255" t="e">
        <f ca="1"/>
        <v>#N/A</v>
      </c>
      <c r="T136" s="256" t="e">
        <f ca="1"/>
        <v>#N/A</v>
      </c>
    </row>
    <row r="137" spans="17:20">
      <c r="Q137" s="254" t="e">
        <f ca="1"/>
        <v>#N/A</v>
      </c>
      <c r="R137" s="255" t="e">
        <f ca="1"/>
        <v>#N/A</v>
      </c>
      <c r="S137" s="255" t="e">
        <f ca="1"/>
        <v>#N/A</v>
      </c>
      <c r="T137" s="256" t="e">
        <f ca="1"/>
        <v>#N/A</v>
      </c>
    </row>
    <row r="138" spans="17:20">
      <c r="Q138" s="254" t="e">
        <f ca="1"/>
        <v>#N/A</v>
      </c>
      <c r="R138" s="255" t="e">
        <f ca="1"/>
        <v>#N/A</v>
      </c>
      <c r="S138" s="255" t="e">
        <f ca="1"/>
        <v>#N/A</v>
      </c>
      <c r="T138" s="256" t="e">
        <f ca="1"/>
        <v>#N/A</v>
      </c>
    </row>
    <row r="139" spans="17:20">
      <c r="Q139" s="254" t="e">
        <f ca="1"/>
        <v>#N/A</v>
      </c>
      <c r="R139" s="255" t="e">
        <f ca="1"/>
        <v>#N/A</v>
      </c>
      <c r="S139" s="255" t="e">
        <f ca="1"/>
        <v>#N/A</v>
      </c>
      <c r="T139" s="256" t="e">
        <f ca="1"/>
        <v>#N/A</v>
      </c>
    </row>
    <row r="140" spans="17:20">
      <c r="Q140" s="254" t="e">
        <f ca="1"/>
        <v>#N/A</v>
      </c>
      <c r="R140" s="255" t="e">
        <f ca="1"/>
        <v>#N/A</v>
      </c>
      <c r="S140" s="255" t="e">
        <f ca="1"/>
        <v>#N/A</v>
      </c>
      <c r="T140" s="256" t="e">
        <f ca="1"/>
        <v>#N/A</v>
      </c>
    </row>
    <row r="141" spans="17:20">
      <c r="Q141" s="254" t="e">
        <f ca="1"/>
        <v>#N/A</v>
      </c>
      <c r="R141" s="255" t="e">
        <f ca="1"/>
        <v>#N/A</v>
      </c>
      <c r="S141" s="255" t="e">
        <f ca="1"/>
        <v>#N/A</v>
      </c>
      <c r="T141" s="256" t="e">
        <f ca="1"/>
        <v>#N/A</v>
      </c>
    </row>
    <row r="142" spans="17:20">
      <c r="Q142" s="254" t="e">
        <f ca="1"/>
        <v>#N/A</v>
      </c>
      <c r="R142" s="255" t="e">
        <f ca="1"/>
        <v>#N/A</v>
      </c>
      <c r="S142" s="255" t="e">
        <f ca="1"/>
        <v>#N/A</v>
      </c>
      <c r="T142" s="256" t="e">
        <f ca="1"/>
        <v>#N/A</v>
      </c>
    </row>
    <row r="143" spans="17:20">
      <c r="Q143" s="254" t="e">
        <f ca="1"/>
        <v>#N/A</v>
      </c>
      <c r="R143" s="255" t="e">
        <f ca="1"/>
        <v>#N/A</v>
      </c>
      <c r="S143" s="255" t="e">
        <f ca="1"/>
        <v>#N/A</v>
      </c>
      <c r="T143" s="256" t="e">
        <f ca="1"/>
        <v>#N/A</v>
      </c>
    </row>
    <row r="144" spans="17:20">
      <c r="Q144" s="254" t="e">
        <f ca="1"/>
        <v>#N/A</v>
      </c>
      <c r="R144" s="255" t="e">
        <f ca="1"/>
        <v>#N/A</v>
      </c>
      <c r="S144" s="255" t="e">
        <f ca="1"/>
        <v>#N/A</v>
      </c>
      <c r="T144" s="256" t="e">
        <f ca="1"/>
        <v>#N/A</v>
      </c>
    </row>
    <row r="145" spans="17:20">
      <c r="Q145" s="254" t="e">
        <f ca="1"/>
        <v>#N/A</v>
      </c>
      <c r="R145" s="255" t="e">
        <f ca="1"/>
        <v>#N/A</v>
      </c>
      <c r="S145" s="255" t="e">
        <f ca="1"/>
        <v>#N/A</v>
      </c>
      <c r="T145" s="256" t="e">
        <f ca="1"/>
        <v>#N/A</v>
      </c>
    </row>
    <row r="146" spans="17:20">
      <c r="Q146" s="254" t="e">
        <f ca="1"/>
        <v>#N/A</v>
      </c>
      <c r="R146" s="255" t="e">
        <f ca="1"/>
        <v>#N/A</v>
      </c>
      <c r="S146" s="255" t="e">
        <f ca="1"/>
        <v>#N/A</v>
      </c>
      <c r="T146" s="256" t="e">
        <f ca="1"/>
        <v>#N/A</v>
      </c>
    </row>
    <row r="147" spans="17:20">
      <c r="Q147" s="254" t="e">
        <f ca="1"/>
        <v>#N/A</v>
      </c>
      <c r="R147" s="255" t="e">
        <f ca="1"/>
        <v>#N/A</v>
      </c>
      <c r="S147" s="255" t="e">
        <f ca="1"/>
        <v>#N/A</v>
      </c>
      <c r="T147" s="256" t="e">
        <f ca="1"/>
        <v>#N/A</v>
      </c>
    </row>
    <row r="148" spans="17:20">
      <c r="Q148" s="254" t="e">
        <f ca="1"/>
        <v>#N/A</v>
      </c>
      <c r="R148" s="255" t="e">
        <f ca="1"/>
        <v>#N/A</v>
      </c>
      <c r="S148" s="255" t="e">
        <f ca="1"/>
        <v>#N/A</v>
      </c>
      <c r="T148" s="256" t="e">
        <f ca="1"/>
        <v>#N/A</v>
      </c>
    </row>
    <row r="149" spans="17:20">
      <c r="Q149" s="254" t="e">
        <f ca="1"/>
        <v>#N/A</v>
      </c>
      <c r="R149" s="255" t="e">
        <f ca="1"/>
        <v>#N/A</v>
      </c>
      <c r="S149" s="255" t="e">
        <f ca="1"/>
        <v>#N/A</v>
      </c>
      <c r="T149" s="256" t="e">
        <f ca="1"/>
        <v>#N/A</v>
      </c>
    </row>
    <row r="150" spans="17:20">
      <c r="Q150" s="254" t="e">
        <f ca="1"/>
        <v>#N/A</v>
      </c>
      <c r="R150" s="255" t="e">
        <f ca="1"/>
        <v>#N/A</v>
      </c>
      <c r="S150" s="255" t="e">
        <f ca="1"/>
        <v>#N/A</v>
      </c>
      <c r="T150" s="256" t="e">
        <f ca="1"/>
        <v>#N/A</v>
      </c>
    </row>
    <row r="151" spans="17:20">
      <c r="Q151" s="254" t="e">
        <f ca="1"/>
        <v>#N/A</v>
      </c>
      <c r="R151" s="255" t="e">
        <f ca="1"/>
        <v>#N/A</v>
      </c>
      <c r="S151" s="255" t="e">
        <f ca="1"/>
        <v>#N/A</v>
      </c>
      <c r="T151" s="256" t="e">
        <f ca="1"/>
        <v>#N/A</v>
      </c>
    </row>
    <row r="152" spans="17:20">
      <c r="Q152" s="254" t="e">
        <f ca="1"/>
        <v>#N/A</v>
      </c>
      <c r="R152" s="255" t="e">
        <f ca="1"/>
        <v>#N/A</v>
      </c>
      <c r="S152" s="255" t="e">
        <f ca="1"/>
        <v>#N/A</v>
      </c>
      <c r="T152" s="256" t="e">
        <f ca="1"/>
        <v>#N/A</v>
      </c>
    </row>
    <row r="153" spans="17:20">
      <c r="Q153" s="254" t="e">
        <f ca="1"/>
        <v>#N/A</v>
      </c>
      <c r="R153" s="255" t="e">
        <f ca="1"/>
        <v>#N/A</v>
      </c>
      <c r="S153" s="255" t="e">
        <f ca="1"/>
        <v>#N/A</v>
      </c>
      <c r="T153" s="256" t="e">
        <f ca="1"/>
        <v>#N/A</v>
      </c>
    </row>
    <row r="154" spans="17:20">
      <c r="Q154" s="254" t="e">
        <f ca="1"/>
        <v>#N/A</v>
      </c>
      <c r="R154" s="255" t="e">
        <f ca="1"/>
        <v>#N/A</v>
      </c>
      <c r="S154" s="255" t="e">
        <f ca="1"/>
        <v>#N/A</v>
      </c>
      <c r="T154" s="256" t="e">
        <f ca="1"/>
        <v>#N/A</v>
      </c>
    </row>
    <row r="155" spans="17:20">
      <c r="Q155" s="254" t="e">
        <f ca="1"/>
        <v>#N/A</v>
      </c>
      <c r="R155" s="255" t="e">
        <f ca="1"/>
        <v>#N/A</v>
      </c>
      <c r="S155" s="255" t="e">
        <f ca="1"/>
        <v>#N/A</v>
      </c>
      <c r="T155" s="256" t="e">
        <f ca="1"/>
        <v>#N/A</v>
      </c>
    </row>
    <row r="156" spans="17:20">
      <c r="Q156" s="254" t="e">
        <f ca="1"/>
        <v>#N/A</v>
      </c>
      <c r="R156" s="255" t="e">
        <f ca="1"/>
        <v>#N/A</v>
      </c>
      <c r="S156" s="255" t="e">
        <f ca="1"/>
        <v>#N/A</v>
      </c>
      <c r="T156" s="256" t="e">
        <f ca="1"/>
        <v>#N/A</v>
      </c>
    </row>
    <row r="157" spans="17:20">
      <c r="Q157" s="254" t="e">
        <f ca="1"/>
        <v>#N/A</v>
      </c>
      <c r="R157" s="255" t="e">
        <f ca="1"/>
        <v>#N/A</v>
      </c>
      <c r="S157" s="255" t="e">
        <f ca="1"/>
        <v>#N/A</v>
      </c>
      <c r="T157" s="256" t="e">
        <f ca="1"/>
        <v>#N/A</v>
      </c>
    </row>
    <row r="158" spans="17:20">
      <c r="Q158" s="254" t="e">
        <f ca="1"/>
        <v>#N/A</v>
      </c>
      <c r="R158" s="255" t="e">
        <f ca="1"/>
        <v>#N/A</v>
      </c>
      <c r="S158" s="255" t="e">
        <f ca="1"/>
        <v>#N/A</v>
      </c>
      <c r="T158" s="256" t="e">
        <f ca="1"/>
        <v>#N/A</v>
      </c>
    </row>
    <row r="159" spans="17:20">
      <c r="Q159" s="254" t="e">
        <f ca="1"/>
        <v>#N/A</v>
      </c>
      <c r="R159" s="255" t="e">
        <f ca="1"/>
        <v>#N/A</v>
      </c>
      <c r="S159" s="255" t="e">
        <f ca="1"/>
        <v>#N/A</v>
      </c>
      <c r="T159" s="256" t="e">
        <f ca="1"/>
        <v>#N/A</v>
      </c>
    </row>
    <row r="160" spans="17:20">
      <c r="Q160" s="254" t="e">
        <f ca="1"/>
        <v>#N/A</v>
      </c>
      <c r="R160" s="255" t="e">
        <f ca="1"/>
        <v>#N/A</v>
      </c>
      <c r="S160" s="255" t="e">
        <f ca="1"/>
        <v>#N/A</v>
      </c>
      <c r="T160" s="256" t="e">
        <f ca="1"/>
        <v>#N/A</v>
      </c>
    </row>
    <row r="161" spans="17:20">
      <c r="Q161" s="254" t="e">
        <f ca="1"/>
        <v>#N/A</v>
      </c>
      <c r="R161" s="255" t="e">
        <f ca="1"/>
        <v>#N/A</v>
      </c>
      <c r="S161" s="255" t="e">
        <f ca="1"/>
        <v>#N/A</v>
      </c>
      <c r="T161" s="256" t="e">
        <f ca="1"/>
        <v>#N/A</v>
      </c>
    </row>
    <row r="162" spans="17:20">
      <c r="Q162" s="254" t="e">
        <f ca="1"/>
        <v>#N/A</v>
      </c>
      <c r="R162" s="255" t="e">
        <f ca="1"/>
        <v>#N/A</v>
      </c>
      <c r="S162" s="255" t="e">
        <f ca="1"/>
        <v>#N/A</v>
      </c>
      <c r="T162" s="256" t="e">
        <f ca="1"/>
        <v>#N/A</v>
      </c>
    </row>
    <row r="163" spans="17:20">
      <c r="Q163" s="254" t="e">
        <f ca="1"/>
        <v>#N/A</v>
      </c>
      <c r="R163" s="255" t="e">
        <f ca="1"/>
        <v>#N/A</v>
      </c>
      <c r="S163" s="255" t="e">
        <f ca="1"/>
        <v>#N/A</v>
      </c>
      <c r="T163" s="256" t="e">
        <f ca="1"/>
        <v>#N/A</v>
      </c>
    </row>
    <row r="164" spans="17:20">
      <c r="Q164" s="254" t="e">
        <f ca="1"/>
        <v>#N/A</v>
      </c>
      <c r="R164" s="255" t="e">
        <f ca="1"/>
        <v>#N/A</v>
      </c>
      <c r="S164" s="255" t="e">
        <f ca="1"/>
        <v>#N/A</v>
      </c>
      <c r="T164" s="256" t="e">
        <f ca="1"/>
        <v>#N/A</v>
      </c>
    </row>
    <row r="165" spans="17:20">
      <c r="Q165" s="254" t="e">
        <f ca="1"/>
        <v>#N/A</v>
      </c>
      <c r="R165" s="255" t="e">
        <f ca="1"/>
        <v>#N/A</v>
      </c>
      <c r="S165" s="255" t="e">
        <f ca="1"/>
        <v>#N/A</v>
      </c>
      <c r="T165" s="256" t="e">
        <f ca="1"/>
        <v>#N/A</v>
      </c>
    </row>
    <row r="166" spans="17:20">
      <c r="Q166" s="254" t="e">
        <f ca="1"/>
        <v>#N/A</v>
      </c>
      <c r="R166" s="255" t="e">
        <f ca="1"/>
        <v>#N/A</v>
      </c>
      <c r="S166" s="255" t="e">
        <f ca="1"/>
        <v>#N/A</v>
      </c>
      <c r="T166" s="256" t="e">
        <f ca="1"/>
        <v>#N/A</v>
      </c>
    </row>
    <row r="167" spans="17:20">
      <c r="Q167" s="254" t="e">
        <f ca="1"/>
        <v>#N/A</v>
      </c>
      <c r="R167" s="255" t="e">
        <f ca="1"/>
        <v>#N/A</v>
      </c>
      <c r="S167" s="255" t="e">
        <f ca="1"/>
        <v>#N/A</v>
      </c>
      <c r="T167" s="256" t="e">
        <f ca="1"/>
        <v>#N/A</v>
      </c>
    </row>
    <row r="168" spans="17:20">
      <c r="Q168" s="254" t="e">
        <f ca="1"/>
        <v>#N/A</v>
      </c>
      <c r="R168" s="255" t="e">
        <f ca="1"/>
        <v>#N/A</v>
      </c>
      <c r="S168" s="255" t="e">
        <f ca="1"/>
        <v>#N/A</v>
      </c>
      <c r="T168" s="256" t="e">
        <f ca="1"/>
        <v>#N/A</v>
      </c>
    </row>
    <row r="169" spans="17:20">
      <c r="Q169" s="254" t="e">
        <f ca="1"/>
        <v>#N/A</v>
      </c>
      <c r="R169" s="255" t="e">
        <f ca="1"/>
        <v>#N/A</v>
      </c>
      <c r="S169" s="255" t="e">
        <f ca="1"/>
        <v>#N/A</v>
      </c>
      <c r="T169" s="256" t="e">
        <f ca="1"/>
        <v>#N/A</v>
      </c>
    </row>
    <row r="170" spans="17:20">
      <c r="Q170" s="254" t="e">
        <f ca="1"/>
        <v>#N/A</v>
      </c>
      <c r="R170" s="255" t="e">
        <f ca="1"/>
        <v>#N/A</v>
      </c>
      <c r="S170" s="255" t="e">
        <f ca="1"/>
        <v>#N/A</v>
      </c>
      <c r="T170" s="256" t="e">
        <f ca="1"/>
        <v>#N/A</v>
      </c>
    </row>
    <row r="171" spans="17:20">
      <c r="Q171" s="254" t="e">
        <f ca="1"/>
        <v>#N/A</v>
      </c>
      <c r="R171" s="255" t="e">
        <f ca="1"/>
        <v>#N/A</v>
      </c>
      <c r="S171" s="255" t="e">
        <f ca="1"/>
        <v>#N/A</v>
      </c>
      <c r="T171" s="256" t="e">
        <f ca="1"/>
        <v>#N/A</v>
      </c>
    </row>
    <row r="172" spans="17:20">
      <c r="Q172" s="254" t="e">
        <f ca="1"/>
        <v>#N/A</v>
      </c>
      <c r="R172" s="255" t="e">
        <f ca="1"/>
        <v>#N/A</v>
      </c>
      <c r="S172" s="255" t="e">
        <f ca="1"/>
        <v>#N/A</v>
      </c>
      <c r="T172" s="256" t="e">
        <f ca="1"/>
        <v>#N/A</v>
      </c>
    </row>
    <row r="173" spans="17:20">
      <c r="Q173" s="254" t="e">
        <f ca="1"/>
        <v>#N/A</v>
      </c>
      <c r="R173" s="255" t="e">
        <f ca="1"/>
        <v>#N/A</v>
      </c>
      <c r="S173" s="255" t="e">
        <f ca="1"/>
        <v>#N/A</v>
      </c>
      <c r="T173" s="256" t="e">
        <f ca="1"/>
        <v>#N/A</v>
      </c>
    </row>
    <row r="174" spans="17:20">
      <c r="Q174" s="254" t="e">
        <f ca="1"/>
        <v>#N/A</v>
      </c>
      <c r="R174" s="255" t="e">
        <f ca="1"/>
        <v>#N/A</v>
      </c>
      <c r="S174" s="255" t="e">
        <f ca="1"/>
        <v>#N/A</v>
      </c>
      <c r="T174" s="256" t="e">
        <f ca="1"/>
        <v>#N/A</v>
      </c>
    </row>
    <row r="175" spans="17:20">
      <c r="Q175" s="254" t="e">
        <f ca="1"/>
        <v>#N/A</v>
      </c>
      <c r="R175" s="255" t="e">
        <f ca="1"/>
        <v>#N/A</v>
      </c>
      <c r="S175" s="255" t="e">
        <f ca="1"/>
        <v>#N/A</v>
      </c>
      <c r="T175" s="256" t="e">
        <f ca="1"/>
        <v>#N/A</v>
      </c>
    </row>
    <row r="176" spans="17:20">
      <c r="Q176" s="254" t="e">
        <f ca="1"/>
        <v>#N/A</v>
      </c>
      <c r="R176" s="255" t="e">
        <f ca="1"/>
        <v>#N/A</v>
      </c>
      <c r="S176" s="255" t="e">
        <f ca="1"/>
        <v>#N/A</v>
      </c>
      <c r="T176" s="256" t="e">
        <f ca="1"/>
        <v>#N/A</v>
      </c>
    </row>
    <row r="177" spans="17:20">
      <c r="Q177" s="254" t="e">
        <f ca="1"/>
        <v>#N/A</v>
      </c>
      <c r="R177" s="255" t="e">
        <f ca="1"/>
        <v>#N/A</v>
      </c>
      <c r="S177" s="255" t="e">
        <f ca="1"/>
        <v>#N/A</v>
      </c>
      <c r="T177" s="256" t="e">
        <f ca="1"/>
        <v>#N/A</v>
      </c>
    </row>
    <row r="178" spans="17:20">
      <c r="Q178" s="254" t="e">
        <f ca="1"/>
        <v>#N/A</v>
      </c>
      <c r="R178" s="255" t="e">
        <f ca="1"/>
        <v>#N/A</v>
      </c>
      <c r="S178" s="255" t="e">
        <f ca="1"/>
        <v>#N/A</v>
      </c>
      <c r="T178" s="256" t="e">
        <f ca="1"/>
        <v>#N/A</v>
      </c>
    </row>
    <row r="179" spans="17:20">
      <c r="Q179" s="254" t="e">
        <f ca="1"/>
        <v>#N/A</v>
      </c>
      <c r="R179" s="255" t="e">
        <f ca="1"/>
        <v>#N/A</v>
      </c>
      <c r="S179" s="255" t="e">
        <f ca="1"/>
        <v>#N/A</v>
      </c>
      <c r="T179" s="256" t="e">
        <f ca="1"/>
        <v>#N/A</v>
      </c>
    </row>
    <row r="180" spans="17:20">
      <c r="Q180" s="254" t="e">
        <f ca="1"/>
        <v>#N/A</v>
      </c>
      <c r="R180" s="255" t="e">
        <f ca="1"/>
        <v>#N/A</v>
      </c>
      <c r="S180" s="255" t="e">
        <f ca="1"/>
        <v>#N/A</v>
      </c>
      <c r="T180" s="256" t="e">
        <f ca="1"/>
        <v>#N/A</v>
      </c>
    </row>
    <row r="181" spans="17:20">
      <c r="Q181" s="254" t="e">
        <f ca="1"/>
        <v>#N/A</v>
      </c>
      <c r="R181" s="255" t="e">
        <f ca="1"/>
        <v>#N/A</v>
      </c>
      <c r="S181" s="255" t="e">
        <f ca="1"/>
        <v>#N/A</v>
      </c>
      <c r="T181" s="256" t="e">
        <f ca="1"/>
        <v>#N/A</v>
      </c>
    </row>
    <row r="182" spans="17:20">
      <c r="Q182" s="254" t="e">
        <f ca="1"/>
        <v>#N/A</v>
      </c>
      <c r="R182" s="255" t="e">
        <f ca="1"/>
        <v>#N/A</v>
      </c>
      <c r="S182" s="255" t="e">
        <f ca="1"/>
        <v>#N/A</v>
      </c>
      <c r="T182" s="256" t="e">
        <f ca="1"/>
        <v>#N/A</v>
      </c>
    </row>
    <row r="183" spans="17:20">
      <c r="Q183" s="254" t="e">
        <f ca="1"/>
        <v>#N/A</v>
      </c>
      <c r="R183" s="255" t="e">
        <f ca="1"/>
        <v>#N/A</v>
      </c>
      <c r="S183" s="255" t="e">
        <f ca="1"/>
        <v>#N/A</v>
      </c>
      <c r="T183" s="256" t="e">
        <f ca="1"/>
        <v>#N/A</v>
      </c>
    </row>
    <row r="184" spans="17:20">
      <c r="Q184" s="254" t="e">
        <f ca="1"/>
        <v>#N/A</v>
      </c>
      <c r="R184" s="255" t="e">
        <f ca="1"/>
        <v>#N/A</v>
      </c>
      <c r="S184" s="255" t="e">
        <f ca="1"/>
        <v>#N/A</v>
      </c>
      <c r="T184" s="256" t="e">
        <f ca="1"/>
        <v>#N/A</v>
      </c>
    </row>
    <row r="185" spans="17:20">
      <c r="Q185" s="254" t="e">
        <f ca="1"/>
        <v>#N/A</v>
      </c>
      <c r="R185" s="255" t="e">
        <f ca="1"/>
        <v>#N/A</v>
      </c>
      <c r="S185" s="255" t="e">
        <f ca="1"/>
        <v>#N/A</v>
      </c>
      <c r="T185" s="256" t="e">
        <f ca="1"/>
        <v>#N/A</v>
      </c>
    </row>
    <row r="186" spans="17:20">
      <c r="Q186" s="254" t="e">
        <f ca="1"/>
        <v>#N/A</v>
      </c>
      <c r="R186" s="255" t="e">
        <f ca="1"/>
        <v>#N/A</v>
      </c>
      <c r="S186" s="255" t="e">
        <f ca="1"/>
        <v>#N/A</v>
      </c>
      <c r="T186" s="256" t="e">
        <f ca="1"/>
        <v>#N/A</v>
      </c>
    </row>
    <row r="187" spans="17:20">
      <c r="Q187" s="254" t="e">
        <f ca="1"/>
        <v>#N/A</v>
      </c>
      <c r="R187" s="255" t="e">
        <f ca="1"/>
        <v>#N/A</v>
      </c>
      <c r="S187" s="255" t="e">
        <f ca="1"/>
        <v>#N/A</v>
      </c>
      <c r="T187" s="256" t="e">
        <f ca="1"/>
        <v>#N/A</v>
      </c>
    </row>
    <row r="188" spans="17:20">
      <c r="Q188" s="254" t="e">
        <f ca="1"/>
        <v>#N/A</v>
      </c>
      <c r="R188" s="255" t="e">
        <f ca="1"/>
        <v>#N/A</v>
      </c>
      <c r="S188" s="255" t="e">
        <f ca="1"/>
        <v>#N/A</v>
      </c>
      <c r="T188" s="256" t="e">
        <f ca="1"/>
        <v>#N/A</v>
      </c>
    </row>
    <row r="189" spans="17:20">
      <c r="Q189" s="254" t="e">
        <f ca="1"/>
        <v>#N/A</v>
      </c>
      <c r="R189" s="255" t="e">
        <f ca="1"/>
        <v>#N/A</v>
      </c>
      <c r="S189" s="255" t="e">
        <f ca="1"/>
        <v>#N/A</v>
      </c>
      <c r="T189" s="256" t="e">
        <f ca="1"/>
        <v>#N/A</v>
      </c>
    </row>
    <row r="190" spans="17:20">
      <c r="Q190" s="254" t="e">
        <f ca="1"/>
        <v>#N/A</v>
      </c>
      <c r="R190" s="255" t="e">
        <f ca="1"/>
        <v>#N/A</v>
      </c>
      <c r="S190" s="255" t="e">
        <f ca="1"/>
        <v>#N/A</v>
      </c>
      <c r="T190" s="256" t="e">
        <f ca="1"/>
        <v>#N/A</v>
      </c>
    </row>
    <row r="191" spans="17:20">
      <c r="Q191" s="254" t="e">
        <f ca="1"/>
        <v>#N/A</v>
      </c>
      <c r="R191" s="255" t="e">
        <f ca="1"/>
        <v>#N/A</v>
      </c>
      <c r="S191" s="255" t="e">
        <f ca="1"/>
        <v>#N/A</v>
      </c>
      <c r="T191" s="256" t="e">
        <f ca="1"/>
        <v>#N/A</v>
      </c>
    </row>
    <row r="192" spans="17:20">
      <c r="Q192" s="254" t="e">
        <f ca="1"/>
        <v>#N/A</v>
      </c>
      <c r="R192" s="255" t="e">
        <f ca="1"/>
        <v>#N/A</v>
      </c>
      <c r="S192" s="255" t="e">
        <f ca="1"/>
        <v>#N/A</v>
      </c>
      <c r="T192" s="256" t="e">
        <f ca="1"/>
        <v>#N/A</v>
      </c>
    </row>
    <row r="193" spans="17:20">
      <c r="Q193" s="254" t="e">
        <f ca="1"/>
        <v>#N/A</v>
      </c>
      <c r="R193" s="255" t="e">
        <f ca="1"/>
        <v>#N/A</v>
      </c>
      <c r="S193" s="255" t="e">
        <f ca="1"/>
        <v>#N/A</v>
      </c>
      <c r="T193" s="256" t="e">
        <f ca="1"/>
        <v>#N/A</v>
      </c>
    </row>
    <row r="194" spans="17:20">
      <c r="Q194" s="254" t="e">
        <f ca="1"/>
        <v>#N/A</v>
      </c>
      <c r="R194" s="255" t="e">
        <f ca="1"/>
        <v>#N/A</v>
      </c>
      <c r="S194" s="255" t="e">
        <f ca="1"/>
        <v>#N/A</v>
      </c>
      <c r="T194" s="256" t="e">
        <f ca="1"/>
        <v>#N/A</v>
      </c>
    </row>
    <row r="195" spans="17:20">
      <c r="Q195" s="254" t="e">
        <f ca="1"/>
        <v>#N/A</v>
      </c>
      <c r="R195" s="255" t="e">
        <f ca="1"/>
        <v>#N/A</v>
      </c>
      <c r="S195" s="255" t="e">
        <f ca="1"/>
        <v>#N/A</v>
      </c>
      <c r="T195" s="256" t="e">
        <f ca="1"/>
        <v>#N/A</v>
      </c>
    </row>
    <row r="196" spans="17:20">
      <c r="Q196" s="254" t="e">
        <f ca="1"/>
        <v>#N/A</v>
      </c>
      <c r="R196" s="255" t="e">
        <f ca="1"/>
        <v>#N/A</v>
      </c>
      <c r="S196" s="255" t="e">
        <f ca="1"/>
        <v>#N/A</v>
      </c>
      <c r="T196" s="256" t="e">
        <f ca="1"/>
        <v>#N/A</v>
      </c>
    </row>
    <row r="197" spans="17:20">
      <c r="Q197" s="254" t="e">
        <f ca="1"/>
        <v>#N/A</v>
      </c>
      <c r="R197" s="255" t="e">
        <f ca="1"/>
        <v>#N/A</v>
      </c>
      <c r="S197" s="255" t="e">
        <f ca="1"/>
        <v>#N/A</v>
      </c>
      <c r="T197" s="256" t="e">
        <f ca="1"/>
        <v>#N/A</v>
      </c>
    </row>
    <row r="198" spans="17:20">
      <c r="Q198" s="254" t="e">
        <f ca="1"/>
        <v>#N/A</v>
      </c>
      <c r="R198" s="255" t="e">
        <f ca="1"/>
        <v>#N/A</v>
      </c>
      <c r="S198" s="255" t="e">
        <f ca="1"/>
        <v>#N/A</v>
      </c>
      <c r="T198" s="256" t="e">
        <f ca="1"/>
        <v>#N/A</v>
      </c>
    </row>
    <row r="199" spans="17:20">
      <c r="Q199" s="254" t="e">
        <f ca="1"/>
        <v>#N/A</v>
      </c>
      <c r="R199" s="255" t="e">
        <f ca="1"/>
        <v>#N/A</v>
      </c>
      <c r="S199" s="255" t="e">
        <f ca="1"/>
        <v>#N/A</v>
      </c>
      <c r="T199" s="256" t="e">
        <f ca="1"/>
        <v>#N/A</v>
      </c>
    </row>
    <row r="200" spans="17:20">
      <c r="Q200" s="257" t="e">
        <f ca="1"/>
        <v>#N/A</v>
      </c>
      <c r="R200" s="258" t="e">
        <f ca="1"/>
        <v>#N/A</v>
      </c>
      <c r="S200" s="258" t="e">
        <f ca="1"/>
        <v>#N/A</v>
      </c>
      <c r="T200" s="259" t="e">
        <f ca="1"/>
        <v>#N/A</v>
      </c>
    </row>
  </sheetData>
  <dataValidations count="5">
    <dataValidation type="list" allowBlank="1" showInputMessage="1" showErrorMessage="1" sqref="C6">
      <formula1>"IAUS,CMPN,BGN"</formula1>
    </dataValidation>
    <dataValidation type="list" allowBlank="1" showInputMessage="1" showErrorMessage="1" sqref="C7">
      <formula1>"PX_MID,PX_BID,PX_ASK"</formula1>
    </dataValidation>
    <dataValidation type="list" allowBlank="1" showInputMessage="1" showErrorMessage="1" sqref="C3 C9:C10">
      <formula1>"TRUE,FALSE"</formula1>
    </dataValidation>
    <dataValidation type="list" allowBlank="1" showInputMessage="1" showErrorMessage="1" sqref="O5">
      <formula1>"MONTHLY,QUARTERLY,SEMI-ANNUAL,ANNUAL"</formula1>
    </dataValidation>
    <dataValidation type="list" allowBlank="1" showInputMessage="1" showErrorMessage="1" sqref="C11">
      <formula1>"LINEAR-SPLINE,SPLINE"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Q100"/>
  <sheetViews>
    <sheetView showGridLines="0" workbookViewId="0"/>
  </sheetViews>
  <sheetFormatPr defaultRowHeight="15" outlineLevelRow="1"/>
  <cols>
    <col min="2" max="2" width="16.7109375" style="26" customWidth="1"/>
    <col min="3" max="3" width="13.28515625" style="26" bestFit="1" customWidth="1"/>
    <col min="4" max="4" width="10.7109375" style="26" customWidth="1"/>
    <col min="5" max="5" width="21.7109375" style="26" bestFit="1" customWidth="1"/>
    <col min="6" max="6" width="10.7109375" style="26" customWidth="1"/>
    <col min="7" max="7" width="20.7109375" style="26" customWidth="1"/>
    <col min="8" max="8" width="15.28515625" style="26" bestFit="1" customWidth="1"/>
    <col min="9" max="10" width="9.140625" style="26"/>
    <col min="12" max="12" width="10.7109375" customWidth="1"/>
    <col min="13" max="13" width="12.7109375" bestFit="1" customWidth="1"/>
    <col min="14" max="16" width="10.7109375" customWidth="1"/>
    <col min="17" max="17" width="20.7109375" customWidth="1"/>
    <col min="18" max="20" width="10.7109375" customWidth="1"/>
    <col min="21" max="21" width="10.140625" customWidth="1"/>
    <col min="22" max="22" width="10.7109375" customWidth="1"/>
    <col min="23" max="23" width="12.7109375" bestFit="1" customWidth="1"/>
    <col min="24" max="25" width="10.7109375" customWidth="1"/>
    <col min="26" max="26" width="12.7109375" bestFit="1" customWidth="1"/>
    <col min="27" max="27" width="20.7109375" customWidth="1"/>
    <col min="28" max="29" width="10.7109375" customWidth="1"/>
    <col min="30" max="30" width="19.85546875" bestFit="1" customWidth="1"/>
    <col min="33" max="33" width="12.7109375" bestFit="1" customWidth="1"/>
    <col min="36" max="36" width="12.7109375" bestFit="1" customWidth="1"/>
    <col min="37" max="37" width="20.7109375" customWidth="1"/>
    <col min="40" max="40" width="21" bestFit="1" customWidth="1"/>
  </cols>
  <sheetData>
    <row r="2" spans="2:43" s="306" customFormat="1">
      <c r="B2" s="1" t="s">
        <v>486</v>
      </c>
      <c r="D2" s="26"/>
      <c r="E2" s="26"/>
      <c r="F2" s="26"/>
      <c r="G2" s="26"/>
      <c r="H2" s="26"/>
      <c r="I2" s="26"/>
      <c r="J2" s="26"/>
    </row>
    <row r="3" spans="2:43" s="306" customFormat="1">
      <c r="B3" s="1"/>
      <c r="D3" s="26"/>
      <c r="E3" s="26"/>
      <c r="F3" s="26"/>
      <c r="G3" s="26"/>
      <c r="H3" s="26"/>
      <c r="I3" s="26"/>
      <c r="J3" s="26"/>
    </row>
    <row r="4" spans="2:43" s="306" customFormat="1">
      <c r="B4" s="376" t="s">
        <v>112</v>
      </c>
      <c r="C4" s="345">
        <f>SUM(C5:C8)</f>
        <v>0</v>
      </c>
      <c r="D4" s="26"/>
      <c r="E4" s="376" t="s">
        <v>113</v>
      </c>
      <c r="F4" s="345">
        <f>SUM(F5:F9)</f>
        <v>0</v>
      </c>
      <c r="G4" s="9"/>
      <c r="H4" s="376" t="s">
        <v>116</v>
      </c>
      <c r="I4" s="345">
        <f>SUM(I5:I7)</f>
        <v>0</v>
      </c>
      <c r="J4" s="26"/>
    </row>
    <row r="5" spans="2:43" s="306" customFormat="1">
      <c r="B5" s="306" t="s">
        <v>484</v>
      </c>
      <c r="C5" s="346">
        <f>COUNTA(B15:B37)-COUNT(J15:J37)</f>
        <v>0</v>
      </c>
      <c r="D5" s="26"/>
      <c r="E5" s="306" t="s">
        <v>505</v>
      </c>
      <c r="F5" s="346">
        <f>COUNTA(B45:B67)-COUNT(J45:J67)</f>
        <v>0</v>
      </c>
      <c r="G5" s="26"/>
      <c r="H5" s="306" t="s">
        <v>513</v>
      </c>
      <c r="I5" s="346">
        <f>F5</f>
        <v>0</v>
      </c>
      <c r="J5" s="26"/>
    </row>
    <row r="6" spans="2:43" s="306" customFormat="1">
      <c r="B6" s="306" t="s">
        <v>485</v>
      </c>
      <c r="C6" s="346">
        <f>COUNTA(L15:L37)-COUNT(T15:T37)</f>
        <v>0</v>
      </c>
      <c r="D6" s="26"/>
      <c r="E6" s="306" t="s">
        <v>506</v>
      </c>
      <c r="F6" s="346">
        <f>COUNTA(L45:L67)-COUNT(T45:T67)</f>
        <v>0</v>
      </c>
      <c r="G6" s="26"/>
      <c r="H6" s="306" t="s">
        <v>514</v>
      </c>
      <c r="I6" s="346">
        <f>COUNTA(B75:B77)-COUNT(J75:J77)</f>
        <v>0</v>
      </c>
      <c r="J6" s="26"/>
    </row>
    <row r="7" spans="2:43" s="306" customFormat="1">
      <c r="B7" s="306" t="s">
        <v>488</v>
      </c>
      <c r="C7" s="346">
        <f>COUNTA(AI45:AI67)-COUNT(AQ45:AQ67)</f>
        <v>0</v>
      </c>
      <c r="D7" s="26"/>
      <c r="E7" s="306" t="s">
        <v>507</v>
      </c>
      <c r="F7" s="346">
        <f>COUNTA(L45:L50)-COUNTA(V45:V50)+COUNTA(L45:L50)-COUNTA(W45:W50)</f>
        <v>0</v>
      </c>
      <c r="G7" s="26"/>
      <c r="H7" s="306" t="s">
        <v>515</v>
      </c>
      <c r="I7" s="346">
        <f>COUNTA(L75:L89)-COUNTA(T75:T89)</f>
        <v>0</v>
      </c>
      <c r="J7" s="26"/>
    </row>
    <row r="8" spans="2:43" s="306" customFormat="1">
      <c r="B8" s="306" t="s">
        <v>489</v>
      </c>
      <c r="C8" s="346">
        <f>COUNTA(Y45:Y67)-COUNT(AG45:AG67)</f>
        <v>0</v>
      </c>
      <c r="D8" s="26"/>
      <c r="E8" s="306" t="s">
        <v>508</v>
      </c>
      <c r="F8" s="346">
        <f>COUNTA(Y45:Y67)-COUNT(AG45:AG67)</f>
        <v>0</v>
      </c>
      <c r="G8" s="26"/>
      <c r="H8" s="26"/>
      <c r="I8" s="26"/>
      <c r="J8" s="26"/>
    </row>
    <row r="9" spans="2:43" s="306" customFormat="1">
      <c r="B9" s="26"/>
      <c r="C9" s="26"/>
      <c r="D9" s="26"/>
      <c r="E9" s="306" t="s">
        <v>509</v>
      </c>
      <c r="F9" s="346">
        <f>COUNTA(AI45:AI67)-COUNT(AQ45:AQ67)</f>
        <v>0</v>
      </c>
      <c r="G9" s="26"/>
      <c r="H9" s="26"/>
      <c r="I9" s="26"/>
      <c r="J9" s="26"/>
    </row>
    <row r="10" spans="2:43" s="306" customFormat="1">
      <c r="B10" s="26"/>
      <c r="C10" s="26"/>
      <c r="D10" s="26"/>
      <c r="E10" s="26"/>
      <c r="F10" s="26"/>
      <c r="G10" s="26"/>
      <c r="H10" s="26"/>
      <c r="I10" s="26"/>
      <c r="J10" s="26"/>
    </row>
    <row r="11" spans="2:43" s="306" customFormat="1">
      <c r="B11" s="26"/>
      <c r="C11" s="26"/>
      <c r="D11" s="26"/>
      <c r="E11" s="26"/>
      <c r="F11" s="26"/>
      <c r="G11" s="26"/>
      <c r="H11" s="26"/>
      <c r="I11" s="26"/>
      <c r="J11" s="26"/>
    </row>
    <row r="12" spans="2:43" s="306" customFormat="1" hidden="1" outlineLevel="1">
      <c r="B12" s="331" t="s">
        <v>63</v>
      </c>
      <c r="C12" s="331" t="s">
        <v>63</v>
      </c>
      <c r="D12" s="331" t="s">
        <v>63</v>
      </c>
      <c r="E12" s="331" t="s">
        <v>63</v>
      </c>
      <c r="F12" s="331" t="s">
        <v>63</v>
      </c>
      <c r="G12" s="331" t="s">
        <v>63</v>
      </c>
      <c r="H12" s="331" t="s">
        <v>63</v>
      </c>
      <c r="I12" s="331" t="s">
        <v>63</v>
      </c>
      <c r="J12" s="331" t="s">
        <v>63</v>
      </c>
      <c r="K12" s="330" t="s">
        <v>63</v>
      </c>
      <c r="L12" s="330" t="s">
        <v>63</v>
      </c>
      <c r="M12" s="330" t="s">
        <v>63</v>
      </c>
      <c r="N12" s="330" t="s">
        <v>63</v>
      </c>
      <c r="O12" s="330" t="s">
        <v>63</v>
      </c>
      <c r="P12" s="330" t="s">
        <v>63</v>
      </c>
      <c r="Q12" s="330" t="s">
        <v>63</v>
      </c>
      <c r="R12" s="330" t="s">
        <v>63</v>
      </c>
      <c r="S12" s="330" t="s">
        <v>63</v>
      </c>
      <c r="T12" s="330" t="s">
        <v>63</v>
      </c>
      <c r="U12" s="330" t="s">
        <v>63</v>
      </c>
      <c r="V12" s="330" t="s">
        <v>63</v>
      </c>
      <c r="W12" s="330" t="s">
        <v>63</v>
      </c>
      <c r="X12" s="330" t="s">
        <v>63</v>
      </c>
      <c r="Y12" s="330" t="s">
        <v>63</v>
      </c>
      <c r="Z12" s="330" t="s">
        <v>63</v>
      </c>
      <c r="AA12" s="330" t="s">
        <v>63</v>
      </c>
      <c r="AB12" s="330" t="s">
        <v>63</v>
      </c>
      <c r="AC12" s="330" t="s">
        <v>63</v>
      </c>
      <c r="AD12" s="330" t="s">
        <v>63</v>
      </c>
      <c r="AE12" s="330" t="s">
        <v>63</v>
      </c>
      <c r="AF12" s="330" t="s">
        <v>63</v>
      </c>
      <c r="AG12" s="330" t="s">
        <v>63</v>
      </c>
      <c r="AH12" s="330" t="s">
        <v>63</v>
      </c>
      <c r="AI12" s="330" t="s">
        <v>63</v>
      </c>
      <c r="AJ12" s="330" t="s">
        <v>63</v>
      </c>
      <c r="AK12" s="330" t="s">
        <v>63</v>
      </c>
      <c r="AL12" s="330" t="s">
        <v>63</v>
      </c>
      <c r="AM12" s="330" t="s">
        <v>63</v>
      </c>
      <c r="AN12" s="330" t="s">
        <v>63</v>
      </c>
      <c r="AO12" s="330" t="s">
        <v>63</v>
      </c>
      <c r="AP12" s="330" t="s">
        <v>63</v>
      </c>
      <c r="AQ12" s="330" t="s">
        <v>63</v>
      </c>
    </row>
    <row r="13" spans="2:43" s="306" customFormat="1" hidden="1" outlineLevel="1">
      <c r="B13" s="327" t="s">
        <v>469</v>
      </c>
      <c r="C13" s="26"/>
      <c r="D13" s="26"/>
      <c r="E13" s="26"/>
      <c r="F13" s="26"/>
      <c r="G13" s="26"/>
      <c r="H13" s="26"/>
      <c r="I13" s="26"/>
      <c r="J13" s="26"/>
      <c r="L13" s="327" t="s">
        <v>201</v>
      </c>
    </row>
    <row r="14" spans="2:43" hidden="1" outlineLevel="1">
      <c r="B14" s="23" t="s">
        <v>203</v>
      </c>
      <c r="C14" s="23" t="s">
        <v>436</v>
      </c>
      <c r="D14" s="23" t="s">
        <v>408</v>
      </c>
      <c r="E14" s="23" t="s">
        <v>435</v>
      </c>
      <c r="F14" s="23" t="s">
        <v>409</v>
      </c>
      <c r="G14" s="23" t="s">
        <v>152</v>
      </c>
      <c r="H14" s="23" t="s">
        <v>440</v>
      </c>
      <c r="I14" s="23" t="s">
        <v>435</v>
      </c>
      <c r="J14" s="23" t="s">
        <v>439</v>
      </c>
      <c r="K14" s="306"/>
      <c r="L14" s="23" t="s">
        <v>203</v>
      </c>
      <c r="M14" s="23" t="s">
        <v>436</v>
      </c>
      <c r="N14" s="23" t="s">
        <v>408</v>
      </c>
      <c r="O14" s="23" t="s">
        <v>435</v>
      </c>
      <c r="P14" s="23" t="s">
        <v>409</v>
      </c>
      <c r="Q14" s="23" t="s">
        <v>152</v>
      </c>
      <c r="R14" s="23" t="s">
        <v>440</v>
      </c>
      <c r="S14" s="23" t="s">
        <v>435</v>
      </c>
      <c r="T14" s="23" t="s">
        <v>439</v>
      </c>
      <c r="U14" s="306"/>
      <c r="AE14" s="306"/>
    </row>
    <row r="15" spans="2:43" hidden="1" outlineLevel="1">
      <c r="B15" s="318" t="s">
        <v>226</v>
      </c>
      <c r="C15" s="318" t="s">
        <v>412</v>
      </c>
      <c r="D15" s="320"/>
      <c r="E15" s="317" t="str">
        <f t="shared" ref="E15:E37" si="0">IF(ISBLANK(D15),Settings.BloombergPCS,D15)</f>
        <v>IAUS</v>
      </c>
      <c r="F15" s="319" t="s">
        <v>410</v>
      </c>
      <c r="G15" s="317" t="str">
        <f t="shared" ref="G15:G37" si="1">C15&amp;" "&amp;E15&amp;" "&amp;F15</f>
        <v>RBACOR IAUS Index</v>
      </c>
      <c r="H15" s="321" t="s">
        <v>406</v>
      </c>
      <c r="I15" s="317" t="str">
        <f>IF(ISBLANK(H15),Settings.CurveSide.MidBidAsk,'AUD CURVE TICKERS'!H15)</f>
        <v>PX_MID</v>
      </c>
      <c r="J15" s="326">
        <f>IF(Settings.isCOBToday,_xll.BDP(G15,'AUD CURVE TICKERS'!I15),_xll.BDH(G15,'AUD CURVE TICKERS'!I15,Settings.COB,Settings.COB))</f>
        <v>1.5</v>
      </c>
      <c r="L15" s="318" t="s">
        <v>187</v>
      </c>
      <c r="M15" s="328" t="s">
        <v>441</v>
      </c>
      <c r="N15" s="320"/>
      <c r="O15" s="317" t="str">
        <f t="shared" ref="O15:O28" si="2">IF(ISBLANK(N15),Settings.BloombergPCS,N15)</f>
        <v>IAUS</v>
      </c>
      <c r="P15" s="319" t="s">
        <v>411</v>
      </c>
      <c r="Q15" s="317" t="str">
        <f>M15&amp;" "&amp;O15&amp;" "&amp;P15</f>
        <v>ADBBCO1 IAUS Curncy</v>
      </c>
      <c r="R15" s="321"/>
      <c r="S15" s="317" t="str">
        <f>IF(ISBLANK(R15),Settings.CurveSide.MidBidAsk,'AUD CURVE TICKERS'!R15)</f>
        <v>PX_MID</v>
      </c>
      <c r="T15" s="326">
        <f>IF(Settings.isCOBToday,_xll.BDP(Q15,'AUD CURVE TICKERS'!S15),_xll.BDH(Q15,'AUD CURVE TICKERS'!S15,Settings.COB,Settings.COB))</f>
        <v>43.5</v>
      </c>
    </row>
    <row r="16" spans="2:43" hidden="1" outlineLevel="1">
      <c r="B16" s="318" t="s">
        <v>227</v>
      </c>
      <c r="C16" s="318" t="s">
        <v>413</v>
      </c>
      <c r="D16" s="320"/>
      <c r="E16" s="317" t="str">
        <f t="shared" si="0"/>
        <v>IAUS</v>
      </c>
      <c r="F16" s="319" t="s">
        <v>411</v>
      </c>
      <c r="G16" s="317" t="str">
        <f t="shared" si="1"/>
        <v>ADSO1Z IAUS Curncy</v>
      </c>
      <c r="H16" s="321"/>
      <c r="I16" s="317" t="str">
        <f>IF(ISBLANK(H16),Settings.CurveSide.MidBidAsk,'AUD CURVE TICKERS'!H16)</f>
        <v>PX_MID</v>
      </c>
      <c r="J16" s="326">
        <f>IF(Settings.isCOBToday,_xll.BDP(G16,'AUD CURVE TICKERS'!I16),_xll.BDH(G16,'AUD CURVE TICKERS'!I16,Settings.COB,Settings.COB))</f>
        <v>1.5</v>
      </c>
      <c r="L16" s="318" t="s">
        <v>172</v>
      </c>
      <c r="M16" s="328" t="s">
        <v>442</v>
      </c>
      <c r="N16" s="320"/>
      <c r="O16" s="317" t="str">
        <f t="shared" si="2"/>
        <v>IAUS</v>
      </c>
      <c r="P16" s="319" t="s">
        <v>411</v>
      </c>
      <c r="Q16" s="317" t="str">
        <f t="shared" ref="Q16:Q28" si="3">M16&amp;" "&amp;O16&amp;" "&amp;P16</f>
        <v>ADBBCO2 IAUS Curncy</v>
      </c>
      <c r="R16" s="321"/>
      <c r="S16" s="317" t="str">
        <f>IF(ISBLANK(R16),Settings.CurveSide.MidBidAsk,'AUD CURVE TICKERS'!R16)</f>
        <v>PX_MID</v>
      </c>
      <c r="T16" s="326">
        <f>IF(Settings.isCOBToday,_xll.BDP(Q16,'AUD CURVE TICKERS'!S16),_xll.BDH(Q16,'AUD CURVE TICKERS'!S16,Settings.COB,Settings.COB))</f>
        <v>42.25</v>
      </c>
    </row>
    <row r="17" spans="2:31" hidden="1" outlineLevel="1">
      <c r="B17" s="318" t="s">
        <v>92</v>
      </c>
      <c r="C17" s="318" t="s">
        <v>414</v>
      </c>
      <c r="D17" s="320"/>
      <c r="E17" s="317" t="str">
        <f t="shared" si="0"/>
        <v>IAUS</v>
      </c>
      <c r="F17" s="319" t="s">
        <v>411</v>
      </c>
      <c r="G17" s="317" t="str">
        <f t="shared" si="1"/>
        <v>ADSOA IAUS Curncy</v>
      </c>
      <c r="H17" s="321"/>
      <c r="I17" s="317" t="str">
        <f>IF(ISBLANK(H17),Settings.CurveSide.MidBidAsk,'AUD CURVE TICKERS'!H17)</f>
        <v>PX_MID</v>
      </c>
      <c r="J17" s="326">
        <f>IF(Settings.isCOBToday,_xll.BDP(G17,'AUD CURVE TICKERS'!I17),_xll.BDH(G17,'AUD CURVE TICKERS'!I17,Settings.COB,Settings.COB))</f>
        <v>1.5</v>
      </c>
      <c r="L17" s="318" t="s">
        <v>173</v>
      </c>
      <c r="M17" s="328" t="s">
        <v>443</v>
      </c>
      <c r="N17" s="320"/>
      <c r="O17" s="317" t="str">
        <f t="shared" si="2"/>
        <v>IAUS</v>
      </c>
      <c r="P17" s="319" t="s">
        <v>411</v>
      </c>
      <c r="Q17" s="317" t="str">
        <f t="shared" si="3"/>
        <v>ADBBCO3 IAUS Curncy</v>
      </c>
      <c r="R17" s="321"/>
      <c r="S17" s="317" t="str">
        <f>IF(ISBLANK(R17),Settings.CurveSide.MidBidAsk,'AUD CURVE TICKERS'!R17)</f>
        <v>PX_MID</v>
      </c>
      <c r="T17" s="326">
        <f>IF(Settings.isCOBToday,_xll.BDP(Q17,'AUD CURVE TICKERS'!S17),_xll.BDH(Q17,'AUD CURVE TICKERS'!S17,Settings.COB,Settings.COB))</f>
        <v>41.5</v>
      </c>
    </row>
    <row r="18" spans="2:31" hidden="1" outlineLevel="1">
      <c r="B18" s="318" t="s">
        <v>93</v>
      </c>
      <c r="C18" s="318" t="s">
        <v>415</v>
      </c>
      <c r="D18" s="320"/>
      <c r="E18" s="317" t="str">
        <f t="shared" si="0"/>
        <v>IAUS</v>
      </c>
      <c r="F18" s="319" t="s">
        <v>411</v>
      </c>
      <c r="G18" s="317" t="str">
        <f t="shared" si="1"/>
        <v>ADSOB IAUS Curncy</v>
      </c>
      <c r="H18" s="321"/>
      <c r="I18" s="317" t="str">
        <f>IF(ISBLANK(H18),Settings.CurveSide.MidBidAsk,'AUD CURVE TICKERS'!H18)</f>
        <v>PX_MID</v>
      </c>
      <c r="J18" s="326">
        <f>IF(Settings.isCOBToday,_xll.BDP(G18,'AUD CURVE TICKERS'!I18),_xll.BDH(G18,'AUD CURVE TICKERS'!I18,Settings.COB,Settings.COB))</f>
        <v>1.5</v>
      </c>
      <c r="L18" s="318" t="s">
        <v>174</v>
      </c>
      <c r="M18" s="328" t="s">
        <v>444</v>
      </c>
      <c r="N18" s="320"/>
      <c r="O18" s="317" t="str">
        <f t="shared" si="2"/>
        <v>IAUS</v>
      </c>
      <c r="P18" s="319" t="s">
        <v>411</v>
      </c>
      <c r="Q18" s="317" t="str">
        <f t="shared" si="3"/>
        <v>ADBBCO4 IAUS Curncy</v>
      </c>
      <c r="R18" s="321"/>
      <c r="S18" s="317" t="str">
        <f>IF(ISBLANK(R18),Settings.CurveSide.MidBidAsk,'AUD CURVE TICKERS'!R18)</f>
        <v>PX_MID</v>
      </c>
      <c r="T18" s="326">
        <f>IF(Settings.isCOBToday,_xll.BDP(Q18,'AUD CURVE TICKERS'!S18),_xll.BDH(Q18,'AUD CURVE TICKERS'!S18,Settings.COB,Settings.COB))</f>
        <v>41.5</v>
      </c>
    </row>
    <row r="19" spans="2:31" hidden="1" outlineLevel="1">
      <c r="B19" s="318" t="s">
        <v>94</v>
      </c>
      <c r="C19" s="318" t="s">
        <v>416</v>
      </c>
      <c r="D19" s="320"/>
      <c r="E19" s="317" t="str">
        <f t="shared" si="0"/>
        <v>IAUS</v>
      </c>
      <c r="F19" s="319" t="s">
        <v>411</v>
      </c>
      <c r="G19" s="317" t="str">
        <f t="shared" si="1"/>
        <v>ADSOC IAUS Curncy</v>
      </c>
      <c r="H19" s="321"/>
      <c r="I19" s="317" t="str">
        <f>IF(ISBLANK(H19),Settings.CurveSide.MidBidAsk,'AUD CURVE TICKERS'!H19)</f>
        <v>PX_MID</v>
      </c>
      <c r="J19" s="326">
        <f>IF(Settings.isCOBToday,_xll.BDP(G19,'AUD CURVE TICKERS'!I19),_xll.BDH(G19,'AUD CURVE TICKERS'!I19,Settings.COB,Settings.COB))</f>
        <v>1.5004999999999999</v>
      </c>
      <c r="L19" s="318" t="s">
        <v>175</v>
      </c>
      <c r="M19" s="328" t="s">
        <v>445</v>
      </c>
      <c r="N19" s="320"/>
      <c r="O19" s="317" t="str">
        <f t="shared" si="2"/>
        <v>IAUS</v>
      </c>
      <c r="P19" s="319" t="s">
        <v>411</v>
      </c>
      <c r="Q19" s="317" t="str">
        <f t="shared" si="3"/>
        <v>ADBBCO5 IAUS Curncy</v>
      </c>
      <c r="R19" s="321"/>
      <c r="S19" s="317" t="str">
        <f>IF(ISBLANK(R19),Settings.CurveSide.MidBidAsk,'AUD CURVE TICKERS'!R19)</f>
        <v>PX_MID</v>
      </c>
      <c r="T19" s="326">
        <f>IF(Settings.isCOBToday,_xll.BDP(Q19,'AUD CURVE TICKERS'!S19),_xll.BDH(Q19,'AUD CURVE TICKERS'!S19,Settings.COB,Settings.COB))</f>
        <v>41.5</v>
      </c>
    </row>
    <row r="20" spans="2:31" hidden="1" outlineLevel="1">
      <c r="B20" s="318" t="s">
        <v>228</v>
      </c>
      <c r="C20" s="318" t="s">
        <v>417</v>
      </c>
      <c r="D20" s="320"/>
      <c r="E20" s="317" t="str">
        <f t="shared" si="0"/>
        <v>IAUS</v>
      </c>
      <c r="F20" s="319" t="s">
        <v>411</v>
      </c>
      <c r="G20" s="317" t="str">
        <f t="shared" si="1"/>
        <v>ADSOD IAUS Curncy</v>
      </c>
      <c r="H20" s="321"/>
      <c r="I20" s="317" t="str">
        <f>IF(ISBLANK(H20),Settings.CurveSide.MidBidAsk,'AUD CURVE TICKERS'!H20)</f>
        <v>PX_MID</v>
      </c>
      <c r="J20" s="326">
        <f>IF(Settings.isCOBToday,_xll.BDP(G20,'AUD CURVE TICKERS'!I20),_xll.BDH(G20,'AUD CURVE TICKERS'!I20,Settings.COB,Settings.COB))</f>
        <v>1.502</v>
      </c>
      <c r="L20" s="318" t="s">
        <v>176</v>
      </c>
      <c r="M20" s="328" t="s">
        <v>446</v>
      </c>
      <c r="N20" s="320"/>
      <c r="O20" s="317" t="str">
        <f t="shared" si="2"/>
        <v>IAUS</v>
      </c>
      <c r="P20" s="319" t="s">
        <v>411</v>
      </c>
      <c r="Q20" s="317" t="str">
        <f t="shared" si="3"/>
        <v>ADBBCO6 IAUS Curncy</v>
      </c>
      <c r="R20" s="321"/>
      <c r="S20" s="317" t="str">
        <f>IF(ISBLANK(R20),Settings.CurveSide.MidBidAsk,'AUD CURVE TICKERS'!R20)</f>
        <v>PX_MID</v>
      </c>
      <c r="T20" s="326">
        <f>IF(Settings.isCOBToday,_xll.BDP(Q20,'AUD CURVE TICKERS'!S20),_xll.BDH(Q20,'AUD CURVE TICKERS'!S20,Settings.COB,Settings.COB))</f>
        <v>41.625</v>
      </c>
    </row>
    <row r="21" spans="2:31" hidden="1" outlineLevel="1">
      <c r="B21" s="318" t="s">
        <v>229</v>
      </c>
      <c r="C21" s="318" t="s">
        <v>418</v>
      </c>
      <c r="D21" s="320"/>
      <c r="E21" s="317" t="str">
        <f t="shared" si="0"/>
        <v>IAUS</v>
      </c>
      <c r="F21" s="319" t="s">
        <v>411</v>
      </c>
      <c r="G21" s="317" t="str">
        <f t="shared" si="1"/>
        <v>ADSOE IAUS Curncy</v>
      </c>
      <c r="H21" s="321"/>
      <c r="I21" s="317" t="str">
        <f>IF(ISBLANK(H21),Settings.CurveSide.MidBidAsk,'AUD CURVE TICKERS'!H21)</f>
        <v>PX_MID</v>
      </c>
      <c r="J21" s="326">
        <f>IF(Settings.isCOBToday,_xll.BDP(G21,'AUD CURVE TICKERS'!I21),_xll.BDH(G21,'AUD CURVE TICKERS'!I21,Settings.COB,Settings.COB))</f>
        <v>1.5037499999999999</v>
      </c>
      <c r="L21" s="318" t="s">
        <v>177</v>
      </c>
      <c r="M21" s="328" t="s">
        <v>447</v>
      </c>
      <c r="N21" s="320"/>
      <c r="O21" s="317" t="str">
        <f t="shared" si="2"/>
        <v>IAUS</v>
      </c>
      <c r="P21" s="319" t="s">
        <v>411</v>
      </c>
      <c r="Q21" s="317" t="str">
        <f t="shared" si="3"/>
        <v>ADBBCO7 IAUS Curncy</v>
      </c>
      <c r="R21" s="321"/>
      <c r="S21" s="317" t="str">
        <f>IF(ISBLANK(R21),Settings.CurveSide.MidBidAsk,'AUD CURVE TICKERS'!R21)</f>
        <v>PX_MID</v>
      </c>
      <c r="T21" s="326">
        <f>IF(Settings.isCOBToday,_xll.BDP(Q21,'AUD CURVE TICKERS'!S21),_xll.BDH(Q21,'AUD CURVE TICKERS'!S21,Settings.COB,Settings.COB))</f>
        <v>41.75</v>
      </c>
    </row>
    <row r="22" spans="2:31" hidden="1" outlineLevel="1">
      <c r="B22" s="318" t="s">
        <v>95</v>
      </c>
      <c r="C22" s="318" t="s">
        <v>419</v>
      </c>
      <c r="D22" s="320"/>
      <c r="E22" s="317" t="str">
        <f t="shared" si="0"/>
        <v>IAUS</v>
      </c>
      <c r="F22" s="319" t="s">
        <v>411</v>
      </c>
      <c r="G22" s="317" t="str">
        <f t="shared" si="1"/>
        <v>ADSOF IAUS Curncy</v>
      </c>
      <c r="H22" s="321"/>
      <c r="I22" s="317" t="str">
        <f>IF(ISBLANK(H22),Settings.CurveSide.MidBidAsk,'AUD CURVE TICKERS'!H22)</f>
        <v>PX_MID</v>
      </c>
      <c r="J22" s="326">
        <f>IF(Settings.isCOBToday,_xll.BDP(G22,'AUD CURVE TICKERS'!I22),_xll.BDH(G22,'AUD CURVE TICKERS'!I22,Settings.COB,Settings.COB))</f>
        <v>1.508</v>
      </c>
      <c r="L22" s="318" t="s">
        <v>178</v>
      </c>
      <c r="M22" s="328" t="s">
        <v>448</v>
      </c>
      <c r="N22" s="320"/>
      <c r="O22" s="317" t="str">
        <f t="shared" si="2"/>
        <v>IAUS</v>
      </c>
      <c r="P22" s="319" t="s">
        <v>411</v>
      </c>
      <c r="Q22" s="317" t="str">
        <f t="shared" si="3"/>
        <v>ADBBCO8 IAUS Curncy</v>
      </c>
      <c r="R22" s="321"/>
      <c r="S22" s="317" t="str">
        <f>IF(ISBLANK(R22),Settings.CurveSide.MidBidAsk,'AUD CURVE TICKERS'!R22)</f>
        <v>PX_MID</v>
      </c>
      <c r="T22" s="326">
        <f>IF(Settings.isCOBToday,_xll.BDP(Q22,'AUD CURVE TICKERS'!S22),_xll.BDH(Q22,'AUD CURVE TICKERS'!S22,Settings.COB,Settings.COB))</f>
        <v>41.75</v>
      </c>
    </row>
    <row r="23" spans="2:31" hidden="1" outlineLevel="1">
      <c r="B23" s="318" t="s">
        <v>230</v>
      </c>
      <c r="C23" s="318" t="s">
        <v>420</v>
      </c>
      <c r="D23" s="320"/>
      <c r="E23" s="317" t="str">
        <f t="shared" si="0"/>
        <v>IAUS</v>
      </c>
      <c r="F23" s="319" t="s">
        <v>411</v>
      </c>
      <c r="G23" s="317" t="str">
        <f t="shared" si="1"/>
        <v>ADSOI IAUS Curncy</v>
      </c>
      <c r="H23" s="321"/>
      <c r="I23" s="317" t="str">
        <f>IF(ISBLANK(H23),Settings.CurveSide.MidBidAsk,'AUD CURVE TICKERS'!H23)</f>
        <v>PX_MID</v>
      </c>
      <c r="J23" s="326">
        <f>IF(Settings.isCOBToday,_xll.BDP(G23,'AUD CURVE TICKERS'!I23),_xll.BDH(G23,'AUD CURVE TICKERS'!I23,Settings.COB,Settings.COB))</f>
        <v>1.5225</v>
      </c>
      <c r="L23" s="318" t="s">
        <v>179</v>
      </c>
      <c r="M23" s="328" t="s">
        <v>449</v>
      </c>
      <c r="N23" s="320"/>
      <c r="O23" s="317" t="str">
        <f t="shared" si="2"/>
        <v>IAUS</v>
      </c>
      <c r="P23" s="319" t="s">
        <v>411</v>
      </c>
      <c r="Q23" s="317" t="str">
        <f t="shared" si="3"/>
        <v>ADBBCO9 IAUS Curncy</v>
      </c>
      <c r="R23" s="321"/>
      <c r="S23" s="317" t="str">
        <f>IF(ISBLANK(R23),Settings.CurveSide.MidBidAsk,'AUD CURVE TICKERS'!R23)</f>
        <v>PX_MID</v>
      </c>
      <c r="T23" s="326">
        <f>IF(Settings.isCOBToday,_xll.BDP(Q23,'AUD CURVE TICKERS'!S23),_xll.BDH(Q23,'AUD CURVE TICKERS'!S23,Settings.COB,Settings.COB))</f>
        <v>41.75</v>
      </c>
    </row>
    <row r="24" spans="2:31" hidden="1" outlineLevel="1">
      <c r="B24" s="318" t="s">
        <v>187</v>
      </c>
      <c r="C24" s="318" t="s">
        <v>421</v>
      </c>
      <c r="D24" s="320"/>
      <c r="E24" s="317" t="str">
        <f t="shared" si="0"/>
        <v>IAUS</v>
      </c>
      <c r="F24" s="319" t="s">
        <v>411</v>
      </c>
      <c r="G24" s="317" t="str">
        <f t="shared" si="1"/>
        <v>ADSO1 IAUS Curncy</v>
      </c>
      <c r="H24" s="321"/>
      <c r="I24" s="317" t="str">
        <f>IF(ISBLANK(H24),Settings.CurveSide.MidBidAsk,'AUD CURVE TICKERS'!H24)</f>
        <v>PX_MID</v>
      </c>
      <c r="J24" s="326">
        <f>IF(Settings.isCOBToday,_xll.BDP(G24,'AUD CURVE TICKERS'!I24),_xll.BDH(G24,'AUD CURVE TICKERS'!I24,Settings.COB,Settings.COB))</f>
        <v>1.5475000000000001</v>
      </c>
      <c r="L24" s="318" t="s">
        <v>181</v>
      </c>
      <c r="M24" s="328" t="s">
        <v>450</v>
      </c>
      <c r="N24" s="320"/>
      <c r="O24" s="317" t="str">
        <f t="shared" si="2"/>
        <v>IAUS</v>
      </c>
      <c r="P24" s="319" t="s">
        <v>411</v>
      </c>
      <c r="Q24" s="317" t="str">
        <f t="shared" si="3"/>
        <v>ADBBCO10 IAUS Curncy</v>
      </c>
      <c r="R24" s="321"/>
      <c r="S24" s="317" t="str">
        <f>IF(ISBLANK(R24),Settings.CurveSide.MidBidAsk,'AUD CURVE TICKERS'!R24)</f>
        <v>PX_MID</v>
      </c>
      <c r="T24" s="326">
        <f>IF(Settings.isCOBToday,_xll.BDP(Q24,'AUD CURVE TICKERS'!S24),_xll.BDH(Q24,'AUD CURVE TICKERS'!S24,Settings.COB,Settings.COB))</f>
        <v>41.625</v>
      </c>
    </row>
    <row r="25" spans="2:31" hidden="1" outlineLevel="1">
      <c r="B25" s="318" t="s">
        <v>172</v>
      </c>
      <c r="C25" s="318" t="s">
        <v>422</v>
      </c>
      <c r="D25" s="320"/>
      <c r="E25" s="317" t="str">
        <f t="shared" si="0"/>
        <v>IAUS</v>
      </c>
      <c r="F25" s="319" t="s">
        <v>411</v>
      </c>
      <c r="G25" s="317" t="str">
        <f t="shared" si="1"/>
        <v>ADSO2 IAUS Curncy</v>
      </c>
      <c r="H25" s="321"/>
      <c r="I25" s="317" t="str">
        <f>IF(ISBLANK(H25),Settings.CurveSide.MidBidAsk,'AUD CURVE TICKERS'!H25)</f>
        <v>PX_MID</v>
      </c>
      <c r="J25" s="326">
        <f>IF(Settings.isCOBToday,_xll.BDP(G25,'AUD CURVE TICKERS'!I25),_xll.BDH(G25,'AUD CURVE TICKERS'!I25,Settings.COB,Settings.COB))</f>
        <v>1.675</v>
      </c>
      <c r="L25" s="318" t="s">
        <v>182</v>
      </c>
      <c r="M25" s="328" t="s">
        <v>451</v>
      </c>
      <c r="N25" s="320"/>
      <c r="O25" s="317" t="str">
        <f t="shared" si="2"/>
        <v>IAUS</v>
      </c>
      <c r="P25" s="319" t="s">
        <v>411</v>
      </c>
      <c r="Q25" s="317" t="str">
        <f t="shared" si="3"/>
        <v>ADBBCO15 IAUS Curncy</v>
      </c>
      <c r="R25" s="321"/>
      <c r="S25" s="317" t="str">
        <f>IF(ISBLANK(R25),Settings.CurveSide.MidBidAsk,'AUD CURVE TICKERS'!R25)</f>
        <v>PX_MID</v>
      </c>
      <c r="T25" s="326">
        <f>IF(Settings.isCOBToday,_xll.BDP(Q25,'AUD CURVE TICKERS'!S25),_xll.BDH(Q25,'AUD CURVE TICKERS'!S25,Settings.COB,Settings.COB))</f>
        <v>42</v>
      </c>
    </row>
    <row r="26" spans="2:31" hidden="1" outlineLevel="1">
      <c r="B26" s="318" t="s">
        <v>173</v>
      </c>
      <c r="C26" s="318" t="s">
        <v>423</v>
      </c>
      <c r="D26" s="320"/>
      <c r="E26" s="317" t="str">
        <f t="shared" si="0"/>
        <v>IAUS</v>
      </c>
      <c r="F26" s="319" t="s">
        <v>411</v>
      </c>
      <c r="G26" s="317" t="str">
        <f t="shared" si="1"/>
        <v>ADSO3 IAUS Curncy</v>
      </c>
      <c r="H26" s="321"/>
      <c r="I26" s="317" t="str">
        <f>IF(ISBLANK(H26),Settings.CurveSide.MidBidAsk,'AUD CURVE TICKERS'!H26)</f>
        <v>PX_MID</v>
      </c>
      <c r="J26" s="326">
        <f>IF(Settings.isCOBToday,_xll.BDP(G26,'AUD CURVE TICKERS'!I26),_xll.BDH(G26,'AUD CURVE TICKERS'!I26,Settings.COB,Settings.COB))</f>
        <v>1.7849999999999999</v>
      </c>
      <c r="L26" s="318" t="s">
        <v>183</v>
      </c>
      <c r="M26" s="328" t="s">
        <v>452</v>
      </c>
      <c r="N26" s="320"/>
      <c r="O26" s="317" t="str">
        <f t="shared" si="2"/>
        <v>IAUS</v>
      </c>
      <c r="P26" s="319" t="s">
        <v>411</v>
      </c>
      <c r="Q26" s="317" t="str">
        <f t="shared" si="3"/>
        <v>ADBBCO20 IAUS Curncy</v>
      </c>
      <c r="R26" s="321"/>
      <c r="S26" s="317" t="str">
        <f>IF(ISBLANK(R26),Settings.CurveSide.MidBidAsk,'AUD CURVE TICKERS'!R26)</f>
        <v>PX_MID</v>
      </c>
      <c r="T26" s="326">
        <f>IF(Settings.isCOBToday,_xll.BDP(Q26,'AUD CURVE TICKERS'!S26),_xll.BDH(Q26,'AUD CURVE TICKERS'!S26,Settings.COB,Settings.COB))</f>
        <v>42.25</v>
      </c>
    </row>
    <row r="27" spans="2:31" hidden="1" outlineLevel="1">
      <c r="B27" s="318" t="s">
        <v>174</v>
      </c>
      <c r="C27" s="318" t="s">
        <v>424</v>
      </c>
      <c r="D27" s="320"/>
      <c r="E27" s="317" t="str">
        <f t="shared" si="0"/>
        <v>IAUS</v>
      </c>
      <c r="F27" s="319" t="s">
        <v>411</v>
      </c>
      <c r="G27" s="317" t="str">
        <f t="shared" si="1"/>
        <v>ADSO4 IAUS Curncy</v>
      </c>
      <c r="H27" s="321"/>
      <c r="I27" s="317" t="str">
        <f>IF(ISBLANK(H27),Settings.CurveSide.MidBidAsk,'AUD CURVE TICKERS'!H27)</f>
        <v>PX_MID</v>
      </c>
      <c r="J27" s="326">
        <f>IF(Settings.isCOBToday,_xll.BDP(G27,'AUD CURVE TICKERS'!I27),_xll.BDH(G27,'AUD CURVE TICKERS'!I27,Settings.COB,Settings.COB))</f>
        <v>1.883</v>
      </c>
      <c r="L27" s="318" t="s">
        <v>184</v>
      </c>
      <c r="M27" s="328" t="s">
        <v>453</v>
      </c>
      <c r="N27" s="320"/>
      <c r="O27" s="317" t="str">
        <f t="shared" si="2"/>
        <v>IAUS</v>
      </c>
      <c r="P27" s="319" t="s">
        <v>411</v>
      </c>
      <c r="Q27" s="317" t="str">
        <f t="shared" si="3"/>
        <v>ADBBCO25 IAUS Curncy</v>
      </c>
      <c r="R27" s="321"/>
      <c r="S27" s="317" t="str">
        <f>IF(ISBLANK(R27),Settings.CurveSide.MidBidAsk,'AUD CURVE TICKERS'!R27)</f>
        <v>PX_MID</v>
      </c>
      <c r="T27" s="326">
        <f>IF(Settings.isCOBToday,_xll.BDP(Q27,'AUD CURVE TICKERS'!S27),_xll.BDH(Q27,'AUD CURVE TICKERS'!S27,Settings.COB,Settings.COB))</f>
        <v>42.625</v>
      </c>
    </row>
    <row r="28" spans="2:31" hidden="1" outlineLevel="1">
      <c r="B28" s="318" t="s">
        <v>175</v>
      </c>
      <c r="C28" s="318" t="s">
        <v>425</v>
      </c>
      <c r="D28" s="320"/>
      <c r="E28" s="317" t="str">
        <f t="shared" si="0"/>
        <v>IAUS</v>
      </c>
      <c r="F28" s="319" t="s">
        <v>411</v>
      </c>
      <c r="G28" s="317" t="str">
        <f t="shared" si="1"/>
        <v>ADSO5 IAUS Curncy</v>
      </c>
      <c r="H28" s="321"/>
      <c r="I28" s="317" t="str">
        <f>IF(ISBLANK(H28),Settings.CurveSide.MidBidAsk,'AUD CURVE TICKERS'!H28)</f>
        <v>PX_MID</v>
      </c>
      <c r="J28" s="326">
        <f>IF(Settings.isCOBToday,_xll.BDP(G28,'AUD CURVE TICKERS'!I28),_xll.BDH(G28,'AUD CURVE TICKERS'!I28,Settings.COB,Settings.COB))</f>
        <v>1.978</v>
      </c>
      <c r="L28" s="318" t="s">
        <v>185</v>
      </c>
      <c r="M28" s="328" t="s">
        <v>454</v>
      </c>
      <c r="N28" s="320"/>
      <c r="O28" s="317" t="str">
        <f t="shared" si="2"/>
        <v>IAUS</v>
      </c>
      <c r="P28" s="319" t="s">
        <v>411</v>
      </c>
      <c r="Q28" s="317" t="str">
        <f t="shared" si="3"/>
        <v>ADBBCO30 IAUS Curncy</v>
      </c>
      <c r="R28" s="321"/>
      <c r="S28" s="317" t="str">
        <f>IF(ISBLANK(R28),Settings.CurveSide.MidBidAsk,'AUD CURVE TICKERS'!R28)</f>
        <v>PX_MID</v>
      </c>
      <c r="T28" s="326">
        <f>IF(Settings.isCOBToday,_xll.BDP(Q28,'AUD CURVE TICKERS'!S28),_xll.BDH(Q28,'AUD CURVE TICKERS'!S28,Settings.COB,Settings.COB))</f>
        <v>43</v>
      </c>
    </row>
    <row r="29" spans="2:31" hidden="1" outlineLevel="1">
      <c r="B29" s="318" t="s">
        <v>176</v>
      </c>
      <c r="C29" s="318" t="s">
        <v>426</v>
      </c>
      <c r="D29" s="320"/>
      <c r="E29" s="317" t="str">
        <f t="shared" si="0"/>
        <v>IAUS</v>
      </c>
      <c r="F29" s="319" t="s">
        <v>411</v>
      </c>
      <c r="G29" s="317" t="str">
        <f t="shared" si="1"/>
        <v>ADSO6 IAUS Curncy</v>
      </c>
      <c r="H29" s="321"/>
      <c r="I29" s="317" t="str">
        <f>IF(ISBLANK(H29),Settings.CurveSide.MidBidAsk,'AUD CURVE TICKERS'!H29)</f>
        <v>PX_MID</v>
      </c>
      <c r="J29" s="326">
        <f>IF(Settings.isCOBToday,_xll.BDP(G29,'AUD CURVE TICKERS'!I29),_xll.BDH(G29,'AUD CURVE TICKERS'!I29,Settings.COB,Settings.COB))</f>
        <v>2.0630000000000002</v>
      </c>
      <c r="L29" s="318"/>
      <c r="M29" s="328"/>
      <c r="N29" s="320"/>
      <c r="O29" s="317"/>
      <c r="P29" s="319"/>
      <c r="Q29" s="317"/>
      <c r="R29" s="321"/>
      <c r="S29" s="317"/>
      <c r="T29" s="326"/>
      <c r="U29" s="306"/>
      <c r="AE29" s="306"/>
    </row>
    <row r="30" spans="2:31" hidden="1" outlineLevel="1">
      <c r="B30" s="318" t="s">
        <v>177</v>
      </c>
      <c r="C30" s="318" t="s">
        <v>427</v>
      </c>
      <c r="D30" s="320"/>
      <c r="E30" s="317" t="str">
        <f t="shared" si="0"/>
        <v>IAUS</v>
      </c>
      <c r="F30" s="319" t="s">
        <v>411</v>
      </c>
      <c r="G30" s="317" t="str">
        <f t="shared" si="1"/>
        <v>ADSO7 IAUS Curncy</v>
      </c>
      <c r="H30" s="321"/>
      <c r="I30" s="317" t="str">
        <f>IF(ISBLANK(H30),Settings.CurveSide.MidBidAsk,'AUD CURVE TICKERS'!H30)</f>
        <v>PX_MID</v>
      </c>
      <c r="J30" s="326">
        <f>IF(Settings.isCOBToday,_xll.BDP(G30,'AUD CURVE TICKERS'!I30),_xll.BDH(G30,'AUD CURVE TICKERS'!I30,Settings.COB,Settings.COB))</f>
        <v>2.1480000000000001</v>
      </c>
      <c r="L30" s="318"/>
      <c r="M30" s="328"/>
      <c r="N30" s="320"/>
      <c r="O30" s="317"/>
      <c r="P30" s="319"/>
      <c r="Q30" s="317"/>
      <c r="R30" s="321"/>
      <c r="S30" s="317"/>
      <c r="T30" s="326"/>
      <c r="U30" s="306"/>
      <c r="AE30" s="306"/>
    </row>
    <row r="31" spans="2:31" hidden="1" outlineLevel="1">
      <c r="B31" s="318" t="s">
        <v>178</v>
      </c>
      <c r="C31" s="318" t="s">
        <v>428</v>
      </c>
      <c r="D31" s="320"/>
      <c r="E31" s="317" t="str">
        <f t="shared" si="0"/>
        <v>IAUS</v>
      </c>
      <c r="F31" s="319" t="s">
        <v>411</v>
      </c>
      <c r="G31" s="317" t="str">
        <f t="shared" si="1"/>
        <v>ADSO8 IAUS Curncy</v>
      </c>
      <c r="H31" s="321"/>
      <c r="I31" s="317" t="str">
        <f>IF(ISBLANK(H31),Settings.CurveSide.MidBidAsk,'AUD CURVE TICKERS'!H31)</f>
        <v>PX_MID</v>
      </c>
      <c r="J31" s="326">
        <f>IF(Settings.isCOBToday,_xll.BDP(G31,'AUD CURVE TICKERS'!I31),_xll.BDH(G31,'AUD CURVE TICKERS'!I31,Settings.COB,Settings.COB))</f>
        <v>2.2149999999999999</v>
      </c>
      <c r="L31" s="318"/>
      <c r="M31" s="328"/>
      <c r="N31" s="320"/>
      <c r="O31" s="317"/>
      <c r="P31" s="319"/>
      <c r="Q31" s="317"/>
      <c r="R31" s="321"/>
      <c r="S31" s="317"/>
      <c r="T31" s="326"/>
      <c r="U31" s="306"/>
      <c r="AE31" s="306"/>
    </row>
    <row r="32" spans="2:31" hidden="1" outlineLevel="1">
      <c r="B32" s="318" t="s">
        <v>179</v>
      </c>
      <c r="C32" s="318" t="s">
        <v>429</v>
      </c>
      <c r="D32" s="320"/>
      <c r="E32" s="317" t="str">
        <f t="shared" si="0"/>
        <v>IAUS</v>
      </c>
      <c r="F32" s="319" t="s">
        <v>411</v>
      </c>
      <c r="G32" s="317" t="str">
        <f t="shared" si="1"/>
        <v>ADSO9 IAUS Curncy</v>
      </c>
      <c r="H32" s="321"/>
      <c r="I32" s="317" t="str">
        <f>IF(ISBLANK(H32),Settings.CurveSide.MidBidAsk,'AUD CURVE TICKERS'!H32)</f>
        <v>PX_MID</v>
      </c>
      <c r="J32" s="326">
        <f>IF(Settings.isCOBToday,_xll.BDP(G32,'AUD CURVE TICKERS'!I32),_xll.BDH(G32,'AUD CURVE TICKERS'!I32,Settings.COB,Settings.COB))</f>
        <v>2.2799999999999998</v>
      </c>
      <c r="L32" s="318"/>
      <c r="M32" s="328"/>
      <c r="N32" s="320"/>
      <c r="O32" s="317"/>
      <c r="P32" s="319"/>
      <c r="Q32" s="317"/>
      <c r="R32" s="321"/>
      <c r="S32" s="317"/>
      <c r="T32" s="326"/>
      <c r="U32" s="306"/>
      <c r="AE32" s="306"/>
    </row>
    <row r="33" spans="1:43" hidden="1" outlineLevel="1">
      <c r="B33" s="318" t="s">
        <v>181</v>
      </c>
      <c r="C33" s="318" t="s">
        <v>430</v>
      </c>
      <c r="D33" s="320"/>
      <c r="E33" s="317" t="str">
        <f t="shared" si="0"/>
        <v>IAUS</v>
      </c>
      <c r="F33" s="319" t="s">
        <v>411</v>
      </c>
      <c r="G33" s="317" t="str">
        <f t="shared" si="1"/>
        <v>ADSO10 IAUS Curncy</v>
      </c>
      <c r="H33" s="321"/>
      <c r="I33" s="317" t="str">
        <f>IF(ISBLANK(H33),Settings.CurveSide.MidBidAsk,'AUD CURVE TICKERS'!H33)</f>
        <v>PX_MID</v>
      </c>
      <c r="J33" s="326">
        <f>IF(Settings.isCOBToday,_xll.BDP(G33,'AUD CURVE TICKERS'!I33),_xll.BDH(G33,'AUD CURVE TICKERS'!I33,Settings.COB,Settings.COB))</f>
        <v>2.3479999999999999</v>
      </c>
      <c r="L33" s="318"/>
      <c r="M33" s="328"/>
      <c r="N33" s="320"/>
      <c r="O33" s="317"/>
      <c r="P33" s="319"/>
      <c r="Q33" s="317"/>
      <c r="R33" s="321"/>
      <c r="S33" s="317"/>
      <c r="T33" s="326"/>
      <c r="U33" s="306"/>
      <c r="AE33" s="306"/>
    </row>
    <row r="34" spans="1:43" hidden="1" outlineLevel="1">
      <c r="B34" s="318" t="s">
        <v>182</v>
      </c>
      <c r="C34" s="318" t="s">
        <v>431</v>
      </c>
      <c r="D34" s="320"/>
      <c r="E34" s="317" t="str">
        <f t="shared" si="0"/>
        <v>IAUS</v>
      </c>
      <c r="F34" s="319" t="s">
        <v>411</v>
      </c>
      <c r="G34" s="317" t="str">
        <f t="shared" si="1"/>
        <v>ADSO15 IAUS Curncy</v>
      </c>
      <c r="H34" s="321"/>
      <c r="I34" s="317" t="str">
        <f>IF(ISBLANK(H34),Settings.CurveSide.MidBidAsk,'AUD CURVE TICKERS'!H34)</f>
        <v>PX_MID</v>
      </c>
      <c r="J34" s="326">
        <f>IF(Settings.isCOBToday,_xll.BDP(G34,'AUD CURVE TICKERS'!I34),_xll.BDH(G34,'AUD CURVE TICKERS'!I34,Settings.COB,Settings.COB))</f>
        <v>2.548</v>
      </c>
      <c r="L34" s="318"/>
      <c r="M34" s="328"/>
      <c r="N34" s="320"/>
      <c r="O34" s="317"/>
      <c r="P34" s="319"/>
      <c r="Q34" s="317"/>
      <c r="R34" s="321"/>
      <c r="S34" s="317"/>
      <c r="T34" s="326"/>
      <c r="U34" s="306"/>
      <c r="AE34" s="306"/>
    </row>
    <row r="35" spans="1:43" hidden="1" outlineLevel="1">
      <c r="B35" s="318" t="s">
        <v>183</v>
      </c>
      <c r="C35" s="318" t="s">
        <v>432</v>
      </c>
      <c r="D35" s="320"/>
      <c r="E35" s="317" t="str">
        <f t="shared" si="0"/>
        <v>IAUS</v>
      </c>
      <c r="F35" s="319" t="s">
        <v>411</v>
      </c>
      <c r="G35" s="317" t="str">
        <f t="shared" si="1"/>
        <v>ADSO20 IAUS Curncy</v>
      </c>
      <c r="H35" s="321"/>
      <c r="I35" s="317" t="str">
        <f>IF(ISBLANK(H35),Settings.CurveSide.MidBidAsk,'AUD CURVE TICKERS'!H35)</f>
        <v>PX_MID</v>
      </c>
      <c r="J35" s="326">
        <f>IF(Settings.isCOBToday,_xll.BDP(G35,'AUD CURVE TICKERS'!I35),_xll.BDH(G35,'AUD CURVE TICKERS'!I35,Settings.COB,Settings.COB))</f>
        <v>2.6150000000000002</v>
      </c>
      <c r="L35" s="318"/>
      <c r="M35" s="328"/>
      <c r="N35" s="320"/>
      <c r="O35" s="317"/>
      <c r="P35" s="319"/>
      <c r="Q35" s="317"/>
      <c r="R35" s="321"/>
      <c r="S35" s="317"/>
      <c r="T35" s="326"/>
      <c r="U35" s="306"/>
      <c r="AE35" s="306"/>
    </row>
    <row r="36" spans="1:43" hidden="1" outlineLevel="1">
      <c r="B36" s="318" t="s">
        <v>184</v>
      </c>
      <c r="C36" s="318" t="s">
        <v>433</v>
      </c>
      <c r="D36" s="320"/>
      <c r="E36" s="317" t="str">
        <f t="shared" si="0"/>
        <v>IAUS</v>
      </c>
      <c r="F36" s="319" t="s">
        <v>411</v>
      </c>
      <c r="G36" s="317" t="str">
        <f t="shared" si="1"/>
        <v>ADSO25 IAUS Curncy</v>
      </c>
      <c r="H36" s="321"/>
      <c r="I36" s="317" t="str">
        <f>IF(ISBLANK(H36),Settings.CurveSide.MidBidAsk,'AUD CURVE TICKERS'!H36)</f>
        <v>PX_MID</v>
      </c>
      <c r="J36" s="326">
        <f>IF(Settings.isCOBToday,_xll.BDP(G36,'AUD CURVE TICKERS'!I36),_xll.BDH(G36,'AUD CURVE TICKERS'!I36,Settings.COB,Settings.COB))</f>
        <v>2.62</v>
      </c>
      <c r="L36" s="318"/>
      <c r="M36" s="328"/>
      <c r="N36" s="320"/>
      <c r="O36" s="317"/>
      <c r="P36" s="319"/>
      <c r="Q36" s="317"/>
      <c r="R36" s="321"/>
      <c r="S36" s="317"/>
      <c r="T36" s="326"/>
      <c r="U36" s="306"/>
      <c r="AE36" s="306"/>
    </row>
    <row r="37" spans="1:43" hidden="1" outlineLevel="1">
      <c r="B37" s="318" t="s">
        <v>185</v>
      </c>
      <c r="C37" s="318" t="s">
        <v>434</v>
      </c>
      <c r="D37" s="320"/>
      <c r="E37" s="317" t="str">
        <f t="shared" si="0"/>
        <v>IAUS</v>
      </c>
      <c r="F37" s="319" t="s">
        <v>411</v>
      </c>
      <c r="G37" s="317" t="str">
        <f t="shared" si="1"/>
        <v>ADSO30 IAUS Curncy</v>
      </c>
      <c r="H37" s="321"/>
      <c r="I37" s="317" t="str">
        <f>IF(ISBLANK(H37),Settings.CurveSide.MidBidAsk,'AUD CURVE TICKERS'!H37)</f>
        <v>PX_MID</v>
      </c>
      <c r="J37" s="326">
        <f>IF(Settings.isCOBToday,_xll.BDP(G37,'AUD CURVE TICKERS'!I37),_xll.BDH(G37,'AUD CURVE TICKERS'!I37,Settings.COB,Settings.COB))</f>
        <v>2.5830000000000002</v>
      </c>
      <c r="L37" s="318"/>
      <c r="M37" s="328"/>
      <c r="N37" s="320"/>
      <c r="O37" s="317"/>
      <c r="P37" s="319"/>
      <c r="Q37" s="317"/>
      <c r="R37" s="321"/>
      <c r="S37" s="317"/>
      <c r="T37" s="326"/>
      <c r="U37" s="306"/>
      <c r="AE37" s="306"/>
    </row>
    <row r="38" spans="1:43" hidden="1" outlineLevel="1">
      <c r="L38" s="318"/>
      <c r="M38" s="328"/>
      <c r="N38" s="320"/>
      <c r="O38" s="317"/>
      <c r="P38" s="319"/>
      <c r="Q38" s="317"/>
      <c r="R38" s="321"/>
      <c r="S38" s="317"/>
      <c r="T38" s="326"/>
      <c r="U38" s="306"/>
      <c r="AE38" s="306"/>
    </row>
    <row r="39" spans="1:43" hidden="1" outlineLevel="1">
      <c r="M39" s="306"/>
    </row>
    <row r="40" spans="1:43" collapsed="1">
      <c r="A40" s="376" t="s">
        <v>532</v>
      </c>
      <c r="M40" s="306"/>
    </row>
    <row r="41" spans="1:43" s="202" customFormat="1">
      <c r="B41" s="329"/>
      <c r="C41" s="329"/>
      <c r="D41" s="329"/>
      <c r="E41" s="329"/>
      <c r="F41" s="329"/>
      <c r="G41" s="329"/>
      <c r="H41" s="329"/>
      <c r="I41" s="329"/>
      <c r="J41" s="329"/>
      <c r="AG41" s="328"/>
    </row>
    <row r="42" spans="1:43" s="306" customFormat="1" hidden="1" outlineLevel="1">
      <c r="B42" s="331" t="s">
        <v>63</v>
      </c>
      <c r="C42" s="331" t="s">
        <v>63</v>
      </c>
      <c r="D42" s="331" t="s">
        <v>63</v>
      </c>
      <c r="E42" s="331" t="s">
        <v>63</v>
      </c>
      <c r="F42" s="331" t="s">
        <v>63</v>
      </c>
      <c r="G42" s="331" t="s">
        <v>63</v>
      </c>
      <c r="H42" s="331" t="s">
        <v>63</v>
      </c>
      <c r="I42" s="331" t="s">
        <v>63</v>
      </c>
      <c r="J42" s="331" t="s">
        <v>63</v>
      </c>
      <c r="K42" s="330" t="s">
        <v>63</v>
      </c>
      <c r="L42" s="330" t="s">
        <v>63</v>
      </c>
      <c r="M42" s="330" t="s">
        <v>63</v>
      </c>
      <c r="N42" s="330" t="s">
        <v>63</v>
      </c>
      <c r="O42" s="330" t="s">
        <v>63</v>
      </c>
      <c r="P42" s="330" t="s">
        <v>63</v>
      </c>
      <c r="Q42" s="330" t="s">
        <v>63</v>
      </c>
      <c r="R42" s="330" t="s">
        <v>63</v>
      </c>
      <c r="S42" s="330" t="s">
        <v>63</v>
      </c>
      <c r="T42" s="330" t="s">
        <v>63</v>
      </c>
      <c r="U42" s="330" t="s">
        <v>63</v>
      </c>
      <c r="V42" s="330" t="s">
        <v>63</v>
      </c>
      <c r="W42" s="330" t="s">
        <v>63</v>
      </c>
      <c r="X42" s="330" t="s">
        <v>63</v>
      </c>
      <c r="Y42" s="330" t="s">
        <v>63</v>
      </c>
      <c r="Z42" s="330" t="s">
        <v>63</v>
      </c>
      <c r="AA42" s="330" t="s">
        <v>63</v>
      </c>
      <c r="AB42" s="330" t="s">
        <v>63</v>
      </c>
      <c r="AC42" s="330" t="s">
        <v>63</v>
      </c>
      <c r="AD42" s="330" t="s">
        <v>63</v>
      </c>
      <c r="AE42" s="330" t="s">
        <v>63</v>
      </c>
      <c r="AF42" s="330" t="s">
        <v>63</v>
      </c>
      <c r="AG42" s="330" t="s">
        <v>63</v>
      </c>
      <c r="AH42" s="330" t="s">
        <v>63</v>
      </c>
      <c r="AI42" s="330" t="s">
        <v>63</v>
      </c>
      <c r="AJ42" s="330" t="s">
        <v>63</v>
      </c>
      <c r="AK42" s="330" t="s">
        <v>63</v>
      </c>
      <c r="AL42" s="330" t="s">
        <v>63</v>
      </c>
      <c r="AM42" s="330" t="s">
        <v>63</v>
      </c>
      <c r="AN42" s="330" t="s">
        <v>63</v>
      </c>
      <c r="AO42" s="330" t="s">
        <v>63</v>
      </c>
      <c r="AP42" s="330" t="s">
        <v>63</v>
      </c>
      <c r="AQ42" s="330" t="s">
        <v>63</v>
      </c>
    </row>
    <row r="43" spans="1:43" hidden="1" outlineLevel="1">
      <c r="B43" s="332" t="s">
        <v>278</v>
      </c>
      <c r="K43" s="306"/>
      <c r="L43" s="327" t="s">
        <v>280</v>
      </c>
      <c r="M43" s="306"/>
      <c r="N43" s="306"/>
      <c r="O43" s="306"/>
      <c r="P43" s="306"/>
      <c r="Q43" s="306"/>
      <c r="R43" s="306"/>
      <c r="S43" s="306"/>
      <c r="T43" s="306"/>
      <c r="V43" s="327" t="s">
        <v>504</v>
      </c>
      <c r="Y43" s="327" t="s">
        <v>202</v>
      </c>
      <c r="Z43" s="306"/>
      <c r="AA43" s="306"/>
      <c r="AB43" s="306"/>
      <c r="AC43" s="306"/>
      <c r="AD43" s="306"/>
      <c r="AE43" s="306"/>
      <c r="AF43" s="306"/>
      <c r="AG43" s="306"/>
      <c r="AI43" s="327" t="s">
        <v>285</v>
      </c>
      <c r="AJ43" s="306"/>
      <c r="AK43" s="306"/>
      <c r="AL43" s="306"/>
      <c r="AM43" s="306"/>
      <c r="AN43" s="306"/>
      <c r="AO43" s="306"/>
      <c r="AP43" s="306"/>
      <c r="AQ43" s="306"/>
    </row>
    <row r="44" spans="1:43" hidden="1" outlineLevel="1">
      <c r="B44" s="23" t="s">
        <v>203</v>
      </c>
      <c r="C44" s="23" t="s">
        <v>436</v>
      </c>
      <c r="D44" s="23" t="s">
        <v>408</v>
      </c>
      <c r="E44" s="23" t="s">
        <v>435</v>
      </c>
      <c r="F44" s="23" t="s">
        <v>409</v>
      </c>
      <c r="G44" s="23" t="s">
        <v>152</v>
      </c>
      <c r="H44" s="23" t="s">
        <v>440</v>
      </c>
      <c r="I44" s="23" t="s">
        <v>435</v>
      </c>
      <c r="J44" s="23" t="s">
        <v>439</v>
      </c>
      <c r="K44" s="306"/>
      <c r="L44" s="23" t="s">
        <v>203</v>
      </c>
      <c r="M44" s="23" t="s">
        <v>436</v>
      </c>
      <c r="N44" s="23" t="s">
        <v>408</v>
      </c>
      <c r="O44" s="23" t="s">
        <v>435</v>
      </c>
      <c r="P44" s="23" t="s">
        <v>409</v>
      </c>
      <c r="Q44" s="23" t="s">
        <v>152</v>
      </c>
      <c r="R44" s="23" t="s">
        <v>440</v>
      </c>
      <c r="S44" s="23" t="s">
        <v>435</v>
      </c>
      <c r="T44" s="23" t="s">
        <v>439</v>
      </c>
      <c r="V44" s="23" t="s">
        <v>204</v>
      </c>
      <c r="W44" s="23" t="s">
        <v>205</v>
      </c>
      <c r="Y44" s="23" t="s">
        <v>203</v>
      </c>
      <c r="Z44" s="23" t="s">
        <v>436</v>
      </c>
      <c r="AA44" s="23" t="s">
        <v>408</v>
      </c>
      <c r="AB44" s="23" t="s">
        <v>435</v>
      </c>
      <c r="AC44" s="23" t="s">
        <v>409</v>
      </c>
      <c r="AD44" s="23" t="s">
        <v>152</v>
      </c>
      <c r="AE44" s="23" t="s">
        <v>440</v>
      </c>
      <c r="AF44" s="23" t="s">
        <v>435</v>
      </c>
      <c r="AG44" s="23" t="s">
        <v>439</v>
      </c>
      <c r="AI44" s="23" t="s">
        <v>203</v>
      </c>
      <c r="AJ44" s="23" t="s">
        <v>436</v>
      </c>
      <c r="AK44" s="23" t="s">
        <v>408</v>
      </c>
      <c r="AL44" s="23" t="s">
        <v>435</v>
      </c>
      <c r="AM44" s="23" t="s">
        <v>409</v>
      </c>
      <c r="AN44" s="23" t="s">
        <v>152</v>
      </c>
      <c r="AO44" s="23" t="s">
        <v>440</v>
      </c>
      <c r="AP44" s="23" t="s">
        <v>435</v>
      </c>
      <c r="AQ44" s="23" t="s">
        <v>439</v>
      </c>
    </row>
    <row r="45" spans="1:43" hidden="1" outlineLevel="1">
      <c r="B45" s="318" t="s">
        <v>92</v>
      </c>
      <c r="C45" s="318" t="s">
        <v>492</v>
      </c>
      <c r="D45" s="320" t="s">
        <v>63</v>
      </c>
      <c r="E45" s="317" t="str">
        <f>IF(ISBLANK(D45),Settings.BloombergPCS,D45)</f>
        <v xml:space="preserve"> </v>
      </c>
      <c r="F45" s="319" t="s">
        <v>411</v>
      </c>
      <c r="G45" s="317" t="str">
        <f>C45&amp;" "&amp;E45&amp;" "&amp;F45</f>
        <v>ADBB1M   Curncy</v>
      </c>
      <c r="H45" s="321" t="s">
        <v>122</v>
      </c>
      <c r="I45" s="317" t="str">
        <f>IF(ISBLANK(H45),Settings.CurveSide.MidBidAsk,'AUD CURVE TICKERS'!H45)</f>
        <v>PX_ASK</v>
      </c>
      <c r="J45" s="326">
        <f>IF(Settings.isCOBToday,_xll.BDP(G45,'AUD CURVE TICKERS'!I45),_xll.BDH(G45,'AUD CURVE TICKERS'!I45,Settings.COB,Settings.COB))</f>
        <v>1.86</v>
      </c>
      <c r="K45" s="306"/>
      <c r="L45" s="318" t="s">
        <v>496</v>
      </c>
      <c r="M45" s="328" t="s">
        <v>496</v>
      </c>
      <c r="N45" s="320" t="s">
        <v>63</v>
      </c>
      <c r="O45" s="317" t="str">
        <f t="shared" ref="O45:O50" si="4">IF(ISBLANK(N45),Settings.BloombergPCS,N45)</f>
        <v xml:space="preserve"> </v>
      </c>
      <c r="P45" s="319" t="s">
        <v>495</v>
      </c>
      <c r="Q45" s="317" t="str">
        <f>M45&amp;" "&amp;O45&amp;" "&amp;P45</f>
        <v>IR1   Comdty</v>
      </c>
      <c r="R45" s="321"/>
      <c r="S45" s="317" t="str">
        <f>IF(ISBLANK(R45),Settings.CurveSide.MidBidAsk,'AUD CURVE TICKERS'!R45)</f>
        <v>PX_MID</v>
      </c>
      <c r="T45" s="326">
        <f>IF(Settings.isCOBToday,_xll.BDP(Q45,'AUD CURVE TICKERS'!S45),_xll.BDH(Q45,'AUD CURVE TICKERS'!S45,Settings.COB,Settings.COB))</f>
        <v>98.025000000000006</v>
      </c>
      <c r="V45" s="326" t="str">
        <f>IF(Settings.isCOBToday,_xll.BDP(Q45,$V$52),_xll.BDH(Q45,$V$52,Settings.COB,Settings.COB))</f>
        <v>14/12/2018</v>
      </c>
      <c r="W45" s="326" t="str">
        <f>IF(Settings.isCOBToday,_xll.BDP(Q45,$V$53),_xll.BDH(Q45,$V$53,Settings.COB,Settings.COB))</f>
        <v>08/03/2019</v>
      </c>
      <c r="Y45" s="318" t="s">
        <v>187</v>
      </c>
      <c r="Z45" s="328" t="s">
        <v>470</v>
      </c>
      <c r="AA45" s="320"/>
      <c r="AB45" s="317" t="str">
        <f t="shared" ref="AB45:AB58" si="5">IF(ISBLANK(AA45),Settings.BloombergPCS,AA45)</f>
        <v>IAUS</v>
      </c>
      <c r="AC45" s="319" t="s">
        <v>411</v>
      </c>
      <c r="AD45" s="317" t="str">
        <f>Z45&amp;" "&amp;AB45&amp;" "&amp;AC45</f>
        <v>ADSW1Q IAUS Curncy</v>
      </c>
      <c r="AE45" s="321"/>
      <c r="AF45" s="317" t="str">
        <f>IF(ISBLANK(AE45),Settings.CurveSide.MidBidAsk,'AUD CURVE TICKERS'!AE45)</f>
        <v>PX_MID</v>
      </c>
      <c r="AG45" s="326">
        <f>IF(Settings.isCOBToday,_xll.BDP(AD45,'AUD CURVE TICKERS'!AF45),_xll.BDH(AD45,'AUD CURVE TICKERS'!AF45,Settings.COB,Settings.COB))</f>
        <v>1.9775</v>
      </c>
      <c r="AI45" s="318" t="s">
        <v>187</v>
      </c>
      <c r="AJ45" s="328" t="s">
        <v>455</v>
      </c>
      <c r="AK45" s="320"/>
      <c r="AL45" s="317" t="str">
        <f t="shared" ref="AL45:AL58" si="6">IF(ISBLANK(AK45),Settings.BloombergPCS,AK45)</f>
        <v>IAUS</v>
      </c>
      <c r="AM45" s="319" t="s">
        <v>411</v>
      </c>
      <c r="AN45" s="317" t="str">
        <f>AJ45&amp;" "&amp;AL45&amp;" "&amp;AM45</f>
        <v>ADBBCF1 IAUS Curncy</v>
      </c>
      <c r="AO45" s="321"/>
      <c r="AP45" s="317" t="str">
        <f>IF(ISBLANK(AO45),Settings.CurveSide.MidBidAsk,'AUD CURVE TICKERS'!AO45)</f>
        <v>PX_MID</v>
      </c>
      <c r="AQ45" s="326">
        <f>IF(Settings.isCOBToday,_xll.BDP(AN45,'AUD CURVE TICKERS'!AP45),_xll.BDH(AN45,'AUD CURVE TICKERS'!AP45,Settings.COB,Settings.COB))</f>
        <v>16.125</v>
      </c>
    </row>
    <row r="46" spans="1:43" hidden="1" outlineLevel="1">
      <c r="B46" s="318" t="s">
        <v>94</v>
      </c>
      <c r="C46" s="318" t="s">
        <v>493</v>
      </c>
      <c r="D46" s="320" t="s">
        <v>63</v>
      </c>
      <c r="E46" s="317" t="str">
        <f>IF(ISBLANK(D46),Settings.BloombergPCS,D46)</f>
        <v xml:space="preserve"> </v>
      </c>
      <c r="F46" s="319" t="s">
        <v>411</v>
      </c>
      <c r="G46" s="317" t="str">
        <f>C46&amp;" "&amp;E46&amp;" "&amp;F46</f>
        <v>ADBB3M   Curncy</v>
      </c>
      <c r="H46" s="321" t="s">
        <v>122</v>
      </c>
      <c r="I46" s="317" t="str">
        <f>IF(ISBLANK(H46),Settings.CurveSide.MidBidAsk,'AUD CURVE TICKERS'!H46)</f>
        <v>PX_ASK</v>
      </c>
      <c r="J46" s="326">
        <f>IF(Settings.isCOBToday,_xll.BDP(G46,'AUD CURVE TICKERS'!I46),_xll.BDH(G46,'AUD CURVE TICKERS'!I46,Settings.COB,Settings.COB))</f>
        <v>1.93</v>
      </c>
      <c r="K46" s="306"/>
      <c r="L46" s="318" t="s">
        <v>497</v>
      </c>
      <c r="M46" s="328" t="s">
        <v>497</v>
      </c>
      <c r="N46" s="320" t="s">
        <v>63</v>
      </c>
      <c r="O46" s="317" t="str">
        <f t="shared" si="4"/>
        <v xml:space="preserve"> </v>
      </c>
      <c r="P46" s="319" t="s">
        <v>495</v>
      </c>
      <c r="Q46" s="317" t="str">
        <f t="shared" ref="Q46:Q50" si="7">M46&amp;" "&amp;O46&amp;" "&amp;P46</f>
        <v>IR2   Comdty</v>
      </c>
      <c r="R46" s="321"/>
      <c r="S46" s="317" t="str">
        <f>IF(ISBLANK(R46),Settings.CurveSide.MidBidAsk,'AUD CURVE TICKERS'!R46)</f>
        <v>PX_MID</v>
      </c>
      <c r="T46" s="326">
        <f>IF(Settings.isCOBToday,_xll.BDP(Q46,'AUD CURVE TICKERS'!S46),_xll.BDH(Q46,'AUD CURVE TICKERS'!S46,Settings.COB,Settings.COB))</f>
        <v>98.045000000000002</v>
      </c>
      <c r="V46" s="326" t="str">
        <f>IF(Settings.isCOBToday,_xll.BDP(Q46,$V$52),_xll.BDH(Q46,$V$52,Settings.COB,Settings.COB))</f>
        <v>08/03/2019</v>
      </c>
      <c r="W46" s="317" t="str">
        <f>IF(Settings.isCOBToday,_xll.BDP(Q46,$V$53),_xll.BDH(Q46,$V$53,Settings.COB,Settings.COB))</f>
        <v>14/06/2019</v>
      </c>
      <c r="Y46" s="318" t="s">
        <v>172</v>
      </c>
      <c r="Z46" s="328" t="s">
        <v>471</v>
      </c>
      <c r="AA46" s="320"/>
      <c r="AB46" s="317" t="str">
        <f t="shared" si="5"/>
        <v>IAUS</v>
      </c>
      <c r="AC46" s="319" t="s">
        <v>411</v>
      </c>
      <c r="AD46" s="317" t="str">
        <f t="shared" ref="AD46:AD58" si="8">Z46&amp;" "&amp;AB46&amp;" "&amp;AC46</f>
        <v>ADSW2Q IAUS Curncy</v>
      </c>
      <c r="AE46" s="321"/>
      <c r="AF46" s="317" t="str">
        <f>IF(ISBLANK(AE46),Settings.CurveSide.MidBidAsk,'AUD CURVE TICKERS'!AE46)</f>
        <v>PX_MID</v>
      </c>
      <c r="AG46" s="326">
        <f>IF(Settings.isCOBToday,_xll.BDP(AD46,'AUD CURVE TICKERS'!AF46),_xll.BDH(AD46,'AUD CURVE TICKERS'!AF46,Settings.COB,Settings.COB))</f>
        <v>2.0862500000000002</v>
      </c>
      <c r="AI46" s="318" t="s">
        <v>172</v>
      </c>
      <c r="AJ46" s="328" t="s">
        <v>456</v>
      </c>
      <c r="AK46" s="320"/>
      <c r="AL46" s="317" t="str">
        <f t="shared" si="6"/>
        <v>IAUS</v>
      </c>
      <c r="AM46" s="319" t="s">
        <v>411</v>
      </c>
      <c r="AN46" s="317" t="str">
        <f t="shared" ref="AN46:AN58" si="9">AJ46&amp;" "&amp;AL46&amp;" "&amp;AM46</f>
        <v>ADBBCF2 IAUS Curncy</v>
      </c>
      <c r="AO46" s="321"/>
      <c r="AP46" s="317" t="str">
        <f>IF(ISBLANK(AO46),Settings.CurveSide.MidBidAsk,'AUD CURVE TICKERS'!AO46)</f>
        <v>PX_MID</v>
      </c>
      <c r="AQ46" s="326">
        <f>IF(Settings.isCOBToday,_xll.BDP(AN46,'AUD CURVE TICKERS'!AP46),_xll.BDH(AN46,'AUD CURVE TICKERS'!AP46,Settings.COB,Settings.COB))</f>
        <v>15.625</v>
      </c>
    </row>
    <row r="47" spans="1:43" hidden="1" outlineLevel="1">
      <c r="B47" s="318" t="s">
        <v>95</v>
      </c>
      <c r="C47" s="318" t="s">
        <v>494</v>
      </c>
      <c r="D47" s="320" t="s">
        <v>63</v>
      </c>
      <c r="E47" s="317" t="str">
        <f>IF(ISBLANK(D47),Settings.BloombergPCS,D47)</f>
        <v xml:space="preserve"> </v>
      </c>
      <c r="F47" s="319" t="s">
        <v>411</v>
      </c>
      <c r="G47" s="317" t="str">
        <f>C47&amp;" "&amp;E47&amp;" "&amp;F47</f>
        <v>ADBB6M   Curncy</v>
      </c>
      <c r="H47" s="321" t="s">
        <v>122</v>
      </c>
      <c r="I47" s="317" t="str">
        <f>IF(ISBLANK(H47),Settings.CurveSide.MidBidAsk,'AUD CURVE TICKERS'!H47)</f>
        <v>PX_ASK</v>
      </c>
      <c r="J47" s="326">
        <f>IF(Settings.isCOBToday,_xll.BDP(G47,'AUD CURVE TICKERS'!I47),_xll.BDH(G47,'AUD CURVE TICKERS'!I47,Settings.COB,Settings.COB))</f>
        <v>2.11</v>
      </c>
      <c r="K47" s="306"/>
      <c r="L47" s="318" t="s">
        <v>498</v>
      </c>
      <c r="M47" s="328" t="s">
        <v>498</v>
      </c>
      <c r="N47" s="320" t="s">
        <v>63</v>
      </c>
      <c r="O47" s="317" t="str">
        <f t="shared" si="4"/>
        <v xml:space="preserve"> </v>
      </c>
      <c r="P47" s="319" t="s">
        <v>495</v>
      </c>
      <c r="Q47" s="317" t="str">
        <f t="shared" si="7"/>
        <v>IR3   Comdty</v>
      </c>
      <c r="R47" s="321"/>
      <c r="S47" s="317" t="str">
        <f>IF(ISBLANK(R47),Settings.CurveSide.MidBidAsk,'AUD CURVE TICKERS'!R47)</f>
        <v>PX_MID</v>
      </c>
      <c r="T47" s="326">
        <f>IF(Settings.isCOBToday,_xll.BDP(Q47,'AUD CURVE TICKERS'!S47),_xll.BDH(Q47,'AUD CURVE TICKERS'!S47,Settings.COB,Settings.COB))</f>
        <v>98.004999999999995</v>
      </c>
      <c r="V47" s="326" t="str">
        <f>IF(Settings.isCOBToday,_xll.BDP(Q47,$V$52),_xll.BDH(Q47,$V$52,Settings.COB,Settings.COB))</f>
        <v>14/06/2019</v>
      </c>
      <c r="W47" s="317" t="str">
        <f>IF(Settings.isCOBToday,_xll.BDP(Q47,$V$53),_xll.BDH(Q47,$V$53,Settings.COB,Settings.COB))</f>
        <v>13/09/2019</v>
      </c>
      <c r="Y47" s="318" t="s">
        <v>173</v>
      </c>
      <c r="Z47" s="328" t="s">
        <v>472</v>
      </c>
      <c r="AA47" s="320"/>
      <c r="AB47" s="317" t="str">
        <f t="shared" si="5"/>
        <v>IAUS</v>
      </c>
      <c r="AC47" s="319" t="s">
        <v>411</v>
      </c>
      <c r="AD47" s="317" t="str">
        <f t="shared" si="8"/>
        <v>ADSW3Q IAUS Curncy</v>
      </c>
      <c r="AE47" s="321"/>
      <c r="AF47" s="317" t="str">
        <f>IF(ISBLANK(AE47),Settings.CurveSide.MidBidAsk,'AUD CURVE TICKERS'!AE47)</f>
        <v>PX_MID</v>
      </c>
      <c r="AG47" s="326">
        <f>IF(Settings.isCOBToday,_xll.BDP(AD47,'AUD CURVE TICKERS'!AF47),_xll.BDH(AD47,'AUD CURVE TICKERS'!AF47,Settings.COB,Settings.COB))</f>
        <v>2.1887500000000002</v>
      </c>
      <c r="AI47" s="318" t="s">
        <v>173</v>
      </c>
      <c r="AJ47" s="328" t="s">
        <v>457</v>
      </c>
      <c r="AK47" s="320"/>
      <c r="AL47" s="317" t="str">
        <f t="shared" si="6"/>
        <v>IAUS</v>
      </c>
      <c r="AM47" s="319" t="s">
        <v>411</v>
      </c>
      <c r="AN47" s="317" t="str">
        <f t="shared" si="9"/>
        <v>ADBBCF3 IAUS Curncy</v>
      </c>
      <c r="AO47" s="321"/>
      <c r="AP47" s="317" t="str">
        <f>IF(ISBLANK(AO47),Settings.CurveSide.MidBidAsk,'AUD CURVE TICKERS'!AO47)</f>
        <v>PX_MID</v>
      </c>
      <c r="AQ47" s="326">
        <f>IF(Settings.isCOBToday,_xll.BDP(AN47,'AUD CURVE TICKERS'!AP47),_xll.BDH(AN47,'AUD CURVE TICKERS'!AP47,Settings.COB,Settings.COB))</f>
        <v>15.125</v>
      </c>
    </row>
    <row r="48" spans="1:43" hidden="1" outlineLevel="1">
      <c r="B48" s="318"/>
      <c r="C48" s="318"/>
      <c r="D48" s="320"/>
      <c r="E48" s="317"/>
      <c r="F48" s="319"/>
      <c r="G48" s="317"/>
      <c r="H48" s="321"/>
      <c r="I48" s="317"/>
      <c r="J48" s="326"/>
      <c r="K48" s="306"/>
      <c r="L48" s="318" t="s">
        <v>499</v>
      </c>
      <c r="M48" s="328" t="s">
        <v>499</v>
      </c>
      <c r="N48" s="320" t="s">
        <v>63</v>
      </c>
      <c r="O48" s="317" t="str">
        <f t="shared" si="4"/>
        <v xml:space="preserve"> </v>
      </c>
      <c r="P48" s="319" t="s">
        <v>495</v>
      </c>
      <c r="Q48" s="317" t="str">
        <f t="shared" si="7"/>
        <v>IR4   Comdty</v>
      </c>
      <c r="R48" s="321"/>
      <c r="S48" s="317" t="str">
        <f>IF(ISBLANK(R48),Settings.CurveSide.MidBidAsk,'AUD CURVE TICKERS'!R48)</f>
        <v>PX_MID</v>
      </c>
      <c r="T48" s="326">
        <f>IF(Settings.isCOBToday,_xll.BDP(Q48,'AUD CURVE TICKERS'!S48),_xll.BDH(Q48,'AUD CURVE TICKERS'!S48,Settings.COB,Settings.COB))</f>
        <v>97.935000000000002</v>
      </c>
      <c r="V48" s="326" t="str">
        <f>IF(Settings.isCOBToday,_xll.BDP(Q48,$V$52),_xll.BDH(Q48,$V$52,Settings.COB,Settings.COB))</f>
        <v>13/09/2019</v>
      </c>
      <c r="W48" s="317" t="str">
        <f>IF(Settings.isCOBToday,_xll.BDP(Q48,$V$53),_xll.BDH(Q48,$V$53,Settings.COB,Settings.COB))</f>
        <v>13/12/2019</v>
      </c>
      <c r="Y48" s="318" t="s">
        <v>174</v>
      </c>
      <c r="Z48" s="328" t="s">
        <v>473</v>
      </c>
      <c r="AA48" s="320"/>
      <c r="AB48" s="317" t="str">
        <f t="shared" si="5"/>
        <v>IAUS</v>
      </c>
      <c r="AC48" s="319" t="s">
        <v>411</v>
      </c>
      <c r="AD48" s="317" t="str">
        <f t="shared" si="8"/>
        <v>ADSW4 IAUS Curncy</v>
      </c>
      <c r="AE48" s="321"/>
      <c r="AF48" s="317" t="str">
        <f>IF(ISBLANK(AE48),Settings.CurveSide.MidBidAsk,'AUD CURVE TICKERS'!AE48)</f>
        <v>PX_MID</v>
      </c>
      <c r="AG48" s="326">
        <f>IF(Settings.isCOBToday,_xll.BDP(AD48,'AUD CURVE TICKERS'!AF48),_xll.BDH(AD48,'AUD CURVE TICKERS'!AF48,Settings.COB,Settings.COB))</f>
        <v>2.44</v>
      </c>
      <c r="AI48" s="318" t="s">
        <v>174</v>
      </c>
      <c r="AJ48" s="328" t="s">
        <v>458</v>
      </c>
      <c r="AK48" s="320"/>
      <c r="AL48" s="317" t="str">
        <f t="shared" si="6"/>
        <v>IAUS</v>
      </c>
      <c r="AM48" s="319" t="s">
        <v>411</v>
      </c>
      <c r="AN48" s="317" t="str">
        <f t="shared" si="9"/>
        <v>ADBBCF4 IAUS Curncy</v>
      </c>
      <c r="AO48" s="321"/>
      <c r="AP48" s="317" t="str">
        <f>IF(ISBLANK(AO48),Settings.CurveSide.MidBidAsk,'AUD CURVE TICKERS'!AO48)</f>
        <v>PX_MID</v>
      </c>
      <c r="AQ48" s="326">
        <f>IF(Settings.isCOBToday,_xll.BDP(AN48,'AUD CURVE TICKERS'!AP48),_xll.BDH(AN48,'AUD CURVE TICKERS'!AP48,Settings.COB,Settings.COB))</f>
        <v>15</v>
      </c>
    </row>
    <row r="49" spans="2:43" hidden="1" outlineLevel="1">
      <c r="B49" s="318"/>
      <c r="C49" s="318"/>
      <c r="D49" s="320"/>
      <c r="E49" s="317"/>
      <c r="F49" s="319"/>
      <c r="G49" s="317"/>
      <c r="H49" s="321"/>
      <c r="I49" s="317"/>
      <c r="J49" s="326"/>
      <c r="K49" s="306"/>
      <c r="L49" s="318" t="s">
        <v>500</v>
      </c>
      <c r="M49" s="328" t="s">
        <v>500</v>
      </c>
      <c r="N49" s="320" t="s">
        <v>63</v>
      </c>
      <c r="O49" s="317" t="str">
        <f t="shared" si="4"/>
        <v xml:space="preserve"> </v>
      </c>
      <c r="P49" s="319" t="s">
        <v>495</v>
      </c>
      <c r="Q49" s="317" t="str">
        <f t="shared" si="7"/>
        <v>IR5   Comdty</v>
      </c>
      <c r="R49" s="321"/>
      <c r="S49" s="317" t="str">
        <f>IF(ISBLANK(R49),Settings.CurveSide.MidBidAsk,'AUD CURVE TICKERS'!R49)</f>
        <v>PX_MID</v>
      </c>
      <c r="T49" s="326">
        <f>IF(Settings.isCOBToday,_xll.BDP(Q49,'AUD CURVE TICKERS'!S49),_xll.BDH(Q49,'AUD CURVE TICKERS'!S49,Settings.COB,Settings.COB))</f>
        <v>97.875</v>
      </c>
      <c r="V49" s="326" t="str">
        <f>IF(Settings.isCOBToday,_xll.BDP(Q49,$V$52),_xll.BDH(Q49,$V$52,Settings.COB,Settings.COB))</f>
        <v>13/12/2019</v>
      </c>
      <c r="W49" s="317" t="str">
        <f>IF(Settings.isCOBToday,_xll.BDP(Q49,$V$53),_xll.BDH(Q49,$V$53,Settings.COB,Settings.COB))</f>
        <v>13/03/2020</v>
      </c>
      <c r="Y49" s="318" t="s">
        <v>175</v>
      </c>
      <c r="Z49" s="328" t="s">
        <v>474</v>
      </c>
      <c r="AA49" s="320"/>
      <c r="AB49" s="317" t="str">
        <f t="shared" si="5"/>
        <v>IAUS</v>
      </c>
      <c r="AC49" s="319" t="s">
        <v>411</v>
      </c>
      <c r="AD49" s="317" t="str">
        <f t="shared" si="8"/>
        <v>ADSW5 IAUS Curncy</v>
      </c>
      <c r="AE49" s="321"/>
      <c r="AF49" s="317" t="str">
        <f>IF(ISBLANK(AE49),Settings.CurveSide.MidBidAsk,'AUD CURVE TICKERS'!AE49)</f>
        <v>PX_MID</v>
      </c>
      <c r="AG49" s="326">
        <f>IF(Settings.isCOBToday,_xll.BDP(AD49,'AUD CURVE TICKERS'!AF49),_xll.BDH(AD49,'AUD CURVE TICKERS'!AF49,Settings.COB,Settings.COB))</f>
        <v>2.53125</v>
      </c>
      <c r="AI49" s="318" t="s">
        <v>175</v>
      </c>
      <c r="AJ49" s="328" t="s">
        <v>459</v>
      </c>
      <c r="AK49" s="320"/>
      <c r="AL49" s="317" t="str">
        <f t="shared" si="6"/>
        <v>IAUS</v>
      </c>
      <c r="AM49" s="319" t="s">
        <v>411</v>
      </c>
      <c r="AN49" s="317" t="str">
        <f t="shared" si="9"/>
        <v>ADBBCF5 IAUS Curncy</v>
      </c>
      <c r="AO49" s="321"/>
      <c r="AP49" s="317" t="str">
        <f>IF(ISBLANK(AO49),Settings.CurveSide.MidBidAsk,'AUD CURVE TICKERS'!AO49)</f>
        <v>PX_MID</v>
      </c>
      <c r="AQ49" s="326">
        <f>IF(Settings.isCOBToday,_xll.BDP(AN49,'AUD CURVE TICKERS'!AP49),_xll.BDH(AN49,'AUD CURVE TICKERS'!AP49,Settings.COB,Settings.COB))</f>
        <v>14.75</v>
      </c>
    </row>
    <row r="50" spans="2:43" hidden="1" outlineLevel="1">
      <c r="B50" s="318"/>
      <c r="C50" s="318"/>
      <c r="D50" s="320"/>
      <c r="E50" s="317"/>
      <c r="F50" s="319"/>
      <c r="G50" s="317"/>
      <c r="H50" s="321"/>
      <c r="I50" s="317"/>
      <c r="J50" s="326"/>
      <c r="K50" s="306"/>
      <c r="L50" s="318" t="s">
        <v>501</v>
      </c>
      <c r="M50" s="328" t="s">
        <v>501</v>
      </c>
      <c r="N50" s="320" t="s">
        <v>63</v>
      </c>
      <c r="O50" s="317" t="str">
        <f t="shared" si="4"/>
        <v xml:space="preserve"> </v>
      </c>
      <c r="P50" s="319" t="s">
        <v>495</v>
      </c>
      <c r="Q50" s="317" t="str">
        <f t="shared" si="7"/>
        <v>IR6   Comdty</v>
      </c>
      <c r="R50" s="321"/>
      <c r="S50" s="317" t="str">
        <f>IF(ISBLANK(R50),Settings.CurveSide.MidBidAsk,'AUD CURVE TICKERS'!R50)</f>
        <v>PX_MID</v>
      </c>
      <c r="T50" s="326">
        <f>IF(Settings.isCOBToday,_xll.BDP(Q50,'AUD CURVE TICKERS'!S50),_xll.BDH(Q50,'AUD CURVE TICKERS'!S50,Settings.COB,Settings.COB))</f>
        <v>97.814999999999998</v>
      </c>
      <c r="V50" s="326" t="str">
        <f>IF(Settings.isCOBToday,_xll.BDP(Q50,$V$52),_xll.BDH(Q50,$V$52,Settings.COB,Settings.COB))</f>
        <v>13/03/2020</v>
      </c>
      <c r="W50" s="317" t="str">
        <f>IF(Settings.isCOBToday,_xll.BDP(Q50,$V$53),_xll.BDH(Q50,$V$53,Settings.COB,Settings.COB))</f>
        <v>12/06/2020</v>
      </c>
      <c r="Y50" s="318" t="s">
        <v>176</v>
      </c>
      <c r="Z50" s="328" t="s">
        <v>475</v>
      </c>
      <c r="AA50" s="320"/>
      <c r="AB50" s="317" t="str">
        <f t="shared" si="5"/>
        <v>IAUS</v>
      </c>
      <c r="AC50" s="319" t="s">
        <v>411</v>
      </c>
      <c r="AD50" s="317" t="str">
        <f t="shared" si="8"/>
        <v>ADSW6 IAUS Curncy</v>
      </c>
      <c r="AE50" s="321"/>
      <c r="AF50" s="317" t="str">
        <f>IF(ISBLANK(AE50),Settings.CurveSide.MidBidAsk,'AUD CURVE TICKERS'!AE50)</f>
        <v>PX_MID</v>
      </c>
      <c r="AG50" s="326">
        <f>IF(Settings.isCOBToday,_xll.BDP(AD50,'AUD CURVE TICKERS'!AF50),_xll.BDH(AD50,'AUD CURVE TICKERS'!AF50,Settings.COB,Settings.COB))</f>
        <v>2.61625</v>
      </c>
      <c r="AI50" s="318" t="s">
        <v>176</v>
      </c>
      <c r="AJ50" s="328" t="s">
        <v>460</v>
      </c>
      <c r="AK50" s="320"/>
      <c r="AL50" s="317" t="str">
        <f t="shared" si="6"/>
        <v>IAUS</v>
      </c>
      <c r="AM50" s="319" t="s">
        <v>411</v>
      </c>
      <c r="AN50" s="317" t="str">
        <f t="shared" si="9"/>
        <v>ADBBCF6 IAUS Curncy</v>
      </c>
      <c r="AO50" s="321"/>
      <c r="AP50" s="317" t="str">
        <f>IF(ISBLANK(AO50),Settings.CurveSide.MidBidAsk,'AUD CURVE TICKERS'!AO50)</f>
        <v>PX_MID</v>
      </c>
      <c r="AQ50" s="326">
        <f>IF(Settings.isCOBToday,_xll.BDP(AN50,'AUD CURVE TICKERS'!AP50),_xll.BDH(AN50,'AUD CURVE TICKERS'!AP50,Settings.COB,Settings.COB))</f>
        <v>14.25</v>
      </c>
    </row>
    <row r="51" spans="2:43" hidden="1" outlineLevel="1">
      <c r="B51" s="318"/>
      <c r="C51" s="318"/>
      <c r="D51" s="320"/>
      <c r="E51" s="317"/>
      <c r="F51" s="319"/>
      <c r="G51" s="317"/>
      <c r="H51" s="321"/>
      <c r="I51" s="317"/>
      <c r="J51" s="326"/>
      <c r="K51" s="306"/>
      <c r="L51" s="318"/>
      <c r="M51" s="328"/>
      <c r="N51" s="320"/>
      <c r="O51" s="317"/>
      <c r="P51" s="319"/>
      <c r="Q51" s="317"/>
      <c r="R51" s="321"/>
      <c r="S51" s="317"/>
      <c r="T51" s="326"/>
      <c r="U51" s="306"/>
      <c r="Y51" s="318" t="s">
        <v>177</v>
      </c>
      <c r="Z51" s="328" t="s">
        <v>476</v>
      </c>
      <c r="AA51" s="320"/>
      <c r="AB51" s="317" t="str">
        <f t="shared" si="5"/>
        <v>IAUS</v>
      </c>
      <c r="AC51" s="319" t="s">
        <v>411</v>
      </c>
      <c r="AD51" s="317" t="str">
        <f t="shared" si="8"/>
        <v>ADSW7 IAUS Curncy</v>
      </c>
      <c r="AE51" s="321"/>
      <c r="AF51" s="317" t="str">
        <f>IF(ISBLANK(AE51),Settings.CurveSide.MidBidAsk,'AUD CURVE TICKERS'!AE51)</f>
        <v>PX_MID</v>
      </c>
      <c r="AG51" s="326">
        <f>IF(Settings.isCOBToday,_xll.BDP(AD51,'AUD CURVE TICKERS'!AF51),_xll.BDH(AD51,'AUD CURVE TICKERS'!AF51,Settings.COB,Settings.COB))</f>
        <v>2.6924999999999999</v>
      </c>
      <c r="AI51" s="318" t="s">
        <v>177</v>
      </c>
      <c r="AJ51" s="328" t="s">
        <v>461</v>
      </c>
      <c r="AK51" s="320"/>
      <c r="AL51" s="317" t="str">
        <f t="shared" si="6"/>
        <v>IAUS</v>
      </c>
      <c r="AM51" s="319" t="s">
        <v>411</v>
      </c>
      <c r="AN51" s="317" t="str">
        <f t="shared" si="9"/>
        <v>ADBBCF7 IAUS Curncy</v>
      </c>
      <c r="AO51" s="321"/>
      <c r="AP51" s="317" t="str">
        <f>IF(ISBLANK(AO51),Settings.CurveSide.MidBidAsk,'AUD CURVE TICKERS'!AO51)</f>
        <v>PX_MID</v>
      </c>
      <c r="AQ51" s="326">
        <f>IF(Settings.isCOBToday,_xll.BDP(AN51,'AUD CURVE TICKERS'!AP51),_xll.BDH(AN51,'AUD CURVE TICKERS'!AP51,Settings.COB,Settings.COB))</f>
        <v>13.75</v>
      </c>
    </row>
    <row r="52" spans="2:43" hidden="1" outlineLevel="1">
      <c r="B52" s="318"/>
      <c r="C52" s="318"/>
      <c r="D52" s="320"/>
      <c r="E52" s="317"/>
      <c r="F52" s="319"/>
      <c r="G52" s="317"/>
      <c r="H52" s="321"/>
      <c r="I52" s="317"/>
      <c r="J52" s="326"/>
      <c r="K52" s="306"/>
      <c r="L52" s="318"/>
      <c r="M52" s="328"/>
      <c r="N52" s="320"/>
      <c r="O52" s="317"/>
      <c r="P52" s="319"/>
      <c r="Q52" s="317"/>
      <c r="R52" s="321"/>
      <c r="S52" s="317"/>
      <c r="T52" s="326"/>
      <c r="V52" s="172" t="s">
        <v>502</v>
      </c>
      <c r="Y52" s="318" t="s">
        <v>178</v>
      </c>
      <c r="Z52" s="328" t="s">
        <v>477</v>
      </c>
      <c r="AA52" s="320"/>
      <c r="AB52" s="317" t="str">
        <f t="shared" si="5"/>
        <v>IAUS</v>
      </c>
      <c r="AC52" s="319" t="s">
        <v>411</v>
      </c>
      <c r="AD52" s="317" t="str">
        <f t="shared" si="8"/>
        <v>ADSW8 IAUS Curncy</v>
      </c>
      <c r="AE52" s="321"/>
      <c r="AF52" s="317" t="str">
        <f>IF(ISBLANK(AE52),Settings.CurveSide.MidBidAsk,'AUD CURVE TICKERS'!AE52)</f>
        <v>PX_MID</v>
      </c>
      <c r="AG52" s="326">
        <f>IF(Settings.isCOBToday,_xll.BDP(AD52,'AUD CURVE TICKERS'!AF52),_xll.BDH(AD52,'AUD CURVE TICKERS'!AF52,Settings.COB,Settings.COB))</f>
        <v>2.76</v>
      </c>
      <c r="AI52" s="318" t="s">
        <v>178</v>
      </c>
      <c r="AJ52" s="328" t="s">
        <v>462</v>
      </c>
      <c r="AK52" s="320"/>
      <c r="AL52" s="317" t="str">
        <f t="shared" si="6"/>
        <v>IAUS</v>
      </c>
      <c r="AM52" s="319" t="s">
        <v>411</v>
      </c>
      <c r="AN52" s="317" t="str">
        <f t="shared" si="9"/>
        <v>ADBBCF8 IAUS Curncy</v>
      </c>
      <c r="AO52" s="321"/>
      <c r="AP52" s="317" t="str">
        <f>IF(ISBLANK(AO52),Settings.CurveSide.MidBidAsk,'AUD CURVE TICKERS'!AO52)</f>
        <v>PX_MID</v>
      </c>
      <c r="AQ52" s="326">
        <f>IF(Settings.isCOBToday,_xll.BDP(AN52,'AUD CURVE TICKERS'!AP52),_xll.BDH(AN52,'AUD CURVE TICKERS'!AP52,Settings.COB,Settings.COB))</f>
        <v>13.125</v>
      </c>
    </row>
    <row r="53" spans="2:43" hidden="1" outlineLevel="1">
      <c r="B53" s="318"/>
      <c r="C53" s="318"/>
      <c r="D53" s="320"/>
      <c r="E53" s="317"/>
      <c r="F53" s="319"/>
      <c r="G53" s="317"/>
      <c r="H53" s="321"/>
      <c r="I53" s="317"/>
      <c r="J53" s="326"/>
      <c r="K53" s="306"/>
      <c r="L53" s="318"/>
      <c r="M53" s="328"/>
      <c r="N53" s="320"/>
      <c r="O53" s="317"/>
      <c r="P53" s="319"/>
      <c r="Q53" s="317"/>
      <c r="R53" s="321"/>
      <c r="S53" s="317"/>
      <c r="T53" s="326"/>
      <c r="V53" s="172" t="s">
        <v>503</v>
      </c>
      <c r="Y53" s="318" t="s">
        <v>179</v>
      </c>
      <c r="Z53" s="328" t="s">
        <v>478</v>
      </c>
      <c r="AA53" s="320"/>
      <c r="AB53" s="317" t="str">
        <f t="shared" si="5"/>
        <v>IAUS</v>
      </c>
      <c r="AC53" s="319" t="s">
        <v>411</v>
      </c>
      <c r="AD53" s="317" t="str">
        <f t="shared" si="8"/>
        <v>ADSW9 IAUS Curncy</v>
      </c>
      <c r="AE53" s="321"/>
      <c r="AF53" s="317" t="str">
        <f>IF(ISBLANK(AE53),Settings.CurveSide.MidBidAsk,'AUD CURVE TICKERS'!AE53)</f>
        <v>PX_MID</v>
      </c>
      <c r="AG53" s="326">
        <f>IF(Settings.isCOBToday,_xll.BDP(AD53,'AUD CURVE TICKERS'!AF53),_xll.BDH(AD53,'AUD CURVE TICKERS'!AF53,Settings.COB,Settings.COB))</f>
        <v>2.8187500000000001</v>
      </c>
      <c r="AI53" s="318" t="s">
        <v>179</v>
      </c>
      <c r="AJ53" s="328" t="s">
        <v>463</v>
      </c>
      <c r="AK53" s="320"/>
      <c r="AL53" s="317" t="str">
        <f t="shared" si="6"/>
        <v>IAUS</v>
      </c>
      <c r="AM53" s="319" t="s">
        <v>411</v>
      </c>
      <c r="AN53" s="317" t="str">
        <f t="shared" si="9"/>
        <v>ADBBCF9 IAUS Curncy</v>
      </c>
      <c r="AO53" s="321"/>
      <c r="AP53" s="317" t="str">
        <f>IF(ISBLANK(AO53),Settings.CurveSide.MidBidAsk,'AUD CURVE TICKERS'!AO53)</f>
        <v>PX_MID</v>
      </c>
      <c r="AQ53" s="326">
        <f>IF(Settings.isCOBToday,_xll.BDP(AN53,'AUD CURVE TICKERS'!AP53),_xll.BDH(AN53,'AUD CURVE TICKERS'!AP53,Settings.COB,Settings.COB))</f>
        <v>12.625</v>
      </c>
    </row>
    <row r="54" spans="2:43" hidden="1" outlineLevel="1">
      <c r="B54" s="318"/>
      <c r="C54" s="318"/>
      <c r="D54" s="320"/>
      <c r="E54" s="317"/>
      <c r="F54" s="319"/>
      <c r="G54" s="317"/>
      <c r="H54" s="321"/>
      <c r="I54" s="317"/>
      <c r="J54" s="326"/>
      <c r="K54" s="306"/>
      <c r="L54" s="318"/>
      <c r="M54" s="328"/>
      <c r="N54" s="320"/>
      <c r="O54" s="317"/>
      <c r="P54" s="319"/>
      <c r="Q54" s="317"/>
      <c r="R54" s="321"/>
      <c r="S54" s="317"/>
      <c r="T54" s="326"/>
      <c r="U54" s="306"/>
      <c r="Y54" s="318" t="s">
        <v>181</v>
      </c>
      <c r="Z54" s="328" t="s">
        <v>479</v>
      </c>
      <c r="AA54" s="320"/>
      <c r="AB54" s="317" t="str">
        <f t="shared" si="5"/>
        <v>IAUS</v>
      </c>
      <c r="AC54" s="319" t="s">
        <v>411</v>
      </c>
      <c r="AD54" s="317" t="str">
        <f t="shared" si="8"/>
        <v>ADSW10 IAUS Curncy</v>
      </c>
      <c r="AE54" s="321"/>
      <c r="AF54" s="317" t="str">
        <f>IF(ISBLANK(AE54),Settings.CurveSide.MidBidAsk,'AUD CURVE TICKERS'!AE54)</f>
        <v>PX_MID</v>
      </c>
      <c r="AG54" s="326">
        <f>IF(Settings.isCOBToday,_xll.BDP(AD54,'AUD CURVE TICKERS'!AF54),_xll.BDH(AD54,'AUD CURVE TICKERS'!AF54,Settings.COB,Settings.COB))</f>
        <v>2.8712499999999999</v>
      </c>
      <c r="AI54" s="318" t="s">
        <v>181</v>
      </c>
      <c r="AJ54" s="328" t="s">
        <v>464</v>
      </c>
      <c r="AK54" s="320"/>
      <c r="AL54" s="317" t="str">
        <f t="shared" si="6"/>
        <v>IAUS</v>
      </c>
      <c r="AM54" s="319" t="s">
        <v>411</v>
      </c>
      <c r="AN54" s="317" t="str">
        <f t="shared" si="9"/>
        <v>ADBBCF10 IAUS Curncy</v>
      </c>
      <c r="AO54" s="321"/>
      <c r="AP54" s="317" t="str">
        <f>IF(ISBLANK(AO54),Settings.CurveSide.MidBidAsk,'AUD CURVE TICKERS'!AO54)</f>
        <v>PX_MID</v>
      </c>
      <c r="AQ54" s="326">
        <f>IF(Settings.isCOBToday,_xll.BDP(AN54,'AUD CURVE TICKERS'!AP54),_xll.BDH(AN54,'AUD CURVE TICKERS'!AP54,Settings.COB,Settings.COB))</f>
        <v>12</v>
      </c>
    </row>
    <row r="55" spans="2:43" hidden="1" outlineLevel="1">
      <c r="B55" s="318"/>
      <c r="C55" s="318"/>
      <c r="D55" s="320"/>
      <c r="E55" s="317"/>
      <c r="F55" s="319"/>
      <c r="G55" s="317"/>
      <c r="H55" s="321"/>
      <c r="I55" s="317"/>
      <c r="J55" s="326"/>
      <c r="K55" s="306"/>
      <c r="L55" s="318"/>
      <c r="M55" s="328"/>
      <c r="N55" s="320"/>
      <c r="O55" s="317"/>
      <c r="P55" s="319"/>
      <c r="Q55" s="317"/>
      <c r="R55" s="321"/>
      <c r="S55" s="317"/>
      <c r="T55" s="326"/>
      <c r="U55" s="306"/>
      <c r="Y55" s="318" t="s">
        <v>182</v>
      </c>
      <c r="Z55" s="328" t="s">
        <v>480</v>
      </c>
      <c r="AA55" s="320"/>
      <c r="AB55" s="317" t="str">
        <f t="shared" si="5"/>
        <v>IAUS</v>
      </c>
      <c r="AC55" s="319" t="s">
        <v>411</v>
      </c>
      <c r="AD55" s="317" t="str">
        <f t="shared" si="8"/>
        <v>ADSW15 IAUS Curncy</v>
      </c>
      <c r="AE55" s="321"/>
      <c r="AF55" s="317" t="str">
        <f>IF(ISBLANK(AE55),Settings.CurveSide.MidBidAsk,'AUD CURVE TICKERS'!AE55)</f>
        <v>PX_MID</v>
      </c>
      <c r="AG55" s="326">
        <f>IF(Settings.isCOBToday,_xll.BDP(AD55,'AUD CURVE TICKERS'!AF55),_xll.BDH(AD55,'AUD CURVE TICKERS'!AF55,Settings.COB,Settings.COB))</f>
        <v>3.0587499999999999</v>
      </c>
      <c r="AI55" s="318" t="s">
        <v>182</v>
      </c>
      <c r="AJ55" s="328" t="s">
        <v>465</v>
      </c>
      <c r="AK55" s="320"/>
      <c r="AL55" s="317" t="str">
        <f t="shared" si="6"/>
        <v>IAUS</v>
      </c>
      <c r="AM55" s="319" t="s">
        <v>411</v>
      </c>
      <c r="AN55" s="317" t="str">
        <f t="shared" si="9"/>
        <v>ADBBCF15 IAUS Curncy</v>
      </c>
      <c r="AO55" s="321"/>
      <c r="AP55" s="317" t="str">
        <f>IF(ISBLANK(AO55),Settings.CurveSide.MidBidAsk,'AUD CURVE TICKERS'!AO55)</f>
        <v>PX_MID</v>
      </c>
      <c r="AQ55" s="326">
        <f>IF(Settings.isCOBToday,_xll.BDP(AN55,'AUD CURVE TICKERS'!AP55),_xll.BDH(AN55,'AUD CURVE TICKERS'!AP55,Settings.COB,Settings.COB))</f>
        <v>10.5</v>
      </c>
    </row>
    <row r="56" spans="2:43" hidden="1" outlineLevel="1">
      <c r="B56" s="318"/>
      <c r="C56" s="318"/>
      <c r="D56" s="320"/>
      <c r="E56" s="317"/>
      <c r="F56" s="319"/>
      <c r="G56" s="317"/>
      <c r="H56" s="321"/>
      <c r="I56" s="317"/>
      <c r="J56" s="326"/>
      <c r="K56" s="306"/>
      <c r="L56" s="318"/>
      <c r="M56" s="328"/>
      <c r="N56" s="320"/>
      <c r="O56" s="317"/>
      <c r="P56" s="319"/>
      <c r="Q56" s="317"/>
      <c r="R56" s="321"/>
      <c r="S56" s="317"/>
      <c r="T56" s="326"/>
      <c r="U56" s="306"/>
      <c r="Y56" s="318" t="s">
        <v>183</v>
      </c>
      <c r="Z56" s="328" t="s">
        <v>481</v>
      </c>
      <c r="AA56" s="320"/>
      <c r="AB56" s="317" t="str">
        <f t="shared" si="5"/>
        <v>IAUS</v>
      </c>
      <c r="AC56" s="319" t="s">
        <v>411</v>
      </c>
      <c r="AD56" s="317" t="str">
        <f t="shared" si="8"/>
        <v>ADSW20 IAUS Curncy</v>
      </c>
      <c r="AE56" s="321"/>
      <c r="AF56" s="317" t="str">
        <f>IF(ISBLANK(AE56),Settings.CurveSide.MidBidAsk,'AUD CURVE TICKERS'!AE56)</f>
        <v>PX_MID</v>
      </c>
      <c r="AG56" s="326">
        <f>IF(Settings.isCOBToday,_xll.BDP(AD56,'AUD CURVE TICKERS'!AF56),_xll.BDH(AD56,'AUD CURVE TICKERS'!AF56,Settings.COB,Settings.COB))</f>
        <v>3.1262500000000002</v>
      </c>
      <c r="AI56" s="318" t="s">
        <v>183</v>
      </c>
      <c r="AJ56" s="328" t="s">
        <v>466</v>
      </c>
      <c r="AK56" s="320"/>
      <c r="AL56" s="317" t="str">
        <f t="shared" si="6"/>
        <v>IAUS</v>
      </c>
      <c r="AM56" s="319" t="s">
        <v>411</v>
      </c>
      <c r="AN56" s="317" t="str">
        <f t="shared" si="9"/>
        <v>ADBBCF20 IAUS Curncy</v>
      </c>
      <c r="AO56" s="321"/>
      <c r="AP56" s="317" t="str">
        <f>IF(ISBLANK(AO56),Settings.CurveSide.MidBidAsk,'AUD CURVE TICKERS'!AO56)</f>
        <v>PX_MID</v>
      </c>
      <c r="AQ56" s="326">
        <f>IF(Settings.isCOBToday,_xll.BDP(AN56,'AUD CURVE TICKERS'!AP56),_xll.BDH(AN56,'AUD CURVE TICKERS'!AP56,Settings.COB,Settings.COB))</f>
        <v>10.375</v>
      </c>
    </row>
    <row r="57" spans="2:43" hidden="1" outlineLevel="1">
      <c r="B57" s="318"/>
      <c r="C57" s="318"/>
      <c r="D57" s="320"/>
      <c r="E57" s="317"/>
      <c r="F57" s="319"/>
      <c r="G57" s="317"/>
      <c r="H57" s="321"/>
      <c r="I57" s="317"/>
      <c r="J57" s="326"/>
      <c r="K57" s="306"/>
      <c r="L57" s="318"/>
      <c r="M57" s="328"/>
      <c r="N57" s="320"/>
      <c r="O57" s="317"/>
      <c r="P57" s="319"/>
      <c r="Q57" s="317"/>
      <c r="R57" s="321"/>
      <c r="S57" s="317"/>
      <c r="T57" s="326"/>
      <c r="U57" s="306"/>
      <c r="Y57" s="318" t="s">
        <v>184</v>
      </c>
      <c r="Z57" s="328" t="s">
        <v>482</v>
      </c>
      <c r="AA57" s="320"/>
      <c r="AB57" s="317" t="str">
        <f t="shared" si="5"/>
        <v>IAUS</v>
      </c>
      <c r="AC57" s="319" t="s">
        <v>411</v>
      </c>
      <c r="AD57" s="317" t="str">
        <f t="shared" si="8"/>
        <v>ADSW25 IAUS Curncy</v>
      </c>
      <c r="AE57" s="321"/>
      <c r="AF57" s="317" t="str">
        <f>IF(ISBLANK(AE57),Settings.CurveSide.MidBidAsk,'AUD CURVE TICKERS'!AE57)</f>
        <v>PX_MID</v>
      </c>
      <c r="AG57" s="326">
        <f>IF(Settings.isCOBToday,_xll.BDP(AD57,'AUD CURVE TICKERS'!AF57),_xll.BDH(AD57,'AUD CURVE TICKERS'!AF57,Settings.COB,Settings.COB))</f>
        <v>3.13625</v>
      </c>
      <c r="AI57" s="318" t="s">
        <v>184</v>
      </c>
      <c r="AJ57" s="328" t="s">
        <v>467</v>
      </c>
      <c r="AK57" s="320"/>
      <c r="AL57" s="317" t="str">
        <f t="shared" si="6"/>
        <v>IAUS</v>
      </c>
      <c r="AM57" s="319" t="s">
        <v>411</v>
      </c>
      <c r="AN57" s="317" t="str">
        <f t="shared" si="9"/>
        <v>ADBBCF25 IAUS Curncy</v>
      </c>
      <c r="AO57" s="321"/>
      <c r="AP57" s="317" t="str">
        <f>IF(ISBLANK(AO57),Settings.CurveSide.MidBidAsk,'AUD CURVE TICKERS'!AO57)</f>
        <v>PX_MID</v>
      </c>
      <c r="AQ57" s="326">
        <f>IF(Settings.isCOBToday,_xll.BDP(AN57,'AUD CURVE TICKERS'!AP57),_xll.BDH(AN57,'AUD CURVE TICKERS'!AP57,Settings.COB,Settings.COB))</f>
        <v>10.625</v>
      </c>
    </row>
    <row r="58" spans="2:43" hidden="1" outlineLevel="1">
      <c r="B58" s="318"/>
      <c r="C58" s="318"/>
      <c r="D58" s="320"/>
      <c r="E58" s="317"/>
      <c r="F58" s="319"/>
      <c r="G58" s="317"/>
      <c r="H58" s="321"/>
      <c r="I58" s="317"/>
      <c r="J58" s="326"/>
      <c r="K58" s="306"/>
      <c r="L58" s="318"/>
      <c r="M58" s="328"/>
      <c r="N58" s="320"/>
      <c r="O58" s="317"/>
      <c r="P58" s="319"/>
      <c r="Q58" s="317"/>
      <c r="R58" s="321"/>
      <c r="S58" s="317"/>
      <c r="T58" s="326"/>
      <c r="U58" s="306"/>
      <c r="Y58" s="318" t="s">
        <v>185</v>
      </c>
      <c r="Z58" s="328" t="s">
        <v>483</v>
      </c>
      <c r="AA58" s="320"/>
      <c r="AB58" s="317" t="str">
        <f t="shared" si="5"/>
        <v>IAUS</v>
      </c>
      <c r="AC58" s="319" t="s">
        <v>411</v>
      </c>
      <c r="AD58" s="317" t="str">
        <f t="shared" si="8"/>
        <v>ADSW30 IAUS Curncy</v>
      </c>
      <c r="AE58" s="321"/>
      <c r="AF58" s="317" t="str">
        <f>IF(ISBLANK(AE58),Settings.CurveSide.MidBidAsk,'AUD CURVE TICKERS'!AE58)</f>
        <v>PX_MID</v>
      </c>
      <c r="AG58" s="326">
        <f>IF(Settings.isCOBToday,_xll.BDP(AD58,'AUD CURVE TICKERS'!AF58),_xll.BDH(AD58,'AUD CURVE TICKERS'!AF58,Settings.COB,Settings.COB))</f>
        <v>3.1037499999999998</v>
      </c>
      <c r="AI58" s="318" t="s">
        <v>185</v>
      </c>
      <c r="AJ58" s="328" t="s">
        <v>468</v>
      </c>
      <c r="AK58" s="320"/>
      <c r="AL58" s="317" t="str">
        <f t="shared" si="6"/>
        <v>IAUS</v>
      </c>
      <c r="AM58" s="319" t="s">
        <v>411</v>
      </c>
      <c r="AN58" s="317" t="str">
        <f t="shared" si="9"/>
        <v>ADBBCF30 IAUS Curncy</v>
      </c>
      <c r="AO58" s="321"/>
      <c r="AP58" s="317" t="str">
        <f>IF(ISBLANK(AO58),Settings.CurveSide.MidBidAsk,'AUD CURVE TICKERS'!AO58)</f>
        <v>PX_MID</v>
      </c>
      <c r="AQ58" s="326">
        <f>IF(Settings.isCOBToday,_xll.BDP(AN58,'AUD CURVE TICKERS'!AP58),_xll.BDH(AN58,'AUD CURVE TICKERS'!AP58,Settings.COB,Settings.COB))</f>
        <v>10.625</v>
      </c>
    </row>
    <row r="59" spans="2:43" hidden="1" outlineLevel="1">
      <c r="B59" s="318"/>
      <c r="C59" s="318"/>
      <c r="D59" s="320"/>
      <c r="E59" s="317"/>
      <c r="F59" s="319"/>
      <c r="G59" s="317"/>
      <c r="H59" s="321"/>
      <c r="I59" s="317"/>
      <c r="J59" s="326"/>
      <c r="K59" s="306"/>
      <c r="L59" s="318"/>
      <c r="M59" s="328"/>
      <c r="N59" s="320"/>
      <c r="O59" s="317"/>
      <c r="P59" s="319"/>
      <c r="Q59" s="317"/>
      <c r="R59" s="321"/>
      <c r="S59" s="317"/>
      <c r="T59" s="326"/>
      <c r="U59" s="306"/>
      <c r="Y59" s="318"/>
      <c r="Z59" s="328"/>
      <c r="AA59" s="320"/>
      <c r="AB59" s="317"/>
      <c r="AC59" s="319"/>
      <c r="AD59" s="317"/>
      <c r="AE59" s="321"/>
      <c r="AF59" s="317"/>
      <c r="AG59" s="326"/>
      <c r="AI59" s="318"/>
      <c r="AJ59" s="328"/>
      <c r="AK59" s="320"/>
      <c r="AL59" s="317"/>
      <c r="AM59" s="319"/>
      <c r="AN59" s="317"/>
      <c r="AO59" s="321"/>
      <c r="AP59" s="317"/>
      <c r="AQ59" s="326"/>
    </row>
    <row r="60" spans="2:43" hidden="1" outlineLevel="1">
      <c r="B60" s="318"/>
      <c r="C60" s="318"/>
      <c r="D60" s="320"/>
      <c r="E60" s="317"/>
      <c r="F60" s="319"/>
      <c r="G60" s="317"/>
      <c r="H60" s="321"/>
      <c r="I60" s="317"/>
      <c r="J60" s="326"/>
      <c r="K60" s="306"/>
      <c r="L60" s="318"/>
      <c r="M60" s="328"/>
      <c r="N60" s="320"/>
      <c r="O60" s="317"/>
      <c r="P60" s="319"/>
      <c r="Q60" s="317"/>
      <c r="R60" s="321"/>
      <c r="S60" s="317"/>
      <c r="T60" s="326"/>
      <c r="U60" s="306"/>
      <c r="Y60" s="318"/>
      <c r="Z60" s="328"/>
      <c r="AA60" s="320"/>
      <c r="AB60" s="317"/>
      <c r="AC60" s="319"/>
      <c r="AD60" s="317"/>
      <c r="AE60" s="321"/>
      <c r="AF60" s="317"/>
      <c r="AG60" s="326"/>
      <c r="AI60" s="318"/>
      <c r="AJ60" s="328"/>
      <c r="AK60" s="320"/>
      <c r="AL60" s="317"/>
      <c r="AM60" s="319"/>
      <c r="AN60" s="317"/>
      <c r="AO60" s="321"/>
      <c r="AP60" s="317"/>
      <c r="AQ60" s="326"/>
    </row>
    <row r="61" spans="2:43" hidden="1" outlineLevel="1">
      <c r="B61" s="318"/>
      <c r="C61" s="318"/>
      <c r="D61" s="320"/>
      <c r="E61" s="317"/>
      <c r="F61" s="319"/>
      <c r="G61" s="317"/>
      <c r="H61" s="321"/>
      <c r="I61" s="317"/>
      <c r="J61" s="326"/>
      <c r="K61" s="306"/>
      <c r="L61" s="318"/>
      <c r="M61" s="328"/>
      <c r="N61" s="320"/>
      <c r="O61" s="317"/>
      <c r="P61" s="319"/>
      <c r="Q61" s="317"/>
      <c r="R61" s="321"/>
      <c r="S61" s="317"/>
      <c r="T61" s="326"/>
      <c r="U61" s="306"/>
      <c r="Y61" s="318"/>
      <c r="Z61" s="328"/>
      <c r="AA61" s="320"/>
      <c r="AB61" s="317"/>
      <c r="AC61" s="319"/>
      <c r="AD61" s="317"/>
      <c r="AE61" s="321"/>
      <c r="AF61" s="317"/>
      <c r="AG61" s="326"/>
      <c r="AI61" s="318"/>
      <c r="AJ61" s="328"/>
      <c r="AK61" s="320"/>
      <c r="AL61" s="317"/>
      <c r="AM61" s="319"/>
      <c r="AN61" s="317"/>
      <c r="AO61" s="321"/>
      <c r="AP61" s="317"/>
      <c r="AQ61" s="326"/>
    </row>
    <row r="62" spans="2:43" hidden="1" outlineLevel="1">
      <c r="B62" s="318"/>
      <c r="C62" s="318"/>
      <c r="D62" s="320"/>
      <c r="E62" s="317"/>
      <c r="F62" s="319"/>
      <c r="G62" s="317"/>
      <c r="H62" s="321"/>
      <c r="I62" s="317"/>
      <c r="J62" s="326"/>
      <c r="K62" s="306"/>
      <c r="L62" s="318"/>
      <c r="M62" s="328"/>
      <c r="N62" s="320"/>
      <c r="O62" s="317"/>
      <c r="P62" s="319"/>
      <c r="Q62" s="317"/>
      <c r="R62" s="321"/>
      <c r="S62" s="317"/>
      <c r="T62" s="326"/>
      <c r="U62" s="306"/>
      <c r="Y62" s="318"/>
      <c r="Z62" s="328"/>
      <c r="AA62" s="320"/>
      <c r="AB62" s="317"/>
      <c r="AC62" s="319"/>
      <c r="AD62" s="317"/>
      <c r="AE62" s="321"/>
      <c r="AF62" s="317"/>
      <c r="AG62" s="326"/>
      <c r="AI62" s="318"/>
      <c r="AJ62" s="328"/>
      <c r="AK62" s="320"/>
      <c r="AL62" s="317"/>
      <c r="AM62" s="319"/>
      <c r="AN62" s="317"/>
      <c r="AO62" s="321"/>
      <c r="AP62" s="317"/>
      <c r="AQ62" s="326"/>
    </row>
    <row r="63" spans="2:43" hidden="1" outlineLevel="1">
      <c r="B63" s="318"/>
      <c r="C63" s="318"/>
      <c r="D63" s="320"/>
      <c r="E63" s="317"/>
      <c r="F63" s="319"/>
      <c r="G63" s="317"/>
      <c r="H63" s="321"/>
      <c r="I63" s="317"/>
      <c r="J63" s="326"/>
      <c r="K63" s="306"/>
      <c r="L63" s="318"/>
      <c r="M63" s="328"/>
      <c r="N63" s="320"/>
      <c r="O63" s="317"/>
      <c r="P63" s="319"/>
      <c r="Q63" s="317"/>
      <c r="R63" s="321"/>
      <c r="S63" s="317"/>
      <c r="T63" s="326"/>
      <c r="U63" s="306"/>
      <c r="Y63" s="318"/>
      <c r="Z63" s="328"/>
      <c r="AA63" s="320"/>
      <c r="AB63" s="317"/>
      <c r="AC63" s="319"/>
      <c r="AD63" s="317"/>
      <c r="AE63" s="321"/>
      <c r="AF63" s="317"/>
      <c r="AG63" s="326"/>
      <c r="AI63" s="318"/>
      <c r="AJ63" s="328"/>
      <c r="AK63" s="320"/>
      <c r="AL63" s="317"/>
      <c r="AM63" s="319"/>
      <c r="AN63" s="317"/>
      <c r="AO63" s="321"/>
      <c r="AP63" s="317"/>
      <c r="AQ63" s="326"/>
    </row>
    <row r="64" spans="2:43" hidden="1" outlineLevel="1">
      <c r="B64" s="318"/>
      <c r="C64" s="318"/>
      <c r="D64" s="320"/>
      <c r="E64" s="317"/>
      <c r="F64" s="319"/>
      <c r="G64" s="317"/>
      <c r="H64" s="321"/>
      <c r="I64" s="317"/>
      <c r="J64" s="326"/>
      <c r="K64" s="306"/>
      <c r="L64" s="318"/>
      <c r="M64" s="328"/>
      <c r="N64" s="320"/>
      <c r="O64" s="317"/>
      <c r="P64" s="319"/>
      <c r="Q64" s="317"/>
      <c r="R64" s="321"/>
      <c r="S64" s="317"/>
      <c r="T64" s="326"/>
      <c r="U64" s="306"/>
      <c r="Y64" s="318"/>
      <c r="Z64" s="328"/>
      <c r="AA64" s="320"/>
      <c r="AB64" s="317"/>
      <c r="AC64" s="319"/>
      <c r="AD64" s="317"/>
      <c r="AE64" s="321"/>
      <c r="AF64" s="317"/>
      <c r="AG64" s="326"/>
      <c r="AI64" s="318"/>
      <c r="AJ64" s="328"/>
      <c r="AK64" s="320"/>
      <c r="AL64" s="317"/>
      <c r="AM64" s="319"/>
      <c r="AN64" s="317"/>
      <c r="AO64" s="321"/>
      <c r="AP64" s="317"/>
      <c r="AQ64" s="326"/>
    </row>
    <row r="65" spans="1:43" hidden="1" outlineLevel="1">
      <c r="B65" s="318"/>
      <c r="C65" s="318"/>
      <c r="D65" s="320"/>
      <c r="E65" s="317"/>
      <c r="F65" s="319"/>
      <c r="G65" s="317"/>
      <c r="H65" s="321"/>
      <c r="I65" s="317"/>
      <c r="J65" s="326"/>
      <c r="K65" s="306"/>
      <c r="L65" s="318"/>
      <c r="M65" s="328"/>
      <c r="N65" s="320"/>
      <c r="O65" s="317"/>
      <c r="P65" s="319"/>
      <c r="Q65" s="317"/>
      <c r="R65" s="321"/>
      <c r="S65" s="317"/>
      <c r="T65" s="326"/>
      <c r="U65" s="306"/>
      <c r="Y65" s="318"/>
      <c r="Z65" s="328"/>
      <c r="AA65" s="320"/>
      <c r="AB65" s="317"/>
      <c r="AC65" s="319"/>
      <c r="AD65" s="317"/>
      <c r="AE65" s="321"/>
      <c r="AF65" s="317"/>
      <c r="AG65" s="326"/>
      <c r="AI65" s="318"/>
      <c r="AJ65" s="328"/>
      <c r="AK65" s="320"/>
      <c r="AL65" s="317"/>
      <c r="AM65" s="319"/>
      <c r="AN65" s="317"/>
      <c r="AO65" s="321"/>
      <c r="AP65" s="317"/>
      <c r="AQ65" s="326"/>
    </row>
    <row r="66" spans="1:43" hidden="1" outlineLevel="1">
      <c r="B66" s="318"/>
      <c r="C66" s="318"/>
      <c r="D66" s="320"/>
      <c r="E66" s="317"/>
      <c r="F66" s="319"/>
      <c r="G66" s="317"/>
      <c r="H66" s="321"/>
      <c r="I66" s="317"/>
      <c r="J66" s="326"/>
      <c r="K66" s="306"/>
      <c r="L66" s="318"/>
      <c r="M66" s="328"/>
      <c r="N66" s="320"/>
      <c r="O66" s="317"/>
      <c r="P66" s="319"/>
      <c r="Q66" s="317"/>
      <c r="R66" s="321"/>
      <c r="S66" s="317"/>
      <c r="T66" s="326"/>
      <c r="U66" s="306"/>
      <c r="Y66" s="318"/>
      <c r="Z66" s="328"/>
      <c r="AA66" s="320"/>
      <c r="AB66" s="317"/>
      <c r="AC66" s="319"/>
      <c r="AD66" s="317"/>
      <c r="AE66" s="321"/>
      <c r="AF66" s="317"/>
      <c r="AG66" s="326"/>
      <c r="AI66" s="318"/>
      <c r="AJ66" s="328"/>
      <c r="AK66" s="320"/>
      <c r="AL66" s="317"/>
      <c r="AM66" s="319"/>
      <c r="AN66" s="317"/>
      <c r="AO66" s="321"/>
      <c r="AP66" s="317"/>
      <c r="AQ66" s="326"/>
    </row>
    <row r="67" spans="1:43" hidden="1" outlineLevel="1">
      <c r="B67" s="318"/>
      <c r="C67" s="318"/>
      <c r="D67" s="320"/>
      <c r="E67" s="317"/>
      <c r="F67" s="319"/>
      <c r="G67" s="317"/>
      <c r="H67" s="321"/>
      <c r="I67" s="317"/>
      <c r="J67" s="326"/>
      <c r="K67" s="306"/>
      <c r="L67" s="318"/>
      <c r="M67" s="328"/>
      <c r="N67" s="320"/>
      <c r="O67" s="317"/>
      <c r="P67" s="319"/>
      <c r="Q67" s="317"/>
      <c r="R67" s="321"/>
      <c r="S67" s="317"/>
      <c r="T67" s="326"/>
      <c r="U67" s="306"/>
      <c r="Y67" s="318"/>
      <c r="Z67" s="328"/>
      <c r="AA67" s="320"/>
      <c r="AB67" s="317"/>
      <c r="AC67" s="319"/>
      <c r="AD67" s="317"/>
      <c r="AE67" s="321"/>
      <c r="AF67" s="317"/>
      <c r="AG67" s="326"/>
      <c r="AI67" s="318"/>
      <c r="AJ67" s="328"/>
      <c r="AK67" s="320"/>
      <c r="AL67" s="317"/>
      <c r="AM67" s="319"/>
      <c r="AN67" s="317"/>
      <c r="AO67" s="321"/>
      <c r="AP67" s="317"/>
      <c r="AQ67" s="326"/>
    </row>
    <row r="68" spans="1:43" hidden="1" outlineLevel="1">
      <c r="K68" s="306"/>
      <c r="L68" s="318"/>
      <c r="M68" s="328"/>
      <c r="N68" s="320"/>
      <c r="O68" s="317"/>
      <c r="P68" s="319"/>
      <c r="Q68" s="317"/>
      <c r="R68" s="321"/>
      <c r="S68" s="317"/>
      <c r="T68" s="326"/>
      <c r="U68" s="306"/>
      <c r="Y68" s="318"/>
      <c r="Z68" s="328"/>
      <c r="AA68" s="320"/>
      <c r="AB68" s="317"/>
      <c r="AC68" s="319"/>
      <c r="AD68" s="317"/>
      <c r="AE68" s="321"/>
      <c r="AF68" s="317"/>
      <c r="AG68" s="326"/>
      <c r="AI68" s="318"/>
      <c r="AJ68" s="328"/>
      <c r="AK68" s="320"/>
      <c r="AL68" s="317"/>
      <c r="AM68" s="319"/>
      <c r="AN68" s="317"/>
      <c r="AO68" s="321"/>
      <c r="AP68" s="317"/>
      <c r="AQ68" s="326"/>
    </row>
    <row r="69" spans="1:43" hidden="1" outlineLevel="1"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Y69" s="306"/>
      <c r="Z69" s="306"/>
      <c r="AA69" s="306"/>
      <c r="AB69" s="306"/>
      <c r="AC69" s="306"/>
      <c r="AD69" s="306"/>
      <c r="AE69" s="306"/>
      <c r="AF69" s="306"/>
      <c r="AG69" s="306"/>
    </row>
    <row r="70" spans="1:43" collapsed="1">
      <c r="A70" s="376" t="s">
        <v>533</v>
      </c>
    </row>
    <row r="71" spans="1:43">
      <c r="A71" s="202"/>
      <c r="B71" s="329"/>
      <c r="C71" s="329"/>
      <c r="D71" s="329"/>
      <c r="E71" s="329"/>
      <c r="F71" s="329"/>
      <c r="G71" s="329"/>
      <c r="H71" s="329"/>
      <c r="I71" s="329"/>
      <c r="J71" s="329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328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</row>
    <row r="72" spans="1:43" s="306" customFormat="1" hidden="1" outlineLevel="1">
      <c r="B72" s="331" t="s">
        <v>63</v>
      </c>
      <c r="C72" s="331" t="s">
        <v>63</v>
      </c>
      <c r="D72" s="331" t="s">
        <v>63</v>
      </c>
      <c r="E72" s="331" t="s">
        <v>63</v>
      </c>
      <c r="F72" s="331" t="s">
        <v>63</v>
      </c>
      <c r="G72" s="331" t="s">
        <v>63</v>
      </c>
      <c r="H72" s="331" t="s">
        <v>63</v>
      </c>
      <c r="I72" s="331" t="s">
        <v>63</v>
      </c>
      <c r="J72" s="331" t="s">
        <v>63</v>
      </c>
      <c r="K72" s="330" t="s">
        <v>63</v>
      </c>
      <c r="L72" s="330" t="s">
        <v>63</v>
      </c>
      <c r="M72" s="330" t="s">
        <v>63</v>
      </c>
      <c r="N72" s="330" t="s">
        <v>63</v>
      </c>
      <c r="O72" s="330" t="s">
        <v>63</v>
      </c>
      <c r="P72" s="330" t="s">
        <v>63</v>
      </c>
      <c r="Q72" s="330" t="s">
        <v>63</v>
      </c>
      <c r="R72" s="330" t="s">
        <v>63</v>
      </c>
      <c r="S72" s="330" t="s">
        <v>63</v>
      </c>
      <c r="T72" s="330" t="s">
        <v>63</v>
      </c>
      <c r="U72" s="330" t="s">
        <v>63</v>
      </c>
      <c r="V72" s="330" t="s">
        <v>63</v>
      </c>
      <c r="W72" s="330" t="s">
        <v>63</v>
      </c>
      <c r="X72" s="330" t="s">
        <v>63</v>
      </c>
      <c r="Y72" s="330" t="s">
        <v>63</v>
      </c>
      <c r="Z72" s="330" t="s">
        <v>63</v>
      </c>
      <c r="AA72" s="330" t="s">
        <v>63</v>
      </c>
      <c r="AB72" s="330" t="s">
        <v>63</v>
      </c>
      <c r="AC72" s="330" t="s">
        <v>63</v>
      </c>
      <c r="AD72" s="330" t="s">
        <v>63</v>
      </c>
      <c r="AE72" s="330" t="s">
        <v>63</v>
      </c>
      <c r="AF72" s="330" t="s">
        <v>63</v>
      </c>
      <c r="AG72" s="330" t="s">
        <v>63</v>
      </c>
      <c r="AH72" s="330" t="s">
        <v>63</v>
      </c>
      <c r="AI72" s="330" t="s">
        <v>63</v>
      </c>
      <c r="AJ72" s="330" t="s">
        <v>63</v>
      </c>
      <c r="AK72" s="330" t="s">
        <v>63</v>
      </c>
      <c r="AL72" s="330" t="s">
        <v>63</v>
      </c>
      <c r="AM72" s="330" t="s">
        <v>63</v>
      </c>
      <c r="AN72" s="330" t="s">
        <v>63</v>
      </c>
      <c r="AO72" s="330" t="s">
        <v>63</v>
      </c>
      <c r="AP72" s="330" t="s">
        <v>63</v>
      </c>
      <c r="AQ72" s="330" t="s">
        <v>63</v>
      </c>
    </row>
    <row r="73" spans="1:43" hidden="1" outlineLevel="1">
      <c r="A73" s="306"/>
      <c r="B73" s="332" t="s">
        <v>279</v>
      </c>
      <c r="K73" s="306"/>
      <c r="L73" s="327" t="s">
        <v>202</v>
      </c>
      <c r="M73" s="306"/>
      <c r="N73" s="306"/>
      <c r="O73" s="306"/>
      <c r="P73" s="306"/>
      <c r="Q73" s="306"/>
      <c r="R73" s="306"/>
      <c r="S73" s="306"/>
      <c r="T73" s="306"/>
      <c r="U73" s="306"/>
      <c r="V73" s="327"/>
      <c r="W73" s="306"/>
      <c r="X73" s="306"/>
      <c r="Y73" s="327"/>
      <c r="Z73" s="306"/>
      <c r="AA73" s="306"/>
      <c r="AB73" s="306"/>
      <c r="AC73" s="306"/>
      <c r="AD73" s="306"/>
      <c r="AE73" s="306"/>
      <c r="AF73" s="306"/>
      <c r="AG73" s="306"/>
      <c r="AH73" s="306"/>
      <c r="AI73" s="327"/>
      <c r="AJ73" s="306"/>
      <c r="AK73" s="306"/>
      <c r="AL73" s="306"/>
      <c r="AM73" s="306"/>
      <c r="AN73" s="306"/>
      <c r="AO73" s="306"/>
      <c r="AP73" s="306"/>
      <c r="AQ73" s="306"/>
    </row>
    <row r="74" spans="1:43" hidden="1" outlineLevel="1">
      <c r="A74" s="306"/>
      <c r="B74" s="23" t="s">
        <v>203</v>
      </c>
      <c r="C74" s="23" t="s">
        <v>436</v>
      </c>
      <c r="D74" s="23" t="s">
        <v>408</v>
      </c>
      <c r="E74" s="23" t="s">
        <v>435</v>
      </c>
      <c r="F74" s="23" t="s">
        <v>409</v>
      </c>
      <c r="G74" s="23" t="s">
        <v>152</v>
      </c>
      <c r="H74" s="23" t="s">
        <v>440</v>
      </c>
      <c r="I74" s="23" t="s">
        <v>435</v>
      </c>
      <c r="J74" s="23" t="s">
        <v>439</v>
      </c>
      <c r="K74" s="306"/>
      <c r="L74" s="23" t="s">
        <v>203</v>
      </c>
      <c r="M74" s="23" t="s">
        <v>436</v>
      </c>
      <c r="N74" s="23" t="s">
        <v>408</v>
      </c>
      <c r="O74" s="23" t="s">
        <v>435</v>
      </c>
      <c r="P74" s="23" t="s">
        <v>409</v>
      </c>
      <c r="Q74" s="23" t="s">
        <v>152</v>
      </c>
      <c r="R74" s="23" t="s">
        <v>440</v>
      </c>
      <c r="S74" s="23" t="s">
        <v>435</v>
      </c>
      <c r="T74" s="23" t="s">
        <v>439</v>
      </c>
      <c r="U74" s="306"/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</row>
    <row r="75" spans="1:43" hidden="1" outlineLevel="1">
      <c r="A75" s="306"/>
      <c r="B75" s="318" t="s">
        <v>373</v>
      </c>
      <c r="C75" s="318" t="s">
        <v>510</v>
      </c>
      <c r="D75" s="320" t="s">
        <v>63</v>
      </c>
      <c r="E75" s="317" t="str">
        <f>IF(ISBLANK(D75),Settings.BloombergPCS,D75)</f>
        <v xml:space="preserve"> </v>
      </c>
      <c r="F75" s="319" t="s">
        <v>411</v>
      </c>
      <c r="G75" s="317" t="str">
        <f>C75&amp;" "&amp;E75&amp;" "&amp;F75</f>
        <v>ADFR0AG   Curncy</v>
      </c>
      <c r="H75" s="321"/>
      <c r="I75" s="317" t="str">
        <f>IF(ISBLANK(H75),Settings.CurveSide.MidBidAsk,'AUD CURVE TICKERS'!H75)</f>
        <v>PX_MID</v>
      </c>
      <c r="J75" s="326">
        <f>IF(Settings.isCOBToday,_xll.BDP(G75,'AUD CURVE TICKERS'!I75),_xll.BDH(G75,'AUD CURVE TICKERS'!I75,Settings.COB,Settings.COB))</f>
        <v>2.1309999999999998</v>
      </c>
      <c r="K75" s="306"/>
      <c r="L75" s="318" t="s">
        <v>187</v>
      </c>
      <c r="M75" s="328" t="s">
        <v>519</v>
      </c>
      <c r="N75" s="320" t="s">
        <v>63</v>
      </c>
      <c r="O75" s="317" t="str">
        <f t="shared" ref="O75:O89" si="10">IF(ISBLANK(N75),Settings.BloombergPCS,N75)</f>
        <v xml:space="preserve"> </v>
      </c>
      <c r="P75" s="319" t="s">
        <v>411</v>
      </c>
      <c r="Q75" s="317" t="str">
        <f t="shared" ref="Q75:Q89" si="11">M75&amp;" "&amp;O75&amp;" "&amp;P75</f>
        <v>ADSW1   Curncy</v>
      </c>
      <c r="R75" s="321"/>
      <c r="S75" s="317" t="str">
        <f>IF(ISBLANK(R75),Settings.CurveSide.MidBidAsk,'AUD CURVE TICKERS'!R75)</f>
        <v>PX_MID</v>
      </c>
      <c r="T75" s="326">
        <f>IF(Settings.isCOBToday,_xll.BDP(Q75,'AUD CURVE TICKERS'!S75),_xll.BDH(Q75,'AUD CURVE TICKERS'!S75,Settings.COB,Settings.COB))</f>
        <v>2.145</v>
      </c>
      <c r="U75" s="306"/>
      <c r="V75" s="306"/>
      <c r="W75" s="306"/>
      <c r="X75" s="306"/>
      <c r="Y75" s="306"/>
      <c r="Z75" s="306"/>
      <c r="AA75" s="306"/>
      <c r="AB75" s="306"/>
      <c r="AC75" s="306"/>
      <c r="AD75" s="306"/>
      <c r="AE75" s="306"/>
      <c r="AF75" s="306"/>
      <c r="AG75" s="306"/>
      <c r="AH75" s="306"/>
      <c r="AI75" s="306"/>
      <c r="AJ75" s="306"/>
      <c r="AK75" s="306"/>
      <c r="AL75" s="306"/>
      <c r="AM75" s="306"/>
      <c r="AN75" s="306"/>
      <c r="AO75" s="306"/>
      <c r="AP75" s="306"/>
      <c r="AQ75" s="306"/>
    </row>
    <row r="76" spans="1:43" hidden="1" outlineLevel="1">
      <c r="A76" s="306"/>
      <c r="B76" s="318" t="s">
        <v>374</v>
      </c>
      <c r="C76" s="318" t="s">
        <v>511</v>
      </c>
      <c r="D76" s="320" t="s">
        <v>63</v>
      </c>
      <c r="E76" s="317" t="str">
        <f>IF(ISBLANK(D76),Settings.BloombergPCS,D76)</f>
        <v xml:space="preserve"> </v>
      </c>
      <c r="F76" s="319" t="s">
        <v>411</v>
      </c>
      <c r="G76" s="317" t="str">
        <f>C76&amp;" "&amp;E76&amp;" "&amp;F76</f>
        <v>ADFR0BH   Curncy</v>
      </c>
      <c r="H76" s="321"/>
      <c r="I76" s="317" t="str">
        <f>IF(ISBLANK(H76),Settings.CurveSide.MidBidAsk,'AUD CURVE TICKERS'!H76)</f>
        <v>PX_MID</v>
      </c>
      <c r="J76" s="326">
        <f>IF(Settings.isCOBToday,_xll.BDP(G76,'AUD CURVE TICKERS'!I76),_xll.BDH(G76,'AUD CURVE TICKERS'!I76,Settings.COB,Settings.COB))</f>
        <v>2.129</v>
      </c>
      <c r="K76" s="306"/>
      <c r="L76" s="318" t="s">
        <v>172</v>
      </c>
      <c r="M76" s="328" t="s">
        <v>520</v>
      </c>
      <c r="N76" s="320" t="s">
        <v>63</v>
      </c>
      <c r="O76" s="317" t="str">
        <f t="shared" si="10"/>
        <v xml:space="preserve"> </v>
      </c>
      <c r="P76" s="319" t="s">
        <v>411</v>
      </c>
      <c r="Q76" s="317" t="str">
        <f t="shared" si="11"/>
        <v>ADSW2   Curncy</v>
      </c>
      <c r="R76" s="321"/>
      <c r="S76" s="317" t="str">
        <f>IF(ISBLANK(R76),Settings.CurveSide.MidBidAsk,'AUD CURVE TICKERS'!R76)</f>
        <v>PX_MID</v>
      </c>
      <c r="T76" s="326">
        <f>IF(Settings.isCOBToday,_xll.BDP(Q76,'AUD CURVE TICKERS'!S76),_xll.BDH(Q76,'AUD CURVE TICKERS'!S76,Settings.COB,Settings.COB))</f>
        <v>2.2469999999999999</v>
      </c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</row>
    <row r="77" spans="1:43" hidden="1" outlineLevel="1">
      <c r="A77" s="306"/>
      <c r="B77" s="318" t="s">
        <v>375</v>
      </c>
      <c r="C77" s="318" t="s">
        <v>512</v>
      </c>
      <c r="D77" s="320" t="s">
        <v>63</v>
      </c>
      <c r="E77" s="317" t="str">
        <f>IF(ISBLANK(D77),Settings.BloombergPCS,D77)</f>
        <v xml:space="preserve"> </v>
      </c>
      <c r="F77" s="319" t="s">
        <v>411</v>
      </c>
      <c r="G77" s="317" t="str">
        <f>C77&amp;" "&amp;E77&amp;" "&amp;F77</f>
        <v>ADFR0CI   Curncy</v>
      </c>
      <c r="H77" s="321"/>
      <c r="I77" s="317" t="str">
        <f>IF(ISBLANK(H77),Settings.CurveSide.MidBidAsk,'AUD CURVE TICKERS'!H77)</f>
        <v>PX_MID</v>
      </c>
      <c r="J77" s="326">
        <f>IF(Settings.isCOBToday,_xll.BDP(G77,'AUD CURVE TICKERS'!I77),_xll.BDH(G77,'AUD CURVE TICKERS'!I77,Settings.COB,Settings.COB))</f>
        <v>2.13</v>
      </c>
      <c r="K77" s="306"/>
      <c r="L77" s="318" t="s">
        <v>173</v>
      </c>
      <c r="M77" s="328" t="s">
        <v>521</v>
      </c>
      <c r="N77" s="320" t="s">
        <v>63</v>
      </c>
      <c r="O77" s="317" t="str">
        <f t="shared" si="10"/>
        <v xml:space="preserve"> </v>
      </c>
      <c r="P77" s="319" t="s">
        <v>411</v>
      </c>
      <c r="Q77" s="317" t="str">
        <f t="shared" si="11"/>
        <v>ADSW3    Curncy</v>
      </c>
      <c r="R77" s="321"/>
      <c r="S77" s="317" t="str">
        <f>IF(ISBLANK(R77),Settings.CurveSide.MidBidAsk,'AUD CURVE TICKERS'!R77)</f>
        <v>PX_MID</v>
      </c>
      <c r="T77" s="326">
        <f>IF(Settings.isCOBToday,_xll.BDP(Q77,'AUD CURVE TICKERS'!S77),_xll.BDH(Q77,'AUD CURVE TICKERS'!S77,Settings.COB,Settings.COB))</f>
        <v>2.3450000000000002</v>
      </c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</row>
    <row r="78" spans="1:43" hidden="1" outlineLevel="1">
      <c r="A78" s="306"/>
      <c r="B78" s="318"/>
      <c r="C78" s="318"/>
      <c r="D78" s="320"/>
      <c r="E78" s="317"/>
      <c r="F78" s="319"/>
      <c r="G78" s="317"/>
      <c r="H78" s="321"/>
      <c r="I78" s="317"/>
      <c r="J78" s="326"/>
      <c r="K78" s="306"/>
      <c r="L78" s="318" t="s">
        <v>174</v>
      </c>
      <c r="M78" s="328" t="s">
        <v>473</v>
      </c>
      <c r="N78" s="320"/>
      <c r="O78" s="317" t="str">
        <f t="shared" si="10"/>
        <v>IAUS</v>
      </c>
      <c r="P78" s="319" t="s">
        <v>411</v>
      </c>
      <c r="Q78" s="317" t="str">
        <f t="shared" si="11"/>
        <v>ADSW4 IAUS Curncy</v>
      </c>
      <c r="R78" s="321"/>
      <c r="S78" s="317" t="str">
        <f>IF(ISBLANK(R78),Settings.CurveSide.MidBidAsk,'AUD CURVE TICKERS'!R78)</f>
        <v>PX_MID</v>
      </c>
      <c r="T78" s="326">
        <f>IF(Settings.isCOBToday,_xll.BDP(Q78,'AUD CURVE TICKERS'!S78),_xll.BDH(Q78,'AUD CURVE TICKERS'!S78,Settings.COB,Settings.COB))</f>
        <v>2.44</v>
      </c>
      <c r="U78" s="306"/>
      <c r="V78" s="306"/>
      <c r="W78" s="306"/>
      <c r="X78" s="306"/>
      <c r="Y78" s="306"/>
      <c r="Z78" s="306"/>
      <c r="AA78" s="306"/>
      <c r="AB78" s="306"/>
      <c r="AC78" s="306"/>
      <c r="AD78" s="306"/>
      <c r="AE78" s="306"/>
      <c r="AF78" s="306"/>
      <c r="AG78" s="306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</row>
    <row r="79" spans="1:43" hidden="1" outlineLevel="1">
      <c r="A79" s="306"/>
      <c r="B79" s="318"/>
      <c r="C79" s="318"/>
      <c r="D79" s="320"/>
      <c r="E79" s="317"/>
      <c r="F79" s="319"/>
      <c r="G79" s="317"/>
      <c r="H79" s="321"/>
      <c r="I79" s="317"/>
      <c r="J79" s="326"/>
      <c r="K79" s="306"/>
      <c r="L79" s="318" t="s">
        <v>175</v>
      </c>
      <c r="M79" s="328" t="s">
        <v>474</v>
      </c>
      <c r="N79" s="320"/>
      <c r="O79" s="317" t="str">
        <f t="shared" si="10"/>
        <v>IAUS</v>
      </c>
      <c r="P79" s="319" t="s">
        <v>411</v>
      </c>
      <c r="Q79" s="317" t="str">
        <f t="shared" si="11"/>
        <v>ADSW5 IAUS Curncy</v>
      </c>
      <c r="R79" s="321"/>
      <c r="S79" s="317" t="str">
        <f>IF(ISBLANK(R79),Settings.CurveSide.MidBidAsk,'AUD CURVE TICKERS'!R79)</f>
        <v>PX_MID</v>
      </c>
      <c r="T79" s="326">
        <f>IF(Settings.isCOBToday,_xll.BDP(Q79,'AUD CURVE TICKERS'!S79),_xll.BDH(Q79,'AUD CURVE TICKERS'!S79,Settings.COB,Settings.COB))</f>
        <v>2.53125</v>
      </c>
      <c r="U79" s="306"/>
      <c r="V79" s="306"/>
      <c r="W79" s="306"/>
      <c r="X79" s="306"/>
      <c r="Y79" s="306"/>
      <c r="Z79" s="306"/>
      <c r="AA79" s="306"/>
      <c r="AB79" s="306"/>
      <c r="AC79" s="306"/>
      <c r="AD79" s="306"/>
      <c r="AE79" s="306"/>
      <c r="AF79" s="306"/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</row>
    <row r="80" spans="1:43" hidden="1" outlineLevel="1">
      <c r="A80" s="306"/>
      <c r="B80" s="318"/>
      <c r="C80" s="318"/>
      <c r="D80" s="320"/>
      <c r="E80" s="317"/>
      <c r="F80" s="319"/>
      <c r="G80" s="317"/>
      <c r="H80" s="321"/>
      <c r="I80" s="317"/>
      <c r="J80" s="326"/>
      <c r="K80" s="306"/>
      <c r="L80" s="318" t="s">
        <v>176</v>
      </c>
      <c r="M80" s="328" t="s">
        <v>475</v>
      </c>
      <c r="N80" s="320"/>
      <c r="O80" s="317" t="str">
        <f t="shared" si="10"/>
        <v>IAUS</v>
      </c>
      <c r="P80" s="319" t="s">
        <v>411</v>
      </c>
      <c r="Q80" s="317" t="str">
        <f t="shared" si="11"/>
        <v>ADSW6 IAUS Curncy</v>
      </c>
      <c r="R80" s="321"/>
      <c r="S80" s="317" t="str">
        <f>IF(ISBLANK(R80),Settings.CurveSide.MidBidAsk,'AUD CURVE TICKERS'!R80)</f>
        <v>PX_MID</v>
      </c>
      <c r="T80" s="326">
        <f>IF(Settings.isCOBToday,_xll.BDP(Q80,'AUD CURVE TICKERS'!S80),_xll.BDH(Q80,'AUD CURVE TICKERS'!S80,Settings.COB,Settings.COB))</f>
        <v>2.61625</v>
      </c>
      <c r="U80" s="306"/>
      <c r="V80" s="306"/>
      <c r="W80" s="306"/>
      <c r="X80" s="306"/>
      <c r="Y80" s="306"/>
      <c r="Z80" s="306"/>
      <c r="AA80" s="306"/>
      <c r="AB80" s="306"/>
      <c r="AC80" s="306"/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</row>
    <row r="81" spans="1:43" hidden="1" outlineLevel="1">
      <c r="A81" s="306"/>
      <c r="B81" s="318"/>
      <c r="C81" s="318"/>
      <c r="D81" s="320"/>
      <c r="E81" s="317"/>
      <c r="F81" s="319"/>
      <c r="G81" s="317"/>
      <c r="H81" s="321"/>
      <c r="I81" s="317"/>
      <c r="J81" s="326"/>
      <c r="K81" s="306"/>
      <c r="L81" s="318" t="s">
        <v>177</v>
      </c>
      <c r="M81" s="328" t="s">
        <v>476</v>
      </c>
      <c r="N81" s="320"/>
      <c r="O81" s="317" t="str">
        <f t="shared" si="10"/>
        <v>IAUS</v>
      </c>
      <c r="P81" s="319" t="s">
        <v>411</v>
      </c>
      <c r="Q81" s="317" t="str">
        <f t="shared" si="11"/>
        <v>ADSW7 IAUS Curncy</v>
      </c>
      <c r="R81" s="321"/>
      <c r="S81" s="317" t="str">
        <f>IF(ISBLANK(R81),Settings.CurveSide.MidBidAsk,'AUD CURVE TICKERS'!R81)</f>
        <v>PX_MID</v>
      </c>
      <c r="T81" s="326">
        <f>IF(Settings.isCOBToday,_xll.BDP(Q81,'AUD CURVE TICKERS'!S81),_xll.BDH(Q81,'AUD CURVE TICKERS'!S81,Settings.COB,Settings.COB))</f>
        <v>2.6924999999999999</v>
      </c>
      <c r="U81" s="306"/>
      <c r="V81" s="306"/>
      <c r="W81" s="306"/>
      <c r="X81" s="306"/>
      <c r="Y81" s="306"/>
      <c r="Z81" s="306"/>
      <c r="AA81" s="306"/>
      <c r="AB81" s="306"/>
      <c r="AC81" s="306"/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</row>
    <row r="82" spans="1:43" hidden="1" outlineLevel="1">
      <c r="A82" s="306"/>
      <c r="B82" s="318"/>
      <c r="C82" s="318"/>
      <c r="D82" s="320"/>
      <c r="E82" s="317"/>
      <c r="F82" s="319"/>
      <c r="G82" s="317"/>
      <c r="H82" s="321"/>
      <c r="I82" s="317"/>
      <c r="J82" s="326"/>
      <c r="K82" s="306"/>
      <c r="L82" s="318" t="s">
        <v>178</v>
      </c>
      <c r="M82" s="328" t="s">
        <v>477</v>
      </c>
      <c r="N82" s="320"/>
      <c r="O82" s="317" t="str">
        <f t="shared" si="10"/>
        <v>IAUS</v>
      </c>
      <c r="P82" s="319" t="s">
        <v>411</v>
      </c>
      <c r="Q82" s="317" t="str">
        <f t="shared" si="11"/>
        <v>ADSW8 IAUS Curncy</v>
      </c>
      <c r="R82" s="321"/>
      <c r="S82" s="317" t="str">
        <f>IF(ISBLANK(R82),Settings.CurveSide.MidBidAsk,'AUD CURVE TICKERS'!R82)</f>
        <v>PX_MID</v>
      </c>
      <c r="T82" s="326">
        <f>IF(Settings.isCOBToday,_xll.BDP(Q82,'AUD CURVE TICKERS'!S82),_xll.BDH(Q82,'AUD CURVE TICKERS'!S82,Settings.COB,Settings.COB))</f>
        <v>2.76</v>
      </c>
      <c r="U82" s="306"/>
      <c r="V82" s="306"/>
      <c r="W82" s="306"/>
      <c r="X82" s="306"/>
      <c r="Y82" s="306"/>
      <c r="Z82" s="306"/>
      <c r="AA82" s="306"/>
      <c r="AB82" s="306"/>
      <c r="AC82" s="306"/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</row>
    <row r="83" spans="1:43" hidden="1" outlineLevel="1">
      <c r="A83" s="306"/>
      <c r="B83" s="318"/>
      <c r="C83" s="318"/>
      <c r="D83" s="320"/>
      <c r="E83" s="317"/>
      <c r="F83" s="319"/>
      <c r="G83" s="317"/>
      <c r="H83" s="321"/>
      <c r="I83" s="317"/>
      <c r="J83" s="326"/>
      <c r="K83" s="306"/>
      <c r="L83" s="318" t="s">
        <v>179</v>
      </c>
      <c r="M83" s="328" t="s">
        <v>478</v>
      </c>
      <c r="N83" s="320"/>
      <c r="O83" s="317" t="str">
        <f t="shared" si="10"/>
        <v>IAUS</v>
      </c>
      <c r="P83" s="319" t="s">
        <v>411</v>
      </c>
      <c r="Q83" s="317" t="str">
        <f t="shared" si="11"/>
        <v>ADSW9 IAUS Curncy</v>
      </c>
      <c r="R83" s="321"/>
      <c r="S83" s="317" t="str">
        <f>IF(ISBLANK(R83),Settings.CurveSide.MidBidAsk,'AUD CURVE TICKERS'!R83)</f>
        <v>PX_MID</v>
      </c>
      <c r="T83" s="326">
        <f>IF(Settings.isCOBToday,_xll.BDP(Q83,'AUD CURVE TICKERS'!S83),_xll.BDH(Q83,'AUD CURVE TICKERS'!S83,Settings.COB,Settings.COB))</f>
        <v>2.8187500000000001</v>
      </c>
      <c r="U83" s="306"/>
      <c r="V83" s="306"/>
      <c r="W83" s="306"/>
      <c r="X83" s="306"/>
      <c r="Y83" s="306"/>
      <c r="Z83" s="306"/>
      <c r="AA83" s="306"/>
      <c r="AB83" s="306"/>
      <c r="AC83" s="306"/>
      <c r="AD83" s="306"/>
      <c r="AE83" s="306"/>
      <c r="AF83" s="306"/>
      <c r="AG83" s="306"/>
      <c r="AH83" s="306"/>
      <c r="AI83" s="306"/>
      <c r="AJ83" s="306"/>
      <c r="AK83" s="306"/>
      <c r="AL83" s="306"/>
      <c r="AM83" s="306"/>
      <c r="AN83" s="306"/>
      <c r="AO83" s="306"/>
      <c r="AP83" s="306"/>
      <c r="AQ83" s="306"/>
    </row>
    <row r="84" spans="1:43" hidden="1" outlineLevel="1">
      <c r="A84" s="306"/>
      <c r="B84" s="318"/>
      <c r="C84" s="318"/>
      <c r="D84" s="320"/>
      <c r="E84" s="317"/>
      <c r="F84" s="319"/>
      <c r="G84" s="317"/>
      <c r="H84" s="321"/>
      <c r="I84" s="317"/>
      <c r="J84" s="326"/>
      <c r="K84" s="306"/>
      <c r="L84" s="318" t="s">
        <v>181</v>
      </c>
      <c r="M84" s="328" t="s">
        <v>479</v>
      </c>
      <c r="N84" s="320"/>
      <c r="O84" s="317" t="str">
        <f t="shared" si="10"/>
        <v>IAUS</v>
      </c>
      <c r="P84" s="319" t="s">
        <v>411</v>
      </c>
      <c r="Q84" s="317" t="str">
        <f t="shared" si="11"/>
        <v>ADSW10 IAUS Curncy</v>
      </c>
      <c r="R84" s="321"/>
      <c r="S84" s="317" t="str">
        <f>IF(ISBLANK(R84),Settings.CurveSide.MidBidAsk,'AUD CURVE TICKERS'!R84)</f>
        <v>PX_MID</v>
      </c>
      <c r="T84" s="326">
        <f>IF(Settings.isCOBToday,_xll.BDP(Q84,'AUD CURVE TICKERS'!S84),_xll.BDH(Q84,'AUD CURVE TICKERS'!S84,Settings.COB,Settings.COB))</f>
        <v>2.8712499999999999</v>
      </c>
      <c r="U84" s="306"/>
      <c r="V84" s="306"/>
      <c r="W84" s="306"/>
      <c r="X84" s="306"/>
      <c r="Y84" s="306"/>
      <c r="Z84" s="306"/>
      <c r="AA84" s="306"/>
      <c r="AB84" s="306"/>
      <c r="AC84" s="306"/>
      <c r="AD84" s="306"/>
      <c r="AE84" s="306"/>
      <c r="AF84" s="306"/>
      <c r="AG84" s="306"/>
      <c r="AH84" s="306"/>
      <c r="AI84" s="306"/>
      <c r="AJ84" s="306"/>
      <c r="AK84" s="306"/>
      <c r="AL84" s="306"/>
      <c r="AM84" s="306"/>
      <c r="AN84" s="306"/>
      <c r="AO84" s="306"/>
      <c r="AP84" s="306"/>
      <c r="AQ84" s="306"/>
    </row>
    <row r="85" spans="1:43" hidden="1" outlineLevel="1">
      <c r="A85" s="306"/>
      <c r="B85" s="318"/>
      <c r="C85" s="318"/>
      <c r="D85" s="320"/>
      <c r="E85" s="317"/>
      <c r="F85" s="319"/>
      <c r="G85" s="317"/>
      <c r="H85" s="321"/>
      <c r="I85" s="317"/>
      <c r="J85" s="326"/>
      <c r="K85" s="306"/>
      <c r="L85" s="318" t="s">
        <v>180</v>
      </c>
      <c r="M85" s="328" t="s">
        <v>522</v>
      </c>
      <c r="N85" s="320"/>
      <c r="O85" s="317" t="str">
        <f t="shared" si="10"/>
        <v>IAUS</v>
      </c>
      <c r="P85" s="319" t="s">
        <v>411</v>
      </c>
      <c r="Q85" s="317" t="str">
        <f t="shared" si="11"/>
        <v>ADSW12 IAUS Curncy</v>
      </c>
      <c r="R85" s="321"/>
      <c r="S85" s="317" t="str">
        <f>IF(ISBLANK(R85),Settings.CurveSide.MidBidAsk,'AUD CURVE TICKERS'!R85)</f>
        <v>PX_MID</v>
      </c>
      <c r="T85" s="326">
        <f>IF(Settings.isCOBToday,_xll.BDP(Q85,'AUD CURVE TICKERS'!S85),_xll.BDH(Q85,'AUD CURVE TICKERS'!S85,Settings.COB,Settings.COB))</f>
        <v>2.9637500000000001</v>
      </c>
      <c r="U85" s="306"/>
      <c r="V85" s="306"/>
      <c r="W85" s="306"/>
      <c r="X85" s="306"/>
      <c r="Y85" s="306"/>
      <c r="Z85" s="306"/>
      <c r="AA85" s="306"/>
      <c r="AB85" s="306"/>
      <c r="AC85" s="306"/>
      <c r="AD85" s="306"/>
      <c r="AE85" s="306"/>
      <c r="AF85" s="306"/>
      <c r="AG85" s="306"/>
      <c r="AH85" s="306"/>
      <c r="AI85" s="306"/>
      <c r="AJ85" s="306"/>
      <c r="AK85" s="306"/>
      <c r="AL85" s="306"/>
      <c r="AM85" s="306"/>
      <c r="AN85" s="306"/>
      <c r="AO85" s="306"/>
      <c r="AP85" s="306"/>
      <c r="AQ85" s="306"/>
    </row>
    <row r="86" spans="1:43" hidden="1" outlineLevel="1">
      <c r="A86" s="306"/>
      <c r="B86" s="318"/>
      <c r="C86" s="318"/>
      <c r="D86" s="320"/>
      <c r="E86" s="317"/>
      <c r="F86" s="319"/>
      <c r="G86" s="317"/>
      <c r="H86" s="321"/>
      <c r="I86" s="317"/>
      <c r="J86" s="326"/>
      <c r="K86" s="306"/>
      <c r="L86" s="318" t="s">
        <v>182</v>
      </c>
      <c r="M86" s="328" t="s">
        <v>480</v>
      </c>
      <c r="N86" s="320"/>
      <c r="O86" s="317" t="str">
        <f t="shared" si="10"/>
        <v>IAUS</v>
      </c>
      <c r="P86" s="319" t="s">
        <v>411</v>
      </c>
      <c r="Q86" s="317" t="str">
        <f t="shared" si="11"/>
        <v>ADSW15 IAUS Curncy</v>
      </c>
      <c r="R86" s="321"/>
      <c r="S86" s="317" t="str">
        <f>IF(ISBLANK(R86),Settings.CurveSide.MidBidAsk,'AUD CURVE TICKERS'!R86)</f>
        <v>PX_MID</v>
      </c>
      <c r="T86" s="326">
        <f>IF(Settings.isCOBToday,_xll.BDP(Q86,'AUD CURVE TICKERS'!S86),_xll.BDH(Q86,'AUD CURVE TICKERS'!S86,Settings.COB,Settings.COB))</f>
        <v>3.0587499999999999</v>
      </c>
      <c r="U86" s="306"/>
      <c r="V86" s="306"/>
      <c r="W86" s="306"/>
      <c r="X86" s="306"/>
      <c r="Y86" s="306"/>
      <c r="Z86" s="306"/>
      <c r="AA86" s="306"/>
      <c r="AB86" s="306"/>
      <c r="AC86" s="306"/>
      <c r="AD86" s="306"/>
      <c r="AE86" s="306"/>
      <c r="AF86" s="306"/>
      <c r="AG86" s="306"/>
      <c r="AH86" s="306"/>
      <c r="AI86" s="306"/>
      <c r="AJ86" s="306"/>
      <c r="AK86" s="306"/>
      <c r="AL86" s="306"/>
      <c r="AM86" s="306"/>
      <c r="AN86" s="306"/>
      <c r="AO86" s="306"/>
      <c r="AP86" s="306"/>
      <c r="AQ86" s="306"/>
    </row>
    <row r="87" spans="1:43" hidden="1" outlineLevel="1">
      <c r="A87" s="306"/>
      <c r="B87" s="318"/>
      <c r="C87" s="318"/>
      <c r="D87" s="320"/>
      <c r="E87" s="317"/>
      <c r="F87" s="319"/>
      <c r="G87" s="317"/>
      <c r="H87" s="321"/>
      <c r="I87" s="317"/>
      <c r="J87" s="326"/>
      <c r="K87" s="306"/>
      <c r="L87" s="318" t="s">
        <v>183</v>
      </c>
      <c r="M87" s="328" t="s">
        <v>481</v>
      </c>
      <c r="N87" s="320"/>
      <c r="O87" s="317" t="str">
        <f t="shared" si="10"/>
        <v>IAUS</v>
      </c>
      <c r="P87" s="319" t="s">
        <v>411</v>
      </c>
      <c r="Q87" s="317" t="str">
        <f t="shared" si="11"/>
        <v>ADSW20 IAUS Curncy</v>
      </c>
      <c r="R87" s="321"/>
      <c r="S87" s="317" t="str">
        <f>IF(ISBLANK(R87),Settings.CurveSide.MidBidAsk,'AUD CURVE TICKERS'!R87)</f>
        <v>PX_MID</v>
      </c>
      <c r="T87" s="326">
        <f>IF(Settings.isCOBToday,_xll.BDP(Q87,'AUD CURVE TICKERS'!S87),_xll.BDH(Q87,'AUD CURVE TICKERS'!S87,Settings.COB,Settings.COB))</f>
        <v>3.1262500000000002</v>
      </c>
      <c r="U87" s="306"/>
      <c r="V87" s="306"/>
      <c r="W87" s="306"/>
      <c r="X87" s="306"/>
      <c r="Y87" s="306"/>
      <c r="Z87" s="306"/>
      <c r="AA87" s="306"/>
      <c r="AB87" s="306"/>
      <c r="AC87" s="306"/>
      <c r="AD87" s="306"/>
      <c r="AE87" s="306"/>
      <c r="AF87" s="306"/>
      <c r="AG87" s="306"/>
      <c r="AH87" s="306"/>
      <c r="AI87" s="306"/>
      <c r="AJ87" s="306"/>
      <c r="AK87" s="306"/>
      <c r="AL87" s="306"/>
      <c r="AM87" s="306"/>
      <c r="AN87" s="306"/>
      <c r="AO87" s="306"/>
      <c r="AP87" s="306"/>
      <c r="AQ87" s="306"/>
    </row>
    <row r="88" spans="1:43" hidden="1" outlineLevel="1">
      <c r="A88" s="306"/>
      <c r="B88" s="318"/>
      <c r="C88" s="318"/>
      <c r="D88" s="320"/>
      <c r="E88" s="317"/>
      <c r="F88" s="319"/>
      <c r="G88" s="317"/>
      <c r="H88" s="321"/>
      <c r="I88" s="317"/>
      <c r="J88" s="326"/>
      <c r="K88" s="306"/>
      <c r="L88" s="318" t="s">
        <v>184</v>
      </c>
      <c r="M88" s="328" t="s">
        <v>482</v>
      </c>
      <c r="N88" s="320"/>
      <c r="O88" s="317" t="str">
        <f t="shared" si="10"/>
        <v>IAUS</v>
      </c>
      <c r="P88" s="319" t="s">
        <v>411</v>
      </c>
      <c r="Q88" s="317" t="str">
        <f t="shared" si="11"/>
        <v>ADSW25 IAUS Curncy</v>
      </c>
      <c r="R88" s="321"/>
      <c r="S88" s="317" t="str">
        <f>IF(ISBLANK(R88),Settings.CurveSide.MidBidAsk,'AUD CURVE TICKERS'!R88)</f>
        <v>PX_MID</v>
      </c>
      <c r="T88" s="326">
        <f>IF(Settings.isCOBToday,_xll.BDP(Q88,'AUD CURVE TICKERS'!S88),_xll.BDH(Q88,'AUD CURVE TICKERS'!S88,Settings.COB,Settings.COB))</f>
        <v>3.13625</v>
      </c>
      <c r="U88" s="306"/>
      <c r="V88" s="306"/>
      <c r="W88" s="306"/>
      <c r="X88" s="306"/>
      <c r="Y88" s="306"/>
      <c r="Z88" s="306"/>
      <c r="AA88" s="306"/>
      <c r="AB88" s="306"/>
      <c r="AC88" s="306"/>
      <c r="AD88" s="306"/>
      <c r="AE88" s="306"/>
      <c r="AF88" s="306"/>
      <c r="AG88" s="306"/>
      <c r="AH88" s="306"/>
      <c r="AI88" s="306"/>
      <c r="AJ88" s="306"/>
      <c r="AK88" s="306"/>
      <c r="AL88" s="306"/>
      <c r="AM88" s="306"/>
      <c r="AN88" s="306"/>
      <c r="AO88" s="306"/>
      <c r="AP88" s="306"/>
      <c r="AQ88" s="306"/>
    </row>
    <row r="89" spans="1:43" hidden="1" outlineLevel="1">
      <c r="A89" s="306"/>
      <c r="B89" s="318"/>
      <c r="C89" s="318"/>
      <c r="D89" s="320"/>
      <c r="E89" s="317"/>
      <c r="F89" s="319"/>
      <c r="G89" s="317"/>
      <c r="H89" s="321"/>
      <c r="I89" s="317"/>
      <c r="J89" s="326"/>
      <c r="K89" s="306"/>
      <c r="L89" s="318" t="s">
        <v>185</v>
      </c>
      <c r="M89" s="328" t="s">
        <v>483</v>
      </c>
      <c r="N89" s="320"/>
      <c r="O89" s="317" t="str">
        <f t="shared" si="10"/>
        <v>IAUS</v>
      </c>
      <c r="P89" s="319" t="s">
        <v>411</v>
      </c>
      <c r="Q89" s="317" t="str">
        <f t="shared" si="11"/>
        <v>ADSW30 IAUS Curncy</v>
      </c>
      <c r="R89" s="321"/>
      <c r="S89" s="317" t="str">
        <f>IF(ISBLANK(R89),Settings.CurveSide.MidBidAsk,'AUD CURVE TICKERS'!R89)</f>
        <v>PX_MID</v>
      </c>
      <c r="T89" s="326">
        <f>IF(Settings.isCOBToday,_xll.BDP(Q89,'AUD CURVE TICKERS'!S89),_xll.BDH(Q89,'AUD CURVE TICKERS'!S89,Settings.COB,Settings.COB))</f>
        <v>3.1037499999999998</v>
      </c>
      <c r="U89" s="306"/>
      <c r="V89" s="306"/>
      <c r="W89" s="306"/>
      <c r="X89" s="306"/>
      <c r="Y89" s="306"/>
      <c r="Z89" s="306"/>
      <c r="AA89" s="306"/>
      <c r="AB89" s="306"/>
      <c r="AC89" s="306"/>
      <c r="AD89" s="306"/>
      <c r="AE89" s="306"/>
      <c r="AF89" s="306"/>
      <c r="AG89" s="306"/>
      <c r="AH89" s="306"/>
      <c r="AI89" s="306"/>
      <c r="AJ89" s="306"/>
      <c r="AK89" s="306"/>
      <c r="AL89" s="306"/>
      <c r="AM89" s="306"/>
      <c r="AN89" s="306"/>
      <c r="AO89" s="306"/>
      <c r="AP89" s="306"/>
      <c r="AQ89" s="306"/>
    </row>
    <row r="90" spans="1:43" hidden="1" outlineLevel="1">
      <c r="A90" s="306"/>
      <c r="B90" s="318"/>
      <c r="C90" s="318"/>
      <c r="D90" s="320"/>
      <c r="E90" s="317"/>
      <c r="F90" s="319"/>
      <c r="G90" s="317"/>
      <c r="H90" s="321"/>
      <c r="I90" s="317"/>
      <c r="J90" s="326"/>
      <c r="K90" s="306"/>
      <c r="L90" s="318"/>
      <c r="M90" s="328"/>
      <c r="N90" s="320"/>
      <c r="O90" s="317"/>
      <c r="P90" s="319"/>
      <c r="Q90" s="317"/>
      <c r="R90" s="321"/>
      <c r="S90" s="317"/>
      <c r="T90" s="326"/>
      <c r="U90" s="306"/>
      <c r="V90" s="306"/>
      <c r="W90" s="306"/>
      <c r="X90" s="306"/>
      <c r="Y90" s="306"/>
      <c r="Z90" s="306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  <c r="AK90" s="306"/>
      <c r="AL90" s="306"/>
      <c r="AM90" s="306"/>
      <c r="AN90" s="306"/>
      <c r="AO90" s="306"/>
      <c r="AP90" s="306"/>
      <c r="AQ90" s="306"/>
    </row>
    <row r="91" spans="1:43" hidden="1" outlineLevel="1">
      <c r="A91" s="306"/>
      <c r="B91" s="318"/>
      <c r="C91" s="318"/>
      <c r="D91" s="320"/>
      <c r="E91" s="317"/>
      <c r="F91" s="319"/>
      <c r="G91" s="317"/>
      <c r="H91" s="321"/>
      <c r="I91" s="317"/>
      <c r="J91" s="326"/>
      <c r="K91" s="306"/>
      <c r="L91" s="318"/>
      <c r="M91" s="328"/>
      <c r="N91" s="320"/>
      <c r="O91" s="317"/>
      <c r="P91" s="319"/>
      <c r="Q91" s="317"/>
      <c r="R91" s="321"/>
      <c r="S91" s="317"/>
      <c r="T91" s="326"/>
      <c r="U91" s="306"/>
      <c r="V91" s="306"/>
      <c r="W91" s="306"/>
      <c r="X91" s="306"/>
      <c r="Y91" s="306"/>
      <c r="Z91" s="306"/>
      <c r="AA91" s="306"/>
      <c r="AB91" s="306"/>
      <c r="AC91" s="306"/>
      <c r="AD91" s="306"/>
      <c r="AE91" s="306"/>
      <c r="AF91" s="306"/>
      <c r="AG91" s="306"/>
      <c r="AH91" s="306"/>
      <c r="AI91" s="306"/>
      <c r="AJ91" s="306"/>
      <c r="AK91" s="306"/>
      <c r="AL91" s="306"/>
      <c r="AM91" s="306"/>
      <c r="AN91" s="306"/>
      <c r="AO91" s="306"/>
      <c r="AP91" s="306"/>
      <c r="AQ91" s="306"/>
    </row>
    <row r="92" spans="1:43" hidden="1" outlineLevel="1">
      <c r="A92" s="306"/>
      <c r="B92" s="318"/>
      <c r="C92" s="318"/>
      <c r="D92" s="320"/>
      <c r="E92" s="317"/>
      <c r="F92" s="319"/>
      <c r="G92" s="317"/>
      <c r="H92" s="321"/>
      <c r="I92" s="317"/>
      <c r="J92" s="326"/>
      <c r="K92" s="306"/>
      <c r="L92" s="318"/>
      <c r="M92" s="328"/>
      <c r="N92" s="320"/>
      <c r="O92" s="317"/>
      <c r="P92" s="319"/>
      <c r="Q92" s="317"/>
      <c r="R92" s="321"/>
      <c r="S92" s="317"/>
      <c r="T92" s="326"/>
      <c r="U92" s="306"/>
      <c r="V92" s="306"/>
      <c r="W92" s="306"/>
      <c r="X92" s="306"/>
      <c r="Y92" s="306"/>
      <c r="Z92" s="306"/>
      <c r="AA92" s="306"/>
      <c r="AB92" s="306"/>
      <c r="AC92" s="306"/>
      <c r="AD92" s="306"/>
      <c r="AE92" s="306"/>
      <c r="AF92" s="306"/>
      <c r="AG92" s="306"/>
      <c r="AH92" s="306"/>
      <c r="AI92" s="306"/>
      <c r="AJ92" s="306"/>
      <c r="AK92" s="306"/>
      <c r="AL92" s="306"/>
      <c r="AM92" s="306"/>
      <c r="AN92" s="306"/>
      <c r="AO92" s="306"/>
      <c r="AP92" s="306"/>
      <c r="AQ92" s="306"/>
    </row>
    <row r="93" spans="1:43" hidden="1" outlineLevel="1">
      <c r="A93" s="306"/>
      <c r="B93" s="318"/>
      <c r="C93" s="318"/>
      <c r="D93" s="320"/>
      <c r="E93" s="317"/>
      <c r="F93" s="319"/>
      <c r="G93" s="317"/>
      <c r="H93" s="321"/>
      <c r="I93" s="317"/>
      <c r="J93" s="326"/>
      <c r="K93" s="306"/>
      <c r="L93" s="318"/>
      <c r="M93" s="328"/>
      <c r="N93" s="320"/>
      <c r="O93" s="317"/>
      <c r="P93" s="319"/>
      <c r="Q93" s="317"/>
      <c r="R93" s="321"/>
      <c r="S93" s="317"/>
      <c r="T93" s="326"/>
      <c r="U93" s="306"/>
      <c r="V93" s="306"/>
      <c r="W93" s="306"/>
      <c r="X93" s="306"/>
      <c r="Y93" s="306"/>
      <c r="Z93" s="306"/>
      <c r="AA93" s="306"/>
      <c r="AB93" s="306"/>
      <c r="AC93" s="306"/>
      <c r="AD93" s="306"/>
      <c r="AE93" s="306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</row>
    <row r="94" spans="1:43" hidden="1" outlineLevel="1">
      <c r="A94" s="306"/>
      <c r="B94" s="318"/>
      <c r="C94" s="318"/>
      <c r="D94" s="320"/>
      <c r="E94" s="317"/>
      <c r="F94" s="319"/>
      <c r="G94" s="317"/>
      <c r="H94" s="321"/>
      <c r="I94" s="317"/>
      <c r="J94" s="326"/>
      <c r="K94" s="306"/>
      <c r="L94" s="318"/>
      <c r="M94" s="328"/>
      <c r="N94" s="320"/>
      <c r="O94" s="317"/>
      <c r="P94" s="319"/>
      <c r="Q94" s="317"/>
      <c r="R94" s="321"/>
      <c r="S94" s="317"/>
      <c r="T94" s="32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</row>
    <row r="95" spans="1:43" hidden="1" outlineLevel="1">
      <c r="A95" s="306"/>
      <c r="B95" s="318"/>
      <c r="C95" s="318"/>
      <c r="D95" s="320"/>
      <c r="E95" s="317"/>
      <c r="F95" s="319"/>
      <c r="G95" s="317"/>
      <c r="H95" s="321"/>
      <c r="I95" s="317"/>
      <c r="J95" s="326"/>
      <c r="K95" s="306"/>
      <c r="L95" s="318"/>
      <c r="M95" s="328"/>
      <c r="N95" s="320"/>
      <c r="O95" s="317"/>
      <c r="P95" s="319"/>
      <c r="Q95" s="317"/>
      <c r="R95" s="321"/>
      <c r="S95" s="317"/>
      <c r="T95" s="326"/>
      <c r="U95" s="306"/>
      <c r="V95" s="306"/>
      <c r="W95" s="306"/>
      <c r="X95" s="306"/>
      <c r="Y95" s="306"/>
      <c r="Z95" s="306"/>
      <c r="AA95" s="306"/>
      <c r="AB95" s="306"/>
      <c r="AC95" s="306"/>
      <c r="AD95" s="306"/>
      <c r="AE95" s="306"/>
      <c r="AF95" s="306"/>
      <c r="AG95" s="306"/>
      <c r="AH95" s="306"/>
      <c r="AI95" s="306"/>
      <c r="AJ95" s="306"/>
      <c r="AK95" s="306"/>
      <c r="AL95" s="306"/>
      <c r="AM95" s="306"/>
      <c r="AN95" s="306"/>
      <c r="AO95" s="306"/>
      <c r="AP95" s="306"/>
      <c r="AQ95" s="306"/>
    </row>
    <row r="96" spans="1:43" hidden="1" outlineLevel="1">
      <c r="A96" s="306"/>
      <c r="B96" s="318"/>
      <c r="C96" s="318"/>
      <c r="D96" s="320"/>
      <c r="E96" s="317"/>
      <c r="F96" s="319"/>
      <c r="G96" s="317"/>
      <c r="H96" s="321"/>
      <c r="I96" s="317"/>
      <c r="J96" s="326"/>
      <c r="K96" s="306"/>
      <c r="L96" s="318"/>
      <c r="M96" s="328"/>
      <c r="N96" s="320"/>
      <c r="O96" s="317"/>
      <c r="P96" s="319"/>
      <c r="Q96" s="317"/>
      <c r="R96" s="321"/>
      <c r="S96" s="317"/>
      <c r="T96" s="326"/>
      <c r="U96" s="306"/>
      <c r="V96" s="306"/>
      <c r="W96" s="306"/>
      <c r="X96" s="306"/>
      <c r="Y96" s="306"/>
      <c r="Z96" s="306"/>
      <c r="AA96" s="306"/>
      <c r="AB96" s="306"/>
      <c r="AC96" s="306"/>
      <c r="AD96" s="306"/>
      <c r="AE96" s="306"/>
      <c r="AF96" s="306"/>
      <c r="AG96" s="306"/>
      <c r="AH96" s="306"/>
      <c r="AI96" s="306"/>
      <c r="AJ96" s="306"/>
      <c r="AK96" s="306"/>
      <c r="AL96" s="306"/>
      <c r="AM96" s="306"/>
      <c r="AN96" s="306"/>
      <c r="AO96" s="306"/>
      <c r="AP96" s="306"/>
      <c r="AQ96" s="306"/>
    </row>
    <row r="97" spans="1:43" hidden="1" outlineLevel="1">
      <c r="A97" s="306"/>
      <c r="B97" s="318"/>
      <c r="C97" s="318"/>
      <c r="D97" s="320"/>
      <c r="E97" s="317"/>
      <c r="F97" s="319"/>
      <c r="G97" s="317"/>
      <c r="H97" s="321"/>
      <c r="I97" s="317"/>
      <c r="J97" s="326"/>
      <c r="K97" s="306"/>
      <c r="L97" s="318"/>
      <c r="M97" s="328"/>
      <c r="N97" s="320"/>
      <c r="O97" s="317"/>
      <c r="P97" s="319"/>
      <c r="Q97" s="317"/>
      <c r="R97" s="321"/>
      <c r="S97" s="317"/>
      <c r="T97" s="326"/>
      <c r="U97" s="306"/>
      <c r="V97" s="306"/>
      <c r="W97" s="306"/>
      <c r="X97" s="306"/>
      <c r="Y97" s="306"/>
      <c r="Z97" s="306"/>
      <c r="AA97" s="306"/>
      <c r="AB97" s="306"/>
      <c r="AC97" s="306"/>
      <c r="AD97" s="306"/>
      <c r="AE97" s="306"/>
      <c r="AF97" s="306"/>
      <c r="AG97" s="306"/>
      <c r="AH97" s="306"/>
      <c r="AI97" s="306"/>
      <c r="AJ97" s="306"/>
      <c r="AK97" s="306"/>
      <c r="AL97" s="306"/>
      <c r="AM97" s="306"/>
      <c r="AN97" s="306"/>
      <c r="AO97" s="306"/>
      <c r="AP97" s="306"/>
      <c r="AQ97" s="306"/>
    </row>
    <row r="98" spans="1:43" hidden="1" outlineLevel="1">
      <c r="A98" s="306"/>
      <c r="K98" s="306"/>
      <c r="L98" s="318"/>
      <c r="M98" s="328"/>
      <c r="N98" s="320"/>
      <c r="O98" s="317"/>
      <c r="P98" s="319"/>
      <c r="Q98" s="317"/>
      <c r="R98" s="321"/>
      <c r="S98" s="317"/>
      <c r="T98" s="326"/>
      <c r="U98" s="306"/>
      <c r="V98" s="306"/>
      <c r="W98" s="306"/>
      <c r="X98" s="306"/>
      <c r="Y98" s="306"/>
      <c r="Z98" s="306"/>
      <c r="AA98" s="306"/>
      <c r="AB98" s="306"/>
      <c r="AC98" s="306"/>
      <c r="AD98" s="306"/>
      <c r="AE98" s="306"/>
      <c r="AF98" s="306"/>
      <c r="AG98" s="306"/>
      <c r="AH98" s="306"/>
      <c r="AI98" s="306"/>
      <c r="AJ98" s="306"/>
      <c r="AK98" s="306"/>
      <c r="AL98" s="306"/>
      <c r="AM98" s="306"/>
      <c r="AN98" s="306"/>
      <c r="AO98" s="306"/>
      <c r="AP98" s="306"/>
      <c r="AQ98" s="306"/>
    </row>
    <row r="99" spans="1:43" hidden="1" outlineLevel="1">
      <c r="A99" s="306"/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  <c r="AC99" s="306"/>
      <c r="AD99" s="306"/>
      <c r="AE99" s="306"/>
      <c r="AF99" s="306"/>
      <c r="AG99" s="306"/>
      <c r="AH99" s="306"/>
      <c r="AI99" s="306"/>
      <c r="AJ99" s="306"/>
      <c r="AK99" s="306"/>
      <c r="AL99" s="306"/>
      <c r="AM99" s="306"/>
      <c r="AN99" s="306"/>
      <c r="AO99" s="306"/>
      <c r="AP99" s="306"/>
      <c r="AQ99" s="306"/>
    </row>
    <row r="100" spans="1:43" collapsed="1">
      <c r="A100" s="376" t="s">
        <v>537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144"/>
  <sheetViews>
    <sheetView showGridLines="0" zoomScaleNormal="100" workbookViewId="0"/>
  </sheetViews>
  <sheetFormatPr defaultRowHeight="15" outlineLevelCol="1"/>
  <cols>
    <col min="2" max="2" width="4.7109375" customWidth="1"/>
    <col min="3" max="3" width="25.28515625" bestFit="1" customWidth="1"/>
    <col min="4" max="4" width="41.28515625" style="274" customWidth="1"/>
    <col min="5" max="5" width="4.7109375" customWidth="1"/>
    <col min="6" max="7" width="10.7109375" customWidth="1"/>
    <col min="8" max="8" width="9.28515625" bestFit="1" customWidth="1"/>
    <col min="9" max="10" width="10.7109375" customWidth="1"/>
    <col min="11" max="11" width="4.7109375" customWidth="1"/>
    <col min="12" max="14" width="10.7109375" customWidth="1"/>
    <col min="15" max="15" width="10.7109375" style="32" customWidth="1"/>
    <col min="16" max="16" width="10.7109375" customWidth="1"/>
    <col min="17" max="17" width="4.7109375" customWidth="1"/>
    <col min="18" max="18" width="10.7109375" style="172" customWidth="1"/>
    <col min="19" max="20" width="10.7109375" customWidth="1"/>
    <col min="21" max="21" width="4.7109375" style="32" customWidth="1"/>
    <col min="22" max="24" width="10.7109375" style="32" customWidth="1"/>
    <col min="25" max="25" width="4.7109375" style="32" customWidth="1"/>
    <col min="27" max="27" width="9.140625" style="306"/>
    <col min="28" max="28" width="9.140625" style="32" hidden="1" customWidth="1" outlineLevel="1"/>
    <col min="29" max="29" width="29.140625" style="32" hidden="1" customWidth="1" outlineLevel="1"/>
    <col min="30" max="30" width="35.28515625" style="32" hidden="1" customWidth="1" outlineLevel="1"/>
    <col min="31" max="31" width="9.140625" style="32" hidden="1" customWidth="1" outlineLevel="1"/>
    <col min="32" max="33" width="9.140625" hidden="1" customWidth="1" outlineLevel="1"/>
    <col min="34" max="34" width="30.7109375" hidden="1" customWidth="1" outlineLevel="1"/>
    <col min="35" max="35" width="35.7109375" hidden="1" customWidth="1" outlineLevel="1"/>
    <col min="36" max="38" width="9.140625" hidden="1" customWidth="1" outlineLevel="1"/>
    <col min="39" max="39" width="30.7109375" hidden="1" customWidth="1" outlineLevel="1"/>
    <col min="40" max="40" width="35.7109375" hidden="1" customWidth="1" outlineLevel="1"/>
    <col min="41" max="41" width="9.140625" hidden="1" customWidth="1" outlineLevel="1"/>
    <col min="42" max="42" width="9.140625" collapsed="1"/>
  </cols>
  <sheetData>
    <row r="1" spans="2:42">
      <c r="AF1" t="s">
        <v>63</v>
      </c>
      <c r="AP1" s="1" t="s">
        <v>527</v>
      </c>
    </row>
    <row r="2" spans="2:42" s="32" customFormat="1">
      <c r="B2" s="1" t="s">
        <v>283</v>
      </c>
      <c r="D2" s="274"/>
      <c r="R2" s="172"/>
      <c r="AA2" s="306"/>
      <c r="AB2" s="1" t="s">
        <v>358</v>
      </c>
      <c r="AF2" s="32" t="s">
        <v>63</v>
      </c>
      <c r="AG2" s="1" t="s">
        <v>357</v>
      </c>
      <c r="AL2" s="1" t="s">
        <v>538</v>
      </c>
    </row>
    <row r="3" spans="2:42">
      <c r="B3" s="61"/>
      <c r="C3" s="121"/>
      <c r="D3" s="122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73"/>
      <c r="S3" s="123"/>
      <c r="T3" s="123"/>
      <c r="U3" s="123"/>
      <c r="V3" s="123"/>
      <c r="W3" s="123"/>
      <c r="X3" s="123"/>
      <c r="Y3" s="62"/>
      <c r="AB3" s="61"/>
      <c r="AC3" s="123"/>
      <c r="AD3" s="123"/>
      <c r="AE3" s="62"/>
      <c r="AF3" s="32" t="s">
        <v>63</v>
      </c>
      <c r="AG3" s="61"/>
      <c r="AH3" s="123"/>
      <c r="AI3" s="123"/>
      <c r="AJ3" s="62"/>
      <c r="AK3" s="32"/>
      <c r="AL3" s="61"/>
      <c r="AM3" s="123"/>
      <c r="AN3" s="123"/>
      <c r="AO3" s="62"/>
    </row>
    <row r="4" spans="2:42">
      <c r="B4" s="63"/>
      <c r="C4" s="124" t="s">
        <v>198</v>
      </c>
      <c r="D4" s="125"/>
      <c r="E4" s="88"/>
      <c r="F4" s="124" t="s">
        <v>199</v>
      </c>
      <c r="G4" s="88"/>
      <c r="H4" s="88"/>
      <c r="I4" s="88"/>
      <c r="J4" s="88"/>
      <c r="K4" s="88"/>
      <c r="L4" s="124" t="s">
        <v>200</v>
      </c>
      <c r="M4" s="124"/>
      <c r="N4" s="88"/>
      <c r="O4" s="88"/>
      <c r="P4" s="88"/>
      <c r="Q4" s="88"/>
      <c r="R4" s="124" t="s">
        <v>201</v>
      </c>
      <c r="S4" s="124"/>
      <c r="T4" s="88"/>
      <c r="U4" s="311"/>
      <c r="V4" s="124" t="s">
        <v>202</v>
      </c>
      <c r="W4" s="88"/>
      <c r="X4" s="88"/>
      <c r="Y4" s="64"/>
      <c r="AB4" s="63"/>
      <c r="AC4" s="171" t="s">
        <v>277</v>
      </c>
      <c r="AD4" s="88"/>
      <c r="AE4" s="64"/>
      <c r="AF4" s="32" t="s">
        <v>63</v>
      </c>
      <c r="AG4" s="63"/>
      <c r="AH4" s="171" t="s">
        <v>277</v>
      </c>
      <c r="AI4" s="88"/>
      <c r="AJ4" s="64"/>
      <c r="AK4" s="32"/>
      <c r="AL4" s="63"/>
      <c r="AM4" s="171" t="s">
        <v>277</v>
      </c>
      <c r="AN4" s="88"/>
      <c r="AO4" s="64"/>
    </row>
    <row r="5" spans="2:42">
      <c r="B5" s="63" t="s">
        <v>63</v>
      </c>
      <c r="C5" s="125"/>
      <c r="D5" s="125"/>
      <c r="E5" s="88" t="s">
        <v>63</v>
      </c>
      <c r="F5" s="126" t="s">
        <v>203</v>
      </c>
      <c r="G5" s="126" t="s">
        <v>156</v>
      </c>
      <c r="H5" s="126" t="s">
        <v>204</v>
      </c>
      <c r="I5" s="126" t="s">
        <v>205</v>
      </c>
      <c r="J5" s="126" t="s">
        <v>155</v>
      </c>
      <c r="K5" s="88"/>
      <c r="L5" s="126" t="s">
        <v>206</v>
      </c>
      <c r="M5" s="126" t="s">
        <v>156</v>
      </c>
      <c r="N5" s="88"/>
      <c r="O5" s="211" t="s">
        <v>364</v>
      </c>
      <c r="P5" s="211" t="s">
        <v>365</v>
      </c>
      <c r="Q5" s="311"/>
      <c r="R5" s="126" t="s">
        <v>203</v>
      </c>
      <c r="S5" s="126" t="s">
        <v>156</v>
      </c>
      <c r="T5" s="88"/>
      <c r="U5" s="311"/>
      <c r="V5" s="126" t="s">
        <v>203</v>
      </c>
      <c r="W5" s="126" t="s">
        <v>156</v>
      </c>
      <c r="X5" s="88"/>
      <c r="Y5" s="64"/>
      <c r="AB5" s="63"/>
      <c r="AC5" s="157" t="s">
        <v>275</v>
      </c>
      <c r="AD5" s="185" t="s">
        <v>276</v>
      </c>
      <c r="AE5" s="64" t="s">
        <v>63</v>
      </c>
      <c r="AF5" s="32" t="s">
        <v>63</v>
      </c>
      <c r="AG5" s="63"/>
      <c r="AH5" s="157" t="s">
        <v>275</v>
      </c>
      <c r="AI5" s="185" t="s">
        <v>359</v>
      </c>
      <c r="AJ5" s="64" t="s">
        <v>63</v>
      </c>
      <c r="AK5" s="32"/>
      <c r="AL5" s="63"/>
      <c r="AM5" s="157" t="s">
        <v>275</v>
      </c>
      <c r="AN5" s="185" t="s">
        <v>370</v>
      </c>
      <c r="AO5" s="64" t="s">
        <v>63</v>
      </c>
    </row>
    <row r="6" spans="2:42">
      <c r="B6" s="63"/>
      <c r="C6" s="127" t="s">
        <v>5</v>
      </c>
      <c r="D6" s="128" t="s">
        <v>111</v>
      </c>
      <c r="E6" s="88" t="s">
        <v>63</v>
      </c>
      <c r="F6" s="129" t="str">
        <f>'AUD CURVE TICKERS'!B15</f>
        <v>ON</v>
      </c>
      <c r="G6" s="130">
        <f>'AUD CURVE TICKERS'!J15%</f>
        <v>1.4999999999999999E-2</v>
      </c>
      <c r="H6" s="131"/>
      <c r="I6" s="132"/>
      <c r="J6" s="133" t="b">
        <v>1</v>
      </c>
      <c r="K6" s="88"/>
      <c r="L6" s="134"/>
      <c r="M6" s="135"/>
      <c r="N6" s="88"/>
      <c r="O6" s="290">
        <f>'AUD CURVE TICKERS'!T15/10000</f>
        <v>4.3499999999999997E-3</v>
      </c>
      <c r="P6" s="290">
        <f>'AUD CURVE TICKERS'!AQ45/10000</f>
        <v>1.6125E-3</v>
      </c>
      <c r="Q6" s="311"/>
      <c r="R6" s="129" t="str">
        <f>'AUD CURVE TICKERS'!L15</f>
        <v>1Y</v>
      </c>
      <c r="S6" s="136">
        <f>O6</f>
        <v>4.3499999999999997E-3</v>
      </c>
      <c r="T6" s="168" t="s">
        <v>207</v>
      </c>
      <c r="U6" s="311"/>
      <c r="V6" s="129" t="str">
        <f>'AUD CURVE TICKERS'!Y45</f>
        <v>1Y</v>
      </c>
      <c r="W6" s="137">
        <f>'AUD CURVE TICKERS'!AG45%</f>
        <v>1.9775000000000001E-2</v>
      </c>
      <c r="X6" s="168"/>
      <c r="Y6" s="138"/>
      <c r="AB6" s="63"/>
      <c r="AC6" s="148" t="s">
        <v>233</v>
      </c>
      <c r="AD6" s="200" t="str">
        <f ca="1">_xll.meLWOCurveGeneratorCreate(AD5,AC8,AC9:AD15,AC18,AC19:AD35,AC38,AC39:AD40,AC44,AC45:AD51)</f>
        <v>AUD_OIS_CURVE_GENERATOR@5:3</v>
      </c>
      <c r="AE6" s="64" t="s">
        <v>63</v>
      </c>
      <c r="AF6" s="32" t="s">
        <v>63</v>
      </c>
      <c r="AG6" s="63"/>
      <c r="AH6" s="148" t="s">
        <v>233</v>
      </c>
      <c r="AI6" s="200" t="str">
        <f ca="1">_xll.meLWOCurveGeneratorCreate(AI5,AH8,AH9:AI23,AH26,AH27:AI29,AH32,AH33:AI37,AH40,AH41:AI46,AH49,AH50:AI56,AH59,AH60:AI80,AH83,AH84:AI115)</f>
        <v>AUD_3ML_CURVE_GENERATOR@1:3</v>
      </c>
      <c r="AJ6" s="64" t="s">
        <v>63</v>
      </c>
      <c r="AK6" s="32"/>
      <c r="AL6" s="63"/>
      <c r="AM6" s="148" t="s">
        <v>233</v>
      </c>
      <c r="AN6" s="200" t="str">
        <f ca="1">_xll.meLWOCurveGeneratorCreate(AN5,AM8,AM9:AN23,AM26,AM27:AN29,AM32,AM33:AN37,AM40,AM41:AN46,AM59,AM60:AN73)</f>
        <v>AUD_6ML_CURVE_GENERATOR@2:3</v>
      </c>
      <c r="AO6" s="64" t="s">
        <v>63</v>
      </c>
    </row>
    <row r="7" spans="2:42">
      <c r="B7" s="63"/>
      <c r="C7" s="139" t="s">
        <v>208</v>
      </c>
      <c r="D7" s="140" t="s">
        <v>199</v>
      </c>
      <c r="E7" s="88" t="s">
        <v>63</v>
      </c>
      <c r="F7" s="141" t="str">
        <f>'AUD CURVE TICKERS'!B16</f>
        <v>1W</v>
      </c>
      <c r="G7" s="142">
        <f>'AUD CURVE TICKERS'!J16%</f>
        <v>1.4999999999999999E-2</v>
      </c>
      <c r="H7" s="132"/>
      <c r="I7" s="132"/>
      <c r="J7" s="133" t="b">
        <v>1</v>
      </c>
      <c r="K7" s="88"/>
      <c r="L7" s="134"/>
      <c r="M7" s="135"/>
      <c r="N7" s="88"/>
      <c r="O7" s="290">
        <f>'AUD CURVE TICKERS'!T16/10000</f>
        <v>4.2249999999999996E-3</v>
      </c>
      <c r="P7" s="290">
        <f>'AUD CURVE TICKERS'!AQ46/10000</f>
        <v>1.5625000000000001E-3</v>
      </c>
      <c r="Q7" s="311"/>
      <c r="R7" s="141" t="str">
        <f>'AUD CURVE TICKERS'!L16</f>
        <v>2Y</v>
      </c>
      <c r="S7" s="143">
        <f>O7</f>
        <v>4.2249999999999996E-3</v>
      </c>
      <c r="T7" s="168" t="s">
        <v>207</v>
      </c>
      <c r="U7" s="311"/>
      <c r="V7" s="141" t="str">
        <f>'AUD CURVE TICKERS'!Y46</f>
        <v>2Y</v>
      </c>
      <c r="W7" s="144">
        <f>'AUD CURVE TICKERS'!AG46%</f>
        <v>2.0862500000000003E-2</v>
      </c>
      <c r="X7" s="168"/>
      <c r="Y7" s="138"/>
      <c r="AB7" s="63"/>
      <c r="AC7" s="88"/>
      <c r="AD7" s="88"/>
      <c r="AE7" s="64" t="s">
        <v>63</v>
      </c>
      <c r="AF7" s="32" t="s">
        <v>63</v>
      </c>
      <c r="AG7" s="63"/>
      <c r="AH7" s="88"/>
      <c r="AI7" s="88"/>
      <c r="AJ7" s="64" t="s">
        <v>63</v>
      </c>
      <c r="AK7" s="32"/>
      <c r="AL7" s="63"/>
      <c r="AM7" s="88"/>
      <c r="AN7" s="88"/>
      <c r="AO7" s="64" t="s">
        <v>63</v>
      </c>
    </row>
    <row r="8" spans="2:42">
      <c r="B8" s="63"/>
      <c r="C8" s="139" t="s">
        <v>209</v>
      </c>
      <c r="D8" s="140" t="s">
        <v>210</v>
      </c>
      <c r="E8" s="88" t="s">
        <v>63</v>
      </c>
      <c r="F8" s="141" t="str">
        <f>'AUD CURVE TICKERS'!B17</f>
        <v>1M</v>
      </c>
      <c r="G8" s="142">
        <f>'AUD CURVE TICKERS'!J17%</f>
        <v>1.4999999999999999E-2</v>
      </c>
      <c r="H8" s="132"/>
      <c r="I8" s="132"/>
      <c r="J8" s="133" t="b">
        <v>1</v>
      </c>
      <c r="K8" s="88"/>
      <c r="L8" s="134"/>
      <c r="M8" s="135"/>
      <c r="N8" s="88"/>
      <c r="O8" s="290">
        <f>'AUD CURVE TICKERS'!T17/10000</f>
        <v>4.15E-3</v>
      </c>
      <c r="P8" s="290">
        <f>'AUD CURVE TICKERS'!AQ47/10000</f>
        <v>1.5125E-3</v>
      </c>
      <c r="Q8" s="311"/>
      <c r="R8" s="141" t="str">
        <f>'AUD CURVE TICKERS'!L17</f>
        <v>3Y</v>
      </c>
      <c r="S8" s="143">
        <f>O8</f>
        <v>4.15E-3</v>
      </c>
      <c r="T8" s="168" t="s">
        <v>207</v>
      </c>
      <c r="U8" s="311"/>
      <c r="V8" s="141" t="str">
        <f>'AUD CURVE TICKERS'!Y47</f>
        <v>3Y</v>
      </c>
      <c r="W8" s="144">
        <f>'AUD CURVE TICKERS'!AG47%</f>
        <v>2.1887500000000001E-2</v>
      </c>
      <c r="X8" s="168"/>
      <c r="Y8" s="138"/>
      <c r="AB8" s="63"/>
      <c r="AC8" s="124" t="s">
        <v>234</v>
      </c>
      <c r="AD8" s="88"/>
      <c r="AE8" s="64" t="s">
        <v>63</v>
      </c>
      <c r="AF8" s="32" t="s">
        <v>63</v>
      </c>
      <c r="AG8" s="63"/>
      <c r="AH8" s="206" t="s">
        <v>234</v>
      </c>
      <c r="AI8" s="207"/>
      <c r="AJ8" s="64" t="s">
        <v>63</v>
      </c>
      <c r="AK8" s="32"/>
      <c r="AL8" s="63"/>
      <c r="AM8" s="206" t="s">
        <v>234</v>
      </c>
      <c r="AN8" s="207"/>
      <c r="AO8" s="64" t="s">
        <v>63</v>
      </c>
    </row>
    <row r="9" spans="2:42">
      <c r="B9" s="63"/>
      <c r="C9" s="145" t="s">
        <v>211</v>
      </c>
      <c r="D9" s="288">
        <f ca="1">Settings.COB</f>
        <v>43420</v>
      </c>
      <c r="E9" s="88" t="s">
        <v>63</v>
      </c>
      <c r="F9" s="141" t="str">
        <f>'AUD CURVE TICKERS'!B18</f>
        <v>2M</v>
      </c>
      <c r="G9" s="142">
        <f>'AUD CURVE TICKERS'!J18%</f>
        <v>1.4999999999999999E-2</v>
      </c>
      <c r="H9" s="132"/>
      <c r="I9" s="132"/>
      <c r="J9" s="133" t="b">
        <v>1</v>
      </c>
      <c r="K9" s="88"/>
      <c r="L9" s="134"/>
      <c r="M9" s="135"/>
      <c r="N9" s="88"/>
      <c r="O9" s="115">
        <f>'AUD CURVE TICKERS'!T18/10000</f>
        <v>4.15E-3</v>
      </c>
      <c r="P9" s="115">
        <f>'AUD CURVE TICKERS'!AQ48/10000</f>
        <v>1.5E-3</v>
      </c>
      <c r="Q9" s="311"/>
      <c r="R9" s="141" t="str">
        <f>'AUD CURVE TICKERS'!L18</f>
        <v>4Y</v>
      </c>
      <c r="S9" s="143">
        <f t="shared" ref="S9:S19" si="0">O9+P9</f>
        <v>5.6500000000000005E-3</v>
      </c>
      <c r="T9" s="169" t="s">
        <v>212</v>
      </c>
      <c r="U9" s="311"/>
      <c r="V9" s="141" t="str">
        <f>'AUD CURVE TICKERS'!Y48</f>
        <v>4Y</v>
      </c>
      <c r="W9" s="144">
        <f>'AUD CURVE TICKERS'!AG48%</f>
        <v>2.4399999999999998E-2</v>
      </c>
      <c r="X9" s="169"/>
      <c r="Y9" s="146"/>
      <c r="AB9" s="63"/>
      <c r="AC9" s="177" t="s">
        <v>208</v>
      </c>
      <c r="AD9" s="178" t="s">
        <v>199</v>
      </c>
      <c r="AE9" s="64" t="s">
        <v>63</v>
      </c>
      <c r="AF9" s="32" t="s">
        <v>63</v>
      </c>
      <c r="AG9" s="63"/>
      <c r="AH9" s="208" t="s">
        <v>208</v>
      </c>
      <c r="AI9" s="178" t="s">
        <v>282</v>
      </c>
      <c r="AJ9" s="64" t="s">
        <v>63</v>
      </c>
      <c r="AK9" s="32"/>
      <c r="AL9" s="63"/>
      <c r="AM9" s="208" t="s">
        <v>208</v>
      </c>
      <c r="AN9" s="178" t="s">
        <v>282</v>
      </c>
      <c r="AO9" s="64" t="s">
        <v>63</v>
      </c>
    </row>
    <row r="10" spans="2:42">
      <c r="B10" s="63"/>
      <c r="C10" s="125"/>
      <c r="D10" s="125"/>
      <c r="E10" s="88" t="s">
        <v>63</v>
      </c>
      <c r="F10" s="141" t="str">
        <f>'AUD CURVE TICKERS'!B19</f>
        <v>3M</v>
      </c>
      <c r="G10" s="142">
        <f>'AUD CURVE TICKERS'!J19%</f>
        <v>1.5004999999999999E-2</v>
      </c>
      <c r="H10" s="132"/>
      <c r="I10" s="132"/>
      <c r="J10" s="133" t="b">
        <v>1</v>
      </c>
      <c r="K10" s="88"/>
      <c r="L10" s="134"/>
      <c r="M10" s="135"/>
      <c r="N10" s="88"/>
      <c r="O10" s="115">
        <f>'AUD CURVE TICKERS'!T19/10000</f>
        <v>4.15E-3</v>
      </c>
      <c r="P10" s="115">
        <f>'AUD CURVE TICKERS'!AQ49/10000</f>
        <v>1.475E-3</v>
      </c>
      <c r="Q10" s="311"/>
      <c r="R10" s="141" t="str">
        <f>'AUD CURVE TICKERS'!L19</f>
        <v>5Y</v>
      </c>
      <c r="S10" s="143">
        <f t="shared" si="0"/>
        <v>5.6249999999999998E-3</v>
      </c>
      <c r="T10" s="169" t="s">
        <v>212</v>
      </c>
      <c r="U10" s="311"/>
      <c r="V10" s="141" t="str">
        <f>'AUD CURVE TICKERS'!Y49</f>
        <v>5Y</v>
      </c>
      <c r="W10" s="144">
        <f>'AUD CURVE TICKERS'!AG49%</f>
        <v>2.5312500000000002E-2</v>
      </c>
      <c r="X10" s="169"/>
      <c r="Y10" s="146"/>
      <c r="AB10" s="63"/>
      <c r="AC10" s="179" t="s">
        <v>209</v>
      </c>
      <c r="AD10" s="180" t="s">
        <v>210</v>
      </c>
      <c r="AE10" s="64" t="s">
        <v>63</v>
      </c>
      <c r="AF10" s="32" t="s">
        <v>63</v>
      </c>
      <c r="AG10" s="63"/>
      <c r="AH10" s="212" t="s">
        <v>209</v>
      </c>
      <c r="AI10" s="180" t="s">
        <v>46</v>
      </c>
      <c r="AJ10" s="64" t="s">
        <v>63</v>
      </c>
      <c r="AK10" s="32"/>
      <c r="AL10" s="63"/>
      <c r="AM10" s="212" t="s">
        <v>209</v>
      </c>
      <c r="AN10" s="180" t="s">
        <v>312</v>
      </c>
      <c r="AO10" s="64" t="s">
        <v>63</v>
      </c>
    </row>
    <row r="11" spans="2:42">
      <c r="B11" s="63"/>
      <c r="C11" s="88"/>
      <c r="D11" s="149"/>
      <c r="E11" s="88" t="s">
        <v>63</v>
      </c>
      <c r="F11" s="141" t="str">
        <f>'AUD CURVE TICKERS'!B20</f>
        <v>4M</v>
      </c>
      <c r="G11" s="142">
        <f>'AUD CURVE TICKERS'!J20%</f>
        <v>1.502E-2</v>
      </c>
      <c r="H11" s="132"/>
      <c r="I11" s="132"/>
      <c r="J11" s="133" t="b">
        <v>1</v>
      </c>
      <c r="K11" s="88"/>
      <c r="L11" s="134"/>
      <c r="M11" s="135"/>
      <c r="N11" s="88"/>
      <c r="O11" s="115">
        <f>'AUD CURVE TICKERS'!T20/10000</f>
        <v>4.1625000000000004E-3</v>
      </c>
      <c r="P11" s="115">
        <f>'AUD CURVE TICKERS'!AQ50/10000</f>
        <v>1.4250000000000001E-3</v>
      </c>
      <c r="Q11" s="311"/>
      <c r="R11" s="141" t="str">
        <f>'AUD CURVE TICKERS'!L20</f>
        <v>6Y</v>
      </c>
      <c r="S11" s="143">
        <f t="shared" si="0"/>
        <v>5.5875000000000005E-3</v>
      </c>
      <c r="T11" s="169" t="s">
        <v>212</v>
      </c>
      <c r="U11" s="311"/>
      <c r="V11" s="141" t="str">
        <f>'AUD CURVE TICKERS'!Y50</f>
        <v>6Y</v>
      </c>
      <c r="W11" s="144">
        <f>'AUD CURVE TICKERS'!AG50%</f>
        <v>2.6162499999999998E-2</v>
      </c>
      <c r="X11" s="169"/>
      <c r="Y11" s="146"/>
      <c r="AB11" s="63"/>
      <c r="AC11" s="179" t="s">
        <v>235</v>
      </c>
      <c r="AD11" s="180" t="s">
        <v>199</v>
      </c>
      <c r="AE11" s="64" t="s">
        <v>63</v>
      </c>
      <c r="AF11" s="32" t="s">
        <v>63</v>
      </c>
      <c r="AG11" s="63"/>
      <c r="AH11" s="212" t="s">
        <v>235</v>
      </c>
      <c r="AI11" s="180" t="s">
        <v>286</v>
      </c>
      <c r="AJ11" s="64" t="s">
        <v>63</v>
      </c>
      <c r="AK11" s="32"/>
      <c r="AL11" s="63"/>
      <c r="AM11" s="212" t="s">
        <v>235</v>
      </c>
      <c r="AN11" s="180" t="s">
        <v>116</v>
      </c>
      <c r="AO11" s="64" t="s">
        <v>63</v>
      </c>
    </row>
    <row r="12" spans="2:42">
      <c r="B12" s="63"/>
      <c r="C12" s="150" t="s">
        <v>213</v>
      </c>
      <c r="D12" s="125"/>
      <c r="E12" s="88" t="s">
        <v>63</v>
      </c>
      <c r="F12" s="141" t="str">
        <f>'AUD CURVE TICKERS'!B21</f>
        <v>5M</v>
      </c>
      <c r="G12" s="142">
        <f>'AUD CURVE TICKERS'!J21%</f>
        <v>1.5037499999999999E-2</v>
      </c>
      <c r="H12" s="132"/>
      <c r="I12" s="132"/>
      <c r="J12" s="133" t="b">
        <v>1</v>
      </c>
      <c r="K12" s="88"/>
      <c r="L12" s="134"/>
      <c r="M12" s="135"/>
      <c r="N12" s="88"/>
      <c r="O12" s="115">
        <f>'AUD CURVE TICKERS'!T21/10000</f>
        <v>4.1749999999999999E-3</v>
      </c>
      <c r="P12" s="115">
        <f>'AUD CURVE TICKERS'!AQ51/10000</f>
        <v>1.3749999999999999E-3</v>
      </c>
      <c r="Q12" s="311"/>
      <c r="R12" s="141" t="str">
        <f>'AUD CURVE TICKERS'!L21</f>
        <v>7Y</v>
      </c>
      <c r="S12" s="143">
        <f t="shared" si="0"/>
        <v>5.5499999999999994E-3</v>
      </c>
      <c r="T12" s="169" t="s">
        <v>212</v>
      </c>
      <c r="U12" s="311"/>
      <c r="V12" s="141" t="str">
        <f>'AUD CURVE TICKERS'!Y51</f>
        <v>7Y</v>
      </c>
      <c r="W12" s="144">
        <f>'AUD CURVE TICKERS'!AG51%</f>
        <v>2.6924999999999998E-2</v>
      </c>
      <c r="X12" s="169"/>
      <c r="Y12" s="146"/>
      <c r="AB12" s="63"/>
      <c r="AC12" s="179" t="s">
        <v>236</v>
      </c>
      <c r="AD12" s="180" t="s">
        <v>237</v>
      </c>
      <c r="AE12" s="64" t="s">
        <v>63</v>
      </c>
      <c r="AF12" s="32" t="s">
        <v>63</v>
      </c>
      <c r="AG12" s="63"/>
      <c r="AH12" s="212" t="s">
        <v>236</v>
      </c>
      <c r="AI12" s="180" t="s">
        <v>287</v>
      </c>
      <c r="AJ12" s="64" t="s">
        <v>63</v>
      </c>
      <c r="AK12" s="32"/>
      <c r="AL12" s="63"/>
      <c r="AM12" s="212" t="s">
        <v>236</v>
      </c>
      <c r="AN12" s="180" t="s">
        <v>116</v>
      </c>
      <c r="AO12" s="64" t="s">
        <v>63</v>
      </c>
    </row>
    <row r="13" spans="2:42">
      <c r="B13" s="63"/>
      <c r="C13" s="147" t="s">
        <v>66</v>
      </c>
      <c r="D13" s="128" t="s">
        <v>214</v>
      </c>
      <c r="E13" s="88" t="s">
        <v>63</v>
      </c>
      <c r="F13" s="141" t="str">
        <f>'AUD CURVE TICKERS'!B22</f>
        <v>6M</v>
      </c>
      <c r="G13" s="142">
        <f>'AUD CURVE TICKERS'!J22%</f>
        <v>1.508E-2</v>
      </c>
      <c r="H13" s="132"/>
      <c r="I13" s="132"/>
      <c r="J13" s="133" t="b">
        <v>1</v>
      </c>
      <c r="K13" s="88"/>
      <c r="L13" s="134"/>
      <c r="M13" s="135"/>
      <c r="N13" s="88"/>
      <c r="O13" s="115">
        <f>'AUD CURVE TICKERS'!T22/10000</f>
        <v>4.1749999999999999E-3</v>
      </c>
      <c r="P13" s="115">
        <f>'AUD CURVE TICKERS'!AQ52/10000</f>
        <v>1.3125000000000001E-3</v>
      </c>
      <c r="Q13" s="311"/>
      <c r="R13" s="141" t="str">
        <f>'AUD CURVE TICKERS'!L22</f>
        <v>8Y</v>
      </c>
      <c r="S13" s="143">
        <f t="shared" si="0"/>
        <v>5.4875000000000002E-3</v>
      </c>
      <c r="T13" s="169" t="s">
        <v>212</v>
      </c>
      <c r="U13" s="311"/>
      <c r="V13" s="141" t="str">
        <f>'AUD CURVE TICKERS'!Y52</f>
        <v>8Y</v>
      </c>
      <c r="W13" s="144">
        <f>'AUD CURVE TICKERS'!AG52%</f>
        <v>2.76E-2</v>
      </c>
      <c r="X13" s="169"/>
      <c r="Y13" s="146"/>
      <c r="AB13" s="63"/>
      <c r="AC13" s="179" t="s">
        <v>5</v>
      </c>
      <c r="AD13" s="48" t="s">
        <v>111</v>
      </c>
      <c r="AE13" s="64" t="s">
        <v>63</v>
      </c>
      <c r="AF13" s="32" t="s">
        <v>63</v>
      </c>
      <c r="AG13" s="63"/>
      <c r="AH13" s="212" t="s">
        <v>5</v>
      </c>
      <c r="AI13" s="48" t="s">
        <v>111</v>
      </c>
      <c r="AJ13" s="64" t="s">
        <v>63</v>
      </c>
      <c r="AK13" s="32"/>
      <c r="AL13" s="63"/>
      <c r="AM13" s="212" t="s">
        <v>5</v>
      </c>
      <c r="AN13" s="48" t="s">
        <v>111</v>
      </c>
      <c r="AO13" s="64" t="s">
        <v>63</v>
      </c>
    </row>
    <row r="14" spans="2:42">
      <c r="B14" s="63"/>
      <c r="C14" s="148" t="s">
        <v>215</v>
      </c>
      <c r="D14" s="275" t="str">
        <f ca="1">_xll.meLWOCurveMarketDataCreate(D13,C4,C6:D9,F4,F6:J31,L4,L6:M31,R4,R6:S31,V4,V6:W31)</f>
        <v>AUD_OIS_CURVE_MARKETDATA@63:3</v>
      </c>
      <c r="E14" s="88" t="s">
        <v>63</v>
      </c>
      <c r="F14" s="141" t="str">
        <f>'AUD CURVE TICKERS'!B23</f>
        <v>9M</v>
      </c>
      <c r="G14" s="142">
        <f>'AUD CURVE TICKERS'!J23%</f>
        <v>1.5224999999999999E-2</v>
      </c>
      <c r="H14" s="132"/>
      <c r="I14" s="132"/>
      <c r="J14" s="133" t="b">
        <v>1</v>
      </c>
      <c r="K14" s="88"/>
      <c r="L14" s="134"/>
      <c r="M14" s="135"/>
      <c r="N14" s="88"/>
      <c r="O14" s="115">
        <f>'AUD CURVE TICKERS'!T23/10000</f>
        <v>4.1749999999999999E-3</v>
      </c>
      <c r="P14" s="115">
        <f>'AUD CURVE TICKERS'!AQ53/10000</f>
        <v>1.2625E-3</v>
      </c>
      <c r="Q14" s="311"/>
      <c r="R14" s="141" t="str">
        <f>'AUD CURVE TICKERS'!L23</f>
        <v>9Y</v>
      </c>
      <c r="S14" s="143">
        <f t="shared" si="0"/>
        <v>5.4374999999999996E-3</v>
      </c>
      <c r="T14" s="169" t="s">
        <v>212</v>
      </c>
      <c r="U14" s="311"/>
      <c r="V14" s="141" t="str">
        <f>'AUD CURVE TICKERS'!Y53</f>
        <v>9Y</v>
      </c>
      <c r="W14" s="144">
        <f>'AUD CURVE TICKERS'!AG53%</f>
        <v>2.8187500000000001E-2</v>
      </c>
      <c r="X14" s="169"/>
      <c r="Y14" s="146"/>
      <c r="AB14" s="63"/>
      <c r="AC14" s="181" t="s">
        <v>238</v>
      </c>
      <c r="AD14" s="48" t="s">
        <v>239</v>
      </c>
      <c r="AE14" s="64" t="s">
        <v>63</v>
      </c>
      <c r="AF14" s="32" t="s">
        <v>63</v>
      </c>
      <c r="AG14" s="63"/>
      <c r="AH14" s="212" t="s">
        <v>238</v>
      </c>
      <c r="AI14" s="425" t="str">
        <f>IF(Settings.SwapCurve.Interpolation="LINEAR-SPLINE","FN_LINEARSPLINEINTERPOLATION","FN_SPLINEINTERPOLATION")</f>
        <v>FN_SPLINEINTERPOLATION</v>
      </c>
      <c r="AJ14" s="64" t="s">
        <v>63</v>
      </c>
      <c r="AK14" s="32"/>
      <c r="AL14" s="63"/>
      <c r="AM14" s="212" t="s">
        <v>238</v>
      </c>
      <c r="AN14" s="425" t="str">
        <f>IF(Settings.SwapCurve.Interpolation="LINEAR-SPLINE","FN_LINEARSPLINEINTERPOLATION","FN_SPLINEINTERPOLATION")</f>
        <v>FN_SPLINEINTERPOLATION</v>
      </c>
      <c r="AO14" s="64" t="s">
        <v>63</v>
      </c>
    </row>
    <row r="15" spans="2:42">
      <c r="B15" s="63"/>
      <c r="C15" s="88"/>
      <c r="D15" s="149"/>
      <c r="E15" s="88" t="s">
        <v>63</v>
      </c>
      <c r="F15" s="141" t="str">
        <f>'AUD CURVE TICKERS'!B24</f>
        <v>1Y</v>
      </c>
      <c r="G15" s="142">
        <f>'AUD CURVE TICKERS'!J24%</f>
        <v>1.5475000000000001E-2</v>
      </c>
      <c r="H15" s="132"/>
      <c r="I15" s="132"/>
      <c r="J15" s="133" t="b">
        <v>1</v>
      </c>
      <c r="K15" s="88"/>
      <c r="L15" s="134"/>
      <c r="M15" s="135"/>
      <c r="N15" s="88"/>
      <c r="O15" s="115">
        <f>'AUD CURVE TICKERS'!T24/10000</f>
        <v>4.1625000000000004E-3</v>
      </c>
      <c r="P15" s="115">
        <f>'AUD CURVE TICKERS'!AQ54/10000</f>
        <v>1.1999999999999999E-3</v>
      </c>
      <c r="Q15" s="311"/>
      <c r="R15" s="141" t="str">
        <f>'AUD CURVE TICKERS'!L24</f>
        <v>10Y</v>
      </c>
      <c r="S15" s="143">
        <f t="shared" si="0"/>
        <v>5.3625000000000001E-3</v>
      </c>
      <c r="T15" s="169" t="s">
        <v>212</v>
      </c>
      <c r="U15" s="311"/>
      <c r="V15" s="141" t="str">
        <f>'AUD CURVE TICKERS'!Y54</f>
        <v>10Y</v>
      </c>
      <c r="W15" s="144">
        <f>'AUD CURVE TICKERS'!AG54%</f>
        <v>2.8712499999999998E-2</v>
      </c>
      <c r="X15" s="169"/>
      <c r="Y15" s="146"/>
      <c r="AB15" s="63"/>
      <c r="AC15" s="179" t="s">
        <v>240</v>
      </c>
      <c r="AD15" s="48" t="s">
        <v>239</v>
      </c>
      <c r="AE15" s="64" t="s">
        <v>63</v>
      </c>
      <c r="AF15" s="32" t="s">
        <v>63</v>
      </c>
      <c r="AG15" s="63"/>
      <c r="AH15" s="212" t="s">
        <v>240</v>
      </c>
      <c r="AI15" s="425" t="str">
        <f>IF(Settings.SwapCurve.Interpolation="LINEAR-SPLINE","FN_LINEARSPLINEINTERPOLATION","FN_SPLINEINTERPOLATION")</f>
        <v>FN_SPLINEINTERPOLATION</v>
      </c>
      <c r="AJ15" s="64" t="s">
        <v>63</v>
      </c>
      <c r="AK15" s="32"/>
      <c r="AL15" s="63"/>
      <c r="AM15" s="212" t="s">
        <v>240</v>
      </c>
      <c r="AN15" s="425" t="str">
        <f>IF(Settings.SwapCurve.Interpolation="LINEAR-SPLINE","FN_LINEARSPLINEINTERPOLATION","FN_SPLINEINTERPOLATION")</f>
        <v>FN_SPLINEINTERPOLATION</v>
      </c>
      <c r="AO15" s="64" t="s">
        <v>63</v>
      </c>
    </row>
    <row r="16" spans="2:42">
      <c r="B16" s="63"/>
      <c r="C16" s="149"/>
      <c r="D16" s="125"/>
      <c r="E16" s="88" t="s">
        <v>63</v>
      </c>
      <c r="F16" s="141" t="str">
        <f>'AUD CURVE TICKERS'!B25</f>
        <v>2Y</v>
      </c>
      <c r="G16" s="142">
        <f>'AUD CURVE TICKERS'!J25%</f>
        <v>1.6750000000000001E-2</v>
      </c>
      <c r="H16" s="132"/>
      <c r="I16" s="132"/>
      <c r="J16" s="133" t="b">
        <v>1</v>
      </c>
      <c r="K16" s="88"/>
      <c r="L16" s="134"/>
      <c r="M16" s="135"/>
      <c r="N16" s="88"/>
      <c r="O16" s="115">
        <f>'AUD CURVE TICKERS'!T25/10000</f>
        <v>4.1999999999999997E-3</v>
      </c>
      <c r="P16" s="115">
        <f>'AUD CURVE TICKERS'!AQ55/10000</f>
        <v>1.0499999999999999E-3</v>
      </c>
      <c r="Q16" s="311"/>
      <c r="R16" s="141" t="str">
        <f>'AUD CURVE TICKERS'!L25</f>
        <v>15Y</v>
      </c>
      <c r="S16" s="143">
        <f t="shared" si="0"/>
        <v>5.2499999999999995E-3</v>
      </c>
      <c r="T16" s="169" t="s">
        <v>212</v>
      </c>
      <c r="U16" s="311"/>
      <c r="V16" s="141" t="str">
        <f>'AUD CURVE TICKERS'!Y55</f>
        <v>15Y</v>
      </c>
      <c r="W16" s="144">
        <f>'AUD CURVE TICKERS'!AG55%</f>
        <v>3.05875E-2</v>
      </c>
      <c r="X16" s="169"/>
      <c r="Y16" s="146"/>
      <c r="AB16" s="63"/>
      <c r="AC16" s="182"/>
      <c r="AD16" s="183"/>
      <c r="AE16" s="64" t="s">
        <v>63</v>
      </c>
      <c r="AF16" s="32" t="s">
        <v>63</v>
      </c>
      <c r="AG16" s="63"/>
      <c r="AH16" s="212" t="s">
        <v>289</v>
      </c>
      <c r="AI16" s="48" t="b">
        <v>0</v>
      </c>
      <c r="AJ16" s="64" t="s">
        <v>63</v>
      </c>
      <c r="AK16" s="32"/>
      <c r="AL16" s="63"/>
      <c r="AM16" s="212" t="s">
        <v>371</v>
      </c>
      <c r="AN16" s="48" t="b">
        <v>1</v>
      </c>
      <c r="AO16" s="64" t="s">
        <v>63</v>
      </c>
    </row>
    <row r="17" spans="2:41">
      <c r="B17" s="63"/>
      <c r="C17" s="149"/>
      <c r="D17" s="125"/>
      <c r="E17" s="88" t="s">
        <v>63</v>
      </c>
      <c r="F17" s="141" t="str">
        <f>'AUD CURVE TICKERS'!B26</f>
        <v>3Y</v>
      </c>
      <c r="G17" s="142">
        <f>'AUD CURVE TICKERS'!J26%</f>
        <v>1.7849999999999998E-2</v>
      </c>
      <c r="H17" s="132"/>
      <c r="I17" s="132"/>
      <c r="J17" s="133" t="b">
        <v>1</v>
      </c>
      <c r="K17" s="88"/>
      <c r="L17" s="134"/>
      <c r="M17" s="135"/>
      <c r="N17" s="88"/>
      <c r="O17" s="115">
        <f>'AUD CURVE TICKERS'!T26/10000</f>
        <v>4.2249999999999996E-3</v>
      </c>
      <c r="P17" s="115">
        <f>'AUD CURVE TICKERS'!AQ56/10000</f>
        <v>1.0375E-3</v>
      </c>
      <c r="Q17" s="311"/>
      <c r="R17" s="141" t="str">
        <f>'AUD CURVE TICKERS'!L26</f>
        <v>20Y</v>
      </c>
      <c r="S17" s="143">
        <f t="shared" si="0"/>
        <v>5.2624999999999998E-3</v>
      </c>
      <c r="T17" s="169" t="s">
        <v>212</v>
      </c>
      <c r="U17" s="311"/>
      <c r="V17" s="141" t="str">
        <f>'AUD CURVE TICKERS'!Y56</f>
        <v>20Y</v>
      </c>
      <c r="W17" s="144">
        <f>'AUD CURVE TICKERS'!AG56%</f>
        <v>3.1262499999999999E-2</v>
      </c>
      <c r="X17" s="169"/>
      <c r="Y17" s="146"/>
      <c r="AB17" s="63"/>
      <c r="AC17" s="88"/>
      <c r="AD17" s="88"/>
      <c r="AE17" s="64" t="s">
        <v>63</v>
      </c>
      <c r="AF17" s="32" t="s">
        <v>63</v>
      </c>
      <c r="AG17" s="63"/>
      <c r="AH17" s="139" t="s">
        <v>290</v>
      </c>
      <c r="AI17" s="48" t="b">
        <v>1</v>
      </c>
      <c r="AJ17" s="64" t="s">
        <v>63</v>
      </c>
      <c r="AK17" s="32"/>
      <c r="AL17" s="63"/>
      <c r="AM17" s="139" t="s">
        <v>372</v>
      </c>
      <c r="AN17" s="48" t="b">
        <v>0</v>
      </c>
      <c r="AO17" s="64" t="s">
        <v>63</v>
      </c>
    </row>
    <row r="18" spans="2:41">
      <c r="B18" s="63"/>
      <c r="C18" s="149"/>
      <c r="D18" s="125"/>
      <c r="E18" s="88" t="s">
        <v>63</v>
      </c>
      <c r="F18" s="141" t="str">
        <f>'AUD CURVE TICKERS'!B27</f>
        <v>4Y</v>
      </c>
      <c r="G18" s="142">
        <f>'AUD CURVE TICKERS'!J27%</f>
        <v>1.883E-2</v>
      </c>
      <c r="H18" s="132"/>
      <c r="I18" s="132"/>
      <c r="J18" s="133" t="b">
        <v>1</v>
      </c>
      <c r="K18" s="88"/>
      <c r="L18" s="134"/>
      <c r="M18" s="135"/>
      <c r="N18" s="88"/>
      <c r="O18" s="115">
        <f>'AUD CURVE TICKERS'!T27/10000</f>
        <v>4.2624999999999998E-3</v>
      </c>
      <c r="P18" s="115">
        <f>'AUD CURVE TICKERS'!AQ57/10000</f>
        <v>1.0625000000000001E-3</v>
      </c>
      <c r="Q18" s="311"/>
      <c r="R18" s="141" t="str">
        <f>'AUD CURVE TICKERS'!L27</f>
        <v>25Y</v>
      </c>
      <c r="S18" s="143">
        <f t="shared" si="0"/>
        <v>5.3249999999999999E-3</v>
      </c>
      <c r="T18" s="169" t="s">
        <v>212</v>
      </c>
      <c r="U18" s="311"/>
      <c r="V18" s="141" t="str">
        <f>'AUD CURVE TICKERS'!Y57</f>
        <v>25Y</v>
      </c>
      <c r="W18" s="144">
        <f>'AUD CURVE TICKERS'!AG57%</f>
        <v>3.1362500000000001E-2</v>
      </c>
      <c r="X18" s="169"/>
      <c r="Y18" s="146"/>
      <c r="AB18" s="63"/>
      <c r="AC18" s="124" t="s">
        <v>199</v>
      </c>
      <c r="AD18" s="88"/>
      <c r="AE18" s="64" t="s">
        <v>63</v>
      </c>
      <c r="AF18" s="32" t="s">
        <v>63</v>
      </c>
      <c r="AG18" s="63"/>
      <c r="AH18" s="139" t="s">
        <v>291</v>
      </c>
      <c r="AI18" s="426" t="str">
        <f>IF(Settings.SwapCurve.Interpolation="LINEAR-SPLINE","FN_LINEARSPLINEINTERPOLATION","FN_LINEARINTERPOLATION")</f>
        <v>FN_LINEARINTERPOLATION</v>
      </c>
      <c r="AJ18" s="64" t="s">
        <v>63</v>
      </c>
      <c r="AK18" s="32"/>
      <c r="AL18" s="63"/>
      <c r="AM18" s="139" t="s">
        <v>291</v>
      </c>
      <c r="AN18" s="426" t="str">
        <f>IF(Settings.SwapCurve.Interpolation="LINEAR-SPLINE","FN_LINEARSPLINEINTERPOLATION","FN_LINEARINTERPOLATION")</f>
        <v>FN_LINEARINTERPOLATION</v>
      </c>
      <c r="AO18" s="64" t="s">
        <v>63</v>
      </c>
    </row>
    <row r="19" spans="2:41">
      <c r="B19" s="63"/>
      <c r="C19" s="150" t="s">
        <v>216</v>
      </c>
      <c r="D19" s="125"/>
      <c r="E19" s="88" t="s">
        <v>63</v>
      </c>
      <c r="F19" s="141" t="str">
        <f>'AUD CURVE TICKERS'!B28</f>
        <v>5Y</v>
      </c>
      <c r="G19" s="142">
        <f>'AUD CURVE TICKERS'!J28%</f>
        <v>1.9779999999999999E-2</v>
      </c>
      <c r="H19" s="132"/>
      <c r="I19" s="132"/>
      <c r="J19" s="133" t="b">
        <v>1</v>
      </c>
      <c r="K19" s="88"/>
      <c r="L19" s="134"/>
      <c r="M19" s="135"/>
      <c r="N19" s="88"/>
      <c r="O19" s="115">
        <f>'AUD CURVE TICKERS'!T28/10000</f>
        <v>4.3E-3</v>
      </c>
      <c r="P19" s="115">
        <f>'AUD CURVE TICKERS'!AQ58/10000</f>
        <v>1.0625000000000001E-3</v>
      </c>
      <c r="Q19" s="311"/>
      <c r="R19" s="141" t="str">
        <f>'AUD CURVE TICKERS'!L28</f>
        <v>30Y</v>
      </c>
      <c r="S19" s="143">
        <f t="shared" si="0"/>
        <v>5.3625000000000001E-3</v>
      </c>
      <c r="T19" s="169" t="s">
        <v>212</v>
      </c>
      <c r="U19" s="311"/>
      <c r="V19" s="141" t="str">
        <f>'AUD CURVE TICKERS'!Y58</f>
        <v>30Y</v>
      </c>
      <c r="W19" s="144">
        <f>'AUD CURVE TICKERS'!AG58%</f>
        <v>3.1037499999999999E-2</v>
      </c>
      <c r="X19" s="169"/>
      <c r="Y19" s="146"/>
      <c r="AB19" s="63"/>
      <c r="AC19" s="184" t="s">
        <v>241</v>
      </c>
      <c r="AD19" s="185" t="s">
        <v>242</v>
      </c>
      <c r="AE19" s="64" t="s">
        <v>63</v>
      </c>
      <c r="AF19" s="32" t="s">
        <v>63</v>
      </c>
      <c r="AG19" s="63"/>
      <c r="AH19" s="139" t="s">
        <v>20</v>
      </c>
      <c r="AI19" s="48" t="s">
        <v>292</v>
      </c>
      <c r="AJ19" s="64" t="s">
        <v>63</v>
      </c>
      <c r="AK19" s="32"/>
      <c r="AL19" s="63"/>
      <c r="AM19" s="139" t="s">
        <v>20</v>
      </c>
      <c r="AN19" s="48" t="s">
        <v>292</v>
      </c>
      <c r="AO19" s="64" t="s">
        <v>63</v>
      </c>
    </row>
    <row r="20" spans="2:41">
      <c r="B20" s="63"/>
      <c r="C20" s="151" t="s">
        <v>66</v>
      </c>
      <c r="D20" s="152" t="s">
        <v>217</v>
      </c>
      <c r="E20" s="88" t="s">
        <v>63</v>
      </c>
      <c r="F20" s="141" t="str">
        <f>'AUD CURVE TICKERS'!B29</f>
        <v>6Y</v>
      </c>
      <c r="G20" s="142">
        <f>'AUD CURVE TICKERS'!J29%</f>
        <v>2.0630000000000003E-2</v>
      </c>
      <c r="H20" s="132"/>
      <c r="I20" s="132"/>
      <c r="J20" s="133" t="b">
        <v>1</v>
      </c>
      <c r="K20" s="88"/>
      <c r="L20" s="134"/>
      <c r="M20" s="135"/>
      <c r="N20" s="88"/>
      <c r="O20" s="88"/>
      <c r="P20" s="90"/>
      <c r="Q20" s="311"/>
      <c r="R20" s="428" t="s">
        <v>570</v>
      </c>
      <c r="S20" s="429">
        <f>S19</f>
        <v>5.3625000000000001E-3</v>
      </c>
      <c r="T20" s="168" t="s">
        <v>572</v>
      </c>
      <c r="U20" s="168"/>
      <c r="V20" s="428" t="s">
        <v>570</v>
      </c>
      <c r="W20" s="429">
        <f>W19</f>
        <v>3.1037499999999999E-2</v>
      </c>
      <c r="X20" s="168" t="s">
        <v>572</v>
      </c>
      <c r="Y20" s="146"/>
      <c r="AB20" s="63"/>
      <c r="AC20" s="186" t="s">
        <v>243</v>
      </c>
      <c r="AD20" s="187" t="s">
        <v>118</v>
      </c>
      <c r="AE20" s="64" t="s">
        <v>63</v>
      </c>
      <c r="AF20" s="32" t="s">
        <v>63</v>
      </c>
      <c r="AG20" s="63"/>
      <c r="AH20" s="139" t="s">
        <v>293</v>
      </c>
      <c r="AI20" s="48" t="s">
        <v>199</v>
      </c>
      <c r="AJ20" s="64" t="s">
        <v>63</v>
      </c>
      <c r="AK20" s="32"/>
      <c r="AL20" s="63"/>
      <c r="AM20" s="139" t="s">
        <v>293</v>
      </c>
      <c r="AN20" s="48" t="s">
        <v>199</v>
      </c>
      <c r="AO20" s="64" t="s">
        <v>63</v>
      </c>
    </row>
    <row r="21" spans="2:41">
      <c r="B21" s="63"/>
      <c r="C21" s="153" t="s">
        <v>218</v>
      </c>
      <c r="D21" s="201" t="str">
        <f ca="1">$AD$6</f>
        <v>AUD_OIS_CURVE_GENERATOR@5:3</v>
      </c>
      <c r="E21" s="88" t="s">
        <v>63</v>
      </c>
      <c r="F21" s="141" t="str">
        <f>'AUD CURVE TICKERS'!B30</f>
        <v>7Y</v>
      </c>
      <c r="G21" s="142">
        <f>'AUD CURVE TICKERS'!J30%</f>
        <v>2.1480000000000003E-2</v>
      </c>
      <c r="H21" s="132"/>
      <c r="I21" s="132"/>
      <c r="J21" s="133" t="b">
        <v>1</v>
      </c>
      <c r="K21" s="88"/>
      <c r="L21" s="134"/>
      <c r="M21" s="135"/>
      <c r="N21" s="88"/>
      <c r="O21" s="88"/>
      <c r="P21" s="90"/>
      <c r="Q21" s="90"/>
      <c r="R21" s="428" t="s">
        <v>571</v>
      </c>
      <c r="S21" s="429">
        <f>S20</f>
        <v>5.3625000000000001E-3</v>
      </c>
      <c r="T21" s="168" t="s">
        <v>572</v>
      </c>
      <c r="U21" s="168"/>
      <c r="V21" s="428" t="s">
        <v>571</v>
      </c>
      <c r="W21" s="429">
        <f>W20</f>
        <v>3.1037499999999999E-2</v>
      </c>
      <c r="X21" s="168" t="s">
        <v>572</v>
      </c>
      <c r="Y21" s="64"/>
      <c r="AB21" s="63"/>
      <c r="AC21" s="186" t="s">
        <v>244</v>
      </c>
      <c r="AD21" s="187" t="s">
        <v>245</v>
      </c>
      <c r="AE21" s="64" t="s">
        <v>63</v>
      </c>
      <c r="AF21" s="32" t="s">
        <v>63</v>
      </c>
      <c r="AG21" s="63"/>
      <c r="AH21" s="139" t="s">
        <v>294</v>
      </c>
      <c r="AI21" s="48" t="b">
        <v>1</v>
      </c>
      <c r="AJ21" s="64" t="s">
        <v>63</v>
      </c>
      <c r="AK21" s="32"/>
      <c r="AL21" s="63"/>
      <c r="AM21" s="139" t="s">
        <v>294</v>
      </c>
      <c r="AN21" s="48" t="b">
        <v>0</v>
      </c>
      <c r="AO21" s="64" t="s">
        <v>63</v>
      </c>
    </row>
    <row r="22" spans="2:41">
      <c r="B22" s="63"/>
      <c r="C22" s="153" t="s">
        <v>219</v>
      </c>
      <c r="D22" s="154" t="s">
        <v>109</v>
      </c>
      <c r="E22" s="88" t="s">
        <v>63</v>
      </c>
      <c r="F22" s="141" t="str">
        <f>'AUD CURVE TICKERS'!B31</f>
        <v>8Y</v>
      </c>
      <c r="G22" s="142">
        <f>'AUD CURVE TICKERS'!J31%</f>
        <v>2.215E-2</v>
      </c>
      <c r="H22" s="132"/>
      <c r="I22" s="132"/>
      <c r="J22" s="133" t="b">
        <v>1</v>
      </c>
      <c r="K22" s="88"/>
      <c r="L22" s="134"/>
      <c r="M22" s="135"/>
      <c r="N22" s="88"/>
      <c r="O22" s="88"/>
      <c r="P22" s="90"/>
      <c r="Q22" s="90"/>
      <c r="R22" s="141"/>
      <c r="S22" s="143"/>
      <c r="T22" s="88"/>
      <c r="U22" s="311"/>
      <c r="V22" s="141"/>
      <c r="W22" s="144"/>
      <c r="X22" s="88"/>
      <c r="Y22" s="64"/>
      <c r="AB22" s="63"/>
      <c r="AC22" s="186" t="s">
        <v>246</v>
      </c>
      <c r="AD22" s="187" t="s">
        <v>247</v>
      </c>
      <c r="AE22" s="64" t="s">
        <v>63</v>
      </c>
      <c r="AF22" s="32" t="s">
        <v>63</v>
      </c>
      <c r="AG22" s="63"/>
      <c r="AH22" s="139" t="s">
        <v>295</v>
      </c>
      <c r="AI22" s="48" t="s">
        <v>296</v>
      </c>
      <c r="AJ22" s="64" t="s">
        <v>63</v>
      </c>
      <c r="AK22" s="32"/>
      <c r="AL22" s="63"/>
      <c r="AM22" s="139" t="s">
        <v>297</v>
      </c>
      <c r="AN22" s="48" t="b">
        <v>1</v>
      </c>
      <c r="AO22" s="64" t="s">
        <v>63</v>
      </c>
    </row>
    <row r="23" spans="2:41">
      <c r="B23" s="63"/>
      <c r="C23" s="155" t="s">
        <v>220</v>
      </c>
      <c r="D23" s="156"/>
      <c r="E23" s="88" t="s">
        <v>63</v>
      </c>
      <c r="F23" s="141" t="str">
        <f>'AUD CURVE TICKERS'!B32</f>
        <v>9Y</v>
      </c>
      <c r="G23" s="142">
        <f>'AUD CURVE TICKERS'!J32%</f>
        <v>2.2799999999999997E-2</v>
      </c>
      <c r="H23" s="132"/>
      <c r="I23" s="132"/>
      <c r="J23" s="133" t="b">
        <v>1</v>
      </c>
      <c r="K23" s="88"/>
      <c r="L23" s="134"/>
      <c r="M23" s="135"/>
      <c r="N23" s="88"/>
      <c r="O23" s="88"/>
      <c r="P23" s="289"/>
      <c r="Q23" s="289"/>
      <c r="R23" s="141"/>
      <c r="S23" s="144"/>
      <c r="T23" s="88"/>
      <c r="U23" s="311"/>
      <c r="V23" s="141"/>
      <c r="W23" s="144"/>
      <c r="X23" s="88"/>
      <c r="Y23" s="64"/>
      <c r="AB23" s="63"/>
      <c r="AC23" s="186" t="s">
        <v>248</v>
      </c>
      <c r="AD23" s="187" t="s">
        <v>69</v>
      </c>
      <c r="AE23" s="64" t="s">
        <v>63</v>
      </c>
      <c r="AF23" s="32" t="s">
        <v>63</v>
      </c>
      <c r="AG23" s="63"/>
      <c r="AH23" s="139" t="s">
        <v>297</v>
      </c>
      <c r="AI23" s="48" t="b">
        <v>1</v>
      </c>
      <c r="AJ23" s="64" t="s">
        <v>63</v>
      </c>
      <c r="AK23" s="32"/>
      <c r="AL23" s="63"/>
      <c r="AM23" s="139"/>
      <c r="AN23" s="48"/>
      <c r="AO23" s="64" t="s">
        <v>63</v>
      </c>
    </row>
    <row r="24" spans="2:41">
      <c r="B24" s="63"/>
      <c r="C24" s="88"/>
      <c r="D24" s="149"/>
      <c r="E24" s="88" t="s">
        <v>63</v>
      </c>
      <c r="F24" s="141" t="str">
        <f>'AUD CURVE TICKERS'!B33</f>
        <v>10Y</v>
      </c>
      <c r="G24" s="142">
        <f>'AUD CURVE TICKERS'!J33%</f>
        <v>2.3479999999999997E-2</v>
      </c>
      <c r="H24" s="132"/>
      <c r="I24" s="132"/>
      <c r="J24" s="133" t="b">
        <v>1</v>
      </c>
      <c r="K24" s="88"/>
      <c r="L24" s="134"/>
      <c r="M24" s="135"/>
      <c r="N24" s="88"/>
      <c r="O24" s="88"/>
      <c r="P24" s="289"/>
      <c r="Q24" s="289"/>
      <c r="R24" s="141"/>
      <c r="S24" s="144"/>
      <c r="T24" s="88"/>
      <c r="U24" s="311"/>
      <c r="V24" s="141"/>
      <c r="W24" s="144"/>
      <c r="X24" s="88"/>
      <c r="Y24" s="64"/>
      <c r="AB24" s="63"/>
      <c r="AC24" s="179" t="s">
        <v>249</v>
      </c>
      <c r="AD24" s="187" t="s">
        <v>250</v>
      </c>
      <c r="AE24" s="64" t="s">
        <v>63</v>
      </c>
      <c r="AF24" s="32" t="s">
        <v>63</v>
      </c>
      <c r="AG24" s="63"/>
      <c r="AH24" s="145"/>
      <c r="AI24" s="183"/>
      <c r="AJ24" s="64" t="s">
        <v>63</v>
      </c>
      <c r="AK24" s="32"/>
      <c r="AL24" s="63"/>
      <c r="AM24" s="145"/>
      <c r="AN24" s="183"/>
      <c r="AO24" s="64" t="s">
        <v>63</v>
      </c>
    </row>
    <row r="25" spans="2:41">
      <c r="B25" s="63"/>
      <c r="C25" s="88"/>
      <c r="D25" s="149"/>
      <c r="E25" s="88" t="s">
        <v>63</v>
      </c>
      <c r="F25" s="141" t="str">
        <f>'AUD CURVE TICKERS'!B34</f>
        <v>15Y</v>
      </c>
      <c r="G25" s="142">
        <f>'AUD CURVE TICKERS'!J34%</f>
        <v>2.5479999999999999E-2</v>
      </c>
      <c r="H25" s="132"/>
      <c r="I25" s="132"/>
      <c r="J25" s="133" t="b">
        <v>1</v>
      </c>
      <c r="K25" s="88"/>
      <c r="L25" s="134"/>
      <c r="M25" s="135"/>
      <c r="N25" s="88"/>
      <c r="O25" s="88"/>
      <c r="P25" s="289"/>
      <c r="Q25" s="289"/>
      <c r="R25" s="141"/>
      <c r="S25" s="144"/>
      <c r="T25" s="88"/>
      <c r="U25" s="311"/>
      <c r="V25" s="141"/>
      <c r="W25" s="144"/>
      <c r="X25" s="88"/>
      <c r="Y25" s="64"/>
      <c r="AB25" s="63"/>
      <c r="AC25" s="188" t="s">
        <v>251</v>
      </c>
      <c r="AD25" s="189" t="s">
        <v>49</v>
      </c>
      <c r="AE25" s="64" t="s">
        <v>63</v>
      </c>
      <c r="AF25" s="32" t="s">
        <v>63</v>
      </c>
      <c r="AG25" s="63"/>
      <c r="AH25" s="88"/>
      <c r="AI25" s="88"/>
      <c r="AJ25" s="64" t="s">
        <v>63</v>
      </c>
      <c r="AK25" s="32"/>
      <c r="AL25" s="63"/>
      <c r="AM25" s="88"/>
      <c r="AN25" s="88"/>
      <c r="AO25" s="64" t="s">
        <v>63</v>
      </c>
    </row>
    <row r="26" spans="2:41">
      <c r="B26" s="63"/>
      <c r="C26" s="150" t="s">
        <v>221</v>
      </c>
      <c r="D26" s="149"/>
      <c r="E26" s="88" t="s">
        <v>63</v>
      </c>
      <c r="F26" s="141" t="str">
        <f>'AUD CURVE TICKERS'!B35</f>
        <v>20Y</v>
      </c>
      <c r="G26" s="142">
        <f>'AUD CURVE TICKERS'!J35%</f>
        <v>2.6150000000000003E-2</v>
      </c>
      <c r="H26" s="132"/>
      <c r="I26" s="132"/>
      <c r="J26" s="133" t="b">
        <v>1</v>
      </c>
      <c r="K26" s="88"/>
      <c r="L26" s="134"/>
      <c r="M26" s="135"/>
      <c r="N26" s="88"/>
      <c r="O26" s="88"/>
      <c r="P26" s="289"/>
      <c r="Q26" s="289"/>
      <c r="R26" s="141"/>
      <c r="S26" s="144"/>
      <c r="T26" s="88"/>
      <c r="U26" s="311"/>
      <c r="V26" s="141"/>
      <c r="W26" s="144"/>
      <c r="X26" s="88"/>
      <c r="Y26" s="64"/>
      <c r="AB26" s="63"/>
      <c r="AC26" s="186" t="s">
        <v>252</v>
      </c>
      <c r="AD26" s="187">
        <v>31</v>
      </c>
      <c r="AE26" s="64" t="s">
        <v>63</v>
      </c>
      <c r="AF26" s="32" t="s">
        <v>63</v>
      </c>
      <c r="AG26" s="63"/>
      <c r="AH26" s="206" t="s">
        <v>298</v>
      </c>
      <c r="AI26" s="207"/>
      <c r="AJ26" s="64" t="s">
        <v>63</v>
      </c>
      <c r="AK26" s="32"/>
      <c r="AL26" s="63"/>
      <c r="AM26" s="206" t="s">
        <v>298</v>
      </c>
      <c r="AN26" s="207"/>
      <c r="AO26" s="64" t="s">
        <v>63</v>
      </c>
    </row>
    <row r="27" spans="2:41">
      <c r="B27" s="63"/>
      <c r="C27" s="157" t="s">
        <v>66</v>
      </c>
      <c r="D27" s="276" t="str">
        <f t="array" aca="1" ref="D27:D30" ca="1">_xll.meLWOCurveCalibrate(D20,D21,D14,D22,D23)</f>
        <v>AUD_OIS_CURVE@64:3</v>
      </c>
      <c r="E27" s="88" t="s">
        <v>63</v>
      </c>
      <c r="F27" s="141" t="str">
        <f>'AUD CURVE TICKERS'!B36</f>
        <v>25Y</v>
      </c>
      <c r="G27" s="142">
        <f>'AUD CURVE TICKERS'!J36%</f>
        <v>2.6200000000000001E-2</v>
      </c>
      <c r="H27" s="132"/>
      <c r="I27" s="132"/>
      <c r="J27" s="133" t="b">
        <v>1</v>
      </c>
      <c r="K27" s="88"/>
      <c r="L27" s="134"/>
      <c r="M27" s="135"/>
      <c r="N27" s="88"/>
      <c r="O27" s="88"/>
      <c r="P27" s="289"/>
      <c r="Q27" s="289"/>
      <c r="R27" s="141"/>
      <c r="S27" s="144"/>
      <c r="T27" s="88"/>
      <c r="U27" s="311"/>
      <c r="V27" s="141"/>
      <c r="W27" s="144"/>
      <c r="X27" s="88"/>
      <c r="Y27" s="64"/>
      <c r="AB27" s="63"/>
      <c r="AC27" s="186" t="s">
        <v>253</v>
      </c>
      <c r="AD27" s="187" t="b">
        <v>1</v>
      </c>
      <c r="AE27" s="64" t="s">
        <v>63</v>
      </c>
      <c r="AF27" s="32" t="s">
        <v>63</v>
      </c>
      <c r="AG27" s="63"/>
      <c r="AH27" s="184" t="s">
        <v>71</v>
      </c>
      <c r="AI27" s="196" t="s">
        <v>268</v>
      </c>
      <c r="AJ27" s="64" t="s">
        <v>63</v>
      </c>
      <c r="AK27" s="32"/>
      <c r="AL27" s="63"/>
      <c r="AM27" s="184" t="s">
        <v>71</v>
      </c>
      <c r="AN27" s="196" t="s">
        <v>268</v>
      </c>
      <c r="AO27" s="64" t="s">
        <v>63</v>
      </c>
    </row>
    <row r="28" spans="2:41">
      <c r="B28" s="63"/>
      <c r="C28" s="158" t="s">
        <v>222</v>
      </c>
      <c r="D28" s="277" t="str">
        <f ca="1"/>
        <v>AUDYC</v>
      </c>
      <c r="E28" s="88" t="s">
        <v>63</v>
      </c>
      <c r="F28" s="141" t="str">
        <f>'AUD CURVE TICKERS'!B37</f>
        <v>30Y</v>
      </c>
      <c r="G28" s="142">
        <f>'AUD CURVE TICKERS'!J37%</f>
        <v>2.5830000000000002E-2</v>
      </c>
      <c r="H28" s="132"/>
      <c r="I28" s="132"/>
      <c r="J28" s="133" t="b">
        <v>1</v>
      </c>
      <c r="K28" s="88"/>
      <c r="L28" s="134"/>
      <c r="M28" s="135"/>
      <c r="N28" s="88"/>
      <c r="O28" s="88"/>
      <c r="P28" s="289"/>
      <c r="Q28" s="289"/>
      <c r="R28" s="141"/>
      <c r="S28" s="144"/>
      <c r="T28" s="88"/>
      <c r="U28" s="311"/>
      <c r="V28" s="141"/>
      <c r="W28" s="144"/>
      <c r="X28" s="88"/>
      <c r="Y28" s="64"/>
      <c r="AB28" s="63"/>
      <c r="AC28" s="186" t="s">
        <v>254</v>
      </c>
      <c r="AD28" s="190" t="s">
        <v>255</v>
      </c>
      <c r="AE28" s="64" t="s">
        <v>63</v>
      </c>
      <c r="AF28" s="32" t="s">
        <v>63</v>
      </c>
      <c r="AG28" s="63"/>
      <c r="AH28" s="186" t="s">
        <v>28</v>
      </c>
      <c r="AI28" s="187" t="s">
        <v>118</v>
      </c>
      <c r="AJ28" s="64" t="s">
        <v>63</v>
      </c>
      <c r="AK28" s="32"/>
      <c r="AL28" s="63"/>
      <c r="AM28" s="186" t="s">
        <v>28</v>
      </c>
      <c r="AN28" s="187" t="s">
        <v>118</v>
      </c>
      <c r="AO28" s="64" t="s">
        <v>63</v>
      </c>
    </row>
    <row r="29" spans="2:41">
      <c r="B29" s="63"/>
      <c r="C29" s="158" t="s">
        <v>223</v>
      </c>
      <c r="D29" s="277" t="str">
        <f ca="1"/>
        <v>OIS:AUDOIS:AUDDF:AUDDF_AUDCSA:AUDDF_NOCSA</v>
      </c>
      <c r="E29" s="88" t="s">
        <v>63</v>
      </c>
      <c r="F29" s="141"/>
      <c r="G29" s="142"/>
      <c r="H29" s="132"/>
      <c r="I29" s="132"/>
      <c r="J29" s="133"/>
      <c r="K29" s="88"/>
      <c r="L29" s="134"/>
      <c r="M29" s="135"/>
      <c r="N29" s="88"/>
      <c r="O29" s="88"/>
      <c r="P29" s="289"/>
      <c r="Q29" s="289"/>
      <c r="R29" s="141"/>
      <c r="S29" s="144"/>
      <c r="T29" s="88"/>
      <c r="U29" s="311"/>
      <c r="V29" s="141"/>
      <c r="W29" s="144"/>
      <c r="X29" s="88"/>
      <c r="Y29" s="64"/>
      <c r="AB29" s="63"/>
      <c r="AC29" s="186" t="s">
        <v>256</v>
      </c>
      <c r="AD29" s="48" t="s">
        <v>362</v>
      </c>
      <c r="AE29" s="64"/>
      <c r="AF29" s="32" t="s">
        <v>63</v>
      </c>
      <c r="AG29" s="63"/>
      <c r="AH29" s="186" t="s">
        <v>299</v>
      </c>
      <c r="AI29" s="187" t="s">
        <v>300</v>
      </c>
      <c r="AJ29" s="64" t="s">
        <v>63</v>
      </c>
      <c r="AK29" s="32"/>
      <c r="AL29" s="63"/>
      <c r="AM29" s="186" t="s">
        <v>299</v>
      </c>
      <c r="AN29" s="187" t="s">
        <v>300</v>
      </c>
      <c r="AO29" s="64" t="s">
        <v>63</v>
      </c>
    </row>
    <row r="30" spans="2:41">
      <c r="B30" s="63"/>
      <c r="C30" s="159" t="s">
        <v>224</v>
      </c>
      <c r="D30" s="278" t="str">
        <f ca="1"/>
        <v>0.01500 sec</v>
      </c>
      <c r="E30" s="88" t="s">
        <v>63</v>
      </c>
      <c r="F30" s="141"/>
      <c r="G30" s="142"/>
      <c r="H30" s="132"/>
      <c r="I30" s="132"/>
      <c r="J30" s="133"/>
      <c r="K30" s="88"/>
      <c r="L30" s="134"/>
      <c r="M30" s="135"/>
      <c r="N30" s="88"/>
      <c r="O30" s="88"/>
      <c r="P30" s="289"/>
      <c r="Q30" s="289"/>
      <c r="R30" s="141"/>
      <c r="S30" s="144"/>
      <c r="T30" s="88"/>
      <c r="U30" s="311"/>
      <c r="V30" s="141"/>
      <c r="W30" s="144"/>
      <c r="X30" s="88"/>
      <c r="Y30" s="64"/>
      <c r="AB30" s="63"/>
      <c r="AC30" s="181" t="s">
        <v>257</v>
      </c>
      <c r="AD30" s="191" t="s">
        <v>173</v>
      </c>
      <c r="AE30" s="64"/>
      <c r="AF30" s="32" t="s">
        <v>63</v>
      </c>
      <c r="AG30" s="63"/>
      <c r="AH30" s="155"/>
      <c r="AI30" s="260"/>
      <c r="AJ30" s="64" t="s">
        <v>63</v>
      </c>
      <c r="AK30" s="32"/>
      <c r="AL30" s="63"/>
      <c r="AM30" s="155"/>
      <c r="AN30" s="260"/>
      <c r="AO30" s="64" t="s">
        <v>63</v>
      </c>
    </row>
    <row r="31" spans="2:41">
      <c r="B31" s="63"/>
      <c r="C31" s="160" t="s">
        <v>225</v>
      </c>
      <c r="D31" s="242" t="b">
        <f ca="1">LEFT($D$27,3)=LEFT($D$20,3)</f>
        <v>1</v>
      </c>
      <c r="E31" s="88" t="s">
        <v>63</v>
      </c>
      <c r="F31" s="161"/>
      <c r="G31" s="162"/>
      <c r="H31" s="163"/>
      <c r="I31" s="163"/>
      <c r="J31" s="164"/>
      <c r="K31" s="88"/>
      <c r="L31" s="165"/>
      <c r="M31" s="166"/>
      <c r="N31" s="88"/>
      <c r="O31" s="88"/>
      <c r="P31" s="289"/>
      <c r="Q31" s="289"/>
      <c r="R31" s="161"/>
      <c r="S31" s="167"/>
      <c r="T31" s="88"/>
      <c r="U31" s="311"/>
      <c r="V31" s="161"/>
      <c r="W31" s="167"/>
      <c r="X31" s="88"/>
      <c r="Y31" s="64"/>
      <c r="AB31" s="63"/>
      <c r="AC31" s="181" t="s">
        <v>258</v>
      </c>
      <c r="AD31" s="190" t="s">
        <v>119</v>
      </c>
      <c r="AE31" s="64" t="s">
        <v>63</v>
      </c>
      <c r="AF31" s="32" t="s">
        <v>63</v>
      </c>
      <c r="AG31" s="63"/>
      <c r="AH31" s="88"/>
      <c r="AI31" s="88"/>
      <c r="AJ31" s="64" t="s">
        <v>63</v>
      </c>
      <c r="AK31" s="32"/>
      <c r="AL31" s="63"/>
      <c r="AM31" s="88"/>
      <c r="AN31" s="88"/>
      <c r="AO31" s="64" t="s">
        <v>63</v>
      </c>
    </row>
    <row r="32" spans="2:41">
      <c r="B32" s="65"/>
      <c r="C32" s="170"/>
      <c r="D32" s="279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4"/>
      <c r="S32" s="170"/>
      <c r="T32" s="170"/>
      <c r="U32" s="170"/>
      <c r="V32" s="170"/>
      <c r="W32" s="170"/>
      <c r="X32" s="170"/>
      <c r="Y32" s="66"/>
      <c r="AB32" s="63"/>
      <c r="AC32" s="186" t="s">
        <v>259</v>
      </c>
      <c r="AD32" s="48">
        <v>1E-10</v>
      </c>
      <c r="AE32" s="64" t="s">
        <v>63</v>
      </c>
      <c r="AF32" s="32" t="s">
        <v>63</v>
      </c>
      <c r="AG32" s="63"/>
      <c r="AH32" s="206" t="s">
        <v>278</v>
      </c>
      <c r="AI32" s="207"/>
      <c r="AJ32" s="64" t="s">
        <v>63</v>
      </c>
      <c r="AK32" s="32"/>
      <c r="AL32" s="63"/>
      <c r="AM32" s="206" t="s">
        <v>278</v>
      </c>
      <c r="AN32" s="207"/>
      <c r="AO32" s="64" t="s">
        <v>63</v>
      </c>
    </row>
    <row r="33" spans="2:41">
      <c r="AB33" s="63"/>
      <c r="AC33" s="186" t="s">
        <v>260</v>
      </c>
      <c r="AD33" s="47">
        <v>1000</v>
      </c>
      <c r="AE33" s="64" t="s">
        <v>63</v>
      </c>
      <c r="AF33" s="32" t="s">
        <v>63</v>
      </c>
      <c r="AG33" s="63"/>
      <c r="AH33" s="184" t="s">
        <v>71</v>
      </c>
      <c r="AI33" s="196" t="s">
        <v>268</v>
      </c>
      <c r="AJ33" s="64" t="s">
        <v>63</v>
      </c>
      <c r="AK33" s="32"/>
      <c r="AL33" s="63"/>
      <c r="AM33" s="184" t="s">
        <v>71</v>
      </c>
      <c r="AN33" s="196" t="s">
        <v>268</v>
      </c>
      <c r="AO33" s="64" t="s">
        <v>63</v>
      </c>
    </row>
    <row r="34" spans="2:41">
      <c r="AB34" s="63"/>
      <c r="AC34" s="186" t="s">
        <v>261</v>
      </c>
      <c r="AD34" s="190" t="s">
        <v>262</v>
      </c>
      <c r="AE34" s="64" t="s">
        <v>63</v>
      </c>
      <c r="AF34" s="32" t="s">
        <v>63</v>
      </c>
      <c r="AG34" s="63"/>
      <c r="AH34" s="188" t="s">
        <v>47</v>
      </c>
      <c r="AI34" s="261" t="s">
        <v>118</v>
      </c>
      <c r="AJ34" s="64" t="s">
        <v>63</v>
      </c>
      <c r="AK34" s="32"/>
      <c r="AL34" s="63"/>
      <c r="AM34" s="188" t="s">
        <v>47</v>
      </c>
      <c r="AN34" s="261" t="s">
        <v>118</v>
      </c>
      <c r="AO34" s="64" t="s">
        <v>63</v>
      </c>
    </row>
    <row r="35" spans="2:41">
      <c r="B35" s="1" t="s">
        <v>284</v>
      </c>
      <c r="AB35" s="63"/>
      <c r="AC35" s="153" t="s">
        <v>263</v>
      </c>
      <c r="AD35" s="187" t="b">
        <v>0</v>
      </c>
      <c r="AE35" s="64" t="s">
        <v>63</v>
      </c>
      <c r="AF35" s="32" t="s">
        <v>63</v>
      </c>
      <c r="AG35" s="63"/>
      <c r="AH35" s="179" t="s">
        <v>20</v>
      </c>
      <c r="AI35" s="187" t="s">
        <v>301</v>
      </c>
      <c r="AJ35" s="64" t="s">
        <v>63</v>
      </c>
      <c r="AK35" s="32"/>
      <c r="AL35" s="63"/>
      <c r="AM35" s="179" t="s">
        <v>20</v>
      </c>
      <c r="AN35" s="187" t="s">
        <v>301</v>
      </c>
      <c r="AO35" s="64" t="s">
        <v>63</v>
      </c>
    </row>
    <row r="36" spans="2:41">
      <c r="B36" s="203"/>
      <c r="C36" s="204"/>
      <c r="D36" s="280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46"/>
      <c r="AB36" s="63"/>
      <c r="AC36" s="193"/>
      <c r="AD36" s="194"/>
      <c r="AE36" s="64" t="s">
        <v>63</v>
      </c>
      <c r="AF36" s="32" t="s">
        <v>63</v>
      </c>
      <c r="AG36" s="63"/>
      <c r="AH36" s="179" t="s">
        <v>302</v>
      </c>
      <c r="AI36" s="261">
        <v>0</v>
      </c>
      <c r="AJ36" s="64" t="s">
        <v>63</v>
      </c>
      <c r="AK36" s="32"/>
      <c r="AL36" s="63"/>
      <c r="AM36" s="179" t="s">
        <v>302</v>
      </c>
      <c r="AN36" s="261">
        <v>0</v>
      </c>
      <c r="AO36" s="64" t="s">
        <v>63</v>
      </c>
    </row>
    <row r="37" spans="2:41">
      <c r="B37" s="205"/>
      <c r="C37" s="206" t="s">
        <v>198</v>
      </c>
      <c r="D37" s="281"/>
      <c r="E37" s="88"/>
      <c r="F37" s="206" t="s">
        <v>278</v>
      </c>
      <c r="G37" s="207"/>
      <c r="H37" s="88"/>
      <c r="I37" s="206" t="s">
        <v>279</v>
      </c>
      <c r="J37" s="207"/>
      <c r="K37" s="88"/>
      <c r="L37" s="206" t="s">
        <v>280</v>
      </c>
      <c r="M37" s="74"/>
      <c r="N37" s="207"/>
      <c r="O37" s="207"/>
      <c r="P37" s="207"/>
      <c r="Q37" s="88"/>
      <c r="R37" s="206" t="s">
        <v>202</v>
      </c>
      <c r="S37" s="88"/>
      <c r="T37" s="88"/>
      <c r="U37" s="88"/>
      <c r="V37" s="206" t="s">
        <v>285</v>
      </c>
      <c r="W37" s="88"/>
      <c r="X37" s="88"/>
      <c r="Y37" s="247"/>
      <c r="AB37" s="63"/>
      <c r="AC37" s="88"/>
      <c r="AD37" s="88"/>
      <c r="AE37" s="64" t="s">
        <v>63</v>
      </c>
      <c r="AF37" s="32" t="s">
        <v>63</v>
      </c>
      <c r="AG37" s="63"/>
      <c r="AH37" s="179" t="s">
        <v>303</v>
      </c>
      <c r="AI37" s="187" t="s">
        <v>49</v>
      </c>
      <c r="AJ37" s="64" t="s">
        <v>63</v>
      </c>
      <c r="AK37" s="32"/>
      <c r="AL37" s="63"/>
      <c r="AM37" s="179" t="s">
        <v>303</v>
      </c>
      <c r="AN37" s="187" t="s">
        <v>49</v>
      </c>
      <c r="AO37" s="64" t="s">
        <v>63</v>
      </c>
    </row>
    <row r="38" spans="2:41">
      <c r="B38" s="205"/>
      <c r="C38" s="208" t="s">
        <v>5</v>
      </c>
      <c r="D38" s="209" t="s">
        <v>111</v>
      </c>
      <c r="E38" s="88" t="s">
        <v>63</v>
      </c>
      <c r="F38" s="125" t="s">
        <v>203</v>
      </c>
      <c r="G38" s="125" t="s">
        <v>156</v>
      </c>
      <c r="H38" s="149"/>
      <c r="I38" s="125" t="s">
        <v>203</v>
      </c>
      <c r="J38" s="125" t="s">
        <v>156</v>
      </c>
      <c r="K38" s="149"/>
      <c r="L38" s="210" t="s">
        <v>203</v>
      </c>
      <c r="M38" s="210" t="s">
        <v>204</v>
      </c>
      <c r="N38" s="210" t="s">
        <v>205</v>
      </c>
      <c r="O38" s="210" t="s">
        <v>156</v>
      </c>
      <c r="P38" s="210" t="s">
        <v>281</v>
      </c>
      <c r="Q38" s="149"/>
      <c r="R38" s="211" t="s">
        <v>203</v>
      </c>
      <c r="S38" s="125" t="s">
        <v>156</v>
      </c>
      <c r="T38" s="125" t="s">
        <v>155</v>
      </c>
      <c r="U38" s="125"/>
      <c r="V38" s="211" t="s">
        <v>203</v>
      </c>
      <c r="W38" s="125" t="s">
        <v>156</v>
      </c>
      <c r="X38" s="125" t="s">
        <v>155</v>
      </c>
      <c r="Y38" s="247"/>
      <c r="AB38" s="63"/>
      <c r="AC38" s="124" t="s">
        <v>264</v>
      </c>
      <c r="AD38" s="195" t="s">
        <v>265</v>
      </c>
      <c r="AE38" s="64" t="s">
        <v>63</v>
      </c>
      <c r="AF38" s="32" t="s">
        <v>63</v>
      </c>
      <c r="AG38" s="63"/>
      <c r="AH38" s="182"/>
      <c r="AI38" s="262"/>
      <c r="AJ38" s="64" t="s">
        <v>63</v>
      </c>
      <c r="AK38" s="32"/>
      <c r="AL38" s="63"/>
      <c r="AM38" s="182"/>
      <c r="AN38" s="262"/>
      <c r="AO38" s="64" t="s">
        <v>63</v>
      </c>
    </row>
    <row r="39" spans="2:41">
      <c r="B39" s="205"/>
      <c r="C39" s="212" t="s">
        <v>208</v>
      </c>
      <c r="D39" s="213" t="s">
        <v>282</v>
      </c>
      <c r="E39" s="88" t="s">
        <v>63</v>
      </c>
      <c r="F39" s="129" t="str">
        <f>'AUD CURVE TICKERS'!B46</f>
        <v>3M</v>
      </c>
      <c r="G39" s="136">
        <f>'AUD CURVE TICKERS'!J46%</f>
        <v>1.9299999999999998E-2</v>
      </c>
      <c r="H39" s="88"/>
      <c r="I39" s="214"/>
      <c r="J39" s="215"/>
      <c r="K39" s="88"/>
      <c r="L39" s="216" t="str">
        <f>'AUD CURVE TICKERS'!L45</f>
        <v>IR1</v>
      </c>
      <c r="M39" s="217" t="str">
        <f>'AUD CURVE TICKERS'!V45</f>
        <v>14/12/2018</v>
      </c>
      <c r="N39" s="217" t="str">
        <f>'AUD CURVE TICKERS'!W45</f>
        <v>08/03/2019</v>
      </c>
      <c r="O39" s="244">
        <f>'AUD CURVE TICKERS'!T45</f>
        <v>98.025000000000006</v>
      </c>
      <c r="P39" s="338">
        <f t="shared" ref="P39:P44" si="1">Settings.Futures.Convexity.HW1F.Vol</f>
        <v>0.02</v>
      </c>
      <c r="Q39" s="88"/>
      <c r="R39" s="286" t="str">
        <f>'AUD CURVE TICKERS'!Y46</f>
        <v>2Y</v>
      </c>
      <c r="S39" s="284">
        <f>'AUD CURVE TICKERS'!AG46%</f>
        <v>2.0862500000000003E-2</v>
      </c>
      <c r="T39" s="219" t="b">
        <v>1</v>
      </c>
      <c r="U39" s="125"/>
      <c r="V39" s="286" t="str">
        <f>'AUD CURVE TICKERS'!AI46</f>
        <v>2Y</v>
      </c>
      <c r="W39" s="284">
        <f>'AUD CURVE TICKERS'!AQ46/10000</f>
        <v>1.5625000000000001E-3</v>
      </c>
      <c r="X39" s="219" t="b">
        <v>1</v>
      </c>
      <c r="Y39" s="247"/>
      <c r="AB39" s="63"/>
      <c r="AC39" s="184" t="s">
        <v>244</v>
      </c>
      <c r="AD39" s="196" t="s">
        <v>245</v>
      </c>
      <c r="AE39" s="64" t="s">
        <v>63</v>
      </c>
      <c r="AF39" s="32" t="s">
        <v>63</v>
      </c>
      <c r="AG39" s="63"/>
      <c r="AH39" s="88"/>
      <c r="AI39" s="88"/>
      <c r="AJ39" s="64" t="s">
        <v>63</v>
      </c>
      <c r="AK39" s="32"/>
      <c r="AL39" s="63"/>
      <c r="AM39" s="88"/>
      <c r="AN39" s="88"/>
      <c r="AO39" s="64" t="s">
        <v>63</v>
      </c>
    </row>
    <row r="40" spans="2:41">
      <c r="B40" s="205"/>
      <c r="C40" s="212" t="s">
        <v>209</v>
      </c>
      <c r="D40" s="213" t="s">
        <v>46</v>
      </c>
      <c r="E40" s="88" t="s">
        <v>63</v>
      </c>
      <c r="F40" s="141"/>
      <c r="G40" s="143"/>
      <c r="H40" s="88"/>
      <c r="I40" s="220"/>
      <c r="J40" s="221"/>
      <c r="K40" s="88"/>
      <c r="L40" s="243" t="str">
        <f>'AUD CURVE TICKERS'!L46</f>
        <v>IR2</v>
      </c>
      <c r="M40" s="222" t="str">
        <f>'AUD CURVE TICKERS'!V46</f>
        <v>08/03/2019</v>
      </c>
      <c r="N40" s="222" t="str">
        <f>'AUD CURVE TICKERS'!W46</f>
        <v>14/06/2019</v>
      </c>
      <c r="O40" s="245">
        <f>'AUD CURVE TICKERS'!T46</f>
        <v>98.045000000000002</v>
      </c>
      <c r="P40" s="339">
        <f t="shared" si="1"/>
        <v>0.02</v>
      </c>
      <c r="Q40" s="88"/>
      <c r="R40" s="287" t="str">
        <f>'AUD CURVE TICKERS'!Y47</f>
        <v>3Y</v>
      </c>
      <c r="S40" s="285">
        <f>'AUD CURVE TICKERS'!AG47%</f>
        <v>2.1887500000000001E-2</v>
      </c>
      <c r="T40" s="226" t="b">
        <v>1</v>
      </c>
      <c r="U40" s="125"/>
      <c r="V40" s="287" t="str">
        <f>'AUD CURVE TICKERS'!AI47</f>
        <v>3Y</v>
      </c>
      <c r="W40" s="285">
        <f>'AUD CURVE TICKERS'!AQ47/10000</f>
        <v>1.5125E-3</v>
      </c>
      <c r="X40" s="226" t="b">
        <v>1</v>
      </c>
      <c r="Y40" s="247"/>
      <c r="AB40" s="63"/>
      <c r="AC40" s="186" t="s">
        <v>266</v>
      </c>
      <c r="AD40" s="187" t="s">
        <v>49</v>
      </c>
      <c r="AE40" s="64" t="s">
        <v>63</v>
      </c>
      <c r="AF40" s="32" t="s">
        <v>63</v>
      </c>
      <c r="AG40" s="63"/>
      <c r="AH40" s="206" t="s">
        <v>279</v>
      </c>
      <c r="AI40" s="207"/>
      <c r="AJ40" s="64" t="s">
        <v>63</v>
      </c>
      <c r="AK40" s="32"/>
      <c r="AL40" s="63"/>
      <c r="AM40" s="206" t="s">
        <v>279</v>
      </c>
      <c r="AN40" s="207"/>
      <c r="AO40" s="64" t="s">
        <v>63</v>
      </c>
    </row>
    <row r="41" spans="2:41">
      <c r="B41" s="205"/>
      <c r="C41" s="212" t="s">
        <v>211</v>
      </c>
      <c r="D41" s="282">
        <f ca="1">Settings.COB</f>
        <v>43420</v>
      </c>
      <c r="E41" s="88" t="s">
        <v>63</v>
      </c>
      <c r="F41" s="141"/>
      <c r="G41" s="143"/>
      <c r="H41" s="88"/>
      <c r="I41" s="220"/>
      <c r="J41" s="221"/>
      <c r="K41" s="88"/>
      <c r="L41" s="243" t="str">
        <f>'AUD CURVE TICKERS'!L47</f>
        <v>IR3</v>
      </c>
      <c r="M41" s="222" t="str">
        <f>'AUD CURVE TICKERS'!V47</f>
        <v>14/06/2019</v>
      </c>
      <c r="N41" s="222" t="str">
        <f>'AUD CURVE TICKERS'!W47</f>
        <v>13/09/2019</v>
      </c>
      <c r="O41" s="245">
        <f>'AUD CURVE TICKERS'!T47</f>
        <v>98.004999999999995</v>
      </c>
      <c r="P41" s="340">
        <f t="shared" si="1"/>
        <v>0.02</v>
      </c>
      <c r="Q41" s="88"/>
      <c r="R41" s="287" t="str">
        <f>'AUD CURVE TICKERS'!Y48</f>
        <v>4Y</v>
      </c>
      <c r="S41" s="285">
        <f>'AUD CURVE TICKERS'!AG48%</f>
        <v>2.4399999999999998E-2</v>
      </c>
      <c r="T41" s="226" t="b">
        <v>1</v>
      </c>
      <c r="U41" s="125"/>
      <c r="V41" s="287" t="str">
        <f>'AUD CURVE TICKERS'!AI48</f>
        <v>4Y</v>
      </c>
      <c r="W41" s="285">
        <f>'AUD CURVE TICKERS'!AQ48/10000</f>
        <v>1.5E-3</v>
      </c>
      <c r="X41" s="226" t="b">
        <v>1</v>
      </c>
      <c r="Y41" s="247"/>
      <c r="AB41" s="63"/>
      <c r="AC41" s="186"/>
      <c r="AD41" s="192"/>
      <c r="AE41" s="64" t="s">
        <v>63</v>
      </c>
      <c r="AF41" s="32" t="s">
        <v>63</v>
      </c>
      <c r="AG41" s="63"/>
      <c r="AH41" s="147" t="s">
        <v>71</v>
      </c>
      <c r="AI41" s="263" t="s">
        <v>268</v>
      </c>
      <c r="AJ41" s="64" t="s">
        <v>63</v>
      </c>
      <c r="AK41" s="32"/>
      <c r="AL41" s="63"/>
      <c r="AM41" s="147" t="s">
        <v>71</v>
      </c>
      <c r="AN41" s="263" t="s">
        <v>268</v>
      </c>
      <c r="AO41" s="64" t="s">
        <v>63</v>
      </c>
    </row>
    <row r="42" spans="2:41">
      <c r="B42" s="205"/>
      <c r="C42" s="229"/>
      <c r="D42" s="230"/>
      <c r="E42" s="88" t="s">
        <v>63</v>
      </c>
      <c r="F42" s="141"/>
      <c r="G42" s="143"/>
      <c r="H42" s="88"/>
      <c r="I42" s="220"/>
      <c r="J42" s="221"/>
      <c r="K42" s="88"/>
      <c r="L42" s="243" t="str">
        <f>'AUD CURVE TICKERS'!L48</f>
        <v>IR4</v>
      </c>
      <c r="M42" s="222" t="str">
        <f>'AUD CURVE TICKERS'!V48</f>
        <v>13/09/2019</v>
      </c>
      <c r="N42" s="222" t="str">
        <f>'AUD CURVE TICKERS'!W48</f>
        <v>13/12/2019</v>
      </c>
      <c r="O42" s="245">
        <f>'AUD CURVE TICKERS'!T48</f>
        <v>97.935000000000002</v>
      </c>
      <c r="P42" s="340">
        <f t="shared" si="1"/>
        <v>0.02</v>
      </c>
      <c r="Q42" s="88"/>
      <c r="R42" s="287" t="str">
        <f>'AUD CURVE TICKERS'!Y49</f>
        <v>5Y</v>
      </c>
      <c r="S42" s="285">
        <f>'AUD CURVE TICKERS'!AG49%</f>
        <v>2.5312500000000002E-2</v>
      </c>
      <c r="T42" s="226" t="b">
        <v>1</v>
      </c>
      <c r="U42" s="125"/>
      <c r="V42" s="287" t="str">
        <f>'AUD CURVE TICKERS'!AI49</f>
        <v>5Y</v>
      </c>
      <c r="W42" s="285">
        <f>'AUD CURVE TICKERS'!AQ49/10000</f>
        <v>1.475E-3</v>
      </c>
      <c r="X42" s="226" t="b">
        <v>1</v>
      </c>
      <c r="Y42" s="247"/>
      <c r="AB42" s="63"/>
      <c r="AC42" s="193"/>
      <c r="AD42" s="194"/>
      <c r="AE42" s="64" t="s">
        <v>63</v>
      </c>
      <c r="AF42" s="32" t="s">
        <v>63</v>
      </c>
      <c r="AG42" s="63"/>
      <c r="AH42" s="229" t="s">
        <v>28</v>
      </c>
      <c r="AI42" s="39" t="s">
        <v>118</v>
      </c>
      <c r="AJ42" s="64" t="s">
        <v>63</v>
      </c>
      <c r="AK42" s="32"/>
      <c r="AL42" s="63"/>
      <c r="AM42" s="229" t="s">
        <v>28</v>
      </c>
      <c r="AN42" s="39" t="s">
        <v>118</v>
      </c>
      <c r="AO42" s="64" t="s">
        <v>63</v>
      </c>
    </row>
    <row r="43" spans="2:41">
      <c r="B43" s="205"/>
      <c r="C43" s="148"/>
      <c r="D43" s="231"/>
      <c r="E43" s="88" t="s">
        <v>63</v>
      </c>
      <c r="F43" s="232"/>
      <c r="G43" s="167"/>
      <c r="H43" s="88"/>
      <c r="I43" s="220"/>
      <c r="J43" s="221"/>
      <c r="K43" s="88"/>
      <c r="L43" s="243" t="str">
        <f>'AUD CURVE TICKERS'!L49</f>
        <v>IR5</v>
      </c>
      <c r="M43" s="222" t="str">
        <f>'AUD CURVE TICKERS'!V49</f>
        <v>13/12/2019</v>
      </c>
      <c r="N43" s="222" t="str">
        <f>'AUD CURVE TICKERS'!W49</f>
        <v>13/03/2020</v>
      </c>
      <c r="O43" s="245">
        <f>'AUD CURVE TICKERS'!T49</f>
        <v>97.875</v>
      </c>
      <c r="P43" s="340">
        <f t="shared" si="1"/>
        <v>0.02</v>
      </c>
      <c r="Q43" s="88"/>
      <c r="R43" s="287" t="str">
        <f>'AUD CURVE TICKERS'!Y50</f>
        <v>6Y</v>
      </c>
      <c r="S43" s="285">
        <f>'AUD CURVE TICKERS'!AG50%</f>
        <v>2.6162499999999998E-2</v>
      </c>
      <c r="T43" s="226" t="b">
        <v>1</v>
      </c>
      <c r="U43" s="125"/>
      <c r="V43" s="287" t="str">
        <f>'AUD CURVE TICKERS'!AI50</f>
        <v>6Y</v>
      </c>
      <c r="W43" s="285">
        <f>'AUD CURVE TICKERS'!AQ50/10000</f>
        <v>1.4250000000000001E-3</v>
      </c>
      <c r="X43" s="226" t="b">
        <v>1</v>
      </c>
      <c r="Y43" s="247"/>
      <c r="AB43" s="63"/>
      <c r="AC43" s="88"/>
      <c r="AD43" s="88"/>
      <c r="AE43" s="64" t="s">
        <v>63</v>
      </c>
      <c r="AF43" s="32" t="s">
        <v>63</v>
      </c>
      <c r="AG43" s="63"/>
      <c r="AH43" s="229" t="s">
        <v>304</v>
      </c>
      <c r="AI43" s="39">
        <v>1</v>
      </c>
      <c r="AJ43" s="64" t="s">
        <v>63</v>
      </c>
      <c r="AK43" s="32"/>
      <c r="AL43" s="63"/>
      <c r="AM43" s="229" t="s">
        <v>304</v>
      </c>
      <c r="AN43" s="39">
        <v>1</v>
      </c>
      <c r="AO43" s="64" t="s">
        <v>63</v>
      </c>
    </row>
    <row r="44" spans="2:41">
      <c r="B44" s="205"/>
      <c r="C44" s="88"/>
      <c r="D44" s="149"/>
      <c r="E44" s="88" t="s">
        <v>63</v>
      </c>
      <c r="F44" s="88"/>
      <c r="G44" s="88"/>
      <c r="H44" s="88"/>
      <c r="I44" s="220"/>
      <c r="J44" s="221"/>
      <c r="K44" s="88"/>
      <c r="L44" s="243" t="str">
        <f>'AUD CURVE TICKERS'!L50</f>
        <v>IR6</v>
      </c>
      <c r="M44" s="222" t="str">
        <f>'AUD CURVE TICKERS'!V50</f>
        <v>13/03/2020</v>
      </c>
      <c r="N44" s="222" t="str">
        <f>'AUD CURVE TICKERS'!W50</f>
        <v>12/06/2020</v>
      </c>
      <c r="O44" s="245">
        <f>'AUD CURVE TICKERS'!T50</f>
        <v>97.814999999999998</v>
      </c>
      <c r="P44" s="340">
        <f t="shared" si="1"/>
        <v>0.02</v>
      </c>
      <c r="Q44" s="88"/>
      <c r="R44" s="287" t="str">
        <f>'AUD CURVE TICKERS'!Y51</f>
        <v>7Y</v>
      </c>
      <c r="S44" s="285">
        <f>'AUD CURVE TICKERS'!AG51%</f>
        <v>2.6924999999999998E-2</v>
      </c>
      <c r="T44" s="226" t="b">
        <v>1</v>
      </c>
      <c r="U44" s="125"/>
      <c r="V44" s="287" t="str">
        <f>'AUD CURVE TICKERS'!AI51</f>
        <v>7Y</v>
      </c>
      <c r="W44" s="285">
        <f>'AUD CURVE TICKERS'!AQ51/10000</f>
        <v>1.3749999999999999E-3</v>
      </c>
      <c r="X44" s="226" t="b">
        <v>1</v>
      </c>
      <c r="Y44" s="247"/>
      <c r="AB44" s="63"/>
      <c r="AC44" s="124" t="s">
        <v>202</v>
      </c>
      <c r="AD44" s="195" t="s">
        <v>267</v>
      </c>
      <c r="AE44" s="64" t="s">
        <v>63</v>
      </c>
      <c r="AF44" s="32" t="s">
        <v>63</v>
      </c>
      <c r="AG44" s="63"/>
      <c r="AH44" s="229" t="s">
        <v>303</v>
      </c>
      <c r="AI44" s="39" t="s">
        <v>49</v>
      </c>
      <c r="AJ44" s="64" t="s">
        <v>63</v>
      </c>
      <c r="AK44" s="32"/>
      <c r="AL44" s="63"/>
      <c r="AM44" s="229" t="s">
        <v>303</v>
      </c>
      <c r="AN44" s="39" t="s">
        <v>49</v>
      </c>
      <c r="AO44" s="64" t="s">
        <v>63</v>
      </c>
    </row>
    <row r="45" spans="2:41">
      <c r="B45" s="205"/>
      <c r="C45" s="233" t="s">
        <v>213</v>
      </c>
      <c r="D45" s="125"/>
      <c r="E45" s="88" t="s">
        <v>63</v>
      </c>
      <c r="F45" s="88"/>
      <c r="G45" s="88"/>
      <c r="H45" s="88"/>
      <c r="I45" s="220"/>
      <c r="J45" s="221"/>
      <c r="K45" s="88"/>
      <c r="L45" s="220"/>
      <c r="M45" s="227"/>
      <c r="N45" s="227"/>
      <c r="O45" s="223"/>
      <c r="P45" s="228"/>
      <c r="Q45" s="88"/>
      <c r="R45" s="287" t="str">
        <f>'AUD CURVE TICKERS'!Y52</f>
        <v>8Y</v>
      </c>
      <c r="S45" s="285">
        <f>'AUD CURVE TICKERS'!AG52%</f>
        <v>2.76E-2</v>
      </c>
      <c r="T45" s="226" t="b">
        <v>1</v>
      </c>
      <c r="U45" s="125"/>
      <c r="V45" s="287" t="str">
        <f>'AUD CURVE TICKERS'!AI52</f>
        <v>8Y</v>
      </c>
      <c r="W45" s="285">
        <f>'AUD CURVE TICKERS'!AQ52/10000</f>
        <v>1.3125000000000001E-3</v>
      </c>
      <c r="X45" s="226" t="b">
        <v>1</v>
      </c>
      <c r="Y45" s="247"/>
      <c r="AB45" s="63"/>
      <c r="AC45" s="184" t="s">
        <v>241</v>
      </c>
      <c r="AD45" s="197" t="s">
        <v>268</v>
      </c>
      <c r="AE45" s="64" t="s">
        <v>63</v>
      </c>
      <c r="AF45" s="32" t="s">
        <v>63</v>
      </c>
      <c r="AG45" s="63"/>
      <c r="AH45" s="139" t="s">
        <v>305</v>
      </c>
      <c r="AI45" s="39" t="b">
        <v>0</v>
      </c>
      <c r="AJ45" s="64" t="s">
        <v>63</v>
      </c>
      <c r="AK45" s="32"/>
      <c r="AL45" s="63"/>
      <c r="AM45" s="139" t="s">
        <v>305</v>
      </c>
      <c r="AN45" s="39" t="b">
        <v>0</v>
      </c>
      <c r="AO45" s="64" t="s">
        <v>63</v>
      </c>
    </row>
    <row r="46" spans="2:41">
      <c r="B46" s="205"/>
      <c r="C46" s="147" t="s">
        <v>66</v>
      </c>
      <c r="D46" s="128" t="s">
        <v>361</v>
      </c>
      <c r="E46" s="88" t="s">
        <v>63</v>
      </c>
      <c r="F46" s="88"/>
      <c r="G46" s="88"/>
      <c r="H46" s="88"/>
      <c r="I46" s="220"/>
      <c r="J46" s="221"/>
      <c r="K46" s="88"/>
      <c r="L46" s="220"/>
      <c r="M46" s="227"/>
      <c r="N46" s="227"/>
      <c r="O46" s="223"/>
      <c r="P46" s="228"/>
      <c r="Q46" s="88"/>
      <c r="R46" s="287" t="str">
        <f>'AUD CURVE TICKERS'!Y53</f>
        <v>9Y</v>
      </c>
      <c r="S46" s="285">
        <f>'AUD CURVE TICKERS'!AG53%</f>
        <v>2.8187500000000001E-2</v>
      </c>
      <c r="T46" s="226" t="b">
        <v>1</v>
      </c>
      <c r="U46" s="125"/>
      <c r="V46" s="287" t="str">
        <f>'AUD CURVE TICKERS'!AI53</f>
        <v>9Y</v>
      </c>
      <c r="W46" s="285">
        <f>'AUD CURVE TICKERS'!AQ53/10000</f>
        <v>1.2625E-3</v>
      </c>
      <c r="X46" s="226" t="b">
        <v>1</v>
      </c>
      <c r="Y46" s="247"/>
      <c r="AB46" s="63"/>
      <c r="AC46" s="186" t="s">
        <v>269</v>
      </c>
      <c r="AD46" s="192" t="s">
        <v>118</v>
      </c>
      <c r="AE46" s="64" t="s">
        <v>63</v>
      </c>
      <c r="AF46" s="32" t="s">
        <v>63</v>
      </c>
      <c r="AG46" s="63"/>
      <c r="AH46" s="139" t="s">
        <v>306</v>
      </c>
      <c r="AI46" s="39">
        <v>2</v>
      </c>
      <c r="AJ46" s="64" t="s">
        <v>63</v>
      </c>
      <c r="AK46" s="32"/>
      <c r="AL46" s="63"/>
      <c r="AM46" s="139" t="s">
        <v>306</v>
      </c>
      <c r="AN46" s="39">
        <v>2</v>
      </c>
      <c r="AO46" s="64" t="s">
        <v>63</v>
      </c>
    </row>
    <row r="47" spans="2:41">
      <c r="B47" s="205"/>
      <c r="C47" s="148" t="s">
        <v>215</v>
      </c>
      <c r="D47" s="275" t="str">
        <f ca="1">_xll.meLWOCurveMarketDataCreate(D46,C37,C38:D43,F37,F39:G43,I37,I39:J64,L37,L39:P64,R37,R39:T64,V37,V39:X64)</f>
        <v>AUD_SWAP_3ML_CURVE_MARKETDATA@62:3</v>
      </c>
      <c r="E47" s="88" t="s">
        <v>63</v>
      </c>
      <c r="F47" s="88"/>
      <c r="G47" s="88"/>
      <c r="H47" s="88"/>
      <c r="I47" s="220"/>
      <c r="J47" s="221"/>
      <c r="K47" s="88"/>
      <c r="L47" s="220"/>
      <c r="M47" s="227"/>
      <c r="N47" s="227"/>
      <c r="O47" s="223"/>
      <c r="P47" s="228"/>
      <c r="Q47" s="88"/>
      <c r="R47" s="287" t="str">
        <f>'AUD CURVE TICKERS'!Y54</f>
        <v>10Y</v>
      </c>
      <c r="S47" s="285">
        <f>'AUD CURVE TICKERS'!AG54%</f>
        <v>2.8712499999999998E-2</v>
      </c>
      <c r="T47" s="226" t="b">
        <v>1</v>
      </c>
      <c r="U47" s="125"/>
      <c r="V47" s="287" t="str">
        <f>'AUD CURVE TICKERS'!AI54</f>
        <v>10Y</v>
      </c>
      <c r="W47" s="285">
        <f>'AUD CURVE TICKERS'!AQ54/10000</f>
        <v>1.1999999999999999E-3</v>
      </c>
      <c r="X47" s="226" t="b">
        <v>1</v>
      </c>
      <c r="Y47" s="247"/>
      <c r="AB47" s="63"/>
      <c r="AC47" s="186" t="s">
        <v>270</v>
      </c>
      <c r="AD47" s="192" t="s">
        <v>271</v>
      </c>
      <c r="AE47" s="64" t="s">
        <v>63</v>
      </c>
      <c r="AF47" s="32" t="s">
        <v>63</v>
      </c>
      <c r="AG47" s="63"/>
      <c r="AH47" s="145"/>
      <c r="AI47" s="44"/>
      <c r="AJ47" s="64" t="s">
        <v>63</v>
      </c>
      <c r="AK47" s="32"/>
      <c r="AL47" s="63"/>
      <c r="AM47" s="145"/>
      <c r="AN47" s="44"/>
      <c r="AO47" s="64" t="s">
        <v>63</v>
      </c>
    </row>
    <row r="48" spans="2:41">
      <c r="B48" s="205"/>
      <c r="C48" s="88"/>
      <c r="D48" s="149"/>
      <c r="E48" s="88" t="s">
        <v>63</v>
      </c>
      <c r="F48" s="88"/>
      <c r="G48" s="88"/>
      <c r="H48" s="88"/>
      <c r="I48" s="220"/>
      <c r="J48" s="221"/>
      <c r="K48" s="88"/>
      <c r="L48" s="220"/>
      <c r="M48" s="227"/>
      <c r="N48" s="227"/>
      <c r="O48" s="223"/>
      <c r="P48" s="228"/>
      <c r="Q48" s="88"/>
      <c r="R48" s="287" t="str">
        <f>'AUD CURVE TICKERS'!Y55</f>
        <v>15Y</v>
      </c>
      <c r="S48" s="285">
        <f>'AUD CURVE TICKERS'!AG55%</f>
        <v>3.05875E-2</v>
      </c>
      <c r="T48" s="226" t="b">
        <v>1</v>
      </c>
      <c r="U48" s="125"/>
      <c r="V48" s="287" t="str">
        <f>'AUD CURVE TICKERS'!AI55</f>
        <v>15Y</v>
      </c>
      <c r="W48" s="285">
        <f>'AUD CURVE TICKERS'!AQ55/10000</f>
        <v>1.0499999999999999E-3</v>
      </c>
      <c r="X48" s="226" t="b">
        <v>1</v>
      </c>
      <c r="Y48" s="247"/>
      <c r="AB48" s="63"/>
      <c r="AC48" s="186" t="s">
        <v>272</v>
      </c>
      <c r="AD48" s="192" t="s">
        <v>46</v>
      </c>
      <c r="AE48" s="64" t="s">
        <v>63</v>
      </c>
      <c r="AF48" s="32" t="s">
        <v>63</v>
      </c>
      <c r="AG48" s="63"/>
      <c r="AH48" s="88"/>
      <c r="AI48" s="88"/>
      <c r="AJ48" s="64" t="s">
        <v>63</v>
      </c>
      <c r="AK48" s="32"/>
      <c r="AL48" s="63"/>
      <c r="AM48" s="88"/>
      <c r="AN48" s="88"/>
      <c r="AO48" s="64" t="s">
        <v>63</v>
      </c>
    </row>
    <row r="49" spans="2:41">
      <c r="B49" s="205"/>
      <c r="C49" s="88"/>
      <c r="D49" s="149"/>
      <c r="E49" s="88" t="s">
        <v>63</v>
      </c>
      <c r="F49" s="88"/>
      <c r="G49" s="88"/>
      <c r="H49" s="88"/>
      <c r="I49" s="220"/>
      <c r="J49" s="221"/>
      <c r="K49" s="88"/>
      <c r="L49" s="220"/>
      <c r="M49" s="227"/>
      <c r="N49" s="227"/>
      <c r="O49" s="223"/>
      <c r="P49" s="228"/>
      <c r="Q49" s="88"/>
      <c r="R49" s="287" t="str">
        <f>'AUD CURVE TICKERS'!Y56</f>
        <v>20Y</v>
      </c>
      <c r="S49" s="285">
        <f>'AUD CURVE TICKERS'!AG56%</f>
        <v>3.1262499999999999E-2</v>
      </c>
      <c r="T49" s="226" t="b">
        <v>1</v>
      </c>
      <c r="U49" s="125"/>
      <c r="V49" s="287" t="str">
        <f>'AUD CURVE TICKERS'!AI56</f>
        <v>20Y</v>
      </c>
      <c r="W49" s="285">
        <f>'AUD CURVE TICKERS'!AQ56/10000</f>
        <v>1.0375E-3</v>
      </c>
      <c r="X49" s="226" t="b">
        <v>1</v>
      </c>
      <c r="Y49" s="247"/>
      <c r="AB49" s="63"/>
      <c r="AC49" s="186" t="s">
        <v>273</v>
      </c>
      <c r="AD49" s="192" t="s">
        <v>46</v>
      </c>
      <c r="AE49" s="64" t="s">
        <v>63</v>
      </c>
      <c r="AF49" s="32" t="s">
        <v>63</v>
      </c>
      <c r="AG49" s="63"/>
      <c r="AH49" s="206" t="s">
        <v>280</v>
      </c>
      <c r="AI49" s="207"/>
      <c r="AJ49" s="64"/>
      <c r="AK49" s="32"/>
      <c r="AL49" s="63"/>
      <c r="AM49" s="206" t="s">
        <v>280</v>
      </c>
      <c r="AN49" s="207"/>
      <c r="AO49" s="64"/>
    </row>
    <row r="50" spans="2:41">
      <c r="B50" s="205"/>
      <c r="C50" s="88"/>
      <c r="D50" s="149"/>
      <c r="E50" s="88" t="s">
        <v>63</v>
      </c>
      <c r="F50" s="88"/>
      <c r="G50" s="88"/>
      <c r="H50" s="88"/>
      <c r="I50" s="220"/>
      <c r="J50" s="221"/>
      <c r="K50" s="88"/>
      <c r="L50" s="220"/>
      <c r="M50" s="227"/>
      <c r="N50" s="227"/>
      <c r="O50" s="223"/>
      <c r="P50" s="228"/>
      <c r="Q50" s="88"/>
      <c r="R50" s="287" t="str">
        <f>'AUD CURVE TICKERS'!Y57</f>
        <v>25Y</v>
      </c>
      <c r="S50" s="285">
        <f>'AUD CURVE TICKERS'!AG57%</f>
        <v>3.1362500000000001E-2</v>
      </c>
      <c r="T50" s="226" t="b">
        <v>1</v>
      </c>
      <c r="U50" s="125"/>
      <c r="V50" s="287" t="str">
        <f>'AUD CURVE TICKERS'!AI57</f>
        <v>25Y</v>
      </c>
      <c r="W50" s="285">
        <f>'AUD CURVE TICKERS'!AQ57/10000</f>
        <v>1.0625000000000001E-3</v>
      </c>
      <c r="X50" s="226" t="b">
        <v>1</v>
      </c>
      <c r="Y50" s="247"/>
      <c r="AB50" s="63"/>
      <c r="AC50" s="186" t="s">
        <v>274</v>
      </c>
      <c r="AD50" s="192" t="s">
        <v>46</v>
      </c>
      <c r="AE50" s="64" t="s">
        <v>63</v>
      </c>
      <c r="AF50" s="32" t="s">
        <v>63</v>
      </c>
      <c r="AG50" s="63"/>
      <c r="AH50" s="184" t="s">
        <v>241</v>
      </c>
      <c r="AI50" s="263" t="s">
        <v>268</v>
      </c>
      <c r="AJ50" s="64"/>
      <c r="AK50" s="32"/>
      <c r="AL50" s="63"/>
      <c r="AM50" s="184"/>
      <c r="AN50" s="263"/>
      <c r="AO50" s="64"/>
    </row>
    <row r="51" spans="2:41">
      <c r="B51" s="205"/>
      <c r="C51" s="88"/>
      <c r="D51" s="149"/>
      <c r="E51" s="88"/>
      <c r="F51" s="88"/>
      <c r="G51" s="88"/>
      <c r="H51" s="88"/>
      <c r="I51" s="220"/>
      <c r="J51" s="221"/>
      <c r="K51" s="88"/>
      <c r="L51" s="220"/>
      <c r="M51" s="227"/>
      <c r="N51" s="227"/>
      <c r="O51" s="223"/>
      <c r="P51" s="228"/>
      <c r="Q51" s="88"/>
      <c r="R51" s="287" t="str">
        <f>'AUD CURVE TICKERS'!Y58</f>
        <v>30Y</v>
      </c>
      <c r="S51" s="285">
        <f>'AUD CURVE TICKERS'!AG58%</f>
        <v>3.1037499999999999E-2</v>
      </c>
      <c r="T51" s="226" t="b">
        <v>1</v>
      </c>
      <c r="U51" s="125"/>
      <c r="V51" s="287" t="str">
        <f>'AUD CURVE TICKERS'!AI58</f>
        <v>30Y</v>
      </c>
      <c r="W51" s="285">
        <f>'AUD CURVE TICKERS'!AQ58/10000</f>
        <v>1.0625000000000001E-3</v>
      </c>
      <c r="X51" s="226" t="b">
        <v>1</v>
      </c>
      <c r="Y51" s="247"/>
      <c r="AB51" s="63"/>
      <c r="AC51" s="193" t="s">
        <v>251</v>
      </c>
      <c r="AD51" s="194" t="s">
        <v>49</v>
      </c>
      <c r="AE51" s="64" t="s">
        <v>63</v>
      </c>
      <c r="AF51" s="32" t="s">
        <v>63</v>
      </c>
      <c r="AG51" s="63"/>
      <c r="AH51" s="186" t="s">
        <v>243</v>
      </c>
      <c r="AI51" s="187" t="s">
        <v>307</v>
      </c>
      <c r="AJ51" s="64"/>
      <c r="AK51" s="32"/>
      <c r="AL51" s="63"/>
      <c r="AM51" s="186"/>
      <c r="AN51" s="187"/>
      <c r="AO51" s="64"/>
    </row>
    <row r="52" spans="2:41">
      <c r="B52" s="205"/>
      <c r="C52" s="88"/>
      <c r="D52" s="149"/>
      <c r="E52" s="88" t="s">
        <v>63</v>
      </c>
      <c r="F52" s="88"/>
      <c r="G52" s="88"/>
      <c r="H52" s="88"/>
      <c r="I52" s="220"/>
      <c r="J52" s="221"/>
      <c r="K52" s="88"/>
      <c r="L52" s="220"/>
      <c r="M52" s="227"/>
      <c r="N52" s="227"/>
      <c r="O52" s="223"/>
      <c r="P52" s="228"/>
      <c r="Q52" s="88"/>
      <c r="R52" s="430" t="s">
        <v>570</v>
      </c>
      <c r="S52" s="431">
        <f>S51</f>
        <v>3.1037499999999999E-2</v>
      </c>
      <c r="T52" s="432" t="b">
        <v>1</v>
      </c>
      <c r="U52" s="433"/>
      <c r="V52" s="430" t="s">
        <v>570</v>
      </c>
      <c r="W52" s="431">
        <f>W51</f>
        <v>1.0625000000000001E-3</v>
      </c>
      <c r="X52" s="432" t="b">
        <v>1</v>
      </c>
      <c r="Y52" s="434" t="s">
        <v>572</v>
      </c>
      <c r="AB52" s="63"/>
      <c r="AC52" s="198"/>
      <c r="AD52" s="88"/>
      <c r="AE52" s="64"/>
      <c r="AF52" s="32" t="s">
        <v>63</v>
      </c>
      <c r="AG52" s="63"/>
      <c r="AH52" s="186" t="s">
        <v>248</v>
      </c>
      <c r="AI52" s="187" t="s">
        <v>308</v>
      </c>
      <c r="AJ52" s="64"/>
      <c r="AK52" s="32"/>
      <c r="AL52" s="63"/>
      <c r="AM52" s="186"/>
      <c r="AN52" s="187"/>
      <c r="AO52" s="64"/>
    </row>
    <row r="53" spans="2:41">
      <c r="B53" s="205"/>
      <c r="C53" s="150" t="s">
        <v>216</v>
      </c>
      <c r="D53" s="234"/>
      <c r="E53" s="88" t="s">
        <v>63</v>
      </c>
      <c r="F53" s="88"/>
      <c r="G53" s="88"/>
      <c r="H53" s="88"/>
      <c r="I53" s="220"/>
      <c r="J53" s="221"/>
      <c r="K53" s="88"/>
      <c r="L53" s="220"/>
      <c r="M53" s="227"/>
      <c r="N53" s="227"/>
      <c r="O53" s="223"/>
      <c r="P53" s="228"/>
      <c r="Q53" s="88"/>
      <c r="R53" s="430" t="s">
        <v>571</v>
      </c>
      <c r="S53" s="431">
        <f>S52</f>
        <v>3.1037499999999999E-2</v>
      </c>
      <c r="T53" s="432" t="b">
        <v>1</v>
      </c>
      <c r="U53" s="433"/>
      <c r="V53" s="430" t="s">
        <v>571</v>
      </c>
      <c r="W53" s="431">
        <f>W52</f>
        <v>1.0625000000000001E-3</v>
      </c>
      <c r="X53" s="432" t="b">
        <v>1</v>
      </c>
      <c r="Y53" s="434" t="s">
        <v>572</v>
      </c>
      <c r="AB53" s="63"/>
      <c r="AC53" s="198"/>
      <c r="AD53" s="199"/>
      <c r="AE53" s="64"/>
      <c r="AF53" s="32" t="s">
        <v>63</v>
      </c>
      <c r="AG53" s="63"/>
      <c r="AH53" s="186" t="s">
        <v>251</v>
      </c>
      <c r="AI53" s="187" t="s">
        <v>49</v>
      </c>
      <c r="AJ53" s="64"/>
      <c r="AK53" s="32"/>
      <c r="AL53" s="63"/>
      <c r="AM53" s="186"/>
      <c r="AN53" s="187"/>
      <c r="AO53" s="64"/>
    </row>
    <row r="54" spans="2:41">
      <c r="B54" s="205"/>
      <c r="C54" s="151" t="s">
        <v>66</v>
      </c>
      <c r="D54" s="152" t="s">
        <v>360</v>
      </c>
      <c r="E54" s="88" t="s">
        <v>63</v>
      </c>
      <c r="F54" s="88"/>
      <c r="G54" s="88"/>
      <c r="H54" s="88"/>
      <c r="I54" s="220"/>
      <c r="J54" s="221"/>
      <c r="K54" s="88"/>
      <c r="L54" s="220"/>
      <c r="M54" s="227"/>
      <c r="N54" s="227"/>
      <c r="O54" s="223"/>
      <c r="P54" s="228"/>
      <c r="Q54" s="88"/>
      <c r="R54" s="220"/>
      <c r="S54" s="225"/>
      <c r="T54" s="226"/>
      <c r="U54" s="125"/>
      <c r="V54" s="220"/>
      <c r="W54" s="225"/>
      <c r="X54" s="226"/>
      <c r="Y54" s="247"/>
      <c r="AB54" s="63"/>
      <c r="AC54" s="198"/>
      <c r="AD54" s="199"/>
      <c r="AE54" s="64"/>
      <c r="AF54" s="32" t="s">
        <v>63</v>
      </c>
      <c r="AG54" s="63"/>
      <c r="AH54" s="186" t="s">
        <v>309</v>
      </c>
      <c r="AI54" s="264">
        <v>0.03</v>
      </c>
      <c r="AJ54" s="64"/>
      <c r="AK54" s="32"/>
      <c r="AL54" s="63"/>
      <c r="AM54" s="186"/>
      <c r="AN54" s="264"/>
      <c r="AO54" s="64"/>
    </row>
    <row r="55" spans="2:41">
      <c r="B55" s="205"/>
      <c r="C55" s="153" t="s">
        <v>218</v>
      </c>
      <c r="D55" s="273" t="str">
        <f ca="1">$AI$6</f>
        <v>AUD_3ML_CURVE_GENERATOR@1:3</v>
      </c>
      <c r="E55" s="88" t="s">
        <v>63</v>
      </c>
      <c r="F55" s="88"/>
      <c r="G55" s="88"/>
      <c r="H55" s="88"/>
      <c r="I55" s="220"/>
      <c r="J55" s="221"/>
      <c r="K55" s="88"/>
      <c r="L55" s="220"/>
      <c r="M55" s="227"/>
      <c r="N55" s="227"/>
      <c r="O55" s="223"/>
      <c r="P55" s="228"/>
      <c r="Q55" s="88"/>
      <c r="R55" s="220"/>
      <c r="S55" s="225"/>
      <c r="T55" s="226"/>
      <c r="U55" s="125"/>
      <c r="V55" s="220"/>
      <c r="W55" s="225"/>
      <c r="X55" s="226"/>
      <c r="Y55" s="247"/>
      <c r="AB55" s="63"/>
      <c r="AC55" s="198"/>
      <c r="AD55" s="199"/>
      <c r="AE55" s="64"/>
      <c r="AF55" s="32" t="s">
        <v>63</v>
      </c>
      <c r="AG55" s="63"/>
      <c r="AH55" s="186" t="s">
        <v>305</v>
      </c>
      <c r="AI55" s="187" t="b">
        <v>0</v>
      </c>
      <c r="AJ55" s="64"/>
      <c r="AK55" s="32"/>
      <c r="AL55" s="63"/>
      <c r="AM55" s="186"/>
      <c r="AN55" s="187"/>
      <c r="AO55" s="64"/>
    </row>
    <row r="56" spans="2:41">
      <c r="B56" s="205"/>
      <c r="C56" s="153" t="s">
        <v>219</v>
      </c>
      <c r="D56" s="154" t="s">
        <v>109</v>
      </c>
      <c r="E56" s="88" t="s">
        <v>63</v>
      </c>
      <c r="F56" s="88"/>
      <c r="G56" s="88"/>
      <c r="H56" s="88"/>
      <c r="I56" s="220"/>
      <c r="J56" s="221"/>
      <c r="K56" s="88"/>
      <c r="L56" s="220"/>
      <c r="M56" s="227"/>
      <c r="N56" s="227"/>
      <c r="O56" s="223"/>
      <c r="P56" s="228"/>
      <c r="Q56" s="88"/>
      <c r="R56" s="220"/>
      <c r="S56" s="225"/>
      <c r="T56" s="226"/>
      <c r="U56" s="125"/>
      <c r="V56" s="220"/>
      <c r="W56" s="225"/>
      <c r="X56" s="226"/>
      <c r="Y56" s="247"/>
      <c r="AB56" s="63"/>
      <c r="AC56" s="198"/>
      <c r="AD56" s="199"/>
      <c r="AE56" s="64"/>
      <c r="AF56" s="32" t="s">
        <v>63</v>
      </c>
      <c r="AG56" s="63"/>
      <c r="AH56" s="186" t="s">
        <v>306</v>
      </c>
      <c r="AI56" s="187">
        <v>2</v>
      </c>
      <c r="AJ56" s="64"/>
      <c r="AK56" s="32"/>
      <c r="AL56" s="63"/>
      <c r="AM56" s="186"/>
      <c r="AN56" s="187"/>
      <c r="AO56" s="64"/>
    </row>
    <row r="57" spans="2:41">
      <c r="B57" s="205"/>
      <c r="C57" s="155" t="s">
        <v>220</v>
      </c>
      <c r="D57" s="156"/>
      <c r="E57" s="88" t="s">
        <v>63</v>
      </c>
      <c r="F57" s="88"/>
      <c r="G57" s="88"/>
      <c r="H57" s="88"/>
      <c r="I57" s="220"/>
      <c r="J57" s="221"/>
      <c r="K57" s="88"/>
      <c r="L57" s="220"/>
      <c r="M57" s="227"/>
      <c r="N57" s="227"/>
      <c r="O57" s="223"/>
      <c r="P57" s="228"/>
      <c r="Q57" s="88"/>
      <c r="R57" s="220"/>
      <c r="S57" s="225"/>
      <c r="T57" s="226"/>
      <c r="U57" s="125"/>
      <c r="V57" s="220"/>
      <c r="W57" s="225"/>
      <c r="X57" s="226"/>
      <c r="Y57" s="247"/>
      <c r="AB57" s="63"/>
      <c r="AC57" s="198"/>
      <c r="AD57" s="199"/>
      <c r="AE57" s="64"/>
      <c r="AF57" s="32" t="s">
        <v>63</v>
      </c>
      <c r="AG57" s="63"/>
      <c r="AH57" s="145"/>
      <c r="AI57" s="44"/>
      <c r="AJ57" s="64"/>
      <c r="AK57" s="32"/>
      <c r="AL57" s="63"/>
      <c r="AM57" s="145"/>
      <c r="AN57" s="44"/>
      <c r="AO57" s="64"/>
    </row>
    <row r="58" spans="2:41">
      <c r="B58" s="205"/>
      <c r="C58" s="88"/>
      <c r="D58" s="149"/>
      <c r="E58" s="88" t="s">
        <v>63</v>
      </c>
      <c r="F58" s="88"/>
      <c r="G58" s="88"/>
      <c r="H58" s="88"/>
      <c r="I58" s="220"/>
      <c r="J58" s="221"/>
      <c r="K58" s="88"/>
      <c r="L58" s="220"/>
      <c r="M58" s="227"/>
      <c r="N58" s="227"/>
      <c r="O58" s="223"/>
      <c r="P58" s="228"/>
      <c r="Q58" s="88"/>
      <c r="R58" s="220"/>
      <c r="S58" s="225"/>
      <c r="T58" s="226"/>
      <c r="U58" s="125"/>
      <c r="V58" s="220"/>
      <c r="W58" s="225"/>
      <c r="X58" s="226"/>
      <c r="Y58" s="247"/>
      <c r="AB58" s="63"/>
      <c r="AC58" s="198"/>
      <c r="AD58" s="199"/>
      <c r="AE58" s="64"/>
      <c r="AF58" s="32" t="s">
        <v>63</v>
      </c>
      <c r="AG58" s="63"/>
      <c r="AH58" s="88"/>
      <c r="AI58" s="88"/>
      <c r="AJ58" s="64"/>
      <c r="AK58" s="32"/>
      <c r="AL58" s="63"/>
      <c r="AM58" s="88"/>
      <c r="AN58" s="88"/>
      <c r="AO58" s="64"/>
    </row>
    <row r="59" spans="2:41">
      <c r="B59" s="205"/>
      <c r="C59" s="88"/>
      <c r="D59" s="149"/>
      <c r="E59" s="88" t="s">
        <v>63</v>
      </c>
      <c r="F59" s="88"/>
      <c r="G59" s="88"/>
      <c r="H59" s="88"/>
      <c r="I59" s="220"/>
      <c r="J59" s="221"/>
      <c r="K59" s="88"/>
      <c r="L59" s="220"/>
      <c r="M59" s="227"/>
      <c r="N59" s="227"/>
      <c r="O59" s="223"/>
      <c r="P59" s="228"/>
      <c r="Q59" s="88"/>
      <c r="R59" s="220"/>
      <c r="S59" s="225"/>
      <c r="T59" s="226"/>
      <c r="U59" s="125"/>
      <c r="V59" s="220"/>
      <c r="W59" s="225"/>
      <c r="X59" s="226"/>
      <c r="Y59" s="247"/>
      <c r="AB59" s="63"/>
      <c r="AC59" s="198"/>
      <c r="AD59" s="199"/>
      <c r="AE59" s="64"/>
      <c r="AF59" s="32" t="s">
        <v>63</v>
      </c>
      <c r="AG59" s="63"/>
      <c r="AH59" s="206" t="s">
        <v>202</v>
      </c>
      <c r="AI59" s="207"/>
      <c r="AJ59" s="64"/>
      <c r="AK59" s="32"/>
      <c r="AL59" s="63"/>
      <c r="AM59" s="206" t="s">
        <v>202</v>
      </c>
      <c r="AN59" s="207"/>
      <c r="AO59" s="64"/>
    </row>
    <row r="60" spans="2:41">
      <c r="B60" s="205"/>
      <c r="C60" s="150" t="s">
        <v>221</v>
      </c>
      <c r="D60" s="149"/>
      <c r="E60" s="88" t="s">
        <v>63</v>
      </c>
      <c r="F60" s="88"/>
      <c r="G60" s="88"/>
      <c r="H60" s="88"/>
      <c r="I60" s="220"/>
      <c r="J60" s="221"/>
      <c r="K60" s="88"/>
      <c r="L60" s="220"/>
      <c r="M60" s="227"/>
      <c r="N60" s="227"/>
      <c r="O60" s="223"/>
      <c r="P60" s="228"/>
      <c r="Q60" s="88"/>
      <c r="R60" s="220"/>
      <c r="S60" s="225"/>
      <c r="T60" s="226"/>
      <c r="U60" s="125"/>
      <c r="V60" s="220"/>
      <c r="W60" s="225"/>
      <c r="X60" s="226"/>
      <c r="Y60" s="247"/>
      <c r="AB60" s="63"/>
      <c r="AC60" s="198"/>
      <c r="AD60" s="199"/>
      <c r="AE60" s="64"/>
      <c r="AF60" s="32" t="s">
        <v>63</v>
      </c>
      <c r="AG60" s="63"/>
      <c r="AH60" s="184" t="s">
        <v>71</v>
      </c>
      <c r="AI60" s="196" t="s">
        <v>268</v>
      </c>
      <c r="AJ60" s="64"/>
      <c r="AK60" s="32"/>
      <c r="AL60" s="63"/>
      <c r="AM60" s="184" t="s">
        <v>71</v>
      </c>
      <c r="AN60" s="196" t="s">
        <v>268</v>
      </c>
      <c r="AO60" s="64"/>
    </row>
    <row r="61" spans="2:41">
      <c r="B61" s="205"/>
      <c r="C61" s="157" t="s">
        <v>66</v>
      </c>
      <c r="D61" s="276" t="str">
        <f t="array" aca="1" ref="D61:D64" ca="1">IF($D$31,_xll.meLWOCurveCalibrate(D54,D55,D47,D56),"#Error: Dependency Curve not Built")</f>
        <v>AUD_SWAP_3M_CURVE@65:3</v>
      </c>
      <c r="E61" s="88" t="s">
        <v>63</v>
      </c>
      <c r="F61" s="88"/>
      <c r="G61" s="88"/>
      <c r="H61" s="88"/>
      <c r="I61" s="220"/>
      <c r="J61" s="221"/>
      <c r="K61" s="88"/>
      <c r="L61" s="220"/>
      <c r="M61" s="227"/>
      <c r="N61" s="227"/>
      <c r="O61" s="223"/>
      <c r="P61" s="228"/>
      <c r="Q61" s="88"/>
      <c r="R61" s="220"/>
      <c r="S61" s="225"/>
      <c r="T61" s="226"/>
      <c r="U61" s="125"/>
      <c r="V61" s="220"/>
      <c r="W61" s="225"/>
      <c r="X61" s="226"/>
      <c r="Y61" s="247"/>
      <c r="AB61" s="63"/>
      <c r="AC61" s="198"/>
      <c r="AD61" s="199"/>
      <c r="AE61" s="64"/>
      <c r="AF61" s="32" t="s">
        <v>63</v>
      </c>
      <c r="AG61" s="63"/>
      <c r="AH61" s="186" t="s">
        <v>28</v>
      </c>
      <c r="AI61" s="187" t="s">
        <v>118</v>
      </c>
      <c r="AJ61" s="64"/>
      <c r="AK61" s="32"/>
      <c r="AL61" s="63"/>
      <c r="AM61" s="186" t="s">
        <v>28</v>
      </c>
      <c r="AN61" s="187" t="s">
        <v>118</v>
      </c>
      <c r="AO61" s="64"/>
    </row>
    <row r="62" spans="2:41">
      <c r="B62" s="205"/>
      <c r="C62" s="158" t="s">
        <v>222</v>
      </c>
      <c r="D62" s="277" t="str">
        <f ca="1"/>
        <v>AUDYC</v>
      </c>
      <c r="E62" s="88" t="s">
        <v>63</v>
      </c>
      <c r="F62" s="88"/>
      <c r="G62" s="88"/>
      <c r="H62" s="88"/>
      <c r="I62" s="220"/>
      <c r="J62" s="221"/>
      <c r="K62" s="88"/>
      <c r="L62" s="220"/>
      <c r="M62" s="227"/>
      <c r="N62" s="227"/>
      <c r="O62" s="223"/>
      <c r="P62" s="228"/>
      <c r="Q62" s="88"/>
      <c r="R62" s="220"/>
      <c r="S62" s="225"/>
      <c r="T62" s="226"/>
      <c r="U62" s="125"/>
      <c r="V62" s="220"/>
      <c r="W62" s="225"/>
      <c r="X62" s="226"/>
      <c r="Y62" s="247"/>
      <c r="AB62" s="63"/>
      <c r="AC62" s="198"/>
      <c r="AD62" s="199"/>
      <c r="AE62" s="64"/>
      <c r="AF62" s="32" t="s">
        <v>63</v>
      </c>
      <c r="AG62" s="63"/>
      <c r="AH62" s="186" t="s">
        <v>310</v>
      </c>
      <c r="AI62" s="187" t="s">
        <v>118</v>
      </c>
      <c r="AJ62" s="64"/>
      <c r="AK62" s="32"/>
      <c r="AL62" s="63"/>
      <c r="AM62" s="186" t="s">
        <v>310</v>
      </c>
      <c r="AN62" s="187" t="s">
        <v>118</v>
      </c>
      <c r="AO62" s="64"/>
    </row>
    <row r="63" spans="2:41">
      <c r="B63" s="205"/>
      <c r="C63" s="158" t="s">
        <v>223</v>
      </c>
      <c r="D63" s="277" t="str">
        <f ca="1"/>
        <v>STD:AUD3ML</v>
      </c>
      <c r="E63" s="88" t="s">
        <v>63</v>
      </c>
      <c r="F63" s="88"/>
      <c r="G63" s="88"/>
      <c r="H63" s="88"/>
      <c r="I63" s="220"/>
      <c r="J63" s="221"/>
      <c r="K63" s="88"/>
      <c r="L63" s="220"/>
      <c r="M63" s="227"/>
      <c r="N63" s="227"/>
      <c r="O63" s="223"/>
      <c r="P63" s="228"/>
      <c r="Q63" s="88"/>
      <c r="R63" s="220"/>
      <c r="S63" s="225"/>
      <c r="T63" s="226"/>
      <c r="U63" s="125"/>
      <c r="V63" s="220"/>
      <c r="W63" s="225"/>
      <c r="X63" s="226"/>
      <c r="Y63" s="247"/>
      <c r="AB63" s="63"/>
      <c r="AC63" s="88"/>
      <c r="AD63" s="88"/>
      <c r="AE63" s="64"/>
      <c r="AF63" s="32" t="s">
        <v>63</v>
      </c>
      <c r="AG63" s="63"/>
      <c r="AH63" s="186" t="s">
        <v>311</v>
      </c>
      <c r="AI63" s="187" t="s">
        <v>118</v>
      </c>
      <c r="AJ63" s="64"/>
      <c r="AK63" s="32"/>
      <c r="AL63" s="63"/>
      <c r="AM63" s="186" t="s">
        <v>311</v>
      </c>
      <c r="AN63" s="187" t="s">
        <v>118</v>
      </c>
      <c r="AO63" s="64"/>
    </row>
    <row r="64" spans="2:41">
      <c r="B64" s="205"/>
      <c r="C64" s="159" t="s">
        <v>224</v>
      </c>
      <c r="D64" s="278" t="str">
        <f ca="1"/>
        <v>0.01000 sec</v>
      </c>
      <c r="E64" s="88" t="s">
        <v>63</v>
      </c>
      <c r="F64" s="88"/>
      <c r="G64" s="88"/>
      <c r="H64" s="88"/>
      <c r="I64" s="235"/>
      <c r="J64" s="236"/>
      <c r="K64" s="88"/>
      <c r="L64" s="235"/>
      <c r="M64" s="237"/>
      <c r="N64" s="237"/>
      <c r="O64" s="238"/>
      <c r="P64" s="239"/>
      <c r="Q64" s="88"/>
      <c r="R64" s="235"/>
      <c r="S64" s="240"/>
      <c r="T64" s="241"/>
      <c r="U64" s="125"/>
      <c r="V64" s="235"/>
      <c r="W64" s="240"/>
      <c r="X64" s="241"/>
      <c r="Y64" s="247"/>
      <c r="AB64" s="63"/>
      <c r="AC64" s="88"/>
      <c r="AD64" s="88"/>
      <c r="AE64" s="64"/>
      <c r="AF64" s="32" t="s">
        <v>63</v>
      </c>
      <c r="AG64" s="63"/>
      <c r="AH64" s="186" t="s">
        <v>20</v>
      </c>
      <c r="AI64" s="187" t="s">
        <v>312</v>
      </c>
      <c r="AJ64" s="64"/>
      <c r="AK64" s="32"/>
      <c r="AL64" s="63"/>
      <c r="AM64" s="186" t="s">
        <v>20</v>
      </c>
      <c r="AN64" s="187" t="s">
        <v>271</v>
      </c>
      <c r="AO64" s="64"/>
    </row>
    <row r="65" spans="1:41">
      <c r="B65" s="205"/>
      <c r="C65" s="160" t="s">
        <v>225</v>
      </c>
      <c r="D65" s="242" t="b">
        <f ca="1">LEFT(D61,3)=LEFT(D61,3)</f>
        <v>1</v>
      </c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247"/>
      <c r="AB65" s="63"/>
      <c r="AC65" s="88"/>
      <c r="AD65" s="88"/>
      <c r="AE65" s="64"/>
      <c r="AF65" s="32" t="s">
        <v>63</v>
      </c>
      <c r="AG65" s="63"/>
      <c r="AH65" s="186" t="s">
        <v>313</v>
      </c>
      <c r="AI65" s="48" t="s">
        <v>46</v>
      </c>
      <c r="AJ65" s="64"/>
      <c r="AK65" s="32"/>
      <c r="AL65" s="63"/>
      <c r="AM65" s="186" t="s">
        <v>316</v>
      </c>
      <c r="AN65" s="48" t="s">
        <v>271</v>
      </c>
      <c r="AO65" s="64"/>
    </row>
    <row r="66" spans="1:41">
      <c r="A66" s="32"/>
      <c r="B66" s="248"/>
      <c r="C66" s="249"/>
      <c r="D66" s="283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  <c r="X66" s="249"/>
      <c r="Y66" s="250"/>
      <c r="AB66" s="63"/>
      <c r="AC66" s="88"/>
      <c r="AD66" s="88"/>
      <c r="AE66" s="64"/>
      <c r="AF66" s="32" t="s">
        <v>63</v>
      </c>
      <c r="AG66" s="63"/>
      <c r="AH66" s="186" t="s">
        <v>314</v>
      </c>
      <c r="AI66" s="187" t="s">
        <v>46</v>
      </c>
      <c r="AJ66" s="64"/>
      <c r="AK66" s="32"/>
      <c r="AL66" s="63"/>
      <c r="AM66" s="186" t="s">
        <v>303</v>
      </c>
      <c r="AN66" s="187" t="s">
        <v>49</v>
      </c>
      <c r="AO66" s="64"/>
    </row>
    <row r="67" spans="1:41">
      <c r="A67" s="32"/>
      <c r="B67" s="32"/>
      <c r="C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P67" s="32"/>
      <c r="Q67" s="32"/>
      <c r="S67" s="32"/>
      <c r="T67" s="32"/>
      <c r="AB67" s="63"/>
      <c r="AC67" s="88"/>
      <c r="AD67" s="88"/>
      <c r="AE67" s="64"/>
      <c r="AF67" s="32" t="s">
        <v>63</v>
      </c>
      <c r="AG67" s="63"/>
      <c r="AH67" s="186" t="s">
        <v>315</v>
      </c>
      <c r="AI67" s="187" t="s">
        <v>46</v>
      </c>
      <c r="AJ67" s="64"/>
      <c r="AK67" s="32"/>
      <c r="AL67" s="63"/>
      <c r="AM67" s="186" t="s">
        <v>320</v>
      </c>
      <c r="AN67" s="187" t="b">
        <v>1</v>
      </c>
      <c r="AO67" s="64"/>
    </row>
    <row r="68" spans="1:41">
      <c r="A68" s="32"/>
      <c r="B68" s="32"/>
      <c r="C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P68" s="32"/>
      <c r="Q68" s="32"/>
      <c r="S68" s="32"/>
      <c r="T68" s="32"/>
      <c r="AB68" s="63"/>
      <c r="AC68" s="88"/>
      <c r="AD68" s="88"/>
      <c r="AE68" s="64"/>
      <c r="AF68" s="32" t="s">
        <v>63</v>
      </c>
      <c r="AG68" s="63"/>
      <c r="AH68" s="186" t="s">
        <v>316</v>
      </c>
      <c r="AI68" s="187" t="s">
        <v>312</v>
      </c>
      <c r="AJ68" s="64"/>
      <c r="AK68" s="32"/>
      <c r="AL68" s="63"/>
      <c r="AM68" s="186" t="s">
        <v>321</v>
      </c>
      <c r="AN68" s="187" t="b">
        <v>1</v>
      </c>
      <c r="AO68" s="64"/>
    </row>
    <row r="69" spans="1:41">
      <c r="A69" s="32"/>
      <c r="B69" s="1" t="s">
        <v>368</v>
      </c>
      <c r="C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P69" s="32"/>
      <c r="Q69" s="32"/>
      <c r="S69" s="32"/>
      <c r="T69" s="32"/>
      <c r="AB69" s="63"/>
      <c r="AC69" s="88"/>
      <c r="AD69" s="88"/>
      <c r="AE69" s="64"/>
      <c r="AF69" s="32" t="s">
        <v>63</v>
      </c>
      <c r="AG69" s="63"/>
      <c r="AH69" s="186" t="s">
        <v>317</v>
      </c>
      <c r="AI69" s="187" t="s">
        <v>46</v>
      </c>
      <c r="AJ69" s="64"/>
      <c r="AK69" s="32"/>
      <c r="AL69" s="63"/>
      <c r="AM69" s="186" t="s">
        <v>259</v>
      </c>
      <c r="AN69" s="265">
        <v>1.0000000000000001E-9</v>
      </c>
      <c r="AO69" s="64"/>
    </row>
    <row r="70" spans="1:41">
      <c r="A70" s="32"/>
      <c r="B70" s="203"/>
      <c r="C70" s="204"/>
      <c r="D70" s="280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46"/>
      <c r="AB70" s="63"/>
      <c r="AC70" s="88"/>
      <c r="AD70" s="88"/>
      <c r="AE70" s="64"/>
      <c r="AF70" s="32" t="s">
        <v>63</v>
      </c>
      <c r="AG70" s="63"/>
      <c r="AH70" s="186" t="s">
        <v>318</v>
      </c>
      <c r="AI70" s="187" t="s">
        <v>46</v>
      </c>
      <c r="AJ70" s="64"/>
      <c r="AK70" s="32"/>
      <c r="AL70" s="63"/>
      <c r="AM70" s="186" t="s">
        <v>260</v>
      </c>
      <c r="AN70" s="190">
        <v>1000</v>
      </c>
      <c r="AO70" s="64"/>
    </row>
    <row r="71" spans="1:41">
      <c r="A71" s="32"/>
      <c r="B71" s="205"/>
      <c r="C71" s="206" t="s">
        <v>198</v>
      </c>
      <c r="D71" s="281"/>
      <c r="E71" s="88"/>
      <c r="F71" s="206" t="s">
        <v>278</v>
      </c>
      <c r="G71" s="207"/>
      <c r="H71" s="88"/>
      <c r="I71" s="206" t="s">
        <v>279</v>
      </c>
      <c r="J71" s="207"/>
      <c r="K71" s="88"/>
      <c r="L71" s="206" t="s">
        <v>280</v>
      </c>
      <c r="M71" s="74"/>
      <c r="N71" s="207"/>
      <c r="O71" s="207"/>
      <c r="P71" s="207"/>
      <c r="Q71" s="88"/>
      <c r="R71" s="206" t="s">
        <v>202</v>
      </c>
      <c r="S71" s="88"/>
      <c r="T71" s="88"/>
      <c r="U71" s="88"/>
      <c r="V71" s="206" t="s">
        <v>285</v>
      </c>
      <c r="W71" s="88"/>
      <c r="X71" s="88"/>
      <c r="Y71" s="247"/>
      <c r="AB71" s="63"/>
      <c r="AC71" s="88"/>
      <c r="AD71" s="88"/>
      <c r="AE71" s="64"/>
      <c r="AF71" s="32" t="s">
        <v>63</v>
      </c>
      <c r="AG71" s="63"/>
      <c r="AH71" s="186" t="s">
        <v>319</v>
      </c>
      <c r="AI71" s="187" t="s">
        <v>46</v>
      </c>
      <c r="AJ71" s="64"/>
      <c r="AK71" s="32"/>
      <c r="AL71" s="63"/>
      <c r="AM71" s="186" t="s">
        <v>304</v>
      </c>
      <c r="AN71" s="187">
        <v>1</v>
      </c>
      <c r="AO71" s="64"/>
    </row>
    <row r="72" spans="1:41">
      <c r="A72" s="32"/>
      <c r="B72" s="205"/>
      <c r="C72" s="208" t="s">
        <v>5</v>
      </c>
      <c r="D72" s="209" t="s">
        <v>111</v>
      </c>
      <c r="E72" s="88" t="s">
        <v>63</v>
      </c>
      <c r="F72" s="125" t="s">
        <v>203</v>
      </c>
      <c r="G72" s="125" t="s">
        <v>156</v>
      </c>
      <c r="H72" s="88"/>
      <c r="I72" s="125" t="s">
        <v>203</v>
      </c>
      <c r="J72" s="125" t="s">
        <v>156</v>
      </c>
      <c r="K72" s="168"/>
      <c r="L72" s="210" t="s">
        <v>203</v>
      </c>
      <c r="M72" s="210" t="s">
        <v>204</v>
      </c>
      <c r="N72" s="210" t="s">
        <v>205</v>
      </c>
      <c r="O72" s="210" t="s">
        <v>156</v>
      </c>
      <c r="P72" s="210" t="s">
        <v>281</v>
      </c>
      <c r="Q72" s="149"/>
      <c r="R72" s="211" t="s">
        <v>203</v>
      </c>
      <c r="S72" s="125" t="s">
        <v>156</v>
      </c>
      <c r="T72" s="125" t="s">
        <v>155</v>
      </c>
      <c r="U72" s="125"/>
      <c r="V72" s="211" t="s">
        <v>203</v>
      </c>
      <c r="W72" s="125" t="s">
        <v>156</v>
      </c>
      <c r="X72" s="125" t="s">
        <v>155</v>
      </c>
      <c r="Y72" s="247"/>
      <c r="AB72" s="63"/>
      <c r="AC72" s="88"/>
      <c r="AD72" s="88"/>
      <c r="AE72" s="64"/>
      <c r="AF72" s="32" t="s">
        <v>63</v>
      </c>
      <c r="AG72" s="63"/>
      <c r="AH72" s="186" t="s">
        <v>238</v>
      </c>
      <c r="AI72" s="265" t="s">
        <v>288</v>
      </c>
      <c r="AJ72" s="64"/>
      <c r="AK72" s="32"/>
      <c r="AL72" s="63"/>
      <c r="AM72" s="186" t="s">
        <v>323</v>
      </c>
      <c r="AN72" s="265" t="b">
        <v>1</v>
      </c>
      <c r="AO72" s="64"/>
    </row>
    <row r="73" spans="1:41">
      <c r="A73" s="32"/>
      <c r="B73" s="205"/>
      <c r="C73" s="212" t="s">
        <v>208</v>
      </c>
      <c r="D73" s="213" t="s">
        <v>282</v>
      </c>
      <c r="E73" s="88" t="s">
        <v>63</v>
      </c>
      <c r="F73" s="129" t="str">
        <f>'AUD CURVE TICKERS'!B47</f>
        <v>6M</v>
      </c>
      <c r="G73" s="136">
        <f>'AUD CURVE TICKERS'!J47%</f>
        <v>2.1099999999999997E-2</v>
      </c>
      <c r="H73" s="88"/>
      <c r="I73" s="214" t="str">
        <f>'AUD CURVE TICKERS'!B75</f>
        <v>1x7</v>
      </c>
      <c r="J73" s="136">
        <f>'AUD CURVE TICKERS'!J75%</f>
        <v>2.1309999999999999E-2</v>
      </c>
      <c r="K73" s="168"/>
      <c r="L73" s="216"/>
      <c r="M73" s="217"/>
      <c r="N73" s="217"/>
      <c r="O73" s="244"/>
      <c r="P73" s="218"/>
      <c r="Q73" s="88"/>
      <c r="R73" s="286" t="str">
        <f>'AUD CURVE TICKERS'!L75</f>
        <v>1Y</v>
      </c>
      <c r="S73" s="284">
        <f>'AUD CURVE TICKERS'!T75%</f>
        <v>2.145E-2</v>
      </c>
      <c r="T73" s="219" t="b">
        <v>1</v>
      </c>
      <c r="U73" s="125"/>
      <c r="V73" s="286"/>
      <c r="W73" s="284"/>
      <c r="X73" s="219"/>
      <c r="Y73" s="247"/>
      <c r="AB73" s="63"/>
      <c r="AC73" s="88"/>
      <c r="AD73" s="88"/>
      <c r="AE73" s="64"/>
      <c r="AF73" s="32" t="s">
        <v>63</v>
      </c>
      <c r="AG73" s="63"/>
      <c r="AH73" s="186" t="s">
        <v>303</v>
      </c>
      <c r="AI73" s="190" t="s">
        <v>49</v>
      </c>
      <c r="AJ73" s="64"/>
      <c r="AK73" s="32"/>
      <c r="AL73" s="63"/>
      <c r="AM73" s="186"/>
      <c r="AN73" s="190"/>
      <c r="AO73" s="64"/>
    </row>
    <row r="74" spans="1:41">
      <c r="A74" s="32"/>
      <c r="B74" s="205"/>
      <c r="C74" s="212" t="s">
        <v>209</v>
      </c>
      <c r="D74" s="213" t="s">
        <v>312</v>
      </c>
      <c r="E74" s="88" t="s">
        <v>63</v>
      </c>
      <c r="F74" s="141"/>
      <c r="G74" s="143"/>
      <c r="H74" s="88"/>
      <c r="I74" s="220" t="str">
        <f>'AUD CURVE TICKERS'!B76</f>
        <v>2x8</v>
      </c>
      <c r="J74" s="143">
        <f>'AUD CURVE TICKERS'!J76%</f>
        <v>2.129E-2</v>
      </c>
      <c r="K74" s="168"/>
      <c r="L74" s="243"/>
      <c r="M74" s="222"/>
      <c r="N74" s="222"/>
      <c r="O74" s="245"/>
      <c r="P74" s="224"/>
      <c r="Q74" s="88"/>
      <c r="R74" s="287" t="str">
        <f>'AUD CURVE TICKERS'!L76</f>
        <v>2Y</v>
      </c>
      <c r="S74" s="285">
        <f>'AUD CURVE TICKERS'!T76%</f>
        <v>2.247E-2</v>
      </c>
      <c r="T74" s="226" t="b">
        <v>1</v>
      </c>
      <c r="U74" s="125"/>
      <c r="V74" s="287"/>
      <c r="W74" s="285"/>
      <c r="X74" s="226"/>
      <c r="Y74" s="247"/>
      <c r="AB74" s="63"/>
      <c r="AC74" s="88"/>
      <c r="AD74" s="88"/>
      <c r="AE74" s="64"/>
      <c r="AF74" s="32" t="s">
        <v>63</v>
      </c>
      <c r="AG74" s="63"/>
      <c r="AH74" s="186" t="s">
        <v>320</v>
      </c>
      <c r="AI74" s="190" t="b">
        <v>1</v>
      </c>
      <c r="AJ74" s="64"/>
      <c r="AK74" s="32"/>
      <c r="AL74" s="63"/>
      <c r="AM74" s="186"/>
      <c r="AN74" s="190"/>
      <c r="AO74" s="64"/>
    </row>
    <row r="75" spans="1:41">
      <c r="A75" s="32"/>
      <c r="B75" s="205"/>
      <c r="C75" s="212" t="s">
        <v>211</v>
      </c>
      <c r="D75" s="282">
        <f ca="1">Settings.COB</f>
        <v>43420</v>
      </c>
      <c r="E75" s="88" t="s">
        <v>63</v>
      </c>
      <c r="F75" s="141"/>
      <c r="G75" s="143"/>
      <c r="H75" s="88"/>
      <c r="I75" s="220" t="str">
        <f>'AUD CURVE TICKERS'!B77</f>
        <v>3x9</v>
      </c>
      <c r="J75" s="143">
        <f>'AUD CURVE TICKERS'!J77%</f>
        <v>2.1299999999999999E-2</v>
      </c>
      <c r="K75" s="168"/>
      <c r="L75" s="243"/>
      <c r="M75" s="222"/>
      <c r="N75" s="222"/>
      <c r="O75" s="245"/>
      <c r="P75" s="228"/>
      <c r="Q75" s="88"/>
      <c r="R75" s="287" t="str">
        <f>'AUD CURVE TICKERS'!L77</f>
        <v>3Y</v>
      </c>
      <c r="S75" s="285">
        <f>'AUD CURVE TICKERS'!T77%</f>
        <v>2.3450000000000002E-2</v>
      </c>
      <c r="T75" s="226" t="b">
        <v>1</v>
      </c>
      <c r="U75" s="125"/>
      <c r="V75" s="287"/>
      <c r="W75" s="285"/>
      <c r="X75" s="226"/>
      <c r="Y75" s="247"/>
      <c r="AB75" s="63"/>
      <c r="AC75" s="88"/>
      <c r="AD75" s="88"/>
      <c r="AE75" s="64"/>
      <c r="AF75" s="32" t="s">
        <v>63</v>
      </c>
      <c r="AG75" s="63"/>
      <c r="AH75" s="186" t="s">
        <v>321</v>
      </c>
      <c r="AI75" s="190" t="b">
        <v>1</v>
      </c>
      <c r="AJ75" s="64"/>
      <c r="AK75" s="32"/>
      <c r="AL75" s="63"/>
      <c r="AM75" s="186"/>
      <c r="AN75" s="190"/>
      <c r="AO75" s="64"/>
    </row>
    <row r="76" spans="1:41">
      <c r="A76" s="32"/>
      <c r="B76" s="205"/>
      <c r="C76" s="229"/>
      <c r="D76" s="230"/>
      <c r="E76" s="88" t="s">
        <v>63</v>
      </c>
      <c r="F76" s="141"/>
      <c r="G76" s="143"/>
      <c r="H76" s="88"/>
      <c r="I76" s="220"/>
      <c r="J76" s="221"/>
      <c r="K76" s="168"/>
      <c r="L76" s="243"/>
      <c r="M76" s="222"/>
      <c r="N76" s="222"/>
      <c r="O76" s="245"/>
      <c r="P76" s="228"/>
      <c r="Q76" s="88"/>
      <c r="R76" s="287" t="str">
        <f>'AUD CURVE TICKERS'!L78</f>
        <v>4Y</v>
      </c>
      <c r="S76" s="285">
        <f>'AUD CURVE TICKERS'!T78%</f>
        <v>2.4399999999999998E-2</v>
      </c>
      <c r="T76" s="226" t="b">
        <v>1</v>
      </c>
      <c r="U76" s="125"/>
      <c r="V76" s="287"/>
      <c r="W76" s="285"/>
      <c r="X76" s="226"/>
      <c r="Y76" s="247"/>
      <c r="AB76" s="63"/>
      <c r="AC76" s="88"/>
      <c r="AD76" s="88"/>
      <c r="AE76" s="64"/>
      <c r="AF76" s="32" t="s">
        <v>63</v>
      </c>
      <c r="AG76" s="63"/>
      <c r="AH76" s="186" t="s">
        <v>259</v>
      </c>
      <c r="AI76" s="265">
        <v>1.0000000000000001E-9</v>
      </c>
      <c r="AJ76" s="64"/>
      <c r="AK76" s="32"/>
      <c r="AL76" s="63"/>
      <c r="AM76" s="186"/>
      <c r="AN76" s="265"/>
      <c r="AO76" s="64"/>
    </row>
    <row r="77" spans="1:41">
      <c r="A77" s="32"/>
      <c r="B77" s="205"/>
      <c r="C77" s="148"/>
      <c r="D77" s="231"/>
      <c r="E77" s="88" t="s">
        <v>63</v>
      </c>
      <c r="F77" s="232"/>
      <c r="G77" s="167"/>
      <c r="H77" s="88"/>
      <c r="I77" s="220"/>
      <c r="J77" s="221"/>
      <c r="K77" s="168"/>
      <c r="L77" s="243"/>
      <c r="M77" s="222"/>
      <c r="N77" s="222"/>
      <c r="O77" s="245"/>
      <c r="P77" s="228"/>
      <c r="Q77" s="88"/>
      <c r="R77" s="287" t="str">
        <f>'AUD CURVE TICKERS'!L79</f>
        <v>5Y</v>
      </c>
      <c r="S77" s="285">
        <f>'AUD CURVE TICKERS'!T79%</f>
        <v>2.5312500000000002E-2</v>
      </c>
      <c r="T77" s="226" t="b">
        <v>1</v>
      </c>
      <c r="U77" s="125"/>
      <c r="V77" s="287"/>
      <c r="W77" s="285"/>
      <c r="X77" s="226"/>
      <c r="Y77" s="247"/>
      <c r="AB77" s="63"/>
      <c r="AC77" s="88"/>
      <c r="AD77" s="88"/>
      <c r="AE77" s="64"/>
      <c r="AF77" s="32" t="s">
        <v>63</v>
      </c>
      <c r="AG77" s="63"/>
      <c r="AH77" s="186" t="s">
        <v>260</v>
      </c>
      <c r="AI77" s="190">
        <v>1000</v>
      </c>
      <c r="AJ77" s="64"/>
      <c r="AK77" s="32"/>
      <c r="AL77" s="63"/>
      <c r="AM77" s="186"/>
      <c r="AN77" s="190"/>
      <c r="AO77" s="64"/>
    </row>
    <row r="78" spans="1:41">
      <c r="A78" s="32"/>
      <c r="B78" s="205"/>
      <c r="C78" s="88"/>
      <c r="D78" s="149"/>
      <c r="E78" s="88" t="s">
        <v>63</v>
      </c>
      <c r="F78" s="88"/>
      <c r="G78" s="88"/>
      <c r="H78" s="88"/>
      <c r="I78" s="220"/>
      <c r="J78" s="221"/>
      <c r="K78" s="168"/>
      <c r="L78" s="243"/>
      <c r="M78" s="222"/>
      <c r="N78" s="222"/>
      <c r="O78" s="245"/>
      <c r="P78" s="228"/>
      <c r="Q78" s="88"/>
      <c r="R78" s="287" t="str">
        <f>'AUD CURVE TICKERS'!L80</f>
        <v>6Y</v>
      </c>
      <c r="S78" s="285">
        <f>'AUD CURVE TICKERS'!T80%</f>
        <v>2.6162499999999998E-2</v>
      </c>
      <c r="T78" s="226" t="b">
        <v>1</v>
      </c>
      <c r="U78" s="125"/>
      <c r="V78" s="287"/>
      <c r="W78" s="285"/>
      <c r="X78" s="226"/>
      <c r="Y78" s="247"/>
      <c r="AB78" s="63"/>
      <c r="AC78" s="88"/>
      <c r="AD78" s="88"/>
      <c r="AE78" s="64"/>
      <c r="AF78" s="32" t="s">
        <v>63</v>
      </c>
      <c r="AG78" s="63"/>
      <c r="AH78" s="186" t="s">
        <v>304</v>
      </c>
      <c r="AI78" s="190">
        <v>1</v>
      </c>
      <c r="AJ78" s="64"/>
      <c r="AK78" s="32"/>
      <c r="AL78" s="63"/>
      <c r="AM78" s="186"/>
      <c r="AN78" s="190"/>
      <c r="AO78" s="64"/>
    </row>
    <row r="79" spans="1:41">
      <c r="A79" s="32"/>
      <c r="B79" s="205"/>
      <c r="C79" s="233" t="s">
        <v>213</v>
      </c>
      <c r="D79" s="125"/>
      <c r="E79" s="88" t="s">
        <v>63</v>
      </c>
      <c r="F79" s="88"/>
      <c r="G79" s="88"/>
      <c r="H79" s="88"/>
      <c r="I79" s="220"/>
      <c r="J79" s="221"/>
      <c r="K79" s="88"/>
      <c r="L79" s="220"/>
      <c r="M79" s="227"/>
      <c r="N79" s="227"/>
      <c r="O79" s="223"/>
      <c r="P79" s="228"/>
      <c r="Q79" s="88"/>
      <c r="R79" s="287" t="str">
        <f>'AUD CURVE TICKERS'!L81</f>
        <v>7Y</v>
      </c>
      <c r="S79" s="285">
        <f>'AUD CURVE TICKERS'!T81%</f>
        <v>2.6924999999999998E-2</v>
      </c>
      <c r="T79" s="226" t="b">
        <v>1</v>
      </c>
      <c r="U79" s="125"/>
      <c r="V79" s="287"/>
      <c r="W79" s="285"/>
      <c r="X79" s="226"/>
      <c r="Y79" s="247"/>
      <c r="AB79" s="63"/>
      <c r="AC79" s="88"/>
      <c r="AD79" s="88"/>
      <c r="AE79" s="64"/>
      <c r="AF79" s="32" t="s">
        <v>63</v>
      </c>
      <c r="AG79" s="63"/>
      <c r="AH79" s="186" t="s">
        <v>322</v>
      </c>
      <c r="AI79" s="190" t="s">
        <v>46</v>
      </c>
      <c r="AJ79" s="64"/>
      <c r="AK79" s="32"/>
      <c r="AL79" s="63"/>
      <c r="AM79" s="186"/>
      <c r="AN79" s="190"/>
      <c r="AO79" s="64"/>
    </row>
    <row r="80" spans="1:41">
      <c r="A80" s="32"/>
      <c r="B80" s="205"/>
      <c r="C80" s="147" t="s">
        <v>66</v>
      </c>
      <c r="D80" s="128" t="s">
        <v>369</v>
      </c>
      <c r="E80" s="88" t="s">
        <v>63</v>
      </c>
      <c r="F80" s="88"/>
      <c r="G80" s="88"/>
      <c r="H80" s="88"/>
      <c r="I80" s="220"/>
      <c r="J80" s="221"/>
      <c r="K80" s="88"/>
      <c r="L80" s="220"/>
      <c r="M80" s="227"/>
      <c r="N80" s="227"/>
      <c r="O80" s="223"/>
      <c r="P80" s="228"/>
      <c r="Q80" s="88"/>
      <c r="R80" s="287" t="str">
        <f>'AUD CURVE TICKERS'!L82</f>
        <v>8Y</v>
      </c>
      <c r="S80" s="285">
        <f>'AUD CURVE TICKERS'!T82%</f>
        <v>2.76E-2</v>
      </c>
      <c r="T80" s="226" t="b">
        <v>1</v>
      </c>
      <c r="U80" s="125"/>
      <c r="V80" s="287"/>
      <c r="W80" s="285"/>
      <c r="X80" s="226"/>
      <c r="Y80" s="247"/>
      <c r="AB80" s="63"/>
      <c r="AC80" s="88"/>
      <c r="AD80" s="88"/>
      <c r="AE80" s="64"/>
      <c r="AF80" s="32" t="s">
        <v>63</v>
      </c>
      <c r="AG80" s="63"/>
      <c r="AH80" s="186" t="s">
        <v>323</v>
      </c>
      <c r="AI80" s="190" t="b">
        <v>1</v>
      </c>
      <c r="AJ80" s="64"/>
      <c r="AK80" s="32"/>
      <c r="AL80" s="63"/>
      <c r="AM80" s="186"/>
      <c r="AN80" s="190"/>
      <c r="AO80" s="64"/>
    </row>
    <row r="81" spans="1:41">
      <c r="A81" s="32"/>
      <c r="B81" s="205"/>
      <c r="C81" s="148" t="s">
        <v>215</v>
      </c>
      <c r="D81" s="275" t="str">
        <f ca="1">_xll.meLWOCurveMarketDataCreate(D80,C71,C72:D77,F71,F73:G77,I71,I73:J98,L71,L73:P98,R71,R73:T98,V71,V73:X98)</f>
        <v>AUD_SWAP_6ML_CURVE_MARKETDATA@66:3</v>
      </c>
      <c r="E81" s="88" t="s">
        <v>63</v>
      </c>
      <c r="F81" s="88"/>
      <c r="G81" s="88"/>
      <c r="H81" s="88"/>
      <c r="I81" s="220"/>
      <c r="J81" s="221"/>
      <c r="K81" s="88"/>
      <c r="L81" s="220"/>
      <c r="M81" s="227"/>
      <c r="N81" s="227"/>
      <c r="O81" s="223"/>
      <c r="P81" s="228"/>
      <c r="Q81" s="88"/>
      <c r="R81" s="287" t="str">
        <f>'AUD CURVE TICKERS'!L83</f>
        <v>9Y</v>
      </c>
      <c r="S81" s="285">
        <f>'AUD CURVE TICKERS'!T83%</f>
        <v>2.8187500000000001E-2</v>
      </c>
      <c r="T81" s="226" t="b">
        <v>1</v>
      </c>
      <c r="U81" s="125"/>
      <c r="V81" s="287"/>
      <c r="W81" s="285"/>
      <c r="X81" s="226"/>
      <c r="Y81" s="247"/>
      <c r="AB81" s="63"/>
      <c r="AC81" s="88"/>
      <c r="AD81" s="88"/>
      <c r="AE81" s="64"/>
      <c r="AF81" s="32" t="s">
        <v>63</v>
      </c>
      <c r="AG81" s="63"/>
      <c r="AH81" s="266"/>
      <c r="AI81" s="260"/>
      <c r="AJ81" s="64"/>
      <c r="AK81" s="32"/>
      <c r="AL81" s="63"/>
      <c r="AM81" s="266"/>
      <c r="AN81" s="260"/>
      <c r="AO81" s="64"/>
    </row>
    <row r="82" spans="1:41">
      <c r="A82" s="32"/>
      <c r="B82" s="205"/>
      <c r="C82" s="88"/>
      <c r="D82" s="149"/>
      <c r="E82" s="88" t="s">
        <v>63</v>
      </c>
      <c r="F82" s="88"/>
      <c r="G82" s="88"/>
      <c r="H82" s="88"/>
      <c r="I82" s="220"/>
      <c r="J82" s="221"/>
      <c r="K82" s="88"/>
      <c r="L82" s="220"/>
      <c r="M82" s="227"/>
      <c r="N82" s="227"/>
      <c r="O82" s="223"/>
      <c r="P82" s="228"/>
      <c r="Q82" s="88"/>
      <c r="R82" s="287" t="str">
        <f>'AUD CURVE TICKERS'!L84</f>
        <v>10Y</v>
      </c>
      <c r="S82" s="285">
        <f>'AUD CURVE TICKERS'!T84%</f>
        <v>2.8712499999999998E-2</v>
      </c>
      <c r="T82" s="226" t="b">
        <v>1</v>
      </c>
      <c r="U82" s="125"/>
      <c r="V82" s="287"/>
      <c r="W82" s="285"/>
      <c r="X82" s="226"/>
      <c r="Y82" s="247"/>
      <c r="AB82" s="63"/>
      <c r="AC82" s="88"/>
      <c r="AD82" s="88"/>
      <c r="AE82" s="64"/>
      <c r="AF82" s="32" t="s">
        <v>63</v>
      </c>
      <c r="AG82" s="63"/>
      <c r="AH82" s="88"/>
      <c r="AI82" s="88"/>
      <c r="AJ82" s="64"/>
      <c r="AK82" s="32"/>
      <c r="AL82" s="63"/>
      <c r="AM82" s="88"/>
      <c r="AN82" s="88"/>
      <c r="AO82" s="64"/>
    </row>
    <row r="83" spans="1:41">
      <c r="A83" s="32"/>
      <c r="B83" s="205"/>
      <c r="C83" s="88"/>
      <c r="D83" s="149"/>
      <c r="E83" s="88" t="s">
        <v>63</v>
      </c>
      <c r="F83" s="88"/>
      <c r="G83" s="88"/>
      <c r="H83" s="88"/>
      <c r="I83" s="220"/>
      <c r="J83" s="221"/>
      <c r="K83" s="88"/>
      <c r="L83" s="220"/>
      <c r="M83" s="227"/>
      <c r="N83" s="227"/>
      <c r="O83" s="223"/>
      <c r="P83" s="228"/>
      <c r="Q83" s="88"/>
      <c r="R83" s="287" t="str">
        <f>'AUD CURVE TICKERS'!L85</f>
        <v>12Y</v>
      </c>
      <c r="S83" s="285">
        <f>'AUD CURVE TICKERS'!T85%</f>
        <v>2.9637500000000001E-2</v>
      </c>
      <c r="T83" s="226" t="b">
        <v>1</v>
      </c>
      <c r="U83" s="125"/>
      <c r="V83" s="287"/>
      <c r="W83" s="285"/>
      <c r="X83" s="226"/>
      <c r="Y83" s="247"/>
      <c r="AB83" s="63"/>
      <c r="AC83" s="88"/>
      <c r="AD83" s="88"/>
      <c r="AE83" s="64"/>
      <c r="AF83" s="32" t="s">
        <v>63</v>
      </c>
      <c r="AG83" s="63"/>
      <c r="AH83" s="206" t="s">
        <v>285</v>
      </c>
      <c r="AI83" s="88"/>
      <c r="AJ83" s="64"/>
      <c r="AK83" s="32"/>
      <c r="AL83" s="63"/>
      <c r="AM83" s="206" t="s">
        <v>285</v>
      </c>
      <c r="AN83" s="88"/>
      <c r="AO83" s="64"/>
    </row>
    <row r="84" spans="1:41">
      <c r="A84" s="32"/>
      <c r="B84" s="205"/>
      <c r="C84" s="88"/>
      <c r="D84" s="149"/>
      <c r="E84" s="88" t="s">
        <v>63</v>
      </c>
      <c r="F84" s="88"/>
      <c r="G84" s="88"/>
      <c r="H84" s="88"/>
      <c r="I84" s="220"/>
      <c r="J84" s="221"/>
      <c r="K84" s="88"/>
      <c r="L84" s="220"/>
      <c r="M84" s="227"/>
      <c r="N84" s="227"/>
      <c r="O84" s="223"/>
      <c r="P84" s="228"/>
      <c r="Q84" s="88"/>
      <c r="R84" s="287" t="str">
        <f>'AUD CURVE TICKERS'!L86</f>
        <v>15Y</v>
      </c>
      <c r="S84" s="285">
        <f>'AUD CURVE TICKERS'!T86%</f>
        <v>3.05875E-2</v>
      </c>
      <c r="T84" s="226" t="b">
        <v>1</v>
      </c>
      <c r="U84" s="125"/>
      <c r="V84" s="287"/>
      <c r="W84" s="285"/>
      <c r="X84" s="226"/>
      <c r="Y84" s="247"/>
      <c r="AB84" s="63"/>
      <c r="AC84" s="88"/>
      <c r="AD84" s="88"/>
      <c r="AE84" s="64"/>
      <c r="AF84" s="32" t="s">
        <v>63</v>
      </c>
      <c r="AG84" s="63"/>
      <c r="AH84" s="184" t="s">
        <v>324</v>
      </c>
      <c r="AI84" s="272" t="b">
        <v>0</v>
      </c>
      <c r="AJ84" s="64"/>
      <c r="AK84" s="32"/>
      <c r="AL84" s="63"/>
      <c r="AM84" s="184"/>
      <c r="AN84" s="272"/>
      <c r="AO84" s="64"/>
    </row>
    <row r="85" spans="1:41">
      <c r="A85" s="32"/>
      <c r="B85" s="205"/>
      <c r="C85" s="88"/>
      <c r="D85" s="149"/>
      <c r="E85" s="88"/>
      <c r="F85" s="88"/>
      <c r="G85" s="88"/>
      <c r="H85" s="88"/>
      <c r="I85" s="220"/>
      <c r="J85" s="221"/>
      <c r="K85" s="88"/>
      <c r="L85" s="220"/>
      <c r="M85" s="227"/>
      <c r="N85" s="227"/>
      <c r="O85" s="223"/>
      <c r="P85" s="228"/>
      <c r="Q85" s="88"/>
      <c r="R85" s="287" t="str">
        <f>'AUD CURVE TICKERS'!L87</f>
        <v>20Y</v>
      </c>
      <c r="S85" s="285">
        <f>'AUD CURVE TICKERS'!T87%</f>
        <v>3.1262499999999999E-2</v>
      </c>
      <c r="T85" s="226" t="b">
        <v>1</v>
      </c>
      <c r="U85" s="125"/>
      <c r="V85" s="287"/>
      <c r="W85" s="285"/>
      <c r="X85" s="226"/>
      <c r="Y85" s="247"/>
      <c r="AB85" s="63"/>
      <c r="AC85" s="88"/>
      <c r="AD85" s="88"/>
      <c r="AE85" s="64"/>
      <c r="AF85" s="32" t="s">
        <v>63</v>
      </c>
      <c r="AG85" s="63"/>
      <c r="AH85" s="186" t="s">
        <v>325</v>
      </c>
      <c r="AI85" s="267" t="s">
        <v>268</v>
      </c>
      <c r="AJ85" s="64"/>
      <c r="AK85" s="32"/>
      <c r="AL85" s="63"/>
      <c r="AM85" s="186"/>
      <c r="AN85" s="267"/>
      <c r="AO85" s="64"/>
    </row>
    <row r="86" spans="1:41">
      <c r="A86" s="32"/>
      <c r="B86" s="205"/>
      <c r="C86" s="88"/>
      <c r="D86" s="149"/>
      <c r="E86" s="88" t="s">
        <v>63</v>
      </c>
      <c r="F86" s="88"/>
      <c r="G86" s="88"/>
      <c r="H86" s="88"/>
      <c r="I86" s="220"/>
      <c r="J86" s="221"/>
      <c r="K86" s="88"/>
      <c r="L86" s="220"/>
      <c r="M86" s="227"/>
      <c r="N86" s="227"/>
      <c r="O86" s="223"/>
      <c r="P86" s="228"/>
      <c r="Q86" s="88"/>
      <c r="R86" s="287" t="str">
        <f>'AUD CURVE TICKERS'!L88</f>
        <v>25Y</v>
      </c>
      <c r="S86" s="285">
        <f>'AUD CURVE TICKERS'!T88%</f>
        <v>3.1362500000000001E-2</v>
      </c>
      <c r="T86" s="226" t="b">
        <v>1</v>
      </c>
      <c r="U86" s="125"/>
      <c r="V86" s="220"/>
      <c r="W86" s="225"/>
      <c r="X86" s="226"/>
      <c r="Y86" s="247"/>
      <c r="AB86" s="63"/>
      <c r="AC86" s="88"/>
      <c r="AD86" s="88"/>
      <c r="AE86" s="64"/>
      <c r="AF86" s="32" t="s">
        <v>63</v>
      </c>
      <c r="AG86" s="63"/>
      <c r="AH86" s="186" t="s">
        <v>326</v>
      </c>
      <c r="AI86" s="267" t="s">
        <v>118</v>
      </c>
      <c r="AJ86" s="64"/>
      <c r="AK86" s="32"/>
      <c r="AL86" s="63"/>
      <c r="AM86" s="186"/>
      <c r="AN86" s="267"/>
      <c r="AO86" s="64"/>
    </row>
    <row r="87" spans="1:41">
      <c r="A87" s="32"/>
      <c r="B87" s="205"/>
      <c r="C87" s="150" t="s">
        <v>216</v>
      </c>
      <c r="D87" s="234"/>
      <c r="E87" s="88" t="s">
        <v>63</v>
      </c>
      <c r="F87" s="88"/>
      <c r="G87" s="88"/>
      <c r="H87" s="88"/>
      <c r="I87" s="220"/>
      <c r="J87" s="221"/>
      <c r="K87" s="88"/>
      <c r="L87" s="220"/>
      <c r="M87" s="227"/>
      <c r="N87" s="227"/>
      <c r="O87" s="223"/>
      <c r="P87" s="228"/>
      <c r="Q87" s="88"/>
      <c r="R87" s="287" t="str">
        <f>'AUD CURVE TICKERS'!L89</f>
        <v>30Y</v>
      </c>
      <c r="S87" s="285">
        <f>'AUD CURVE TICKERS'!T89%</f>
        <v>3.1037499999999999E-2</v>
      </c>
      <c r="T87" s="226" t="b">
        <v>1</v>
      </c>
      <c r="U87" s="125"/>
      <c r="V87" s="220"/>
      <c r="W87" s="225"/>
      <c r="X87" s="226"/>
      <c r="Y87" s="247"/>
      <c r="AB87" s="63"/>
      <c r="AC87" s="88"/>
      <c r="AD87" s="88"/>
      <c r="AE87" s="64"/>
      <c r="AF87" s="32" t="s">
        <v>63</v>
      </c>
      <c r="AG87" s="63"/>
      <c r="AH87" s="186" t="s">
        <v>327</v>
      </c>
      <c r="AI87" s="267" t="s">
        <v>271</v>
      </c>
      <c r="AJ87" s="64"/>
      <c r="AK87" s="32"/>
      <c r="AL87" s="63"/>
      <c r="AM87" s="186"/>
      <c r="AN87" s="267"/>
      <c r="AO87" s="64"/>
    </row>
    <row r="88" spans="1:41">
      <c r="A88" s="32"/>
      <c r="B88" s="205"/>
      <c r="C88" s="151" t="s">
        <v>66</v>
      </c>
      <c r="D88" s="152" t="s">
        <v>568</v>
      </c>
      <c r="E88" s="88" t="s">
        <v>63</v>
      </c>
      <c r="F88" s="88"/>
      <c r="G88" s="88"/>
      <c r="H88" s="88"/>
      <c r="I88" s="220"/>
      <c r="J88" s="221"/>
      <c r="K88" s="88"/>
      <c r="L88" s="220"/>
      <c r="M88" s="227"/>
      <c r="N88" s="227"/>
      <c r="O88" s="223"/>
      <c r="P88" s="228"/>
      <c r="Q88" s="88"/>
      <c r="R88" s="430" t="s">
        <v>570</v>
      </c>
      <c r="S88" s="431">
        <f>S87</f>
        <v>3.1037499999999999E-2</v>
      </c>
      <c r="T88" s="432" t="b">
        <v>1</v>
      </c>
      <c r="U88" s="435" t="s">
        <v>572</v>
      </c>
      <c r="V88" s="220"/>
      <c r="W88" s="225"/>
      <c r="X88" s="226"/>
      <c r="Y88" s="247"/>
      <c r="AB88" s="63"/>
      <c r="AC88" s="88"/>
      <c r="AD88" s="88"/>
      <c r="AE88" s="64"/>
      <c r="AF88" s="32" t="s">
        <v>63</v>
      </c>
      <c r="AG88" s="63"/>
      <c r="AH88" s="186" t="s">
        <v>328</v>
      </c>
      <c r="AI88" s="267" t="s">
        <v>49</v>
      </c>
      <c r="AJ88" s="64"/>
      <c r="AK88" s="32"/>
      <c r="AL88" s="63"/>
      <c r="AM88" s="186"/>
      <c r="AN88" s="267"/>
      <c r="AO88" s="64"/>
    </row>
    <row r="89" spans="1:41">
      <c r="A89" s="32"/>
      <c r="B89" s="205"/>
      <c r="C89" s="153" t="s">
        <v>218</v>
      </c>
      <c r="D89" s="273" t="str">
        <f ca="1">$AN$6</f>
        <v>AUD_6ML_CURVE_GENERATOR@2:3</v>
      </c>
      <c r="E89" s="88" t="s">
        <v>63</v>
      </c>
      <c r="F89" s="88"/>
      <c r="G89" s="88"/>
      <c r="H89" s="88"/>
      <c r="I89" s="220"/>
      <c r="J89" s="221"/>
      <c r="K89" s="88"/>
      <c r="L89" s="220"/>
      <c r="M89" s="227"/>
      <c r="N89" s="227"/>
      <c r="O89" s="223"/>
      <c r="P89" s="228"/>
      <c r="Q89" s="88"/>
      <c r="R89" s="430" t="s">
        <v>571</v>
      </c>
      <c r="S89" s="431">
        <f>S88</f>
        <v>3.1037499999999999E-2</v>
      </c>
      <c r="T89" s="432" t="b">
        <v>1</v>
      </c>
      <c r="U89" s="435" t="s">
        <v>572</v>
      </c>
      <c r="V89" s="220"/>
      <c r="W89" s="225"/>
      <c r="X89" s="226"/>
      <c r="Y89" s="247"/>
      <c r="AB89" s="63"/>
      <c r="AC89" s="88"/>
      <c r="AD89" s="88"/>
      <c r="AE89" s="64"/>
      <c r="AF89" s="32" t="s">
        <v>63</v>
      </c>
      <c r="AG89" s="63"/>
      <c r="AH89" s="186" t="s">
        <v>329</v>
      </c>
      <c r="AI89" s="268">
        <v>1</v>
      </c>
      <c r="AJ89" s="64"/>
      <c r="AK89" s="32"/>
      <c r="AL89" s="63"/>
      <c r="AM89" s="186"/>
      <c r="AN89" s="268"/>
      <c r="AO89" s="64"/>
    </row>
    <row r="90" spans="1:41">
      <c r="A90" s="32"/>
      <c r="B90" s="205"/>
      <c r="C90" s="153" t="s">
        <v>219</v>
      </c>
      <c r="D90" s="154" t="s">
        <v>109</v>
      </c>
      <c r="E90" s="88" t="s">
        <v>63</v>
      </c>
      <c r="F90" s="88"/>
      <c r="G90" s="88"/>
      <c r="H90" s="88"/>
      <c r="I90" s="220"/>
      <c r="J90" s="221"/>
      <c r="K90" s="88"/>
      <c r="L90" s="220"/>
      <c r="M90" s="227"/>
      <c r="N90" s="227"/>
      <c r="O90" s="223"/>
      <c r="P90" s="228"/>
      <c r="Q90" s="88"/>
      <c r="R90" s="220"/>
      <c r="S90" s="225"/>
      <c r="T90" s="226"/>
      <c r="U90" s="125"/>
      <c r="V90" s="220"/>
      <c r="W90" s="225"/>
      <c r="X90" s="226"/>
      <c r="Y90" s="247"/>
      <c r="AB90" s="63"/>
      <c r="AC90" s="88"/>
      <c r="AD90" s="88"/>
      <c r="AE90" s="64"/>
      <c r="AF90" s="32" t="s">
        <v>63</v>
      </c>
      <c r="AG90" s="63"/>
      <c r="AH90" s="186" t="s">
        <v>330</v>
      </c>
      <c r="AI90" s="267" t="s">
        <v>199</v>
      </c>
      <c r="AJ90" s="64"/>
      <c r="AK90" s="32"/>
      <c r="AL90" s="63"/>
      <c r="AM90" s="186"/>
      <c r="AN90" s="267"/>
      <c r="AO90" s="64"/>
    </row>
    <row r="91" spans="1:41">
      <c r="A91" s="32"/>
      <c r="B91" s="205"/>
      <c r="C91" s="155" t="s">
        <v>220</v>
      </c>
      <c r="D91" s="156"/>
      <c r="E91" s="88" t="s">
        <v>63</v>
      </c>
      <c r="F91" s="88"/>
      <c r="G91" s="88"/>
      <c r="H91" s="88"/>
      <c r="I91" s="220"/>
      <c r="J91" s="221"/>
      <c r="K91" s="88"/>
      <c r="L91" s="220"/>
      <c r="M91" s="227"/>
      <c r="N91" s="227"/>
      <c r="O91" s="223"/>
      <c r="P91" s="228"/>
      <c r="Q91" s="88"/>
      <c r="R91" s="220"/>
      <c r="S91" s="225"/>
      <c r="T91" s="226"/>
      <c r="U91" s="125"/>
      <c r="V91" s="220"/>
      <c r="W91" s="225"/>
      <c r="X91" s="226"/>
      <c r="Y91" s="247"/>
      <c r="AB91" s="63"/>
      <c r="AC91" s="88"/>
      <c r="AD91" s="88"/>
      <c r="AE91" s="64"/>
      <c r="AF91" s="32" t="s">
        <v>63</v>
      </c>
      <c r="AG91" s="63"/>
      <c r="AH91" s="186" t="s">
        <v>331</v>
      </c>
      <c r="AI91" s="267" t="s">
        <v>286</v>
      </c>
      <c r="AJ91" s="64"/>
      <c r="AK91" s="32"/>
      <c r="AL91" s="63"/>
      <c r="AM91" s="186"/>
      <c r="AN91" s="267"/>
      <c r="AO91" s="64"/>
    </row>
    <row r="92" spans="1:41">
      <c r="A92" s="32"/>
      <c r="B92" s="205"/>
      <c r="C92" s="88"/>
      <c r="D92" s="149"/>
      <c r="E92" s="88" t="s">
        <v>63</v>
      </c>
      <c r="F92" s="88"/>
      <c r="G92" s="88"/>
      <c r="H92" s="88"/>
      <c r="I92" s="220"/>
      <c r="J92" s="221"/>
      <c r="K92" s="88"/>
      <c r="L92" s="220"/>
      <c r="M92" s="227"/>
      <c r="N92" s="227"/>
      <c r="O92" s="223"/>
      <c r="P92" s="228"/>
      <c r="Q92" s="88"/>
      <c r="R92" s="220"/>
      <c r="S92" s="225"/>
      <c r="T92" s="226"/>
      <c r="U92" s="125"/>
      <c r="V92" s="220"/>
      <c r="W92" s="225"/>
      <c r="X92" s="226"/>
      <c r="Y92" s="247"/>
      <c r="AB92" s="63"/>
      <c r="AC92" s="88"/>
      <c r="AD92" s="88"/>
      <c r="AE92" s="64"/>
      <c r="AF92" s="32" t="s">
        <v>63</v>
      </c>
      <c r="AG92" s="63"/>
      <c r="AH92" s="186" t="s">
        <v>332</v>
      </c>
      <c r="AI92" s="267" t="s">
        <v>95</v>
      </c>
      <c r="AJ92" s="64"/>
      <c r="AK92" s="32"/>
      <c r="AL92" s="63"/>
      <c r="AM92" s="186"/>
      <c r="AN92" s="267"/>
      <c r="AO92" s="64"/>
    </row>
    <row r="93" spans="1:41">
      <c r="A93" s="32"/>
      <c r="B93" s="205"/>
      <c r="C93" s="88"/>
      <c r="D93" s="149"/>
      <c r="E93" s="88" t="s">
        <v>63</v>
      </c>
      <c r="F93" s="88"/>
      <c r="G93" s="88"/>
      <c r="H93" s="88"/>
      <c r="I93" s="220"/>
      <c r="J93" s="221"/>
      <c r="K93" s="88"/>
      <c r="L93" s="220"/>
      <c r="M93" s="227"/>
      <c r="N93" s="227"/>
      <c r="O93" s="223"/>
      <c r="P93" s="228"/>
      <c r="Q93" s="88"/>
      <c r="R93" s="220"/>
      <c r="S93" s="225"/>
      <c r="T93" s="226"/>
      <c r="U93" s="125"/>
      <c r="V93" s="220"/>
      <c r="W93" s="225"/>
      <c r="X93" s="226"/>
      <c r="Y93" s="247"/>
      <c r="AB93" s="63"/>
      <c r="AC93" s="88"/>
      <c r="AD93" s="88"/>
      <c r="AE93" s="64"/>
      <c r="AF93" s="32" t="s">
        <v>63</v>
      </c>
      <c r="AG93" s="63"/>
      <c r="AH93" s="186" t="s">
        <v>333</v>
      </c>
      <c r="AI93" s="267" t="s">
        <v>118</v>
      </c>
      <c r="AJ93" s="64"/>
      <c r="AK93" s="32"/>
      <c r="AL93" s="63"/>
      <c r="AM93" s="186"/>
      <c r="AN93" s="267"/>
      <c r="AO93" s="64"/>
    </row>
    <row r="94" spans="1:41">
      <c r="B94" s="205"/>
      <c r="C94" s="150" t="s">
        <v>221</v>
      </c>
      <c r="D94" s="149"/>
      <c r="E94" s="88" t="s">
        <v>63</v>
      </c>
      <c r="F94" s="88"/>
      <c r="G94" s="88"/>
      <c r="H94" s="88"/>
      <c r="I94" s="220"/>
      <c r="J94" s="221"/>
      <c r="K94" s="88"/>
      <c r="L94" s="220"/>
      <c r="M94" s="227"/>
      <c r="N94" s="227"/>
      <c r="O94" s="223"/>
      <c r="P94" s="228"/>
      <c r="Q94" s="88"/>
      <c r="R94" s="220"/>
      <c r="S94" s="225"/>
      <c r="T94" s="226"/>
      <c r="U94" s="125"/>
      <c r="V94" s="220"/>
      <c r="W94" s="225"/>
      <c r="X94" s="226"/>
      <c r="Y94" s="247"/>
      <c r="AB94" s="63"/>
      <c r="AC94" s="88"/>
      <c r="AD94" s="88"/>
      <c r="AE94" s="64"/>
      <c r="AF94" s="32" t="s">
        <v>63</v>
      </c>
      <c r="AG94" s="63"/>
      <c r="AH94" s="186" t="s">
        <v>334</v>
      </c>
      <c r="AI94" s="267" t="s">
        <v>268</v>
      </c>
      <c r="AJ94" s="64"/>
      <c r="AK94" s="32"/>
      <c r="AL94" s="63"/>
      <c r="AM94" s="186"/>
      <c r="AN94" s="267"/>
      <c r="AO94" s="64"/>
    </row>
    <row r="95" spans="1:41">
      <c r="B95" s="205"/>
      <c r="C95" s="157" t="s">
        <v>66</v>
      </c>
      <c r="D95" s="276" t="str">
        <f t="array" aca="1" ref="D95:D98" ca="1">IF($D$65,_xll.meLWOCurveCalibrate(D88,D89,D81,D90),"#Error: Dependency Curve not Built")</f>
        <v>AUD_SWAP_6M_CURVE@67:3</v>
      </c>
      <c r="E95" s="88" t="s">
        <v>63</v>
      </c>
      <c r="F95" s="88"/>
      <c r="G95" s="88"/>
      <c r="H95" s="88"/>
      <c r="I95" s="220"/>
      <c r="J95" s="221"/>
      <c r="K95" s="88"/>
      <c r="L95" s="220"/>
      <c r="M95" s="227"/>
      <c r="N95" s="227"/>
      <c r="O95" s="223"/>
      <c r="P95" s="228"/>
      <c r="Q95" s="88"/>
      <c r="R95" s="220"/>
      <c r="S95" s="225"/>
      <c r="T95" s="226"/>
      <c r="U95" s="125"/>
      <c r="V95" s="220"/>
      <c r="W95" s="225"/>
      <c r="X95" s="226"/>
      <c r="Y95" s="247"/>
      <c r="AB95" s="63"/>
      <c r="AC95" s="88"/>
      <c r="AD95" s="88"/>
      <c r="AE95" s="64"/>
      <c r="AF95" s="32" t="s">
        <v>63</v>
      </c>
      <c r="AG95" s="63"/>
      <c r="AH95" s="186" t="s">
        <v>335</v>
      </c>
      <c r="AI95" s="267" t="s">
        <v>301</v>
      </c>
      <c r="AJ95" s="64"/>
      <c r="AK95" s="32"/>
      <c r="AL95" s="63"/>
      <c r="AM95" s="186"/>
      <c r="AN95" s="267"/>
      <c r="AO95" s="64"/>
    </row>
    <row r="96" spans="1:41">
      <c r="B96" s="205"/>
      <c r="C96" s="158" t="s">
        <v>222</v>
      </c>
      <c r="D96" s="277" t="str">
        <f ca="1"/>
        <v>AUDYC</v>
      </c>
      <c r="E96" s="88" t="s">
        <v>63</v>
      </c>
      <c r="F96" s="88"/>
      <c r="G96" s="88"/>
      <c r="H96" s="88"/>
      <c r="I96" s="220"/>
      <c r="J96" s="221"/>
      <c r="K96" s="88"/>
      <c r="L96" s="220"/>
      <c r="M96" s="227"/>
      <c r="N96" s="227"/>
      <c r="O96" s="223"/>
      <c r="P96" s="228"/>
      <c r="Q96" s="88"/>
      <c r="R96" s="220"/>
      <c r="S96" s="225"/>
      <c r="T96" s="226"/>
      <c r="U96" s="125"/>
      <c r="V96" s="220"/>
      <c r="W96" s="225"/>
      <c r="X96" s="226"/>
      <c r="Y96" s="247"/>
      <c r="AB96" s="63"/>
      <c r="AC96" s="88"/>
      <c r="AD96" s="88"/>
      <c r="AE96" s="64"/>
      <c r="AF96" s="32" t="s">
        <v>63</v>
      </c>
      <c r="AG96" s="63"/>
      <c r="AH96" s="186" t="s">
        <v>336</v>
      </c>
      <c r="AI96" s="269" t="s">
        <v>110</v>
      </c>
      <c r="AJ96" s="64"/>
      <c r="AK96" s="32"/>
      <c r="AL96" s="63"/>
      <c r="AM96" s="186"/>
      <c r="AN96" s="269"/>
      <c r="AO96" s="64"/>
    </row>
    <row r="97" spans="2:41">
      <c r="B97" s="205"/>
      <c r="C97" s="158" t="s">
        <v>223</v>
      </c>
      <c r="D97" s="277" t="str">
        <f ca="1"/>
        <v>AUD6ML</v>
      </c>
      <c r="E97" s="88" t="s">
        <v>63</v>
      </c>
      <c r="F97" s="88"/>
      <c r="G97" s="88"/>
      <c r="H97" s="88"/>
      <c r="I97" s="220"/>
      <c r="J97" s="221"/>
      <c r="K97" s="88"/>
      <c r="L97" s="220"/>
      <c r="M97" s="227"/>
      <c r="N97" s="227"/>
      <c r="O97" s="223"/>
      <c r="P97" s="228"/>
      <c r="Q97" s="88"/>
      <c r="R97" s="220"/>
      <c r="S97" s="225"/>
      <c r="T97" s="226"/>
      <c r="U97" s="125"/>
      <c r="V97" s="220"/>
      <c r="W97" s="225"/>
      <c r="X97" s="226"/>
      <c r="Y97" s="247"/>
      <c r="AB97" s="63"/>
      <c r="AC97" s="88"/>
      <c r="AD97" s="88"/>
      <c r="AE97" s="64"/>
      <c r="AF97" s="32" t="s">
        <v>63</v>
      </c>
      <c r="AG97" s="63"/>
      <c r="AH97" s="186" t="s">
        <v>337</v>
      </c>
      <c r="AI97" s="270">
        <v>1</v>
      </c>
      <c r="AJ97" s="64"/>
      <c r="AK97" s="32"/>
      <c r="AL97" s="63"/>
      <c r="AM97" s="186"/>
      <c r="AN97" s="270"/>
      <c r="AO97" s="64"/>
    </row>
    <row r="98" spans="2:41">
      <c r="B98" s="205"/>
      <c r="C98" s="159" t="s">
        <v>224</v>
      </c>
      <c r="D98" s="278" t="str">
        <f ca="1"/>
        <v>0.00600 sec</v>
      </c>
      <c r="E98" s="88" t="s">
        <v>63</v>
      </c>
      <c r="F98" s="88"/>
      <c r="G98" s="88"/>
      <c r="H98" s="88"/>
      <c r="I98" s="235"/>
      <c r="J98" s="236"/>
      <c r="K98" s="88"/>
      <c r="L98" s="235"/>
      <c r="M98" s="237"/>
      <c r="N98" s="237"/>
      <c r="O98" s="238"/>
      <c r="P98" s="239"/>
      <c r="Q98" s="88"/>
      <c r="R98" s="235"/>
      <c r="S98" s="240"/>
      <c r="T98" s="241"/>
      <c r="U98" s="125"/>
      <c r="V98" s="235"/>
      <c r="W98" s="240"/>
      <c r="X98" s="241"/>
      <c r="Y98" s="247"/>
      <c r="AB98" s="63"/>
      <c r="AC98" s="88"/>
      <c r="AD98" s="88"/>
      <c r="AE98" s="64"/>
      <c r="AF98" s="32" t="s">
        <v>63</v>
      </c>
      <c r="AG98" s="63"/>
      <c r="AH98" s="186" t="s">
        <v>338</v>
      </c>
      <c r="AI98" s="270" t="s">
        <v>49</v>
      </c>
      <c r="AJ98" s="64"/>
      <c r="AK98" s="32"/>
      <c r="AL98" s="63"/>
      <c r="AM98" s="186"/>
      <c r="AN98" s="270"/>
      <c r="AO98" s="64"/>
    </row>
    <row r="99" spans="2:41">
      <c r="B99" s="205"/>
      <c r="C99" s="160" t="s">
        <v>225</v>
      </c>
      <c r="D99" s="242" t="b">
        <f ca="1">LEFT(D95,3)=LEFT(D95,3)</f>
        <v>1</v>
      </c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247"/>
      <c r="AB99" s="63"/>
      <c r="AC99" s="88"/>
      <c r="AD99" s="88"/>
      <c r="AE99" s="64"/>
      <c r="AF99" s="32" t="s">
        <v>63</v>
      </c>
      <c r="AG99" s="63"/>
      <c r="AH99" s="186" t="s">
        <v>339</v>
      </c>
      <c r="AI99" s="270" t="s">
        <v>268</v>
      </c>
      <c r="AJ99" s="64"/>
      <c r="AK99" s="32"/>
      <c r="AL99" s="63"/>
      <c r="AM99" s="186"/>
      <c r="AN99" s="270"/>
      <c r="AO99" s="64"/>
    </row>
    <row r="100" spans="2:41">
      <c r="B100" s="248"/>
      <c r="C100" s="249"/>
      <c r="D100" s="283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50"/>
      <c r="AB100" s="63"/>
      <c r="AC100" s="88"/>
      <c r="AD100" s="88"/>
      <c r="AE100" s="64"/>
      <c r="AF100" s="32" t="s">
        <v>63</v>
      </c>
      <c r="AG100" s="63"/>
      <c r="AH100" s="186" t="s">
        <v>340</v>
      </c>
      <c r="AI100" s="269" t="s">
        <v>118</v>
      </c>
      <c r="AJ100" s="64"/>
      <c r="AK100" s="32"/>
      <c r="AL100" s="63"/>
      <c r="AM100" s="186"/>
      <c r="AN100" s="269"/>
      <c r="AO100" s="64"/>
    </row>
    <row r="101" spans="2:41">
      <c r="AB101" s="63"/>
      <c r="AC101" s="88"/>
      <c r="AD101" s="88"/>
      <c r="AE101" s="64"/>
      <c r="AF101" s="32" t="s">
        <v>63</v>
      </c>
      <c r="AG101" s="63"/>
      <c r="AH101" s="186" t="s">
        <v>341</v>
      </c>
      <c r="AI101" s="270" t="s">
        <v>342</v>
      </c>
      <c r="AJ101" s="64"/>
      <c r="AK101" s="32"/>
      <c r="AL101" s="63"/>
      <c r="AM101" s="186"/>
      <c r="AN101" s="270"/>
      <c r="AO101" s="64"/>
    </row>
    <row r="102" spans="2:41">
      <c r="AB102" s="63"/>
      <c r="AC102" s="88"/>
      <c r="AD102" s="88"/>
      <c r="AE102" s="64"/>
      <c r="AF102" s="32" t="s">
        <v>63</v>
      </c>
      <c r="AG102" s="63"/>
      <c r="AH102" s="186" t="s">
        <v>343</v>
      </c>
      <c r="AI102" s="270" t="s">
        <v>49</v>
      </c>
      <c r="AJ102" s="64"/>
      <c r="AK102" s="32"/>
      <c r="AL102" s="63"/>
      <c r="AM102" s="186"/>
      <c r="AN102" s="270"/>
      <c r="AO102" s="64"/>
    </row>
    <row r="103" spans="2:41">
      <c r="AB103" s="63"/>
      <c r="AC103" s="88"/>
      <c r="AD103" s="88"/>
      <c r="AE103" s="64"/>
      <c r="AF103" s="32" t="s">
        <v>63</v>
      </c>
      <c r="AG103" s="63"/>
      <c r="AH103" s="186" t="s">
        <v>344</v>
      </c>
      <c r="AI103" s="270">
        <v>1</v>
      </c>
      <c r="AJ103" s="64"/>
      <c r="AK103" s="32"/>
      <c r="AL103" s="63"/>
      <c r="AM103" s="186"/>
      <c r="AN103" s="270"/>
      <c r="AO103" s="64"/>
    </row>
    <row r="104" spans="2:41">
      <c r="AB104" s="63"/>
      <c r="AC104" s="88"/>
      <c r="AD104" s="88"/>
      <c r="AE104" s="64"/>
      <c r="AF104" s="32" t="s">
        <v>63</v>
      </c>
      <c r="AG104" s="63"/>
      <c r="AH104" s="186" t="s">
        <v>345</v>
      </c>
      <c r="AI104" s="270" t="s">
        <v>199</v>
      </c>
      <c r="AJ104" s="64"/>
      <c r="AK104" s="32"/>
      <c r="AL104" s="63"/>
      <c r="AM104" s="186"/>
      <c r="AN104" s="270"/>
      <c r="AO104" s="64"/>
    </row>
    <row r="105" spans="2:41">
      <c r="AB105" s="63"/>
      <c r="AC105" s="88"/>
      <c r="AD105" s="88"/>
      <c r="AE105" s="64"/>
      <c r="AF105" s="32" t="s">
        <v>63</v>
      </c>
      <c r="AG105" s="63"/>
      <c r="AH105" s="186" t="s">
        <v>346</v>
      </c>
      <c r="AI105" s="267" t="s">
        <v>286</v>
      </c>
      <c r="AJ105" s="64"/>
      <c r="AK105" s="32"/>
      <c r="AL105" s="63"/>
      <c r="AM105" s="186"/>
      <c r="AN105" s="267"/>
      <c r="AO105" s="64"/>
    </row>
    <row r="106" spans="2:41">
      <c r="AB106" s="63"/>
      <c r="AC106" s="88"/>
      <c r="AD106" s="88"/>
      <c r="AE106" s="64"/>
      <c r="AF106" s="32" t="s">
        <v>63</v>
      </c>
      <c r="AG106" s="63"/>
      <c r="AH106" s="186" t="s">
        <v>347</v>
      </c>
      <c r="AI106" s="269" t="s">
        <v>94</v>
      </c>
      <c r="AJ106" s="64"/>
      <c r="AK106" s="32"/>
      <c r="AL106" s="63"/>
      <c r="AM106" s="186"/>
      <c r="AN106" s="269"/>
      <c r="AO106" s="64"/>
    </row>
    <row r="107" spans="2:41">
      <c r="AB107" s="63"/>
      <c r="AC107" s="88"/>
      <c r="AD107" s="88"/>
      <c r="AE107" s="64"/>
      <c r="AF107" s="32" t="s">
        <v>63</v>
      </c>
      <c r="AG107" s="63"/>
      <c r="AH107" s="186" t="s">
        <v>348</v>
      </c>
      <c r="AI107" s="270" t="s">
        <v>118</v>
      </c>
      <c r="AJ107" s="64"/>
      <c r="AK107" s="32"/>
      <c r="AL107" s="63"/>
      <c r="AM107" s="186"/>
      <c r="AN107" s="270"/>
      <c r="AO107" s="64"/>
    </row>
    <row r="108" spans="2:41">
      <c r="AB108" s="63"/>
      <c r="AC108" s="88"/>
      <c r="AD108" s="88"/>
      <c r="AE108" s="64"/>
      <c r="AF108" s="32" t="s">
        <v>63</v>
      </c>
      <c r="AG108" s="63"/>
      <c r="AH108" s="186" t="s">
        <v>349</v>
      </c>
      <c r="AI108" s="270" t="s">
        <v>268</v>
      </c>
      <c r="AJ108" s="64"/>
      <c r="AK108" s="32"/>
      <c r="AL108" s="63"/>
      <c r="AM108" s="186"/>
      <c r="AN108" s="270"/>
      <c r="AO108" s="64"/>
    </row>
    <row r="109" spans="2:41">
      <c r="AB109" s="63"/>
      <c r="AC109" s="88"/>
      <c r="AD109" s="88"/>
      <c r="AE109" s="64"/>
      <c r="AF109" s="32" t="s">
        <v>63</v>
      </c>
      <c r="AG109" s="63"/>
      <c r="AH109" s="186" t="s">
        <v>350</v>
      </c>
      <c r="AI109" s="270" t="s">
        <v>301</v>
      </c>
      <c r="AJ109" s="64"/>
      <c r="AK109" s="32"/>
      <c r="AL109" s="63"/>
      <c r="AM109" s="186"/>
      <c r="AN109" s="270"/>
      <c r="AO109" s="64"/>
    </row>
    <row r="110" spans="2:41">
      <c r="AB110" s="63"/>
      <c r="AC110" s="88"/>
      <c r="AD110" s="88"/>
      <c r="AE110" s="64"/>
      <c r="AF110" s="32" t="s">
        <v>63</v>
      </c>
      <c r="AG110" s="63"/>
      <c r="AH110" s="186" t="s">
        <v>351</v>
      </c>
      <c r="AI110" s="269" t="s">
        <v>110</v>
      </c>
      <c r="AJ110" s="64"/>
      <c r="AK110" s="32"/>
      <c r="AL110" s="63"/>
      <c r="AM110" s="186"/>
      <c r="AN110" s="269"/>
      <c r="AO110" s="64"/>
    </row>
    <row r="111" spans="2:41">
      <c r="AB111" s="63"/>
      <c r="AC111" s="88"/>
      <c r="AD111" s="88"/>
      <c r="AE111" s="64"/>
      <c r="AF111" s="32" t="s">
        <v>63</v>
      </c>
      <c r="AG111" s="63"/>
      <c r="AH111" s="186" t="s">
        <v>352</v>
      </c>
      <c r="AI111" s="270">
        <v>1</v>
      </c>
      <c r="AJ111" s="64"/>
      <c r="AK111" s="32"/>
      <c r="AL111" s="63"/>
      <c r="AM111" s="186"/>
      <c r="AN111" s="270"/>
      <c r="AO111" s="64"/>
    </row>
    <row r="112" spans="2:41">
      <c r="AB112" s="63"/>
      <c r="AC112" s="88"/>
      <c r="AD112" s="88"/>
      <c r="AE112" s="64"/>
      <c r="AF112" s="32" t="s">
        <v>63</v>
      </c>
      <c r="AG112" s="63"/>
      <c r="AH112" s="186" t="s">
        <v>353</v>
      </c>
      <c r="AI112" s="270" t="s">
        <v>49</v>
      </c>
      <c r="AJ112" s="64"/>
      <c r="AK112" s="32"/>
      <c r="AL112" s="63"/>
      <c r="AM112" s="186"/>
      <c r="AN112" s="270"/>
      <c r="AO112" s="64"/>
    </row>
    <row r="113" spans="5:41">
      <c r="AB113" s="63"/>
      <c r="AC113" s="88"/>
      <c r="AD113" s="88"/>
      <c r="AE113" s="64"/>
      <c r="AF113" s="32" t="s">
        <v>63</v>
      </c>
      <c r="AG113" s="63"/>
      <c r="AH113" s="186" t="s">
        <v>354</v>
      </c>
      <c r="AI113" s="270" t="s">
        <v>355</v>
      </c>
      <c r="AJ113" s="64"/>
      <c r="AK113" s="32"/>
      <c r="AL113" s="63"/>
      <c r="AM113" s="186"/>
      <c r="AN113" s="270"/>
      <c r="AO113" s="64"/>
    </row>
    <row r="114" spans="5:41">
      <c r="AB114" s="63"/>
      <c r="AC114" s="88"/>
      <c r="AD114" s="88"/>
      <c r="AE114" s="64"/>
      <c r="AF114" s="32" t="s">
        <v>63</v>
      </c>
      <c r="AG114" s="63"/>
      <c r="AH114" s="186" t="s">
        <v>321</v>
      </c>
      <c r="AI114" s="270" t="b">
        <v>1</v>
      </c>
      <c r="AJ114" s="64"/>
      <c r="AK114" s="32"/>
      <c r="AL114" s="63"/>
      <c r="AM114" s="186"/>
      <c r="AN114" s="270"/>
      <c r="AO114" s="64"/>
    </row>
    <row r="115" spans="5:41">
      <c r="AB115" s="63"/>
      <c r="AC115" s="88"/>
      <c r="AD115" s="88"/>
      <c r="AE115" s="64"/>
      <c r="AF115" s="32" t="s">
        <v>63</v>
      </c>
      <c r="AG115" s="63"/>
      <c r="AH115" s="186" t="s">
        <v>356</v>
      </c>
      <c r="AI115" s="270" t="b">
        <v>1</v>
      </c>
      <c r="AJ115" s="64"/>
      <c r="AK115" s="32"/>
      <c r="AL115" s="63"/>
      <c r="AM115" s="186"/>
      <c r="AN115" s="270"/>
      <c r="AO115" s="64"/>
    </row>
    <row r="116" spans="5:41">
      <c r="AB116" s="63"/>
      <c r="AC116" s="88"/>
      <c r="AD116" s="88"/>
      <c r="AE116" s="64"/>
      <c r="AF116" s="32" t="s">
        <v>63</v>
      </c>
      <c r="AG116" s="63"/>
      <c r="AH116" s="266"/>
      <c r="AI116" s="271"/>
      <c r="AJ116" s="64"/>
      <c r="AK116" s="32"/>
      <c r="AL116" s="63"/>
      <c r="AM116" s="266"/>
      <c r="AN116" s="271"/>
      <c r="AO116" s="64"/>
    </row>
    <row r="117" spans="5:41">
      <c r="AB117" s="63"/>
      <c r="AC117" s="88"/>
      <c r="AD117" s="88"/>
      <c r="AE117" s="64"/>
      <c r="AF117" s="32" t="s">
        <v>63</v>
      </c>
      <c r="AG117" s="63"/>
      <c r="AH117" s="88"/>
      <c r="AI117" s="88"/>
      <c r="AJ117" s="64"/>
      <c r="AK117" s="32"/>
      <c r="AL117" s="63"/>
      <c r="AM117" s="88"/>
      <c r="AN117" s="88"/>
      <c r="AO117" s="64"/>
    </row>
    <row r="118" spans="5:41">
      <c r="AB118" s="63"/>
      <c r="AC118" s="88"/>
      <c r="AD118" s="88"/>
      <c r="AE118" s="64"/>
      <c r="AF118" s="32" t="s">
        <v>63</v>
      </c>
      <c r="AG118" s="63"/>
      <c r="AH118" s="88"/>
      <c r="AI118" s="88"/>
      <c r="AJ118" s="64"/>
      <c r="AK118" s="32"/>
      <c r="AL118" s="63"/>
      <c r="AM118" s="88"/>
      <c r="AN118" s="88"/>
      <c r="AO118" s="64"/>
    </row>
    <row r="119" spans="5:41">
      <c r="AB119" s="63"/>
      <c r="AC119" s="88"/>
      <c r="AD119" s="88"/>
      <c r="AE119" s="64"/>
      <c r="AF119" s="32" t="s">
        <v>63</v>
      </c>
      <c r="AG119" s="63"/>
      <c r="AH119" s="88"/>
      <c r="AI119" s="88"/>
      <c r="AJ119" s="64"/>
      <c r="AK119" s="32"/>
      <c r="AL119" s="63"/>
      <c r="AM119" s="88"/>
      <c r="AN119" s="88"/>
      <c r="AO119" s="64"/>
    </row>
    <row r="120" spans="5:41">
      <c r="AB120" s="63"/>
      <c r="AC120" s="88"/>
      <c r="AD120" s="88"/>
      <c r="AE120" s="64"/>
      <c r="AF120" s="32" t="s">
        <v>63</v>
      </c>
      <c r="AG120" s="63"/>
      <c r="AH120" s="88"/>
      <c r="AI120" s="88"/>
      <c r="AJ120" s="64"/>
      <c r="AK120" s="32"/>
      <c r="AL120" s="63"/>
      <c r="AM120" s="88"/>
      <c r="AN120" s="88"/>
      <c r="AO120" s="64"/>
    </row>
    <row r="121" spans="5:41">
      <c r="E121" s="306"/>
      <c r="AB121" s="63"/>
      <c r="AC121" s="88"/>
      <c r="AD121" s="88"/>
      <c r="AE121" s="64"/>
      <c r="AF121" s="32" t="s">
        <v>63</v>
      </c>
      <c r="AG121" s="63"/>
      <c r="AH121" s="88"/>
      <c r="AI121" s="88"/>
      <c r="AJ121" s="64"/>
      <c r="AK121" s="32"/>
      <c r="AL121" s="63"/>
      <c r="AM121" s="88"/>
      <c r="AN121" s="88"/>
      <c r="AO121" s="64"/>
    </row>
    <row r="122" spans="5:41">
      <c r="E122" s="306"/>
      <c r="AB122" s="65"/>
      <c r="AC122" s="170"/>
      <c r="AD122" s="170"/>
      <c r="AE122" s="66"/>
      <c r="AF122" s="32" t="s">
        <v>63</v>
      </c>
      <c r="AG122" s="65"/>
      <c r="AH122" s="170"/>
      <c r="AI122" s="170"/>
      <c r="AJ122" s="66"/>
      <c r="AK122" s="32"/>
      <c r="AL122" s="65"/>
      <c r="AM122" s="170"/>
      <c r="AN122" s="170"/>
      <c r="AO122" s="66"/>
    </row>
    <row r="123" spans="5:41">
      <c r="E123" s="306"/>
    </row>
    <row r="124" spans="5:41">
      <c r="E124" s="306"/>
    </row>
    <row r="125" spans="5:41">
      <c r="E125" s="306"/>
    </row>
    <row r="126" spans="5:41">
      <c r="E126" s="306"/>
    </row>
    <row r="127" spans="5:41">
      <c r="E127" s="306"/>
    </row>
    <row r="128" spans="5:41">
      <c r="E128" s="306"/>
    </row>
    <row r="129" spans="5:35">
      <c r="E129" s="306"/>
    </row>
    <row r="130" spans="5:35">
      <c r="E130" s="306"/>
    </row>
    <row r="131" spans="5:35">
      <c r="E131" s="306"/>
    </row>
    <row r="132" spans="5:35">
      <c r="E132" s="306"/>
    </row>
    <row r="133" spans="5:35">
      <c r="E133" s="306"/>
      <c r="AH133" s="32"/>
      <c r="AI133" s="32"/>
    </row>
    <row r="134" spans="5:35">
      <c r="E134" s="306"/>
      <c r="AH134" s="32"/>
      <c r="AI134" s="32"/>
    </row>
    <row r="135" spans="5:35">
      <c r="E135" s="306"/>
      <c r="AH135" s="32"/>
      <c r="AI135" s="32"/>
    </row>
    <row r="136" spans="5:35">
      <c r="E136" s="306"/>
      <c r="AH136" s="32"/>
      <c r="AI136" s="32"/>
    </row>
    <row r="137" spans="5:35">
      <c r="E137" s="306"/>
      <c r="AH137" s="32"/>
      <c r="AI137" s="32"/>
    </row>
    <row r="138" spans="5:35">
      <c r="E138" s="306"/>
      <c r="AH138" s="32"/>
      <c r="AI138" s="32"/>
    </row>
    <row r="139" spans="5:35">
      <c r="E139" s="306"/>
      <c r="AH139" s="32"/>
      <c r="AI139" s="32"/>
    </row>
    <row r="140" spans="5:35">
      <c r="E140" s="306"/>
      <c r="AH140" s="32"/>
      <c r="AI140" s="32"/>
    </row>
    <row r="141" spans="5:35">
      <c r="E141" s="306"/>
      <c r="AH141" s="32"/>
      <c r="AI141" s="32"/>
    </row>
    <row r="142" spans="5:35">
      <c r="E142" s="306"/>
    </row>
    <row r="143" spans="5:35">
      <c r="E143" s="306"/>
    </row>
    <row r="144" spans="5:35">
      <c r="E144" s="306"/>
    </row>
  </sheetData>
  <dataValidations count="2">
    <dataValidation type="list" allowBlank="1" showInputMessage="1" showErrorMessage="1" sqref="AI65 AN89 AN65 AI89">
      <formula1>#REF!</formula1>
    </dataValidation>
    <dataValidation type="list" allowBlank="1" showInputMessage="1" showErrorMessage="1" sqref="AI29 AI37 AI53 AI69 AI93 AN29 AN37 AN53 AN69 AN93">
      <formula1>"FOLLOWING,MOD_FOLLOWING,PRECEDING,MOD_PRECEEDING,NO_CHANGE"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R37"/>
  <sheetViews>
    <sheetView showGridLines="0" workbookViewId="0"/>
  </sheetViews>
  <sheetFormatPr defaultRowHeight="15"/>
  <cols>
    <col min="2" max="2" width="15.28515625" bestFit="1" customWidth="1"/>
    <col min="3" max="3" width="17" bestFit="1" customWidth="1"/>
    <col min="5" max="11" width="15.7109375" customWidth="1"/>
    <col min="13" max="13" width="19.28515625" customWidth="1"/>
    <col min="14" max="14" width="15.28515625" bestFit="1" customWidth="1"/>
    <col min="15" max="17" width="12.7109375" customWidth="1"/>
  </cols>
  <sheetData>
    <row r="2" spans="2:17">
      <c r="B2" s="348" t="s">
        <v>539</v>
      </c>
      <c r="C2" s="306"/>
      <c r="D2" s="306"/>
      <c r="E2" s="349" t="s">
        <v>544</v>
      </c>
      <c r="F2" s="306"/>
      <c r="G2" s="306"/>
      <c r="H2" s="306"/>
      <c r="I2" s="306"/>
      <c r="J2" s="306"/>
      <c r="K2" s="306"/>
    </row>
    <row r="3" spans="2:17">
      <c r="B3" s="306"/>
      <c r="C3" s="350" t="s">
        <v>548</v>
      </c>
      <c r="D3" s="306"/>
      <c r="E3" s="306"/>
      <c r="F3" s="306"/>
      <c r="G3" s="350"/>
      <c r="H3" s="306"/>
      <c r="I3" s="306"/>
      <c r="J3" s="306"/>
      <c r="K3" s="306"/>
    </row>
    <row r="4" spans="2:17">
      <c r="B4" s="26" t="s">
        <v>45</v>
      </c>
      <c r="C4" s="351" t="s">
        <v>18</v>
      </c>
      <c r="D4" s="351"/>
      <c r="E4" s="351" t="s">
        <v>45</v>
      </c>
      <c r="F4" s="26" t="s">
        <v>232</v>
      </c>
      <c r="G4" s="26" t="s">
        <v>540</v>
      </c>
      <c r="H4" s="26" t="s">
        <v>541</v>
      </c>
      <c r="I4" s="26" t="s">
        <v>34</v>
      </c>
      <c r="J4" s="26" t="s">
        <v>39</v>
      </c>
      <c r="K4" s="26" t="s">
        <v>542</v>
      </c>
      <c r="M4" s="23" t="s">
        <v>545</v>
      </c>
      <c r="N4" s="23" t="s">
        <v>84</v>
      </c>
      <c r="O4" s="23" t="s">
        <v>546</v>
      </c>
      <c r="P4" s="23" t="s">
        <v>490</v>
      </c>
      <c r="Q4" s="377" t="s">
        <v>547</v>
      </c>
    </row>
    <row r="5" spans="2:17">
      <c r="B5" s="352">
        <f ca="1">_xll.meDateFromTenor(Settings.COB,E5,"MOD_FOLLOWING","SYB:LNB","")</f>
        <v>43423</v>
      </c>
      <c r="C5" s="353">
        <f ca="1">_xll.meDateFromTenor(B5,F5,)</f>
        <v>43430</v>
      </c>
      <c r="D5" s="351"/>
      <c r="E5" s="354" t="s">
        <v>69</v>
      </c>
      <c r="F5" s="355" t="s">
        <v>227</v>
      </c>
      <c r="G5" s="397" t="s">
        <v>543</v>
      </c>
      <c r="H5" s="356" t="s">
        <v>35</v>
      </c>
      <c r="I5" s="357">
        <v>1000000</v>
      </c>
      <c r="J5" s="358">
        <v>0.01</v>
      </c>
      <c r="K5" s="359">
        <v>0</v>
      </c>
      <c r="L5" s="378">
        <v>1</v>
      </c>
      <c r="M5" s="379" t="str">
        <f ca="1">_xll.meLWOSwapCreateFromGenerator("AUDOIS"&amp;L5,G5,H5,I5,B5,C5,J5,K5,,,,,Settings.AllowCalibrationUpdates)</f>
        <v>AUDOIS1@15:0</v>
      </c>
      <c r="N5" s="380" t="s">
        <v>109</v>
      </c>
      <c r="O5" s="381">
        <f ca="1">_xll.meLWOSwapParRate(M5,N5)</f>
        <v>1.4999999989466616E-2</v>
      </c>
      <c r="P5" s="381">
        <f>'AUD CURVE'!G7</f>
        <v>1.4999999999999999E-2</v>
      </c>
      <c r="Q5" s="382">
        <f t="shared" ref="Q5:Q14" ca="1" si="0">(O5-P5)*10000</f>
        <v>-1.0533383193456203E-7</v>
      </c>
    </row>
    <row r="6" spans="2:17">
      <c r="B6" s="360">
        <f ca="1">_xll.meDateFromTenor(Settings.COB,E6,"MOD_FOLLOWING","SYB:LNB","")</f>
        <v>43423</v>
      </c>
      <c r="C6" s="361">
        <f ca="1">_xll.meDateFromTenor(B6,F6,)</f>
        <v>43453</v>
      </c>
      <c r="D6" s="306"/>
      <c r="E6" s="362" t="s">
        <v>69</v>
      </c>
      <c r="F6" s="363" t="s">
        <v>92</v>
      </c>
      <c r="G6" s="398" t="s">
        <v>543</v>
      </c>
      <c r="H6" s="364" t="s">
        <v>35</v>
      </c>
      <c r="I6" s="365">
        <v>1000000</v>
      </c>
      <c r="J6" s="366">
        <v>0.01</v>
      </c>
      <c r="K6" s="367">
        <v>0</v>
      </c>
      <c r="L6" s="378">
        <v>2</v>
      </c>
      <c r="M6" s="383" t="str">
        <f ca="1">_xll.meLWOSwapCreateFromGenerator("AUDOIS"&amp;L6,G6,H6,I6,B6,C6,J6,K6,,,,,Settings.AllowCalibrationUpdates)</f>
        <v>AUDOIS2@27:0</v>
      </c>
      <c r="N6" s="384" t="s">
        <v>109</v>
      </c>
      <c r="O6" s="289">
        <f ca="1">_xll.meLWOSwapParRate(M6,N6)</f>
        <v>1.4999999991710051E-2</v>
      </c>
      <c r="P6" s="289">
        <f>'AUD CURVE'!G8</f>
        <v>1.4999999999999999E-2</v>
      </c>
      <c r="Q6" s="385">
        <f t="shared" ca="1" si="0"/>
        <v>-8.289948588702245E-8</v>
      </c>
    </row>
    <row r="7" spans="2:17">
      <c r="B7" s="360">
        <f ca="1">_xll.meDateFromTenor(Settings.COB,E7,"MOD_FOLLOWING","SYB:LNB","")</f>
        <v>43423</v>
      </c>
      <c r="C7" s="361">
        <f ca="1">_xll.meDateFromTenor(B7,F7,)</f>
        <v>43484</v>
      </c>
      <c r="D7" s="306"/>
      <c r="E7" s="362" t="s">
        <v>69</v>
      </c>
      <c r="F7" s="363" t="s">
        <v>93</v>
      </c>
      <c r="G7" s="398" t="s">
        <v>543</v>
      </c>
      <c r="H7" s="364" t="s">
        <v>35</v>
      </c>
      <c r="I7" s="365">
        <v>1000000</v>
      </c>
      <c r="J7" s="366">
        <v>0.01</v>
      </c>
      <c r="K7" s="367">
        <v>0</v>
      </c>
      <c r="L7" s="378">
        <v>3</v>
      </c>
      <c r="M7" s="383" t="str">
        <f ca="1">_xll.meLWOSwapCreateFromGenerator("AUDOIS"&amp;L7,G7,H7,I7,B7,C7,J7,K7,,,,,Settings.AllowCalibrationUpdates)</f>
        <v>AUDOIS3@12:0</v>
      </c>
      <c r="N7" s="384" t="s">
        <v>109</v>
      </c>
      <c r="O7" s="289">
        <f ca="1">_xll.meLWOSwapParRate(M7,N7)</f>
        <v>1.499999999402451E-2</v>
      </c>
      <c r="P7" s="289">
        <f>'AUD CURVE'!G9</f>
        <v>1.4999999999999999E-2</v>
      </c>
      <c r="Q7" s="385">
        <f t="shared" ca="1" si="0"/>
        <v>-5.9754892006713689E-8</v>
      </c>
    </row>
    <row r="8" spans="2:17">
      <c r="B8" s="360">
        <f ca="1">_xll.meDateFromTenor(Settings.COB,E8,"MOD_FOLLOWING","SYB:LNB","")</f>
        <v>43423</v>
      </c>
      <c r="C8" s="361">
        <f ca="1">_xll.meDateFromTenor(B8,F8,)</f>
        <v>43515</v>
      </c>
      <c r="D8" s="306"/>
      <c r="E8" s="362" t="s">
        <v>69</v>
      </c>
      <c r="F8" s="363" t="s">
        <v>94</v>
      </c>
      <c r="G8" s="398" t="s">
        <v>543</v>
      </c>
      <c r="H8" s="364" t="s">
        <v>35</v>
      </c>
      <c r="I8" s="365">
        <v>1000000</v>
      </c>
      <c r="J8" s="366">
        <v>0.01</v>
      </c>
      <c r="K8" s="367">
        <v>0</v>
      </c>
      <c r="L8" s="378">
        <v>4</v>
      </c>
      <c r="M8" s="383" t="str">
        <f ca="1">_xll.meLWOSwapCreateFromGenerator("AUDOIS"&amp;L8,G8,H8,I8,B8,C8,J8,K8,,,,,Settings.AllowCalibrationUpdates)</f>
        <v>AUDOIS4@25:0</v>
      </c>
      <c r="N8" s="384" t="s">
        <v>109</v>
      </c>
      <c r="O8" s="289">
        <f ca="1">_xll.meLWOSwapParRate(M8,N8)</f>
        <v>1.5004999997574178E-2</v>
      </c>
      <c r="P8" s="289">
        <f>'AUD CURVE'!G10</f>
        <v>1.5004999999999999E-2</v>
      </c>
      <c r="Q8" s="385">
        <f t="shared" ca="1" si="0"/>
        <v>-2.4258216962946832E-8</v>
      </c>
    </row>
    <row r="9" spans="2:17">
      <c r="B9" s="360">
        <f ca="1">_xll.meDateFromTenor(Settings.COB,E9,"MOD_FOLLOWING","SYB:LNB","")</f>
        <v>43423</v>
      </c>
      <c r="C9" s="361">
        <f ca="1">_xll.meDateFromTenor(B9,F9,)</f>
        <v>43543</v>
      </c>
      <c r="D9" s="306"/>
      <c r="E9" s="362" t="s">
        <v>69</v>
      </c>
      <c r="F9" s="363" t="s">
        <v>228</v>
      </c>
      <c r="G9" s="398" t="s">
        <v>543</v>
      </c>
      <c r="H9" s="364" t="s">
        <v>35</v>
      </c>
      <c r="I9" s="365">
        <v>1000000</v>
      </c>
      <c r="J9" s="366">
        <v>0.01</v>
      </c>
      <c r="K9" s="367">
        <v>0</v>
      </c>
      <c r="L9" s="378">
        <v>5</v>
      </c>
      <c r="M9" s="383" t="str">
        <f ca="1">_xll.meLWOSwapCreateFromGenerator("AUDOIS"&amp;L9,G9,H9,I9,B9,C9,J9,K9,,,,,Settings.AllowCalibrationUpdates)</f>
        <v>AUDOIS5@4:0</v>
      </c>
      <c r="N9" s="384" t="s">
        <v>109</v>
      </c>
      <c r="O9" s="289">
        <f ca="1">_xll.meLWOSwapParRate(M9,N9)</f>
        <v>1.5020000007477221E-2</v>
      </c>
      <c r="P9" s="289">
        <f>'AUD CURVE'!G11</f>
        <v>1.502E-2</v>
      </c>
      <c r="Q9" s="385">
        <f t="shared" ca="1" si="0"/>
        <v>7.4772202318662551E-8</v>
      </c>
    </row>
    <row r="10" spans="2:17">
      <c r="B10" s="360">
        <f ca="1">_xll.meDateFromTenor(Settings.COB,E10,"MOD_FOLLOWING","SYB:LNB","")</f>
        <v>43423</v>
      </c>
      <c r="C10" s="361">
        <f ca="1">_xll.meDateFromTenor(B10,F10,)</f>
        <v>43574</v>
      </c>
      <c r="D10" s="306"/>
      <c r="E10" s="362" t="s">
        <v>69</v>
      </c>
      <c r="F10" s="363" t="s">
        <v>229</v>
      </c>
      <c r="G10" s="398" t="s">
        <v>543</v>
      </c>
      <c r="H10" s="364" t="s">
        <v>35</v>
      </c>
      <c r="I10" s="365">
        <v>1000000</v>
      </c>
      <c r="J10" s="366">
        <v>0.01</v>
      </c>
      <c r="K10" s="367">
        <v>0</v>
      </c>
      <c r="L10" s="378">
        <v>6</v>
      </c>
      <c r="M10" s="383" t="str">
        <f ca="1">_xll.meLWOSwapCreateFromGenerator("AUDOIS"&amp;L10,G10,H10,I10,B10,C10,J10,K10,,,,,Settings.AllowCalibrationUpdates)</f>
        <v>AUDOIS6@29:0</v>
      </c>
      <c r="N10" s="384" t="s">
        <v>109</v>
      </c>
      <c r="O10" s="289">
        <f ca="1">_xll.meLWOSwapParRate(M10,N10)</f>
        <v>1.5037499993029259E-2</v>
      </c>
      <c r="P10" s="289">
        <f>'AUD CURVE'!G12</f>
        <v>1.5037499999999999E-2</v>
      </c>
      <c r="Q10" s="385">
        <f t="shared" ca="1" si="0"/>
        <v>-6.9707399574792106E-8</v>
      </c>
    </row>
    <row r="11" spans="2:17">
      <c r="B11" s="360">
        <f ca="1">_xll.meDateFromTenor(Settings.COB,E11,"MOD_FOLLOWING","SYB:LNB","")</f>
        <v>43423</v>
      </c>
      <c r="C11" s="361">
        <f ca="1">_xll.meDateFromTenor(B11,F11,)</f>
        <v>43604</v>
      </c>
      <c r="D11" s="306"/>
      <c r="E11" s="362" t="s">
        <v>69</v>
      </c>
      <c r="F11" s="363" t="s">
        <v>95</v>
      </c>
      <c r="G11" s="398" t="s">
        <v>543</v>
      </c>
      <c r="H11" s="364" t="s">
        <v>35</v>
      </c>
      <c r="I11" s="365">
        <v>1000000</v>
      </c>
      <c r="J11" s="366">
        <v>0.01</v>
      </c>
      <c r="K11" s="367">
        <v>0</v>
      </c>
      <c r="L11" s="378">
        <v>7</v>
      </c>
      <c r="M11" s="383" t="str">
        <f ca="1">_xll.meLWOSwapCreateFromGenerator("AUDOIS"&amp;L11,G11,H11,I11,B11,C11,J11,K11,,,,,Settings.AllowCalibrationUpdates)</f>
        <v>AUDOIS7@3:0</v>
      </c>
      <c r="N11" s="384" t="s">
        <v>109</v>
      </c>
      <c r="O11" s="289">
        <f ca="1">_xll.meLWOSwapParRate(M11,N11)</f>
        <v>1.5079999999899256E-2</v>
      </c>
      <c r="P11" s="289">
        <f>'AUD CURVE'!G13</f>
        <v>1.508E-2</v>
      </c>
      <c r="Q11" s="385">
        <f t="shared" ca="1" si="0"/>
        <v>-1.0074406586735307E-9</v>
      </c>
    </row>
    <row r="12" spans="2:17">
      <c r="B12" s="360">
        <f ca="1">_xll.meDateFromTenor(Settings.COB,E12,"MOD_FOLLOWING","SYB:LNB","")</f>
        <v>43423</v>
      </c>
      <c r="C12" s="361">
        <f ca="1">_xll.meDateFromTenor(B12,F12,)</f>
        <v>43696</v>
      </c>
      <c r="D12" s="306"/>
      <c r="E12" s="362" t="s">
        <v>69</v>
      </c>
      <c r="F12" s="363" t="s">
        <v>230</v>
      </c>
      <c r="G12" s="398" t="s">
        <v>543</v>
      </c>
      <c r="H12" s="364" t="s">
        <v>35</v>
      </c>
      <c r="I12" s="365">
        <v>1000000</v>
      </c>
      <c r="J12" s="366">
        <v>0.01</v>
      </c>
      <c r="K12" s="367">
        <v>0</v>
      </c>
      <c r="L12" s="378">
        <v>8</v>
      </c>
      <c r="M12" s="383" t="str">
        <f ca="1">_xll.meLWOSwapCreateFromGenerator("AUDOIS"&amp;L12,G12,H12,I12,B12,C12,J12,K12,,,,,Settings.AllowCalibrationUpdates)</f>
        <v>AUDOIS8@22:0</v>
      </c>
      <c r="N12" s="384" t="s">
        <v>109</v>
      </c>
      <c r="O12" s="289">
        <f ca="1">_xll.meLWOSwapParRate(M12,N12)</f>
        <v>1.5225000002872998E-2</v>
      </c>
      <c r="P12" s="289">
        <f>'AUD CURVE'!G14</f>
        <v>1.5224999999999999E-2</v>
      </c>
      <c r="Q12" s="385">
        <f t="shared" ca="1" si="0"/>
        <v>2.8729987139319846E-8</v>
      </c>
    </row>
    <row r="13" spans="2:17">
      <c r="B13" s="360">
        <f ca="1">_xll.meDateFromTenor(Settings.COB,E13,"MOD_FOLLOWING","SYB:LNB","")</f>
        <v>43423</v>
      </c>
      <c r="C13" s="361">
        <f ca="1">_xll.meDateFromTenor(B13,F13,)</f>
        <v>43788</v>
      </c>
      <c r="D13" s="306"/>
      <c r="E13" s="362" t="s">
        <v>69</v>
      </c>
      <c r="F13" s="363" t="s">
        <v>187</v>
      </c>
      <c r="G13" s="398" t="s">
        <v>543</v>
      </c>
      <c r="H13" s="364" t="s">
        <v>35</v>
      </c>
      <c r="I13" s="365">
        <v>1000000</v>
      </c>
      <c r="J13" s="366">
        <v>0.01</v>
      </c>
      <c r="K13" s="367">
        <v>0</v>
      </c>
      <c r="L13" s="378">
        <v>9</v>
      </c>
      <c r="M13" s="383" t="str">
        <f ca="1">_xll.meLWOSwapCreateFromGenerator("AUDOIS"&amp;L13,G13,H13,I13,B13,C13,J13,K13,,,,,Settings.AllowCalibrationUpdates)</f>
        <v>AUDOIS9@26:0</v>
      </c>
      <c r="N13" s="384" t="s">
        <v>109</v>
      </c>
      <c r="O13" s="289">
        <f ca="1">_xll.meLWOSwapParRate(M13,N13)</f>
        <v>1.5474999987863877E-2</v>
      </c>
      <c r="P13" s="289">
        <f>'AUD CURVE'!G15</f>
        <v>1.5475000000000001E-2</v>
      </c>
      <c r="Q13" s="385">
        <f t="shared" ca="1" si="0"/>
        <v>-1.2136123703210266E-7</v>
      </c>
    </row>
    <row r="14" spans="2:17">
      <c r="B14" s="368">
        <f ca="1">_xll.meDateFromTenor(Settings.COB,E14,"MOD_FOLLOWING","SYB:LNB","")</f>
        <v>43423</v>
      </c>
      <c r="C14" s="369">
        <f ca="1">_xll.meDateFromTenor(B14,F14,)</f>
        <v>44154</v>
      </c>
      <c r="D14" s="306"/>
      <c r="E14" s="370" t="s">
        <v>69</v>
      </c>
      <c r="F14" s="371" t="s">
        <v>172</v>
      </c>
      <c r="G14" s="399" t="s">
        <v>543</v>
      </c>
      <c r="H14" s="372" t="s">
        <v>35</v>
      </c>
      <c r="I14" s="373">
        <v>1000000</v>
      </c>
      <c r="J14" s="374">
        <v>0.01</v>
      </c>
      <c r="K14" s="375">
        <v>0</v>
      </c>
      <c r="L14" s="378">
        <v>10</v>
      </c>
      <c r="M14" s="386" t="str">
        <f ca="1">_xll.meLWOSwapCreateFromGenerator("AUDOIS"&amp;L14,G14,H14,I14,B14,C14,J14,K14,,,,,Settings.AllowCalibrationUpdates)</f>
        <v>AUDOIS10@11:0</v>
      </c>
      <c r="N14" s="387" t="s">
        <v>109</v>
      </c>
      <c r="O14" s="388">
        <f ca="1">_xll.meLWOSwapParRate(M14,N14)</f>
        <v>1.6749999982325587E-2</v>
      </c>
      <c r="P14" s="388">
        <f>'AUD CURVE'!G16</f>
        <v>1.6750000000000001E-2</v>
      </c>
      <c r="Q14" s="389">
        <f t="shared" ca="1" si="0"/>
        <v>-1.7674414015678153E-7</v>
      </c>
    </row>
    <row r="15" spans="2:17">
      <c r="Q15" s="22"/>
    </row>
    <row r="16" spans="2:17">
      <c r="Q16" s="22"/>
    </row>
    <row r="17" spans="2:17">
      <c r="B17" s="348" t="s">
        <v>539</v>
      </c>
      <c r="C17" s="306"/>
      <c r="D17" s="306"/>
      <c r="E17" s="349" t="s">
        <v>549</v>
      </c>
      <c r="F17" s="306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22"/>
    </row>
    <row r="18" spans="2:17">
      <c r="B18" s="306"/>
      <c r="C18" s="350" t="s">
        <v>548</v>
      </c>
      <c r="D18" s="306"/>
      <c r="E18" s="306"/>
      <c r="F18" s="306"/>
      <c r="G18" s="350"/>
      <c r="H18" s="306"/>
      <c r="I18" s="306"/>
      <c r="J18" s="306"/>
      <c r="K18" s="306"/>
      <c r="L18" s="306"/>
      <c r="M18" s="306"/>
      <c r="N18" s="306"/>
      <c r="O18" s="306"/>
      <c r="P18" s="306"/>
      <c r="Q18" s="22"/>
    </row>
    <row r="19" spans="2:17">
      <c r="B19" s="26" t="s">
        <v>45</v>
      </c>
      <c r="C19" s="351" t="s">
        <v>18</v>
      </c>
      <c r="D19" s="351"/>
      <c r="E19" s="351" t="s">
        <v>45</v>
      </c>
      <c r="F19" s="26" t="s">
        <v>232</v>
      </c>
      <c r="G19" s="26" t="s">
        <v>540</v>
      </c>
      <c r="H19" s="26" t="s">
        <v>541</v>
      </c>
      <c r="I19" s="26" t="s">
        <v>34</v>
      </c>
      <c r="J19" s="26" t="s">
        <v>39</v>
      </c>
      <c r="K19" s="26" t="s">
        <v>542</v>
      </c>
      <c r="L19" s="306"/>
      <c r="M19" s="23" t="s">
        <v>545</v>
      </c>
      <c r="N19" s="23" t="s">
        <v>84</v>
      </c>
      <c r="O19" s="23" t="s">
        <v>546</v>
      </c>
      <c r="P19" s="23" t="s">
        <v>490</v>
      </c>
      <c r="Q19" s="392" t="s">
        <v>547</v>
      </c>
    </row>
    <row r="20" spans="2:17">
      <c r="B20" s="352">
        <f ca="1">_xll.meDateFromTenor(Settings.COB,E20,"MOD_FOLLOWING","SYB:LNB","")</f>
        <v>43423</v>
      </c>
      <c r="C20" s="353">
        <f ca="1">_xll.meDateFromTenor(B20,F20,)</f>
        <v>44154</v>
      </c>
      <c r="D20" s="351"/>
      <c r="E20" s="354" t="s">
        <v>69</v>
      </c>
      <c r="F20" s="355" t="s">
        <v>172</v>
      </c>
      <c r="G20" s="393" t="s">
        <v>550</v>
      </c>
      <c r="H20" s="356" t="s">
        <v>35</v>
      </c>
      <c r="I20" s="357">
        <v>1000000</v>
      </c>
      <c r="J20" s="358">
        <v>0.01</v>
      </c>
      <c r="K20" s="359">
        <v>0</v>
      </c>
      <c r="L20" s="378">
        <v>1</v>
      </c>
      <c r="M20" s="379" t="str">
        <f ca="1">_xll.meLWOSwapCreateFromGenerator("AUDIRS"&amp;L20,G20,H20,I20,B20,C20,J20,K20,,,,,Settings.AllowCalibrationUpdates)</f>
        <v>AUDIRS1@6:0</v>
      </c>
      <c r="N20" s="380" t="s">
        <v>109</v>
      </c>
      <c r="O20" s="381">
        <f ca="1">_xll.meLWOSwapParRate(M20,N20)</f>
        <v>2.0862500000000034E-2</v>
      </c>
      <c r="P20" s="381">
        <f>'AUD CURVE'!S39</f>
        <v>2.0862500000000003E-2</v>
      </c>
      <c r="Q20" s="382">
        <f t="shared" ref="Q20:Q27" ca="1" si="1">(O20-P20)*10000</f>
        <v>3.1225022567582528E-13</v>
      </c>
    </row>
    <row r="21" spans="2:17">
      <c r="B21" s="360">
        <f ca="1">_xll.meDateFromTenor(Settings.COB,E21,"MOD_FOLLOWING","SYB:LNB","")</f>
        <v>43423</v>
      </c>
      <c r="C21" s="361">
        <f ca="1">_xll.meDateFromTenor(B21,F21,)</f>
        <v>44519</v>
      </c>
      <c r="D21" s="306"/>
      <c r="E21" s="362" t="s">
        <v>69</v>
      </c>
      <c r="F21" s="363" t="s">
        <v>173</v>
      </c>
      <c r="G21" s="394" t="s">
        <v>550</v>
      </c>
      <c r="H21" s="364" t="s">
        <v>35</v>
      </c>
      <c r="I21" s="365">
        <v>1000000</v>
      </c>
      <c r="J21" s="366">
        <v>0.01</v>
      </c>
      <c r="K21" s="367">
        <v>0</v>
      </c>
      <c r="L21" s="378">
        <v>2</v>
      </c>
      <c r="M21" s="383" t="str">
        <f ca="1">_xll.meLWOSwapCreateFromGenerator("AUDIRS"&amp;L21,G21,H21,I21,B21,C21,J21,K21,,,,,Settings.AllowCalibrationUpdates)</f>
        <v>AUDIRS2@30:0</v>
      </c>
      <c r="N21" s="384" t="s">
        <v>109</v>
      </c>
      <c r="O21" s="289">
        <f ca="1">_xll.meLWOSwapParRate(M21,N21)</f>
        <v>2.1887499999999994E-2</v>
      </c>
      <c r="P21" s="289">
        <f>'AUD CURVE'!S40</f>
        <v>2.1887500000000001E-2</v>
      </c>
      <c r="Q21" s="385">
        <f t="shared" ca="1" si="1"/>
        <v>-6.9388939039072284E-14</v>
      </c>
    </row>
    <row r="22" spans="2:17">
      <c r="B22" s="360">
        <f ca="1">_xll.meDateFromTenor(Settings.COB,E22,"MOD_FOLLOWING","SYB:LNB","")</f>
        <v>43423</v>
      </c>
      <c r="C22" s="361">
        <f ca="1">_xll.meDateFromTenor(B22,F22,)</f>
        <v>43788</v>
      </c>
      <c r="D22" s="306"/>
      <c r="E22" s="362" t="s">
        <v>69</v>
      </c>
      <c r="F22" s="363" t="s">
        <v>187</v>
      </c>
      <c r="G22" s="395" t="s">
        <v>551</v>
      </c>
      <c r="H22" s="364" t="s">
        <v>35</v>
      </c>
      <c r="I22" s="365">
        <v>1000000</v>
      </c>
      <c r="J22" s="366">
        <v>0.01</v>
      </c>
      <c r="K22" s="367">
        <v>0</v>
      </c>
      <c r="L22" s="378">
        <v>3</v>
      </c>
      <c r="M22" s="383" t="str">
        <f ca="1">_xll.meLWOSwapCreateFromGenerator("AUDIRS"&amp;L22,G22,H22,I22,B22,C22,J22,K22,,,,,Settings.AllowCalibrationUpdates)</f>
        <v>AUDIRS3@18:0</v>
      </c>
      <c r="N22" s="384" t="s">
        <v>109</v>
      </c>
      <c r="O22" s="289">
        <f ca="1">_xll.meLWOSwapParRate(M22,N22)</f>
        <v>2.145000000000017E-2</v>
      </c>
      <c r="P22" s="289">
        <f>'AUD CURVE'!S73</f>
        <v>2.145E-2</v>
      </c>
      <c r="Q22" s="385">
        <f t="shared" ca="1" si="1"/>
        <v>1.700029006457271E-12</v>
      </c>
    </row>
    <row r="23" spans="2:17">
      <c r="B23" s="360">
        <f ca="1">_xll.meDateFromTenor(Settings.COB,E23,"MOD_FOLLOWING","SYB:LNB","")</f>
        <v>43423</v>
      </c>
      <c r="C23" s="361">
        <f ca="1">_xll.meDateFromTenor(B23,F23,)</f>
        <v>44154</v>
      </c>
      <c r="D23" s="306"/>
      <c r="E23" s="362" t="s">
        <v>69</v>
      </c>
      <c r="F23" s="363" t="s">
        <v>172</v>
      </c>
      <c r="G23" s="395" t="s">
        <v>551</v>
      </c>
      <c r="H23" s="364" t="s">
        <v>35</v>
      </c>
      <c r="I23" s="365">
        <v>1000000</v>
      </c>
      <c r="J23" s="366">
        <v>0.01</v>
      </c>
      <c r="K23" s="367">
        <v>0</v>
      </c>
      <c r="L23" s="378">
        <v>4</v>
      </c>
      <c r="M23" s="383" t="str">
        <f ca="1">_xll.meLWOSwapCreateFromGenerator("AUDIRS"&amp;L23,G23,H23,I23,B23,C23,J23,K23,,,,,Settings.AllowCalibrationUpdates)</f>
        <v>AUDIRS4@13:0</v>
      </c>
      <c r="N23" s="384" t="s">
        <v>109</v>
      </c>
      <c r="O23" s="289">
        <f ca="1">_xll.meLWOSwapParRate(M23,N23)</f>
        <v>2.2470000000000045E-2</v>
      </c>
      <c r="P23" s="289">
        <f>'AUD CURVE'!S74</f>
        <v>2.247E-2</v>
      </c>
      <c r="Q23" s="385">
        <f t="shared" ca="1" si="1"/>
        <v>4.5102810375396984E-13</v>
      </c>
    </row>
    <row r="24" spans="2:17">
      <c r="B24" s="360">
        <f ca="1">_xll.meDateFromTenor(Settings.COB,E24,"MOD_FOLLOWING","SYB:LNB","")</f>
        <v>43423</v>
      </c>
      <c r="C24" s="361">
        <f ca="1">_xll.meDateFromTenor(B24,F24,)</f>
        <v>44519</v>
      </c>
      <c r="D24" s="306"/>
      <c r="E24" s="362" t="s">
        <v>69</v>
      </c>
      <c r="F24" s="363" t="s">
        <v>173</v>
      </c>
      <c r="G24" s="395" t="s">
        <v>551</v>
      </c>
      <c r="H24" s="364" t="s">
        <v>35</v>
      </c>
      <c r="I24" s="365">
        <v>1000000</v>
      </c>
      <c r="J24" s="366">
        <v>0.01</v>
      </c>
      <c r="K24" s="367">
        <v>0</v>
      </c>
      <c r="L24" s="378">
        <v>5</v>
      </c>
      <c r="M24" s="383" t="str">
        <f ca="1">_xll.meLWOSwapCreateFromGenerator("AUDIRS"&amp;L24,G24,H24,I24,B24,C24,J24,K24,,,,,Settings.AllowCalibrationUpdates)</f>
        <v>AUDIRS5@7:0</v>
      </c>
      <c r="N24" s="384" t="s">
        <v>109</v>
      </c>
      <c r="O24" s="289">
        <f ca="1">_xll.meLWOSwapParRate(M24,N24)</f>
        <v>2.3450000000000155E-2</v>
      </c>
      <c r="P24" s="289">
        <f>'AUD CURVE'!S75</f>
        <v>2.3450000000000002E-2</v>
      </c>
      <c r="Q24" s="385">
        <f t="shared" ca="1" si="1"/>
        <v>1.5265566588595902E-12</v>
      </c>
    </row>
    <row r="25" spans="2:17">
      <c r="B25" s="360">
        <f ca="1">_xll.meDateFromTenor(Settings.COB,E25,"MOD_FOLLOWING","SYB:LNB","")</f>
        <v>43423</v>
      </c>
      <c r="C25" s="361">
        <f ca="1">_xll.meDateFromTenor(B25,F25,)</f>
        <v>44884</v>
      </c>
      <c r="D25" s="306"/>
      <c r="E25" s="362" t="s">
        <v>69</v>
      </c>
      <c r="F25" s="363" t="s">
        <v>174</v>
      </c>
      <c r="G25" s="395" t="s">
        <v>551</v>
      </c>
      <c r="H25" s="364" t="s">
        <v>35</v>
      </c>
      <c r="I25" s="365">
        <v>1000000</v>
      </c>
      <c r="J25" s="366">
        <v>0.01</v>
      </c>
      <c r="K25" s="367">
        <v>0</v>
      </c>
      <c r="L25" s="378">
        <v>6</v>
      </c>
      <c r="M25" s="383" t="str">
        <f ca="1">_xll.meLWOSwapCreateFromGenerator("AUDIRS"&amp;L25,G25,H25,I25,B25,C25,J25,K25,,,,,Settings.AllowCalibrationUpdates)</f>
        <v>AUDIRS6@8:0</v>
      </c>
      <c r="N25" s="384" t="s">
        <v>109</v>
      </c>
      <c r="O25" s="289">
        <f ca="1">_xll.meLWOSwapParRate(M25,N25)</f>
        <v>2.4400000000000133E-2</v>
      </c>
      <c r="P25" s="289">
        <f>'AUD CURVE'!S76</f>
        <v>2.4399999999999998E-2</v>
      </c>
      <c r="Q25" s="385">
        <f t="shared" ca="1" si="1"/>
        <v>1.3530843112619095E-12</v>
      </c>
    </row>
    <row r="26" spans="2:17">
      <c r="B26" s="360">
        <f ca="1">_xll.meDateFromTenor(Settings.COB,E26,"MOD_FOLLOWING","SYB:LNB","")</f>
        <v>43423</v>
      </c>
      <c r="C26" s="361">
        <f ca="1">_xll.meDateFromTenor(B26,F26,)</f>
        <v>45249</v>
      </c>
      <c r="D26" s="306"/>
      <c r="E26" s="362" t="s">
        <v>69</v>
      </c>
      <c r="F26" s="363" t="s">
        <v>175</v>
      </c>
      <c r="G26" s="395" t="s">
        <v>551</v>
      </c>
      <c r="H26" s="364" t="s">
        <v>35</v>
      </c>
      <c r="I26" s="365">
        <v>1000000</v>
      </c>
      <c r="J26" s="366">
        <v>0.01</v>
      </c>
      <c r="K26" s="367">
        <v>0</v>
      </c>
      <c r="L26" s="378">
        <v>7</v>
      </c>
      <c r="M26" s="383" t="str">
        <f ca="1">_xll.meLWOSwapCreateFromGenerator("AUDIRS"&amp;L26,G26,H26,I26,B26,C26,J26,K26,,,,,Settings.AllowCalibrationUpdates)</f>
        <v>AUDIRS7@19:0</v>
      </c>
      <c r="N26" s="384" t="s">
        <v>109</v>
      </c>
      <c r="O26" s="289">
        <f ca="1">_xll.meLWOSwapParRate(M26,N26)</f>
        <v>2.5312500000000179E-2</v>
      </c>
      <c r="P26" s="289">
        <f>'AUD CURVE'!S77</f>
        <v>2.5312500000000002E-2</v>
      </c>
      <c r="Q26" s="385">
        <f t="shared" ca="1" si="1"/>
        <v>1.7694179454963432E-12</v>
      </c>
    </row>
    <row r="27" spans="2:17">
      <c r="B27" s="360">
        <f ca="1">_xll.meDateFromTenor(Settings.COB,E27,"MOD_FOLLOWING","SYB:LNB","")</f>
        <v>43423</v>
      </c>
      <c r="C27" s="361">
        <f ca="1">_xll.meDateFromTenor(B27,F27,)</f>
        <v>45615</v>
      </c>
      <c r="D27" s="306"/>
      <c r="E27" s="362" t="s">
        <v>69</v>
      </c>
      <c r="F27" s="363" t="s">
        <v>176</v>
      </c>
      <c r="G27" s="395" t="s">
        <v>551</v>
      </c>
      <c r="H27" s="364" t="s">
        <v>35</v>
      </c>
      <c r="I27" s="365">
        <v>1000000</v>
      </c>
      <c r="J27" s="366">
        <v>0.01</v>
      </c>
      <c r="K27" s="367">
        <v>0</v>
      </c>
      <c r="L27" s="378">
        <v>8</v>
      </c>
      <c r="M27" s="383" t="str">
        <f ca="1">_xll.meLWOSwapCreateFromGenerator("AUDIRS"&amp;L27,G27,H27,I27,B27,C27,J27,K27,,,,,Settings.AllowCalibrationUpdates)</f>
        <v>AUDIRS8@9:0</v>
      </c>
      <c r="N27" s="384" t="s">
        <v>109</v>
      </c>
      <c r="O27" s="289">
        <f ca="1">_xll.meLWOSwapParRate(M27,N27)</f>
        <v>2.6162500000000144E-2</v>
      </c>
      <c r="P27" s="289">
        <f>'AUD CURVE'!S78</f>
        <v>2.6162499999999998E-2</v>
      </c>
      <c r="Q27" s="385">
        <f t="shared" ca="1" si="1"/>
        <v>1.457167719820518E-12</v>
      </c>
    </row>
    <row r="28" spans="2:17">
      <c r="B28" s="360">
        <f ca="1">_xll.meDateFromTenor(Settings.COB,E28,"MOD_FOLLOWING","SYB:LNB","")</f>
        <v>43423</v>
      </c>
      <c r="C28" s="361">
        <f ca="1">_xll.meDateFromTenor(B28,F28,)</f>
        <v>45980</v>
      </c>
      <c r="D28" s="306"/>
      <c r="E28" s="362" t="s">
        <v>69</v>
      </c>
      <c r="F28" s="363" t="s">
        <v>177</v>
      </c>
      <c r="G28" s="395" t="s">
        <v>551</v>
      </c>
      <c r="H28" s="364" t="s">
        <v>35</v>
      </c>
      <c r="I28" s="365">
        <v>1000000</v>
      </c>
      <c r="J28" s="366">
        <v>0.01</v>
      </c>
      <c r="K28" s="367">
        <v>0</v>
      </c>
      <c r="L28" s="378">
        <v>9</v>
      </c>
      <c r="M28" s="383" t="str">
        <f ca="1">_xll.meLWOSwapCreateFromGenerator("AUDIRS"&amp;L28,G28,H28,I28,B28,C28,J28,K28,,,,,Settings.AllowCalibrationUpdates)</f>
        <v>AUDIRS9@28:0</v>
      </c>
      <c r="N28" s="384" t="s">
        <v>109</v>
      </c>
      <c r="O28" s="289">
        <f ca="1">_xll.meLWOSwapParRate(M28,N28)</f>
        <v>2.6925000000000143E-2</v>
      </c>
      <c r="P28" s="289">
        <f>'AUD CURVE'!S79</f>
        <v>2.6924999999999998E-2</v>
      </c>
      <c r="Q28" s="385">
        <f t="shared" ref="Q28:Q33" ca="1" si="2">(O28-P28)*10000</f>
        <v>1.457167719820518E-12</v>
      </c>
    </row>
    <row r="29" spans="2:17">
      <c r="B29" s="360">
        <f ca="1">_xll.meDateFromTenor(Settings.COB,E29,"MOD_FOLLOWING","SYB:LNB","")</f>
        <v>43423</v>
      </c>
      <c r="C29" s="361">
        <f ca="1">_xll.meDateFromTenor(B29,F29,)</f>
        <v>46345</v>
      </c>
      <c r="D29" s="306"/>
      <c r="E29" s="362" t="s">
        <v>69</v>
      </c>
      <c r="F29" s="363" t="s">
        <v>178</v>
      </c>
      <c r="G29" s="395" t="s">
        <v>551</v>
      </c>
      <c r="H29" s="364" t="s">
        <v>35</v>
      </c>
      <c r="I29" s="365">
        <v>1000000</v>
      </c>
      <c r="J29" s="366">
        <v>0.01</v>
      </c>
      <c r="K29" s="367">
        <v>0</v>
      </c>
      <c r="L29" s="378">
        <v>10</v>
      </c>
      <c r="M29" s="383" t="str">
        <f ca="1">_xll.meLWOSwapCreateFromGenerator("AUDIRS"&amp;L29,G29,H29,I29,B29,C29,J29,K29,,,,,Settings.AllowCalibrationUpdates)</f>
        <v>AUDIRS10@16:0</v>
      </c>
      <c r="N29" s="384" t="s">
        <v>109</v>
      </c>
      <c r="O29" s="289">
        <f ca="1">_xll.meLWOSwapParRate(M29,N29)</f>
        <v>2.7600000000000104E-2</v>
      </c>
      <c r="P29" s="289">
        <f>'AUD CURVE'!S80</f>
        <v>2.76E-2</v>
      </c>
      <c r="Q29" s="385">
        <f t="shared" ca="1" si="2"/>
        <v>1.0408340855860843E-12</v>
      </c>
    </row>
    <row r="30" spans="2:17">
      <c r="B30" s="360">
        <f ca="1">_xll.meDateFromTenor(Settings.COB,E30,"MOD_FOLLOWING","SYB:LNB","")</f>
        <v>43423</v>
      </c>
      <c r="C30" s="361">
        <f ca="1">_xll.meDateFromTenor(B30,F30,)</f>
        <v>46710</v>
      </c>
      <c r="D30" s="306"/>
      <c r="E30" s="362" t="s">
        <v>69</v>
      </c>
      <c r="F30" s="363" t="s">
        <v>179</v>
      </c>
      <c r="G30" s="395" t="s">
        <v>551</v>
      </c>
      <c r="H30" s="364" t="s">
        <v>35</v>
      </c>
      <c r="I30" s="365">
        <v>1000000</v>
      </c>
      <c r="J30" s="366">
        <v>0.01</v>
      </c>
      <c r="K30" s="367">
        <v>0</v>
      </c>
      <c r="L30" s="378">
        <v>11</v>
      </c>
      <c r="M30" s="383" t="str">
        <f ca="1">_xll.meLWOSwapCreateFromGenerator("AUDIRS"&amp;L30,G30,H30,I30,B30,C30,J30,K30,,,,,Settings.AllowCalibrationUpdates)</f>
        <v>AUDIRS11@17:0</v>
      </c>
      <c r="N30" s="384" t="s">
        <v>109</v>
      </c>
      <c r="O30" s="289">
        <f ca="1">_xll.meLWOSwapParRate(M30,N30)</f>
        <v>2.8187500000000115E-2</v>
      </c>
      <c r="P30" s="289">
        <f>'AUD CURVE'!S81</f>
        <v>2.8187500000000001E-2</v>
      </c>
      <c r="Q30" s="385">
        <f t="shared" ca="1" si="2"/>
        <v>1.1449174941446927E-12</v>
      </c>
    </row>
    <row r="31" spans="2:17">
      <c r="B31" s="360">
        <f ca="1">_xll.meDateFromTenor(Settings.COB,E31,"MOD_FOLLOWING","SYB:LNB","")</f>
        <v>43423</v>
      </c>
      <c r="C31" s="361">
        <f ca="1">_xll.meDateFromTenor(B31,F31,)</f>
        <v>47076</v>
      </c>
      <c r="D31" s="306"/>
      <c r="E31" s="362" t="s">
        <v>69</v>
      </c>
      <c r="F31" s="363" t="s">
        <v>181</v>
      </c>
      <c r="G31" s="395" t="s">
        <v>551</v>
      </c>
      <c r="H31" s="364" t="s">
        <v>35</v>
      </c>
      <c r="I31" s="365">
        <v>1000000</v>
      </c>
      <c r="J31" s="366">
        <v>0.01</v>
      </c>
      <c r="K31" s="367">
        <v>0</v>
      </c>
      <c r="L31" s="378">
        <v>12</v>
      </c>
      <c r="M31" s="383" t="str">
        <f ca="1">_xll.meLWOSwapCreateFromGenerator("AUDIRS"&amp;L31,G31,H31,I31,B31,C31,J31,K31,,,,,Settings.AllowCalibrationUpdates)</f>
        <v>AUDIRS12@24:0</v>
      </c>
      <c r="N31" s="384" t="s">
        <v>109</v>
      </c>
      <c r="O31" s="289">
        <f ca="1">_xll.meLWOSwapParRate(M31,N31)</f>
        <v>2.8712500000000103E-2</v>
      </c>
      <c r="P31" s="289">
        <f>'AUD CURVE'!S82</f>
        <v>2.8712499999999998E-2</v>
      </c>
      <c r="Q31" s="385">
        <f t="shared" ca="1" si="2"/>
        <v>1.0408340855860843E-12</v>
      </c>
    </row>
    <row r="32" spans="2:17">
      <c r="B32" s="360">
        <f ca="1">_xll.meDateFromTenor(Settings.COB,E32,"MOD_FOLLOWING","SYB:LNB","")</f>
        <v>43423</v>
      </c>
      <c r="C32" s="361">
        <f ca="1">_xll.meDateFromTenor(B32,F32,)</f>
        <v>47806</v>
      </c>
      <c r="D32" s="306"/>
      <c r="E32" s="362" t="s">
        <v>69</v>
      </c>
      <c r="F32" s="363" t="s">
        <v>180</v>
      </c>
      <c r="G32" s="395" t="s">
        <v>551</v>
      </c>
      <c r="H32" s="364" t="s">
        <v>35</v>
      </c>
      <c r="I32" s="365">
        <v>1000000</v>
      </c>
      <c r="J32" s="366">
        <v>0.01</v>
      </c>
      <c r="K32" s="367">
        <v>0</v>
      </c>
      <c r="L32" s="378">
        <v>13</v>
      </c>
      <c r="M32" s="383" t="str">
        <f ca="1">_xll.meLWOSwapCreateFromGenerator("AUDIRS"&amp;L32,G32,H32,I32,B32,C32,J32,K32,,,,,Settings.AllowCalibrationUpdates)</f>
        <v>AUDIRS13@10:0</v>
      </c>
      <c r="N32" s="384" t="s">
        <v>109</v>
      </c>
      <c r="O32" s="289">
        <f ca="1">_xll.meLWOSwapParRate(M32,N32)</f>
        <v>2.9637500000000108E-2</v>
      </c>
      <c r="P32" s="289">
        <f>'AUD CURVE'!S83</f>
        <v>2.9637500000000001E-2</v>
      </c>
      <c r="Q32" s="385">
        <f t="shared" ca="1" si="2"/>
        <v>1.0755285551056204E-12</v>
      </c>
    </row>
    <row r="33" spans="2:18">
      <c r="B33" s="360">
        <f ca="1">_xll.meDateFromTenor(Settings.COB,E33,"MOD_FOLLOWING","SYB:LNB","")</f>
        <v>43423</v>
      </c>
      <c r="C33" s="361">
        <f ca="1">_xll.meDateFromTenor(B33,F33,)</f>
        <v>48902</v>
      </c>
      <c r="D33" s="306"/>
      <c r="E33" s="362" t="s">
        <v>69</v>
      </c>
      <c r="F33" s="363" t="s">
        <v>182</v>
      </c>
      <c r="G33" s="395" t="s">
        <v>551</v>
      </c>
      <c r="H33" s="364" t="s">
        <v>35</v>
      </c>
      <c r="I33" s="365">
        <v>1000000</v>
      </c>
      <c r="J33" s="366">
        <v>0.01</v>
      </c>
      <c r="K33" s="367">
        <v>0</v>
      </c>
      <c r="L33" s="378">
        <v>14</v>
      </c>
      <c r="M33" s="383" t="str">
        <f ca="1">_xll.meLWOSwapCreateFromGenerator("AUDIRS"&amp;L33,G33,H33,I33,B33,C33,J33,K33,,,,,Settings.AllowCalibrationUpdates)</f>
        <v>AUDIRS14@23:0</v>
      </c>
      <c r="N33" s="384" t="s">
        <v>109</v>
      </c>
      <c r="O33" s="289">
        <f ca="1">_xll.meLWOSwapParRate(M33,N33)</f>
        <v>3.0587500000000111E-2</v>
      </c>
      <c r="P33" s="289">
        <f>'AUD CURVE'!S84</f>
        <v>3.05875E-2</v>
      </c>
      <c r="Q33" s="385">
        <f t="shared" ca="1" si="2"/>
        <v>1.1102230246251565E-12</v>
      </c>
    </row>
    <row r="34" spans="2:18">
      <c r="B34" s="360">
        <f ca="1">_xll.meDateFromTenor(Settings.COB,E34,"MOD_FOLLOWING","SYB:LNB","")</f>
        <v>43423</v>
      </c>
      <c r="C34" s="361">
        <f ca="1">_xll.meDateFromTenor(B34,F34,)</f>
        <v>50728</v>
      </c>
      <c r="D34" s="306"/>
      <c r="E34" s="362" t="s">
        <v>69</v>
      </c>
      <c r="F34" s="363" t="s">
        <v>183</v>
      </c>
      <c r="G34" s="395" t="s">
        <v>551</v>
      </c>
      <c r="H34" s="364" t="s">
        <v>35</v>
      </c>
      <c r="I34" s="365">
        <v>1000000</v>
      </c>
      <c r="J34" s="366">
        <v>0.01</v>
      </c>
      <c r="K34" s="367">
        <v>0</v>
      </c>
      <c r="L34" s="378">
        <v>15</v>
      </c>
      <c r="M34" s="383" t="str">
        <f ca="1">_xll.meLWOSwapCreateFromGenerator("AUDIRS"&amp;L34,G34,H34,I34,B34,C34,J34,K34,,,,,Settings.AllowCalibrationUpdates)</f>
        <v>AUDIRS15@21:0</v>
      </c>
      <c r="N34" s="384" t="s">
        <v>109</v>
      </c>
      <c r="O34" s="289">
        <f ca="1">_xll.meLWOSwapParRate(M34,N34)</f>
        <v>3.1262500000000068E-2</v>
      </c>
      <c r="P34" s="289">
        <f>'AUD CURVE'!S85</f>
        <v>3.1262499999999999E-2</v>
      </c>
      <c r="Q34" s="385">
        <f t="shared" ref="Q34:Q36" ca="1" si="3">(O34-P34)*10000</f>
        <v>6.9388939039072284E-13</v>
      </c>
    </row>
    <row r="35" spans="2:18">
      <c r="B35" s="360">
        <f ca="1">_xll.meDateFromTenor(Settings.COB,E35,"MOD_FOLLOWING","SYB:LNB","")</f>
        <v>43423</v>
      </c>
      <c r="C35" s="361">
        <f ca="1">_xll.meDateFromTenor(B35,F35,)</f>
        <v>52554</v>
      </c>
      <c r="D35" s="306"/>
      <c r="E35" s="362" t="s">
        <v>69</v>
      </c>
      <c r="F35" s="363" t="s">
        <v>184</v>
      </c>
      <c r="G35" s="395" t="s">
        <v>551</v>
      </c>
      <c r="H35" s="364" t="s">
        <v>35</v>
      </c>
      <c r="I35" s="365">
        <v>1000000</v>
      </c>
      <c r="J35" s="366">
        <v>0.01</v>
      </c>
      <c r="K35" s="367">
        <v>0</v>
      </c>
      <c r="L35" s="378">
        <v>16</v>
      </c>
      <c r="M35" s="383" t="str">
        <f ca="1">_xll.meLWOSwapCreateFromGenerator("AUDIRS"&amp;L35,G35,H35,I35,B35,C35,J35,K35,,,,,Settings.AllowCalibrationUpdates)</f>
        <v>AUDIRS16@14:0</v>
      </c>
      <c r="N35" s="384" t="s">
        <v>109</v>
      </c>
      <c r="O35" s="289">
        <f ca="1">_xll.meLWOSwapParRate(M35,N35)</f>
        <v>3.1362500000000071E-2</v>
      </c>
      <c r="P35" s="289">
        <f>'AUD CURVE'!S86</f>
        <v>3.1362500000000001E-2</v>
      </c>
      <c r="Q35" s="385">
        <f t="shared" ca="1" si="3"/>
        <v>6.9388939039072284E-13</v>
      </c>
    </row>
    <row r="36" spans="2:18">
      <c r="B36" s="368">
        <f ca="1">_xll.meDateFromTenor(Settings.COB,E36,"MOD_FOLLOWING","SYB:LNB","")</f>
        <v>43423</v>
      </c>
      <c r="C36" s="369">
        <f ca="1">_xll.meDateFromTenor(B36,F36,)</f>
        <v>54381</v>
      </c>
      <c r="D36" s="306"/>
      <c r="E36" s="370" t="s">
        <v>69</v>
      </c>
      <c r="F36" s="371" t="s">
        <v>185</v>
      </c>
      <c r="G36" s="396" t="s">
        <v>551</v>
      </c>
      <c r="H36" s="372" t="s">
        <v>35</v>
      </c>
      <c r="I36" s="373">
        <v>1000000</v>
      </c>
      <c r="J36" s="374">
        <v>0.01</v>
      </c>
      <c r="K36" s="375">
        <v>0</v>
      </c>
      <c r="L36" s="378">
        <v>17</v>
      </c>
      <c r="M36" s="386" t="str">
        <f ca="1">_xll.meLWOSwapCreateFromGenerator("AUDIRS"&amp;L36,G36,H36,I36,B36,C36,J36,K36,,,,,Settings.AllowCalibrationUpdates)</f>
        <v>AUDIRS17@20:0</v>
      </c>
      <c r="N36" s="387" t="s">
        <v>109</v>
      </c>
      <c r="O36" s="388">
        <f ca="1">_xll.meLWOSwapParRate(M36,N36)</f>
        <v>3.1037500000000058E-2</v>
      </c>
      <c r="P36" s="388">
        <f>'AUD CURVE'!S87</f>
        <v>3.1037499999999999E-2</v>
      </c>
      <c r="Q36" s="389">
        <f t="shared" ca="1" si="3"/>
        <v>5.8980598183211441E-13</v>
      </c>
      <c r="R36" s="24"/>
    </row>
    <row r="37" spans="2:18">
      <c r="M37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Z114"/>
  <sheetViews>
    <sheetView showGridLines="0" workbookViewId="0"/>
  </sheetViews>
  <sheetFormatPr defaultRowHeight="15" outlineLevelCol="1"/>
  <cols>
    <col min="1" max="1" width="4.7109375" style="32" customWidth="1"/>
    <col min="2" max="2" width="25.5703125" style="32" customWidth="1"/>
    <col min="3" max="3" width="20.7109375" style="32" customWidth="1"/>
    <col min="4" max="4" width="4.7109375" style="306" customWidth="1"/>
    <col min="5" max="5" width="16.140625" style="32" hidden="1" customWidth="1" outlineLevel="1"/>
    <col min="6" max="6" width="19.28515625" style="32" hidden="1" customWidth="1" outlineLevel="1"/>
    <col min="7" max="10" width="9.140625" style="32" hidden="1" customWidth="1" outlineLevel="1"/>
    <col min="11" max="12" width="9.7109375" style="32" hidden="1" customWidth="1" outlineLevel="1"/>
    <col min="13" max="13" width="4.7109375" style="32" hidden="1" customWidth="1" outlineLevel="1"/>
    <col min="14" max="14" width="30.7109375" style="32" customWidth="1" collapsed="1"/>
    <col min="15" max="16" width="20.7109375" style="32" customWidth="1"/>
    <col min="17" max="17" width="4.7109375" style="32" customWidth="1"/>
    <col min="18" max="18" width="22.5703125" style="32" customWidth="1"/>
    <col min="19" max="19" width="4.7109375" style="32" hidden="1" customWidth="1" outlineLevel="1"/>
    <col min="20" max="20" width="27.42578125" style="32" hidden="1" customWidth="1" outlineLevel="1"/>
    <col min="21" max="22" width="18.7109375" style="32" hidden="1" customWidth="1" outlineLevel="1"/>
    <col min="23" max="23" width="4.7109375" style="32" hidden="1" customWidth="1" outlineLevel="1"/>
    <col min="24" max="24" width="23.5703125" style="32" hidden="1" customWidth="1" outlineLevel="1"/>
    <col min="25" max="25" width="11" style="32" hidden="1" customWidth="1" outlineLevel="1"/>
    <col min="26" max="26" width="12.28515625" style="32" bestFit="1" customWidth="1" collapsed="1"/>
    <col min="27" max="16384" width="9.140625" style="32"/>
  </cols>
  <sheetData>
    <row r="1" spans="2:26">
      <c r="M1" s="23"/>
      <c r="N1" s="348" t="s">
        <v>191</v>
      </c>
      <c r="Z1" s="23" t="s">
        <v>130</v>
      </c>
    </row>
    <row r="2" spans="2:26">
      <c r="M2" s="1"/>
      <c r="Z2" s="23"/>
    </row>
    <row r="3" spans="2:26">
      <c r="B3" s="1" t="s">
        <v>74</v>
      </c>
      <c r="E3" s="1" t="s">
        <v>195</v>
      </c>
      <c r="N3" s="1" t="s">
        <v>282</v>
      </c>
      <c r="Q3" s="32" t="s">
        <v>63</v>
      </c>
    </row>
    <row r="4" spans="2:26">
      <c r="B4" s="17" t="s">
        <v>558</v>
      </c>
      <c r="C4" s="347">
        <f ca="1">Settings.COB</f>
        <v>43420</v>
      </c>
      <c r="D4" s="306" t="s">
        <v>63</v>
      </c>
      <c r="E4" s="96"/>
      <c r="F4" s="97"/>
      <c r="G4" s="93"/>
      <c r="H4" s="93"/>
      <c r="I4" s="93"/>
      <c r="J4" s="111" t="str">
        <f>$C$32</f>
        <v>MID</v>
      </c>
      <c r="K4" s="107"/>
      <c r="L4" s="95"/>
      <c r="M4" s="32" t="s">
        <v>63</v>
      </c>
      <c r="N4" s="4" t="s">
        <v>66</v>
      </c>
      <c r="O4" s="479" t="s">
        <v>403</v>
      </c>
      <c r="P4" s="480"/>
      <c r="Q4" s="32" t="s">
        <v>63</v>
      </c>
    </row>
    <row r="5" spans="2:26">
      <c r="B5" s="307" t="s">
        <v>88</v>
      </c>
      <c r="C5" s="34" t="s">
        <v>55</v>
      </c>
      <c r="D5" s="306" t="s">
        <v>63</v>
      </c>
      <c r="E5" s="98" t="s">
        <v>133</v>
      </c>
      <c r="F5" s="99" t="s">
        <v>156</v>
      </c>
      <c r="G5" s="91" t="s">
        <v>150</v>
      </c>
      <c r="H5" s="91" t="s">
        <v>151</v>
      </c>
      <c r="I5" s="91" t="s">
        <v>153</v>
      </c>
      <c r="J5" s="106" t="s">
        <v>155</v>
      </c>
      <c r="K5" s="106"/>
      <c r="L5" s="94"/>
      <c r="M5" s="32" t="s">
        <v>63</v>
      </c>
      <c r="N5" s="7" t="s">
        <v>399</v>
      </c>
      <c r="O5" s="481" t="str">
        <f ca="1">IF('AUD CURVE'!$D$99,_xll.meLWOSwapCreate(O4,N8:P40),"#LOAD CURVE")</f>
        <v>AUD_SWAP@68:3</v>
      </c>
      <c r="P5" s="482"/>
      <c r="Q5" s="32" t="s">
        <v>63</v>
      </c>
    </row>
    <row r="6" spans="2:26">
      <c r="B6" s="307" t="s">
        <v>73</v>
      </c>
      <c r="C6" s="34" t="s">
        <v>49</v>
      </c>
      <c r="D6" s="306" t="s">
        <v>63</v>
      </c>
      <c r="E6" s="100" t="s">
        <v>134</v>
      </c>
      <c r="F6" s="90">
        <f>(100-J6)%</f>
        <v>2.1724999999999994E-2</v>
      </c>
      <c r="G6" s="92">
        <f>_xll.BDP($E$6,$G$5)</f>
        <v>97.825000000000003</v>
      </c>
      <c r="H6" s="92">
        <f>_xll.BDP($E$6,$H$5)</f>
        <v>97.83</v>
      </c>
      <c r="I6" s="92">
        <f>AVERAGE(G6:H6)</f>
        <v>97.827500000000001</v>
      </c>
      <c r="J6" s="92">
        <f>IF($J$4="BID",G6,IF($J$4="ASK",H6,I6))</f>
        <v>97.827500000000001</v>
      </c>
      <c r="K6" s="106"/>
      <c r="L6" s="94"/>
      <c r="M6" s="32" t="s">
        <v>63</v>
      </c>
      <c r="Q6" s="32" t="s">
        <v>63</v>
      </c>
    </row>
    <row r="7" spans="2:26">
      <c r="B7" s="307" t="s">
        <v>71</v>
      </c>
      <c r="C7" s="34" t="s">
        <v>110</v>
      </c>
      <c r="D7" s="306" t="s">
        <v>63</v>
      </c>
      <c r="E7" s="100"/>
      <c r="F7" s="99"/>
      <c r="G7" s="91"/>
      <c r="H7" s="91"/>
      <c r="I7" s="91"/>
      <c r="J7" s="108" t="str">
        <f>$C$32</f>
        <v>MID</v>
      </c>
      <c r="K7" s="106"/>
      <c r="L7" s="94"/>
      <c r="M7" s="32" t="s">
        <v>63</v>
      </c>
      <c r="N7" s="1" t="s">
        <v>282</v>
      </c>
      <c r="O7" s="9" t="s">
        <v>59</v>
      </c>
      <c r="P7" s="9" t="s">
        <v>60</v>
      </c>
      <c r="Q7" s="32" t="s">
        <v>63</v>
      </c>
    </row>
    <row r="8" spans="2:26">
      <c r="B8" s="308" t="s">
        <v>72</v>
      </c>
      <c r="C8" s="21">
        <f ca="1">_xll.meDateFromTenor(C4,C5,C6,C7)</f>
        <v>43424</v>
      </c>
      <c r="D8" s="306" t="s">
        <v>63</v>
      </c>
      <c r="E8" s="98" t="s">
        <v>131</v>
      </c>
      <c r="F8" s="99"/>
      <c r="G8" s="91" t="s">
        <v>150</v>
      </c>
      <c r="H8" s="91" t="s">
        <v>151</v>
      </c>
      <c r="I8" s="91" t="s">
        <v>153</v>
      </c>
      <c r="J8" s="106" t="s">
        <v>155</v>
      </c>
      <c r="K8" s="106"/>
      <c r="L8" s="94"/>
      <c r="M8" s="32" t="s">
        <v>63</v>
      </c>
      <c r="N8" s="11" t="s">
        <v>32</v>
      </c>
      <c r="O8" s="58" t="s">
        <v>402</v>
      </c>
      <c r="P8" s="58" t="s">
        <v>33</v>
      </c>
      <c r="Q8" s="32" t="s">
        <v>63</v>
      </c>
      <c r="R8" s="23" t="s">
        <v>583</v>
      </c>
    </row>
    <row r="9" spans="2:26">
      <c r="D9" s="306" t="s">
        <v>63</v>
      </c>
      <c r="E9" s="100" t="s">
        <v>132</v>
      </c>
      <c r="F9" s="90">
        <f>(100-J9)%</f>
        <v>2.7025000000000007E-2</v>
      </c>
      <c r="G9" s="92">
        <f>_xll.BDP($E$9,$G$5)</f>
        <v>97.295000000000002</v>
      </c>
      <c r="H9" s="92">
        <f>_xll.BDP($E$9,$H$5)</f>
        <v>97.3</v>
      </c>
      <c r="I9" s="92">
        <f>AVERAGE(G9:H9)</f>
        <v>97.297499999999999</v>
      </c>
      <c r="J9" s="92">
        <f>IF($J$7="BID",G9,IF($J$7="ASK",H9,I9))</f>
        <v>97.297499999999999</v>
      </c>
      <c r="K9" s="106"/>
      <c r="L9" s="94"/>
      <c r="M9" s="32" t="s">
        <v>63</v>
      </c>
      <c r="N9" s="31" t="s">
        <v>34</v>
      </c>
      <c r="O9" s="315">
        <f>$C$12</f>
        <v>1000000</v>
      </c>
      <c r="P9" s="315">
        <f>$C$12</f>
        <v>1000000</v>
      </c>
      <c r="Q9" s="32" t="s">
        <v>63</v>
      </c>
      <c r="R9" s="59">
        <f ca="1">IF(COUNT(T16)=1,T16%,"#ERROR: BBG DATA")</f>
        <v>1.9300000000000001E-2</v>
      </c>
      <c r="Z9" s="32" t="s">
        <v>63</v>
      </c>
    </row>
    <row r="10" spans="2:26">
      <c r="B10" s="1" t="s">
        <v>1</v>
      </c>
      <c r="D10" s="306" t="s">
        <v>63</v>
      </c>
      <c r="E10" s="100"/>
      <c r="F10" s="99"/>
      <c r="G10" s="91"/>
      <c r="H10" s="91"/>
      <c r="I10" s="91"/>
      <c r="J10" s="91"/>
      <c r="K10" s="106"/>
      <c r="L10" s="116"/>
      <c r="M10" s="32" t="s">
        <v>63</v>
      </c>
      <c r="N10" s="31" t="s">
        <v>13</v>
      </c>
      <c r="O10" s="48" t="s">
        <v>14</v>
      </c>
      <c r="P10" s="48" t="s">
        <v>14</v>
      </c>
      <c r="Q10" s="32" t="s">
        <v>63</v>
      </c>
    </row>
    <row r="11" spans="2:26">
      <c r="B11" s="11" t="s">
        <v>126</v>
      </c>
      <c r="C11" s="82" t="s">
        <v>127</v>
      </c>
      <c r="D11" s="306" t="s">
        <v>63</v>
      </c>
      <c r="E11" s="98" t="s">
        <v>135</v>
      </c>
      <c r="F11" s="99"/>
      <c r="G11" s="91"/>
      <c r="H11" s="91"/>
      <c r="I11" s="91"/>
      <c r="J11" s="108" t="str">
        <f>$C$32</f>
        <v>MID</v>
      </c>
      <c r="K11" s="106"/>
      <c r="L11" s="116"/>
      <c r="M11" s="32" t="s">
        <v>63</v>
      </c>
      <c r="N11" s="31" t="s">
        <v>11</v>
      </c>
      <c r="O11" s="48" t="s">
        <v>35</v>
      </c>
      <c r="P11" s="48" t="s">
        <v>12</v>
      </c>
      <c r="Q11" s="32" t="s">
        <v>63</v>
      </c>
      <c r="R11" s="23" t="s">
        <v>584</v>
      </c>
      <c r="T11" s="23" t="s">
        <v>86</v>
      </c>
    </row>
    <row r="12" spans="2:26">
      <c r="B12" s="31" t="s">
        <v>15</v>
      </c>
      <c r="C12" s="83">
        <v>1000000</v>
      </c>
      <c r="D12" s="306" t="s">
        <v>63</v>
      </c>
      <c r="E12" s="101" t="s">
        <v>90</v>
      </c>
      <c r="F12" s="99" t="s">
        <v>152</v>
      </c>
      <c r="G12" s="91" t="s">
        <v>150</v>
      </c>
      <c r="H12" s="91" t="s">
        <v>151</v>
      </c>
      <c r="I12" s="91" t="s">
        <v>153</v>
      </c>
      <c r="J12" s="106" t="s">
        <v>155</v>
      </c>
      <c r="K12" s="106" t="s">
        <v>196</v>
      </c>
      <c r="L12" s="116" t="s">
        <v>197</v>
      </c>
      <c r="M12" s="32" t="s">
        <v>63</v>
      </c>
      <c r="N12" s="31" t="s">
        <v>36</v>
      </c>
      <c r="O12" s="53"/>
      <c r="P12" s="28" t="str">
        <f>IF(P24="QUARTERLY","AUD3ML","AUD6ML")</f>
        <v>AUD3ML</v>
      </c>
      <c r="Q12" s="32" t="s">
        <v>63</v>
      </c>
      <c r="R12" s="59">
        <f ca="1">IF(U22&lt;C4,"RESET REQUIRED",IF('AUD CURVE'!$D$99,_xll.meProductSwapStubRate($X$22:$X$24,$Y$22:$Y$24,,$T$22:$U$34),"#LOAD CURVE"))</f>
        <v>1.9300000000000192E-2</v>
      </c>
      <c r="T12" s="79" t="str">
        <f>IF(P24="QUARTERLY",X40,X41)</f>
        <v>ADBB3M Curncy</v>
      </c>
      <c r="Z12" s="32" t="s">
        <v>63</v>
      </c>
    </row>
    <row r="13" spans="2:26">
      <c r="B13" s="307" t="s">
        <v>404</v>
      </c>
      <c r="C13" s="81" t="s">
        <v>312</v>
      </c>
      <c r="D13" s="306" t="s">
        <v>63</v>
      </c>
      <c r="E13" s="101" t="s">
        <v>187</v>
      </c>
      <c r="F13" s="99" t="s">
        <v>188</v>
      </c>
      <c r="G13" s="92">
        <f>_xll.BDP($F13,$G$12)</f>
        <v>-17.75</v>
      </c>
      <c r="H13" s="92">
        <f>_xll.BDP($F13,$H$12)</f>
        <v>-17.75</v>
      </c>
      <c r="I13" s="92">
        <f>AVERAGE(G13:H13)</f>
        <v>-17.75</v>
      </c>
      <c r="J13" s="92">
        <f t="shared" ref="J13:J27" si="0">IF($J$11="BID",G13,IF($J$11="ASK",H13,I13))</f>
        <v>-17.75</v>
      </c>
      <c r="K13" s="115">
        <f t="shared" ref="K13:K18" si="1">IF(COUNT($F$6,J13)=2,$F$6+J13/10000,"#WAIT: BBG")</f>
        <v>1.9949999999999996E-2</v>
      </c>
      <c r="L13" s="117">
        <f>IF(COUNT(K13,J31)=2,K13+J31/10000,"#WAIT: BBG")</f>
        <v>2.1562499999999995E-2</v>
      </c>
      <c r="M13" s="32" t="s">
        <v>63</v>
      </c>
      <c r="N13" s="31" t="s">
        <v>37</v>
      </c>
      <c r="O13" s="48" t="s">
        <v>112</v>
      </c>
      <c r="P13" s="48" t="s">
        <v>112</v>
      </c>
      <c r="Q13" s="32" t="s">
        <v>63</v>
      </c>
      <c r="T13" s="3" t="s">
        <v>122</v>
      </c>
    </row>
    <row r="14" spans="2:26">
      <c r="B14" s="307" t="s">
        <v>405</v>
      </c>
      <c r="C14" s="81" t="s">
        <v>312</v>
      </c>
      <c r="D14" s="306" t="s">
        <v>63</v>
      </c>
      <c r="E14" s="101" t="s">
        <v>172</v>
      </c>
      <c r="F14" s="99" t="s">
        <v>136</v>
      </c>
      <c r="G14" s="92">
        <f>_xll.BDP($F14,$G$12)</f>
        <v>-9.625</v>
      </c>
      <c r="H14" s="92">
        <f>_xll.BDP($F14,$H$12)</f>
        <v>-4.625</v>
      </c>
      <c r="I14" s="92">
        <f t="shared" ref="I14:I27" si="2">AVERAGE(G14:H14)</f>
        <v>-7.125</v>
      </c>
      <c r="J14" s="92">
        <f t="shared" si="0"/>
        <v>-7.125</v>
      </c>
      <c r="K14" s="115">
        <f t="shared" si="1"/>
        <v>2.1012499999999993E-2</v>
      </c>
      <c r="L14" s="117">
        <f t="shared" ref="L14:L18" si="3">IF(COUNT(K14,J32)=2,K14+J32/10000,"#WAIT: BBG")</f>
        <v>2.2574999999999994E-2</v>
      </c>
      <c r="M14" s="32" t="s">
        <v>63</v>
      </c>
      <c r="N14" s="31" t="s">
        <v>5</v>
      </c>
      <c r="O14" s="48" t="s">
        <v>111</v>
      </c>
      <c r="P14" s="48" t="s">
        <v>111</v>
      </c>
      <c r="Q14" s="32" t="s">
        <v>63</v>
      </c>
      <c r="T14" s="3" t="s">
        <v>55</v>
      </c>
    </row>
    <row r="15" spans="2:26">
      <c r="B15" s="31" t="s">
        <v>47</v>
      </c>
      <c r="C15" s="84" t="s">
        <v>29</v>
      </c>
      <c r="D15" s="306" t="s">
        <v>63</v>
      </c>
      <c r="E15" s="101" t="s">
        <v>173</v>
      </c>
      <c r="F15" s="99" t="s">
        <v>137</v>
      </c>
      <c r="G15" s="92">
        <f>_xll.BDP($F15,$G$12)</f>
        <v>1.125</v>
      </c>
      <c r="H15" s="92">
        <f>_xll.BDP($F15,$H$12)</f>
        <v>5.125</v>
      </c>
      <c r="I15" s="92">
        <f t="shared" si="2"/>
        <v>3.125</v>
      </c>
      <c r="J15" s="92">
        <f t="shared" si="0"/>
        <v>3.125</v>
      </c>
      <c r="K15" s="115">
        <f t="shared" si="1"/>
        <v>2.2037499999999995E-2</v>
      </c>
      <c r="L15" s="117">
        <f t="shared" si="3"/>
        <v>2.3549999999999995E-2</v>
      </c>
      <c r="M15" s="32" t="s">
        <v>63</v>
      </c>
      <c r="N15" s="31" t="s">
        <v>38</v>
      </c>
      <c r="O15" s="49">
        <v>1</v>
      </c>
      <c r="P15" s="49">
        <v>1</v>
      </c>
      <c r="Q15" s="32" t="s">
        <v>63</v>
      </c>
      <c r="T15" s="16">
        <f ca="1">_xll.meDateFromTenor(P22,"-"&amp;T14,"MOD_FOLLOWING","LNB:SYB")</f>
        <v>43420</v>
      </c>
    </row>
    <row r="16" spans="2:26">
      <c r="B16" s="307" t="s">
        <v>554</v>
      </c>
      <c r="C16" s="406"/>
      <c r="D16" s="306" t="s">
        <v>63</v>
      </c>
      <c r="E16" s="101" t="s">
        <v>174</v>
      </c>
      <c r="F16" s="99" t="s">
        <v>138</v>
      </c>
      <c r="G16" s="92">
        <f>_xll.BDP($F16,$G$12)</f>
        <v>25.75</v>
      </c>
      <c r="H16" s="92">
        <f>_xll.BDP($F16,$H$12)</f>
        <v>30.75</v>
      </c>
      <c r="I16" s="92">
        <f t="shared" si="2"/>
        <v>28.25</v>
      </c>
      <c r="J16" s="92">
        <f t="shared" si="0"/>
        <v>28.25</v>
      </c>
      <c r="K16" s="115">
        <f t="shared" si="1"/>
        <v>2.4549999999999995E-2</v>
      </c>
      <c r="L16" s="117">
        <f t="shared" si="3"/>
        <v>2.6049999999999997E-2</v>
      </c>
      <c r="M16" s="32" t="s">
        <v>63</v>
      </c>
      <c r="N16" s="31" t="s">
        <v>39</v>
      </c>
      <c r="O16" s="390">
        <v>0</v>
      </c>
      <c r="P16" s="50"/>
      <c r="Q16" s="32" t="s">
        <v>63</v>
      </c>
      <c r="T16" s="87">
        <f ca="1">_xll.BDH(T12,T13,T15,T15)</f>
        <v>1.9300000000000002</v>
      </c>
    </row>
    <row r="17" spans="2:26">
      <c r="B17" s="31" t="s">
        <v>83</v>
      </c>
      <c r="C17" s="16">
        <f ca="1">IF(ISBLANK($C$16),C8,_xll.meDateFromTenor(Settings.COB,$C$16,$C$6,$C$7))</f>
        <v>43424</v>
      </c>
      <c r="D17" s="306" t="s">
        <v>63</v>
      </c>
      <c r="E17" s="101" t="s">
        <v>175</v>
      </c>
      <c r="F17" s="99" t="s">
        <v>139</v>
      </c>
      <c r="G17" s="92">
        <f>_xll.BDP($F17,$G$12)</f>
        <v>34.875</v>
      </c>
      <c r="H17" s="92">
        <f>_xll.BDP($F17,$H$12)</f>
        <v>39.875</v>
      </c>
      <c r="I17" s="92">
        <f t="shared" si="2"/>
        <v>37.375</v>
      </c>
      <c r="J17" s="92">
        <f t="shared" si="0"/>
        <v>37.375</v>
      </c>
      <c r="K17" s="115">
        <f t="shared" si="1"/>
        <v>2.5462499999999996E-2</v>
      </c>
      <c r="L17" s="117">
        <f t="shared" si="3"/>
        <v>2.6937499999999996E-2</v>
      </c>
      <c r="N17" s="31" t="s">
        <v>40</v>
      </c>
      <c r="O17" s="48"/>
      <c r="P17" s="48" t="s">
        <v>89</v>
      </c>
      <c r="Q17" s="32" t="s">
        <v>63</v>
      </c>
    </row>
    <row r="18" spans="2:26">
      <c r="B18" s="12" t="s">
        <v>536</v>
      </c>
      <c r="C18" s="85" t="s">
        <v>181</v>
      </c>
      <c r="D18" s="306" t="s">
        <v>63</v>
      </c>
      <c r="E18" s="101" t="s">
        <v>176</v>
      </c>
      <c r="F18" s="99" t="s">
        <v>140</v>
      </c>
      <c r="G18" s="92">
        <f>_xll.BDP($F18,$G$12)</f>
        <v>-9.625</v>
      </c>
      <c r="H18" s="92">
        <f>_xll.BDP($F18,$H$12)</f>
        <v>-4.625</v>
      </c>
      <c r="I18" s="92">
        <f t="shared" si="2"/>
        <v>-7.125</v>
      </c>
      <c r="J18" s="92">
        <f t="shared" si="0"/>
        <v>-7.125</v>
      </c>
      <c r="K18" s="115">
        <f t="shared" si="1"/>
        <v>2.1012499999999993E-2</v>
      </c>
      <c r="L18" s="117">
        <f t="shared" si="3"/>
        <v>2.2437499999999992E-2</v>
      </c>
      <c r="M18" s="32" t="s">
        <v>63</v>
      </c>
      <c r="N18" s="31" t="s">
        <v>41</v>
      </c>
      <c r="O18" s="48"/>
      <c r="P18" s="48" t="s">
        <v>89</v>
      </c>
      <c r="R18" s="23" t="s">
        <v>573</v>
      </c>
    </row>
    <row r="19" spans="2:26">
      <c r="D19" s="306" t="s">
        <v>63</v>
      </c>
      <c r="E19" s="101" t="s">
        <v>177</v>
      </c>
      <c r="F19" s="99" t="s">
        <v>141</v>
      </c>
      <c r="G19" s="92">
        <f>_xll.BDP($F19,$G$12)</f>
        <v>-2</v>
      </c>
      <c r="H19" s="92">
        <f>_xll.BDP($F19,$H$12)</f>
        <v>3</v>
      </c>
      <c r="I19" s="92">
        <f t="shared" si="2"/>
        <v>0.5</v>
      </c>
      <c r="J19" s="92">
        <f t="shared" si="0"/>
        <v>0.5</v>
      </c>
      <c r="K19" s="90">
        <f t="shared" ref="K19:K27" si="4">IF(COUNT(L19,J37)=2,L19-J37/10000,"#WAIT: BBG")</f>
        <v>2.5700000000000008E-2</v>
      </c>
      <c r="L19" s="118">
        <f t="shared" ref="L19:L27" si="5">IF(COUNT($F$9,J19)=2,$F$9+J19/10000,"#WAIT: BBG")</f>
        <v>2.7075000000000009E-2</v>
      </c>
      <c r="M19" s="32" t="s">
        <v>63</v>
      </c>
      <c r="N19" s="31" t="s">
        <v>42</v>
      </c>
      <c r="O19" s="51"/>
      <c r="P19" s="314">
        <f ca="1">IF(ISBLANK($R$19),"",$R$19)</f>
        <v>1.9300000000000001E-2</v>
      </c>
      <c r="Q19" s="306" t="s">
        <v>63</v>
      </c>
      <c r="R19" s="436">
        <f ca="1">IF(ISBLANK($R$22),IF($C$23,$R$9,$R$12),$R$22)</f>
        <v>1.9300000000000001E-2</v>
      </c>
      <c r="S19" s="32" t="s">
        <v>63</v>
      </c>
      <c r="U19" s="32" t="s">
        <v>63</v>
      </c>
      <c r="Z19" s="32" t="s">
        <v>63</v>
      </c>
    </row>
    <row r="20" spans="2:26">
      <c r="B20" s="1" t="s">
        <v>398</v>
      </c>
      <c r="C20" s="26"/>
      <c r="D20" s="306" t="s">
        <v>63</v>
      </c>
      <c r="E20" s="101" t="s">
        <v>178</v>
      </c>
      <c r="F20" s="99" t="s">
        <v>142</v>
      </c>
      <c r="G20" s="92">
        <f>_xll.BDP($F20,$G$12)</f>
        <v>4.75</v>
      </c>
      <c r="H20" s="92">
        <f>_xll.BDP($F20,$H$12)</f>
        <v>9.75</v>
      </c>
      <c r="I20" s="92">
        <f t="shared" si="2"/>
        <v>7.25</v>
      </c>
      <c r="J20" s="92">
        <f t="shared" si="0"/>
        <v>7.25</v>
      </c>
      <c r="K20" s="90">
        <f t="shared" si="4"/>
        <v>2.6437500000000006E-2</v>
      </c>
      <c r="L20" s="118">
        <f t="shared" si="5"/>
        <v>2.7750000000000007E-2</v>
      </c>
      <c r="M20" s="32" t="s">
        <v>63</v>
      </c>
      <c r="N20" s="31" t="s">
        <v>43</v>
      </c>
      <c r="O20" s="51"/>
      <c r="P20" s="51"/>
      <c r="Q20" s="32" t="s">
        <v>63</v>
      </c>
      <c r="T20" s="25"/>
    </row>
    <row r="21" spans="2:26">
      <c r="B21" s="11" t="s">
        <v>378</v>
      </c>
      <c r="C21" s="417" t="s">
        <v>46</v>
      </c>
      <c r="D21" s="306" t="s">
        <v>63</v>
      </c>
      <c r="E21" s="101" t="s">
        <v>179</v>
      </c>
      <c r="F21" s="99" t="s">
        <v>143</v>
      </c>
      <c r="G21" s="92">
        <f>_xll.BDP($F21,$G$12)</f>
        <v>10.625</v>
      </c>
      <c r="H21" s="92">
        <f>_xll.BDP($F21,$H$12)</f>
        <v>15.625</v>
      </c>
      <c r="I21" s="92">
        <f t="shared" si="2"/>
        <v>13.125</v>
      </c>
      <c r="J21" s="92">
        <f t="shared" si="0"/>
        <v>13.125</v>
      </c>
      <c r="K21" s="90">
        <f t="shared" si="4"/>
        <v>2.7075000000000009E-2</v>
      </c>
      <c r="L21" s="118">
        <f t="shared" si="5"/>
        <v>2.8337500000000009E-2</v>
      </c>
      <c r="M21" s="32" t="s">
        <v>63</v>
      </c>
      <c r="N21" s="31" t="s">
        <v>44</v>
      </c>
      <c r="O21" s="49"/>
      <c r="P21" s="313">
        <f>$C$36</f>
        <v>90</v>
      </c>
      <c r="R21" s="23" t="s">
        <v>579</v>
      </c>
      <c r="T21" s="1" t="s">
        <v>108</v>
      </c>
      <c r="X21" s="26" t="s">
        <v>91</v>
      </c>
      <c r="Y21" s="26" t="s">
        <v>90</v>
      </c>
    </row>
    <row r="22" spans="2:26">
      <c r="B22" s="307" t="s">
        <v>379</v>
      </c>
      <c r="C22" s="81" t="s">
        <v>312</v>
      </c>
      <c r="D22" s="306" t="s">
        <v>63</v>
      </c>
      <c r="E22" s="101" t="s">
        <v>181</v>
      </c>
      <c r="F22" s="99" t="s">
        <v>144</v>
      </c>
      <c r="G22" s="92">
        <f>_xll.BDP($F22,$G$12)</f>
        <v>15.875</v>
      </c>
      <c r="H22" s="92">
        <f>_xll.BDP($F22,$H$12)</f>
        <v>20.875</v>
      </c>
      <c r="I22" s="92">
        <f t="shared" si="2"/>
        <v>18.375</v>
      </c>
      <c r="J22" s="92">
        <f t="shared" si="0"/>
        <v>18.375</v>
      </c>
      <c r="K22" s="90">
        <f t="shared" si="4"/>
        <v>2.7662500000000007E-2</v>
      </c>
      <c r="L22" s="118">
        <f t="shared" si="5"/>
        <v>2.8862500000000006E-2</v>
      </c>
      <c r="M22" s="32" t="s">
        <v>63</v>
      </c>
      <c r="N22" s="31" t="s">
        <v>45</v>
      </c>
      <c r="O22" s="45">
        <f ca="1">C17</f>
        <v>43424</v>
      </c>
      <c r="P22" s="45">
        <f ca="1">$C$17</f>
        <v>43424</v>
      </c>
      <c r="Q22" s="13" t="s">
        <v>63</v>
      </c>
      <c r="R22" s="437"/>
      <c r="T22" s="11" t="s">
        <v>45</v>
      </c>
      <c r="U22" s="27">
        <f ca="1">P22</f>
        <v>43424</v>
      </c>
      <c r="X22" s="441" t="s">
        <v>586</v>
      </c>
      <c r="Y22" s="442" t="s">
        <v>69</v>
      </c>
      <c r="Z22" s="32" t="s">
        <v>63</v>
      </c>
    </row>
    <row r="23" spans="2:26">
      <c r="B23" s="308" t="s">
        <v>582</v>
      </c>
      <c r="C23" s="86" t="b">
        <v>1</v>
      </c>
      <c r="D23" s="306" t="s">
        <v>63</v>
      </c>
      <c r="E23" s="101" t="s">
        <v>180</v>
      </c>
      <c r="F23" s="99" t="s">
        <v>145</v>
      </c>
      <c r="G23" s="92">
        <f>_xll.BDP($F23,$G$12)</f>
        <v>24.625</v>
      </c>
      <c r="H23" s="92">
        <f>_xll.BDP($F23,$H$12)</f>
        <v>30.625</v>
      </c>
      <c r="I23" s="92">
        <f t="shared" si="2"/>
        <v>27.625</v>
      </c>
      <c r="J23" s="92">
        <f t="shared" si="0"/>
        <v>27.625</v>
      </c>
      <c r="K23" s="90">
        <f t="shared" si="4"/>
        <v>2.8687500000000008E-2</v>
      </c>
      <c r="L23" s="118">
        <f t="shared" si="5"/>
        <v>2.9787500000000008E-2</v>
      </c>
      <c r="M23" s="32" t="s">
        <v>63</v>
      </c>
      <c r="N23" s="31" t="s">
        <v>18</v>
      </c>
      <c r="O23" s="30" t="str">
        <f>$C$18</f>
        <v>10Y</v>
      </c>
      <c r="P23" s="30" t="str">
        <f>$C$18</f>
        <v>10Y</v>
      </c>
      <c r="Q23" s="32" t="s">
        <v>63</v>
      </c>
      <c r="T23" s="31" t="s">
        <v>18</v>
      </c>
      <c r="U23" s="16" t="str">
        <f>P23</f>
        <v>10Y</v>
      </c>
      <c r="X23" s="443" t="s">
        <v>113</v>
      </c>
      <c r="Y23" s="444" t="s">
        <v>94</v>
      </c>
    </row>
    <row r="24" spans="2:26">
      <c r="B24" s="438" t="s">
        <v>581</v>
      </c>
      <c r="D24" s="306" t="s">
        <v>63</v>
      </c>
      <c r="E24" s="101" t="s">
        <v>182</v>
      </c>
      <c r="F24" s="99" t="s">
        <v>146</v>
      </c>
      <c r="G24" s="92">
        <f>_xll.BDP($F24,$G$12)</f>
        <v>34.125</v>
      </c>
      <c r="H24" s="92">
        <f>_xll.BDP($F24,$H$12)</f>
        <v>40.125</v>
      </c>
      <c r="I24" s="92">
        <f t="shared" si="2"/>
        <v>37.125</v>
      </c>
      <c r="J24" s="92">
        <f t="shared" si="0"/>
        <v>37.125</v>
      </c>
      <c r="K24" s="90">
        <f t="shared" si="4"/>
        <v>2.9687500000000009E-2</v>
      </c>
      <c r="L24" s="118">
        <f t="shared" si="5"/>
        <v>3.0737500000000008E-2</v>
      </c>
      <c r="M24" s="32" t="s">
        <v>63</v>
      </c>
      <c r="N24" s="31" t="s">
        <v>376</v>
      </c>
      <c r="O24" s="28" t="str">
        <f>$C$13</f>
        <v>SEMI-ANNUAL</v>
      </c>
      <c r="P24" s="28" t="str">
        <f>$C$21</f>
        <v>QUARTERLY</v>
      </c>
      <c r="Q24" s="1"/>
      <c r="T24" s="31" t="s">
        <v>84</v>
      </c>
      <c r="U24" s="28" t="str">
        <f>$C$29</f>
        <v>AUDYC</v>
      </c>
      <c r="X24" s="445" t="s">
        <v>116</v>
      </c>
      <c r="Y24" s="446" t="s">
        <v>95</v>
      </c>
    </row>
    <row r="25" spans="2:26">
      <c r="D25" s="306" t="s">
        <v>63</v>
      </c>
      <c r="E25" s="101" t="s">
        <v>183</v>
      </c>
      <c r="F25" s="99" t="s">
        <v>147</v>
      </c>
      <c r="G25" s="92">
        <f>_xll.BDP($F25,$G$12)</f>
        <v>40.875</v>
      </c>
      <c r="H25" s="92">
        <f>_xll.BDP($F25,$H$12)</f>
        <v>46.875</v>
      </c>
      <c r="I25" s="92">
        <f t="shared" si="2"/>
        <v>43.875</v>
      </c>
      <c r="J25" s="92">
        <f t="shared" si="0"/>
        <v>43.875</v>
      </c>
      <c r="K25" s="90">
        <f t="shared" si="4"/>
        <v>3.037500000000001E-2</v>
      </c>
      <c r="L25" s="118">
        <f t="shared" si="5"/>
        <v>3.141250000000001E-2</v>
      </c>
      <c r="M25" s="32" t="s">
        <v>63</v>
      </c>
      <c r="N25" s="31" t="s">
        <v>377</v>
      </c>
      <c r="O25" s="28" t="str">
        <f>$C$14</f>
        <v>SEMI-ANNUAL</v>
      </c>
      <c r="P25" s="28" t="str">
        <f>$C$22</f>
        <v>SEMI-ANNUAL</v>
      </c>
      <c r="Q25" s="32" t="s">
        <v>63</v>
      </c>
      <c r="T25" s="31" t="s">
        <v>97</v>
      </c>
      <c r="U25" s="28" t="str">
        <f>P17</f>
        <v>NATURAL</v>
      </c>
    </row>
    <row r="26" spans="2:26">
      <c r="D26" s="306" t="s">
        <v>63</v>
      </c>
      <c r="E26" s="101" t="s">
        <v>184</v>
      </c>
      <c r="F26" s="99" t="s">
        <v>148</v>
      </c>
      <c r="G26" s="92">
        <f>_xll.BDP($F26,$G$12)</f>
        <v>41.875</v>
      </c>
      <c r="H26" s="92">
        <f>_xll.BDP($F26,$H$12)</f>
        <v>47.875</v>
      </c>
      <c r="I26" s="92">
        <f t="shared" si="2"/>
        <v>44.875</v>
      </c>
      <c r="J26" s="92">
        <f t="shared" si="0"/>
        <v>44.875</v>
      </c>
      <c r="K26" s="90">
        <f>IF(COUNT(L26,J44)=2,L26-J44/10000,"#WAIT: BBG")</f>
        <v>3.0450000000000005E-2</v>
      </c>
      <c r="L26" s="114">
        <f t="shared" si="5"/>
        <v>3.1512500000000006E-2</v>
      </c>
      <c r="M26" s="32" t="s">
        <v>63</v>
      </c>
      <c r="N26" s="31" t="s">
        <v>47</v>
      </c>
      <c r="O26" s="316" t="str">
        <f>$C$15</f>
        <v>ACT/ACT</v>
      </c>
      <c r="P26" s="39" t="s">
        <v>118</v>
      </c>
      <c r="T26" s="31" t="s">
        <v>98</v>
      </c>
      <c r="U26" s="28" t="str">
        <f>P24</f>
        <v>QUARTERLY</v>
      </c>
    </row>
    <row r="27" spans="2:26">
      <c r="B27" s="1" t="s">
        <v>562</v>
      </c>
      <c r="C27" s="26"/>
      <c r="D27" s="306" t="s">
        <v>63</v>
      </c>
      <c r="E27" s="101" t="s">
        <v>185</v>
      </c>
      <c r="F27" s="99" t="s">
        <v>149</v>
      </c>
      <c r="G27" s="92">
        <f>_xll.BDP($F27,$G$12)</f>
        <v>38.625</v>
      </c>
      <c r="H27" s="92">
        <f>_xll.BDP($F27,$H$12)</f>
        <v>44.625</v>
      </c>
      <c r="I27" s="92">
        <f t="shared" si="2"/>
        <v>41.625</v>
      </c>
      <c r="J27" s="92">
        <f t="shared" si="0"/>
        <v>41.625</v>
      </c>
      <c r="K27" s="90">
        <f t="shared" si="4"/>
        <v>3.0125000000000006E-2</v>
      </c>
      <c r="L27" s="114">
        <f t="shared" si="5"/>
        <v>3.1187500000000007E-2</v>
      </c>
      <c r="M27" s="32" t="s">
        <v>63</v>
      </c>
      <c r="N27" s="31" t="s">
        <v>48</v>
      </c>
      <c r="O27" s="54"/>
      <c r="P27" s="39" t="s">
        <v>49</v>
      </c>
      <c r="Q27" s="32" t="s">
        <v>63</v>
      </c>
      <c r="T27" s="31" t="s">
        <v>99</v>
      </c>
      <c r="U27" s="28" t="str">
        <f>P26</f>
        <v>ACT/365</v>
      </c>
    </row>
    <row r="28" spans="2:26">
      <c r="B28" s="17" t="s">
        <v>72</v>
      </c>
      <c r="C28" s="347">
        <f ca="1">C8</f>
        <v>43424</v>
      </c>
      <c r="D28" s="306" t="s">
        <v>63</v>
      </c>
      <c r="E28" s="101"/>
      <c r="F28" s="99"/>
      <c r="G28" s="92"/>
      <c r="H28" s="92"/>
      <c r="I28" s="92"/>
      <c r="J28" s="92"/>
      <c r="K28" s="106"/>
      <c r="L28" s="94"/>
      <c r="M28" s="32" t="s">
        <v>63</v>
      </c>
      <c r="N28" s="31" t="s">
        <v>50</v>
      </c>
      <c r="O28" s="39"/>
      <c r="P28" s="39" t="s">
        <v>110</v>
      </c>
      <c r="Q28" s="32" t="s">
        <v>63</v>
      </c>
      <c r="T28" s="31" t="s">
        <v>100</v>
      </c>
      <c r="U28" s="28" t="str">
        <f>P29</f>
        <v>MOD_FOLLOWING</v>
      </c>
    </row>
    <row r="29" spans="2:26">
      <c r="B29" s="308" t="s">
        <v>84</v>
      </c>
      <c r="C29" s="309" t="s">
        <v>109</v>
      </c>
      <c r="D29" s="306" t="s">
        <v>63</v>
      </c>
      <c r="E29" s="104" t="s">
        <v>186</v>
      </c>
      <c r="F29" s="99"/>
      <c r="G29" s="92"/>
      <c r="H29" s="92"/>
      <c r="I29" s="92"/>
      <c r="J29" s="108" t="str">
        <f>$C$32</f>
        <v>MID</v>
      </c>
      <c r="K29" s="106"/>
      <c r="L29" s="94"/>
      <c r="M29" s="32" t="s">
        <v>63</v>
      </c>
      <c r="N29" s="31" t="s">
        <v>21</v>
      </c>
      <c r="O29" s="39" t="s">
        <v>49</v>
      </c>
      <c r="P29" s="39" t="s">
        <v>49</v>
      </c>
      <c r="Q29" s="32" t="s">
        <v>63</v>
      </c>
      <c r="R29" s="67"/>
      <c r="T29" s="31" t="s">
        <v>101</v>
      </c>
      <c r="U29" s="28" t="str">
        <f>P28</f>
        <v>SYB</v>
      </c>
    </row>
    <row r="30" spans="2:26">
      <c r="D30" s="306" t="s">
        <v>63</v>
      </c>
      <c r="E30" s="101" t="s">
        <v>90</v>
      </c>
      <c r="F30" s="99" t="s">
        <v>152</v>
      </c>
      <c r="G30" s="91" t="s">
        <v>150</v>
      </c>
      <c r="H30" s="91" t="s">
        <v>151</v>
      </c>
      <c r="I30" s="91" t="s">
        <v>153</v>
      </c>
      <c r="J30" s="106" t="s">
        <v>155</v>
      </c>
      <c r="K30" s="106"/>
      <c r="L30" s="94"/>
      <c r="M30" s="32" t="s">
        <v>63</v>
      </c>
      <c r="N30" s="31" t="s">
        <v>23</v>
      </c>
      <c r="O30" s="39" t="s">
        <v>110</v>
      </c>
      <c r="P30" s="39" t="s">
        <v>110</v>
      </c>
      <c r="T30" s="31" t="s">
        <v>102</v>
      </c>
      <c r="U30" s="28"/>
    </row>
    <row r="31" spans="2:26">
      <c r="B31" s="1" t="s">
        <v>128</v>
      </c>
      <c r="D31" s="306" t="s">
        <v>63</v>
      </c>
      <c r="E31" s="100" t="s">
        <v>187</v>
      </c>
      <c r="F31" s="99" t="s">
        <v>157</v>
      </c>
      <c r="G31" s="92">
        <f>_xll.BDP($F31,G$30)</f>
        <v>15.125</v>
      </c>
      <c r="H31" s="92">
        <f>_xll.BDP($F31,H$30)</f>
        <v>17.125</v>
      </c>
      <c r="I31" s="92">
        <f>AVERAGE(G31:H31)</f>
        <v>16.125</v>
      </c>
      <c r="J31" s="92">
        <f t="shared" ref="J31:J45" si="6">IF($J$29="BID",G31,IF($J$29="ASK",H31,I31))</f>
        <v>16.125</v>
      </c>
      <c r="K31" s="90"/>
      <c r="L31" s="89"/>
      <c r="M31" s="32" t="s">
        <v>63</v>
      </c>
      <c r="N31" s="31" t="s">
        <v>24</v>
      </c>
      <c r="O31" s="39" t="s">
        <v>49</v>
      </c>
      <c r="P31" s="39" t="s">
        <v>49</v>
      </c>
      <c r="Q31" s="32" t="s">
        <v>63</v>
      </c>
      <c r="T31" s="31" t="s">
        <v>103</v>
      </c>
      <c r="U31" s="28" t="s">
        <v>55</v>
      </c>
    </row>
    <row r="32" spans="2:26">
      <c r="B32" s="11" t="s">
        <v>189</v>
      </c>
      <c r="C32" s="119" t="s">
        <v>154</v>
      </c>
      <c r="D32" s="306" t="s">
        <v>63</v>
      </c>
      <c r="E32" s="100" t="s">
        <v>172</v>
      </c>
      <c r="F32" s="99" t="s">
        <v>158</v>
      </c>
      <c r="G32" s="92">
        <f>_xll.BDP($F32,G$30)</f>
        <v>14.625</v>
      </c>
      <c r="H32" s="92">
        <f>_xll.BDP($F32,H$30)</f>
        <v>16.625</v>
      </c>
      <c r="I32" s="92">
        <f>AVERAGE(G32:H32)</f>
        <v>15.625</v>
      </c>
      <c r="J32" s="92">
        <f t="shared" si="6"/>
        <v>15.625</v>
      </c>
      <c r="K32" s="90"/>
      <c r="L32" s="89"/>
      <c r="M32" s="32" t="s">
        <v>63</v>
      </c>
      <c r="N32" s="31" t="s">
        <v>25</v>
      </c>
      <c r="O32" s="39" t="s">
        <v>110</v>
      </c>
      <c r="P32" s="39" t="s">
        <v>110</v>
      </c>
      <c r="Q32" s="32" t="s">
        <v>63</v>
      </c>
      <c r="T32" s="31" t="s">
        <v>104</v>
      </c>
      <c r="U32" s="16" t="str">
        <f>IF(ISBLANK($P$33),"",$P$33)</f>
        <v/>
      </c>
    </row>
    <row r="33" spans="2:25">
      <c r="B33" s="307" t="s">
        <v>190</v>
      </c>
      <c r="C33" s="110" t="s">
        <v>181</v>
      </c>
      <c r="D33" s="306" t="s">
        <v>63</v>
      </c>
      <c r="E33" s="100" t="s">
        <v>173</v>
      </c>
      <c r="F33" s="99" t="s">
        <v>159</v>
      </c>
      <c r="G33" s="92">
        <f>_xll.BDP($F33,G$30)</f>
        <v>14.125</v>
      </c>
      <c r="H33" s="92">
        <f>_xll.BDP($F33,H$30)</f>
        <v>16.125</v>
      </c>
      <c r="I33" s="92">
        <f t="shared" ref="I33:I45" si="7">AVERAGE(G33:H33)</f>
        <v>15.125</v>
      </c>
      <c r="J33" s="92">
        <f t="shared" si="6"/>
        <v>15.125</v>
      </c>
      <c r="K33" s="90"/>
      <c r="L33" s="89"/>
      <c r="M33" s="32" t="s">
        <v>63</v>
      </c>
      <c r="N33" s="31" t="s">
        <v>51</v>
      </c>
      <c r="O33" s="55"/>
      <c r="P33" s="33"/>
      <c r="Q33" s="32" t="s">
        <v>63</v>
      </c>
      <c r="T33" s="31" t="s">
        <v>105</v>
      </c>
      <c r="U33" s="16" t="str">
        <f>IF(ISBLANK($P$34),"",$P$34)</f>
        <v/>
      </c>
    </row>
    <row r="34" spans="2:25">
      <c r="B34" s="307" t="s">
        <v>193</v>
      </c>
      <c r="C34" s="109">
        <f>IF(ISNUMBER(C35),C35,VLOOKUP($C$33,$E$13:$L$27,IF($C$13="QUARTERLY",7,8),FALSE))</f>
        <v>2.8862500000000006E-2</v>
      </c>
      <c r="D34" s="306" t="s">
        <v>63</v>
      </c>
      <c r="E34" s="100" t="s">
        <v>174</v>
      </c>
      <c r="F34" s="99" t="s">
        <v>160</v>
      </c>
      <c r="G34" s="92">
        <f>_xll.BDP($F34,G$30)</f>
        <v>14</v>
      </c>
      <c r="H34" s="92">
        <f>_xll.BDP($F34,H$30)</f>
        <v>16</v>
      </c>
      <c r="I34" s="92">
        <f t="shared" si="7"/>
        <v>15</v>
      </c>
      <c r="J34" s="92">
        <f t="shared" si="6"/>
        <v>15</v>
      </c>
      <c r="K34" s="90"/>
      <c r="L34" s="89"/>
      <c r="M34" s="32" t="s">
        <v>63</v>
      </c>
      <c r="N34" s="31" t="s">
        <v>52</v>
      </c>
      <c r="O34" s="55"/>
      <c r="P34" s="39"/>
      <c r="Q34" s="32" t="s">
        <v>63</v>
      </c>
      <c r="T34" s="12" t="s">
        <v>106</v>
      </c>
      <c r="U34" s="29" t="str">
        <f>IF(ISBLANK(P40),"",P40)</f>
        <v>SHORTSTART</v>
      </c>
    </row>
    <row r="35" spans="2:25">
      <c r="B35" s="307" t="s">
        <v>194</v>
      </c>
      <c r="C35" s="120"/>
      <c r="D35" s="306" t="s">
        <v>63</v>
      </c>
      <c r="E35" s="100" t="s">
        <v>175</v>
      </c>
      <c r="F35" s="99" t="s">
        <v>161</v>
      </c>
      <c r="G35" s="92">
        <f>_xll.BDP($F35,G$30)</f>
        <v>13.75</v>
      </c>
      <c r="H35" s="92">
        <f>_xll.BDP($F35,H$30)</f>
        <v>15.75</v>
      </c>
      <c r="I35" s="92">
        <f t="shared" si="7"/>
        <v>14.75</v>
      </c>
      <c r="J35" s="92">
        <f t="shared" si="6"/>
        <v>14.75</v>
      </c>
      <c r="K35" s="90"/>
      <c r="L35" s="89"/>
      <c r="M35" s="32" t="s">
        <v>63</v>
      </c>
      <c r="N35" s="31" t="s">
        <v>53</v>
      </c>
      <c r="O35" s="42"/>
      <c r="P35" s="42"/>
      <c r="Q35" s="32" t="s">
        <v>63</v>
      </c>
    </row>
    <row r="36" spans="2:25">
      <c r="B36" s="307" t="s">
        <v>366</v>
      </c>
      <c r="C36" s="391">
        <v>90</v>
      </c>
      <c r="D36" s="306" t="s">
        <v>63</v>
      </c>
      <c r="E36" s="100" t="s">
        <v>176</v>
      </c>
      <c r="F36" s="99" t="s">
        <v>162</v>
      </c>
      <c r="G36" s="92">
        <f>_xll.BDP($F36,G$30)</f>
        <v>13.25</v>
      </c>
      <c r="H36" s="92">
        <f>_xll.BDP($F36,H$30)</f>
        <v>15.25</v>
      </c>
      <c r="I36" s="92">
        <f t="shared" si="7"/>
        <v>14.25</v>
      </c>
      <c r="J36" s="92">
        <f t="shared" si="6"/>
        <v>14.25</v>
      </c>
      <c r="K36" s="90"/>
      <c r="L36" s="89"/>
      <c r="M36" s="32" t="s">
        <v>63</v>
      </c>
      <c r="N36" s="31" t="s">
        <v>54</v>
      </c>
      <c r="O36" s="39"/>
      <c r="P36" s="39" t="s">
        <v>27</v>
      </c>
      <c r="Q36" s="32" t="s">
        <v>63</v>
      </c>
      <c r="T36" s="1" t="s">
        <v>107</v>
      </c>
      <c r="X36" s="1" t="s">
        <v>125</v>
      </c>
    </row>
    <row r="37" spans="2:25">
      <c r="B37" s="308" t="s">
        <v>367</v>
      </c>
      <c r="C37" s="341">
        <f>IF(ISNUMBER($C$35),$C$35,$C$34+$C$36/10000)</f>
        <v>3.7862500000000007E-2</v>
      </c>
      <c r="D37" s="306" t="s">
        <v>63</v>
      </c>
      <c r="E37" s="100" t="s">
        <v>177</v>
      </c>
      <c r="F37" s="99" t="s">
        <v>163</v>
      </c>
      <c r="G37" s="92">
        <f>_xll.BDP($F37,G$30)</f>
        <v>12.75</v>
      </c>
      <c r="H37" s="92">
        <f>_xll.BDP($F37,H$30)</f>
        <v>14.75</v>
      </c>
      <c r="I37" s="92">
        <f t="shared" si="7"/>
        <v>13.75</v>
      </c>
      <c r="J37" s="92">
        <f t="shared" si="6"/>
        <v>13.75</v>
      </c>
      <c r="K37" s="90"/>
      <c r="L37" s="89"/>
      <c r="M37" s="32" t="s">
        <v>63</v>
      </c>
      <c r="N37" s="31" t="s">
        <v>56</v>
      </c>
      <c r="O37" s="39"/>
      <c r="P37" s="39"/>
      <c r="Q37" s="32" t="s">
        <v>63</v>
      </c>
      <c r="T37" s="26" t="s">
        <v>90</v>
      </c>
      <c r="U37" s="26" t="s">
        <v>91</v>
      </c>
      <c r="V37" s="26" t="s">
        <v>85</v>
      </c>
      <c r="X37" s="60" t="s">
        <v>123</v>
      </c>
      <c r="Y37" s="60" t="s">
        <v>124</v>
      </c>
    </row>
    <row r="38" spans="2:25">
      <c r="B38" s="306"/>
      <c r="C38" s="22"/>
      <c r="D38" s="306" t="s">
        <v>63</v>
      </c>
      <c r="E38" s="100" t="s">
        <v>178</v>
      </c>
      <c r="F38" s="99" t="s">
        <v>164</v>
      </c>
      <c r="G38" s="92">
        <f>_xll.BDP($F38,G$30)</f>
        <v>12.125</v>
      </c>
      <c r="H38" s="92">
        <f>_xll.BDP($F38,H$30)</f>
        <v>14.125</v>
      </c>
      <c r="I38" s="92">
        <f t="shared" si="7"/>
        <v>13.125</v>
      </c>
      <c r="J38" s="92">
        <f t="shared" si="6"/>
        <v>13.125</v>
      </c>
      <c r="K38" s="90"/>
      <c r="L38" s="89"/>
      <c r="M38" s="32" t="s">
        <v>63</v>
      </c>
      <c r="N38" s="31" t="s">
        <v>26</v>
      </c>
      <c r="O38" s="39" t="s">
        <v>27</v>
      </c>
      <c r="P38" s="39" t="s">
        <v>27</v>
      </c>
      <c r="Q38" s="32" t="s">
        <v>63</v>
      </c>
      <c r="T38" s="70" t="s">
        <v>69</v>
      </c>
      <c r="U38" s="71" t="s">
        <v>112</v>
      </c>
      <c r="V38" s="72">
        <f>_xll.BDP(X38,Y38)%</f>
        <v>1.4999999999999999E-2</v>
      </c>
      <c r="X38" s="301" t="s">
        <v>120</v>
      </c>
      <c r="Y38" s="302" t="s">
        <v>121</v>
      </c>
    </row>
    <row r="39" spans="2:25">
      <c r="B39" s="342" t="s">
        <v>530</v>
      </c>
      <c r="C39" s="22"/>
      <c r="D39" s="306" t="s">
        <v>63</v>
      </c>
      <c r="E39" s="100" t="s">
        <v>179</v>
      </c>
      <c r="F39" s="99" t="s">
        <v>165</v>
      </c>
      <c r="G39" s="92">
        <f>_xll.BDP($F39,G$30)</f>
        <v>11.625</v>
      </c>
      <c r="H39" s="92">
        <f>_xll.BDP($F39,H$30)</f>
        <v>13.625</v>
      </c>
      <c r="I39" s="92">
        <f t="shared" si="7"/>
        <v>12.625</v>
      </c>
      <c r="J39" s="92">
        <f t="shared" si="6"/>
        <v>12.625</v>
      </c>
      <c r="K39" s="90"/>
      <c r="L39" s="89"/>
      <c r="M39" s="32" t="s">
        <v>63</v>
      </c>
      <c r="N39" s="307" t="s">
        <v>400</v>
      </c>
      <c r="O39" s="310"/>
      <c r="P39" s="39" t="s">
        <v>401</v>
      </c>
      <c r="T39" s="73" t="s">
        <v>92</v>
      </c>
      <c r="U39" s="74" t="s">
        <v>114</v>
      </c>
      <c r="V39" s="75">
        <f>_xll.BDP(X39,Y39)%</f>
        <v>1.8600000000000002E-2</v>
      </c>
      <c r="X39" s="303" t="s">
        <v>574</v>
      </c>
      <c r="Y39" s="138" t="s">
        <v>122</v>
      </c>
    </row>
    <row r="40" spans="2:25">
      <c r="B40" s="343" t="s">
        <v>531</v>
      </c>
      <c r="C40" s="344">
        <f ca="1">_xll.meLWOSwapParRate(O5,B28:C29)</f>
        <v>3.6585112600196742E-2</v>
      </c>
      <c r="D40" s="306" t="s">
        <v>63</v>
      </c>
      <c r="E40" s="100" t="s">
        <v>181</v>
      </c>
      <c r="F40" s="99" t="s">
        <v>166</v>
      </c>
      <c r="G40" s="92">
        <f>_xll.BDP($F40,G$30)</f>
        <v>11</v>
      </c>
      <c r="H40" s="92">
        <f>_xll.BDP($F40,H$30)</f>
        <v>13</v>
      </c>
      <c r="I40" s="92">
        <f t="shared" si="7"/>
        <v>12</v>
      </c>
      <c r="J40" s="92">
        <f t="shared" si="6"/>
        <v>12</v>
      </c>
      <c r="K40" s="90"/>
      <c r="L40" s="89"/>
      <c r="M40" s="32" t="s">
        <v>63</v>
      </c>
      <c r="N40" s="308" t="s">
        <v>57</v>
      </c>
      <c r="O40" s="309" t="s">
        <v>61</v>
      </c>
      <c r="P40" s="309" t="s">
        <v>61</v>
      </c>
      <c r="T40" s="73" t="s">
        <v>94</v>
      </c>
      <c r="U40" s="74" t="s">
        <v>113</v>
      </c>
      <c r="V40" s="75">
        <f>_xll.BDP(X40,Y40)%</f>
        <v>1.9299999999999998E-2</v>
      </c>
      <c r="X40" s="303" t="s">
        <v>575</v>
      </c>
      <c r="Y40" s="138" t="s">
        <v>122</v>
      </c>
    </row>
    <row r="41" spans="2:25">
      <c r="B41" s="306"/>
      <c r="C41" s="306"/>
      <c r="D41" s="306" t="s">
        <v>63</v>
      </c>
      <c r="E41" s="100" t="s">
        <v>180</v>
      </c>
      <c r="F41" s="99" t="s">
        <v>167</v>
      </c>
      <c r="G41" s="92">
        <f>_xll.BDP($F41,G$30)</f>
        <v>9.5</v>
      </c>
      <c r="H41" s="92">
        <f>_xll.BDP($F41,H$30)</f>
        <v>12.5</v>
      </c>
      <c r="I41" s="92">
        <f t="shared" si="7"/>
        <v>11</v>
      </c>
      <c r="J41" s="92">
        <f t="shared" si="6"/>
        <v>11</v>
      </c>
      <c r="K41" s="90"/>
      <c r="L41" s="89"/>
      <c r="M41" s="32" t="s">
        <v>63</v>
      </c>
      <c r="N41" s="306"/>
      <c r="O41" s="306"/>
      <c r="P41" s="306"/>
      <c r="T41" s="73" t="s">
        <v>95</v>
      </c>
      <c r="U41" s="74" t="s">
        <v>116</v>
      </c>
      <c r="V41" s="75">
        <f>_xll.BDP(X41,Y41)%</f>
        <v>2.1099999999999997E-2</v>
      </c>
      <c r="X41" s="303" t="s">
        <v>576</v>
      </c>
      <c r="Y41" s="138" t="s">
        <v>122</v>
      </c>
    </row>
    <row r="42" spans="2:25">
      <c r="B42" s="306"/>
      <c r="C42" s="422"/>
      <c r="D42" s="306" t="s">
        <v>63</v>
      </c>
      <c r="E42" s="100" t="s">
        <v>182</v>
      </c>
      <c r="F42" s="99" t="s">
        <v>168</v>
      </c>
      <c r="G42" s="92">
        <f>_xll.BDP($F42,G$30)</f>
        <v>9</v>
      </c>
      <c r="H42" s="92">
        <f>_xll.BDP($F42,H$30)</f>
        <v>12</v>
      </c>
      <c r="I42" s="92">
        <f t="shared" si="7"/>
        <v>10.5</v>
      </c>
      <c r="J42" s="92">
        <f t="shared" si="6"/>
        <v>10.5</v>
      </c>
      <c r="K42" s="90"/>
      <c r="L42" s="89"/>
      <c r="M42" s="32" t="s">
        <v>63</v>
      </c>
      <c r="N42" s="306"/>
      <c r="O42" s="306"/>
      <c r="P42" s="306"/>
      <c r="T42" s="76" t="s">
        <v>96</v>
      </c>
      <c r="U42" s="77" t="s">
        <v>117</v>
      </c>
      <c r="V42" s="78">
        <f>_xll.BDP(X42,Y42)%</f>
        <v>2.1499999999999998E-2</v>
      </c>
      <c r="X42" s="304" t="s">
        <v>577</v>
      </c>
      <c r="Y42" s="305" t="s">
        <v>122</v>
      </c>
    </row>
    <row r="43" spans="2:25">
      <c r="C43" s="422"/>
      <c r="D43" s="306" t="s">
        <v>63</v>
      </c>
      <c r="E43" s="100" t="s">
        <v>183</v>
      </c>
      <c r="F43" s="99" t="s">
        <v>169</v>
      </c>
      <c r="G43" s="92">
        <f>_xll.BDP($F43,G$30)</f>
        <v>8.875</v>
      </c>
      <c r="H43" s="92">
        <f>_xll.BDP($F43,H$30)</f>
        <v>11.875</v>
      </c>
      <c r="I43" s="92">
        <f t="shared" si="7"/>
        <v>10.375</v>
      </c>
      <c r="J43" s="92">
        <f t="shared" si="6"/>
        <v>10.375</v>
      </c>
      <c r="K43" s="90"/>
      <c r="L43" s="89"/>
      <c r="M43" s="32" t="s">
        <v>63</v>
      </c>
      <c r="N43" s="306"/>
      <c r="O43" s="306"/>
      <c r="P43" s="306"/>
    </row>
    <row r="44" spans="2:25">
      <c r="C44" s="423"/>
      <c r="D44" s="306" t="s">
        <v>63</v>
      </c>
      <c r="E44" s="100" t="s">
        <v>184</v>
      </c>
      <c r="F44" s="99" t="s">
        <v>170</v>
      </c>
      <c r="G44" s="92">
        <f>_xll.BDP($F44,G$30)</f>
        <v>9.125</v>
      </c>
      <c r="H44" s="92">
        <f>_xll.BDP($F44,H$30)</f>
        <v>12.125</v>
      </c>
      <c r="I44" s="92">
        <f t="shared" si="7"/>
        <v>10.625</v>
      </c>
      <c r="J44" s="92">
        <f t="shared" si="6"/>
        <v>10.625</v>
      </c>
      <c r="K44" s="90"/>
      <c r="L44" s="89"/>
      <c r="M44" s="32" t="s">
        <v>63</v>
      </c>
      <c r="N44" s="306"/>
      <c r="O44" s="306"/>
      <c r="P44" s="306"/>
    </row>
    <row r="45" spans="2:25">
      <c r="D45" s="306" t="s">
        <v>63</v>
      </c>
      <c r="E45" s="100" t="s">
        <v>185</v>
      </c>
      <c r="F45" s="99" t="s">
        <v>171</v>
      </c>
      <c r="G45" s="92">
        <f>_xll.BDP($F45,G$30)</f>
        <v>9.125</v>
      </c>
      <c r="H45" s="92">
        <f>_xll.BDP($F45,H$30)</f>
        <v>12.125</v>
      </c>
      <c r="I45" s="92">
        <f t="shared" si="7"/>
        <v>10.625</v>
      </c>
      <c r="J45" s="92">
        <f t="shared" si="6"/>
        <v>10.625</v>
      </c>
      <c r="K45" s="90"/>
      <c r="L45" s="89"/>
      <c r="M45" s="32" t="s">
        <v>63</v>
      </c>
      <c r="N45" s="306"/>
      <c r="O45" s="306"/>
      <c r="P45" s="306"/>
    </row>
    <row r="46" spans="2:25">
      <c r="B46" s="306"/>
      <c r="C46" s="422"/>
      <c r="D46" s="306" t="s">
        <v>63</v>
      </c>
      <c r="E46" s="102"/>
      <c r="F46" s="103"/>
      <c r="G46" s="105"/>
      <c r="H46" s="105"/>
      <c r="I46" s="105"/>
      <c r="J46" s="105"/>
      <c r="K46" s="113"/>
      <c r="L46" s="112"/>
      <c r="M46" s="32" t="s">
        <v>63</v>
      </c>
      <c r="N46" s="306"/>
      <c r="O46" s="306"/>
      <c r="P46" s="306"/>
    </row>
    <row r="47" spans="2:25">
      <c r="B47" s="306"/>
      <c r="C47" s="422"/>
    </row>
    <row r="48" spans="2:25">
      <c r="C48" s="421"/>
    </row>
    <row r="49" spans="3:17">
      <c r="C49" s="22"/>
    </row>
    <row r="50" spans="3:17">
      <c r="Q50" s="312"/>
    </row>
    <row r="51" spans="3:17">
      <c r="C51" s="291"/>
      <c r="N51" s="312"/>
      <c r="Q51" s="312"/>
    </row>
    <row r="52" spans="3:17">
      <c r="N52" s="312"/>
      <c r="Q52" s="312"/>
    </row>
    <row r="53" spans="3:17">
      <c r="N53" s="312"/>
      <c r="Q53" s="312"/>
    </row>
    <row r="54" spans="3:17">
      <c r="N54" s="312"/>
      <c r="Q54" s="312"/>
    </row>
    <row r="55" spans="3:17">
      <c r="N55" s="312"/>
      <c r="Q55" s="312"/>
    </row>
    <row r="56" spans="3:17">
      <c r="N56" s="312"/>
      <c r="Q56" s="312"/>
    </row>
    <row r="57" spans="3:17">
      <c r="N57" s="312"/>
      <c r="Q57" s="312"/>
    </row>
    <row r="58" spans="3:17">
      <c r="N58" s="312"/>
      <c r="Q58" s="312"/>
    </row>
    <row r="59" spans="3:17">
      <c r="N59" s="312"/>
      <c r="Q59" s="312"/>
    </row>
    <row r="60" spans="3:17">
      <c r="N60" s="312"/>
      <c r="Q60" s="312"/>
    </row>
    <row r="61" spans="3:17">
      <c r="N61" s="312"/>
      <c r="Q61" s="312"/>
    </row>
    <row r="62" spans="3:17">
      <c r="N62" s="312"/>
      <c r="Q62" s="312"/>
    </row>
    <row r="63" spans="3:17">
      <c r="N63" s="312"/>
      <c r="Q63" s="312"/>
    </row>
    <row r="64" spans="3:17">
      <c r="N64" s="312"/>
      <c r="Q64" s="312"/>
    </row>
    <row r="65" spans="14:18">
      <c r="N65" s="312"/>
      <c r="Q65" s="312"/>
    </row>
    <row r="66" spans="14:18">
      <c r="N66" s="312"/>
      <c r="Q66" s="312"/>
    </row>
    <row r="67" spans="14:18">
      <c r="N67" s="312"/>
      <c r="Q67" s="312"/>
    </row>
    <row r="68" spans="14:18">
      <c r="N68" s="312"/>
      <c r="Q68" s="312"/>
    </row>
    <row r="69" spans="14:18">
      <c r="N69" s="312"/>
      <c r="Q69" s="312"/>
    </row>
    <row r="70" spans="14:18">
      <c r="N70" s="312"/>
      <c r="Q70" s="312"/>
    </row>
    <row r="71" spans="14:18">
      <c r="N71" s="312"/>
      <c r="Q71" s="312"/>
    </row>
    <row r="74" spans="14:18">
      <c r="R74" s="312"/>
    </row>
    <row r="75" spans="14:18">
      <c r="N75" s="312"/>
      <c r="O75" s="312"/>
      <c r="R75" s="312"/>
    </row>
    <row r="76" spans="14:18">
      <c r="N76" s="312"/>
      <c r="O76" s="312"/>
      <c r="R76" s="312"/>
    </row>
    <row r="77" spans="14:18">
      <c r="N77" s="312"/>
      <c r="O77" s="312"/>
      <c r="R77" s="312"/>
    </row>
    <row r="78" spans="14:18">
      <c r="N78" s="312"/>
      <c r="O78" s="312"/>
      <c r="R78" s="312"/>
    </row>
    <row r="79" spans="14:18">
      <c r="N79" s="312"/>
      <c r="O79" s="312"/>
      <c r="R79" s="312"/>
    </row>
    <row r="80" spans="14:18">
      <c r="N80" s="312"/>
      <c r="O80" s="312"/>
      <c r="R80" s="312"/>
    </row>
    <row r="81" spans="14:18">
      <c r="N81" s="312"/>
      <c r="O81" s="312"/>
      <c r="R81" s="312"/>
    </row>
    <row r="82" spans="14:18">
      <c r="N82" s="312"/>
      <c r="O82" s="312"/>
      <c r="R82" s="312"/>
    </row>
    <row r="83" spans="14:18">
      <c r="N83" s="312"/>
      <c r="O83" s="312"/>
      <c r="R83" s="312"/>
    </row>
    <row r="84" spans="14:18">
      <c r="N84" s="312"/>
      <c r="O84" s="312"/>
      <c r="R84" s="312"/>
    </row>
    <row r="85" spans="14:18">
      <c r="N85" s="312"/>
      <c r="O85" s="312"/>
      <c r="R85" s="312"/>
    </row>
    <row r="86" spans="14:18">
      <c r="N86" s="312"/>
      <c r="O86" s="312"/>
      <c r="R86" s="312"/>
    </row>
    <row r="87" spans="14:18">
      <c r="N87" s="312"/>
      <c r="O87" s="312"/>
      <c r="R87" s="312"/>
    </row>
    <row r="88" spans="14:18">
      <c r="N88" s="312"/>
      <c r="O88" s="312"/>
      <c r="R88" s="312"/>
    </row>
    <row r="89" spans="14:18">
      <c r="N89" s="312"/>
      <c r="O89" s="312"/>
      <c r="R89" s="312"/>
    </row>
    <row r="90" spans="14:18">
      <c r="N90" s="312"/>
      <c r="O90" s="312"/>
      <c r="R90" s="312"/>
    </row>
    <row r="91" spans="14:18">
      <c r="N91" s="312"/>
      <c r="O91" s="312"/>
      <c r="R91" s="312"/>
    </row>
    <row r="92" spans="14:18">
      <c r="N92" s="312"/>
      <c r="O92" s="312"/>
      <c r="R92" s="312"/>
    </row>
    <row r="93" spans="14:18">
      <c r="N93" s="312"/>
      <c r="O93" s="312"/>
      <c r="R93" s="312"/>
    </row>
    <row r="94" spans="14:18">
      <c r="N94" s="312"/>
      <c r="O94" s="312"/>
      <c r="R94" s="312"/>
    </row>
    <row r="95" spans="14:18">
      <c r="N95" s="312"/>
      <c r="O95" s="312"/>
      <c r="R95" s="312"/>
    </row>
    <row r="96" spans="14:18">
      <c r="N96" s="312"/>
      <c r="O96" s="312"/>
      <c r="R96" s="312"/>
    </row>
    <row r="97" spans="14:18">
      <c r="N97" s="312"/>
      <c r="O97" s="312"/>
      <c r="R97" s="312"/>
    </row>
    <row r="98" spans="14:18">
      <c r="N98" s="312"/>
      <c r="O98" s="312"/>
      <c r="R98" s="312"/>
    </row>
    <row r="99" spans="14:18">
      <c r="N99" s="312"/>
      <c r="O99" s="312"/>
      <c r="R99" s="312"/>
    </row>
    <row r="100" spans="14:18">
      <c r="N100" s="312"/>
      <c r="O100" s="312"/>
      <c r="R100" s="312"/>
    </row>
    <row r="101" spans="14:18">
      <c r="N101" s="312"/>
      <c r="O101" s="312"/>
      <c r="R101" s="312"/>
    </row>
    <row r="102" spans="14:18">
      <c r="N102" s="312"/>
      <c r="O102" s="312"/>
      <c r="R102" s="312"/>
    </row>
    <row r="103" spans="14:18">
      <c r="N103" s="312"/>
      <c r="O103" s="312"/>
      <c r="R103" s="312"/>
    </row>
    <row r="104" spans="14:18">
      <c r="N104" s="312"/>
      <c r="O104" s="312"/>
      <c r="R104" s="312"/>
    </row>
    <row r="105" spans="14:18">
      <c r="N105" s="312"/>
      <c r="O105" s="312"/>
      <c r="R105" s="312"/>
    </row>
    <row r="106" spans="14:18">
      <c r="N106" s="312"/>
      <c r="O106" s="312"/>
      <c r="R106" s="312"/>
    </row>
    <row r="107" spans="14:18">
      <c r="N107" s="312"/>
      <c r="O107" s="312"/>
      <c r="R107" s="312"/>
    </row>
    <row r="108" spans="14:18">
      <c r="N108" s="312"/>
      <c r="O108" s="312"/>
      <c r="R108" s="312"/>
    </row>
    <row r="109" spans="14:18">
      <c r="N109" s="312"/>
      <c r="O109" s="312"/>
      <c r="R109" s="312"/>
    </row>
    <row r="110" spans="14:18">
      <c r="N110" s="312"/>
      <c r="O110" s="312"/>
      <c r="R110" s="312"/>
    </row>
    <row r="111" spans="14:18">
      <c r="N111" s="312"/>
      <c r="O111" s="312"/>
      <c r="R111" s="312"/>
    </row>
    <row r="112" spans="14:18">
      <c r="N112" s="312"/>
      <c r="O112" s="312"/>
      <c r="R112" s="312"/>
    </row>
    <row r="113" spans="14:18">
      <c r="N113" s="312"/>
      <c r="O113" s="312"/>
      <c r="R113" s="312"/>
    </row>
    <row r="114" spans="14:18">
      <c r="N114" s="312"/>
      <c r="O114" s="312"/>
      <c r="R114" s="312"/>
    </row>
  </sheetData>
  <mergeCells count="2">
    <mergeCell ref="O4:P4"/>
    <mergeCell ref="O5:P5"/>
  </mergeCells>
  <dataValidations count="9">
    <dataValidation type="list" allowBlank="1" showInputMessage="1" showErrorMessage="1" sqref="C33">
      <formula1>$E$31:$E$45</formula1>
    </dataValidation>
    <dataValidation type="list" allowBlank="1" showInputMessage="1" showErrorMessage="1" sqref="C32 J7 J11 J4 J29">
      <formula1>"BID,ASK,MID"</formula1>
    </dataValidation>
    <dataValidation type="list" allowBlank="1" showInputMessage="1" showErrorMessage="1" sqref="C15">
      <formula1>"ACT/ACT,ACT/360,ACT/365"</formula1>
    </dataValidation>
    <dataValidation type="list" allowBlank="1" showInputMessage="1" showErrorMessage="1" sqref="C13:C14 C21:C22">
      <formula1>"SEMI-ANNUAL,QUARTERLY"</formula1>
    </dataValidation>
    <dataValidation type="list" allowBlank="1" showInputMessage="1" showErrorMessage="1" sqref="P24:P25">
      <formula1>"QUARTERLY,SEMI-ANNUAL"</formula1>
    </dataValidation>
    <dataValidation type="list" allowBlank="1" showInputMessage="1" showErrorMessage="1" sqref="C23">
      <formula1>"TRUE,FALSE"</formula1>
    </dataValidation>
    <dataValidation type="list" allowBlank="1" showInputMessage="1" showErrorMessage="1" sqref="O35:P35">
      <formula1>"EOM,IMM,1,2,3,4,5,6,7,8,9,10,11,12,13,14,15,16,17,18,19,20,21,22,23,24,25,26,27,28,29,30,31"</formula1>
    </dataValidation>
    <dataValidation type="list" allowBlank="1" showInputMessage="1" showErrorMessage="1" sqref="O43:P46 O40:P40">
      <formula1>"SHORTSTART,SHORTEND,LONGSTART,LONGEND"</formula1>
    </dataValidation>
    <dataValidation type="list" allowBlank="1" showInputMessage="1" showErrorMessage="1" sqref="P39">
      <formula1>"FLAT,SIMPLE,GEOMETRIC,ARITHMETIC,NONE"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U94"/>
  <sheetViews>
    <sheetView showGridLines="0" zoomScaleNormal="100" workbookViewId="0"/>
  </sheetViews>
  <sheetFormatPr defaultRowHeight="15" outlineLevelCol="1"/>
  <cols>
    <col min="1" max="1" width="4.7109375" style="306" customWidth="1"/>
    <col min="2" max="2" width="33.5703125" style="306" customWidth="1"/>
    <col min="3" max="3" width="25.7109375" style="306" customWidth="1"/>
    <col min="4" max="4" width="4.7109375" style="306" customWidth="1"/>
    <col min="5" max="5" width="30.7109375" style="306" customWidth="1"/>
    <col min="6" max="6" width="29.42578125" style="306" bestFit="1" customWidth="1"/>
    <col min="7" max="7" width="4.7109375" style="306" customWidth="1"/>
    <col min="8" max="8" width="30.7109375" style="306" customWidth="1"/>
    <col min="9" max="10" width="20.7109375" style="306" customWidth="1"/>
    <col min="11" max="11" width="11.5703125" style="306" bestFit="1" customWidth="1"/>
    <col min="12" max="12" width="22.5703125" style="306" customWidth="1"/>
    <col min="13" max="13" width="10.28515625" style="306" hidden="1" customWidth="1" outlineLevel="1"/>
    <col min="14" max="14" width="27.42578125" style="306" hidden="1" customWidth="1" outlineLevel="1"/>
    <col min="15" max="16" width="18.7109375" style="306" hidden="1" customWidth="1" outlineLevel="1"/>
    <col min="17" max="17" width="4.7109375" style="306" hidden="1" customWidth="1" outlineLevel="1"/>
    <col min="18" max="18" width="23.5703125" style="306" hidden="1" customWidth="1" outlineLevel="1"/>
    <col min="19" max="19" width="11" style="306" hidden="1" customWidth="1" outlineLevel="1"/>
    <col min="20" max="20" width="12.28515625" style="306" bestFit="1" customWidth="1" collapsed="1"/>
    <col min="21" max="16384" width="9.140625" style="306"/>
  </cols>
  <sheetData>
    <row r="1" spans="2:20">
      <c r="T1" s="23" t="s">
        <v>130</v>
      </c>
    </row>
    <row r="2" spans="2:20">
      <c r="B2" s="1" t="s">
        <v>74</v>
      </c>
      <c r="D2" s="306" t="s">
        <v>63</v>
      </c>
      <c r="E2" s="1" t="s">
        <v>62</v>
      </c>
      <c r="G2" s="306" t="s">
        <v>63</v>
      </c>
      <c r="H2" s="1" t="s">
        <v>58</v>
      </c>
      <c r="K2" s="306" t="s">
        <v>63</v>
      </c>
      <c r="T2" s="23"/>
    </row>
    <row r="3" spans="2:20">
      <c r="B3" s="17" t="s">
        <v>211</v>
      </c>
      <c r="C3" s="292">
        <f ca="1">Settings.COB</f>
        <v>43420</v>
      </c>
      <c r="D3" s="306" t="s">
        <v>63</v>
      </c>
      <c r="E3" s="4" t="s">
        <v>66</v>
      </c>
      <c r="F3" s="15" t="str">
        <f>F10</f>
        <v>AU3CB0250215</v>
      </c>
      <c r="G3" s="306" t="s">
        <v>63</v>
      </c>
      <c r="H3" s="4" t="s">
        <v>66</v>
      </c>
      <c r="I3" s="479" t="s">
        <v>129</v>
      </c>
      <c r="J3" s="480"/>
      <c r="K3" s="306" t="s">
        <v>63</v>
      </c>
    </row>
    <row r="4" spans="2:20">
      <c r="B4" s="307" t="s">
        <v>70</v>
      </c>
      <c r="C4" s="34" t="s">
        <v>55</v>
      </c>
      <c r="D4" s="306" t="s">
        <v>63</v>
      </c>
      <c r="E4" s="7" t="s">
        <v>65</v>
      </c>
      <c r="F4" s="14" t="str">
        <f ca="1">IF('AUD CURVE'!$D$99,_xll.meLWOBondCreateFromLVB(F3,E7:F33),"#LOAD Curve")</f>
        <v>AU3CB0250215@69:4</v>
      </c>
      <c r="G4" s="306" t="s">
        <v>63</v>
      </c>
      <c r="H4" s="7" t="s">
        <v>64</v>
      </c>
      <c r="I4" s="481" t="str">
        <f ca="1">IF('AUD CURVE'!$D$99,_xll.meLWOSwapCreate(I3,H7:J47),"#LOAD Curve")</f>
        <v>AUD_ASSET_SWAP@70:4</v>
      </c>
      <c r="J4" s="482"/>
      <c r="K4" s="306" t="s">
        <v>63</v>
      </c>
    </row>
    <row r="5" spans="2:20">
      <c r="B5" s="307" t="s">
        <v>73</v>
      </c>
      <c r="C5" s="34" t="s">
        <v>49</v>
      </c>
      <c r="D5" s="306" t="s">
        <v>63</v>
      </c>
      <c r="G5" s="306" t="s">
        <v>63</v>
      </c>
      <c r="K5" s="306" t="s">
        <v>63</v>
      </c>
    </row>
    <row r="6" spans="2:20">
      <c r="B6" s="307" t="s">
        <v>71</v>
      </c>
      <c r="C6" s="34" t="s">
        <v>110</v>
      </c>
      <c r="D6" s="306" t="s">
        <v>63</v>
      </c>
      <c r="E6" s="1" t="s">
        <v>1</v>
      </c>
      <c r="F6" s="2"/>
      <c r="G6" s="306" t="s">
        <v>63</v>
      </c>
      <c r="H6" s="1" t="s">
        <v>58</v>
      </c>
      <c r="I6" s="9" t="s">
        <v>59</v>
      </c>
      <c r="J6" s="9" t="s">
        <v>60</v>
      </c>
      <c r="K6" s="306" t="s">
        <v>63</v>
      </c>
    </row>
    <row r="7" spans="2:20">
      <c r="B7" s="308" t="s">
        <v>68</v>
      </c>
      <c r="C7" s="21">
        <f ca="1">_xll.meDateFromTenor(C3,C4,C5,C6)</f>
        <v>43424</v>
      </c>
      <c r="D7" s="306" t="s">
        <v>63</v>
      </c>
      <c r="E7" s="4" t="s">
        <v>2</v>
      </c>
      <c r="F7" s="35" t="str">
        <f>C12</f>
        <v>AU3CB0250215 Corp</v>
      </c>
      <c r="G7" s="306" t="s">
        <v>63</v>
      </c>
      <c r="H7" s="11" t="s">
        <v>32</v>
      </c>
      <c r="I7" s="58" t="s">
        <v>87</v>
      </c>
      <c r="J7" s="58" t="s">
        <v>33</v>
      </c>
      <c r="K7" s="306" t="s">
        <v>63</v>
      </c>
      <c r="L7" s="23" t="s">
        <v>583</v>
      </c>
    </row>
    <row r="8" spans="2:20">
      <c r="D8" s="306" t="s">
        <v>63</v>
      </c>
      <c r="E8" s="5" t="s">
        <v>3</v>
      </c>
      <c r="F8" s="36" t="s">
        <v>4</v>
      </c>
      <c r="G8" s="306" t="s">
        <v>63</v>
      </c>
      <c r="H8" s="307" t="s">
        <v>34</v>
      </c>
      <c r="I8" s="47">
        <f>F16</f>
        <v>1000000</v>
      </c>
      <c r="J8" s="47">
        <f>F16</f>
        <v>1000000</v>
      </c>
      <c r="K8" s="306" t="s">
        <v>63</v>
      </c>
      <c r="L8" s="59">
        <f>IF(COUNT(N15)=1,N15%,"#ERROR: BBG DATA")</f>
        <v>2.0288E-2</v>
      </c>
    </row>
    <row r="9" spans="2:20">
      <c r="B9" s="1" t="s">
        <v>380</v>
      </c>
      <c r="D9" s="306" t="s">
        <v>63</v>
      </c>
      <c r="E9" s="5" t="s">
        <v>5</v>
      </c>
      <c r="F9" s="39" t="s">
        <v>111</v>
      </c>
      <c r="G9" s="306" t="s">
        <v>63</v>
      </c>
      <c r="H9" s="307" t="s">
        <v>13</v>
      </c>
      <c r="I9" s="48" t="s">
        <v>119</v>
      </c>
      <c r="J9" s="48" t="str">
        <f>I9</f>
        <v>NONE</v>
      </c>
      <c r="K9" s="306" t="s">
        <v>63</v>
      </c>
    </row>
    <row r="10" spans="2:20">
      <c r="B10" s="4" t="s">
        <v>381</v>
      </c>
      <c r="C10" s="293" t="s">
        <v>154</v>
      </c>
      <c r="D10" s="306" t="s">
        <v>63</v>
      </c>
      <c r="E10" s="5" t="s">
        <v>6</v>
      </c>
      <c r="F10" s="46" t="str">
        <f>LEFT(C12,12)</f>
        <v>AU3CB0250215</v>
      </c>
      <c r="G10" s="306" t="s">
        <v>63</v>
      </c>
      <c r="H10" s="307" t="s">
        <v>11</v>
      </c>
      <c r="I10" s="48" t="s">
        <v>35</v>
      </c>
      <c r="J10" s="48" t="s">
        <v>12</v>
      </c>
      <c r="K10" s="306" t="s">
        <v>63</v>
      </c>
      <c r="L10" s="23" t="s">
        <v>584</v>
      </c>
      <c r="N10" s="23" t="s">
        <v>86</v>
      </c>
      <c r="R10" s="412"/>
    </row>
    <row r="11" spans="2:20">
      <c r="B11" s="5" t="s">
        <v>382</v>
      </c>
      <c r="C11" s="294" t="s">
        <v>383</v>
      </c>
      <c r="D11" s="306" t="s">
        <v>63</v>
      </c>
      <c r="E11" s="5" t="s">
        <v>7</v>
      </c>
      <c r="F11" s="36" t="s">
        <v>8</v>
      </c>
      <c r="G11" s="306" t="s">
        <v>63</v>
      </c>
      <c r="H11" s="307" t="s">
        <v>36</v>
      </c>
      <c r="I11" s="53"/>
      <c r="J11" s="56" t="str">
        <f>IF(J23="QUARTERLY","AUD3ML","AUD6ML")</f>
        <v>AUD3ML</v>
      </c>
      <c r="K11" s="306" t="s">
        <v>63</v>
      </c>
      <c r="L11" s="59" t="str">
        <f ca="1">IF($O$21&lt;$C$3,"RESET REQUIRED",IF('AUD CURVE'!$D$99,_xll.meProductSwapStubRate($R$21:$R$23,$S$21:$S$23,,$N$21:$O$33),"#LOAD CURVE"))</f>
        <v>RESET REQUIRED</v>
      </c>
      <c r="M11" s="306" t="s">
        <v>63</v>
      </c>
      <c r="N11" s="79" t="str">
        <f>IF(J23="QUARTERLY",R40,R41)</f>
        <v>ADBB3M Curncy</v>
      </c>
      <c r="P11" s="412"/>
      <c r="R11" s="412"/>
    </row>
    <row r="12" spans="2:20">
      <c r="B12" s="5" t="s">
        <v>384</v>
      </c>
      <c r="C12" s="295" t="s">
        <v>578</v>
      </c>
      <c r="D12" s="306" t="s">
        <v>63</v>
      </c>
      <c r="E12" s="5" t="s">
        <v>9</v>
      </c>
      <c r="F12" s="46" t="b">
        <f>$C$15="CLEAN"</f>
        <v>1</v>
      </c>
      <c r="G12" s="306" t="s">
        <v>63</v>
      </c>
      <c r="H12" s="307" t="s">
        <v>37</v>
      </c>
      <c r="I12" s="48" t="s">
        <v>112</v>
      </c>
      <c r="J12" s="48" t="s">
        <v>112</v>
      </c>
      <c r="K12" s="306" t="s">
        <v>63</v>
      </c>
      <c r="N12" s="3" t="s">
        <v>122</v>
      </c>
    </row>
    <row r="13" spans="2:20">
      <c r="B13" s="5" t="s">
        <v>385</v>
      </c>
      <c r="C13" s="407">
        <f>IF($C$14="",_xll.BDP($C$12,"YAS_BOND_YLD"),$C$14)</f>
        <v>3.2647689999999998</v>
      </c>
      <c r="D13" s="306" t="s">
        <v>63</v>
      </c>
      <c r="E13" s="5" t="s">
        <v>10</v>
      </c>
      <c r="F13" s="38" t="s">
        <v>567</v>
      </c>
      <c r="G13" s="306" t="s">
        <v>63</v>
      </c>
      <c r="H13" s="307" t="s">
        <v>5</v>
      </c>
      <c r="I13" s="48" t="s">
        <v>111</v>
      </c>
      <c r="J13" s="48" t="s">
        <v>111</v>
      </c>
      <c r="K13" s="306" t="s">
        <v>63</v>
      </c>
      <c r="N13" s="3" t="s">
        <v>55</v>
      </c>
    </row>
    <row r="14" spans="2:20">
      <c r="B14" s="5" t="s">
        <v>386</v>
      </c>
      <c r="C14" s="409"/>
      <c r="D14" s="306" t="s">
        <v>63</v>
      </c>
      <c r="E14" s="5" t="s">
        <v>11</v>
      </c>
      <c r="F14" s="39" t="s">
        <v>12</v>
      </c>
      <c r="G14" s="306" t="s">
        <v>63</v>
      </c>
      <c r="H14" s="307" t="s">
        <v>38</v>
      </c>
      <c r="I14" s="49">
        <v>1</v>
      </c>
      <c r="J14" s="49">
        <v>1</v>
      </c>
      <c r="K14" s="306" t="s">
        <v>63</v>
      </c>
      <c r="N14" s="16">
        <f>_xll.meDateFromTenor(J21,"-"&amp;N13,"MOD_FOLLOWING","LNB:SYB")</f>
        <v>43294</v>
      </c>
    </row>
    <row r="15" spans="2:20">
      <c r="B15" s="5" t="s">
        <v>556</v>
      </c>
      <c r="C15" s="81" t="s">
        <v>557</v>
      </c>
      <c r="D15" s="306" t="s">
        <v>63</v>
      </c>
      <c r="E15" s="5" t="s">
        <v>13</v>
      </c>
      <c r="F15" s="40" t="s">
        <v>14</v>
      </c>
      <c r="G15" s="306" t="s">
        <v>63</v>
      </c>
      <c r="H15" s="307" t="s">
        <v>39</v>
      </c>
      <c r="I15" s="57">
        <f>F22</f>
        <v>3.4500000000000003E-2</v>
      </c>
      <c r="J15" s="50"/>
      <c r="K15" s="306" t="s">
        <v>63</v>
      </c>
      <c r="N15" s="87">
        <f>_xll.BDH(N11,N12,N14,N14)</f>
        <v>2.0287999999999999</v>
      </c>
    </row>
    <row r="16" spans="2:20">
      <c r="B16" s="5" t="s">
        <v>192</v>
      </c>
      <c r="C16" s="81" t="s">
        <v>312</v>
      </c>
      <c r="D16" s="306" t="s">
        <v>63</v>
      </c>
      <c r="E16" s="5" t="s">
        <v>15</v>
      </c>
      <c r="F16" s="296">
        <v>1000000</v>
      </c>
      <c r="G16" s="306" t="s">
        <v>63</v>
      </c>
      <c r="H16" s="307" t="s">
        <v>40</v>
      </c>
      <c r="I16" s="48"/>
      <c r="J16" s="48" t="s">
        <v>89</v>
      </c>
      <c r="K16" s="306" t="s">
        <v>63</v>
      </c>
    </row>
    <row r="17" spans="2:19">
      <c r="B17" s="5" t="s">
        <v>555</v>
      </c>
      <c r="C17" s="81" t="s">
        <v>29</v>
      </c>
      <c r="D17" s="306" t="s">
        <v>63</v>
      </c>
      <c r="E17" s="5" t="s">
        <v>82</v>
      </c>
      <c r="F17" s="310">
        <f>VALUE(_xll.BDP($C$12,"ISSUE_DT"))</f>
        <v>43125</v>
      </c>
      <c r="G17" s="306" t="s">
        <v>63</v>
      </c>
      <c r="H17" s="307" t="s">
        <v>41</v>
      </c>
      <c r="I17" s="48"/>
      <c r="J17" s="48" t="s">
        <v>89</v>
      </c>
      <c r="K17" s="306" t="s">
        <v>63</v>
      </c>
      <c r="L17" s="23" t="s">
        <v>573</v>
      </c>
    </row>
    <row r="18" spans="2:19">
      <c r="B18" s="5" t="s">
        <v>378</v>
      </c>
      <c r="C18" s="408" t="s">
        <v>46</v>
      </c>
      <c r="D18" s="306" t="s">
        <v>63</v>
      </c>
      <c r="E18" s="5" t="s">
        <v>83</v>
      </c>
      <c r="F18" s="310">
        <f>VALUE(_xll.BDP($C$12,"START_ACC_DT"))</f>
        <v>43117</v>
      </c>
      <c r="G18" s="306" t="s">
        <v>63</v>
      </c>
      <c r="H18" s="307" t="s">
        <v>42</v>
      </c>
      <c r="I18" s="51"/>
      <c r="J18" s="68">
        <f>IF(ISBLANK($L$18),"",$L$18)</f>
        <v>2.0288E-2</v>
      </c>
      <c r="K18" s="306" t="s">
        <v>63</v>
      </c>
      <c r="L18" s="436">
        <f>IF(ISBLANK($L$21),IF($C$20,$L$8,$L$11),$L$21)</f>
        <v>2.0288E-2</v>
      </c>
      <c r="O18" s="306" t="s">
        <v>63</v>
      </c>
    </row>
    <row r="19" spans="2:19">
      <c r="B19" s="5" t="s">
        <v>379</v>
      </c>
      <c r="C19" s="408" t="s">
        <v>46</v>
      </c>
      <c r="D19" s="306" t="s">
        <v>63</v>
      </c>
      <c r="E19" s="6" t="s">
        <v>16</v>
      </c>
      <c r="F19" s="310">
        <f>VALUE(_xll.BDP($C$12,"FIRST_CPN_DT"))</f>
        <v>43298</v>
      </c>
      <c r="G19" s="306" t="s">
        <v>63</v>
      </c>
      <c r="H19" s="307" t="s">
        <v>43</v>
      </c>
      <c r="I19" s="51"/>
      <c r="J19" s="51"/>
      <c r="K19" s="306" t="s">
        <v>63</v>
      </c>
      <c r="L19" s="412"/>
      <c r="N19" s="25"/>
    </row>
    <row r="20" spans="2:19">
      <c r="B20" s="7" t="s">
        <v>580</v>
      </c>
      <c r="C20" s="410" t="b">
        <v>1</v>
      </c>
      <c r="D20" s="306" t="s">
        <v>63</v>
      </c>
      <c r="E20" s="6" t="s">
        <v>17</v>
      </c>
      <c r="F20" s="310">
        <f>VALUE(_xll.BDP($C$12,"PENULTIMATE_CPN_DT"))</f>
        <v>46769</v>
      </c>
      <c r="G20" s="306" t="s">
        <v>63</v>
      </c>
      <c r="H20" s="307" t="s">
        <v>44</v>
      </c>
      <c r="I20" s="49"/>
      <c r="J20" s="52"/>
      <c r="K20" s="306" t="s">
        <v>63</v>
      </c>
      <c r="L20" s="23" t="s">
        <v>579</v>
      </c>
      <c r="N20" s="1" t="s">
        <v>108</v>
      </c>
      <c r="R20" s="26" t="s">
        <v>91</v>
      </c>
      <c r="S20" s="26" t="s">
        <v>90</v>
      </c>
    </row>
    <row r="21" spans="2:19">
      <c r="B21" s="438" t="s">
        <v>581</v>
      </c>
      <c r="D21" s="306" t="s">
        <v>63</v>
      </c>
      <c r="E21" s="5" t="s">
        <v>18</v>
      </c>
      <c r="F21" s="310">
        <f>VALUE(_xll.BDP($C$12,"MATURITY"))</f>
        <v>46951</v>
      </c>
      <c r="G21" s="306" t="s">
        <v>63</v>
      </c>
      <c r="H21" s="307" t="s">
        <v>45</v>
      </c>
      <c r="I21" s="310">
        <f>F34</f>
        <v>43298</v>
      </c>
      <c r="J21" s="310">
        <f>IF($C$20,$I$21,$C$7)</f>
        <v>43298</v>
      </c>
      <c r="K21" s="306" t="s">
        <v>63</v>
      </c>
      <c r="L21" s="437"/>
      <c r="N21" s="11" t="s">
        <v>45</v>
      </c>
      <c r="O21" s="27">
        <f>$J$21</f>
        <v>43298</v>
      </c>
      <c r="R21" s="441" t="s">
        <v>586</v>
      </c>
      <c r="S21" s="442" t="s">
        <v>69</v>
      </c>
    </row>
    <row r="22" spans="2:19">
      <c r="D22" s="306" t="s">
        <v>63</v>
      </c>
      <c r="E22" s="5" t="s">
        <v>19</v>
      </c>
      <c r="F22" s="69">
        <f>_xll.BDP($C$12,"CPN")/100</f>
        <v>3.4500000000000003E-2</v>
      </c>
      <c r="G22" s="306" t="s">
        <v>63</v>
      </c>
      <c r="H22" s="307" t="s">
        <v>18</v>
      </c>
      <c r="I22" s="30">
        <f>F21</f>
        <v>46951</v>
      </c>
      <c r="J22" s="30">
        <f>I22</f>
        <v>46951</v>
      </c>
      <c r="K22" s="306" t="s">
        <v>63</v>
      </c>
      <c r="N22" s="307" t="s">
        <v>18</v>
      </c>
      <c r="O22" s="16">
        <f>$J$22</f>
        <v>46951</v>
      </c>
      <c r="R22" s="443" t="s">
        <v>113</v>
      </c>
      <c r="S22" s="444" t="s">
        <v>94</v>
      </c>
    </row>
    <row r="23" spans="2:19">
      <c r="B23" s="1" t="s">
        <v>67</v>
      </c>
      <c r="D23" s="306" t="s">
        <v>63</v>
      </c>
      <c r="E23" s="5" t="s">
        <v>20</v>
      </c>
      <c r="F23" s="56" t="str">
        <f>$C$16</f>
        <v>SEMI-ANNUAL</v>
      </c>
      <c r="G23" s="306" t="s">
        <v>63</v>
      </c>
      <c r="H23" s="307" t="s">
        <v>376</v>
      </c>
      <c r="I23" s="56" t="str">
        <f>$C$16</f>
        <v>SEMI-ANNUAL</v>
      </c>
      <c r="J23" s="56" t="str">
        <f>$C$18</f>
        <v>QUARTERLY</v>
      </c>
      <c r="K23" s="306" t="s">
        <v>63</v>
      </c>
      <c r="N23" s="307" t="s">
        <v>84</v>
      </c>
      <c r="O23" s="28" t="str">
        <f>$C$42</f>
        <v>AUDYC</v>
      </c>
      <c r="R23" s="445" t="s">
        <v>116</v>
      </c>
      <c r="S23" s="446" t="s">
        <v>95</v>
      </c>
    </row>
    <row r="24" spans="2:19">
      <c r="B24" s="4" t="s">
        <v>0</v>
      </c>
      <c r="C24" s="414">
        <f>IF(ISNUMBER($C$13),$C$13%,"#LOAD BBG DATA")</f>
        <v>3.264769E-2</v>
      </c>
      <c r="D24" s="306" t="s">
        <v>63</v>
      </c>
      <c r="E24" s="5" t="s">
        <v>21</v>
      </c>
      <c r="F24" s="41" t="s">
        <v>22</v>
      </c>
      <c r="G24" s="306" t="s">
        <v>63</v>
      </c>
      <c r="H24" s="307" t="s">
        <v>377</v>
      </c>
      <c r="I24" s="56" t="str">
        <f>$C$16</f>
        <v>SEMI-ANNUAL</v>
      </c>
      <c r="J24" s="56" t="str">
        <f>$C$19</f>
        <v>QUARTERLY</v>
      </c>
      <c r="K24" s="306" t="s">
        <v>63</v>
      </c>
      <c r="N24" s="307" t="s">
        <v>97</v>
      </c>
      <c r="O24" s="28" t="str">
        <f>$J$16</f>
        <v>NATURAL</v>
      </c>
    </row>
    <row r="25" spans="2:19">
      <c r="B25" s="5" t="s">
        <v>79</v>
      </c>
      <c r="C25" s="413">
        <f ca="1">IF(ISNUMBER($C$13),_xll.meLWOBondPrice($F$4,$C$7,$C$24),"#LOAD BBG DATA")</f>
        <v>101.521</v>
      </c>
      <c r="D25" s="306" t="s">
        <v>63</v>
      </c>
      <c r="E25" s="5" t="s">
        <v>23</v>
      </c>
      <c r="F25" s="39" t="s">
        <v>110</v>
      </c>
      <c r="G25" s="306" t="s">
        <v>63</v>
      </c>
      <c r="H25" s="307" t="s">
        <v>47</v>
      </c>
      <c r="I25" s="80" t="str">
        <f>F29</f>
        <v>ACT/ACT</v>
      </c>
      <c r="J25" s="39" t="s">
        <v>118</v>
      </c>
      <c r="K25" s="306" t="s">
        <v>63</v>
      </c>
      <c r="N25" s="307" t="s">
        <v>98</v>
      </c>
      <c r="O25" s="28" t="str">
        <f>$J$23</f>
        <v>QUARTERLY</v>
      </c>
    </row>
    <row r="26" spans="2:19">
      <c r="B26" s="5" t="s">
        <v>75</v>
      </c>
      <c r="C26" s="18">
        <f ca="1">IF(ISNUMBER($C$13),_xll.meLWOBondCleanPrice($F$4,$C$7,$C$24),"#LOAD BBG DATA")</f>
        <v>101.521</v>
      </c>
      <c r="D26" s="306" t="s">
        <v>63</v>
      </c>
      <c r="E26" s="5" t="s">
        <v>24</v>
      </c>
      <c r="F26" s="39" t="s">
        <v>22</v>
      </c>
      <c r="G26" s="306" t="s">
        <v>63</v>
      </c>
      <c r="H26" s="307" t="s">
        <v>48</v>
      </c>
      <c r="I26" s="54"/>
      <c r="J26" s="39" t="s">
        <v>566</v>
      </c>
      <c r="K26" s="306" t="s">
        <v>63</v>
      </c>
      <c r="N26" s="307" t="s">
        <v>99</v>
      </c>
      <c r="O26" s="28" t="str">
        <f>$J$25</f>
        <v>ACT/365</v>
      </c>
    </row>
    <row r="27" spans="2:19">
      <c r="B27" s="5" t="s">
        <v>76</v>
      </c>
      <c r="C27" s="18">
        <f ca="1">IF(ISNUMBER($C$13),_xll.meLWOBondDirtyPrice($F$4,$C$7,$C$24),"#LOAD BBG DATA")</f>
        <v>102.702</v>
      </c>
      <c r="D27" s="306" t="s">
        <v>63</v>
      </c>
      <c r="E27" s="5" t="s">
        <v>25</v>
      </c>
      <c r="F27" s="39" t="s">
        <v>110</v>
      </c>
      <c r="G27" s="306" t="s">
        <v>63</v>
      </c>
      <c r="H27" s="307" t="s">
        <v>50</v>
      </c>
      <c r="I27" s="39"/>
      <c r="J27" s="39" t="s">
        <v>565</v>
      </c>
      <c r="K27" s="306" t="s">
        <v>63</v>
      </c>
      <c r="N27" s="307" t="s">
        <v>100</v>
      </c>
      <c r="O27" s="28" t="str">
        <f>$J$26</f>
        <v>PRECEDING</v>
      </c>
    </row>
    <row r="28" spans="2:19">
      <c r="B28" s="5" t="s">
        <v>77</v>
      </c>
      <c r="C28" s="10">
        <f ca="1">_xll.meLWOBondAccruedInterestDays($F$4,$C$7)</f>
        <v>126</v>
      </c>
      <c r="D28" s="306" t="s">
        <v>63</v>
      </c>
      <c r="E28" s="5" t="s">
        <v>26</v>
      </c>
      <c r="F28" s="37" t="s">
        <v>27</v>
      </c>
      <c r="G28" s="306" t="s">
        <v>63</v>
      </c>
      <c r="H28" s="307" t="s">
        <v>21</v>
      </c>
      <c r="I28" s="54" t="s">
        <v>22</v>
      </c>
      <c r="J28" s="39" t="s">
        <v>22</v>
      </c>
      <c r="K28" s="306" t="s">
        <v>63</v>
      </c>
      <c r="N28" s="307" t="s">
        <v>101</v>
      </c>
      <c r="O28" s="28" t="str">
        <f>$J$27</f>
        <v>LNB:SYB</v>
      </c>
    </row>
    <row r="29" spans="2:19">
      <c r="B29" s="5" t="s">
        <v>78</v>
      </c>
      <c r="C29" s="8">
        <f ca="1">_xll.meLWOBondAccruedInterest($F$4,$C$7)</f>
        <v>11810</v>
      </c>
      <c r="D29" s="306" t="s">
        <v>63</v>
      </c>
      <c r="E29" s="5" t="s">
        <v>28</v>
      </c>
      <c r="F29" s="80" t="str">
        <f>$C$17</f>
        <v>ACT/ACT</v>
      </c>
      <c r="G29" s="306" t="s">
        <v>63</v>
      </c>
      <c r="H29" s="307" t="s">
        <v>23</v>
      </c>
      <c r="I29" s="39" t="s">
        <v>110</v>
      </c>
      <c r="J29" s="39" t="s">
        <v>110</v>
      </c>
      <c r="K29" s="306" t="s">
        <v>63</v>
      </c>
      <c r="L29" s="67"/>
      <c r="N29" s="307" t="s">
        <v>102</v>
      </c>
      <c r="O29" s="28"/>
    </row>
    <row r="30" spans="2:19">
      <c r="B30" s="5" t="s">
        <v>81</v>
      </c>
      <c r="C30" s="20">
        <f ca="1">IF(ISNUMBER($C$13),_xll.meLWOBondModifiedDuration($F$4,$C$7,$C$24),"#LOAD BBG DATA")</f>
        <v>8.0812399696255035</v>
      </c>
      <c r="D30" s="306" t="s">
        <v>63</v>
      </c>
      <c r="E30" s="5" t="s">
        <v>30</v>
      </c>
      <c r="F30" s="42"/>
      <c r="G30" s="306" t="s">
        <v>63</v>
      </c>
      <c r="H30" s="307" t="s">
        <v>24</v>
      </c>
      <c r="I30" s="54" t="s">
        <v>22</v>
      </c>
      <c r="J30" s="39" t="s">
        <v>22</v>
      </c>
      <c r="K30" s="306" t="s">
        <v>63</v>
      </c>
      <c r="N30" s="307" t="s">
        <v>103</v>
      </c>
      <c r="O30" s="28" t="s">
        <v>55</v>
      </c>
    </row>
    <row r="31" spans="2:19">
      <c r="B31" s="7" t="s">
        <v>80</v>
      </c>
      <c r="C31" s="19">
        <f ca="1">IF(ISNUMBER($C$13),_xll.meLWOBondDV01($F$4,$C$7,$C$24),"#LOAD BBG DATA")</f>
        <v>829.95950736047848</v>
      </c>
      <c r="D31" s="306" t="s">
        <v>63</v>
      </c>
      <c r="E31" s="5" t="s">
        <v>31</v>
      </c>
      <c r="F31" s="43" t="str">
        <f>"TYPE"&amp;_xll.BDP($C$12,"CALC_TYP")</f>
        <v>TYPE23</v>
      </c>
      <c r="G31" s="306" t="s">
        <v>63</v>
      </c>
      <c r="H31" s="307" t="s">
        <v>25</v>
      </c>
      <c r="I31" s="39" t="s">
        <v>110</v>
      </c>
      <c r="J31" s="39" t="s">
        <v>110</v>
      </c>
      <c r="K31" s="306" t="s">
        <v>63</v>
      </c>
      <c r="N31" s="307" t="s">
        <v>104</v>
      </c>
      <c r="O31" s="16" t="str">
        <f>IF(ISBLANK($J$33),"",$J$33)</f>
        <v/>
      </c>
    </row>
    <row r="32" spans="2:19">
      <c r="D32" s="306" t="s">
        <v>63</v>
      </c>
      <c r="E32" s="5" t="s">
        <v>559</v>
      </c>
      <c r="F32" s="416" t="s">
        <v>561</v>
      </c>
      <c r="G32" s="306" t="s">
        <v>63</v>
      </c>
      <c r="H32" s="307" t="s">
        <v>51</v>
      </c>
      <c r="I32" s="55">
        <f>F35</f>
        <v>43482</v>
      </c>
      <c r="J32" s="33"/>
      <c r="K32" s="306" t="s">
        <v>63</v>
      </c>
      <c r="N32" s="307" t="s">
        <v>105</v>
      </c>
      <c r="O32" s="16" t="str">
        <f>IF(ISBLANK($J$34),"",$J$34)</f>
        <v/>
      </c>
    </row>
    <row r="33" spans="2:21">
      <c r="B33" s="1" t="s">
        <v>387</v>
      </c>
      <c r="D33" s="306" t="s">
        <v>63</v>
      </c>
      <c r="E33" s="439" t="s">
        <v>560</v>
      </c>
      <c r="F33" s="440" t="s">
        <v>22</v>
      </c>
      <c r="G33" s="306" t="s">
        <v>63</v>
      </c>
      <c r="H33" s="307" t="s">
        <v>52</v>
      </c>
      <c r="I33" s="55">
        <f>F20</f>
        <v>46769</v>
      </c>
      <c r="J33" s="39"/>
      <c r="K33" s="306" t="s">
        <v>63</v>
      </c>
      <c r="N33" s="308" t="s">
        <v>106</v>
      </c>
      <c r="O33" s="29" t="str">
        <f>$J$38</f>
        <v>SHORTSTART</v>
      </c>
    </row>
    <row r="34" spans="2:21">
      <c r="B34" s="4" t="s">
        <v>388</v>
      </c>
      <c r="C34" s="297" t="str">
        <f ca="1">$F$4</f>
        <v>AU3CB0250215@69:4</v>
      </c>
      <c r="D34" s="306" t="s">
        <v>63</v>
      </c>
      <c r="E34" s="307" t="s">
        <v>391</v>
      </c>
      <c r="F34" s="310">
        <f>VALUE(_xll.BDP($C$12,"PREV_CPN_DT"))</f>
        <v>43298</v>
      </c>
      <c r="G34" s="306" t="s">
        <v>63</v>
      </c>
      <c r="H34" s="307" t="s">
        <v>53</v>
      </c>
      <c r="I34" s="42" t="str">
        <f>IF(F30="","",F30)</f>
        <v/>
      </c>
      <c r="J34" s="42"/>
      <c r="K34" s="306" t="s">
        <v>63</v>
      </c>
    </row>
    <row r="35" spans="2:21">
      <c r="B35" s="5" t="s">
        <v>68</v>
      </c>
      <c r="C35" s="30">
        <f ca="1">$C$7</f>
        <v>43424</v>
      </c>
      <c r="D35" s="306" t="s">
        <v>63</v>
      </c>
      <c r="E35" s="307" t="s">
        <v>392</v>
      </c>
      <c r="F35" s="310">
        <f>VALUE(_xll.BDP($C$12,"NXT_CPN_DT"))</f>
        <v>43482</v>
      </c>
      <c r="G35" s="306" t="s">
        <v>63</v>
      </c>
      <c r="H35" s="307" t="s">
        <v>54</v>
      </c>
      <c r="I35" s="39"/>
      <c r="J35" s="39" t="s">
        <v>27</v>
      </c>
      <c r="K35" s="306" t="s">
        <v>63</v>
      </c>
      <c r="N35" s="1" t="s">
        <v>107</v>
      </c>
      <c r="R35" s="1" t="s">
        <v>125</v>
      </c>
    </row>
    <row r="36" spans="2:21">
      <c r="B36" s="5" t="s">
        <v>389</v>
      </c>
      <c r="C36" s="298">
        <f ca="1">$C$25</f>
        <v>101.521</v>
      </c>
      <c r="D36" s="306" t="s">
        <v>63</v>
      </c>
      <c r="E36" s="307"/>
      <c r="F36" s="39"/>
      <c r="G36" s="306" t="s">
        <v>63</v>
      </c>
      <c r="H36" s="307" t="s">
        <v>56</v>
      </c>
      <c r="I36" s="39"/>
      <c r="J36" s="39"/>
      <c r="K36" s="306" t="s">
        <v>63</v>
      </c>
      <c r="N36" s="26" t="s">
        <v>90</v>
      </c>
      <c r="O36" s="26" t="s">
        <v>91</v>
      </c>
      <c r="P36" s="26" t="s">
        <v>85</v>
      </c>
      <c r="R36" s="60" t="s">
        <v>123</v>
      </c>
      <c r="S36" s="60" t="s">
        <v>124</v>
      </c>
    </row>
    <row r="37" spans="2:21">
      <c r="B37" s="5" t="s">
        <v>84</v>
      </c>
      <c r="C37" s="298" t="str">
        <f>$C$42</f>
        <v>AUDYC</v>
      </c>
      <c r="D37" s="306" t="s">
        <v>63</v>
      </c>
      <c r="E37" s="307"/>
      <c r="F37" s="39"/>
      <c r="G37" s="306" t="s">
        <v>63</v>
      </c>
      <c r="H37" s="307" t="s">
        <v>26</v>
      </c>
      <c r="I37" s="39" t="s">
        <v>27</v>
      </c>
      <c r="J37" s="39" t="s">
        <v>27</v>
      </c>
      <c r="K37" s="306" t="s">
        <v>63</v>
      </c>
      <c r="N37" s="70" t="s">
        <v>69</v>
      </c>
      <c r="O37" s="71" t="s">
        <v>112</v>
      </c>
      <c r="P37" s="72">
        <f>_xll.BDP(R37,S37)%</f>
        <v>1.4999999999999999E-2</v>
      </c>
      <c r="R37" s="301" t="s">
        <v>120</v>
      </c>
      <c r="S37" s="302" t="s">
        <v>121</v>
      </c>
    </row>
    <row r="38" spans="2:21">
      <c r="B38" s="5" t="s">
        <v>36</v>
      </c>
      <c r="C38" s="298" t="str">
        <f>$J$11</f>
        <v>AUD3ML</v>
      </c>
      <c r="D38" s="306" t="s">
        <v>63</v>
      </c>
      <c r="E38" s="307"/>
      <c r="F38" s="39"/>
      <c r="G38" s="306" t="s">
        <v>63</v>
      </c>
      <c r="H38" s="307" t="s">
        <v>57</v>
      </c>
      <c r="I38" s="39"/>
      <c r="J38" s="39" t="s">
        <v>61</v>
      </c>
      <c r="K38" s="306" t="s">
        <v>63</v>
      </c>
      <c r="N38" s="73" t="s">
        <v>92</v>
      </c>
      <c r="O38" s="74" t="s">
        <v>114</v>
      </c>
      <c r="P38" s="75">
        <f>_xll.BDP(R38,S38)%</f>
        <v>1.8600000000000002E-2</v>
      </c>
      <c r="R38" s="303" t="s">
        <v>574</v>
      </c>
      <c r="S38" s="138" t="s">
        <v>122</v>
      </c>
    </row>
    <row r="39" spans="2:21">
      <c r="B39" s="7" t="s">
        <v>390</v>
      </c>
      <c r="C39" s="299">
        <f ca="1">IF(ISNUMBER($C$13),_xll.meLWOBondZSpread(C34,C35,C36,C37,C38),"#LOAD BBG DATA")</f>
        <v>53.59730843731753</v>
      </c>
      <c r="D39" s="306" t="s">
        <v>63</v>
      </c>
      <c r="E39" s="307"/>
      <c r="F39" s="39"/>
      <c r="G39" s="306" t="s">
        <v>63</v>
      </c>
      <c r="H39" s="307" t="s">
        <v>31</v>
      </c>
      <c r="I39" s="310" t="str">
        <f>F31</f>
        <v>TYPE23</v>
      </c>
      <c r="J39" s="37"/>
      <c r="K39" s="306" t="s">
        <v>63</v>
      </c>
      <c r="N39" s="73" t="s">
        <v>93</v>
      </c>
      <c r="O39" s="74" t="s">
        <v>115</v>
      </c>
      <c r="P39" s="75">
        <f>_xll.BDP(R39,S39)%</f>
        <v>1.9099999999999999E-2</v>
      </c>
      <c r="R39" s="303" t="s">
        <v>585</v>
      </c>
      <c r="S39" s="138" t="s">
        <v>122</v>
      </c>
      <c r="U39" s="412"/>
    </row>
    <row r="40" spans="2:21">
      <c r="D40" s="306" t="s">
        <v>63</v>
      </c>
      <c r="E40" s="307"/>
      <c r="F40" s="39"/>
      <c r="G40" s="306" t="s">
        <v>63</v>
      </c>
      <c r="H40" s="5" t="s">
        <v>559</v>
      </c>
      <c r="I40" s="416" t="str">
        <f>F32</f>
        <v>7D</v>
      </c>
      <c r="J40" s="158"/>
      <c r="K40" s="306" t="s">
        <v>63</v>
      </c>
      <c r="N40" s="73" t="s">
        <v>94</v>
      </c>
      <c r="O40" s="74" t="s">
        <v>113</v>
      </c>
      <c r="P40" s="75">
        <f>_xll.BDP(R40,S40)%</f>
        <v>1.9299999999999998E-2</v>
      </c>
      <c r="R40" s="303" t="s">
        <v>575</v>
      </c>
      <c r="S40" s="138" t="s">
        <v>122</v>
      </c>
    </row>
    <row r="41" spans="2:21">
      <c r="B41" s="1" t="s">
        <v>393</v>
      </c>
      <c r="D41" s="306" t="s">
        <v>63</v>
      </c>
      <c r="E41" s="307"/>
      <c r="F41" s="39"/>
      <c r="G41" s="306" t="s">
        <v>63</v>
      </c>
      <c r="H41" s="5" t="s">
        <v>560</v>
      </c>
      <c r="I41" s="416" t="str">
        <f>F33</f>
        <v>NO_CHANGE</v>
      </c>
      <c r="J41" s="158"/>
      <c r="K41" s="306" t="s">
        <v>63</v>
      </c>
      <c r="N41" s="73" t="s">
        <v>95</v>
      </c>
      <c r="O41" s="74" t="s">
        <v>116</v>
      </c>
      <c r="P41" s="75">
        <f>_xll.BDP(R41,S41)%</f>
        <v>2.1099999999999997E-2</v>
      </c>
      <c r="R41" s="303" t="s">
        <v>576</v>
      </c>
      <c r="S41" s="138" t="s">
        <v>122</v>
      </c>
    </row>
    <row r="42" spans="2:21">
      <c r="B42" s="418" t="s">
        <v>84</v>
      </c>
      <c r="C42" s="300" t="s">
        <v>109</v>
      </c>
      <c r="D42" s="306" t="s">
        <v>63</v>
      </c>
      <c r="E42" s="307"/>
      <c r="F42" s="39"/>
      <c r="G42" s="306" t="s">
        <v>63</v>
      </c>
      <c r="H42" s="307"/>
      <c r="I42" s="39"/>
      <c r="J42" s="39"/>
      <c r="K42" s="306" t="s">
        <v>63</v>
      </c>
      <c r="N42" s="76" t="s">
        <v>96</v>
      </c>
      <c r="O42" s="77" t="s">
        <v>117</v>
      </c>
      <c r="P42" s="78">
        <f>_xll.BDP(R42,S42)%</f>
        <v>2.1499999999999998E-2</v>
      </c>
      <c r="R42" s="304" t="s">
        <v>577</v>
      </c>
      <c r="S42" s="305" t="s">
        <v>122</v>
      </c>
    </row>
    <row r="43" spans="2:21">
      <c r="B43" s="415" t="s">
        <v>72</v>
      </c>
      <c r="C43" s="427">
        <f ca="1">C7</f>
        <v>43424</v>
      </c>
      <c r="D43" s="306" t="s">
        <v>63</v>
      </c>
      <c r="E43" s="307"/>
      <c r="F43" s="39"/>
      <c r="G43" s="306" t="s">
        <v>63</v>
      </c>
      <c r="H43" s="307"/>
      <c r="I43" s="39"/>
      <c r="J43" s="39"/>
      <c r="K43" s="306" t="s">
        <v>63</v>
      </c>
    </row>
    <row r="44" spans="2:21">
      <c r="B44" s="419" t="s">
        <v>394</v>
      </c>
      <c r="C44" s="298">
        <f ca="1">IF($C$45,$C$45,_xll.meLWOAssetSwapSpread($I$4,$F$4,$C$25,$B$42:$C$43))</f>
        <v>53.857665268334294</v>
      </c>
      <c r="D44" s="306" t="s">
        <v>63</v>
      </c>
      <c r="E44" s="307"/>
      <c r="F44" s="39"/>
      <c r="G44" s="306" t="s">
        <v>63</v>
      </c>
      <c r="H44" s="307"/>
      <c r="I44" s="39"/>
      <c r="J44" s="39"/>
      <c r="K44" s="306" t="s">
        <v>63</v>
      </c>
    </row>
    <row r="45" spans="2:21">
      <c r="B45" s="419" t="s">
        <v>395</v>
      </c>
      <c r="C45" s="110"/>
      <c r="D45" s="306" t="s">
        <v>63</v>
      </c>
      <c r="E45" s="307"/>
      <c r="F45" s="39"/>
      <c r="G45" s="306" t="s">
        <v>63</v>
      </c>
      <c r="H45" s="307"/>
      <c r="I45" s="39"/>
      <c r="J45" s="39"/>
    </row>
    <row r="46" spans="2:21">
      <c r="B46" s="419" t="s">
        <v>396</v>
      </c>
      <c r="C46" s="298">
        <f ca="1">_xll.meLWOAssetSwapSpreadToCleanPrice(I4,C44,$B$42:$C$43)</f>
        <v>101.521</v>
      </c>
      <c r="D46" s="306" t="s">
        <v>63</v>
      </c>
      <c r="E46" s="307"/>
      <c r="F46" s="39"/>
      <c r="G46" s="306" t="s">
        <v>63</v>
      </c>
      <c r="H46" s="307"/>
      <c r="I46" s="39"/>
      <c r="J46" s="39"/>
    </row>
    <row r="47" spans="2:21">
      <c r="B47" s="420" t="s">
        <v>397</v>
      </c>
      <c r="C47" s="411">
        <f ca="1">_xll.meLWOBondYield($F$4,$C$7,C46,TRUE)</f>
        <v>3.2647685376483417E-2</v>
      </c>
      <c r="E47" s="308"/>
      <c r="F47" s="309"/>
      <c r="G47" s="306" t="s">
        <v>63</v>
      </c>
      <c r="H47" s="308"/>
      <c r="I47" s="309"/>
      <c r="J47" s="309"/>
    </row>
    <row r="49" spans="3:6">
      <c r="C49" s="447"/>
      <c r="D49" s="450"/>
      <c r="E49" s="1"/>
    </row>
    <row r="50" spans="3:6">
      <c r="C50" s="448"/>
    </row>
    <row r="52" spans="3:6">
      <c r="E52" s="24"/>
    </row>
    <row r="54" spans="3:6">
      <c r="E54" s="26"/>
      <c r="F54" s="26"/>
    </row>
    <row r="55" spans="3:6">
      <c r="E55" s="451"/>
      <c r="F55" s="449"/>
    </row>
    <row r="56" spans="3:6">
      <c r="E56" s="451"/>
      <c r="F56" s="449"/>
    </row>
    <row r="57" spans="3:6">
      <c r="E57" s="451"/>
      <c r="F57" s="449"/>
    </row>
    <row r="58" spans="3:6">
      <c r="E58" s="451"/>
      <c r="F58" s="449"/>
    </row>
    <row r="59" spans="3:6">
      <c r="E59" s="451"/>
      <c r="F59" s="449"/>
    </row>
    <row r="60" spans="3:6">
      <c r="E60" s="451"/>
      <c r="F60" s="449"/>
    </row>
    <row r="61" spans="3:6">
      <c r="E61" s="451"/>
      <c r="F61" s="449"/>
    </row>
    <row r="62" spans="3:6">
      <c r="E62" s="451"/>
      <c r="F62" s="449"/>
    </row>
    <row r="63" spans="3:6">
      <c r="E63" s="451"/>
      <c r="F63" s="449"/>
    </row>
    <row r="64" spans="3:6">
      <c r="E64" s="451"/>
      <c r="F64" s="449"/>
    </row>
    <row r="65" spans="5:6">
      <c r="E65" s="451"/>
      <c r="F65" s="449"/>
    </row>
    <row r="66" spans="5:6">
      <c r="E66" s="451"/>
      <c r="F66" s="449"/>
    </row>
    <row r="67" spans="5:6">
      <c r="E67" s="451"/>
      <c r="F67" s="449"/>
    </row>
    <row r="68" spans="5:6">
      <c r="E68" s="451"/>
      <c r="F68" s="449"/>
    </row>
    <row r="69" spans="5:6">
      <c r="E69" s="451"/>
      <c r="F69" s="449"/>
    </row>
    <row r="70" spans="5:6">
      <c r="E70" s="451"/>
      <c r="F70" s="449"/>
    </row>
    <row r="71" spans="5:6">
      <c r="E71" s="451"/>
      <c r="F71" s="449"/>
    </row>
    <row r="72" spans="5:6">
      <c r="E72" s="451"/>
      <c r="F72" s="449"/>
    </row>
    <row r="73" spans="5:6">
      <c r="E73" s="451"/>
      <c r="F73" s="449"/>
    </row>
    <row r="74" spans="5:6">
      <c r="E74" s="451"/>
      <c r="F74" s="449"/>
    </row>
    <row r="75" spans="5:6">
      <c r="E75" s="451"/>
      <c r="F75" s="449"/>
    </row>
    <row r="76" spans="5:6">
      <c r="E76" s="451"/>
      <c r="F76" s="449"/>
    </row>
    <row r="77" spans="5:6">
      <c r="E77" s="451"/>
      <c r="F77" s="449"/>
    </row>
    <row r="78" spans="5:6">
      <c r="E78" s="451"/>
      <c r="F78" s="449"/>
    </row>
    <row r="79" spans="5:6">
      <c r="E79" s="451"/>
      <c r="F79" s="449"/>
    </row>
    <row r="80" spans="5:6">
      <c r="E80" s="451"/>
      <c r="F80" s="449"/>
    </row>
    <row r="81" spans="5:6">
      <c r="E81" s="451"/>
      <c r="F81" s="449"/>
    </row>
    <row r="82" spans="5:6">
      <c r="E82" s="451"/>
      <c r="F82" s="449"/>
    </row>
    <row r="83" spans="5:6">
      <c r="E83" s="451"/>
      <c r="F83" s="449"/>
    </row>
    <row r="84" spans="5:6">
      <c r="E84" s="451"/>
      <c r="F84" s="449"/>
    </row>
    <row r="85" spans="5:6">
      <c r="E85" s="451"/>
      <c r="F85" s="449"/>
    </row>
    <row r="86" spans="5:6">
      <c r="E86" s="451"/>
      <c r="F86" s="449"/>
    </row>
    <row r="87" spans="5:6">
      <c r="E87" s="451"/>
      <c r="F87" s="449"/>
    </row>
    <row r="88" spans="5:6">
      <c r="E88" s="451"/>
      <c r="F88" s="449"/>
    </row>
    <row r="89" spans="5:6">
      <c r="E89" s="451"/>
      <c r="F89" s="449"/>
    </row>
    <row r="90" spans="5:6">
      <c r="E90" s="451"/>
      <c r="F90" s="449"/>
    </row>
    <row r="91" spans="5:6">
      <c r="E91" s="451"/>
      <c r="F91" s="449"/>
    </row>
    <row r="92" spans="5:6">
      <c r="E92" s="451"/>
      <c r="F92" s="449"/>
    </row>
    <row r="93" spans="5:6">
      <c r="E93" s="451"/>
      <c r="F93" s="449"/>
    </row>
    <row r="94" spans="5:6">
      <c r="E94" s="451"/>
      <c r="F94" s="449"/>
    </row>
  </sheetData>
  <mergeCells count="2">
    <mergeCell ref="I3:J3"/>
    <mergeCell ref="I4:J4"/>
  </mergeCells>
  <dataValidations count="10">
    <dataValidation type="list" allowBlank="1" showInputMessage="1" showErrorMessage="1" sqref="C16 C18:C19">
      <formula1>"ANNUAL,SEMI-ANNUAL,QUARTERLY,MONTHLY"</formula1>
    </dataValidation>
    <dataValidation type="list" allowBlank="1" showInputMessage="1" showErrorMessage="1" sqref="C17">
      <formula1>"ACT/ACT,ACT/360,ACT/365,ACT/365_ISDA,30/360,N30/360,E30/360"</formula1>
    </dataValidation>
    <dataValidation type="list" allowBlank="1" showInputMessage="1" showErrorMessage="1" sqref="J23:J24">
      <formula1>"QUARTERLY,SEMI-ANNUAL"</formula1>
    </dataValidation>
    <dataValidation type="list" allowBlank="1" showInputMessage="1" showErrorMessage="1" sqref="C20">
      <formula1>"TRUE,FALSE"</formula1>
    </dataValidation>
    <dataValidation type="list" allowBlank="1" showInputMessage="1" showErrorMessage="1" sqref="C11">
      <formula1>"GOVT,CORP"</formula1>
    </dataValidation>
    <dataValidation type="list" allowBlank="1" showInputMessage="1" showErrorMessage="1" sqref="F30 I34:J34">
      <formula1>"EOM,IMM,1,2,3,4,5,6,7,8,9,10,11,12,13,14,15,16,17,18,19,20,21,22,23,24,25,26,27,28,29,30,31"</formula1>
    </dataValidation>
    <dataValidation type="list" allowBlank="1" showInputMessage="1" showErrorMessage="1" sqref="C10">
      <formula1>"MID,BID,ASK"</formula1>
    </dataValidation>
    <dataValidation type="list" allowBlank="1" showInputMessage="1" showErrorMessage="1" sqref="F24">
      <formula1>"None,ShortStart,ShortEnd,LongStart,LongEnd,SS,SE,LS,LE"</formula1>
    </dataValidation>
    <dataValidation type="list" allowBlank="1" showInputMessage="1" showErrorMessage="1" sqref="C15">
      <formula1>"CLEAN,DIRTY"</formula1>
    </dataValidation>
    <dataValidation type="list" allowBlank="1" showInputMessage="1" showErrorMessage="1" sqref="I38:J38 I42:J47">
      <formula1>"SHORTSTART,SHORTEND,LONGSTART,LONGEND"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AG39"/>
  <sheetViews>
    <sheetView showGridLines="0" workbookViewId="0"/>
  </sheetViews>
  <sheetFormatPr defaultRowHeight="15" outlineLevelCol="1"/>
  <cols>
    <col min="1" max="1" width="9.140625" style="452"/>
    <col min="2" max="2" width="16.85546875" style="452" customWidth="1"/>
    <col min="3" max="3" width="23" style="452" customWidth="1"/>
    <col min="4" max="8" width="15.7109375" style="452" hidden="1" customWidth="1" outlineLevel="1"/>
    <col min="9" max="9" width="21.7109375" style="452" hidden="1" customWidth="1" outlineLevel="1"/>
    <col min="10" max="14" width="15.7109375" style="452" hidden="1" customWidth="1" outlineLevel="1"/>
    <col min="15" max="15" width="17.42578125" style="452" customWidth="1" collapsed="1"/>
    <col min="16" max="16" width="27.28515625" style="452" customWidth="1"/>
    <col min="17" max="17" width="12.7109375" style="475" customWidth="1"/>
    <col min="18" max="23" width="12.7109375" style="476" customWidth="1"/>
    <col min="24" max="24" width="16.42578125" style="452" customWidth="1"/>
    <col min="25" max="26" width="9.140625" style="452"/>
    <col min="27" max="27" width="9.28515625" style="452" customWidth="1"/>
    <col min="28" max="28" width="10.7109375" style="487" customWidth="1"/>
    <col min="29" max="16384" width="9.140625" style="452"/>
  </cols>
  <sheetData>
    <row r="1" spans="2:28">
      <c r="J1" s="453"/>
      <c r="L1" s="453"/>
      <c r="M1" s="453"/>
      <c r="O1" s="453" t="s">
        <v>638</v>
      </c>
      <c r="Q1" s="454"/>
      <c r="R1" s="454"/>
      <c r="S1" s="454"/>
      <c r="T1" s="454"/>
      <c r="U1" s="454"/>
      <c r="V1" s="454"/>
      <c r="W1" s="454"/>
    </row>
    <row r="2" spans="2:28">
      <c r="Q2" s="454"/>
      <c r="R2" s="455"/>
      <c r="S2" s="455"/>
      <c r="T2" s="455"/>
      <c r="U2" s="455"/>
      <c r="V2" s="455"/>
      <c r="W2" s="455"/>
    </row>
    <row r="3" spans="2:28">
      <c r="B3" s="453" t="s">
        <v>619</v>
      </c>
      <c r="C3" s="453" t="s">
        <v>620</v>
      </c>
      <c r="D3" s="456"/>
      <c r="P3" s="453" t="s">
        <v>621</v>
      </c>
      <c r="Q3" s="457"/>
      <c r="R3" s="458"/>
      <c r="S3" s="458"/>
      <c r="T3" s="458"/>
      <c r="U3" s="458"/>
      <c r="V3" s="459"/>
      <c r="W3" s="458"/>
    </row>
    <row r="4" spans="2:28">
      <c r="B4" s="508">
        <f ca="1">TODAY()</f>
        <v>43420</v>
      </c>
      <c r="C4" s="460">
        <f ca="1">_xll.meDateFromTenor($B$4,$D$4,"MOD_FOLLOWING","SYB")</f>
        <v>43424</v>
      </c>
      <c r="D4" s="461" t="s">
        <v>55</v>
      </c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3" t="s">
        <v>622</v>
      </c>
      <c r="Q4" s="457"/>
      <c r="R4" s="457"/>
      <c r="S4" s="457"/>
      <c r="T4" s="457"/>
      <c r="U4" s="457"/>
      <c r="V4" s="457"/>
      <c r="W4" s="457"/>
    </row>
    <row r="5" spans="2:28">
      <c r="B5" s="462"/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Q5" s="452"/>
      <c r="R5" s="454"/>
      <c r="S5" s="454"/>
      <c r="T5" s="454"/>
      <c r="U5" s="454"/>
      <c r="V5" s="454"/>
      <c r="W5" s="454"/>
    </row>
    <row r="6" spans="2:28">
      <c r="B6" s="483"/>
      <c r="C6" s="483" t="s">
        <v>631</v>
      </c>
      <c r="D6" s="483" t="s">
        <v>618</v>
      </c>
      <c r="E6" s="483" t="s">
        <v>632</v>
      </c>
      <c r="F6" s="483" t="s">
        <v>633</v>
      </c>
      <c r="G6" s="483"/>
      <c r="H6" s="483" t="s">
        <v>634</v>
      </c>
      <c r="I6" s="483" t="s">
        <v>635</v>
      </c>
      <c r="J6" s="483" t="s">
        <v>630</v>
      </c>
      <c r="K6" s="483" t="s">
        <v>636</v>
      </c>
      <c r="L6" s="483" t="s">
        <v>647</v>
      </c>
      <c r="M6" s="483" t="s">
        <v>646</v>
      </c>
      <c r="N6" s="483" t="s">
        <v>637</v>
      </c>
      <c r="O6" s="483"/>
      <c r="P6" s="486"/>
      <c r="Q6" s="483" t="s">
        <v>623</v>
      </c>
      <c r="R6" s="504"/>
      <c r="S6" s="483"/>
      <c r="T6" s="483"/>
      <c r="U6" s="483"/>
      <c r="V6" s="483"/>
      <c r="W6" s="483"/>
      <c r="X6" s="483"/>
      <c r="Y6" s="483" t="s">
        <v>642</v>
      </c>
      <c r="Z6" s="483" t="s">
        <v>648</v>
      </c>
    </row>
    <row r="7" spans="2:28" s="466" customFormat="1" ht="15.75" thickBot="1">
      <c r="B7" s="464" t="s">
        <v>624</v>
      </c>
      <c r="C7" s="497" t="s">
        <v>2</v>
      </c>
      <c r="D7" s="497" t="s">
        <v>6</v>
      </c>
      <c r="E7" s="497" t="s">
        <v>82</v>
      </c>
      <c r="F7" s="497" t="s">
        <v>83</v>
      </c>
      <c r="G7" s="497" t="s">
        <v>53</v>
      </c>
      <c r="H7" s="497" t="s">
        <v>16</v>
      </c>
      <c r="I7" s="497" t="s">
        <v>17</v>
      </c>
      <c r="J7" s="497" t="s">
        <v>19</v>
      </c>
      <c r="K7" s="497" t="s">
        <v>18</v>
      </c>
      <c r="L7" s="464" t="s">
        <v>47</v>
      </c>
      <c r="M7" s="464" t="s">
        <v>645</v>
      </c>
      <c r="N7" s="464" t="s">
        <v>625</v>
      </c>
      <c r="O7" s="464" t="s">
        <v>640</v>
      </c>
      <c r="P7" s="464" t="s">
        <v>626</v>
      </c>
      <c r="Q7" s="465" t="s">
        <v>639</v>
      </c>
      <c r="R7" s="465" t="s">
        <v>627</v>
      </c>
      <c r="S7" s="465" t="s">
        <v>628</v>
      </c>
      <c r="T7" s="465" t="s">
        <v>649</v>
      </c>
      <c r="U7" s="465" t="s">
        <v>650</v>
      </c>
      <c r="V7" s="465" t="s">
        <v>629</v>
      </c>
      <c r="W7" s="465" t="s">
        <v>80</v>
      </c>
      <c r="X7" s="464" t="s">
        <v>641</v>
      </c>
      <c r="Y7" s="464" t="s">
        <v>643</v>
      </c>
      <c r="Z7" s="464" t="s">
        <v>644</v>
      </c>
      <c r="AA7" s="464" t="s">
        <v>651</v>
      </c>
      <c r="AB7" s="464" t="s">
        <v>542</v>
      </c>
    </row>
    <row r="8" spans="2:28" ht="15.75" thickTop="1">
      <c r="B8" s="467" t="s">
        <v>612</v>
      </c>
      <c r="C8" s="433" t="str">
        <f>_xll.BDP($B8,C$6)</f>
        <v>ACGB 4 1/2 04/15/20</v>
      </c>
      <c r="D8" s="500" t="str">
        <f>_xll.BDP($B8,D$6)</f>
        <v>AU3TB0000036</v>
      </c>
      <c r="E8" s="498">
        <f>DATEVALUE(_xll.BDP($B8,E$6))</f>
        <v>39937</v>
      </c>
      <c r="F8" s="505">
        <f>DATEVALUE(_xll.BDP($B8,F$6))</f>
        <v>39918</v>
      </c>
      <c r="G8" s="498"/>
      <c r="H8" s="505">
        <f>DATEVALUE(_xll.BDP($B8,H$6))</f>
        <v>40101</v>
      </c>
      <c r="I8" s="505">
        <f>DATEVALUE(_xll.BDP($B8,I$6))</f>
        <v>43753</v>
      </c>
      <c r="J8" s="499">
        <f>IF(ISNUMBER(O8),O8,_xll.BDP($B8,J$6)%)</f>
        <v>4.4999999999999998E-2</v>
      </c>
      <c r="K8" s="506">
        <f>DATEVALUE(_xll.BDP($B8,K$6))</f>
        <v>43936</v>
      </c>
      <c r="L8" s="477" t="str">
        <f>_xll.BDP($B8,L$6)</f>
        <v>ACT/ACT</v>
      </c>
      <c r="M8" s="473">
        <f>_xll.BDP($B8,M$6)</f>
        <v>1.4017796030116358</v>
      </c>
      <c r="N8" s="473" t="str">
        <f>_xll.BDP($B8,N$6)</f>
        <v>CLEAN</v>
      </c>
      <c r="O8" s="485"/>
      <c r="P8" s="478" t="str">
        <f ca="1">_xll.meLWOBondCreateFromGeneratorLVB(C8,$P$4&amp;"_"&amp;$N8,_xll.meUtilityLVBFromKeysValues($C$7:$K$7,C8:K8))</f>
        <v>ACGB 4 1/2 04/15/20@31:7</v>
      </c>
      <c r="Q8" s="484">
        <f>_xll.BDP($B8,$Q$6)%</f>
        <v>2.0067387885618567E-2</v>
      </c>
      <c r="R8" s="472">
        <f ca="1">_xll.meLWOBondCleanPrice($P8,$C$4,$Q8%)</f>
        <v>106.27600000000001</v>
      </c>
      <c r="S8" s="472">
        <f ca="1">_xll.meLWOBondDirtyPrice($P8,$C$4,$Q8%)</f>
        <v>106.721</v>
      </c>
      <c r="T8" s="503">
        <f ca="1">_xll.meLWOBondAccruedInterestDays(P8,$C$4)</f>
        <v>36</v>
      </c>
      <c r="U8" s="503">
        <f ca="1">_xll.meLWOBondAccruedInterest(P8,$C$4)</f>
        <v>4450</v>
      </c>
      <c r="V8" s="469">
        <f ca="1">_xll.meLWOBondModifiedDuration($P8,$C$4,$Q8%)</f>
        <v>1.3693362414729895</v>
      </c>
      <c r="W8" s="470">
        <f ca="1">_xll.meLWOBondDV01($P8,$C$4,$Q8%)</f>
        <v>146.13693302623892</v>
      </c>
      <c r="X8" s="507" t="str">
        <f t="shared" ref="X8:X38" si="0">IF(M8&lt;=6,"YMA Comdty","XMA Comdty")</f>
        <v>YMA Comdty</v>
      </c>
      <c r="Y8" s="471">
        <f>_xll.BDP($X8,Y$6)</f>
        <v>97.825000000000003</v>
      </c>
      <c r="Z8" s="471">
        <f>_xll.BDP($X8,Z$6)</f>
        <v>97.83</v>
      </c>
      <c r="AA8" s="468">
        <f>(100-AVERAGE(Y8:Z8))%</f>
        <v>2.1724999999999994E-2</v>
      </c>
      <c r="AB8" s="468">
        <f>Q8-AA8</f>
        <v>-1.6576121143814272E-3</v>
      </c>
    </row>
    <row r="9" spans="2:28" s="474" customFormat="1">
      <c r="B9" s="467" t="s">
        <v>610</v>
      </c>
      <c r="C9" s="433" t="str">
        <f>_xll.BDP($B9,C$6)</f>
        <v>ACGB 4 08/20/20</v>
      </c>
      <c r="D9" s="501" t="str">
        <f>_xll.BDP($B9,D$6)</f>
        <v>AU0000XCLWE2</v>
      </c>
      <c r="E9" s="488">
        <f>DATEVALUE(_xll.BDP($B9,E$6))</f>
        <v>35352</v>
      </c>
      <c r="F9" s="491">
        <f>DATEVALUE(_xll.BDP($B9,F$6))</f>
        <v>35297</v>
      </c>
      <c r="G9" s="488"/>
      <c r="H9" s="491">
        <f>DATEVALUE(_xll.BDP($B9,H$6))</f>
        <v>35389</v>
      </c>
      <c r="I9" s="491">
        <f>DATEVALUE(_xll.BDP($B9,I$6))</f>
        <v>43971</v>
      </c>
      <c r="J9" s="489">
        <f>IF(ISNUMBER(O9),O9,_xll.BDP($B9,J$6)%)</f>
        <v>0.04</v>
      </c>
      <c r="K9" s="492">
        <f>DATEVALUE(_xll.BDP($B9,K$6))</f>
        <v>44063</v>
      </c>
      <c r="L9" s="477" t="str">
        <f>_xll.BDP($B9,L$6)</f>
        <v>ACT/ACT</v>
      </c>
      <c r="M9" s="473">
        <f>_xll.BDP($B9,M$6)</f>
        <v>1.7494866529774127</v>
      </c>
      <c r="N9" s="473" t="str">
        <f>_xll.BDP($B9,N$6)</f>
        <v>CLEAN</v>
      </c>
      <c r="O9" s="485"/>
      <c r="P9" s="478" t="str">
        <f ca="1">_xll.meLWOBondCreateFromGeneratorLVB(C9,$P$4&amp;"_"&amp;$N9,_xll.meUtilityLVBFromKeysValues($C$7:$K$7,C9:K9))</f>
        <v>ACGB 4 08/20/20@54:7</v>
      </c>
      <c r="Q9" s="484">
        <f>_xll.BDP($B9,$Q$6)%</f>
        <v>3.7519999999999997E-3</v>
      </c>
      <c r="R9" s="472">
        <f ca="1">_xll.meLWOBondCleanPrice($P9,$C$4,$Q9%)</f>
        <v>107.003</v>
      </c>
      <c r="S9" s="472">
        <f ca="1">_xll.meLWOBondDirtyPrice($P9,$C$4,$Q9%)</f>
        <v>107.003</v>
      </c>
      <c r="T9" s="503">
        <f ca="1">_xll.meLWOBondAccruedInterestDays(P9,$C$4)</f>
        <v>0</v>
      </c>
      <c r="U9" s="503">
        <f ca="1">_xll.meLWOBondAccruedInterest(P9,$C$4)</f>
        <v>0</v>
      </c>
      <c r="V9" s="469">
        <f ca="1">_xll.meLWOBondModifiedDuration($P9,$C$4,$Q9%)</f>
        <v>1.9438955379075038</v>
      </c>
      <c r="W9" s="470">
        <f ca="1">_xll.meLWOBondDV01($P9,$C$4,$Q9%)</f>
        <v>208.00265424271663</v>
      </c>
      <c r="X9" s="507" t="str">
        <f t="shared" si="0"/>
        <v>YMA Comdty</v>
      </c>
      <c r="Y9" s="471">
        <f>_xll.BDP($X9,Y$6)</f>
        <v>97.825000000000003</v>
      </c>
      <c r="Z9" s="471">
        <f>_xll.BDP($X9,Z$6)</f>
        <v>97.83</v>
      </c>
      <c r="AA9" s="468">
        <f t="shared" ref="AA9:AA38" si="1">(100-AVERAGE(Y9:Z9))%</f>
        <v>2.1724999999999994E-2</v>
      </c>
      <c r="AB9" s="468">
        <f t="shared" ref="AB9:AB38" si="2">Q9-AA9</f>
        <v>-1.7972999999999996E-2</v>
      </c>
    </row>
    <row r="10" spans="2:28">
      <c r="B10" s="467" t="s">
        <v>591</v>
      </c>
      <c r="C10" s="433" t="str">
        <f>_xll.BDP($B10,C$6)</f>
        <v>ACGB 1 3/4 11/21/20</v>
      </c>
      <c r="D10" s="501" t="str">
        <f>_xll.BDP($B10,D$6)</f>
        <v>AU000XCLWAN8</v>
      </c>
      <c r="E10" s="488">
        <f>DATEVALUE(_xll.BDP($B10,E$6))</f>
        <v>42109</v>
      </c>
      <c r="F10" s="491">
        <f>DATEVALUE(_xll.BDP($B10,F$6))</f>
        <v>41964</v>
      </c>
      <c r="G10" s="488"/>
      <c r="H10" s="491">
        <f>DATEVALUE(_xll.BDP($B10,H$6))</f>
        <v>42145</v>
      </c>
      <c r="I10" s="491">
        <f>DATEVALUE(_xll.BDP($B10,I$6))</f>
        <v>43972</v>
      </c>
      <c r="J10" s="489">
        <f>IF(ISNUMBER(O10),O10,_xll.BDP($B10,J$6)%)</f>
        <v>1.7500000000000002E-2</v>
      </c>
      <c r="K10" s="492">
        <f>DATEVALUE(_xll.BDP($B10,K$6))</f>
        <v>44156</v>
      </c>
      <c r="L10" s="477" t="str">
        <f>_xll.BDP($B10,L$6)</f>
        <v>ACT/ACT</v>
      </c>
      <c r="M10" s="473">
        <f>_xll.BDP($B10,M$6)</f>
        <v>2.0041067761806981</v>
      </c>
      <c r="N10" s="473" t="str">
        <f>_xll.BDP($B10,N$6)</f>
        <v>CLEAN</v>
      </c>
      <c r="O10" s="485"/>
      <c r="P10" s="478" t="str">
        <f ca="1">_xll.meLWOBondCreateFromGeneratorLVB(C10,$P$4&amp;"_"&amp;$N10,_xll.meUtilityLVBFromKeysValues($C$7:$K$7,C10:K10))</f>
        <v>ACGB 1 3/4 11/21/20@56:7</v>
      </c>
      <c r="Q10" s="484">
        <f>_xll.BDP($B10,$Q$6)%</f>
        <v>2.0472011576675549E-2</v>
      </c>
      <c r="R10" s="472">
        <f ca="1">_xll.meLWOBondCleanPrice($P10,$C$4,$Q10%)</f>
        <v>103.46299999999999</v>
      </c>
      <c r="S10" s="472">
        <f ca="1">_xll.meLWOBondDirtyPrice($P10,$C$4,$Q10%)</f>
        <v>103.458</v>
      </c>
      <c r="T10" s="503">
        <f ca="1">_xll.meLWOBondAccruedInterestDays(P10,$C$4)</f>
        <v>-1</v>
      </c>
      <c r="U10" s="503">
        <f ca="1">_xll.meLWOBondAccruedInterest(P10,$C$4)</f>
        <v>-50</v>
      </c>
      <c r="V10" s="469">
        <f ca="1">_xll.meLWOBondModifiedDuration($P10,$C$4,$Q10%)</f>
        <v>1.9771489330954983</v>
      </c>
      <c r="W10" s="470">
        <f ca="1">_xll.meLWOBondDV01($P10,$C$4,$Q10%)</f>
        <v>204.55187432019406</v>
      </c>
      <c r="X10" s="507" t="str">
        <f t="shared" si="0"/>
        <v>YMA Comdty</v>
      </c>
      <c r="Y10" s="471">
        <f>_xll.BDP($X10,Y$6)</f>
        <v>97.825000000000003</v>
      </c>
      <c r="Z10" s="471">
        <f>_xll.BDP($X10,Z$6)</f>
        <v>97.83</v>
      </c>
      <c r="AA10" s="468">
        <f t="shared" si="1"/>
        <v>2.1724999999999994E-2</v>
      </c>
      <c r="AB10" s="468">
        <f t="shared" si="2"/>
        <v>-1.252988423324445E-3</v>
      </c>
    </row>
    <row r="11" spans="2:28">
      <c r="B11" s="467" t="s">
        <v>616</v>
      </c>
      <c r="C11" s="433" t="str">
        <f>_xll.BDP($B11,C$6)</f>
        <v>ACGB 5 3/4 05/15/21</v>
      </c>
      <c r="D11" s="501" t="str">
        <f>_xll.BDP($B11,D$6)</f>
        <v>AU0000XCLWM5</v>
      </c>
      <c r="E11" s="488">
        <f>DATEVALUE(_xll.BDP($B11,E$6))</f>
        <v>39338</v>
      </c>
      <c r="F11" s="491">
        <f>DATEVALUE(_xll.BDP($B11,F$6))</f>
        <v>39217</v>
      </c>
      <c r="G11" s="488"/>
      <c r="H11" s="491">
        <f>DATEVALUE(_xll.BDP($B11,H$6))</f>
        <v>39401</v>
      </c>
      <c r="I11" s="491">
        <f>DATEVALUE(_xll.BDP($B11,I$6))</f>
        <v>44150</v>
      </c>
      <c r="J11" s="489">
        <f>IF(ISNUMBER(O11),O11,_xll.BDP($B11,J$6)%)</f>
        <v>5.7500000000000002E-2</v>
      </c>
      <c r="K11" s="492">
        <f>DATEVALUE(_xll.BDP($B11,K$6))</f>
        <v>44331</v>
      </c>
      <c r="L11" s="477" t="str">
        <f>_xll.BDP($B11,L$6)</f>
        <v>ACT/ACT</v>
      </c>
      <c r="M11" s="473">
        <f>_xll.BDP($B11,M$6)</f>
        <v>2.4832306639288158</v>
      </c>
      <c r="N11" s="473" t="str">
        <f>_xll.BDP($B11,N$6)</f>
        <v>CLEAN</v>
      </c>
      <c r="O11" s="485"/>
      <c r="P11" s="478" t="str">
        <f ca="1">_xll.meLWOBondCreateFromGeneratorLVB(C11,$P$4&amp;"_"&amp;$N11,_xll.meUtilityLVBFromKeysValues($C$7:$K$7,C11:K11))</f>
        <v>ACGB 5 3/4 05/15/21@32:7</v>
      </c>
      <c r="Q11" s="484">
        <f>_xll.BDP($B11,$Q$6)%</f>
        <v>2.076329185582702E-2</v>
      </c>
      <c r="R11" s="472">
        <f ca="1">_xll.meLWOBondCleanPrice($P11,$C$4,$Q11%)</f>
        <v>114.24000000000001</v>
      </c>
      <c r="S11" s="472">
        <f ca="1">_xll.meLWOBondDirtyPrice($P11,$C$4,$Q11%)</f>
        <v>114.319</v>
      </c>
      <c r="T11" s="503">
        <f ca="1">_xll.meLWOBondAccruedInterestDays(P11,$C$4)</f>
        <v>5</v>
      </c>
      <c r="U11" s="503">
        <f ca="1">_xll.meLWOBondAccruedInterest(P11,$C$4)</f>
        <v>790</v>
      </c>
      <c r="V11" s="469">
        <f ca="1">_xll.meLWOBondModifiedDuration($P11,$C$4,$Q11%)</f>
        <v>2.3602230568759244</v>
      </c>
      <c r="W11" s="470">
        <f ca="1">_xll.meLWOBondDV01($P11,$C$4,$Q11%)</f>
        <v>269.81833963899879</v>
      </c>
      <c r="X11" s="507" t="str">
        <f t="shared" si="0"/>
        <v>YMA Comdty</v>
      </c>
      <c r="Y11" s="471">
        <f>_xll.BDP($X11,Y$6)</f>
        <v>97.825000000000003</v>
      </c>
      <c r="Z11" s="471">
        <f>_xll.BDP($X11,Z$6)</f>
        <v>97.83</v>
      </c>
      <c r="AA11" s="468">
        <f t="shared" si="1"/>
        <v>2.1724999999999994E-2</v>
      </c>
      <c r="AB11" s="468">
        <f t="shared" si="2"/>
        <v>-9.6170814417297426E-4</v>
      </c>
    </row>
    <row r="12" spans="2:28">
      <c r="B12" s="467" t="s">
        <v>592</v>
      </c>
      <c r="C12" s="433" t="str">
        <f>_xll.BDP($B12,C$6)</f>
        <v>ACGB 2 12/21/21</v>
      </c>
      <c r="D12" s="501" t="str">
        <f>_xll.BDP($B12,D$6)</f>
        <v>AU000XCLWAT5</v>
      </c>
      <c r="E12" s="488">
        <f>DATEVALUE(_xll.BDP($B12,E$6))</f>
        <v>42762</v>
      </c>
      <c r="F12" s="491">
        <f>DATEVALUE(_xll.BDP($B12,F$6))</f>
        <v>42725</v>
      </c>
      <c r="G12" s="488"/>
      <c r="H12" s="491">
        <f>DATEVALUE(_xll.BDP($B12,H$6))</f>
        <v>42907</v>
      </c>
      <c r="I12" s="491">
        <f>DATEVALUE(_xll.BDP($B12,I$6))</f>
        <v>44368</v>
      </c>
      <c r="J12" s="489">
        <f>IF(ISNUMBER(O12),O12,_xll.BDP($B12,J$6)%)</f>
        <v>0.02</v>
      </c>
      <c r="K12" s="492">
        <f>DATEVALUE(_xll.BDP($B12,K$6))</f>
        <v>44551</v>
      </c>
      <c r="L12" s="477" t="str">
        <f>_xll.BDP($B12,L$6)</f>
        <v>ACT/ACT</v>
      </c>
      <c r="M12" s="473">
        <f>_xll.BDP($B12,M$6)</f>
        <v>3.0855578370978782</v>
      </c>
      <c r="N12" s="473" t="str">
        <f>_xll.BDP($B12,N$6)</f>
        <v>CLEAN</v>
      </c>
      <c r="O12" s="485"/>
      <c r="P12" s="478" t="str">
        <f ca="1">_xll.meLWOBondCreateFromGeneratorLVB(C12,$P$4&amp;"_"&amp;$N12,_xll.meUtilityLVBFromKeysValues($C$7:$K$7,C12:K12))</f>
        <v>ACGB 2 12/21/21@48:7</v>
      </c>
      <c r="Q12" s="484">
        <f>_xll.BDP($B12,$Q$6)%</f>
        <v>2.1356419196322602E-2</v>
      </c>
      <c r="R12" s="472">
        <f ca="1">_xll.meLWOBondCleanPrice($P12,$C$4,$Q12%)</f>
        <v>106.101</v>
      </c>
      <c r="S12" s="472">
        <f ca="1">_xll.meLWOBondDirtyPrice($P12,$C$4,$Q12%)</f>
        <v>106.932</v>
      </c>
      <c r="T12" s="503">
        <f ca="1">_xll.meLWOBondAccruedInterestDays(P12,$C$4)</f>
        <v>152</v>
      </c>
      <c r="U12" s="503">
        <f ca="1">_xll.meLWOBondAccruedInterest(P12,$C$4)</f>
        <v>8310</v>
      </c>
      <c r="V12" s="469">
        <f ca="1">_xll.meLWOBondModifiedDuration($P12,$C$4,$Q12%)</f>
        <v>2.9862002006009711</v>
      </c>
      <c r="W12" s="470">
        <f ca="1">_xll.meLWOBondDV01($P12,$C$4,$Q12%)</f>
        <v>319.32035985066307</v>
      </c>
      <c r="X12" s="507" t="str">
        <f t="shared" si="0"/>
        <v>YMA Comdty</v>
      </c>
      <c r="Y12" s="471">
        <f>_xll.BDP($X12,Y$6)</f>
        <v>97.825000000000003</v>
      </c>
      <c r="Z12" s="471">
        <f>_xll.BDP($X12,Z$6)</f>
        <v>97.83</v>
      </c>
      <c r="AA12" s="468">
        <f t="shared" si="1"/>
        <v>2.1724999999999994E-2</v>
      </c>
      <c r="AB12" s="468">
        <f t="shared" si="2"/>
        <v>-3.6858080367739229E-4</v>
      </c>
    </row>
    <row r="13" spans="2:28">
      <c r="B13" s="467" t="s">
        <v>589</v>
      </c>
      <c r="C13" s="433" t="str">
        <f>_xll.BDP($B13,C$6)</f>
        <v>ACGB 1 1/4 02/21/22</v>
      </c>
      <c r="D13" s="501" t="str">
        <f>_xll.BDP($B13,D$6)</f>
        <v>AU000XCLWAB3</v>
      </c>
      <c r="E13" s="488">
        <f>DATEVALUE(_xll.BDP($B13,E$6))</f>
        <v>40967</v>
      </c>
      <c r="F13" s="491">
        <f>DATEVALUE(_xll.BDP($B13,F$6))</f>
        <v>40960</v>
      </c>
      <c r="G13" s="488"/>
      <c r="H13" s="491">
        <f>DATEVALUE(_xll.BDP($B13,H$6))</f>
        <v>41050</v>
      </c>
      <c r="I13" s="491">
        <f>DATEVALUE(_xll.BDP($B13,I$6))</f>
        <v>44521</v>
      </c>
      <c r="J13" s="489">
        <f>IF(ISNUMBER(O13),O13,_xll.BDP($B13,J$6)%)</f>
        <v>1.2500000000000001E-2</v>
      </c>
      <c r="K13" s="492">
        <f>DATEVALUE(_xll.BDP($B13,K$6))</f>
        <v>44613</v>
      </c>
      <c r="L13" s="477" t="str">
        <f>_xll.BDP($B13,L$6)</f>
        <v>ACT/ACT</v>
      </c>
      <c r="M13" s="473">
        <f>_xll.BDP($B13,M$6)</f>
        <v>3.2553045859000687</v>
      </c>
      <c r="N13" s="473" t="str">
        <f>_xll.BDP($B13,N$6)</f>
        <v>CLEAN</v>
      </c>
      <c r="O13" s="485"/>
      <c r="P13" s="478" t="str">
        <f ca="1">_xll.meLWOBondCreateFromGeneratorLVB(C13,$P$4&amp;"_"&amp;$N13,_xll.meUtilityLVBFromKeysValues($C$7:$K$7,C13:K13))</f>
        <v>ACGB 1 1/4 02/21/22@57:7</v>
      </c>
      <c r="Q13" s="484">
        <f>_xll.BDP($B13,$Q$6)%</f>
        <v>4.6560000000000004E-3</v>
      </c>
      <c r="R13" s="472">
        <f ca="1">_xll.meLWOBondCleanPrice($P13,$C$4,$Q13%)</f>
        <v>104.04900000000001</v>
      </c>
      <c r="S13" s="472">
        <f ca="1">_xll.meLWOBondDirtyPrice($P13,$C$4,$Q13%)</f>
        <v>104.04600000000001</v>
      </c>
      <c r="T13" s="503">
        <f ca="1">_xll.meLWOBondAccruedInterestDays(P13,$C$4)</f>
        <v>-1</v>
      </c>
      <c r="U13" s="503">
        <f ca="1">_xll.meLWOBondAccruedInterest(P13,$C$4)</f>
        <v>-30</v>
      </c>
      <c r="V13" s="469">
        <f ca="1">_xll.meLWOBondModifiedDuration($P13,$C$4,$Q13%)</f>
        <v>3.4395626534318486</v>
      </c>
      <c r="W13" s="470">
        <f ca="1">_xll.meLWOBondDV01($P13,$C$4,$Q13%)</f>
        <v>357.87273583897013</v>
      </c>
      <c r="X13" s="507" t="str">
        <f t="shared" si="0"/>
        <v>YMA Comdty</v>
      </c>
      <c r="Y13" s="471">
        <f>_xll.BDP($X13,Y$6)</f>
        <v>97.825000000000003</v>
      </c>
      <c r="Z13" s="471">
        <f>_xll.BDP($X13,Z$6)</f>
        <v>97.83</v>
      </c>
      <c r="AA13" s="468">
        <f t="shared" si="1"/>
        <v>2.1724999999999994E-2</v>
      </c>
      <c r="AB13" s="468">
        <f t="shared" si="2"/>
        <v>-1.7068999999999994E-2</v>
      </c>
    </row>
    <row r="14" spans="2:28">
      <c r="B14" s="467" t="s">
        <v>617</v>
      </c>
      <c r="C14" s="433" t="str">
        <f>_xll.BDP($B14,C$6)</f>
        <v>ACGB 5 3/4 07/15/22</v>
      </c>
      <c r="D14" s="501" t="str">
        <f>_xll.BDP($B14,D$6)</f>
        <v>AU3TB0000051</v>
      </c>
      <c r="E14" s="488">
        <f>DATEVALUE(_xll.BDP($B14,E$6))</f>
        <v>40280</v>
      </c>
      <c r="F14" s="491">
        <f>DATEVALUE(_xll.BDP($B14,F$6))</f>
        <v>40193</v>
      </c>
      <c r="G14" s="488"/>
      <c r="H14" s="491">
        <f>DATEVALUE(_xll.BDP($B14,H$6))</f>
        <v>40374</v>
      </c>
      <c r="I14" s="491">
        <f>DATEVALUE(_xll.BDP($B14,I$6))</f>
        <v>44576</v>
      </c>
      <c r="J14" s="489">
        <f>IF(ISNUMBER(O14),O14,_xll.BDP($B14,J$6)%)</f>
        <v>5.7500000000000002E-2</v>
      </c>
      <c r="K14" s="492">
        <f>DATEVALUE(_xll.BDP($B14,K$6))</f>
        <v>44757</v>
      </c>
      <c r="L14" s="477" t="str">
        <f>_xll.BDP($B14,L$6)</f>
        <v>ACT/ACT</v>
      </c>
      <c r="M14" s="473">
        <f>_xll.BDP($B14,M$6)</f>
        <v>3.6495550992470909</v>
      </c>
      <c r="N14" s="473" t="str">
        <f>_xll.BDP($B14,N$6)</f>
        <v>CLEAN</v>
      </c>
      <c r="O14" s="485"/>
      <c r="P14" s="478" t="str">
        <f ca="1">_xll.meLWOBondCreateFromGeneratorLVB(C14,$P$4&amp;"_"&amp;$N14,_xll.meUtilityLVBFromKeysValues($C$7:$K$7,C14:K14))</f>
        <v>ACGB 5 3/4 07/15/22@50:7</v>
      </c>
      <c r="Q14" s="484">
        <f>_xll.BDP($B14,$Q$6)%</f>
        <v>2.1691312332435698E-2</v>
      </c>
      <c r="R14" s="472">
        <f ca="1">_xll.meLWOBondCleanPrice($P14,$C$4,$Q14%)</f>
        <v>120.911</v>
      </c>
      <c r="S14" s="472">
        <f ca="1">_xll.meLWOBondDirtyPrice($P14,$C$4,$Q14%)</f>
        <v>122.911</v>
      </c>
      <c r="T14" s="503">
        <f ca="1">_xll.meLWOBondAccruedInterestDays(P14,$C$4)</f>
        <v>128</v>
      </c>
      <c r="U14" s="503">
        <f ca="1">_xll.meLWOBondAccruedInterest(P14,$C$4)</f>
        <v>20000</v>
      </c>
      <c r="V14" s="469">
        <f ca="1">_xll.meLWOBondModifiedDuration($P14,$C$4,$Q14%)</f>
        <v>3.3244322140533016</v>
      </c>
      <c r="W14" s="470">
        <f ca="1">_xll.meLWOBondDV01($P14,$C$4,$Q14%)</f>
        <v>408.60928786150538</v>
      </c>
      <c r="X14" s="507" t="str">
        <f t="shared" si="0"/>
        <v>YMA Comdty</v>
      </c>
      <c r="Y14" s="471">
        <f>_xll.BDP($X14,Y$6)</f>
        <v>97.825000000000003</v>
      </c>
      <c r="Z14" s="471">
        <f>_xll.BDP($X14,Z$6)</f>
        <v>97.83</v>
      </c>
      <c r="AA14" s="468">
        <f t="shared" si="1"/>
        <v>2.1724999999999994E-2</v>
      </c>
      <c r="AB14" s="468">
        <f t="shared" si="2"/>
        <v>-3.3687667564296503E-5</v>
      </c>
    </row>
    <row r="15" spans="2:28">
      <c r="B15" s="467" t="s">
        <v>595</v>
      </c>
      <c r="C15" s="433" t="str">
        <f>_xll.BDP($B15,C$6)</f>
        <v>ACGB 2 1/4 11/21/22</v>
      </c>
      <c r="D15" s="501" t="str">
        <f>_xll.BDP($B15,D$6)</f>
        <v>AU000XCLWAW9</v>
      </c>
      <c r="E15" s="488">
        <f>DATEVALUE(_xll.BDP($B15,E$6))</f>
        <v>43021</v>
      </c>
      <c r="F15" s="491">
        <f>DATEVALUE(_xll.BDP($B15,F$6))</f>
        <v>42876</v>
      </c>
      <c r="G15" s="488"/>
      <c r="H15" s="491">
        <f>DATEVALUE(_xll.BDP($B15,H$6))</f>
        <v>43060</v>
      </c>
      <c r="I15" s="491">
        <f>DATEVALUE(_xll.BDP($B15,I$6))</f>
        <v>44702</v>
      </c>
      <c r="J15" s="489">
        <f>IF(ISNUMBER(O15),O15,_xll.BDP($B15,J$6)%)</f>
        <v>2.2499999999999999E-2</v>
      </c>
      <c r="K15" s="492">
        <f>DATEVALUE(_xll.BDP($B15,K$6))</f>
        <v>44886</v>
      </c>
      <c r="L15" s="477" t="str">
        <f>_xll.BDP($B15,L$6)</f>
        <v>ACT/ACT</v>
      </c>
      <c r="M15" s="473">
        <f>_xll.BDP($B15,M$6)</f>
        <v>4.0027378507871321</v>
      </c>
      <c r="N15" s="473" t="str">
        <f>_xll.BDP($B15,N$6)</f>
        <v>CLEAN</v>
      </c>
      <c r="O15" s="485"/>
      <c r="P15" s="478" t="str">
        <f ca="1">_xll.meLWOBondCreateFromGeneratorLVB(C15,$P$4&amp;"_"&amp;$N15,_xll.meUtilityLVBFromKeysValues($C$7:$K$7,C15:K15))</f>
        <v>ACGB 2 1/4 11/21/22@35:7</v>
      </c>
      <c r="Q15" s="484">
        <f>_xll.BDP($B15,$Q$6)%</f>
        <v>2.2284517884399762E-2</v>
      </c>
      <c r="R15" s="472">
        <f ca="1">_xll.meLWOBondCleanPrice($P15,$C$4,$Q15%)</f>
        <v>108.91200000000001</v>
      </c>
      <c r="S15" s="472">
        <f ca="1">_xll.meLWOBondDirtyPrice($P15,$C$4,$Q15%)</f>
        <v>108.90600000000001</v>
      </c>
      <c r="T15" s="503">
        <f ca="1">_xll.meLWOBondAccruedInterestDays(P15,$C$4)</f>
        <v>-1</v>
      </c>
      <c r="U15" s="503">
        <f ca="1">_xll.meLWOBondAccruedInterest(P15,$C$4)</f>
        <v>-60</v>
      </c>
      <c r="V15" s="469">
        <f ca="1">_xll.meLWOBondModifiedDuration($P15,$C$4,$Q15%)</f>
        <v>3.8577279565986129</v>
      </c>
      <c r="W15" s="470">
        <f ca="1">_xll.meLWOBondDV01($P15,$C$4,$Q15%)</f>
        <v>420.12972084132855</v>
      </c>
      <c r="X15" s="507" t="str">
        <f t="shared" si="0"/>
        <v>YMA Comdty</v>
      </c>
      <c r="Y15" s="471">
        <f>_xll.BDP($X15,Y$6)</f>
        <v>97.825000000000003</v>
      </c>
      <c r="Z15" s="471">
        <f>_xll.BDP($X15,Z$6)</f>
        <v>97.83</v>
      </c>
      <c r="AA15" s="468">
        <f t="shared" si="1"/>
        <v>2.1724999999999994E-2</v>
      </c>
      <c r="AB15" s="468">
        <f t="shared" si="2"/>
        <v>5.5951788439976766E-4</v>
      </c>
    </row>
    <row r="16" spans="2:28">
      <c r="B16" s="467" t="s">
        <v>615</v>
      </c>
      <c r="C16" s="433" t="str">
        <f>_xll.BDP($B16,C$6)</f>
        <v>ACGB 5 1/2 04/21/23</v>
      </c>
      <c r="D16" s="501" t="str">
        <f>_xll.BDP($B16,D$6)</f>
        <v>AU3TB0000101</v>
      </c>
      <c r="E16" s="488">
        <f>DATEVALUE(_xll.BDP($B16,E$6))</f>
        <v>40686</v>
      </c>
      <c r="F16" s="491">
        <f>DATEVALUE(_xll.BDP($B16,F$6))</f>
        <v>40654</v>
      </c>
      <c r="G16" s="488"/>
      <c r="H16" s="491">
        <f>DATEVALUE(_xll.BDP($B16,H$6))</f>
        <v>40837</v>
      </c>
      <c r="I16" s="491">
        <f>DATEVALUE(_xll.BDP($B16,I$6))</f>
        <v>44855</v>
      </c>
      <c r="J16" s="489">
        <f>IF(ISNUMBER(O16),O16,_xll.BDP($B16,J$6)%)</f>
        <v>5.5E-2</v>
      </c>
      <c r="K16" s="492">
        <f>DATEVALUE(_xll.BDP($B16,K$6))</f>
        <v>45037</v>
      </c>
      <c r="L16" s="477" t="str">
        <f>_xll.BDP($B16,L$6)</f>
        <v>ACT/ACT</v>
      </c>
      <c r="M16" s="473">
        <f>_xll.BDP($B16,M$6)</f>
        <v>4.4161533196440796</v>
      </c>
      <c r="N16" s="473" t="str">
        <f>_xll.BDP($B16,N$6)</f>
        <v>CLEAN</v>
      </c>
      <c r="O16" s="485"/>
      <c r="P16" s="478" t="str">
        <f ca="1">_xll.meLWOBondCreateFromGeneratorLVB(C16,$P$4&amp;"_"&amp;$N16,_xll.meUtilityLVBFromKeysValues($C$7:$K$7,C16:K16))</f>
        <v>ACGB 5 1/2 04/21/23@41:7</v>
      </c>
      <c r="Q16" s="484">
        <f>_xll.BDP($B16,$Q$6)%</f>
        <v>2.2580460280735015E-2</v>
      </c>
      <c r="R16" s="472">
        <f ca="1">_xll.meLWOBondCleanPrice($P16,$C$4,$Q16%)</f>
        <v>124.184</v>
      </c>
      <c r="S16" s="472">
        <f ca="1">_xll.meLWOBondDirtyPrice($P16,$C$4,$Q16%)</f>
        <v>124.637</v>
      </c>
      <c r="T16" s="503">
        <f ca="1">_xll.meLWOBondAccruedInterestDays(P16,$C$4)</f>
        <v>30</v>
      </c>
      <c r="U16" s="503">
        <f ca="1">_xll.meLWOBondAccruedInterest(P16,$C$4)</f>
        <v>4530</v>
      </c>
      <c r="V16" s="469">
        <f ca="1">_xll.meLWOBondModifiedDuration($P16,$C$4,$Q16%)</f>
        <v>4.0201101026505457</v>
      </c>
      <c r="W16" s="470">
        <f ca="1">_xll.meLWOBondDV01($P16,$C$4,$Q16%)</f>
        <v>501.05446286405606</v>
      </c>
      <c r="X16" s="507" t="str">
        <f t="shared" si="0"/>
        <v>YMA Comdty</v>
      </c>
      <c r="Y16" s="471">
        <f>_xll.BDP($X16,Y$6)</f>
        <v>97.825000000000003</v>
      </c>
      <c r="Z16" s="471">
        <f>_xll.BDP($X16,Z$6)</f>
        <v>97.83</v>
      </c>
      <c r="AA16" s="468">
        <f t="shared" si="1"/>
        <v>2.1724999999999994E-2</v>
      </c>
      <c r="AB16" s="468">
        <f t="shared" si="2"/>
        <v>8.5546028073502089E-4</v>
      </c>
    </row>
    <row r="17" spans="2:28">
      <c r="B17" s="467" t="s">
        <v>599</v>
      </c>
      <c r="C17" s="433" t="str">
        <f>_xll.BDP($B17,C$6)</f>
        <v>ACGB 2 3/4 04/21/24</v>
      </c>
      <c r="D17" s="501" t="str">
        <f>_xll.BDP($B17,D$6)</f>
        <v>AU3TB0000143</v>
      </c>
      <c r="E17" s="488">
        <f>DATEVALUE(_xll.BDP($B17,E$6))</f>
        <v>41085</v>
      </c>
      <c r="F17" s="491">
        <f>DATEVALUE(_xll.BDP($B17,F$6))</f>
        <v>41020</v>
      </c>
      <c r="G17" s="488"/>
      <c r="H17" s="491">
        <f>DATEVALUE(_xll.BDP($B17,H$6))</f>
        <v>41203</v>
      </c>
      <c r="I17" s="491">
        <f>DATEVALUE(_xll.BDP($B17,I$6))</f>
        <v>45220</v>
      </c>
      <c r="J17" s="489">
        <f>IF(ISNUMBER(O17),O17,_xll.BDP($B17,J$6)%)</f>
        <v>2.75E-2</v>
      </c>
      <c r="K17" s="492">
        <f>DATEVALUE(_xll.BDP($B17,K$6))</f>
        <v>45403</v>
      </c>
      <c r="L17" s="477" t="str">
        <f>_xll.BDP($B17,L$6)</f>
        <v>ACT/ACT</v>
      </c>
      <c r="M17" s="473">
        <f>_xll.BDP($B17,M$6)</f>
        <v>5.4182067077344289</v>
      </c>
      <c r="N17" s="473" t="str">
        <f>_xll.BDP($B17,N$6)</f>
        <v>CLEAN</v>
      </c>
      <c r="O17" s="485"/>
      <c r="P17" s="478" t="str">
        <f ca="1">_xll.meLWOBondCreateFromGeneratorLVB(C17,$P$4&amp;"_"&amp;$N17,_xll.meUtilityLVBFromKeysValues($C$7:$K$7,C17:K17))</f>
        <v>ACGB 2 3/4 04/21/24@51:7</v>
      </c>
      <c r="Q17" s="484">
        <f>_xll.BDP($B17,$Q$6)%</f>
        <v>2.3770212776756849E-2</v>
      </c>
      <c r="R17" s="472">
        <f ca="1">_xll.meLWOBondCleanPrice($P17,$C$4,$Q17%)</f>
        <v>114.759</v>
      </c>
      <c r="S17" s="472">
        <f ca="1">_xll.meLWOBondDirtyPrice($P17,$C$4,$Q17%)</f>
        <v>114.986</v>
      </c>
      <c r="T17" s="503">
        <f ca="1">_xll.meLWOBondAccruedInterestDays(P17,$C$4)</f>
        <v>30</v>
      </c>
      <c r="U17" s="503">
        <f ca="1">_xll.meLWOBondAccruedInterest(P17,$C$4)</f>
        <v>2270</v>
      </c>
      <c r="V17" s="469">
        <f ca="1">_xll.meLWOBondModifiedDuration($P17,$C$4,$Q17%)</f>
        <v>5.0882750837173472</v>
      </c>
      <c r="W17" s="470">
        <f ca="1">_xll.meLWOBondDV01($P17,$C$4,$Q17%)</f>
        <v>585.08039877632291</v>
      </c>
      <c r="X17" s="507" t="str">
        <f t="shared" si="0"/>
        <v>YMA Comdty</v>
      </c>
      <c r="Y17" s="471">
        <f>_xll.BDP($X17,Y$6)</f>
        <v>97.825000000000003</v>
      </c>
      <c r="Z17" s="471">
        <f>_xll.BDP($X17,Z$6)</f>
        <v>97.83</v>
      </c>
      <c r="AA17" s="468">
        <f t="shared" si="1"/>
        <v>2.1724999999999994E-2</v>
      </c>
      <c r="AB17" s="468">
        <f t="shared" si="2"/>
        <v>2.0452127767568544E-3</v>
      </c>
    </row>
    <row r="18" spans="2:28">
      <c r="B18" s="467" t="s">
        <v>606</v>
      </c>
      <c r="C18" s="433" t="str">
        <f>_xll.BDP($B18,C$6)</f>
        <v>ACGB 3 1/4 04/21/25</v>
      </c>
      <c r="D18" s="501" t="str">
        <f>_xll.BDP($B18,D$6)</f>
        <v>AU3TB0000168</v>
      </c>
      <c r="E18" s="488">
        <f>DATEVALUE(_xll.BDP($B18,E$6))</f>
        <v>41423</v>
      </c>
      <c r="F18" s="491">
        <f>DATEVALUE(_xll.BDP($B18,F$6))</f>
        <v>41385</v>
      </c>
      <c r="G18" s="488"/>
      <c r="H18" s="491">
        <f>DATEVALUE(_xll.BDP($B18,H$6))</f>
        <v>41568</v>
      </c>
      <c r="I18" s="491">
        <f>DATEVALUE(_xll.BDP($B18,I$6))</f>
        <v>45586</v>
      </c>
      <c r="J18" s="489">
        <f>IF(ISNUMBER(O18),O18,_xll.BDP($B18,J$6)%)</f>
        <v>3.2500000000000001E-2</v>
      </c>
      <c r="K18" s="492">
        <f>DATEVALUE(_xll.BDP($B18,K$6))</f>
        <v>45768</v>
      </c>
      <c r="L18" s="477" t="str">
        <f>_xll.BDP($B18,L$6)</f>
        <v>ACT/ACT</v>
      </c>
      <c r="M18" s="473">
        <f>_xll.BDP($B18,M$6)</f>
        <v>6.4175222450376452</v>
      </c>
      <c r="N18" s="473" t="str">
        <f>_xll.BDP($B18,N$6)</f>
        <v>CLEAN</v>
      </c>
      <c r="O18" s="485"/>
      <c r="P18" s="478" t="str">
        <f ca="1">_xll.meLWOBondCreateFromGeneratorLVB(C18,$P$4&amp;"_"&amp;$N18,_xll.meUtilityLVBFromKeysValues($C$7:$K$7,C18:K18))</f>
        <v>ACGB 3 1/4 04/21/25@52:7</v>
      </c>
      <c r="Q18" s="484">
        <f>_xll.BDP($B18,$Q$6)%</f>
        <v>2.4659450366330847E-2</v>
      </c>
      <c r="R18" s="472">
        <f ca="1">_xll.meLWOBondCleanPrice($P18,$C$4,$Q18%)</f>
        <v>120.681</v>
      </c>
      <c r="S18" s="472">
        <f ca="1">_xll.meLWOBondDirtyPrice($P18,$C$4,$Q18%)</f>
        <v>120.949</v>
      </c>
      <c r="T18" s="503">
        <f ca="1">_xll.meLWOBondAccruedInterestDays(P18,$C$4)</f>
        <v>30</v>
      </c>
      <c r="U18" s="503">
        <f ca="1">_xll.meLWOBondAccruedInterest(P18,$C$4)</f>
        <v>2680</v>
      </c>
      <c r="V18" s="469">
        <f ca="1">_xll.meLWOBondModifiedDuration($P18,$C$4,$Q18%)</f>
        <v>5.8931700265542339</v>
      </c>
      <c r="W18" s="470">
        <f ca="1">_xll.meLWOBondDV01($P18,$C$4,$Q18%)</f>
        <v>712.77302154170798</v>
      </c>
      <c r="X18" s="507" t="str">
        <f t="shared" si="0"/>
        <v>XMA Comdty</v>
      </c>
      <c r="Y18" s="471">
        <f>_xll.BDP($X18,Y$6)</f>
        <v>97.295000000000002</v>
      </c>
      <c r="Z18" s="471">
        <f>_xll.BDP($X18,Z$6)</f>
        <v>97.3</v>
      </c>
      <c r="AA18" s="468">
        <f t="shared" si="1"/>
        <v>2.7025000000000007E-2</v>
      </c>
      <c r="AB18" s="468">
        <f t="shared" si="2"/>
        <v>-2.3655496336691603E-3</v>
      </c>
    </row>
    <row r="19" spans="2:28">
      <c r="B19" s="467" t="s">
        <v>605</v>
      </c>
      <c r="C19" s="433" t="str">
        <f>_xll.BDP($B19,C$6)</f>
        <v>ACGB 3 09/20/25</v>
      </c>
      <c r="D19" s="501" t="str">
        <f>_xll.BDP($B19,D$6)</f>
        <v>AU0000XCLWP8</v>
      </c>
      <c r="E19" s="488">
        <f>DATEVALUE(_xll.BDP($B19,E$6))</f>
        <v>40094</v>
      </c>
      <c r="F19" s="491">
        <f>DATEVALUE(_xll.BDP($B19,F$6))</f>
        <v>40076</v>
      </c>
      <c r="G19" s="488"/>
      <c r="H19" s="491">
        <f>DATEVALUE(_xll.BDP($B19,H$6))</f>
        <v>40167</v>
      </c>
      <c r="I19" s="491">
        <f>DATEVALUE(_xll.BDP($B19,I$6))</f>
        <v>45828</v>
      </c>
      <c r="J19" s="489">
        <f>IF(ISNUMBER(O19),O19,_xll.BDP($B19,J$6)%)</f>
        <v>0.03</v>
      </c>
      <c r="K19" s="492">
        <f>DATEVALUE(_xll.BDP($B19,K$6))</f>
        <v>45920</v>
      </c>
      <c r="L19" s="477" t="str">
        <f>_xll.BDP($B19,L$6)</f>
        <v>ACT/ACT</v>
      </c>
      <c r="M19" s="473">
        <f>_xll.BDP($B19,M$6)</f>
        <v>6.8336755646817249</v>
      </c>
      <c r="N19" s="473" t="str">
        <f>_xll.BDP($B19,N$6)</f>
        <v>CLEAN</v>
      </c>
      <c r="O19" s="485"/>
      <c r="P19" s="478" t="str">
        <f ca="1">_xll.meLWOBondCreateFromGeneratorLVB(C19,$P$4&amp;"_"&amp;$N19,_xll.meUtilityLVBFromKeysValues($C$7:$K$7,C19:K19))</f>
        <v>ACGB 3 09/20/25@36:7</v>
      </c>
      <c r="Q19" s="484">
        <f>_xll.BDP($B19,$Q$6)%</f>
        <v>6.8240000000000002E-3</v>
      </c>
      <c r="R19" s="472">
        <f ca="1">_xll.meLWOBondCleanPrice($P19,$C$4,$Q19%)</f>
        <v>120.443</v>
      </c>
      <c r="S19" s="472">
        <f ca="1">_xll.meLWOBondDirtyPrice($P19,$C$4,$Q19%)</f>
        <v>121.697</v>
      </c>
      <c r="T19" s="503">
        <f ca="1">_xll.meLWOBondAccruedInterestDays(P19,$C$4)</f>
        <v>153</v>
      </c>
      <c r="U19" s="503">
        <f ca="1">_xll.meLWOBondAccruedInterest(P19,$C$4)</f>
        <v>12540</v>
      </c>
      <c r="V19" s="469">
        <f ca="1">_xll.meLWOBondModifiedDuration($P19,$C$4,$Q19%)</f>
        <v>6.4347217411869675</v>
      </c>
      <c r="W19" s="470">
        <f ca="1">_xll.meLWOBondDV01($P19,$C$4,$Q19%)</f>
        <v>783.08633173723035</v>
      </c>
      <c r="X19" s="507" t="str">
        <f t="shared" si="0"/>
        <v>XMA Comdty</v>
      </c>
      <c r="Y19" s="471">
        <f>_xll.BDP($X19,Y$6)</f>
        <v>97.295000000000002</v>
      </c>
      <c r="Z19" s="471">
        <f>_xll.BDP($X19,Z$6)</f>
        <v>97.3</v>
      </c>
      <c r="AA19" s="468">
        <f t="shared" si="1"/>
        <v>2.7025000000000007E-2</v>
      </c>
      <c r="AB19" s="468">
        <f t="shared" si="2"/>
        <v>-2.0201000000000007E-2</v>
      </c>
    </row>
    <row r="20" spans="2:28">
      <c r="B20" s="467" t="s">
        <v>611</v>
      </c>
      <c r="C20" s="433" t="str">
        <f>_xll.BDP($B20,C$6)</f>
        <v>ACGB 4 1/4 04/21/26</v>
      </c>
      <c r="D20" s="501" t="str">
        <f>_xll.BDP($B20,D$6)</f>
        <v>AU000XCLWAI8</v>
      </c>
      <c r="E20" s="488">
        <f>DATEVALUE(_xll.BDP($B20,E$6))</f>
        <v>41717</v>
      </c>
      <c r="F20" s="491">
        <f>DATEVALUE(_xll.BDP($B20,F$6))</f>
        <v>41568</v>
      </c>
      <c r="G20" s="488"/>
      <c r="H20" s="491">
        <f>DATEVALUE(_xll.BDP($B20,H$6))</f>
        <v>41750</v>
      </c>
      <c r="I20" s="491">
        <f>DATEVALUE(_xll.BDP($B20,I$6))</f>
        <v>45951</v>
      </c>
      <c r="J20" s="489">
        <f>IF(ISNUMBER(O20),O20,_xll.BDP($B20,J$6)%)</f>
        <v>4.2500000000000003E-2</v>
      </c>
      <c r="K20" s="492">
        <f>DATEVALUE(_xll.BDP($B20,K$6))</f>
        <v>46133</v>
      </c>
      <c r="L20" s="477" t="str">
        <f>_xll.BDP($B20,L$6)</f>
        <v>ACT/ACT</v>
      </c>
      <c r="M20" s="473">
        <f>_xll.BDP($B20,M$6)</f>
        <v>7.4168377823408624</v>
      </c>
      <c r="N20" s="473" t="str">
        <f>_xll.BDP($B20,N$6)</f>
        <v>CLEAN</v>
      </c>
      <c r="O20" s="485"/>
      <c r="P20" s="478" t="str">
        <f ca="1">_xll.meLWOBondCreateFromGeneratorLVB(C20,$P$4&amp;"_"&amp;$N20,_xll.meUtilityLVBFromKeysValues($C$7:$K$7,C20:K20))</f>
        <v>ACGB 4 1/4 04/21/26@37:7</v>
      </c>
      <c r="Q20" s="484">
        <f>_xll.BDP($B20,$Q$6)%</f>
        <v>2.5390305991583369E-2</v>
      </c>
      <c r="R20" s="472">
        <f ca="1">_xll.meLWOBondCleanPrice($P20,$C$4,$Q20%)</f>
        <v>131.30500000000001</v>
      </c>
      <c r="S20" s="472">
        <f ca="1">_xll.meLWOBondDirtyPrice($P20,$C$4,$Q20%)</f>
        <v>131.655</v>
      </c>
      <c r="T20" s="503">
        <f ca="1">_xll.meLWOBondAccruedInterestDays(P20,$C$4)</f>
        <v>30</v>
      </c>
      <c r="U20" s="503">
        <f ca="1">_xll.meLWOBondAccruedInterest(P20,$C$4)</f>
        <v>3500</v>
      </c>
      <c r="V20" s="469">
        <f ca="1">_xll.meLWOBondModifiedDuration($P20,$C$4,$Q20%)</f>
        <v>6.5699285162342154</v>
      </c>
      <c r="W20" s="470">
        <f ca="1">_xll.meLWOBondDV01($P20,$C$4,$Q20%)</f>
        <v>864.9639388048156</v>
      </c>
      <c r="X20" s="507" t="str">
        <f t="shared" si="0"/>
        <v>XMA Comdty</v>
      </c>
      <c r="Y20" s="471">
        <f>_xll.BDP($X20,Y$6)</f>
        <v>97.295000000000002</v>
      </c>
      <c r="Z20" s="471">
        <f>_xll.BDP($X20,Z$6)</f>
        <v>97.3</v>
      </c>
      <c r="AA20" s="468">
        <f t="shared" si="1"/>
        <v>2.7025000000000007E-2</v>
      </c>
      <c r="AB20" s="468">
        <f t="shared" si="2"/>
        <v>-1.634694008416638E-3</v>
      </c>
    </row>
    <row r="21" spans="2:28">
      <c r="B21" s="467" t="s">
        <v>614</v>
      </c>
      <c r="C21" s="433" t="str">
        <f>_xll.BDP($B21,C$6)</f>
        <v>ACGB 4 3/4 04/21/27</v>
      </c>
      <c r="D21" s="501" t="str">
        <f>_xll.BDP($B21,D$6)</f>
        <v>AU3TB0000135</v>
      </c>
      <c r="E21" s="488">
        <f>DATEVALUE(_xll.BDP($B21,E$6))</f>
        <v>40843</v>
      </c>
      <c r="F21" s="491">
        <f>DATEVALUE(_xll.BDP($B21,F$6))</f>
        <v>40837</v>
      </c>
      <c r="G21" s="488"/>
      <c r="H21" s="491">
        <f>DATEVALUE(_xll.BDP($B21,H$6))</f>
        <v>41020</v>
      </c>
      <c r="I21" s="491">
        <f>DATEVALUE(_xll.BDP($B21,I$6))</f>
        <v>46316</v>
      </c>
      <c r="J21" s="489">
        <f>IF(ISNUMBER(O21),O21,_xll.BDP($B21,J$6)%)</f>
        <v>4.7500000000000001E-2</v>
      </c>
      <c r="K21" s="492">
        <f>DATEVALUE(_xll.BDP($B21,K$6))</f>
        <v>46498</v>
      </c>
      <c r="L21" s="477" t="str">
        <f>_xll.BDP($B21,L$6)</f>
        <v>ACT/ACT</v>
      </c>
      <c r="M21" s="473">
        <f>_xll.BDP($B21,M$6)</f>
        <v>8.4161533196440796</v>
      </c>
      <c r="N21" s="473" t="str">
        <f>_xll.BDP($B21,N$6)</f>
        <v>CLEAN</v>
      </c>
      <c r="O21" s="485"/>
      <c r="P21" s="478" t="str">
        <f ca="1">_xll.meLWOBondCreateFromGeneratorLVB(C21,$P$4&amp;"_"&amp;$N21,_xll.meUtilityLVBFromKeysValues($C$7:$K$7,C21:K21))</f>
        <v>ACGB 4 3/4 04/21/27@46:7</v>
      </c>
      <c r="Q21" s="484">
        <f>_xll.BDP($B21,$Q$6)%</f>
        <v>2.5990125078255343E-2</v>
      </c>
      <c r="R21" s="472">
        <f ca="1">_xll.meLWOBondCleanPrice($P21,$C$4,$Q21%)</f>
        <v>139.71900000000002</v>
      </c>
      <c r="S21" s="472">
        <f ca="1">_xll.meLWOBondDirtyPrice($P21,$C$4,$Q21%)</f>
        <v>140.11000000000001</v>
      </c>
      <c r="T21" s="503">
        <f ca="1">_xll.meLWOBondAccruedInterestDays(P21,$C$4)</f>
        <v>30</v>
      </c>
      <c r="U21" s="503">
        <f ca="1">_xll.meLWOBondAccruedInterest(P21,$C$4)</f>
        <v>3910</v>
      </c>
      <c r="V21" s="469">
        <f ca="1">_xll.meLWOBondModifiedDuration($P21,$C$4,$Q21%)</f>
        <v>7.2648557756367786</v>
      </c>
      <c r="W21" s="470">
        <f ca="1">_xll.meLWOBondDV01($P21,$C$4,$Q21%)</f>
        <v>1017.8789427244692</v>
      </c>
      <c r="X21" s="507" t="str">
        <f t="shared" si="0"/>
        <v>XMA Comdty</v>
      </c>
      <c r="Y21" s="471">
        <f>_xll.BDP($X21,Y$6)</f>
        <v>97.295000000000002</v>
      </c>
      <c r="Z21" s="471">
        <f>_xll.BDP($X21,Z$6)</f>
        <v>97.3</v>
      </c>
      <c r="AA21" s="468">
        <f t="shared" si="1"/>
        <v>2.7025000000000007E-2</v>
      </c>
      <c r="AB21" s="468">
        <f t="shared" si="2"/>
        <v>-1.0348749217446648E-3</v>
      </c>
    </row>
    <row r="22" spans="2:28">
      <c r="B22" s="467" t="s">
        <v>587</v>
      </c>
      <c r="C22" s="433" t="str">
        <f>_xll.BDP($B22,C$6)</f>
        <v>ACGB 0 3/4 11/21/27</v>
      </c>
      <c r="D22" s="501" t="str">
        <f>_xll.BDP($B22,D$6)</f>
        <v>AU000XCLWAV1</v>
      </c>
      <c r="E22" s="488">
        <f>DATEVALUE(_xll.BDP($B22,E$6))</f>
        <v>42978</v>
      </c>
      <c r="F22" s="488">
        <f>DATEVALUE(_xll.BDP($B22,F$6))</f>
        <v>42968</v>
      </c>
      <c r="G22" s="488"/>
      <c r="H22" s="488">
        <f>DATEVALUE(_xll.BDP($B22,H$6))</f>
        <v>43060</v>
      </c>
      <c r="I22" s="488">
        <f>DATEVALUE(_xll.BDP($B22,I$6))</f>
        <v>46620</v>
      </c>
      <c r="J22" s="489">
        <f>IF(ISNUMBER(O22),O22,_xll.BDP($B22,J$6)%)</f>
        <v>7.4999999999999997E-3</v>
      </c>
      <c r="K22" s="490">
        <f>DATEVALUE(_xll.BDP($B22,K$6))</f>
        <v>46712</v>
      </c>
      <c r="L22" s="477" t="str">
        <f>_xll.BDP($B22,L$6)</f>
        <v>ACT/ACT</v>
      </c>
      <c r="M22" s="473">
        <f>_xll.BDP($B22,M$6)</f>
        <v>9.0020533880903493</v>
      </c>
      <c r="N22" s="473" t="str">
        <f>_xll.BDP($B22,N$6)</f>
        <v>CLEAN</v>
      </c>
      <c r="O22" s="485"/>
      <c r="P22" s="478" t="str">
        <f ca="1">_xll.meLWOBondCreateFromGeneratorLVB(C22,$P$4&amp;"_"&amp;$N22,_xll.meUtilityLVBFromKeysValues($C$7:$K$7,C22:K22))</f>
        <v>ACGB 0 3/4 11/21/27@34:7</v>
      </c>
      <c r="Q22" s="484">
        <f>_xll.BDP($B22,$Q$6)%</f>
        <v>7.5060000000000005E-3</v>
      </c>
      <c r="R22" s="472">
        <f ca="1">_xll.meLWOBondCleanPrice($P22,$C$4,$Q22)</f>
        <v>99.82</v>
      </c>
      <c r="S22" s="472">
        <f ca="1">_xll.meLWOBondDirtyPrice($P22,$C$4,$Q22%)</f>
        <v>106.866</v>
      </c>
      <c r="T22" s="503">
        <f ca="1">_xll.meLWOBondAccruedInterestDays(P22,$C$4)</f>
        <v>91</v>
      </c>
      <c r="U22" s="503">
        <f ca="1">_xll.meLWOBondAccruedInterest(P22,$C$4)</f>
        <v>1850</v>
      </c>
      <c r="V22" s="469">
        <f ca="1">_xll.meLWOBondModifiedDuration($P22,$C$4,$Q22%)</f>
        <v>8.9523964983931528</v>
      </c>
      <c r="W22" s="470">
        <f ca="1">_xll.meLWOBondDV01($P22,$C$4,$Q22%)</f>
        <v>956.70680419728262</v>
      </c>
      <c r="X22" s="507" t="str">
        <f t="shared" si="0"/>
        <v>XMA Comdty</v>
      </c>
      <c r="Y22" s="471">
        <f>_xll.BDP($X22,Y$6)</f>
        <v>97.295000000000002</v>
      </c>
      <c r="Z22" s="471">
        <f>_xll.BDP($X22,Z$6)</f>
        <v>97.3</v>
      </c>
      <c r="AA22" s="468">
        <f t="shared" si="1"/>
        <v>2.7025000000000007E-2</v>
      </c>
      <c r="AB22" s="468">
        <f t="shared" si="2"/>
        <v>-1.9519000000000009E-2</v>
      </c>
    </row>
    <row r="23" spans="2:28">
      <c r="B23" s="467" t="s">
        <v>600</v>
      </c>
      <c r="C23" s="433" t="str">
        <f>_xll.BDP($B23,C$6)</f>
        <v>ACGB 2 3/4 11/21/27</v>
      </c>
      <c r="D23" s="501" t="str">
        <f>_xll.BDP($B23,D$6)</f>
        <v>AU000XCLWAQ1</v>
      </c>
      <c r="E23" s="488">
        <f>DATEVALUE(_xll.BDP($B23,E$6))</f>
        <v>42397</v>
      </c>
      <c r="F23" s="491">
        <f>DATEVALUE(_xll.BDP($B23,F$6))</f>
        <v>42329</v>
      </c>
      <c r="G23" s="488"/>
      <c r="H23" s="491">
        <f>DATEVALUE(_xll.BDP($B23,H$6))</f>
        <v>42511</v>
      </c>
      <c r="I23" s="491">
        <f>DATEVALUE(_xll.BDP($B23,I$6))</f>
        <v>46528</v>
      </c>
      <c r="J23" s="489">
        <f>IF(ISNUMBER(O23),O23,_xll.BDP($B23,J$6)%)</f>
        <v>2.75E-2</v>
      </c>
      <c r="K23" s="492">
        <f>DATEVALUE(_xll.BDP($B23,K$6))</f>
        <v>46712</v>
      </c>
      <c r="L23" s="477" t="str">
        <f>_xll.BDP($B23,L$6)</f>
        <v>ACT/ACT</v>
      </c>
      <c r="M23" s="473">
        <f>_xll.BDP($B23,M$6)</f>
        <v>9.0020533880903493</v>
      </c>
      <c r="N23" s="473" t="str">
        <f>_xll.BDP($B23,N$6)</f>
        <v>CLEAN</v>
      </c>
      <c r="O23" s="485"/>
      <c r="P23" s="478" t="str">
        <f ca="1">_xll.meLWOBondCreateFromGeneratorLVB(C23,$P$4&amp;"_"&amp;$N23,_xll.meUtilityLVBFromKeysValues($C$7:$K$7,C23:K23))</f>
        <v>ACGB 2 3/4 11/21/27@47:7</v>
      </c>
      <c r="Q23" s="484">
        <f>_xll.BDP($B23,$Q$6)%</f>
        <v>2.6489813249676489E-2</v>
      </c>
      <c r="R23" s="472">
        <f ca="1">_xll.meLWOBondCleanPrice($P23,$C$4,$Q23%)</f>
        <v>124.488</v>
      </c>
      <c r="S23" s="472">
        <f ca="1">_xll.meLWOBondDirtyPrice($P23,$C$4,$Q23%)</f>
        <v>124.48099999999999</v>
      </c>
      <c r="T23" s="503">
        <f ca="1">_xll.meLWOBondAccruedInterestDays(P23,$C$4)</f>
        <v>-1</v>
      </c>
      <c r="U23" s="503">
        <f ca="1">_xll.meLWOBondAccruedInterest(P23,$C$4)</f>
        <v>-70</v>
      </c>
      <c r="V23" s="469">
        <f ca="1">_xll.meLWOBondModifiedDuration($P23,$C$4,$Q23%)</f>
        <v>8.1573148332747962</v>
      </c>
      <c r="W23" s="470">
        <f ca="1">_xll.meLWOBondDV01($P23,$C$4,$Q23%)</f>
        <v>1015.43070776088</v>
      </c>
      <c r="X23" s="507" t="str">
        <f t="shared" si="0"/>
        <v>XMA Comdty</v>
      </c>
      <c r="Y23" s="471">
        <f>_xll.BDP($X23,Y$6)</f>
        <v>97.295000000000002</v>
      </c>
      <c r="Z23" s="471">
        <f>_xll.BDP($X23,Z$6)</f>
        <v>97.3</v>
      </c>
      <c r="AA23" s="468">
        <f t="shared" si="1"/>
        <v>2.7025000000000007E-2</v>
      </c>
      <c r="AB23" s="468">
        <f t="shared" si="2"/>
        <v>-5.3518675032351859E-4</v>
      </c>
    </row>
    <row r="24" spans="2:28">
      <c r="B24" s="467" t="s">
        <v>594</v>
      </c>
      <c r="C24" s="433" t="str">
        <f>_xll.BDP($B24,C$6)</f>
        <v>ACGB 2 1/4 05/21/28</v>
      </c>
      <c r="D24" s="501" t="str">
        <f>_xll.BDP($B24,D$6)</f>
        <v>AU000XCLWAR9</v>
      </c>
      <c r="E24" s="488">
        <f>DATEVALUE(_xll.BDP($B24,E$6))</f>
        <v>42509</v>
      </c>
      <c r="F24" s="491">
        <f>DATEVALUE(_xll.BDP($B24,F$6))</f>
        <v>42329</v>
      </c>
      <c r="G24" s="488"/>
      <c r="H24" s="491">
        <f>DATEVALUE(_xll.BDP($B24,H$6))</f>
        <v>42511</v>
      </c>
      <c r="I24" s="491">
        <f>DATEVALUE(_xll.BDP($B24,I$6))</f>
        <v>46712</v>
      </c>
      <c r="J24" s="489">
        <f>IF(ISNUMBER(O24),O24,_xll.BDP($B24,J$6)%)</f>
        <v>2.2499999999999999E-2</v>
      </c>
      <c r="K24" s="492">
        <f>DATEVALUE(_xll.BDP($B24,K$6))</f>
        <v>46894</v>
      </c>
      <c r="L24" s="477" t="str">
        <f>_xll.BDP($B24,L$6)</f>
        <v>ACT/ACT</v>
      </c>
      <c r="M24" s="473">
        <f>_xll.BDP($B24,M$6)</f>
        <v>9.500342231348391</v>
      </c>
      <c r="N24" s="473" t="str">
        <f>_xll.BDP($B24,N$6)</f>
        <v>CLEAN</v>
      </c>
      <c r="O24" s="485"/>
      <c r="P24" s="478" t="str">
        <f ca="1">_xll.meLWOBondCreateFromGeneratorLVB(C24,$P$4&amp;"_"&amp;$N24,_xll.meUtilityLVBFromKeysValues($C$7:$K$7,C24:K24))</f>
        <v>ACGB 2 1/4 05/21/28@55:7</v>
      </c>
      <c r="Q24" s="484">
        <f>_xll.BDP($B24,$Q$6)%</f>
        <v>2.67298092105769E-2</v>
      </c>
      <c r="R24" s="472">
        <f ca="1">_xll.meLWOBondCleanPrice($P24,$C$4,$Q24%)</f>
        <v>121.099</v>
      </c>
      <c r="S24" s="472">
        <f ca="1">_xll.meLWOBondDirtyPrice($P24,$C$4,$Q24%)</f>
        <v>121.093</v>
      </c>
      <c r="T24" s="503">
        <f ca="1">_xll.meLWOBondAccruedInterestDays(P24,$C$4)</f>
        <v>-1</v>
      </c>
      <c r="U24" s="503">
        <f ca="1">_xll.meLWOBondAccruedInterest(P24,$C$4)</f>
        <v>-60</v>
      </c>
      <c r="V24" s="469">
        <f ca="1">_xll.meLWOBondModifiedDuration($P24,$C$4,$Q24%)</f>
        <v>8.7079164188125535</v>
      </c>
      <c r="W24" s="470">
        <f ca="1">_xll.meLWOBondDV01($P24,$C$4,$Q24%)</f>
        <v>1054.4677229032686</v>
      </c>
      <c r="X24" s="507" t="str">
        <f t="shared" si="0"/>
        <v>XMA Comdty</v>
      </c>
      <c r="Y24" s="471">
        <f>_xll.BDP($X24,Y$6)</f>
        <v>97.295000000000002</v>
      </c>
      <c r="Z24" s="471">
        <f>_xll.BDP($X24,Z$6)</f>
        <v>97.3</v>
      </c>
      <c r="AA24" s="468">
        <f t="shared" si="1"/>
        <v>2.7025000000000007E-2</v>
      </c>
      <c r="AB24" s="468">
        <f t="shared" si="2"/>
        <v>-2.9519078942310747E-4</v>
      </c>
    </row>
    <row r="25" spans="2:28">
      <c r="B25" s="467" t="s">
        <v>598</v>
      </c>
      <c r="C25" s="433" t="str">
        <f>_xll.BDP($B25,C$6)</f>
        <v>ACGB 2 3/4 11/21/28</v>
      </c>
      <c r="D25" s="501" t="str">
        <f>_xll.BDP($B25,D$6)</f>
        <v>AU000XCLWAU3</v>
      </c>
      <c r="E25" s="488">
        <f>DATEVALUE(_xll.BDP($B25,E$6))</f>
        <v>42796</v>
      </c>
      <c r="F25" s="491">
        <f>DATEVALUE(_xll.BDP($B25,F$6))</f>
        <v>42695</v>
      </c>
      <c r="G25" s="488"/>
      <c r="H25" s="491">
        <f>DATEVALUE(_xll.BDP($B25,H$6))</f>
        <v>42876</v>
      </c>
      <c r="I25" s="491">
        <f>DATEVALUE(_xll.BDP($B25,I$6))</f>
        <v>46894</v>
      </c>
      <c r="J25" s="489">
        <f>IF(ISNUMBER(O25),O25,_xll.BDP($B25,J$6)%)</f>
        <v>2.75E-2</v>
      </c>
      <c r="K25" s="492">
        <f>DATEVALUE(_xll.BDP($B25,K$6))</f>
        <v>47078</v>
      </c>
      <c r="L25" s="477" t="str">
        <f>_xll.BDP($B25,L$6)</f>
        <v>ACT/ACT</v>
      </c>
      <c r="M25" s="473">
        <f>_xll.BDP($B25,M$6)</f>
        <v>10.004106776180699</v>
      </c>
      <c r="N25" s="473" t="str">
        <f>_xll.BDP($B25,N$6)</f>
        <v>CLEAN</v>
      </c>
      <c r="O25" s="485"/>
      <c r="P25" s="478" t="str">
        <f ca="1">_xll.meLWOBondCreateFromGeneratorLVB(C25,$P$4&amp;"_"&amp;$N25,_xll.meUtilityLVBFromKeysValues($C$7:$K$7,C25:K25))</f>
        <v>ACGB 2 3/4 11/21/28@45:7</v>
      </c>
      <c r="Q25" s="484">
        <f>_xll.BDP($B25,$Q$6)%</f>
        <v>2.6745420013585534E-2</v>
      </c>
      <c r="R25" s="472">
        <f ca="1">_xll.meLWOBondCleanPrice($P25,$C$4,$Q25%)</f>
        <v>127.20100000000001</v>
      </c>
      <c r="S25" s="472">
        <f ca="1">_xll.meLWOBondDirtyPrice($P25,$C$4,$Q25%)</f>
        <v>127.194</v>
      </c>
      <c r="T25" s="503">
        <f ca="1">_xll.meLWOBondAccruedInterestDays(P25,$C$4)</f>
        <v>-1</v>
      </c>
      <c r="U25" s="503">
        <f ca="1">_xll.meLWOBondAccruedInterest(P25,$C$4)</f>
        <v>-70</v>
      </c>
      <c r="V25" s="469">
        <f ca="1">_xll.meLWOBondModifiedDuration($P25,$C$4,$Q25%)</f>
        <v>8.9755238277740048</v>
      </c>
      <c r="W25" s="470">
        <f ca="1">_xll.meLWOBondDV01($P25,$C$4,$Q25%)</f>
        <v>1141.6327777498868</v>
      </c>
      <c r="X25" s="507" t="str">
        <f t="shared" si="0"/>
        <v>XMA Comdty</v>
      </c>
      <c r="Y25" s="471">
        <f>_xll.BDP($X25,Y$6)</f>
        <v>97.295000000000002</v>
      </c>
      <c r="Z25" s="471">
        <f>_xll.BDP($X25,Z$6)</f>
        <v>97.3</v>
      </c>
      <c r="AA25" s="468">
        <f t="shared" si="1"/>
        <v>2.7025000000000007E-2</v>
      </c>
      <c r="AB25" s="468">
        <f t="shared" si="2"/>
        <v>-2.7957998641447296E-4</v>
      </c>
    </row>
    <row r="26" spans="2:28">
      <c r="B26" s="467" t="s">
        <v>607</v>
      </c>
      <c r="C26" s="433" t="str">
        <f>_xll.BDP($B26,C$6)</f>
        <v>ACGB 3 1/4 04/21/29</v>
      </c>
      <c r="D26" s="501" t="str">
        <f>_xll.BDP($B26,D$6)</f>
        <v>AU3TB0000150</v>
      </c>
      <c r="E26" s="488">
        <f>DATEVALUE(_xll.BDP($B26,E$6))</f>
        <v>41199</v>
      </c>
      <c r="F26" s="491">
        <f>DATEVALUE(_xll.BDP($B26,F$6))</f>
        <v>41203</v>
      </c>
      <c r="G26" s="488"/>
      <c r="H26" s="491">
        <f>DATEVALUE(_xll.BDP($B26,H$6))</f>
        <v>41385</v>
      </c>
      <c r="I26" s="491">
        <f>DATEVALUE(_xll.BDP($B26,I$6))</f>
        <v>47047</v>
      </c>
      <c r="J26" s="489">
        <f>IF(ISNUMBER(O26),O26,_xll.BDP($B26,J$6)%)</f>
        <v>3.2500000000000001E-2</v>
      </c>
      <c r="K26" s="492">
        <f>DATEVALUE(_xll.BDP($B26,K$6))</f>
        <v>47229</v>
      </c>
      <c r="L26" s="477" t="str">
        <f>_xll.BDP($B26,L$6)</f>
        <v>ACT/ACT</v>
      </c>
      <c r="M26" s="473">
        <f>_xll.BDP($B26,M$6)</f>
        <v>10.417522245037645</v>
      </c>
      <c r="N26" s="473" t="str">
        <f>_xll.BDP($B26,N$6)</f>
        <v>CLEAN</v>
      </c>
      <c r="O26" s="485"/>
      <c r="P26" s="478" t="str">
        <f ca="1">_xll.meLWOBondCreateFromGeneratorLVB(C26,$P$4&amp;"_"&amp;$N26,_xll.meUtilityLVBFromKeysValues($C$7:$K$7,C26:K26))</f>
        <v>ACGB 3 1/4 04/21/29@61:7</v>
      </c>
      <c r="Q26" s="484">
        <f>_xll.BDP($B26,$Q$6)%</f>
        <v>2.6789962641158297E-2</v>
      </c>
      <c r="R26" s="472">
        <f ca="1">_xll.meLWOBondCleanPrice($P26,$C$4,$Q26%)</f>
        <v>133.529</v>
      </c>
      <c r="S26" s="472">
        <f ca="1">_xll.meLWOBondDirtyPrice($P26,$C$4,$Q26%)</f>
        <v>133.797</v>
      </c>
      <c r="T26" s="503">
        <f ca="1">_xll.meLWOBondAccruedInterestDays(P26,$C$4)</f>
        <v>30</v>
      </c>
      <c r="U26" s="503">
        <f ca="1">_xll.meLWOBondAccruedInterest(P26,$C$4)</f>
        <v>2680</v>
      </c>
      <c r="V26" s="469">
        <f ca="1">_xll.meLWOBondModifiedDuration($P26,$C$4,$Q26%)</f>
        <v>9.1423164055334336</v>
      </c>
      <c r="W26" s="470">
        <f ca="1">_xll.meLWOBondDV01($P26,$C$4,$Q26%)</f>
        <v>1223.2145081111569</v>
      </c>
      <c r="X26" s="507" t="str">
        <f t="shared" si="0"/>
        <v>XMA Comdty</v>
      </c>
      <c r="Y26" s="471">
        <f>_xll.BDP($X26,Y$6)</f>
        <v>97.295000000000002</v>
      </c>
      <c r="Z26" s="471">
        <f>_xll.BDP($X26,Z$6)</f>
        <v>97.3</v>
      </c>
      <c r="AA26" s="468">
        <f t="shared" si="1"/>
        <v>2.7025000000000007E-2</v>
      </c>
      <c r="AB26" s="468">
        <f t="shared" si="2"/>
        <v>-2.3503735884171026E-4</v>
      </c>
    </row>
    <row r="27" spans="2:28">
      <c r="B27" s="467" t="s">
        <v>603</v>
      </c>
      <c r="C27" s="433" t="str">
        <f>_xll.BDP($B27,C$6)</f>
        <v>ACGB 2 3/4 11/21/29</v>
      </c>
      <c r="D27" s="501" t="str">
        <f>_xll.BDP($B27,D$6)</f>
        <v>AU000XCLWAX7</v>
      </c>
      <c r="E27" s="488">
        <f>DATEVALUE(_xll.BDP($B27,E$6))</f>
        <v>43125</v>
      </c>
      <c r="F27" s="491">
        <f>DATEVALUE(_xll.BDP($B27,F$6))</f>
        <v>43060</v>
      </c>
      <c r="G27" s="488"/>
      <c r="H27" s="491">
        <f>DATEVALUE(_xll.BDP($B27,H$6))</f>
        <v>43241</v>
      </c>
      <c r="I27" s="491">
        <f>DATEVALUE(_xll.BDP($B27,I$6))</f>
        <v>47259</v>
      </c>
      <c r="J27" s="489">
        <f>IF(ISNUMBER(O27),O27,_xll.BDP($B27,J$6)%)</f>
        <v>2.75E-2</v>
      </c>
      <c r="K27" s="492">
        <f>DATEVALUE(_xll.BDP($B27,K$6))</f>
        <v>47443</v>
      </c>
      <c r="L27" s="477" t="str">
        <f>_xll.BDP($B27,L$6)</f>
        <v>ACT/ACT</v>
      </c>
      <c r="M27" s="473">
        <f>_xll.BDP($B27,M$6)</f>
        <v>11.003422313483915</v>
      </c>
      <c r="N27" s="473" t="str">
        <f>_xll.BDP($B27,N$6)</f>
        <v>CLEAN</v>
      </c>
      <c r="O27" s="485"/>
      <c r="P27" s="478" t="str">
        <f ca="1">_xll.meLWOBondCreateFromGeneratorLVB(C27,$P$4&amp;"_"&amp;$N27,_xll.meUtilityLVBFromKeysValues($C$7:$K$7,C27:K27))</f>
        <v>ACGB 2 3/4 11/21/29@59:7</v>
      </c>
      <c r="Q27" s="484">
        <f>_xll.BDP($B27,$Q$6)%</f>
        <v>2.6903930982244587E-2</v>
      </c>
      <c r="R27" s="472">
        <f ca="1">_xll.meLWOBondCleanPrice($P27,$C$4,$Q27%)</f>
        <v>129.91499999999999</v>
      </c>
      <c r="S27" s="472">
        <f ca="1">_xll.meLWOBondDirtyPrice($P27,$C$4,$Q27%)</f>
        <v>129.90799999999999</v>
      </c>
      <c r="T27" s="503">
        <f ca="1">_xll.meLWOBondAccruedInterestDays(P27,$C$4)</f>
        <v>-1</v>
      </c>
      <c r="U27" s="503">
        <f ca="1">_xll.meLWOBondAccruedInterest(P27,$C$4)</f>
        <v>-70</v>
      </c>
      <c r="V27" s="469">
        <f ca="1">_xll.meLWOBondModifiedDuration($P27,$C$4,$Q27%)</f>
        <v>9.780135001942277</v>
      </c>
      <c r="W27" s="470">
        <f ca="1">_xll.meLWOBondDV01($P27,$C$4,$Q27%)</f>
        <v>1270.5177778323173</v>
      </c>
      <c r="X27" s="507" t="str">
        <f t="shared" si="0"/>
        <v>XMA Comdty</v>
      </c>
      <c r="Y27" s="471">
        <f>_xll.BDP($X27,Y$6)</f>
        <v>97.295000000000002</v>
      </c>
      <c r="Z27" s="471">
        <f>_xll.BDP($X27,Z$6)</f>
        <v>97.3</v>
      </c>
      <c r="AA27" s="468">
        <f t="shared" si="1"/>
        <v>2.7025000000000007E-2</v>
      </c>
      <c r="AB27" s="468">
        <f t="shared" si="2"/>
        <v>-1.2106901775542009E-4</v>
      </c>
    </row>
    <row r="28" spans="2:28">
      <c r="B28" s="467" t="s">
        <v>596</v>
      </c>
      <c r="C28" s="433" t="str">
        <f>_xll.BDP($B28,C$6)</f>
        <v>ACGB 2 1/2 05/21/30</v>
      </c>
      <c r="D28" s="501" t="str">
        <f>_xll.BDP($B28,D$6)</f>
        <v>AU0000013740</v>
      </c>
      <c r="E28" s="488">
        <f>DATEVALUE(_xll.BDP($B28,E$6))</f>
        <v>43264</v>
      </c>
      <c r="F28" s="491">
        <f>DATEVALUE(_xll.BDP($B28,F$6))</f>
        <v>43241</v>
      </c>
      <c r="G28" s="488"/>
      <c r="H28" s="491">
        <f>DATEVALUE(_xll.BDP($B28,H$6))</f>
        <v>43425</v>
      </c>
      <c r="I28" s="491">
        <f>DATEVALUE(_xll.BDP($B28,I$6))</f>
        <v>47443</v>
      </c>
      <c r="J28" s="489">
        <f>IF(ISNUMBER(O28),O28,_xll.BDP($B28,J$6)%)</f>
        <v>2.5000000000000001E-2</v>
      </c>
      <c r="K28" s="492">
        <f>DATEVALUE(_xll.BDP($B28,K$6))</f>
        <v>47624</v>
      </c>
      <c r="L28" s="477" t="str">
        <f>_xll.BDP($B28,L$6)</f>
        <v>ACT/ACT</v>
      </c>
      <c r="M28" s="473">
        <f>_xll.BDP($B28,M$6)</f>
        <v>11.498973305954825</v>
      </c>
      <c r="N28" s="473" t="str">
        <f>_xll.BDP($B28,N$6)</f>
        <v>CLEAN</v>
      </c>
      <c r="O28" s="485"/>
      <c r="P28" s="478" t="str">
        <f ca="1">_xll.meLWOBondCreateFromGeneratorLVB(C28,$P$4&amp;"_"&amp;$N28,_xll.meUtilityLVBFromKeysValues($C$7:$K$7,C28:K28))</f>
        <v>ACGB 2 1/2 05/21/30@40:7</v>
      </c>
      <c r="Q28" s="484">
        <f>_xll.BDP($B28,$Q$6)%</f>
        <v>2.7224511232688792E-2</v>
      </c>
      <c r="R28" s="472">
        <f ca="1">_xll.meLWOBondCleanPrice($P28,$C$4,$Q28%)</f>
        <v>128.39699999999999</v>
      </c>
      <c r="S28" s="472">
        <f ca="1">_xll.meLWOBondDirtyPrice($P28,$C$4,$Q28%)</f>
        <v>128.38999999999999</v>
      </c>
      <c r="T28" s="503">
        <f ca="1">_xll.meLWOBondAccruedInterestDays(P28,$C$4)</f>
        <v>-1</v>
      </c>
      <c r="U28" s="503">
        <f ca="1">_xll.meLWOBondAccruedInterest(P28,$C$4)</f>
        <v>-70</v>
      </c>
      <c r="V28" s="469">
        <f ca="1">_xll.meLWOBondModifiedDuration($P28,$C$4,$Q28%)</f>
        <v>10.271099255185883</v>
      </c>
      <c r="W28" s="470">
        <f ca="1">_xll.meLWOBondDV01($P28,$C$4,$Q28%)</f>
        <v>1318.7064333733153</v>
      </c>
      <c r="X28" s="507" t="str">
        <f t="shared" si="0"/>
        <v>XMA Comdty</v>
      </c>
      <c r="Y28" s="471">
        <f>_xll.BDP($X28,Y$6)</f>
        <v>97.295000000000002</v>
      </c>
      <c r="Z28" s="471">
        <f>_xll.BDP($X28,Z$6)</f>
        <v>97.3</v>
      </c>
      <c r="AA28" s="468">
        <f t="shared" si="1"/>
        <v>2.7025000000000007E-2</v>
      </c>
      <c r="AB28" s="468">
        <f t="shared" si="2"/>
        <v>1.9951123268878435E-4</v>
      </c>
    </row>
    <row r="29" spans="2:28">
      <c r="B29" s="467" t="s">
        <v>597</v>
      </c>
      <c r="C29" s="433" t="str">
        <f>_xll.BDP($B29,C$6)</f>
        <v>ACGB 2 1/2 09/20/30</v>
      </c>
      <c r="D29" s="501" t="str">
        <f>_xll.BDP($B29,D$6)</f>
        <v>AU0000XCLWV6</v>
      </c>
      <c r="E29" s="488">
        <f>DATEVALUE(_xll.BDP($B29,E$6))</f>
        <v>40442</v>
      </c>
      <c r="F29" s="491">
        <f>DATEVALUE(_xll.BDP($B29,F$6))</f>
        <v>40441</v>
      </c>
      <c r="G29" s="488"/>
      <c r="H29" s="491">
        <f>DATEVALUE(_xll.BDP($B29,H$6))</f>
        <v>40532</v>
      </c>
      <c r="I29" s="491">
        <f>DATEVALUE(_xll.BDP($B29,I$6))</f>
        <v>47654</v>
      </c>
      <c r="J29" s="489">
        <f>IF(ISNUMBER(O29),O29,_xll.BDP($B29,J$6)%)</f>
        <v>2.5000000000000001E-2</v>
      </c>
      <c r="K29" s="492">
        <f>DATEVALUE(_xll.BDP($B29,K$6))</f>
        <v>47746</v>
      </c>
      <c r="L29" s="477" t="str">
        <f>_xll.BDP($B29,L$6)</f>
        <v>ACT/ACT</v>
      </c>
      <c r="M29" s="473">
        <f>_xll.BDP($B29,M$6)</f>
        <v>11.832991101984941</v>
      </c>
      <c r="N29" s="473" t="str">
        <f>_xll.BDP($B29,N$6)</f>
        <v>CLEAN</v>
      </c>
      <c r="O29" s="485"/>
      <c r="P29" s="478" t="str">
        <f ca="1">_xll.meLWOBondCreateFromGeneratorLVB(C29,$P$4&amp;"_"&amp;$N29,_xll.meUtilityLVBFromKeysValues($C$7:$K$7,C29:K29))</f>
        <v>ACGB 2 1/2 09/20/30@53:7</v>
      </c>
      <c r="Q29" s="484">
        <f>_xll.BDP($B29,$Q$6)%</f>
        <v>8.1410000000000007E-3</v>
      </c>
      <c r="R29" s="472">
        <f ca="1">_xll.meLWOBondCleanPrice($P29,$C$4,$Q29%)</f>
        <v>129.46700000000001</v>
      </c>
      <c r="S29" s="472">
        <f ca="1">_xll.meLWOBondDirtyPrice($P29,$C$4,$Q29%)</f>
        <v>130.512</v>
      </c>
      <c r="T29" s="503">
        <f ca="1">_xll.meLWOBondAccruedInterestDays(P29,$C$4)</f>
        <v>153</v>
      </c>
      <c r="U29" s="503">
        <f ca="1">_xll.meLWOBondAccruedInterest(P29,$C$4)</f>
        <v>10450</v>
      </c>
      <c r="V29" s="469">
        <f ca="1">_xll.meLWOBondModifiedDuration($P29,$C$4,$Q29%)</f>
        <v>10.645327204354855</v>
      </c>
      <c r="W29" s="470">
        <f ca="1">_xll.meLWOBondDV01($P29,$C$4,$Q29%)</f>
        <v>1389.3429440947609</v>
      </c>
      <c r="X29" s="507" t="str">
        <f t="shared" si="0"/>
        <v>XMA Comdty</v>
      </c>
      <c r="Y29" s="471">
        <f>_xll.BDP($X29,Y$6)</f>
        <v>97.295000000000002</v>
      </c>
      <c r="Z29" s="471">
        <f>_xll.BDP($X29,Z$6)</f>
        <v>97.3</v>
      </c>
      <c r="AA29" s="468">
        <f t="shared" si="1"/>
        <v>2.7025000000000007E-2</v>
      </c>
      <c r="AB29" s="468">
        <f t="shared" si="2"/>
        <v>-1.8884000000000005E-2</v>
      </c>
    </row>
    <row r="30" spans="2:28">
      <c r="B30" s="467" t="s">
        <v>613</v>
      </c>
      <c r="C30" s="433" t="str">
        <f>_xll.BDP($B30,C$6)</f>
        <v>ACGB 4 1/2 04/21/33</v>
      </c>
      <c r="D30" s="501" t="str">
        <f>_xll.BDP($B30,D$6)</f>
        <v>AU000XCLWAG2</v>
      </c>
      <c r="E30" s="488">
        <f>DATEVALUE(_xll.BDP($B30,E$6))</f>
        <v>41604</v>
      </c>
      <c r="F30" s="491">
        <f>DATEVALUE(_xll.BDP($B30,F$6))</f>
        <v>41568</v>
      </c>
      <c r="G30" s="488"/>
      <c r="H30" s="491">
        <f>DATEVALUE(_xll.BDP($B30,H$6))</f>
        <v>41750</v>
      </c>
      <c r="I30" s="491">
        <f>DATEVALUE(_xll.BDP($B30,I$6))</f>
        <v>48508</v>
      </c>
      <c r="J30" s="489">
        <f>IF(ISNUMBER(O30),O30,_xll.BDP($B30,J$6)%)</f>
        <v>4.4999999999999998E-2</v>
      </c>
      <c r="K30" s="492">
        <f>DATEVALUE(_xll.BDP($B30,K$6))</f>
        <v>48690</v>
      </c>
      <c r="L30" s="477" t="str">
        <f>_xll.BDP($B30,L$6)</f>
        <v>ACT/ACT</v>
      </c>
      <c r="M30" s="473">
        <f>_xll.BDP($B30,M$6)</f>
        <v>14.417522245037645</v>
      </c>
      <c r="N30" s="473" t="str">
        <f>_xll.BDP($B30,N$6)</f>
        <v>CLEAN</v>
      </c>
      <c r="O30" s="485"/>
      <c r="P30" s="478" t="str">
        <f ca="1">_xll.meLWOBondCreateFromGeneratorLVB(C30,$P$4&amp;"_"&amp;$N30,_xll.meUtilityLVBFromKeysValues($C$7:$K$7,C30:K30))</f>
        <v>ACGB 4 1/2 04/21/33@33:7</v>
      </c>
      <c r="Q30" s="484">
        <f>_xll.BDP($B30,$Q$6)%</f>
        <v>2.8319673076617514E-2</v>
      </c>
      <c r="R30" s="472">
        <f ca="1">_xll.meLWOBondCleanPrice($P30,$C$4,$Q30%)</f>
        <v>164.33499999999998</v>
      </c>
      <c r="S30" s="472">
        <f ca="1">_xll.meLWOBondDirtyPrice($P30,$C$4,$Q30%)</f>
        <v>164.70599999999999</v>
      </c>
      <c r="T30" s="503">
        <f ca="1">_xll.meLWOBondAccruedInterestDays(P30,$C$4)</f>
        <v>30</v>
      </c>
      <c r="U30" s="503">
        <f ca="1">_xll.meLWOBondAccruedInterest(P30,$C$4)</f>
        <v>3710</v>
      </c>
      <c r="V30" s="469">
        <f ca="1">_xll.meLWOBondModifiedDuration($P30,$C$4,$Q30%)</f>
        <v>11.646641121281837</v>
      </c>
      <c r="W30" s="470">
        <f ca="1">_xll.meLWOBondDV01($P30,$C$4,$Q30%)</f>
        <v>1918.2716725218461</v>
      </c>
      <c r="X30" s="507" t="str">
        <f t="shared" si="0"/>
        <v>XMA Comdty</v>
      </c>
      <c r="Y30" s="471">
        <f>_xll.BDP($X30,Y$6)</f>
        <v>97.295000000000002</v>
      </c>
      <c r="Z30" s="471">
        <f>_xll.BDP($X30,Z$6)</f>
        <v>97.3</v>
      </c>
      <c r="AA30" s="468">
        <f t="shared" si="1"/>
        <v>2.7025000000000007E-2</v>
      </c>
      <c r="AB30" s="468">
        <f t="shared" si="2"/>
        <v>1.2946730766175071E-3</v>
      </c>
    </row>
    <row r="31" spans="2:28">
      <c r="B31" s="467" t="s">
        <v>601</v>
      </c>
      <c r="C31" s="433" t="str">
        <f>_xll.BDP($B31,C$6)</f>
        <v>ACGB 2 3/4 06/21/35</v>
      </c>
      <c r="D31" s="501" t="str">
        <f>_xll.BDP($B31,D$6)</f>
        <v>AU000XCLWAM0</v>
      </c>
      <c r="E31" s="488">
        <f>DATEVALUE(_xll.BDP($B31,E$6))</f>
        <v>42094</v>
      </c>
      <c r="F31" s="491">
        <f>DATEVALUE(_xll.BDP($B31,F$6))</f>
        <v>41994</v>
      </c>
      <c r="G31" s="488"/>
      <c r="H31" s="491">
        <f>DATEVALUE(_xll.BDP($B31,H$6))</f>
        <v>42176</v>
      </c>
      <c r="I31" s="491">
        <f>DATEVALUE(_xll.BDP($B31,I$6))</f>
        <v>49299</v>
      </c>
      <c r="J31" s="489">
        <f>IF(ISNUMBER(O31),O31,_xll.BDP($B31,J$6)%)</f>
        <v>2.75E-2</v>
      </c>
      <c r="K31" s="492">
        <f>DATEVALUE(_xll.BDP($B31,K$6))</f>
        <v>49481</v>
      </c>
      <c r="L31" s="477" t="str">
        <f>_xll.BDP($B31,L$6)</f>
        <v>ACT/ACT</v>
      </c>
      <c r="M31" s="473">
        <f>_xll.BDP($B31,M$6)</f>
        <v>16.583162217659137</v>
      </c>
      <c r="N31" s="473" t="str">
        <f>_xll.BDP($B31,N$6)</f>
        <v>CLEAN</v>
      </c>
      <c r="O31" s="485"/>
      <c r="P31" s="478" t="str">
        <f ca="1">_xll.meLWOBondCreateFromGeneratorLVB(C31,$P$4&amp;"_"&amp;$N31,_xll.meUtilityLVBFromKeysValues($C$7:$K$7,C31:K31))</f>
        <v>ACGB 2 3/4 06/21/35@39:7</v>
      </c>
      <c r="Q31" s="484">
        <f>_xll.BDP($B31,$Q$6)%</f>
        <v>2.9484733397395803E-2</v>
      </c>
      <c r="R31" s="472">
        <f ca="1">_xll.meLWOBondCleanPrice($P31,$C$4,$Q31%)</f>
        <v>145.006</v>
      </c>
      <c r="S31" s="472">
        <f ca="1">_xll.meLWOBondDirtyPrice($P31,$C$4,$Q31%)</f>
        <v>146.148</v>
      </c>
      <c r="T31" s="503">
        <f ca="1">_xll.meLWOBondAccruedInterestDays(P31,$C$4)</f>
        <v>152</v>
      </c>
      <c r="U31" s="503">
        <f ca="1">_xll.meLWOBondAccruedInterest(P31,$C$4)</f>
        <v>11419.999999999998</v>
      </c>
      <c r="V31" s="469">
        <f ca="1">_xll.meLWOBondModifiedDuration($P31,$C$4,$Q31%)</f>
        <v>13.947782011900877</v>
      </c>
      <c r="W31" s="470">
        <f ca="1">_xll.meLWOBondDV01($P31,$C$4,$Q31%)</f>
        <v>2038.4404454752894</v>
      </c>
      <c r="X31" s="507" t="str">
        <f t="shared" si="0"/>
        <v>XMA Comdty</v>
      </c>
      <c r="Y31" s="471">
        <f>_xll.BDP($X31,Y$6)</f>
        <v>97.295000000000002</v>
      </c>
      <c r="Z31" s="471">
        <f>_xll.BDP($X31,Z$6)</f>
        <v>97.3</v>
      </c>
      <c r="AA31" s="468">
        <f t="shared" si="1"/>
        <v>2.7025000000000007E-2</v>
      </c>
      <c r="AB31" s="468">
        <f t="shared" si="2"/>
        <v>2.4597333973957955E-3</v>
      </c>
    </row>
    <row r="32" spans="2:28">
      <c r="B32" s="467" t="s">
        <v>593</v>
      </c>
      <c r="C32" s="433" t="str">
        <f>_xll.BDP($B32,C$6)</f>
        <v>ACGB 2 08/21/35</v>
      </c>
      <c r="D32" s="501" t="str">
        <f>_xll.BDP($B32,D$6)</f>
        <v>AU000XCLWAF4</v>
      </c>
      <c r="E32" s="488">
        <f>DATEVALUE(_xll.BDP($B32,E$6))</f>
        <v>41550</v>
      </c>
      <c r="F32" s="491">
        <f>DATEVALUE(_xll.BDP($B32,F$6))</f>
        <v>41507</v>
      </c>
      <c r="G32" s="488"/>
      <c r="H32" s="491">
        <f>DATEVALUE(_xll.BDP($B32,H$6))</f>
        <v>41599</v>
      </c>
      <c r="I32" s="491">
        <f>DATEVALUE(_xll.BDP($B32,I$6))</f>
        <v>49450</v>
      </c>
      <c r="J32" s="489">
        <f>IF(ISNUMBER(O32),O32,_xll.BDP($B32,J$6)%)</f>
        <v>0.02</v>
      </c>
      <c r="K32" s="492">
        <f>DATEVALUE(_xll.BDP($B32,K$6))</f>
        <v>49542</v>
      </c>
      <c r="L32" s="477" t="str">
        <f>_xll.BDP($B32,L$6)</f>
        <v>ACT/ACT</v>
      </c>
      <c r="M32" s="473">
        <f>_xll.BDP($B32,M$6)</f>
        <v>16.750171115674195</v>
      </c>
      <c r="N32" s="473" t="str">
        <f>_xll.BDP($B32,N$6)</f>
        <v>CLEAN</v>
      </c>
      <c r="O32" s="485"/>
      <c r="P32" s="478" t="str">
        <f ca="1">_xll.meLWOBondCreateFromGeneratorLVB(C32,$P$4&amp;"_"&amp;$N32,_xll.meUtilityLVBFromKeysValues($C$7:$K$7,C32:K32))</f>
        <v>ACGB 2 08/21/35@60:8</v>
      </c>
      <c r="Q32" s="484">
        <f>_xll.BDP($B32,$Q$6)%</f>
        <v>9.5499999999999995E-3</v>
      </c>
      <c r="R32" s="472">
        <f ca="1">_xll.meLWOBondCleanPrice($P32,$C$4,$Q32%)</f>
        <v>133.32300000000001</v>
      </c>
      <c r="S32" s="472">
        <f ca="1">_xll.meLWOBondDirtyPrice($P32,$C$4,$Q32%)</f>
        <v>133.31800000000001</v>
      </c>
      <c r="T32" s="503">
        <f ca="1">_xll.meLWOBondAccruedInterestDays(P32,$C$4)</f>
        <v>-1</v>
      </c>
      <c r="U32" s="503">
        <f ca="1">_xll.meLWOBondAccruedInterest(P32,$C$4)</f>
        <v>-50</v>
      </c>
      <c r="V32" s="469">
        <f ca="1">_xll.meLWOBondModifiedDuration($P32,$C$4,$Q32%)</f>
        <v>14.899242368883961</v>
      </c>
      <c r="W32" s="470">
        <f ca="1">_xll.meLWOBondDV01($P32,$C$4,$Q32%)</f>
        <v>1986.3371941348721</v>
      </c>
      <c r="X32" s="507" t="str">
        <f t="shared" si="0"/>
        <v>XMA Comdty</v>
      </c>
      <c r="Y32" s="471">
        <f>_xll.BDP($X32,Y$6)</f>
        <v>97.295000000000002</v>
      </c>
      <c r="Z32" s="471">
        <f>_xll.BDP($X32,Z$6)</f>
        <v>97.3</v>
      </c>
      <c r="AA32" s="468">
        <f t="shared" si="1"/>
        <v>2.7025000000000007E-2</v>
      </c>
      <c r="AB32" s="468">
        <f t="shared" si="2"/>
        <v>-1.7475000000000008E-2</v>
      </c>
    </row>
    <row r="33" spans="2:28">
      <c r="B33" s="467" t="s">
        <v>609</v>
      </c>
      <c r="C33" s="433" t="str">
        <f>_xll.BDP($B33,C$6)</f>
        <v>ACGB 3 3/4 04/21/37</v>
      </c>
      <c r="D33" s="501" t="str">
        <f>_xll.BDP($B33,D$6)</f>
        <v>AU3TB0000192</v>
      </c>
      <c r="E33" s="488">
        <f>DATEVALUE(_xll.BDP($B33,E$6))</f>
        <v>41933</v>
      </c>
      <c r="F33" s="491">
        <f>DATEVALUE(_xll.BDP($B33,F$6))</f>
        <v>41933</v>
      </c>
      <c r="G33" s="488"/>
      <c r="H33" s="491">
        <f>DATEVALUE(_xll.BDP($B33,H$6))</f>
        <v>42115</v>
      </c>
      <c r="I33" s="491">
        <f>DATEVALUE(_xll.BDP($B33,I$6))</f>
        <v>49969</v>
      </c>
      <c r="J33" s="489">
        <f>IF(ISNUMBER(O33),O33,_xll.BDP($B33,J$6)%)</f>
        <v>3.7499999999999999E-2</v>
      </c>
      <c r="K33" s="492">
        <f>DATEVALUE(_xll.BDP($B33,K$6))</f>
        <v>50151</v>
      </c>
      <c r="L33" s="477" t="str">
        <f>_xll.BDP($B33,L$6)</f>
        <v>ACT/ACT</v>
      </c>
      <c r="M33" s="473">
        <f>_xll.BDP($B33,M$6)</f>
        <v>18.417522245037645</v>
      </c>
      <c r="N33" s="473" t="str">
        <f>_xll.BDP($B33,N$6)</f>
        <v>CLEAN</v>
      </c>
      <c r="O33" s="485"/>
      <c r="P33" s="478" t="str">
        <f ca="1">_xll.meLWOBondCreateFromGeneratorLVB(C33,$P$4&amp;"_"&amp;$N33,_xll.meUtilityLVBFromKeysValues($C$7:$K$7,C33:K33))</f>
        <v>ACGB 3 3/4 04/21/37@43:7</v>
      </c>
      <c r="Q33" s="484">
        <f>_xll.BDP($B33,$Q$6)%</f>
        <v>3.0005117486676253E-2</v>
      </c>
      <c r="R33" s="472">
        <f ca="1">_xll.meLWOBondCleanPrice($P33,$C$4,$Q33%)</f>
        <v>168.31899999999999</v>
      </c>
      <c r="S33" s="472">
        <f ca="1">_xll.meLWOBondDirtyPrice($P33,$C$4,$Q33%)</f>
        <v>168.62799999999999</v>
      </c>
      <c r="T33" s="503">
        <f ca="1">_xll.meLWOBondAccruedInterestDays(P33,$C$4)</f>
        <v>30</v>
      </c>
      <c r="U33" s="503">
        <f ca="1">_xll.meLWOBondAccruedInterest(P33,$C$4)</f>
        <v>3090</v>
      </c>
      <c r="V33" s="469">
        <f ca="1">_xll.meLWOBondModifiedDuration($P33,$C$4,$Q33%)</f>
        <v>14.719663147754463</v>
      </c>
      <c r="W33" s="470">
        <f ca="1">_xll.meLWOBondDV01($P33,$C$4,$Q33%)</f>
        <v>2482.1473572795394</v>
      </c>
      <c r="X33" s="507" t="str">
        <f t="shared" si="0"/>
        <v>XMA Comdty</v>
      </c>
      <c r="Y33" s="471">
        <f>_xll.BDP($X33,Y$6)</f>
        <v>97.295000000000002</v>
      </c>
      <c r="Z33" s="471">
        <f>_xll.BDP($X33,Z$6)</f>
        <v>97.3</v>
      </c>
      <c r="AA33" s="468">
        <f t="shared" si="1"/>
        <v>2.7025000000000007E-2</v>
      </c>
      <c r="AB33" s="468">
        <f t="shared" si="2"/>
        <v>2.9801174866762453E-3</v>
      </c>
    </row>
    <row r="34" spans="2:28">
      <c r="B34" s="467" t="s">
        <v>608</v>
      </c>
      <c r="C34" s="433" t="str">
        <f>_xll.BDP($B34,C$6)</f>
        <v>ACGB 3 1/4 06/21/39</v>
      </c>
      <c r="D34" s="501" t="str">
        <f>_xll.BDP($B34,D$6)</f>
        <v>AU000XCLWAP3</v>
      </c>
      <c r="E34" s="488">
        <f>DATEVALUE(_xll.BDP($B34,E$6))</f>
        <v>42298</v>
      </c>
      <c r="F34" s="491">
        <f>DATEVALUE(_xll.BDP($B34,F$6))</f>
        <v>42176</v>
      </c>
      <c r="G34" s="488"/>
      <c r="H34" s="491">
        <f>DATEVALUE(_xll.BDP($B34,H$6))</f>
        <v>42359</v>
      </c>
      <c r="I34" s="491">
        <f>DATEVALUE(_xll.BDP($B34,I$6))</f>
        <v>50760</v>
      </c>
      <c r="J34" s="489">
        <f>IF(ISNUMBER(O34),O34,_xll.BDP($B34,J$6)%)</f>
        <v>3.2500000000000001E-2</v>
      </c>
      <c r="K34" s="492">
        <f>DATEVALUE(_xll.BDP($B34,K$6))</f>
        <v>50942</v>
      </c>
      <c r="L34" s="477" t="str">
        <f>_xll.BDP($B34,L$6)</f>
        <v>ACT/ACT</v>
      </c>
      <c r="M34" s="473">
        <f>_xll.BDP($B34,M$6)</f>
        <v>20.583162217659137</v>
      </c>
      <c r="N34" s="473" t="str">
        <f>_xll.BDP($B34,N$6)</f>
        <v>CLEAN</v>
      </c>
      <c r="O34" s="485"/>
      <c r="P34" s="478" t="str">
        <f ca="1">_xll.meLWOBondCreateFromGeneratorLVB(C34,$P$4&amp;"_"&amp;$N34,_xll.meUtilityLVBFromKeysValues($C$7:$K$7,C34:K34))</f>
        <v>ACGB 3 1/4 06/21/39@44:7</v>
      </c>
      <c r="Q34" s="484">
        <f>_xll.BDP($B34,$Q$6)%</f>
        <v>3.0664739148042717E-2</v>
      </c>
      <c r="R34" s="472">
        <f ca="1">_xll.meLWOBondCleanPrice($P34,$C$4,$Q34%)</f>
        <v>166.05500000000001</v>
      </c>
      <c r="S34" s="472">
        <f ca="1">_xll.meLWOBondDirtyPrice($P34,$C$4,$Q34%)</f>
        <v>167.405</v>
      </c>
      <c r="T34" s="503">
        <f ca="1">_xll.meLWOBondAccruedInterestDays(P34,$C$4)</f>
        <v>152</v>
      </c>
      <c r="U34" s="503">
        <f ca="1">_xll.meLWOBondAccruedInterest(P34,$C$4)</f>
        <v>13500</v>
      </c>
      <c r="V34" s="469">
        <f ca="1">_xll.meLWOBondModifiedDuration($P34,$C$4,$Q34%)</f>
        <v>16.411957186853531</v>
      </c>
      <c r="W34" s="470">
        <f ca="1">_xll.meLWOBondDV01($P34,$C$4,$Q34%)</f>
        <v>2747.4436928652153</v>
      </c>
      <c r="X34" s="507" t="str">
        <f t="shared" si="0"/>
        <v>XMA Comdty</v>
      </c>
      <c r="Y34" s="471">
        <f>_xll.BDP($X34,Y$6)</f>
        <v>97.295000000000002</v>
      </c>
      <c r="Z34" s="471">
        <f>_xll.BDP($X34,Z$6)</f>
        <v>97.3</v>
      </c>
      <c r="AA34" s="468">
        <f t="shared" si="1"/>
        <v>2.7025000000000007E-2</v>
      </c>
      <c r="AB34" s="468">
        <f t="shared" si="2"/>
        <v>3.6397391480427095E-3</v>
      </c>
    </row>
    <row r="35" spans="2:28">
      <c r="B35" s="467" t="s">
        <v>590</v>
      </c>
      <c r="C35" s="433" t="str">
        <f>_xll.BDP($B35,C$6)</f>
        <v>ACGB 1 1/4 08/21/40</v>
      </c>
      <c r="D35" s="501" t="str">
        <f>_xll.BDP($B35,D$6)</f>
        <v>AU000XCLWAO6</v>
      </c>
      <c r="E35" s="488">
        <f>DATEVALUE(_xll.BDP($B35,E$6))</f>
        <v>42236</v>
      </c>
      <c r="F35" s="491">
        <f>DATEVALUE(_xll.BDP($B35,F$6))</f>
        <v>42145</v>
      </c>
      <c r="G35" s="488"/>
      <c r="H35" s="491">
        <f>DATEVALUE(_xll.BDP($B35,H$6))</f>
        <v>42237</v>
      </c>
      <c r="I35" s="491">
        <f>DATEVALUE(_xll.BDP($B35,I$6))</f>
        <v>51277</v>
      </c>
      <c r="J35" s="489">
        <f>IF(ISNUMBER(O35),O35,_xll.BDP($B35,J$6)%)</f>
        <v>1.2500000000000001E-2</v>
      </c>
      <c r="K35" s="492">
        <f>DATEVALUE(_xll.BDP($B35,K$6))</f>
        <v>51369</v>
      </c>
      <c r="L35" s="477" t="str">
        <f>_xll.BDP($B35,L$6)</f>
        <v>ACT/ACT</v>
      </c>
      <c r="M35" s="473">
        <f>_xll.BDP($B35,M$6)</f>
        <v>21.752224503764545</v>
      </c>
      <c r="N35" s="473" t="str">
        <f>_xll.BDP($B35,N$6)</f>
        <v>CLEAN</v>
      </c>
      <c r="O35" s="485"/>
      <c r="P35" s="478" t="str">
        <f ca="1">_xll.meLWOBondCreateFromGeneratorLVB(C35,$P$4&amp;"_"&amp;$N35,_xll.meUtilityLVBFromKeysValues($C$7:$K$7,C35:K35))</f>
        <v>ACGB 1 1/4 08/21/40@42:7</v>
      </c>
      <c r="Q35" s="484">
        <f>_xll.BDP($B35,$Q$6)%</f>
        <v>1.0430999999999999E-2</v>
      </c>
      <c r="R35" s="472">
        <f ca="1">_xll.meLWOBondCleanPrice($P35,$C$4,$Q35%)</f>
        <v>126.93300000000001</v>
      </c>
      <c r="S35" s="472">
        <f ca="1">_xll.meLWOBondDirtyPrice($P35,$C$4,$Q35%)</f>
        <v>126.93</v>
      </c>
      <c r="T35" s="503">
        <f ca="1">_xll.meLWOBondAccruedInterestDays(P35,$C$4)</f>
        <v>-1</v>
      </c>
      <c r="U35" s="503">
        <f ca="1">_xll.meLWOBondAccruedInterest(P35,$C$4)</f>
        <v>-30</v>
      </c>
      <c r="V35" s="469">
        <f ca="1">_xll.meLWOBondModifiedDuration($P35,$C$4,$Q35%)</f>
        <v>19.674499009804382</v>
      </c>
      <c r="W35" s="470">
        <f ca="1">_xll.meLWOBondDV01($P35,$C$4,$Q35%)</f>
        <v>2497.2841593144703</v>
      </c>
      <c r="X35" s="507" t="str">
        <f t="shared" si="0"/>
        <v>XMA Comdty</v>
      </c>
      <c r="Y35" s="471">
        <f>_xll.BDP($X35,Y$6)</f>
        <v>97.295000000000002</v>
      </c>
      <c r="Z35" s="471">
        <f>_xll.BDP($X35,Z$6)</f>
        <v>97.3</v>
      </c>
      <c r="AA35" s="468">
        <f t="shared" si="1"/>
        <v>2.7025000000000007E-2</v>
      </c>
      <c r="AB35" s="468">
        <f t="shared" si="2"/>
        <v>-1.6594000000000008E-2</v>
      </c>
    </row>
    <row r="36" spans="2:28">
      <c r="B36" s="467" t="s">
        <v>602</v>
      </c>
      <c r="C36" s="433" t="str">
        <f>_xll.BDP($B36,C$6)</f>
        <v>ACGB 2 3/4 05/21/41</v>
      </c>
      <c r="D36" s="501" t="str">
        <f>_xll.BDP($B36,D$6)</f>
        <v>AU0000018442</v>
      </c>
      <c r="E36" s="488">
        <f>DATEVALUE(_xll.BDP($B36,E$6))</f>
        <v>43308</v>
      </c>
      <c r="F36" s="491">
        <f>DATEVALUE(_xll.BDP($B36,F$6))</f>
        <v>43241</v>
      </c>
      <c r="G36" s="488"/>
      <c r="H36" s="491">
        <f>DATEVALUE(_xll.BDP($B36,H$6))</f>
        <v>43425</v>
      </c>
      <c r="I36" s="491">
        <f>DATEVALUE(_xll.BDP($B36,I$6))</f>
        <v>51461</v>
      </c>
      <c r="J36" s="489">
        <f>IF(ISNUMBER(O36),O36,_xll.BDP($B36,J$6)%)</f>
        <v>2.75E-2</v>
      </c>
      <c r="K36" s="492">
        <f>DATEVALUE(_xll.BDP($B36,K$6))</f>
        <v>51642</v>
      </c>
      <c r="L36" s="477" t="str">
        <f>_xll.BDP($B36,L$6)</f>
        <v>ACT/ACT</v>
      </c>
      <c r="M36" s="473">
        <f>_xll.BDP($B36,M$6)</f>
        <v>22.499657768651609</v>
      </c>
      <c r="N36" s="473" t="str">
        <f>_xll.BDP($B36,N$6)</f>
        <v>CLEAN</v>
      </c>
      <c r="O36" s="485"/>
      <c r="P36" s="478" t="str">
        <f ca="1">_xll.meLWOBondCreateFromGeneratorLVB(C36,$P$4&amp;"_"&amp;$N36,_xll.meUtilityLVBFromKeysValues($C$7:$K$7,C36:K36))</f>
        <v>ACGB 2 3/4 05/21/41@58:7</v>
      </c>
      <c r="Q36" s="484">
        <f>_xll.BDP($B36,$Q$6)%</f>
        <v>3.1120805363839512E-2</v>
      </c>
      <c r="R36" s="472">
        <f ca="1">_xll.meLWOBondCleanPrice($P36,$C$4,$Q36%)</f>
        <v>160.96299999999999</v>
      </c>
      <c r="S36" s="472">
        <f ca="1">_xll.meLWOBondDirtyPrice($P36,$C$4,$Q36%)</f>
        <v>160.95599999999999</v>
      </c>
      <c r="T36" s="503">
        <f ca="1">_xll.meLWOBondAccruedInterestDays(P36,$C$4)</f>
        <v>-1</v>
      </c>
      <c r="U36" s="503">
        <f ca="1">_xll.meLWOBondAccruedInterest(P36,$C$4)</f>
        <v>-70</v>
      </c>
      <c r="V36" s="469">
        <f ca="1">_xll.meLWOBondModifiedDuration($P36,$C$4,$Q36%)</f>
        <v>18.281340624193032</v>
      </c>
      <c r="W36" s="470">
        <f ca="1">_xll.meLWOBondDV01($P36,$C$4,$Q36%)</f>
        <v>2942.4914615076132</v>
      </c>
      <c r="X36" s="507" t="str">
        <f t="shared" si="0"/>
        <v>XMA Comdty</v>
      </c>
      <c r="Y36" s="471">
        <f>_xll.BDP($X36,Y$6)</f>
        <v>97.295000000000002</v>
      </c>
      <c r="Z36" s="471">
        <f>_xll.BDP($X36,Z$6)</f>
        <v>97.3</v>
      </c>
      <c r="AA36" s="468">
        <f t="shared" si="1"/>
        <v>2.7025000000000007E-2</v>
      </c>
      <c r="AB36" s="468">
        <f t="shared" si="2"/>
        <v>4.0958053638395046E-3</v>
      </c>
    </row>
    <row r="37" spans="2:28">
      <c r="B37" s="467" t="s">
        <v>604</v>
      </c>
      <c r="C37" s="433" t="str">
        <f>_xll.BDP($B37,C$6)</f>
        <v>ACGB 3 03/21/47</v>
      </c>
      <c r="D37" s="501" t="str">
        <f>_xll.BDP($B37,D$6)</f>
        <v>AU000XCLWAS7</v>
      </c>
      <c r="E37" s="488">
        <f>DATEVALUE(_xll.BDP($B37,E$6))</f>
        <v>42662</v>
      </c>
      <c r="F37" s="491">
        <f>DATEVALUE(_xll.BDP($B37,F$6))</f>
        <v>42634</v>
      </c>
      <c r="G37" s="488"/>
      <c r="H37" s="491">
        <f>DATEVALUE(_xll.BDP($B37,H$6))</f>
        <v>42815</v>
      </c>
      <c r="I37" s="491">
        <f>DATEVALUE(_xll.BDP($B37,I$6))</f>
        <v>53591</v>
      </c>
      <c r="J37" s="489">
        <f>IF(ISNUMBER(O37),O37,_xll.BDP($B37,J$6)%)</f>
        <v>0.03</v>
      </c>
      <c r="K37" s="492">
        <f>DATEVALUE(_xll.BDP($B37,K$6))</f>
        <v>53772</v>
      </c>
      <c r="L37" s="477" t="str">
        <f>_xll.BDP($B37,L$6)</f>
        <v>ACT/ACT</v>
      </c>
      <c r="M37" s="473">
        <f>_xll.BDP($B37,M$6)</f>
        <v>28.331279945242983</v>
      </c>
      <c r="N37" s="473" t="str">
        <f>_xll.BDP($B37,N$6)</f>
        <v>CLEAN</v>
      </c>
      <c r="O37" s="485"/>
      <c r="P37" s="478" t="str">
        <f ca="1">_xll.meLWOBondCreateFromGeneratorLVB(C37,$P$4&amp;"_"&amp;$N37,_xll.meUtilityLVBFromKeysValues($C$7:$K$7,C37:K37))</f>
        <v>ACGB 3 03/21/47@49:7</v>
      </c>
      <c r="Q37" s="484">
        <f>_xll.BDP($B37,$Q$6)%</f>
        <v>3.1794809644331304E-2</v>
      </c>
      <c r="R37" s="472">
        <f ca="1">_xll.meLWOBondCleanPrice($P37,$C$4,$Q37%)</f>
        <v>183.71799999999999</v>
      </c>
      <c r="S37" s="472">
        <f ca="1">_xll.meLWOBondDirtyPrice($P37,$C$4,$Q37%)</f>
        <v>184.215</v>
      </c>
      <c r="T37" s="503">
        <f ca="1">_xll.meLWOBondAccruedInterestDays(P37,$C$4)</f>
        <v>60</v>
      </c>
      <c r="U37" s="503">
        <f ca="1">_xll.meLWOBondAccruedInterest(P37,$C$4)</f>
        <v>4970</v>
      </c>
      <c r="V37" s="469">
        <f ca="1">_xll.meLWOBondModifiedDuration($P37,$C$4,$Q37%)</f>
        <v>21.85248600285432</v>
      </c>
      <c r="W37" s="470">
        <f ca="1">_xll.meLWOBondDV01($P37,$C$4,$Q37%)</f>
        <v>4025.5557090158086</v>
      </c>
      <c r="X37" s="507" t="str">
        <f t="shared" si="0"/>
        <v>XMA Comdty</v>
      </c>
      <c r="Y37" s="471">
        <f>_xll.BDP($X37,Y$6)</f>
        <v>97.295000000000002</v>
      </c>
      <c r="Z37" s="471">
        <f>_xll.BDP($X37,Z$6)</f>
        <v>97.3</v>
      </c>
      <c r="AA37" s="468">
        <f t="shared" si="1"/>
        <v>2.7025000000000007E-2</v>
      </c>
      <c r="AB37" s="468">
        <f t="shared" si="2"/>
        <v>4.7698096443312965E-3</v>
      </c>
    </row>
    <row r="38" spans="2:28" ht="15.75" thickBot="1">
      <c r="B38" s="467" t="s">
        <v>588</v>
      </c>
      <c r="C38" s="433" t="str">
        <f>_xll.BDP($B38,C$6)</f>
        <v>ACGB 1 02/21/50</v>
      </c>
      <c r="D38" s="502" t="str">
        <f>_xll.BDP($B38,D$6)</f>
        <v>AU0000024044</v>
      </c>
      <c r="E38" s="493">
        <f>DATEVALUE(_xll.BDP($B38,E$6))</f>
        <v>43368</v>
      </c>
      <c r="F38" s="494">
        <f>DATEVALUE(_xll.BDP($B38,F$6))</f>
        <v>43333</v>
      </c>
      <c r="G38" s="493"/>
      <c r="H38" s="494">
        <f>DATEVALUE(_xll.BDP($B38,H$6))</f>
        <v>43425</v>
      </c>
      <c r="I38" s="494">
        <f>DATEVALUE(_xll.BDP($B38,I$6))</f>
        <v>54748</v>
      </c>
      <c r="J38" s="495">
        <f>IF(ISNUMBER(O38),O38,_xll.BDP($B38,J$6)%)</f>
        <v>0.01</v>
      </c>
      <c r="K38" s="496">
        <f>DATEVALUE(_xll.BDP($B38,K$6))</f>
        <v>54840</v>
      </c>
      <c r="L38" s="477" t="str">
        <f>_xll.BDP($B38,L$6)</f>
        <v>ACT/ACT</v>
      </c>
      <c r="M38" s="473">
        <f>_xll.BDP($B38,M$6)</f>
        <v>31.255304585900067</v>
      </c>
      <c r="N38" s="473" t="str">
        <f>_xll.BDP($B38,N$6)</f>
        <v>CLEAN</v>
      </c>
      <c r="O38" s="485"/>
      <c r="P38" s="478" t="str">
        <f ca="1">_xll.meLWOBondCreateFromGeneratorLVB(C38,$P$4&amp;"_"&amp;$N38,_xll.meUtilityLVBFromKeysValues($C$7:$K$7,C38:K38))</f>
        <v>ACGB 1 02/21/50@38:7</v>
      </c>
      <c r="Q38" s="484">
        <f>_xll.BDP($B38,$Q$6)%</f>
        <v>1.0912999999999999E-2</v>
      </c>
      <c r="R38" s="472">
        <f ca="1">_xll.meLWOBondCleanPrice($P38,$C$4,$Q38%)</f>
        <v>130.85599999999999</v>
      </c>
      <c r="S38" s="472">
        <f ca="1">_xll.meLWOBondDirtyPrice($P38,$C$4,$Q38%)</f>
        <v>130.85300000000001</v>
      </c>
      <c r="T38" s="503">
        <f ca="1">_xll.meLWOBondAccruedInterestDays(P38,$C$4)</f>
        <v>-1</v>
      </c>
      <c r="U38" s="503">
        <f ca="1">_xll.meLWOBondAccruedInterest(P38,$C$4)</f>
        <v>-30</v>
      </c>
      <c r="V38" s="469">
        <f ca="1">_xll.meLWOBondModifiedDuration($P38,$C$4,$Q38%)</f>
        <v>27.774189521135416</v>
      </c>
      <c r="W38" s="470">
        <f ca="1">_xll.meLWOBondDV01($P38,$C$4,$Q38%)</f>
        <v>3634.3360214091326</v>
      </c>
      <c r="X38" s="507" t="str">
        <f t="shared" si="0"/>
        <v>XMA Comdty</v>
      </c>
      <c r="Y38" s="471">
        <f>_xll.BDP($X38,Y$6)</f>
        <v>97.295000000000002</v>
      </c>
      <c r="Z38" s="471">
        <f>_xll.BDP($X38,Z$6)</f>
        <v>97.3</v>
      </c>
      <c r="AA38" s="468">
        <f t="shared" si="1"/>
        <v>2.7025000000000007E-2</v>
      </c>
      <c r="AB38" s="468">
        <f t="shared" si="2"/>
        <v>-1.6112000000000008E-2</v>
      </c>
    </row>
    <row r="39" spans="2:28" ht="15.75" thickTop="1"/>
  </sheetData>
  <sortState ref="B8:Z41">
    <sortCondition ref="K8:K41"/>
  </sortState>
  <dataValidations count="1">
    <dataValidation type="list" allowBlank="1" showInputMessage="1" showErrorMessage="1" sqref="X8:X38">
      <formula1>"YMA Comdty,XMA Comdty"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SETTINGS</vt:lpstr>
      <vt:lpstr>AUD CURVE TICKERS</vt:lpstr>
      <vt:lpstr>AUD CURVE</vt:lpstr>
      <vt:lpstr>AUD REPRICING</vt:lpstr>
      <vt:lpstr>SYNDICATE AUD IRS</vt:lpstr>
      <vt:lpstr>TAP AUD ASW</vt:lpstr>
      <vt:lpstr>ACGB_BONDS</vt:lpstr>
      <vt:lpstr>Settings.AllowCalibrationUpdates</vt:lpstr>
      <vt:lpstr>Settings.BloombergPCS</vt:lpstr>
      <vt:lpstr>Settings.COB</vt:lpstr>
      <vt:lpstr>Settings.CurveSide.MidBidAsk</vt:lpstr>
      <vt:lpstr>Settings.EnableCurveChart</vt:lpstr>
      <vt:lpstr>Settings.Futures.Convexity.HW1F.Vol</vt:lpstr>
      <vt:lpstr>Settings.isCOBToday</vt:lpstr>
      <vt:lpstr>Settings.SwapCurve.Interpolation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2018-03-15T12:29:59Z</dcterms:created>
  <dcterms:modified xsi:type="dcterms:W3CDTF">2018-11-16T12:20:28Z</dcterms:modified>
</cp:coreProperties>
</file>