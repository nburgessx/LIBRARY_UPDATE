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ocuments\MY_DOCUMENTS\REPO\LIBRARY_UPDATE\AQ_LIB\resources\pricing_toolkits\"/>
    </mc:Choice>
  </mc:AlternateContent>
  <xr:revisionPtr revIDLastSave="0" documentId="8_{26814B60-2B6C-4CDC-AF16-1C808B41EECB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US_TREASURY_TYPE1" sheetId="4" r:id="rId1"/>
    <sheet name="GERMAN_BUND_TYPE60" sheetId="6" r:id="rId2"/>
    <sheet name="JAPAN_JGB_TYPE51" sheetId="7" r:id="rId3"/>
    <sheet name="FRENCH_BTAN_TYPE89" sheetId="8" r:id="rId4"/>
    <sheet name="ITALIAN_BTPS_TYPE523" sheetId="5" r:id="rId5"/>
    <sheet name="AUSTRALIAN_GOVT_TYPE23" sheetId="9" r:id="rId6"/>
    <sheet name="UK_GILT_TYPE26" sheetId="13" r:id="rId7"/>
    <sheet name="BESPOKE BONDS" sheetId="10" r:id="rId8"/>
  </sheets>
  <definedNames>
    <definedName name="_xlnm._FilterDatabase" localSheetId="5" hidden="1">AUSTRALIAN_GOVT_TYPE23!$B$7:$W$7</definedName>
    <definedName name="_xlnm._FilterDatabase" localSheetId="3" hidden="1">FRENCH_BTAN_TYPE89!$B$7:$V$7</definedName>
    <definedName name="_xlnm._FilterDatabase" localSheetId="1" hidden="1">GERMAN_BUND_TYPE60!$B$7:$V$7</definedName>
    <definedName name="_xlnm._FilterDatabase" localSheetId="4" hidden="1">ITALIAN_BTPS_TYPE523!$B$7:$X$7</definedName>
    <definedName name="_xlnm._FilterDatabase" localSheetId="2" hidden="1">JAPAN_JGB_TYPE51!$B$7:$V$7</definedName>
    <definedName name="_xlnm._FilterDatabase" localSheetId="6" hidden="1">UK_GILT_TYPE26!$B$7:$V$7</definedName>
    <definedName name="_xlnm._FilterDatabase" localSheetId="0" hidden="1">US_TREASURY_TYPE1!$B$7:$V$7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1" i="13" l="1" a="1"/>
  <c r="L40" i="13" a="1"/>
  <c r="L39" i="13" a="1"/>
  <c r="L38" i="13" a="1"/>
  <c r="L37" i="13" a="1"/>
  <c r="L36" i="13" a="1"/>
  <c r="L35" i="13" a="1"/>
  <c r="L34" i="13" a="1"/>
  <c r="L33" i="13" a="1"/>
  <c r="L32" i="13" a="1"/>
  <c r="L31" i="13" a="1"/>
  <c r="L30" i="13" a="1"/>
  <c r="L29" i="13" a="1"/>
  <c r="L28" i="13" a="1"/>
  <c r="L27" i="13" a="1"/>
  <c r="L26" i="13" a="1"/>
  <c r="L25" i="13" a="1"/>
  <c r="L24" i="13" a="1"/>
  <c r="L23" i="13" a="1"/>
  <c r="L22" i="13" a="1"/>
  <c r="L21" i="13" a="1"/>
  <c r="L20" i="13" a="1"/>
  <c r="L19" i="13" a="1"/>
  <c r="L18" i="13" a="1"/>
  <c r="L17" i="13" a="1"/>
  <c r="L16" i="13" a="1"/>
  <c r="L15" i="13" a="1"/>
  <c r="L10" i="13" a="1"/>
  <c r="L11" i="13" a="1"/>
  <c r="L12" i="13" a="1"/>
  <c r="L13" i="13" a="1"/>
  <c r="L14" i="13" a="1"/>
  <c r="L9" i="13" a="1"/>
  <c r="L8" i="13" a="1"/>
  <c r="C4" i="10" a="1"/>
  <c r="E3" i="10" a="1"/>
  <c r="C46" i="10" a="1"/>
  <c r="C45" i="10" a="1"/>
  <c r="C44" i="10" a="1"/>
  <c r="C43" i="10" a="1"/>
  <c r="C42" i="10" a="1"/>
  <c r="C41" i="10" a="1"/>
  <c r="C40" i="10" a="1"/>
  <c r="C39" i="10" a="1"/>
  <c r="U8" i="13" a="1"/>
  <c r="V12" i="13" a="1"/>
  <c r="M8" i="9" a="1"/>
  <c r="M9" i="9" a="1"/>
  <c r="M10" i="9" a="1"/>
  <c r="M11" i="9" a="1"/>
  <c r="M12" i="9" a="1"/>
  <c r="M13" i="9" a="1"/>
  <c r="M14" i="9" a="1"/>
  <c r="M15" i="9" a="1"/>
  <c r="M16" i="9" a="1"/>
  <c r="M17" i="9" a="1"/>
  <c r="M18" i="9" a="1"/>
  <c r="M19" i="9" a="1"/>
  <c r="M20" i="9" a="1"/>
  <c r="M21" i="9" a="1"/>
  <c r="M22" i="9" a="1"/>
  <c r="M23" i="9" a="1"/>
  <c r="M24" i="9" a="1"/>
  <c r="M25" i="9" a="1"/>
  <c r="M26" i="9" a="1"/>
  <c r="M27" i="9" a="1"/>
  <c r="M28" i="9" a="1"/>
  <c r="M29" i="9" a="1"/>
  <c r="M30" i="9" a="1"/>
  <c r="M31" i="9" a="1"/>
  <c r="M32" i="9" a="1"/>
  <c r="M33" i="9" a="1"/>
  <c r="M34" i="9" a="1"/>
  <c r="M35" i="9" a="1"/>
  <c r="M36" i="9" a="1"/>
  <c r="M37" i="9" a="1"/>
  <c r="M38" i="9" a="1"/>
  <c r="M39" i="9" a="1"/>
  <c r="M40" i="9" a="1"/>
  <c r="M41" i="9" a="1"/>
  <c r="M42" i="9" a="1"/>
  <c r="M43" i="9" a="1"/>
  <c r="M44" i="9" a="1"/>
  <c r="M45" i="9" a="1"/>
  <c r="M46" i="9" a="1"/>
  <c r="M47" i="9" a="1"/>
  <c r="M48" i="9" a="1"/>
  <c r="M49" i="9" a="1"/>
  <c r="M50" i="9" a="1"/>
  <c r="M51" i="9" a="1"/>
  <c r="M52" i="9" a="1"/>
  <c r="M53" i="9" a="1"/>
  <c r="M54" i="9" a="1"/>
  <c r="M55" i="9" a="1"/>
  <c r="M56" i="9" a="1"/>
  <c r="M57" i="9" a="1"/>
  <c r="M58" i="9" a="1"/>
  <c r="M59" i="9" a="1"/>
  <c r="M60" i="9" a="1"/>
  <c r="M61" i="9" a="1"/>
  <c r="M62" i="9" a="1"/>
  <c r="M63" i="9" a="1"/>
  <c r="M64" i="9" a="1"/>
  <c r="L8" i="8" a="1"/>
  <c r="L9" i="8" a="1"/>
  <c r="L10" i="8" a="1"/>
  <c r="L11" i="8" a="1"/>
  <c r="L12" i="8" a="1"/>
  <c r="L13" i="8" a="1"/>
  <c r="L14" i="8" a="1"/>
  <c r="L15" i="8" a="1"/>
  <c r="L16" i="8" a="1"/>
  <c r="L17" i="8" a="1"/>
  <c r="L18" i="8" a="1"/>
  <c r="L19" i="8" a="1"/>
  <c r="L20" i="8" a="1"/>
  <c r="L21" i="8" a="1"/>
  <c r="L22" i="8" a="1"/>
  <c r="L23" i="8" a="1"/>
  <c r="L24" i="8" a="1"/>
  <c r="L25" i="8" a="1"/>
  <c r="L26" i="8" a="1"/>
  <c r="L27" i="8" a="1"/>
  <c r="L28" i="8" a="1"/>
  <c r="L29" i="8" a="1"/>
  <c r="L30" i="8" a="1"/>
  <c r="L31" i="8" a="1"/>
  <c r="L32" i="8" a="1"/>
  <c r="L33" i="8" a="1"/>
  <c r="L34" i="8" a="1"/>
  <c r="L35" i="8" a="1"/>
  <c r="L36" i="8" a="1"/>
  <c r="L37" i="8" a="1"/>
  <c r="L38" i="8" a="1"/>
  <c r="L39" i="8" a="1"/>
  <c r="L40" i="8" a="1"/>
  <c r="L41" i="8" a="1"/>
  <c r="L42" i="8" a="1"/>
  <c r="L43" i="8" a="1"/>
  <c r="L44" i="8" a="1"/>
  <c r="L45" i="8" a="1"/>
  <c r="L46" i="8" a="1"/>
  <c r="L47" i="8" a="1"/>
  <c r="L48" i="8" a="1"/>
  <c r="L49" i="8" a="1"/>
  <c r="L50" i="8" a="1"/>
  <c r="L51" i="8" a="1"/>
  <c r="L52" i="8" a="1"/>
  <c r="L53" i="8" a="1"/>
  <c r="L54" i="8" a="1"/>
  <c r="L55" i="8" a="1"/>
  <c r="L56" i="8" a="1"/>
  <c r="L57" i="8" a="1"/>
  <c r="L58" i="8" a="1"/>
  <c r="L59" i="8" a="1"/>
  <c r="L60" i="8" a="1"/>
  <c r="L61" i="8" a="1"/>
  <c r="L62" i="8" a="1"/>
  <c r="L63" i="8" a="1"/>
  <c r="L64" i="8" a="1"/>
  <c r="L65" i="8" a="1"/>
  <c r="L66" i="8" a="1"/>
  <c r="L67" i="8" a="1"/>
  <c r="L68" i="8" a="1"/>
  <c r="L69" i="8" a="1"/>
  <c r="L70" i="8" a="1"/>
  <c r="L71" i="8" a="1"/>
  <c r="L72" i="8" a="1"/>
  <c r="L73" i="8" a="1"/>
  <c r="L74" i="8" a="1"/>
  <c r="L75" i="8" a="1"/>
  <c r="L76" i="8" a="1"/>
  <c r="L77" i="8" a="1"/>
  <c r="L78" i="8" a="1"/>
  <c r="L79" i="8" a="1"/>
  <c r="L80" i="8" a="1"/>
  <c r="L81" i="8" a="1"/>
  <c r="L82" i="8" a="1"/>
  <c r="L83" i="8" a="1"/>
  <c r="L84" i="8" a="1"/>
  <c r="L85" i="8" a="1"/>
  <c r="L86" i="8" a="1"/>
  <c r="L87" i="8" a="1"/>
  <c r="L88" i="8" a="1"/>
  <c r="L89" i="8" a="1"/>
  <c r="L90" i="8" a="1"/>
  <c r="L91" i="8" a="1"/>
  <c r="L92" i="8" a="1"/>
  <c r="L93" i="8" a="1"/>
  <c r="L94" i="8" a="1"/>
  <c r="L95" i="8" a="1"/>
  <c r="L96" i="8" a="1"/>
  <c r="L97" i="8" a="1"/>
  <c r="L98" i="8" a="1"/>
  <c r="L99" i="8" a="1"/>
  <c r="L100" i="8" a="1"/>
  <c r="L101" i="8" a="1"/>
  <c r="L102" i="8" a="1"/>
  <c r="L103" i="8" a="1"/>
  <c r="L104" i="8" a="1"/>
  <c r="L105" i="8" a="1"/>
  <c r="L106" i="8" a="1"/>
  <c r="L107" i="8" a="1"/>
  <c r="L108" i="8" a="1"/>
  <c r="L109" i="8" a="1"/>
  <c r="L110" i="8" a="1"/>
  <c r="L111" i="8" a="1"/>
  <c r="L112" i="8" a="1"/>
  <c r="L113" i="8" a="1"/>
  <c r="L114" i="8" a="1"/>
  <c r="L115" i="8" a="1"/>
  <c r="L116" i="8" a="1"/>
  <c r="L117" i="8" a="1"/>
  <c r="L118" i="8" a="1"/>
  <c r="L119" i="8" a="1"/>
  <c r="L120" i="8" a="1"/>
  <c r="L121" i="8" a="1"/>
  <c r="L122" i="8" a="1"/>
  <c r="L123" i="8" a="1"/>
  <c r="L124" i="8" a="1"/>
  <c r="L125" i="8" a="1"/>
  <c r="L126" i="8" a="1"/>
  <c r="L127" i="8" a="1"/>
  <c r="L128" i="8" a="1"/>
  <c r="L129" i="8" a="1"/>
  <c r="L130" i="8" a="1"/>
  <c r="L131" i="8" a="1"/>
  <c r="L132" i="8" a="1"/>
  <c r="L133" i="8" a="1"/>
  <c r="L134" i="8" a="1"/>
  <c r="L135" i="8" a="1"/>
  <c r="L136" i="8" a="1"/>
  <c r="L137" i="8" a="1"/>
  <c r="L138" i="8" a="1"/>
  <c r="L139" i="8" a="1"/>
  <c r="L140" i="8" a="1"/>
  <c r="L141" i="8" a="1"/>
  <c r="L142" i="8" a="1"/>
  <c r="L143" i="8" a="1"/>
  <c r="L144" i="8" a="1"/>
  <c r="R144" i="8" s="1" a="1"/>
  <c r="L145" i="8" a="1"/>
  <c r="L146" i="8" a="1"/>
  <c r="L147" i="8" a="1"/>
  <c r="L148" i="8" a="1"/>
  <c r="L149" i="8" a="1"/>
  <c r="R149" i="8" s="1" a="1"/>
  <c r="L150" i="8" a="1"/>
  <c r="L151" i="8" a="1"/>
  <c r="L152" i="8" a="1"/>
  <c r="L153" i="8" a="1"/>
  <c r="L154" i="8" a="1"/>
  <c r="L155" i="8" a="1"/>
  <c r="L156" i="8" a="1"/>
  <c r="L157" i="8" a="1"/>
  <c r="L158" i="8" a="1"/>
  <c r="L159" i="8" a="1"/>
  <c r="L160" i="8" a="1"/>
  <c r="L161" i="8" a="1"/>
  <c r="L162" i="8" a="1"/>
  <c r="L163" i="8" a="1"/>
  <c r="L164" i="8" a="1"/>
  <c r="L165" i="8" a="1"/>
  <c r="L166" i="8" a="1"/>
  <c r="L167" i="8" a="1"/>
  <c r="L168" i="8" a="1"/>
  <c r="L169" i="8" a="1"/>
  <c r="L170" i="8" a="1"/>
  <c r="R170" i="8" s="1" a="1"/>
  <c r="L171" i="8" a="1"/>
  <c r="L172" i="8" a="1"/>
  <c r="L173" i="8" a="1"/>
  <c r="L174" i="8" a="1"/>
  <c r="L175" i="8" a="1"/>
  <c r="L176" i="8" a="1"/>
  <c r="L177" i="8" a="1"/>
  <c r="L178" i="8" a="1"/>
  <c r="L179" i="8" a="1"/>
  <c r="L180" i="8" a="1"/>
  <c r="L181" i="8" a="1"/>
  <c r="L182" i="8" a="1"/>
  <c r="R182" i="8" s="1" a="1"/>
  <c r="L183" i="8" a="1"/>
  <c r="L184" i="8" a="1"/>
  <c r="L185" i="8" a="1"/>
  <c r="L186" i="8" a="1"/>
  <c r="L187" i="8" a="1"/>
  <c r="L188" i="8" a="1"/>
  <c r="L189" i="8" a="1"/>
  <c r="L190" i="8" a="1"/>
  <c r="L191" i="8" a="1"/>
  <c r="L192" i="8" a="1"/>
  <c r="L193" i="8" a="1"/>
  <c r="L194" i="8" a="1"/>
  <c r="L195" i="8" a="1"/>
  <c r="L196" i="8" a="1"/>
  <c r="L197" i="8" a="1"/>
  <c r="L198" i="8" a="1"/>
  <c r="S198" i="8" s="1" a="1"/>
  <c r="L199" i="8" a="1"/>
  <c r="L200" i="8" a="1"/>
  <c r="L201" i="8" a="1"/>
  <c r="L202" i="8" a="1"/>
  <c r="L203" i="8" a="1"/>
  <c r="L204" i="8" a="1"/>
  <c r="L205" i="8" a="1"/>
  <c r="L206" i="8" a="1"/>
  <c r="L207" i="8" a="1"/>
  <c r="L208" i="8" a="1"/>
  <c r="R208" i="8" s="1" a="1"/>
  <c r="L209" i="8" a="1"/>
  <c r="R209" i="8" s="1" a="1"/>
  <c r="L210" i="8" a="1"/>
  <c r="L211" i="8" a="1"/>
  <c r="R211" i="8" s="1" a="1"/>
  <c r="L212" i="8" a="1"/>
  <c r="L213" i="8" a="1"/>
  <c r="L214" i="8" a="1"/>
  <c r="L215" i="8" a="1"/>
  <c r="L216" i="8" a="1"/>
  <c r="L217" i="8" a="1"/>
  <c r="L218" i="8" a="1"/>
  <c r="L219" i="8" a="1"/>
  <c r="L220" i="8" a="1"/>
  <c r="R220" i="8" s="1" a="1"/>
  <c r="L221" i="8" a="1"/>
  <c r="R221" i="8" s="1" a="1"/>
  <c r="L222" i="8" a="1"/>
  <c r="L223" i="8" a="1"/>
  <c r="L224" i="8" a="1"/>
  <c r="R224" i="8" s="1" a="1"/>
  <c r="L225" i="8" a="1"/>
  <c r="L226" i="8" a="1"/>
  <c r="L227" i="8" a="1"/>
  <c r="L228" i="8" a="1"/>
  <c r="L229" i="8" a="1"/>
  <c r="L230" i="8" a="1"/>
  <c r="L231" i="8" a="1"/>
  <c r="L232" i="8" a="1"/>
  <c r="L233" i="8" a="1"/>
  <c r="L234" i="8" a="1"/>
  <c r="L235" i="8" a="1"/>
  <c r="R235" i="8" s="1" a="1"/>
  <c r="L236" i="8" a="1"/>
  <c r="L237" i="8" a="1"/>
  <c r="L238" i="8" a="1"/>
  <c r="R238" i="8" s="1" a="1"/>
  <c r="L239" i="8" a="1"/>
  <c r="L240" i="8" a="1"/>
  <c r="L241" i="8" a="1"/>
  <c r="L242" i="8" a="1"/>
  <c r="L8" i="7" a="1"/>
  <c r="L9" i="7" a="1"/>
  <c r="L10" i="7" a="1"/>
  <c r="L11" i="7" a="1"/>
  <c r="L12" i="7" a="1"/>
  <c r="L13" i="7" a="1"/>
  <c r="L14" i="7" a="1"/>
  <c r="L15" i="7" a="1"/>
  <c r="L16" i="7" a="1"/>
  <c r="L17" i="7" a="1"/>
  <c r="L18" i="7" a="1"/>
  <c r="L19" i="7" a="1"/>
  <c r="L20" i="7" a="1"/>
  <c r="L21" i="7" a="1"/>
  <c r="L22" i="7" a="1"/>
  <c r="L23" i="7" a="1"/>
  <c r="L24" i="7" a="1"/>
  <c r="L25" i="7" a="1"/>
  <c r="L26" i="7" a="1"/>
  <c r="L27" i="7" a="1"/>
  <c r="L28" i="7" a="1"/>
  <c r="L29" i="7" a="1"/>
  <c r="L30" i="7" a="1"/>
  <c r="L31" i="7" a="1"/>
  <c r="L32" i="7" a="1"/>
  <c r="L33" i="7" a="1"/>
  <c r="L34" i="7" a="1"/>
  <c r="L35" i="7" a="1"/>
  <c r="L36" i="7" a="1"/>
  <c r="L37" i="7" a="1"/>
  <c r="L38" i="7" a="1"/>
  <c r="L39" i="7" a="1"/>
  <c r="L40" i="7" a="1"/>
  <c r="L41" i="7" a="1"/>
  <c r="L42" i="7" a="1"/>
  <c r="L43" i="7" a="1"/>
  <c r="L44" i="7" a="1"/>
  <c r="L45" i="7" a="1"/>
  <c r="L46" i="7" a="1"/>
  <c r="L47" i="7" a="1"/>
  <c r="L48" i="7" a="1"/>
  <c r="L49" i="7" a="1"/>
  <c r="L50" i="7" a="1"/>
  <c r="L51" i="7" a="1"/>
  <c r="L52" i="7" a="1"/>
  <c r="L53" i="7" a="1"/>
  <c r="L54" i="7" a="1"/>
  <c r="L55" i="7" a="1"/>
  <c r="L56" i="7" a="1"/>
  <c r="L57" i="7" a="1"/>
  <c r="L58" i="7" a="1"/>
  <c r="L59" i="7" a="1"/>
  <c r="L60" i="7" a="1"/>
  <c r="L61" i="7" a="1"/>
  <c r="L62" i="7" a="1"/>
  <c r="L63" i="7" a="1"/>
  <c r="L64" i="7" a="1"/>
  <c r="L65" i="7" a="1"/>
  <c r="L66" i="7" a="1"/>
  <c r="L67" i="7" a="1"/>
  <c r="L68" i="7" a="1"/>
  <c r="L69" i="7" a="1"/>
  <c r="L70" i="7" a="1"/>
  <c r="L71" i="7" a="1"/>
  <c r="L72" i="7" a="1"/>
  <c r="L73" i="7" a="1"/>
  <c r="L74" i="7" a="1"/>
  <c r="L75" i="7" a="1"/>
  <c r="L76" i="7" a="1"/>
  <c r="L77" i="7" a="1"/>
  <c r="L78" i="7" a="1"/>
  <c r="L79" i="7" a="1"/>
  <c r="L80" i="7" a="1"/>
  <c r="L81" i="7" a="1"/>
  <c r="L82" i="7" a="1"/>
  <c r="L83" i="7" a="1"/>
  <c r="L84" i="7" a="1"/>
  <c r="L85" i="7" a="1"/>
  <c r="L86" i="7" a="1"/>
  <c r="L87" i="7" a="1"/>
  <c r="L88" i="7" a="1"/>
  <c r="L89" i="7" a="1"/>
  <c r="L90" i="7" a="1"/>
  <c r="L91" i="7" a="1"/>
  <c r="L92" i="7" a="1"/>
  <c r="L93" i="7" a="1"/>
  <c r="L94" i="7" a="1"/>
  <c r="L95" i="7" a="1"/>
  <c r="L96" i="7" a="1"/>
  <c r="L97" i="7" a="1"/>
  <c r="L98" i="7" a="1"/>
  <c r="L99" i="7" a="1"/>
  <c r="L100" i="7" a="1"/>
  <c r="L101" i="7" a="1"/>
  <c r="L102" i="7" a="1"/>
  <c r="L103" i="7" a="1"/>
  <c r="L104" i="7" a="1"/>
  <c r="L105" i="7" a="1"/>
  <c r="L106" i="7" a="1"/>
  <c r="L107" i="7" a="1"/>
  <c r="L108" i="7" a="1"/>
  <c r="L109" i="7" a="1"/>
  <c r="L110" i="7" a="1"/>
  <c r="L111" i="7" a="1"/>
  <c r="L112" i="7" a="1"/>
  <c r="L113" i="7" a="1"/>
  <c r="L114" i="7" a="1"/>
  <c r="L115" i="7" a="1"/>
  <c r="L116" i="7" a="1"/>
  <c r="L117" i="7" a="1"/>
  <c r="L118" i="7" a="1"/>
  <c r="L119" i="7" a="1"/>
  <c r="L120" i="7" a="1"/>
  <c r="L121" i="7" a="1"/>
  <c r="L122" i="7" a="1"/>
  <c r="L123" i="7" a="1"/>
  <c r="L124" i="7" a="1"/>
  <c r="L125" i="7" a="1"/>
  <c r="L126" i="7" a="1"/>
  <c r="L127" i="7" a="1"/>
  <c r="L128" i="7" a="1"/>
  <c r="L129" i="7" a="1"/>
  <c r="L130" i="7" a="1"/>
  <c r="L131" i="7" a="1"/>
  <c r="L132" i="7" a="1"/>
  <c r="L133" i="7" a="1"/>
  <c r="L134" i="7" a="1"/>
  <c r="L135" i="7" a="1"/>
  <c r="L136" i="7" a="1"/>
  <c r="L137" i="7" a="1"/>
  <c r="L138" i="7" a="1"/>
  <c r="L139" i="7" a="1"/>
  <c r="L140" i="7" a="1"/>
  <c r="L141" i="7" a="1"/>
  <c r="L142" i="7" a="1"/>
  <c r="L143" i="7" a="1"/>
  <c r="L144" i="7" a="1"/>
  <c r="L145" i="7" a="1"/>
  <c r="L146" i="7" a="1"/>
  <c r="L147" i="7" a="1"/>
  <c r="L148" i="7" a="1"/>
  <c r="L149" i="7" a="1"/>
  <c r="L150" i="7" a="1"/>
  <c r="L151" i="7" a="1"/>
  <c r="L152" i="7" a="1"/>
  <c r="L153" i="7" a="1"/>
  <c r="L154" i="7" a="1"/>
  <c r="L155" i="7" a="1"/>
  <c r="L156" i="7" a="1"/>
  <c r="L157" i="7" a="1"/>
  <c r="L158" i="7" a="1"/>
  <c r="L159" i="7" a="1"/>
  <c r="L160" i="7" a="1"/>
  <c r="L161" i="7" a="1"/>
  <c r="L162" i="7" a="1"/>
  <c r="L163" i="7" a="1"/>
  <c r="L164" i="7" a="1"/>
  <c r="L165" i="7" a="1"/>
  <c r="L166" i="7" a="1"/>
  <c r="L167" i="7" a="1"/>
  <c r="L168" i="7" a="1"/>
  <c r="L169" i="7" a="1"/>
  <c r="L170" i="7" a="1"/>
  <c r="L171" i="7" a="1"/>
  <c r="L172" i="7" a="1"/>
  <c r="L173" i="7" a="1"/>
  <c r="L174" i="7" a="1"/>
  <c r="L175" i="7" a="1"/>
  <c r="L176" i="7" a="1"/>
  <c r="L177" i="7" a="1"/>
  <c r="L178" i="7" a="1"/>
  <c r="L179" i="7" a="1"/>
  <c r="L180" i="7" a="1"/>
  <c r="L181" i="7" a="1"/>
  <c r="L182" i="7" a="1"/>
  <c r="L183" i="7" a="1"/>
  <c r="L184" i="7" a="1"/>
  <c r="L185" i="7" a="1"/>
  <c r="L186" i="7" a="1"/>
  <c r="L187" i="7" a="1"/>
  <c r="L188" i="7" a="1"/>
  <c r="L189" i="7" a="1"/>
  <c r="L190" i="7" a="1"/>
  <c r="L191" i="7" a="1"/>
  <c r="L192" i="7" a="1"/>
  <c r="L193" i="7" a="1"/>
  <c r="L8" i="6" a="1"/>
  <c r="L9" i="6" a="1"/>
  <c r="L10" i="6" a="1"/>
  <c r="L11" i="6" a="1"/>
  <c r="L12" i="6" a="1"/>
  <c r="L13" i="6" a="1"/>
  <c r="L14" i="6" a="1"/>
  <c r="L15" i="6" a="1"/>
  <c r="L16" i="6" a="1"/>
  <c r="L17" i="6" a="1"/>
  <c r="L18" i="6" a="1"/>
  <c r="L19" i="6" a="1"/>
  <c r="L20" i="6" a="1"/>
  <c r="L21" i="6" a="1"/>
  <c r="L22" i="6" a="1"/>
  <c r="L23" i="6" a="1"/>
  <c r="L24" i="6" a="1"/>
  <c r="L25" i="6" a="1"/>
  <c r="L26" i="6" a="1"/>
  <c r="L27" i="6" a="1"/>
  <c r="L28" i="6" a="1"/>
  <c r="L29" i="6" a="1"/>
  <c r="L30" i="6" a="1"/>
  <c r="L31" i="6" a="1"/>
  <c r="L32" i="6" a="1"/>
  <c r="L33" i="6" a="1"/>
  <c r="L34" i="6" a="1"/>
  <c r="L35" i="6" a="1"/>
  <c r="L36" i="6" a="1"/>
  <c r="L37" i="6" a="1"/>
  <c r="C4" i="13" a="1"/>
  <c r="C4" i="9" a="1"/>
  <c r="C4" i="5" a="1"/>
  <c r="C4" i="8" a="1"/>
  <c r="C4" i="7" a="1"/>
  <c r="C4" i="6" a="1"/>
  <c r="C4" i="4" a="1"/>
  <c r="V16" i="9" l="1" a="1"/>
  <c r="W19" i="9" a="1"/>
  <c r="W35" i="9" a="1"/>
  <c r="S42" i="9" a="1"/>
  <c r="W43" i="9" a="1"/>
  <c r="R67" i="8" a="1"/>
  <c r="Q67" i="8" s="1" a="1"/>
  <c r="V67" i="8" s="1" a="1"/>
  <c r="T81" i="8" a="1"/>
  <c r="S89" i="8" a="1"/>
  <c r="S93" i="8" a="1"/>
  <c r="S110" i="8" a="1"/>
  <c r="T111" i="8" a="1"/>
  <c r="S114" i="8" a="1"/>
  <c r="R117" i="8" a="1"/>
  <c r="Q117" i="8" s="1" a="1"/>
  <c r="V117" i="8" s="1" a="1"/>
  <c r="S121" i="8" a="1"/>
  <c r="T146" i="8" a="1"/>
  <c r="R147" i="8" a="1"/>
  <c r="Q147" i="8" s="1" a="1"/>
  <c r="T155" i="8" a="1"/>
  <c r="Q182" i="8" a="1"/>
  <c r="R183" i="8" a="1"/>
  <c r="Q183" i="8" s="1" a="1"/>
  <c r="Q208" i="8" a="1"/>
  <c r="Q211" i="8" a="1"/>
  <c r="Q220" i="8" a="1"/>
  <c r="Q221" i="8" a="1"/>
  <c r="Q224" i="8" a="1"/>
  <c r="Q235" i="8" a="1"/>
  <c r="Q238" i="8" a="1"/>
  <c r="S11" i="7" a="1"/>
  <c r="R12" i="7" a="1"/>
  <c r="R14" i="7" a="1"/>
  <c r="R17" i="7" a="1"/>
  <c r="S25" i="7" a="1"/>
  <c r="R30" i="7" a="1"/>
  <c r="S33" i="7" a="1"/>
  <c r="S37" i="7" a="1"/>
  <c r="R42" i="7" a="1"/>
  <c r="S43" i="7" a="1"/>
  <c r="R44" i="7" a="1"/>
  <c r="S45" i="7" a="1"/>
  <c r="S46" i="7" a="1"/>
  <c r="R56" i="7" a="1"/>
  <c r="R61" i="7" a="1"/>
  <c r="S64" i="7" a="1"/>
  <c r="R65" i="7" a="1"/>
  <c r="R66" i="7" a="1"/>
  <c r="S67" i="7" a="1"/>
  <c r="S69" i="7" a="1"/>
  <c r="S70" i="7" a="1"/>
  <c r="S79" i="7" a="1"/>
  <c r="S81" i="7" a="1"/>
  <c r="S84" i="7" a="1"/>
  <c r="S85" i="7" a="1"/>
  <c r="S90" i="7" a="1"/>
  <c r="R91" i="7" a="1"/>
  <c r="R93" i="7" a="1"/>
  <c r="S94" i="7" a="1"/>
  <c r="S96" i="7" a="1"/>
  <c r="S98" i="7" a="1"/>
  <c r="S99" i="7" a="1"/>
  <c r="S101" i="7" a="1"/>
  <c r="S102" i="7" a="1"/>
  <c r="S104" i="7" a="1"/>
  <c r="S107" i="7" a="1"/>
  <c r="S108" i="7" a="1"/>
  <c r="S109" i="7" a="1"/>
  <c r="S110" i="7" a="1"/>
  <c r="S111" i="7" a="1"/>
  <c r="T131" i="7" a="1"/>
  <c r="T149" i="7" a="1"/>
  <c r="T150" i="7" a="1"/>
  <c r="T152" i="7" a="1"/>
  <c r="T153" i="7" a="1"/>
  <c r="T155" i="7" a="1"/>
  <c r="T156" i="7" a="1"/>
  <c r="T158" i="7" a="1"/>
  <c r="T159" i="7" a="1"/>
  <c r="T167" i="7" a="1"/>
  <c r="T169" i="7" a="1"/>
  <c r="T170" i="7" a="1"/>
  <c r="S172" i="7" a="1"/>
  <c r="T178" i="7" a="1"/>
  <c r="S182" i="7" a="1"/>
  <c r="T183" i="7" a="1"/>
  <c r="S186" i="7" a="1"/>
  <c r="T190" i="7" a="1"/>
  <c r="T193" i="7" a="1"/>
  <c r="V10" i="13" a="1"/>
  <c r="T10" i="13" a="1"/>
  <c r="R19" i="8" a="1"/>
  <c r="Q19" i="8" a="1"/>
  <c r="R22" i="8" a="1"/>
  <c r="Q22" i="8" s="1" a="1"/>
  <c r="R26" i="8" a="1"/>
  <c r="Q26" i="8" s="1" a="1"/>
  <c r="R30" i="8" a="1"/>
  <c r="Q30" i="8" s="1" a="1"/>
  <c r="R34" i="8" a="1"/>
  <c r="Q34" i="8" s="1" a="1"/>
  <c r="R45" i="8" a="1"/>
  <c r="Q45" i="8" s="1" a="1"/>
  <c r="R61" i="8" a="1"/>
  <c r="Q61" i="8" s="1" a="1"/>
  <c r="R79" i="8" a="1"/>
  <c r="Q79" i="8" s="1" a="1"/>
  <c r="R114" i="8" a="1"/>
  <c r="Q114" i="8" s="1" a="1"/>
  <c r="R121" i="8" a="1"/>
  <c r="Q121" i="8" s="1" a="1"/>
  <c r="R124" i="8" a="1"/>
  <c r="Q124" i="8" a="1"/>
  <c r="R127" i="8" a="1"/>
  <c r="Q127" i="8" a="1"/>
  <c r="V127" i="8" s="1" a="1"/>
  <c r="R131" i="8" a="1"/>
  <c r="Q131" i="8" a="1"/>
  <c r="V131" i="8" s="1" a="1"/>
  <c r="R136" i="8" a="1"/>
  <c r="Q136" i="8" s="1" a="1"/>
  <c r="R139" i="8" a="1"/>
  <c r="Q139" i="8" s="1" a="1"/>
  <c r="R141" i="8" a="1"/>
  <c r="Q141" i="8" s="1" a="1"/>
  <c r="R146" i="8" a="1"/>
  <c r="Q146" i="8" s="1" a="1"/>
  <c r="R151" i="8" a="1"/>
  <c r="Q151" i="8" s="1" a="1"/>
  <c r="R155" i="8" a="1"/>
  <c r="Q155" i="8" s="1" a="1"/>
  <c r="R157" i="8" a="1"/>
  <c r="Q157" i="8" s="1" a="1"/>
  <c r="R162" i="8" a="1"/>
  <c r="Q162" i="8" a="1"/>
  <c r="R172" i="8" a="1"/>
  <c r="Q172" i="8" a="1"/>
  <c r="R186" i="8" a="1"/>
  <c r="Q186" i="8" a="1"/>
  <c r="S190" i="8" a="1"/>
  <c r="R190" i="8" a="1"/>
  <c r="Q190" i="8" s="1" a="1"/>
  <c r="R194" i="8" a="1"/>
  <c r="Q194" i="8" a="1"/>
  <c r="R197" i="8" a="1"/>
  <c r="Q197" i="8" a="1"/>
  <c r="S202" i="8" a="1"/>
  <c r="R202" i="8" a="1"/>
  <c r="Q202" i="8" s="1" a="1"/>
  <c r="R212" i="8" a="1"/>
  <c r="Q212" i="8" s="1" a="1"/>
  <c r="S212" i="8" a="1"/>
  <c r="R217" i="8" a="1"/>
  <c r="Q217" i="8" s="1" a="1"/>
  <c r="S217" i="8" a="1"/>
  <c r="S226" i="8" a="1"/>
  <c r="R226" i="8" a="1"/>
  <c r="Q226" i="8" s="1" a="1"/>
  <c r="S229" i="8" a="1"/>
  <c r="R229" i="8" a="1"/>
  <c r="Q229" i="8" s="1" a="1"/>
  <c r="S230" i="8" a="1"/>
  <c r="R230" i="8" a="1"/>
  <c r="Q230" i="8" s="1" a="1"/>
  <c r="S241" i="8" a="1"/>
  <c r="R241" i="8" a="1"/>
  <c r="Q241" i="8" s="1" a="1"/>
  <c r="R242" i="8" a="1"/>
  <c r="Q242" i="8" s="1" a="1"/>
  <c r="S242" i="8" a="1"/>
  <c r="T10" i="9" a="1"/>
  <c r="V10" i="9" a="1"/>
  <c r="W11" i="9" a="1"/>
  <c r="T11" i="9" a="1"/>
  <c r="U11" i="9" a="1"/>
  <c r="S11" i="9" a="1"/>
  <c r="R11" i="9" s="1" a="1"/>
  <c r="V11" i="9" a="1"/>
  <c r="V14" i="9" a="1"/>
  <c r="W14" i="9" a="1"/>
  <c r="T14" i="9" a="1"/>
  <c r="U14" i="9" a="1"/>
  <c r="S14" i="9" a="1"/>
  <c r="R14" i="9" s="1" a="1"/>
  <c r="W18" i="9" a="1"/>
  <c r="U18" i="9" a="1"/>
  <c r="T18" i="9" a="1"/>
  <c r="V18" i="9" a="1"/>
  <c r="S18" i="9" a="1"/>
  <c r="W23" i="9" a="1"/>
  <c r="U23" i="9" a="1"/>
  <c r="T23" i="9" a="1"/>
  <c r="S23" i="9" a="1"/>
  <c r="R23" i="9" s="1" a="1"/>
  <c r="W27" i="9" a="1"/>
  <c r="V27" i="9" a="1"/>
  <c r="W31" i="9" a="1"/>
  <c r="T31" i="9" a="1"/>
  <c r="S31" i="9" a="1"/>
  <c r="R31" i="9" s="1" a="1"/>
  <c r="W33" i="9" a="1"/>
  <c r="U33" i="9" a="1"/>
  <c r="V33" i="9" a="1"/>
  <c r="U36" i="9" a="1"/>
  <c r="W36" i="9" a="1"/>
  <c r="V36" i="9" a="1"/>
  <c r="W37" i="9" a="1"/>
  <c r="S37" i="9" a="1"/>
  <c r="R37" i="9" s="1" a="1"/>
  <c r="T37" i="9" a="1"/>
  <c r="V55" i="9" a="1"/>
  <c r="V57" i="9" a="1"/>
  <c r="V58" i="9" a="1"/>
  <c r="U9" i="9" a="1"/>
  <c r="W9" i="9" a="1"/>
  <c r="U26" i="9" a="1"/>
  <c r="W13" i="9" a="1"/>
  <c r="W24" i="9" a="1"/>
  <c r="U41" i="9" a="1"/>
  <c r="U47" i="9" a="1"/>
  <c r="U55" i="9" a="1"/>
  <c r="U58" i="9" a="1"/>
  <c r="U61" i="9" a="1"/>
  <c r="U64" i="9" a="1"/>
  <c r="T9" i="9" a="1"/>
  <c r="V41" i="9" a="1"/>
  <c r="W26" i="9" a="1"/>
  <c r="W39" i="9" a="1"/>
  <c r="W41" i="9" a="1"/>
  <c r="W46" i="9" a="1"/>
  <c r="T26" i="9" a="1"/>
  <c r="W47" i="9" a="1"/>
  <c r="W51" i="9" a="1"/>
  <c r="T47" i="9" a="1"/>
  <c r="T51" i="9" a="1"/>
  <c r="T55" i="9" a="1"/>
  <c r="W55" i="9" a="1"/>
  <c r="T58" i="9" a="1"/>
  <c r="T61" i="9" a="1"/>
  <c r="S9" i="9" a="1"/>
  <c r="R9" i="9" s="1" a="1"/>
  <c r="W58" i="9" a="1"/>
  <c r="W61" i="9" a="1"/>
  <c r="V13" i="9" a="1"/>
  <c r="S24" i="9" a="1"/>
  <c r="S26" i="9" a="1"/>
  <c r="R26" i="9" s="1" a="1"/>
  <c r="V24" i="9" a="1"/>
  <c r="V39" i="9" a="1"/>
  <c r="T57" i="9" a="1"/>
  <c r="V46" i="9" a="1"/>
  <c r="S46" i="9" a="1"/>
  <c r="R46" i="9" s="1" a="1"/>
  <c r="S52" i="9" a="1"/>
  <c r="R52" i="9" s="1" a="1"/>
  <c r="S57" i="9" a="1"/>
  <c r="R57" i="9" s="1" a="1"/>
  <c r="S58" i="9" a="1"/>
  <c r="R58" i="9" s="1" a="1"/>
  <c r="V47" i="9" a="1"/>
  <c r="V51" i="9" a="1"/>
  <c r="V26" i="9" a="1"/>
  <c r="S55" i="9" a="1"/>
  <c r="R55" i="9" s="1" a="1"/>
  <c r="S61" i="9" a="1"/>
  <c r="R61" i="9" s="1" a="1"/>
  <c r="S41" i="9" a="1"/>
  <c r="R73" i="8" a="1"/>
  <c r="Q73" i="8" s="1" a="1"/>
  <c r="V73" i="8" s="1" a="1"/>
  <c r="S85" i="8" a="1"/>
  <c r="T110" i="8" a="1"/>
  <c r="T122" i="8" a="1"/>
  <c r="S133" i="8" a="1"/>
  <c r="T61" i="8" a="1"/>
  <c r="S61" i="8" a="1"/>
  <c r="R115" i="8" a="1"/>
  <c r="Q115" i="8" s="1" a="1"/>
  <c r="V115" i="8" s="1" a="1"/>
  <c r="S115" i="8" a="1"/>
  <c r="S118" i="8" a="1"/>
  <c r="R118" i="8" a="1"/>
  <c r="Q118" i="8" s="1" a="1"/>
  <c r="R120" i="8" a="1"/>
  <c r="Q120" i="8" s="1" a="1"/>
  <c r="V120" i="8" a="1"/>
  <c r="T120" i="8" a="1"/>
  <c r="R122" i="8" a="1"/>
  <c r="Q122" i="8" s="1" a="1"/>
  <c r="V122" i="8" s="1" a="1"/>
  <c r="S122" i="8" a="1"/>
  <c r="R125" i="8" a="1"/>
  <c r="Q125" i="8" s="1" a="1"/>
  <c r="S125" i="8" a="1"/>
  <c r="V125" i="8" a="1"/>
  <c r="R129" i="8" a="1"/>
  <c r="Q129" i="8" s="1" a="1"/>
  <c r="V129" i="8" s="1" a="1"/>
  <c r="S129" i="8" a="1"/>
  <c r="R133" i="8" a="1"/>
  <c r="Q133" i="8" s="1" a="1"/>
  <c r="T133" i="8" a="1"/>
  <c r="R135" i="8" a="1"/>
  <c r="Q135" i="8" s="1" a="1"/>
  <c r="V135" i="8" s="1" a="1"/>
  <c r="T135" i="8" a="1"/>
  <c r="T137" i="8" a="1"/>
  <c r="R137" i="8" a="1"/>
  <c r="Q137" i="8" s="1" a="1"/>
  <c r="S139" i="8" a="1"/>
  <c r="T139" i="8" a="1"/>
  <c r="T140" i="8" a="1"/>
  <c r="S140" i="8" a="1"/>
  <c r="R140" i="8" a="1"/>
  <c r="Q140" i="8" s="1" a="1"/>
  <c r="Q144" i="8" a="1"/>
  <c r="T144" i="8" a="1"/>
  <c r="V144" i="8" a="1"/>
  <c r="S144" i="8" a="1"/>
  <c r="R145" i="8" a="1"/>
  <c r="Q145" i="8" s="1" a="1"/>
  <c r="V145" i="8" s="1" a="1"/>
  <c r="T145" i="8" a="1"/>
  <c r="Q149" i="8" a="1"/>
  <c r="V149" i="8" s="1" a="1"/>
  <c r="T149" i="8" a="1"/>
  <c r="R150" i="8" a="1"/>
  <c r="Q150" i="8" s="1" a="1"/>
  <c r="V150" i="8" a="1"/>
  <c r="T150" i="8" a="1"/>
  <c r="S151" i="8" a="1"/>
  <c r="T151" i="8" a="1"/>
  <c r="R152" i="8" a="1"/>
  <c r="Q152" i="8" s="1" a="1"/>
  <c r="T156" i="8" a="1"/>
  <c r="R156" i="8" a="1"/>
  <c r="Q156" i="8" a="1"/>
  <c r="S157" i="8" a="1"/>
  <c r="T157" i="8" a="1"/>
  <c r="T160" i="8" a="1"/>
  <c r="R160" i="8" a="1"/>
  <c r="Q160" i="8" s="1" a="1"/>
  <c r="R165" i="8" a="1"/>
  <c r="Q165" i="8" a="1"/>
  <c r="S166" i="8" a="1"/>
  <c r="R166" i="8" a="1"/>
  <c r="Q166" i="8" s="1" a="1"/>
  <c r="V166" i="8" s="1" a="1"/>
  <c r="T170" i="8" a="1"/>
  <c r="S170" i="8" a="1"/>
  <c r="Q170" i="8" a="1"/>
  <c r="T174" i="8" a="1"/>
  <c r="R174" i="8" a="1"/>
  <c r="Q174" i="8" s="1" a="1"/>
  <c r="S174" i="8" a="1"/>
  <c r="R177" i="8" a="1"/>
  <c r="Q177" i="8" s="1" a="1"/>
  <c r="R181" i="8" a="1"/>
  <c r="Q181" i="8" s="1" a="1"/>
  <c r="S181" i="8" a="1"/>
  <c r="R184" i="8" a="1"/>
  <c r="S184" i="8" a="1"/>
  <c r="Q184" i="8" a="1"/>
  <c r="V184" i="8" s="1" a="1"/>
  <c r="R187" i="8" a="1"/>
  <c r="Q187" i="8" a="1"/>
  <c r="R192" i="8" a="1"/>
  <c r="Q192" i="8" s="1" a="1"/>
  <c r="T192" i="8" a="1"/>
  <c r="R195" i="8" a="1"/>
  <c r="Q195" i="8" a="1"/>
  <c r="T195" i="8" a="1"/>
  <c r="R198" i="8" a="1"/>
  <c r="Q198" i="8" a="1"/>
  <c r="R199" i="8" a="1"/>
  <c r="Q199" i="8" s="1" a="1"/>
  <c r="S200" i="8" a="1"/>
  <c r="R200" i="8" a="1"/>
  <c r="Q200" i="8" s="1" a="1"/>
  <c r="T200" i="8" a="1"/>
  <c r="R203" i="8" a="1"/>
  <c r="Q203" i="8" a="1"/>
  <c r="R207" i="8" a="1"/>
  <c r="Q207" i="8" s="1" a="1"/>
  <c r="T209" i="8" a="1"/>
  <c r="Q209" i="8" a="1"/>
  <c r="T213" i="8" a="1"/>
  <c r="S213" i="8" a="1"/>
  <c r="R213" i="8" a="1"/>
  <c r="Q213" i="8" s="1" a="1"/>
  <c r="R215" i="8" a="1"/>
  <c r="Q215" i="8" s="1" a="1"/>
  <c r="S219" i="8" a="1"/>
  <c r="T219" i="8" a="1"/>
  <c r="R219" i="8" a="1"/>
  <c r="Q219" i="8" s="1" a="1"/>
  <c r="S225" i="8" a="1"/>
  <c r="R225" i="8" a="1"/>
  <c r="Q225" i="8" s="1" a="1"/>
  <c r="R227" i="8" a="1"/>
  <c r="Q227" i="8" s="1" a="1"/>
  <c r="R231" i="8" a="1"/>
  <c r="Q231" i="8" s="1" a="1"/>
  <c r="R234" i="8" a="1"/>
  <c r="Q234" i="8" s="1" a="1"/>
  <c r="S237" i="8" a="1"/>
  <c r="R237" i="8" a="1"/>
  <c r="Q237" i="8" s="1" a="1"/>
  <c r="R239" i="8" a="1"/>
  <c r="Q239" i="8" s="1" a="1"/>
  <c r="T51" i="8" a="1"/>
  <c r="S22" i="8" a="1"/>
  <c r="T39" i="8" a="1"/>
  <c r="T28" i="8" a="1"/>
  <c r="V19" i="8" a="1"/>
  <c r="S59" i="8" a="1"/>
  <c r="S106" i="8" a="1"/>
  <c r="R167" i="8" a="1"/>
  <c r="Q167" i="8" s="1" a="1"/>
  <c r="R171" i="8" a="1"/>
  <c r="Q171" i="8" s="1" a="1"/>
  <c r="V171" i="8" s="1" a="1"/>
  <c r="R175" i="8" a="1"/>
  <c r="Q175" i="8" s="1" a="1"/>
  <c r="T182" i="8" a="1"/>
  <c r="R178" i="8" a="1"/>
  <c r="Q178" i="8" s="1" a="1"/>
  <c r="V178" i="8" s="1" a="1"/>
  <c r="S94" i="8" a="1"/>
  <c r="S21" i="8" a="1"/>
  <c r="T45" i="8" a="1"/>
  <c r="R189" i="8" a="1"/>
  <c r="Q189" i="8" s="1" a="1"/>
  <c r="T224" i="8" a="1"/>
  <c r="T235" i="8" a="1"/>
  <c r="S73" i="8" a="1"/>
  <c r="S161" i="8" a="1"/>
  <c r="R205" i="8" a="1"/>
  <c r="Q205" i="8" s="1" a="1"/>
  <c r="T241" i="8" a="1"/>
  <c r="S28" i="8" a="1"/>
  <c r="S55" i="8" a="1"/>
  <c r="S178" i="8" a="1"/>
  <c r="S51" i="8" a="1"/>
  <c r="S45" i="8" a="1"/>
  <c r="R38" i="8" a="1"/>
  <c r="Q38" i="8" s="1" a="1"/>
  <c r="V38" i="8" s="1" a="1"/>
  <c r="R55" i="8" a="1"/>
  <c r="Q55" i="8" s="1" a="1"/>
  <c r="S38" i="8" a="1"/>
  <c r="R85" i="8" a="1"/>
  <c r="Q85" i="8" s="1" a="1"/>
  <c r="V85" i="8" s="1" a="1"/>
  <c r="S14" i="8" a="1"/>
  <c r="T161" i="8" a="1"/>
  <c r="S34" i="8" a="1"/>
  <c r="S32" i="8" a="1"/>
  <c r="S30" i="8" a="1"/>
  <c r="S26" i="8" a="1"/>
  <c r="T94" i="8" a="1"/>
  <c r="T85" i="8" a="1"/>
  <c r="T54" i="8" a="1"/>
  <c r="R161" i="8" a="1"/>
  <c r="Q161" i="8" s="1" a="1"/>
  <c r="V161" i="8" s="1" a="1"/>
  <c r="T8" i="7" a="1"/>
  <c r="S18" i="7" a="1"/>
  <c r="R18" i="7" a="1"/>
  <c r="S20" i="7" a="1"/>
  <c r="R20" i="7" a="1"/>
  <c r="S21" i="7" a="1"/>
  <c r="R21" i="7" a="1"/>
  <c r="S23" i="7" a="1"/>
  <c r="R23" i="7" a="1"/>
  <c r="R24" i="7" a="1"/>
  <c r="S24" i="7" a="1"/>
  <c r="R27" i="7" a="1"/>
  <c r="S27" i="7" a="1"/>
  <c r="S29" i="7" a="1"/>
  <c r="R29" i="7" a="1"/>
  <c r="S32" i="7" a="1"/>
  <c r="R32" i="7" a="1"/>
  <c r="S36" i="7" a="1"/>
  <c r="R36" i="7" a="1"/>
  <c r="S38" i="7" a="1"/>
  <c r="R38" i="7" a="1"/>
  <c r="S47" i="7" a="1"/>
  <c r="R47" i="7" a="1"/>
  <c r="R49" i="7" a="1"/>
  <c r="S49" i="7" a="1"/>
  <c r="R50" i="7" a="1"/>
  <c r="S50" i="7" a="1"/>
  <c r="S54" i="7" a="1"/>
  <c r="R54" i="7" a="1"/>
  <c r="S57" i="7" a="1"/>
  <c r="R57" i="7" a="1"/>
  <c r="S58" i="7" a="1"/>
  <c r="R58" i="7" a="1"/>
  <c r="S60" i="7" a="1"/>
  <c r="R60" i="7" a="1"/>
  <c r="S62" i="7" a="1"/>
  <c r="R62" i="7" a="1"/>
  <c r="R68" i="7" a="1"/>
  <c r="S68" i="7" a="1"/>
  <c r="S72" i="7" a="1"/>
  <c r="R72" i="7" a="1"/>
  <c r="R74" i="7" a="1"/>
  <c r="S74" i="7" a="1"/>
  <c r="S76" i="7" a="1"/>
  <c r="R76" i="7" a="1"/>
  <c r="R77" i="7" a="1"/>
  <c r="S77" i="7" a="1"/>
  <c r="R80" i="7" a="1"/>
  <c r="S80" i="7" a="1"/>
  <c r="S82" i="7" a="1"/>
  <c r="R82" i="7" a="1"/>
  <c r="R86" i="7" a="1"/>
  <c r="S86" i="7" a="1"/>
  <c r="R89" i="7" a="1"/>
  <c r="S89" i="7" a="1"/>
  <c r="T164" i="7" a="1"/>
  <c r="S164" i="7" a="1"/>
  <c r="T165" i="7" a="1"/>
  <c r="S165" i="7" a="1"/>
  <c r="T171" i="7" a="1"/>
  <c r="S171" i="7" a="1"/>
  <c r="T174" i="7" a="1"/>
  <c r="S174" i="7" a="1"/>
  <c r="S188" i="7" a="1"/>
  <c r="T188" i="7" a="1"/>
  <c r="T191" i="7" a="1"/>
  <c r="S191" i="7" a="1"/>
  <c r="T176" i="7" a="1"/>
  <c r="S114" i="7" a="1"/>
  <c r="S166" i="7" a="1"/>
  <c r="S15" i="7" a="1"/>
  <c r="S17" i="7" a="1"/>
  <c r="S19" i="7" a="1"/>
  <c r="S181" i="7" a="1"/>
  <c r="S26" i="7" a="1"/>
  <c r="S105" i="7" a="1"/>
  <c r="S40" i="7" a="1"/>
  <c r="S42" i="7" a="1"/>
  <c r="T181" i="7" a="1"/>
  <c r="R19" i="7" a="1"/>
  <c r="S55" i="7" a="1"/>
  <c r="S56" i="7" a="1"/>
  <c r="S59" i="7" a="1"/>
  <c r="R28" i="7" a="1"/>
  <c r="S65" i="7" a="1"/>
  <c r="T163" i="7" a="1"/>
  <c r="T162" i="7" a="1"/>
  <c r="R31" i="7" a="1"/>
  <c r="R35" i="7" a="1"/>
  <c r="R39" i="7" a="1"/>
  <c r="S91" i="7" a="1"/>
  <c r="S100" i="7" a="1"/>
  <c r="R46" i="7" a="1"/>
  <c r="S52" i="7" a="1"/>
  <c r="S13" i="7" a="1"/>
  <c r="S163" i="7" a="1"/>
  <c r="R71" i="7" a="1"/>
  <c r="S8" i="7" a="1"/>
  <c r="S176" i="7" a="1"/>
  <c r="S185" i="7" a="1"/>
  <c r="R8" i="7" a="1"/>
  <c r="R13" i="7" a="1"/>
  <c r="R15" i="7" a="1"/>
  <c r="R78" i="7" a="1"/>
  <c r="T154" i="7" a="1"/>
  <c r="R22" i="7" a="1"/>
  <c r="R25" i="7" a="1"/>
  <c r="R40" i="7" a="1"/>
  <c r="R45" i="7" a="1"/>
  <c r="R48" i="7" a="1"/>
  <c r="R52" i="7" a="1"/>
  <c r="R55" i="7" a="1"/>
  <c r="T151" i="7" a="1"/>
  <c r="T132" i="7" a="1"/>
  <c r="T145" i="7" a="1"/>
  <c r="S73" i="7" a="1"/>
  <c r="R73" i="7" a="1"/>
  <c r="T160" i="7" a="1"/>
  <c r="R84" i="7" a="1"/>
  <c r="S34" i="7" a="1"/>
  <c r="S8" i="13" a="1"/>
  <c r="V8" i="13" a="1"/>
  <c r="P4" i="13" s="1"/>
  <c r="T8" i="13" a="1"/>
  <c r="R8" i="13" a="1"/>
  <c r="N4" i="13" s="1"/>
  <c r="R9" i="13" a="1"/>
  <c r="Q9" i="13" s="1" a="1"/>
  <c r="S9" i="13" a="1"/>
  <c r="U9" i="13" a="1"/>
  <c r="O4" i="13" s="1"/>
  <c r="V9" i="13" a="1"/>
  <c r="T9" i="13" a="1"/>
  <c r="R10" i="13" a="1"/>
  <c r="Q10" i="13" s="1" a="1"/>
  <c r="S10" i="13" a="1"/>
  <c r="U10" i="13" a="1"/>
  <c r="S11" i="13" a="1"/>
  <c r="R11" i="13" a="1"/>
  <c r="Q11" i="13" s="1" a="1"/>
  <c r="V11" i="13" a="1"/>
  <c r="U11" i="13" a="1"/>
  <c r="T11" i="13" a="1"/>
  <c r="S12" i="13" a="1"/>
  <c r="R12" i="13" a="1"/>
  <c r="Q12" i="13" s="1" a="1"/>
  <c r="T12" i="13" a="1"/>
  <c r="U12" i="13" a="1"/>
  <c r="S13" i="13" a="1"/>
  <c r="U13" i="13" a="1"/>
  <c r="V13" i="13" a="1"/>
  <c r="T13" i="13" a="1"/>
  <c r="R13" i="13" a="1"/>
  <c r="Q13" i="13" s="1" a="1"/>
  <c r="S14" i="13" a="1"/>
  <c r="V14" i="13" a="1"/>
  <c r="R14" i="13" a="1"/>
  <c r="T14" i="13" a="1"/>
  <c r="U14" i="13" a="1"/>
  <c r="Q14" i="13" a="1"/>
  <c r="U15" i="13" a="1"/>
  <c r="S15" i="13" a="1"/>
  <c r="T15" i="13" a="1"/>
  <c r="V15" i="13" a="1"/>
  <c r="R15" i="13" a="1"/>
  <c r="Q15" i="13" s="1" a="1"/>
  <c r="V16" i="13" a="1"/>
  <c r="R16" i="13" a="1"/>
  <c r="T16" i="13" a="1"/>
  <c r="U16" i="13" a="1"/>
  <c r="S16" i="13" a="1"/>
  <c r="Q16" i="13" a="1"/>
  <c r="U17" i="13" a="1"/>
  <c r="V17" i="13" a="1"/>
  <c r="T17" i="13" a="1"/>
  <c r="S17" i="13" a="1"/>
  <c r="R17" i="13" a="1"/>
  <c r="Q17" i="13" s="1" a="1"/>
  <c r="T18" i="13" a="1"/>
  <c r="U18" i="13" a="1"/>
  <c r="S18" i="13" a="1"/>
  <c r="V18" i="13" a="1"/>
  <c r="R18" i="13" a="1"/>
  <c r="Q18" i="13" s="1" a="1"/>
  <c r="V19" i="13" a="1"/>
  <c r="T19" i="13" a="1"/>
  <c r="R19" i="13" a="1"/>
  <c r="S19" i="13" a="1"/>
  <c r="U19" i="13" a="1"/>
  <c r="Q19" i="13" a="1"/>
  <c r="U20" i="13" a="1"/>
  <c r="S20" i="13" a="1"/>
  <c r="V20" i="13" a="1"/>
  <c r="T20" i="13" a="1"/>
  <c r="R20" i="13" a="1"/>
  <c r="Q20" i="13" s="1" a="1"/>
  <c r="S21" i="13" a="1"/>
  <c r="U21" i="13" a="1"/>
  <c r="V21" i="13" a="1"/>
  <c r="T21" i="13" a="1"/>
  <c r="R21" i="13" a="1"/>
  <c r="Q21" i="13" s="1" a="1"/>
  <c r="S22" i="13" a="1"/>
  <c r="R22" i="13" a="1"/>
  <c r="V22" i="13" a="1"/>
  <c r="U22" i="13" a="1"/>
  <c r="T22" i="13" a="1"/>
  <c r="Q22" i="13" a="1"/>
  <c r="T23" i="13" a="1"/>
  <c r="S23" i="13" a="1"/>
  <c r="U23" i="13" a="1"/>
  <c r="V23" i="13" a="1"/>
  <c r="R23" i="13" a="1"/>
  <c r="Q23" i="13" s="1" a="1"/>
  <c r="V24" i="13" a="1"/>
  <c r="R24" i="13" a="1"/>
  <c r="T24" i="13" a="1"/>
  <c r="S24" i="13" a="1"/>
  <c r="Q24" i="13" a="1"/>
  <c r="U24" i="13" a="1"/>
  <c r="T25" i="13" a="1"/>
  <c r="V25" i="13" a="1"/>
  <c r="S25" i="13" a="1"/>
  <c r="U25" i="13" a="1"/>
  <c r="R25" i="13" a="1"/>
  <c r="Q25" i="13" s="1" a="1"/>
  <c r="S26" i="13" a="1"/>
  <c r="V26" i="13" a="1"/>
  <c r="T26" i="13" a="1"/>
  <c r="R26" i="13" a="1"/>
  <c r="Q26" i="13" a="1"/>
  <c r="U26" i="13" a="1"/>
  <c r="T27" i="13" a="1"/>
  <c r="S27" i="13" a="1"/>
  <c r="V27" i="13" a="1"/>
  <c r="U27" i="13" a="1"/>
  <c r="R27" i="13" a="1"/>
  <c r="Q27" i="13" s="1" a="1"/>
  <c r="U28" i="13" a="1"/>
  <c r="T28" i="13" a="1"/>
  <c r="S28" i="13" a="1"/>
  <c r="V28" i="13" a="1"/>
  <c r="R28" i="13" a="1"/>
  <c r="Q28" i="13" s="1" a="1"/>
  <c r="S29" i="13" a="1"/>
  <c r="U29" i="13" a="1"/>
  <c r="V29" i="13" a="1"/>
  <c r="T29" i="13" a="1"/>
  <c r="R29" i="13" a="1"/>
  <c r="Q29" i="13" s="1" a="1"/>
  <c r="U30" i="13" a="1"/>
  <c r="V30" i="13" a="1"/>
  <c r="T30" i="13" a="1"/>
  <c r="S30" i="13" a="1"/>
  <c r="R30" i="13" a="1"/>
  <c r="Q30" i="13" s="1" a="1"/>
  <c r="T31" i="13" a="1"/>
  <c r="S31" i="13" a="1"/>
  <c r="U31" i="13" a="1"/>
  <c r="V31" i="13" a="1"/>
  <c r="R31" i="13" a="1"/>
  <c r="Q31" i="13" s="1" a="1"/>
  <c r="U32" i="13" a="1"/>
  <c r="R32" i="13" a="1"/>
  <c r="S32" i="13" a="1"/>
  <c r="Q32" i="13" a="1"/>
  <c r="T32" i="13" a="1"/>
  <c r="V32" i="13" a="1"/>
  <c r="U33" i="13" a="1"/>
  <c r="S33" i="13" a="1"/>
  <c r="T33" i="13" a="1"/>
  <c r="V33" i="13" a="1"/>
  <c r="R33" i="13" a="1"/>
  <c r="Q33" i="13" s="1" a="1"/>
  <c r="T34" i="13" a="1"/>
  <c r="S34" i="13" a="1"/>
  <c r="R34" i="13" a="1"/>
  <c r="Q34" i="13" s="1" a="1"/>
  <c r="U34" i="13" a="1"/>
  <c r="V34" i="13" a="1"/>
  <c r="T35" i="13" a="1"/>
  <c r="U35" i="13" a="1"/>
  <c r="S35" i="13" a="1"/>
  <c r="V35" i="13" a="1"/>
  <c r="R35" i="13" a="1"/>
  <c r="Q35" i="13" s="1" a="1"/>
  <c r="U36" i="13" a="1"/>
  <c r="S36" i="13" a="1"/>
  <c r="V36" i="13" a="1"/>
  <c r="T36" i="13" a="1"/>
  <c r="R36" i="13" a="1"/>
  <c r="Q36" i="13" s="1" a="1"/>
  <c r="R37" i="13" a="1"/>
  <c r="Q37" i="13" s="1" a="1"/>
  <c r="V37" i="13" a="1"/>
  <c r="U37" i="13" a="1"/>
  <c r="T37" i="13" a="1"/>
  <c r="S37" i="13" a="1"/>
  <c r="S38" i="13" a="1"/>
  <c r="T38" i="13" a="1"/>
  <c r="V38" i="13" a="1"/>
  <c r="U38" i="13" a="1"/>
  <c r="R38" i="13" a="1"/>
  <c r="Q38" i="13" s="1" a="1"/>
  <c r="U39" i="13" a="1"/>
  <c r="V39" i="13" a="1"/>
  <c r="T39" i="13" a="1"/>
  <c r="R39" i="13" a="1"/>
  <c r="Q39" i="13" s="1" a="1"/>
  <c r="S39" i="13" a="1"/>
  <c r="S40" i="13" a="1"/>
  <c r="T40" i="13" a="1"/>
  <c r="R40" i="13" a="1"/>
  <c r="Q40" i="13" s="1" a="1"/>
  <c r="V40" i="13" a="1"/>
  <c r="U40" i="13" a="1"/>
  <c r="S41" i="13" a="1"/>
  <c r="T41" i="13" a="1"/>
  <c r="V41" i="13" a="1"/>
  <c r="U41" i="13" a="1"/>
  <c r="R41" i="13" a="1"/>
  <c r="Q41" i="13" s="1" a="1"/>
  <c r="W21" i="9" a="1"/>
  <c r="V21" i="9" a="1"/>
  <c r="S21" i="9" a="1"/>
  <c r="W45" i="9" a="1"/>
  <c r="T45" i="9" a="1"/>
  <c r="U45" i="9" a="1"/>
  <c r="W53" i="9" a="1"/>
  <c r="U53" i="9" a="1"/>
  <c r="S53" i="9" a="1"/>
  <c r="R53" i="9" s="1" a="1"/>
  <c r="W64" i="9" a="1"/>
  <c r="V64" i="9" a="1"/>
  <c r="T64" i="9" a="1"/>
  <c r="S64" i="9" a="1"/>
  <c r="R64" i="9" s="1" a="1"/>
  <c r="V8" i="9" a="1"/>
  <c r="P4" i="9" s="1"/>
  <c r="W8" i="9" a="1"/>
  <c r="Q4" i="9" s="1"/>
  <c r="S8" i="9" a="1"/>
  <c r="O4" i="9" s="1"/>
  <c r="R8" i="9" a="1"/>
  <c r="U8" i="9" a="1"/>
  <c r="T8" i="9" a="1"/>
  <c r="W10" i="9" a="1"/>
  <c r="S10" i="9" a="1"/>
  <c r="R10" i="9" s="1" a="1"/>
  <c r="U10" i="9" a="1"/>
  <c r="S12" i="9" a="1"/>
  <c r="R12" i="9" s="1" a="1"/>
  <c r="U12" i="9" a="1"/>
  <c r="T12" i="9" a="1"/>
  <c r="V12" i="9" a="1"/>
  <c r="W12" i="9" a="1"/>
  <c r="T15" i="9" a="1"/>
  <c r="U15" i="9" a="1"/>
  <c r="V15" i="9" a="1"/>
  <c r="S15" i="9" a="1"/>
  <c r="R15" i="9" s="1" a="1"/>
  <c r="W15" i="9" a="1"/>
  <c r="T16" i="9" a="1"/>
  <c r="W16" i="9" a="1"/>
  <c r="U16" i="9" a="1"/>
  <c r="S16" i="9" a="1"/>
  <c r="R16" i="9" s="1" a="1"/>
  <c r="T17" i="9" a="1"/>
  <c r="S17" i="9" a="1"/>
  <c r="R17" i="9" a="1"/>
  <c r="U17" i="9" a="1"/>
  <c r="V17" i="9" a="1"/>
  <c r="W17" i="9" a="1"/>
  <c r="U19" i="9" a="1"/>
  <c r="S19" i="9" a="1"/>
  <c r="R19" i="9" s="1" a="1"/>
  <c r="V19" i="9" a="1"/>
  <c r="T19" i="9" a="1"/>
  <c r="W20" i="9" a="1"/>
  <c r="U20" i="9" a="1"/>
  <c r="V20" i="9" a="1"/>
  <c r="S20" i="9" a="1"/>
  <c r="R20" i="9" s="1" a="1"/>
  <c r="T20" i="9" a="1"/>
  <c r="U21" i="9" a="1"/>
  <c r="T21" i="9" a="1"/>
  <c r="R21" i="9" a="1"/>
  <c r="S22" i="9" a="1"/>
  <c r="R22" i="9" s="1" a="1"/>
  <c r="T22" i="9" a="1"/>
  <c r="W22" i="9" a="1"/>
  <c r="U22" i="9" a="1"/>
  <c r="V22" i="9" a="1"/>
  <c r="U24" i="9" a="1"/>
  <c r="R24" i="9" a="1"/>
  <c r="T24" i="9" a="1"/>
  <c r="V25" i="9" a="1"/>
  <c r="W25" i="9" a="1"/>
  <c r="U25" i="9" a="1"/>
  <c r="T25" i="9" a="1"/>
  <c r="S25" i="9" a="1"/>
  <c r="R25" i="9" s="1" a="1"/>
  <c r="V28" i="9" a="1"/>
  <c r="T28" i="9" a="1"/>
  <c r="U28" i="9" a="1"/>
  <c r="W28" i="9" a="1"/>
  <c r="S28" i="9" a="1"/>
  <c r="R28" i="9" s="1" a="1"/>
  <c r="W29" i="9" a="1"/>
  <c r="S29" i="9" a="1"/>
  <c r="R29" i="9" s="1" a="1"/>
  <c r="V29" i="9" a="1"/>
  <c r="U29" i="9" a="1"/>
  <c r="T29" i="9" a="1"/>
  <c r="T30" i="9" a="1"/>
  <c r="S30" i="9" a="1"/>
  <c r="R30" i="9" s="1" a="1"/>
  <c r="W30" i="9" a="1"/>
  <c r="U30" i="9" a="1"/>
  <c r="V30" i="9" a="1"/>
  <c r="T32" i="9" a="1"/>
  <c r="W32" i="9" a="1"/>
  <c r="V32" i="9" a="1"/>
  <c r="S32" i="9" a="1"/>
  <c r="R32" i="9" s="1" a="1"/>
  <c r="U32" i="9" a="1"/>
  <c r="S33" i="9" a="1"/>
  <c r="R33" i="9" a="1"/>
  <c r="T33" i="9" a="1"/>
  <c r="T34" i="9" a="1"/>
  <c r="V34" i="9" a="1"/>
  <c r="U34" i="9" a="1"/>
  <c r="W34" i="9" a="1"/>
  <c r="S34" i="9" a="1"/>
  <c r="R34" i="9" s="1" a="1"/>
  <c r="T35" i="9" a="1"/>
  <c r="U35" i="9" a="1"/>
  <c r="V35" i="9" a="1"/>
  <c r="S35" i="9" a="1"/>
  <c r="R35" i="9" s="1" a="1"/>
  <c r="S36" i="9" a="1"/>
  <c r="R36" i="9" a="1"/>
  <c r="T36" i="9" a="1"/>
  <c r="U38" i="9" a="1"/>
  <c r="V38" i="9" a="1"/>
  <c r="W38" i="9" a="1"/>
  <c r="T38" i="9" a="1"/>
  <c r="S38" i="9" a="1"/>
  <c r="R38" i="9" s="1" a="1"/>
  <c r="S39" i="9" a="1"/>
  <c r="R39" i="9" s="1" a="1"/>
  <c r="T39" i="9" a="1"/>
  <c r="U39" i="9" a="1"/>
  <c r="W40" i="9" a="1"/>
  <c r="V40" i="9" a="1"/>
  <c r="S40" i="9" a="1"/>
  <c r="R40" i="9" s="1" a="1"/>
  <c r="T40" i="9" a="1"/>
  <c r="U40" i="9" a="1"/>
  <c r="T41" i="9" a="1"/>
  <c r="R41" i="9" a="1"/>
  <c r="T42" i="9" a="1"/>
  <c r="V42" i="9" a="1"/>
  <c r="W42" i="9" a="1"/>
  <c r="R42" i="9" a="1"/>
  <c r="U42" i="9" a="1"/>
  <c r="T44" i="9" a="1"/>
  <c r="W44" i="9" a="1"/>
  <c r="V44" i="9" a="1"/>
  <c r="S44" i="9" a="1"/>
  <c r="R44" i="9" s="1" a="1"/>
  <c r="U44" i="9" a="1"/>
  <c r="V45" i="9" a="1"/>
  <c r="S45" i="9" a="1"/>
  <c r="R45" i="9" s="1" a="1"/>
  <c r="T46" i="9" a="1"/>
  <c r="U46" i="9" a="1"/>
  <c r="T48" i="9" a="1"/>
  <c r="W48" i="9" a="1"/>
  <c r="V48" i="9" a="1"/>
  <c r="S48" i="9" a="1"/>
  <c r="R48" i="9" s="1" a="1"/>
  <c r="U48" i="9" a="1"/>
  <c r="S49" i="9" a="1"/>
  <c r="V49" i="9" a="1"/>
  <c r="W49" i="9" a="1"/>
  <c r="R49" i="9" a="1"/>
  <c r="U49" i="9" a="1"/>
  <c r="T49" i="9" a="1"/>
  <c r="S50" i="9" a="1"/>
  <c r="R50" i="9" s="1" a="1"/>
  <c r="W50" i="9" a="1"/>
  <c r="T50" i="9" a="1"/>
  <c r="V50" i="9" a="1"/>
  <c r="U50" i="9" a="1"/>
  <c r="U51" i="9" a="1"/>
  <c r="S51" i="9" a="1"/>
  <c r="R51" i="9" s="1" a="1"/>
  <c r="W52" i="9" a="1"/>
  <c r="U52" i="9" a="1"/>
  <c r="T52" i="9" a="1"/>
  <c r="V52" i="9" a="1"/>
  <c r="V54" i="9" a="1"/>
  <c r="T54" i="9" a="1"/>
  <c r="U54" i="9" a="1"/>
  <c r="S54" i="9" a="1"/>
  <c r="R54" i="9" s="1" a="1"/>
  <c r="W54" i="9" a="1"/>
  <c r="V56" i="9" a="1"/>
  <c r="U56" i="9" a="1"/>
  <c r="W56" i="9" a="1"/>
  <c r="T56" i="9" a="1"/>
  <c r="S56" i="9" a="1"/>
  <c r="R56" i="9" s="1" a="1"/>
  <c r="U59" i="9" a="1"/>
  <c r="W59" i="9" a="1"/>
  <c r="T59" i="9" a="1"/>
  <c r="V59" i="9" a="1"/>
  <c r="S59" i="9" a="1"/>
  <c r="R59" i="9" s="1" a="1"/>
  <c r="V60" i="9" a="1"/>
  <c r="U60" i="9" a="1"/>
  <c r="T60" i="9" a="1"/>
  <c r="W60" i="9" a="1"/>
  <c r="S60" i="9" a="1"/>
  <c r="R60" i="9" s="1" a="1"/>
  <c r="U62" i="9" a="1"/>
  <c r="V62" i="9" a="1"/>
  <c r="T62" i="9" a="1"/>
  <c r="W62" i="9" a="1"/>
  <c r="S62" i="9" a="1"/>
  <c r="R62" i="9" s="1" a="1"/>
  <c r="U63" i="9" a="1"/>
  <c r="T63" i="9" a="1"/>
  <c r="V63" i="9" a="1"/>
  <c r="S63" i="9" a="1"/>
  <c r="R63" i="9" s="1" a="1"/>
  <c r="W63" i="9" a="1"/>
  <c r="U43" i="9" a="1"/>
  <c r="U37" i="9" a="1"/>
  <c r="U31" i="9" a="1"/>
  <c r="U27" i="9" a="1"/>
  <c r="S43" i="9" a="1"/>
  <c r="R43" i="9" s="1" a="1"/>
  <c r="S27" i="9" a="1"/>
  <c r="R27" i="9" s="1" a="1"/>
  <c r="U13" i="9" a="1"/>
  <c r="S13" i="9" a="1"/>
  <c r="R13" i="9" s="1" a="1"/>
  <c r="V61" i="9" a="1"/>
  <c r="V53" i="9" a="1"/>
  <c r="V43" i="9" a="1"/>
  <c r="V37" i="9" a="1"/>
  <c r="V31" i="9" a="1"/>
  <c r="S47" i="9" a="1"/>
  <c r="R47" i="9" s="1" a="1"/>
  <c r="V9" i="9" a="1"/>
  <c r="R18" i="9" a="1"/>
  <c r="T53" i="9" a="1"/>
  <c r="V23" i="9" a="1"/>
  <c r="T43" i="9" a="1"/>
  <c r="T27" i="9" a="1"/>
  <c r="T13" i="9" a="1"/>
  <c r="U57" i="9" a="1"/>
  <c r="W57" i="9" a="1"/>
  <c r="S8" i="8" a="1"/>
  <c r="T8" i="8" a="1"/>
  <c r="R8" i="8" a="1"/>
  <c r="S9" i="8" a="1"/>
  <c r="R9" i="8" a="1"/>
  <c r="Q9" i="8" s="1" a="1"/>
  <c r="T9" i="8" a="1"/>
  <c r="S10" i="8" a="1"/>
  <c r="R10" i="8" a="1"/>
  <c r="Q10" i="8" a="1"/>
  <c r="T10" i="8" a="1"/>
  <c r="S11" i="8" a="1"/>
  <c r="T11" i="8" a="1"/>
  <c r="R11" i="8" a="1"/>
  <c r="Q11" i="8" s="1" a="1"/>
  <c r="R12" i="8" a="1"/>
  <c r="Q12" i="8" s="1" a="1"/>
  <c r="S12" i="8" a="1"/>
  <c r="T12" i="8" a="1"/>
  <c r="S13" i="8" a="1"/>
  <c r="T13" i="8" a="1"/>
  <c r="R13" i="8" a="1"/>
  <c r="Q13" i="8" s="1" a="1"/>
  <c r="T14" i="8" a="1"/>
  <c r="R15" i="8" a="1"/>
  <c r="Q15" i="8" s="1" a="1"/>
  <c r="T15" i="8" a="1"/>
  <c r="S15" i="8" a="1"/>
  <c r="T16" i="8" a="1"/>
  <c r="S16" i="8" a="1"/>
  <c r="R16" i="8" a="1"/>
  <c r="Q16" i="8" s="1" a="1"/>
  <c r="T17" i="8" a="1"/>
  <c r="S17" i="8" a="1"/>
  <c r="R17" i="8" a="1"/>
  <c r="Q17" i="8" s="1" a="1"/>
  <c r="S18" i="8" a="1"/>
  <c r="R18" i="8" a="1"/>
  <c r="T18" i="8" a="1"/>
  <c r="Q18" i="8" a="1"/>
  <c r="S19" i="8" a="1"/>
  <c r="U19" i="8" a="1"/>
  <c r="R20" i="8" a="1"/>
  <c r="Q20" i="8" s="1" a="1"/>
  <c r="T20" i="8" a="1"/>
  <c r="S20" i="8" a="1"/>
  <c r="R21" i="8" a="1"/>
  <c r="Q21" i="8" s="1" a="1"/>
  <c r="T21" i="8" a="1"/>
  <c r="T22" i="8" a="1"/>
  <c r="S23" i="8" a="1"/>
  <c r="T23" i="8" a="1"/>
  <c r="R23" i="8" a="1"/>
  <c r="Q23" i="8" s="1" a="1"/>
  <c r="R24" i="8" a="1"/>
  <c r="Q24" i="8" s="1" a="1"/>
  <c r="S24" i="8" a="1"/>
  <c r="T24" i="8" a="1"/>
  <c r="S25" i="8" a="1"/>
  <c r="R25" i="8" a="1"/>
  <c r="Q25" i="8" s="1" a="1"/>
  <c r="T25" i="8" a="1"/>
  <c r="T26" i="8" a="1"/>
  <c r="R27" i="8" a="1"/>
  <c r="S27" i="8" a="1"/>
  <c r="Q27" i="8" a="1"/>
  <c r="T27" i="8" a="1"/>
  <c r="R28" i="8" a="1"/>
  <c r="Q28" i="8" s="1" a="1"/>
  <c r="V28" i="8" s="1" a="1"/>
  <c r="U28" i="8" a="1"/>
  <c r="T29" i="8" a="1"/>
  <c r="S29" i="8" a="1"/>
  <c r="R29" i="8" a="1"/>
  <c r="Q29" i="8" s="1" a="1"/>
  <c r="T30" i="8" a="1"/>
  <c r="S31" i="8" a="1"/>
  <c r="T31" i="8" a="1"/>
  <c r="R31" i="8" a="1"/>
  <c r="Q31" i="8" s="1" a="1"/>
  <c r="T32" i="8" a="1"/>
  <c r="R32" i="8" a="1"/>
  <c r="Q32" i="8" s="1" a="1"/>
  <c r="S33" i="8" a="1"/>
  <c r="R33" i="8" a="1"/>
  <c r="Q33" i="8" s="1" a="1"/>
  <c r="T33" i="8" a="1"/>
  <c r="T34" i="8" a="1"/>
  <c r="R35" i="8" a="1"/>
  <c r="Q35" i="8" s="1" a="1"/>
  <c r="V35" i="8" s="1" a="1"/>
  <c r="T35" i="8" a="1"/>
  <c r="S35" i="8" a="1"/>
  <c r="U35" i="8" a="1"/>
  <c r="T36" i="8" a="1"/>
  <c r="S36" i="8" a="1"/>
  <c r="R36" i="8" a="1"/>
  <c r="Q36" i="8" a="1"/>
  <c r="S37" i="8" a="1"/>
  <c r="T37" i="8" a="1"/>
  <c r="R37" i="8" a="1"/>
  <c r="Q37" i="8" s="1" a="1"/>
  <c r="T38" i="8" a="1"/>
  <c r="U38" i="8" a="1"/>
  <c r="S39" i="8" a="1"/>
  <c r="T40" i="8" a="1"/>
  <c r="S40" i="8" a="1"/>
  <c r="R40" i="8" a="1"/>
  <c r="Q40" i="8" s="1" a="1"/>
  <c r="S41" i="8" a="1"/>
  <c r="T41" i="8" a="1"/>
  <c r="R41" i="8" a="1"/>
  <c r="Q41" i="8" s="1" a="1"/>
  <c r="S42" i="8" a="1"/>
  <c r="T42" i="8" a="1"/>
  <c r="R42" i="8" a="1"/>
  <c r="Q42" i="8" s="1" a="1"/>
  <c r="R43" i="8" a="1"/>
  <c r="Q43" i="8" s="1" a="1"/>
  <c r="S43" i="8" a="1"/>
  <c r="S44" i="8" a="1"/>
  <c r="Q44" i="8" a="1"/>
  <c r="R44" i="8" a="1"/>
  <c r="T44" i="8" a="1"/>
  <c r="R46" i="8" a="1"/>
  <c r="Q46" i="8" s="1" a="1"/>
  <c r="T46" i="8" a="1"/>
  <c r="S46" i="8" a="1"/>
  <c r="T47" i="8" a="1"/>
  <c r="S47" i="8" a="1"/>
  <c r="R47" i="8" a="1"/>
  <c r="Q47" i="8" s="1" a="1"/>
  <c r="R48" i="8" a="1"/>
  <c r="Q48" i="8" s="1" a="1"/>
  <c r="T48" i="8" a="1"/>
  <c r="S48" i="8" a="1"/>
  <c r="S49" i="8" a="1"/>
  <c r="R49" i="8" a="1"/>
  <c r="Q49" i="8" s="1" a="1"/>
  <c r="T49" i="8" a="1"/>
  <c r="T50" i="8" a="1"/>
  <c r="S50" i="8" a="1"/>
  <c r="R50" i="8" a="1"/>
  <c r="Q50" i="8" s="1" a="1"/>
  <c r="S52" i="8" a="1"/>
  <c r="R52" i="8" a="1"/>
  <c r="Q52" i="8" s="1" a="1"/>
  <c r="T52" i="8" a="1"/>
  <c r="T53" i="8" a="1"/>
  <c r="R53" i="8" a="1"/>
  <c r="Q53" i="8" s="1" a="1"/>
  <c r="S53" i="8" a="1"/>
  <c r="R54" i="8" a="1"/>
  <c r="Q54" i="8" s="1" a="1"/>
  <c r="S54" i="8" a="1"/>
  <c r="R56" i="8" a="1"/>
  <c r="S56" i="8" a="1"/>
  <c r="Q56" i="8" a="1"/>
  <c r="T56" i="8" a="1"/>
  <c r="T57" i="8" a="1"/>
  <c r="S57" i="8" a="1"/>
  <c r="R57" i="8" a="1"/>
  <c r="Q57" i="8" s="1" a="1"/>
  <c r="R58" i="8" a="1"/>
  <c r="Q58" i="8" s="1" a="1"/>
  <c r="S58" i="8" a="1"/>
  <c r="T58" i="8" a="1"/>
  <c r="T59" i="8" a="1"/>
  <c r="R59" i="8" a="1"/>
  <c r="Q59" i="8" s="1" a="1"/>
  <c r="R60" i="8" a="1"/>
  <c r="Q60" i="8" s="1" a="1"/>
  <c r="S60" i="8" a="1"/>
  <c r="T60" i="8" a="1"/>
  <c r="R62" i="8" a="1"/>
  <c r="Q62" i="8" s="1" a="1"/>
  <c r="U62" i="8" s="1" a="1"/>
  <c r="S62" i="8" a="1"/>
  <c r="V62" i="8" a="1"/>
  <c r="T62" i="8" a="1"/>
  <c r="T63" i="8" a="1"/>
  <c r="S63" i="8" a="1"/>
  <c r="R63" i="8" a="1"/>
  <c r="Q63" i="8" s="1" a="1"/>
  <c r="S64" i="8" a="1"/>
  <c r="R64" i="8" a="1"/>
  <c r="Q64" i="8" a="1"/>
  <c r="T64" i="8" a="1"/>
  <c r="T65" i="8" a="1"/>
  <c r="R65" i="8" a="1"/>
  <c r="Q65" i="8" s="1" a="1"/>
  <c r="S66" i="8" a="1"/>
  <c r="T66" i="8" a="1"/>
  <c r="R66" i="8" a="1"/>
  <c r="Q66" i="8" s="1" a="1"/>
  <c r="U67" i="8" a="1"/>
  <c r="S67" i="8" a="1"/>
  <c r="T67" i="8" a="1"/>
  <c r="S68" i="8" a="1"/>
  <c r="T68" i="8" a="1"/>
  <c r="R68" i="8" a="1"/>
  <c r="Q68" i="8" a="1"/>
  <c r="R69" i="8" a="1"/>
  <c r="Q69" i="8" s="1" a="1"/>
  <c r="S69" i="8" a="1"/>
  <c r="T69" i="8" a="1"/>
  <c r="R70" i="8" a="1"/>
  <c r="Q70" i="8" s="1" a="1"/>
  <c r="V70" i="8" s="1" a="1"/>
  <c r="U70" i="8" a="1"/>
  <c r="S70" i="8" a="1"/>
  <c r="T70" i="8" a="1"/>
  <c r="S71" i="8" a="1"/>
  <c r="T71" i="8" a="1"/>
  <c r="R71" i="8" a="1"/>
  <c r="Q71" i="8" s="1" a="1"/>
  <c r="T72" i="8" a="1"/>
  <c r="S72" i="8" a="1"/>
  <c r="R72" i="8" a="1"/>
  <c r="Q72" i="8" s="1" a="1"/>
  <c r="T74" i="8" a="1"/>
  <c r="R74" i="8" a="1"/>
  <c r="Q74" i="8" s="1" a="1"/>
  <c r="S74" i="8" a="1"/>
  <c r="R75" i="8" a="1"/>
  <c r="Q75" i="8" s="1" a="1"/>
  <c r="S75" i="8" a="1"/>
  <c r="T75" i="8" a="1"/>
  <c r="S76" i="8" a="1"/>
  <c r="R76" i="8" a="1"/>
  <c r="Q76" i="8" s="1" a="1"/>
  <c r="T76" i="8" a="1"/>
  <c r="T77" i="8" a="1"/>
  <c r="S77" i="8" a="1"/>
  <c r="R77" i="8" a="1"/>
  <c r="Q77" i="8" s="1" a="1"/>
  <c r="V77" i="8" a="1"/>
  <c r="U77" i="8" a="1"/>
  <c r="R78" i="8" a="1"/>
  <c r="Q78" i="8" s="1" a="1"/>
  <c r="S78" i="8" a="1"/>
  <c r="T78" i="8" a="1"/>
  <c r="S79" i="8" a="1"/>
  <c r="T79" i="8" a="1"/>
  <c r="T80" i="8" a="1"/>
  <c r="R80" i="8" a="1"/>
  <c r="Q80" i="8" s="1" a="1"/>
  <c r="V80" i="8" s="1" a="1"/>
  <c r="S81" i="8" a="1"/>
  <c r="R81" i="8" a="1"/>
  <c r="Q81" i="8" s="1" a="1"/>
  <c r="S82" i="8" a="1"/>
  <c r="R82" i="8" a="1"/>
  <c r="Q82" i="8" s="1" a="1"/>
  <c r="T82" i="8" a="1"/>
  <c r="R83" i="8" a="1"/>
  <c r="S83" i="8" a="1"/>
  <c r="Q83" i="8" a="1"/>
  <c r="V83" i="8" s="1" a="1"/>
  <c r="U83" i="8" a="1"/>
  <c r="T83" i="8" a="1"/>
  <c r="R84" i="8" a="1"/>
  <c r="Q84" i="8" s="1" a="1"/>
  <c r="V84" i="8" s="1" a="1"/>
  <c r="T84" i="8" a="1"/>
  <c r="S84" i="8" a="1"/>
  <c r="U84" i="8" a="1"/>
  <c r="R86" i="8" a="1"/>
  <c r="Q86" i="8" s="1" a="1"/>
  <c r="T86" i="8" a="1"/>
  <c r="S86" i="8" a="1"/>
  <c r="T87" i="8" a="1"/>
  <c r="R87" i="8" a="1"/>
  <c r="Q87" i="8" s="1" a="1"/>
  <c r="S87" i="8" a="1"/>
  <c r="R88" i="8" a="1"/>
  <c r="T88" i="8" a="1"/>
  <c r="Q88" i="8" a="1"/>
  <c r="U88" i="8" a="1"/>
  <c r="S88" i="8" a="1"/>
  <c r="V88" i="8" a="1"/>
  <c r="R89" i="8" a="1"/>
  <c r="Q89" i="8" s="1" a="1"/>
  <c r="V89" i="8" s="1" a="1"/>
  <c r="T89" i="8" a="1"/>
  <c r="U89" i="8" a="1"/>
  <c r="R90" i="8" a="1"/>
  <c r="Q90" i="8" s="1" a="1"/>
  <c r="U90" i="8" s="1" a="1"/>
  <c r="V90" i="8" a="1"/>
  <c r="S90" i="8" a="1"/>
  <c r="T90" i="8" a="1"/>
  <c r="R91" i="8" a="1"/>
  <c r="Q91" i="8" s="1" a="1"/>
  <c r="T91" i="8" a="1"/>
  <c r="S91" i="8" a="1"/>
  <c r="R92" i="8" a="1"/>
  <c r="T92" i="8" a="1"/>
  <c r="S92" i="8" a="1"/>
  <c r="Q92" i="8" a="1"/>
  <c r="R93" i="8" a="1"/>
  <c r="Q93" i="8" s="1" a="1"/>
  <c r="T93" i="8" a="1"/>
  <c r="T95" i="8" a="1"/>
  <c r="S95" i="8" a="1"/>
  <c r="R95" i="8" a="1"/>
  <c r="Q95" i="8" s="1" a="1"/>
  <c r="R96" i="8" a="1"/>
  <c r="Q96" i="8" s="1" a="1"/>
  <c r="U96" i="8" s="1" a="1"/>
  <c r="V96" i="8" a="1"/>
  <c r="S96" i="8" a="1"/>
  <c r="T96" i="8" a="1"/>
  <c r="T97" i="8" a="1"/>
  <c r="R97" i="8" a="1"/>
  <c r="Q97" i="8" s="1" a="1"/>
  <c r="S97" i="8" a="1"/>
  <c r="R98" i="8" a="1"/>
  <c r="Q98" i="8" s="1" a="1"/>
  <c r="V98" i="8" s="1" a="1"/>
  <c r="T98" i="8" a="1"/>
  <c r="S98" i="8" a="1"/>
  <c r="U98" i="8" a="1"/>
  <c r="R99" i="8" a="1"/>
  <c r="Q99" i="8" s="1" a="1"/>
  <c r="T99" i="8" a="1"/>
  <c r="S100" i="8" a="1"/>
  <c r="R100" i="8" a="1"/>
  <c r="Q100" i="8" s="1" a="1"/>
  <c r="T100" i="8" a="1"/>
  <c r="S101" i="8" a="1"/>
  <c r="R101" i="8" a="1"/>
  <c r="Q101" i="8" s="1" a="1"/>
  <c r="V101" i="8" s="1" a="1"/>
  <c r="T101" i="8" a="1"/>
  <c r="U101" i="8" a="1"/>
  <c r="S102" i="8" a="1"/>
  <c r="T102" i="8" a="1"/>
  <c r="R102" i="8" a="1"/>
  <c r="Q102" i="8" s="1" a="1"/>
  <c r="T103" i="8" a="1"/>
  <c r="R103" i="8" a="1"/>
  <c r="Q103" i="8" s="1" a="1"/>
  <c r="V103" i="8" s="1" a="1"/>
  <c r="U103" i="8" a="1"/>
  <c r="S103" i="8" a="1"/>
  <c r="T104" i="8" a="1"/>
  <c r="R104" i="8" a="1"/>
  <c r="Q104" i="8" s="1" a="1"/>
  <c r="V104" i="8" s="1" a="1"/>
  <c r="S104" i="8" a="1"/>
  <c r="U104" i="8" a="1"/>
  <c r="T105" i="8" a="1"/>
  <c r="R105" i="8" a="1"/>
  <c r="Q105" i="8" s="1" a="1"/>
  <c r="S105" i="8" a="1"/>
  <c r="R107" i="8" a="1"/>
  <c r="Q107" i="8" a="1"/>
  <c r="S107" i="8" a="1"/>
  <c r="T107" i="8" a="1"/>
  <c r="R108" i="8" a="1"/>
  <c r="Q108" i="8" s="1" a="1"/>
  <c r="U108" i="8" a="1"/>
  <c r="T108" i="8" a="1"/>
  <c r="S108" i="8" a="1"/>
  <c r="V108" i="8" a="1"/>
  <c r="R109" i="8" a="1"/>
  <c r="T109" i="8" a="1"/>
  <c r="S109" i="8" a="1"/>
  <c r="Q109" i="8" a="1"/>
  <c r="R111" i="8" a="1"/>
  <c r="Q111" i="8" s="1" a="1"/>
  <c r="V111" i="8" s="1" a="1"/>
  <c r="S111" i="8" a="1"/>
  <c r="U111" i="8" a="1"/>
  <c r="T112" i="8" a="1"/>
  <c r="S112" i="8" a="1"/>
  <c r="R112" i="8" a="1"/>
  <c r="Q112" i="8" s="1" a="1"/>
  <c r="S113" i="8" a="1"/>
  <c r="R113" i="8" a="1"/>
  <c r="Q113" i="8" s="1" a="1"/>
  <c r="T113" i="8" a="1"/>
  <c r="T114" i="8" a="1"/>
  <c r="U115" i="8" a="1"/>
  <c r="T115" i="8" a="1"/>
  <c r="R116" i="8" a="1"/>
  <c r="S116" i="8" a="1"/>
  <c r="T116" i="8" a="1"/>
  <c r="Q116" i="8" a="1"/>
  <c r="T117" i="8" a="1"/>
  <c r="U117" i="8" a="1"/>
  <c r="S117" i="8" a="1"/>
  <c r="T119" i="8" a="1"/>
  <c r="S119" i="8" a="1"/>
  <c r="R119" i="8" a="1"/>
  <c r="Q119" i="8" a="1"/>
  <c r="U120" i="8" a="1"/>
  <c r="S120" i="8" a="1"/>
  <c r="T121" i="8" a="1"/>
  <c r="S123" i="8" a="1"/>
  <c r="T123" i="8" a="1"/>
  <c r="R123" i="8" a="1"/>
  <c r="Q123" i="8" a="1"/>
  <c r="S124" i="8" a="1"/>
  <c r="T124" i="8" a="1"/>
  <c r="U124" i="8" a="1"/>
  <c r="V124" i="8" a="1"/>
  <c r="T125" i="8" a="1"/>
  <c r="U125" i="8" a="1"/>
  <c r="T126" i="8" a="1"/>
  <c r="R126" i="8" a="1"/>
  <c r="S126" i="8" a="1"/>
  <c r="Q126" i="8" a="1"/>
  <c r="U126" i="8" a="1"/>
  <c r="V126" i="8" a="1"/>
  <c r="U127" i="8" a="1"/>
  <c r="S127" i="8" a="1"/>
  <c r="T127" i="8" a="1"/>
  <c r="S128" i="8" a="1"/>
  <c r="T128" i="8" a="1"/>
  <c r="R128" i="8" a="1"/>
  <c r="Q128" i="8" s="1" a="1"/>
  <c r="R130" i="8" a="1"/>
  <c r="Q130" i="8" s="1" a="1"/>
  <c r="S130" i="8" a="1"/>
  <c r="T130" i="8" a="1"/>
  <c r="T131" i="8" a="1"/>
  <c r="S131" i="8" a="1"/>
  <c r="U131" i="8" a="1"/>
  <c r="R132" i="8" a="1"/>
  <c r="S132" i="8" a="1"/>
  <c r="Q132" i="8" a="1"/>
  <c r="T132" i="8" a="1"/>
  <c r="R134" i="8" a="1"/>
  <c r="T134" i="8" a="1"/>
  <c r="S134" i="8" a="1"/>
  <c r="Q134" i="8" a="1"/>
  <c r="U135" i="8" a="1"/>
  <c r="S135" i="8" a="1"/>
  <c r="T136" i="8" a="1"/>
  <c r="S136" i="8" a="1"/>
  <c r="S137" i="8" a="1"/>
  <c r="U137" i="8" a="1"/>
  <c r="V137" i="8" a="1"/>
  <c r="S138" i="8" a="1"/>
  <c r="T138" i="8" a="1"/>
  <c r="R138" i="8" a="1"/>
  <c r="Q138" i="8" s="1" a="1"/>
  <c r="S141" i="8" a="1"/>
  <c r="T141" i="8" a="1"/>
  <c r="S142" i="8" a="1"/>
  <c r="T142" i="8" a="1"/>
  <c r="R142" i="8" a="1"/>
  <c r="Q142" i="8" s="1" a="1"/>
  <c r="R143" i="8" a="1"/>
  <c r="Q143" i="8" s="1" a="1"/>
  <c r="T143" i="8" a="1"/>
  <c r="S143" i="8" a="1"/>
  <c r="S145" i="8" a="1"/>
  <c r="U145" i="8" a="1"/>
  <c r="S146" i="8" a="1"/>
  <c r="V147" i="8" a="1"/>
  <c r="S147" i="8" a="1"/>
  <c r="U147" i="8" a="1"/>
  <c r="T147" i="8" a="1"/>
  <c r="R148" i="8" a="1"/>
  <c r="Q148" i="8" s="1" a="1"/>
  <c r="T148" i="8" a="1"/>
  <c r="S148" i="8" a="1"/>
  <c r="S149" i="8" a="1"/>
  <c r="U149" i="8" a="1"/>
  <c r="S150" i="8" a="1"/>
  <c r="U150" i="8" a="1"/>
  <c r="S152" i="8" a="1"/>
  <c r="T152" i="8" a="1"/>
  <c r="R153" i="8" a="1"/>
  <c r="T153" i="8" a="1"/>
  <c r="Q153" i="8" a="1"/>
  <c r="S153" i="8" a="1"/>
  <c r="R154" i="8" a="1"/>
  <c r="Q154" i="8" a="1"/>
  <c r="V154" i="8" a="1"/>
  <c r="U154" i="8" a="1"/>
  <c r="T154" i="8" a="1"/>
  <c r="S154" i="8" a="1"/>
  <c r="S155" i="8" a="1"/>
  <c r="S156" i="8" a="1"/>
  <c r="V156" i="8" a="1"/>
  <c r="S158" i="8" a="1"/>
  <c r="R158" i="8" a="1"/>
  <c r="Q158" i="8" s="1" a="1"/>
  <c r="T158" i="8" a="1"/>
  <c r="S159" i="8" a="1"/>
  <c r="T159" i="8" a="1"/>
  <c r="R159" i="8" a="1"/>
  <c r="Q159" i="8" s="1" a="1"/>
  <c r="V160" i="8" a="1"/>
  <c r="S160" i="8" a="1"/>
  <c r="U160" i="8" a="1"/>
  <c r="V162" i="8" a="1"/>
  <c r="S162" i="8" a="1"/>
  <c r="U162" i="8" a="1"/>
  <c r="T162" i="8" a="1"/>
  <c r="S163" i="8" a="1"/>
  <c r="R163" i="8" a="1"/>
  <c r="Q163" i="8" s="1" a="1"/>
  <c r="T163" i="8" a="1"/>
  <c r="S164" i="8" a="1"/>
  <c r="R164" i="8" a="1"/>
  <c r="Q164" i="8" s="1" a="1"/>
  <c r="T164" i="8" a="1"/>
  <c r="V165" i="8" a="1"/>
  <c r="S165" i="8" a="1"/>
  <c r="U165" i="8" a="1"/>
  <c r="T165" i="8" a="1"/>
  <c r="V167" i="8" a="1"/>
  <c r="T167" i="8" a="1"/>
  <c r="S167" i="8" a="1"/>
  <c r="U167" i="8" a="1"/>
  <c r="S168" i="8" a="1"/>
  <c r="R168" i="8" a="1"/>
  <c r="T168" i="8" a="1"/>
  <c r="Q168" i="8" a="1"/>
  <c r="T169" i="8" a="1"/>
  <c r="R169" i="8" a="1"/>
  <c r="S169" i="8" a="1"/>
  <c r="Q169" i="8" a="1"/>
  <c r="V170" i="8" a="1"/>
  <c r="U170" i="8" a="1"/>
  <c r="V172" i="8" a="1"/>
  <c r="S172" i="8" a="1"/>
  <c r="T172" i="8" a="1"/>
  <c r="U172" i="8" a="1"/>
  <c r="S173" i="8" a="1"/>
  <c r="R173" i="8" a="1"/>
  <c r="T173" i="8" a="1"/>
  <c r="Q173" i="8" a="1"/>
  <c r="V175" i="8" a="1"/>
  <c r="S175" i="8" a="1"/>
  <c r="S176" i="8" a="1"/>
  <c r="T176" i="8" a="1"/>
  <c r="R176" i="8" a="1"/>
  <c r="Q176" i="8" a="1"/>
  <c r="S177" i="8" a="1"/>
  <c r="T177" i="8" a="1"/>
  <c r="T179" i="8" a="1"/>
  <c r="R179" i="8" a="1"/>
  <c r="S179" i="8" a="1"/>
  <c r="Q179" i="8" a="1"/>
  <c r="R180" i="8" a="1"/>
  <c r="S180" i="8" a="1"/>
  <c r="T180" i="8" a="1"/>
  <c r="Q180" i="8" a="1"/>
  <c r="V181" i="8" a="1"/>
  <c r="U181" i="8" a="1"/>
  <c r="T181" i="8" a="1"/>
  <c r="V182" i="8" a="1"/>
  <c r="U182" i="8" a="1"/>
  <c r="S182" i="8" a="1"/>
  <c r="V183" i="8" a="1"/>
  <c r="T183" i="8" a="1"/>
  <c r="U183" i="8" a="1"/>
  <c r="S183" i="8" a="1"/>
  <c r="R185" i="8" a="1"/>
  <c r="Q185" i="8" a="1"/>
  <c r="U185" i="8" a="1"/>
  <c r="T185" i="8" a="1"/>
  <c r="S185" i="8" a="1"/>
  <c r="V185" i="8" a="1"/>
  <c r="T186" i="8" a="1"/>
  <c r="U186" i="8" a="1"/>
  <c r="S186" i="8" a="1"/>
  <c r="V186" i="8" a="1"/>
  <c r="V187" i="8" a="1"/>
  <c r="U187" i="8" a="1"/>
  <c r="T187" i="8" a="1"/>
  <c r="S187" i="8" a="1"/>
  <c r="R188" i="8" a="1"/>
  <c r="S188" i="8" a="1"/>
  <c r="T188" i="8" a="1"/>
  <c r="Q188" i="8" a="1"/>
  <c r="U189" i="8" a="1"/>
  <c r="S189" i="8" a="1"/>
  <c r="V189" i="8" a="1"/>
  <c r="T189" i="8" a="1"/>
  <c r="T190" i="8" a="1"/>
  <c r="R191" i="8" a="1"/>
  <c r="S191" i="8" a="1"/>
  <c r="T191" i="8" a="1"/>
  <c r="Q191" i="8" a="1"/>
  <c r="V192" i="8" a="1"/>
  <c r="S192" i="8" a="1"/>
  <c r="U192" i="8" a="1"/>
  <c r="T193" i="8" a="1"/>
  <c r="S193" i="8" a="1"/>
  <c r="R193" i="8" a="1"/>
  <c r="Q193" i="8" s="1" a="1"/>
  <c r="U194" i="8" a="1"/>
  <c r="T194" i="8" a="1"/>
  <c r="S194" i="8" a="1"/>
  <c r="V194" i="8" a="1"/>
  <c r="S195" i="8" a="1"/>
  <c r="V195" i="8" a="1"/>
  <c r="U195" i="8" a="1"/>
  <c r="S196" i="8" a="1"/>
  <c r="T196" i="8" a="1"/>
  <c r="R196" i="8" a="1"/>
  <c r="Q196" i="8" s="1" a="1"/>
  <c r="V197" i="8" a="1"/>
  <c r="S197" i="8" a="1"/>
  <c r="T198" i="8" a="1"/>
  <c r="V198" i="8" a="1"/>
  <c r="U198" i="8" a="1"/>
  <c r="S199" i="8" a="1"/>
  <c r="T199" i="8" a="1"/>
  <c r="R201" i="8" a="1"/>
  <c r="S201" i="8" a="1"/>
  <c r="T201" i="8" a="1"/>
  <c r="Q201" i="8" a="1"/>
  <c r="T203" i="8" a="1"/>
  <c r="V203" i="8" a="1"/>
  <c r="S203" i="8" a="1"/>
  <c r="U203" i="8" a="1"/>
  <c r="R204" i="8" a="1"/>
  <c r="Q204" i="8" s="1" a="1"/>
  <c r="T204" i="8" a="1"/>
  <c r="S204" i="8" a="1"/>
  <c r="T205" i="8" a="1"/>
  <c r="S205" i="8" a="1"/>
  <c r="V205" i="8" a="1"/>
  <c r="U205" i="8" a="1"/>
  <c r="T206" i="8" a="1"/>
  <c r="R206" i="8" a="1"/>
  <c r="Q206" i="8" s="1" a="1"/>
  <c r="S206" i="8" a="1"/>
  <c r="S207" i="8" a="1"/>
  <c r="T207" i="8" a="1"/>
  <c r="U208" i="8" a="1"/>
  <c r="S208" i="8" a="1"/>
  <c r="V208" i="8" a="1"/>
  <c r="T208" i="8" a="1"/>
  <c r="V209" i="8" a="1"/>
  <c r="S209" i="8" a="1"/>
  <c r="R210" i="8" a="1"/>
  <c r="Q210" i="8" s="1" a="1"/>
  <c r="S210" i="8" a="1"/>
  <c r="T210" i="8" a="1"/>
  <c r="T211" i="8" a="1"/>
  <c r="U211" i="8" a="1"/>
  <c r="S211" i="8" a="1"/>
  <c r="V211" i="8" a="1"/>
  <c r="T212" i="8" a="1"/>
  <c r="S214" i="8" a="1"/>
  <c r="R214" i="8" a="1"/>
  <c r="Q214" i="8" s="1" a="1"/>
  <c r="T214" i="8" a="1"/>
  <c r="R216" i="8" a="1"/>
  <c r="Q216" i="8" s="1" a="1"/>
  <c r="S216" i="8" a="1"/>
  <c r="T216" i="8" a="1"/>
  <c r="T217" i="8" a="1"/>
  <c r="R218" i="8" a="1"/>
  <c r="Q218" i="8" s="1" a="1"/>
  <c r="T218" i="8" a="1"/>
  <c r="S218" i="8" a="1"/>
  <c r="U220" i="8" a="1"/>
  <c r="V220" i="8" a="1"/>
  <c r="S220" i="8" a="1"/>
  <c r="T220" i="8" a="1"/>
  <c r="T221" i="8" a="1"/>
  <c r="U221" i="8" a="1"/>
  <c r="V221" i="8" a="1"/>
  <c r="S221" i="8" a="1"/>
  <c r="S222" i="8" a="1"/>
  <c r="R222" i="8" a="1"/>
  <c r="Q222" i="8" s="1" a="1"/>
  <c r="T222" i="8" a="1"/>
  <c r="R223" i="8" a="1"/>
  <c r="Q223" i="8" s="1" a="1"/>
  <c r="S223" i="8" a="1"/>
  <c r="T223" i="8" a="1"/>
  <c r="S224" i="8" a="1"/>
  <c r="U224" i="8" a="1"/>
  <c r="V224" i="8" a="1"/>
  <c r="T226" i="8" a="1"/>
  <c r="S227" i="8" a="1"/>
  <c r="T227" i="8" a="1"/>
  <c r="R228" i="8" a="1"/>
  <c r="Q228" i="8" s="1" a="1"/>
  <c r="S228" i="8" a="1"/>
  <c r="T228" i="8" a="1"/>
  <c r="T229" i="8" a="1"/>
  <c r="T230" i="8" a="1"/>
  <c r="S231" i="8" a="1"/>
  <c r="T231" i="8" a="1"/>
  <c r="R232" i="8" a="1"/>
  <c r="Q232" i="8" s="1" a="1"/>
  <c r="T232" i="8" a="1"/>
  <c r="S232" i="8" a="1"/>
  <c r="R233" i="8" a="1"/>
  <c r="Q233" i="8" s="1" a="1"/>
  <c r="S233" i="8" a="1"/>
  <c r="T233" i="8" a="1"/>
  <c r="T234" i="8" a="1"/>
  <c r="S234" i="8" a="1"/>
  <c r="U235" i="8" a="1"/>
  <c r="V235" i="8" a="1"/>
  <c r="S235" i="8" a="1"/>
  <c r="R236" i="8" a="1"/>
  <c r="S236" i="8" a="1"/>
  <c r="T236" i="8" a="1"/>
  <c r="Q236" i="8" a="1"/>
  <c r="T237" i="8" a="1"/>
  <c r="T238" i="8" a="1"/>
  <c r="V238" i="8" a="1"/>
  <c r="U238" i="8" a="1"/>
  <c r="S238" i="8" a="1"/>
  <c r="T239" i="8" a="1"/>
  <c r="S239" i="8" a="1"/>
  <c r="S240" i="8" a="1"/>
  <c r="T240" i="8" a="1"/>
  <c r="R240" i="8" a="1"/>
  <c r="Q240" i="8" a="1"/>
  <c r="T242" i="8" a="1"/>
  <c r="T106" i="8" a="1"/>
  <c r="U80" i="8" a="1"/>
  <c r="U85" i="8" a="1"/>
  <c r="R39" i="8" a="1"/>
  <c r="Q39" i="8" s="1" a="1"/>
  <c r="R51" i="8" a="1"/>
  <c r="Q51" i="8" s="1" a="1"/>
  <c r="U178" i="8" a="1"/>
  <c r="T55" i="8" a="1"/>
  <c r="T73" i="8" a="1"/>
  <c r="T19" i="8" a="1"/>
  <c r="T118" i="8" a="1"/>
  <c r="T129" i="8" a="1"/>
  <c r="U129" i="8" a="1"/>
  <c r="U133" i="8" a="1"/>
  <c r="U144" i="8" a="1"/>
  <c r="U156" i="8" a="1"/>
  <c r="U161" i="8" a="1"/>
  <c r="R110" i="8" a="1"/>
  <c r="Q110" i="8" s="1" a="1"/>
  <c r="V110" i="8" s="1" a="1"/>
  <c r="T43" i="8" a="1"/>
  <c r="U166" i="8" a="1"/>
  <c r="R94" i="8" a="1"/>
  <c r="Q94" i="8" s="1" a="1"/>
  <c r="T166" i="8" a="1"/>
  <c r="T171" i="8" a="1"/>
  <c r="U122" i="8" a="1"/>
  <c r="T175" i="8" a="1"/>
  <c r="U118" i="8" a="1"/>
  <c r="T178" i="8" a="1"/>
  <c r="U171" i="8" a="1"/>
  <c r="U110" i="8" a="1"/>
  <c r="U175" i="8" a="1"/>
  <c r="T184" i="8" a="1"/>
  <c r="T197" i="8" a="1"/>
  <c r="T202" i="8" a="1"/>
  <c r="T215" i="8" a="1"/>
  <c r="T225" i="8" a="1"/>
  <c r="U209" i="8" a="1"/>
  <c r="S99" i="8" a="1"/>
  <c r="S65" i="8" a="1"/>
  <c r="U197" i="8" a="1"/>
  <c r="S80" i="8" a="1"/>
  <c r="S171" i="8" a="1"/>
  <c r="S215" i="8" a="1"/>
  <c r="V118" i="8" a="1"/>
  <c r="V133" i="8" a="1"/>
  <c r="R14" i="8" a="1"/>
  <c r="Q14" i="8" s="1" a="1"/>
  <c r="U184" i="8" a="1"/>
  <c r="U73" i="8" a="1"/>
  <c r="R106" i="8" a="1"/>
  <c r="Q106" i="8" s="1" a="1"/>
  <c r="T8" i="6" a="1"/>
  <c r="S8" i="6" a="1"/>
  <c r="R8" i="6" a="1"/>
  <c r="R9" i="6" a="1"/>
  <c r="Q9" i="6" s="1" a="1"/>
  <c r="S9" i="6" a="1"/>
  <c r="T10" i="6" a="1"/>
  <c r="S10" i="6" a="1"/>
  <c r="R10" i="6" a="1"/>
  <c r="Q10" i="6" s="1" a="1"/>
  <c r="R11" i="6" a="1"/>
  <c r="Q11" i="6" s="1" a="1"/>
  <c r="S11" i="6" a="1"/>
  <c r="Q12" i="6" a="1"/>
  <c r="U12" i="6" s="1" a="1"/>
  <c r="R12" i="6" a="1"/>
  <c r="V12" i="6" a="1"/>
  <c r="S12" i="6" a="1"/>
  <c r="T12" i="6" a="1"/>
  <c r="S13" i="6" a="1"/>
  <c r="T13" i="6" a="1"/>
  <c r="S14" i="6" a="1"/>
  <c r="T14" i="6" a="1"/>
  <c r="R14" i="6" a="1"/>
  <c r="Q14" i="6" a="1"/>
  <c r="S15" i="6" a="1"/>
  <c r="T15" i="6" a="1"/>
  <c r="S16" i="6" a="1"/>
  <c r="R16" i="6" a="1"/>
  <c r="Q16" i="6" s="1" a="1"/>
  <c r="T16" i="6" a="1"/>
  <c r="Q17" i="6" a="1"/>
  <c r="S17" i="6" a="1"/>
  <c r="R17" i="6" a="1"/>
  <c r="T17" i="6" a="1"/>
  <c r="R18" i="6" a="1"/>
  <c r="Q18" i="6" s="1" a="1"/>
  <c r="T18" i="6" a="1"/>
  <c r="T19" i="6" a="1"/>
  <c r="R19" i="6" a="1"/>
  <c r="Q19" i="6" s="1" a="1"/>
  <c r="S19" i="6" a="1"/>
  <c r="R20" i="6" a="1"/>
  <c r="Q20" i="6" s="1" a="1"/>
  <c r="S20" i="6" a="1"/>
  <c r="R21" i="6" a="1"/>
  <c r="Q21" i="6" s="1" a="1"/>
  <c r="S21" i="6" a="1"/>
  <c r="T21" i="6" a="1"/>
  <c r="S22" i="6" a="1"/>
  <c r="Q22" i="6" a="1"/>
  <c r="V22" i="6" s="1" a="1"/>
  <c r="R23" i="6" a="1"/>
  <c r="Q23" i="6" s="1" a="1"/>
  <c r="T23" i="6" a="1"/>
  <c r="S23" i="6" a="1"/>
  <c r="T24" i="6" a="1"/>
  <c r="S25" i="6" a="1"/>
  <c r="R25" i="6" a="1"/>
  <c r="Q25" i="6" s="1" a="1"/>
  <c r="T25" i="6" a="1"/>
  <c r="T26" i="6" a="1"/>
  <c r="R26" i="6" a="1"/>
  <c r="Q26" i="6" s="1" a="1"/>
  <c r="S26" i="6" a="1"/>
  <c r="S27" i="6" a="1"/>
  <c r="T28" i="6" a="1"/>
  <c r="R28" i="6" a="1"/>
  <c r="Q28" i="6" s="1" a="1"/>
  <c r="S28" i="6" a="1"/>
  <c r="S29" i="6" a="1"/>
  <c r="S30" i="6" a="1"/>
  <c r="T30" i="6" a="1"/>
  <c r="R30" i="6" a="1"/>
  <c r="Q30" i="6" s="1" a="1"/>
  <c r="T31" i="6" a="1"/>
  <c r="S31" i="6" a="1"/>
  <c r="R31" i="6" a="1"/>
  <c r="Q31" i="6" s="1" a="1"/>
  <c r="R32" i="6" a="1"/>
  <c r="Q32" i="6" s="1" a="1"/>
  <c r="S33" i="6" a="1"/>
  <c r="T33" i="6" a="1"/>
  <c r="R33" i="6" a="1"/>
  <c r="Q33" i="6" s="1" a="1"/>
  <c r="R34" i="6" a="1"/>
  <c r="Q34" i="6" s="1" a="1"/>
  <c r="S34" i="6" a="1"/>
  <c r="T35" i="6" a="1"/>
  <c r="S35" i="6" a="1"/>
  <c r="R35" i="6" a="1"/>
  <c r="Q35" i="6" s="1" a="1"/>
  <c r="R36" i="6" a="1"/>
  <c r="Q36" i="6" s="1" a="1"/>
  <c r="S37" i="6" a="1"/>
  <c r="R37" i="6" a="1"/>
  <c r="Q37" i="6" s="1" a="1"/>
  <c r="T37" i="6" a="1"/>
  <c r="T34" i="6" a="1"/>
  <c r="T36" i="6" a="1"/>
  <c r="U22" i="6" a="1"/>
  <c r="S18" i="6" a="1"/>
  <c r="S24" i="6" a="1"/>
  <c r="S32" i="6" a="1"/>
  <c r="T11" i="6" a="1"/>
  <c r="S36" i="6" a="1"/>
  <c r="T29" i="6" a="1"/>
  <c r="T9" i="6" a="1"/>
  <c r="R13" i="6" a="1"/>
  <c r="Q13" i="6" s="1" a="1"/>
  <c r="R15" i="6" a="1"/>
  <c r="Q15" i="6" s="1" a="1"/>
  <c r="T32" i="6" a="1"/>
  <c r="R22" i="6" a="1"/>
  <c r="R24" i="6" a="1"/>
  <c r="Q24" i="6" s="1" a="1"/>
  <c r="T22" i="6" a="1"/>
  <c r="R27" i="6" a="1"/>
  <c r="Q27" i="6" s="1" a="1"/>
  <c r="R29" i="6" a="1"/>
  <c r="Q29" i="6" s="1" a="1"/>
  <c r="T27" i="6" a="1"/>
  <c r="T20" i="6" a="1"/>
  <c r="Q8" i="7" a="1"/>
  <c r="S9" i="7" a="1"/>
  <c r="T9" i="7" a="1"/>
  <c r="R9" i="7" a="1"/>
  <c r="R10" i="7" a="1"/>
  <c r="T10" i="7" a="1"/>
  <c r="Q10" i="7" a="1"/>
  <c r="S10" i="7" a="1"/>
  <c r="R11" i="7" a="1"/>
  <c r="Q11" i="7" s="1" a="1"/>
  <c r="T11" i="7" a="1"/>
  <c r="Q12" i="7" a="1"/>
  <c r="S12" i="7" a="1"/>
  <c r="T12" i="7" a="1"/>
  <c r="Q13" i="7" a="1"/>
  <c r="T13" i="7" a="1"/>
  <c r="S14" i="7" a="1"/>
  <c r="Q14" i="7" a="1"/>
  <c r="T14" i="7" a="1"/>
  <c r="Q15" i="7" a="1"/>
  <c r="T15" i="7" a="1"/>
  <c r="T16" i="7" a="1"/>
  <c r="S16" i="7" a="1"/>
  <c r="R16" i="7" a="1"/>
  <c r="Q16" i="7" s="1" a="1"/>
  <c r="Q17" i="7" a="1"/>
  <c r="T17" i="7" a="1"/>
  <c r="T18" i="7" a="1"/>
  <c r="Q18" i="7" a="1"/>
  <c r="T19" i="7" a="1"/>
  <c r="Q19" i="7" a="1"/>
  <c r="T20" i="7" a="1"/>
  <c r="Q20" i="7" a="1"/>
  <c r="Q21" i="7" a="1"/>
  <c r="T21" i="7" a="1"/>
  <c r="Q22" i="7" a="1"/>
  <c r="T22" i="7" a="1"/>
  <c r="S22" i="7" a="1"/>
  <c r="T23" i="7" a="1"/>
  <c r="Q23" i="7" a="1"/>
  <c r="T24" i="7" a="1"/>
  <c r="Q24" i="7" a="1"/>
  <c r="T25" i="7" a="1"/>
  <c r="Q25" i="7" a="1"/>
  <c r="T26" i="7" a="1"/>
  <c r="R26" i="7" a="1"/>
  <c r="Q26" i="7" s="1" a="1"/>
  <c r="T27" i="7" a="1"/>
  <c r="Q27" i="7" a="1"/>
  <c r="T28" i="7" a="1"/>
  <c r="S28" i="7" a="1"/>
  <c r="Q28" i="7" a="1"/>
  <c r="T29" i="7" a="1"/>
  <c r="Q29" i="7" a="1"/>
  <c r="S30" i="7" a="1"/>
  <c r="T30" i="7" a="1"/>
  <c r="Q30" i="7" a="1"/>
  <c r="T31" i="7" a="1"/>
  <c r="Q31" i="7" a="1"/>
  <c r="S31" i="7" a="1"/>
  <c r="Q32" i="7" a="1"/>
  <c r="V32" i="7" s="1" a="1"/>
  <c r="T32" i="7" a="1"/>
  <c r="U32" i="7" a="1"/>
  <c r="T33" i="7" a="1"/>
  <c r="R33" i="7" a="1"/>
  <c r="Q33" i="7" s="1" a="1"/>
  <c r="T34" i="7" a="1"/>
  <c r="R34" i="7" a="1"/>
  <c r="Q34" i="7" s="1" a="1"/>
  <c r="T35" i="7" a="1"/>
  <c r="Q35" i="7" a="1"/>
  <c r="S35" i="7" a="1"/>
  <c r="T36" i="7" a="1"/>
  <c r="Q36" i="7" a="1"/>
  <c r="T37" i="7" a="1"/>
  <c r="R37" i="7" a="1"/>
  <c r="Q37" i="7" s="1" a="1"/>
  <c r="T38" i="7" a="1"/>
  <c r="Q38" i="7" a="1"/>
  <c r="T39" i="7" a="1"/>
  <c r="S39" i="7" a="1"/>
  <c r="Q39" i="7" a="1"/>
  <c r="T40" i="7" a="1"/>
  <c r="Q40" i="7" a="1"/>
  <c r="T41" i="7" a="1"/>
  <c r="R41" i="7" a="1"/>
  <c r="Q41" i="7" s="1" a="1"/>
  <c r="S41" i="7" a="1"/>
  <c r="T42" i="7" a="1"/>
  <c r="Q42" i="7" a="1"/>
  <c r="T43" i="7" a="1"/>
  <c r="R43" i="7" a="1"/>
  <c r="Q43" i="7" s="1" a="1"/>
  <c r="Q44" i="7" a="1"/>
  <c r="S44" i="7" a="1"/>
  <c r="T44" i="7" a="1"/>
  <c r="Q45" i="7" a="1"/>
  <c r="T45" i="7" a="1"/>
  <c r="T46" i="7" a="1"/>
  <c r="Q46" i="7" a="1"/>
  <c r="T47" i="7" a="1"/>
  <c r="Q47" i="7" a="1"/>
  <c r="T48" i="7" a="1"/>
  <c r="S48" i="7" a="1"/>
  <c r="Q48" i="7" a="1"/>
  <c r="T49" i="7" a="1"/>
  <c r="Q49" i="7" a="1"/>
  <c r="T50" i="7" a="1"/>
  <c r="Q50" i="7" a="1"/>
  <c r="T51" i="7" a="1"/>
  <c r="S51" i="7" a="1"/>
  <c r="R51" i="7" a="1"/>
  <c r="Q51" i="7" s="1" a="1"/>
  <c r="T52" i="7" a="1"/>
  <c r="Q52" i="7" a="1"/>
  <c r="R53" i="7" a="1"/>
  <c r="T53" i="7" a="1"/>
  <c r="Q53" i="7" a="1"/>
  <c r="S53" i="7" a="1"/>
  <c r="Q54" i="7" a="1"/>
  <c r="T54" i="7" a="1"/>
  <c r="Q55" i="7" a="1"/>
  <c r="T55" i="7" a="1"/>
  <c r="Q56" i="7" a="1"/>
  <c r="T56" i="7" a="1"/>
  <c r="Q57" i="7" a="1"/>
  <c r="T57" i="7" a="1"/>
  <c r="T58" i="7" a="1"/>
  <c r="Q58" i="7" a="1"/>
  <c r="R59" i="7" a="1"/>
  <c r="Q59" i="7" s="1" a="1"/>
  <c r="T59" i="7" a="1"/>
  <c r="Q60" i="7" a="1"/>
  <c r="T60" i="7" a="1"/>
  <c r="T61" i="7" a="1"/>
  <c r="S61" i="7" a="1"/>
  <c r="Q61" i="7" a="1"/>
  <c r="Q62" i="7" a="1"/>
  <c r="T62" i="7" a="1"/>
  <c r="S63" i="7" a="1"/>
  <c r="T63" i="7" a="1"/>
  <c r="R63" i="7" a="1"/>
  <c r="Q63" i="7" s="1" a="1"/>
  <c r="R64" i="7" a="1"/>
  <c r="Q64" i="7" s="1" a="1"/>
  <c r="T64" i="7" a="1"/>
  <c r="T65" i="7" a="1"/>
  <c r="Q65" i="7" a="1"/>
  <c r="T66" i="7" a="1"/>
  <c r="S66" i="7" a="1"/>
  <c r="Q66" i="7" a="1"/>
  <c r="T67" i="7" a="1"/>
  <c r="R67" i="7" a="1"/>
  <c r="Q67" i="7" s="1" a="1"/>
  <c r="Q68" i="7" a="1"/>
  <c r="T68" i="7" a="1"/>
  <c r="T69" i="7" a="1"/>
  <c r="R69" i="7" a="1"/>
  <c r="Q69" i="7" s="1" a="1"/>
  <c r="R70" i="7" a="1"/>
  <c r="Q70" i="7" s="1" a="1"/>
  <c r="T70" i="7" a="1"/>
  <c r="Q71" i="7" a="1"/>
  <c r="S71" i="7" a="1"/>
  <c r="T71" i="7" a="1"/>
  <c r="T72" i="7" a="1"/>
  <c r="Q72" i="7" a="1"/>
  <c r="T73" i="7" a="1"/>
  <c r="Q73" i="7" a="1"/>
  <c r="T74" i="7" a="1"/>
  <c r="Q74" i="7" a="1"/>
  <c r="T75" i="7" a="1"/>
  <c r="S75" i="7" a="1"/>
  <c r="R75" i="7" a="1"/>
  <c r="Q75" i="7" s="1" a="1"/>
  <c r="T76" i="7" a="1"/>
  <c r="Q76" i="7" a="1"/>
  <c r="T77" i="7" a="1"/>
  <c r="Q77" i="7" a="1"/>
  <c r="T78" i="7" a="1"/>
  <c r="S78" i="7" a="1"/>
  <c r="Q78" i="7" a="1"/>
  <c r="T79" i="7" a="1"/>
  <c r="R79" i="7" a="1"/>
  <c r="Q79" i="7" s="1" a="1"/>
  <c r="T80" i="7" a="1"/>
  <c r="Q80" i="7" a="1"/>
  <c r="R81" i="7" a="1"/>
  <c r="Q81" i="7" s="1" a="1"/>
  <c r="T81" i="7" a="1"/>
  <c r="Q82" i="7" a="1"/>
  <c r="T82" i="7" a="1"/>
  <c r="R83" i="7" a="1"/>
  <c r="Q83" i="7" s="1" a="1"/>
  <c r="S83" i="7" a="1"/>
  <c r="T83" i="7" a="1"/>
  <c r="Q84" i="7" a="1"/>
  <c r="T84" i="7" a="1"/>
  <c r="R85" i="7" a="1"/>
  <c r="Q85" i="7" s="1" a="1"/>
  <c r="T85" i="7" a="1"/>
  <c r="T86" i="7" a="1"/>
  <c r="Q86" i="7" a="1"/>
  <c r="S87" i="7" a="1"/>
  <c r="R87" i="7" a="1"/>
  <c r="Q87" i="7" s="1" a="1"/>
  <c r="T87" i="7" a="1"/>
  <c r="R88" i="7" a="1"/>
  <c r="Q88" i="7" s="1" a="1"/>
  <c r="T88" i="7" a="1"/>
  <c r="S88" i="7" a="1"/>
  <c r="Q89" i="7" a="1"/>
  <c r="T89" i="7" a="1"/>
  <c r="R90" i="7" a="1"/>
  <c r="Q90" i="7" s="1" a="1"/>
  <c r="T90" i="7" a="1"/>
  <c r="Q91" i="7" a="1"/>
  <c r="T91" i="7" a="1"/>
  <c r="T92" i="7" a="1"/>
  <c r="R92" i="7" a="1"/>
  <c r="Q92" i="7" s="1" a="1"/>
  <c r="S92" i="7" a="1"/>
  <c r="Q93" i="7" a="1"/>
  <c r="T93" i="7" a="1"/>
  <c r="S93" i="7" a="1"/>
  <c r="R94" i="7" a="1"/>
  <c r="Q94" i="7" s="1" a="1"/>
  <c r="T94" i="7" a="1"/>
  <c r="R95" i="7" a="1"/>
  <c r="Q95" i="7" s="1" a="1"/>
  <c r="S95" i="7" a="1"/>
  <c r="T95" i="7" a="1"/>
  <c r="T96" i="7" a="1"/>
  <c r="R96" i="7" a="1"/>
  <c r="Q96" i="7" s="1" a="1"/>
  <c r="T97" i="7" a="1"/>
  <c r="S97" i="7" a="1"/>
  <c r="R97" i="7" a="1"/>
  <c r="Q97" i="7" s="1" a="1"/>
  <c r="R98" i="7" a="1"/>
  <c r="Q98" i="7" a="1"/>
  <c r="T98" i="7" a="1"/>
  <c r="R99" i="7" a="1"/>
  <c r="T99" i="7" a="1"/>
  <c r="Q99" i="7" a="1"/>
  <c r="R100" i="7" a="1"/>
  <c r="Q100" i="7" s="1" a="1"/>
  <c r="T100" i="7" a="1"/>
  <c r="T101" i="7" a="1"/>
  <c r="R101" i="7" a="1"/>
  <c r="Q101" i="7" a="1"/>
  <c r="R102" i="7" a="1"/>
  <c r="Q102" i="7" s="1" a="1"/>
  <c r="T102" i="7" a="1"/>
  <c r="T103" i="7" a="1"/>
  <c r="S103" i="7" a="1"/>
  <c r="R103" i="7" a="1"/>
  <c r="Q103" i="7" s="1" a="1"/>
  <c r="R104" i="7" a="1"/>
  <c r="Q104" i="7" s="1" a="1"/>
  <c r="T104" i="7" a="1"/>
  <c r="T105" i="7" a="1"/>
  <c r="R105" i="7" a="1"/>
  <c r="Q105" i="7" s="1" a="1"/>
  <c r="S106" i="7" a="1"/>
  <c r="T106" i="7" a="1"/>
  <c r="R106" i="7" a="1"/>
  <c r="Q106" i="7" s="1" a="1"/>
  <c r="T107" i="7" a="1"/>
  <c r="R107" i="7" a="1"/>
  <c r="Q107" i="7" a="1"/>
  <c r="R108" i="7" a="1"/>
  <c r="Q108" i="7" s="1" a="1"/>
  <c r="T108" i="7" a="1"/>
  <c r="R109" i="7" a="1"/>
  <c r="Q109" i="7" s="1" a="1"/>
  <c r="T109" i="7" a="1"/>
  <c r="R110" i="7" a="1"/>
  <c r="Q110" i="7" s="1" a="1"/>
  <c r="T110" i="7" a="1"/>
  <c r="R111" i="7" a="1"/>
  <c r="Q111" i="7" s="1" a="1"/>
  <c r="T111" i="7" a="1"/>
  <c r="T112" i="7" a="1"/>
  <c r="R112" i="7" a="1"/>
  <c r="Q112" i="7" s="1" a="1"/>
  <c r="S112" i="7" a="1"/>
  <c r="R113" i="7" a="1"/>
  <c r="Q113" i="7" s="1" a="1"/>
  <c r="S113" i="7" a="1"/>
  <c r="T113" i="7" a="1"/>
  <c r="R114" i="7" a="1"/>
  <c r="Q114" i="7" s="1" a="1"/>
  <c r="T114" i="7" a="1"/>
  <c r="R115" i="7" a="1"/>
  <c r="Q115" i="7" s="1" a="1"/>
  <c r="T115" i="7" a="1"/>
  <c r="S115" i="7" a="1"/>
  <c r="R116" i="7" a="1"/>
  <c r="Q116" i="7" s="1" a="1"/>
  <c r="T116" i="7" a="1"/>
  <c r="S116" i="7" a="1"/>
  <c r="S117" i="7" a="1"/>
  <c r="R117" i="7" a="1"/>
  <c r="Q117" i="7" a="1"/>
  <c r="T117" i="7" a="1"/>
  <c r="T118" i="7" a="1"/>
  <c r="R118" i="7" a="1"/>
  <c r="Q118" i="7" s="1" a="1"/>
  <c r="S118" i="7" a="1"/>
  <c r="S119" i="7" a="1"/>
  <c r="T119" i="7" a="1"/>
  <c r="R119" i="7" a="1"/>
  <c r="Q119" i="7" s="1" a="1"/>
  <c r="S120" i="7" a="1"/>
  <c r="R120" i="7" a="1"/>
  <c r="Q120" i="7" s="1" a="1"/>
  <c r="T120" i="7" a="1"/>
  <c r="S121" i="7" a="1"/>
  <c r="Q121" i="7" a="1"/>
  <c r="R121" i="7" a="1"/>
  <c r="T121" i="7" a="1"/>
  <c r="S122" i="7" a="1"/>
  <c r="R122" i="7" a="1"/>
  <c r="Q122" i="7" s="1" a="1"/>
  <c r="T122" i="7" a="1"/>
  <c r="R123" i="7" a="1"/>
  <c r="Q123" i="7" s="1" a="1"/>
  <c r="S123" i="7" a="1"/>
  <c r="T123" i="7" a="1"/>
  <c r="R124" i="7" a="1"/>
  <c r="Q124" i="7" s="1" a="1"/>
  <c r="T124" i="7" a="1"/>
  <c r="S124" i="7" a="1"/>
  <c r="T125" i="7" a="1"/>
  <c r="R125" i="7" a="1"/>
  <c r="Q125" i="7" s="1" a="1"/>
  <c r="V125" i="7" s="1" a="1"/>
  <c r="U125" i="7" a="1"/>
  <c r="S125" i="7" a="1"/>
  <c r="S126" i="7" a="1"/>
  <c r="R126" i="7" a="1"/>
  <c r="Q126" i="7" s="1" a="1"/>
  <c r="T126" i="7" a="1"/>
  <c r="R127" i="7" a="1"/>
  <c r="Q127" i="7" s="1" a="1"/>
  <c r="T127" i="7" a="1"/>
  <c r="S127" i="7" a="1"/>
  <c r="R128" i="7" a="1"/>
  <c r="S128" i="7" a="1"/>
  <c r="Q128" i="7" a="1"/>
  <c r="T128" i="7" a="1"/>
  <c r="R129" i="7" a="1"/>
  <c r="Q129" i="7" s="1" a="1"/>
  <c r="S129" i="7" a="1"/>
  <c r="T129" i="7" a="1"/>
  <c r="R130" i="7" a="1"/>
  <c r="Q130" i="7" s="1" a="1"/>
  <c r="S130" i="7" a="1"/>
  <c r="T130" i="7" a="1"/>
  <c r="R131" i="7" a="1"/>
  <c r="Q131" i="7" s="1" a="1"/>
  <c r="S131" i="7" a="1"/>
  <c r="S132" i="7" a="1"/>
  <c r="R132" i="7" a="1"/>
  <c r="Q132" i="7" s="1" a="1"/>
  <c r="R133" i="7" a="1"/>
  <c r="S133" i="7" a="1"/>
  <c r="Q133" i="7" a="1"/>
  <c r="T133" i="7" a="1"/>
  <c r="S134" i="7" a="1"/>
  <c r="T134" i="7" a="1"/>
  <c r="R134" i="7" a="1"/>
  <c r="Q134" i="7" s="1" a="1"/>
  <c r="S135" i="7" a="1"/>
  <c r="T135" i="7" a="1"/>
  <c r="R135" i="7" a="1"/>
  <c r="Q135" i="7" s="1" a="1"/>
  <c r="T136" i="7" a="1"/>
  <c r="S136" i="7" a="1"/>
  <c r="R136" i="7" a="1"/>
  <c r="Q136" i="7" s="1" a="1"/>
  <c r="S137" i="7" a="1"/>
  <c r="T137" i="7" a="1"/>
  <c r="R137" i="7" a="1"/>
  <c r="Q137" i="7" s="1" a="1"/>
  <c r="T138" i="7" a="1"/>
  <c r="S138" i="7" a="1"/>
  <c r="R138" i="7" a="1"/>
  <c r="Q138" i="7" s="1" a="1"/>
  <c r="S139" i="7" a="1"/>
  <c r="T139" i="7" a="1"/>
  <c r="R139" i="7" a="1"/>
  <c r="Q139" i="7" s="1" a="1"/>
  <c r="S140" i="7" a="1"/>
  <c r="T140" i="7" a="1"/>
  <c r="R140" i="7" a="1"/>
  <c r="Q140" i="7" s="1" a="1"/>
  <c r="T141" i="7" a="1"/>
  <c r="S141" i="7" a="1"/>
  <c r="R141" i="7" a="1"/>
  <c r="Q141" i="7" s="1" a="1"/>
  <c r="T142" i="7" a="1"/>
  <c r="S142" i="7" a="1"/>
  <c r="R142" i="7" a="1"/>
  <c r="Q142" i="7" s="1" a="1"/>
  <c r="T143" i="7" a="1"/>
  <c r="S143" i="7" a="1"/>
  <c r="R143" i="7" a="1"/>
  <c r="Q143" i="7" s="1" a="1"/>
  <c r="T144" i="7" a="1"/>
  <c r="R144" i="7" a="1"/>
  <c r="Q144" i="7" s="1" a="1"/>
  <c r="S144" i="7" a="1"/>
  <c r="S145" i="7" a="1"/>
  <c r="R145" i="7" a="1"/>
  <c r="Q145" i="7" s="1" a="1"/>
  <c r="T146" i="7" a="1"/>
  <c r="R146" i="7" a="1"/>
  <c r="Q146" i="7" s="1" a="1"/>
  <c r="S146" i="7" a="1"/>
  <c r="R147" i="7" a="1"/>
  <c r="Q147" i="7" s="1" a="1"/>
  <c r="T147" i="7" a="1"/>
  <c r="S147" i="7" a="1"/>
  <c r="S148" i="7" a="1"/>
  <c r="T148" i="7" a="1"/>
  <c r="R148" i="7" a="1"/>
  <c r="Q148" i="7" s="1" a="1"/>
  <c r="S149" i="7" a="1"/>
  <c r="R149" i="7" a="1"/>
  <c r="Q149" i="7" s="1" a="1"/>
  <c r="R150" i="7" a="1"/>
  <c r="S150" i="7" a="1"/>
  <c r="Q150" i="7" a="1"/>
  <c r="R151" i="7" a="1"/>
  <c r="Q151" i="7" s="1" a="1"/>
  <c r="S151" i="7" a="1"/>
  <c r="R152" i="7" a="1"/>
  <c r="S152" i="7" a="1"/>
  <c r="Q152" i="7" a="1"/>
  <c r="R153" i="7" a="1"/>
  <c r="Q153" i="7" s="1" a="1"/>
  <c r="S153" i="7" a="1"/>
  <c r="R154" i="7" a="1"/>
  <c r="Q154" i="7" s="1" a="1"/>
  <c r="V154" i="7" s="1" a="1"/>
  <c r="U154" i="7" a="1"/>
  <c r="S154" i="7" a="1"/>
  <c r="S155" i="7" a="1"/>
  <c r="R155" i="7" a="1"/>
  <c r="Q155" i="7" s="1" a="1"/>
  <c r="R156" i="7" a="1"/>
  <c r="Q156" i="7" s="1" a="1"/>
  <c r="S156" i="7" a="1"/>
  <c r="R157" i="7" a="1"/>
  <c r="Q157" i="7" s="1" a="1"/>
  <c r="T157" i="7" a="1"/>
  <c r="S157" i="7" a="1"/>
  <c r="S158" i="7" a="1"/>
  <c r="R158" i="7" a="1"/>
  <c r="Q158" i="7" s="1" a="1"/>
  <c r="S159" i="7" a="1"/>
  <c r="R159" i="7" a="1"/>
  <c r="Q159" i="7" s="1" a="1"/>
  <c r="S160" i="7" a="1"/>
  <c r="R160" i="7" a="1"/>
  <c r="Q160" i="7" s="1" a="1"/>
  <c r="R161" i="7" a="1"/>
  <c r="Q161" i="7" s="1" a="1"/>
  <c r="V161" i="7" s="1" a="1"/>
  <c r="U161" i="7" a="1"/>
  <c r="T161" i="7" a="1"/>
  <c r="S161" i="7" a="1"/>
  <c r="S162" i="7" a="1"/>
  <c r="R162" i="7" a="1"/>
  <c r="Q162" i="7" s="1" a="1"/>
  <c r="R163" i="7" a="1"/>
  <c r="Q163" i="7" s="1" a="1"/>
  <c r="R164" i="7" a="1"/>
  <c r="Q164" i="7" s="1" a="1"/>
  <c r="R165" i="7" a="1"/>
  <c r="Q165" i="7" s="1" a="1"/>
  <c r="T166" i="7" a="1"/>
  <c r="R167" i="7" a="1"/>
  <c r="S167" i="7" a="1"/>
  <c r="Q167" i="7" a="1"/>
  <c r="R168" i="7" a="1"/>
  <c r="Q168" i="7" s="1" a="1"/>
  <c r="V168" i="7" s="1" a="1"/>
  <c r="S168" i="7" a="1"/>
  <c r="U168" i="7" a="1"/>
  <c r="T168" i="7" a="1"/>
  <c r="R169" i="7" a="1"/>
  <c r="Q169" i="7" s="1" a="1"/>
  <c r="S169" i="7" a="1"/>
  <c r="T172" i="7" a="1"/>
  <c r="R172" i="7" a="1"/>
  <c r="Q172" i="7" s="1" a="1"/>
  <c r="U172" i="7" s="1" a="1"/>
  <c r="V172" i="7" a="1"/>
  <c r="R173" i="7" a="1"/>
  <c r="Q173" i="7" s="1" a="1"/>
  <c r="S173" i="7" a="1"/>
  <c r="T173" i="7" a="1"/>
  <c r="R174" i="7" a="1"/>
  <c r="Q174" i="7" s="1" a="1"/>
  <c r="T175" i="7" a="1"/>
  <c r="R177" i="7" a="1"/>
  <c r="Q177" i="7" s="1" a="1"/>
  <c r="S177" i="7" a="1"/>
  <c r="T177" i="7" a="1"/>
  <c r="S178" i="7" a="1"/>
  <c r="R178" i="7" a="1"/>
  <c r="Q178" i="7" s="1" a="1"/>
  <c r="V178" i="7" s="1" a="1"/>
  <c r="U178" i="7" a="1"/>
  <c r="R179" i="7" a="1"/>
  <c r="Q179" i="7" s="1" a="1"/>
  <c r="T179" i="7" a="1"/>
  <c r="S179" i="7" a="1"/>
  <c r="S180" i="7" a="1"/>
  <c r="R180" i="7" a="1"/>
  <c r="Q180" i="7" s="1" a="1"/>
  <c r="T180" i="7" a="1"/>
  <c r="R181" i="7" a="1"/>
  <c r="Q181" i="7" s="1" a="1"/>
  <c r="S183" i="7" a="1"/>
  <c r="R183" i="7" a="1"/>
  <c r="Q183" i="7" s="1" a="1"/>
  <c r="T184" i="7" a="1"/>
  <c r="R184" i="7" a="1"/>
  <c r="Q184" i="7" s="1" a="1"/>
  <c r="S184" i="7" a="1"/>
  <c r="T185" i="7" a="1"/>
  <c r="R185" i="7" a="1"/>
  <c r="Q185" i="7" s="1" a="1"/>
  <c r="T186" i="7" a="1"/>
  <c r="R186" i="7" a="1"/>
  <c r="Q186" i="7" s="1" a="1"/>
  <c r="R187" i="7" a="1"/>
  <c r="Q187" i="7" s="1" a="1"/>
  <c r="T187" i="7" a="1"/>
  <c r="S187" i="7" a="1"/>
  <c r="S189" i="7" a="1"/>
  <c r="R189" i="7" a="1"/>
  <c r="Q189" i="7" s="1" a="1"/>
  <c r="T189" i="7" a="1"/>
  <c r="S190" i="7" a="1"/>
  <c r="R190" i="7" a="1"/>
  <c r="Q190" i="7" s="1" a="1"/>
  <c r="T192" i="7" a="1"/>
  <c r="S192" i="7" a="1"/>
  <c r="R192" i="7" a="1"/>
  <c r="Q192" i="7" s="1" a="1"/>
  <c r="R193" i="7" a="1"/>
  <c r="Q193" i="7" s="1" a="1"/>
  <c r="S193" i="7" a="1"/>
  <c r="R166" i="7" a="1"/>
  <c r="Q166" i="7" s="1" a="1"/>
  <c r="R170" i="7" a="1"/>
  <c r="Q170" i="7" s="1" a="1"/>
  <c r="V170" i="7" s="1" a="1"/>
  <c r="R191" i="7" a="1"/>
  <c r="Q191" i="7" s="1" a="1"/>
  <c r="V191" i="7" s="1" a="1"/>
  <c r="T182" i="7" a="1"/>
  <c r="S170" i="7" a="1"/>
  <c r="R175" i="7" a="1"/>
  <c r="Q175" i="7" s="1" a="1"/>
  <c r="R188" i="7" a="1"/>
  <c r="Q188" i="7" s="1" a="1"/>
  <c r="V188" i="7" s="1" a="1"/>
  <c r="S175" i="7" a="1"/>
  <c r="U188" i="7" a="1"/>
  <c r="R182" i="7" a="1"/>
  <c r="Q182" i="7" s="1" a="1"/>
  <c r="U191" i="7" a="1"/>
  <c r="R171" i="7" a="1"/>
  <c r="Q171" i="7" s="1" a="1"/>
  <c r="V171" i="7" s="1" a="1"/>
  <c r="U170" i="7" a="1"/>
  <c r="U171" i="7" a="1"/>
  <c r="R176" i="7" a="1"/>
  <c r="Q176" i="7" s="1" a="1"/>
  <c r="U22" i="8" l="1" a="1"/>
  <c r="V22" i="8" a="1"/>
  <c r="U26" i="8" a="1"/>
  <c r="V26" i="8" a="1"/>
  <c r="U30" i="8" a="1"/>
  <c r="V30" i="8" a="1"/>
  <c r="U34" i="8" a="1"/>
  <c r="V34" i="8" a="1"/>
  <c r="U45" i="8" a="1"/>
  <c r="V45" i="8" a="1"/>
  <c r="U61" i="8" a="1"/>
  <c r="V61" i="8" a="1"/>
  <c r="U79" i="8" a="1"/>
  <c r="V79" i="8" a="1"/>
  <c r="U114" i="8" a="1"/>
  <c r="V114" i="8" a="1"/>
  <c r="U121" i="8" a="1"/>
  <c r="V121" i="8" a="1"/>
  <c r="V136" i="8" a="1"/>
  <c r="U136" i="8" a="1"/>
  <c r="U139" i="8" a="1"/>
  <c r="V139" i="8" a="1"/>
  <c r="V141" i="8" a="1"/>
  <c r="U141" i="8" a="1"/>
  <c r="U146" i="8" a="1"/>
  <c r="V146" i="8" a="1"/>
  <c r="U151" i="8" a="1"/>
  <c r="V151" i="8" a="1"/>
  <c r="U155" i="8" a="1"/>
  <c r="V155" i="8" a="1"/>
  <c r="U157" i="8" a="1"/>
  <c r="V157" i="8" a="1"/>
  <c r="V190" i="8" a="1"/>
  <c r="U190" i="8" a="1"/>
  <c r="U202" i="8" a="1"/>
  <c r="V202" i="8" a="1"/>
  <c r="U212" i="8" a="1"/>
  <c r="V212" i="8" a="1"/>
  <c r="U217" i="8" a="1"/>
  <c r="V217" i="8" a="1"/>
  <c r="U226" i="8" a="1"/>
  <c r="V226" i="8" a="1"/>
  <c r="V229" i="8" a="1"/>
  <c r="U229" i="8" a="1"/>
  <c r="V230" i="8" a="1"/>
  <c r="U230" i="8" a="1"/>
  <c r="V241" i="8" a="1"/>
  <c r="U241" i="8" a="1"/>
  <c r="V242" i="8" a="1"/>
  <c r="U242" i="8" a="1"/>
  <c r="V44" i="8" a="1"/>
  <c r="U44" i="8" a="1"/>
  <c r="V52" i="8" a="1"/>
  <c r="U52" i="8" a="1"/>
  <c r="V91" i="8" a="1"/>
  <c r="U91" i="8" a="1"/>
  <c r="V105" i="8" a="1"/>
  <c r="U105" i="8" a="1"/>
  <c r="U116" i="8" a="1"/>
  <c r="V116" i="8" a="1"/>
  <c r="U232" i="8" a="1"/>
  <c r="V232" i="8" a="1"/>
  <c r="U240" i="8" a="1"/>
  <c r="V240" i="8" a="1"/>
  <c r="U11" i="6" a="1"/>
  <c r="V11" i="6" a="1"/>
  <c r="U20" i="6" a="1"/>
  <c r="V20" i="6" a="1"/>
  <c r="U26" i="6" a="1"/>
  <c r="V26" i="6" a="1"/>
  <c r="V28" i="6" a="1"/>
  <c r="U28" i="6" a="1"/>
  <c r="U30" i="6" a="1"/>
  <c r="V30" i="6" a="1"/>
  <c r="V13" i="6" a="1"/>
  <c r="U13" i="6" a="1"/>
  <c r="V27" i="6" a="1"/>
  <c r="U27" i="6" a="1"/>
  <c r="V58" i="7" a="1"/>
  <c r="U58" i="7" a="1"/>
  <c r="V66" i="7" a="1"/>
  <c r="U66" i="7" a="1"/>
  <c r="U93" i="7" a="1"/>
  <c r="V93" i="7" a="1"/>
  <c r="V107" i="7" a="1"/>
  <c r="U107" i="7" a="1"/>
  <c r="V147" i="7" a="1"/>
  <c r="U147" i="7" a="1"/>
  <c r="V153" i="7" a="1"/>
  <c r="U153" i="7" a="1"/>
  <c r="V156" i="7" a="1"/>
  <c r="U156" i="7" a="1"/>
  <c r="V157" i="7" a="1"/>
  <c r="U157" i="7" a="1"/>
  <c r="V158" i="7" a="1"/>
  <c r="U158" i="7" a="1"/>
  <c r="V140" i="8" a="1"/>
  <c r="U140" i="8" a="1"/>
  <c r="U152" i="8" a="1"/>
  <c r="V152" i="8" a="1"/>
  <c r="U174" i="8" a="1"/>
  <c r="V174" i="8" a="1"/>
  <c r="V177" i="8" a="1"/>
  <c r="U177" i="8" a="1"/>
  <c r="V199" i="8" a="1"/>
  <c r="U199" i="8" a="1"/>
  <c r="V200" i="8" a="1"/>
  <c r="U200" i="8" a="1"/>
  <c r="U207" i="8" a="1"/>
  <c r="V207" i="8" a="1"/>
  <c r="U213" i="8" a="1"/>
  <c r="V213" i="8" a="1"/>
  <c r="U215" i="8" a="1"/>
  <c r="V215" i="8" a="1"/>
  <c r="U219" i="8" a="1"/>
  <c r="V219" i="8" a="1"/>
  <c r="U225" i="8" a="1"/>
  <c r="V225" i="8" a="1"/>
  <c r="V227" i="8" a="1"/>
  <c r="U227" i="8" a="1"/>
  <c r="V231" i="8" a="1"/>
  <c r="U231" i="8" a="1"/>
  <c r="U234" i="8" a="1"/>
  <c r="V234" i="8" a="1"/>
  <c r="U237" i="8" a="1"/>
  <c r="V237" i="8" a="1"/>
  <c r="V239" i="8" a="1"/>
  <c r="U239" i="8" a="1"/>
  <c r="V55" i="8" a="1"/>
  <c r="U55" i="8" a="1"/>
  <c r="V18" i="8" a="1"/>
  <c r="U18" i="8" a="1"/>
  <c r="V20" i="8" a="1"/>
  <c r="U20" i="8" a="1"/>
  <c r="V21" i="8" a="1"/>
  <c r="U21" i="8" a="1"/>
  <c r="V24" i="8" a="1"/>
  <c r="U24" i="8" a="1"/>
  <c r="V27" i="8" a="1"/>
  <c r="U27" i="8" a="1"/>
  <c r="U36" i="8" a="1"/>
  <c r="V36" i="8" a="1"/>
  <c r="U40" i="8" a="1"/>
  <c r="V40" i="8" a="1"/>
  <c r="V58" i="8" a="1"/>
  <c r="U58" i="8" a="1"/>
  <c r="V214" i="8" a="1"/>
  <c r="U214" i="8" a="1"/>
  <c r="U218" i="8" a="1"/>
  <c r="V218" i="8" a="1"/>
  <c r="U233" i="8" a="1"/>
  <c r="V233" i="8" a="1"/>
  <c r="U236" i="8" a="1"/>
  <c r="V236" i="8" a="1"/>
  <c r="V39" i="8" a="1"/>
  <c r="U39" i="8" a="1"/>
  <c r="N4" i="7"/>
  <c r="Q9" i="7" a="1"/>
  <c r="M4" i="7" s="1"/>
  <c r="V18" i="7" a="1"/>
  <c r="U18" i="7" a="1"/>
  <c r="V47" i="7" a="1"/>
  <c r="U47" i="7" a="1"/>
  <c r="U87" i="7" a="1"/>
  <c r="V87" i="7" a="1"/>
  <c r="U98" i="7" a="1"/>
  <c r="V98" i="7" a="1"/>
  <c r="U102" i="7" a="1"/>
  <c r="V102" i="7" a="1"/>
  <c r="V123" i="7" a="1"/>
  <c r="U123" i="7" a="1"/>
  <c r="V133" i="7" a="1"/>
  <c r="U133" i="7" a="1"/>
  <c r="U164" i="7" a="1"/>
  <c r="V164" i="7" a="1"/>
  <c r="U169" i="7" a="1"/>
  <c r="V169" i="7" a="1"/>
  <c r="U185" i="7" a="1"/>
  <c r="V185" i="7" a="1"/>
  <c r="V189" i="7" a="1"/>
  <c r="U189" i="7" a="1"/>
  <c r="Q8" i="13" a="1"/>
  <c r="M4" i="13" s="1"/>
  <c r="N4" i="9"/>
  <c r="U51" i="8" a="1"/>
  <c r="V51" i="8" a="1"/>
  <c r="N4" i="8"/>
  <c r="Q8" i="8" a="1"/>
  <c r="V9" i="8" a="1"/>
  <c r="U9" i="8" a="1"/>
  <c r="U10" i="8" a="1"/>
  <c r="V10" i="8" a="1"/>
  <c r="V11" i="8" a="1"/>
  <c r="U11" i="8" a="1"/>
  <c r="U12" i="8" a="1"/>
  <c r="V12" i="8" a="1"/>
  <c r="V13" i="8" a="1"/>
  <c r="U13" i="8" a="1"/>
  <c r="V15" i="8" a="1"/>
  <c r="U15" i="8" a="1"/>
  <c r="V16" i="8" a="1"/>
  <c r="U16" i="8" a="1"/>
  <c r="U17" i="8" a="1"/>
  <c r="V17" i="8" a="1"/>
  <c r="V23" i="8" a="1"/>
  <c r="U23" i="8" a="1"/>
  <c r="V25" i="8" a="1"/>
  <c r="U25" i="8" a="1"/>
  <c r="U29" i="8" a="1"/>
  <c r="V29" i="8" a="1"/>
  <c r="U31" i="8" a="1"/>
  <c r="V31" i="8" a="1"/>
  <c r="V32" i="8" a="1"/>
  <c r="U32" i="8" a="1"/>
  <c r="U33" i="8" a="1"/>
  <c r="V33" i="8" a="1"/>
  <c r="V37" i="8" a="1"/>
  <c r="U37" i="8" a="1"/>
  <c r="V41" i="8" a="1"/>
  <c r="U41" i="8" a="1"/>
  <c r="V42" i="8" a="1"/>
  <c r="U42" i="8" a="1"/>
  <c r="V43" i="8" a="1"/>
  <c r="U43" i="8" a="1"/>
  <c r="V46" i="8" a="1"/>
  <c r="U46" i="8" a="1"/>
  <c r="U47" i="8" a="1"/>
  <c r="V47" i="8" a="1"/>
  <c r="V48" i="8" a="1"/>
  <c r="U48" i="8" a="1"/>
  <c r="V49" i="8" a="1"/>
  <c r="U49" i="8" a="1"/>
  <c r="U50" i="8" a="1"/>
  <c r="V50" i="8" a="1"/>
  <c r="V53" i="8" a="1"/>
  <c r="U53" i="8" a="1"/>
  <c r="V54" i="8" a="1"/>
  <c r="U54" i="8" a="1"/>
  <c r="U56" i="8" a="1"/>
  <c r="V56" i="8" a="1"/>
  <c r="V57" i="8" a="1"/>
  <c r="U57" i="8" a="1"/>
  <c r="V59" i="8" a="1"/>
  <c r="U59" i="8" a="1"/>
  <c r="U60" i="8" a="1"/>
  <c r="V60" i="8" a="1"/>
  <c r="V63" i="8" a="1"/>
  <c r="U63" i="8" a="1"/>
  <c r="V64" i="8" a="1"/>
  <c r="U64" i="8" a="1"/>
  <c r="V65" i="8" a="1"/>
  <c r="U65" i="8" a="1"/>
  <c r="U66" i="8" a="1"/>
  <c r="V66" i="8" a="1"/>
  <c r="V68" i="8" a="1"/>
  <c r="U68" i="8" a="1"/>
  <c r="U69" i="8" a="1"/>
  <c r="V69" i="8" a="1"/>
  <c r="V71" i="8" a="1"/>
  <c r="U71" i="8" a="1"/>
  <c r="V72" i="8" a="1"/>
  <c r="U72" i="8" a="1"/>
  <c r="V74" i="8" a="1"/>
  <c r="U74" i="8" a="1"/>
  <c r="V75" i="8" a="1"/>
  <c r="U75" i="8" a="1"/>
  <c r="V76" i="8" a="1"/>
  <c r="U76" i="8" a="1"/>
  <c r="V78" i="8" a="1"/>
  <c r="U78" i="8" a="1"/>
  <c r="V81" i="8" a="1"/>
  <c r="U81" i="8" a="1"/>
  <c r="V82" i="8" a="1"/>
  <c r="U82" i="8" a="1"/>
  <c r="V86" i="8" a="1"/>
  <c r="U86" i="8" a="1"/>
  <c r="V87" i="8" a="1"/>
  <c r="U87" i="8" a="1"/>
  <c r="U92" i="8" a="1"/>
  <c r="V92" i="8" a="1"/>
  <c r="V93" i="8" a="1"/>
  <c r="U93" i="8" a="1"/>
  <c r="U95" i="8" a="1"/>
  <c r="V95" i="8" a="1"/>
  <c r="V97" i="8" a="1"/>
  <c r="U97" i="8" a="1"/>
  <c r="V99" i="8" a="1"/>
  <c r="U99" i="8" a="1"/>
  <c r="U100" i="8" a="1"/>
  <c r="V100" i="8" a="1"/>
  <c r="V102" i="8" a="1"/>
  <c r="U102" i="8" a="1"/>
  <c r="U107" i="8" a="1"/>
  <c r="V107" i="8" a="1"/>
  <c r="V109" i="8" a="1"/>
  <c r="U109" i="8" a="1"/>
  <c r="V112" i="8" a="1"/>
  <c r="U112" i="8" a="1"/>
  <c r="U113" i="8" a="1"/>
  <c r="V113" i="8" a="1"/>
  <c r="V119" i="8" a="1"/>
  <c r="U119" i="8" a="1"/>
  <c r="U123" i="8" a="1"/>
  <c r="V123" i="8" a="1"/>
  <c r="V128" i="8" a="1"/>
  <c r="U128" i="8" a="1"/>
  <c r="V130" i="8" a="1"/>
  <c r="U130" i="8" a="1"/>
  <c r="V132" i="8" a="1"/>
  <c r="U132" i="8" a="1"/>
  <c r="U134" i="8" a="1"/>
  <c r="V134" i="8" a="1"/>
  <c r="V138" i="8" a="1"/>
  <c r="U138" i="8" a="1"/>
  <c r="V142" i="8" a="1"/>
  <c r="U142" i="8" a="1"/>
  <c r="U143" i="8" a="1"/>
  <c r="V143" i="8" a="1"/>
  <c r="U148" i="8" a="1"/>
  <c r="V148" i="8" a="1"/>
  <c r="V153" i="8" a="1"/>
  <c r="U153" i="8" a="1"/>
  <c r="U158" i="8" a="1"/>
  <c r="V158" i="8" a="1"/>
  <c r="V159" i="8" a="1"/>
  <c r="U159" i="8" a="1"/>
  <c r="V163" i="8" a="1"/>
  <c r="U163" i="8" a="1"/>
  <c r="V164" i="8" a="1"/>
  <c r="U164" i="8" a="1"/>
  <c r="U168" i="8" a="1"/>
  <c r="V168" i="8" a="1"/>
  <c r="U169" i="8" a="1"/>
  <c r="V169" i="8" a="1"/>
  <c r="V173" i="8" a="1"/>
  <c r="U173" i="8" a="1"/>
  <c r="V176" i="8" a="1"/>
  <c r="U176" i="8" a="1"/>
  <c r="U179" i="8" a="1"/>
  <c r="V179" i="8" a="1"/>
  <c r="U180" i="8" a="1"/>
  <c r="V180" i="8" a="1"/>
  <c r="U188" i="8" a="1"/>
  <c r="V188" i="8" a="1"/>
  <c r="U191" i="8" a="1"/>
  <c r="V191" i="8" a="1"/>
  <c r="V193" i="8" a="1"/>
  <c r="U193" i="8" a="1"/>
  <c r="U196" i="8" a="1"/>
  <c r="V196" i="8" a="1"/>
  <c r="V201" i="8" a="1"/>
  <c r="U201" i="8" a="1"/>
  <c r="V204" i="8" a="1"/>
  <c r="U204" i="8" a="1"/>
  <c r="V206" i="8" a="1"/>
  <c r="U206" i="8" a="1"/>
  <c r="U210" i="8" a="1"/>
  <c r="V210" i="8" a="1"/>
  <c r="V216" i="8" a="1"/>
  <c r="U216" i="8" a="1"/>
  <c r="U222" i="8" a="1"/>
  <c r="V222" i="8" a="1"/>
  <c r="U223" i="8" a="1"/>
  <c r="V223" i="8" a="1"/>
  <c r="U228" i="8" a="1"/>
  <c r="V228" i="8" a="1"/>
  <c r="V94" i="8" a="1"/>
  <c r="U94" i="8" a="1"/>
  <c r="V14" i="8" a="1"/>
  <c r="U14" i="8" a="1"/>
  <c r="V106" i="8" a="1"/>
  <c r="U106" i="8" a="1"/>
  <c r="N4" i="6"/>
  <c r="Q8" i="6" a="1"/>
  <c r="U9" i="6" a="1"/>
  <c r="V9" i="6" a="1"/>
  <c r="V10" i="6" a="1"/>
  <c r="U10" i="6" a="1"/>
  <c r="U14" i="6" a="1"/>
  <c r="V14" i="6" a="1"/>
  <c r="V16" i="6" a="1"/>
  <c r="U16" i="6" a="1"/>
  <c r="V17" i="6" a="1"/>
  <c r="U17" i="6" a="1"/>
  <c r="U18" i="6" a="1"/>
  <c r="V18" i="6" a="1"/>
  <c r="V19" i="6" a="1"/>
  <c r="U19" i="6" a="1"/>
  <c r="U21" i="6" a="1"/>
  <c r="V21" i="6" a="1"/>
  <c r="U23" i="6" a="1"/>
  <c r="V23" i="6" a="1"/>
  <c r="U25" i="6" a="1"/>
  <c r="V25" i="6" a="1"/>
  <c r="U29" i="6" a="1"/>
  <c r="V29" i="6" a="1"/>
  <c r="V31" i="6" a="1"/>
  <c r="U31" i="6" a="1"/>
  <c r="U32" i="6" a="1"/>
  <c r="V32" i="6" a="1"/>
  <c r="V33" i="6" a="1"/>
  <c r="U33" i="6" a="1"/>
  <c r="U34" i="6" a="1"/>
  <c r="V34" i="6" a="1"/>
  <c r="V35" i="6" a="1"/>
  <c r="U35" i="6" a="1"/>
  <c r="V36" i="6" a="1"/>
  <c r="U36" i="6" a="1"/>
  <c r="U37" i="6" a="1"/>
  <c r="V37" i="6" a="1"/>
  <c r="U15" i="6" a="1"/>
  <c r="V15" i="6" a="1"/>
  <c r="U24" i="6" a="1"/>
  <c r="V24" i="6" a="1"/>
  <c r="U8" i="7" a="1"/>
  <c r="O4" i="7" s="1"/>
  <c r="V8" i="7" a="1"/>
  <c r="P4" i="7" s="1"/>
  <c r="U9" i="7" a="1"/>
  <c r="V9" i="7" a="1"/>
  <c r="U10" i="7" a="1"/>
  <c r="V10" i="7" a="1"/>
  <c r="U12" i="7" a="1"/>
  <c r="V12" i="7" a="1"/>
  <c r="U13" i="7" a="1"/>
  <c r="V13" i="7" a="1"/>
  <c r="U14" i="7" a="1"/>
  <c r="V14" i="7" a="1"/>
  <c r="U15" i="7" a="1"/>
  <c r="V15" i="7" a="1"/>
  <c r="U16" i="7" a="1"/>
  <c r="V16" i="7" a="1"/>
  <c r="U17" i="7" a="1"/>
  <c r="V17" i="7" a="1"/>
  <c r="U19" i="7" a="1"/>
  <c r="V19" i="7" a="1"/>
  <c r="U20" i="7" a="1"/>
  <c r="V20" i="7" a="1"/>
  <c r="U21" i="7" a="1"/>
  <c r="V21" i="7" a="1"/>
  <c r="U22" i="7" a="1"/>
  <c r="V22" i="7" a="1"/>
  <c r="U23" i="7" a="1"/>
  <c r="V23" i="7" a="1"/>
  <c r="U24" i="7" a="1"/>
  <c r="V24" i="7" a="1"/>
  <c r="U25" i="7" a="1"/>
  <c r="V25" i="7" a="1"/>
  <c r="U27" i="7" a="1"/>
  <c r="V27" i="7" a="1"/>
  <c r="U28" i="7" a="1"/>
  <c r="V28" i="7" a="1"/>
  <c r="U29" i="7" a="1"/>
  <c r="V29" i="7" a="1"/>
  <c r="U30" i="7" a="1"/>
  <c r="V30" i="7" a="1"/>
  <c r="U31" i="7" a="1"/>
  <c r="V31" i="7" a="1"/>
  <c r="U34" i="7" a="1"/>
  <c r="V34" i="7" a="1"/>
  <c r="U35" i="7" a="1"/>
  <c r="V35" i="7" a="1"/>
  <c r="V36" i="7" a="1"/>
  <c r="U36" i="7" a="1"/>
  <c r="U37" i="7" a="1"/>
  <c r="V37" i="7" a="1"/>
  <c r="U38" i="7" a="1"/>
  <c r="V38" i="7" a="1"/>
  <c r="U39" i="7" a="1"/>
  <c r="V39" i="7" a="1"/>
  <c r="U40" i="7" a="1"/>
  <c r="V40" i="7" a="1"/>
  <c r="V42" i="7" a="1"/>
  <c r="U42" i="7" a="1"/>
  <c r="U43" i="7" a="1"/>
  <c r="V43" i="7" a="1"/>
  <c r="U44" i="7" a="1"/>
  <c r="V44" i="7" a="1"/>
  <c r="U46" i="7" a="1"/>
  <c r="V46" i="7" a="1"/>
  <c r="U48" i="7" a="1"/>
  <c r="V48" i="7" a="1"/>
  <c r="U49" i="7" a="1"/>
  <c r="V49" i="7" a="1"/>
  <c r="U50" i="7" a="1"/>
  <c r="V50" i="7" a="1"/>
  <c r="U52" i="7" a="1"/>
  <c r="V52" i="7" a="1"/>
  <c r="U53" i="7" a="1"/>
  <c r="V53" i="7" a="1"/>
  <c r="U54" i="7" a="1"/>
  <c r="V54" i="7" a="1"/>
  <c r="U56" i="7" a="1"/>
  <c r="V56" i="7" a="1"/>
  <c r="U57" i="7" a="1"/>
  <c r="V57" i="7" a="1"/>
  <c r="U59" i="7" a="1"/>
  <c r="V59" i="7" a="1"/>
  <c r="U62" i="7" a="1"/>
  <c r="V62" i="7" a="1"/>
  <c r="U64" i="7" a="1"/>
  <c r="V64" i="7" a="1"/>
  <c r="U65" i="7" a="1"/>
  <c r="V65" i="7" a="1"/>
  <c r="U67" i="7" a="1"/>
  <c r="V67" i="7" a="1"/>
  <c r="U68" i="7" a="1"/>
  <c r="V68" i="7" a="1"/>
  <c r="U69" i="7" a="1"/>
  <c r="V69" i="7" a="1"/>
  <c r="U70" i="7" a="1"/>
  <c r="V70" i="7" a="1"/>
  <c r="U71" i="7" a="1"/>
  <c r="V71" i="7" a="1"/>
  <c r="U73" i="7" a="1"/>
  <c r="V73" i="7" a="1"/>
  <c r="U74" i="7" a="1"/>
  <c r="V74" i="7" a="1"/>
  <c r="U75" i="7" a="1"/>
  <c r="V75" i="7" a="1"/>
  <c r="U76" i="7" a="1"/>
  <c r="V76" i="7" a="1"/>
  <c r="V77" i="7" a="1"/>
  <c r="U77" i="7" a="1"/>
  <c r="U78" i="7" a="1"/>
  <c r="V78" i="7" a="1"/>
  <c r="U79" i="7" a="1"/>
  <c r="V79" i="7" a="1"/>
  <c r="U80" i="7" a="1"/>
  <c r="V80" i="7" a="1"/>
  <c r="U81" i="7" a="1"/>
  <c r="V81" i="7" a="1"/>
  <c r="V82" i="7" a="1"/>
  <c r="U82" i="7" a="1"/>
  <c r="U84" i="7" a="1"/>
  <c r="V84" i="7" a="1"/>
  <c r="U85" i="7" a="1"/>
  <c r="V85" i="7" a="1"/>
  <c r="V86" i="7" a="1"/>
  <c r="U86" i="7" a="1"/>
  <c r="U88" i="7" a="1"/>
  <c r="V88" i="7" a="1"/>
  <c r="V89" i="7" a="1"/>
  <c r="U89" i="7" a="1"/>
  <c r="U90" i="7" a="1"/>
  <c r="V90" i="7" a="1"/>
  <c r="V91" i="7" a="1"/>
  <c r="U91" i="7" a="1"/>
  <c r="U92" i="7" a="1"/>
  <c r="V92" i="7" a="1"/>
  <c r="U94" i="7" a="1"/>
  <c r="V94" i="7" a="1"/>
  <c r="V97" i="7" a="1"/>
  <c r="U97" i="7" a="1"/>
  <c r="U99" i="7" a="1"/>
  <c r="V99" i="7" a="1"/>
  <c r="U100" i="7" a="1"/>
  <c r="V100" i="7" a="1"/>
  <c r="U101" i="7" a="1"/>
  <c r="V101" i="7" a="1"/>
  <c r="U103" i="7" a="1"/>
  <c r="V103" i="7" a="1"/>
  <c r="U106" i="7" a="1"/>
  <c r="V106" i="7" a="1"/>
  <c r="U110" i="7" a="1"/>
  <c r="V110" i="7" a="1"/>
  <c r="V111" i="7" a="1"/>
  <c r="U111" i="7" a="1"/>
  <c r="V112" i="7" a="1"/>
  <c r="U112" i="7" a="1"/>
  <c r="U114" i="7" a="1"/>
  <c r="V114" i="7" a="1"/>
  <c r="V117" i="7" a="1"/>
  <c r="U117" i="7" a="1"/>
  <c r="U119" i="7" a="1"/>
  <c r="V119" i="7" a="1"/>
  <c r="U120" i="7" a="1"/>
  <c r="V120" i="7" a="1"/>
  <c r="V121" i="7" a="1"/>
  <c r="U121" i="7" a="1"/>
  <c r="V122" i="7" a="1"/>
  <c r="U122" i="7" a="1"/>
  <c r="U124" i="7" a="1"/>
  <c r="V124" i="7" a="1"/>
  <c r="V127" i="7" a="1"/>
  <c r="U127" i="7" a="1"/>
  <c r="V128" i="7" a="1"/>
  <c r="U128" i="7" a="1"/>
  <c r="U129" i="7" a="1"/>
  <c r="V129" i="7" a="1"/>
  <c r="V131" i="7" a="1"/>
  <c r="U131" i="7" a="1"/>
  <c r="U132" i="7" a="1"/>
  <c r="V132" i="7" a="1"/>
  <c r="V134" i="7" a="1"/>
  <c r="U134" i="7" a="1"/>
  <c r="V136" i="7" a="1"/>
  <c r="U136" i="7" a="1"/>
  <c r="U138" i="7" a="1"/>
  <c r="V138" i="7" a="1"/>
  <c r="V139" i="7" a="1"/>
  <c r="U139" i="7" a="1"/>
  <c r="V141" i="7" a="1"/>
  <c r="U141" i="7" a="1"/>
  <c r="V143" i="7" a="1"/>
  <c r="U143" i="7" a="1"/>
  <c r="U145" i="7" a="1"/>
  <c r="V145" i="7" a="1"/>
  <c r="V146" i="7" a="1"/>
  <c r="U146" i="7" a="1"/>
  <c r="U149" i="7" a="1"/>
  <c r="V149" i="7" a="1"/>
  <c r="U150" i="7" a="1"/>
  <c r="V150" i="7" a="1"/>
  <c r="U151" i="7" a="1"/>
  <c r="V151" i="7" a="1"/>
  <c r="U176" i="7" a="1"/>
  <c r="V176" i="7" a="1"/>
  <c r="U11" i="7" a="1"/>
  <c r="V11" i="7" a="1"/>
  <c r="U26" i="7" a="1"/>
  <c r="V26" i="7" a="1"/>
  <c r="V33" i="7" a="1"/>
  <c r="U33" i="7" a="1"/>
  <c r="U41" i="7" a="1"/>
  <c r="V41" i="7" a="1"/>
  <c r="V45" i="7" a="1"/>
  <c r="U45" i="7" a="1"/>
  <c r="U51" i="7" a="1"/>
  <c r="V51" i="7" a="1"/>
  <c r="V55" i="7" a="1"/>
  <c r="U55" i="7" a="1"/>
  <c r="V60" i="7" a="1"/>
  <c r="U60" i="7" a="1"/>
  <c r="U61" i="7" a="1"/>
  <c r="V61" i="7" a="1"/>
  <c r="U63" i="7" a="1"/>
  <c r="V63" i="7" a="1"/>
  <c r="V72" i="7" a="1"/>
  <c r="U72" i="7" a="1"/>
  <c r="U83" i="7" a="1"/>
  <c r="V83" i="7" a="1"/>
  <c r="U95" i="7" a="1"/>
  <c r="V95" i="7" a="1"/>
  <c r="V96" i="7" a="1"/>
  <c r="U96" i="7" a="1"/>
  <c r="V104" i="7" a="1"/>
  <c r="U104" i="7" a="1"/>
  <c r="V105" i="7" a="1"/>
  <c r="U105" i="7" a="1"/>
  <c r="V108" i="7" a="1"/>
  <c r="U108" i="7" a="1"/>
  <c r="V109" i="7" a="1"/>
  <c r="U109" i="7" a="1"/>
  <c r="V113" i="7" a="1"/>
  <c r="U113" i="7" a="1"/>
  <c r="U115" i="7" a="1"/>
  <c r="V115" i="7" a="1"/>
  <c r="U116" i="7" a="1"/>
  <c r="V116" i="7" a="1"/>
  <c r="U118" i="7" a="1"/>
  <c r="V118" i="7" a="1"/>
  <c r="U126" i="7" a="1"/>
  <c r="V126" i="7" a="1"/>
  <c r="U130" i="7" a="1"/>
  <c r="V130" i="7" a="1"/>
  <c r="V135" i="7" a="1"/>
  <c r="U135" i="7" a="1"/>
  <c r="V137" i="7" a="1"/>
  <c r="U137" i="7" a="1"/>
  <c r="U140" i="7" a="1"/>
  <c r="V140" i="7" a="1"/>
  <c r="V142" i="7" a="1"/>
  <c r="U142" i="7" a="1"/>
  <c r="V144" i="7" a="1"/>
  <c r="U144" i="7" a="1"/>
  <c r="V148" i="7" a="1"/>
  <c r="U148" i="7" a="1"/>
  <c r="V152" i="7" a="1"/>
  <c r="U152" i="7" a="1"/>
  <c r="U155" i="7" a="1"/>
  <c r="V155" i="7" a="1"/>
  <c r="V159" i="7" a="1"/>
  <c r="U159" i="7" a="1"/>
  <c r="U160" i="7" a="1"/>
  <c r="V160" i="7" a="1"/>
  <c r="V162" i="7" a="1"/>
  <c r="U162" i="7" a="1"/>
  <c r="V163" i="7" a="1"/>
  <c r="U163" i="7" a="1"/>
  <c r="U165" i="7" a="1"/>
  <c r="V165" i="7" a="1"/>
  <c r="U167" i="7" a="1"/>
  <c r="V167" i="7" a="1"/>
  <c r="U173" i="7" a="1"/>
  <c r="V173" i="7" a="1"/>
  <c r="U174" i="7" a="1"/>
  <c r="V174" i="7" a="1"/>
  <c r="V177" i="7" a="1"/>
  <c r="U177" i="7" a="1"/>
  <c r="V179" i="7" a="1"/>
  <c r="U179" i="7" a="1"/>
  <c r="V180" i="7" a="1"/>
  <c r="U180" i="7" a="1"/>
  <c r="U181" i="7" a="1"/>
  <c r="V181" i="7" a="1"/>
  <c r="U183" i="7" a="1"/>
  <c r="V183" i="7" a="1"/>
  <c r="U184" i="7" a="1"/>
  <c r="V184" i="7" a="1"/>
  <c r="U186" i="7" a="1"/>
  <c r="V186" i="7" a="1"/>
  <c r="V187" i="7" a="1"/>
  <c r="U187" i="7" a="1"/>
  <c r="V190" i="7" a="1"/>
  <c r="U190" i="7" a="1"/>
  <c r="U192" i="7" a="1"/>
  <c r="V192" i="7" a="1"/>
  <c r="V193" i="7" a="1"/>
  <c r="U193" i="7" a="1"/>
  <c r="V166" i="7" a="1"/>
  <c r="U166" i="7" a="1"/>
  <c r="V175" i="7" a="1"/>
  <c r="U175" i="7" a="1"/>
  <c r="V182" i="7" a="1"/>
  <c r="U182" i="7" a="1"/>
  <c r="V8" i="8" l="1" a="1"/>
  <c r="P4" i="8" s="1"/>
  <c r="M4" i="8"/>
  <c r="U8" i="8" a="1"/>
  <c r="O4" i="8" s="1"/>
  <c r="U8" i="6" a="1"/>
  <c r="O4" i="6" s="1"/>
  <c r="V8" i="6" a="1"/>
  <c r="P4" i="6" s="1"/>
  <c r="M4" i="6"/>
  <c r="C18" i="10" l="1"/>
  <c r="C29" i="10"/>
  <c r="C28" i="10"/>
  <c r="C27" i="10"/>
  <c r="C26" i="10"/>
  <c r="C16" i="10"/>
  <c r="C7" i="10"/>
  <c r="G211" i="5" l="1"/>
  <c r="N211" i="5" s="1" a="1"/>
  <c r="T211" i="5" l="1" a="1"/>
  <c r="U211" i="5" a="1"/>
  <c r="W211" i="5" a="1"/>
  <c r="X211" i="5" a="1"/>
  <c r="S211" i="5" a="1"/>
  <c r="V211" i="5" a="1"/>
  <c r="G210" i="5"/>
  <c r="N210" i="5" s="1" a="1"/>
  <c r="W210" i="5" l="1" a="1"/>
  <c r="T210" i="5" a="1"/>
  <c r="X210" i="5" a="1"/>
  <c r="U210" i="5" a="1"/>
  <c r="S210" i="5" a="1"/>
  <c r="V210" i="5" a="1"/>
  <c r="G209" i="5"/>
  <c r="N209" i="5" s="1" a="1"/>
  <c r="V209" i="5" l="1" a="1"/>
  <c r="T209" i="5" a="1"/>
  <c r="S209" i="5" s="1" a="1"/>
  <c r="X209" i="5" a="1"/>
  <c r="U209" i="5" a="1"/>
  <c r="W209" i="5" a="1"/>
  <c r="G208" i="5"/>
  <c r="N208" i="5" s="1" a="1"/>
  <c r="T208" i="5" l="1" a="1"/>
  <c r="S208" i="5" s="1" a="1"/>
  <c r="V208" i="5" a="1"/>
  <c r="U208" i="5" a="1"/>
  <c r="X208" i="5" a="1"/>
  <c r="W208" i="5" a="1"/>
  <c r="G207" i="5"/>
  <c r="N207" i="5" s="1" a="1"/>
  <c r="W207" i="5" l="1" a="1"/>
  <c r="V207" i="5" a="1"/>
  <c r="T207" i="5" a="1"/>
  <c r="S207" i="5" s="1" a="1"/>
  <c r="X207" i="5" a="1"/>
  <c r="U207" i="5" a="1"/>
  <c r="G206" i="5"/>
  <c r="N206" i="5" s="1" a="1"/>
  <c r="T206" i="5" l="1" a="1"/>
  <c r="V206" i="5" a="1"/>
  <c r="X206" i="5" a="1"/>
  <c r="S206" i="5" a="1"/>
  <c r="U206" i="5" a="1"/>
  <c r="W206" i="5" a="1"/>
  <c r="G205" i="5"/>
  <c r="N205" i="5" s="1" a="1"/>
  <c r="W205" i="5" l="1" a="1"/>
  <c r="T205" i="5" a="1"/>
  <c r="S205" i="5" s="1" a="1"/>
  <c r="U205" i="5" a="1"/>
  <c r="X205" i="5" a="1"/>
  <c r="V205" i="5" a="1"/>
  <c r="G204" i="5"/>
  <c r="N204" i="5" s="1" a="1"/>
  <c r="T204" i="5" l="1" a="1"/>
  <c r="X204" i="5" a="1"/>
  <c r="U204" i="5" a="1"/>
  <c r="W204" i="5" a="1"/>
  <c r="V204" i="5" a="1"/>
  <c r="S204" i="5" a="1"/>
  <c r="G203" i="5"/>
  <c r="N203" i="5" s="1" a="1"/>
  <c r="U203" i="5" l="1" a="1"/>
  <c r="V203" i="5" a="1"/>
  <c r="T203" i="5" a="1"/>
  <c r="S203" i="5" s="1" a="1"/>
  <c r="X203" i="5" a="1"/>
  <c r="W203" i="5" a="1"/>
  <c r="G202" i="5"/>
  <c r="N202" i="5" s="1" a="1"/>
  <c r="U202" i="5" l="1" a="1"/>
  <c r="T202" i="5" a="1"/>
  <c r="S202" i="5" s="1" a="1"/>
  <c r="V202" i="5" a="1"/>
  <c r="W202" i="5" a="1"/>
  <c r="X202" i="5" a="1"/>
  <c r="G201" i="5"/>
  <c r="N201" i="5" s="1" a="1"/>
  <c r="V201" i="5" l="1" a="1"/>
  <c r="T201" i="5" a="1"/>
  <c r="S201" i="5" s="1" a="1"/>
  <c r="X201" i="5" a="1"/>
  <c r="W201" i="5" a="1"/>
  <c r="U201" i="5" a="1"/>
  <c r="G200" i="5"/>
  <c r="N200" i="5" s="1" a="1"/>
  <c r="V200" i="5" l="1" a="1"/>
  <c r="W200" i="5" a="1"/>
  <c r="U200" i="5" a="1"/>
  <c r="T200" i="5" a="1"/>
  <c r="S200" i="5" s="1" a="1"/>
  <c r="X200" i="5" a="1"/>
  <c r="G199" i="5"/>
  <c r="N199" i="5" s="1" a="1"/>
  <c r="X199" i="5" l="1" a="1"/>
  <c r="V199" i="5" a="1"/>
  <c r="W199" i="5" a="1"/>
  <c r="T199" i="5" a="1"/>
  <c r="S199" i="5" s="1" a="1"/>
  <c r="U199" i="5" a="1"/>
  <c r="G198" i="5"/>
  <c r="N198" i="5" s="1" a="1"/>
  <c r="T198" i="5" l="1" a="1"/>
  <c r="S198" i="5" s="1" a="1"/>
  <c r="V198" i="5" a="1"/>
  <c r="W198" i="5" a="1"/>
  <c r="X198" i="5" a="1"/>
  <c r="U198" i="5" a="1"/>
  <c r="G197" i="5"/>
  <c r="N197" i="5" s="1" a="1"/>
  <c r="W197" i="5" l="1" a="1"/>
  <c r="T197" i="5" a="1"/>
  <c r="X197" i="5" a="1"/>
  <c r="U197" i="5" a="1"/>
  <c r="V197" i="5" a="1"/>
  <c r="S197" i="5" a="1"/>
  <c r="G196" i="5"/>
  <c r="N196" i="5" s="1" a="1"/>
  <c r="T196" i="5" l="1" a="1"/>
  <c r="X196" i="5" a="1"/>
  <c r="W196" i="5" a="1"/>
  <c r="V196" i="5" a="1"/>
  <c r="U196" i="5" a="1"/>
  <c r="S196" i="5" a="1"/>
  <c r="G195" i="5"/>
  <c r="N195" i="5" s="1" a="1"/>
  <c r="T195" i="5" l="1" a="1"/>
  <c r="U195" i="5" a="1"/>
  <c r="V195" i="5" a="1"/>
  <c r="X195" i="5" a="1"/>
  <c r="W195" i="5" a="1"/>
  <c r="S195" i="5" a="1"/>
  <c r="G194" i="5"/>
  <c r="N194" i="5" s="1" a="1"/>
  <c r="X194" i="5" l="1" a="1"/>
  <c r="U194" i="5" a="1"/>
  <c r="V194" i="5" a="1"/>
  <c r="W194" i="5" a="1"/>
  <c r="T194" i="5" a="1"/>
  <c r="S194" i="5" s="1" a="1"/>
  <c r="G193" i="5"/>
  <c r="N193" i="5" s="1" a="1"/>
  <c r="V193" i="5" l="1" a="1"/>
  <c r="T193" i="5" a="1"/>
  <c r="X193" i="5" a="1"/>
  <c r="U193" i="5" a="1"/>
  <c r="S193" i="5" a="1"/>
  <c r="W193" i="5" a="1"/>
  <c r="G192" i="5"/>
  <c r="N192" i="5" s="1" a="1"/>
  <c r="W192" i="5" l="1" a="1"/>
  <c r="U192" i="5" a="1"/>
  <c r="V192" i="5" a="1"/>
  <c r="T192" i="5" a="1"/>
  <c r="S192" i="5" s="1" a="1"/>
  <c r="X192" i="5" a="1"/>
  <c r="G191" i="5"/>
  <c r="N191" i="5" s="1" a="1"/>
  <c r="U191" i="5" l="1" a="1"/>
  <c r="V191" i="5" a="1"/>
  <c r="W191" i="5" a="1"/>
  <c r="T191" i="5" a="1"/>
  <c r="S191" i="5" s="1" a="1"/>
  <c r="X191" i="5" a="1"/>
  <c r="G190" i="5"/>
  <c r="N190" i="5" s="1" a="1"/>
  <c r="T190" i="5" l="1" a="1"/>
  <c r="X190" i="5" a="1"/>
  <c r="V190" i="5" a="1"/>
  <c r="S190" i="5" a="1"/>
  <c r="W190" i="5" a="1"/>
  <c r="U190" i="5" a="1"/>
  <c r="G189" i="5"/>
  <c r="N189" i="5" s="1" a="1"/>
  <c r="T189" i="5" l="1" a="1"/>
  <c r="S189" i="5" s="1" a="1"/>
  <c r="U189" i="5" a="1"/>
  <c r="X189" i="5" a="1"/>
  <c r="V189" i="5" a="1"/>
  <c r="W189" i="5" a="1"/>
  <c r="G188" i="5"/>
  <c r="N188" i="5" s="1" a="1"/>
  <c r="W188" i="5" l="1" a="1"/>
  <c r="X188" i="5" a="1"/>
  <c r="U188" i="5" a="1"/>
  <c r="V188" i="5" a="1"/>
  <c r="T188" i="5" a="1"/>
  <c r="S188" i="5" s="1" a="1"/>
  <c r="G187" i="5"/>
  <c r="N187" i="5" s="1" a="1"/>
  <c r="W187" i="5" l="1" a="1"/>
  <c r="T187" i="5" a="1"/>
  <c r="S187" i="5" s="1" a="1"/>
  <c r="X187" i="5" a="1"/>
  <c r="U187" i="5" a="1"/>
  <c r="V187" i="5" a="1"/>
  <c r="G186" i="5"/>
  <c r="N186" i="5" s="1" a="1"/>
  <c r="W186" i="5" l="1" a="1"/>
  <c r="T186" i="5" a="1"/>
  <c r="S186" i="5" s="1" a="1"/>
  <c r="U186" i="5" a="1"/>
  <c r="V186" i="5" a="1"/>
  <c r="X186" i="5" a="1"/>
  <c r="G185" i="5"/>
  <c r="N185" i="5" s="1" a="1"/>
  <c r="U185" i="5" l="1" a="1"/>
  <c r="V185" i="5" a="1"/>
  <c r="W185" i="5" a="1"/>
  <c r="T185" i="5" a="1"/>
  <c r="X185" i="5" a="1"/>
  <c r="S185" i="5" a="1"/>
  <c r="G184" i="5"/>
  <c r="N184" i="5" s="1" a="1"/>
  <c r="T184" i="5" l="1" a="1"/>
  <c r="S184" i="5" s="1" a="1"/>
  <c r="V184" i="5" a="1"/>
  <c r="W184" i="5" a="1"/>
  <c r="X184" i="5" a="1"/>
  <c r="U184" i="5" a="1"/>
  <c r="G183" i="5"/>
  <c r="N183" i="5" s="1" a="1"/>
  <c r="T183" i="5" l="1" a="1"/>
  <c r="X183" i="5" a="1"/>
  <c r="U183" i="5" a="1"/>
  <c r="V183" i="5" a="1"/>
  <c r="S183" i="5" a="1"/>
  <c r="W183" i="5" a="1"/>
  <c r="G182" i="5"/>
  <c r="N182" i="5" s="1" a="1"/>
  <c r="T182" i="5" l="1" a="1"/>
  <c r="V182" i="5" a="1"/>
  <c r="X182" i="5" a="1"/>
  <c r="S182" i="5" a="1"/>
  <c r="W182" i="5" a="1"/>
  <c r="U182" i="5" a="1"/>
  <c r="G181" i="5"/>
  <c r="N181" i="5" s="1" a="1"/>
  <c r="W181" i="5" l="1" a="1"/>
  <c r="U181" i="5" a="1"/>
  <c r="T181" i="5" a="1"/>
  <c r="S181" i="5" s="1" a="1"/>
  <c r="X181" i="5" a="1"/>
  <c r="V181" i="5" a="1"/>
  <c r="G180" i="5"/>
  <c r="N180" i="5" s="1" a="1"/>
  <c r="X180" i="5" l="1" a="1"/>
  <c r="W180" i="5" a="1"/>
  <c r="V180" i="5" a="1"/>
  <c r="U180" i="5" a="1"/>
  <c r="T180" i="5" a="1"/>
  <c r="S180" i="5" s="1" a="1"/>
  <c r="G179" i="5"/>
  <c r="N179" i="5" s="1" a="1"/>
  <c r="U179" i="5" l="1" a="1"/>
  <c r="V179" i="5" a="1"/>
  <c r="W179" i="5" a="1"/>
  <c r="T179" i="5" a="1"/>
  <c r="S179" i="5" s="1" a="1"/>
  <c r="X179" i="5" a="1"/>
  <c r="G178" i="5"/>
  <c r="N178" i="5" s="1" a="1"/>
  <c r="W178" i="5" l="1" a="1"/>
  <c r="T178" i="5" a="1"/>
  <c r="X178" i="5" a="1"/>
  <c r="S178" i="5" a="1"/>
  <c r="U178" i="5" a="1"/>
  <c r="V178" i="5" a="1"/>
  <c r="G177" i="5"/>
  <c r="N177" i="5" s="1" a="1"/>
  <c r="U177" i="5" l="1" a="1"/>
  <c r="V177" i="5" a="1"/>
  <c r="T177" i="5" a="1"/>
  <c r="S177" i="5" s="1" a="1"/>
  <c r="X177" i="5" a="1"/>
  <c r="W177" i="5" a="1"/>
  <c r="G176" i="5"/>
  <c r="N176" i="5" s="1" a="1"/>
  <c r="W176" i="5" l="1" a="1"/>
  <c r="V176" i="5" a="1"/>
  <c r="T176" i="5" a="1"/>
  <c r="S176" i="5" s="1" a="1"/>
  <c r="X176" i="5" a="1"/>
  <c r="U176" i="5" a="1"/>
  <c r="G175" i="5"/>
  <c r="N175" i="5" s="1" a="1"/>
  <c r="X175" i="5" l="1" a="1"/>
  <c r="V175" i="5" a="1"/>
  <c r="W175" i="5" a="1"/>
  <c r="T175" i="5" a="1"/>
  <c r="S175" i="5" s="1" a="1"/>
  <c r="U175" i="5" a="1"/>
  <c r="G174" i="5"/>
  <c r="N174" i="5" s="1" a="1"/>
  <c r="W174" i="5" l="1" a="1"/>
  <c r="T174" i="5" a="1"/>
  <c r="S174" i="5" s="1" a="1"/>
  <c r="X174" i="5" a="1"/>
  <c r="U174" i="5" a="1"/>
  <c r="V174" i="5" a="1"/>
  <c r="G173" i="5"/>
  <c r="N173" i="5" s="1" a="1"/>
  <c r="T173" i="5" l="1" a="1"/>
  <c r="V173" i="5" a="1"/>
  <c r="W173" i="5" a="1"/>
  <c r="X173" i="5" a="1"/>
  <c r="S173" i="5" a="1"/>
  <c r="U173" i="5" a="1"/>
  <c r="G172" i="5"/>
  <c r="N172" i="5" s="1" a="1"/>
  <c r="W172" i="5" l="1" a="1"/>
  <c r="V172" i="5" a="1"/>
  <c r="T172" i="5" a="1"/>
  <c r="S172" i="5" s="1" a="1"/>
  <c r="X172" i="5" a="1"/>
  <c r="U172" i="5" a="1"/>
  <c r="G171" i="5"/>
  <c r="N171" i="5" s="1" a="1"/>
  <c r="W171" i="5" l="1" a="1"/>
  <c r="T171" i="5" a="1"/>
  <c r="S171" i="5" s="1" a="1"/>
  <c r="X171" i="5" a="1"/>
  <c r="U171" i="5" a="1"/>
  <c r="V171" i="5" a="1"/>
  <c r="G170" i="5"/>
  <c r="N170" i="5" s="1" a="1"/>
  <c r="X170" i="5" l="1" a="1"/>
  <c r="W170" i="5" a="1"/>
  <c r="T170" i="5" a="1"/>
  <c r="S170" i="5" s="1" a="1"/>
  <c r="U170" i="5" a="1"/>
  <c r="V170" i="5" a="1"/>
  <c r="G169" i="5"/>
  <c r="N169" i="5" s="1" a="1"/>
  <c r="T169" i="5" l="1" a="1"/>
  <c r="U169" i="5" a="1"/>
  <c r="X169" i="5" a="1"/>
  <c r="V169" i="5" a="1"/>
  <c r="W169" i="5" a="1"/>
  <c r="S169" i="5" a="1"/>
  <c r="G168" i="5"/>
  <c r="N168" i="5" s="1" a="1"/>
  <c r="W168" i="5" l="1" a="1"/>
  <c r="V168" i="5" a="1"/>
  <c r="U168" i="5" a="1"/>
  <c r="T168" i="5" a="1"/>
  <c r="S168" i="5" s="1" a="1"/>
  <c r="X168" i="5" a="1"/>
  <c r="G167" i="5"/>
  <c r="N167" i="5" s="1" a="1"/>
  <c r="T167" i="5" l="1" a="1"/>
  <c r="V167" i="5" a="1"/>
  <c r="X167" i="5" a="1"/>
  <c r="U167" i="5" a="1"/>
  <c r="W167" i="5" a="1"/>
  <c r="S167" i="5" a="1"/>
  <c r="G166" i="5"/>
  <c r="N166" i="5" s="1" a="1"/>
  <c r="W166" i="5" l="1" a="1"/>
  <c r="T166" i="5" a="1"/>
  <c r="S166" i="5" s="1" a="1"/>
  <c r="X166" i="5" a="1"/>
  <c r="V166" i="5" a="1"/>
  <c r="U166" i="5" a="1"/>
  <c r="G165" i="5"/>
  <c r="N165" i="5" s="1" a="1"/>
  <c r="V165" i="5" l="1" a="1"/>
  <c r="W165" i="5" a="1"/>
  <c r="T165" i="5" a="1"/>
  <c r="U165" i="5" a="1"/>
  <c r="X165" i="5" a="1"/>
  <c r="S165" i="5" a="1"/>
  <c r="G164" i="5"/>
  <c r="N164" i="5" s="1" a="1"/>
  <c r="X164" i="5" l="1" a="1"/>
  <c r="W164" i="5" a="1"/>
  <c r="U164" i="5" a="1"/>
  <c r="V164" i="5" a="1"/>
  <c r="T164" i="5" a="1"/>
  <c r="S164" i="5" s="1" a="1"/>
  <c r="G163" i="5"/>
  <c r="N163" i="5" s="1" a="1"/>
  <c r="U163" i="5" l="1" a="1"/>
  <c r="T163" i="5" a="1"/>
  <c r="S163" i="5" s="1" a="1"/>
  <c r="V163" i="5" a="1"/>
  <c r="W163" i="5" a="1"/>
  <c r="X163" i="5" a="1"/>
  <c r="G162" i="5"/>
  <c r="N162" i="5" s="1" a="1"/>
  <c r="V162" i="5" l="1" a="1"/>
  <c r="T162" i="5" a="1"/>
  <c r="X162" i="5" a="1"/>
  <c r="S162" i="5" a="1"/>
  <c r="W162" i="5" a="1"/>
  <c r="U162" i="5" a="1"/>
  <c r="G161" i="5"/>
  <c r="N161" i="5" s="1" a="1"/>
  <c r="W161" i="5" l="1" a="1"/>
  <c r="T161" i="5" a="1"/>
  <c r="S161" i="5" s="1" a="1"/>
  <c r="U161" i="5" a="1"/>
  <c r="X161" i="5" a="1"/>
  <c r="V161" i="5" a="1"/>
  <c r="G160" i="5"/>
  <c r="N160" i="5" s="1" a="1"/>
  <c r="T160" i="5" l="1" a="1"/>
  <c r="S160" i="5" s="1" a="1"/>
  <c r="X160" i="5" a="1"/>
  <c r="U160" i="5" a="1"/>
  <c r="V160" i="5" a="1"/>
  <c r="W160" i="5" a="1"/>
  <c r="G159" i="5"/>
  <c r="N159" i="5" s="1" a="1"/>
  <c r="W159" i="5" l="1" a="1"/>
  <c r="U159" i="5" a="1"/>
  <c r="T159" i="5" a="1"/>
  <c r="S159" i="5" s="1" a="1"/>
  <c r="X159" i="5" a="1"/>
  <c r="V159" i="5" a="1"/>
  <c r="G158" i="5"/>
  <c r="N158" i="5" s="1" a="1"/>
  <c r="T158" i="5" l="1" a="1"/>
  <c r="S158" i="5" s="1" a="1"/>
  <c r="V158" i="5" a="1"/>
  <c r="W158" i="5" a="1"/>
  <c r="X158" i="5" a="1"/>
  <c r="U158" i="5" a="1"/>
  <c r="G157" i="5"/>
  <c r="N157" i="5" s="1" a="1"/>
  <c r="X157" i="5" l="1" a="1"/>
  <c r="W157" i="5" a="1"/>
  <c r="U157" i="5" a="1"/>
  <c r="V157" i="5" a="1"/>
  <c r="T157" i="5" a="1"/>
  <c r="S157" i="5" s="1" a="1"/>
  <c r="G156" i="5"/>
  <c r="N156" i="5" s="1" a="1"/>
  <c r="T156" i="5" l="1" a="1"/>
  <c r="S156" i="5" s="1" a="1"/>
  <c r="V156" i="5" a="1"/>
  <c r="W156" i="5" a="1"/>
  <c r="U156" i="5" a="1"/>
  <c r="X156" i="5" a="1"/>
  <c r="G155" i="5"/>
  <c r="N155" i="5" s="1" a="1"/>
  <c r="W155" i="5" l="1" a="1"/>
  <c r="X155" i="5" a="1"/>
  <c r="V155" i="5" a="1"/>
  <c r="U155" i="5" a="1"/>
  <c r="T155" i="5" a="1"/>
  <c r="S155" i="5" s="1" a="1"/>
  <c r="G154" i="5"/>
  <c r="N154" i="5" s="1" a="1"/>
  <c r="V154" i="5" l="1" a="1"/>
  <c r="X154" i="5" a="1"/>
  <c r="T154" i="5" a="1"/>
  <c r="S154" i="5" s="1" a="1"/>
  <c r="U154" i="5" a="1"/>
  <c r="W154" i="5" a="1"/>
  <c r="G153" i="5"/>
  <c r="N153" i="5" s="1" a="1"/>
  <c r="W153" i="5" l="1" a="1"/>
  <c r="X153" i="5" a="1"/>
  <c r="U153" i="5" a="1"/>
  <c r="T153" i="5" a="1"/>
  <c r="S153" i="5" a="1"/>
  <c r="V153" i="5" a="1"/>
  <c r="G152" i="5"/>
  <c r="N152" i="5" s="1" a="1"/>
  <c r="W152" i="5" l="1" a="1"/>
  <c r="U152" i="5" a="1"/>
  <c r="V152" i="5" a="1"/>
  <c r="X152" i="5" a="1"/>
  <c r="T152" i="5" a="1"/>
  <c r="S152" i="5" s="1" a="1"/>
  <c r="G151" i="5"/>
  <c r="N151" i="5" s="1" a="1"/>
  <c r="U151" i="5" l="1" a="1"/>
  <c r="W151" i="5" a="1"/>
  <c r="T151" i="5" a="1"/>
  <c r="S151" i="5" s="1" a="1"/>
  <c r="V151" i="5" a="1"/>
  <c r="X151" i="5" a="1"/>
  <c r="G150" i="5"/>
  <c r="N150" i="5" s="1" a="1"/>
  <c r="T150" i="5" l="1" a="1"/>
  <c r="S150" i="5" s="1" a="1"/>
  <c r="W150" i="5" a="1"/>
  <c r="U150" i="5" a="1"/>
  <c r="X150" i="5" a="1"/>
  <c r="V150" i="5" a="1"/>
  <c r="G149" i="5"/>
  <c r="N149" i="5" s="1" a="1"/>
  <c r="U149" i="5" l="1" a="1"/>
  <c r="T149" i="5" a="1"/>
  <c r="W149" i="5" a="1"/>
  <c r="S149" i="5" a="1"/>
  <c r="X149" i="5" a="1"/>
  <c r="V149" i="5" a="1"/>
  <c r="G148" i="5"/>
  <c r="N148" i="5" s="1" a="1"/>
  <c r="U148" i="5" l="1" a="1"/>
  <c r="V148" i="5" a="1"/>
  <c r="W148" i="5" a="1"/>
  <c r="X148" i="5" a="1"/>
  <c r="T148" i="5" a="1"/>
  <c r="S148" i="5" s="1" a="1"/>
  <c r="G147" i="5"/>
  <c r="N147" i="5" s="1" a="1"/>
  <c r="U147" i="5" l="1" a="1"/>
  <c r="W147" i="5" a="1"/>
  <c r="X147" i="5" a="1"/>
  <c r="T147" i="5" a="1"/>
  <c r="S147" i="5" s="1" a="1"/>
  <c r="V147" i="5" a="1"/>
  <c r="G146" i="5"/>
  <c r="N146" i="5" s="1" a="1"/>
  <c r="V146" i="5" l="1" a="1"/>
  <c r="X146" i="5" a="1"/>
  <c r="W146" i="5" a="1"/>
  <c r="T146" i="5" a="1"/>
  <c r="U146" i="5" a="1"/>
  <c r="S146" i="5" a="1"/>
  <c r="G145" i="5"/>
  <c r="N145" i="5" s="1" a="1"/>
  <c r="T145" i="5" l="1" a="1"/>
  <c r="U145" i="5" a="1"/>
  <c r="X145" i="5" a="1"/>
  <c r="S145" i="5" a="1"/>
  <c r="W145" i="5" a="1"/>
  <c r="V145" i="5" a="1"/>
  <c r="G144" i="5"/>
  <c r="N144" i="5" s="1" a="1"/>
  <c r="W144" i="5" l="1" a="1"/>
  <c r="V144" i="5" a="1"/>
  <c r="X144" i="5" a="1"/>
  <c r="T144" i="5" a="1"/>
  <c r="S144" i="5" s="1" a="1"/>
  <c r="U144" i="5" a="1"/>
  <c r="G143" i="5"/>
  <c r="N143" i="5" s="1" a="1"/>
  <c r="W143" i="5" l="1" a="1"/>
  <c r="X143" i="5" a="1"/>
  <c r="U143" i="5" a="1"/>
  <c r="T143" i="5" a="1"/>
  <c r="S143" i="5" s="1" a="1"/>
  <c r="V143" i="5" a="1"/>
  <c r="G142" i="5"/>
  <c r="N142" i="5" s="1" a="1"/>
  <c r="X142" i="5" l="1" a="1"/>
  <c r="W142" i="5" a="1"/>
  <c r="U142" i="5" a="1"/>
  <c r="T142" i="5" a="1"/>
  <c r="S142" i="5" a="1"/>
  <c r="V142" i="5" a="1"/>
  <c r="G141" i="5"/>
  <c r="N141" i="5" s="1" a="1"/>
  <c r="V141" i="5" l="1" a="1"/>
  <c r="T141" i="5" a="1"/>
  <c r="U141" i="5" a="1"/>
  <c r="W141" i="5" a="1"/>
  <c r="X141" i="5" a="1"/>
  <c r="S141" i="5" a="1"/>
  <c r="G140" i="5"/>
  <c r="N140" i="5" s="1" a="1"/>
  <c r="X140" i="5" l="1" a="1"/>
  <c r="W140" i="5" a="1"/>
  <c r="T140" i="5" a="1"/>
  <c r="S140" i="5" s="1" a="1"/>
  <c r="U140" i="5" a="1"/>
  <c r="V140" i="5" a="1"/>
  <c r="G139" i="5"/>
  <c r="N139" i="5" s="1" a="1"/>
  <c r="V139" i="5" l="1" a="1"/>
  <c r="X139" i="5" a="1"/>
  <c r="T139" i="5" a="1"/>
  <c r="S139" i="5" s="1" a="1"/>
  <c r="U139" i="5" a="1"/>
  <c r="W139" i="5" a="1"/>
  <c r="G138" i="5"/>
  <c r="N138" i="5" s="1" a="1"/>
  <c r="W138" i="5" l="1" a="1"/>
  <c r="X138" i="5" a="1"/>
  <c r="U138" i="5" a="1"/>
  <c r="T138" i="5" a="1"/>
  <c r="S138" i="5" s="1" a="1"/>
  <c r="V138" i="5" a="1"/>
  <c r="G137" i="5"/>
  <c r="N137" i="5" s="1" a="1"/>
  <c r="T137" i="5" l="1" a="1"/>
  <c r="S137" i="5" s="1" a="1"/>
  <c r="V137" i="5" a="1"/>
  <c r="W137" i="5" a="1"/>
  <c r="X137" i="5" a="1"/>
  <c r="U137" i="5" a="1"/>
  <c r="G136" i="5"/>
  <c r="N136" i="5" s="1" a="1"/>
  <c r="X136" i="5" l="1" a="1"/>
  <c r="W136" i="5" a="1"/>
  <c r="T136" i="5" a="1"/>
  <c r="S136" i="5" s="1" a="1"/>
  <c r="U136" i="5" a="1"/>
  <c r="V136" i="5" a="1"/>
  <c r="G135" i="5"/>
  <c r="N135" i="5" s="1" a="1"/>
  <c r="W135" i="5" l="1" a="1"/>
  <c r="V135" i="5" a="1"/>
  <c r="T135" i="5" a="1"/>
  <c r="S135" i="5" s="1" a="1"/>
  <c r="U135" i="5" a="1"/>
  <c r="X135" i="5" a="1"/>
  <c r="G134" i="5"/>
  <c r="N134" i="5" s="1" a="1"/>
  <c r="V134" i="5" l="1" a="1"/>
  <c r="X134" i="5" a="1"/>
  <c r="T134" i="5" a="1"/>
  <c r="S134" i="5" s="1" a="1"/>
  <c r="W134" i="5" a="1"/>
  <c r="U134" i="5" a="1"/>
  <c r="G133" i="5"/>
  <c r="N133" i="5" s="1" a="1"/>
  <c r="T133" i="5" l="1" a="1"/>
  <c r="U133" i="5" a="1"/>
  <c r="S133" i="5" a="1"/>
  <c r="V133" i="5" a="1"/>
  <c r="X133" i="5" a="1"/>
  <c r="W133" i="5" a="1"/>
  <c r="G132" i="5"/>
  <c r="N132" i="5" s="1" a="1"/>
  <c r="U132" i="5" l="1" a="1"/>
  <c r="X132" i="5" a="1"/>
  <c r="W132" i="5" a="1"/>
  <c r="V132" i="5" a="1"/>
  <c r="T132" i="5" a="1"/>
  <c r="S132" i="5" a="1"/>
  <c r="G131" i="5"/>
  <c r="N131" i="5" s="1" a="1"/>
  <c r="X131" i="5" l="1" a="1"/>
  <c r="W131" i="5" a="1"/>
  <c r="V131" i="5" a="1"/>
  <c r="T131" i="5" a="1"/>
  <c r="S131" i="5" a="1"/>
  <c r="U131" i="5" a="1"/>
  <c r="G130" i="5"/>
  <c r="N130" i="5" s="1" a="1"/>
  <c r="W130" i="5" l="1" a="1"/>
  <c r="U130" i="5" a="1"/>
  <c r="V130" i="5" a="1"/>
  <c r="X130" i="5" a="1"/>
  <c r="T130" i="5" a="1"/>
  <c r="S130" i="5" s="1" a="1"/>
  <c r="G129" i="5"/>
  <c r="N129" i="5" s="1" a="1"/>
  <c r="T129" i="5" l="1" a="1"/>
  <c r="U129" i="5" a="1"/>
  <c r="X129" i="5" a="1"/>
  <c r="S129" i="5" a="1"/>
  <c r="W129" i="5" a="1"/>
  <c r="V129" i="5" a="1"/>
  <c r="G128" i="5"/>
  <c r="N128" i="5" s="1" a="1"/>
  <c r="W128" i="5" l="1" a="1"/>
  <c r="U128" i="5" a="1"/>
  <c r="X128" i="5" a="1"/>
  <c r="T128" i="5" a="1"/>
  <c r="S128" i="5" s="1" a="1"/>
  <c r="V128" i="5" a="1"/>
  <c r="G127" i="5"/>
  <c r="N127" i="5" s="1" a="1"/>
  <c r="V127" i="5" l="1" a="1"/>
  <c r="T127" i="5" a="1"/>
  <c r="U127" i="5" a="1"/>
  <c r="S127" i="5" a="1"/>
  <c r="X127" i="5" a="1"/>
  <c r="W127" i="5" a="1"/>
  <c r="G126" i="5"/>
  <c r="N126" i="5" s="1" a="1"/>
  <c r="T126" i="5" l="1" a="1"/>
  <c r="V126" i="5" a="1"/>
  <c r="U126" i="5" a="1"/>
  <c r="X126" i="5" a="1"/>
  <c r="S126" i="5" a="1"/>
  <c r="W126" i="5" a="1"/>
  <c r="G125" i="5"/>
  <c r="N125" i="5" s="1" a="1"/>
  <c r="W125" i="5" l="1" a="1"/>
  <c r="V125" i="5" a="1"/>
  <c r="X125" i="5" a="1"/>
  <c r="U125" i="5" a="1"/>
  <c r="T125" i="5" a="1"/>
  <c r="S125" i="5" s="1" a="1"/>
  <c r="G124" i="5"/>
  <c r="N124" i="5" s="1" a="1"/>
  <c r="X124" i="5" l="1" a="1"/>
  <c r="T124" i="5" a="1"/>
  <c r="V124" i="5" a="1"/>
  <c r="S124" i="5" a="1"/>
  <c r="U124" i="5" a="1"/>
  <c r="W124" i="5" a="1"/>
  <c r="G123" i="5"/>
  <c r="N123" i="5" s="1" a="1"/>
  <c r="T123" i="5" l="1" a="1"/>
  <c r="U123" i="5" a="1"/>
  <c r="S123" i="5" a="1"/>
  <c r="W123" i="5" a="1"/>
  <c r="V123" i="5" a="1"/>
  <c r="X123" i="5" a="1"/>
  <c r="G122" i="5"/>
  <c r="N122" i="5" s="1" a="1"/>
  <c r="U122" i="5" l="1" a="1"/>
  <c r="W122" i="5" a="1"/>
  <c r="X122" i="5" a="1"/>
  <c r="V122" i="5" a="1"/>
  <c r="T122" i="5" a="1"/>
  <c r="S122" i="5" s="1" a="1"/>
  <c r="G121" i="5"/>
  <c r="N121" i="5" s="1" a="1"/>
  <c r="T121" i="5" l="1" a="1"/>
  <c r="W121" i="5" a="1"/>
  <c r="S121" i="5" a="1"/>
  <c r="V121" i="5" a="1"/>
  <c r="U121" i="5" a="1"/>
  <c r="X121" i="5" a="1"/>
  <c r="G120" i="5"/>
  <c r="N120" i="5" s="1" a="1"/>
  <c r="X120" i="5" l="1" a="1"/>
  <c r="U120" i="5" a="1"/>
  <c r="W120" i="5" a="1"/>
  <c r="V120" i="5" a="1"/>
  <c r="T120" i="5" a="1"/>
  <c r="S120" i="5" s="1" a="1"/>
  <c r="G119" i="5"/>
  <c r="N119" i="5" s="1" a="1"/>
  <c r="X119" i="5" l="1" a="1"/>
  <c r="T119" i="5" a="1"/>
  <c r="W119" i="5" a="1"/>
  <c r="S119" i="5" a="1"/>
  <c r="V119" i="5" a="1"/>
  <c r="U119" i="5" a="1"/>
  <c r="G118" i="5"/>
  <c r="N118" i="5" s="1" a="1"/>
  <c r="T118" i="5" l="1" a="1"/>
  <c r="U118" i="5" a="1"/>
  <c r="V118" i="5" a="1"/>
  <c r="S118" i="5" a="1"/>
  <c r="W118" i="5" a="1"/>
  <c r="X118" i="5" a="1"/>
  <c r="G117" i="5"/>
  <c r="N117" i="5" s="1" a="1"/>
  <c r="X117" i="5" l="1" a="1"/>
  <c r="W117" i="5" a="1"/>
  <c r="V117" i="5" a="1"/>
  <c r="T117" i="5" a="1"/>
  <c r="U117" i="5" a="1"/>
  <c r="S117" i="5" a="1"/>
  <c r="G116" i="5"/>
  <c r="N116" i="5" s="1" a="1"/>
  <c r="X116" i="5" l="1" a="1"/>
  <c r="V116" i="5" a="1"/>
  <c r="T116" i="5" a="1"/>
  <c r="S116" i="5" a="1"/>
  <c r="W116" i="5" a="1"/>
  <c r="U116" i="5" a="1"/>
  <c r="G115" i="5"/>
  <c r="N115" i="5" s="1" a="1"/>
  <c r="X115" i="5" l="1" a="1"/>
  <c r="V115" i="5" a="1"/>
  <c r="U115" i="5" a="1"/>
  <c r="T115" i="5" a="1"/>
  <c r="S115" i="5" s="1" a="1"/>
  <c r="W115" i="5" a="1"/>
  <c r="G114" i="5"/>
  <c r="N114" i="5" s="1" a="1"/>
  <c r="X114" i="5" l="1" a="1"/>
  <c r="T114" i="5" a="1"/>
  <c r="W114" i="5" a="1"/>
  <c r="S114" i="5" a="1"/>
  <c r="U114" i="5" a="1"/>
  <c r="V114" i="5" a="1"/>
  <c r="G113" i="5"/>
  <c r="N113" i="5" s="1" a="1"/>
  <c r="X113" i="5" l="1" a="1"/>
  <c r="W113" i="5" a="1"/>
  <c r="T113" i="5" a="1"/>
  <c r="U113" i="5" a="1"/>
  <c r="S113" i="5" a="1"/>
  <c r="V113" i="5" a="1"/>
  <c r="G112" i="5"/>
  <c r="N112" i="5" s="1" a="1"/>
  <c r="U112" i="5" l="1" a="1"/>
  <c r="W112" i="5" a="1"/>
  <c r="X112" i="5" a="1"/>
  <c r="V112" i="5" a="1"/>
  <c r="T112" i="5" a="1"/>
  <c r="S112" i="5" a="1"/>
  <c r="G111" i="5"/>
  <c r="N111" i="5" s="1" a="1"/>
  <c r="X111" i="5" l="1" a="1"/>
  <c r="U111" i="5" a="1"/>
  <c r="W111" i="5" a="1"/>
  <c r="T111" i="5" a="1"/>
  <c r="S111" i="5" s="1" a="1"/>
  <c r="V111" i="5" a="1"/>
  <c r="G110" i="5"/>
  <c r="N110" i="5" s="1" a="1"/>
  <c r="W110" i="5" l="1" a="1"/>
  <c r="V110" i="5" a="1"/>
  <c r="X110" i="5" a="1"/>
  <c r="T110" i="5" a="1"/>
  <c r="S110" i="5" s="1" a="1"/>
  <c r="U110" i="5" a="1"/>
  <c r="G109" i="5"/>
  <c r="N109" i="5" s="1" a="1"/>
  <c r="T109" i="5" l="1" a="1"/>
  <c r="X109" i="5" a="1"/>
  <c r="S109" i="5" a="1"/>
  <c r="V109" i="5" a="1"/>
  <c r="U109" i="5" a="1"/>
  <c r="W109" i="5" a="1"/>
  <c r="G108" i="5"/>
  <c r="N108" i="5" s="1" a="1"/>
  <c r="W108" i="5" l="1" a="1"/>
  <c r="X108" i="5" a="1"/>
  <c r="U108" i="5" a="1"/>
  <c r="T108" i="5" a="1"/>
  <c r="V108" i="5" a="1"/>
  <c r="S108" i="5" a="1"/>
  <c r="G107" i="5"/>
  <c r="N107" i="5" s="1" a="1"/>
  <c r="U107" i="5" l="1" a="1"/>
  <c r="V107" i="5" a="1"/>
  <c r="W107" i="5" a="1"/>
  <c r="X107" i="5" a="1"/>
  <c r="T107" i="5" a="1"/>
  <c r="S107" i="5" s="1" a="1"/>
  <c r="G106" i="5"/>
  <c r="N106" i="5" s="1" a="1"/>
  <c r="V106" i="5" l="1" a="1"/>
  <c r="U106" i="5" a="1"/>
  <c r="W106" i="5" a="1"/>
  <c r="X106" i="5" a="1"/>
  <c r="T106" i="5" a="1"/>
  <c r="S106" i="5" s="1" a="1"/>
  <c r="G105" i="5"/>
  <c r="N105" i="5" s="1" a="1"/>
  <c r="T105" i="5" l="1" a="1"/>
  <c r="U105" i="5" a="1"/>
  <c r="V105" i="5" a="1"/>
  <c r="W105" i="5" a="1"/>
  <c r="S105" i="5" a="1"/>
  <c r="X105" i="5" a="1"/>
  <c r="G104" i="5"/>
  <c r="N104" i="5" s="1" a="1"/>
  <c r="X104" i="5" l="1" a="1"/>
  <c r="U104" i="5" a="1"/>
  <c r="V104" i="5" a="1"/>
  <c r="W104" i="5" a="1"/>
  <c r="T104" i="5" a="1"/>
  <c r="S104" i="5" s="1" a="1"/>
  <c r="G103" i="5"/>
  <c r="N103" i="5" s="1" a="1"/>
  <c r="V103" i="5" l="1" a="1"/>
  <c r="U103" i="5" a="1"/>
  <c r="X103" i="5" a="1"/>
  <c r="W103" i="5" a="1"/>
  <c r="T103" i="5" a="1"/>
  <c r="S103" i="5" s="1" a="1"/>
  <c r="G102" i="5"/>
  <c r="N102" i="5" s="1" a="1"/>
  <c r="T102" i="5" l="1" a="1"/>
  <c r="S102" i="5" a="1"/>
  <c r="W102" i="5" a="1"/>
  <c r="U102" i="5" a="1"/>
  <c r="X102" i="5" a="1"/>
  <c r="V102" i="5" a="1"/>
  <c r="G101" i="5"/>
  <c r="N101" i="5" s="1" a="1"/>
  <c r="U101" i="5" l="1" a="1"/>
  <c r="W101" i="5" a="1"/>
  <c r="X101" i="5" a="1"/>
  <c r="T101" i="5" a="1"/>
  <c r="V101" i="5" a="1"/>
  <c r="S101" i="5" a="1"/>
  <c r="G100" i="5"/>
  <c r="N100" i="5" s="1" a="1"/>
  <c r="T100" i="5" l="1" a="1"/>
  <c r="V100" i="5" a="1"/>
  <c r="W100" i="5" a="1"/>
  <c r="S100" i="5" a="1"/>
  <c r="U100" i="5" a="1"/>
  <c r="X100" i="5" a="1"/>
  <c r="G99" i="5"/>
  <c r="N99" i="5" s="1" a="1"/>
  <c r="V99" i="5" l="1" a="1"/>
  <c r="T99" i="5" a="1"/>
  <c r="U99" i="5" a="1"/>
  <c r="W99" i="5" a="1"/>
  <c r="X99" i="5" a="1"/>
  <c r="S99" i="5" a="1"/>
  <c r="G98" i="5"/>
  <c r="N98" i="5" s="1" a="1"/>
  <c r="W98" i="5" l="1" a="1"/>
  <c r="V98" i="5" a="1"/>
  <c r="X98" i="5" a="1"/>
  <c r="T98" i="5" a="1"/>
  <c r="U98" i="5" a="1"/>
  <c r="S98" i="5" a="1"/>
  <c r="G97" i="5"/>
  <c r="N97" i="5" s="1" a="1"/>
  <c r="W97" i="5" l="1" a="1"/>
  <c r="T97" i="5" a="1"/>
  <c r="S97" i="5" a="1"/>
  <c r="U97" i="5" a="1"/>
  <c r="X97" i="5" a="1"/>
  <c r="V97" i="5" a="1"/>
  <c r="G96" i="5"/>
  <c r="N96" i="5" s="1" a="1"/>
  <c r="W96" i="5" l="1" a="1"/>
  <c r="X96" i="5" a="1"/>
  <c r="T96" i="5" a="1"/>
  <c r="S96" i="5" s="1" a="1"/>
  <c r="U96" i="5" a="1"/>
  <c r="V96" i="5" a="1"/>
  <c r="G95" i="5"/>
  <c r="N95" i="5" s="1" a="1"/>
  <c r="W95" i="5" l="1" a="1"/>
  <c r="V95" i="5" a="1"/>
  <c r="U95" i="5" a="1"/>
  <c r="X95" i="5" a="1"/>
  <c r="T95" i="5" a="1"/>
  <c r="S95" i="5" s="1" a="1"/>
  <c r="G94" i="5"/>
  <c r="N94" i="5" s="1" a="1"/>
  <c r="T94" i="5" l="1" a="1"/>
  <c r="U94" i="5" a="1"/>
  <c r="X94" i="5" a="1"/>
  <c r="S94" i="5" a="1"/>
  <c r="V94" i="5" a="1"/>
  <c r="W94" i="5" a="1"/>
  <c r="G93" i="5"/>
  <c r="N93" i="5" s="1" a="1"/>
  <c r="W93" i="5" l="1" a="1"/>
  <c r="X93" i="5" a="1"/>
  <c r="V93" i="5" a="1"/>
  <c r="T93" i="5" a="1"/>
  <c r="S93" i="5" a="1"/>
  <c r="U93" i="5" a="1"/>
  <c r="G92" i="5"/>
  <c r="N92" i="5" s="1" a="1"/>
  <c r="V92" i="5" l="1" a="1"/>
  <c r="W92" i="5" a="1"/>
  <c r="X92" i="5" a="1"/>
  <c r="T92" i="5" a="1"/>
  <c r="U92" i="5" a="1"/>
  <c r="S92" i="5" a="1"/>
  <c r="G91" i="5"/>
  <c r="N91" i="5" s="1" a="1"/>
  <c r="T91" i="5" l="1" a="1"/>
  <c r="V91" i="5" a="1"/>
  <c r="U91" i="5" a="1"/>
  <c r="W91" i="5" a="1"/>
  <c r="S91" i="5" a="1"/>
  <c r="X91" i="5" a="1"/>
  <c r="G90" i="5"/>
  <c r="N90" i="5" s="1" a="1"/>
  <c r="X90" i="5" l="1" a="1"/>
  <c r="U90" i="5" a="1"/>
  <c r="V90" i="5" a="1"/>
  <c r="W90" i="5" a="1"/>
  <c r="T90" i="5" a="1"/>
  <c r="S90" i="5" s="1" a="1"/>
  <c r="G89" i="5"/>
  <c r="N89" i="5" s="1" a="1"/>
  <c r="X89" i="5" l="1" a="1"/>
  <c r="T89" i="5" a="1"/>
  <c r="W89" i="5" a="1"/>
  <c r="V89" i="5" a="1"/>
  <c r="S89" i="5" a="1"/>
  <c r="U89" i="5" a="1"/>
  <c r="G88" i="5"/>
  <c r="N88" i="5" s="1" a="1"/>
  <c r="W88" i="5" l="1" a="1"/>
  <c r="U88" i="5" a="1"/>
  <c r="T88" i="5" a="1"/>
  <c r="S88" i="5" a="1"/>
  <c r="X88" i="5" a="1"/>
  <c r="V88" i="5" a="1"/>
  <c r="G87" i="5"/>
  <c r="N87" i="5" s="1" a="1"/>
  <c r="X87" i="5" l="1" a="1"/>
  <c r="V87" i="5" a="1"/>
  <c r="T87" i="5" a="1"/>
  <c r="S87" i="5" a="1"/>
  <c r="U87" i="5" a="1"/>
  <c r="W87" i="5" a="1"/>
  <c r="G86" i="5"/>
  <c r="N86" i="5" s="1" a="1"/>
  <c r="X86" i="5" l="1" a="1"/>
  <c r="W86" i="5" a="1"/>
  <c r="V86" i="5" a="1"/>
  <c r="U86" i="5" a="1"/>
  <c r="T86" i="5" a="1"/>
  <c r="S86" i="5" s="1" a="1"/>
  <c r="G85" i="5"/>
  <c r="N85" i="5" s="1" a="1"/>
  <c r="U85" i="5" l="1" a="1"/>
  <c r="T85" i="5" a="1"/>
  <c r="W85" i="5" a="1"/>
  <c r="X85" i="5" a="1"/>
  <c r="S85" i="5" a="1"/>
  <c r="V85" i="5" a="1"/>
  <c r="G84" i="5"/>
  <c r="N84" i="5" s="1" a="1"/>
  <c r="X84" i="5" l="1" a="1"/>
  <c r="W84" i="5" a="1"/>
  <c r="T84" i="5" a="1"/>
  <c r="V84" i="5" a="1"/>
  <c r="U84" i="5" a="1"/>
  <c r="S84" i="5" a="1"/>
  <c r="G83" i="5"/>
  <c r="N83" i="5" s="1" a="1"/>
  <c r="V83" i="5" l="1" a="1"/>
  <c r="U83" i="5" a="1"/>
  <c r="W83" i="5" a="1"/>
  <c r="X83" i="5" a="1"/>
  <c r="T83" i="5" a="1"/>
  <c r="S83" i="5" s="1" a="1"/>
  <c r="G82" i="5"/>
  <c r="N82" i="5" s="1" a="1"/>
  <c r="X82" i="5" l="1" a="1"/>
  <c r="U82" i="5" a="1"/>
  <c r="W82" i="5" a="1"/>
  <c r="V82" i="5" a="1"/>
  <c r="T82" i="5" a="1"/>
  <c r="S82" i="5" a="1"/>
  <c r="G81" i="5"/>
  <c r="N81" i="5" s="1" a="1"/>
  <c r="W81" i="5" l="1" a="1"/>
  <c r="T81" i="5" a="1"/>
  <c r="X81" i="5" a="1"/>
  <c r="S81" i="5" a="1"/>
  <c r="U81" i="5" a="1"/>
  <c r="V81" i="5" a="1"/>
  <c r="G80" i="5"/>
  <c r="N80" i="5" s="1" a="1"/>
  <c r="T80" i="5" l="1" a="1"/>
  <c r="V80" i="5" a="1"/>
  <c r="W80" i="5" a="1"/>
  <c r="S80" i="5" a="1"/>
  <c r="U80" i="5" a="1"/>
  <c r="X80" i="5" a="1"/>
  <c r="G79" i="5"/>
  <c r="N79" i="5" s="1" a="1"/>
  <c r="W79" i="5" l="1" a="1"/>
  <c r="U79" i="5" a="1"/>
  <c r="V79" i="5" a="1"/>
  <c r="X79" i="5" a="1"/>
  <c r="T79" i="5" a="1"/>
  <c r="S79" i="5" s="1" a="1"/>
  <c r="G78" i="5"/>
  <c r="N78" i="5" s="1" a="1"/>
  <c r="V78" i="5" l="1" a="1"/>
  <c r="W78" i="5" a="1"/>
  <c r="U78" i="5" a="1"/>
  <c r="X78" i="5" a="1"/>
  <c r="T78" i="5" a="1"/>
  <c r="S78" i="5" s="1" a="1"/>
  <c r="G77" i="5"/>
  <c r="N77" i="5" s="1" a="1"/>
  <c r="T77" i="5" l="1" a="1"/>
  <c r="U77" i="5" a="1"/>
  <c r="V77" i="5" a="1"/>
  <c r="W77" i="5" a="1"/>
  <c r="X77" i="5" a="1"/>
  <c r="S77" i="5" a="1"/>
  <c r="G76" i="5"/>
  <c r="N76" i="5" s="1" a="1"/>
  <c r="U76" i="5" l="1" a="1"/>
  <c r="T76" i="5" a="1"/>
  <c r="S76" i="5" a="1"/>
  <c r="V76" i="5" a="1"/>
  <c r="W76" i="5" a="1"/>
  <c r="X76" i="5" a="1"/>
  <c r="G75" i="5"/>
  <c r="N75" i="5" s="1" a="1"/>
  <c r="U75" i="5" l="1" a="1"/>
  <c r="X75" i="5" a="1"/>
  <c r="T75" i="5" a="1"/>
  <c r="W75" i="5" a="1"/>
  <c r="S75" i="5" a="1"/>
  <c r="V75" i="5" a="1"/>
  <c r="G74" i="5"/>
  <c r="N74" i="5" s="1" a="1"/>
  <c r="T74" i="5" l="1" a="1"/>
  <c r="V74" i="5" a="1"/>
  <c r="U74" i="5" a="1"/>
  <c r="X74" i="5" a="1"/>
  <c r="S74" i="5" a="1"/>
  <c r="W74" i="5" a="1"/>
  <c r="G73" i="5"/>
  <c r="N73" i="5" s="1" a="1"/>
  <c r="V73" i="5" l="1" a="1"/>
  <c r="W73" i="5" a="1"/>
  <c r="X73" i="5" a="1"/>
  <c r="U73" i="5" a="1"/>
  <c r="T73" i="5" a="1"/>
  <c r="S73" i="5" s="1" a="1"/>
  <c r="G72" i="5"/>
  <c r="N72" i="5" s="1" a="1"/>
  <c r="U72" i="5" l="1" a="1"/>
  <c r="V72" i="5" a="1"/>
  <c r="W72" i="5" a="1"/>
  <c r="X72" i="5" a="1"/>
  <c r="T72" i="5" a="1"/>
  <c r="S72" i="5" s="1" a="1"/>
  <c r="G71" i="5"/>
  <c r="N71" i="5" s="1" a="1"/>
  <c r="W71" i="5" l="1" a="1"/>
  <c r="U71" i="5" a="1"/>
  <c r="X71" i="5" a="1"/>
  <c r="V71" i="5" a="1"/>
  <c r="T71" i="5" a="1"/>
  <c r="S71" i="5" s="1" a="1"/>
  <c r="G70" i="5"/>
  <c r="N70" i="5" s="1" a="1"/>
  <c r="U70" i="5" l="1" a="1"/>
  <c r="W70" i="5" a="1"/>
  <c r="V70" i="5" a="1"/>
  <c r="X70" i="5" a="1"/>
  <c r="T70" i="5" a="1"/>
  <c r="S70" i="5" s="1" a="1"/>
  <c r="G69" i="5"/>
  <c r="N69" i="5" s="1" a="1"/>
  <c r="W69" i="5" l="1" a="1"/>
  <c r="U69" i="5" a="1"/>
  <c r="T69" i="5" a="1"/>
  <c r="X69" i="5" a="1"/>
  <c r="S69" i="5" a="1"/>
  <c r="V69" i="5" a="1"/>
  <c r="G68" i="5"/>
  <c r="N68" i="5" s="1" a="1"/>
  <c r="X68" i="5" l="1" a="1"/>
  <c r="U68" i="5" a="1"/>
  <c r="V68" i="5" a="1"/>
  <c r="W68" i="5" a="1"/>
  <c r="T68" i="5" a="1"/>
  <c r="S68" i="5" s="1" a="1"/>
  <c r="G67" i="5"/>
  <c r="N67" i="5" s="1" a="1"/>
  <c r="X67" i="5" l="1" a="1"/>
  <c r="T67" i="5" a="1"/>
  <c r="V67" i="5" a="1"/>
  <c r="W67" i="5" a="1"/>
  <c r="S67" i="5" a="1"/>
  <c r="U67" i="5" a="1"/>
  <c r="G66" i="5"/>
  <c r="N66" i="5" s="1" a="1"/>
  <c r="W66" i="5" l="1" a="1"/>
  <c r="X66" i="5" a="1"/>
  <c r="T66" i="5" a="1"/>
  <c r="V66" i="5" a="1"/>
  <c r="S66" i="5" a="1"/>
  <c r="U66" i="5" a="1"/>
  <c r="G65" i="5"/>
  <c r="N65" i="5" s="1" a="1"/>
  <c r="V65" i="5" l="1" a="1"/>
  <c r="U65" i="5" a="1"/>
  <c r="X65" i="5" a="1"/>
  <c r="T65" i="5" a="1"/>
  <c r="S65" i="5" a="1"/>
  <c r="W65" i="5" a="1"/>
  <c r="G64" i="5"/>
  <c r="N64" i="5" s="1" a="1"/>
  <c r="X64" i="5" l="1" a="1"/>
  <c r="U64" i="5" a="1"/>
  <c r="W64" i="5" a="1"/>
  <c r="T64" i="5" a="1"/>
  <c r="S64" i="5" s="1" a="1"/>
  <c r="V64" i="5" a="1"/>
  <c r="G63" i="5"/>
  <c r="N63" i="5" s="1" a="1"/>
  <c r="X63" i="5" l="1" a="1"/>
  <c r="W63" i="5" a="1"/>
  <c r="T63" i="5" a="1"/>
  <c r="U63" i="5" a="1"/>
  <c r="V63" i="5" a="1"/>
  <c r="S63" i="5" a="1"/>
  <c r="G62" i="5"/>
  <c r="N62" i="5" s="1" a="1"/>
  <c r="X62" i="5" l="1" a="1"/>
  <c r="T62" i="5" a="1"/>
  <c r="S62" i="5" s="1" a="1"/>
  <c r="U62" i="5" a="1"/>
  <c r="W62" i="5" a="1"/>
  <c r="V62" i="5" a="1"/>
  <c r="G61" i="5"/>
  <c r="N61" i="5" s="1" a="1"/>
  <c r="U61" i="5" l="1" a="1"/>
  <c r="W61" i="5" a="1"/>
  <c r="X61" i="5" a="1"/>
  <c r="V61" i="5" a="1"/>
  <c r="T61" i="5" a="1"/>
  <c r="S61" i="5" s="1" a="1"/>
  <c r="G60" i="5"/>
  <c r="N60" i="5" s="1" a="1"/>
  <c r="X60" i="5" l="1" a="1"/>
  <c r="T60" i="5" a="1"/>
  <c r="S60" i="5" a="1"/>
  <c r="V60" i="5" a="1"/>
  <c r="W60" i="5" a="1"/>
  <c r="U60" i="5" a="1"/>
  <c r="G59" i="5"/>
  <c r="N59" i="5" s="1" a="1"/>
  <c r="W59" i="5" l="1" a="1"/>
  <c r="U59" i="5" a="1"/>
  <c r="X59" i="5" a="1"/>
  <c r="T59" i="5" a="1"/>
  <c r="S59" i="5" s="1" a="1"/>
  <c r="V59" i="5" a="1"/>
  <c r="G58" i="5"/>
  <c r="N58" i="5" s="1" a="1"/>
  <c r="W58" i="5" l="1" a="1"/>
  <c r="T58" i="5" a="1"/>
  <c r="U58" i="5" a="1"/>
  <c r="V58" i="5" a="1"/>
  <c r="X58" i="5" a="1"/>
  <c r="S58" i="5" a="1"/>
  <c r="G57" i="5"/>
  <c r="N57" i="5" s="1" a="1"/>
  <c r="U57" i="5" l="1" a="1"/>
  <c r="V57" i="5" a="1"/>
  <c r="X57" i="5" a="1"/>
  <c r="T57" i="5" a="1"/>
  <c r="S57" i="5" s="1" a="1"/>
  <c r="W57" i="5" a="1"/>
  <c r="G56" i="5"/>
  <c r="N56" i="5" s="1" a="1"/>
  <c r="T56" i="5" l="1" a="1"/>
  <c r="V56" i="5" a="1"/>
  <c r="S56" i="5" a="1"/>
  <c r="W56" i="5" a="1"/>
  <c r="U56" i="5" a="1"/>
  <c r="X56" i="5" a="1"/>
  <c r="G55" i="5"/>
  <c r="N55" i="5" s="1" a="1"/>
  <c r="X55" i="5" l="1" a="1"/>
  <c r="T55" i="5" a="1"/>
  <c r="U55" i="5" a="1"/>
  <c r="V55" i="5" a="1"/>
  <c r="S55" i="5" a="1"/>
  <c r="W55" i="5" a="1"/>
  <c r="G54" i="5"/>
  <c r="N54" i="5" s="1" a="1"/>
  <c r="W54" i="5" l="1" a="1"/>
  <c r="X54" i="5" a="1"/>
  <c r="V54" i="5" a="1"/>
  <c r="U54" i="5" a="1"/>
  <c r="T54" i="5" a="1"/>
  <c r="S54" i="5" s="1" a="1"/>
  <c r="G53" i="5"/>
  <c r="N53" i="5" s="1" a="1"/>
  <c r="V53" i="5" l="1" a="1"/>
  <c r="T53" i="5" a="1"/>
  <c r="X53" i="5" a="1"/>
  <c r="S53" i="5" a="1"/>
  <c r="U53" i="5" a="1"/>
  <c r="W53" i="5" a="1"/>
  <c r="G52" i="5"/>
  <c r="N52" i="5" s="1" a="1"/>
  <c r="X52" i="5" l="1" a="1"/>
  <c r="V52" i="5" a="1"/>
  <c r="T52" i="5" a="1"/>
  <c r="W52" i="5" a="1"/>
  <c r="U52" i="5" a="1"/>
  <c r="S52" i="5" a="1"/>
  <c r="G51" i="5"/>
  <c r="N51" i="5" s="1" a="1"/>
  <c r="V51" i="5" l="1" a="1"/>
  <c r="U51" i="5" a="1"/>
  <c r="W51" i="5" a="1"/>
  <c r="X51" i="5" a="1"/>
  <c r="T51" i="5" a="1"/>
  <c r="S51" i="5" s="1" a="1"/>
  <c r="G50" i="5"/>
  <c r="N50" i="5" s="1" a="1"/>
  <c r="T50" i="5" l="1" a="1"/>
  <c r="V50" i="5" a="1"/>
  <c r="W50" i="5" a="1"/>
  <c r="X50" i="5" a="1"/>
  <c r="S50" i="5" a="1"/>
  <c r="U50" i="5" a="1"/>
  <c r="G49" i="5"/>
  <c r="N49" i="5" s="1" a="1"/>
  <c r="U49" i="5" l="1" a="1"/>
  <c r="V49" i="5" a="1"/>
  <c r="W49" i="5" a="1"/>
  <c r="X49" i="5" a="1"/>
  <c r="T49" i="5" a="1"/>
  <c r="S49" i="5" s="1" a="1"/>
  <c r="G48" i="5"/>
  <c r="N48" i="5" s="1" a="1"/>
  <c r="T48" i="5" l="1" a="1"/>
  <c r="W48" i="5" a="1"/>
  <c r="S48" i="5" a="1"/>
  <c r="V48" i="5" a="1"/>
  <c r="X48" i="5" a="1"/>
  <c r="U48" i="5" a="1"/>
  <c r="G47" i="5"/>
  <c r="N47" i="5" s="1" a="1"/>
  <c r="V47" i="5" l="1" a="1"/>
  <c r="W47" i="5" a="1"/>
  <c r="X47" i="5" a="1"/>
  <c r="T47" i="5" a="1"/>
  <c r="U47" i="5" a="1"/>
  <c r="S47" i="5" a="1"/>
  <c r="G46" i="5"/>
  <c r="N46" i="5" s="1" a="1"/>
  <c r="X46" i="5" l="1" a="1"/>
  <c r="T46" i="5" a="1"/>
  <c r="V46" i="5" a="1"/>
  <c r="S46" i="5" a="1"/>
  <c r="W46" i="5" a="1"/>
  <c r="U46" i="5" a="1"/>
  <c r="G45" i="5"/>
  <c r="N45" i="5" s="1" a="1"/>
  <c r="U45" i="5" l="1" a="1"/>
  <c r="W45" i="5" a="1"/>
  <c r="X45" i="5" a="1"/>
  <c r="T45" i="5" a="1"/>
  <c r="S45" i="5" s="1" a="1"/>
  <c r="V45" i="5" a="1"/>
  <c r="G44" i="5"/>
  <c r="N44" i="5" s="1" a="1"/>
  <c r="V44" i="5" l="1" a="1"/>
  <c r="X44" i="5" a="1"/>
  <c r="U44" i="5" a="1"/>
  <c r="W44" i="5" a="1"/>
  <c r="T44" i="5" a="1"/>
  <c r="S44" i="5" s="1" a="1"/>
  <c r="G43" i="5"/>
  <c r="N43" i="5" s="1" a="1"/>
  <c r="X43" i="5" l="1" a="1"/>
  <c r="T43" i="5" a="1"/>
  <c r="U43" i="5" a="1"/>
  <c r="S43" i="5" a="1"/>
  <c r="V43" i="5" a="1"/>
  <c r="W43" i="5" a="1"/>
  <c r="G42" i="5"/>
  <c r="N42" i="5" s="1" a="1"/>
  <c r="X42" i="5" l="1" a="1"/>
  <c r="U42" i="5" a="1"/>
  <c r="V42" i="5" a="1"/>
  <c r="W42" i="5" a="1"/>
  <c r="T42" i="5" a="1"/>
  <c r="S42" i="5" s="1" a="1"/>
  <c r="G41" i="5"/>
  <c r="N41" i="5" s="1" a="1"/>
  <c r="W41" i="5" l="1" a="1"/>
  <c r="X41" i="5" a="1"/>
  <c r="T41" i="5" a="1"/>
  <c r="U41" i="5" a="1"/>
  <c r="S41" i="5" a="1"/>
  <c r="V41" i="5" a="1"/>
  <c r="G40" i="5"/>
  <c r="N40" i="5" s="1" a="1"/>
  <c r="X40" i="5" l="1" a="1"/>
  <c r="T40" i="5" a="1"/>
  <c r="W40" i="5" a="1"/>
  <c r="S40" i="5" a="1"/>
  <c r="U40" i="5" a="1"/>
  <c r="V40" i="5" a="1"/>
  <c r="G39" i="5"/>
  <c r="N39" i="5" s="1" a="1"/>
  <c r="X39" i="5" l="1" a="1"/>
  <c r="W39" i="5" a="1"/>
  <c r="V39" i="5" a="1"/>
  <c r="U39" i="5" a="1"/>
  <c r="T39" i="5" a="1"/>
  <c r="S39" i="5" s="1" a="1"/>
  <c r="G38" i="5"/>
  <c r="N38" i="5" s="1" a="1"/>
  <c r="X38" i="5" l="1" a="1"/>
  <c r="T38" i="5" a="1"/>
  <c r="W38" i="5" a="1"/>
  <c r="S38" i="5" a="1"/>
  <c r="V38" i="5" a="1"/>
  <c r="U38" i="5" a="1"/>
  <c r="G37" i="5"/>
  <c r="N37" i="5" s="1" a="1"/>
  <c r="X37" i="5" l="1" a="1"/>
  <c r="W37" i="5" a="1"/>
  <c r="V37" i="5" a="1"/>
  <c r="T37" i="5" a="1"/>
  <c r="U37" i="5" a="1"/>
  <c r="S37" i="5" a="1"/>
  <c r="G36" i="5"/>
  <c r="N36" i="5" s="1" a="1"/>
  <c r="U36" i="5" l="1" a="1"/>
  <c r="W36" i="5" a="1"/>
  <c r="X36" i="5" a="1"/>
  <c r="T36" i="5" a="1"/>
  <c r="S36" i="5" s="1" a="1"/>
  <c r="V36" i="5" a="1"/>
  <c r="G35" i="5"/>
  <c r="N35" i="5" s="1" a="1"/>
  <c r="T35" i="5" l="1" a="1"/>
  <c r="V35" i="5" a="1"/>
  <c r="W35" i="5" a="1"/>
  <c r="S35" i="5" a="1"/>
  <c r="X35" i="5" a="1"/>
  <c r="U35" i="5" a="1"/>
  <c r="G34" i="5"/>
  <c r="N34" i="5" s="1" a="1"/>
  <c r="U34" i="5" l="1" a="1"/>
  <c r="V34" i="5" a="1"/>
  <c r="T34" i="5" a="1"/>
  <c r="W34" i="5" a="1"/>
  <c r="X34" i="5" a="1"/>
  <c r="S34" i="5" a="1"/>
  <c r="G33" i="5"/>
  <c r="N33" i="5" s="1" a="1"/>
  <c r="X33" i="5" l="1" a="1"/>
  <c r="W33" i="5" a="1"/>
  <c r="T33" i="5" a="1"/>
  <c r="S33" i="5" a="1"/>
  <c r="U33" i="5" a="1"/>
  <c r="V33" i="5" a="1"/>
  <c r="G32" i="5"/>
  <c r="N32" i="5" s="1" a="1"/>
  <c r="U32" i="5" l="1" a="1"/>
  <c r="W32" i="5" a="1"/>
  <c r="X32" i="5" a="1"/>
  <c r="T32" i="5" a="1"/>
  <c r="V32" i="5" a="1"/>
  <c r="S32" i="5" a="1"/>
  <c r="G31" i="5"/>
  <c r="N31" i="5" s="1" a="1"/>
  <c r="T31" i="5" l="1" a="1"/>
  <c r="W31" i="5" a="1"/>
  <c r="S31" i="5" a="1"/>
  <c r="X31" i="5" a="1"/>
  <c r="U31" i="5" a="1"/>
  <c r="V31" i="5" a="1"/>
  <c r="G30" i="5"/>
  <c r="N30" i="5" s="1" a="1"/>
  <c r="U30" i="5" l="1" a="1"/>
  <c r="X30" i="5" a="1"/>
  <c r="T30" i="5" a="1"/>
  <c r="S30" i="5" s="1" a="1"/>
  <c r="V30" i="5" a="1"/>
  <c r="W30" i="5" a="1"/>
  <c r="G29" i="5"/>
  <c r="N29" i="5" s="1" a="1"/>
  <c r="X29" i="5" l="1" a="1"/>
  <c r="V29" i="5" a="1"/>
  <c r="W29" i="5" a="1"/>
  <c r="U29" i="5" a="1"/>
  <c r="T29" i="5" a="1"/>
  <c r="S29" i="5" s="1" a="1"/>
  <c r="G28" i="5"/>
  <c r="N28" i="5" s="1" a="1"/>
  <c r="W28" i="5" l="1" a="1"/>
  <c r="X28" i="5" a="1"/>
  <c r="U28" i="5" a="1"/>
  <c r="T28" i="5" a="1"/>
  <c r="S28" i="5" a="1"/>
  <c r="V28" i="5" a="1"/>
  <c r="G27" i="5"/>
  <c r="N27" i="5" s="1" a="1"/>
  <c r="V27" i="5" l="1" a="1"/>
  <c r="W27" i="5" a="1"/>
  <c r="X27" i="5" a="1"/>
  <c r="T27" i="5" a="1"/>
  <c r="U27" i="5" a="1"/>
  <c r="S27" i="5" a="1"/>
  <c r="G26" i="5"/>
  <c r="N26" i="5" s="1" a="1"/>
  <c r="T26" i="5" l="1" a="1"/>
  <c r="V26" i="5" a="1"/>
  <c r="U26" i="5" a="1"/>
  <c r="S26" i="5" a="1"/>
  <c r="W26" i="5" a="1"/>
  <c r="X26" i="5" a="1"/>
  <c r="G25" i="5"/>
  <c r="N25" i="5" s="1" a="1"/>
  <c r="X25" i="5" l="1" a="1"/>
  <c r="W25" i="5" a="1"/>
  <c r="U25" i="5" a="1"/>
  <c r="V25" i="5" a="1"/>
  <c r="T25" i="5" a="1"/>
  <c r="S25" i="5" s="1" a="1"/>
  <c r="G24" i="5"/>
  <c r="N24" i="5" s="1" a="1"/>
  <c r="W24" i="5" l="1" a="1"/>
  <c r="U24" i="5" a="1"/>
  <c r="V24" i="5" a="1"/>
  <c r="X24" i="5" a="1"/>
  <c r="T24" i="5" a="1"/>
  <c r="S24" i="5" s="1" a="1"/>
  <c r="G23" i="5"/>
  <c r="N23" i="5" s="1" a="1"/>
  <c r="W23" i="5" l="1" a="1"/>
  <c r="U23" i="5" a="1"/>
  <c r="V23" i="5" a="1"/>
  <c r="X23" i="5" a="1"/>
  <c r="T23" i="5" a="1"/>
  <c r="S23" i="5" a="1"/>
  <c r="G22" i="5"/>
  <c r="N22" i="5" s="1" a="1"/>
  <c r="U22" i="5" l="1" a="1"/>
  <c r="T22" i="5" a="1"/>
  <c r="X22" i="5" a="1"/>
  <c r="S22" i="5" a="1"/>
  <c r="V22" i="5" a="1"/>
  <c r="W22" i="5" a="1"/>
  <c r="G21" i="5"/>
  <c r="N21" i="5" s="1" a="1"/>
  <c r="W21" i="5" l="1" a="1"/>
  <c r="X21" i="5" a="1"/>
  <c r="T21" i="5" a="1"/>
  <c r="S21" i="5" s="1" a="1"/>
  <c r="V21" i="5" a="1"/>
  <c r="U21" i="5" a="1"/>
  <c r="G20" i="5"/>
  <c r="N20" i="5" s="1" a="1"/>
  <c r="X20" i="5" l="1" a="1"/>
  <c r="T20" i="5" a="1"/>
  <c r="W20" i="5" a="1"/>
  <c r="S20" i="5" a="1"/>
  <c r="U20" i="5" a="1"/>
  <c r="V20" i="5" a="1"/>
  <c r="G19" i="5"/>
  <c r="N19" i="5" s="1" a="1"/>
  <c r="X19" i="5" l="1" a="1"/>
  <c r="T19" i="5" a="1"/>
  <c r="V19" i="5" a="1"/>
  <c r="S19" i="5" a="1"/>
  <c r="W19" i="5" a="1"/>
  <c r="U19" i="5" a="1"/>
  <c r="G18" i="5"/>
  <c r="N18" i="5" s="1" a="1"/>
  <c r="W18" i="5" l="1" a="1"/>
  <c r="X18" i="5" a="1"/>
  <c r="V18" i="5" a="1"/>
  <c r="T18" i="5" a="1"/>
  <c r="S18" i="5" s="1" a="1"/>
  <c r="U18" i="5" a="1"/>
  <c r="G17" i="5"/>
  <c r="N17" i="5" s="1" a="1"/>
  <c r="X17" i="5" l="1" a="1"/>
  <c r="U17" i="5" a="1"/>
  <c r="W17" i="5" a="1"/>
  <c r="V17" i="5" a="1"/>
  <c r="T17" i="5" a="1"/>
  <c r="S17" i="5" s="1" a="1"/>
  <c r="G16" i="5"/>
  <c r="N16" i="5" s="1" a="1"/>
  <c r="W16" i="5" l="1" a="1"/>
  <c r="V16" i="5" a="1"/>
  <c r="T16" i="5" a="1"/>
  <c r="S16" i="5" s="1" a="1"/>
  <c r="U16" i="5" a="1"/>
  <c r="X16" i="5" a="1"/>
  <c r="G15" i="5"/>
  <c r="N15" i="5" s="1" a="1"/>
  <c r="W15" i="5" l="1" a="1"/>
  <c r="V15" i="5" a="1"/>
  <c r="U15" i="5" a="1"/>
  <c r="X15" i="5" a="1"/>
  <c r="T15" i="5" a="1"/>
  <c r="S15" i="5" a="1"/>
  <c r="G14" i="5"/>
  <c r="N14" i="5" s="1" a="1"/>
  <c r="V14" i="5" l="1" a="1"/>
  <c r="U14" i="5" a="1"/>
  <c r="W14" i="5" a="1"/>
  <c r="X14" i="5" a="1"/>
  <c r="T14" i="5" a="1"/>
  <c r="S14" i="5" a="1"/>
  <c r="G13" i="5"/>
  <c r="N13" i="5" s="1" a="1"/>
  <c r="W13" i="5" l="1" a="1"/>
  <c r="X13" i="5" a="1"/>
  <c r="T13" i="5" a="1"/>
  <c r="S13" i="5" s="1" a="1"/>
  <c r="U13" i="5" a="1"/>
  <c r="V13" i="5" a="1"/>
  <c r="G12" i="5"/>
  <c r="N12" i="5" s="1" a="1"/>
  <c r="W12" i="5" l="1" a="1"/>
  <c r="T12" i="5" a="1"/>
  <c r="S12" i="5" s="1" a="1"/>
  <c r="V12" i="5" a="1"/>
  <c r="X12" i="5" a="1"/>
  <c r="U12" i="5" a="1"/>
  <c r="G11" i="5"/>
  <c r="N11" i="5" s="1" a="1"/>
  <c r="V11" i="5" l="1" a="1"/>
  <c r="W11" i="5" a="1"/>
  <c r="T11" i="5" a="1"/>
  <c r="U11" i="5" a="1"/>
  <c r="S11" i="5" a="1"/>
  <c r="X11" i="5" a="1"/>
  <c r="G10" i="5"/>
  <c r="N10" i="5" s="1" a="1"/>
  <c r="X10" i="5" l="1" a="1"/>
  <c r="V10" i="5" a="1"/>
  <c r="T10" i="5" a="1"/>
  <c r="S10" i="5" s="1" a="1"/>
  <c r="U10" i="5" a="1"/>
  <c r="W10" i="5" a="1"/>
  <c r="G9" i="5"/>
  <c r="N9" i="5" s="1" a="1"/>
  <c r="U9" i="5" l="1" a="1"/>
  <c r="X9" i="5" a="1"/>
  <c r="W9" i="5" a="1"/>
  <c r="V9" i="5" a="1"/>
  <c r="T9" i="5" a="1"/>
  <c r="S9" i="5" s="1" a="1"/>
  <c r="G8" i="5"/>
  <c r="N8" i="5" s="1" a="1"/>
  <c r="W8" i="5" l="1" a="1"/>
  <c r="Q4" i="5" s="1"/>
  <c r="T8" i="5" a="1"/>
  <c r="P4" i="5" s="1"/>
  <c r="S8" i="5" a="1"/>
  <c r="O4" i="5" s="1"/>
  <c r="U8" i="5" a="1"/>
  <c r="V8" i="5" a="1"/>
  <c r="X8" i="5" a="1"/>
  <c r="R4" i="5" s="1"/>
  <c r="G133" i="4" l="1"/>
  <c r="L133" i="4" s="1" a="1"/>
  <c r="R133" i="4" l="1" a="1"/>
  <c r="Q133" i="4" s="1" a="1"/>
  <c r="S133" i="4" a="1"/>
  <c r="T133" i="4" a="1"/>
  <c r="G132" i="4"/>
  <c r="L132" i="4" s="1" a="1"/>
  <c r="U133" i="4" l="1" a="1"/>
  <c r="V133" i="4" a="1"/>
  <c r="T132" i="4" a="1"/>
  <c r="S132" i="4" a="1"/>
  <c r="R132" i="4" a="1"/>
  <c r="Q132" i="4" a="1"/>
  <c r="G131" i="4"/>
  <c r="L131" i="4" s="1" a="1"/>
  <c r="U132" i="4" l="1" a="1"/>
  <c r="V132" i="4" a="1"/>
  <c r="S131" i="4" a="1"/>
  <c r="R131" i="4" a="1"/>
  <c r="Q131" i="4" s="1" a="1"/>
  <c r="T131" i="4" a="1"/>
  <c r="G130" i="4"/>
  <c r="L130" i="4" s="1" a="1"/>
  <c r="U131" i="4" l="1" a="1"/>
  <c r="V131" i="4" a="1"/>
  <c r="R130" i="4" a="1"/>
  <c r="T130" i="4" a="1"/>
  <c r="S130" i="4" a="1"/>
  <c r="Q130" i="4" a="1"/>
  <c r="G129" i="4"/>
  <c r="L129" i="4" s="1" a="1"/>
  <c r="U130" i="4" l="1" a="1"/>
  <c r="V130" i="4" a="1"/>
  <c r="S129" i="4" a="1"/>
  <c r="T129" i="4" a="1"/>
  <c r="R129" i="4" a="1"/>
  <c r="Q129" i="4" a="1"/>
  <c r="G128" i="4"/>
  <c r="L128" i="4" s="1" a="1"/>
  <c r="V129" i="4" l="1" a="1"/>
  <c r="U129" i="4" a="1"/>
  <c r="R128" i="4" a="1"/>
  <c r="Q128" i="4" s="1" a="1"/>
  <c r="S128" i="4" a="1"/>
  <c r="T128" i="4" a="1"/>
  <c r="G127" i="4"/>
  <c r="L127" i="4" s="1" a="1"/>
  <c r="U128" i="4" l="1" a="1"/>
  <c r="V128" i="4" a="1"/>
  <c r="T127" i="4" a="1"/>
  <c r="S127" i="4" a="1"/>
  <c r="R127" i="4" a="1"/>
  <c r="Q127" i="4" a="1"/>
  <c r="G126" i="4"/>
  <c r="L126" i="4" s="1" a="1"/>
  <c r="V127" i="4" l="1" a="1"/>
  <c r="U127" i="4" a="1"/>
  <c r="S126" i="4" a="1"/>
  <c r="R126" i="4" a="1"/>
  <c r="Q126" i="4" s="1" a="1"/>
  <c r="T126" i="4" a="1"/>
  <c r="G125" i="4"/>
  <c r="L125" i="4" s="1" a="1"/>
  <c r="U126" i="4" l="1" a="1"/>
  <c r="V126" i="4" a="1"/>
  <c r="T125" i="4" a="1"/>
  <c r="S125" i="4" a="1"/>
  <c r="R125" i="4" a="1"/>
  <c r="Q125" i="4" s="1" a="1"/>
  <c r="G124" i="4"/>
  <c r="L124" i="4" s="1" a="1"/>
  <c r="U125" i="4" l="1" a="1"/>
  <c r="V125" i="4" a="1"/>
  <c r="S124" i="4" a="1"/>
  <c r="R124" i="4" a="1"/>
  <c r="Q124" i="4" a="1"/>
  <c r="T124" i="4" a="1"/>
  <c r="G123" i="4"/>
  <c r="L123" i="4" s="1" a="1"/>
  <c r="U124" i="4" l="1" a="1"/>
  <c r="V124" i="4" a="1"/>
  <c r="S123" i="4" a="1"/>
  <c r="R123" i="4" a="1"/>
  <c r="Q123" i="4" s="1" a="1"/>
  <c r="T123" i="4" a="1"/>
  <c r="G122" i="4"/>
  <c r="L122" i="4" s="1" a="1"/>
  <c r="U123" i="4" l="1" a="1"/>
  <c r="V123" i="4" a="1"/>
  <c r="S122" i="4" a="1"/>
  <c r="R122" i="4" a="1"/>
  <c r="T122" i="4" a="1"/>
  <c r="Q122" i="4" a="1"/>
  <c r="G121" i="4"/>
  <c r="L121" i="4" s="1" a="1"/>
  <c r="U122" i="4" l="1" a="1"/>
  <c r="V122" i="4" a="1"/>
  <c r="T121" i="4" a="1"/>
  <c r="R121" i="4" a="1"/>
  <c r="Q121" i="4" a="1"/>
  <c r="S121" i="4" a="1"/>
  <c r="G120" i="4"/>
  <c r="L120" i="4" s="1" a="1"/>
  <c r="V121" i="4" l="1" a="1"/>
  <c r="U121" i="4" a="1"/>
  <c r="R120" i="4" a="1"/>
  <c r="T120" i="4" a="1"/>
  <c r="S120" i="4" a="1"/>
  <c r="Q120" i="4" a="1"/>
  <c r="G119" i="4"/>
  <c r="L119" i="4" s="1" a="1"/>
  <c r="V120" i="4" l="1" a="1"/>
  <c r="U120" i="4" a="1"/>
  <c r="T119" i="4" a="1"/>
  <c r="R119" i="4" a="1"/>
  <c r="Q119" i="4" s="1" a="1"/>
  <c r="S119" i="4" a="1"/>
  <c r="G118" i="4"/>
  <c r="L118" i="4" s="1" a="1"/>
  <c r="U119" i="4" l="1" a="1"/>
  <c r="V119" i="4" a="1"/>
  <c r="S118" i="4" a="1"/>
  <c r="R118" i="4" a="1"/>
  <c r="Q118" i="4" a="1"/>
  <c r="U118" i="4" s="1" a="1"/>
  <c r="V118" i="4" a="1"/>
  <c r="T118" i="4" a="1"/>
  <c r="G117" i="4"/>
  <c r="L117" i="4" s="1" a="1"/>
  <c r="S117" i="4" l="1" a="1"/>
  <c r="R117" i="4" a="1"/>
  <c r="Q117" i="4" s="1" a="1"/>
  <c r="T117" i="4" a="1"/>
  <c r="G116" i="4"/>
  <c r="L116" i="4" s="1" a="1"/>
  <c r="U117" i="4" l="1" a="1"/>
  <c r="V117" i="4" a="1"/>
  <c r="T116" i="4" a="1"/>
  <c r="S116" i="4" a="1"/>
  <c r="R116" i="4" a="1"/>
  <c r="Q116" i="4" s="1" a="1"/>
  <c r="G115" i="4"/>
  <c r="L115" i="4" s="1" a="1"/>
  <c r="U116" i="4" l="1" a="1"/>
  <c r="V116" i="4" a="1"/>
  <c r="S115" i="4" a="1"/>
  <c r="T115" i="4" a="1"/>
  <c r="R115" i="4" a="1"/>
  <c r="Q115" i="4" s="1" a="1"/>
  <c r="G114" i="4"/>
  <c r="L114" i="4" s="1" a="1"/>
  <c r="U115" i="4" l="1" a="1"/>
  <c r="V115" i="4" a="1"/>
  <c r="T114" i="4" a="1"/>
  <c r="S114" i="4" a="1"/>
  <c r="R114" i="4" a="1"/>
  <c r="Q114" i="4" s="1" a="1"/>
  <c r="G113" i="4"/>
  <c r="L113" i="4" s="1" a="1"/>
  <c r="V114" i="4" l="1" a="1"/>
  <c r="U114" i="4" a="1"/>
  <c r="S113" i="4" a="1"/>
  <c r="R113" i="4" a="1"/>
  <c r="Q113" i="4" s="1" a="1"/>
  <c r="T113" i="4" a="1"/>
  <c r="G112" i="4"/>
  <c r="L112" i="4" s="1" a="1"/>
  <c r="V113" i="4" l="1" a="1"/>
  <c r="U113" i="4" a="1"/>
  <c r="S112" i="4" a="1"/>
  <c r="R112" i="4" a="1"/>
  <c r="Q112" i="4" a="1"/>
  <c r="V112" i="4" s="1" a="1"/>
  <c r="U112" i="4" a="1"/>
  <c r="T112" i="4" a="1"/>
  <c r="G111" i="4"/>
  <c r="L111" i="4" s="1" a="1"/>
  <c r="R111" i="4" l="1" a="1"/>
  <c r="Q111" i="4" a="1"/>
  <c r="U111" i="4" s="1" a="1"/>
  <c r="S111" i="4" a="1"/>
  <c r="V111" i="4" a="1"/>
  <c r="T111" i="4" a="1"/>
  <c r="G110" i="4"/>
  <c r="L110" i="4" s="1" a="1"/>
  <c r="T110" i="4" l="1" a="1"/>
  <c r="S110" i="4" a="1"/>
  <c r="R110" i="4" a="1"/>
  <c r="Q110" i="4" s="1" a="1"/>
  <c r="G109" i="4"/>
  <c r="L109" i="4" s="1" a="1"/>
  <c r="U110" i="4" l="1" a="1"/>
  <c r="V110" i="4" a="1"/>
  <c r="T109" i="4" a="1"/>
  <c r="S109" i="4" a="1"/>
  <c r="R109" i="4" a="1"/>
  <c r="Q109" i="4" a="1"/>
  <c r="V109" i="4" s="1" a="1"/>
  <c r="U109" i="4" a="1"/>
  <c r="G108" i="4"/>
  <c r="L108" i="4" s="1" a="1"/>
  <c r="S108" i="4" l="1" a="1"/>
  <c r="R108" i="4" a="1"/>
  <c r="Q108" i="4" s="1" a="1"/>
  <c r="T108" i="4" a="1"/>
  <c r="G107" i="4"/>
  <c r="L107" i="4" s="1" a="1"/>
  <c r="U108" i="4" l="1" a="1"/>
  <c r="V108" i="4" a="1"/>
  <c r="S107" i="4" a="1"/>
  <c r="R107" i="4" a="1"/>
  <c r="Q107" i="4" s="1" a="1"/>
  <c r="T107" i="4" a="1"/>
  <c r="G106" i="4"/>
  <c r="L106" i="4" s="1" a="1"/>
  <c r="U107" i="4" l="1" a="1"/>
  <c r="V107" i="4" a="1"/>
  <c r="R106" i="4" a="1"/>
  <c r="Q106" i="4" s="1" a="1"/>
  <c r="S106" i="4" a="1"/>
  <c r="T106" i="4" a="1"/>
  <c r="G105" i="4"/>
  <c r="L105" i="4" s="1" a="1"/>
  <c r="V106" i="4" l="1" a="1"/>
  <c r="U106" i="4" a="1"/>
  <c r="T105" i="4" a="1"/>
  <c r="S105" i="4" a="1"/>
  <c r="R105" i="4" a="1"/>
  <c r="Q105" i="4" s="1" a="1"/>
  <c r="G104" i="4"/>
  <c r="L104" i="4" s="1" a="1"/>
  <c r="V105" i="4" l="1" a="1"/>
  <c r="U105" i="4" a="1"/>
  <c r="R104" i="4" a="1"/>
  <c r="T104" i="4" a="1"/>
  <c r="S104" i="4" a="1"/>
  <c r="Q104" i="4" a="1"/>
  <c r="U104" i="4" a="1"/>
  <c r="V104" i="4" a="1"/>
  <c r="G103" i="4"/>
  <c r="L103" i="4" s="1" a="1"/>
  <c r="S103" i="4" l="1" a="1"/>
  <c r="R103" i="4" a="1"/>
  <c r="Q103" i="4" s="1" a="1"/>
  <c r="T103" i="4" a="1"/>
  <c r="G102" i="4"/>
  <c r="L102" i="4" s="1" a="1"/>
  <c r="U103" i="4" l="1" a="1"/>
  <c r="V103" i="4" a="1"/>
  <c r="S102" i="4" a="1"/>
  <c r="T102" i="4" a="1"/>
  <c r="R102" i="4" a="1"/>
  <c r="Q102" i="4" a="1"/>
  <c r="G101" i="4"/>
  <c r="L101" i="4" s="1" a="1"/>
  <c r="V102" i="4" l="1" a="1"/>
  <c r="U102" i="4" a="1"/>
  <c r="R101" i="4" a="1"/>
  <c r="Q101" i="4" s="1" a="1"/>
  <c r="S101" i="4" a="1"/>
  <c r="T101" i="4" a="1"/>
  <c r="G100" i="4"/>
  <c r="L100" i="4" s="1" a="1"/>
  <c r="U101" i="4" l="1" a="1"/>
  <c r="V101" i="4" a="1"/>
  <c r="R100" i="4" a="1"/>
  <c r="T100" i="4" a="1"/>
  <c r="Q100" i="4" a="1"/>
  <c r="S100" i="4" a="1"/>
  <c r="G99" i="4"/>
  <c r="L99" i="4" s="1" a="1"/>
  <c r="U100" i="4" l="1" a="1"/>
  <c r="V100" i="4" a="1"/>
  <c r="T99" i="4" a="1"/>
  <c r="S99" i="4" a="1"/>
  <c r="R99" i="4" a="1"/>
  <c r="Q99" i="4" s="1" a="1"/>
  <c r="G98" i="4"/>
  <c r="L98" i="4" s="1" a="1"/>
  <c r="V99" i="4" l="1" a="1"/>
  <c r="U99" i="4" a="1"/>
  <c r="S98" i="4" a="1"/>
  <c r="T98" i="4" a="1"/>
  <c r="R98" i="4" a="1"/>
  <c r="Q98" i="4" s="1" a="1"/>
  <c r="G97" i="4"/>
  <c r="L97" i="4" s="1" a="1"/>
  <c r="U98" i="4" l="1" a="1"/>
  <c r="V98" i="4" a="1"/>
  <c r="S97" i="4" a="1"/>
  <c r="R97" i="4" a="1"/>
  <c r="Q97" i="4" s="1" a="1"/>
  <c r="T97" i="4" a="1"/>
  <c r="G96" i="4"/>
  <c r="L96" i="4" s="1" a="1"/>
  <c r="V97" i="4" l="1" a="1"/>
  <c r="U97" i="4" a="1"/>
  <c r="R96" i="4" a="1"/>
  <c r="T96" i="4" a="1"/>
  <c r="S96" i="4" a="1"/>
  <c r="Q96" i="4" a="1"/>
  <c r="V96" i="4" s="1" a="1"/>
  <c r="U96" i="4" a="1"/>
  <c r="G95" i="4"/>
  <c r="L95" i="4" s="1" a="1"/>
  <c r="T95" i="4" l="1" a="1"/>
  <c r="S95" i="4" a="1"/>
  <c r="R95" i="4" a="1"/>
  <c r="Q95" i="4" a="1"/>
  <c r="G94" i="4"/>
  <c r="L94" i="4" s="1" a="1"/>
  <c r="U95" i="4" l="1" a="1"/>
  <c r="V95" i="4" a="1"/>
  <c r="S94" i="4" a="1"/>
  <c r="R94" i="4" a="1"/>
  <c r="Q94" i="4" s="1" a="1"/>
  <c r="T94" i="4" a="1"/>
  <c r="G93" i="4"/>
  <c r="L93" i="4" s="1" a="1"/>
  <c r="U94" i="4" l="1" a="1"/>
  <c r="V94" i="4" a="1"/>
  <c r="R93" i="4" a="1"/>
  <c r="S93" i="4" a="1"/>
  <c r="T93" i="4" a="1"/>
  <c r="Q93" i="4" a="1"/>
  <c r="G92" i="4"/>
  <c r="L92" i="4" s="1" a="1"/>
  <c r="V93" i="4" l="1" a="1"/>
  <c r="U93" i="4" a="1"/>
  <c r="S92" i="4" a="1"/>
  <c r="T92" i="4" a="1"/>
  <c r="R92" i="4" a="1"/>
  <c r="Q92" i="4" s="1" a="1"/>
  <c r="G91" i="4"/>
  <c r="L91" i="4" s="1" a="1"/>
  <c r="V92" i="4" l="1" a="1"/>
  <c r="U92" i="4" a="1"/>
  <c r="S91" i="4" a="1"/>
  <c r="R91" i="4" a="1"/>
  <c r="Q91" i="4" s="1" a="1"/>
  <c r="T91" i="4" a="1"/>
  <c r="G90" i="4"/>
  <c r="L90" i="4" s="1" a="1"/>
  <c r="V91" i="4" l="1" a="1"/>
  <c r="U91" i="4" a="1"/>
  <c r="T90" i="4" a="1"/>
  <c r="S90" i="4" a="1"/>
  <c r="R90" i="4" a="1"/>
  <c r="Q90" i="4" s="1" a="1"/>
  <c r="G89" i="4"/>
  <c r="L89" i="4" s="1" a="1"/>
  <c r="V90" i="4" l="1" a="1"/>
  <c r="U90" i="4" a="1"/>
  <c r="S89" i="4" a="1"/>
  <c r="R89" i="4" a="1"/>
  <c r="Q89" i="4" s="1" a="1"/>
  <c r="T89" i="4" a="1"/>
  <c r="G88" i="4"/>
  <c r="L88" i="4" s="1" a="1"/>
  <c r="V89" i="4" l="1" a="1"/>
  <c r="U89" i="4" a="1"/>
  <c r="S88" i="4" a="1"/>
  <c r="R88" i="4" a="1"/>
  <c r="T88" i="4" a="1"/>
  <c r="Q88" i="4" a="1"/>
  <c r="G87" i="4"/>
  <c r="L87" i="4" s="1" a="1"/>
  <c r="U88" i="4" l="1" a="1"/>
  <c r="V88" i="4" a="1"/>
  <c r="R87" i="4" a="1"/>
  <c r="Q87" i="4" s="1" a="1"/>
  <c r="S87" i="4" a="1"/>
  <c r="T87" i="4" a="1"/>
  <c r="G86" i="4"/>
  <c r="L86" i="4" s="1" a="1"/>
  <c r="U87" i="4" l="1" a="1"/>
  <c r="V87" i="4" a="1"/>
  <c r="S86" i="4" a="1"/>
  <c r="T86" i="4" a="1"/>
  <c r="R86" i="4" a="1"/>
  <c r="Q86" i="4" s="1" a="1"/>
  <c r="G85" i="4"/>
  <c r="L85" i="4" s="1" a="1"/>
  <c r="V86" i="4" l="1" a="1"/>
  <c r="U86" i="4" a="1"/>
  <c r="T85" i="4" a="1"/>
  <c r="R85" i="4" a="1"/>
  <c r="Q85" i="4" a="1"/>
  <c r="S85" i="4" a="1"/>
  <c r="G84" i="4"/>
  <c r="L84" i="4" s="1" a="1"/>
  <c r="U85" i="4" l="1" a="1"/>
  <c r="V85" i="4" a="1"/>
  <c r="T84" i="4" a="1"/>
  <c r="R84" i="4" a="1"/>
  <c r="Q84" i="4" s="1" a="1"/>
  <c r="S84" i="4" a="1"/>
  <c r="G83" i="4"/>
  <c r="L83" i="4" s="1" a="1"/>
  <c r="V84" i="4" l="1" a="1"/>
  <c r="U84" i="4" a="1"/>
  <c r="S83" i="4" a="1"/>
  <c r="T83" i="4" a="1"/>
  <c r="R83" i="4" a="1"/>
  <c r="Q83" i="4" s="1" a="1"/>
  <c r="G82" i="4"/>
  <c r="L82" i="4" s="1" a="1"/>
  <c r="V83" i="4" l="1" a="1"/>
  <c r="U83" i="4" a="1"/>
  <c r="R82" i="4" a="1"/>
  <c r="Q82" i="4" a="1"/>
  <c r="S82" i="4" a="1"/>
  <c r="T82" i="4" a="1"/>
  <c r="G81" i="4"/>
  <c r="L81" i="4" s="1" a="1"/>
  <c r="V82" i="4" l="1" a="1"/>
  <c r="U82" i="4" a="1"/>
  <c r="S81" i="4" a="1"/>
  <c r="T81" i="4" a="1"/>
  <c r="R81" i="4" a="1"/>
  <c r="Q81" i="4" s="1" a="1"/>
  <c r="G80" i="4"/>
  <c r="L80" i="4" s="1" a="1"/>
  <c r="U81" i="4" l="1" a="1"/>
  <c r="V81" i="4" a="1"/>
  <c r="R80" i="4" a="1"/>
  <c r="Q80" i="4" s="1" a="1"/>
  <c r="S80" i="4" a="1"/>
  <c r="T80" i="4" a="1"/>
  <c r="G79" i="4"/>
  <c r="L79" i="4" s="1" a="1"/>
  <c r="U80" i="4" l="1" a="1"/>
  <c r="V80" i="4" a="1"/>
  <c r="S79" i="4" a="1"/>
  <c r="T79" i="4" a="1"/>
  <c r="R79" i="4" a="1"/>
  <c r="Q79" i="4" s="1" a="1"/>
  <c r="G78" i="4"/>
  <c r="L78" i="4" s="1" a="1"/>
  <c r="V79" i="4" l="1" a="1"/>
  <c r="U79" i="4" a="1"/>
  <c r="S78" i="4" a="1"/>
  <c r="T78" i="4" a="1"/>
  <c r="R78" i="4" a="1"/>
  <c r="Q78" i="4" a="1"/>
  <c r="V78" i="4" s="1" a="1"/>
  <c r="U78" i="4" a="1"/>
  <c r="G77" i="4"/>
  <c r="L77" i="4" s="1" a="1"/>
  <c r="T77" i="4" l="1" a="1"/>
  <c r="R77" i="4" a="1"/>
  <c r="Q77" i="4" s="1" a="1"/>
  <c r="S77" i="4" a="1"/>
  <c r="G76" i="4"/>
  <c r="L76" i="4" s="1" a="1"/>
  <c r="U77" i="4" l="1" a="1"/>
  <c r="V77" i="4" a="1"/>
  <c r="S76" i="4" a="1"/>
  <c r="T76" i="4" a="1"/>
  <c r="R76" i="4" a="1"/>
  <c r="Q76" i="4" s="1" a="1"/>
  <c r="G75" i="4"/>
  <c r="L75" i="4" s="1" a="1"/>
  <c r="V76" i="4" l="1" a="1"/>
  <c r="U76" i="4" a="1"/>
  <c r="R75" i="4" a="1"/>
  <c r="Q75" i="4" a="1"/>
  <c r="U75" i="4" a="1"/>
  <c r="V75" i="4" a="1"/>
  <c r="S75" i="4" a="1"/>
  <c r="T75" i="4" a="1"/>
  <c r="G74" i="4"/>
  <c r="L74" i="4" s="1" a="1"/>
  <c r="S74" i="4" l="1" a="1"/>
  <c r="T74" i="4" a="1"/>
  <c r="R74" i="4" a="1"/>
  <c r="Q74" i="4" s="1" a="1"/>
  <c r="G73" i="4"/>
  <c r="L73" i="4" s="1" a="1"/>
  <c r="U74" i="4" l="1" a="1"/>
  <c r="V74" i="4" a="1"/>
  <c r="S73" i="4" a="1"/>
  <c r="T73" i="4" a="1"/>
  <c r="R73" i="4" a="1"/>
  <c r="Q73" i="4" s="1" a="1"/>
  <c r="G72" i="4"/>
  <c r="L72" i="4" s="1" a="1"/>
  <c r="V73" i="4" l="1" a="1"/>
  <c r="U73" i="4" a="1"/>
  <c r="S72" i="4" a="1"/>
  <c r="T72" i="4" a="1"/>
  <c r="R72" i="4" a="1"/>
  <c r="Q72" i="4" a="1"/>
  <c r="G71" i="4"/>
  <c r="L71" i="4" s="1" a="1"/>
  <c r="U72" i="4" l="1" a="1"/>
  <c r="V72" i="4" a="1"/>
  <c r="R71" i="4" a="1"/>
  <c r="Q71" i="4" s="1" a="1"/>
  <c r="S71" i="4" a="1"/>
  <c r="T71" i="4" a="1"/>
  <c r="G70" i="4"/>
  <c r="L70" i="4" s="1" a="1"/>
  <c r="V71" i="4" l="1" a="1"/>
  <c r="U71" i="4" a="1"/>
  <c r="S70" i="4" a="1"/>
  <c r="T70" i="4" a="1"/>
  <c r="R70" i="4" a="1"/>
  <c r="Q70" i="4" s="1" a="1"/>
  <c r="G69" i="4"/>
  <c r="L69" i="4" s="1" a="1"/>
  <c r="U70" i="4" l="1" a="1"/>
  <c r="V70" i="4" a="1"/>
  <c r="R69" i="4" a="1"/>
  <c r="Q69" i="4" a="1"/>
  <c r="U69" i="4" a="1"/>
  <c r="V69" i="4" a="1"/>
  <c r="S69" i="4" a="1"/>
  <c r="T69" i="4" a="1"/>
  <c r="G68" i="4"/>
  <c r="L68" i="4" s="1" a="1"/>
  <c r="S68" i="4" l="1" a="1"/>
  <c r="T68" i="4" a="1"/>
  <c r="R68" i="4" a="1"/>
  <c r="Q68" i="4" s="1" a="1"/>
  <c r="G67" i="4"/>
  <c r="L67" i="4" s="1" a="1"/>
  <c r="V68" i="4" l="1" a="1"/>
  <c r="U68" i="4" a="1"/>
  <c r="R67" i="4" a="1"/>
  <c r="S67" i="4" a="1"/>
  <c r="T67" i="4" a="1"/>
  <c r="Q67" i="4" a="1"/>
  <c r="V67" i="4" s="1" a="1"/>
  <c r="U67" i="4" a="1"/>
  <c r="G66" i="4"/>
  <c r="L66" i="4" s="1" a="1"/>
  <c r="R66" i="4" l="1" a="1"/>
  <c r="Q66" i="4" a="1"/>
  <c r="U66" i="4" s="1" a="1"/>
  <c r="V66" i="4" a="1"/>
  <c r="S66" i="4" a="1"/>
  <c r="T66" i="4" a="1"/>
  <c r="G65" i="4"/>
  <c r="L65" i="4" s="1" a="1"/>
  <c r="R65" i="4" l="1" a="1"/>
  <c r="S65" i="4" a="1"/>
  <c r="T65" i="4" a="1"/>
  <c r="Q65" i="4" a="1"/>
  <c r="G64" i="4"/>
  <c r="L64" i="4" s="1" a="1"/>
  <c r="U65" i="4" l="1" a="1"/>
  <c r="V65" i="4" a="1"/>
  <c r="S64" i="4" a="1"/>
  <c r="T64" i="4" a="1"/>
  <c r="R64" i="4" a="1"/>
  <c r="Q64" i="4" s="1" a="1"/>
  <c r="G63" i="4"/>
  <c r="L63" i="4" s="1" a="1"/>
  <c r="V64" i="4" l="1" a="1"/>
  <c r="U64" i="4" a="1"/>
  <c r="T63" i="4" a="1"/>
  <c r="R63" i="4" a="1"/>
  <c r="Q63" i="4" s="1" a="1"/>
  <c r="S63" i="4" a="1"/>
  <c r="G62" i="4"/>
  <c r="L62" i="4" s="1" a="1"/>
  <c r="V63" i="4" l="1" a="1"/>
  <c r="U63" i="4" a="1"/>
  <c r="S62" i="4" a="1"/>
  <c r="T62" i="4" a="1"/>
  <c r="R62" i="4" a="1"/>
  <c r="Q62" i="4" a="1"/>
  <c r="U62" i="4" a="1"/>
  <c r="V62" i="4" a="1"/>
  <c r="G61" i="4"/>
  <c r="L61" i="4" s="1" a="1"/>
  <c r="S61" i="4" l="1" a="1"/>
  <c r="T61" i="4" a="1"/>
  <c r="R61" i="4" a="1"/>
  <c r="Q61" i="4" s="1" a="1"/>
  <c r="G60" i="4"/>
  <c r="L60" i="4" s="1" a="1"/>
  <c r="U61" i="4" l="1" a="1"/>
  <c r="V61" i="4" a="1"/>
  <c r="R60" i="4" a="1"/>
  <c r="Q60" i="4" s="1" a="1"/>
  <c r="S60" i="4" a="1"/>
  <c r="T60" i="4" a="1"/>
  <c r="G59" i="4"/>
  <c r="L59" i="4" s="1" a="1"/>
  <c r="V60" i="4" l="1" a="1"/>
  <c r="U60" i="4" a="1"/>
  <c r="R59" i="4" a="1"/>
  <c r="Q59" i="4" a="1"/>
  <c r="U59" i="4" s="1" a="1"/>
  <c r="V59" i="4" a="1"/>
  <c r="S59" i="4" a="1"/>
  <c r="T59" i="4" a="1"/>
  <c r="G58" i="4"/>
  <c r="L58" i="4" s="1" a="1"/>
  <c r="T58" i="4" l="1" a="1"/>
  <c r="R58" i="4" a="1"/>
  <c r="Q58" i="4" s="1" a="1"/>
  <c r="S58" i="4" a="1"/>
  <c r="G57" i="4"/>
  <c r="L57" i="4" s="1" a="1"/>
  <c r="V58" i="4" l="1" a="1"/>
  <c r="U58" i="4" a="1"/>
  <c r="S57" i="4" a="1"/>
  <c r="T57" i="4" a="1"/>
  <c r="R57" i="4" a="1"/>
  <c r="Q57" i="4" s="1" a="1"/>
  <c r="G56" i="4"/>
  <c r="L56" i="4" s="1" a="1"/>
  <c r="V57" i="4" l="1" a="1"/>
  <c r="U57" i="4" a="1"/>
  <c r="R56" i="4" a="1"/>
  <c r="S56" i="4" a="1"/>
  <c r="T56" i="4" a="1"/>
  <c r="Q56" i="4" a="1"/>
  <c r="V56" i="4" s="1" a="1"/>
  <c r="U56" i="4" a="1"/>
  <c r="G55" i="4"/>
  <c r="L55" i="4" s="1" a="1"/>
  <c r="S55" i="4" l="1" a="1"/>
  <c r="T55" i="4" a="1"/>
  <c r="R55" i="4" a="1"/>
  <c r="Q55" i="4" a="1"/>
  <c r="G54" i="4"/>
  <c r="L54" i="4" s="1" a="1"/>
  <c r="V55" i="4" l="1" a="1"/>
  <c r="U55" i="4" a="1"/>
  <c r="S54" i="4" a="1"/>
  <c r="T54" i="4" a="1"/>
  <c r="R54" i="4" a="1"/>
  <c r="Q54" i="4" s="1" a="1"/>
  <c r="G53" i="4"/>
  <c r="L53" i="4" s="1" a="1"/>
  <c r="V54" i="4" l="1" a="1"/>
  <c r="U54" i="4" a="1"/>
  <c r="R53" i="4" a="1"/>
  <c r="Q53" i="4" s="1" a="1"/>
  <c r="S53" i="4" a="1"/>
  <c r="T53" i="4" a="1"/>
  <c r="G52" i="4"/>
  <c r="L52" i="4" s="1" a="1"/>
  <c r="V53" i="4" l="1" a="1"/>
  <c r="U53" i="4" a="1"/>
  <c r="R52" i="4" a="1"/>
  <c r="Q52" i="4" s="1" a="1"/>
  <c r="S52" i="4" a="1"/>
  <c r="T52" i="4" a="1"/>
  <c r="G51" i="4"/>
  <c r="L51" i="4" s="1" a="1"/>
  <c r="V52" i="4" l="1" a="1"/>
  <c r="U52" i="4" a="1"/>
  <c r="S51" i="4" a="1"/>
  <c r="T51" i="4" a="1"/>
  <c r="R51" i="4" a="1"/>
  <c r="Q51" i="4" a="1"/>
  <c r="V51" i="4" a="1"/>
  <c r="U51" i="4" a="1"/>
  <c r="G50" i="4"/>
  <c r="L50" i="4" s="1" a="1"/>
  <c r="S50" i="4" l="1" a="1"/>
  <c r="T50" i="4" a="1"/>
  <c r="R50" i="4" a="1"/>
  <c r="Q50" i="4" s="1" a="1"/>
  <c r="G49" i="4"/>
  <c r="L49" i="4" s="1" a="1"/>
  <c r="V50" i="4" l="1" a="1"/>
  <c r="U50" i="4" a="1"/>
  <c r="S49" i="4" a="1"/>
  <c r="T49" i="4" a="1"/>
  <c r="R49" i="4" a="1"/>
  <c r="Q49" i="4" s="1" a="1"/>
  <c r="G48" i="4"/>
  <c r="L48" i="4" s="1" a="1"/>
  <c r="V49" i="4" l="1" a="1"/>
  <c r="U49" i="4" a="1"/>
  <c r="R48" i="4" a="1"/>
  <c r="Q48" i="4" s="1" a="1"/>
  <c r="S48" i="4" a="1"/>
  <c r="T48" i="4" a="1"/>
  <c r="G47" i="4"/>
  <c r="L47" i="4" s="1" a="1"/>
  <c r="V48" i="4" l="1" a="1"/>
  <c r="U48" i="4" a="1"/>
  <c r="S47" i="4" a="1"/>
  <c r="T47" i="4" a="1"/>
  <c r="R47" i="4" a="1"/>
  <c r="Q47" i="4" a="1"/>
  <c r="U47" i="4" s="1" a="1"/>
  <c r="V47" i="4" a="1"/>
  <c r="G46" i="4"/>
  <c r="L46" i="4" s="1" a="1"/>
  <c r="R46" i="4" l="1" a="1"/>
  <c r="Q46" i="4" s="1" a="1"/>
  <c r="S46" i="4" a="1"/>
  <c r="T46" i="4" a="1"/>
  <c r="G45" i="4"/>
  <c r="L45" i="4" s="1" a="1"/>
  <c r="V46" i="4" l="1" a="1"/>
  <c r="U46" i="4" a="1"/>
  <c r="R45" i="4" a="1"/>
  <c r="Q45" i="4" s="1" a="1"/>
  <c r="S45" i="4" a="1"/>
  <c r="T45" i="4" a="1"/>
  <c r="G44" i="4"/>
  <c r="L44" i="4" s="1" a="1"/>
  <c r="U45" i="4" l="1" a="1"/>
  <c r="V45" i="4" a="1"/>
  <c r="S44" i="4" a="1"/>
  <c r="T44" i="4" a="1"/>
  <c r="R44" i="4" a="1"/>
  <c r="Q44" i="4" a="1"/>
  <c r="U44" i="4" s="1" a="1"/>
  <c r="V44" i="4" a="1"/>
  <c r="G43" i="4"/>
  <c r="L43" i="4" s="1" a="1"/>
  <c r="R43" i="4" l="1" a="1"/>
  <c r="S43" i="4" a="1"/>
  <c r="T43" i="4" a="1"/>
  <c r="Q43" i="4" a="1"/>
  <c r="G42" i="4"/>
  <c r="L42" i="4" s="1" a="1"/>
  <c r="U43" i="4" l="1" a="1"/>
  <c r="V43" i="4" a="1"/>
  <c r="S42" i="4" a="1"/>
  <c r="T42" i="4" a="1"/>
  <c r="R42" i="4" a="1"/>
  <c r="Q42" i="4" s="1" a="1"/>
  <c r="G41" i="4"/>
  <c r="L41" i="4" s="1" a="1"/>
  <c r="V42" i="4" l="1" a="1"/>
  <c r="U42" i="4" a="1"/>
  <c r="R41" i="4" a="1"/>
  <c r="Q41" i="4" s="1" a="1"/>
  <c r="S41" i="4" a="1"/>
  <c r="T41" i="4" a="1"/>
  <c r="G40" i="4"/>
  <c r="L40" i="4" s="1" a="1"/>
  <c r="U41" i="4" l="1" a="1"/>
  <c r="V41" i="4" a="1"/>
  <c r="S40" i="4" a="1"/>
  <c r="T40" i="4" a="1"/>
  <c r="R40" i="4" a="1"/>
  <c r="Q40" i="4" a="1"/>
  <c r="G39" i="4"/>
  <c r="L39" i="4" s="1" a="1"/>
  <c r="V40" i="4" l="1" a="1"/>
  <c r="U40" i="4" a="1"/>
  <c r="R39" i="4" a="1"/>
  <c r="Q39" i="4" s="1" a="1"/>
  <c r="S39" i="4" a="1"/>
  <c r="T39" i="4" a="1"/>
  <c r="G38" i="4"/>
  <c r="L38" i="4" s="1" a="1"/>
  <c r="V39" i="4" l="1" a="1"/>
  <c r="U39" i="4" a="1"/>
  <c r="R38" i="4" a="1"/>
  <c r="S38" i="4" a="1"/>
  <c r="T38" i="4" a="1"/>
  <c r="Q38" i="4" a="1"/>
  <c r="V38" i="4" s="1" a="1"/>
  <c r="U38" i="4" a="1"/>
  <c r="G37" i="4"/>
  <c r="L37" i="4" s="1" a="1"/>
  <c r="S37" i="4" l="1" a="1"/>
  <c r="T37" i="4" a="1"/>
  <c r="R37" i="4" a="1"/>
  <c r="Q37" i="4" a="1"/>
  <c r="G36" i="4"/>
  <c r="L36" i="4" s="1" a="1"/>
  <c r="V37" i="4" l="1" a="1"/>
  <c r="U37" i="4" a="1"/>
  <c r="R36" i="4" a="1"/>
  <c r="Q36" i="4" s="1" a="1"/>
  <c r="S36" i="4" a="1"/>
  <c r="T36" i="4" a="1"/>
  <c r="G35" i="4"/>
  <c r="L35" i="4" s="1" a="1"/>
  <c r="V36" i="4" l="1" a="1"/>
  <c r="U36" i="4" a="1"/>
  <c r="S35" i="4" a="1"/>
  <c r="T35" i="4" a="1"/>
  <c r="R35" i="4" a="1"/>
  <c r="Q35" i="4" a="1"/>
  <c r="G34" i="4"/>
  <c r="L34" i="4" s="1" a="1"/>
  <c r="U35" i="4" l="1" a="1"/>
  <c r="V35" i="4" a="1"/>
  <c r="T34" i="4" a="1"/>
  <c r="R34" i="4" a="1"/>
  <c r="Q34" i="4" s="1" a="1"/>
  <c r="S34" i="4" a="1"/>
  <c r="G33" i="4"/>
  <c r="L33" i="4" s="1" a="1"/>
  <c r="U34" i="4" l="1" a="1"/>
  <c r="V34" i="4" a="1"/>
  <c r="R33" i="4" a="1"/>
  <c r="Q33" i="4" s="1" a="1"/>
  <c r="S33" i="4" a="1"/>
  <c r="T33" i="4" a="1"/>
  <c r="G32" i="4"/>
  <c r="L32" i="4" s="1" a="1"/>
  <c r="U33" i="4" l="1" a="1"/>
  <c r="V33" i="4" a="1"/>
  <c r="R32" i="4" a="1"/>
  <c r="Q32" i="4" s="1" a="1"/>
  <c r="S32" i="4" a="1"/>
  <c r="T32" i="4" a="1"/>
  <c r="G31" i="4"/>
  <c r="L31" i="4" s="1" a="1"/>
  <c r="V32" i="4" l="1" a="1"/>
  <c r="U32" i="4" a="1"/>
  <c r="R31" i="4" a="1"/>
  <c r="Q31" i="4" a="1"/>
  <c r="V31" i="4" a="1"/>
  <c r="U31" i="4" a="1"/>
  <c r="S31" i="4" a="1"/>
  <c r="T31" i="4" a="1"/>
  <c r="G30" i="4"/>
  <c r="L30" i="4" s="1" a="1"/>
  <c r="S30" i="4" l="1" a="1"/>
  <c r="T30" i="4" a="1"/>
  <c r="R30" i="4" a="1"/>
  <c r="Q30" i="4" s="1" a="1"/>
  <c r="G29" i="4"/>
  <c r="L29" i="4" s="1" a="1"/>
  <c r="V30" i="4" l="1" a="1"/>
  <c r="U30" i="4" a="1"/>
  <c r="S29" i="4" a="1"/>
  <c r="T29" i="4" a="1"/>
  <c r="R29" i="4" a="1"/>
  <c r="Q29" i="4" s="1" a="1"/>
  <c r="G28" i="4"/>
  <c r="L28" i="4" s="1" a="1"/>
  <c r="V29" i="4" l="1" a="1"/>
  <c r="U29" i="4" a="1"/>
  <c r="R28" i="4" a="1"/>
  <c r="Q28" i="4" s="1" a="1"/>
  <c r="S28" i="4" a="1"/>
  <c r="T28" i="4" a="1"/>
  <c r="G27" i="4"/>
  <c r="L27" i="4" s="1" a="1"/>
  <c r="U28" i="4" l="1" a="1"/>
  <c r="V28" i="4" a="1"/>
  <c r="T27" i="4" a="1"/>
  <c r="R27" i="4" a="1"/>
  <c r="Q27" i="4" s="1" a="1"/>
  <c r="S27" i="4" a="1"/>
  <c r="G26" i="4"/>
  <c r="L26" i="4" s="1" a="1"/>
  <c r="U27" i="4" l="1" a="1"/>
  <c r="V27" i="4" a="1"/>
  <c r="R26" i="4" a="1"/>
  <c r="S26" i="4" a="1"/>
  <c r="T26" i="4" a="1"/>
  <c r="Q26" i="4" a="1"/>
  <c r="G25" i="4"/>
  <c r="L25" i="4" s="1" a="1"/>
  <c r="V26" i="4" l="1" a="1"/>
  <c r="U26" i="4" a="1"/>
  <c r="R25" i="4" a="1"/>
  <c r="Q25" i="4" s="1" a="1"/>
  <c r="S25" i="4" a="1"/>
  <c r="T25" i="4" a="1"/>
  <c r="G24" i="4"/>
  <c r="L24" i="4" s="1" a="1"/>
  <c r="V25" i="4" l="1" a="1"/>
  <c r="U25" i="4" a="1"/>
  <c r="R24" i="4" a="1"/>
  <c r="Q24" i="4" s="1" a="1"/>
  <c r="S24" i="4" a="1"/>
  <c r="T24" i="4" a="1"/>
  <c r="G23" i="4"/>
  <c r="L23" i="4" s="1" a="1"/>
  <c r="U24" i="4" l="1" a="1"/>
  <c r="V24" i="4" a="1"/>
  <c r="S23" i="4" a="1"/>
  <c r="T23" i="4" a="1"/>
  <c r="R23" i="4" a="1"/>
  <c r="Q23" i="4" s="1" a="1"/>
  <c r="G22" i="4"/>
  <c r="L22" i="4" s="1" a="1"/>
  <c r="U23" i="4" l="1" a="1"/>
  <c r="V23" i="4" a="1"/>
  <c r="S22" i="4" a="1"/>
  <c r="T22" i="4" a="1"/>
  <c r="R22" i="4" a="1"/>
  <c r="Q22" i="4" s="1" a="1"/>
  <c r="G21" i="4"/>
  <c r="L21" i="4" s="1" a="1"/>
  <c r="U22" i="4" l="1" a="1"/>
  <c r="V22" i="4" a="1"/>
  <c r="R21" i="4" a="1"/>
  <c r="Q21" i="4" s="1" a="1"/>
  <c r="S21" i="4" a="1"/>
  <c r="T21" i="4" a="1"/>
  <c r="G20" i="4"/>
  <c r="L20" i="4" s="1" a="1"/>
  <c r="U21" i="4" l="1" a="1"/>
  <c r="V21" i="4" a="1"/>
  <c r="S20" i="4" a="1"/>
  <c r="T20" i="4" a="1"/>
  <c r="R20" i="4" a="1"/>
  <c r="Q20" i="4" s="1" a="1"/>
  <c r="G19" i="4"/>
  <c r="L19" i="4" s="1" a="1"/>
  <c r="V20" i="4" l="1" a="1"/>
  <c r="U20" i="4" a="1"/>
  <c r="R19" i="4" a="1"/>
  <c r="Q19" i="4" s="1" a="1"/>
  <c r="S19" i="4" a="1"/>
  <c r="T19" i="4" a="1"/>
  <c r="G18" i="4"/>
  <c r="L18" i="4" s="1" a="1"/>
  <c r="V19" i="4" l="1" a="1"/>
  <c r="U19" i="4" a="1"/>
  <c r="R18" i="4" a="1"/>
  <c r="Q18" i="4" s="1" a="1"/>
  <c r="S18" i="4" a="1"/>
  <c r="T18" i="4" a="1"/>
  <c r="G17" i="4"/>
  <c r="L17" i="4" s="1" a="1"/>
  <c r="U18" i="4" l="1" a="1"/>
  <c r="V18" i="4" a="1"/>
  <c r="R17" i="4" a="1"/>
  <c r="S17" i="4" a="1"/>
  <c r="T17" i="4" a="1"/>
  <c r="Q17" i="4" a="1"/>
  <c r="G16" i="4"/>
  <c r="L16" i="4" s="1" a="1"/>
  <c r="U17" i="4" l="1" a="1"/>
  <c r="V17" i="4" a="1"/>
  <c r="R16" i="4" a="1"/>
  <c r="Q16" i="4" s="1" a="1"/>
  <c r="S16" i="4" a="1"/>
  <c r="T16" i="4" a="1"/>
  <c r="G15" i="4"/>
  <c r="L15" i="4" s="1" a="1"/>
  <c r="V16" i="4" l="1" a="1"/>
  <c r="U16" i="4" a="1"/>
  <c r="T15" i="4" a="1"/>
  <c r="R15" i="4" a="1"/>
  <c r="Q15" i="4" s="1" a="1"/>
  <c r="S15" i="4" a="1"/>
  <c r="G14" i="4"/>
  <c r="L14" i="4" s="1" a="1"/>
  <c r="U15" i="4" l="1" a="1"/>
  <c r="V15" i="4" a="1"/>
  <c r="R14" i="4" a="1"/>
  <c r="Q14" i="4" s="1" a="1"/>
  <c r="S14" i="4" a="1"/>
  <c r="T14" i="4" a="1"/>
  <c r="G13" i="4"/>
  <c r="L13" i="4" s="1" a="1"/>
  <c r="V14" i="4" l="1" a="1"/>
  <c r="U14" i="4" a="1"/>
  <c r="R13" i="4" a="1"/>
  <c r="S13" i="4" a="1"/>
  <c r="T13" i="4" a="1"/>
  <c r="Q13" i="4" a="1"/>
  <c r="G12" i="4"/>
  <c r="L12" i="4" s="1" a="1"/>
  <c r="U13" i="4" l="1" a="1"/>
  <c r="V13" i="4" a="1"/>
  <c r="S12" i="4" a="1"/>
  <c r="T12" i="4" a="1"/>
  <c r="R12" i="4" a="1"/>
  <c r="Q12" i="4" a="1"/>
  <c r="G11" i="4"/>
  <c r="L11" i="4" s="1" a="1"/>
  <c r="V12" i="4" l="1" a="1"/>
  <c r="U12" i="4" a="1"/>
  <c r="R11" i="4" a="1"/>
  <c r="Q11" i="4" s="1" a="1"/>
  <c r="S11" i="4" a="1"/>
  <c r="T11" i="4" a="1"/>
  <c r="G10" i="4"/>
  <c r="L10" i="4" s="1" a="1"/>
  <c r="U11" i="4" l="1" a="1"/>
  <c r="V11" i="4" a="1"/>
  <c r="R10" i="4" a="1"/>
  <c r="Q10" i="4" s="1" a="1"/>
  <c r="S10" i="4" a="1"/>
  <c r="T10" i="4" a="1"/>
  <c r="G9" i="4"/>
  <c r="L9" i="4" s="1" a="1"/>
  <c r="U10" i="4" l="1" a="1"/>
  <c r="V10" i="4" a="1"/>
  <c r="S9" i="4" a="1"/>
  <c r="T9" i="4" a="1"/>
  <c r="R9" i="4" a="1"/>
  <c r="Q9" i="4" s="1" a="1"/>
  <c r="G8" i="4"/>
  <c r="L8" i="4" s="1" a="1"/>
  <c r="U9" i="4" l="1" a="1"/>
  <c r="V9" i="4" a="1"/>
  <c r="S8" i="4" a="1"/>
  <c r="T8" i="4" a="1"/>
  <c r="R8" i="4" a="1"/>
  <c r="N4" i="4" l="1"/>
  <c r="Q8" i="4" a="1"/>
  <c r="V8" i="4" l="1" a="1"/>
  <c r="P4" i="4" s="1"/>
  <c r="U8" i="4" a="1"/>
  <c r="O4" i="4" s="1"/>
  <c r="M4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<sst xmlns="http://schemas.openxmlformats.org/spreadsheetml/2006/main" count="4166" uniqueCount="1969">
  <si>
    <t>BondDescription</t>
  </si>
  <si>
    <t>ISIN</t>
  </si>
  <si>
    <t>IssueDate</t>
  </si>
  <si>
    <t>FirstCouponDate</t>
  </si>
  <si>
    <t>LastCouponDate</t>
  </si>
  <si>
    <t>MaturityDate</t>
  </si>
  <si>
    <t>Coupon</t>
  </si>
  <si>
    <t>RollDay</t>
  </si>
  <si>
    <t>AccrualStartDate</t>
  </si>
  <si>
    <t>Valuation Date</t>
  </si>
  <si>
    <t>Settlement Date</t>
  </si>
  <si>
    <t>1D</t>
  </si>
  <si>
    <t>Bond Identifier</t>
  </si>
  <si>
    <t>CreateBond</t>
  </si>
  <si>
    <t>YLD_YTM_ASK</t>
  </si>
  <si>
    <t>YAS_BOND_PX</t>
  </si>
  <si>
    <t>DV01</t>
  </si>
  <si>
    <t>YAS_RISK</t>
  </si>
  <si>
    <t>DUR_ADJ_ASK</t>
  </si>
  <si>
    <t>912810EV Govt</t>
  </si>
  <si>
    <t>US912810EV62</t>
  </si>
  <si>
    <t>912810EQ Govt</t>
  </si>
  <si>
    <t>US912810EQ77</t>
  </si>
  <si>
    <t>912810EX Govt</t>
  </si>
  <si>
    <t>US912810EX29</t>
  </si>
  <si>
    <t>912810EZ Govt</t>
  </si>
  <si>
    <t>US912810EZ76</t>
  </si>
  <si>
    <t>912810EY Govt</t>
  </si>
  <si>
    <t>US912810EY02</t>
  </si>
  <si>
    <t>912828K7 Govt</t>
  </si>
  <si>
    <t>US912828K742</t>
  </si>
  <si>
    <t>912810FA Govt</t>
  </si>
  <si>
    <t>US912810FA17</t>
  </si>
  <si>
    <t>912810EW Govt</t>
  </si>
  <si>
    <t>US912810EW46</t>
  </si>
  <si>
    <t>912810QY Govt</t>
  </si>
  <si>
    <t>US912810QY73</t>
  </si>
  <si>
    <t>912810QX Govt</t>
  </si>
  <si>
    <t>US912810QX90</t>
  </si>
  <si>
    <t>Frequency</t>
  </si>
  <si>
    <t>912810RB Govt</t>
  </si>
  <si>
    <t>US912810RB61</t>
  </si>
  <si>
    <t>912810RJ Govt</t>
  </si>
  <si>
    <t>US912810RJ97</t>
  </si>
  <si>
    <t>912810FB Govt</t>
  </si>
  <si>
    <t>US912810FB99</t>
  </si>
  <si>
    <t>912810FJ Govt</t>
  </si>
  <si>
    <t>US912810FJ26</t>
  </si>
  <si>
    <t>912810FM Govt</t>
  </si>
  <si>
    <t>US912810FM54</t>
  </si>
  <si>
    <t>912810FE Govt</t>
  </si>
  <si>
    <t>US912810FE39</t>
  </si>
  <si>
    <t>912810FG Govt</t>
  </si>
  <si>
    <t>US912810FG86</t>
  </si>
  <si>
    <t>912810FF Govt</t>
  </si>
  <si>
    <t>US912810FF04</t>
  </si>
  <si>
    <t>912810FP Govt</t>
  </si>
  <si>
    <t>US912810FP85</t>
  </si>
  <si>
    <t>912810PX Govt</t>
  </si>
  <si>
    <t>US912810PX00</t>
  </si>
  <si>
    <t>912828PX Govt</t>
  </si>
  <si>
    <t>US912828PX26</t>
  </si>
  <si>
    <t>912810PU Govt</t>
  </si>
  <si>
    <t>US912810PU60</t>
  </si>
  <si>
    <t>912828QN Govt</t>
  </si>
  <si>
    <t>US912828QN35</t>
  </si>
  <si>
    <t>912810PT Govt</t>
  </si>
  <si>
    <t>US912810PT97</t>
  </si>
  <si>
    <t>912810FT Govt</t>
  </si>
  <si>
    <t>US912810FT08</t>
  </si>
  <si>
    <t>912810QN Govt</t>
  </si>
  <si>
    <t>US912810QN19</t>
  </si>
  <si>
    <t>912810QE Govt</t>
  </si>
  <si>
    <t>US912810QE10</t>
  </si>
  <si>
    <t>912810PW Govt</t>
  </si>
  <si>
    <t>US912810PW27</t>
  </si>
  <si>
    <t>912810QC Govt</t>
  </si>
  <si>
    <t>US912810QC53</t>
  </si>
  <si>
    <t>912828S9 Govt</t>
  </si>
  <si>
    <t>US912828S927</t>
  </si>
  <si>
    <t>912810QD Govt</t>
  </si>
  <si>
    <t>US912810QD37</t>
  </si>
  <si>
    <t>912828T3 Govt</t>
  </si>
  <si>
    <t>US912828T347</t>
  </si>
  <si>
    <t>9128282A Govt</t>
  </si>
  <si>
    <t>US9128282A70</t>
  </si>
  <si>
    <t>912828T2 Govt</t>
  </si>
  <si>
    <t>US912828T263</t>
  </si>
  <si>
    <t>912810QH Govt</t>
  </si>
  <si>
    <t>US912810QH41</t>
  </si>
  <si>
    <t>912810QB Govt</t>
  </si>
  <si>
    <t>US912810QB70</t>
  </si>
  <si>
    <t>912828S7 Govt</t>
  </si>
  <si>
    <t>US912828S760</t>
  </si>
  <si>
    <t>912810QQ Govt</t>
  </si>
  <si>
    <t>US912810QQ40</t>
  </si>
  <si>
    <t>912810QL Govt</t>
  </si>
  <si>
    <t>US912810QL52</t>
  </si>
  <si>
    <t>912828R3 Govt</t>
  </si>
  <si>
    <t>US912828R366</t>
  </si>
  <si>
    <t>912828P4 Govt</t>
  </si>
  <si>
    <t>US912828P469</t>
  </si>
  <si>
    <t>912828P8 Govt</t>
  </si>
  <si>
    <t>US912828P873</t>
  </si>
  <si>
    <t>9128282D Govt</t>
  </si>
  <si>
    <t>US9128282D10</t>
  </si>
  <si>
    <t>9128282F Govt</t>
  </si>
  <si>
    <t>US9128282F67</t>
  </si>
  <si>
    <t>912828P7 Govt</t>
  </si>
  <si>
    <t>US912828P790</t>
  </si>
  <si>
    <t>912828S3 Govt</t>
  </si>
  <si>
    <t>US912828S356</t>
  </si>
  <si>
    <t>912828S2 Govt</t>
  </si>
  <si>
    <t>US912828S273</t>
  </si>
  <si>
    <t>912810QK Govt</t>
  </si>
  <si>
    <t>US912810QK79</t>
  </si>
  <si>
    <t>912828WE Govt</t>
  </si>
  <si>
    <t>US912828WE61</t>
  </si>
  <si>
    <t>912828B6 Govt</t>
  </si>
  <si>
    <t>US912828B667</t>
  </si>
  <si>
    <t>912828TY Govt</t>
  </si>
  <si>
    <t>US912828TY62</t>
  </si>
  <si>
    <t>912828H8 Govt</t>
  </si>
  <si>
    <t>US912828H862</t>
  </si>
  <si>
    <t>912810QS Govt</t>
  </si>
  <si>
    <t>US912810QS06</t>
  </si>
  <si>
    <t>912828N8 Govt</t>
  </si>
  <si>
    <t>US912828N894</t>
  </si>
  <si>
    <t>912828TJ Govt</t>
  </si>
  <si>
    <t>US912828TJ95</t>
  </si>
  <si>
    <t>912828VB Govt</t>
  </si>
  <si>
    <t>US912828VB32</t>
  </si>
  <si>
    <t>912828WY Govt</t>
  </si>
  <si>
    <t>US912828WY26</t>
  </si>
  <si>
    <t>912810QA Govt</t>
  </si>
  <si>
    <t>US912810QA97</t>
  </si>
  <si>
    <t>912828U2 Govt</t>
  </si>
  <si>
    <t>US912828U246</t>
  </si>
  <si>
    <t>912828R6 Govt</t>
  </si>
  <si>
    <t>US912828R697</t>
  </si>
  <si>
    <t>912810RD Govt</t>
  </si>
  <si>
    <t>US912810RD28</t>
  </si>
  <si>
    <t>912828B5 Govt</t>
  </si>
  <si>
    <t>US912828B584</t>
  </si>
  <si>
    <t>912828P3 Govt</t>
  </si>
  <si>
    <t>US912828P386</t>
  </si>
  <si>
    <t>912810RT Govt</t>
  </si>
  <si>
    <t>US912810RT79</t>
  </si>
  <si>
    <t>912828R7 Govt</t>
  </si>
  <si>
    <t>US912828R770</t>
  </si>
  <si>
    <t>912810RC Govt</t>
  </si>
  <si>
    <t>US912810RC45</t>
  </si>
  <si>
    <t>912828Q2 Govt</t>
  </si>
  <si>
    <t>US912828Q293</t>
  </si>
  <si>
    <t>912828L5 Govt</t>
  </si>
  <si>
    <t>US912828L575</t>
  </si>
  <si>
    <t>912828VS Govt</t>
  </si>
  <si>
    <t>US912828VS66</t>
  </si>
  <si>
    <t>912810RE Govt</t>
  </si>
  <si>
    <t>US912810RE01</t>
  </si>
  <si>
    <t>912828Q3 Govt</t>
  </si>
  <si>
    <t>US912828Q376</t>
  </si>
  <si>
    <t>912828J2 Govt</t>
  </si>
  <si>
    <t>US912828J272</t>
  </si>
  <si>
    <t>912828SV Govt</t>
  </si>
  <si>
    <t>US912828SV33</t>
  </si>
  <si>
    <t>912810RS Govt</t>
  </si>
  <si>
    <t>US912810RS96</t>
  </si>
  <si>
    <t>912810RK Govt</t>
  </si>
  <si>
    <t>US912810RK60</t>
  </si>
  <si>
    <t>912828RC Govt</t>
  </si>
  <si>
    <t>US912828RC60</t>
  </si>
  <si>
    <t>912810RQ Govt</t>
  </si>
  <si>
    <t>US912810RQ31</t>
  </si>
  <si>
    <t>912828WJ Govt</t>
  </si>
  <si>
    <t>US912828WJ58</t>
  </si>
  <si>
    <t>912828C5 Govt</t>
  </si>
  <si>
    <t>US912828C574</t>
  </si>
  <si>
    <t>912828B9 Govt</t>
  </si>
  <si>
    <t>US912828B907</t>
  </si>
  <si>
    <t>912828J4 Govt</t>
  </si>
  <si>
    <t>US912828J439</t>
  </si>
  <si>
    <t>912828XB Govt</t>
  </si>
  <si>
    <t>US912828XB14</t>
  </si>
  <si>
    <t>912828F2 Govt</t>
  </si>
  <si>
    <t>US912828F213</t>
  </si>
  <si>
    <t>912828WR Govt</t>
  </si>
  <si>
    <t>US912828WR74</t>
  </si>
  <si>
    <t>912828U6 Govt</t>
  </si>
  <si>
    <t>US912828U659</t>
  </si>
  <si>
    <t>912810RG Govt</t>
  </si>
  <si>
    <t>US912810RG58</t>
  </si>
  <si>
    <t>912828L2 Govt</t>
  </si>
  <si>
    <t>US912828L245</t>
  </si>
  <si>
    <t>912828T6 Govt</t>
  </si>
  <si>
    <t>US912828T677</t>
  </si>
  <si>
    <t>912828V9 Govt</t>
  </si>
  <si>
    <t>US912828V988</t>
  </si>
  <si>
    <t>912828G8 Govt</t>
  </si>
  <si>
    <t>US912828G872</t>
  </si>
  <si>
    <t>912828J7 Govt</t>
  </si>
  <si>
    <t>US912828J769</t>
  </si>
  <si>
    <t>912828M5 Govt</t>
  </si>
  <si>
    <t>US912828M565</t>
  </si>
  <si>
    <t>912828T9 Govt</t>
  </si>
  <si>
    <t>US912828T917</t>
  </si>
  <si>
    <t>912828WN Govt</t>
  </si>
  <si>
    <t>US912828WN60</t>
  </si>
  <si>
    <t>912828R2 Govt</t>
  </si>
  <si>
    <t>US912828R283</t>
  </si>
  <si>
    <t>912828UN Govt</t>
  </si>
  <si>
    <t>US912828UN88</t>
  </si>
  <si>
    <t>912828U8 Govt</t>
  </si>
  <si>
    <t>US912828U816</t>
  </si>
  <si>
    <t>912828D5 Govt</t>
  </si>
  <si>
    <t>US912828D564</t>
  </si>
  <si>
    <t>912828Q7 Govt</t>
  </si>
  <si>
    <t>US912828Q780</t>
  </si>
  <si>
    <t>912828M8 Govt</t>
  </si>
  <si>
    <t>US912828M805</t>
  </si>
  <si>
    <t>912828XD Govt</t>
  </si>
  <si>
    <t>US912828XD79</t>
  </si>
  <si>
    <t>912828W4 Govt</t>
  </si>
  <si>
    <t>US912828W481</t>
  </si>
  <si>
    <t>912828D7 Govt</t>
  </si>
  <si>
    <t>US912828D721</t>
  </si>
  <si>
    <t>912810RU Govt</t>
  </si>
  <si>
    <t>US912810RU43</t>
  </si>
  <si>
    <t>912828U5 Govt</t>
  </si>
  <si>
    <t>US912828U576</t>
  </si>
  <si>
    <t>912810QU Govt</t>
  </si>
  <si>
    <t>US912810QU51</t>
  </si>
  <si>
    <t>912828XG Govt</t>
  </si>
  <si>
    <t>US912828XG01</t>
  </si>
  <si>
    <t>912828RR Govt</t>
  </si>
  <si>
    <t>US912828RR30</t>
  </si>
  <si>
    <t>912828V7 Govt</t>
  </si>
  <si>
    <t>US912828V723</t>
  </si>
  <si>
    <t>912810QZ Govt</t>
  </si>
  <si>
    <t>US912810QZ49</t>
  </si>
  <si>
    <t>912828W5 Govt</t>
  </si>
  <si>
    <t>US912828W556</t>
  </si>
  <si>
    <t>912828SF Govt</t>
  </si>
  <si>
    <t>US912828SF82</t>
  </si>
  <si>
    <t>912810RN Govt</t>
  </si>
  <si>
    <t>US912810RN00</t>
  </si>
  <si>
    <t>912828G5 Govt</t>
  </si>
  <si>
    <t>US912828G534</t>
  </si>
  <si>
    <t>912828V2 Govt</t>
  </si>
  <si>
    <t>US912828V236</t>
  </si>
  <si>
    <t>912810RH Govt</t>
  </si>
  <si>
    <t>US912810RH32</t>
  </si>
  <si>
    <t>912810QT Govt</t>
  </si>
  <si>
    <t>US912810QT88</t>
  </si>
  <si>
    <t>912828G3 Govt</t>
  </si>
  <si>
    <t>US912828G385</t>
  </si>
  <si>
    <t>912828WZ Govt</t>
  </si>
  <si>
    <t>US912828WZ90</t>
  </si>
  <si>
    <t>912828M4 Govt</t>
  </si>
  <si>
    <t>US912828M490</t>
  </si>
  <si>
    <t>912828XQ Govt</t>
  </si>
  <si>
    <t>US912828XQ82</t>
  </si>
  <si>
    <t>912828V8 Govt</t>
  </si>
  <si>
    <t>US912828V806</t>
  </si>
  <si>
    <t>912810RP Govt</t>
  </si>
  <si>
    <t>US912810RP57</t>
  </si>
  <si>
    <t>912810RM Govt</t>
  </si>
  <si>
    <t>US912810RM27</t>
  </si>
  <si>
    <t>912828F9 Govt</t>
  </si>
  <si>
    <t>US912828F965</t>
  </si>
  <si>
    <t>912810QW Govt</t>
  </si>
  <si>
    <t>US912810QW18</t>
  </si>
  <si>
    <t>US_TREASURY_TYPE1</t>
  </si>
  <si>
    <t>Bond Generator</t>
  </si>
  <si>
    <t>+/-</t>
  </si>
  <si>
    <t>CleanPrice</t>
  </si>
  <si>
    <t>ModDuration</t>
  </si>
  <si>
    <t>Bond Dates …</t>
  </si>
  <si>
    <t>2D</t>
  </si>
  <si>
    <t>IssuePrice</t>
  </si>
  <si>
    <t>AM2936822 Govt</t>
  </si>
  <si>
    <t>IT0005240830</t>
  </si>
  <si>
    <t>SEMI-ANNUAL</t>
  </si>
  <si>
    <t>QZ0167556 Govt</t>
  </si>
  <si>
    <t>IT0005210650</t>
  </si>
  <si>
    <t>JV9105265 Govt</t>
  </si>
  <si>
    <t>IT0005162828</t>
  </si>
  <si>
    <t>QZ7665156 Govt</t>
  </si>
  <si>
    <t>IT0005217390</t>
  </si>
  <si>
    <t>AM7963128 Govt</t>
  </si>
  <si>
    <t>IT0005246340</t>
  </si>
  <si>
    <t>JK2344014 Govt</t>
  </si>
  <si>
    <t>IT0005170839</t>
  </si>
  <si>
    <t>EI4153199 Govt</t>
  </si>
  <si>
    <t>IT0004644735</t>
  </si>
  <si>
    <t>JK8403186 Govt</t>
  </si>
  <si>
    <t>IT0005177909</t>
  </si>
  <si>
    <t>QZ5107748 Govt</t>
  </si>
  <si>
    <t>IT0005215246</t>
  </si>
  <si>
    <t>ANNUAL</t>
  </si>
  <si>
    <t>EK6994165 Govt</t>
  </si>
  <si>
    <t>IT0005083057</t>
  </si>
  <si>
    <t>EK8086077 Govt</t>
  </si>
  <si>
    <t>IT0005094088</t>
  </si>
  <si>
    <t>UV6569569 Govt</t>
  </si>
  <si>
    <t>IT0005127086</t>
  </si>
  <si>
    <t>EK7691190 Govt</t>
  </si>
  <si>
    <t>IT0005090318</t>
  </si>
  <si>
    <t>EJ7704418 Govt</t>
  </si>
  <si>
    <t>IT0004953417</t>
  </si>
  <si>
    <t>EK2743541 Govt</t>
  </si>
  <si>
    <t>IT0005024234</t>
  </si>
  <si>
    <t>JK3942121 Govt</t>
  </si>
  <si>
    <t>IT0005172322</t>
  </si>
  <si>
    <t>EF1307950 Govt</t>
  </si>
  <si>
    <t>IT0003934657</t>
  </si>
  <si>
    <t>AM2016153 Govt</t>
  </si>
  <si>
    <t>IT0005240350</t>
  </si>
  <si>
    <t/>
  </si>
  <si>
    <t>EK0933524 Govt</t>
  </si>
  <si>
    <t>IT0005001547</t>
  </si>
  <si>
    <t>GG7366139 Govt</t>
  </si>
  <si>
    <t>IT0001174611</t>
  </si>
  <si>
    <t>EJ6794667 Govt</t>
  </si>
  <si>
    <t>IT0004923998</t>
  </si>
  <si>
    <t>EJ5688621 Govt</t>
  </si>
  <si>
    <t>IT0004898034</t>
  </si>
  <si>
    <t>EJ5142728 Govt</t>
  </si>
  <si>
    <t>IT0004889033</t>
  </si>
  <si>
    <t>EH9691161 Govt</t>
  </si>
  <si>
    <t>IT0004532559</t>
  </si>
  <si>
    <t>EK4572963 Govt</t>
  </si>
  <si>
    <t>IT0005045270</t>
  </si>
  <si>
    <t>ED1544706 Govt</t>
  </si>
  <si>
    <t>IT0003535157</t>
  </si>
  <si>
    <t>EH8960682 Govt</t>
  </si>
  <si>
    <t>IT0004513641</t>
  </si>
  <si>
    <t>GG7302712 Govt</t>
  </si>
  <si>
    <t>IT0001086567</t>
  </si>
  <si>
    <t>EC2373701 Govt</t>
  </si>
  <si>
    <t>IT0001444378</t>
  </si>
  <si>
    <t>EC0659473 Govt</t>
  </si>
  <si>
    <t>IT0001278511</t>
  </si>
  <si>
    <t>GG7178740 Govt</t>
  </si>
  <si>
    <t>IT0000366655</t>
  </si>
  <si>
    <t>EH3056924 Govt</t>
  </si>
  <si>
    <t>IT0004356843</t>
  </si>
  <si>
    <t>EC5346845 Govt</t>
  </si>
  <si>
    <t>IT0003256820</t>
  </si>
  <si>
    <t>EG9398371 Govt</t>
  </si>
  <si>
    <t>IT0004286966</t>
  </si>
  <si>
    <t>EJ4854638 Govt</t>
  </si>
  <si>
    <t>IT0004848690</t>
  </si>
  <si>
    <t>GG7302662 Govt</t>
  </si>
  <si>
    <t>IT0000366721</t>
  </si>
  <si>
    <t>EK0225855 Govt</t>
  </si>
  <si>
    <t>IT0004976848</t>
  </si>
  <si>
    <t>EJ4853937 Govt</t>
  </si>
  <si>
    <t>IT0004848591</t>
  </si>
  <si>
    <t>EJ4853036 Govt</t>
  </si>
  <si>
    <t>IT0004848476</t>
  </si>
  <si>
    <t>EK0224957 Govt</t>
  </si>
  <si>
    <t>IT0004976780</t>
  </si>
  <si>
    <t>EK0225558 Govt</t>
  </si>
  <si>
    <t>IT0004976830</t>
  </si>
  <si>
    <t>EJ4852988 Govt</t>
  </si>
  <si>
    <t>IT0004848443</t>
  </si>
  <si>
    <t>AN2032562 Govt</t>
  </si>
  <si>
    <t>IT0005248262</t>
  </si>
  <si>
    <t>EK0224775 Govt</t>
  </si>
  <si>
    <t>IT0004976764</t>
  </si>
  <si>
    <t>EC2917820 Govt</t>
  </si>
  <si>
    <t>IT0001464186</t>
  </si>
  <si>
    <t>EJ4853432 Govt</t>
  </si>
  <si>
    <t>IT0004848492</t>
  </si>
  <si>
    <t>EH2972345 Govt</t>
  </si>
  <si>
    <t>IT0004235559</t>
  </si>
  <si>
    <t>EJ4852830 Govt</t>
  </si>
  <si>
    <t>IT0004848435</t>
  </si>
  <si>
    <t>EJ4853184 Govt</t>
  </si>
  <si>
    <t>IT0004848484</t>
  </si>
  <si>
    <t>EJ4853739 Govt</t>
  </si>
  <si>
    <t>IT0004848534</t>
  </si>
  <si>
    <t>EJ4854232 Govt</t>
  </si>
  <si>
    <t>IT0004848641</t>
  </si>
  <si>
    <t>EK0224411 Govt</t>
  </si>
  <si>
    <t>IT0004976723</t>
  </si>
  <si>
    <t>EK0224239 Govt</t>
  </si>
  <si>
    <t>IT0004976707</t>
  </si>
  <si>
    <t>EH2420998 Govt</t>
  </si>
  <si>
    <t>IT0004288624</t>
  </si>
  <si>
    <t>EK0221532 Govt</t>
  </si>
  <si>
    <t>IT0004976459</t>
  </si>
  <si>
    <t>EC5588503 Govt</t>
  </si>
  <si>
    <t>IT0003268882</t>
  </si>
  <si>
    <t>EC5588982 Govt</t>
  </si>
  <si>
    <t>IT0003269039</t>
  </si>
  <si>
    <t>EH2420238 Govt</t>
  </si>
  <si>
    <t>IT0004288574</t>
  </si>
  <si>
    <t>EC2918380 Govt</t>
  </si>
  <si>
    <t>IT0001464202</t>
  </si>
  <si>
    <t>EC5587265 Govt</t>
  </si>
  <si>
    <t>IT0003268775</t>
  </si>
  <si>
    <t>EK0222795 Govt</t>
  </si>
  <si>
    <t>IT0004976533</t>
  </si>
  <si>
    <t>UV3555454 Govt</t>
  </si>
  <si>
    <t>IT0005093312</t>
  </si>
  <si>
    <t>EC1067726 Govt</t>
  </si>
  <si>
    <t>IT0001312799</t>
  </si>
  <si>
    <t>EC5588966 Govt</t>
  </si>
  <si>
    <t>IT0003269021</t>
  </si>
  <si>
    <t>CP5087988 Govt</t>
  </si>
  <si>
    <t>IT0001247375</t>
  </si>
  <si>
    <t>EK0221953 Govt</t>
  </si>
  <si>
    <t>IT0004976467</t>
  </si>
  <si>
    <t>EC5588628 Govt</t>
  </si>
  <si>
    <t>IT0003268924</t>
  </si>
  <si>
    <t>AN2030939 Govt</t>
  </si>
  <si>
    <t>IT0005248254</t>
  </si>
  <si>
    <t>EC5588867 Govt</t>
  </si>
  <si>
    <t>IT0003268957</t>
  </si>
  <si>
    <t>LW2047824 Govt</t>
  </si>
  <si>
    <t>IT0005177628</t>
  </si>
  <si>
    <t>CP5087921 Govt</t>
  </si>
  <si>
    <t>IT0001247318</t>
  </si>
  <si>
    <t>EK0224056 Govt</t>
  </si>
  <si>
    <t>IT0004976681</t>
  </si>
  <si>
    <t>ED1666434 Govt</t>
  </si>
  <si>
    <t>IT0003540389</t>
  </si>
  <si>
    <t>EH2420956 Govt</t>
  </si>
  <si>
    <t>IT0004288616</t>
  </si>
  <si>
    <t>EK0225194 Govt</t>
  </si>
  <si>
    <t>IT0004976806</t>
  </si>
  <si>
    <t>EC1067627 Govt</t>
  </si>
  <si>
    <t>IT0001312807</t>
  </si>
  <si>
    <t>EC2918364 Govt</t>
  </si>
  <si>
    <t>IT0001464194</t>
  </si>
  <si>
    <t>EK0224833 Govt</t>
  </si>
  <si>
    <t>IT0004976772</t>
  </si>
  <si>
    <t>EC5588826 Govt</t>
  </si>
  <si>
    <t>IT0003268932</t>
  </si>
  <si>
    <t>CP5087970 Govt</t>
  </si>
  <si>
    <t>IT0001247367</t>
  </si>
  <si>
    <t>EJ4855486 Govt</t>
  </si>
  <si>
    <t>IT0004848740</t>
  </si>
  <si>
    <t>CP5088002 Govt</t>
  </si>
  <si>
    <t>IT0001247391</t>
  </si>
  <si>
    <t>EC5588909 Govt</t>
  </si>
  <si>
    <t>IT0003268999</t>
  </si>
  <si>
    <t>EK0223934 Govt</t>
  </si>
  <si>
    <t>IT0004976665</t>
  </si>
  <si>
    <t>EF1312166 Govt</t>
  </si>
  <si>
    <t>IT0004002819</t>
  </si>
  <si>
    <t>AN1976579 Govt</t>
  </si>
  <si>
    <t>IT0005247876</t>
  </si>
  <si>
    <t>EK0221839 Govt</t>
  </si>
  <si>
    <t>IT0004976442</t>
  </si>
  <si>
    <t>EK0223991 Govt</t>
  </si>
  <si>
    <t>IT0004976673</t>
  </si>
  <si>
    <t>EC5588461 Govt</t>
  </si>
  <si>
    <t>IT0003268874</t>
  </si>
  <si>
    <t>CP5087947 Govt</t>
  </si>
  <si>
    <t>IT0001247334</t>
  </si>
  <si>
    <t>EK0222738 Govt</t>
  </si>
  <si>
    <t>IT0004976525</t>
  </si>
  <si>
    <t>ED1656591 Govt</t>
  </si>
  <si>
    <t>IT0003540371</t>
  </si>
  <si>
    <t>EK0221235 Govt</t>
  </si>
  <si>
    <t>IT0004957921</t>
  </si>
  <si>
    <t>AN2027505 Govt</t>
  </si>
  <si>
    <t>IT0005248239</t>
  </si>
  <si>
    <t>AN2029006 Govt</t>
  </si>
  <si>
    <t>IT0005248247</t>
  </si>
  <si>
    <t>CP5087954 Govt</t>
  </si>
  <si>
    <t>IT0001247342</t>
  </si>
  <si>
    <t>CP5087962 Govt</t>
  </si>
  <si>
    <t>IT0001247359</t>
  </si>
  <si>
    <t>EH2420758 Govt</t>
  </si>
  <si>
    <t>IT0004288590</t>
  </si>
  <si>
    <t>EK0223579 Govt</t>
  </si>
  <si>
    <t>IT0004976616</t>
  </si>
  <si>
    <t>EC5589048 Govt</t>
  </si>
  <si>
    <t>IT0003269062</t>
  </si>
  <si>
    <t>EK0224478 Govt</t>
  </si>
  <si>
    <t>IT0004976756</t>
  </si>
  <si>
    <t>AN2017233 Govt</t>
  </si>
  <si>
    <t>IT0005248098</t>
  </si>
  <si>
    <t>AN2025830 Govt</t>
  </si>
  <si>
    <t>IT0005248221</t>
  </si>
  <si>
    <t>EC5469449 Govt</t>
  </si>
  <si>
    <t>IT0003268460</t>
  </si>
  <si>
    <t>EC5587786 Govt</t>
  </si>
  <si>
    <t>IT0003268841</t>
  </si>
  <si>
    <t>AN1978633 Govt</t>
  </si>
  <si>
    <t>IT0005247926</t>
  </si>
  <si>
    <t>AN1980167 Govt</t>
  </si>
  <si>
    <t>IT0005247934</t>
  </si>
  <si>
    <t>AN2010295 Govt</t>
  </si>
  <si>
    <t>IT0005248015</t>
  </si>
  <si>
    <t>EC5588883 Govt</t>
  </si>
  <si>
    <t>IT0003268973</t>
  </si>
  <si>
    <t>EK0662479 Govt</t>
  </si>
  <si>
    <t>IT0004534423</t>
  </si>
  <si>
    <t>AN1980738 Govt</t>
  </si>
  <si>
    <t>IT0005247942</t>
  </si>
  <si>
    <t>EC5587349 Govt</t>
  </si>
  <si>
    <t>IT0003268817</t>
  </si>
  <si>
    <t>EF1312406 Govt</t>
  </si>
  <si>
    <t>IT0004002843</t>
  </si>
  <si>
    <t>EJ8034211 Govt</t>
  </si>
  <si>
    <t>IT0004548290</t>
  </si>
  <si>
    <t>EK0097619 Govt</t>
  </si>
  <si>
    <t>IT0004534688</t>
  </si>
  <si>
    <t>EF1312364 Govt</t>
  </si>
  <si>
    <t>IT0004002827</t>
  </si>
  <si>
    <t>EC5588925 Govt</t>
  </si>
  <si>
    <t>IT0003269013</t>
  </si>
  <si>
    <t>EK0222431 Govt</t>
  </si>
  <si>
    <t>IT0004976491</t>
  </si>
  <si>
    <t>EK0661273 Govt</t>
  </si>
  <si>
    <t>IT0004534282</t>
  </si>
  <si>
    <t>UV3555439 Govt</t>
  </si>
  <si>
    <t>IT0005093304</t>
  </si>
  <si>
    <t>AN2011814 Govt</t>
  </si>
  <si>
    <t>IT0005248031</t>
  </si>
  <si>
    <t>EC5587760 Govt</t>
  </si>
  <si>
    <t>IT0003268833</t>
  </si>
  <si>
    <t>EK0225434 Govt</t>
  </si>
  <si>
    <t>IT0004976822</t>
  </si>
  <si>
    <t>AN1976645 Govt</t>
  </si>
  <si>
    <t>IT0005247892</t>
  </si>
  <si>
    <t>AN2019718 Govt</t>
  </si>
  <si>
    <t>IT0005248130</t>
  </si>
  <si>
    <t>AN2025442 Govt</t>
  </si>
  <si>
    <t>IT0005248213</t>
  </si>
  <si>
    <t>EC1067684 Govt</t>
  </si>
  <si>
    <t>IT0001312781</t>
  </si>
  <si>
    <t>AN1981595 Govt</t>
  </si>
  <si>
    <t>IT0005247959</t>
  </si>
  <si>
    <t>AN2009289 Govt</t>
  </si>
  <si>
    <t>IT0005248007</t>
  </si>
  <si>
    <t>AN2013638 Govt</t>
  </si>
  <si>
    <t>IT0005248056</t>
  </si>
  <si>
    <t>AN2015625 Govt</t>
  </si>
  <si>
    <t>IT0005248072</t>
  </si>
  <si>
    <t>AN2021532 Govt</t>
  </si>
  <si>
    <t>IT0005248163</t>
  </si>
  <si>
    <t>EK0222019 Govt</t>
  </si>
  <si>
    <t>IT0004976475</t>
  </si>
  <si>
    <t>AN1976728 Govt</t>
  </si>
  <si>
    <t>IT0005247918</t>
  </si>
  <si>
    <t>AN2018165 Govt</t>
  </si>
  <si>
    <t>IT0005248106</t>
  </si>
  <si>
    <t>AN2022514 Govt</t>
  </si>
  <si>
    <t>IT0005248171</t>
  </si>
  <si>
    <t>AN2023132 Govt</t>
  </si>
  <si>
    <t>IT0005248189</t>
  </si>
  <si>
    <t>AN1976629 Govt</t>
  </si>
  <si>
    <t>IT0005247884</t>
  </si>
  <si>
    <t>AN1976678 Govt</t>
  </si>
  <si>
    <t>IT0005247900</t>
  </si>
  <si>
    <t>AN2014727 Govt</t>
  </si>
  <si>
    <t>IT0005248064</t>
  </si>
  <si>
    <t>AN2018678 Govt</t>
  </si>
  <si>
    <t>IT0005248114</t>
  </si>
  <si>
    <t>AN2019403 Govt</t>
  </si>
  <si>
    <t>IT0005248122</t>
  </si>
  <si>
    <t>AN2020252 Govt</t>
  </si>
  <si>
    <t>IT0005248148</t>
  </si>
  <si>
    <t>AN2021185 Govt</t>
  </si>
  <si>
    <t>IT0005248155</t>
  </si>
  <si>
    <t>AN2024171 Govt</t>
  </si>
  <si>
    <t>IT0005248197</t>
  </si>
  <si>
    <t>AN2024692 Govt</t>
  </si>
  <si>
    <t>IT0005248205</t>
  </si>
  <si>
    <t>EC0130038 Govt</t>
  </si>
  <si>
    <t>IT0001246807</t>
  </si>
  <si>
    <t>UV3555355 Govt</t>
  </si>
  <si>
    <t>IT0005093288</t>
  </si>
  <si>
    <t>EJ4854737 Govt</t>
  </si>
  <si>
    <t>IT0004848708</t>
  </si>
  <si>
    <t>EK0223397 Govt</t>
  </si>
  <si>
    <t>IT0004976590</t>
  </si>
  <si>
    <t>EK0224890 Govt</t>
  </si>
  <si>
    <t>IT0004976749</t>
  </si>
  <si>
    <t>AN1983476 Govt</t>
  </si>
  <si>
    <t>IT0005247975</t>
  </si>
  <si>
    <t>AN2011285 Govt</t>
  </si>
  <si>
    <t>IT0005248023</t>
  </si>
  <si>
    <t>AN2012648 Govt</t>
  </si>
  <si>
    <t>IT0005248049</t>
  </si>
  <si>
    <t>AN2016490 Govt</t>
  </si>
  <si>
    <t>IT0005248080</t>
  </si>
  <si>
    <t>CP5087996 Govt</t>
  </si>
  <si>
    <t>IT0001247383</t>
  </si>
  <si>
    <t>AN1982643 Govt</t>
  </si>
  <si>
    <t>IT0005247967</t>
  </si>
  <si>
    <t>CP5088036 Govt</t>
  </si>
  <si>
    <t>IT0001246815</t>
  </si>
  <si>
    <t>EC0129931 Govt</t>
  </si>
  <si>
    <t>IT0001246799</t>
  </si>
  <si>
    <t>EC5587323 Govt</t>
  </si>
  <si>
    <t>IT0003268809</t>
  </si>
  <si>
    <t>EF1312208 Govt</t>
  </si>
  <si>
    <t>IT0004002835</t>
  </si>
  <si>
    <t>EK0223819 Govt</t>
  </si>
  <si>
    <t>IT0004976657</t>
  </si>
  <si>
    <t>AN1984300 Govt</t>
  </si>
  <si>
    <t>IT0005247983</t>
  </si>
  <si>
    <t>AN1985315 Govt</t>
  </si>
  <si>
    <t>IT0005247991</t>
  </si>
  <si>
    <t>EC1047439 Govt</t>
  </si>
  <si>
    <t>IT0001312773</t>
  </si>
  <si>
    <t>EC5588446 Govt</t>
  </si>
  <si>
    <t>IT0003268858</t>
  </si>
  <si>
    <t>EF1312489 Govt</t>
  </si>
  <si>
    <t>IT0004002801</t>
  </si>
  <si>
    <t>EH2420832 Govt</t>
  </si>
  <si>
    <t>IT0004288608</t>
  </si>
  <si>
    <t>EJ4855734 Govt</t>
  </si>
  <si>
    <t>IT0004848773</t>
  </si>
  <si>
    <t>CP5087939 Govt</t>
  </si>
  <si>
    <t>IT0001247326</t>
  </si>
  <si>
    <t>CP5088010 Govt</t>
  </si>
  <si>
    <t>IT0001247409</t>
  </si>
  <si>
    <t>EC5588560 Govt</t>
  </si>
  <si>
    <t>IT0003268908</t>
  </si>
  <si>
    <t>EK0224593 Govt</t>
  </si>
  <si>
    <t>IT0004976731</t>
  </si>
  <si>
    <t>EK0225319 Govt</t>
  </si>
  <si>
    <t>IT0004976814</t>
  </si>
  <si>
    <t>EC5587380 Govt</t>
  </si>
  <si>
    <t>IT0003268825</t>
  </si>
  <si>
    <t>ED1666632 Govt</t>
  </si>
  <si>
    <t>IT0003540405</t>
  </si>
  <si>
    <t>EK0097973 Govt</t>
  </si>
  <si>
    <t>IT0004534613</t>
  </si>
  <si>
    <t>EK0660739 Govt</t>
  </si>
  <si>
    <t>IT0004534266</t>
  </si>
  <si>
    <t>EK0662958 Govt</t>
  </si>
  <si>
    <t>IT0004534480</t>
  </si>
  <si>
    <t>EK0663618 Govt</t>
  </si>
  <si>
    <t>IT0004534589</t>
  </si>
  <si>
    <t>LW2048137 Govt</t>
  </si>
  <si>
    <t>IT0005177610</t>
  </si>
  <si>
    <t>EK0660432 Govt</t>
  </si>
  <si>
    <t>IT0004534241</t>
  </si>
  <si>
    <t>EC5588545 Govt</t>
  </si>
  <si>
    <t>IT0003268890</t>
  </si>
  <si>
    <t>EK0222613 Govt</t>
  </si>
  <si>
    <t>IT0004976509</t>
  </si>
  <si>
    <t>EK0222670 Govt</t>
  </si>
  <si>
    <t>IT0004976517</t>
  </si>
  <si>
    <t>EK0222910 Govt</t>
  </si>
  <si>
    <t>IT0004976541</t>
  </si>
  <si>
    <t>EK0223694 Govt</t>
  </si>
  <si>
    <t>IT0004976632</t>
  </si>
  <si>
    <t>EK0661695 Govt</t>
  </si>
  <si>
    <t>IT0004534324</t>
  </si>
  <si>
    <t>EK0661752 Govt</t>
  </si>
  <si>
    <t>IT0004534332</t>
  </si>
  <si>
    <t>EK0661877 Govt</t>
  </si>
  <si>
    <t>IT0004534340</t>
  </si>
  <si>
    <t>EK0661935 Govt</t>
  </si>
  <si>
    <t>IT0004534357</t>
  </si>
  <si>
    <t>EK0661992 Govt</t>
  </si>
  <si>
    <t>IT0004534365</t>
  </si>
  <si>
    <t>EK0662115 Govt</t>
  </si>
  <si>
    <t>IT0004534373</t>
  </si>
  <si>
    <t>JV8619506 Govt</t>
  </si>
  <si>
    <t>IT0005155442</t>
  </si>
  <si>
    <t>UV3555405 Govt</t>
  </si>
  <si>
    <t>IT0005093296</t>
  </si>
  <si>
    <t>EH2421038 Govt</t>
  </si>
  <si>
    <t>IT0004288640</t>
  </si>
  <si>
    <t>EK0222977 Govt</t>
  </si>
  <si>
    <t>IT0004976558</t>
  </si>
  <si>
    <t>EK0223637 Govt</t>
  </si>
  <si>
    <t>IT0004976624</t>
  </si>
  <si>
    <t>EK0225137 Govt</t>
  </si>
  <si>
    <t>IT0004976798</t>
  </si>
  <si>
    <t>EK0324096 Govt</t>
  </si>
  <si>
    <t>IT0004967904</t>
  </si>
  <si>
    <t>EK0662594 Govt</t>
  </si>
  <si>
    <t>IT0004534449</t>
  </si>
  <si>
    <t>EC1044535 Govt</t>
  </si>
  <si>
    <t>IT0001312815</t>
  </si>
  <si>
    <t>EC2918448 Govt</t>
  </si>
  <si>
    <t>IT0001464210</t>
  </si>
  <si>
    <t>EC5587281 Govt</t>
  </si>
  <si>
    <t>IT0003268791</t>
  </si>
  <si>
    <t>EI4719627 Govt</t>
  </si>
  <si>
    <t>DE0001135424</t>
  </si>
  <si>
    <t>EI6505420 Govt</t>
  </si>
  <si>
    <t>DE0001135440</t>
  </si>
  <si>
    <t>EI7852649 Govt</t>
  </si>
  <si>
    <t>DE0001135457</t>
  </si>
  <si>
    <t>EI8792380 Govt</t>
  </si>
  <si>
    <t>DE0001135465</t>
  </si>
  <si>
    <t>EJ1202419 Govt</t>
  </si>
  <si>
    <t>DE0001135473</t>
  </si>
  <si>
    <t>EJ3422718 Govt</t>
  </si>
  <si>
    <t>DE0001135499</t>
  </si>
  <si>
    <t>EJ5066257 Govt</t>
  </si>
  <si>
    <t>DE0001102309</t>
  </si>
  <si>
    <t>EJ6775781 Govt</t>
  </si>
  <si>
    <t>DE0001102317</t>
  </si>
  <si>
    <t>EJ8158960 Govt</t>
  </si>
  <si>
    <t>DE0001102325</t>
  </si>
  <si>
    <t>GG7182429 Govt</t>
  </si>
  <si>
    <t>DE0001134922</t>
  </si>
  <si>
    <t>EK0378027 Govt</t>
  </si>
  <si>
    <t>DE0001102333</t>
  </si>
  <si>
    <t>EK2728906 Govt</t>
  </si>
  <si>
    <t>DE0001102358</t>
  </si>
  <si>
    <t>EK4694379 Govt</t>
  </si>
  <si>
    <t>DE0001102366</t>
  </si>
  <si>
    <t>EK6841549 Govt</t>
  </si>
  <si>
    <t>DE0001102374</t>
  </si>
  <si>
    <t>AF2056345 Govt</t>
  </si>
  <si>
    <t>DE0001102382</t>
  </si>
  <si>
    <t>JV5034238 Govt</t>
  </si>
  <si>
    <t>DE0001102390</t>
  </si>
  <si>
    <t>LW7430652 Govt</t>
  </si>
  <si>
    <t>DE0001102408</t>
  </si>
  <si>
    <t>AL9975494 Govt</t>
  </si>
  <si>
    <t>DE0001102416</t>
  </si>
  <si>
    <t>GG7291790 Govt</t>
  </si>
  <si>
    <t>DE0001135044</t>
  </si>
  <si>
    <t>GG7293994 Govt</t>
  </si>
  <si>
    <t>DE0001135069</t>
  </si>
  <si>
    <t>EC0518513 Govt</t>
  </si>
  <si>
    <t>DE0001135085</t>
  </si>
  <si>
    <t>EC2153012 Govt</t>
  </si>
  <si>
    <t>DE0001135143</t>
  </si>
  <si>
    <t>EC3022802 Govt</t>
  </si>
  <si>
    <t>DE0001135176</t>
  </si>
  <si>
    <t>EC8300625 Govt</t>
  </si>
  <si>
    <t>DE0001135226</t>
  </si>
  <si>
    <t>ED7838094 Govt</t>
  </si>
  <si>
    <t>DE0001135275</t>
  </si>
  <si>
    <t>EG1209048 Govt</t>
  </si>
  <si>
    <t>DE0001135325</t>
  </si>
  <si>
    <t>EH4697106 Govt</t>
  </si>
  <si>
    <t>DE0001135366</t>
  </si>
  <si>
    <t>EI3229347 Govt</t>
  </si>
  <si>
    <t>DE0001135432</t>
  </si>
  <si>
    <t>EJ1358112 Govt</t>
  </si>
  <si>
    <t>DE0001135481</t>
  </si>
  <si>
    <t>EK0809500 Govt</t>
  </si>
  <si>
    <t>DE0001102341</t>
  </si>
  <si>
    <t>3D</t>
  </si>
  <si>
    <t>EI6755942 Govt</t>
  </si>
  <si>
    <t>JP1103141B54</t>
  </si>
  <si>
    <t>JK4133670 Govt</t>
  </si>
  <si>
    <t>JP1051271G37</t>
  </si>
  <si>
    <t>EI5952292 Govt</t>
  </si>
  <si>
    <t>JP1103131B31</t>
  </si>
  <si>
    <t>EC3680336 Govt</t>
  </si>
  <si>
    <t>JP1200501144</t>
  </si>
  <si>
    <t>EC3321972 Govt</t>
  </si>
  <si>
    <t>JP1200491106</t>
  </si>
  <si>
    <t>LW3943617 Govt</t>
  </si>
  <si>
    <t>JP1051281G68</t>
  </si>
  <si>
    <t>EI6972224 Govt</t>
  </si>
  <si>
    <t>JP1103151B69</t>
  </si>
  <si>
    <t>EI7714344 Govt</t>
  </si>
  <si>
    <t>JP1103161B83</t>
  </si>
  <si>
    <t>EC4285754 Govt</t>
  </si>
  <si>
    <t>JP1200511184</t>
  </si>
  <si>
    <t>QZ4977943 Govt</t>
  </si>
  <si>
    <t>JP1051291G90</t>
  </si>
  <si>
    <t>EI8332047 Govt</t>
  </si>
  <si>
    <t>JP1103181BA8</t>
  </si>
  <si>
    <t>EI8014132 Govt</t>
  </si>
  <si>
    <t>JP1103171B99</t>
  </si>
  <si>
    <t>EC4603477 Govt</t>
  </si>
  <si>
    <t>JP12005211A9</t>
  </si>
  <si>
    <t>AL7220364 Govt</t>
  </si>
  <si>
    <t>JP1051301GC9</t>
  </si>
  <si>
    <t>EI9594942 Govt</t>
  </si>
  <si>
    <t>JP1103201C19</t>
  </si>
  <si>
    <t>EI8951218 Govt</t>
  </si>
  <si>
    <t>JP1103191BC3</t>
  </si>
  <si>
    <t>EC5195879 Govt</t>
  </si>
  <si>
    <t>JP1200541223</t>
  </si>
  <si>
    <t>EC4877683 Govt</t>
  </si>
  <si>
    <t>JP12005311C3</t>
  </si>
  <si>
    <t>AM7968010 Govt</t>
  </si>
  <si>
    <t>JP1051311H38</t>
  </si>
  <si>
    <t>EJ0489983 Govt</t>
  </si>
  <si>
    <t>JP1103211C33</t>
  </si>
  <si>
    <t>EJ1749369 Govt</t>
  </si>
  <si>
    <t>JP1103221C56</t>
  </si>
  <si>
    <t>EC5472575 Govt</t>
  </si>
  <si>
    <t>JP1200551248</t>
  </si>
  <si>
    <t>EJ2679425 Govt</t>
  </si>
  <si>
    <t>JP1103241C78</t>
  </si>
  <si>
    <t>EJ2273187 Govt</t>
  </si>
  <si>
    <t>JP1103231C62</t>
  </si>
  <si>
    <t>EC6386048 Govt</t>
  </si>
  <si>
    <t>JP1200571287</t>
  </si>
  <si>
    <t>EC5799480 Govt</t>
  </si>
  <si>
    <t>JP1200561262</t>
  </si>
  <si>
    <t>EJ3490954 Govt</t>
  </si>
  <si>
    <t>JP1103251C91</t>
  </si>
  <si>
    <t>EC7067035 Govt</t>
  </si>
  <si>
    <t>JP12005812A4</t>
  </si>
  <si>
    <t>EJ5046614 Govt</t>
  </si>
  <si>
    <t>JP1103271D13</t>
  </si>
  <si>
    <t>EJ4693028 Govt</t>
  </si>
  <si>
    <t>JP1103261CC2</t>
  </si>
  <si>
    <t>EC7836876 Govt</t>
  </si>
  <si>
    <t>JP12005912C8</t>
  </si>
  <si>
    <t>EC8612631 Govt</t>
  </si>
  <si>
    <t>JP1200601324</t>
  </si>
  <si>
    <t>EJ5801505 Govt</t>
  </si>
  <si>
    <t>JP1103281D37</t>
  </si>
  <si>
    <t>EC9351635 Govt</t>
  </si>
  <si>
    <t>JP1200611349</t>
  </si>
  <si>
    <t>EJ7060233 Govt</t>
  </si>
  <si>
    <t>JP1103291D68</t>
  </si>
  <si>
    <t>ED0114584 Govt</t>
  </si>
  <si>
    <t>JP1200621363</t>
  </si>
  <si>
    <t>ED1010344 Govt</t>
  </si>
  <si>
    <t>JP1200631388</t>
  </si>
  <si>
    <t>EJ8154217 Govt</t>
  </si>
  <si>
    <t>JP1103301D90</t>
  </si>
  <si>
    <t>EJ9223300 Govt</t>
  </si>
  <si>
    <t>JP1103311DB5</t>
  </si>
  <si>
    <t>ED1845145 Govt</t>
  </si>
  <si>
    <t>JP12006413A0</t>
  </si>
  <si>
    <t>EJ9766399 Govt</t>
  </si>
  <si>
    <t>JP1103321DC2</t>
  </si>
  <si>
    <t>ED3268197 Govt</t>
  </si>
  <si>
    <t>JP1200661427</t>
  </si>
  <si>
    <t>ED2593686 Govt</t>
  </si>
  <si>
    <t>JP12006513C3</t>
  </si>
  <si>
    <t>EK1072785 Govt</t>
  </si>
  <si>
    <t>JP1103331E36</t>
  </si>
  <si>
    <t>ED4832348 Govt</t>
  </si>
  <si>
    <t>JP1200691457</t>
  </si>
  <si>
    <t>ED4356637 Govt</t>
  </si>
  <si>
    <t>JP1200681441</t>
  </si>
  <si>
    <t>ED3828602 Govt</t>
  </si>
  <si>
    <t>JP1200671434</t>
  </si>
  <si>
    <t>EK3119055 Govt</t>
  </si>
  <si>
    <t>JP1103341E67</t>
  </si>
  <si>
    <t>ED5111288 Govt</t>
  </si>
  <si>
    <t>JP1200701462</t>
  </si>
  <si>
    <t>ED5910010 Govt</t>
  </si>
  <si>
    <t>JP1200711487</t>
  </si>
  <si>
    <t>EK4690054 Govt</t>
  </si>
  <si>
    <t>JP1103351E98</t>
  </si>
  <si>
    <t>ED6160219 Govt</t>
  </si>
  <si>
    <t>JP1200721494</t>
  </si>
  <si>
    <t>EK6836028 Govt</t>
  </si>
  <si>
    <t>JP1103371F10</t>
  </si>
  <si>
    <t>EK6363973 Govt</t>
  </si>
  <si>
    <t>JP1103361EC6</t>
  </si>
  <si>
    <t>ED8277235 Govt</t>
  </si>
  <si>
    <t>JP1200741526</t>
  </si>
  <si>
    <t>ED7357210 Govt</t>
  </si>
  <si>
    <t>JP12007314C5</t>
  </si>
  <si>
    <t>EK7837587 Govt</t>
  </si>
  <si>
    <t>JP1103381F34</t>
  </si>
  <si>
    <t>ED8660810 Govt</t>
  </si>
  <si>
    <t>JP1200751533</t>
  </si>
  <si>
    <t>ED9108231 Govt</t>
  </si>
  <si>
    <t>JP1200761540</t>
  </si>
  <si>
    <t>ED9517639 Govt</t>
  </si>
  <si>
    <t>JP1200771556</t>
  </si>
  <si>
    <t>EK9515322 Govt</t>
  </si>
  <si>
    <t>JP1103391F65</t>
  </si>
  <si>
    <t>EF0693129 Govt</t>
  </si>
  <si>
    <t>JP1200801585</t>
  </si>
  <si>
    <t>EF0357980 Govt</t>
  </si>
  <si>
    <t>JP1200791570</t>
  </si>
  <si>
    <t>ED9861136 Govt</t>
  </si>
  <si>
    <t>JP1200781563</t>
  </si>
  <si>
    <t>UV7412959 Govt</t>
  </si>
  <si>
    <t>JP1103401F97</t>
  </si>
  <si>
    <t>EF1062381 Govt</t>
  </si>
  <si>
    <t>JP1200811592</t>
  </si>
  <si>
    <t>EF1466236 Govt</t>
  </si>
  <si>
    <t>JP12008215A7</t>
  </si>
  <si>
    <t>AH0082315 Govt</t>
  </si>
  <si>
    <t>JP1103411FC6</t>
  </si>
  <si>
    <t>EF2077933 Govt</t>
  </si>
  <si>
    <t>JP12008315C1</t>
  </si>
  <si>
    <t>EF2594176 Govt</t>
  </si>
  <si>
    <t>JP1200841615</t>
  </si>
  <si>
    <t>JK2982615 Govt</t>
  </si>
  <si>
    <t>JP1103421G35</t>
  </si>
  <si>
    <t>EF3812189 Govt</t>
  </si>
  <si>
    <t>JP1200861647</t>
  </si>
  <si>
    <t>EF4527968 Govt</t>
  </si>
  <si>
    <t>JP1200871653</t>
  </si>
  <si>
    <t>EF3295013 Govt</t>
  </si>
  <si>
    <t>JP1200851630</t>
  </si>
  <si>
    <t>LW3164867 Govt</t>
  </si>
  <si>
    <t>JP1103431G66</t>
  </si>
  <si>
    <t>EF5003670 Govt</t>
  </si>
  <si>
    <t>JP1200881660</t>
  </si>
  <si>
    <t>EF6592994 Govt</t>
  </si>
  <si>
    <t>JP1200891685</t>
  </si>
  <si>
    <t>QZ4138504 Govt</t>
  </si>
  <si>
    <t>JP1103441G98</t>
  </si>
  <si>
    <t>EF7943063 Govt</t>
  </si>
  <si>
    <t>JP12009116A6</t>
  </si>
  <si>
    <t>EF7153796 Govt</t>
  </si>
  <si>
    <t>JP1200901690</t>
  </si>
  <si>
    <t>EG0574590 Govt</t>
  </si>
  <si>
    <t>JP12009216C0</t>
  </si>
  <si>
    <t>AM7131296 Govt</t>
  </si>
  <si>
    <t>JP1103461H35</t>
  </si>
  <si>
    <t>EG3969052 Govt</t>
  </si>
  <si>
    <t>JP1200941746</t>
  </si>
  <si>
    <t>EG2785954 Govt</t>
  </si>
  <si>
    <t>JP1200931739</t>
  </si>
  <si>
    <t>EG5864293 Govt</t>
  </si>
  <si>
    <t>JP1200951760</t>
  </si>
  <si>
    <t>EG7807761 Govt</t>
  </si>
  <si>
    <t>JP1200961785</t>
  </si>
  <si>
    <t>EG8573362 Govt</t>
  </si>
  <si>
    <t>JP1200971792</t>
  </si>
  <si>
    <t>EH0633659 Govt</t>
  </si>
  <si>
    <t>JP12009817B7</t>
  </si>
  <si>
    <t>EH1313798 Govt</t>
  </si>
  <si>
    <t>JP12009917C3</t>
  </si>
  <si>
    <t>EH2690319 Govt</t>
  </si>
  <si>
    <t>JP1201001839</t>
  </si>
  <si>
    <t>EH3854096 Govt</t>
  </si>
  <si>
    <t>JP1201011853</t>
  </si>
  <si>
    <t>EH4237085 Govt</t>
  </si>
  <si>
    <t>JP1201021860</t>
  </si>
  <si>
    <t>EH5285554 Govt</t>
  </si>
  <si>
    <t>JP1201041884</t>
  </si>
  <si>
    <t>EH4829006 Govt</t>
  </si>
  <si>
    <t>JP1201031877</t>
  </si>
  <si>
    <t>EH5622715 Govt</t>
  </si>
  <si>
    <t>JP1201051891</t>
  </si>
  <si>
    <t>EH6066235 Govt</t>
  </si>
  <si>
    <t>JP12010618A8</t>
  </si>
  <si>
    <t>EH7034067 Govt</t>
  </si>
  <si>
    <t>JP1201081914</t>
  </si>
  <si>
    <t>EH6604720 Govt</t>
  </si>
  <si>
    <t>JP12010718C2</t>
  </si>
  <si>
    <t>EH7995887 Govt</t>
  </si>
  <si>
    <t>JP1201101944</t>
  </si>
  <si>
    <t>EH7611252 Govt</t>
  </si>
  <si>
    <t>JP1201091939</t>
  </si>
  <si>
    <t>EH9141712 Govt</t>
  </si>
  <si>
    <t>JP1201121975</t>
  </si>
  <si>
    <t>EH8715490 Govt</t>
  </si>
  <si>
    <t>JP1201111968</t>
  </si>
  <si>
    <t>EH9753441 Govt</t>
  </si>
  <si>
    <t>JP1201131990</t>
  </si>
  <si>
    <t>EC1745347 Govt</t>
  </si>
  <si>
    <t>JP1300011W09</t>
  </si>
  <si>
    <t>EI0835450 Govt</t>
  </si>
  <si>
    <t>JP12011419C6</t>
  </si>
  <si>
    <t>EI1590526 Govt</t>
  </si>
  <si>
    <t>JP1201151A21</t>
  </si>
  <si>
    <t>EC2220316 Govt</t>
  </si>
  <si>
    <t>JP1300021001</t>
  </si>
  <si>
    <t>EI2321434 Govt</t>
  </si>
  <si>
    <t>JP1201171A43</t>
  </si>
  <si>
    <t>EI1908785 Govt</t>
  </si>
  <si>
    <t>JP1201161A37</t>
  </si>
  <si>
    <t>EC2565314 Govt</t>
  </si>
  <si>
    <t>JP1300031000</t>
  </si>
  <si>
    <t>EI3854854 Govt</t>
  </si>
  <si>
    <t>JP1201201A88</t>
  </si>
  <si>
    <t>EI2903413 Govt</t>
  </si>
  <si>
    <t>JP1201181A66</t>
  </si>
  <si>
    <t>EI3325426 Govt</t>
  </si>
  <si>
    <t>JP1201191A72</t>
  </si>
  <si>
    <t>EI4040636 Govt</t>
  </si>
  <si>
    <t>JP1201211A94</t>
  </si>
  <si>
    <t>EI4443103 Govt</t>
  </si>
  <si>
    <t>JP1201221AA5</t>
  </si>
  <si>
    <t>EC3066569 Govt</t>
  </si>
  <si>
    <t>JP1300041009</t>
  </si>
  <si>
    <t>EI5130493 Govt</t>
  </si>
  <si>
    <t>JP1201231AC0</t>
  </si>
  <si>
    <t>EI5876087 Govt</t>
  </si>
  <si>
    <t>JP1201241B22</t>
  </si>
  <si>
    <t>EI6132563 Govt</t>
  </si>
  <si>
    <t>JP1201251B37</t>
  </si>
  <si>
    <t>EI6535294 Govt</t>
  </si>
  <si>
    <t>JP1201261B43</t>
  </si>
  <si>
    <t>EI6924050 Govt</t>
  </si>
  <si>
    <t>JP1201271B58</t>
  </si>
  <si>
    <t>EC3875944 Govt</t>
  </si>
  <si>
    <t>JP1300051156</t>
  </si>
  <si>
    <t>EI7138619 Govt</t>
  </si>
  <si>
    <t>JP1201281B64</t>
  </si>
  <si>
    <t>EI7953108 Govt</t>
  </si>
  <si>
    <t>JP1201291B88</t>
  </si>
  <si>
    <t>EI8131969 Govt</t>
  </si>
  <si>
    <t>JP1201301B94</t>
  </si>
  <si>
    <t>EI8863967 Govt</t>
  </si>
  <si>
    <t>JP1201311BB0</t>
  </si>
  <si>
    <t>EC4745393 Govt</t>
  </si>
  <si>
    <t>JP13000611B1</t>
  </si>
  <si>
    <t>EJ0014849 Govt</t>
  </si>
  <si>
    <t>JP1201331C14</t>
  </si>
  <si>
    <t>EI9104742 Govt</t>
  </si>
  <si>
    <t>JP1201321BC7</t>
  </si>
  <si>
    <t>EJ2136277 Govt</t>
  </si>
  <si>
    <t>JP1201361C58</t>
  </si>
  <si>
    <t>EJ0963383 Govt</t>
  </si>
  <si>
    <t>JP1201341C38</t>
  </si>
  <si>
    <t>EJ1461163 Govt</t>
  </si>
  <si>
    <t>JP1201351C43</t>
  </si>
  <si>
    <t>EC5650865 Govt</t>
  </si>
  <si>
    <t>JP1300071253</t>
  </si>
  <si>
    <t>EJ3365511 Govt</t>
  </si>
  <si>
    <t>JP1201391C86</t>
  </si>
  <si>
    <t>EJ3001454 Govt</t>
  </si>
  <si>
    <t>JP1201381C70</t>
  </si>
  <si>
    <t>EJ2397945 Govt</t>
  </si>
  <si>
    <t>JP1201371C64</t>
  </si>
  <si>
    <t>EJ3633405 Govt</t>
  </si>
  <si>
    <t>JP1201401C92</t>
  </si>
  <si>
    <t>EC7486078 Govt</t>
  </si>
  <si>
    <t>JP13000812B5</t>
  </si>
  <si>
    <t>EJ5659150 Govt</t>
  </si>
  <si>
    <t>JP1201421D22</t>
  </si>
  <si>
    <t>EJ4883454 Govt</t>
  </si>
  <si>
    <t>JP1201411CC4</t>
  </si>
  <si>
    <t>EC8204264 Govt</t>
  </si>
  <si>
    <t>JP1300091319</t>
  </si>
  <si>
    <t>EJ6432110 Govt</t>
  </si>
  <si>
    <t>JP1201441D44</t>
  </si>
  <si>
    <t>EJ5939602 Govt</t>
  </si>
  <si>
    <t>JP1201431D38</t>
  </si>
  <si>
    <t>EC9747782 Govt</t>
  </si>
  <si>
    <t>JP1300101357</t>
  </si>
  <si>
    <t>EJ7248408 Govt</t>
  </si>
  <si>
    <t>JP1201451D66</t>
  </si>
  <si>
    <t>ED0670437 Govt</t>
  </si>
  <si>
    <t>JP1300111372</t>
  </si>
  <si>
    <t>EJ8434395 Govt</t>
  </si>
  <si>
    <t>JP1201461D98</t>
  </si>
  <si>
    <t>ED2161351 Govt</t>
  </si>
  <si>
    <t>JP13001213B5</t>
  </si>
  <si>
    <t>EJ9943964 Govt</t>
  </si>
  <si>
    <t>JP1201471DC6</t>
  </si>
  <si>
    <t>ED3357065 Govt</t>
  </si>
  <si>
    <t>JP1300131420</t>
  </si>
  <si>
    <t>EK1340612 Govt</t>
  </si>
  <si>
    <t>JP1201481E36</t>
  </si>
  <si>
    <t>ED4240013 Govt</t>
  </si>
  <si>
    <t>JP1300141445</t>
  </si>
  <si>
    <t>EK3390219 Govt</t>
  </si>
  <si>
    <t>JP1201491E67</t>
  </si>
  <si>
    <t>ED5806184 Govt</t>
  </si>
  <si>
    <t>JP1300151485</t>
  </si>
  <si>
    <t>EK4996816 Govt</t>
  </si>
  <si>
    <t>JP1201501E99</t>
  </si>
  <si>
    <t>ED6591066 Govt</t>
  </si>
  <si>
    <t>JP13001614A6</t>
  </si>
  <si>
    <t>EK6660931 Govt</t>
  </si>
  <si>
    <t>JP1201511EC7</t>
  </si>
  <si>
    <t>ED8193903 Govt</t>
  </si>
  <si>
    <t>JP1300171525</t>
  </si>
  <si>
    <t>EK8137466 Govt</t>
  </si>
  <si>
    <t>JP1201521F37</t>
  </si>
  <si>
    <t>ED9034742 Govt</t>
  </si>
  <si>
    <t>JP1300181540</t>
  </si>
  <si>
    <t>EK9722886 Govt</t>
  </si>
  <si>
    <t>JP1201531F68</t>
  </si>
  <si>
    <t>EF0212920 Govt</t>
  </si>
  <si>
    <t>JP1300191572</t>
  </si>
  <si>
    <t>UV8902925 Govt</t>
  </si>
  <si>
    <t>JP1201541F90</t>
  </si>
  <si>
    <t>EF1386525 Govt</t>
  </si>
  <si>
    <t>JP13002015A5</t>
  </si>
  <si>
    <t>JV3368661 Govt</t>
  </si>
  <si>
    <t>JP1201551FC0</t>
  </si>
  <si>
    <t>EF2502187 Govt</t>
  </si>
  <si>
    <t>JP1300211610</t>
  </si>
  <si>
    <t>JK5016049 Govt</t>
  </si>
  <si>
    <t>JP1201561G37</t>
  </si>
  <si>
    <t>EF3711449 Govt</t>
  </si>
  <si>
    <t>JP1300221643</t>
  </si>
  <si>
    <t>LW5453029 Govt</t>
  </si>
  <si>
    <t>JP1201571G68</t>
  </si>
  <si>
    <t>EF5597655 Govt</t>
  </si>
  <si>
    <t>JP1300231675</t>
  </si>
  <si>
    <t>QZ5415422 Govt</t>
  </si>
  <si>
    <t>JP1201581G90</t>
  </si>
  <si>
    <t>EF7785084 Govt</t>
  </si>
  <si>
    <t>JP13002416A5</t>
  </si>
  <si>
    <t>AL7975124 Govt</t>
  </si>
  <si>
    <t>JP1201591GC4</t>
  </si>
  <si>
    <t>EG1252618 Govt</t>
  </si>
  <si>
    <t>JP1300251715</t>
  </si>
  <si>
    <t>AM8503287 Govt</t>
  </si>
  <si>
    <t>JP1201601H38</t>
  </si>
  <si>
    <t>EG3757374 Govt</t>
  </si>
  <si>
    <t>JP1300261748</t>
  </si>
  <si>
    <t>EG9384082 Govt</t>
  </si>
  <si>
    <t>JP13002717A6</t>
  </si>
  <si>
    <t>EH3146931 Govt</t>
  </si>
  <si>
    <t>JP1300281845</t>
  </si>
  <si>
    <t>EH5985450 Govt</t>
  </si>
  <si>
    <t>JP13002918A0</t>
  </si>
  <si>
    <t>EH7911181 Govt</t>
  </si>
  <si>
    <t>JP1300301940</t>
  </si>
  <si>
    <t>EI0048054 Govt</t>
  </si>
  <si>
    <t>JP13003119A4</t>
  </si>
  <si>
    <t>EI1819230 Govt</t>
  </si>
  <si>
    <t>JP1300321A34</t>
  </si>
  <si>
    <t>EI3995376 Govt</t>
  </si>
  <si>
    <t>JP1300331A99</t>
  </si>
  <si>
    <t>EI6037572 Govt</t>
  </si>
  <si>
    <t>JP1300341B39</t>
  </si>
  <si>
    <t>EI8055663 Govt</t>
  </si>
  <si>
    <t>JP1300351B93</t>
  </si>
  <si>
    <t>EJ0538250 Govt</t>
  </si>
  <si>
    <t>JP1300361C33</t>
  </si>
  <si>
    <t>QZ3583536 Govt</t>
  </si>
  <si>
    <t>FR0013200813</t>
  </si>
  <si>
    <t>AN0904697 Govt</t>
  </si>
  <si>
    <t>FR0013250560</t>
  </si>
  <si>
    <t>AL2130345 Govt</t>
  </si>
  <si>
    <t>FR0013219177</t>
  </si>
  <si>
    <t>EJ6098374 Govt</t>
  </si>
  <si>
    <t>FR0011461037</t>
  </si>
  <si>
    <t>EI3077506 Govt</t>
  </si>
  <si>
    <t>FR0010916924</t>
  </si>
  <si>
    <t>UV9949289 Govt</t>
  </si>
  <si>
    <t>FR0012993103</t>
  </si>
  <si>
    <t>JK2706329 Govt</t>
  </si>
  <si>
    <t>FR0013131877</t>
  </si>
  <si>
    <t>EJ3468919 Govt</t>
  </si>
  <si>
    <t>FR0011317783</t>
  </si>
  <si>
    <t>JK7597822 Govt</t>
  </si>
  <si>
    <t>FR0013154028</t>
  </si>
  <si>
    <t>EJ0036891 Govt</t>
  </si>
  <si>
    <t>FR0011196856</t>
  </si>
  <si>
    <t>JK7596303 Govt</t>
  </si>
  <si>
    <t>FR0013154044</t>
  </si>
  <si>
    <t>EK7289029 Govt</t>
  </si>
  <si>
    <t>FR0012517027</t>
  </si>
  <si>
    <t>UV7155053 Govt</t>
  </si>
  <si>
    <t>FR0012938116</t>
  </si>
  <si>
    <t>EG3953361 Govt</t>
  </si>
  <si>
    <t>FR0010466938</t>
  </si>
  <si>
    <t>EJ6548493 Govt</t>
  </si>
  <si>
    <t>FR0011486067</t>
  </si>
  <si>
    <t>EJ3845777 Govt</t>
  </si>
  <si>
    <t>FR0011337880</t>
  </si>
  <si>
    <t>EK3074136 Govt</t>
  </si>
  <si>
    <t>FR0011962398</t>
  </si>
  <si>
    <t>JK8202802 Govt</t>
  </si>
  <si>
    <t>FR0013157096</t>
  </si>
  <si>
    <t>EJ9139449 Govt</t>
  </si>
  <si>
    <t>FR0011619436</t>
  </si>
  <si>
    <t>EI6940791 Govt</t>
  </si>
  <si>
    <t>FR0011059088</t>
  </si>
  <si>
    <t>EH8786723 Govt</t>
  </si>
  <si>
    <t>FR0010773192</t>
  </si>
  <si>
    <t>AL9974240 Govt</t>
  </si>
  <si>
    <t>FR0013234333</t>
  </si>
  <si>
    <t>ED9255313 Govt</t>
  </si>
  <si>
    <t>FR0010192997</t>
  </si>
  <si>
    <t>EF6625018 Govt</t>
  </si>
  <si>
    <t>FR0010371401</t>
  </si>
  <si>
    <t>EK2432749 Govt</t>
  </si>
  <si>
    <t>FR0011883966</t>
  </si>
  <si>
    <t>EC3954004 Govt</t>
  </si>
  <si>
    <t>FR0000187635</t>
  </si>
  <si>
    <t>EI1823166 Govt</t>
  </si>
  <si>
    <t>FR0010870956</t>
  </si>
  <si>
    <t>GG7384272 Govt</t>
  </si>
  <si>
    <t>FR0000571218</t>
  </si>
  <si>
    <t>ED3871594 Govt</t>
  </si>
  <si>
    <t>FR0010070060</t>
  </si>
  <si>
    <t>ED8307479 Govt</t>
  </si>
  <si>
    <t>FR0010171975</t>
  </si>
  <si>
    <t>GG7185588 Govt</t>
  </si>
  <si>
    <t>FR0000571150</t>
  </si>
  <si>
    <t>GG7112335 Govt</t>
  </si>
  <si>
    <t>FR0000571085</t>
  </si>
  <si>
    <t>GG7115262 Govt</t>
  </si>
  <si>
    <t>FR0000571044</t>
  </si>
  <si>
    <t>EI1868633 Govt</t>
  </si>
  <si>
    <t>FR0010871079</t>
  </si>
  <si>
    <t>EI0433033 Govt</t>
  </si>
  <si>
    <t>FR0010809665</t>
  </si>
  <si>
    <t>JK8071041 Govt</t>
  </si>
  <si>
    <t>FR0013154358</t>
  </si>
  <si>
    <t>EI0431433 Govt</t>
  </si>
  <si>
    <t>FR0010810101</t>
  </si>
  <si>
    <t>EI0431631 Govt</t>
  </si>
  <si>
    <t>FR0010809715</t>
  </si>
  <si>
    <t>EC3973863 Govt</t>
  </si>
  <si>
    <t>FR0000578536</t>
  </si>
  <si>
    <t>EI0428553 Govt</t>
  </si>
  <si>
    <t>FR0010810168</t>
  </si>
  <si>
    <t>EJ6186948 Govt</t>
  </si>
  <si>
    <t>FR0011461664</t>
  </si>
  <si>
    <t>EI0429510 Govt</t>
  </si>
  <si>
    <t>FR0010809483</t>
  </si>
  <si>
    <t>EI0419131 Govt</t>
  </si>
  <si>
    <t>FR0010810218</t>
  </si>
  <si>
    <t>GG7396508 Govt</t>
  </si>
  <si>
    <t>FR0000571200</t>
  </si>
  <si>
    <t>EI0431912 Govt</t>
  </si>
  <si>
    <t>FR0010809806</t>
  </si>
  <si>
    <t>EI0429155 Govt</t>
  </si>
  <si>
    <t>FR0010809996</t>
  </si>
  <si>
    <t>GG7127275 Govt</t>
  </si>
  <si>
    <t>FR0000571077</t>
  </si>
  <si>
    <t>EI0432472 Govt</t>
  </si>
  <si>
    <t>FR0010809574</t>
  </si>
  <si>
    <t>EJ6186146 Govt</t>
  </si>
  <si>
    <t>FR0011461599</t>
  </si>
  <si>
    <t>EI0432076 Govt</t>
  </si>
  <si>
    <t>FR0010809863</t>
  </si>
  <si>
    <t>ED8324482 Govt</t>
  </si>
  <si>
    <t>FR0010172205</t>
  </si>
  <si>
    <t>EI0432274 Govt</t>
  </si>
  <si>
    <t>FR0010809517</t>
  </si>
  <si>
    <t>EI0432357 Govt</t>
  </si>
  <si>
    <t>FR0010809533</t>
  </si>
  <si>
    <t>EI0430518 Govt</t>
  </si>
  <si>
    <t>FR0010810077</t>
  </si>
  <si>
    <t>ED3871719 Govt</t>
  </si>
  <si>
    <t>FR0010070078</t>
  </si>
  <si>
    <t>EH8794248 Govt</t>
  </si>
  <si>
    <t>FR0010773200</t>
  </si>
  <si>
    <t>EI0418851 Govt</t>
  </si>
  <si>
    <t>FR0010809921</t>
  </si>
  <si>
    <t>EI0432399 Govt</t>
  </si>
  <si>
    <t>FR0010809558</t>
  </si>
  <si>
    <t>EI0432993 Govt</t>
  </si>
  <si>
    <t>FR0010809657</t>
  </si>
  <si>
    <t>EI0431516 Govt</t>
  </si>
  <si>
    <t>FR0010809673</t>
  </si>
  <si>
    <t>EI0432191 Govt</t>
  </si>
  <si>
    <t>FR0010809491</t>
  </si>
  <si>
    <t>EI0418810 Govt</t>
  </si>
  <si>
    <t>FR0010809871</t>
  </si>
  <si>
    <t>EI0431714 Govt</t>
  </si>
  <si>
    <t>FR0010809780</t>
  </si>
  <si>
    <t>ED8390566 Govt</t>
  </si>
  <si>
    <t>FR0010172635</t>
  </si>
  <si>
    <t>EI0428439 Govt</t>
  </si>
  <si>
    <t>FR0010810069</t>
  </si>
  <si>
    <t>GG7190232 Govt</t>
  </si>
  <si>
    <t>FR0000571051</t>
  </si>
  <si>
    <t>EI0419057 Govt</t>
  </si>
  <si>
    <t>FR0010810093</t>
  </si>
  <si>
    <t>EI0418695 Govt</t>
  </si>
  <si>
    <t>FR0010809814</t>
  </si>
  <si>
    <t>EI0428355 Govt</t>
  </si>
  <si>
    <t>FR0010810002</t>
  </si>
  <si>
    <t>EF6781696 Govt</t>
  </si>
  <si>
    <t>FR0010371427</t>
  </si>
  <si>
    <t>EI0428637 Govt</t>
  </si>
  <si>
    <t>FR0010810184</t>
  </si>
  <si>
    <t>EI0429270 Govt</t>
  </si>
  <si>
    <t>FR0010809400</t>
  </si>
  <si>
    <t>ED8389048 Govt</t>
  </si>
  <si>
    <t>FR0010172528</t>
  </si>
  <si>
    <t>EI0432118 Govt</t>
  </si>
  <si>
    <t>FR0010809905</t>
  </si>
  <si>
    <t>EI0428918 Govt</t>
  </si>
  <si>
    <t>FR0010810176</t>
  </si>
  <si>
    <t>GG7127259 Govt</t>
  </si>
  <si>
    <t>FR0000571010</t>
  </si>
  <si>
    <t>ED8389006 Govt</t>
  </si>
  <si>
    <t>FR0010172510</t>
  </si>
  <si>
    <t>ED8324888 Govt</t>
  </si>
  <si>
    <t>FR0010172643</t>
  </si>
  <si>
    <t>EI0431599 Govt</t>
  </si>
  <si>
    <t>FR0010809707</t>
  </si>
  <si>
    <t>GG7127267 Govt</t>
  </si>
  <si>
    <t>FR0000571069</t>
  </si>
  <si>
    <t>JK8069003 Govt</t>
  </si>
  <si>
    <t>FR0013154291</t>
  </si>
  <si>
    <t>EI0418976 Govt</t>
  </si>
  <si>
    <t>FR0010809954</t>
  </si>
  <si>
    <t>GG7190240 Govt</t>
  </si>
  <si>
    <t>FR0000571093</t>
  </si>
  <si>
    <t>EI0429072 Govt</t>
  </si>
  <si>
    <t>FR0010809434</t>
  </si>
  <si>
    <t>EI0429353 Govt</t>
  </si>
  <si>
    <t>FR0010809426</t>
  </si>
  <si>
    <t>GG7190273 Govt</t>
  </si>
  <si>
    <t>FR0000571135</t>
  </si>
  <si>
    <t>EI0431995 Govt</t>
  </si>
  <si>
    <t>FR0010809830</t>
  </si>
  <si>
    <t>EI0430476 Govt</t>
  </si>
  <si>
    <t>FR0010810044</t>
  </si>
  <si>
    <t>EI0432514 Govt</t>
  </si>
  <si>
    <t>FR0010809608</t>
  </si>
  <si>
    <t>EI0428314 Govt</t>
  </si>
  <si>
    <t>FR0010810036</t>
  </si>
  <si>
    <t>EI0428991 Govt</t>
  </si>
  <si>
    <t>FR0010809418</t>
  </si>
  <si>
    <t>EJ6186245 Govt</t>
  </si>
  <si>
    <t>FR0011461607</t>
  </si>
  <si>
    <t>ED8388925 Govt</t>
  </si>
  <si>
    <t>FR0010172494</t>
  </si>
  <si>
    <t>EI1868393 Govt</t>
  </si>
  <si>
    <t>FR0010871046</t>
  </si>
  <si>
    <t>JK8068435 Govt</t>
  </si>
  <si>
    <t>FR0013154218</t>
  </si>
  <si>
    <t>EI0428512 Govt</t>
  </si>
  <si>
    <t>FR0010810127</t>
  </si>
  <si>
    <t>EI0429437 Govt</t>
  </si>
  <si>
    <t>FR0010809475</t>
  </si>
  <si>
    <t>GG7396565 Govt</t>
  </si>
  <si>
    <t>FR0000571192</t>
  </si>
  <si>
    <t>EI0432555 Govt</t>
  </si>
  <si>
    <t>FR0010809624</t>
  </si>
  <si>
    <t>EJ6186849 Govt</t>
  </si>
  <si>
    <t>FR0011461656</t>
  </si>
  <si>
    <t>GG7182585 Govt</t>
  </si>
  <si>
    <t>FR0000571036</t>
  </si>
  <si>
    <t>EF6782736 Govt</t>
  </si>
  <si>
    <t>FR0010372086</t>
  </si>
  <si>
    <t>EI0428876 Govt</t>
  </si>
  <si>
    <t>FR0010810135</t>
  </si>
  <si>
    <t>EC3971255 Govt</t>
  </si>
  <si>
    <t>FR0000578544</t>
  </si>
  <si>
    <t>EI0430393 Govt</t>
  </si>
  <si>
    <t>FR0010810010</t>
  </si>
  <si>
    <t>ED3948798 Govt</t>
  </si>
  <si>
    <t>FR0010070110</t>
  </si>
  <si>
    <t>EI0428835 Govt</t>
  </si>
  <si>
    <t>FR0010809897</t>
  </si>
  <si>
    <t>EI0432951 Govt</t>
  </si>
  <si>
    <t>FR0010809640</t>
  </si>
  <si>
    <t>EJ6185999 Govt</t>
  </si>
  <si>
    <t>FR0011461573</t>
  </si>
  <si>
    <t>ED8389287 Govt</t>
  </si>
  <si>
    <t>FR0010172601</t>
  </si>
  <si>
    <t>EI0429114 Govt</t>
  </si>
  <si>
    <t>FR0010809442</t>
  </si>
  <si>
    <t>GG7190257 Govt</t>
  </si>
  <si>
    <t>FR0000571119</t>
  </si>
  <si>
    <t>JK8068260 Govt</t>
  </si>
  <si>
    <t>FR0013154143</t>
  </si>
  <si>
    <t>EI0432910 Govt</t>
  </si>
  <si>
    <t>FR0010809632</t>
  </si>
  <si>
    <t>ED8388487 Govt</t>
  </si>
  <si>
    <t>FR0010172296</t>
  </si>
  <si>
    <t>EI0428751 Govt</t>
  </si>
  <si>
    <t>FR0010809848</t>
  </si>
  <si>
    <t>EI0431672 Govt</t>
  </si>
  <si>
    <t>FR0010809749</t>
  </si>
  <si>
    <t>EJ6178499 Govt</t>
  </si>
  <si>
    <t>FR0011461433</t>
  </si>
  <si>
    <t>EF6782892 Govt</t>
  </si>
  <si>
    <t>FR0010372094</t>
  </si>
  <si>
    <t>EI0428959 Govt</t>
  </si>
  <si>
    <t>FR0010810200</t>
  </si>
  <si>
    <t>EI0429395 Govt</t>
  </si>
  <si>
    <t>FR0010809459</t>
  </si>
  <si>
    <t>EJ6178093 Govt</t>
  </si>
  <si>
    <t>FR0011461391</t>
  </si>
  <si>
    <t>JK8068518 Govt</t>
  </si>
  <si>
    <t>FR0013154226</t>
  </si>
  <si>
    <t>JK8069441 Govt</t>
  </si>
  <si>
    <t>FR0013154317</t>
  </si>
  <si>
    <t>ED8390525 Govt</t>
  </si>
  <si>
    <t>FR0010172627</t>
  </si>
  <si>
    <t>ED8389402 Govt</t>
  </si>
  <si>
    <t>FR0010172619</t>
  </si>
  <si>
    <t>EJ6186799 Govt</t>
  </si>
  <si>
    <t>FR0011461649</t>
  </si>
  <si>
    <t>GG7127234 Govt</t>
  </si>
  <si>
    <t>FR0000570996</t>
  </si>
  <si>
    <t>AM0114794 Govt</t>
  </si>
  <si>
    <t>FR0013200987</t>
  </si>
  <si>
    <t>EJ6177442 Govt</t>
  </si>
  <si>
    <t>FR0011461375</t>
  </si>
  <si>
    <t>EI1868591 Govt</t>
  </si>
  <si>
    <t>FR0010871061</t>
  </si>
  <si>
    <t>EJ6177897 Govt</t>
  </si>
  <si>
    <t>FR0011461383</t>
  </si>
  <si>
    <t>EK2935907 Govt</t>
  </si>
  <si>
    <t>FR0011942168</t>
  </si>
  <si>
    <t>GG7396516 Govt</t>
  </si>
  <si>
    <t>FR0000571101</t>
  </si>
  <si>
    <t>JK8068112 Govt</t>
  </si>
  <si>
    <t>FR0013154101</t>
  </si>
  <si>
    <t>ED8389121 Govt</t>
  </si>
  <si>
    <t>FR0010172577</t>
  </si>
  <si>
    <t>EJ6185346 Govt</t>
  </si>
  <si>
    <t>FR0011461516</t>
  </si>
  <si>
    <t>JK8068120 Govt</t>
  </si>
  <si>
    <t>FR0013154119</t>
  </si>
  <si>
    <t>JK8070696 Govt</t>
  </si>
  <si>
    <t>FR0013154333</t>
  </si>
  <si>
    <t>JK8070761 Govt</t>
  </si>
  <si>
    <t>FR0013154341</t>
  </si>
  <si>
    <t>ED3948715 Govt</t>
  </si>
  <si>
    <t>FR0010070102</t>
  </si>
  <si>
    <t>EF6782173 Govt</t>
  </si>
  <si>
    <t>FR0010372060</t>
  </si>
  <si>
    <t>EJ6178796 Govt</t>
  </si>
  <si>
    <t>FR0011461482</t>
  </si>
  <si>
    <t>EJ6186641 Govt</t>
  </si>
  <si>
    <t>FR0011461623</t>
  </si>
  <si>
    <t>JK8068229 Govt</t>
  </si>
  <si>
    <t>FR0013154135</t>
  </si>
  <si>
    <t>JK8068294 Govt</t>
  </si>
  <si>
    <t>FR0013154192</t>
  </si>
  <si>
    <t>JK8069276 Govt</t>
  </si>
  <si>
    <t>FR0013154309</t>
  </si>
  <si>
    <t>EJ0529135 Govt</t>
  </si>
  <si>
    <t>FR0011217603</t>
  </si>
  <si>
    <t>EJ5732965 Govt</t>
  </si>
  <si>
    <t>FR0011438449</t>
  </si>
  <si>
    <t>EK3918860 Govt</t>
  </si>
  <si>
    <t>FR0011962547</t>
  </si>
  <si>
    <t>GG7396540 Govt</t>
  </si>
  <si>
    <t>FR0000571176</t>
  </si>
  <si>
    <t>JK8068088 Govt</t>
  </si>
  <si>
    <t>FR0013154093</t>
  </si>
  <si>
    <t>JK8068161 Govt</t>
  </si>
  <si>
    <t>FR0013154127</t>
  </si>
  <si>
    <t>JK8068302 Govt</t>
  </si>
  <si>
    <t>FR0013154200</t>
  </si>
  <si>
    <t>ED8388529 Govt</t>
  </si>
  <si>
    <t>FR0010172304</t>
  </si>
  <si>
    <t>EJ6185791 Govt</t>
  </si>
  <si>
    <t>FR0011461540</t>
  </si>
  <si>
    <t>EJ6186690 Govt</t>
  </si>
  <si>
    <t>FR0011461631</t>
  </si>
  <si>
    <t>JK8068369 Govt</t>
  </si>
  <si>
    <t>FR0013154234</t>
  </si>
  <si>
    <t>ED8389162 Govt</t>
  </si>
  <si>
    <t>FR0010172585</t>
  </si>
  <si>
    <t>ED9336279 Govt</t>
  </si>
  <si>
    <t>FR0010193003</t>
  </si>
  <si>
    <t>EI0430278 Govt</t>
  </si>
  <si>
    <t>FR0010809962</t>
  </si>
  <si>
    <t>EJ6186047 Govt</t>
  </si>
  <si>
    <t>FR0011461581</t>
  </si>
  <si>
    <t>EJ6186344 Govt</t>
  </si>
  <si>
    <t>FR0011461615</t>
  </si>
  <si>
    <t>GG7396524 Govt</t>
  </si>
  <si>
    <t>FR0000571127</t>
  </si>
  <si>
    <t>EI0429239 Govt</t>
  </si>
  <si>
    <t>FR0010809277</t>
  </si>
  <si>
    <t>EJ6178390 Govt</t>
  </si>
  <si>
    <t>FR0011461425</t>
  </si>
  <si>
    <t>EC3971420 Govt</t>
  </si>
  <si>
    <t>FR0000578569</t>
  </si>
  <si>
    <t>ED3948673 Govt</t>
  </si>
  <si>
    <t>FR0010070086</t>
  </si>
  <si>
    <t>ED8388602 Govt</t>
  </si>
  <si>
    <t>FR0010172312</t>
  </si>
  <si>
    <t>ED8389246 Govt</t>
  </si>
  <si>
    <t>FR0010172593</t>
  </si>
  <si>
    <t>EF6782538 Govt</t>
  </si>
  <si>
    <t>FR0010372078</t>
  </si>
  <si>
    <t>EJ6178747 Govt</t>
  </si>
  <si>
    <t>FR0011461466</t>
  </si>
  <si>
    <t>EJ6183499 Govt</t>
  </si>
  <si>
    <t>FR0011461490</t>
  </si>
  <si>
    <t>EK3918563 Govt</t>
  </si>
  <si>
    <t>FR0011962489</t>
  </si>
  <si>
    <t>EK3918746 Govt</t>
  </si>
  <si>
    <t>FR0011962497</t>
  </si>
  <si>
    <t>JK8068674 Govt</t>
  </si>
  <si>
    <t>FR0013154259</t>
  </si>
  <si>
    <t>JK8068849 Govt</t>
  </si>
  <si>
    <t>FR0013154283</t>
  </si>
  <si>
    <t>JK8070480 Govt</t>
  </si>
  <si>
    <t>FR0013154325</t>
  </si>
  <si>
    <t>JV1835729 Govt</t>
  </si>
  <si>
    <t>FR0012938843</t>
  </si>
  <si>
    <t>ED3948871 Govt</t>
  </si>
  <si>
    <t>FR0010070136</t>
  </si>
  <si>
    <t>ED3948913 Govt</t>
  </si>
  <si>
    <t>FR0010070144</t>
  </si>
  <si>
    <t>ED8388727 Govt</t>
  </si>
  <si>
    <t>FR0010172478</t>
  </si>
  <si>
    <t>ED8389089 Govt</t>
  </si>
  <si>
    <t>FR0010172544</t>
  </si>
  <si>
    <t>EG4069639 Govt</t>
  </si>
  <si>
    <t>FR0010466946</t>
  </si>
  <si>
    <t>EI1868476 Govt</t>
  </si>
  <si>
    <t>FR0010871053</t>
  </si>
  <si>
    <t>EK3918381 Govt</t>
  </si>
  <si>
    <t>FR0011962471</t>
  </si>
  <si>
    <t>GG7190224 Govt</t>
  </si>
  <si>
    <t>FR0000571002</t>
  </si>
  <si>
    <t>EI0429551 Govt</t>
  </si>
  <si>
    <t>FR0010809939</t>
  </si>
  <si>
    <t>EI1868237 Govt</t>
  </si>
  <si>
    <t>FR0010871038</t>
  </si>
  <si>
    <t>EC3971347 Govt</t>
  </si>
  <si>
    <t>FR0000578551</t>
  </si>
  <si>
    <t>EC3971461 Govt</t>
  </si>
  <si>
    <t>FR0000578577</t>
  </si>
  <si>
    <t>EC3971487 Govt</t>
  </si>
  <si>
    <t>FR0000578585</t>
  </si>
  <si>
    <t>EC3971503 Govt</t>
  </si>
  <si>
    <t>FR0000578593</t>
  </si>
  <si>
    <t>EC3971529 Govt</t>
  </si>
  <si>
    <t>FR0000578601</t>
  </si>
  <si>
    <t>ED3948830 Govt</t>
  </si>
  <si>
    <t>FR0010070128</t>
  </si>
  <si>
    <t>ED8388123 Govt</t>
  </si>
  <si>
    <t>FR0010172213</t>
  </si>
  <si>
    <t>ED8388289 Govt</t>
  </si>
  <si>
    <t>FR0010172270</t>
  </si>
  <si>
    <t>ED8388446 Govt</t>
  </si>
  <si>
    <t>FR0010172288</t>
  </si>
  <si>
    <t>ED8388685 Govt</t>
  </si>
  <si>
    <t>FR0010172320</t>
  </si>
  <si>
    <t>EF6781894 Govt</t>
  </si>
  <si>
    <t>FR0010372045</t>
  </si>
  <si>
    <t>EF6782090 Govt</t>
  </si>
  <si>
    <t>FR0010372052</t>
  </si>
  <si>
    <t>EJ5733310 Govt</t>
  </si>
  <si>
    <t>FR0011438373</t>
  </si>
  <si>
    <t>EJ6177145 Govt</t>
  </si>
  <si>
    <t>FR0011461367</t>
  </si>
  <si>
    <t>EJ6178242 Govt</t>
  </si>
  <si>
    <t>FR0011461417</t>
  </si>
  <si>
    <t>EJ6178697 Govt</t>
  </si>
  <si>
    <t>FR0011461458</t>
  </si>
  <si>
    <t>EJ6185445 Govt</t>
  </si>
  <si>
    <t>FR0011461524</t>
  </si>
  <si>
    <t>EJ6185841 Govt</t>
  </si>
  <si>
    <t>FR0011461565</t>
  </si>
  <si>
    <t>GG7190265 Govt</t>
  </si>
  <si>
    <t>FR0000571143</t>
  </si>
  <si>
    <t>GG7396532 Govt</t>
  </si>
  <si>
    <t>FR0000571168</t>
  </si>
  <si>
    <t>GG7396557 Govt</t>
  </si>
  <si>
    <t>FR0000571184</t>
  </si>
  <si>
    <t>JK8061976 Govt</t>
  </si>
  <si>
    <t>FR0013154085</t>
  </si>
  <si>
    <t>GERMAN_BUND_TYPE60</t>
  </si>
  <si>
    <t>JAPAN_JGB_TYPE51</t>
  </si>
  <si>
    <t>FRENCH_OAT_TYPE89</t>
  </si>
  <si>
    <t>ITALIAN_BTPS_TYPE523</t>
  </si>
  <si>
    <t>DirtyPrice</t>
  </si>
  <si>
    <t>Yield</t>
  </si>
  <si>
    <t>AUSTRALIAN_GOVT_TYPE23</t>
  </si>
  <si>
    <t>LW0207677 Corp</t>
  </si>
  <si>
    <t>EJ2445694 Corp</t>
  </si>
  <si>
    <t>QZ5429456 Corp</t>
  </si>
  <si>
    <t>JV3198662 Corp</t>
  </si>
  <si>
    <t>EI8492650 Corp</t>
  </si>
  <si>
    <t>EJ6791309 Corp</t>
  </si>
  <si>
    <t>AP3642968 Corp</t>
  </si>
  <si>
    <t>AM1528661 Corp</t>
  </si>
  <si>
    <t>EI2142814 Corp</t>
  </si>
  <si>
    <t>EG8211609 Corp</t>
  </si>
  <si>
    <t>EI6831487 Corp</t>
  </si>
  <si>
    <t>EK1150607 Corp</t>
  </si>
  <si>
    <t>AQ7629332 Corp</t>
  </si>
  <si>
    <t>EJ3938531 Corp</t>
  </si>
  <si>
    <t>EK5446753 Corp</t>
  </si>
  <si>
    <t>AM5647400 Corp</t>
  </si>
  <si>
    <t>EJ9437272 Corp</t>
  </si>
  <si>
    <t>EK8211675 Corp</t>
  </si>
  <si>
    <t>QJ1521823 Corp</t>
  </si>
  <si>
    <t>LW2811898 Corp</t>
  </si>
  <si>
    <t>EC9870790 Corp</t>
  </si>
  <si>
    <t>QZ2551245 Corp</t>
  </si>
  <si>
    <t>EF2711531 Corp</t>
  </si>
  <si>
    <t>AN7790412 Corp</t>
  </si>
  <si>
    <t>AL0875834 Corp</t>
  </si>
  <si>
    <t>AL0690951 Corp</t>
  </si>
  <si>
    <t>EJ8955977 Corp</t>
  </si>
  <si>
    <t>AM6907472 Corp</t>
  </si>
  <si>
    <t>JK8199578 Corp</t>
  </si>
  <si>
    <t>JV9205164 Corp</t>
  </si>
  <si>
    <t>EK8553563 Corp</t>
  </si>
  <si>
    <t>AL4159805 Corp</t>
  </si>
  <si>
    <t>EJ9131404 Corp</t>
  </si>
  <si>
    <t>EI7993450 Corp</t>
  </si>
  <si>
    <t>QZ8542552 Corp</t>
  </si>
  <si>
    <t>QJ1755850 Corp</t>
  </si>
  <si>
    <t>LW0753340 Corp</t>
  </si>
  <si>
    <t>EK1150847 Corp</t>
  </si>
  <si>
    <t>LW1235313 Corp</t>
  </si>
  <si>
    <t>EK1791483 Corp</t>
  </si>
  <si>
    <t>AM1708602 Corp</t>
  </si>
  <si>
    <t>EJ6776680 Corp</t>
  </si>
  <si>
    <t>EJ6935351 Corp</t>
  </si>
  <si>
    <t>AP4429340 Corp</t>
  </si>
  <si>
    <t>AQ7824545 Corp</t>
  </si>
  <si>
    <t>EJ6773588 Corp</t>
  </si>
  <si>
    <t>AM5647731 Corp</t>
  </si>
  <si>
    <t>EJ6195758 Corp</t>
  </si>
  <si>
    <t>EK5450789 Corp</t>
  </si>
  <si>
    <t>EJ9440870 Corp</t>
  </si>
  <si>
    <t>EJ6776938 Corp</t>
  </si>
  <si>
    <t>EJ6777381 Corp</t>
  </si>
  <si>
    <t>EJ6777233 Corp</t>
  </si>
  <si>
    <t>EK2751312 Corp</t>
  </si>
  <si>
    <t>EJ6777035 Corp</t>
  </si>
  <si>
    <t>JV7193115 Corp</t>
  </si>
  <si>
    <t>EK8238157 Corp</t>
  </si>
  <si>
    <t>AU3TB0000135</t>
  </si>
  <si>
    <t>AU000XCLWAW9</t>
  </si>
  <si>
    <t>AU3TB0000101</t>
  </si>
  <si>
    <t>AU000XCLWAX7</t>
  </si>
  <si>
    <t>AU3TB0000150</t>
  </si>
  <si>
    <t>AU3TB0000192</t>
  </si>
  <si>
    <t>AU000XCLWAP3</t>
  </si>
  <si>
    <t>AU3SG0001563</t>
  </si>
  <si>
    <t>AU000WT60370</t>
  </si>
  <si>
    <t>AU3SG0001704</t>
  </si>
  <si>
    <t>AU3SG0001241</t>
  </si>
  <si>
    <t>AU3CB0215796</t>
  </si>
  <si>
    <t>AU000GSBE478</t>
  </si>
  <si>
    <t>AU000GSBK392</t>
  </si>
  <si>
    <t>AU000GSBG267</t>
  </si>
  <si>
    <t>AU3SG0001555</t>
  </si>
  <si>
    <t>AU000GSBW215</t>
  </si>
  <si>
    <t>AU000GSBU227</t>
  </si>
  <si>
    <t>AU000GSBU284</t>
  </si>
  <si>
    <t>AU3CB0207330</t>
  </si>
  <si>
    <t>AU000GSBG374</t>
  </si>
  <si>
    <t>AU000GSBG242</t>
  </si>
  <si>
    <t>AU000GSBG291</t>
  </si>
  <si>
    <t>AU3CB0221208</t>
  </si>
  <si>
    <t>AU000GSBG234</t>
  </si>
  <si>
    <t>AU000GSBU276</t>
  </si>
  <si>
    <t>AU000GSBK350</t>
  </si>
  <si>
    <t>AU000XCLWAR9</t>
  </si>
  <si>
    <t>AU3TB0000143</t>
  </si>
  <si>
    <t>AU000XCLWAS7</t>
  </si>
  <si>
    <t>AU000XCLWAQ1</t>
  </si>
  <si>
    <t>AU3TB0000168</t>
  </si>
  <si>
    <t>AU000XCLWAT5</t>
  </si>
  <si>
    <t>AU3TB0000051</t>
  </si>
  <si>
    <t>AU0000XCLWM5</t>
  </si>
  <si>
    <t>AU000XCLWAI8</t>
  </si>
  <si>
    <t>AU000XCLWAU3</t>
  </si>
  <si>
    <t>AU000XCLWAG2</t>
  </si>
  <si>
    <t>AU000XCLWAM0</t>
  </si>
  <si>
    <t>AU3SG0001589</t>
  </si>
  <si>
    <t>AU300WT60390</t>
  </si>
  <si>
    <t>AU3SG0001639</t>
  </si>
  <si>
    <t>AU3SG0001621</t>
  </si>
  <si>
    <t>AU3SG0001688</t>
  </si>
  <si>
    <t>AU3SG0001522</t>
  </si>
  <si>
    <t>AU3SG0001498</t>
  </si>
  <si>
    <t>AU3SG0001456</t>
  </si>
  <si>
    <t>AU3CB0241107</t>
  </si>
  <si>
    <t>AU3SG0000326</t>
  </si>
  <si>
    <t>AU000GSBI289</t>
  </si>
  <si>
    <t>AU3SG0001357</t>
  </si>
  <si>
    <t>AU000GSBM224</t>
  </si>
  <si>
    <t>AU000GSBG259</t>
  </si>
  <si>
    <t>AU000GSBU292</t>
  </si>
  <si>
    <t>AU000GSBI214</t>
  </si>
  <si>
    <t>AU000GSBG333</t>
  </si>
  <si>
    <t>AU000GSBG275</t>
  </si>
  <si>
    <t>FIXED</t>
  </si>
  <si>
    <t>AUD</t>
  </si>
  <si>
    <t>YIELD-TO-MATURITY</t>
  </si>
  <si>
    <t>RECEIVE</t>
  </si>
  <si>
    <t>START_AND_END</t>
  </si>
  <si>
    <t>Semi-Annual</t>
  </si>
  <si>
    <t>NO_CHANGE</t>
  </si>
  <si>
    <t>SYB</t>
  </si>
  <si>
    <t>0D</t>
  </si>
  <si>
    <t>ACT/ACT</t>
  </si>
  <si>
    <t>TYPE23_AUSTRALIAN_GOVERNMENT_BONDS</t>
  </si>
  <si>
    <t>Name</t>
  </si>
  <si>
    <t>CLEAN</t>
  </si>
  <si>
    <t>DIRTY</t>
  </si>
  <si>
    <t>QUOTE_TO_3_DECIMAL_PLACES</t>
  </si>
  <si>
    <t>NOTIONALEXCHANGE</t>
  </si>
  <si>
    <t>BONDTYPE</t>
  </si>
  <si>
    <t>PAYRECEIVE</t>
  </si>
  <si>
    <t>ACCRUALSTARTDATE</t>
  </si>
  <si>
    <t>BONDDESCRIPTION</t>
  </si>
  <si>
    <t>YIELDTYPE</t>
  </si>
  <si>
    <t>CURRENCY</t>
  </si>
  <si>
    <t>ISCLEANPRICE</t>
  </si>
  <si>
    <t>BONDQUOTECONVENTION</t>
  </si>
  <si>
    <t>ACCRUALCALENDAR</t>
  </si>
  <si>
    <t>FACEVALUE</t>
  </si>
  <si>
    <t>FREQUENCY</t>
  </si>
  <si>
    <t>ACCRUALBUSINESSDAYADJUSTMENT</t>
  </si>
  <si>
    <t>PAYMENTBUSINESSDAYADJUSTMENT</t>
  </si>
  <si>
    <t>PAYMENTCALENDAR</t>
  </si>
  <si>
    <t>PAYMENTLAG</t>
  </si>
  <si>
    <t>CALCULATIONTYPE</t>
  </si>
  <si>
    <t>DAYCOUNT</t>
  </si>
  <si>
    <t>ROLLDAY</t>
  </si>
  <si>
    <t>ISSUEDATE</t>
  </si>
  <si>
    <t>COUPON</t>
  </si>
  <si>
    <t>LASTCOUPONDATE</t>
  </si>
  <si>
    <t>FIRSTCOUPONDATE</t>
  </si>
  <si>
    <t>MATURITYDATE</t>
  </si>
  <si>
    <t>Quote</t>
  </si>
  <si>
    <t>AccruedInterest</t>
  </si>
  <si>
    <t>SettlementDate</t>
  </si>
  <si>
    <t>AccruedInterestDays</t>
  </si>
  <si>
    <t>ModifiedDuration</t>
  </si>
  <si>
    <t>SettlementLag</t>
  </si>
  <si>
    <t>PRICE RESULTS</t>
  </si>
  <si>
    <t>BOND TEMPLATE</t>
  </si>
  <si>
    <t>CREATE BOND</t>
  </si>
  <si>
    <t>PRICE INPUTS</t>
  </si>
  <si>
    <t>CASHFLOWS</t>
  </si>
  <si>
    <t>UK_GILT_TYPE26</t>
  </si>
  <si>
    <t>QZ032122 Corp</t>
  </si>
  <si>
    <t>AO326331 Corp</t>
  </si>
  <si>
    <t>AM781675 Corp</t>
  </si>
  <si>
    <t>QZ554181 Corp</t>
  </si>
  <si>
    <t>JK030916 Corp</t>
  </si>
  <si>
    <t>AS462336 Corp</t>
  </si>
  <si>
    <t>AL083268 Corp</t>
  </si>
  <si>
    <t>AU379648 Corp</t>
  </si>
  <si>
    <t>EJ237349 Corp</t>
  </si>
  <si>
    <t>AM064544 Corp</t>
  </si>
  <si>
    <t>EK799307 Corp</t>
  </si>
  <si>
    <t>EJ707218 Corp</t>
  </si>
  <si>
    <t>QJ158195 Corp</t>
  </si>
  <si>
    <t>EK109396 Corp</t>
  </si>
  <si>
    <t>SECURITY_DES</t>
  </si>
  <si>
    <t>ID_ISIN</t>
  </si>
  <si>
    <t>CPN</t>
  </si>
  <si>
    <t>MATURITY</t>
  </si>
  <si>
    <t>ISSUE_DT</t>
  </si>
  <si>
    <t>INT_ACC_DT</t>
  </si>
  <si>
    <t>FIRST_CPN_DT</t>
  </si>
  <si>
    <t>PENULTIMATE_CPN_DT</t>
  </si>
  <si>
    <t>EJ407307 Corp</t>
  </si>
  <si>
    <t>EJ712548 Corp</t>
  </si>
  <si>
    <t>EK333934 Corp</t>
  </si>
  <si>
    <t>EI825311 Corp</t>
  </si>
  <si>
    <t>EH728200 Corp</t>
  </si>
  <si>
    <t>EH998789 Corp</t>
  </si>
  <si>
    <t>EF670373 Corp</t>
  </si>
  <si>
    <t>EC256595 Corp</t>
  </si>
  <si>
    <t>ED946246 Corp</t>
  </si>
  <si>
    <t>EC867711 Corp</t>
  </si>
  <si>
    <t>EF396423 Corp</t>
  </si>
  <si>
    <t>EI291005 Corp</t>
  </si>
  <si>
    <t>EH529579 Corp</t>
  </si>
  <si>
    <t>EH736811 Corp</t>
  </si>
  <si>
    <t>EH867755 Corp</t>
  </si>
  <si>
    <t>EG506481 Corp</t>
  </si>
  <si>
    <t>EG872949 Corp</t>
  </si>
  <si>
    <t>ED422520 Corp</t>
  </si>
  <si>
    <t>EC453273 Corp</t>
  </si>
  <si>
    <t>GG737572 Corp</t>
  </si>
  <si>
    <t>UKT 4 03/07/22</t>
  </si>
  <si>
    <t>GB00B3KJDQ49</t>
  </si>
  <si>
    <t>27/02/2009</t>
  </si>
  <si>
    <t>07/09/2009</t>
  </si>
  <si>
    <t>07/09/2021</t>
  </si>
  <si>
    <t>07/03/2022</t>
  </si>
  <si>
    <t>UKT 0 1/2 07/22/22</t>
  </si>
  <si>
    <t>GB00BD0PCK97</t>
  </si>
  <si>
    <t>03/08/2016</t>
  </si>
  <si>
    <t>22/01/2017</t>
  </si>
  <si>
    <t>22/01/2022</t>
  </si>
  <si>
    <t>22/07/2022</t>
  </si>
  <si>
    <t>UKT 1 3/4 09/07/22</t>
  </si>
  <si>
    <t>GB00B7L9SL19</t>
  </si>
  <si>
    <t>22/06/2012</t>
  </si>
  <si>
    <t>07/09/2012</t>
  </si>
  <si>
    <t>07/09/2022</t>
  </si>
  <si>
    <t>UKT 0 3/4 07/22/23</t>
  </si>
  <si>
    <t>GB00BF0HZ991</t>
  </si>
  <si>
    <t>20/07/2017</t>
  </si>
  <si>
    <t>22/01/2018</t>
  </si>
  <si>
    <t>22/01/2023</t>
  </si>
  <si>
    <t>22/07/2023</t>
  </si>
  <si>
    <t>UKT 2 1/4 09/07/23</t>
  </si>
  <si>
    <t>GB00B7Z53659</t>
  </si>
  <si>
    <t>12/06/2013</t>
  </si>
  <si>
    <t>07/09/2013</t>
  </si>
  <si>
    <t>07/03/2023</t>
  </si>
  <si>
    <t>07/09/2023</t>
  </si>
  <si>
    <t>UKT 2 3/4 09/07/24</t>
  </si>
  <si>
    <t>GB00BHBFH458</t>
  </si>
  <si>
    <t>12/03/2014</t>
  </si>
  <si>
    <t>07/09/2014</t>
  </si>
  <si>
    <t>07/03/2024</t>
  </si>
  <si>
    <t>07/09/2024</t>
  </si>
  <si>
    <t>UKT 5 03/07/25</t>
  </si>
  <si>
    <t>GB0030880693</t>
  </si>
  <si>
    <t>27/09/2001</t>
  </si>
  <si>
    <t>07/03/2002</t>
  </si>
  <si>
    <t>07/03/2025</t>
  </si>
  <si>
    <t>UKT 2 09/07/25</t>
  </si>
  <si>
    <t>GB00BTHH2R79</t>
  </si>
  <si>
    <t>20/03/2015</t>
  </si>
  <si>
    <t>07/09/2015</t>
  </si>
  <si>
    <t>07/09/2025</t>
  </si>
  <si>
    <t>UKT 1 1/2 07/22/26</t>
  </si>
  <si>
    <t>GB00BYZW3G56</t>
  </si>
  <si>
    <t>18/02/2016</t>
  </si>
  <si>
    <t>22/07/2016</t>
  </si>
  <si>
    <t>22/01/2026</t>
  </si>
  <si>
    <t>22/07/2026</t>
  </si>
  <si>
    <t>UKT 1 1/4 07/22/27</t>
  </si>
  <si>
    <t>GB00BDRHNP05</t>
  </si>
  <si>
    <t>15/03/2017</t>
  </si>
  <si>
    <t>22/07/2017</t>
  </si>
  <si>
    <t>22/01/2027</t>
  </si>
  <si>
    <t>22/07/2027</t>
  </si>
  <si>
    <t>UKT 4 1/4 12/07/27</t>
  </si>
  <si>
    <t>GB00B16NNR78</t>
  </si>
  <si>
    <t>06/09/2006</t>
  </si>
  <si>
    <t>07/12/2006</t>
  </si>
  <si>
    <t>07/06/2027</t>
  </si>
  <si>
    <t>07/12/2027</t>
  </si>
  <si>
    <t>UKT 6 12/07/28</t>
  </si>
  <si>
    <t>GB0002404191</t>
  </si>
  <si>
    <t>29/01/1998</t>
  </si>
  <si>
    <t>07/06/1998</t>
  </si>
  <si>
    <t>07/06/2028</t>
  </si>
  <si>
    <t>07/12/2028</t>
  </si>
  <si>
    <t>UKT 4 3/4 12/07/30</t>
  </si>
  <si>
    <t>GB00B24FF097</t>
  </si>
  <si>
    <t>03/10/2007</t>
  </si>
  <si>
    <t>07/12/2007</t>
  </si>
  <si>
    <t>07/06/2030</t>
  </si>
  <si>
    <t>07/12/2030</t>
  </si>
  <si>
    <t>UKT 4 1/4 06/07/32</t>
  </si>
  <si>
    <t>GB0004893086</t>
  </si>
  <si>
    <t>25/05/2000</t>
  </si>
  <si>
    <t>07/12/2000</t>
  </si>
  <si>
    <t>07/12/2031</t>
  </si>
  <si>
    <t>07/06/2032</t>
  </si>
  <si>
    <t>UKT 4 1/2 09/07/34</t>
  </si>
  <si>
    <t>GB00B52WS153</t>
  </si>
  <si>
    <t>17/06/2009</t>
  </si>
  <si>
    <t>07/03/2034</t>
  </si>
  <si>
    <t>07/09/2034</t>
  </si>
  <si>
    <t>UKT 4 1/4 03/07/36</t>
  </si>
  <si>
    <t>GB0032452392</t>
  </si>
  <si>
    <t>27/02/2003</t>
  </si>
  <si>
    <t>07/09/2003</t>
  </si>
  <si>
    <t>07/09/2035</t>
  </si>
  <si>
    <t>07/03/2036</t>
  </si>
  <si>
    <t>UKT 1 3/4 09/07/37</t>
  </si>
  <si>
    <t>GB00BZB26Y51</t>
  </si>
  <si>
    <t>09/11/2016</t>
  </si>
  <si>
    <t>07/03/2017</t>
  </si>
  <si>
    <t>07/03/2037</t>
  </si>
  <si>
    <t>07/09/2037</t>
  </si>
  <si>
    <t>UKT 4 3/4 12/07/38</t>
  </si>
  <si>
    <t>GB00B00NY175</t>
  </si>
  <si>
    <t>23/04/2004</t>
  </si>
  <si>
    <t>07/12/2004</t>
  </si>
  <si>
    <t>07/06/2038</t>
  </si>
  <si>
    <t>07/12/2038</t>
  </si>
  <si>
    <t>UKT 4 1/4 09/07/39</t>
  </si>
  <si>
    <t>GB00B3KJDS62</t>
  </si>
  <si>
    <t>05/03/2009</t>
  </si>
  <si>
    <t>07/03/2039</t>
  </si>
  <si>
    <t>07/09/2039</t>
  </si>
  <si>
    <t>UKT 4 1/4 12/07/40</t>
  </si>
  <si>
    <t>GB00B6460505</t>
  </si>
  <si>
    <t>30/06/2010</t>
  </si>
  <si>
    <t>07/12/2010</t>
  </si>
  <si>
    <t>07/06/2040</t>
  </si>
  <si>
    <t>07/12/2040</t>
  </si>
  <si>
    <t>UKT 4 1/2 12/07/42</t>
  </si>
  <si>
    <t>GB00B1VWPJ53</t>
  </si>
  <si>
    <t>06/06/2007</t>
  </si>
  <si>
    <t>07/06/2042</t>
  </si>
  <si>
    <t>07/12/2042</t>
  </si>
  <si>
    <t>UKT 3 1/4 01/22/44</t>
  </si>
  <si>
    <t>GB00B84Z9V04</t>
  </si>
  <si>
    <t>24/10/2012</t>
  </si>
  <si>
    <t>22/01/2013</t>
  </si>
  <si>
    <t>22/07/2043</t>
  </si>
  <si>
    <t>22/01/2044</t>
  </si>
  <si>
    <t>UKT 3 1/2 01/22/45</t>
  </si>
  <si>
    <t>GB00BN65R313</t>
  </si>
  <si>
    <t>25/06/2014</t>
  </si>
  <si>
    <t>22/01/2015</t>
  </si>
  <si>
    <t>22/07/2044</t>
  </si>
  <si>
    <t>22/01/2045</t>
  </si>
  <si>
    <t>UKT 4 1/4 12/07/46</t>
  </si>
  <si>
    <t>GB00B128DP45</t>
  </si>
  <si>
    <t>12/05/2006</t>
  </si>
  <si>
    <t>07/06/2046</t>
  </si>
  <si>
    <t>07/12/2046</t>
  </si>
  <si>
    <t>UKT 1 1/2 07/22/47</t>
  </si>
  <si>
    <t>GB00BDCHBW80</t>
  </si>
  <si>
    <t>21/09/2016</t>
  </si>
  <si>
    <t>22/01/2047</t>
  </si>
  <si>
    <t>22/07/2047</t>
  </si>
  <si>
    <t>UKT 1 3/4 01/22/49</t>
  </si>
  <si>
    <t>GB00BFWFPP71</t>
  </si>
  <si>
    <t>12/09/2018</t>
  </si>
  <si>
    <t>22/01/2019</t>
  </si>
  <si>
    <t>22/07/2048</t>
  </si>
  <si>
    <t>22/01/2049</t>
  </si>
  <si>
    <t>UKT 4 1/4 12/07/49</t>
  </si>
  <si>
    <t>GB00B39R3707</t>
  </si>
  <si>
    <t>03/09/2008</t>
  </si>
  <si>
    <t>07/12/2008</t>
  </si>
  <si>
    <t>07/06/2049</t>
  </si>
  <si>
    <t>07/12/2049</t>
  </si>
  <si>
    <t>UKT 3 3/4 07/22/52</t>
  </si>
  <si>
    <t>GB00B6RNH572</t>
  </si>
  <si>
    <t>28/09/2011</t>
  </si>
  <si>
    <t>22/01/2012</t>
  </si>
  <si>
    <t>22/01/2052</t>
  </si>
  <si>
    <t>22/07/2052</t>
  </si>
  <si>
    <t>UKT 4 1/4 12/07/55</t>
  </si>
  <si>
    <t>GB00B06YGN05</t>
  </si>
  <si>
    <t>27/05/2005</t>
  </si>
  <si>
    <t>07/12/2005</t>
  </si>
  <si>
    <t>07/06/2055</t>
  </si>
  <si>
    <t>07/12/2055</t>
  </si>
  <si>
    <t>UKT 1 3/4 07/22/57</t>
  </si>
  <si>
    <t>GB00BD0XH204</t>
  </si>
  <si>
    <t>25/01/2017</t>
  </si>
  <si>
    <t>22/01/2057</t>
  </si>
  <si>
    <t>22/07/2057</t>
  </si>
  <si>
    <t>UKT 4 01/22/60</t>
  </si>
  <si>
    <t>GB00B54QLM75</t>
  </si>
  <si>
    <t>22/10/2009</t>
  </si>
  <si>
    <t>22/01/2010</t>
  </si>
  <si>
    <t>22/07/2059</t>
  </si>
  <si>
    <t>22/01/2060</t>
  </si>
  <si>
    <t>UKT 2 1/2 07/22/65</t>
  </si>
  <si>
    <t>GB00BYYMZX75</t>
  </si>
  <si>
    <t>21/10/2015</t>
  </si>
  <si>
    <t>22/01/2016</t>
  </si>
  <si>
    <t>22/01/2065</t>
  </si>
  <si>
    <t>22/07/2065</t>
  </si>
  <si>
    <t>UKT 3 1/2 07/22/68</t>
  </si>
  <si>
    <t>GB00BBJNQY21</t>
  </si>
  <si>
    <t>26/06/2013</t>
  </si>
  <si>
    <t>22/01/2014</t>
  </si>
  <si>
    <t>22/01/2068</t>
  </si>
  <si>
    <t>22/07/2068</t>
  </si>
  <si>
    <t>UKT 1 5/8 10/22/71</t>
  </si>
  <si>
    <t>GB00BFMCN652</t>
  </si>
  <si>
    <t>16/05/2018</t>
  </si>
  <si>
    <t>22/10/2018</t>
  </si>
  <si>
    <t>22/04/2071</t>
  </si>
  <si>
    <t>22/10/2071</t>
  </si>
  <si>
    <t>Bloomberg Yield</t>
  </si>
  <si>
    <t>Bloomberg Price</t>
  </si>
  <si>
    <t>Yield Diff</t>
  </si>
  <si>
    <t>Px Diff</t>
  </si>
  <si>
    <t>Bloomberg Field --&gt;</t>
  </si>
  <si>
    <t>Prices &amp; Risk …</t>
  </si>
  <si>
    <t>Quote Format</t>
  </si>
  <si>
    <t>Bond Generator + Clean / Dirty</t>
  </si>
  <si>
    <t>Bloomberg ModD</t>
  </si>
  <si>
    <t>Bloomberg DV01</t>
  </si>
  <si>
    <t>Bloomberg …</t>
  </si>
  <si>
    <t>ModD Diff</t>
  </si>
  <si>
    <t>DV01 Diff</t>
  </si>
  <si>
    <t>AUSTRALIA_GOVT__2.25_21-MAY-2028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</si>
</sst>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64" formatCode="#,##0.00000000"/>
    <numFmt numFmtId="165" formatCode="0.000000"/>
    <numFmt numFmtId="166" formatCode="0.000%"/>
    <numFmt numFmtId="167" formatCode="ddd\,\ d\-mmm\-yy"/>
    <numFmt numFmtId="168" formatCode="dd/m/yy"/>
    <numFmt numFmtId="169" formatCode="_(&quot;$&quot;* #,##0_);_(&quot;$&quot;* \(#,##0\);_(&quot;$&quot;* &quot;-&quot;_);_(@_)"/>
    <numFmt numFmtId="170" formatCode="_(&quot;$&quot;* #,##0.00_);_(&quot;$&quot;* \(#,##0.00\);_(&quot;$&quot;* &quot;-&quot;??_);_(@_)"/>
    <numFmt numFmtId="171" formatCode="dd\-mmm\-yy;dd\-mmm\-yy;"/>
    <numFmt numFmtId="172" formatCode="_ * #,##0_ ;_ * \-#,##0_ ;_ * &quot;-&quot;_ ;_ @_ "/>
    <numFmt numFmtId="173" formatCode="#,##0.000"/>
    <numFmt numFmtId="174" formatCode="#,##0.0000"/>
    <numFmt numFmtId="175" formatCode="#,##0.000000"/>
    <numFmt numFmtId="176" formatCode="0.000000000%"/>
    <numFmt numFmtId="177" formatCode="0.0000000000"/>
    <numFmt numFmtId="178" formatCode="0.000000000000"/>
    <numFmt numFmtId="183" formatCode="0.0000%"/>
    <numFmt numFmtId="185" formatCode="0.00000%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Courier"/>
      <family val="3"/>
    </font>
    <font>
      <sz val="8"/>
      <name val="Arial"/>
      <family val="2"/>
    </font>
    <font>
      <b/>
      <sz val="11"/>
      <color indexed="9"/>
      <name val="Calibri"/>
      <family val="2"/>
    </font>
    <font>
      <b/>
      <sz val="9"/>
      <color indexed="12"/>
      <name val="Tahoma"/>
      <family val="2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MS Sans Serif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indexed="1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rgb="FFFFFF99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60">
    <xf numFmtId="0" fontId="0" fillId="0" borderId="0"/>
    <xf numFmtId="9" fontId="1" fillId="0" borderId="0" applyFont="0" applyFill="0" applyBorder="0" applyAlignment="0" applyProtection="0"/>
    <xf numFmtId="0" fontId="11" fillId="0" borderId="0">
      <alignment vertical="center"/>
    </xf>
    <xf numFmtId="0" fontId="12" fillId="7" borderId="0" applyNumberFormat="0" applyFont="0" applyBorder="0" applyAlignment="0" applyProtection="0"/>
    <xf numFmtId="0" fontId="13" fillId="8" borderId="0"/>
    <xf numFmtId="166" fontId="14" fillId="9" borderId="0"/>
    <xf numFmtId="38" fontId="15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10" borderId="2" applyNumberFormat="0" applyFont="0" applyBorder="0" applyAlignment="0" applyProtection="0">
      <alignment horizontal="centerContinuous"/>
    </xf>
    <xf numFmtId="0" fontId="19" fillId="11" borderId="0" applyNumberFormat="0" applyBorder="0" applyAlignment="0">
      <alignment horizontal="center"/>
    </xf>
    <xf numFmtId="0" fontId="20" fillId="12" borderId="3">
      <alignment horizontal="center"/>
      <protection locked="0"/>
    </xf>
    <xf numFmtId="0" fontId="21" fillId="13" borderId="4" applyNumberFormat="0" applyFont="0" applyBorder="0" applyAlignment="0">
      <alignment horizontal="centerContinuous"/>
    </xf>
    <xf numFmtId="0" fontId="22" fillId="14" borderId="0" applyNumberFormat="0" applyFont="0" applyBorder="0" applyAlignment="0" applyProtection="0"/>
    <xf numFmtId="2" fontId="17" fillId="15" borderId="5" applyNumberFormat="0" applyBorder="0">
      <alignment horizontal="right" vertical="center"/>
    </xf>
    <xf numFmtId="2" fontId="23" fillId="16" borderId="6" applyBorder="0">
      <alignment horizontal="left" vertical="center"/>
    </xf>
    <xf numFmtId="10" fontId="24" fillId="17" borderId="0" applyBorder="0">
      <alignment horizontal="right"/>
      <protection locked="0"/>
    </xf>
    <xf numFmtId="15" fontId="24" fillId="17" borderId="7" applyBorder="0">
      <alignment horizontal="center"/>
      <protection locked="0"/>
    </xf>
    <xf numFmtId="15" fontId="24" fillId="17" borderId="0" applyBorder="0">
      <alignment horizontal="left"/>
      <protection locked="0"/>
    </xf>
    <xf numFmtId="2" fontId="25" fillId="18" borderId="6" applyNumberFormat="0">
      <alignment horizontal="center" vertical="center"/>
    </xf>
    <xf numFmtId="168" fontId="26" fillId="19" borderId="4" applyBorder="0">
      <alignment horizontal="left"/>
      <protection locked="0"/>
    </xf>
    <xf numFmtId="168" fontId="26" fillId="19" borderId="8" applyBorder="0">
      <alignment horizontal="right"/>
      <protection locked="0"/>
    </xf>
    <xf numFmtId="4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170" fontId="17" fillId="0" borderId="0" applyFont="0" applyFill="0" applyBorder="0" applyAlignment="0" applyProtection="0"/>
    <xf numFmtId="0" fontId="17" fillId="0" borderId="0"/>
    <xf numFmtId="0" fontId="17" fillId="0" borderId="0"/>
    <xf numFmtId="0" fontId="15" fillId="0" borderId="0">
      <alignment vertical="center"/>
    </xf>
    <xf numFmtId="0" fontId="16" fillId="0" borderId="0">
      <alignment vertical="center"/>
    </xf>
    <xf numFmtId="0" fontId="17" fillId="0" borderId="0"/>
    <xf numFmtId="0" fontId="27" fillId="20" borderId="0" applyNumberFormat="0" applyFont="0" applyBorder="0" applyAlignment="0" applyProtection="0"/>
    <xf numFmtId="0" fontId="27" fillId="21" borderId="0" applyNumberFormat="0" applyFont="0" applyBorder="0" applyAlignment="0" applyProtection="0"/>
    <xf numFmtId="0" fontId="27" fillId="22" borderId="0" applyNumberFormat="0" applyFont="0" applyBorder="0" applyAlignment="0" applyProtection="0">
      <alignment horizontal="center"/>
    </xf>
    <xf numFmtId="0" fontId="27" fillId="23" borderId="9" applyNumberFormat="0" applyFont="0" applyBorder="0" applyAlignment="0" applyProtection="0"/>
    <xf numFmtId="0" fontId="27" fillId="24" borderId="9" applyNumberFormat="0" applyFont="0" applyBorder="0" applyAlignment="0"/>
    <xf numFmtId="0" fontId="27" fillId="25" borderId="9" applyNumberFormat="0" applyFont="0" applyBorder="0" applyAlignment="0"/>
    <xf numFmtId="0" fontId="12" fillId="26" borderId="0" applyNumberFormat="0" applyFont="0" applyBorder="0" applyAlignment="0" applyProtection="0">
      <alignment horizontal="center"/>
      <protection hidden="1"/>
    </xf>
    <xf numFmtId="0" fontId="17" fillId="7" borderId="0" applyNumberFormat="0" applyFont="0" applyBorder="0" applyAlignment="0" applyProtection="0">
      <protection hidden="1"/>
    </xf>
    <xf numFmtId="0" fontId="17" fillId="27" borderId="0" applyNumberFormat="0" applyFont="0" applyBorder="0" applyAlignment="0" applyProtection="0">
      <protection hidden="1"/>
    </xf>
    <xf numFmtId="0" fontId="17" fillId="28" borderId="0" applyNumberFormat="0" applyFont="0" applyBorder="0" applyAlignment="0" applyProtection="0">
      <protection hidden="1"/>
    </xf>
    <xf numFmtId="0" fontId="17" fillId="29" borderId="0" applyNumberFormat="0" applyFont="0" applyBorder="0" applyAlignment="0" applyProtection="0">
      <protection hidden="1"/>
    </xf>
    <xf numFmtId="0" fontId="17" fillId="30" borderId="0" applyNumberFormat="0" applyFont="0" applyBorder="0" applyAlignment="0" applyProtection="0">
      <protection hidden="1"/>
    </xf>
    <xf numFmtId="0" fontId="17" fillId="31" borderId="0" applyNumberFormat="0" applyFont="0" applyBorder="0" applyAlignment="0" applyProtection="0">
      <protection hidden="1"/>
    </xf>
    <xf numFmtId="9" fontId="17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171" fontId="28" fillId="0" borderId="10" applyBorder="0">
      <alignment horizontal="center"/>
      <protection locked="0"/>
    </xf>
    <xf numFmtId="0" fontId="17" fillId="0" borderId="0">
      <alignment horizontal="left" wrapText="1"/>
    </xf>
    <xf numFmtId="9" fontId="1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172" fontId="17" fillId="0" borderId="0" applyFont="0" applyFill="0" applyBorder="0" applyAlignment="0" applyProtection="0"/>
    <xf numFmtId="0" fontId="15" fillId="0" borderId="0">
      <alignment vertical="center"/>
    </xf>
    <xf numFmtId="0" fontId="29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5" fontId="4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5" fillId="0" borderId="0" xfId="0" applyNumberFormat="1" applyFont="1" applyAlignment="1">
      <alignment horizontal="center" vertical="center"/>
    </xf>
    <xf numFmtId="164" fontId="6" fillId="0" borderId="0" xfId="1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2" fillId="0" borderId="0" xfId="0" applyFont="1"/>
    <xf numFmtId="0" fontId="0" fillId="4" borderId="0" xfId="0" applyFill="1" applyAlignment="1">
      <alignment horizontal="center" vertical="center"/>
    </xf>
    <xf numFmtId="15" fontId="0" fillId="4" borderId="0" xfId="0" applyNumberFormat="1" applyFill="1" applyAlignment="1">
      <alignment horizontal="center" vertical="center"/>
    </xf>
    <xf numFmtId="166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5" fontId="1" fillId="4" borderId="0" xfId="1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4" fontId="9" fillId="6" borderId="0" xfId="0" applyNumberFormat="1" applyFont="1" applyFill="1" applyAlignment="1">
      <alignment horizontal="center" vertical="center"/>
    </xf>
    <xf numFmtId="4" fontId="4" fillId="6" borderId="0" xfId="0" applyNumberFormat="1" applyFont="1" applyFill="1" applyAlignment="1">
      <alignment horizontal="center" vertical="center"/>
    </xf>
    <xf numFmtId="14" fontId="0" fillId="0" borderId="0" xfId="0" applyNumberFormat="1"/>
    <xf numFmtId="15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0" quotePrefix="1" applyNumberFormat="1" applyFont="1" applyAlignment="1">
      <alignment horizontal="center" vertical="center"/>
    </xf>
    <xf numFmtId="15" fontId="4" fillId="6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0" borderId="0" xfId="0" applyNumberFormat="1"/>
    <xf numFmtId="0" fontId="2" fillId="0" borderId="0" xfId="0" applyFont="1" applyAlignment="1">
      <alignment horizontal="center"/>
    </xf>
    <xf numFmtId="10" fontId="0" fillId="4" borderId="0" xfId="0" applyNumberFormat="1" applyFill="1" applyAlignment="1">
      <alignment horizontal="center" vertical="center"/>
    </xf>
    <xf numFmtId="176" fontId="0" fillId="0" borderId="0" xfId="1" applyNumberFormat="1" applyFont="1" applyFill="1"/>
    <xf numFmtId="165" fontId="0" fillId="3" borderId="0" xfId="0" applyNumberFormat="1" applyFill="1"/>
    <xf numFmtId="177" fontId="0" fillId="0" borderId="0" xfId="0" applyNumberFormat="1"/>
    <xf numFmtId="178" fontId="0" fillId="0" borderId="0" xfId="0" applyNumberFormat="1"/>
    <xf numFmtId="15" fontId="0" fillId="0" borderId="0" xfId="0" applyNumberFormat="1"/>
    <xf numFmtId="167" fontId="30" fillId="0" borderId="0" xfId="0" applyNumberFormat="1" applyFont="1" applyAlignment="1">
      <alignment horizontal="center" vertical="center"/>
    </xf>
    <xf numFmtId="167" fontId="4" fillId="6" borderId="1" xfId="0" applyNumberFormat="1" applyFont="1" applyFill="1" applyBorder="1" applyAlignment="1">
      <alignment horizontal="center" vertical="center"/>
    </xf>
    <xf numFmtId="183" fontId="4" fillId="6" borderId="0" xfId="0" applyNumberFormat="1" applyFont="1" applyFill="1" applyAlignment="1">
      <alignment horizontal="center" vertical="center"/>
    </xf>
    <xf numFmtId="4" fontId="0" fillId="0" borderId="0" xfId="0" applyNumberFormat="1"/>
    <xf numFmtId="0" fontId="9" fillId="0" borderId="0" xfId="0" applyFont="1"/>
    <xf numFmtId="0" fontId="9" fillId="0" borderId="0" xfId="0" applyFont="1" applyAlignment="1">
      <alignment horizontal="center" vertical="center"/>
    </xf>
    <xf numFmtId="14" fontId="9" fillId="0" borderId="0" xfId="0" applyNumberFormat="1" applyFont="1"/>
    <xf numFmtId="0" fontId="30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/>
    <xf numFmtId="0" fontId="4" fillId="6" borderId="0" xfId="0" applyFont="1" applyFill="1" applyAlignment="1">
      <alignment horizontal="center" vertical="center"/>
    </xf>
    <xf numFmtId="14" fontId="4" fillId="0" borderId="0" xfId="0" applyNumberFormat="1" applyFont="1"/>
    <xf numFmtId="174" fontId="4" fillId="6" borderId="0" xfId="0" applyNumberFormat="1" applyFont="1" applyFill="1" applyAlignment="1">
      <alignment horizontal="center" vertical="center"/>
    </xf>
    <xf numFmtId="173" fontId="9" fillId="6" borderId="0" xfId="0" applyNumberFormat="1" applyFont="1" applyFill="1" applyAlignment="1">
      <alignment horizontal="center" vertical="center"/>
    </xf>
    <xf numFmtId="174" fontId="9" fillId="6" borderId="0" xfId="0" applyNumberFormat="1" applyFont="1" applyFill="1" applyAlignment="1">
      <alignment horizontal="center" vertical="center"/>
    </xf>
    <xf numFmtId="4" fontId="30" fillId="0" borderId="0" xfId="0" applyNumberFormat="1" applyFont="1" applyAlignment="1">
      <alignment horizontal="center" vertical="center"/>
    </xf>
    <xf numFmtId="173" fontId="0" fillId="0" borderId="0" xfId="0" applyNumberFormat="1"/>
    <xf numFmtId="173" fontId="5" fillId="0" borderId="0" xfId="0" applyNumberFormat="1" applyFont="1" applyAlignment="1">
      <alignment horizontal="center" vertical="center"/>
    </xf>
    <xf numFmtId="174" fontId="0" fillId="0" borderId="0" xfId="0" applyNumberFormat="1"/>
    <xf numFmtId="185" fontId="0" fillId="0" borderId="0" xfId="0" applyNumberFormat="1"/>
    <xf numFmtId="185" fontId="5" fillId="0" borderId="0" xfId="0" applyNumberFormat="1" applyFont="1" applyAlignment="1">
      <alignment horizontal="center" vertical="center"/>
    </xf>
    <xf numFmtId="4" fontId="4" fillId="0" borderId="0" xfId="0" applyNumberFormat="1" applyFont="1"/>
    <xf numFmtId="0" fontId="0" fillId="0" borderId="12" xfId="0" applyBorder="1" applyAlignment="1">
      <alignment horizontal="center" vertical="center"/>
    </xf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66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167" fontId="0" fillId="4" borderId="12" xfId="0" applyNumberForma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67" fontId="0" fillId="4" borderId="13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166" fontId="0" fillId="4" borderId="13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left" vertical="center"/>
    </xf>
    <xf numFmtId="10" fontId="4" fillId="6" borderId="0" xfId="0" applyNumberFormat="1" applyFont="1" applyFill="1" applyAlignment="1">
      <alignment horizontal="center" vertical="center"/>
    </xf>
    <xf numFmtId="183" fontId="9" fillId="6" borderId="0" xfId="0" applyNumberFormat="1" applyFont="1" applyFill="1" applyAlignment="1">
      <alignment horizontal="center" vertical="center"/>
    </xf>
    <xf numFmtId="175" fontId="4" fillId="6" borderId="0" xfId="0" applyNumberFormat="1" applyFon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15" fontId="0" fillId="32" borderId="0" xfId="0" applyNumberFormat="1" applyFill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/>
    <xf numFmtId="164" fontId="32" fillId="0" borderId="0" xfId="1" applyNumberFormat="1" applyFont="1" applyFill="1" applyAlignment="1">
      <alignment horizontal="center" vertical="center"/>
    </xf>
    <xf numFmtId="165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/>
    </xf>
    <xf numFmtId="174" fontId="0" fillId="32" borderId="0" xfId="0" applyNumberFormat="1" applyFill="1" applyAlignment="1">
      <alignment horizontal="center" vertical="center"/>
    </xf>
    <xf numFmtId="167" fontId="30" fillId="32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4" fontId="9" fillId="0" borderId="0" xfId="0" applyNumberFormat="1" applyFont="1"/>
    <xf numFmtId="3" fontId="4" fillId="6" borderId="0" xfId="0" applyNumberFormat="1" applyFont="1" applyFill="1" applyAlignment="1">
      <alignment horizontal="center" vertical="center"/>
    </xf>
    <xf numFmtId="3" fontId="30" fillId="0" borderId="0" xfId="0" applyNumberFormat="1" applyFont="1" applyAlignment="1">
      <alignment horizontal="center" vertical="center"/>
    </xf>
    <xf numFmtId="3" fontId="9" fillId="6" borderId="0" xfId="0" applyNumberFormat="1" applyFont="1" applyFill="1" applyAlignment="1">
      <alignment horizontal="center" vertical="center"/>
    </xf>
    <xf numFmtId="3" fontId="9" fillId="0" borderId="0" xfId="0" applyNumberFormat="1" applyFont="1"/>
    <xf numFmtId="3" fontId="0" fillId="0" borderId="0" xfId="0" applyNumberFormat="1"/>
    <xf numFmtId="4" fontId="4" fillId="0" borderId="13" xfId="0" applyNumberFormat="1" applyFont="1" applyBorder="1" applyAlignment="1">
      <alignment horizontal="center" vertical="center"/>
    </xf>
    <xf numFmtId="10" fontId="4" fillId="6" borderId="19" xfId="0" applyNumberFormat="1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4" fontId="4" fillId="6" borderId="19" xfId="0" applyNumberFormat="1" applyFont="1" applyFill="1" applyBorder="1" applyAlignment="1">
      <alignment horizontal="center" vertical="center"/>
    </xf>
    <xf numFmtId="3" fontId="4" fillId="6" borderId="19" xfId="0" applyNumberFormat="1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167" fontId="4" fillId="6" borderId="17" xfId="0" applyNumberFormat="1" applyFont="1" applyFill="1" applyBorder="1" applyAlignment="1">
      <alignment horizontal="center" vertical="center"/>
    </xf>
    <xf numFmtId="167" fontId="4" fillId="6" borderId="0" xfId="0" applyNumberFormat="1" applyFont="1" applyFill="1" applyAlignment="1">
      <alignment horizontal="center" vertical="center"/>
    </xf>
    <xf numFmtId="167" fontId="4" fillId="6" borderId="18" xfId="0" applyNumberFormat="1" applyFont="1" applyFill="1" applyBorder="1" applyAlignment="1">
      <alignment horizontal="center" vertical="center"/>
    </xf>
    <xf numFmtId="167" fontId="4" fillId="6" borderId="19" xfId="0" applyNumberFormat="1" applyFont="1" applyFill="1" applyBorder="1" applyAlignment="1">
      <alignment horizontal="center" vertical="center"/>
    </xf>
    <xf numFmtId="175" fontId="4" fillId="6" borderId="1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6" fontId="6" fillId="32" borderId="14" xfId="0" applyNumberFormat="1" applyFont="1" applyFill="1" applyBorder="1" applyAlignment="1">
      <alignment horizontal="center" vertical="center"/>
    </xf>
  </cellXfs>
  <cellStyles count="60">
    <cellStyle name="=C:\WINNT35\SYSTEM32\COMMAND.COM" xfId="2" xr:uid="{00000000-0005-0000-0000-000000000000}"/>
    <cellStyle name="Background" xfId="3" xr:uid="{00000000-0005-0000-0000-000001000000}"/>
    <cellStyle name="blp_column_header" xfId="4" xr:uid="{00000000-0005-0000-0000-000002000000}"/>
    <cellStyle name="calc" xfId="5" xr:uid="{00000000-0005-0000-0000-000003000000}"/>
    <cellStyle name="Comma [0] 2" xfId="6" xr:uid="{00000000-0005-0000-0000-000004000000}"/>
    <cellStyle name="Comma [0] 3" xfId="7" xr:uid="{00000000-0005-0000-0000-000005000000}"/>
    <cellStyle name="Comma 2" xfId="8" xr:uid="{00000000-0005-0000-0000-000006000000}"/>
    <cellStyle name="Comma 3" xfId="9" xr:uid="{00000000-0005-0000-0000-000007000000}"/>
    <cellStyle name="Data" xfId="10" xr:uid="{00000000-0005-0000-0000-000008000000}"/>
    <cellStyle name="Data2" xfId="11" xr:uid="{00000000-0005-0000-0000-000009000000}"/>
    <cellStyle name="Data5" xfId="12" xr:uid="{00000000-0005-0000-0000-00000A000000}"/>
    <cellStyle name="Header" xfId="13" xr:uid="{00000000-0005-0000-0000-00000B000000}"/>
    <cellStyle name="Hidden" xfId="14" xr:uid="{00000000-0005-0000-0000-00000C000000}"/>
    <cellStyle name="InputDataRow" xfId="15" xr:uid="{00000000-0005-0000-0000-00000D000000}"/>
    <cellStyle name="InputLabelRow" xfId="16" xr:uid="{00000000-0005-0000-0000-00000E000000}"/>
    <cellStyle name="InputPc2Right" xfId="17" xr:uid="{00000000-0005-0000-0000-00000F000000}"/>
    <cellStyle name="InputShortText" xfId="18" xr:uid="{00000000-0005-0000-0000-000010000000}"/>
    <cellStyle name="InputTextLeft" xfId="19" xr:uid="{00000000-0005-0000-0000-000011000000}"/>
    <cellStyle name="IntermediateLabelColumn" xfId="20" xr:uid="{00000000-0005-0000-0000-000012000000}"/>
    <cellStyle name="LabelLeft" xfId="21" xr:uid="{00000000-0005-0000-0000-000013000000}"/>
    <cellStyle name="LabelRight" xfId="22" xr:uid="{00000000-0005-0000-0000-000014000000}"/>
    <cellStyle name="Milliers [0]_Open&amp;Close" xfId="23" xr:uid="{00000000-0005-0000-0000-000015000000}"/>
    <cellStyle name="Milliers_Open&amp;Close" xfId="24" xr:uid="{00000000-0005-0000-0000-000016000000}"/>
    <cellStyle name="Mon?taire [0]_Open&amp;Close" xfId="25" xr:uid="{00000000-0005-0000-0000-000017000000}"/>
    <cellStyle name="Mon?taire_Open&amp;Close" xfId="26" xr:uid="{00000000-0005-0000-0000-000018000000}"/>
    <cellStyle name="Monétaire [0]_Open&amp;Close" xfId="27" xr:uid="{00000000-0005-0000-0000-000019000000}"/>
    <cellStyle name="Monétaire_Open&amp;Close" xfId="28" xr:uid="{00000000-0005-0000-0000-00001A000000}"/>
    <cellStyle name="Normal" xfId="0" builtinId="0"/>
    <cellStyle name="Normal 2" xfId="29" xr:uid="{00000000-0005-0000-0000-00001C000000}"/>
    <cellStyle name="Normal 2 2" xfId="30" xr:uid="{00000000-0005-0000-0000-00001D000000}"/>
    <cellStyle name="Normal 3" xfId="31" xr:uid="{00000000-0005-0000-0000-00001E000000}"/>
    <cellStyle name="Normal 4" xfId="32" xr:uid="{00000000-0005-0000-0000-00001F000000}"/>
    <cellStyle name="Normal 5" xfId="33" xr:uid="{00000000-0005-0000-0000-000020000000}"/>
    <cellStyle name="Page 1" xfId="34" xr:uid="{00000000-0005-0000-0000-000021000000}"/>
    <cellStyle name="Page 2" xfId="35" xr:uid="{00000000-0005-0000-0000-000022000000}"/>
    <cellStyle name="Page 3" xfId="36" xr:uid="{00000000-0005-0000-0000-000023000000}"/>
    <cellStyle name="Page 4" xfId="37" xr:uid="{00000000-0005-0000-0000-000024000000}"/>
    <cellStyle name="Page 5" xfId="38" xr:uid="{00000000-0005-0000-0000-000025000000}"/>
    <cellStyle name="Page 6" xfId="39" xr:uid="{00000000-0005-0000-0000-000026000000}"/>
    <cellStyle name="Page 7" xfId="40" xr:uid="{00000000-0005-0000-0000-000027000000}"/>
    <cellStyle name="Page1" xfId="41" xr:uid="{00000000-0005-0000-0000-000028000000}"/>
    <cellStyle name="Page2" xfId="42" xr:uid="{00000000-0005-0000-0000-000029000000}"/>
    <cellStyle name="Page3" xfId="43" xr:uid="{00000000-0005-0000-0000-00002A000000}"/>
    <cellStyle name="Page4" xfId="44" xr:uid="{00000000-0005-0000-0000-00002B000000}"/>
    <cellStyle name="Page5" xfId="45" xr:uid="{00000000-0005-0000-0000-00002C000000}"/>
    <cellStyle name="Page6" xfId="46" xr:uid="{00000000-0005-0000-0000-00002D000000}"/>
    <cellStyle name="Percent" xfId="1" builtinId="5"/>
    <cellStyle name="Percent 2" xfId="47" xr:uid="{00000000-0005-0000-0000-00002F000000}"/>
    <cellStyle name="Percent 3" xfId="48" xr:uid="{00000000-0005-0000-0000-000030000000}"/>
    <cellStyle name="Percent 4" xfId="49" xr:uid="{00000000-0005-0000-0000-000031000000}"/>
    <cellStyle name="Percent 5" xfId="50" xr:uid="{00000000-0005-0000-0000-000032000000}"/>
    <cellStyle name="ResultDateCenter" xfId="51" xr:uid="{00000000-0005-0000-0000-000033000000}"/>
    <cellStyle name="Style 1" xfId="52" xr:uid="{00000000-0005-0000-0000-000034000000}"/>
    <cellStyle name="パーセント 2" xfId="53" xr:uid="{00000000-0005-0000-0000-000035000000}"/>
    <cellStyle name="桁区切り 2" xfId="54" xr:uid="{00000000-0005-0000-0000-000036000000}"/>
    <cellStyle name="桁区切り_DegitalOption_test" xfId="55" xr:uid="{00000000-0005-0000-0000-000037000000}"/>
    <cellStyle name="標準 2" xfId="56" xr:uid="{00000000-0005-0000-0000-000038000000}"/>
    <cellStyle name="標準 3" xfId="57" xr:uid="{00000000-0005-0000-0000-000039000000}"/>
    <cellStyle name="標準 4" xfId="58" xr:uid="{00000000-0005-0000-0000-00003A000000}"/>
    <cellStyle name="標準_examplePortfolio" xfId="59" xr:uid="{00000000-0005-0000-0000-00003B000000}"/>
  </cellStyles>
  <dxfs count="0"/>
  <tableStyles count="0" defaultTableStyle="TableStyleMedium2" defaultPivotStyle="PivotStyleLight16"/>
  <colors>
    <mruColors>
      <color rgb="FFFFFF99"/>
      <color rgb="FFFFFFCC"/>
      <color rgb="FF0066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163"/>
  <sheetViews>
    <sheetView showGridLines="0" tabSelected="1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2" max="2" width="20.7109375" customWidth="1"/>
    <col min="3" max="4" width="15.7109375" customWidth="1"/>
    <col min="5" max="9" width="15.7109375" hidden="1" customWidth="1" outlineLevel="1"/>
    <col min="10" max="10" width="15.7109375" customWidth="1" collapsed="1"/>
    <col min="11" max="11" width="15.7109375" customWidth="1"/>
    <col min="12" max="12" width="22.7109375" customWidth="1"/>
    <col min="13" max="13" width="20.7109375" style="41" customWidth="1"/>
    <col min="14" max="16" width="20.7109375" style="41" hidden="1" customWidth="1" outlineLevel="1"/>
    <col min="17" max="17" width="20.7109375" style="46" customWidth="1" collapsed="1"/>
    <col min="18" max="18" width="20.7109375" customWidth="1"/>
    <col min="19" max="22" width="20.7109375" style="46" hidden="1" customWidth="1" outlineLevel="1"/>
    <col min="23" max="23" width="20.7109375" customWidth="1" collapsed="1"/>
  </cols>
  <sheetData>
    <row r="1" spans="2:23">
      <c r="J1" s="2" t="s">
        <v>277</v>
      </c>
      <c r="Q1" s="45" t="s">
        <v>1965</v>
      </c>
      <c r="S1" s="44"/>
      <c r="T1" s="44"/>
      <c r="U1" s="44"/>
      <c r="V1" s="44"/>
      <c r="W1" s="2" t="s">
        <v>1960</v>
      </c>
    </row>
    <row r="2" spans="2:23">
      <c r="M2" s="45" t="s">
        <v>1957</v>
      </c>
      <c r="N2" s="45" t="s">
        <v>1958</v>
      </c>
      <c r="O2" s="45" t="s">
        <v>1966</v>
      </c>
      <c r="P2" s="45" t="s">
        <v>1967</v>
      </c>
      <c r="S2" s="24"/>
      <c r="T2" s="24"/>
      <c r="U2" s="24"/>
      <c r="V2" s="24"/>
    </row>
    <row r="3" spans="2:23">
      <c r="B3" s="2" t="s">
        <v>9</v>
      </c>
      <c r="C3" s="2" t="s">
        <v>10</v>
      </c>
      <c r="D3" s="4"/>
      <c r="L3" s="2" t="s">
        <v>273</v>
      </c>
      <c r="M3" s="83" t="s">
        <v>274</v>
      </c>
      <c r="N3" s="83" t="s">
        <v>274</v>
      </c>
      <c r="O3" s="83" t="s">
        <v>274</v>
      </c>
      <c r="P3" s="83" t="s">
        <v>274</v>
      </c>
      <c r="S3" s="25"/>
      <c r="T3" s="26"/>
      <c r="U3" s="25"/>
      <c r="V3" s="26"/>
    </row>
    <row r="4" spans="2:23">
      <c r="B4" s="90">
        <v>43388</v>
      </c>
      <c r="C4" s="38" cm="1">
        <f t="array" ref="C4">_xll.aqDateFromTenor($B$4,$D$4,"MOD_FOLLOWING","NYB")</f>
        <v>43389</v>
      </c>
      <c r="D4" s="5" t="s">
        <v>11</v>
      </c>
      <c r="E4" s="1"/>
      <c r="F4" s="1"/>
      <c r="G4" s="1"/>
      <c r="H4" s="1"/>
      <c r="I4" s="1"/>
      <c r="J4" s="1"/>
      <c r="K4" s="1"/>
      <c r="L4" s="23" t="s">
        <v>272</v>
      </c>
      <c r="M4" s="52">
        <f>SUM(M8:M133)-SUM(Q8:Q133)</f>
        <v>-2.4558133304708463E-13</v>
      </c>
      <c r="N4" s="52">
        <f>SUM(N8:N133)-SUM(R8:R133)</f>
        <v>7.3744439760048408E-4</v>
      </c>
      <c r="O4" s="52">
        <f>SUM(O8:O500)-SUM(U8:U500)</f>
        <v>-9.5107399829430506E-5</v>
      </c>
      <c r="P4" s="94">
        <f>SUM(P8:P500)-SUM(V8:V500)</f>
        <v>-3.9542186583275907E-2</v>
      </c>
      <c r="S4" s="45"/>
      <c r="T4" s="45"/>
      <c r="U4" s="45"/>
      <c r="V4" s="45"/>
    </row>
    <row r="5" spans="2:23">
      <c r="B5" s="37"/>
      <c r="C5" s="37"/>
      <c r="D5" s="5"/>
      <c r="E5" s="1"/>
      <c r="F5" s="1"/>
      <c r="G5" s="1"/>
      <c r="H5" s="1"/>
      <c r="I5" s="1"/>
      <c r="J5" s="1"/>
      <c r="K5" s="1"/>
      <c r="L5" s="1"/>
      <c r="S5" s="45"/>
      <c r="T5" s="45"/>
      <c r="U5" s="45"/>
      <c r="V5" s="45"/>
    </row>
    <row r="6" spans="2:23">
      <c r="B6" s="88" t="s">
        <v>1959</v>
      </c>
      <c r="C6" s="84" t="s">
        <v>1732</v>
      </c>
      <c r="D6" s="84" t="s">
        <v>1733</v>
      </c>
      <c r="E6" s="84" t="s">
        <v>1736</v>
      </c>
      <c r="F6" s="84" t="s">
        <v>1737</v>
      </c>
      <c r="G6" s="84"/>
      <c r="H6" s="84" t="s">
        <v>1738</v>
      </c>
      <c r="I6" s="84" t="s">
        <v>1739</v>
      </c>
      <c r="J6" s="84" t="s">
        <v>1734</v>
      </c>
      <c r="K6" s="84" t="s">
        <v>1735</v>
      </c>
      <c r="L6" s="85"/>
      <c r="M6" s="86" t="s">
        <v>14</v>
      </c>
      <c r="N6" s="87" t="s">
        <v>15</v>
      </c>
      <c r="O6" s="87" t="s">
        <v>18</v>
      </c>
      <c r="P6" s="87" t="s">
        <v>17</v>
      </c>
      <c r="Q6" s="44"/>
      <c r="S6" s="44"/>
      <c r="T6" s="44"/>
      <c r="U6" s="87"/>
      <c r="V6" s="87"/>
    </row>
    <row r="7" spans="2:23" s="10" customFormat="1">
      <c r="B7" s="22" t="s">
        <v>12</v>
      </c>
      <c r="C7" s="22" t="s">
        <v>0</v>
      </c>
      <c r="D7" s="22" t="s">
        <v>1</v>
      </c>
      <c r="E7" s="22" t="s">
        <v>2</v>
      </c>
      <c r="F7" s="22" t="s">
        <v>8</v>
      </c>
      <c r="G7" s="22" t="s">
        <v>7</v>
      </c>
      <c r="H7" s="22" t="s">
        <v>3</v>
      </c>
      <c r="I7" s="22" t="s">
        <v>4</v>
      </c>
      <c r="J7" s="22" t="s">
        <v>6</v>
      </c>
      <c r="K7" s="22" t="s">
        <v>5</v>
      </c>
      <c r="L7" s="22" t="s">
        <v>13</v>
      </c>
      <c r="M7" s="42" t="s">
        <v>1955</v>
      </c>
      <c r="N7" s="82" t="s">
        <v>1956</v>
      </c>
      <c r="O7" s="82" t="s">
        <v>1963</v>
      </c>
      <c r="P7" s="82" t="s">
        <v>1964</v>
      </c>
      <c r="Q7" s="21" t="s">
        <v>1551</v>
      </c>
      <c r="R7" s="21" t="s">
        <v>1706</v>
      </c>
      <c r="S7" s="21" t="s">
        <v>275</v>
      </c>
      <c r="T7" s="21" t="s">
        <v>1550</v>
      </c>
      <c r="U7" s="21" t="s">
        <v>276</v>
      </c>
      <c r="V7" s="21" t="s">
        <v>16</v>
      </c>
    </row>
    <row r="8" spans="2:23">
      <c r="B8" s="11" t="s">
        <v>126</v>
      </c>
      <c r="C8" s="11" t="s">
        <v>127</v>
      </c>
      <c r="D8" s="11" t="s">
        <v>127</v>
      </c>
      <c r="E8" s="12">
        <v>42401</v>
      </c>
      <c r="F8" s="15">
        <v>42400</v>
      </c>
      <c r="G8" s="14" t="str">
        <f t="shared" ref="G8:G39" si="0">IF(DAY(K8+1)=1, "EOM","")</f>
        <v>EOM</v>
      </c>
      <c r="H8" s="12">
        <v>42582</v>
      </c>
      <c r="I8" s="12">
        <v>44043</v>
      </c>
      <c r="J8" s="13">
        <v>1.375E-2</v>
      </c>
      <c r="K8" s="12">
        <v>44227</v>
      </c>
      <c r="L8" s="16" t="str" cm="1">
        <f t="array" ref="L8">_xll.aqBondObjectCreateFromGenerator($C8,$L$4,_xll.aqToolLVBFromKeysValues($C$7:$K$7,$C8:$K8))</f>
        <v>US912828N894:1</v>
      </c>
      <c r="M8" s="78">
        <v>2.8863167000000002E-2</v>
      </c>
      <c r="N8" s="51">
        <v>96.671899999999994</v>
      </c>
      <c r="O8" s="17">
        <v>2.2240000000000002</v>
      </c>
      <c r="P8" s="95">
        <v>215.64</v>
      </c>
      <c r="Q8" s="39" cm="1">
        <f t="array" ref="Q8">_xll.aqBondObjectYield(L8,$C$4,R8)</f>
        <v>2.8863167000002476E-2</v>
      </c>
      <c r="R8" s="49" cm="1">
        <f t="array" ref="R8">_xll.aqBondObjectPrice($L8,$C$4,$M8)</f>
        <v>96.671874947145469</v>
      </c>
      <c r="S8" s="49" cm="1">
        <f t="array" ref="S8">_xll.aqBondObjectCleanPrice($L8,$C$4,$M8)</f>
        <v>96.671874947145469</v>
      </c>
      <c r="T8" s="49" cm="1">
        <f t="array" ref="T8">_xll.aqBondObjectDirtyPrice($L8,$C$4,$M8)</f>
        <v>96.959578751493297</v>
      </c>
      <c r="U8" s="18" cm="1">
        <f t="array" ref="U8">_xll.aqBondObjectModifiedDuration($L8,$C$4,$Q8)</f>
        <v>2.2240028755693344</v>
      </c>
      <c r="V8" s="93" cm="1">
        <f t="array" ref="V8">_xll.aqBondObjectDV01($L8,$C$4,$Q8)</f>
        <v>215.63838195731114</v>
      </c>
    </row>
    <row r="9" spans="2:23">
      <c r="B9" s="11" t="s">
        <v>142</v>
      </c>
      <c r="C9" s="11" t="s">
        <v>143</v>
      </c>
      <c r="D9" s="11" t="s">
        <v>143</v>
      </c>
      <c r="E9" s="12">
        <v>41670</v>
      </c>
      <c r="F9" s="15">
        <v>41670</v>
      </c>
      <c r="G9" s="14" t="str">
        <f t="shared" si="0"/>
        <v>EOM</v>
      </c>
      <c r="H9" s="12">
        <v>41851</v>
      </c>
      <c r="I9" s="12">
        <v>44043</v>
      </c>
      <c r="J9" s="13">
        <v>2.1250000000000002E-2</v>
      </c>
      <c r="K9" s="12">
        <v>44227</v>
      </c>
      <c r="L9" s="16" t="str" cm="1">
        <f t="array" ref="L9">_xll.aqBondObjectCreateFromGenerator($C9,$L$4,_xll.aqToolLVBFromKeysValues($C$7:$K$7,$C9:$K9))</f>
        <v>US912828B584:1</v>
      </c>
      <c r="M9" s="78">
        <v>2.8871961000000002E-2</v>
      </c>
      <c r="N9" s="51">
        <v>98.320300000000003</v>
      </c>
      <c r="O9" s="17">
        <v>2.2063000000000001</v>
      </c>
      <c r="P9" s="95">
        <v>217.91</v>
      </c>
      <c r="Q9" s="39" cm="1">
        <f t="array" ref="Q9">_xll.aqBondObjectYield(L9,$C$4,R9)</f>
        <v>2.8871961000000678E-2</v>
      </c>
      <c r="R9" s="49" cm="1">
        <f t="array" ref="R9">_xll.aqBondObjectPrice($L9,$C$4,$M9)</f>
        <v>98.320312597142888</v>
      </c>
      <c r="S9" s="49" cm="1">
        <f t="array" ref="S9">_xll.aqBondObjectCleanPrice($L9,$C$4,$M9)</f>
        <v>98.320312597142888</v>
      </c>
      <c r="T9" s="49" cm="1">
        <f t="array" ref="T9">_xll.aqBondObjectDirtyPrice($L9,$C$4,$M9)</f>
        <v>98.764945749316794</v>
      </c>
      <c r="U9" s="18" cm="1">
        <f t="array" ref="U9">_xll.aqBondObjectModifiedDuration($L9,$C$4,$Q9)</f>
        <v>2.2063213044583856</v>
      </c>
      <c r="V9" s="93" cm="1">
        <f t="array" ref="V9">_xll.aqBondObjectDV01($L9,$C$4,$Q9)</f>
        <v>217.90720394039411</v>
      </c>
    </row>
    <row r="10" spans="2:23">
      <c r="B10" s="11" t="s">
        <v>60</v>
      </c>
      <c r="C10" s="11" t="s">
        <v>61</v>
      </c>
      <c r="D10" s="11" t="s">
        <v>61</v>
      </c>
      <c r="E10" s="12">
        <v>40589</v>
      </c>
      <c r="F10" s="15">
        <v>40589</v>
      </c>
      <c r="G10" s="14" t="str">
        <f t="shared" si="0"/>
        <v/>
      </c>
      <c r="H10" s="12">
        <v>40770</v>
      </c>
      <c r="I10" s="12">
        <v>44058</v>
      </c>
      <c r="J10" s="13">
        <v>3.6249999999999998E-2</v>
      </c>
      <c r="K10" s="12">
        <v>44242</v>
      </c>
      <c r="L10" s="16" t="str" cm="1">
        <f t="array" ref="L10">_xll.aqBondObjectCreateFromGenerator($C10,$L$4,_xll.aqToolLVBFromKeysValues($C$7:$K$7,$C10:$K10))</f>
        <v>US912828PX26:0</v>
      </c>
      <c r="M10" s="78">
        <v>2.8840742999999999E-2</v>
      </c>
      <c r="N10" s="51">
        <v>101.6563</v>
      </c>
      <c r="O10" s="17">
        <v>2.2130999999999998</v>
      </c>
      <c r="P10" s="95">
        <v>226.32</v>
      </c>
      <c r="Q10" s="39" cm="1">
        <f t="array" ref="Q10">_xll.aqBondObjectYield(L10,$C$4,R10)</f>
        <v>2.8840743000001019E-2</v>
      </c>
      <c r="R10" s="49" cm="1">
        <f t="array" ref="R10">_xll.aqBondObjectPrice($L10,$C$4,$M10)</f>
        <v>101.65625006599454</v>
      </c>
      <c r="S10" s="49" cm="1">
        <f t="array" ref="S10">_xll.aqBondObjectCleanPrice($L10,$C$4,$M10)</f>
        <v>101.65625006599454</v>
      </c>
      <c r="T10" s="49" cm="1">
        <f t="array" ref="T10">_xll.aqBondObjectDirtyPrice($L10,$C$4,$M10)</f>
        <v>102.26698376164671</v>
      </c>
      <c r="U10" s="18" cm="1">
        <f t="array" ref="U10">_xll.aqBondObjectModifiedDuration($L10,$C$4,$Q10)</f>
        <v>2.2130686022981854</v>
      </c>
      <c r="V10" s="93" cm="1">
        <f t="array" ref="V10">_xll.aqBondObjectDV01($L10,$C$4,$Q10)</f>
        <v>226.32385081463826</v>
      </c>
    </row>
    <row r="11" spans="2:23">
      <c r="B11" s="11" t="s">
        <v>102</v>
      </c>
      <c r="C11" s="11" t="s">
        <v>103</v>
      </c>
      <c r="D11" s="11" t="s">
        <v>103</v>
      </c>
      <c r="E11" s="12">
        <v>42429</v>
      </c>
      <c r="F11" s="15">
        <v>42429</v>
      </c>
      <c r="G11" s="14" t="str">
        <f t="shared" si="0"/>
        <v>EOM</v>
      </c>
      <c r="H11" s="12">
        <v>42613</v>
      </c>
      <c r="I11" s="12">
        <v>44074</v>
      </c>
      <c r="J11" s="13">
        <v>1.125E-2</v>
      </c>
      <c r="K11" s="12">
        <v>44255</v>
      </c>
      <c r="L11" s="16" t="str" cm="1">
        <f t="array" ref="L11">_xll.aqBondObjectCreateFromGenerator($C11,$L$4,_xll.aqToolLVBFromKeysValues($C$7:$K$7,$C11:$K11))</f>
        <v>US912828P873:0</v>
      </c>
      <c r="M11" s="78">
        <v>2.8912735000000002E-2</v>
      </c>
      <c r="N11" s="51">
        <v>95.976600000000005</v>
      </c>
      <c r="O11" s="17">
        <v>2.3109999999999999</v>
      </c>
      <c r="P11" s="95">
        <v>222.13</v>
      </c>
      <c r="Q11" s="39" cm="1">
        <f t="array" ref="Q11">_xll.aqBondObjectYield(L11,$C$4,R11)</f>
        <v>2.8912735000002444E-2</v>
      </c>
      <c r="R11" s="49" cm="1">
        <f t="array" ref="R11">_xll.aqBondObjectPrice($L11,$C$4,$M11)</f>
        <v>95.976562580586219</v>
      </c>
      <c r="S11" s="49" cm="1">
        <f t="array" ref="S11">_xll.aqBondObjectCleanPrice($L11,$C$4,$M11)</f>
        <v>95.976562580586219</v>
      </c>
      <c r="T11" s="49" cm="1">
        <f t="array" ref="T11">_xll.aqBondObjectDirtyPrice($L11,$C$4,$M11)</f>
        <v>96.119518381691194</v>
      </c>
      <c r="U11" s="18" cm="1">
        <f t="array" ref="U11">_xll.aqBondObjectModifiedDuration($L11,$C$4,$Q11)</f>
        <v>2.3109805155319574</v>
      </c>
      <c r="V11" s="93" cm="1">
        <f t="array" ref="V11">_xll.aqBondObjectDV01($L11,$C$4,$Q11)</f>
        <v>222.130334142403</v>
      </c>
    </row>
    <row r="12" spans="2:23">
      <c r="B12" s="11" t="s">
        <v>178</v>
      </c>
      <c r="C12" s="11" t="s">
        <v>179</v>
      </c>
      <c r="D12" s="11" t="s">
        <v>179</v>
      </c>
      <c r="E12" s="12">
        <v>41698</v>
      </c>
      <c r="F12" s="15">
        <v>41698</v>
      </c>
      <c r="G12" s="14" t="str">
        <f t="shared" si="0"/>
        <v>EOM</v>
      </c>
      <c r="H12" s="12">
        <v>41882</v>
      </c>
      <c r="I12" s="12">
        <v>44074</v>
      </c>
      <c r="J12" s="13">
        <v>0.02</v>
      </c>
      <c r="K12" s="12">
        <v>44255</v>
      </c>
      <c r="L12" s="16" t="str" cm="1">
        <f t="array" ref="L12">_xll.aqBondObjectCreateFromGenerator($C12,$L$4,_xll.aqToolLVBFromKeysValues($C$7:$K$7,$C12:$K12))</f>
        <v>US912828B907:0</v>
      </c>
      <c r="M12" s="78">
        <v>2.8878110000000002E-2</v>
      </c>
      <c r="N12" s="51">
        <v>97.976600000000005</v>
      </c>
      <c r="O12" s="17">
        <v>2.2902</v>
      </c>
      <c r="P12" s="95">
        <v>224.97</v>
      </c>
      <c r="Q12" s="39" cm="1">
        <f t="array" ref="Q12">_xll.aqBondObjectYield(L12,$C$4,R12)</f>
        <v>2.8878110000000772E-2</v>
      </c>
      <c r="R12" s="49" cm="1">
        <f t="array" ref="R12">_xll.aqBondObjectPrice($L12,$C$4,$M12)</f>
        <v>97.976562506192039</v>
      </c>
      <c r="S12" s="49" cm="1">
        <f t="array" ref="S12">_xll.aqBondObjectCleanPrice($L12,$C$4,$M12)</f>
        <v>97.976562506192039</v>
      </c>
      <c r="T12" s="49" cm="1">
        <f t="array" ref="T12">_xll.aqBondObjectDirtyPrice($L12,$C$4,$M12)</f>
        <v>98.230706152600874</v>
      </c>
      <c r="U12" s="18" cm="1">
        <f t="array" ref="U12">_xll.aqBondObjectModifiedDuration($L12,$C$4,$Q12)</f>
        <v>2.2902121525212999</v>
      </c>
      <c r="V12" s="93" cm="1">
        <f t="array" ref="V12">_xll.aqBondObjectDV01($L12,$C$4,$Q12)</f>
        <v>224.96915698143491</v>
      </c>
    </row>
    <row r="13" spans="2:23">
      <c r="B13" s="11" t="s">
        <v>160</v>
      </c>
      <c r="C13" s="11" t="s">
        <v>161</v>
      </c>
      <c r="D13" s="11" t="s">
        <v>161</v>
      </c>
      <c r="E13" s="12">
        <v>42460</v>
      </c>
      <c r="F13" s="15">
        <v>42460</v>
      </c>
      <c r="G13" s="14" t="str">
        <f t="shared" si="0"/>
        <v>EOM</v>
      </c>
      <c r="H13" s="12">
        <v>42643</v>
      </c>
      <c r="I13" s="12">
        <v>44104</v>
      </c>
      <c r="J13" s="13">
        <v>1.2500000000000001E-2</v>
      </c>
      <c r="K13" s="12">
        <v>44286</v>
      </c>
      <c r="L13" s="16" t="str" cm="1">
        <f t="array" ref="L13">_xll.aqBondObjectCreateFromGenerator($C13,$L$4,_xll.aqToolLVBFromKeysValues($C$7:$K$7,$C13:$K13))</f>
        <v>US912828Q376:0</v>
      </c>
      <c r="M13" s="78">
        <v>2.8855524E-2</v>
      </c>
      <c r="N13" s="51">
        <v>96.148399999999995</v>
      </c>
      <c r="O13" s="17">
        <v>2.39</v>
      </c>
      <c r="P13" s="95">
        <v>229.92</v>
      </c>
      <c r="Q13" s="39" cm="1">
        <f t="array" ref="Q13">_xll.aqBondObjectYield(L13,$C$4,R13)</f>
        <v>2.88555240000027E-2</v>
      </c>
      <c r="R13" s="49" cm="1">
        <f t="array" ref="R13">_xll.aqBondObjectPrice($L13,$C$4,$M13)</f>
        <v>96.148437521140181</v>
      </c>
      <c r="S13" s="49" cm="1">
        <f t="array" ref="S13">_xll.aqBondObjectCleanPrice($L13,$C$4,$M13)</f>
        <v>96.148437521140181</v>
      </c>
      <c r="T13" s="49" cm="1">
        <f t="array" ref="T13">_xll.aqBondObjectDirtyPrice($L13,$C$4,$M13)</f>
        <v>96.203382576085232</v>
      </c>
      <c r="U13" s="18" cm="1">
        <f t="array" ref="U13">_xll.aqBondObjectModifiedDuration($L13,$C$4,$Q13)</f>
        <v>2.389953421553991</v>
      </c>
      <c r="V13" s="93" cm="1">
        <f t="array" ref="V13">_xll.aqBondObjectDV01($L13,$C$4,$Q13)</f>
        <v>229.92160335278106</v>
      </c>
    </row>
    <row r="14" spans="2:23">
      <c r="B14" s="11" t="s">
        <v>176</v>
      </c>
      <c r="C14" s="11" t="s">
        <v>177</v>
      </c>
      <c r="D14" s="11" t="s">
        <v>177</v>
      </c>
      <c r="E14" s="12">
        <v>41729</v>
      </c>
      <c r="F14" s="15">
        <v>41729</v>
      </c>
      <c r="G14" s="14" t="str">
        <f t="shared" si="0"/>
        <v>EOM</v>
      </c>
      <c r="H14" s="12">
        <v>41912</v>
      </c>
      <c r="I14" s="12">
        <v>44104</v>
      </c>
      <c r="J14" s="13">
        <v>2.2499999999999999E-2</v>
      </c>
      <c r="K14" s="12">
        <v>44286</v>
      </c>
      <c r="L14" s="16" t="str" cm="1">
        <f t="array" ref="L14">_xll.aqBondObjectCreateFromGenerator($C14,$L$4,_xll.aqToolLVBFromKeysValues($C$7:$K$7,$C14:$K14))</f>
        <v>US912828C574:0</v>
      </c>
      <c r="M14" s="78">
        <v>2.8901146999999999E-2</v>
      </c>
      <c r="N14" s="51">
        <v>98.492199999999997</v>
      </c>
      <c r="O14" s="17">
        <v>2.3662999999999998</v>
      </c>
      <c r="P14" s="95">
        <v>233.3</v>
      </c>
      <c r="Q14" s="39" cm="1">
        <f t="array" ref="Q14">_xll.aqBondObjectYield(L14,$C$4,R14)</f>
        <v>2.8901147000000356E-2</v>
      </c>
      <c r="R14" s="49" cm="1">
        <f t="array" ref="R14">_xll.aqBondObjectPrice($L14,$C$4,$M14)</f>
        <v>98.492187468264262</v>
      </c>
      <c r="S14" s="49" cm="1">
        <f t="array" ref="S14">_xll.aqBondObjectCleanPrice($L14,$C$4,$M14)</f>
        <v>98.492187468264262</v>
      </c>
      <c r="T14" s="49" cm="1">
        <f t="array" ref="T14">_xll.aqBondObjectDirtyPrice($L14,$C$4,$M14)</f>
        <v>98.591088567165357</v>
      </c>
      <c r="U14" s="18" cm="1">
        <f t="array" ref="U14">_xll.aqBondObjectModifiedDuration($L14,$C$4,$Q14)</f>
        <v>2.3663334319370319</v>
      </c>
      <c r="V14" s="93" cm="1">
        <f t="array" ref="V14">_xll.aqBondObjectDV01($L14,$C$4,$Q14)</f>
        <v>233.29938896754805</v>
      </c>
    </row>
    <row r="15" spans="2:23">
      <c r="B15" s="11" t="s">
        <v>216</v>
      </c>
      <c r="C15" s="11" t="s">
        <v>217</v>
      </c>
      <c r="D15" s="11" t="s">
        <v>217</v>
      </c>
      <c r="E15" s="12">
        <v>42492</v>
      </c>
      <c r="F15" s="15">
        <v>42490</v>
      </c>
      <c r="G15" s="14" t="str">
        <f t="shared" si="0"/>
        <v>EOM</v>
      </c>
      <c r="H15" s="12">
        <v>42674</v>
      </c>
      <c r="I15" s="12">
        <v>44135</v>
      </c>
      <c r="J15" s="13">
        <v>1.375E-2</v>
      </c>
      <c r="K15" s="12">
        <v>44316</v>
      </c>
      <c r="L15" s="16" t="str" cm="1">
        <f t="array" ref="L15">_xll.aqBondObjectCreateFromGenerator($C15,$L$4,_xll.aqToolLVBFromKeysValues($C$7:$K$7,$C15:$K15))</f>
        <v>US912828Q780:0</v>
      </c>
      <c r="M15" s="78">
        <v>2.8938757999999998E-2</v>
      </c>
      <c r="N15" s="51">
        <v>96.304699999999997</v>
      </c>
      <c r="O15" s="17">
        <v>2.4531000000000001</v>
      </c>
      <c r="P15" s="95">
        <v>237.8</v>
      </c>
      <c r="Q15" s="39" cm="1">
        <f t="array" ref="Q15">_xll.aqBondObjectYield(L15,$C$4,R15)</f>
        <v>2.8938758000001848E-2</v>
      </c>
      <c r="R15" s="49" cm="1">
        <f t="array" ref="R15">_xll.aqBondObjectPrice($L15,$C$4,$M15)</f>
        <v>96.304687608357185</v>
      </c>
      <c r="S15" s="49" cm="1">
        <f t="array" ref="S15">_xll.aqBondObjectCleanPrice($L15,$C$4,$M15)</f>
        <v>96.304687608357185</v>
      </c>
      <c r="T15" s="49" cm="1">
        <f t="array" ref="T15">_xll.aqBondObjectDirtyPrice($L15,$C$4,$M15)</f>
        <v>96.936141412705012</v>
      </c>
      <c r="U15" s="18" cm="1">
        <f t="array" ref="U15">_xll.aqBondObjectModifiedDuration($L15,$C$4,$Q15)</f>
        <v>2.4531351934562458</v>
      </c>
      <c r="V15" s="93" cm="1">
        <f t="array" ref="V15">_xll.aqBondObjectDV01($L15,$C$4,$Q15)</f>
        <v>237.7974600173568</v>
      </c>
    </row>
    <row r="16" spans="2:23">
      <c r="B16" s="11" t="s">
        <v>64</v>
      </c>
      <c r="C16" s="11" t="s">
        <v>65</v>
      </c>
      <c r="D16" s="11" t="s">
        <v>65</v>
      </c>
      <c r="E16" s="12">
        <v>40679</v>
      </c>
      <c r="F16" s="15">
        <v>40678</v>
      </c>
      <c r="G16" s="14" t="str">
        <f t="shared" si="0"/>
        <v/>
      </c>
      <c r="H16" s="12">
        <v>40862</v>
      </c>
      <c r="I16" s="12">
        <v>44150</v>
      </c>
      <c r="J16" s="13">
        <v>3.125E-2</v>
      </c>
      <c r="K16" s="12">
        <v>44331</v>
      </c>
      <c r="L16" s="16" t="str" cm="1">
        <f t="array" ref="L16">_xll.aqBondObjectCreateFromGenerator($C16,$L$4,_xll.aqToolLVBFromKeysValues($C$7:$K$7,$C16:$K16))</f>
        <v>US912828QN35:0</v>
      </c>
      <c r="M16" s="78">
        <v>2.8872095E-2</v>
      </c>
      <c r="N16" s="51">
        <v>100.5859</v>
      </c>
      <c r="O16" s="17">
        <v>2.4338000000000002</v>
      </c>
      <c r="P16" s="95">
        <v>247.99</v>
      </c>
      <c r="Q16" s="39" cm="1">
        <f t="array" ref="Q16">_xll.aqBondObjectYield(L16,$C$4,R16)</f>
        <v>2.8872095000000212E-2</v>
      </c>
      <c r="R16" s="49" cm="1">
        <f t="array" ref="R16">_xll.aqBondObjectPrice($L16,$C$4,$M16)</f>
        <v>100.58593749561483</v>
      </c>
      <c r="S16" s="49" cm="1">
        <f t="array" ref="S16">_xll.aqBondObjectCleanPrice($L16,$C$4,$M16)</f>
        <v>100.58593749561483</v>
      </c>
      <c r="T16" s="49" cm="1">
        <f t="array" ref="T16">_xll.aqBondObjectDirtyPrice($L16,$C$4,$M16)</f>
        <v>101.89368206083222</v>
      </c>
      <c r="U16" s="18" cm="1">
        <f t="array" ref="U16">_xll.aqBondObjectModifiedDuration($L16,$C$4,$Q16)</f>
        <v>2.4338001609870066</v>
      </c>
      <c r="V16" s="93" cm="1">
        <f t="array" ref="V16">_xll.aqBondObjectDV01($L16,$C$4,$Q16)</f>
        <v>247.98885980321231</v>
      </c>
    </row>
    <row r="17" spans="2:22">
      <c r="B17" s="11" t="s">
        <v>148</v>
      </c>
      <c r="C17" s="11" t="s">
        <v>149</v>
      </c>
      <c r="D17" s="11" t="s">
        <v>149</v>
      </c>
      <c r="E17" s="12">
        <v>42521</v>
      </c>
      <c r="F17" s="15">
        <v>42521</v>
      </c>
      <c r="G17" s="14" t="str">
        <f t="shared" si="0"/>
        <v>EOM</v>
      </c>
      <c r="H17" s="12">
        <v>42704</v>
      </c>
      <c r="I17" s="12">
        <v>44165</v>
      </c>
      <c r="J17" s="13">
        <v>1.375E-2</v>
      </c>
      <c r="K17" s="12">
        <v>44347</v>
      </c>
      <c r="L17" s="16" t="str" cm="1">
        <f t="array" ref="L17">_xll.aqBondObjectCreateFromGenerator($C17,$L$4,_xll.aqToolLVBFromKeysValues($C$7:$K$7,$C17:$K17))</f>
        <v>US912828R770:0</v>
      </c>
      <c r="M17" s="78">
        <v>2.9040778E-2</v>
      </c>
      <c r="N17" s="51">
        <v>96.164100000000005</v>
      </c>
      <c r="O17" s="17">
        <v>2.5339999999999998</v>
      </c>
      <c r="P17" s="95">
        <v>245</v>
      </c>
      <c r="Q17" s="39" cm="1">
        <f t="array" ref="Q17">_xll.aqBondObjectYield(L17,$C$4,R17)</f>
        <v>2.9040778000002827E-2</v>
      </c>
      <c r="R17" s="49" cm="1">
        <f t="array" ref="R17">_xll.aqBondObjectPrice($L17,$C$4,$M17)</f>
        <v>96.164062471436026</v>
      </c>
      <c r="S17" s="49" cm="1">
        <f t="array" ref="S17">_xll.aqBondObjectCleanPrice($L17,$C$4,$M17)</f>
        <v>96.164062471436026</v>
      </c>
      <c r="T17" s="49" cm="1">
        <f t="array" ref="T17">_xll.aqBondObjectDirtyPrice($L17,$C$4,$M17)</f>
        <v>96.68250509438684</v>
      </c>
      <c r="U17" s="18" cm="1">
        <f t="array" ref="U17">_xll.aqBondObjectModifiedDuration($L17,$C$4,$Q17)</f>
        <v>2.5340161887469406</v>
      </c>
      <c r="V17" s="93" cm="1">
        <f t="array" ref="V17">_xll.aqBondObjectDV01($L17,$C$4,$Q17)</f>
        <v>244.99503307778315</v>
      </c>
    </row>
    <row r="18" spans="2:22">
      <c r="B18" s="11" t="s">
        <v>206</v>
      </c>
      <c r="C18" s="11" t="s">
        <v>207</v>
      </c>
      <c r="D18" s="11" t="s">
        <v>207</v>
      </c>
      <c r="E18" s="12">
        <v>41792</v>
      </c>
      <c r="F18" s="15">
        <v>41790</v>
      </c>
      <c r="G18" s="14" t="str">
        <f t="shared" si="0"/>
        <v>EOM</v>
      </c>
      <c r="H18" s="12">
        <v>41973</v>
      </c>
      <c r="I18" s="12">
        <v>44165</v>
      </c>
      <c r="J18" s="13">
        <v>0.02</v>
      </c>
      <c r="K18" s="12">
        <v>44347</v>
      </c>
      <c r="L18" s="16" t="str" cm="1">
        <f t="array" ref="L18">_xll.aqBondObjectCreateFromGenerator($C18,$L$4,_xll.aqToolLVBFromKeysValues($C$7:$K$7,$C18:$K18))</f>
        <v>US912828WN60:0</v>
      </c>
      <c r="M18" s="78">
        <v>2.8996292999999999E-2</v>
      </c>
      <c r="N18" s="51">
        <v>97.742199999999997</v>
      </c>
      <c r="O18" s="17">
        <v>2.5121000000000002</v>
      </c>
      <c r="P18" s="95">
        <v>247.43</v>
      </c>
      <c r="Q18" s="39" cm="1">
        <f t="array" ref="Q18">_xll.aqBondObjectYield(L18,$C$4,R18)</f>
        <v>2.8996293000001203E-2</v>
      </c>
      <c r="R18" s="49" cm="1">
        <f t="array" ref="R18">_xll.aqBondObjectPrice($L18,$C$4,$M18)</f>
        <v>97.742187431806229</v>
      </c>
      <c r="S18" s="49" cm="1">
        <f t="array" ref="S18">_xll.aqBondObjectCleanPrice($L18,$C$4,$M18)</f>
        <v>97.742187431806229</v>
      </c>
      <c r="T18" s="49" cm="1">
        <f t="array" ref="T18">_xll.aqBondObjectDirtyPrice($L18,$C$4,$M18)</f>
        <v>98.496285792461961</v>
      </c>
      <c r="U18" s="18" cm="1">
        <f t="array" ref="U18">_xll.aqBondObjectModifiedDuration($L18,$C$4,$Q18)</f>
        <v>2.5120846640630741</v>
      </c>
      <c r="V18" s="93" cm="1">
        <f t="array" ref="V18">_xll.aqBondObjectDV01($L18,$C$4,$Q18)</f>
        <v>247.43100900641653</v>
      </c>
    </row>
    <row r="19" spans="2:22">
      <c r="B19" s="11" t="s">
        <v>112</v>
      </c>
      <c r="C19" s="11" t="s">
        <v>113</v>
      </c>
      <c r="D19" s="11" t="s">
        <v>113</v>
      </c>
      <c r="E19" s="12">
        <v>42551</v>
      </c>
      <c r="F19" s="15">
        <v>42551</v>
      </c>
      <c r="G19" s="14" t="str">
        <f t="shared" si="0"/>
        <v>EOM</v>
      </c>
      <c r="H19" s="12">
        <v>42735</v>
      </c>
      <c r="I19" s="12">
        <v>44196</v>
      </c>
      <c r="J19" s="13">
        <v>1.125E-2</v>
      </c>
      <c r="K19" s="12">
        <v>44377</v>
      </c>
      <c r="L19" s="16" t="str" cm="1">
        <f t="array" ref="L19">_xll.aqBondObjectCreateFromGenerator($C19,$L$4,_xll.aqToolLVBFromKeysValues($C$7:$K$7,$C19:$K19))</f>
        <v>US912828S273:0</v>
      </c>
      <c r="M19" s="78">
        <v>2.9048150000000002E-2</v>
      </c>
      <c r="N19" s="51">
        <v>95.398399999999995</v>
      </c>
      <c r="O19" s="17">
        <v>2.6254</v>
      </c>
      <c r="P19" s="95">
        <v>251.33</v>
      </c>
      <c r="Q19" s="39" cm="1">
        <f t="array" ref="Q19">_xll.aqBondObjectYield(L19,$C$4,R19)</f>
        <v>2.9048150000003242E-2</v>
      </c>
      <c r="R19" s="49" cm="1">
        <f t="array" ref="R19">_xll.aqBondObjectPrice($L19,$C$4,$M19)</f>
        <v>95.398437566897684</v>
      </c>
      <c r="S19" s="49" cm="1">
        <f t="array" ref="S19">_xll.aqBondObjectCleanPrice($L19,$C$4,$M19)</f>
        <v>95.398437566897684</v>
      </c>
      <c r="T19" s="49" cm="1">
        <f t="array" ref="T19">_xll.aqBondObjectDirtyPrice($L19,$C$4,$M19)</f>
        <v>95.728600610375949</v>
      </c>
      <c r="U19" s="18" cm="1">
        <f t="array" ref="U19">_xll.aqBondObjectModifiedDuration($L19,$C$4,$Q19)</f>
        <v>2.6254091869355811</v>
      </c>
      <c r="V19" s="93" cm="1">
        <f t="array" ref="V19">_xll.aqBondObjectDV01($L19,$C$4,$Q19)</f>
        <v>251.32674749496604</v>
      </c>
    </row>
    <row r="20" spans="2:22">
      <c r="B20" s="11" t="s">
        <v>186</v>
      </c>
      <c r="C20" s="11" t="s">
        <v>187</v>
      </c>
      <c r="D20" s="11" t="s">
        <v>187</v>
      </c>
      <c r="E20" s="12">
        <v>41820</v>
      </c>
      <c r="F20" s="15">
        <v>41820</v>
      </c>
      <c r="G20" s="14" t="str">
        <f t="shared" si="0"/>
        <v>EOM</v>
      </c>
      <c r="H20" s="12">
        <v>42004</v>
      </c>
      <c r="I20" s="12">
        <v>44196</v>
      </c>
      <c r="J20" s="13">
        <v>2.1250000000000002E-2</v>
      </c>
      <c r="K20" s="12">
        <v>44377</v>
      </c>
      <c r="L20" s="16" t="str" cm="1">
        <f t="array" ref="L20">_xll.aqBondObjectCreateFromGenerator($C20,$L$4,_xll.aqToolLVBFromKeysValues($C$7:$K$7,$C20:$K20))</f>
        <v>US912828WR74:0</v>
      </c>
      <c r="M20" s="78">
        <v>2.9040521999999999E-2</v>
      </c>
      <c r="N20" s="51">
        <v>97.984399999999994</v>
      </c>
      <c r="O20" s="17">
        <v>2.5901000000000001</v>
      </c>
      <c r="P20" s="95">
        <v>255.4</v>
      </c>
      <c r="Q20" s="39" cm="1">
        <f t="array" ref="Q20">_xll.aqBondObjectYield(L20,$C$4,R20)</f>
        <v>2.904052200000027E-2</v>
      </c>
      <c r="R20" s="49" cm="1">
        <f t="array" ref="R20">_xll.aqBondObjectPrice($L20,$C$4,$M20)</f>
        <v>97.984374928923373</v>
      </c>
      <c r="S20" s="49" cm="1">
        <f t="array" ref="S20">_xll.aqBondObjectCleanPrice($L20,$C$4,$M20)</f>
        <v>97.984374928923373</v>
      </c>
      <c r="T20" s="49" cm="1">
        <f t="array" ref="T20">_xll.aqBondObjectDirtyPrice($L20,$C$4,$M20)</f>
        <v>98.608016233271201</v>
      </c>
      <c r="U20" s="18" cm="1">
        <f t="array" ref="U20">_xll.aqBondObjectModifiedDuration($L20,$C$4,$Q20)</f>
        <v>2.5900968649636211</v>
      </c>
      <c r="V20" s="93" cm="1">
        <f t="array" ref="V20">_xll.aqBondObjectDV01($L20,$C$4,$Q20)</f>
        <v>255.40431370607726</v>
      </c>
    </row>
    <row r="21" spans="2:22">
      <c r="B21" s="11" t="s">
        <v>92</v>
      </c>
      <c r="C21" s="11" t="s">
        <v>93</v>
      </c>
      <c r="D21" s="11" t="s">
        <v>93</v>
      </c>
      <c r="E21" s="12">
        <v>42583</v>
      </c>
      <c r="F21" s="15">
        <v>42582</v>
      </c>
      <c r="G21" s="14" t="str">
        <f t="shared" si="0"/>
        <v>EOM</v>
      </c>
      <c r="H21" s="12">
        <v>42766</v>
      </c>
      <c r="I21" s="12">
        <v>44227</v>
      </c>
      <c r="J21" s="13">
        <v>1.125E-2</v>
      </c>
      <c r="K21" s="12">
        <v>44408</v>
      </c>
      <c r="L21" s="16" t="str" cm="1">
        <f t="array" ref="L21">_xll.aqBondObjectCreateFromGenerator($C21,$L$4,_xll.aqToolLVBFromKeysValues($C$7:$K$7,$C21:$K21))</f>
        <v>US912828S760:0</v>
      </c>
      <c r="M21" s="78">
        <v>2.9150822999999999E-2</v>
      </c>
      <c r="N21" s="51">
        <v>95.234399999999994</v>
      </c>
      <c r="O21" s="17">
        <v>2.7082999999999999</v>
      </c>
      <c r="P21" s="95">
        <v>258.56</v>
      </c>
      <c r="Q21" s="39" cm="1">
        <f t="array" ref="Q21">_xll.aqBondObjectYield(L21,$C$4,R21)</f>
        <v>2.9150823000003451E-2</v>
      </c>
      <c r="R21" s="49" cm="1">
        <f t="array" ref="R21">_xll.aqBondObjectPrice($L21,$C$4,$M21)</f>
        <v>95.23437506689433</v>
      </c>
      <c r="S21" s="49" cm="1">
        <f t="array" ref="S21">_xll.aqBondObjectCleanPrice($L21,$C$4,$M21)</f>
        <v>95.23437506689433</v>
      </c>
      <c r="T21" s="49" cm="1">
        <f t="array" ref="T21">_xll.aqBondObjectDirtyPrice($L21,$C$4,$M21)</f>
        <v>95.469769088633456</v>
      </c>
      <c r="U21" s="18" cm="1">
        <f t="array" ref="U21">_xll.aqBondObjectModifiedDuration($L21,$C$4,$Q21)</f>
        <v>2.708297568987438</v>
      </c>
      <c r="V21" s="93" cm="1">
        <f t="array" ref="V21">_xll.aqBondObjectDV01($L21,$C$4,$Q21)</f>
        <v>258.5605435345359</v>
      </c>
    </row>
    <row r="22" spans="2:22">
      <c r="B22" s="11" t="s">
        <v>132</v>
      </c>
      <c r="C22" s="11" t="s">
        <v>133</v>
      </c>
      <c r="D22" s="11" t="s">
        <v>133</v>
      </c>
      <c r="E22" s="12">
        <v>41851</v>
      </c>
      <c r="F22" s="15">
        <v>41851</v>
      </c>
      <c r="G22" s="14" t="str">
        <f t="shared" si="0"/>
        <v>EOM</v>
      </c>
      <c r="H22" s="12">
        <v>42035</v>
      </c>
      <c r="I22" s="12">
        <v>44227</v>
      </c>
      <c r="J22" s="13">
        <v>2.2499999999999999E-2</v>
      </c>
      <c r="K22" s="12">
        <v>44408</v>
      </c>
      <c r="L22" s="16" t="str" cm="1">
        <f t="array" ref="L22">_xll.aqBondObjectCreateFromGenerator($C22,$L$4,_xll.aqToolLVBFromKeysValues($C$7:$K$7,$C22:$K22))</f>
        <v>US912828WY26:0</v>
      </c>
      <c r="M22" s="78">
        <v>2.9125788E-2</v>
      </c>
      <c r="N22" s="51">
        <v>98.234399999999994</v>
      </c>
      <c r="O22" s="17">
        <v>2.6686999999999999</v>
      </c>
      <c r="P22" s="95">
        <v>263.42</v>
      </c>
      <c r="Q22" s="39" cm="1">
        <f t="array" ref="Q22">_xll.aqBondObjectYield(L22,$C$4,R22)</f>
        <v>2.9125788000000589E-2</v>
      </c>
      <c r="R22" s="49" cm="1">
        <f t="array" ref="R22">_xll.aqBondObjectPrice($L22,$C$4,$M22)</f>
        <v>98.234374928485408</v>
      </c>
      <c r="S22" s="49" cm="1">
        <f t="array" ref="S22">_xll.aqBondObjectCleanPrice($L22,$C$4,$M22)</f>
        <v>98.234374928485408</v>
      </c>
      <c r="T22" s="49" cm="1">
        <f t="array" ref="T22">_xll.aqBondObjectDirtyPrice($L22,$C$4,$M22)</f>
        <v>98.705162971963674</v>
      </c>
      <c r="U22" s="18" cm="1">
        <f t="array" ref="U22">_xll.aqBondObjectModifiedDuration($L22,$C$4,$Q22)</f>
        <v>2.6687351248721494</v>
      </c>
      <c r="V22" s="93" cm="1">
        <f t="array" ref="V22">_xll.aqBondObjectDV01($L22,$C$4,$Q22)</f>
        <v>263.41793542950899</v>
      </c>
    </row>
    <row r="23" spans="2:22">
      <c r="B23" s="11" t="s">
        <v>170</v>
      </c>
      <c r="C23" s="11" t="s">
        <v>171</v>
      </c>
      <c r="D23" s="11" t="s">
        <v>171</v>
      </c>
      <c r="E23" s="12">
        <v>40770</v>
      </c>
      <c r="F23" s="15">
        <v>40770</v>
      </c>
      <c r="G23" s="14" t="str">
        <f t="shared" si="0"/>
        <v/>
      </c>
      <c r="H23" s="12">
        <v>40954</v>
      </c>
      <c r="I23" s="12">
        <v>44242</v>
      </c>
      <c r="J23" s="13">
        <v>2.1250000000000002E-2</v>
      </c>
      <c r="K23" s="12">
        <v>44423</v>
      </c>
      <c r="L23" s="16" t="str" cm="1">
        <f t="array" ref="L23">_xll.aqBondObjectCreateFromGenerator($C23,$L$4,_xll.aqToolLVBFromKeysValues($C$7:$K$7,$C23:$K23))</f>
        <v>US912828RC60:0</v>
      </c>
      <c r="M23" s="78">
        <v>2.9087217000000002E-2</v>
      </c>
      <c r="N23" s="51">
        <v>97.882800000000003</v>
      </c>
      <c r="O23" s="17">
        <v>2.7132000000000001</v>
      </c>
      <c r="P23" s="95">
        <v>266.55</v>
      </c>
      <c r="Q23" s="39" cm="1">
        <f t="array" ref="Q23">_xll.aqBondObjectYield(L23,$C$4,R23)</f>
        <v>2.9087217000000495E-2</v>
      </c>
      <c r="R23" s="49" cm="1">
        <f t="array" ref="R23">_xll.aqBondObjectPrice($L23,$C$4,$M23)</f>
        <v>97.882812379845774</v>
      </c>
      <c r="S23" s="49" cm="1">
        <f t="array" ref="S23">_xll.aqBondObjectCleanPrice($L23,$C$4,$M23)</f>
        <v>97.882812379845774</v>
      </c>
      <c r="T23" s="49" cm="1">
        <f t="array" ref="T23">_xll.aqBondObjectDirtyPrice($L23,$C$4,$M23)</f>
        <v>98.240828684193602</v>
      </c>
      <c r="U23" s="18" cm="1">
        <f t="array" ref="U23">_xll.aqBondObjectModifiedDuration($L23,$C$4,$Q23)</f>
        <v>2.7132390554494159</v>
      </c>
      <c r="V23" s="93" cm="1">
        <f t="array" ref="V23">_xll.aqBondObjectDV01($L23,$C$4,$Q23)</f>
        <v>266.55085322566907</v>
      </c>
    </row>
    <row r="24" spans="2:22">
      <c r="B24" s="11" t="s">
        <v>106</v>
      </c>
      <c r="C24" s="11" t="s">
        <v>107</v>
      </c>
      <c r="D24" s="11" t="s">
        <v>107</v>
      </c>
      <c r="E24" s="12">
        <v>42613</v>
      </c>
      <c r="F24" s="15">
        <v>42613</v>
      </c>
      <c r="G24" s="14" t="str">
        <f t="shared" si="0"/>
        <v>EOM</v>
      </c>
      <c r="H24" s="12">
        <v>42794</v>
      </c>
      <c r="I24" s="12">
        <v>44255</v>
      </c>
      <c r="J24" s="13">
        <v>1.125E-2</v>
      </c>
      <c r="K24" s="12">
        <v>44439</v>
      </c>
      <c r="L24" s="16" t="str" cm="1">
        <f t="array" ref="L24">_xll.aqBondObjectCreateFromGenerator($C24,$L$4,_xll.aqToolLVBFromKeysValues($C$7:$K$7,$C24:$K24))</f>
        <v>US9128282F67:0</v>
      </c>
      <c r="M24" s="78">
        <v>2.9174576000000001E-2</v>
      </c>
      <c r="N24" s="51">
        <v>95.093800000000002</v>
      </c>
      <c r="O24" s="17">
        <v>2.7892999999999999</v>
      </c>
      <c r="P24" s="95">
        <v>265.64</v>
      </c>
      <c r="Q24" s="39" cm="1">
        <f t="array" ref="Q24">_xll.aqBondObjectYield(L24,$C$4,R24)</f>
        <v>2.917457600000388E-2</v>
      </c>
      <c r="R24" s="49" cm="1">
        <f t="array" ref="R24">_xll.aqBondObjectPrice($L24,$C$4,$M24)</f>
        <v>95.093750063107109</v>
      </c>
      <c r="S24" s="49" cm="1">
        <f t="array" ref="S24">_xll.aqBondObjectCleanPrice($L24,$C$4,$M24)</f>
        <v>95.093750063107109</v>
      </c>
      <c r="T24" s="49" cm="1">
        <f t="array" ref="T24">_xll.aqBondObjectDirtyPrice($L24,$C$4,$M24)</f>
        <v>95.236705864212084</v>
      </c>
      <c r="U24" s="18" cm="1">
        <f t="array" ref="U24">_xll.aqBondObjectModifiedDuration($L24,$C$4,$Q24)</f>
        <v>2.789250021210242</v>
      </c>
      <c r="V24" s="93" cm="1">
        <f t="array" ref="V24">_xll.aqBondObjectDV01($L24,$C$4,$Q24)</f>
        <v>265.63898385174417</v>
      </c>
    </row>
    <row r="25" spans="2:22">
      <c r="B25" s="11" t="s">
        <v>224</v>
      </c>
      <c r="C25" s="11" t="s">
        <v>225</v>
      </c>
      <c r="D25" s="11" t="s">
        <v>225</v>
      </c>
      <c r="E25" s="12">
        <v>41884</v>
      </c>
      <c r="F25" s="15">
        <v>41882</v>
      </c>
      <c r="G25" s="14" t="str">
        <f t="shared" si="0"/>
        <v>EOM</v>
      </c>
      <c r="H25" s="12">
        <v>42063</v>
      </c>
      <c r="I25" s="12">
        <v>44255</v>
      </c>
      <c r="J25" s="13">
        <v>0.02</v>
      </c>
      <c r="K25" s="12">
        <v>44439</v>
      </c>
      <c r="L25" s="16" t="str" cm="1">
        <f t="array" ref="L25">_xll.aqBondObjectCreateFromGenerator($C25,$L$4,_xll.aqToolLVBFromKeysValues($C$7:$K$7,$C25:$K25))</f>
        <v>US912828D721:0</v>
      </c>
      <c r="M25" s="78">
        <v>2.9158273000000002E-2</v>
      </c>
      <c r="N25" s="51">
        <v>97.492199999999997</v>
      </c>
      <c r="O25" s="17">
        <v>2.7582</v>
      </c>
      <c r="P25" s="95">
        <v>269.61</v>
      </c>
      <c r="Q25" s="39" cm="1">
        <f t="array" ref="Q25">_xll.aqBondObjectYield(L25,$C$4,R25)</f>
        <v>2.9158273000001438E-2</v>
      </c>
      <c r="R25" s="49" cm="1">
        <f t="array" ref="R25">_xll.aqBondObjectPrice($L25,$C$4,$M25)</f>
        <v>97.492187423826422</v>
      </c>
      <c r="S25" s="49" cm="1">
        <f t="array" ref="S25">_xll.aqBondObjectCleanPrice($L25,$C$4,$M25)</f>
        <v>97.492187423826422</v>
      </c>
      <c r="T25" s="49" cm="1">
        <f t="array" ref="T25">_xll.aqBondObjectDirtyPrice($L25,$C$4,$M25)</f>
        <v>97.746331070235257</v>
      </c>
      <c r="U25" s="18" cm="1">
        <f t="array" ref="U25">_xll.aqBondObjectModifiedDuration($L25,$C$4,$Q25)</f>
        <v>2.7582486673239099</v>
      </c>
      <c r="V25" s="93" cm="1">
        <f t="array" ref="V25">_xll.aqBondObjectDV01($L25,$C$4,$Q25)</f>
        <v>269.60868741027707</v>
      </c>
    </row>
    <row r="26" spans="2:22">
      <c r="B26" s="11" t="s">
        <v>82</v>
      </c>
      <c r="C26" s="11" t="s">
        <v>83</v>
      </c>
      <c r="D26" s="11" t="s">
        <v>83</v>
      </c>
      <c r="E26" s="12">
        <v>42643</v>
      </c>
      <c r="F26" s="15">
        <v>42643</v>
      </c>
      <c r="G26" s="14" t="str">
        <f t="shared" si="0"/>
        <v>EOM</v>
      </c>
      <c r="H26" s="12">
        <v>42825</v>
      </c>
      <c r="I26" s="12">
        <v>44286</v>
      </c>
      <c r="J26" s="13">
        <v>1.125E-2</v>
      </c>
      <c r="K26" s="12">
        <v>44469</v>
      </c>
      <c r="L26" s="16" t="str" cm="1">
        <f t="array" ref="L26">_xll.aqBondObjectCreateFromGenerator($C26,$L$4,_xll.aqToolLVBFromKeysValues($C$7:$K$7,$C26:$K26))</f>
        <v>US912828T347:0</v>
      </c>
      <c r="M26" s="78">
        <v>2.9222055E-2</v>
      </c>
      <c r="N26" s="51">
        <v>94.945300000000003</v>
      </c>
      <c r="O26" s="17">
        <v>2.8711000000000002</v>
      </c>
      <c r="P26" s="95">
        <v>272.74</v>
      </c>
      <c r="Q26" s="39" cm="1">
        <f t="array" ref="Q26">_xll.aqBondObjectYield(L26,$C$4,R26)</f>
        <v>2.9222055000004139E-2</v>
      </c>
      <c r="R26" s="49" cm="1">
        <f t="array" ref="R26">_xll.aqBondObjectPrice($L26,$C$4,$M26)</f>
        <v>94.945312379317855</v>
      </c>
      <c r="S26" s="49" cm="1">
        <f t="array" ref="S26">_xll.aqBondObjectCleanPrice($L26,$C$4,$M26)</f>
        <v>94.945312379317855</v>
      </c>
      <c r="T26" s="49" cm="1">
        <f t="array" ref="T26">_xll.aqBondObjectDirtyPrice($L26,$C$4,$M26)</f>
        <v>94.994762928768409</v>
      </c>
      <c r="U26" s="18" cm="1">
        <f t="array" ref="U26">_xll.aqBondObjectModifiedDuration($L26,$C$4,$Q26)</f>
        <v>2.8711000475919413</v>
      </c>
      <c r="V26" s="93" cm="1">
        <f t="array" ref="V26">_xll.aqBondObjectDV01($L26,$C$4,$Q26)</f>
        <v>272.73946836576903</v>
      </c>
    </row>
    <row r="27" spans="2:22">
      <c r="B27" s="11" t="s">
        <v>184</v>
      </c>
      <c r="C27" s="11" t="s">
        <v>185</v>
      </c>
      <c r="D27" s="11" t="s">
        <v>185</v>
      </c>
      <c r="E27" s="12">
        <v>41912</v>
      </c>
      <c r="F27" s="15">
        <v>41912</v>
      </c>
      <c r="G27" s="14" t="str">
        <f t="shared" si="0"/>
        <v>EOM</v>
      </c>
      <c r="H27" s="12">
        <v>42094</v>
      </c>
      <c r="I27" s="12">
        <v>44286</v>
      </c>
      <c r="J27" s="13">
        <v>2.1250000000000002E-2</v>
      </c>
      <c r="K27" s="12">
        <v>44469</v>
      </c>
      <c r="L27" s="16" t="str" cm="1">
        <f t="array" ref="L27">_xll.aqBondObjectCreateFromGenerator($C27,$L$4,_xll.aqToolLVBFromKeysValues($C$7:$K$7,$C27:$K27))</f>
        <v>US912828F213:0</v>
      </c>
      <c r="M27" s="78">
        <v>2.9220448999999999E-2</v>
      </c>
      <c r="N27" s="51">
        <v>97.757800000000003</v>
      </c>
      <c r="O27" s="17">
        <v>2.8357999999999999</v>
      </c>
      <c r="P27" s="95">
        <v>277.48</v>
      </c>
      <c r="Q27" s="39" cm="1">
        <f t="array" ref="Q27">_xll.aqBondObjectYield(L27,$C$4,R27)</f>
        <v>2.9220449000001106E-2</v>
      </c>
      <c r="R27" s="49" cm="1">
        <f t="array" ref="R27">_xll.aqBondObjectPrice($L27,$C$4,$M27)</f>
        <v>97.757812408993118</v>
      </c>
      <c r="S27" s="49" cm="1">
        <f t="array" ref="S27">_xll.aqBondObjectCleanPrice($L27,$C$4,$M27)</f>
        <v>97.757812408993118</v>
      </c>
      <c r="T27" s="49" cm="1">
        <f t="array" ref="T27">_xll.aqBondObjectDirtyPrice($L27,$C$4,$M27)</f>
        <v>97.851219002399716</v>
      </c>
      <c r="U27" s="18" cm="1">
        <f t="array" ref="U27">_xll.aqBondObjectModifiedDuration($L27,$C$4,$Q27)</f>
        <v>2.8357720147166834</v>
      </c>
      <c r="V27" s="93" cm="1">
        <f t="array" ref="V27">_xll.aqBondObjectDV01($L27,$C$4,$Q27)</f>
        <v>277.48374845291738</v>
      </c>
    </row>
    <row r="28" spans="2:22">
      <c r="B28" s="11" t="s">
        <v>194</v>
      </c>
      <c r="C28" s="11" t="s">
        <v>195</v>
      </c>
      <c r="D28" s="11" t="s">
        <v>195</v>
      </c>
      <c r="E28" s="12">
        <v>42674</v>
      </c>
      <c r="F28" s="15">
        <v>42674</v>
      </c>
      <c r="G28" s="14" t="str">
        <f t="shared" si="0"/>
        <v>EOM</v>
      </c>
      <c r="H28" s="12">
        <v>42855</v>
      </c>
      <c r="I28" s="12">
        <v>44316</v>
      </c>
      <c r="J28" s="13">
        <v>1.2500000000000001E-2</v>
      </c>
      <c r="K28" s="12">
        <v>44500</v>
      </c>
      <c r="L28" s="16" t="str" cm="1">
        <f t="array" ref="L28">_xll.aqBondObjectCreateFromGenerator($C28,$L$4,_xll.aqToolLVBFromKeysValues($C$7:$K$7,$C28:$K28))</f>
        <v>US912828T677:0</v>
      </c>
      <c r="M28" s="78">
        <v>2.9291485000000003E-2</v>
      </c>
      <c r="N28" s="51">
        <v>95.148399999999995</v>
      </c>
      <c r="O28" s="17">
        <v>2.931</v>
      </c>
      <c r="P28" s="95">
        <v>280.56</v>
      </c>
      <c r="Q28" s="39" cm="1">
        <f t="array" ref="Q28">_xll.aqBondObjectYield(L28,$C$4,R28)</f>
        <v>2.9291485000003933E-2</v>
      </c>
      <c r="R28" s="49" cm="1">
        <f t="array" ref="R28">_xll.aqBondObjectPrice($L28,$C$4,$M28)</f>
        <v>95.148437570585088</v>
      </c>
      <c r="S28" s="49" cm="1">
        <f t="array" ref="S28">_xll.aqBondObjectCleanPrice($L28,$C$4,$M28)</f>
        <v>95.148437570585088</v>
      </c>
      <c r="T28" s="49" cm="1">
        <f t="array" ref="T28">_xll.aqBondObjectDirtyPrice($L28,$C$4,$M28)</f>
        <v>95.722486483628572</v>
      </c>
      <c r="U28" s="18" cm="1">
        <f t="array" ref="U28">_xll.aqBondObjectModifiedDuration($L28,$C$4,$Q28)</f>
        <v>2.9309818949647504</v>
      </c>
      <c r="V28" s="93" cm="1">
        <f t="array" ref="V28">_xll.aqBondObjectDV01($L28,$C$4,$Q28)</f>
        <v>280.56087482452011</v>
      </c>
    </row>
    <row r="29" spans="2:22">
      <c r="B29" s="11" t="s">
        <v>268</v>
      </c>
      <c r="C29" s="11" t="s">
        <v>269</v>
      </c>
      <c r="D29" s="11" t="s">
        <v>269</v>
      </c>
      <c r="E29" s="12">
        <v>41943</v>
      </c>
      <c r="F29" s="15">
        <v>41943</v>
      </c>
      <c r="G29" s="14" t="str">
        <f t="shared" si="0"/>
        <v>EOM</v>
      </c>
      <c r="H29" s="12">
        <v>42124</v>
      </c>
      <c r="I29" s="12">
        <v>44316</v>
      </c>
      <c r="J29" s="13">
        <v>0.02</v>
      </c>
      <c r="K29" s="12">
        <v>44500</v>
      </c>
      <c r="L29" s="16" t="str" cm="1">
        <f t="array" ref="L29">_xll.aqBondObjectCreateFromGenerator($C29,$L$4,_xll.aqToolLVBFromKeysValues($C$7:$K$7,$C29:$K29))</f>
        <v>US912828F965:0</v>
      </c>
      <c r="M29" s="78">
        <v>2.9272994E-2</v>
      </c>
      <c r="N29" s="51">
        <v>97.320300000000003</v>
      </c>
      <c r="O29" s="17">
        <v>2.8942000000000001</v>
      </c>
      <c r="P29" s="95">
        <v>284.32</v>
      </c>
      <c r="Q29" s="39" cm="1">
        <f t="array" ref="Q29">_xll.aqBondObjectYield(L29,$C$4,R29)</f>
        <v>2.9272994000001478E-2</v>
      </c>
      <c r="R29" s="49" cm="1">
        <f t="array" ref="R29">_xll.aqBondObjectPrice($L29,$C$4,$M29)</f>
        <v>97.32031237164513</v>
      </c>
      <c r="S29" s="49" cm="1">
        <f t="array" ref="S29">_xll.aqBondObjectCleanPrice($L29,$C$4,$M29)</f>
        <v>97.32031237164513</v>
      </c>
      <c r="T29" s="49" cm="1">
        <f t="array" ref="T29">_xll.aqBondObjectDirtyPrice($L29,$C$4,$M29)</f>
        <v>98.238790632514693</v>
      </c>
      <c r="U29" s="18" cm="1">
        <f t="array" ref="U29">_xll.aqBondObjectModifiedDuration($L29,$C$4,$Q29)</f>
        <v>2.8941743518357126</v>
      </c>
      <c r="V29" s="93" cm="1">
        <f t="array" ref="V29">_xll.aqBondObjectDV01($L29,$C$4,$Q29)</f>
        <v>284.32018820398105</v>
      </c>
    </row>
    <row r="30" spans="2:22">
      <c r="B30" s="11" t="s">
        <v>234</v>
      </c>
      <c r="C30" s="11" t="s">
        <v>235</v>
      </c>
      <c r="D30" s="11" t="s">
        <v>235</v>
      </c>
      <c r="E30" s="12">
        <v>40862</v>
      </c>
      <c r="F30" s="15">
        <v>40862</v>
      </c>
      <c r="G30" s="14" t="str">
        <f t="shared" si="0"/>
        <v/>
      </c>
      <c r="H30" s="12">
        <v>41044</v>
      </c>
      <c r="I30" s="12">
        <v>44331</v>
      </c>
      <c r="J30" s="13">
        <v>0.02</v>
      </c>
      <c r="K30" s="12">
        <v>44515</v>
      </c>
      <c r="L30" s="16" t="str" cm="1">
        <f t="array" ref="L30">_xll.aqBondObjectCreateFromGenerator($C30,$L$4,_xll.aqToolLVBFromKeysValues($C$7:$K$7,$C30:$K30))</f>
        <v>US912828RR30:0</v>
      </c>
      <c r="M30" s="78">
        <v>2.9206481999999999E-2</v>
      </c>
      <c r="N30" s="51">
        <v>97.304699999999997</v>
      </c>
      <c r="O30" s="17">
        <v>2.9344999999999999</v>
      </c>
      <c r="P30" s="95">
        <v>287.99</v>
      </c>
      <c r="Q30" s="39" cm="1">
        <f t="array" ref="Q30">_xll.aqBondObjectYield(L30,$C$4,R30)</f>
        <v>2.9206482000001852E-2</v>
      </c>
      <c r="R30" s="49" cm="1">
        <f t="array" ref="R30">_xll.aqBondObjectPrice($L30,$C$4,$M30)</f>
        <v>97.304687474595227</v>
      </c>
      <c r="S30" s="49" cm="1">
        <f t="array" ref="S30">_xll.aqBondObjectCleanPrice($L30,$C$4,$M30)</f>
        <v>97.304687474595227</v>
      </c>
      <c r="T30" s="49" cm="1">
        <f t="array" ref="T30">_xll.aqBondObjectDirtyPrice($L30,$C$4,$M30)</f>
        <v>98.141643996334352</v>
      </c>
      <c r="U30" s="18" cm="1">
        <f t="array" ref="U30">_xll.aqBondObjectModifiedDuration($L30,$C$4,$Q30)</f>
        <v>2.9344574068624647</v>
      </c>
      <c r="V30" s="93" cm="1">
        <f t="array" ref="V30">_xll.aqBondObjectDV01($L30,$C$4,$Q30)</f>
        <v>287.99247414670089</v>
      </c>
    </row>
    <row r="31" spans="2:22">
      <c r="B31" s="11" t="s">
        <v>188</v>
      </c>
      <c r="C31" s="11" t="s">
        <v>189</v>
      </c>
      <c r="D31" s="11" t="s">
        <v>189</v>
      </c>
      <c r="E31" s="12">
        <v>42704</v>
      </c>
      <c r="F31" s="15">
        <v>42704</v>
      </c>
      <c r="G31" s="14" t="str">
        <f t="shared" si="0"/>
        <v>EOM</v>
      </c>
      <c r="H31" s="12">
        <v>42886</v>
      </c>
      <c r="I31" s="12">
        <v>44347</v>
      </c>
      <c r="J31" s="13">
        <v>1.7500000000000002E-2</v>
      </c>
      <c r="K31" s="12">
        <v>44530</v>
      </c>
      <c r="L31" s="16" t="str" cm="1">
        <f t="array" ref="L31">_xll.aqBondObjectCreateFromGenerator($C31,$L$4,_xll.aqToolLVBFromKeysValues($C$7:$K$7,$C31:$K31))</f>
        <v>US912828U659:0</v>
      </c>
      <c r="M31" s="78">
        <v>2.9305890999999997E-2</v>
      </c>
      <c r="N31" s="51">
        <v>96.5</v>
      </c>
      <c r="O31" s="17">
        <v>2.9872000000000001</v>
      </c>
      <c r="P31" s="95">
        <v>290.24</v>
      </c>
      <c r="Q31" s="39" cm="1">
        <f t="array" ref="Q31">_xll.aqBondObjectYield(L31,$C$4,R31)</f>
        <v>2.9305891000002571E-2</v>
      </c>
      <c r="R31" s="49" cm="1">
        <f t="array" ref="R31">_xll.aqBondObjectPrice($L31,$C$4,$M31)</f>
        <v>96.500000135570545</v>
      </c>
      <c r="S31" s="49" cm="1">
        <f t="array" ref="S31">_xll.aqBondObjectCleanPrice($L31,$C$4,$M31)</f>
        <v>96.500000135570545</v>
      </c>
      <c r="T31" s="49" cm="1">
        <f t="array" ref="T31">_xll.aqBondObjectDirtyPrice($L31,$C$4,$M31)</f>
        <v>97.159836201144316</v>
      </c>
      <c r="U31" s="18" cm="1">
        <f t="array" ref="U31">_xll.aqBondObjectModifiedDuration($L31,$C$4,$Q31)</f>
        <v>2.9871919991326985</v>
      </c>
      <c r="V31" s="93" cm="1">
        <f t="array" ref="V31">_xll.aqBondObjectDV01($L31,$C$4,$Q31)</f>
        <v>290.23508533709958</v>
      </c>
    </row>
    <row r="32" spans="2:22">
      <c r="B32" s="11" t="s">
        <v>246</v>
      </c>
      <c r="C32" s="11" t="s">
        <v>247</v>
      </c>
      <c r="D32" s="11" t="s">
        <v>247</v>
      </c>
      <c r="E32" s="12">
        <v>41974</v>
      </c>
      <c r="F32" s="15">
        <v>41973</v>
      </c>
      <c r="G32" s="14" t="str">
        <f t="shared" si="0"/>
        <v>EOM</v>
      </c>
      <c r="H32" s="12">
        <v>42155</v>
      </c>
      <c r="I32" s="12">
        <v>44347</v>
      </c>
      <c r="J32" s="13">
        <v>1.8749999999999999E-2</v>
      </c>
      <c r="K32" s="12">
        <v>44530</v>
      </c>
      <c r="L32" s="16" t="str" cm="1">
        <f t="array" ref="L32">_xll.aqBondObjectCreateFromGenerator($C32,$L$4,_xll.aqToolLVBFromKeysValues($C$7:$K$7,$C32:$K32))</f>
        <v>US912828G534:0</v>
      </c>
      <c r="M32" s="78">
        <v>2.9263114999999996E-2</v>
      </c>
      <c r="N32" s="51">
        <v>96.882800000000003</v>
      </c>
      <c r="O32" s="17">
        <v>2.9811999999999999</v>
      </c>
      <c r="P32" s="95">
        <v>290.93</v>
      </c>
      <c r="Q32" s="39" cm="1">
        <f t="array" ref="Q32">_xll.aqBondObjectYield(L32,$C$4,R32)</f>
        <v>2.9263115000002043E-2</v>
      </c>
      <c r="R32" s="49" cm="1">
        <f t="array" ref="R32">_xll.aqBondObjectPrice($L32,$C$4,$M32)</f>
        <v>96.882812415347729</v>
      </c>
      <c r="S32" s="49" cm="1">
        <f t="array" ref="S32">_xll.aqBondObjectCleanPrice($L32,$C$4,$M32)</f>
        <v>96.882812415347729</v>
      </c>
      <c r="T32" s="49" cm="1">
        <f t="array" ref="T32">_xll.aqBondObjectDirtyPrice($L32,$C$4,$M32)</f>
        <v>97.58977962846248</v>
      </c>
      <c r="U32" s="18" cm="1">
        <f t="array" ref="U32">_xll.aqBondObjectModifiedDuration($L32,$C$4,$Q32)</f>
        <v>2.981203286637188</v>
      </c>
      <c r="V32" s="93" cm="1">
        <f t="array" ref="V32">_xll.aqBondObjectDV01($L32,$C$4,$Q32)</f>
        <v>290.93497177056935</v>
      </c>
    </row>
    <row r="33" spans="2:22">
      <c r="B33" s="11" t="s">
        <v>198</v>
      </c>
      <c r="C33" s="11" t="s">
        <v>199</v>
      </c>
      <c r="D33" s="11" t="s">
        <v>199</v>
      </c>
      <c r="E33" s="12">
        <v>42004</v>
      </c>
      <c r="F33" s="15">
        <v>42004</v>
      </c>
      <c r="G33" s="14" t="str">
        <f t="shared" si="0"/>
        <v>EOM</v>
      </c>
      <c r="H33" s="12">
        <v>42185</v>
      </c>
      <c r="I33" s="12">
        <v>44377</v>
      </c>
      <c r="J33" s="13">
        <v>2.1250000000000002E-2</v>
      </c>
      <c r="K33" s="12">
        <v>44561</v>
      </c>
      <c r="L33" s="16" t="str" cm="1">
        <f t="array" ref="L33">_xll.aqBondObjectCreateFromGenerator($C33,$L$4,_xll.aqToolLVBFromKeysValues($C$7:$K$7,$C33:$K33))</f>
        <v>US912828G872:0</v>
      </c>
      <c r="M33" s="78">
        <v>2.9341429999999998E-2</v>
      </c>
      <c r="N33" s="51">
        <v>97.539100000000005</v>
      </c>
      <c r="O33" s="17">
        <v>3.0514999999999999</v>
      </c>
      <c r="P33" s="95">
        <v>299.54000000000002</v>
      </c>
      <c r="Q33" s="39" cm="1">
        <f t="array" ref="Q33">_xll.aqBondObjectYield(L33,$C$4,R33)</f>
        <v>2.9341430000001521E-2</v>
      </c>
      <c r="R33" s="49" cm="1">
        <f t="array" ref="R33">_xll.aqBondObjectPrice($L33,$C$4,$M33)</f>
        <v>97.539062645515614</v>
      </c>
      <c r="S33" s="49" cm="1">
        <f t="array" ref="S33">_xll.aqBondObjectCleanPrice($L33,$C$4,$M33)</f>
        <v>97.539062645515614</v>
      </c>
      <c r="T33" s="49" cm="1">
        <f t="array" ref="T33">_xll.aqBondObjectDirtyPrice($L33,$C$4,$M33)</f>
        <v>98.162703949863442</v>
      </c>
      <c r="U33" s="18" cm="1">
        <f t="array" ref="U33">_xll.aqBondObjectModifiedDuration($L33,$C$4,$Q33)</f>
        <v>3.0514688063426525</v>
      </c>
      <c r="V33" s="93" cm="1">
        <f t="array" ref="V33">_xll.aqBondObjectDV01($L33,$C$4,$Q33)</f>
        <v>299.54042904925581</v>
      </c>
    </row>
    <row r="34" spans="2:22">
      <c r="B34" s="11" t="s">
        <v>212</v>
      </c>
      <c r="C34" s="11" t="s">
        <v>213</v>
      </c>
      <c r="D34" s="11" t="s">
        <v>213</v>
      </c>
      <c r="E34" s="12">
        <v>42738</v>
      </c>
      <c r="F34" s="15">
        <v>42735</v>
      </c>
      <c r="G34" s="14" t="str">
        <f t="shared" si="0"/>
        <v>EOM</v>
      </c>
      <c r="H34" s="12">
        <v>42916</v>
      </c>
      <c r="I34" s="12">
        <v>44377</v>
      </c>
      <c r="J34" s="13">
        <v>0.02</v>
      </c>
      <c r="K34" s="12">
        <v>44561</v>
      </c>
      <c r="L34" s="16" t="str" cm="1">
        <f t="array" ref="L34">_xll.aqBondObjectCreateFromGenerator($C34,$L$4,_xll.aqToolLVBFromKeysValues($C$7:$K$7,$C34:$K34))</f>
        <v>US912828U816:0</v>
      </c>
      <c r="M34" s="78">
        <v>2.9377734000000003E-2</v>
      </c>
      <c r="N34" s="51">
        <v>97.148399999999995</v>
      </c>
      <c r="O34" s="17">
        <v>3.0573999999999999</v>
      </c>
      <c r="P34" s="95">
        <v>298.81</v>
      </c>
      <c r="Q34" s="39" cm="1">
        <f t="array" ref="Q34">_xll.aqBondObjectYield(L34,$C$4,R34)</f>
        <v>2.9377734000001769E-2</v>
      </c>
      <c r="R34" s="49" cm="1">
        <f t="array" ref="R34">_xll.aqBondObjectPrice($L34,$C$4,$M34)</f>
        <v>97.148437606824302</v>
      </c>
      <c r="S34" s="49" cm="1">
        <f t="array" ref="S34">_xll.aqBondObjectCleanPrice($L34,$C$4,$M34)</f>
        <v>97.148437606824302</v>
      </c>
      <c r="T34" s="49" cm="1">
        <f t="array" ref="T34">_xll.aqBondObjectDirtyPrice($L34,$C$4,$M34)</f>
        <v>97.735394128563428</v>
      </c>
      <c r="U34" s="18" cm="1">
        <f t="array" ref="U34">_xll.aqBondObjectModifiedDuration($L34,$C$4,$Q34)</f>
        <v>3.057364214584398</v>
      </c>
      <c r="V34" s="93" cm="1">
        <f t="array" ref="V34">_xll.aqBondObjectDV01($L34,$C$4,$Q34)</f>
        <v>298.81269650697027</v>
      </c>
    </row>
    <row r="35" spans="2:22">
      <c r="B35" s="11" t="s">
        <v>122</v>
      </c>
      <c r="C35" s="11" t="s">
        <v>123</v>
      </c>
      <c r="D35" s="11" t="s">
        <v>123</v>
      </c>
      <c r="E35" s="12">
        <v>42037</v>
      </c>
      <c r="F35" s="15">
        <v>42035</v>
      </c>
      <c r="G35" s="14" t="str">
        <f t="shared" si="0"/>
        <v>EOM</v>
      </c>
      <c r="H35" s="12">
        <v>42216</v>
      </c>
      <c r="I35" s="12">
        <v>44408</v>
      </c>
      <c r="J35" s="13">
        <v>1.4999999999999999E-2</v>
      </c>
      <c r="K35" s="12">
        <v>44592</v>
      </c>
      <c r="L35" s="16" t="str" cm="1">
        <f t="array" ref="L35">_xll.aqBondObjectCreateFromGenerator($C35,$L$4,_xll.aqToolLVBFromKeysValues($C$7:$K$7,$C35:$K35))</f>
        <v>US912828H862:0</v>
      </c>
      <c r="M35" s="78">
        <v>2.9392361999999998E-2</v>
      </c>
      <c r="N35" s="51">
        <v>95.515600000000006</v>
      </c>
      <c r="O35" s="17">
        <v>3.1646999999999998</v>
      </c>
      <c r="P35" s="95">
        <v>303.27</v>
      </c>
      <c r="Q35" s="39" cm="1">
        <f t="array" ref="Q35">_xll.aqBondObjectYield(L35,$C$4,R35)</f>
        <v>2.9392362000003877E-2</v>
      </c>
      <c r="R35" s="49" cm="1">
        <f t="array" ref="R35">_xll.aqBondObjectPrice($L35,$C$4,$M35)</f>
        <v>95.515625044693806</v>
      </c>
      <c r="S35" s="49" cm="1">
        <f t="array" ref="S35">_xll.aqBondObjectCleanPrice($L35,$C$4,$M35)</f>
        <v>95.515625044693806</v>
      </c>
      <c r="T35" s="49" cm="1">
        <f t="array" ref="T35">_xll.aqBondObjectDirtyPrice($L35,$C$4,$M35)</f>
        <v>95.829483740345978</v>
      </c>
      <c r="U35" s="18" cm="1">
        <f t="array" ref="U35">_xll.aqBondObjectModifiedDuration($L35,$C$4,$Q35)</f>
        <v>3.1647074482456645</v>
      </c>
      <c r="V35" s="93" cm="1">
        <f t="array" ref="V35">_xll.aqBondObjectDV01($L35,$C$4,$Q35)</f>
        <v>303.27228095460583</v>
      </c>
    </row>
    <row r="36" spans="2:22">
      <c r="B36" s="11" t="s">
        <v>236</v>
      </c>
      <c r="C36" s="11" t="s">
        <v>237</v>
      </c>
      <c r="D36" s="11" t="s">
        <v>237</v>
      </c>
      <c r="E36" s="12">
        <v>42766</v>
      </c>
      <c r="F36" s="15">
        <v>42766</v>
      </c>
      <c r="G36" s="14" t="str">
        <f t="shared" si="0"/>
        <v>EOM</v>
      </c>
      <c r="H36" s="12">
        <v>42947</v>
      </c>
      <c r="I36" s="12">
        <v>44408</v>
      </c>
      <c r="J36" s="13">
        <v>1.8749999999999999E-2</v>
      </c>
      <c r="K36" s="12">
        <v>44592</v>
      </c>
      <c r="L36" s="16" t="str" cm="1">
        <f t="array" ref="L36">_xll.aqBondObjectCreateFromGenerator($C36,$L$4,_xll.aqToolLVBFromKeysValues($C$7:$K$7,$C36:$K36))</f>
        <v>US912828V723:0</v>
      </c>
      <c r="M36" s="78">
        <v>2.9455586999999998E-2</v>
      </c>
      <c r="N36" s="51">
        <v>96.664100000000005</v>
      </c>
      <c r="O36" s="17">
        <v>3.1463000000000001</v>
      </c>
      <c r="P36" s="95">
        <v>305.36</v>
      </c>
      <c r="Q36" s="39" cm="1">
        <f t="array" ref="Q36">_xll.aqBondObjectYield(L36,$C$4,R36)</f>
        <v>2.9455587000002795E-2</v>
      </c>
      <c r="R36" s="49" cm="1">
        <f t="array" ref="R36">_xll.aqBondObjectPrice($L36,$C$4,$M36)</f>
        <v>96.664062385657104</v>
      </c>
      <c r="S36" s="49" cm="1">
        <f t="array" ref="S36">_xll.aqBondObjectCleanPrice($L36,$C$4,$M36)</f>
        <v>96.664062385657104</v>
      </c>
      <c r="T36" s="49" cm="1">
        <f t="array" ref="T36">_xll.aqBondObjectDirtyPrice($L36,$C$4,$M36)</f>
        <v>97.056385755222323</v>
      </c>
      <c r="U36" s="18" cm="1">
        <f t="array" ref="U36">_xll.aqBondObjectModifiedDuration($L36,$C$4,$Q36)</f>
        <v>3.1462567542633253</v>
      </c>
      <c r="V36" s="93" cm="1">
        <f t="array" ref="V36">_xll.aqBondObjectDV01($L36,$C$4,$Q36)</f>
        <v>305.36430922675237</v>
      </c>
    </row>
    <row r="37" spans="2:22">
      <c r="B37" s="11" t="s">
        <v>242</v>
      </c>
      <c r="C37" s="11" t="s">
        <v>243</v>
      </c>
      <c r="D37" s="11" t="s">
        <v>243</v>
      </c>
      <c r="E37" s="12">
        <v>40954</v>
      </c>
      <c r="F37" s="15">
        <v>40954</v>
      </c>
      <c r="G37" s="14" t="str">
        <f t="shared" si="0"/>
        <v/>
      </c>
      <c r="H37" s="12">
        <v>41136</v>
      </c>
      <c r="I37" s="12">
        <v>44423</v>
      </c>
      <c r="J37" s="13">
        <v>0.02</v>
      </c>
      <c r="K37" s="12">
        <v>44607</v>
      </c>
      <c r="L37" s="16" t="str" cm="1">
        <f t="array" ref="L37">_xll.aqBondObjectCreateFromGenerator($C37,$L$4,_xll.aqToolLVBFromKeysValues($C$7:$K$7,$C37:$K37))</f>
        <v>US912828SF82:0</v>
      </c>
      <c r="M37" s="78">
        <v>2.9364549000000004E-2</v>
      </c>
      <c r="N37" s="51">
        <v>97.046899999999994</v>
      </c>
      <c r="O37" s="17">
        <v>3.1806000000000001</v>
      </c>
      <c r="P37" s="95">
        <v>309.74</v>
      </c>
      <c r="Q37" s="39" cm="1">
        <f t="array" ref="Q37">_xll.aqBondObjectYield(L37,$C$4,R37)</f>
        <v>2.9364549000001766E-2</v>
      </c>
      <c r="R37" s="49" cm="1">
        <f t="array" ref="R37">_xll.aqBondObjectPrice($L37,$C$4,$M37)</f>
        <v>97.046874911617465</v>
      </c>
      <c r="S37" s="49" cm="1">
        <f t="array" ref="S37">_xll.aqBondObjectCleanPrice($L37,$C$4,$M37)</f>
        <v>97.046874911617465</v>
      </c>
      <c r="T37" s="49" cm="1">
        <f t="array" ref="T37">_xll.aqBondObjectDirtyPrice($L37,$C$4,$M37)</f>
        <v>97.38383143335659</v>
      </c>
      <c r="U37" s="18" cm="1">
        <f t="array" ref="U37">_xll.aqBondObjectModifiedDuration($L37,$C$4,$Q37)</f>
        <v>3.1805781253592107</v>
      </c>
      <c r="V37" s="93" cm="1">
        <f t="array" ref="V37">_xll.aqBondObjectDV01($L37,$C$4,$Q37)</f>
        <v>309.73688402060088</v>
      </c>
    </row>
    <row r="38" spans="2:22">
      <c r="B38" s="11" t="s">
        <v>180</v>
      </c>
      <c r="C38" s="11" t="s">
        <v>181</v>
      </c>
      <c r="D38" s="11" t="s">
        <v>181</v>
      </c>
      <c r="E38" s="12">
        <v>42065</v>
      </c>
      <c r="F38" s="15">
        <v>42063</v>
      </c>
      <c r="G38" s="14" t="str">
        <f t="shared" si="0"/>
        <v>EOM</v>
      </c>
      <c r="H38" s="12">
        <v>42247</v>
      </c>
      <c r="I38" s="12">
        <v>44439</v>
      </c>
      <c r="J38" s="13">
        <v>1.7500000000000002E-2</v>
      </c>
      <c r="K38" s="12">
        <v>44620</v>
      </c>
      <c r="L38" s="16" t="str" cm="1">
        <f t="array" ref="L38">_xll.aqBondObjectCreateFromGenerator($C38,$L$4,_xll.aqToolLVBFromKeysValues($C$7:$K$7,$C38:$K38))</f>
        <v>US912828J439:0</v>
      </c>
      <c r="M38" s="78">
        <v>2.9403021000000001E-2</v>
      </c>
      <c r="N38" s="51">
        <v>96.203100000000006</v>
      </c>
      <c r="O38" s="17">
        <v>3.2334000000000001</v>
      </c>
      <c r="P38" s="95">
        <v>311.77999999999997</v>
      </c>
      <c r="Q38" s="39" cm="1">
        <f t="array" ref="Q38">_xll.aqBondObjectYield(L38,$C$4,R38)</f>
        <v>2.9403021000002083E-2</v>
      </c>
      <c r="R38" s="49" cm="1">
        <f t="array" ref="R38">_xll.aqBondObjectPrice($L38,$C$4,$M38)</f>
        <v>96.203124901066559</v>
      </c>
      <c r="S38" s="49" cm="1">
        <f t="array" ref="S38">_xll.aqBondObjectCleanPrice($L38,$C$4,$M38)</f>
        <v>96.203124901066559</v>
      </c>
      <c r="T38" s="49" cm="1">
        <f t="array" ref="T38">_xll.aqBondObjectDirtyPrice($L38,$C$4,$M38)</f>
        <v>96.425500591674293</v>
      </c>
      <c r="U38" s="18" cm="1">
        <f t="array" ref="U38">_xll.aqBondObjectModifiedDuration($L38,$C$4,$Q38)</f>
        <v>3.233386441063947</v>
      </c>
      <c r="V38" s="93" cm="1">
        <f t="array" ref="V38">_xll.aqBondObjectDV01($L38,$C$4,$Q38)</f>
        <v>311.78090618592097</v>
      </c>
    </row>
    <row r="39" spans="2:22">
      <c r="B39" s="11" t="s">
        <v>240</v>
      </c>
      <c r="C39" s="11" t="s">
        <v>241</v>
      </c>
      <c r="D39" s="11" t="s">
        <v>241</v>
      </c>
      <c r="E39" s="12">
        <v>42794</v>
      </c>
      <c r="F39" s="15">
        <v>42794</v>
      </c>
      <c r="G39" s="14" t="str">
        <f t="shared" si="0"/>
        <v>EOM</v>
      </c>
      <c r="H39" s="12">
        <v>42978</v>
      </c>
      <c r="I39" s="12">
        <v>44439</v>
      </c>
      <c r="J39" s="13">
        <v>1.8749999999999999E-2</v>
      </c>
      <c r="K39" s="12">
        <v>44620</v>
      </c>
      <c r="L39" s="16" t="str" cm="1">
        <f t="array" ref="L39">_xll.aqBondObjectCreateFromGenerator($C39,$L$4,_xll.aqToolLVBFromKeysValues($C$7:$K$7,$C39:$K39))</f>
        <v>US912828W556:0</v>
      </c>
      <c r="M39" s="78">
        <v>2.9453274000000002E-2</v>
      </c>
      <c r="N39" s="51">
        <v>96.585899999999995</v>
      </c>
      <c r="O39" s="17">
        <v>3.2271999999999998</v>
      </c>
      <c r="P39" s="95">
        <v>312.47000000000003</v>
      </c>
      <c r="Q39" s="39" cm="1">
        <f t="array" ref="Q39">_xll.aqBondObjectYield(L39,$C$4,R39)</f>
        <v>2.9453274000002305E-2</v>
      </c>
      <c r="R39" s="49" cm="1">
        <f t="array" ref="R39">_xll.aqBondObjectPrice($L39,$C$4,$M39)</f>
        <v>96.585937523974934</v>
      </c>
      <c r="S39" s="49" cm="1">
        <f t="array" ref="S39">_xll.aqBondObjectCleanPrice($L39,$C$4,$M39)</f>
        <v>96.585937523974934</v>
      </c>
      <c r="T39" s="49" cm="1">
        <f t="array" ref="T39">_xll.aqBondObjectDirtyPrice($L39,$C$4,$M39)</f>
        <v>96.824197192483226</v>
      </c>
      <c r="U39" s="18" cm="1">
        <f t="array" ref="U39">_xll.aqBondObjectModifiedDuration($L39,$C$4,$Q39)</f>
        <v>3.2272356202424062</v>
      </c>
      <c r="V39" s="93" cm="1">
        <f t="array" ref="V39">_xll.aqBondObjectDV01($L39,$C$4,$Q39)</f>
        <v>312.47449808095439</v>
      </c>
    </row>
    <row r="40" spans="2:22">
      <c r="B40" s="11" t="s">
        <v>200</v>
      </c>
      <c r="C40" s="11" t="s">
        <v>201</v>
      </c>
      <c r="D40" s="11" t="s">
        <v>201</v>
      </c>
      <c r="E40" s="12">
        <v>42094</v>
      </c>
      <c r="F40" s="15">
        <v>42094</v>
      </c>
      <c r="G40" s="14" t="str">
        <f t="shared" ref="G40:G71" si="1">IF(DAY(K40+1)=1, "EOM","")</f>
        <v>EOM</v>
      </c>
      <c r="H40" s="12">
        <v>42277</v>
      </c>
      <c r="I40" s="12">
        <v>44469</v>
      </c>
      <c r="J40" s="13">
        <v>1.7500000000000002E-2</v>
      </c>
      <c r="K40" s="12">
        <v>44651</v>
      </c>
      <c r="L40" s="16" t="str" cm="1">
        <f t="array" ref="L40">_xll.aqBondObjectCreateFromGenerator($C40,$L$4,_xll.aqToolLVBFromKeysValues($C$7:$K$7,$C40:$K40))</f>
        <v>US912828J769:0</v>
      </c>
      <c r="M40" s="78">
        <v>2.9444930000000001E-2</v>
      </c>
      <c r="N40" s="51">
        <v>96.101600000000005</v>
      </c>
      <c r="O40" s="17">
        <v>3.3151999999999999</v>
      </c>
      <c r="P40" s="95">
        <v>318.85000000000002</v>
      </c>
      <c r="Q40" s="39" cm="1">
        <f t="array" ref="Q40">_xll.aqBondObjectYield(L40,$C$4,R40)</f>
        <v>2.9444930000002773E-2</v>
      </c>
      <c r="R40" s="49" cm="1">
        <f t="array" ref="R40">_xll.aqBondObjectPrice($L40,$C$4,$M40)</f>
        <v>96.101562633664727</v>
      </c>
      <c r="S40" s="49" cm="1">
        <f t="array" ref="S40">_xll.aqBondObjectCleanPrice($L40,$C$4,$M40)</f>
        <v>96.101562633664727</v>
      </c>
      <c r="T40" s="49" cm="1">
        <f t="array" ref="T40">_xll.aqBondObjectDirtyPrice($L40,$C$4,$M40)</f>
        <v>96.178485710587807</v>
      </c>
      <c r="U40" s="18" cm="1">
        <f t="array" ref="U40">_xll.aqBondObjectModifiedDuration($L40,$C$4,$Q40)</f>
        <v>3.3152217042562366</v>
      </c>
      <c r="V40" s="93" cm="1">
        <f t="array" ref="V40">_xll.aqBondObjectDV01($L40,$C$4,$Q40)</f>
        <v>318.85300331023615</v>
      </c>
    </row>
    <row r="41" spans="2:22">
      <c r="B41" s="11" t="s">
        <v>256</v>
      </c>
      <c r="C41" s="11" t="s">
        <v>257</v>
      </c>
      <c r="D41" s="11" t="s">
        <v>257</v>
      </c>
      <c r="E41" s="12">
        <v>42124</v>
      </c>
      <c r="F41" s="15">
        <v>42124</v>
      </c>
      <c r="G41" s="14" t="str">
        <f t="shared" si="1"/>
        <v>EOM</v>
      </c>
      <c r="H41" s="12">
        <v>42308</v>
      </c>
      <c r="I41" s="12">
        <v>44500</v>
      </c>
      <c r="J41" s="13">
        <v>1.7500000000000002E-2</v>
      </c>
      <c r="K41" s="12">
        <v>44681</v>
      </c>
      <c r="L41" s="16" t="str" cm="1">
        <f t="array" ref="L41">_xll.aqBondObjectCreateFromGenerator($C41,$L$4,_xll.aqToolLVBFromKeysValues($C$7:$K$7,$C41:$K41))</f>
        <v>US912828WZ90:0</v>
      </c>
      <c r="M41" s="78">
        <v>2.9502328000000001E-2</v>
      </c>
      <c r="N41" s="51">
        <v>95.992199999999997</v>
      </c>
      <c r="O41" s="17">
        <v>3.3683000000000001</v>
      </c>
      <c r="P41" s="95">
        <v>326.04000000000002</v>
      </c>
      <c r="Q41" s="39" cm="1">
        <f t="array" ref="Q41">_xll.aqBondObjectYield(L41,$C$4,R41)</f>
        <v>2.9502328000002465E-2</v>
      </c>
      <c r="R41" s="49" cm="1">
        <f t="array" ref="R41">_xll.aqBondObjectPrice($L41,$C$4,$M41)</f>
        <v>95.992187345052315</v>
      </c>
      <c r="S41" s="49" cm="1">
        <f t="array" ref="S41">_xll.aqBondObjectCleanPrice($L41,$C$4,$M41)</f>
        <v>95.992187345052315</v>
      </c>
      <c r="T41" s="49" cm="1">
        <f t="array" ref="T41">_xll.aqBondObjectDirtyPrice($L41,$C$4,$M41)</f>
        <v>96.79585582331319</v>
      </c>
      <c r="U41" s="18" cm="1">
        <f t="array" ref="U41">_xll.aqBondObjectModifiedDuration($L41,$C$4,$Q41)</f>
        <v>3.3682797979716512</v>
      </c>
      <c r="V41" s="93" cm="1">
        <f t="array" ref="V41">_xll.aqBondObjectDV01($L41,$C$4,$Q41)</f>
        <v>326.03552569703947</v>
      </c>
    </row>
    <row r="42" spans="2:22">
      <c r="B42" s="11" t="s">
        <v>164</v>
      </c>
      <c r="C42" s="11" t="s">
        <v>165</v>
      </c>
      <c r="D42" s="11" t="s">
        <v>165</v>
      </c>
      <c r="E42" s="12">
        <v>41044</v>
      </c>
      <c r="F42" s="15">
        <v>41044</v>
      </c>
      <c r="G42" s="14" t="str">
        <f t="shared" si="1"/>
        <v/>
      </c>
      <c r="H42" s="12">
        <v>41228</v>
      </c>
      <c r="I42" s="12">
        <v>44515</v>
      </c>
      <c r="J42" s="13">
        <v>1.7500000000000002E-2</v>
      </c>
      <c r="K42" s="12">
        <v>44696</v>
      </c>
      <c r="L42" s="16" t="str" cm="1">
        <f t="array" ref="L42">_xll.aqBondObjectCreateFromGenerator($C42,$L$4,_xll.aqToolLVBFromKeysValues($C$7:$K$7,$C42:$K42))</f>
        <v>US912828SV33:0</v>
      </c>
      <c r="M42" s="78">
        <v>2.9510595999999997E-2</v>
      </c>
      <c r="N42" s="51">
        <v>95.945300000000003</v>
      </c>
      <c r="O42" s="17">
        <v>3.4083999999999999</v>
      </c>
      <c r="P42" s="95">
        <v>329.52</v>
      </c>
      <c r="Q42" s="39" cm="1">
        <f t="array" ref="Q42">_xll.aqBondObjectYield(L42,$C$4,R42)</f>
        <v>2.951059600000272E-2</v>
      </c>
      <c r="R42" s="49" cm="1">
        <f t="array" ref="R42">_xll.aqBondObjectPrice($L42,$C$4,$M42)</f>
        <v>95.945312532762827</v>
      </c>
      <c r="S42" s="49" cm="1">
        <f t="array" ref="S42">_xll.aqBondObjectCleanPrice($L42,$C$4,$M42)</f>
        <v>95.945312532762827</v>
      </c>
      <c r="T42" s="49" cm="1">
        <f t="array" ref="T42">_xll.aqBondObjectDirtyPrice($L42,$C$4,$M42)</f>
        <v>96.677649489284562</v>
      </c>
      <c r="U42" s="18" cm="1">
        <f t="array" ref="U42">_xll.aqBondObjectModifiedDuration($L42,$C$4,$Q42)</f>
        <v>3.4084318867795198</v>
      </c>
      <c r="V42" s="93" cm="1">
        <f t="array" ref="V42">_xll.aqBondObjectDV01($L42,$C$4,$Q42)</f>
        <v>329.51918325816825</v>
      </c>
    </row>
    <row r="43" spans="2:22">
      <c r="B43" s="11" t="s">
        <v>220</v>
      </c>
      <c r="C43" s="11" t="s">
        <v>221</v>
      </c>
      <c r="D43" s="11" t="s">
        <v>221</v>
      </c>
      <c r="E43" s="12">
        <v>42156</v>
      </c>
      <c r="F43" s="15">
        <v>42155</v>
      </c>
      <c r="G43" s="14" t="str">
        <f t="shared" si="1"/>
        <v>EOM</v>
      </c>
      <c r="H43" s="12">
        <v>42338</v>
      </c>
      <c r="I43" s="12">
        <v>44530</v>
      </c>
      <c r="J43" s="13">
        <v>1.8749999999999999E-2</v>
      </c>
      <c r="K43" s="12">
        <v>44712</v>
      </c>
      <c r="L43" s="16" t="str" cm="1">
        <f t="array" ref="L43">_xll.aqBondObjectCreateFromGenerator($C43,$L$4,_xll.aqToolLVBFromKeysValues($C$7:$K$7,$C43:$K43))</f>
        <v>US912828XD79:0</v>
      </c>
      <c r="M43" s="78">
        <v>2.9530596999999999E-2</v>
      </c>
      <c r="N43" s="51">
        <v>96.320300000000003</v>
      </c>
      <c r="O43" s="17">
        <v>3.4411999999999998</v>
      </c>
      <c r="P43" s="95">
        <v>333.89</v>
      </c>
      <c r="Q43" s="39" cm="1">
        <f t="array" ref="Q43">_xll.aqBondObjectYield(L43,$C$4,R43)</f>
        <v>2.9530597000002597E-2</v>
      </c>
      <c r="R43" s="49" cm="1">
        <f t="array" ref="R43">_xll.aqBondObjectPrice($L43,$C$4,$M43)</f>
        <v>96.320312384928116</v>
      </c>
      <c r="S43" s="49" cm="1">
        <f t="array" ref="S43">_xll.aqBondObjectCleanPrice($L43,$C$4,$M43)</f>
        <v>96.320312384928116</v>
      </c>
      <c r="T43" s="49" cm="1">
        <f t="array" ref="T43">_xll.aqBondObjectDirtyPrice($L43,$C$4,$M43)</f>
        <v>97.027279598042867</v>
      </c>
      <c r="U43" s="18" cm="1">
        <f t="array" ref="U43">_xll.aqBondObjectModifiedDuration($L43,$C$4,$Q43)</f>
        <v>3.4412076402662555</v>
      </c>
      <c r="V43" s="93" cm="1">
        <f t="array" ref="V43">_xll.aqBondObjectDV01($L43,$C$4,$Q43)</f>
        <v>333.89101586703225</v>
      </c>
    </row>
    <row r="44" spans="2:22">
      <c r="B44" s="11" t="s">
        <v>232</v>
      </c>
      <c r="C44" s="11" t="s">
        <v>233</v>
      </c>
      <c r="D44" s="11" t="s">
        <v>233</v>
      </c>
      <c r="E44" s="12">
        <v>42185</v>
      </c>
      <c r="F44" s="15">
        <v>42185</v>
      </c>
      <c r="G44" s="14" t="str">
        <f t="shared" si="1"/>
        <v>EOM</v>
      </c>
      <c r="H44" s="12">
        <v>42369</v>
      </c>
      <c r="I44" s="12">
        <v>44561</v>
      </c>
      <c r="J44" s="13">
        <v>2.1250000000000002E-2</v>
      </c>
      <c r="K44" s="12">
        <v>44742</v>
      </c>
      <c r="L44" s="16" t="str" cm="1">
        <f t="array" ref="L44">_xll.aqBondObjectCreateFromGenerator($C44,$L$4,_xll.aqToolLVBFromKeysValues($C$7:$K$7,$C44:$K44))</f>
        <v>US912828XG01:0</v>
      </c>
      <c r="M44" s="78">
        <v>2.9535388999999999E-2</v>
      </c>
      <c r="N44" s="51">
        <v>97.109399999999994</v>
      </c>
      <c r="O44" s="17">
        <v>3.5078</v>
      </c>
      <c r="P44" s="95">
        <v>342.82</v>
      </c>
      <c r="Q44" s="39" cm="1">
        <f t="array" ref="Q44">_xll.aqBondObjectYield(L44,$C$4,R44)</f>
        <v>2.9535389000001314E-2</v>
      </c>
      <c r="R44" s="49" cm="1">
        <f t="array" ref="R44">_xll.aqBondObjectPrice($L44,$C$4,$M44)</f>
        <v>97.109374979996062</v>
      </c>
      <c r="S44" s="49" cm="1">
        <f t="array" ref="S44">_xll.aqBondObjectCleanPrice($L44,$C$4,$M44)</f>
        <v>97.109374979996062</v>
      </c>
      <c r="T44" s="49" cm="1">
        <f t="array" ref="T44">_xll.aqBondObjectDirtyPrice($L44,$C$4,$M44)</f>
        <v>97.73301628434389</v>
      </c>
      <c r="U44" s="18" cm="1">
        <f t="array" ref="U44">_xll.aqBondObjectModifiedDuration($L44,$C$4,$Q44)</f>
        <v>3.5077625831268038</v>
      </c>
      <c r="V44" s="93" cm="1">
        <f t="array" ref="V44">_xll.aqBondObjectDV01($L44,$C$4,$Q44)</f>
        <v>342.82421765834249</v>
      </c>
    </row>
    <row r="45" spans="2:22">
      <c r="B45" s="11" t="s">
        <v>260</v>
      </c>
      <c r="C45" s="11" t="s">
        <v>261</v>
      </c>
      <c r="D45" s="11" t="s">
        <v>261</v>
      </c>
      <c r="E45" s="12">
        <v>42216</v>
      </c>
      <c r="F45" s="15">
        <v>42216</v>
      </c>
      <c r="G45" s="14" t="str">
        <f t="shared" si="1"/>
        <v>EOM</v>
      </c>
      <c r="H45" s="12">
        <v>42400</v>
      </c>
      <c r="I45" s="12">
        <v>44592</v>
      </c>
      <c r="J45" s="13">
        <v>0.02</v>
      </c>
      <c r="K45" s="12">
        <v>44773</v>
      </c>
      <c r="L45" s="16" t="str" cm="1">
        <f t="array" ref="L45">_xll.aqBondObjectCreateFromGenerator($C45,$L$4,_xll.aqToolLVBFromKeysValues($C$7:$K$7,$C45:$K45))</f>
        <v>US912828XQ82:0</v>
      </c>
      <c r="M45" s="78">
        <v>2.9559661999999997E-2</v>
      </c>
      <c r="N45" s="51">
        <v>96.593800000000002</v>
      </c>
      <c r="O45" s="17">
        <v>3.5985999999999998</v>
      </c>
      <c r="P45" s="95">
        <v>349.11</v>
      </c>
      <c r="Q45" s="39" cm="1">
        <f t="array" ref="Q45">_xll.aqBondObjectYield(L45,$C$4,R45)</f>
        <v>2.9559662000002051E-2</v>
      </c>
      <c r="R45" s="49" cm="1">
        <f t="array" ref="R45">_xll.aqBondObjectPrice($L45,$C$4,$M45)</f>
        <v>96.593750168540765</v>
      </c>
      <c r="S45" s="49" cm="1">
        <f t="array" ref="S45">_xll.aqBondObjectCleanPrice($L45,$C$4,$M45)</f>
        <v>96.593750168540765</v>
      </c>
      <c r="T45" s="49" cm="1">
        <f t="array" ref="T45">_xll.aqBondObjectDirtyPrice($L45,$C$4,$M45)</f>
        <v>97.012228429410328</v>
      </c>
      <c r="U45" s="18" cm="1">
        <f t="array" ref="U45">_xll.aqBondObjectModifiedDuration($L45,$C$4,$Q45)</f>
        <v>3.5985817108554912</v>
      </c>
      <c r="V45" s="93" cm="1">
        <f t="array" ref="V45">_xll.aqBondObjectDV01($L45,$C$4,$Q45)</f>
        <v>349.10643095540826</v>
      </c>
    </row>
    <row r="46" spans="2:22">
      <c r="B46" s="11" t="s">
        <v>128</v>
      </c>
      <c r="C46" s="11" t="s">
        <v>129</v>
      </c>
      <c r="D46" s="11" t="s">
        <v>129</v>
      </c>
      <c r="E46" s="12">
        <v>41136</v>
      </c>
      <c r="F46" s="15">
        <v>41136</v>
      </c>
      <c r="G46" s="14" t="str">
        <f t="shared" si="1"/>
        <v/>
      </c>
      <c r="H46" s="12">
        <v>41320</v>
      </c>
      <c r="I46" s="12">
        <v>44607</v>
      </c>
      <c r="J46" s="13">
        <v>1.6250000000000001E-2</v>
      </c>
      <c r="K46" s="12">
        <v>44788</v>
      </c>
      <c r="L46" s="16" t="str" cm="1">
        <f t="array" ref="L46">_xll.aqBondObjectCreateFromGenerator($C46,$L$4,_xll.aqToolLVBFromKeysValues($C$7:$K$7,$C46:$K46))</f>
        <v>US912828TJ95:0</v>
      </c>
      <c r="M46" s="78">
        <v>2.9603283000000001E-2</v>
      </c>
      <c r="N46" s="51">
        <v>95.195300000000003</v>
      </c>
      <c r="O46" s="17">
        <v>3.6627000000000001</v>
      </c>
      <c r="P46" s="95">
        <v>349.67</v>
      </c>
      <c r="Q46" s="39" cm="1">
        <f t="array" ref="Q46">_xll.aqBondObjectYield(L46,$C$4,R46)</f>
        <v>2.9603283000004022E-2</v>
      </c>
      <c r="R46" s="49" cm="1">
        <f t="array" ref="R46">_xll.aqBondObjectPrice($L46,$C$4,$M46)</f>
        <v>95.195312469414731</v>
      </c>
      <c r="S46" s="49" cm="1">
        <f t="array" ref="S46">_xll.aqBondObjectCleanPrice($L46,$C$4,$M46)</f>
        <v>95.195312469414731</v>
      </c>
      <c r="T46" s="49" cm="1">
        <f t="array" ref="T46">_xll.aqBondObjectDirtyPrice($L46,$C$4,$M46)</f>
        <v>95.469089643327777</v>
      </c>
      <c r="U46" s="18" cm="1">
        <f t="array" ref="U46">_xll.aqBondObjectModifiedDuration($L46,$C$4,$Q46)</f>
        <v>3.6626944843199727</v>
      </c>
      <c r="V46" s="93" cm="1">
        <f t="array" ref="V46">_xll.aqBondObjectDV01($L46,$C$4,$Q46)</f>
        <v>349.67410805966057</v>
      </c>
    </row>
    <row r="47" spans="2:22">
      <c r="B47" s="11" t="s">
        <v>192</v>
      </c>
      <c r="C47" s="11" t="s">
        <v>193</v>
      </c>
      <c r="D47" s="11" t="s">
        <v>193</v>
      </c>
      <c r="E47" s="12">
        <v>42247</v>
      </c>
      <c r="F47" s="15">
        <v>42247</v>
      </c>
      <c r="G47" s="14" t="str">
        <f t="shared" si="1"/>
        <v>EOM</v>
      </c>
      <c r="H47" s="12">
        <v>42429</v>
      </c>
      <c r="I47" s="12">
        <v>44620</v>
      </c>
      <c r="J47" s="13">
        <v>1.8749999999999999E-2</v>
      </c>
      <c r="K47" s="12">
        <v>44804</v>
      </c>
      <c r="L47" s="16" t="str" cm="1">
        <f t="array" ref="L47">_xll.aqBondObjectCreateFromGenerator($C47,$L$4,_xll.aqToolLVBFromKeysValues($C$7:$K$7,$C47:$K47))</f>
        <v>US912828L245:0</v>
      </c>
      <c r="M47" s="78">
        <v>2.9669585999999998E-2</v>
      </c>
      <c r="N47" s="51">
        <v>96.031300000000002</v>
      </c>
      <c r="O47" s="17">
        <v>3.6873</v>
      </c>
      <c r="P47" s="95">
        <v>354.97</v>
      </c>
      <c r="Q47" s="39" cm="1">
        <f t="array" ref="Q47">_xll.aqBondObjectYield(L47,$C$4,R47)</f>
        <v>2.9669586000003193E-2</v>
      </c>
      <c r="R47" s="49" cm="1">
        <f t="array" ref="R47">_xll.aqBondObjectPrice($L47,$C$4,$M47)</f>
        <v>96.031250073433569</v>
      </c>
      <c r="S47" s="49" cm="1">
        <f t="array" ref="S47">_xll.aqBondObjectCleanPrice($L47,$C$4,$M47)</f>
        <v>96.031250073433569</v>
      </c>
      <c r="T47" s="49" cm="1">
        <f t="array" ref="T47">_xll.aqBondObjectDirtyPrice($L47,$C$4,$M47)</f>
        <v>96.26950974194186</v>
      </c>
      <c r="U47" s="18" cm="1">
        <f t="array" ref="U47">_xll.aqBondObjectModifiedDuration($L47,$C$4,$Q47)</f>
        <v>3.6872529384071253</v>
      </c>
      <c r="V47" s="93" cm="1">
        <f t="array" ref="V47">_xll.aqBondObjectDV01($L47,$C$4,$Q47)</f>
        <v>354.97003267498388</v>
      </c>
    </row>
    <row r="48" spans="2:22">
      <c r="B48" s="11" t="s">
        <v>154</v>
      </c>
      <c r="C48" s="11" t="s">
        <v>155</v>
      </c>
      <c r="D48" s="11" t="s">
        <v>155</v>
      </c>
      <c r="E48" s="12">
        <v>42277</v>
      </c>
      <c r="F48" s="15">
        <v>42277</v>
      </c>
      <c r="G48" s="14" t="str">
        <f t="shared" si="1"/>
        <v>EOM</v>
      </c>
      <c r="H48" s="12">
        <v>42460</v>
      </c>
      <c r="I48" s="12">
        <v>44651</v>
      </c>
      <c r="J48" s="13">
        <v>1.7500000000000002E-2</v>
      </c>
      <c r="K48" s="12">
        <v>44834</v>
      </c>
      <c r="L48" s="16" t="str" cm="1">
        <f t="array" ref="L48">_xll.aqBondObjectCreateFromGenerator($C48,$L$4,_xll.aqToolLVBFromKeysValues($C$7:$K$7,$C48:$K48))</f>
        <v>US912828L575:0</v>
      </c>
      <c r="M48" s="78">
        <v>2.9659102000000003E-2</v>
      </c>
      <c r="N48" s="51">
        <v>95.492199999999997</v>
      </c>
      <c r="O48" s="17">
        <v>3.7772000000000001</v>
      </c>
      <c r="P48" s="95">
        <v>360.98</v>
      </c>
      <c r="Q48" s="39" cm="1">
        <f t="array" ref="Q48">_xll.aqBondObjectYield(L48,$C$4,R48)</f>
        <v>2.9659102000004021E-2</v>
      </c>
      <c r="R48" s="49" cm="1">
        <f t="array" ref="R48">_xll.aqBondObjectPrice($L48,$C$4,$M48)</f>
        <v>95.492187590069676</v>
      </c>
      <c r="S48" s="49" cm="1">
        <f t="array" ref="S48">_xll.aqBondObjectCleanPrice($L48,$C$4,$M48)</f>
        <v>95.492187590069676</v>
      </c>
      <c r="T48" s="49" cm="1">
        <f t="array" ref="T48">_xll.aqBondObjectDirtyPrice($L48,$C$4,$M48)</f>
        <v>95.569110666992756</v>
      </c>
      <c r="U48" s="18" cm="1">
        <f t="array" ref="U48">_xll.aqBondObjectModifiedDuration($L48,$C$4,$Q48)</f>
        <v>3.7771893900213929</v>
      </c>
      <c r="V48" s="93" cm="1">
        <f t="array" ref="V48">_xll.aqBondObjectDV01($L48,$C$4,$Q48)</f>
        <v>360.98263082513995</v>
      </c>
    </row>
    <row r="49" spans="2:22">
      <c r="B49" s="11" t="s">
        <v>258</v>
      </c>
      <c r="C49" s="11" t="s">
        <v>259</v>
      </c>
      <c r="D49" s="11" t="s">
        <v>259</v>
      </c>
      <c r="E49" s="12">
        <v>42310</v>
      </c>
      <c r="F49" s="15">
        <v>42308</v>
      </c>
      <c r="G49" s="14" t="str">
        <f t="shared" si="1"/>
        <v>EOM</v>
      </c>
      <c r="H49" s="12">
        <v>42490</v>
      </c>
      <c r="I49" s="12">
        <v>44681</v>
      </c>
      <c r="J49" s="13">
        <v>1.8749999999999999E-2</v>
      </c>
      <c r="K49" s="12">
        <v>44865</v>
      </c>
      <c r="L49" s="16" t="str" cm="1">
        <f t="array" ref="L49">_xll.aqBondObjectCreateFromGenerator($C49,$L$4,_xll.aqToolLVBFromKeysValues($C$7:$K$7,$C49:$K49))</f>
        <v>US912828M490:0</v>
      </c>
      <c r="M49" s="78">
        <v>2.9698726999999998E-2</v>
      </c>
      <c r="N49" s="51">
        <v>95.859399999999994</v>
      </c>
      <c r="O49" s="17">
        <v>3.8157000000000001</v>
      </c>
      <c r="P49" s="95">
        <v>369.05</v>
      </c>
      <c r="Q49" s="39" cm="1">
        <f t="array" ref="Q49">_xll.aqBondObjectYield(L49,$C$4,R49)</f>
        <v>2.9698727000003738E-2</v>
      </c>
      <c r="R49" s="49" cm="1">
        <f t="array" ref="R49">_xll.aqBondObjectPrice($L49,$C$4,$M49)</f>
        <v>95.859374857873235</v>
      </c>
      <c r="S49" s="49" cm="1">
        <f t="array" ref="S49">_xll.aqBondObjectCleanPrice($L49,$C$4,$M49)</f>
        <v>95.859374857873235</v>
      </c>
      <c r="T49" s="49" cm="1">
        <f t="array" ref="T49">_xll.aqBondObjectDirtyPrice($L49,$C$4,$M49)</f>
        <v>96.720448227438453</v>
      </c>
      <c r="U49" s="18" cm="1">
        <f t="array" ref="U49">_xll.aqBondObjectModifiedDuration($L49,$C$4,$Q49)</f>
        <v>3.8156592838793246</v>
      </c>
      <c r="V49" s="93" cm="1">
        <f t="array" ref="V49">_xll.aqBondObjectDV01($L49,$C$4,$Q49)</f>
        <v>369.05227621999006</v>
      </c>
    </row>
    <row r="50" spans="2:22">
      <c r="B50" s="11" t="s">
        <v>120</v>
      </c>
      <c r="C50" s="11" t="s">
        <v>121</v>
      </c>
      <c r="D50" s="11" t="s">
        <v>121</v>
      </c>
      <c r="E50" s="12">
        <v>41228</v>
      </c>
      <c r="F50" s="15">
        <v>41228</v>
      </c>
      <c r="G50" s="14" t="str">
        <f t="shared" si="1"/>
        <v/>
      </c>
      <c r="H50" s="12">
        <v>41409</v>
      </c>
      <c r="I50" s="12">
        <v>44696</v>
      </c>
      <c r="J50" s="13">
        <v>1.6250000000000001E-2</v>
      </c>
      <c r="K50" s="12">
        <v>44880</v>
      </c>
      <c r="L50" s="16" t="str" cm="1">
        <f t="array" ref="L50">_xll.aqBondObjectCreateFromGenerator($C50,$L$4,_xll.aqToolLVBFromKeysValues($C$7:$K$7,$C50:$K50))</f>
        <v>US912828TY62:0</v>
      </c>
      <c r="M50" s="78">
        <v>2.9736253000000001E-2</v>
      </c>
      <c r="N50" s="51">
        <v>94.851600000000005</v>
      </c>
      <c r="O50" s="17">
        <v>3.8763000000000001</v>
      </c>
      <c r="P50" s="95">
        <v>370.31</v>
      </c>
      <c r="Q50" s="39" cm="1">
        <f t="array" ref="Q50">_xll.aqBondObjectYield(L50,$C$4,R50)</f>
        <v>2.9736253000004535E-2</v>
      </c>
      <c r="R50" s="49" cm="1">
        <f t="array" ref="R50">_xll.aqBondObjectPrice($L50,$C$4,$M50)</f>
        <v>94.851562492403389</v>
      </c>
      <c r="S50" s="49" cm="1">
        <f t="array" ref="S50">_xll.aqBondObjectCleanPrice($L50,$C$4,$M50)</f>
        <v>94.851562492403389</v>
      </c>
      <c r="T50" s="49" cm="1">
        <f t="array" ref="T50">_xll.aqBondObjectDirtyPrice($L50,$C$4,$M50)</f>
        <v>95.531589666316435</v>
      </c>
      <c r="U50" s="18" cm="1">
        <f t="array" ref="U50">_xll.aqBondObjectModifiedDuration($L50,$C$4,$Q50)</f>
        <v>3.8762736504913455</v>
      </c>
      <c r="V50" s="93" cm="1">
        <f t="array" ref="V50">_xll.aqBondObjectDV01($L50,$C$4,$Q50)</f>
        <v>370.30658381308666</v>
      </c>
    </row>
    <row r="51" spans="2:22">
      <c r="B51" s="11" t="s">
        <v>218</v>
      </c>
      <c r="C51" s="11" t="s">
        <v>219</v>
      </c>
      <c r="D51" s="11" t="s">
        <v>219</v>
      </c>
      <c r="E51" s="12">
        <v>42338</v>
      </c>
      <c r="F51" s="15">
        <v>42338</v>
      </c>
      <c r="G51" s="14" t="str">
        <f t="shared" si="1"/>
        <v>EOM</v>
      </c>
      <c r="H51" s="12">
        <v>42521</v>
      </c>
      <c r="I51" s="12">
        <v>44712</v>
      </c>
      <c r="J51" s="13">
        <v>0.02</v>
      </c>
      <c r="K51" s="12">
        <v>44895</v>
      </c>
      <c r="L51" s="16" t="str" cm="1">
        <f t="array" ref="L51">_xll.aqBondObjectCreateFromGenerator($C51,$L$4,_xll.aqToolLVBFromKeysValues($C$7:$K$7,$C51:$K51))</f>
        <v>US912828M805:0</v>
      </c>
      <c r="M51" s="78">
        <v>2.9769453000000001E-2</v>
      </c>
      <c r="N51" s="51">
        <v>96.234399999999994</v>
      </c>
      <c r="O51" s="17">
        <v>3.8864000000000001</v>
      </c>
      <c r="P51" s="95">
        <v>376.93</v>
      </c>
      <c r="Q51" s="39" cm="1">
        <f t="array" ref="Q51">_xll.aqBondObjectYield(L51,$C$4,R51)</f>
        <v>2.9769453000003231E-2</v>
      </c>
      <c r="R51" s="49" cm="1">
        <f t="array" ref="R51">_xll.aqBondObjectPrice($L51,$C$4,$M51)</f>
        <v>96.234374973858209</v>
      </c>
      <c r="S51" s="49" cm="1">
        <f t="array" ref="S51">_xll.aqBondObjectCleanPrice($L51,$C$4,$M51)</f>
        <v>96.234374973858209</v>
      </c>
      <c r="T51" s="49" cm="1">
        <f t="array" ref="T51">_xll.aqBondObjectDirtyPrice($L51,$C$4,$M51)</f>
        <v>96.988473334513941</v>
      </c>
      <c r="U51" s="18" cm="1">
        <f t="array" ref="U51">_xll.aqBondObjectModifiedDuration($L51,$C$4,$Q51)</f>
        <v>3.886378076532337</v>
      </c>
      <c r="V51" s="93" cm="1">
        <f t="array" ref="V51">_xll.aqBondObjectDV01($L51,$C$4,$Q51)</f>
        <v>376.9338764435916</v>
      </c>
    </row>
    <row r="52" spans="2:22">
      <c r="B52" s="11" t="s">
        <v>144</v>
      </c>
      <c r="C52" s="11" t="s">
        <v>145</v>
      </c>
      <c r="D52" s="11" t="s">
        <v>145</v>
      </c>
      <c r="E52" s="12">
        <v>42401</v>
      </c>
      <c r="F52" s="15">
        <v>42400</v>
      </c>
      <c r="G52" s="14" t="str">
        <f t="shared" si="1"/>
        <v>EOM</v>
      </c>
      <c r="H52" s="12">
        <v>42582</v>
      </c>
      <c r="I52" s="12">
        <v>44773</v>
      </c>
      <c r="J52" s="13">
        <v>1.7500000000000002E-2</v>
      </c>
      <c r="K52" s="12">
        <v>44957</v>
      </c>
      <c r="L52" s="16" t="str" cm="1">
        <f t="array" ref="L52">_xll.aqBondObjectCreateFromGenerator($C52,$L$4,_xll.aqToolLVBFromKeysValues($C$7:$K$7,$C52:$K52))</f>
        <v>US912828P386:0</v>
      </c>
      <c r="M52" s="78">
        <v>2.9861393E-2</v>
      </c>
      <c r="N52" s="51">
        <v>95.054699999999997</v>
      </c>
      <c r="O52" s="17">
        <v>4.0717999999999996</v>
      </c>
      <c r="P52" s="95">
        <v>388.54</v>
      </c>
      <c r="Q52" s="39" cm="1">
        <f t="array" ref="Q52">_xll.aqBondObjectYield(L52,$C$4,R52)</f>
        <v>2.9861393000004961E-2</v>
      </c>
      <c r="R52" s="49" cm="1">
        <f t="array" ref="R52">_xll.aqBondObjectPrice($L52,$C$4,$M52)</f>
        <v>95.054687425807131</v>
      </c>
      <c r="S52" s="49" cm="1">
        <f t="array" ref="S52">_xll.aqBondObjectCleanPrice($L52,$C$4,$M52)</f>
        <v>95.054687425807131</v>
      </c>
      <c r="T52" s="49" cm="1">
        <f t="array" ref="T52">_xll.aqBondObjectDirtyPrice($L52,$C$4,$M52)</f>
        <v>95.420855904068006</v>
      </c>
      <c r="U52" s="18" cm="1">
        <f t="array" ref="U52">_xll.aqBondObjectModifiedDuration($L52,$C$4,$Q52)</f>
        <v>4.0718189273362642</v>
      </c>
      <c r="V52" s="93" cm="1">
        <f t="array" ref="V52">_xll.aqBondObjectDV01($L52,$C$4,$Q52)</f>
        <v>388.53644713280261</v>
      </c>
    </row>
    <row r="53" spans="2:22">
      <c r="B53" s="11" t="s">
        <v>210</v>
      </c>
      <c r="C53" s="11" t="s">
        <v>211</v>
      </c>
      <c r="D53" s="11" t="s">
        <v>211</v>
      </c>
      <c r="E53" s="12">
        <v>41320</v>
      </c>
      <c r="F53" s="15">
        <v>41320</v>
      </c>
      <c r="G53" s="14" t="str">
        <f t="shared" si="1"/>
        <v/>
      </c>
      <c r="H53" s="12">
        <v>41501</v>
      </c>
      <c r="I53" s="12">
        <v>44788</v>
      </c>
      <c r="J53" s="13">
        <v>0.02</v>
      </c>
      <c r="K53" s="12">
        <v>44972</v>
      </c>
      <c r="L53" s="16" t="str" cm="1">
        <f t="array" ref="L53">_xll.aqBondObjectCreateFromGenerator($C53,$L$4,_xll.aqToolLVBFromKeysValues($C$7:$K$7,$C53:$K53))</f>
        <v>US912828UN88:0</v>
      </c>
      <c r="M53" s="78">
        <v>2.9850979E-2</v>
      </c>
      <c r="N53" s="51">
        <v>96.023399999999995</v>
      </c>
      <c r="O53" s="17">
        <v>4.0917000000000003</v>
      </c>
      <c r="P53" s="95">
        <v>394.28</v>
      </c>
      <c r="Q53" s="39" cm="1">
        <f t="array" ref="Q53">_xll.aqBondObjectYield(L53,$C$4,R53)</f>
        <v>2.985097900000341E-2</v>
      </c>
      <c r="R53" s="49" cm="1">
        <f t="array" ref="R53">_xll.aqBondObjectPrice($L53,$C$4,$M53)</f>
        <v>96.023437513267709</v>
      </c>
      <c r="S53" s="49" cm="1">
        <f t="array" ref="S53">_xll.aqBondObjectCleanPrice($L53,$C$4,$M53)</f>
        <v>96.023437513267709</v>
      </c>
      <c r="T53" s="49" cm="1">
        <f t="array" ref="T53">_xll.aqBondObjectDirtyPrice($L53,$C$4,$M53)</f>
        <v>96.360394035006834</v>
      </c>
      <c r="U53" s="18" cm="1">
        <f t="array" ref="U53">_xll.aqBondObjectModifiedDuration($L53,$C$4,$Q53)</f>
        <v>4.0916877039289776</v>
      </c>
      <c r="V53" s="93" cm="1">
        <f t="array" ref="V53">_xll.aqBondObjectDV01($L53,$C$4,$Q53)</f>
        <v>394.27663941878291</v>
      </c>
    </row>
    <row r="54" spans="2:22">
      <c r="B54" s="11" t="s">
        <v>108</v>
      </c>
      <c r="C54" s="11" t="s">
        <v>109</v>
      </c>
      <c r="D54" s="11" t="s">
        <v>109</v>
      </c>
      <c r="E54" s="12">
        <v>42429</v>
      </c>
      <c r="F54" s="15">
        <v>42429</v>
      </c>
      <c r="G54" s="14" t="str">
        <f t="shared" si="1"/>
        <v>EOM</v>
      </c>
      <c r="H54" s="12">
        <v>42613</v>
      </c>
      <c r="I54" s="12">
        <v>44804</v>
      </c>
      <c r="J54" s="13">
        <v>1.4999999999999999E-2</v>
      </c>
      <c r="K54" s="12">
        <v>44985</v>
      </c>
      <c r="L54" s="16" t="str" cm="1">
        <f t="array" ref="L54">_xll.aqBondObjectCreateFromGenerator($C54,$L$4,_xll.aqToolLVBFromKeysValues($C$7:$K$7,$C54:$K54))</f>
        <v>US912828P790:0</v>
      </c>
      <c r="M54" s="78">
        <v>2.9909979E-2</v>
      </c>
      <c r="N54" s="51">
        <v>93.929699999999997</v>
      </c>
      <c r="O54" s="17">
        <v>4.1734</v>
      </c>
      <c r="P54" s="95">
        <v>392.8</v>
      </c>
      <c r="Q54" s="39" cm="1">
        <f t="array" ref="Q54">_xll.aqBondObjectYield(L54,$C$4,R54)</f>
        <v>2.9909979000005582E-2</v>
      </c>
      <c r="R54" s="49" cm="1">
        <f t="array" ref="R54">_xll.aqBondObjectPrice($L54,$C$4,$M54)</f>
        <v>93.929687648896277</v>
      </c>
      <c r="S54" s="49" cm="1">
        <f t="array" ref="S54">_xll.aqBondObjectCleanPrice($L54,$C$4,$M54)</f>
        <v>93.929687648896277</v>
      </c>
      <c r="T54" s="49" cm="1">
        <f t="array" ref="T54">_xll.aqBondObjectDirtyPrice($L54,$C$4,$M54)</f>
        <v>94.12029538370291</v>
      </c>
      <c r="U54" s="18" cm="1">
        <f t="array" ref="U54">_xll.aqBondObjectModifiedDuration($L54,$C$4,$Q54)</f>
        <v>4.1734312263242845</v>
      </c>
      <c r="V54" s="93" cm="1">
        <f t="array" ref="V54">_xll.aqBondObjectDV01($L54,$C$4,$Q54)</f>
        <v>392.80457978520246</v>
      </c>
    </row>
    <row r="55" spans="2:22">
      <c r="B55" s="11" t="s">
        <v>152</v>
      </c>
      <c r="C55" s="11" t="s">
        <v>153</v>
      </c>
      <c r="D55" s="11" t="s">
        <v>153</v>
      </c>
      <c r="E55" s="12">
        <v>42460</v>
      </c>
      <c r="F55" s="15">
        <v>42460</v>
      </c>
      <c r="G55" s="14" t="str">
        <f t="shared" si="1"/>
        <v>EOM</v>
      </c>
      <c r="H55" s="12">
        <v>42643</v>
      </c>
      <c r="I55" s="12">
        <v>44834</v>
      </c>
      <c r="J55" s="13">
        <v>1.4999999999999999E-2</v>
      </c>
      <c r="K55" s="12">
        <v>45016</v>
      </c>
      <c r="L55" s="16" t="str" cm="1">
        <f t="array" ref="L55">_xll.aqBondObjectCreateFromGenerator($C55,$L$4,_xll.aqToolLVBFromKeysValues($C$7:$K$7,$C55:$K55))</f>
        <v>US912828Q293:0</v>
      </c>
      <c r="M55" s="78">
        <v>2.9876092E-2</v>
      </c>
      <c r="N55" s="51">
        <v>93.835899999999995</v>
      </c>
      <c r="O55" s="17">
        <v>4.2553999999999998</v>
      </c>
      <c r="P55" s="95">
        <v>399.59</v>
      </c>
      <c r="Q55" s="39" cm="1">
        <f t="array" ref="Q55">_xll.aqBondObjectYield(L55,$C$4,R55)</f>
        <v>2.9876092000005672E-2</v>
      </c>
      <c r="R55" s="49" cm="1">
        <f t="array" ref="R55">_xll.aqBondObjectPrice($L55,$C$4,$M55)</f>
        <v>93.835937570271597</v>
      </c>
      <c r="S55" s="49" cm="1">
        <f t="array" ref="S55">_xll.aqBondObjectCleanPrice($L55,$C$4,$M55)</f>
        <v>93.835937570271597</v>
      </c>
      <c r="T55" s="49" cm="1">
        <f t="array" ref="T55">_xll.aqBondObjectDirtyPrice($L55,$C$4,$M55)</f>
        <v>93.901871636205669</v>
      </c>
      <c r="U55" s="18" cm="1">
        <f t="array" ref="U55">_xll.aqBondObjectModifiedDuration($L55,$C$4,$Q55)</f>
        <v>4.2554056513036587</v>
      </c>
      <c r="V55" s="93" cm="1">
        <f t="array" ref="V55">_xll.aqBondObjectDV01($L55,$C$4,$Q55)</f>
        <v>399.59055522869056</v>
      </c>
    </row>
    <row r="56" spans="2:22">
      <c r="B56" s="11" t="s">
        <v>208</v>
      </c>
      <c r="C56" s="11" t="s">
        <v>209</v>
      </c>
      <c r="D56" s="11" t="s">
        <v>209</v>
      </c>
      <c r="E56" s="12">
        <v>42492</v>
      </c>
      <c r="F56" s="15">
        <v>42490</v>
      </c>
      <c r="G56" s="14" t="str">
        <f t="shared" si="1"/>
        <v>EOM</v>
      </c>
      <c r="H56" s="12">
        <v>42674</v>
      </c>
      <c r="I56" s="12">
        <v>44865</v>
      </c>
      <c r="J56" s="13">
        <v>1.6250000000000001E-2</v>
      </c>
      <c r="K56" s="12">
        <v>45046</v>
      </c>
      <c r="L56" s="16" t="str" cm="1">
        <f t="array" ref="L56">_xll.aqBondObjectCreateFromGenerator($C56,$L$4,_xll.aqToolLVBFromKeysValues($C$7:$K$7,$C56:$K56))</f>
        <v>US912828R283:0</v>
      </c>
      <c r="M56" s="78">
        <v>2.9923177999999998E-2</v>
      </c>
      <c r="N56" s="51">
        <v>94.234399999999994</v>
      </c>
      <c r="O56" s="17">
        <v>4.2916999999999996</v>
      </c>
      <c r="P56" s="95">
        <v>407.63</v>
      </c>
      <c r="Q56" s="39" cm="1">
        <f t="array" ref="Q56">_xll.aqBondObjectYield(L56,$C$4,R56)</f>
        <v>2.9923178000005379E-2</v>
      </c>
      <c r="R56" s="49" cm="1">
        <f t="array" ref="R56">_xll.aqBondObjectPrice($L56,$C$4,$M56)</f>
        <v>94.234375202555071</v>
      </c>
      <c r="S56" s="49" cm="1">
        <f t="array" ref="S56">_xll.aqBondObjectCleanPrice($L56,$C$4,$M56)</f>
        <v>94.234375202555071</v>
      </c>
      <c r="T56" s="49" cm="1">
        <f t="array" ref="T56">_xll.aqBondObjectDirtyPrice($L56,$C$4,$M56)</f>
        <v>94.980638789511588</v>
      </c>
      <c r="U56" s="18" cm="1">
        <f t="array" ref="U56">_xll.aqBondObjectModifiedDuration($L56,$C$4,$Q56)</f>
        <v>4.2916753603577815</v>
      </c>
      <c r="V56" s="93" cm="1">
        <f t="array" ref="V56">_xll.aqBondObjectDV01($L56,$C$4,$Q56)</f>
        <v>407.62606720398003</v>
      </c>
    </row>
    <row r="57" spans="2:22">
      <c r="B57" s="11" t="s">
        <v>130</v>
      </c>
      <c r="C57" s="11" t="s">
        <v>131</v>
      </c>
      <c r="D57" s="11" t="s">
        <v>131</v>
      </c>
      <c r="E57" s="12">
        <v>41409</v>
      </c>
      <c r="F57" s="15">
        <v>41409</v>
      </c>
      <c r="G57" s="14" t="str">
        <f t="shared" si="1"/>
        <v/>
      </c>
      <c r="H57" s="12">
        <v>41593</v>
      </c>
      <c r="I57" s="12">
        <v>44880</v>
      </c>
      <c r="J57" s="13">
        <v>1.7500000000000002E-2</v>
      </c>
      <c r="K57" s="12">
        <v>45061</v>
      </c>
      <c r="L57" s="16" t="str" cm="1">
        <f t="array" ref="L57">_xll.aqBondObjectCreateFromGenerator($C57,$L$4,_xll.aqToolLVBFromKeysValues($C$7:$K$7,$C57:$K57))</f>
        <v>US912828VB32:0</v>
      </c>
      <c r="M57" s="78">
        <v>2.9938118E-2</v>
      </c>
      <c r="N57" s="51">
        <v>94.710899999999995</v>
      </c>
      <c r="O57" s="17">
        <v>4.319</v>
      </c>
      <c r="P57" s="95">
        <v>412.22</v>
      </c>
      <c r="Q57" s="39" cm="1">
        <f t="array" ref="Q57">_xll.aqBondObjectYield(L57,$C$4,R57)</f>
        <v>2.9938118000004905E-2</v>
      </c>
      <c r="R57" s="49" cm="1">
        <f t="array" ref="R57">_xll.aqBondObjectPrice($L57,$C$4,$M57)</f>
        <v>94.710937527633277</v>
      </c>
      <c r="S57" s="49" cm="1">
        <f t="array" ref="S57">_xll.aqBondObjectCleanPrice($L57,$C$4,$M57)</f>
        <v>94.710937527633277</v>
      </c>
      <c r="T57" s="49" cm="1">
        <f t="array" ref="T57">_xll.aqBondObjectDirtyPrice($L57,$C$4,$M57)</f>
        <v>95.443274484155012</v>
      </c>
      <c r="U57" s="18" cm="1">
        <f t="array" ref="U57">_xll.aqBondObjectModifiedDuration($L57,$C$4,$Q57)</f>
        <v>4.318983037222111</v>
      </c>
      <c r="V57" s="93" cm="1">
        <f t="array" ref="V57">_xll.aqBondObjectDV01($L57,$C$4,$Q57)</f>
        <v>412.21788351399067</v>
      </c>
    </row>
    <row r="58" spans="2:22">
      <c r="B58" s="11" t="s">
        <v>138</v>
      </c>
      <c r="C58" s="11" t="s">
        <v>139</v>
      </c>
      <c r="D58" s="11" t="s">
        <v>139</v>
      </c>
      <c r="E58" s="12">
        <v>42521</v>
      </c>
      <c r="F58" s="15">
        <v>42521</v>
      </c>
      <c r="G58" s="14" t="str">
        <f t="shared" si="1"/>
        <v>EOM</v>
      </c>
      <c r="H58" s="12">
        <v>42704</v>
      </c>
      <c r="I58" s="12">
        <v>44895</v>
      </c>
      <c r="J58" s="13">
        <v>1.6250000000000001E-2</v>
      </c>
      <c r="K58" s="12">
        <v>45077</v>
      </c>
      <c r="L58" s="16" t="str" cm="1">
        <f t="array" ref="L58">_xll.aqBondObjectCreateFromGenerator($C58,$L$4,_xll.aqToolLVBFromKeysValues($C$7:$K$7,$C58:$K58))</f>
        <v>US912828R697:0</v>
      </c>
      <c r="M58" s="78">
        <v>2.9950582E-2</v>
      </c>
      <c r="N58" s="51">
        <v>94.125</v>
      </c>
      <c r="O58" s="17">
        <v>4.3726000000000003</v>
      </c>
      <c r="P58" s="95">
        <v>414.25</v>
      </c>
      <c r="Q58" s="39" cm="1">
        <f t="array" ref="Q58">_xll.aqBondObjectYield(L58,$C$4,R58)</f>
        <v>2.99505820000057E-2</v>
      </c>
      <c r="R58" s="49" cm="1">
        <f t="array" ref="R58">_xll.aqBondObjectPrice($L58,$C$4,$M58)</f>
        <v>94.125000137047195</v>
      </c>
      <c r="S58" s="49" cm="1">
        <f t="array" ref="S58">_xll.aqBondObjectCleanPrice($L58,$C$4,$M58)</f>
        <v>94.125000137047195</v>
      </c>
      <c r="T58" s="49" cm="1">
        <f t="array" ref="T58">_xll.aqBondObjectDirtyPrice($L58,$C$4,$M58)</f>
        <v>94.737705055079985</v>
      </c>
      <c r="U58" s="18" cm="1">
        <f t="array" ref="U58">_xll.aqBondObjectModifiedDuration($L58,$C$4,$Q58)</f>
        <v>4.3725798732456145</v>
      </c>
      <c r="V58" s="93" cm="1">
        <f t="array" ref="V58">_xll.aqBondObjectDV01($L58,$C$4,$Q58)</f>
        <v>414.24818236131154</v>
      </c>
    </row>
    <row r="59" spans="2:22">
      <c r="B59" s="11" t="s">
        <v>110</v>
      </c>
      <c r="C59" s="11" t="s">
        <v>111</v>
      </c>
      <c r="D59" s="11" t="s">
        <v>111</v>
      </c>
      <c r="E59" s="12">
        <v>42551</v>
      </c>
      <c r="F59" s="15">
        <v>42551</v>
      </c>
      <c r="G59" s="14" t="str">
        <f t="shared" si="1"/>
        <v>EOM</v>
      </c>
      <c r="H59" s="12">
        <v>42735</v>
      </c>
      <c r="I59" s="12">
        <v>44926</v>
      </c>
      <c r="J59" s="13">
        <v>1.375E-2</v>
      </c>
      <c r="K59" s="12">
        <v>45107</v>
      </c>
      <c r="L59" s="16" t="str" cm="1">
        <f t="array" ref="L59">_xll.aqBondObjectCreateFromGenerator($C59,$L$4,_xll.aqToolLVBFromKeysValues($C$7:$K$7,$C59:$K59))</f>
        <v>US912828S356:0</v>
      </c>
      <c r="M59" s="78">
        <v>2.9984516999999999E-2</v>
      </c>
      <c r="N59" s="51">
        <v>92.921899999999994</v>
      </c>
      <c r="O59" s="17">
        <v>4.4809000000000001</v>
      </c>
      <c r="P59" s="95">
        <v>418.18</v>
      </c>
      <c r="Q59" s="39" cm="1">
        <f t="array" ref="Q59">_xll.aqBondObjectYield(L59,$C$4,R59)</f>
        <v>2.9984517000006383E-2</v>
      </c>
      <c r="R59" s="49" cm="1">
        <f t="array" ref="R59">_xll.aqBondObjectPrice($L59,$C$4,$M59)</f>
        <v>92.921875127328022</v>
      </c>
      <c r="S59" s="49" cm="1">
        <f t="array" ref="S59">_xll.aqBondObjectCleanPrice($L59,$C$4,$M59)</f>
        <v>92.921875127328022</v>
      </c>
      <c r="T59" s="49" cm="1">
        <f t="array" ref="T59">_xll.aqBondObjectDirtyPrice($L59,$C$4,$M59)</f>
        <v>93.325407736023678</v>
      </c>
      <c r="U59" s="18" cm="1">
        <f t="array" ref="U59">_xll.aqBondObjectModifiedDuration($L59,$C$4,$Q59)</f>
        <v>4.4809313663202586</v>
      </c>
      <c r="V59" s="93" cm="1">
        <f t="array" ref="V59">_xll.aqBondObjectDV01($L59,$C$4,$Q59)</f>
        <v>418.18474679896332</v>
      </c>
    </row>
    <row r="60" spans="2:22">
      <c r="B60" s="11" t="s">
        <v>78</v>
      </c>
      <c r="C60" s="11" t="s">
        <v>79</v>
      </c>
      <c r="D60" s="11" t="s">
        <v>79</v>
      </c>
      <c r="E60" s="12">
        <v>42583</v>
      </c>
      <c r="F60" s="15">
        <v>42582</v>
      </c>
      <c r="G60" s="14" t="str">
        <f t="shared" si="1"/>
        <v>EOM</v>
      </c>
      <c r="H60" s="12">
        <v>42766</v>
      </c>
      <c r="I60" s="12">
        <v>44957</v>
      </c>
      <c r="J60" s="13">
        <v>1.2500000000000001E-2</v>
      </c>
      <c r="K60" s="12">
        <v>45138</v>
      </c>
      <c r="L60" s="16" t="str" cm="1">
        <f t="array" ref="L60">_xll.aqBondObjectCreateFromGenerator($C60,$L$4,_xll.aqToolLVBFromKeysValues($C$7:$K$7,$C60:$K60))</f>
        <v>US912828S927:0</v>
      </c>
      <c r="M60" s="78">
        <v>3.0021805000000002E-2</v>
      </c>
      <c r="N60" s="51">
        <v>92.234399999999994</v>
      </c>
      <c r="O60" s="17">
        <v>4.5770999999999997</v>
      </c>
      <c r="P60" s="95">
        <v>423.37</v>
      </c>
      <c r="Q60" s="39" cm="1">
        <f t="array" ref="Q60">_xll.aqBondObjectYield(L60,$C$4,R60)</f>
        <v>3.002180500000597E-2</v>
      </c>
      <c r="R60" s="49" cm="1">
        <f t="array" ref="R60">_xll.aqBondObjectPrice($L60,$C$4,$M60)</f>
        <v>92.234374789706735</v>
      </c>
      <c r="S60" s="49" cm="1">
        <f t="array" ref="S60">_xll.aqBondObjectCleanPrice($L60,$C$4,$M60)</f>
        <v>92.234374789706735</v>
      </c>
      <c r="T60" s="49" cm="1">
        <f t="array" ref="T60">_xll.aqBondObjectDirtyPrice($L60,$C$4,$M60)</f>
        <v>92.495923702750218</v>
      </c>
      <c r="U60" s="18" cm="1">
        <f t="array" ref="U60">_xll.aqBondObjectModifiedDuration($L60,$C$4,$Q60)</f>
        <v>4.5771248472779886</v>
      </c>
      <c r="V60" s="93" cm="1">
        <f t="array" ref="V60">_xll.aqBondObjectDV01($L60,$C$4,$Q60)</f>
        <v>423.3653906517759</v>
      </c>
    </row>
    <row r="61" spans="2:22">
      <c r="B61" s="11" t="s">
        <v>21</v>
      </c>
      <c r="C61" s="11" t="s">
        <v>22</v>
      </c>
      <c r="D61" s="11" t="s">
        <v>22</v>
      </c>
      <c r="E61" s="12">
        <v>34197</v>
      </c>
      <c r="F61" s="15">
        <v>34196</v>
      </c>
      <c r="G61" s="14" t="str">
        <f t="shared" si="1"/>
        <v/>
      </c>
      <c r="H61" s="12">
        <v>34380</v>
      </c>
      <c r="I61" s="12">
        <v>44972</v>
      </c>
      <c r="J61" s="13">
        <v>6.25E-2</v>
      </c>
      <c r="K61" s="12">
        <v>45153</v>
      </c>
      <c r="L61" s="16" t="str" cm="1">
        <f t="array" ref="L61">_xll.aqBondObjectCreateFromGenerator($C61,$L$4,_xll.aqToolLVBFromKeysValues($C$7:$K$7,$C61:$K61))</f>
        <v>US912810EQ77:0</v>
      </c>
      <c r="M61" s="78">
        <v>2.9668760000000002E-2</v>
      </c>
      <c r="N61" s="51">
        <v>114.67189999999999</v>
      </c>
      <c r="O61" s="17">
        <v>4.1905000000000001</v>
      </c>
      <c r="P61" s="95">
        <v>484.95</v>
      </c>
      <c r="Q61" s="39" cm="1">
        <f t="array" ref="Q61">_xll.aqBondObjectYield(L61,$C$4,R61)</f>
        <v>2.9668759999955715E-2</v>
      </c>
      <c r="R61" s="49" cm="1">
        <f t="array" ref="R61">_xll.aqBondObjectPrice($L61,$C$4,$M61)</f>
        <v>114.67187486717968</v>
      </c>
      <c r="S61" s="49" cm="1">
        <f t="array" ref="S61">_xll.aqBondObjectCleanPrice($L61,$C$4,$M61)</f>
        <v>114.67187486717968</v>
      </c>
      <c r="T61" s="49" cm="1">
        <f t="array" ref="T61">_xll.aqBondObjectDirtyPrice($L61,$C$4,$M61)</f>
        <v>115.72486399761446</v>
      </c>
      <c r="U61" s="18" cm="1">
        <f t="array" ref="U61">_xll.aqBondObjectModifiedDuration($L61,$C$4,$Q61)</f>
        <v>4.1905416272381215</v>
      </c>
      <c r="V61" s="93" cm="1">
        <f t="array" ref="V61">_xll.aqBondObjectDV01($L61,$C$4,$Q61)</f>
        <v>484.94985988856286</v>
      </c>
    </row>
    <row r="62" spans="2:22">
      <c r="B62" s="11" t="s">
        <v>156</v>
      </c>
      <c r="C62" s="11" t="s">
        <v>157</v>
      </c>
      <c r="D62" s="11" t="s">
        <v>157</v>
      </c>
      <c r="E62" s="12">
        <v>41501</v>
      </c>
      <c r="F62" s="15">
        <v>41501</v>
      </c>
      <c r="G62" s="14" t="str">
        <f t="shared" si="1"/>
        <v/>
      </c>
      <c r="H62" s="12">
        <v>41685</v>
      </c>
      <c r="I62" s="12">
        <v>44972</v>
      </c>
      <c r="J62" s="13">
        <v>2.5000000000000001E-2</v>
      </c>
      <c r="K62" s="12">
        <v>45153</v>
      </c>
      <c r="L62" s="16" t="str" cm="1">
        <f t="array" ref="L62">_xll.aqBondObjectCreateFromGenerator($C62,$L$4,_xll.aqToolLVBFromKeysValues($C$7:$K$7,$C62:$K62))</f>
        <v>US912828VS66:0</v>
      </c>
      <c r="M62" s="78">
        <v>2.9997685999999999E-2</v>
      </c>
      <c r="N62" s="51">
        <v>97.765600000000006</v>
      </c>
      <c r="O62" s="17">
        <v>4.4913999999999996</v>
      </c>
      <c r="P62" s="95">
        <v>441</v>
      </c>
      <c r="Q62" s="39" cm="1">
        <f t="array" ref="Q62">_xll.aqBondObjectYield(L62,$C$4,R62)</f>
        <v>2.9997686000001297E-2</v>
      </c>
      <c r="R62" s="49" cm="1">
        <f t="array" ref="R62">_xll.aqBondObjectPrice($L62,$C$4,$M62)</f>
        <v>97.76562514930643</v>
      </c>
      <c r="S62" s="49" cm="1">
        <f t="array" ref="S62">_xll.aqBondObjectCleanPrice($L62,$C$4,$M62)</f>
        <v>97.76562514930643</v>
      </c>
      <c r="T62" s="49" cm="1">
        <f t="array" ref="T62">_xll.aqBondObjectDirtyPrice($L62,$C$4,$M62)</f>
        <v>98.186820801480337</v>
      </c>
      <c r="U62" s="18" cm="1">
        <f t="array" ref="U62">_xll.aqBondObjectModifiedDuration($L62,$C$4,$Q62)</f>
        <v>4.4914182381981353</v>
      </c>
      <c r="V62" s="93" cm="1">
        <f t="array" ref="V62">_xll.aqBondObjectDV01($L62,$C$4,$Q62)</f>
        <v>440.99807769845904</v>
      </c>
    </row>
    <row r="63" spans="2:22">
      <c r="B63" s="11" t="s">
        <v>104</v>
      </c>
      <c r="C63" s="11" t="s">
        <v>105</v>
      </c>
      <c r="D63" s="11" t="s">
        <v>105</v>
      </c>
      <c r="E63" s="12">
        <v>42613</v>
      </c>
      <c r="F63" s="15">
        <v>42613</v>
      </c>
      <c r="G63" s="14" t="str">
        <f t="shared" si="1"/>
        <v>EOM</v>
      </c>
      <c r="H63" s="12">
        <v>42794</v>
      </c>
      <c r="I63" s="12">
        <v>44985</v>
      </c>
      <c r="J63" s="13">
        <v>1.375E-2</v>
      </c>
      <c r="K63" s="12">
        <v>45169</v>
      </c>
      <c r="L63" s="16" t="str" cm="1">
        <f t="array" ref="L63">_xll.aqBondObjectCreateFromGenerator($C63,$L$4,_xll.aqToolLVBFromKeysValues($C$7:$K$7,$C63:$K63))</f>
        <v>US9128282D10:0</v>
      </c>
      <c r="M63" s="78">
        <v>3.0043788000000002E-2</v>
      </c>
      <c r="N63" s="51">
        <v>92.664100000000005</v>
      </c>
      <c r="O63" s="17">
        <v>4.6447000000000003</v>
      </c>
      <c r="P63" s="95">
        <v>431.21</v>
      </c>
      <c r="Q63" s="39" cm="1">
        <f t="array" ref="Q63">_xll.aqBondObjectYield(L63,$C$4,R63)</f>
        <v>3.0043788000006049E-2</v>
      </c>
      <c r="R63" s="49" cm="1">
        <f t="array" ref="R63">_xll.aqBondObjectPrice($L63,$C$4,$M63)</f>
        <v>92.664062555018646</v>
      </c>
      <c r="S63" s="49" cm="1">
        <f t="array" ref="S63">_xll.aqBondObjectCleanPrice($L63,$C$4,$M63)</f>
        <v>92.664062555018646</v>
      </c>
      <c r="T63" s="49" cm="1">
        <f t="array" ref="T63">_xll.aqBondObjectDirtyPrice($L63,$C$4,$M63)</f>
        <v>92.838786311924721</v>
      </c>
      <c r="U63" s="18" cm="1">
        <f t="array" ref="U63">_xll.aqBondObjectModifiedDuration($L63,$C$4,$Q63)</f>
        <v>4.6447164832462402</v>
      </c>
      <c r="V63" s="93" cm="1">
        <f t="array" ref="V63">_xll.aqBondObjectDV01($L63,$C$4,$Q63)</f>
        <v>431.20984106755964</v>
      </c>
    </row>
    <row r="64" spans="2:22">
      <c r="B64" s="11" t="s">
        <v>86</v>
      </c>
      <c r="C64" s="11" t="s">
        <v>87</v>
      </c>
      <c r="D64" s="11" t="s">
        <v>87</v>
      </c>
      <c r="E64" s="12">
        <v>42643</v>
      </c>
      <c r="F64" s="15">
        <v>42643</v>
      </c>
      <c r="G64" s="14" t="str">
        <f t="shared" si="1"/>
        <v>EOM</v>
      </c>
      <c r="H64" s="12">
        <v>42825</v>
      </c>
      <c r="I64" s="12">
        <v>45016</v>
      </c>
      <c r="J64" s="13">
        <v>1.375E-2</v>
      </c>
      <c r="K64" s="12">
        <v>45199</v>
      </c>
      <c r="L64" s="16" t="str" cm="1">
        <f t="array" ref="L64">_xll.aqBondObjectCreateFromGenerator($C64,$L$4,_xll.aqToolLVBFromKeysValues($C$7:$K$7,$C64:$K64))</f>
        <v>US912828T263:0</v>
      </c>
      <c r="M64" s="78">
        <v>3.0083262E-2</v>
      </c>
      <c r="N64" s="51">
        <v>92.531199999999998</v>
      </c>
      <c r="O64" s="17">
        <v>4.7264999999999997</v>
      </c>
      <c r="P64" s="95">
        <v>437.63</v>
      </c>
      <c r="Q64" s="39" cm="1">
        <f t="array" ref="Q64">_xll.aqBondObjectYield(L64,$C$4,R64)</f>
        <v>3.0083262000005953E-2</v>
      </c>
      <c r="R64" s="49" cm="1">
        <f t="array" ref="R64">_xll.aqBondObjectPrice($L64,$C$4,$M64)</f>
        <v>92.531249790639833</v>
      </c>
      <c r="S64" s="49" cm="1">
        <f t="array" ref="S64">_xll.aqBondObjectCleanPrice($L64,$C$4,$M64)</f>
        <v>92.531249790639833</v>
      </c>
      <c r="T64" s="49" cm="1">
        <f t="array" ref="T64">_xll.aqBondObjectDirtyPrice($L64,$C$4,$M64)</f>
        <v>92.591689351079395</v>
      </c>
      <c r="U64" s="18" cm="1">
        <f t="array" ref="U64">_xll.aqBondObjectModifiedDuration($L64,$C$4,$Q64)</f>
        <v>4.7264917964874478</v>
      </c>
      <c r="V64" s="93" cm="1">
        <f t="array" ref="V64">_xll.aqBondObjectDV01($L64,$C$4,$Q64)</f>
        <v>437.63386014077804</v>
      </c>
    </row>
    <row r="65" spans="2:22">
      <c r="B65" s="11" t="s">
        <v>204</v>
      </c>
      <c r="C65" s="11" t="s">
        <v>205</v>
      </c>
      <c r="D65" s="11" t="s">
        <v>205</v>
      </c>
      <c r="E65" s="12">
        <v>42674</v>
      </c>
      <c r="F65" s="15">
        <v>42674</v>
      </c>
      <c r="G65" s="14" t="str">
        <f t="shared" si="1"/>
        <v>EOM</v>
      </c>
      <c r="H65" s="12">
        <v>42855</v>
      </c>
      <c r="I65" s="12">
        <v>45046</v>
      </c>
      <c r="J65" s="13">
        <v>1.6250000000000001E-2</v>
      </c>
      <c r="K65" s="12">
        <v>45230</v>
      </c>
      <c r="L65" s="16" t="str" cm="1">
        <f t="array" ref="L65">_xll.aqBondObjectCreateFromGenerator($C65,$L$4,_xll.aqToolLVBFromKeysValues($C$7:$K$7,$C65:$K65))</f>
        <v>US912828T917:0</v>
      </c>
      <c r="M65" s="78">
        <v>3.0091800000000002E-2</v>
      </c>
      <c r="N65" s="51">
        <v>93.570300000000003</v>
      </c>
      <c r="O65" s="17">
        <v>4.7430000000000003</v>
      </c>
      <c r="P65" s="95">
        <v>447.34</v>
      </c>
      <c r="Q65" s="39" cm="1">
        <f t="array" ref="Q65">_xll.aqBondObjectYield(L65,$C$4,R65)</f>
        <v>3.0091800000006781E-2</v>
      </c>
      <c r="R65" s="49" cm="1">
        <f t="array" ref="R65">_xll.aqBondObjectPrice($L65,$C$4,$M65)</f>
        <v>93.570312513892915</v>
      </c>
      <c r="S65" s="49" cm="1">
        <f t="array" ref="S65">_xll.aqBondObjectCleanPrice($L65,$C$4,$M65)</f>
        <v>93.570312513892915</v>
      </c>
      <c r="T65" s="49" cm="1">
        <f t="array" ref="T65">_xll.aqBondObjectDirtyPrice($L65,$C$4,$M65)</f>
        <v>94.316576100849431</v>
      </c>
      <c r="U65" s="18" cm="1">
        <f t="array" ref="U65">_xll.aqBondObjectModifiedDuration($L65,$C$4,$Q65)</f>
        <v>4.7430010846080881</v>
      </c>
      <c r="V65" s="93" cm="1">
        <f t="array" ref="V65">_xll.aqBondObjectDV01($L65,$C$4,$Q65)</f>
        <v>447.34362274283609</v>
      </c>
    </row>
    <row r="66" spans="2:22">
      <c r="B66" s="11" t="s">
        <v>116</v>
      </c>
      <c r="C66" s="11" t="s">
        <v>117</v>
      </c>
      <c r="D66" s="11" t="s">
        <v>117</v>
      </c>
      <c r="E66" s="12">
        <v>41593</v>
      </c>
      <c r="F66" s="15">
        <v>41593</v>
      </c>
      <c r="G66" s="14" t="str">
        <f t="shared" si="1"/>
        <v/>
      </c>
      <c r="H66" s="12">
        <v>41774</v>
      </c>
      <c r="I66" s="12">
        <v>45061</v>
      </c>
      <c r="J66" s="13">
        <v>2.75E-2</v>
      </c>
      <c r="K66" s="12">
        <v>45245</v>
      </c>
      <c r="L66" s="16" t="str" cm="1">
        <f t="array" ref="L66">_xll.aqBondObjectCreateFromGenerator($C66,$L$4,_xll.aqToolLVBFromKeysValues($C$7:$K$7,$C66:$K66))</f>
        <v>US912828WE61:0</v>
      </c>
      <c r="M66" s="78">
        <v>3.0051043000000003E-2</v>
      </c>
      <c r="N66" s="51">
        <v>98.804699999999997</v>
      </c>
      <c r="O66" s="17">
        <v>4.6505000000000001</v>
      </c>
      <c r="P66" s="95">
        <v>464.85</v>
      </c>
      <c r="Q66" s="39" cm="1">
        <f t="array" ref="Q66">_xll.aqBondObjectYield(L66,$C$4,R66)</f>
        <v>3.0051043000000232E-2</v>
      </c>
      <c r="R66" s="49" cm="1">
        <f t="array" ref="R66">_xll.aqBondObjectPrice($L66,$C$4,$M66)</f>
        <v>98.804687729443188</v>
      </c>
      <c r="S66" s="49" cm="1">
        <f t="array" ref="S66">_xll.aqBondObjectCleanPrice($L66,$C$4,$M66)</f>
        <v>98.804687729443188</v>
      </c>
      <c r="T66" s="49" cm="1">
        <f t="array" ref="T66">_xll.aqBondObjectDirtyPrice($L66,$C$4,$M66)</f>
        <v>99.955502946834486</v>
      </c>
      <c r="U66" s="18" cm="1">
        <f t="array" ref="U66">_xll.aqBondObjectModifiedDuration($L66,$C$4,$Q66)</f>
        <v>4.6505432119485342</v>
      </c>
      <c r="V66" s="93" cm="1">
        <f t="array" ref="V66">_xll.aqBondObjectDV01($L66,$C$4,$Q66)</f>
        <v>464.84738572630187</v>
      </c>
    </row>
    <row r="67" spans="2:22">
      <c r="B67" s="11" t="s">
        <v>228</v>
      </c>
      <c r="C67" s="11" t="s">
        <v>229</v>
      </c>
      <c r="D67" s="11" t="s">
        <v>229</v>
      </c>
      <c r="E67" s="12">
        <v>42704</v>
      </c>
      <c r="F67" s="15">
        <v>42704</v>
      </c>
      <c r="G67" s="14" t="str">
        <f t="shared" si="1"/>
        <v>EOM</v>
      </c>
      <c r="H67" s="12">
        <v>42886</v>
      </c>
      <c r="I67" s="12">
        <v>45077</v>
      </c>
      <c r="J67" s="13">
        <v>2.1250000000000002E-2</v>
      </c>
      <c r="K67" s="12">
        <v>45260</v>
      </c>
      <c r="L67" s="16" t="str" cm="1">
        <f t="array" ref="L67">_xll.aqBondObjectCreateFromGenerator($C67,$L$4,_xll.aqToolLVBFromKeysValues($C$7:$K$7,$C67:$K67))</f>
        <v>US912828U576:0</v>
      </c>
      <c r="M67" s="78">
        <v>3.0129218999999999E-2</v>
      </c>
      <c r="N67" s="51">
        <v>95.8125</v>
      </c>
      <c r="O67" s="17">
        <v>4.7629000000000001</v>
      </c>
      <c r="P67" s="95">
        <v>460.16</v>
      </c>
      <c r="Q67" s="39" cm="1">
        <f t="array" ref="Q67">_xll.aqBondObjectYield(L67,$C$4,R67)</f>
        <v>3.0129219000003989E-2</v>
      </c>
      <c r="R67" s="49" cm="1">
        <f t="array" ref="R67">_xll.aqBondObjectPrice($L67,$C$4,$M67)</f>
        <v>95.812499831015074</v>
      </c>
      <c r="S67" s="49" cm="1">
        <f t="array" ref="S67">_xll.aqBondObjectCleanPrice($L67,$C$4,$M67)</f>
        <v>95.812499831015074</v>
      </c>
      <c r="T67" s="49" cm="1">
        <f t="array" ref="T67">_xll.aqBondObjectDirtyPrice($L67,$C$4,$M67)</f>
        <v>96.613729339211801</v>
      </c>
      <c r="U67" s="18" cm="1">
        <f t="array" ref="U67">_xll.aqBondObjectModifiedDuration($L67,$C$4,$Q67)</f>
        <v>4.7629064571370767</v>
      </c>
      <c r="V67" s="93" cm="1">
        <f t="array" ref="V67">_xll.aqBondObjectDV01($L67,$C$4,$Q67)</f>
        <v>460.162155317817</v>
      </c>
    </row>
    <row r="68" spans="2:22">
      <c r="B68" s="11" t="s">
        <v>248</v>
      </c>
      <c r="C68" s="11" t="s">
        <v>249</v>
      </c>
      <c r="D68" s="11" t="s">
        <v>249</v>
      </c>
      <c r="E68" s="12">
        <v>42738</v>
      </c>
      <c r="F68" s="15">
        <v>42735</v>
      </c>
      <c r="G68" s="14" t="str">
        <f t="shared" si="1"/>
        <v>EOM</v>
      </c>
      <c r="H68" s="12">
        <v>42916</v>
      </c>
      <c r="I68" s="12">
        <v>45107</v>
      </c>
      <c r="J68" s="13">
        <v>2.2499999999999999E-2</v>
      </c>
      <c r="K68" s="12">
        <v>45291</v>
      </c>
      <c r="L68" s="16" t="str" cm="1">
        <f t="array" ref="L68">_xll.aqBondObjectCreateFromGenerator($C68,$L$4,_xll.aqToolLVBFromKeysValues($C$7:$K$7,$C68:$K68))</f>
        <v>US912828V236:0</v>
      </c>
      <c r="M68" s="78">
        <v>3.0152849000000002E-2</v>
      </c>
      <c r="N68" s="51">
        <v>96.335899999999995</v>
      </c>
      <c r="O68" s="17">
        <v>4.8304</v>
      </c>
      <c r="P68" s="95">
        <v>468.53</v>
      </c>
      <c r="Q68" s="39" cm="1">
        <f t="array" ref="Q68">_xll.aqBondObjectYield(L68,$C$4,R68)</f>
        <v>3.0152849000002941E-2</v>
      </c>
      <c r="R68" s="49" cm="1">
        <f t="array" ref="R68">_xll.aqBondObjectPrice($L68,$C$4,$M68)</f>
        <v>96.33593739858641</v>
      </c>
      <c r="S68" s="49" cm="1">
        <f t="array" ref="S68">_xll.aqBondObjectCleanPrice($L68,$C$4,$M68)</f>
        <v>96.33593739858641</v>
      </c>
      <c r="T68" s="49" cm="1">
        <f t="array" ref="T68">_xll.aqBondObjectDirtyPrice($L68,$C$4,$M68)</f>
        <v>96.996263485542926</v>
      </c>
      <c r="U68" s="18" cm="1">
        <f t="array" ref="U68">_xll.aqBondObjectModifiedDuration($L68,$C$4,$Q68)</f>
        <v>4.8304193341484654</v>
      </c>
      <c r="V68" s="93" cm="1">
        <f t="array" ref="V68">_xll.aqBondObjectDV01($L68,$C$4,$Q68)</f>
        <v>468.53262648071836</v>
      </c>
    </row>
    <row r="69" spans="2:22">
      <c r="B69" s="11" t="s">
        <v>262</v>
      </c>
      <c r="C69" s="11" t="s">
        <v>263</v>
      </c>
      <c r="D69" s="11" t="s">
        <v>263</v>
      </c>
      <c r="E69" s="12">
        <v>42766</v>
      </c>
      <c r="F69" s="15">
        <v>42766</v>
      </c>
      <c r="G69" s="14" t="str">
        <f t="shared" si="1"/>
        <v>EOM</v>
      </c>
      <c r="H69" s="12">
        <v>42947</v>
      </c>
      <c r="I69" s="12">
        <v>45138</v>
      </c>
      <c r="J69" s="13">
        <v>2.2499999999999999E-2</v>
      </c>
      <c r="K69" s="12">
        <v>45322</v>
      </c>
      <c r="L69" s="16" t="str" cm="1">
        <f t="array" ref="L69">_xll.aqBondObjectCreateFromGenerator($C69,$L$4,_xll.aqToolLVBFromKeysValues($C$7:$K$7,$C69:$K69))</f>
        <v>US912828V806:0</v>
      </c>
      <c r="M69" s="78">
        <v>3.0235031999999998E-2</v>
      </c>
      <c r="N69" s="51">
        <v>96.242199999999997</v>
      </c>
      <c r="O69" s="17">
        <v>4.9131</v>
      </c>
      <c r="P69" s="95">
        <v>475.16</v>
      </c>
      <c r="Q69" s="39" cm="1">
        <f t="array" ref="Q69">_xll.aqBondObjectYield(L69,$C$4,R69)</f>
        <v>3.0235032000003784E-2</v>
      </c>
      <c r="R69" s="49" cm="1">
        <f t="array" ref="R69">_xll.aqBondObjectPrice($L69,$C$4,$M69)</f>
        <v>96.242187523550072</v>
      </c>
      <c r="S69" s="49" cm="1">
        <f t="array" ref="S69">_xll.aqBondObjectCleanPrice($L69,$C$4,$M69)</f>
        <v>96.242187523550072</v>
      </c>
      <c r="T69" s="49" cm="1">
        <f t="array" ref="T69">_xll.aqBondObjectDirtyPrice($L69,$C$4,$M69)</f>
        <v>96.712975567028337</v>
      </c>
      <c r="U69" s="18" cm="1">
        <f t="array" ref="U69">_xll.aqBondObjectModifiedDuration($L69,$C$4,$Q69)</f>
        <v>4.9131300032437402</v>
      </c>
      <c r="V69" s="93" cm="1">
        <f t="array" ref="V69">_xll.aqBondObjectDV01($L69,$C$4,$Q69)</f>
        <v>475.16342196133735</v>
      </c>
    </row>
    <row r="70" spans="2:22">
      <c r="B70" s="11" t="s">
        <v>118</v>
      </c>
      <c r="C70" s="11" t="s">
        <v>119</v>
      </c>
      <c r="D70" s="11" t="s">
        <v>119</v>
      </c>
      <c r="E70" s="12">
        <v>41688</v>
      </c>
      <c r="F70" s="15">
        <v>41685</v>
      </c>
      <c r="G70" s="14" t="str">
        <f t="shared" si="1"/>
        <v/>
      </c>
      <c r="H70" s="12">
        <v>41866</v>
      </c>
      <c r="I70" s="12">
        <v>45153</v>
      </c>
      <c r="J70" s="13">
        <v>2.75E-2</v>
      </c>
      <c r="K70" s="12">
        <v>45337</v>
      </c>
      <c r="L70" s="16" t="str" cm="1">
        <f t="array" ref="L70">_xll.aqBondObjectCreateFromGenerator($C70,$L$4,_xll.aqToolLVBFromKeysValues($C$7:$K$7,$C70:$K70))</f>
        <v>US912828B667:0</v>
      </c>
      <c r="M70" s="78">
        <v>3.0178918999999998E-2</v>
      </c>
      <c r="N70" s="51">
        <v>98.6875</v>
      </c>
      <c r="O70" s="17">
        <v>4.8963999999999999</v>
      </c>
      <c r="P70" s="95">
        <v>485.48</v>
      </c>
      <c r="Q70" s="39" cm="1">
        <f t="array" ref="Q70">_xll.aqBondObjectYield(L70,$C$4,R70)</f>
        <v>3.017891900000046E-2</v>
      </c>
      <c r="R70" s="49" cm="1">
        <f t="array" ref="R70">_xll.aqBondObjectPrice($L70,$C$4,$M70)</f>
        <v>98.687500138648943</v>
      </c>
      <c r="S70" s="49" cm="1">
        <f t="array" ref="S70">_xll.aqBondObjectCleanPrice($L70,$C$4,$M70)</f>
        <v>98.687500138648943</v>
      </c>
      <c r="T70" s="49" cm="1">
        <f t="array" ref="T70">_xll.aqBondObjectDirtyPrice($L70,$C$4,$M70)</f>
        <v>99.150815356040241</v>
      </c>
      <c r="U70" s="18" cm="1">
        <f t="array" ref="U70">_xll.aqBondObjectModifiedDuration($L70,$C$4,$Q70)</f>
        <v>4.8963913143438038</v>
      </c>
      <c r="V70" s="93" cm="1">
        <f t="array" ref="V70">_xll.aqBondObjectDV01($L70,$C$4,$Q70)</f>
        <v>485.48119111942066</v>
      </c>
    </row>
    <row r="71" spans="2:22">
      <c r="B71" s="11" t="s">
        <v>222</v>
      </c>
      <c r="C71" s="11" t="s">
        <v>223</v>
      </c>
      <c r="D71" s="11" t="s">
        <v>223</v>
      </c>
      <c r="E71" s="12">
        <v>42794</v>
      </c>
      <c r="F71" s="15">
        <v>42794</v>
      </c>
      <c r="G71" s="14" t="str">
        <f t="shared" si="1"/>
        <v>EOM</v>
      </c>
      <c r="H71" s="12">
        <v>42978</v>
      </c>
      <c r="I71" s="12">
        <v>45169</v>
      </c>
      <c r="J71" s="13">
        <v>2.1250000000000002E-2</v>
      </c>
      <c r="K71" s="12">
        <v>45351</v>
      </c>
      <c r="L71" s="16" t="str" cm="1">
        <f t="array" ref="L71">_xll.aqBondObjectCreateFromGenerator($C71,$L$4,_xll.aqToolLVBFromKeysValues($C$7:$K$7,$C71:$K71))</f>
        <v>US912828W481:0</v>
      </c>
      <c r="M71" s="78">
        <v>3.0241361000000001E-2</v>
      </c>
      <c r="N71" s="51">
        <v>95.570300000000003</v>
      </c>
      <c r="O71" s="17">
        <v>5.0087999999999999</v>
      </c>
      <c r="P71" s="95">
        <v>480.04</v>
      </c>
      <c r="Q71" s="39" cm="1">
        <f t="array" ref="Q71">_xll.aqBondObjectYield(L71,$C$4,R71)</f>
        <v>3.0241361000004328E-2</v>
      </c>
      <c r="R71" s="49" cm="1">
        <f t="array" ref="R71">_xll.aqBondObjectPrice($L71,$C$4,$M71)</f>
        <v>95.570312553925177</v>
      </c>
      <c r="S71" s="49" cm="1">
        <f t="array" ref="S71">_xll.aqBondObjectCleanPrice($L71,$C$4,$M71)</f>
        <v>95.570312553925177</v>
      </c>
      <c r="T71" s="49" cm="1">
        <f t="array" ref="T71">_xll.aqBondObjectDirtyPrice($L71,$C$4,$M71)</f>
        <v>95.84034017823457</v>
      </c>
      <c r="U71" s="18" cm="1">
        <f t="array" ref="U71">_xll.aqBondObjectModifiedDuration($L71,$C$4,$Q71)</f>
        <v>5.0087950278485591</v>
      </c>
      <c r="V71" s="93" cm="1">
        <f t="array" ref="V71">_xll.aqBondObjectDV01($L71,$C$4,$Q71)</f>
        <v>480.04461935204512</v>
      </c>
    </row>
    <row r="72" spans="2:22">
      <c r="B72" s="11" t="s">
        <v>174</v>
      </c>
      <c r="C72" s="11" t="s">
        <v>175</v>
      </c>
      <c r="D72" s="11" t="s">
        <v>175</v>
      </c>
      <c r="E72" s="12">
        <v>41774</v>
      </c>
      <c r="F72" s="15">
        <v>41774</v>
      </c>
      <c r="G72" s="14" t="str">
        <f t="shared" ref="G72:G103" si="2">IF(DAY(K72+1)=1, "EOM","")</f>
        <v/>
      </c>
      <c r="H72" s="12">
        <v>41958</v>
      </c>
      <c r="I72" s="12">
        <v>45245</v>
      </c>
      <c r="J72" s="13">
        <v>2.5000000000000001E-2</v>
      </c>
      <c r="K72" s="12">
        <v>45427</v>
      </c>
      <c r="L72" s="16" t="str" cm="1">
        <f t="array" ref="L72">_xll.aqBondObjectCreateFromGenerator($C72,$L$4,_xll.aqToolLVBFromKeysValues($C$7:$K$7,$C72:$K72))</f>
        <v>US912828WJ58:0</v>
      </c>
      <c r="M72" s="78">
        <v>3.0329128E-2</v>
      </c>
      <c r="N72" s="51">
        <v>97.281300000000002</v>
      </c>
      <c r="O72" s="17">
        <v>5.1058000000000003</v>
      </c>
      <c r="P72" s="95">
        <v>502.04</v>
      </c>
      <c r="Q72" s="39" cm="1">
        <f t="array" ref="Q72">_xll.aqBondObjectYield(L72,$C$4,R72)</f>
        <v>3.0329128000001707E-2</v>
      </c>
      <c r="R72" s="49" cm="1">
        <f t="array" ref="R72">_xll.aqBondObjectPrice($L72,$C$4,$M72)</f>
        <v>97.28125021325927</v>
      </c>
      <c r="S72" s="49" cm="1">
        <f t="array" ref="S72">_xll.aqBondObjectCleanPrice($L72,$C$4,$M72)</f>
        <v>97.28125021325927</v>
      </c>
      <c r="T72" s="49" cm="1">
        <f t="array" ref="T72">_xll.aqBondObjectDirtyPrice($L72,$C$4,$M72)</f>
        <v>98.327445865433177</v>
      </c>
      <c r="U72" s="18" cm="1">
        <f t="array" ref="U72">_xll.aqBondObjectModifiedDuration($L72,$C$4,$Q72)</f>
        <v>5.1057607192241523</v>
      </c>
      <c r="V72" s="93" cm="1">
        <f t="array" ref="V72">_xll.aqBondObjectDV01($L72,$C$4,$Q72)</f>
        <v>502.03641072136332</v>
      </c>
    </row>
    <row r="73" spans="2:22">
      <c r="B73" s="11" t="s">
        <v>214</v>
      </c>
      <c r="C73" s="11" t="s">
        <v>215</v>
      </c>
      <c r="D73" s="11" t="s">
        <v>215</v>
      </c>
      <c r="E73" s="12">
        <v>41866</v>
      </c>
      <c r="F73" s="15">
        <v>41866</v>
      </c>
      <c r="G73" s="14" t="str">
        <f t="shared" si="2"/>
        <v/>
      </c>
      <c r="H73" s="12">
        <v>42050</v>
      </c>
      <c r="I73" s="12">
        <v>45337</v>
      </c>
      <c r="J73" s="13">
        <v>2.375E-2</v>
      </c>
      <c r="K73" s="12">
        <v>45519</v>
      </c>
      <c r="L73" s="16" t="str" cm="1">
        <f t="array" ref="L73">_xll.aqBondObjectCreateFromGenerator($C73,$L$4,_xll.aqToolLVBFromKeysValues($C$7:$K$7,$C73:$K73))</f>
        <v>US912828D564:0</v>
      </c>
      <c r="M73" s="78">
        <v>3.0505262000000002E-2</v>
      </c>
      <c r="N73" s="51">
        <v>96.414100000000005</v>
      </c>
      <c r="O73" s="17">
        <v>5.3682999999999996</v>
      </c>
      <c r="P73" s="95">
        <v>519.73</v>
      </c>
      <c r="Q73" s="39" cm="1">
        <f t="array" ref="Q73">_xll.aqBondObjectYield(L73,$C$4,R73)</f>
        <v>3.0505262000003364E-2</v>
      </c>
      <c r="R73" s="49" cm="1">
        <f t="array" ref="R73">_xll.aqBondObjectPrice($L73,$C$4,$M73)</f>
        <v>96.414062703777034</v>
      </c>
      <c r="S73" s="49" cm="1">
        <f t="array" ref="S73">_xll.aqBondObjectCleanPrice($L73,$C$4,$M73)</f>
        <v>96.414062703777034</v>
      </c>
      <c r="T73" s="49" cm="1">
        <f t="array" ref="T73">_xll.aqBondObjectDirtyPrice($L73,$C$4,$M73)</f>
        <v>96.814198573342253</v>
      </c>
      <c r="U73" s="18" cm="1">
        <f t="array" ref="U73">_xll.aqBondObjectModifiedDuration($L73,$C$4,$Q73)</f>
        <v>5.3683183063736921</v>
      </c>
      <c r="V73" s="93" cm="1">
        <f t="array" ref="V73">_xll.aqBondObjectDV01($L73,$C$4,$Q73)</f>
        <v>519.72943451816229</v>
      </c>
    </row>
    <row r="74" spans="2:22">
      <c r="B74" s="11" t="s">
        <v>254</v>
      </c>
      <c r="C74" s="11" t="s">
        <v>255</v>
      </c>
      <c r="D74" s="11" t="s">
        <v>255</v>
      </c>
      <c r="E74" s="12">
        <v>41960</v>
      </c>
      <c r="F74" s="15">
        <v>41958</v>
      </c>
      <c r="G74" s="14" t="str">
        <f t="shared" si="2"/>
        <v/>
      </c>
      <c r="H74" s="12">
        <v>42139</v>
      </c>
      <c r="I74" s="12">
        <v>45427</v>
      </c>
      <c r="J74" s="13">
        <v>2.2499999999999999E-2</v>
      </c>
      <c r="K74" s="12">
        <v>45611</v>
      </c>
      <c r="L74" s="16" t="str" cm="1">
        <f t="array" ref="L74">_xll.aqBondObjectCreateFromGenerator($C74,$L$4,_xll.aqToolLVBFromKeysValues($C$7:$K$7,$C74:$K74))</f>
        <v>US912828G385:0</v>
      </c>
      <c r="M74" s="78">
        <v>3.0606960000000002E-2</v>
      </c>
      <c r="N74" s="51">
        <v>95.531300000000002</v>
      </c>
      <c r="O74" s="17">
        <v>5.5667999999999997</v>
      </c>
      <c r="P74" s="95">
        <v>537.04999999999995</v>
      </c>
      <c r="Q74" s="39" cm="1">
        <f t="array" ref="Q74">_xll.aqBondObjectYield(L74,$C$4,R74)</f>
        <v>3.0606960000005647E-2</v>
      </c>
      <c r="R74" s="49" cm="1">
        <f t="array" ref="R74">_xll.aqBondObjectPrice($L74,$C$4,$M74)</f>
        <v>95.531250087807919</v>
      </c>
      <c r="S74" s="49" cm="1">
        <f t="array" ref="S74">_xll.aqBondObjectCleanPrice($L74,$C$4,$M74)</f>
        <v>95.531250087807919</v>
      </c>
      <c r="T74" s="49" cm="1">
        <f t="array" ref="T74">_xll.aqBondObjectDirtyPrice($L74,$C$4,$M74)</f>
        <v>96.472826174764435</v>
      </c>
      <c r="U74" s="18" cm="1">
        <f t="array" ref="U74">_xll.aqBondObjectModifiedDuration($L74,$C$4,$Q74)</f>
        <v>5.5668166797898584</v>
      </c>
      <c r="V74" s="93" cm="1">
        <f t="array" ref="V74">_xll.aqBondObjectDV01($L74,$C$4,$Q74)</f>
        <v>537.04653789612905</v>
      </c>
    </row>
    <row r="75" spans="2:22">
      <c r="B75" s="11" t="s">
        <v>162</v>
      </c>
      <c r="C75" s="11" t="s">
        <v>163</v>
      </c>
      <c r="D75" s="11" t="s">
        <v>163</v>
      </c>
      <c r="E75" s="12">
        <v>42052</v>
      </c>
      <c r="F75" s="15">
        <v>42050</v>
      </c>
      <c r="G75" s="14" t="str">
        <f t="shared" si="2"/>
        <v/>
      </c>
      <c r="H75" s="12">
        <v>42231</v>
      </c>
      <c r="I75" s="12">
        <v>45519</v>
      </c>
      <c r="J75" s="13">
        <v>0.02</v>
      </c>
      <c r="K75" s="12">
        <v>45703</v>
      </c>
      <c r="L75" s="16" t="str" cm="1">
        <f t="array" ref="L75">_xll.aqBondObjectCreateFromGenerator($C75,$L$4,_xll.aqToolLVBFromKeysValues($C$7:$K$7,$C75:$K75))</f>
        <v>US912828J272:0</v>
      </c>
      <c r="M75" s="78">
        <v>3.0744186E-2</v>
      </c>
      <c r="N75" s="51">
        <v>93.859399999999994</v>
      </c>
      <c r="O75" s="17">
        <v>5.8536000000000001</v>
      </c>
      <c r="P75" s="95">
        <v>551.39</v>
      </c>
      <c r="Q75" s="39" cm="1">
        <f t="array" ref="Q75">_xll.aqBondObjectYield(L75,$C$4,R75)</f>
        <v>3.0744186000008458E-2</v>
      </c>
      <c r="R75" s="49" cm="1">
        <f t="array" ref="R75">_xll.aqBondObjectPrice($L75,$C$4,$M75)</f>
        <v>93.859375200859802</v>
      </c>
      <c r="S75" s="49" cm="1">
        <f t="array" ref="S75">_xll.aqBondObjectCleanPrice($L75,$C$4,$M75)</f>
        <v>93.859375200859802</v>
      </c>
      <c r="T75" s="49" cm="1">
        <f t="array" ref="T75">_xll.aqBondObjectDirtyPrice($L75,$C$4,$M75)</f>
        <v>94.196331722598927</v>
      </c>
      <c r="U75" s="18" cm="1">
        <f t="array" ref="U75">_xll.aqBondObjectModifiedDuration($L75,$C$4,$Q75)</f>
        <v>5.8535913888212212</v>
      </c>
      <c r="V75" s="93" cm="1">
        <f t="array" ref="V75">_xll.aqBondObjectDV01($L75,$C$4,$Q75)</f>
        <v>551.38683622992505</v>
      </c>
    </row>
    <row r="76" spans="2:22">
      <c r="B76" s="11" t="s">
        <v>182</v>
      </c>
      <c r="C76" s="11" t="s">
        <v>183</v>
      </c>
      <c r="D76" s="11" t="s">
        <v>183</v>
      </c>
      <c r="E76" s="12">
        <v>42139</v>
      </c>
      <c r="F76" s="15">
        <v>42139</v>
      </c>
      <c r="G76" s="14" t="str">
        <f t="shared" si="2"/>
        <v/>
      </c>
      <c r="H76" s="12">
        <v>42323</v>
      </c>
      <c r="I76" s="12">
        <v>45611</v>
      </c>
      <c r="J76" s="13">
        <v>2.1250000000000002E-2</v>
      </c>
      <c r="K76" s="12">
        <v>45792</v>
      </c>
      <c r="L76" s="16" t="str" cm="1">
        <f t="array" ref="L76">_xll.aqBondObjectCreateFromGenerator($C76,$L$4,_xll.aqToolLVBFromKeysValues($C$7:$K$7,$C76:$K76))</f>
        <v>US912828XB14:0</v>
      </c>
      <c r="M76" s="78">
        <v>3.0808799000000001E-2</v>
      </c>
      <c r="N76" s="51">
        <v>94.343699999999998</v>
      </c>
      <c r="O76" s="17">
        <v>6.0119999999999996</v>
      </c>
      <c r="P76" s="95">
        <v>572.54</v>
      </c>
      <c r="Q76" s="39" cm="1">
        <f t="array" ref="Q76">_xll.aqBondObjectYield(L76,$C$4,R76)</f>
        <v>3.080879900000744E-2</v>
      </c>
      <c r="R76" s="49" cm="1">
        <f t="array" ref="R76">_xll.aqBondObjectPrice($L76,$C$4,$M76)</f>
        <v>94.343749827363993</v>
      </c>
      <c r="S76" s="49" cm="1">
        <f t="array" ref="S76">_xll.aqBondObjectCleanPrice($L76,$C$4,$M76)</f>
        <v>94.343749827363993</v>
      </c>
      <c r="T76" s="49" cm="1">
        <f t="array" ref="T76">_xll.aqBondObjectDirtyPrice($L76,$C$4,$M76)</f>
        <v>95.233016131711821</v>
      </c>
      <c r="U76" s="18" cm="1">
        <f t="array" ref="U76">_xll.aqBondObjectModifiedDuration($L76,$C$4,$Q76)</f>
        <v>6.0120215784484108</v>
      </c>
      <c r="V76" s="93" cm="1">
        <f t="array" ref="V76">_xll.aqBondObjectDV01($L76,$C$4,$Q76)</f>
        <v>572.5429479645511</v>
      </c>
    </row>
    <row r="77" spans="2:22">
      <c r="B77" s="11" t="s">
        <v>19</v>
      </c>
      <c r="C77" s="11" t="s">
        <v>20</v>
      </c>
      <c r="D77" s="11" t="s">
        <v>20</v>
      </c>
      <c r="E77" s="12">
        <v>34926</v>
      </c>
      <c r="F77" s="15">
        <v>34926</v>
      </c>
      <c r="G77" s="14" t="str">
        <f t="shared" si="2"/>
        <v/>
      </c>
      <c r="H77" s="12">
        <v>35110</v>
      </c>
      <c r="I77" s="12">
        <v>45703</v>
      </c>
      <c r="J77" s="13">
        <v>6.8750000000000006E-2</v>
      </c>
      <c r="K77" s="12">
        <v>45884</v>
      </c>
      <c r="L77" s="16" t="str" cm="1">
        <f t="array" ref="L77">_xll.aqBondObjectCreateFromGenerator($C77,$L$4,_xll.aqToolLVBFromKeysValues($C$7:$K$7,$C77:$K77))</f>
        <v>US912810EV62:0</v>
      </c>
      <c r="M77" s="78">
        <v>3.0589924000000001E-2</v>
      </c>
      <c r="N77" s="51">
        <v>123.35939999999999</v>
      </c>
      <c r="O77" s="17">
        <v>5.5747</v>
      </c>
      <c r="P77" s="95">
        <v>694.14</v>
      </c>
      <c r="Q77" s="39" cm="1">
        <f t="array" ref="Q77">_xll.aqBondObjectYield(L77,$C$4,R77)</f>
        <v>3.0589924000000053E-2</v>
      </c>
      <c r="R77" s="49" cm="1">
        <f t="array" ref="R77">_xll.aqBondObjectPrice($L77,$C$4,$M77)</f>
        <v>123.35937495278213</v>
      </c>
      <c r="S77" s="49" cm="1">
        <f t="array" ref="S77">_xll.aqBondObjectCleanPrice($L77,$C$4,$M77)</f>
        <v>123.35937495278213</v>
      </c>
      <c r="T77" s="49" cm="1">
        <f t="array" ref="T77">_xll.aqBondObjectDirtyPrice($L77,$C$4,$M77)</f>
        <v>124.5176629962604</v>
      </c>
      <c r="U77" s="18" cm="1">
        <f t="array" ref="U77">_xll.aqBondObjectModifiedDuration($L77,$C$4,$Q77)</f>
        <v>5.5746585520382217</v>
      </c>
      <c r="V77" s="93" cm="1">
        <f t="array" ref="V77">_xll.aqBondObjectDV01($L77,$C$4,$Q77)</f>
        <v>694.14345490191624</v>
      </c>
    </row>
    <row r="78" spans="2:22">
      <c r="B78" s="11" t="s">
        <v>29</v>
      </c>
      <c r="C78" s="11" t="s">
        <v>30</v>
      </c>
      <c r="D78" s="11" t="s">
        <v>30</v>
      </c>
      <c r="E78" s="12">
        <v>42233</v>
      </c>
      <c r="F78" s="15">
        <v>42231</v>
      </c>
      <c r="G78" s="14" t="str">
        <f t="shared" si="2"/>
        <v/>
      </c>
      <c r="H78" s="12">
        <v>42415</v>
      </c>
      <c r="I78" s="12">
        <v>45703</v>
      </c>
      <c r="J78" s="13">
        <v>0.02</v>
      </c>
      <c r="K78" s="12">
        <v>45884</v>
      </c>
      <c r="L78" s="16" t="str" cm="1">
        <f t="array" ref="L78">_xll.aqBondObjectCreateFromGenerator($C78,$L$4,_xll.aqToolLVBFromKeysValues($C$7:$K$7,$C78:$K78))</f>
        <v>US912828K742:0</v>
      </c>
      <c r="M78" s="78">
        <v>3.0932306999999999E-2</v>
      </c>
      <c r="N78" s="51">
        <v>93.3125</v>
      </c>
      <c r="O78" s="17">
        <v>6.2815000000000003</v>
      </c>
      <c r="P78" s="95">
        <v>588.26</v>
      </c>
      <c r="Q78" s="39" cm="1">
        <f t="array" ref="Q78">_xll.aqBondObjectYield(L78,$C$4,R78)</f>
        <v>3.093230700000885E-2</v>
      </c>
      <c r="R78" s="49" cm="1">
        <f t="array" ref="R78">_xll.aqBondObjectPrice($L78,$C$4,$M78)</f>
        <v>93.312500111066285</v>
      </c>
      <c r="S78" s="49" cm="1">
        <f t="array" ref="S78">_xll.aqBondObjectCleanPrice($L78,$C$4,$M78)</f>
        <v>93.312500111066285</v>
      </c>
      <c r="T78" s="49" cm="1">
        <f t="array" ref="T78">_xll.aqBondObjectDirtyPrice($L78,$C$4,$M78)</f>
        <v>93.649456632805411</v>
      </c>
      <c r="U78" s="18" cm="1">
        <f t="array" ref="U78">_xll.aqBondObjectModifiedDuration($L78,$C$4,$Q78)</f>
        <v>6.2815441891578603</v>
      </c>
      <c r="V78" s="93" cm="1">
        <f t="array" ref="V78">_xll.aqBondObjectDV01($L78,$C$4,$Q78)</f>
        <v>588.26320012955705</v>
      </c>
    </row>
    <row r="79" spans="2:22">
      <c r="B79" s="11" t="s">
        <v>202</v>
      </c>
      <c r="C79" s="11" t="s">
        <v>203</v>
      </c>
      <c r="D79" s="11" t="s">
        <v>203</v>
      </c>
      <c r="E79" s="12">
        <v>42324</v>
      </c>
      <c r="F79" s="15">
        <v>42323</v>
      </c>
      <c r="G79" s="14" t="str">
        <f t="shared" si="2"/>
        <v/>
      </c>
      <c r="H79" s="12">
        <v>42505</v>
      </c>
      <c r="I79" s="12">
        <v>45792</v>
      </c>
      <c r="J79" s="13">
        <v>2.2499999999999999E-2</v>
      </c>
      <c r="K79" s="12">
        <v>45976</v>
      </c>
      <c r="L79" s="16" t="str" cm="1">
        <f t="array" ref="L79">_xll.aqBondObjectCreateFromGenerator($C79,$L$4,_xll.aqToolLVBFromKeysValues($C$7:$K$7,$C79:$K79))</f>
        <v>US912828M565:0</v>
      </c>
      <c r="M79" s="78">
        <v>3.1010653000000003E-2</v>
      </c>
      <c r="N79" s="51">
        <v>94.625</v>
      </c>
      <c r="O79" s="17">
        <v>6.4047000000000001</v>
      </c>
      <c r="P79" s="95">
        <v>612.08000000000004</v>
      </c>
      <c r="Q79" s="39" cm="1">
        <f t="array" ref="Q79">_xll.aqBondObjectYield(L79,$C$4,R79)</f>
        <v>3.1010653000008118E-2</v>
      </c>
      <c r="R79" s="49" cm="1">
        <f t="array" ref="R79">_xll.aqBondObjectPrice($L79,$C$4,$M79)</f>
        <v>94.624999716375413</v>
      </c>
      <c r="S79" s="49" cm="1">
        <f t="array" ref="S79">_xll.aqBondObjectCleanPrice($L79,$C$4,$M79)</f>
        <v>94.624999716375413</v>
      </c>
      <c r="T79" s="49" cm="1">
        <f t="array" ref="T79">_xll.aqBondObjectDirtyPrice($L79,$C$4,$M79)</f>
        <v>95.566575803331929</v>
      </c>
      <c r="U79" s="18" cm="1">
        <f t="array" ref="U79">_xll.aqBondObjectModifiedDuration($L79,$C$4,$Q79)</f>
        <v>6.4047195672554693</v>
      </c>
      <c r="V79" s="93" cm="1">
        <f t="array" ref="V79">_xll.aqBondObjectDV01($L79,$C$4,$Q79)</f>
        <v>612.07711802317181</v>
      </c>
    </row>
    <row r="80" spans="2:22">
      <c r="B80" s="11" t="s">
        <v>33</v>
      </c>
      <c r="C80" s="11" t="s">
        <v>34</v>
      </c>
      <c r="D80" s="11" t="s">
        <v>34</v>
      </c>
      <c r="E80" s="12">
        <v>35110</v>
      </c>
      <c r="F80" s="15">
        <v>35110</v>
      </c>
      <c r="G80" s="14" t="str">
        <f t="shared" si="2"/>
        <v/>
      </c>
      <c r="H80" s="12">
        <v>35292</v>
      </c>
      <c r="I80" s="12">
        <v>45884</v>
      </c>
      <c r="J80" s="13">
        <v>0.06</v>
      </c>
      <c r="K80" s="12">
        <v>46068</v>
      </c>
      <c r="L80" s="16" t="str" cm="1">
        <f t="array" ref="L80">_xll.aqBondObjectCreateFromGenerator($C80,$L$4,_xll.aqToolLVBFromKeysValues($C$7:$K$7,$C80:$K80))</f>
        <v>US912810EW46:0</v>
      </c>
      <c r="M80" s="78">
        <v>3.0643794999999998E-2</v>
      </c>
      <c r="N80" s="51">
        <v>119.14060000000001</v>
      </c>
      <c r="O80" s="17">
        <v>6.0227000000000004</v>
      </c>
      <c r="P80" s="95">
        <v>723.64</v>
      </c>
      <c r="Q80" s="39" cm="1">
        <f t="array" ref="Q80">_xll.aqBondObjectYield(L80,$C$4,R80)</f>
        <v>3.0643795000000175E-2</v>
      </c>
      <c r="R80" s="49" cm="1">
        <f t="array" ref="R80">_xll.aqBondObjectPrice($L80,$C$4,$M80)</f>
        <v>119.14062464721965</v>
      </c>
      <c r="S80" s="49" cm="1">
        <f t="array" ref="S80">_xll.aqBondObjectCleanPrice($L80,$C$4,$M80)</f>
        <v>119.14062464721965</v>
      </c>
      <c r="T80" s="49" cm="1">
        <f t="array" ref="T80">_xll.aqBondObjectDirtyPrice($L80,$C$4,$M80)</f>
        <v>120.15149421243704</v>
      </c>
      <c r="U80" s="18" cm="1">
        <f t="array" ref="U80">_xll.aqBondObjectModifiedDuration($L80,$C$4,$Q80)</f>
        <v>6.0226899170007577</v>
      </c>
      <c r="V80" s="93" cm="1">
        <f t="array" ref="V80">_xll.aqBondObjectDV01($L80,$C$4,$Q80)</f>
        <v>723.63519270581946</v>
      </c>
    </row>
    <row r="81" spans="2:22">
      <c r="B81" s="11" t="s">
        <v>100</v>
      </c>
      <c r="C81" s="11" t="s">
        <v>101</v>
      </c>
      <c r="D81" s="11" t="s">
        <v>101</v>
      </c>
      <c r="E81" s="12">
        <v>42416</v>
      </c>
      <c r="F81" s="15">
        <v>42415</v>
      </c>
      <c r="G81" s="14" t="str">
        <f t="shared" si="2"/>
        <v/>
      </c>
      <c r="H81" s="12">
        <v>42597</v>
      </c>
      <c r="I81" s="12">
        <v>45884</v>
      </c>
      <c r="J81" s="13">
        <v>1.6250000000000001E-2</v>
      </c>
      <c r="K81" s="12">
        <v>46068</v>
      </c>
      <c r="L81" s="16" t="str" cm="1">
        <f t="array" ref="L81">_xll.aqBondObjectCreateFromGenerator($C81,$L$4,_xll.aqToolLVBFromKeysValues($C$7:$K$7,$C81:$K81))</f>
        <v>US912828P469:0</v>
      </c>
      <c r="M81" s="78">
        <v>3.1128555000000002E-2</v>
      </c>
      <c r="N81" s="51">
        <v>90.3125</v>
      </c>
      <c r="O81" s="17">
        <v>6.7892999999999999</v>
      </c>
      <c r="P81" s="95">
        <v>615.02</v>
      </c>
      <c r="Q81" s="39" cm="1">
        <f t="array" ref="Q81">_xll.aqBondObjectYield(L81,$C$4,R81)</f>
        <v>3.1128554999989053E-2</v>
      </c>
      <c r="R81" s="49" cm="1">
        <f t="array" ref="R81">_xll.aqBondObjectPrice($L81,$C$4,$M81)</f>
        <v>90.312499904065788</v>
      </c>
      <c r="S81" s="49" cm="1">
        <f t="array" ref="S81">_xll.aqBondObjectCleanPrice($L81,$C$4,$M81)</f>
        <v>90.312499904065788</v>
      </c>
      <c r="T81" s="49" cm="1">
        <f t="array" ref="T81">_xll.aqBondObjectDirtyPrice($L81,$C$4,$M81)</f>
        <v>90.586277077978835</v>
      </c>
      <c r="U81" s="18" cm="1">
        <f t="array" ref="U81">_xll.aqBondObjectModifiedDuration($L81,$C$4,$Q81)</f>
        <v>6.7893348393506701</v>
      </c>
      <c r="V81" s="93" cm="1">
        <f t="array" ref="V81">_xll.aqBondObjectDV01($L81,$C$4,$Q81)</f>
        <v>615.02056693264115</v>
      </c>
    </row>
    <row r="82" spans="2:22">
      <c r="B82" s="11" t="s">
        <v>98</v>
      </c>
      <c r="C82" s="11" t="s">
        <v>99</v>
      </c>
      <c r="D82" s="11" t="s">
        <v>99</v>
      </c>
      <c r="E82" s="12">
        <v>42506</v>
      </c>
      <c r="F82" s="15">
        <v>42505</v>
      </c>
      <c r="G82" s="14" t="str">
        <f t="shared" si="2"/>
        <v/>
      </c>
      <c r="H82" s="12">
        <v>42689</v>
      </c>
      <c r="I82" s="12">
        <v>45976</v>
      </c>
      <c r="J82" s="13">
        <v>1.6250000000000001E-2</v>
      </c>
      <c r="K82" s="12">
        <v>46157</v>
      </c>
      <c r="L82" s="16" t="str" cm="1">
        <f t="array" ref="L82">_xll.aqBondObjectCreateFromGenerator($C82,$L$4,_xll.aqToolLVBFromKeysValues($C$7:$K$7,$C82:$K82))</f>
        <v>US912828R366:0</v>
      </c>
      <c r="M82" s="78">
        <v>3.1184696000000001E-2</v>
      </c>
      <c r="N82" s="51">
        <v>89.984399999999994</v>
      </c>
      <c r="O82" s="17">
        <v>6.9729999999999999</v>
      </c>
      <c r="P82" s="95">
        <v>632.21</v>
      </c>
      <c r="Q82" s="39" cm="1">
        <f t="array" ref="Q82">_xll.aqBondObjectYield(L82,$C$4,R82)</f>
        <v>3.1184695999991012E-2</v>
      </c>
      <c r="R82" s="49" cm="1">
        <f t="array" ref="R82">_xll.aqBondObjectPrice($L82,$C$4,$M82)</f>
        <v>89.984374891294493</v>
      </c>
      <c r="S82" s="49" cm="1">
        <f t="array" ref="S82">_xll.aqBondObjectCleanPrice($L82,$C$4,$M82)</f>
        <v>89.984374891294493</v>
      </c>
      <c r="T82" s="49" cm="1">
        <f t="array" ref="T82">_xll.aqBondObjectDirtyPrice($L82,$C$4,$M82)</f>
        <v>90.66440206520754</v>
      </c>
      <c r="U82" s="18" cm="1">
        <f t="array" ref="U82">_xll.aqBondObjectModifiedDuration($L82,$C$4,$Q82)</f>
        <v>6.9730319391079236</v>
      </c>
      <c r="V82" s="93" cm="1">
        <f t="array" ref="V82">_xll.aqBondObjectDV01($L82,$C$4,$Q82)</f>
        <v>632.20577134085374</v>
      </c>
    </row>
    <row r="83" spans="2:22">
      <c r="B83" s="11" t="s">
        <v>23</v>
      </c>
      <c r="C83" s="11" t="s">
        <v>24</v>
      </c>
      <c r="D83" s="11" t="s">
        <v>24</v>
      </c>
      <c r="E83" s="12">
        <v>35292</v>
      </c>
      <c r="F83" s="15">
        <v>35292</v>
      </c>
      <c r="G83" s="14" t="str">
        <f t="shared" si="2"/>
        <v/>
      </c>
      <c r="H83" s="12">
        <v>35476</v>
      </c>
      <c r="I83" s="12">
        <v>46068</v>
      </c>
      <c r="J83" s="13">
        <v>6.7500000000000004E-2</v>
      </c>
      <c r="K83" s="12">
        <v>46249</v>
      </c>
      <c r="L83" s="16" t="str" cm="1">
        <f t="array" ref="L83">_xll.aqBondObjectCreateFromGenerator($C83,$L$4,_xll.aqToolLVBFromKeysValues($C$7:$K$7,$C83:$K83))</f>
        <v>US912810EX29:0</v>
      </c>
      <c r="M83" s="78">
        <v>3.0761234000000002E-2</v>
      </c>
      <c r="N83" s="51">
        <v>125.39060000000001</v>
      </c>
      <c r="O83" s="17">
        <v>6.2576000000000001</v>
      </c>
      <c r="P83" s="95">
        <v>791.76</v>
      </c>
      <c r="Q83" s="39" cm="1">
        <f t="array" ref="Q83">_xll.aqBondObjectYield(L83,$C$4,R83)</f>
        <v>3.0761233999999874E-2</v>
      </c>
      <c r="R83" s="49" cm="1">
        <f t="array" ref="R83">_xll.aqBondObjectPrice($L83,$C$4,$M83)</f>
        <v>125.39062482704726</v>
      </c>
      <c r="S83" s="49" cm="1">
        <f t="array" ref="S83">_xll.aqBondObjectCleanPrice($L83,$C$4,$M83)</f>
        <v>125.39062482704726</v>
      </c>
      <c r="T83" s="49" cm="1">
        <f t="array" ref="T83">_xll.aqBondObjectDirtyPrice($L83,$C$4,$M83)</f>
        <v>126.52785308791682</v>
      </c>
      <c r="U83" s="18" cm="1">
        <f t="array" ref="U83">_xll.aqBondObjectModifiedDuration($L83,$C$4,$Q83)</f>
        <v>6.2576284815893128</v>
      </c>
      <c r="V83" s="93" cm="1">
        <f t="array" ref="V83">_xll.aqBondObjectDV01($L83,$C$4,$Q83)</f>
        <v>791.76429719729663</v>
      </c>
    </row>
    <row r="84" spans="2:22">
      <c r="B84" s="11" t="s">
        <v>84</v>
      </c>
      <c r="C84" s="11" t="s">
        <v>85</v>
      </c>
      <c r="D84" s="11" t="s">
        <v>85</v>
      </c>
      <c r="E84" s="12">
        <v>42597</v>
      </c>
      <c r="F84" s="15">
        <v>42597</v>
      </c>
      <c r="G84" s="14" t="str">
        <f t="shared" si="2"/>
        <v/>
      </c>
      <c r="H84" s="12">
        <v>42781</v>
      </c>
      <c r="I84" s="12">
        <v>46068</v>
      </c>
      <c r="J84" s="13">
        <v>1.4999999999999999E-2</v>
      </c>
      <c r="K84" s="12">
        <v>46249</v>
      </c>
      <c r="L84" s="16" t="str" cm="1">
        <f t="array" ref="L84">_xll.aqBondObjectCreateFromGenerator($C84,$L$4,_xll.aqToolLVBFromKeysValues($C$7:$K$7,$C84:$K84))</f>
        <v>US9128282A70:0</v>
      </c>
      <c r="M84" s="78">
        <v>3.1235071E-2</v>
      </c>
      <c r="N84" s="51">
        <v>88.796899999999994</v>
      </c>
      <c r="O84" s="17">
        <v>7.2523</v>
      </c>
      <c r="P84" s="95">
        <v>645.80999999999995</v>
      </c>
      <c r="Q84" s="39" cm="1">
        <f t="array" ref="Q84">_xll.aqBondObjectYield(L84,$C$4,R84)</f>
        <v>3.1235070999961836E-2</v>
      </c>
      <c r="R84" s="49" cm="1">
        <f t="array" ref="R84">_xll.aqBondObjectPrice($L84,$C$4,$M84)</f>
        <v>88.796875157413794</v>
      </c>
      <c r="S84" s="49" cm="1">
        <f t="array" ref="S84">_xll.aqBondObjectCleanPrice($L84,$C$4,$M84)</f>
        <v>88.796875157413794</v>
      </c>
      <c r="T84" s="49" cm="1">
        <f t="array" ref="T84">_xll.aqBondObjectDirtyPrice($L84,$C$4,$M84)</f>
        <v>89.049592548718138</v>
      </c>
      <c r="U84" s="18" cm="1">
        <f t="array" ref="U84">_xll.aqBondObjectModifiedDuration($L84,$C$4,$Q84)</f>
        <v>7.2522521973421208</v>
      </c>
      <c r="V84" s="93" cm="1">
        <f t="array" ref="V84">_xll.aqBondObjectDV01($L84,$C$4,$Q84)</f>
        <v>645.81010323403848</v>
      </c>
    </row>
    <row r="85" spans="2:22">
      <c r="B85" s="11" t="s">
        <v>27</v>
      </c>
      <c r="C85" s="11" t="s">
        <v>28</v>
      </c>
      <c r="D85" s="11" t="s">
        <v>28</v>
      </c>
      <c r="E85" s="12">
        <v>35384</v>
      </c>
      <c r="F85" s="15">
        <v>35384</v>
      </c>
      <c r="G85" s="14" t="str">
        <f t="shared" si="2"/>
        <v/>
      </c>
      <c r="H85" s="12">
        <v>35565</v>
      </c>
      <c r="I85" s="12">
        <v>46157</v>
      </c>
      <c r="J85" s="13">
        <v>6.5000000000000002E-2</v>
      </c>
      <c r="K85" s="12">
        <v>46341</v>
      </c>
      <c r="L85" s="16" t="str" cm="1">
        <f t="array" ref="L85">_xll.aqBondObjectCreateFromGenerator($C85,$L$4,_xll.aqToolLVBFromKeysValues($C$7:$K$7,$C85:$K85))</f>
        <v>US912810EY02:0</v>
      </c>
      <c r="M85" s="78">
        <v>3.0842108E-2</v>
      </c>
      <c r="N85" s="51">
        <v>124.26560000000001</v>
      </c>
      <c r="O85" s="17">
        <v>6.3723000000000001</v>
      </c>
      <c r="P85" s="95">
        <v>809.19</v>
      </c>
      <c r="Q85" s="39" cm="1">
        <f t="array" ref="Q85">_xll.aqBondObjectYield(L85,$C$4,R85)</f>
        <v>3.0842107999999945E-2</v>
      </c>
      <c r="R85" s="49" cm="1">
        <f t="array" ref="R85">_xll.aqBondObjectPrice($L85,$C$4,$M85)</f>
        <v>124.26562516778972</v>
      </c>
      <c r="S85" s="49" cm="1">
        <f t="array" ref="S85">_xll.aqBondObjectCleanPrice($L85,$C$4,$M85)</f>
        <v>124.26562516778972</v>
      </c>
      <c r="T85" s="49" cm="1">
        <f t="array" ref="T85">_xll.aqBondObjectDirtyPrice($L85,$C$4,$M85)</f>
        <v>126.98573386344189</v>
      </c>
      <c r="U85" s="18" cm="1">
        <f t="array" ref="U85">_xll.aqBondObjectModifiedDuration($L85,$C$4,$Q85)</f>
        <v>6.3723224696769707</v>
      </c>
      <c r="V85" s="93" cm="1">
        <f t="array" ref="V85">_xll.aqBondObjectDV01($L85,$C$4,$Q85)</f>
        <v>809.1940452264306</v>
      </c>
    </row>
    <row r="86" spans="2:22">
      <c r="B86" s="11" t="s">
        <v>136</v>
      </c>
      <c r="C86" s="11" t="s">
        <v>137</v>
      </c>
      <c r="D86" s="11" t="s">
        <v>137</v>
      </c>
      <c r="E86" s="12">
        <v>42689</v>
      </c>
      <c r="F86" s="15">
        <v>42689</v>
      </c>
      <c r="G86" s="14" t="str">
        <f t="shared" si="2"/>
        <v/>
      </c>
      <c r="H86" s="12">
        <v>42870</v>
      </c>
      <c r="I86" s="12">
        <v>46157</v>
      </c>
      <c r="J86" s="13">
        <v>0.02</v>
      </c>
      <c r="K86" s="12">
        <v>46341</v>
      </c>
      <c r="L86" s="16" t="str" cm="1">
        <f t="array" ref="L86">_xll.aqBondObjectCreateFromGenerator($C86,$L$4,_xll.aqToolLVBFromKeysValues($C$7:$K$7,$C86:$K86))</f>
        <v>US912828U246:0</v>
      </c>
      <c r="M86" s="78">
        <v>3.1324392999999999E-2</v>
      </c>
      <c r="N86" s="51">
        <v>91.968800000000002</v>
      </c>
      <c r="O86" s="17">
        <v>7.2899000000000003</v>
      </c>
      <c r="P86" s="95">
        <v>676.55</v>
      </c>
      <c r="Q86" s="39" cm="1">
        <f t="array" ref="Q86">_xll.aqBondObjectYield(L86,$C$4,R86)</f>
        <v>3.1324393000005751E-2</v>
      </c>
      <c r="R86" s="49" cm="1">
        <f t="array" ref="R86">_xll.aqBondObjectPrice($L86,$C$4,$M86)</f>
        <v>91.968750330907753</v>
      </c>
      <c r="S86" s="49" cm="1">
        <f t="array" ref="S86">_xll.aqBondObjectCleanPrice($L86,$C$4,$M86)</f>
        <v>91.968750330907753</v>
      </c>
      <c r="T86" s="49" cm="1">
        <f t="array" ref="T86">_xll.aqBondObjectDirtyPrice($L86,$C$4,$M86)</f>
        <v>92.805706852646878</v>
      </c>
      <c r="U86" s="18" cm="1">
        <f t="array" ref="U86">_xll.aqBondObjectModifiedDuration($L86,$C$4,$Q86)</f>
        <v>7.2899148751363674</v>
      </c>
      <c r="V86" s="93" cm="1">
        <f t="array" ref="V86">_xll.aqBondObjectDV01($L86,$C$4,$Q86)</f>
        <v>676.5457028826271</v>
      </c>
    </row>
    <row r="87" spans="2:22">
      <c r="B87" s="11" t="s">
        <v>25</v>
      </c>
      <c r="C87" s="11" t="s">
        <v>26</v>
      </c>
      <c r="D87" s="11" t="s">
        <v>26</v>
      </c>
      <c r="E87" s="12">
        <v>35479</v>
      </c>
      <c r="F87" s="15">
        <v>35476</v>
      </c>
      <c r="G87" s="14" t="str">
        <f t="shared" si="2"/>
        <v/>
      </c>
      <c r="H87" s="12">
        <v>35657</v>
      </c>
      <c r="I87" s="12">
        <v>46249</v>
      </c>
      <c r="J87" s="13">
        <v>6.6250000000000003E-2</v>
      </c>
      <c r="K87" s="12">
        <v>46433</v>
      </c>
      <c r="L87" s="16" t="str" cm="1">
        <f t="array" ref="L87">_xll.aqBondObjectCreateFromGenerator($C87,$L$4,_xll.aqToolLVBFromKeysValues($C$7:$K$7,$C87:$K87))</f>
        <v>US912810EZ76:0</v>
      </c>
      <c r="M87" s="78">
        <v>3.0831444E-2</v>
      </c>
      <c r="N87" s="51">
        <v>125.8438</v>
      </c>
      <c r="O87" s="17">
        <v>6.6</v>
      </c>
      <c r="P87" s="95">
        <v>837.94</v>
      </c>
      <c r="Q87" s="39" cm="1">
        <f t="array" ref="Q87">_xll.aqBondObjectYield(L87,$C$4,R87)</f>
        <v>3.0831444000000055E-2</v>
      </c>
      <c r="R87" s="49" cm="1">
        <f t="array" ref="R87">_xll.aqBondObjectPrice($L87,$C$4,$M87)</f>
        <v>125.8437503425685</v>
      </c>
      <c r="S87" s="49" cm="1">
        <f t="array" ref="S87">_xll.aqBondObjectCleanPrice($L87,$C$4,$M87)</f>
        <v>125.8437503425685</v>
      </c>
      <c r="T87" s="49" cm="1">
        <f t="array" ref="T87">_xll.aqBondObjectDirtyPrice($L87,$C$4,$M87)</f>
        <v>126.95991882082937</v>
      </c>
      <c r="U87" s="18" cm="1">
        <f t="array" ref="U87">_xll.aqBondObjectModifiedDuration($L87,$C$4,$Q87)</f>
        <v>6.6000047014585679</v>
      </c>
      <c r="V87" s="93" cm="1">
        <f t="array" ref="V87">_xll.aqBondObjectDV01($L87,$C$4,$Q87)</f>
        <v>837.93606111427198</v>
      </c>
    </row>
    <row r="88" spans="2:22">
      <c r="B88" s="11" t="s">
        <v>196</v>
      </c>
      <c r="C88" s="11" t="s">
        <v>197</v>
      </c>
      <c r="D88" s="11" t="s">
        <v>197</v>
      </c>
      <c r="E88" s="12">
        <v>42781</v>
      </c>
      <c r="F88" s="15">
        <v>42781</v>
      </c>
      <c r="G88" s="14" t="str">
        <f t="shared" si="2"/>
        <v/>
      </c>
      <c r="H88" s="12">
        <v>42962</v>
      </c>
      <c r="I88" s="12">
        <v>46249</v>
      </c>
      <c r="J88" s="13">
        <v>2.2499999999999999E-2</v>
      </c>
      <c r="K88" s="12">
        <v>46433</v>
      </c>
      <c r="L88" s="16" t="str" cm="1">
        <f t="array" ref="L88">_xll.aqBondObjectCreateFromGenerator($C88,$L$4,_xll.aqToolLVBFromKeysValues($C$7:$K$7,$C88:$K88))</f>
        <v>US912828V988:0</v>
      </c>
      <c r="M88" s="78">
        <v>3.1358795000000002E-2</v>
      </c>
      <c r="N88" s="51">
        <v>93.546899999999994</v>
      </c>
      <c r="O88" s="17">
        <v>7.4672999999999998</v>
      </c>
      <c r="P88" s="95">
        <v>701.37</v>
      </c>
      <c r="Q88" s="39" cm="1">
        <f t="array" ref="Q88">_xll.aqBondObjectYield(L88,$C$4,R88)</f>
        <v>3.1358795000010667E-2</v>
      </c>
      <c r="R88" s="49" cm="1">
        <f t="array" ref="R88">_xll.aqBondObjectPrice($L88,$C$4,$M88)</f>
        <v>93.546874817522777</v>
      </c>
      <c r="S88" s="49" cm="1">
        <f t="array" ref="S88">_xll.aqBondObjectCleanPrice($L88,$C$4,$M88)</f>
        <v>93.546874817522777</v>
      </c>
      <c r="T88" s="49" cm="1">
        <f t="array" ref="T88">_xll.aqBondObjectDirtyPrice($L88,$C$4,$M88)</f>
        <v>93.925950904479294</v>
      </c>
      <c r="U88" s="18" cm="1">
        <f t="array" ref="U88">_xll.aqBondObjectModifiedDuration($L88,$C$4,$Q88)</f>
        <v>7.4673160380730348</v>
      </c>
      <c r="V88" s="93" cm="1">
        <f t="array" ref="V88">_xll.aqBondObjectDV01($L88,$C$4,$Q88)</f>
        <v>701.37475958022287</v>
      </c>
    </row>
    <row r="89" spans="2:22">
      <c r="B89" s="11" t="s">
        <v>31</v>
      </c>
      <c r="C89" s="11" t="s">
        <v>32</v>
      </c>
      <c r="D89" s="11" t="s">
        <v>32</v>
      </c>
      <c r="E89" s="12">
        <v>35657</v>
      </c>
      <c r="F89" s="15">
        <v>35657</v>
      </c>
      <c r="G89" s="14" t="str">
        <f t="shared" si="2"/>
        <v/>
      </c>
      <c r="H89" s="12">
        <v>35841</v>
      </c>
      <c r="I89" s="12">
        <v>46433</v>
      </c>
      <c r="J89" s="13">
        <v>6.3750000000000001E-2</v>
      </c>
      <c r="K89" s="12">
        <v>46614</v>
      </c>
      <c r="L89" s="16" t="str" cm="1">
        <f t="array" ref="L89">_xll.aqBondObjectCreateFromGenerator($C89,$L$4,_xll.aqToolLVBFromKeysValues($C$7:$K$7,$C89:$K89))</f>
        <v>US912810FA17:0</v>
      </c>
      <c r="M89" s="78">
        <v>3.1145257000000003E-2</v>
      </c>
      <c r="N89" s="51">
        <v>125</v>
      </c>
      <c r="O89" s="17">
        <v>6.9566999999999997</v>
      </c>
      <c r="P89" s="95">
        <v>877.06</v>
      </c>
      <c r="Q89" s="39" cm="1">
        <f t="array" ref="Q89">_xll.aqBondObjectYield(L89,$C$4,R89)</f>
        <v>3.1145256999999874E-2</v>
      </c>
      <c r="R89" s="49" cm="1">
        <f t="array" ref="R89">_xll.aqBondObjectPrice($L89,$C$4,$M89)</f>
        <v>124.99999994016119</v>
      </c>
      <c r="S89" s="49" cm="1">
        <f t="array" ref="S89">_xll.aqBondObjectCleanPrice($L89,$C$4,$M89)</f>
        <v>124.99999994016119</v>
      </c>
      <c r="T89" s="49" cm="1">
        <f t="array" ref="T89">_xll.aqBondObjectDirtyPrice($L89,$C$4,$M89)</f>
        <v>126.07404885320467</v>
      </c>
      <c r="U89" s="18" cm="1">
        <f t="array" ref="U89">_xll.aqBondObjectModifiedDuration($L89,$C$4,$Q89)</f>
        <v>6.9567050847015715</v>
      </c>
      <c r="V89" s="93" cm="1">
        <f t="array" ref="V89">_xll.aqBondObjectDV01($L89,$C$4,$Q89)</f>
        <v>877.05997670600323</v>
      </c>
    </row>
    <row r="90" spans="2:22">
      <c r="B90" s="11" t="s">
        <v>44</v>
      </c>
      <c r="C90" s="11" t="s">
        <v>45</v>
      </c>
      <c r="D90" s="11" t="s">
        <v>45</v>
      </c>
      <c r="E90" s="12">
        <v>35751</v>
      </c>
      <c r="F90" s="15">
        <v>35749</v>
      </c>
      <c r="G90" s="14" t="str">
        <f t="shared" si="2"/>
        <v/>
      </c>
      <c r="H90" s="12">
        <v>35930</v>
      </c>
      <c r="I90" s="12">
        <v>46522</v>
      </c>
      <c r="J90" s="13">
        <v>6.1249999999999999E-2</v>
      </c>
      <c r="K90" s="12">
        <v>46706</v>
      </c>
      <c r="L90" s="16" t="str" cm="1">
        <f t="array" ref="L90">_xll.aqBondObjectCreateFromGenerator($C90,$L$4,_xll.aqToolLVBFromKeysValues($C$7:$K$7,$C90:$K90))</f>
        <v>US912810FB99:0</v>
      </c>
      <c r="M90" s="78">
        <v>3.1262189999999995E-2</v>
      </c>
      <c r="N90" s="51">
        <v>123.54689999999999</v>
      </c>
      <c r="O90" s="17">
        <v>7.0698999999999996</v>
      </c>
      <c r="P90" s="95">
        <v>891.59</v>
      </c>
      <c r="Q90" s="39" cm="1">
        <f t="array" ref="Q90">_xll.aqBondObjectYield(L90,$C$4,R90)</f>
        <v>3.126219000000003E-2</v>
      </c>
      <c r="R90" s="49" cm="1">
        <f t="array" ref="R90">_xll.aqBondObjectPrice($L90,$C$4,$M90)</f>
        <v>123.54687483388477</v>
      </c>
      <c r="S90" s="49" cm="1">
        <f t="array" ref="S90">_xll.aqBondObjectCleanPrice($L90,$C$4,$M90)</f>
        <v>123.54687483388477</v>
      </c>
      <c r="T90" s="49" cm="1">
        <f t="array" ref="T90">_xll.aqBondObjectDirtyPrice($L90,$C$4,$M90)</f>
        <v>126.11005418171086</v>
      </c>
      <c r="U90" s="18" cm="1">
        <f t="array" ref="U90">_xll.aqBondObjectModifiedDuration($L90,$C$4,$Q90)</f>
        <v>7.0699431888008375</v>
      </c>
      <c r="V90" s="93" cm="1">
        <f t="array" ref="V90">_xll.aqBondObjectDV01($L90,$C$4,$Q90)</f>
        <v>891.59091860129126</v>
      </c>
    </row>
    <row r="91" spans="2:22">
      <c r="B91" s="11" t="s">
        <v>50</v>
      </c>
      <c r="C91" s="11" t="s">
        <v>51</v>
      </c>
      <c r="D91" s="11" t="s">
        <v>51</v>
      </c>
      <c r="E91" s="12">
        <v>36024</v>
      </c>
      <c r="F91" s="15">
        <v>36022</v>
      </c>
      <c r="G91" s="14" t="str">
        <f t="shared" si="2"/>
        <v/>
      </c>
      <c r="H91" s="12">
        <v>36206</v>
      </c>
      <c r="I91" s="12">
        <v>46798</v>
      </c>
      <c r="J91" s="13">
        <v>5.5E-2</v>
      </c>
      <c r="K91" s="12">
        <v>46980</v>
      </c>
      <c r="L91" s="16" t="str" cm="1">
        <f t="array" ref="L91">_xll.aqBondObjectCreateFromGenerator($C91,$L$4,_xll.aqToolLVBFromKeysValues($C$7:$K$7,$C91:$K91))</f>
        <v>US912810FE39:0</v>
      </c>
      <c r="M91" s="78">
        <v>3.1447197000000003E-2</v>
      </c>
      <c r="N91" s="51">
        <v>119.7813</v>
      </c>
      <c r="O91" s="17">
        <v>7.7539999999999996</v>
      </c>
      <c r="P91" s="95">
        <v>935.97</v>
      </c>
      <c r="Q91" s="39" cm="1">
        <f t="array" ref="Q91">_xll.aqBondObjectYield(L91,$C$4,R91)</f>
        <v>3.1447196999999941E-2</v>
      </c>
      <c r="R91" s="49" cm="1">
        <f t="array" ref="R91">_xll.aqBondObjectPrice($L91,$C$4,$M91)</f>
        <v>119.78125032782431</v>
      </c>
      <c r="S91" s="49" cm="1">
        <f t="array" ref="S91">_xll.aqBondObjectCleanPrice($L91,$C$4,$M91)</f>
        <v>119.78125032782431</v>
      </c>
      <c r="T91" s="49" cm="1">
        <f t="array" ref="T91">_xll.aqBondObjectDirtyPrice($L91,$C$4,$M91)</f>
        <v>120.70788076260692</v>
      </c>
      <c r="U91" s="18" cm="1">
        <f t="array" ref="U91">_xll.aqBondObjectModifiedDuration($L91,$C$4,$Q91)</f>
        <v>7.7540472459079091</v>
      </c>
      <c r="V91" s="93" cm="1">
        <f t="array" ref="V91">_xll.aqBondObjectDV01($L91,$C$4,$Q91)</f>
        <v>935.97461038667245</v>
      </c>
    </row>
    <row r="92" spans="2:22">
      <c r="B92" s="11" t="s">
        <v>54</v>
      </c>
      <c r="C92" s="11" t="s">
        <v>55</v>
      </c>
      <c r="D92" s="11" t="s">
        <v>55</v>
      </c>
      <c r="E92" s="12">
        <v>36115</v>
      </c>
      <c r="F92" s="15">
        <v>36114</v>
      </c>
      <c r="G92" s="14" t="str">
        <f t="shared" si="2"/>
        <v/>
      </c>
      <c r="H92" s="12">
        <v>36295</v>
      </c>
      <c r="I92" s="12">
        <v>46888</v>
      </c>
      <c r="J92" s="13">
        <v>5.2499999999999998E-2</v>
      </c>
      <c r="K92" s="12">
        <v>47072</v>
      </c>
      <c r="L92" s="16" t="str" cm="1">
        <f t="array" ref="L92">_xll.aqBondObjectCreateFromGenerator($C92,$L$4,_xll.aqToolLVBFromKeysValues($C$7:$K$7,$C92:$K92))</f>
        <v>US912810FF04:0</v>
      </c>
      <c r="M92" s="78">
        <v>3.1500182000000002E-2</v>
      </c>
      <c r="N92" s="51">
        <v>118.01560000000001</v>
      </c>
      <c r="O92" s="17">
        <v>7.8800999999999997</v>
      </c>
      <c r="P92" s="95">
        <v>947.29</v>
      </c>
      <c r="Q92" s="39" cm="1">
        <f t="array" ref="Q92">_xll.aqBondObjectYield(L92,$C$4,R92)</f>
        <v>3.1500181999999807E-2</v>
      </c>
      <c r="R92" s="49" cm="1">
        <f t="array" ref="R92">_xll.aqBondObjectPrice($L92,$C$4,$M92)</f>
        <v>118.01562525021104</v>
      </c>
      <c r="S92" s="49" cm="1">
        <f t="array" ref="S92">_xll.aqBondObjectCleanPrice($L92,$C$4,$M92)</f>
        <v>118.01562525021104</v>
      </c>
      <c r="T92" s="49" cm="1">
        <f t="array" ref="T92">_xll.aqBondObjectDirtyPrice($L92,$C$4,$M92)</f>
        <v>120.21263611977626</v>
      </c>
      <c r="U92" s="18" cm="1">
        <f t="array" ref="U92">_xll.aqBondObjectModifiedDuration($L92,$C$4,$Q92)</f>
        <v>7.8801431254041994</v>
      </c>
      <c r="V92" s="93" cm="1">
        <f t="array" ref="V92">_xll.aqBondObjectDV01($L92,$C$4,$Q92)</f>
        <v>947.29277810597148</v>
      </c>
    </row>
    <row r="93" spans="2:22">
      <c r="B93" s="11" t="s">
        <v>52</v>
      </c>
      <c r="C93" s="11" t="s">
        <v>53</v>
      </c>
      <c r="D93" s="11" t="s">
        <v>53</v>
      </c>
      <c r="E93" s="12">
        <v>36207</v>
      </c>
      <c r="F93" s="15">
        <v>36206</v>
      </c>
      <c r="G93" s="14" t="str">
        <f t="shared" si="2"/>
        <v/>
      </c>
      <c r="H93" s="12">
        <v>36387</v>
      </c>
      <c r="I93" s="12">
        <v>46980</v>
      </c>
      <c r="J93" s="13">
        <v>5.2499999999999998E-2</v>
      </c>
      <c r="K93" s="12">
        <v>47164</v>
      </c>
      <c r="L93" s="16" t="str" cm="1">
        <f t="array" ref="L93">_xll.aqBondObjectCreateFromGenerator($C93,$L$4,_xll.aqToolLVBFromKeysValues($C$7:$K$7,$C93:$K93))</f>
        <v>US912810FG86:0</v>
      </c>
      <c r="M93" s="78">
        <v>3.1453749000000003E-2</v>
      </c>
      <c r="N93" s="51">
        <v>118.4375</v>
      </c>
      <c r="O93" s="17">
        <v>8.1268999999999991</v>
      </c>
      <c r="P93" s="95">
        <v>969.72</v>
      </c>
      <c r="Q93" s="39" cm="1">
        <f t="array" ref="Q93">_xll.aqBondObjectYield(L93,$C$4,R93)</f>
        <v>3.1453749000000329E-2</v>
      </c>
      <c r="R93" s="49" cm="1">
        <f t="array" ref="R93">_xll.aqBondObjectPrice($L93,$C$4,$M93)</f>
        <v>118.43749992082883</v>
      </c>
      <c r="S93" s="49" cm="1">
        <f t="array" ref="S93">_xll.aqBondObjectCleanPrice($L93,$C$4,$M93)</f>
        <v>118.43749992082883</v>
      </c>
      <c r="T93" s="49" cm="1">
        <f t="array" ref="T93">_xll.aqBondObjectDirtyPrice($L93,$C$4,$M93)</f>
        <v>119.32201079039405</v>
      </c>
      <c r="U93" s="18" cm="1">
        <f t="array" ref="U93">_xll.aqBondObjectModifiedDuration($L93,$C$4,$Q93)</f>
        <v>8.1269135894646247</v>
      </c>
      <c r="V93" s="93" cm="1">
        <f t="array" ref="V93">_xll.aqBondObjectDV01($L93,$C$4,$Q93)</f>
        <v>969.71967101469795</v>
      </c>
    </row>
    <row r="94" spans="2:22">
      <c r="B94" s="11" t="s">
        <v>46</v>
      </c>
      <c r="C94" s="11" t="s">
        <v>47</v>
      </c>
      <c r="D94" s="11" t="s">
        <v>47</v>
      </c>
      <c r="E94" s="12">
        <v>36388</v>
      </c>
      <c r="F94" s="15">
        <v>36387</v>
      </c>
      <c r="G94" s="14" t="str">
        <f t="shared" si="2"/>
        <v/>
      </c>
      <c r="H94" s="12">
        <v>36571</v>
      </c>
      <c r="I94" s="12">
        <v>47164</v>
      </c>
      <c r="J94" s="13">
        <v>6.1249999999999999E-2</v>
      </c>
      <c r="K94" s="12">
        <v>47345</v>
      </c>
      <c r="L94" s="16" t="str" cm="1">
        <f t="array" ref="L94">_xll.aqBondObjectCreateFromGenerator($C94,$L$4,_xll.aqToolLVBFromKeysValues($C$7:$K$7,$C94:$K94))</f>
        <v>US912810FJ26:0</v>
      </c>
      <c r="M94" s="78">
        <v>3.1537541000000002E-2</v>
      </c>
      <c r="N94" s="51">
        <v>127.07810000000001</v>
      </c>
      <c r="O94" s="17">
        <v>8.2322000000000006</v>
      </c>
      <c r="P94" s="95">
        <v>1054.6300000000001</v>
      </c>
      <c r="Q94" s="39" cm="1">
        <f t="array" ref="Q94">_xll.aqBondObjectYield(L94,$C$4,R94)</f>
        <v>3.1537541000000037E-2</v>
      </c>
      <c r="R94" s="49" cm="1">
        <f t="array" ref="R94">_xll.aqBondObjectPrice($L94,$C$4,$M94)</f>
        <v>127.078124761449</v>
      </c>
      <c r="S94" s="49" cm="1">
        <f t="array" ref="S94">_xll.aqBondObjectCleanPrice($L94,$C$4,$M94)</f>
        <v>127.078124761449</v>
      </c>
      <c r="T94" s="49" cm="1">
        <f t="array" ref="T94">_xll.aqBondObjectDirtyPrice($L94,$C$4,$M94)</f>
        <v>128.1100541092751</v>
      </c>
      <c r="U94" s="18" cm="1">
        <f t="array" ref="U94">_xll.aqBondObjectModifiedDuration($L94,$C$4,$Q94)</f>
        <v>8.2322143404161015</v>
      </c>
      <c r="V94" s="93" cm="1">
        <f t="array" ref="V94">_xll.aqBondObjectDV01($L94,$C$4,$Q94)</f>
        <v>1054.6294245898571</v>
      </c>
    </row>
    <row r="95" spans="2:22">
      <c r="B95" s="11" t="s">
        <v>48</v>
      </c>
      <c r="C95" s="11" t="s">
        <v>49</v>
      </c>
      <c r="D95" s="11" t="s">
        <v>49</v>
      </c>
      <c r="E95" s="12">
        <v>36571</v>
      </c>
      <c r="F95" s="15">
        <v>36479</v>
      </c>
      <c r="G95" s="14" t="str">
        <f t="shared" si="2"/>
        <v/>
      </c>
      <c r="H95" s="12">
        <v>36661</v>
      </c>
      <c r="I95" s="12">
        <v>47437</v>
      </c>
      <c r="J95" s="13">
        <v>6.25E-2</v>
      </c>
      <c r="K95" s="12">
        <v>47618</v>
      </c>
      <c r="L95" s="16" t="str" cm="1">
        <f t="array" ref="L95">_xll.aqBondObjectCreateFromGenerator($C95,$L$4,_xll.aqToolLVBFromKeysValues($C$7:$K$7,$C95:$K95))</f>
        <v>US912810FM54:0</v>
      </c>
      <c r="M95" s="78">
        <v>3.1577552000000002E-2</v>
      </c>
      <c r="N95" s="51">
        <v>129.79689999999999</v>
      </c>
      <c r="O95" s="17">
        <v>8.5399999999999991</v>
      </c>
      <c r="P95" s="95">
        <v>1130.8</v>
      </c>
      <c r="Q95" s="39" cm="1">
        <f t="array" ref="Q95">_xll.aqBondObjectYield(L95,$C$4,R95)</f>
        <v>3.1577551999999759E-2</v>
      </c>
      <c r="R95" s="49" cm="1">
        <f t="array" ref="R95">_xll.aqBondObjectPrice($L95,$C$4,$M95)</f>
        <v>129.79687532068053</v>
      </c>
      <c r="S95" s="49" cm="1">
        <f t="array" ref="S95">_xll.aqBondObjectCleanPrice($L95,$C$4,$M95)</f>
        <v>129.79687532068053</v>
      </c>
      <c r="T95" s="49" cm="1">
        <f t="array" ref="T95">_xll.aqBondObjectDirtyPrice($L95,$C$4,$M95)</f>
        <v>132.41236445111531</v>
      </c>
      <c r="U95" s="18" cm="1">
        <f t="array" ref="U95">_xll.aqBondObjectModifiedDuration($L95,$C$4,$Q95)</f>
        <v>8.5399825341525961</v>
      </c>
      <c r="V95" s="93" cm="1">
        <f t="array" ref="V95">_xll.aqBondObjectDV01($L95,$C$4,$Q95)</f>
        <v>1130.7992797183729</v>
      </c>
    </row>
    <row r="96" spans="2:22">
      <c r="B96" s="11" t="s">
        <v>56</v>
      </c>
      <c r="C96" s="11" t="s">
        <v>57</v>
      </c>
      <c r="D96" s="11" t="s">
        <v>57</v>
      </c>
      <c r="E96" s="12">
        <v>36937</v>
      </c>
      <c r="F96" s="15">
        <v>36937</v>
      </c>
      <c r="G96" s="14" t="str">
        <f t="shared" si="2"/>
        <v/>
      </c>
      <c r="H96" s="12">
        <v>37118</v>
      </c>
      <c r="I96" s="12">
        <v>47710</v>
      </c>
      <c r="J96" s="13">
        <v>5.3749999999999999E-2</v>
      </c>
      <c r="K96" s="12">
        <v>47894</v>
      </c>
      <c r="L96" s="16" t="str" cm="1">
        <f t="array" ref="L96">_xll.aqBondObjectCreateFromGenerator($C96,$L$4,_xll.aqToolLVBFromKeysValues($C$7:$K$7,$C96:$K96))</f>
        <v>US912810FP85:0</v>
      </c>
      <c r="M96" s="78">
        <v>3.1684317000000004E-2</v>
      </c>
      <c r="N96" s="51">
        <v>122.375</v>
      </c>
      <c r="O96" s="17">
        <v>9.3038000000000007</v>
      </c>
      <c r="P96" s="95">
        <v>1146.98</v>
      </c>
      <c r="Q96" s="39" cm="1">
        <f t="array" ref="Q96">_xll.aqBondObjectYield(L96,$C$4,R96)</f>
        <v>3.1684316999999705E-2</v>
      </c>
      <c r="R96" s="49" cm="1">
        <f t="array" ref="R96">_xll.aqBondObjectPrice($L96,$C$4,$M96)</f>
        <v>122.37499997837989</v>
      </c>
      <c r="S96" s="49" cm="1">
        <f t="array" ref="S96">_xll.aqBondObjectCleanPrice($L96,$C$4,$M96)</f>
        <v>122.37499997837989</v>
      </c>
      <c r="T96" s="49" cm="1">
        <f t="array" ref="T96">_xll.aqBondObjectDirtyPrice($L96,$C$4,$M96)</f>
        <v>123.2805706305538</v>
      </c>
      <c r="U96" s="18" cm="1">
        <f t="array" ref="U96">_xll.aqBondObjectModifiedDuration($L96,$C$4,$Q96)</f>
        <v>9.3038425418556567</v>
      </c>
      <c r="V96" s="93" cm="1">
        <f t="array" ref="V96">_xll.aqBondObjectDV01($L96,$C$4,$Q96)</f>
        <v>1146.9830176167875</v>
      </c>
    </row>
    <row r="97" spans="2:22">
      <c r="B97" s="11" t="s">
        <v>68</v>
      </c>
      <c r="C97" s="11" t="s">
        <v>69</v>
      </c>
      <c r="D97" s="11" t="s">
        <v>69</v>
      </c>
      <c r="E97" s="12">
        <v>38763</v>
      </c>
      <c r="F97" s="15">
        <v>38763</v>
      </c>
      <c r="G97" s="14" t="str">
        <f t="shared" si="2"/>
        <v/>
      </c>
      <c r="H97" s="12">
        <v>38944</v>
      </c>
      <c r="I97" s="12">
        <v>49536</v>
      </c>
      <c r="J97" s="13">
        <v>4.4999999999999998E-2</v>
      </c>
      <c r="K97" s="12">
        <v>49720</v>
      </c>
      <c r="L97" s="16" t="str" cm="1">
        <f t="array" ref="L97">_xll.aqBondObjectCreateFromGenerator($C97,$L$4,_xll.aqToolLVBFromKeysValues($C$7:$K$7,$C97:$K97))</f>
        <v>US912810FT08:0</v>
      </c>
      <c r="M97" s="78">
        <v>3.2182222000000003E-2</v>
      </c>
      <c r="N97" s="51">
        <v>116.92189999999999</v>
      </c>
      <c r="O97" s="17">
        <v>12.371700000000001</v>
      </c>
      <c r="P97" s="95">
        <v>1455.91</v>
      </c>
      <c r="Q97" s="39" cm="1">
        <f t="array" ref="Q97">_xll.aqBondObjectYield(L97,$C$4,R97)</f>
        <v>3.2182221999999955E-2</v>
      </c>
      <c r="R97" s="49" cm="1">
        <f t="array" ref="R97">_xll.aqBondObjectPrice($L97,$C$4,$M97)</f>
        <v>116.92187567065078</v>
      </c>
      <c r="S97" s="49" cm="1">
        <f t="array" ref="S97">_xll.aqBondObjectCleanPrice($L97,$C$4,$M97)</f>
        <v>116.92187567065078</v>
      </c>
      <c r="T97" s="49" cm="1">
        <f t="array" ref="T97">_xll.aqBondObjectDirtyPrice($L97,$C$4,$M97)</f>
        <v>117.68002784456382</v>
      </c>
      <c r="U97" s="18" cm="1">
        <f t="array" ref="U97">_xll.aqBondObjectModifiedDuration($L97,$C$4,$Q97)</f>
        <v>12.371747508359459</v>
      </c>
      <c r="V97" s="93" cm="1">
        <f t="array" ref="V97">_xll.aqBondObjectDV01($L97,$C$4,$Q97)</f>
        <v>1455.9075912696542</v>
      </c>
    </row>
    <row r="98" spans="2:22">
      <c r="B98" s="11" t="s">
        <v>66</v>
      </c>
      <c r="C98" s="11" t="s">
        <v>67</v>
      </c>
      <c r="D98" s="11" t="s">
        <v>67</v>
      </c>
      <c r="E98" s="12">
        <v>39128</v>
      </c>
      <c r="F98" s="15">
        <v>39128</v>
      </c>
      <c r="G98" s="14" t="str">
        <f t="shared" si="2"/>
        <v/>
      </c>
      <c r="H98" s="12">
        <v>39309</v>
      </c>
      <c r="I98" s="12">
        <v>49902</v>
      </c>
      <c r="J98" s="13">
        <v>4.7500000000000001E-2</v>
      </c>
      <c r="K98" s="12">
        <v>50086</v>
      </c>
      <c r="L98" s="16" t="str" cm="1">
        <f t="array" ref="L98">_xll.aqBondObjectCreateFromGenerator($C98,$L$4,_xll.aqToolLVBFromKeysValues($C$7:$K$7,$C98:$K98))</f>
        <v>US912810PT97:0</v>
      </c>
      <c r="M98" s="78">
        <v>3.2255742999999996E-2</v>
      </c>
      <c r="N98" s="51">
        <v>120.9688</v>
      </c>
      <c r="O98" s="17">
        <v>12.7446</v>
      </c>
      <c r="P98" s="95">
        <v>1551.89</v>
      </c>
      <c r="Q98" s="39" cm="1">
        <f t="array" ref="Q98">_xll.aqBondObjectYield(L98,$C$4,R98)</f>
        <v>3.2255742999999885E-2</v>
      </c>
      <c r="R98" s="49" cm="1">
        <f t="array" ref="R98">_xll.aqBondObjectPrice($L98,$C$4,$M98)</f>
        <v>120.96875036384276</v>
      </c>
      <c r="S98" s="49" cm="1">
        <f t="array" ref="S98">_xll.aqBondObjectCleanPrice($L98,$C$4,$M98)</f>
        <v>120.96875036384276</v>
      </c>
      <c r="T98" s="49" cm="1">
        <f t="array" ref="T98">_xll.aqBondObjectDirtyPrice($L98,$C$4,$M98)</f>
        <v>121.7690221029732</v>
      </c>
      <c r="U98" s="18" cm="1">
        <f t="array" ref="U98">_xll.aqBondObjectModifiedDuration($L98,$C$4,$Q98)</f>
        <v>12.74456143090736</v>
      </c>
      <c r="V98" s="93" cm="1">
        <f t="array" ref="V98">_xll.aqBondObjectDV01($L98,$C$4,$Q98)</f>
        <v>1551.8927825728581</v>
      </c>
    </row>
    <row r="99" spans="2:22">
      <c r="B99" s="11" t="s">
        <v>62</v>
      </c>
      <c r="C99" s="11" t="s">
        <v>63</v>
      </c>
      <c r="D99" s="11" t="s">
        <v>63</v>
      </c>
      <c r="E99" s="12">
        <v>39309</v>
      </c>
      <c r="F99" s="15">
        <v>39217</v>
      </c>
      <c r="G99" s="14" t="str">
        <f t="shared" si="2"/>
        <v/>
      </c>
      <c r="H99" s="12">
        <v>39401</v>
      </c>
      <c r="I99" s="12">
        <v>49994</v>
      </c>
      <c r="J99" s="13">
        <v>0.05</v>
      </c>
      <c r="K99" s="12">
        <v>50175</v>
      </c>
      <c r="L99" s="16" t="str" cm="1">
        <f t="array" ref="L99">_xll.aqBondObjectCreateFromGenerator($C99,$L$4,_xll.aqToolLVBFromKeysValues($C$7:$K$7,$C99:$K99))</f>
        <v>US912810PU60:0</v>
      </c>
      <c r="M99" s="78">
        <v>3.2263826000000002E-2</v>
      </c>
      <c r="N99" s="51">
        <v>124.64060000000001</v>
      </c>
      <c r="O99" s="17">
        <v>12.6149</v>
      </c>
      <c r="P99" s="95">
        <v>1598.72</v>
      </c>
      <c r="Q99" s="39" cm="1">
        <f t="array" ref="Q99">_xll.aqBondObjectYield(L99,$C$4,R99)</f>
        <v>3.22638260000001E-2</v>
      </c>
      <c r="R99" s="49" cm="1">
        <f t="array" ref="R99">_xll.aqBondObjectPrice($L99,$C$4,$M99)</f>
        <v>124.64062534093343</v>
      </c>
      <c r="S99" s="49" cm="1">
        <f t="array" ref="S99">_xll.aqBondObjectCleanPrice($L99,$C$4,$M99)</f>
        <v>124.64062534093343</v>
      </c>
      <c r="T99" s="49" cm="1">
        <f t="array" ref="T99">_xll.aqBondObjectDirtyPrice($L99,$C$4,$M99)</f>
        <v>126.73301664528125</v>
      </c>
      <c r="U99" s="18" cm="1">
        <f t="array" ref="U99">_xll.aqBondObjectModifiedDuration($L99,$C$4,$Q99)</f>
        <v>12.61487569855688</v>
      </c>
      <c r="V99" s="93" cm="1">
        <f t="array" ref="V99">_xll.aqBondObjectDV01($L99,$C$4,$Q99)</f>
        <v>1598.721251883363</v>
      </c>
    </row>
    <row r="100" spans="2:22">
      <c r="B100" s="11" t="s">
        <v>74</v>
      </c>
      <c r="C100" s="11" t="s">
        <v>75</v>
      </c>
      <c r="D100" s="11" t="s">
        <v>75</v>
      </c>
      <c r="E100" s="12">
        <v>39493</v>
      </c>
      <c r="F100" s="15">
        <v>39493</v>
      </c>
      <c r="G100" s="14" t="str">
        <f t="shared" si="2"/>
        <v/>
      </c>
      <c r="H100" s="12">
        <v>39675</v>
      </c>
      <c r="I100" s="12">
        <v>50267</v>
      </c>
      <c r="J100" s="13">
        <v>4.3749999999999997E-2</v>
      </c>
      <c r="K100" s="12">
        <v>50451</v>
      </c>
      <c r="L100" s="16" t="str" cm="1">
        <f t="array" ref="L100">_xll.aqBondObjectCreateFromGenerator($C100,$L$4,_xll.aqToolLVBFromKeysValues($C$7:$K$7,$C100:$K100))</f>
        <v>US912810PW27:0</v>
      </c>
      <c r="M100" s="78">
        <v>3.2452343000000002E-2</v>
      </c>
      <c r="N100" s="51">
        <v>116.125</v>
      </c>
      <c r="O100" s="17">
        <v>13.428900000000001</v>
      </c>
      <c r="P100" s="95">
        <v>1569.33</v>
      </c>
      <c r="Q100" s="39" cm="1">
        <f t="array" ref="Q100">_xll.aqBondObjectYield(L100,$C$4,R100)</f>
        <v>3.2452342999999932E-2</v>
      </c>
      <c r="R100" s="49" cm="1">
        <f t="array" ref="R100">_xll.aqBondObjectPrice($L100,$C$4,$M100)</f>
        <v>116.12499937052249</v>
      </c>
      <c r="S100" s="49" cm="1">
        <f t="array" ref="S100">_xll.aqBondObjectCleanPrice($L100,$C$4,$M100)</f>
        <v>116.12499937052249</v>
      </c>
      <c r="T100" s="49" cm="1">
        <f t="array" ref="T100">_xll.aqBondObjectDirtyPrice($L100,$C$4,$M100)</f>
        <v>116.86209176182683</v>
      </c>
      <c r="U100" s="18" cm="1">
        <f t="array" ref="U100">_xll.aqBondObjectModifiedDuration($L100,$C$4,$Q100)</f>
        <v>13.428929092033517</v>
      </c>
      <c r="V100" s="93" cm="1">
        <f t="array" ref="V100">_xll.aqBondObjectDV01($L100,$C$4,$Q100)</f>
        <v>1569.3327438162867</v>
      </c>
    </row>
    <row r="101" spans="2:22">
      <c r="B101" s="11" t="s">
        <v>58</v>
      </c>
      <c r="C101" s="11" t="s">
        <v>59</v>
      </c>
      <c r="D101" s="11" t="s">
        <v>59</v>
      </c>
      <c r="E101" s="12">
        <v>39675</v>
      </c>
      <c r="F101" s="15">
        <v>39583</v>
      </c>
      <c r="G101" s="14" t="str">
        <f t="shared" si="2"/>
        <v/>
      </c>
      <c r="H101" s="12">
        <v>39767</v>
      </c>
      <c r="I101" s="12">
        <v>50359</v>
      </c>
      <c r="J101" s="13">
        <v>4.4999999999999998E-2</v>
      </c>
      <c r="K101" s="12">
        <v>50540</v>
      </c>
      <c r="L101" s="16" t="str" cm="1">
        <f t="array" ref="L101">_xll.aqBondObjectCreateFromGenerator($C101,$L$4,_xll.aqToolLVBFromKeysValues($C$7:$K$7,$C101:$K101))</f>
        <v>US912810PX00:0</v>
      </c>
      <c r="M101" s="78">
        <v>3.2471366000000002E-2</v>
      </c>
      <c r="N101" s="51">
        <v>118.04689999999999</v>
      </c>
      <c r="O101" s="17">
        <v>13.348699999999999</v>
      </c>
      <c r="P101" s="95">
        <v>1600.91</v>
      </c>
      <c r="Q101" s="39" cm="1">
        <f t="array" ref="Q101">_xll.aqBondObjectYield(L101,$C$4,R101)</f>
        <v>3.2471366000000307E-2</v>
      </c>
      <c r="R101" s="49" cm="1">
        <f t="array" ref="R101">_xll.aqBondObjectPrice($L101,$C$4,$M101)</f>
        <v>118.0468745169868</v>
      </c>
      <c r="S101" s="49" cm="1">
        <f t="array" ref="S101">_xll.aqBondObjectCleanPrice($L101,$C$4,$M101)</f>
        <v>118.0468745169868</v>
      </c>
      <c r="T101" s="49" cm="1">
        <f t="array" ref="T101">_xll.aqBondObjectDirtyPrice($L101,$C$4,$M101)</f>
        <v>119.93002669089985</v>
      </c>
      <c r="U101" s="18" cm="1">
        <f t="array" ref="U101">_xll.aqBondObjectModifiedDuration($L101,$C$4,$Q101)</f>
        <v>13.34869694968071</v>
      </c>
      <c r="V101" s="93" cm="1">
        <f t="array" ref="V101">_xll.aqBondObjectDV01($L101,$C$4,$Q101)</f>
        <v>1600.9095814639409</v>
      </c>
    </row>
    <row r="102" spans="2:22">
      <c r="B102" s="11" t="s">
        <v>134</v>
      </c>
      <c r="C102" s="11" t="s">
        <v>135</v>
      </c>
      <c r="D102" s="11" t="s">
        <v>135</v>
      </c>
      <c r="E102" s="12">
        <v>39861</v>
      </c>
      <c r="F102" s="15">
        <v>39859</v>
      </c>
      <c r="G102" s="14" t="str">
        <f t="shared" si="2"/>
        <v/>
      </c>
      <c r="H102" s="12">
        <v>40040</v>
      </c>
      <c r="I102" s="12">
        <v>50632</v>
      </c>
      <c r="J102" s="13">
        <v>3.5000000000000003E-2</v>
      </c>
      <c r="K102" s="12">
        <v>50816</v>
      </c>
      <c r="L102" s="16" t="str" cm="1">
        <f t="array" ref="L102">_xll.aqBondObjectCreateFromGenerator($C102,$L$4,_xll.aqToolLVBFromKeysValues($C$7:$K$7,$C102:$K102))</f>
        <v>US912810QA97:0</v>
      </c>
      <c r="M102" s="78">
        <v>3.2618854000000003E-2</v>
      </c>
      <c r="N102" s="51">
        <v>103.51560000000001</v>
      </c>
      <c r="O102" s="17">
        <v>14.5055</v>
      </c>
      <c r="P102" s="95">
        <v>1510.1</v>
      </c>
      <c r="Q102" s="39" cm="1">
        <f t="array" ref="Q102">_xll.aqBondObjectYield(L102,$C$4,R102)</f>
        <v>3.2618854000022297E-2</v>
      </c>
      <c r="R102" s="49" cm="1">
        <f t="array" ref="R102">_xll.aqBondObjectPrice($L102,$C$4,$M102)</f>
        <v>103.51562549211341</v>
      </c>
      <c r="S102" s="49" cm="1">
        <f t="array" ref="S102">_xll.aqBondObjectCleanPrice($L102,$C$4,$M102)</f>
        <v>103.51562549211341</v>
      </c>
      <c r="T102" s="49" cm="1">
        <f t="array" ref="T102">_xll.aqBondObjectDirtyPrice($L102,$C$4,$M102)</f>
        <v>104.1052994051569</v>
      </c>
      <c r="U102" s="18" cm="1">
        <f t="array" ref="U102">_xll.aqBondObjectModifiedDuration($L102,$C$4,$Q102)</f>
        <v>14.505497829306721</v>
      </c>
      <c r="V102" s="93" cm="1">
        <f t="array" ref="V102">_xll.aqBondObjectDV01($L102,$C$4,$Q102)</f>
        <v>1510.0991945403334</v>
      </c>
    </row>
    <row r="103" spans="2:22">
      <c r="B103" s="11" t="s">
        <v>90</v>
      </c>
      <c r="C103" s="11" t="s">
        <v>91</v>
      </c>
      <c r="D103" s="11" t="s">
        <v>91</v>
      </c>
      <c r="E103" s="12">
        <v>39948</v>
      </c>
      <c r="F103" s="15">
        <v>39948</v>
      </c>
      <c r="G103" s="14" t="str">
        <f t="shared" si="2"/>
        <v/>
      </c>
      <c r="H103" s="12">
        <v>40132</v>
      </c>
      <c r="I103" s="12">
        <v>50724</v>
      </c>
      <c r="J103" s="13">
        <v>4.2500000000000003E-2</v>
      </c>
      <c r="K103" s="12">
        <v>50905</v>
      </c>
      <c r="L103" s="16" t="str" cm="1">
        <f t="array" ref="L103">_xll.aqBondObjectCreateFromGenerator($C103,$L$4,_xll.aqToolLVBFromKeysValues($C$7:$K$7,$C103:$K103))</f>
        <v>US912810QB70:0</v>
      </c>
      <c r="M103" s="78">
        <v>3.2681038999999995E-2</v>
      </c>
      <c r="N103" s="51">
        <v>114.625</v>
      </c>
      <c r="O103" s="17">
        <v>13.9613</v>
      </c>
      <c r="P103" s="95">
        <v>1625.14</v>
      </c>
      <c r="Q103" s="39" cm="1">
        <f t="array" ref="Q103">_xll.aqBondObjectYield(L103,$C$4,R103)</f>
        <v>3.2681038999999794E-2</v>
      </c>
      <c r="R103" s="49" cm="1">
        <f t="array" ref="R103">_xll.aqBondObjectPrice($L103,$C$4,$M103)</f>
        <v>114.62500041770866</v>
      </c>
      <c r="S103" s="49" cm="1">
        <f t="array" ref="S103">_xll.aqBondObjectCleanPrice($L103,$C$4,$M103)</f>
        <v>114.62500041770866</v>
      </c>
      <c r="T103" s="49" cm="1">
        <f t="array" ref="T103">_xll.aqBondObjectDirtyPrice($L103,$C$4,$M103)</f>
        <v>116.40353302640432</v>
      </c>
      <c r="U103" s="18" cm="1">
        <f t="array" ref="U103">_xll.aqBondObjectModifiedDuration($L103,$C$4,$Q103)</f>
        <v>13.961281580207945</v>
      </c>
      <c r="V103" s="93" cm="1">
        <f t="array" ref="V103">_xll.aqBondObjectDV01($L103,$C$4,$Q103)</f>
        <v>1625.1425015126658</v>
      </c>
    </row>
    <row r="104" spans="2:22">
      <c r="B104" s="11" t="s">
        <v>76</v>
      </c>
      <c r="C104" s="11" t="s">
        <v>77</v>
      </c>
      <c r="D104" s="11" t="s">
        <v>77</v>
      </c>
      <c r="E104" s="12">
        <v>40042</v>
      </c>
      <c r="F104" s="15">
        <v>40040</v>
      </c>
      <c r="G104" s="14" t="str">
        <f t="shared" ref="G104:G133" si="3">IF(DAY(K104+1)=1, "EOM","")</f>
        <v/>
      </c>
      <c r="H104" s="12">
        <v>40224</v>
      </c>
      <c r="I104" s="12">
        <v>50816</v>
      </c>
      <c r="J104" s="13">
        <v>4.4999999999999998E-2</v>
      </c>
      <c r="K104" s="12">
        <v>50997</v>
      </c>
      <c r="L104" s="16" t="str" cm="1">
        <f t="array" ref="L104">_xll.aqBondObjectCreateFromGenerator($C104,$L$4,_xll.aqToolLVBFromKeysValues($C$7:$K$7,$C104:$K104))</f>
        <v>US912810QC53:0</v>
      </c>
      <c r="M104" s="78">
        <v>3.2739213000000003E-2</v>
      </c>
      <c r="N104" s="51">
        <v>118.4063</v>
      </c>
      <c r="O104" s="17">
        <v>14.045999999999999</v>
      </c>
      <c r="P104" s="95">
        <v>1673.78</v>
      </c>
      <c r="Q104" s="39" cm="1">
        <f t="array" ref="Q104">_xll.aqBondObjectYield(L104,$C$4,R104)</f>
        <v>3.2739212999999975E-2</v>
      </c>
      <c r="R104" s="49" cm="1">
        <f t="array" ref="R104">_xll.aqBondObjectPrice($L104,$C$4,$M104)</f>
        <v>118.40625042505077</v>
      </c>
      <c r="S104" s="49" cm="1">
        <f t="array" ref="S104">_xll.aqBondObjectCleanPrice($L104,$C$4,$M104)</f>
        <v>118.40625042505077</v>
      </c>
      <c r="T104" s="49" cm="1">
        <f t="array" ref="T104">_xll.aqBondObjectDirtyPrice($L104,$C$4,$M104)</f>
        <v>119.16440259896382</v>
      </c>
      <c r="U104" s="18" cm="1">
        <f t="array" ref="U104">_xll.aqBondObjectModifiedDuration($L104,$C$4,$Q104)</f>
        <v>14.046002099389122</v>
      </c>
      <c r="V104" s="93" cm="1">
        <f t="array" ref="V104">_xll.aqBondObjectDV01($L104,$C$4,$Q104)</f>
        <v>1673.7834490774965</v>
      </c>
    </row>
    <row r="105" spans="2:22">
      <c r="B105" s="11" t="s">
        <v>80</v>
      </c>
      <c r="C105" s="11" t="s">
        <v>81</v>
      </c>
      <c r="D105" s="11" t="s">
        <v>81</v>
      </c>
      <c r="E105" s="12">
        <v>40133</v>
      </c>
      <c r="F105" s="15">
        <v>40132</v>
      </c>
      <c r="G105" s="14" t="str">
        <f t="shared" si="3"/>
        <v/>
      </c>
      <c r="H105" s="12">
        <v>40313</v>
      </c>
      <c r="I105" s="12">
        <v>50905</v>
      </c>
      <c r="J105" s="13">
        <v>4.3749999999999997E-2</v>
      </c>
      <c r="K105" s="12">
        <v>51089</v>
      </c>
      <c r="L105" s="16" t="str" cm="1">
        <f t="array" ref="L105">_xll.aqBondObjectCreateFromGenerator($C105,$L$4,_xll.aqToolLVBFromKeysValues($C$7:$K$7,$C105:$K105))</f>
        <v>US912810QD37:0</v>
      </c>
      <c r="M105" s="78">
        <v>3.2803080999999998E-2</v>
      </c>
      <c r="N105" s="51">
        <v>116.5625</v>
      </c>
      <c r="O105" s="17">
        <v>14.1027</v>
      </c>
      <c r="P105" s="95">
        <v>1669.67</v>
      </c>
      <c r="Q105" s="39" cm="1">
        <f t="array" ref="Q105">_xll.aqBondObjectYield(L105,$C$4,R105)</f>
        <v>3.2803080999999817E-2</v>
      </c>
      <c r="R105" s="49" cm="1">
        <f t="array" ref="R105">_xll.aqBondObjectPrice($L105,$C$4,$M105)</f>
        <v>116.56249922406863</v>
      </c>
      <c r="S105" s="49" cm="1">
        <f t="array" ref="S105">_xll.aqBondObjectCleanPrice($L105,$C$4,$M105)</f>
        <v>116.56249922406863</v>
      </c>
      <c r="T105" s="49" cm="1">
        <f t="array" ref="T105">_xll.aqBondObjectDirtyPrice($L105,$C$4,$M105)</f>
        <v>118.39334161537298</v>
      </c>
      <c r="U105" s="18" cm="1">
        <f t="array" ref="U105">_xll.aqBondObjectModifiedDuration($L105,$C$4,$Q105)</f>
        <v>14.102706320435113</v>
      </c>
      <c r="V105" s="93" cm="1">
        <f t="array" ref="V105">_xll.aqBondObjectDV01($L105,$C$4,$Q105)</f>
        <v>1669.6665270965539</v>
      </c>
    </row>
    <row r="106" spans="2:22">
      <c r="B106" s="11" t="s">
        <v>72</v>
      </c>
      <c r="C106" s="11" t="s">
        <v>73</v>
      </c>
      <c r="D106" s="11" t="s">
        <v>73</v>
      </c>
      <c r="E106" s="12">
        <v>40225</v>
      </c>
      <c r="F106" s="15">
        <v>40224</v>
      </c>
      <c r="G106" s="14" t="str">
        <f t="shared" si="3"/>
        <v/>
      </c>
      <c r="H106" s="12">
        <v>40405</v>
      </c>
      <c r="I106" s="12">
        <v>50997</v>
      </c>
      <c r="J106" s="13">
        <v>4.6249999999999999E-2</v>
      </c>
      <c r="K106" s="12">
        <v>51181</v>
      </c>
      <c r="L106" s="16" t="str" cm="1">
        <f t="array" ref="L106">_xll.aqBondObjectCreateFromGenerator($C106,$L$4,_xll.aqToolLVBFromKeysValues($C$7:$K$7,$C106:$K106))</f>
        <v>US912810QE10:0</v>
      </c>
      <c r="M106" s="78">
        <v>3.2827627999999998E-2</v>
      </c>
      <c r="N106" s="51">
        <v>120.4687</v>
      </c>
      <c r="O106" s="17">
        <v>14.190899999999999</v>
      </c>
      <c r="P106" s="95">
        <v>1720.62</v>
      </c>
      <c r="Q106" s="39" cm="1">
        <f t="array" ref="Q106">_xll.aqBondObjectYield(L106,$C$4,R106)</f>
        <v>3.2827628000000116E-2</v>
      </c>
      <c r="R106" s="49" cm="1">
        <f t="array" ref="R106">_xll.aqBondObjectPrice($L106,$C$4,$M106)</f>
        <v>120.4687491478561</v>
      </c>
      <c r="S106" s="49" cm="1">
        <f t="array" ref="S106">_xll.aqBondObjectCleanPrice($L106,$C$4,$M106)</f>
        <v>120.4687491478561</v>
      </c>
      <c r="T106" s="49" cm="1">
        <f t="array" ref="T106">_xll.aqBondObjectDirtyPrice($L106,$C$4,$M106)</f>
        <v>121.24796110437784</v>
      </c>
      <c r="U106" s="18" cm="1">
        <f t="array" ref="U106">_xll.aqBondObjectModifiedDuration($L106,$C$4,$Q106)</f>
        <v>14.190943967479944</v>
      </c>
      <c r="V106" s="93" cm="1">
        <f t="array" ref="V106">_xll.aqBondObjectDV01($L106,$C$4,$Q106)</f>
        <v>1720.6230222034135</v>
      </c>
    </row>
    <row r="107" spans="2:22">
      <c r="B107" s="11" t="s">
        <v>88</v>
      </c>
      <c r="C107" s="11" t="s">
        <v>89</v>
      </c>
      <c r="D107" s="11" t="s">
        <v>89</v>
      </c>
      <c r="E107" s="12">
        <v>40315</v>
      </c>
      <c r="F107" s="15">
        <v>40313</v>
      </c>
      <c r="G107" s="14" t="str">
        <f t="shared" si="3"/>
        <v/>
      </c>
      <c r="H107" s="12">
        <v>40497</v>
      </c>
      <c r="I107" s="12">
        <v>51089</v>
      </c>
      <c r="J107" s="13">
        <v>4.3749999999999997E-2</v>
      </c>
      <c r="K107" s="12">
        <v>51271</v>
      </c>
      <c r="L107" s="16" t="str" cm="1">
        <f t="array" ref="L107">_xll.aqBondObjectCreateFromGenerator($C107,$L$4,_xll.aqToolLVBFromKeysValues($C$7:$K$7,$C107:$K107))</f>
        <v>US912810QH41:0</v>
      </c>
      <c r="M107" s="78">
        <v>3.2879939999999996E-2</v>
      </c>
      <c r="N107" s="51">
        <v>116.70310000000001</v>
      </c>
      <c r="O107" s="17">
        <v>14.322900000000001</v>
      </c>
      <c r="P107" s="95">
        <v>1697.75</v>
      </c>
      <c r="Q107" s="39" cm="1">
        <f t="array" ref="Q107">_xll.aqBondObjectYield(L107,$C$4,R107)</f>
        <v>3.287993999999976E-2</v>
      </c>
      <c r="R107" s="49" cm="1">
        <f t="array" ref="R107">_xll.aqBondObjectPrice($L107,$C$4,$M107)</f>
        <v>116.70312501192475</v>
      </c>
      <c r="S107" s="49" cm="1">
        <f t="array" ref="S107">_xll.aqBondObjectCleanPrice($L107,$C$4,$M107)</f>
        <v>116.70312501192475</v>
      </c>
      <c r="T107" s="49" cm="1">
        <f t="array" ref="T107">_xll.aqBondObjectDirtyPrice($L107,$C$4,$M107)</f>
        <v>118.5339674032291</v>
      </c>
      <c r="U107" s="18" cm="1">
        <f t="array" ref="U107">_xll.aqBondObjectModifiedDuration($L107,$C$4,$Q107)</f>
        <v>14.322910363505899</v>
      </c>
      <c r="V107" s="93" cm="1">
        <f t="array" ref="V107">_xll.aqBondObjectDV01($L107,$C$4,$Q107)</f>
        <v>1697.7513901471805</v>
      </c>
    </row>
    <row r="108" spans="2:22">
      <c r="B108" s="11" t="s">
        <v>114</v>
      </c>
      <c r="C108" s="11" t="s">
        <v>115</v>
      </c>
      <c r="D108" s="11" t="s">
        <v>115</v>
      </c>
      <c r="E108" s="12">
        <v>40406</v>
      </c>
      <c r="F108" s="15">
        <v>40405</v>
      </c>
      <c r="G108" s="14" t="str">
        <f t="shared" si="3"/>
        <v/>
      </c>
      <c r="H108" s="12">
        <v>40589</v>
      </c>
      <c r="I108" s="12">
        <v>51181</v>
      </c>
      <c r="J108" s="13">
        <v>3.875E-2</v>
      </c>
      <c r="K108" s="12">
        <v>51363</v>
      </c>
      <c r="L108" s="16" t="str" cm="1">
        <f t="array" ref="L108">_xll.aqBondObjectCreateFromGenerator($C108,$L$4,_xll.aqToolLVBFromKeysValues($C$7:$K$7,$C108:$K108))</f>
        <v>US912810QK79:0</v>
      </c>
      <c r="M108" s="78">
        <v>3.2934648000000004E-2</v>
      </c>
      <c r="N108" s="51">
        <v>109</v>
      </c>
      <c r="O108" s="17">
        <v>14.9185</v>
      </c>
      <c r="P108" s="95">
        <v>1635.85</v>
      </c>
      <c r="Q108" s="39" cm="1">
        <f t="array" ref="Q108">_xll.aqBondObjectYield(L108,$C$4,R108)</f>
        <v>3.2934647999999754E-2</v>
      </c>
      <c r="R108" s="49" cm="1">
        <f t="array" ref="R108">_xll.aqBondObjectPrice($L108,$C$4,$M108)</f>
        <v>108.99999971525069</v>
      </c>
      <c r="S108" s="49" cm="1">
        <f t="array" ref="S108">_xll.aqBondObjectCleanPrice($L108,$C$4,$M108)</f>
        <v>108.99999971525069</v>
      </c>
      <c r="T108" s="49" cm="1">
        <f t="array" ref="T108">_xll.aqBondObjectDirtyPrice($L108,$C$4,$M108)</f>
        <v>109.65285297612026</v>
      </c>
      <c r="U108" s="18" cm="1">
        <f t="array" ref="U108">_xll.aqBondObjectModifiedDuration($L108,$C$4,$Q108)</f>
        <v>14.918479823370291</v>
      </c>
      <c r="V108" s="93" cm="1">
        <f t="array" ref="V108">_xll.aqBondObjectDV01($L108,$C$4,$Q108)</f>
        <v>1635.853874699239</v>
      </c>
    </row>
    <row r="109" spans="2:22">
      <c r="B109" s="11" t="s">
        <v>96</v>
      </c>
      <c r="C109" s="11" t="s">
        <v>97</v>
      </c>
      <c r="D109" s="11" t="s">
        <v>97</v>
      </c>
      <c r="E109" s="12">
        <v>40497</v>
      </c>
      <c r="F109" s="15">
        <v>40497</v>
      </c>
      <c r="G109" s="14" t="str">
        <f t="shared" si="3"/>
        <v/>
      </c>
      <c r="H109" s="12">
        <v>40678</v>
      </c>
      <c r="I109" s="12">
        <v>51271</v>
      </c>
      <c r="J109" s="13">
        <v>4.2500000000000003E-2</v>
      </c>
      <c r="K109" s="12">
        <v>51455</v>
      </c>
      <c r="L109" s="16" t="str" cm="1">
        <f t="array" ref="L109">_xll.aqBondObjectCreateFromGenerator($C109,$L$4,_xll.aqToolLVBFromKeysValues($C$7:$K$7,$C109:$K109))</f>
        <v>US912810QL52:0</v>
      </c>
      <c r="M109" s="78">
        <v>3.2953507999999999E-2</v>
      </c>
      <c r="N109" s="51">
        <v>114.89060000000001</v>
      </c>
      <c r="O109" s="17">
        <v>14.6248</v>
      </c>
      <c r="P109" s="95">
        <v>1706.27</v>
      </c>
      <c r="Q109" s="39" cm="1">
        <f t="array" ref="Q109">_xll.aqBondObjectYield(L109,$C$4,R109)</f>
        <v>3.2953507999999951E-2</v>
      </c>
      <c r="R109" s="49" cm="1">
        <f t="array" ref="R109">_xll.aqBondObjectPrice($L109,$C$4,$M109)</f>
        <v>114.89062471943149</v>
      </c>
      <c r="S109" s="49" cm="1">
        <f t="array" ref="S109">_xll.aqBondObjectCleanPrice($L109,$C$4,$M109)</f>
        <v>114.89062471943149</v>
      </c>
      <c r="T109" s="49" cm="1">
        <f t="array" ref="T109">_xll.aqBondObjectDirtyPrice($L109,$C$4,$M109)</f>
        <v>116.66915732812714</v>
      </c>
      <c r="U109" s="18" cm="1">
        <f t="array" ref="U109">_xll.aqBondObjectModifiedDuration($L109,$C$4,$Q109)</f>
        <v>14.624832027527781</v>
      </c>
      <c r="V109" s="93" cm="1">
        <f t="array" ref="V109">_xll.aqBondObjectDV01($L109,$C$4,$Q109)</f>
        <v>1706.2668287170713</v>
      </c>
    </row>
    <row r="110" spans="2:22">
      <c r="B110" s="11" t="s">
        <v>70</v>
      </c>
      <c r="C110" s="11" t="s">
        <v>71</v>
      </c>
      <c r="D110" s="11" t="s">
        <v>71</v>
      </c>
      <c r="E110" s="12">
        <v>40589</v>
      </c>
      <c r="F110" s="15">
        <v>40589</v>
      </c>
      <c r="G110" s="14" t="str">
        <f t="shared" si="3"/>
        <v/>
      </c>
      <c r="H110" s="12">
        <v>40770</v>
      </c>
      <c r="I110" s="12">
        <v>51363</v>
      </c>
      <c r="J110" s="13">
        <v>4.7500000000000001E-2</v>
      </c>
      <c r="K110" s="12">
        <v>51547</v>
      </c>
      <c r="L110" s="16" t="str" cm="1">
        <f t="array" ref="L110">_xll.aqBondObjectCreateFromGenerator($C110,$L$4,_xll.aqToolLVBFromKeysValues($C$7:$K$7,$C110:$K110))</f>
        <v>US912810QN19:0</v>
      </c>
      <c r="M110" s="78">
        <v>3.2955782000000003E-2</v>
      </c>
      <c r="N110" s="51">
        <v>122.85939999999999</v>
      </c>
      <c r="O110" s="17">
        <v>14.5451</v>
      </c>
      <c r="P110" s="95">
        <v>1798.65</v>
      </c>
      <c r="Q110" s="39" cm="1">
        <f t="array" ref="Q110">_xll.aqBondObjectYield(L110,$C$4,R110)</f>
        <v>3.2955782000000121E-2</v>
      </c>
      <c r="R110" s="49" cm="1">
        <f t="array" ref="R110">_xll.aqBondObjectPrice($L110,$C$4,$M110)</f>
        <v>122.8593758000226</v>
      </c>
      <c r="S110" s="49" cm="1">
        <f t="array" ref="S110">_xll.aqBondObjectCleanPrice($L110,$C$4,$M110)</f>
        <v>122.8593758000226</v>
      </c>
      <c r="T110" s="49" cm="1">
        <f t="array" ref="T110">_xll.aqBondObjectDirtyPrice($L110,$C$4,$M110)</f>
        <v>123.65964753915304</v>
      </c>
      <c r="U110" s="18" cm="1">
        <f t="array" ref="U110">_xll.aqBondObjectModifiedDuration($L110,$C$4,$Q110)</f>
        <v>14.54514602427804</v>
      </c>
      <c r="V110" s="93" cm="1">
        <f t="array" ref="V110">_xll.aqBondObjectDV01($L110,$C$4,$Q110)</f>
        <v>1798.6476307677356</v>
      </c>
    </row>
    <row r="111" spans="2:22">
      <c r="B111" s="11" t="s">
        <v>94</v>
      </c>
      <c r="C111" s="11" t="s">
        <v>95</v>
      </c>
      <c r="D111" s="11" t="s">
        <v>95</v>
      </c>
      <c r="E111" s="12">
        <v>40679</v>
      </c>
      <c r="F111" s="15">
        <v>40678</v>
      </c>
      <c r="G111" s="14" t="str">
        <f t="shared" si="3"/>
        <v/>
      </c>
      <c r="H111" s="12">
        <v>40862</v>
      </c>
      <c r="I111" s="12">
        <v>51455</v>
      </c>
      <c r="J111" s="13">
        <v>4.3749999999999997E-2</v>
      </c>
      <c r="K111" s="12">
        <v>51636</v>
      </c>
      <c r="L111" s="16" t="str" cm="1">
        <f t="array" ref="L111">_xll.aqBondObjectCreateFromGenerator($C111,$L$4,_xll.aqToolLVBFromKeysValues($C$7:$K$7,$C111:$K111))</f>
        <v>US912810QQ40:0</v>
      </c>
      <c r="M111" s="78">
        <v>3.3009759999999999E-2</v>
      </c>
      <c r="N111" s="51">
        <v>117</v>
      </c>
      <c r="O111" s="17">
        <v>14.7531</v>
      </c>
      <c r="P111" s="95">
        <v>1753.12</v>
      </c>
      <c r="Q111" s="39" cm="1">
        <f t="array" ref="Q111">_xll.aqBondObjectYield(L111,$C$4,R111)</f>
        <v>3.3009759999999951E-2</v>
      </c>
      <c r="R111" s="49" cm="1">
        <f t="array" ref="R111">_xll.aqBondObjectPrice($L111,$C$4,$M111)</f>
        <v>116.99999987172428</v>
      </c>
      <c r="S111" s="49" cm="1">
        <f t="array" ref="S111">_xll.aqBondObjectCleanPrice($L111,$C$4,$M111)</f>
        <v>116.99999987172428</v>
      </c>
      <c r="T111" s="49" cm="1">
        <f t="array" ref="T111">_xll.aqBondObjectDirtyPrice($L111,$C$4,$M111)</f>
        <v>118.83084226302863</v>
      </c>
      <c r="U111" s="18" cm="1">
        <f t="array" ref="U111">_xll.aqBondObjectModifiedDuration($L111,$C$4,$Q111)</f>
        <v>14.753064774704397</v>
      </c>
      <c r="V111" s="93" cm="1">
        <f t="array" ref="V111">_xll.aqBondObjectDV01($L111,$C$4,$Q111)</f>
        <v>1753.1191131391422</v>
      </c>
    </row>
    <row r="112" spans="2:22">
      <c r="B112" s="11" t="s">
        <v>124</v>
      </c>
      <c r="C112" s="11" t="s">
        <v>125</v>
      </c>
      <c r="D112" s="11" t="s">
        <v>125</v>
      </c>
      <c r="E112" s="12">
        <v>40770</v>
      </c>
      <c r="F112" s="15">
        <v>40770</v>
      </c>
      <c r="G112" s="14" t="str">
        <f t="shared" si="3"/>
        <v/>
      </c>
      <c r="H112" s="12">
        <v>40954</v>
      </c>
      <c r="I112" s="12">
        <v>51547</v>
      </c>
      <c r="J112" s="13">
        <v>3.7499999999999999E-2</v>
      </c>
      <c r="K112" s="12">
        <v>51728</v>
      </c>
      <c r="L112" s="16" t="str" cm="1">
        <f t="array" ref="L112">_xll.aqBondObjectCreateFromGenerator($C112,$L$4,_xll.aqToolLVBFromKeysValues($C$7:$K$7,$C112:$K112))</f>
        <v>US912810QS06:0</v>
      </c>
      <c r="M112" s="78">
        <v>3.3066974999999998E-2</v>
      </c>
      <c r="N112" s="51">
        <v>107.0625</v>
      </c>
      <c r="O112" s="17">
        <v>15.4634</v>
      </c>
      <c r="P112" s="95">
        <v>1665.31</v>
      </c>
      <c r="Q112" s="39" cm="1">
        <f t="array" ref="Q112">_xll.aqBondObjectYield(L112,$C$4,R112)</f>
        <v>3.3066975000000151E-2</v>
      </c>
      <c r="R112" s="49" cm="1">
        <f t="array" ref="R112">_xll.aqBondObjectPrice($L112,$C$4,$M112)</f>
        <v>107.06250022540603</v>
      </c>
      <c r="S112" s="49" cm="1">
        <f t="array" ref="S112">_xll.aqBondObjectCleanPrice($L112,$C$4,$M112)</f>
        <v>107.06250022540603</v>
      </c>
      <c r="T112" s="49" cm="1">
        <f t="array" ref="T112">_xll.aqBondObjectDirtyPrice($L112,$C$4,$M112)</f>
        <v>107.6942937036669</v>
      </c>
      <c r="U112" s="18" cm="1">
        <f t="array" ref="U112">_xll.aqBondObjectModifiedDuration($L112,$C$4,$Q112)</f>
        <v>15.463352331048137</v>
      </c>
      <c r="V112" s="93" cm="1">
        <f t="array" ref="V112">_xll.aqBondObjectDV01($L112,$C$4,$Q112)</f>
        <v>1665.3148075831803</v>
      </c>
    </row>
    <row r="113" spans="2:22">
      <c r="B113" s="11" t="s">
        <v>252</v>
      </c>
      <c r="C113" s="11" t="s">
        <v>253</v>
      </c>
      <c r="D113" s="11" t="s">
        <v>253</v>
      </c>
      <c r="E113" s="12">
        <v>40862</v>
      </c>
      <c r="F113" s="15">
        <v>40862</v>
      </c>
      <c r="G113" s="14" t="str">
        <f t="shared" si="3"/>
        <v/>
      </c>
      <c r="H113" s="12">
        <v>41044</v>
      </c>
      <c r="I113" s="12">
        <v>51636</v>
      </c>
      <c r="J113" s="13">
        <v>3.125E-2</v>
      </c>
      <c r="K113" s="12">
        <v>51820</v>
      </c>
      <c r="L113" s="16" t="str" cm="1">
        <f t="array" ref="L113">_xll.aqBondObjectCreateFromGenerator($C113,$L$4,_xll.aqToolLVBFromKeysValues($C$7:$K$7,$C113:$K113))</f>
        <v>US912810QT88:0</v>
      </c>
      <c r="M113" s="78">
        <v>3.3088567999999999E-2</v>
      </c>
      <c r="N113" s="51">
        <v>97.046899999999994</v>
      </c>
      <c r="O113" s="17">
        <v>16.016200000000001</v>
      </c>
      <c r="P113" s="95">
        <v>1575.26</v>
      </c>
      <c r="Q113" s="39" cm="1">
        <f t="array" ref="Q113">_xll.aqBondObjectYield(L113,$C$4,R113)</f>
        <v>3.3088568000025527E-2</v>
      </c>
      <c r="R113" s="49" cm="1">
        <f t="array" ref="R113">_xll.aqBondObjectPrice($L113,$C$4,$M113)</f>
        <v>97.046875262553797</v>
      </c>
      <c r="S113" s="49" cm="1">
        <f t="array" ref="S113">_xll.aqBondObjectCleanPrice($L113,$C$4,$M113)</f>
        <v>97.046875262553797</v>
      </c>
      <c r="T113" s="49" cm="1">
        <f t="array" ref="T113">_xll.aqBondObjectDirtyPrice($L113,$C$4,$M113)</f>
        <v>98.354619827771188</v>
      </c>
      <c r="U113" s="18" cm="1">
        <f t="array" ref="U113">_xll.aqBondObjectModifiedDuration($L113,$C$4,$Q113)</f>
        <v>16.016169209863175</v>
      </c>
      <c r="V113" s="93" cm="1">
        <f t="array" ref="V113">_xll.aqBondObjectDV01($L113,$C$4,$Q113)</f>
        <v>1575.2642337327088</v>
      </c>
    </row>
    <row r="114" spans="2:22">
      <c r="B114" s="11" t="s">
        <v>230</v>
      </c>
      <c r="C114" s="11" t="s">
        <v>231</v>
      </c>
      <c r="D114" s="11" t="s">
        <v>231</v>
      </c>
      <c r="E114" s="12">
        <v>40954</v>
      </c>
      <c r="F114" s="15">
        <v>40954</v>
      </c>
      <c r="G114" s="14" t="str">
        <f t="shared" si="3"/>
        <v/>
      </c>
      <c r="H114" s="12">
        <v>41136</v>
      </c>
      <c r="I114" s="12">
        <v>51728</v>
      </c>
      <c r="J114" s="13">
        <v>3.125E-2</v>
      </c>
      <c r="K114" s="12">
        <v>51912</v>
      </c>
      <c r="L114" s="16" t="str" cm="1">
        <f t="array" ref="L114">_xll.aqBondObjectCreateFromGenerator($C114,$L$4,_xll.aqToolLVBFromKeysValues($C$7:$K$7,$C114:$K114))</f>
        <v>US912810QU51:0</v>
      </c>
      <c r="M114" s="78">
        <v>3.3123711E-2</v>
      </c>
      <c r="N114" s="51">
        <v>96.968699999999998</v>
      </c>
      <c r="O114" s="17">
        <v>16.259599999999999</v>
      </c>
      <c r="P114" s="95">
        <v>1585.23</v>
      </c>
      <c r="Q114" s="39" cm="1">
        <f t="array" ref="Q114">_xll.aqBondObjectYield(L114,$C$4,R114)</f>
        <v>3.3123711000025265E-2</v>
      </c>
      <c r="R114" s="49" cm="1">
        <f t="array" ref="R114">_xll.aqBondObjectPrice($L114,$C$4,$M114)</f>
        <v>96.968749987739031</v>
      </c>
      <c r="S114" s="49" cm="1">
        <f t="array" ref="S114">_xll.aqBondObjectCleanPrice($L114,$C$4,$M114)</f>
        <v>96.968749987739031</v>
      </c>
      <c r="T114" s="49" cm="1">
        <f t="array" ref="T114">_xll.aqBondObjectDirtyPrice($L114,$C$4,$M114)</f>
        <v>97.495244552956422</v>
      </c>
      <c r="U114" s="18" cm="1">
        <f t="array" ref="U114">_xll.aqBondObjectModifiedDuration($L114,$C$4,$Q114)</f>
        <v>16.259591734571703</v>
      </c>
      <c r="V114" s="93" cm="1">
        <f t="array" ref="V114">_xll.aqBondObjectDV01($L114,$C$4,$Q114)</f>
        <v>1585.2328724926447</v>
      </c>
    </row>
    <row r="115" spans="2:22">
      <c r="B115" s="11" t="s">
        <v>270</v>
      </c>
      <c r="C115" s="11" t="s">
        <v>271</v>
      </c>
      <c r="D115" s="11" t="s">
        <v>271</v>
      </c>
      <c r="E115" s="12">
        <v>41044</v>
      </c>
      <c r="F115" s="15">
        <v>41044</v>
      </c>
      <c r="G115" s="14" t="str">
        <f t="shared" si="3"/>
        <v/>
      </c>
      <c r="H115" s="12">
        <v>41228</v>
      </c>
      <c r="I115" s="12">
        <v>51820</v>
      </c>
      <c r="J115" s="13">
        <v>0.03</v>
      </c>
      <c r="K115" s="12">
        <v>52001</v>
      </c>
      <c r="L115" s="16" t="str" cm="1">
        <f t="array" ref="L115">_xll.aqBondObjectCreateFromGenerator($C115,$L$4,_xll.aqToolLVBFromKeysValues($C$7:$K$7,$C115:$K115))</f>
        <v>US912810QW18:0</v>
      </c>
      <c r="M115" s="78">
        <v>3.3168191E-2</v>
      </c>
      <c r="N115" s="51">
        <v>94.843800000000002</v>
      </c>
      <c r="O115" s="17">
        <v>16.375</v>
      </c>
      <c r="P115" s="95">
        <v>1573.62</v>
      </c>
      <c r="Q115" s="39" cm="1">
        <f t="array" ref="Q115">_xll.aqBondObjectYield(L115,$C$4,R115)</f>
        <v>3.3168191000000166E-2</v>
      </c>
      <c r="R115" s="49" cm="1">
        <f t="array" ref="R115">_xll.aqBondObjectPrice($L115,$C$4,$M115)</f>
        <v>94.843750178020599</v>
      </c>
      <c r="S115" s="49" cm="1">
        <f t="array" ref="S115">_xll.aqBondObjectCleanPrice($L115,$C$4,$M115)</f>
        <v>94.843750178020599</v>
      </c>
      <c r="T115" s="49" cm="1">
        <f t="array" ref="T115">_xll.aqBondObjectDirtyPrice($L115,$C$4,$M115)</f>
        <v>96.099184960629302</v>
      </c>
      <c r="U115" s="18" cm="1">
        <f t="array" ref="U115">_xll.aqBondObjectModifiedDuration($L115,$C$4,$Q115)</f>
        <v>16.37497245129488</v>
      </c>
      <c r="V115" s="93" cm="1">
        <f t="array" ref="V115">_xll.aqBondObjectDV01($L115,$C$4,$Q115)</f>
        <v>1573.6215063221962</v>
      </c>
    </row>
    <row r="116" spans="2:22">
      <c r="B116" s="11" t="s">
        <v>37</v>
      </c>
      <c r="C116" s="11" t="s">
        <v>38</v>
      </c>
      <c r="D116" s="11" t="s">
        <v>38</v>
      </c>
      <c r="E116" s="12">
        <v>41136</v>
      </c>
      <c r="F116" s="15">
        <v>41136</v>
      </c>
      <c r="G116" s="14" t="str">
        <f t="shared" si="3"/>
        <v/>
      </c>
      <c r="H116" s="12">
        <v>41320</v>
      </c>
      <c r="I116" s="12">
        <v>51912</v>
      </c>
      <c r="J116" s="13">
        <v>2.75E-2</v>
      </c>
      <c r="K116" s="12">
        <v>52093</v>
      </c>
      <c r="L116" s="16" t="str" cm="1">
        <f t="array" ref="L116">_xll.aqBondObjectCreateFromGenerator($C116,$L$4,_xll.aqToolLVBFromKeysValues($C$7:$K$7,$C116:$K116))</f>
        <v>US912810QX90:0</v>
      </c>
      <c r="M116" s="78">
        <v>3.3203752999999996E-2</v>
      </c>
      <c r="N116" s="51">
        <v>90.656300000000002</v>
      </c>
      <c r="O116" s="17">
        <v>16.902999999999999</v>
      </c>
      <c r="P116" s="95">
        <v>1540.19</v>
      </c>
      <c r="Q116" s="39" cm="1">
        <f t="array" ref="Q116">_xll.aqBondObjectYield(L116,$C$4,R116)</f>
        <v>3.3203753000000072E-2</v>
      </c>
      <c r="R116" s="49" cm="1">
        <f t="array" ref="R116">_xll.aqBondObjectPrice($L116,$C$4,$M116)</f>
        <v>90.656250188820849</v>
      </c>
      <c r="S116" s="49" cm="1">
        <f t="array" ref="S116">_xll.aqBondObjectCleanPrice($L116,$C$4,$M116)</f>
        <v>90.656250188820849</v>
      </c>
      <c r="T116" s="49" cm="1">
        <f t="array" ref="T116">_xll.aqBondObjectDirtyPrice($L116,$C$4,$M116)</f>
        <v>91.119565406212146</v>
      </c>
      <c r="U116" s="18" cm="1">
        <f t="array" ref="U116">_xll.aqBondObjectModifiedDuration($L116,$C$4,$Q116)</f>
        <v>16.902967219952483</v>
      </c>
      <c r="V116" s="93" cm="1">
        <f t="array" ref="V116">_xll.aqBondObjectDV01($L116,$C$4,$Q116)</f>
        <v>1540.1910271575202</v>
      </c>
    </row>
    <row r="117" spans="2:22">
      <c r="B117" s="11" t="s">
        <v>35</v>
      </c>
      <c r="C117" s="11" t="s">
        <v>36</v>
      </c>
      <c r="D117" s="11" t="s">
        <v>36</v>
      </c>
      <c r="E117" s="12">
        <v>41228</v>
      </c>
      <c r="F117" s="15">
        <v>41228</v>
      </c>
      <c r="G117" s="14" t="str">
        <f t="shared" si="3"/>
        <v/>
      </c>
      <c r="H117" s="12">
        <v>41409</v>
      </c>
      <c r="I117" s="12">
        <v>52001</v>
      </c>
      <c r="J117" s="13">
        <v>2.75E-2</v>
      </c>
      <c r="K117" s="12">
        <v>52185</v>
      </c>
      <c r="L117" s="16" t="str" cm="1">
        <f t="array" ref="L117">_xll.aqBondObjectCreateFromGenerator($C117,$L$4,_xll.aqToolLVBFromKeysValues($C$7:$K$7,$C117:$K117))</f>
        <v>US912810QY73:0</v>
      </c>
      <c r="M117" s="78">
        <v>3.3233506999999995E-2</v>
      </c>
      <c r="N117" s="51">
        <v>90.546899999999994</v>
      </c>
      <c r="O117" s="17">
        <v>16.891500000000001</v>
      </c>
      <c r="P117" s="95">
        <v>1548.91</v>
      </c>
      <c r="Q117" s="39" cm="1">
        <f t="array" ref="Q117">_xll.aqBondObjectYield(L117,$C$4,R117)</f>
        <v>3.3233506999999718E-2</v>
      </c>
      <c r="R117" s="49" cm="1">
        <f t="array" ref="R117">_xll.aqBondObjectPrice($L117,$C$4,$M117)</f>
        <v>90.546874533532915</v>
      </c>
      <c r="S117" s="49" cm="1">
        <f t="array" ref="S117">_xll.aqBondObjectCleanPrice($L117,$C$4,$M117)</f>
        <v>90.546874533532915</v>
      </c>
      <c r="T117" s="49" cm="1">
        <f t="array" ref="T117">_xll.aqBondObjectDirtyPrice($L117,$C$4,$M117)</f>
        <v>91.697689750924212</v>
      </c>
      <c r="U117" s="18" cm="1">
        <f t="array" ref="U117">_xll.aqBondObjectModifiedDuration($L117,$C$4,$Q117)</f>
        <v>16.891464747234934</v>
      </c>
      <c r="V117" s="93" cm="1">
        <f t="array" ref="V117">_xll.aqBondObjectDV01($L117,$C$4,$Q117)</f>
        <v>1548.9082938306226</v>
      </c>
    </row>
    <row r="118" spans="2:22">
      <c r="B118" s="11" t="s">
        <v>238</v>
      </c>
      <c r="C118" s="11" t="s">
        <v>239</v>
      </c>
      <c r="D118" s="11" t="s">
        <v>239</v>
      </c>
      <c r="E118" s="12">
        <v>41320</v>
      </c>
      <c r="F118" s="15">
        <v>41320</v>
      </c>
      <c r="G118" s="14" t="str">
        <f t="shared" si="3"/>
        <v/>
      </c>
      <c r="H118" s="12">
        <v>41501</v>
      </c>
      <c r="I118" s="12">
        <v>52093</v>
      </c>
      <c r="J118" s="13">
        <v>3.125E-2</v>
      </c>
      <c r="K118" s="12">
        <v>52277</v>
      </c>
      <c r="L118" s="16" t="str" cm="1">
        <f t="array" ref="L118">_xll.aqBondObjectCreateFromGenerator($C118,$L$4,_xll.aqToolLVBFromKeysValues($C$7:$K$7,$C118:$K118))</f>
        <v>US912810QZ49:0</v>
      </c>
      <c r="M118" s="78">
        <v>3.3234789000000001E-2</v>
      </c>
      <c r="N118" s="51">
        <v>96.703100000000006</v>
      </c>
      <c r="O118" s="17">
        <v>16.709800000000001</v>
      </c>
      <c r="P118" s="95">
        <v>1624.69</v>
      </c>
      <c r="Q118" s="39" cm="1">
        <f t="array" ref="Q118">_xll.aqBondObjectYield(L118,$C$4,R118)</f>
        <v>3.3234789000019582E-2</v>
      </c>
      <c r="R118" s="49" cm="1">
        <f t="array" ref="R118">_xll.aqBondObjectPrice($L118,$C$4,$M118)</f>
        <v>96.703124319946056</v>
      </c>
      <c r="S118" s="49" cm="1">
        <f t="array" ref="S118">_xll.aqBondObjectCleanPrice($L118,$C$4,$M118)</f>
        <v>96.703124319946056</v>
      </c>
      <c r="T118" s="49" cm="1">
        <f t="array" ref="T118">_xll.aqBondObjectDirtyPrice($L118,$C$4,$M118)</f>
        <v>97.229618885163447</v>
      </c>
      <c r="U118" s="18" cm="1">
        <f t="array" ref="U118">_xll.aqBondObjectModifiedDuration($L118,$C$4,$Q118)</f>
        <v>16.70983545069608</v>
      </c>
      <c r="V118" s="93" cm="1">
        <f t="array" ref="V118">_xll.aqBondObjectDV01($L118,$C$4,$Q118)</f>
        <v>1624.6909325044428</v>
      </c>
    </row>
    <row r="119" spans="2:22">
      <c r="B119" s="11" t="s">
        <v>40</v>
      </c>
      <c r="C119" s="11" t="s">
        <v>41</v>
      </c>
      <c r="D119" s="11" t="s">
        <v>41</v>
      </c>
      <c r="E119" s="12">
        <v>41409</v>
      </c>
      <c r="F119" s="15">
        <v>41409</v>
      </c>
      <c r="G119" s="14" t="str">
        <f t="shared" si="3"/>
        <v/>
      </c>
      <c r="H119" s="12">
        <v>41593</v>
      </c>
      <c r="I119" s="12">
        <v>52185</v>
      </c>
      <c r="J119" s="13">
        <v>2.8750000000000001E-2</v>
      </c>
      <c r="K119" s="12">
        <v>52366</v>
      </c>
      <c r="L119" s="16" t="str" cm="1">
        <f t="array" ref="L119">_xll.aqBondObjectCreateFromGenerator($C119,$L$4,_xll.aqToolLVBFromKeysValues($C$7:$K$7,$C119:$K119))</f>
        <v>US912810RB61:0</v>
      </c>
      <c r="M119" s="78">
        <v>3.3248174999999998E-2</v>
      </c>
      <c r="N119" s="51">
        <v>92.484399999999994</v>
      </c>
      <c r="O119" s="17">
        <v>16.970800000000001</v>
      </c>
      <c r="P119" s="95">
        <v>1589.95</v>
      </c>
      <c r="Q119" s="39" cm="1">
        <f t="array" ref="Q119">_xll.aqBondObjectYield(L119,$C$4,R119)</f>
        <v>3.3248175000000157E-2</v>
      </c>
      <c r="R119" s="49" cm="1">
        <f t="array" ref="R119">_xll.aqBondObjectPrice($L119,$C$4,$M119)</f>
        <v>92.484375528559724</v>
      </c>
      <c r="S119" s="49" cm="1">
        <f t="array" ref="S119">_xll.aqBondObjectCleanPrice($L119,$C$4,$M119)</f>
        <v>92.484375528559724</v>
      </c>
      <c r="T119" s="49" cm="1">
        <f t="array" ref="T119">_xll.aqBondObjectDirtyPrice($L119,$C$4,$M119)</f>
        <v>93.687500528559724</v>
      </c>
      <c r="U119" s="18" cm="1">
        <f t="array" ref="U119">_xll.aqBondObjectModifiedDuration($L119,$C$4,$Q119)</f>
        <v>16.970771993790979</v>
      </c>
      <c r="V119" s="93" cm="1">
        <f t="array" ref="V119">_xll.aqBondObjectDV01($L119,$C$4,$Q119)</f>
        <v>1589.9492101383589</v>
      </c>
    </row>
    <row r="120" spans="2:22">
      <c r="B120" s="11" t="s">
        <v>150</v>
      </c>
      <c r="C120" s="11" t="s">
        <v>151</v>
      </c>
      <c r="D120" s="11" t="s">
        <v>151</v>
      </c>
      <c r="E120" s="12">
        <v>41501</v>
      </c>
      <c r="F120" s="15">
        <v>41501</v>
      </c>
      <c r="G120" s="14" t="str">
        <f t="shared" si="3"/>
        <v/>
      </c>
      <c r="H120" s="12">
        <v>41685</v>
      </c>
      <c r="I120" s="12">
        <v>52277</v>
      </c>
      <c r="J120" s="13">
        <v>3.6249999999999998E-2</v>
      </c>
      <c r="K120" s="12">
        <v>52458</v>
      </c>
      <c r="L120" s="16" t="str" cm="1">
        <f t="array" ref="L120">_xll.aqBondObjectCreateFromGenerator($C120,$L$4,_xll.aqToolLVBFromKeysValues($C$7:$K$7,$C120:$K120))</f>
        <v>US912810RC45:0</v>
      </c>
      <c r="M120" s="78">
        <v>3.3237541999999995E-2</v>
      </c>
      <c r="N120" s="51">
        <v>105.0625</v>
      </c>
      <c r="O120" s="17">
        <v>16.432700000000001</v>
      </c>
      <c r="P120" s="95">
        <v>1736.5</v>
      </c>
      <c r="Q120" s="39" cm="1">
        <f t="array" ref="Q120">_xll.aqBondObjectYield(L120,$C$4,R120)</f>
        <v>3.3237542000000189E-2</v>
      </c>
      <c r="R120" s="49" cm="1">
        <f t="array" ref="R120">_xll.aqBondObjectPrice($L120,$C$4,$M120)</f>
        <v>105.06249931422848</v>
      </c>
      <c r="S120" s="49" cm="1">
        <f t="array" ref="S120">_xll.aqBondObjectCleanPrice($L120,$C$4,$M120)</f>
        <v>105.06249931422848</v>
      </c>
      <c r="T120" s="49" cm="1">
        <f t="array" ref="T120">_xll.aqBondObjectDirtyPrice($L120,$C$4,$M120)</f>
        <v>105.67323300988065</v>
      </c>
      <c r="U120" s="18" cm="1">
        <f t="array" ref="U120">_xll.aqBondObjectModifiedDuration($L120,$C$4,$Q120)</f>
        <v>16.432703261333149</v>
      </c>
      <c r="V120" s="93" cm="1">
        <f t="array" ref="V120">_xll.aqBondObjectDV01($L120,$C$4,$Q120)</f>
        <v>1736.4968807170835</v>
      </c>
    </row>
    <row r="121" spans="2:22">
      <c r="B121" s="11" t="s">
        <v>140</v>
      </c>
      <c r="C121" s="11" t="s">
        <v>141</v>
      </c>
      <c r="D121" s="11" t="s">
        <v>141</v>
      </c>
      <c r="E121" s="12">
        <v>41593</v>
      </c>
      <c r="F121" s="15">
        <v>41593</v>
      </c>
      <c r="G121" s="14" t="str">
        <f t="shared" si="3"/>
        <v/>
      </c>
      <c r="H121" s="12">
        <v>41774</v>
      </c>
      <c r="I121" s="12">
        <v>52366</v>
      </c>
      <c r="J121" s="13">
        <v>3.7499999999999999E-2</v>
      </c>
      <c r="K121" s="12">
        <v>52550</v>
      </c>
      <c r="L121" s="16" t="str" cm="1">
        <f t="array" ref="L121">_xll.aqBondObjectCreateFromGenerator($C121,$L$4,_xll.aqToolLVBFromKeysValues($C$7:$K$7,$C121:$K121))</f>
        <v>US912810RD28:0</v>
      </c>
      <c r="M121" s="78">
        <v>3.3233831999999998E-2</v>
      </c>
      <c r="N121" s="51">
        <v>107.2188</v>
      </c>
      <c r="O121" s="17">
        <v>16.282800000000002</v>
      </c>
      <c r="P121" s="95">
        <v>1771.37</v>
      </c>
      <c r="Q121" s="39" cm="1">
        <f t="array" ref="Q121">_xll.aqBondObjectYield(L121,$C$4,R121)</f>
        <v>3.3233831999999915E-2</v>
      </c>
      <c r="R121" s="49" cm="1">
        <f t="array" ref="R121">_xll.aqBondObjectPrice($L121,$C$4,$M121)</f>
        <v>107.21875045862549</v>
      </c>
      <c r="S121" s="49" cm="1">
        <f t="array" ref="S121">_xll.aqBondObjectCleanPrice($L121,$C$4,$M121)</f>
        <v>107.21875045862549</v>
      </c>
      <c r="T121" s="49" cm="1">
        <f t="array" ref="T121">_xll.aqBondObjectDirtyPrice($L121,$C$4,$M121)</f>
        <v>108.78804393688637</v>
      </c>
      <c r="U121" s="18" cm="1">
        <f t="array" ref="U121">_xll.aqBondObjectModifiedDuration($L121,$C$4,$Q121)</f>
        <v>16.282769637711272</v>
      </c>
      <c r="V121" s="93" cm="1">
        <f t="array" ref="V121">_xll.aqBondObjectDV01($L121,$C$4,$Q121)</f>
        <v>1771.3706587615334</v>
      </c>
    </row>
    <row r="122" spans="2:22">
      <c r="B122" s="11" t="s">
        <v>158</v>
      </c>
      <c r="C122" s="11" t="s">
        <v>159</v>
      </c>
      <c r="D122" s="11" t="s">
        <v>159</v>
      </c>
      <c r="E122" s="12">
        <v>41688</v>
      </c>
      <c r="F122" s="15">
        <v>41685</v>
      </c>
      <c r="G122" s="14" t="str">
        <f t="shared" si="3"/>
        <v/>
      </c>
      <c r="H122" s="12">
        <v>41866</v>
      </c>
      <c r="I122" s="12">
        <v>52458</v>
      </c>
      <c r="J122" s="13">
        <v>3.6249999999999998E-2</v>
      </c>
      <c r="K122" s="12">
        <v>52642</v>
      </c>
      <c r="L122" s="16" t="str" cm="1">
        <f t="array" ref="L122">_xll.aqBondObjectCreateFromGenerator($C122,$L$4,_xll.aqToolLVBFromKeysValues($C$7:$K$7,$C122:$K122))</f>
        <v>US912810RE01:0</v>
      </c>
      <c r="M122" s="78">
        <v>3.3239160999999996E-2</v>
      </c>
      <c r="N122" s="51">
        <v>105.125</v>
      </c>
      <c r="O122" s="17">
        <v>16.643000000000001</v>
      </c>
      <c r="P122" s="95">
        <v>1759.76</v>
      </c>
      <c r="Q122" s="39" cm="1">
        <f t="array" ref="Q122">_xll.aqBondObjectYield(L122,$C$4,R122)</f>
        <v>3.3239160999999996E-2</v>
      </c>
      <c r="R122" s="49" cm="1">
        <f t="array" ref="R122">_xll.aqBondObjectPrice($L122,$C$4,$M122)</f>
        <v>105.12499917310376</v>
      </c>
      <c r="S122" s="49" cm="1">
        <f t="array" ref="S122">_xll.aqBondObjectCleanPrice($L122,$C$4,$M122)</f>
        <v>105.12499917310376</v>
      </c>
      <c r="T122" s="49" cm="1">
        <f t="array" ref="T122">_xll.aqBondObjectDirtyPrice($L122,$C$4,$M122)</f>
        <v>105.73573286875593</v>
      </c>
      <c r="U122" s="18" cm="1">
        <f t="array" ref="U122">_xll.aqBondObjectModifiedDuration($L122,$C$4,$Q122)</f>
        <v>16.642964295105308</v>
      </c>
      <c r="V122" s="93" cm="1">
        <f t="array" ref="V122">_xll.aqBondObjectDV01($L122,$C$4,$Q122)</f>
        <v>1759.7560268514976</v>
      </c>
    </row>
    <row r="123" spans="2:22">
      <c r="B123" s="11" t="s">
        <v>190</v>
      </c>
      <c r="C123" s="11" t="s">
        <v>191</v>
      </c>
      <c r="D123" s="11" t="s">
        <v>191</v>
      </c>
      <c r="E123" s="12">
        <v>41774</v>
      </c>
      <c r="F123" s="15">
        <v>41774</v>
      </c>
      <c r="G123" s="14" t="str">
        <f t="shared" si="3"/>
        <v/>
      </c>
      <c r="H123" s="12">
        <v>41958</v>
      </c>
      <c r="I123" s="12">
        <v>52550</v>
      </c>
      <c r="J123" s="13">
        <v>3.3750000000000002E-2</v>
      </c>
      <c r="K123" s="12">
        <v>52732</v>
      </c>
      <c r="L123" s="16" t="str" cm="1">
        <f t="array" ref="L123">_xll.aqBondObjectCreateFromGenerator($C123,$L$4,_xll.aqToolLVBFromKeysValues($C$7:$K$7,$C123:$K123))</f>
        <v>US912810RG58:0</v>
      </c>
      <c r="M123" s="78">
        <v>3.3238393999999997E-2</v>
      </c>
      <c r="N123" s="51">
        <v>100.875</v>
      </c>
      <c r="O123" s="17">
        <v>16.852399999999999</v>
      </c>
      <c r="P123" s="95">
        <v>1723.79</v>
      </c>
      <c r="Q123" s="39" cm="1">
        <f t="array" ref="Q123">_xll.aqBondObjectYield(L123,$C$4,R123)</f>
        <v>3.3238394000006666E-2</v>
      </c>
      <c r="R123" s="49" cm="1">
        <f t="array" ref="R123">_xll.aqBondObjectPrice($L123,$C$4,$M123)</f>
        <v>100.87500047418315</v>
      </c>
      <c r="S123" s="49" cm="1">
        <f t="array" ref="S123">_xll.aqBondObjectCleanPrice($L123,$C$4,$M123)</f>
        <v>100.87500047418315</v>
      </c>
      <c r="T123" s="49" cm="1">
        <f t="array" ref="T123">_xll.aqBondObjectDirtyPrice($L123,$C$4,$M123)</f>
        <v>102.28736460461793</v>
      </c>
      <c r="U123" s="18" cm="1">
        <f t="array" ref="U123">_xll.aqBondObjectModifiedDuration($L123,$C$4,$Q123)</f>
        <v>16.852434389197995</v>
      </c>
      <c r="V123" s="93" cm="1">
        <f t="array" ref="V123">_xll.aqBondObjectDV01($L123,$C$4,$Q123)</f>
        <v>1723.7911008431033</v>
      </c>
    </row>
    <row r="124" spans="2:22">
      <c r="B124" s="11" t="s">
        <v>250</v>
      </c>
      <c r="C124" s="11" t="s">
        <v>251</v>
      </c>
      <c r="D124" s="11" t="s">
        <v>251</v>
      </c>
      <c r="E124" s="12">
        <v>41866</v>
      </c>
      <c r="F124" s="15">
        <v>41866</v>
      </c>
      <c r="G124" s="14" t="str">
        <f t="shared" si="3"/>
        <v/>
      </c>
      <c r="H124" s="12">
        <v>42050</v>
      </c>
      <c r="I124" s="12">
        <v>52642</v>
      </c>
      <c r="J124" s="13">
        <v>3.125E-2</v>
      </c>
      <c r="K124" s="12">
        <v>52824</v>
      </c>
      <c r="L124" s="16" t="str" cm="1">
        <f t="array" ref="L124">_xll.aqBondObjectCreateFromGenerator($C124,$L$4,_xll.aqToolLVBFromKeysValues($C$7:$K$7,$C124:$K124))</f>
        <v>US912810RH32:0</v>
      </c>
      <c r="M124" s="78">
        <v>3.3260105999999998E-2</v>
      </c>
      <c r="N124" s="51">
        <v>96.531199999999998</v>
      </c>
      <c r="O124" s="17">
        <v>17.367000000000001</v>
      </c>
      <c r="P124" s="95">
        <v>1685.6</v>
      </c>
      <c r="Q124" s="39" cm="1">
        <f t="array" ref="Q124">_xll.aqBondObjectYield(L124,$C$4,R124)</f>
        <v>3.3260106000003627E-2</v>
      </c>
      <c r="R124" s="49" cm="1">
        <f t="array" ref="R124">_xll.aqBondObjectPrice($L124,$C$4,$M124)</f>
        <v>96.531249731410867</v>
      </c>
      <c r="S124" s="49" cm="1">
        <f t="array" ref="S124">_xll.aqBondObjectCleanPrice($L124,$C$4,$M124)</f>
        <v>96.531249731410867</v>
      </c>
      <c r="T124" s="49" cm="1">
        <f t="array" ref="T124">_xll.aqBondObjectDirtyPrice($L124,$C$4,$M124)</f>
        <v>97.057744296628258</v>
      </c>
      <c r="U124" s="18" cm="1">
        <f t="array" ref="U124">_xll.aqBondObjectModifiedDuration($L124,$C$4,$Q124)</f>
        <v>17.367004604389628</v>
      </c>
      <c r="V124" s="93" cm="1">
        <f t="array" ref="V124">_xll.aqBondObjectDV01($L124,$C$4,$Q124)</f>
        <v>1685.6022920911105</v>
      </c>
    </row>
    <row r="125" spans="2:22">
      <c r="B125" s="11" t="s">
        <v>42</v>
      </c>
      <c r="C125" s="11" t="s">
        <v>43</v>
      </c>
      <c r="D125" s="11" t="s">
        <v>43</v>
      </c>
      <c r="E125" s="12">
        <v>41960</v>
      </c>
      <c r="F125" s="15">
        <v>41958</v>
      </c>
      <c r="G125" s="14" t="str">
        <f t="shared" si="3"/>
        <v/>
      </c>
      <c r="H125" s="12">
        <v>42139</v>
      </c>
      <c r="I125" s="12">
        <v>52732</v>
      </c>
      <c r="J125" s="13">
        <v>0.03</v>
      </c>
      <c r="K125" s="12">
        <v>52916</v>
      </c>
      <c r="L125" s="16" t="str" cm="1">
        <f t="array" ref="L125">_xll.aqBondObjectCreateFromGenerator($C125,$L$4,_xll.aqToolLVBFromKeysValues($C$7:$K$7,$C125:$K125))</f>
        <v>US912810RJ97:0</v>
      </c>
      <c r="M125" s="78">
        <v>3.3259548999999999E-2</v>
      </c>
      <c r="N125" s="51">
        <v>94.343800000000002</v>
      </c>
      <c r="O125" s="17">
        <v>17.480899999999998</v>
      </c>
      <c r="P125" s="95">
        <v>1671.16</v>
      </c>
      <c r="Q125" s="39" cm="1">
        <f t="array" ref="Q125">_xll.aqBondObjectYield(L125,$C$4,R125)</f>
        <v>3.325954900000002E-2</v>
      </c>
      <c r="R125" s="49" cm="1">
        <f t="array" ref="R125">_xll.aqBondObjectPrice($L125,$C$4,$M125)</f>
        <v>94.343750054634057</v>
      </c>
      <c r="S125" s="49" cm="1">
        <f t="array" ref="S125">_xll.aqBondObjectCleanPrice($L125,$C$4,$M125)</f>
        <v>94.343750054634057</v>
      </c>
      <c r="T125" s="49" cm="1">
        <f t="array" ref="T125">_xll.aqBondObjectDirtyPrice($L125,$C$4,$M125)</f>
        <v>95.59918483724276</v>
      </c>
      <c r="U125" s="18" cm="1">
        <f t="array" ref="U125">_xll.aqBondObjectModifiedDuration($L125,$C$4,$Q125)</f>
        <v>17.480946424725243</v>
      </c>
      <c r="V125" s="93" cm="1">
        <f t="array" ref="V125">_xll.aqBondObjectDV01($L125,$C$4,$Q125)</f>
        <v>1671.1642283872463</v>
      </c>
    </row>
    <row r="126" spans="2:22">
      <c r="B126" s="11" t="s">
        <v>168</v>
      </c>
      <c r="C126" s="11" t="s">
        <v>169</v>
      </c>
      <c r="D126" s="11" t="s">
        <v>169</v>
      </c>
      <c r="E126" s="12">
        <v>42052</v>
      </c>
      <c r="F126" s="15">
        <v>42050</v>
      </c>
      <c r="G126" s="14" t="str">
        <f t="shared" si="3"/>
        <v/>
      </c>
      <c r="H126" s="12">
        <v>42231</v>
      </c>
      <c r="I126" s="12">
        <v>52824</v>
      </c>
      <c r="J126" s="13">
        <v>2.5000000000000001E-2</v>
      </c>
      <c r="K126" s="12">
        <v>53008</v>
      </c>
      <c r="L126" s="16" t="str" cm="1">
        <f t="array" ref="L126">_xll.aqBondObjectCreateFromGenerator($C126,$L$4,_xll.aqToolLVBFromKeysValues($C$7:$K$7,$C126:$K126))</f>
        <v>US912810RK60:0</v>
      </c>
      <c r="M126" s="78">
        <v>3.3302183999999999E-2</v>
      </c>
      <c r="N126" s="51">
        <v>85.515600000000006</v>
      </c>
      <c r="O126" s="17">
        <v>18.387599999999999</v>
      </c>
      <c r="P126" s="95">
        <v>1580.17</v>
      </c>
      <c r="Q126" s="39" cm="1">
        <f t="array" ref="Q126">_xll.aqBondObjectYield(L126,$C$4,R126)</f>
        <v>3.3302184000000117E-2</v>
      </c>
      <c r="R126" s="49" cm="1">
        <f t="array" ref="R126">_xll.aqBondObjectPrice($L126,$C$4,$M126)</f>
        <v>85.51562482266803</v>
      </c>
      <c r="S126" s="49" cm="1">
        <f t="array" ref="S126">_xll.aqBondObjectCleanPrice($L126,$C$4,$M126)</f>
        <v>85.51562482266803</v>
      </c>
      <c r="T126" s="49" cm="1">
        <f t="array" ref="T126">_xll.aqBondObjectDirtyPrice($L126,$C$4,$M126)</f>
        <v>85.936820474841937</v>
      </c>
      <c r="U126" s="18" cm="1">
        <f t="array" ref="U126">_xll.aqBondObjectModifiedDuration($L126,$C$4,$Q126)</f>
        <v>18.387566342048988</v>
      </c>
      <c r="V126" s="93" cm="1">
        <f t="array" ref="V126">_xll.aqBondObjectDV01($L126,$C$4,$Q126)</f>
        <v>1580.16898770591</v>
      </c>
    </row>
    <row r="127" spans="2:22">
      <c r="B127" s="11" t="s">
        <v>266</v>
      </c>
      <c r="C127" s="11" t="s">
        <v>267</v>
      </c>
      <c r="D127" s="11" t="s">
        <v>267</v>
      </c>
      <c r="E127" s="12">
        <v>42139</v>
      </c>
      <c r="F127" s="15">
        <v>42139</v>
      </c>
      <c r="G127" s="14" t="str">
        <f t="shared" si="3"/>
        <v/>
      </c>
      <c r="H127" s="12">
        <v>42323</v>
      </c>
      <c r="I127" s="12">
        <v>52916</v>
      </c>
      <c r="J127" s="13">
        <v>0.03</v>
      </c>
      <c r="K127" s="12">
        <v>53097</v>
      </c>
      <c r="L127" s="16" t="str" cm="1">
        <f t="array" ref="L127">_xll.aqBondObjectCreateFromGenerator($C127,$L$4,_xll.aqToolLVBFromKeysValues($C$7:$K$7,$C127:$K127))</f>
        <v>US912810RM27:0</v>
      </c>
      <c r="M127" s="78">
        <v>3.3265649000000001E-2</v>
      </c>
      <c r="N127" s="51">
        <v>94.265600000000006</v>
      </c>
      <c r="O127" s="17">
        <v>17.692</v>
      </c>
      <c r="P127" s="95">
        <v>1689.96</v>
      </c>
      <c r="Q127" s="39" cm="1">
        <f t="array" ref="Q127">_xll.aqBondObjectYield(L127,$C$4,R127)</f>
        <v>3.3265649000000182E-2</v>
      </c>
      <c r="R127" s="49" cm="1">
        <f t="array" ref="R127">_xll.aqBondObjectPrice($L127,$C$4,$M127)</f>
        <v>94.265624931172169</v>
      </c>
      <c r="S127" s="49" cm="1">
        <f t="array" ref="S127">_xll.aqBondObjectCleanPrice($L127,$C$4,$M127)</f>
        <v>94.265624931172169</v>
      </c>
      <c r="T127" s="49" cm="1">
        <f t="array" ref="T127">_xll.aqBondObjectDirtyPrice($L127,$C$4,$M127)</f>
        <v>95.521059713780872</v>
      </c>
      <c r="U127" s="18" cm="1">
        <f t="array" ref="U127">_xll.aqBondObjectModifiedDuration($L127,$C$4,$Q127)</f>
        <v>17.691994961457723</v>
      </c>
      <c r="V127" s="93" cm="1">
        <f t="array" ref="V127">_xll.aqBondObjectDV01($L127,$C$4,$Q127)</f>
        <v>1689.9581071693135</v>
      </c>
    </row>
    <row r="128" spans="2:22">
      <c r="B128" s="11" t="s">
        <v>244</v>
      </c>
      <c r="C128" s="11" t="s">
        <v>245</v>
      </c>
      <c r="D128" s="11" t="s">
        <v>245</v>
      </c>
      <c r="E128" s="12">
        <v>42233</v>
      </c>
      <c r="F128" s="15">
        <v>42231</v>
      </c>
      <c r="G128" s="14" t="str">
        <f t="shared" si="3"/>
        <v/>
      </c>
      <c r="H128" s="12">
        <v>42415</v>
      </c>
      <c r="I128" s="12">
        <v>53008</v>
      </c>
      <c r="J128" s="13">
        <v>2.8750000000000001E-2</v>
      </c>
      <c r="K128" s="12">
        <v>53189</v>
      </c>
      <c r="L128" s="16" t="str" cm="1">
        <f t="array" ref="L128">_xll.aqBondObjectCreateFromGenerator($C128,$L$4,_xll.aqToolLVBFromKeysValues($C$7:$K$7,$C128:$K128))</f>
        <v>US912810RN00:0</v>
      </c>
      <c r="M128" s="78">
        <v>3.3289308000000004E-2</v>
      </c>
      <c r="N128" s="51">
        <v>91.984399999999994</v>
      </c>
      <c r="O128" s="17">
        <v>18.0928</v>
      </c>
      <c r="P128" s="95">
        <v>1673.02</v>
      </c>
      <c r="Q128" s="39" cm="1">
        <f t="array" ref="Q128">_xll.aqBondObjectYield(L128,$C$4,R128)</f>
        <v>3.3289307999999927E-2</v>
      </c>
      <c r="R128" s="49" cm="1">
        <f t="array" ref="R128">_xll.aqBondObjectPrice($L128,$C$4,$M128)</f>
        <v>91.984375244551927</v>
      </c>
      <c r="S128" s="49" cm="1">
        <f t="array" ref="S128">_xll.aqBondObjectCleanPrice($L128,$C$4,$M128)</f>
        <v>91.984375244551927</v>
      </c>
      <c r="T128" s="49" cm="1">
        <f t="array" ref="T128">_xll.aqBondObjectDirtyPrice($L128,$C$4,$M128)</f>
        <v>92.468750244551927</v>
      </c>
      <c r="U128" s="18" cm="1">
        <f t="array" ref="U128">_xll.aqBondObjectModifiedDuration($L128,$C$4,$Q128)</f>
        <v>18.092770207180902</v>
      </c>
      <c r="V128" s="93" cm="1">
        <f t="array" ref="V128">_xll.aqBondObjectDV01($L128,$C$4,$Q128)</f>
        <v>1673.0158495198809</v>
      </c>
    </row>
    <row r="129" spans="2:22">
      <c r="B129" s="11" t="s">
        <v>264</v>
      </c>
      <c r="C129" s="11" t="s">
        <v>265</v>
      </c>
      <c r="D129" s="11" t="s">
        <v>265</v>
      </c>
      <c r="E129" s="12">
        <v>42324</v>
      </c>
      <c r="F129" s="15">
        <v>42323</v>
      </c>
      <c r="G129" s="14" t="str">
        <f t="shared" si="3"/>
        <v/>
      </c>
      <c r="H129" s="12">
        <v>42505</v>
      </c>
      <c r="I129" s="12">
        <v>53097</v>
      </c>
      <c r="J129" s="13">
        <v>0.03</v>
      </c>
      <c r="K129" s="12">
        <v>53281</v>
      </c>
      <c r="L129" s="16" t="str" cm="1">
        <f t="array" ref="L129">_xll.aqBondObjectCreateFromGenerator($C129,$L$4,_xll.aqToolLVBFromKeysValues($C$7:$K$7,$C129:$K129))</f>
        <v>US912810RP57:0</v>
      </c>
      <c r="M129" s="78">
        <v>3.3272266000000002E-2</v>
      </c>
      <c r="N129" s="51">
        <v>94.1875</v>
      </c>
      <c r="O129" s="17">
        <v>17.8994</v>
      </c>
      <c r="P129" s="95">
        <v>1708.37</v>
      </c>
      <c r="Q129" s="39" cm="1">
        <f t="array" ref="Q129">_xll.aqBondObjectYield(L129,$C$4,R129)</f>
        <v>3.3272265999999856E-2</v>
      </c>
      <c r="R129" s="49" cm="1">
        <f t="array" ref="R129">_xll.aqBondObjectPrice($L129,$C$4,$M129)</f>
        <v>94.187499421690347</v>
      </c>
      <c r="S129" s="49" cm="1">
        <f t="array" ref="S129">_xll.aqBondObjectCleanPrice($L129,$C$4,$M129)</f>
        <v>94.187499421690347</v>
      </c>
      <c r="T129" s="49" cm="1">
        <f t="array" ref="T129">_xll.aqBondObjectDirtyPrice($L129,$C$4,$M129)</f>
        <v>95.44293420429905</v>
      </c>
      <c r="U129" s="18" cm="1">
        <f t="array" ref="U129">_xll.aqBondObjectModifiedDuration($L129,$C$4,$Q129)</f>
        <v>17.89943357967007</v>
      </c>
      <c r="V129" s="93" cm="1">
        <f t="array" ref="V129">_xll.aqBondObjectDV01($L129,$C$4,$Q129)</f>
        <v>1708.3744614386717</v>
      </c>
    </row>
    <row r="130" spans="2:22">
      <c r="B130" s="11" t="s">
        <v>172</v>
      </c>
      <c r="C130" s="11" t="s">
        <v>173</v>
      </c>
      <c r="D130" s="11" t="s">
        <v>173</v>
      </c>
      <c r="E130" s="12">
        <v>42416</v>
      </c>
      <c r="F130" s="15">
        <v>42415</v>
      </c>
      <c r="G130" s="14" t="str">
        <f t="shared" si="3"/>
        <v/>
      </c>
      <c r="H130" s="12">
        <v>42597</v>
      </c>
      <c r="I130" s="12">
        <v>53189</v>
      </c>
      <c r="J130" s="13">
        <v>2.5000000000000001E-2</v>
      </c>
      <c r="K130" s="12">
        <v>53373</v>
      </c>
      <c r="L130" s="16" t="str" cm="1">
        <f t="array" ref="L130">_xll.aqBondObjectCreateFromGenerator($C130,$L$4,_xll.aqToolLVBFromKeysValues($C$7:$K$7,$C130:$K130))</f>
        <v>US912810RQ31:0</v>
      </c>
      <c r="M130" s="78">
        <v>3.3324253999999998E-2</v>
      </c>
      <c r="N130" s="51">
        <v>85.140600000000006</v>
      </c>
      <c r="O130" s="17">
        <v>18.830300000000001</v>
      </c>
      <c r="P130" s="95">
        <v>1611.16</v>
      </c>
      <c r="Q130" s="39" cm="1">
        <f t="array" ref="Q130">_xll.aqBondObjectYield(L130,$C$4,R130)</f>
        <v>3.3324253999999998E-2</v>
      </c>
      <c r="R130" s="49" cm="1">
        <f t="array" ref="R130">_xll.aqBondObjectPrice($L130,$C$4,$M130)</f>
        <v>85.1406245692163</v>
      </c>
      <c r="S130" s="49" cm="1">
        <f t="array" ref="S130">_xll.aqBondObjectCleanPrice($L130,$C$4,$M130)</f>
        <v>85.1406245692163</v>
      </c>
      <c r="T130" s="49" cm="1">
        <f t="array" ref="T130">_xll.aqBondObjectDirtyPrice($L130,$C$4,$M130)</f>
        <v>85.561820221390207</v>
      </c>
      <c r="U130" s="18" cm="1">
        <f t="array" ref="U130">_xll.aqBondObjectModifiedDuration($L130,$C$4,$Q130)</f>
        <v>18.830325845084353</v>
      </c>
      <c r="V130" s="93" cm="1">
        <f t="array" ref="V130">_xll.aqBondObjectDV01($L130,$C$4,$Q130)</f>
        <v>1611.1569546673049</v>
      </c>
    </row>
    <row r="131" spans="2:22">
      <c r="B131" s="11" t="s">
        <v>166</v>
      </c>
      <c r="C131" s="11" t="s">
        <v>167</v>
      </c>
      <c r="D131" s="11" t="s">
        <v>167</v>
      </c>
      <c r="E131" s="12">
        <v>42506</v>
      </c>
      <c r="F131" s="15">
        <v>42505</v>
      </c>
      <c r="G131" s="14" t="str">
        <f t="shared" si="3"/>
        <v/>
      </c>
      <c r="H131" s="12">
        <v>42689</v>
      </c>
      <c r="I131" s="12">
        <v>53281</v>
      </c>
      <c r="J131" s="13">
        <v>2.5000000000000001E-2</v>
      </c>
      <c r="K131" s="12">
        <v>53462</v>
      </c>
      <c r="L131" s="16" t="str" cm="1">
        <f t="array" ref="L131">_xll.aqBondObjectCreateFromGenerator($C131,$L$4,_xll.aqToolLVBFromKeysValues($C$7:$K$7,$C131:$K131))</f>
        <v>US912810RS96:0</v>
      </c>
      <c r="M131" s="78">
        <v>3.3331265999999998E-2</v>
      </c>
      <c r="N131" s="51">
        <v>85.046899999999994</v>
      </c>
      <c r="O131" s="17">
        <v>18.8005</v>
      </c>
      <c r="P131" s="95">
        <v>1618.59</v>
      </c>
      <c r="Q131" s="39" cm="1">
        <f t="array" ref="Q131">_xll.aqBondObjectYield(L131,$C$4,R131)</f>
        <v>3.3331266000000047E-2</v>
      </c>
      <c r="R131" s="49" cm="1">
        <f t="array" ref="R131">_xll.aqBondObjectPrice($L131,$C$4,$M131)</f>
        <v>85.046875709422409</v>
      </c>
      <c r="S131" s="49" cm="1">
        <f t="array" ref="S131">_xll.aqBondObjectCleanPrice($L131,$C$4,$M131)</f>
        <v>85.046875709422409</v>
      </c>
      <c r="T131" s="49" cm="1">
        <f t="array" ref="T131">_xll.aqBondObjectDirtyPrice($L131,$C$4,$M131)</f>
        <v>86.093071361596316</v>
      </c>
      <c r="U131" s="18" cm="1">
        <f t="array" ref="U131">_xll.aqBondObjectModifiedDuration($L131,$C$4,$Q131)</f>
        <v>18.800483105188011</v>
      </c>
      <c r="V131" s="93" cm="1">
        <f t="array" ref="V131">_xll.aqBondObjectDV01($L131,$C$4,$Q131)</f>
        <v>1618.5913336074245</v>
      </c>
    </row>
    <row r="132" spans="2:22">
      <c r="B132" s="11" t="s">
        <v>146</v>
      </c>
      <c r="C132" s="11" t="s">
        <v>147</v>
      </c>
      <c r="D132" s="11" t="s">
        <v>147</v>
      </c>
      <c r="E132" s="12">
        <v>42597</v>
      </c>
      <c r="F132" s="15">
        <v>42597</v>
      </c>
      <c r="G132" s="14" t="str">
        <f t="shared" si="3"/>
        <v/>
      </c>
      <c r="H132" s="12">
        <v>42781</v>
      </c>
      <c r="I132" s="12">
        <v>53373</v>
      </c>
      <c r="J132" s="13">
        <v>2.2499999999999999E-2</v>
      </c>
      <c r="K132" s="12">
        <v>53554</v>
      </c>
      <c r="L132" s="16" t="str" cm="1">
        <f t="array" ref="L132">_xll.aqBondObjectCreateFromGenerator($C132,$L$4,_xll.aqToolLVBFromKeysValues($C$7:$K$7,$C132:$K132))</f>
        <v>US912810RT79:0</v>
      </c>
      <c r="M132" s="78">
        <v>3.3330628000000001E-2</v>
      </c>
      <c r="N132" s="51">
        <v>80.453100000000006</v>
      </c>
      <c r="O132" s="17">
        <v>19.457100000000001</v>
      </c>
      <c r="P132" s="95">
        <v>1572.76</v>
      </c>
      <c r="Q132" s="39" cm="1">
        <f t="array" ref="Q132">_xll.aqBondObjectYield(L132,$C$4,R132)</f>
        <v>3.3330628000000383E-2</v>
      </c>
      <c r="R132" s="49" cm="1">
        <f t="array" ref="R132">_xll.aqBondObjectPrice($L132,$C$4,$M132)</f>
        <v>80.453125307656762</v>
      </c>
      <c r="S132" s="49" cm="1">
        <f t="array" ref="S132">_xll.aqBondObjectCleanPrice($L132,$C$4,$M132)</f>
        <v>80.453125307656762</v>
      </c>
      <c r="T132" s="49" cm="1">
        <f t="array" ref="T132">_xll.aqBondObjectDirtyPrice($L132,$C$4,$M132)</f>
        <v>80.832201394613278</v>
      </c>
      <c r="U132" s="18" cm="1">
        <f t="array" ref="U132">_xll.aqBondObjectModifiedDuration($L132,$C$4,$Q132)</f>
        <v>19.457080721876419</v>
      </c>
      <c r="V132" s="93" cm="1">
        <f t="array" ref="V132">_xll.aqBondObjectDV01($L132,$C$4,$Q132)</f>
        <v>1572.758667461949</v>
      </c>
    </row>
    <row r="133" spans="2:22">
      <c r="B133" s="11" t="s">
        <v>226</v>
      </c>
      <c r="C133" s="11" t="s">
        <v>227</v>
      </c>
      <c r="D133" s="11" t="s">
        <v>227</v>
      </c>
      <c r="E133" s="12">
        <v>42689</v>
      </c>
      <c r="F133" s="15">
        <v>42689</v>
      </c>
      <c r="G133" s="14" t="str">
        <f t="shared" si="3"/>
        <v/>
      </c>
      <c r="H133" s="12">
        <v>42870</v>
      </c>
      <c r="I133" s="12">
        <v>53462</v>
      </c>
      <c r="J133" s="13">
        <v>2.8750000000000001E-2</v>
      </c>
      <c r="K133" s="12">
        <v>53646</v>
      </c>
      <c r="L133" s="16" t="str" cm="1">
        <f t="array" ref="L133">_xll.aqBondObjectCreateFromGenerator($C133,$L$4,_xll.aqToolLVBFromKeysValues($C$7:$K$7,$C133:$K133))</f>
        <v>US912810RU43:0</v>
      </c>
      <c r="M133" s="78">
        <v>3.3303112000000003E-2</v>
      </c>
      <c r="N133" s="51">
        <v>91.734399999999994</v>
      </c>
      <c r="O133" s="17">
        <v>18.467199999999998</v>
      </c>
      <c r="P133" s="95">
        <v>1716.3</v>
      </c>
      <c r="Q133" s="39" cm="1">
        <f t="array" ref="Q133">_xll.aqBondObjectYield(L133,$C$4,R133)</f>
        <v>3.3303111999999892E-2</v>
      </c>
      <c r="R133" s="49" cm="1">
        <f t="array" ref="R133">_xll.aqBondObjectPrice($L133,$C$4,$M133)</f>
        <v>91.734374475058701</v>
      </c>
      <c r="S133" s="49" cm="1">
        <f t="array" ref="S133">_xll.aqBondObjectCleanPrice($L133,$C$4,$M133)</f>
        <v>91.734374475058701</v>
      </c>
      <c r="T133" s="49" cm="1">
        <f t="array" ref="T133">_xll.aqBondObjectDirtyPrice($L133,$C$4,$M133)</f>
        <v>92.937499475058701</v>
      </c>
      <c r="U133" s="18" cm="1">
        <f t="array" ref="U133">_xll.aqBondObjectModifiedDuration($L133,$C$4,$Q133)</f>
        <v>18.467209882305902</v>
      </c>
      <c r="V133" s="93" cm="1">
        <f t="array" ref="V133">_xll.aqBondObjectDV01($L133,$C$4,$Q133)</f>
        <v>1716.2963087426037</v>
      </c>
    </row>
    <row r="134" spans="2:22">
      <c r="C134" s="1"/>
      <c r="D134" s="1"/>
      <c r="E134" s="20"/>
      <c r="F134" s="20"/>
      <c r="G134" s="20"/>
      <c r="H134" s="20"/>
      <c r="I134" s="20"/>
      <c r="J134" s="20"/>
      <c r="K134" s="20"/>
      <c r="L134" s="21"/>
      <c r="M134" s="42"/>
      <c r="N134" s="42"/>
      <c r="O134" s="42"/>
      <c r="P134" s="42"/>
      <c r="Q134" s="21"/>
      <c r="S134" s="21"/>
      <c r="T134" s="21"/>
      <c r="U134" s="21"/>
      <c r="V134" s="21"/>
    </row>
    <row r="138" spans="2:22">
      <c r="H138" s="19"/>
      <c r="I138" s="19"/>
      <c r="J138" s="19"/>
    </row>
    <row r="139" spans="2:22">
      <c r="H139" s="19"/>
      <c r="I139" s="19"/>
      <c r="J139" s="19"/>
      <c r="L139" s="19"/>
      <c r="M139" s="43"/>
      <c r="N139" s="43"/>
      <c r="O139" s="43"/>
      <c r="P139" s="43"/>
      <c r="Q139" s="48"/>
      <c r="S139" s="48"/>
      <c r="T139" s="48"/>
      <c r="U139" s="48"/>
      <c r="V139" s="48"/>
    </row>
    <row r="140" spans="2:22">
      <c r="H140" s="19"/>
      <c r="I140" s="19"/>
      <c r="J140" s="19"/>
      <c r="L140" s="19"/>
      <c r="M140" s="43"/>
      <c r="N140" s="43"/>
      <c r="O140" s="43"/>
      <c r="P140" s="43"/>
      <c r="Q140" s="48"/>
      <c r="S140" s="48"/>
      <c r="T140" s="48"/>
      <c r="U140" s="48"/>
      <c r="V140" s="48"/>
    </row>
    <row r="141" spans="2:22">
      <c r="H141" s="19"/>
      <c r="I141" s="19"/>
      <c r="J141" s="19"/>
      <c r="L141" s="19"/>
      <c r="M141" s="43"/>
      <c r="N141" s="43"/>
      <c r="O141" s="43"/>
      <c r="P141" s="43"/>
      <c r="Q141" s="48"/>
      <c r="S141" s="48"/>
      <c r="T141" s="48"/>
      <c r="U141" s="48"/>
      <c r="V141" s="48"/>
    </row>
    <row r="142" spans="2:22">
      <c r="H142" s="19"/>
      <c r="I142" s="19"/>
      <c r="J142" s="19"/>
      <c r="L142" s="19"/>
      <c r="M142" s="43"/>
      <c r="N142" s="43"/>
      <c r="O142" s="43"/>
      <c r="P142" s="43"/>
      <c r="Q142" s="48"/>
      <c r="S142" s="48"/>
      <c r="T142" s="48"/>
      <c r="U142" s="48"/>
      <c r="V142" s="48"/>
    </row>
    <row r="143" spans="2:22">
      <c r="H143" s="19"/>
      <c r="I143" s="19"/>
      <c r="J143" s="19"/>
      <c r="L143" s="19"/>
      <c r="M143" s="43"/>
      <c r="N143" s="43"/>
      <c r="O143" s="43"/>
      <c r="P143" s="43"/>
      <c r="Q143" s="48"/>
      <c r="S143" s="48"/>
      <c r="T143" s="48"/>
      <c r="U143" s="48"/>
      <c r="V143" s="48"/>
    </row>
    <row r="144" spans="2:22">
      <c r="H144" s="19"/>
      <c r="I144" s="19"/>
      <c r="J144" s="19"/>
      <c r="L144" s="19"/>
      <c r="M144" s="43"/>
      <c r="N144" s="43"/>
      <c r="O144" s="43"/>
      <c r="P144" s="43"/>
      <c r="Q144" s="48"/>
      <c r="S144" s="48"/>
      <c r="T144" s="48"/>
      <c r="U144" s="48"/>
      <c r="V144" s="48"/>
    </row>
    <row r="145" spans="3:22">
      <c r="H145" s="19"/>
      <c r="I145" s="19"/>
      <c r="J145" s="19"/>
      <c r="L145" s="19"/>
      <c r="M145" s="43"/>
      <c r="N145" s="43"/>
      <c r="O145" s="43"/>
      <c r="P145" s="43"/>
      <c r="Q145" s="48"/>
      <c r="S145" s="48"/>
      <c r="T145" s="48"/>
      <c r="U145" s="48"/>
      <c r="V145" s="48"/>
    </row>
    <row r="146" spans="3:22">
      <c r="H146" s="19"/>
      <c r="I146" s="19"/>
      <c r="J146" s="19"/>
      <c r="L146" s="19"/>
      <c r="M146" s="43"/>
      <c r="N146" s="43"/>
      <c r="O146" s="43"/>
      <c r="P146" s="43"/>
      <c r="Q146" s="48"/>
      <c r="S146" s="48"/>
      <c r="T146" s="48"/>
      <c r="U146" s="48"/>
      <c r="V146" s="48"/>
    </row>
    <row r="147" spans="3:22">
      <c r="H147" s="19"/>
      <c r="I147" s="19"/>
      <c r="J147" s="19"/>
      <c r="L147" s="19"/>
      <c r="M147" s="43"/>
      <c r="N147" s="43"/>
      <c r="O147" s="43"/>
      <c r="P147" s="43"/>
      <c r="Q147" s="48"/>
      <c r="S147" s="48"/>
      <c r="T147" s="48"/>
      <c r="U147" s="48"/>
      <c r="V147" s="48"/>
    </row>
    <row r="148" spans="3:22">
      <c r="H148" s="19"/>
      <c r="I148" s="19"/>
      <c r="J148" s="19"/>
      <c r="L148" s="19"/>
      <c r="M148" s="43"/>
      <c r="N148" s="43"/>
      <c r="O148" s="43"/>
      <c r="P148" s="43"/>
      <c r="Q148" s="48"/>
      <c r="S148" s="48"/>
      <c r="T148" s="48"/>
      <c r="U148" s="48"/>
      <c r="V148" s="48"/>
    </row>
    <row r="149" spans="3:22">
      <c r="H149" s="19"/>
      <c r="I149" s="19"/>
      <c r="J149" s="19"/>
      <c r="L149" s="19"/>
      <c r="M149" s="43"/>
      <c r="N149" s="43"/>
      <c r="O149" s="43"/>
      <c r="P149" s="43"/>
      <c r="Q149" s="48"/>
      <c r="S149" s="48"/>
      <c r="T149" s="48"/>
      <c r="U149" s="48"/>
      <c r="V149" s="48"/>
    </row>
    <row r="150" spans="3:22">
      <c r="H150" s="19"/>
      <c r="I150" s="19"/>
      <c r="J150" s="19"/>
      <c r="L150" s="19"/>
      <c r="M150" s="43"/>
      <c r="N150" s="43"/>
      <c r="O150" s="43"/>
      <c r="P150" s="43"/>
      <c r="Q150" s="48"/>
      <c r="S150" s="48"/>
      <c r="T150" s="48"/>
      <c r="U150" s="48"/>
      <c r="V150" s="48"/>
    </row>
    <row r="151" spans="3:22">
      <c r="H151" s="19"/>
      <c r="I151" s="19"/>
      <c r="J151" s="19"/>
      <c r="L151" s="19"/>
      <c r="M151" s="43"/>
      <c r="N151" s="43"/>
      <c r="O151" s="43"/>
      <c r="P151" s="43"/>
      <c r="Q151" s="48"/>
      <c r="S151" s="48"/>
      <c r="T151" s="48"/>
      <c r="U151" s="48"/>
      <c r="V151" s="48"/>
    </row>
    <row r="152" spans="3:22">
      <c r="H152" s="19"/>
      <c r="I152" s="19"/>
      <c r="J152" s="19"/>
      <c r="L152" s="19"/>
      <c r="M152" s="43"/>
      <c r="N152" s="43"/>
      <c r="O152" s="43"/>
      <c r="P152" s="43"/>
      <c r="Q152" s="48"/>
      <c r="S152" s="48"/>
      <c r="T152" s="48"/>
      <c r="U152" s="48"/>
      <c r="V152" s="48"/>
    </row>
    <row r="153" spans="3:22">
      <c r="H153" s="19"/>
      <c r="I153" s="19"/>
      <c r="J153" s="19"/>
      <c r="L153" s="19"/>
      <c r="M153" s="43"/>
      <c r="N153" s="43"/>
      <c r="O153" s="43"/>
      <c r="P153" s="43"/>
      <c r="Q153" s="48"/>
      <c r="S153" s="48"/>
      <c r="T153" s="48"/>
      <c r="U153" s="48"/>
      <c r="V153" s="48"/>
    </row>
    <row r="155" spans="3:22">
      <c r="C155" s="20"/>
      <c r="D155" s="20"/>
      <c r="E155" s="20"/>
      <c r="F155" s="20"/>
      <c r="G155" s="20"/>
    </row>
    <row r="156" spans="3:22">
      <c r="C156" s="20"/>
      <c r="D156" s="20"/>
      <c r="E156" s="20"/>
      <c r="F156" s="20"/>
      <c r="G156" s="20"/>
    </row>
    <row r="157" spans="3:22">
      <c r="C157" s="20"/>
      <c r="D157" s="20"/>
      <c r="E157" s="20"/>
      <c r="F157" s="20"/>
      <c r="G157" s="20"/>
    </row>
    <row r="158" spans="3:22">
      <c r="C158" s="20"/>
      <c r="D158" s="20"/>
      <c r="E158" s="20"/>
      <c r="F158" s="20"/>
      <c r="G158" s="20"/>
    </row>
    <row r="160" spans="3:22">
      <c r="E160" s="19"/>
      <c r="F160" s="19"/>
      <c r="G160" s="19"/>
    </row>
    <row r="161" spans="5:8">
      <c r="E161" s="19"/>
      <c r="F161" s="19"/>
      <c r="G161" s="19"/>
      <c r="H161" s="19"/>
    </row>
    <row r="162" spans="5:8">
      <c r="E162" s="19"/>
      <c r="F162" s="19"/>
      <c r="G162" s="19"/>
    </row>
    <row r="163" spans="5:8">
      <c r="E163" s="19"/>
      <c r="F163" s="19"/>
      <c r="G163" s="19"/>
    </row>
  </sheetData>
  <autoFilter ref="B7:V7" xr:uid="{00000000-0001-0000-0000-000000000000}"/>
  <sortState xmlns:xlrd2="http://schemas.microsoft.com/office/spreadsheetml/2017/richdata2" ref="B8:V133">
    <sortCondition ref="K8:K133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XEQ37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2" max="2" width="20.7109375" customWidth="1"/>
    <col min="3" max="4" width="15.7109375" customWidth="1"/>
    <col min="5" max="9" width="15.7109375" hidden="1" customWidth="1" outlineLevel="1"/>
    <col min="10" max="10" width="15.7109375" customWidth="1" collapsed="1"/>
    <col min="11" max="11" width="15.7109375" customWidth="1"/>
    <col min="12" max="12" width="23.42578125" style="29" customWidth="1"/>
    <col min="13" max="13" width="20.7109375" style="55" customWidth="1"/>
    <col min="14" max="15" width="20.7109375" style="55" hidden="1" customWidth="1" outlineLevel="1"/>
    <col min="16" max="16" width="20.7109375" style="97" hidden="1" customWidth="1" outlineLevel="1"/>
    <col min="17" max="17" width="20.7109375" customWidth="1" collapsed="1"/>
    <col min="18" max="18" width="20.7109375" customWidth="1"/>
    <col min="19" max="22" width="20.7109375" hidden="1" customWidth="1" outlineLevel="1"/>
    <col min="23" max="23" width="20.7109375" customWidth="1" collapsed="1"/>
  </cols>
  <sheetData>
    <row r="1" spans="2:16371">
      <c r="H1" s="2"/>
      <c r="J1" s="2" t="s">
        <v>277</v>
      </c>
      <c r="P1" s="55"/>
      <c r="Q1" s="45" t="s">
        <v>1965</v>
      </c>
      <c r="W1" s="2" t="s">
        <v>1960</v>
      </c>
    </row>
    <row r="2" spans="2:16371">
      <c r="M2" s="45" t="s">
        <v>1957</v>
      </c>
      <c r="N2" s="45" t="s">
        <v>1958</v>
      </c>
      <c r="O2" s="45" t="s">
        <v>1966</v>
      </c>
      <c r="P2" s="45" t="s">
        <v>1967</v>
      </c>
    </row>
    <row r="3" spans="2:16371">
      <c r="B3" s="2" t="s">
        <v>9</v>
      </c>
      <c r="C3" s="2" t="s">
        <v>10</v>
      </c>
      <c r="L3" s="2" t="s">
        <v>273</v>
      </c>
      <c r="M3" s="83" t="s">
        <v>274</v>
      </c>
      <c r="N3" s="83" t="s">
        <v>274</v>
      </c>
      <c r="O3" s="83" t="s">
        <v>274</v>
      </c>
      <c r="P3" s="83" t="s">
        <v>274</v>
      </c>
    </row>
    <row r="4" spans="2:16371">
      <c r="B4" s="90">
        <v>43388</v>
      </c>
      <c r="C4" s="38" cm="1">
        <f t="array" ref="C4">_xll.aqDateFromTenor($B$4,"2D","MOD_FOLLOWING","TGT")</f>
        <v>43390</v>
      </c>
      <c r="D4" s="30" t="s">
        <v>278</v>
      </c>
      <c r="L4" s="23" t="s">
        <v>1546</v>
      </c>
      <c r="M4" s="52">
        <f>SUM(M8:M37)-SUM(Q8:Q37)</f>
        <v>3.6082248300317588E-15</v>
      </c>
      <c r="N4" s="52">
        <f>SUM(N8:N37)-SUM(R8:R37)</f>
        <v>-2.0318111637607217E-9</v>
      </c>
      <c r="O4" s="52">
        <f>SUM(O8:O500)-SUM(U8:U500)</f>
        <v>-4.4475018995626669E-5</v>
      </c>
      <c r="P4" s="94">
        <f>SUM(P8:P500)-SUM(V8:V500)</f>
        <v>7.5880443109781481E-3</v>
      </c>
    </row>
    <row r="5" spans="2:16371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41"/>
      <c r="N5" s="41"/>
      <c r="O5" s="41"/>
      <c r="P5" s="41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  <c r="PB5" s="37"/>
      <c r="PC5" s="37"/>
      <c r="PD5" s="37"/>
      <c r="PE5" s="37"/>
      <c r="PF5" s="37"/>
      <c r="PG5" s="37"/>
      <c r="PH5" s="37"/>
      <c r="PI5" s="37"/>
      <c r="PJ5" s="37"/>
      <c r="PK5" s="37"/>
      <c r="PL5" s="37"/>
      <c r="PM5" s="37"/>
      <c r="PN5" s="37"/>
      <c r="PO5" s="37"/>
      <c r="PP5" s="37"/>
      <c r="PQ5" s="37"/>
      <c r="PR5" s="37"/>
      <c r="PS5" s="37"/>
      <c r="PT5" s="37"/>
      <c r="PU5" s="37"/>
      <c r="PV5" s="37"/>
      <c r="PW5" s="37"/>
      <c r="PX5" s="37"/>
      <c r="PY5" s="37"/>
      <c r="PZ5" s="37"/>
      <c r="QA5" s="37"/>
      <c r="QB5" s="37"/>
      <c r="QC5" s="37"/>
      <c r="QD5" s="37"/>
      <c r="QE5" s="37"/>
      <c r="QF5" s="37"/>
      <c r="QG5" s="37"/>
      <c r="QH5" s="37"/>
      <c r="QI5" s="37"/>
      <c r="QJ5" s="37"/>
      <c r="QK5" s="37"/>
      <c r="QL5" s="37"/>
      <c r="QM5" s="37"/>
      <c r="QN5" s="37"/>
      <c r="QO5" s="37"/>
      <c r="QP5" s="37"/>
      <c r="QQ5" s="37"/>
      <c r="QR5" s="37"/>
      <c r="QS5" s="37"/>
      <c r="QT5" s="37"/>
      <c r="QU5" s="37"/>
      <c r="QV5" s="37"/>
      <c r="QW5" s="37"/>
      <c r="QX5" s="37"/>
      <c r="QY5" s="37"/>
      <c r="QZ5" s="37"/>
      <c r="RA5" s="37"/>
      <c r="RB5" s="37"/>
      <c r="RC5" s="37"/>
      <c r="RD5" s="37"/>
      <c r="RE5" s="37"/>
      <c r="RF5" s="37"/>
      <c r="RG5" s="37"/>
      <c r="RH5" s="37"/>
      <c r="RI5" s="37"/>
      <c r="RJ5" s="37"/>
      <c r="RK5" s="37"/>
      <c r="RL5" s="37"/>
      <c r="RM5" s="37"/>
      <c r="RN5" s="37"/>
      <c r="RO5" s="37"/>
      <c r="RP5" s="37"/>
      <c r="RQ5" s="37"/>
      <c r="RR5" s="37"/>
      <c r="RS5" s="37"/>
      <c r="RT5" s="37"/>
      <c r="RU5" s="37"/>
      <c r="RV5" s="37"/>
      <c r="RW5" s="37"/>
      <c r="RX5" s="37"/>
      <c r="RY5" s="37"/>
      <c r="RZ5" s="37"/>
      <c r="SA5" s="37"/>
      <c r="SB5" s="37"/>
      <c r="SC5" s="37"/>
      <c r="SD5" s="37"/>
      <c r="SE5" s="37"/>
      <c r="SF5" s="37"/>
      <c r="SG5" s="37"/>
      <c r="SH5" s="37"/>
      <c r="SI5" s="37"/>
      <c r="SJ5" s="37"/>
      <c r="SK5" s="37"/>
      <c r="SL5" s="37"/>
      <c r="SM5" s="37"/>
      <c r="SN5" s="37"/>
      <c r="SO5" s="37"/>
      <c r="SP5" s="37"/>
      <c r="SQ5" s="37"/>
      <c r="SR5" s="37"/>
      <c r="SS5" s="37"/>
      <c r="ST5" s="37"/>
      <c r="SU5" s="37"/>
      <c r="SV5" s="37"/>
      <c r="SW5" s="37"/>
      <c r="SX5" s="37"/>
      <c r="SY5" s="37"/>
      <c r="SZ5" s="37"/>
      <c r="TA5" s="37"/>
      <c r="TB5" s="37"/>
      <c r="TC5" s="37"/>
      <c r="TD5" s="37"/>
      <c r="TE5" s="37"/>
      <c r="TF5" s="37"/>
      <c r="TG5" s="37"/>
      <c r="TH5" s="37"/>
      <c r="TI5" s="37"/>
      <c r="TJ5" s="37"/>
      <c r="TK5" s="37"/>
      <c r="TL5" s="37"/>
      <c r="TM5" s="37"/>
      <c r="TN5" s="37"/>
      <c r="TO5" s="37"/>
      <c r="TP5" s="37"/>
      <c r="TQ5" s="37"/>
      <c r="TR5" s="37"/>
      <c r="TS5" s="37"/>
      <c r="TT5" s="37"/>
      <c r="TU5" s="37"/>
      <c r="TV5" s="37"/>
      <c r="TW5" s="37"/>
      <c r="TX5" s="37"/>
      <c r="TY5" s="37"/>
      <c r="TZ5" s="37"/>
      <c r="UA5" s="37"/>
      <c r="UB5" s="37"/>
      <c r="UC5" s="37"/>
      <c r="UD5" s="37"/>
      <c r="UE5" s="37"/>
      <c r="UF5" s="37"/>
      <c r="UG5" s="37"/>
      <c r="UH5" s="37"/>
      <c r="UI5" s="37"/>
      <c r="UJ5" s="37"/>
      <c r="UK5" s="37"/>
      <c r="UL5" s="37"/>
      <c r="UM5" s="37"/>
      <c r="UN5" s="37"/>
      <c r="UO5" s="37"/>
      <c r="UP5" s="37"/>
      <c r="UQ5" s="37"/>
      <c r="UR5" s="37"/>
      <c r="US5" s="37"/>
      <c r="UT5" s="37"/>
      <c r="UU5" s="37"/>
      <c r="UV5" s="37"/>
      <c r="UW5" s="37"/>
      <c r="UX5" s="37"/>
      <c r="UY5" s="37"/>
      <c r="UZ5" s="37"/>
      <c r="VA5" s="37"/>
      <c r="VB5" s="37"/>
      <c r="VC5" s="37"/>
      <c r="VD5" s="37"/>
      <c r="VE5" s="37"/>
      <c r="VF5" s="37"/>
      <c r="VG5" s="37"/>
      <c r="VH5" s="37"/>
      <c r="VI5" s="37"/>
      <c r="VJ5" s="37"/>
      <c r="VK5" s="37"/>
      <c r="VL5" s="37"/>
      <c r="VM5" s="37"/>
      <c r="VN5" s="37"/>
      <c r="VO5" s="37"/>
      <c r="VP5" s="37"/>
      <c r="VQ5" s="37"/>
      <c r="VR5" s="37"/>
      <c r="VS5" s="37"/>
      <c r="VT5" s="37"/>
      <c r="VU5" s="37"/>
      <c r="VV5" s="37"/>
      <c r="VW5" s="37"/>
      <c r="VX5" s="37"/>
      <c r="VY5" s="37"/>
      <c r="VZ5" s="37"/>
      <c r="WA5" s="37"/>
      <c r="WB5" s="37"/>
      <c r="WC5" s="37"/>
      <c r="WD5" s="37"/>
      <c r="WE5" s="37"/>
      <c r="WF5" s="37"/>
      <c r="WG5" s="37"/>
      <c r="WH5" s="37"/>
      <c r="WI5" s="37"/>
      <c r="WJ5" s="37"/>
      <c r="WK5" s="37"/>
      <c r="WL5" s="37"/>
      <c r="WM5" s="37"/>
      <c r="WN5" s="37"/>
      <c r="WO5" s="37"/>
      <c r="WP5" s="37"/>
      <c r="WQ5" s="37"/>
      <c r="WR5" s="37"/>
      <c r="WS5" s="37"/>
      <c r="WT5" s="37"/>
      <c r="WU5" s="37"/>
      <c r="WV5" s="37"/>
      <c r="WW5" s="37"/>
      <c r="WX5" s="37"/>
      <c r="WY5" s="37"/>
      <c r="WZ5" s="37"/>
      <c r="XA5" s="37"/>
      <c r="XB5" s="37"/>
      <c r="XC5" s="37"/>
      <c r="XD5" s="37"/>
      <c r="XE5" s="37"/>
      <c r="XF5" s="37"/>
      <c r="XG5" s="37"/>
      <c r="XH5" s="37"/>
      <c r="XI5" s="37"/>
      <c r="XJ5" s="37"/>
      <c r="XK5" s="37"/>
      <c r="XL5" s="37"/>
      <c r="XM5" s="37"/>
      <c r="XN5" s="37"/>
      <c r="XO5" s="37"/>
      <c r="XP5" s="37"/>
      <c r="XQ5" s="37"/>
      <c r="XR5" s="37"/>
      <c r="XS5" s="37"/>
      <c r="XT5" s="37"/>
      <c r="XU5" s="37"/>
      <c r="XV5" s="37"/>
      <c r="XW5" s="37"/>
      <c r="XX5" s="37"/>
      <c r="XY5" s="37"/>
      <c r="XZ5" s="37"/>
      <c r="YA5" s="37"/>
      <c r="YB5" s="37"/>
      <c r="YC5" s="37"/>
      <c r="YD5" s="37"/>
      <c r="YE5" s="37"/>
      <c r="YF5" s="37"/>
      <c r="YG5" s="37"/>
      <c r="YH5" s="37"/>
      <c r="YI5" s="37"/>
      <c r="YJ5" s="37"/>
      <c r="YK5" s="37"/>
      <c r="YL5" s="37"/>
      <c r="YM5" s="37"/>
      <c r="YN5" s="37"/>
      <c r="YO5" s="37"/>
      <c r="YP5" s="37"/>
      <c r="YQ5" s="37"/>
      <c r="YR5" s="37"/>
      <c r="YS5" s="37"/>
      <c r="YT5" s="37"/>
      <c r="YU5" s="37"/>
      <c r="YV5" s="37"/>
      <c r="YW5" s="37"/>
      <c r="YX5" s="37"/>
      <c r="YY5" s="37"/>
      <c r="YZ5" s="37"/>
      <c r="ZA5" s="37"/>
      <c r="ZB5" s="37"/>
      <c r="ZC5" s="37"/>
      <c r="ZD5" s="37"/>
      <c r="ZE5" s="37"/>
      <c r="ZF5" s="37"/>
      <c r="ZG5" s="37"/>
      <c r="ZH5" s="37"/>
      <c r="ZI5" s="37"/>
      <c r="ZJ5" s="37"/>
      <c r="ZK5" s="37"/>
      <c r="ZL5" s="37"/>
      <c r="ZM5" s="37"/>
      <c r="ZN5" s="37"/>
      <c r="ZO5" s="37"/>
      <c r="ZP5" s="37"/>
      <c r="ZQ5" s="37"/>
      <c r="ZR5" s="37"/>
      <c r="ZS5" s="37"/>
      <c r="ZT5" s="37"/>
      <c r="ZU5" s="37"/>
      <c r="ZV5" s="37"/>
      <c r="ZW5" s="37"/>
      <c r="ZX5" s="37"/>
      <c r="ZY5" s="37"/>
      <c r="ZZ5" s="37"/>
      <c r="AAA5" s="37"/>
      <c r="AAB5" s="37"/>
      <c r="AAC5" s="37"/>
      <c r="AAD5" s="37"/>
      <c r="AAE5" s="37"/>
      <c r="AAF5" s="37"/>
      <c r="AAG5" s="37"/>
      <c r="AAH5" s="37"/>
      <c r="AAI5" s="37"/>
      <c r="AAJ5" s="37"/>
      <c r="AAK5" s="37"/>
      <c r="AAL5" s="37"/>
      <c r="AAM5" s="37"/>
      <c r="AAN5" s="37"/>
      <c r="AAO5" s="37"/>
      <c r="AAP5" s="37"/>
      <c r="AAQ5" s="37"/>
      <c r="AAR5" s="37"/>
      <c r="AAS5" s="37"/>
      <c r="AAT5" s="37"/>
      <c r="AAU5" s="37"/>
      <c r="AAV5" s="37"/>
      <c r="AAW5" s="37"/>
      <c r="AAX5" s="37"/>
      <c r="AAY5" s="37"/>
      <c r="AAZ5" s="37"/>
      <c r="ABA5" s="37"/>
      <c r="ABB5" s="37"/>
      <c r="ABC5" s="37"/>
      <c r="ABD5" s="37"/>
      <c r="ABE5" s="37"/>
      <c r="ABF5" s="37"/>
      <c r="ABG5" s="37"/>
      <c r="ABH5" s="37"/>
      <c r="ABI5" s="37"/>
      <c r="ABJ5" s="37"/>
      <c r="ABK5" s="37"/>
      <c r="ABL5" s="37"/>
      <c r="ABM5" s="37"/>
      <c r="ABN5" s="37"/>
      <c r="ABO5" s="37"/>
      <c r="ABP5" s="37"/>
      <c r="ABQ5" s="37"/>
      <c r="ABR5" s="37"/>
      <c r="ABS5" s="37"/>
      <c r="ABT5" s="37"/>
      <c r="ABU5" s="37"/>
      <c r="ABV5" s="37"/>
      <c r="ABW5" s="37"/>
      <c r="ABX5" s="37"/>
      <c r="ABY5" s="37"/>
      <c r="ABZ5" s="37"/>
      <c r="ACA5" s="37"/>
      <c r="ACB5" s="37"/>
      <c r="ACC5" s="37"/>
      <c r="ACD5" s="37"/>
      <c r="ACE5" s="37"/>
      <c r="ACF5" s="37"/>
      <c r="ACG5" s="37"/>
      <c r="ACH5" s="37"/>
      <c r="ACI5" s="37"/>
      <c r="ACJ5" s="37"/>
      <c r="ACK5" s="37"/>
      <c r="ACL5" s="37"/>
      <c r="ACM5" s="37"/>
      <c r="ACN5" s="37"/>
      <c r="ACO5" s="37"/>
      <c r="ACP5" s="37"/>
      <c r="ACQ5" s="37"/>
      <c r="ACR5" s="37"/>
      <c r="ACS5" s="37"/>
      <c r="ACT5" s="37"/>
      <c r="ACU5" s="37"/>
      <c r="ACV5" s="37"/>
      <c r="ACW5" s="37"/>
      <c r="ACX5" s="37"/>
      <c r="ACY5" s="37"/>
      <c r="ACZ5" s="37"/>
      <c r="ADA5" s="37"/>
      <c r="ADB5" s="37"/>
      <c r="ADC5" s="37"/>
      <c r="ADD5" s="37"/>
      <c r="ADE5" s="37"/>
      <c r="ADF5" s="37"/>
      <c r="ADG5" s="37"/>
      <c r="ADH5" s="37"/>
      <c r="ADI5" s="37"/>
      <c r="ADJ5" s="37"/>
      <c r="ADK5" s="37"/>
      <c r="ADL5" s="37"/>
      <c r="ADM5" s="37"/>
      <c r="ADN5" s="37"/>
      <c r="ADO5" s="37"/>
      <c r="ADP5" s="37"/>
      <c r="ADQ5" s="37"/>
      <c r="ADR5" s="37"/>
      <c r="ADS5" s="37"/>
      <c r="ADT5" s="37"/>
      <c r="ADU5" s="37"/>
      <c r="ADV5" s="37"/>
      <c r="ADW5" s="37"/>
      <c r="ADX5" s="37"/>
      <c r="ADY5" s="37"/>
      <c r="ADZ5" s="37"/>
      <c r="AEA5" s="37"/>
      <c r="AEB5" s="37"/>
      <c r="AEC5" s="37"/>
      <c r="AED5" s="37"/>
      <c r="AEE5" s="37"/>
      <c r="AEF5" s="37"/>
      <c r="AEG5" s="37"/>
      <c r="AEH5" s="37"/>
      <c r="AEI5" s="37"/>
      <c r="AEJ5" s="37"/>
      <c r="AEK5" s="37"/>
      <c r="AEL5" s="37"/>
      <c r="AEM5" s="37"/>
      <c r="AEN5" s="37"/>
      <c r="AEO5" s="37"/>
      <c r="AEP5" s="37"/>
      <c r="AEQ5" s="37"/>
      <c r="AER5" s="37"/>
      <c r="AES5" s="37"/>
      <c r="AET5" s="37"/>
      <c r="AEU5" s="37"/>
      <c r="AEV5" s="37"/>
      <c r="AEW5" s="37"/>
      <c r="AEX5" s="37"/>
      <c r="AEY5" s="37"/>
      <c r="AEZ5" s="37"/>
      <c r="AFA5" s="37"/>
      <c r="AFB5" s="37"/>
      <c r="AFC5" s="37"/>
      <c r="AFD5" s="37"/>
      <c r="AFE5" s="37"/>
      <c r="AFF5" s="37"/>
      <c r="AFG5" s="37"/>
      <c r="AFH5" s="37"/>
      <c r="AFI5" s="37"/>
      <c r="AFJ5" s="37"/>
      <c r="AFK5" s="37"/>
      <c r="AFL5" s="37"/>
      <c r="AFM5" s="37"/>
      <c r="AFN5" s="37"/>
      <c r="AFO5" s="37"/>
      <c r="AFP5" s="37"/>
      <c r="AFQ5" s="37"/>
      <c r="AFR5" s="37"/>
      <c r="AFS5" s="37"/>
      <c r="AFT5" s="37"/>
      <c r="AFU5" s="37"/>
      <c r="AFV5" s="37"/>
      <c r="AFW5" s="37"/>
      <c r="AFX5" s="37"/>
      <c r="AFY5" s="37"/>
      <c r="AFZ5" s="37"/>
      <c r="AGA5" s="37"/>
      <c r="AGB5" s="37"/>
      <c r="AGC5" s="37"/>
      <c r="AGD5" s="37"/>
      <c r="AGE5" s="37"/>
      <c r="AGF5" s="37"/>
      <c r="AGG5" s="37"/>
      <c r="AGH5" s="37"/>
      <c r="AGI5" s="37"/>
      <c r="AGJ5" s="37"/>
      <c r="AGK5" s="37"/>
      <c r="AGL5" s="37"/>
      <c r="AGM5" s="37"/>
      <c r="AGN5" s="37"/>
      <c r="AGO5" s="37"/>
      <c r="AGP5" s="37"/>
      <c r="AGQ5" s="37"/>
      <c r="AGR5" s="37"/>
      <c r="AGS5" s="37"/>
      <c r="AGT5" s="37"/>
      <c r="AGU5" s="37"/>
      <c r="AGV5" s="37"/>
      <c r="AGW5" s="37"/>
      <c r="AGX5" s="37"/>
      <c r="AGY5" s="37"/>
      <c r="AGZ5" s="37"/>
      <c r="AHA5" s="37"/>
      <c r="AHB5" s="37"/>
      <c r="AHC5" s="37"/>
      <c r="AHD5" s="37"/>
      <c r="AHE5" s="37"/>
      <c r="AHF5" s="37"/>
      <c r="AHG5" s="37"/>
      <c r="AHH5" s="37"/>
      <c r="AHI5" s="37"/>
      <c r="AHJ5" s="37"/>
      <c r="AHK5" s="37"/>
      <c r="AHL5" s="37"/>
      <c r="AHM5" s="37"/>
      <c r="AHN5" s="37"/>
      <c r="AHO5" s="37"/>
      <c r="AHP5" s="37"/>
      <c r="AHQ5" s="37"/>
      <c r="AHR5" s="37"/>
      <c r="AHS5" s="37"/>
      <c r="AHT5" s="37"/>
      <c r="AHU5" s="37"/>
      <c r="AHV5" s="37"/>
      <c r="AHW5" s="37"/>
      <c r="AHX5" s="37"/>
      <c r="AHY5" s="37"/>
      <c r="AHZ5" s="37"/>
      <c r="AIA5" s="37"/>
      <c r="AIB5" s="37"/>
      <c r="AIC5" s="37"/>
      <c r="AID5" s="37"/>
      <c r="AIE5" s="37"/>
      <c r="AIF5" s="37"/>
      <c r="AIG5" s="37"/>
      <c r="AIH5" s="37"/>
      <c r="AII5" s="37"/>
      <c r="AIJ5" s="37"/>
      <c r="AIK5" s="37"/>
      <c r="AIL5" s="37"/>
      <c r="AIM5" s="37"/>
      <c r="AIN5" s="37"/>
      <c r="AIO5" s="37"/>
      <c r="AIP5" s="37"/>
      <c r="AIQ5" s="37"/>
      <c r="AIR5" s="37"/>
      <c r="AIS5" s="37"/>
      <c r="AIT5" s="37"/>
      <c r="AIU5" s="37"/>
      <c r="AIV5" s="37"/>
      <c r="AIW5" s="37"/>
      <c r="AIX5" s="37"/>
      <c r="AIY5" s="37"/>
      <c r="AIZ5" s="37"/>
      <c r="AJA5" s="37"/>
      <c r="AJB5" s="37"/>
      <c r="AJC5" s="37"/>
      <c r="AJD5" s="37"/>
      <c r="AJE5" s="37"/>
      <c r="AJF5" s="37"/>
      <c r="AJG5" s="37"/>
      <c r="AJH5" s="37"/>
      <c r="AJI5" s="37"/>
      <c r="AJJ5" s="37"/>
      <c r="AJK5" s="37"/>
      <c r="AJL5" s="37"/>
      <c r="AJM5" s="37"/>
      <c r="AJN5" s="37"/>
      <c r="AJO5" s="37"/>
      <c r="AJP5" s="37"/>
      <c r="AJQ5" s="37"/>
      <c r="AJR5" s="37"/>
      <c r="AJS5" s="37"/>
      <c r="AJT5" s="37"/>
      <c r="AJU5" s="37"/>
      <c r="AJV5" s="37"/>
      <c r="AJW5" s="37"/>
      <c r="AJX5" s="37"/>
      <c r="AJY5" s="37"/>
      <c r="AJZ5" s="37"/>
      <c r="AKA5" s="37"/>
      <c r="AKB5" s="37"/>
      <c r="AKC5" s="37"/>
      <c r="AKD5" s="37"/>
      <c r="AKE5" s="37"/>
      <c r="AKF5" s="37"/>
      <c r="AKG5" s="37"/>
      <c r="AKH5" s="37"/>
      <c r="AKI5" s="37"/>
      <c r="AKJ5" s="37"/>
      <c r="AKK5" s="37"/>
      <c r="AKL5" s="37"/>
      <c r="AKM5" s="37"/>
      <c r="AKN5" s="37"/>
      <c r="AKO5" s="37"/>
      <c r="AKP5" s="37"/>
      <c r="AKQ5" s="37"/>
      <c r="AKR5" s="37"/>
      <c r="AKS5" s="37"/>
      <c r="AKT5" s="37"/>
      <c r="AKU5" s="37"/>
      <c r="AKV5" s="37"/>
      <c r="AKW5" s="37"/>
      <c r="AKX5" s="37"/>
      <c r="AKY5" s="37"/>
      <c r="AKZ5" s="37"/>
      <c r="ALA5" s="37"/>
      <c r="ALB5" s="37"/>
      <c r="ALC5" s="37"/>
      <c r="ALD5" s="37"/>
      <c r="ALE5" s="37"/>
      <c r="ALF5" s="37"/>
      <c r="ALG5" s="37"/>
      <c r="ALH5" s="37"/>
      <c r="ALI5" s="37"/>
      <c r="ALJ5" s="37"/>
      <c r="ALK5" s="37"/>
      <c r="ALL5" s="37"/>
      <c r="ALM5" s="37"/>
      <c r="ALN5" s="37"/>
      <c r="ALO5" s="37"/>
      <c r="ALP5" s="37"/>
      <c r="ALQ5" s="37"/>
      <c r="ALR5" s="37"/>
      <c r="ALS5" s="37"/>
      <c r="ALT5" s="37"/>
      <c r="ALU5" s="37"/>
      <c r="ALV5" s="37"/>
      <c r="ALW5" s="37"/>
      <c r="ALX5" s="37"/>
      <c r="ALY5" s="37"/>
      <c r="ALZ5" s="37"/>
      <c r="AMA5" s="37"/>
      <c r="AMB5" s="37"/>
      <c r="AMC5" s="37"/>
      <c r="AMD5" s="37"/>
      <c r="AME5" s="37"/>
      <c r="AMF5" s="37"/>
      <c r="AMG5" s="37"/>
      <c r="AMH5" s="37"/>
      <c r="AMI5" s="37"/>
      <c r="AMJ5" s="37"/>
      <c r="AMK5" s="37"/>
      <c r="AML5" s="37"/>
      <c r="AMM5" s="37"/>
      <c r="AMN5" s="37"/>
      <c r="AMO5" s="37"/>
      <c r="AMP5" s="37"/>
      <c r="AMQ5" s="37"/>
      <c r="AMR5" s="37"/>
      <c r="AMS5" s="37"/>
      <c r="AMT5" s="37"/>
      <c r="AMU5" s="37"/>
      <c r="AMV5" s="37"/>
      <c r="AMW5" s="37"/>
      <c r="AMX5" s="37"/>
      <c r="AMY5" s="37"/>
      <c r="AMZ5" s="37"/>
      <c r="ANA5" s="37"/>
      <c r="ANB5" s="37"/>
      <c r="ANC5" s="37"/>
      <c r="AND5" s="37"/>
      <c r="ANE5" s="37"/>
      <c r="ANF5" s="37"/>
      <c r="ANG5" s="37"/>
      <c r="ANH5" s="37"/>
      <c r="ANI5" s="37"/>
      <c r="ANJ5" s="37"/>
      <c r="ANK5" s="37"/>
      <c r="ANL5" s="37"/>
      <c r="ANM5" s="37"/>
      <c r="ANN5" s="37"/>
      <c r="ANO5" s="37"/>
      <c r="ANP5" s="37"/>
      <c r="ANQ5" s="37"/>
      <c r="ANR5" s="37"/>
      <c r="ANS5" s="37"/>
      <c r="ANT5" s="37"/>
      <c r="ANU5" s="37"/>
      <c r="ANV5" s="37"/>
      <c r="ANW5" s="37"/>
      <c r="ANX5" s="37"/>
      <c r="ANY5" s="37"/>
      <c r="ANZ5" s="37"/>
      <c r="AOA5" s="37"/>
      <c r="AOB5" s="37"/>
      <c r="AOC5" s="37"/>
      <c r="AOD5" s="37"/>
      <c r="AOE5" s="37"/>
      <c r="AOF5" s="37"/>
      <c r="AOG5" s="37"/>
      <c r="AOH5" s="37"/>
      <c r="AOI5" s="37"/>
      <c r="AOJ5" s="37"/>
      <c r="AOK5" s="37"/>
      <c r="AOL5" s="37"/>
      <c r="AOM5" s="37"/>
      <c r="AON5" s="37"/>
      <c r="AOO5" s="37"/>
      <c r="AOP5" s="37"/>
      <c r="AOQ5" s="37"/>
      <c r="AOR5" s="37"/>
      <c r="AOS5" s="37"/>
      <c r="AOT5" s="37"/>
      <c r="AOU5" s="37"/>
      <c r="AOV5" s="37"/>
      <c r="AOW5" s="37"/>
      <c r="AOX5" s="37"/>
      <c r="AOY5" s="37"/>
      <c r="AOZ5" s="37"/>
      <c r="APA5" s="37"/>
      <c r="APB5" s="37"/>
      <c r="APC5" s="37"/>
      <c r="APD5" s="37"/>
      <c r="APE5" s="37"/>
      <c r="APF5" s="37"/>
      <c r="APG5" s="37"/>
      <c r="APH5" s="37"/>
      <c r="API5" s="37"/>
      <c r="APJ5" s="37"/>
      <c r="APK5" s="37"/>
      <c r="APL5" s="37"/>
      <c r="APM5" s="37"/>
      <c r="APN5" s="37"/>
      <c r="APO5" s="37"/>
      <c r="APP5" s="37"/>
      <c r="APQ5" s="37"/>
      <c r="APR5" s="37"/>
      <c r="APS5" s="37"/>
      <c r="APT5" s="37"/>
      <c r="APU5" s="37"/>
      <c r="APV5" s="37"/>
      <c r="APW5" s="37"/>
      <c r="APX5" s="37"/>
      <c r="APY5" s="37"/>
      <c r="APZ5" s="37"/>
      <c r="AQA5" s="37"/>
      <c r="AQB5" s="37"/>
      <c r="AQC5" s="37"/>
      <c r="AQD5" s="37"/>
      <c r="AQE5" s="37"/>
      <c r="AQF5" s="37"/>
      <c r="AQG5" s="37"/>
      <c r="AQH5" s="37"/>
      <c r="AQI5" s="37"/>
      <c r="AQJ5" s="37"/>
      <c r="AQK5" s="37"/>
      <c r="AQL5" s="37"/>
      <c r="AQM5" s="37"/>
      <c r="AQN5" s="37"/>
      <c r="AQO5" s="37"/>
      <c r="AQP5" s="37"/>
      <c r="AQQ5" s="37"/>
      <c r="AQR5" s="37"/>
      <c r="AQS5" s="37"/>
      <c r="AQT5" s="37"/>
      <c r="AQU5" s="37"/>
      <c r="AQV5" s="37"/>
      <c r="AQW5" s="37"/>
      <c r="AQX5" s="37"/>
      <c r="AQY5" s="37"/>
      <c r="AQZ5" s="37"/>
      <c r="ARA5" s="37"/>
      <c r="ARB5" s="37"/>
      <c r="ARC5" s="37"/>
      <c r="ARD5" s="37"/>
      <c r="ARE5" s="37"/>
      <c r="ARF5" s="37"/>
      <c r="ARG5" s="37"/>
      <c r="ARH5" s="37"/>
      <c r="ARI5" s="37"/>
      <c r="ARJ5" s="37"/>
      <c r="ARK5" s="37"/>
      <c r="ARL5" s="37"/>
      <c r="ARM5" s="37"/>
      <c r="ARN5" s="37"/>
      <c r="ARO5" s="37"/>
      <c r="ARP5" s="37"/>
      <c r="ARQ5" s="37"/>
      <c r="ARR5" s="37"/>
      <c r="ARS5" s="37"/>
      <c r="ART5" s="37"/>
      <c r="ARU5" s="37"/>
      <c r="ARV5" s="37"/>
      <c r="ARW5" s="37"/>
      <c r="ARX5" s="37"/>
      <c r="ARY5" s="37"/>
      <c r="ARZ5" s="37"/>
      <c r="ASA5" s="37"/>
      <c r="ASB5" s="37"/>
      <c r="ASC5" s="37"/>
      <c r="ASD5" s="37"/>
      <c r="ASE5" s="37"/>
      <c r="ASF5" s="37"/>
      <c r="ASG5" s="37"/>
      <c r="ASH5" s="37"/>
      <c r="ASI5" s="37"/>
      <c r="ASJ5" s="37"/>
      <c r="ASK5" s="37"/>
      <c r="ASL5" s="37"/>
      <c r="ASM5" s="37"/>
      <c r="ASN5" s="37"/>
      <c r="ASO5" s="37"/>
      <c r="ASP5" s="37"/>
      <c r="ASQ5" s="37"/>
      <c r="ASR5" s="37"/>
      <c r="ASS5" s="37"/>
      <c r="AST5" s="37"/>
      <c r="ASU5" s="37"/>
      <c r="ASV5" s="37"/>
      <c r="ASW5" s="37"/>
      <c r="ASX5" s="37"/>
      <c r="ASY5" s="37"/>
      <c r="ASZ5" s="37"/>
      <c r="ATA5" s="37"/>
      <c r="ATB5" s="37"/>
      <c r="ATC5" s="37"/>
      <c r="ATD5" s="37"/>
      <c r="ATE5" s="37"/>
      <c r="ATF5" s="37"/>
      <c r="ATG5" s="37"/>
      <c r="ATH5" s="37"/>
      <c r="ATI5" s="37"/>
      <c r="ATJ5" s="37"/>
      <c r="ATK5" s="37"/>
      <c r="ATL5" s="37"/>
      <c r="ATM5" s="37"/>
      <c r="ATN5" s="37"/>
      <c r="ATO5" s="37"/>
      <c r="ATP5" s="37"/>
      <c r="ATQ5" s="37"/>
      <c r="ATR5" s="37"/>
      <c r="ATS5" s="37"/>
      <c r="ATT5" s="37"/>
      <c r="ATU5" s="37"/>
      <c r="ATV5" s="37"/>
      <c r="ATW5" s="37"/>
      <c r="ATX5" s="37"/>
      <c r="ATY5" s="37"/>
      <c r="ATZ5" s="37"/>
      <c r="AUA5" s="37"/>
      <c r="AUB5" s="37"/>
      <c r="AUC5" s="37"/>
      <c r="AUD5" s="37"/>
      <c r="AUE5" s="37"/>
      <c r="AUF5" s="37"/>
      <c r="AUG5" s="37"/>
      <c r="AUH5" s="37"/>
      <c r="AUI5" s="37"/>
      <c r="AUJ5" s="37"/>
      <c r="AUK5" s="37"/>
      <c r="AUL5" s="37"/>
      <c r="AUM5" s="37"/>
      <c r="AUN5" s="37"/>
      <c r="AUO5" s="37"/>
      <c r="AUP5" s="37"/>
      <c r="AUQ5" s="37"/>
      <c r="AUR5" s="37"/>
      <c r="AUS5" s="37"/>
      <c r="AUT5" s="37"/>
      <c r="AUU5" s="37"/>
      <c r="AUV5" s="37"/>
      <c r="AUW5" s="37"/>
      <c r="AUX5" s="37"/>
      <c r="AUY5" s="37"/>
      <c r="AUZ5" s="37"/>
      <c r="AVA5" s="37"/>
      <c r="AVB5" s="37"/>
      <c r="AVC5" s="37"/>
      <c r="AVD5" s="37"/>
      <c r="AVE5" s="37"/>
      <c r="AVF5" s="37"/>
      <c r="AVG5" s="37"/>
      <c r="AVH5" s="37"/>
      <c r="AVI5" s="37"/>
      <c r="AVJ5" s="37"/>
      <c r="AVK5" s="37"/>
      <c r="AVL5" s="37"/>
      <c r="AVM5" s="37"/>
      <c r="AVN5" s="37"/>
      <c r="AVO5" s="37"/>
      <c r="AVP5" s="37"/>
      <c r="AVQ5" s="37"/>
      <c r="AVR5" s="37"/>
      <c r="AVS5" s="37"/>
      <c r="AVT5" s="37"/>
      <c r="AVU5" s="37"/>
      <c r="AVV5" s="37"/>
      <c r="AVW5" s="37"/>
      <c r="AVX5" s="37"/>
      <c r="AVY5" s="37"/>
      <c r="AVZ5" s="37"/>
      <c r="AWA5" s="37"/>
      <c r="AWB5" s="37"/>
      <c r="AWC5" s="37"/>
      <c r="AWD5" s="37"/>
      <c r="AWE5" s="37"/>
      <c r="AWF5" s="37"/>
      <c r="AWG5" s="37"/>
      <c r="AWH5" s="37"/>
      <c r="AWI5" s="37"/>
      <c r="AWJ5" s="37"/>
      <c r="AWK5" s="37"/>
      <c r="AWL5" s="37"/>
      <c r="AWM5" s="37"/>
      <c r="AWN5" s="37"/>
      <c r="AWO5" s="37"/>
      <c r="AWP5" s="37"/>
      <c r="AWQ5" s="37"/>
      <c r="AWR5" s="37"/>
      <c r="AWS5" s="37"/>
      <c r="AWT5" s="37"/>
      <c r="AWU5" s="37"/>
      <c r="AWV5" s="37"/>
      <c r="AWW5" s="37"/>
      <c r="AWX5" s="37"/>
      <c r="AWY5" s="37"/>
      <c r="AWZ5" s="37"/>
      <c r="AXA5" s="37"/>
      <c r="AXB5" s="37"/>
      <c r="AXC5" s="37"/>
      <c r="AXD5" s="37"/>
      <c r="AXE5" s="37"/>
      <c r="AXF5" s="37"/>
      <c r="AXG5" s="37"/>
      <c r="AXH5" s="37"/>
      <c r="AXI5" s="37"/>
      <c r="AXJ5" s="37"/>
      <c r="AXK5" s="37"/>
      <c r="AXL5" s="37"/>
      <c r="AXM5" s="37"/>
      <c r="AXN5" s="37"/>
      <c r="AXO5" s="37"/>
      <c r="AXP5" s="37"/>
      <c r="AXQ5" s="37"/>
      <c r="AXR5" s="37"/>
      <c r="AXS5" s="37"/>
      <c r="AXT5" s="37"/>
      <c r="AXU5" s="37"/>
      <c r="AXV5" s="37"/>
      <c r="AXW5" s="37"/>
      <c r="AXX5" s="37"/>
      <c r="AXY5" s="37"/>
      <c r="AXZ5" s="37"/>
      <c r="AYA5" s="37"/>
      <c r="AYB5" s="37"/>
      <c r="AYC5" s="37"/>
      <c r="AYD5" s="37"/>
      <c r="AYE5" s="37"/>
      <c r="AYF5" s="37"/>
      <c r="AYG5" s="37"/>
      <c r="AYH5" s="37"/>
      <c r="AYI5" s="37"/>
      <c r="AYJ5" s="37"/>
      <c r="AYK5" s="37"/>
      <c r="AYL5" s="37"/>
      <c r="AYM5" s="37"/>
      <c r="AYN5" s="37"/>
      <c r="AYO5" s="37"/>
      <c r="AYP5" s="37"/>
      <c r="AYQ5" s="37"/>
      <c r="AYR5" s="37"/>
      <c r="AYS5" s="37"/>
      <c r="AYT5" s="37"/>
      <c r="AYU5" s="37"/>
      <c r="AYV5" s="37"/>
      <c r="AYW5" s="37"/>
      <c r="AYX5" s="37"/>
      <c r="AYY5" s="37"/>
      <c r="AYZ5" s="37"/>
      <c r="AZA5" s="37"/>
      <c r="AZB5" s="37"/>
      <c r="AZC5" s="37"/>
      <c r="AZD5" s="37"/>
      <c r="AZE5" s="37"/>
      <c r="AZF5" s="37"/>
      <c r="AZG5" s="37"/>
      <c r="AZH5" s="37"/>
      <c r="AZI5" s="37"/>
      <c r="AZJ5" s="37"/>
      <c r="AZK5" s="37"/>
      <c r="AZL5" s="37"/>
      <c r="AZM5" s="37"/>
      <c r="AZN5" s="37"/>
      <c r="AZO5" s="37"/>
      <c r="AZP5" s="37"/>
      <c r="AZQ5" s="37"/>
      <c r="AZR5" s="37"/>
      <c r="AZS5" s="37"/>
      <c r="AZT5" s="37"/>
      <c r="AZU5" s="37"/>
      <c r="AZV5" s="37"/>
      <c r="AZW5" s="37"/>
      <c r="AZX5" s="37"/>
      <c r="AZY5" s="37"/>
      <c r="AZZ5" s="37"/>
      <c r="BAA5" s="37"/>
      <c r="BAB5" s="37"/>
      <c r="BAC5" s="37"/>
      <c r="BAD5" s="37"/>
      <c r="BAE5" s="37"/>
      <c r="BAF5" s="37"/>
      <c r="BAG5" s="37"/>
      <c r="BAH5" s="37"/>
      <c r="BAI5" s="37"/>
      <c r="BAJ5" s="37"/>
      <c r="BAK5" s="37"/>
      <c r="BAL5" s="37"/>
      <c r="BAM5" s="37"/>
      <c r="BAN5" s="37"/>
      <c r="BAO5" s="37"/>
      <c r="BAP5" s="37"/>
      <c r="BAQ5" s="37"/>
      <c r="BAR5" s="37"/>
      <c r="BAS5" s="37"/>
      <c r="BAT5" s="37"/>
      <c r="BAU5" s="37"/>
      <c r="BAV5" s="37"/>
      <c r="BAW5" s="37"/>
      <c r="BAX5" s="37"/>
      <c r="BAY5" s="37"/>
      <c r="BAZ5" s="37"/>
      <c r="BBA5" s="37"/>
      <c r="BBB5" s="37"/>
      <c r="BBC5" s="37"/>
      <c r="BBD5" s="37"/>
      <c r="BBE5" s="37"/>
      <c r="BBF5" s="37"/>
      <c r="BBG5" s="37"/>
      <c r="BBH5" s="37"/>
      <c r="BBI5" s="37"/>
      <c r="BBJ5" s="37"/>
      <c r="BBK5" s="37"/>
      <c r="BBL5" s="37"/>
      <c r="BBM5" s="37"/>
      <c r="BBN5" s="37"/>
      <c r="BBO5" s="37"/>
      <c r="BBP5" s="37"/>
      <c r="BBQ5" s="37"/>
      <c r="BBR5" s="37"/>
      <c r="BBS5" s="37"/>
      <c r="BBT5" s="37"/>
      <c r="BBU5" s="37"/>
      <c r="BBV5" s="37"/>
      <c r="BBW5" s="37"/>
      <c r="BBX5" s="37"/>
      <c r="BBY5" s="37"/>
      <c r="BBZ5" s="37"/>
      <c r="BCA5" s="37"/>
      <c r="BCB5" s="37"/>
      <c r="BCC5" s="37"/>
      <c r="BCD5" s="37"/>
      <c r="BCE5" s="37"/>
      <c r="BCF5" s="37"/>
      <c r="BCG5" s="37"/>
      <c r="BCH5" s="37"/>
      <c r="BCI5" s="37"/>
      <c r="BCJ5" s="37"/>
      <c r="BCK5" s="37"/>
      <c r="BCL5" s="37"/>
      <c r="BCM5" s="37"/>
      <c r="BCN5" s="37"/>
      <c r="BCO5" s="37"/>
      <c r="BCP5" s="37"/>
      <c r="BCQ5" s="37"/>
      <c r="BCR5" s="37"/>
      <c r="BCS5" s="37"/>
      <c r="BCT5" s="37"/>
      <c r="BCU5" s="37"/>
      <c r="BCV5" s="37"/>
      <c r="BCW5" s="37"/>
      <c r="BCX5" s="37"/>
      <c r="BCY5" s="37"/>
      <c r="BCZ5" s="37"/>
      <c r="BDA5" s="37"/>
      <c r="BDB5" s="37"/>
      <c r="BDC5" s="37"/>
      <c r="BDD5" s="37"/>
      <c r="BDE5" s="37"/>
      <c r="BDF5" s="37"/>
      <c r="BDG5" s="37"/>
      <c r="BDH5" s="37"/>
      <c r="BDI5" s="37"/>
      <c r="BDJ5" s="37"/>
      <c r="BDK5" s="37"/>
      <c r="BDL5" s="37"/>
      <c r="BDM5" s="37"/>
      <c r="BDN5" s="37"/>
      <c r="BDO5" s="37"/>
      <c r="BDP5" s="37"/>
      <c r="BDQ5" s="37"/>
      <c r="BDR5" s="37"/>
      <c r="BDS5" s="37"/>
      <c r="BDT5" s="37"/>
      <c r="BDU5" s="37"/>
      <c r="BDV5" s="37"/>
      <c r="BDW5" s="37"/>
      <c r="BDX5" s="37"/>
      <c r="BDY5" s="37"/>
      <c r="BDZ5" s="37"/>
      <c r="BEA5" s="37"/>
      <c r="BEB5" s="37"/>
      <c r="BEC5" s="37"/>
      <c r="BED5" s="37"/>
      <c r="BEE5" s="37"/>
      <c r="BEF5" s="37"/>
      <c r="BEG5" s="37"/>
      <c r="BEH5" s="37"/>
      <c r="BEI5" s="37"/>
      <c r="BEJ5" s="37"/>
      <c r="BEK5" s="37"/>
      <c r="BEL5" s="37"/>
      <c r="BEM5" s="37"/>
      <c r="BEN5" s="37"/>
      <c r="BEO5" s="37"/>
      <c r="BEP5" s="37"/>
      <c r="BEQ5" s="37"/>
      <c r="BER5" s="37"/>
      <c r="BES5" s="37"/>
      <c r="BET5" s="37"/>
      <c r="BEU5" s="37"/>
      <c r="BEV5" s="37"/>
      <c r="BEW5" s="37"/>
      <c r="BEX5" s="37"/>
      <c r="BEY5" s="37"/>
      <c r="BEZ5" s="37"/>
      <c r="BFA5" s="37"/>
      <c r="BFB5" s="37"/>
      <c r="BFC5" s="37"/>
      <c r="BFD5" s="37"/>
      <c r="BFE5" s="37"/>
      <c r="BFF5" s="37"/>
      <c r="BFG5" s="37"/>
      <c r="BFH5" s="37"/>
      <c r="BFI5" s="37"/>
      <c r="BFJ5" s="37"/>
      <c r="BFK5" s="37"/>
      <c r="BFL5" s="37"/>
      <c r="BFM5" s="37"/>
      <c r="BFN5" s="37"/>
      <c r="BFO5" s="37"/>
      <c r="BFP5" s="37"/>
      <c r="BFQ5" s="37"/>
      <c r="BFR5" s="37"/>
      <c r="BFS5" s="37"/>
      <c r="BFT5" s="37"/>
      <c r="BFU5" s="37"/>
      <c r="BFV5" s="37"/>
      <c r="BFW5" s="37"/>
      <c r="BFX5" s="37"/>
      <c r="BFY5" s="37"/>
      <c r="BFZ5" s="37"/>
      <c r="BGA5" s="37"/>
      <c r="BGB5" s="37"/>
      <c r="BGC5" s="37"/>
      <c r="BGD5" s="37"/>
      <c r="BGE5" s="37"/>
      <c r="BGF5" s="37"/>
      <c r="BGG5" s="37"/>
      <c r="BGH5" s="37"/>
      <c r="BGI5" s="37"/>
      <c r="BGJ5" s="37"/>
      <c r="BGK5" s="37"/>
      <c r="BGL5" s="37"/>
      <c r="BGM5" s="37"/>
      <c r="BGN5" s="37"/>
      <c r="BGO5" s="37"/>
      <c r="BGP5" s="37"/>
      <c r="BGQ5" s="37"/>
      <c r="BGR5" s="37"/>
      <c r="BGS5" s="37"/>
      <c r="BGT5" s="37"/>
      <c r="BGU5" s="37"/>
      <c r="BGV5" s="37"/>
      <c r="BGW5" s="37"/>
      <c r="BGX5" s="37"/>
      <c r="BGY5" s="37"/>
      <c r="BGZ5" s="37"/>
      <c r="BHA5" s="37"/>
      <c r="BHB5" s="37"/>
      <c r="BHC5" s="37"/>
      <c r="BHD5" s="37"/>
      <c r="BHE5" s="37"/>
      <c r="BHF5" s="37"/>
      <c r="BHG5" s="37"/>
      <c r="BHH5" s="37"/>
      <c r="BHI5" s="37"/>
      <c r="BHJ5" s="37"/>
      <c r="BHK5" s="37"/>
      <c r="BHL5" s="37"/>
      <c r="BHM5" s="37"/>
      <c r="BHN5" s="37"/>
      <c r="BHO5" s="37"/>
      <c r="BHP5" s="37"/>
      <c r="BHQ5" s="37"/>
      <c r="BHR5" s="37"/>
      <c r="BHS5" s="37"/>
      <c r="BHT5" s="37"/>
      <c r="BHU5" s="37"/>
      <c r="BHV5" s="37"/>
      <c r="BHW5" s="37"/>
      <c r="BHX5" s="37"/>
      <c r="BHY5" s="37"/>
      <c r="BHZ5" s="37"/>
      <c r="BIA5" s="37"/>
      <c r="BIB5" s="37"/>
      <c r="BIC5" s="37"/>
      <c r="BID5" s="37"/>
      <c r="BIE5" s="37"/>
      <c r="BIF5" s="37"/>
      <c r="BIG5" s="37"/>
      <c r="BIH5" s="37"/>
      <c r="BII5" s="37"/>
      <c r="BIJ5" s="37"/>
      <c r="BIK5" s="37"/>
      <c r="BIL5" s="37"/>
      <c r="BIM5" s="37"/>
      <c r="BIN5" s="37"/>
      <c r="BIO5" s="37"/>
      <c r="BIP5" s="37"/>
      <c r="BIQ5" s="37"/>
      <c r="BIR5" s="37"/>
      <c r="BIS5" s="37"/>
      <c r="BIT5" s="37"/>
      <c r="BIU5" s="37"/>
      <c r="BIV5" s="37"/>
      <c r="BIW5" s="37"/>
      <c r="BIX5" s="37"/>
      <c r="BIY5" s="37"/>
      <c r="BIZ5" s="37"/>
      <c r="BJA5" s="37"/>
      <c r="BJB5" s="37"/>
      <c r="BJC5" s="37"/>
      <c r="BJD5" s="37"/>
      <c r="BJE5" s="37"/>
      <c r="BJF5" s="37"/>
      <c r="BJG5" s="37"/>
      <c r="BJH5" s="37"/>
      <c r="BJI5" s="37"/>
      <c r="BJJ5" s="37"/>
      <c r="BJK5" s="37"/>
      <c r="BJL5" s="37"/>
      <c r="BJM5" s="37"/>
      <c r="BJN5" s="37"/>
      <c r="BJO5" s="37"/>
      <c r="BJP5" s="37"/>
      <c r="BJQ5" s="37"/>
      <c r="BJR5" s="37"/>
      <c r="BJS5" s="37"/>
      <c r="BJT5" s="37"/>
      <c r="BJU5" s="37"/>
      <c r="BJV5" s="37"/>
      <c r="BJW5" s="37"/>
      <c r="BJX5" s="37"/>
      <c r="BJY5" s="37"/>
      <c r="BJZ5" s="37"/>
      <c r="BKA5" s="37"/>
      <c r="BKB5" s="37"/>
      <c r="BKC5" s="37"/>
      <c r="BKD5" s="37"/>
      <c r="BKE5" s="37"/>
      <c r="BKF5" s="37"/>
      <c r="BKG5" s="37"/>
      <c r="BKH5" s="37"/>
      <c r="BKI5" s="37"/>
      <c r="BKJ5" s="37"/>
      <c r="BKK5" s="37"/>
      <c r="BKL5" s="37"/>
      <c r="BKM5" s="37"/>
      <c r="BKN5" s="37"/>
      <c r="BKO5" s="37"/>
      <c r="BKP5" s="37"/>
      <c r="BKQ5" s="37"/>
      <c r="BKR5" s="37"/>
      <c r="BKS5" s="37"/>
      <c r="BKT5" s="37"/>
      <c r="BKU5" s="37"/>
      <c r="BKV5" s="37"/>
      <c r="BKW5" s="37"/>
      <c r="BKX5" s="37"/>
      <c r="BKY5" s="37"/>
      <c r="BKZ5" s="37"/>
      <c r="BLA5" s="37"/>
      <c r="BLB5" s="37"/>
      <c r="BLC5" s="37"/>
      <c r="BLD5" s="37"/>
      <c r="BLE5" s="37"/>
      <c r="BLF5" s="37"/>
      <c r="BLG5" s="37"/>
      <c r="BLH5" s="37"/>
      <c r="BLI5" s="37"/>
      <c r="BLJ5" s="37"/>
      <c r="BLK5" s="37"/>
      <c r="BLL5" s="37"/>
      <c r="BLM5" s="37"/>
      <c r="BLN5" s="37"/>
      <c r="BLO5" s="37"/>
      <c r="BLP5" s="37"/>
      <c r="BLQ5" s="37"/>
      <c r="BLR5" s="37"/>
      <c r="BLS5" s="37"/>
      <c r="BLT5" s="37"/>
      <c r="BLU5" s="37"/>
      <c r="BLV5" s="37"/>
      <c r="BLW5" s="37"/>
      <c r="BLX5" s="37"/>
      <c r="BLY5" s="37"/>
      <c r="BLZ5" s="37"/>
      <c r="BMA5" s="37"/>
      <c r="BMB5" s="37"/>
      <c r="BMC5" s="37"/>
      <c r="BMD5" s="37"/>
      <c r="BME5" s="37"/>
      <c r="BMF5" s="37"/>
      <c r="BMG5" s="37"/>
      <c r="BMH5" s="37"/>
      <c r="BMI5" s="37"/>
      <c r="BMJ5" s="37"/>
      <c r="BMK5" s="37"/>
      <c r="BML5" s="37"/>
      <c r="BMM5" s="37"/>
      <c r="BMN5" s="37"/>
      <c r="BMO5" s="37"/>
      <c r="BMP5" s="37"/>
      <c r="BMQ5" s="37"/>
      <c r="BMR5" s="37"/>
      <c r="BMS5" s="37"/>
      <c r="BMT5" s="37"/>
      <c r="BMU5" s="37"/>
      <c r="BMV5" s="37"/>
      <c r="BMW5" s="37"/>
      <c r="BMX5" s="37"/>
      <c r="BMY5" s="37"/>
      <c r="BMZ5" s="37"/>
      <c r="BNA5" s="37"/>
      <c r="BNB5" s="37"/>
      <c r="BNC5" s="37"/>
      <c r="BND5" s="37"/>
      <c r="BNE5" s="37"/>
      <c r="BNF5" s="37"/>
      <c r="BNG5" s="37"/>
      <c r="BNH5" s="37"/>
      <c r="BNI5" s="37"/>
      <c r="BNJ5" s="37"/>
      <c r="BNK5" s="37"/>
      <c r="BNL5" s="37"/>
      <c r="BNM5" s="37"/>
      <c r="BNN5" s="37"/>
      <c r="BNO5" s="37"/>
      <c r="BNP5" s="37"/>
      <c r="BNQ5" s="37"/>
      <c r="BNR5" s="37"/>
      <c r="BNS5" s="37"/>
      <c r="BNT5" s="37"/>
      <c r="BNU5" s="37"/>
      <c r="BNV5" s="37"/>
      <c r="BNW5" s="37"/>
      <c r="BNX5" s="37"/>
      <c r="BNY5" s="37"/>
      <c r="BNZ5" s="37"/>
      <c r="BOA5" s="37"/>
      <c r="BOB5" s="37"/>
      <c r="BOC5" s="37"/>
      <c r="BOD5" s="37"/>
      <c r="BOE5" s="37"/>
      <c r="BOF5" s="37"/>
      <c r="BOG5" s="37"/>
      <c r="BOH5" s="37"/>
      <c r="BOI5" s="37"/>
      <c r="BOJ5" s="37"/>
      <c r="BOK5" s="37"/>
      <c r="BOL5" s="37"/>
      <c r="BOM5" s="37"/>
      <c r="BON5" s="37"/>
      <c r="BOO5" s="37"/>
      <c r="BOP5" s="37"/>
      <c r="BOQ5" s="37"/>
      <c r="BOR5" s="37"/>
      <c r="BOS5" s="37"/>
      <c r="BOT5" s="37"/>
      <c r="BOU5" s="37"/>
      <c r="BOV5" s="37"/>
      <c r="BOW5" s="37"/>
      <c r="BOX5" s="37"/>
      <c r="BOY5" s="37"/>
      <c r="BOZ5" s="37"/>
      <c r="BPA5" s="37"/>
      <c r="BPB5" s="37"/>
      <c r="BPC5" s="37"/>
      <c r="BPD5" s="37"/>
      <c r="BPE5" s="37"/>
      <c r="BPF5" s="37"/>
      <c r="BPG5" s="37"/>
      <c r="BPH5" s="37"/>
      <c r="BPI5" s="37"/>
      <c r="BPJ5" s="37"/>
      <c r="BPK5" s="37"/>
      <c r="BPL5" s="37"/>
      <c r="BPM5" s="37"/>
      <c r="BPN5" s="37"/>
      <c r="BPO5" s="37"/>
      <c r="BPP5" s="37"/>
      <c r="BPQ5" s="37"/>
      <c r="BPR5" s="37"/>
      <c r="BPS5" s="37"/>
      <c r="BPT5" s="37"/>
      <c r="BPU5" s="37"/>
      <c r="BPV5" s="37"/>
      <c r="BPW5" s="37"/>
      <c r="BPX5" s="37"/>
      <c r="BPY5" s="37"/>
      <c r="BPZ5" s="37"/>
      <c r="BQA5" s="37"/>
      <c r="BQB5" s="37"/>
      <c r="BQC5" s="37"/>
      <c r="BQD5" s="37"/>
      <c r="BQE5" s="37"/>
      <c r="BQF5" s="37"/>
      <c r="BQG5" s="37"/>
      <c r="BQH5" s="37"/>
      <c r="BQI5" s="37"/>
      <c r="BQJ5" s="37"/>
      <c r="BQK5" s="37"/>
      <c r="BQL5" s="37"/>
      <c r="BQM5" s="37"/>
      <c r="BQN5" s="37"/>
      <c r="BQO5" s="37"/>
      <c r="BQP5" s="37"/>
      <c r="BQQ5" s="37"/>
      <c r="BQR5" s="37"/>
      <c r="BQS5" s="37"/>
      <c r="BQT5" s="37"/>
      <c r="BQU5" s="37"/>
      <c r="BQV5" s="37"/>
      <c r="BQW5" s="37"/>
      <c r="BQX5" s="37"/>
      <c r="BQY5" s="37"/>
      <c r="BQZ5" s="37"/>
      <c r="BRA5" s="37"/>
      <c r="BRB5" s="37"/>
      <c r="BRC5" s="37"/>
      <c r="BRD5" s="37"/>
      <c r="BRE5" s="37"/>
      <c r="BRF5" s="37"/>
      <c r="BRG5" s="37"/>
      <c r="BRH5" s="37"/>
      <c r="BRI5" s="37"/>
      <c r="BRJ5" s="37"/>
      <c r="BRK5" s="37"/>
      <c r="BRL5" s="37"/>
      <c r="BRM5" s="37"/>
      <c r="BRN5" s="37"/>
      <c r="BRO5" s="37"/>
      <c r="BRP5" s="37"/>
      <c r="BRQ5" s="37"/>
      <c r="BRR5" s="37"/>
      <c r="BRS5" s="37"/>
      <c r="BRT5" s="37"/>
      <c r="BRU5" s="37"/>
      <c r="BRV5" s="37"/>
      <c r="BRW5" s="37"/>
      <c r="BRX5" s="37"/>
      <c r="BRY5" s="37"/>
      <c r="BRZ5" s="37"/>
      <c r="BSA5" s="37"/>
      <c r="BSB5" s="37"/>
      <c r="BSC5" s="37"/>
      <c r="BSD5" s="37"/>
      <c r="BSE5" s="37"/>
      <c r="BSF5" s="37"/>
      <c r="BSG5" s="37"/>
      <c r="BSH5" s="37"/>
      <c r="BSI5" s="37"/>
      <c r="BSJ5" s="37"/>
      <c r="BSK5" s="37"/>
      <c r="BSL5" s="37"/>
      <c r="BSM5" s="37"/>
      <c r="BSN5" s="37"/>
      <c r="BSO5" s="37"/>
      <c r="BSP5" s="37"/>
      <c r="BSQ5" s="37"/>
      <c r="BSR5" s="37"/>
      <c r="BSS5" s="37"/>
      <c r="BST5" s="37"/>
      <c r="BSU5" s="37"/>
      <c r="BSV5" s="37"/>
      <c r="BSW5" s="37"/>
      <c r="BSX5" s="37"/>
      <c r="BSY5" s="37"/>
      <c r="BSZ5" s="37"/>
      <c r="BTA5" s="37"/>
      <c r="BTB5" s="37"/>
      <c r="BTC5" s="37"/>
      <c r="BTD5" s="37"/>
      <c r="BTE5" s="37"/>
      <c r="BTF5" s="37"/>
      <c r="BTG5" s="37"/>
      <c r="BTH5" s="37"/>
      <c r="BTI5" s="37"/>
      <c r="BTJ5" s="37"/>
      <c r="BTK5" s="37"/>
      <c r="BTL5" s="37"/>
      <c r="BTM5" s="37"/>
      <c r="BTN5" s="37"/>
      <c r="BTO5" s="37"/>
      <c r="BTP5" s="37"/>
      <c r="BTQ5" s="37"/>
      <c r="BTR5" s="37"/>
      <c r="BTS5" s="37"/>
      <c r="BTT5" s="37"/>
      <c r="BTU5" s="37"/>
      <c r="BTV5" s="37"/>
      <c r="BTW5" s="37"/>
      <c r="BTX5" s="37"/>
      <c r="BTY5" s="37"/>
      <c r="BTZ5" s="37"/>
      <c r="BUA5" s="37"/>
      <c r="BUB5" s="37"/>
      <c r="BUC5" s="37"/>
      <c r="BUD5" s="37"/>
      <c r="BUE5" s="37"/>
      <c r="BUF5" s="37"/>
      <c r="BUG5" s="37"/>
      <c r="BUH5" s="37"/>
      <c r="BUI5" s="37"/>
      <c r="BUJ5" s="37"/>
      <c r="BUK5" s="37"/>
      <c r="BUL5" s="37"/>
      <c r="BUM5" s="37"/>
      <c r="BUN5" s="37"/>
      <c r="BUO5" s="37"/>
      <c r="BUP5" s="37"/>
      <c r="BUQ5" s="37"/>
      <c r="BUR5" s="37"/>
      <c r="BUS5" s="37"/>
      <c r="BUT5" s="37"/>
      <c r="BUU5" s="37"/>
      <c r="BUV5" s="37"/>
      <c r="BUW5" s="37"/>
      <c r="BUX5" s="37"/>
      <c r="BUY5" s="37"/>
      <c r="BUZ5" s="37"/>
      <c r="BVA5" s="37"/>
      <c r="BVB5" s="37"/>
      <c r="BVC5" s="37"/>
      <c r="BVD5" s="37"/>
      <c r="BVE5" s="37"/>
      <c r="BVF5" s="37"/>
      <c r="BVG5" s="37"/>
      <c r="BVH5" s="37"/>
      <c r="BVI5" s="37"/>
      <c r="BVJ5" s="37"/>
      <c r="BVK5" s="37"/>
      <c r="BVL5" s="37"/>
      <c r="BVM5" s="37"/>
      <c r="BVN5" s="37"/>
      <c r="BVO5" s="37"/>
      <c r="BVP5" s="37"/>
      <c r="BVQ5" s="37"/>
      <c r="BVR5" s="37"/>
      <c r="BVS5" s="37"/>
      <c r="BVT5" s="37"/>
      <c r="BVU5" s="37"/>
      <c r="BVV5" s="37"/>
      <c r="BVW5" s="37"/>
      <c r="BVX5" s="37"/>
      <c r="BVY5" s="37"/>
      <c r="BVZ5" s="37"/>
      <c r="BWA5" s="37"/>
      <c r="BWB5" s="37"/>
      <c r="BWC5" s="37"/>
      <c r="BWD5" s="37"/>
      <c r="BWE5" s="37"/>
      <c r="BWF5" s="37"/>
      <c r="BWG5" s="37"/>
      <c r="BWH5" s="37"/>
      <c r="BWI5" s="37"/>
      <c r="BWJ5" s="37"/>
      <c r="BWK5" s="37"/>
      <c r="BWL5" s="37"/>
      <c r="BWM5" s="37"/>
      <c r="BWN5" s="37"/>
      <c r="BWO5" s="37"/>
      <c r="BWP5" s="37"/>
      <c r="BWQ5" s="37"/>
      <c r="BWR5" s="37"/>
      <c r="BWS5" s="37"/>
      <c r="BWT5" s="37"/>
      <c r="BWU5" s="37"/>
      <c r="BWV5" s="37"/>
      <c r="BWW5" s="37"/>
      <c r="BWX5" s="37"/>
      <c r="BWY5" s="37"/>
      <c r="BWZ5" s="37"/>
      <c r="BXA5" s="37"/>
      <c r="BXB5" s="37"/>
      <c r="BXC5" s="37"/>
      <c r="BXD5" s="37"/>
      <c r="BXE5" s="37"/>
      <c r="BXF5" s="37"/>
      <c r="BXG5" s="37"/>
      <c r="BXH5" s="37"/>
      <c r="BXI5" s="37"/>
      <c r="BXJ5" s="37"/>
      <c r="BXK5" s="37"/>
      <c r="BXL5" s="37"/>
      <c r="BXM5" s="37"/>
      <c r="BXN5" s="37"/>
      <c r="BXO5" s="37"/>
      <c r="BXP5" s="37"/>
      <c r="BXQ5" s="37"/>
      <c r="BXR5" s="37"/>
      <c r="BXS5" s="37"/>
      <c r="BXT5" s="37"/>
      <c r="BXU5" s="37"/>
      <c r="BXV5" s="37"/>
      <c r="BXW5" s="37"/>
      <c r="BXX5" s="37"/>
      <c r="BXY5" s="37"/>
      <c r="BXZ5" s="37"/>
      <c r="BYA5" s="37"/>
      <c r="BYB5" s="37"/>
      <c r="BYC5" s="37"/>
      <c r="BYD5" s="37"/>
      <c r="BYE5" s="37"/>
      <c r="BYF5" s="37"/>
      <c r="BYG5" s="37"/>
      <c r="BYH5" s="37"/>
      <c r="BYI5" s="37"/>
      <c r="BYJ5" s="37"/>
      <c r="BYK5" s="37"/>
      <c r="BYL5" s="37"/>
      <c r="BYM5" s="37"/>
      <c r="BYN5" s="37"/>
      <c r="BYO5" s="37"/>
      <c r="BYP5" s="37"/>
      <c r="BYQ5" s="37"/>
      <c r="BYR5" s="37"/>
      <c r="BYS5" s="37"/>
      <c r="BYT5" s="37"/>
      <c r="BYU5" s="37"/>
      <c r="BYV5" s="37"/>
      <c r="BYW5" s="37"/>
      <c r="BYX5" s="37"/>
      <c r="BYY5" s="37"/>
      <c r="BYZ5" s="37"/>
      <c r="BZA5" s="37"/>
      <c r="BZB5" s="37"/>
      <c r="BZC5" s="37"/>
      <c r="BZD5" s="37"/>
      <c r="BZE5" s="37"/>
      <c r="BZF5" s="37"/>
      <c r="BZG5" s="37"/>
      <c r="BZH5" s="37"/>
      <c r="BZI5" s="37"/>
      <c r="BZJ5" s="37"/>
      <c r="BZK5" s="37"/>
      <c r="BZL5" s="37"/>
      <c r="BZM5" s="37"/>
      <c r="BZN5" s="37"/>
      <c r="BZO5" s="37"/>
      <c r="BZP5" s="37"/>
      <c r="BZQ5" s="37"/>
      <c r="BZR5" s="37"/>
      <c r="BZS5" s="37"/>
      <c r="BZT5" s="37"/>
      <c r="BZU5" s="37"/>
      <c r="BZV5" s="37"/>
      <c r="BZW5" s="37"/>
      <c r="BZX5" s="37"/>
      <c r="BZY5" s="37"/>
      <c r="BZZ5" s="37"/>
      <c r="CAA5" s="37"/>
      <c r="CAB5" s="37"/>
      <c r="CAC5" s="37"/>
      <c r="CAD5" s="37"/>
      <c r="CAE5" s="37"/>
      <c r="CAF5" s="37"/>
      <c r="CAG5" s="37"/>
      <c r="CAH5" s="37"/>
      <c r="CAI5" s="37"/>
      <c r="CAJ5" s="37"/>
      <c r="CAK5" s="37"/>
      <c r="CAL5" s="37"/>
      <c r="CAM5" s="37"/>
      <c r="CAN5" s="37"/>
      <c r="CAO5" s="37"/>
      <c r="CAP5" s="37"/>
      <c r="CAQ5" s="37"/>
      <c r="CAR5" s="37"/>
      <c r="CAS5" s="37"/>
      <c r="CAT5" s="37"/>
      <c r="CAU5" s="37"/>
      <c r="CAV5" s="37"/>
      <c r="CAW5" s="37"/>
      <c r="CAX5" s="37"/>
      <c r="CAY5" s="37"/>
      <c r="CAZ5" s="37"/>
      <c r="CBA5" s="37"/>
      <c r="CBB5" s="37"/>
      <c r="CBC5" s="37"/>
      <c r="CBD5" s="37"/>
      <c r="CBE5" s="37"/>
      <c r="CBF5" s="37"/>
      <c r="CBG5" s="37"/>
      <c r="CBH5" s="37"/>
      <c r="CBI5" s="37"/>
      <c r="CBJ5" s="37"/>
      <c r="CBK5" s="37"/>
      <c r="CBL5" s="37"/>
      <c r="CBM5" s="37"/>
      <c r="CBN5" s="37"/>
      <c r="CBO5" s="37"/>
      <c r="CBP5" s="37"/>
      <c r="CBQ5" s="37"/>
      <c r="CBR5" s="37"/>
      <c r="CBS5" s="37"/>
      <c r="CBT5" s="37"/>
      <c r="CBU5" s="37"/>
      <c r="CBV5" s="37"/>
      <c r="CBW5" s="37"/>
      <c r="CBX5" s="37"/>
      <c r="CBY5" s="37"/>
      <c r="CBZ5" s="37"/>
      <c r="CCA5" s="37"/>
      <c r="CCB5" s="37"/>
      <c r="CCC5" s="37"/>
      <c r="CCD5" s="37"/>
      <c r="CCE5" s="37"/>
      <c r="CCF5" s="37"/>
      <c r="CCG5" s="37"/>
      <c r="CCH5" s="37"/>
      <c r="CCI5" s="37"/>
      <c r="CCJ5" s="37"/>
      <c r="CCK5" s="37"/>
      <c r="CCL5" s="37"/>
      <c r="CCM5" s="37"/>
      <c r="CCN5" s="37"/>
      <c r="CCO5" s="37"/>
      <c r="CCP5" s="37"/>
      <c r="CCQ5" s="37"/>
      <c r="CCR5" s="37"/>
      <c r="CCS5" s="37"/>
      <c r="CCT5" s="37"/>
      <c r="CCU5" s="37"/>
      <c r="CCV5" s="37"/>
      <c r="CCW5" s="37"/>
      <c r="CCX5" s="37"/>
      <c r="CCY5" s="37"/>
      <c r="CCZ5" s="37"/>
      <c r="CDA5" s="37"/>
      <c r="CDB5" s="37"/>
      <c r="CDC5" s="37"/>
      <c r="CDD5" s="37"/>
      <c r="CDE5" s="37"/>
      <c r="CDF5" s="37"/>
      <c r="CDG5" s="37"/>
      <c r="CDH5" s="37"/>
      <c r="CDI5" s="37"/>
      <c r="CDJ5" s="37"/>
      <c r="CDK5" s="37"/>
      <c r="CDL5" s="37"/>
      <c r="CDM5" s="37"/>
      <c r="CDN5" s="37"/>
      <c r="CDO5" s="37"/>
      <c r="CDP5" s="37"/>
      <c r="CDQ5" s="37"/>
      <c r="CDR5" s="37"/>
      <c r="CDS5" s="37"/>
      <c r="CDT5" s="37"/>
      <c r="CDU5" s="37"/>
      <c r="CDV5" s="37"/>
      <c r="CDW5" s="37"/>
      <c r="CDX5" s="37"/>
      <c r="CDY5" s="37"/>
      <c r="CDZ5" s="37"/>
      <c r="CEA5" s="37"/>
      <c r="CEB5" s="37"/>
      <c r="CEC5" s="37"/>
      <c r="CED5" s="37"/>
      <c r="CEE5" s="37"/>
      <c r="CEF5" s="37"/>
      <c r="CEG5" s="37"/>
      <c r="CEH5" s="37"/>
      <c r="CEI5" s="37"/>
      <c r="CEJ5" s="37"/>
      <c r="CEK5" s="37"/>
      <c r="CEL5" s="37"/>
      <c r="CEM5" s="37"/>
      <c r="CEN5" s="37"/>
      <c r="CEO5" s="37"/>
      <c r="CEP5" s="37"/>
      <c r="CEQ5" s="37"/>
      <c r="CER5" s="37"/>
      <c r="CES5" s="37"/>
      <c r="CET5" s="37"/>
      <c r="CEU5" s="37"/>
      <c r="CEV5" s="37"/>
      <c r="CEW5" s="37"/>
      <c r="CEX5" s="37"/>
      <c r="CEY5" s="37"/>
      <c r="CEZ5" s="37"/>
      <c r="CFA5" s="37"/>
      <c r="CFB5" s="37"/>
      <c r="CFC5" s="37"/>
      <c r="CFD5" s="37"/>
      <c r="CFE5" s="37"/>
      <c r="CFF5" s="37"/>
      <c r="CFG5" s="37"/>
      <c r="CFH5" s="37"/>
      <c r="CFI5" s="37"/>
      <c r="CFJ5" s="37"/>
      <c r="CFK5" s="37"/>
      <c r="CFL5" s="37"/>
      <c r="CFM5" s="37"/>
      <c r="CFN5" s="37"/>
      <c r="CFO5" s="37"/>
      <c r="CFP5" s="37"/>
      <c r="CFQ5" s="37"/>
      <c r="CFR5" s="37"/>
      <c r="CFS5" s="37"/>
      <c r="CFT5" s="37"/>
      <c r="CFU5" s="37"/>
      <c r="CFV5" s="37"/>
      <c r="CFW5" s="37"/>
      <c r="CFX5" s="37"/>
      <c r="CFY5" s="37"/>
      <c r="CFZ5" s="37"/>
      <c r="CGA5" s="37"/>
      <c r="CGB5" s="37"/>
      <c r="CGC5" s="37"/>
      <c r="CGD5" s="37"/>
      <c r="CGE5" s="37"/>
      <c r="CGF5" s="37"/>
      <c r="CGG5" s="37"/>
      <c r="CGH5" s="37"/>
      <c r="CGI5" s="37"/>
      <c r="CGJ5" s="37"/>
      <c r="CGK5" s="37"/>
      <c r="CGL5" s="37"/>
      <c r="CGM5" s="37"/>
      <c r="CGN5" s="37"/>
      <c r="CGO5" s="37"/>
      <c r="CGP5" s="37"/>
      <c r="CGQ5" s="37"/>
      <c r="CGR5" s="37"/>
      <c r="CGS5" s="37"/>
      <c r="CGT5" s="37"/>
      <c r="CGU5" s="37"/>
      <c r="CGV5" s="37"/>
      <c r="CGW5" s="37"/>
      <c r="CGX5" s="37"/>
      <c r="CGY5" s="37"/>
      <c r="CGZ5" s="37"/>
      <c r="CHA5" s="37"/>
      <c r="CHB5" s="37"/>
      <c r="CHC5" s="37"/>
      <c r="CHD5" s="37"/>
      <c r="CHE5" s="37"/>
      <c r="CHF5" s="37"/>
      <c r="CHG5" s="37"/>
      <c r="CHH5" s="37"/>
      <c r="CHI5" s="37"/>
      <c r="CHJ5" s="37"/>
      <c r="CHK5" s="37"/>
      <c r="CHL5" s="37"/>
      <c r="CHM5" s="37"/>
      <c r="CHN5" s="37"/>
      <c r="CHO5" s="37"/>
      <c r="CHP5" s="37"/>
      <c r="CHQ5" s="37"/>
      <c r="CHR5" s="37"/>
      <c r="CHS5" s="37"/>
      <c r="CHT5" s="37"/>
      <c r="CHU5" s="37"/>
      <c r="CHV5" s="37"/>
      <c r="CHW5" s="37"/>
      <c r="CHX5" s="37"/>
      <c r="CHY5" s="37"/>
      <c r="CHZ5" s="37"/>
      <c r="CIA5" s="37"/>
      <c r="CIB5" s="37"/>
      <c r="CIC5" s="37"/>
      <c r="CID5" s="37"/>
      <c r="CIE5" s="37"/>
      <c r="CIF5" s="37"/>
      <c r="CIG5" s="37"/>
      <c r="CIH5" s="37"/>
      <c r="CII5" s="37"/>
      <c r="CIJ5" s="37"/>
      <c r="CIK5" s="37"/>
      <c r="CIL5" s="37"/>
      <c r="CIM5" s="37"/>
      <c r="CIN5" s="37"/>
      <c r="CIO5" s="37"/>
      <c r="CIP5" s="37"/>
      <c r="CIQ5" s="37"/>
      <c r="CIR5" s="37"/>
      <c r="CIS5" s="37"/>
      <c r="CIT5" s="37"/>
      <c r="CIU5" s="37"/>
      <c r="CIV5" s="37"/>
      <c r="CIW5" s="37"/>
      <c r="CIX5" s="37"/>
      <c r="CIY5" s="37"/>
      <c r="CIZ5" s="37"/>
      <c r="CJA5" s="37"/>
      <c r="CJB5" s="37"/>
      <c r="CJC5" s="37"/>
      <c r="CJD5" s="37"/>
      <c r="CJE5" s="37"/>
      <c r="CJF5" s="37"/>
      <c r="CJG5" s="37"/>
      <c r="CJH5" s="37"/>
      <c r="CJI5" s="37"/>
      <c r="CJJ5" s="37"/>
      <c r="CJK5" s="37"/>
      <c r="CJL5" s="37"/>
      <c r="CJM5" s="37"/>
      <c r="CJN5" s="37"/>
      <c r="CJO5" s="37"/>
      <c r="CJP5" s="37"/>
      <c r="CJQ5" s="37"/>
      <c r="CJR5" s="37"/>
      <c r="CJS5" s="37"/>
      <c r="CJT5" s="37"/>
      <c r="CJU5" s="37"/>
      <c r="CJV5" s="37"/>
      <c r="CJW5" s="37"/>
      <c r="CJX5" s="37"/>
      <c r="CJY5" s="37"/>
      <c r="CJZ5" s="37"/>
      <c r="CKA5" s="37"/>
      <c r="CKB5" s="37"/>
      <c r="CKC5" s="37"/>
      <c r="CKD5" s="37"/>
      <c r="CKE5" s="37"/>
      <c r="CKF5" s="37"/>
      <c r="CKG5" s="37"/>
      <c r="CKH5" s="37"/>
      <c r="CKI5" s="37"/>
      <c r="CKJ5" s="37"/>
      <c r="CKK5" s="37"/>
      <c r="CKL5" s="37"/>
      <c r="CKM5" s="37"/>
      <c r="CKN5" s="37"/>
      <c r="CKO5" s="37"/>
      <c r="CKP5" s="37"/>
      <c r="CKQ5" s="37"/>
      <c r="CKR5" s="37"/>
      <c r="CKS5" s="37"/>
      <c r="CKT5" s="37"/>
      <c r="CKU5" s="37"/>
      <c r="CKV5" s="37"/>
      <c r="CKW5" s="37"/>
      <c r="CKX5" s="37"/>
      <c r="CKY5" s="37"/>
      <c r="CKZ5" s="37"/>
      <c r="CLA5" s="37"/>
      <c r="CLB5" s="37"/>
      <c r="CLC5" s="37"/>
      <c r="CLD5" s="37"/>
      <c r="CLE5" s="37"/>
      <c r="CLF5" s="37"/>
      <c r="CLG5" s="37"/>
      <c r="CLH5" s="37"/>
      <c r="CLI5" s="37"/>
      <c r="CLJ5" s="37"/>
      <c r="CLK5" s="37"/>
      <c r="CLL5" s="37"/>
      <c r="CLM5" s="37"/>
      <c r="CLN5" s="37"/>
      <c r="CLO5" s="37"/>
      <c r="CLP5" s="37"/>
      <c r="CLQ5" s="37"/>
      <c r="CLR5" s="37"/>
      <c r="CLS5" s="37"/>
      <c r="CLT5" s="37"/>
      <c r="CLU5" s="37"/>
      <c r="CLV5" s="37"/>
      <c r="CLW5" s="37"/>
      <c r="CLX5" s="37"/>
      <c r="CLY5" s="37"/>
      <c r="CLZ5" s="37"/>
      <c r="CMA5" s="37"/>
      <c r="CMB5" s="37"/>
      <c r="CMC5" s="37"/>
      <c r="CMD5" s="37"/>
      <c r="CME5" s="37"/>
      <c r="CMF5" s="37"/>
      <c r="CMG5" s="37"/>
      <c r="CMH5" s="37"/>
      <c r="CMI5" s="37"/>
      <c r="CMJ5" s="37"/>
      <c r="CMK5" s="37"/>
      <c r="CML5" s="37"/>
      <c r="CMM5" s="37"/>
      <c r="CMN5" s="37"/>
      <c r="CMO5" s="37"/>
      <c r="CMP5" s="37"/>
      <c r="CMQ5" s="37"/>
      <c r="CMR5" s="37"/>
      <c r="CMS5" s="37"/>
      <c r="CMT5" s="37"/>
      <c r="CMU5" s="37"/>
      <c r="CMV5" s="37"/>
      <c r="CMW5" s="37"/>
      <c r="CMX5" s="37"/>
      <c r="CMY5" s="37"/>
      <c r="CMZ5" s="37"/>
      <c r="CNA5" s="37"/>
      <c r="CNB5" s="37"/>
      <c r="CNC5" s="37"/>
      <c r="CND5" s="37"/>
      <c r="CNE5" s="37"/>
      <c r="CNF5" s="37"/>
      <c r="CNG5" s="37"/>
      <c r="CNH5" s="37"/>
      <c r="CNI5" s="37"/>
      <c r="CNJ5" s="37"/>
      <c r="CNK5" s="37"/>
      <c r="CNL5" s="37"/>
      <c r="CNM5" s="37"/>
      <c r="CNN5" s="37"/>
      <c r="CNO5" s="37"/>
      <c r="CNP5" s="37"/>
      <c r="CNQ5" s="37"/>
      <c r="CNR5" s="37"/>
      <c r="CNS5" s="37"/>
      <c r="CNT5" s="37"/>
      <c r="CNU5" s="37"/>
      <c r="CNV5" s="37"/>
      <c r="CNW5" s="37"/>
      <c r="CNX5" s="37"/>
      <c r="CNY5" s="37"/>
      <c r="CNZ5" s="37"/>
      <c r="COA5" s="37"/>
      <c r="COB5" s="37"/>
      <c r="COC5" s="37"/>
      <c r="COD5" s="37"/>
      <c r="COE5" s="37"/>
      <c r="COF5" s="37"/>
      <c r="COG5" s="37"/>
      <c r="COH5" s="37"/>
      <c r="COI5" s="37"/>
      <c r="COJ5" s="37"/>
      <c r="COK5" s="37"/>
      <c r="COL5" s="37"/>
      <c r="COM5" s="37"/>
      <c r="CON5" s="37"/>
      <c r="COO5" s="37"/>
      <c r="COP5" s="37"/>
      <c r="COQ5" s="37"/>
      <c r="COR5" s="37"/>
      <c r="COS5" s="37"/>
      <c r="COT5" s="37"/>
      <c r="COU5" s="37"/>
      <c r="COV5" s="37"/>
      <c r="COW5" s="37"/>
      <c r="COX5" s="37"/>
      <c r="COY5" s="37"/>
      <c r="COZ5" s="37"/>
      <c r="CPA5" s="37"/>
      <c r="CPB5" s="37"/>
      <c r="CPC5" s="37"/>
      <c r="CPD5" s="37"/>
      <c r="CPE5" s="37"/>
      <c r="CPF5" s="37"/>
      <c r="CPG5" s="37"/>
      <c r="CPH5" s="37"/>
      <c r="CPI5" s="37"/>
      <c r="CPJ5" s="37"/>
      <c r="CPK5" s="37"/>
      <c r="CPL5" s="37"/>
      <c r="CPM5" s="37"/>
      <c r="CPN5" s="37"/>
      <c r="CPO5" s="37"/>
      <c r="CPP5" s="37"/>
      <c r="CPQ5" s="37"/>
      <c r="CPR5" s="37"/>
      <c r="CPS5" s="37"/>
      <c r="CPT5" s="37"/>
      <c r="CPU5" s="37"/>
      <c r="CPV5" s="37"/>
      <c r="CPW5" s="37"/>
      <c r="CPX5" s="37"/>
      <c r="CPY5" s="37"/>
      <c r="CPZ5" s="37"/>
      <c r="CQA5" s="37"/>
      <c r="CQB5" s="37"/>
      <c r="CQC5" s="37"/>
      <c r="CQD5" s="37"/>
      <c r="CQE5" s="37"/>
      <c r="CQF5" s="37"/>
      <c r="CQG5" s="37"/>
      <c r="CQH5" s="37"/>
      <c r="CQI5" s="37"/>
      <c r="CQJ5" s="37"/>
      <c r="CQK5" s="37"/>
      <c r="CQL5" s="37"/>
      <c r="CQM5" s="37"/>
      <c r="CQN5" s="37"/>
      <c r="CQO5" s="37"/>
      <c r="CQP5" s="37"/>
      <c r="CQQ5" s="37"/>
      <c r="CQR5" s="37"/>
      <c r="CQS5" s="37"/>
      <c r="CQT5" s="37"/>
      <c r="CQU5" s="37"/>
      <c r="CQV5" s="37"/>
      <c r="CQW5" s="37"/>
      <c r="CQX5" s="37"/>
      <c r="CQY5" s="37"/>
      <c r="CQZ5" s="37"/>
      <c r="CRA5" s="37"/>
      <c r="CRB5" s="37"/>
      <c r="CRC5" s="37"/>
      <c r="CRD5" s="37"/>
      <c r="CRE5" s="37"/>
      <c r="CRF5" s="37"/>
      <c r="CRG5" s="37"/>
      <c r="CRH5" s="37"/>
      <c r="CRI5" s="37"/>
      <c r="CRJ5" s="37"/>
      <c r="CRK5" s="37"/>
      <c r="CRL5" s="37"/>
      <c r="CRM5" s="37"/>
      <c r="CRN5" s="37"/>
      <c r="CRO5" s="37"/>
      <c r="CRP5" s="37"/>
      <c r="CRQ5" s="37"/>
      <c r="CRR5" s="37"/>
      <c r="CRS5" s="37"/>
      <c r="CRT5" s="37"/>
      <c r="CRU5" s="37"/>
      <c r="CRV5" s="37"/>
      <c r="CRW5" s="37"/>
      <c r="CRX5" s="37"/>
      <c r="CRY5" s="37"/>
      <c r="CRZ5" s="37"/>
      <c r="CSA5" s="37"/>
      <c r="CSB5" s="37"/>
      <c r="CSC5" s="37"/>
      <c r="CSD5" s="37"/>
      <c r="CSE5" s="37"/>
      <c r="CSF5" s="37"/>
      <c r="CSG5" s="37"/>
      <c r="CSH5" s="37"/>
      <c r="CSI5" s="37"/>
      <c r="CSJ5" s="37"/>
      <c r="CSK5" s="37"/>
      <c r="CSL5" s="37"/>
      <c r="CSM5" s="37"/>
      <c r="CSN5" s="37"/>
      <c r="CSO5" s="37"/>
      <c r="CSP5" s="37"/>
      <c r="CSQ5" s="37"/>
      <c r="CSR5" s="37"/>
      <c r="CSS5" s="37"/>
      <c r="CST5" s="37"/>
      <c r="CSU5" s="37"/>
      <c r="CSV5" s="37"/>
      <c r="CSW5" s="37"/>
      <c r="CSX5" s="37"/>
      <c r="CSY5" s="37"/>
      <c r="CSZ5" s="37"/>
      <c r="CTA5" s="37"/>
      <c r="CTB5" s="37"/>
      <c r="CTC5" s="37"/>
      <c r="CTD5" s="37"/>
      <c r="CTE5" s="37"/>
      <c r="CTF5" s="37"/>
      <c r="CTG5" s="37"/>
      <c r="CTH5" s="37"/>
      <c r="CTI5" s="37"/>
      <c r="CTJ5" s="37"/>
      <c r="CTK5" s="37"/>
      <c r="CTL5" s="37"/>
      <c r="CTM5" s="37"/>
      <c r="CTN5" s="37"/>
      <c r="CTO5" s="37"/>
      <c r="CTP5" s="37"/>
      <c r="CTQ5" s="37"/>
      <c r="CTR5" s="37"/>
      <c r="CTS5" s="37"/>
      <c r="CTT5" s="37"/>
      <c r="CTU5" s="37"/>
      <c r="CTV5" s="37"/>
      <c r="CTW5" s="37"/>
      <c r="CTX5" s="37"/>
      <c r="CTY5" s="37"/>
      <c r="CTZ5" s="37"/>
      <c r="CUA5" s="37"/>
      <c r="CUB5" s="37"/>
      <c r="CUC5" s="37"/>
      <c r="CUD5" s="37"/>
      <c r="CUE5" s="37"/>
      <c r="CUF5" s="37"/>
      <c r="CUG5" s="37"/>
      <c r="CUH5" s="37"/>
      <c r="CUI5" s="37"/>
      <c r="CUJ5" s="37"/>
      <c r="CUK5" s="37"/>
      <c r="CUL5" s="37"/>
      <c r="CUM5" s="37"/>
      <c r="CUN5" s="37"/>
      <c r="CUO5" s="37"/>
      <c r="CUP5" s="37"/>
      <c r="CUQ5" s="37"/>
      <c r="CUR5" s="37"/>
      <c r="CUS5" s="37"/>
      <c r="CUT5" s="37"/>
      <c r="CUU5" s="37"/>
      <c r="CUV5" s="37"/>
      <c r="CUW5" s="37"/>
      <c r="CUX5" s="37"/>
      <c r="CUY5" s="37"/>
      <c r="CUZ5" s="37"/>
      <c r="CVA5" s="37"/>
      <c r="CVB5" s="37"/>
      <c r="CVC5" s="37"/>
      <c r="CVD5" s="37"/>
      <c r="CVE5" s="37"/>
      <c r="CVF5" s="37"/>
      <c r="CVG5" s="37"/>
      <c r="CVH5" s="37"/>
      <c r="CVI5" s="37"/>
      <c r="CVJ5" s="37"/>
      <c r="CVK5" s="37"/>
      <c r="CVL5" s="37"/>
      <c r="CVM5" s="37"/>
      <c r="CVN5" s="37"/>
      <c r="CVO5" s="37"/>
      <c r="CVP5" s="37"/>
      <c r="CVQ5" s="37"/>
      <c r="CVR5" s="37"/>
      <c r="CVS5" s="37"/>
      <c r="CVT5" s="37"/>
      <c r="CVU5" s="37"/>
      <c r="CVV5" s="37"/>
      <c r="CVW5" s="37"/>
      <c r="CVX5" s="37"/>
      <c r="CVY5" s="37"/>
      <c r="CVZ5" s="37"/>
      <c r="CWA5" s="37"/>
      <c r="CWB5" s="37"/>
      <c r="CWC5" s="37"/>
      <c r="CWD5" s="37"/>
      <c r="CWE5" s="37"/>
      <c r="CWF5" s="37"/>
      <c r="CWG5" s="37"/>
      <c r="CWH5" s="37"/>
      <c r="CWI5" s="37"/>
      <c r="CWJ5" s="37"/>
      <c r="CWK5" s="37"/>
      <c r="CWL5" s="37"/>
      <c r="CWM5" s="37"/>
      <c r="CWN5" s="37"/>
      <c r="CWO5" s="37"/>
      <c r="CWP5" s="37"/>
      <c r="CWQ5" s="37"/>
      <c r="CWR5" s="37"/>
      <c r="CWS5" s="37"/>
      <c r="CWT5" s="37"/>
      <c r="CWU5" s="37"/>
      <c r="CWV5" s="37"/>
      <c r="CWW5" s="37"/>
      <c r="CWX5" s="37"/>
      <c r="CWY5" s="37"/>
      <c r="CWZ5" s="37"/>
      <c r="CXA5" s="37"/>
      <c r="CXB5" s="37"/>
      <c r="CXC5" s="37"/>
      <c r="CXD5" s="37"/>
      <c r="CXE5" s="37"/>
      <c r="CXF5" s="37"/>
      <c r="CXG5" s="37"/>
      <c r="CXH5" s="37"/>
      <c r="CXI5" s="37"/>
      <c r="CXJ5" s="37"/>
      <c r="CXK5" s="37"/>
      <c r="CXL5" s="37"/>
      <c r="CXM5" s="37"/>
      <c r="CXN5" s="37"/>
      <c r="CXO5" s="37"/>
      <c r="CXP5" s="37"/>
      <c r="CXQ5" s="37"/>
      <c r="CXR5" s="37"/>
      <c r="CXS5" s="37"/>
      <c r="CXT5" s="37"/>
      <c r="CXU5" s="37"/>
      <c r="CXV5" s="37"/>
      <c r="CXW5" s="37"/>
      <c r="CXX5" s="37"/>
      <c r="CXY5" s="37"/>
      <c r="CXZ5" s="37"/>
      <c r="CYA5" s="37"/>
      <c r="CYB5" s="37"/>
      <c r="CYC5" s="37"/>
      <c r="CYD5" s="37"/>
      <c r="CYE5" s="37"/>
      <c r="CYF5" s="37"/>
      <c r="CYG5" s="37"/>
      <c r="CYH5" s="37"/>
      <c r="CYI5" s="37"/>
      <c r="CYJ5" s="37"/>
      <c r="CYK5" s="37"/>
      <c r="CYL5" s="37"/>
      <c r="CYM5" s="37"/>
      <c r="CYN5" s="37"/>
      <c r="CYO5" s="37"/>
      <c r="CYP5" s="37"/>
      <c r="CYQ5" s="37"/>
      <c r="CYR5" s="37"/>
      <c r="CYS5" s="37"/>
      <c r="CYT5" s="37"/>
      <c r="CYU5" s="37"/>
      <c r="CYV5" s="37"/>
      <c r="CYW5" s="37"/>
      <c r="CYX5" s="37"/>
      <c r="CYY5" s="37"/>
      <c r="CYZ5" s="37"/>
      <c r="CZA5" s="37"/>
      <c r="CZB5" s="37"/>
      <c r="CZC5" s="37"/>
      <c r="CZD5" s="37"/>
      <c r="CZE5" s="37"/>
      <c r="CZF5" s="37"/>
      <c r="CZG5" s="37"/>
      <c r="CZH5" s="37"/>
      <c r="CZI5" s="37"/>
      <c r="CZJ5" s="37"/>
      <c r="CZK5" s="37"/>
      <c r="CZL5" s="37"/>
      <c r="CZM5" s="37"/>
      <c r="CZN5" s="37"/>
      <c r="CZO5" s="37"/>
      <c r="CZP5" s="37"/>
      <c r="CZQ5" s="37"/>
      <c r="CZR5" s="37"/>
      <c r="CZS5" s="37"/>
      <c r="CZT5" s="37"/>
      <c r="CZU5" s="37"/>
      <c r="CZV5" s="37"/>
      <c r="CZW5" s="37"/>
      <c r="CZX5" s="37"/>
      <c r="CZY5" s="37"/>
      <c r="CZZ5" s="37"/>
      <c r="DAA5" s="37"/>
      <c r="DAB5" s="37"/>
      <c r="DAC5" s="37"/>
      <c r="DAD5" s="37"/>
      <c r="DAE5" s="37"/>
      <c r="DAF5" s="37"/>
      <c r="DAG5" s="37"/>
      <c r="DAH5" s="37"/>
      <c r="DAI5" s="37"/>
      <c r="DAJ5" s="37"/>
      <c r="DAK5" s="37"/>
      <c r="DAL5" s="37"/>
      <c r="DAM5" s="37"/>
      <c r="DAN5" s="37"/>
      <c r="DAO5" s="37"/>
      <c r="DAP5" s="37"/>
      <c r="DAQ5" s="37"/>
      <c r="DAR5" s="37"/>
      <c r="DAS5" s="37"/>
      <c r="DAT5" s="37"/>
      <c r="DAU5" s="37"/>
      <c r="DAV5" s="37"/>
      <c r="DAW5" s="37"/>
      <c r="DAX5" s="37"/>
      <c r="DAY5" s="37"/>
      <c r="DAZ5" s="37"/>
      <c r="DBA5" s="37"/>
      <c r="DBB5" s="37"/>
      <c r="DBC5" s="37"/>
      <c r="DBD5" s="37"/>
      <c r="DBE5" s="37"/>
      <c r="DBF5" s="37"/>
      <c r="DBG5" s="37"/>
      <c r="DBH5" s="37"/>
      <c r="DBI5" s="37"/>
      <c r="DBJ5" s="37"/>
      <c r="DBK5" s="37"/>
      <c r="DBL5" s="37"/>
      <c r="DBM5" s="37"/>
      <c r="DBN5" s="37"/>
      <c r="DBO5" s="37"/>
      <c r="DBP5" s="37"/>
      <c r="DBQ5" s="37"/>
      <c r="DBR5" s="37"/>
      <c r="DBS5" s="37"/>
      <c r="DBT5" s="37"/>
      <c r="DBU5" s="37"/>
      <c r="DBV5" s="37"/>
      <c r="DBW5" s="37"/>
      <c r="DBX5" s="37"/>
      <c r="DBY5" s="37"/>
      <c r="DBZ5" s="37"/>
      <c r="DCA5" s="37"/>
      <c r="DCB5" s="37"/>
      <c r="DCC5" s="37"/>
      <c r="DCD5" s="37"/>
      <c r="DCE5" s="37"/>
      <c r="DCF5" s="37"/>
      <c r="DCG5" s="37"/>
      <c r="DCH5" s="37"/>
      <c r="DCI5" s="37"/>
      <c r="DCJ5" s="37"/>
      <c r="DCK5" s="37"/>
      <c r="DCL5" s="37"/>
      <c r="DCM5" s="37"/>
      <c r="DCN5" s="37"/>
      <c r="DCO5" s="37"/>
      <c r="DCP5" s="37"/>
      <c r="DCQ5" s="37"/>
      <c r="DCR5" s="37"/>
      <c r="DCS5" s="37"/>
      <c r="DCT5" s="37"/>
      <c r="DCU5" s="37"/>
      <c r="DCV5" s="37"/>
      <c r="DCW5" s="37"/>
      <c r="DCX5" s="37"/>
      <c r="DCY5" s="37"/>
      <c r="DCZ5" s="37"/>
      <c r="DDA5" s="37"/>
      <c r="DDB5" s="37"/>
      <c r="DDC5" s="37"/>
      <c r="DDD5" s="37"/>
      <c r="DDE5" s="37"/>
      <c r="DDF5" s="37"/>
      <c r="DDG5" s="37"/>
      <c r="DDH5" s="37"/>
      <c r="DDI5" s="37"/>
      <c r="DDJ5" s="37"/>
      <c r="DDK5" s="37"/>
      <c r="DDL5" s="37"/>
      <c r="DDM5" s="37"/>
      <c r="DDN5" s="37"/>
      <c r="DDO5" s="37"/>
      <c r="DDP5" s="37"/>
      <c r="DDQ5" s="37"/>
      <c r="DDR5" s="37"/>
      <c r="DDS5" s="37"/>
      <c r="DDT5" s="37"/>
      <c r="DDU5" s="37"/>
      <c r="DDV5" s="37"/>
      <c r="DDW5" s="37"/>
      <c r="DDX5" s="37"/>
      <c r="DDY5" s="37"/>
      <c r="DDZ5" s="37"/>
      <c r="DEA5" s="37"/>
      <c r="DEB5" s="37"/>
      <c r="DEC5" s="37"/>
      <c r="DED5" s="37"/>
      <c r="DEE5" s="37"/>
      <c r="DEF5" s="37"/>
      <c r="DEG5" s="37"/>
      <c r="DEH5" s="37"/>
      <c r="DEI5" s="37"/>
      <c r="DEJ5" s="37"/>
      <c r="DEK5" s="37"/>
      <c r="DEL5" s="37"/>
      <c r="DEM5" s="37"/>
      <c r="DEN5" s="37"/>
      <c r="DEO5" s="37"/>
      <c r="DEP5" s="37"/>
      <c r="DEQ5" s="37"/>
      <c r="DER5" s="37"/>
      <c r="DES5" s="37"/>
      <c r="DET5" s="37"/>
      <c r="DEU5" s="37"/>
      <c r="DEV5" s="37"/>
      <c r="DEW5" s="37"/>
      <c r="DEX5" s="37"/>
      <c r="DEY5" s="37"/>
      <c r="DEZ5" s="37"/>
      <c r="DFA5" s="37"/>
      <c r="DFB5" s="37"/>
      <c r="DFC5" s="37"/>
      <c r="DFD5" s="37"/>
      <c r="DFE5" s="37"/>
      <c r="DFF5" s="37"/>
      <c r="DFG5" s="37"/>
      <c r="DFH5" s="37"/>
      <c r="DFI5" s="37"/>
      <c r="DFJ5" s="37"/>
      <c r="DFK5" s="37"/>
      <c r="DFL5" s="37"/>
      <c r="DFM5" s="37"/>
      <c r="DFN5" s="37"/>
      <c r="DFO5" s="37"/>
      <c r="DFP5" s="37"/>
      <c r="DFQ5" s="37"/>
      <c r="DFR5" s="37"/>
      <c r="DFS5" s="37"/>
      <c r="DFT5" s="37"/>
      <c r="DFU5" s="37"/>
      <c r="DFV5" s="37"/>
      <c r="DFW5" s="37"/>
      <c r="DFX5" s="37"/>
      <c r="DFY5" s="37"/>
      <c r="DFZ5" s="37"/>
      <c r="DGA5" s="37"/>
      <c r="DGB5" s="37"/>
      <c r="DGC5" s="37"/>
      <c r="DGD5" s="37"/>
      <c r="DGE5" s="37"/>
      <c r="DGF5" s="37"/>
      <c r="DGG5" s="37"/>
      <c r="DGH5" s="37"/>
      <c r="DGI5" s="37"/>
      <c r="DGJ5" s="37"/>
      <c r="DGK5" s="37"/>
      <c r="DGL5" s="37"/>
      <c r="DGM5" s="37"/>
      <c r="DGN5" s="37"/>
      <c r="DGO5" s="37"/>
      <c r="DGP5" s="37"/>
      <c r="DGQ5" s="37"/>
      <c r="DGR5" s="37"/>
      <c r="DGS5" s="37"/>
      <c r="DGT5" s="37"/>
      <c r="DGU5" s="37"/>
      <c r="DGV5" s="37"/>
      <c r="DGW5" s="37"/>
      <c r="DGX5" s="37"/>
      <c r="DGY5" s="37"/>
      <c r="DGZ5" s="37"/>
      <c r="DHA5" s="37"/>
      <c r="DHB5" s="37"/>
      <c r="DHC5" s="37"/>
      <c r="DHD5" s="37"/>
      <c r="DHE5" s="37"/>
      <c r="DHF5" s="37"/>
      <c r="DHG5" s="37"/>
      <c r="DHH5" s="37"/>
      <c r="DHI5" s="37"/>
      <c r="DHJ5" s="37"/>
      <c r="DHK5" s="37"/>
      <c r="DHL5" s="37"/>
      <c r="DHM5" s="37"/>
      <c r="DHN5" s="37"/>
      <c r="DHO5" s="37"/>
      <c r="DHP5" s="37"/>
      <c r="DHQ5" s="37"/>
      <c r="DHR5" s="37"/>
      <c r="DHS5" s="37"/>
      <c r="DHT5" s="37"/>
      <c r="DHU5" s="37"/>
      <c r="DHV5" s="37"/>
      <c r="DHW5" s="37"/>
      <c r="DHX5" s="37"/>
      <c r="DHY5" s="37"/>
      <c r="DHZ5" s="37"/>
      <c r="DIA5" s="37"/>
      <c r="DIB5" s="37"/>
      <c r="DIC5" s="37"/>
      <c r="DID5" s="37"/>
      <c r="DIE5" s="37"/>
      <c r="DIF5" s="37"/>
      <c r="DIG5" s="37"/>
      <c r="DIH5" s="37"/>
      <c r="DII5" s="37"/>
      <c r="DIJ5" s="37"/>
      <c r="DIK5" s="37"/>
      <c r="DIL5" s="37"/>
      <c r="DIM5" s="37"/>
      <c r="DIN5" s="37"/>
      <c r="DIO5" s="37"/>
      <c r="DIP5" s="37"/>
      <c r="DIQ5" s="37"/>
      <c r="DIR5" s="37"/>
      <c r="DIS5" s="37"/>
      <c r="DIT5" s="37"/>
      <c r="DIU5" s="37"/>
      <c r="DIV5" s="37"/>
      <c r="DIW5" s="37"/>
      <c r="DIX5" s="37"/>
      <c r="DIY5" s="37"/>
      <c r="DIZ5" s="37"/>
      <c r="DJA5" s="37"/>
      <c r="DJB5" s="37"/>
      <c r="DJC5" s="37"/>
      <c r="DJD5" s="37"/>
      <c r="DJE5" s="37"/>
      <c r="DJF5" s="37"/>
      <c r="DJG5" s="37"/>
      <c r="DJH5" s="37"/>
      <c r="DJI5" s="37"/>
      <c r="DJJ5" s="37"/>
      <c r="DJK5" s="37"/>
      <c r="DJL5" s="37"/>
      <c r="DJM5" s="37"/>
      <c r="DJN5" s="37"/>
      <c r="DJO5" s="37"/>
      <c r="DJP5" s="37"/>
      <c r="DJQ5" s="37"/>
      <c r="DJR5" s="37"/>
      <c r="DJS5" s="37"/>
      <c r="DJT5" s="37"/>
      <c r="DJU5" s="37"/>
      <c r="DJV5" s="37"/>
      <c r="DJW5" s="37"/>
      <c r="DJX5" s="37"/>
      <c r="DJY5" s="37"/>
      <c r="DJZ5" s="37"/>
      <c r="DKA5" s="37"/>
      <c r="DKB5" s="37"/>
      <c r="DKC5" s="37"/>
      <c r="DKD5" s="37"/>
      <c r="DKE5" s="37"/>
      <c r="DKF5" s="37"/>
      <c r="DKG5" s="37"/>
      <c r="DKH5" s="37"/>
      <c r="DKI5" s="37"/>
      <c r="DKJ5" s="37"/>
      <c r="DKK5" s="37"/>
      <c r="DKL5" s="37"/>
      <c r="DKM5" s="37"/>
      <c r="DKN5" s="37"/>
      <c r="DKO5" s="37"/>
      <c r="DKP5" s="37"/>
      <c r="DKQ5" s="37"/>
      <c r="DKR5" s="37"/>
      <c r="DKS5" s="37"/>
      <c r="DKT5" s="37"/>
      <c r="DKU5" s="37"/>
      <c r="DKV5" s="37"/>
      <c r="DKW5" s="37"/>
      <c r="DKX5" s="37"/>
      <c r="DKY5" s="37"/>
      <c r="DKZ5" s="37"/>
      <c r="DLA5" s="37"/>
      <c r="DLB5" s="37"/>
      <c r="DLC5" s="37"/>
      <c r="DLD5" s="37"/>
      <c r="DLE5" s="37"/>
      <c r="DLF5" s="37"/>
      <c r="DLG5" s="37"/>
      <c r="DLH5" s="37"/>
      <c r="DLI5" s="37"/>
      <c r="DLJ5" s="37"/>
      <c r="DLK5" s="37"/>
      <c r="DLL5" s="37"/>
      <c r="DLM5" s="37"/>
      <c r="DLN5" s="37"/>
      <c r="DLO5" s="37"/>
      <c r="DLP5" s="37"/>
      <c r="DLQ5" s="37"/>
      <c r="DLR5" s="37"/>
      <c r="DLS5" s="37"/>
      <c r="DLT5" s="37"/>
      <c r="DLU5" s="37"/>
      <c r="DLV5" s="37"/>
      <c r="DLW5" s="37"/>
      <c r="DLX5" s="37"/>
      <c r="DLY5" s="37"/>
      <c r="DLZ5" s="37"/>
      <c r="DMA5" s="37"/>
      <c r="DMB5" s="37"/>
      <c r="DMC5" s="37"/>
      <c r="DMD5" s="37"/>
      <c r="DME5" s="37"/>
      <c r="DMF5" s="37"/>
      <c r="DMG5" s="37"/>
      <c r="DMH5" s="37"/>
      <c r="DMI5" s="37"/>
      <c r="DMJ5" s="37"/>
      <c r="DMK5" s="37"/>
      <c r="DML5" s="37"/>
      <c r="DMM5" s="37"/>
      <c r="DMN5" s="37"/>
      <c r="DMO5" s="37"/>
      <c r="DMP5" s="37"/>
      <c r="DMQ5" s="37"/>
      <c r="DMR5" s="37"/>
      <c r="DMS5" s="37"/>
      <c r="DMT5" s="37"/>
      <c r="DMU5" s="37"/>
      <c r="DMV5" s="37"/>
      <c r="DMW5" s="37"/>
      <c r="DMX5" s="37"/>
      <c r="DMY5" s="37"/>
      <c r="DMZ5" s="37"/>
      <c r="DNA5" s="37"/>
      <c r="DNB5" s="37"/>
      <c r="DNC5" s="37"/>
      <c r="DND5" s="37"/>
      <c r="DNE5" s="37"/>
      <c r="DNF5" s="37"/>
      <c r="DNG5" s="37"/>
      <c r="DNH5" s="37"/>
      <c r="DNI5" s="37"/>
      <c r="DNJ5" s="37"/>
      <c r="DNK5" s="37"/>
      <c r="DNL5" s="37"/>
      <c r="DNM5" s="37"/>
      <c r="DNN5" s="37"/>
      <c r="DNO5" s="37"/>
      <c r="DNP5" s="37"/>
      <c r="DNQ5" s="37"/>
      <c r="DNR5" s="37"/>
      <c r="DNS5" s="37"/>
      <c r="DNT5" s="37"/>
      <c r="DNU5" s="37"/>
      <c r="DNV5" s="37"/>
      <c r="DNW5" s="37"/>
      <c r="DNX5" s="37"/>
      <c r="DNY5" s="37"/>
      <c r="DNZ5" s="37"/>
      <c r="DOA5" s="37"/>
      <c r="DOB5" s="37"/>
      <c r="DOC5" s="37"/>
      <c r="DOD5" s="37"/>
      <c r="DOE5" s="37"/>
      <c r="DOF5" s="37"/>
      <c r="DOG5" s="37"/>
      <c r="DOH5" s="37"/>
      <c r="DOI5" s="37"/>
      <c r="DOJ5" s="37"/>
      <c r="DOK5" s="37"/>
      <c r="DOL5" s="37"/>
      <c r="DOM5" s="37"/>
      <c r="DON5" s="37"/>
      <c r="DOO5" s="37"/>
      <c r="DOP5" s="37"/>
      <c r="DOQ5" s="37"/>
      <c r="DOR5" s="37"/>
      <c r="DOS5" s="37"/>
      <c r="DOT5" s="37"/>
      <c r="DOU5" s="37"/>
      <c r="DOV5" s="37"/>
      <c r="DOW5" s="37"/>
      <c r="DOX5" s="37"/>
      <c r="DOY5" s="37"/>
      <c r="DOZ5" s="37"/>
      <c r="DPA5" s="37"/>
      <c r="DPB5" s="37"/>
      <c r="DPC5" s="37"/>
      <c r="DPD5" s="37"/>
      <c r="DPE5" s="37"/>
      <c r="DPF5" s="37"/>
      <c r="DPG5" s="37"/>
      <c r="DPH5" s="37"/>
      <c r="DPI5" s="37"/>
      <c r="DPJ5" s="37"/>
      <c r="DPK5" s="37"/>
      <c r="DPL5" s="37"/>
      <c r="DPM5" s="37"/>
      <c r="DPN5" s="37"/>
      <c r="DPO5" s="37"/>
      <c r="DPP5" s="37"/>
      <c r="DPQ5" s="37"/>
      <c r="DPR5" s="37"/>
      <c r="DPS5" s="37"/>
      <c r="DPT5" s="37"/>
      <c r="DPU5" s="37"/>
      <c r="DPV5" s="37"/>
      <c r="DPW5" s="37"/>
      <c r="DPX5" s="37"/>
      <c r="DPY5" s="37"/>
      <c r="DPZ5" s="37"/>
      <c r="DQA5" s="37"/>
      <c r="DQB5" s="37"/>
      <c r="DQC5" s="37"/>
      <c r="DQD5" s="37"/>
      <c r="DQE5" s="37"/>
      <c r="DQF5" s="37"/>
      <c r="DQG5" s="37"/>
      <c r="DQH5" s="37"/>
      <c r="DQI5" s="37"/>
      <c r="DQJ5" s="37"/>
      <c r="DQK5" s="37"/>
      <c r="DQL5" s="37"/>
      <c r="DQM5" s="37"/>
      <c r="DQN5" s="37"/>
      <c r="DQO5" s="37"/>
      <c r="DQP5" s="37"/>
      <c r="DQQ5" s="37"/>
      <c r="DQR5" s="37"/>
      <c r="DQS5" s="37"/>
      <c r="DQT5" s="37"/>
      <c r="DQU5" s="37"/>
      <c r="DQV5" s="37"/>
      <c r="DQW5" s="37"/>
      <c r="DQX5" s="37"/>
      <c r="DQY5" s="37"/>
      <c r="DQZ5" s="37"/>
      <c r="DRA5" s="37"/>
      <c r="DRB5" s="37"/>
      <c r="DRC5" s="37"/>
      <c r="DRD5" s="37"/>
      <c r="DRE5" s="37"/>
      <c r="DRF5" s="37"/>
      <c r="DRG5" s="37"/>
      <c r="DRH5" s="37"/>
      <c r="DRI5" s="37"/>
      <c r="DRJ5" s="37"/>
      <c r="DRK5" s="37"/>
      <c r="DRL5" s="37"/>
      <c r="DRM5" s="37"/>
      <c r="DRN5" s="37"/>
      <c r="DRO5" s="37"/>
      <c r="DRP5" s="37"/>
      <c r="DRQ5" s="37"/>
      <c r="DRR5" s="37"/>
      <c r="DRS5" s="37"/>
      <c r="DRT5" s="37"/>
      <c r="DRU5" s="37"/>
      <c r="DRV5" s="37"/>
      <c r="DRW5" s="37"/>
      <c r="DRX5" s="37"/>
      <c r="DRY5" s="37"/>
      <c r="DRZ5" s="37"/>
      <c r="DSA5" s="37"/>
      <c r="DSB5" s="37"/>
      <c r="DSC5" s="37"/>
      <c r="DSD5" s="37"/>
      <c r="DSE5" s="37"/>
      <c r="DSF5" s="37"/>
      <c r="DSG5" s="37"/>
      <c r="DSH5" s="37"/>
      <c r="DSI5" s="37"/>
      <c r="DSJ5" s="37"/>
      <c r="DSK5" s="37"/>
      <c r="DSL5" s="37"/>
      <c r="DSM5" s="37"/>
      <c r="DSN5" s="37"/>
      <c r="DSO5" s="37"/>
      <c r="DSP5" s="37"/>
      <c r="DSQ5" s="37"/>
      <c r="DSR5" s="37"/>
      <c r="DSS5" s="37"/>
      <c r="DST5" s="37"/>
      <c r="DSU5" s="37"/>
      <c r="DSV5" s="37"/>
      <c r="DSW5" s="37"/>
      <c r="DSX5" s="37"/>
      <c r="DSY5" s="37"/>
      <c r="DSZ5" s="37"/>
      <c r="DTA5" s="37"/>
      <c r="DTB5" s="37"/>
      <c r="DTC5" s="37"/>
      <c r="DTD5" s="37"/>
      <c r="DTE5" s="37"/>
      <c r="DTF5" s="37"/>
      <c r="DTG5" s="37"/>
      <c r="DTH5" s="37"/>
      <c r="DTI5" s="37"/>
      <c r="DTJ5" s="37"/>
      <c r="DTK5" s="37"/>
      <c r="DTL5" s="37"/>
      <c r="DTM5" s="37"/>
      <c r="DTN5" s="37"/>
      <c r="DTO5" s="37"/>
      <c r="DTP5" s="37"/>
      <c r="DTQ5" s="37"/>
      <c r="DTR5" s="37"/>
      <c r="DTS5" s="37"/>
      <c r="DTT5" s="37"/>
      <c r="DTU5" s="37"/>
      <c r="DTV5" s="37"/>
      <c r="DTW5" s="37"/>
      <c r="DTX5" s="37"/>
      <c r="DTY5" s="37"/>
      <c r="DTZ5" s="37"/>
      <c r="DUA5" s="37"/>
      <c r="DUB5" s="37"/>
      <c r="DUC5" s="37"/>
      <c r="DUD5" s="37"/>
      <c r="DUE5" s="37"/>
      <c r="DUF5" s="37"/>
      <c r="DUG5" s="37"/>
      <c r="DUH5" s="37"/>
      <c r="DUI5" s="37"/>
      <c r="DUJ5" s="37"/>
      <c r="DUK5" s="37"/>
      <c r="DUL5" s="37"/>
      <c r="DUM5" s="37"/>
      <c r="DUN5" s="37"/>
      <c r="DUO5" s="37"/>
      <c r="DUP5" s="37"/>
      <c r="DUQ5" s="37"/>
      <c r="DUR5" s="37"/>
      <c r="DUS5" s="37"/>
      <c r="DUT5" s="37"/>
      <c r="DUU5" s="37"/>
      <c r="DUV5" s="37"/>
      <c r="DUW5" s="37"/>
      <c r="DUX5" s="37"/>
      <c r="DUY5" s="37"/>
      <c r="DUZ5" s="37"/>
      <c r="DVA5" s="37"/>
      <c r="DVB5" s="37"/>
      <c r="DVC5" s="37"/>
      <c r="DVD5" s="37"/>
      <c r="DVE5" s="37"/>
      <c r="DVF5" s="37"/>
      <c r="DVG5" s="37"/>
      <c r="DVH5" s="37"/>
      <c r="DVI5" s="37"/>
      <c r="DVJ5" s="37"/>
      <c r="DVK5" s="37"/>
      <c r="DVL5" s="37"/>
      <c r="DVM5" s="37"/>
      <c r="DVN5" s="37"/>
      <c r="DVO5" s="37"/>
      <c r="DVP5" s="37"/>
      <c r="DVQ5" s="37"/>
      <c r="DVR5" s="37"/>
      <c r="DVS5" s="37"/>
      <c r="DVT5" s="37"/>
      <c r="DVU5" s="37"/>
      <c r="DVV5" s="37"/>
      <c r="DVW5" s="37"/>
      <c r="DVX5" s="37"/>
      <c r="DVY5" s="37"/>
      <c r="DVZ5" s="37"/>
      <c r="DWA5" s="37"/>
      <c r="DWB5" s="37"/>
      <c r="DWC5" s="37"/>
      <c r="DWD5" s="37"/>
      <c r="DWE5" s="37"/>
      <c r="DWF5" s="37"/>
      <c r="DWG5" s="37"/>
      <c r="DWH5" s="37"/>
      <c r="DWI5" s="37"/>
      <c r="DWJ5" s="37"/>
      <c r="DWK5" s="37"/>
      <c r="DWL5" s="37"/>
      <c r="DWM5" s="37"/>
      <c r="DWN5" s="37"/>
      <c r="DWO5" s="37"/>
      <c r="DWP5" s="37"/>
      <c r="DWQ5" s="37"/>
      <c r="DWR5" s="37"/>
      <c r="DWS5" s="37"/>
      <c r="DWT5" s="37"/>
      <c r="DWU5" s="37"/>
      <c r="DWV5" s="37"/>
      <c r="DWW5" s="37"/>
      <c r="DWX5" s="37"/>
      <c r="DWY5" s="37"/>
      <c r="DWZ5" s="37"/>
      <c r="DXA5" s="37"/>
      <c r="DXB5" s="37"/>
      <c r="DXC5" s="37"/>
      <c r="DXD5" s="37"/>
      <c r="DXE5" s="37"/>
      <c r="DXF5" s="37"/>
      <c r="DXG5" s="37"/>
      <c r="DXH5" s="37"/>
      <c r="DXI5" s="37"/>
      <c r="DXJ5" s="37"/>
      <c r="DXK5" s="37"/>
      <c r="DXL5" s="37"/>
      <c r="DXM5" s="37"/>
      <c r="DXN5" s="37"/>
      <c r="DXO5" s="37"/>
      <c r="DXP5" s="37"/>
      <c r="DXQ5" s="37"/>
      <c r="DXR5" s="37"/>
      <c r="DXS5" s="37"/>
      <c r="DXT5" s="37"/>
      <c r="DXU5" s="37"/>
      <c r="DXV5" s="37"/>
      <c r="DXW5" s="37"/>
      <c r="DXX5" s="37"/>
      <c r="DXY5" s="37"/>
      <c r="DXZ5" s="37"/>
      <c r="DYA5" s="37"/>
      <c r="DYB5" s="37"/>
      <c r="DYC5" s="37"/>
      <c r="DYD5" s="37"/>
      <c r="DYE5" s="37"/>
      <c r="DYF5" s="37"/>
      <c r="DYG5" s="37"/>
      <c r="DYH5" s="37"/>
      <c r="DYI5" s="37"/>
      <c r="DYJ5" s="37"/>
      <c r="DYK5" s="37"/>
      <c r="DYL5" s="37"/>
      <c r="DYM5" s="37"/>
      <c r="DYN5" s="37"/>
      <c r="DYO5" s="37"/>
      <c r="DYP5" s="37"/>
      <c r="DYQ5" s="37"/>
      <c r="DYR5" s="37"/>
      <c r="DYS5" s="37"/>
      <c r="DYT5" s="37"/>
      <c r="DYU5" s="37"/>
      <c r="DYV5" s="37"/>
      <c r="DYW5" s="37"/>
      <c r="DYX5" s="37"/>
      <c r="DYY5" s="37"/>
      <c r="DYZ5" s="37"/>
      <c r="DZA5" s="37"/>
      <c r="DZB5" s="37"/>
      <c r="DZC5" s="37"/>
      <c r="DZD5" s="37"/>
      <c r="DZE5" s="37"/>
      <c r="DZF5" s="37"/>
      <c r="DZG5" s="37"/>
      <c r="DZH5" s="37"/>
      <c r="DZI5" s="37"/>
      <c r="DZJ5" s="37"/>
      <c r="DZK5" s="37"/>
      <c r="DZL5" s="37"/>
      <c r="DZM5" s="37"/>
      <c r="DZN5" s="37"/>
      <c r="DZO5" s="37"/>
      <c r="DZP5" s="37"/>
      <c r="DZQ5" s="37"/>
      <c r="DZR5" s="37"/>
      <c r="DZS5" s="37"/>
      <c r="DZT5" s="37"/>
      <c r="DZU5" s="37"/>
      <c r="DZV5" s="37"/>
      <c r="DZW5" s="37"/>
      <c r="DZX5" s="37"/>
      <c r="DZY5" s="37"/>
      <c r="DZZ5" s="37"/>
      <c r="EAA5" s="37"/>
      <c r="EAB5" s="37"/>
      <c r="EAC5" s="37"/>
      <c r="EAD5" s="37"/>
      <c r="EAE5" s="37"/>
      <c r="EAF5" s="37"/>
      <c r="EAG5" s="37"/>
      <c r="EAH5" s="37"/>
      <c r="EAI5" s="37"/>
      <c r="EAJ5" s="37"/>
      <c r="EAK5" s="37"/>
      <c r="EAL5" s="37"/>
      <c r="EAM5" s="37"/>
      <c r="EAN5" s="37"/>
      <c r="EAO5" s="37"/>
      <c r="EAP5" s="37"/>
      <c r="EAQ5" s="37"/>
      <c r="EAR5" s="37"/>
      <c r="EAS5" s="37"/>
      <c r="EAT5" s="37"/>
      <c r="EAU5" s="37"/>
      <c r="EAV5" s="37"/>
      <c r="EAW5" s="37"/>
      <c r="EAX5" s="37"/>
      <c r="EAY5" s="37"/>
      <c r="EAZ5" s="37"/>
      <c r="EBA5" s="37"/>
      <c r="EBB5" s="37"/>
      <c r="EBC5" s="37"/>
      <c r="EBD5" s="37"/>
      <c r="EBE5" s="37"/>
      <c r="EBF5" s="37"/>
      <c r="EBG5" s="37"/>
      <c r="EBH5" s="37"/>
      <c r="EBI5" s="37"/>
      <c r="EBJ5" s="37"/>
      <c r="EBK5" s="37"/>
      <c r="EBL5" s="37"/>
      <c r="EBM5" s="37"/>
      <c r="EBN5" s="37"/>
      <c r="EBO5" s="37"/>
      <c r="EBP5" s="37"/>
      <c r="EBQ5" s="37"/>
      <c r="EBR5" s="37"/>
      <c r="EBS5" s="37"/>
      <c r="EBT5" s="37"/>
      <c r="EBU5" s="37"/>
      <c r="EBV5" s="37"/>
      <c r="EBW5" s="37"/>
      <c r="EBX5" s="37"/>
      <c r="EBY5" s="37"/>
      <c r="EBZ5" s="37"/>
      <c r="ECA5" s="37"/>
      <c r="ECB5" s="37"/>
      <c r="ECC5" s="37"/>
      <c r="ECD5" s="37"/>
      <c r="ECE5" s="37"/>
      <c r="ECF5" s="37"/>
      <c r="ECG5" s="37"/>
      <c r="ECH5" s="37"/>
      <c r="ECI5" s="37"/>
      <c r="ECJ5" s="37"/>
      <c r="ECK5" s="37"/>
      <c r="ECL5" s="37"/>
      <c r="ECM5" s="37"/>
      <c r="ECN5" s="37"/>
      <c r="ECO5" s="37"/>
      <c r="ECP5" s="37"/>
      <c r="ECQ5" s="37"/>
      <c r="ECR5" s="37"/>
      <c r="ECS5" s="37"/>
      <c r="ECT5" s="37"/>
      <c r="ECU5" s="37"/>
      <c r="ECV5" s="37"/>
      <c r="ECW5" s="37"/>
      <c r="ECX5" s="37"/>
      <c r="ECY5" s="37"/>
      <c r="ECZ5" s="37"/>
      <c r="EDA5" s="37"/>
      <c r="EDB5" s="37"/>
      <c r="EDC5" s="37"/>
      <c r="EDD5" s="37"/>
      <c r="EDE5" s="37"/>
      <c r="EDF5" s="37"/>
      <c r="EDG5" s="37"/>
      <c r="EDH5" s="37"/>
      <c r="EDI5" s="37"/>
      <c r="EDJ5" s="37"/>
      <c r="EDK5" s="37"/>
      <c r="EDL5" s="37"/>
      <c r="EDM5" s="37"/>
      <c r="EDN5" s="37"/>
      <c r="EDO5" s="37"/>
      <c r="EDP5" s="37"/>
      <c r="EDQ5" s="37"/>
      <c r="EDR5" s="37"/>
      <c r="EDS5" s="37"/>
      <c r="EDT5" s="37"/>
      <c r="EDU5" s="37"/>
      <c r="EDV5" s="37"/>
      <c r="EDW5" s="37"/>
      <c r="EDX5" s="37"/>
      <c r="EDY5" s="37"/>
      <c r="EDZ5" s="37"/>
      <c r="EEA5" s="37"/>
      <c r="EEB5" s="37"/>
      <c r="EEC5" s="37"/>
      <c r="EED5" s="37"/>
      <c r="EEE5" s="37"/>
      <c r="EEF5" s="37"/>
      <c r="EEG5" s="37"/>
      <c r="EEH5" s="37"/>
      <c r="EEI5" s="37"/>
      <c r="EEJ5" s="37"/>
      <c r="EEK5" s="37"/>
      <c r="EEL5" s="37"/>
      <c r="EEM5" s="37"/>
      <c r="EEN5" s="37"/>
      <c r="EEO5" s="37"/>
      <c r="EEP5" s="37"/>
      <c r="EEQ5" s="37"/>
      <c r="EER5" s="37"/>
      <c r="EES5" s="37"/>
      <c r="EET5" s="37"/>
      <c r="EEU5" s="37"/>
      <c r="EEV5" s="37"/>
      <c r="EEW5" s="37"/>
      <c r="EEX5" s="37"/>
      <c r="EEY5" s="37"/>
      <c r="EEZ5" s="37"/>
      <c r="EFA5" s="37"/>
      <c r="EFB5" s="37"/>
      <c r="EFC5" s="37"/>
      <c r="EFD5" s="37"/>
      <c r="EFE5" s="37"/>
      <c r="EFF5" s="37"/>
      <c r="EFG5" s="37"/>
      <c r="EFH5" s="37"/>
      <c r="EFI5" s="37"/>
      <c r="EFJ5" s="37"/>
      <c r="EFK5" s="37"/>
      <c r="EFL5" s="37"/>
      <c r="EFM5" s="37"/>
      <c r="EFN5" s="37"/>
      <c r="EFO5" s="37"/>
      <c r="EFP5" s="37"/>
      <c r="EFQ5" s="37"/>
      <c r="EFR5" s="37"/>
      <c r="EFS5" s="37"/>
      <c r="EFT5" s="37"/>
      <c r="EFU5" s="37"/>
      <c r="EFV5" s="37"/>
      <c r="EFW5" s="37"/>
      <c r="EFX5" s="37"/>
      <c r="EFY5" s="37"/>
      <c r="EFZ5" s="37"/>
      <c r="EGA5" s="37"/>
      <c r="EGB5" s="37"/>
      <c r="EGC5" s="37"/>
      <c r="EGD5" s="37"/>
      <c r="EGE5" s="37"/>
      <c r="EGF5" s="37"/>
      <c r="EGG5" s="37"/>
      <c r="EGH5" s="37"/>
      <c r="EGI5" s="37"/>
      <c r="EGJ5" s="37"/>
      <c r="EGK5" s="37"/>
      <c r="EGL5" s="37"/>
      <c r="EGM5" s="37"/>
      <c r="EGN5" s="37"/>
      <c r="EGO5" s="37"/>
      <c r="EGP5" s="37"/>
      <c r="EGQ5" s="37"/>
      <c r="EGR5" s="37"/>
      <c r="EGS5" s="37"/>
      <c r="EGT5" s="37"/>
      <c r="EGU5" s="37"/>
      <c r="EGV5" s="37"/>
      <c r="EGW5" s="37"/>
      <c r="EGX5" s="37"/>
      <c r="EGY5" s="37"/>
      <c r="EGZ5" s="37"/>
      <c r="EHA5" s="37"/>
      <c r="EHB5" s="37"/>
      <c r="EHC5" s="37"/>
      <c r="EHD5" s="37"/>
      <c r="EHE5" s="37"/>
      <c r="EHF5" s="37"/>
      <c r="EHG5" s="37"/>
      <c r="EHH5" s="37"/>
      <c r="EHI5" s="37"/>
      <c r="EHJ5" s="37"/>
      <c r="EHK5" s="37"/>
      <c r="EHL5" s="37"/>
      <c r="EHM5" s="37"/>
      <c r="EHN5" s="37"/>
      <c r="EHO5" s="37"/>
      <c r="EHP5" s="37"/>
      <c r="EHQ5" s="37"/>
      <c r="EHR5" s="37"/>
      <c r="EHS5" s="37"/>
      <c r="EHT5" s="37"/>
      <c r="EHU5" s="37"/>
      <c r="EHV5" s="37"/>
      <c r="EHW5" s="37"/>
      <c r="EHX5" s="37"/>
      <c r="EHY5" s="37"/>
      <c r="EHZ5" s="37"/>
      <c r="EIA5" s="37"/>
      <c r="EIB5" s="37"/>
      <c r="EIC5" s="37"/>
      <c r="EID5" s="37"/>
      <c r="EIE5" s="37"/>
      <c r="EIF5" s="37"/>
      <c r="EIG5" s="37"/>
      <c r="EIH5" s="37"/>
      <c r="EII5" s="37"/>
      <c r="EIJ5" s="37"/>
      <c r="EIK5" s="37"/>
      <c r="EIL5" s="37"/>
      <c r="EIM5" s="37"/>
      <c r="EIN5" s="37"/>
      <c r="EIO5" s="37"/>
      <c r="EIP5" s="37"/>
      <c r="EIQ5" s="37"/>
      <c r="EIR5" s="37"/>
      <c r="EIS5" s="37"/>
      <c r="EIT5" s="37"/>
      <c r="EIU5" s="37"/>
      <c r="EIV5" s="37"/>
      <c r="EIW5" s="37"/>
      <c r="EIX5" s="37"/>
      <c r="EIY5" s="37"/>
      <c r="EIZ5" s="37"/>
      <c r="EJA5" s="37"/>
      <c r="EJB5" s="37"/>
      <c r="EJC5" s="37"/>
      <c r="EJD5" s="37"/>
      <c r="EJE5" s="37"/>
      <c r="EJF5" s="37"/>
      <c r="EJG5" s="37"/>
      <c r="EJH5" s="37"/>
      <c r="EJI5" s="37"/>
      <c r="EJJ5" s="37"/>
      <c r="EJK5" s="37"/>
      <c r="EJL5" s="37"/>
      <c r="EJM5" s="37"/>
      <c r="EJN5" s="37"/>
      <c r="EJO5" s="37"/>
      <c r="EJP5" s="37"/>
      <c r="EJQ5" s="37"/>
      <c r="EJR5" s="37"/>
      <c r="EJS5" s="37"/>
      <c r="EJT5" s="37"/>
      <c r="EJU5" s="37"/>
      <c r="EJV5" s="37"/>
      <c r="EJW5" s="37"/>
      <c r="EJX5" s="37"/>
      <c r="EJY5" s="37"/>
      <c r="EJZ5" s="37"/>
      <c r="EKA5" s="37"/>
      <c r="EKB5" s="37"/>
      <c r="EKC5" s="37"/>
      <c r="EKD5" s="37"/>
      <c r="EKE5" s="37"/>
      <c r="EKF5" s="37"/>
      <c r="EKG5" s="37"/>
      <c r="EKH5" s="37"/>
      <c r="EKI5" s="37"/>
      <c r="EKJ5" s="37"/>
      <c r="EKK5" s="37"/>
      <c r="EKL5" s="37"/>
      <c r="EKM5" s="37"/>
      <c r="EKN5" s="37"/>
      <c r="EKO5" s="37"/>
      <c r="EKP5" s="37"/>
      <c r="EKQ5" s="37"/>
      <c r="EKR5" s="37"/>
      <c r="EKS5" s="37"/>
      <c r="EKT5" s="37"/>
      <c r="EKU5" s="37"/>
      <c r="EKV5" s="37"/>
      <c r="EKW5" s="37"/>
      <c r="EKX5" s="37"/>
      <c r="EKY5" s="37"/>
      <c r="EKZ5" s="37"/>
      <c r="ELA5" s="37"/>
      <c r="ELB5" s="37"/>
      <c r="ELC5" s="37"/>
      <c r="ELD5" s="37"/>
      <c r="ELE5" s="37"/>
      <c r="ELF5" s="37"/>
      <c r="ELG5" s="37"/>
      <c r="ELH5" s="37"/>
      <c r="ELI5" s="37"/>
      <c r="ELJ5" s="37"/>
      <c r="ELK5" s="37"/>
      <c r="ELL5" s="37"/>
      <c r="ELM5" s="37"/>
      <c r="ELN5" s="37"/>
      <c r="ELO5" s="37"/>
      <c r="ELP5" s="37"/>
      <c r="ELQ5" s="37"/>
      <c r="ELR5" s="37"/>
      <c r="ELS5" s="37"/>
      <c r="ELT5" s="37"/>
      <c r="ELU5" s="37"/>
      <c r="ELV5" s="37"/>
      <c r="ELW5" s="37"/>
      <c r="ELX5" s="37"/>
      <c r="ELY5" s="37"/>
      <c r="ELZ5" s="37"/>
      <c r="EMA5" s="37"/>
      <c r="EMB5" s="37"/>
      <c r="EMC5" s="37"/>
      <c r="EMD5" s="37"/>
      <c r="EME5" s="37"/>
      <c r="EMF5" s="37"/>
      <c r="EMG5" s="37"/>
      <c r="EMH5" s="37"/>
      <c r="EMI5" s="37"/>
      <c r="EMJ5" s="37"/>
      <c r="EMK5" s="37"/>
      <c r="EML5" s="37"/>
      <c r="EMM5" s="37"/>
      <c r="EMN5" s="37"/>
      <c r="EMO5" s="37"/>
      <c r="EMP5" s="37"/>
      <c r="EMQ5" s="37"/>
      <c r="EMR5" s="37"/>
      <c r="EMS5" s="37"/>
      <c r="EMT5" s="37"/>
      <c r="EMU5" s="37"/>
      <c r="EMV5" s="37"/>
      <c r="EMW5" s="37"/>
      <c r="EMX5" s="37"/>
      <c r="EMY5" s="37"/>
      <c r="EMZ5" s="37"/>
      <c r="ENA5" s="37"/>
      <c r="ENB5" s="37"/>
      <c r="ENC5" s="37"/>
      <c r="END5" s="37"/>
      <c r="ENE5" s="37"/>
      <c r="ENF5" s="37"/>
      <c r="ENG5" s="37"/>
      <c r="ENH5" s="37"/>
      <c r="ENI5" s="37"/>
      <c r="ENJ5" s="37"/>
      <c r="ENK5" s="37"/>
      <c r="ENL5" s="37"/>
      <c r="ENM5" s="37"/>
      <c r="ENN5" s="37"/>
      <c r="ENO5" s="37"/>
      <c r="ENP5" s="37"/>
      <c r="ENQ5" s="37"/>
      <c r="ENR5" s="37"/>
      <c r="ENS5" s="37"/>
      <c r="ENT5" s="37"/>
      <c r="ENU5" s="37"/>
      <c r="ENV5" s="37"/>
      <c r="ENW5" s="37"/>
      <c r="ENX5" s="37"/>
      <c r="ENY5" s="37"/>
      <c r="ENZ5" s="37"/>
      <c r="EOA5" s="37"/>
      <c r="EOB5" s="37"/>
      <c r="EOC5" s="37"/>
      <c r="EOD5" s="37"/>
      <c r="EOE5" s="37"/>
      <c r="EOF5" s="37"/>
      <c r="EOG5" s="37"/>
      <c r="EOH5" s="37"/>
      <c r="EOI5" s="37"/>
      <c r="EOJ5" s="37"/>
      <c r="EOK5" s="37"/>
      <c r="EOL5" s="37"/>
      <c r="EOM5" s="37"/>
      <c r="EON5" s="37"/>
      <c r="EOO5" s="37"/>
      <c r="EOP5" s="37"/>
      <c r="EOQ5" s="37"/>
      <c r="EOR5" s="37"/>
      <c r="EOS5" s="37"/>
      <c r="EOT5" s="37"/>
      <c r="EOU5" s="37"/>
      <c r="EOV5" s="37"/>
      <c r="EOW5" s="37"/>
      <c r="EOX5" s="37"/>
      <c r="EOY5" s="37"/>
      <c r="EOZ5" s="37"/>
      <c r="EPA5" s="37"/>
      <c r="EPB5" s="37"/>
      <c r="EPC5" s="37"/>
      <c r="EPD5" s="37"/>
      <c r="EPE5" s="37"/>
      <c r="EPF5" s="37"/>
      <c r="EPG5" s="37"/>
      <c r="EPH5" s="37"/>
      <c r="EPI5" s="37"/>
      <c r="EPJ5" s="37"/>
      <c r="EPK5" s="37"/>
      <c r="EPL5" s="37"/>
      <c r="EPM5" s="37"/>
      <c r="EPN5" s="37"/>
      <c r="EPO5" s="37"/>
      <c r="EPP5" s="37"/>
      <c r="EPQ5" s="37"/>
      <c r="EPR5" s="37"/>
      <c r="EPS5" s="37"/>
      <c r="EPT5" s="37"/>
      <c r="EPU5" s="37"/>
      <c r="EPV5" s="37"/>
      <c r="EPW5" s="37"/>
      <c r="EPX5" s="37"/>
      <c r="EPY5" s="37"/>
      <c r="EPZ5" s="37"/>
      <c r="EQA5" s="37"/>
      <c r="EQB5" s="37"/>
      <c r="EQC5" s="37"/>
      <c r="EQD5" s="37"/>
      <c r="EQE5" s="37"/>
      <c r="EQF5" s="37"/>
      <c r="EQG5" s="37"/>
      <c r="EQH5" s="37"/>
      <c r="EQI5" s="37"/>
      <c r="EQJ5" s="37"/>
      <c r="EQK5" s="37"/>
      <c r="EQL5" s="37"/>
      <c r="EQM5" s="37"/>
      <c r="EQN5" s="37"/>
      <c r="EQO5" s="37"/>
      <c r="EQP5" s="37"/>
      <c r="EQQ5" s="37"/>
      <c r="EQR5" s="37"/>
      <c r="EQS5" s="37"/>
      <c r="EQT5" s="37"/>
      <c r="EQU5" s="37"/>
      <c r="EQV5" s="37"/>
      <c r="EQW5" s="37"/>
      <c r="EQX5" s="37"/>
      <c r="EQY5" s="37"/>
      <c r="EQZ5" s="37"/>
      <c r="ERA5" s="37"/>
      <c r="ERB5" s="37"/>
      <c r="ERC5" s="37"/>
      <c r="ERD5" s="37"/>
      <c r="ERE5" s="37"/>
      <c r="ERF5" s="37"/>
      <c r="ERG5" s="37"/>
      <c r="ERH5" s="37"/>
      <c r="ERI5" s="37"/>
      <c r="ERJ5" s="37"/>
      <c r="ERK5" s="37"/>
      <c r="ERL5" s="37"/>
      <c r="ERM5" s="37"/>
      <c r="ERN5" s="37"/>
      <c r="ERO5" s="37"/>
      <c r="ERP5" s="37"/>
      <c r="ERQ5" s="37"/>
      <c r="ERR5" s="37"/>
      <c r="ERS5" s="37"/>
      <c r="ERT5" s="37"/>
      <c r="ERU5" s="37"/>
      <c r="ERV5" s="37"/>
      <c r="ERW5" s="37"/>
      <c r="ERX5" s="37"/>
      <c r="ERY5" s="37"/>
      <c r="ERZ5" s="37"/>
      <c r="ESA5" s="37"/>
      <c r="ESB5" s="37"/>
      <c r="ESC5" s="37"/>
      <c r="ESD5" s="37"/>
      <c r="ESE5" s="37"/>
      <c r="ESF5" s="37"/>
      <c r="ESG5" s="37"/>
      <c r="ESH5" s="37"/>
      <c r="ESI5" s="37"/>
      <c r="ESJ5" s="37"/>
      <c r="ESK5" s="37"/>
      <c r="ESL5" s="37"/>
      <c r="ESM5" s="37"/>
      <c r="ESN5" s="37"/>
      <c r="ESO5" s="37"/>
      <c r="ESP5" s="37"/>
      <c r="ESQ5" s="37"/>
      <c r="ESR5" s="37"/>
      <c r="ESS5" s="37"/>
      <c r="EST5" s="37"/>
      <c r="ESU5" s="37"/>
      <c r="ESV5" s="37"/>
      <c r="ESW5" s="37"/>
      <c r="ESX5" s="37"/>
      <c r="ESY5" s="37"/>
      <c r="ESZ5" s="37"/>
      <c r="ETA5" s="37"/>
      <c r="ETB5" s="37"/>
      <c r="ETC5" s="37"/>
      <c r="ETD5" s="37"/>
      <c r="ETE5" s="37"/>
      <c r="ETF5" s="37"/>
      <c r="ETG5" s="37"/>
      <c r="ETH5" s="37"/>
      <c r="ETI5" s="37"/>
      <c r="ETJ5" s="37"/>
      <c r="ETK5" s="37"/>
      <c r="ETL5" s="37"/>
      <c r="ETM5" s="37"/>
      <c r="ETN5" s="37"/>
      <c r="ETO5" s="37"/>
      <c r="ETP5" s="37"/>
      <c r="ETQ5" s="37"/>
      <c r="ETR5" s="37"/>
      <c r="ETS5" s="37"/>
      <c r="ETT5" s="37"/>
      <c r="ETU5" s="37"/>
      <c r="ETV5" s="37"/>
      <c r="ETW5" s="37"/>
      <c r="ETX5" s="37"/>
      <c r="ETY5" s="37"/>
      <c r="ETZ5" s="37"/>
      <c r="EUA5" s="37"/>
      <c r="EUB5" s="37"/>
      <c r="EUC5" s="37"/>
      <c r="EUD5" s="37"/>
      <c r="EUE5" s="37"/>
      <c r="EUF5" s="37"/>
      <c r="EUG5" s="37"/>
      <c r="EUH5" s="37"/>
      <c r="EUI5" s="37"/>
      <c r="EUJ5" s="37"/>
      <c r="EUK5" s="37"/>
      <c r="EUL5" s="37"/>
      <c r="EUM5" s="37"/>
      <c r="EUN5" s="37"/>
      <c r="EUO5" s="37"/>
      <c r="EUP5" s="37"/>
      <c r="EUQ5" s="37"/>
      <c r="EUR5" s="37"/>
      <c r="EUS5" s="37"/>
      <c r="EUT5" s="37"/>
      <c r="EUU5" s="37"/>
      <c r="EUV5" s="37"/>
      <c r="EUW5" s="37"/>
      <c r="EUX5" s="37"/>
      <c r="EUY5" s="37"/>
      <c r="EUZ5" s="37"/>
      <c r="EVA5" s="37"/>
      <c r="EVB5" s="37"/>
      <c r="EVC5" s="37"/>
      <c r="EVD5" s="37"/>
      <c r="EVE5" s="37"/>
      <c r="EVF5" s="37"/>
      <c r="EVG5" s="37"/>
      <c r="EVH5" s="37"/>
      <c r="EVI5" s="37"/>
      <c r="EVJ5" s="37"/>
      <c r="EVK5" s="37"/>
      <c r="EVL5" s="37"/>
      <c r="EVM5" s="37"/>
      <c r="EVN5" s="37"/>
      <c r="EVO5" s="37"/>
      <c r="EVP5" s="37"/>
      <c r="EVQ5" s="37"/>
      <c r="EVR5" s="37"/>
      <c r="EVS5" s="37"/>
      <c r="EVT5" s="37"/>
      <c r="EVU5" s="37"/>
      <c r="EVV5" s="37"/>
      <c r="EVW5" s="37"/>
      <c r="EVX5" s="37"/>
      <c r="EVY5" s="37"/>
      <c r="EVZ5" s="37"/>
      <c r="EWA5" s="37"/>
      <c r="EWB5" s="37"/>
      <c r="EWC5" s="37"/>
      <c r="EWD5" s="37"/>
      <c r="EWE5" s="37"/>
      <c r="EWF5" s="37"/>
      <c r="EWG5" s="37"/>
      <c r="EWH5" s="37"/>
      <c r="EWI5" s="37"/>
      <c r="EWJ5" s="37"/>
      <c r="EWK5" s="37"/>
      <c r="EWL5" s="37"/>
      <c r="EWM5" s="37"/>
      <c r="EWN5" s="37"/>
      <c r="EWO5" s="37"/>
      <c r="EWP5" s="37"/>
      <c r="EWQ5" s="37"/>
      <c r="EWR5" s="37"/>
      <c r="EWS5" s="37"/>
      <c r="EWT5" s="37"/>
      <c r="EWU5" s="37"/>
      <c r="EWV5" s="37"/>
      <c r="EWW5" s="37"/>
      <c r="EWX5" s="37"/>
      <c r="EWY5" s="37"/>
      <c r="EWZ5" s="37"/>
      <c r="EXA5" s="37"/>
      <c r="EXB5" s="37"/>
      <c r="EXC5" s="37"/>
      <c r="EXD5" s="37"/>
      <c r="EXE5" s="37"/>
      <c r="EXF5" s="37"/>
      <c r="EXG5" s="37"/>
      <c r="EXH5" s="37"/>
      <c r="EXI5" s="37"/>
      <c r="EXJ5" s="37"/>
      <c r="EXK5" s="37"/>
      <c r="EXL5" s="37"/>
      <c r="EXM5" s="37"/>
      <c r="EXN5" s="37"/>
      <c r="EXO5" s="37"/>
      <c r="EXP5" s="37"/>
      <c r="EXQ5" s="37"/>
      <c r="EXR5" s="37"/>
      <c r="EXS5" s="37"/>
      <c r="EXT5" s="37"/>
      <c r="EXU5" s="37"/>
      <c r="EXV5" s="37"/>
      <c r="EXW5" s="37"/>
      <c r="EXX5" s="37"/>
      <c r="EXY5" s="37"/>
      <c r="EXZ5" s="37"/>
      <c r="EYA5" s="37"/>
      <c r="EYB5" s="37"/>
      <c r="EYC5" s="37"/>
      <c r="EYD5" s="37"/>
      <c r="EYE5" s="37"/>
      <c r="EYF5" s="37"/>
      <c r="EYG5" s="37"/>
      <c r="EYH5" s="37"/>
      <c r="EYI5" s="37"/>
      <c r="EYJ5" s="37"/>
      <c r="EYK5" s="37"/>
      <c r="EYL5" s="37"/>
      <c r="EYM5" s="37"/>
      <c r="EYN5" s="37"/>
      <c r="EYO5" s="37"/>
      <c r="EYP5" s="37"/>
      <c r="EYQ5" s="37"/>
      <c r="EYR5" s="37"/>
      <c r="EYS5" s="37"/>
      <c r="EYT5" s="37"/>
      <c r="EYU5" s="37"/>
      <c r="EYV5" s="37"/>
      <c r="EYW5" s="37"/>
      <c r="EYX5" s="37"/>
      <c r="EYY5" s="37"/>
      <c r="EYZ5" s="37"/>
      <c r="EZA5" s="37"/>
      <c r="EZB5" s="37"/>
      <c r="EZC5" s="37"/>
      <c r="EZD5" s="37"/>
      <c r="EZE5" s="37"/>
      <c r="EZF5" s="37"/>
      <c r="EZG5" s="37"/>
      <c r="EZH5" s="37"/>
      <c r="EZI5" s="37"/>
      <c r="EZJ5" s="37"/>
      <c r="EZK5" s="37"/>
      <c r="EZL5" s="37"/>
      <c r="EZM5" s="37"/>
      <c r="EZN5" s="37"/>
      <c r="EZO5" s="37"/>
      <c r="EZP5" s="37"/>
      <c r="EZQ5" s="37"/>
      <c r="EZR5" s="37"/>
      <c r="EZS5" s="37"/>
      <c r="EZT5" s="37"/>
      <c r="EZU5" s="37"/>
      <c r="EZV5" s="37"/>
      <c r="EZW5" s="37"/>
      <c r="EZX5" s="37"/>
      <c r="EZY5" s="37"/>
      <c r="EZZ5" s="37"/>
      <c r="FAA5" s="37"/>
      <c r="FAB5" s="37"/>
      <c r="FAC5" s="37"/>
      <c r="FAD5" s="37"/>
      <c r="FAE5" s="37"/>
      <c r="FAF5" s="37"/>
      <c r="FAG5" s="37"/>
      <c r="FAH5" s="37"/>
      <c r="FAI5" s="37"/>
      <c r="FAJ5" s="37"/>
      <c r="FAK5" s="37"/>
      <c r="FAL5" s="37"/>
      <c r="FAM5" s="37"/>
      <c r="FAN5" s="37"/>
      <c r="FAO5" s="37"/>
      <c r="FAP5" s="37"/>
      <c r="FAQ5" s="37"/>
      <c r="FAR5" s="37"/>
      <c r="FAS5" s="37"/>
      <c r="FAT5" s="37"/>
      <c r="FAU5" s="37"/>
      <c r="FAV5" s="37"/>
      <c r="FAW5" s="37"/>
      <c r="FAX5" s="37"/>
      <c r="FAY5" s="37"/>
      <c r="FAZ5" s="37"/>
      <c r="FBA5" s="37"/>
      <c r="FBB5" s="37"/>
      <c r="FBC5" s="37"/>
      <c r="FBD5" s="37"/>
      <c r="FBE5" s="37"/>
      <c r="FBF5" s="37"/>
      <c r="FBG5" s="37"/>
      <c r="FBH5" s="37"/>
      <c r="FBI5" s="37"/>
      <c r="FBJ5" s="37"/>
      <c r="FBK5" s="37"/>
      <c r="FBL5" s="37"/>
      <c r="FBM5" s="37"/>
      <c r="FBN5" s="37"/>
      <c r="FBO5" s="37"/>
      <c r="FBP5" s="37"/>
      <c r="FBQ5" s="37"/>
      <c r="FBR5" s="37"/>
      <c r="FBS5" s="37"/>
      <c r="FBT5" s="37"/>
      <c r="FBU5" s="37"/>
      <c r="FBV5" s="37"/>
      <c r="FBW5" s="37"/>
      <c r="FBX5" s="37"/>
      <c r="FBY5" s="37"/>
      <c r="FBZ5" s="37"/>
      <c r="FCA5" s="37"/>
      <c r="FCB5" s="37"/>
      <c r="FCC5" s="37"/>
      <c r="FCD5" s="37"/>
      <c r="FCE5" s="37"/>
      <c r="FCF5" s="37"/>
      <c r="FCG5" s="37"/>
      <c r="FCH5" s="37"/>
      <c r="FCI5" s="37"/>
      <c r="FCJ5" s="37"/>
      <c r="FCK5" s="37"/>
      <c r="FCL5" s="37"/>
      <c r="FCM5" s="37"/>
      <c r="FCN5" s="37"/>
      <c r="FCO5" s="37"/>
      <c r="FCP5" s="37"/>
      <c r="FCQ5" s="37"/>
      <c r="FCR5" s="37"/>
      <c r="FCS5" s="37"/>
      <c r="FCT5" s="37"/>
      <c r="FCU5" s="37"/>
      <c r="FCV5" s="37"/>
      <c r="FCW5" s="37"/>
      <c r="FCX5" s="37"/>
      <c r="FCY5" s="37"/>
      <c r="FCZ5" s="37"/>
      <c r="FDA5" s="37"/>
      <c r="FDB5" s="37"/>
      <c r="FDC5" s="37"/>
      <c r="FDD5" s="37"/>
      <c r="FDE5" s="37"/>
      <c r="FDF5" s="37"/>
      <c r="FDG5" s="37"/>
      <c r="FDH5" s="37"/>
      <c r="FDI5" s="37"/>
      <c r="FDJ5" s="37"/>
      <c r="FDK5" s="37"/>
      <c r="FDL5" s="37"/>
      <c r="FDM5" s="37"/>
      <c r="FDN5" s="37"/>
      <c r="FDO5" s="37"/>
      <c r="FDP5" s="37"/>
      <c r="FDQ5" s="37"/>
      <c r="FDR5" s="37"/>
      <c r="FDS5" s="37"/>
      <c r="FDT5" s="37"/>
      <c r="FDU5" s="37"/>
      <c r="FDV5" s="37"/>
      <c r="FDW5" s="37"/>
      <c r="FDX5" s="37"/>
      <c r="FDY5" s="37"/>
      <c r="FDZ5" s="37"/>
      <c r="FEA5" s="37"/>
      <c r="FEB5" s="37"/>
      <c r="FEC5" s="37"/>
      <c r="FED5" s="37"/>
      <c r="FEE5" s="37"/>
      <c r="FEF5" s="37"/>
      <c r="FEG5" s="37"/>
      <c r="FEH5" s="37"/>
      <c r="FEI5" s="37"/>
      <c r="FEJ5" s="37"/>
      <c r="FEK5" s="37"/>
      <c r="FEL5" s="37"/>
      <c r="FEM5" s="37"/>
      <c r="FEN5" s="37"/>
      <c r="FEO5" s="37"/>
      <c r="FEP5" s="37"/>
      <c r="FEQ5" s="37"/>
      <c r="FER5" s="37"/>
      <c r="FES5" s="37"/>
      <c r="FET5" s="37"/>
      <c r="FEU5" s="37"/>
      <c r="FEV5" s="37"/>
      <c r="FEW5" s="37"/>
      <c r="FEX5" s="37"/>
      <c r="FEY5" s="37"/>
      <c r="FEZ5" s="37"/>
      <c r="FFA5" s="37"/>
      <c r="FFB5" s="37"/>
      <c r="FFC5" s="37"/>
      <c r="FFD5" s="37"/>
      <c r="FFE5" s="37"/>
      <c r="FFF5" s="37"/>
      <c r="FFG5" s="37"/>
      <c r="FFH5" s="37"/>
      <c r="FFI5" s="37"/>
      <c r="FFJ5" s="37"/>
      <c r="FFK5" s="37"/>
      <c r="FFL5" s="37"/>
      <c r="FFM5" s="37"/>
      <c r="FFN5" s="37"/>
      <c r="FFO5" s="37"/>
      <c r="FFP5" s="37"/>
      <c r="FFQ5" s="37"/>
      <c r="FFR5" s="37"/>
      <c r="FFS5" s="37"/>
      <c r="FFT5" s="37"/>
      <c r="FFU5" s="37"/>
      <c r="FFV5" s="37"/>
      <c r="FFW5" s="37"/>
      <c r="FFX5" s="37"/>
      <c r="FFY5" s="37"/>
      <c r="FFZ5" s="37"/>
      <c r="FGA5" s="37"/>
      <c r="FGB5" s="37"/>
      <c r="FGC5" s="37"/>
      <c r="FGD5" s="37"/>
      <c r="FGE5" s="37"/>
      <c r="FGF5" s="37"/>
      <c r="FGG5" s="37"/>
      <c r="FGH5" s="37"/>
      <c r="FGI5" s="37"/>
      <c r="FGJ5" s="37"/>
      <c r="FGK5" s="37"/>
      <c r="FGL5" s="37"/>
      <c r="FGM5" s="37"/>
      <c r="FGN5" s="37"/>
      <c r="FGO5" s="37"/>
      <c r="FGP5" s="37"/>
      <c r="FGQ5" s="37"/>
      <c r="FGR5" s="37"/>
      <c r="FGS5" s="37"/>
      <c r="FGT5" s="37"/>
      <c r="FGU5" s="37"/>
      <c r="FGV5" s="37"/>
      <c r="FGW5" s="37"/>
      <c r="FGX5" s="37"/>
      <c r="FGY5" s="37"/>
      <c r="FGZ5" s="37"/>
      <c r="FHA5" s="37"/>
      <c r="FHB5" s="37"/>
      <c r="FHC5" s="37"/>
      <c r="FHD5" s="37"/>
      <c r="FHE5" s="37"/>
      <c r="FHF5" s="37"/>
      <c r="FHG5" s="37"/>
      <c r="FHH5" s="37"/>
      <c r="FHI5" s="37"/>
      <c r="FHJ5" s="37"/>
      <c r="FHK5" s="37"/>
      <c r="FHL5" s="37"/>
      <c r="FHM5" s="37"/>
      <c r="FHN5" s="37"/>
      <c r="FHO5" s="37"/>
      <c r="FHP5" s="37"/>
      <c r="FHQ5" s="37"/>
      <c r="FHR5" s="37"/>
      <c r="FHS5" s="37"/>
      <c r="FHT5" s="37"/>
      <c r="FHU5" s="37"/>
      <c r="FHV5" s="37"/>
      <c r="FHW5" s="37"/>
      <c r="FHX5" s="37"/>
      <c r="FHY5" s="37"/>
      <c r="FHZ5" s="37"/>
      <c r="FIA5" s="37"/>
      <c r="FIB5" s="37"/>
      <c r="FIC5" s="37"/>
      <c r="FID5" s="37"/>
      <c r="FIE5" s="37"/>
      <c r="FIF5" s="37"/>
      <c r="FIG5" s="37"/>
      <c r="FIH5" s="37"/>
      <c r="FII5" s="37"/>
      <c r="FIJ5" s="37"/>
      <c r="FIK5" s="37"/>
      <c r="FIL5" s="37"/>
      <c r="FIM5" s="37"/>
      <c r="FIN5" s="37"/>
      <c r="FIO5" s="37"/>
      <c r="FIP5" s="37"/>
      <c r="FIQ5" s="37"/>
      <c r="FIR5" s="37"/>
      <c r="FIS5" s="37"/>
      <c r="FIT5" s="37"/>
      <c r="FIU5" s="37"/>
      <c r="FIV5" s="37"/>
      <c r="FIW5" s="37"/>
      <c r="FIX5" s="37"/>
      <c r="FIY5" s="37"/>
      <c r="FIZ5" s="37"/>
      <c r="FJA5" s="37"/>
      <c r="FJB5" s="37"/>
      <c r="FJC5" s="37"/>
      <c r="FJD5" s="37"/>
      <c r="FJE5" s="37"/>
      <c r="FJF5" s="37"/>
      <c r="FJG5" s="37"/>
      <c r="FJH5" s="37"/>
      <c r="FJI5" s="37"/>
      <c r="FJJ5" s="37"/>
      <c r="FJK5" s="37"/>
      <c r="FJL5" s="37"/>
      <c r="FJM5" s="37"/>
      <c r="FJN5" s="37"/>
      <c r="FJO5" s="37"/>
      <c r="FJP5" s="37"/>
      <c r="FJQ5" s="37"/>
      <c r="FJR5" s="37"/>
      <c r="FJS5" s="37"/>
      <c r="FJT5" s="37"/>
      <c r="FJU5" s="37"/>
      <c r="FJV5" s="37"/>
      <c r="FJW5" s="37"/>
      <c r="FJX5" s="37"/>
      <c r="FJY5" s="37"/>
      <c r="FJZ5" s="37"/>
      <c r="FKA5" s="37"/>
      <c r="FKB5" s="37"/>
      <c r="FKC5" s="37"/>
      <c r="FKD5" s="37"/>
      <c r="FKE5" s="37"/>
      <c r="FKF5" s="37"/>
      <c r="FKG5" s="37"/>
      <c r="FKH5" s="37"/>
      <c r="FKI5" s="37"/>
      <c r="FKJ5" s="37"/>
      <c r="FKK5" s="37"/>
      <c r="FKL5" s="37"/>
      <c r="FKM5" s="37"/>
      <c r="FKN5" s="37"/>
      <c r="FKO5" s="37"/>
      <c r="FKP5" s="37"/>
      <c r="FKQ5" s="37"/>
      <c r="FKR5" s="37"/>
      <c r="FKS5" s="37"/>
      <c r="FKT5" s="37"/>
      <c r="FKU5" s="37"/>
      <c r="FKV5" s="37"/>
      <c r="FKW5" s="37"/>
      <c r="FKX5" s="37"/>
      <c r="FKY5" s="37"/>
      <c r="FKZ5" s="37"/>
      <c r="FLA5" s="37"/>
      <c r="FLB5" s="37"/>
      <c r="FLC5" s="37"/>
      <c r="FLD5" s="37"/>
      <c r="FLE5" s="37"/>
      <c r="FLF5" s="37"/>
      <c r="FLG5" s="37"/>
      <c r="FLH5" s="37"/>
      <c r="FLI5" s="37"/>
      <c r="FLJ5" s="37"/>
      <c r="FLK5" s="37"/>
      <c r="FLL5" s="37"/>
      <c r="FLM5" s="37"/>
      <c r="FLN5" s="37"/>
      <c r="FLO5" s="37"/>
      <c r="FLP5" s="37"/>
      <c r="FLQ5" s="37"/>
      <c r="FLR5" s="37"/>
      <c r="FLS5" s="37"/>
      <c r="FLT5" s="37"/>
      <c r="FLU5" s="37"/>
      <c r="FLV5" s="37"/>
      <c r="FLW5" s="37"/>
      <c r="FLX5" s="37"/>
      <c r="FLY5" s="37"/>
      <c r="FLZ5" s="37"/>
      <c r="FMA5" s="37"/>
      <c r="FMB5" s="37"/>
      <c r="FMC5" s="37"/>
      <c r="FMD5" s="37"/>
      <c r="FME5" s="37"/>
      <c r="FMF5" s="37"/>
      <c r="FMG5" s="37"/>
      <c r="FMH5" s="37"/>
      <c r="FMI5" s="37"/>
      <c r="FMJ5" s="37"/>
      <c r="FMK5" s="37"/>
      <c r="FML5" s="37"/>
      <c r="FMM5" s="37"/>
      <c r="FMN5" s="37"/>
      <c r="FMO5" s="37"/>
      <c r="FMP5" s="37"/>
      <c r="FMQ5" s="37"/>
      <c r="FMR5" s="37"/>
      <c r="FMS5" s="37"/>
      <c r="FMT5" s="37"/>
      <c r="FMU5" s="37"/>
      <c r="FMV5" s="37"/>
      <c r="FMW5" s="37"/>
      <c r="FMX5" s="37"/>
      <c r="FMY5" s="37"/>
      <c r="FMZ5" s="37"/>
      <c r="FNA5" s="37"/>
      <c r="FNB5" s="37"/>
      <c r="FNC5" s="37"/>
      <c r="FND5" s="37"/>
      <c r="FNE5" s="37"/>
      <c r="FNF5" s="37"/>
      <c r="FNG5" s="37"/>
      <c r="FNH5" s="37"/>
      <c r="FNI5" s="37"/>
      <c r="FNJ5" s="37"/>
      <c r="FNK5" s="37"/>
      <c r="FNL5" s="37"/>
      <c r="FNM5" s="37"/>
      <c r="FNN5" s="37"/>
      <c r="FNO5" s="37"/>
      <c r="FNP5" s="37"/>
      <c r="FNQ5" s="37"/>
      <c r="FNR5" s="37"/>
      <c r="FNS5" s="37"/>
      <c r="FNT5" s="37"/>
      <c r="FNU5" s="37"/>
      <c r="FNV5" s="37"/>
      <c r="FNW5" s="37"/>
      <c r="FNX5" s="37"/>
      <c r="FNY5" s="37"/>
      <c r="FNZ5" s="37"/>
      <c r="FOA5" s="37"/>
      <c r="FOB5" s="37"/>
      <c r="FOC5" s="37"/>
      <c r="FOD5" s="37"/>
      <c r="FOE5" s="37"/>
      <c r="FOF5" s="37"/>
      <c r="FOG5" s="37"/>
      <c r="FOH5" s="37"/>
      <c r="FOI5" s="37"/>
      <c r="FOJ5" s="37"/>
      <c r="FOK5" s="37"/>
      <c r="FOL5" s="37"/>
      <c r="FOM5" s="37"/>
      <c r="FON5" s="37"/>
      <c r="FOO5" s="37"/>
      <c r="FOP5" s="37"/>
      <c r="FOQ5" s="37"/>
      <c r="FOR5" s="37"/>
      <c r="FOS5" s="37"/>
      <c r="FOT5" s="37"/>
      <c r="FOU5" s="37"/>
      <c r="FOV5" s="37"/>
      <c r="FOW5" s="37"/>
      <c r="FOX5" s="37"/>
      <c r="FOY5" s="37"/>
      <c r="FOZ5" s="37"/>
      <c r="FPA5" s="37"/>
      <c r="FPB5" s="37"/>
      <c r="FPC5" s="37"/>
      <c r="FPD5" s="37"/>
      <c r="FPE5" s="37"/>
      <c r="FPF5" s="37"/>
      <c r="FPG5" s="37"/>
      <c r="FPH5" s="37"/>
      <c r="FPI5" s="37"/>
      <c r="FPJ5" s="37"/>
      <c r="FPK5" s="37"/>
      <c r="FPL5" s="37"/>
      <c r="FPM5" s="37"/>
      <c r="FPN5" s="37"/>
      <c r="FPO5" s="37"/>
      <c r="FPP5" s="37"/>
      <c r="FPQ5" s="37"/>
      <c r="FPR5" s="37"/>
      <c r="FPS5" s="37"/>
      <c r="FPT5" s="37"/>
      <c r="FPU5" s="37"/>
      <c r="FPV5" s="37"/>
      <c r="FPW5" s="37"/>
      <c r="FPX5" s="37"/>
      <c r="FPY5" s="37"/>
      <c r="FPZ5" s="37"/>
      <c r="FQA5" s="37"/>
      <c r="FQB5" s="37"/>
      <c r="FQC5" s="37"/>
      <c r="FQD5" s="37"/>
      <c r="FQE5" s="37"/>
      <c r="FQF5" s="37"/>
      <c r="FQG5" s="37"/>
      <c r="FQH5" s="37"/>
      <c r="FQI5" s="37"/>
      <c r="FQJ5" s="37"/>
      <c r="FQK5" s="37"/>
      <c r="FQL5" s="37"/>
      <c r="FQM5" s="37"/>
      <c r="FQN5" s="37"/>
      <c r="FQO5" s="37"/>
      <c r="FQP5" s="37"/>
      <c r="FQQ5" s="37"/>
      <c r="FQR5" s="37"/>
      <c r="FQS5" s="37"/>
      <c r="FQT5" s="37"/>
      <c r="FQU5" s="37"/>
      <c r="FQV5" s="37"/>
      <c r="FQW5" s="37"/>
      <c r="FQX5" s="37"/>
      <c r="FQY5" s="37"/>
      <c r="FQZ5" s="37"/>
      <c r="FRA5" s="37"/>
      <c r="FRB5" s="37"/>
      <c r="FRC5" s="37"/>
      <c r="FRD5" s="37"/>
      <c r="FRE5" s="37"/>
      <c r="FRF5" s="37"/>
      <c r="FRG5" s="37"/>
      <c r="FRH5" s="37"/>
      <c r="FRI5" s="37"/>
      <c r="FRJ5" s="37"/>
      <c r="FRK5" s="37"/>
      <c r="FRL5" s="37"/>
      <c r="FRM5" s="37"/>
      <c r="FRN5" s="37"/>
      <c r="FRO5" s="37"/>
      <c r="FRP5" s="37"/>
      <c r="FRQ5" s="37"/>
      <c r="FRR5" s="37"/>
      <c r="FRS5" s="37"/>
      <c r="FRT5" s="37"/>
      <c r="FRU5" s="37"/>
      <c r="FRV5" s="37"/>
      <c r="FRW5" s="37"/>
      <c r="FRX5" s="37"/>
      <c r="FRY5" s="37"/>
      <c r="FRZ5" s="37"/>
      <c r="FSA5" s="37"/>
      <c r="FSB5" s="37"/>
      <c r="FSC5" s="37"/>
      <c r="FSD5" s="37"/>
      <c r="FSE5" s="37"/>
      <c r="FSF5" s="37"/>
      <c r="FSG5" s="37"/>
      <c r="FSH5" s="37"/>
      <c r="FSI5" s="37"/>
      <c r="FSJ5" s="37"/>
      <c r="FSK5" s="37"/>
      <c r="FSL5" s="37"/>
      <c r="FSM5" s="37"/>
      <c r="FSN5" s="37"/>
      <c r="FSO5" s="37"/>
      <c r="FSP5" s="37"/>
      <c r="FSQ5" s="37"/>
      <c r="FSR5" s="37"/>
      <c r="FSS5" s="37"/>
      <c r="FST5" s="37"/>
      <c r="FSU5" s="37"/>
      <c r="FSV5" s="37"/>
      <c r="FSW5" s="37"/>
      <c r="FSX5" s="37"/>
      <c r="FSY5" s="37"/>
      <c r="FSZ5" s="37"/>
      <c r="FTA5" s="37"/>
      <c r="FTB5" s="37"/>
      <c r="FTC5" s="37"/>
      <c r="FTD5" s="37"/>
      <c r="FTE5" s="37"/>
      <c r="FTF5" s="37"/>
      <c r="FTG5" s="37"/>
      <c r="FTH5" s="37"/>
      <c r="FTI5" s="37"/>
      <c r="FTJ5" s="37"/>
      <c r="FTK5" s="37"/>
      <c r="FTL5" s="37"/>
      <c r="FTM5" s="37"/>
      <c r="FTN5" s="37"/>
      <c r="FTO5" s="37"/>
      <c r="FTP5" s="37"/>
      <c r="FTQ5" s="37"/>
      <c r="FTR5" s="37"/>
      <c r="FTS5" s="37"/>
      <c r="FTT5" s="37"/>
      <c r="FTU5" s="37"/>
      <c r="FTV5" s="37"/>
      <c r="FTW5" s="37"/>
      <c r="FTX5" s="37"/>
      <c r="FTY5" s="37"/>
      <c r="FTZ5" s="37"/>
      <c r="FUA5" s="37"/>
      <c r="FUB5" s="37"/>
      <c r="FUC5" s="37"/>
      <c r="FUD5" s="37"/>
      <c r="FUE5" s="37"/>
      <c r="FUF5" s="37"/>
      <c r="FUG5" s="37"/>
      <c r="FUH5" s="37"/>
      <c r="FUI5" s="37"/>
      <c r="FUJ5" s="37"/>
      <c r="FUK5" s="37"/>
      <c r="FUL5" s="37"/>
      <c r="FUM5" s="37"/>
      <c r="FUN5" s="37"/>
      <c r="FUO5" s="37"/>
      <c r="FUP5" s="37"/>
      <c r="FUQ5" s="37"/>
      <c r="FUR5" s="37"/>
      <c r="FUS5" s="37"/>
      <c r="FUT5" s="37"/>
      <c r="FUU5" s="37"/>
      <c r="FUV5" s="37"/>
      <c r="FUW5" s="37"/>
      <c r="FUX5" s="37"/>
      <c r="FUY5" s="37"/>
      <c r="FUZ5" s="37"/>
      <c r="FVA5" s="37"/>
      <c r="FVB5" s="37"/>
      <c r="FVC5" s="37"/>
      <c r="FVD5" s="37"/>
      <c r="FVE5" s="37"/>
      <c r="FVF5" s="37"/>
      <c r="FVG5" s="37"/>
      <c r="FVH5" s="37"/>
      <c r="FVI5" s="37"/>
      <c r="FVJ5" s="37"/>
      <c r="FVK5" s="37"/>
      <c r="FVL5" s="37"/>
      <c r="FVM5" s="37"/>
      <c r="FVN5" s="37"/>
      <c r="FVO5" s="37"/>
      <c r="FVP5" s="37"/>
      <c r="FVQ5" s="37"/>
      <c r="FVR5" s="37"/>
      <c r="FVS5" s="37"/>
      <c r="FVT5" s="37"/>
      <c r="FVU5" s="37"/>
      <c r="FVV5" s="37"/>
      <c r="FVW5" s="37"/>
      <c r="FVX5" s="37"/>
      <c r="FVY5" s="37"/>
      <c r="FVZ5" s="37"/>
      <c r="FWA5" s="37"/>
      <c r="FWB5" s="37"/>
      <c r="FWC5" s="37"/>
      <c r="FWD5" s="37"/>
      <c r="FWE5" s="37"/>
      <c r="FWF5" s="37"/>
      <c r="FWG5" s="37"/>
      <c r="FWH5" s="37"/>
      <c r="FWI5" s="37"/>
      <c r="FWJ5" s="37"/>
      <c r="FWK5" s="37"/>
      <c r="FWL5" s="37"/>
      <c r="FWM5" s="37"/>
      <c r="FWN5" s="37"/>
      <c r="FWO5" s="37"/>
      <c r="FWP5" s="37"/>
      <c r="FWQ5" s="37"/>
      <c r="FWR5" s="37"/>
      <c r="FWS5" s="37"/>
      <c r="FWT5" s="37"/>
      <c r="FWU5" s="37"/>
      <c r="FWV5" s="37"/>
      <c r="FWW5" s="37"/>
      <c r="FWX5" s="37"/>
      <c r="FWY5" s="37"/>
      <c r="FWZ5" s="37"/>
      <c r="FXA5" s="37"/>
      <c r="FXB5" s="37"/>
      <c r="FXC5" s="37"/>
      <c r="FXD5" s="37"/>
      <c r="FXE5" s="37"/>
      <c r="FXF5" s="37"/>
      <c r="FXG5" s="37"/>
      <c r="FXH5" s="37"/>
      <c r="FXI5" s="37"/>
      <c r="FXJ5" s="37"/>
      <c r="FXK5" s="37"/>
      <c r="FXL5" s="37"/>
      <c r="FXM5" s="37"/>
      <c r="FXN5" s="37"/>
      <c r="FXO5" s="37"/>
      <c r="FXP5" s="37"/>
      <c r="FXQ5" s="37"/>
      <c r="FXR5" s="37"/>
      <c r="FXS5" s="37"/>
      <c r="FXT5" s="37"/>
      <c r="FXU5" s="37"/>
      <c r="FXV5" s="37"/>
      <c r="FXW5" s="37"/>
      <c r="FXX5" s="37"/>
      <c r="FXY5" s="37"/>
      <c r="FXZ5" s="37"/>
      <c r="FYA5" s="37"/>
      <c r="FYB5" s="37"/>
      <c r="FYC5" s="37"/>
      <c r="FYD5" s="37"/>
      <c r="FYE5" s="37"/>
      <c r="FYF5" s="37"/>
      <c r="FYG5" s="37"/>
      <c r="FYH5" s="37"/>
      <c r="FYI5" s="37"/>
      <c r="FYJ5" s="37"/>
      <c r="FYK5" s="37"/>
      <c r="FYL5" s="37"/>
      <c r="FYM5" s="37"/>
      <c r="FYN5" s="37"/>
      <c r="FYO5" s="37"/>
      <c r="FYP5" s="37"/>
      <c r="FYQ5" s="37"/>
      <c r="FYR5" s="37"/>
      <c r="FYS5" s="37"/>
      <c r="FYT5" s="37"/>
      <c r="FYU5" s="37"/>
      <c r="FYV5" s="37"/>
      <c r="FYW5" s="37"/>
      <c r="FYX5" s="37"/>
      <c r="FYY5" s="37"/>
      <c r="FYZ5" s="37"/>
      <c r="FZA5" s="37"/>
      <c r="FZB5" s="37"/>
      <c r="FZC5" s="37"/>
      <c r="FZD5" s="37"/>
      <c r="FZE5" s="37"/>
      <c r="FZF5" s="37"/>
      <c r="FZG5" s="37"/>
      <c r="FZH5" s="37"/>
      <c r="FZI5" s="37"/>
      <c r="FZJ5" s="37"/>
      <c r="FZK5" s="37"/>
      <c r="FZL5" s="37"/>
      <c r="FZM5" s="37"/>
      <c r="FZN5" s="37"/>
      <c r="FZO5" s="37"/>
      <c r="FZP5" s="37"/>
      <c r="FZQ5" s="37"/>
      <c r="FZR5" s="37"/>
      <c r="FZS5" s="37"/>
      <c r="FZT5" s="37"/>
      <c r="FZU5" s="37"/>
      <c r="FZV5" s="37"/>
      <c r="FZW5" s="37"/>
      <c r="FZX5" s="37"/>
      <c r="FZY5" s="37"/>
      <c r="FZZ5" s="37"/>
      <c r="GAA5" s="37"/>
      <c r="GAB5" s="37"/>
      <c r="GAC5" s="37"/>
      <c r="GAD5" s="37"/>
      <c r="GAE5" s="37"/>
      <c r="GAF5" s="37"/>
      <c r="GAG5" s="37"/>
      <c r="GAH5" s="37"/>
      <c r="GAI5" s="37"/>
      <c r="GAJ5" s="37"/>
      <c r="GAK5" s="37"/>
      <c r="GAL5" s="37"/>
      <c r="GAM5" s="37"/>
      <c r="GAN5" s="37"/>
      <c r="GAO5" s="37"/>
      <c r="GAP5" s="37"/>
      <c r="GAQ5" s="37"/>
      <c r="GAR5" s="37"/>
      <c r="GAS5" s="37"/>
      <c r="GAT5" s="37"/>
      <c r="GAU5" s="37"/>
      <c r="GAV5" s="37"/>
      <c r="GAW5" s="37"/>
      <c r="GAX5" s="37"/>
      <c r="GAY5" s="37"/>
      <c r="GAZ5" s="37"/>
      <c r="GBA5" s="37"/>
      <c r="GBB5" s="37"/>
      <c r="GBC5" s="37"/>
      <c r="GBD5" s="37"/>
      <c r="GBE5" s="37"/>
      <c r="GBF5" s="37"/>
      <c r="GBG5" s="37"/>
      <c r="GBH5" s="37"/>
      <c r="GBI5" s="37"/>
      <c r="GBJ5" s="37"/>
      <c r="GBK5" s="37"/>
      <c r="GBL5" s="37"/>
      <c r="GBM5" s="37"/>
      <c r="GBN5" s="37"/>
      <c r="GBO5" s="37"/>
      <c r="GBP5" s="37"/>
      <c r="GBQ5" s="37"/>
      <c r="GBR5" s="37"/>
      <c r="GBS5" s="37"/>
      <c r="GBT5" s="37"/>
      <c r="GBU5" s="37"/>
      <c r="GBV5" s="37"/>
      <c r="GBW5" s="37"/>
      <c r="GBX5" s="37"/>
      <c r="GBY5" s="37"/>
      <c r="GBZ5" s="37"/>
      <c r="GCA5" s="37"/>
      <c r="GCB5" s="37"/>
      <c r="GCC5" s="37"/>
      <c r="GCD5" s="37"/>
      <c r="GCE5" s="37"/>
      <c r="GCF5" s="37"/>
      <c r="GCG5" s="37"/>
      <c r="GCH5" s="37"/>
      <c r="GCI5" s="37"/>
      <c r="GCJ5" s="37"/>
      <c r="GCK5" s="37"/>
      <c r="GCL5" s="37"/>
      <c r="GCM5" s="37"/>
      <c r="GCN5" s="37"/>
      <c r="GCO5" s="37"/>
      <c r="GCP5" s="37"/>
      <c r="GCQ5" s="37"/>
      <c r="GCR5" s="37"/>
      <c r="GCS5" s="37"/>
      <c r="GCT5" s="37"/>
      <c r="GCU5" s="37"/>
      <c r="GCV5" s="37"/>
      <c r="GCW5" s="37"/>
      <c r="GCX5" s="37"/>
      <c r="GCY5" s="37"/>
      <c r="GCZ5" s="37"/>
      <c r="GDA5" s="37"/>
      <c r="GDB5" s="37"/>
      <c r="GDC5" s="37"/>
      <c r="GDD5" s="37"/>
      <c r="GDE5" s="37"/>
      <c r="GDF5" s="37"/>
      <c r="GDG5" s="37"/>
      <c r="GDH5" s="37"/>
      <c r="GDI5" s="37"/>
      <c r="GDJ5" s="37"/>
      <c r="GDK5" s="37"/>
      <c r="GDL5" s="37"/>
      <c r="GDM5" s="37"/>
      <c r="GDN5" s="37"/>
      <c r="GDO5" s="37"/>
      <c r="GDP5" s="37"/>
      <c r="GDQ5" s="37"/>
      <c r="GDR5" s="37"/>
      <c r="GDS5" s="37"/>
      <c r="GDT5" s="37"/>
      <c r="GDU5" s="37"/>
      <c r="GDV5" s="37"/>
      <c r="GDW5" s="37"/>
      <c r="GDX5" s="37"/>
      <c r="GDY5" s="37"/>
      <c r="GDZ5" s="37"/>
      <c r="GEA5" s="37"/>
      <c r="GEB5" s="37"/>
      <c r="GEC5" s="37"/>
      <c r="GED5" s="37"/>
      <c r="GEE5" s="37"/>
      <c r="GEF5" s="37"/>
      <c r="GEG5" s="37"/>
      <c r="GEH5" s="37"/>
      <c r="GEI5" s="37"/>
      <c r="GEJ5" s="37"/>
      <c r="GEK5" s="37"/>
      <c r="GEL5" s="37"/>
      <c r="GEM5" s="37"/>
      <c r="GEN5" s="37"/>
      <c r="GEO5" s="37"/>
      <c r="GEP5" s="37"/>
      <c r="GEQ5" s="37"/>
      <c r="GER5" s="37"/>
      <c r="GES5" s="37"/>
      <c r="GET5" s="37"/>
      <c r="GEU5" s="37"/>
      <c r="GEV5" s="37"/>
      <c r="GEW5" s="37"/>
      <c r="GEX5" s="37"/>
      <c r="GEY5" s="37"/>
      <c r="GEZ5" s="37"/>
      <c r="GFA5" s="37"/>
      <c r="GFB5" s="37"/>
      <c r="GFC5" s="37"/>
      <c r="GFD5" s="37"/>
      <c r="GFE5" s="37"/>
      <c r="GFF5" s="37"/>
      <c r="GFG5" s="37"/>
      <c r="GFH5" s="37"/>
      <c r="GFI5" s="37"/>
      <c r="GFJ5" s="37"/>
      <c r="GFK5" s="37"/>
      <c r="GFL5" s="37"/>
      <c r="GFM5" s="37"/>
      <c r="GFN5" s="37"/>
      <c r="GFO5" s="37"/>
      <c r="GFP5" s="37"/>
      <c r="GFQ5" s="37"/>
      <c r="GFR5" s="37"/>
      <c r="GFS5" s="37"/>
      <c r="GFT5" s="37"/>
      <c r="GFU5" s="37"/>
      <c r="GFV5" s="37"/>
      <c r="GFW5" s="37"/>
      <c r="GFX5" s="37"/>
      <c r="GFY5" s="37"/>
      <c r="GFZ5" s="37"/>
      <c r="GGA5" s="37"/>
      <c r="GGB5" s="37"/>
      <c r="GGC5" s="37"/>
      <c r="GGD5" s="37"/>
      <c r="GGE5" s="37"/>
      <c r="GGF5" s="37"/>
      <c r="GGG5" s="37"/>
      <c r="GGH5" s="37"/>
      <c r="GGI5" s="37"/>
      <c r="GGJ5" s="37"/>
      <c r="GGK5" s="37"/>
      <c r="GGL5" s="37"/>
      <c r="GGM5" s="37"/>
      <c r="GGN5" s="37"/>
      <c r="GGO5" s="37"/>
      <c r="GGP5" s="37"/>
      <c r="GGQ5" s="37"/>
      <c r="GGR5" s="37"/>
      <c r="GGS5" s="37"/>
      <c r="GGT5" s="37"/>
      <c r="GGU5" s="37"/>
      <c r="GGV5" s="37"/>
      <c r="GGW5" s="37"/>
      <c r="GGX5" s="37"/>
      <c r="GGY5" s="37"/>
      <c r="GGZ5" s="37"/>
      <c r="GHA5" s="37"/>
      <c r="GHB5" s="37"/>
      <c r="GHC5" s="37"/>
      <c r="GHD5" s="37"/>
      <c r="GHE5" s="37"/>
      <c r="GHF5" s="37"/>
      <c r="GHG5" s="37"/>
      <c r="GHH5" s="37"/>
      <c r="GHI5" s="37"/>
      <c r="GHJ5" s="37"/>
      <c r="GHK5" s="37"/>
      <c r="GHL5" s="37"/>
      <c r="GHM5" s="37"/>
      <c r="GHN5" s="37"/>
      <c r="GHO5" s="37"/>
      <c r="GHP5" s="37"/>
      <c r="GHQ5" s="37"/>
      <c r="GHR5" s="37"/>
      <c r="GHS5" s="37"/>
      <c r="GHT5" s="37"/>
      <c r="GHU5" s="37"/>
      <c r="GHV5" s="37"/>
      <c r="GHW5" s="37"/>
      <c r="GHX5" s="37"/>
      <c r="GHY5" s="37"/>
      <c r="GHZ5" s="37"/>
      <c r="GIA5" s="37"/>
      <c r="GIB5" s="37"/>
      <c r="GIC5" s="37"/>
      <c r="GID5" s="37"/>
      <c r="GIE5" s="37"/>
      <c r="GIF5" s="37"/>
      <c r="GIG5" s="37"/>
      <c r="GIH5" s="37"/>
      <c r="GII5" s="37"/>
      <c r="GIJ5" s="37"/>
      <c r="GIK5" s="37"/>
      <c r="GIL5" s="37"/>
      <c r="GIM5" s="37"/>
      <c r="GIN5" s="37"/>
      <c r="GIO5" s="37"/>
      <c r="GIP5" s="37"/>
      <c r="GIQ5" s="37"/>
      <c r="GIR5" s="37"/>
      <c r="GIS5" s="37"/>
      <c r="GIT5" s="37"/>
      <c r="GIU5" s="37"/>
      <c r="GIV5" s="37"/>
      <c r="GIW5" s="37"/>
      <c r="GIX5" s="37"/>
      <c r="GIY5" s="37"/>
      <c r="GIZ5" s="37"/>
      <c r="GJA5" s="37"/>
      <c r="GJB5" s="37"/>
      <c r="GJC5" s="37"/>
      <c r="GJD5" s="37"/>
      <c r="GJE5" s="37"/>
      <c r="GJF5" s="37"/>
      <c r="GJG5" s="37"/>
      <c r="GJH5" s="37"/>
      <c r="GJI5" s="37"/>
      <c r="GJJ5" s="37"/>
      <c r="GJK5" s="37"/>
      <c r="GJL5" s="37"/>
      <c r="GJM5" s="37"/>
      <c r="GJN5" s="37"/>
      <c r="GJO5" s="37"/>
      <c r="GJP5" s="37"/>
      <c r="GJQ5" s="37"/>
      <c r="GJR5" s="37"/>
      <c r="GJS5" s="37"/>
      <c r="GJT5" s="37"/>
      <c r="GJU5" s="37"/>
      <c r="GJV5" s="37"/>
      <c r="GJW5" s="37"/>
      <c r="GJX5" s="37"/>
      <c r="GJY5" s="37"/>
      <c r="GJZ5" s="37"/>
      <c r="GKA5" s="37"/>
      <c r="GKB5" s="37"/>
      <c r="GKC5" s="37"/>
      <c r="GKD5" s="37"/>
      <c r="GKE5" s="37"/>
      <c r="GKF5" s="37"/>
      <c r="GKG5" s="37"/>
      <c r="GKH5" s="37"/>
      <c r="GKI5" s="37"/>
      <c r="GKJ5" s="37"/>
      <c r="GKK5" s="37"/>
      <c r="GKL5" s="37"/>
      <c r="GKM5" s="37"/>
      <c r="GKN5" s="37"/>
      <c r="GKO5" s="37"/>
      <c r="GKP5" s="37"/>
      <c r="GKQ5" s="37"/>
      <c r="GKR5" s="37"/>
      <c r="GKS5" s="37"/>
      <c r="GKT5" s="37"/>
      <c r="GKU5" s="37"/>
      <c r="GKV5" s="37"/>
      <c r="GKW5" s="37"/>
      <c r="GKX5" s="37"/>
      <c r="GKY5" s="37"/>
      <c r="GKZ5" s="37"/>
      <c r="GLA5" s="37"/>
      <c r="GLB5" s="37"/>
      <c r="GLC5" s="37"/>
      <c r="GLD5" s="37"/>
      <c r="GLE5" s="37"/>
      <c r="GLF5" s="37"/>
      <c r="GLG5" s="37"/>
      <c r="GLH5" s="37"/>
      <c r="GLI5" s="37"/>
      <c r="GLJ5" s="37"/>
      <c r="GLK5" s="37"/>
      <c r="GLL5" s="37"/>
      <c r="GLM5" s="37"/>
      <c r="GLN5" s="37"/>
      <c r="GLO5" s="37"/>
      <c r="GLP5" s="37"/>
      <c r="GLQ5" s="37"/>
      <c r="GLR5" s="37"/>
      <c r="GLS5" s="37"/>
      <c r="GLT5" s="37"/>
      <c r="GLU5" s="37"/>
      <c r="GLV5" s="37"/>
      <c r="GLW5" s="37"/>
      <c r="GLX5" s="37"/>
      <c r="GLY5" s="37"/>
      <c r="GLZ5" s="37"/>
      <c r="GMA5" s="37"/>
      <c r="GMB5" s="37"/>
      <c r="GMC5" s="37"/>
      <c r="GMD5" s="37"/>
      <c r="GME5" s="37"/>
      <c r="GMF5" s="37"/>
      <c r="GMG5" s="37"/>
      <c r="GMH5" s="37"/>
      <c r="GMI5" s="37"/>
      <c r="GMJ5" s="37"/>
      <c r="GMK5" s="37"/>
      <c r="GML5" s="37"/>
      <c r="GMM5" s="37"/>
      <c r="GMN5" s="37"/>
      <c r="GMO5" s="37"/>
      <c r="GMP5" s="37"/>
      <c r="GMQ5" s="37"/>
      <c r="GMR5" s="37"/>
      <c r="GMS5" s="37"/>
      <c r="GMT5" s="37"/>
      <c r="GMU5" s="37"/>
      <c r="GMV5" s="37"/>
      <c r="GMW5" s="37"/>
      <c r="GMX5" s="37"/>
      <c r="GMY5" s="37"/>
      <c r="GMZ5" s="37"/>
      <c r="GNA5" s="37"/>
      <c r="GNB5" s="37"/>
      <c r="GNC5" s="37"/>
      <c r="GND5" s="37"/>
      <c r="GNE5" s="37"/>
      <c r="GNF5" s="37"/>
      <c r="GNG5" s="37"/>
      <c r="GNH5" s="37"/>
      <c r="GNI5" s="37"/>
      <c r="GNJ5" s="37"/>
      <c r="GNK5" s="37"/>
      <c r="GNL5" s="37"/>
      <c r="GNM5" s="37"/>
      <c r="GNN5" s="37"/>
      <c r="GNO5" s="37"/>
      <c r="GNP5" s="37"/>
      <c r="GNQ5" s="37"/>
      <c r="GNR5" s="37"/>
      <c r="GNS5" s="37"/>
      <c r="GNT5" s="37"/>
      <c r="GNU5" s="37"/>
      <c r="GNV5" s="37"/>
      <c r="GNW5" s="37"/>
      <c r="GNX5" s="37"/>
      <c r="GNY5" s="37"/>
      <c r="GNZ5" s="37"/>
      <c r="GOA5" s="37"/>
      <c r="GOB5" s="37"/>
      <c r="GOC5" s="37"/>
      <c r="GOD5" s="37"/>
      <c r="GOE5" s="37"/>
      <c r="GOF5" s="37"/>
      <c r="GOG5" s="37"/>
      <c r="GOH5" s="37"/>
      <c r="GOI5" s="37"/>
      <c r="GOJ5" s="37"/>
      <c r="GOK5" s="37"/>
      <c r="GOL5" s="37"/>
      <c r="GOM5" s="37"/>
      <c r="GON5" s="37"/>
      <c r="GOO5" s="37"/>
      <c r="GOP5" s="37"/>
      <c r="GOQ5" s="37"/>
      <c r="GOR5" s="37"/>
      <c r="GOS5" s="37"/>
      <c r="GOT5" s="37"/>
      <c r="GOU5" s="37"/>
      <c r="GOV5" s="37"/>
      <c r="GOW5" s="37"/>
      <c r="GOX5" s="37"/>
      <c r="GOY5" s="37"/>
      <c r="GOZ5" s="37"/>
      <c r="GPA5" s="37"/>
      <c r="GPB5" s="37"/>
      <c r="GPC5" s="37"/>
      <c r="GPD5" s="37"/>
      <c r="GPE5" s="37"/>
      <c r="GPF5" s="37"/>
      <c r="GPG5" s="37"/>
      <c r="GPH5" s="37"/>
      <c r="GPI5" s="37"/>
      <c r="GPJ5" s="37"/>
      <c r="GPK5" s="37"/>
      <c r="GPL5" s="37"/>
      <c r="GPM5" s="37"/>
      <c r="GPN5" s="37"/>
      <c r="GPO5" s="37"/>
      <c r="GPP5" s="37"/>
      <c r="GPQ5" s="37"/>
      <c r="GPR5" s="37"/>
      <c r="GPS5" s="37"/>
      <c r="GPT5" s="37"/>
      <c r="GPU5" s="37"/>
      <c r="GPV5" s="37"/>
      <c r="GPW5" s="37"/>
      <c r="GPX5" s="37"/>
      <c r="GPY5" s="37"/>
      <c r="GPZ5" s="37"/>
      <c r="GQA5" s="37"/>
      <c r="GQB5" s="37"/>
      <c r="GQC5" s="37"/>
      <c r="GQD5" s="37"/>
      <c r="GQE5" s="37"/>
      <c r="GQF5" s="37"/>
      <c r="GQG5" s="37"/>
      <c r="GQH5" s="37"/>
      <c r="GQI5" s="37"/>
      <c r="GQJ5" s="37"/>
      <c r="GQK5" s="37"/>
      <c r="GQL5" s="37"/>
      <c r="GQM5" s="37"/>
      <c r="GQN5" s="37"/>
      <c r="GQO5" s="37"/>
      <c r="GQP5" s="37"/>
      <c r="GQQ5" s="37"/>
      <c r="GQR5" s="37"/>
      <c r="GQS5" s="37"/>
      <c r="GQT5" s="37"/>
      <c r="GQU5" s="37"/>
      <c r="GQV5" s="37"/>
      <c r="GQW5" s="37"/>
      <c r="GQX5" s="37"/>
      <c r="GQY5" s="37"/>
      <c r="GQZ5" s="37"/>
      <c r="GRA5" s="37"/>
      <c r="GRB5" s="37"/>
      <c r="GRC5" s="37"/>
      <c r="GRD5" s="37"/>
      <c r="GRE5" s="37"/>
      <c r="GRF5" s="37"/>
      <c r="GRG5" s="37"/>
      <c r="GRH5" s="37"/>
      <c r="GRI5" s="37"/>
      <c r="GRJ5" s="37"/>
      <c r="GRK5" s="37"/>
      <c r="GRL5" s="37"/>
      <c r="GRM5" s="37"/>
      <c r="GRN5" s="37"/>
      <c r="GRO5" s="37"/>
      <c r="GRP5" s="37"/>
      <c r="GRQ5" s="37"/>
      <c r="GRR5" s="37"/>
      <c r="GRS5" s="37"/>
      <c r="GRT5" s="37"/>
      <c r="GRU5" s="37"/>
      <c r="GRV5" s="37"/>
      <c r="GRW5" s="37"/>
      <c r="GRX5" s="37"/>
      <c r="GRY5" s="37"/>
      <c r="GRZ5" s="37"/>
      <c r="GSA5" s="37"/>
      <c r="GSB5" s="37"/>
      <c r="GSC5" s="37"/>
      <c r="GSD5" s="37"/>
      <c r="GSE5" s="37"/>
      <c r="GSF5" s="37"/>
      <c r="GSG5" s="37"/>
      <c r="GSH5" s="37"/>
      <c r="GSI5" s="37"/>
      <c r="GSJ5" s="37"/>
      <c r="GSK5" s="37"/>
      <c r="GSL5" s="37"/>
      <c r="GSM5" s="37"/>
      <c r="GSN5" s="37"/>
      <c r="GSO5" s="37"/>
      <c r="GSP5" s="37"/>
      <c r="GSQ5" s="37"/>
      <c r="GSR5" s="37"/>
      <c r="GSS5" s="37"/>
      <c r="GST5" s="37"/>
      <c r="GSU5" s="37"/>
      <c r="GSV5" s="37"/>
      <c r="GSW5" s="37"/>
      <c r="GSX5" s="37"/>
      <c r="GSY5" s="37"/>
      <c r="GSZ5" s="37"/>
      <c r="GTA5" s="37"/>
      <c r="GTB5" s="37"/>
      <c r="GTC5" s="37"/>
      <c r="GTD5" s="37"/>
      <c r="GTE5" s="37"/>
      <c r="GTF5" s="37"/>
      <c r="GTG5" s="37"/>
      <c r="GTH5" s="37"/>
      <c r="GTI5" s="37"/>
      <c r="GTJ5" s="37"/>
      <c r="GTK5" s="37"/>
      <c r="GTL5" s="37"/>
      <c r="GTM5" s="37"/>
      <c r="GTN5" s="37"/>
      <c r="GTO5" s="37"/>
      <c r="GTP5" s="37"/>
      <c r="GTQ5" s="37"/>
      <c r="GTR5" s="37"/>
      <c r="GTS5" s="37"/>
      <c r="GTT5" s="37"/>
      <c r="GTU5" s="37"/>
      <c r="GTV5" s="37"/>
      <c r="GTW5" s="37"/>
      <c r="GTX5" s="37"/>
      <c r="GTY5" s="37"/>
      <c r="GTZ5" s="37"/>
      <c r="GUA5" s="37"/>
      <c r="GUB5" s="37"/>
      <c r="GUC5" s="37"/>
      <c r="GUD5" s="37"/>
      <c r="GUE5" s="37"/>
      <c r="GUF5" s="37"/>
      <c r="GUG5" s="37"/>
      <c r="GUH5" s="37"/>
      <c r="GUI5" s="37"/>
      <c r="GUJ5" s="37"/>
      <c r="GUK5" s="37"/>
      <c r="GUL5" s="37"/>
      <c r="GUM5" s="37"/>
      <c r="GUN5" s="37"/>
      <c r="GUO5" s="37"/>
      <c r="GUP5" s="37"/>
      <c r="GUQ5" s="37"/>
      <c r="GUR5" s="37"/>
      <c r="GUS5" s="37"/>
      <c r="GUT5" s="37"/>
      <c r="GUU5" s="37"/>
      <c r="GUV5" s="37"/>
      <c r="GUW5" s="37"/>
      <c r="GUX5" s="37"/>
      <c r="GUY5" s="37"/>
      <c r="GUZ5" s="37"/>
      <c r="GVA5" s="37"/>
      <c r="GVB5" s="37"/>
      <c r="GVC5" s="37"/>
      <c r="GVD5" s="37"/>
      <c r="GVE5" s="37"/>
      <c r="GVF5" s="37"/>
      <c r="GVG5" s="37"/>
      <c r="GVH5" s="37"/>
      <c r="GVI5" s="37"/>
      <c r="GVJ5" s="37"/>
      <c r="GVK5" s="37"/>
      <c r="GVL5" s="37"/>
      <c r="GVM5" s="37"/>
      <c r="GVN5" s="37"/>
      <c r="GVO5" s="37"/>
      <c r="GVP5" s="37"/>
      <c r="GVQ5" s="37"/>
      <c r="GVR5" s="37"/>
      <c r="GVS5" s="37"/>
      <c r="GVT5" s="37"/>
      <c r="GVU5" s="37"/>
      <c r="GVV5" s="37"/>
      <c r="GVW5" s="37"/>
      <c r="GVX5" s="37"/>
      <c r="GVY5" s="37"/>
      <c r="GVZ5" s="37"/>
      <c r="GWA5" s="37"/>
      <c r="GWB5" s="37"/>
      <c r="GWC5" s="37"/>
      <c r="GWD5" s="37"/>
      <c r="GWE5" s="37"/>
      <c r="GWF5" s="37"/>
      <c r="GWG5" s="37"/>
      <c r="GWH5" s="37"/>
      <c r="GWI5" s="37"/>
      <c r="GWJ5" s="37"/>
      <c r="GWK5" s="37"/>
      <c r="GWL5" s="37"/>
      <c r="GWM5" s="37"/>
      <c r="GWN5" s="37"/>
      <c r="GWO5" s="37"/>
      <c r="GWP5" s="37"/>
      <c r="GWQ5" s="37"/>
      <c r="GWR5" s="37"/>
      <c r="GWS5" s="37"/>
      <c r="GWT5" s="37"/>
      <c r="GWU5" s="37"/>
      <c r="GWV5" s="37"/>
      <c r="GWW5" s="37"/>
      <c r="GWX5" s="37"/>
      <c r="GWY5" s="37"/>
      <c r="GWZ5" s="37"/>
      <c r="GXA5" s="37"/>
      <c r="GXB5" s="37"/>
      <c r="GXC5" s="37"/>
      <c r="GXD5" s="37"/>
      <c r="GXE5" s="37"/>
      <c r="GXF5" s="37"/>
      <c r="GXG5" s="37"/>
      <c r="GXH5" s="37"/>
      <c r="GXI5" s="37"/>
      <c r="GXJ5" s="37"/>
      <c r="GXK5" s="37"/>
      <c r="GXL5" s="37"/>
      <c r="GXM5" s="37"/>
      <c r="GXN5" s="37"/>
      <c r="GXO5" s="37"/>
      <c r="GXP5" s="37"/>
      <c r="GXQ5" s="37"/>
      <c r="GXR5" s="37"/>
      <c r="GXS5" s="37"/>
      <c r="GXT5" s="37"/>
      <c r="GXU5" s="37"/>
      <c r="GXV5" s="37"/>
      <c r="GXW5" s="37"/>
      <c r="GXX5" s="37"/>
      <c r="GXY5" s="37"/>
      <c r="GXZ5" s="37"/>
      <c r="GYA5" s="37"/>
      <c r="GYB5" s="37"/>
      <c r="GYC5" s="37"/>
      <c r="GYD5" s="37"/>
      <c r="GYE5" s="37"/>
      <c r="GYF5" s="37"/>
      <c r="GYG5" s="37"/>
      <c r="GYH5" s="37"/>
      <c r="GYI5" s="37"/>
      <c r="GYJ5" s="37"/>
      <c r="GYK5" s="37"/>
      <c r="GYL5" s="37"/>
      <c r="GYM5" s="37"/>
      <c r="GYN5" s="37"/>
      <c r="GYO5" s="37"/>
      <c r="GYP5" s="37"/>
      <c r="GYQ5" s="37"/>
      <c r="GYR5" s="37"/>
      <c r="GYS5" s="37"/>
      <c r="GYT5" s="37"/>
      <c r="GYU5" s="37"/>
      <c r="GYV5" s="37"/>
      <c r="GYW5" s="37"/>
      <c r="GYX5" s="37"/>
      <c r="GYY5" s="37"/>
      <c r="GYZ5" s="37"/>
      <c r="GZA5" s="37"/>
      <c r="GZB5" s="37"/>
      <c r="GZC5" s="37"/>
      <c r="GZD5" s="37"/>
      <c r="GZE5" s="37"/>
      <c r="GZF5" s="37"/>
      <c r="GZG5" s="37"/>
      <c r="GZH5" s="37"/>
      <c r="GZI5" s="37"/>
      <c r="GZJ5" s="37"/>
      <c r="GZK5" s="37"/>
      <c r="GZL5" s="37"/>
      <c r="GZM5" s="37"/>
      <c r="GZN5" s="37"/>
      <c r="GZO5" s="37"/>
      <c r="GZP5" s="37"/>
      <c r="GZQ5" s="37"/>
      <c r="GZR5" s="37"/>
      <c r="GZS5" s="37"/>
      <c r="GZT5" s="37"/>
      <c r="GZU5" s="37"/>
      <c r="GZV5" s="37"/>
      <c r="GZW5" s="37"/>
      <c r="GZX5" s="37"/>
      <c r="GZY5" s="37"/>
      <c r="GZZ5" s="37"/>
      <c r="HAA5" s="37"/>
      <c r="HAB5" s="37"/>
      <c r="HAC5" s="37"/>
      <c r="HAD5" s="37"/>
      <c r="HAE5" s="37"/>
      <c r="HAF5" s="37"/>
      <c r="HAG5" s="37"/>
      <c r="HAH5" s="37"/>
      <c r="HAI5" s="37"/>
      <c r="HAJ5" s="37"/>
      <c r="HAK5" s="37"/>
      <c r="HAL5" s="37"/>
      <c r="HAM5" s="37"/>
      <c r="HAN5" s="37"/>
      <c r="HAO5" s="37"/>
      <c r="HAP5" s="37"/>
      <c r="HAQ5" s="37"/>
      <c r="HAR5" s="37"/>
      <c r="HAS5" s="37"/>
      <c r="HAT5" s="37"/>
      <c r="HAU5" s="37"/>
      <c r="HAV5" s="37"/>
      <c r="HAW5" s="37"/>
      <c r="HAX5" s="37"/>
      <c r="HAY5" s="37"/>
      <c r="HAZ5" s="37"/>
      <c r="HBA5" s="37"/>
      <c r="HBB5" s="37"/>
      <c r="HBC5" s="37"/>
      <c r="HBD5" s="37"/>
      <c r="HBE5" s="37"/>
      <c r="HBF5" s="37"/>
      <c r="HBG5" s="37"/>
      <c r="HBH5" s="37"/>
      <c r="HBI5" s="37"/>
      <c r="HBJ5" s="37"/>
      <c r="HBK5" s="37"/>
      <c r="HBL5" s="37"/>
      <c r="HBM5" s="37"/>
      <c r="HBN5" s="37"/>
      <c r="HBO5" s="37"/>
      <c r="HBP5" s="37"/>
      <c r="HBQ5" s="37"/>
      <c r="HBR5" s="37"/>
      <c r="HBS5" s="37"/>
      <c r="HBT5" s="37"/>
      <c r="HBU5" s="37"/>
      <c r="HBV5" s="37"/>
      <c r="HBW5" s="37"/>
      <c r="HBX5" s="37"/>
      <c r="HBY5" s="37"/>
      <c r="HBZ5" s="37"/>
      <c r="HCA5" s="37"/>
      <c r="HCB5" s="37"/>
      <c r="HCC5" s="37"/>
      <c r="HCD5" s="37"/>
      <c r="HCE5" s="37"/>
      <c r="HCF5" s="37"/>
      <c r="HCG5" s="37"/>
      <c r="HCH5" s="37"/>
      <c r="HCI5" s="37"/>
      <c r="HCJ5" s="37"/>
      <c r="HCK5" s="37"/>
      <c r="HCL5" s="37"/>
      <c r="HCM5" s="37"/>
      <c r="HCN5" s="37"/>
      <c r="HCO5" s="37"/>
      <c r="HCP5" s="37"/>
      <c r="HCQ5" s="37"/>
      <c r="HCR5" s="37"/>
      <c r="HCS5" s="37"/>
      <c r="HCT5" s="37"/>
      <c r="HCU5" s="37"/>
      <c r="HCV5" s="37"/>
      <c r="HCW5" s="37"/>
      <c r="HCX5" s="37"/>
      <c r="HCY5" s="37"/>
      <c r="HCZ5" s="37"/>
      <c r="HDA5" s="37"/>
      <c r="HDB5" s="37"/>
      <c r="HDC5" s="37"/>
      <c r="HDD5" s="37"/>
      <c r="HDE5" s="37"/>
      <c r="HDF5" s="37"/>
      <c r="HDG5" s="37"/>
      <c r="HDH5" s="37"/>
      <c r="HDI5" s="37"/>
      <c r="HDJ5" s="37"/>
      <c r="HDK5" s="37"/>
      <c r="HDL5" s="37"/>
      <c r="HDM5" s="37"/>
      <c r="HDN5" s="37"/>
      <c r="HDO5" s="37"/>
      <c r="HDP5" s="37"/>
      <c r="HDQ5" s="37"/>
      <c r="HDR5" s="37"/>
      <c r="HDS5" s="37"/>
      <c r="HDT5" s="37"/>
      <c r="HDU5" s="37"/>
      <c r="HDV5" s="37"/>
      <c r="HDW5" s="37"/>
      <c r="HDX5" s="37"/>
      <c r="HDY5" s="37"/>
      <c r="HDZ5" s="37"/>
      <c r="HEA5" s="37"/>
      <c r="HEB5" s="37"/>
      <c r="HEC5" s="37"/>
      <c r="HED5" s="37"/>
      <c r="HEE5" s="37"/>
      <c r="HEF5" s="37"/>
      <c r="HEG5" s="37"/>
      <c r="HEH5" s="37"/>
      <c r="HEI5" s="37"/>
      <c r="HEJ5" s="37"/>
      <c r="HEK5" s="37"/>
      <c r="HEL5" s="37"/>
      <c r="HEM5" s="37"/>
      <c r="HEN5" s="37"/>
      <c r="HEO5" s="37"/>
      <c r="HEP5" s="37"/>
      <c r="HEQ5" s="37"/>
      <c r="HER5" s="37"/>
      <c r="HES5" s="37"/>
      <c r="HET5" s="37"/>
      <c r="HEU5" s="37"/>
      <c r="HEV5" s="37"/>
      <c r="HEW5" s="37"/>
      <c r="HEX5" s="37"/>
      <c r="HEY5" s="37"/>
      <c r="HEZ5" s="37"/>
      <c r="HFA5" s="37"/>
      <c r="HFB5" s="37"/>
      <c r="HFC5" s="37"/>
      <c r="HFD5" s="37"/>
      <c r="HFE5" s="37"/>
      <c r="HFF5" s="37"/>
      <c r="HFG5" s="37"/>
      <c r="HFH5" s="37"/>
      <c r="HFI5" s="37"/>
      <c r="HFJ5" s="37"/>
      <c r="HFK5" s="37"/>
      <c r="HFL5" s="37"/>
      <c r="HFM5" s="37"/>
      <c r="HFN5" s="37"/>
      <c r="HFO5" s="37"/>
      <c r="HFP5" s="37"/>
      <c r="HFQ5" s="37"/>
      <c r="HFR5" s="37"/>
      <c r="HFS5" s="37"/>
      <c r="HFT5" s="37"/>
      <c r="HFU5" s="37"/>
      <c r="HFV5" s="37"/>
      <c r="HFW5" s="37"/>
      <c r="HFX5" s="37"/>
      <c r="HFY5" s="37"/>
      <c r="HFZ5" s="37"/>
      <c r="HGA5" s="37"/>
      <c r="HGB5" s="37"/>
      <c r="HGC5" s="37"/>
      <c r="HGD5" s="37"/>
      <c r="HGE5" s="37"/>
      <c r="HGF5" s="37"/>
      <c r="HGG5" s="37"/>
      <c r="HGH5" s="37"/>
      <c r="HGI5" s="37"/>
      <c r="HGJ5" s="37"/>
      <c r="HGK5" s="37"/>
      <c r="HGL5" s="37"/>
      <c r="HGM5" s="37"/>
      <c r="HGN5" s="37"/>
      <c r="HGO5" s="37"/>
      <c r="HGP5" s="37"/>
      <c r="HGQ5" s="37"/>
      <c r="HGR5" s="37"/>
      <c r="HGS5" s="37"/>
      <c r="HGT5" s="37"/>
      <c r="HGU5" s="37"/>
      <c r="HGV5" s="37"/>
      <c r="HGW5" s="37"/>
      <c r="HGX5" s="37"/>
      <c r="HGY5" s="37"/>
      <c r="HGZ5" s="37"/>
      <c r="HHA5" s="37"/>
      <c r="HHB5" s="37"/>
      <c r="HHC5" s="37"/>
      <c r="HHD5" s="37"/>
      <c r="HHE5" s="37"/>
      <c r="HHF5" s="37"/>
      <c r="HHG5" s="37"/>
      <c r="HHH5" s="37"/>
      <c r="HHI5" s="37"/>
      <c r="HHJ5" s="37"/>
      <c r="HHK5" s="37"/>
      <c r="HHL5" s="37"/>
      <c r="HHM5" s="37"/>
      <c r="HHN5" s="37"/>
      <c r="HHO5" s="37"/>
      <c r="HHP5" s="37"/>
      <c r="HHQ5" s="37"/>
      <c r="HHR5" s="37"/>
      <c r="HHS5" s="37"/>
      <c r="HHT5" s="37"/>
      <c r="HHU5" s="37"/>
      <c r="HHV5" s="37"/>
      <c r="HHW5" s="37"/>
      <c r="HHX5" s="37"/>
      <c r="HHY5" s="37"/>
      <c r="HHZ5" s="37"/>
      <c r="HIA5" s="37"/>
      <c r="HIB5" s="37"/>
      <c r="HIC5" s="37"/>
      <c r="HID5" s="37"/>
      <c r="HIE5" s="37"/>
      <c r="HIF5" s="37"/>
      <c r="HIG5" s="37"/>
      <c r="HIH5" s="37"/>
      <c r="HII5" s="37"/>
      <c r="HIJ5" s="37"/>
      <c r="HIK5" s="37"/>
      <c r="HIL5" s="37"/>
      <c r="HIM5" s="37"/>
      <c r="HIN5" s="37"/>
      <c r="HIO5" s="37"/>
      <c r="HIP5" s="37"/>
      <c r="HIQ5" s="37"/>
      <c r="HIR5" s="37"/>
      <c r="HIS5" s="37"/>
      <c r="HIT5" s="37"/>
      <c r="HIU5" s="37"/>
      <c r="HIV5" s="37"/>
      <c r="HIW5" s="37"/>
      <c r="HIX5" s="37"/>
      <c r="HIY5" s="37"/>
      <c r="HIZ5" s="37"/>
      <c r="HJA5" s="37"/>
      <c r="HJB5" s="37"/>
      <c r="HJC5" s="37"/>
      <c r="HJD5" s="37"/>
      <c r="HJE5" s="37"/>
      <c r="HJF5" s="37"/>
      <c r="HJG5" s="37"/>
      <c r="HJH5" s="37"/>
      <c r="HJI5" s="37"/>
      <c r="HJJ5" s="37"/>
      <c r="HJK5" s="37"/>
      <c r="HJL5" s="37"/>
      <c r="HJM5" s="37"/>
      <c r="HJN5" s="37"/>
      <c r="HJO5" s="37"/>
      <c r="HJP5" s="37"/>
      <c r="HJQ5" s="37"/>
      <c r="HJR5" s="37"/>
      <c r="HJS5" s="37"/>
      <c r="HJT5" s="37"/>
      <c r="HJU5" s="37"/>
      <c r="HJV5" s="37"/>
      <c r="HJW5" s="37"/>
      <c r="HJX5" s="37"/>
      <c r="HJY5" s="37"/>
      <c r="HJZ5" s="37"/>
      <c r="HKA5" s="37"/>
      <c r="HKB5" s="37"/>
      <c r="HKC5" s="37"/>
      <c r="HKD5" s="37"/>
      <c r="HKE5" s="37"/>
      <c r="HKF5" s="37"/>
      <c r="HKG5" s="37"/>
      <c r="HKH5" s="37"/>
      <c r="HKI5" s="37"/>
      <c r="HKJ5" s="37"/>
      <c r="HKK5" s="37"/>
      <c r="HKL5" s="37"/>
      <c r="HKM5" s="37"/>
      <c r="HKN5" s="37"/>
      <c r="HKO5" s="37"/>
      <c r="HKP5" s="37"/>
      <c r="HKQ5" s="37"/>
      <c r="HKR5" s="37"/>
      <c r="HKS5" s="37"/>
      <c r="HKT5" s="37"/>
      <c r="HKU5" s="37"/>
      <c r="HKV5" s="37"/>
      <c r="HKW5" s="37"/>
      <c r="HKX5" s="37"/>
      <c r="HKY5" s="37"/>
      <c r="HKZ5" s="37"/>
      <c r="HLA5" s="37"/>
      <c r="HLB5" s="37"/>
      <c r="HLC5" s="37"/>
      <c r="HLD5" s="37"/>
      <c r="HLE5" s="37"/>
      <c r="HLF5" s="37"/>
      <c r="HLG5" s="37"/>
      <c r="HLH5" s="37"/>
      <c r="HLI5" s="37"/>
      <c r="HLJ5" s="37"/>
      <c r="HLK5" s="37"/>
      <c r="HLL5" s="37"/>
      <c r="HLM5" s="37"/>
      <c r="HLN5" s="37"/>
      <c r="HLO5" s="37"/>
      <c r="HLP5" s="37"/>
      <c r="HLQ5" s="37"/>
      <c r="HLR5" s="37"/>
      <c r="HLS5" s="37"/>
      <c r="HLT5" s="37"/>
      <c r="HLU5" s="37"/>
      <c r="HLV5" s="37"/>
      <c r="HLW5" s="37"/>
      <c r="HLX5" s="37"/>
      <c r="HLY5" s="37"/>
      <c r="HLZ5" s="37"/>
      <c r="HMA5" s="37"/>
      <c r="HMB5" s="37"/>
      <c r="HMC5" s="37"/>
      <c r="HMD5" s="37"/>
      <c r="HME5" s="37"/>
      <c r="HMF5" s="37"/>
      <c r="HMG5" s="37"/>
      <c r="HMH5" s="37"/>
      <c r="HMI5" s="37"/>
      <c r="HMJ5" s="37"/>
      <c r="HMK5" s="37"/>
      <c r="HML5" s="37"/>
      <c r="HMM5" s="37"/>
      <c r="HMN5" s="37"/>
      <c r="HMO5" s="37"/>
      <c r="HMP5" s="37"/>
      <c r="HMQ5" s="37"/>
      <c r="HMR5" s="37"/>
      <c r="HMS5" s="37"/>
      <c r="HMT5" s="37"/>
      <c r="HMU5" s="37"/>
      <c r="HMV5" s="37"/>
      <c r="HMW5" s="37"/>
      <c r="HMX5" s="37"/>
      <c r="HMY5" s="37"/>
      <c r="HMZ5" s="37"/>
      <c r="HNA5" s="37"/>
      <c r="HNB5" s="37"/>
      <c r="HNC5" s="37"/>
      <c r="HND5" s="37"/>
      <c r="HNE5" s="37"/>
      <c r="HNF5" s="37"/>
      <c r="HNG5" s="37"/>
      <c r="HNH5" s="37"/>
      <c r="HNI5" s="37"/>
      <c r="HNJ5" s="37"/>
      <c r="HNK5" s="37"/>
      <c r="HNL5" s="37"/>
      <c r="HNM5" s="37"/>
      <c r="HNN5" s="37"/>
      <c r="HNO5" s="37"/>
      <c r="HNP5" s="37"/>
      <c r="HNQ5" s="37"/>
      <c r="HNR5" s="37"/>
      <c r="HNS5" s="37"/>
      <c r="HNT5" s="37"/>
      <c r="HNU5" s="37"/>
      <c r="HNV5" s="37"/>
      <c r="HNW5" s="37"/>
      <c r="HNX5" s="37"/>
      <c r="HNY5" s="37"/>
      <c r="HNZ5" s="37"/>
      <c r="HOA5" s="37"/>
      <c r="HOB5" s="37"/>
      <c r="HOC5" s="37"/>
      <c r="HOD5" s="37"/>
      <c r="HOE5" s="37"/>
      <c r="HOF5" s="37"/>
      <c r="HOG5" s="37"/>
      <c r="HOH5" s="37"/>
      <c r="HOI5" s="37"/>
      <c r="HOJ5" s="37"/>
      <c r="HOK5" s="37"/>
      <c r="HOL5" s="37"/>
      <c r="HOM5" s="37"/>
      <c r="HON5" s="37"/>
      <c r="HOO5" s="37"/>
      <c r="HOP5" s="37"/>
      <c r="HOQ5" s="37"/>
      <c r="HOR5" s="37"/>
      <c r="HOS5" s="37"/>
      <c r="HOT5" s="37"/>
      <c r="HOU5" s="37"/>
      <c r="HOV5" s="37"/>
      <c r="HOW5" s="37"/>
      <c r="HOX5" s="37"/>
      <c r="HOY5" s="37"/>
      <c r="HOZ5" s="37"/>
      <c r="HPA5" s="37"/>
      <c r="HPB5" s="37"/>
      <c r="HPC5" s="37"/>
      <c r="HPD5" s="37"/>
      <c r="HPE5" s="37"/>
      <c r="HPF5" s="37"/>
      <c r="HPG5" s="37"/>
      <c r="HPH5" s="37"/>
      <c r="HPI5" s="37"/>
      <c r="HPJ5" s="37"/>
      <c r="HPK5" s="37"/>
      <c r="HPL5" s="37"/>
      <c r="HPM5" s="37"/>
      <c r="HPN5" s="37"/>
      <c r="HPO5" s="37"/>
      <c r="HPP5" s="37"/>
      <c r="HPQ5" s="37"/>
      <c r="HPR5" s="37"/>
      <c r="HPS5" s="37"/>
      <c r="HPT5" s="37"/>
      <c r="HPU5" s="37"/>
      <c r="HPV5" s="37"/>
      <c r="HPW5" s="37"/>
      <c r="HPX5" s="37"/>
      <c r="HPY5" s="37"/>
      <c r="HPZ5" s="37"/>
      <c r="HQA5" s="37"/>
      <c r="HQB5" s="37"/>
      <c r="HQC5" s="37"/>
      <c r="HQD5" s="37"/>
      <c r="HQE5" s="37"/>
      <c r="HQF5" s="37"/>
      <c r="HQG5" s="37"/>
      <c r="HQH5" s="37"/>
      <c r="HQI5" s="37"/>
      <c r="HQJ5" s="37"/>
      <c r="HQK5" s="37"/>
      <c r="HQL5" s="37"/>
      <c r="HQM5" s="37"/>
      <c r="HQN5" s="37"/>
      <c r="HQO5" s="37"/>
      <c r="HQP5" s="37"/>
      <c r="HQQ5" s="37"/>
      <c r="HQR5" s="37"/>
      <c r="HQS5" s="37"/>
      <c r="HQT5" s="37"/>
      <c r="HQU5" s="37"/>
      <c r="HQV5" s="37"/>
      <c r="HQW5" s="37"/>
      <c r="HQX5" s="37"/>
      <c r="HQY5" s="37"/>
      <c r="HQZ5" s="37"/>
      <c r="HRA5" s="37"/>
      <c r="HRB5" s="37"/>
      <c r="HRC5" s="37"/>
      <c r="HRD5" s="37"/>
      <c r="HRE5" s="37"/>
      <c r="HRF5" s="37"/>
      <c r="HRG5" s="37"/>
      <c r="HRH5" s="37"/>
      <c r="HRI5" s="37"/>
      <c r="HRJ5" s="37"/>
      <c r="HRK5" s="37"/>
      <c r="HRL5" s="37"/>
      <c r="HRM5" s="37"/>
      <c r="HRN5" s="37"/>
      <c r="HRO5" s="37"/>
      <c r="HRP5" s="37"/>
      <c r="HRQ5" s="37"/>
      <c r="HRR5" s="37"/>
      <c r="HRS5" s="37"/>
      <c r="HRT5" s="37"/>
      <c r="HRU5" s="37"/>
      <c r="HRV5" s="37"/>
      <c r="HRW5" s="37"/>
      <c r="HRX5" s="37"/>
      <c r="HRY5" s="37"/>
      <c r="HRZ5" s="37"/>
      <c r="HSA5" s="37"/>
      <c r="HSB5" s="37"/>
      <c r="HSC5" s="37"/>
      <c r="HSD5" s="37"/>
      <c r="HSE5" s="37"/>
      <c r="HSF5" s="37"/>
      <c r="HSG5" s="37"/>
      <c r="HSH5" s="37"/>
      <c r="HSI5" s="37"/>
      <c r="HSJ5" s="37"/>
      <c r="HSK5" s="37"/>
      <c r="HSL5" s="37"/>
      <c r="HSM5" s="37"/>
      <c r="HSN5" s="37"/>
      <c r="HSO5" s="37"/>
      <c r="HSP5" s="37"/>
      <c r="HSQ5" s="37"/>
      <c r="HSR5" s="37"/>
      <c r="HSS5" s="37"/>
      <c r="HST5" s="37"/>
      <c r="HSU5" s="37"/>
      <c r="HSV5" s="37"/>
      <c r="HSW5" s="37"/>
      <c r="HSX5" s="37"/>
      <c r="HSY5" s="37"/>
      <c r="HSZ5" s="37"/>
      <c r="HTA5" s="37"/>
      <c r="HTB5" s="37"/>
      <c r="HTC5" s="37"/>
      <c r="HTD5" s="37"/>
      <c r="HTE5" s="37"/>
      <c r="HTF5" s="37"/>
      <c r="HTG5" s="37"/>
      <c r="HTH5" s="37"/>
      <c r="HTI5" s="37"/>
      <c r="HTJ5" s="37"/>
      <c r="HTK5" s="37"/>
      <c r="HTL5" s="37"/>
      <c r="HTM5" s="37"/>
      <c r="HTN5" s="37"/>
      <c r="HTO5" s="37"/>
      <c r="HTP5" s="37"/>
      <c r="HTQ5" s="37"/>
      <c r="HTR5" s="37"/>
      <c r="HTS5" s="37"/>
      <c r="HTT5" s="37"/>
      <c r="HTU5" s="37"/>
      <c r="HTV5" s="37"/>
      <c r="HTW5" s="37"/>
      <c r="HTX5" s="37"/>
      <c r="HTY5" s="37"/>
      <c r="HTZ5" s="37"/>
      <c r="HUA5" s="37"/>
      <c r="HUB5" s="37"/>
      <c r="HUC5" s="37"/>
      <c r="HUD5" s="37"/>
      <c r="HUE5" s="37"/>
      <c r="HUF5" s="37"/>
      <c r="HUG5" s="37"/>
      <c r="HUH5" s="37"/>
      <c r="HUI5" s="37"/>
      <c r="HUJ5" s="37"/>
      <c r="HUK5" s="37"/>
      <c r="HUL5" s="37"/>
      <c r="HUM5" s="37"/>
      <c r="HUN5" s="37"/>
      <c r="HUO5" s="37"/>
      <c r="HUP5" s="37"/>
      <c r="HUQ5" s="37"/>
      <c r="HUR5" s="37"/>
      <c r="HUS5" s="37"/>
      <c r="HUT5" s="37"/>
      <c r="HUU5" s="37"/>
      <c r="HUV5" s="37"/>
      <c r="HUW5" s="37"/>
      <c r="HUX5" s="37"/>
      <c r="HUY5" s="37"/>
      <c r="HUZ5" s="37"/>
      <c r="HVA5" s="37"/>
      <c r="HVB5" s="37"/>
      <c r="HVC5" s="37"/>
      <c r="HVD5" s="37"/>
      <c r="HVE5" s="37"/>
      <c r="HVF5" s="37"/>
      <c r="HVG5" s="37"/>
      <c r="HVH5" s="37"/>
      <c r="HVI5" s="37"/>
      <c r="HVJ5" s="37"/>
      <c r="HVK5" s="37"/>
      <c r="HVL5" s="37"/>
      <c r="HVM5" s="37"/>
      <c r="HVN5" s="37"/>
      <c r="HVO5" s="37"/>
      <c r="HVP5" s="37"/>
      <c r="HVQ5" s="37"/>
      <c r="HVR5" s="37"/>
      <c r="HVS5" s="37"/>
      <c r="HVT5" s="37"/>
      <c r="HVU5" s="37"/>
      <c r="HVV5" s="37"/>
      <c r="HVW5" s="37"/>
      <c r="HVX5" s="37"/>
      <c r="HVY5" s="37"/>
      <c r="HVZ5" s="37"/>
      <c r="HWA5" s="37"/>
      <c r="HWB5" s="37"/>
      <c r="HWC5" s="37"/>
      <c r="HWD5" s="37"/>
      <c r="HWE5" s="37"/>
      <c r="HWF5" s="37"/>
      <c r="HWG5" s="37"/>
      <c r="HWH5" s="37"/>
      <c r="HWI5" s="37"/>
      <c r="HWJ5" s="37"/>
      <c r="HWK5" s="37"/>
      <c r="HWL5" s="37"/>
      <c r="HWM5" s="37"/>
      <c r="HWN5" s="37"/>
      <c r="HWO5" s="37"/>
      <c r="HWP5" s="37"/>
      <c r="HWQ5" s="37"/>
      <c r="HWR5" s="37"/>
      <c r="HWS5" s="37"/>
      <c r="HWT5" s="37"/>
      <c r="HWU5" s="37"/>
      <c r="HWV5" s="37"/>
      <c r="HWW5" s="37"/>
      <c r="HWX5" s="37"/>
      <c r="HWY5" s="37"/>
      <c r="HWZ5" s="37"/>
      <c r="HXA5" s="37"/>
      <c r="HXB5" s="37"/>
      <c r="HXC5" s="37"/>
      <c r="HXD5" s="37"/>
      <c r="HXE5" s="37"/>
      <c r="HXF5" s="37"/>
      <c r="HXG5" s="37"/>
      <c r="HXH5" s="37"/>
      <c r="HXI5" s="37"/>
      <c r="HXJ5" s="37"/>
      <c r="HXK5" s="37"/>
      <c r="HXL5" s="37"/>
      <c r="HXM5" s="37"/>
      <c r="HXN5" s="37"/>
      <c r="HXO5" s="37"/>
      <c r="HXP5" s="37"/>
      <c r="HXQ5" s="37"/>
      <c r="HXR5" s="37"/>
      <c r="HXS5" s="37"/>
      <c r="HXT5" s="37"/>
      <c r="HXU5" s="37"/>
      <c r="HXV5" s="37"/>
      <c r="HXW5" s="37"/>
      <c r="HXX5" s="37"/>
      <c r="HXY5" s="37"/>
      <c r="HXZ5" s="37"/>
      <c r="HYA5" s="37"/>
      <c r="HYB5" s="37"/>
      <c r="HYC5" s="37"/>
      <c r="HYD5" s="37"/>
      <c r="HYE5" s="37"/>
      <c r="HYF5" s="37"/>
      <c r="HYG5" s="37"/>
      <c r="HYH5" s="37"/>
      <c r="HYI5" s="37"/>
      <c r="HYJ5" s="37"/>
      <c r="HYK5" s="37"/>
      <c r="HYL5" s="37"/>
      <c r="HYM5" s="37"/>
      <c r="HYN5" s="37"/>
      <c r="HYO5" s="37"/>
      <c r="HYP5" s="37"/>
      <c r="HYQ5" s="37"/>
      <c r="HYR5" s="37"/>
      <c r="HYS5" s="37"/>
      <c r="HYT5" s="37"/>
      <c r="HYU5" s="37"/>
      <c r="HYV5" s="37"/>
      <c r="HYW5" s="37"/>
      <c r="HYX5" s="37"/>
      <c r="HYY5" s="37"/>
      <c r="HYZ5" s="37"/>
      <c r="HZA5" s="37"/>
      <c r="HZB5" s="37"/>
      <c r="HZC5" s="37"/>
      <c r="HZD5" s="37"/>
      <c r="HZE5" s="37"/>
      <c r="HZF5" s="37"/>
      <c r="HZG5" s="37"/>
      <c r="HZH5" s="37"/>
      <c r="HZI5" s="37"/>
      <c r="HZJ5" s="37"/>
      <c r="HZK5" s="37"/>
      <c r="HZL5" s="37"/>
      <c r="HZM5" s="37"/>
      <c r="HZN5" s="37"/>
      <c r="HZO5" s="37"/>
      <c r="HZP5" s="37"/>
      <c r="HZQ5" s="37"/>
      <c r="HZR5" s="37"/>
      <c r="HZS5" s="37"/>
      <c r="HZT5" s="37"/>
      <c r="HZU5" s="37"/>
      <c r="HZV5" s="37"/>
      <c r="HZW5" s="37"/>
      <c r="HZX5" s="37"/>
      <c r="HZY5" s="37"/>
      <c r="HZZ5" s="37"/>
      <c r="IAA5" s="37"/>
      <c r="IAB5" s="37"/>
      <c r="IAC5" s="37"/>
      <c r="IAD5" s="37"/>
      <c r="IAE5" s="37"/>
      <c r="IAF5" s="37"/>
      <c r="IAG5" s="37"/>
      <c r="IAH5" s="37"/>
      <c r="IAI5" s="37"/>
      <c r="IAJ5" s="37"/>
      <c r="IAK5" s="37"/>
      <c r="IAL5" s="37"/>
      <c r="IAM5" s="37"/>
      <c r="IAN5" s="37"/>
      <c r="IAO5" s="37"/>
      <c r="IAP5" s="37"/>
      <c r="IAQ5" s="37"/>
      <c r="IAR5" s="37"/>
      <c r="IAS5" s="37"/>
      <c r="IAT5" s="37"/>
      <c r="IAU5" s="37"/>
      <c r="IAV5" s="37"/>
      <c r="IAW5" s="37"/>
      <c r="IAX5" s="37"/>
      <c r="IAY5" s="37"/>
      <c r="IAZ5" s="37"/>
      <c r="IBA5" s="37"/>
      <c r="IBB5" s="37"/>
      <c r="IBC5" s="37"/>
      <c r="IBD5" s="37"/>
      <c r="IBE5" s="37"/>
      <c r="IBF5" s="37"/>
      <c r="IBG5" s="37"/>
      <c r="IBH5" s="37"/>
      <c r="IBI5" s="37"/>
      <c r="IBJ5" s="37"/>
      <c r="IBK5" s="37"/>
      <c r="IBL5" s="37"/>
      <c r="IBM5" s="37"/>
      <c r="IBN5" s="37"/>
      <c r="IBO5" s="37"/>
      <c r="IBP5" s="37"/>
      <c r="IBQ5" s="37"/>
      <c r="IBR5" s="37"/>
      <c r="IBS5" s="37"/>
      <c r="IBT5" s="37"/>
      <c r="IBU5" s="37"/>
      <c r="IBV5" s="37"/>
      <c r="IBW5" s="37"/>
      <c r="IBX5" s="37"/>
      <c r="IBY5" s="37"/>
      <c r="IBZ5" s="37"/>
      <c r="ICA5" s="37"/>
      <c r="ICB5" s="37"/>
      <c r="ICC5" s="37"/>
      <c r="ICD5" s="37"/>
      <c r="ICE5" s="37"/>
      <c r="ICF5" s="37"/>
      <c r="ICG5" s="37"/>
      <c r="ICH5" s="37"/>
      <c r="ICI5" s="37"/>
      <c r="ICJ5" s="37"/>
      <c r="ICK5" s="37"/>
      <c r="ICL5" s="37"/>
      <c r="ICM5" s="37"/>
      <c r="ICN5" s="37"/>
      <c r="ICO5" s="37"/>
      <c r="ICP5" s="37"/>
      <c r="ICQ5" s="37"/>
      <c r="ICR5" s="37"/>
      <c r="ICS5" s="37"/>
      <c r="ICT5" s="37"/>
      <c r="ICU5" s="37"/>
      <c r="ICV5" s="37"/>
      <c r="ICW5" s="37"/>
      <c r="ICX5" s="37"/>
      <c r="ICY5" s="37"/>
      <c r="ICZ5" s="37"/>
      <c r="IDA5" s="37"/>
      <c r="IDB5" s="37"/>
      <c r="IDC5" s="37"/>
      <c r="IDD5" s="37"/>
      <c r="IDE5" s="37"/>
      <c r="IDF5" s="37"/>
      <c r="IDG5" s="37"/>
      <c r="IDH5" s="37"/>
      <c r="IDI5" s="37"/>
      <c r="IDJ5" s="37"/>
      <c r="IDK5" s="37"/>
      <c r="IDL5" s="37"/>
      <c r="IDM5" s="37"/>
      <c r="IDN5" s="37"/>
      <c r="IDO5" s="37"/>
      <c r="IDP5" s="37"/>
      <c r="IDQ5" s="37"/>
      <c r="IDR5" s="37"/>
      <c r="IDS5" s="37"/>
      <c r="IDT5" s="37"/>
      <c r="IDU5" s="37"/>
      <c r="IDV5" s="37"/>
      <c r="IDW5" s="37"/>
      <c r="IDX5" s="37"/>
      <c r="IDY5" s="37"/>
      <c r="IDZ5" s="37"/>
      <c r="IEA5" s="37"/>
      <c r="IEB5" s="37"/>
      <c r="IEC5" s="37"/>
      <c r="IED5" s="37"/>
      <c r="IEE5" s="37"/>
      <c r="IEF5" s="37"/>
      <c r="IEG5" s="37"/>
      <c r="IEH5" s="37"/>
      <c r="IEI5" s="37"/>
      <c r="IEJ5" s="37"/>
      <c r="IEK5" s="37"/>
      <c r="IEL5" s="37"/>
      <c r="IEM5" s="37"/>
      <c r="IEN5" s="37"/>
      <c r="IEO5" s="37"/>
      <c r="IEP5" s="37"/>
      <c r="IEQ5" s="37"/>
      <c r="IER5" s="37"/>
      <c r="IES5" s="37"/>
      <c r="IET5" s="37"/>
      <c r="IEU5" s="37"/>
      <c r="IEV5" s="37"/>
      <c r="IEW5" s="37"/>
      <c r="IEX5" s="37"/>
      <c r="IEY5" s="37"/>
      <c r="IEZ5" s="37"/>
      <c r="IFA5" s="37"/>
      <c r="IFB5" s="37"/>
      <c r="IFC5" s="37"/>
      <c r="IFD5" s="37"/>
      <c r="IFE5" s="37"/>
      <c r="IFF5" s="37"/>
      <c r="IFG5" s="37"/>
      <c r="IFH5" s="37"/>
      <c r="IFI5" s="37"/>
      <c r="IFJ5" s="37"/>
      <c r="IFK5" s="37"/>
      <c r="IFL5" s="37"/>
      <c r="IFM5" s="37"/>
      <c r="IFN5" s="37"/>
      <c r="IFO5" s="37"/>
      <c r="IFP5" s="37"/>
      <c r="IFQ5" s="37"/>
      <c r="IFR5" s="37"/>
      <c r="IFS5" s="37"/>
      <c r="IFT5" s="37"/>
      <c r="IFU5" s="37"/>
      <c r="IFV5" s="37"/>
      <c r="IFW5" s="37"/>
      <c r="IFX5" s="37"/>
      <c r="IFY5" s="37"/>
      <c r="IFZ5" s="37"/>
      <c r="IGA5" s="37"/>
      <c r="IGB5" s="37"/>
      <c r="IGC5" s="37"/>
      <c r="IGD5" s="37"/>
      <c r="IGE5" s="37"/>
      <c r="IGF5" s="37"/>
      <c r="IGG5" s="37"/>
      <c r="IGH5" s="37"/>
      <c r="IGI5" s="37"/>
      <c r="IGJ5" s="37"/>
      <c r="IGK5" s="37"/>
      <c r="IGL5" s="37"/>
      <c r="IGM5" s="37"/>
      <c r="IGN5" s="37"/>
      <c r="IGO5" s="37"/>
      <c r="IGP5" s="37"/>
      <c r="IGQ5" s="37"/>
      <c r="IGR5" s="37"/>
      <c r="IGS5" s="37"/>
      <c r="IGT5" s="37"/>
      <c r="IGU5" s="37"/>
      <c r="IGV5" s="37"/>
      <c r="IGW5" s="37"/>
      <c r="IGX5" s="37"/>
      <c r="IGY5" s="37"/>
      <c r="IGZ5" s="37"/>
      <c r="IHA5" s="37"/>
      <c r="IHB5" s="37"/>
      <c r="IHC5" s="37"/>
      <c r="IHD5" s="37"/>
      <c r="IHE5" s="37"/>
      <c r="IHF5" s="37"/>
      <c r="IHG5" s="37"/>
      <c r="IHH5" s="37"/>
      <c r="IHI5" s="37"/>
      <c r="IHJ5" s="37"/>
      <c r="IHK5" s="37"/>
      <c r="IHL5" s="37"/>
      <c r="IHM5" s="37"/>
      <c r="IHN5" s="37"/>
      <c r="IHO5" s="37"/>
      <c r="IHP5" s="37"/>
      <c r="IHQ5" s="37"/>
      <c r="IHR5" s="37"/>
      <c r="IHS5" s="37"/>
      <c r="IHT5" s="37"/>
      <c r="IHU5" s="37"/>
      <c r="IHV5" s="37"/>
      <c r="IHW5" s="37"/>
      <c r="IHX5" s="37"/>
      <c r="IHY5" s="37"/>
      <c r="IHZ5" s="37"/>
      <c r="IIA5" s="37"/>
      <c r="IIB5" s="37"/>
      <c r="IIC5" s="37"/>
      <c r="IID5" s="37"/>
      <c r="IIE5" s="37"/>
      <c r="IIF5" s="37"/>
      <c r="IIG5" s="37"/>
      <c r="IIH5" s="37"/>
      <c r="III5" s="37"/>
      <c r="IIJ5" s="37"/>
      <c r="IIK5" s="37"/>
      <c r="IIL5" s="37"/>
      <c r="IIM5" s="37"/>
      <c r="IIN5" s="37"/>
      <c r="IIO5" s="37"/>
      <c r="IIP5" s="37"/>
      <c r="IIQ5" s="37"/>
      <c r="IIR5" s="37"/>
      <c r="IIS5" s="37"/>
      <c r="IIT5" s="37"/>
      <c r="IIU5" s="37"/>
      <c r="IIV5" s="37"/>
      <c r="IIW5" s="37"/>
      <c r="IIX5" s="37"/>
      <c r="IIY5" s="37"/>
      <c r="IIZ5" s="37"/>
      <c r="IJA5" s="37"/>
      <c r="IJB5" s="37"/>
      <c r="IJC5" s="37"/>
      <c r="IJD5" s="37"/>
      <c r="IJE5" s="37"/>
      <c r="IJF5" s="37"/>
      <c r="IJG5" s="37"/>
      <c r="IJH5" s="37"/>
      <c r="IJI5" s="37"/>
      <c r="IJJ5" s="37"/>
      <c r="IJK5" s="37"/>
      <c r="IJL5" s="37"/>
      <c r="IJM5" s="37"/>
      <c r="IJN5" s="37"/>
      <c r="IJO5" s="37"/>
      <c r="IJP5" s="37"/>
      <c r="IJQ5" s="37"/>
      <c r="IJR5" s="37"/>
      <c r="IJS5" s="37"/>
      <c r="IJT5" s="37"/>
      <c r="IJU5" s="37"/>
      <c r="IJV5" s="37"/>
      <c r="IJW5" s="37"/>
      <c r="IJX5" s="37"/>
      <c r="IJY5" s="37"/>
      <c r="IJZ5" s="37"/>
      <c r="IKA5" s="37"/>
      <c r="IKB5" s="37"/>
      <c r="IKC5" s="37"/>
      <c r="IKD5" s="37"/>
      <c r="IKE5" s="37"/>
      <c r="IKF5" s="37"/>
      <c r="IKG5" s="37"/>
      <c r="IKH5" s="37"/>
      <c r="IKI5" s="37"/>
      <c r="IKJ5" s="37"/>
      <c r="IKK5" s="37"/>
      <c r="IKL5" s="37"/>
      <c r="IKM5" s="37"/>
      <c r="IKN5" s="37"/>
      <c r="IKO5" s="37"/>
      <c r="IKP5" s="37"/>
      <c r="IKQ5" s="37"/>
      <c r="IKR5" s="37"/>
      <c r="IKS5" s="37"/>
      <c r="IKT5" s="37"/>
      <c r="IKU5" s="37"/>
      <c r="IKV5" s="37"/>
      <c r="IKW5" s="37"/>
      <c r="IKX5" s="37"/>
      <c r="IKY5" s="37"/>
      <c r="IKZ5" s="37"/>
      <c r="ILA5" s="37"/>
      <c r="ILB5" s="37"/>
      <c r="ILC5" s="37"/>
      <c r="ILD5" s="37"/>
      <c r="ILE5" s="37"/>
      <c r="ILF5" s="37"/>
      <c r="ILG5" s="37"/>
      <c r="ILH5" s="37"/>
      <c r="ILI5" s="37"/>
      <c r="ILJ5" s="37"/>
      <c r="ILK5" s="37"/>
      <c r="ILL5" s="37"/>
      <c r="ILM5" s="37"/>
      <c r="ILN5" s="37"/>
      <c r="ILO5" s="37"/>
      <c r="ILP5" s="37"/>
      <c r="ILQ5" s="37"/>
      <c r="ILR5" s="37"/>
      <c r="ILS5" s="37"/>
      <c r="ILT5" s="37"/>
      <c r="ILU5" s="37"/>
      <c r="ILV5" s="37"/>
      <c r="ILW5" s="37"/>
      <c r="ILX5" s="37"/>
      <c r="ILY5" s="37"/>
      <c r="ILZ5" s="37"/>
      <c r="IMA5" s="37"/>
      <c r="IMB5" s="37"/>
      <c r="IMC5" s="37"/>
      <c r="IMD5" s="37"/>
      <c r="IME5" s="37"/>
      <c r="IMF5" s="37"/>
      <c r="IMG5" s="37"/>
      <c r="IMH5" s="37"/>
      <c r="IMI5" s="37"/>
      <c r="IMJ5" s="37"/>
      <c r="IMK5" s="37"/>
      <c r="IML5" s="37"/>
      <c r="IMM5" s="37"/>
      <c r="IMN5" s="37"/>
      <c r="IMO5" s="37"/>
      <c r="IMP5" s="37"/>
      <c r="IMQ5" s="37"/>
      <c r="IMR5" s="37"/>
      <c r="IMS5" s="37"/>
      <c r="IMT5" s="37"/>
      <c r="IMU5" s="37"/>
      <c r="IMV5" s="37"/>
      <c r="IMW5" s="37"/>
      <c r="IMX5" s="37"/>
      <c r="IMY5" s="37"/>
      <c r="IMZ5" s="37"/>
      <c r="INA5" s="37"/>
      <c r="INB5" s="37"/>
      <c r="INC5" s="37"/>
      <c r="IND5" s="37"/>
      <c r="INE5" s="37"/>
      <c r="INF5" s="37"/>
      <c r="ING5" s="37"/>
      <c r="INH5" s="37"/>
      <c r="INI5" s="37"/>
      <c r="INJ5" s="37"/>
      <c r="INK5" s="37"/>
      <c r="INL5" s="37"/>
      <c r="INM5" s="37"/>
      <c r="INN5" s="37"/>
      <c r="INO5" s="37"/>
      <c r="INP5" s="37"/>
      <c r="INQ5" s="37"/>
      <c r="INR5" s="37"/>
      <c r="INS5" s="37"/>
      <c r="INT5" s="37"/>
      <c r="INU5" s="37"/>
      <c r="INV5" s="37"/>
      <c r="INW5" s="37"/>
      <c r="INX5" s="37"/>
      <c r="INY5" s="37"/>
      <c r="INZ5" s="37"/>
      <c r="IOA5" s="37"/>
      <c r="IOB5" s="37"/>
      <c r="IOC5" s="37"/>
      <c r="IOD5" s="37"/>
      <c r="IOE5" s="37"/>
      <c r="IOF5" s="37"/>
      <c r="IOG5" s="37"/>
      <c r="IOH5" s="37"/>
      <c r="IOI5" s="37"/>
      <c r="IOJ5" s="37"/>
      <c r="IOK5" s="37"/>
      <c r="IOL5" s="37"/>
      <c r="IOM5" s="37"/>
      <c r="ION5" s="37"/>
      <c r="IOO5" s="37"/>
      <c r="IOP5" s="37"/>
      <c r="IOQ5" s="37"/>
      <c r="IOR5" s="37"/>
      <c r="IOS5" s="37"/>
      <c r="IOT5" s="37"/>
      <c r="IOU5" s="37"/>
      <c r="IOV5" s="37"/>
      <c r="IOW5" s="37"/>
      <c r="IOX5" s="37"/>
      <c r="IOY5" s="37"/>
      <c r="IOZ5" s="37"/>
      <c r="IPA5" s="37"/>
      <c r="IPB5" s="37"/>
      <c r="IPC5" s="37"/>
      <c r="IPD5" s="37"/>
      <c r="IPE5" s="37"/>
      <c r="IPF5" s="37"/>
      <c r="IPG5" s="37"/>
      <c r="IPH5" s="37"/>
      <c r="IPI5" s="37"/>
      <c r="IPJ5" s="37"/>
      <c r="IPK5" s="37"/>
      <c r="IPL5" s="37"/>
      <c r="IPM5" s="37"/>
      <c r="IPN5" s="37"/>
      <c r="IPO5" s="37"/>
      <c r="IPP5" s="37"/>
      <c r="IPQ5" s="37"/>
      <c r="IPR5" s="37"/>
      <c r="IPS5" s="37"/>
      <c r="IPT5" s="37"/>
      <c r="IPU5" s="37"/>
      <c r="IPV5" s="37"/>
      <c r="IPW5" s="37"/>
      <c r="IPX5" s="37"/>
      <c r="IPY5" s="37"/>
      <c r="IPZ5" s="37"/>
      <c r="IQA5" s="37"/>
      <c r="IQB5" s="37"/>
      <c r="IQC5" s="37"/>
      <c r="IQD5" s="37"/>
      <c r="IQE5" s="37"/>
      <c r="IQF5" s="37"/>
      <c r="IQG5" s="37"/>
      <c r="IQH5" s="37"/>
      <c r="IQI5" s="37"/>
      <c r="IQJ5" s="37"/>
      <c r="IQK5" s="37"/>
      <c r="IQL5" s="37"/>
      <c r="IQM5" s="37"/>
      <c r="IQN5" s="37"/>
      <c r="IQO5" s="37"/>
      <c r="IQP5" s="37"/>
      <c r="IQQ5" s="37"/>
      <c r="IQR5" s="37"/>
      <c r="IQS5" s="37"/>
      <c r="IQT5" s="37"/>
      <c r="IQU5" s="37"/>
      <c r="IQV5" s="37"/>
      <c r="IQW5" s="37"/>
      <c r="IQX5" s="37"/>
      <c r="IQY5" s="37"/>
      <c r="IQZ5" s="37"/>
      <c r="IRA5" s="37"/>
      <c r="IRB5" s="37"/>
      <c r="IRC5" s="37"/>
      <c r="IRD5" s="37"/>
      <c r="IRE5" s="37"/>
      <c r="IRF5" s="37"/>
      <c r="IRG5" s="37"/>
      <c r="IRH5" s="37"/>
      <c r="IRI5" s="37"/>
      <c r="IRJ5" s="37"/>
      <c r="IRK5" s="37"/>
      <c r="IRL5" s="37"/>
      <c r="IRM5" s="37"/>
      <c r="IRN5" s="37"/>
      <c r="IRO5" s="37"/>
      <c r="IRP5" s="37"/>
      <c r="IRQ5" s="37"/>
      <c r="IRR5" s="37"/>
      <c r="IRS5" s="37"/>
      <c r="IRT5" s="37"/>
      <c r="IRU5" s="37"/>
      <c r="IRV5" s="37"/>
      <c r="IRW5" s="37"/>
      <c r="IRX5" s="37"/>
      <c r="IRY5" s="37"/>
      <c r="IRZ5" s="37"/>
      <c r="ISA5" s="37"/>
      <c r="ISB5" s="37"/>
      <c r="ISC5" s="37"/>
      <c r="ISD5" s="37"/>
      <c r="ISE5" s="37"/>
      <c r="ISF5" s="37"/>
      <c r="ISG5" s="37"/>
      <c r="ISH5" s="37"/>
      <c r="ISI5" s="37"/>
      <c r="ISJ5" s="37"/>
      <c r="ISK5" s="37"/>
      <c r="ISL5" s="37"/>
      <c r="ISM5" s="37"/>
      <c r="ISN5" s="37"/>
      <c r="ISO5" s="37"/>
      <c r="ISP5" s="37"/>
      <c r="ISQ5" s="37"/>
      <c r="ISR5" s="37"/>
      <c r="ISS5" s="37"/>
      <c r="IST5" s="37"/>
      <c r="ISU5" s="37"/>
      <c r="ISV5" s="37"/>
      <c r="ISW5" s="37"/>
      <c r="ISX5" s="37"/>
      <c r="ISY5" s="37"/>
      <c r="ISZ5" s="37"/>
      <c r="ITA5" s="37"/>
      <c r="ITB5" s="37"/>
      <c r="ITC5" s="37"/>
      <c r="ITD5" s="37"/>
      <c r="ITE5" s="37"/>
      <c r="ITF5" s="37"/>
      <c r="ITG5" s="37"/>
      <c r="ITH5" s="37"/>
      <c r="ITI5" s="37"/>
      <c r="ITJ5" s="37"/>
      <c r="ITK5" s="37"/>
      <c r="ITL5" s="37"/>
      <c r="ITM5" s="37"/>
      <c r="ITN5" s="37"/>
      <c r="ITO5" s="37"/>
      <c r="ITP5" s="37"/>
      <c r="ITQ5" s="37"/>
      <c r="ITR5" s="37"/>
      <c r="ITS5" s="37"/>
      <c r="ITT5" s="37"/>
      <c r="ITU5" s="37"/>
      <c r="ITV5" s="37"/>
      <c r="ITW5" s="37"/>
      <c r="ITX5" s="37"/>
      <c r="ITY5" s="37"/>
      <c r="ITZ5" s="37"/>
      <c r="IUA5" s="37"/>
      <c r="IUB5" s="37"/>
      <c r="IUC5" s="37"/>
      <c r="IUD5" s="37"/>
      <c r="IUE5" s="37"/>
      <c r="IUF5" s="37"/>
      <c r="IUG5" s="37"/>
      <c r="IUH5" s="37"/>
      <c r="IUI5" s="37"/>
      <c r="IUJ5" s="37"/>
      <c r="IUK5" s="37"/>
      <c r="IUL5" s="37"/>
      <c r="IUM5" s="37"/>
      <c r="IUN5" s="37"/>
      <c r="IUO5" s="37"/>
      <c r="IUP5" s="37"/>
      <c r="IUQ5" s="37"/>
      <c r="IUR5" s="37"/>
      <c r="IUS5" s="37"/>
      <c r="IUT5" s="37"/>
      <c r="IUU5" s="37"/>
      <c r="IUV5" s="37"/>
      <c r="IUW5" s="37"/>
      <c r="IUX5" s="37"/>
      <c r="IUY5" s="37"/>
      <c r="IUZ5" s="37"/>
      <c r="IVA5" s="37"/>
      <c r="IVB5" s="37"/>
      <c r="IVC5" s="37"/>
      <c r="IVD5" s="37"/>
      <c r="IVE5" s="37"/>
      <c r="IVF5" s="37"/>
      <c r="IVG5" s="37"/>
      <c r="IVH5" s="37"/>
      <c r="IVI5" s="37"/>
      <c r="IVJ5" s="37"/>
      <c r="IVK5" s="37"/>
      <c r="IVL5" s="37"/>
      <c r="IVM5" s="37"/>
      <c r="IVN5" s="37"/>
      <c r="IVO5" s="37"/>
      <c r="IVP5" s="37"/>
      <c r="IVQ5" s="37"/>
      <c r="IVR5" s="37"/>
      <c r="IVS5" s="37"/>
      <c r="IVT5" s="37"/>
      <c r="IVU5" s="37"/>
      <c r="IVV5" s="37"/>
      <c r="IVW5" s="37"/>
      <c r="IVX5" s="37"/>
      <c r="IVY5" s="37"/>
      <c r="IVZ5" s="37"/>
      <c r="IWA5" s="37"/>
      <c r="IWB5" s="37"/>
      <c r="IWC5" s="37"/>
      <c r="IWD5" s="37"/>
      <c r="IWE5" s="37"/>
      <c r="IWF5" s="37"/>
      <c r="IWG5" s="37"/>
      <c r="IWH5" s="37"/>
      <c r="IWI5" s="37"/>
      <c r="IWJ5" s="37"/>
      <c r="IWK5" s="37"/>
      <c r="IWL5" s="37"/>
      <c r="IWM5" s="37"/>
      <c r="IWN5" s="37"/>
      <c r="IWO5" s="37"/>
      <c r="IWP5" s="37"/>
      <c r="IWQ5" s="37"/>
      <c r="IWR5" s="37"/>
      <c r="IWS5" s="37"/>
      <c r="IWT5" s="37"/>
      <c r="IWU5" s="37"/>
      <c r="IWV5" s="37"/>
      <c r="IWW5" s="37"/>
      <c r="IWX5" s="37"/>
      <c r="IWY5" s="37"/>
      <c r="IWZ5" s="37"/>
      <c r="IXA5" s="37"/>
      <c r="IXB5" s="37"/>
      <c r="IXC5" s="37"/>
      <c r="IXD5" s="37"/>
      <c r="IXE5" s="37"/>
      <c r="IXF5" s="37"/>
      <c r="IXG5" s="37"/>
      <c r="IXH5" s="37"/>
      <c r="IXI5" s="37"/>
      <c r="IXJ5" s="37"/>
      <c r="IXK5" s="37"/>
      <c r="IXL5" s="37"/>
      <c r="IXM5" s="37"/>
      <c r="IXN5" s="37"/>
      <c r="IXO5" s="37"/>
      <c r="IXP5" s="37"/>
      <c r="IXQ5" s="37"/>
      <c r="IXR5" s="37"/>
      <c r="IXS5" s="37"/>
      <c r="IXT5" s="37"/>
      <c r="IXU5" s="37"/>
      <c r="IXV5" s="37"/>
      <c r="IXW5" s="37"/>
      <c r="IXX5" s="37"/>
      <c r="IXY5" s="37"/>
      <c r="IXZ5" s="37"/>
      <c r="IYA5" s="37"/>
      <c r="IYB5" s="37"/>
      <c r="IYC5" s="37"/>
      <c r="IYD5" s="37"/>
      <c r="IYE5" s="37"/>
      <c r="IYF5" s="37"/>
      <c r="IYG5" s="37"/>
      <c r="IYH5" s="37"/>
      <c r="IYI5" s="37"/>
      <c r="IYJ5" s="37"/>
      <c r="IYK5" s="37"/>
      <c r="IYL5" s="37"/>
      <c r="IYM5" s="37"/>
      <c r="IYN5" s="37"/>
      <c r="IYO5" s="37"/>
      <c r="IYP5" s="37"/>
      <c r="IYQ5" s="37"/>
      <c r="IYR5" s="37"/>
      <c r="IYS5" s="37"/>
      <c r="IYT5" s="37"/>
      <c r="IYU5" s="37"/>
      <c r="IYV5" s="37"/>
      <c r="IYW5" s="37"/>
      <c r="IYX5" s="37"/>
      <c r="IYY5" s="37"/>
      <c r="IYZ5" s="37"/>
      <c r="IZA5" s="37"/>
      <c r="IZB5" s="37"/>
      <c r="IZC5" s="37"/>
      <c r="IZD5" s="37"/>
      <c r="IZE5" s="37"/>
      <c r="IZF5" s="37"/>
      <c r="IZG5" s="37"/>
      <c r="IZH5" s="37"/>
      <c r="IZI5" s="37"/>
      <c r="IZJ5" s="37"/>
      <c r="IZK5" s="37"/>
      <c r="IZL5" s="37"/>
      <c r="IZM5" s="37"/>
      <c r="IZN5" s="37"/>
      <c r="IZO5" s="37"/>
      <c r="IZP5" s="37"/>
      <c r="IZQ5" s="37"/>
      <c r="IZR5" s="37"/>
      <c r="IZS5" s="37"/>
      <c r="IZT5" s="37"/>
      <c r="IZU5" s="37"/>
      <c r="IZV5" s="37"/>
      <c r="IZW5" s="37"/>
      <c r="IZX5" s="37"/>
      <c r="IZY5" s="37"/>
      <c r="IZZ5" s="37"/>
      <c r="JAA5" s="37"/>
      <c r="JAB5" s="37"/>
      <c r="JAC5" s="37"/>
      <c r="JAD5" s="37"/>
      <c r="JAE5" s="37"/>
      <c r="JAF5" s="37"/>
      <c r="JAG5" s="37"/>
      <c r="JAH5" s="37"/>
      <c r="JAI5" s="37"/>
      <c r="JAJ5" s="37"/>
      <c r="JAK5" s="37"/>
      <c r="JAL5" s="37"/>
      <c r="JAM5" s="37"/>
      <c r="JAN5" s="37"/>
      <c r="JAO5" s="37"/>
      <c r="JAP5" s="37"/>
      <c r="JAQ5" s="37"/>
      <c r="JAR5" s="37"/>
      <c r="JAS5" s="37"/>
      <c r="JAT5" s="37"/>
      <c r="JAU5" s="37"/>
      <c r="JAV5" s="37"/>
      <c r="JAW5" s="37"/>
      <c r="JAX5" s="37"/>
      <c r="JAY5" s="37"/>
      <c r="JAZ5" s="37"/>
      <c r="JBA5" s="37"/>
      <c r="JBB5" s="37"/>
      <c r="JBC5" s="37"/>
      <c r="JBD5" s="37"/>
      <c r="JBE5" s="37"/>
      <c r="JBF5" s="37"/>
      <c r="JBG5" s="37"/>
      <c r="JBH5" s="37"/>
      <c r="JBI5" s="37"/>
      <c r="JBJ5" s="37"/>
      <c r="JBK5" s="37"/>
      <c r="JBL5" s="37"/>
      <c r="JBM5" s="37"/>
      <c r="JBN5" s="37"/>
      <c r="JBO5" s="37"/>
      <c r="JBP5" s="37"/>
      <c r="JBQ5" s="37"/>
      <c r="JBR5" s="37"/>
      <c r="JBS5" s="37"/>
      <c r="JBT5" s="37"/>
      <c r="JBU5" s="37"/>
      <c r="JBV5" s="37"/>
      <c r="JBW5" s="37"/>
      <c r="JBX5" s="37"/>
      <c r="JBY5" s="37"/>
      <c r="JBZ5" s="37"/>
      <c r="JCA5" s="37"/>
      <c r="JCB5" s="37"/>
      <c r="JCC5" s="37"/>
      <c r="JCD5" s="37"/>
      <c r="JCE5" s="37"/>
      <c r="JCF5" s="37"/>
      <c r="JCG5" s="37"/>
      <c r="JCH5" s="37"/>
      <c r="JCI5" s="37"/>
      <c r="JCJ5" s="37"/>
      <c r="JCK5" s="37"/>
      <c r="JCL5" s="37"/>
      <c r="JCM5" s="37"/>
      <c r="JCN5" s="37"/>
      <c r="JCO5" s="37"/>
      <c r="JCP5" s="37"/>
      <c r="JCQ5" s="37"/>
      <c r="JCR5" s="37"/>
      <c r="JCS5" s="37"/>
      <c r="JCT5" s="37"/>
      <c r="JCU5" s="37"/>
      <c r="JCV5" s="37"/>
      <c r="JCW5" s="37"/>
      <c r="JCX5" s="37"/>
      <c r="JCY5" s="37"/>
      <c r="JCZ5" s="37"/>
      <c r="JDA5" s="37"/>
      <c r="JDB5" s="37"/>
      <c r="JDC5" s="37"/>
      <c r="JDD5" s="37"/>
      <c r="JDE5" s="37"/>
      <c r="JDF5" s="37"/>
      <c r="JDG5" s="37"/>
      <c r="JDH5" s="37"/>
      <c r="JDI5" s="37"/>
      <c r="JDJ5" s="37"/>
      <c r="JDK5" s="37"/>
      <c r="JDL5" s="37"/>
      <c r="JDM5" s="37"/>
      <c r="JDN5" s="37"/>
      <c r="JDO5" s="37"/>
      <c r="JDP5" s="37"/>
      <c r="JDQ5" s="37"/>
      <c r="JDR5" s="37"/>
      <c r="JDS5" s="37"/>
      <c r="JDT5" s="37"/>
      <c r="JDU5" s="37"/>
      <c r="JDV5" s="37"/>
      <c r="JDW5" s="37"/>
      <c r="JDX5" s="37"/>
      <c r="JDY5" s="37"/>
      <c r="JDZ5" s="37"/>
      <c r="JEA5" s="37"/>
      <c r="JEB5" s="37"/>
      <c r="JEC5" s="37"/>
      <c r="JED5" s="37"/>
      <c r="JEE5" s="37"/>
      <c r="JEF5" s="37"/>
      <c r="JEG5" s="37"/>
      <c r="JEH5" s="37"/>
      <c r="JEI5" s="37"/>
      <c r="JEJ5" s="37"/>
      <c r="JEK5" s="37"/>
      <c r="JEL5" s="37"/>
      <c r="JEM5" s="37"/>
      <c r="JEN5" s="37"/>
      <c r="JEO5" s="37"/>
      <c r="JEP5" s="37"/>
      <c r="JEQ5" s="37"/>
      <c r="JER5" s="37"/>
      <c r="JES5" s="37"/>
      <c r="JET5" s="37"/>
      <c r="JEU5" s="37"/>
      <c r="JEV5" s="37"/>
      <c r="JEW5" s="37"/>
      <c r="JEX5" s="37"/>
      <c r="JEY5" s="37"/>
      <c r="JEZ5" s="37"/>
      <c r="JFA5" s="37"/>
      <c r="JFB5" s="37"/>
      <c r="JFC5" s="37"/>
      <c r="JFD5" s="37"/>
      <c r="JFE5" s="37"/>
      <c r="JFF5" s="37"/>
      <c r="JFG5" s="37"/>
      <c r="JFH5" s="37"/>
      <c r="JFI5" s="37"/>
      <c r="JFJ5" s="37"/>
      <c r="JFK5" s="37"/>
      <c r="JFL5" s="37"/>
      <c r="JFM5" s="37"/>
      <c r="JFN5" s="37"/>
      <c r="JFO5" s="37"/>
      <c r="JFP5" s="37"/>
      <c r="JFQ5" s="37"/>
      <c r="JFR5" s="37"/>
      <c r="JFS5" s="37"/>
      <c r="JFT5" s="37"/>
      <c r="JFU5" s="37"/>
      <c r="JFV5" s="37"/>
      <c r="JFW5" s="37"/>
      <c r="JFX5" s="37"/>
      <c r="JFY5" s="37"/>
      <c r="JFZ5" s="37"/>
      <c r="JGA5" s="37"/>
      <c r="JGB5" s="37"/>
      <c r="JGC5" s="37"/>
      <c r="JGD5" s="37"/>
      <c r="JGE5" s="37"/>
      <c r="JGF5" s="37"/>
      <c r="JGG5" s="37"/>
      <c r="JGH5" s="37"/>
      <c r="JGI5" s="37"/>
      <c r="JGJ5" s="37"/>
      <c r="JGK5" s="37"/>
      <c r="JGL5" s="37"/>
      <c r="JGM5" s="37"/>
      <c r="JGN5" s="37"/>
      <c r="JGO5" s="37"/>
      <c r="JGP5" s="37"/>
      <c r="JGQ5" s="37"/>
      <c r="JGR5" s="37"/>
      <c r="JGS5" s="37"/>
      <c r="JGT5" s="37"/>
      <c r="JGU5" s="37"/>
      <c r="JGV5" s="37"/>
      <c r="JGW5" s="37"/>
      <c r="JGX5" s="37"/>
      <c r="JGY5" s="37"/>
      <c r="JGZ5" s="37"/>
      <c r="JHA5" s="37"/>
      <c r="JHB5" s="37"/>
      <c r="JHC5" s="37"/>
      <c r="JHD5" s="37"/>
      <c r="JHE5" s="37"/>
      <c r="JHF5" s="37"/>
      <c r="JHG5" s="37"/>
      <c r="JHH5" s="37"/>
      <c r="JHI5" s="37"/>
      <c r="JHJ5" s="37"/>
      <c r="JHK5" s="37"/>
      <c r="JHL5" s="37"/>
      <c r="JHM5" s="37"/>
      <c r="JHN5" s="37"/>
      <c r="JHO5" s="37"/>
      <c r="JHP5" s="37"/>
      <c r="JHQ5" s="37"/>
      <c r="JHR5" s="37"/>
      <c r="JHS5" s="37"/>
      <c r="JHT5" s="37"/>
      <c r="JHU5" s="37"/>
      <c r="JHV5" s="37"/>
      <c r="JHW5" s="37"/>
      <c r="JHX5" s="37"/>
      <c r="JHY5" s="37"/>
      <c r="JHZ5" s="37"/>
      <c r="JIA5" s="37"/>
      <c r="JIB5" s="37"/>
      <c r="JIC5" s="37"/>
      <c r="JID5" s="37"/>
      <c r="JIE5" s="37"/>
      <c r="JIF5" s="37"/>
      <c r="JIG5" s="37"/>
      <c r="JIH5" s="37"/>
      <c r="JII5" s="37"/>
      <c r="JIJ5" s="37"/>
      <c r="JIK5" s="37"/>
      <c r="JIL5" s="37"/>
      <c r="JIM5" s="37"/>
      <c r="JIN5" s="37"/>
      <c r="JIO5" s="37"/>
      <c r="JIP5" s="37"/>
      <c r="JIQ5" s="37"/>
      <c r="JIR5" s="37"/>
      <c r="JIS5" s="37"/>
      <c r="JIT5" s="37"/>
      <c r="JIU5" s="37"/>
      <c r="JIV5" s="37"/>
      <c r="JIW5" s="37"/>
      <c r="JIX5" s="37"/>
      <c r="JIY5" s="37"/>
      <c r="JIZ5" s="37"/>
      <c r="JJA5" s="37"/>
      <c r="JJB5" s="37"/>
      <c r="JJC5" s="37"/>
      <c r="JJD5" s="37"/>
      <c r="JJE5" s="37"/>
      <c r="JJF5" s="37"/>
      <c r="JJG5" s="37"/>
      <c r="JJH5" s="37"/>
      <c r="JJI5" s="37"/>
      <c r="JJJ5" s="37"/>
      <c r="JJK5" s="37"/>
      <c r="JJL5" s="37"/>
      <c r="JJM5" s="37"/>
      <c r="JJN5" s="37"/>
      <c r="JJO5" s="37"/>
      <c r="JJP5" s="37"/>
      <c r="JJQ5" s="37"/>
      <c r="JJR5" s="37"/>
      <c r="JJS5" s="37"/>
      <c r="JJT5" s="37"/>
      <c r="JJU5" s="37"/>
      <c r="JJV5" s="37"/>
      <c r="JJW5" s="37"/>
      <c r="JJX5" s="37"/>
      <c r="JJY5" s="37"/>
      <c r="JJZ5" s="37"/>
      <c r="JKA5" s="37"/>
      <c r="JKB5" s="37"/>
      <c r="JKC5" s="37"/>
      <c r="JKD5" s="37"/>
      <c r="JKE5" s="37"/>
      <c r="JKF5" s="37"/>
      <c r="JKG5" s="37"/>
      <c r="JKH5" s="37"/>
      <c r="JKI5" s="37"/>
      <c r="JKJ5" s="37"/>
      <c r="JKK5" s="37"/>
      <c r="JKL5" s="37"/>
      <c r="JKM5" s="37"/>
      <c r="JKN5" s="37"/>
      <c r="JKO5" s="37"/>
      <c r="JKP5" s="37"/>
      <c r="JKQ5" s="37"/>
      <c r="JKR5" s="37"/>
      <c r="JKS5" s="37"/>
      <c r="JKT5" s="37"/>
      <c r="JKU5" s="37"/>
      <c r="JKV5" s="37"/>
      <c r="JKW5" s="37"/>
      <c r="JKX5" s="37"/>
      <c r="JKY5" s="37"/>
      <c r="JKZ5" s="37"/>
      <c r="JLA5" s="37"/>
      <c r="JLB5" s="37"/>
      <c r="JLC5" s="37"/>
      <c r="JLD5" s="37"/>
      <c r="JLE5" s="37"/>
      <c r="JLF5" s="37"/>
      <c r="JLG5" s="37"/>
      <c r="JLH5" s="37"/>
      <c r="JLI5" s="37"/>
      <c r="JLJ5" s="37"/>
      <c r="JLK5" s="37"/>
      <c r="JLL5" s="37"/>
      <c r="JLM5" s="37"/>
      <c r="JLN5" s="37"/>
      <c r="JLO5" s="37"/>
      <c r="JLP5" s="37"/>
      <c r="JLQ5" s="37"/>
      <c r="JLR5" s="37"/>
      <c r="JLS5" s="37"/>
      <c r="JLT5" s="37"/>
      <c r="JLU5" s="37"/>
      <c r="JLV5" s="37"/>
      <c r="JLW5" s="37"/>
      <c r="JLX5" s="37"/>
      <c r="JLY5" s="37"/>
      <c r="JLZ5" s="37"/>
      <c r="JMA5" s="37"/>
      <c r="JMB5" s="37"/>
      <c r="JMC5" s="37"/>
      <c r="JMD5" s="37"/>
      <c r="JME5" s="37"/>
      <c r="JMF5" s="37"/>
      <c r="JMG5" s="37"/>
      <c r="JMH5" s="37"/>
      <c r="JMI5" s="37"/>
      <c r="JMJ5" s="37"/>
      <c r="JMK5" s="37"/>
      <c r="JML5" s="37"/>
      <c r="JMM5" s="37"/>
      <c r="JMN5" s="37"/>
      <c r="JMO5" s="37"/>
      <c r="JMP5" s="37"/>
      <c r="JMQ5" s="37"/>
      <c r="JMR5" s="37"/>
      <c r="JMS5" s="37"/>
      <c r="JMT5" s="37"/>
      <c r="JMU5" s="37"/>
      <c r="JMV5" s="37"/>
      <c r="JMW5" s="37"/>
      <c r="JMX5" s="37"/>
      <c r="JMY5" s="37"/>
      <c r="JMZ5" s="37"/>
      <c r="JNA5" s="37"/>
      <c r="JNB5" s="37"/>
      <c r="JNC5" s="37"/>
      <c r="JND5" s="37"/>
      <c r="JNE5" s="37"/>
      <c r="JNF5" s="37"/>
      <c r="JNG5" s="37"/>
      <c r="JNH5" s="37"/>
      <c r="JNI5" s="37"/>
      <c r="JNJ5" s="37"/>
      <c r="JNK5" s="37"/>
      <c r="JNL5" s="37"/>
      <c r="JNM5" s="37"/>
      <c r="JNN5" s="37"/>
      <c r="JNO5" s="37"/>
      <c r="JNP5" s="37"/>
      <c r="JNQ5" s="37"/>
      <c r="JNR5" s="37"/>
      <c r="JNS5" s="37"/>
      <c r="JNT5" s="37"/>
      <c r="JNU5" s="37"/>
      <c r="JNV5" s="37"/>
      <c r="JNW5" s="37"/>
      <c r="JNX5" s="37"/>
      <c r="JNY5" s="37"/>
      <c r="JNZ5" s="37"/>
      <c r="JOA5" s="37"/>
      <c r="JOB5" s="37"/>
      <c r="JOC5" s="37"/>
      <c r="JOD5" s="37"/>
      <c r="JOE5" s="37"/>
      <c r="JOF5" s="37"/>
      <c r="JOG5" s="37"/>
      <c r="JOH5" s="37"/>
      <c r="JOI5" s="37"/>
      <c r="JOJ5" s="37"/>
      <c r="JOK5" s="37"/>
      <c r="JOL5" s="37"/>
      <c r="JOM5" s="37"/>
      <c r="JON5" s="37"/>
      <c r="JOO5" s="37"/>
      <c r="JOP5" s="37"/>
      <c r="JOQ5" s="37"/>
      <c r="JOR5" s="37"/>
      <c r="JOS5" s="37"/>
      <c r="JOT5" s="37"/>
      <c r="JOU5" s="37"/>
      <c r="JOV5" s="37"/>
      <c r="JOW5" s="37"/>
      <c r="JOX5" s="37"/>
      <c r="JOY5" s="37"/>
      <c r="JOZ5" s="37"/>
      <c r="JPA5" s="37"/>
      <c r="JPB5" s="37"/>
      <c r="JPC5" s="37"/>
      <c r="JPD5" s="37"/>
      <c r="JPE5" s="37"/>
      <c r="JPF5" s="37"/>
      <c r="JPG5" s="37"/>
      <c r="JPH5" s="37"/>
      <c r="JPI5" s="37"/>
      <c r="JPJ5" s="37"/>
      <c r="JPK5" s="37"/>
      <c r="JPL5" s="37"/>
      <c r="JPM5" s="37"/>
      <c r="JPN5" s="37"/>
      <c r="JPO5" s="37"/>
      <c r="JPP5" s="37"/>
      <c r="JPQ5" s="37"/>
      <c r="JPR5" s="37"/>
      <c r="JPS5" s="37"/>
      <c r="JPT5" s="37"/>
      <c r="JPU5" s="37"/>
      <c r="JPV5" s="37"/>
      <c r="JPW5" s="37"/>
      <c r="JPX5" s="37"/>
      <c r="JPY5" s="37"/>
      <c r="JPZ5" s="37"/>
      <c r="JQA5" s="37"/>
      <c r="JQB5" s="37"/>
      <c r="JQC5" s="37"/>
      <c r="JQD5" s="37"/>
      <c r="JQE5" s="37"/>
      <c r="JQF5" s="37"/>
      <c r="JQG5" s="37"/>
      <c r="JQH5" s="37"/>
      <c r="JQI5" s="37"/>
      <c r="JQJ5" s="37"/>
      <c r="JQK5" s="37"/>
      <c r="JQL5" s="37"/>
      <c r="JQM5" s="37"/>
      <c r="JQN5" s="37"/>
      <c r="JQO5" s="37"/>
      <c r="JQP5" s="37"/>
      <c r="JQQ5" s="37"/>
      <c r="JQR5" s="37"/>
      <c r="JQS5" s="37"/>
      <c r="JQT5" s="37"/>
      <c r="JQU5" s="37"/>
      <c r="JQV5" s="37"/>
      <c r="JQW5" s="37"/>
      <c r="JQX5" s="37"/>
      <c r="JQY5" s="37"/>
      <c r="JQZ5" s="37"/>
      <c r="JRA5" s="37"/>
      <c r="JRB5" s="37"/>
      <c r="JRC5" s="37"/>
      <c r="JRD5" s="37"/>
      <c r="JRE5" s="37"/>
      <c r="JRF5" s="37"/>
      <c r="JRG5" s="37"/>
      <c r="JRH5" s="37"/>
      <c r="JRI5" s="37"/>
      <c r="JRJ5" s="37"/>
      <c r="JRK5" s="37"/>
      <c r="JRL5" s="37"/>
      <c r="JRM5" s="37"/>
      <c r="JRN5" s="37"/>
      <c r="JRO5" s="37"/>
      <c r="JRP5" s="37"/>
      <c r="JRQ5" s="37"/>
      <c r="JRR5" s="37"/>
      <c r="JRS5" s="37"/>
      <c r="JRT5" s="37"/>
      <c r="JRU5" s="37"/>
      <c r="JRV5" s="37"/>
      <c r="JRW5" s="37"/>
      <c r="JRX5" s="37"/>
      <c r="JRY5" s="37"/>
      <c r="JRZ5" s="37"/>
      <c r="JSA5" s="37"/>
      <c r="JSB5" s="37"/>
      <c r="JSC5" s="37"/>
      <c r="JSD5" s="37"/>
      <c r="JSE5" s="37"/>
      <c r="JSF5" s="37"/>
      <c r="JSG5" s="37"/>
      <c r="JSH5" s="37"/>
      <c r="JSI5" s="37"/>
      <c r="JSJ5" s="37"/>
      <c r="JSK5" s="37"/>
      <c r="JSL5" s="37"/>
      <c r="JSM5" s="37"/>
      <c r="JSN5" s="37"/>
      <c r="JSO5" s="37"/>
      <c r="JSP5" s="37"/>
      <c r="JSQ5" s="37"/>
      <c r="JSR5" s="37"/>
      <c r="JSS5" s="37"/>
      <c r="JST5" s="37"/>
      <c r="JSU5" s="37"/>
      <c r="JSV5" s="37"/>
      <c r="JSW5" s="37"/>
      <c r="JSX5" s="37"/>
      <c r="JSY5" s="37"/>
      <c r="JSZ5" s="37"/>
      <c r="JTA5" s="37"/>
      <c r="JTB5" s="37"/>
      <c r="JTC5" s="37"/>
      <c r="JTD5" s="37"/>
      <c r="JTE5" s="37"/>
      <c r="JTF5" s="37"/>
      <c r="JTG5" s="37"/>
      <c r="JTH5" s="37"/>
      <c r="JTI5" s="37"/>
      <c r="JTJ5" s="37"/>
      <c r="JTK5" s="37"/>
      <c r="JTL5" s="37"/>
      <c r="JTM5" s="37"/>
      <c r="JTN5" s="37"/>
      <c r="JTO5" s="37"/>
      <c r="JTP5" s="37"/>
      <c r="JTQ5" s="37"/>
      <c r="JTR5" s="37"/>
      <c r="JTS5" s="37"/>
      <c r="JTT5" s="37"/>
      <c r="JTU5" s="37"/>
      <c r="JTV5" s="37"/>
      <c r="JTW5" s="37"/>
      <c r="JTX5" s="37"/>
      <c r="JTY5" s="37"/>
      <c r="JTZ5" s="37"/>
      <c r="JUA5" s="37"/>
      <c r="JUB5" s="37"/>
      <c r="JUC5" s="37"/>
      <c r="JUD5" s="37"/>
      <c r="JUE5" s="37"/>
      <c r="JUF5" s="37"/>
      <c r="JUG5" s="37"/>
      <c r="JUH5" s="37"/>
      <c r="JUI5" s="37"/>
      <c r="JUJ5" s="37"/>
      <c r="JUK5" s="37"/>
      <c r="JUL5" s="37"/>
      <c r="JUM5" s="37"/>
      <c r="JUN5" s="37"/>
      <c r="JUO5" s="37"/>
      <c r="JUP5" s="37"/>
      <c r="JUQ5" s="37"/>
      <c r="JUR5" s="37"/>
      <c r="JUS5" s="37"/>
      <c r="JUT5" s="37"/>
      <c r="JUU5" s="37"/>
      <c r="JUV5" s="37"/>
      <c r="JUW5" s="37"/>
      <c r="JUX5" s="37"/>
      <c r="JUY5" s="37"/>
      <c r="JUZ5" s="37"/>
      <c r="JVA5" s="37"/>
      <c r="JVB5" s="37"/>
      <c r="JVC5" s="37"/>
      <c r="JVD5" s="37"/>
      <c r="JVE5" s="37"/>
      <c r="JVF5" s="37"/>
      <c r="JVG5" s="37"/>
      <c r="JVH5" s="37"/>
      <c r="JVI5" s="37"/>
      <c r="JVJ5" s="37"/>
      <c r="JVK5" s="37"/>
      <c r="JVL5" s="37"/>
      <c r="JVM5" s="37"/>
      <c r="JVN5" s="37"/>
      <c r="JVO5" s="37"/>
      <c r="JVP5" s="37"/>
      <c r="JVQ5" s="37"/>
      <c r="JVR5" s="37"/>
      <c r="JVS5" s="37"/>
      <c r="JVT5" s="37"/>
      <c r="JVU5" s="37"/>
      <c r="JVV5" s="37"/>
      <c r="JVW5" s="37"/>
      <c r="JVX5" s="37"/>
      <c r="JVY5" s="37"/>
      <c r="JVZ5" s="37"/>
      <c r="JWA5" s="37"/>
      <c r="JWB5" s="37"/>
      <c r="JWC5" s="37"/>
      <c r="JWD5" s="37"/>
      <c r="JWE5" s="37"/>
      <c r="JWF5" s="37"/>
      <c r="JWG5" s="37"/>
      <c r="JWH5" s="37"/>
      <c r="JWI5" s="37"/>
      <c r="JWJ5" s="37"/>
      <c r="JWK5" s="37"/>
      <c r="JWL5" s="37"/>
      <c r="JWM5" s="37"/>
      <c r="JWN5" s="37"/>
      <c r="JWO5" s="37"/>
      <c r="JWP5" s="37"/>
      <c r="JWQ5" s="37"/>
      <c r="JWR5" s="37"/>
      <c r="JWS5" s="37"/>
      <c r="JWT5" s="37"/>
      <c r="JWU5" s="37"/>
      <c r="JWV5" s="37"/>
      <c r="JWW5" s="37"/>
      <c r="JWX5" s="37"/>
      <c r="JWY5" s="37"/>
      <c r="JWZ5" s="37"/>
      <c r="JXA5" s="37"/>
      <c r="JXB5" s="37"/>
      <c r="JXC5" s="37"/>
      <c r="JXD5" s="37"/>
      <c r="JXE5" s="37"/>
      <c r="JXF5" s="37"/>
      <c r="JXG5" s="37"/>
      <c r="JXH5" s="37"/>
      <c r="JXI5" s="37"/>
      <c r="JXJ5" s="37"/>
      <c r="JXK5" s="37"/>
      <c r="JXL5" s="37"/>
      <c r="JXM5" s="37"/>
      <c r="JXN5" s="37"/>
      <c r="JXO5" s="37"/>
      <c r="JXP5" s="37"/>
      <c r="JXQ5" s="37"/>
      <c r="JXR5" s="37"/>
      <c r="JXS5" s="37"/>
      <c r="JXT5" s="37"/>
      <c r="JXU5" s="37"/>
      <c r="JXV5" s="37"/>
      <c r="JXW5" s="37"/>
      <c r="JXX5" s="37"/>
      <c r="JXY5" s="37"/>
      <c r="JXZ5" s="37"/>
      <c r="JYA5" s="37"/>
      <c r="JYB5" s="37"/>
      <c r="JYC5" s="37"/>
      <c r="JYD5" s="37"/>
      <c r="JYE5" s="37"/>
      <c r="JYF5" s="37"/>
      <c r="JYG5" s="37"/>
      <c r="JYH5" s="37"/>
      <c r="JYI5" s="37"/>
      <c r="JYJ5" s="37"/>
      <c r="JYK5" s="37"/>
      <c r="JYL5" s="37"/>
      <c r="JYM5" s="37"/>
      <c r="JYN5" s="37"/>
      <c r="JYO5" s="37"/>
      <c r="JYP5" s="37"/>
      <c r="JYQ5" s="37"/>
      <c r="JYR5" s="37"/>
      <c r="JYS5" s="37"/>
      <c r="JYT5" s="37"/>
      <c r="JYU5" s="37"/>
      <c r="JYV5" s="37"/>
      <c r="JYW5" s="37"/>
      <c r="JYX5" s="37"/>
      <c r="JYY5" s="37"/>
      <c r="JYZ5" s="37"/>
      <c r="JZA5" s="37"/>
      <c r="JZB5" s="37"/>
      <c r="JZC5" s="37"/>
      <c r="JZD5" s="37"/>
      <c r="JZE5" s="37"/>
      <c r="JZF5" s="37"/>
      <c r="JZG5" s="37"/>
      <c r="JZH5" s="37"/>
      <c r="JZI5" s="37"/>
      <c r="JZJ5" s="37"/>
      <c r="JZK5" s="37"/>
      <c r="JZL5" s="37"/>
      <c r="JZM5" s="37"/>
      <c r="JZN5" s="37"/>
      <c r="JZO5" s="37"/>
      <c r="JZP5" s="37"/>
      <c r="JZQ5" s="37"/>
      <c r="JZR5" s="37"/>
      <c r="JZS5" s="37"/>
      <c r="JZT5" s="37"/>
      <c r="JZU5" s="37"/>
      <c r="JZV5" s="37"/>
      <c r="JZW5" s="37"/>
      <c r="JZX5" s="37"/>
      <c r="JZY5" s="37"/>
      <c r="JZZ5" s="37"/>
      <c r="KAA5" s="37"/>
      <c r="KAB5" s="37"/>
      <c r="KAC5" s="37"/>
      <c r="KAD5" s="37"/>
      <c r="KAE5" s="37"/>
      <c r="KAF5" s="37"/>
      <c r="KAG5" s="37"/>
      <c r="KAH5" s="37"/>
      <c r="KAI5" s="37"/>
      <c r="KAJ5" s="37"/>
      <c r="KAK5" s="37"/>
      <c r="KAL5" s="37"/>
      <c r="KAM5" s="37"/>
      <c r="KAN5" s="37"/>
      <c r="KAO5" s="37"/>
      <c r="KAP5" s="37"/>
      <c r="KAQ5" s="37"/>
      <c r="KAR5" s="37"/>
      <c r="KAS5" s="37"/>
      <c r="KAT5" s="37"/>
      <c r="KAU5" s="37"/>
      <c r="KAV5" s="37"/>
      <c r="KAW5" s="37"/>
      <c r="KAX5" s="37"/>
      <c r="KAY5" s="37"/>
      <c r="KAZ5" s="37"/>
      <c r="KBA5" s="37"/>
      <c r="KBB5" s="37"/>
      <c r="KBC5" s="37"/>
      <c r="KBD5" s="37"/>
      <c r="KBE5" s="37"/>
      <c r="KBF5" s="37"/>
      <c r="KBG5" s="37"/>
      <c r="KBH5" s="37"/>
      <c r="KBI5" s="37"/>
      <c r="KBJ5" s="37"/>
      <c r="KBK5" s="37"/>
      <c r="KBL5" s="37"/>
      <c r="KBM5" s="37"/>
      <c r="KBN5" s="37"/>
      <c r="KBO5" s="37"/>
      <c r="KBP5" s="37"/>
      <c r="KBQ5" s="37"/>
      <c r="KBR5" s="37"/>
      <c r="KBS5" s="37"/>
      <c r="KBT5" s="37"/>
      <c r="KBU5" s="37"/>
      <c r="KBV5" s="37"/>
      <c r="KBW5" s="37"/>
      <c r="KBX5" s="37"/>
      <c r="KBY5" s="37"/>
      <c r="KBZ5" s="37"/>
      <c r="KCA5" s="37"/>
      <c r="KCB5" s="37"/>
      <c r="KCC5" s="37"/>
      <c r="KCD5" s="37"/>
      <c r="KCE5" s="37"/>
      <c r="KCF5" s="37"/>
      <c r="KCG5" s="37"/>
      <c r="KCH5" s="37"/>
      <c r="KCI5" s="37"/>
      <c r="KCJ5" s="37"/>
      <c r="KCK5" s="37"/>
      <c r="KCL5" s="37"/>
      <c r="KCM5" s="37"/>
      <c r="KCN5" s="37"/>
      <c r="KCO5" s="37"/>
      <c r="KCP5" s="37"/>
      <c r="KCQ5" s="37"/>
      <c r="KCR5" s="37"/>
      <c r="KCS5" s="37"/>
      <c r="KCT5" s="37"/>
      <c r="KCU5" s="37"/>
      <c r="KCV5" s="37"/>
      <c r="KCW5" s="37"/>
      <c r="KCX5" s="37"/>
      <c r="KCY5" s="37"/>
      <c r="KCZ5" s="37"/>
      <c r="KDA5" s="37"/>
      <c r="KDB5" s="37"/>
      <c r="KDC5" s="37"/>
      <c r="KDD5" s="37"/>
      <c r="KDE5" s="37"/>
      <c r="KDF5" s="37"/>
      <c r="KDG5" s="37"/>
      <c r="KDH5" s="37"/>
      <c r="KDI5" s="37"/>
      <c r="KDJ5" s="37"/>
      <c r="KDK5" s="37"/>
      <c r="KDL5" s="37"/>
      <c r="KDM5" s="37"/>
      <c r="KDN5" s="37"/>
      <c r="KDO5" s="37"/>
      <c r="KDP5" s="37"/>
      <c r="KDQ5" s="37"/>
      <c r="KDR5" s="37"/>
      <c r="KDS5" s="37"/>
      <c r="KDT5" s="37"/>
      <c r="KDU5" s="37"/>
      <c r="KDV5" s="37"/>
      <c r="KDW5" s="37"/>
      <c r="KDX5" s="37"/>
      <c r="KDY5" s="37"/>
      <c r="KDZ5" s="37"/>
      <c r="KEA5" s="37"/>
      <c r="KEB5" s="37"/>
      <c r="KEC5" s="37"/>
      <c r="KED5" s="37"/>
      <c r="KEE5" s="37"/>
      <c r="KEF5" s="37"/>
      <c r="KEG5" s="37"/>
      <c r="KEH5" s="37"/>
      <c r="KEI5" s="37"/>
      <c r="KEJ5" s="37"/>
      <c r="KEK5" s="37"/>
      <c r="KEL5" s="37"/>
      <c r="KEM5" s="37"/>
      <c r="KEN5" s="37"/>
      <c r="KEO5" s="37"/>
      <c r="KEP5" s="37"/>
      <c r="KEQ5" s="37"/>
      <c r="KER5" s="37"/>
      <c r="KES5" s="37"/>
      <c r="KET5" s="37"/>
      <c r="KEU5" s="37"/>
      <c r="KEV5" s="37"/>
      <c r="KEW5" s="37"/>
      <c r="KEX5" s="37"/>
      <c r="KEY5" s="37"/>
      <c r="KEZ5" s="37"/>
      <c r="KFA5" s="37"/>
      <c r="KFB5" s="37"/>
      <c r="KFC5" s="37"/>
      <c r="KFD5" s="37"/>
      <c r="KFE5" s="37"/>
      <c r="KFF5" s="37"/>
      <c r="KFG5" s="37"/>
      <c r="KFH5" s="37"/>
      <c r="KFI5" s="37"/>
      <c r="KFJ5" s="37"/>
      <c r="KFK5" s="37"/>
      <c r="KFL5" s="37"/>
      <c r="KFM5" s="37"/>
      <c r="KFN5" s="37"/>
      <c r="KFO5" s="37"/>
      <c r="KFP5" s="37"/>
      <c r="KFQ5" s="37"/>
      <c r="KFR5" s="37"/>
      <c r="KFS5" s="37"/>
      <c r="KFT5" s="37"/>
      <c r="KFU5" s="37"/>
      <c r="KFV5" s="37"/>
      <c r="KFW5" s="37"/>
      <c r="KFX5" s="37"/>
      <c r="KFY5" s="37"/>
      <c r="KFZ5" s="37"/>
      <c r="KGA5" s="37"/>
      <c r="KGB5" s="37"/>
      <c r="KGC5" s="37"/>
      <c r="KGD5" s="37"/>
      <c r="KGE5" s="37"/>
      <c r="KGF5" s="37"/>
      <c r="KGG5" s="37"/>
      <c r="KGH5" s="37"/>
      <c r="KGI5" s="37"/>
      <c r="KGJ5" s="37"/>
      <c r="KGK5" s="37"/>
      <c r="KGL5" s="37"/>
      <c r="KGM5" s="37"/>
      <c r="KGN5" s="37"/>
      <c r="KGO5" s="37"/>
      <c r="KGP5" s="37"/>
      <c r="KGQ5" s="37"/>
      <c r="KGR5" s="37"/>
      <c r="KGS5" s="37"/>
      <c r="KGT5" s="37"/>
      <c r="KGU5" s="37"/>
      <c r="KGV5" s="37"/>
      <c r="KGW5" s="37"/>
      <c r="KGX5" s="37"/>
      <c r="KGY5" s="37"/>
      <c r="KGZ5" s="37"/>
      <c r="KHA5" s="37"/>
      <c r="KHB5" s="37"/>
      <c r="KHC5" s="37"/>
      <c r="KHD5" s="37"/>
      <c r="KHE5" s="37"/>
      <c r="KHF5" s="37"/>
      <c r="KHG5" s="37"/>
      <c r="KHH5" s="37"/>
      <c r="KHI5" s="37"/>
      <c r="KHJ5" s="37"/>
      <c r="KHK5" s="37"/>
      <c r="KHL5" s="37"/>
      <c r="KHM5" s="37"/>
      <c r="KHN5" s="37"/>
      <c r="KHO5" s="37"/>
      <c r="KHP5" s="37"/>
      <c r="KHQ5" s="37"/>
      <c r="KHR5" s="37"/>
      <c r="KHS5" s="37"/>
      <c r="KHT5" s="37"/>
      <c r="KHU5" s="37"/>
      <c r="KHV5" s="37"/>
      <c r="KHW5" s="37"/>
      <c r="KHX5" s="37"/>
      <c r="KHY5" s="37"/>
      <c r="KHZ5" s="37"/>
      <c r="KIA5" s="37"/>
      <c r="KIB5" s="37"/>
      <c r="KIC5" s="37"/>
      <c r="KID5" s="37"/>
      <c r="KIE5" s="37"/>
      <c r="KIF5" s="37"/>
      <c r="KIG5" s="37"/>
      <c r="KIH5" s="37"/>
      <c r="KII5" s="37"/>
      <c r="KIJ5" s="37"/>
      <c r="KIK5" s="37"/>
      <c r="KIL5" s="37"/>
      <c r="KIM5" s="37"/>
      <c r="KIN5" s="37"/>
      <c r="KIO5" s="37"/>
      <c r="KIP5" s="37"/>
      <c r="KIQ5" s="37"/>
      <c r="KIR5" s="37"/>
      <c r="KIS5" s="37"/>
      <c r="KIT5" s="37"/>
      <c r="KIU5" s="37"/>
      <c r="KIV5" s="37"/>
      <c r="KIW5" s="37"/>
      <c r="KIX5" s="37"/>
      <c r="KIY5" s="37"/>
      <c r="KIZ5" s="37"/>
      <c r="KJA5" s="37"/>
      <c r="KJB5" s="37"/>
      <c r="KJC5" s="37"/>
      <c r="KJD5" s="37"/>
      <c r="KJE5" s="37"/>
      <c r="KJF5" s="37"/>
      <c r="KJG5" s="37"/>
      <c r="KJH5" s="37"/>
      <c r="KJI5" s="37"/>
      <c r="KJJ5" s="37"/>
      <c r="KJK5" s="37"/>
      <c r="KJL5" s="37"/>
      <c r="KJM5" s="37"/>
      <c r="KJN5" s="37"/>
      <c r="KJO5" s="37"/>
      <c r="KJP5" s="37"/>
      <c r="KJQ5" s="37"/>
      <c r="KJR5" s="37"/>
      <c r="KJS5" s="37"/>
      <c r="KJT5" s="37"/>
      <c r="KJU5" s="37"/>
      <c r="KJV5" s="37"/>
      <c r="KJW5" s="37"/>
      <c r="KJX5" s="37"/>
      <c r="KJY5" s="37"/>
      <c r="KJZ5" s="37"/>
      <c r="KKA5" s="37"/>
      <c r="KKB5" s="37"/>
      <c r="KKC5" s="37"/>
      <c r="KKD5" s="37"/>
      <c r="KKE5" s="37"/>
      <c r="KKF5" s="37"/>
      <c r="KKG5" s="37"/>
      <c r="KKH5" s="37"/>
      <c r="KKI5" s="37"/>
      <c r="KKJ5" s="37"/>
      <c r="KKK5" s="37"/>
      <c r="KKL5" s="37"/>
      <c r="KKM5" s="37"/>
      <c r="KKN5" s="37"/>
      <c r="KKO5" s="37"/>
      <c r="KKP5" s="37"/>
      <c r="KKQ5" s="37"/>
      <c r="KKR5" s="37"/>
      <c r="KKS5" s="37"/>
      <c r="KKT5" s="37"/>
      <c r="KKU5" s="37"/>
      <c r="KKV5" s="37"/>
      <c r="KKW5" s="37"/>
      <c r="KKX5" s="37"/>
      <c r="KKY5" s="37"/>
      <c r="KKZ5" s="37"/>
      <c r="KLA5" s="37"/>
      <c r="KLB5" s="37"/>
      <c r="KLC5" s="37"/>
      <c r="KLD5" s="37"/>
      <c r="KLE5" s="37"/>
      <c r="KLF5" s="37"/>
      <c r="KLG5" s="37"/>
      <c r="KLH5" s="37"/>
      <c r="KLI5" s="37"/>
      <c r="KLJ5" s="37"/>
      <c r="KLK5" s="37"/>
      <c r="KLL5" s="37"/>
      <c r="KLM5" s="37"/>
      <c r="KLN5" s="37"/>
      <c r="KLO5" s="37"/>
      <c r="KLP5" s="37"/>
      <c r="KLQ5" s="37"/>
      <c r="KLR5" s="37"/>
      <c r="KLS5" s="37"/>
      <c r="KLT5" s="37"/>
      <c r="KLU5" s="37"/>
      <c r="KLV5" s="37"/>
      <c r="KLW5" s="37"/>
      <c r="KLX5" s="37"/>
      <c r="KLY5" s="37"/>
      <c r="KLZ5" s="37"/>
      <c r="KMA5" s="37"/>
      <c r="KMB5" s="37"/>
      <c r="KMC5" s="37"/>
      <c r="KMD5" s="37"/>
      <c r="KME5" s="37"/>
      <c r="KMF5" s="37"/>
      <c r="KMG5" s="37"/>
      <c r="KMH5" s="37"/>
      <c r="KMI5" s="37"/>
      <c r="KMJ5" s="37"/>
      <c r="KMK5" s="37"/>
      <c r="KML5" s="37"/>
      <c r="KMM5" s="37"/>
      <c r="KMN5" s="37"/>
      <c r="KMO5" s="37"/>
      <c r="KMP5" s="37"/>
      <c r="KMQ5" s="37"/>
      <c r="KMR5" s="37"/>
      <c r="KMS5" s="37"/>
      <c r="KMT5" s="37"/>
      <c r="KMU5" s="37"/>
      <c r="KMV5" s="37"/>
      <c r="KMW5" s="37"/>
      <c r="KMX5" s="37"/>
      <c r="KMY5" s="37"/>
      <c r="KMZ5" s="37"/>
      <c r="KNA5" s="37"/>
      <c r="KNB5" s="37"/>
      <c r="KNC5" s="37"/>
      <c r="KND5" s="37"/>
      <c r="KNE5" s="37"/>
      <c r="KNF5" s="37"/>
      <c r="KNG5" s="37"/>
      <c r="KNH5" s="37"/>
      <c r="KNI5" s="37"/>
      <c r="KNJ5" s="37"/>
      <c r="KNK5" s="37"/>
      <c r="KNL5" s="37"/>
      <c r="KNM5" s="37"/>
      <c r="KNN5" s="37"/>
      <c r="KNO5" s="37"/>
      <c r="KNP5" s="37"/>
      <c r="KNQ5" s="37"/>
      <c r="KNR5" s="37"/>
      <c r="KNS5" s="37"/>
      <c r="KNT5" s="37"/>
      <c r="KNU5" s="37"/>
      <c r="KNV5" s="37"/>
      <c r="KNW5" s="37"/>
      <c r="KNX5" s="37"/>
      <c r="KNY5" s="37"/>
      <c r="KNZ5" s="37"/>
      <c r="KOA5" s="37"/>
      <c r="KOB5" s="37"/>
      <c r="KOC5" s="37"/>
      <c r="KOD5" s="37"/>
      <c r="KOE5" s="37"/>
      <c r="KOF5" s="37"/>
      <c r="KOG5" s="37"/>
      <c r="KOH5" s="37"/>
      <c r="KOI5" s="37"/>
      <c r="KOJ5" s="37"/>
      <c r="KOK5" s="37"/>
      <c r="KOL5" s="37"/>
      <c r="KOM5" s="37"/>
      <c r="KON5" s="37"/>
      <c r="KOO5" s="37"/>
      <c r="KOP5" s="37"/>
      <c r="KOQ5" s="37"/>
      <c r="KOR5" s="37"/>
      <c r="KOS5" s="37"/>
      <c r="KOT5" s="37"/>
      <c r="KOU5" s="37"/>
      <c r="KOV5" s="37"/>
      <c r="KOW5" s="37"/>
      <c r="KOX5" s="37"/>
      <c r="KOY5" s="37"/>
      <c r="KOZ5" s="37"/>
      <c r="KPA5" s="37"/>
      <c r="KPB5" s="37"/>
      <c r="KPC5" s="37"/>
      <c r="KPD5" s="37"/>
      <c r="KPE5" s="37"/>
      <c r="KPF5" s="37"/>
      <c r="KPG5" s="37"/>
      <c r="KPH5" s="37"/>
      <c r="KPI5" s="37"/>
      <c r="KPJ5" s="37"/>
      <c r="KPK5" s="37"/>
      <c r="KPL5" s="37"/>
      <c r="KPM5" s="37"/>
      <c r="KPN5" s="37"/>
      <c r="KPO5" s="37"/>
      <c r="KPP5" s="37"/>
      <c r="KPQ5" s="37"/>
      <c r="KPR5" s="37"/>
      <c r="KPS5" s="37"/>
      <c r="KPT5" s="37"/>
      <c r="KPU5" s="37"/>
      <c r="KPV5" s="37"/>
      <c r="KPW5" s="37"/>
      <c r="KPX5" s="37"/>
      <c r="KPY5" s="37"/>
      <c r="KPZ5" s="37"/>
      <c r="KQA5" s="37"/>
      <c r="KQB5" s="37"/>
      <c r="KQC5" s="37"/>
      <c r="KQD5" s="37"/>
      <c r="KQE5" s="37"/>
      <c r="KQF5" s="37"/>
      <c r="KQG5" s="37"/>
      <c r="KQH5" s="37"/>
      <c r="KQI5" s="37"/>
      <c r="KQJ5" s="37"/>
      <c r="KQK5" s="37"/>
      <c r="KQL5" s="37"/>
      <c r="KQM5" s="37"/>
      <c r="KQN5" s="37"/>
      <c r="KQO5" s="37"/>
      <c r="KQP5" s="37"/>
      <c r="KQQ5" s="37"/>
      <c r="KQR5" s="37"/>
      <c r="KQS5" s="37"/>
      <c r="KQT5" s="37"/>
      <c r="KQU5" s="37"/>
      <c r="KQV5" s="37"/>
      <c r="KQW5" s="37"/>
      <c r="KQX5" s="37"/>
      <c r="KQY5" s="37"/>
      <c r="KQZ5" s="37"/>
      <c r="KRA5" s="37"/>
      <c r="KRB5" s="37"/>
      <c r="KRC5" s="37"/>
      <c r="KRD5" s="37"/>
      <c r="KRE5" s="37"/>
      <c r="KRF5" s="37"/>
      <c r="KRG5" s="37"/>
      <c r="KRH5" s="37"/>
      <c r="KRI5" s="37"/>
      <c r="KRJ5" s="37"/>
      <c r="KRK5" s="37"/>
      <c r="KRL5" s="37"/>
      <c r="KRM5" s="37"/>
      <c r="KRN5" s="37"/>
      <c r="KRO5" s="37"/>
      <c r="KRP5" s="37"/>
      <c r="KRQ5" s="37"/>
      <c r="KRR5" s="37"/>
      <c r="KRS5" s="37"/>
      <c r="KRT5" s="37"/>
      <c r="KRU5" s="37"/>
      <c r="KRV5" s="37"/>
      <c r="KRW5" s="37"/>
      <c r="KRX5" s="37"/>
      <c r="KRY5" s="37"/>
      <c r="KRZ5" s="37"/>
      <c r="KSA5" s="37"/>
      <c r="KSB5" s="37"/>
      <c r="KSC5" s="37"/>
      <c r="KSD5" s="37"/>
      <c r="KSE5" s="37"/>
      <c r="KSF5" s="37"/>
      <c r="KSG5" s="37"/>
      <c r="KSH5" s="37"/>
      <c r="KSI5" s="37"/>
      <c r="KSJ5" s="37"/>
      <c r="KSK5" s="37"/>
      <c r="KSL5" s="37"/>
      <c r="KSM5" s="37"/>
      <c r="KSN5" s="37"/>
      <c r="KSO5" s="37"/>
      <c r="KSP5" s="37"/>
      <c r="KSQ5" s="37"/>
      <c r="KSR5" s="37"/>
      <c r="KSS5" s="37"/>
      <c r="KST5" s="37"/>
      <c r="KSU5" s="37"/>
      <c r="KSV5" s="37"/>
      <c r="KSW5" s="37"/>
      <c r="KSX5" s="37"/>
      <c r="KSY5" s="37"/>
      <c r="KSZ5" s="37"/>
      <c r="KTA5" s="37"/>
      <c r="KTB5" s="37"/>
      <c r="KTC5" s="37"/>
      <c r="KTD5" s="37"/>
      <c r="KTE5" s="37"/>
      <c r="KTF5" s="37"/>
      <c r="KTG5" s="37"/>
      <c r="KTH5" s="37"/>
      <c r="KTI5" s="37"/>
      <c r="KTJ5" s="37"/>
      <c r="KTK5" s="37"/>
      <c r="KTL5" s="37"/>
      <c r="KTM5" s="37"/>
      <c r="KTN5" s="37"/>
      <c r="KTO5" s="37"/>
      <c r="KTP5" s="37"/>
      <c r="KTQ5" s="37"/>
      <c r="KTR5" s="37"/>
      <c r="KTS5" s="37"/>
      <c r="KTT5" s="37"/>
      <c r="KTU5" s="37"/>
      <c r="KTV5" s="37"/>
      <c r="KTW5" s="37"/>
      <c r="KTX5" s="37"/>
      <c r="KTY5" s="37"/>
      <c r="KTZ5" s="37"/>
      <c r="KUA5" s="37"/>
      <c r="KUB5" s="37"/>
      <c r="KUC5" s="37"/>
      <c r="KUD5" s="37"/>
      <c r="KUE5" s="37"/>
      <c r="KUF5" s="37"/>
      <c r="KUG5" s="37"/>
      <c r="KUH5" s="37"/>
      <c r="KUI5" s="37"/>
      <c r="KUJ5" s="37"/>
      <c r="KUK5" s="37"/>
      <c r="KUL5" s="37"/>
      <c r="KUM5" s="37"/>
      <c r="KUN5" s="37"/>
      <c r="KUO5" s="37"/>
      <c r="KUP5" s="37"/>
      <c r="KUQ5" s="37"/>
      <c r="KUR5" s="37"/>
      <c r="KUS5" s="37"/>
      <c r="KUT5" s="37"/>
      <c r="KUU5" s="37"/>
      <c r="KUV5" s="37"/>
      <c r="KUW5" s="37"/>
      <c r="KUX5" s="37"/>
      <c r="KUY5" s="37"/>
      <c r="KUZ5" s="37"/>
      <c r="KVA5" s="37"/>
      <c r="KVB5" s="37"/>
      <c r="KVC5" s="37"/>
      <c r="KVD5" s="37"/>
      <c r="KVE5" s="37"/>
      <c r="KVF5" s="37"/>
      <c r="KVG5" s="37"/>
      <c r="KVH5" s="37"/>
      <c r="KVI5" s="37"/>
      <c r="KVJ5" s="37"/>
      <c r="KVK5" s="37"/>
      <c r="KVL5" s="37"/>
      <c r="KVM5" s="37"/>
      <c r="KVN5" s="37"/>
      <c r="KVO5" s="37"/>
      <c r="KVP5" s="37"/>
      <c r="KVQ5" s="37"/>
      <c r="KVR5" s="37"/>
      <c r="KVS5" s="37"/>
      <c r="KVT5" s="37"/>
      <c r="KVU5" s="37"/>
      <c r="KVV5" s="37"/>
      <c r="KVW5" s="37"/>
      <c r="KVX5" s="37"/>
      <c r="KVY5" s="37"/>
      <c r="KVZ5" s="37"/>
      <c r="KWA5" s="37"/>
      <c r="KWB5" s="37"/>
      <c r="KWC5" s="37"/>
      <c r="KWD5" s="37"/>
      <c r="KWE5" s="37"/>
      <c r="KWF5" s="37"/>
      <c r="KWG5" s="37"/>
      <c r="KWH5" s="37"/>
      <c r="KWI5" s="37"/>
      <c r="KWJ5" s="37"/>
      <c r="KWK5" s="37"/>
      <c r="KWL5" s="37"/>
      <c r="KWM5" s="37"/>
      <c r="KWN5" s="37"/>
      <c r="KWO5" s="37"/>
      <c r="KWP5" s="37"/>
      <c r="KWQ5" s="37"/>
      <c r="KWR5" s="37"/>
      <c r="KWS5" s="37"/>
      <c r="KWT5" s="37"/>
      <c r="KWU5" s="37"/>
      <c r="KWV5" s="37"/>
      <c r="KWW5" s="37"/>
      <c r="KWX5" s="37"/>
      <c r="KWY5" s="37"/>
      <c r="KWZ5" s="37"/>
      <c r="KXA5" s="37"/>
      <c r="KXB5" s="37"/>
      <c r="KXC5" s="37"/>
      <c r="KXD5" s="37"/>
      <c r="KXE5" s="37"/>
      <c r="KXF5" s="37"/>
      <c r="KXG5" s="37"/>
      <c r="KXH5" s="37"/>
      <c r="KXI5" s="37"/>
      <c r="KXJ5" s="37"/>
      <c r="KXK5" s="37"/>
      <c r="KXL5" s="37"/>
      <c r="KXM5" s="37"/>
      <c r="KXN5" s="37"/>
      <c r="KXO5" s="37"/>
      <c r="KXP5" s="37"/>
      <c r="KXQ5" s="37"/>
      <c r="KXR5" s="37"/>
      <c r="KXS5" s="37"/>
      <c r="KXT5" s="37"/>
      <c r="KXU5" s="37"/>
      <c r="KXV5" s="37"/>
      <c r="KXW5" s="37"/>
      <c r="KXX5" s="37"/>
      <c r="KXY5" s="37"/>
      <c r="KXZ5" s="37"/>
      <c r="KYA5" s="37"/>
      <c r="KYB5" s="37"/>
      <c r="KYC5" s="37"/>
      <c r="KYD5" s="37"/>
      <c r="KYE5" s="37"/>
      <c r="KYF5" s="37"/>
      <c r="KYG5" s="37"/>
      <c r="KYH5" s="37"/>
      <c r="KYI5" s="37"/>
      <c r="KYJ5" s="37"/>
      <c r="KYK5" s="37"/>
      <c r="KYL5" s="37"/>
      <c r="KYM5" s="37"/>
      <c r="KYN5" s="37"/>
      <c r="KYO5" s="37"/>
      <c r="KYP5" s="37"/>
      <c r="KYQ5" s="37"/>
      <c r="KYR5" s="37"/>
      <c r="KYS5" s="37"/>
      <c r="KYT5" s="37"/>
      <c r="KYU5" s="37"/>
      <c r="KYV5" s="37"/>
      <c r="KYW5" s="37"/>
      <c r="KYX5" s="37"/>
      <c r="KYY5" s="37"/>
      <c r="KYZ5" s="37"/>
      <c r="KZA5" s="37"/>
      <c r="KZB5" s="37"/>
      <c r="KZC5" s="37"/>
      <c r="KZD5" s="37"/>
      <c r="KZE5" s="37"/>
      <c r="KZF5" s="37"/>
      <c r="KZG5" s="37"/>
      <c r="KZH5" s="37"/>
      <c r="KZI5" s="37"/>
      <c r="KZJ5" s="37"/>
      <c r="KZK5" s="37"/>
      <c r="KZL5" s="37"/>
      <c r="KZM5" s="37"/>
      <c r="KZN5" s="37"/>
      <c r="KZO5" s="37"/>
      <c r="KZP5" s="37"/>
      <c r="KZQ5" s="37"/>
      <c r="KZR5" s="37"/>
      <c r="KZS5" s="37"/>
      <c r="KZT5" s="37"/>
      <c r="KZU5" s="37"/>
      <c r="KZV5" s="37"/>
      <c r="KZW5" s="37"/>
      <c r="KZX5" s="37"/>
      <c r="KZY5" s="37"/>
      <c r="KZZ5" s="37"/>
      <c r="LAA5" s="37"/>
      <c r="LAB5" s="37"/>
      <c r="LAC5" s="37"/>
      <c r="LAD5" s="37"/>
      <c r="LAE5" s="37"/>
      <c r="LAF5" s="37"/>
      <c r="LAG5" s="37"/>
      <c r="LAH5" s="37"/>
      <c r="LAI5" s="37"/>
      <c r="LAJ5" s="37"/>
      <c r="LAK5" s="37"/>
      <c r="LAL5" s="37"/>
      <c r="LAM5" s="37"/>
      <c r="LAN5" s="37"/>
      <c r="LAO5" s="37"/>
      <c r="LAP5" s="37"/>
      <c r="LAQ5" s="37"/>
      <c r="LAR5" s="37"/>
      <c r="LAS5" s="37"/>
      <c r="LAT5" s="37"/>
      <c r="LAU5" s="37"/>
      <c r="LAV5" s="37"/>
      <c r="LAW5" s="37"/>
      <c r="LAX5" s="37"/>
      <c r="LAY5" s="37"/>
      <c r="LAZ5" s="37"/>
      <c r="LBA5" s="37"/>
      <c r="LBB5" s="37"/>
      <c r="LBC5" s="37"/>
      <c r="LBD5" s="37"/>
      <c r="LBE5" s="37"/>
      <c r="LBF5" s="37"/>
      <c r="LBG5" s="37"/>
      <c r="LBH5" s="37"/>
      <c r="LBI5" s="37"/>
      <c r="LBJ5" s="37"/>
      <c r="LBK5" s="37"/>
      <c r="LBL5" s="37"/>
      <c r="LBM5" s="37"/>
      <c r="LBN5" s="37"/>
      <c r="LBO5" s="37"/>
      <c r="LBP5" s="37"/>
      <c r="LBQ5" s="37"/>
      <c r="LBR5" s="37"/>
      <c r="LBS5" s="37"/>
      <c r="LBT5" s="37"/>
      <c r="LBU5" s="37"/>
      <c r="LBV5" s="37"/>
      <c r="LBW5" s="37"/>
      <c r="LBX5" s="37"/>
      <c r="LBY5" s="37"/>
      <c r="LBZ5" s="37"/>
      <c r="LCA5" s="37"/>
      <c r="LCB5" s="37"/>
      <c r="LCC5" s="37"/>
      <c r="LCD5" s="37"/>
      <c r="LCE5" s="37"/>
      <c r="LCF5" s="37"/>
      <c r="LCG5" s="37"/>
      <c r="LCH5" s="37"/>
      <c r="LCI5" s="37"/>
      <c r="LCJ5" s="37"/>
      <c r="LCK5" s="37"/>
      <c r="LCL5" s="37"/>
      <c r="LCM5" s="37"/>
      <c r="LCN5" s="37"/>
      <c r="LCO5" s="37"/>
      <c r="LCP5" s="37"/>
      <c r="LCQ5" s="37"/>
      <c r="LCR5" s="37"/>
      <c r="LCS5" s="37"/>
      <c r="LCT5" s="37"/>
      <c r="LCU5" s="37"/>
      <c r="LCV5" s="37"/>
      <c r="LCW5" s="37"/>
      <c r="LCX5" s="37"/>
      <c r="LCY5" s="37"/>
      <c r="LCZ5" s="37"/>
      <c r="LDA5" s="37"/>
      <c r="LDB5" s="37"/>
      <c r="LDC5" s="37"/>
      <c r="LDD5" s="37"/>
      <c r="LDE5" s="37"/>
      <c r="LDF5" s="37"/>
      <c r="LDG5" s="37"/>
      <c r="LDH5" s="37"/>
      <c r="LDI5" s="37"/>
      <c r="LDJ5" s="37"/>
      <c r="LDK5" s="37"/>
      <c r="LDL5" s="37"/>
      <c r="LDM5" s="37"/>
      <c r="LDN5" s="37"/>
      <c r="LDO5" s="37"/>
      <c r="LDP5" s="37"/>
      <c r="LDQ5" s="37"/>
      <c r="LDR5" s="37"/>
      <c r="LDS5" s="37"/>
      <c r="LDT5" s="37"/>
      <c r="LDU5" s="37"/>
      <c r="LDV5" s="37"/>
      <c r="LDW5" s="37"/>
      <c r="LDX5" s="37"/>
      <c r="LDY5" s="37"/>
      <c r="LDZ5" s="37"/>
      <c r="LEA5" s="37"/>
      <c r="LEB5" s="37"/>
      <c r="LEC5" s="37"/>
      <c r="LED5" s="37"/>
      <c r="LEE5" s="37"/>
      <c r="LEF5" s="37"/>
      <c r="LEG5" s="37"/>
      <c r="LEH5" s="37"/>
      <c r="LEI5" s="37"/>
      <c r="LEJ5" s="37"/>
      <c r="LEK5" s="37"/>
      <c r="LEL5" s="37"/>
      <c r="LEM5" s="37"/>
      <c r="LEN5" s="37"/>
      <c r="LEO5" s="37"/>
      <c r="LEP5" s="37"/>
      <c r="LEQ5" s="37"/>
      <c r="LER5" s="37"/>
      <c r="LES5" s="37"/>
      <c r="LET5" s="37"/>
      <c r="LEU5" s="37"/>
      <c r="LEV5" s="37"/>
      <c r="LEW5" s="37"/>
      <c r="LEX5" s="37"/>
      <c r="LEY5" s="37"/>
      <c r="LEZ5" s="37"/>
      <c r="LFA5" s="37"/>
      <c r="LFB5" s="37"/>
      <c r="LFC5" s="37"/>
      <c r="LFD5" s="37"/>
      <c r="LFE5" s="37"/>
      <c r="LFF5" s="37"/>
      <c r="LFG5" s="37"/>
      <c r="LFH5" s="37"/>
      <c r="LFI5" s="37"/>
      <c r="LFJ5" s="37"/>
      <c r="LFK5" s="37"/>
      <c r="LFL5" s="37"/>
      <c r="LFM5" s="37"/>
      <c r="LFN5" s="37"/>
      <c r="LFO5" s="37"/>
      <c r="LFP5" s="37"/>
      <c r="LFQ5" s="37"/>
      <c r="LFR5" s="37"/>
      <c r="LFS5" s="37"/>
      <c r="LFT5" s="37"/>
      <c r="LFU5" s="37"/>
      <c r="LFV5" s="37"/>
      <c r="LFW5" s="37"/>
      <c r="LFX5" s="37"/>
      <c r="LFY5" s="37"/>
      <c r="LFZ5" s="37"/>
      <c r="LGA5" s="37"/>
      <c r="LGB5" s="37"/>
      <c r="LGC5" s="37"/>
      <c r="LGD5" s="37"/>
      <c r="LGE5" s="37"/>
      <c r="LGF5" s="37"/>
      <c r="LGG5" s="37"/>
      <c r="LGH5" s="37"/>
      <c r="LGI5" s="37"/>
      <c r="LGJ5" s="37"/>
      <c r="LGK5" s="37"/>
      <c r="LGL5" s="37"/>
      <c r="LGM5" s="37"/>
      <c r="LGN5" s="37"/>
      <c r="LGO5" s="37"/>
      <c r="LGP5" s="37"/>
      <c r="LGQ5" s="37"/>
      <c r="LGR5" s="37"/>
      <c r="LGS5" s="37"/>
      <c r="LGT5" s="37"/>
      <c r="LGU5" s="37"/>
      <c r="LGV5" s="37"/>
      <c r="LGW5" s="37"/>
      <c r="LGX5" s="37"/>
      <c r="LGY5" s="37"/>
      <c r="LGZ5" s="37"/>
      <c r="LHA5" s="37"/>
      <c r="LHB5" s="37"/>
      <c r="LHC5" s="37"/>
      <c r="LHD5" s="37"/>
      <c r="LHE5" s="37"/>
      <c r="LHF5" s="37"/>
      <c r="LHG5" s="37"/>
      <c r="LHH5" s="37"/>
      <c r="LHI5" s="37"/>
      <c r="LHJ5" s="37"/>
      <c r="LHK5" s="37"/>
      <c r="LHL5" s="37"/>
      <c r="LHM5" s="37"/>
      <c r="LHN5" s="37"/>
      <c r="LHO5" s="37"/>
      <c r="LHP5" s="37"/>
      <c r="LHQ5" s="37"/>
      <c r="LHR5" s="37"/>
      <c r="LHS5" s="37"/>
      <c r="LHT5" s="37"/>
      <c r="LHU5" s="37"/>
      <c r="LHV5" s="37"/>
      <c r="LHW5" s="37"/>
      <c r="LHX5" s="37"/>
      <c r="LHY5" s="37"/>
      <c r="LHZ5" s="37"/>
      <c r="LIA5" s="37"/>
      <c r="LIB5" s="37"/>
      <c r="LIC5" s="37"/>
      <c r="LID5" s="37"/>
      <c r="LIE5" s="37"/>
      <c r="LIF5" s="37"/>
      <c r="LIG5" s="37"/>
      <c r="LIH5" s="37"/>
      <c r="LII5" s="37"/>
      <c r="LIJ5" s="37"/>
      <c r="LIK5" s="37"/>
      <c r="LIL5" s="37"/>
      <c r="LIM5" s="37"/>
      <c r="LIN5" s="37"/>
      <c r="LIO5" s="37"/>
      <c r="LIP5" s="37"/>
      <c r="LIQ5" s="37"/>
      <c r="LIR5" s="37"/>
      <c r="LIS5" s="37"/>
      <c r="LIT5" s="37"/>
      <c r="LIU5" s="37"/>
      <c r="LIV5" s="37"/>
      <c r="LIW5" s="37"/>
      <c r="LIX5" s="37"/>
      <c r="LIY5" s="37"/>
      <c r="LIZ5" s="37"/>
      <c r="LJA5" s="37"/>
      <c r="LJB5" s="37"/>
      <c r="LJC5" s="37"/>
      <c r="LJD5" s="37"/>
      <c r="LJE5" s="37"/>
      <c r="LJF5" s="37"/>
      <c r="LJG5" s="37"/>
      <c r="LJH5" s="37"/>
      <c r="LJI5" s="37"/>
      <c r="LJJ5" s="37"/>
      <c r="LJK5" s="37"/>
      <c r="LJL5" s="37"/>
      <c r="LJM5" s="37"/>
      <c r="LJN5" s="37"/>
      <c r="LJO5" s="37"/>
      <c r="LJP5" s="37"/>
      <c r="LJQ5" s="37"/>
      <c r="LJR5" s="37"/>
      <c r="LJS5" s="37"/>
      <c r="LJT5" s="37"/>
      <c r="LJU5" s="37"/>
      <c r="LJV5" s="37"/>
      <c r="LJW5" s="37"/>
      <c r="LJX5" s="37"/>
      <c r="LJY5" s="37"/>
      <c r="LJZ5" s="37"/>
      <c r="LKA5" s="37"/>
      <c r="LKB5" s="37"/>
      <c r="LKC5" s="37"/>
      <c r="LKD5" s="37"/>
      <c r="LKE5" s="37"/>
      <c r="LKF5" s="37"/>
      <c r="LKG5" s="37"/>
      <c r="LKH5" s="37"/>
      <c r="LKI5" s="37"/>
      <c r="LKJ5" s="37"/>
      <c r="LKK5" s="37"/>
      <c r="LKL5" s="37"/>
      <c r="LKM5" s="37"/>
      <c r="LKN5" s="37"/>
      <c r="LKO5" s="37"/>
      <c r="LKP5" s="37"/>
      <c r="LKQ5" s="37"/>
      <c r="LKR5" s="37"/>
      <c r="LKS5" s="37"/>
      <c r="LKT5" s="37"/>
      <c r="LKU5" s="37"/>
      <c r="LKV5" s="37"/>
      <c r="LKW5" s="37"/>
      <c r="LKX5" s="37"/>
      <c r="LKY5" s="37"/>
      <c r="LKZ5" s="37"/>
      <c r="LLA5" s="37"/>
      <c r="LLB5" s="37"/>
      <c r="LLC5" s="37"/>
      <c r="LLD5" s="37"/>
      <c r="LLE5" s="37"/>
      <c r="LLF5" s="37"/>
      <c r="LLG5" s="37"/>
      <c r="LLH5" s="37"/>
      <c r="LLI5" s="37"/>
      <c r="LLJ5" s="37"/>
      <c r="LLK5" s="37"/>
      <c r="LLL5" s="37"/>
      <c r="LLM5" s="37"/>
      <c r="LLN5" s="37"/>
      <c r="LLO5" s="37"/>
      <c r="LLP5" s="37"/>
      <c r="LLQ5" s="37"/>
      <c r="LLR5" s="37"/>
      <c r="LLS5" s="37"/>
      <c r="LLT5" s="37"/>
      <c r="LLU5" s="37"/>
      <c r="LLV5" s="37"/>
      <c r="LLW5" s="37"/>
      <c r="LLX5" s="37"/>
      <c r="LLY5" s="37"/>
      <c r="LLZ5" s="37"/>
      <c r="LMA5" s="37"/>
      <c r="LMB5" s="37"/>
      <c r="LMC5" s="37"/>
      <c r="LMD5" s="37"/>
      <c r="LME5" s="37"/>
      <c r="LMF5" s="37"/>
      <c r="LMG5" s="37"/>
      <c r="LMH5" s="37"/>
      <c r="LMI5" s="37"/>
      <c r="LMJ5" s="37"/>
      <c r="LMK5" s="37"/>
      <c r="LML5" s="37"/>
      <c r="LMM5" s="37"/>
      <c r="LMN5" s="37"/>
      <c r="LMO5" s="37"/>
      <c r="LMP5" s="37"/>
      <c r="LMQ5" s="37"/>
      <c r="LMR5" s="37"/>
      <c r="LMS5" s="37"/>
      <c r="LMT5" s="37"/>
      <c r="LMU5" s="37"/>
      <c r="LMV5" s="37"/>
      <c r="LMW5" s="37"/>
      <c r="LMX5" s="37"/>
      <c r="LMY5" s="37"/>
      <c r="LMZ5" s="37"/>
      <c r="LNA5" s="37"/>
      <c r="LNB5" s="37"/>
      <c r="LNC5" s="37"/>
      <c r="LND5" s="37"/>
      <c r="LNE5" s="37"/>
      <c r="LNF5" s="37"/>
      <c r="LNG5" s="37"/>
      <c r="LNH5" s="37"/>
      <c r="LNI5" s="37"/>
      <c r="LNJ5" s="37"/>
      <c r="LNK5" s="37"/>
      <c r="LNL5" s="37"/>
      <c r="LNM5" s="37"/>
      <c r="LNN5" s="37"/>
      <c r="LNO5" s="37"/>
      <c r="LNP5" s="37"/>
      <c r="LNQ5" s="37"/>
      <c r="LNR5" s="37"/>
      <c r="LNS5" s="37"/>
      <c r="LNT5" s="37"/>
      <c r="LNU5" s="37"/>
      <c r="LNV5" s="37"/>
      <c r="LNW5" s="37"/>
      <c r="LNX5" s="37"/>
      <c r="LNY5" s="37"/>
      <c r="LNZ5" s="37"/>
      <c r="LOA5" s="37"/>
      <c r="LOB5" s="37"/>
      <c r="LOC5" s="37"/>
      <c r="LOD5" s="37"/>
      <c r="LOE5" s="37"/>
      <c r="LOF5" s="37"/>
      <c r="LOG5" s="37"/>
      <c r="LOH5" s="37"/>
      <c r="LOI5" s="37"/>
      <c r="LOJ5" s="37"/>
      <c r="LOK5" s="37"/>
      <c r="LOL5" s="37"/>
      <c r="LOM5" s="37"/>
      <c r="LON5" s="37"/>
      <c r="LOO5" s="37"/>
      <c r="LOP5" s="37"/>
      <c r="LOQ5" s="37"/>
      <c r="LOR5" s="37"/>
      <c r="LOS5" s="37"/>
      <c r="LOT5" s="37"/>
      <c r="LOU5" s="37"/>
      <c r="LOV5" s="37"/>
      <c r="LOW5" s="37"/>
      <c r="LOX5" s="37"/>
      <c r="LOY5" s="37"/>
      <c r="LOZ5" s="37"/>
      <c r="LPA5" s="37"/>
      <c r="LPB5" s="37"/>
      <c r="LPC5" s="37"/>
      <c r="LPD5" s="37"/>
      <c r="LPE5" s="37"/>
      <c r="LPF5" s="37"/>
      <c r="LPG5" s="37"/>
      <c r="LPH5" s="37"/>
      <c r="LPI5" s="37"/>
      <c r="LPJ5" s="37"/>
      <c r="LPK5" s="37"/>
      <c r="LPL5" s="37"/>
      <c r="LPM5" s="37"/>
      <c r="LPN5" s="37"/>
      <c r="LPO5" s="37"/>
      <c r="LPP5" s="37"/>
      <c r="LPQ5" s="37"/>
      <c r="LPR5" s="37"/>
      <c r="LPS5" s="37"/>
      <c r="LPT5" s="37"/>
      <c r="LPU5" s="37"/>
      <c r="LPV5" s="37"/>
      <c r="LPW5" s="37"/>
      <c r="LPX5" s="37"/>
      <c r="LPY5" s="37"/>
      <c r="LPZ5" s="37"/>
      <c r="LQA5" s="37"/>
      <c r="LQB5" s="37"/>
      <c r="LQC5" s="37"/>
      <c r="LQD5" s="37"/>
      <c r="LQE5" s="37"/>
      <c r="LQF5" s="37"/>
      <c r="LQG5" s="37"/>
      <c r="LQH5" s="37"/>
      <c r="LQI5" s="37"/>
      <c r="LQJ5" s="37"/>
      <c r="LQK5" s="37"/>
      <c r="LQL5" s="37"/>
      <c r="LQM5" s="37"/>
      <c r="LQN5" s="37"/>
      <c r="LQO5" s="37"/>
      <c r="LQP5" s="37"/>
      <c r="LQQ5" s="37"/>
      <c r="LQR5" s="37"/>
      <c r="LQS5" s="37"/>
      <c r="LQT5" s="37"/>
      <c r="LQU5" s="37"/>
      <c r="LQV5" s="37"/>
      <c r="LQW5" s="37"/>
      <c r="LQX5" s="37"/>
      <c r="LQY5" s="37"/>
      <c r="LQZ5" s="37"/>
      <c r="LRA5" s="37"/>
      <c r="LRB5" s="37"/>
      <c r="LRC5" s="37"/>
      <c r="LRD5" s="37"/>
      <c r="LRE5" s="37"/>
      <c r="LRF5" s="37"/>
      <c r="LRG5" s="37"/>
      <c r="LRH5" s="37"/>
      <c r="LRI5" s="37"/>
      <c r="LRJ5" s="37"/>
      <c r="LRK5" s="37"/>
      <c r="LRL5" s="37"/>
      <c r="LRM5" s="37"/>
      <c r="LRN5" s="37"/>
      <c r="LRO5" s="37"/>
      <c r="LRP5" s="37"/>
      <c r="LRQ5" s="37"/>
      <c r="LRR5" s="37"/>
      <c r="LRS5" s="37"/>
      <c r="LRT5" s="37"/>
      <c r="LRU5" s="37"/>
      <c r="LRV5" s="37"/>
      <c r="LRW5" s="37"/>
      <c r="LRX5" s="37"/>
      <c r="LRY5" s="37"/>
      <c r="LRZ5" s="37"/>
      <c r="LSA5" s="37"/>
      <c r="LSB5" s="37"/>
      <c r="LSC5" s="37"/>
      <c r="LSD5" s="37"/>
      <c r="LSE5" s="37"/>
      <c r="LSF5" s="37"/>
      <c r="LSG5" s="37"/>
      <c r="LSH5" s="37"/>
      <c r="LSI5" s="37"/>
      <c r="LSJ5" s="37"/>
      <c r="LSK5" s="37"/>
      <c r="LSL5" s="37"/>
      <c r="LSM5" s="37"/>
      <c r="LSN5" s="37"/>
      <c r="LSO5" s="37"/>
      <c r="LSP5" s="37"/>
      <c r="LSQ5" s="37"/>
      <c r="LSR5" s="37"/>
      <c r="LSS5" s="37"/>
      <c r="LST5" s="37"/>
      <c r="LSU5" s="37"/>
      <c r="LSV5" s="37"/>
      <c r="LSW5" s="37"/>
      <c r="LSX5" s="37"/>
      <c r="LSY5" s="37"/>
      <c r="LSZ5" s="37"/>
      <c r="LTA5" s="37"/>
      <c r="LTB5" s="37"/>
      <c r="LTC5" s="37"/>
      <c r="LTD5" s="37"/>
      <c r="LTE5" s="37"/>
      <c r="LTF5" s="37"/>
      <c r="LTG5" s="37"/>
      <c r="LTH5" s="37"/>
      <c r="LTI5" s="37"/>
      <c r="LTJ5" s="37"/>
      <c r="LTK5" s="37"/>
      <c r="LTL5" s="37"/>
      <c r="LTM5" s="37"/>
      <c r="LTN5" s="37"/>
      <c r="LTO5" s="37"/>
      <c r="LTP5" s="37"/>
      <c r="LTQ5" s="37"/>
      <c r="LTR5" s="37"/>
      <c r="LTS5" s="37"/>
      <c r="LTT5" s="37"/>
      <c r="LTU5" s="37"/>
      <c r="LTV5" s="37"/>
      <c r="LTW5" s="37"/>
      <c r="LTX5" s="37"/>
      <c r="LTY5" s="37"/>
      <c r="LTZ5" s="37"/>
      <c r="LUA5" s="37"/>
      <c r="LUB5" s="37"/>
      <c r="LUC5" s="37"/>
      <c r="LUD5" s="37"/>
      <c r="LUE5" s="37"/>
      <c r="LUF5" s="37"/>
      <c r="LUG5" s="37"/>
      <c r="LUH5" s="37"/>
      <c r="LUI5" s="37"/>
      <c r="LUJ5" s="37"/>
      <c r="LUK5" s="37"/>
      <c r="LUL5" s="37"/>
      <c r="LUM5" s="37"/>
      <c r="LUN5" s="37"/>
      <c r="LUO5" s="37"/>
      <c r="LUP5" s="37"/>
      <c r="LUQ5" s="37"/>
      <c r="LUR5" s="37"/>
      <c r="LUS5" s="37"/>
      <c r="LUT5" s="37"/>
      <c r="LUU5" s="37"/>
      <c r="LUV5" s="37"/>
      <c r="LUW5" s="37"/>
      <c r="LUX5" s="37"/>
      <c r="LUY5" s="37"/>
      <c r="LUZ5" s="37"/>
      <c r="LVA5" s="37"/>
      <c r="LVB5" s="37"/>
      <c r="LVC5" s="37"/>
      <c r="LVD5" s="37"/>
      <c r="LVE5" s="37"/>
      <c r="LVF5" s="37"/>
      <c r="LVG5" s="37"/>
      <c r="LVH5" s="37"/>
      <c r="LVI5" s="37"/>
      <c r="LVJ5" s="37"/>
      <c r="LVK5" s="37"/>
      <c r="LVL5" s="37"/>
      <c r="LVM5" s="37"/>
      <c r="LVN5" s="37"/>
      <c r="LVO5" s="37"/>
      <c r="LVP5" s="37"/>
      <c r="LVQ5" s="37"/>
      <c r="LVR5" s="37"/>
      <c r="LVS5" s="37"/>
      <c r="LVT5" s="37"/>
      <c r="LVU5" s="37"/>
      <c r="LVV5" s="37"/>
      <c r="LVW5" s="37"/>
      <c r="LVX5" s="37"/>
      <c r="LVY5" s="37"/>
      <c r="LVZ5" s="37"/>
      <c r="LWA5" s="37"/>
      <c r="LWB5" s="37"/>
      <c r="LWC5" s="37"/>
      <c r="LWD5" s="37"/>
      <c r="LWE5" s="37"/>
      <c r="LWF5" s="37"/>
      <c r="LWG5" s="37"/>
      <c r="LWH5" s="37"/>
      <c r="LWI5" s="37"/>
      <c r="LWJ5" s="37"/>
      <c r="LWK5" s="37"/>
      <c r="LWL5" s="37"/>
      <c r="LWM5" s="37"/>
      <c r="LWN5" s="37"/>
      <c r="LWO5" s="37"/>
      <c r="LWP5" s="37"/>
      <c r="LWQ5" s="37"/>
      <c r="LWR5" s="37"/>
      <c r="LWS5" s="37"/>
      <c r="LWT5" s="37"/>
      <c r="LWU5" s="37"/>
      <c r="LWV5" s="37"/>
      <c r="LWW5" s="37"/>
      <c r="LWX5" s="37"/>
      <c r="LWY5" s="37"/>
      <c r="LWZ5" s="37"/>
      <c r="LXA5" s="37"/>
      <c r="LXB5" s="37"/>
      <c r="LXC5" s="37"/>
      <c r="LXD5" s="37"/>
      <c r="LXE5" s="37"/>
      <c r="LXF5" s="37"/>
      <c r="LXG5" s="37"/>
      <c r="LXH5" s="37"/>
      <c r="LXI5" s="37"/>
      <c r="LXJ5" s="37"/>
      <c r="LXK5" s="37"/>
      <c r="LXL5" s="37"/>
      <c r="LXM5" s="37"/>
      <c r="LXN5" s="37"/>
      <c r="LXO5" s="37"/>
      <c r="LXP5" s="37"/>
      <c r="LXQ5" s="37"/>
      <c r="LXR5" s="37"/>
      <c r="LXS5" s="37"/>
      <c r="LXT5" s="37"/>
      <c r="LXU5" s="37"/>
      <c r="LXV5" s="37"/>
      <c r="LXW5" s="37"/>
      <c r="LXX5" s="37"/>
      <c r="LXY5" s="37"/>
      <c r="LXZ5" s="37"/>
      <c r="LYA5" s="37"/>
      <c r="LYB5" s="37"/>
      <c r="LYC5" s="37"/>
      <c r="LYD5" s="37"/>
      <c r="LYE5" s="37"/>
      <c r="LYF5" s="37"/>
      <c r="LYG5" s="37"/>
      <c r="LYH5" s="37"/>
      <c r="LYI5" s="37"/>
      <c r="LYJ5" s="37"/>
      <c r="LYK5" s="37"/>
      <c r="LYL5" s="37"/>
      <c r="LYM5" s="37"/>
      <c r="LYN5" s="37"/>
      <c r="LYO5" s="37"/>
      <c r="LYP5" s="37"/>
      <c r="LYQ5" s="37"/>
      <c r="LYR5" s="37"/>
      <c r="LYS5" s="37"/>
      <c r="LYT5" s="37"/>
      <c r="LYU5" s="37"/>
      <c r="LYV5" s="37"/>
      <c r="LYW5" s="37"/>
      <c r="LYX5" s="37"/>
      <c r="LYY5" s="37"/>
      <c r="LYZ5" s="37"/>
      <c r="LZA5" s="37"/>
      <c r="LZB5" s="37"/>
      <c r="LZC5" s="37"/>
      <c r="LZD5" s="37"/>
      <c r="LZE5" s="37"/>
      <c r="LZF5" s="37"/>
      <c r="LZG5" s="37"/>
      <c r="LZH5" s="37"/>
      <c r="LZI5" s="37"/>
      <c r="LZJ5" s="37"/>
      <c r="LZK5" s="37"/>
      <c r="LZL5" s="37"/>
      <c r="LZM5" s="37"/>
      <c r="LZN5" s="37"/>
      <c r="LZO5" s="37"/>
      <c r="LZP5" s="37"/>
      <c r="LZQ5" s="37"/>
      <c r="LZR5" s="37"/>
      <c r="LZS5" s="37"/>
      <c r="LZT5" s="37"/>
      <c r="LZU5" s="37"/>
      <c r="LZV5" s="37"/>
      <c r="LZW5" s="37"/>
      <c r="LZX5" s="37"/>
      <c r="LZY5" s="37"/>
      <c r="LZZ5" s="37"/>
      <c r="MAA5" s="37"/>
      <c r="MAB5" s="37"/>
      <c r="MAC5" s="37"/>
      <c r="MAD5" s="37"/>
      <c r="MAE5" s="37"/>
      <c r="MAF5" s="37"/>
      <c r="MAG5" s="37"/>
      <c r="MAH5" s="37"/>
      <c r="MAI5" s="37"/>
      <c r="MAJ5" s="37"/>
      <c r="MAK5" s="37"/>
      <c r="MAL5" s="37"/>
      <c r="MAM5" s="37"/>
      <c r="MAN5" s="37"/>
      <c r="MAO5" s="37"/>
      <c r="MAP5" s="37"/>
      <c r="MAQ5" s="37"/>
      <c r="MAR5" s="37"/>
      <c r="MAS5" s="37"/>
      <c r="MAT5" s="37"/>
      <c r="MAU5" s="37"/>
      <c r="MAV5" s="37"/>
      <c r="MAW5" s="37"/>
      <c r="MAX5" s="37"/>
      <c r="MAY5" s="37"/>
      <c r="MAZ5" s="37"/>
      <c r="MBA5" s="37"/>
      <c r="MBB5" s="37"/>
      <c r="MBC5" s="37"/>
      <c r="MBD5" s="37"/>
      <c r="MBE5" s="37"/>
      <c r="MBF5" s="37"/>
      <c r="MBG5" s="37"/>
      <c r="MBH5" s="37"/>
      <c r="MBI5" s="37"/>
      <c r="MBJ5" s="37"/>
      <c r="MBK5" s="37"/>
      <c r="MBL5" s="37"/>
      <c r="MBM5" s="37"/>
      <c r="MBN5" s="37"/>
      <c r="MBO5" s="37"/>
      <c r="MBP5" s="37"/>
      <c r="MBQ5" s="37"/>
      <c r="MBR5" s="37"/>
      <c r="MBS5" s="37"/>
      <c r="MBT5" s="37"/>
      <c r="MBU5" s="37"/>
      <c r="MBV5" s="37"/>
      <c r="MBW5" s="37"/>
      <c r="MBX5" s="37"/>
      <c r="MBY5" s="37"/>
      <c r="MBZ5" s="37"/>
      <c r="MCA5" s="37"/>
      <c r="MCB5" s="37"/>
      <c r="MCC5" s="37"/>
      <c r="MCD5" s="37"/>
      <c r="MCE5" s="37"/>
      <c r="MCF5" s="37"/>
      <c r="MCG5" s="37"/>
      <c r="MCH5" s="37"/>
      <c r="MCI5" s="37"/>
      <c r="MCJ5" s="37"/>
      <c r="MCK5" s="37"/>
      <c r="MCL5" s="37"/>
      <c r="MCM5" s="37"/>
      <c r="MCN5" s="37"/>
      <c r="MCO5" s="37"/>
      <c r="MCP5" s="37"/>
      <c r="MCQ5" s="37"/>
      <c r="MCR5" s="37"/>
      <c r="MCS5" s="37"/>
      <c r="MCT5" s="37"/>
      <c r="MCU5" s="37"/>
      <c r="MCV5" s="37"/>
      <c r="MCW5" s="37"/>
      <c r="MCX5" s="37"/>
      <c r="MCY5" s="37"/>
      <c r="MCZ5" s="37"/>
      <c r="MDA5" s="37"/>
      <c r="MDB5" s="37"/>
      <c r="MDC5" s="37"/>
      <c r="MDD5" s="37"/>
      <c r="MDE5" s="37"/>
      <c r="MDF5" s="37"/>
      <c r="MDG5" s="37"/>
      <c r="MDH5" s="37"/>
      <c r="MDI5" s="37"/>
      <c r="MDJ5" s="37"/>
      <c r="MDK5" s="37"/>
      <c r="MDL5" s="37"/>
      <c r="MDM5" s="37"/>
      <c r="MDN5" s="37"/>
      <c r="MDO5" s="37"/>
      <c r="MDP5" s="37"/>
      <c r="MDQ5" s="37"/>
      <c r="MDR5" s="37"/>
      <c r="MDS5" s="37"/>
      <c r="MDT5" s="37"/>
      <c r="MDU5" s="37"/>
      <c r="MDV5" s="37"/>
      <c r="MDW5" s="37"/>
      <c r="MDX5" s="37"/>
      <c r="MDY5" s="37"/>
      <c r="MDZ5" s="37"/>
      <c r="MEA5" s="37"/>
      <c r="MEB5" s="37"/>
      <c r="MEC5" s="37"/>
      <c r="MED5" s="37"/>
      <c r="MEE5" s="37"/>
      <c r="MEF5" s="37"/>
      <c r="MEG5" s="37"/>
      <c r="MEH5" s="37"/>
      <c r="MEI5" s="37"/>
      <c r="MEJ5" s="37"/>
      <c r="MEK5" s="37"/>
      <c r="MEL5" s="37"/>
      <c r="MEM5" s="37"/>
      <c r="MEN5" s="37"/>
      <c r="MEO5" s="37"/>
      <c r="MEP5" s="37"/>
      <c r="MEQ5" s="37"/>
      <c r="MER5" s="37"/>
      <c r="MES5" s="37"/>
      <c r="MET5" s="37"/>
      <c r="MEU5" s="37"/>
      <c r="MEV5" s="37"/>
      <c r="MEW5" s="37"/>
      <c r="MEX5" s="37"/>
      <c r="MEY5" s="37"/>
      <c r="MEZ5" s="37"/>
      <c r="MFA5" s="37"/>
      <c r="MFB5" s="37"/>
      <c r="MFC5" s="37"/>
      <c r="MFD5" s="37"/>
      <c r="MFE5" s="37"/>
      <c r="MFF5" s="37"/>
      <c r="MFG5" s="37"/>
      <c r="MFH5" s="37"/>
      <c r="MFI5" s="37"/>
      <c r="MFJ5" s="37"/>
      <c r="MFK5" s="37"/>
      <c r="MFL5" s="37"/>
      <c r="MFM5" s="37"/>
      <c r="MFN5" s="37"/>
      <c r="MFO5" s="37"/>
      <c r="MFP5" s="37"/>
      <c r="MFQ5" s="37"/>
      <c r="MFR5" s="37"/>
      <c r="MFS5" s="37"/>
      <c r="MFT5" s="37"/>
      <c r="MFU5" s="37"/>
      <c r="MFV5" s="37"/>
      <c r="MFW5" s="37"/>
      <c r="MFX5" s="37"/>
      <c r="MFY5" s="37"/>
      <c r="MFZ5" s="37"/>
      <c r="MGA5" s="37"/>
      <c r="MGB5" s="37"/>
      <c r="MGC5" s="37"/>
      <c r="MGD5" s="37"/>
      <c r="MGE5" s="37"/>
      <c r="MGF5" s="37"/>
      <c r="MGG5" s="37"/>
      <c r="MGH5" s="37"/>
      <c r="MGI5" s="37"/>
      <c r="MGJ5" s="37"/>
      <c r="MGK5" s="37"/>
      <c r="MGL5" s="37"/>
      <c r="MGM5" s="37"/>
      <c r="MGN5" s="37"/>
      <c r="MGO5" s="37"/>
      <c r="MGP5" s="37"/>
      <c r="MGQ5" s="37"/>
      <c r="MGR5" s="37"/>
      <c r="MGS5" s="37"/>
      <c r="MGT5" s="37"/>
      <c r="MGU5" s="37"/>
      <c r="MGV5" s="37"/>
      <c r="MGW5" s="37"/>
      <c r="MGX5" s="37"/>
      <c r="MGY5" s="37"/>
      <c r="MGZ5" s="37"/>
      <c r="MHA5" s="37"/>
      <c r="MHB5" s="37"/>
      <c r="MHC5" s="37"/>
      <c r="MHD5" s="37"/>
      <c r="MHE5" s="37"/>
      <c r="MHF5" s="37"/>
      <c r="MHG5" s="37"/>
      <c r="MHH5" s="37"/>
      <c r="MHI5" s="37"/>
      <c r="MHJ5" s="37"/>
      <c r="MHK5" s="37"/>
      <c r="MHL5" s="37"/>
      <c r="MHM5" s="37"/>
      <c r="MHN5" s="37"/>
      <c r="MHO5" s="37"/>
      <c r="MHP5" s="37"/>
      <c r="MHQ5" s="37"/>
      <c r="MHR5" s="37"/>
      <c r="MHS5" s="37"/>
      <c r="MHT5" s="37"/>
      <c r="MHU5" s="37"/>
      <c r="MHV5" s="37"/>
      <c r="MHW5" s="37"/>
      <c r="MHX5" s="37"/>
      <c r="MHY5" s="37"/>
      <c r="MHZ5" s="37"/>
      <c r="MIA5" s="37"/>
      <c r="MIB5" s="37"/>
      <c r="MIC5" s="37"/>
      <c r="MID5" s="37"/>
      <c r="MIE5" s="37"/>
      <c r="MIF5" s="37"/>
      <c r="MIG5" s="37"/>
      <c r="MIH5" s="37"/>
      <c r="MII5" s="37"/>
      <c r="MIJ5" s="37"/>
      <c r="MIK5" s="37"/>
      <c r="MIL5" s="37"/>
      <c r="MIM5" s="37"/>
      <c r="MIN5" s="37"/>
      <c r="MIO5" s="37"/>
      <c r="MIP5" s="37"/>
      <c r="MIQ5" s="37"/>
      <c r="MIR5" s="37"/>
      <c r="MIS5" s="37"/>
      <c r="MIT5" s="37"/>
      <c r="MIU5" s="37"/>
      <c r="MIV5" s="37"/>
      <c r="MIW5" s="37"/>
      <c r="MIX5" s="37"/>
      <c r="MIY5" s="37"/>
      <c r="MIZ5" s="37"/>
      <c r="MJA5" s="37"/>
      <c r="MJB5" s="37"/>
      <c r="MJC5" s="37"/>
      <c r="MJD5" s="37"/>
      <c r="MJE5" s="37"/>
      <c r="MJF5" s="37"/>
      <c r="MJG5" s="37"/>
      <c r="MJH5" s="37"/>
      <c r="MJI5" s="37"/>
      <c r="MJJ5" s="37"/>
      <c r="MJK5" s="37"/>
      <c r="MJL5" s="37"/>
      <c r="MJM5" s="37"/>
      <c r="MJN5" s="37"/>
      <c r="MJO5" s="37"/>
      <c r="MJP5" s="37"/>
      <c r="MJQ5" s="37"/>
      <c r="MJR5" s="37"/>
      <c r="MJS5" s="37"/>
      <c r="MJT5" s="37"/>
      <c r="MJU5" s="37"/>
      <c r="MJV5" s="37"/>
      <c r="MJW5" s="37"/>
      <c r="MJX5" s="37"/>
      <c r="MJY5" s="37"/>
      <c r="MJZ5" s="37"/>
      <c r="MKA5" s="37"/>
      <c r="MKB5" s="37"/>
      <c r="MKC5" s="37"/>
      <c r="MKD5" s="37"/>
      <c r="MKE5" s="37"/>
      <c r="MKF5" s="37"/>
      <c r="MKG5" s="37"/>
      <c r="MKH5" s="37"/>
      <c r="MKI5" s="37"/>
      <c r="MKJ5" s="37"/>
      <c r="MKK5" s="37"/>
      <c r="MKL5" s="37"/>
      <c r="MKM5" s="37"/>
      <c r="MKN5" s="37"/>
      <c r="MKO5" s="37"/>
      <c r="MKP5" s="37"/>
      <c r="MKQ5" s="37"/>
      <c r="MKR5" s="37"/>
      <c r="MKS5" s="37"/>
      <c r="MKT5" s="37"/>
      <c r="MKU5" s="37"/>
      <c r="MKV5" s="37"/>
      <c r="MKW5" s="37"/>
      <c r="MKX5" s="37"/>
      <c r="MKY5" s="37"/>
      <c r="MKZ5" s="37"/>
      <c r="MLA5" s="37"/>
      <c r="MLB5" s="37"/>
      <c r="MLC5" s="37"/>
      <c r="MLD5" s="37"/>
      <c r="MLE5" s="37"/>
      <c r="MLF5" s="37"/>
      <c r="MLG5" s="37"/>
      <c r="MLH5" s="37"/>
      <c r="MLI5" s="37"/>
      <c r="MLJ5" s="37"/>
      <c r="MLK5" s="37"/>
      <c r="MLL5" s="37"/>
      <c r="MLM5" s="37"/>
      <c r="MLN5" s="37"/>
      <c r="MLO5" s="37"/>
      <c r="MLP5" s="37"/>
      <c r="MLQ5" s="37"/>
      <c r="MLR5" s="37"/>
      <c r="MLS5" s="37"/>
      <c r="MLT5" s="37"/>
      <c r="MLU5" s="37"/>
      <c r="MLV5" s="37"/>
      <c r="MLW5" s="37"/>
      <c r="MLX5" s="37"/>
      <c r="MLY5" s="37"/>
      <c r="MLZ5" s="37"/>
      <c r="MMA5" s="37"/>
      <c r="MMB5" s="37"/>
      <c r="MMC5" s="37"/>
      <c r="MMD5" s="37"/>
      <c r="MME5" s="37"/>
      <c r="MMF5" s="37"/>
      <c r="MMG5" s="37"/>
      <c r="MMH5" s="37"/>
      <c r="MMI5" s="37"/>
      <c r="MMJ5" s="37"/>
      <c r="MMK5" s="37"/>
      <c r="MML5" s="37"/>
      <c r="MMM5" s="37"/>
      <c r="MMN5" s="37"/>
      <c r="MMO5" s="37"/>
      <c r="MMP5" s="37"/>
      <c r="MMQ5" s="37"/>
      <c r="MMR5" s="37"/>
      <c r="MMS5" s="37"/>
      <c r="MMT5" s="37"/>
      <c r="MMU5" s="37"/>
      <c r="MMV5" s="37"/>
      <c r="MMW5" s="37"/>
      <c r="MMX5" s="37"/>
      <c r="MMY5" s="37"/>
      <c r="MMZ5" s="37"/>
      <c r="MNA5" s="37"/>
      <c r="MNB5" s="37"/>
      <c r="MNC5" s="37"/>
      <c r="MND5" s="37"/>
      <c r="MNE5" s="37"/>
      <c r="MNF5" s="37"/>
      <c r="MNG5" s="37"/>
      <c r="MNH5" s="37"/>
      <c r="MNI5" s="37"/>
      <c r="MNJ5" s="37"/>
      <c r="MNK5" s="37"/>
      <c r="MNL5" s="37"/>
      <c r="MNM5" s="37"/>
      <c r="MNN5" s="37"/>
      <c r="MNO5" s="37"/>
      <c r="MNP5" s="37"/>
      <c r="MNQ5" s="37"/>
      <c r="MNR5" s="37"/>
      <c r="MNS5" s="37"/>
      <c r="MNT5" s="37"/>
      <c r="MNU5" s="37"/>
      <c r="MNV5" s="37"/>
      <c r="MNW5" s="37"/>
      <c r="MNX5" s="37"/>
      <c r="MNY5" s="37"/>
      <c r="MNZ5" s="37"/>
      <c r="MOA5" s="37"/>
      <c r="MOB5" s="37"/>
      <c r="MOC5" s="37"/>
      <c r="MOD5" s="37"/>
      <c r="MOE5" s="37"/>
      <c r="MOF5" s="37"/>
      <c r="MOG5" s="37"/>
      <c r="MOH5" s="37"/>
      <c r="MOI5" s="37"/>
      <c r="MOJ5" s="37"/>
      <c r="MOK5" s="37"/>
      <c r="MOL5" s="37"/>
      <c r="MOM5" s="37"/>
      <c r="MON5" s="37"/>
      <c r="MOO5" s="37"/>
      <c r="MOP5" s="37"/>
      <c r="MOQ5" s="37"/>
      <c r="MOR5" s="37"/>
      <c r="MOS5" s="37"/>
      <c r="MOT5" s="37"/>
      <c r="MOU5" s="37"/>
      <c r="MOV5" s="37"/>
      <c r="MOW5" s="37"/>
      <c r="MOX5" s="37"/>
      <c r="MOY5" s="37"/>
      <c r="MOZ5" s="37"/>
      <c r="MPA5" s="37"/>
      <c r="MPB5" s="37"/>
      <c r="MPC5" s="37"/>
      <c r="MPD5" s="37"/>
      <c r="MPE5" s="37"/>
      <c r="MPF5" s="37"/>
      <c r="MPG5" s="37"/>
      <c r="MPH5" s="37"/>
      <c r="MPI5" s="37"/>
      <c r="MPJ5" s="37"/>
      <c r="MPK5" s="37"/>
      <c r="MPL5" s="37"/>
      <c r="MPM5" s="37"/>
      <c r="MPN5" s="37"/>
      <c r="MPO5" s="37"/>
      <c r="MPP5" s="37"/>
      <c r="MPQ5" s="37"/>
      <c r="MPR5" s="37"/>
      <c r="MPS5" s="37"/>
      <c r="MPT5" s="37"/>
      <c r="MPU5" s="37"/>
      <c r="MPV5" s="37"/>
      <c r="MPW5" s="37"/>
      <c r="MPX5" s="37"/>
      <c r="MPY5" s="37"/>
      <c r="MPZ5" s="37"/>
      <c r="MQA5" s="37"/>
      <c r="MQB5" s="37"/>
      <c r="MQC5" s="37"/>
      <c r="MQD5" s="37"/>
      <c r="MQE5" s="37"/>
      <c r="MQF5" s="37"/>
      <c r="MQG5" s="37"/>
      <c r="MQH5" s="37"/>
      <c r="MQI5" s="37"/>
      <c r="MQJ5" s="37"/>
      <c r="MQK5" s="37"/>
      <c r="MQL5" s="37"/>
      <c r="MQM5" s="37"/>
      <c r="MQN5" s="37"/>
      <c r="MQO5" s="37"/>
      <c r="MQP5" s="37"/>
      <c r="MQQ5" s="37"/>
      <c r="MQR5" s="37"/>
      <c r="MQS5" s="37"/>
      <c r="MQT5" s="37"/>
      <c r="MQU5" s="37"/>
      <c r="MQV5" s="37"/>
      <c r="MQW5" s="37"/>
      <c r="MQX5" s="37"/>
      <c r="MQY5" s="37"/>
      <c r="MQZ5" s="37"/>
      <c r="MRA5" s="37"/>
      <c r="MRB5" s="37"/>
      <c r="MRC5" s="37"/>
      <c r="MRD5" s="37"/>
      <c r="MRE5" s="37"/>
      <c r="MRF5" s="37"/>
      <c r="MRG5" s="37"/>
      <c r="MRH5" s="37"/>
      <c r="MRI5" s="37"/>
      <c r="MRJ5" s="37"/>
      <c r="MRK5" s="37"/>
      <c r="MRL5" s="37"/>
      <c r="MRM5" s="37"/>
      <c r="MRN5" s="37"/>
      <c r="MRO5" s="37"/>
      <c r="MRP5" s="37"/>
      <c r="MRQ5" s="37"/>
      <c r="MRR5" s="37"/>
      <c r="MRS5" s="37"/>
      <c r="MRT5" s="37"/>
      <c r="MRU5" s="37"/>
      <c r="MRV5" s="37"/>
      <c r="MRW5" s="37"/>
      <c r="MRX5" s="37"/>
      <c r="MRY5" s="37"/>
      <c r="MRZ5" s="37"/>
      <c r="MSA5" s="37"/>
      <c r="MSB5" s="37"/>
      <c r="MSC5" s="37"/>
      <c r="MSD5" s="37"/>
      <c r="MSE5" s="37"/>
      <c r="MSF5" s="37"/>
      <c r="MSG5" s="37"/>
      <c r="MSH5" s="37"/>
      <c r="MSI5" s="37"/>
      <c r="MSJ5" s="37"/>
      <c r="MSK5" s="37"/>
      <c r="MSL5" s="37"/>
      <c r="MSM5" s="37"/>
      <c r="MSN5" s="37"/>
      <c r="MSO5" s="37"/>
      <c r="MSP5" s="37"/>
      <c r="MSQ5" s="37"/>
      <c r="MSR5" s="37"/>
      <c r="MSS5" s="37"/>
      <c r="MST5" s="37"/>
      <c r="MSU5" s="37"/>
      <c r="MSV5" s="37"/>
      <c r="MSW5" s="37"/>
      <c r="MSX5" s="37"/>
      <c r="MSY5" s="37"/>
      <c r="MSZ5" s="37"/>
      <c r="MTA5" s="37"/>
      <c r="MTB5" s="37"/>
      <c r="MTC5" s="37"/>
      <c r="MTD5" s="37"/>
      <c r="MTE5" s="37"/>
      <c r="MTF5" s="37"/>
      <c r="MTG5" s="37"/>
      <c r="MTH5" s="37"/>
      <c r="MTI5" s="37"/>
      <c r="MTJ5" s="37"/>
      <c r="MTK5" s="37"/>
      <c r="MTL5" s="37"/>
      <c r="MTM5" s="37"/>
      <c r="MTN5" s="37"/>
      <c r="MTO5" s="37"/>
      <c r="MTP5" s="37"/>
      <c r="MTQ5" s="37"/>
      <c r="MTR5" s="37"/>
      <c r="MTS5" s="37"/>
      <c r="MTT5" s="37"/>
      <c r="MTU5" s="37"/>
      <c r="MTV5" s="37"/>
      <c r="MTW5" s="37"/>
      <c r="MTX5" s="37"/>
      <c r="MTY5" s="37"/>
      <c r="MTZ5" s="37"/>
      <c r="MUA5" s="37"/>
      <c r="MUB5" s="37"/>
      <c r="MUC5" s="37"/>
      <c r="MUD5" s="37"/>
      <c r="MUE5" s="37"/>
      <c r="MUF5" s="37"/>
      <c r="MUG5" s="37"/>
      <c r="MUH5" s="37"/>
      <c r="MUI5" s="37"/>
      <c r="MUJ5" s="37"/>
      <c r="MUK5" s="37"/>
      <c r="MUL5" s="37"/>
      <c r="MUM5" s="37"/>
      <c r="MUN5" s="37"/>
      <c r="MUO5" s="37"/>
      <c r="MUP5" s="37"/>
      <c r="MUQ5" s="37"/>
      <c r="MUR5" s="37"/>
      <c r="MUS5" s="37"/>
      <c r="MUT5" s="37"/>
      <c r="MUU5" s="37"/>
      <c r="MUV5" s="37"/>
      <c r="MUW5" s="37"/>
      <c r="MUX5" s="37"/>
      <c r="MUY5" s="37"/>
      <c r="MUZ5" s="37"/>
      <c r="MVA5" s="37"/>
      <c r="MVB5" s="37"/>
      <c r="MVC5" s="37"/>
      <c r="MVD5" s="37"/>
      <c r="MVE5" s="37"/>
      <c r="MVF5" s="37"/>
      <c r="MVG5" s="37"/>
      <c r="MVH5" s="37"/>
      <c r="MVI5" s="37"/>
      <c r="MVJ5" s="37"/>
      <c r="MVK5" s="37"/>
      <c r="MVL5" s="37"/>
      <c r="MVM5" s="37"/>
      <c r="MVN5" s="37"/>
      <c r="MVO5" s="37"/>
      <c r="MVP5" s="37"/>
      <c r="MVQ5" s="37"/>
      <c r="MVR5" s="37"/>
      <c r="MVS5" s="37"/>
      <c r="MVT5" s="37"/>
      <c r="MVU5" s="37"/>
      <c r="MVV5" s="37"/>
      <c r="MVW5" s="37"/>
      <c r="MVX5" s="37"/>
      <c r="MVY5" s="37"/>
      <c r="MVZ5" s="37"/>
      <c r="MWA5" s="37"/>
      <c r="MWB5" s="37"/>
      <c r="MWC5" s="37"/>
      <c r="MWD5" s="37"/>
      <c r="MWE5" s="37"/>
      <c r="MWF5" s="37"/>
      <c r="MWG5" s="37"/>
      <c r="MWH5" s="37"/>
      <c r="MWI5" s="37"/>
      <c r="MWJ5" s="37"/>
      <c r="MWK5" s="37"/>
      <c r="MWL5" s="37"/>
      <c r="MWM5" s="37"/>
      <c r="MWN5" s="37"/>
      <c r="MWO5" s="37"/>
      <c r="MWP5" s="37"/>
      <c r="MWQ5" s="37"/>
      <c r="MWR5" s="37"/>
      <c r="MWS5" s="37"/>
      <c r="MWT5" s="37"/>
      <c r="MWU5" s="37"/>
      <c r="MWV5" s="37"/>
      <c r="MWW5" s="37"/>
      <c r="MWX5" s="37"/>
      <c r="MWY5" s="37"/>
      <c r="MWZ5" s="37"/>
      <c r="MXA5" s="37"/>
      <c r="MXB5" s="37"/>
      <c r="MXC5" s="37"/>
      <c r="MXD5" s="37"/>
      <c r="MXE5" s="37"/>
      <c r="MXF5" s="37"/>
      <c r="MXG5" s="37"/>
      <c r="MXH5" s="37"/>
      <c r="MXI5" s="37"/>
      <c r="MXJ5" s="37"/>
      <c r="MXK5" s="37"/>
      <c r="MXL5" s="37"/>
      <c r="MXM5" s="37"/>
      <c r="MXN5" s="37"/>
      <c r="MXO5" s="37"/>
      <c r="MXP5" s="37"/>
      <c r="MXQ5" s="37"/>
      <c r="MXR5" s="37"/>
      <c r="MXS5" s="37"/>
      <c r="MXT5" s="37"/>
      <c r="MXU5" s="37"/>
      <c r="MXV5" s="37"/>
      <c r="MXW5" s="37"/>
      <c r="MXX5" s="37"/>
      <c r="MXY5" s="37"/>
      <c r="MXZ5" s="37"/>
      <c r="MYA5" s="37"/>
      <c r="MYB5" s="37"/>
      <c r="MYC5" s="37"/>
      <c r="MYD5" s="37"/>
      <c r="MYE5" s="37"/>
      <c r="MYF5" s="37"/>
      <c r="MYG5" s="37"/>
      <c r="MYH5" s="37"/>
      <c r="MYI5" s="37"/>
      <c r="MYJ5" s="37"/>
      <c r="MYK5" s="37"/>
      <c r="MYL5" s="37"/>
      <c r="MYM5" s="37"/>
      <c r="MYN5" s="37"/>
      <c r="MYO5" s="37"/>
      <c r="MYP5" s="37"/>
      <c r="MYQ5" s="37"/>
      <c r="MYR5" s="37"/>
      <c r="MYS5" s="37"/>
      <c r="MYT5" s="37"/>
      <c r="MYU5" s="37"/>
      <c r="MYV5" s="37"/>
      <c r="MYW5" s="37"/>
      <c r="MYX5" s="37"/>
      <c r="MYY5" s="37"/>
      <c r="MYZ5" s="37"/>
      <c r="MZA5" s="37"/>
      <c r="MZB5" s="37"/>
      <c r="MZC5" s="37"/>
      <c r="MZD5" s="37"/>
      <c r="MZE5" s="37"/>
      <c r="MZF5" s="37"/>
      <c r="MZG5" s="37"/>
      <c r="MZH5" s="37"/>
      <c r="MZI5" s="37"/>
      <c r="MZJ5" s="37"/>
      <c r="MZK5" s="37"/>
      <c r="MZL5" s="37"/>
      <c r="MZM5" s="37"/>
      <c r="MZN5" s="37"/>
      <c r="MZO5" s="37"/>
      <c r="MZP5" s="37"/>
      <c r="MZQ5" s="37"/>
      <c r="MZR5" s="37"/>
      <c r="MZS5" s="37"/>
      <c r="MZT5" s="37"/>
      <c r="MZU5" s="37"/>
      <c r="MZV5" s="37"/>
      <c r="MZW5" s="37"/>
      <c r="MZX5" s="37"/>
      <c r="MZY5" s="37"/>
      <c r="MZZ5" s="37"/>
      <c r="NAA5" s="37"/>
      <c r="NAB5" s="37"/>
      <c r="NAC5" s="37"/>
      <c r="NAD5" s="37"/>
      <c r="NAE5" s="37"/>
      <c r="NAF5" s="37"/>
      <c r="NAG5" s="37"/>
      <c r="NAH5" s="37"/>
      <c r="NAI5" s="37"/>
      <c r="NAJ5" s="37"/>
      <c r="NAK5" s="37"/>
      <c r="NAL5" s="37"/>
      <c r="NAM5" s="37"/>
      <c r="NAN5" s="37"/>
      <c r="NAO5" s="37"/>
      <c r="NAP5" s="37"/>
      <c r="NAQ5" s="37"/>
      <c r="NAR5" s="37"/>
      <c r="NAS5" s="37"/>
      <c r="NAT5" s="37"/>
      <c r="NAU5" s="37"/>
      <c r="NAV5" s="37"/>
      <c r="NAW5" s="37"/>
      <c r="NAX5" s="37"/>
      <c r="NAY5" s="37"/>
      <c r="NAZ5" s="37"/>
      <c r="NBA5" s="37"/>
      <c r="NBB5" s="37"/>
      <c r="NBC5" s="37"/>
      <c r="NBD5" s="37"/>
      <c r="NBE5" s="37"/>
      <c r="NBF5" s="37"/>
      <c r="NBG5" s="37"/>
      <c r="NBH5" s="37"/>
      <c r="NBI5" s="37"/>
      <c r="NBJ5" s="37"/>
      <c r="NBK5" s="37"/>
      <c r="NBL5" s="37"/>
      <c r="NBM5" s="37"/>
      <c r="NBN5" s="37"/>
      <c r="NBO5" s="37"/>
      <c r="NBP5" s="37"/>
      <c r="NBQ5" s="37"/>
      <c r="NBR5" s="37"/>
      <c r="NBS5" s="37"/>
      <c r="NBT5" s="37"/>
      <c r="NBU5" s="37"/>
      <c r="NBV5" s="37"/>
      <c r="NBW5" s="37"/>
      <c r="NBX5" s="37"/>
      <c r="NBY5" s="37"/>
      <c r="NBZ5" s="37"/>
      <c r="NCA5" s="37"/>
      <c r="NCB5" s="37"/>
      <c r="NCC5" s="37"/>
      <c r="NCD5" s="37"/>
      <c r="NCE5" s="37"/>
      <c r="NCF5" s="37"/>
      <c r="NCG5" s="37"/>
      <c r="NCH5" s="37"/>
      <c r="NCI5" s="37"/>
      <c r="NCJ5" s="37"/>
      <c r="NCK5" s="37"/>
      <c r="NCL5" s="37"/>
      <c r="NCM5" s="37"/>
      <c r="NCN5" s="37"/>
      <c r="NCO5" s="37"/>
      <c r="NCP5" s="37"/>
      <c r="NCQ5" s="37"/>
      <c r="NCR5" s="37"/>
      <c r="NCS5" s="37"/>
      <c r="NCT5" s="37"/>
      <c r="NCU5" s="37"/>
      <c r="NCV5" s="37"/>
      <c r="NCW5" s="37"/>
      <c r="NCX5" s="37"/>
      <c r="NCY5" s="37"/>
      <c r="NCZ5" s="37"/>
      <c r="NDA5" s="37"/>
      <c r="NDB5" s="37"/>
      <c r="NDC5" s="37"/>
      <c r="NDD5" s="37"/>
      <c r="NDE5" s="37"/>
      <c r="NDF5" s="37"/>
      <c r="NDG5" s="37"/>
      <c r="NDH5" s="37"/>
      <c r="NDI5" s="37"/>
      <c r="NDJ5" s="37"/>
      <c r="NDK5" s="37"/>
      <c r="NDL5" s="37"/>
      <c r="NDM5" s="37"/>
      <c r="NDN5" s="37"/>
      <c r="NDO5" s="37"/>
      <c r="NDP5" s="37"/>
      <c r="NDQ5" s="37"/>
      <c r="NDR5" s="37"/>
      <c r="NDS5" s="37"/>
      <c r="NDT5" s="37"/>
      <c r="NDU5" s="37"/>
      <c r="NDV5" s="37"/>
      <c r="NDW5" s="37"/>
      <c r="NDX5" s="37"/>
      <c r="NDY5" s="37"/>
      <c r="NDZ5" s="37"/>
      <c r="NEA5" s="37"/>
      <c r="NEB5" s="37"/>
      <c r="NEC5" s="37"/>
      <c r="NED5" s="37"/>
      <c r="NEE5" s="37"/>
      <c r="NEF5" s="37"/>
      <c r="NEG5" s="37"/>
      <c r="NEH5" s="37"/>
      <c r="NEI5" s="37"/>
      <c r="NEJ5" s="37"/>
      <c r="NEK5" s="37"/>
      <c r="NEL5" s="37"/>
      <c r="NEM5" s="37"/>
      <c r="NEN5" s="37"/>
      <c r="NEO5" s="37"/>
      <c r="NEP5" s="37"/>
      <c r="NEQ5" s="37"/>
      <c r="NER5" s="37"/>
      <c r="NES5" s="37"/>
      <c r="NET5" s="37"/>
      <c r="NEU5" s="37"/>
      <c r="NEV5" s="37"/>
      <c r="NEW5" s="37"/>
      <c r="NEX5" s="37"/>
      <c r="NEY5" s="37"/>
      <c r="NEZ5" s="37"/>
      <c r="NFA5" s="37"/>
      <c r="NFB5" s="37"/>
      <c r="NFC5" s="37"/>
      <c r="NFD5" s="37"/>
      <c r="NFE5" s="37"/>
      <c r="NFF5" s="37"/>
      <c r="NFG5" s="37"/>
      <c r="NFH5" s="37"/>
      <c r="NFI5" s="37"/>
      <c r="NFJ5" s="37"/>
      <c r="NFK5" s="37"/>
      <c r="NFL5" s="37"/>
      <c r="NFM5" s="37"/>
      <c r="NFN5" s="37"/>
      <c r="NFO5" s="37"/>
      <c r="NFP5" s="37"/>
      <c r="NFQ5" s="37"/>
      <c r="NFR5" s="37"/>
      <c r="NFS5" s="37"/>
      <c r="NFT5" s="37"/>
      <c r="NFU5" s="37"/>
      <c r="NFV5" s="37"/>
      <c r="NFW5" s="37"/>
      <c r="NFX5" s="37"/>
      <c r="NFY5" s="37"/>
      <c r="NFZ5" s="37"/>
      <c r="NGA5" s="37"/>
      <c r="NGB5" s="37"/>
      <c r="NGC5" s="37"/>
      <c r="NGD5" s="37"/>
      <c r="NGE5" s="37"/>
      <c r="NGF5" s="37"/>
      <c r="NGG5" s="37"/>
      <c r="NGH5" s="37"/>
      <c r="NGI5" s="37"/>
      <c r="NGJ5" s="37"/>
      <c r="NGK5" s="37"/>
      <c r="NGL5" s="37"/>
      <c r="NGM5" s="37"/>
      <c r="NGN5" s="37"/>
      <c r="NGO5" s="37"/>
      <c r="NGP5" s="37"/>
      <c r="NGQ5" s="37"/>
      <c r="NGR5" s="37"/>
      <c r="NGS5" s="37"/>
      <c r="NGT5" s="37"/>
      <c r="NGU5" s="37"/>
      <c r="NGV5" s="37"/>
      <c r="NGW5" s="37"/>
      <c r="NGX5" s="37"/>
      <c r="NGY5" s="37"/>
      <c r="NGZ5" s="37"/>
      <c r="NHA5" s="37"/>
      <c r="NHB5" s="37"/>
      <c r="NHC5" s="37"/>
      <c r="NHD5" s="37"/>
      <c r="NHE5" s="37"/>
      <c r="NHF5" s="37"/>
      <c r="NHG5" s="37"/>
      <c r="NHH5" s="37"/>
      <c r="NHI5" s="37"/>
      <c r="NHJ5" s="37"/>
      <c r="NHK5" s="37"/>
      <c r="NHL5" s="37"/>
      <c r="NHM5" s="37"/>
      <c r="NHN5" s="37"/>
      <c r="NHO5" s="37"/>
      <c r="NHP5" s="37"/>
      <c r="NHQ5" s="37"/>
      <c r="NHR5" s="37"/>
      <c r="NHS5" s="37"/>
      <c r="NHT5" s="37"/>
      <c r="NHU5" s="37"/>
      <c r="NHV5" s="37"/>
      <c r="NHW5" s="37"/>
      <c r="NHX5" s="37"/>
      <c r="NHY5" s="37"/>
      <c r="NHZ5" s="37"/>
      <c r="NIA5" s="37"/>
      <c r="NIB5" s="37"/>
      <c r="NIC5" s="37"/>
      <c r="NID5" s="37"/>
      <c r="NIE5" s="37"/>
      <c r="NIF5" s="37"/>
      <c r="NIG5" s="37"/>
      <c r="NIH5" s="37"/>
      <c r="NII5" s="37"/>
      <c r="NIJ5" s="37"/>
      <c r="NIK5" s="37"/>
      <c r="NIL5" s="37"/>
      <c r="NIM5" s="37"/>
      <c r="NIN5" s="37"/>
      <c r="NIO5" s="37"/>
      <c r="NIP5" s="37"/>
      <c r="NIQ5" s="37"/>
      <c r="NIR5" s="37"/>
      <c r="NIS5" s="37"/>
      <c r="NIT5" s="37"/>
      <c r="NIU5" s="37"/>
      <c r="NIV5" s="37"/>
      <c r="NIW5" s="37"/>
      <c r="NIX5" s="37"/>
      <c r="NIY5" s="37"/>
      <c r="NIZ5" s="37"/>
      <c r="NJA5" s="37"/>
      <c r="NJB5" s="37"/>
      <c r="NJC5" s="37"/>
      <c r="NJD5" s="37"/>
      <c r="NJE5" s="37"/>
      <c r="NJF5" s="37"/>
      <c r="NJG5" s="37"/>
      <c r="NJH5" s="37"/>
      <c r="NJI5" s="37"/>
      <c r="NJJ5" s="37"/>
      <c r="NJK5" s="37"/>
      <c r="NJL5" s="37"/>
      <c r="NJM5" s="37"/>
      <c r="NJN5" s="37"/>
      <c r="NJO5" s="37"/>
      <c r="NJP5" s="37"/>
      <c r="NJQ5" s="37"/>
      <c r="NJR5" s="37"/>
      <c r="NJS5" s="37"/>
      <c r="NJT5" s="37"/>
      <c r="NJU5" s="37"/>
      <c r="NJV5" s="37"/>
      <c r="NJW5" s="37"/>
      <c r="NJX5" s="37"/>
      <c r="NJY5" s="37"/>
      <c r="NJZ5" s="37"/>
      <c r="NKA5" s="37"/>
      <c r="NKB5" s="37"/>
      <c r="NKC5" s="37"/>
      <c r="NKD5" s="37"/>
      <c r="NKE5" s="37"/>
      <c r="NKF5" s="37"/>
      <c r="NKG5" s="37"/>
      <c r="NKH5" s="37"/>
      <c r="NKI5" s="37"/>
      <c r="NKJ5" s="37"/>
      <c r="NKK5" s="37"/>
      <c r="NKL5" s="37"/>
      <c r="NKM5" s="37"/>
      <c r="NKN5" s="37"/>
      <c r="NKO5" s="37"/>
      <c r="NKP5" s="37"/>
      <c r="NKQ5" s="37"/>
      <c r="NKR5" s="37"/>
      <c r="NKS5" s="37"/>
      <c r="NKT5" s="37"/>
      <c r="NKU5" s="37"/>
      <c r="NKV5" s="37"/>
      <c r="NKW5" s="37"/>
      <c r="NKX5" s="37"/>
      <c r="NKY5" s="37"/>
      <c r="NKZ5" s="37"/>
      <c r="NLA5" s="37"/>
      <c r="NLB5" s="37"/>
      <c r="NLC5" s="37"/>
      <c r="NLD5" s="37"/>
      <c r="NLE5" s="37"/>
      <c r="NLF5" s="37"/>
      <c r="NLG5" s="37"/>
      <c r="NLH5" s="37"/>
      <c r="NLI5" s="37"/>
      <c r="NLJ5" s="37"/>
      <c r="NLK5" s="37"/>
      <c r="NLL5" s="37"/>
      <c r="NLM5" s="37"/>
      <c r="NLN5" s="37"/>
      <c r="NLO5" s="37"/>
      <c r="NLP5" s="37"/>
      <c r="NLQ5" s="37"/>
      <c r="NLR5" s="37"/>
      <c r="NLS5" s="37"/>
      <c r="NLT5" s="37"/>
      <c r="NLU5" s="37"/>
      <c r="NLV5" s="37"/>
      <c r="NLW5" s="37"/>
      <c r="NLX5" s="37"/>
      <c r="NLY5" s="37"/>
      <c r="NLZ5" s="37"/>
      <c r="NMA5" s="37"/>
      <c r="NMB5" s="37"/>
      <c r="NMC5" s="37"/>
      <c r="NMD5" s="37"/>
      <c r="NME5" s="37"/>
      <c r="NMF5" s="37"/>
      <c r="NMG5" s="37"/>
      <c r="NMH5" s="37"/>
      <c r="NMI5" s="37"/>
      <c r="NMJ5" s="37"/>
      <c r="NMK5" s="37"/>
      <c r="NML5" s="37"/>
      <c r="NMM5" s="37"/>
      <c r="NMN5" s="37"/>
      <c r="NMO5" s="37"/>
      <c r="NMP5" s="37"/>
      <c r="NMQ5" s="37"/>
      <c r="NMR5" s="37"/>
      <c r="NMS5" s="37"/>
      <c r="NMT5" s="37"/>
      <c r="NMU5" s="37"/>
      <c r="NMV5" s="37"/>
      <c r="NMW5" s="37"/>
      <c r="NMX5" s="37"/>
      <c r="NMY5" s="37"/>
      <c r="NMZ5" s="37"/>
      <c r="NNA5" s="37"/>
      <c r="NNB5" s="37"/>
      <c r="NNC5" s="37"/>
      <c r="NND5" s="37"/>
      <c r="NNE5" s="37"/>
      <c r="NNF5" s="37"/>
      <c r="NNG5" s="37"/>
      <c r="NNH5" s="37"/>
      <c r="NNI5" s="37"/>
      <c r="NNJ5" s="37"/>
      <c r="NNK5" s="37"/>
      <c r="NNL5" s="37"/>
      <c r="NNM5" s="37"/>
      <c r="NNN5" s="37"/>
      <c r="NNO5" s="37"/>
      <c r="NNP5" s="37"/>
      <c r="NNQ5" s="37"/>
      <c r="NNR5" s="37"/>
      <c r="NNS5" s="37"/>
      <c r="NNT5" s="37"/>
      <c r="NNU5" s="37"/>
      <c r="NNV5" s="37"/>
      <c r="NNW5" s="37"/>
      <c r="NNX5" s="37"/>
      <c r="NNY5" s="37"/>
      <c r="NNZ5" s="37"/>
      <c r="NOA5" s="37"/>
      <c r="NOB5" s="37"/>
      <c r="NOC5" s="37"/>
      <c r="NOD5" s="37"/>
      <c r="NOE5" s="37"/>
      <c r="NOF5" s="37"/>
      <c r="NOG5" s="37"/>
      <c r="NOH5" s="37"/>
      <c r="NOI5" s="37"/>
      <c r="NOJ5" s="37"/>
      <c r="NOK5" s="37"/>
      <c r="NOL5" s="37"/>
      <c r="NOM5" s="37"/>
      <c r="NON5" s="37"/>
      <c r="NOO5" s="37"/>
      <c r="NOP5" s="37"/>
      <c r="NOQ5" s="37"/>
      <c r="NOR5" s="37"/>
      <c r="NOS5" s="37"/>
      <c r="NOT5" s="37"/>
      <c r="NOU5" s="37"/>
      <c r="NOV5" s="37"/>
      <c r="NOW5" s="37"/>
      <c r="NOX5" s="37"/>
      <c r="NOY5" s="37"/>
      <c r="NOZ5" s="37"/>
      <c r="NPA5" s="37"/>
      <c r="NPB5" s="37"/>
      <c r="NPC5" s="37"/>
      <c r="NPD5" s="37"/>
      <c r="NPE5" s="37"/>
      <c r="NPF5" s="37"/>
      <c r="NPG5" s="37"/>
      <c r="NPH5" s="37"/>
      <c r="NPI5" s="37"/>
      <c r="NPJ5" s="37"/>
      <c r="NPK5" s="37"/>
      <c r="NPL5" s="37"/>
      <c r="NPM5" s="37"/>
      <c r="NPN5" s="37"/>
      <c r="NPO5" s="37"/>
      <c r="NPP5" s="37"/>
      <c r="NPQ5" s="37"/>
      <c r="NPR5" s="37"/>
      <c r="NPS5" s="37"/>
      <c r="NPT5" s="37"/>
      <c r="NPU5" s="37"/>
      <c r="NPV5" s="37"/>
      <c r="NPW5" s="37"/>
      <c r="NPX5" s="37"/>
      <c r="NPY5" s="37"/>
      <c r="NPZ5" s="37"/>
      <c r="NQA5" s="37"/>
      <c r="NQB5" s="37"/>
      <c r="NQC5" s="37"/>
      <c r="NQD5" s="37"/>
      <c r="NQE5" s="37"/>
      <c r="NQF5" s="37"/>
      <c r="NQG5" s="37"/>
      <c r="NQH5" s="37"/>
      <c r="NQI5" s="37"/>
      <c r="NQJ5" s="37"/>
      <c r="NQK5" s="37"/>
      <c r="NQL5" s="37"/>
      <c r="NQM5" s="37"/>
      <c r="NQN5" s="37"/>
      <c r="NQO5" s="37"/>
      <c r="NQP5" s="37"/>
      <c r="NQQ5" s="37"/>
      <c r="NQR5" s="37"/>
      <c r="NQS5" s="37"/>
      <c r="NQT5" s="37"/>
      <c r="NQU5" s="37"/>
      <c r="NQV5" s="37"/>
      <c r="NQW5" s="37"/>
      <c r="NQX5" s="37"/>
      <c r="NQY5" s="37"/>
      <c r="NQZ5" s="37"/>
      <c r="NRA5" s="37"/>
      <c r="NRB5" s="37"/>
      <c r="NRC5" s="37"/>
      <c r="NRD5" s="37"/>
      <c r="NRE5" s="37"/>
      <c r="NRF5" s="37"/>
      <c r="NRG5" s="37"/>
      <c r="NRH5" s="37"/>
      <c r="NRI5" s="37"/>
      <c r="NRJ5" s="37"/>
      <c r="NRK5" s="37"/>
      <c r="NRL5" s="37"/>
      <c r="NRM5" s="37"/>
      <c r="NRN5" s="37"/>
      <c r="NRO5" s="37"/>
      <c r="NRP5" s="37"/>
      <c r="NRQ5" s="37"/>
      <c r="NRR5" s="37"/>
      <c r="NRS5" s="37"/>
      <c r="NRT5" s="37"/>
      <c r="NRU5" s="37"/>
      <c r="NRV5" s="37"/>
      <c r="NRW5" s="37"/>
      <c r="NRX5" s="37"/>
      <c r="NRY5" s="37"/>
      <c r="NRZ5" s="37"/>
      <c r="NSA5" s="37"/>
      <c r="NSB5" s="37"/>
      <c r="NSC5" s="37"/>
      <c r="NSD5" s="37"/>
      <c r="NSE5" s="37"/>
      <c r="NSF5" s="37"/>
      <c r="NSG5" s="37"/>
      <c r="NSH5" s="37"/>
      <c r="NSI5" s="37"/>
      <c r="NSJ5" s="37"/>
      <c r="NSK5" s="37"/>
      <c r="NSL5" s="37"/>
      <c r="NSM5" s="37"/>
      <c r="NSN5" s="37"/>
      <c r="NSO5" s="37"/>
      <c r="NSP5" s="37"/>
      <c r="NSQ5" s="37"/>
      <c r="NSR5" s="37"/>
      <c r="NSS5" s="37"/>
      <c r="NST5" s="37"/>
      <c r="NSU5" s="37"/>
      <c r="NSV5" s="37"/>
      <c r="NSW5" s="37"/>
      <c r="NSX5" s="37"/>
      <c r="NSY5" s="37"/>
      <c r="NSZ5" s="37"/>
      <c r="NTA5" s="37"/>
      <c r="NTB5" s="37"/>
      <c r="NTC5" s="37"/>
      <c r="NTD5" s="37"/>
      <c r="NTE5" s="37"/>
      <c r="NTF5" s="37"/>
      <c r="NTG5" s="37"/>
      <c r="NTH5" s="37"/>
      <c r="NTI5" s="37"/>
      <c r="NTJ5" s="37"/>
      <c r="NTK5" s="37"/>
      <c r="NTL5" s="37"/>
      <c r="NTM5" s="37"/>
      <c r="NTN5" s="37"/>
      <c r="NTO5" s="37"/>
      <c r="NTP5" s="37"/>
      <c r="NTQ5" s="37"/>
      <c r="NTR5" s="37"/>
      <c r="NTS5" s="37"/>
      <c r="NTT5" s="37"/>
      <c r="NTU5" s="37"/>
      <c r="NTV5" s="37"/>
      <c r="NTW5" s="37"/>
      <c r="NTX5" s="37"/>
      <c r="NTY5" s="37"/>
      <c r="NTZ5" s="37"/>
      <c r="NUA5" s="37"/>
      <c r="NUB5" s="37"/>
      <c r="NUC5" s="37"/>
      <c r="NUD5" s="37"/>
      <c r="NUE5" s="37"/>
      <c r="NUF5" s="37"/>
      <c r="NUG5" s="37"/>
      <c r="NUH5" s="37"/>
      <c r="NUI5" s="37"/>
      <c r="NUJ5" s="37"/>
      <c r="NUK5" s="37"/>
      <c r="NUL5" s="37"/>
      <c r="NUM5" s="37"/>
      <c r="NUN5" s="37"/>
      <c r="NUO5" s="37"/>
      <c r="NUP5" s="37"/>
      <c r="NUQ5" s="37"/>
      <c r="NUR5" s="37"/>
      <c r="NUS5" s="37"/>
      <c r="NUT5" s="37"/>
      <c r="NUU5" s="37"/>
      <c r="NUV5" s="37"/>
      <c r="NUW5" s="37"/>
      <c r="NUX5" s="37"/>
      <c r="NUY5" s="37"/>
      <c r="NUZ5" s="37"/>
      <c r="NVA5" s="37"/>
      <c r="NVB5" s="37"/>
      <c r="NVC5" s="37"/>
      <c r="NVD5" s="37"/>
      <c r="NVE5" s="37"/>
      <c r="NVF5" s="37"/>
      <c r="NVG5" s="37"/>
      <c r="NVH5" s="37"/>
      <c r="NVI5" s="37"/>
      <c r="NVJ5" s="37"/>
      <c r="NVK5" s="37"/>
      <c r="NVL5" s="37"/>
      <c r="NVM5" s="37"/>
      <c r="NVN5" s="37"/>
      <c r="NVO5" s="37"/>
      <c r="NVP5" s="37"/>
      <c r="NVQ5" s="37"/>
      <c r="NVR5" s="37"/>
      <c r="NVS5" s="37"/>
      <c r="NVT5" s="37"/>
      <c r="NVU5" s="37"/>
      <c r="NVV5" s="37"/>
      <c r="NVW5" s="37"/>
      <c r="NVX5" s="37"/>
      <c r="NVY5" s="37"/>
      <c r="NVZ5" s="37"/>
      <c r="NWA5" s="37"/>
      <c r="NWB5" s="37"/>
      <c r="NWC5" s="37"/>
      <c r="NWD5" s="37"/>
      <c r="NWE5" s="37"/>
      <c r="NWF5" s="37"/>
      <c r="NWG5" s="37"/>
      <c r="NWH5" s="37"/>
      <c r="NWI5" s="37"/>
      <c r="NWJ5" s="37"/>
      <c r="NWK5" s="37"/>
      <c r="NWL5" s="37"/>
      <c r="NWM5" s="37"/>
      <c r="NWN5" s="37"/>
      <c r="NWO5" s="37"/>
      <c r="NWP5" s="37"/>
      <c r="NWQ5" s="37"/>
      <c r="NWR5" s="37"/>
      <c r="NWS5" s="37"/>
      <c r="NWT5" s="37"/>
      <c r="NWU5" s="37"/>
      <c r="NWV5" s="37"/>
      <c r="NWW5" s="37"/>
      <c r="NWX5" s="37"/>
      <c r="NWY5" s="37"/>
      <c r="NWZ5" s="37"/>
      <c r="NXA5" s="37"/>
      <c r="NXB5" s="37"/>
      <c r="NXC5" s="37"/>
      <c r="NXD5" s="37"/>
      <c r="NXE5" s="37"/>
      <c r="NXF5" s="37"/>
      <c r="NXG5" s="37"/>
      <c r="NXH5" s="37"/>
      <c r="NXI5" s="37"/>
      <c r="NXJ5" s="37"/>
      <c r="NXK5" s="37"/>
      <c r="NXL5" s="37"/>
      <c r="NXM5" s="37"/>
      <c r="NXN5" s="37"/>
      <c r="NXO5" s="37"/>
      <c r="NXP5" s="37"/>
      <c r="NXQ5" s="37"/>
      <c r="NXR5" s="37"/>
      <c r="NXS5" s="37"/>
      <c r="NXT5" s="37"/>
      <c r="NXU5" s="37"/>
      <c r="NXV5" s="37"/>
      <c r="NXW5" s="37"/>
      <c r="NXX5" s="37"/>
      <c r="NXY5" s="37"/>
      <c r="NXZ5" s="37"/>
      <c r="NYA5" s="37"/>
      <c r="NYB5" s="37"/>
      <c r="NYC5" s="37"/>
      <c r="NYD5" s="37"/>
      <c r="NYE5" s="37"/>
      <c r="NYF5" s="37"/>
      <c r="NYG5" s="37"/>
      <c r="NYH5" s="37"/>
      <c r="NYI5" s="37"/>
      <c r="NYJ5" s="37"/>
      <c r="NYK5" s="37"/>
      <c r="NYL5" s="37"/>
      <c r="NYM5" s="37"/>
      <c r="NYN5" s="37"/>
      <c r="NYO5" s="37"/>
      <c r="NYP5" s="37"/>
      <c r="NYQ5" s="37"/>
      <c r="NYR5" s="37"/>
      <c r="NYS5" s="37"/>
      <c r="NYT5" s="37"/>
      <c r="NYU5" s="37"/>
      <c r="NYV5" s="37"/>
      <c r="NYW5" s="37"/>
      <c r="NYX5" s="37"/>
      <c r="NYY5" s="37"/>
      <c r="NYZ5" s="37"/>
      <c r="NZA5" s="37"/>
      <c r="NZB5" s="37"/>
      <c r="NZC5" s="37"/>
      <c r="NZD5" s="37"/>
      <c r="NZE5" s="37"/>
      <c r="NZF5" s="37"/>
      <c r="NZG5" s="37"/>
      <c r="NZH5" s="37"/>
      <c r="NZI5" s="37"/>
      <c r="NZJ5" s="37"/>
      <c r="NZK5" s="37"/>
      <c r="NZL5" s="37"/>
      <c r="NZM5" s="37"/>
      <c r="NZN5" s="37"/>
      <c r="NZO5" s="37"/>
      <c r="NZP5" s="37"/>
      <c r="NZQ5" s="37"/>
      <c r="NZR5" s="37"/>
      <c r="NZS5" s="37"/>
      <c r="NZT5" s="37"/>
      <c r="NZU5" s="37"/>
      <c r="NZV5" s="37"/>
      <c r="NZW5" s="37"/>
      <c r="NZX5" s="37"/>
      <c r="NZY5" s="37"/>
      <c r="NZZ5" s="37"/>
      <c r="OAA5" s="37"/>
      <c r="OAB5" s="37"/>
      <c r="OAC5" s="37"/>
      <c r="OAD5" s="37"/>
      <c r="OAE5" s="37"/>
      <c r="OAF5" s="37"/>
      <c r="OAG5" s="37"/>
      <c r="OAH5" s="37"/>
      <c r="OAI5" s="37"/>
      <c r="OAJ5" s="37"/>
      <c r="OAK5" s="37"/>
      <c r="OAL5" s="37"/>
      <c r="OAM5" s="37"/>
      <c r="OAN5" s="37"/>
      <c r="OAO5" s="37"/>
      <c r="OAP5" s="37"/>
      <c r="OAQ5" s="37"/>
      <c r="OAR5" s="37"/>
      <c r="OAS5" s="37"/>
      <c r="OAT5" s="37"/>
      <c r="OAU5" s="37"/>
      <c r="OAV5" s="37"/>
      <c r="OAW5" s="37"/>
      <c r="OAX5" s="37"/>
      <c r="OAY5" s="37"/>
      <c r="OAZ5" s="37"/>
      <c r="OBA5" s="37"/>
      <c r="OBB5" s="37"/>
      <c r="OBC5" s="37"/>
      <c r="OBD5" s="37"/>
      <c r="OBE5" s="37"/>
      <c r="OBF5" s="37"/>
      <c r="OBG5" s="37"/>
      <c r="OBH5" s="37"/>
      <c r="OBI5" s="37"/>
      <c r="OBJ5" s="37"/>
      <c r="OBK5" s="37"/>
      <c r="OBL5" s="37"/>
      <c r="OBM5" s="37"/>
      <c r="OBN5" s="37"/>
      <c r="OBO5" s="37"/>
      <c r="OBP5" s="37"/>
      <c r="OBQ5" s="37"/>
      <c r="OBR5" s="37"/>
      <c r="OBS5" s="37"/>
      <c r="OBT5" s="37"/>
      <c r="OBU5" s="37"/>
      <c r="OBV5" s="37"/>
      <c r="OBW5" s="37"/>
      <c r="OBX5" s="37"/>
      <c r="OBY5" s="37"/>
      <c r="OBZ5" s="37"/>
      <c r="OCA5" s="37"/>
      <c r="OCB5" s="37"/>
      <c r="OCC5" s="37"/>
      <c r="OCD5" s="37"/>
      <c r="OCE5" s="37"/>
      <c r="OCF5" s="37"/>
      <c r="OCG5" s="37"/>
      <c r="OCH5" s="37"/>
      <c r="OCI5" s="37"/>
      <c r="OCJ5" s="37"/>
      <c r="OCK5" s="37"/>
      <c r="OCL5" s="37"/>
      <c r="OCM5" s="37"/>
      <c r="OCN5" s="37"/>
      <c r="OCO5" s="37"/>
      <c r="OCP5" s="37"/>
      <c r="OCQ5" s="37"/>
      <c r="OCR5" s="37"/>
      <c r="OCS5" s="37"/>
      <c r="OCT5" s="37"/>
      <c r="OCU5" s="37"/>
      <c r="OCV5" s="37"/>
      <c r="OCW5" s="37"/>
      <c r="OCX5" s="37"/>
      <c r="OCY5" s="37"/>
      <c r="OCZ5" s="37"/>
      <c r="ODA5" s="37"/>
      <c r="ODB5" s="37"/>
      <c r="ODC5" s="37"/>
      <c r="ODD5" s="37"/>
      <c r="ODE5" s="37"/>
      <c r="ODF5" s="37"/>
      <c r="ODG5" s="37"/>
      <c r="ODH5" s="37"/>
      <c r="ODI5" s="37"/>
      <c r="ODJ5" s="37"/>
      <c r="ODK5" s="37"/>
      <c r="ODL5" s="37"/>
      <c r="ODM5" s="37"/>
      <c r="ODN5" s="37"/>
      <c r="ODO5" s="37"/>
      <c r="ODP5" s="37"/>
      <c r="ODQ5" s="37"/>
      <c r="ODR5" s="37"/>
      <c r="ODS5" s="37"/>
      <c r="ODT5" s="37"/>
      <c r="ODU5" s="37"/>
      <c r="ODV5" s="37"/>
      <c r="ODW5" s="37"/>
      <c r="ODX5" s="37"/>
      <c r="ODY5" s="37"/>
      <c r="ODZ5" s="37"/>
      <c r="OEA5" s="37"/>
      <c r="OEB5" s="37"/>
      <c r="OEC5" s="37"/>
      <c r="OED5" s="37"/>
      <c r="OEE5" s="37"/>
      <c r="OEF5" s="37"/>
      <c r="OEG5" s="37"/>
      <c r="OEH5" s="37"/>
      <c r="OEI5" s="37"/>
      <c r="OEJ5" s="37"/>
      <c r="OEK5" s="37"/>
      <c r="OEL5" s="37"/>
      <c r="OEM5" s="37"/>
      <c r="OEN5" s="37"/>
      <c r="OEO5" s="37"/>
      <c r="OEP5" s="37"/>
      <c r="OEQ5" s="37"/>
      <c r="OER5" s="37"/>
      <c r="OES5" s="37"/>
      <c r="OET5" s="37"/>
      <c r="OEU5" s="37"/>
      <c r="OEV5" s="37"/>
      <c r="OEW5" s="37"/>
      <c r="OEX5" s="37"/>
      <c r="OEY5" s="37"/>
      <c r="OEZ5" s="37"/>
      <c r="OFA5" s="37"/>
      <c r="OFB5" s="37"/>
      <c r="OFC5" s="37"/>
      <c r="OFD5" s="37"/>
      <c r="OFE5" s="37"/>
      <c r="OFF5" s="37"/>
      <c r="OFG5" s="37"/>
      <c r="OFH5" s="37"/>
      <c r="OFI5" s="37"/>
      <c r="OFJ5" s="37"/>
      <c r="OFK5" s="37"/>
      <c r="OFL5" s="37"/>
      <c r="OFM5" s="37"/>
      <c r="OFN5" s="37"/>
      <c r="OFO5" s="37"/>
      <c r="OFP5" s="37"/>
      <c r="OFQ5" s="37"/>
      <c r="OFR5" s="37"/>
      <c r="OFS5" s="37"/>
      <c r="OFT5" s="37"/>
      <c r="OFU5" s="37"/>
      <c r="OFV5" s="37"/>
      <c r="OFW5" s="37"/>
      <c r="OFX5" s="37"/>
      <c r="OFY5" s="37"/>
      <c r="OFZ5" s="37"/>
      <c r="OGA5" s="37"/>
      <c r="OGB5" s="37"/>
      <c r="OGC5" s="37"/>
      <c r="OGD5" s="37"/>
      <c r="OGE5" s="37"/>
      <c r="OGF5" s="37"/>
      <c r="OGG5" s="37"/>
      <c r="OGH5" s="37"/>
      <c r="OGI5" s="37"/>
      <c r="OGJ5" s="37"/>
      <c r="OGK5" s="37"/>
      <c r="OGL5" s="37"/>
      <c r="OGM5" s="37"/>
      <c r="OGN5" s="37"/>
      <c r="OGO5" s="37"/>
      <c r="OGP5" s="37"/>
      <c r="OGQ5" s="37"/>
      <c r="OGR5" s="37"/>
      <c r="OGS5" s="37"/>
      <c r="OGT5" s="37"/>
      <c r="OGU5" s="37"/>
      <c r="OGV5" s="37"/>
      <c r="OGW5" s="37"/>
      <c r="OGX5" s="37"/>
      <c r="OGY5" s="37"/>
      <c r="OGZ5" s="37"/>
      <c r="OHA5" s="37"/>
      <c r="OHB5" s="37"/>
      <c r="OHC5" s="37"/>
      <c r="OHD5" s="37"/>
      <c r="OHE5" s="37"/>
      <c r="OHF5" s="37"/>
      <c r="OHG5" s="37"/>
      <c r="OHH5" s="37"/>
      <c r="OHI5" s="37"/>
      <c r="OHJ5" s="37"/>
      <c r="OHK5" s="37"/>
      <c r="OHL5" s="37"/>
      <c r="OHM5" s="37"/>
      <c r="OHN5" s="37"/>
      <c r="OHO5" s="37"/>
      <c r="OHP5" s="37"/>
      <c r="OHQ5" s="37"/>
      <c r="OHR5" s="37"/>
      <c r="OHS5" s="37"/>
      <c r="OHT5" s="37"/>
      <c r="OHU5" s="37"/>
      <c r="OHV5" s="37"/>
      <c r="OHW5" s="37"/>
      <c r="OHX5" s="37"/>
      <c r="OHY5" s="37"/>
      <c r="OHZ5" s="37"/>
      <c r="OIA5" s="37"/>
      <c r="OIB5" s="37"/>
      <c r="OIC5" s="37"/>
      <c r="OID5" s="37"/>
      <c r="OIE5" s="37"/>
      <c r="OIF5" s="37"/>
      <c r="OIG5" s="37"/>
      <c r="OIH5" s="37"/>
      <c r="OII5" s="37"/>
      <c r="OIJ5" s="37"/>
      <c r="OIK5" s="37"/>
      <c r="OIL5" s="37"/>
      <c r="OIM5" s="37"/>
      <c r="OIN5" s="37"/>
      <c r="OIO5" s="37"/>
      <c r="OIP5" s="37"/>
      <c r="OIQ5" s="37"/>
      <c r="OIR5" s="37"/>
      <c r="OIS5" s="37"/>
      <c r="OIT5" s="37"/>
      <c r="OIU5" s="37"/>
      <c r="OIV5" s="37"/>
      <c r="OIW5" s="37"/>
      <c r="OIX5" s="37"/>
      <c r="OIY5" s="37"/>
      <c r="OIZ5" s="37"/>
      <c r="OJA5" s="37"/>
      <c r="OJB5" s="37"/>
      <c r="OJC5" s="37"/>
      <c r="OJD5" s="37"/>
      <c r="OJE5" s="37"/>
      <c r="OJF5" s="37"/>
      <c r="OJG5" s="37"/>
      <c r="OJH5" s="37"/>
      <c r="OJI5" s="37"/>
      <c r="OJJ5" s="37"/>
      <c r="OJK5" s="37"/>
      <c r="OJL5" s="37"/>
      <c r="OJM5" s="37"/>
      <c r="OJN5" s="37"/>
      <c r="OJO5" s="37"/>
      <c r="OJP5" s="37"/>
      <c r="OJQ5" s="37"/>
      <c r="OJR5" s="37"/>
      <c r="OJS5" s="37"/>
      <c r="OJT5" s="37"/>
      <c r="OJU5" s="37"/>
      <c r="OJV5" s="37"/>
      <c r="OJW5" s="37"/>
      <c r="OJX5" s="37"/>
      <c r="OJY5" s="37"/>
      <c r="OJZ5" s="37"/>
      <c r="OKA5" s="37"/>
      <c r="OKB5" s="37"/>
      <c r="OKC5" s="37"/>
      <c r="OKD5" s="37"/>
      <c r="OKE5" s="37"/>
      <c r="OKF5" s="37"/>
      <c r="OKG5" s="37"/>
      <c r="OKH5" s="37"/>
      <c r="OKI5" s="37"/>
      <c r="OKJ5" s="37"/>
      <c r="OKK5" s="37"/>
      <c r="OKL5" s="37"/>
      <c r="OKM5" s="37"/>
      <c r="OKN5" s="37"/>
      <c r="OKO5" s="37"/>
      <c r="OKP5" s="37"/>
      <c r="OKQ5" s="37"/>
      <c r="OKR5" s="37"/>
      <c r="OKS5" s="37"/>
      <c r="OKT5" s="37"/>
      <c r="OKU5" s="37"/>
      <c r="OKV5" s="37"/>
      <c r="OKW5" s="37"/>
      <c r="OKX5" s="37"/>
      <c r="OKY5" s="37"/>
      <c r="OKZ5" s="37"/>
      <c r="OLA5" s="37"/>
      <c r="OLB5" s="37"/>
      <c r="OLC5" s="37"/>
      <c r="OLD5" s="37"/>
      <c r="OLE5" s="37"/>
      <c r="OLF5" s="37"/>
      <c r="OLG5" s="37"/>
      <c r="OLH5" s="37"/>
      <c r="OLI5" s="37"/>
      <c r="OLJ5" s="37"/>
      <c r="OLK5" s="37"/>
      <c r="OLL5" s="37"/>
      <c r="OLM5" s="37"/>
      <c r="OLN5" s="37"/>
      <c r="OLO5" s="37"/>
      <c r="OLP5" s="37"/>
      <c r="OLQ5" s="37"/>
      <c r="OLR5" s="37"/>
      <c r="OLS5" s="37"/>
      <c r="OLT5" s="37"/>
      <c r="OLU5" s="37"/>
      <c r="OLV5" s="37"/>
      <c r="OLW5" s="37"/>
      <c r="OLX5" s="37"/>
      <c r="OLY5" s="37"/>
      <c r="OLZ5" s="37"/>
      <c r="OMA5" s="37"/>
      <c r="OMB5" s="37"/>
      <c r="OMC5" s="37"/>
      <c r="OMD5" s="37"/>
      <c r="OME5" s="37"/>
      <c r="OMF5" s="37"/>
      <c r="OMG5" s="37"/>
      <c r="OMH5" s="37"/>
      <c r="OMI5" s="37"/>
      <c r="OMJ5" s="37"/>
      <c r="OMK5" s="37"/>
      <c r="OML5" s="37"/>
      <c r="OMM5" s="37"/>
      <c r="OMN5" s="37"/>
      <c r="OMO5" s="37"/>
      <c r="OMP5" s="37"/>
      <c r="OMQ5" s="37"/>
      <c r="OMR5" s="37"/>
      <c r="OMS5" s="37"/>
      <c r="OMT5" s="37"/>
      <c r="OMU5" s="37"/>
      <c r="OMV5" s="37"/>
      <c r="OMW5" s="37"/>
      <c r="OMX5" s="37"/>
      <c r="OMY5" s="37"/>
      <c r="OMZ5" s="37"/>
      <c r="ONA5" s="37"/>
      <c r="ONB5" s="37"/>
      <c r="ONC5" s="37"/>
      <c r="OND5" s="37"/>
      <c r="ONE5" s="37"/>
      <c r="ONF5" s="37"/>
      <c r="ONG5" s="37"/>
      <c r="ONH5" s="37"/>
      <c r="ONI5" s="37"/>
      <c r="ONJ5" s="37"/>
      <c r="ONK5" s="37"/>
      <c r="ONL5" s="37"/>
      <c r="ONM5" s="37"/>
      <c r="ONN5" s="37"/>
      <c r="ONO5" s="37"/>
      <c r="ONP5" s="37"/>
      <c r="ONQ5" s="37"/>
      <c r="ONR5" s="37"/>
      <c r="ONS5" s="37"/>
      <c r="ONT5" s="37"/>
      <c r="ONU5" s="37"/>
      <c r="ONV5" s="37"/>
      <c r="ONW5" s="37"/>
      <c r="ONX5" s="37"/>
      <c r="ONY5" s="37"/>
      <c r="ONZ5" s="37"/>
      <c r="OOA5" s="37"/>
      <c r="OOB5" s="37"/>
      <c r="OOC5" s="37"/>
      <c r="OOD5" s="37"/>
      <c r="OOE5" s="37"/>
      <c r="OOF5" s="37"/>
      <c r="OOG5" s="37"/>
      <c r="OOH5" s="37"/>
      <c r="OOI5" s="37"/>
      <c r="OOJ5" s="37"/>
      <c r="OOK5" s="37"/>
      <c r="OOL5" s="37"/>
      <c r="OOM5" s="37"/>
      <c r="OON5" s="37"/>
      <c r="OOO5" s="37"/>
      <c r="OOP5" s="37"/>
      <c r="OOQ5" s="37"/>
      <c r="OOR5" s="37"/>
      <c r="OOS5" s="37"/>
      <c r="OOT5" s="37"/>
      <c r="OOU5" s="37"/>
      <c r="OOV5" s="37"/>
      <c r="OOW5" s="37"/>
      <c r="OOX5" s="37"/>
      <c r="OOY5" s="37"/>
      <c r="OOZ5" s="37"/>
      <c r="OPA5" s="37"/>
      <c r="OPB5" s="37"/>
      <c r="OPC5" s="37"/>
      <c r="OPD5" s="37"/>
      <c r="OPE5" s="37"/>
      <c r="OPF5" s="37"/>
      <c r="OPG5" s="37"/>
      <c r="OPH5" s="37"/>
      <c r="OPI5" s="37"/>
      <c r="OPJ5" s="37"/>
      <c r="OPK5" s="37"/>
      <c r="OPL5" s="37"/>
      <c r="OPM5" s="37"/>
      <c r="OPN5" s="37"/>
      <c r="OPO5" s="37"/>
      <c r="OPP5" s="37"/>
      <c r="OPQ5" s="37"/>
      <c r="OPR5" s="37"/>
      <c r="OPS5" s="37"/>
      <c r="OPT5" s="37"/>
      <c r="OPU5" s="37"/>
      <c r="OPV5" s="37"/>
      <c r="OPW5" s="37"/>
      <c r="OPX5" s="37"/>
      <c r="OPY5" s="37"/>
      <c r="OPZ5" s="37"/>
      <c r="OQA5" s="37"/>
      <c r="OQB5" s="37"/>
      <c r="OQC5" s="37"/>
      <c r="OQD5" s="37"/>
      <c r="OQE5" s="37"/>
      <c r="OQF5" s="37"/>
      <c r="OQG5" s="37"/>
      <c r="OQH5" s="37"/>
      <c r="OQI5" s="37"/>
      <c r="OQJ5" s="37"/>
      <c r="OQK5" s="37"/>
      <c r="OQL5" s="37"/>
      <c r="OQM5" s="37"/>
      <c r="OQN5" s="37"/>
      <c r="OQO5" s="37"/>
      <c r="OQP5" s="37"/>
      <c r="OQQ5" s="37"/>
      <c r="OQR5" s="37"/>
      <c r="OQS5" s="37"/>
      <c r="OQT5" s="37"/>
      <c r="OQU5" s="37"/>
      <c r="OQV5" s="37"/>
      <c r="OQW5" s="37"/>
      <c r="OQX5" s="37"/>
      <c r="OQY5" s="37"/>
      <c r="OQZ5" s="37"/>
      <c r="ORA5" s="37"/>
      <c r="ORB5" s="37"/>
      <c r="ORC5" s="37"/>
      <c r="ORD5" s="37"/>
      <c r="ORE5" s="37"/>
      <c r="ORF5" s="37"/>
      <c r="ORG5" s="37"/>
      <c r="ORH5" s="37"/>
      <c r="ORI5" s="37"/>
      <c r="ORJ5" s="37"/>
      <c r="ORK5" s="37"/>
      <c r="ORL5" s="37"/>
      <c r="ORM5" s="37"/>
      <c r="ORN5" s="37"/>
      <c r="ORO5" s="37"/>
      <c r="ORP5" s="37"/>
      <c r="ORQ5" s="37"/>
      <c r="ORR5" s="37"/>
      <c r="ORS5" s="37"/>
      <c r="ORT5" s="37"/>
      <c r="ORU5" s="37"/>
      <c r="ORV5" s="37"/>
      <c r="ORW5" s="37"/>
      <c r="ORX5" s="37"/>
      <c r="ORY5" s="37"/>
      <c r="ORZ5" s="37"/>
      <c r="OSA5" s="37"/>
      <c r="OSB5" s="37"/>
      <c r="OSC5" s="37"/>
      <c r="OSD5" s="37"/>
      <c r="OSE5" s="37"/>
      <c r="OSF5" s="37"/>
      <c r="OSG5" s="37"/>
      <c r="OSH5" s="37"/>
      <c r="OSI5" s="37"/>
      <c r="OSJ5" s="37"/>
      <c r="OSK5" s="37"/>
      <c r="OSL5" s="37"/>
      <c r="OSM5" s="37"/>
      <c r="OSN5" s="37"/>
      <c r="OSO5" s="37"/>
      <c r="OSP5" s="37"/>
      <c r="OSQ5" s="37"/>
      <c r="OSR5" s="37"/>
      <c r="OSS5" s="37"/>
      <c r="OST5" s="37"/>
      <c r="OSU5" s="37"/>
      <c r="OSV5" s="37"/>
      <c r="OSW5" s="37"/>
      <c r="OSX5" s="37"/>
      <c r="OSY5" s="37"/>
      <c r="OSZ5" s="37"/>
      <c r="OTA5" s="37"/>
      <c r="OTB5" s="37"/>
      <c r="OTC5" s="37"/>
      <c r="OTD5" s="37"/>
      <c r="OTE5" s="37"/>
      <c r="OTF5" s="37"/>
      <c r="OTG5" s="37"/>
      <c r="OTH5" s="37"/>
      <c r="OTI5" s="37"/>
      <c r="OTJ5" s="37"/>
      <c r="OTK5" s="37"/>
      <c r="OTL5" s="37"/>
      <c r="OTM5" s="37"/>
      <c r="OTN5" s="37"/>
      <c r="OTO5" s="37"/>
      <c r="OTP5" s="37"/>
      <c r="OTQ5" s="37"/>
      <c r="OTR5" s="37"/>
      <c r="OTS5" s="37"/>
      <c r="OTT5" s="37"/>
      <c r="OTU5" s="37"/>
      <c r="OTV5" s="37"/>
      <c r="OTW5" s="37"/>
      <c r="OTX5" s="37"/>
      <c r="OTY5" s="37"/>
      <c r="OTZ5" s="37"/>
      <c r="OUA5" s="37"/>
      <c r="OUB5" s="37"/>
      <c r="OUC5" s="37"/>
      <c r="OUD5" s="37"/>
      <c r="OUE5" s="37"/>
      <c r="OUF5" s="37"/>
      <c r="OUG5" s="37"/>
      <c r="OUH5" s="37"/>
      <c r="OUI5" s="37"/>
      <c r="OUJ5" s="37"/>
      <c r="OUK5" s="37"/>
      <c r="OUL5" s="37"/>
      <c r="OUM5" s="37"/>
      <c r="OUN5" s="37"/>
      <c r="OUO5" s="37"/>
      <c r="OUP5" s="37"/>
      <c r="OUQ5" s="37"/>
      <c r="OUR5" s="37"/>
      <c r="OUS5" s="37"/>
      <c r="OUT5" s="37"/>
      <c r="OUU5" s="37"/>
      <c r="OUV5" s="37"/>
      <c r="OUW5" s="37"/>
      <c r="OUX5" s="37"/>
      <c r="OUY5" s="37"/>
      <c r="OUZ5" s="37"/>
      <c r="OVA5" s="37"/>
      <c r="OVB5" s="37"/>
      <c r="OVC5" s="37"/>
      <c r="OVD5" s="37"/>
      <c r="OVE5" s="37"/>
      <c r="OVF5" s="37"/>
      <c r="OVG5" s="37"/>
      <c r="OVH5" s="37"/>
      <c r="OVI5" s="37"/>
      <c r="OVJ5" s="37"/>
      <c r="OVK5" s="37"/>
      <c r="OVL5" s="37"/>
      <c r="OVM5" s="37"/>
      <c r="OVN5" s="37"/>
      <c r="OVO5" s="37"/>
      <c r="OVP5" s="37"/>
      <c r="OVQ5" s="37"/>
      <c r="OVR5" s="37"/>
      <c r="OVS5" s="37"/>
      <c r="OVT5" s="37"/>
      <c r="OVU5" s="37"/>
      <c r="OVV5" s="37"/>
      <c r="OVW5" s="37"/>
      <c r="OVX5" s="37"/>
      <c r="OVY5" s="37"/>
      <c r="OVZ5" s="37"/>
      <c r="OWA5" s="37"/>
      <c r="OWB5" s="37"/>
      <c r="OWC5" s="37"/>
      <c r="OWD5" s="37"/>
      <c r="OWE5" s="37"/>
      <c r="OWF5" s="37"/>
      <c r="OWG5" s="37"/>
      <c r="OWH5" s="37"/>
      <c r="OWI5" s="37"/>
      <c r="OWJ5" s="37"/>
      <c r="OWK5" s="37"/>
      <c r="OWL5" s="37"/>
      <c r="OWM5" s="37"/>
      <c r="OWN5" s="37"/>
      <c r="OWO5" s="37"/>
      <c r="OWP5" s="37"/>
      <c r="OWQ5" s="37"/>
      <c r="OWR5" s="37"/>
      <c r="OWS5" s="37"/>
      <c r="OWT5" s="37"/>
      <c r="OWU5" s="37"/>
      <c r="OWV5" s="37"/>
      <c r="OWW5" s="37"/>
      <c r="OWX5" s="37"/>
      <c r="OWY5" s="37"/>
      <c r="OWZ5" s="37"/>
      <c r="OXA5" s="37"/>
      <c r="OXB5" s="37"/>
      <c r="OXC5" s="37"/>
      <c r="OXD5" s="37"/>
      <c r="OXE5" s="37"/>
      <c r="OXF5" s="37"/>
      <c r="OXG5" s="37"/>
      <c r="OXH5" s="37"/>
      <c r="OXI5" s="37"/>
      <c r="OXJ5" s="37"/>
      <c r="OXK5" s="37"/>
      <c r="OXL5" s="37"/>
      <c r="OXM5" s="37"/>
      <c r="OXN5" s="37"/>
      <c r="OXO5" s="37"/>
      <c r="OXP5" s="37"/>
      <c r="OXQ5" s="37"/>
      <c r="OXR5" s="37"/>
      <c r="OXS5" s="37"/>
      <c r="OXT5" s="37"/>
      <c r="OXU5" s="37"/>
      <c r="OXV5" s="37"/>
      <c r="OXW5" s="37"/>
      <c r="OXX5" s="37"/>
      <c r="OXY5" s="37"/>
      <c r="OXZ5" s="37"/>
      <c r="OYA5" s="37"/>
      <c r="OYB5" s="37"/>
      <c r="OYC5" s="37"/>
      <c r="OYD5" s="37"/>
      <c r="OYE5" s="37"/>
      <c r="OYF5" s="37"/>
      <c r="OYG5" s="37"/>
      <c r="OYH5" s="37"/>
      <c r="OYI5" s="37"/>
      <c r="OYJ5" s="37"/>
      <c r="OYK5" s="37"/>
      <c r="OYL5" s="37"/>
      <c r="OYM5" s="37"/>
      <c r="OYN5" s="37"/>
      <c r="OYO5" s="37"/>
      <c r="OYP5" s="37"/>
      <c r="OYQ5" s="37"/>
      <c r="OYR5" s="37"/>
      <c r="OYS5" s="37"/>
      <c r="OYT5" s="37"/>
      <c r="OYU5" s="37"/>
      <c r="OYV5" s="37"/>
      <c r="OYW5" s="37"/>
      <c r="OYX5" s="37"/>
      <c r="OYY5" s="37"/>
      <c r="OYZ5" s="37"/>
      <c r="OZA5" s="37"/>
      <c r="OZB5" s="37"/>
      <c r="OZC5" s="37"/>
      <c r="OZD5" s="37"/>
      <c r="OZE5" s="37"/>
      <c r="OZF5" s="37"/>
      <c r="OZG5" s="37"/>
      <c r="OZH5" s="37"/>
      <c r="OZI5" s="37"/>
      <c r="OZJ5" s="37"/>
      <c r="OZK5" s="37"/>
      <c r="OZL5" s="37"/>
      <c r="OZM5" s="37"/>
      <c r="OZN5" s="37"/>
      <c r="OZO5" s="37"/>
      <c r="OZP5" s="37"/>
      <c r="OZQ5" s="37"/>
      <c r="OZR5" s="37"/>
      <c r="OZS5" s="37"/>
      <c r="OZT5" s="37"/>
      <c r="OZU5" s="37"/>
      <c r="OZV5" s="37"/>
      <c r="OZW5" s="37"/>
      <c r="OZX5" s="37"/>
      <c r="OZY5" s="37"/>
      <c r="OZZ5" s="37"/>
      <c r="PAA5" s="37"/>
      <c r="PAB5" s="37"/>
      <c r="PAC5" s="37"/>
      <c r="PAD5" s="37"/>
      <c r="PAE5" s="37"/>
      <c r="PAF5" s="37"/>
      <c r="PAG5" s="37"/>
      <c r="PAH5" s="37"/>
      <c r="PAI5" s="37"/>
      <c r="PAJ5" s="37"/>
      <c r="PAK5" s="37"/>
      <c r="PAL5" s="37"/>
      <c r="PAM5" s="37"/>
      <c r="PAN5" s="37"/>
      <c r="PAO5" s="37"/>
      <c r="PAP5" s="37"/>
      <c r="PAQ5" s="37"/>
      <c r="PAR5" s="37"/>
      <c r="PAS5" s="37"/>
      <c r="PAT5" s="37"/>
      <c r="PAU5" s="37"/>
      <c r="PAV5" s="37"/>
      <c r="PAW5" s="37"/>
      <c r="PAX5" s="37"/>
      <c r="PAY5" s="37"/>
      <c r="PAZ5" s="37"/>
      <c r="PBA5" s="37"/>
      <c r="PBB5" s="37"/>
      <c r="PBC5" s="37"/>
      <c r="PBD5" s="37"/>
      <c r="PBE5" s="37"/>
      <c r="PBF5" s="37"/>
      <c r="PBG5" s="37"/>
      <c r="PBH5" s="37"/>
      <c r="PBI5" s="37"/>
      <c r="PBJ5" s="37"/>
      <c r="PBK5" s="37"/>
      <c r="PBL5" s="37"/>
      <c r="PBM5" s="37"/>
      <c r="PBN5" s="37"/>
      <c r="PBO5" s="37"/>
      <c r="PBP5" s="37"/>
      <c r="PBQ5" s="37"/>
      <c r="PBR5" s="37"/>
      <c r="PBS5" s="37"/>
      <c r="PBT5" s="37"/>
      <c r="PBU5" s="37"/>
      <c r="PBV5" s="37"/>
      <c r="PBW5" s="37"/>
      <c r="PBX5" s="37"/>
      <c r="PBY5" s="37"/>
      <c r="PBZ5" s="37"/>
      <c r="PCA5" s="37"/>
      <c r="PCB5" s="37"/>
      <c r="PCC5" s="37"/>
      <c r="PCD5" s="37"/>
      <c r="PCE5" s="37"/>
      <c r="PCF5" s="37"/>
      <c r="PCG5" s="37"/>
      <c r="PCH5" s="37"/>
      <c r="PCI5" s="37"/>
      <c r="PCJ5" s="37"/>
      <c r="PCK5" s="37"/>
      <c r="PCL5" s="37"/>
      <c r="PCM5" s="37"/>
      <c r="PCN5" s="37"/>
      <c r="PCO5" s="37"/>
      <c r="PCP5" s="37"/>
      <c r="PCQ5" s="37"/>
      <c r="PCR5" s="37"/>
      <c r="PCS5" s="37"/>
      <c r="PCT5" s="37"/>
      <c r="PCU5" s="37"/>
      <c r="PCV5" s="37"/>
      <c r="PCW5" s="37"/>
      <c r="PCX5" s="37"/>
      <c r="PCY5" s="37"/>
      <c r="PCZ5" s="37"/>
      <c r="PDA5" s="37"/>
      <c r="PDB5" s="37"/>
      <c r="PDC5" s="37"/>
      <c r="PDD5" s="37"/>
      <c r="PDE5" s="37"/>
      <c r="PDF5" s="37"/>
      <c r="PDG5" s="37"/>
      <c r="PDH5" s="37"/>
      <c r="PDI5" s="37"/>
      <c r="PDJ5" s="37"/>
      <c r="PDK5" s="37"/>
      <c r="PDL5" s="37"/>
      <c r="PDM5" s="37"/>
      <c r="PDN5" s="37"/>
      <c r="PDO5" s="37"/>
      <c r="PDP5" s="37"/>
      <c r="PDQ5" s="37"/>
      <c r="PDR5" s="37"/>
      <c r="PDS5" s="37"/>
      <c r="PDT5" s="37"/>
      <c r="PDU5" s="37"/>
      <c r="PDV5" s="37"/>
      <c r="PDW5" s="37"/>
      <c r="PDX5" s="37"/>
      <c r="PDY5" s="37"/>
      <c r="PDZ5" s="37"/>
      <c r="PEA5" s="37"/>
      <c r="PEB5" s="37"/>
      <c r="PEC5" s="37"/>
      <c r="PED5" s="37"/>
      <c r="PEE5" s="37"/>
      <c r="PEF5" s="37"/>
      <c r="PEG5" s="37"/>
      <c r="PEH5" s="37"/>
      <c r="PEI5" s="37"/>
      <c r="PEJ5" s="37"/>
      <c r="PEK5" s="37"/>
      <c r="PEL5" s="37"/>
      <c r="PEM5" s="37"/>
      <c r="PEN5" s="37"/>
      <c r="PEO5" s="37"/>
      <c r="PEP5" s="37"/>
      <c r="PEQ5" s="37"/>
      <c r="PER5" s="37"/>
      <c r="PES5" s="37"/>
      <c r="PET5" s="37"/>
      <c r="PEU5" s="37"/>
      <c r="PEV5" s="37"/>
      <c r="PEW5" s="37"/>
      <c r="PEX5" s="37"/>
      <c r="PEY5" s="37"/>
      <c r="PEZ5" s="37"/>
      <c r="PFA5" s="37"/>
      <c r="PFB5" s="37"/>
      <c r="PFC5" s="37"/>
      <c r="PFD5" s="37"/>
      <c r="PFE5" s="37"/>
      <c r="PFF5" s="37"/>
      <c r="PFG5" s="37"/>
      <c r="PFH5" s="37"/>
      <c r="PFI5" s="37"/>
      <c r="PFJ5" s="37"/>
      <c r="PFK5" s="37"/>
      <c r="PFL5" s="37"/>
      <c r="PFM5" s="37"/>
      <c r="PFN5" s="37"/>
      <c r="PFO5" s="37"/>
      <c r="PFP5" s="37"/>
      <c r="PFQ5" s="37"/>
      <c r="PFR5" s="37"/>
      <c r="PFS5" s="37"/>
      <c r="PFT5" s="37"/>
      <c r="PFU5" s="37"/>
      <c r="PFV5" s="37"/>
      <c r="PFW5" s="37"/>
      <c r="PFX5" s="37"/>
      <c r="PFY5" s="37"/>
      <c r="PFZ5" s="37"/>
      <c r="PGA5" s="37"/>
      <c r="PGB5" s="37"/>
      <c r="PGC5" s="37"/>
      <c r="PGD5" s="37"/>
      <c r="PGE5" s="37"/>
      <c r="PGF5" s="37"/>
      <c r="PGG5" s="37"/>
      <c r="PGH5" s="37"/>
      <c r="PGI5" s="37"/>
      <c r="PGJ5" s="37"/>
      <c r="PGK5" s="37"/>
      <c r="PGL5" s="37"/>
      <c r="PGM5" s="37"/>
      <c r="PGN5" s="37"/>
      <c r="PGO5" s="37"/>
      <c r="PGP5" s="37"/>
      <c r="PGQ5" s="37"/>
      <c r="PGR5" s="37"/>
      <c r="PGS5" s="37"/>
      <c r="PGT5" s="37"/>
      <c r="PGU5" s="37"/>
      <c r="PGV5" s="37"/>
      <c r="PGW5" s="37"/>
      <c r="PGX5" s="37"/>
      <c r="PGY5" s="37"/>
      <c r="PGZ5" s="37"/>
      <c r="PHA5" s="37"/>
      <c r="PHB5" s="37"/>
      <c r="PHC5" s="37"/>
      <c r="PHD5" s="37"/>
      <c r="PHE5" s="37"/>
      <c r="PHF5" s="37"/>
      <c r="PHG5" s="37"/>
      <c r="PHH5" s="37"/>
      <c r="PHI5" s="37"/>
      <c r="PHJ5" s="37"/>
      <c r="PHK5" s="37"/>
      <c r="PHL5" s="37"/>
      <c r="PHM5" s="37"/>
      <c r="PHN5" s="37"/>
      <c r="PHO5" s="37"/>
      <c r="PHP5" s="37"/>
      <c r="PHQ5" s="37"/>
      <c r="PHR5" s="37"/>
      <c r="PHS5" s="37"/>
      <c r="PHT5" s="37"/>
      <c r="PHU5" s="37"/>
      <c r="PHV5" s="37"/>
      <c r="PHW5" s="37"/>
      <c r="PHX5" s="37"/>
      <c r="PHY5" s="37"/>
      <c r="PHZ5" s="37"/>
      <c r="PIA5" s="37"/>
      <c r="PIB5" s="37"/>
      <c r="PIC5" s="37"/>
      <c r="PID5" s="37"/>
      <c r="PIE5" s="37"/>
      <c r="PIF5" s="37"/>
      <c r="PIG5" s="37"/>
      <c r="PIH5" s="37"/>
      <c r="PII5" s="37"/>
      <c r="PIJ5" s="37"/>
      <c r="PIK5" s="37"/>
      <c r="PIL5" s="37"/>
      <c r="PIM5" s="37"/>
      <c r="PIN5" s="37"/>
      <c r="PIO5" s="37"/>
      <c r="PIP5" s="37"/>
      <c r="PIQ5" s="37"/>
      <c r="PIR5" s="37"/>
      <c r="PIS5" s="37"/>
      <c r="PIT5" s="37"/>
      <c r="PIU5" s="37"/>
      <c r="PIV5" s="37"/>
      <c r="PIW5" s="37"/>
      <c r="PIX5" s="37"/>
      <c r="PIY5" s="37"/>
      <c r="PIZ5" s="37"/>
      <c r="PJA5" s="37"/>
      <c r="PJB5" s="37"/>
      <c r="PJC5" s="37"/>
      <c r="PJD5" s="37"/>
      <c r="PJE5" s="37"/>
      <c r="PJF5" s="37"/>
      <c r="PJG5" s="37"/>
      <c r="PJH5" s="37"/>
      <c r="PJI5" s="37"/>
      <c r="PJJ5" s="37"/>
      <c r="PJK5" s="37"/>
      <c r="PJL5" s="37"/>
      <c r="PJM5" s="37"/>
      <c r="PJN5" s="37"/>
      <c r="PJO5" s="37"/>
      <c r="PJP5" s="37"/>
      <c r="PJQ5" s="37"/>
      <c r="PJR5" s="37"/>
      <c r="PJS5" s="37"/>
      <c r="PJT5" s="37"/>
      <c r="PJU5" s="37"/>
      <c r="PJV5" s="37"/>
      <c r="PJW5" s="37"/>
      <c r="PJX5" s="37"/>
      <c r="PJY5" s="37"/>
      <c r="PJZ5" s="37"/>
      <c r="PKA5" s="37"/>
      <c r="PKB5" s="37"/>
      <c r="PKC5" s="37"/>
      <c r="PKD5" s="37"/>
      <c r="PKE5" s="37"/>
      <c r="PKF5" s="37"/>
      <c r="PKG5" s="37"/>
      <c r="PKH5" s="37"/>
      <c r="PKI5" s="37"/>
      <c r="PKJ5" s="37"/>
      <c r="PKK5" s="37"/>
      <c r="PKL5" s="37"/>
      <c r="PKM5" s="37"/>
      <c r="PKN5" s="37"/>
      <c r="PKO5" s="37"/>
      <c r="PKP5" s="37"/>
      <c r="PKQ5" s="37"/>
      <c r="PKR5" s="37"/>
      <c r="PKS5" s="37"/>
      <c r="PKT5" s="37"/>
      <c r="PKU5" s="37"/>
      <c r="PKV5" s="37"/>
      <c r="PKW5" s="37"/>
      <c r="PKX5" s="37"/>
      <c r="PKY5" s="37"/>
      <c r="PKZ5" s="37"/>
      <c r="PLA5" s="37"/>
      <c r="PLB5" s="37"/>
      <c r="PLC5" s="37"/>
      <c r="PLD5" s="37"/>
      <c r="PLE5" s="37"/>
      <c r="PLF5" s="37"/>
      <c r="PLG5" s="37"/>
      <c r="PLH5" s="37"/>
      <c r="PLI5" s="37"/>
      <c r="PLJ5" s="37"/>
      <c r="PLK5" s="37"/>
      <c r="PLL5" s="37"/>
      <c r="PLM5" s="37"/>
      <c r="PLN5" s="37"/>
      <c r="PLO5" s="37"/>
      <c r="PLP5" s="37"/>
      <c r="PLQ5" s="37"/>
      <c r="PLR5" s="37"/>
      <c r="PLS5" s="37"/>
      <c r="PLT5" s="37"/>
      <c r="PLU5" s="37"/>
      <c r="PLV5" s="37"/>
      <c r="PLW5" s="37"/>
      <c r="PLX5" s="37"/>
      <c r="PLY5" s="37"/>
      <c r="PLZ5" s="37"/>
      <c r="PMA5" s="37"/>
      <c r="PMB5" s="37"/>
      <c r="PMC5" s="37"/>
      <c r="PMD5" s="37"/>
      <c r="PME5" s="37"/>
      <c r="PMF5" s="37"/>
      <c r="PMG5" s="37"/>
      <c r="PMH5" s="37"/>
      <c r="PMI5" s="37"/>
      <c r="PMJ5" s="37"/>
      <c r="PMK5" s="37"/>
      <c r="PML5" s="37"/>
      <c r="PMM5" s="37"/>
      <c r="PMN5" s="37"/>
      <c r="PMO5" s="37"/>
      <c r="PMP5" s="37"/>
      <c r="PMQ5" s="37"/>
      <c r="PMR5" s="37"/>
      <c r="PMS5" s="37"/>
      <c r="PMT5" s="37"/>
      <c r="PMU5" s="37"/>
      <c r="PMV5" s="37"/>
      <c r="PMW5" s="37"/>
      <c r="PMX5" s="37"/>
      <c r="PMY5" s="37"/>
      <c r="PMZ5" s="37"/>
      <c r="PNA5" s="37"/>
      <c r="PNB5" s="37"/>
      <c r="PNC5" s="37"/>
      <c r="PND5" s="37"/>
      <c r="PNE5" s="37"/>
      <c r="PNF5" s="37"/>
      <c r="PNG5" s="37"/>
      <c r="PNH5" s="37"/>
      <c r="PNI5" s="37"/>
      <c r="PNJ5" s="37"/>
      <c r="PNK5" s="37"/>
      <c r="PNL5" s="37"/>
      <c r="PNM5" s="37"/>
      <c r="PNN5" s="37"/>
      <c r="PNO5" s="37"/>
      <c r="PNP5" s="37"/>
      <c r="PNQ5" s="37"/>
      <c r="PNR5" s="37"/>
      <c r="PNS5" s="37"/>
      <c r="PNT5" s="37"/>
      <c r="PNU5" s="37"/>
      <c r="PNV5" s="37"/>
      <c r="PNW5" s="37"/>
      <c r="PNX5" s="37"/>
      <c r="PNY5" s="37"/>
      <c r="PNZ5" s="37"/>
      <c r="POA5" s="37"/>
      <c r="POB5" s="37"/>
      <c r="POC5" s="37"/>
      <c r="POD5" s="37"/>
      <c r="POE5" s="37"/>
      <c r="POF5" s="37"/>
      <c r="POG5" s="37"/>
      <c r="POH5" s="37"/>
      <c r="POI5" s="37"/>
      <c r="POJ5" s="37"/>
      <c r="POK5" s="37"/>
      <c r="POL5" s="37"/>
      <c r="POM5" s="37"/>
      <c r="PON5" s="37"/>
      <c r="POO5" s="37"/>
      <c r="POP5" s="37"/>
      <c r="POQ5" s="37"/>
      <c r="POR5" s="37"/>
      <c r="POS5" s="37"/>
      <c r="POT5" s="37"/>
      <c r="POU5" s="37"/>
      <c r="POV5" s="37"/>
      <c r="POW5" s="37"/>
      <c r="POX5" s="37"/>
      <c r="POY5" s="37"/>
      <c r="POZ5" s="37"/>
      <c r="PPA5" s="37"/>
      <c r="PPB5" s="37"/>
      <c r="PPC5" s="37"/>
      <c r="PPD5" s="37"/>
      <c r="PPE5" s="37"/>
      <c r="PPF5" s="37"/>
      <c r="PPG5" s="37"/>
      <c r="PPH5" s="37"/>
      <c r="PPI5" s="37"/>
      <c r="PPJ5" s="37"/>
      <c r="PPK5" s="37"/>
      <c r="PPL5" s="37"/>
      <c r="PPM5" s="37"/>
      <c r="PPN5" s="37"/>
      <c r="PPO5" s="37"/>
      <c r="PPP5" s="37"/>
      <c r="PPQ5" s="37"/>
      <c r="PPR5" s="37"/>
      <c r="PPS5" s="37"/>
      <c r="PPT5" s="37"/>
      <c r="PPU5" s="37"/>
      <c r="PPV5" s="37"/>
      <c r="PPW5" s="37"/>
      <c r="PPX5" s="37"/>
      <c r="PPY5" s="37"/>
      <c r="PPZ5" s="37"/>
      <c r="PQA5" s="37"/>
      <c r="PQB5" s="37"/>
      <c r="PQC5" s="37"/>
      <c r="PQD5" s="37"/>
      <c r="PQE5" s="37"/>
      <c r="PQF5" s="37"/>
      <c r="PQG5" s="37"/>
      <c r="PQH5" s="37"/>
      <c r="PQI5" s="37"/>
      <c r="PQJ5" s="37"/>
      <c r="PQK5" s="37"/>
      <c r="PQL5" s="37"/>
      <c r="PQM5" s="37"/>
      <c r="PQN5" s="37"/>
      <c r="PQO5" s="37"/>
      <c r="PQP5" s="37"/>
      <c r="PQQ5" s="37"/>
      <c r="PQR5" s="37"/>
      <c r="PQS5" s="37"/>
      <c r="PQT5" s="37"/>
      <c r="PQU5" s="37"/>
      <c r="PQV5" s="37"/>
      <c r="PQW5" s="37"/>
      <c r="PQX5" s="37"/>
      <c r="PQY5" s="37"/>
      <c r="PQZ5" s="37"/>
      <c r="PRA5" s="37"/>
      <c r="PRB5" s="37"/>
      <c r="PRC5" s="37"/>
      <c r="PRD5" s="37"/>
      <c r="PRE5" s="37"/>
      <c r="PRF5" s="37"/>
      <c r="PRG5" s="37"/>
      <c r="PRH5" s="37"/>
      <c r="PRI5" s="37"/>
      <c r="PRJ5" s="37"/>
      <c r="PRK5" s="37"/>
      <c r="PRL5" s="37"/>
      <c r="PRM5" s="37"/>
      <c r="PRN5" s="37"/>
      <c r="PRO5" s="37"/>
      <c r="PRP5" s="37"/>
      <c r="PRQ5" s="37"/>
      <c r="PRR5" s="37"/>
      <c r="PRS5" s="37"/>
      <c r="PRT5" s="37"/>
      <c r="PRU5" s="37"/>
      <c r="PRV5" s="37"/>
      <c r="PRW5" s="37"/>
      <c r="PRX5" s="37"/>
      <c r="PRY5" s="37"/>
      <c r="PRZ5" s="37"/>
      <c r="PSA5" s="37"/>
      <c r="PSB5" s="37"/>
      <c r="PSC5" s="37"/>
      <c r="PSD5" s="37"/>
      <c r="PSE5" s="37"/>
      <c r="PSF5" s="37"/>
      <c r="PSG5" s="37"/>
      <c r="PSH5" s="37"/>
      <c r="PSI5" s="37"/>
      <c r="PSJ5" s="37"/>
      <c r="PSK5" s="37"/>
      <c r="PSL5" s="37"/>
      <c r="PSM5" s="37"/>
      <c r="PSN5" s="37"/>
      <c r="PSO5" s="37"/>
      <c r="PSP5" s="37"/>
      <c r="PSQ5" s="37"/>
      <c r="PSR5" s="37"/>
      <c r="PSS5" s="37"/>
      <c r="PST5" s="37"/>
      <c r="PSU5" s="37"/>
      <c r="PSV5" s="37"/>
      <c r="PSW5" s="37"/>
      <c r="PSX5" s="37"/>
      <c r="PSY5" s="37"/>
      <c r="PSZ5" s="37"/>
      <c r="PTA5" s="37"/>
      <c r="PTB5" s="37"/>
      <c r="PTC5" s="37"/>
      <c r="PTD5" s="37"/>
      <c r="PTE5" s="37"/>
      <c r="PTF5" s="37"/>
      <c r="PTG5" s="37"/>
      <c r="PTH5" s="37"/>
      <c r="PTI5" s="37"/>
      <c r="PTJ5" s="37"/>
      <c r="PTK5" s="37"/>
      <c r="PTL5" s="37"/>
      <c r="PTM5" s="37"/>
      <c r="PTN5" s="37"/>
      <c r="PTO5" s="37"/>
      <c r="PTP5" s="37"/>
      <c r="PTQ5" s="37"/>
      <c r="PTR5" s="37"/>
      <c r="PTS5" s="37"/>
      <c r="PTT5" s="37"/>
      <c r="PTU5" s="37"/>
      <c r="PTV5" s="37"/>
      <c r="PTW5" s="37"/>
      <c r="PTX5" s="37"/>
      <c r="PTY5" s="37"/>
      <c r="PTZ5" s="37"/>
      <c r="PUA5" s="37"/>
      <c r="PUB5" s="37"/>
      <c r="PUC5" s="37"/>
      <c r="PUD5" s="37"/>
      <c r="PUE5" s="37"/>
      <c r="PUF5" s="37"/>
      <c r="PUG5" s="37"/>
      <c r="PUH5" s="37"/>
      <c r="PUI5" s="37"/>
      <c r="PUJ5" s="37"/>
      <c r="PUK5" s="37"/>
      <c r="PUL5" s="37"/>
      <c r="PUM5" s="37"/>
      <c r="PUN5" s="37"/>
      <c r="PUO5" s="37"/>
      <c r="PUP5" s="37"/>
      <c r="PUQ5" s="37"/>
      <c r="PUR5" s="37"/>
      <c r="PUS5" s="37"/>
      <c r="PUT5" s="37"/>
      <c r="PUU5" s="37"/>
      <c r="PUV5" s="37"/>
      <c r="PUW5" s="37"/>
      <c r="PUX5" s="37"/>
      <c r="PUY5" s="37"/>
      <c r="PUZ5" s="37"/>
      <c r="PVA5" s="37"/>
      <c r="PVB5" s="37"/>
      <c r="PVC5" s="37"/>
      <c r="PVD5" s="37"/>
      <c r="PVE5" s="37"/>
      <c r="PVF5" s="37"/>
      <c r="PVG5" s="37"/>
      <c r="PVH5" s="37"/>
      <c r="PVI5" s="37"/>
      <c r="PVJ5" s="37"/>
      <c r="PVK5" s="37"/>
      <c r="PVL5" s="37"/>
      <c r="PVM5" s="37"/>
      <c r="PVN5" s="37"/>
      <c r="PVO5" s="37"/>
      <c r="PVP5" s="37"/>
      <c r="PVQ5" s="37"/>
      <c r="PVR5" s="37"/>
      <c r="PVS5" s="37"/>
      <c r="PVT5" s="37"/>
      <c r="PVU5" s="37"/>
      <c r="PVV5" s="37"/>
      <c r="PVW5" s="37"/>
      <c r="PVX5" s="37"/>
      <c r="PVY5" s="37"/>
      <c r="PVZ5" s="37"/>
      <c r="PWA5" s="37"/>
      <c r="PWB5" s="37"/>
      <c r="PWC5" s="37"/>
      <c r="PWD5" s="37"/>
      <c r="PWE5" s="37"/>
      <c r="PWF5" s="37"/>
      <c r="PWG5" s="37"/>
      <c r="PWH5" s="37"/>
      <c r="PWI5" s="37"/>
      <c r="PWJ5" s="37"/>
      <c r="PWK5" s="37"/>
      <c r="PWL5" s="37"/>
      <c r="PWM5" s="37"/>
      <c r="PWN5" s="37"/>
      <c r="PWO5" s="37"/>
      <c r="PWP5" s="37"/>
      <c r="PWQ5" s="37"/>
      <c r="PWR5" s="37"/>
      <c r="PWS5" s="37"/>
      <c r="PWT5" s="37"/>
      <c r="PWU5" s="37"/>
      <c r="PWV5" s="37"/>
      <c r="PWW5" s="37"/>
      <c r="PWX5" s="37"/>
      <c r="PWY5" s="37"/>
      <c r="PWZ5" s="37"/>
      <c r="PXA5" s="37"/>
      <c r="PXB5" s="37"/>
      <c r="PXC5" s="37"/>
      <c r="PXD5" s="37"/>
      <c r="PXE5" s="37"/>
      <c r="PXF5" s="37"/>
      <c r="PXG5" s="37"/>
      <c r="PXH5" s="37"/>
      <c r="PXI5" s="37"/>
      <c r="PXJ5" s="37"/>
      <c r="PXK5" s="37"/>
      <c r="PXL5" s="37"/>
      <c r="PXM5" s="37"/>
      <c r="PXN5" s="37"/>
      <c r="PXO5" s="37"/>
      <c r="PXP5" s="37"/>
      <c r="PXQ5" s="37"/>
      <c r="PXR5" s="37"/>
      <c r="PXS5" s="37"/>
      <c r="PXT5" s="37"/>
      <c r="PXU5" s="37"/>
      <c r="PXV5" s="37"/>
      <c r="PXW5" s="37"/>
      <c r="PXX5" s="37"/>
      <c r="PXY5" s="37"/>
      <c r="PXZ5" s="37"/>
      <c r="PYA5" s="37"/>
      <c r="PYB5" s="37"/>
      <c r="PYC5" s="37"/>
      <c r="PYD5" s="37"/>
      <c r="PYE5" s="37"/>
      <c r="PYF5" s="37"/>
      <c r="PYG5" s="37"/>
      <c r="PYH5" s="37"/>
      <c r="PYI5" s="37"/>
      <c r="PYJ5" s="37"/>
      <c r="PYK5" s="37"/>
      <c r="PYL5" s="37"/>
      <c r="PYM5" s="37"/>
      <c r="PYN5" s="37"/>
      <c r="PYO5" s="37"/>
      <c r="PYP5" s="37"/>
      <c r="PYQ5" s="37"/>
      <c r="PYR5" s="37"/>
      <c r="PYS5" s="37"/>
      <c r="PYT5" s="37"/>
      <c r="PYU5" s="37"/>
      <c r="PYV5" s="37"/>
      <c r="PYW5" s="37"/>
      <c r="PYX5" s="37"/>
      <c r="PYY5" s="37"/>
      <c r="PYZ5" s="37"/>
      <c r="PZA5" s="37"/>
      <c r="PZB5" s="37"/>
      <c r="PZC5" s="37"/>
      <c r="PZD5" s="37"/>
      <c r="PZE5" s="37"/>
      <c r="PZF5" s="37"/>
      <c r="PZG5" s="37"/>
      <c r="PZH5" s="37"/>
      <c r="PZI5" s="37"/>
      <c r="PZJ5" s="37"/>
      <c r="PZK5" s="37"/>
      <c r="PZL5" s="37"/>
      <c r="PZM5" s="37"/>
      <c r="PZN5" s="37"/>
      <c r="PZO5" s="37"/>
      <c r="PZP5" s="37"/>
      <c r="PZQ5" s="37"/>
      <c r="PZR5" s="37"/>
      <c r="PZS5" s="37"/>
      <c r="PZT5" s="37"/>
      <c r="PZU5" s="37"/>
      <c r="PZV5" s="37"/>
      <c r="PZW5" s="37"/>
      <c r="PZX5" s="37"/>
      <c r="PZY5" s="37"/>
      <c r="PZZ5" s="37"/>
      <c r="QAA5" s="37"/>
      <c r="QAB5" s="37"/>
      <c r="QAC5" s="37"/>
      <c r="QAD5" s="37"/>
      <c r="QAE5" s="37"/>
      <c r="QAF5" s="37"/>
      <c r="QAG5" s="37"/>
      <c r="QAH5" s="37"/>
      <c r="QAI5" s="37"/>
      <c r="QAJ5" s="37"/>
      <c r="QAK5" s="37"/>
      <c r="QAL5" s="37"/>
      <c r="QAM5" s="37"/>
      <c r="QAN5" s="37"/>
      <c r="QAO5" s="37"/>
      <c r="QAP5" s="37"/>
      <c r="QAQ5" s="37"/>
      <c r="QAR5" s="37"/>
      <c r="QAS5" s="37"/>
      <c r="QAT5" s="37"/>
      <c r="QAU5" s="37"/>
      <c r="QAV5" s="37"/>
      <c r="QAW5" s="37"/>
      <c r="QAX5" s="37"/>
      <c r="QAY5" s="37"/>
      <c r="QAZ5" s="37"/>
      <c r="QBA5" s="37"/>
      <c r="QBB5" s="37"/>
      <c r="QBC5" s="37"/>
      <c r="QBD5" s="37"/>
      <c r="QBE5" s="37"/>
      <c r="QBF5" s="37"/>
      <c r="QBG5" s="37"/>
      <c r="QBH5" s="37"/>
      <c r="QBI5" s="37"/>
      <c r="QBJ5" s="37"/>
      <c r="QBK5" s="37"/>
      <c r="QBL5" s="37"/>
      <c r="QBM5" s="37"/>
      <c r="QBN5" s="37"/>
      <c r="QBO5" s="37"/>
      <c r="QBP5" s="37"/>
      <c r="QBQ5" s="37"/>
      <c r="QBR5" s="37"/>
      <c r="QBS5" s="37"/>
      <c r="QBT5" s="37"/>
      <c r="QBU5" s="37"/>
      <c r="QBV5" s="37"/>
      <c r="QBW5" s="37"/>
      <c r="QBX5" s="37"/>
      <c r="QBY5" s="37"/>
      <c r="QBZ5" s="37"/>
      <c r="QCA5" s="37"/>
      <c r="QCB5" s="37"/>
      <c r="QCC5" s="37"/>
      <c r="QCD5" s="37"/>
      <c r="QCE5" s="37"/>
      <c r="QCF5" s="37"/>
      <c r="QCG5" s="37"/>
      <c r="QCH5" s="37"/>
      <c r="QCI5" s="37"/>
      <c r="QCJ5" s="37"/>
      <c r="QCK5" s="37"/>
      <c r="QCL5" s="37"/>
      <c r="QCM5" s="37"/>
      <c r="QCN5" s="37"/>
      <c r="QCO5" s="37"/>
      <c r="QCP5" s="37"/>
      <c r="QCQ5" s="37"/>
      <c r="QCR5" s="37"/>
      <c r="QCS5" s="37"/>
      <c r="QCT5" s="37"/>
      <c r="QCU5" s="37"/>
      <c r="QCV5" s="37"/>
      <c r="QCW5" s="37"/>
      <c r="QCX5" s="37"/>
      <c r="QCY5" s="37"/>
      <c r="QCZ5" s="37"/>
      <c r="QDA5" s="37"/>
      <c r="QDB5" s="37"/>
      <c r="QDC5" s="37"/>
      <c r="QDD5" s="37"/>
      <c r="QDE5" s="37"/>
      <c r="QDF5" s="37"/>
      <c r="QDG5" s="37"/>
      <c r="QDH5" s="37"/>
      <c r="QDI5" s="37"/>
      <c r="QDJ5" s="37"/>
      <c r="QDK5" s="37"/>
      <c r="QDL5" s="37"/>
      <c r="QDM5" s="37"/>
      <c r="QDN5" s="37"/>
      <c r="QDO5" s="37"/>
      <c r="QDP5" s="37"/>
      <c r="QDQ5" s="37"/>
      <c r="QDR5" s="37"/>
      <c r="QDS5" s="37"/>
      <c r="QDT5" s="37"/>
      <c r="QDU5" s="37"/>
      <c r="QDV5" s="37"/>
      <c r="QDW5" s="37"/>
      <c r="QDX5" s="37"/>
      <c r="QDY5" s="37"/>
      <c r="QDZ5" s="37"/>
      <c r="QEA5" s="37"/>
      <c r="QEB5" s="37"/>
      <c r="QEC5" s="37"/>
      <c r="QED5" s="37"/>
      <c r="QEE5" s="37"/>
      <c r="QEF5" s="37"/>
      <c r="QEG5" s="37"/>
      <c r="QEH5" s="37"/>
      <c r="QEI5" s="37"/>
      <c r="QEJ5" s="37"/>
      <c r="QEK5" s="37"/>
      <c r="QEL5" s="37"/>
      <c r="QEM5" s="37"/>
      <c r="QEN5" s="37"/>
      <c r="QEO5" s="37"/>
      <c r="QEP5" s="37"/>
      <c r="QEQ5" s="37"/>
      <c r="QER5" s="37"/>
      <c r="QES5" s="37"/>
      <c r="QET5" s="37"/>
      <c r="QEU5" s="37"/>
      <c r="QEV5" s="37"/>
      <c r="QEW5" s="37"/>
      <c r="QEX5" s="37"/>
      <c r="QEY5" s="37"/>
      <c r="QEZ5" s="37"/>
      <c r="QFA5" s="37"/>
      <c r="QFB5" s="37"/>
      <c r="QFC5" s="37"/>
      <c r="QFD5" s="37"/>
      <c r="QFE5" s="37"/>
      <c r="QFF5" s="37"/>
      <c r="QFG5" s="37"/>
      <c r="QFH5" s="37"/>
      <c r="QFI5" s="37"/>
      <c r="QFJ5" s="37"/>
      <c r="QFK5" s="37"/>
      <c r="QFL5" s="37"/>
      <c r="QFM5" s="37"/>
      <c r="QFN5" s="37"/>
      <c r="QFO5" s="37"/>
      <c r="QFP5" s="37"/>
      <c r="QFQ5" s="37"/>
      <c r="QFR5" s="37"/>
      <c r="QFS5" s="37"/>
      <c r="QFT5" s="37"/>
      <c r="QFU5" s="37"/>
      <c r="QFV5" s="37"/>
      <c r="QFW5" s="37"/>
      <c r="QFX5" s="37"/>
      <c r="QFY5" s="37"/>
      <c r="QFZ5" s="37"/>
      <c r="QGA5" s="37"/>
      <c r="QGB5" s="37"/>
      <c r="QGC5" s="37"/>
      <c r="QGD5" s="37"/>
      <c r="QGE5" s="37"/>
      <c r="QGF5" s="37"/>
      <c r="QGG5" s="37"/>
      <c r="QGH5" s="37"/>
      <c r="QGI5" s="37"/>
      <c r="QGJ5" s="37"/>
      <c r="QGK5" s="37"/>
      <c r="QGL5" s="37"/>
      <c r="QGM5" s="37"/>
      <c r="QGN5" s="37"/>
      <c r="QGO5" s="37"/>
      <c r="QGP5" s="37"/>
      <c r="QGQ5" s="37"/>
      <c r="QGR5" s="37"/>
      <c r="QGS5" s="37"/>
      <c r="QGT5" s="37"/>
      <c r="QGU5" s="37"/>
      <c r="QGV5" s="37"/>
      <c r="QGW5" s="37"/>
      <c r="QGX5" s="37"/>
      <c r="QGY5" s="37"/>
      <c r="QGZ5" s="37"/>
      <c r="QHA5" s="37"/>
      <c r="QHB5" s="37"/>
      <c r="QHC5" s="37"/>
      <c r="QHD5" s="37"/>
      <c r="QHE5" s="37"/>
      <c r="QHF5" s="37"/>
      <c r="QHG5" s="37"/>
      <c r="QHH5" s="37"/>
      <c r="QHI5" s="37"/>
      <c r="QHJ5" s="37"/>
      <c r="QHK5" s="37"/>
      <c r="QHL5" s="37"/>
      <c r="QHM5" s="37"/>
      <c r="QHN5" s="37"/>
      <c r="QHO5" s="37"/>
      <c r="QHP5" s="37"/>
      <c r="QHQ5" s="37"/>
      <c r="QHR5" s="37"/>
      <c r="QHS5" s="37"/>
      <c r="QHT5" s="37"/>
      <c r="QHU5" s="37"/>
      <c r="QHV5" s="37"/>
      <c r="QHW5" s="37"/>
      <c r="QHX5" s="37"/>
      <c r="QHY5" s="37"/>
      <c r="QHZ5" s="37"/>
      <c r="QIA5" s="37"/>
      <c r="QIB5" s="37"/>
      <c r="QIC5" s="37"/>
      <c r="QID5" s="37"/>
      <c r="QIE5" s="37"/>
      <c r="QIF5" s="37"/>
      <c r="QIG5" s="37"/>
      <c r="QIH5" s="37"/>
      <c r="QII5" s="37"/>
      <c r="QIJ5" s="37"/>
      <c r="QIK5" s="37"/>
      <c r="QIL5" s="37"/>
      <c r="QIM5" s="37"/>
      <c r="QIN5" s="37"/>
      <c r="QIO5" s="37"/>
      <c r="QIP5" s="37"/>
      <c r="QIQ5" s="37"/>
      <c r="QIR5" s="37"/>
      <c r="QIS5" s="37"/>
      <c r="QIT5" s="37"/>
      <c r="QIU5" s="37"/>
      <c r="QIV5" s="37"/>
      <c r="QIW5" s="37"/>
      <c r="QIX5" s="37"/>
      <c r="QIY5" s="37"/>
      <c r="QIZ5" s="37"/>
      <c r="QJA5" s="37"/>
      <c r="QJB5" s="37"/>
      <c r="QJC5" s="37"/>
      <c r="QJD5" s="37"/>
      <c r="QJE5" s="37"/>
      <c r="QJF5" s="37"/>
      <c r="QJG5" s="37"/>
      <c r="QJH5" s="37"/>
      <c r="QJI5" s="37"/>
      <c r="QJJ5" s="37"/>
      <c r="QJK5" s="37"/>
      <c r="QJL5" s="37"/>
      <c r="QJM5" s="37"/>
      <c r="QJN5" s="37"/>
      <c r="QJO5" s="37"/>
      <c r="QJP5" s="37"/>
      <c r="QJQ5" s="37"/>
      <c r="QJR5" s="37"/>
      <c r="QJS5" s="37"/>
      <c r="QJT5" s="37"/>
      <c r="QJU5" s="37"/>
      <c r="QJV5" s="37"/>
      <c r="QJW5" s="37"/>
      <c r="QJX5" s="37"/>
      <c r="QJY5" s="37"/>
      <c r="QJZ5" s="37"/>
      <c r="QKA5" s="37"/>
      <c r="QKB5" s="37"/>
      <c r="QKC5" s="37"/>
      <c r="QKD5" s="37"/>
      <c r="QKE5" s="37"/>
      <c r="QKF5" s="37"/>
      <c r="QKG5" s="37"/>
      <c r="QKH5" s="37"/>
      <c r="QKI5" s="37"/>
      <c r="QKJ5" s="37"/>
      <c r="QKK5" s="37"/>
      <c r="QKL5" s="37"/>
      <c r="QKM5" s="37"/>
      <c r="QKN5" s="37"/>
      <c r="QKO5" s="37"/>
      <c r="QKP5" s="37"/>
      <c r="QKQ5" s="37"/>
      <c r="QKR5" s="37"/>
      <c r="QKS5" s="37"/>
      <c r="QKT5" s="37"/>
      <c r="QKU5" s="37"/>
      <c r="QKV5" s="37"/>
      <c r="QKW5" s="37"/>
      <c r="QKX5" s="37"/>
      <c r="QKY5" s="37"/>
      <c r="QKZ5" s="37"/>
      <c r="QLA5" s="37"/>
      <c r="QLB5" s="37"/>
      <c r="QLC5" s="37"/>
      <c r="QLD5" s="37"/>
      <c r="QLE5" s="37"/>
      <c r="QLF5" s="37"/>
      <c r="QLG5" s="37"/>
      <c r="QLH5" s="37"/>
      <c r="QLI5" s="37"/>
      <c r="QLJ5" s="37"/>
      <c r="QLK5" s="37"/>
      <c r="QLL5" s="37"/>
      <c r="QLM5" s="37"/>
      <c r="QLN5" s="37"/>
      <c r="QLO5" s="37"/>
      <c r="QLP5" s="37"/>
      <c r="QLQ5" s="37"/>
      <c r="QLR5" s="37"/>
      <c r="QLS5" s="37"/>
      <c r="QLT5" s="37"/>
      <c r="QLU5" s="37"/>
      <c r="QLV5" s="37"/>
      <c r="QLW5" s="37"/>
      <c r="QLX5" s="37"/>
      <c r="QLY5" s="37"/>
      <c r="QLZ5" s="37"/>
      <c r="QMA5" s="37"/>
      <c r="QMB5" s="37"/>
      <c r="QMC5" s="37"/>
      <c r="QMD5" s="37"/>
      <c r="QME5" s="37"/>
      <c r="QMF5" s="37"/>
      <c r="QMG5" s="37"/>
      <c r="QMH5" s="37"/>
      <c r="QMI5" s="37"/>
      <c r="QMJ5" s="37"/>
      <c r="QMK5" s="37"/>
      <c r="QML5" s="37"/>
      <c r="QMM5" s="37"/>
      <c r="QMN5" s="37"/>
      <c r="QMO5" s="37"/>
      <c r="QMP5" s="37"/>
      <c r="QMQ5" s="37"/>
      <c r="QMR5" s="37"/>
      <c r="QMS5" s="37"/>
      <c r="QMT5" s="37"/>
      <c r="QMU5" s="37"/>
      <c r="QMV5" s="37"/>
      <c r="QMW5" s="37"/>
      <c r="QMX5" s="37"/>
      <c r="QMY5" s="37"/>
      <c r="QMZ5" s="37"/>
      <c r="QNA5" s="37"/>
      <c r="QNB5" s="37"/>
      <c r="QNC5" s="37"/>
      <c r="QND5" s="37"/>
      <c r="QNE5" s="37"/>
      <c r="QNF5" s="37"/>
      <c r="QNG5" s="37"/>
      <c r="QNH5" s="37"/>
      <c r="QNI5" s="37"/>
      <c r="QNJ5" s="37"/>
      <c r="QNK5" s="37"/>
      <c r="QNL5" s="37"/>
      <c r="QNM5" s="37"/>
      <c r="QNN5" s="37"/>
      <c r="QNO5" s="37"/>
      <c r="QNP5" s="37"/>
      <c r="QNQ5" s="37"/>
      <c r="QNR5" s="37"/>
      <c r="QNS5" s="37"/>
      <c r="QNT5" s="37"/>
      <c r="QNU5" s="37"/>
      <c r="QNV5" s="37"/>
      <c r="QNW5" s="37"/>
      <c r="QNX5" s="37"/>
      <c r="QNY5" s="37"/>
      <c r="QNZ5" s="37"/>
      <c r="QOA5" s="37"/>
      <c r="QOB5" s="37"/>
      <c r="QOC5" s="37"/>
      <c r="QOD5" s="37"/>
      <c r="QOE5" s="37"/>
      <c r="QOF5" s="37"/>
      <c r="QOG5" s="37"/>
      <c r="QOH5" s="37"/>
      <c r="QOI5" s="37"/>
      <c r="QOJ5" s="37"/>
      <c r="QOK5" s="37"/>
      <c r="QOL5" s="37"/>
      <c r="QOM5" s="37"/>
      <c r="QON5" s="37"/>
      <c r="QOO5" s="37"/>
      <c r="QOP5" s="37"/>
      <c r="QOQ5" s="37"/>
      <c r="QOR5" s="37"/>
      <c r="QOS5" s="37"/>
      <c r="QOT5" s="37"/>
      <c r="QOU5" s="37"/>
      <c r="QOV5" s="37"/>
      <c r="QOW5" s="37"/>
      <c r="QOX5" s="37"/>
      <c r="QOY5" s="37"/>
      <c r="QOZ5" s="37"/>
      <c r="QPA5" s="37"/>
      <c r="QPB5" s="37"/>
      <c r="QPC5" s="37"/>
      <c r="QPD5" s="37"/>
      <c r="QPE5" s="37"/>
      <c r="QPF5" s="37"/>
      <c r="QPG5" s="37"/>
      <c r="QPH5" s="37"/>
      <c r="QPI5" s="37"/>
      <c r="QPJ5" s="37"/>
      <c r="QPK5" s="37"/>
      <c r="QPL5" s="37"/>
      <c r="QPM5" s="37"/>
      <c r="QPN5" s="37"/>
      <c r="QPO5" s="37"/>
      <c r="QPP5" s="37"/>
      <c r="QPQ5" s="37"/>
      <c r="QPR5" s="37"/>
      <c r="QPS5" s="37"/>
      <c r="QPT5" s="37"/>
      <c r="QPU5" s="37"/>
      <c r="QPV5" s="37"/>
      <c r="QPW5" s="37"/>
      <c r="QPX5" s="37"/>
      <c r="QPY5" s="37"/>
      <c r="QPZ5" s="37"/>
      <c r="QQA5" s="37"/>
      <c r="QQB5" s="37"/>
      <c r="QQC5" s="37"/>
      <c r="QQD5" s="37"/>
      <c r="QQE5" s="37"/>
      <c r="QQF5" s="37"/>
      <c r="QQG5" s="37"/>
      <c r="QQH5" s="37"/>
      <c r="QQI5" s="37"/>
      <c r="QQJ5" s="37"/>
      <c r="QQK5" s="37"/>
      <c r="QQL5" s="37"/>
      <c r="QQM5" s="37"/>
      <c r="QQN5" s="37"/>
      <c r="QQO5" s="37"/>
      <c r="QQP5" s="37"/>
      <c r="QQQ5" s="37"/>
      <c r="QQR5" s="37"/>
      <c r="QQS5" s="37"/>
      <c r="QQT5" s="37"/>
      <c r="QQU5" s="37"/>
      <c r="QQV5" s="37"/>
      <c r="QQW5" s="37"/>
      <c r="QQX5" s="37"/>
      <c r="QQY5" s="37"/>
      <c r="QQZ5" s="37"/>
      <c r="QRA5" s="37"/>
      <c r="QRB5" s="37"/>
      <c r="QRC5" s="37"/>
      <c r="QRD5" s="37"/>
      <c r="QRE5" s="37"/>
      <c r="QRF5" s="37"/>
      <c r="QRG5" s="37"/>
      <c r="QRH5" s="37"/>
      <c r="QRI5" s="37"/>
      <c r="QRJ5" s="37"/>
      <c r="QRK5" s="37"/>
      <c r="QRL5" s="37"/>
      <c r="QRM5" s="37"/>
      <c r="QRN5" s="37"/>
      <c r="QRO5" s="37"/>
      <c r="QRP5" s="37"/>
      <c r="QRQ5" s="37"/>
      <c r="QRR5" s="37"/>
      <c r="QRS5" s="37"/>
      <c r="QRT5" s="37"/>
      <c r="QRU5" s="37"/>
      <c r="QRV5" s="37"/>
      <c r="QRW5" s="37"/>
      <c r="QRX5" s="37"/>
      <c r="QRY5" s="37"/>
      <c r="QRZ5" s="37"/>
      <c r="QSA5" s="37"/>
      <c r="QSB5" s="37"/>
      <c r="QSC5" s="37"/>
      <c r="QSD5" s="37"/>
      <c r="QSE5" s="37"/>
      <c r="QSF5" s="37"/>
      <c r="QSG5" s="37"/>
      <c r="QSH5" s="37"/>
      <c r="QSI5" s="37"/>
      <c r="QSJ5" s="37"/>
      <c r="QSK5" s="37"/>
      <c r="QSL5" s="37"/>
      <c r="QSM5" s="37"/>
      <c r="QSN5" s="37"/>
      <c r="QSO5" s="37"/>
      <c r="QSP5" s="37"/>
      <c r="QSQ5" s="37"/>
      <c r="QSR5" s="37"/>
      <c r="QSS5" s="37"/>
      <c r="QST5" s="37"/>
      <c r="QSU5" s="37"/>
      <c r="QSV5" s="37"/>
      <c r="QSW5" s="37"/>
      <c r="QSX5" s="37"/>
      <c r="QSY5" s="37"/>
      <c r="QSZ5" s="37"/>
      <c r="QTA5" s="37"/>
      <c r="QTB5" s="37"/>
      <c r="QTC5" s="37"/>
      <c r="QTD5" s="37"/>
      <c r="QTE5" s="37"/>
      <c r="QTF5" s="37"/>
      <c r="QTG5" s="37"/>
      <c r="QTH5" s="37"/>
      <c r="QTI5" s="37"/>
      <c r="QTJ5" s="37"/>
      <c r="QTK5" s="37"/>
      <c r="QTL5" s="37"/>
      <c r="QTM5" s="37"/>
      <c r="QTN5" s="37"/>
      <c r="QTO5" s="37"/>
      <c r="QTP5" s="37"/>
      <c r="QTQ5" s="37"/>
      <c r="QTR5" s="37"/>
      <c r="QTS5" s="37"/>
      <c r="QTT5" s="37"/>
      <c r="QTU5" s="37"/>
      <c r="QTV5" s="37"/>
      <c r="QTW5" s="37"/>
      <c r="QTX5" s="37"/>
      <c r="QTY5" s="37"/>
      <c r="QTZ5" s="37"/>
      <c r="QUA5" s="37"/>
      <c r="QUB5" s="37"/>
      <c r="QUC5" s="37"/>
      <c r="QUD5" s="37"/>
      <c r="QUE5" s="37"/>
      <c r="QUF5" s="37"/>
      <c r="QUG5" s="37"/>
      <c r="QUH5" s="37"/>
      <c r="QUI5" s="37"/>
      <c r="QUJ5" s="37"/>
      <c r="QUK5" s="37"/>
      <c r="QUL5" s="37"/>
      <c r="QUM5" s="37"/>
      <c r="QUN5" s="37"/>
      <c r="QUO5" s="37"/>
      <c r="QUP5" s="37"/>
      <c r="QUQ5" s="37"/>
      <c r="QUR5" s="37"/>
      <c r="QUS5" s="37"/>
      <c r="QUT5" s="37"/>
      <c r="QUU5" s="37"/>
      <c r="QUV5" s="37"/>
      <c r="QUW5" s="37"/>
      <c r="QUX5" s="37"/>
      <c r="QUY5" s="37"/>
      <c r="QUZ5" s="37"/>
      <c r="QVA5" s="37"/>
      <c r="QVB5" s="37"/>
      <c r="QVC5" s="37"/>
      <c r="QVD5" s="37"/>
      <c r="QVE5" s="37"/>
      <c r="QVF5" s="37"/>
      <c r="QVG5" s="37"/>
      <c r="QVH5" s="37"/>
      <c r="QVI5" s="37"/>
      <c r="QVJ5" s="37"/>
      <c r="QVK5" s="37"/>
      <c r="QVL5" s="37"/>
      <c r="QVM5" s="37"/>
      <c r="QVN5" s="37"/>
      <c r="QVO5" s="37"/>
      <c r="QVP5" s="37"/>
      <c r="QVQ5" s="37"/>
      <c r="QVR5" s="37"/>
      <c r="QVS5" s="37"/>
      <c r="QVT5" s="37"/>
      <c r="QVU5" s="37"/>
      <c r="QVV5" s="37"/>
      <c r="QVW5" s="37"/>
      <c r="QVX5" s="37"/>
      <c r="QVY5" s="37"/>
      <c r="QVZ5" s="37"/>
      <c r="QWA5" s="37"/>
      <c r="QWB5" s="37"/>
      <c r="QWC5" s="37"/>
      <c r="QWD5" s="37"/>
      <c r="QWE5" s="37"/>
      <c r="QWF5" s="37"/>
      <c r="QWG5" s="37"/>
      <c r="QWH5" s="37"/>
      <c r="QWI5" s="37"/>
      <c r="QWJ5" s="37"/>
      <c r="QWK5" s="37"/>
      <c r="QWL5" s="37"/>
      <c r="QWM5" s="37"/>
      <c r="QWN5" s="37"/>
      <c r="QWO5" s="37"/>
      <c r="QWP5" s="37"/>
      <c r="QWQ5" s="37"/>
      <c r="QWR5" s="37"/>
      <c r="QWS5" s="37"/>
      <c r="QWT5" s="37"/>
      <c r="QWU5" s="37"/>
      <c r="QWV5" s="37"/>
      <c r="QWW5" s="37"/>
      <c r="QWX5" s="37"/>
      <c r="QWY5" s="37"/>
      <c r="QWZ5" s="37"/>
      <c r="QXA5" s="37"/>
      <c r="QXB5" s="37"/>
      <c r="QXC5" s="37"/>
      <c r="QXD5" s="37"/>
      <c r="QXE5" s="37"/>
      <c r="QXF5" s="37"/>
      <c r="QXG5" s="37"/>
      <c r="QXH5" s="37"/>
      <c r="QXI5" s="37"/>
      <c r="QXJ5" s="37"/>
      <c r="QXK5" s="37"/>
      <c r="QXL5" s="37"/>
      <c r="QXM5" s="37"/>
      <c r="QXN5" s="37"/>
      <c r="QXO5" s="37"/>
      <c r="QXP5" s="37"/>
      <c r="QXQ5" s="37"/>
      <c r="QXR5" s="37"/>
      <c r="QXS5" s="37"/>
      <c r="QXT5" s="37"/>
      <c r="QXU5" s="37"/>
      <c r="QXV5" s="37"/>
      <c r="QXW5" s="37"/>
      <c r="QXX5" s="37"/>
      <c r="QXY5" s="37"/>
      <c r="QXZ5" s="37"/>
      <c r="QYA5" s="37"/>
      <c r="QYB5" s="37"/>
      <c r="QYC5" s="37"/>
      <c r="QYD5" s="37"/>
      <c r="QYE5" s="37"/>
      <c r="QYF5" s="37"/>
      <c r="QYG5" s="37"/>
      <c r="QYH5" s="37"/>
      <c r="QYI5" s="37"/>
      <c r="QYJ5" s="37"/>
      <c r="QYK5" s="37"/>
      <c r="QYL5" s="37"/>
      <c r="QYM5" s="37"/>
      <c r="QYN5" s="37"/>
      <c r="QYO5" s="37"/>
      <c r="QYP5" s="37"/>
      <c r="QYQ5" s="37"/>
      <c r="QYR5" s="37"/>
      <c r="QYS5" s="37"/>
      <c r="QYT5" s="37"/>
      <c r="QYU5" s="37"/>
      <c r="QYV5" s="37"/>
      <c r="QYW5" s="37"/>
      <c r="QYX5" s="37"/>
      <c r="QYY5" s="37"/>
      <c r="QYZ5" s="37"/>
      <c r="QZA5" s="37"/>
      <c r="QZB5" s="37"/>
      <c r="QZC5" s="37"/>
      <c r="QZD5" s="37"/>
      <c r="QZE5" s="37"/>
      <c r="QZF5" s="37"/>
      <c r="QZG5" s="37"/>
      <c r="QZH5" s="37"/>
      <c r="QZI5" s="37"/>
      <c r="QZJ5" s="37"/>
      <c r="QZK5" s="37"/>
      <c r="QZL5" s="37"/>
      <c r="QZM5" s="37"/>
      <c r="QZN5" s="37"/>
      <c r="QZO5" s="37"/>
      <c r="QZP5" s="37"/>
      <c r="QZQ5" s="37"/>
      <c r="QZR5" s="37"/>
      <c r="QZS5" s="37"/>
      <c r="QZT5" s="37"/>
      <c r="QZU5" s="37"/>
      <c r="QZV5" s="37"/>
      <c r="QZW5" s="37"/>
      <c r="QZX5" s="37"/>
      <c r="QZY5" s="37"/>
      <c r="QZZ5" s="37"/>
      <c r="RAA5" s="37"/>
      <c r="RAB5" s="37"/>
      <c r="RAC5" s="37"/>
      <c r="RAD5" s="37"/>
      <c r="RAE5" s="37"/>
      <c r="RAF5" s="37"/>
      <c r="RAG5" s="37"/>
      <c r="RAH5" s="37"/>
      <c r="RAI5" s="37"/>
      <c r="RAJ5" s="37"/>
      <c r="RAK5" s="37"/>
      <c r="RAL5" s="37"/>
      <c r="RAM5" s="37"/>
      <c r="RAN5" s="37"/>
      <c r="RAO5" s="37"/>
      <c r="RAP5" s="37"/>
      <c r="RAQ5" s="37"/>
      <c r="RAR5" s="37"/>
      <c r="RAS5" s="37"/>
      <c r="RAT5" s="37"/>
      <c r="RAU5" s="37"/>
      <c r="RAV5" s="37"/>
      <c r="RAW5" s="37"/>
      <c r="RAX5" s="37"/>
      <c r="RAY5" s="37"/>
      <c r="RAZ5" s="37"/>
      <c r="RBA5" s="37"/>
      <c r="RBB5" s="37"/>
      <c r="RBC5" s="37"/>
      <c r="RBD5" s="37"/>
      <c r="RBE5" s="37"/>
      <c r="RBF5" s="37"/>
      <c r="RBG5" s="37"/>
      <c r="RBH5" s="37"/>
      <c r="RBI5" s="37"/>
      <c r="RBJ5" s="37"/>
      <c r="RBK5" s="37"/>
      <c r="RBL5" s="37"/>
      <c r="RBM5" s="37"/>
      <c r="RBN5" s="37"/>
      <c r="RBO5" s="37"/>
      <c r="RBP5" s="37"/>
      <c r="RBQ5" s="37"/>
      <c r="RBR5" s="37"/>
      <c r="RBS5" s="37"/>
      <c r="RBT5" s="37"/>
      <c r="RBU5" s="37"/>
      <c r="RBV5" s="37"/>
      <c r="RBW5" s="37"/>
      <c r="RBX5" s="37"/>
      <c r="RBY5" s="37"/>
      <c r="RBZ5" s="37"/>
      <c r="RCA5" s="37"/>
      <c r="RCB5" s="37"/>
      <c r="RCC5" s="37"/>
      <c r="RCD5" s="37"/>
      <c r="RCE5" s="37"/>
      <c r="RCF5" s="37"/>
      <c r="RCG5" s="37"/>
      <c r="RCH5" s="37"/>
      <c r="RCI5" s="37"/>
      <c r="RCJ5" s="37"/>
      <c r="RCK5" s="37"/>
      <c r="RCL5" s="37"/>
      <c r="RCM5" s="37"/>
      <c r="RCN5" s="37"/>
      <c r="RCO5" s="37"/>
      <c r="RCP5" s="37"/>
      <c r="RCQ5" s="37"/>
      <c r="RCR5" s="37"/>
      <c r="RCS5" s="37"/>
      <c r="RCT5" s="37"/>
      <c r="RCU5" s="37"/>
      <c r="RCV5" s="37"/>
      <c r="RCW5" s="37"/>
      <c r="RCX5" s="37"/>
      <c r="RCY5" s="37"/>
      <c r="RCZ5" s="37"/>
      <c r="RDA5" s="37"/>
      <c r="RDB5" s="37"/>
      <c r="RDC5" s="37"/>
      <c r="RDD5" s="37"/>
      <c r="RDE5" s="37"/>
      <c r="RDF5" s="37"/>
      <c r="RDG5" s="37"/>
      <c r="RDH5" s="37"/>
      <c r="RDI5" s="37"/>
      <c r="RDJ5" s="37"/>
      <c r="RDK5" s="37"/>
      <c r="RDL5" s="37"/>
      <c r="RDM5" s="37"/>
      <c r="RDN5" s="37"/>
      <c r="RDO5" s="37"/>
      <c r="RDP5" s="37"/>
      <c r="RDQ5" s="37"/>
      <c r="RDR5" s="37"/>
      <c r="RDS5" s="37"/>
      <c r="RDT5" s="37"/>
      <c r="RDU5" s="37"/>
      <c r="RDV5" s="37"/>
      <c r="RDW5" s="37"/>
      <c r="RDX5" s="37"/>
      <c r="RDY5" s="37"/>
      <c r="RDZ5" s="37"/>
      <c r="REA5" s="37"/>
      <c r="REB5" s="37"/>
      <c r="REC5" s="37"/>
      <c r="RED5" s="37"/>
      <c r="REE5" s="37"/>
      <c r="REF5" s="37"/>
      <c r="REG5" s="37"/>
      <c r="REH5" s="37"/>
      <c r="REI5" s="37"/>
      <c r="REJ5" s="37"/>
      <c r="REK5" s="37"/>
      <c r="REL5" s="37"/>
      <c r="REM5" s="37"/>
      <c r="REN5" s="37"/>
      <c r="REO5" s="37"/>
      <c r="REP5" s="37"/>
      <c r="REQ5" s="37"/>
      <c r="RER5" s="37"/>
      <c r="RES5" s="37"/>
      <c r="RET5" s="37"/>
      <c r="REU5" s="37"/>
      <c r="REV5" s="37"/>
      <c r="REW5" s="37"/>
      <c r="REX5" s="37"/>
      <c r="REY5" s="37"/>
      <c r="REZ5" s="37"/>
      <c r="RFA5" s="37"/>
      <c r="RFB5" s="37"/>
      <c r="RFC5" s="37"/>
      <c r="RFD5" s="37"/>
      <c r="RFE5" s="37"/>
      <c r="RFF5" s="37"/>
      <c r="RFG5" s="37"/>
      <c r="RFH5" s="37"/>
      <c r="RFI5" s="37"/>
      <c r="RFJ5" s="37"/>
      <c r="RFK5" s="37"/>
      <c r="RFL5" s="37"/>
      <c r="RFM5" s="37"/>
      <c r="RFN5" s="37"/>
      <c r="RFO5" s="37"/>
      <c r="RFP5" s="37"/>
      <c r="RFQ5" s="37"/>
      <c r="RFR5" s="37"/>
      <c r="RFS5" s="37"/>
      <c r="RFT5" s="37"/>
      <c r="RFU5" s="37"/>
      <c r="RFV5" s="37"/>
      <c r="RFW5" s="37"/>
      <c r="RFX5" s="37"/>
      <c r="RFY5" s="37"/>
      <c r="RFZ5" s="37"/>
      <c r="RGA5" s="37"/>
      <c r="RGB5" s="37"/>
      <c r="RGC5" s="37"/>
      <c r="RGD5" s="37"/>
      <c r="RGE5" s="37"/>
      <c r="RGF5" s="37"/>
      <c r="RGG5" s="37"/>
      <c r="RGH5" s="37"/>
      <c r="RGI5" s="37"/>
      <c r="RGJ5" s="37"/>
      <c r="RGK5" s="37"/>
      <c r="RGL5" s="37"/>
      <c r="RGM5" s="37"/>
      <c r="RGN5" s="37"/>
      <c r="RGO5" s="37"/>
      <c r="RGP5" s="37"/>
      <c r="RGQ5" s="37"/>
      <c r="RGR5" s="37"/>
      <c r="RGS5" s="37"/>
      <c r="RGT5" s="37"/>
      <c r="RGU5" s="37"/>
      <c r="RGV5" s="37"/>
      <c r="RGW5" s="37"/>
      <c r="RGX5" s="37"/>
      <c r="RGY5" s="37"/>
      <c r="RGZ5" s="37"/>
      <c r="RHA5" s="37"/>
      <c r="RHB5" s="37"/>
      <c r="RHC5" s="37"/>
      <c r="RHD5" s="37"/>
      <c r="RHE5" s="37"/>
      <c r="RHF5" s="37"/>
      <c r="RHG5" s="37"/>
      <c r="RHH5" s="37"/>
      <c r="RHI5" s="37"/>
      <c r="RHJ5" s="37"/>
      <c r="RHK5" s="37"/>
      <c r="RHL5" s="37"/>
      <c r="RHM5" s="37"/>
      <c r="RHN5" s="37"/>
      <c r="RHO5" s="37"/>
      <c r="RHP5" s="37"/>
      <c r="RHQ5" s="37"/>
      <c r="RHR5" s="37"/>
      <c r="RHS5" s="37"/>
      <c r="RHT5" s="37"/>
      <c r="RHU5" s="37"/>
      <c r="RHV5" s="37"/>
      <c r="RHW5" s="37"/>
      <c r="RHX5" s="37"/>
      <c r="RHY5" s="37"/>
      <c r="RHZ5" s="37"/>
      <c r="RIA5" s="37"/>
      <c r="RIB5" s="37"/>
      <c r="RIC5" s="37"/>
      <c r="RID5" s="37"/>
      <c r="RIE5" s="37"/>
      <c r="RIF5" s="37"/>
      <c r="RIG5" s="37"/>
      <c r="RIH5" s="37"/>
      <c r="RII5" s="37"/>
      <c r="RIJ5" s="37"/>
      <c r="RIK5" s="37"/>
      <c r="RIL5" s="37"/>
      <c r="RIM5" s="37"/>
      <c r="RIN5" s="37"/>
      <c r="RIO5" s="37"/>
      <c r="RIP5" s="37"/>
      <c r="RIQ5" s="37"/>
      <c r="RIR5" s="37"/>
      <c r="RIS5" s="37"/>
      <c r="RIT5" s="37"/>
      <c r="RIU5" s="37"/>
      <c r="RIV5" s="37"/>
      <c r="RIW5" s="37"/>
      <c r="RIX5" s="37"/>
      <c r="RIY5" s="37"/>
      <c r="RIZ5" s="37"/>
      <c r="RJA5" s="37"/>
      <c r="RJB5" s="37"/>
      <c r="RJC5" s="37"/>
      <c r="RJD5" s="37"/>
      <c r="RJE5" s="37"/>
      <c r="RJF5" s="37"/>
      <c r="RJG5" s="37"/>
      <c r="RJH5" s="37"/>
      <c r="RJI5" s="37"/>
      <c r="RJJ5" s="37"/>
      <c r="RJK5" s="37"/>
      <c r="RJL5" s="37"/>
      <c r="RJM5" s="37"/>
      <c r="RJN5" s="37"/>
      <c r="RJO5" s="37"/>
      <c r="RJP5" s="37"/>
      <c r="RJQ5" s="37"/>
      <c r="RJR5" s="37"/>
      <c r="RJS5" s="37"/>
      <c r="RJT5" s="37"/>
      <c r="RJU5" s="37"/>
      <c r="RJV5" s="37"/>
      <c r="RJW5" s="37"/>
      <c r="RJX5" s="37"/>
      <c r="RJY5" s="37"/>
      <c r="RJZ5" s="37"/>
      <c r="RKA5" s="37"/>
      <c r="RKB5" s="37"/>
      <c r="RKC5" s="37"/>
      <c r="RKD5" s="37"/>
      <c r="RKE5" s="37"/>
      <c r="RKF5" s="37"/>
      <c r="RKG5" s="37"/>
      <c r="RKH5" s="37"/>
      <c r="RKI5" s="37"/>
      <c r="RKJ5" s="37"/>
      <c r="RKK5" s="37"/>
      <c r="RKL5" s="37"/>
      <c r="RKM5" s="37"/>
      <c r="RKN5" s="37"/>
      <c r="RKO5" s="37"/>
      <c r="RKP5" s="37"/>
      <c r="RKQ5" s="37"/>
      <c r="RKR5" s="37"/>
      <c r="RKS5" s="37"/>
      <c r="RKT5" s="37"/>
      <c r="RKU5" s="37"/>
      <c r="RKV5" s="37"/>
      <c r="RKW5" s="37"/>
      <c r="RKX5" s="37"/>
      <c r="RKY5" s="37"/>
      <c r="RKZ5" s="37"/>
      <c r="RLA5" s="37"/>
      <c r="RLB5" s="37"/>
      <c r="RLC5" s="37"/>
      <c r="RLD5" s="37"/>
      <c r="RLE5" s="37"/>
      <c r="RLF5" s="37"/>
      <c r="RLG5" s="37"/>
      <c r="RLH5" s="37"/>
      <c r="RLI5" s="37"/>
      <c r="RLJ5" s="37"/>
      <c r="RLK5" s="37"/>
      <c r="RLL5" s="37"/>
      <c r="RLM5" s="37"/>
      <c r="RLN5" s="37"/>
      <c r="RLO5" s="37"/>
      <c r="RLP5" s="37"/>
      <c r="RLQ5" s="37"/>
      <c r="RLR5" s="37"/>
      <c r="RLS5" s="37"/>
      <c r="RLT5" s="37"/>
      <c r="RLU5" s="37"/>
      <c r="RLV5" s="37"/>
      <c r="RLW5" s="37"/>
      <c r="RLX5" s="37"/>
      <c r="RLY5" s="37"/>
      <c r="RLZ5" s="37"/>
      <c r="RMA5" s="37"/>
      <c r="RMB5" s="37"/>
      <c r="RMC5" s="37"/>
      <c r="RMD5" s="37"/>
      <c r="RME5" s="37"/>
      <c r="RMF5" s="37"/>
      <c r="RMG5" s="37"/>
      <c r="RMH5" s="37"/>
      <c r="RMI5" s="37"/>
      <c r="RMJ5" s="37"/>
      <c r="RMK5" s="37"/>
      <c r="RML5" s="37"/>
      <c r="RMM5" s="37"/>
      <c r="RMN5" s="37"/>
      <c r="RMO5" s="37"/>
      <c r="RMP5" s="37"/>
      <c r="RMQ5" s="37"/>
      <c r="RMR5" s="37"/>
      <c r="RMS5" s="37"/>
      <c r="RMT5" s="37"/>
      <c r="RMU5" s="37"/>
      <c r="RMV5" s="37"/>
      <c r="RMW5" s="37"/>
      <c r="RMX5" s="37"/>
      <c r="RMY5" s="37"/>
      <c r="RMZ5" s="37"/>
      <c r="RNA5" s="37"/>
      <c r="RNB5" s="37"/>
      <c r="RNC5" s="37"/>
      <c r="RND5" s="37"/>
      <c r="RNE5" s="37"/>
      <c r="RNF5" s="37"/>
      <c r="RNG5" s="37"/>
      <c r="RNH5" s="37"/>
      <c r="RNI5" s="37"/>
      <c r="RNJ5" s="37"/>
      <c r="RNK5" s="37"/>
      <c r="RNL5" s="37"/>
      <c r="RNM5" s="37"/>
      <c r="RNN5" s="37"/>
      <c r="RNO5" s="37"/>
      <c r="RNP5" s="37"/>
      <c r="RNQ5" s="37"/>
      <c r="RNR5" s="37"/>
      <c r="RNS5" s="37"/>
      <c r="RNT5" s="37"/>
      <c r="RNU5" s="37"/>
      <c r="RNV5" s="37"/>
      <c r="RNW5" s="37"/>
      <c r="RNX5" s="37"/>
      <c r="RNY5" s="37"/>
      <c r="RNZ5" s="37"/>
      <c r="ROA5" s="37"/>
      <c r="ROB5" s="37"/>
      <c r="ROC5" s="37"/>
      <c r="ROD5" s="37"/>
      <c r="ROE5" s="37"/>
      <c r="ROF5" s="37"/>
      <c r="ROG5" s="37"/>
      <c r="ROH5" s="37"/>
      <c r="ROI5" s="37"/>
      <c r="ROJ5" s="37"/>
      <c r="ROK5" s="37"/>
      <c r="ROL5" s="37"/>
      <c r="ROM5" s="37"/>
      <c r="RON5" s="37"/>
      <c r="ROO5" s="37"/>
      <c r="ROP5" s="37"/>
      <c r="ROQ5" s="37"/>
      <c r="ROR5" s="37"/>
      <c r="ROS5" s="37"/>
      <c r="ROT5" s="37"/>
      <c r="ROU5" s="37"/>
      <c r="ROV5" s="37"/>
      <c r="ROW5" s="37"/>
      <c r="ROX5" s="37"/>
      <c r="ROY5" s="37"/>
      <c r="ROZ5" s="37"/>
      <c r="RPA5" s="37"/>
      <c r="RPB5" s="37"/>
      <c r="RPC5" s="37"/>
      <c r="RPD5" s="37"/>
      <c r="RPE5" s="37"/>
      <c r="RPF5" s="37"/>
      <c r="RPG5" s="37"/>
      <c r="RPH5" s="37"/>
      <c r="RPI5" s="37"/>
      <c r="RPJ5" s="37"/>
      <c r="RPK5" s="37"/>
      <c r="RPL5" s="37"/>
      <c r="RPM5" s="37"/>
      <c r="RPN5" s="37"/>
      <c r="RPO5" s="37"/>
      <c r="RPP5" s="37"/>
      <c r="RPQ5" s="37"/>
      <c r="RPR5" s="37"/>
      <c r="RPS5" s="37"/>
      <c r="RPT5" s="37"/>
      <c r="RPU5" s="37"/>
      <c r="RPV5" s="37"/>
      <c r="RPW5" s="37"/>
      <c r="RPX5" s="37"/>
      <c r="RPY5" s="37"/>
      <c r="RPZ5" s="37"/>
      <c r="RQA5" s="37"/>
      <c r="RQB5" s="37"/>
      <c r="RQC5" s="37"/>
      <c r="RQD5" s="37"/>
      <c r="RQE5" s="37"/>
      <c r="RQF5" s="37"/>
      <c r="RQG5" s="37"/>
      <c r="RQH5" s="37"/>
      <c r="RQI5" s="37"/>
      <c r="RQJ5" s="37"/>
      <c r="RQK5" s="37"/>
      <c r="RQL5" s="37"/>
      <c r="RQM5" s="37"/>
      <c r="RQN5" s="37"/>
      <c r="RQO5" s="37"/>
      <c r="RQP5" s="37"/>
      <c r="RQQ5" s="37"/>
      <c r="RQR5" s="37"/>
      <c r="RQS5" s="37"/>
      <c r="RQT5" s="37"/>
      <c r="RQU5" s="37"/>
      <c r="RQV5" s="37"/>
      <c r="RQW5" s="37"/>
      <c r="RQX5" s="37"/>
      <c r="RQY5" s="37"/>
      <c r="RQZ5" s="37"/>
      <c r="RRA5" s="37"/>
      <c r="RRB5" s="37"/>
      <c r="RRC5" s="37"/>
      <c r="RRD5" s="37"/>
      <c r="RRE5" s="37"/>
      <c r="RRF5" s="37"/>
      <c r="RRG5" s="37"/>
      <c r="RRH5" s="37"/>
      <c r="RRI5" s="37"/>
      <c r="RRJ5" s="37"/>
      <c r="RRK5" s="37"/>
      <c r="RRL5" s="37"/>
      <c r="RRM5" s="37"/>
      <c r="RRN5" s="37"/>
      <c r="RRO5" s="37"/>
      <c r="RRP5" s="37"/>
      <c r="RRQ5" s="37"/>
      <c r="RRR5" s="37"/>
      <c r="RRS5" s="37"/>
      <c r="RRT5" s="37"/>
      <c r="RRU5" s="37"/>
      <c r="RRV5" s="37"/>
      <c r="RRW5" s="37"/>
      <c r="RRX5" s="37"/>
      <c r="RRY5" s="37"/>
      <c r="RRZ5" s="37"/>
      <c r="RSA5" s="37"/>
      <c r="RSB5" s="37"/>
      <c r="RSC5" s="37"/>
      <c r="RSD5" s="37"/>
      <c r="RSE5" s="37"/>
      <c r="RSF5" s="37"/>
      <c r="RSG5" s="37"/>
      <c r="RSH5" s="37"/>
      <c r="RSI5" s="37"/>
      <c r="RSJ5" s="37"/>
      <c r="RSK5" s="37"/>
      <c r="RSL5" s="37"/>
      <c r="RSM5" s="37"/>
      <c r="RSN5" s="37"/>
      <c r="RSO5" s="37"/>
      <c r="RSP5" s="37"/>
      <c r="RSQ5" s="37"/>
      <c r="RSR5" s="37"/>
      <c r="RSS5" s="37"/>
      <c r="RST5" s="37"/>
      <c r="RSU5" s="37"/>
      <c r="RSV5" s="37"/>
      <c r="RSW5" s="37"/>
      <c r="RSX5" s="37"/>
      <c r="RSY5" s="37"/>
      <c r="RSZ5" s="37"/>
      <c r="RTA5" s="37"/>
      <c r="RTB5" s="37"/>
      <c r="RTC5" s="37"/>
      <c r="RTD5" s="37"/>
      <c r="RTE5" s="37"/>
      <c r="RTF5" s="37"/>
      <c r="RTG5" s="37"/>
      <c r="RTH5" s="37"/>
      <c r="RTI5" s="37"/>
      <c r="RTJ5" s="37"/>
      <c r="RTK5" s="37"/>
      <c r="RTL5" s="37"/>
      <c r="RTM5" s="37"/>
      <c r="RTN5" s="37"/>
      <c r="RTO5" s="37"/>
      <c r="RTP5" s="37"/>
      <c r="RTQ5" s="37"/>
      <c r="RTR5" s="37"/>
      <c r="RTS5" s="37"/>
      <c r="RTT5" s="37"/>
      <c r="RTU5" s="37"/>
      <c r="RTV5" s="37"/>
      <c r="RTW5" s="37"/>
      <c r="RTX5" s="37"/>
      <c r="RTY5" s="37"/>
      <c r="RTZ5" s="37"/>
      <c r="RUA5" s="37"/>
      <c r="RUB5" s="37"/>
      <c r="RUC5" s="37"/>
      <c r="RUD5" s="37"/>
      <c r="RUE5" s="37"/>
      <c r="RUF5" s="37"/>
      <c r="RUG5" s="37"/>
      <c r="RUH5" s="37"/>
      <c r="RUI5" s="37"/>
      <c r="RUJ5" s="37"/>
      <c r="RUK5" s="37"/>
      <c r="RUL5" s="37"/>
      <c r="RUM5" s="37"/>
      <c r="RUN5" s="37"/>
      <c r="RUO5" s="37"/>
      <c r="RUP5" s="37"/>
      <c r="RUQ5" s="37"/>
      <c r="RUR5" s="37"/>
      <c r="RUS5" s="37"/>
      <c r="RUT5" s="37"/>
      <c r="RUU5" s="37"/>
      <c r="RUV5" s="37"/>
      <c r="RUW5" s="37"/>
      <c r="RUX5" s="37"/>
      <c r="RUY5" s="37"/>
      <c r="RUZ5" s="37"/>
      <c r="RVA5" s="37"/>
      <c r="RVB5" s="37"/>
      <c r="RVC5" s="37"/>
      <c r="RVD5" s="37"/>
      <c r="RVE5" s="37"/>
      <c r="RVF5" s="37"/>
      <c r="RVG5" s="37"/>
      <c r="RVH5" s="37"/>
      <c r="RVI5" s="37"/>
      <c r="RVJ5" s="37"/>
      <c r="RVK5" s="37"/>
      <c r="RVL5" s="37"/>
      <c r="RVM5" s="37"/>
      <c r="RVN5" s="37"/>
      <c r="RVO5" s="37"/>
      <c r="RVP5" s="37"/>
      <c r="RVQ5" s="37"/>
      <c r="RVR5" s="37"/>
      <c r="RVS5" s="37"/>
      <c r="RVT5" s="37"/>
      <c r="RVU5" s="37"/>
      <c r="RVV5" s="37"/>
      <c r="RVW5" s="37"/>
      <c r="RVX5" s="37"/>
      <c r="RVY5" s="37"/>
      <c r="RVZ5" s="37"/>
      <c r="RWA5" s="37"/>
      <c r="RWB5" s="37"/>
      <c r="RWC5" s="37"/>
      <c r="RWD5" s="37"/>
      <c r="RWE5" s="37"/>
      <c r="RWF5" s="37"/>
      <c r="RWG5" s="37"/>
      <c r="RWH5" s="37"/>
      <c r="RWI5" s="37"/>
      <c r="RWJ5" s="37"/>
      <c r="RWK5" s="37"/>
      <c r="RWL5" s="37"/>
      <c r="RWM5" s="37"/>
      <c r="RWN5" s="37"/>
      <c r="RWO5" s="37"/>
      <c r="RWP5" s="37"/>
      <c r="RWQ5" s="37"/>
      <c r="RWR5" s="37"/>
      <c r="RWS5" s="37"/>
      <c r="RWT5" s="37"/>
      <c r="RWU5" s="37"/>
      <c r="RWV5" s="37"/>
      <c r="RWW5" s="37"/>
      <c r="RWX5" s="37"/>
      <c r="RWY5" s="37"/>
      <c r="RWZ5" s="37"/>
      <c r="RXA5" s="37"/>
      <c r="RXB5" s="37"/>
      <c r="RXC5" s="37"/>
      <c r="RXD5" s="37"/>
      <c r="RXE5" s="37"/>
      <c r="RXF5" s="37"/>
      <c r="RXG5" s="37"/>
      <c r="RXH5" s="37"/>
      <c r="RXI5" s="37"/>
      <c r="RXJ5" s="37"/>
      <c r="RXK5" s="37"/>
      <c r="RXL5" s="37"/>
      <c r="RXM5" s="37"/>
      <c r="RXN5" s="37"/>
      <c r="RXO5" s="37"/>
      <c r="RXP5" s="37"/>
      <c r="RXQ5" s="37"/>
      <c r="RXR5" s="37"/>
      <c r="RXS5" s="37"/>
      <c r="RXT5" s="37"/>
      <c r="RXU5" s="37"/>
      <c r="RXV5" s="37"/>
      <c r="RXW5" s="37"/>
      <c r="RXX5" s="37"/>
      <c r="RXY5" s="37"/>
      <c r="RXZ5" s="37"/>
      <c r="RYA5" s="37"/>
      <c r="RYB5" s="37"/>
      <c r="RYC5" s="37"/>
      <c r="RYD5" s="37"/>
      <c r="RYE5" s="37"/>
      <c r="RYF5" s="37"/>
      <c r="RYG5" s="37"/>
      <c r="RYH5" s="37"/>
      <c r="RYI5" s="37"/>
      <c r="RYJ5" s="37"/>
      <c r="RYK5" s="37"/>
      <c r="RYL5" s="37"/>
      <c r="RYM5" s="37"/>
      <c r="RYN5" s="37"/>
      <c r="RYO5" s="37"/>
      <c r="RYP5" s="37"/>
      <c r="RYQ5" s="37"/>
      <c r="RYR5" s="37"/>
      <c r="RYS5" s="37"/>
      <c r="RYT5" s="37"/>
      <c r="RYU5" s="37"/>
      <c r="RYV5" s="37"/>
      <c r="RYW5" s="37"/>
      <c r="RYX5" s="37"/>
      <c r="RYY5" s="37"/>
      <c r="RYZ5" s="37"/>
      <c r="RZA5" s="37"/>
      <c r="RZB5" s="37"/>
      <c r="RZC5" s="37"/>
      <c r="RZD5" s="37"/>
      <c r="RZE5" s="37"/>
      <c r="RZF5" s="37"/>
      <c r="RZG5" s="37"/>
      <c r="RZH5" s="37"/>
      <c r="RZI5" s="37"/>
      <c r="RZJ5" s="37"/>
      <c r="RZK5" s="37"/>
      <c r="RZL5" s="37"/>
      <c r="RZM5" s="37"/>
      <c r="RZN5" s="37"/>
      <c r="RZO5" s="37"/>
      <c r="RZP5" s="37"/>
      <c r="RZQ5" s="37"/>
      <c r="RZR5" s="37"/>
      <c r="RZS5" s="37"/>
      <c r="RZT5" s="37"/>
      <c r="RZU5" s="37"/>
      <c r="RZV5" s="37"/>
      <c r="RZW5" s="37"/>
      <c r="RZX5" s="37"/>
      <c r="RZY5" s="37"/>
      <c r="RZZ5" s="37"/>
      <c r="SAA5" s="37"/>
      <c r="SAB5" s="37"/>
      <c r="SAC5" s="37"/>
      <c r="SAD5" s="37"/>
      <c r="SAE5" s="37"/>
      <c r="SAF5" s="37"/>
      <c r="SAG5" s="37"/>
      <c r="SAH5" s="37"/>
      <c r="SAI5" s="37"/>
      <c r="SAJ5" s="37"/>
      <c r="SAK5" s="37"/>
      <c r="SAL5" s="37"/>
      <c r="SAM5" s="37"/>
      <c r="SAN5" s="37"/>
      <c r="SAO5" s="37"/>
      <c r="SAP5" s="37"/>
      <c r="SAQ5" s="37"/>
      <c r="SAR5" s="37"/>
      <c r="SAS5" s="37"/>
      <c r="SAT5" s="37"/>
      <c r="SAU5" s="37"/>
      <c r="SAV5" s="37"/>
      <c r="SAW5" s="37"/>
      <c r="SAX5" s="37"/>
      <c r="SAY5" s="37"/>
      <c r="SAZ5" s="37"/>
      <c r="SBA5" s="37"/>
      <c r="SBB5" s="37"/>
      <c r="SBC5" s="37"/>
      <c r="SBD5" s="37"/>
      <c r="SBE5" s="37"/>
      <c r="SBF5" s="37"/>
      <c r="SBG5" s="37"/>
      <c r="SBH5" s="37"/>
      <c r="SBI5" s="37"/>
      <c r="SBJ5" s="37"/>
      <c r="SBK5" s="37"/>
      <c r="SBL5" s="37"/>
      <c r="SBM5" s="37"/>
      <c r="SBN5" s="37"/>
      <c r="SBO5" s="37"/>
      <c r="SBP5" s="37"/>
      <c r="SBQ5" s="37"/>
      <c r="SBR5" s="37"/>
      <c r="SBS5" s="37"/>
      <c r="SBT5" s="37"/>
      <c r="SBU5" s="37"/>
      <c r="SBV5" s="37"/>
      <c r="SBW5" s="37"/>
      <c r="SBX5" s="37"/>
      <c r="SBY5" s="37"/>
      <c r="SBZ5" s="37"/>
      <c r="SCA5" s="37"/>
      <c r="SCB5" s="37"/>
      <c r="SCC5" s="37"/>
      <c r="SCD5" s="37"/>
      <c r="SCE5" s="37"/>
      <c r="SCF5" s="37"/>
      <c r="SCG5" s="37"/>
      <c r="SCH5" s="37"/>
      <c r="SCI5" s="37"/>
      <c r="SCJ5" s="37"/>
      <c r="SCK5" s="37"/>
      <c r="SCL5" s="37"/>
      <c r="SCM5" s="37"/>
      <c r="SCN5" s="37"/>
      <c r="SCO5" s="37"/>
      <c r="SCP5" s="37"/>
      <c r="SCQ5" s="37"/>
      <c r="SCR5" s="37"/>
      <c r="SCS5" s="37"/>
      <c r="SCT5" s="37"/>
      <c r="SCU5" s="37"/>
      <c r="SCV5" s="37"/>
      <c r="SCW5" s="37"/>
      <c r="SCX5" s="37"/>
      <c r="SCY5" s="37"/>
      <c r="SCZ5" s="37"/>
      <c r="SDA5" s="37"/>
      <c r="SDB5" s="37"/>
      <c r="SDC5" s="37"/>
      <c r="SDD5" s="37"/>
      <c r="SDE5" s="37"/>
      <c r="SDF5" s="37"/>
      <c r="SDG5" s="37"/>
      <c r="SDH5" s="37"/>
      <c r="SDI5" s="37"/>
      <c r="SDJ5" s="37"/>
      <c r="SDK5" s="37"/>
      <c r="SDL5" s="37"/>
      <c r="SDM5" s="37"/>
      <c r="SDN5" s="37"/>
      <c r="SDO5" s="37"/>
      <c r="SDP5" s="37"/>
      <c r="SDQ5" s="37"/>
      <c r="SDR5" s="37"/>
      <c r="SDS5" s="37"/>
      <c r="SDT5" s="37"/>
      <c r="SDU5" s="37"/>
      <c r="SDV5" s="37"/>
      <c r="SDW5" s="37"/>
      <c r="SDX5" s="37"/>
      <c r="SDY5" s="37"/>
      <c r="SDZ5" s="37"/>
      <c r="SEA5" s="37"/>
      <c r="SEB5" s="37"/>
      <c r="SEC5" s="37"/>
      <c r="SED5" s="37"/>
      <c r="SEE5" s="37"/>
      <c r="SEF5" s="37"/>
      <c r="SEG5" s="37"/>
      <c r="SEH5" s="37"/>
      <c r="SEI5" s="37"/>
      <c r="SEJ5" s="37"/>
      <c r="SEK5" s="37"/>
      <c r="SEL5" s="37"/>
      <c r="SEM5" s="37"/>
      <c r="SEN5" s="37"/>
      <c r="SEO5" s="37"/>
      <c r="SEP5" s="37"/>
      <c r="SEQ5" s="37"/>
      <c r="SER5" s="37"/>
      <c r="SES5" s="37"/>
      <c r="SET5" s="37"/>
      <c r="SEU5" s="37"/>
      <c r="SEV5" s="37"/>
      <c r="SEW5" s="37"/>
      <c r="SEX5" s="37"/>
      <c r="SEY5" s="37"/>
      <c r="SEZ5" s="37"/>
      <c r="SFA5" s="37"/>
      <c r="SFB5" s="37"/>
      <c r="SFC5" s="37"/>
      <c r="SFD5" s="37"/>
      <c r="SFE5" s="37"/>
      <c r="SFF5" s="37"/>
      <c r="SFG5" s="37"/>
      <c r="SFH5" s="37"/>
      <c r="SFI5" s="37"/>
      <c r="SFJ5" s="37"/>
      <c r="SFK5" s="37"/>
      <c r="SFL5" s="37"/>
      <c r="SFM5" s="37"/>
      <c r="SFN5" s="37"/>
      <c r="SFO5" s="37"/>
      <c r="SFP5" s="37"/>
      <c r="SFQ5" s="37"/>
      <c r="SFR5" s="37"/>
      <c r="SFS5" s="37"/>
      <c r="SFT5" s="37"/>
      <c r="SFU5" s="37"/>
      <c r="SFV5" s="37"/>
      <c r="SFW5" s="37"/>
      <c r="SFX5" s="37"/>
      <c r="SFY5" s="37"/>
      <c r="SFZ5" s="37"/>
      <c r="SGA5" s="37"/>
      <c r="SGB5" s="37"/>
      <c r="SGC5" s="37"/>
      <c r="SGD5" s="37"/>
      <c r="SGE5" s="37"/>
      <c r="SGF5" s="37"/>
      <c r="SGG5" s="37"/>
      <c r="SGH5" s="37"/>
      <c r="SGI5" s="37"/>
      <c r="SGJ5" s="37"/>
      <c r="SGK5" s="37"/>
      <c r="SGL5" s="37"/>
      <c r="SGM5" s="37"/>
      <c r="SGN5" s="37"/>
      <c r="SGO5" s="37"/>
      <c r="SGP5" s="37"/>
      <c r="SGQ5" s="37"/>
      <c r="SGR5" s="37"/>
      <c r="SGS5" s="37"/>
      <c r="SGT5" s="37"/>
      <c r="SGU5" s="37"/>
      <c r="SGV5" s="37"/>
      <c r="SGW5" s="37"/>
      <c r="SGX5" s="37"/>
      <c r="SGY5" s="37"/>
      <c r="SGZ5" s="37"/>
      <c r="SHA5" s="37"/>
      <c r="SHB5" s="37"/>
      <c r="SHC5" s="37"/>
      <c r="SHD5" s="37"/>
      <c r="SHE5" s="37"/>
      <c r="SHF5" s="37"/>
      <c r="SHG5" s="37"/>
      <c r="SHH5" s="37"/>
      <c r="SHI5" s="37"/>
      <c r="SHJ5" s="37"/>
      <c r="SHK5" s="37"/>
      <c r="SHL5" s="37"/>
      <c r="SHM5" s="37"/>
      <c r="SHN5" s="37"/>
      <c r="SHO5" s="37"/>
      <c r="SHP5" s="37"/>
      <c r="SHQ5" s="37"/>
      <c r="SHR5" s="37"/>
      <c r="SHS5" s="37"/>
      <c r="SHT5" s="37"/>
      <c r="SHU5" s="37"/>
      <c r="SHV5" s="37"/>
      <c r="SHW5" s="37"/>
      <c r="SHX5" s="37"/>
      <c r="SHY5" s="37"/>
      <c r="SHZ5" s="37"/>
      <c r="SIA5" s="37"/>
      <c r="SIB5" s="37"/>
      <c r="SIC5" s="37"/>
      <c r="SID5" s="37"/>
      <c r="SIE5" s="37"/>
      <c r="SIF5" s="37"/>
      <c r="SIG5" s="37"/>
      <c r="SIH5" s="37"/>
      <c r="SII5" s="37"/>
      <c r="SIJ5" s="37"/>
      <c r="SIK5" s="37"/>
      <c r="SIL5" s="37"/>
      <c r="SIM5" s="37"/>
      <c r="SIN5" s="37"/>
      <c r="SIO5" s="37"/>
      <c r="SIP5" s="37"/>
      <c r="SIQ5" s="37"/>
      <c r="SIR5" s="37"/>
      <c r="SIS5" s="37"/>
      <c r="SIT5" s="37"/>
      <c r="SIU5" s="37"/>
      <c r="SIV5" s="37"/>
      <c r="SIW5" s="37"/>
      <c r="SIX5" s="37"/>
      <c r="SIY5" s="37"/>
      <c r="SIZ5" s="37"/>
      <c r="SJA5" s="37"/>
      <c r="SJB5" s="37"/>
      <c r="SJC5" s="37"/>
      <c r="SJD5" s="37"/>
      <c r="SJE5" s="37"/>
      <c r="SJF5" s="37"/>
      <c r="SJG5" s="37"/>
      <c r="SJH5" s="37"/>
      <c r="SJI5" s="37"/>
      <c r="SJJ5" s="37"/>
      <c r="SJK5" s="37"/>
      <c r="SJL5" s="37"/>
      <c r="SJM5" s="37"/>
      <c r="SJN5" s="37"/>
      <c r="SJO5" s="37"/>
      <c r="SJP5" s="37"/>
      <c r="SJQ5" s="37"/>
      <c r="SJR5" s="37"/>
      <c r="SJS5" s="37"/>
      <c r="SJT5" s="37"/>
      <c r="SJU5" s="37"/>
      <c r="SJV5" s="37"/>
      <c r="SJW5" s="37"/>
      <c r="SJX5" s="37"/>
      <c r="SJY5" s="37"/>
      <c r="SJZ5" s="37"/>
      <c r="SKA5" s="37"/>
      <c r="SKB5" s="37"/>
      <c r="SKC5" s="37"/>
      <c r="SKD5" s="37"/>
      <c r="SKE5" s="37"/>
      <c r="SKF5" s="37"/>
      <c r="SKG5" s="37"/>
      <c r="SKH5" s="37"/>
      <c r="SKI5" s="37"/>
      <c r="SKJ5" s="37"/>
      <c r="SKK5" s="37"/>
      <c r="SKL5" s="37"/>
      <c r="SKM5" s="37"/>
      <c r="SKN5" s="37"/>
      <c r="SKO5" s="37"/>
      <c r="SKP5" s="37"/>
      <c r="SKQ5" s="37"/>
      <c r="SKR5" s="37"/>
      <c r="SKS5" s="37"/>
      <c r="SKT5" s="37"/>
      <c r="SKU5" s="37"/>
      <c r="SKV5" s="37"/>
      <c r="SKW5" s="37"/>
      <c r="SKX5" s="37"/>
      <c r="SKY5" s="37"/>
      <c r="SKZ5" s="37"/>
      <c r="SLA5" s="37"/>
      <c r="SLB5" s="37"/>
      <c r="SLC5" s="37"/>
      <c r="SLD5" s="37"/>
      <c r="SLE5" s="37"/>
      <c r="SLF5" s="37"/>
      <c r="SLG5" s="37"/>
      <c r="SLH5" s="37"/>
      <c r="SLI5" s="37"/>
      <c r="SLJ5" s="37"/>
      <c r="SLK5" s="37"/>
      <c r="SLL5" s="37"/>
      <c r="SLM5" s="37"/>
      <c r="SLN5" s="37"/>
      <c r="SLO5" s="37"/>
      <c r="SLP5" s="37"/>
      <c r="SLQ5" s="37"/>
      <c r="SLR5" s="37"/>
      <c r="SLS5" s="37"/>
      <c r="SLT5" s="37"/>
      <c r="SLU5" s="37"/>
      <c r="SLV5" s="37"/>
      <c r="SLW5" s="37"/>
      <c r="SLX5" s="37"/>
      <c r="SLY5" s="37"/>
      <c r="SLZ5" s="37"/>
      <c r="SMA5" s="37"/>
      <c r="SMB5" s="37"/>
      <c r="SMC5" s="37"/>
      <c r="SMD5" s="37"/>
      <c r="SME5" s="37"/>
      <c r="SMF5" s="37"/>
      <c r="SMG5" s="37"/>
      <c r="SMH5" s="37"/>
      <c r="SMI5" s="37"/>
      <c r="SMJ5" s="37"/>
      <c r="SMK5" s="37"/>
      <c r="SML5" s="37"/>
      <c r="SMM5" s="37"/>
      <c r="SMN5" s="37"/>
      <c r="SMO5" s="37"/>
      <c r="SMP5" s="37"/>
      <c r="SMQ5" s="37"/>
      <c r="SMR5" s="37"/>
      <c r="SMS5" s="37"/>
      <c r="SMT5" s="37"/>
      <c r="SMU5" s="37"/>
      <c r="SMV5" s="37"/>
      <c r="SMW5" s="37"/>
      <c r="SMX5" s="37"/>
      <c r="SMY5" s="37"/>
      <c r="SMZ5" s="37"/>
      <c r="SNA5" s="37"/>
      <c r="SNB5" s="37"/>
      <c r="SNC5" s="37"/>
      <c r="SND5" s="37"/>
      <c r="SNE5" s="37"/>
      <c r="SNF5" s="37"/>
      <c r="SNG5" s="37"/>
      <c r="SNH5" s="37"/>
      <c r="SNI5" s="37"/>
      <c r="SNJ5" s="37"/>
      <c r="SNK5" s="37"/>
      <c r="SNL5" s="37"/>
      <c r="SNM5" s="37"/>
      <c r="SNN5" s="37"/>
      <c r="SNO5" s="37"/>
      <c r="SNP5" s="37"/>
      <c r="SNQ5" s="37"/>
      <c r="SNR5" s="37"/>
      <c r="SNS5" s="37"/>
      <c r="SNT5" s="37"/>
      <c r="SNU5" s="37"/>
      <c r="SNV5" s="37"/>
      <c r="SNW5" s="37"/>
      <c r="SNX5" s="37"/>
      <c r="SNY5" s="37"/>
      <c r="SNZ5" s="37"/>
      <c r="SOA5" s="37"/>
      <c r="SOB5" s="37"/>
      <c r="SOC5" s="37"/>
      <c r="SOD5" s="37"/>
      <c r="SOE5" s="37"/>
      <c r="SOF5" s="37"/>
      <c r="SOG5" s="37"/>
      <c r="SOH5" s="37"/>
      <c r="SOI5" s="37"/>
      <c r="SOJ5" s="37"/>
      <c r="SOK5" s="37"/>
      <c r="SOL5" s="37"/>
      <c r="SOM5" s="37"/>
      <c r="SON5" s="37"/>
      <c r="SOO5" s="37"/>
      <c r="SOP5" s="37"/>
      <c r="SOQ5" s="37"/>
      <c r="SOR5" s="37"/>
      <c r="SOS5" s="37"/>
      <c r="SOT5" s="37"/>
      <c r="SOU5" s="37"/>
      <c r="SOV5" s="37"/>
      <c r="SOW5" s="37"/>
      <c r="SOX5" s="37"/>
      <c r="SOY5" s="37"/>
      <c r="SOZ5" s="37"/>
      <c r="SPA5" s="37"/>
      <c r="SPB5" s="37"/>
      <c r="SPC5" s="37"/>
      <c r="SPD5" s="37"/>
      <c r="SPE5" s="37"/>
      <c r="SPF5" s="37"/>
      <c r="SPG5" s="37"/>
      <c r="SPH5" s="37"/>
      <c r="SPI5" s="37"/>
      <c r="SPJ5" s="37"/>
      <c r="SPK5" s="37"/>
      <c r="SPL5" s="37"/>
      <c r="SPM5" s="37"/>
      <c r="SPN5" s="37"/>
      <c r="SPO5" s="37"/>
      <c r="SPP5" s="37"/>
      <c r="SPQ5" s="37"/>
      <c r="SPR5" s="37"/>
      <c r="SPS5" s="37"/>
      <c r="SPT5" s="37"/>
      <c r="SPU5" s="37"/>
      <c r="SPV5" s="37"/>
      <c r="SPW5" s="37"/>
      <c r="SPX5" s="37"/>
      <c r="SPY5" s="37"/>
      <c r="SPZ5" s="37"/>
      <c r="SQA5" s="37"/>
      <c r="SQB5" s="37"/>
      <c r="SQC5" s="37"/>
      <c r="SQD5" s="37"/>
      <c r="SQE5" s="37"/>
      <c r="SQF5" s="37"/>
      <c r="SQG5" s="37"/>
      <c r="SQH5" s="37"/>
      <c r="SQI5" s="37"/>
      <c r="SQJ5" s="37"/>
      <c r="SQK5" s="37"/>
      <c r="SQL5" s="37"/>
      <c r="SQM5" s="37"/>
      <c r="SQN5" s="37"/>
      <c r="SQO5" s="37"/>
      <c r="SQP5" s="37"/>
      <c r="SQQ5" s="37"/>
      <c r="SQR5" s="37"/>
      <c r="SQS5" s="37"/>
      <c r="SQT5" s="37"/>
      <c r="SQU5" s="37"/>
      <c r="SQV5" s="37"/>
      <c r="SQW5" s="37"/>
      <c r="SQX5" s="37"/>
      <c r="SQY5" s="37"/>
      <c r="SQZ5" s="37"/>
      <c r="SRA5" s="37"/>
      <c r="SRB5" s="37"/>
      <c r="SRC5" s="37"/>
      <c r="SRD5" s="37"/>
      <c r="SRE5" s="37"/>
      <c r="SRF5" s="37"/>
      <c r="SRG5" s="37"/>
      <c r="SRH5" s="37"/>
      <c r="SRI5" s="37"/>
      <c r="SRJ5" s="37"/>
      <c r="SRK5" s="37"/>
      <c r="SRL5" s="37"/>
      <c r="SRM5" s="37"/>
      <c r="SRN5" s="37"/>
      <c r="SRO5" s="37"/>
      <c r="SRP5" s="37"/>
      <c r="SRQ5" s="37"/>
      <c r="SRR5" s="37"/>
      <c r="SRS5" s="37"/>
      <c r="SRT5" s="37"/>
      <c r="SRU5" s="37"/>
      <c r="SRV5" s="37"/>
      <c r="SRW5" s="37"/>
      <c r="SRX5" s="37"/>
      <c r="SRY5" s="37"/>
      <c r="SRZ5" s="37"/>
      <c r="SSA5" s="37"/>
      <c r="SSB5" s="37"/>
      <c r="SSC5" s="37"/>
      <c r="SSD5" s="37"/>
      <c r="SSE5" s="37"/>
      <c r="SSF5" s="37"/>
      <c r="SSG5" s="37"/>
      <c r="SSH5" s="37"/>
      <c r="SSI5" s="37"/>
      <c r="SSJ5" s="37"/>
      <c r="SSK5" s="37"/>
      <c r="SSL5" s="37"/>
      <c r="SSM5" s="37"/>
      <c r="SSN5" s="37"/>
      <c r="SSO5" s="37"/>
      <c r="SSP5" s="37"/>
      <c r="SSQ5" s="37"/>
      <c r="SSR5" s="37"/>
      <c r="SSS5" s="37"/>
      <c r="SST5" s="37"/>
      <c r="SSU5" s="37"/>
      <c r="SSV5" s="37"/>
      <c r="SSW5" s="37"/>
      <c r="SSX5" s="37"/>
      <c r="SSY5" s="37"/>
      <c r="SSZ5" s="37"/>
      <c r="STA5" s="37"/>
      <c r="STB5" s="37"/>
      <c r="STC5" s="37"/>
      <c r="STD5" s="37"/>
      <c r="STE5" s="37"/>
      <c r="STF5" s="37"/>
      <c r="STG5" s="37"/>
      <c r="STH5" s="37"/>
      <c r="STI5" s="37"/>
      <c r="STJ5" s="37"/>
      <c r="STK5" s="37"/>
      <c r="STL5" s="37"/>
      <c r="STM5" s="37"/>
      <c r="STN5" s="37"/>
      <c r="STO5" s="37"/>
      <c r="STP5" s="37"/>
      <c r="STQ5" s="37"/>
      <c r="STR5" s="37"/>
      <c r="STS5" s="37"/>
      <c r="STT5" s="37"/>
      <c r="STU5" s="37"/>
      <c r="STV5" s="37"/>
      <c r="STW5" s="37"/>
      <c r="STX5" s="37"/>
      <c r="STY5" s="37"/>
      <c r="STZ5" s="37"/>
      <c r="SUA5" s="37"/>
      <c r="SUB5" s="37"/>
      <c r="SUC5" s="37"/>
      <c r="SUD5" s="37"/>
      <c r="SUE5" s="37"/>
      <c r="SUF5" s="37"/>
      <c r="SUG5" s="37"/>
      <c r="SUH5" s="37"/>
      <c r="SUI5" s="37"/>
      <c r="SUJ5" s="37"/>
      <c r="SUK5" s="37"/>
      <c r="SUL5" s="37"/>
      <c r="SUM5" s="37"/>
      <c r="SUN5" s="37"/>
      <c r="SUO5" s="37"/>
      <c r="SUP5" s="37"/>
      <c r="SUQ5" s="37"/>
      <c r="SUR5" s="37"/>
      <c r="SUS5" s="37"/>
      <c r="SUT5" s="37"/>
      <c r="SUU5" s="37"/>
      <c r="SUV5" s="37"/>
      <c r="SUW5" s="37"/>
      <c r="SUX5" s="37"/>
      <c r="SUY5" s="37"/>
      <c r="SUZ5" s="37"/>
      <c r="SVA5" s="37"/>
      <c r="SVB5" s="37"/>
      <c r="SVC5" s="37"/>
      <c r="SVD5" s="37"/>
      <c r="SVE5" s="37"/>
      <c r="SVF5" s="37"/>
      <c r="SVG5" s="37"/>
      <c r="SVH5" s="37"/>
      <c r="SVI5" s="37"/>
      <c r="SVJ5" s="37"/>
      <c r="SVK5" s="37"/>
      <c r="SVL5" s="37"/>
      <c r="SVM5" s="37"/>
      <c r="SVN5" s="37"/>
      <c r="SVO5" s="37"/>
      <c r="SVP5" s="37"/>
      <c r="SVQ5" s="37"/>
      <c r="SVR5" s="37"/>
      <c r="SVS5" s="37"/>
      <c r="SVT5" s="37"/>
      <c r="SVU5" s="37"/>
      <c r="SVV5" s="37"/>
      <c r="SVW5" s="37"/>
      <c r="SVX5" s="37"/>
      <c r="SVY5" s="37"/>
      <c r="SVZ5" s="37"/>
      <c r="SWA5" s="37"/>
      <c r="SWB5" s="37"/>
      <c r="SWC5" s="37"/>
      <c r="SWD5" s="37"/>
      <c r="SWE5" s="37"/>
      <c r="SWF5" s="37"/>
      <c r="SWG5" s="37"/>
      <c r="SWH5" s="37"/>
      <c r="SWI5" s="37"/>
      <c r="SWJ5" s="37"/>
      <c r="SWK5" s="37"/>
      <c r="SWL5" s="37"/>
      <c r="SWM5" s="37"/>
      <c r="SWN5" s="37"/>
      <c r="SWO5" s="37"/>
      <c r="SWP5" s="37"/>
      <c r="SWQ5" s="37"/>
      <c r="SWR5" s="37"/>
      <c r="SWS5" s="37"/>
      <c r="SWT5" s="37"/>
      <c r="SWU5" s="37"/>
      <c r="SWV5" s="37"/>
      <c r="SWW5" s="37"/>
      <c r="SWX5" s="37"/>
      <c r="SWY5" s="37"/>
      <c r="SWZ5" s="37"/>
      <c r="SXA5" s="37"/>
      <c r="SXB5" s="37"/>
      <c r="SXC5" s="37"/>
      <c r="SXD5" s="37"/>
      <c r="SXE5" s="37"/>
      <c r="SXF5" s="37"/>
      <c r="SXG5" s="37"/>
      <c r="SXH5" s="37"/>
      <c r="SXI5" s="37"/>
      <c r="SXJ5" s="37"/>
      <c r="SXK5" s="37"/>
      <c r="SXL5" s="37"/>
      <c r="SXM5" s="37"/>
      <c r="SXN5" s="37"/>
      <c r="SXO5" s="37"/>
      <c r="SXP5" s="37"/>
      <c r="SXQ5" s="37"/>
      <c r="SXR5" s="37"/>
      <c r="SXS5" s="37"/>
      <c r="SXT5" s="37"/>
      <c r="SXU5" s="37"/>
      <c r="SXV5" s="37"/>
      <c r="SXW5" s="37"/>
      <c r="SXX5" s="37"/>
      <c r="SXY5" s="37"/>
      <c r="SXZ5" s="37"/>
      <c r="SYA5" s="37"/>
      <c r="SYB5" s="37"/>
      <c r="SYC5" s="37"/>
      <c r="SYD5" s="37"/>
      <c r="SYE5" s="37"/>
      <c r="SYF5" s="37"/>
      <c r="SYG5" s="37"/>
      <c r="SYH5" s="37"/>
      <c r="SYI5" s="37"/>
      <c r="SYJ5" s="37"/>
      <c r="SYK5" s="37"/>
      <c r="SYL5" s="37"/>
      <c r="SYM5" s="37"/>
      <c r="SYN5" s="37"/>
      <c r="SYO5" s="37"/>
      <c r="SYP5" s="37"/>
      <c r="SYQ5" s="37"/>
      <c r="SYR5" s="37"/>
      <c r="SYS5" s="37"/>
      <c r="SYT5" s="37"/>
      <c r="SYU5" s="37"/>
      <c r="SYV5" s="37"/>
      <c r="SYW5" s="37"/>
      <c r="SYX5" s="37"/>
      <c r="SYY5" s="37"/>
      <c r="SYZ5" s="37"/>
      <c r="SZA5" s="37"/>
      <c r="SZB5" s="37"/>
      <c r="SZC5" s="37"/>
      <c r="SZD5" s="37"/>
      <c r="SZE5" s="37"/>
      <c r="SZF5" s="37"/>
      <c r="SZG5" s="37"/>
      <c r="SZH5" s="37"/>
      <c r="SZI5" s="37"/>
      <c r="SZJ5" s="37"/>
      <c r="SZK5" s="37"/>
      <c r="SZL5" s="37"/>
      <c r="SZM5" s="37"/>
      <c r="SZN5" s="37"/>
      <c r="SZO5" s="37"/>
      <c r="SZP5" s="37"/>
      <c r="SZQ5" s="37"/>
      <c r="SZR5" s="37"/>
      <c r="SZS5" s="37"/>
      <c r="SZT5" s="37"/>
      <c r="SZU5" s="37"/>
      <c r="SZV5" s="37"/>
      <c r="SZW5" s="37"/>
      <c r="SZX5" s="37"/>
      <c r="SZY5" s="37"/>
      <c r="SZZ5" s="37"/>
      <c r="TAA5" s="37"/>
      <c r="TAB5" s="37"/>
      <c r="TAC5" s="37"/>
      <c r="TAD5" s="37"/>
      <c r="TAE5" s="37"/>
      <c r="TAF5" s="37"/>
      <c r="TAG5" s="37"/>
      <c r="TAH5" s="37"/>
      <c r="TAI5" s="37"/>
      <c r="TAJ5" s="37"/>
      <c r="TAK5" s="37"/>
      <c r="TAL5" s="37"/>
      <c r="TAM5" s="37"/>
      <c r="TAN5" s="37"/>
      <c r="TAO5" s="37"/>
      <c r="TAP5" s="37"/>
      <c r="TAQ5" s="37"/>
      <c r="TAR5" s="37"/>
      <c r="TAS5" s="37"/>
      <c r="TAT5" s="37"/>
      <c r="TAU5" s="37"/>
      <c r="TAV5" s="37"/>
      <c r="TAW5" s="37"/>
      <c r="TAX5" s="37"/>
      <c r="TAY5" s="37"/>
      <c r="TAZ5" s="37"/>
      <c r="TBA5" s="37"/>
      <c r="TBB5" s="37"/>
      <c r="TBC5" s="37"/>
      <c r="TBD5" s="37"/>
      <c r="TBE5" s="37"/>
      <c r="TBF5" s="37"/>
      <c r="TBG5" s="37"/>
      <c r="TBH5" s="37"/>
      <c r="TBI5" s="37"/>
      <c r="TBJ5" s="37"/>
      <c r="TBK5" s="37"/>
      <c r="TBL5" s="37"/>
      <c r="TBM5" s="37"/>
      <c r="TBN5" s="37"/>
      <c r="TBO5" s="37"/>
      <c r="TBP5" s="37"/>
      <c r="TBQ5" s="37"/>
      <c r="TBR5" s="37"/>
      <c r="TBS5" s="37"/>
      <c r="TBT5" s="37"/>
      <c r="TBU5" s="37"/>
      <c r="TBV5" s="37"/>
      <c r="TBW5" s="37"/>
      <c r="TBX5" s="37"/>
      <c r="TBY5" s="37"/>
      <c r="TBZ5" s="37"/>
      <c r="TCA5" s="37"/>
      <c r="TCB5" s="37"/>
      <c r="TCC5" s="37"/>
      <c r="TCD5" s="37"/>
      <c r="TCE5" s="37"/>
      <c r="TCF5" s="37"/>
      <c r="TCG5" s="37"/>
      <c r="TCH5" s="37"/>
      <c r="TCI5" s="37"/>
      <c r="TCJ5" s="37"/>
      <c r="TCK5" s="37"/>
      <c r="TCL5" s="37"/>
      <c r="TCM5" s="37"/>
      <c r="TCN5" s="37"/>
      <c r="TCO5" s="37"/>
      <c r="TCP5" s="37"/>
      <c r="TCQ5" s="37"/>
      <c r="TCR5" s="37"/>
      <c r="TCS5" s="37"/>
      <c r="TCT5" s="37"/>
      <c r="TCU5" s="37"/>
      <c r="TCV5" s="37"/>
      <c r="TCW5" s="37"/>
      <c r="TCX5" s="37"/>
      <c r="TCY5" s="37"/>
      <c r="TCZ5" s="37"/>
      <c r="TDA5" s="37"/>
      <c r="TDB5" s="37"/>
      <c r="TDC5" s="37"/>
      <c r="TDD5" s="37"/>
      <c r="TDE5" s="37"/>
      <c r="TDF5" s="37"/>
      <c r="TDG5" s="37"/>
      <c r="TDH5" s="37"/>
      <c r="TDI5" s="37"/>
      <c r="TDJ5" s="37"/>
      <c r="TDK5" s="37"/>
      <c r="TDL5" s="37"/>
      <c r="TDM5" s="37"/>
      <c r="TDN5" s="37"/>
      <c r="TDO5" s="37"/>
      <c r="TDP5" s="37"/>
      <c r="TDQ5" s="37"/>
      <c r="TDR5" s="37"/>
      <c r="TDS5" s="37"/>
      <c r="TDT5" s="37"/>
      <c r="TDU5" s="37"/>
      <c r="TDV5" s="37"/>
      <c r="TDW5" s="37"/>
      <c r="TDX5" s="37"/>
      <c r="TDY5" s="37"/>
      <c r="TDZ5" s="37"/>
      <c r="TEA5" s="37"/>
      <c r="TEB5" s="37"/>
      <c r="TEC5" s="37"/>
      <c r="TED5" s="37"/>
      <c r="TEE5" s="37"/>
      <c r="TEF5" s="37"/>
      <c r="TEG5" s="37"/>
      <c r="TEH5" s="37"/>
      <c r="TEI5" s="37"/>
      <c r="TEJ5" s="37"/>
      <c r="TEK5" s="37"/>
      <c r="TEL5" s="37"/>
      <c r="TEM5" s="37"/>
      <c r="TEN5" s="37"/>
      <c r="TEO5" s="37"/>
      <c r="TEP5" s="37"/>
      <c r="TEQ5" s="37"/>
      <c r="TER5" s="37"/>
      <c r="TES5" s="37"/>
      <c r="TET5" s="37"/>
      <c r="TEU5" s="37"/>
      <c r="TEV5" s="37"/>
      <c r="TEW5" s="37"/>
      <c r="TEX5" s="37"/>
      <c r="TEY5" s="37"/>
      <c r="TEZ5" s="37"/>
      <c r="TFA5" s="37"/>
      <c r="TFB5" s="37"/>
      <c r="TFC5" s="37"/>
      <c r="TFD5" s="37"/>
      <c r="TFE5" s="37"/>
      <c r="TFF5" s="37"/>
      <c r="TFG5" s="37"/>
      <c r="TFH5" s="37"/>
      <c r="TFI5" s="37"/>
      <c r="TFJ5" s="37"/>
      <c r="TFK5" s="37"/>
      <c r="TFL5" s="37"/>
      <c r="TFM5" s="37"/>
      <c r="TFN5" s="37"/>
      <c r="TFO5" s="37"/>
      <c r="TFP5" s="37"/>
      <c r="TFQ5" s="37"/>
      <c r="TFR5" s="37"/>
      <c r="TFS5" s="37"/>
      <c r="TFT5" s="37"/>
      <c r="TFU5" s="37"/>
      <c r="TFV5" s="37"/>
      <c r="TFW5" s="37"/>
      <c r="TFX5" s="37"/>
      <c r="TFY5" s="37"/>
      <c r="TFZ5" s="37"/>
      <c r="TGA5" s="37"/>
      <c r="TGB5" s="37"/>
      <c r="TGC5" s="37"/>
      <c r="TGD5" s="37"/>
      <c r="TGE5" s="37"/>
      <c r="TGF5" s="37"/>
      <c r="TGG5" s="37"/>
      <c r="TGH5" s="37"/>
      <c r="TGI5" s="37"/>
      <c r="TGJ5" s="37"/>
      <c r="TGK5" s="37"/>
      <c r="TGL5" s="37"/>
      <c r="TGM5" s="37"/>
      <c r="TGN5" s="37"/>
      <c r="TGO5" s="37"/>
      <c r="TGP5" s="37"/>
      <c r="TGQ5" s="37"/>
      <c r="TGR5" s="37"/>
      <c r="TGS5" s="37"/>
      <c r="TGT5" s="37"/>
      <c r="TGU5" s="37"/>
      <c r="TGV5" s="37"/>
      <c r="TGW5" s="37"/>
      <c r="TGX5" s="37"/>
      <c r="TGY5" s="37"/>
      <c r="TGZ5" s="37"/>
      <c r="THA5" s="37"/>
      <c r="THB5" s="37"/>
      <c r="THC5" s="37"/>
      <c r="THD5" s="37"/>
      <c r="THE5" s="37"/>
      <c r="THF5" s="37"/>
      <c r="THG5" s="37"/>
      <c r="THH5" s="37"/>
      <c r="THI5" s="37"/>
      <c r="THJ5" s="37"/>
      <c r="THK5" s="37"/>
      <c r="THL5" s="37"/>
      <c r="THM5" s="37"/>
      <c r="THN5" s="37"/>
      <c r="THO5" s="37"/>
      <c r="THP5" s="37"/>
      <c r="THQ5" s="37"/>
      <c r="THR5" s="37"/>
      <c r="THS5" s="37"/>
      <c r="THT5" s="37"/>
      <c r="THU5" s="37"/>
      <c r="THV5" s="37"/>
      <c r="THW5" s="37"/>
      <c r="THX5" s="37"/>
      <c r="THY5" s="37"/>
      <c r="THZ5" s="37"/>
      <c r="TIA5" s="37"/>
      <c r="TIB5" s="37"/>
      <c r="TIC5" s="37"/>
      <c r="TID5" s="37"/>
      <c r="TIE5" s="37"/>
      <c r="TIF5" s="37"/>
      <c r="TIG5" s="37"/>
      <c r="TIH5" s="37"/>
      <c r="TII5" s="37"/>
      <c r="TIJ5" s="37"/>
      <c r="TIK5" s="37"/>
      <c r="TIL5" s="37"/>
      <c r="TIM5" s="37"/>
      <c r="TIN5" s="37"/>
      <c r="TIO5" s="37"/>
      <c r="TIP5" s="37"/>
      <c r="TIQ5" s="37"/>
      <c r="TIR5" s="37"/>
      <c r="TIS5" s="37"/>
      <c r="TIT5" s="37"/>
      <c r="TIU5" s="37"/>
      <c r="TIV5" s="37"/>
      <c r="TIW5" s="37"/>
      <c r="TIX5" s="37"/>
      <c r="TIY5" s="37"/>
      <c r="TIZ5" s="37"/>
      <c r="TJA5" s="37"/>
      <c r="TJB5" s="37"/>
      <c r="TJC5" s="37"/>
      <c r="TJD5" s="37"/>
      <c r="TJE5" s="37"/>
      <c r="TJF5" s="37"/>
      <c r="TJG5" s="37"/>
      <c r="TJH5" s="37"/>
      <c r="TJI5" s="37"/>
      <c r="TJJ5" s="37"/>
      <c r="TJK5" s="37"/>
      <c r="TJL5" s="37"/>
      <c r="TJM5" s="37"/>
      <c r="TJN5" s="37"/>
      <c r="TJO5" s="37"/>
      <c r="TJP5" s="37"/>
      <c r="TJQ5" s="37"/>
      <c r="TJR5" s="37"/>
      <c r="TJS5" s="37"/>
      <c r="TJT5" s="37"/>
      <c r="TJU5" s="37"/>
      <c r="TJV5" s="37"/>
      <c r="TJW5" s="37"/>
      <c r="TJX5" s="37"/>
      <c r="TJY5" s="37"/>
      <c r="TJZ5" s="37"/>
      <c r="TKA5" s="37"/>
      <c r="TKB5" s="37"/>
      <c r="TKC5" s="37"/>
      <c r="TKD5" s="37"/>
      <c r="TKE5" s="37"/>
      <c r="TKF5" s="37"/>
      <c r="TKG5" s="37"/>
      <c r="TKH5" s="37"/>
      <c r="TKI5" s="37"/>
      <c r="TKJ5" s="37"/>
      <c r="TKK5" s="37"/>
      <c r="TKL5" s="37"/>
      <c r="TKM5" s="37"/>
      <c r="TKN5" s="37"/>
      <c r="TKO5" s="37"/>
      <c r="TKP5" s="37"/>
      <c r="TKQ5" s="37"/>
      <c r="TKR5" s="37"/>
      <c r="TKS5" s="37"/>
      <c r="TKT5" s="37"/>
      <c r="TKU5" s="37"/>
      <c r="TKV5" s="37"/>
      <c r="TKW5" s="37"/>
      <c r="TKX5" s="37"/>
      <c r="TKY5" s="37"/>
      <c r="TKZ5" s="37"/>
      <c r="TLA5" s="37"/>
      <c r="TLB5" s="37"/>
      <c r="TLC5" s="37"/>
      <c r="TLD5" s="37"/>
      <c r="TLE5" s="37"/>
      <c r="TLF5" s="37"/>
      <c r="TLG5" s="37"/>
      <c r="TLH5" s="37"/>
      <c r="TLI5" s="37"/>
      <c r="TLJ5" s="37"/>
      <c r="TLK5" s="37"/>
      <c r="TLL5" s="37"/>
      <c r="TLM5" s="37"/>
      <c r="TLN5" s="37"/>
      <c r="TLO5" s="37"/>
      <c r="TLP5" s="37"/>
      <c r="TLQ5" s="37"/>
      <c r="TLR5" s="37"/>
      <c r="TLS5" s="37"/>
      <c r="TLT5" s="37"/>
      <c r="TLU5" s="37"/>
      <c r="TLV5" s="37"/>
      <c r="TLW5" s="37"/>
      <c r="TLX5" s="37"/>
      <c r="TLY5" s="37"/>
      <c r="TLZ5" s="37"/>
      <c r="TMA5" s="37"/>
      <c r="TMB5" s="37"/>
      <c r="TMC5" s="37"/>
      <c r="TMD5" s="37"/>
      <c r="TME5" s="37"/>
      <c r="TMF5" s="37"/>
      <c r="TMG5" s="37"/>
      <c r="TMH5" s="37"/>
      <c r="TMI5" s="37"/>
      <c r="TMJ5" s="37"/>
      <c r="TMK5" s="37"/>
      <c r="TML5" s="37"/>
      <c r="TMM5" s="37"/>
      <c r="TMN5" s="37"/>
      <c r="TMO5" s="37"/>
      <c r="TMP5" s="37"/>
      <c r="TMQ5" s="37"/>
      <c r="TMR5" s="37"/>
      <c r="TMS5" s="37"/>
      <c r="TMT5" s="37"/>
      <c r="TMU5" s="37"/>
      <c r="TMV5" s="37"/>
      <c r="TMW5" s="37"/>
      <c r="TMX5" s="37"/>
      <c r="TMY5" s="37"/>
      <c r="TMZ5" s="37"/>
      <c r="TNA5" s="37"/>
      <c r="TNB5" s="37"/>
      <c r="TNC5" s="37"/>
      <c r="TND5" s="37"/>
      <c r="TNE5" s="37"/>
      <c r="TNF5" s="37"/>
      <c r="TNG5" s="37"/>
      <c r="TNH5" s="37"/>
      <c r="TNI5" s="37"/>
      <c r="TNJ5" s="37"/>
      <c r="TNK5" s="37"/>
      <c r="TNL5" s="37"/>
      <c r="TNM5" s="37"/>
      <c r="TNN5" s="37"/>
      <c r="TNO5" s="37"/>
      <c r="TNP5" s="37"/>
      <c r="TNQ5" s="37"/>
      <c r="TNR5" s="37"/>
      <c r="TNS5" s="37"/>
      <c r="TNT5" s="37"/>
      <c r="TNU5" s="37"/>
      <c r="TNV5" s="37"/>
      <c r="TNW5" s="37"/>
      <c r="TNX5" s="37"/>
      <c r="TNY5" s="37"/>
      <c r="TNZ5" s="37"/>
      <c r="TOA5" s="37"/>
      <c r="TOB5" s="37"/>
      <c r="TOC5" s="37"/>
      <c r="TOD5" s="37"/>
      <c r="TOE5" s="37"/>
      <c r="TOF5" s="37"/>
      <c r="TOG5" s="37"/>
      <c r="TOH5" s="37"/>
      <c r="TOI5" s="37"/>
      <c r="TOJ5" s="37"/>
      <c r="TOK5" s="37"/>
      <c r="TOL5" s="37"/>
      <c r="TOM5" s="37"/>
      <c r="TON5" s="37"/>
      <c r="TOO5" s="37"/>
      <c r="TOP5" s="37"/>
      <c r="TOQ5" s="37"/>
      <c r="TOR5" s="37"/>
      <c r="TOS5" s="37"/>
      <c r="TOT5" s="37"/>
      <c r="TOU5" s="37"/>
      <c r="TOV5" s="37"/>
      <c r="TOW5" s="37"/>
      <c r="TOX5" s="37"/>
      <c r="TOY5" s="37"/>
      <c r="TOZ5" s="37"/>
      <c r="TPA5" s="37"/>
      <c r="TPB5" s="37"/>
      <c r="TPC5" s="37"/>
      <c r="TPD5" s="37"/>
      <c r="TPE5" s="37"/>
      <c r="TPF5" s="37"/>
      <c r="TPG5" s="37"/>
      <c r="TPH5" s="37"/>
      <c r="TPI5" s="37"/>
      <c r="TPJ5" s="37"/>
      <c r="TPK5" s="37"/>
      <c r="TPL5" s="37"/>
      <c r="TPM5" s="37"/>
      <c r="TPN5" s="37"/>
      <c r="TPO5" s="37"/>
      <c r="TPP5" s="37"/>
      <c r="TPQ5" s="37"/>
      <c r="TPR5" s="37"/>
      <c r="TPS5" s="37"/>
      <c r="TPT5" s="37"/>
      <c r="TPU5" s="37"/>
      <c r="TPV5" s="37"/>
      <c r="TPW5" s="37"/>
      <c r="TPX5" s="37"/>
      <c r="TPY5" s="37"/>
      <c r="TPZ5" s="37"/>
      <c r="TQA5" s="37"/>
      <c r="TQB5" s="37"/>
      <c r="TQC5" s="37"/>
      <c r="TQD5" s="37"/>
      <c r="TQE5" s="37"/>
      <c r="TQF5" s="37"/>
      <c r="TQG5" s="37"/>
      <c r="TQH5" s="37"/>
      <c r="TQI5" s="37"/>
      <c r="TQJ5" s="37"/>
      <c r="TQK5" s="37"/>
      <c r="TQL5" s="37"/>
      <c r="TQM5" s="37"/>
      <c r="TQN5" s="37"/>
      <c r="TQO5" s="37"/>
      <c r="TQP5" s="37"/>
      <c r="TQQ5" s="37"/>
      <c r="TQR5" s="37"/>
      <c r="TQS5" s="37"/>
      <c r="TQT5" s="37"/>
      <c r="TQU5" s="37"/>
      <c r="TQV5" s="37"/>
      <c r="TQW5" s="37"/>
      <c r="TQX5" s="37"/>
      <c r="TQY5" s="37"/>
      <c r="TQZ5" s="37"/>
      <c r="TRA5" s="37"/>
      <c r="TRB5" s="37"/>
      <c r="TRC5" s="37"/>
      <c r="TRD5" s="37"/>
      <c r="TRE5" s="37"/>
      <c r="TRF5" s="37"/>
      <c r="TRG5" s="37"/>
      <c r="TRH5" s="37"/>
      <c r="TRI5" s="37"/>
      <c r="TRJ5" s="37"/>
      <c r="TRK5" s="37"/>
      <c r="TRL5" s="37"/>
      <c r="TRM5" s="37"/>
      <c r="TRN5" s="37"/>
      <c r="TRO5" s="37"/>
      <c r="TRP5" s="37"/>
      <c r="TRQ5" s="37"/>
      <c r="TRR5" s="37"/>
      <c r="TRS5" s="37"/>
      <c r="TRT5" s="37"/>
      <c r="TRU5" s="37"/>
      <c r="TRV5" s="37"/>
      <c r="TRW5" s="37"/>
      <c r="TRX5" s="37"/>
      <c r="TRY5" s="37"/>
      <c r="TRZ5" s="37"/>
      <c r="TSA5" s="37"/>
      <c r="TSB5" s="37"/>
      <c r="TSC5" s="37"/>
      <c r="TSD5" s="37"/>
      <c r="TSE5" s="37"/>
      <c r="TSF5" s="37"/>
      <c r="TSG5" s="37"/>
      <c r="TSH5" s="37"/>
      <c r="TSI5" s="37"/>
      <c r="TSJ5" s="37"/>
      <c r="TSK5" s="37"/>
      <c r="TSL5" s="37"/>
      <c r="TSM5" s="37"/>
      <c r="TSN5" s="37"/>
      <c r="TSO5" s="37"/>
      <c r="TSP5" s="37"/>
      <c r="TSQ5" s="37"/>
      <c r="TSR5" s="37"/>
      <c r="TSS5" s="37"/>
      <c r="TST5" s="37"/>
      <c r="TSU5" s="37"/>
      <c r="TSV5" s="37"/>
      <c r="TSW5" s="37"/>
      <c r="TSX5" s="37"/>
      <c r="TSY5" s="37"/>
      <c r="TSZ5" s="37"/>
      <c r="TTA5" s="37"/>
      <c r="TTB5" s="37"/>
      <c r="TTC5" s="37"/>
      <c r="TTD5" s="37"/>
      <c r="TTE5" s="37"/>
      <c r="TTF5" s="37"/>
      <c r="TTG5" s="37"/>
      <c r="TTH5" s="37"/>
      <c r="TTI5" s="37"/>
      <c r="TTJ5" s="37"/>
      <c r="TTK5" s="37"/>
      <c r="TTL5" s="37"/>
      <c r="TTM5" s="37"/>
      <c r="TTN5" s="37"/>
      <c r="TTO5" s="37"/>
      <c r="TTP5" s="37"/>
      <c r="TTQ5" s="37"/>
      <c r="TTR5" s="37"/>
      <c r="TTS5" s="37"/>
      <c r="TTT5" s="37"/>
      <c r="TTU5" s="37"/>
      <c r="TTV5" s="37"/>
      <c r="TTW5" s="37"/>
      <c r="TTX5" s="37"/>
      <c r="TTY5" s="37"/>
      <c r="TTZ5" s="37"/>
      <c r="TUA5" s="37"/>
      <c r="TUB5" s="37"/>
      <c r="TUC5" s="37"/>
      <c r="TUD5" s="37"/>
      <c r="TUE5" s="37"/>
      <c r="TUF5" s="37"/>
      <c r="TUG5" s="37"/>
      <c r="TUH5" s="37"/>
      <c r="TUI5" s="37"/>
      <c r="TUJ5" s="37"/>
      <c r="TUK5" s="37"/>
      <c r="TUL5" s="37"/>
      <c r="TUM5" s="37"/>
      <c r="TUN5" s="37"/>
      <c r="TUO5" s="37"/>
      <c r="TUP5" s="37"/>
      <c r="TUQ5" s="37"/>
      <c r="TUR5" s="37"/>
      <c r="TUS5" s="37"/>
      <c r="TUT5" s="37"/>
      <c r="TUU5" s="37"/>
      <c r="TUV5" s="37"/>
      <c r="TUW5" s="37"/>
      <c r="TUX5" s="37"/>
      <c r="TUY5" s="37"/>
      <c r="TUZ5" s="37"/>
      <c r="TVA5" s="37"/>
      <c r="TVB5" s="37"/>
      <c r="TVC5" s="37"/>
      <c r="TVD5" s="37"/>
      <c r="TVE5" s="37"/>
      <c r="TVF5" s="37"/>
      <c r="TVG5" s="37"/>
      <c r="TVH5" s="37"/>
      <c r="TVI5" s="37"/>
      <c r="TVJ5" s="37"/>
      <c r="TVK5" s="37"/>
      <c r="TVL5" s="37"/>
      <c r="TVM5" s="37"/>
      <c r="TVN5" s="37"/>
      <c r="TVO5" s="37"/>
      <c r="TVP5" s="37"/>
      <c r="TVQ5" s="37"/>
      <c r="TVR5" s="37"/>
      <c r="TVS5" s="37"/>
      <c r="TVT5" s="37"/>
      <c r="TVU5" s="37"/>
      <c r="TVV5" s="37"/>
      <c r="TVW5" s="37"/>
      <c r="TVX5" s="37"/>
      <c r="TVY5" s="37"/>
      <c r="TVZ5" s="37"/>
      <c r="TWA5" s="37"/>
      <c r="TWB5" s="37"/>
      <c r="TWC5" s="37"/>
      <c r="TWD5" s="37"/>
      <c r="TWE5" s="37"/>
      <c r="TWF5" s="37"/>
      <c r="TWG5" s="37"/>
      <c r="TWH5" s="37"/>
      <c r="TWI5" s="37"/>
      <c r="TWJ5" s="37"/>
      <c r="TWK5" s="37"/>
      <c r="TWL5" s="37"/>
      <c r="TWM5" s="37"/>
      <c r="TWN5" s="37"/>
      <c r="TWO5" s="37"/>
      <c r="TWP5" s="37"/>
      <c r="TWQ5" s="37"/>
      <c r="TWR5" s="37"/>
      <c r="TWS5" s="37"/>
      <c r="TWT5" s="37"/>
      <c r="TWU5" s="37"/>
      <c r="TWV5" s="37"/>
      <c r="TWW5" s="37"/>
      <c r="TWX5" s="37"/>
      <c r="TWY5" s="37"/>
      <c r="TWZ5" s="37"/>
      <c r="TXA5" s="37"/>
      <c r="TXB5" s="37"/>
      <c r="TXC5" s="37"/>
      <c r="TXD5" s="37"/>
      <c r="TXE5" s="37"/>
      <c r="TXF5" s="37"/>
      <c r="TXG5" s="37"/>
      <c r="TXH5" s="37"/>
      <c r="TXI5" s="37"/>
      <c r="TXJ5" s="37"/>
      <c r="TXK5" s="37"/>
      <c r="TXL5" s="37"/>
      <c r="TXM5" s="37"/>
      <c r="TXN5" s="37"/>
      <c r="TXO5" s="37"/>
      <c r="TXP5" s="37"/>
      <c r="TXQ5" s="37"/>
      <c r="TXR5" s="37"/>
      <c r="TXS5" s="37"/>
      <c r="TXT5" s="37"/>
      <c r="TXU5" s="37"/>
      <c r="TXV5" s="37"/>
      <c r="TXW5" s="37"/>
      <c r="TXX5" s="37"/>
      <c r="TXY5" s="37"/>
      <c r="TXZ5" s="37"/>
      <c r="TYA5" s="37"/>
      <c r="TYB5" s="37"/>
      <c r="TYC5" s="37"/>
      <c r="TYD5" s="37"/>
      <c r="TYE5" s="37"/>
      <c r="TYF5" s="37"/>
      <c r="TYG5" s="37"/>
      <c r="TYH5" s="37"/>
      <c r="TYI5" s="37"/>
      <c r="TYJ5" s="37"/>
      <c r="TYK5" s="37"/>
      <c r="TYL5" s="37"/>
      <c r="TYM5" s="37"/>
      <c r="TYN5" s="37"/>
      <c r="TYO5" s="37"/>
      <c r="TYP5" s="37"/>
      <c r="TYQ5" s="37"/>
      <c r="TYR5" s="37"/>
      <c r="TYS5" s="37"/>
      <c r="TYT5" s="37"/>
      <c r="TYU5" s="37"/>
      <c r="TYV5" s="37"/>
      <c r="TYW5" s="37"/>
      <c r="TYX5" s="37"/>
      <c r="TYY5" s="37"/>
      <c r="TYZ5" s="37"/>
      <c r="TZA5" s="37"/>
      <c r="TZB5" s="37"/>
      <c r="TZC5" s="37"/>
      <c r="TZD5" s="37"/>
      <c r="TZE5" s="37"/>
      <c r="TZF5" s="37"/>
      <c r="TZG5" s="37"/>
      <c r="TZH5" s="37"/>
      <c r="TZI5" s="37"/>
      <c r="TZJ5" s="37"/>
      <c r="TZK5" s="37"/>
      <c r="TZL5" s="37"/>
      <c r="TZM5" s="37"/>
      <c r="TZN5" s="37"/>
      <c r="TZO5" s="37"/>
      <c r="TZP5" s="37"/>
      <c r="TZQ5" s="37"/>
      <c r="TZR5" s="37"/>
      <c r="TZS5" s="37"/>
      <c r="TZT5" s="37"/>
      <c r="TZU5" s="37"/>
      <c r="TZV5" s="37"/>
      <c r="TZW5" s="37"/>
      <c r="TZX5" s="37"/>
      <c r="TZY5" s="37"/>
      <c r="TZZ5" s="37"/>
      <c r="UAA5" s="37"/>
      <c r="UAB5" s="37"/>
      <c r="UAC5" s="37"/>
      <c r="UAD5" s="37"/>
      <c r="UAE5" s="37"/>
      <c r="UAF5" s="37"/>
      <c r="UAG5" s="37"/>
      <c r="UAH5" s="37"/>
      <c r="UAI5" s="37"/>
      <c r="UAJ5" s="37"/>
      <c r="UAK5" s="37"/>
      <c r="UAL5" s="37"/>
      <c r="UAM5" s="37"/>
      <c r="UAN5" s="37"/>
      <c r="UAO5" s="37"/>
      <c r="UAP5" s="37"/>
      <c r="UAQ5" s="37"/>
      <c r="UAR5" s="37"/>
      <c r="UAS5" s="37"/>
      <c r="UAT5" s="37"/>
      <c r="UAU5" s="37"/>
      <c r="UAV5" s="37"/>
      <c r="UAW5" s="37"/>
      <c r="UAX5" s="37"/>
      <c r="UAY5" s="37"/>
      <c r="UAZ5" s="37"/>
      <c r="UBA5" s="37"/>
      <c r="UBB5" s="37"/>
      <c r="UBC5" s="37"/>
      <c r="UBD5" s="37"/>
      <c r="UBE5" s="37"/>
      <c r="UBF5" s="37"/>
      <c r="UBG5" s="37"/>
      <c r="UBH5" s="37"/>
      <c r="UBI5" s="37"/>
      <c r="UBJ5" s="37"/>
      <c r="UBK5" s="37"/>
      <c r="UBL5" s="37"/>
      <c r="UBM5" s="37"/>
      <c r="UBN5" s="37"/>
      <c r="UBO5" s="37"/>
      <c r="UBP5" s="37"/>
      <c r="UBQ5" s="37"/>
      <c r="UBR5" s="37"/>
      <c r="UBS5" s="37"/>
      <c r="UBT5" s="37"/>
      <c r="UBU5" s="37"/>
      <c r="UBV5" s="37"/>
      <c r="UBW5" s="37"/>
      <c r="UBX5" s="37"/>
      <c r="UBY5" s="37"/>
      <c r="UBZ5" s="37"/>
      <c r="UCA5" s="37"/>
      <c r="UCB5" s="37"/>
      <c r="UCC5" s="37"/>
      <c r="UCD5" s="37"/>
      <c r="UCE5" s="37"/>
      <c r="UCF5" s="37"/>
      <c r="UCG5" s="37"/>
      <c r="UCH5" s="37"/>
      <c r="UCI5" s="37"/>
      <c r="UCJ5" s="37"/>
      <c r="UCK5" s="37"/>
      <c r="UCL5" s="37"/>
      <c r="UCM5" s="37"/>
      <c r="UCN5" s="37"/>
      <c r="UCO5" s="37"/>
      <c r="UCP5" s="37"/>
      <c r="UCQ5" s="37"/>
      <c r="UCR5" s="37"/>
      <c r="UCS5" s="37"/>
      <c r="UCT5" s="37"/>
      <c r="UCU5" s="37"/>
      <c r="UCV5" s="37"/>
      <c r="UCW5" s="37"/>
      <c r="UCX5" s="37"/>
      <c r="UCY5" s="37"/>
      <c r="UCZ5" s="37"/>
      <c r="UDA5" s="37"/>
      <c r="UDB5" s="37"/>
      <c r="UDC5" s="37"/>
      <c r="UDD5" s="37"/>
      <c r="UDE5" s="37"/>
      <c r="UDF5" s="37"/>
      <c r="UDG5" s="37"/>
      <c r="UDH5" s="37"/>
      <c r="UDI5" s="37"/>
      <c r="UDJ5" s="37"/>
      <c r="UDK5" s="37"/>
      <c r="UDL5" s="37"/>
      <c r="UDM5" s="37"/>
      <c r="UDN5" s="37"/>
      <c r="UDO5" s="37"/>
      <c r="UDP5" s="37"/>
      <c r="UDQ5" s="37"/>
      <c r="UDR5" s="37"/>
      <c r="UDS5" s="37"/>
      <c r="UDT5" s="37"/>
      <c r="UDU5" s="37"/>
      <c r="UDV5" s="37"/>
      <c r="UDW5" s="37"/>
      <c r="UDX5" s="37"/>
      <c r="UDY5" s="37"/>
      <c r="UDZ5" s="37"/>
      <c r="UEA5" s="37"/>
      <c r="UEB5" s="37"/>
      <c r="UEC5" s="37"/>
      <c r="UED5" s="37"/>
      <c r="UEE5" s="37"/>
      <c r="UEF5" s="37"/>
      <c r="UEG5" s="37"/>
      <c r="UEH5" s="37"/>
      <c r="UEI5" s="37"/>
      <c r="UEJ5" s="37"/>
      <c r="UEK5" s="37"/>
      <c r="UEL5" s="37"/>
      <c r="UEM5" s="37"/>
      <c r="UEN5" s="37"/>
      <c r="UEO5" s="37"/>
      <c r="UEP5" s="37"/>
      <c r="UEQ5" s="37"/>
      <c r="UER5" s="37"/>
      <c r="UES5" s="37"/>
      <c r="UET5" s="37"/>
      <c r="UEU5" s="37"/>
      <c r="UEV5" s="37"/>
      <c r="UEW5" s="37"/>
      <c r="UEX5" s="37"/>
      <c r="UEY5" s="37"/>
      <c r="UEZ5" s="37"/>
      <c r="UFA5" s="37"/>
      <c r="UFB5" s="37"/>
      <c r="UFC5" s="37"/>
      <c r="UFD5" s="37"/>
      <c r="UFE5" s="37"/>
      <c r="UFF5" s="37"/>
      <c r="UFG5" s="37"/>
      <c r="UFH5" s="37"/>
      <c r="UFI5" s="37"/>
      <c r="UFJ5" s="37"/>
      <c r="UFK5" s="37"/>
      <c r="UFL5" s="37"/>
      <c r="UFM5" s="37"/>
      <c r="UFN5" s="37"/>
      <c r="UFO5" s="37"/>
      <c r="UFP5" s="37"/>
      <c r="UFQ5" s="37"/>
      <c r="UFR5" s="37"/>
      <c r="UFS5" s="37"/>
      <c r="UFT5" s="37"/>
      <c r="UFU5" s="37"/>
      <c r="UFV5" s="37"/>
      <c r="UFW5" s="37"/>
      <c r="UFX5" s="37"/>
      <c r="UFY5" s="37"/>
      <c r="UFZ5" s="37"/>
      <c r="UGA5" s="37"/>
      <c r="UGB5" s="37"/>
      <c r="UGC5" s="37"/>
      <c r="UGD5" s="37"/>
      <c r="UGE5" s="37"/>
      <c r="UGF5" s="37"/>
      <c r="UGG5" s="37"/>
      <c r="UGH5" s="37"/>
      <c r="UGI5" s="37"/>
      <c r="UGJ5" s="37"/>
      <c r="UGK5" s="37"/>
      <c r="UGL5" s="37"/>
      <c r="UGM5" s="37"/>
      <c r="UGN5" s="37"/>
      <c r="UGO5" s="37"/>
      <c r="UGP5" s="37"/>
      <c r="UGQ5" s="37"/>
      <c r="UGR5" s="37"/>
      <c r="UGS5" s="37"/>
      <c r="UGT5" s="37"/>
      <c r="UGU5" s="37"/>
      <c r="UGV5" s="37"/>
      <c r="UGW5" s="37"/>
      <c r="UGX5" s="37"/>
      <c r="UGY5" s="37"/>
      <c r="UGZ5" s="37"/>
      <c r="UHA5" s="37"/>
      <c r="UHB5" s="37"/>
      <c r="UHC5" s="37"/>
      <c r="UHD5" s="37"/>
      <c r="UHE5" s="37"/>
      <c r="UHF5" s="37"/>
      <c r="UHG5" s="37"/>
      <c r="UHH5" s="37"/>
      <c r="UHI5" s="37"/>
      <c r="UHJ5" s="37"/>
      <c r="UHK5" s="37"/>
      <c r="UHL5" s="37"/>
      <c r="UHM5" s="37"/>
      <c r="UHN5" s="37"/>
      <c r="UHO5" s="37"/>
      <c r="UHP5" s="37"/>
      <c r="UHQ5" s="37"/>
      <c r="UHR5" s="37"/>
      <c r="UHS5" s="37"/>
      <c r="UHT5" s="37"/>
      <c r="UHU5" s="37"/>
      <c r="UHV5" s="37"/>
      <c r="UHW5" s="37"/>
      <c r="UHX5" s="37"/>
      <c r="UHY5" s="37"/>
      <c r="UHZ5" s="37"/>
      <c r="UIA5" s="37"/>
      <c r="UIB5" s="37"/>
      <c r="UIC5" s="37"/>
      <c r="UID5" s="37"/>
      <c r="UIE5" s="37"/>
      <c r="UIF5" s="37"/>
      <c r="UIG5" s="37"/>
      <c r="UIH5" s="37"/>
      <c r="UII5" s="37"/>
      <c r="UIJ5" s="37"/>
      <c r="UIK5" s="37"/>
      <c r="UIL5" s="37"/>
      <c r="UIM5" s="37"/>
      <c r="UIN5" s="37"/>
      <c r="UIO5" s="37"/>
      <c r="UIP5" s="37"/>
      <c r="UIQ5" s="37"/>
      <c r="UIR5" s="37"/>
      <c r="UIS5" s="37"/>
      <c r="UIT5" s="37"/>
      <c r="UIU5" s="37"/>
      <c r="UIV5" s="37"/>
      <c r="UIW5" s="37"/>
      <c r="UIX5" s="37"/>
      <c r="UIY5" s="37"/>
      <c r="UIZ5" s="37"/>
      <c r="UJA5" s="37"/>
      <c r="UJB5" s="37"/>
      <c r="UJC5" s="37"/>
      <c r="UJD5" s="37"/>
      <c r="UJE5" s="37"/>
      <c r="UJF5" s="37"/>
      <c r="UJG5" s="37"/>
      <c r="UJH5" s="37"/>
      <c r="UJI5" s="37"/>
      <c r="UJJ5" s="37"/>
      <c r="UJK5" s="37"/>
      <c r="UJL5" s="37"/>
      <c r="UJM5" s="37"/>
      <c r="UJN5" s="37"/>
      <c r="UJO5" s="37"/>
      <c r="UJP5" s="37"/>
      <c r="UJQ5" s="37"/>
      <c r="UJR5" s="37"/>
      <c r="UJS5" s="37"/>
      <c r="UJT5" s="37"/>
      <c r="UJU5" s="37"/>
      <c r="UJV5" s="37"/>
      <c r="UJW5" s="37"/>
      <c r="UJX5" s="37"/>
      <c r="UJY5" s="37"/>
      <c r="UJZ5" s="37"/>
      <c r="UKA5" s="37"/>
      <c r="UKB5" s="37"/>
      <c r="UKC5" s="37"/>
      <c r="UKD5" s="37"/>
      <c r="UKE5" s="37"/>
      <c r="UKF5" s="37"/>
      <c r="UKG5" s="37"/>
      <c r="UKH5" s="37"/>
      <c r="UKI5" s="37"/>
      <c r="UKJ5" s="37"/>
      <c r="UKK5" s="37"/>
      <c r="UKL5" s="37"/>
      <c r="UKM5" s="37"/>
      <c r="UKN5" s="37"/>
      <c r="UKO5" s="37"/>
      <c r="UKP5" s="37"/>
      <c r="UKQ5" s="37"/>
      <c r="UKR5" s="37"/>
      <c r="UKS5" s="37"/>
      <c r="UKT5" s="37"/>
      <c r="UKU5" s="37"/>
      <c r="UKV5" s="37"/>
      <c r="UKW5" s="37"/>
      <c r="UKX5" s="37"/>
      <c r="UKY5" s="37"/>
      <c r="UKZ5" s="37"/>
      <c r="ULA5" s="37"/>
      <c r="ULB5" s="37"/>
      <c r="ULC5" s="37"/>
      <c r="ULD5" s="37"/>
      <c r="ULE5" s="37"/>
      <c r="ULF5" s="37"/>
      <c r="ULG5" s="37"/>
      <c r="ULH5" s="37"/>
      <c r="ULI5" s="37"/>
      <c r="ULJ5" s="37"/>
      <c r="ULK5" s="37"/>
      <c r="ULL5" s="37"/>
      <c r="ULM5" s="37"/>
      <c r="ULN5" s="37"/>
      <c r="ULO5" s="37"/>
      <c r="ULP5" s="37"/>
      <c r="ULQ5" s="37"/>
      <c r="ULR5" s="37"/>
      <c r="ULS5" s="37"/>
      <c r="ULT5" s="37"/>
      <c r="ULU5" s="37"/>
      <c r="ULV5" s="37"/>
      <c r="ULW5" s="37"/>
      <c r="ULX5" s="37"/>
      <c r="ULY5" s="37"/>
      <c r="ULZ5" s="37"/>
      <c r="UMA5" s="37"/>
      <c r="UMB5" s="37"/>
      <c r="UMC5" s="37"/>
      <c r="UMD5" s="37"/>
      <c r="UME5" s="37"/>
      <c r="UMF5" s="37"/>
      <c r="UMG5" s="37"/>
      <c r="UMH5" s="37"/>
      <c r="UMI5" s="37"/>
      <c r="UMJ5" s="37"/>
      <c r="UMK5" s="37"/>
      <c r="UML5" s="37"/>
      <c r="UMM5" s="37"/>
      <c r="UMN5" s="37"/>
      <c r="UMO5" s="37"/>
      <c r="UMP5" s="37"/>
      <c r="UMQ5" s="37"/>
      <c r="UMR5" s="37"/>
      <c r="UMS5" s="37"/>
      <c r="UMT5" s="37"/>
      <c r="UMU5" s="37"/>
      <c r="UMV5" s="37"/>
      <c r="UMW5" s="37"/>
      <c r="UMX5" s="37"/>
      <c r="UMY5" s="37"/>
      <c r="UMZ5" s="37"/>
      <c r="UNA5" s="37"/>
      <c r="UNB5" s="37"/>
      <c r="UNC5" s="37"/>
      <c r="UND5" s="37"/>
      <c r="UNE5" s="37"/>
      <c r="UNF5" s="37"/>
      <c r="UNG5" s="37"/>
      <c r="UNH5" s="37"/>
      <c r="UNI5" s="37"/>
      <c r="UNJ5" s="37"/>
      <c r="UNK5" s="37"/>
      <c r="UNL5" s="37"/>
      <c r="UNM5" s="37"/>
      <c r="UNN5" s="37"/>
      <c r="UNO5" s="37"/>
      <c r="UNP5" s="37"/>
      <c r="UNQ5" s="37"/>
      <c r="UNR5" s="37"/>
      <c r="UNS5" s="37"/>
      <c r="UNT5" s="37"/>
      <c r="UNU5" s="37"/>
      <c r="UNV5" s="37"/>
      <c r="UNW5" s="37"/>
      <c r="UNX5" s="37"/>
      <c r="UNY5" s="37"/>
      <c r="UNZ5" s="37"/>
      <c r="UOA5" s="37"/>
      <c r="UOB5" s="37"/>
      <c r="UOC5" s="37"/>
      <c r="UOD5" s="37"/>
      <c r="UOE5" s="37"/>
      <c r="UOF5" s="37"/>
      <c r="UOG5" s="37"/>
      <c r="UOH5" s="37"/>
      <c r="UOI5" s="37"/>
      <c r="UOJ5" s="37"/>
      <c r="UOK5" s="37"/>
      <c r="UOL5" s="37"/>
      <c r="UOM5" s="37"/>
      <c r="UON5" s="37"/>
      <c r="UOO5" s="37"/>
      <c r="UOP5" s="37"/>
      <c r="UOQ5" s="37"/>
      <c r="UOR5" s="37"/>
      <c r="UOS5" s="37"/>
      <c r="UOT5" s="37"/>
      <c r="UOU5" s="37"/>
      <c r="UOV5" s="37"/>
      <c r="UOW5" s="37"/>
      <c r="UOX5" s="37"/>
      <c r="UOY5" s="37"/>
      <c r="UOZ5" s="37"/>
      <c r="UPA5" s="37"/>
      <c r="UPB5" s="37"/>
      <c r="UPC5" s="37"/>
      <c r="UPD5" s="37"/>
      <c r="UPE5" s="37"/>
      <c r="UPF5" s="37"/>
      <c r="UPG5" s="37"/>
      <c r="UPH5" s="37"/>
      <c r="UPI5" s="37"/>
      <c r="UPJ5" s="37"/>
      <c r="UPK5" s="37"/>
      <c r="UPL5" s="37"/>
      <c r="UPM5" s="37"/>
      <c r="UPN5" s="37"/>
      <c r="UPO5" s="37"/>
      <c r="UPP5" s="37"/>
      <c r="UPQ5" s="37"/>
      <c r="UPR5" s="37"/>
      <c r="UPS5" s="37"/>
      <c r="UPT5" s="37"/>
      <c r="UPU5" s="37"/>
      <c r="UPV5" s="37"/>
      <c r="UPW5" s="37"/>
      <c r="UPX5" s="37"/>
      <c r="UPY5" s="37"/>
      <c r="UPZ5" s="37"/>
      <c r="UQA5" s="37"/>
      <c r="UQB5" s="37"/>
      <c r="UQC5" s="37"/>
      <c r="UQD5" s="37"/>
      <c r="UQE5" s="37"/>
      <c r="UQF5" s="37"/>
      <c r="UQG5" s="37"/>
      <c r="UQH5" s="37"/>
      <c r="UQI5" s="37"/>
      <c r="UQJ5" s="37"/>
      <c r="UQK5" s="37"/>
      <c r="UQL5" s="37"/>
      <c r="UQM5" s="37"/>
      <c r="UQN5" s="37"/>
      <c r="UQO5" s="37"/>
      <c r="UQP5" s="37"/>
      <c r="UQQ5" s="37"/>
      <c r="UQR5" s="37"/>
      <c r="UQS5" s="37"/>
      <c r="UQT5" s="37"/>
      <c r="UQU5" s="37"/>
      <c r="UQV5" s="37"/>
      <c r="UQW5" s="37"/>
      <c r="UQX5" s="37"/>
      <c r="UQY5" s="37"/>
      <c r="UQZ5" s="37"/>
      <c r="URA5" s="37"/>
      <c r="URB5" s="37"/>
      <c r="URC5" s="37"/>
      <c r="URD5" s="37"/>
      <c r="URE5" s="37"/>
      <c r="URF5" s="37"/>
      <c r="URG5" s="37"/>
      <c r="URH5" s="37"/>
      <c r="URI5" s="37"/>
      <c r="URJ5" s="37"/>
      <c r="URK5" s="37"/>
      <c r="URL5" s="37"/>
      <c r="URM5" s="37"/>
      <c r="URN5" s="37"/>
      <c r="URO5" s="37"/>
      <c r="URP5" s="37"/>
      <c r="URQ5" s="37"/>
      <c r="URR5" s="37"/>
      <c r="URS5" s="37"/>
      <c r="URT5" s="37"/>
      <c r="URU5" s="37"/>
      <c r="URV5" s="37"/>
      <c r="URW5" s="37"/>
      <c r="URX5" s="37"/>
      <c r="URY5" s="37"/>
      <c r="URZ5" s="37"/>
      <c r="USA5" s="37"/>
      <c r="USB5" s="37"/>
      <c r="USC5" s="37"/>
      <c r="USD5" s="37"/>
      <c r="USE5" s="37"/>
      <c r="USF5" s="37"/>
      <c r="USG5" s="37"/>
      <c r="USH5" s="37"/>
      <c r="USI5" s="37"/>
      <c r="USJ5" s="37"/>
      <c r="USK5" s="37"/>
      <c r="USL5" s="37"/>
      <c r="USM5" s="37"/>
      <c r="USN5" s="37"/>
      <c r="USO5" s="37"/>
      <c r="USP5" s="37"/>
      <c r="USQ5" s="37"/>
      <c r="USR5" s="37"/>
      <c r="USS5" s="37"/>
      <c r="UST5" s="37"/>
      <c r="USU5" s="37"/>
      <c r="USV5" s="37"/>
      <c r="USW5" s="37"/>
      <c r="USX5" s="37"/>
      <c r="USY5" s="37"/>
      <c r="USZ5" s="37"/>
      <c r="UTA5" s="37"/>
      <c r="UTB5" s="37"/>
      <c r="UTC5" s="37"/>
      <c r="UTD5" s="37"/>
      <c r="UTE5" s="37"/>
      <c r="UTF5" s="37"/>
      <c r="UTG5" s="37"/>
      <c r="UTH5" s="37"/>
      <c r="UTI5" s="37"/>
      <c r="UTJ5" s="37"/>
      <c r="UTK5" s="37"/>
      <c r="UTL5" s="37"/>
      <c r="UTM5" s="37"/>
      <c r="UTN5" s="37"/>
      <c r="UTO5" s="37"/>
      <c r="UTP5" s="37"/>
      <c r="UTQ5" s="37"/>
      <c r="UTR5" s="37"/>
      <c r="UTS5" s="37"/>
      <c r="UTT5" s="37"/>
      <c r="UTU5" s="37"/>
      <c r="UTV5" s="37"/>
      <c r="UTW5" s="37"/>
      <c r="UTX5" s="37"/>
      <c r="UTY5" s="37"/>
      <c r="UTZ5" s="37"/>
      <c r="UUA5" s="37"/>
      <c r="UUB5" s="37"/>
      <c r="UUC5" s="37"/>
      <c r="UUD5" s="37"/>
      <c r="UUE5" s="37"/>
      <c r="UUF5" s="37"/>
      <c r="UUG5" s="37"/>
      <c r="UUH5" s="37"/>
      <c r="UUI5" s="37"/>
      <c r="UUJ5" s="37"/>
      <c r="UUK5" s="37"/>
      <c r="UUL5" s="37"/>
      <c r="UUM5" s="37"/>
      <c r="UUN5" s="37"/>
      <c r="UUO5" s="37"/>
      <c r="UUP5" s="37"/>
      <c r="UUQ5" s="37"/>
      <c r="UUR5" s="37"/>
      <c r="UUS5" s="37"/>
      <c r="UUT5" s="37"/>
      <c r="UUU5" s="37"/>
      <c r="UUV5" s="37"/>
      <c r="UUW5" s="37"/>
      <c r="UUX5" s="37"/>
      <c r="UUY5" s="37"/>
      <c r="UUZ5" s="37"/>
      <c r="UVA5" s="37"/>
      <c r="UVB5" s="37"/>
      <c r="UVC5" s="37"/>
      <c r="UVD5" s="37"/>
      <c r="UVE5" s="37"/>
      <c r="UVF5" s="37"/>
      <c r="UVG5" s="37"/>
      <c r="UVH5" s="37"/>
      <c r="UVI5" s="37"/>
      <c r="UVJ5" s="37"/>
      <c r="UVK5" s="37"/>
      <c r="UVL5" s="37"/>
      <c r="UVM5" s="37"/>
      <c r="UVN5" s="37"/>
      <c r="UVO5" s="37"/>
      <c r="UVP5" s="37"/>
      <c r="UVQ5" s="37"/>
      <c r="UVR5" s="37"/>
      <c r="UVS5" s="37"/>
      <c r="UVT5" s="37"/>
      <c r="UVU5" s="37"/>
      <c r="UVV5" s="37"/>
      <c r="UVW5" s="37"/>
      <c r="UVX5" s="37"/>
      <c r="UVY5" s="37"/>
      <c r="UVZ5" s="37"/>
      <c r="UWA5" s="37"/>
      <c r="UWB5" s="37"/>
      <c r="UWC5" s="37"/>
      <c r="UWD5" s="37"/>
      <c r="UWE5" s="37"/>
      <c r="UWF5" s="37"/>
      <c r="UWG5" s="37"/>
      <c r="UWH5" s="37"/>
      <c r="UWI5" s="37"/>
      <c r="UWJ5" s="37"/>
      <c r="UWK5" s="37"/>
      <c r="UWL5" s="37"/>
      <c r="UWM5" s="37"/>
      <c r="UWN5" s="37"/>
      <c r="UWO5" s="37"/>
      <c r="UWP5" s="37"/>
      <c r="UWQ5" s="37"/>
      <c r="UWR5" s="37"/>
      <c r="UWS5" s="37"/>
      <c r="UWT5" s="37"/>
      <c r="UWU5" s="37"/>
      <c r="UWV5" s="37"/>
      <c r="UWW5" s="37"/>
      <c r="UWX5" s="37"/>
      <c r="UWY5" s="37"/>
      <c r="UWZ5" s="37"/>
      <c r="UXA5" s="37"/>
      <c r="UXB5" s="37"/>
      <c r="UXC5" s="37"/>
      <c r="UXD5" s="37"/>
      <c r="UXE5" s="37"/>
      <c r="UXF5" s="37"/>
      <c r="UXG5" s="37"/>
      <c r="UXH5" s="37"/>
      <c r="UXI5" s="37"/>
      <c r="UXJ5" s="37"/>
      <c r="UXK5" s="37"/>
      <c r="UXL5" s="37"/>
      <c r="UXM5" s="37"/>
      <c r="UXN5" s="37"/>
      <c r="UXO5" s="37"/>
      <c r="UXP5" s="37"/>
      <c r="UXQ5" s="37"/>
      <c r="UXR5" s="37"/>
      <c r="UXS5" s="37"/>
      <c r="UXT5" s="37"/>
      <c r="UXU5" s="37"/>
      <c r="UXV5" s="37"/>
      <c r="UXW5" s="37"/>
      <c r="UXX5" s="37"/>
      <c r="UXY5" s="37"/>
      <c r="UXZ5" s="37"/>
      <c r="UYA5" s="37"/>
      <c r="UYB5" s="37"/>
      <c r="UYC5" s="37"/>
      <c r="UYD5" s="37"/>
      <c r="UYE5" s="37"/>
      <c r="UYF5" s="37"/>
      <c r="UYG5" s="37"/>
      <c r="UYH5" s="37"/>
      <c r="UYI5" s="37"/>
      <c r="UYJ5" s="37"/>
      <c r="UYK5" s="37"/>
      <c r="UYL5" s="37"/>
      <c r="UYM5" s="37"/>
      <c r="UYN5" s="37"/>
      <c r="UYO5" s="37"/>
      <c r="UYP5" s="37"/>
      <c r="UYQ5" s="37"/>
      <c r="UYR5" s="37"/>
      <c r="UYS5" s="37"/>
      <c r="UYT5" s="37"/>
      <c r="UYU5" s="37"/>
      <c r="UYV5" s="37"/>
      <c r="UYW5" s="37"/>
      <c r="UYX5" s="37"/>
      <c r="UYY5" s="37"/>
      <c r="UYZ5" s="37"/>
      <c r="UZA5" s="37"/>
      <c r="UZB5" s="37"/>
      <c r="UZC5" s="37"/>
      <c r="UZD5" s="37"/>
      <c r="UZE5" s="37"/>
      <c r="UZF5" s="37"/>
      <c r="UZG5" s="37"/>
      <c r="UZH5" s="37"/>
      <c r="UZI5" s="37"/>
      <c r="UZJ5" s="37"/>
      <c r="UZK5" s="37"/>
      <c r="UZL5" s="37"/>
      <c r="UZM5" s="37"/>
      <c r="UZN5" s="37"/>
      <c r="UZO5" s="37"/>
      <c r="UZP5" s="37"/>
      <c r="UZQ5" s="37"/>
      <c r="UZR5" s="37"/>
      <c r="UZS5" s="37"/>
      <c r="UZT5" s="37"/>
      <c r="UZU5" s="37"/>
      <c r="UZV5" s="37"/>
      <c r="UZW5" s="37"/>
      <c r="UZX5" s="37"/>
      <c r="UZY5" s="37"/>
      <c r="UZZ5" s="37"/>
      <c r="VAA5" s="37"/>
      <c r="VAB5" s="37"/>
      <c r="VAC5" s="37"/>
      <c r="VAD5" s="37"/>
      <c r="VAE5" s="37"/>
      <c r="VAF5" s="37"/>
      <c r="VAG5" s="37"/>
      <c r="VAH5" s="37"/>
      <c r="VAI5" s="37"/>
      <c r="VAJ5" s="37"/>
      <c r="VAK5" s="37"/>
      <c r="VAL5" s="37"/>
      <c r="VAM5" s="37"/>
      <c r="VAN5" s="37"/>
      <c r="VAO5" s="37"/>
      <c r="VAP5" s="37"/>
      <c r="VAQ5" s="37"/>
      <c r="VAR5" s="37"/>
      <c r="VAS5" s="37"/>
      <c r="VAT5" s="37"/>
      <c r="VAU5" s="37"/>
      <c r="VAV5" s="37"/>
      <c r="VAW5" s="37"/>
      <c r="VAX5" s="37"/>
      <c r="VAY5" s="37"/>
      <c r="VAZ5" s="37"/>
      <c r="VBA5" s="37"/>
      <c r="VBB5" s="37"/>
      <c r="VBC5" s="37"/>
      <c r="VBD5" s="37"/>
      <c r="VBE5" s="37"/>
      <c r="VBF5" s="37"/>
      <c r="VBG5" s="37"/>
      <c r="VBH5" s="37"/>
      <c r="VBI5" s="37"/>
      <c r="VBJ5" s="37"/>
      <c r="VBK5" s="37"/>
      <c r="VBL5" s="37"/>
      <c r="VBM5" s="37"/>
      <c r="VBN5" s="37"/>
      <c r="VBO5" s="37"/>
      <c r="VBP5" s="37"/>
      <c r="VBQ5" s="37"/>
      <c r="VBR5" s="37"/>
      <c r="VBS5" s="37"/>
      <c r="VBT5" s="37"/>
      <c r="VBU5" s="37"/>
      <c r="VBV5" s="37"/>
      <c r="VBW5" s="37"/>
      <c r="VBX5" s="37"/>
      <c r="VBY5" s="37"/>
      <c r="VBZ5" s="37"/>
      <c r="VCA5" s="37"/>
      <c r="VCB5" s="37"/>
      <c r="VCC5" s="37"/>
      <c r="VCD5" s="37"/>
      <c r="VCE5" s="37"/>
      <c r="VCF5" s="37"/>
      <c r="VCG5" s="37"/>
      <c r="VCH5" s="37"/>
      <c r="VCI5" s="37"/>
      <c r="VCJ5" s="37"/>
      <c r="VCK5" s="37"/>
      <c r="VCL5" s="37"/>
      <c r="VCM5" s="37"/>
      <c r="VCN5" s="37"/>
      <c r="VCO5" s="37"/>
      <c r="VCP5" s="37"/>
      <c r="VCQ5" s="37"/>
      <c r="VCR5" s="37"/>
      <c r="VCS5" s="37"/>
      <c r="VCT5" s="37"/>
      <c r="VCU5" s="37"/>
      <c r="VCV5" s="37"/>
      <c r="VCW5" s="37"/>
      <c r="VCX5" s="37"/>
      <c r="VCY5" s="37"/>
      <c r="VCZ5" s="37"/>
      <c r="VDA5" s="37"/>
      <c r="VDB5" s="37"/>
      <c r="VDC5" s="37"/>
      <c r="VDD5" s="37"/>
      <c r="VDE5" s="37"/>
      <c r="VDF5" s="37"/>
      <c r="VDG5" s="37"/>
      <c r="VDH5" s="37"/>
      <c r="VDI5" s="37"/>
      <c r="VDJ5" s="37"/>
      <c r="VDK5" s="37"/>
      <c r="VDL5" s="37"/>
      <c r="VDM5" s="37"/>
      <c r="VDN5" s="37"/>
      <c r="VDO5" s="37"/>
      <c r="VDP5" s="37"/>
      <c r="VDQ5" s="37"/>
      <c r="VDR5" s="37"/>
      <c r="VDS5" s="37"/>
      <c r="VDT5" s="37"/>
      <c r="VDU5" s="37"/>
      <c r="VDV5" s="37"/>
      <c r="VDW5" s="37"/>
      <c r="VDX5" s="37"/>
      <c r="VDY5" s="37"/>
      <c r="VDZ5" s="37"/>
      <c r="VEA5" s="37"/>
      <c r="VEB5" s="37"/>
      <c r="VEC5" s="37"/>
      <c r="VED5" s="37"/>
      <c r="VEE5" s="37"/>
      <c r="VEF5" s="37"/>
      <c r="VEG5" s="37"/>
      <c r="VEH5" s="37"/>
      <c r="VEI5" s="37"/>
      <c r="VEJ5" s="37"/>
      <c r="VEK5" s="37"/>
      <c r="VEL5" s="37"/>
      <c r="VEM5" s="37"/>
      <c r="VEN5" s="37"/>
      <c r="VEO5" s="37"/>
      <c r="VEP5" s="37"/>
      <c r="VEQ5" s="37"/>
      <c r="VER5" s="37"/>
      <c r="VES5" s="37"/>
      <c r="VET5" s="37"/>
      <c r="VEU5" s="37"/>
      <c r="VEV5" s="37"/>
      <c r="VEW5" s="37"/>
      <c r="VEX5" s="37"/>
      <c r="VEY5" s="37"/>
      <c r="VEZ5" s="37"/>
      <c r="VFA5" s="37"/>
      <c r="VFB5" s="37"/>
      <c r="VFC5" s="37"/>
      <c r="VFD5" s="37"/>
      <c r="VFE5" s="37"/>
      <c r="VFF5" s="37"/>
      <c r="VFG5" s="37"/>
      <c r="VFH5" s="37"/>
      <c r="VFI5" s="37"/>
      <c r="VFJ5" s="37"/>
      <c r="VFK5" s="37"/>
      <c r="VFL5" s="37"/>
      <c r="VFM5" s="37"/>
      <c r="VFN5" s="37"/>
      <c r="VFO5" s="37"/>
      <c r="VFP5" s="37"/>
      <c r="VFQ5" s="37"/>
      <c r="VFR5" s="37"/>
      <c r="VFS5" s="37"/>
      <c r="VFT5" s="37"/>
      <c r="VFU5" s="37"/>
      <c r="VFV5" s="37"/>
      <c r="VFW5" s="37"/>
      <c r="VFX5" s="37"/>
      <c r="VFY5" s="37"/>
      <c r="VFZ5" s="37"/>
      <c r="VGA5" s="37"/>
      <c r="VGB5" s="37"/>
      <c r="VGC5" s="37"/>
      <c r="VGD5" s="37"/>
      <c r="VGE5" s="37"/>
      <c r="VGF5" s="37"/>
      <c r="VGG5" s="37"/>
      <c r="VGH5" s="37"/>
      <c r="VGI5" s="37"/>
      <c r="VGJ5" s="37"/>
      <c r="VGK5" s="37"/>
      <c r="VGL5" s="37"/>
      <c r="VGM5" s="37"/>
      <c r="VGN5" s="37"/>
      <c r="VGO5" s="37"/>
      <c r="VGP5" s="37"/>
      <c r="VGQ5" s="37"/>
      <c r="VGR5" s="37"/>
      <c r="VGS5" s="37"/>
      <c r="VGT5" s="37"/>
      <c r="VGU5" s="37"/>
      <c r="VGV5" s="37"/>
      <c r="VGW5" s="37"/>
      <c r="VGX5" s="37"/>
      <c r="VGY5" s="37"/>
      <c r="VGZ5" s="37"/>
      <c r="VHA5" s="37"/>
      <c r="VHB5" s="37"/>
      <c r="VHC5" s="37"/>
      <c r="VHD5" s="37"/>
      <c r="VHE5" s="37"/>
      <c r="VHF5" s="37"/>
      <c r="VHG5" s="37"/>
      <c r="VHH5" s="37"/>
      <c r="VHI5" s="37"/>
      <c r="VHJ5" s="37"/>
      <c r="VHK5" s="37"/>
      <c r="VHL5" s="37"/>
      <c r="VHM5" s="37"/>
      <c r="VHN5" s="37"/>
      <c r="VHO5" s="37"/>
      <c r="VHP5" s="37"/>
      <c r="VHQ5" s="37"/>
      <c r="VHR5" s="37"/>
      <c r="VHS5" s="37"/>
      <c r="VHT5" s="37"/>
      <c r="VHU5" s="37"/>
      <c r="VHV5" s="37"/>
      <c r="VHW5" s="37"/>
      <c r="VHX5" s="37"/>
      <c r="VHY5" s="37"/>
      <c r="VHZ5" s="37"/>
      <c r="VIA5" s="37"/>
      <c r="VIB5" s="37"/>
      <c r="VIC5" s="37"/>
      <c r="VID5" s="37"/>
      <c r="VIE5" s="37"/>
      <c r="VIF5" s="37"/>
      <c r="VIG5" s="37"/>
      <c r="VIH5" s="37"/>
      <c r="VII5" s="37"/>
      <c r="VIJ5" s="37"/>
      <c r="VIK5" s="37"/>
      <c r="VIL5" s="37"/>
      <c r="VIM5" s="37"/>
      <c r="VIN5" s="37"/>
      <c r="VIO5" s="37"/>
      <c r="VIP5" s="37"/>
      <c r="VIQ5" s="37"/>
      <c r="VIR5" s="37"/>
      <c r="VIS5" s="37"/>
      <c r="VIT5" s="37"/>
      <c r="VIU5" s="37"/>
      <c r="VIV5" s="37"/>
      <c r="VIW5" s="37"/>
      <c r="VIX5" s="37"/>
      <c r="VIY5" s="37"/>
      <c r="VIZ5" s="37"/>
      <c r="VJA5" s="37"/>
      <c r="VJB5" s="37"/>
      <c r="VJC5" s="37"/>
      <c r="VJD5" s="37"/>
      <c r="VJE5" s="37"/>
      <c r="VJF5" s="37"/>
      <c r="VJG5" s="37"/>
      <c r="VJH5" s="37"/>
      <c r="VJI5" s="37"/>
      <c r="VJJ5" s="37"/>
      <c r="VJK5" s="37"/>
      <c r="VJL5" s="37"/>
      <c r="VJM5" s="37"/>
      <c r="VJN5" s="37"/>
      <c r="VJO5" s="37"/>
      <c r="VJP5" s="37"/>
      <c r="VJQ5" s="37"/>
      <c r="VJR5" s="37"/>
      <c r="VJS5" s="37"/>
      <c r="VJT5" s="37"/>
      <c r="VJU5" s="37"/>
      <c r="VJV5" s="37"/>
      <c r="VJW5" s="37"/>
      <c r="VJX5" s="37"/>
      <c r="VJY5" s="37"/>
      <c r="VJZ5" s="37"/>
      <c r="VKA5" s="37"/>
      <c r="VKB5" s="37"/>
      <c r="VKC5" s="37"/>
      <c r="VKD5" s="37"/>
      <c r="VKE5" s="37"/>
      <c r="VKF5" s="37"/>
      <c r="VKG5" s="37"/>
      <c r="VKH5" s="37"/>
      <c r="VKI5" s="37"/>
      <c r="VKJ5" s="37"/>
      <c r="VKK5" s="37"/>
      <c r="VKL5" s="37"/>
      <c r="VKM5" s="37"/>
      <c r="VKN5" s="37"/>
      <c r="VKO5" s="37"/>
      <c r="VKP5" s="37"/>
      <c r="VKQ5" s="37"/>
      <c r="VKR5" s="37"/>
      <c r="VKS5" s="37"/>
      <c r="VKT5" s="37"/>
      <c r="VKU5" s="37"/>
      <c r="VKV5" s="37"/>
      <c r="VKW5" s="37"/>
      <c r="VKX5" s="37"/>
      <c r="VKY5" s="37"/>
      <c r="VKZ5" s="37"/>
      <c r="VLA5" s="37"/>
      <c r="VLB5" s="37"/>
      <c r="VLC5" s="37"/>
      <c r="VLD5" s="37"/>
      <c r="VLE5" s="37"/>
      <c r="VLF5" s="37"/>
      <c r="VLG5" s="37"/>
      <c r="VLH5" s="37"/>
      <c r="VLI5" s="37"/>
      <c r="VLJ5" s="37"/>
      <c r="VLK5" s="37"/>
      <c r="VLL5" s="37"/>
      <c r="VLM5" s="37"/>
      <c r="VLN5" s="37"/>
      <c r="VLO5" s="37"/>
      <c r="VLP5" s="37"/>
      <c r="VLQ5" s="37"/>
      <c r="VLR5" s="37"/>
      <c r="VLS5" s="37"/>
      <c r="VLT5" s="37"/>
      <c r="VLU5" s="37"/>
      <c r="VLV5" s="37"/>
      <c r="VLW5" s="37"/>
      <c r="VLX5" s="37"/>
      <c r="VLY5" s="37"/>
      <c r="VLZ5" s="37"/>
      <c r="VMA5" s="37"/>
      <c r="VMB5" s="37"/>
      <c r="VMC5" s="37"/>
      <c r="VMD5" s="37"/>
      <c r="VME5" s="37"/>
      <c r="VMF5" s="37"/>
      <c r="VMG5" s="37"/>
      <c r="VMH5" s="37"/>
      <c r="VMI5" s="37"/>
      <c r="VMJ5" s="37"/>
      <c r="VMK5" s="37"/>
      <c r="VML5" s="37"/>
      <c r="VMM5" s="37"/>
      <c r="VMN5" s="37"/>
      <c r="VMO5" s="37"/>
      <c r="VMP5" s="37"/>
      <c r="VMQ5" s="37"/>
      <c r="VMR5" s="37"/>
      <c r="VMS5" s="37"/>
      <c r="VMT5" s="37"/>
      <c r="VMU5" s="37"/>
      <c r="VMV5" s="37"/>
      <c r="VMW5" s="37"/>
      <c r="VMX5" s="37"/>
      <c r="VMY5" s="37"/>
      <c r="VMZ5" s="37"/>
      <c r="VNA5" s="37"/>
      <c r="VNB5" s="37"/>
      <c r="VNC5" s="37"/>
      <c r="VND5" s="37"/>
      <c r="VNE5" s="37"/>
      <c r="VNF5" s="37"/>
      <c r="VNG5" s="37"/>
      <c r="VNH5" s="37"/>
      <c r="VNI5" s="37"/>
      <c r="VNJ5" s="37"/>
      <c r="VNK5" s="37"/>
      <c r="VNL5" s="37"/>
      <c r="VNM5" s="37"/>
      <c r="VNN5" s="37"/>
      <c r="VNO5" s="37"/>
      <c r="VNP5" s="37"/>
      <c r="VNQ5" s="37"/>
      <c r="VNR5" s="37"/>
      <c r="VNS5" s="37"/>
      <c r="VNT5" s="37"/>
      <c r="VNU5" s="37"/>
      <c r="VNV5" s="37"/>
      <c r="VNW5" s="37"/>
      <c r="VNX5" s="37"/>
      <c r="VNY5" s="37"/>
      <c r="VNZ5" s="37"/>
      <c r="VOA5" s="37"/>
      <c r="VOB5" s="37"/>
      <c r="VOC5" s="37"/>
      <c r="VOD5" s="37"/>
      <c r="VOE5" s="37"/>
      <c r="VOF5" s="37"/>
      <c r="VOG5" s="37"/>
      <c r="VOH5" s="37"/>
      <c r="VOI5" s="37"/>
      <c r="VOJ5" s="37"/>
      <c r="VOK5" s="37"/>
      <c r="VOL5" s="37"/>
      <c r="VOM5" s="37"/>
      <c r="VON5" s="37"/>
      <c r="VOO5" s="37"/>
      <c r="VOP5" s="37"/>
      <c r="VOQ5" s="37"/>
      <c r="VOR5" s="37"/>
      <c r="VOS5" s="37"/>
      <c r="VOT5" s="37"/>
      <c r="VOU5" s="37"/>
      <c r="VOV5" s="37"/>
      <c r="VOW5" s="37"/>
      <c r="VOX5" s="37"/>
      <c r="VOY5" s="37"/>
      <c r="VOZ5" s="37"/>
      <c r="VPA5" s="37"/>
      <c r="VPB5" s="37"/>
      <c r="VPC5" s="37"/>
      <c r="VPD5" s="37"/>
      <c r="VPE5" s="37"/>
      <c r="VPF5" s="37"/>
      <c r="VPG5" s="37"/>
      <c r="VPH5" s="37"/>
      <c r="VPI5" s="37"/>
      <c r="VPJ5" s="37"/>
      <c r="VPK5" s="37"/>
      <c r="VPL5" s="37"/>
      <c r="VPM5" s="37"/>
      <c r="VPN5" s="37"/>
      <c r="VPO5" s="37"/>
      <c r="VPP5" s="37"/>
      <c r="VPQ5" s="37"/>
      <c r="VPR5" s="37"/>
      <c r="VPS5" s="37"/>
      <c r="VPT5" s="37"/>
      <c r="VPU5" s="37"/>
      <c r="VPV5" s="37"/>
      <c r="VPW5" s="37"/>
      <c r="VPX5" s="37"/>
      <c r="VPY5" s="37"/>
      <c r="VPZ5" s="37"/>
      <c r="VQA5" s="37"/>
      <c r="VQB5" s="37"/>
      <c r="VQC5" s="37"/>
      <c r="VQD5" s="37"/>
      <c r="VQE5" s="37"/>
      <c r="VQF5" s="37"/>
      <c r="VQG5" s="37"/>
      <c r="VQH5" s="37"/>
      <c r="VQI5" s="37"/>
      <c r="VQJ5" s="37"/>
      <c r="VQK5" s="37"/>
      <c r="VQL5" s="37"/>
      <c r="VQM5" s="37"/>
      <c r="VQN5" s="37"/>
      <c r="VQO5" s="37"/>
      <c r="VQP5" s="37"/>
      <c r="VQQ5" s="37"/>
      <c r="VQR5" s="37"/>
      <c r="VQS5" s="37"/>
      <c r="VQT5" s="37"/>
      <c r="VQU5" s="37"/>
      <c r="VQV5" s="37"/>
      <c r="VQW5" s="37"/>
      <c r="VQX5" s="37"/>
      <c r="VQY5" s="37"/>
      <c r="VQZ5" s="37"/>
      <c r="VRA5" s="37"/>
      <c r="VRB5" s="37"/>
      <c r="VRC5" s="37"/>
      <c r="VRD5" s="37"/>
      <c r="VRE5" s="37"/>
      <c r="VRF5" s="37"/>
      <c r="VRG5" s="37"/>
      <c r="VRH5" s="37"/>
      <c r="VRI5" s="37"/>
      <c r="VRJ5" s="37"/>
      <c r="VRK5" s="37"/>
      <c r="VRL5" s="37"/>
      <c r="VRM5" s="37"/>
      <c r="VRN5" s="37"/>
      <c r="VRO5" s="37"/>
      <c r="VRP5" s="37"/>
      <c r="VRQ5" s="37"/>
      <c r="VRR5" s="37"/>
      <c r="VRS5" s="37"/>
      <c r="VRT5" s="37"/>
      <c r="VRU5" s="37"/>
      <c r="VRV5" s="37"/>
      <c r="VRW5" s="37"/>
      <c r="VRX5" s="37"/>
      <c r="VRY5" s="37"/>
      <c r="VRZ5" s="37"/>
      <c r="VSA5" s="37"/>
      <c r="VSB5" s="37"/>
      <c r="VSC5" s="37"/>
      <c r="VSD5" s="37"/>
      <c r="VSE5" s="37"/>
      <c r="VSF5" s="37"/>
      <c r="VSG5" s="37"/>
      <c r="VSH5" s="37"/>
      <c r="VSI5" s="37"/>
      <c r="VSJ5" s="37"/>
      <c r="VSK5" s="37"/>
      <c r="VSL5" s="37"/>
      <c r="VSM5" s="37"/>
      <c r="VSN5" s="37"/>
      <c r="VSO5" s="37"/>
      <c r="VSP5" s="37"/>
      <c r="VSQ5" s="37"/>
      <c r="VSR5" s="37"/>
      <c r="VSS5" s="37"/>
      <c r="VST5" s="37"/>
      <c r="VSU5" s="37"/>
      <c r="VSV5" s="37"/>
      <c r="VSW5" s="37"/>
      <c r="VSX5" s="37"/>
      <c r="VSY5" s="37"/>
      <c r="VSZ5" s="37"/>
      <c r="VTA5" s="37"/>
      <c r="VTB5" s="37"/>
      <c r="VTC5" s="37"/>
      <c r="VTD5" s="37"/>
      <c r="VTE5" s="37"/>
      <c r="VTF5" s="37"/>
      <c r="VTG5" s="37"/>
      <c r="VTH5" s="37"/>
      <c r="VTI5" s="37"/>
      <c r="VTJ5" s="37"/>
      <c r="VTK5" s="37"/>
      <c r="VTL5" s="37"/>
      <c r="VTM5" s="37"/>
      <c r="VTN5" s="37"/>
      <c r="VTO5" s="37"/>
      <c r="VTP5" s="37"/>
      <c r="VTQ5" s="37"/>
      <c r="VTR5" s="37"/>
      <c r="VTS5" s="37"/>
      <c r="VTT5" s="37"/>
      <c r="VTU5" s="37"/>
      <c r="VTV5" s="37"/>
      <c r="VTW5" s="37"/>
      <c r="VTX5" s="37"/>
      <c r="VTY5" s="37"/>
      <c r="VTZ5" s="37"/>
      <c r="VUA5" s="37"/>
      <c r="VUB5" s="37"/>
      <c r="VUC5" s="37"/>
      <c r="VUD5" s="37"/>
      <c r="VUE5" s="37"/>
      <c r="VUF5" s="37"/>
      <c r="VUG5" s="37"/>
      <c r="VUH5" s="37"/>
      <c r="VUI5" s="37"/>
      <c r="VUJ5" s="37"/>
      <c r="VUK5" s="37"/>
      <c r="VUL5" s="37"/>
      <c r="VUM5" s="37"/>
      <c r="VUN5" s="37"/>
      <c r="VUO5" s="37"/>
      <c r="VUP5" s="37"/>
      <c r="VUQ5" s="37"/>
      <c r="VUR5" s="37"/>
      <c r="VUS5" s="37"/>
      <c r="VUT5" s="37"/>
      <c r="VUU5" s="37"/>
      <c r="VUV5" s="37"/>
      <c r="VUW5" s="37"/>
      <c r="VUX5" s="37"/>
      <c r="VUY5" s="37"/>
      <c r="VUZ5" s="37"/>
      <c r="VVA5" s="37"/>
      <c r="VVB5" s="37"/>
      <c r="VVC5" s="37"/>
      <c r="VVD5" s="37"/>
      <c r="VVE5" s="37"/>
      <c r="VVF5" s="37"/>
      <c r="VVG5" s="37"/>
      <c r="VVH5" s="37"/>
      <c r="VVI5" s="37"/>
      <c r="VVJ5" s="37"/>
      <c r="VVK5" s="37"/>
      <c r="VVL5" s="37"/>
      <c r="VVM5" s="37"/>
      <c r="VVN5" s="37"/>
      <c r="VVO5" s="37"/>
      <c r="VVP5" s="37"/>
      <c r="VVQ5" s="37"/>
      <c r="VVR5" s="37"/>
      <c r="VVS5" s="37"/>
      <c r="VVT5" s="37"/>
      <c r="VVU5" s="37"/>
      <c r="VVV5" s="37"/>
      <c r="VVW5" s="37"/>
      <c r="VVX5" s="37"/>
      <c r="VVY5" s="37"/>
      <c r="VVZ5" s="37"/>
      <c r="VWA5" s="37"/>
      <c r="VWB5" s="37"/>
      <c r="VWC5" s="37"/>
      <c r="VWD5" s="37"/>
      <c r="VWE5" s="37"/>
      <c r="VWF5" s="37"/>
      <c r="VWG5" s="37"/>
      <c r="VWH5" s="37"/>
      <c r="VWI5" s="37"/>
      <c r="VWJ5" s="37"/>
      <c r="VWK5" s="37"/>
      <c r="VWL5" s="37"/>
      <c r="VWM5" s="37"/>
      <c r="VWN5" s="37"/>
      <c r="VWO5" s="37"/>
      <c r="VWP5" s="37"/>
      <c r="VWQ5" s="37"/>
      <c r="VWR5" s="37"/>
      <c r="VWS5" s="37"/>
      <c r="VWT5" s="37"/>
      <c r="VWU5" s="37"/>
      <c r="VWV5" s="37"/>
      <c r="VWW5" s="37"/>
      <c r="VWX5" s="37"/>
      <c r="VWY5" s="37"/>
      <c r="VWZ5" s="37"/>
      <c r="VXA5" s="37"/>
      <c r="VXB5" s="37"/>
      <c r="VXC5" s="37"/>
      <c r="VXD5" s="37"/>
      <c r="VXE5" s="37"/>
      <c r="VXF5" s="37"/>
      <c r="VXG5" s="37"/>
      <c r="VXH5" s="37"/>
      <c r="VXI5" s="37"/>
      <c r="VXJ5" s="37"/>
      <c r="VXK5" s="37"/>
      <c r="VXL5" s="37"/>
      <c r="VXM5" s="37"/>
      <c r="VXN5" s="37"/>
      <c r="VXO5" s="37"/>
      <c r="VXP5" s="37"/>
      <c r="VXQ5" s="37"/>
      <c r="VXR5" s="37"/>
      <c r="VXS5" s="37"/>
      <c r="VXT5" s="37"/>
      <c r="VXU5" s="37"/>
      <c r="VXV5" s="37"/>
      <c r="VXW5" s="37"/>
      <c r="VXX5" s="37"/>
      <c r="VXY5" s="37"/>
      <c r="VXZ5" s="37"/>
      <c r="VYA5" s="37"/>
      <c r="VYB5" s="37"/>
      <c r="VYC5" s="37"/>
      <c r="VYD5" s="37"/>
      <c r="VYE5" s="37"/>
      <c r="VYF5" s="37"/>
      <c r="VYG5" s="37"/>
      <c r="VYH5" s="37"/>
      <c r="VYI5" s="37"/>
      <c r="VYJ5" s="37"/>
      <c r="VYK5" s="37"/>
      <c r="VYL5" s="37"/>
      <c r="VYM5" s="37"/>
      <c r="VYN5" s="37"/>
      <c r="VYO5" s="37"/>
      <c r="VYP5" s="37"/>
      <c r="VYQ5" s="37"/>
      <c r="VYR5" s="37"/>
      <c r="VYS5" s="37"/>
      <c r="VYT5" s="37"/>
      <c r="VYU5" s="37"/>
      <c r="VYV5" s="37"/>
      <c r="VYW5" s="37"/>
      <c r="VYX5" s="37"/>
      <c r="VYY5" s="37"/>
      <c r="VYZ5" s="37"/>
      <c r="VZA5" s="37"/>
      <c r="VZB5" s="37"/>
      <c r="VZC5" s="37"/>
      <c r="VZD5" s="37"/>
      <c r="VZE5" s="37"/>
      <c r="VZF5" s="37"/>
      <c r="VZG5" s="37"/>
      <c r="VZH5" s="37"/>
      <c r="VZI5" s="37"/>
      <c r="VZJ5" s="37"/>
      <c r="VZK5" s="37"/>
      <c r="VZL5" s="37"/>
      <c r="VZM5" s="37"/>
      <c r="VZN5" s="37"/>
      <c r="VZO5" s="37"/>
      <c r="VZP5" s="37"/>
      <c r="VZQ5" s="37"/>
      <c r="VZR5" s="37"/>
      <c r="VZS5" s="37"/>
      <c r="VZT5" s="37"/>
      <c r="VZU5" s="37"/>
      <c r="VZV5" s="37"/>
      <c r="VZW5" s="37"/>
      <c r="VZX5" s="37"/>
      <c r="VZY5" s="37"/>
      <c r="VZZ5" s="37"/>
      <c r="WAA5" s="37"/>
      <c r="WAB5" s="37"/>
      <c r="WAC5" s="37"/>
      <c r="WAD5" s="37"/>
      <c r="WAE5" s="37"/>
      <c r="WAF5" s="37"/>
      <c r="WAG5" s="37"/>
      <c r="WAH5" s="37"/>
      <c r="WAI5" s="37"/>
      <c r="WAJ5" s="37"/>
      <c r="WAK5" s="37"/>
      <c r="WAL5" s="37"/>
      <c r="WAM5" s="37"/>
      <c r="WAN5" s="37"/>
      <c r="WAO5" s="37"/>
      <c r="WAP5" s="37"/>
      <c r="WAQ5" s="37"/>
      <c r="WAR5" s="37"/>
      <c r="WAS5" s="37"/>
      <c r="WAT5" s="37"/>
      <c r="WAU5" s="37"/>
      <c r="WAV5" s="37"/>
      <c r="WAW5" s="37"/>
      <c r="WAX5" s="37"/>
      <c r="WAY5" s="37"/>
      <c r="WAZ5" s="37"/>
      <c r="WBA5" s="37"/>
      <c r="WBB5" s="37"/>
      <c r="WBC5" s="37"/>
      <c r="WBD5" s="37"/>
      <c r="WBE5" s="37"/>
      <c r="WBF5" s="37"/>
      <c r="WBG5" s="37"/>
      <c r="WBH5" s="37"/>
      <c r="WBI5" s="37"/>
      <c r="WBJ5" s="37"/>
      <c r="WBK5" s="37"/>
      <c r="WBL5" s="37"/>
      <c r="WBM5" s="37"/>
      <c r="WBN5" s="37"/>
      <c r="WBO5" s="37"/>
      <c r="WBP5" s="37"/>
      <c r="WBQ5" s="37"/>
      <c r="WBR5" s="37"/>
      <c r="WBS5" s="37"/>
      <c r="WBT5" s="37"/>
      <c r="WBU5" s="37"/>
      <c r="WBV5" s="37"/>
      <c r="WBW5" s="37"/>
      <c r="WBX5" s="37"/>
      <c r="WBY5" s="37"/>
      <c r="WBZ5" s="37"/>
      <c r="WCA5" s="37"/>
      <c r="WCB5" s="37"/>
      <c r="WCC5" s="37"/>
      <c r="WCD5" s="37"/>
      <c r="WCE5" s="37"/>
      <c r="WCF5" s="37"/>
      <c r="WCG5" s="37"/>
      <c r="WCH5" s="37"/>
      <c r="WCI5" s="37"/>
      <c r="WCJ5" s="37"/>
      <c r="WCK5" s="37"/>
      <c r="WCL5" s="37"/>
      <c r="WCM5" s="37"/>
      <c r="WCN5" s="37"/>
      <c r="WCO5" s="37"/>
      <c r="WCP5" s="37"/>
      <c r="WCQ5" s="37"/>
      <c r="WCR5" s="37"/>
      <c r="WCS5" s="37"/>
      <c r="WCT5" s="37"/>
      <c r="WCU5" s="37"/>
      <c r="WCV5" s="37"/>
      <c r="WCW5" s="37"/>
      <c r="WCX5" s="37"/>
      <c r="WCY5" s="37"/>
      <c r="WCZ5" s="37"/>
      <c r="WDA5" s="37"/>
      <c r="WDB5" s="37"/>
      <c r="WDC5" s="37"/>
      <c r="WDD5" s="37"/>
      <c r="WDE5" s="37"/>
      <c r="WDF5" s="37"/>
      <c r="WDG5" s="37"/>
      <c r="WDH5" s="37"/>
      <c r="WDI5" s="37"/>
      <c r="WDJ5" s="37"/>
      <c r="WDK5" s="37"/>
      <c r="WDL5" s="37"/>
      <c r="WDM5" s="37"/>
      <c r="WDN5" s="37"/>
      <c r="WDO5" s="37"/>
      <c r="WDP5" s="37"/>
      <c r="WDQ5" s="37"/>
      <c r="WDR5" s="37"/>
      <c r="WDS5" s="37"/>
      <c r="WDT5" s="37"/>
      <c r="WDU5" s="37"/>
      <c r="WDV5" s="37"/>
      <c r="WDW5" s="37"/>
      <c r="WDX5" s="37"/>
      <c r="WDY5" s="37"/>
      <c r="WDZ5" s="37"/>
      <c r="WEA5" s="37"/>
      <c r="WEB5" s="37"/>
      <c r="WEC5" s="37"/>
      <c r="WED5" s="37"/>
      <c r="WEE5" s="37"/>
      <c r="WEF5" s="37"/>
      <c r="WEG5" s="37"/>
      <c r="WEH5" s="37"/>
      <c r="WEI5" s="37"/>
      <c r="WEJ5" s="37"/>
      <c r="WEK5" s="37"/>
      <c r="WEL5" s="37"/>
      <c r="WEM5" s="37"/>
      <c r="WEN5" s="37"/>
      <c r="WEO5" s="37"/>
      <c r="WEP5" s="37"/>
      <c r="WEQ5" s="37"/>
      <c r="WER5" s="37"/>
      <c r="WES5" s="37"/>
      <c r="WET5" s="37"/>
      <c r="WEU5" s="37"/>
      <c r="WEV5" s="37"/>
      <c r="WEW5" s="37"/>
      <c r="WEX5" s="37"/>
      <c r="WEY5" s="37"/>
      <c r="WEZ5" s="37"/>
      <c r="WFA5" s="37"/>
      <c r="WFB5" s="37"/>
      <c r="WFC5" s="37"/>
      <c r="WFD5" s="37"/>
      <c r="WFE5" s="37"/>
      <c r="WFF5" s="37"/>
      <c r="WFG5" s="37"/>
      <c r="WFH5" s="37"/>
      <c r="WFI5" s="37"/>
      <c r="WFJ5" s="37"/>
      <c r="WFK5" s="37"/>
      <c r="WFL5" s="37"/>
      <c r="WFM5" s="37"/>
      <c r="WFN5" s="37"/>
      <c r="WFO5" s="37"/>
      <c r="WFP5" s="37"/>
      <c r="WFQ5" s="37"/>
      <c r="WFR5" s="37"/>
      <c r="WFS5" s="37"/>
      <c r="WFT5" s="37"/>
      <c r="WFU5" s="37"/>
      <c r="WFV5" s="37"/>
      <c r="WFW5" s="37"/>
      <c r="WFX5" s="37"/>
      <c r="WFY5" s="37"/>
      <c r="WFZ5" s="37"/>
      <c r="WGA5" s="37"/>
      <c r="WGB5" s="37"/>
      <c r="WGC5" s="37"/>
      <c r="WGD5" s="37"/>
      <c r="WGE5" s="37"/>
      <c r="WGF5" s="37"/>
      <c r="WGG5" s="37"/>
      <c r="WGH5" s="37"/>
      <c r="WGI5" s="37"/>
      <c r="WGJ5" s="37"/>
      <c r="WGK5" s="37"/>
      <c r="WGL5" s="37"/>
      <c r="WGM5" s="37"/>
      <c r="WGN5" s="37"/>
      <c r="WGO5" s="37"/>
      <c r="WGP5" s="37"/>
      <c r="WGQ5" s="37"/>
      <c r="WGR5" s="37"/>
      <c r="WGS5" s="37"/>
      <c r="WGT5" s="37"/>
      <c r="WGU5" s="37"/>
      <c r="WGV5" s="37"/>
      <c r="WGW5" s="37"/>
      <c r="WGX5" s="37"/>
      <c r="WGY5" s="37"/>
      <c r="WGZ5" s="37"/>
      <c r="WHA5" s="37"/>
      <c r="WHB5" s="37"/>
      <c r="WHC5" s="37"/>
      <c r="WHD5" s="37"/>
      <c r="WHE5" s="37"/>
      <c r="WHF5" s="37"/>
      <c r="WHG5" s="37"/>
      <c r="WHH5" s="37"/>
      <c r="WHI5" s="37"/>
      <c r="WHJ5" s="37"/>
      <c r="WHK5" s="37"/>
      <c r="WHL5" s="37"/>
      <c r="WHM5" s="37"/>
      <c r="WHN5" s="37"/>
      <c r="WHO5" s="37"/>
      <c r="WHP5" s="37"/>
      <c r="WHQ5" s="37"/>
      <c r="WHR5" s="37"/>
      <c r="WHS5" s="37"/>
      <c r="WHT5" s="37"/>
      <c r="WHU5" s="37"/>
      <c r="WHV5" s="37"/>
      <c r="WHW5" s="37"/>
      <c r="WHX5" s="37"/>
      <c r="WHY5" s="37"/>
      <c r="WHZ5" s="37"/>
      <c r="WIA5" s="37"/>
      <c r="WIB5" s="37"/>
      <c r="WIC5" s="37"/>
      <c r="WID5" s="37"/>
      <c r="WIE5" s="37"/>
      <c r="WIF5" s="37"/>
      <c r="WIG5" s="37"/>
      <c r="WIH5" s="37"/>
      <c r="WII5" s="37"/>
      <c r="WIJ5" s="37"/>
      <c r="WIK5" s="37"/>
      <c r="WIL5" s="37"/>
      <c r="WIM5" s="37"/>
      <c r="WIN5" s="37"/>
      <c r="WIO5" s="37"/>
      <c r="WIP5" s="37"/>
      <c r="WIQ5" s="37"/>
      <c r="WIR5" s="37"/>
      <c r="WIS5" s="37"/>
      <c r="WIT5" s="37"/>
      <c r="WIU5" s="37"/>
      <c r="WIV5" s="37"/>
      <c r="WIW5" s="37"/>
      <c r="WIX5" s="37"/>
      <c r="WIY5" s="37"/>
      <c r="WIZ5" s="37"/>
      <c r="WJA5" s="37"/>
      <c r="WJB5" s="37"/>
      <c r="WJC5" s="37"/>
      <c r="WJD5" s="37"/>
      <c r="WJE5" s="37"/>
      <c r="WJF5" s="37"/>
      <c r="WJG5" s="37"/>
      <c r="WJH5" s="37"/>
      <c r="WJI5" s="37"/>
      <c r="WJJ5" s="37"/>
      <c r="WJK5" s="37"/>
      <c r="WJL5" s="37"/>
      <c r="WJM5" s="37"/>
      <c r="WJN5" s="37"/>
      <c r="WJO5" s="37"/>
      <c r="WJP5" s="37"/>
      <c r="WJQ5" s="37"/>
      <c r="WJR5" s="37"/>
      <c r="WJS5" s="37"/>
      <c r="WJT5" s="37"/>
      <c r="WJU5" s="37"/>
      <c r="WJV5" s="37"/>
      <c r="WJW5" s="37"/>
      <c r="WJX5" s="37"/>
      <c r="WJY5" s="37"/>
      <c r="WJZ5" s="37"/>
      <c r="WKA5" s="37"/>
      <c r="WKB5" s="37"/>
      <c r="WKC5" s="37"/>
      <c r="WKD5" s="37"/>
      <c r="WKE5" s="37"/>
      <c r="WKF5" s="37"/>
      <c r="WKG5" s="37"/>
      <c r="WKH5" s="37"/>
      <c r="WKI5" s="37"/>
      <c r="WKJ5" s="37"/>
      <c r="WKK5" s="37"/>
      <c r="WKL5" s="37"/>
      <c r="WKM5" s="37"/>
      <c r="WKN5" s="37"/>
      <c r="WKO5" s="37"/>
      <c r="WKP5" s="37"/>
      <c r="WKQ5" s="37"/>
      <c r="WKR5" s="37"/>
      <c r="WKS5" s="37"/>
      <c r="WKT5" s="37"/>
      <c r="WKU5" s="37"/>
      <c r="WKV5" s="37"/>
      <c r="WKW5" s="37"/>
      <c r="WKX5" s="37"/>
      <c r="WKY5" s="37"/>
      <c r="WKZ5" s="37"/>
      <c r="WLA5" s="37"/>
      <c r="WLB5" s="37"/>
      <c r="WLC5" s="37"/>
      <c r="WLD5" s="37"/>
      <c r="WLE5" s="37"/>
      <c r="WLF5" s="37"/>
      <c r="WLG5" s="37"/>
      <c r="WLH5" s="37"/>
      <c r="WLI5" s="37"/>
      <c r="WLJ5" s="37"/>
      <c r="WLK5" s="37"/>
      <c r="WLL5" s="37"/>
      <c r="WLM5" s="37"/>
      <c r="WLN5" s="37"/>
      <c r="WLO5" s="37"/>
      <c r="WLP5" s="37"/>
      <c r="WLQ5" s="37"/>
      <c r="WLR5" s="37"/>
      <c r="WLS5" s="37"/>
      <c r="WLT5" s="37"/>
      <c r="WLU5" s="37"/>
      <c r="WLV5" s="37"/>
      <c r="WLW5" s="37"/>
      <c r="WLX5" s="37"/>
      <c r="WLY5" s="37"/>
      <c r="WLZ5" s="37"/>
      <c r="WMA5" s="37"/>
      <c r="WMB5" s="37"/>
      <c r="WMC5" s="37"/>
      <c r="WMD5" s="37"/>
      <c r="WME5" s="37"/>
      <c r="WMF5" s="37"/>
      <c r="WMG5" s="37"/>
      <c r="WMH5" s="37"/>
      <c r="WMI5" s="37"/>
      <c r="WMJ5" s="37"/>
      <c r="WMK5" s="37"/>
      <c r="WML5" s="37"/>
      <c r="WMM5" s="37"/>
      <c r="WMN5" s="37"/>
      <c r="WMO5" s="37"/>
      <c r="WMP5" s="37"/>
      <c r="WMQ5" s="37"/>
      <c r="WMR5" s="37"/>
      <c r="WMS5" s="37"/>
      <c r="WMT5" s="37"/>
      <c r="WMU5" s="37"/>
      <c r="WMV5" s="37"/>
      <c r="WMW5" s="37"/>
      <c r="WMX5" s="37"/>
      <c r="WMY5" s="37"/>
      <c r="WMZ5" s="37"/>
      <c r="WNA5" s="37"/>
      <c r="WNB5" s="37"/>
      <c r="WNC5" s="37"/>
      <c r="WND5" s="37"/>
      <c r="WNE5" s="37"/>
      <c r="WNF5" s="37"/>
      <c r="WNG5" s="37"/>
      <c r="WNH5" s="37"/>
      <c r="WNI5" s="37"/>
      <c r="WNJ5" s="37"/>
      <c r="WNK5" s="37"/>
      <c r="WNL5" s="37"/>
      <c r="WNM5" s="37"/>
      <c r="WNN5" s="37"/>
      <c r="WNO5" s="37"/>
      <c r="WNP5" s="37"/>
      <c r="WNQ5" s="37"/>
      <c r="WNR5" s="37"/>
      <c r="WNS5" s="37"/>
      <c r="WNT5" s="37"/>
      <c r="WNU5" s="37"/>
      <c r="WNV5" s="37"/>
      <c r="WNW5" s="37"/>
      <c r="WNX5" s="37"/>
      <c r="WNY5" s="37"/>
      <c r="WNZ5" s="37"/>
      <c r="WOA5" s="37"/>
      <c r="WOB5" s="37"/>
      <c r="WOC5" s="37"/>
      <c r="WOD5" s="37"/>
      <c r="WOE5" s="37"/>
      <c r="WOF5" s="37"/>
      <c r="WOG5" s="37"/>
      <c r="WOH5" s="37"/>
      <c r="WOI5" s="37"/>
      <c r="WOJ5" s="37"/>
      <c r="WOK5" s="37"/>
      <c r="WOL5" s="37"/>
      <c r="WOM5" s="37"/>
      <c r="WON5" s="37"/>
      <c r="WOO5" s="37"/>
      <c r="WOP5" s="37"/>
      <c r="WOQ5" s="37"/>
      <c r="WOR5" s="37"/>
      <c r="WOS5" s="37"/>
      <c r="WOT5" s="37"/>
      <c r="WOU5" s="37"/>
      <c r="WOV5" s="37"/>
      <c r="WOW5" s="37"/>
      <c r="WOX5" s="37"/>
      <c r="WOY5" s="37"/>
      <c r="WOZ5" s="37"/>
      <c r="WPA5" s="37"/>
      <c r="WPB5" s="37"/>
      <c r="WPC5" s="37"/>
      <c r="WPD5" s="37"/>
      <c r="WPE5" s="37"/>
      <c r="WPF5" s="37"/>
      <c r="WPG5" s="37"/>
      <c r="WPH5" s="37"/>
      <c r="WPI5" s="37"/>
      <c r="WPJ5" s="37"/>
      <c r="WPK5" s="37"/>
      <c r="WPL5" s="37"/>
      <c r="WPM5" s="37"/>
      <c r="WPN5" s="37"/>
      <c r="WPO5" s="37"/>
      <c r="WPP5" s="37"/>
      <c r="WPQ5" s="37"/>
      <c r="WPR5" s="37"/>
      <c r="WPS5" s="37"/>
      <c r="WPT5" s="37"/>
      <c r="WPU5" s="37"/>
      <c r="WPV5" s="37"/>
      <c r="WPW5" s="37"/>
      <c r="WPX5" s="37"/>
      <c r="WPY5" s="37"/>
      <c r="WPZ5" s="37"/>
      <c r="WQA5" s="37"/>
      <c r="WQB5" s="37"/>
      <c r="WQC5" s="37"/>
      <c r="WQD5" s="37"/>
      <c r="WQE5" s="37"/>
      <c r="WQF5" s="37"/>
      <c r="WQG5" s="37"/>
      <c r="WQH5" s="37"/>
      <c r="WQI5" s="37"/>
      <c r="WQJ5" s="37"/>
      <c r="WQK5" s="37"/>
      <c r="WQL5" s="37"/>
      <c r="WQM5" s="37"/>
      <c r="WQN5" s="37"/>
      <c r="WQO5" s="37"/>
      <c r="WQP5" s="37"/>
      <c r="WQQ5" s="37"/>
      <c r="WQR5" s="37"/>
      <c r="WQS5" s="37"/>
      <c r="WQT5" s="37"/>
      <c r="WQU5" s="37"/>
      <c r="WQV5" s="37"/>
      <c r="WQW5" s="37"/>
      <c r="WQX5" s="37"/>
      <c r="WQY5" s="37"/>
      <c r="WQZ5" s="37"/>
      <c r="WRA5" s="37"/>
      <c r="WRB5" s="37"/>
      <c r="WRC5" s="37"/>
      <c r="WRD5" s="37"/>
      <c r="WRE5" s="37"/>
      <c r="WRF5" s="37"/>
      <c r="WRG5" s="37"/>
      <c r="WRH5" s="37"/>
      <c r="WRI5" s="37"/>
      <c r="WRJ5" s="37"/>
      <c r="WRK5" s="37"/>
      <c r="WRL5" s="37"/>
      <c r="WRM5" s="37"/>
      <c r="WRN5" s="37"/>
      <c r="WRO5" s="37"/>
      <c r="WRP5" s="37"/>
      <c r="WRQ5" s="37"/>
      <c r="WRR5" s="37"/>
      <c r="WRS5" s="37"/>
      <c r="WRT5" s="37"/>
      <c r="WRU5" s="37"/>
      <c r="WRV5" s="37"/>
      <c r="WRW5" s="37"/>
      <c r="WRX5" s="37"/>
      <c r="WRY5" s="37"/>
      <c r="WRZ5" s="37"/>
      <c r="WSA5" s="37"/>
      <c r="WSB5" s="37"/>
      <c r="WSC5" s="37"/>
      <c r="WSD5" s="37"/>
      <c r="WSE5" s="37"/>
      <c r="WSF5" s="37"/>
      <c r="WSG5" s="37"/>
      <c r="WSH5" s="37"/>
      <c r="WSI5" s="37"/>
      <c r="WSJ5" s="37"/>
      <c r="WSK5" s="37"/>
      <c r="WSL5" s="37"/>
      <c r="WSM5" s="37"/>
      <c r="WSN5" s="37"/>
      <c r="WSO5" s="37"/>
      <c r="WSP5" s="37"/>
      <c r="WSQ5" s="37"/>
      <c r="WSR5" s="37"/>
      <c r="WSS5" s="37"/>
      <c r="WST5" s="37"/>
      <c r="WSU5" s="37"/>
      <c r="WSV5" s="37"/>
      <c r="WSW5" s="37"/>
      <c r="WSX5" s="37"/>
      <c r="WSY5" s="37"/>
      <c r="WSZ5" s="37"/>
      <c r="WTA5" s="37"/>
      <c r="WTB5" s="37"/>
      <c r="WTC5" s="37"/>
      <c r="WTD5" s="37"/>
      <c r="WTE5" s="37"/>
      <c r="WTF5" s="37"/>
      <c r="WTG5" s="37"/>
      <c r="WTH5" s="37"/>
      <c r="WTI5" s="37"/>
      <c r="WTJ5" s="37"/>
      <c r="WTK5" s="37"/>
      <c r="WTL5" s="37"/>
      <c r="WTM5" s="37"/>
      <c r="WTN5" s="37"/>
      <c r="WTO5" s="37"/>
      <c r="WTP5" s="37"/>
      <c r="WTQ5" s="37"/>
      <c r="WTR5" s="37"/>
      <c r="WTS5" s="37"/>
      <c r="WTT5" s="37"/>
      <c r="WTU5" s="37"/>
      <c r="WTV5" s="37"/>
      <c r="WTW5" s="37"/>
      <c r="WTX5" s="37"/>
      <c r="WTY5" s="37"/>
      <c r="WTZ5" s="37"/>
      <c r="WUA5" s="37"/>
      <c r="WUB5" s="37"/>
      <c r="WUC5" s="37"/>
      <c r="WUD5" s="37"/>
      <c r="WUE5" s="37"/>
      <c r="WUF5" s="37"/>
      <c r="WUG5" s="37"/>
      <c r="WUH5" s="37"/>
      <c r="WUI5" s="37"/>
      <c r="WUJ5" s="37"/>
      <c r="WUK5" s="37"/>
      <c r="WUL5" s="37"/>
      <c r="WUM5" s="37"/>
      <c r="WUN5" s="37"/>
      <c r="WUO5" s="37"/>
      <c r="WUP5" s="37"/>
      <c r="WUQ5" s="37"/>
      <c r="WUR5" s="37"/>
      <c r="WUS5" s="37"/>
      <c r="WUT5" s="37"/>
      <c r="WUU5" s="37"/>
      <c r="WUV5" s="37"/>
      <c r="WUW5" s="37"/>
      <c r="WUX5" s="37"/>
      <c r="WUY5" s="37"/>
      <c r="WUZ5" s="37"/>
      <c r="WVA5" s="37"/>
      <c r="WVB5" s="37"/>
      <c r="WVC5" s="37"/>
      <c r="WVD5" s="37"/>
      <c r="WVE5" s="37"/>
      <c r="WVF5" s="37"/>
      <c r="WVG5" s="37"/>
      <c r="WVH5" s="37"/>
      <c r="WVI5" s="37"/>
      <c r="WVJ5" s="37"/>
      <c r="WVK5" s="37"/>
      <c r="WVL5" s="37"/>
      <c r="WVM5" s="37"/>
      <c r="WVN5" s="37"/>
      <c r="WVO5" s="37"/>
      <c r="WVP5" s="37"/>
      <c r="WVQ5" s="37"/>
      <c r="WVR5" s="37"/>
      <c r="WVS5" s="37"/>
      <c r="WVT5" s="37"/>
      <c r="WVU5" s="37"/>
      <c r="WVV5" s="37"/>
      <c r="WVW5" s="37"/>
      <c r="WVX5" s="37"/>
      <c r="WVY5" s="37"/>
      <c r="WVZ5" s="37"/>
      <c r="WWA5" s="37"/>
      <c r="WWB5" s="37"/>
      <c r="WWC5" s="37"/>
      <c r="WWD5" s="37"/>
      <c r="WWE5" s="37"/>
      <c r="WWF5" s="37"/>
      <c r="WWG5" s="37"/>
      <c r="WWH5" s="37"/>
      <c r="WWI5" s="37"/>
      <c r="WWJ5" s="37"/>
      <c r="WWK5" s="37"/>
      <c r="WWL5" s="37"/>
      <c r="WWM5" s="37"/>
      <c r="WWN5" s="37"/>
      <c r="WWO5" s="37"/>
      <c r="WWP5" s="37"/>
      <c r="WWQ5" s="37"/>
      <c r="WWR5" s="37"/>
      <c r="WWS5" s="37"/>
      <c r="WWT5" s="37"/>
      <c r="WWU5" s="37"/>
      <c r="WWV5" s="37"/>
      <c r="WWW5" s="37"/>
      <c r="WWX5" s="37"/>
      <c r="WWY5" s="37"/>
      <c r="WWZ5" s="37"/>
      <c r="WXA5" s="37"/>
      <c r="WXB5" s="37"/>
      <c r="WXC5" s="37"/>
      <c r="WXD5" s="37"/>
      <c r="WXE5" s="37"/>
      <c r="WXF5" s="37"/>
      <c r="WXG5" s="37"/>
      <c r="WXH5" s="37"/>
      <c r="WXI5" s="37"/>
      <c r="WXJ5" s="37"/>
      <c r="WXK5" s="37"/>
      <c r="WXL5" s="37"/>
      <c r="WXM5" s="37"/>
      <c r="WXN5" s="37"/>
      <c r="WXO5" s="37"/>
      <c r="WXP5" s="37"/>
      <c r="WXQ5" s="37"/>
      <c r="WXR5" s="37"/>
      <c r="WXS5" s="37"/>
      <c r="WXT5" s="37"/>
      <c r="WXU5" s="37"/>
      <c r="WXV5" s="37"/>
      <c r="WXW5" s="37"/>
      <c r="WXX5" s="37"/>
      <c r="WXY5" s="37"/>
      <c r="WXZ5" s="37"/>
      <c r="WYA5" s="37"/>
      <c r="WYB5" s="37"/>
      <c r="WYC5" s="37"/>
      <c r="WYD5" s="37"/>
      <c r="WYE5" s="37"/>
      <c r="WYF5" s="37"/>
      <c r="WYG5" s="37"/>
      <c r="WYH5" s="37"/>
      <c r="WYI5" s="37"/>
      <c r="WYJ5" s="37"/>
      <c r="WYK5" s="37"/>
      <c r="WYL5" s="37"/>
      <c r="WYM5" s="37"/>
      <c r="WYN5" s="37"/>
      <c r="WYO5" s="37"/>
      <c r="WYP5" s="37"/>
      <c r="WYQ5" s="37"/>
      <c r="WYR5" s="37"/>
      <c r="WYS5" s="37"/>
      <c r="WYT5" s="37"/>
      <c r="WYU5" s="37"/>
      <c r="WYV5" s="37"/>
      <c r="WYW5" s="37"/>
      <c r="WYX5" s="37"/>
      <c r="WYY5" s="37"/>
      <c r="WYZ5" s="37"/>
      <c r="WZA5" s="37"/>
      <c r="WZB5" s="37"/>
      <c r="WZC5" s="37"/>
      <c r="WZD5" s="37"/>
      <c r="WZE5" s="37"/>
      <c r="WZF5" s="37"/>
      <c r="WZG5" s="37"/>
      <c r="WZH5" s="37"/>
      <c r="WZI5" s="37"/>
      <c r="WZJ5" s="37"/>
      <c r="WZK5" s="37"/>
      <c r="WZL5" s="37"/>
      <c r="WZM5" s="37"/>
      <c r="WZN5" s="37"/>
      <c r="WZO5" s="37"/>
      <c r="WZP5" s="37"/>
      <c r="WZQ5" s="37"/>
      <c r="WZR5" s="37"/>
      <c r="WZS5" s="37"/>
      <c r="WZT5" s="37"/>
      <c r="WZU5" s="37"/>
      <c r="WZV5" s="37"/>
      <c r="WZW5" s="37"/>
      <c r="WZX5" s="37"/>
      <c r="WZY5" s="37"/>
      <c r="WZZ5" s="37"/>
      <c r="XAA5" s="37"/>
      <c r="XAB5" s="37"/>
      <c r="XAC5" s="37"/>
      <c r="XAD5" s="37"/>
      <c r="XAE5" s="37"/>
      <c r="XAF5" s="37"/>
      <c r="XAG5" s="37"/>
      <c r="XAH5" s="37"/>
      <c r="XAI5" s="37"/>
      <c r="XAJ5" s="37"/>
      <c r="XAK5" s="37"/>
      <c r="XAL5" s="37"/>
      <c r="XAM5" s="37"/>
      <c r="XAN5" s="37"/>
      <c r="XAO5" s="37"/>
      <c r="XAP5" s="37"/>
      <c r="XAQ5" s="37"/>
      <c r="XAR5" s="37"/>
      <c r="XAS5" s="37"/>
      <c r="XAT5" s="37"/>
      <c r="XAU5" s="37"/>
      <c r="XAV5" s="37"/>
      <c r="XAW5" s="37"/>
      <c r="XAX5" s="37"/>
      <c r="XAY5" s="37"/>
      <c r="XAZ5" s="37"/>
      <c r="XBA5" s="37"/>
      <c r="XBB5" s="37"/>
      <c r="XBC5" s="37"/>
      <c r="XBD5" s="37"/>
      <c r="XBE5" s="37"/>
      <c r="XBF5" s="37"/>
      <c r="XBG5" s="37"/>
      <c r="XBH5" s="37"/>
      <c r="XBI5" s="37"/>
      <c r="XBJ5" s="37"/>
      <c r="XBK5" s="37"/>
      <c r="XBL5" s="37"/>
      <c r="XBM5" s="37"/>
      <c r="XBN5" s="37"/>
      <c r="XBO5" s="37"/>
      <c r="XBP5" s="37"/>
      <c r="XBQ5" s="37"/>
      <c r="XBR5" s="37"/>
      <c r="XBS5" s="37"/>
      <c r="XBT5" s="37"/>
      <c r="XBU5" s="37"/>
      <c r="XBV5" s="37"/>
      <c r="XBW5" s="37"/>
      <c r="XBX5" s="37"/>
      <c r="XBY5" s="37"/>
      <c r="XBZ5" s="37"/>
      <c r="XCA5" s="37"/>
      <c r="XCB5" s="37"/>
      <c r="XCC5" s="37"/>
      <c r="XCD5" s="37"/>
      <c r="XCE5" s="37"/>
      <c r="XCF5" s="37"/>
      <c r="XCG5" s="37"/>
      <c r="XCH5" s="37"/>
      <c r="XCI5" s="37"/>
      <c r="XCJ5" s="37"/>
      <c r="XCK5" s="37"/>
      <c r="XCL5" s="37"/>
      <c r="XCM5" s="37"/>
      <c r="XCN5" s="37"/>
      <c r="XCO5" s="37"/>
      <c r="XCP5" s="37"/>
      <c r="XCQ5" s="37"/>
      <c r="XCR5" s="37"/>
      <c r="XCS5" s="37"/>
      <c r="XCT5" s="37"/>
      <c r="XCU5" s="37"/>
      <c r="XCV5" s="37"/>
      <c r="XCW5" s="37"/>
      <c r="XCX5" s="37"/>
      <c r="XCY5" s="37"/>
      <c r="XCZ5" s="37"/>
      <c r="XDA5" s="37"/>
      <c r="XDB5" s="37"/>
      <c r="XDC5" s="37"/>
      <c r="XDD5" s="37"/>
      <c r="XDE5" s="37"/>
      <c r="XDF5" s="37"/>
      <c r="XDG5" s="37"/>
      <c r="XDH5" s="37"/>
      <c r="XDI5" s="37"/>
      <c r="XDJ5" s="37"/>
      <c r="XDK5" s="37"/>
      <c r="XDL5" s="37"/>
      <c r="XDM5" s="37"/>
      <c r="XDN5" s="37"/>
      <c r="XDO5" s="37"/>
      <c r="XDP5" s="37"/>
      <c r="XDQ5" s="37"/>
      <c r="XDR5" s="37"/>
      <c r="XDS5" s="37"/>
      <c r="XDT5" s="37"/>
      <c r="XDU5" s="37"/>
      <c r="XDV5" s="37"/>
      <c r="XDW5" s="37"/>
      <c r="XDX5" s="37"/>
      <c r="XDY5" s="37"/>
      <c r="XDZ5" s="37"/>
      <c r="XEA5" s="37"/>
      <c r="XEB5" s="37"/>
      <c r="XEC5" s="37"/>
      <c r="XED5" s="37"/>
      <c r="XEE5" s="37"/>
      <c r="XEF5" s="37"/>
      <c r="XEG5" s="37"/>
      <c r="XEH5" s="37"/>
      <c r="XEI5" s="37"/>
      <c r="XEJ5" s="37"/>
      <c r="XEK5" s="37"/>
      <c r="XEL5" s="37"/>
      <c r="XEM5" s="37"/>
      <c r="XEN5" s="37"/>
      <c r="XEO5" s="37"/>
      <c r="XEP5" s="37"/>
      <c r="XEQ5" s="37"/>
    </row>
    <row r="6" spans="2:16371">
      <c r="B6" s="88" t="s">
        <v>1959</v>
      </c>
      <c r="C6" s="88" t="s">
        <v>1732</v>
      </c>
      <c r="D6" s="88" t="s">
        <v>1733</v>
      </c>
      <c r="E6" s="88" t="s">
        <v>1736</v>
      </c>
      <c r="F6" s="88" t="s">
        <v>1737</v>
      </c>
      <c r="G6" s="88"/>
      <c r="H6" s="88" t="s">
        <v>1738</v>
      </c>
      <c r="I6" s="88" t="s">
        <v>1739</v>
      </c>
      <c r="J6" s="88" t="s">
        <v>1734</v>
      </c>
      <c r="K6" s="88" t="s">
        <v>1735</v>
      </c>
      <c r="L6" s="88"/>
      <c r="M6" s="86" t="s">
        <v>14</v>
      </c>
      <c r="N6" s="87" t="s">
        <v>15</v>
      </c>
      <c r="O6" s="87" t="s">
        <v>18</v>
      </c>
      <c r="P6" s="87" t="s">
        <v>17</v>
      </c>
      <c r="Q6" s="44"/>
      <c r="S6" s="44"/>
      <c r="T6" s="44"/>
      <c r="U6" s="87"/>
      <c r="V6" s="87"/>
    </row>
    <row r="7" spans="2:16371">
      <c r="B7" s="22" t="s">
        <v>12</v>
      </c>
      <c r="C7" s="22" t="s">
        <v>0</v>
      </c>
      <c r="D7" s="22" t="s">
        <v>1</v>
      </c>
      <c r="E7" s="22" t="s">
        <v>2</v>
      </c>
      <c r="F7" s="22" t="s">
        <v>8</v>
      </c>
      <c r="G7" s="22" t="s">
        <v>7</v>
      </c>
      <c r="H7" s="22" t="s">
        <v>3</v>
      </c>
      <c r="I7" s="22" t="s">
        <v>4</v>
      </c>
      <c r="J7" s="22" t="s">
        <v>6</v>
      </c>
      <c r="K7" s="22" t="s">
        <v>5</v>
      </c>
      <c r="L7" s="22" t="s">
        <v>13</v>
      </c>
      <c r="M7" s="42" t="s">
        <v>1955</v>
      </c>
      <c r="N7" s="82" t="s">
        <v>1956</v>
      </c>
      <c r="O7" s="82" t="s">
        <v>1963</v>
      </c>
      <c r="P7" s="82" t="s">
        <v>1964</v>
      </c>
      <c r="Q7" s="21" t="s">
        <v>1551</v>
      </c>
      <c r="R7" s="21" t="s">
        <v>1706</v>
      </c>
      <c r="S7" s="21" t="s">
        <v>275</v>
      </c>
      <c r="T7" s="21" t="s">
        <v>1550</v>
      </c>
      <c r="U7" s="21" t="s">
        <v>276</v>
      </c>
      <c r="V7" s="21" t="s">
        <v>16</v>
      </c>
    </row>
    <row r="8" spans="2:16371">
      <c r="B8" s="11" t="s">
        <v>691</v>
      </c>
      <c r="C8" s="11" t="s">
        <v>692</v>
      </c>
      <c r="D8" s="11" t="s">
        <v>692</v>
      </c>
      <c r="E8" s="12">
        <v>40508</v>
      </c>
      <c r="F8" s="15">
        <v>40508</v>
      </c>
      <c r="G8" s="14" t="s">
        <v>318</v>
      </c>
      <c r="H8" s="12">
        <v>40912</v>
      </c>
      <c r="I8" s="12">
        <v>43834</v>
      </c>
      <c r="J8" s="13">
        <v>2.5000000000000001E-2</v>
      </c>
      <c r="K8" s="12">
        <v>44200</v>
      </c>
      <c r="L8" s="16" t="str" cm="1">
        <f t="array" ref="L8">_xll.aqBondObjectCreateFromGenerator($C8,$L$4,_xll.aqToolLVBFromKeysValues($C$7:$K$7,$C8:$K8))</f>
        <v>DE0001135424:3</v>
      </c>
      <c r="M8" s="78">
        <v>-5.8380146167835399E-3</v>
      </c>
      <c r="N8" s="51">
        <v>106.901</v>
      </c>
      <c r="O8" s="17">
        <v>2.1598999999999999</v>
      </c>
      <c r="P8" s="95">
        <v>235.13</v>
      </c>
      <c r="Q8" s="39" cm="1">
        <f t="array" ref="Q8">_xll.aqBondObjectYield(L8,$C$4,R8)</f>
        <v>-5.8380146167828651E-3</v>
      </c>
      <c r="R8" s="49" cm="1">
        <f t="array" ref="R8">_xll.aqBondObjectPrice($L8,$C$4,$M8)</f>
        <v>106.90100000000274</v>
      </c>
      <c r="S8" s="49" cm="1">
        <f t="array" ref="S8">_xll.aqBondObjectCleanPrice($L8,$C$4,$M8)</f>
        <v>106.90100000000274</v>
      </c>
      <c r="T8" s="49" cm="1">
        <f t="array" ref="T8">_xll.aqBondObjectDirtyPrice($L8,$C$4,$M8)</f>
        <v>108.85990410959178</v>
      </c>
      <c r="U8" s="18" cm="1">
        <f t="array" ref="U8">_xll.aqBondObjectModifiedDuration($L8,$C$4,$Q8)</f>
        <v>2.1599297722410551</v>
      </c>
      <c r="V8" s="93" cm="1">
        <f t="array" ref="V8">_xll.aqBondObjectDV01($L8,$C$4,$Q8)</f>
        <v>235.12974788961333</v>
      </c>
    </row>
    <row r="9" spans="2:16371">
      <c r="B9" s="11" t="s">
        <v>693</v>
      </c>
      <c r="C9" s="11" t="s">
        <v>694</v>
      </c>
      <c r="D9" s="11" t="s">
        <v>694</v>
      </c>
      <c r="E9" s="12">
        <v>40662</v>
      </c>
      <c r="F9" s="15">
        <v>40662</v>
      </c>
      <c r="G9" s="14" t="s">
        <v>318</v>
      </c>
      <c r="H9" s="12">
        <v>41094</v>
      </c>
      <c r="I9" s="12">
        <v>44016</v>
      </c>
      <c r="J9" s="13">
        <v>3.2500000000000001E-2</v>
      </c>
      <c r="K9" s="12">
        <v>44381</v>
      </c>
      <c r="L9" s="16" t="str" cm="1">
        <f t="array" ref="L9">_xll.aqBondObjectCreateFromGenerator($C9,$L$4,_xll.aqToolLVBFromKeysValues($C$7:$K$7,$C9:$K9))</f>
        <v>DE0001135440:2</v>
      </c>
      <c r="M9" s="78">
        <v>-4.9930213290698211E-3</v>
      </c>
      <c r="N9" s="51">
        <v>110.26600000000001</v>
      </c>
      <c r="O9" s="17">
        <v>2.6374</v>
      </c>
      <c r="P9" s="95">
        <v>293.27999999999997</v>
      </c>
      <c r="Q9" s="39" cm="1">
        <f t="array" ref="Q9">_xll.aqBondObjectYield(L9,$C$4,R9)</f>
        <v>-4.9930213290687604E-3</v>
      </c>
      <c r="R9" s="49" cm="1">
        <f t="array" ref="R9">_xll.aqBondObjectPrice($L9,$C$4,$M9)</f>
        <v>110.26600000004467</v>
      </c>
      <c r="S9" s="49" cm="1">
        <f t="array" ref="S9">_xll.aqBondObjectCleanPrice($L9,$C$4,$M9)</f>
        <v>110.26600000004467</v>
      </c>
      <c r="T9" s="49" cm="1">
        <f t="array" ref="T9">_xll.aqBondObjectDirtyPrice($L9,$C$4,$M9)</f>
        <v>111.20093150689398</v>
      </c>
      <c r="U9" s="18" cm="1">
        <f t="array" ref="U9">_xll.aqBondObjectModifiedDuration($L9,$C$4,$Q9)</f>
        <v>2.6373576594015669</v>
      </c>
      <c r="V9" s="93" cm="1">
        <f t="array" ref="V9">_xll.aqBondObjectDV01($L9,$C$4,$Q9)</f>
        <v>293.27662844229508</v>
      </c>
    </row>
    <row r="10" spans="2:16371">
      <c r="B10" s="11" t="s">
        <v>695</v>
      </c>
      <c r="C10" s="11" t="s">
        <v>696</v>
      </c>
      <c r="D10" s="11" t="s">
        <v>696</v>
      </c>
      <c r="E10" s="12">
        <v>40781</v>
      </c>
      <c r="F10" s="15">
        <v>40781</v>
      </c>
      <c r="G10" s="14" t="s">
        <v>318</v>
      </c>
      <c r="H10" s="12">
        <v>41156</v>
      </c>
      <c r="I10" s="12">
        <v>44078</v>
      </c>
      <c r="J10" s="13">
        <v>2.2499999999999999E-2</v>
      </c>
      <c r="K10" s="12">
        <v>44443</v>
      </c>
      <c r="L10" s="16" t="str" cm="1">
        <f t="array" ref="L10">_xll.aqBondObjectCreateFromGenerator($C10,$L$4,_xll.aqToolLVBFromKeysValues($C$7:$K$7,$C10:$K10))</f>
        <v>DE0001135457:2</v>
      </c>
      <c r="M10" s="78">
        <v>-4.7613910199536657E-3</v>
      </c>
      <c r="N10" s="51">
        <v>107.931</v>
      </c>
      <c r="O10" s="17">
        <v>2.8329</v>
      </c>
      <c r="P10" s="95">
        <v>306.51</v>
      </c>
      <c r="Q10" s="39" cm="1">
        <f t="array" ref="Q10">_xll.aqBondObjectYield(L10,$C$4,R10)</f>
        <v>-4.7613910199531704E-3</v>
      </c>
      <c r="R10" s="49" cm="1">
        <f t="array" ref="R10">_xll.aqBondObjectPrice($L10,$C$4,$M10)</f>
        <v>107.93100000001262</v>
      </c>
      <c r="S10" s="49" cm="1">
        <f t="array" ref="S10">_xll.aqBondObjectCleanPrice($L10,$C$4,$M10)</f>
        <v>107.93100000001262</v>
      </c>
      <c r="T10" s="49" cm="1">
        <f t="array" ref="T10">_xll.aqBondObjectDirtyPrice($L10,$C$4,$M10)</f>
        <v>108.1960684931633</v>
      </c>
      <c r="U10" s="18" cm="1">
        <f t="array" ref="U10">_xll.aqBondObjectModifiedDuration($L10,$C$4,$Q10)</f>
        <v>2.8329305890100267</v>
      </c>
      <c r="V10" s="93" cm="1">
        <f t="array" ref="V10">_xll.aqBondObjectDV01($L10,$C$4,$Q10)</f>
        <v>306.51195204490591</v>
      </c>
    </row>
    <row r="11" spans="2:16371">
      <c r="B11" s="11" t="s">
        <v>697</v>
      </c>
      <c r="C11" s="11" t="s">
        <v>698</v>
      </c>
      <c r="D11" s="11" t="s">
        <v>698</v>
      </c>
      <c r="E11" s="12">
        <v>40872</v>
      </c>
      <c r="F11" s="15">
        <v>40872</v>
      </c>
      <c r="G11" s="14" t="s">
        <v>318</v>
      </c>
      <c r="H11" s="12">
        <v>41278</v>
      </c>
      <c r="I11" s="12">
        <v>44200</v>
      </c>
      <c r="J11" s="13">
        <v>0.02</v>
      </c>
      <c r="K11" s="12">
        <v>44565</v>
      </c>
      <c r="L11" s="16" t="str" cm="1">
        <f t="array" ref="L11">_xll.aqBondObjectCreateFromGenerator($C11,$L$4,_xll.aqToolLVBFromKeysValues($C$7:$K$7,$C11:$K11))</f>
        <v>DE0001135465:2</v>
      </c>
      <c r="M11" s="78">
        <v>-4.106458759720941E-3</v>
      </c>
      <c r="N11" s="51">
        <v>107.822</v>
      </c>
      <c r="O11" s="17">
        <v>3.1191</v>
      </c>
      <c r="P11" s="95">
        <v>341.2</v>
      </c>
      <c r="Q11" s="39" cm="1">
        <f t="array" ref="Q11">_xll.aqBondObjectYield(L11,$C$4,R11)</f>
        <v>-4.1064587597205897E-3</v>
      </c>
      <c r="R11" s="49" cm="1">
        <f t="array" ref="R11">_xll.aqBondObjectPrice($L11,$C$4,$M11)</f>
        <v>107.82200000001588</v>
      </c>
      <c r="S11" s="49" cm="1">
        <f t="array" ref="S11">_xll.aqBondObjectCleanPrice($L11,$C$4,$M11)</f>
        <v>107.82200000001588</v>
      </c>
      <c r="T11" s="49" cm="1">
        <f t="array" ref="T11">_xll.aqBondObjectDirtyPrice($L11,$C$4,$M11)</f>
        <v>109.38912328768711</v>
      </c>
      <c r="U11" s="18" cm="1">
        <f t="array" ref="U11">_xll.aqBondObjectModifiedDuration($L11,$C$4,$Q11)</f>
        <v>3.1191470015333005</v>
      </c>
      <c r="V11" s="93" cm="1">
        <f t="array" ref="V11">_xll.aqBondObjectDV01($L11,$C$4,$Q11)</f>
        <v>341.20075590314542</v>
      </c>
    </row>
    <row r="12" spans="2:16371">
      <c r="B12" s="11" t="s">
        <v>699</v>
      </c>
      <c r="C12" s="11" t="s">
        <v>700</v>
      </c>
      <c r="D12" s="11" t="s">
        <v>700</v>
      </c>
      <c r="E12" s="12">
        <v>41012</v>
      </c>
      <c r="F12" s="15">
        <v>41012</v>
      </c>
      <c r="G12" s="14" t="s">
        <v>318</v>
      </c>
      <c r="H12" s="12">
        <v>41459</v>
      </c>
      <c r="I12" s="12">
        <v>44381</v>
      </c>
      <c r="J12" s="13">
        <v>1.7500000000000002E-2</v>
      </c>
      <c r="K12" s="12">
        <v>44746</v>
      </c>
      <c r="L12" s="16" t="str" cm="1">
        <f t="array" ref="L12">_xll.aqBondObjectCreateFromGenerator($C12,$L$4,_xll.aqToolLVBFromKeysValues($C$7:$K$7,$C12:$K12))</f>
        <v>DE0001135473:2</v>
      </c>
      <c r="M12" s="78">
        <v>-3.3543432424225374E-3</v>
      </c>
      <c r="N12" s="51">
        <v>107.804</v>
      </c>
      <c r="O12" s="17">
        <v>3.6271</v>
      </c>
      <c r="P12" s="95">
        <v>392.84</v>
      </c>
      <c r="Q12" s="39" cm="1">
        <f t="array" ref="Q12">_xll.aqBondObjectYield(L12,$C$4,R12)</f>
        <v>-3.3543432424223861E-3</v>
      </c>
      <c r="R12" s="49" cm="1">
        <f t="array" ref="R12">_xll.aqBondObjectPrice($L12,$C$4,$M12)</f>
        <v>107.80400000002255</v>
      </c>
      <c r="S12" s="49" cm="1">
        <f t="array" ref="S12">_xll.aqBondObjectCleanPrice($L12,$C$4,$M12)</f>
        <v>107.80400000002255</v>
      </c>
      <c r="T12" s="49" cm="1">
        <f t="array" ref="T12">_xll.aqBondObjectDirtyPrice($L12,$C$4,$M12)</f>
        <v>108.30742465755681</v>
      </c>
      <c r="U12" s="18" cm="1">
        <f t="array" ref="U12">_xll.aqBondObjectModifiedDuration($L12,$C$4,$Q12)</f>
        <v>3.6270984995717965</v>
      </c>
      <c r="V12" s="93" cm="1">
        <f t="array" ref="V12">_xll.aqBondObjectDV01($L12,$C$4,$Q12)</f>
        <v>392.8416974679094</v>
      </c>
    </row>
    <row r="13" spans="2:16371">
      <c r="B13" s="11" t="s">
        <v>701</v>
      </c>
      <c r="C13" s="11" t="s">
        <v>702</v>
      </c>
      <c r="D13" s="11" t="s">
        <v>702</v>
      </c>
      <c r="E13" s="12">
        <v>41159</v>
      </c>
      <c r="F13" s="15">
        <v>41156</v>
      </c>
      <c r="G13" s="14" t="s">
        <v>318</v>
      </c>
      <c r="H13" s="12">
        <v>41521</v>
      </c>
      <c r="I13" s="12">
        <v>44443</v>
      </c>
      <c r="J13" s="13">
        <v>1.4999999999999999E-2</v>
      </c>
      <c r="K13" s="12">
        <v>44808</v>
      </c>
      <c r="L13" s="16" t="str" cm="1">
        <f t="array" ref="L13">_xll.aqBondObjectCreateFromGenerator($C13,$L$4,_xll.aqToolLVBFromKeysValues($C$7:$K$7,$C13:$K13))</f>
        <v>DE0001135499:2</v>
      </c>
      <c r="M13" s="78">
        <v>-3.0816237331262814E-3</v>
      </c>
      <c r="N13" s="51">
        <v>107.07299999999999</v>
      </c>
      <c r="O13" s="17">
        <v>3.8096000000000001</v>
      </c>
      <c r="P13" s="95">
        <v>408.58</v>
      </c>
      <c r="Q13" s="39" cm="1">
        <f t="array" ref="Q13">_xll.aqBondObjectYield(L13,$C$4,R13)</f>
        <v>-3.0816237331260732E-3</v>
      </c>
      <c r="R13" s="49" cm="1">
        <f t="array" ref="R13">_xll.aqBondObjectPrice($L13,$C$4,$M13)</f>
        <v>107.0730000000142</v>
      </c>
      <c r="S13" s="49" cm="1">
        <f t="array" ref="S13">_xll.aqBondObjectCleanPrice($L13,$C$4,$M13)</f>
        <v>107.0730000000142</v>
      </c>
      <c r="T13" s="49" cm="1">
        <f t="array" ref="T13">_xll.aqBondObjectDirtyPrice($L13,$C$4,$M13)</f>
        <v>107.24971232878133</v>
      </c>
      <c r="U13" s="18" cm="1">
        <f t="array" ref="U13">_xll.aqBondObjectModifiedDuration($L13,$C$4,$Q13)</f>
        <v>3.8096129310012188</v>
      </c>
      <c r="V13" s="93" cm="1">
        <f t="array" ref="V13">_xll.aqBondObjectDV01($L13,$C$4,$Q13)</f>
        <v>408.57989093388585</v>
      </c>
    </row>
    <row r="14" spans="2:16371">
      <c r="B14" s="11" t="s">
        <v>703</v>
      </c>
      <c r="C14" s="11" t="s">
        <v>704</v>
      </c>
      <c r="D14" s="11" t="s">
        <v>704</v>
      </c>
      <c r="E14" s="12">
        <v>41292</v>
      </c>
      <c r="F14" s="15">
        <v>41292</v>
      </c>
      <c r="G14" s="14" t="s">
        <v>318</v>
      </c>
      <c r="H14" s="12">
        <v>41685</v>
      </c>
      <c r="I14" s="12">
        <v>44607</v>
      </c>
      <c r="J14" s="13">
        <v>1.4999999999999999E-2</v>
      </c>
      <c r="K14" s="12">
        <v>44972</v>
      </c>
      <c r="L14" s="16" t="str" cm="1">
        <f t="array" ref="L14">_xll.aqBondObjectCreateFromGenerator($C14,$L$4,_xll.aqToolLVBFromKeysValues($C$7:$K$7,$C14:$K14))</f>
        <v>DE0001102309:2</v>
      </c>
      <c r="M14" s="78">
        <v>-2.3064496039577722E-3</v>
      </c>
      <c r="N14" s="51">
        <v>107.54300000000001</v>
      </c>
      <c r="O14" s="17">
        <v>4.2026000000000003</v>
      </c>
      <c r="P14" s="95">
        <v>456.17</v>
      </c>
      <c r="Q14" s="39" cm="1">
        <f t="array" ref="Q14">_xll.aqBondObjectYield(L14,$C$4,R14)</f>
        <v>-2.30644960395777E-3</v>
      </c>
      <c r="R14" s="49" cm="1">
        <f t="array" ref="R14">_xll.aqBondObjectPrice($L14,$C$4,$M14)</f>
        <v>107.54300000002941</v>
      </c>
      <c r="S14" s="49" cm="1">
        <f t="array" ref="S14">_xll.aqBondObjectCleanPrice($L14,$C$4,$M14)</f>
        <v>107.54300000002941</v>
      </c>
      <c r="T14" s="49" cm="1">
        <f t="array" ref="T14">_xll.aqBondObjectDirtyPrice($L14,$C$4,$M14)</f>
        <v>108.54573972605681</v>
      </c>
      <c r="U14" s="18" cm="1">
        <f t="array" ref="U14">_xll.aqBondObjectModifiedDuration($L14,$C$4,$Q14)</f>
        <v>4.2025834000008908</v>
      </c>
      <c r="V14" s="93" cm="1">
        <f t="array" ref="V14">_xll.aqBondObjectDV01($L14,$C$4,$Q14)</f>
        <v>456.17252391354361</v>
      </c>
    </row>
    <row r="15" spans="2:16371">
      <c r="B15" s="11" t="s">
        <v>705</v>
      </c>
      <c r="C15" s="11" t="s">
        <v>706</v>
      </c>
      <c r="D15" s="11" t="s">
        <v>706</v>
      </c>
      <c r="E15" s="12">
        <v>41418</v>
      </c>
      <c r="F15" s="15">
        <v>41409</v>
      </c>
      <c r="G15" s="14" t="s">
        <v>318</v>
      </c>
      <c r="H15" s="12">
        <v>41774</v>
      </c>
      <c r="I15" s="12">
        <v>44696</v>
      </c>
      <c r="J15" s="13">
        <v>1.4999999999999999E-2</v>
      </c>
      <c r="K15" s="12">
        <v>45061</v>
      </c>
      <c r="L15" s="16" t="str" cm="1">
        <f t="array" ref="L15">_xll.aqBondObjectCreateFromGenerator($C15,$L$4,_xll.aqToolLVBFromKeysValues($C$7:$K$7,$C15:$K15))</f>
        <v>DE0001102317:2</v>
      </c>
      <c r="M15" s="78">
        <v>-1.9253085044134539E-3</v>
      </c>
      <c r="N15" s="51">
        <v>107.786</v>
      </c>
      <c r="O15" s="17">
        <v>4.4451000000000001</v>
      </c>
      <c r="P15" s="95">
        <v>481.95</v>
      </c>
      <c r="Q15" s="39" cm="1">
        <f t="array" ref="Q15">_xll.aqBondObjectYield(L15,$C$4,R15)</f>
        <v>-1.9253085044133415E-3</v>
      </c>
      <c r="R15" s="49" cm="1">
        <f t="array" ref="R15">_xll.aqBondObjectPrice($L15,$C$4,$M15)</f>
        <v>107.78600000004184</v>
      </c>
      <c r="S15" s="49" cm="1">
        <f t="array" ref="S15">_xll.aqBondObjectCleanPrice($L15,$C$4,$M15)</f>
        <v>107.78600000004184</v>
      </c>
      <c r="T15" s="49" cm="1">
        <f t="array" ref="T15">_xll.aqBondObjectDirtyPrice($L15,$C$4,$M15)</f>
        <v>108.4229863014117</v>
      </c>
      <c r="U15" s="18" cm="1">
        <f t="array" ref="U15">_xll.aqBondObjectModifiedDuration($L15,$C$4,$Q15)</f>
        <v>4.4451327606356124</v>
      </c>
      <c r="V15" s="93" cm="1">
        <f t="array" ref="V15">_xll.aqBondObjectDV01($L15,$C$4,$Q15)</f>
        <v>481.95456841435117</v>
      </c>
    </row>
    <row r="16" spans="2:16371">
      <c r="B16" s="11" t="s">
        <v>707</v>
      </c>
      <c r="C16" s="11" t="s">
        <v>708</v>
      </c>
      <c r="D16" s="11" t="s">
        <v>708</v>
      </c>
      <c r="E16" s="12">
        <v>41530</v>
      </c>
      <c r="F16" s="15">
        <v>41501</v>
      </c>
      <c r="G16" s="14" t="s">
        <v>318</v>
      </c>
      <c r="H16" s="12">
        <v>41866</v>
      </c>
      <c r="I16" s="12">
        <v>44788</v>
      </c>
      <c r="J16" s="13">
        <v>0.02</v>
      </c>
      <c r="K16" s="12">
        <v>45153</v>
      </c>
      <c r="L16" s="16" t="str" cm="1">
        <f t="array" ref="L16">_xll.aqBondObjectCreateFromGenerator($C16,$L$4,_xll.aqToolLVBFromKeysValues($C$7:$K$7,$C16:$K16))</f>
        <v>DE0001102325:2</v>
      </c>
      <c r="M16" s="78">
        <v>-1.5162272020241808E-3</v>
      </c>
      <c r="N16" s="51">
        <v>110.43300000000001</v>
      </c>
      <c r="O16" s="17">
        <v>4.6534000000000004</v>
      </c>
      <c r="P16" s="95">
        <v>515.5</v>
      </c>
      <c r="Q16" s="39" cm="1">
        <f t="array" ref="Q16">_xll.aqBondObjectYield(L16,$C$4,R16)</f>
        <v>-1.5162272020241433E-3</v>
      </c>
      <c r="R16" s="49" cm="1">
        <f t="array" ref="R16">_xll.aqBondObjectPrice($L16,$C$4,$M16)</f>
        <v>110.43300000024476</v>
      </c>
      <c r="S16" s="49" cm="1">
        <f t="array" ref="S16">_xll.aqBondObjectCleanPrice($L16,$C$4,$M16)</f>
        <v>110.43300000024476</v>
      </c>
      <c r="T16" s="49" cm="1">
        <f t="array" ref="T16">_xll.aqBondObjectDirtyPrice($L16,$C$4,$M16)</f>
        <v>110.77820547969681</v>
      </c>
      <c r="U16" s="18" cm="1">
        <f t="array" ref="U16">_xll.aqBondObjectModifiedDuration($L16,$C$4,$Q16)</f>
        <v>4.6534104434672656</v>
      </c>
      <c r="V16" s="93" cm="1">
        <f t="array" ref="V16">_xll.aqBondObjectDV01($L16,$C$4,$Q16)</f>
        <v>515.49645828778375</v>
      </c>
    </row>
    <row r="17" spans="2:22">
      <c r="B17" s="11" t="s">
        <v>709</v>
      </c>
      <c r="C17" s="11" t="s">
        <v>710</v>
      </c>
      <c r="D17" s="11" t="s">
        <v>710</v>
      </c>
      <c r="E17" s="12">
        <v>34338</v>
      </c>
      <c r="F17" s="15">
        <v>34338</v>
      </c>
      <c r="G17" s="14" t="s">
        <v>318</v>
      </c>
      <c r="H17" s="12">
        <v>34703</v>
      </c>
      <c r="I17" s="12">
        <v>44930</v>
      </c>
      <c r="J17" s="13">
        <v>6.25E-2</v>
      </c>
      <c r="K17" s="12">
        <v>45295</v>
      </c>
      <c r="L17" s="16" t="str" cm="1">
        <f t="array" ref="L17">_xll.aqBondObjectCreateFromGenerator($C17,$L$4,_xll.aqToolLVBFromKeysValues($C$7:$K$7,$C17:$K17))</f>
        <v>DE0001134922:2</v>
      </c>
      <c r="M17" s="78">
        <v>-9.184824120539517E-4</v>
      </c>
      <c r="N17" s="51">
        <v>133.17699999999999</v>
      </c>
      <c r="O17" s="17">
        <v>4.5407000000000002</v>
      </c>
      <c r="P17" s="95">
        <v>626.95000000000005</v>
      </c>
      <c r="Q17" s="39" cm="1">
        <f t="array" ref="Q17">_xll.aqBondObjectYield(L17,$C$4,R17)</f>
        <v>-9.1848241205389402E-4</v>
      </c>
      <c r="R17" s="49" cm="1">
        <f t="array" ref="R17">_xll.aqBondObjectPrice($L17,$C$4,$M17)</f>
        <v>133.17700000000048</v>
      </c>
      <c r="S17" s="49" cm="1">
        <f t="array" ref="S17">_xll.aqBondObjectCleanPrice($L17,$C$4,$M17)</f>
        <v>133.17700000000048</v>
      </c>
      <c r="T17" s="49" cm="1">
        <f t="array" ref="T17">_xll.aqBondObjectDirtyPrice($L17,$C$4,$M17)</f>
        <v>138.07426027397307</v>
      </c>
      <c r="U17" s="18" cm="1">
        <f t="array" ref="U17">_xll.aqBondObjectModifiedDuration($L17,$C$4,$Q17)</f>
        <v>4.5406583484821503</v>
      </c>
      <c r="V17" s="93" cm="1">
        <f t="array" ref="V17">_xll.aqBondObjectDV01($L17,$C$4,$Q17)</f>
        <v>626.94804262351317</v>
      </c>
    </row>
    <row r="18" spans="2:22">
      <c r="B18" s="11" t="s">
        <v>711</v>
      </c>
      <c r="C18" s="11" t="s">
        <v>712</v>
      </c>
      <c r="D18" s="11" t="s">
        <v>712</v>
      </c>
      <c r="E18" s="12">
        <v>41670</v>
      </c>
      <c r="F18" s="15">
        <v>41670</v>
      </c>
      <c r="G18" s="14" t="s">
        <v>318</v>
      </c>
      <c r="H18" s="12">
        <v>42050</v>
      </c>
      <c r="I18" s="12">
        <v>44972</v>
      </c>
      <c r="J18" s="13">
        <v>1.7500000000000002E-2</v>
      </c>
      <c r="K18" s="12">
        <v>45337</v>
      </c>
      <c r="L18" s="16" t="str" cm="1">
        <f t="array" ref="L18">_xll.aqBondObjectCreateFromGenerator($C18,$L$4,_xll.aqToolLVBFromKeysValues($C$7:$K$7,$C18:$K18))</f>
        <v>DE0001102333:2</v>
      </c>
      <c r="M18" s="78">
        <v>-6.5574186914727243E-4</v>
      </c>
      <c r="N18" s="51">
        <v>109.7</v>
      </c>
      <c r="O18" s="17">
        <v>5.0978000000000003</v>
      </c>
      <c r="P18" s="95">
        <v>565.20000000000005</v>
      </c>
      <c r="Q18" s="39" cm="1">
        <f t="array" ref="Q18">_xll.aqBondObjectYield(L18,$C$4,R18)</f>
        <v>-6.557418691472141E-4</v>
      </c>
      <c r="R18" s="49" cm="1">
        <f t="array" ref="R18">_xll.aqBondObjectPrice($L18,$C$4,$M18)</f>
        <v>109.70000000023472</v>
      </c>
      <c r="S18" s="49" cm="1">
        <f t="array" ref="S18">_xll.aqBondObjectCleanPrice($L18,$C$4,$M18)</f>
        <v>109.70000000023472</v>
      </c>
      <c r="T18" s="49" cm="1">
        <f t="array" ref="T18">_xll.aqBondObjectDirtyPrice($L18,$C$4,$M18)</f>
        <v>110.86986301393335</v>
      </c>
      <c r="U18" s="18" cm="1">
        <f t="array" ref="U18">_xll.aqBondObjectModifiedDuration($L18,$C$4,$Q18)</f>
        <v>5.0978268559238131</v>
      </c>
      <c r="V18" s="93" cm="1">
        <f t="array" ref="V18">_xll.aqBondObjectDV01($L18,$C$4,$Q18)</f>
        <v>565.19536518502355</v>
      </c>
    </row>
    <row r="19" spans="2:22">
      <c r="B19" s="11" t="s">
        <v>713</v>
      </c>
      <c r="C19" s="11" t="s">
        <v>714</v>
      </c>
      <c r="D19" s="11" t="s">
        <v>714</v>
      </c>
      <c r="E19" s="12">
        <v>41782</v>
      </c>
      <c r="F19" s="15">
        <v>41774</v>
      </c>
      <c r="G19" s="14" t="s">
        <v>318</v>
      </c>
      <c r="H19" s="12">
        <v>42139</v>
      </c>
      <c r="I19" s="12">
        <v>45061</v>
      </c>
      <c r="J19" s="13">
        <v>1.4999999999999999E-2</v>
      </c>
      <c r="K19" s="12">
        <v>45427</v>
      </c>
      <c r="L19" s="16" t="str" cm="1">
        <f t="array" ref="L19">_xll.aqBondObjectCreateFromGenerator($C19,$L$4,_xll.aqToolLVBFromKeysValues($C$7:$K$7,$C19:$K19))</f>
        <v>DE0001102358:2</v>
      </c>
      <c r="M19" s="78">
        <v>-3.2430288516103285E-4</v>
      </c>
      <c r="N19" s="51">
        <v>108.553</v>
      </c>
      <c r="O19" s="17">
        <v>5.3708999999999998</v>
      </c>
      <c r="P19" s="95">
        <v>586.45000000000005</v>
      </c>
      <c r="Q19" s="39" cm="1">
        <f t="array" ref="Q19">_xll.aqBondObjectYield(L19,$C$4,R19)</f>
        <v>-3.2430288516084246E-4</v>
      </c>
      <c r="R19" s="49" cm="1">
        <f t="array" ref="R19">_xll.aqBondObjectPrice($L19,$C$4,$M19)</f>
        <v>108.55300000013952</v>
      </c>
      <c r="S19" s="49" cm="1">
        <f t="array" ref="S19">_xll.aqBondObjectCleanPrice($L19,$C$4,$M19)</f>
        <v>108.55300000013952</v>
      </c>
      <c r="T19" s="49" cm="1">
        <f t="array" ref="T19">_xll.aqBondObjectDirtyPrice($L19,$C$4,$M19)</f>
        <v>109.18998630150938</v>
      </c>
      <c r="U19" s="18" cm="1">
        <f t="array" ref="U19">_xll.aqBondObjectModifiedDuration($L19,$C$4,$Q19)</f>
        <v>5.3708937822746385</v>
      </c>
      <c r="V19" s="93" cm="1">
        <f t="array" ref="V19">_xll.aqBondObjectDV01($L19,$C$4,$Q19)</f>
        <v>586.44781851342907</v>
      </c>
    </row>
    <row r="20" spans="2:22">
      <c r="B20" s="11" t="s">
        <v>715</v>
      </c>
      <c r="C20" s="11" t="s">
        <v>716</v>
      </c>
      <c r="D20" s="11" t="s">
        <v>716</v>
      </c>
      <c r="E20" s="12">
        <v>41894</v>
      </c>
      <c r="F20" s="15">
        <v>41866</v>
      </c>
      <c r="G20" s="14" t="s">
        <v>318</v>
      </c>
      <c r="H20" s="12">
        <v>42231</v>
      </c>
      <c r="I20" s="12">
        <v>45153</v>
      </c>
      <c r="J20" s="13">
        <v>0.01</v>
      </c>
      <c r="K20" s="12">
        <v>45519</v>
      </c>
      <c r="L20" s="16" t="str" cm="1">
        <f t="array" ref="L20">_xll.aqBondObjectCreateFromGenerator($C20,$L$4,_xll.aqToolLVBFromKeysValues($C$7:$K$7,$C20:$K20))</f>
        <v>DE0001102366:2</v>
      </c>
      <c r="M20" s="78">
        <v>6.7041907685758137E-5</v>
      </c>
      <c r="N20" s="51">
        <v>105.78700000000001</v>
      </c>
      <c r="O20" s="17">
        <v>5.6855000000000002</v>
      </c>
      <c r="P20" s="95">
        <v>602.42999999999995</v>
      </c>
      <c r="Q20" s="39" cm="1">
        <f t="array" ref="Q20">_xll.aqBondObjectYield(L20,$C$4,R20)</f>
        <v>6.7041907686002597E-5</v>
      </c>
      <c r="R20" s="49" cm="1">
        <f t="array" ref="R20">_xll.aqBondObjectPrice($L20,$C$4,$M20)</f>
        <v>105.78700000001274</v>
      </c>
      <c r="S20" s="49" cm="1">
        <f t="array" ref="S20">_xll.aqBondObjectCleanPrice($L20,$C$4,$M20)</f>
        <v>105.78700000001274</v>
      </c>
      <c r="T20" s="49" cm="1">
        <f t="array" ref="T20">_xll.aqBondObjectDirtyPrice($L20,$C$4,$M20)</f>
        <v>105.95960273973877</v>
      </c>
      <c r="U20" s="18" cm="1">
        <f t="array" ref="U20">_xll.aqBondObjectModifiedDuration($L20,$C$4,$Q20)</f>
        <v>5.6854732147876055</v>
      </c>
      <c r="V20" s="93" cm="1">
        <f t="array" ref="V20">_xll.aqBondObjectDV01($L20,$C$4,$Q20)</f>
        <v>602.43048322631932</v>
      </c>
    </row>
    <row r="21" spans="2:22">
      <c r="B21" s="11" t="s">
        <v>717</v>
      </c>
      <c r="C21" s="11" t="s">
        <v>718</v>
      </c>
      <c r="D21" s="11" t="s">
        <v>718</v>
      </c>
      <c r="E21" s="12">
        <v>42020</v>
      </c>
      <c r="F21" s="15">
        <v>42020</v>
      </c>
      <c r="G21" s="14" t="s">
        <v>318</v>
      </c>
      <c r="H21" s="12">
        <v>42415</v>
      </c>
      <c r="I21" s="12">
        <v>45337</v>
      </c>
      <c r="J21" s="13">
        <v>5.0000000000000001E-3</v>
      </c>
      <c r="K21" s="12">
        <v>45703</v>
      </c>
      <c r="L21" s="16" t="str" cm="1">
        <f t="array" ref="L21">_xll.aqBondObjectCreateFromGenerator($C21,$L$4,_xll.aqToolLVBFromKeysValues($C$7:$K$7,$C21:$K21))</f>
        <v>DE0001102374:2</v>
      </c>
      <c r="M21" s="78">
        <v>7.5384564906827249E-4</v>
      </c>
      <c r="N21" s="51">
        <v>102.681</v>
      </c>
      <c r="O21" s="17">
        <v>6.2249999999999996</v>
      </c>
      <c r="P21" s="95">
        <v>641.27</v>
      </c>
      <c r="Q21" s="39" cm="1">
        <f t="array" ref="Q21">_xll.aqBondObjectYield(L21,$C$4,R21)</f>
        <v>7.5384564906842341E-4</v>
      </c>
      <c r="R21" s="49" cm="1">
        <f t="array" ref="R21">_xll.aqBondObjectPrice($L21,$C$4,$M21)</f>
        <v>102.68100000000018</v>
      </c>
      <c r="S21" s="49" cm="1">
        <f t="array" ref="S21">_xll.aqBondObjectCleanPrice($L21,$C$4,$M21)</f>
        <v>102.68100000000018</v>
      </c>
      <c r="T21" s="49" cm="1">
        <f t="array" ref="T21">_xll.aqBondObjectDirtyPrice($L21,$C$4,$M21)</f>
        <v>103.01524657534264</v>
      </c>
      <c r="U21" s="18" cm="1">
        <f t="array" ref="U21">_xll.aqBondObjectModifiedDuration($L21,$C$4,$Q21)</f>
        <v>6.2250407656056277</v>
      </c>
      <c r="V21" s="93" cm="1">
        <f t="array" ref="V21">_xll.aqBondObjectDV01($L21,$C$4,$Q21)</f>
        <v>641.27410941042353</v>
      </c>
    </row>
    <row r="22" spans="2:22">
      <c r="B22" s="11" t="s">
        <v>719</v>
      </c>
      <c r="C22" s="11" t="s">
        <v>720</v>
      </c>
      <c r="D22" s="11" t="s">
        <v>720</v>
      </c>
      <c r="E22" s="12">
        <v>42202</v>
      </c>
      <c r="F22" s="15">
        <v>42202</v>
      </c>
      <c r="G22" s="14" t="s">
        <v>318</v>
      </c>
      <c r="H22" s="12">
        <v>42597</v>
      </c>
      <c r="I22" s="12">
        <v>45519</v>
      </c>
      <c r="J22" s="13">
        <v>0.01</v>
      </c>
      <c r="K22" s="12">
        <v>45884</v>
      </c>
      <c r="L22" s="16" t="str" cm="1">
        <f t="array" ref="L22">_xll.aqBondObjectCreateFromGenerator($C22,$L$4,_xll.aqToolLVBFromKeysValues($C$7:$K$7,$C22:$K22))</f>
        <v>DE0001102382:2</v>
      </c>
      <c r="M22" s="78">
        <v>1.266744070373173E-3</v>
      </c>
      <c r="N22" s="51">
        <v>105.93300000000001</v>
      </c>
      <c r="O22" s="17">
        <v>6.6216999999999997</v>
      </c>
      <c r="P22" s="95">
        <v>702.6</v>
      </c>
      <c r="Q22" s="39" cm="1">
        <f t="array" ref="Q22">_xll.aqBondObjectYield(L22,$C$4,R22)</f>
        <v>1.2667440703732484E-3</v>
      </c>
      <c r="R22" s="49" cm="1">
        <f t="array" ref="R22">_xll.aqBondObjectPrice($L22,$C$4,$M22)</f>
        <v>105.93300000004587</v>
      </c>
      <c r="S22" s="49" cm="1">
        <f t="array" ref="S22">_xll.aqBondObjectCleanPrice($L22,$C$4,$M22)</f>
        <v>105.93300000004587</v>
      </c>
      <c r="T22" s="49" cm="1">
        <f t="array" ref="T22">_xll.aqBondObjectDirtyPrice($L22,$C$4,$M22)</f>
        <v>106.1056027397719</v>
      </c>
      <c r="U22" s="18" cm="1">
        <f t="array" ref="U22">_xll.aqBondObjectModifiedDuration($L22,$C$4,$Q22)</f>
        <v>6.6217167584157792</v>
      </c>
      <c r="V22" s="93" cm="1">
        <f t="array" ref="V22">_xll.aqBondObjectDV01($L22,$C$4,$Q22)</f>
        <v>702.60124782375374</v>
      </c>
    </row>
    <row r="23" spans="2:22">
      <c r="B23" s="11" t="s">
        <v>721</v>
      </c>
      <c r="C23" s="11" t="s">
        <v>722</v>
      </c>
      <c r="D23" s="11" t="s">
        <v>722</v>
      </c>
      <c r="E23" s="12">
        <v>42384</v>
      </c>
      <c r="F23" s="15">
        <v>42384</v>
      </c>
      <c r="G23" s="14" t="s">
        <v>318</v>
      </c>
      <c r="H23" s="12">
        <v>42781</v>
      </c>
      <c r="I23" s="12">
        <v>45703</v>
      </c>
      <c r="J23" s="13">
        <v>5.0000000000000001E-3</v>
      </c>
      <c r="K23" s="12">
        <v>46068</v>
      </c>
      <c r="L23" s="16" t="str" cm="1">
        <f t="array" ref="L23">_xll.aqBondObjectCreateFromGenerator($C23,$L$4,_xll.aqToolLVBFromKeysValues($C$7:$K$7,$C23:$K23))</f>
        <v>DE0001102390:2</v>
      </c>
      <c r="M23" s="78">
        <v>1.9119156472667321E-3</v>
      </c>
      <c r="N23" s="51">
        <v>102.246</v>
      </c>
      <c r="O23" s="17">
        <v>7.1818999999999997</v>
      </c>
      <c r="P23" s="95">
        <v>736.72</v>
      </c>
      <c r="Q23" s="39" cm="1">
        <f t="array" ref="Q23">_xll.aqBondObjectYield(L23,$C$4,R23)</f>
        <v>1.9119156472666118E-3</v>
      </c>
      <c r="R23" s="49" cm="1">
        <f t="array" ref="R23">_xll.aqBondObjectPrice($L23,$C$4,$M23)</f>
        <v>102.24600000000054</v>
      </c>
      <c r="S23" s="49" cm="1">
        <f t="array" ref="S23">_xll.aqBondObjectCleanPrice($L23,$C$4,$M23)</f>
        <v>102.24600000000054</v>
      </c>
      <c r="T23" s="49" cm="1">
        <f t="array" ref="T23">_xll.aqBondObjectDirtyPrice($L23,$C$4,$M23)</f>
        <v>102.580246575343</v>
      </c>
      <c r="U23" s="18" cm="1">
        <f t="array" ref="U23">_xll.aqBondObjectModifiedDuration($L23,$C$4,$Q23)</f>
        <v>7.1819028365790327</v>
      </c>
      <c r="V23" s="93" cm="1">
        <f t="array" ref="V23">_xll.aqBondObjectDV01($L23,$C$4,$Q23)</f>
        <v>736.7213638564325</v>
      </c>
    </row>
    <row r="24" spans="2:22">
      <c r="B24" s="11" t="s">
        <v>723</v>
      </c>
      <c r="C24" s="11" t="s">
        <v>724</v>
      </c>
      <c r="D24" s="11" t="s">
        <v>724</v>
      </c>
      <c r="E24" s="12">
        <v>42566</v>
      </c>
      <c r="F24" s="15">
        <v>42566</v>
      </c>
      <c r="G24" s="14" t="s">
        <v>318</v>
      </c>
      <c r="H24" s="12">
        <v>42962</v>
      </c>
      <c r="I24" s="12">
        <v>45884</v>
      </c>
      <c r="J24" s="13">
        <v>0</v>
      </c>
      <c r="K24" s="12">
        <v>46249</v>
      </c>
      <c r="L24" s="16" t="str" cm="1">
        <f t="array" ref="L24">_xll.aqBondObjectCreateFromGenerator($C24,$L$4,_xll.aqToolLVBFromKeysValues($C$7:$K$7,$C24:$K24))</f>
        <v>DE0001102408:2</v>
      </c>
      <c r="M24" s="78">
        <v>2.5804376740257151E-3</v>
      </c>
      <c r="N24" s="51">
        <v>98.003</v>
      </c>
      <c r="O24" s="17">
        <v>7.8072999999999997</v>
      </c>
      <c r="P24" s="95">
        <v>765.13</v>
      </c>
      <c r="Q24" s="39" cm="1">
        <f t="array" ref="Q24">_xll.aqBondObjectYield(L24,$C$4,R24)</f>
        <v>2.5804376740256848E-3</v>
      </c>
      <c r="R24" s="49" cm="1">
        <f t="array" ref="R24">_xll.aqBondObjectPrice($L24,$C$4,$M24)</f>
        <v>98.002999999999943</v>
      </c>
      <c r="S24" s="49" cm="1">
        <f t="array" ref="S24">_xll.aqBondObjectCleanPrice($L24,$C$4,$M24)</f>
        <v>98.002999999999943</v>
      </c>
      <c r="T24" s="49" cm="1">
        <f t="array" ref="T24">_xll.aqBondObjectDirtyPrice($L24,$C$4,$M24)</f>
        <v>98.002999999999943</v>
      </c>
      <c r="U24" s="18" cm="1">
        <f t="array" ref="U24">_xll.aqBondObjectModifiedDuration($L24,$C$4,$Q24)</f>
        <v>7.8072511353138294</v>
      </c>
      <c r="V24" s="93" cm="1">
        <f t="array" ref="V24">_xll.aqBondObjectDV01($L24,$C$4,$Q24)</f>
        <v>765.13403301416076</v>
      </c>
    </row>
    <row r="25" spans="2:22">
      <c r="B25" s="11" t="s">
        <v>725</v>
      </c>
      <c r="C25" s="11" t="s">
        <v>726</v>
      </c>
      <c r="D25" s="11" t="s">
        <v>726</v>
      </c>
      <c r="E25" s="12">
        <v>42748</v>
      </c>
      <c r="F25" s="15">
        <v>42748</v>
      </c>
      <c r="G25" s="14" t="s">
        <v>318</v>
      </c>
      <c r="H25" s="12">
        <v>43146</v>
      </c>
      <c r="I25" s="12">
        <v>46068</v>
      </c>
      <c r="J25" s="13">
        <v>2.5000000000000001E-3</v>
      </c>
      <c r="K25" s="12">
        <v>46433</v>
      </c>
      <c r="L25" s="16" t="str" cm="1">
        <f t="array" ref="L25">_xll.aqBondObjectCreateFromGenerator($C25,$L$4,_xll.aqToolLVBFromKeysValues($C$7:$K$7,$C25:$K25))</f>
        <v>DE0001102416:2</v>
      </c>
      <c r="M25" s="78">
        <v>3.1405189424655346E-3</v>
      </c>
      <c r="N25" s="51">
        <v>99.474000000000004</v>
      </c>
      <c r="O25" s="17">
        <v>8.2161000000000008</v>
      </c>
      <c r="P25" s="95">
        <v>818.66</v>
      </c>
      <c r="Q25" s="39" cm="1">
        <f t="array" ref="Q25">_xll.aqBondObjectYield(L25,$C$4,R25)</f>
        <v>3.1405189424656759E-3</v>
      </c>
      <c r="R25" s="49" cm="1">
        <f t="array" ref="R25">_xll.aqBondObjectPrice($L25,$C$4,$M25)</f>
        <v>99.473999999999947</v>
      </c>
      <c r="S25" s="49" cm="1">
        <f t="array" ref="S25">_xll.aqBondObjectCleanPrice($L25,$C$4,$M25)</f>
        <v>99.473999999999947</v>
      </c>
      <c r="T25" s="49" cm="1">
        <f t="array" ref="T25">_xll.aqBondObjectDirtyPrice($L25,$C$4,$M25)</f>
        <v>99.641123287671178</v>
      </c>
      <c r="U25" s="18" cm="1">
        <f t="array" ref="U25">_xll.aqBondObjectModifiedDuration($L25,$C$4,$Q25)</f>
        <v>8.2161296678364515</v>
      </c>
      <c r="V25" s="93" cm="1">
        <f t="array" ref="V25">_xll.aqBondObjectDV01($L25,$C$4,$Q25)</f>
        <v>818.66438918038477</v>
      </c>
    </row>
    <row r="26" spans="2:22">
      <c r="B26" s="11" t="s">
        <v>727</v>
      </c>
      <c r="C26" s="11" t="s">
        <v>728</v>
      </c>
      <c r="D26" s="11" t="s">
        <v>728</v>
      </c>
      <c r="E26" s="12">
        <v>35615</v>
      </c>
      <c r="F26" s="15">
        <v>35615</v>
      </c>
      <c r="G26" s="14" t="s">
        <v>318</v>
      </c>
      <c r="H26" s="12">
        <v>35980</v>
      </c>
      <c r="I26" s="12">
        <v>46207</v>
      </c>
      <c r="J26" s="13">
        <v>6.5000000000000002E-2</v>
      </c>
      <c r="K26" s="12">
        <v>46572</v>
      </c>
      <c r="L26" s="16" t="str" cm="1">
        <f t="array" ref="L26">_xll.aqBondObjectCreateFromGenerator($C26,$L$4,_xll.aqToolLVBFromKeysValues($C$7:$K$7,$C26:$K26))</f>
        <v>DE0001135044:2</v>
      </c>
      <c r="M26" s="78">
        <v>2.9640434389740515E-3</v>
      </c>
      <c r="N26" s="51">
        <v>153.27600000000001</v>
      </c>
      <c r="O26" s="17">
        <v>7.1962000000000002</v>
      </c>
      <c r="P26" s="95">
        <v>1116.47</v>
      </c>
      <c r="Q26" s="39" cm="1">
        <f t="array" ref="Q26">_xll.aqBondObjectYield(L26,$C$4,R26)</f>
        <v>2.9640434389854482E-3</v>
      </c>
      <c r="R26" s="49" cm="1">
        <f t="array" ref="R26">_xll.aqBondObjectPrice($L26,$C$4,$M26)</f>
        <v>153.27600000006515</v>
      </c>
      <c r="S26" s="49" cm="1">
        <f t="array" ref="S26">_xll.aqBondObjectCleanPrice($L26,$C$4,$M26)</f>
        <v>153.27600000006515</v>
      </c>
      <c r="T26" s="49" cm="1">
        <f t="array" ref="T26">_xll.aqBondObjectDirtyPrice($L26,$C$4,$M26)</f>
        <v>155.14586301376377</v>
      </c>
      <c r="U26" s="18" cm="1">
        <f t="array" ref="U26">_xll.aqBondObjectModifiedDuration($L26,$C$4,$Q26)</f>
        <v>7.1962497989779175</v>
      </c>
      <c r="V26" s="93" cm="1">
        <f t="array" ref="V26">_xll.aqBondObjectDV01($L26,$C$4,$Q26)</f>
        <v>1116.4683855249625</v>
      </c>
    </row>
    <row r="27" spans="2:22">
      <c r="B27" s="11" t="s">
        <v>729</v>
      </c>
      <c r="C27" s="11" t="s">
        <v>730</v>
      </c>
      <c r="D27" s="11" t="s">
        <v>730</v>
      </c>
      <c r="E27" s="12">
        <v>35818</v>
      </c>
      <c r="F27" s="15">
        <v>35799</v>
      </c>
      <c r="G27" s="14" t="s">
        <v>318</v>
      </c>
      <c r="H27" s="12">
        <v>36164</v>
      </c>
      <c r="I27" s="12">
        <v>46391</v>
      </c>
      <c r="J27" s="13">
        <v>5.6250000000000001E-2</v>
      </c>
      <c r="K27" s="12">
        <v>46756</v>
      </c>
      <c r="L27" s="16" t="str" cm="1">
        <f t="array" ref="L27">_xll.aqBondObjectCreateFromGenerator($C27,$L$4,_xll.aqToolLVBFromKeysValues($C$7:$K$7,$C27:$K27))</f>
        <v>DE0001135069:2</v>
      </c>
      <c r="M27" s="78">
        <v>3.6055523565943488E-3</v>
      </c>
      <c r="N27" s="51">
        <v>147.636</v>
      </c>
      <c r="O27" s="17">
        <v>7.5415999999999999</v>
      </c>
      <c r="P27" s="95">
        <v>1146.6500000000001</v>
      </c>
      <c r="Q27" s="39" cm="1">
        <f t="array" ref="Q27">_xll.aqBondObjectYield(L27,$C$4,R27)</f>
        <v>3.6055523566062169E-3</v>
      </c>
      <c r="R27" s="49" cm="1">
        <f t="array" ref="R27">_xll.aqBondObjectPrice($L27,$C$4,$M27)</f>
        <v>147.63600000000727</v>
      </c>
      <c r="S27" s="49" cm="1">
        <f t="array" ref="S27">_xll.aqBondObjectCleanPrice($L27,$C$4,$M27)</f>
        <v>147.63600000000727</v>
      </c>
      <c r="T27" s="49" cm="1">
        <f t="array" ref="T27">_xll.aqBondObjectDirtyPrice($L27,$C$4,$M27)</f>
        <v>152.04353424658262</v>
      </c>
      <c r="U27" s="18" cm="1">
        <f t="array" ref="U27">_xll.aqBondObjectModifiedDuration($L27,$C$4,$Q27)</f>
        <v>7.5415612023370562</v>
      </c>
      <c r="V27" s="93" cm="1">
        <f t="array" ref="V27">_xll.aqBondObjectDV01($L27,$C$4,$Q27)</f>
        <v>1146.6456189401295</v>
      </c>
    </row>
    <row r="28" spans="2:22">
      <c r="B28" s="11" t="s">
        <v>731</v>
      </c>
      <c r="C28" s="11" t="s">
        <v>732</v>
      </c>
      <c r="D28" s="11" t="s">
        <v>732</v>
      </c>
      <c r="E28" s="12">
        <v>36077</v>
      </c>
      <c r="F28" s="15">
        <v>35980</v>
      </c>
      <c r="G28" s="14" t="s">
        <v>318</v>
      </c>
      <c r="H28" s="12">
        <v>36345</v>
      </c>
      <c r="I28" s="12">
        <v>46572</v>
      </c>
      <c r="J28" s="13">
        <v>4.7500000000000001E-2</v>
      </c>
      <c r="K28" s="12">
        <v>46938</v>
      </c>
      <c r="L28" s="16" t="str" cm="1">
        <f t="array" ref="L28">_xll.aqBondObjectCreateFromGenerator($C28,$L$4,_xll.aqToolLVBFromKeysValues($C$7:$K$7,$C28:$K28))</f>
        <v>DE0001135085:2</v>
      </c>
      <c r="M28" s="78">
        <v>4.1440350040032456E-3</v>
      </c>
      <c r="N28" s="51">
        <v>141.18700000000001</v>
      </c>
      <c r="O28" s="17">
        <v>8.1997</v>
      </c>
      <c r="P28" s="95">
        <v>1168.8900000000001</v>
      </c>
      <c r="Q28" s="39" cm="1">
        <f t="array" ref="Q28">_xll.aqBondObjectYield(L28,$C$4,R28)</f>
        <v>4.1440350040151961E-3</v>
      </c>
      <c r="R28" s="49" cm="1">
        <f t="array" ref="R28">_xll.aqBondObjectPrice($L28,$C$4,$M28)</f>
        <v>141.18699999999936</v>
      </c>
      <c r="S28" s="49" cm="1">
        <f t="array" ref="S28">_xll.aqBondObjectCleanPrice($L28,$C$4,$M28)</f>
        <v>141.18699999999936</v>
      </c>
      <c r="T28" s="49" cm="1">
        <f t="array" ref="T28">_xll.aqBondObjectDirtyPrice($L28,$C$4,$M28)</f>
        <v>142.55343835616375</v>
      </c>
      <c r="U28" s="18" cm="1">
        <f t="array" ref="U28">_xll.aqBondObjectModifiedDuration($L28,$C$4,$Q28)</f>
        <v>8.1996567333373687</v>
      </c>
      <c r="V28" s="93" cm="1">
        <f t="array" ref="V28">_xll.aqBondObjectDV01($L28,$C$4,$Q28)</f>
        <v>1168.8892606773968</v>
      </c>
    </row>
    <row r="29" spans="2:22">
      <c r="B29" s="11" t="s">
        <v>733</v>
      </c>
      <c r="C29" s="11" t="s">
        <v>734</v>
      </c>
      <c r="D29" s="11" t="s">
        <v>734</v>
      </c>
      <c r="E29" s="12">
        <v>36546</v>
      </c>
      <c r="F29" s="15">
        <v>36529</v>
      </c>
      <c r="G29" s="14" t="s">
        <v>318</v>
      </c>
      <c r="H29" s="12">
        <v>36895</v>
      </c>
      <c r="I29" s="12">
        <v>47122</v>
      </c>
      <c r="J29" s="13">
        <v>6.25E-2</v>
      </c>
      <c r="K29" s="12">
        <v>47487</v>
      </c>
      <c r="L29" s="16" t="str" cm="1">
        <f t="array" ref="L29">_xll.aqBondObjectCreateFromGenerator($C29,$L$4,_xll.aqToolLVBFromKeysValues($C$7:$K$7,$C29:$K29))</f>
        <v>DE0001135143:2</v>
      </c>
      <c r="M29" s="78">
        <v>5.0005262511656967E-3</v>
      </c>
      <c r="N29" s="51">
        <v>162.56399999999999</v>
      </c>
      <c r="O29" s="17">
        <v>8.7523999999999997</v>
      </c>
      <c r="P29" s="95">
        <v>1465.69</v>
      </c>
      <c r="Q29" s="39" cm="1">
        <f t="array" ref="Q29">_xll.aqBondObjectYield(L29,$C$4,R29)</f>
        <v>5.0005262511468715E-3</v>
      </c>
      <c r="R29" s="49" cm="1">
        <f t="array" ref="R29">_xll.aqBondObjectPrice($L29,$C$4,$M29)</f>
        <v>162.56400000082289</v>
      </c>
      <c r="S29" s="49" cm="1">
        <f t="array" ref="S29">_xll.aqBondObjectCleanPrice($L29,$C$4,$M29)</f>
        <v>162.56400000082289</v>
      </c>
      <c r="T29" s="49" cm="1">
        <f t="array" ref="T29">_xll.aqBondObjectDirtyPrice($L29,$C$4,$M29)</f>
        <v>167.46126027479548</v>
      </c>
      <c r="U29" s="18" cm="1">
        <f t="array" ref="U29">_xll.aqBondObjectModifiedDuration($L29,$C$4,$Q29)</f>
        <v>8.7524301969720053</v>
      </c>
      <c r="V29" s="93" cm="1">
        <f t="array" ref="V29">_xll.aqBondObjectDV01($L29,$C$4,$Q29)</f>
        <v>1465.6929912523503</v>
      </c>
    </row>
    <row r="30" spans="2:22">
      <c r="B30" s="11" t="s">
        <v>735</v>
      </c>
      <c r="C30" s="11" t="s">
        <v>736</v>
      </c>
      <c r="D30" s="11" t="s">
        <v>736</v>
      </c>
      <c r="E30" s="12">
        <v>36826</v>
      </c>
      <c r="F30" s="15">
        <v>36826</v>
      </c>
      <c r="G30" s="14" t="s">
        <v>318</v>
      </c>
      <c r="H30" s="12">
        <v>37260</v>
      </c>
      <c r="I30" s="12">
        <v>47487</v>
      </c>
      <c r="J30" s="13">
        <v>5.5E-2</v>
      </c>
      <c r="K30" s="12">
        <v>47852</v>
      </c>
      <c r="L30" s="16" t="str" cm="1">
        <f t="array" ref="L30">_xll.aqBondObjectCreateFromGenerator($C30,$L$4,_xll.aqToolLVBFromKeysValues($C$7:$K$7,$C30:$K30))</f>
        <v>DE0001135176:2</v>
      </c>
      <c r="M30" s="78">
        <v>5.7268931244429284E-3</v>
      </c>
      <c r="N30" s="51">
        <v>157.97399999999999</v>
      </c>
      <c r="O30" s="17">
        <v>9.5756999999999994</v>
      </c>
      <c r="P30" s="95">
        <v>1553.98</v>
      </c>
      <c r="Q30" s="39" cm="1">
        <f t="array" ref="Q30">_xll.aqBondObjectYield(L30,$C$4,R30)</f>
        <v>5.7268931244189658E-3</v>
      </c>
      <c r="R30" s="49" cm="1">
        <f t="array" ref="R30">_xll.aqBondObjectPrice($L30,$C$4,$M30)</f>
        <v>157.97400000020997</v>
      </c>
      <c r="S30" s="49" cm="1">
        <f t="array" ref="S30">_xll.aqBondObjectCleanPrice($L30,$C$4,$M30)</f>
        <v>157.97400000020997</v>
      </c>
      <c r="T30" s="49" cm="1">
        <f t="array" ref="T30">_xll.aqBondObjectDirtyPrice($L30,$C$4,$M30)</f>
        <v>162.28358904130585</v>
      </c>
      <c r="U30" s="18" cm="1">
        <f t="array" ref="U30">_xll.aqBondObjectModifiedDuration($L30,$C$4,$Q30)</f>
        <v>9.5756933880423141</v>
      </c>
      <c r="V30" s="93" cm="1">
        <f t="array" ref="V30">_xll.aqBondObjectDV01($L30,$C$4,$Q30)</f>
        <v>1553.9778905709652</v>
      </c>
    </row>
    <row r="31" spans="2:22">
      <c r="B31" s="11" t="s">
        <v>737</v>
      </c>
      <c r="C31" s="11" t="s">
        <v>738</v>
      </c>
      <c r="D31" s="11" t="s">
        <v>738</v>
      </c>
      <c r="E31" s="12">
        <v>37652</v>
      </c>
      <c r="F31" s="15">
        <v>37652</v>
      </c>
      <c r="G31" s="14" t="s">
        <v>318</v>
      </c>
      <c r="H31" s="12">
        <v>38172</v>
      </c>
      <c r="I31" s="12">
        <v>48764</v>
      </c>
      <c r="J31" s="13">
        <v>4.7500000000000001E-2</v>
      </c>
      <c r="K31" s="12">
        <v>49129</v>
      </c>
      <c r="L31" s="16" t="str" cm="1">
        <f t="array" ref="L31">_xll.aqBondObjectCreateFromGenerator($C31,$L$4,_xll.aqToolLVBFromKeysValues($C$7:$K$7,$C31:$K31))</f>
        <v>DE0001135226:2</v>
      </c>
      <c r="M31" s="78">
        <v>7.5037318942967769E-3</v>
      </c>
      <c r="N31" s="51">
        <v>159.06800000000001</v>
      </c>
      <c r="O31" s="17">
        <v>12.2067</v>
      </c>
      <c r="P31" s="95">
        <v>1958.37</v>
      </c>
      <c r="Q31" s="39" cm="1">
        <f t="array" ref="Q31">_xll.aqBondObjectYield(L31,$C$4,R31)</f>
        <v>7.503731894296822E-3</v>
      </c>
      <c r="R31" s="49" cm="1">
        <f t="array" ref="R31">_xll.aqBondObjectPrice($L31,$C$4,$M31)</f>
        <v>159.06800000019314</v>
      </c>
      <c r="S31" s="49" cm="1">
        <f t="array" ref="S31">_xll.aqBondObjectCleanPrice($L31,$C$4,$M31)</f>
        <v>159.06800000019314</v>
      </c>
      <c r="T31" s="49" cm="1">
        <f t="array" ref="T31">_xll.aqBondObjectDirtyPrice($L31,$C$4,$M31)</f>
        <v>160.43443835635753</v>
      </c>
      <c r="U31" s="18" cm="1">
        <f t="array" ref="U31">_xll.aqBondObjectModifiedDuration($L31,$C$4,$Q31)</f>
        <v>12.206657972854094</v>
      </c>
      <c r="V31" s="93" cm="1">
        <f t="array" ref="V31">_xll.aqBondObjectDV01($L31,$C$4,$Q31)</f>
        <v>1958.3683160830003</v>
      </c>
    </row>
    <row r="32" spans="2:22">
      <c r="B32" s="11" t="s">
        <v>739</v>
      </c>
      <c r="C32" s="11" t="s">
        <v>740</v>
      </c>
      <c r="D32" s="11" t="s">
        <v>740</v>
      </c>
      <c r="E32" s="12">
        <v>38380</v>
      </c>
      <c r="F32" s="15">
        <v>38356</v>
      </c>
      <c r="G32" s="14" t="s">
        <v>318</v>
      </c>
      <c r="H32" s="12">
        <v>38721</v>
      </c>
      <c r="I32" s="12">
        <v>49678</v>
      </c>
      <c r="J32" s="13">
        <v>0.04</v>
      </c>
      <c r="K32" s="12">
        <v>50044</v>
      </c>
      <c r="L32" s="16" t="str" cm="1">
        <f t="array" ref="L32">_xll.aqBondObjectCreateFromGenerator($C32,$L$4,_xll.aqToolLVBFromKeysValues($C$7:$K$7,$C32:$K32))</f>
        <v>DE0001135275:2</v>
      </c>
      <c r="M32" s="78">
        <v>8.4638133448757275E-3</v>
      </c>
      <c r="N32" s="51">
        <v>153.02799999999999</v>
      </c>
      <c r="O32" s="17">
        <v>13.9276</v>
      </c>
      <c r="P32" s="95">
        <v>2174.9699999999998</v>
      </c>
      <c r="Q32" s="39" cm="1">
        <f t="array" ref="Q32">_xll.aqBondObjectYield(L32,$C$4,R32)</f>
        <v>8.4638133448758542E-3</v>
      </c>
      <c r="R32" s="49" cm="1">
        <f t="array" ref="R32">_xll.aqBondObjectPrice($L32,$C$4,$M32)</f>
        <v>153.02800000000218</v>
      </c>
      <c r="S32" s="49" cm="1">
        <f t="array" ref="S32">_xll.aqBondObjectCleanPrice($L32,$C$4,$M32)</f>
        <v>153.02800000000218</v>
      </c>
      <c r="T32" s="49" cm="1">
        <f t="array" ref="T32">_xll.aqBondObjectDirtyPrice($L32,$C$4,$M32)</f>
        <v>156.16224657534465</v>
      </c>
      <c r="U32" s="18" cm="1">
        <f t="array" ref="U32">_xll.aqBondObjectModifiedDuration($L32,$C$4,$Q32)</f>
        <v>13.927604350981827</v>
      </c>
      <c r="V32" s="93" cm="1">
        <f t="array" ref="V32">_xll.aqBondObjectDV01($L32,$C$4,$Q32)</f>
        <v>2174.9659848618671</v>
      </c>
    </row>
    <row r="33" spans="2:22">
      <c r="B33" s="11" t="s">
        <v>741</v>
      </c>
      <c r="C33" s="11" t="s">
        <v>742</v>
      </c>
      <c r="D33" s="11" t="s">
        <v>742</v>
      </c>
      <c r="E33" s="12">
        <v>39108</v>
      </c>
      <c r="F33" s="15">
        <v>39108</v>
      </c>
      <c r="G33" s="14" t="s">
        <v>318</v>
      </c>
      <c r="H33" s="12">
        <v>39633</v>
      </c>
      <c r="I33" s="12">
        <v>50590</v>
      </c>
      <c r="J33" s="13">
        <v>4.2500000000000003E-2</v>
      </c>
      <c r="K33" s="12">
        <v>50955</v>
      </c>
      <c r="L33" s="16" t="str" cm="1">
        <f t="array" ref="L33">_xll.aqBondObjectCreateFromGenerator($C33,$L$4,_xll.aqToolLVBFromKeysValues($C$7:$K$7,$C33:$K33))</f>
        <v>DE0001135325:2</v>
      </c>
      <c r="M33" s="78">
        <v>9.0438324654872112E-3</v>
      </c>
      <c r="N33" s="51">
        <v>162.93</v>
      </c>
      <c r="O33" s="17">
        <v>15.4649</v>
      </c>
      <c r="P33" s="95">
        <v>2538.6</v>
      </c>
      <c r="Q33" s="39" cm="1">
        <f t="array" ref="Q33">_xll.aqBondObjectYield(L33,$C$4,R33)</f>
        <v>9.0438324654870499E-3</v>
      </c>
      <c r="R33" s="49" cm="1">
        <f t="array" ref="R33">_xll.aqBondObjectPrice($L33,$C$4,$M33)</f>
        <v>162.93000000033791</v>
      </c>
      <c r="S33" s="49" cm="1">
        <f t="array" ref="S33">_xll.aqBondObjectCleanPrice($L33,$C$4,$M33)</f>
        <v>162.93000000033791</v>
      </c>
      <c r="T33" s="49" cm="1">
        <f t="array" ref="T33">_xll.aqBondObjectDirtyPrice($L33,$C$4,$M33)</f>
        <v>164.15260274006394</v>
      </c>
      <c r="U33" s="18" cm="1">
        <f t="array" ref="U33">_xll.aqBondObjectModifiedDuration($L33,$C$4,$Q33)</f>
        <v>15.464865237724172</v>
      </c>
      <c r="V33" s="93" cm="1">
        <f t="array" ref="V33">_xll.aqBondObjectDV01($L33,$C$4,$Q33)</f>
        <v>2538.5978797967605</v>
      </c>
    </row>
    <row r="34" spans="2:22">
      <c r="B34" s="11" t="s">
        <v>743</v>
      </c>
      <c r="C34" s="11" t="s">
        <v>744</v>
      </c>
      <c r="D34" s="11" t="s">
        <v>744</v>
      </c>
      <c r="E34" s="12">
        <v>39654</v>
      </c>
      <c r="F34" s="15">
        <v>39633</v>
      </c>
      <c r="G34" s="14" t="s">
        <v>318</v>
      </c>
      <c r="H34" s="12">
        <v>39998</v>
      </c>
      <c r="I34" s="12">
        <v>50955</v>
      </c>
      <c r="J34" s="13">
        <v>4.7500000000000001E-2</v>
      </c>
      <c r="K34" s="12">
        <v>51321</v>
      </c>
      <c r="L34" s="16" t="str" cm="1">
        <f t="array" ref="L34">_xll.aqBondObjectCreateFromGenerator($C34,$L$4,_xll.aqToolLVBFromKeysValues($C$7:$K$7,$C34:$K34))</f>
        <v>DE0001135366:2</v>
      </c>
      <c r="M34" s="78">
        <v>9.1076498681134654E-3</v>
      </c>
      <c r="N34" s="51">
        <v>175.32</v>
      </c>
      <c r="O34" s="17">
        <v>15.7545</v>
      </c>
      <c r="P34" s="95">
        <v>2783.61</v>
      </c>
      <c r="Q34" s="39" cm="1">
        <f t="array" ref="Q34">_xll.aqBondObjectYield(L34,$C$4,R34)</f>
        <v>9.1076498681134741E-3</v>
      </c>
      <c r="R34" s="49" cm="1">
        <f t="array" ref="R34">_xll.aqBondObjectPrice($L34,$C$4,$M34)</f>
        <v>175.31999999999908</v>
      </c>
      <c r="S34" s="49" cm="1">
        <f t="array" ref="S34">_xll.aqBondObjectCleanPrice($L34,$C$4,$M34)</f>
        <v>175.31999999999908</v>
      </c>
      <c r="T34" s="49" cm="1">
        <f t="array" ref="T34">_xll.aqBondObjectDirtyPrice($L34,$C$4,$M34)</f>
        <v>176.68643835616348</v>
      </c>
      <c r="U34" s="18" cm="1">
        <f t="array" ref="U34">_xll.aqBondObjectModifiedDuration($L34,$C$4,$Q34)</f>
        <v>15.754511278889623</v>
      </c>
      <c r="V34" s="93" cm="1">
        <f t="array" ref="V34">_xll.aqBondObjectDV01($L34,$C$4,$Q34)</f>
        <v>2783.6084859090138</v>
      </c>
    </row>
    <row r="35" spans="2:22">
      <c r="B35" s="11" t="s">
        <v>745</v>
      </c>
      <c r="C35" s="11" t="s">
        <v>746</v>
      </c>
      <c r="D35" s="11" t="s">
        <v>746</v>
      </c>
      <c r="E35" s="12">
        <v>40382</v>
      </c>
      <c r="F35" s="15">
        <v>40363</v>
      </c>
      <c r="G35" s="14" t="s">
        <v>318</v>
      </c>
      <c r="H35" s="12">
        <v>40728</v>
      </c>
      <c r="I35" s="12">
        <v>51686</v>
      </c>
      <c r="J35" s="13">
        <v>3.2500000000000001E-2</v>
      </c>
      <c r="K35" s="12">
        <v>52051</v>
      </c>
      <c r="L35" s="16" t="str" cm="1">
        <f t="array" ref="L35">_xll.aqBondObjectCreateFromGenerator($C35,$L$4,_xll.aqToolLVBFromKeysValues($C$7:$K$7,$C35:$K35))</f>
        <v>DE0001135432:2</v>
      </c>
      <c r="M35" s="78">
        <v>9.7881329977148202E-3</v>
      </c>
      <c r="N35" s="51">
        <v>147.851</v>
      </c>
      <c r="O35" s="17">
        <v>17.9542</v>
      </c>
      <c r="P35" s="95">
        <v>2671.34</v>
      </c>
      <c r="Q35" s="39" cm="1">
        <f t="array" ref="Q35">_xll.aqBondObjectYield(L35,$C$4,R35)</f>
        <v>9.7881329977147873E-3</v>
      </c>
      <c r="R35" s="49" cm="1">
        <f t="array" ref="R35">_xll.aqBondObjectPrice($L35,$C$4,$M35)</f>
        <v>147.85099999996288</v>
      </c>
      <c r="S35" s="49" cm="1">
        <f t="array" ref="S35">_xll.aqBondObjectCleanPrice($L35,$C$4,$M35)</f>
        <v>147.85099999996288</v>
      </c>
      <c r="T35" s="49" cm="1">
        <f t="array" ref="T35">_xll.aqBondObjectDirtyPrice($L35,$C$4,$M35)</f>
        <v>148.7859315068122</v>
      </c>
      <c r="U35" s="18" cm="1">
        <f t="array" ref="U35">_xll.aqBondObjectModifiedDuration($L35,$C$4,$Q35)</f>
        <v>17.954224007220301</v>
      </c>
      <c r="V35" s="93" cm="1">
        <f t="array" ref="V35">_xll.aqBondObjectDV01($L35,$C$4,$Q35)</f>
        <v>2671.3359433962432</v>
      </c>
    </row>
    <row r="36" spans="2:22">
      <c r="B36" s="11" t="s">
        <v>747</v>
      </c>
      <c r="C36" s="11" t="s">
        <v>748</v>
      </c>
      <c r="D36" s="11" t="s">
        <v>748</v>
      </c>
      <c r="E36" s="12">
        <v>41026</v>
      </c>
      <c r="F36" s="15">
        <v>41026</v>
      </c>
      <c r="G36" s="14" t="s">
        <v>318</v>
      </c>
      <c r="H36" s="12">
        <v>41459</v>
      </c>
      <c r="I36" s="12">
        <v>52416</v>
      </c>
      <c r="J36" s="13">
        <v>2.5000000000000001E-2</v>
      </c>
      <c r="K36" s="12">
        <v>52782</v>
      </c>
      <c r="L36" s="16" t="str" cm="1">
        <f t="array" ref="L36">_xll.aqBondObjectCreateFromGenerator($C36,$L$4,_xll.aqToolLVBFromKeysValues($C$7:$K$7,$C36:$K36))</f>
        <v>DE0001135481:2</v>
      </c>
      <c r="M36" s="78">
        <v>1.0481108670072396E-2</v>
      </c>
      <c r="N36" s="51">
        <v>132.57300000000001</v>
      </c>
      <c r="O36" s="17">
        <v>19.926400000000001</v>
      </c>
      <c r="P36" s="95">
        <v>2656.03</v>
      </c>
      <c r="Q36" s="39" cm="1">
        <f t="array" ref="Q36">_xll.aqBondObjectYield(L36,$C$4,R36)</f>
        <v>1.04811086700724E-2</v>
      </c>
      <c r="R36" s="49" cm="1">
        <f t="array" ref="R36">_xll.aqBondObjectPrice($L36,$C$4,$M36)</f>
        <v>132.57299999984744</v>
      </c>
      <c r="S36" s="49" cm="1">
        <f t="array" ref="S36">_xll.aqBondObjectCleanPrice($L36,$C$4,$M36)</f>
        <v>132.57299999984744</v>
      </c>
      <c r="T36" s="49" cm="1">
        <f t="array" ref="T36">_xll.aqBondObjectDirtyPrice($L36,$C$4,$M36)</f>
        <v>133.29217808203921</v>
      </c>
      <c r="U36" s="18" cm="1">
        <f t="array" ref="U36">_xll.aqBondObjectModifiedDuration($L36,$C$4,$Q36)</f>
        <v>19.926393987648563</v>
      </c>
      <c r="V36" s="93" cm="1">
        <f t="array" ref="V36">_xll.aqBondObjectDV01($L36,$C$4,$Q36)</f>
        <v>2656.0324559345277</v>
      </c>
    </row>
    <row r="37" spans="2:22">
      <c r="B37" s="11" t="s">
        <v>749</v>
      </c>
      <c r="C37" s="11" t="s">
        <v>750</v>
      </c>
      <c r="D37" s="11" t="s">
        <v>750</v>
      </c>
      <c r="E37" s="12">
        <v>41698</v>
      </c>
      <c r="F37" s="15">
        <v>41698</v>
      </c>
      <c r="G37" s="14" t="s">
        <v>318</v>
      </c>
      <c r="H37" s="12">
        <v>42231</v>
      </c>
      <c r="I37" s="12">
        <v>53189</v>
      </c>
      <c r="J37" s="13">
        <v>2.5000000000000001E-2</v>
      </c>
      <c r="K37" s="12">
        <v>53554</v>
      </c>
      <c r="L37" s="16" t="str" cm="1">
        <f t="array" ref="L37">_xll.aqBondObjectCreateFromGenerator($C37,$L$4,_xll.aqToolLVBFromKeysValues($C$7:$K$7,$C37:$K37))</f>
        <v>DE0001102341:2</v>
      </c>
      <c r="M37" s="78">
        <v>1.0763534112301971E-2</v>
      </c>
      <c r="N37" s="51">
        <v>134.07499999999999</v>
      </c>
      <c r="O37" s="17">
        <v>21.237100000000002</v>
      </c>
      <c r="P37" s="95">
        <v>2856.53</v>
      </c>
      <c r="Q37" s="39" cm="1">
        <f t="array" ref="Q37">_xll.aqBondObjectYield(L37,$C$4,R37)</f>
        <v>1.0763534112302089E-2</v>
      </c>
      <c r="R37" s="49" cm="1">
        <f t="array" ref="R37">_xll.aqBondObjectPrice($L37,$C$4,$M37)</f>
        <v>134.07499999972217</v>
      </c>
      <c r="S37" s="49" cm="1">
        <f t="array" ref="S37">_xll.aqBondObjectCleanPrice($L37,$C$4,$M37)</f>
        <v>134.07499999972217</v>
      </c>
      <c r="T37" s="49" cm="1">
        <f t="array" ref="T37">_xll.aqBondObjectDirtyPrice($L37,$C$4,$M37)</f>
        <v>134.50650684903724</v>
      </c>
      <c r="U37" s="18" cm="1">
        <f t="array" ref="U37">_xll.aqBondObjectModifiedDuration($L37,$C$4,$Q37)</f>
        <v>21.237099897952195</v>
      </c>
      <c r="V37" s="93" cm="1">
        <f t="array" ref="V37">_xll.aqBondObjectDV01($L37,$C$4,$Q37)</f>
        <v>2856.5281228775948</v>
      </c>
    </row>
  </sheetData>
  <autoFilter ref="B7:V7" xr:uid="{00000000-0001-0000-0100-000000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EL220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2" max="2" width="20.7109375" customWidth="1"/>
    <col min="3" max="4" width="15.7109375" customWidth="1"/>
    <col min="5" max="9" width="15.7109375" hidden="1" customWidth="1" outlineLevel="1"/>
    <col min="10" max="10" width="15.7109375" customWidth="1" collapsed="1"/>
    <col min="11" max="11" width="15.7109375" customWidth="1"/>
    <col min="12" max="12" width="22.7109375" customWidth="1"/>
    <col min="13" max="13" width="20.7109375" customWidth="1"/>
    <col min="14" max="15" width="20.7109375" hidden="1" customWidth="1" outlineLevel="1"/>
    <col min="16" max="16" width="20.7109375" style="97" hidden="1" customWidth="1" outlineLevel="1"/>
    <col min="17" max="17" width="20.7109375" customWidth="1" collapsed="1"/>
    <col min="18" max="18" width="20.7109375" customWidth="1"/>
    <col min="19" max="20" width="20.7109375" style="53" hidden="1" customWidth="1" outlineLevel="1"/>
    <col min="21" max="21" width="20.7109375" style="56" hidden="1" customWidth="1" outlineLevel="1"/>
    <col min="22" max="22" width="20.7109375" hidden="1" customWidth="1" outlineLevel="1"/>
    <col min="23" max="23" width="20.7109375" customWidth="1" collapsed="1"/>
    <col min="24" max="24" width="10.7109375" bestFit="1" customWidth="1"/>
    <col min="26" max="26" width="13" customWidth="1"/>
    <col min="28" max="28" width="17.85546875" customWidth="1"/>
    <col min="29" max="29" width="16.85546875" customWidth="1"/>
    <col min="31" max="31" width="29.85546875" customWidth="1"/>
  </cols>
  <sheetData>
    <row r="1" spans="2:16366">
      <c r="J1" s="2" t="s">
        <v>277</v>
      </c>
      <c r="M1" s="55"/>
      <c r="N1" s="55"/>
      <c r="O1" s="55"/>
      <c r="P1" s="55"/>
      <c r="Q1" s="45" t="s">
        <v>1965</v>
      </c>
      <c r="U1" s="53"/>
      <c r="V1" s="53"/>
      <c r="W1" s="2" t="s">
        <v>1960</v>
      </c>
    </row>
    <row r="2" spans="2:16366">
      <c r="M2" s="45" t="s">
        <v>1957</v>
      </c>
      <c r="N2" s="45" t="s">
        <v>1958</v>
      </c>
      <c r="O2" s="45" t="s">
        <v>1966</v>
      </c>
      <c r="P2" s="45" t="s">
        <v>1967</v>
      </c>
      <c r="U2" s="53"/>
      <c r="V2" s="53"/>
    </row>
    <row r="3" spans="2:16366">
      <c r="B3" s="2" t="s">
        <v>9</v>
      </c>
      <c r="C3" s="2" t="s">
        <v>10</v>
      </c>
      <c r="L3" s="2" t="s">
        <v>273</v>
      </c>
      <c r="M3" s="83" t="s">
        <v>274</v>
      </c>
      <c r="N3" s="83" t="s">
        <v>274</v>
      </c>
      <c r="O3" s="83" t="s">
        <v>274</v>
      </c>
      <c r="P3" s="83" t="s">
        <v>274</v>
      </c>
      <c r="U3" s="53"/>
      <c r="V3" s="53"/>
    </row>
    <row r="4" spans="2:16366">
      <c r="B4" s="90">
        <v>43388</v>
      </c>
      <c r="C4" s="27" cm="1">
        <f t="array" ref="C4">_xll.aqDateFromTenor($B$4,$D$4,"MOD_FOLLOWING","TKB")</f>
        <v>43391</v>
      </c>
      <c r="D4" s="30" t="s">
        <v>751</v>
      </c>
      <c r="L4" s="23" t="s">
        <v>1547</v>
      </c>
      <c r="M4" s="52">
        <f>SUM(M8:M193)-SUM(Q8:Q193)</f>
        <v>0</v>
      </c>
      <c r="N4" s="52">
        <f>SUM(N8:N193)-SUM(R8:R193)</f>
        <v>3.4119116025976837E-4</v>
      </c>
      <c r="O4" s="52">
        <f>SUM(O8:O500)-SUM(U8:U500)</f>
        <v>7.9397013973903086E-4</v>
      </c>
      <c r="P4" s="94">
        <f>SUM(P8:P500)-SUM(V8:V500)</f>
        <v>-1.0609308665152639E-3</v>
      </c>
      <c r="S4" s="54"/>
      <c r="T4" s="54"/>
      <c r="U4" s="57"/>
      <c r="V4" s="45"/>
    </row>
    <row r="5" spans="2:16366">
      <c r="M5" s="41"/>
      <c r="N5" s="41"/>
      <c r="O5" s="41"/>
      <c r="P5" s="41"/>
      <c r="Q5" s="37"/>
      <c r="R5" s="37"/>
      <c r="S5"/>
      <c r="T5"/>
      <c r="U5"/>
    </row>
    <row r="6" spans="2:16366">
      <c r="B6" s="88" t="s">
        <v>1959</v>
      </c>
      <c r="C6" s="88" t="s">
        <v>1732</v>
      </c>
      <c r="D6" s="88" t="s">
        <v>1733</v>
      </c>
      <c r="E6" s="88" t="s">
        <v>1736</v>
      </c>
      <c r="F6" s="88" t="s">
        <v>1737</v>
      </c>
      <c r="G6" s="88"/>
      <c r="H6" s="88" t="s">
        <v>1738</v>
      </c>
      <c r="I6" s="88" t="s">
        <v>1739</v>
      </c>
      <c r="J6" s="88" t="s">
        <v>1734</v>
      </c>
      <c r="K6" s="88" t="s">
        <v>1735</v>
      </c>
      <c r="L6" s="88"/>
      <c r="M6" s="86" t="s">
        <v>14</v>
      </c>
      <c r="N6" s="87" t="s">
        <v>15</v>
      </c>
      <c r="O6" s="87" t="s">
        <v>18</v>
      </c>
      <c r="P6" s="87" t="s">
        <v>17</v>
      </c>
      <c r="Q6" s="44"/>
      <c r="S6" s="44"/>
      <c r="T6" s="44"/>
      <c r="U6" s="87"/>
      <c r="V6" s="87"/>
      <c r="W6" s="6"/>
      <c r="X6" s="7"/>
      <c r="Y6" s="8"/>
      <c r="Z6" s="9"/>
      <c r="AA6" s="8"/>
      <c r="AB6" s="7"/>
      <c r="AC6" s="9"/>
      <c r="AD6" s="8"/>
      <c r="AE6" s="8"/>
      <c r="AF6" s="7"/>
      <c r="AG6" s="9"/>
      <c r="AH6" s="1"/>
      <c r="AI6" s="1"/>
      <c r="AJ6" s="1"/>
      <c r="AK6" s="1"/>
      <c r="AL6" s="1"/>
      <c r="AM6" s="1"/>
      <c r="AN6" s="1"/>
      <c r="AO6" s="1"/>
      <c r="AQ6" s="1"/>
      <c r="AS6" s="6"/>
      <c r="AT6" s="7"/>
      <c r="AU6" s="8"/>
      <c r="AV6" s="9"/>
      <c r="AW6" s="8"/>
      <c r="AX6" s="7"/>
      <c r="AY6" s="9"/>
      <c r="AZ6" s="8"/>
      <c r="BA6" s="8"/>
      <c r="BB6" s="7"/>
      <c r="BC6" s="9"/>
      <c r="BD6" s="1"/>
      <c r="BE6" s="1"/>
      <c r="BF6" s="1"/>
      <c r="BG6" s="1"/>
      <c r="BH6" s="1"/>
      <c r="BI6" s="1"/>
      <c r="BJ6" s="1"/>
      <c r="BK6" s="1"/>
      <c r="BM6" s="1"/>
      <c r="BO6" s="6"/>
      <c r="BP6" s="7"/>
      <c r="BQ6" s="8"/>
      <c r="BR6" s="9"/>
      <c r="BS6" s="8"/>
      <c r="BT6" s="7"/>
      <c r="BU6" s="9"/>
      <c r="BV6" s="8"/>
      <c r="BW6" s="8"/>
      <c r="BX6" s="7"/>
      <c r="BY6" s="9"/>
      <c r="BZ6" s="1"/>
      <c r="CA6" s="1"/>
      <c r="CB6" s="1"/>
      <c r="CC6" s="1"/>
      <c r="CD6" s="1"/>
      <c r="CE6" s="1"/>
      <c r="CF6" s="1"/>
      <c r="CG6" s="1"/>
      <c r="CI6" s="1"/>
      <c r="CK6" s="6"/>
      <c r="CL6" s="7"/>
      <c r="CM6" s="8"/>
      <c r="CN6" s="9"/>
      <c r="CO6" s="8"/>
      <c r="CP6" s="7"/>
      <c r="CQ6" s="9"/>
      <c r="CR6" s="8"/>
      <c r="CS6" s="8"/>
      <c r="CT6" s="7"/>
      <c r="CU6" s="9"/>
      <c r="CV6" s="1"/>
      <c r="CW6" s="1"/>
      <c r="CX6" s="1"/>
      <c r="CY6" s="1"/>
      <c r="CZ6" s="1"/>
      <c r="DA6" s="1"/>
      <c r="DB6" s="1"/>
      <c r="DC6" s="1"/>
      <c r="DE6" s="1"/>
      <c r="DG6" s="6"/>
      <c r="DH6" s="7"/>
      <c r="DI6" s="8"/>
      <c r="DJ6" s="9"/>
      <c r="DK6" s="8"/>
      <c r="DL6" s="7"/>
      <c r="DM6" s="9"/>
      <c r="DN6" s="8"/>
      <c r="DO6" s="8"/>
      <c r="DP6" s="7"/>
      <c r="DQ6" s="9"/>
      <c r="DR6" s="1"/>
      <c r="DS6" s="1"/>
      <c r="DT6" s="1"/>
      <c r="DU6" s="1"/>
      <c r="DV6" s="1"/>
      <c r="DW6" s="1"/>
      <c r="DX6" s="1"/>
      <c r="DY6" s="1"/>
      <c r="EA6" s="1"/>
      <c r="EC6" s="6"/>
      <c r="ED6" s="7"/>
      <c r="EE6" s="8"/>
      <c r="EF6" s="9"/>
      <c r="EG6" s="8"/>
      <c r="EH6" s="7"/>
      <c r="EI6" s="9"/>
      <c r="EJ6" s="8"/>
      <c r="EK6" s="8"/>
      <c r="EL6" s="7"/>
      <c r="EM6" s="9"/>
      <c r="EN6" s="1"/>
      <c r="EO6" s="1"/>
      <c r="EP6" s="1"/>
      <c r="EQ6" s="1"/>
      <c r="ER6" s="1"/>
      <c r="ES6" s="1"/>
      <c r="ET6" s="1"/>
      <c r="EU6" s="1"/>
      <c r="EW6" s="1"/>
      <c r="EY6" s="6"/>
      <c r="EZ6" s="7"/>
      <c r="FA6" s="8"/>
      <c r="FB6" s="9"/>
      <c r="FC6" s="8"/>
      <c r="FD6" s="7"/>
      <c r="FE6" s="9"/>
      <c r="FF6" s="8"/>
      <c r="FG6" s="8"/>
      <c r="FH6" s="7"/>
      <c r="FI6" s="9"/>
      <c r="FJ6" s="1"/>
      <c r="FK6" s="1"/>
      <c r="FL6" s="1"/>
      <c r="FM6" s="1"/>
      <c r="FN6" s="1"/>
      <c r="FO6" s="1"/>
      <c r="FP6" s="1"/>
      <c r="FQ6" s="1"/>
      <c r="FS6" s="1"/>
      <c r="FU6" s="6"/>
      <c r="FV6" s="7"/>
      <c r="FW6" s="8"/>
      <c r="FX6" s="9"/>
      <c r="FY6" s="8"/>
      <c r="FZ6" s="7"/>
      <c r="GA6" s="9"/>
      <c r="GB6" s="8"/>
      <c r="GC6" s="8"/>
      <c r="GD6" s="7"/>
      <c r="GE6" s="9"/>
      <c r="GF6" s="1"/>
      <c r="GG6" s="1"/>
      <c r="GH6" s="1"/>
      <c r="GI6" s="1"/>
      <c r="GJ6" s="1"/>
      <c r="GK6" s="1"/>
      <c r="GL6" s="1"/>
      <c r="GM6" s="1"/>
      <c r="GO6" s="1"/>
      <c r="GQ6" s="6"/>
      <c r="GR6" s="7"/>
      <c r="GS6" s="8"/>
      <c r="GT6" s="9"/>
      <c r="GU6" s="8"/>
      <c r="GV6" s="7"/>
      <c r="GW6" s="9"/>
      <c r="GX6" s="8"/>
      <c r="GY6" s="8"/>
      <c r="GZ6" s="7"/>
      <c r="HA6" s="9"/>
      <c r="HB6" s="1"/>
      <c r="HC6" s="1"/>
      <c r="HD6" s="1"/>
      <c r="HE6" s="1"/>
      <c r="HF6" s="1"/>
      <c r="HG6" s="1"/>
      <c r="HH6" s="1"/>
      <c r="HI6" s="1"/>
      <c r="HK6" s="1"/>
      <c r="HM6" s="6"/>
      <c r="HN6" s="7"/>
      <c r="HO6" s="8"/>
      <c r="HP6" s="9"/>
      <c r="HQ6" s="8"/>
      <c r="HR6" s="7"/>
      <c r="HS6" s="9"/>
      <c r="HT6" s="8"/>
      <c r="HU6" s="8"/>
      <c r="HV6" s="7"/>
      <c r="HW6" s="9"/>
      <c r="HX6" s="1"/>
      <c r="HY6" s="1"/>
      <c r="HZ6" s="1"/>
      <c r="IA6" s="1"/>
      <c r="IB6" s="1"/>
      <c r="IC6" s="1"/>
      <c r="ID6" s="1"/>
      <c r="IE6" s="1"/>
      <c r="IG6" s="1"/>
      <c r="II6" s="6"/>
      <c r="IJ6" s="7"/>
      <c r="IK6" s="8"/>
      <c r="IL6" s="9"/>
      <c r="IM6" s="8"/>
      <c r="IN6" s="7"/>
      <c r="IO6" s="9"/>
      <c r="IP6" s="8"/>
      <c r="IQ6" s="8"/>
      <c r="IR6" s="7"/>
      <c r="IS6" s="9"/>
      <c r="IT6" s="1"/>
      <c r="IU6" s="1"/>
      <c r="IV6" s="1"/>
      <c r="IW6" s="1"/>
      <c r="IX6" s="1"/>
      <c r="IY6" s="1"/>
      <c r="IZ6" s="1"/>
      <c r="JA6" s="1"/>
      <c r="JC6" s="1"/>
      <c r="JE6" s="6"/>
      <c r="JF6" s="7"/>
      <c r="JG6" s="8"/>
      <c r="JH6" s="9"/>
      <c r="JI6" s="8"/>
      <c r="JJ6" s="7"/>
      <c r="JK6" s="9"/>
      <c r="JL6" s="8"/>
      <c r="JM6" s="8"/>
      <c r="JN6" s="7"/>
      <c r="JO6" s="9"/>
      <c r="JP6" s="1"/>
      <c r="JQ6" s="1"/>
      <c r="JR6" s="1"/>
      <c r="JS6" s="1"/>
      <c r="JT6" s="1"/>
      <c r="JU6" s="1"/>
      <c r="JV6" s="1"/>
      <c r="JW6" s="1"/>
      <c r="JY6" s="1"/>
      <c r="KA6" s="6"/>
      <c r="KB6" s="7"/>
      <c r="KC6" s="8"/>
      <c r="KD6" s="9"/>
      <c r="KE6" s="8"/>
      <c r="KF6" s="7"/>
      <c r="KG6" s="9"/>
      <c r="KH6" s="8"/>
      <c r="KI6" s="8"/>
      <c r="KJ6" s="7"/>
      <c r="KK6" s="9"/>
      <c r="KL6" s="1"/>
      <c r="KM6" s="1"/>
      <c r="KN6" s="1"/>
      <c r="KO6" s="1"/>
      <c r="KP6" s="1"/>
      <c r="KQ6" s="1"/>
      <c r="KR6" s="1"/>
      <c r="KS6" s="1"/>
      <c r="KU6" s="1"/>
      <c r="KW6" s="6"/>
      <c r="KX6" s="7"/>
      <c r="KY6" s="8"/>
      <c r="KZ6" s="9"/>
      <c r="LA6" s="8"/>
      <c r="LB6" s="7"/>
      <c r="LC6" s="9"/>
      <c r="LD6" s="8"/>
      <c r="LE6" s="8"/>
      <c r="LF6" s="7"/>
      <c r="LG6" s="9"/>
      <c r="LH6" s="1"/>
      <c r="LI6" s="1"/>
      <c r="LJ6" s="1"/>
      <c r="LK6" s="1"/>
      <c r="LL6" s="1"/>
      <c r="LM6" s="1"/>
      <c r="LN6" s="1"/>
      <c r="LO6" s="1"/>
      <c r="LQ6" s="1"/>
      <c r="LS6" s="6"/>
      <c r="LT6" s="7"/>
      <c r="LU6" s="8"/>
      <c r="LV6" s="9"/>
      <c r="LW6" s="8"/>
      <c r="LX6" s="7"/>
      <c r="LY6" s="9"/>
      <c r="LZ6" s="8"/>
      <c r="MA6" s="8"/>
      <c r="MB6" s="7"/>
      <c r="MC6" s="9"/>
      <c r="MD6" s="1"/>
      <c r="ME6" s="1"/>
      <c r="MF6" s="1"/>
      <c r="MG6" s="1"/>
      <c r="MH6" s="1"/>
      <c r="MI6" s="1"/>
      <c r="MJ6" s="1"/>
      <c r="MK6" s="1"/>
      <c r="MM6" s="1"/>
      <c r="MO6" s="6"/>
      <c r="MP6" s="7"/>
      <c r="MQ6" s="8"/>
      <c r="MR6" s="9"/>
      <c r="MS6" s="8"/>
      <c r="MT6" s="7"/>
      <c r="MU6" s="9"/>
      <c r="MV6" s="8"/>
      <c r="MW6" s="8"/>
      <c r="MX6" s="7"/>
      <c r="MY6" s="9"/>
      <c r="MZ6" s="1"/>
      <c r="NA6" s="1"/>
      <c r="NB6" s="1"/>
      <c r="NC6" s="1"/>
      <c r="ND6" s="1"/>
      <c r="NE6" s="1"/>
      <c r="NF6" s="1"/>
      <c r="NG6" s="1"/>
      <c r="NI6" s="1"/>
      <c r="NK6" s="6"/>
      <c r="NL6" s="7"/>
      <c r="NM6" s="8"/>
      <c r="NN6" s="9"/>
      <c r="NO6" s="8"/>
      <c r="NP6" s="7"/>
      <c r="NQ6" s="9"/>
      <c r="NR6" s="8"/>
      <c r="NS6" s="8"/>
      <c r="NT6" s="7"/>
      <c r="NU6" s="9"/>
      <c r="NV6" s="1"/>
      <c r="NW6" s="1"/>
      <c r="NX6" s="1"/>
      <c r="NY6" s="1"/>
      <c r="NZ6" s="1"/>
      <c r="OA6" s="1"/>
      <c r="OB6" s="1"/>
      <c r="OC6" s="1"/>
      <c r="OE6" s="1"/>
      <c r="OG6" s="6"/>
      <c r="OH6" s="7"/>
      <c r="OI6" s="8"/>
      <c r="OJ6" s="9"/>
      <c r="OK6" s="8"/>
      <c r="OL6" s="7"/>
      <c r="OM6" s="9"/>
      <c r="ON6" s="8"/>
      <c r="OO6" s="8"/>
      <c r="OP6" s="7"/>
      <c r="OQ6" s="9"/>
      <c r="OR6" s="1"/>
      <c r="OS6" s="1"/>
      <c r="OT6" s="1"/>
      <c r="OU6" s="1"/>
      <c r="OV6" s="1"/>
      <c r="OW6" s="1"/>
      <c r="OX6" s="1"/>
      <c r="OY6" s="1"/>
      <c r="PA6" s="1"/>
      <c r="PC6" s="6"/>
      <c r="PD6" s="7"/>
      <c r="PE6" s="8"/>
      <c r="PF6" s="9"/>
      <c r="PG6" s="8"/>
      <c r="PH6" s="7"/>
      <c r="PI6" s="9"/>
      <c r="PJ6" s="8"/>
      <c r="PK6" s="8"/>
      <c r="PL6" s="7"/>
      <c r="PM6" s="9"/>
      <c r="PN6" s="1"/>
      <c r="PO6" s="1"/>
      <c r="PP6" s="1"/>
      <c r="PQ6" s="1"/>
      <c r="PR6" s="1"/>
      <c r="PS6" s="1"/>
      <c r="PT6" s="1"/>
      <c r="PU6" s="1"/>
      <c r="PW6" s="1"/>
      <c r="PY6" s="6"/>
      <c r="PZ6" s="7"/>
      <c r="QA6" s="8"/>
      <c r="QB6" s="9"/>
      <c r="QC6" s="8"/>
      <c r="QD6" s="7"/>
      <c r="QE6" s="9"/>
      <c r="QF6" s="8"/>
      <c r="QG6" s="8"/>
      <c r="QH6" s="7"/>
      <c r="QI6" s="9"/>
      <c r="QJ6" s="1"/>
      <c r="QK6" s="1"/>
      <c r="QL6" s="1"/>
      <c r="QM6" s="1"/>
      <c r="QN6" s="1"/>
      <c r="QO6" s="1"/>
      <c r="QP6" s="1"/>
      <c r="QQ6" s="1"/>
      <c r="QS6" s="1"/>
      <c r="QU6" s="6"/>
      <c r="QV6" s="7"/>
      <c r="QW6" s="8"/>
      <c r="QX6" s="9"/>
      <c r="QY6" s="8"/>
      <c r="QZ6" s="7"/>
      <c r="RA6" s="9"/>
      <c r="RB6" s="8"/>
      <c r="RC6" s="8"/>
      <c r="RD6" s="7"/>
      <c r="RE6" s="9"/>
      <c r="RF6" s="1"/>
      <c r="RG6" s="1"/>
      <c r="RH6" s="1"/>
      <c r="RI6" s="1"/>
      <c r="RJ6" s="1"/>
      <c r="RK6" s="1"/>
      <c r="RL6" s="1"/>
      <c r="RM6" s="1"/>
      <c r="RO6" s="1"/>
      <c r="RQ6" s="6"/>
      <c r="RR6" s="7"/>
      <c r="RS6" s="8"/>
      <c r="RT6" s="9"/>
      <c r="RU6" s="8"/>
      <c r="RV6" s="7"/>
      <c r="RW6" s="9"/>
      <c r="RX6" s="8"/>
      <c r="RY6" s="8"/>
      <c r="RZ6" s="7"/>
      <c r="SA6" s="9"/>
      <c r="SB6" s="1"/>
      <c r="SC6" s="1"/>
      <c r="SD6" s="1"/>
      <c r="SE6" s="1"/>
      <c r="SF6" s="1"/>
      <c r="SG6" s="1"/>
      <c r="SH6" s="1"/>
      <c r="SI6" s="1"/>
      <c r="SK6" s="1"/>
      <c r="SM6" s="6"/>
      <c r="SN6" s="7"/>
      <c r="SO6" s="8"/>
      <c r="SP6" s="9"/>
      <c r="SQ6" s="8"/>
      <c r="SR6" s="7"/>
      <c r="SS6" s="9"/>
      <c r="ST6" s="8"/>
      <c r="SU6" s="8"/>
      <c r="SV6" s="7"/>
      <c r="SW6" s="9"/>
      <c r="SX6" s="1"/>
      <c r="SY6" s="1"/>
      <c r="SZ6" s="1"/>
      <c r="TA6" s="1"/>
      <c r="TB6" s="1"/>
      <c r="TC6" s="1"/>
      <c r="TD6" s="1"/>
      <c r="TE6" s="1"/>
      <c r="TG6" s="1"/>
      <c r="TI6" s="6"/>
      <c r="TJ6" s="7"/>
      <c r="TK6" s="8"/>
      <c r="TL6" s="9"/>
      <c r="TM6" s="8"/>
      <c r="TN6" s="7"/>
      <c r="TO6" s="9"/>
      <c r="TP6" s="8"/>
      <c r="TQ6" s="8"/>
      <c r="TR6" s="7"/>
      <c r="TS6" s="9"/>
      <c r="TT6" s="1"/>
      <c r="TU6" s="1"/>
      <c r="TV6" s="1"/>
      <c r="TW6" s="1"/>
      <c r="TX6" s="1"/>
      <c r="TY6" s="1"/>
      <c r="TZ6" s="1"/>
      <c r="UA6" s="1"/>
      <c r="UC6" s="1"/>
      <c r="UE6" s="6"/>
      <c r="UF6" s="7"/>
      <c r="UG6" s="8"/>
      <c r="UH6" s="9"/>
      <c r="UI6" s="8"/>
      <c r="UJ6" s="7"/>
      <c r="UK6" s="9"/>
      <c r="UL6" s="8"/>
      <c r="UM6" s="8"/>
      <c r="UN6" s="7"/>
      <c r="UO6" s="9"/>
      <c r="UP6" s="1"/>
      <c r="UQ6" s="1"/>
      <c r="UR6" s="1"/>
      <c r="US6" s="1"/>
      <c r="UT6" s="1"/>
      <c r="UU6" s="1"/>
      <c r="UV6" s="1"/>
      <c r="UW6" s="1"/>
      <c r="UY6" s="1"/>
      <c r="VA6" s="6"/>
      <c r="VB6" s="7"/>
      <c r="VC6" s="8"/>
      <c r="VD6" s="9"/>
      <c r="VE6" s="8"/>
      <c r="VF6" s="7"/>
      <c r="VG6" s="9"/>
      <c r="VH6" s="8"/>
      <c r="VI6" s="8"/>
      <c r="VJ6" s="7"/>
      <c r="VK6" s="9"/>
      <c r="VL6" s="1"/>
      <c r="VM6" s="1"/>
      <c r="VN6" s="1"/>
      <c r="VO6" s="1"/>
      <c r="VP6" s="1"/>
      <c r="VQ6" s="1"/>
      <c r="VR6" s="1"/>
      <c r="VS6" s="1"/>
      <c r="VU6" s="1"/>
      <c r="VW6" s="6"/>
      <c r="VX6" s="7"/>
      <c r="VY6" s="8"/>
      <c r="VZ6" s="9"/>
      <c r="WA6" s="8"/>
      <c r="WB6" s="7"/>
      <c r="WC6" s="9"/>
      <c r="WD6" s="8"/>
      <c r="WE6" s="8"/>
      <c r="WF6" s="7"/>
      <c r="WG6" s="9"/>
      <c r="WH6" s="1"/>
      <c r="WI6" s="1"/>
      <c r="WJ6" s="1"/>
      <c r="WK6" s="1"/>
      <c r="WL6" s="1"/>
      <c r="WM6" s="1"/>
      <c r="WN6" s="1"/>
      <c r="WO6" s="1"/>
      <c r="WQ6" s="1"/>
      <c r="WS6" s="6"/>
      <c r="WT6" s="7"/>
      <c r="WU6" s="8"/>
      <c r="WV6" s="9"/>
      <c r="WW6" s="8"/>
      <c r="WX6" s="7"/>
      <c r="WY6" s="9"/>
      <c r="WZ6" s="8"/>
      <c r="XA6" s="8"/>
      <c r="XB6" s="7"/>
      <c r="XC6" s="9"/>
      <c r="XD6" s="1"/>
      <c r="XE6" s="1"/>
      <c r="XF6" s="1"/>
      <c r="XG6" s="1"/>
      <c r="XH6" s="1"/>
      <c r="XI6" s="1"/>
      <c r="XJ6" s="1"/>
      <c r="XK6" s="1"/>
      <c r="XM6" s="1"/>
      <c r="XO6" s="6"/>
      <c r="XP6" s="7"/>
      <c r="XQ6" s="8"/>
      <c r="XR6" s="9"/>
      <c r="XS6" s="8"/>
      <c r="XT6" s="7"/>
      <c r="XU6" s="9"/>
      <c r="XV6" s="8"/>
      <c r="XW6" s="8"/>
      <c r="XX6" s="7"/>
      <c r="XY6" s="9"/>
      <c r="XZ6" s="1"/>
      <c r="YA6" s="1"/>
      <c r="YB6" s="1"/>
      <c r="YC6" s="1"/>
      <c r="YD6" s="1"/>
      <c r="YE6" s="1"/>
      <c r="YF6" s="1"/>
      <c r="YG6" s="1"/>
      <c r="YI6" s="1"/>
      <c r="YK6" s="6"/>
      <c r="YL6" s="7"/>
      <c r="YM6" s="8"/>
      <c r="YN6" s="9"/>
      <c r="YO6" s="8"/>
      <c r="YP6" s="7"/>
      <c r="YQ6" s="9"/>
      <c r="YR6" s="8"/>
      <c r="YS6" s="8"/>
      <c r="YT6" s="7"/>
      <c r="YU6" s="9"/>
      <c r="YV6" s="1"/>
      <c r="YW6" s="1"/>
      <c r="YX6" s="1"/>
      <c r="YY6" s="1"/>
      <c r="YZ6" s="1"/>
      <c r="ZA6" s="1"/>
      <c r="ZB6" s="1"/>
      <c r="ZC6" s="1"/>
      <c r="ZE6" s="1"/>
      <c r="ZG6" s="6"/>
      <c r="ZH6" s="7"/>
      <c r="ZI6" s="8"/>
      <c r="ZJ6" s="9"/>
      <c r="ZK6" s="8"/>
      <c r="ZL6" s="7"/>
      <c r="ZM6" s="9"/>
      <c r="ZN6" s="8"/>
      <c r="ZO6" s="8"/>
      <c r="ZP6" s="7"/>
      <c r="ZQ6" s="9"/>
      <c r="ZR6" s="1"/>
      <c r="ZS6" s="1"/>
      <c r="ZT6" s="1"/>
      <c r="ZU6" s="1"/>
      <c r="ZV6" s="1"/>
      <c r="ZW6" s="1"/>
      <c r="ZX6" s="1"/>
      <c r="ZY6" s="1"/>
      <c r="AAA6" s="1"/>
      <c r="AAC6" s="6"/>
      <c r="AAD6" s="7"/>
      <c r="AAE6" s="8"/>
      <c r="AAF6" s="9"/>
      <c r="AAG6" s="8"/>
      <c r="AAH6" s="7"/>
      <c r="AAI6" s="9"/>
      <c r="AAJ6" s="8"/>
      <c r="AAK6" s="8"/>
      <c r="AAL6" s="7"/>
      <c r="AAM6" s="9"/>
      <c r="AAN6" s="1"/>
      <c r="AAO6" s="1"/>
      <c r="AAP6" s="1"/>
      <c r="AAQ6" s="1"/>
      <c r="AAR6" s="1"/>
      <c r="AAS6" s="1"/>
      <c r="AAT6" s="1"/>
      <c r="AAU6" s="1"/>
      <c r="AAW6" s="1"/>
      <c r="AAY6" s="6"/>
      <c r="AAZ6" s="7"/>
      <c r="ABA6" s="8"/>
      <c r="ABB6" s="9"/>
      <c r="ABC6" s="8"/>
      <c r="ABD6" s="7"/>
      <c r="ABE6" s="9"/>
      <c r="ABF6" s="8"/>
      <c r="ABG6" s="8"/>
      <c r="ABH6" s="7"/>
      <c r="ABI6" s="9"/>
      <c r="ABJ6" s="1"/>
      <c r="ABK6" s="1"/>
      <c r="ABL6" s="1"/>
      <c r="ABM6" s="1"/>
      <c r="ABN6" s="1"/>
      <c r="ABO6" s="1"/>
      <c r="ABP6" s="1"/>
      <c r="ABQ6" s="1"/>
      <c r="ABS6" s="1"/>
      <c r="ABU6" s="6"/>
      <c r="ABV6" s="7"/>
      <c r="ABW6" s="8"/>
      <c r="ABX6" s="9"/>
      <c r="ABY6" s="8"/>
      <c r="ABZ6" s="7"/>
      <c r="ACA6" s="9"/>
      <c r="ACB6" s="8"/>
      <c r="ACC6" s="8"/>
      <c r="ACD6" s="7"/>
      <c r="ACE6" s="9"/>
      <c r="ACF6" s="1"/>
      <c r="ACG6" s="1"/>
      <c r="ACH6" s="1"/>
      <c r="ACI6" s="1"/>
      <c r="ACJ6" s="1"/>
      <c r="ACK6" s="1"/>
      <c r="ACL6" s="1"/>
      <c r="ACM6" s="1"/>
      <c r="ACO6" s="1"/>
      <c r="ACQ6" s="6"/>
      <c r="ACR6" s="7"/>
      <c r="ACS6" s="8"/>
      <c r="ACT6" s="9"/>
      <c r="ACU6" s="8"/>
      <c r="ACV6" s="7"/>
      <c r="ACW6" s="9"/>
      <c r="ACX6" s="8"/>
      <c r="ACY6" s="8"/>
      <c r="ACZ6" s="7"/>
      <c r="ADA6" s="9"/>
      <c r="ADB6" s="1"/>
      <c r="ADC6" s="1"/>
      <c r="ADD6" s="1"/>
      <c r="ADE6" s="1"/>
      <c r="ADF6" s="1"/>
      <c r="ADG6" s="1"/>
      <c r="ADH6" s="1"/>
      <c r="ADI6" s="1"/>
      <c r="ADK6" s="1"/>
      <c r="ADM6" s="6"/>
      <c r="ADN6" s="7"/>
      <c r="ADO6" s="8"/>
      <c r="ADP6" s="9"/>
      <c r="ADQ6" s="8"/>
      <c r="ADR6" s="7"/>
      <c r="ADS6" s="9"/>
      <c r="ADT6" s="8"/>
      <c r="ADU6" s="8"/>
      <c r="ADV6" s="7"/>
      <c r="ADW6" s="9"/>
      <c r="ADX6" s="1"/>
      <c r="ADY6" s="1"/>
      <c r="ADZ6" s="1"/>
      <c r="AEA6" s="1"/>
      <c r="AEB6" s="1"/>
      <c r="AEC6" s="1"/>
      <c r="AED6" s="1"/>
      <c r="AEE6" s="1"/>
      <c r="AEG6" s="1"/>
      <c r="AEI6" s="6"/>
      <c r="AEJ6" s="7"/>
      <c r="AEK6" s="8"/>
      <c r="AEL6" s="9"/>
      <c r="AEM6" s="8"/>
      <c r="AEN6" s="7"/>
      <c r="AEO6" s="9"/>
      <c r="AEP6" s="8"/>
      <c r="AEQ6" s="8"/>
      <c r="AER6" s="7"/>
      <c r="AES6" s="9"/>
      <c r="AET6" s="1"/>
      <c r="AEU6" s="1"/>
      <c r="AEV6" s="1"/>
      <c r="AEW6" s="1"/>
      <c r="AEX6" s="1"/>
      <c r="AEY6" s="1"/>
      <c r="AEZ6" s="1"/>
      <c r="AFA6" s="1"/>
      <c r="AFC6" s="1"/>
      <c r="AFE6" s="6"/>
      <c r="AFF6" s="7"/>
      <c r="AFG6" s="8"/>
      <c r="AFH6" s="9"/>
      <c r="AFI6" s="8"/>
      <c r="AFJ6" s="7"/>
      <c r="AFK6" s="9"/>
      <c r="AFL6" s="8"/>
      <c r="AFM6" s="8"/>
      <c r="AFN6" s="7"/>
      <c r="AFO6" s="9"/>
      <c r="AFP6" s="1"/>
      <c r="AFQ6" s="1"/>
      <c r="AFR6" s="1"/>
      <c r="AFS6" s="1"/>
      <c r="AFT6" s="1"/>
      <c r="AFU6" s="1"/>
      <c r="AFV6" s="1"/>
      <c r="AFW6" s="1"/>
      <c r="AFY6" s="1"/>
      <c r="AGA6" s="6"/>
      <c r="AGB6" s="7"/>
      <c r="AGC6" s="8"/>
      <c r="AGD6" s="9"/>
      <c r="AGE6" s="8"/>
      <c r="AGF6" s="7"/>
      <c r="AGG6" s="9"/>
      <c r="AGH6" s="8"/>
      <c r="AGI6" s="8"/>
      <c r="AGJ6" s="7"/>
      <c r="AGK6" s="9"/>
      <c r="AGL6" s="1"/>
      <c r="AGM6" s="1"/>
      <c r="AGN6" s="1"/>
      <c r="AGO6" s="1"/>
      <c r="AGP6" s="1"/>
      <c r="AGQ6" s="1"/>
      <c r="AGR6" s="1"/>
      <c r="AGS6" s="1"/>
      <c r="AGU6" s="1"/>
      <c r="AGW6" s="6"/>
      <c r="AGX6" s="7"/>
      <c r="AGY6" s="8"/>
      <c r="AGZ6" s="9"/>
      <c r="AHA6" s="8"/>
      <c r="AHB6" s="7"/>
      <c r="AHC6" s="9"/>
      <c r="AHD6" s="8"/>
      <c r="AHE6" s="8"/>
      <c r="AHF6" s="7"/>
      <c r="AHG6" s="9"/>
      <c r="AHH6" s="1"/>
      <c r="AHI6" s="1"/>
      <c r="AHJ6" s="1"/>
      <c r="AHK6" s="1"/>
      <c r="AHL6" s="1"/>
      <c r="AHM6" s="1"/>
      <c r="AHN6" s="1"/>
      <c r="AHO6" s="1"/>
      <c r="AHQ6" s="1"/>
      <c r="AHS6" s="6"/>
      <c r="AHT6" s="7"/>
      <c r="AHU6" s="8"/>
      <c r="AHV6" s="9"/>
      <c r="AHW6" s="8"/>
      <c r="AHX6" s="7"/>
      <c r="AHY6" s="9"/>
      <c r="AHZ6" s="8"/>
      <c r="AIA6" s="8"/>
      <c r="AIB6" s="7"/>
      <c r="AIC6" s="9"/>
      <c r="AID6" s="1"/>
      <c r="AIE6" s="1"/>
      <c r="AIF6" s="1"/>
      <c r="AIG6" s="1"/>
      <c r="AIH6" s="1"/>
      <c r="AII6" s="1"/>
      <c r="AIJ6" s="1"/>
      <c r="AIK6" s="1"/>
      <c r="AIM6" s="1"/>
      <c r="AIO6" s="6"/>
      <c r="AIP6" s="7"/>
      <c r="AIQ6" s="8"/>
      <c r="AIR6" s="9"/>
      <c r="AIS6" s="8"/>
      <c r="AIT6" s="7"/>
      <c r="AIU6" s="9"/>
      <c r="AIV6" s="8"/>
      <c r="AIW6" s="8"/>
      <c r="AIX6" s="7"/>
      <c r="AIY6" s="9"/>
      <c r="AIZ6" s="1"/>
      <c r="AJA6" s="1"/>
      <c r="AJB6" s="1"/>
      <c r="AJC6" s="1"/>
      <c r="AJD6" s="1"/>
      <c r="AJE6" s="1"/>
      <c r="AJF6" s="1"/>
      <c r="AJG6" s="1"/>
      <c r="AJI6" s="1"/>
      <c r="AJK6" s="6"/>
      <c r="AJL6" s="7"/>
      <c r="AJM6" s="8"/>
      <c r="AJN6" s="9"/>
      <c r="AJO6" s="8"/>
      <c r="AJP6" s="7"/>
      <c r="AJQ6" s="9"/>
      <c r="AJR6" s="8"/>
      <c r="AJS6" s="8"/>
      <c r="AJT6" s="7"/>
      <c r="AJU6" s="9"/>
      <c r="AJV6" s="1"/>
      <c r="AJW6" s="1"/>
      <c r="AJX6" s="1"/>
      <c r="AJY6" s="1"/>
      <c r="AJZ6" s="1"/>
      <c r="AKA6" s="1"/>
      <c r="AKB6" s="1"/>
      <c r="AKC6" s="1"/>
      <c r="AKE6" s="1"/>
      <c r="AKG6" s="6"/>
      <c r="AKH6" s="7"/>
      <c r="AKI6" s="8"/>
      <c r="AKJ6" s="9"/>
      <c r="AKK6" s="8"/>
      <c r="AKL6" s="7"/>
      <c r="AKM6" s="9"/>
      <c r="AKN6" s="8"/>
      <c r="AKO6" s="8"/>
      <c r="AKP6" s="7"/>
      <c r="AKQ6" s="9"/>
      <c r="AKR6" s="1"/>
      <c r="AKS6" s="1"/>
      <c r="AKT6" s="1"/>
      <c r="AKU6" s="1"/>
      <c r="AKV6" s="1"/>
      <c r="AKW6" s="1"/>
      <c r="AKX6" s="1"/>
      <c r="AKY6" s="1"/>
      <c r="ALA6" s="1"/>
      <c r="ALC6" s="6"/>
      <c r="ALD6" s="7"/>
      <c r="ALE6" s="8"/>
      <c r="ALF6" s="9"/>
      <c r="ALG6" s="8"/>
      <c r="ALH6" s="7"/>
      <c r="ALI6" s="9"/>
      <c r="ALJ6" s="8"/>
      <c r="ALK6" s="8"/>
      <c r="ALL6" s="7"/>
      <c r="ALM6" s="9"/>
      <c r="ALN6" s="1"/>
      <c r="ALO6" s="1"/>
      <c r="ALP6" s="1"/>
      <c r="ALQ6" s="1"/>
      <c r="ALR6" s="1"/>
      <c r="ALS6" s="1"/>
      <c r="ALT6" s="1"/>
      <c r="ALU6" s="1"/>
      <c r="ALW6" s="1"/>
      <c r="ALY6" s="6"/>
      <c r="ALZ6" s="7"/>
      <c r="AMA6" s="8"/>
      <c r="AMB6" s="9"/>
      <c r="AMC6" s="8"/>
      <c r="AMD6" s="7"/>
      <c r="AME6" s="9"/>
      <c r="AMF6" s="8"/>
      <c r="AMG6" s="8"/>
      <c r="AMH6" s="7"/>
      <c r="AMI6" s="9"/>
      <c r="AMJ6" s="1"/>
      <c r="AMK6" s="1"/>
      <c r="AML6" s="1"/>
      <c r="AMM6" s="1"/>
      <c r="AMN6" s="1"/>
      <c r="AMO6" s="1"/>
      <c r="AMP6" s="1"/>
      <c r="AMQ6" s="1"/>
      <c r="AMS6" s="1"/>
      <c r="AMU6" s="6"/>
      <c r="AMV6" s="7"/>
      <c r="AMW6" s="8"/>
      <c r="AMX6" s="9"/>
      <c r="AMY6" s="8"/>
      <c r="AMZ6" s="7"/>
      <c r="ANA6" s="9"/>
      <c r="ANB6" s="8"/>
      <c r="ANC6" s="8"/>
      <c r="AND6" s="7"/>
      <c r="ANE6" s="9"/>
      <c r="ANF6" s="1"/>
      <c r="ANG6" s="1"/>
      <c r="ANH6" s="1"/>
      <c r="ANI6" s="1"/>
      <c r="ANJ6" s="1"/>
      <c r="ANK6" s="1"/>
      <c r="ANL6" s="1"/>
      <c r="ANM6" s="1"/>
      <c r="ANO6" s="1"/>
      <c r="ANQ6" s="6"/>
      <c r="ANR6" s="7"/>
      <c r="ANS6" s="8"/>
      <c r="ANT6" s="9"/>
      <c r="ANU6" s="8"/>
      <c r="ANV6" s="7"/>
      <c r="ANW6" s="9"/>
      <c r="ANX6" s="8"/>
      <c r="ANY6" s="8"/>
      <c r="ANZ6" s="7"/>
      <c r="AOA6" s="9"/>
      <c r="AOB6" s="1"/>
      <c r="AOC6" s="1"/>
      <c r="AOD6" s="1"/>
      <c r="AOE6" s="1"/>
      <c r="AOF6" s="1"/>
      <c r="AOG6" s="1"/>
      <c r="AOH6" s="1"/>
      <c r="AOI6" s="1"/>
      <c r="AOK6" s="1"/>
      <c r="AOM6" s="6"/>
      <c r="AON6" s="7"/>
      <c r="AOO6" s="8"/>
      <c r="AOP6" s="9"/>
      <c r="AOQ6" s="8"/>
      <c r="AOR6" s="7"/>
      <c r="AOS6" s="9"/>
      <c r="AOT6" s="8"/>
      <c r="AOU6" s="8"/>
      <c r="AOV6" s="7"/>
      <c r="AOW6" s="9"/>
      <c r="AOX6" s="1"/>
      <c r="AOY6" s="1"/>
      <c r="AOZ6" s="1"/>
      <c r="APA6" s="1"/>
      <c r="APB6" s="1"/>
      <c r="APC6" s="1"/>
      <c r="APD6" s="1"/>
      <c r="APE6" s="1"/>
      <c r="APG6" s="1"/>
      <c r="API6" s="6"/>
      <c r="APJ6" s="7"/>
      <c r="APK6" s="8"/>
      <c r="APL6" s="9"/>
      <c r="APM6" s="8"/>
      <c r="APN6" s="7"/>
      <c r="APO6" s="9"/>
      <c r="APP6" s="8"/>
      <c r="APQ6" s="8"/>
      <c r="APR6" s="7"/>
      <c r="APS6" s="9"/>
      <c r="APT6" s="1"/>
      <c r="APU6" s="1"/>
      <c r="APV6" s="1"/>
      <c r="APW6" s="1"/>
      <c r="APX6" s="1"/>
      <c r="APY6" s="1"/>
      <c r="APZ6" s="1"/>
      <c r="AQA6" s="1"/>
      <c r="AQC6" s="1"/>
      <c r="AQE6" s="6"/>
      <c r="AQF6" s="7"/>
      <c r="AQG6" s="8"/>
      <c r="AQH6" s="9"/>
      <c r="AQI6" s="8"/>
      <c r="AQJ6" s="7"/>
      <c r="AQK6" s="9"/>
      <c r="AQL6" s="8"/>
      <c r="AQM6" s="8"/>
      <c r="AQN6" s="7"/>
      <c r="AQO6" s="9"/>
      <c r="AQP6" s="1"/>
      <c r="AQQ6" s="1"/>
      <c r="AQR6" s="1"/>
      <c r="AQS6" s="1"/>
      <c r="AQT6" s="1"/>
      <c r="AQU6" s="1"/>
      <c r="AQV6" s="1"/>
      <c r="AQW6" s="1"/>
      <c r="AQY6" s="1"/>
      <c r="ARA6" s="6"/>
      <c r="ARB6" s="7"/>
      <c r="ARC6" s="8"/>
      <c r="ARD6" s="9"/>
      <c r="ARE6" s="8"/>
      <c r="ARF6" s="7"/>
      <c r="ARG6" s="9"/>
      <c r="ARH6" s="8"/>
      <c r="ARI6" s="8"/>
      <c r="ARJ6" s="7"/>
      <c r="ARK6" s="9"/>
      <c r="ARL6" s="1"/>
      <c r="ARM6" s="1"/>
      <c r="ARN6" s="1"/>
      <c r="ARO6" s="1"/>
      <c r="ARP6" s="1"/>
      <c r="ARQ6" s="1"/>
      <c r="ARR6" s="1"/>
      <c r="ARS6" s="1"/>
      <c r="ARU6" s="1"/>
      <c r="ARW6" s="6"/>
      <c r="ARX6" s="7"/>
      <c r="ARY6" s="8"/>
      <c r="ARZ6" s="9"/>
      <c r="ASA6" s="8"/>
      <c r="ASB6" s="7"/>
      <c r="ASC6" s="9"/>
      <c r="ASD6" s="8"/>
      <c r="ASE6" s="8"/>
      <c r="ASF6" s="7"/>
      <c r="ASG6" s="9"/>
      <c r="ASH6" s="1"/>
      <c r="ASI6" s="1"/>
      <c r="ASJ6" s="1"/>
      <c r="ASK6" s="1"/>
      <c r="ASL6" s="1"/>
      <c r="ASM6" s="1"/>
      <c r="ASN6" s="1"/>
      <c r="ASO6" s="1"/>
      <c r="ASQ6" s="1"/>
      <c r="ASS6" s="6"/>
      <c r="AST6" s="7"/>
      <c r="ASU6" s="8"/>
      <c r="ASV6" s="9"/>
      <c r="ASW6" s="8"/>
      <c r="ASX6" s="7"/>
      <c r="ASY6" s="9"/>
      <c r="ASZ6" s="8"/>
      <c r="ATA6" s="8"/>
      <c r="ATB6" s="7"/>
      <c r="ATC6" s="9"/>
      <c r="ATD6" s="1"/>
      <c r="ATE6" s="1"/>
      <c r="ATF6" s="1"/>
      <c r="ATG6" s="1"/>
      <c r="ATH6" s="1"/>
      <c r="ATI6" s="1"/>
      <c r="ATJ6" s="1"/>
      <c r="ATK6" s="1"/>
      <c r="ATM6" s="1"/>
      <c r="ATO6" s="6"/>
      <c r="ATP6" s="7"/>
      <c r="ATQ6" s="8"/>
      <c r="ATR6" s="9"/>
      <c r="ATS6" s="8"/>
      <c r="ATT6" s="7"/>
      <c r="ATU6" s="9"/>
      <c r="ATV6" s="8"/>
      <c r="ATW6" s="8"/>
      <c r="ATX6" s="7"/>
      <c r="ATY6" s="9"/>
      <c r="ATZ6" s="1"/>
      <c r="AUA6" s="1"/>
      <c r="AUB6" s="1"/>
      <c r="AUC6" s="1"/>
      <c r="AUD6" s="1"/>
      <c r="AUE6" s="1"/>
      <c r="AUF6" s="1"/>
      <c r="AUG6" s="1"/>
      <c r="AUI6" s="1"/>
      <c r="AUK6" s="6"/>
      <c r="AUL6" s="7"/>
      <c r="AUM6" s="8"/>
      <c r="AUN6" s="9"/>
      <c r="AUO6" s="8"/>
      <c r="AUP6" s="7"/>
      <c r="AUQ6" s="9"/>
      <c r="AUR6" s="8"/>
      <c r="AUS6" s="8"/>
      <c r="AUT6" s="7"/>
      <c r="AUU6" s="9"/>
      <c r="AUV6" s="1"/>
      <c r="AUW6" s="1"/>
      <c r="AUX6" s="1"/>
      <c r="AUY6" s="1"/>
      <c r="AUZ6" s="1"/>
      <c r="AVA6" s="1"/>
      <c r="AVB6" s="1"/>
      <c r="AVC6" s="1"/>
      <c r="AVE6" s="1"/>
      <c r="AVG6" s="6"/>
      <c r="AVH6" s="7"/>
      <c r="AVI6" s="8"/>
      <c r="AVJ6" s="9"/>
      <c r="AVK6" s="8"/>
      <c r="AVL6" s="7"/>
      <c r="AVM6" s="9"/>
      <c r="AVN6" s="8"/>
      <c r="AVO6" s="8"/>
      <c r="AVP6" s="7"/>
      <c r="AVQ6" s="9"/>
      <c r="AVR6" s="1"/>
      <c r="AVS6" s="1"/>
      <c r="AVT6" s="1"/>
      <c r="AVU6" s="1"/>
      <c r="AVV6" s="1"/>
      <c r="AVW6" s="1"/>
      <c r="AVX6" s="1"/>
      <c r="AVY6" s="1"/>
      <c r="AWA6" s="1"/>
      <c r="AWC6" s="6"/>
      <c r="AWD6" s="7"/>
      <c r="AWE6" s="8"/>
      <c r="AWF6" s="9"/>
      <c r="AWG6" s="8"/>
      <c r="AWH6" s="7"/>
      <c r="AWI6" s="9"/>
      <c r="AWJ6" s="8"/>
      <c r="AWK6" s="8"/>
      <c r="AWL6" s="7"/>
      <c r="AWM6" s="9"/>
      <c r="AWN6" s="1"/>
      <c r="AWO6" s="1"/>
      <c r="AWP6" s="1"/>
      <c r="AWQ6" s="1"/>
      <c r="AWR6" s="1"/>
      <c r="AWS6" s="1"/>
      <c r="AWT6" s="1"/>
      <c r="AWU6" s="1"/>
      <c r="AWW6" s="1"/>
      <c r="AWY6" s="6"/>
      <c r="AWZ6" s="7"/>
      <c r="AXA6" s="8"/>
      <c r="AXB6" s="9"/>
      <c r="AXC6" s="8"/>
      <c r="AXD6" s="7"/>
      <c r="AXE6" s="9"/>
      <c r="AXF6" s="8"/>
      <c r="AXG6" s="8"/>
      <c r="AXH6" s="7"/>
      <c r="AXI6" s="9"/>
      <c r="AXJ6" s="1"/>
      <c r="AXK6" s="1"/>
      <c r="AXL6" s="1"/>
      <c r="AXM6" s="1"/>
      <c r="AXN6" s="1"/>
      <c r="AXO6" s="1"/>
      <c r="AXP6" s="1"/>
      <c r="AXQ6" s="1"/>
      <c r="AXS6" s="1"/>
      <c r="AXU6" s="6"/>
      <c r="AXV6" s="7"/>
      <c r="AXW6" s="8"/>
      <c r="AXX6" s="9"/>
      <c r="AXY6" s="8"/>
      <c r="AXZ6" s="7"/>
      <c r="AYA6" s="9"/>
      <c r="AYB6" s="8"/>
      <c r="AYC6" s="8"/>
      <c r="AYD6" s="7"/>
      <c r="AYE6" s="9"/>
      <c r="AYF6" s="1"/>
      <c r="AYG6" s="1"/>
      <c r="AYH6" s="1"/>
      <c r="AYI6" s="1"/>
      <c r="AYJ6" s="1"/>
      <c r="AYK6" s="1"/>
      <c r="AYL6" s="1"/>
      <c r="AYM6" s="1"/>
      <c r="AYO6" s="1"/>
      <c r="AYQ6" s="6"/>
      <c r="AYR6" s="7"/>
      <c r="AYS6" s="8"/>
      <c r="AYT6" s="9"/>
      <c r="AYU6" s="8"/>
      <c r="AYV6" s="7"/>
      <c r="AYW6" s="9"/>
      <c r="AYX6" s="8"/>
      <c r="AYY6" s="8"/>
      <c r="AYZ6" s="7"/>
      <c r="AZA6" s="9"/>
      <c r="AZB6" s="1"/>
      <c r="AZC6" s="1"/>
      <c r="AZD6" s="1"/>
      <c r="AZE6" s="1"/>
      <c r="AZF6" s="1"/>
      <c r="AZG6" s="1"/>
      <c r="AZH6" s="1"/>
      <c r="AZI6" s="1"/>
      <c r="AZK6" s="1"/>
      <c r="AZM6" s="6"/>
      <c r="AZN6" s="7"/>
      <c r="AZO6" s="8"/>
      <c r="AZP6" s="9"/>
      <c r="AZQ6" s="8"/>
      <c r="AZR6" s="7"/>
      <c r="AZS6" s="9"/>
      <c r="AZT6" s="8"/>
      <c r="AZU6" s="8"/>
      <c r="AZV6" s="7"/>
      <c r="AZW6" s="9"/>
      <c r="AZX6" s="1"/>
      <c r="AZY6" s="1"/>
      <c r="AZZ6" s="1"/>
      <c r="BAA6" s="1"/>
      <c r="BAB6" s="1"/>
      <c r="BAC6" s="1"/>
      <c r="BAD6" s="1"/>
      <c r="BAE6" s="1"/>
      <c r="BAG6" s="1"/>
      <c r="BAI6" s="6"/>
      <c r="BAJ6" s="7"/>
      <c r="BAK6" s="8"/>
      <c r="BAL6" s="9"/>
      <c r="BAM6" s="8"/>
      <c r="BAN6" s="7"/>
      <c r="BAO6" s="9"/>
      <c r="BAP6" s="8"/>
      <c r="BAQ6" s="8"/>
      <c r="BAR6" s="7"/>
      <c r="BAS6" s="9"/>
      <c r="BAT6" s="1"/>
      <c r="BAU6" s="1"/>
      <c r="BAV6" s="1"/>
      <c r="BAW6" s="1"/>
      <c r="BAX6" s="1"/>
      <c r="BAY6" s="1"/>
      <c r="BAZ6" s="1"/>
      <c r="BBA6" s="1"/>
      <c r="BBC6" s="1"/>
      <c r="BBE6" s="6"/>
      <c r="BBF6" s="7"/>
      <c r="BBG6" s="8"/>
      <c r="BBH6" s="9"/>
      <c r="BBI6" s="8"/>
      <c r="BBJ6" s="7"/>
      <c r="BBK6" s="9"/>
      <c r="BBL6" s="8"/>
      <c r="BBM6" s="8"/>
      <c r="BBN6" s="7"/>
      <c r="BBO6" s="9"/>
      <c r="BBP6" s="1"/>
      <c r="BBQ6" s="1"/>
      <c r="BBR6" s="1"/>
      <c r="BBS6" s="1"/>
      <c r="BBT6" s="1"/>
      <c r="BBU6" s="1"/>
      <c r="BBV6" s="1"/>
      <c r="BBW6" s="1"/>
      <c r="BBY6" s="1"/>
      <c r="BCA6" s="6"/>
      <c r="BCB6" s="7"/>
      <c r="BCC6" s="8"/>
      <c r="BCD6" s="9"/>
      <c r="BCE6" s="8"/>
      <c r="BCF6" s="7"/>
      <c r="BCG6" s="9"/>
      <c r="BCH6" s="8"/>
      <c r="BCI6" s="8"/>
      <c r="BCJ6" s="7"/>
      <c r="BCK6" s="9"/>
      <c r="BCL6" s="1"/>
      <c r="BCM6" s="1"/>
      <c r="BCN6" s="1"/>
      <c r="BCO6" s="1"/>
      <c r="BCP6" s="1"/>
      <c r="BCQ6" s="1"/>
      <c r="BCR6" s="1"/>
      <c r="BCS6" s="1"/>
      <c r="BCU6" s="1"/>
      <c r="BCW6" s="6"/>
      <c r="BCX6" s="7"/>
      <c r="BCY6" s="8"/>
      <c r="BCZ6" s="9"/>
      <c r="BDA6" s="8"/>
      <c r="BDB6" s="7"/>
      <c r="BDC6" s="9"/>
      <c r="BDD6" s="8"/>
      <c r="BDE6" s="8"/>
      <c r="BDF6" s="7"/>
      <c r="BDG6" s="9"/>
      <c r="BDH6" s="1"/>
      <c r="BDI6" s="1"/>
      <c r="BDJ6" s="1"/>
      <c r="BDK6" s="1"/>
      <c r="BDL6" s="1"/>
      <c r="BDM6" s="1"/>
      <c r="BDN6" s="1"/>
      <c r="BDO6" s="1"/>
      <c r="BDQ6" s="1"/>
      <c r="BDS6" s="6"/>
      <c r="BDT6" s="7"/>
      <c r="BDU6" s="8"/>
      <c r="BDV6" s="9"/>
      <c r="BDW6" s="8"/>
      <c r="BDX6" s="7"/>
      <c r="BDY6" s="9"/>
      <c r="BDZ6" s="8"/>
      <c r="BEA6" s="8"/>
      <c r="BEB6" s="7"/>
      <c r="BEC6" s="9"/>
      <c r="BED6" s="1"/>
      <c r="BEE6" s="1"/>
      <c r="BEF6" s="1"/>
      <c r="BEG6" s="1"/>
      <c r="BEH6" s="1"/>
      <c r="BEI6" s="1"/>
      <c r="BEJ6" s="1"/>
      <c r="BEK6" s="1"/>
      <c r="BEM6" s="1"/>
      <c r="BEO6" s="6"/>
      <c r="BEP6" s="7"/>
      <c r="BEQ6" s="8"/>
      <c r="BER6" s="9"/>
      <c r="BES6" s="8"/>
      <c r="BET6" s="7"/>
      <c r="BEU6" s="9"/>
      <c r="BEV6" s="8"/>
      <c r="BEW6" s="8"/>
      <c r="BEX6" s="7"/>
      <c r="BEY6" s="9"/>
      <c r="BEZ6" s="1"/>
      <c r="BFA6" s="1"/>
      <c r="BFB6" s="1"/>
      <c r="BFC6" s="1"/>
      <c r="BFD6" s="1"/>
      <c r="BFE6" s="1"/>
      <c r="BFF6" s="1"/>
      <c r="BFG6" s="1"/>
      <c r="BFI6" s="1"/>
      <c r="BFK6" s="6"/>
      <c r="BFL6" s="7"/>
      <c r="BFM6" s="8"/>
      <c r="BFN6" s="9"/>
      <c r="BFO6" s="8"/>
      <c r="BFP6" s="7"/>
      <c r="BFQ6" s="9"/>
      <c r="BFR6" s="8"/>
      <c r="BFS6" s="8"/>
      <c r="BFT6" s="7"/>
      <c r="BFU6" s="9"/>
      <c r="BFV6" s="1"/>
      <c r="BFW6" s="1"/>
      <c r="BFX6" s="1"/>
      <c r="BFY6" s="1"/>
      <c r="BFZ6" s="1"/>
      <c r="BGA6" s="1"/>
      <c r="BGB6" s="1"/>
      <c r="BGC6" s="1"/>
      <c r="BGE6" s="1"/>
      <c r="BGG6" s="6"/>
      <c r="BGH6" s="7"/>
      <c r="BGI6" s="8"/>
      <c r="BGJ6" s="9"/>
      <c r="BGK6" s="8"/>
      <c r="BGL6" s="7"/>
      <c r="BGM6" s="9"/>
      <c r="BGN6" s="8"/>
      <c r="BGO6" s="8"/>
      <c r="BGP6" s="7"/>
      <c r="BGQ6" s="9"/>
      <c r="BGR6" s="1"/>
      <c r="BGS6" s="1"/>
      <c r="BGT6" s="1"/>
      <c r="BGU6" s="1"/>
      <c r="BGV6" s="1"/>
      <c r="BGW6" s="1"/>
      <c r="BGX6" s="1"/>
      <c r="BGY6" s="1"/>
      <c r="BHA6" s="1"/>
      <c r="BHC6" s="6"/>
      <c r="BHD6" s="7"/>
      <c r="BHE6" s="8"/>
      <c r="BHF6" s="9"/>
      <c r="BHG6" s="8"/>
      <c r="BHH6" s="7"/>
      <c r="BHI6" s="9"/>
      <c r="BHJ6" s="8"/>
      <c r="BHK6" s="8"/>
      <c r="BHL6" s="7"/>
      <c r="BHM6" s="9"/>
      <c r="BHN6" s="1"/>
      <c r="BHO6" s="1"/>
      <c r="BHP6" s="1"/>
      <c r="BHQ6" s="1"/>
      <c r="BHR6" s="1"/>
      <c r="BHS6" s="1"/>
      <c r="BHT6" s="1"/>
      <c r="BHU6" s="1"/>
      <c r="BHW6" s="1"/>
      <c r="BHY6" s="6"/>
      <c r="BHZ6" s="7"/>
      <c r="BIA6" s="8"/>
      <c r="BIB6" s="9"/>
      <c r="BIC6" s="8"/>
      <c r="BID6" s="7"/>
      <c r="BIE6" s="9"/>
      <c r="BIF6" s="8"/>
      <c r="BIG6" s="8"/>
      <c r="BIH6" s="7"/>
      <c r="BII6" s="9"/>
      <c r="BIJ6" s="1"/>
      <c r="BIK6" s="1"/>
      <c r="BIL6" s="1"/>
      <c r="BIM6" s="1"/>
      <c r="BIN6" s="1"/>
      <c r="BIO6" s="1"/>
      <c r="BIP6" s="1"/>
      <c r="BIQ6" s="1"/>
      <c r="BIS6" s="1"/>
      <c r="BIU6" s="6"/>
      <c r="BIV6" s="7"/>
      <c r="BIW6" s="8"/>
      <c r="BIX6" s="9"/>
      <c r="BIY6" s="8"/>
      <c r="BIZ6" s="7"/>
      <c r="BJA6" s="9"/>
      <c r="BJB6" s="8"/>
      <c r="BJC6" s="8"/>
      <c r="BJD6" s="7"/>
      <c r="BJE6" s="9"/>
      <c r="BJF6" s="1"/>
      <c r="BJG6" s="1"/>
      <c r="BJH6" s="1"/>
      <c r="BJI6" s="1"/>
      <c r="BJJ6" s="1"/>
      <c r="BJK6" s="1"/>
      <c r="BJL6" s="1"/>
      <c r="BJM6" s="1"/>
      <c r="BJO6" s="1"/>
      <c r="BJQ6" s="6"/>
      <c r="BJR6" s="7"/>
      <c r="BJS6" s="8"/>
      <c r="BJT6" s="9"/>
      <c r="BJU6" s="8"/>
      <c r="BJV6" s="7"/>
      <c r="BJW6" s="9"/>
      <c r="BJX6" s="8"/>
      <c r="BJY6" s="8"/>
      <c r="BJZ6" s="7"/>
      <c r="BKA6" s="9"/>
      <c r="BKB6" s="1"/>
      <c r="BKC6" s="1"/>
      <c r="BKD6" s="1"/>
      <c r="BKE6" s="1"/>
      <c r="BKF6" s="1"/>
      <c r="BKG6" s="1"/>
      <c r="BKH6" s="1"/>
      <c r="BKI6" s="1"/>
      <c r="BKK6" s="1"/>
      <c r="BKM6" s="6"/>
      <c r="BKN6" s="7"/>
      <c r="BKO6" s="8"/>
      <c r="BKP6" s="9"/>
      <c r="BKQ6" s="8"/>
      <c r="BKR6" s="7"/>
      <c r="BKS6" s="9"/>
      <c r="BKT6" s="8"/>
      <c r="BKU6" s="8"/>
      <c r="BKV6" s="7"/>
      <c r="BKW6" s="9"/>
      <c r="BKX6" s="1"/>
      <c r="BKY6" s="1"/>
      <c r="BKZ6" s="1"/>
      <c r="BLA6" s="1"/>
      <c r="BLB6" s="1"/>
      <c r="BLC6" s="1"/>
      <c r="BLD6" s="1"/>
      <c r="BLE6" s="1"/>
      <c r="BLG6" s="1"/>
      <c r="BLI6" s="6"/>
      <c r="BLJ6" s="7"/>
      <c r="BLK6" s="8"/>
      <c r="BLL6" s="9"/>
      <c r="BLM6" s="8"/>
      <c r="BLN6" s="7"/>
      <c r="BLO6" s="9"/>
      <c r="BLP6" s="8"/>
      <c r="BLQ6" s="8"/>
      <c r="BLR6" s="7"/>
      <c r="BLS6" s="9"/>
      <c r="BLT6" s="1"/>
      <c r="BLU6" s="1"/>
      <c r="BLV6" s="1"/>
      <c r="BLW6" s="1"/>
      <c r="BLX6" s="1"/>
      <c r="BLY6" s="1"/>
      <c r="BLZ6" s="1"/>
      <c r="BMA6" s="1"/>
      <c r="BMC6" s="1"/>
      <c r="BME6" s="6"/>
      <c r="BMF6" s="7"/>
      <c r="BMG6" s="8"/>
      <c r="BMH6" s="9"/>
      <c r="BMI6" s="8"/>
      <c r="BMJ6" s="7"/>
      <c r="BMK6" s="9"/>
      <c r="BML6" s="8"/>
      <c r="BMM6" s="8"/>
      <c r="BMN6" s="7"/>
      <c r="BMO6" s="9"/>
      <c r="BMP6" s="1"/>
      <c r="BMQ6" s="1"/>
      <c r="BMR6" s="1"/>
      <c r="BMS6" s="1"/>
      <c r="BMT6" s="1"/>
      <c r="BMU6" s="1"/>
      <c r="BMV6" s="1"/>
      <c r="BMW6" s="1"/>
      <c r="BMY6" s="1"/>
      <c r="BNA6" s="6"/>
      <c r="BNB6" s="7"/>
      <c r="BNC6" s="8"/>
      <c r="BND6" s="9"/>
      <c r="BNE6" s="8"/>
      <c r="BNF6" s="7"/>
      <c r="BNG6" s="9"/>
      <c r="BNH6" s="8"/>
      <c r="BNI6" s="8"/>
      <c r="BNJ6" s="7"/>
      <c r="BNK6" s="9"/>
      <c r="BNL6" s="1"/>
      <c r="BNM6" s="1"/>
      <c r="BNN6" s="1"/>
      <c r="BNO6" s="1"/>
      <c r="BNP6" s="1"/>
      <c r="BNQ6" s="1"/>
      <c r="BNR6" s="1"/>
      <c r="BNS6" s="1"/>
      <c r="BNU6" s="1"/>
      <c r="BNW6" s="6"/>
      <c r="BNX6" s="7"/>
      <c r="BNY6" s="8"/>
      <c r="BNZ6" s="9"/>
      <c r="BOA6" s="8"/>
      <c r="BOB6" s="7"/>
      <c r="BOC6" s="9"/>
      <c r="BOD6" s="8"/>
      <c r="BOE6" s="8"/>
      <c r="BOF6" s="7"/>
      <c r="BOG6" s="9"/>
      <c r="BOH6" s="1"/>
      <c r="BOI6" s="1"/>
      <c r="BOJ6" s="1"/>
      <c r="BOK6" s="1"/>
      <c r="BOL6" s="1"/>
      <c r="BOM6" s="1"/>
      <c r="BON6" s="1"/>
      <c r="BOO6" s="1"/>
      <c r="BOQ6" s="1"/>
      <c r="BOS6" s="6"/>
      <c r="BOT6" s="7"/>
      <c r="BOU6" s="8"/>
      <c r="BOV6" s="9"/>
      <c r="BOW6" s="8"/>
      <c r="BOX6" s="7"/>
      <c r="BOY6" s="9"/>
      <c r="BOZ6" s="8"/>
      <c r="BPA6" s="8"/>
      <c r="BPB6" s="7"/>
      <c r="BPC6" s="9"/>
      <c r="BPD6" s="1"/>
      <c r="BPE6" s="1"/>
      <c r="BPF6" s="1"/>
      <c r="BPG6" s="1"/>
      <c r="BPH6" s="1"/>
      <c r="BPI6" s="1"/>
      <c r="BPJ6" s="1"/>
      <c r="BPK6" s="1"/>
      <c r="BPM6" s="1"/>
      <c r="BPO6" s="6"/>
      <c r="BPP6" s="7"/>
      <c r="BPQ6" s="8"/>
      <c r="BPR6" s="9"/>
      <c r="BPS6" s="8"/>
      <c r="BPT6" s="7"/>
      <c r="BPU6" s="9"/>
      <c r="BPV6" s="8"/>
      <c r="BPW6" s="8"/>
      <c r="BPX6" s="7"/>
      <c r="BPY6" s="9"/>
      <c r="BPZ6" s="1"/>
      <c r="BQA6" s="1"/>
      <c r="BQB6" s="1"/>
      <c r="BQC6" s="1"/>
      <c r="BQD6" s="1"/>
      <c r="BQE6" s="1"/>
      <c r="BQF6" s="1"/>
      <c r="BQG6" s="1"/>
      <c r="BQI6" s="1"/>
      <c r="BQK6" s="6"/>
      <c r="BQL6" s="7"/>
      <c r="BQM6" s="8"/>
      <c r="BQN6" s="9"/>
      <c r="BQO6" s="8"/>
      <c r="BQP6" s="7"/>
      <c r="BQQ6" s="9"/>
      <c r="BQR6" s="8"/>
      <c r="BQS6" s="8"/>
      <c r="BQT6" s="7"/>
      <c r="BQU6" s="9"/>
      <c r="BQV6" s="1"/>
      <c r="BQW6" s="1"/>
      <c r="BQX6" s="1"/>
      <c r="BQY6" s="1"/>
      <c r="BQZ6" s="1"/>
      <c r="BRA6" s="1"/>
      <c r="BRB6" s="1"/>
      <c r="BRC6" s="1"/>
      <c r="BRE6" s="1"/>
      <c r="BRG6" s="6"/>
      <c r="BRH6" s="7"/>
      <c r="BRI6" s="8"/>
      <c r="BRJ6" s="9"/>
      <c r="BRK6" s="8"/>
      <c r="BRL6" s="7"/>
      <c r="BRM6" s="9"/>
      <c r="BRN6" s="8"/>
      <c r="BRO6" s="8"/>
      <c r="BRP6" s="7"/>
      <c r="BRQ6" s="9"/>
      <c r="BRR6" s="1"/>
      <c r="BRS6" s="1"/>
      <c r="BRT6" s="1"/>
      <c r="BRU6" s="1"/>
      <c r="BRV6" s="1"/>
      <c r="BRW6" s="1"/>
      <c r="BRX6" s="1"/>
      <c r="BRY6" s="1"/>
      <c r="BSA6" s="1"/>
      <c r="BSC6" s="6"/>
      <c r="BSD6" s="7"/>
      <c r="BSE6" s="8"/>
      <c r="BSF6" s="9"/>
      <c r="BSG6" s="8"/>
      <c r="BSH6" s="7"/>
      <c r="BSI6" s="9"/>
      <c r="BSJ6" s="8"/>
      <c r="BSK6" s="8"/>
      <c r="BSL6" s="7"/>
      <c r="BSM6" s="9"/>
      <c r="BSN6" s="1"/>
      <c r="BSO6" s="1"/>
      <c r="BSP6" s="1"/>
      <c r="BSQ6" s="1"/>
      <c r="BSR6" s="1"/>
      <c r="BSS6" s="1"/>
      <c r="BST6" s="1"/>
      <c r="BSU6" s="1"/>
      <c r="BSW6" s="1"/>
      <c r="BSY6" s="6"/>
      <c r="BSZ6" s="7"/>
      <c r="BTA6" s="8"/>
      <c r="BTB6" s="9"/>
      <c r="BTC6" s="8"/>
      <c r="BTD6" s="7"/>
      <c r="BTE6" s="9"/>
      <c r="BTF6" s="8"/>
      <c r="BTG6" s="8"/>
      <c r="BTH6" s="7"/>
      <c r="BTI6" s="9"/>
      <c r="BTJ6" s="1"/>
      <c r="BTK6" s="1"/>
      <c r="BTL6" s="1"/>
      <c r="BTM6" s="1"/>
      <c r="BTN6" s="1"/>
      <c r="BTO6" s="1"/>
      <c r="BTP6" s="1"/>
      <c r="BTQ6" s="1"/>
      <c r="BTS6" s="1"/>
      <c r="BTU6" s="6"/>
      <c r="BTV6" s="7"/>
      <c r="BTW6" s="8"/>
      <c r="BTX6" s="9"/>
      <c r="BTY6" s="8"/>
      <c r="BTZ6" s="7"/>
      <c r="BUA6" s="9"/>
      <c r="BUB6" s="8"/>
      <c r="BUC6" s="8"/>
      <c r="BUD6" s="7"/>
      <c r="BUE6" s="9"/>
      <c r="BUF6" s="1"/>
      <c r="BUG6" s="1"/>
      <c r="BUH6" s="1"/>
      <c r="BUI6" s="1"/>
      <c r="BUJ6" s="1"/>
      <c r="BUK6" s="1"/>
      <c r="BUL6" s="1"/>
      <c r="BUM6" s="1"/>
      <c r="BUO6" s="1"/>
      <c r="BUQ6" s="6"/>
      <c r="BUR6" s="7"/>
      <c r="BUS6" s="8"/>
      <c r="BUT6" s="9"/>
      <c r="BUU6" s="8"/>
      <c r="BUV6" s="7"/>
      <c r="BUW6" s="9"/>
      <c r="BUX6" s="8"/>
      <c r="BUY6" s="8"/>
      <c r="BUZ6" s="7"/>
      <c r="BVA6" s="9"/>
      <c r="BVB6" s="1"/>
      <c r="BVC6" s="1"/>
      <c r="BVD6" s="1"/>
      <c r="BVE6" s="1"/>
      <c r="BVF6" s="1"/>
      <c r="BVG6" s="1"/>
      <c r="BVH6" s="1"/>
      <c r="BVI6" s="1"/>
      <c r="BVK6" s="1"/>
      <c r="BVM6" s="6"/>
      <c r="BVN6" s="7"/>
      <c r="BVO6" s="8"/>
      <c r="BVP6" s="9"/>
      <c r="BVQ6" s="8"/>
      <c r="BVR6" s="7"/>
      <c r="BVS6" s="9"/>
      <c r="BVT6" s="8"/>
      <c r="BVU6" s="8"/>
      <c r="BVV6" s="7"/>
      <c r="BVW6" s="9"/>
      <c r="BVX6" s="1"/>
      <c r="BVY6" s="1"/>
      <c r="BVZ6" s="1"/>
      <c r="BWA6" s="1"/>
      <c r="BWB6" s="1"/>
      <c r="BWC6" s="1"/>
      <c r="BWD6" s="1"/>
      <c r="BWE6" s="1"/>
      <c r="BWG6" s="1"/>
      <c r="BWI6" s="6"/>
      <c r="BWJ6" s="7"/>
      <c r="BWK6" s="8"/>
      <c r="BWL6" s="9"/>
      <c r="BWM6" s="8"/>
      <c r="BWN6" s="7"/>
      <c r="BWO6" s="9"/>
      <c r="BWP6" s="8"/>
      <c r="BWQ6" s="8"/>
      <c r="BWR6" s="7"/>
      <c r="BWS6" s="9"/>
      <c r="BWT6" s="1"/>
      <c r="BWU6" s="1"/>
      <c r="BWV6" s="1"/>
      <c r="BWW6" s="1"/>
      <c r="BWX6" s="1"/>
      <c r="BWY6" s="1"/>
      <c r="BWZ6" s="1"/>
      <c r="BXA6" s="1"/>
      <c r="BXC6" s="1"/>
      <c r="BXE6" s="6"/>
      <c r="BXF6" s="7"/>
      <c r="BXG6" s="8"/>
      <c r="BXH6" s="9"/>
      <c r="BXI6" s="8"/>
      <c r="BXJ6" s="7"/>
      <c r="BXK6" s="9"/>
      <c r="BXL6" s="8"/>
      <c r="BXM6" s="8"/>
      <c r="BXN6" s="7"/>
      <c r="BXO6" s="9"/>
      <c r="BXP6" s="1"/>
      <c r="BXQ6" s="1"/>
      <c r="BXR6" s="1"/>
      <c r="BXS6" s="1"/>
      <c r="BXT6" s="1"/>
      <c r="BXU6" s="1"/>
      <c r="BXV6" s="1"/>
      <c r="BXW6" s="1"/>
      <c r="BXY6" s="1"/>
      <c r="BYA6" s="6"/>
      <c r="BYB6" s="7"/>
      <c r="BYC6" s="8"/>
      <c r="BYD6" s="9"/>
      <c r="BYE6" s="8"/>
      <c r="BYF6" s="7"/>
      <c r="BYG6" s="9"/>
      <c r="BYH6" s="8"/>
      <c r="BYI6" s="8"/>
      <c r="BYJ6" s="7"/>
      <c r="BYK6" s="9"/>
      <c r="BYL6" s="1"/>
      <c r="BYM6" s="1"/>
      <c r="BYN6" s="1"/>
      <c r="BYO6" s="1"/>
      <c r="BYP6" s="1"/>
      <c r="BYQ6" s="1"/>
      <c r="BYR6" s="1"/>
      <c r="BYS6" s="1"/>
      <c r="BYU6" s="1"/>
      <c r="BYW6" s="6"/>
      <c r="BYX6" s="7"/>
      <c r="BYY6" s="8"/>
      <c r="BYZ6" s="9"/>
      <c r="BZA6" s="8"/>
      <c r="BZB6" s="7"/>
      <c r="BZC6" s="9"/>
      <c r="BZD6" s="8"/>
      <c r="BZE6" s="8"/>
      <c r="BZF6" s="7"/>
      <c r="BZG6" s="9"/>
      <c r="BZH6" s="1"/>
      <c r="BZI6" s="1"/>
      <c r="BZJ6" s="1"/>
      <c r="BZK6" s="1"/>
      <c r="BZL6" s="1"/>
      <c r="BZM6" s="1"/>
      <c r="BZN6" s="1"/>
      <c r="BZO6" s="1"/>
      <c r="BZQ6" s="1"/>
      <c r="BZS6" s="6"/>
      <c r="BZT6" s="7"/>
      <c r="BZU6" s="8"/>
      <c r="BZV6" s="9"/>
      <c r="BZW6" s="8"/>
      <c r="BZX6" s="7"/>
      <c r="BZY6" s="9"/>
      <c r="BZZ6" s="8"/>
      <c r="CAA6" s="8"/>
      <c r="CAB6" s="7"/>
      <c r="CAC6" s="9"/>
      <c r="CAD6" s="1"/>
      <c r="CAE6" s="1"/>
      <c r="CAF6" s="1"/>
      <c r="CAG6" s="1"/>
      <c r="CAH6" s="1"/>
      <c r="CAI6" s="1"/>
      <c r="CAJ6" s="1"/>
      <c r="CAK6" s="1"/>
      <c r="CAM6" s="1"/>
      <c r="CAO6" s="6"/>
      <c r="CAP6" s="7"/>
      <c r="CAQ6" s="8"/>
      <c r="CAR6" s="9"/>
      <c r="CAS6" s="8"/>
      <c r="CAT6" s="7"/>
      <c r="CAU6" s="9"/>
      <c r="CAV6" s="8"/>
      <c r="CAW6" s="8"/>
      <c r="CAX6" s="7"/>
      <c r="CAY6" s="9"/>
      <c r="CAZ6" s="1"/>
      <c r="CBA6" s="1"/>
      <c r="CBB6" s="1"/>
      <c r="CBC6" s="1"/>
      <c r="CBD6" s="1"/>
      <c r="CBE6" s="1"/>
      <c r="CBF6" s="1"/>
      <c r="CBG6" s="1"/>
      <c r="CBI6" s="1"/>
      <c r="CBK6" s="6"/>
      <c r="CBL6" s="7"/>
      <c r="CBM6" s="8"/>
      <c r="CBN6" s="9"/>
      <c r="CBO6" s="8"/>
      <c r="CBP6" s="7"/>
      <c r="CBQ6" s="9"/>
      <c r="CBR6" s="8"/>
      <c r="CBS6" s="8"/>
      <c r="CBT6" s="7"/>
      <c r="CBU6" s="9"/>
      <c r="CBV6" s="1"/>
      <c r="CBW6" s="1"/>
      <c r="CBX6" s="1"/>
      <c r="CBY6" s="1"/>
      <c r="CBZ6" s="1"/>
      <c r="CCA6" s="1"/>
      <c r="CCB6" s="1"/>
      <c r="CCC6" s="1"/>
      <c r="CCE6" s="1"/>
      <c r="CCG6" s="6"/>
      <c r="CCH6" s="7"/>
      <c r="CCI6" s="8"/>
      <c r="CCJ6" s="9"/>
      <c r="CCK6" s="8"/>
      <c r="CCL6" s="7"/>
      <c r="CCM6" s="9"/>
      <c r="CCN6" s="8"/>
      <c r="CCO6" s="8"/>
      <c r="CCP6" s="7"/>
      <c r="CCQ6" s="9"/>
      <c r="CCR6" s="1"/>
      <c r="CCS6" s="1"/>
      <c r="CCT6" s="1"/>
      <c r="CCU6" s="1"/>
      <c r="CCV6" s="1"/>
      <c r="CCW6" s="1"/>
      <c r="CCX6" s="1"/>
      <c r="CCY6" s="1"/>
      <c r="CDA6" s="1"/>
      <c r="CDC6" s="6"/>
      <c r="CDD6" s="7"/>
      <c r="CDE6" s="8"/>
      <c r="CDF6" s="9"/>
      <c r="CDG6" s="8"/>
      <c r="CDH6" s="7"/>
      <c r="CDI6" s="9"/>
      <c r="CDJ6" s="8"/>
      <c r="CDK6" s="8"/>
      <c r="CDL6" s="7"/>
      <c r="CDM6" s="9"/>
      <c r="CDN6" s="1"/>
      <c r="CDO6" s="1"/>
      <c r="CDP6" s="1"/>
      <c r="CDQ6" s="1"/>
      <c r="CDR6" s="1"/>
      <c r="CDS6" s="1"/>
      <c r="CDT6" s="1"/>
      <c r="CDU6" s="1"/>
      <c r="CDW6" s="1"/>
      <c r="CDY6" s="6"/>
      <c r="CDZ6" s="7"/>
      <c r="CEA6" s="8"/>
      <c r="CEB6" s="9"/>
      <c r="CEC6" s="8"/>
      <c r="CED6" s="7"/>
      <c r="CEE6" s="9"/>
      <c r="CEF6" s="8"/>
      <c r="CEG6" s="8"/>
      <c r="CEH6" s="7"/>
      <c r="CEI6" s="9"/>
      <c r="CEJ6" s="1"/>
      <c r="CEK6" s="1"/>
      <c r="CEL6" s="1"/>
      <c r="CEM6" s="1"/>
      <c r="CEN6" s="1"/>
      <c r="CEO6" s="1"/>
      <c r="CEP6" s="1"/>
      <c r="CEQ6" s="1"/>
      <c r="CES6" s="1"/>
      <c r="CEU6" s="6"/>
      <c r="CEV6" s="7"/>
      <c r="CEW6" s="8"/>
      <c r="CEX6" s="9"/>
      <c r="CEY6" s="8"/>
      <c r="CEZ6" s="7"/>
      <c r="CFA6" s="9"/>
      <c r="CFB6" s="8"/>
      <c r="CFC6" s="8"/>
      <c r="CFD6" s="7"/>
      <c r="CFE6" s="9"/>
      <c r="CFF6" s="1"/>
      <c r="CFG6" s="1"/>
      <c r="CFH6" s="1"/>
      <c r="CFI6" s="1"/>
      <c r="CFJ6" s="1"/>
      <c r="CFK6" s="1"/>
      <c r="CFL6" s="1"/>
      <c r="CFM6" s="1"/>
      <c r="CFO6" s="1"/>
      <c r="CFQ6" s="6"/>
      <c r="CFR6" s="7"/>
      <c r="CFS6" s="8"/>
      <c r="CFT6" s="9"/>
      <c r="CFU6" s="8"/>
      <c r="CFV6" s="7"/>
      <c r="CFW6" s="9"/>
      <c r="CFX6" s="8"/>
      <c r="CFY6" s="8"/>
      <c r="CFZ6" s="7"/>
      <c r="CGA6" s="9"/>
      <c r="CGB6" s="1"/>
      <c r="CGC6" s="1"/>
      <c r="CGD6" s="1"/>
      <c r="CGE6" s="1"/>
      <c r="CGF6" s="1"/>
      <c r="CGG6" s="1"/>
      <c r="CGH6" s="1"/>
      <c r="CGI6" s="1"/>
      <c r="CGK6" s="1"/>
      <c r="CGM6" s="6"/>
      <c r="CGN6" s="7"/>
      <c r="CGO6" s="8"/>
      <c r="CGP6" s="9"/>
      <c r="CGQ6" s="8"/>
      <c r="CGR6" s="7"/>
      <c r="CGS6" s="9"/>
      <c r="CGT6" s="8"/>
      <c r="CGU6" s="8"/>
      <c r="CGV6" s="7"/>
      <c r="CGW6" s="9"/>
      <c r="CGX6" s="1"/>
      <c r="CGY6" s="1"/>
      <c r="CGZ6" s="1"/>
      <c r="CHA6" s="1"/>
      <c r="CHB6" s="1"/>
      <c r="CHC6" s="1"/>
      <c r="CHD6" s="1"/>
      <c r="CHE6" s="1"/>
      <c r="CHG6" s="1"/>
      <c r="CHI6" s="6"/>
      <c r="CHJ6" s="7"/>
      <c r="CHK6" s="8"/>
      <c r="CHL6" s="9"/>
      <c r="CHM6" s="8"/>
      <c r="CHN6" s="7"/>
      <c r="CHO6" s="9"/>
      <c r="CHP6" s="8"/>
      <c r="CHQ6" s="8"/>
      <c r="CHR6" s="7"/>
      <c r="CHS6" s="9"/>
      <c r="CHT6" s="1"/>
      <c r="CHU6" s="1"/>
      <c r="CHV6" s="1"/>
      <c r="CHW6" s="1"/>
      <c r="CHX6" s="1"/>
      <c r="CHY6" s="1"/>
      <c r="CHZ6" s="1"/>
      <c r="CIA6" s="1"/>
      <c r="CIC6" s="1"/>
      <c r="CIE6" s="6"/>
      <c r="CIF6" s="7"/>
      <c r="CIG6" s="8"/>
      <c r="CIH6" s="9"/>
      <c r="CII6" s="8"/>
      <c r="CIJ6" s="7"/>
      <c r="CIK6" s="9"/>
      <c r="CIL6" s="8"/>
      <c r="CIM6" s="8"/>
      <c r="CIN6" s="7"/>
      <c r="CIO6" s="9"/>
      <c r="CIP6" s="1"/>
      <c r="CIQ6" s="1"/>
      <c r="CIR6" s="1"/>
      <c r="CIS6" s="1"/>
      <c r="CIT6" s="1"/>
      <c r="CIU6" s="1"/>
      <c r="CIV6" s="1"/>
      <c r="CIW6" s="1"/>
      <c r="CIY6" s="1"/>
      <c r="CJA6" s="6"/>
      <c r="CJB6" s="7"/>
      <c r="CJC6" s="8"/>
      <c r="CJD6" s="9"/>
      <c r="CJE6" s="8"/>
      <c r="CJF6" s="7"/>
      <c r="CJG6" s="9"/>
      <c r="CJH6" s="8"/>
      <c r="CJI6" s="8"/>
      <c r="CJJ6" s="7"/>
      <c r="CJK6" s="9"/>
      <c r="CJL6" s="1"/>
      <c r="CJM6" s="1"/>
      <c r="CJN6" s="1"/>
      <c r="CJO6" s="1"/>
      <c r="CJP6" s="1"/>
      <c r="CJQ6" s="1"/>
      <c r="CJR6" s="1"/>
      <c r="CJS6" s="1"/>
      <c r="CJU6" s="1"/>
      <c r="CJW6" s="6"/>
      <c r="CJX6" s="7"/>
      <c r="CJY6" s="8"/>
      <c r="CJZ6" s="9"/>
      <c r="CKA6" s="8"/>
      <c r="CKB6" s="7"/>
      <c r="CKC6" s="9"/>
      <c r="CKD6" s="8"/>
      <c r="CKE6" s="8"/>
      <c r="CKF6" s="7"/>
      <c r="CKG6" s="9"/>
      <c r="CKH6" s="1"/>
      <c r="CKI6" s="1"/>
      <c r="CKJ6" s="1"/>
      <c r="CKK6" s="1"/>
      <c r="CKL6" s="1"/>
      <c r="CKM6" s="1"/>
      <c r="CKN6" s="1"/>
      <c r="CKO6" s="1"/>
      <c r="CKQ6" s="1"/>
      <c r="CKS6" s="6"/>
      <c r="CKT6" s="7"/>
      <c r="CKU6" s="8"/>
      <c r="CKV6" s="9"/>
      <c r="CKW6" s="8"/>
      <c r="CKX6" s="7"/>
      <c r="CKY6" s="9"/>
      <c r="CKZ6" s="8"/>
      <c r="CLA6" s="8"/>
      <c r="CLB6" s="7"/>
      <c r="CLC6" s="9"/>
      <c r="CLD6" s="1"/>
      <c r="CLE6" s="1"/>
      <c r="CLF6" s="1"/>
      <c r="CLG6" s="1"/>
      <c r="CLH6" s="1"/>
      <c r="CLI6" s="1"/>
      <c r="CLJ6" s="1"/>
      <c r="CLK6" s="1"/>
      <c r="CLM6" s="1"/>
      <c r="CLO6" s="6"/>
      <c r="CLP6" s="7"/>
      <c r="CLQ6" s="8"/>
      <c r="CLR6" s="9"/>
      <c r="CLS6" s="8"/>
      <c r="CLT6" s="7"/>
      <c r="CLU6" s="9"/>
      <c r="CLV6" s="8"/>
      <c r="CLW6" s="8"/>
      <c r="CLX6" s="7"/>
      <c r="CLY6" s="9"/>
      <c r="CLZ6" s="1"/>
      <c r="CMA6" s="1"/>
      <c r="CMB6" s="1"/>
      <c r="CMC6" s="1"/>
      <c r="CMD6" s="1"/>
      <c r="CME6" s="1"/>
      <c r="CMF6" s="1"/>
      <c r="CMG6" s="1"/>
      <c r="CMI6" s="1"/>
      <c r="CMK6" s="6"/>
      <c r="CML6" s="7"/>
      <c r="CMM6" s="8"/>
      <c r="CMN6" s="9"/>
      <c r="CMO6" s="8"/>
      <c r="CMP6" s="7"/>
      <c r="CMQ6" s="9"/>
      <c r="CMR6" s="8"/>
      <c r="CMS6" s="8"/>
      <c r="CMT6" s="7"/>
      <c r="CMU6" s="9"/>
      <c r="CMV6" s="1"/>
      <c r="CMW6" s="1"/>
      <c r="CMX6" s="1"/>
      <c r="CMY6" s="1"/>
      <c r="CMZ6" s="1"/>
      <c r="CNA6" s="1"/>
      <c r="CNB6" s="1"/>
      <c r="CNC6" s="1"/>
      <c r="CNE6" s="1"/>
      <c r="CNG6" s="6"/>
      <c r="CNH6" s="7"/>
      <c r="CNI6" s="8"/>
      <c r="CNJ6" s="9"/>
      <c r="CNK6" s="8"/>
      <c r="CNL6" s="7"/>
      <c r="CNM6" s="9"/>
      <c r="CNN6" s="8"/>
      <c r="CNO6" s="8"/>
      <c r="CNP6" s="7"/>
      <c r="CNQ6" s="9"/>
      <c r="CNR6" s="1"/>
      <c r="CNS6" s="1"/>
      <c r="CNT6" s="1"/>
      <c r="CNU6" s="1"/>
      <c r="CNV6" s="1"/>
      <c r="CNW6" s="1"/>
      <c r="CNX6" s="1"/>
      <c r="CNY6" s="1"/>
      <c r="COA6" s="1"/>
      <c r="COC6" s="6"/>
      <c r="COD6" s="7"/>
      <c r="COE6" s="8"/>
      <c r="COF6" s="9"/>
      <c r="COG6" s="8"/>
      <c r="COH6" s="7"/>
      <c r="COI6" s="9"/>
      <c r="COJ6" s="8"/>
      <c r="COK6" s="8"/>
      <c r="COL6" s="7"/>
      <c r="COM6" s="9"/>
      <c r="CON6" s="1"/>
      <c r="COO6" s="1"/>
      <c r="COP6" s="1"/>
      <c r="COQ6" s="1"/>
      <c r="COR6" s="1"/>
      <c r="COS6" s="1"/>
      <c r="COT6" s="1"/>
      <c r="COU6" s="1"/>
      <c r="COW6" s="1"/>
      <c r="COY6" s="6"/>
      <c r="COZ6" s="7"/>
      <c r="CPA6" s="8"/>
      <c r="CPB6" s="9"/>
      <c r="CPC6" s="8"/>
      <c r="CPD6" s="7"/>
      <c r="CPE6" s="9"/>
      <c r="CPF6" s="8"/>
      <c r="CPG6" s="8"/>
      <c r="CPH6" s="7"/>
      <c r="CPI6" s="9"/>
      <c r="CPJ6" s="1"/>
      <c r="CPK6" s="1"/>
      <c r="CPL6" s="1"/>
      <c r="CPM6" s="1"/>
      <c r="CPN6" s="1"/>
      <c r="CPO6" s="1"/>
      <c r="CPP6" s="1"/>
      <c r="CPQ6" s="1"/>
      <c r="CPS6" s="1"/>
      <c r="CPU6" s="6"/>
      <c r="CPV6" s="7"/>
      <c r="CPW6" s="8"/>
      <c r="CPX6" s="9"/>
      <c r="CPY6" s="8"/>
      <c r="CPZ6" s="7"/>
      <c r="CQA6" s="9"/>
      <c r="CQB6" s="8"/>
      <c r="CQC6" s="8"/>
      <c r="CQD6" s="7"/>
      <c r="CQE6" s="9"/>
      <c r="CQF6" s="1"/>
      <c r="CQG6" s="1"/>
      <c r="CQH6" s="1"/>
      <c r="CQI6" s="1"/>
      <c r="CQJ6" s="1"/>
      <c r="CQK6" s="1"/>
      <c r="CQL6" s="1"/>
      <c r="CQM6" s="1"/>
      <c r="CQO6" s="1"/>
      <c r="CQQ6" s="6"/>
      <c r="CQR6" s="7"/>
      <c r="CQS6" s="8"/>
      <c r="CQT6" s="9"/>
      <c r="CQU6" s="8"/>
      <c r="CQV6" s="7"/>
      <c r="CQW6" s="9"/>
      <c r="CQX6" s="8"/>
      <c r="CQY6" s="8"/>
      <c r="CQZ6" s="7"/>
      <c r="CRA6" s="9"/>
      <c r="CRB6" s="1"/>
      <c r="CRC6" s="1"/>
      <c r="CRD6" s="1"/>
      <c r="CRE6" s="1"/>
      <c r="CRF6" s="1"/>
      <c r="CRG6" s="1"/>
      <c r="CRH6" s="1"/>
      <c r="CRI6" s="1"/>
      <c r="CRK6" s="1"/>
      <c r="CRM6" s="6"/>
      <c r="CRN6" s="7"/>
      <c r="CRO6" s="8"/>
      <c r="CRP6" s="9"/>
      <c r="CRQ6" s="8"/>
      <c r="CRR6" s="7"/>
      <c r="CRS6" s="9"/>
      <c r="CRT6" s="8"/>
      <c r="CRU6" s="8"/>
      <c r="CRV6" s="7"/>
      <c r="CRW6" s="9"/>
      <c r="CRX6" s="1"/>
      <c r="CRY6" s="1"/>
      <c r="CRZ6" s="1"/>
      <c r="CSA6" s="1"/>
      <c r="CSB6" s="1"/>
      <c r="CSC6" s="1"/>
      <c r="CSD6" s="1"/>
      <c r="CSE6" s="1"/>
      <c r="CSG6" s="1"/>
      <c r="CSI6" s="6"/>
      <c r="CSJ6" s="7"/>
      <c r="CSK6" s="8"/>
      <c r="CSL6" s="9"/>
      <c r="CSM6" s="8"/>
      <c r="CSN6" s="7"/>
      <c r="CSO6" s="9"/>
      <c r="CSP6" s="8"/>
      <c r="CSQ6" s="8"/>
      <c r="CSR6" s="7"/>
      <c r="CSS6" s="9"/>
      <c r="CST6" s="1"/>
      <c r="CSU6" s="1"/>
      <c r="CSV6" s="1"/>
      <c r="CSW6" s="1"/>
      <c r="CSX6" s="1"/>
      <c r="CSY6" s="1"/>
      <c r="CSZ6" s="1"/>
      <c r="CTA6" s="1"/>
      <c r="CTC6" s="1"/>
      <c r="CTE6" s="6"/>
      <c r="CTF6" s="7"/>
      <c r="CTG6" s="8"/>
      <c r="CTH6" s="9"/>
      <c r="CTI6" s="8"/>
      <c r="CTJ6" s="7"/>
      <c r="CTK6" s="9"/>
      <c r="CTL6" s="8"/>
      <c r="CTM6" s="8"/>
      <c r="CTN6" s="7"/>
      <c r="CTO6" s="9"/>
      <c r="CTP6" s="1"/>
      <c r="CTQ6" s="1"/>
      <c r="CTR6" s="1"/>
      <c r="CTS6" s="1"/>
      <c r="CTT6" s="1"/>
      <c r="CTU6" s="1"/>
      <c r="CTV6" s="1"/>
      <c r="CTW6" s="1"/>
      <c r="CTY6" s="1"/>
      <c r="CUA6" s="6"/>
      <c r="CUB6" s="7"/>
      <c r="CUC6" s="8"/>
      <c r="CUD6" s="9"/>
      <c r="CUE6" s="8"/>
      <c r="CUF6" s="7"/>
      <c r="CUG6" s="9"/>
      <c r="CUH6" s="8"/>
      <c r="CUI6" s="8"/>
      <c r="CUJ6" s="7"/>
      <c r="CUK6" s="9"/>
      <c r="CUL6" s="1"/>
      <c r="CUM6" s="1"/>
      <c r="CUN6" s="1"/>
      <c r="CUO6" s="1"/>
      <c r="CUP6" s="1"/>
      <c r="CUQ6" s="1"/>
      <c r="CUR6" s="1"/>
      <c r="CUS6" s="1"/>
      <c r="CUU6" s="1"/>
      <c r="CUW6" s="6"/>
      <c r="CUX6" s="7"/>
      <c r="CUY6" s="8"/>
      <c r="CUZ6" s="9"/>
      <c r="CVA6" s="8"/>
      <c r="CVB6" s="7"/>
      <c r="CVC6" s="9"/>
      <c r="CVD6" s="8"/>
      <c r="CVE6" s="8"/>
      <c r="CVF6" s="7"/>
      <c r="CVG6" s="9"/>
      <c r="CVH6" s="1"/>
      <c r="CVI6" s="1"/>
      <c r="CVJ6" s="1"/>
      <c r="CVK6" s="1"/>
      <c r="CVL6" s="1"/>
      <c r="CVM6" s="1"/>
      <c r="CVN6" s="1"/>
      <c r="CVO6" s="1"/>
      <c r="CVQ6" s="1"/>
      <c r="CVS6" s="6"/>
      <c r="CVT6" s="7"/>
      <c r="CVU6" s="8"/>
      <c r="CVV6" s="9"/>
      <c r="CVW6" s="8"/>
      <c r="CVX6" s="7"/>
      <c r="CVY6" s="9"/>
      <c r="CVZ6" s="8"/>
      <c r="CWA6" s="8"/>
      <c r="CWB6" s="7"/>
      <c r="CWC6" s="9"/>
      <c r="CWD6" s="1"/>
      <c r="CWE6" s="1"/>
      <c r="CWF6" s="1"/>
      <c r="CWG6" s="1"/>
      <c r="CWH6" s="1"/>
      <c r="CWI6" s="1"/>
      <c r="CWJ6" s="1"/>
      <c r="CWK6" s="1"/>
      <c r="CWM6" s="1"/>
      <c r="CWO6" s="6"/>
      <c r="CWP6" s="7"/>
      <c r="CWQ6" s="8"/>
      <c r="CWR6" s="9"/>
      <c r="CWS6" s="8"/>
      <c r="CWT6" s="7"/>
      <c r="CWU6" s="9"/>
      <c r="CWV6" s="8"/>
      <c r="CWW6" s="8"/>
      <c r="CWX6" s="7"/>
      <c r="CWY6" s="9"/>
      <c r="CWZ6" s="1"/>
      <c r="CXA6" s="1"/>
      <c r="CXB6" s="1"/>
      <c r="CXC6" s="1"/>
      <c r="CXD6" s="1"/>
      <c r="CXE6" s="1"/>
      <c r="CXF6" s="1"/>
      <c r="CXG6" s="1"/>
      <c r="CXI6" s="1"/>
      <c r="CXK6" s="6"/>
      <c r="CXL6" s="7"/>
      <c r="CXM6" s="8"/>
      <c r="CXN6" s="9"/>
      <c r="CXO6" s="8"/>
      <c r="CXP6" s="7"/>
      <c r="CXQ6" s="9"/>
      <c r="CXR6" s="8"/>
      <c r="CXS6" s="8"/>
      <c r="CXT6" s="7"/>
      <c r="CXU6" s="9"/>
      <c r="CXV6" s="1"/>
      <c r="CXW6" s="1"/>
      <c r="CXX6" s="1"/>
      <c r="CXY6" s="1"/>
      <c r="CXZ6" s="1"/>
      <c r="CYA6" s="1"/>
      <c r="CYB6" s="1"/>
      <c r="CYC6" s="1"/>
      <c r="CYE6" s="1"/>
      <c r="CYG6" s="6"/>
      <c r="CYH6" s="7"/>
      <c r="CYI6" s="8"/>
      <c r="CYJ6" s="9"/>
      <c r="CYK6" s="8"/>
      <c r="CYL6" s="7"/>
      <c r="CYM6" s="9"/>
      <c r="CYN6" s="8"/>
      <c r="CYO6" s="8"/>
      <c r="CYP6" s="7"/>
      <c r="CYQ6" s="9"/>
      <c r="CYR6" s="1"/>
      <c r="CYS6" s="1"/>
      <c r="CYT6" s="1"/>
      <c r="CYU6" s="1"/>
      <c r="CYV6" s="1"/>
      <c r="CYW6" s="1"/>
      <c r="CYX6" s="1"/>
      <c r="CYY6" s="1"/>
      <c r="CZA6" s="1"/>
      <c r="CZC6" s="6"/>
      <c r="CZD6" s="7"/>
      <c r="CZE6" s="8"/>
      <c r="CZF6" s="9"/>
      <c r="CZG6" s="8"/>
      <c r="CZH6" s="7"/>
      <c r="CZI6" s="9"/>
      <c r="CZJ6" s="8"/>
      <c r="CZK6" s="8"/>
      <c r="CZL6" s="7"/>
      <c r="CZM6" s="9"/>
      <c r="CZN6" s="1"/>
      <c r="CZO6" s="1"/>
      <c r="CZP6" s="1"/>
      <c r="CZQ6" s="1"/>
      <c r="CZR6" s="1"/>
      <c r="CZS6" s="1"/>
      <c r="CZT6" s="1"/>
      <c r="CZU6" s="1"/>
      <c r="CZW6" s="1"/>
      <c r="CZY6" s="6"/>
      <c r="CZZ6" s="7"/>
      <c r="DAA6" s="8"/>
      <c r="DAB6" s="9"/>
      <c r="DAC6" s="8"/>
      <c r="DAD6" s="7"/>
      <c r="DAE6" s="9"/>
      <c r="DAF6" s="8"/>
      <c r="DAG6" s="8"/>
      <c r="DAH6" s="7"/>
      <c r="DAI6" s="9"/>
      <c r="DAJ6" s="1"/>
      <c r="DAK6" s="1"/>
      <c r="DAL6" s="1"/>
      <c r="DAM6" s="1"/>
      <c r="DAN6" s="1"/>
      <c r="DAO6" s="1"/>
      <c r="DAP6" s="1"/>
      <c r="DAQ6" s="1"/>
      <c r="DAS6" s="1"/>
      <c r="DAU6" s="6"/>
      <c r="DAV6" s="7"/>
      <c r="DAW6" s="8"/>
      <c r="DAX6" s="9"/>
      <c r="DAY6" s="8"/>
      <c r="DAZ6" s="7"/>
      <c r="DBA6" s="9"/>
      <c r="DBB6" s="8"/>
      <c r="DBC6" s="8"/>
      <c r="DBD6" s="7"/>
      <c r="DBE6" s="9"/>
      <c r="DBF6" s="1"/>
      <c r="DBG6" s="1"/>
      <c r="DBH6" s="1"/>
      <c r="DBI6" s="1"/>
      <c r="DBJ6" s="1"/>
      <c r="DBK6" s="1"/>
      <c r="DBL6" s="1"/>
      <c r="DBM6" s="1"/>
      <c r="DBO6" s="1"/>
      <c r="DBQ6" s="6"/>
      <c r="DBR6" s="7"/>
      <c r="DBS6" s="8"/>
      <c r="DBT6" s="9"/>
      <c r="DBU6" s="8"/>
      <c r="DBV6" s="7"/>
      <c r="DBW6" s="9"/>
      <c r="DBX6" s="8"/>
      <c r="DBY6" s="8"/>
      <c r="DBZ6" s="7"/>
      <c r="DCA6" s="9"/>
      <c r="DCB6" s="1"/>
      <c r="DCC6" s="1"/>
      <c r="DCD6" s="1"/>
      <c r="DCE6" s="1"/>
      <c r="DCF6" s="1"/>
      <c r="DCG6" s="1"/>
      <c r="DCH6" s="1"/>
      <c r="DCI6" s="1"/>
      <c r="DCK6" s="1"/>
      <c r="DCM6" s="6"/>
      <c r="DCN6" s="7"/>
      <c r="DCO6" s="8"/>
      <c r="DCP6" s="9"/>
      <c r="DCQ6" s="8"/>
      <c r="DCR6" s="7"/>
      <c r="DCS6" s="9"/>
      <c r="DCT6" s="8"/>
      <c r="DCU6" s="8"/>
      <c r="DCV6" s="7"/>
      <c r="DCW6" s="9"/>
      <c r="DCX6" s="1"/>
      <c r="DCY6" s="1"/>
      <c r="DCZ6" s="1"/>
      <c r="DDA6" s="1"/>
      <c r="DDB6" s="1"/>
      <c r="DDC6" s="1"/>
      <c r="DDD6" s="1"/>
      <c r="DDE6" s="1"/>
      <c r="DDG6" s="1"/>
      <c r="DDI6" s="6"/>
      <c r="DDJ6" s="7"/>
      <c r="DDK6" s="8"/>
      <c r="DDL6" s="9"/>
      <c r="DDM6" s="8"/>
      <c r="DDN6" s="7"/>
      <c r="DDO6" s="9"/>
      <c r="DDP6" s="8"/>
      <c r="DDQ6" s="8"/>
      <c r="DDR6" s="7"/>
      <c r="DDS6" s="9"/>
      <c r="DDT6" s="1"/>
      <c r="DDU6" s="1"/>
      <c r="DDV6" s="1"/>
      <c r="DDW6" s="1"/>
      <c r="DDX6" s="1"/>
      <c r="DDY6" s="1"/>
      <c r="DDZ6" s="1"/>
      <c r="DEA6" s="1"/>
      <c r="DEC6" s="1"/>
      <c r="DEE6" s="6"/>
      <c r="DEF6" s="7"/>
      <c r="DEG6" s="8"/>
      <c r="DEH6" s="9"/>
      <c r="DEI6" s="8"/>
      <c r="DEJ6" s="7"/>
      <c r="DEK6" s="9"/>
      <c r="DEL6" s="8"/>
      <c r="DEM6" s="8"/>
      <c r="DEN6" s="7"/>
      <c r="DEO6" s="9"/>
      <c r="DEP6" s="1"/>
      <c r="DEQ6" s="1"/>
      <c r="DER6" s="1"/>
      <c r="DES6" s="1"/>
      <c r="DET6" s="1"/>
      <c r="DEU6" s="1"/>
      <c r="DEV6" s="1"/>
      <c r="DEW6" s="1"/>
      <c r="DEY6" s="1"/>
      <c r="DFA6" s="6"/>
      <c r="DFB6" s="7"/>
      <c r="DFC6" s="8"/>
      <c r="DFD6" s="9"/>
      <c r="DFE6" s="8"/>
      <c r="DFF6" s="7"/>
      <c r="DFG6" s="9"/>
      <c r="DFH6" s="8"/>
      <c r="DFI6" s="8"/>
      <c r="DFJ6" s="7"/>
      <c r="DFK6" s="9"/>
      <c r="DFL6" s="1"/>
      <c r="DFM6" s="1"/>
      <c r="DFN6" s="1"/>
      <c r="DFO6" s="1"/>
      <c r="DFP6" s="1"/>
      <c r="DFQ6" s="1"/>
      <c r="DFR6" s="1"/>
      <c r="DFS6" s="1"/>
      <c r="DFU6" s="1"/>
      <c r="DFW6" s="6"/>
      <c r="DFX6" s="7"/>
      <c r="DFY6" s="8"/>
      <c r="DFZ6" s="9"/>
      <c r="DGA6" s="8"/>
      <c r="DGB6" s="7"/>
      <c r="DGC6" s="9"/>
      <c r="DGD6" s="8"/>
      <c r="DGE6" s="8"/>
      <c r="DGF6" s="7"/>
      <c r="DGG6" s="9"/>
      <c r="DGH6" s="1"/>
      <c r="DGI6" s="1"/>
      <c r="DGJ6" s="1"/>
      <c r="DGK6" s="1"/>
      <c r="DGL6" s="1"/>
      <c r="DGM6" s="1"/>
      <c r="DGN6" s="1"/>
      <c r="DGO6" s="1"/>
      <c r="DGQ6" s="1"/>
      <c r="DGS6" s="6"/>
      <c r="DGT6" s="7"/>
      <c r="DGU6" s="8"/>
      <c r="DGV6" s="9"/>
      <c r="DGW6" s="8"/>
      <c r="DGX6" s="7"/>
      <c r="DGY6" s="9"/>
      <c r="DGZ6" s="8"/>
      <c r="DHA6" s="8"/>
      <c r="DHB6" s="7"/>
      <c r="DHC6" s="9"/>
      <c r="DHD6" s="1"/>
      <c r="DHE6" s="1"/>
      <c r="DHF6" s="1"/>
      <c r="DHG6" s="1"/>
      <c r="DHH6" s="1"/>
      <c r="DHI6" s="1"/>
      <c r="DHJ6" s="1"/>
      <c r="DHK6" s="1"/>
      <c r="DHM6" s="1"/>
      <c r="DHO6" s="6"/>
      <c r="DHP6" s="7"/>
      <c r="DHQ6" s="8"/>
      <c r="DHR6" s="9"/>
      <c r="DHS6" s="8"/>
      <c r="DHT6" s="7"/>
      <c r="DHU6" s="9"/>
      <c r="DHV6" s="8"/>
      <c r="DHW6" s="8"/>
      <c r="DHX6" s="7"/>
      <c r="DHY6" s="9"/>
      <c r="DHZ6" s="1"/>
      <c r="DIA6" s="1"/>
      <c r="DIB6" s="1"/>
      <c r="DIC6" s="1"/>
      <c r="DID6" s="1"/>
      <c r="DIE6" s="1"/>
      <c r="DIF6" s="1"/>
      <c r="DIG6" s="1"/>
      <c r="DII6" s="1"/>
      <c r="DIK6" s="6"/>
      <c r="DIL6" s="7"/>
      <c r="DIM6" s="8"/>
      <c r="DIN6" s="9"/>
      <c r="DIO6" s="8"/>
      <c r="DIP6" s="7"/>
      <c r="DIQ6" s="9"/>
      <c r="DIR6" s="8"/>
      <c r="DIS6" s="8"/>
      <c r="DIT6" s="7"/>
      <c r="DIU6" s="9"/>
      <c r="DIV6" s="1"/>
      <c r="DIW6" s="1"/>
      <c r="DIX6" s="1"/>
      <c r="DIY6" s="1"/>
      <c r="DIZ6" s="1"/>
      <c r="DJA6" s="1"/>
      <c r="DJB6" s="1"/>
      <c r="DJC6" s="1"/>
      <c r="DJE6" s="1"/>
      <c r="DJG6" s="6"/>
      <c r="DJH6" s="7"/>
      <c r="DJI6" s="8"/>
      <c r="DJJ6" s="9"/>
      <c r="DJK6" s="8"/>
      <c r="DJL6" s="7"/>
      <c r="DJM6" s="9"/>
      <c r="DJN6" s="8"/>
      <c r="DJO6" s="8"/>
      <c r="DJP6" s="7"/>
      <c r="DJQ6" s="9"/>
      <c r="DJR6" s="1"/>
      <c r="DJS6" s="1"/>
      <c r="DJT6" s="1"/>
      <c r="DJU6" s="1"/>
      <c r="DJV6" s="1"/>
      <c r="DJW6" s="1"/>
      <c r="DJX6" s="1"/>
      <c r="DJY6" s="1"/>
      <c r="DKA6" s="1"/>
      <c r="DKC6" s="6"/>
      <c r="DKD6" s="7"/>
      <c r="DKE6" s="8"/>
      <c r="DKF6" s="9"/>
      <c r="DKG6" s="8"/>
      <c r="DKH6" s="7"/>
      <c r="DKI6" s="9"/>
      <c r="DKJ6" s="8"/>
      <c r="DKK6" s="8"/>
      <c r="DKL6" s="7"/>
      <c r="DKM6" s="9"/>
      <c r="DKN6" s="1"/>
      <c r="DKO6" s="1"/>
      <c r="DKP6" s="1"/>
      <c r="DKQ6" s="1"/>
      <c r="DKR6" s="1"/>
      <c r="DKS6" s="1"/>
      <c r="DKT6" s="1"/>
      <c r="DKU6" s="1"/>
      <c r="DKW6" s="1"/>
      <c r="DKY6" s="6"/>
      <c r="DKZ6" s="7"/>
      <c r="DLA6" s="8"/>
      <c r="DLB6" s="9"/>
      <c r="DLC6" s="8"/>
      <c r="DLD6" s="7"/>
      <c r="DLE6" s="9"/>
      <c r="DLF6" s="8"/>
      <c r="DLG6" s="8"/>
      <c r="DLH6" s="7"/>
      <c r="DLI6" s="9"/>
      <c r="DLJ6" s="1"/>
      <c r="DLK6" s="1"/>
      <c r="DLL6" s="1"/>
      <c r="DLM6" s="1"/>
      <c r="DLN6" s="1"/>
      <c r="DLO6" s="1"/>
      <c r="DLP6" s="1"/>
      <c r="DLQ6" s="1"/>
      <c r="DLS6" s="1"/>
      <c r="DLU6" s="6"/>
      <c r="DLV6" s="7"/>
      <c r="DLW6" s="8"/>
      <c r="DLX6" s="9"/>
      <c r="DLY6" s="8"/>
      <c r="DLZ6" s="7"/>
      <c r="DMA6" s="9"/>
      <c r="DMB6" s="8"/>
      <c r="DMC6" s="8"/>
      <c r="DMD6" s="7"/>
      <c r="DME6" s="9"/>
      <c r="DMF6" s="1"/>
      <c r="DMG6" s="1"/>
      <c r="DMH6" s="1"/>
      <c r="DMI6" s="1"/>
      <c r="DMJ6" s="1"/>
      <c r="DMK6" s="1"/>
      <c r="DML6" s="1"/>
      <c r="DMM6" s="1"/>
      <c r="DMO6" s="1"/>
      <c r="DMQ6" s="6"/>
      <c r="DMR6" s="7"/>
      <c r="DMS6" s="8"/>
      <c r="DMT6" s="9"/>
      <c r="DMU6" s="8"/>
      <c r="DMV6" s="7"/>
      <c r="DMW6" s="9"/>
      <c r="DMX6" s="8"/>
      <c r="DMY6" s="8"/>
      <c r="DMZ6" s="7"/>
      <c r="DNA6" s="9"/>
      <c r="DNB6" s="1"/>
      <c r="DNC6" s="1"/>
      <c r="DND6" s="1"/>
      <c r="DNE6" s="1"/>
      <c r="DNF6" s="1"/>
      <c r="DNG6" s="1"/>
      <c r="DNH6" s="1"/>
      <c r="DNI6" s="1"/>
      <c r="DNK6" s="1"/>
      <c r="DNM6" s="6"/>
      <c r="DNN6" s="7"/>
      <c r="DNO6" s="8"/>
      <c r="DNP6" s="9"/>
      <c r="DNQ6" s="8"/>
      <c r="DNR6" s="7"/>
      <c r="DNS6" s="9"/>
      <c r="DNT6" s="8"/>
      <c r="DNU6" s="8"/>
      <c r="DNV6" s="7"/>
      <c r="DNW6" s="9"/>
      <c r="DNX6" s="1"/>
      <c r="DNY6" s="1"/>
      <c r="DNZ6" s="1"/>
      <c r="DOA6" s="1"/>
      <c r="DOB6" s="1"/>
      <c r="DOC6" s="1"/>
      <c r="DOD6" s="1"/>
      <c r="DOE6" s="1"/>
      <c r="DOG6" s="1"/>
      <c r="DOI6" s="6"/>
      <c r="DOJ6" s="7"/>
      <c r="DOK6" s="8"/>
      <c r="DOL6" s="9"/>
      <c r="DOM6" s="8"/>
      <c r="DON6" s="7"/>
      <c r="DOO6" s="9"/>
      <c r="DOP6" s="8"/>
      <c r="DOQ6" s="8"/>
      <c r="DOR6" s="7"/>
      <c r="DOS6" s="9"/>
      <c r="DOT6" s="1"/>
      <c r="DOU6" s="1"/>
      <c r="DOV6" s="1"/>
      <c r="DOW6" s="1"/>
      <c r="DOX6" s="1"/>
      <c r="DOY6" s="1"/>
      <c r="DOZ6" s="1"/>
      <c r="DPA6" s="1"/>
      <c r="DPC6" s="1"/>
      <c r="DPE6" s="6"/>
      <c r="DPF6" s="7"/>
      <c r="DPG6" s="8"/>
      <c r="DPH6" s="9"/>
      <c r="DPI6" s="8"/>
      <c r="DPJ6" s="7"/>
      <c r="DPK6" s="9"/>
      <c r="DPL6" s="8"/>
      <c r="DPM6" s="8"/>
      <c r="DPN6" s="7"/>
      <c r="DPO6" s="9"/>
      <c r="DPP6" s="1"/>
      <c r="DPQ6" s="1"/>
      <c r="DPR6" s="1"/>
      <c r="DPS6" s="1"/>
      <c r="DPT6" s="1"/>
      <c r="DPU6" s="1"/>
      <c r="DPV6" s="1"/>
      <c r="DPW6" s="1"/>
      <c r="DPY6" s="1"/>
      <c r="DQA6" s="6"/>
      <c r="DQB6" s="7"/>
      <c r="DQC6" s="8"/>
      <c r="DQD6" s="9"/>
      <c r="DQE6" s="8"/>
      <c r="DQF6" s="7"/>
      <c r="DQG6" s="9"/>
      <c r="DQH6" s="8"/>
      <c r="DQI6" s="8"/>
      <c r="DQJ6" s="7"/>
      <c r="DQK6" s="9"/>
      <c r="DQL6" s="1"/>
      <c r="DQM6" s="1"/>
      <c r="DQN6" s="1"/>
      <c r="DQO6" s="1"/>
      <c r="DQP6" s="1"/>
      <c r="DQQ6" s="1"/>
      <c r="DQR6" s="1"/>
      <c r="DQS6" s="1"/>
      <c r="DQU6" s="1"/>
      <c r="DQW6" s="6"/>
      <c r="DQX6" s="7"/>
      <c r="DQY6" s="8"/>
      <c r="DQZ6" s="9"/>
      <c r="DRA6" s="8"/>
      <c r="DRB6" s="7"/>
      <c r="DRC6" s="9"/>
      <c r="DRD6" s="8"/>
      <c r="DRE6" s="8"/>
      <c r="DRF6" s="7"/>
      <c r="DRG6" s="9"/>
      <c r="DRH6" s="1"/>
      <c r="DRI6" s="1"/>
      <c r="DRJ6" s="1"/>
      <c r="DRK6" s="1"/>
      <c r="DRL6" s="1"/>
      <c r="DRM6" s="1"/>
      <c r="DRN6" s="1"/>
      <c r="DRO6" s="1"/>
      <c r="DRQ6" s="1"/>
      <c r="DRS6" s="6"/>
      <c r="DRT6" s="7"/>
      <c r="DRU6" s="8"/>
      <c r="DRV6" s="9"/>
      <c r="DRW6" s="8"/>
      <c r="DRX6" s="7"/>
      <c r="DRY6" s="9"/>
      <c r="DRZ6" s="8"/>
      <c r="DSA6" s="8"/>
      <c r="DSB6" s="7"/>
      <c r="DSC6" s="9"/>
      <c r="DSD6" s="1"/>
      <c r="DSE6" s="1"/>
      <c r="DSF6" s="1"/>
      <c r="DSG6" s="1"/>
      <c r="DSH6" s="1"/>
      <c r="DSI6" s="1"/>
      <c r="DSJ6" s="1"/>
      <c r="DSK6" s="1"/>
      <c r="DSM6" s="1"/>
      <c r="DSO6" s="6"/>
      <c r="DSP6" s="7"/>
      <c r="DSQ6" s="8"/>
      <c r="DSR6" s="9"/>
      <c r="DSS6" s="8"/>
      <c r="DST6" s="7"/>
      <c r="DSU6" s="9"/>
      <c r="DSV6" s="8"/>
      <c r="DSW6" s="8"/>
      <c r="DSX6" s="7"/>
      <c r="DSY6" s="9"/>
      <c r="DSZ6" s="1"/>
      <c r="DTA6" s="1"/>
      <c r="DTB6" s="1"/>
      <c r="DTC6" s="1"/>
      <c r="DTD6" s="1"/>
      <c r="DTE6" s="1"/>
      <c r="DTF6" s="1"/>
      <c r="DTG6" s="1"/>
      <c r="DTI6" s="1"/>
      <c r="DTK6" s="6"/>
      <c r="DTL6" s="7"/>
      <c r="DTM6" s="8"/>
      <c r="DTN6" s="9"/>
      <c r="DTO6" s="8"/>
      <c r="DTP6" s="7"/>
      <c r="DTQ6" s="9"/>
      <c r="DTR6" s="8"/>
      <c r="DTS6" s="8"/>
      <c r="DTT6" s="7"/>
      <c r="DTU6" s="9"/>
      <c r="DTV6" s="1"/>
      <c r="DTW6" s="1"/>
      <c r="DTX6" s="1"/>
      <c r="DTY6" s="1"/>
      <c r="DTZ6" s="1"/>
      <c r="DUA6" s="1"/>
      <c r="DUB6" s="1"/>
      <c r="DUC6" s="1"/>
      <c r="DUE6" s="1"/>
      <c r="DUG6" s="6"/>
      <c r="DUH6" s="7"/>
      <c r="DUI6" s="8"/>
      <c r="DUJ6" s="9"/>
      <c r="DUK6" s="8"/>
      <c r="DUL6" s="7"/>
      <c r="DUM6" s="9"/>
      <c r="DUN6" s="8"/>
      <c r="DUO6" s="8"/>
      <c r="DUP6" s="7"/>
      <c r="DUQ6" s="9"/>
      <c r="DUR6" s="1"/>
      <c r="DUS6" s="1"/>
      <c r="DUT6" s="1"/>
      <c r="DUU6" s="1"/>
      <c r="DUV6" s="1"/>
      <c r="DUW6" s="1"/>
      <c r="DUX6" s="1"/>
      <c r="DUY6" s="1"/>
      <c r="DVA6" s="1"/>
      <c r="DVC6" s="6"/>
      <c r="DVD6" s="7"/>
      <c r="DVE6" s="8"/>
      <c r="DVF6" s="9"/>
      <c r="DVG6" s="8"/>
      <c r="DVH6" s="7"/>
      <c r="DVI6" s="9"/>
      <c r="DVJ6" s="8"/>
      <c r="DVK6" s="8"/>
      <c r="DVL6" s="7"/>
      <c r="DVM6" s="9"/>
      <c r="DVN6" s="1"/>
      <c r="DVO6" s="1"/>
      <c r="DVP6" s="1"/>
      <c r="DVQ6" s="1"/>
      <c r="DVR6" s="1"/>
      <c r="DVS6" s="1"/>
      <c r="DVT6" s="1"/>
      <c r="DVU6" s="1"/>
      <c r="DVW6" s="1"/>
      <c r="DVY6" s="6"/>
      <c r="DVZ6" s="7"/>
      <c r="DWA6" s="8"/>
      <c r="DWB6" s="9"/>
      <c r="DWC6" s="8"/>
      <c r="DWD6" s="7"/>
      <c r="DWE6" s="9"/>
      <c r="DWF6" s="8"/>
      <c r="DWG6" s="8"/>
      <c r="DWH6" s="7"/>
      <c r="DWI6" s="9"/>
      <c r="DWJ6" s="1"/>
      <c r="DWK6" s="1"/>
      <c r="DWL6" s="1"/>
      <c r="DWM6" s="1"/>
      <c r="DWN6" s="1"/>
      <c r="DWO6" s="1"/>
      <c r="DWP6" s="1"/>
      <c r="DWQ6" s="1"/>
      <c r="DWS6" s="1"/>
      <c r="DWU6" s="6"/>
      <c r="DWV6" s="7"/>
      <c r="DWW6" s="8"/>
      <c r="DWX6" s="9"/>
      <c r="DWY6" s="8"/>
      <c r="DWZ6" s="7"/>
      <c r="DXA6" s="9"/>
      <c r="DXB6" s="8"/>
      <c r="DXC6" s="8"/>
      <c r="DXD6" s="7"/>
      <c r="DXE6" s="9"/>
      <c r="DXF6" s="1"/>
      <c r="DXG6" s="1"/>
      <c r="DXH6" s="1"/>
      <c r="DXI6" s="1"/>
      <c r="DXJ6" s="1"/>
      <c r="DXK6" s="1"/>
      <c r="DXL6" s="1"/>
      <c r="DXM6" s="1"/>
      <c r="DXO6" s="1"/>
      <c r="DXQ6" s="6"/>
      <c r="DXR6" s="7"/>
      <c r="DXS6" s="8"/>
      <c r="DXT6" s="9"/>
      <c r="DXU6" s="8"/>
      <c r="DXV6" s="7"/>
      <c r="DXW6" s="9"/>
      <c r="DXX6" s="8"/>
      <c r="DXY6" s="8"/>
      <c r="DXZ6" s="7"/>
      <c r="DYA6" s="9"/>
      <c r="DYB6" s="1"/>
      <c r="DYC6" s="1"/>
      <c r="DYD6" s="1"/>
      <c r="DYE6" s="1"/>
      <c r="DYF6" s="1"/>
      <c r="DYG6" s="1"/>
      <c r="DYH6" s="1"/>
      <c r="DYI6" s="1"/>
      <c r="DYK6" s="1"/>
      <c r="DYM6" s="6"/>
      <c r="DYN6" s="7"/>
      <c r="DYO6" s="8"/>
      <c r="DYP6" s="9"/>
      <c r="DYQ6" s="8"/>
      <c r="DYR6" s="7"/>
      <c r="DYS6" s="9"/>
      <c r="DYT6" s="8"/>
      <c r="DYU6" s="8"/>
      <c r="DYV6" s="7"/>
      <c r="DYW6" s="9"/>
      <c r="DYX6" s="1"/>
      <c r="DYY6" s="1"/>
      <c r="DYZ6" s="1"/>
      <c r="DZA6" s="1"/>
      <c r="DZB6" s="1"/>
      <c r="DZC6" s="1"/>
      <c r="DZD6" s="1"/>
      <c r="DZE6" s="1"/>
      <c r="DZG6" s="1"/>
      <c r="DZI6" s="6"/>
      <c r="DZJ6" s="7"/>
      <c r="DZK6" s="8"/>
      <c r="DZL6" s="9"/>
      <c r="DZM6" s="8"/>
      <c r="DZN6" s="7"/>
      <c r="DZO6" s="9"/>
      <c r="DZP6" s="8"/>
      <c r="DZQ6" s="8"/>
      <c r="DZR6" s="7"/>
      <c r="DZS6" s="9"/>
      <c r="DZT6" s="1"/>
      <c r="DZU6" s="1"/>
      <c r="DZV6" s="1"/>
      <c r="DZW6" s="1"/>
      <c r="DZX6" s="1"/>
      <c r="DZY6" s="1"/>
      <c r="DZZ6" s="1"/>
      <c r="EAA6" s="1"/>
      <c r="EAC6" s="1"/>
      <c r="EAE6" s="6"/>
      <c r="EAF6" s="7"/>
      <c r="EAG6" s="8"/>
      <c r="EAH6" s="9"/>
      <c r="EAI6" s="8"/>
      <c r="EAJ6" s="7"/>
      <c r="EAK6" s="9"/>
      <c r="EAL6" s="8"/>
      <c r="EAM6" s="8"/>
      <c r="EAN6" s="7"/>
      <c r="EAO6" s="9"/>
      <c r="EAP6" s="1"/>
      <c r="EAQ6" s="1"/>
      <c r="EAR6" s="1"/>
      <c r="EAS6" s="1"/>
      <c r="EAT6" s="1"/>
      <c r="EAU6" s="1"/>
      <c r="EAV6" s="1"/>
      <c r="EAW6" s="1"/>
      <c r="EAY6" s="1"/>
      <c r="EBA6" s="6"/>
      <c r="EBB6" s="7"/>
      <c r="EBC6" s="8"/>
      <c r="EBD6" s="9"/>
      <c r="EBE6" s="8"/>
      <c r="EBF6" s="7"/>
      <c r="EBG6" s="9"/>
      <c r="EBH6" s="8"/>
      <c r="EBI6" s="8"/>
      <c r="EBJ6" s="7"/>
      <c r="EBK6" s="9"/>
      <c r="EBL6" s="1"/>
      <c r="EBM6" s="1"/>
      <c r="EBN6" s="1"/>
      <c r="EBO6" s="1"/>
      <c r="EBP6" s="1"/>
      <c r="EBQ6" s="1"/>
      <c r="EBR6" s="1"/>
      <c r="EBS6" s="1"/>
      <c r="EBU6" s="1"/>
      <c r="EBW6" s="6"/>
      <c r="EBX6" s="7"/>
      <c r="EBY6" s="8"/>
      <c r="EBZ6" s="9"/>
      <c r="ECA6" s="8"/>
      <c r="ECB6" s="7"/>
      <c r="ECC6" s="9"/>
      <c r="ECD6" s="8"/>
      <c r="ECE6" s="8"/>
      <c r="ECF6" s="7"/>
      <c r="ECG6" s="9"/>
      <c r="ECH6" s="1"/>
      <c r="ECI6" s="1"/>
      <c r="ECJ6" s="1"/>
      <c r="ECK6" s="1"/>
      <c r="ECL6" s="1"/>
      <c r="ECM6" s="1"/>
      <c r="ECN6" s="1"/>
      <c r="ECO6" s="1"/>
      <c r="ECQ6" s="1"/>
      <c r="ECS6" s="6"/>
      <c r="ECT6" s="7"/>
      <c r="ECU6" s="8"/>
      <c r="ECV6" s="9"/>
      <c r="ECW6" s="8"/>
      <c r="ECX6" s="7"/>
      <c r="ECY6" s="9"/>
      <c r="ECZ6" s="8"/>
      <c r="EDA6" s="8"/>
      <c r="EDB6" s="7"/>
      <c r="EDC6" s="9"/>
      <c r="EDD6" s="1"/>
      <c r="EDE6" s="1"/>
      <c r="EDF6" s="1"/>
      <c r="EDG6" s="1"/>
      <c r="EDH6" s="1"/>
      <c r="EDI6" s="1"/>
      <c r="EDJ6" s="1"/>
      <c r="EDK6" s="1"/>
      <c r="EDM6" s="1"/>
      <c r="EDO6" s="6"/>
      <c r="EDP6" s="7"/>
      <c r="EDQ6" s="8"/>
      <c r="EDR6" s="9"/>
      <c r="EDS6" s="8"/>
      <c r="EDT6" s="7"/>
      <c r="EDU6" s="9"/>
      <c r="EDV6" s="8"/>
      <c r="EDW6" s="8"/>
      <c r="EDX6" s="7"/>
      <c r="EDY6" s="9"/>
      <c r="EDZ6" s="1"/>
      <c r="EEA6" s="1"/>
      <c r="EEB6" s="1"/>
      <c r="EEC6" s="1"/>
      <c r="EED6" s="1"/>
      <c r="EEE6" s="1"/>
      <c r="EEF6" s="1"/>
      <c r="EEG6" s="1"/>
      <c r="EEI6" s="1"/>
      <c r="EEK6" s="6"/>
      <c r="EEL6" s="7"/>
      <c r="EEM6" s="8"/>
      <c r="EEN6" s="9"/>
      <c r="EEO6" s="8"/>
      <c r="EEP6" s="7"/>
      <c r="EEQ6" s="9"/>
      <c r="EER6" s="8"/>
      <c r="EES6" s="8"/>
      <c r="EET6" s="7"/>
      <c r="EEU6" s="9"/>
      <c r="EEV6" s="1"/>
      <c r="EEW6" s="1"/>
      <c r="EEX6" s="1"/>
      <c r="EEY6" s="1"/>
      <c r="EEZ6" s="1"/>
      <c r="EFA6" s="1"/>
      <c r="EFB6" s="1"/>
      <c r="EFC6" s="1"/>
      <c r="EFE6" s="1"/>
      <c r="EFG6" s="6"/>
      <c r="EFH6" s="7"/>
      <c r="EFI6" s="8"/>
      <c r="EFJ6" s="9"/>
      <c r="EFK6" s="8"/>
      <c r="EFL6" s="7"/>
      <c r="EFM6" s="9"/>
      <c r="EFN6" s="8"/>
      <c r="EFO6" s="8"/>
      <c r="EFP6" s="7"/>
      <c r="EFQ6" s="9"/>
      <c r="EFR6" s="1"/>
      <c r="EFS6" s="1"/>
      <c r="EFT6" s="1"/>
      <c r="EFU6" s="1"/>
      <c r="EFV6" s="1"/>
      <c r="EFW6" s="1"/>
      <c r="EFX6" s="1"/>
      <c r="EFY6" s="1"/>
      <c r="EGA6" s="1"/>
      <c r="EGC6" s="6"/>
      <c r="EGD6" s="7"/>
      <c r="EGE6" s="8"/>
      <c r="EGF6" s="9"/>
      <c r="EGG6" s="8"/>
      <c r="EGH6" s="7"/>
      <c r="EGI6" s="9"/>
      <c r="EGJ6" s="8"/>
      <c r="EGK6" s="8"/>
      <c r="EGL6" s="7"/>
      <c r="EGM6" s="9"/>
      <c r="EGN6" s="1"/>
      <c r="EGO6" s="1"/>
      <c r="EGP6" s="1"/>
      <c r="EGQ6" s="1"/>
      <c r="EGR6" s="1"/>
      <c r="EGS6" s="1"/>
      <c r="EGT6" s="1"/>
      <c r="EGU6" s="1"/>
      <c r="EGW6" s="1"/>
      <c r="EGY6" s="6"/>
      <c r="EGZ6" s="7"/>
      <c r="EHA6" s="8"/>
      <c r="EHB6" s="9"/>
      <c r="EHC6" s="8"/>
      <c r="EHD6" s="7"/>
      <c r="EHE6" s="9"/>
      <c r="EHF6" s="8"/>
      <c r="EHG6" s="8"/>
      <c r="EHH6" s="7"/>
      <c r="EHI6" s="9"/>
      <c r="EHJ6" s="1"/>
      <c r="EHK6" s="1"/>
      <c r="EHL6" s="1"/>
      <c r="EHM6" s="1"/>
      <c r="EHN6" s="1"/>
      <c r="EHO6" s="1"/>
      <c r="EHP6" s="1"/>
      <c r="EHQ6" s="1"/>
      <c r="EHS6" s="1"/>
      <c r="EHU6" s="6"/>
      <c r="EHV6" s="7"/>
      <c r="EHW6" s="8"/>
      <c r="EHX6" s="9"/>
      <c r="EHY6" s="8"/>
      <c r="EHZ6" s="7"/>
      <c r="EIA6" s="9"/>
      <c r="EIB6" s="8"/>
      <c r="EIC6" s="8"/>
      <c r="EID6" s="7"/>
      <c r="EIE6" s="9"/>
      <c r="EIF6" s="1"/>
      <c r="EIG6" s="1"/>
      <c r="EIH6" s="1"/>
      <c r="EII6" s="1"/>
      <c r="EIJ6" s="1"/>
      <c r="EIK6" s="1"/>
      <c r="EIL6" s="1"/>
      <c r="EIM6" s="1"/>
      <c r="EIO6" s="1"/>
      <c r="EIQ6" s="6"/>
      <c r="EIR6" s="7"/>
      <c r="EIS6" s="8"/>
      <c r="EIT6" s="9"/>
      <c r="EIU6" s="8"/>
      <c r="EIV6" s="7"/>
      <c r="EIW6" s="9"/>
      <c r="EIX6" s="8"/>
      <c r="EIY6" s="8"/>
      <c r="EIZ6" s="7"/>
      <c r="EJA6" s="9"/>
      <c r="EJB6" s="1"/>
      <c r="EJC6" s="1"/>
      <c r="EJD6" s="1"/>
      <c r="EJE6" s="1"/>
      <c r="EJF6" s="1"/>
      <c r="EJG6" s="1"/>
      <c r="EJH6" s="1"/>
      <c r="EJI6" s="1"/>
      <c r="EJK6" s="1"/>
      <c r="EJM6" s="6"/>
      <c r="EJN6" s="7"/>
      <c r="EJO6" s="8"/>
      <c r="EJP6" s="9"/>
      <c r="EJQ6" s="8"/>
      <c r="EJR6" s="7"/>
      <c r="EJS6" s="9"/>
      <c r="EJT6" s="8"/>
      <c r="EJU6" s="8"/>
      <c r="EJV6" s="7"/>
      <c r="EJW6" s="9"/>
      <c r="EJX6" s="1"/>
      <c r="EJY6" s="1"/>
      <c r="EJZ6" s="1"/>
      <c r="EKA6" s="1"/>
      <c r="EKB6" s="1"/>
      <c r="EKC6" s="1"/>
      <c r="EKD6" s="1"/>
      <c r="EKE6" s="1"/>
      <c r="EKG6" s="1"/>
      <c r="EKI6" s="6"/>
      <c r="EKJ6" s="7"/>
      <c r="EKK6" s="8"/>
      <c r="EKL6" s="9"/>
      <c r="EKM6" s="8"/>
      <c r="EKN6" s="7"/>
      <c r="EKO6" s="9"/>
      <c r="EKP6" s="8"/>
      <c r="EKQ6" s="8"/>
      <c r="EKR6" s="7"/>
      <c r="EKS6" s="9"/>
      <c r="EKT6" s="1"/>
      <c r="EKU6" s="1"/>
      <c r="EKV6" s="1"/>
      <c r="EKW6" s="1"/>
      <c r="EKX6" s="1"/>
      <c r="EKY6" s="1"/>
      <c r="EKZ6" s="1"/>
      <c r="ELA6" s="1"/>
      <c r="ELC6" s="1"/>
      <c r="ELE6" s="6"/>
      <c r="ELF6" s="7"/>
      <c r="ELG6" s="8"/>
      <c r="ELH6" s="9"/>
      <c r="ELI6" s="8"/>
      <c r="ELJ6" s="7"/>
      <c r="ELK6" s="9"/>
      <c r="ELL6" s="8"/>
      <c r="ELM6" s="8"/>
      <c r="ELN6" s="7"/>
      <c r="ELO6" s="9"/>
      <c r="ELP6" s="1"/>
      <c r="ELQ6" s="1"/>
      <c r="ELR6" s="1"/>
      <c r="ELS6" s="1"/>
      <c r="ELT6" s="1"/>
      <c r="ELU6" s="1"/>
      <c r="ELV6" s="1"/>
      <c r="ELW6" s="1"/>
      <c r="ELY6" s="1"/>
      <c r="EMA6" s="6"/>
      <c r="EMB6" s="7"/>
      <c r="EMC6" s="8"/>
      <c r="EMD6" s="9"/>
      <c r="EME6" s="8"/>
      <c r="EMF6" s="7"/>
      <c r="EMG6" s="9"/>
      <c r="EMH6" s="8"/>
      <c r="EMI6" s="8"/>
      <c r="EMJ6" s="7"/>
      <c r="EMK6" s="9"/>
      <c r="EML6" s="1"/>
      <c r="EMM6" s="1"/>
      <c r="EMN6" s="1"/>
      <c r="EMO6" s="1"/>
      <c r="EMP6" s="1"/>
      <c r="EMQ6" s="1"/>
      <c r="EMR6" s="1"/>
      <c r="EMS6" s="1"/>
      <c r="EMU6" s="1"/>
      <c r="EMW6" s="6"/>
      <c r="EMX6" s="7"/>
      <c r="EMY6" s="8"/>
      <c r="EMZ6" s="9"/>
      <c r="ENA6" s="8"/>
      <c r="ENB6" s="7"/>
      <c r="ENC6" s="9"/>
      <c r="END6" s="8"/>
      <c r="ENE6" s="8"/>
      <c r="ENF6" s="7"/>
      <c r="ENG6" s="9"/>
      <c r="ENH6" s="1"/>
      <c r="ENI6" s="1"/>
      <c r="ENJ6" s="1"/>
      <c r="ENK6" s="1"/>
      <c r="ENL6" s="1"/>
      <c r="ENM6" s="1"/>
      <c r="ENN6" s="1"/>
      <c r="ENO6" s="1"/>
      <c r="ENQ6" s="1"/>
      <c r="ENS6" s="6"/>
      <c r="ENT6" s="7"/>
      <c r="ENU6" s="8"/>
      <c r="ENV6" s="9"/>
      <c r="ENW6" s="8"/>
      <c r="ENX6" s="7"/>
      <c r="ENY6" s="9"/>
      <c r="ENZ6" s="8"/>
      <c r="EOA6" s="8"/>
      <c r="EOB6" s="7"/>
      <c r="EOC6" s="9"/>
      <c r="EOD6" s="1"/>
      <c r="EOE6" s="1"/>
      <c r="EOF6" s="1"/>
      <c r="EOG6" s="1"/>
      <c r="EOH6" s="1"/>
      <c r="EOI6" s="1"/>
      <c r="EOJ6" s="1"/>
      <c r="EOK6" s="1"/>
      <c r="EOM6" s="1"/>
      <c r="EOO6" s="6"/>
      <c r="EOP6" s="7"/>
      <c r="EOQ6" s="8"/>
      <c r="EOR6" s="9"/>
      <c r="EOS6" s="8"/>
      <c r="EOT6" s="7"/>
      <c r="EOU6" s="9"/>
      <c r="EOV6" s="8"/>
      <c r="EOW6" s="8"/>
      <c r="EOX6" s="7"/>
      <c r="EOY6" s="9"/>
      <c r="EOZ6" s="1"/>
      <c r="EPA6" s="1"/>
      <c r="EPB6" s="1"/>
      <c r="EPC6" s="1"/>
      <c r="EPD6" s="1"/>
      <c r="EPE6" s="1"/>
      <c r="EPF6" s="1"/>
      <c r="EPG6" s="1"/>
      <c r="EPI6" s="1"/>
      <c r="EPK6" s="6"/>
      <c r="EPL6" s="7"/>
      <c r="EPM6" s="8"/>
      <c r="EPN6" s="9"/>
      <c r="EPO6" s="8"/>
      <c r="EPP6" s="7"/>
      <c r="EPQ6" s="9"/>
      <c r="EPR6" s="8"/>
      <c r="EPS6" s="8"/>
      <c r="EPT6" s="7"/>
      <c r="EPU6" s="9"/>
      <c r="EPV6" s="1"/>
      <c r="EPW6" s="1"/>
      <c r="EPX6" s="1"/>
      <c r="EPY6" s="1"/>
      <c r="EPZ6" s="1"/>
      <c r="EQA6" s="1"/>
      <c r="EQB6" s="1"/>
      <c r="EQC6" s="1"/>
      <c r="EQE6" s="1"/>
      <c r="EQG6" s="6"/>
      <c r="EQH6" s="7"/>
      <c r="EQI6" s="8"/>
      <c r="EQJ6" s="9"/>
      <c r="EQK6" s="8"/>
      <c r="EQL6" s="7"/>
      <c r="EQM6" s="9"/>
      <c r="EQN6" s="8"/>
      <c r="EQO6" s="8"/>
      <c r="EQP6" s="7"/>
      <c r="EQQ6" s="9"/>
      <c r="EQR6" s="1"/>
      <c r="EQS6" s="1"/>
      <c r="EQT6" s="1"/>
      <c r="EQU6" s="1"/>
      <c r="EQV6" s="1"/>
      <c r="EQW6" s="1"/>
      <c r="EQX6" s="1"/>
      <c r="EQY6" s="1"/>
      <c r="ERA6" s="1"/>
      <c r="ERC6" s="6"/>
      <c r="ERD6" s="7"/>
      <c r="ERE6" s="8"/>
      <c r="ERF6" s="9"/>
      <c r="ERG6" s="8"/>
      <c r="ERH6" s="7"/>
      <c r="ERI6" s="9"/>
      <c r="ERJ6" s="8"/>
      <c r="ERK6" s="8"/>
      <c r="ERL6" s="7"/>
      <c r="ERM6" s="9"/>
      <c r="ERN6" s="1"/>
      <c r="ERO6" s="1"/>
      <c r="ERP6" s="1"/>
      <c r="ERQ6" s="1"/>
      <c r="ERR6" s="1"/>
      <c r="ERS6" s="1"/>
      <c r="ERT6" s="1"/>
      <c r="ERU6" s="1"/>
      <c r="ERW6" s="1"/>
      <c r="ERY6" s="6"/>
      <c r="ERZ6" s="7"/>
      <c r="ESA6" s="8"/>
      <c r="ESB6" s="9"/>
      <c r="ESC6" s="8"/>
      <c r="ESD6" s="7"/>
      <c r="ESE6" s="9"/>
      <c r="ESF6" s="8"/>
      <c r="ESG6" s="8"/>
      <c r="ESH6" s="7"/>
      <c r="ESI6" s="9"/>
      <c r="ESJ6" s="1"/>
      <c r="ESK6" s="1"/>
      <c r="ESL6" s="1"/>
      <c r="ESM6" s="1"/>
      <c r="ESN6" s="1"/>
      <c r="ESO6" s="1"/>
      <c r="ESP6" s="1"/>
      <c r="ESQ6" s="1"/>
      <c r="ESS6" s="1"/>
      <c r="ESU6" s="6"/>
      <c r="ESV6" s="7"/>
      <c r="ESW6" s="8"/>
      <c r="ESX6" s="9"/>
      <c r="ESY6" s="8"/>
      <c r="ESZ6" s="7"/>
      <c r="ETA6" s="9"/>
      <c r="ETB6" s="8"/>
      <c r="ETC6" s="8"/>
      <c r="ETD6" s="7"/>
      <c r="ETE6" s="9"/>
      <c r="ETF6" s="1"/>
      <c r="ETG6" s="1"/>
      <c r="ETH6" s="1"/>
      <c r="ETI6" s="1"/>
      <c r="ETJ6" s="1"/>
      <c r="ETK6" s="1"/>
      <c r="ETL6" s="1"/>
      <c r="ETM6" s="1"/>
      <c r="ETO6" s="1"/>
      <c r="ETQ6" s="6"/>
      <c r="ETR6" s="7"/>
      <c r="ETS6" s="8"/>
      <c r="ETT6" s="9"/>
      <c r="ETU6" s="8"/>
      <c r="ETV6" s="7"/>
      <c r="ETW6" s="9"/>
      <c r="ETX6" s="8"/>
      <c r="ETY6" s="8"/>
      <c r="ETZ6" s="7"/>
      <c r="EUA6" s="9"/>
      <c r="EUB6" s="1"/>
      <c r="EUC6" s="1"/>
      <c r="EUD6" s="1"/>
      <c r="EUE6" s="1"/>
      <c r="EUF6" s="1"/>
      <c r="EUG6" s="1"/>
      <c r="EUH6" s="1"/>
      <c r="EUI6" s="1"/>
      <c r="EUK6" s="1"/>
      <c r="EUM6" s="6"/>
      <c r="EUN6" s="7"/>
      <c r="EUO6" s="8"/>
      <c r="EUP6" s="9"/>
      <c r="EUQ6" s="8"/>
      <c r="EUR6" s="7"/>
      <c r="EUS6" s="9"/>
      <c r="EUT6" s="8"/>
      <c r="EUU6" s="8"/>
      <c r="EUV6" s="7"/>
      <c r="EUW6" s="9"/>
      <c r="EUX6" s="1"/>
      <c r="EUY6" s="1"/>
      <c r="EUZ6" s="1"/>
      <c r="EVA6" s="1"/>
      <c r="EVB6" s="1"/>
      <c r="EVC6" s="1"/>
      <c r="EVD6" s="1"/>
      <c r="EVE6" s="1"/>
      <c r="EVG6" s="1"/>
      <c r="EVI6" s="6"/>
      <c r="EVJ6" s="7"/>
      <c r="EVK6" s="8"/>
      <c r="EVL6" s="9"/>
      <c r="EVM6" s="8"/>
      <c r="EVN6" s="7"/>
      <c r="EVO6" s="9"/>
      <c r="EVP6" s="8"/>
      <c r="EVQ6" s="8"/>
      <c r="EVR6" s="7"/>
      <c r="EVS6" s="9"/>
      <c r="EVT6" s="1"/>
      <c r="EVU6" s="1"/>
      <c r="EVV6" s="1"/>
      <c r="EVW6" s="1"/>
      <c r="EVX6" s="1"/>
      <c r="EVY6" s="1"/>
      <c r="EVZ6" s="1"/>
      <c r="EWA6" s="1"/>
      <c r="EWC6" s="1"/>
      <c r="EWE6" s="6"/>
      <c r="EWF6" s="7"/>
      <c r="EWG6" s="8"/>
      <c r="EWH6" s="9"/>
      <c r="EWI6" s="8"/>
      <c r="EWJ6" s="7"/>
      <c r="EWK6" s="9"/>
      <c r="EWL6" s="8"/>
      <c r="EWM6" s="8"/>
      <c r="EWN6" s="7"/>
      <c r="EWO6" s="9"/>
      <c r="EWP6" s="1"/>
      <c r="EWQ6" s="1"/>
      <c r="EWR6" s="1"/>
      <c r="EWS6" s="1"/>
      <c r="EWT6" s="1"/>
      <c r="EWU6" s="1"/>
      <c r="EWV6" s="1"/>
      <c r="EWW6" s="1"/>
      <c r="EWY6" s="1"/>
      <c r="EXA6" s="6"/>
      <c r="EXB6" s="7"/>
      <c r="EXC6" s="8"/>
      <c r="EXD6" s="9"/>
      <c r="EXE6" s="8"/>
      <c r="EXF6" s="7"/>
      <c r="EXG6" s="9"/>
      <c r="EXH6" s="8"/>
      <c r="EXI6" s="8"/>
      <c r="EXJ6" s="7"/>
      <c r="EXK6" s="9"/>
      <c r="EXL6" s="1"/>
      <c r="EXM6" s="1"/>
      <c r="EXN6" s="1"/>
      <c r="EXO6" s="1"/>
      <c r="EXP6" s="1"/>
      <c r="EXQ6" s="1"/>
      <c r="EXR6" s="1"/>
      <c r="EXS6" s="1"/>
      <c r="EXU6" s="1"/>
      <c r="EXW6" s="6"/>
      <c r="EXX6" s="7"/>
      <c r="EXY6" s="8"/>
      <c r="EXZ6" s="9"/>
      <c r="EYA6" s="8"/>
      <c r="EYB6" s="7"/>
      <c r="EYC6" s="9"/>
      <c r="EYD6" s="8"/>
      <c r="EYE6" s="8"/>
      <c r="EYF6" s="7"/>
      <c r="EYG6" s="9"/>
      <c r="EYH6" s="1"/>
      <c r="EYI6" s="1"/>
      <c r="EYJ6" s="1"/>
      <c r="EYK6" s="1"/>
      <c r="EYL6" s="1"/>
      <c r="EYM6" s="1"/>
      <c r="EYN6" s="1"/>
      <c r="EYO6" s="1"/>
      <c r="EYQ6" s="1"/>
      <c r="EYS6" s="6"/>
      <c r="EYT6" s="7"/>
      <c r="EYU6" s="8"/>
      <c r="EYV6" s="9"/>
      <c r="EYW6" s="8"/>
      <c r="EYX6" s="7"/>
      <c r="EYY6" s="9"/>
      <c r="EYZ6" s="8"/>
      <c r="EZA6" s="8"/>
      <c r="EZB6" s="7"/>
      <c r="EZC6" s="9"/>
      <c r="EZD6" s="1"/>
      <c r="EZE6" s="1"/>
      <c r="EZF6" s="1"/>
      <c r="EZG6" s="1"/>
      <c r="EZH6" s="1"/>
      <c r="EZI6" s="1"/>
      <c r="EZJ6" s="1"/>
      <c r="EZK6" s="1"/>
      <c r="EZM6" s="1"/>
      <c r="EZO6" s="6"/>
      <c r="EZP6" s="7"/>
      <c r="EZQ6" s="8"/>
      <c r="EZR6" s="9"/>
      <c r="EZS6" s="8"/>
      <c r="EZT6" s="7"/>
      <c r="EZU6" s="9"/>
      <c r="EZV6" s="8"/>
      <c r="EZW6" s="8"/>
      <c r="EZX6" s="7"/>
      <c r="EZY6" s="9"/>
      <c r="EZZ6" s="1"/>
      <c r="FAA6" s="1"/>
      <c r="FAB6" s="1"/>
      <c r="FAC6" s="1"/>
      <c r="FAD6" s="1"/>
      <c r="FAE6" s="1"/>
      <c r="FAF6" s="1"/>
      <c r="FAG6" s="1"/>
      <c r="FAI6" s="1"/>
      <c r="FAK6" s="6"/>
      <c r="FAL6" s="7"/>
      <c r="FAM6" s="8"/>
      <c r="FAN6" s="9"/>
      <c r="FAO6" s="8"/>
      <c r="FAP6" s="7"/>
      <c r="FAQ6" s="9"/>
      <c r="FAR6" s="8"/>
      <c r="FAS6" s="8"/>
      <c r="FAT6" s="7"/>
      <c r="FAU6" s="9"/>
      <c r="FAV6" s="1"/>
      <c r="FAW6" s="1"/>
      <c r="FAX6" s="1"/>
      <c r="FAY6" s="1"/>
      <c r="FAZ6" s="1"/>
      <c r="FBA6" s="1"/>
      <c r="FBB6" s="1"/>
      <c r="FBC6" s="1"/>
      <c r="FBE6" s="1"/>
      <c r="FBG6" s="6"/>
      <c r="FBH6" s="7"/>
      <c r="FBI6" s="8"/>
      <c r="FBJ6" s="9"/>
      <c r="FBK6" s="8"/>
      <c r="FBL6" s="7"/>
      <c r="FBM6" s="9"/>
      <c r="FBN6" s="8"/>
      <c r="FBO6" s="8"/>
      <c r="FBP6" s="7"/>
      <c r="FBQ6" s="9"/>
      <c r="FBR6" s="1"/>
      <c r="FBS6" s="1"/>
      <c r="FBT6" s="1"/>
      <c r="FBU6" s="1"/>
      <c r="FBV6" s="1"/>
      <c r="FBW6" s="1"/>
      <c r="FBX6" s="1"/>
      <c r="FBY6" s="1"/>
      <c r="FCA6" s="1"/>
      <c r="FCC6" s="6"/>
      <c r="FCD6" s="7"/>
      <c r="FCE6" s="8"/>
      <c r="FCF6" s="9"/>
      <c r="FCG6" s="8"/>
      <c r="FCH6" s="7"/>
      <c r="FCI6" s="9"/>
      <c r="FCJ6" s="8"/>
      <c r="FCK6" s="8"/>
      <c r="FCL6" s="7"/>
      <c r="FCM6" s="9"/>
      <c r="FCN6" s="1"/>
      <c r="FCO6" s="1"/>
      <c r="FCP6" s="1"/>
      <c r="FCQ6" s="1"/>
      <c r="FCR6" s="1"/>
      <c r="FCS6" s="1"/>
      <c r="FCT6" s="1"/>
      <c r="FCU6" s="1"/>
      <c r="FCW6" s="1"/>
      <c r="FCY6" s="6"/>
      <c r="FCZ6" s="7"/>
      <c r="FDA6" s="8"/>
      <c r="FDB6" s="9"/>
      <c r="FDC6" s="8"/>
      <c r="FDD6" s="7"/>
      <c r="FDE6" s="9"/>
      <c r="FDF6" s="8"/>
      <c r="FDG6" s="8"/>
      <c r="FDH6" s="7"/>
      <c r="FDI6" s="9"/>
      <c r="FDJ6" s="1"/>
      <c r="FDK6" s="1"/>
      <c r="FDL6" s="1"/>
      <c r="FDM6" s="1"/>
      <c r="FDN6" s="1"/>
      <c r="FDO6" s="1"/>
      <c r="FDP6" s="1"/>
      <c r="FDQ6" s="1"/>
      <c r="FDS6" s="1"/>
      <c r="FDU6" s="6"/>
      <c r="FDV6" s="7"/>
      <c r="FDW6" s="8"/>
      <c r="FDX6" s="9"/>
      <c r="FDY6" s="8"/>
      <c r="FDZ6" s="7"/>
      <c r="FEA6" s="9"/>
      <c r="FEB6" s="8"/>
      <c r="FEC6" s="8"/>
      <c r="FED6" s="7"/>
      <c r="FEE6" s="9"/>
      <c r="FEF6" s="1"/>
      <c r="FEG6" s="1"/>
      <c r="FEH6" s="1"/>
      <c r="FEI6" s="1"/>
      <c r="FEJ6" s="1"/>
      <c r="FEK6" s="1"/>
      <c r="FEL6" s="1"/>
      <c r="FEM6" s="1"/>
      <c r="FEO6" s="1"/>
      <c r="FEQ6" s="6"/>
      <c r="FER6" s="7"/>
      <c r="FES6" s="8"/>
      <c r="FET6" s="9"/>
      <c r="FEU6" s="8"/>
      <c r="FEV6" s="7"/>
      <c r="FEW6" s="9"/>
      <c r="FEX6" s="8"/>
      <c r="FEY6" s="8"/>
      <c r="FEZ6" s="7"/>
      <c r="FFA6" s="9"/>
      <c r="FFB6" s="1"/>
      <c r="FFC6" s="1"/>
      <c r="FFD6" s="1"/>
      <c r="FFE6" s="1"/>
      <c r="FFF6" s="1"/>
      <c r="FFG6" s="1"/>
      <c r="FFH6" s="1"/>
      <c r="FFI6" s="1"/>
      <c r="FFK6" s="1"/>
      <c r="FFM6" s="6"/>
      <c r="FFN6" s="7"/>
      <c r="FFO6" s="8"/>
      <c r="FFP6" s="9"/>
      <c r="FFQ6" s="8"/>
      <c r="FFR6" s="7"/>
      <c r="FFS6" s="9"/>
      <c r="FFT6" s="8"/>
      <c r="FFU6" s="8"/>
      <c r="FFV6" s="7"/>
      <c r="FFW6" s="9"/>
      <c r="FFX6" s="1"/>
      <c r="FFY6" s="1"/>
      <c r="FFZ6" s="1"/>
      <c r="FGA6" s="1"/>
      <c r="FGB6" s="1"/>
      <c r="FGC6" s="1"/>
      <c r="FGD6" s="1"/>
      <c r="FGE6" s="1"/>
      <c r="FGG6" s="1"/>
      <c r="FGI6" s="6"/>
      <c r="FGJ6" s="7"/>
      <c r="FGK6" s="8"/>
      <c r="FGL6" s="9"/>
      <c r="FGM6" s="8"/>
      <c r="FGN6" s="7"/>
      <c r="FGO6" s="9"/>
      <c r="FGP6" s="8"/>
      <c r="FGQ6" s="8"/>
      <c r="FGR6" s="7"/>
      <c r="FGS6" s="9"/>
      <c r="FGT6" s="1"/>
      <c r="FGU6" s="1"/>
      <c r="FGV6" s="1"/>
      <c r="FGW6" s="1"/>
      <c r="FGX6" s="1"/>
      <c r="FGY6" s="1"/>
      <c r="FGZ6" s="1"/>
      <c r="FHA6" s="1"/>
      <c r="FHC6" s="1"/>
      <c r="FHE6" s="6"/>
      <c r="FHF6" s="7"/>
      <c r="FHG6" s="8"/>
      <c r="FHH6" s="9"/>
      <c r="FHI6" s="8"/>
      <c r="FHJ6" s="7"/>
      <c r="FHK6" s="9"/>
      <c r="FHL6" s="8"/>
      <c r="FHM6" s="8"/>
      <c r="FHN6" s="7"/>
      <c r="FHO6" s="9"/>
      <c r="FHP6" s="1"/>
      <c r="FHQ6" s="1"/>
      <c r="FHR6" s="1"/>
      <c r="FHS6" s="1"/>
      <c r="FHT6" s="1"/>
      <c r="FHU6" s="1"/>
      <c r="FHV6" s="1"/>
      <c r="FHW6" s="1"/>
      <c r="FHY6" s="1"/>
      <c r="FIA6" s="6"/>
      <c r="FIB6" s="7"/>
      <c r="FIC6" s="8"/>
      <c r="FID6" s="9"/>
      <c r="FIE6" s="8"/>
      <c r="FIF6" s="7"/>
      <c r="FIG6" s="9"/>
      <c r="FIH6" s="8"/>
      <c r="FII6" s="8"/>
      <c r="FIJ6" s="7"/>
      <c r="FIK6" s="9"/>
      <c r="FIL6" s="1"/>
      <c r="FIM6" s="1"/>
      <c r="FIN6" s="1"/>
      <c r="FIO6" s="1"/>
      <c r="FIP6" s="1"/>
      <c r="FIQ6" s="1"/>
      <c r="FIR6" s="1"/>
      <c r="FIS6" s="1"/>
      <c r="FIU6" s="1"/>
      <c r="FIW6" s="6"/>
      <c r="FIX6" s="7"/>
      <c r="FIY6" s="8"/>
      <c r="FIZ6" s="9"/>
      <c r="FJA6" s="8"/>
      <c r="FJB6" s="7"/>
      <c r="FJC6" s="9"/>
      <c r="FJD6" s="8"/>
      <c r="FJE6" s="8"/>
      <c r="FJF6" s="7"/>
      <c r="FJG6" s="9"/>
      <c r="FJH6" s="1"/>
      <c r="FJI6" s="1"/>
      <c r="FJJ6" s="1"/>
      <c r="FJK6" s="1"/>
      <c r="FJL6" s="1"/>
      <c r="FJM6" s="1"/>
      <c r="FJN6" s="1"/>
      <c r="FJO6" s="1"/>
      <c r="FJQ6" s="1"/>
      <c r="FJS6" s="6"/>
      <c r="FJT6" s="7"/>
      <c r="FJU6" s="8"/>
      <c r="FJV6" s="9"/>
      <c r="FJW6" s="8"/>
      <c r="FJX6" s="7"/>
      <c r="FJY6" s="9"/>
      <c r="FJZ6" s="8"/>
      <c r="FKA6" s="8"/>
      <c r="FKB6" s="7"/>
      <c r="FKC6" s="9"/>
      <c r="FKD6" s="1"/>
      <c r="FKE6" s="1"/>
      <c r="FKF6" s="1"/>
      <c r="FKG6" s="1"/>
      <c r="FKH6" s="1"/>
      <c r="FKI6" s="1"/>
      <c r="FKJ6" s="1"/>
      <c r="FKK6" s="1"/>
      <c r="FKM6" s="1"/>
      <c r="FKO6" s="6"/>
      <c r="FKP6" s="7"/>
      <c r="FKQ6" s="8"/>
      <c r="FKR6" s="9"/>
      <c r="FKS6" s="8"/>
      <c r="FKT6" s="7"/>
      <c r="FKU6" s="9"/>
      <c r="FKV6" s="8"/>
      <c r="FKW6" s="8"/>
      <c r="FKX6" s="7"/>
      <c r="FKY6" s="9"/>
      <c r="FKZ6" s="1"/>
      <c r="FLA6" s="1"/>
      <c r="FLB6" s="1"/>
      <c r="FLC6" s="1"/>
      <c r="FLD6" s="1"/>
      <c r="FLE6" s="1"/>
      <c r="FLF6" s="1"/>
      <c r="FLG6" s="1"/>
      <c r="FLI6" s="1"/>
      <c r="FLK6" s="6"/>
      <c r="FLL6" s="7"/>
      <c r="FLM6" s="8"/>
      <c r="FLN6" s="9"/>
      <c r="FLO6" s="8"/>
      <c r="FLP6" s="7"/>
      <c r="FLQ6" s="9"/>
      <c r="FLR6" s="8"/>
      <c r="FLS6" s="8"/>
      <c r="FLT6" s="7"/>
      <c r="FLU6" s="9"/>
      <c r="FLV6" s="1"/>
      <c r="FLW6" s="1"/>
      <c r="FLX6" s="1"/>
      <c r="FLY6" s="1"/>
      <c r="FLZ6" s="1"/>
      <c r="FMA6" s="1"/>
      <c r="FMB6" s="1"/>
      <c r="FMC6" s="1"/>
      <c r="FME6" s="1"/>
      <c r="FMG6" s="6"/>
      <c r="FMH6" s="7"/>
      <c r="FMI6" s="8"/>
      <c r="FMJ6" s="9"/>
      <c r="FMK6" s="8"/>
      <c r="FML6" s="7"/>
      <c r="FMM6" s="9"/>
      <c r="FMN6" s="8"/>
      <c r="FMO6" s="8"/>
      <c r="FMP6" s="7"/>
      <c r="FMQ6" s="9"/>
      <c r="FMR6" s="1"/>
      <c r="FMS6" s="1"/>
      <c r="FMT6" s="1"/>
      <c r="FMU6" s="1"/>
      <c r="FMV6" s="1"/>
      <c r="FMW6" s="1"/>
      <c r="FMX6" s="1"/>
      <c r="FMY6" s="1"/>
      <c r="FNA6" s="1"/>
      <c r="FNC6" s="6"/>
      <c r="FND6" s="7"/>
      <c r="FNE6" s="8"/>
      <c r="FNF6" s="9"/>
      <c r="FNG6" s="8"/>
      <c r="FNH6" s="7"/>
      <c r="FNI6" s="9"/>
      <c r="FNJ6" s="8"/>
      <c r="FNK6" s="8"/>
      <c r="FNL6" s="7"/>
      <c r="FNM6" s="9"/>
      <c r="FNN6" s="1"/>
      <c r="FNO6" s="1"/>
      <c r="FNP6" s="1"/>
      <c r="FNQ6" s="1"/>
      <c r="FNR6" s="1"/>
      <c r="FNS6" s="1"/>
      <c r="FNT6" s="1"/>
      <c r="FNU6" s="1"/>
      <c r="FNW6" s="1"/>
      <c r="FNY6" s="6"/>
      <c r="FNZ6" s="7"/>
      <c r="FOA6" s="8"/>
      <c r="FOB6" s="9"/>
      <c r="FOC6" s="8"/>
      <c r="FOD6" s="7"/>
      <c r="FOE6" s="9"/>
      <c r="FOF6" s="8"/>
      <c r="FOG6" s="8"/>
      <c r="FOH6" s="7"/>
      <c r="FOI6" s="9"/>
      <c r="FOJ6" s="1"/>
      <c r="FOK6" s="1"/>
      <c r="FOL6" s="1"/>
      <c r="FOM6" s="1"/>
      <c r="FON6" s="1"/>
      <c r="FOO6" s="1"/>
      <c r="FOP6" s="1"/>
      <c r="FOQ6" s="1"/>
      <c r="FOS6" s="1"/>
      <c r="FOU6" s="6"/>
      <c r="FOV6" s="7"/>
      <c r="FOW6" s="8"/>
      <c r="FOX6" s="9"/>
      <c r="FOY6" s="8"/>
      <c r="FOZ6" s="7"/>
      <c r="FPA6" s="9"/>
      <c r="FPB6" s="8"/>
      <c r="FPC6" s="8"/>
      <c r="FPD6" s="7"/>
      <c r="FPE6" s="9"/>
      <c r="FPF6" s="1"/>
      <c r="FPG6" s="1"/>
      <c r="FPH6" s="1"/>
      <c r="FPI6" s="1"/>
      <c r="FPJ6" s="1"/>
      <c r="FPK6" s="1"/>
      <c r="FPL6" s="1"/>
      <c r="FPM6" s="1"/>
      <c r="FPO6" s="1"/>
      <c r="FPQ6" s="6"/>
      <c r="FPR6" s="7"/>
      <c r="FPS6" s="8"/>
      <c r="FPT6" s="9"/>
      <c r="FPU6" s="8"/>
      <c r="FPV6" s="7"/>
      <c r="FPW6" s="9"/>
      <c r="FPX6" s="8"/>
      <c r="FPY6" s="8"/>
      <c r="FPZ6" s="7"/>
      <c r="FQA6" s="9"/>
      <c r="FQB6" s="1"/>
      <c r="FQC6" s="1"/>
      <c r="FQD6" s="1"/>
      <c r="FQE6" s="1"/>
      <c r="FQF6" s="1"/>
      <c r="FQG6" s="1"/>
      <c r="FQH6" s="1"/>
      <c r="FQI6" s="1"/>
      <c r="FQK6" s="1"/>
      <c r="FQM6" s="6"/>
      <c r="FQN6" s="7"/>
      <c r="FQO6" s="8"/>
      <c r="FQP6" s="9"/>
      <c r="FQQ6" s="8"/>
      <c r="FQR6" s="7"/>
      <c r="FQS6" s="9"/>
      <c r="FQT6" s="8"/>
      <c r="FQU6" s="8"/>
      <c r="FQV6" s="7"/>
      <c r="FQW6" s="9"/>
      <c r="FQX6" s="1"/>
      <c r="FQY6" s="1"/>
      <c r="FQZ6" s="1"/>
      <c r="FRA6" s="1"/>
      <c r="FRB6" s="1"/>
      <c r="FRC6" s="1"/>
      <c r="FRD6" s="1"/>
      <c r="FRE6" s="1"/>
      <c r="FRG6" s="1"/>
      <c r="FRI6" s="6"/>
      <c r="FRJ6" s="7"/>
      <c r="FRK6" s="8"/>
      <c r="FRL6" s="9"/>
      <c r="FRM6" s="8"/>
      <c r="FRN6" s="7"/>
      <c r="FRO6" s="9"/>
      <c r="FRP6" s="8"/>
      <c r="FRQ6" s="8"/>
      <c r="FRR6" s="7"/>
      <c r="FRS6" s="9"/>
      <c r="FRT6" s="1"/>
      <c r="FRU6" s="1"/>
      <c r="FRV6" s="1"/>
      <c r="FRW6" s="1"/>
      <c r="FRX6" s="1"/>
      <c r="FRY6" s="1"/>
      <c r="FRZ6" s="1"/>
      <c r="FSA6" s="1"/>
      <c r="FSC6" s="1"/>
      <c r="FSE6" s="6"/>
      <c r="FSF6" s="7"/>
      <c r="FSG6" s="8"/>
      <c r="FSH6" s="9"/>
      <c r="FSI6" s="8"/>
      <c r="FSJ6" s="7"/>
      <c r="FSK6" s="9"/>
      <c r="FSL6" s="8"/>
      <c r="FSM6" s="8"/>
      <c r="FSN6" s="7"/>
      <c r="FSO6" s="9"/>
      <c r="FSP6" s="1"/>
      <c r="FSQ6" s="1"/>
      <c r="FSR6" s="1"/>
      <c r="FSS6" s="1"/>
      <c r="FST6" s="1"/>
      <c r="FSU6" s="1"/>
      <c r="FSV6" s="1"/>
      <c r="FSW6" s="1"/>
      <c r="FSY6" s="1"/>
      <c r="FTA6" s="6"/>
      <c r="FTB6" s="7"/>
      <c r="FTC6" s="8"/>
      <c r="FTD6" s="9"/>
      <c r="FTE6" s="8"/>
      <c r="FTF6" s="7"/>
      <c r="FTG6" s="9"/>
      <c r="FTH6" s="8"/>
      <c r="FTI6" s="8"/>
      <c r="FTJ6" s="7"/>
      <c r="FTK6" s="9"/>
      <c r="FTL6" s="1"/>
      <c r="FTM6" s="1"/>
      <c r="FTN6" s="1"/>
      <c r="FTO6" s="1"/>
      <c r="FTP6" s="1"/>
      <c r="FTQ6" s="1"/>
      <c r="FTR6" s="1"/>
      <c r="FTS6" s="1"/>
      <c r="FTU6" s="1"/>
      <c r="FTW6" s="6"/>
      <c r="FTX6" s="7"/>
      <c r="FTY6" s="8"/>
      <c r="FTZ6" s="9"/>
      <c r="FUA6" s="8"/>
      <c r="FUB6" s="7"/>
      <c r="FUC6" s="9"/>
      <c r="FUD6" s="8"/>
      <c r="FUE6" s="8"/>
      <c r="FUF6" s="7"/>
      <c r="FUG6" s="9"/>
      <c r="FUH6" s="1"/>
      <c r="FUI6" s="1"/>
      <c r="FUJ6" s="1"/>
      <c r="FUK6" s="1"/>
      <c r="FUL6" s="1"/>
      <c r="FUM6" s="1"/>
      <c r="FUN6" s="1"/>
      <c r="FUO6" s="1"/>
      <c r="FUQ6" s="1"/>
      <c r="FUS6" s="6"/>
      <c r="FUT6" s="7"/>
      <c r="FUU6" s="8"/>
      <c r="FUV6" s="9"/>
      <c r="FUW6" s="8"/>
      <c r="FUX6" s="7"/>
      <c r="FUY6" s="9"/>
      <c r="FUZ6" s="8"/>
      <c r="FVA6" s="8"/>
      <c r="FVB6" s="7"/>
      <c r="FVC6" s="9"/>
      <c r="FVD6" s="1"/>
      <c r="FVE6" s="1"/>
      <c r="FVF6" s="1"/>
      <c r="FVG6" s="1"/>
      <c r="FVH6" s="1"/>
      <c r="FVI6" s="1"/>
      <c r="FVJ6" s="1"/>
      <c r="FVK6" s="1"/>
      <c r="FVM6" s="1"/>
      <c r="FVO6" s="6"/>
      <c r="FVP6" s="7"/>
      <c r="FVQ6" s="8"/>
      <c r="FVR6" s="9"/>
      <c r="FVS6" s="8"/>
      <c r="FVT6" s="7"/>
      <c r="FVU6" s="9"/>
      <c r="FVV6" s="8"/>
      <c r="FVW6" s="8"/>
      <c r="FVX6" s="7"/>
      <c r="FVY6" s="9"/>
      <c r="FVZ6" s="1"/>
      <c r="FWA6" s="1"/>
      <c r="FWB6" s="1"/>
      <c r="FWC6" s="1"/>
      <c r="FWD6" s="1"/>
      <c r="FWE6" s="1"/>
      <c r="FWF6" s="1"/>
      <c r="FWG6" s="1"/>
      <c r="FWI6" s="1"/>
      <c r="FWK6" s="6"/>
      <c r="FWL6" s="7"/>
      <c r="FWM6" s="8"/>
      <c r="FWN6" s="9"/>
      <c r="FWO6" s="8"/>
      <c r="FWP6" s="7"/>
      <c r="FWQ6" s="9"/>
      <c r="FWR6" s="8"/>
      <c r="FWS6" s="8"/>
      <c r="FWT6" s="7"/>
      <c r="FWU6" s="9"/>
      <c r="FWV6" s="1"/>
      <c r="FWW6" s="1"/>
      <c r="FWX6" s="1"/>
      <c r="FWY6" s="1"/>
      <c r="FWZ6" s="1"/>
      <c r="FXA6" s="1"/>
      <c r="FXB6" s="1"/>
      <c r="FXC6" s="1"/>
      <c r="FXE6" s="1"/>
      <c r="FXG6" s="6"/>
      <c r="FXH6" s="7"/>
      <c r="FXI6" s="8"/>
      <c r="FXJ6" s="9"/>
      <c r="FXK6" s="8"/>
      <c r="FXL6" s="7"/>
      <c r="FXM6" s="9"/>
      <c r="FXN6" s="8"/>
      <c r="FXO6" s="8"/>
      <c r="FXP6" s="7"/>
      <c r="FXQ6" s="9"/>
      <c r="FXR6" s="1"/>
      <c r="FXS6" s="1"/>
      <c r="FXT6" s="1"/>
      <c r="FXU6" s="1"/>
      <c r="FXV6" s="1"/>
      <c r="FXW6" s="1"/>
      <c r="FXX6" s="1"/>
      <c r="FXY6" s="1"/>
      <c r="FYA6" s="1"/>
      <c r="FYC6" s="6"/>
      <c r="FYD6" s="7"/>
      <c r="FYE6" s="8"/>
      <c r="FYF6" s="9"/>
      <c r="FYG6" s="8"/>
      <c r="FYH6" s="7"/>
      <c r="FYI6" s="9"/>
      <c r="FYJ6" s="8"/>
      <c r="FYK6" s="8"/>
      <c r="FYL6" s="7"/>
      <c r="FYM6" s="9"/>
      <c r="FYN6" s="1"/>
      <c r="FYO6" s="1"/>
      <c r="FYP6" s="1"/>
      <c r="FYQ6" s="1"/>
      <c r="FYR6" s="1"/>
      <c r="FYS6" s="1"/>
      <c r="FYT6" s="1"/>
      <c r="FYU6" s="1"/>
      <c r="FYW6" s="1"/>
      <c r="FYY6" s="6"/>
      <c r="FYZ6" s="7"/>
      <c r="FZA6" s="8"/>
      <c r="FZB6" s="9"/>
      <c r="FZC6" s="8"/>
      <c r="FZD6" s="7"/>
      <c r="FZE6" s="9"/>
      <c r="FZF6" s="8"/>
      <c r="FZG6" s="8"/>
      <c r="FZH6" s="7"/>
      <c r="FZI6" s="9"/>
      <c r="FZJ6" s="1"/>
      <c r="FZK6" s="1"/>
      <c r="FZL6" s="1"/>
      <c r="FZM6" s="1"/>
      <c r="FZN6" s="1"/>
      <c r="FZO6" s="1"/>
      <c r="FZP6" s="1"/>
      <c r="FZQ6" s="1"/>
      <c r="FZS6" s="1"/>
      <c r="FZU6" s="6"/>
      <c r="FZV6" s="7"/>
      <c r="FZW6" s="8"/>
      <c r="FZX6" s="9"/>
      <c r="FZY6" s="8"/>
      <c r="FZZ6" s="7"/>
      <c r="GAA6" s="9"/>
      <c r="GAB6" s="8"/>
      <c r="GAC6" s="8"/>
      <c r="GAD6" s="7"/>
      <c r="GAE6" s="9"/>
      <c r="GAF6" s="1"/>
      <c r="GAG6" s="1"/>
      <c r="GAH6" s="1"/>
      <c r="GAI6" s="1"/>
      <c r="GAJ6" s="1"/>
      <c r="GAK6" s="1"/>
      <c r="GAL6" s="1"/>
      <c r="GAM6" s="1"/>
      <c r="GAO6" s="1"/>
      <c r="GAQ6" s="6"/>
      <c r="GAR6" s="7"/>
      <c r="GAS6" s="8"/>
      <c r="GAT6" s="9"/>
      <c r="GAU6" s="8"/>
      <c r="GAV6" s="7"/>
      <c r="GAW6" s="9"/>
      <c r="GAX6" s="8"/>
      <c r="GAY6" s="8"/>
      <c r="GAZ6" s="7"/>
      <c r="GBA6" s="9"/>
      <c r="GBB6" s="1"/>
      <c r="GBC6" s="1"/>
      <c r="GBD6" s="1"/>
      <c r="GBE6" s="1"/>
      <c r="GBF6" s="1"/>
      <c r="GBG6" s="1"/>
      <c r="GBH6" s="1"/>
      <c r="GBI6" s="1"/>
      <c r="GBK6" s="1"/>
      <c r="GBM6" s="6"/>
      <c r="GBN6" s="7"/>
      <c r="GBO6" s="8"/>
      <c r="GBP6" s="9"/>
      <c r="GBQ6" s="8"/>
      <c r="GBR6" s="7"/>
      <c r="GBS6" s="9"/>
      <c r="GBT6" s="8"/>
      <c r="GBU6" s="8"/>
      <c r="GBV6" s="7"/>
      <c r="GBW6" s="9"/>
      <c r="GBX6" s="1"/>
      <c r="GBY6" s="1"/>
      <c r="GBZ6" s="1"/>
      <c r="GCA6" s="1"/>
      <c r="GCB6" s="1"/>
      <c r="GCC6" s="1"/>
      <c r="GCD6" s="1"/>
      <c r="GCE6" s="1"/>
      <c r="GCG6" s="1"/>
      <c r="GCI6" s="6"/>
      <c r="GCJ6" s="7"/>
      <c r="GCK6" s="8"/>
      <c r="GCL6" s="9"/>
      <c r="GCM6" s="8"/>
      <c r="GCN6" s="7"/>
      <c r="GCO6" s="9"/>
      <c r="GCP6" s="8"/>
      <c r="GCQ6" s="8"/>
      <c r="GCR6" s="7"/>
      <c r="GCS6" s="9"/>
      <c r="GCT6" s="1"/>
      <c r="GCU6" s="1"/>
      <c r="GCV6" s="1"/>
      <c r="GCW6" s="1"/>
      <c r="GCX6" s="1"/>
      <c r="GCY6" s="1"/>
      <c r="GCZ6" s="1"/>
      <c r="GDA6" s="1"/>
      <c r="GDC6" s="1"/>
      <c r="GDE6" s="6"/>
      <c r="GDF6" s="7"/>
      <c r="GDG6" s="8"/>
      <c r="GDH6" s="9"/>
      <c r="GDI6" s="8"/>
      <c r="GDJ6" s="7"/>
      <c r="GDK6" s="9"/>
      <c r="GDL6" s="8"/>
      <c r="GDM6" s="8"/>
      <c r="GDN6" s="7"/>
      <c r="GDO6" s="9"/>
      <c r="GDP6" s="1"/>
      <c r="GDQ6" s="1"/>
      <c r="GDR6" s="1"/>
      <c r="GDS6" s="1"/>
      <c r="GDT6" s="1"/>
      <c r="GDU6" s="1"/>
      <c r="GDV6" s="1"/>
      <c r="GDW6" s="1"/>
      <c r="GDY6" s="1"/>
      <c r="GEA6" s="6"/>
      <c r="GEB6" s="7"/>
      <c r="GEC6" s="8"/>
      <c r="GED6" s="9"/>
      <c r="GEE6" s="8"/>
      <c r="GEF6" s="7"/>
      <c r="GEG6" s="9"/>
      <c r="GEH6" s="8"/>
      <c r="GEI6" s="8"/>
      <c r="GEJ6" s="7"/>
      <c r="GEK6" s="9"/>
      <c r="GEL6" s="1"/>
      <c r="GEM6" s="1"/>
      <c r="GEN6" s="1"/>
      <c r="GEO6" s="1"/>
      <c r="GEP6" s="1"/>
      <c r="GEQ6" s="1"/>
      <c r="GER6" s="1"/>
      <c r="GES6" s="1"/>
      <c r="GEU6" s="1"/>
      <c r="GEW6" s="6"/>
      <c r="GEX6" s="7"/>
      <c r="GEY6" s="8"/>
      <c r="GEZ6" s="9"/>
      <c r="GFA6" s="8"/>
      <c r="GFB6" s="7"/>
      <c r="GFC6" s="9"/>
      <c r="GFD6" s="8"/>
      <c r="GFE6" s="8"/>
      <c r="GFF6" s="7"/>
      <c r="GFG6" s="9"/>
      <c r="GFH6" s="1"/>
      <c r="GFI6" s="1"/>
      <c r="GFJ6" s="1"/>
      <c r="GFK6" s="1"/>
      <c r="GFL6" s="1"/>
      <c r="GFM6" s="1"/>
      <c r="GFN6" s="1"/>
      <c r="GFO6" s="1"/>
      <c r="GFQ6" s="1"/>
      <c r="GFS6" s="6"/>
      <c r="GFT6" s="7"/>
      <c r="GFU6" s="8"/>
      <c r="GFV6" s="9"/>
      <c r="GFW6" s="8"/>
      <c r="GFX6" s="7"/>
      <c r="GFY6" s="9"/>
      <c r="GFZ6" s="8"/>
      <c r="GGA6" s="8"/>
      <c r="GGB6" s="7"/>
      <c r="GGC6" s="9"/>
      <c r="GGD6" s="1"/>
      <c r="GGE6" s="1"/>
      <c r="GGF6" s="1"/>
      <c r="GGG6" s="1"/>
      <c r="GGH6" s="1"/>
      <c r="GGI6" s="1"/>
      <c r="GGJ6" s="1"/>
      <c r="GGK6" s="1"/>
      <c r="GGM6" s="1"/>
      <c r="GGO6" s="6"/>
      <c r="GGP6" s="7"/>
      <c r="GGQ6" s="8"/>
      <c r="GGR6" s="9"/>
      <c r="GGS6" s="8"/>
      <c r="GGT6" s="7"/>
      <c r="GGU6" s="9"/>
      <c r="GGV6" s="8"/>
      <c r="GGW6" s="8"/>
      <c r="GGX6" s="7"/>
      <c r="GGY6" s="9"/>
      <c r="GGZ6" s="1"/>
      <c r="GHA6" s="1"/>
      <c r="GHB6" s="1"/>
      <c r="GHC6" s="1"/>
      <c r="GHD6" s="1"/>
      <c r="GHE6" s="1"/>
      <c r="GHF6" s="1"/>
      <c r="GHG6" s="1"/>
      <c r="GHI6" s="1"/>
      <c r="GHK6" s="6"/>
      <c r="GHL6" s="7"/>
      <c r="GHM6" s="8"/>
      <c r="GHN6" s="9"/>
      <c r="GHO6" s="8"/>
      <c r="GHP6" s="7"/>
      <c r="GHQ6" s="9"/>
      <c r="GHR6" s="8"/>
      <c r="GHS6" s="8"/>
      <c r="GHT6" s="7"/>
      <c r="GHU6" s="9"/>
      <c r="GHV6" s="1"/>
      <c r="GHW6" s="1"/>
      <c r="GHX6" s="1"/>
      <c r="GHY6" s="1"/>
      <c r="GHZ6" s="1"/>
      <c r="GIA6" s="1"/>
      <c r="GIB6" s="1"/>
      <c r="GIC6" s="1"/>
      <c r="GIE6" s="1"/>
      <c r="GIG6" s="6"/>
      <c r="GIH6" s="7"/>
      <c r="GII6" s="8"/>
      <c r="GIJ6" s="9"/>
      <c r="GIK6" s="8"/>
      <c r="GIL6" s="7"/>
      <c r="GIM6" s="9"/>
      <c r="GIN6" s="8"/>
      <c r="GIO6" s="8"/>
      <c r="GIP6" s="7"/>
      <c r="GIQ6" s="9"/>
      <c r="GIR6" s="1"/>
      <c r="GIS6" s="1"/>
      <c r="GIT6" s="1"/>
      <c r="GIU6" s="1"/>
      <c r="GIV6" s="1"/>
      <c r="GIW6" s="1"/>
      <c r="GIX6" s="1"/>
      <c r="GIY6" s="1"/>
      <c r="GJA6" s="1"/>
      <c r="GJC6" s="6"/>
      <c r="GJD6" s="7"/>
      <c r="GJE6" s="8"/>
      <c r="GJF6" s="9"/>
      <c r="GJG6" s="8"/>
      <c r="GJH6" s="7"/>
      <c r="GJI6" s="9"/>
      <c r="GJJ6" s="8"/>
      <c r="GJK6" s="8"/>
      <c r="GJL6" s="7"/>
      <c r="GJM6" s="9"/>
      <c r="GJN6" s="1"/>
      <c r="GJO6" s="1"/>
      <c r="GJP6" s="1"/>
      <c r="GJQ6" s="1"/>
      <c r="GJR6" s="1"/>
      <c r="GJS6" s="1"/>
      <c r="GJT6" s="1"/>
      <c r="GJU6" s="1"/>
      <c r="GJW6" s="1"/>
      <c r="GJY6" s="6"/>
      <c r="GJZ6" s="7"/>
      <c r="GKA6" s="8"/>
      <c r="GKB6" s="9"/>
      <c r="GKC6" s="8"/>
      <c r="GKD6" s="7"/>
      <c r="GKE6" s="9"/>
      <c r="GKF6" s="8"/>
      <c r="GKG6" s="8"/>
      <c r="GKH6" s="7"/>
      <c r="GKI6" s="9"/>
      <c r="GKJ6" s="1"/>
      <c r="GKK6" s="1"/>
      <c r="GKL6" s="1"/>
      <c r="GKM6" s="1"/>
      <c r="GKN6" s="1"/>
      <c r="GKO6" s="1"/>
      <c r="GKP6" s="1"/>
      <c r="GKQ6" s="1"/>
      <c r="GKS6" s="1"/>
      <c r="GKU6" s="6"/>
      <c r="GKV6" s="7"/>
      <c r="GKW6" s="8"/>
      <c r="GKX6" s="9"/>
      <c r="GKY6" s="8"/>
      <c r="GKZ6" s="7"/>
      <c r="GLA6" s="9"/>
      <c r="GLB6" s="8"/>
      <c r="GLC6" s="8"/>
      <c r="GLD6" s="7"/>
      <c r="GLE6" s="9"/>
      <c r="GLF6" s="1"/>
      <c r="GLG6" s="1"/>
      <c r="GLH6" s="1"/>
      <c r="GLI6" s="1"/>
      <c r="GLJ6" s="1"/>
      <c r="GLK6" s="1"/>
      <c r="GLL6" s="1"/>
      <c r="GLM6" s="1"/>
      <c r="GLO6" s="1"/>
      <c r="GLQ6" s="6"/>
      <c r="GLR6" s="7"/>
      <c r="GLS6" s="8"/>
      <c r="GLT6" s="9"/>
      <c r="GLU6" s="8"/>
      <c r="GLV6" s="7"/>
      <c r="GLW6" s="9"/>
      <c r="GLX6" s="8"/>
      <c r="GLY6" s="8"/>
      <c r="GLZ6" s="7"/>
      <c r="GMA6" s="9"/>
      <c r="GMB6" s="1"/>
      <c r="GMC6" s="1"/>
      <c r="GMD6" s="1"/>
      <c r="GME6" s="1"/>
      <c r="GMF6" s="1"/>
      <c r="GMG6" s="1"/>
      <c r="GMH6" s="1"/>
      <c r="GMI6" s="1"/>
      <c r="GMK6" s="1"/>
      <c r="GMM6" s="6"/>
      <c r="GMN6" s="7"/>
      <c r="GMO6" s="8"/>
      <c r="GMP6" s="9"/>
      <c r="GMQ6" s="8"/>
      <c r="GMR6" s="7"/>
      <c r="GMS6" s="9"/>
      <c r="GMT6" s="8"/>
      <c r="GMU6" s="8"/>
      <c r="GMV6" s="7"/>
      <c r="GMW6" s="9"/>
      <c r="GMX6" s="1"/>
      <c r="GMY6" s="1"/>
      <c r="GMZ6" s="1"/>
      <c r="GNA6" s="1"/>
      <c r="GNB6" s="1"/>
      <c r="GNC6" s="1"/>
      <c r="GND6" s="1"/>
      <c r="GNE6" s="1"/>
      <c r="GNG6" s="1"/>
      <c r="GNI6" s="6"/>
      <c r="GNJ6" s="7"/>
      <c r="GNK6" s="8"/>
      <c r="GNL6" s="9"/>
      <c r="GNM6" s="8"/>
      <c r="GNN6" s="7"/>
      <c r="GNO6" s="9"/>
      <c r="GNP6" s="8"/>
      <c r="GNQ6" s="8"/>
      <c r="GNR6" s="7"/>
      <c r="GNS6" s="9"/>
      <c r="GNT6" s="1"/>
      <c r="GNU6" s="1"/>
      <c r="GNV6" s="1"/>
      <c r="GNW6" s="1"/>
      <c r="GNX6" s="1"/>
      <c r="GNY6" s="1"/>
      <c r="GNZ6" s="1"/>
      <c r="GOA6" s="1"/>
      <c r="GOC6" s="1"/>
      <c r="GOE6" s="6"/>
      <c r="GOF6" s="7"/>
      <c r="GOG6" s="8"/>
      <c r="GOH6" s="9"/>
      <c r="GOI6" s="8"/>
      <c r="GOJ6" s="7"/>
      <c r="GOK6" s="9"/>
      <c r="GOL6" s="8"/>
      <c r="GOM6" s="8"/>
      <c r="GON6" s="7"/>
      <c r="GOO6" s="9"/>
      <c r="GOP6" s="1"/>
      <c r="GOQ6" s="1"/>
      <c r="GOR6" s="1"/>
      <c r="GOS6" s="1"/>
      <c r="GOT6" s="1"/>
      <c r="GOU6" s="1"/>
      <c r="GOV6" s="1"/>
      <c r="GOW6" s="1"/>
      <c r="GOY6" s="1"/>
      <c r="GPA6" s="6"/>
      <c r="GPB6" s="7"/>
      <c r="GPC6" s="8"/>
      <c r="GPD6" s="9"/>
      <c r="GPE6" s="8"/>
      <c r="GPF6" s="7"/>
      <c r="GPG6" s="9"/>
      <c r="GPH6" s="8"/>
      <c r="GPI6" s="8"/>
      <c r="GPJ6" s="7"/>
      <c r="GPK6" s="9"/>
      <c r="GPL6" s="1"/>
      <c r="GPM6" s="1"/>
      <c r="GPN6" s="1"/>
      <c r="GPO6" s="1"/>
      <c r="GPP6" s="1"/>
      <c r="GPQ6" s="1"/>
      <c r="GPR6" s="1"/>
      <c r="GPS6" s="1"/>
      <c r="GPU6" s="1"/>
      <c r="GPW6" s="6"/>
      <c r="GPX6" s="7"/>
      <c r="GPY6" s="8"/>
      <c r="GPZ6" s="9"/>
      <c r="GQA6" s="8"/>
      <c r="GQB6" s="7"/>
      <c r="GQC6" s="9"/>
      <c r="GQD6" s="8"/>
      <c r="GQE6" s="8"/>
      <c r="GQF6" s="7"/>
      <c r="GQG6" s="9"/>
      <c r="GQH6" s="1"/>
      <c r="GQI6" s="1"/>
      <c r="GQJ6" s="1"/>
      <c r="GQK6" s="1"/>
      <c r="GQL6" s="1"/>
      <c r="GQM6" s="1"/>
      <c r="GQN6" s="1"/>
      <c r="GQO6" s="1"/>
      <c r="GQQ6" s="1"/>
      <c r="GQS6" s="6"/>
      <c r="GQT6" s="7"/>
      <c r="GQU6" s="8"/>
      <c r="GQV6" s="9"/>
      <c r="GQW6" s="8"/>
      <c r="GQX6" s="7"/>
      <c r="GQY6" s="9"/>
      <c r="GQZ6" s="8"/>
      <c r="GRA6" s="8"/>
      <c r="GRB6" s="7"/>
      <c r="GRC6" s="9"/>
      <c r="GRD6" s="1"/>
      <c r="GRE6" s="1"/>
      <c r="GRF6" s="1"/>
      <c r="GRG6" s="1"/>
      <c r="GRH6" s="1"/>
      <c r="GRI6" s="1"/>
      <c r="GRJ6" s="1"/>
      <c r="GRK6" s="1"/>
      <c r="GRM6" s="1"/>
      <c r="GRO6" s="6"/>
      <c r="GRP6" s="7"/>
      <c r="GRQ6" s="8"/>
      <c r="GRR6" s="9"/>
      <c r="GRS6" s="8"/>
      <c r="GRT6" s="7"/>
      <c r="GRU6" s="9"/>
      <c r="GRV6" s="8"/>
      <c r="GRW6" s="8"/>
      <c r="GRX6" s="7"/>
      <c r="GRY6" s="9"/>
      <c r="GRZ6" s="1"/>
      <c r="GSA6" s="1"/>
      <c r="GSB6" s="1"/>
      <c r="GSC6" s="1"/>
      <c r="GSD6" s="1"/>
      <c r="GSE6" s="1"/>
      <c r="GSF6" s="1"/>
      <c r="GSG6" s="1"/>
      <c r="GSI6" s="1"/>
      <c r="GSK6" s="6"/>
      <c r="GSL6" s="7"/>
      <c r="GSM6" s="8"/>
      <c r="GSN6" s="9"/>
      <c r="GSO6" s="8"/>
      <c r="GSP6" s="7"/>
      <c r="GSQ6" s="9"/>
      <c r="GSR6" s="8"/>
      <c r="GSS6" s="8"/>
      <c r="GST6" s="7"/>
      <c r="GSU6" s="9"/>
      <c r="GSV6" s="1"/>
      <c r="GSW6" s="1"/>
      <c r="GSX6" s="1"/>
      <c r="GSY6" s="1"/>
      <c r="GSZ6" s="1"/>
      <c r="GTA6" s="1"/>
      <c r="GTB6" s="1"/>
      <c r="GTC6" s="1"/>
      <c r="GTE6" s="1"/>
      <c r="GTG6" s="6"/>
      <c r="GTH6" s="7"/>
      <c r="GTI6" s="8"/>
      <c r="GTJ6" s="9"/>
      <c r="GTK6" s="8"/>
      <c r="GTL6" s="7"/>
      <c r="GTM6" s="9"/>
      <c r="GTN6" s="8"/>
      <c r="GTO6" s="8"/>
      <c r="GTP6" s="7"/>
      <c r="GTQ6" s="9"/>
      <c r="GTR6" s="1"/>
      <c r="GTS6" s="1"/>
      <c r="GTT6" s="1"/>
      <c r="GTU6" s="1"/>
      <c r="GTV6" s="1"/>
      <c r="GTW6" s="1"/>
      <c r="GTX6" s="1"/>
      <c r="GTY6" s="1"/>
      <c r="GUA6" s="1"/>
      <c r="GUC6" s="6"/>
      <c r="GUD6" s="7"/>
      <c r="GUE6" s="8"/>
      <c r="GUF6" s="9"/>
      <c r="GUG6" s="8"/>
      <c r="GUH6" s="7"/>
      <c r="GUI6" s="9"/>
      <c r="GUJ6" s="8"/>
      <c r="GUK6" s="8"/>
      <c r="GUL6" s="7"/>
      <c r="GUM6" s="9"/>
      <c r="GUN6" s="1"/>
      <c r="GUO6" s="1"/>
      <c r="GUP6" s="1"/>
      <c r="GUQ6" s="1"/>
      <c r="GUR6" s="1"/>
      <c r="GUS6" s="1"/>
      <c r="GUT6" s="1"/>
      <c r="GUU6" s="1"/>
      <c r="GUW6" s="1"/>
      <c r="GUY6" s="6"/>
      <c r="GUZ6" s="7"/>
      <c r="GVA6" s="8"/>
      <c r="GVB6" s="9"/>
      <c r="GVC6" s="8"/>
      <c r="GVD6" s="7"/>
      <c r="GVE6" s="9"/>
      <c r="GVF6" s="8"/>
      <c r="GVG6" s="8"/>
      <c r="GVH6" s="7"/>
      <c r="GVI6" s="9"/>
      <c r="GVJ6" s="1"/>
      <c r="GVK6" s="1"/>
      <c r="GVL6" s="1"/>
      <c r="GVM6" s="1"/>
      <c r="GVN6" s="1"/>
      <c r="GVO6" s="1"/>
      <c r="GVP6" s="1"/>
      <c r="GVQ6" s="1"/>
      <c r="GVS6" s="1"/>
      <c r="GVU6" s="6"/>
      <c r="GVV6" s="7"/>
      <c r="GVW6" s="8"/>
      <c r="GVX6" s="9"/>
      <c r="GVY6" s="8"/>
      <c r="GVZ6" s="7"/>
      <c r="GWA6" s="9"/>
      <c r="GWB6" s="8"/>
      <c r="GWC6" s="8"/>
      <c r="GWD6" s="7"/>
      <c r="GWE6" s="9"/>
      <c r="GWF6" s="1"/>
      <c r="GWG6" s="1"/>
      <c r="GWH6" s="1"/>
      <c r="GWI6" s="1"/>
      <c r="GWJ6" s="1"/>
      <c r="GWK6" s="1"/>
      <c r="GWL6" s="1"/>
      <c r="GWM6" s="1"/>
      <c r="GWO6" s="1"/>
      <c r="GWQ6" s="6"/>
      <c r="GWR6" s="7"/>
      <c r="GWS6" s="8"/>
      <c r="GWT6" s="9"/>
      <c r="GWU6" s="8"/>
      <c r="GWV6" s="7"/>
      <c r="GWW6" s="9"/>
      <c r="GWX6" s="8"/>
      <c r="GWY6" s="8"/>
      <c r="GWZ6" s="7"/>
      <c r="GXA6" s="9"/>
      <c r="GXB6" s="1"/>
      <c r="GXC6" s="1"/>
      <c r="GXD6" s="1"/>
      <c r="GXE6" s="1"/>
      <c r="GXF6" s="1"/>
      <c r="GXG6" s="1"/>
      <c r="GXH6" s="1"/>
      <c r="GXI6" s="1"/>
      <c r="GXK6" s="1"/>
      <c r="GXM6" s="6"/>
      <c r="GXN6" s="7"/>
      <c r="GXO6" s="8"/>
      <c r="GXP6" s="9"/>
      <c r="GXQ6" s="8"/>
      <c r="GXR6" s="7"/>
      <c r="GXS6" s="9"/>
      <c r="GXT6" s="8"/>
      <c r="GXU6" s="8"/>
      <c r="GXV6" s="7"/>
      <c r="GXW6" s="9"/>
      <c r="GXX6" s="1"/>
      <c r="GXY6" s="1"/>
      <c r="GXZ6" s="1"/>
      <c r="GYA6" s="1"/>
      <c r="GYB6" s="1"/>
      <c r="GYC6" s="1"/>
      <c r="GYD6" s="1"/>
      <c r="GYE6" s="1"/>
      <c r="GYG6" s="1"/>
      <c r="GYI6" s="6"/>
      <c r="GYJ6" s="7"/>
      <c r="GYK6" s="8"/>
      <c r="GYL6" s="9"/>
      <c r="GYM6" s="8"/>
      <c r="GYN6" s="7"/>
      <c r="GYO6" s="9"/>
      <c r="GYP6" s="8"/>
      <c r="GYQ6" s="8"/>
      <c r="GYR6" s="7"/>
      <c r="GYS6" s="9"/>
      <c r="GYT6" s="1"/>
      <c r="GYU6" s="1"/>
      <c r="GYV6" s="1"/>
      <c r="GYW6" s="1"/>
      <c r="GYX6" s="1"/>
      <c r="GYY6" s="1"/>
      <c r="GYZ6" s="1"/>
      <c r="GZA6" s="1"/>
      <c r="GZC6" s="1"/>
      <c r="GZE6" s="6"/>
      <c r="GZF6" s="7"/>
      <c r="GZG6" s="8"/>
      <c r="GZH6" s="9"/>
      <c r="GZI6" s="8"/>
      <c r="GZJ6" s="7"/>
      <c r="GZK6" s="9"/>
      <c r="GZL6" s="8"/>
      <c r="GZM6" s="8"/>
      <c r="GZN6" s="7"/>
      <c r="GZO6" s="9"/>
      <c r="GZP6" s="1"/>
      <c r="GZQ6" s="1"/>
      <c r="GZR6" s="1"/>
      <c r="GZS6" s="1"/>
      <c r="GZT6" s="1"/>
      <c r="GZU6" s="1"/>
      <c r="GZV6" s="1"/>
      <c r="GZW6" s="1"/>
      <c r="GZY6" s="1"/>
      <c r="HAA6" s="6"/>
      <c r="HAB6" s="7"/>
      <c r="HAC6" s="8"/>
      <c r="HAD6" s="9"/>
      <c r="HAE6" s="8"/>
      <c r="HAF6" s="7"/>
      <c r="HAG6" s="9"/>
      <c r="HAH6" s="8"/>
      <c r="HAI6" s="8"/>
      <c r="HAJ6" s="7"/>
      <c r="HAK6" s="9"/>
      <c r="HAL6" s="1"/>
      <c r="HAM6" s="1"/>
      <c r="HAN6" s="1"/>
      <c r="HAO6" s="1"/>
      <c r="HAP6" s="1"/>
      <c r="HAQ6" s="1"/>
      <c r="HAR6" s="1"/>
      <c r="HAS6" s="1"/>
      <c r="HAU6" s="1"/>
      <c r="HAW6" s="6"/>
      <c r="HAX6" s="7"/>
      <c r="HAY6" s="8"/>
      <c r="HAZ6" s="9"/>
      <c r="HBA6" s="8"/>
      <c r="HBB6" s="7"/>
      <c r="HBC6" s="9"/>
      <c r="HBD6" s="8"/>
      <c r="HBE6" s="8"/>
      <c r="HBF6" s="7"/>
      <c r="HBG6" s="9"/>
      <c r="HBH6" s="1"/>
      <c r="HBI6" s="1"/>
      <c r="HBJ6" s="1"/>
      <c r="HBK6" s="1"/>
      <c r="HBL6" s="1"/>
      <c r="HBM6" s="1"/>
      <c r="HBN6" s="1"/>
      <c r="HBO6" s="1"/>
      <c r="HBQ6" s="1"/>
      <c r="HBS6" s="6"/>
      <c r="HBT6" s="7"/>
      <c r="HBU6" s="8"/>
      <c r="HBV6" s="9"/>
      <c r="HBW6" s="8"/>
      <c r="HBX6" s="7"/>
      <c r="HBY6" s="9"/>
      <c r="HBZ6" s="8"/>
      <c r="HCA6" s="8"/>
      <c r="HCB6" s="7"/>
      <c r="HCC6" s="9"/>
      <c r="HCD6" s="1"/>
      <c r="HCE6" s="1"/>
      <c r="HCF6" s="1"/>
      <c r="HCG6" s="1"/>
      <c r="HCH6" s="1"/>
      <c r="HCI6" s="1"/>
      <c r="HCJ6" s="1"/>
      <c r="HCK6" s="1"/>
      <c r="HCM6" s="1"/>
      <c r="HCO6" s="6"/>
      <c r="HCP6" s="7"/>
      <c r="HCQ6" s="8"/>
      <c r="HCR6" s="9"/>
      <c r="HCS6" s="8"/>
      <c r="HCT6" s="7"/>
      <c r="HCU6" s="9"/>
      <c r="HCV6" s="8"/>
      <c r="HCW6" s="8"/>
      <c r="HCX6" s="7"/>
      <c r="HCY6" s="9"/>
      <c r="HCZ6" s="1"/>
      <c r="HDA6" s="1"/>
      <c r="HDB6" s="1"/>
      <c r="HDC6" s="1"/>
      <c r="HDD6" s="1"/>
      <c r="HDE6" s="1"/>
      <c r="HDF6" s="1"/>
      <c r="HDG6" s="1"/>
      <c r="HDI6" s="1"/>
      <c r="HDK6" s="6"/>
      <c r="HDL6" s="7"/>
      <c r="HDM6" s="8"/>
      <c r="HDN6" s="9"/>
      <c r="HDO6" s="8"/>
      <c r="HDP6" s="7"/>
      <c r="HDQ6" s="9"/>
      <c r="HDR6" s="8"/>
      <c r="HDS6" s="8"/>
      <c r="HDT6" s="7"/>
      <c r="HDU6" s="9"/>
      <c r="HDV6" s="1"/>
      <c r="HDW6" s="1"/>
      <c r="HDX6" s="1"/>
      <c r="HDY6" s="1"/>
      <c r="HDZ6" s="1"/>
      <c r="HEA6" s="1"/>
      <c r="HEB6" s="1"/>
      <c r="HEC6" s="1"/>
      <c r="HEE6" s="1"/>
      <c r="HEG6" s="6"/>
      <c r="HEH6" s="7"/>
      <c r="HEI6" s="8"/>
      <c r="HEJ6" s="9"/>
      <c r="HEK6" s="8"/>
      <c r="HEL6" s="7"/>
      <c r="HEM6" s="9"/>
      <c r="HEN6" s="8"/>
      <c r="HEO6" s="8"/>
      <c r="HEP6" s="7"/>
      <c r="HEQ6" s="9"/>
      <c r="HER6" s="1"/>
      <c r="HES6" s="1"/>
      <c r="HET6" s="1"/>
      <c r="HEU6" s="1"/>
      <c r="HEV6" s="1"/>
      <c r="HEW6" s="1"/>
      <c r="HEX6" s="1"/>
      <c r="HEY6" s="1"/>
      <c r="HFA6" s="1"/>
      <c r="HFC6" s="6"/>
      <c r="HFD6" s="7"/>
      <c r="HFE6" s="8"/>
      <c r="HFF6" s="9"/>
      <c r="HFG6" s="8"/>
      <c r="HFH6" s="7"/>
      <c r="HFI6" s="9"/>
      <c r="HFJ6" s="8"/>
      <c r="HFK6" s="8"/>
      <c r="HFL6" s="7"/>
      <c r="HFM6" s="9"/>
      <c r="HFN6" s="1"/>
      <c r="HFO6" s="1"/>
      <c r="HFP6" s="1"/>
      <c r="HFQ6" s="1"/>
      <c r="HFR6" s="1"/>
      <c r="HFS6" s="1"/>
      <c r="HFT6" s="1"/>
      <c r="HFU6" s="1"/>
      <c r="HFW6" s="1"/>
      <c r="HFY6" s="6"/>
      <c r="HFZ6" s="7"/>
      <c r="HGA6" s="8"/>
      <c r="HGB6" s="9"/>
      <c r="HGC6" s="8"/>
      <c r="HGD6" s="7"/>
      <c r="HGE6" s="9"/>
      <c r="HGF6" s="8"/>
      <c r="HGG6" s="8"/>
      <c r="HGH6" s="7"/>
      <c r="HGI6" s="9"/>
      <c r="HGJ6" s="1"/>
      <c r="HGK6" s="1"/>
      <c r="HGL6" s="1"/>
      <c r="HGM6" s="1"/>
      <c r="HGN6" s="1"/>
      <c r="HGO6" s="1"/>
      <c r="HGP6" s="1"/>
      <c r="HGQ6" s="1"/>
      <c r="HGS6" s="1"/>
      <c r="HGU6" s="6"/>
      <c r="HGV6" s="7"/>
      <c r="HGW6" s="8"/>
      <c r="HGX6" s="9"/>
      <c r="HGY6" s="8"/>
      <c r="HGZ6" s="7"/>
      <c r="HHA6" s="9"/>
      <c r="HHB6" s="8"/>
      <c r="HHC6" s="8"/>
      <c r="HHD6" s="7"/>
      <c r="HHE6" s="9"/>
      <c r="HHF6" s="1"/>
      <c r="HHG6" s="1"/>
      <c r="HHH6" s="1"/>
      <c r="HHI6" s="1"/>
      <c r="HHJ6" s="1"/>
      <c r="HHK6" s="1"/>
      <c r="HHL6" s="1"/>
      <c r="HHM6" s="1"/>
      <c r="HHO6" s="1"/>
      <c r="HHQ6" s="6"/>
      <c r="HHR6" s="7"/>
      <c r="HHS6" s="8"/>
      <c r="HHT6" s="9"/>
      <c r="HHU6" s="8"/>
      <c r="HHV6" s="7"/>
      <c r="HHW6" s="9"/>
      <c r="HHX6" s="8"/>
      <c r="HHY6" s="8"/>
      <c r="HHZ6" s="7"/>
      <c r="HIA6" s="9"/>
      <c r="HIB6" s="1"/>
      <c r="HIC6" s="1"/>
      <c r="HID6" s="1"/>
      <c r="HIE6" s="1"/>
      <c r="HIF6" s="1"/>
      <c r="HIG6" s="1"/>
      <c r="HIH6" s="1"/>
      <c r="HII6" s="1"/>
      <c r="HIK6" s="1"/>
      <c r="HIM6" s="6"/>
      <c r="HIN6" s="7"/>
      <c r="HIO6" s="8"/>
      <c r="HIP6" s="9"/>
      <c r="HIQ6" s="8"/>
      <c r="HIR6" s="7"/>
      <c r="HIS6" s="9"/>
      <c r="HIT6" s="8"/>
      <c r="HIU6" s="8"/>
      <c r="HIV6" s="7"/>
      <c r="HIW6" s="9"/>
      <c r="HIX6" s="1"/>
      <c r="HIY6" s="1"/>
      <c r="HIZ6" s="1"/>
      <c r="HJA6" s="1"/>
      <c r="HJB6" s="1"/>
      <c r="HJC6" s="1"/>
      <c r="HJD6" s="1"/>
      <c r="HJE6" s="1"/>
      <c r="HJG6" s="1"/>
      <c r="HJI6" s="6"/>
      <c r="HJJ6" s="7"/>
      <c r="HJK6" s="8"/>
      <c r="HJL6" s="9"/>
      <c r="HJM6" s="8"/>
      <c r="HJN6" s="7"/>
      <c r="HJO6" s="9"/>
      <c r="HJP6" s="8"/>
      <c r="HJQ6" s="8"/>
      <c r="HJR6" s="7"/>
      <c r="HJS6" s="9"/>
      <c r="HJT6" s="1"/>
      <c r="HJU6" s="1"/>
      <c r="HJV6" s="1"/>
      <c r="HJW6" s="1"/>
      <c r="HJX6" s="1"/>
      <c r="HJY6" s="1"/>
      <c r="HJZ6" s="1"/>
      <c r="HKA6" s="1"/>
      <c r="HKC6" s="1"/>
      <c r="HKE6" s="6"/>
      <c r="HKF6" s="7"/>
      <c r="HKG6" s="8"/>
      <c r="HKH6" s="9"/>
      <c r="HKI6" s="8"/>
      <c r="HKJ6" s="7"/>
      <c r="HKK6" s="9"/>
      <c r="HKL6" s="8"/>
      <c r="HKM6" s="8"/>
      <c r="HKN6" s="7"/>
      <c r="HKO6" s="9"/>
      <c r="HKP6" s="1"/>
      <c r="HKQ6" s="1"/>
      <c r="HKR6" s="1"/>
      <c r="HKS6" s="1"/>
      <c r="HKT6" s="1"/>
      <c r="HKU6" s="1"/>
      <c r="HKV6" s="1"/>
      <c r="HKW6" s="1"/>
      <c r="HKY6" s="1"/>
      <c r="HLA6" s="6"/>
      <c r="HLB6" s="7"/>
      <c r="HLC6" s="8"/>
      <c r="HLD6" s="9"/>
      <c r="HLE6" s="8"/>
      <c r="HLF6" s="7"/>
      <c r="HLG6" s="9"/>
      <c r="HLH6" s="8"/>
      <c r="HLI6" s="8"/>
      <c r="HLJ6" s="7"/>
      <c r="HLK6" s="9"/>
      <c r="HLL6" s="1"/>
      <c r="HLM6" s="1"/>
      <c r="HLN6" s="1"/>
      <c r="HLO6" s="1"/>
      <c r="HLP6" s="1"/>
      <c r="HLQ6" s="1"/>
      <c r="HLR6" s="1"/>
      <c r="HLS6" s="1"/>
      <c r="HLU6" s="1"/>
      <c r="HLW6" s="6"/>
      <c r="HLX6" s="7"/>
      <c r="HLY6" s="8"/>
      <c r="HLZ6" s="9"/>
      <c r="HMA6" s="8"/>
      <c r="HMB6" s="7"/>
      <c r="HMC6" s="9"/>
      <c r="HMD6" s="8"/>
      <c r="HME6" s="8"/>
      <c r="HMF6" s="7"/>
      <c r="HMG6" s="9"/>
      <c r="HMH6" s="1"/>
      <c r="HMI6" s="1"/>
      <c r="HMJ6" s="1"/>
      <c r="HMK6" s="1"/>
      <c r="HML6" s="1"/>
      <c r="HMM6" s="1"/>
      <c r="HMN6" s="1"/>
      <c r="HMO6" s="1"/>
      <c r="HMQ6" s="1"/>
      <c r="HMS6" s="6"/>
      <c r="HMT6" s="7"/>
      <c r="HMU6" s="8"/>
      <c r="HMV6" s="9"/>
      <c r="HMW6" s="8"/>
      <c r="HMX6" s="7"/>
      <c r="HMY6" s="9"/>
      <c r="HMZ6" s="8"/>
      <c r="HNA6" s="8"/>
      <c r="HNB6" s="7"/>
      <c r="HNC6" s="9"/>
      <c r="HND6" s="1"/>
      <c r="HNE6" s="1"/>
      <c r="HNF6" s="1"/>
      <c r="HNG6" s="1"/>
      <c r="HNH6" s="1"/>
      <c r="HNI6" s="1"/>
      <c r="HNJ6" s="1"/>
      <c r="HNK6" s="1"/>
      <c r="HNM6" s="1"/>
      <c r="HNO6" s="6"/>
      <c r="HNP6" s="7"/>
      <c r="HNQ6" s="8"/>
      <c r="HNR6" s="9"/>
      <c r="HNS6" s="8"/>
      <c r="HNT6" s="7"/>
      <c r="HNU6" s="9"/>
      <c r="HNV6" s="8"/>
      <c r="HNW6" s="8"/>
      <c r="HNX6" s="7"/>
      <c r="HNY6" s="9"/>
      <c r="HNZ6" s="1"/>
      <c r="HOA6" s="1"/>
      <c r="HOB6" s="1"/>
      <c r="HOC6" s="1"/>
      <c r="HOD6" s="1"/>
      <c r="HOE6" s="1"/>
      <c r="HOF6" s="1"/>
      <c r="HOG6" s="1"/>
      <c r="HOI6" s="1"/>
      <c r="HOK6" s="6"/>
      <c r="HOL6" s="7"/>
      <c r="HOM6" s="8"/>
      <c r="HON6" s="9"/>
      <c r="HOO6" s="8"/>
      <c r="HOP6" s="7"/>
      <c r="HOQ6" s="9"/>
      <c r="HOR6" s="8"/>
      <c r="HOS6" s="8"/>
      <c r="HOT6" s="7"/>
      <c r="HOU6" s="9"/>
      <c r="HOV6" s="1"/>
      <c r="HOW6" s="1"/>
      <c r="HOX6" s="1"/>
      <c r="HOY6" s="1"/>
      <c r="HOZ6" s="1"/>
      <c r="HPA6" s="1"/>
      <c r="HPB6" s="1"/>
      <c r="HPC6" s="1"/>
      <c r="HPE6" s="1"/>
      <c r="HPG6" s="6"/>
      <c r="HPH6" s="7"/>
      <c r="HPI6" s="8"/>
      <c r="HPJ6" s="9"/>
      <c r="HPK6" s="8"/>
      <c r="HPL6" s="7"/>
      <c r="HPM6" s="9"/>
      <c r="HPN6" s="8"/>
      <c r="HPO6" s="8"/>
      <c r="HPP6" s="7"/>
      <c r="HPQ6" s="9"/>
      <c r="HPR6" s="1"/>
      <c r="HPS6" s="1"/>
      <c r="HPT6" s="1"/>
      <c r="HPU6" s="1"/>
      <c r="HPV6" s="1"/>
      <c r="HPW6" s="1"/>
      <c r="HPX6" s="1"/>
      <c r="HPY6" s="1"/>
      <c r="HQA6" s="1"/>
      <c r="HQC6" s="6"/>
      <c r="HQD6" s="7"/>
      <c r="HQE6" s="8"/>
      <c r="HQF6" s="9"/>
      <c r="HQG6" s="8"/>
      <c r="HQH6" s="7"/>
      <c r="HQI6" s="9"/>
      <c r="HQJ6" s="8"/>
      <c r="HQK6" s="8"/>
      <c r="HQL6" s="7"/>
      <c r="HQM6" s="9"/>
      <c r="HQN6" s="1"/>
      <c r="HQO6" s="1"/>
      <c r="HQP6" s="1"/>
      <c r="HQQ6" s="1"/>
      <c r="HQR6" s="1"/>
      <c r="HQS6" s="1"/>
      <c r="HQT6" s="1"/>
      <c r="HQU6" s="1"/>
      <c r="HQW6" s="1"/>
      <c r="HQY6" s="6"/>
      <c r="HQZ6" s="7"/>
      <c r="HRA6" s="8"/>
      <c r="HRB6" s="9"/>
      <c r="HRC6" s="8"/>
      <c r="HRD6" s="7"/>
      <c r="HRE6" s="9"/>
      <c r="HRF6" s="8"/>
      <c r="HRG6" s="8"/>
      <c r="HRH6" s="7"/>
      <c r="HRI6" s="9"/>
      <c r="HRJ6" s="1"/>
      <c r="HRK6" s="1"/>
      <c r="HRL6" s="1"/>
      <c r="HRM6" s="1"/>
      <c r="HRN6" s="1"/>
      <c r="HRO6" s="1"/>
      <c r="HRP6" s="1"/>
      <c r="HRQ6" s="1"/>
      <c r="HRS6" s="1"/>
      <c r="HRU6" s="6"/>
      <c r="HRV6" s="7"/>
      <c r="HRW6" s="8"/>
      <c r="HRX6" s="9"/>
      <c r="HRY6" s="8"/>
      <c r="HRZ6" s="7"/>
      <c r="HSA6" s="9"/>
      <c r="HSB6" s="8"/>
      <c r="HSC6" s="8"/>
      <c r="HSD6" s="7"/>
      <c r="HSE6" s="9"/>
      <c r="HSF6" s="1"/>
      <c r="HSG6" s="1"/>
      <c r="HSH6" s="1"/>
      <c r="HSI6" s="1"/>
      <c r="HSJ6" s="1"/>
      <c r="HSK6" s="1"/>
      <c r="HSL6" s="1"/>
      <c r="HSM6" s="1"/>
      <c r="HSO6" s="1"/>
      <c r="HSQ6" s="6"/>
      <c r="HSR6" s="7"/>
      <c r="HSS6" s="8"/>
      <c r="HST6" s="9"/>
      <c r="HSU6" s="8"/>
      <c r="HSV6" s="7"/>
      <c r="HSW6" s="9"/>
      <c r="HSX6" s="8"/>
      <c r="HSY6" s="8"/>
      <c r="HSZ6" s="7"/>
      <c r="HTA6" s="9"/>
      <c r="HTB6" s="1"/>
      <c r="HTC6" s="1"/>
      <c r="HTD6" s="1"/>
      <c r="HTE6" s="1"/>
      <c r="HTF6" s="1"/>
      <c r="HTG6" s="1"/>
      <c r="HTH6" s="1"/>
      <c r="HTI6" s="1"/>
      <c r="HTK6" s="1"/>
      <c r="HTM6" s="6"/>
      <c r="HTN6" s="7"/>
      <c r="HTO6" s="8"/>
      <c r="HTP6" s="9"/>
      <c r="HTQ6" s="8"/>
      <c r="HTR6" s="7"/>
      <c r="HTS6" s="9"/>
      <c r="HTT6" s="8"/>
      <c r="HTU6" s="8"/>
      <c r="HTV6" s="7"/>
      <c r="HTW6" s="9"/>
      <c r="HTX6" s="1"/>
      <c r="HTY6" s="1"/>
      <c r="HTZ6" s="1"/>
      <c r="HUA6" s="1"/>
      <c r="HUB6" s="1"/>
      <c r="HUC6" s="1"/>
      <c r="HUD6" s="1"/>
      <c r="HUE6" s="1"/>
      <c r="HUG6" s="1"/>
      <c r="HUI6" s="6"/>
      <c r="HUJ6" s="7"/>
      <c r="HUK6" s="8"/>
      <c r="HUL6" s="9"/>
      <c r="HUM6" s="8"/>
      <c r="HUN6" s="7"/>
      <c r="HUO6" s="9"/>
      <c r="HUP6" s="8"/>
      <c r="HUQ6" s="8"/>
      <c r="HUR6" s="7"/>
      <c r="HUS6" s="9"/>
      <c r="HUT6" s="1"/>
      <c r="HUU6" s="1"/>
      <c r="HUV6" s="1"/>
      <c r="HUW6" s="1"/>
      <c r="HUX6" s="1"/>
      <c r="HUY6" s="1"/>
      <c r="HUZ6" s="1"/>
      <c r="HVA6" s="1"/>
      <c r="HVC6" s="1"/>
      <c r="HVE6" s="6"/>
      <c r="HVF6" s="7"/>
      <c r="HVG6" s="8"/>
      <c r="HVH6" s="9"/>
      <c r="HVI6" s="8"/>
      <c r="HVJ6" s="7"/>
      <c r="HVK6" s="9"/>
      <c r="HVL6" s="8"/>
      <c r="HVM6" s="8"/>
      <c r="HVN6" s="7"/>
      <c r="HVO6" s="9"/>
      <c r="HVP6" s="1"/>
      <c r="HVQ6" s="1"/>
      <c r="HVR6" s="1"/>
      <c r="HVS6" s="1"/>
      <c r="HVT6" s="1"/>
      <c r="HVU6" s="1"/>
      <c r="HVV6" s="1"/>
      <c r="HVW6" s="1"/>
      <c r="HVY6" s="1"/>
      <c r="HWA6" s="6"/>
      <c r="HWB6" s="7"/>
      <c r="HWC6" s="8"/>
      <c r="HWD6" s="9"/>
      <c r="HWE6" s="8"/>
      <c r="HWF6" s="7"/>
      <c r="HWG6" s="9"/>
      <c r="HWH6" s="8"/>
      <c r="HWI6" s="8"/>
      <c r="HWJ6" s="7"/>
      <c r="HWK6" s="9"/>
      <c r="HWL6" s="1"/>
      <c r="HWM6" s="1"/>
      <c r="HWN6" s="1"/>
      <c r="HWO6" s="1"/>
      <c r="HWP6" s="1"/>
      <c r="HWQ6" s="1"/>
      <c r="HWR6" s="1"/>
      <c r="HWS6" s="1"/>
      <c r="HWU6" s="1"/>
      <c r="HWW6" s="6"/>
      <c r="HWX6" s="7"/>
      <c r="HWY6" s="8"/>
      <c r="HWZ6" s="9"/>
      <c r="HXA6" s="8"/>
      <c r="HXB6" s="7"/>
      <c r="HXC6" s="9"/>
      <c r="HXD6" s="8"/>
      <c r="HXE6" s="8"/>
      <c r="HXF6" s="7"/>
      <c r="HXG6" s="9"/>
      <c r="HXH6" s="1"/>
      <c r="HXI6" s="1"/>
      <c r="HXJ6" s="1"/>
      <c r="HXK6" s="1"/>
      <c r="HXL6" s="1"/>
      <c r="HXM6" s="1"/>
      <c r="HXN6" s="1"/>
      <c r="HXO6" s="1"/>
      <c r="HXQ6" s="1"/>
      <c r="HXS6" s="6"/>
      <c r="HXT6" s="7"/>
      <c r="HXU6" s="8"/>
      <c r="HXV6" s="9"/>
      <c r="HXW6" s="8"/>
      <c r="HXX6" s="7"/>
      <c r="HXY6" s="9"/>
      <c r="HXZ6" s="8"/>
      <c r="HYA6" s="8"/>
      <c r="HYB6" s="7"/>
      <c r="HYC6" s="9"/>
      <c r="HYD6" s="1"/>
      <c r="HYE6" s="1"/>
      <c r="HYF6" s="1"/>
      <c r="HYG6" s="1"/>
      <c r="HYH6" s="1"/>
      <c r="HYI6" s="1"/>
      <c r="HYJ6" s="1"/>
      <c r="HYK6" s="1"/>
      <c r="HYM6" s="1"/>
      <c r="HYO6" s="6"/>
      <c r="HYP6" s="7"/>
      <c r="HYQ6" s="8"/>
      <c r="HYR6" s="9"/>
      <c r="HYS6" s="8"/>
      <c r="HYT6" s="7"/>
      <c r="HYU6" s="9"/>
      <c r="HYV6" s="8"/>
      <c r="HYW6" s="8"/>
      <c r="HYX6" s="7"/>
      <c r="HYY6" s="9"/>
      <c r="HYZ6" s="1"/>
      <c r="HZA6" s="1"/>
      <c r="HZB6" s="1"/>
      <c r="HZC6" s="1"/>
      <c r="HZD6" s="1"/>
      <c r="HZE6" s="1"/>
      <c r="HZF6" s="1"/>
      <c r="HZG6" s="1"/>
      <c r="HZI6" s="1"/>
      <c r="HZK6" s="6"/>
      <c r="HZL6" s="7"/>
      <c r="HZM6" s="8"/>
      <c r="HZN6" s="9"/>
      <c r="HZO6" s="8"/>
      <c r="HZP6" s="7"/>
      <c r="HZQ6" s="9"/>
      <c r="HZR6" s="8"/>
      <c r="HZS6" s="8"/>
      <c r="HZT6" s="7"/>
      <c r="HZU6" s="9"/>
      <c r="HZV6" s="1"/>
      <c r="HZW6" s="1"/>
      <c r="HZX6" s="1"/>
      <c r="HZY6" s="1"/>
      <c r="HZZ6" s="1"/>
      <c r="IAA6" s="1"/>
      <c r="IAB6" s="1"/>
      <c r="IAC6" s="1"/>
      <c r="IAE6" s="1"/>
      <c r="IAG6" s="6"/>
      <c r="IAH6" s="7"/>
      <c r="IAI6" s="8"/>
      <c r="IAJ6" s="9"/>
      <c r="IAK6" s="8"/>
      <c r="IAL6" s="7"/>
      <c r="IAM6" s="9"/>
      <c r="IAN6" s="8"/>
      <c r="IAO6" s="8"/>
      <c r="IAP6" s="7"/>
      <c r="IAQ6" s="9"/>
      <c r="IAR6" s="1"/>
      <c r="IAS6" s="1"/>
      <c r="IAT6" s="1"/>
      <c r="IAU6" s="1"/>
      <c r="IAV6" s="1"/>
      <c r="IAW6" s="1"/>
      <c r="IAX6" s="1"/>
      <c r="IAY6" s="1"/>
      <c r="IBA6" s="1"/>
      <c r="IBC6" s="6"/>
      <c r="IBD6" s="7"/>
      <c r="IBE6" s="8"/>
      <c r="IBF6" s="9"/>
      <c r="IBG6" s="8"/>
      <c r="IBH6" s="7"/>
      <c r="IBI6" s="9"/>
      <c r="IBJ6" s="8"/>
      <c r="IBK6" s="8"/>
      <c r="IBL6" s="7"/>
      <c r="IBM6" s="9"/>
      <c r="IBN6" s="1"/>
      <c r="IBO6" s="1"/>
      <c r="IBP6" s="1"/>
      <c r="IBQ6" s="1"/>
      <c r="IBR6" s="1"/>
      <c r="IBS6" s="1"/>
      <c r="IBT6" s="1"/>
      <c r="IBU6" s="1"/>
      <c r="IBW6" s="1"/>
      <c r="IBY6" s="6"/>
      <c r="IBZ6" s="7"/>
      <c r="ICA6" s="8"/>
      <c r="ICB6" s="9"/>
      <c r="ICC6" s="8"/>
      <c r="ICD6" s="7"/>
      <c r="ICE6" s="9"/>
      <c r="ICF6" s="8"/>
      <c r="ICG6" s="8"/>
      <c r="ICH6" s="7"/>
      <c r="ICI6" s="9"/>
      <c r="ICJ6" s="1"/>
      <c r="ICK6" s="1"/>
      <c r="ICL6" s="1"/>
      <c r="ICM6" s="1"/>
      <c r="ICN6" s="1"/>
      <c r="ICO6" s="1"/>
      <c r="ICP6" s="1"/>
      <c r="ICQ6" s="1"/>
      <c r="ICS6" s="1"/>
      <c r="ICU6" s="6"/>
      <c r="ICV6" s="7"/>
      <c r="ICW6" s="8"/>
      <c r="ICX6" s="9"/>
      <c r="ICY6" s="8"/>
      <c r="ICZ6" s="7"/>
      <c r="IDA6" s="9"/>
      <c r="IDB6" s="8"/>
      <c r="IDC6" s="8"/>
      <c r="IDD6" s="7"/>
      <c r="IDE6" s="9"/>
      <c r="IDF6" s="1"/>
      <c r="IDG6" s="1"/>
      <c r="IDH6" s="1"/>
      <c r="IDI6" s="1"/>
      <c r="IDJ6" s="1"/>
      <c r="IDK6" s="1"/>
      <c r="IDL6" s="1"/>
      <c r="IDM6" s="1"/>
      <c r="IDO6" s="1"/>
      <c r="IDQ6" s="6"/>
      <c r="IDR6" s="7"/>
      <c r="IDS6" s="8"/>
      <c r="IDT6" s="9"/>
      <c r="IDU6" s="8"/>
      <c r="IDV6" s="7"/>
      <c r="IDW6" s="9"/>
      <c r="IDX6" s="8"/>
      <c r="IDY6" s="8"/>
      <c r="IDZ6" s="7"/>
      <c r="IEA6" s="9"/>
      <c r="IEB6" s="1"/>
      <c r="IEC6" s="1"/>
      <c r="IED6" s="1"/>
      <c r="IEE6" s="1"/>
      <c r="IEF6" s="1"/>
      <c r="IEG6" s="1"/>
      <c r="IEH6" s="1"/>
      <c r="IEI6" s="1"/>
      <c r="IEK6" s="1"/>
      <c r="IEM6" s="6"/>
      <c r="IEN6" s="7"/>
      <c r="IEO6" s="8"/>
      <c r="IEP6" s="9"/>
      <c r="IEQ6" s="8"/>
      <c r="IER6" s="7"/>
      <c r="IES6" s="9"/>
      <c r="IET6" s="8"/>
      <c r="IEU6" s="8"/>
      <c r="IEV6" s="7"/>
      <c r="IEW6" s="9"/>
      <c r="IEX6" s="1"/>
      <c r="IEY6" s="1"/>
      <c r="IEZ6" s="1"/>
      <c r="IFA6" s="1"/>
      <c r="IFB6" s="1"/>
      <c r="IFC6" s="1"/>
      <c r="IFD6" s="1"/>
      <c r="IFE6" s="1"/>
      <c r="IFG6" s="1"/>
      <c r="IFI6" s="6"/>
      <c r="IFJ6" s="7"/>
      <c r="IFK6" s="8"/>
      <c r="IFL6" s="9"/>
      <c r="IFM6" s="8"/>
      <c r="IFN6" s="7"/>
      <c r="IFO6" s="9"/>
      <c r="IFP6" s="8"/>
      <c r="IFQ6" s="8"/>
      <c r="IFR6" s="7"/>
      <c r="IFS6" s="9"/>
      <c r="IFT6" s="1"/>
      <c r="IFU6" s="1"/>
      <c r="IFV6" s="1"/>
      <c r="IFW6" s="1"/>
      <c r="IFX6" s="1"/>
      <c r="IFY6" s="1"/>
      <c r="IFZ6" s="1"/>
      <c r="IGA6" s="1"/>
      <c r="IGC6" s="1"/>
      <c r="IGE6" s="6"/>
      <c r="IGF6" s="7"/>
      <c r="IGG6" s="8"/>
      <c r="IGH6" s="9"/>
      <c r="IGI6" s="8"/>
      <c r="IGJ6" s="7"/>
      <c r="IGK6" s="9"/>
      <c r="IGL6" s="8"/>
      <c r="IGM6" s="8"/>
      <c r="IGN6" s="7"/>
      <c r="IGO6" s="9"/>
      <c r="IGP6" s="1"/>
      <c r="IGQ6" s="1"/>
      <c r="IGR6" s="1"/>
      <c r="IGS6" s="1"/>
      <c r="IGT6" s="1"/>
      <c r="IGU6" s="1"/>
      <c r="IGV6" s="1"/>
      <c r="IGW6" s="1"/>
      <c r="IGY6" s="1"/>
      <c r="IHA6" s="6"/>
      <c r="IHB6" s="7"/>
      <c r="IHC6" s="8"/>
      <c r="IHD6" s="9"/>
      <c r="IHE6" s="8"/>
      <c r="IHF6" s="7"/>
      <c r="IHG6" s="9"/>
      <c r="IHH6" s="8"/>
      <c r="IHI6" s="8"/>
      <c r="IHJ6" s="7"/>
      <c r="IHK6" s="9"/>
      <c r="IHL6" s="1"/>
      <c r="IHM6" s="1"/>
      <c r="IHN6" s="1"/>
      <c r="IHO6" s="1"/>
      <c r="IHP6" s="1"/>
      <c r="IHQ6" s="1"/>
      <c r="IHR6" s="1"/>
      <c r="IHS6" s="1"/>
      <c r="IHU6" s="1"/>
      <c r="IHW6" s="6"/>
      <c r="IHX6" s="7"/>
      <c r="IHY6" s="8"/>
      <c r="IHZ6" s="9"/>
      <c r="IIA6" s="8"/>
      <c r="IIB6" s="7"/>
      <c r="IIC6" s="9"/>
      <c r="IID6" s="8"/>
      <c r="IIE6" s="8"/>
      <c r="IIF6" s="7"/>
      <c r="IIG6" s="9"/>
      <c r="IIH6" s="1"/>
      <c r="III6" s="1"/>
      <c r="IIJ6" s="1"/>
      <c r="IIK6" s="1"/>
      <c r="IIL6" s="1"/>
      <c r="IIM6" s="1"/>
      <c r="IIN6" s="1"/>
      <c r="IIO6" s="1"/>
      <c r="IIQ6" s="1"/>
      <c r="IIS6" s="6"/>
      <c r="IIT6" s="7"/>
      <c r="IIU6" s="8"/>
      <c r="IIV6" s="9"/>
      <c r="IIW6" s="8"/>
      <c r="IIX6" s="7"/>
      <c r="IIY6" s="9"/>
      <c r="IIZ6" s="8"/>
      <c r="IJA6" s="8"/>
      <c r="IJB6" s="7"/>
      <c r="IJC6" s="9"/>
      <c r="IJD6" s="1"/>
      <c r="IJE6" s="1"/>
      <c r="IJF6" s="1"/>
      <c r="IJG6" s="1"/>
      <c r="IJH6" s="1"/>
      <c r="IJI6" s="1"/>
      <c r="IJJ6" s="1"/>
      <c r="IJK6" s="1"/>
      <c r="IJM6" s="1"/>
      <c r="IJO6" s="6"/>
      <c r="IJP6" s="7"/>
      <c r="IJQ6" s="8"/>
      <c r="IJR6" s="9"/>
      <c r="IJS6" s="8"/>
      <c r="IJT6" s="7"/>
      <c r="IJU6" s="9"/>
      <c r="IJV6" s="8"/>
      <c r="IJW6" s="8"/>
      <c r="IJX6" s="7"/>
      <c r="IJY6" s="9"/>
      <c r="IJZ6" s="1"/>
      <c r="IKA6" s="1"/>
      <c r="IKB6" s="1"/>
      <c r="IKC6" s="1"/>
      <c r="IKD6" s="1"/>
      <c r="IKE6" s="1"/>
      <c r="IKF6" s="1"/>
      <c r="IKG6" s="1"/>
      <c r="IKI6" s="1"/>
      <c r="IKK6" s="6"/>
      <c r="IKL6" s="7"/>
      <c r="IKM6" s="8"/>
      <c r="IKN6" s="9"/>
      <c r="IKO6" s="8"/>
      <c r="IKP6" s="7"/>
      <c r="IKQ6" s="9"/>
      <c r="IKR6" s="8"/>
      <c r="IKS6" s="8"/>
      <c r="IKT6" s="7"/>
      <c r="IKU6" s="9"/>
      <c r="IKV6" s="1"/>
      <c r="IKW6" s="1"/>
      <c r="IKX6" s="1"/>
      <c r="IKY6" s="1"/>
      <c r="IKZ6" s="1"/>
      <c r="ILA6" s="1"/>
      <c r="ILB6" s="1"/>
      <c r="ILC6" s="1"/>
      <c r="ILE6" s="1"/>
      <c r="ILG6" s="6"/>
      <c r="ILH6" s="7"/>
      <c r="ILI6" s="8"/>
      <c r="ILJ6" s="9"/>
      <c r="ILK6" s="8"/>
      <c r="ILL6" s="7"/>
      <c r="ILM6" s="9"/>
      <c r="ILN6" s="8"/>
      <c r="ILO6" s="8"/>
      <c r="ILP6" s="7"/>
      <c r="ILQ6" s="9"/>
      <c r="ILR6" s="1"/>
      <c r="ILS6" s="1"/>
      <c r="ILT6" s="1"/>
      <c r="ILU6" s="1"/>
      <c r="ILV6" s="1"/>
      <c r="ILW6" s="1"/>
      <c r="ILX6" s="1"/>
      <c r="ILY6" s="1"/>
      <c r="IMA6" s="1"/>
      <c r="IMC6" s="6"/>
      <c r="IMD6" s="7"/>
      <c r="IME6" s="8"/>
      <c r="IMF6" s="9"/>
      <c r="IMG6" s="8"/>
      <c r="IMH6" s="7"/>
      <c r="IMI6" s="9"/>
      <c r="IMJ6" s="8"/>
      <c r="IMK6" s="8"/>
      <c r="IML6" s="7"/>
      <c r="IMM6" s="9"/>
      <c r="IMN6" s="1"/>
      <c r="IMO6" s="1"/>
      <c r="IMP6" s="1"/>
      <c r="IMQ6" s="1"/>
      <c r="IMR6" s="1"/>
      <c r="IMS6" s="1"/>
      <c r="IMT6" s="1"/>
      <c r="IMU6" s="1"/>
      <c r="IMW6" s="1"/>
      <c r="IMY6" s="6"/>
      <c r="IMZ6" s="7"/>
      <c r="INA6" s="8"/>
      <c r="INB6" s="9"/>
      <c r="INC6" s="8"/>
      <c r="IND6" s="7"/>
      <c r="INE6" s="9"/>
      <c r="INF6" s="8"/>
      <c r="ING6" s="8"/>
      <c r="INH6" s="7"/>
      <c r="INI6" s="9"/>
      <c r="INJ6" s="1"/>
      <c r="INK6" s="1"/>
      <c r="INL6" s="1"/>
      <c r="INM6" s="1"/>
      <c r="INN6" s="1"/>
      <c r="INO6" s="1"/>
      <c r="INP6" s="1"/>
      <c r="INQ6" s="1"/>
      <c r="INS6" s="1"/>
      <c r="INU6" s="6"/>
      <c r="INV6" s="7"/>
      <c r="INW6" s="8"/>
      <c r="INX6" s="9"/>
      <c r="INY6" s="8"/>
      <c r="INZ6" s="7"/>
      <c r="IOA6" s="9"/>
      <c r="IOB6" s="8"/>
      <c r="IOC6" s="8"/>
      <c r="IOD6" s="7"/>
      <c r="IOE6" s="9"/>
      <c r="IOF6" s="1"/>
      <c r="IOG6" s="1"/>
      <c r="IOH6" s="1"/>
      <c r="IOI6" s="1"/>
      <c r="IOJ6" s="1"/>
      <c r="IOK6" s="1"/>
      <c r="IOL6" s="1"/>
      <c r="IOM6" s="1"/>
      <c r="IOO6" s="1"/>
      <c r="IOQ6" s="6"/>
      <c r="IOR6" s="7"/>
      <c r="IOS6" s="8"/>
      <c r="IOT6" s="9"/>
      <c r="IOU6" s="8"/>
      <c r="IOV6" s="7"/>
      <c r="IOW6" s="9"/>
      <c r="IOX6" s="8"/>
      <c r="IOY6" s="8"/>
      <c r="IOZ6" s="7"/>
      <c r="IPA6" s="9"/>
      <c r="IPB6" s="1"/>
      <c r="IPC6" s="1"/>
      <c r="IPD6" s="1"/>
      <c r="IPE6" s="1"/>
      <c r="IPF6" s="1"/>
      <c r="IPG6" s="1"/>
      <c r="IPH6" s="1"/>
      <c r="IPI6" s="1"/>
      <c r="IPK6" s="1"/>
      <c r="IPM6" s="6"/>
      <c r="IPN6" s="7"/>
      <c r="IPO6" s="8"/>
      <c r="IPP6" s="9"/>
      <c r="IPQ6" s="8"/>
      <c r="IPR6" s="7"/>
      <c r="IPS6" s="9"/>
      <c r="IPT6" s="8"/>
      <c r="IPU6" s="8"/>
      <c r="IPV6" s="7"/>
      <c r="IPW6" s="9"/>
      <c r="IPX6" s="1"/>
      <c r="IPY6" s="1"/>
      <c r="IPZ6" s="1"/>
      <c r="IQA6" s="1"/>
      <c r="IQB6" s="1"/>
      <c r="IQC6" s="1"/>
      <c r="IQD6" s="1"/>
      <c r="IQE6" s="1"/>
      <c r="IQG6" s="1"/>
      <c r="IQI6" s="6"/>
      <c r="IQJ6" s="7"/>
      <c r="IQK6" s="8"/>
      <c r="IQL6" s="9"/>
      <c r="IQM6" s="8"/>
      <c r="IQN6" s="7"/>
      <c r="IQO6" s="9"/>
      <c r="IQP6" s="8"/>
      <c r="IQQ6" s="8"/>
      <c r="IQR6" s="7"/>
      <c r="IQS6" s="9"/>
      <c r="IQT6" s="1"/>
      <c r="IQU6" s="1"/>
      <c r="IQV6" s="1"/>
      <c r="IQW6" s="1"/>
      <c r="IQX6" s="1"/>
      <c r="IQY6" s="1"/>
      <c r="IQZ6" s="1"/>
      <c r="IRA6" s="1"/>
      <c r="IRC6" s="1"/>
      <c r="IRE6" s="6"/>
      <c r="IRF6" s="7"/>
      <c r="IRG6" s="8"/>
      <c r="IRH6" s="9"/>
      <c r="IRI6" s="8"/>
      <c r="IRJ6" s="7"/>
      <c r="IRK6" s="9"/>
      <c r="IRL6" s="8"/>
      <c r="IRM6" s="8"/>
      <c r="IRN6" s="7"/>
      <c r="IRO6" s="9"/>
      <c r="IRP6" s="1"/>
      <c r="IRQ6" s="1"/>
      <c r="IRR6" s="1"/>
      <c r="IRS6" s="1"/>
      <c r="IRT6" s="1"/>
      <c r="IRU6" s="1"/>
      <c r="IRV6" s="1"/>
      <c r="IRW6" s="1"/>
      <c r="IRY6" s="1"/>
      <c r="ISA6" s="6"/>
      <c r="ISB6" s="7"/>
      <c r="ISC6" s="8"/>
      <c r="ISD6" s="9"/>
      <c r="ISE6" s="8"/>
      <c r="ISF6" s="7"/>
      <c r="ISG6" s="9"/>
      <c r="ISH6" s="8"/>
      <c r="ISI6" s="8"/>
      <c r="ISJ6" s="7"/>
      <c r="ISK6" s="9"/>
      <c r="ISL6" s="1"/>
      <c r="ISM6" s="1"/>
      <c r="ISN6" s="1"/>
      <c r="ISO6" s="1"/>
      <c r="ISP6" s="1"/>
      <c r="ISQ6" s="1"/>
      <c r="ISR6" s="1"/>
      <c r="ISS6" s="1"/>
      <c r="ISU6" s="1"/>
      <c r="ISW6" s="6"/>
      <c r="ISX6" s="7"/>
      <c r="ISY6" s="8"/>
      <c r="ISZ6" s="9"/>
      <c r="ITA6" s="8"/>
      <c r="ITB6" s="7"/>
      <c r="ITC6" s="9"/>
      <c r="ITD6" s="8"/>
      <c r="ITE6" s="8"/>
      <c r="ITF6" s="7"/>
      <c r="ITG6" s="9"/>
      <c r="ITH6" s="1"/>
      <c r="ITI6" s="1"/>
      <c r="ITJ6" s="1"/>
      <c r="ITK6" s="1"/>
      <c r="ITL6" s="1"/>
      <c r="ITM6" s="1"/>
      <c r="ITN6" s="1"/>
      <c r="ITO6" s="1"/>
      <c r="ITQ6" s="1"/>
      <c r="ITS6" s="6"/>
      <c r="ITT6" s="7"/>
      <c r="ITU6" s="8"/>
      <c r="ITV6" s="9"/>
      <c r="ITW6" s="8"/>
      <c r="ITX6" s="7"/>
      <c r="ITY6" s="9"/>
      <c r="ITZ6" s="8"/>
      <c r="IUA6" s="8"/>
      <c r="IUB6" s="7"/>
      <c r="IUC6" s="9"/>
      <c r="IUD6" s="1"/>
      <c r="IUE6" s="1"/>
      <c r="IUF6" s="1"/>
      <c r="IUG6" s="1"/>
      <c r="IUH6" s="1"/>
      <c r="IUI6" s="1"/>
      <c r="IUJ6" s="1"/>
      <c r="IUK6" s="1"/>
      <c r="IUM6" s="1"/>
      <c r="IUO6" s="6"/>
      <c r="IUP6" s="7"/>
      <c r="IUQ6" s="8"/>
      <c r="IUR6" s="9"/>
      <c r="IUS6" s="8"/>
      <c r="IUT6" s="7"/>
      <c r="IUU6" s="9"/>
      <c r="IUV6" s="8"/>
      <c r="IUW6" s="8"/>
      <c r="IUX6" s="7"/>
      <c r="IUY6" s="9"/>
      <c r="IUZ6" s="1"/>
      <c r="IVA6" s="1"/>
      <c r="IVB6" s="1"/>
      <c r="IVC6" s="1"/>
      <c r="IVD6" s="1"/>
      <c r="IVE6" s="1"/>
      <c r="IVF6" s="1"/>
      <c r="IVG6" s="1"/>
      <c r="IVI6" s="1"/>
      <c r="IVK6" s="6"/>
      <c r="IVL6" s="7"/>
      <c r="IVM6" s="8"/>
      <c r="IVN6" s="9"/>
      <c r="IVO6" s="8"/>
      <c r="IVP6" s="7"/>
      <c r="IVQ6" s="9"/>
      <c r="IVR6" s="8"/>
      <c r="IVS6" s="8"/>
      <c r="IVT6" s="7"/>
      <c r="IVU6" s="9"/>
      <c r="IVV6" s="1"/>
      <c r="IVW6" s="1"/>
      <c r="IVX6" s="1"/>
      <c r="IVY6" s="1"/>
      <c r="IVZ6" s="1"/>
      <c r="IWA6" s="1"/>
      <c r="IWB6" s="1"/>
      <c r="IWC6" s="1"/>
      <c r="IWE6" s="1"/>
      <c r="IWG6" s="6"/>
      <c r="IWH6" s="7"/>
      <c r="IWI6" s="8"/>
      <c r="IWJ6" s="9"/>
      <c r="IWK6" s="8"/>
      <c r="IWL6" s="7"/>
      <c r="IWM6" s="9"/>
      <c r="IWN6" s="8"/>
      <c r="IWO6" s="8"/>
      <c r="IWP6" s="7"/>
      <c r="IWQ6" s="9"/>
      <c r="IWR6" s="1"/>
      <c r="IWS6" s="1"/>
      <c r="IWT6" s="1"/>
      <c r="IWU6" s="1"/>
      <c r="IWV6" s="1"/>
      <c r="IWW6" s="1"/>
      <c r="IWX6" s="1"/>
      <c r="IWY6" s="1"/>
      <c r="IXA6" s="1"/>
      <c r="IXC6" s="6"/>
      <c r="IXD6" s="7"/>
      <c r="IXE6" s="8"/>
      <c r="IXF6" s="9"/>
      <c r="IXG6" s="8"/>
      <c r="IXH6" s="7"/>
      <c r="IXI6" s="9"/>
      <c r="IXJ6" s="8"/>
      <c r="IXK6" s="8"/>
      <c r="IXL6" s="7"/>
      <c r="IXM6" s="9"/>
      <c r="IXN6" s="1"/>
      <c r="IXO6" s="1"/>
      <c r="IXP6" s="1"/>
      <c r="IXQ6" s="1"/>
      <c r="IXR6" s="1"/>
      <c r="IXS6" s="1"/>
      <c r="IXT6" s="1"/>
      <c r="IXU6" s="1"/>
      <c r="IXW6" s="1"/>
      <c r="IXY6" s="6"/>
      <c r="IXZ6" s="7"/>
      <c r="IYA6" s="8"/>
      <c r="IYB6" s="9"/>
      <c r="IYC6" s="8"/>
      <c r="IYD6" s="7"/>
      <c r="IYE6" s="9"/>
      <c r="IYF6" s="8"/>
      <c r="IYG6" s="8"/>
      <c r="IYH6" s="7"/>
      <c r="IYI6" s="9"/>
      <c r="IYJ6" s="1"/>
      <c r="IYK6" s="1"/>
      <c r="IYL6" s="1"/>
      <c r="IYM6" s="1"/>
      <c r="IYN6" s="1"/>
      <c r="IYO6" s="1"/>
      <c r="IYP6" s="1"/>
      <c r="IYQ6" s="1"/>
      <c r="IYS6" s="1"/>
      <c r="IYU6" s="6"/>
      <c r="IYV6" s="7"/>
      <c r="IYW6" s="8"/>
      <c r="IYX6" s="9"/>
      <c r="IYY6" s="8"/>
      <c r="IYZ6" s="7"/>
      <c r="IZA6" s="9"/>
      <c r="IZB6" s="8"/>
      <c r="IZC6" s="8"/>
      <c r="IZD6" s="7"/>
      <c r="IZE6" s="9"/>
      <c r="IZF6" s="1"/>
      <c r="IZG6" s="1"/>
      <c r="IZH6" s="1"/>
      <c r="IZI6" s="1"/>
      <c r="IZJ6" s="1"/>
      <c r="IZK6" s="1"/>
      <c r="IZL6" s="1"/>
      <c r="IZM6" s="1"/>
      <c r="IZO6" s="1"/>
      <c r="IZQ6" s="6"/>
      <c r="IZR6" s="7"/>
      <c r="IZS6" s="8"/>
      <c r="IZT6" s="9"/>
      <c r="IZU6" s="8"/>
      <c r="IZV6" s="7"/>
      <c r="IZW6" s="9"/>
      <c r="IZX6" s="8"/>
      <c r="IZY6" s="8"/>
      <c r="IZZ6" s="7"/>
      <c r="JAA6" s="9"/>
      <c r="JAB6" s="1"/>
      <c r="JAC6" s="1"/>
      <c r="JAD6" s="1"/>
      <c r="JAE6" s="1"/>
      <c r="JAF6" s="1"/>
      <c r="JAG6" s="1"/>
      <c r="JAH6" s="1"/>
      <c r="JAI6" s="1"/>
      <c r="JAK6" s="1"/>
      <c r="JAM6" s="6"/>
      <c r="JAN6" s="7"/>
      <c r="JAO6" s="8"/>
      <c r="JAP6" s="9"/>
      <c r="JAQ6" s="8"/>
      <c r="JAR6" s="7"/>
      <c r="JAS6" s="9"/>
      <c r="JAT6" s="8"/>
      <c r="JAU6" s="8"/>
      <c r="JAV6" s="7"/>
      <c r="JAW6" s="9"/>
      <c r="JAX6" s="1"/>
      <c r="JAY6" s="1"/>
      <c r="JAZ6" s="1"/>
      <c r="JBA6" s="1"/>
      <c r="JBB6" s="1"/>
      <c r="JBC6" s="1"/>
      <c r="JBD6" s="1"/>
      <c r="JBE6" s="1"/>
      <c r="JBG6" s="1"/>
      <c r="JBI6" s="6"/>
      <c r="JBJ6" s="7"/>
      <c r="JBK6" s="8"/>
      <c r="JBL6" s="9"/>
      <c r="JBM6" s="8"/>
      <c r="JBN6" s="7"/>
      <c r="JBO6" s="9"/>
      <c r="JBP6" s="8"/>
      <c r="JBQ6" s="8"/>
      <c r="JBR6" s="7"/>
      <c r="JBS6" s="9"/>
      <c r="JBT6" s="1"/>
      <c r="JBU6" s="1"/>
      <c r="JBV6" s="1"/>
      <c r="JBW6" s="1"/>
      <c r="JBX6" s="1"/>
      <c r="JBY6" s="1"/>
      <c r="JBZ6" s="1"/>
      <c r="JCA6" s="1"/>
      <c r="JCC6" s="1"/>
      <c r="JCE6" s="6"/>
      <c r="JCF6" s="7"/>
      <c r="JCG6" s="8"/>
      <c r="JCH6" s="9"/>
      <c r="JCI6" s="8"/>
      <c r="JCJ6" s="7"/>
      <c r="JCK6" s="9"/>
      <c r="JCL6" s="8"/>
      <c r="JCM6" s="8"/>
      <c r="JCN6" s="7"/>
      <c r="JCO6" s="9"/>
      <c r="JCP6" s="1"/>
      <c r="JCQ6" s="1"/>
      <c r="JCR6" s="1"/>
      <c r="JCS6" s="1"/>
      <c r="JCT6" s="1"/>
      <c r="JCU6" s="1"/>
      <c r="JCV6" s="1"/>
      <c r="JCW6" s="1"/>
      <c r="JCY6" s="1"/>
      <c r="JDA6" s="6"/>
      <c r="JDB6" s="7"/>
      <c r="JDC6" s="8"/>
      <c r="JDD6" s="9"/>
      <c r="JDE6" s="8"/>
      <c r="JDF6" s="7"/>
      <c r="JDG6" s="9"/>
      <c r="JDH6" s="8"/>
      <c r="JDI6" s="8"/>
      <c r="JDJ6" s="7"/>
      <c r="JDK6" s="9"/>
      <c r="JDL6" s="1"/>
      <c r="JDM6" s="1"/>
      <c r="JDN6" s="1"/>
      <c r="JDO6" s="1"/>
      <c r="JDP6" s="1"/>
      <c r="JDQ6" s="1"/>
      <c r="JDR6" s="1"/>
      <c r="JDS6" s="1"/>
      <c r="JDU6" s="1"/>
      <c r="JDW6" s="6"/>
      <c r="JDX6" s="7"/>
      <c r="JDY6" s="8"/>
      <c r="JDZ6" s="9"/>
      <c r="JEA6" s="8"/>
      <c r="JEB6" s="7"/>
      <c r="JEC6" s="9"/>
      <c r="JED6" s="8"/>
      <c r="JEE6" s="8"/>
      <c r="JEF6" s="7"/>
      <c r="JEG6" s="9"/>
      <c r="JEH6" s="1"/>
      <c r="JEI6" s="1"/>
      <c r="JEJ6" s="1"/>
      <c r="JEK6" s="1"/>
      <c r="JEL6" s="1"/>
      <c r="JEM6" s="1"/>
      <c r="JEN6" s="1"/>
      <c r="JEO6" s="1"/>
      <c r="JEQ6" s="1"/>
      <c r="JES6" s="6"/>
      <c r="JET6" s="7"/>
      <c r="JEU6" s="8"/>
      <c r="JEV6" s="9"/>
      <c r="JEW6" s="8"/>
      <c r="JEX6" s="7"/>
      <c r="JEY6" s="9"/>
      <c r="JEZ6" s="8"/>
      <c r="JFA6" s="8"/>
      <c r="JFB6" s="7"/>
      <c r="JFC6" s="9"/>
      <c r="JFD6" s="1"/>
      <c r="JFE6" s="1"/>
      <c r="JFF6" s="1"/>
      <c r="JFG6" s="1"/>
      <c r="JFH6" s="1"/>
      <c r="JFI6" s="1"/>
      <c r="JFJ6" s="1"/>
      <c r="JFK6" s="1"/>
      <c r="JFM6" s="1"/>
      <c r="JFO6" s="6"/>
      <c r="JFP6" s="7"/>
      <c r="JFQ6" s="8"/>
      <c r="JFR6" s="9"/>
      <c r="JFS6" s="8"/>
      <c r="JFT6" s="7"/>
      <c r="JFU6" s="9"/>
      <c r="JFV6" s="8"/>
      <c r="JFW6" s="8"/>
      <c r="JFX6" s="7"/>
      <c r="JFY6" s="9"/>
      <c r="JFZ6" s="1"/>
      <c r="JGA6" s="1"/>
      <c r="JGB6" s="1"/>
      <c r="JGC6" s="1"/>
      <c r="JGD6" s="1"/>
      <c r="JGE6" s="1"/>
      <c r="JGF6" s="1"/>
      <c r="JGG6" s="1"/>
      <c r="JGI6" s="1"/>
      <c r="JGK6" s="6"/>
      <c r="JGL6" s="7"/>
      <c r="JGM6" s="8"/>
      <c r="JGN6" s="9"/>
      <c r="JGO6" s="8"/>
      <c r="JGP6" s="7"/>
      <c r="JGQ6" s="9"/>
      <c r="JGR6" s="8"/>
      <c r="JGS6" s="8"/>
      <c r="JGT6" s="7"/>
      <c r="JGU6" s="9"/>
      <c r="JGV6" s="1"/>
      <c r="JGW6" s="1"/>
      <c r="JGX6" s="1"/>
      <c r="JGY6" s="1"/>
      <c r="JGZ6" s="1"/>
      <c r="JHA6" s="1"/>
      <c r="JHB6" s="1"/>
      <c r="JHC6" s="1"/>
      <c r="JHE6" s="1"/>
      <c r="JHG6" s="6"/>
      <c r="JHH6" s="7"/>
      <c r="JHI6" s="8"/>
      <c r="JHJ6" s="9"/>
      <c r="JHK6" s="8"/>
      <c r="JHL6" s="7"/>
      <c r="JHM6" s="9"/>
      <c r="JHN6" s="8"/>
      <c r="JHO6" s="8"/>
      <c r="JHP6" s="7"/>
      <c r="JHQ6" s="9"/>
      <c r="JHR6" s="1"/>
      <c r="JHS6" s="1"/>
      <c r="JHT6" s="1"/>
      <c r="JHU6" s="1"/>
      <c r="JHV6" s="1"/>
      <c r="JHW6" s="1"/>
      <c r="JHX6" s="1"/>
      <c r="JHY6" s="1"/>
      <c r="JIA6" s="1"/>
      <c r="JIC6" s="6"/>
      <c r="JID6" s="7"/>
      <c r="JIE6" s="8"/>
      <c r="JIF6" s="9"/>
      <c r="JIG6" s="8"/>
      <c r="JIH6" s="7"/>
      <c r="JII6" s="9"/>
      <c r="JIJ6" s="8"/>
      <c r="JIK6" s="8"/>
      <c r="JIL6" s="7"/>
      <c r="JIM6" s="9"/>
      <c r="JIN6" s="1"/>
      <c r="JIO6" s="1"/>
      <c r="JIP6" s="1"/>
      <c r="JIQ6" s="1"/>
      <c r="JIR6" s="1"/>
      <c r="JIS6" s="1"/>
      <c r="JIT6" s="1"/>
      <c r="JIU6" s="1"/>
      <c r="JIW6" s="1"/>
      <c r="JIY6" s="6"/>
      <c r="JIZ6" s="7"/>
      <c r="JJA6" s="8"/>
      <c r="JJB6" s="9"/>
      <c r="JJC6" s="8"/>
      <c r="JJD6" s="7"/>
      <c r="JJE6" s="9"/>
      <c r="JJF6" s="8"/>
      <c r="JJG6" s="8"/>
      <c r="JJH6" s="7"/>
      <c r="JJI6" s="9"/>
      <c r="JJJ6" s="1"/>
      <c r="JJK6" s="1"/>
      <c r="JJL6" s="1"/>
      <c r="JJM6" s="1"/>
      <c r="JJN6" s="1"/>
      <c r="JJO6" s="1"/>
      <c r="JJP6" s="1"/>
      <c r="JJQ6" s="1"/>
      <c r="JJS6" s="1"/>
      <c r="JJU6" s="6"/>
      <c r="JJV6" s="7"/>
      <c r="JJW6" s="8"/>
      <c r="JJX6" s="9"/>
      <c r="JJY6" s="8"/>
      <c r="JJZ6" s="7"/>
      <c r="JKA6" s="9"/>
      <c r="JKB6" s="8"/>
      <c r="JKC6" s="8"/>
      <c r="JKD6" s="7"/>
      <c r="JKE6" s="9"/>
      <c r="JKF6" s="1"/>
      <c r="JKG6" s="1"/>
      <c r="JKH6" s="1"/>
      <c r="JKI6" s="1"/>
      <c r="JKJ6" s="1"/>
      <c r="JKK6" s="1"/>
      <c r="JKL6" s="1"/>
      <c r="JKM6" s="1"/>
      <c r="JKO6" s="1"/>
      <c r="JKQ6" s="6"/>
      <c r="JKR6" s="7"/>
      <c r="JKS6" s="8"/>
      <c r="JKT6" s="9"/>
      <c r="JKU6" s="8"/>
      <c r="JKV6" s="7"/>
      <c r="JKW6" s="9"/>
      <c r="JKX6" s="8"/>
      <c r="JKY6" s="8"/>
      <c r="JKZ6" s="7"/>
      <c r="JLA6" s="9"/>
      <c r="JLB6" s="1"/>
      <c r="JLC6" s="1"/>
      <c r="JLD6" s="1"/>
      <c r="JLE6" s="1"/>
      <c r="JLF6" s="1"/>
      <c r="JLG6" s="1"/>
      <c r="JLH6" s="1"/>
      <c r="JLI6" s="1"/>
      <c r="JLK6" s="1"/>
      <c r="JLM6" s="6"/>
      <c r="JLN6" s="7"/>
      <c r="JLO6" s="8"/>
      <c r="JLP6" s="9"/>
      <c r="JLQ6" s="8"/>
      <c r="JLR6" s="7"/>
      <c r="JLS6" s="9"/>
      <c r="JLT6" s="8"/>
      <c r="JLU6" s="8"/>
      <c r="JLV6" s="7"/>
      <c r="JLW6" s="9"/>
      <c r="JLX6" s="1"/>
      <c r="JLY6" s="1"/>
      <c r="JLZ6" s="1"/>
      <c r="JMA6" s="1"/>
      <c r="JMB6" s="1"/>
      <c r="JMC6" s="1"/>
      <c r="JMD6" s="1"/>
      <c r="JME6" s="1"/>
      <c r="JMG6" s="1"/>
      <c r="JMI6" s="6"/>
      <c r="JMJ6" s="7"/>
      <c r="JMK6" s="8"/>
      <c r="JML6" s="9"/>
      <c r="JMM6" s="8"/>
      <c r="JMN6" s="7"/>
      <c r="JMO6" s="9"/>
      <c r="JMP6" s="8"/>
      <c r="JMQ6" s="8"/>
      <c r="JMR6" s="7"/>
      <c r="JMS6" s="9"/>
      <c r="JMT6" s="1"/>
      <c r="JMU6" s="1"/>
      <c r="JMV6" s="1"/>
      <c r="JMW6" s="1"/>
      <c r="JMX6" s="1"/>
      <c r="JMY6" s="1"/>
      <c r="JMZ6" s="1"/>
      <c r="JNA6" s="1"/>
      <c r="JNC6" s="1"/>
      <c r="JNE6" s="6"/>
      <c r="JNF6" s="7"/>
      <c r="JNG6" s="8"/>
      <c r="JNH6" s="9"/>
      <c r="JNI6" s="8"/>
      <c r="JNJ6" s="7"/>
      <c r="JNK6" s="9"/>
      <c r="JNL6" s="8"/>
      <c r="JNM6" s="8"/>
      <c r="JNN6" s="7"/>
      <c r="JNO6" s="9"/>
      <c r="JNP6" s="1"/>
      <c r="JNQ6" s="1"/>
      <c r="JNR6" s="1"/>
      <c r="JNS6" s="1"/>
      <c r="JNT6" s="1"/>
      <c r="JNU6" s="1"/>
      <c r="JNV6" s="1"/>
      <c r="JNW6" s="1"/>
      <c r="JNY6" s="1"/>
      <c r="JOA6" s="6"/>
      <c r="JOB6" s="7"/>
      <c r="JOC6" s="8"/>
      <c r="JOD6" s="9"/>
      <c r="JOE6" s="8"/>
      <c r="JOF6" s="7"/>
      <c r="JOG6" s="9"/>
      <c r="JOH6" s="8"/>
      <c r="JOI6" s="8"/>
      <c r="JOJ6" s="7"/>
      <c r="JOK6" s="9"/>
      <c r="JOL6" s="1"/>
      <c r="JOM6" s="1"/>
      <c r="JON6" s="1"/>
      <c r="JOO6" s="1"/>
      <c r="JOP6" s="1"/>
      <c r="JOQ6" s="1"/>
      <c r="JOR6" s="1"/>
      <c r="JOS6" s="1"/>
      <c r="JOU6" s="1"/>
      <c r="JOW6" s="6"/>
      <c r="JOX6" s="7"/>
      <c r="JOY6" s="8"/>
      <c r="JOZ6" s="9"/>
      <c r="JPA6" s="8"/>
      <c r="JPB6" s="7"/>
      <c r="JPC6" s="9"/>
      <c r="JPD6" s="8"/>
      <c r="JPE6" s="8"/>
      <c r="JPF6" s="7"/>
      <c r="JPG6" s="9"/>
      <c r="JPH6" s="1"/>
      <c r="JPI6" s="1"/>
      <c r="JPJ6" s="1"/>
      <c r="JPK6" s="1"/>
      <c r="JPL6" s="1"/>
      <c r="JPM6" s="1"/>
      <c r="JPN6" s="1"/>
      <c r="JPO6" s="1"/>
      <c r="JPQ6" s="1"/>
      <c r="JPS6" s="6"/>
      <c r="JPT6" s="7"/>
      <c r="JPU6" s="8"/>
      <c r="JPV6" s="9"/>
      <c r="JPW6" s="8"/>
      <c r="JPX6" s="7"/>
      <c r="JPY6" s="9"/>
      <c r="JPZ6" s="8"/>
      <c r="JQA6" s="8"/>
      <c r="JQB6" s="7"/>
      <c r="JQC6" s="9"/>
      <c r="JQD6" s="1"/>
      <c r="JQE6" s="1"/>
      <c r="JQF6" s="1"/>
      <c r="JQG6" s="1"/>
      <c r="JQH6" s="1"/>
      <c r="JQI6" s="1"/>
      <c r="JQJ6" s="1"/>
      <c r="JQK6" s="1"/>
      <c r="JQM6" s="1"/>
      <c r="JQO6" s="6"/>
      <c r="JQP6" s="7"/>
      <c r="JQQ6" s="8"/>
      <c r="JQR6" s="9"/>
      <c r="JQS6" s="8"/>
      <c r="JQT6" s="7"/>
      <c r="JQU6" s="9"/>
      <c r="JQV6" s="8"/>
      <c r="JQW6" s="8"/>
      <c r="JQX6" s="7"/>
      <c r="JQY6" s="9"/>
      <c r="JQZ6" s="1"/>
      <c r="JRA6" s="1"/>
      <c r="JRB6" s="1"/>
      <c r="JRC6" s="1"/>
      <c r="JRD6" s="1"/>
      <c r="JRE6" s="1"/>
      <c r="JRF6" s="1"/>
      <c r="JRG6" s="1"/>
      <c r="JRI6" s="1"/>
      <c r="JRK6" s="6"/>
      <c r="JRL6" s="7"/>
      <c r="JRM6" s="8"/>
      <c r="JRN6" s="9"/>
      <c r="JRO6" s="8"/>
      <c r="JRP6" s="7"/>
      <c r="JRQ6" s="9"/>
      <c r="JRR6" s="8"/>
      <c r="JRS6" s="8"/>
      <c r="JRT6" s="7"/>
      <c r="JRU6" s="9"/>
      <c r="JRV6" s="1"/>
      <c r="JRW6" s="1"/>
      <c r="JRX6" s="1"/>
      <c r="JRY6" s="1"/>
      <c r="JRZ6" s="1"/>
      <c r="JSA6" s="1"/>
      <c r="JSB6" s="1"/>
      <c r="JSC6" s="1"/>
      <c r="JSE6" s="1"/>
      <c r="JSG6" s="6"/>
      <c r="JSH6" s="7"/>
      <c r="JSI6" s="8"/>
      <c r="JSJ6" s="9"/>
      <c r="JSK6" s="8"/>
      <c r="JSL6" s="7"/>
      <c r="JSM6" s="9"/>
      <c r="JSN6" s="8"/>
      <c r="JSO6" s="8"/>
      <c r="JSP6" s="7"/>
      <c r="JSQ6" s="9"/>
      <c r="JSR6" s="1"/>
      <c r="JSS6" s="1"/>
      <c r="JST6" s="1"/>
      <c r="JSU6" s="1"/>
      <c r="JSV6" s="1"/>
      <c r="JSW6" s="1"/>
      <c r="JSX6" s="1"/>
      <c r="JSY6" s="1"/>
      <c r="JTA6" s="1"/>
      <c r="JTC6" s="6"/>
      <c r="JTD6" s="7"/>
      <c r="JTE6" s="8"/>
      <c r="JTF6" s="9"/>
      <c r="JTG6" s="8"/>
      <c r="JTH6" s="7"/>
      <c r="JTI6" s="9"/>
      <c r="JTJ6" s="8"/>
      <c r="JTK6" s="8"/>
      <c r="JTL6" s="7"/>
      <c r="JTM6" s="9"/>
      <c r="JTN6" s="1"/>
      <c r="JTO6" s="1"/>
      <c r="JTP6" s="1"/>
      <c r="JTQ6" s="1"/>
      <c r="JTR6" s="1"/>
      <c r="JTS6" s="1"/>
      <c r="JTT6" s="1"/>
      <c r="JTU6" s="1"/>
      <c r="JTW6" s="1"/>
      <c r="JTY6" s="6"/>
      <c r="JTZ6" s="7"/>
      <c r="JUA6" s="8"/>
      <c r="JUB6" s="9"/>
      <c r="JUC6" s="8"/>
      <c r="JUD6" s="7"/>
      <c r="JUE6" s="9"/>
      <c r="JUF6" s="8"/>
      <c r="JUG6" s="8"/>
      <c r="JUH6" s="7"/>
      <c r="JUI6" s="9"/>
      <c r="JUJ6" s="1"/>
      <c r="JUK6" s="1"/>
      <c r="JUL6" s="1"/>
      <c r="JUM6" s="1"/>
      <c r="JUN6" s="1"/>
      <c r="JUO6" s="1"/>
      <c r="JUP6" s="1"/>
      <c r="JUQ6" s="1"/>
      <c r="JUS6" s="1"/>
      <c r="JUU6" s="6"/>
      <c r="JUV6" s="7"/>
      <c r="JUW6" s="8"/>
      <c r="JUX6" s="9"/>
      <c r="JUY6" s="8"/>
      <c r="JUZ6" s="7"/>
      <c r="JVA6" s="9"/>
      <c r="JVB6" s="8"/>
      <c r="JVC6" s="8"/>
      <c r="JVD6" s="7"/>
      <c r="JVE6" s="9"/>
      <c r="JVF6" s="1"/>
      <c r="JVG6" s="1"/>
      <c r="JVH6" s="1"/>
      <c r="JVI6" s="1"/>
      <c r="JVJ6" s="1"/>
      <c r="JVK6" s="1"/>
      <c r="JVL6" s="1"/>
      <c r="JVM6" s="1"/>
      <c r="JVO6" s="1"/>
      <c r="JVQ6" s="6"/>
      <c r="JVR6" s="7"/>
      <c r="JVS6" s="8"/>
      <c r="JVT6" s="9"/>
      <c r="JVU6" s="8"/>
      <c r="JVV6" s="7"/>
      <c r="JVW6" s="9"/>
      <c r="JVX6" s="8"/>
      <c r="JVY6" s="8"/>
      <c r="JVZ6" s="7"/>
      <c r="JWA6" s="9"/>
      <c r="JWB6" s="1"/>
      <c r="JWC6" s="1"/>
      <c r="JWD6" s="1"/>
      <c r="JWE6" s="1"/>
      <c r="JWF6" s="1"/>
      <c r="JWG6" s="1"/>
      <c r="JWH6" s="1"/>
      <c r="JWI6" s="1"/>
      <c r="JWK6" s="1"/>
      <c r="JWM6" s="6"/>
      <c r="JWN6" s="7"/>
      <c r="JWO6" s="8"/>
      <c r="JWP6" s="9"/>
      <c r="JWQ6" s="8"/>
      <c r="JWR6" s="7"/>
      <c r="JWS6" s="9"/>
      <c r="JWT6" s="8"/>
      <c r="JWU6" s="8"/>
      <c r="JWV6" s="7"/>
      <c r="JWW6" s="9"/>
      <c r="JWX6" s="1"/>
      <c r="JWY6" s="1"/>
      <c r="JWZ6" s="1"/>
      <c r="JXA6" s="1"/>
      <c r="JXB6" s="1"/>
      <c r="JXC6" s="1"/>
      <c r="JXD6" s="1"/>
      <c r="JXE6" s="1"/>
      <c r="JXG6" s="1"/>
      <c r="JXI6" s="6"/>
      <c r="JXJ6" s="7"/>
      <c r="JXK6" s="8"/>
      <c r="JXL6" s="9"/>
      <c r="JXM6" s="8"/>
      <c r="JXN6" s="7"/>
      <c r="JXO6" s="9"/>
      <c r="JXP6" s="8"/>
      <c r="JXQ6" s="8"/>
      <c r="JXR6" s="7"/>
      <c r="JXS6" s="9"/>
      <c r="JXT6" s="1"/>
      <c r="JXU6" s="1"/>
      <c r="JXV6" s="1"/>
      <c r="JXW6" s="1"/>
      <c r="JXX6" s="1"/>
      <c r="JXY6" s="1"/>
      <c r="JXZ6" s="1"/>
      <c r="JYA6" s="1"/>
      <c r="JYC6" s="1"/>
      <c r="JYE6" s="6"/>
      <c r="JYF6" s="7"/>
      <c r="JYG6" s="8"/>
      <c r="JYH6" s="9"/>
      <c r="JYI6" s="8"/>
      <c r="JYJ6" s="7"/>
      <c r="JYK6" s="9"/>
      <c r="JYL6" s="8"/>
      <c r="JYM6" s="8"/>
      <c r="JYN6" s="7"/>
      <c r="JYO6" s="9"/>
      <c r="JYP6" s="1"/>
      <c r="JYQ6" s="1"/>
      <c r="JYR6" s="1"/>
      <c r="JYS6" s="1"/>
      <c r="JYT6" s="1"/>
      <c r="JYU6" s="1"/>
      <c r="JYV6" s="1"/>
      <c r="JYW6" s="1"/>
      <c r="JYY6" s="1"/>
      <c r="JZA6" s="6"/>
      <c r="JZB6" s="7"/>
      <c r="JZC6" s="8"/>
      <c r="JZD6" s="9"/>
      <c r="JZE6" s="8"/>
      <c r="JZF6" s="7"/>
      <c r="JZG6" s="9"/>
      <c r="JZH6" s="8"/>
      <c r="JZI6" s="8"/>
      <c r="JZJ6" s="7"/>
      <c r="JZK6" s="9"/>
      <c r="JZL6" s="1"/>
      <c r="JZM6" s="1"/>
      <c r="JZN6" s="1"/>
      <c r="JZO6" s="1"/>
      <c r="JZP6" s="1"/>
      <c r="JZQ6" s="1"/>
      <c r="JZR6" s="1"/>
      <c r="JZS6" s="1"/>
      <c r="JZU6" s="1"/>
      <c r="JZW6" s="6"/>
      <c r="JZX6" s="7"/>
      <c r="JZY6" s="8"/>
      <c r="JZZ6" s="9"/>
      <c r="KAA6" s="8"/>
      <c r="KAB6" s="7"/>
      <c r="KAC6" s="9"/>
      <c r="KAD6" s="8"/>
      <c r="KAE6" s="8"/>
      <c r="KAF6" s="7"/>
      <c r="KAG6" s="9"/>
      <c r="KAH6" s="1"/>
      <c r="KAI6" s="1"/>
      <c r="KAJ6" s="1"/>
      <c r="KAK6" s="1"/>
      <c r="KAL6" s="1"/>
      <c r="KAM6" s="1"/>
      <c r="KAN6" s="1"/>
      <c r="KAO6" s="1"/>
      <c r="KAQ6" s="1"/>
      <c r="KAS6" s="6"/>
      <c r="KAT6" s="7"/>
      <c r="KAU6" s="8"/>
      <c r="KAV6" s="9"/>
      <c r="KAW6" s="8"/>
      <c r="KAX6" s="7"/>
      <c r="KAY6" s="9"/>
      <c r="KAZ6" s="8"/>
      <c r="KBA6" s="8"/>
      <c r="KBB6" s="7"/>
      <c r="KBC6" s="9"/>
      <c r="KBD6" s="1"/>
      <c r="KBE6" s="1"/>
      <c r="KBF6" s="1"/>
      <c r="KBG6" s="1"/>
      <c r="KBH6" s="1"/>
      <c r="KBI6" s="1"/>
      <c r="KBJ6" s="1"/>
      <c r="KBK6" s="1"/>
      <c r="KBM6" s="1"/>
      <c r="KBO6" s="6"/>
      <c r="KBP6" s="7"/>
      <c r="KBQ6" s="8"/>
      <c r="KBR6" s="9"/>
      <c r="KBS6" s="8"/>
      <c r="KBT6" s="7"/>
      <c r="KBU6" s="9"/>
      <c r="KBV6" s="8"/>
      <c r="KBW6" s="8"/>
      <c r="KBX6" s="7"/>
      <c r="KBY6" s="9"/>
      <c r="KBZ6" s="1"/>
      <c r="KCA6" s="1"/>
      <c r="KCB6" s="1"/>
      <c r="KCC6" s="1"/>
      <c r="KCD6" s="1"/>
      <c r="KCE6" s="1"/>
      <c r="KCF6" s="1"/>
      <c r="KCG6" s="1"/>
      <c r="KCI6" s="1"/>
      <c r="KCK6" s="6"/>
      <c r="KCL6" s="7"/>
      <c r="KCM6" s="8"/>
      <c r="KCN6" s="9"/>
      <c r="KCO6" s="8"/>
      <c r="KCP6" s="7"/>
      <c r="KCQ6" s="9"/>
      <c r="KCR6" s="8"/>
      <c r="KCS6" s="8"/>
      <c r="KCT6" s="7"/>
      <c r="KCU6" s="9"/>
      <c r="KCV6" s="1"/>
      <c r="KCW6" s="1"/>
      <c r="KCX6" s="1"/>
      <c r="KCY6" s="1"/>
      <c r="KCZ6" s="1"/>
      <c r="KDA6" s="1"/>
      <c r="KDB6" s="1"/>
      <c r="KDC6" s="1"/>
      <c r="KDE6" s="1"/>
      <c r="KDG6" s="6"/>
      <c r="KDH6" s="7"/>
      <c r="KDI6" s="8"/>
      <c r="KDJ6" s="9"/>
      <c r="KDK6" s="8"/>
      <c r="KDL6" s="7"/>
      <c r="KDM6" s="9"/>
      <c r="KDN6" s="8"/>
      <c r="KDO6" s="8"/>
      <c r="KDP6" s="7"/>
      <c r="KDQ6" s="9"/>
      <c r="KDR6" s="1"/>
      <c r="KDS6" s="1"/>
      <c r="KDT6" s="1"/>
      <c r="KDU6" s="1"/>
      <c r="KDV6" s="1"/>
      <c r="KDW6" s="1"/>
      <c r="KDX6" s="1"/>
      <c r="KDY6" s="1"/>
      <c r="KEA6" s="1"/>
      <c r="KEC6" s="6"/>
      <c r="KED6" s="7"/>
      <c r="KEE6" s="8"/>
      <c r="KEF6" s="9"/>
      <c r="KEG6" s="8"/>
      <c r="KEH6" s="7"/>
      <c r="KEI6" s="9"/>
      <c r="KEJ6" s="8"/>
      <c r="KEK6" s="8"/>
      <c r="KEL6" s="7"/>
      <c r="KEM6" s="9"/>
      <c r="KEN6" s="1"/>
      <c r="KEO6" s="1"/>
      <c r="KEP6" s="1"/>
      <c r="KEQ6" s="1"/>
      <c r="KER6" s="1"/>
      <c r="KES6" s="1"/>
      <c r="KET6" s="1"/>
      <c r="KEU6" s="1"/>
      <c r="KEW6" s="1"/>
      <c r="KEY6" s="6"/>
      <c r="KEZ6" s="7"/>
      <c r="KFA6" s="8"/>
      <c r="KFB6" s="9"/>
      <c r="KFC6" s="8"/>
      <c r="KFD6" s="7"/>
      <c r="KFE6" s="9"/>
      <c r="KFF6" s="8"/>
      <c r="KFG6" s="8"/>
      <c r="KFH6" s="7"/>
      <c r="KFI6" s="9"/>
      <c r="KFJ6" s="1"/>
      <c r="KFK6" s="1"/>
      <c r="KFL6" s="1"/>
      <c r="KFM6" s="1"/>
      <c r="KFN6" s="1"/>
      <c r="KFO6" s="1"/>
      <c r="KFP6" s="1"/>
      <c r="KFQ6" s="1"/>
      <c r="KFS6" s="1"/>
      <c r="KFU6" s="6"/>
      <c r="KFV6" s="7"/>
      <c r="KFW6" s="8"/>
      <c r="KFX6" s="9"/>
      <c r="KFY6" s="8"/>
      <c r="KFZ6" s="7"/>
      <c r="KGA6" s="9"/>
      <c r="KGB6" s="8"/>
      <c r="KGC6" s="8"/>
      <c r="KGD6" s="7"/>
      <c r="KGE6" s="9"/>
      <c r="KGF6" s="1"/>
      <c r="KGG6" s="1"/>
      <c r="KGH6" s="1"/>
      <c r="KGI6" s="1"/>
      <c r="KGJ6" s="1"/>
      <c r="KGK6" s="1"/>
      <c r="KGL6" s="1"/>
      <c r="KGM6" s="1"/>
      <c r="KGO6" s="1"/>
      <c r="KGQ6" s="6"/>
      <c r="KGR6" s="7"/>
      <c r="KGS6" s="8"/>
      <c r="KGT6" s="9"/>
      <c r="KGU6" s="8"/>
      <c r="KGV6" s="7"/>
      <c r="KGW6" s="9"/>
      <c r="KGX6" s="8"/>
      <c r="KGY6" s="8"/>
      <c r="KGZ6" s="7"/>
      <c r="KHA6" s="9"/>
      <c r="KHB6" s="1"/>
      <c r="KHC6" s="1"/>
      <c r="KHD6" s="1"/>
      <c r="KHE6" s="1"/>
      <c r="KHF6" s="1"/>
      <c r="KHG6" s="1"/>
      <c r="KHH6" s="1"/>
      <c r="KHI6" s="1"/>
      <c r="KHK6" s="1"/>
      <c r="KHM6" s="6"/>
      <c r="KHN6" s="7"/>
      <c r="KHO6" s="8"/>
      <c r="KHP6" s="9"/>
      <c r="KHQ6" s="8"/>
      <c r="KHR6" s="7"/>
      <c r="KHS6" s="9"/>
      <c r="KHT6" s="8"/>
      <c r="KHU6" s="8"/>
      <c r="KHV6" s="7"/>
      <c r="KHW6" s="9"/>
      <c r="KHX6" s="1"/>
      <c r="KHY6" s="1"/>
      <c r="KHZ6" s="1"/>
      <c r="KIA6" s="1"/>
      <c r="KIB6" s="1"/>
      <c r="KIC6" s="1"/>
      <c r="KID6" s="1"/>
      <c r="KIE6" s="1"/>
      <c r="KIG6" s="1"/>
      <c r="KII6" s="6"/>
      <c r="KIJ6" s="7"/>
      <c r="KIK6" s="8"/>
      <c r="KIL6" s="9"/>
      <c r="KIM6" s="8"/>
      <c r="KIN6" s="7"/>
      <c r="KIO6" s="9"/>
      <c r="KIP6" s="8"/>
      <c r="KIQ6" s="8"/>
      <c r="KIR6" s="7"/>
      <c r="KIS6" s="9"/>
      <c r="KIT6" s="1"/>
      <c r="KIU6" s="1"/>
      <c r="KIV6" s="1"/>
      <c r="KIW6" s="1"/>
      <c r="KIX6" s="1"/>
      <c r="KIY6" s="1"/>
      <c r="KIZ6" s="1"/>
      <c r="KJA6" s="1"/>
      <c r="KJC6" s="1"/>
      <c r="KJE6" s="6"/>
      <c r="KJF6" s="7"/>
      <c r="KJG6" s="8"/>
      <c r="KJH6" s="9"/>
      <c r="KJI6" s="8"/>
      <c r="KJJ6" s="7"/>
      <c r="KJK6" s="9"/>
      <c r="KJL6" s="8"/>
      <c r="KJM6" s="8"/>
      <c r="KJN6" s="7"/>
      <c r="KJO6" s="9"/>
      <c r="KJP6" s="1"/>
      <c r="KJQ6" s="1"/>
      <c r="KJR6" s="1"/>
      <c r="KJS6" s="1"/>
      <c r="KJT6" s="1"/>
      <c r="KJU6" s="1"/>
      <c r="KJV6" s="1"/>
      <c r="KJW6" s="1"/>
      <c r="KJY6" s="1"/>
      <c r="KKA6" s="6"/>
      <c r="KKB6" s="7"/>
      <c r="KKC6" s="8"/>
      <c r="KKD6" s="9"/>
      <c r="KKE6" s="8"/>
      <c r="KKF6" s="7"/>
      <c r="KKG6" s="9"/>
      <c r="KKH6" s="8"/>
      <c r="KKI6" s="8"/>
      <c r="KKJ6" s="7"/>
      <c r="KKK6" s="9"/>
      <c r="KKL6" s="1"/>
      <c r="KKM6" s="1"/>
      <c r="KKN6" s="1"/>
      <c r="KKO6" s="1"/>
      <c r="KKP6" s="1"/>
      <c r="KKQ6" s="1"/>
      <c r="KKR6" s="1"/>
      <c r="KKS6" s="1"/>
      <c r="KKU6" s="1"/>
      <c r="KKW6" s="6"/>
      <c r="KKX6" s="7"/>
      <c r="KKY6" s="8"/>
      <c r="KKZ6" s="9"/>
      <c r="KLA6" s="8"/>
      <c r="KLB6" s="7"/>
      <c r="KLC6" s="9"/>
      <c r="KLD6" s="8"/>
      <c r="KLE6" s="8"/>
      <c r="KLF6" s="7"/>
      <c r="KLG6" s="9"/>
      <c r="KLH6" s="1"/>
      <c r="KLI6" s="1"/>
      <c r="KLJ6" s="1"/>
      <c r="KLK6" s="1"/>
      <c r="KLL6" s="1"/>
      <c r="KLM6" s="1"/>
      <c r="KLN6" s="1"/>
      <c r="KLO6" s="1"/>
      <c r="KLQ6" s="1"/>
      <c r="KLS6" s="6"/>
      <c r="KLT6" s="7"/>
      <c r="KLU6" s="8"/>
      <c r="KLV6" s="9"/>
      <c r="KLW6" s="8"/>
      <c r="KLX6" s="7"/>
      <c r="KLY6" s="9"/>
      <c r="KLZ6" s="8"/>
      <c r="KMA6" s="8"/>
      <c r="KMB6" s="7"/>
      <c r="KMC6" s="9"/>
      <c r="KMD6" s="1"/>
      <c r="KME6" s="1"/>
      <c r="KMF6" s="1"/>
      <c r="KMG6" s="1"/>
      <c r="KMH6" s="1"/>
      <c r="KMI6" s="1"/>
      <c r="KMJ6" s="1"/>
      <c r="KMK6" s="1"/>
      <c r="KMM6" s="1"/>
      <c r="KMO6" s="6"/>
      <c r="KMP6" s="7"/>
      <c r="KMQ6" s="8"/>
      <c r="KMR6" s="9"/>
      <c r="KMS6" s="8"/>
      <c r="KMT6" s="7"/>
      <c r="KMU6" s="9"/>
      <c r="KMV6" s="8"/>
      <c r="KMW6" s="8"/>
      <c r="KMX6" s="7"/>
      <c r="KMY6" s="9"/>
      <c r="KMZ6" s="1"/>
      <c r="KNA6" s="1"/>
      <c r="KNB6" s="1"/>
      <c r="KNC6" s="1"/>
      <c r="KND6" s="1"/>
      <c r="KNE6" s="1"/>
      <c r="KNF6" s="1"/>
      <c r="KNG6" s="1"/>
      <c r="KNI6" s="1"/>
      <c r="KNK6" s="6"/>
      <c r="KNL6" s="7"/>
      <c r="KNM6" s="8"/>
      <c r="KNN6" s="9"/>
      <c r="KNO6" s="8"/>
      <c r="KNP6" s="7"/>
      <c r="KNQ6" s="9"/>
      <c r="KNR6" s="8"/>
      <c r="KNS6" s="8"/>
      <c r="KNT6" s="7"/>
      <c r="KNU6" s="9"/>
      <c r="KNV6" s="1"/>
      <c r="KNW6" s="1"/>
      <c r="KNX6" s="1"/>
      <c r="KNY6" s="1"/>
      <c r="KNZ6" s="1"/>
      <c r="KOA6" s="1"/>
      <c r="KOB6" s="1"/>
      <c r="KOC6" s="1"/>
      <c r="KOE6" s="1"/>
      <c r="KOG6" s="6"/>
      <c r="KOH6" s="7"/>
      <c r="KOI6" s="8"/>
      <c r="KOJ6" s="9"/>
      <c r="KOK6" s="8"/>
      <c r="KOL6" s="7"/>
      <c r="KOM6" s="9"/>
      <c r="KON6" s="8"/>
      <c r="KOO6" s="8"/>
      <c r="KOP6" s="7"/>
      <c r="KOQ6" s="9"/>
      <c r="KOR6" s="1"/>
      <c r="KOS6" s="1"/>
      <c r="KOT6" s="1"/>
      <c r="KOU6" s="1"/>
      <c r="KOV6" s="1"/>
      <c r="KOW6" s="1"/>
      <c r="KOX6" s="1"/>
      <c r="KOY6" s="1"/>
      <c r="KPA6" s="1"/>
      <c r="KPC6" s="6"/>
      <c r="KPD6" s="7"/>
      <c r="KPE6" s="8"/>
      <c r="KPF6" s="9"/>
      <c r="KPG6" s="8"/>
      <c r="KPH6" s="7"/>
      <c r="KPI6" s="9"/>
      <c r="KPJ6" s="8"/>
      <c r="KPK6" s="8"/>
      <c r="KPL6" s="7"/>
      <c r="KPM6" s="9"/>
      <c r="KPN6" s="1"/>
      <c r="KPO6" s="1"/>
      <c r="KPP6" s="1"/>
      <c r="KPQ6" s="1"/>
      <c r="KPR6" s="1"/>
      <c r="KPS6" s="1"/>
      <c r="KPT6" s="1"/>
      <c r="KPU6" s="1"/>
      <c r="KPW6" s="1"/>
      <c r="KPY6" s="6"/>
      <c r="KPZ6" s="7"/>
      <c r="KQA6" s="8"/>
      <c r="KQB6" s="9"/>
      <c r="KQC6" s="8"/>
      <c r="KQD6" s="7"/>
      <c r="KQE6" s="9"/>
      <c r="KQF6" s="8"/>
      <c r="KQG6" s="8"/>
      <c r="KQH6" s="7"/>
      <c r="KQI6" s="9"/>
      <c r="KQJ6" s="1"/>
      <c r="KQK6" s="1"/>
      <c r="KQL6" s="1"/>
      <c r="KQM6" s="1"/>
      <c r="KQN6" s="1"/>
      <c r="KQO6" s="1"/>
      <c r="KQP6" s="1"/>
      <c r="KQQ6" s="1"/>
      <c r="KQS6" s="1"/>
      <c r="KQU6" s="6"/>
      <c r="KQV6" s="7"/>
      <c r="KQW6" s="8"/>
      <c r="KQX6" s="9"/>
      <c r="KQY6" s="8"/>
      <c r="KQZ6" s="7"/>
      <c r="KRA6" s="9"/>
      <c r="KRB6" s="8"/>
      <c r="KRC6" s="8"/>
      <c r="KRD6" s="7"/>
      <c r="KRE6" s="9"/>
      <c r="KRF6" s="1"/>
      <c r="KRG6" s="1"/>
      <c r="KRH6" s="1"/>
      <c r="KRI6" s="1"/>
      <c r="KRJ6" s="1"/>
      <c r="KRK6" s="1"/>
      <c r="KRL6" s="1"/>
      <c r="KRM6" s="1"/>
      <c r="KRO6" s="1"/>
      <c r="KRQ6" s="6"/>
      <c r="KRR6" s="7"/>
      <c r="KRS6" s="8"/>
      <c r="KRT6" s="9"/>
      <c r="KRU6" s="8"/>
      <c r="KRV6" s="7"/>
      <c r="KRW6" s="9"/>
      <c r="KRX6" s="8"/>
      <c r="KRY6" s="8"/>
      <c r="KRZ6" s="7"/>
      <c r="KSA6" s="9"/>
      <c r="KSB6" s="1"/>
      <c r="KSC6" s="1"/>
      <c r="KSD6" s="1"/>
      <c r="KSE6" s="1"/>
      <c r="KSF6" s="1"/>
      <c r="KSG6" s="1"/>
      <c r="KSH6" s="1"/>
      <c r="KSI6" s="1"/>
      <c r="KSK6" s="1"/>
      <c r="KSM6" s="6"/>
      <c r="KSN6" s="7"/>
      <c r="KSO6" s="8"/>
      <c r="KSP6" s="9"/>
      <c r="KSQ6" s="8"/>
      <c r="KSR6" s="7"/>
      <c r="KSS6" s="9"/>
      <c r="KST6" s="8"/>
      <c r="KSU6" s="8"/>
      <c r="KSV6" s="7"/>
      <c r="KSW6" s="9"/>
      <c r="KSX6" s="1"/>
      <c r="KSY6" s="1"/>
      <c r="KSZ6" s="1"/>
      <c r="KTA6" s="1"/>
      <c r="KTB6" s="1"/>
      <c r="KTC6" s="1"/>
      <c r="KTD6" s="1"/>
      <c r="KTE6" s="1"/>
      <c r="KTG6" s="1"/>
      <c r="KTI6" s="6"/>
      <c r="KTJ6" s="7"/>
      <c r="KTK6" s="8"/>
      <c r="KTL6" s="9"/>
      <c r="KTM6" s="8"/>
      <c r="KTN6" s="7"/>
      <c r="KTO6" s="9"/>
      <c r="KTP6" s="8"/>
      <c r="KTQ6" s="8"/>
      <c r="KTR6" s="7"/>
      <c r="KTS6" s="9"/>
      <c r="KTT6" s="1"/>
      <c r="KTU6" s="1"/>
      <c r="KTV6" s="1"/>
      <c r="KTW6" s="1"/>
      <c r="KTX6" s="1"/>
      <c r="KTY6" s="1"/>
      <c r="KTZ6" s="1"/>
      <c r="KUA6" s="1"/>
      <c r="KUC6" s="1"/>
      <c r="KUE6" s="6"/>
      <c r="KUF6" s="7"/>
      <c r="KUG6" s="8"/>
      <c r="KUH6" s="9"/>
      <c r="KUI6" s="8"/>
      <c r="KUJ6" s="7"/>
      <c r="KUK6" s="9"/>
      <c r="KUL6" s="8"/>
      <c r="KUM6" s="8"/>
      <c r="KUN6" s="7"/>
      <c r="KUO6" s="9"/>
      <c r="KUP6" s="1"/>
      <c r="KUQ6" s="1"/>
      <c r="KUR6" s="1"/>
      <c r="KUS6" s="1"/>
      <c r="KUT6" s="1"/>
      <c r="KUU6" s="1"/>
      <c r="KUV6" s="1"/>
      <c r="KUW6" s="1"/>
      <c r="KUY6" s="1"/>
      <c r="KVA6" s="6"/>
      <c r="KVB6" s="7"/>
      <c r="KVC6" s="8"/>
      <c r="KVD6" s="9"/>
      <c r="KVE6" s="8"/>
      <c r="KVF6" s="7"/>
      <c r="KVG6" s="9"/>
      <c r="KVH6" s="8"/>
      <c r="KVI6" s="8"/>
      <c r="KVJ6" s="7"/>
      <c r="KVK6" s="9"/>
      <c r="KVL6" s="1"/>
      <c r="KVM6" s="1"/>
      <c r="KVN6" s="1"/>
      <c r="KVO6" s="1"/>
      <c r="KVP6" s="1"/>
      <c r="KVQ6" s="1"/>
      <c r="KVR6" s="1"/>
      <c r="KVS6" s="1"/>
      <c r="KVU6" s="1"/>
      <c r="KVW6" s="6"/>
      <c r="KVX6" s="7"/>
      <c r="KVY6" s="8"/>
      <c r="KVZ6" s="9"/>
      <c r="KWA6" s="8"/>
      <c r="KWB6" s="7"/>
      <c r="KWC6" s="9"/>
      <c r="KWD6" s="8"/>
      <c r="KWE6" s="8"/>
      <c r="KWF6" s="7"/>
      <c r="KWG6" s="9"/>
      <c r="KWH6" s="1"/>
      <c r="KWI6" s="1"/>
      <c r="KWJ6" s="1"/>
      <c r="KWK6" s="1"/>
      <c r="KWL6" s="1"/>
      <c r="KWM6" s="1"/>
      <c r="KWN6" s="1"/>
      <c r="KWO6" s="1"/>
      <c r="KWQ6" s="1"/>
      <c r="KWS6" s="6"/>
      <c r="KWT6" s="7"/>
      <c r="KWU6" s="8"/>
      <c r="KWV6" s="9"/>
      <c r="KWW6" s="8"/>
      <c r="KWX6" s="7"/>
      <c r="KWY6" s="9"/>
      <c r="KWZ6" s="8"/>
      <c r="KXA6" s="8"/>
      <c r="KXB6" s="7"/>
      <c r="KXC6" s="9"/>
      <c r="KXD6" s="1"/>
      <c r="KXE6" s="1"/>
      <c r="KXF6" s="1"/>
      <c r="KXG6" s="1"/>
      <c r="KXH6" s="1"/>
      <c r="KXI6" s="1"/>
      <c r="KXJ6" s="1"/>
      <c r="KXK6" s="1"/>
      <c r="KXM6" s="1"/>
      <c r="KXO6" s="6"/>
      <c r="KXP6" s="7"/>
      <c r="KXQ6" s="8"/>
      <c r="KXR6" s="9"/>
      <c r="KXS6" s="8"/>
      <c r="KXT6" s="7"/>
      <c r="KXU6" s="9"/>
      <c r="KXV6" s="8"/>
      <c r="KXW6" s="8"/>
      <c r="KXX6" s="7"/>
      <c r="KXY6" s="9"/>
      <c r="KXZ6" s="1"/>
      <c r="KYA6" s="1"/>
      <c r="KYB6" s="1"/>
      <c r="KYC6" s="1"/>
      <c r="KYD6" s="1"/>
      <c r="KYE6" s="1"/>
      <c r="KYF6" s="1"/>
      <c r="KYG6" s="1"/>
      <c r="KYI6" s="1"/>
      <c r="KYK6" s="6"/>
      <c r="KYL6" s="7"/>
      <c r="KYM6" s="8"/>
      <c r="KYN6" s="9"/>
      <c r="KYO6" s="8"/>
      <c r="KYP6" s="7"/>
      <c r="KYQ6" s="9"/>
      <c r="KYR6" s="8"/>
      <c r="KYS6" s="8"/>
      <c r="KYT6" s="7"/>
      <c r="KYU6" s="9"/>
      <c r="KYV6" s="1"/>
      <c r="KYW6" s="1"/>
      <c r="KYX6" s="1"/>
      <c r="KYY6" s="1"/>
      <c r="KYZ6" s="1"/>
      <c r="KZA6" s="1"/>
      <c r="KZB6" s="1"/>
      <c r="KZC6" s="1"/>
      <c r="KZE6" s="1"/>
      <c r="KZG6" s="6"/>
      <c r="KZH6" s="7"/>
      <c r="KZI6" s="8"/>
      <c r="KZJ6" s="9"/>
      <c r="KZK6" s="8"/>
      <c r="KZL6" s="7"/>
      <c r="KZM6" s="9"/>
      <c r="KZN6" s="8"/>
      <c r="KZO6" s="8"/>
      <c r="KZP6" s="7"/>
      <c r="KZQ6" s="9"/>
      <c r="KZR6" s="1"/>
      <c r="KZS6" s="1"/>
      <c r="KZT6" s="1"/>
      <c r="KZU6" s="1"/>
      <c r="KZV6" s="1"/>
      <c r="KZW6" s="1"/>
      <c r="KZX6" s="1"/>
      <c r="KZY6" s="1"/>
      <c r="LAA6" s="1"/>
      <c r="LAC6" s="6"/>
      <c r="LAD6" s="7"/>
      <c r="LAE6" s="8"/>
      <c r="LAF6" s="9"/>
      <c r="LAG6" s="8"/>
      <c r="LAH6" s="7"/>
      <c r="LAI6" s="9"/>
      <c r="LAJ6" s="8"/>
      <c r="LAK6" s="8"/>
      <c r="LAL6" s="7"/>
      <c r="LAM6" s="9"/>
      <c r="LAN6" s="1"/>
      <c r="LAO6" s="1"/>
      <c r="LAP6" s="1"/>
      <c r="LAQ6" s="1"/>
      <c r="LAR6" s="1"/>
      <c r="LAS6" s="1"/>
      <c r="LAT6" s="1"/>
      <c r="LAU6" s="1"/>
      <c r="LAW6" s="1"/>
      <c r="LAY6" s="6"/>
      <c r="LAZ6" s="7"/>
      <c r="LBA6" s="8"/>
      <c r="LBB6" s="9"/>
      <c r="LBC6" s="8"/>
      <c r="LBD6" s="7"/>
      <c r="LBE6" s="9"/>
      <c r="LBF6" s="8"/>
      <c r="LBG6" s="8"/>
      <c r="LBH6" s="7"/>
      <c r="LBI6" s="9"/>
      <c r="LBJ6" s="1"/>
      <c r="LBK6" s="1"/>
      <c r="LBL6" s="1"/>
      <c r="LBM6" s="1"/>
      <c r="LBN6" s="1"/>
      <c r="LBO6" s="1"/>
      <c r="LBP6" s="1"/>
      <c r="LBQ6" s="1"/>
      <c r="LBS6" s="1"/>
      <c r="LBU6" s="6"/>
      <c r="LBV6" s="7"/>
      <c r="LBW6" s="8"/>
      <c r="LBX6" s="9"/>
      <c r="LBY6" s="8"/>
      <c r="LBZ6" s="7"/>
      <c r="LCA6" s="9"/>
      <c r="LCB6" s="8"/>
      <c r="LCC6" s="8"/>
      <c r="LCD6" s="7"/>
      <c r="LCE6" s="9"/>
      <c r="LCF6" s="1"/>
      <c r="LCG6" s="1"/>
      <c r="LCH6" s="1"/>
      <c r="LCI6" s="1"/>
      <c r="LCJ6" s="1"/>
      <c r="LCK6" s="1"/>
      <c r="LCL6" s="1"/>
      <c r="LCM6" s="1"/>
      <c r="LCO6" s="1"/>
      <c r="LCQ6" s="6"/>
      <c r="LCR6" s="7"/>
      <c r="LCS6" s="8"/>
      <c r="LCT6" s="9"/>
      <c r="LCU6" s="8"/>
      <c r="LCV6" s="7"/>
      <c r="LCW6" s="9"/>
      <c r="LCX6" s="8"/>
      <c r="LCY6" s="8"/>
      <c r="LCZ6" s="7"/>
      <c r="LDA6" s="9"/>
      <c r="LDB6" s="1"/>
      <c r="LDC6" s="1"/>
      <c r="LDD6" s="1"/>
      <c r="LDE6" s="1"/>
      <c r="LDF6" s="1"/>
      <c r="LDG6" s="1"/>
      <c r="LDH6" s="1"/>
      <c r="LDI6" s="1"/>
      <c r="LDK6" s="1"/>
      <c r="LDM6" s="6"/>
      <c r="LDN6" s="7"/>
      <c r="LDO6" s="8"/>
      <c r="LDP6" s="9"/>
      <c r="LDQ6" s="8"/>
      <c r="LDR6" s="7"/>
      <c r="LDS6" s="9"/>
      <c r="LDT6" s="8"/>
      <c r="LDU6" s="8"/>
      <c r="LDV6" s="7"/>
      <c r="LDW6" s="9"/>
      <c r="LDX6" s="1"/>
      <c r="LDY6" s="1"/>
      <c r="LDZ6" s="1"/>
      <c r="LEA6" s="1"/>
      <c r="LEB6" s="1"/>
      <c r="LEC6" s="1"/>
      <c r="LED6" s="1"/>
      <c r="LEE6" s="1"/>
      <c r="LEG6" s="1"/>
      <c r="LEI6" s="6"/>
      <c r="LEJ6" s="7"/>
      <c r="LEK6" s="8"/>
      <c r="LEL6" s="9"/>
      <c r="LEM6" s="8"/>
      <c r="LEN6" s="7"/>
      <c r="LEO6" s="9"/>
      <c r="LEP6" s="8"/>
      <c r="LEQ6" s="8"/>
      <c r="LER6" s="7"/>
      <c r="LES6" s="9"/>
      <c r="LET6" s="1"/>
      <c r="LEU6" s="1"/>
      <c r="LEV6" s="1"/>
      <c r="LEW6" s="1"/>
      <c r="LEX6" s="1"/>
      <c r="LEY6" s="1"/>
      <c r="LEZ6" s="1"/>
      <c r="LFA6" s="1"/>
      <c r="LFC6" s="1"/>
      <c r="LFE6" s="6"/>
      <c r="LFF6" s="7"/>
      <c r="LFG6" s="8"/>
      <c r="LFH6" s="9"/>
      <c r="LFI6" s="8"/>
      <c r="LFJ6" s="7"/>
      <c r="LFK6" s="9"/>
      <c r="LFL6" s="8"/>
      <c r="LFM6" s="8"/>
      <c r="LFN6" s="7"/>
      <c r="LFO6" s="9"/>
      <c r="LFP6" s="1"/>
      <c r="LFQ6" s="1"/>
      <c r="LFR6" s="1"/>
      <c r="LFS6" s="1"/>
      <c r="LFT6" s="1"/>
      <c r="LFU6" s="1"/>
      <c r="LFV6" s="1"/>
      <c r="LFW6" s="1"/>
      <c r="LFY6" s="1"/>
      <c r="LGA6" s="6"/>
      <c r="LGB6" s="7"/>
      <c r="LGC6" s="8"/>
      <c r="LGD6" s="9"/>
      <c r="LGE6" s="8"/>
      <c r="LGF6" s="7"/>
      <c r="LGG6" s="9"/>
      <c r="LGH6" s="8"/>
      <c r="LGI6" s="8"/>
      <c r="LGJ6" s="7"/>
      <c r="LGK6" s="9"/>
      <c r="LGL6" s="1"/>
      <c r="LGM6" s="1"/>
      <c r="LGN6" s="1"/>
      <c r="LGO6" s="1"/>
      <c r="LGP6" s="1"/>
      <c r="LGQ6" s="1"/>
      <c r="LGR6" s="1"/>
      <c r="LGS6" s="1"/>
      <c r="LGU6" s="1"/>
      <c r="LGW6" s="6"/>
      <c r="LGX6" s="7"/>
      <c r="LGY6" s="8"/>
      <c r="LGZ6" s="9"/>
      <c r="LHA6" s="8"/>
      <c r="LHB6" s="7"/>
      <c r="LHC6" s="9"/>
      <c r="LHD6" s="8"/>
      <c r="LHE6" s="8"/>
      <c r="LHF6" s="7"/>
      <c r="LHG6" s="9"/>
      <c r="LHH6" s="1"/>
      <c r="LHI6" s="1"/>
      <c r="LHJ6" s="1"/>
      <c r="LHK6" s="1"/>
      <c r="LHL6" s="1"/>
      <c r="LHM6" s="1"/>
      <c r="LHN6" s="1"/>
      <c r="LHO6" s="1"/>
      <c r="LHQ6" s="1"/>
      <c r="LHS6" s="6"/>
      <c r="LHT6" s="7"/>
      <c r="LHU6" s="8"/>
      <c r="LHV6" s="9"/>
      <c r="LHW6" s="8"/>
      <c r="LHX6" s="7"/>
      <c r="LHY6" s="9"/>
      <c r="LHZ6" s="8"/>
      <c r="LIA6" s="8"/>
      <c r="LIB6" s="7"/>
      <c r="LIC6" s="9"/>
      <c r="LID6" s="1"/>
      <c r="LIE6" s="1"/>
      <c r="LIF6" s="1"/>
      <c r="LIG6" s="1"/>
      <c r="LIH6" s="1"/>
      <c r="LII6" s="1"/>
      <c r="LIJ6" s="1"/>
      <c r="LIK6" s="1"/>
      <c r="LIM6" s="1"/>
      <c r="LIO6" s="6"/>
      <c r="LIP6" s="7"/>
      <c r="LIQ6" s="8"/>
      <c r="LIR6" s="9"/>
      <c r="LIS6" s="8"/>
      <c r="LIT6" s="7"/>
      <c r="LIU6" s="9"/>
      <c r="LIV6" s="8"/>
      <c r="LIW6" s="8"/>
      <c r="LIX6" s="7"/>
      <c r="LIY6" s="9"/>
      <c r="LIZ6" s="1"/>
      <c r="LJA6" s="1"/>
      <c r="LJB6" s="1"/>
      <c r="LJC6" s="1"/>
      <c r="LJD6" s="1"/>
      <c r="LJE6" s="1"/>
      <c r="LJF6" s="1"/>
      <c r="LJG6" s="1"/>
      <c r="LJI6" s="1"/>
      <c r="LJK6" s="6"/>
      <c r="LJL6" s="7"/>
      <c r="LJM6" s="8"/>
      <c r="LJN6" s="9"/>
      <c r="LJO6" s="8"/>
      <c r="LJP6" s="7"/>
      <c r="LJQ6" s="9"/>
      <c r="LJR6" s="8"/>
      <c r="LJS6" s="8"/>
      <c r="LJT6" s="7"/>
      <c r="LJU6" s="9"/>
      <c r="LJV6" s="1"/>
      <c r="LJW6" s="1"/>
      <c r="LJX6" s="1"/>
      <c r="LJY6" s="1"/>
      <c r="LJZ6" s="1"/>
      <c r="LKA6" s="1"/>
      <c r="LKB6" s="1"/>
      <c r="LKC6" s="1"/>
      <c r="LKE6" s="1"/>
      <c r="LKG6" s="6"/>
      <c r="LKH6" s="7"/>
      <c r="LKI6" s="8"/>
      <c r="LKJ6" s="9"/>
      <c r="LKK6" s="8"/>
      <c r="LKL6" s="7"/>
      <c r="LKM6" s="9"/>
      <c r="LKN6" s="8"/>
      <c r="LKO6" s="8"/>
      <c r="LKP6" s="7"/>
      <c r="LKQ6" s="9"/>
      <c r="LKR6" s="1"/>
      <c r="LKS6" s="1"/>
      <c r="LKT6" s="1"/>
      <c r="LKU6" s="1"/>
      <c r="LKV6" s="1"/>
      <c r="LKW6" s="1"/>
      <c r="LKX6" s="1"/>
      <c r="LKY6" s="1"/>
      <c r="LLA6" s="1"/>
      <c r="LLC6" s="6"/>
      <c r="LLD6" s="7"/>
      <c r="LLE6" s="8"/>
      <c r="LLF6" s="9"/>
      <c r="LLG6" s="8"/>
      <c r="LLH6" s="7"/>
      <c r="LLI6" s="9"/>
      <c r="LLJ6" s="8"/>
      <c r="LLK6" s="8"/>
      <c r="LLL6" s="7"/>
      <c r="LLM6" s="9"/>
      <c r="LLN6" s="1"/>
      <c r="LLO6" s="1"/>
      <c r="LLP6" s="1"/>
      <c r="LLQ6" s="1"/>
      <c r="LLR6" s="1"/>
      <c r="LLS6" s="1"/>
      <c r="LLT6" s="1"/>
      <c r="LLU6" s="1"/>
      <c r="LLW6" s="1"/>
      <c r="LLY6" s="6"/>
      <c r="LLZ6" s="7"/>
      <c r="LMA6" s="8"/>
      <c r="LMB6" s="9"/>
      <c r="LMC6" s="8"/>
      <c r="LMD6" s="7"/>
      <c r="LME6" s="9"/>
      <c r="LMF6" s="8"/>
      <c r="LMG6" s="8"/>
      <c r="LMH6" s="7"/>
      <c r="LMI6" s="9"/>
      <c r="LMJ6" s="1"/>
      <c r="LMK6" s="1"/>
      <c r="LML6" s="1"/>
      <c r="LMM6" s="1"/>
      <c r="LMN6" s="1"/>
      <c r="LMO6" s="1"/>
      <c r="LMP6" s="1"/>
      <c r="LMQ6" s="1"/>
      <c r="LMS6" s="1"/>
      <c r="LMU6" s="6"/>
      <c r="LMV6" s="7"/>
      <c r="LMW6" s="8"/>
      <c r="LMX6" s="9"/>
      <c r="LMY6" s="8"/>
      <c r="LMZ6" s="7"/>
      <c r="LNA6" s="9"/>
      <c r="LNB6" s="8"/>
      <c r="LNC6" s="8"/>
      <c r="LND6" s="7"/>
      <c r="LNE6" s="9"/>
      <c r="LNF6" s="1"/>
      <c r="LNG6" s="1"/>
      <c r="LNH6" s="1"/>
      <c r="LNI6" s="1"/>
      <c r="LNJ6" s="1"/>
      <c r="LNK6" s="1"/>
      <c r="LNL6" s="1"/>
      <c r="LNM6" s="1"/>
      <c r="LNO6" s="1"/>
      <c r="LNQ6" s="6"/>
      <c r="LNR6" s="7"/>
      <c r="LNS6" s="8"/>
      <c r="LNT6" s="9"/>
      <c r="LNU6" s="8"/>
      <c r="LNV6" s="7"/>
      <c r="LNW6" s="9"/>
      <c r="LNX6" s="8"/>
      <c r="LNY6" s="8"/>
      <c r="LNZ6" s="7"/>
      <c r="LOA6" s="9"/>
      <c r="LOB6" s="1"/>
      <c r="LOC6" s="1"/>
      <c r="LOD6" s="1"/>
      <c r="LOE6" s="1"/>
      <c r="LOF6" s="1"/>
      <c r="LOG6" s="1"/>
      <c r="LOH6" s="1"/>
      <c r="LOI6" s="1"/>
      <c r="LOK6" s="1"/>
      <c r="LOM6" s="6"/>
      <c r="LON6" s="7"/>
      <c r="LOO6" s="8"/>
      <c r="LOP6" s="9"/>
      <c r="LOQ6" s="8"/>
      <c r="LOR6" s="7"/>
      <c r="LOS6" s="9"/>
      <c r="LOT6" s="8"/>
      <c r="LOU6" s="8"/>
      <c r="LOV6" s="7"/>
      <c r="LOW6" s="9"/>
      <c r="LOX6" s="1"/>
      <c r="LOY6" s="1"/>
      <c r="LOZ6" s="1"/>
      <c r="LPA6" s="1"/>
      <c r="LPB6" s="1"/>
      <c r="LPC6" s="1"/>
      <c r="LPD6" s="1"/>
      <c r="LPE6" s="1"/>
      <c r="LPG6" s="1"/>
      <c r="LPI6" s="6"/>
      <c r="LPJ6" s="7"/>
      <c r="LPK6" s="8"/>
      <c r="LPL6" s="9"/>
      <c r="LPM6" s="8"/>
      <c r="LPN6" s="7"/>
      <c r="LPO6" s="9"/>
      <c r="LPP6" s="8"/>
      <c r="LPQ6" s="8"/>
      <c r="LPR6" s="7"/>
      <c r="LPS6" s="9"/>
      <c r="LPT6" s="1"/>
      <c r="LPU6" s="1"/>
      <c r="LPV6" s="1"/>
      <c r="LPW6" s="1"/>
      <c r="LPX6" s="1"/>
      <c r="LPY6" s="1"/>
      <c r="LPZ6" s="1"/>
      <c r="LQA6" s="1"/>
      <c r="LQC6" s="1"/>
      <c r="LQE6" s="6"/>
      <c r="LQF6" s="7"/>
      <c r="LQG6" s="8"/>
      <c r="LQH6" s="9"/>
      <c r="LQI6" s="8"/>
      <c r="LQJ6" s="7"/>
      <c r="LQK6" s="9"/>
      <c r="LQL6" s="8"/>
      <c r="LQM6" s="8"/>
      <c r="LQN6" s="7"/>
      <c r="LQO6" s="9"/>
      <c r="LQP6" s="1"/>
      <c r="LQQ6" s="1"/>
      <c r="LQR6" s="1"/>
      <c r="LQS6" s="1"/>
      <c r="LQT6" s="1"/>
      <c r="LQU6" s="1"/>
      <c r="LQV6" s="1"/>
      <c r="LQW6" s="1"/>
      <c r="LQY6" s="1"/>
      <c r="LRA6" s="6"/>
      <c r="LRB6" s="7"/>
      <c r="LRC6" s="8"/>
      <c r="LRD6" s="9"/>
      <c r="LRE6" s="8"/>
      <c r="LRF6" s="7"/>
      <c r="LRG6" s="9"/>
      <c r="LRH6" s="8"/>
      <c r="LRI6" s="8"/>
      <c r="LRJ6" s="7"/>
      <c r="LRK6" s="9"/>
      <c r="LRL6" s="1"/>
      <c r="LRM6" s="1"/>
      <c r="LRN6" s="1"/>
      <c r="LRO6" s="1"/>
      <c r="LRP6" s="1"/>
      <c r="LRQ6" s="1"/>
      <c r="LRR6" s="1"/>
      <c r="LRS6" s="1"/>
      <c r="LRU6" s="1"/>
      <c r="LRW6" s="6"/>
      <c r="LRX6" s="7"/>
      <c r="LRY6" s="8"/>
      <c r="LRZ6" s="9"/>
      <c r="LSA6" s="8"/>
      <c r="LSB6" s="7"/>
      <c r="LSC6" s="9"/>
      <c r="LSD6" s="8"/>
      <c r="LSE6" s="8"/>
      <c r="LSF6" s="7"/>
      <c r="LSG6" s="9"/>
      <c r="LSH6" s="1"/>
      <c r="LSI6" s="1"/>
      <c r="LSJ6" s="1"/>
      <c r="LSK6" s="1"/>
      <c r="LSL6" s="1"/>
      <c r="LSM6" s="1"/>
      <c r="LSN6" s="1"/>
      <c r="LSO6" s="1"/>
      <c r="LSQ6" s="1"/>
      <c r="LSS6" s="6"/>
      <c r="LST6" s="7"/>
      <c r="LSU6" s="8"/>
      <c r="LSV6" s="9"/>
      <c r="LSW6" s="8"/>
      <c r="LSX6" s="7"/>
      <c r="LSY6" s="9"/>
      <c r="LSZ6" s="8"/>
      <c r="LTA6" s="8"/>
      <c r="LTB6" s="7"/>
      <c r="LTC6" s="9"/>
      <c r="LTD6" s="1"/>
      <c r="LTE6" s="1"/>
      <c r="LTF6" s="1"/>
      <c r="LTG6" s="1"/>
      <c r="LTH6" s="1"/>
      <c r="LTI6" s="1"/>
      <c r="LTJ6" s="1"/>
      <c r="LTK6" s="1"/>
      <c r="LTM6" s="1"/>
      <c r="LTO6" s="6"/>
      <c r="LTP6" s="7"/>
      <c r="LTQ6" s="8"/>
      <c r="LTR6" s="9"/>
      <c r="LTS6" s="8"/>
      <c r="LTT6" s="7"/>
      <c r="LTU6" s="9"/>
      <c r="LTV6" s="8"/>
      <c r="LTW6" s="8"/>
      <c r="LTX6" s="7"/>
      <c r="LTY6" s="9"/>
      <c r="LTZ6" s="1"/>
      <c r="LUA6" s="1"/>
      <c r="LUB6" s="1"/>
      <c r="LUC6" s="1"/>
      <c r="LUD6" s="1"/>
      <c r="LUE6" s="1"/>
      <c r="LUF6" s="1"/>
      <c r="LUG6" s="1"/>
      <c r="LUI6" s="1"/>
      <c r="LUK6" s="6"/>
      <c r="LUL6" s="7"/>
      <c r="LUM6" s="8"/>
      <c r="LUN6" s="9"/>
      <c r="LUO6" s="8"/>
      <c r="LUP6" s="7"/>
      <c r="LUQ6" s="9"/>
      <c r="LUR6" s="8"/>
      <c r="LUS6" s="8"/>
      <c r="LUT6" s="7"/>
      <c r="LUU6" s="9"/>
      <c r="LUV6" s="1"/>
      <c r="LUW6" s="1"/>
      <c r="LUX6" s="1"/>
      <c r="LUY6" s="1"/>
      <c r="LUZ6" s="1"/>
      <c r="LVA6" s="1"/>
      <c r="LVB6" s="1"/>
      <c r="LVC6" s="1"/>
      <c r="LVE6" s="1"/>
      <c r="LVG6" s="6"/>
      <c r="LVH6" s="7"/>
      <c r="LVI6" s="8"/>
      <c r="LVJ6" s="9"/>
      <c r="LVK6" s="8"/>
      <c r="LVL6" s="7"/>
      <c r="LVM6" s="9"/>
      <c r="LVN6" s="8"/>
      <c r="LVO6" s="8"/>
      <c r="LVP6" s="7"/>
      <c r="LVQ6" s="9"/>
      <c r="LVR6" s="1"/>
      <c r="LVS6" s="1"/>
      <c r="LVT6" s="1"/>
      <c r="LVU6" s="1"/>
      <c r="LVV6" s="1"/>
      <c r="LVW6" s="1"/>
      <c r="LVX6" s="1"/>
      <c r="LVY6" s="1"/>
      <c r="LWA6" s="1"/>
      <c r="LWC6" s="6"/>
      <c r="LWD6" s="7"/>
      <c r="LWE6" s="8"/>
      <c r="LWF6" s="9"/>
      <c r="LWG6" s="8"/>
      <c r="LWH6" s="7"/>
      <c r="LWI6" s="9"/>
      <c r="LWJ6" s="8"/>
      <c r="LWK6" s="8"/>
      <c r="LWL6" s="7"/>
      <c r="LWM6" s="9"/>
      <c r="LWN6" s="1"/>
      <c r="LWO6" s="1"/>
      <c r="LWP6" s="1"/>
      <c r="LWQ6" s="1"/>
      <c r="LWR6" s="1"/>
      <c r="LWS6" s="1"/>
      <c r="LWT6" s="1"/>
      <c r="LWU6" s="1"/>
      <c r="LWW6" s="1"/>
      <c r="LWY6" s="6"/>
      <c r="LWZ6" s="7"/>
      <c r="LXA6" s="8"/>
      <c r="LXB6" s="9"/>
      <c r="LXC6" s="8"/>
      <c r="LXD6" s="7"/>
      <c r="LXE6" s="9"/>
      <c r="LXF6" s="8"/>
      <c r="LXG6" s="8"/>
      <c r="LXH6" s="7"/>
      <c r="LXI6" s="9"/>
      <c r="LXJ6" s="1"/>
      <c r="LXK6" s="1"/>
      <c r="LXL6" s="1"/>
      <c r="LXM6" s="1"/>
      <c r="LXN6" s="1"/>
      <c r="LXO6" s="1"/>
      <c r="LXP6" s="1"/>
      <c r="LXQ6" s="1"/>
      <c r="LXS6" s="1"/>
      <c r="LXU6" s="6"/>
      <c r="LXV6" s="7"/>
      <c r="LXW6" s="8"/>
      <c r="LXX6" s="9"/>
      <c r="LXY6" s="8"/>
      <c r="LXZ6" s="7"/>
      <c r="LYA6" s="9"/>
      <c r="LYB6" s="8"/>
      <c r="LYC6" s="8"/>
      <c r="LYD6" s="7"/>
      <c r="LYE6" s="9"/>
      <c r="LYF6" s="1"/>
      <c r="LYG6" s="1"/>
      <c r="LYH6" s="1"/>
      <c r="LYI6" s="1"/>
      <c r="LYJ6" s="1"/>
      <c r="LYK6" s="1"/>
      <c r="LYL6" s="1"/>
      <c r="LYM6" s="1"/>
      <c r="LYO6" s="1"/>
      <c r="LYQ6" s="6"/>
      <c r="LYR6" s="7"/>
      <c r="LYS6" s="8"/>
      <c r="LYT6" s="9"/>
      <c r="LYU6" s="8"/>
      <c r="LYV6" s="7"/>
      <c r="LYW6" s="9"/>
      <c r="LYX6" s="8"/>
      <c r="LYY6" s="8"/>
      <c r="LYZ6" s="7"/>
      <c r="LZA6" s="9"/>
      <c r="LZB6" s="1"/>
      <c r="LZC6" s="1"/>
      <c r="LZD6" s="1"/>
      <c r="LZE6" s="1"/>
      <c r="LZF6" s="1"/>
      <c r="LZG6" s="1"/>
      <c r="LZH6" s="1"/>
      <c r="LZI6" s="1"/>
      <c r="LZK6" s="1"/>
      <c r="LZM6" s="6"/>
      <c r="LZN6" s="7"/>
      <c r="LZO6" s="8"/>
      <c r="LZP6" s="9"/>
      <c r="LZQ6" s="8"/>
      <c r="LZR6" s="7"/>
      <c r="LZS6" s="9"/>
      <c r="LZT6" s="8"/>
      <c r="LZU6" s="8"/>
      <c r="LZV6" s="7"/>
      <c r="LZW6" s="9"/>
      <c r="LZX6" s="1"/>
      <c r="LZY6" s="1"/>
      <c r="LZZ6" s="1"/>
      <c r="MAA6" s="1"/>
      <c r="MAB6" s="1"/>
      <c r="MAC6" s="1"/>
      <c r="MAD6" s="1"/>
      <c r="MAE6" s="1"/>
      <c r="MAG6" s="1"/>
      <c r="MAI6" s="6"/>
      <c r="MAJ6" s="7"/>
      <c r="MAK6" s="8"/>
      <c r="MAL6" s="9"/>
      <c r="MAM6" s="8"/>
      <c r="MAN6" s="7"/>
      <c r="MAO6" s="9"/>
      <c r="MAP6" s="8"/>
      <c r="MAQ6" s="8"/>
      <c r="MAR6" s="7"/>
      <c r="MAS6" s="9"/>
      <c r="MAT6" s="1"/>
      <c r="MAU6" s="1"/>
      <c r="MAV6" s="1"/>
      <c r="MAW6" s="1"/>
      <c r="MAX6" s="1"/>
      <c r="MAY6" s="1"/>
      <c r="MAZ6" s="1"/>
      <c r="MBA6" s="1"/>
      <c r="MBC6" s="1"/>
      <c r="MBE6" s="6"/>
      <c r="MBF6" s="7"/>
      <c r="MBG6" s="8"/>
      <c r="MBH6" s="9"/>
      <c r="MBI6" s="8"/>
      <c r="MBJ6" s="7"/>
      <c r="MBK6" s="9"/>
      <c r="MBL6" s="8"/>
      <c r="MBM6" s="8"/>
      <c r="MBN6" s="7"/>
      <c r="MBO6" s="9"/>
      <c r="MBP6" s="1"/>
      <c r="MBQ6" s="1"/>
      <c r="MBR6" s="1"/>
      <c r="MBS6" s="1"/>
      <c r="MBT6" s="1"/>
      <c r="MBU6" s="1"/>
      <c r="MBV6" s="1"/>
      <c r="MBW6" s="1"/>
      <c r="MBY6" s="1"/>
      <c r="MCA6" s="6"/>
      <c r="MCB6" s="7"/>
      <c r="MCC6" s="8"/>
      <c r="MCD6" s="9"/>
      <c r="MCE6" s="8"/>
      <c r="MCF6" s="7"/>
      <c r="MCG6" s="9"/>
      <c r="MCH6" s="8"/>
      <c r="MCI6" s="8"/>
      <c r="MCJ6" s="7"/>
      <c r="MCK6" s="9"/>
      <c r="MCL6" s="1"/>
      <c r="MCM6" s="1"/>
      <c r="MCN6" s="1"/>
      <c r="MCO6" s="1"/>
      <c r="MCP6" s="1"/>
      <c r="MCQ6" s="1"/>
      <c r="MCR6" s="1"/>
      <c r="MCS6" s="1"/>
      <c r="MCU6" s="1"/>
      <c r="MCW6" s="6"/>
      <c r="MCX6" s="7"/>
      <c r="MCY6" s="8"/>
      <c r="MCZ6" s="9"/>
      <c r="MDA6" s="8"/>
      <c r="MDB6" s="7"/>
      <c r="MDC6" s="9"/>
      <c r="MDD6" s="8"/>
      <c r="MDE6" s="8"/>
      <c r="MDF6" s="7"/>
      <c r="MDG6" s="9"/>
      <c r="MDH6" s="1"/>
      <c r="MDI6" s="1"/>
      <c r="MDJ6" s="1"/>
      <c r="MDK6" s="1"/>
      <c r="MDL6" s="1"/>
      <c r="MDM6" s="1"/>
      <c r="MDN6" s="1"/>
      <c r="MDO6" s="1"/>
      <c r="MDQ6" s="1"/>
      <c r="MDS6" s="6"/>
      <c r="MDT6" s="7"/>
      <c r="MDU6" s="8"/>
      <c r="MDV6" s="9"/>
      <c r="MDW6" s="8"/>
      <c r="MDX6" s="7"/>
      <c r="MDY6" s="9"/>
      <c r="MDZ6" s="8"/>
      <c r="MEA6" s="8"/>
      <c r="MEB6" s="7"/>
      <c r="MEC6" s="9"/>
      <c r="MED6" s="1"/>
      <c r="MEE6" s="1"/>
      <c r="MEF6" s="1"/>
      <c r="MEG6" s="1"/>
      <c r="MEH6" s="1"/>
      <c r="MEI6" s="1"/>
      <c r="MEJ6" s="1"/>
      <c r="MEK6" s="1"/>
      <c r="MEM6" s="1"/>
      <c r="MEO6" s="6"/>
      <c r="MEP6" s="7"/>
      <c r="MEQ6" s="8"/>
      <c r="MER6" s="9"/>
      <c r="MES6" s="8"/>
      <c r="MET6" s="7"/>
      <c r="MEU6" s="9"/>
      <c r="MEV6" s="8"/>
      <c r="MEW6" s="8"/>
      <c r="MEX6" s="7"/>
      <c r="MEY6" s="9"/>
      <c r="MEZ6" s="1"/>
      <c r="MFA6" s="1"/>
      <c r="MFB6" s="1"/>
      <c r="MFC6" s="1"/>
      <c r="MFD6" s="1"/>
      <c r="MFE6" s="1"/>
      <c r="MFF6" s="1"/>
      <c r="MFG6" s="1"/>
      <c r="MFI6" s="1"/>
      <c r="MFK6" s="6"/>
      <c r="MFL6" s="7"/>
      <c r="MFM6" s="8"/>
      <c r="MFN6" s="9"/>
      <c r="MFO6" s="8"/>
      <c r="MFP6" s="7"/>
      <c r="MFQ6" s="9"/>
      <c r="MFR6" s="8"/>
      <c r="MFS6" s="8"/>
      <c r="MFT6" s="7"/>
      <c r="MFU6" s="9"/>
      <c r="MFV6" s="1"/>
      <c r="MFW6" s="1"/>
      <c r="MFX6" s="1"/>
      <c r="MFY6" s="1"/>
      <c r="MFZ6" s="1"/>
      <c r="MGA6" s="1"/>
      <c r="MGB6" s="1"/>
      <c r="MGC6" s="1"/>
      <c r="MGE6" s="1"/>
      <c r="MGG6" s="6"/>
      <c r="MGH6" s="7"/>
      <c r="MGI6" s="8"/>
      <c r="MGJ6" s="9"/>
      <c r="MGK6" s="8"/>
      <c r="MGL6" s="7"/>
      <c r="MGM6" s="9"/>
      <c r="MGN6" s="8"/>
      <c r="MGO6" s="8"/>
      <c r="MGP6" s="7"/>
      <c r="MGQ6" s="9"/>
      <c r="MGR6" s="1"/>
      <c r="MGS6" s="1"/>
      <c r="MGT6" s="1"/>
      <c r="MGU6" s="1"/>
      <c r="MGV6" s="1"/>
      <c r="MGW6" s="1"/>
      <c r="MGX6" s="1"/>
      <c r="MGY6" s="1"/>
      <c r="MHA6" s="1"/>
      <c r="MHC6" s="6"/>
      <c r="MHD6" s="7"/>
      <c r="MHE6" s="8"/>
      <c r="MHF6" s="9"/>
      <c r="MHG6" s="8"/>
      <c r="MHH6" s="7"/>
      <c r="MHI6" s="9"/>
      <c r="MHJ6" s="8"/>
      <c r="MHK6" s="8"/>
      <c r="MHL6" s="7"/>
      <c r="MHM6" s="9"/>
      <c r="MHN6" s="1"/>
      <c r="MHO6" s="1"/>
      <c r="MHP6" s="1"/>
      <c r="MHQ6" s="1"/>
      <c r="MHR6" s="1"/>
      <c r="MHS6" s="1"/>
      <c r="MHT6" s="1"/>
      <c r="MHU6" s="1"/>
      <c r="MHW6" s="1"/>
      <c r="MHY6" s="6"/>
      <c r="MHZ6" s="7"/>
      <c r="MIA6" s="8"/>
      <c r="MIB6" s="9"/>
      <c r="MIC6" s="8"/>
      <c r="MID6" s="7"/>
      <c r="MIE6" s="9"/>
      <c r="MIF6" s="8"/>
      <c r="MIG6" s="8"/>
      <c r="MIH6" s="7"/>
      <c r="MII6" s="9"/>
      <c r="MIJ6" s="1"/>
      <c r="MIK6" s="1"/>
      <c r="MIL6" s="1"/>
      <c r="MIM6" s="1"/>
      <c r="MIN6" s="1"/>
      <c r="MIO6" s="1"/>
      <c r="MIP6" s="1"/>
      <c r="MIQ6" s="1"/>
      <c r="MIS6" s="1"/>
      <c r="MIU6" s="6"/>
      <c r="MIV6" s="7"/>
      <c r="MIW6" s="8"/>
      <c r="MIX6" s="9"/>
      <c r="MIY6" s="8"/>
      <c r="MIZ6" s="7"/>
      <c r="MJA6" s="9"/>
      <c r="MJB6" s="8"/>
      <c r="MJC6" s="8"/>
      <c r="MJD6" s="7"/>
      <c r="MJE6" s="9"/>
      <c r="MJF6" s="1"/>
      <c r="MJG6" s="1"/>
      <c r="MJH6" s="1"/>
      <c r="MJI6" s="1"/>
      <c r="MJJ6" s="1"/>
      <c r="MJK6" s="1"/>
      <c r="MJL6" s="1"/>
      <c r="MJM6" s="1"/>
      <c r="MJO6" s="1"/>
      <c r="MJQ6" s="6"/>
      <c r="MJR6" s="7"/>
      <c r="MJS6" s="8"/>
      <c r="MJT6" s="9"/>
      <c r="MJU6" s="8"/>
      <c r="MJV6" s="7"/>
      <c r="MJW6" s="9"/>
      <c r="MJX6" s="8"/>
      <c r="MJY6" s="8"/>
      <c r="MJZ6" s="7"/>
      <c r="MKA6" s="9"/>
      <c r="MKB6" s="1"/>
      <c r="MKC6" s="1"/>
      <c r="MKD6" s="1"/>
      <c r="MKE6" s="1"/>
      <c r="MKF6" s="1"/>
      <c r="MKG6" s="1"/>
      <c r="MKH6" s="1"/>
      <c r="MKI6" s="1"/>
      <c r="MKK6" s="1"/>
      <c r="MKM6" s="6"/>
      <c r="MKN6" s="7"/>
      <c r="MKO6" s="8"/>
      <c r="MKP6" s="9"/>
      <c r="MKQ6" s="8"/>
      <c r="MKR6" s="7"/>
      <c r="MKS6" s="9"/>
      <c r="MKT6" s="8"/>
      <c r="MKU6" s="8"/>
      <c r="MKV6" s="7"/>
      <c r="MKW6" s="9"/>
      <c r="MKX6" s="1"/>
      <c r="MKY6" s="1"/>
      <c r="MKZ6" s="1"/>
      <c r="MLA6" s="1"/>
      <c r="MLB6" s="1"/>
      <c r="MLC6" s="1"/>
      <c r="MLD6" s="1"/>
      <c r="MLE6" s="1"/>
      <c r="MLG6" s="1"/>
      <c r="MLI6" s="6"/>
      <c r="MLJ6" s="7"/>
      <c r="MLK6" s="8"/>
      <c r="MLL6" s="9"/>
      <c r="MLM6" s="8"/>
      <c r="MLN6" s="7"/>
      <c r="MLO6" s="9"/>
      <c r="MLP6" s="8"/>
      <c r="MLQ6" s="8"/>
      <c r="MLR6" s="7"/>
      <c r="MLS6" s="9"/>
      <c r="MLT6" s="1"/>
      <c r="MLU6" s="1"/>
      <c r="MLV6" s="1"/>
      <c r="MLW6" s="1"/>
      <c r="MLX6" s="1"/>
      <c r="MLY6" s="1"/>
      <c r="MLZ6" s="1"/>
      <c r="MMA6" s="1"/>
      <c r="MMC6" s="1"/>
      <c r="MME6" s="6"/>
      <c r="MMF6" s="7"/>
      <c r="MMG6" s="8"/>
      <c r="MMH6" s="9"/>
      <c r="MMI6" s="8"/>
      <c r="MMJ6" s="7"/>
      <c r="MMK6" s="9"/>
      <c r="MML6" s="8"/>
      <c r="MMM6" s="8"/>
      <c r="MMN6" s="7"/>
      <c r="MMO6" s="9"/>
      <c r="MMP6" s="1"/>
      <c r="MMQ6" s="1"/>
      <c r="MMR6" s="1"/>
      <c r="MMS6" s="1"/>
      <c r="MMT6" s="1"/>
      <c r="MMU6" s="1"/>
      <c r="MMV6" s="1"/>
      <c r="MMW6" s="1"/>
      <c r="MMY6" s="1"/>
      <c r="MNA6" s="6"/>
      <c r="MNB6" s="7"/>
      <c r="MNC6" s="8"/>
      <c r="MND6" s="9"/>
      <c r="MNE6" s="8"/>
      <c r="MNF6" s="7"/>
      <c r="MNG6" s="9"/>
      <c r="MNH6" s="8"/>
      <c r="MNI6" s="8"/>
      <c r="MNJ6" s="7"/>
      <c r="MNK6" s="9"/>
      <c r="MNL6" s="1"/>
      <c r="MNM6" s="1"/>
      <c r="MNN6" s="1"/>
      <c r="MNO6" s="1"/>
      <c r="MNP6" s="1"/>
      <c r="MNQ6" s="1"/>
      <c r="MNR6" s="1"/>
      <c r="MNS6" s="1"/>
      <c r="MNU6" s="1"/>
      <c r="MNW6" s="6"/>
      <c r="MNX6" s="7"/>
      <c r="MNY6" s="8"/>
      <c r="MNZ6" s="9"/>
      <c r="MOA6" s="8"/>
      <c r="MOB6" s="7"/>
      <c r="MOC6" s="9"/>
      <c r="MOD6" s="8"/>
      <c r="MOE6" s="8"/>
      <c r="MOF6" s="7"/>
      <c r="MOG6" s="9"/>
      <c r="MOH6" s="1"/>
      <c r="MOI6" s="1"/>
      <c r="MOJ6" s="1"/>
      <c r="MOK6" s="1"/>
      <c r="MOL6" s="1"/>
      <c r="MOM6" s="1"/>
      <c r="MON6" s="1"/>
      <c r="MOO6" s="1"/>
      <c r="MOQ6" s="1"/>
      <c r="MOS6" s="6"/>
      <c r="MOT6" s="7"/>
      <c r="MOU6" s="8"/>
      <c r="MOV6" s="9"/>
      <c r="MOW6" s="8"/>
      <c r="MOX6" s="7"/>
      <c r="MOY6" s="9"/>
      <c r="MOZ6" s="8"/>
      <c r="MPA6" s="8"/>
      <c r="MPB6" s="7"/>
      <c r="MPC6" s="9"/>
      <c r="MPD6" s="1"/>
      <c r="MPE6" s="1"/>
      <c r="MPF6" s="1"/>
      <c r="MPG6" s="1"/>
      <c r="MPH6" s="1"/>
      <c r="MPI6" s="1"/>
      <c r="MPJ6" s="1"/>
      <c r="MPK6" s="1"/>
      <c r="MPM6" s="1"/>
      <c r="MPO6" s="6"/>
      <c r="MPP6" s="7"/>
      <c r="MPQ6" s="8"/>
      <c r="MPR6" s="9"/>
      <c r="MPS6" s="8"/>
      <c r="MPT6" s="7"/>
      <c r="MPU6" s="9"/>
      <c r="MPV6" s="8"/>
      <c r="MPW6" s="8"/>
      <c r="MPX6" s="7"/>
      <c r="MPY6" s="9"/>
      <c r="MPZ6" s="1"/>
      <c r="MQA6" s="1"/>
      <c r="MQB6" s="1"/>
      <c r="MQC6" s="1"/>
      <c r="MQD6" s="1"/>
      <c r="MQE6" s="1"/>
      <c r="MQF6" s="1"/>
      <c r="MQG6" s="1"/>
      <c r="MQI6" s="1"/>
      <c r="MQK6" s="6"/>
      <c r="MQL6" s="7"/>
      <c r="MQM6" s="8"/>
      <c r="MQN6" s="9"/>
      <c r="MQO6" s="8"/>
      <c r="MQP6" s="7"/>
      <c r="MQQ6" s="9"/>
      <c r="MQR6" s="8"/>
      <c r="MQS6" s="8"/>
      <c r="MQT6" s="7"/>
      <c r="MQU6" s="9"/>
      <c r="MQV6" s="1"/>
      <c r="MQW6" s="1"/>
      <c r="MQX6" s="1"/>
      <c r="MQY6" s="1"/>
      <c r="MQZ6" s="1"/>
      <c r="MRA6" s="1"/>
      <c r="MRB6" s="1"/>
      <c r="MRC6" s="1"/>
      <c r="MRE6" s="1"/>
      <c r="MRG6" s="6"/>
      <c r="MRH6" s="7"/>
      <c r="MRI6" s="8"/>
      <c r="MRJ6" s="9"/>
      <c r="MRK6" s="8"/>
      <c r="MRL6" s="7"/>
      <c r="MRM6" s="9"/>
      <c r="MRN6" s="8"/>
      <c r="MRO6" s="8"/>
      <c r="MRP6" s="7"/>
      <c r="MRQ6" s="9"/>
      <c r="MRR6" s="1"/>
      <c r="MRS6" s="1"/>
      <c r="MRT6" s="1"/>
      <c r="MRU6" s="1"/>
      <c r="MRV6" s="1"/>
      <c r="MRW6" s="1"/>
      <c r="MRX6" s="1"/>
      <c r="MRY6" s="1"/>
      <c r="MSA6" s="1"/>
      <c r="MSC6" s="6"/>
      <c r="MSD6" s="7"/>
      <c r="MSE6" s="8"/>
      <c r="MSF6" s="9"/>
      <c r="MSG6" s="8"/>
      <c r="MSH6" s="7"/>
      <c r="MSI6" s="9"/>
      <c r="MSJ6" s="8"/>
      <c r="MSK6" s="8"/>
      <c r="MSL6" s="7"/>
      <c r="MSM6" s="9"/>
      <c r="MSN6" s="1"/>
      <c r="MSO6" s="1"/>
      <c r="MSP6" s="1"/>
      <c r="MSQ6" s="1"/>
      <c r="MSR6" s="1"/>
      <c r="MSS6" s="1"/>
      <c r="MST6" s="1"/>
      <c r="MSU6" s="1"/>
      <c r="MSW6" s="1"/>
      <c r="MSY6" s="6"/>
      <c r="MSZ6" s="7"/>
      <c r="MTA6" s="8"/>
      <c r="MTB6" s="9"/>
      <c r="MTC6" s="8"/>
      <c r="MTD6" s="7"/>
      <c r="MTE6" s="9"/>
      <c r="MTF6" s="8"/>
      <c r="MTG6" s="8"/>
      <c r="MTH6" s="7"/>
      <c r="MTI6" s="9"/>
      <c r="MTJ6" s="1"/>
      <c r="MTK6" s="1"/>
      <c r="MTL6" s="1"/>
      <c r="MTM6" s="1"/>
      <c r="MTN6" s="1"/>
      <c r="MTO6" s="1"/>
      <c r="MTP6" s="1"/>
      <c r="MTQ6" s="1"/>
      <c r="MTS6" s="1"/>
      <c r="MTU6" s="6"/>
      <c r="MTV6" s="7"/>
      <c r="MTW6" s="8"/>
      <c r="MTX6" s="9"/>
      <c r="MTY6" s="8"/>
      <c r="MTZ6" s="7"/>
      <c r="MUA6" s="9"/>
      <c r="MUB6" s="8"/>
      <c r="MUC6" s="8"/>
      <c r="MUD6" s="7"/>
      <c r="MUE6" s="9"/>
      <c r="MUF6" s="1"/>
      <c r="MUG6" s="1"/>
      <c r="MUH6" s="1"/>
      <c r="MUI6" s="1"/>
      <c r="MUJ6" s="1"/>
      <c r="MUK6" s="1"/>
      <c r="MUL6" s="1"/>
      <c r="MUM6" s="1"/>
      <c r="MUO6" s="1"/>
      <c r="MUQ6" s="6"/>
      <c r="MUR6" s="7"/>
      <c r="MUS6" s="8"/>
      <c r="MUT6" s="9"/>
      <c r="MUU6" s="8"/>
      <c r="MUV6" s="7"/>
      <c r="MUW6" s="9"/>
      <c r="MUX6" s="8"/>
      <c r="MUY6" s="8"/>
      <c r="MUZ6" s="7"/>
      <c r="MVA6" s="9"/>
      <c r="MVB6" s="1"/>
      <c r="MVC6" s="1"/>
      <c r="MVD6" s="1"/>
      <c r="MVE6" s="1"/>
      <c r="MVF6" s="1"/>
      <c r="MVG6" s="1"/>
      <c r="MVH6" s="1"/>
      <c r="MVI6" s="1"/>
      <c r="MVK6" s="1"/>
      <c r="MVM6" s="6"/>
      <c r="MVN6" s="7"/>
      <c r="MVO6" s="8"/>
      <c r="MVP6" s="9"/>
      <c r="MVQ6" s="8"/>
      <c r="MVR6" s="7"/>
      <c r="MVS6" s="9"/>
      <c r="MVT6" s="8"/>
      <c r="MVU6" s="8"/>
      <c r="MVV6" s="7"/>
      <c r="MVW6" s="9"/>
      <c r="MVX6" s="1"/>
      <c r="MVY6" s="1"/>
      <c r="MVZ6" s="1"/>
      <c r="MWA6" s="1"/>
      <c r="MWB6" s="1"/>
      <c r="MWC6" s="1"/>
      <c r="MWD6" s="1"/>
      <c r="MWE6" s="1"/>
      <c r="MWG6" s="1"/>
      <c r="MWI6" s="6"/>
      <c r="MWJ6" s="7"/>
      <c r="MWK6" s="8"/>
      <c r="MWL6" s="9"/>
      <c r="MWM6" s="8"/>
      <c r="MWN6" s="7"/>
      <c r="MWO6" s="9"/>
      <c r="MWP6" s="8"/>
      <c r="MWQ6" s="8"/>
      <c r="MWR6" s="7"/>
      <c r="MWS6" s="9"/>
      <c r="MWT6" s="1"/>
      <c r="MWU6" s="1"/>
      <c r="MWV6" s="1"/>
      <c r="MWW6" s="1"/>
      <c r="MWX6" s="1"/>
      <c r="MWY6" s="1"/>
      <c r="MWZ6" s="1"/>
      <c r="MXA6" s="1"/>
      <c r="MXC6" s="1"/>
      <c r="MXE6" s="6"/>
      <c r="MXF6" s="7"/>
      <c r="MXG6" s="8"/>
      <c r="MXH6" s="9"/>
      <c r="MXI6" s="8"/>
      <c r="MXJ6" s="7"/>
      <c r="MXK6" s="9"/>
      <c r="MXL6" s="8"/>
      <c r="MXM6" s="8"/>
      <c r="MXN6" s="7"/>
      <c r="MXO6" s="9"/>
      <c r="MXP6" s="1"/>
      <c r="MXQ6" s="1"/>
      <c r="MXR6" s="1"/>
      <c r="MXS6" s="1"/>
      <c r="MXT6" s="1"/>
      <c r="MXU6" s="1"/>
      <c r="MXV6" s="1"/>
      <c r="MXW6" s="1"/>
      <c r="MXY6" s="1"/>
      <c r="MYA6" s="6"/>
      <c r="MYB6" s="7"/>
      <c r="MYC6" s="8"/>
      <c r="MYD6" s="9"/>
      <c r="MYE6" s="8"/>
      <c r="MYF6" s="7"/>
      <c r="MYG6" s="9"/>
      <c r="MYH6" s="8"/>
      <c r="MYI6" s="8"/>
      <c r="MYJ6" s="7"/>
      <c r="MYK6" s="9"/>
      <c r="MYL6" s="1"/>
      <c r="MYM6" s="1"/>
      <c r="MYN6" s="1"/>
      <c r="MYO6" s="1"/>
      <c r="MYP6" s="1"/>
      <c r="MYQ6" s="1"/>
      <c r="MYR6" s="1"/>
      <c r="MYS6" s="1"/>
      <c r="MYU6" s="1"/>
      <c r="MYW6" s="6"/>
      <c r="MYX6" s="7"/>
      <c r="MYY6" s="8"/>
      <c r="MYZ6" s="9"/>
      <c r="MZA6" s="8"/>
      <c r="MZB6" s="7"/>
      <c r="MZC6" s="9"/>
      <c r="MZD6" s="8"/>
      <c r="MZE6" s="8"/>
      <c r="MZF6" s="7"/>
      <c r="MZG6" s="9"/>
      <c r="MZH6" s="1"/>
      <c r="MZI6" s="1"/>
      <c r="MZJ6" s="1"/>
      <c r="MZK6" s="1"/>
      <c r="MZL6" s="1"/>
      <c r="MZM6" s="1"/>
      <c r="MZN6" s="1"/>
      <c r="MZO6" s="1"/>
      <c r="MZQ6" s="1"/>
      <c r="MZS6" s="6"/>
      <c r="MZT6" s="7"/>
      <c r="MZU6" s="8"/>
      <c r="MZV6" s="9"/>
      <c r="MZW6" s="8"/>
      <c r="MZX6" s="7"/>
      <c r="MZY6" s="9"/>
      <c r="MZZ6" s="8"/>
      <c r="NAA6" s="8"/>
      <c r="NAB6" s="7"/>
      <c r="NAC6" s="9"/>
      <c r="NAD6" s="1"/>
      <c r="NAE6" s="1"/>
      <c r="NAF6" s="1"/>
      <c r="NAG6" s="1"/>
      <c r="NAH6" s="1"/>
      <c r="NAI6" s="1"/>
      <c r="NAJ6" s="1"/>
      <c r="NAK6" s="1"/>
      <c r="NAM6" s="1"/>
      <c r="NAO6" s="6"/>
      <c r="NAP6" s="7"/>
      <c r="NAQ6" s="8"/>
      <c r="NAR6" s="9"/>
      <c r="NAS6" s="8"/>
      <c r="NAT6" s="7"/>
      <c r="NAU6" s="9"/>
      <c r="NAV6" s="8"/>
      <c r="NAW6" s="8"/>
      <c r="NAX6" s="7"/>
      <c r="NAY6" s="9"/>
      <c r="NAZ6" s="1"/>
      <c r="NBA6" s="1"/>
      <c r="NBB6" s="1"/>
      <c r="NBC6" s="1"/>
      <c r="NBD6" s="1"/>
      <c r="NBE6" s="1"/>
      <c r="NBF6" s="1"/>
      <c r="NBG6" s="1"/>
      <c r="NBI6" s="1"/>
      <c r="NBK6" s="6"/>
      <c r="NBL6" s="7"/>
      <c r="NBM6" s="8"/>
      <c r="NBN6" s="9"/>
      <c r="NBO6" s="8"/>
      <c r="NBP6" s="7"/>
      <c r="NBQ6" s="9"/>
      <c r="NBR6" s="8"/>
      <c r="NBS6" s="8"/>
      <c r="NBT6" s="7"/>
      <c r="NBU6" s="9"/>
      <c r="NBV6" s="1"/>
      <c r="NBW6" s="1"/>
      <c r="NBX6" s="1"/>
      <c r="NBY6" s="1"/>
      <c r="NBZ6" s="1"/>
      <c r="NCA6" s="1"/>
      <c r="NCB6" s="1"/>
      <c r="NCC6" s="1"/>
      <c r="NCE6" s="1"/>
      <c r="NCG6" s="6"/>
      <c r="NCH6" s="7"/>
      <c r="NCI6" s="8"/>
      <c r="NCJ6" s="9"/>
      <c r="NCK6" s="8"/>
      <c r="NCL6" s="7"/>
      <c r="NCM6" s="9"/>
      <c r="NCN6" s="8"/>
      <c r="NCO6" s="8"/>
      <c r="NCP6" s="7"/>
      <c r="NCQ6" s="9"/>
      <c r="NCR6" s="1"/>
      <c r="NCS6" s="1"/>
      <c r="NCT6" s="1"/>
      <c r="NCU6" s="1"/>
      <c r="NCV6" s="1"/>
      <c r="NCW6" s="1"/>
      <c r="NCX6" s="1"/>
      <c r="NCY6" s="1"/>
      <c r="NDA6" s="1"/>
      <c r="NDC6" s="6"/>
      <c r="NDD6" s="7"/>
      <c r="NDE6" s="8"/>
      <c r="NDF6" s="9"/>
      <c r="NDG6" s="8"/>
      <c r="NDH6" s="7"/>
      <c r="NDI6" s="9"/>
      <c r="NDJ6" s="8"/>
      <c r="NDK6" s="8"/>
      <c r="NDL6" s="7"/>
      <c r="NDM6" s="9"/>
      <c r="NDN6" s="1"/>
      <c r="NDO6" s="1"/>
      <c r="NDP6" s="1"/>
      <c r="NDQ6" s="1"/>
      <c r="NDR6" s="1"/>
      <c r="NDS6" s="1"/>
      <c r="NDT6" s="1"/>
      <c r="NDU6" s="1"/>
      <c r="NDW6" s="1"/>
      <c r="NDY6" s="6"/>
      <c r="NDZ6" s="7"/>
      <c r="NEA6" s="8"/>
      <c r="NEB6" s="9"/>
      <c r="NEC6" s="8"/>
      <c r="NED6" s="7"/>
      <c r="NEE6" s="9"/>
      <c r="NEF6" s="8"/>
      <c r="NEG6" s="8"/>
      <c r="NEH6" s="7"/>
      <c r="NEI6" s="9"/>
      <c r="NEJ6" s="1"/>
      <c r="NEK6" s="1"/>
      <c r="NEL6" s="1"/>
      <c r="NEM6" s="1"/>
      <c r="NEN6" s="1"/>
      <c r="NEO6" s="1"/>
      <c r="NEP6" s="1"/>
      <c r="NEQ6" s="1"/>
      <c r="NES6" s="1"/>
      <c r="NEU6" s="6"/>
      <c r="NEV6" s="7"/>
      <c r="NEW6" s="8"/>
      <c r="NEX6" s="9"/>
      <c r="NEY6" s="8"/>
      <c r="NEZ6" s="7"/>
      <c r="NFA6" s="9"/>
      <c r="NFB6" s="8"/>
      <c r="NFC6" s="8"/>
      <c r="NFD6" s="7"/>
      <c r="NFE6" s="9"/>
      <c r="NFF6" s="1"/>
      <c r="NFG6" s="1"/>
      <c r="NFH6" s="1"/>
      <c r="NFI6" s="1"/>
      <c r="NFJ6" s="1"/>
      <c r="NFK6" s="1"/>
      <c r="NFL6" s="1"/>
      <c r="NFM6" s="1"/>
      <c r="NFO6" s="1"/>
      <c r="NFQ6" s="6"/>
      <c r="NFR6" s="7"/>
      <c r="NFS6" s="8"/>
      <c r="NFT6" s="9"/>
      <c r="NFU6" s="8"/>
      <c r="NFV6" s="7"/>
      <c r="NFW6" s="9"/>
      <c r="NFX6" s="8"/>
      <c r="NFY6" s="8"/>
      <c r="NFZ6" s="7"/>
      <c r="NGA6" s="9"/>
      <c r="NGB6" s="1"/>
      <c r="NGC6" s="1"/>
      <c r="NGD6" s="1"/>
      <c r="NGE6" s="1"/>
      <c r="NGF6" s="1"/>
      <c r="NGG6" s="1"/>
      <c r="NGH6" s="1"/>
      <c r="NGI6" s="1"/>
      <c r="NGK6" s="1"/>
      <c r="NGM6" s="6"/>
      <c r="NGN6" s="7"/>
      <c r="NGO6" s="8"/>
      <c r="NGP6" s="9"/>
      <c r="NGQ6" s="8"/>
      <c r="NGR6" s="7"/>
      <c r="NGS6" s="9"/>
      <c r="NGT6" s="8"/>
      <c r="NGU6" s="8"/>
      <c r="NGV6" s="7"/>
      <c r="NGW6" s="9"/>
      <c r="NGX6" s="1"/>
      <c r="NGY6" s="1"/>
      <c r="NGZ6" s="1"/>
      <c r="NHA6" s="1"/>
      <c r="NHB6" s="1"/>
      <c r="NHC6" s="1"/>
      <c r="NHD6" s="1"/>
      <c r="NHE6" s="1"/>
      <c r="NHG6" s="1"/>
      <c r="NHI6" s="6"/>
      <c r="NHJ6" s="7"/>
      <c r="NHK6" s="8"/>
      <c r="NHL6" s="9"/>
      <c r="NHM6" s="8"/>
      <c r="NHN6" s="7"/>
      <c r="NHO6" s="9"/>
      <c r="NHP6" s="8"/>
      <c r="NHQ6" s="8"/>
      <c r="NHR6" s="7"/>
      <c r="NHS6" s="9"/>
      <c r="NHT6" s="1"/>
      <c r="NHU6" s="1"/>
      <c r="NHV6" s="1"/>
      <c r="NHW6" s="1"/>
      <c r="NHX6" s="1"/>
      <c r="NHY6" s="1"/>
      <c r="NHZ6" s="1"/>
      <c r="NIA6" s="1"/>
      <c r="NIC6" s="1"/>
      <c r="NIE6" s="6"/>
      <c r="NIF6" s="7"/>
      <c r="NIG6" s="8"/>
      <c r="NIH6" s="9"/>
      <c r="NII6" s="8"/>
      <c r="NIJ6" s="7"/>
      <c r="NIK6" s="9"/>
      <c r="NIL6" s="8"/>
      <c r="NIM6" s="8"/>
      <c r="NIN6" s="7"/>
      <c r="NIO6" s="9"/>
      <c r="NIP6" s="1"/>
      <c r="NIQ6" s="1"/>
      <c r="NIR6" s="1"/>
      <c r="NIS6" s="1"/>
      <c r="NIT6" s="1"/>
      <c r="NIU6" s="1"/>
      <c r="NIV6" s="1"/>
      <c r="NIW6" s="1"/>
      <c r="NIY6" s="1"/>
      <c r="NJA6" s="6"/>
      <c r="NJB6" s="7"/>
      <c r="NJC6" s="8"/>
      <c r="NJD6" s="9"/>
      <c r="NJE6" s="8"/>
      <c r="NJF6" s="7"/>
      <c r="NJG6" s="9"/>
      <c r="NJH6" s="8"/>
      <c r="NJI6" s="8"/>
      <c r="NJJ6" s="7"/>
      <c r="NJK6" s="9"/>
      <c r="NJL6" s="1"/>
      <c r="NJM6" s="1"/>
      <c r="NJN6" s="1"/>
      <c r="NJO6" s="1"/>
      <c r="NJP6" s="1"/>
      <c r="NJQ6" s="1"/>
      <c r="NJR6" s="1"/>
      <c r="NJS6" s="1"/>
      <c r="NJU6" s="1"/>
      <c r="NJW6" s="6"/>
      <c r="NJX6" s="7"/>
      <c r="NJY6" s="8"/>
      <c r="NJZ6" s="9"/>
      <c r="NKA6" s="8"/>
      <c r="NKB6" s="7"/>
      <c r="NKC6" s="9"/>
      <c r="NKD6" s="8"/>
      <c r="NKE6" s="8"/>
      <c r="NKF6" s="7"/>
      <c r="NKG6" s="9"/>
      <c r="NKH6" s="1"/>
      <c r="NKI6" s="1"/>
      <c r="NKJ6" s="1"/>
      <c r="NKK6" s="1"/>
      <c r="NKL6" s="1"/>
      <c r="NKM6" s="1"/>
      <c r="NKN6" s="1"/>
      <c r="NKO6" s="1"/>
      <c r="NKQ6" s="1"/>
      <c r="NKS6" s="6"/>
      <c r="NKT6" s="7"/>
      <c r="NKU6" s="8"/>
      <c r="NKV6" s="9"/>
      <c r="NKW6" s="8"/>
      <c r="NKX6" s="7"/>
      <c r="NKY6" s="9"/>
      <c r="NKZ6" s="8"/>
      <c r="NLA6" s="8"/>
      <c r="NLB6" s="7"/>
      <c r="NLC6" s="9"/>
      <c r="NLD6" s="1"/>
      <c r="NLE6" s="1"/>
      <c r="NLF6" s="1"/>
      <c r="NLG6" s="1"/>
      <c r="NLH6" s="1"/>
      <c r="NLI6" s="1"/>
      <c r="NLJ6" s="1"/>
      <c r="NLK6" s="1"/>
      <c r="NLM6" s="1"/>
      <c r="NLO6" s="6"/>
      <c r="NLP6" s="7"/>
      <c r="NLQ6" s="8"/>
      <c r="NLR6" s="9"/>
      <c r="NLS6" s="8"/>
      <c r="NLT6" s="7"/>
      <c r="NLU6" s="9"/>
      <c r="NLV6" s="8"/>
      <c r="NLW6" s="8"/>
      <c r="NLX6" s="7"/>
      <c r="NLY6" s="9"/>
      <c r="NLZ6" s="1"/>
      <c r="NMA6" s="1"/>
      <c r="NMB6" s="1"/>
      <c r="NMC6" s="1"/>
      <c r="NMD6" s="1"/>
      <c r="NME6" s="1"/>
      <c r="NMF6" s="1"/>
      <c r="NMG6" s="1"/>
      <c r="NMI6" s="1"/>
      <c r="NMK6" s="6"/>
      <c r="NML6" s="7"/>
      <c r="NMM6" s="8"/>
      <c r="NMN6" s="9"/>
      <c r="NMO6" s="8"/>
      <c r="NMP6" s="7"/>
      <c r="NMQ6" s="9"/>
      <c r="NMR6" s="8"/>
      <c r="NMS6" s="8"/>
      <c r="NMT6" s="7"/>
      <c r="NMU6" s="9"/>
      <c r="NMV6" s="1"/>
      <c r="NMW6" s="1"/>
      <c r="NMX6" s="1"/>
      <c r="NMY6" s="1"/>
      <c r="NMZ6" s="1"/>
      <c r="NNA6" s="1"/>
      <c r="NNB6" s="1"/>
      <c r="NNC6" s="1"/>
      <c r="NNE6" s="1"/>
      <c r="NNG6" s="6"/>
      <c r="NNH6" s="7"/>
      <c r="NNI6" s="8"/>
      <c r="NNJ6" s="9"/>
      <c r="NNK6" s="8"/>
      <c r="NNL6" s="7"/>
      <c r="NNM6" s="9"/>
      <c r="NNN6" s="8"/>
      <c r="NNO6" s="8"/>
      <c r="NNP6" s="7"/>
      <c r="NNQ6" s="9"/>
      <c r="NNR6" s="1"/>
      <c r="NNS6" s="1"/>
      <c r="NNT6" s="1"/>
      <c r="NNU6" s="1"/>
      <c r="NNV6" s="1"/>
      <c r="NNW6" s="1"/>
      <c r="NNX6" s="1"/>
      <c r="NNY6" s="1"/>
      <c r="NOA6" s="1"/>
      <c r="NOC6" s="6"/>
      <c r="NOD6" s="7"/>
      <c r="NOE6" s="8"/>
      <c r="NOF6" s="9"/>
      <c r="NOG6" s="8"/>
      <c r="NOH6" s="7"/>
      <c r="NOI6" s="9"/>
      <c r="NOJ6" s="8"/>
      <c r="NOK6" s="8"/>
      <c r="NOL6" s="7"/>
      <c r="NOM6" s="9"/>
      <c r="NON6" s="1"/>
      <c r="NOO6" s="1"/>
      <c r="NOP6" s="1"/>
      <c r="NOQ6" s="1"/>
      <c r="NOR6" s="1"/>
      <c r="NOS6" s="1"/>
      <c r="NOT6" s="1"/>
      <c r="NOU6" s="1"/>
      <c r="NOW6" s="1"/>
      <c r="NOY6" s="6"/>
      <c r="NOZ6" s="7"/>
      <c r="NPA6" s="8"/>
      <c r="NPB6" s="9"/>
      <c r="NPC6" s="8"/>
      <c r="NPD6" s="7"/>
      <c r="NPE6" s="9"/>
      <c r="NPF6" s="8"/>
      <c r="NPG6" s="8"/>
      <c r="NPH6" s="7"/>
      <c r="NPI6" s="9"/>
      <c r="NPJ6" s="1"/>
      <c r="NPK6" s="1"/>
      <c r="NPL6" s="1"/>
      <c r="NPM6" s="1"/>
      <c r="NPN6" s="1"/>
      <c r="NPO6" s="1"/>
      <c r="NPP6" s="1"/>
      <c r="NPQ6" s="1"/>
      <c r="NPS6" s="1"/>
      <c r="NPU6" s="6"/>
      <c r="NPV6" s="7"/>
      <c r="NPW6" s="8"/>
      <c r="NPX6" s="9"/>
      <c r="NPY6" s="8"/>
      <c r="NPZ6" s="7"/>
      <c r="NQA6" s="9"/>
      <c r="NQB6" s="8"/>
      <c r="NQC6" s="8"/>
      <c r="NQD6" s="7"/>
      <c r="NQE6" s="9"/>
      <c r="NQF6" s="1"/>
      <c r="NQG6" s="1"/>
      <c r="NQH6" s="1"/>
      <c r="NQI6" s="1"/>
      <c r="NQJ6" s="1"/>
      <c r="NQK6" s="1"/>
      <c r="NQL6" s="1"/>
      <c r="NQM6" s="1"/>
      <c r="NQO6" s="1"/>
      <c r="NQQ6" s="6"/>
      <c r="NQR6" s="7"/>
      <c r="NQS6" s="8"/>
      <c r="NQT6" s="9"/>
      <c r="NQU6" s="8"/>
      <c r="NQV6" s="7"/>
      <c r="NQW6" s="9"/>
      <c r="NQX6" s="8"/>
      <c r="NQY6" s="8"/>
      <c r="NQZ6" s="7"/>
      <c r="NRA6" s="9"/>
      <c r="NRB6" s="1"/>
      <c r="NRC6" s="1"/>
      <c r="NRD6" s="1"/>
      <c r="NRE6" s="1"/>
      <c r="NRF6" s="1"/>
      <c r="NRG6" s="1"/>
      <c r="NRH6" s="1"/>
      <c r="NRI6" s="1"/>
      <c r="NRK6" s="1"/>
      <c r="NRM6" s="6"/>
      <c r="NRN6" s="7"/>
      <c r="NRO6" s="8"/>
      <c r="NRP6" s="9"/>
      <c r="NRQ6" s="8"/>
      <c r="NRR6" s="7"/>
      <c r="NRS6" s="9"/>
      <c r="NRT6" s="8"/>
      <c r="NRU6" s="8"/>
      <c r="NRV6" s="7"/>
      <c r="NRW6" s="9"/>
      <c r="NRX6" s="1"/>
      <c r="NRY6" s="1"/>
      <c r="NRZ6" s="1"/>
      <c r="NSA6" s="1"/>
      <c r="NSB6" s="1"/>
      <c r="NSC6" s="1"/>
      <c r="NSD6" s="1"/>
      <c r="NSE6" s="1"/>
      <c r="NSG6" s="1"/>
      <c r="NSI6" s="6"/>
      <c r="NSJ6" s="7"/>
      <c r="NSK6" s="8"/>
      <c r="NSL6" s="9"/>
      <c r="NSM6" s="8"/>
      <c r="NSN6" s="7"/>
      <c r="NSO6" s="9"/>
      <c r="NSP6" s="8"/>
      <c r="NSQ6" s="8"/>
      <c r="NSR6" s="7"/>
      <c r="NSS6" s="9"/>
      <c r="NST6" s="1"/>
      <c r="NSU6" s="1"/>
      <c r="NSV6" s="1"/>
      <c r="NSW6" s="1"/>
      <c r="NSX6" s="1"/>
      <c r="NSY6" s="1"/>
      <c r="NSZ6" s="1"/>
      <c r="NTA6" s="1"/>
      <c r="NTC6" s="1"/>
      <c r="NTE6" s="6"/>
      <c r="NTF6" s="7"/>
      <c r="NTG6" s="8"/>
      <c r="NTH6" s="9"/>
      <c r="NTI6" s="8"/>
      <c r="NTJ6" s="7"/>
      <c r="NTK6" s="9"/>
      <c r="NTL6" s="8"/>
      <c r="NTM6" s="8"/>
      <c r="NTN6" s="7"/>
      <c r="NTO6" s="9"/>
      <c r="NTP6" s="1"/>
      <c r="NTQ6" s="1"/>
      <c r="NTR6" s="1"/>
      <c r="NTS6" s="1"/>
      <c r="NTT6" s="1"/>
      <c r="NTU6" s="1"/>
      <c r="NTV6" s="1"/>
      <c r="NTW6" s="1"/>
      <c r="NTY6" s="1"/>
      <c r="NUA6" s="6"/>
      <c r="NUB6" s="7"/>
      <c r="NUC6" s="8"/>
      <c r="NUD6" s="9"/>
      <c r="NUE6" s="8"/>
      <c r="NUF6" s="7"/>
      <c r="NUG6" s="9"/>
      <c r="NUH6" s="8"/>
      <c r="NUI6" s="8"/>
      <c r="NUJ6" s="7"/>
      <c r="NUK6" s="9"/>
      <c r="NUL6" s="1"/>
      <c r="NUM6" s="1"/>
      <c r="NUN6" s="1"/>
      <c r="NUO6" s="1"/>
      <c r="NUP6" s="1"/>
      <c r="NUQ6" s="1"/>
      <c r="NUR6" s="1"/>
      <c r="NUS6" s="1"/>
      <c r="NUU6" s="1"/>
      <c r="NUW6" s="6"/>
      <c r="NUX6" s="7"/>
      <c r="NUY6" s="8"/>
      <c r="NUZ6" s="9"/>
      <c r="NVA6" s="8"/>
      <c r="NVB6" s="7"/>
      <c r="NVC6" s="9"/>
      <c r="NVD6" s="8"/>
      <c r="NVE6" s="8"/>
      <c r="NVF6" s="7"/>
      <c r="NVG6" s="9"/>
      <c r="NVH6" s="1"/>
      <c r="NVI6" s="1"/>
      <c r="NVJ6" s="1"/>
      <c r="NVK6" s="1"/>
      <c r="NVL6" s="1"/>
      <c r="NVM6" s="1"/>
      <c r="NVN6" s="1"/>
      <c r="NVO6" s="1"/>
      <c r="NVQ6" s="1"/>
      <c r="NVS6" s="6"/>
      <c r="NVT6" s="7"/>
      <c r="NVU6" s="8"/>
      <c r="NVV6" s="9"/>
      <c r="NVW6" s="8"/>
      <c r="NVX6" s="7"/>
      <c r="NVY6" s="9"/>
      <c r="NVZ6" s="8"/>
      <c r="NWA6" s="8"/>
      <c r="NWB6" s="7"/>
      <c r="NWC6" s="9"/>
      <c r="NWD6" s="1"/>
      <c r="NWE6" s="1"/>
      <c r="NWF6" s="1"/>
      <c r="NWG6" s="1"/>
      <c r="NWH6" s="1"/>
      <c r="NWI6" s="1"/>
      <c r="NWJ6" s="1"/>
      <c r="NWK6" s="1"/>
      <c r="NWM6" s="1"/>
      <c r="NWO6" s="6"/>
      <c r="NWP6" s="7"/>
      <c r="NWQ6" s="8"/>
      <c r="NWR6" s="9"/>
      <c r="NWS6" s="8"/>
      <c r="NWT6" s="7"/>
      <c r="NWU6" s="9"/>
      <c r="NWV6" s="8"/>
      <c r="NWW6" s="8"/>
      <c r="NWX6" s="7"/>
      <c r="NWY6" s="9"/>
      <c r="NWZ6" s="1"/>
      <c r="NXA6" s="1"/>
      <c r="NXB6" s="1"/>
      <c r="NXC6" s="1"/>
      <c r="NXD6" s="1"/>
      <c r="NXE6" s="1"/>
      <c r="NXF6" s="1"/>
      <c r="NXG6" s="1"/>
      <c r="NXI6" s="1"/>
      <c r="NXK6" s="6"/>
      <c r="NXL6" s="7"/>
      <c r="NXM6" s="8"/>
      <c r="NXN6" s="9"/>
      <c r="NXO6" s="8"/>
      <c r="NXP6" s="7"/>
      <c r="NXQ6" s="9"/>
      <c r="NXR6" s="8"/>
      <c r="NXS6" s="8"/>
      <c r="NXT6" s="7"/>
      <c r="NXU6" s="9"/>
      <c r="NXV6" s="1"/>
      <c r="NXW6" s="1"/>
      <c r="NXX6" s="1"/>
      <c r="NXY6" s="1"/>
      <c r="NXZ6" s="1"/>
      <c r="NYA6" s="1"/>
      <c r="NYB6" s="1"/>
      <c r="NYC6" s="1"/>
      <c r="NYE6" s="1"/>
      <c r="NYG6" s="6"/>
      <c r="NYH6" s="7"/>
      <c r="NYI6" s="8"/>
      <c r="NYJ6" s="9"/>
      <c r="NYK6" s="8"/>
      <c r="NYL6" s="7"/>
      <c r="NYM6" s="9"/>
      <c r="NYN6" s="8"/>
      <c r="NYO6" s="8"/>
      <c r="NYP6" s="7"/>
      <c r="NYQ6" s="9"/>
      <c r="NYR6" s="1"/>
      <c r="NYS6" s="1"/>
      <c r="NYT6" s="1"/>
      <c r="NYU6" s="1"/>
      <c r="NYV6" s="1"/>
      <c r="NYW6" s="1"/>
      <c r="NYX6" s="1"/>
      <c r="NYY6" s="1"/>
      <c r="NZA6" s="1"/>
      <c r="NZC6" s="6"/>
      <c r="NZD6" s="7"/>
      <c r="NZE6" s="8"/>
      <c r="NZF6" s="9"/>
      <c r="NZG6" s="8"/>
      <c r="NZH6" s="7"/>
      <c r="NZI6" s="9"/>
      <c r="NZJ6" s="8"/>
      <c r="NZK6" s="8"/>
      <c r="NZL6" s="7"/>
      <c r="NZM6" s="9"/>
      <c r="NZN6" s="1"/>
      <c r="NZO6" s="1"/>
      <c r="NZP6" s="1"/>
      <c r="NZQ6" s="1"/>
      <c r="NZR6" s="1"/>
      <c r="NZS6" s="1"/>
      <c r="NZT6" s="1"/>
      <c r="NZU6" s="1"/>
      <c r="NZW6" s="1"/>
      <c r="NZY6" s="6"/>
      <c r="NZZ6" s="7"/>
      <c r="OAA6" s="8"/>
      <c r="OAB6" s="9"/>
      <c r="OAC6" s="8"/>
      <c r="OAD6" s="7"/>
      <c r="OAE6" s="9"/>
      <c r="OAF6" s="8"/>
      <c r="OAG6" s="8"/>
      <c r="OAH6" s="7"/>
      <c r="OAI6" s="9"/>
      <c r="OAJ6" s="1"/>
      <c r="OAK6" s="1"/>
      <c r="OAL6" s="1"/>
      <c r="OAM6" s="1"/>
      <c r="OAN6" s="1"/>
      <c r="OAO6" s="1"/>
      <c r="OAP6" s="1"/>
      <c r="OAQ6" s="1"/>
      <c r="OAS6" s="1"/>
      <c r="OAU6" s="6"/>
      <c r="OAV6" s="7"/>
      <c r="OAW6" s="8"/>
      <c r="OAX6" s="9"/>
      <c r="OAY6" s="8"/>
      <c r="OAZ6" s="7"/>
      <c r="OBA6" s="9"/>
      <c r="OBB6" s="8"/>
      <c r="OBC6" s="8"/>
      <c r="OBD6" s="7"/>
      <c r="OBE6" s="9"/>
      <c r="OBF6" s="1"/>
      <c r="OBG6" s="1"/>
      <c r="OBH6" s="1"/>
      <c r="OBI6" s="1"/>
      <c r="OBJ6" s="1"/>
      <c r="OBK6" s="1"/>
      <c r="OBL6" s="1"/>
      <c r="OBM6" s="1"/>
      <c r="OBO6" s="1"/>
      <c r="OBQ6" s="6"/>
      <c r="OBR6" s="7"/>
      <c r="OBS6" s="8"/>
      <c r="OBT6" s="9"/>
      <c r="OBU6" s="8"/>
      <c r="OBV6" s="7"/>
      <c r="OBW6" s="9"/>
      <c r="OBX6" s="8"/>
      <c r="OBY6" s="8"/>
      <c r="OBZ6" s="7"/>
      <c r="OCA6" s="9"/>
      <c r="OCB6" s="1"/>
      <c r="OCC6" s="1"/>
      <c r="OCD6" s="1"/>
      <c r="OCE6" s="1"/>
      <c r="OCF6" s="1"/>
      <c r="OCG6" s="1"/>
      <c r="OCH6" s="1"/>
      <c r="OCI6" s="1"/>
      <c r="OCK6" s="1"/>
      <c r="OCM6" s="6"/>
      <c r="OCN6" s="7"/>
      <c r="OCO6" s="8"/>
      <c r="OCP6" s="9"/>
      <c r="OCQ6" s="8"/>
      <c r="OCR6" s="7"/>
      <c r="OCS6" s="9"/>
      <c r="OCT6" s="8"/>
      <c r="OCU6" s="8"/>
      <c r="OCV6" s="7"/>
      <c r="OCW6" s="9"/>
      <c r="OCX6" s="1"/>
      <c r="OCY6" s="1"/>
      <c r="OCZ6" s="1"/>
      <c r="ODA6" s="1"/>
      <c r="ODB6" s="1"/>
      <c r="ODC6" s="1"/>
      <c r="ODD6" s="1"/>
      <c r="ODE6" s="1"/>
      <c r="ODG6" s="1"/>
      <c r="ODI6" s="6"/>
      <c r="ODJ6" s="7"/>
      <c r="ODK6" s="8"/>
      <c r="ODL6" s="9"/>
      <c r="ODM6" s="8"/>
      <c r="ODN6" s="7"/>
      <c r="ODO6" s="9"/>
      <c r="ODP6" s="8"/>
      <c r="ODQ6" s="8"/>
      <c r="ODR6" s="7"/>
      <c r="ODS6" s="9"/>
      <c r="ODT6" s="1"/>
      <c r="ODU6" s="1"/>
      <c r="ODV6" s="1"/>
      <c r="ODW6" s="1"/>
      <c r="ODX6" s="1"/>
      <c r="ODY6" s="1"/>
      <c r="ODZ6" s="1"/>
      <c r="OEA6" s="1"/>
      <c r="OEC6" s="1"/>
      <c r="OEE6" s="6"/>
      <c r="OEF6" s="7"/>
      <c r="OEG6" s="8"/>
      <c r="OEH6" s="9"/>
      <c r="OEI6" s="8"/>
      <c r="OEJ6" s="7"/>
      <c r="OEK6" s="9"/>
      <c r="OEL6" s="8"/>
      <c r="OEM6" s="8"/>
      <c r="OEN6" s="7"/>
      <c r="OEO6" s="9"/>
      <c r="OEP6" s="1"/>
      <c r="OEQ6" s="1"/>
      <c r="OER6" s="1"/>
      <c r="OES6" s="1"/>
      <c r="OET6" s="1"/>
      <c r="OEU6" s="1"/>
      <c r="OEV6" s="1"/>
      <c r="OEW6" s="1"/>
      <c r="OEY6" s="1"/>
      <c r="OFA6" s="6"/>
      <c r="OFB6" s="7"/>
      <c r="OFC6" s="8"/>
      <c r="OFD6" s="9"/>
      <c r="OFE6" s="8"/>
      <c r="OFF6" s="7"/>
      <c r="OFG6" s="9"/>
      <c r="OFH6" s="8"/>
      <c r="OFI6" s="8"/>
      <c r="OFJ6" s="7"/>
      <c r="OFK6" s="9"/>
      <c r="OFL6" s="1"/>
      <c r="OFM6" s="1"/>
      <c r="OFN6" s="1"/>
      <c r="OFO6" s="1"/>
      <c r="OFP6" s="1"/>
      <c r="OFQ6" s="1"/>
      <c r="OFR6" s="1"/>
      <c r="OFS6" s="1"/>
      <c r="OFU6" s="1"/>
      <c r="OFW6" s="6"/>
      <c r="OFX6" s="7"/>
      <c r="OFY6" s="8"/>
      <c r="OFZ6" s="9"/>
      <c r="OGA6" s="8"/>
      <c r="OGB6" s="7"/>
      <c r="OGC6" s="9"/>
      <c r="OGD6" s="8"/>
      <c r="OGE6" s="8"/>
      <c r="OGF6" s="7"/>
      <c r="OGG6" s="9"/>
      <c r="OGH6" s="1"/>
      <c r="OGI6" s="1"/>
      <c r="OGJ6" s="1"/>
      <c r="OGK6" s="1"/>
      <c r="OGL6" s="1"/>
      <c r="OGM6" s="1"/>
      <c r="OGN6" s="1"/>
      <c r="OGO6" s="1"/>
      <c r="OGQ6" s="1"/>
      <c r="OGS6" s="6"/>
      <c r="OGT6" s="7"/>
      <c r="OGU6" s="8"/>
      <c r="OGV6" s="9"/>
      <c r="OGW6" s="8"/>
      <c r="OGX6" s="7"/>
      <c r="OGY6" s="9"/>
      <c r="OGZ6" s="8"/>
      <c r="OHA6" s="8"/>
      <c r="OHB6" s="7"/>
      <c r="OHC6" s="9"/>
      <c r="OHD6" s="1"/>
      <c r="OHE6" s="1"/>
      <c r="OHF6" s="1"/>
      <c r="OHG6" s="1"/>
      <c r="OHH6" s="1"/>
      <c r="OHI6" s="1"/>
      <c r="OHJ6" s="1"/>
      <c r="OHK6" s="1"/>
      <c r="OHM6" s="1"/>
      <c r="OHO6" s="6"/>
      <c r="OHP6" s="7"/>
      <c r="OHQ6" s="8"/>
      <c r="OHR6" s="9"/>
      <c r="OHS6" s="8"/>
      <c r="OHT6" s="7"/>
      <c r="OHU6" s="9"/>
      <c r="OHV6" s="8"/>
      <c r="OHW6" s="8"/>
      <c r="OHX6" s="7"/>
      <c r="OHY6" s="9"/>
      <c r="OHZ6" s="1"/>
      <c r="OIA6" s="1"/>
      <c r="OIB6" s="1"/>
      <c r="OIC6" s="1"/>
      <c r="OID6" s="1"/>
      <c r="OIE6" s="1"/>
      <c r="OIF6" s="1"/>
      <c r="OIG6" s="1"/>
      <c r="OII6" s="1"/>
      <c r="OIK6" s="6"/>
      <c r="OIL6" s="7"/>
      <c r="OIM6" s="8"/>
      <c r="OIN6" s="9"/>
      <c r="OIO6" s="8"/>
      <c r="OIP6" s="7"/>
      <c r="OIQ6" s="9"/>
      <c r="OIR6" s="8"/>
      <c r="OIS6" s="8"/>
      <c r="OIT6" s="7"/>
      <c r="OIU6" s="9"/>
      <c r="OIV6" s="1"/>
      <c r="OIW6" s="1"/>
      <c r="OIX6" s="1"/>
      <c r="OIY6" s="1"/>
      <c r="OIZ6" s="1"/>
      <c r="OJA6" s="1"/>
      <c r="OJB6" s="1"/>
      <c r="OJC6" s="1"/>
      <c r="OJE6" s="1"/>
      <c r="OJG6" s="6"/>
      <c r="OJH6" s="7"/>
      <c r="OJI6" s="8"/>
      <c r="OJJ6" s="9"/>
      <c r="OJK6" s="8"/>
      <c r="OJL6" s="7"/>
      <c r="OJM6" s="9"/>
      <c r="OJN6" s="8"/>
      <c r="OJO6" s="8"/>
      <c r="OJP6" s="7"/>
      <c r="OJQ6" s="9"/>
      <c r="OJR6" s="1"/>
      <c r="OJS6" s="1"/>
      <c r="OJT6" s="1"/>
      <c r="OJU6" s="1"/>
      <c r="OJV6" s="1"/>
      <c r="OJW6" s="1"/>
      <c r="OJX6" s="1"/>
      <c r="OJY6" s="1"/>
      <c r="OKA6" s="1"/>
      <c r="OKC6" s="6"/>
      <c r="OKD6" s="7"/>
      <c r="OKE6" s="8"/>
      <c r="OKF6" s="9"/>
      <c r="OKG6" s="8"/>
      <c r="OKH6" s="7"/>
      <c r="OKI6" s="9"/>
      <c r="OKJ6" s="8"/>
      <c r="OKK6" s="8"/>
      <c r="OKL6" s="7"/>
      <c r="OKM6" s="9"/>
      <c r="OKN6" s="1"/>
      <c r="OKO6" s="1"/>
      <c r="OKP6" s="1"/>
      <c r="OKQ6" s="1"/>
      <c r="OKR6" s="1"/>
      <c r="OKS6" s="1"/>
      <c r="OKT6" s="1"/>
      <c r="OKU6" s="1"/>
      <c r="OKW6" s="1"/>
      <c r="OKY6" s="6"/>
      <c r="OKZ6" s="7"/>
      <c r="OLA6" s="8"/>
      <c r="OLB6" s="9"/>
      <c r="OLC6" s="8"/>
      <c r="OLD6" s="7"/>
      <c r="OLE6" s="9"/>
      <c r="OLF6" s="8"/>
      <c r="OLG6" s="8"/>
      <c r="OLH6" s="7"/>
      <c r="OLI6" s="9"/>
      <c r="OLJ6" s="1"/>
      <c r="OLK6" s="1"/>
      <c r="OLL6" s="1"/>
      <c r="OLM6" s="1"/>
      <c r="OLN6" s="1"/>
      <c r="OLO6" s="1"/>
      <c r="OLP6" s="1"/>
      <c r="OLQ6" s="1"/>
      <c r="OLS6" s="1"/>
      <c r="OLU6" s="6"/>
      <c r="OLV6" s="7"/>
      <c r="OLW6" s="8"/>
      <c r="OLX6" s="9"/>
      <c r="OLY6" s="8"/>
      <c r="OLZ6" s="7"/>
      <c r="OMA6" s="9"/>
      <c r="OMB6" s="8"/>
      <c r="OMC6" s="8"/>
      <c r="OMD6" s="7"/>
      <c r="OME6" s="9"/>
      <c r="OMF6" s="1"/>
      <c r="OMG6" s="1"/>
      <c r="OMH6" s="1"/>
      <c r="OMI6" s="1"/>
      <c r="OMJ6" s="1"/>
      <c r="OMK6" s="1"/>
      <c r="OML6" s="1"/>
      <c r="OMM6" s="1"/>
      <c r="OMO6" s="1"/>
      <c r="OMQ6" s="6"/>
      <c r="OMR6" s="7"/>
      <c r="OMS6" s="8"/>
      <c r="OMT6" s="9"/>
      <c r="OMU6" s="8"/>
      <c r="OMV6" s="7"/>
      <c r="OMW6" s="9"/>
      <c r="OMX6" s="8"/>
      <c r="OMY6" s="8"/>
      <c r="OMZ6" s="7"/>
      <c r="ONA6" s="9"/>
      <c r="ONB6" s="1"/>
      <c r="ONC6" s="1"/>
      <c r="OND6" s="1"/>
      <c r="ONE6" s="1"/>
      <c r="ONF6" s="1"/>
      <c r="ONG6" s="1"/>
      <c r="ONH6" s="1"/>
      <c r="ONI6" s="1"/>
      <c r="ONK6" s="1"/>
      <c r="ONM6" s="6"/>
      <c r="ONN6" s="7"/>
      <c r="ONO6" s="8"/>
      <c r="ONP6" s="9"/>
      <c r="ONQ6" s="8"/>
      <c r="ONR6" s="7"/>
      <c r="ONS6" s="9"/>
      <c r="ONT6" s="8"/>
      <c r="ONU6" s="8"/>
      <c r="ONV6" s="7"/>
      <c r="ONW6" s="9"/>
      <c r="ONX6" s="1"/>
      <c r="ONY6" s="1"/>
      <c r="ONZ6" s="1"/>
      <c r="OOA6" s="1"/>
      <c r="OOB6" s="1"/>
      <c r="OOC6" s="1"/>
      <c r="OOD6" s="1"/>
      <c r="OOE6" s="1"/>
      <c r="OOG6" s="1"/>
      <c r="OOI6" s="6"/>
      <c r="OOJ6" s="7"/>
      <c r="OOK6" s="8"/>
      <c r="OOL6" s="9"/>
      <c r="OOM6" s="8"/>
      <c r="OON6" s="7"/>
      <c r="OOO6" s="9"/>
      <c r="OOP6" s="8"/>
      <c r="OOQ6" s="8"/>
      <c r="OOR6" s="7"/>
      <c r="OOS6" s="9"/>
      <c r="OOT6" s="1"/>
      <c r="OOU6" s="1"/>
      <c r="OOV6" s="1"/>
      <c r="OOW6" s="1"/>
      <c r="OOX6" s="1"/>
      <c r="OOY6" s="1"/>
      <c r="OOZ6" s="1"/>
      <c r="OPA6" s="1"/>
      <c r="OPC6" s="1"/>
      <c r="OPE6" s="6"/>
      <c r="OPF6" s="7"/>
      <c r="OPG6" s="8"/>
      <c r="OPH6" s="9"/>
      <c r="OPI6" s="8"/>
      <c r="OPJ6" s="7"/>
      <c r="OPK6" s="9"/>
      <c r="OPL6" s="8"/>
      <c r="OPM6" s="8"/>
      <c r="OPN6" s="7"/>
      <c r="OPO6" s="9"/>
      <c r="OPP6" s="1"/>
      <c r="OPQ6" s="1"/>
      <c r="OPR6" s="1"/>
      <c r="OPS6" s="1"/>
      <c r="OPT6" s="1"/>
      <c r="OPU6" s="1"/>
      <c r="OPV6" s="1"/>
      <c r="OPW6" s="1"/>
      <c r="OPY6" s="1"/>
      <c r="OQA6" s="6"/>
      <c r="OQB6" s="7"/>
      <c r="OQC6" s="8"/>
      <c r="OQD6" s="9"/>
      <c r="OQE6" s="8"/>
      <c r="OQF6" s="7"/>
      <c r="OQG6" s="9"/>
      <c r="OQH6" s="8"/>
      <c r="OQI6" s="8"/>
      <c r="OQJ6" s="7"/>
      <c r="OQK6" s="9"/>
      <c r="OQL6" s="1"/>
      <c r="OQM6" s="1"/>
      <c r="OQN6" s="1"/>
      <c r="OQO6" s="1"/>
      <c r="OQP6" s="1"/>
      <c r="OQQ6" s="1"/>
      <c r="OQR6" s="1"/>
      <c r="OQS6" s="1"/>
      <c r="OQU6" s="1"/>
      <c r="OQW6" s="6"/>
      <c r="OQX6" s="7"/>
      <c r="OQY6" s="8"/>
      <c r="OQZ6" s="9"/>
      <c r="ORA6" s="8"/>
      <c r="ORB6" s="7"/>
      <c r="ORC6" s="9"/>
      <c r="ORD6" s="8"/>
      <c r="ORE6" s="8"/>
      <c r="ORF6" s="7"/>
      <c r="ORG6" s="9"/>
      <c r="ORH6" s="1"/>
      <c r="ORI6" s="1"/>
      <c r="ORJ6" s="1"/>
      <c r="ORK6" s="1"/>
      <c r="ORL6" s="1"/>
      <c r="ORM6" s="1"/>
      <c r="ORN6" s="1"/>
      <c r="ORO6" s="1"/>
      <c r="ORQ6" s="1"/>
      <c r="ORS6" s="6"/>
      <c r="ORT6" s="7"/>
      <c r="ORU6" s="8"/>
      <c r="ORV6" s="9"/>
      <c r="ORW6" s="8"/>
      <c r="ORX6" s="7"/>
      <c r="ORY6" s="9"/>
      <c r="ORZ6" s="8"/>
      <c r="OSA6" s="8"/>
      <c r="OSB6" s="7"/>
      <c r="OSC6" s="9"/>
      <c r="OSD6" s="1"/>
      <c r="OSE6" s="1"/>
      <c r="OSF6" s="1"/>
      <c r="OSG6" s="1"/>
      <c r="OSH6" s="1"/>
      <c r="OSI6" s="1"/>
      <c r="OSJ6" s="1"/>
      <c r="OSK6" s="1"/>
      <c r="OSM6" s="1"/>
      <c r="OSO6" s="6"/>
      <c r="OSP6" s="7"/>
      <c r="OSQ6" s="8"/>
      <c r="OSR6" s="9"/>
      <c r="OSS6" s="8"/>
      <c r="OST6" s="7"/>
      <c r="OSU6" s="9"/>
      <c r="OSV6" s="8"/>
      <c r="OSW6" s="8"/>
      <c r="OSX6" s="7"/>
      <c r="OSY6" s="9"/>
      <c r="OSZ6" s="1"/>
      <c r="OTA6" s="1"/>
      <c r="OTB6" s="1"/>
      <c r="OTC6" s="1"/>
      <c r="OTD6" s="1"/>
      <c r="OTE6" s="1"/>
      <c r="OTF6" s="1"/>
      <c r="OTG6" s="1"/>
      <c r="OTI6" s="1"/>
      <c r="OTK6" s="6"/>
      <c r="OTL6" s="7"/>
      <c r="OTM6" s="8"/>
      <c r="OTN6" s="9"/>
      <c r="OTO6" s="8"/>
      <c r="OTP6" s="7"/>
      <c r="OTQ6" s="9"/>
      <c r="OTR6" s="8"/>
      <c r="OTS6" s="8"/>
      <c r="OTT6" s="7"/>
      <c r="OTU6" s="9"/>
      <c r="OTV6" s="1"/>
      <c r="OTW6" s="1"/>
      <c r="OTX6" s="1"/>
      <c r="OTY6" s="1"/>
      <c r="OTZ6" s="1"/>
      <c r="OUA6" s="1"/>
      <c r="OUB6" s="1"/>
      <c r="OUC6" s="1"/>
      <c r="OUE6" s="1"/>
      <c r="OUG6" s="6"/>
      <c r="OUH6" s="7"/>
      <c r="OUI6" s="8"/>
      <c r="OUJ6" s="9"/>
      <c r="OUK6" s="8"/>
      <c r="OUL6" s="7"/>
      <c r="OUM6" s="9"/>
      <c r="OUN6" s="8"/>
      <c r="OUO6" s="8"/>
      <c r="OUP6" s="7"/>
      <c r="OUQ6" s="9"/>
      <c r="OUR6" s="1"/>
      <c r="OUS6" s="1"/>
      <c r="OUT6" s="1"/>
      <c r="OUU6" s="1"/>
      <c r="OUV6" s="1"/>
      <c r="OUW6" s="1"/>
      <c r="OUX6" s="1"/>
      <c r="OUY6" s="1"/>
      <c r="OVA6" s="1"/>
      <c r="OVC6" s="6"/>
      <c r="OVD6" s="7"/>
      <c r="OVE6" s="8"/>
      <c r="OVF6" s="9"/>
      <c r="OVG6" s="8"/>
      <c r="OVH6" s="7"/>
      <c r="OVI6" s="9"/>
      <c r="OVJ6" s="8"/>
      <c r="OVK6" s="8"/>
      <c r="OVL6" s="7"/>
      <c r="OVM6" s="9"/>
      <c r="OVN6" s="1"/>
      <c r="OVO6" s="1"/>
      <c r="OVP6" s="1"/>
      <c r="OVQ6" s="1"/>
      <c r="OVR6" s="1"/>
      <c r="OVS6" s="1"/>
      <c r="OVT6" s="1"/>
      <c r="OVU6" s="1"/>
      <c r="OVW6" s="1"/>
      <c r="OVY6" s="6"/>
      <c r="OVZ6" s="7"/>
      <c r="OWA6" s="8"/>
      <c r="OWB6" s="9"/>
      <c r="OWC6" s="8"/>
      <c r="OWD6" s="7"/>
      <c r="OWE6" s="9"/>
      <c r="OWF6" s="8"/>
      <c r="OWG6" s="8"/>
      <c r="OWH6" s="7"/>
      <c r="OWI6" s="9"/>
      <c r="OWJ6" s="1"/>
      <c r="OWK6" s="1"/>
      <c r="OWL6" s="1"/>
      <c r="OWM6" s="1"/>
      <c r="OWN6" s="1"/>
      <c r="OWO6" s="1"/>
      <c r="OWP6" s="1"/>
      <c r="OWQ6" s="1"/>
      <c r="OWS6" s="1"/>
      <c r="OWU6" s="6"/>
      <c r="OWV6" s="7"/>
      <c r="OWW6" s="8"/>
      <c r="OWX6" s="9"/>
      <c r="OWY6" s="8"/>
      <c r="OWZ6" s="7"/>
      <c r="OXA6" s="9"/>
      <c r="OXB6" s="8"/>
      <c r="OXC6" s="8"/>
      <c r="OXD6" s="7"/>
      <c r="OXE6" s="9"/>
      <c r="OXF6" s="1"/>
      <c r="OXG6" s="1"/>
      <c r="OXH6" s="1"/>
      <c r="OXI6" s="1"/>
      <c r="OXJ6" s="1"/>
      <c r="OXK6" s="1"/>
      <c r="OXL6" s="1"/>
      <c r="OXM6" s="1"/>
      <c r="OXO6" s="1"/>
      <c r="OXQ6" s="6"/>
      <c r="OXR6" s="7"/>
      <c r="OXS6" s="8"/>
      <c r="OXT6" s="9"/>
      <c r="OXU6" s="8"/>
      <c r="OXV6" s="7"/>
      <c r="OXW6" s="9"/>
      <c r="OXX6" s="8"/>
      <c r="OXY6" s="8"/>
      <c r="OXZ6" s="7"/>
      <c r="OYA6" s="9"/>
      <c r="OYB6" s="1"/>
      <c r="OYC6" s="1"/>
      <c r="OYD6" s="1"/>
      <c r="OYE6" s="1"/>
      <c r="OYF6" s="1"/>
      <c r="OYG6" s="1"/>
      <c r="OYH6" s="1"/>
      <c r="OYI6" s="1"/>
      <c r="OYK6" s="1"/>
      <c r="OYM6" s="6"/>
      <c r="OYN6" s="7"/>
      <c r="OYO6" s="8"/>
      <c r="OYP6" s="9"/>
      <c r="OYQ6" s="8"/>
      <c r="OYR6" s="7"/>
      <c r="OYS6" s="9"/>
      <c r="OYT6" s="8"/>
      <c r="OYU6" s="8"/>
      <c r="OYV6" s="7"/>
      <c r="OYW6" s="9"/>
      <c r="OYX6" s="1"/>
      <c r="OYY6" s="1"/>
      <c r="OYZ6" s="1"/>
      <c r="OZA6" s="1"/>
      <c r="OZB6" s="1"/>
      <c r="OZC6" s="1"/>
      <c r="OZD6" s="1"/>
      <c r="OZE6" s="1"/>
      <c r="OZG6" s="1"/>
      <c r="OZI6" s="6"/>
      <c r="OZJ6" s="7"/>
      <c r="OZK6" s="8"/>
      <c r="OZL6" s="9"/>
      <c r="OZM6" s="8"/>
      <c r="OZN6" s="7"/>
      <c r="OZO6" s="9"/>
      <c r="OZP6" s="8"/>
      <c r="OZQ6" s="8"/>
      <c r="OZR6" s="7"/>
      <c r="OZS6" s="9"/>
      <c r="OZT6" s="1"/>
      <c r="OZU6" s="1"/>
      <c r="OZV6" s="1"/>
      <c r="OZW6" s="1"/>
      <c r="OZX6" s="1"/>
      <c r="OZY6" s="1"/>
      <c r="OZZ6" s="1"/>
      <c r="PAA6" s="1"/>
      <c r="PAC6" s="1"/>
      <c r="PAE6" s="6"/>
      <c r="PAF6" s="7"/>
      <c r="PAG6" s="8"/>
      <c r="PAH6" s="9"/>
      <c r="PAI6" s="8"/>
      <c r="PAJ6" s="7"/>
      <c r="PAK6" s="9"/>
      <c r="PAL6" s="8"/>
      <c r="PAM6" s="8"/>
      <c r="PAN6" s="7"/>
      <c r="PAO6" s="9"/>
      <c r="PAP6" s="1"/>
      <c r="PAQ6" s="1"/>
      <c r="PAR6" s="1"/>
      <c r="PAS6" s="1"/>
      <c r="PAT6" s="1"/>
      <c r="PAU6" s="1"/>
      <c r="PAV6" s="1"/>
      <c r="PAW6" s="1"/>
      <c r="PAY6" s="1"/>
      <c r="PBA6" s="6"/>
      <c r="PBB6" s="7"/>
      <c r="PBC6" s="8"/>
      <c r="PBD6" s="9"/>
      <c r="PBE6" s="8"/>
      <c r="PBF6" s="7"/>
      <c r="PBG6" s="9"/>
      <c r="PBH6" s="8"/>
      <c r="PBI6" s="8"/>
      <c r="PBJ6" s="7"/>
      <c r="PBK6" s="9"/>
      <c r="PBL6" s="1"/>
      <c r="PBM6" s="1"/>
      <c r="PBN6" s="1"/>
      <c r="PBO6" s="1"/>
      <c r="PBP6" s="1"/>
      <c r="PBQ6" s="1"/>
      <c r="PBR6" s="1"/>
      <c r="PBS6" s="1"/>
      <c r="PBU6" s="1"/>
      <c r="PBW6" s="6"/>
      <c r="PBX6" s="7"/>
      <c r="PBY6" s="8"/>
      <c r="PBZ6" s="9"/>
      <c r="PCA6" s="8"/>
      <c r="PCB6" s="7"/>
      <c r="PCC6" s="9"/>
      <c r="PCD6" s="8"/>
      <c r="PCE6" s="8"/>
      <c r="PCF6" s="7"/>
      <c r="PCG6" s="9"/>
      <c r="PCH6" s="1"/>
      <c r="PCI6" s="1"/>
      <c r="PCJ6" s="1"/>
      <c r="PCK6" s="1"/>
      <c r="PCL6" s="1"/>
      <c r="PCM6" s="1"/>
      <c r="PCN6" s="1"/>
      <c r="PCO6" s="1"/>
      <c r="PCQ6" s="1"/>
      <c r="PCS6" s="6"/>
      <c r="PCT6" s="7"/>
      <c r="PCU6" s="8"/>
      <c r="PCV6" s="9"/>
      <c r="PCW6" s="8"/>
      <c r="PCX6" s="7"/>
      <c r="PCY6" s="9"/>
      <c r="PCZ6" s="8"/>
      <c r="PDA6" s="8"/>
      <c r="PDB6" s="7"/>
      <c r="PDC6" s="9"/>
      <c r="PDD6" s="1"/>
      <c r="PDE6" s="1"/>
      <c r="PDF6" s="1"/>
      <c r="PDG6" s="1"/>
      <c r="PDH6" s="1"/>
      <c r="PDI6" s="1"/>
      <c r="PDJ6" s="1"/>
      <c r="PDK6" s="1"/>
      <c r="PDM6" s="1"/>
      <c r="PDO6" s="6"/>
      <c r="PDP6" s="7"/>
      <c r="PDQ6" s="8"/>
      <c r="PDR6" s="9"/>
      <c r="PDS6" s="8"/>
      <c r="PDT6" s="7"/>
      <c r="PDU6" s="9"/>
      <c r="PDV6" s="8"/>
      <c r="PDW6" s="8"/>
      <c r="PDX6" s="7"/>
      <c r="PDY6" s="9"/>
      <c r="PDZ6" s="1"/>
      <c r="PEA6" s="1"/>
      <c r="PEB6" s="1"/>
      <c r="PEC6" s="1"/>
      <c r="PED6" s="1"/>
      <c r="PEE6" s="1"/>
      <c r="PEF6" s="1"/>
      <c r="PEG6" s="1"/>
      <c r="PEI6" s="1"/>
      <c r="PEK6" s="6"/>
      <c r="PEL6" s="7"/>
      <c r="PEM6" s="8"/>
      <c r="PEN6" s="9"/>
      <c r="PEO6" s="8"/>
      <c r="PEP6" s="7"/>
      <c r="PEQ6" s="9"/>
      <c r="PER6" s="8"/>
      <c r="PES6" s="8"/>
      <c r="PET6" s="7"/>
      <c r="PEU6" s="9"/>
      <c r="PEV6" s="1"/>
      <c r="PEW6" s="1"/>
      <c r="PEX6" s="1"/>
      <c r="PEY6" s="1"/>
      <c r="PEZ6" s="1"/>
      <c r="PFA6" s="1"/>
      <c r="PFB6" s="1"/>
      <c r="PFC6" s="1"/>
      <c r="PFE6" s="1"/>
      <c r="PFG6" s="6"/>
      <c r="PFH6" s="7"/>
      <c r="PFI6" s="8"/>
      <c r="PFJ6" s="9"/>
      <c r="PFK6" s="8"/>
      <c r="PFL6" s="7"/>
      <c r="PFM6" s="9"/>
      <c r="PFN6" s="8"/>
      <c r="PFO6" s="8"/>
      <c r="PFP6" s="7"/>
      <c r="PFQ6" s="9"/>
      <c r="PFR6" s="1"/>
      <c r="PFS6" s="1"/>
      <c r="PFT6" s="1"/>
      <c r="PFU6" s="1"/>
      <c r="PFV6" s="1"/>
      <c r="PFW6" s="1"/>
      <c r="PFX6" s="1"/>
      <c r="PFY6" s="1"/>
      <c r="PGA6" s="1"/>
      <c r="PGC6" s="6"/>
      <c r="PGD6" s="7"/>
      <c r="PGE6" s="8"/>
      <c r="PGF6" s="9"/>
      <c r="PGG6" s="8"/>
      <c r="PGH6" s="7"/>
      <c r="PGI6" s="9"/>
      <c r="PGJ6" s="8"/>
      <c r="PGK6" s="8"/>
      <c r="PGL6" s="7"/>
      <c r="PGM6" s="9"/>
      <c r="PGN6" s="1"/>
      <c r="PGO6" s="1"/>
      <c r="PGP6" s="1"/>
      <c r="PGQ6" s="1"/>
      <c r="PGR6" s="1"/>
      <c r="PGS6" s="1"/>
      <c r="PGT6" s="1"/>
      <c r="PGU6" s="1"/>
      <c r="PGW6" s="1"/>
      <c r="PGY6" s="6"/>
      <c r="PGZ6" s="7"/>
      <c r="PHA6" s="8"/>
      <c r="PHB6" s="9"/>
      <c r="PHC6" s="8"/>
      <c r="PHD6" s="7"/>
      <c r="PHE6" s="9"/>
      <c r="PHF6" s="8"/>
      <c r="PHG6" s="8"/>
      <c r="PHH6" s="7"/>
      <c r="PHI6" s="9"/>
      <c r="PHJ6" s="1"/>
      <c r="PHK6" s="1"/>
      <c r="PHL6" s="1"/>
      <c r="PHM6" s="1"/>
      <c r="PHN6" s="1"/>
      <c r="PHO6" s="1"/>
      <c r="PHP6" s="1"/>
      <c r="PHQ6" s="1"/>
      <c r="PHS6" s="1"/>
      <c r="PHU6" s="6"/>
      <c r="PHV6" s="7"/>
      <c r="PHW6" s="8"/>
      <c r="PHX6" s="9"/>
      <c r="PHY6" s="8"/>
      <c r="PHZ6" s="7"/>
      <c r="PIA6" s="9"/>
      <c r="PIB6" s="8"/>
      <c r="PIC6" s="8"/>
      <c r="PID6" s="7"/>
      <c r="PIE6" s="9"/>
      <c r="PIF6" s="1"/>
      <c r="PIG6" s="1"/>
      <c r="PIH6" s="1"/>
      <c r="PII6" s="1"/>
      <c r="PIJ6" s="1"/>
      <c r="PIK6" s="1"/>
      <c r="PIL6" s="1"/>
      <c r="PIM6" s="1"/>
      <c r="PIO6" s="1"/>
      <c r="PIQ6" s="6"/>
      <c r="PIR6" s="7"/>
      <c r="PIS6" s="8"/>
      <c r="PIT6" s="9"/>
      <c r="PIU6" s="8"/>
      <c r="PIV6" s="7"/>
      <c r="PIW6" s="9"/>
      <c r="PIX6" s="8"/>
      <c r="PIY6" s="8"/>
      <c r="PIZ6" s="7"/>
      <c r="PJA6" s="9"/>
      <c r="PJB6" s="1"/>
      <c r="PJC6" s="1"/>
      <c r="PJD6" s="1"/>
      <c r="PJE6" s="1"/>
      <c r="PJF6" s="1"/>
      <c r="PJG6" s="1"/>
      <c r="PJH6" s="1"/>
      <c r="PJI6" s="1"/>
      <c r="PJK6" s="1"/>
      <c r="PJM6" s="6"/>
      <c r="PJN6" s="7"/>
      <c r="PJO6" s="8"/>
      <c r="PJP6" s="9"/>
      <c r="PJQ6" s="8"/>
      <c r="PJR6" s="7"/>
      <c r="PJS6" s="9"/>
      <c r="PJT6" s="8"/>
      <c r="PJU6" s="8"/>
      <c r="PJV6" s="7"/>
      <c r="PJW6" s="9"/>
      <c r="PJX6" s="1"/>
      <c r="PJY6" s="1"/>
      <c r="PJZ6" s="1"/>
      <c r="PKA6" s="1"/>
      <c r="PKB6" s="1"/>
      <c r="PKC6" s="1"/>
      <c r="PKD6" s="1"/>
      <c r="PKE6" s="1"/>
      <c r="PKG6" s="1"/>
      <c r="PKI6" s="6"/>
      <c r="PKJ6" s="7"/>
      <c r="PKK6" s="8"/>
      <c r="PKL6" s="9"/>
      <c r="PKM6" s="8"/>
      <c r="PKN6" s="7"/>
      <c r="PKO6" s="9"/>
      <c r="PKP6" s="8"/>
      <c r="PKQ6" s="8"/>
      <c r="PKR6" s="7"/>
      <c r="PKS6" s="9"/>
      <c r="PKT6" s="1"/>
      <c r="PKU6" s="1"/>
      <c r="PKV6" s="1"/>
      <c r="PKW6" s="1"/>
      <c r="PKX6" s="1"/>
      <c r="PKY6" s="1"/>
      <c r="PKZ6" s="1"/>
      <c r="PLA6" s="1"/>
      <c r="PLC6" s="1"/>
      <c r="PLE6" s="6"/>
      <c r="PLF6" s="7"/>
      <c r="PLG6" s="8"/>
      <c r="PLH6" s="9"/>
      <c r="PLI6" s="8"/>
      <c r="PLJ6" s="7"/>
      <c r="PLK6" s="9"/>
      <c r="PLL6" s="8"/>
      <c r="PLM6" s="8"/>
      <c r="PLN6" s="7"/>
      <c r="PLO6" s="9"/>
      <c r="PLP6" s="1"/>
      <c r="PLQ6" s="1"/>
      <c r="PLR6" s="1"/>
      <c r="PLS6" s="1"/>
      <c r="PLT6" s="1"/>
      <c r="PLU6" s="1"/>
      <c r="PLV6" s="1"/>
      <c r="PLW6" s="1"/>
      <c r="PLY6" s="1"/>
      <c r="PMA6" s="6"/>
      <c r="PMB6" s="7"/>
      <c r="PMC6" s="8"/>
      <c r="PMD6" s="9"/>
      <c r="PME6" s="8"/>
      <c r="PMF6" s="7"/>
      <c r="PMG6" s="9"/>
      <c r="PMH6" s="8"/>
      <c r="PMI6" s="8"/>
      <c r="PMJ6" s="7"/>
      <c r="PMK6" s="9"/>
      <c r="PML6" s="1"/>
      <c r="PMM6" s="1"/>
      <c r="PMN6" s="1"/>
      <c r="PMO6" s="1"/>
      <c r="PMP6" s="1"/>
      <c r="PMQ6" s="1"/>
      <c r="PMR6" s="1"/>
      <c r="PMS6" s="1"/>
      <c r="PMU6" s="1"/>
      <c r="PMW6" s="6"/>
      <c r="PMX6" s="7"/>
      <c r="PMY6" s="8"/>
      <c r="PMZ6" s="9"/>
      <c r="PNA6" s="8"/>
      <c r="PNB6" s="7"/>
      <c r="PNC6" s="9"/>
      <c r="PND6" s="8"/>
      <c r="PNE6" s="8"/>
      <c r="PNF6" s="7"/>
      <c r="PNG6" s="9"/>
      <c r="PNH6" s="1"/>
      <c r="PNI6" s="1"/>
      <c r="PNJ6" s="1"/>
      <c r="PNK6" s="1"/>
      <c r="PNL6" s="1"/>
      <c r="PNM6" s="1"/>
      <c r="PNN6" s="1"/>
      <c r="PNO6" s="1"/>
      <c r="PNQ6" s="1"/>
      <c r="PNS6" s="6"/>
      <c r="PNT6" s="7"/>
      <c r="PNU6" s="8"/>
      <c r="PNV6" s="9"/>
      <c r="PNW6" s="8"/>
      <c r="PNX6" s="7"/>
      <c r="PNY6" s="9"/>
      <c r="PNZ6" s="8"/>
      <c r="POA6" s="8"/>
      <c r="POB6" s="7"/>
      <c r="POC6" s="9"/>
      <c r="POD6" s="1"/>
      <c r="POE6" s="1"/>
      <c r="POF6" s="1"/>
      <c r="POG6" s="1"/>
      <c r="POH6" s="1"/>
      <c r="POI6" s="1"/>
      <c r="POJ6" s="1"/>
      <c r="POK6" s="1"/>
      <c r="POM6" s="1"/>
      <c r="POO6" s="6"/>
      <c r="POP6" s="7"/>
      <c r="POQ6" s="8"/>
      <c r="POR6" s="9"/>
      <c r="POS6" s="8"/>
      <c r="POT6" s="7"/>
      <c r="POU6" s="9"/>
      <c r="POV6" s="8"/>
      <c r="POW6" s="8"/>
      <c r="POX6" s="7"/>
      <c r="POY6" s="9"/>
      <c r="POZ6" s="1"/>
      <c r="PPA6" s="1"/>
      <c r="PPB6" s="1"/>
      <c r="PPC6" s="1"/>
      <c r="PPD6" s="1"/>
      <c r="PPE6" s="1"/>
      <c r="PPF6" s="1"/>
      <c r="PPG6" s="1"/>
      <c r="PPI6" s="1"/>
      <c r="PPK6" s="6"/>
      <c r="PPL6" s="7"/>
      <c r="PPM6" s="8"/>
      <c r="PPN6" s="9"/>
      <c r="PPO6" s="8"/>
      <c r="PPP6" s="7"/>
      <c r="PPQ6" s="9"/>
      <c r="PPR6" s="8"/>
      <c r="PPS6" s="8"/>
      <c r="PPT6" s="7"/>
      <c r="PPU6" s="9"/>
      <c r="PPV6" s="1"/>
      <c r="PPW6" s="1"/>
      <c r="PPX6" s="1"/>
      <c r="PPY6" s="1"/>
      <c r="PPZ6" s="1"/>
      <c r="PQA6" s="1"/>
      <c r="PQB6" s="1"/>
      <c r="PQC6" s="1"/>
      <c r="PQE6" s="1"/>
      <c r="PQG6" s="6"/>
      <c r="PQH6" s="7"/>
      <c r="PQI6" s="8"/>
      <c r="PQJ6" s="9"/>
      <c r="PQK6" s="8"/>
      <c r="PQL6" s="7"/>
      <c r="PQM6" s="9"/>
      <c r="PQN6" s="8"/>
      <c r="PQO6" s="8"/>
      <c r="PQP6" s="7"/>
      <c r="PQQ6" s="9"/>
      <c r="PQR6" s="1"/>
      <c r="PQS6" s="1"/>
      <c r="PQT6" s="1"/>
      <c r="PQU6" s="1"/>
      <c r="PQV6" s="1"/>
      <c r="PQW6" s="1"/>
      <c r="PQX6" s="1"/>
      <c r="PQY6" s="1"/>
      <c r="PRA6" s="1"/>
      <c r="PRC6" s="6"/>
      <c r="PRD6" s="7"/>
      <c r="PRE6" s="8"/>
      <c r="PRF6" s="9"/>
      <c r="PRG6" s="8"/>
      <c r="PRH6" s="7"/>
      <c r="PRI6" s="9"/>
      <c r="PRJ6" s="8"/>
      <c r="PRK6" s="8"/>
      <c r="PRL6" s="7"/>
      <c r="PRM6" s="9"/>
      <c r="PRN6" s="1"/>
      <c r="PRO6" s="1"/>
      <c r="PRP6" s="1"/>
      <c r="PRQ6" s="1"/>
      <c r="PRR6" s="1"/>
      <c r="PRS6" s="1"/>
      <c r="PRT6" s="1"/>
      <c r="PRU6" s="1"/>
      <c r="PRW6" s="1"/>
      <c r="PRY6" s="6"/>
      <c r="PRZ6" s="7"/>
      <c r="PSA6" s="8"/>
      <c r="PSB6" s="9"/>
      <c r="PSC6" s="8"/>
      <c r="PSD6" s="7"/>
      <c r="PSE6" s="9"/>
      <c r="PSF6" s="8"/>
      <c r="PSG6" s="8"/>
      <c r="PSH6" s="7"/>
      <c r="PSI6" s="9"/>
      <c r="PSJ6" s="1"/>
      <c r="PSK6" s="1"/>
      <c r="PSL6" s="1"/>
      <c r="PSM6" s="1"/>
      <c r="PSN6" s="1"/>
      <c r="PSO6" s="1"/>
      <c r="PSP6" s="1"/>
      <c r="PSQ6" s="1"/>
      <c r="PSS6" s="1"/>
      <c r="PSU6" s="6"/>
      <c r="PSV6" s="7"/>
      <c r="PSW6" s="8"/>
      <c r="PSX6" s="9"/>
      <c r="PSY6" s="8"/>
      <c r="PSZ6" s="7"/>
      <c r="PTA6" s="9"/>
      <c r="PTB6" s="8"/>
      <c r="PTC6" s="8"/>
      <c r="PTD6" s="7"/>
      <c r="PTE6" s="9"/>
      <c r="PTF6" s="1"/>
      <c r="PTG6" s="1"/>
      <c r="PTH6" s="1"/>
      <c r="PTI6" s="1"/>
      <c r="PTJ6" s="1"/>
      <c r="PTK6" s="1"/>
      <c r="PTL6" s="1"/>
      <c r="PTM6" s="1"/>
      <c r="PTO6" s="1"/>
      <c r="PTQ6" s="6"/>
      <c r="PTR6" s="7"/>
      <c r="PTS6" s="8"/>
      <c r="PTT6" s="9"/>
      <c r="PTU6" s="8"/>
      <c r="PTV6" s="7"/>
      <c r="PTW6" s="9"/>
      <c r="PTX6" s="8"/>
      <c r="PTY6" s="8"/>
      <c r="PTZ6" s="7"/>
      <c r="PUA6" s="9"/>
      <c r="PUB6" s="1"/>
      <c r="PUC6" s="1"/>
      <c r="PUD6" s="1"/>
      <c r="PUE6" s="1"/>
      <c r="PUF6" s="1"/>
      <c r="PUG6" s="1"/>
      <c r="PUH6" s="1"/>
      <c r="PUI6" s="1"/>
      <c r="PUK6" s="1"/>
      <c r="PUM6" s="6"/>
      <c r="PUN6" s="7"/>
      <c r="PUO6" s="8"/>
      <c r="PUP6" s="9"/>
      <c r="PUQ6" s="8"/>
      <c r="PUR6" s="7"/>
      <c r="PUS6" s="9"/>
      <c r="PUT6" s="8"/>
      <c r="PUU6" s="8"/>
      <c r="PUV6" s="7"/>
      <c r="PUW6" s="9"/>
      <c r="PUX6" s="1"/>
      <c r="PUY6" s="1"/>
      <c r="PUZ6" s="1"/>
      <c r="PVA6" s="1"/>
      <c r="PVB6" s="1"/>
      <c r="PVC6" s="1"/>
      <c r="PVD6" s="1"/>
      <c r="PVE6" s="1"/>
      <c r="PVG6" s="1"/>
      <c r="PVI6" s="6"/>
      <c r="PVJ6" s="7"/>
      <c r="PVK6" s="8"/>
      <c r="PVL6" s="9"/>
      <c r="PVM6" s="8"/>
      <c r="PVN6" s="7"/>
      <c r="PVO6" s="9"/>
      <c r="PVP6" s="8"/>
      <c r="PVQ6" s="8"/>
      <c r="PVR6" s="7"/>
      <c r="PVS6" s="9"/>
      <c r="PVT6" s="1"/>
      <c r="PVU6" s="1"/>
      <c r="PVV6" s="1"/>
      <c r="PVW6" s="1"/>
      <c r="PVX6" s="1"/>
      <c r="PVY6" s="1"/>
      <c r="PVZ6" s="1"/>
      <c r="PWA6" s="1"/>
      <c r="PWC6" s="1"/>
      <c r="PWE6" s="6"/>
      <c r="PWF6" s="7"/>
      <c r="PWG6" s="8"/>
      <c r="PWH6" s="9"/>
      <c r="PWI6" s="8"/>
      <c r="PWJ6" s="7"/>
      <c r="PWK6" s="9"/>
      <c r="PWL6" s="8"/>
      <c r="PWM6" s="8"/>
      <c r="PWN6" s="7"/>
      <c r="PWO6" s="9"/>
      <c r="PWP6" s="1"/>
      <c r="PWQ6" s="1"/>
      <c r="PWR6" s="1"/>
      <c r="PWS6" s="1"/>
      <c r="PWT6" s="1"/>
      <c r="PWU6" s="1"/>
      <c r="PWV6" s="1"/>
      <c r="PWW6" s="1"/>
      <c r="PWY6" s="1"/>
      <c r="PXA6" s="6"/>
      <c r="PXB6" s="7"/>
      <c r="PXC6" s="8"/>
      <c r="PXD6" s="9"/>
      <c r="PXE6" s="8"/>
      <c r="PXF6" s="7"/>
      <c r="PXG6" s="9"/>
      <c r="PXH6" s="8"/>
      <c r="PXI6" s="8"/>
      <c r="PXJ6" s="7"/>
      <c r="PXK6" s="9"/>
      <c r="PXL6" s="1"/>
      <c r="PXM6" s="1"/>
      <c r="PXN6" s="1"/>
      <c r="PXO6" s="1"/>
      <c r="PXP6" s="1"/>
      <c r="PXQ6" s="1"/>
      <c r="PXR6" s="1"/>
      <c r="PXS6" s="1"/>
      <c r="PXU6" s="1"/>
      <c r="PXW6" s="6"/>
      <c r="PXX6" s="7"/>
      <c r="PXY6" s="8"/>
      <c r="PXZ6" s="9"/>
      <c r="PYA6" s="8"/>
      <c r="PYB6" s="7"/>
      <c r="PYC6" s="9"/>
      <c r="PYD6" s="8"/>
      <c r="PYE6" s="8"/>
      <c r="PYF6" s="7"/>
      <c r="PYG6" s="9"/>
      <c r="PYH6" s="1"/>
      <c r="PYI6" s="1"/>
      <c r="PYJ6" s="1"/>
      <c r="PYK6" s="1"/>
      <c r="PYL6" s="1"/>
      <c r="PYM6" s="1"/>
      <c r="PYN6" s="1"/>
      <c r="PYO6" s="1"/>
      <c r="PYQ6" s="1"/>
      <c r="PYS6" s="6"/>
      <c r="PYT6" s="7"/>
      <c r="PYU6" s="8"/>
      <c r="PYV6" s="9"/>
      <c r="PYW6" s="8"/>
      <c r="PYX6" s="7"/>
      <c r="PYY6" s="9"/>
      <c r="PYZ6" s="8"/>
      <c r="PZA6" s="8"/>
      <c r="PZB6" s="7"/>
      <c r="PZC6" s="9"/>
      <c r="PZD6" s="1"/>
      <c r="PZE6" s="1"/>
      <c r="PZF6" s="1"/>
      <c r="PZG6" s="1"/>
      <c r="PZH6" s="1"/>
      <c r="PZI6" s="1"/>
      <c r="PZJ6" s="1"/>
      <c r="PZK6" s="1"/>
      <c r="PZM6" s="1"/>
      <c r="PZO6" s="6"/>
      <c r="PZP6" s="7"/>
      <c r="PZQ6" s="8"/>
      <c r="PZR6" s="9"/>
      <c r="PZS6" s="8"/>
      <c r="PZT6" s="7"/>
      <c r="PZU6" s="9"/>
      <c r="PZV6" s="8"/>
      <c r="PZW6" s="8"/>
      <c r="PZX6" s="7"/>
      <c r="PZY6" s="9"/>
      <c r="PZZ6" s="1"/>
      <c r="QAA6" s="1"/>
      <c r="QAB6" s="1"/>
      <c r="QAC6" s="1"/>
      <c r="QAD6" s="1"/>
      <c r="QAE6" s="1"/>
      <c r="QAF6" s="1"/>
      <c r="QAG6" s="1"/>
      <c r="QAI6" s="1"/>
      <c r="QAK6" s="6"/>
      <c r="QAL6" s="7"/>
      <c r="QAM6" s="8"/>
      <c r="QAN6" s="9"/>
      <c r="QAO6" s="8"/>
      <c r="QAP6" s="7"/>
      <c r="QAQ6" s="9"/>
      <c r="QAR6" s="8"/>
      <c r="QAS6" s="8"/>
      <c r="QAT6" s="7"/>
      <c r="QAU6" s="9"/>
      <c r="QAV6" s="1"/>
      <c r="QAW6" s="1"/>
      <c r="QAX6" s="1"/>
      <c r="QAY6" s="1"/>
      <c r="QAZ6" s="1"/>
      <c r="QBA6" s="1"/>
      <c r="QBB6" s="1"/>
      <c r="QBC6" s="1"/>
      <c r="QBE6" s="1"/>
      <c r="QBG6" s="6"/>
      <c r="QBH6" s="7"/>
      <c r="QBI6" s="8"/>
      <c r="QBJ6" s="9"/>
      <c r="QBK6" s="8"/>
      <c r="QBL6" s="7"/>
      <c r="QBM6" s="9"/>
      <c r="QBN6" s="8"/>
      <c r="QBO6" s="8"/>
      <c r="QBP6" s="7"/>
      <c r="QBQ6" s="9"/>
      <c r="QBR6" s="1"/>
      <c r="QBS6" s="1"/>
      <c r="QBT6" s="1"/>
      <c r="QBU6" s="1"/>
      <c r="QBV6" s="1"/>
      <c r="QBW6" s="1"/>
      <c r="QBX6" s="1"/>
      <c r="QBY6" s="1"/>
      <c r="QCA6" s="1"/>
      <c r="QCC6" s="6"/>
      <c r="QCD6" s="7"/>
      <c r="QCE6" s="8"/>
      <c r="QCF6" s="9"/>
      <c r="QCG6" s="8"/>
      <c r="QCH6" s="7"/>
      <c r="QCI6" s="9"/>
      <c r="QCJ6" s="8"/>
      <c r="QCK6" s="8"/>
      <c r="QCL6" s="7"/>
      <c r="QCM6" s="9"/>
      <c r="QCN6" s="1"/>
      <c r="QCO6" s="1"/>
      <c r="QCP6" s="1"/>
      <c r="QCQ6" s="1"/>
      <c r="QCR6" s="1"/>
      <c r="QCS6" s="1"/>
      <c r="QCT6" s="1"/>
      <c r="QCU6" s="1"/>
      <c r="QCW6" s="1"/>
      <c r="QCY6" s="6"/>
      <c r="QCZ6" s="7"/>
      <c r="QDA6" s="8"/>
      <c r="QDB6" s="9"/>
      <c r="QDC6" s="8"/>
      <c r="QDD6" s="7"/>
      <c r="QDE6" s="9"/>
      <c r="QDF6" s="8"/>
      <c r="QDG6" s="8"/>
      <c r="QDH6" s="7"/>
      <c r="QDI6" s="9"/>
      <c r="QDJ6" s="1"/>
      <c r="QDK6" s="1"/>
      <c r="QDL6" s="1"/>
      <c r="QDM6" s="1"/>
      <c r="QDN6" s="1"/>
      <c r="QDO6" s="1"/>
      <c r="QDP6" s="1"/>
      <c r="QDQ6" s="1"/>
      <c r="QDS6" s="1"/>
      <c r="QDU6" s="6"/>
      <c r="QDV6" s="7"/>
      <c r="QDW6" s="8"/>
      <c r="QDX6" s="9"/>
      <c r="QDY6" s="8"/>
      <c r="QDZ6" s="7"/>
      <c r="QEA6" s="9"/>
      <c r="QEB6" s="8"/>
      <c r="QEC6" s="8"/>
      <c r="QED6" s="7"/>
      <c r="QEE6" s="9"/>
      <c r="QEF6" s="1"/>
      <c r="QEG6" s="1"/>
      <c r="QEH6" s="1"/>
      <c r="QEI6" s="1"/>
      <c r="QEJ6" s="1"/>
      <c r="QEK6" s="1"/>
      <c r="QEL6" s="1"/>
      <c r="QEM6" s="1"/>
      <c r="QEO6" s="1"/>
      <c r="QEQ6" s="6"/>
      <c r="QER6" s="7"/>
      <c r="QES6" s="8"/>
      <c r="QET6" s="9"/>
      <c r="QEU6" s="8"/>
      <c r="QEV6" s="7"/>
      <c r="QEW6" s="9"/>
      <c r="QEX6" s="8"/>
      <c r="QEY6" s="8"/>
      <c r="QEZ6" s="7"/>
      <c r="QFA6" s="9"/>
      <c r="QFB6" s="1"/>
      <c r="QFC6" s="1"/>
      <c r="QFD6" s="1"/>
      <c r="QFE6" s="1"/>
      <c r="QFF6" s="1"/>
      <c r="QFG6" s="1"/>
      <c r="QFH6" s="1"/>
      <c r="QFI6" s="1"/>
      <c r="QFK6" s="1"/>
      <c r="QFM6" s="6"/>
      <c r="QFN6" s="7"/>
      <c r="QFO6" s="8"/>
      <c r="QFP6" s="9"/>
      <c r="QFQ6" s="8"/>
      <c r="QFR6" s="7"/>
      <c r="QFS6" s="9"/>
      <c r="QFT6" s="8"/>
      <c r="QFU6" s="8"/>
      <c r="QFV6" s="7"/>
      <c r="QFW6" s="9"/>
      <c r="QFX6" s="1"/>
      <c r="QFY6" s="1"/>
      <c r="QFZ6" s="1"/>
      <c r="QGA6" s="1"/>
      <c r="QGB6" s="1"/>
      <c r="QGC6" s="1"/>
      <c r="QGD6" s="1"/>
      <c r="QGE6" s="1"/>
      <c r="QGG6" s="1"/>
      <c r="QGI6" s="6"/>
      <c r="QGJ6" s="7"/>
      <c r="QGK6" s="8"/>
      <c r="QGL6" s="9"/>
      <c r="QGM6" s="8"/>
      <c r="QGN6" s="7"/>
      <c r="QGO6" s="9"/>
      <c r="QGP6" s="8"/>
      <c r="QGQ6" s="8"/>
      <c r="QGR6" s="7"/>
      <c r="QGS6" s="9"/>
      <c r="QGT6" s="1"/>
      <c r="QGU6" s="1"/>
      <c r="QGV6" s="1"/>
      <c r="QGW6" s="1"/>
      <c r="QGX6" s="1"/>
      <c r="QGY6" s="1"/>
      <c r="QGZ6" s="1"/>
      <c r="QHA6" s="1"/>
      <c r="QHC6" s="1"/>
      <c r="QHE6" s="6"/>
      <c r="QHF6" s="7"/>
      <c r="QHG6" s="8"/>
      <c r="QHH6" s="9"/>
      <c r="QHI6" s="8"/>
      <c r="QHJ6" s="7"/>
      <c r="QHK6" s="9"/>
      <c r="QHL6" s="8"/>
      <c r="QHM6" s="8"/>
      <c r="QHN6" s="7"/>
      <c r="QHO6" s="9"/>
      <c r="QHP6" s="1"/>
      <c r="QHQ6" s="1"/>
      <c r="QHR6" s="1"/>
      <c r="QHS6" s="1"/>
      <c r="QHT6" s="1"/>
      <c r="QHU6" s="1"/>
      <c r="QHV6" s="1"/>
      <c r="QHW6" s="1"/>
      <c r="QHY6" s="1"/>
      <c r="QIA6" s="6"/>
      <c r="QIB6" s="7"/>
      <c r="QIC6" s="8"/>
      <c r="QID6" s="9"/>
      <c r="QIE6" s="8"/>
      <c r="QIF6" s="7"/>
      <c r="QIG6" s="9"/>
      <c r="QIH6" s="8"/>
      <c r="QII6" s="8"/>
      <c r="QIJ6" s="7"/>
      <c r="QIK6" s="9"/>
      <c r="QIL6" s="1"/>
      <c r="QIM6" s="1"/>
      <c r="QIN6" s="1"/>
      <c r="QIO6" s="1"/>
      <c r="QIP6" s="1"/>
      <c r="QIQ6" s="1"/>
      <c r="QIR6" s="1"/>
      <c r="QIS6" s="1"/>
      <c r="QIU6" s="1"/>
      <c r="QIW6" s="6"/>
      <c r="QIX6" s="7"/>
      <c r="QIY6" s="8"/>
      <c r="QIZ6" s="9"/>
      <c r="QJA6" s="8"/>
      <c r="QJB6" s="7"/>
      <c r="QJC6" s="9"/>
      <c r="QJD6" s="8"/>
      <c r="QJE6" s="8"/>
      <c r="QJF6" s="7"/>
      <c r="QJG6" s="9"/>
      <c r="QJH6" s="1"/>
      <c r="QJI6" s="1"/>
      <c r="QJJ6" s="1"/>
      <c r="QJK6" s="1"/>
      <c r="QJL6" s="1"/>
      <c r="QJM6" s="1"/>
      <c r="QJN6" s="1"/>
      <c r="QJO6" s="1"/>
      <c r="QJQ6" s="1"/>
      <c r="QJS6" s="6"/>
      <c r="QJT6" s="7"/>
      <c r="QJU6" s="8"/>
      <c r="QJV6" s="9"/>
      <c r="QJW6" s="8"/>
      <c r="QJX6" s="7"/>
      <c r="QJY6" s="9"/>
      <c r="QJZ6" s="8"/>
      <c r="QKA6" s="8"/>
      <c r="QKB6" s="7"/>
      <c r="QKC6" s="9"/>
      <c r="QKD6" s="1"/>
      <c r="QKE6" s="1"/>
      <c r="QKF6" s="1"/>
      <c r="QKG6" s="1"/>
      <c r="QKH6" s="1"/>
      <c r="QKI6" s="1"/>
      <c r="QKJ6" s="1"/>
      <c r="QKK6" s="1"/>
      <c r="QKM6" s="1"/>
      <c r="QKO6" s="6"/>
      <c r="QKP6" s="7"/>
      <c r="QKQ6" s="8"/>
      <c r="QKR6" s="9"/>
      <c r="QKS6" s="8"/>
      <c r="QKT6" s="7"/>
      <c r="QKU6" s="9"/>
      <c r="QKV6" s="8"/>
      <c r="QKW6" s="8"/>
      <c r="QKX6" s="7"/>
      <c r="QKY6" s="9"/>
      <c r="QKZ6" s="1"/>
      <c r="QLA6" s="1"/>
      <c r="QLB6" s="1"/>
      <c r="QLC6" s="1"/>
      <c r="QLD6" s="1"/>
      <c r="QLE6" s="1"/>
      <c r="QLF6" s="1"/>
      <c r="QLG6" s="1"/>
      <c r="QLI6" s="1"/>
      <c r="QLK6" s="6"/>
      <c r="QLL6" s="7"/>
      <c r="QLM6" s="8"/>
      <c r="QLN6" s="9"/>
      <c r="QLO6" s="8"/>
      <c r="QLP6" s="7"/>
      <c r="QLQ6" s="9"/>
      <c r="QLR6" s="8"/>
      <c r="QLS6" s="8"/>
      <c r="QLT6" s="7"/>
      <c r="QLU6" s="9"/>
      <c r="QLV6" s="1"/>
      <c r="QLW6" s="1"/>
      <c r="QLX6" s="1"/>
      <c r="QLY6" s="1"/>
      <c r="QLZ6" s="1"/>
      <c r="QMA6" s="1"/>
      <c r="QMB6" s="1"/>
      <c r="QMC6" s="1"/>
      <c r="QME6" s="1"/>
      <c r="QMG6" s="6"/>
      <c r="QMH6" s="7"/>
      <c r="QMI6" s="8"/>
      <c r="QMJ6" s="9"/>
      <c r="QMK6" s="8"/>
      <c r="QML6" s="7"/>
      <c r="QMM6" s="9"/>
      <c r="QMN6" s="8"/>
      <c r="QMO6" s="8"/>
      <c r="QMP6" s="7"/>
      <c r="QMQ6" s="9"/>
      <c r="QMR6" s="1"/>
      <c r="QMS6" s="1"/>
      <c r="QMT6" s="1"/>
      <c r="QMU6" s="1"/>
      <c r="QMV6" s="1"/>
      <c r="QMW6" s="1"/>
      <c r="QMX6" s="1"/>
      <c r="QMY6" s="1"/>
      <c r="QNA6" s="1"/>
      <c r="QNC6" s="6"/>
      <c r="QND6" s="7"/>
      <c r="QNE6" s="8"/>
      <c r="QNF6" s="9"/>
      <c r="QNG6" s="8"/>
      <c r="QNH6" s="7"/>
      <c r="QNI6" s="9"/>
      <c r="QNJ6" s="8"/>
      <c r="QNK6" s="8"/>
      <c r="QNL6" s="7"/>
      <c r="QNM6" s="9"/>
      <c r="QNN6" s="1"/>
      <c r="QNO6" s="1"/>
      <c r="QNP6" s="1"/>
      <c r="QNQ6" s="1"/>
      <c r="QNR6" s="1"/>
      <c r="QNS6" s="1"/>
      <c r="QNT6" s="1"/>
      <c r="QNU6" s="1"/>
      <c r="QNW6" s="1"/>
      <c r="QNY6" s="6"/>
      <c r="QNZ6" s="7"/>
      <c r="QOA6" s="8"/>
      <c r="QOB6" s="9"/>
      <c r="QOC6" s="8"/>
      <c r="QOD6" s="7"/>
      <c r="QOE6" s="9"/>
      <c r="QOF6" s="8"/>
      <c r="QOG6" s="8"/>
      <c r="QOH6" s="7"/>
      <c r="QOI6" s="9"/>
      <c r="QOJ6" s="1"/>
      <c r="QOK6" s="1"/>
      <c r="QOL6" s="1"/>
      <c r="QOM6" s="1"/>
      <c r="QON6" s="1"/>
      <c r="QOO6" s="1"/>
      <c r="QOP6" s="1"/>
      <c r="QOQ6" s="1"/>
      <c r="QOS6" s="1"/>
      <c r="QOU6" s="6"/>
      <c r="QOV6" s="7"/>
      <c r="QOW6" s="8"/>
      <c r="QOX6" s="9"/>
      <c r="QOY6" s="8"/>
      <c r="QOZ6" s="7"/>
      <c r="QPA6" s="9"/>
      <c r="QPB6" s="8"/>
      <c r="QPC6" s="8"/>
      <c r="QPD6" s="7"/>
      <c r="QPE6" s="9"/>
      <c r="QPF6" s="1"/>
      <c r="QPG6" s="1"/>
      <c r="QPH6" s="1"/>
      <c r="QPI6" s="1"/>
      <c r="QPJ6" s="1"/>
      <c r="QPK6" s="1"/>
      <c r="QPL6" s="1"/>
      <c r="QPM6" s="1"/>
      <c r="QPO6" s="1"/>
      <c r="QPQ6" s="6"/>
      <c r="QPR6" s="7"/>
      <c r="QPS6" s="8"/>
      <c r="QPT6" s="9"/>
      <c r="QPU6" s="8"/>
      <c r="QPV6" s="7"/>
      <c r="QPW6" s="9"/>
      <c r="QPX6" s="8"/>
      <c r="QPY6" s="8"/>
      <c r="QPZ6" s="7"/>
      <c r="QQA6" s="9"/>
      <c r="QQB6" s="1"/>
      <c r="QQC6" s="1"/>
      <c r="QQD6" s="1"/>
      <c r="QQE6" s="1"/>
      <c r="QQF6" s="1"/>
      <c r="QQG6" s="1"/>
      <c r="QQH6" s="1"/>
      <c r="QQI6" s="1"/>
      <c r="QQK6" s="1"/>
      <c r="QQM6" s="6"/>
      <c r="QQN6" s="7"/>
      <c r="QQO6" s="8"/>
      <c r="QQP6" s="9"/>
      <c r="QQQ6" s="8"/>
      <c r="QQR6" s="7"/>
      <c r="QQS6" s="9"/>
      <c r="QQT6" s="8"/>
      <c r="QQU6" s="8"/>
      <c r="QQV6" s="7"/>
      <c r="QQW6" s="9"/>
      <c r="QQX6" s="1"/>
      <c r="QQY6" s="1"/>
      <c r="QQZ6" s="1"/>
      <c r="QRA6" s="1"/>
      <c r="QRB6" s="1"/>
      <c r="QRC6" s="1"/>
      <c r="QRD6" s="1"/>
      <c r="QRE6" s="1"/>
      <c r="QRG6" s="1"/>
      <c r="QRI6" s="6"/>
      <c r="QRJ6" s="7"/>
      <c r="QRK6" s="8"/>
      <c r="QRL6" s="9"/>
      <c r="QRM6" s="8"/>
      <c r="QRN6" s="7"/>
      <c r="QRO6" s="9"/>
      <c r="QRP6" s="8"/>
      <c r="QRQ6" s="8"/>
      <c r="QRR6" s="7"/>
      <c r="QRS6" s="9"/>
      <c r="QRT6" s="1"/>
      <c r="QRU6" s="1"/>
      <c r="QRV6" s="1"/>
      <c r="QRW6" s="1"/>
      <c r="QRX6" s="1"/>
      <c r="QRY6" s="1"/>
      <c r="QRZ6" s="1"/>
      <c r="QSA6" s="1"/>
      <c r="QSC6" s="1"/>
      <c r="QSE6" s="6"/>
      <c r="QSF6" s="7"/>
      <c r="QSG6" s="8"/>
      <c r="QSH6" s="9"/>
      <c r="QSI6" s="8"/>
      <c r="QSJ6" s="7"/>
      <c r="QSK6" s="9"/>
      <c r="QSL6" s="8"/>
      <c r="QSM6" s="8"/>
      <c r="QSN6" s="7"/>
      <c r="QSO6" s="9"/>
      <c r="QSP6" s="1"/>
      <c r="QSQ6" s="1"/>
      <c r="QSR6" s="1"/>
      <c r="QSS6" s="1"/>
      <c r="QST6" s="1"/>
      <c r="QSU6" s="1"/>
      <c r="QSV6" s="1"/>
      <c r="QSW6" s="1"/>
      <c r="QSY6" s="1"/>
      <c r="QTA6" s="6"/>
      <c r="QTB6" s="7"/>
      <c r="QTC6" s="8"/>
      <c r="QTD6" s="9"/>
      <c r="QTE6" s="8"/>
      <c r="QTF6" s="7"/>
      <c r="QTG6" s="9"/>
      <c r="QTH6" s="8"/>
      <c r="QTI6" s="8"/>
      <c r="QTJ6" s="7"/>
      <c r="QTK6" s="9"/>
      <c r="QTL6" s="1"/>
      <c r="QTM6" s="1"/>
      <c r="QTN6" s="1"/>
      <c r="QTO6" s="1"/>
      <c r="QTP6" s="1"/>
      <c r="QTQ6" s="1"/>
      <c r="QTR6" s="1"/>
      <c r="QTS6" s="1"/>
      <c r="QTU6" s="1"/>
      <c r="QTW6" s="6"/>
      <c r="QTX6" s="7"/>
      <c r="QTY6" s="8"/>
      <c r="QTZ6" s="9"/>
      <c r="QUA6" s="8"/>
      <c r="QUB6" s="7"/>
      <c r="QUC6" s="9"/>
      <c r="QUD6" s="8"/>
      <c r="QUE6" s="8"/>
      <c r="QUF6" s="7"/>
      <c r="QUG6" s="9"/>
      <c r="QUH6" s="1"/>
      <c r="QUI6" s="1"/>
      <c r="QUJ6" s="1"/>
      <c r="QUK6" s="1"/>
      <c r="QUL6" s="1"/>
      <c r="QUM6" s="1"/>
      <c r="QUN6" s="1"/>
      <c r="QUO6" s="1"/>
      <c r="QUQ6" s="1"/>
      <c r="QUS6" s="6"/>
      <c r="QUT6" s="7"/>
      <c r="QUU6" s="8"/>
      <c r="QUV6" s="9"/>
      <c r="QUW6" s="8"/>
      <c r="QUX6" s="7"/>
      <c r="QUY6" s="9"/>
      <c r="QUZ6" s="8"/>
      <c r="QVA6" s="8"/>
      <c r="QVB6" s="7"/>
      <c r="QVC6" s="9"/>
      <c r="QVD6" s="1"/>
      <c r="QVE6" s="1"/>
      <c r="QVF6" s="1"/>
      <c r="QVG6" s="1"/>
      <c r="QVH6" s="1"/>
      <c r="QVI6" s="1"/>
      <c r="QVJ6" s="1"/>
      <c r="QVK6" s="1"/>
      <c r="QVM6" s="1"/>
      <c r="QVO6" s="6"/>
      <c r="QVP6" s="7"/>
      <c r="QVQ6" s="8"/>
      <c r="QVR6" s="9"/>
      <c r="QVS6" s="8"/>
      <c r="QVT6" s="7"/>
      <c r="QVU6" s="9"/>
      <c r="QVV6" s="8"/>
      <c r="QVW6" s="8"/>
      <c r="QVX6" s="7"/>
      <c r="QVY6" s="9"/>
      <c r="QVZ6" s="1"/>
      <c r="QWA6" s="1"/>
      <c r="QWB6" s="1"/>
      <c r="QWC6" s="1"/>
      <c r="QWD6" s="1"/>
      <c r="QWE6" s="1"/>
      <c r="QWF6" s="1"/>
      <c r="QWG6" s="1"/>
      <c r="QWI6" s="1"/>
      <c r="QWK6" s="6"/>
      <c r="QWL6" s="7"/>
      <c r="QWM6" s="8"/>
      <c r="QWN6" s="9"/>
      <c r="QWO6" s="8"/>
      <c r="QWP6" s="7"/>
      <c r="QWQ6" s="9"/>
      <c r="QWR6" s="8"/>
      <c r="QWS6" s="8"/>
      <c r="QWT6" s="7"/>
      <c r="QWU6" s="9"/>
      <c r="QWV6" s="1"/>
      <c r="QWW6" s="1"/>
      <c r="QWX6" s="1"/>
      <c r="QWY6" s="1"/>
      <c r="QWZ6" s="1"/>
      <c r="QXA6" s="1"/>
      <c r="QXB6" s="1"/>
      <c r="QXC6" s="1"/>
      <c r="QXE6" s="1"/>
      <c r="QXG6" s="6"/>
      <c r="QXH6" s="7"/>
      <c r="QXI6" s="8"/>
      <c r="QXJ6" s="9"/>
      <c r="QXK6" s="8"/>
      <c r="QXL6" s="7"/>
      <c r="QXM6" s="9"/>
      <c r="QXN6" s="8"/>
      <c r="QXO6" s="8"/>
      <c r="QXP6" s="7"/>
      <c r="QXQ6" s="9"/>
      <c r="QXR6" s="1"/>
      <c r="QXS6" s="1"/>
      <c r="QXT6" s="1"/>
      <c r="QXU6" s="1"/>
      <c r="QXV6" s="1"/>
      <c r="QXW6" s="1"/>
      <c r="QXX6" s="1"/>
      <c r="QXY6" s="1"/>
      <c r="QYA6" s="1"/>
      <c r="QYC6" s="6"/>
      <c r="QYD6" s="7"/>
      <c r="QYE6" s="8"/>
      <c r="QYF6" s="9"/>
      <c r="QYG6" s="8"/>
      <c r="QYH6" s="7"/>
      <c r="QYI6" s="9"/>
      <c r="QYJ6" s="8"/>
      <c r="QYK6" s="8"/>
      <c r="QYL6" s="7"/>
      <c r="QYM6" s="9"/>
      <c r="QYN6" s="1"/>
      <c r="QYO6" s="1"/>
      <c r="QYP6" s="1"/>
      <c r="QYQ6" s="1"/>
      <c r="QYR6" s="1"/>
      <c r="QYS6" s="1"/>
      <c r="QYT6" s="1"/>
      <c r="QYU6" s="1"/>
      <c r="QYW6" s="1"/>
      <c r="QYY6" s="6"/>
      <c r="QYZ6" s="7"/>
      <c r="QZA6" s="8"/>
      <c r="QZB6" s="9"/>
      <c r="QZC6" s="8"/>
      <c r="QZD6" s="7"/>
      <c r="QZE6" s="9"/>
      <c r="QZF6" s="8"/>
      <c r="QZG6" s="8"/>
      <c r="QZH6" s="7"/>
      <c r="QZI6" s="9"/>
      <c r="QZJ6" s="1"/>
      <c r="QZK6" s="1"/>
      <c r="QZL6" s="1"/>
      <c r="QZM6" s="1"/>
      <c r="QZN6" s="1"/>
      <c r="QZO6" s="1"/>
      <c r="QZP6" s="1"/>
      <c r="QZQ6" s="1"/>
      <c r="QZS6" s="1"/>
      <c r="QZU6" s="6"/>
      <c r="QZV6" s="7"/>
      <c r="QZW6" s="8"/>
      <c r="QZX6" s="9"/>
      <c r="QZY6" s="8"/>
      <c r="QZZ6" s="7"/>
      <c r="RAA6" s="9"/>
      <c r="RAB6" s="8"/>
      <c r="RAC6" s="8"/>
      <c r="RAD6" s="7"/>
      <c r="RAE6" s="9"/>
      <c r="RAF6" s="1"/>
      <c r="RAG6" s="1"/>
      <c r="RAH6" s="1"/>
      <c r="RAI6" s="1"/>
      <c r="RAJ6" s="1"/>
      <c r="RAK6" s="1"/>
      <c r="RAL6" s="1"/>
      <c r="RAM6" s="1"/>
      <c r="RAO6" s="1"/>
      <c r="RAQ6" s="6"/>
      <c r="RAR6" s="7"/>
      <c r="RAS6" s="8"/>
      <c r="RAT6" s="9"/>
      <c r="RAU6" s="8"/>
      <c r="RAV6" s="7"/>
      <c r="RAW6" s="9"/>
      <c r="RAX6" s="8"/>
      <c r="RAY6" s="8"/>
      <c r="RAZ6" s="7"/>
      <c r="RBA6" s="9"/>
      <c r="RBB6" s="1"/>
      <c r="RBC6" s="1"/>
      <c r="RBD6" s="1"/>
      <c r="RBE6" s="1"/>
      <c r="RBF6" s="1"/>
      <c r="RBG6" s="1"/>
      <c r="RBH6" s="1"/>
      <c r="RBI6" s="1"/>
      <c r="RBK6" s="1"/>
      <c r="RBM6" s="6"/>
      <c r="RBN6" s="7"/>
      <c r="RBO6" s="8"/>
      <c r="RBP6" s="9"/>
      <c r="RBQ6" s="8"/>
      <c r="RBR6" s="7"/>
      <c r="RBS6" s="9"/>
      <c r="RBT6" s="8"/>
      <c r="RBU6" s="8"/>
      <c r="RBV6" s="7"/>
      <c r="RBW6" s="9"/>
      <c r="RBX6" s="1"/>
      <c r="RBY6" s="1"/>
      <c r="RBZ6" s="1"/>
      <c r="RCA6" s="1"/>
      <c r="RCB6" s="1"/>
      <c r="RCC6" s="1"/>
      <c r="RCD6" s="1"/>
      <c r="RCE6" s="1"/>
      <c r="RCG6" s="1"/>
      <c r="RCI6" s="6"/>
      <c r="RCJ6" s="7"/>
      <c r="RCK6" s="8"/>
      <c r="RCL6" s="9"/>
      <c r="RCM6" s="8"/>
      <c r="RCN6" s="7"/>
      <c r="RCO6" s="9"/>
      <c r="RCP6" s="8"/>
      <c r="RCQ6" s="8"/>
      <c r="RCR6" s="7"/>
      <c r="RCS6" s="9"/>
      <c r="RCT6" s="1"/>
      <c r="RCU6" s="1"/>
      <c r="RCV6" s="1"/>
      <c r="RCW6" s="1"/>
      <c r="RCX6" s="1"/>
      <c r="RCY6" s="1"/>
      <c r="RCZ6" s="1"/>
      <c r="RDA6" s="1"/>
      <c r="RDC6" s="1"/>
      <c r="RDE6" s="6"/>
      <c r="RDF6" s="7"/>
      <c r="RDG6" s="8"/>
      <c r="RDH6" s="9"/>
      <c r="RDI6" s="8"/>
      <c r="RDJ6" s="7"/>
      <c r="RDK6" s="9"/>
      <c r="RDL6" s="8"/>
      <c r="RDM6" s="8"/>
      <c r="RDN6" s="7"/>
      <c r="RDO6" s="9"/>
      <c r="RDP6" s="1"/>
      <c r="RDQ6" s="1"/>
      <c r="RDR6" s="1"/>
      <c r="RDS6" s="1"/>
      <c r="RDT6" s="1"/>
      <c r="RDU6" s="1"/>
      <c r="RDV6" s="1"/>
      <c r="RDW6" s="1"/>
      <c r="RDY6" s="1"/>
      <c r="REA6" s="6"/>
      <c r="REB6" s="7"/>
      <c r="REC6" s="8"/>
      <c r="RED6" s="9"/>
      <c r="REE6" s="8"/>
      <c r="REF6" s="7"/>
      <c r="REG6" s="9"/>
      <c r="REH6" s="8"/>
      <c r="REI6" s="8"/>
      <c r="REJ6" s="7"/>
      <c r="REK6" s="9"/>
      <c r="REL6" s="1"/>
      <c r="REM6" s="1"/>
      <c r="REN6" s="1"/>
      <c r="REO6" s="1"/>
      <c r="REP6" s="1"/>
      <c r="REQ6" s="1"/>
      <c r="RER6" s="1"/>
      <c r="RES6" s="1"/>
      <c r="REU6" s="1"/>
      <c r="REW6" s="6"/>
      <c r="REX6" s="7"/>
      <c r="REY6" s="8"/>
      <c r="REZ6" s="9"/>
      <c r="RFA6" s="8"/>
      <c r="RFB6" s="7"/>
      <c r="RFC6" s="9"/>
      <c r="RFD6" s="8"/>
      <c r="RFE6" s="8"/>
      <c r="RFF6" s="7"/>
      <c r="RFG6" s="9"/>
      <c r="RFH6" s="1"/>
      <c r="RFI6" s="1"/>
      <c r="RFJ6" s="1"/>
      <c r="RFK6" s="1"/>
      <c r="RFL6" s="1"/>
      <c r="RFM6" s="1"/>
      <c r="RFN6" s="1"/>
      <c r="RFO6" s="1"/>
      <c r="RFQ6" s="1"/>
      <c r="RFS6" s="6"/>
      <c r="RFT6" s="7"/>
      <c r="RFU6" s="8"/>
      <c r="RFV6" s="9"/>
      <c r="RFW6" s="8"/>
      <c r="RFX6" s="7"/>
      <c r="RFY6" s="9"/>
      <c r="RFZ6" s="8"/>
      <c r="RGA6" s="8"/>
      <c r="RGB6" s="7"/>
      <c r="RGC6" s="9"/>
      <c r="RGD6" s="1"/>
      <c r="RGE6" s="1"/>
      <c r="RGF6" s="1"/>
      <c r="RGG6" s="1"/>
      <c r="RGH6" s="1"/>
      <c r="RGI6" s="1"/>
      <c r="RGJ6" s="1"/>
      <c r="RGK6" s="1"/>
      <c r="RGM6" s="1"/>
      <c r="RGO6" s="6"/>
      <c r="RGP6" s="7"/>
      <c r="RGQ6" s="8"/>
      <c r="RGR6" s="9"/>
      <c r="RGS6" s="8"/>
      <c r="RGT6" s="7"/>
      <c r="RGU6" s="9"/>
      <c r="RGV6" s="8"/>
      <c r="RGW6" s="8"/>
      <c r="RGX6" s="7"/>
      <c r="RGY6" s="9"/>
      <c r="RGZ6" s="1"/>
      <c r="RHA6" s="1"/>
      <c r="RHB6" s="1"/>
      <c r="RHC6" s="1"/>
      <c r="RHD6" s="1"/>
      <c r="RHE6" s="1"/>
      <c r="RHF6" s="1"/>
      <c r="RHG6" s="1"/>
      <c r="RHI6" s="1"/>
      <c r="RHK6" s="6"/>
      <c r="RHL6" s="7"/>
      <c r="RHM6" s="8"/>
      <c r="RHN6" s="9"/>
      <c r="RHO6" s="8"/>
      <c r="RHP6" s="7"/>
      <c r="RHQ6" s="9"/>
      <c r="RHR6" s="8"/>
      <c r="RHS6" s="8"/>
      <c r="RHT6" s="7"/>
      <c r="RHU6" s="9"/>
      <c r="RHV6" s="1"/>
      <c r="RHW6" s="1"/>
      <c r="RHX6" s="1"/>
      <c r="RHY6" s="1"/>
      <c r="RHZ6" s="1"/>
      <c r="RIA6" s="1"/>
      <c r="RIB6" s="1"/>
      <c r="RIC6" s="1"/>
      <c r="RIE6" s="1"/>
      <c r="RIG6" s="6"/>
      <c r="RIH6" s="7"/>
      <c r="RII6" s="8"/>
      <c r="RIJ6" s="9"/>
      <c r="RIK6" s="8"/>
      <c r="RIL6" s="7"/>
      <c r="RIM6" s="9"/>
      <c r="RIN6" s="8"/>
      <c r="RIO6" s="8"/>
      <c r="RIP6" s="7"/>
      <c r="RIQ6" s="9"/>
      <c r="RIR6" s="1"/>
      <c r="RIS6" s="1"/>
      <c r="RIT6" s="1"/>
      <c r="RIU6" s="1"/>
      <c r="RIV6" s="1"/>
      <c r="RIW6" s="1"/>
      <c r="RIX6" s="1"/>
      <c r="RIY6" s="1"/>
      <c r="RJA6" s="1"/>
      <c r="RJC6" s="6"/>
      <c r="RJD6" s="7"/>
      <c r="RJE6" s="8"/>
      <c r="RJF6" s="9"/>
      <c r="RJG6" s="8"/>
      <c r="RJH6" s="7"/>
      <c r="RJI6" s="9"/>
      <c r="RJJ6" s="8"/>
      <c r="RJK6" s="8"/>
      <c r="RJL6" s="7"/>
      <c r="RJM6" s="9"/>
      <c r="RJN6" s="1"/>
      <c r="RJO6" s="1"/>
      <c r="RJP6" s="1"/>
      <c r="RJQ6" s="1"/>
      <c r="RJR6" s="1"/>
      <c r="RJS6" s="1"/>
      <c r="RJT6" s="1"/>
      <c r="RJU6" s="1"/>
      <c r="RJW6" s="1"/>
      <c r="RJY6" s="6"/>
      <c r="RJZ6" s="7"/>
      <c r="RKA6" s="8"/>
      <c r="RKB6" s="9"/>
      <c r="RKC6" s="8"/>
      <c r="RKD6" s="7"/>
      <c r="RKE6" s="9"/>
      <c r="RKF6" s="8"/>
      <c r="RKG6" s="8"/>
      <c r="RKH6" s="7"/>
      <c r="RKI6" s="9"/>
      <c r="RKJ6" s="1"/>
      <c r="RKK6" s="1"/>
      <c r="RKL6" s="1"/>
      <c r="RKM6" s="1"/>
      <c r="RKN6" s="1"/>
      <c r="RKO6" s="1"/>
      <c r="RKP6" s="1"/>
      <c r="RKQ6" s="1"/>
      <c r="RKS6" s="1"/>
      <c r="RKU6" s="6"/>
      <c r="RKV6" s="7"/>
      <c r="RKW6" s="8"/>
      <c r="RKX6" s="9"/>
      <c r="RKY6" s="8"/>
      <c r="RKZ6" s="7"/>
      <c r="RLA6" s="9"/>
      <c r="RLB6" s="8"/>
      <c r="RLC6" s="8"/>
      <c r="RLD6" s="7"/>
      <c r="RLE6" s="9"/>
      <c r="RLF6" s="1"/>
      <c r="RLG6" s="1"/>
      <c r="RLH6" s="1"/>
      <c r="RLI6" s="1"/>
      <c r="RLJ6" s="1"/>
      <c r="RLK6" s="1"/>
      <c r="RLL6" s="1"/>
      <c r="RLM6" s="1"/>
      <c r="RLO6" s="1"/>
      <c r="RLQ6" s="6"/>
      <c r="RLR6" s="7"/>
      <c r="RLS6" s="8"/>
      <c r="RLT6" s="9"/>
      <c r="RLU6" s="8"/>
      <c r="RLV6" s="7"/>
      <c r="RLW6" s="9"/>
      <c r="RLX6" s="8"/>
      <c r="RLY6" s="8"/>
      <c r="RLZ6" s="7"/>
      <c r="RMA6" s="9"/>
      <c r="RMB6" s="1"/>
      <c r="RMC6" s="1"/>
      <c r="RMD6" s="1"/>
      <c r="RME6" s="1"/>
      <c r="RMF6" s="1"/>
      <c r="RMG6" s="1"/>
      <c r="RMH6" s="1"/>
      <c r="RMI6" s="1"/>
      <c r="RMK6" s="1"/>
      <c r="RMM6" s="6"/>
      <c r="RMN6" s="7"/>
      <c r="RMO6" s="8"/>
      <c r="RMP6" s="9"/>
      <c r="RMQ6" s="8"/>
      <c r="RMR6" s="7"/>
      <c r="RMS6" s="9"/>
      <c r="RMT6" s="8"/>
      <c r="RMU6" s="8"/>
      <c r="RMV6" s="7"/>
      <c r="RMW6" s="9"/>
      <c r="RMX6" s="1"/>
      <c r="RMY6" s="1"/>
      <c r="RMZ6" s="1"/>
      <c r="RNA6" s="1"/>
      <c r="RNB6" s="1"/>
      <c r="RNC6" s="1"/>
      <c r="RND6" s="1"/>
      <c r="RNE6" s="1"/>
      <c r="RNG6" s="1"/>
      <c r="RNI6" s="6"/>
      <c r="RNJ6" s="7"/>
      <c r="RNK6" s="8"/>
      <c r="RNL6" s="9"/>
      <c r="RNM6" s="8"/>
      <c r="RNN6" s="7"/>
      <c r="RNO6" s="9"/>
      <c r="RNP6" s="8"/>
      <c r="RNQ6" s="8"/>
      <c r="RNR6" s="7"/>
      <c r="RNS6" s="9"/>
      <c r="RNT6" s="1"/>
      <c r="RNU6" s="1"/>
      <c r="RNV6" s="1"/>
      <c r="RNW6" s="1"/>
      <c r="RNX6" s="1"/>
      <c r="RNY6" s="1"/>
      <c r="RNZ6" s="1"/>
      <c r="ROA6" s="1"/>
      <c r="ROC6" s="1"/>
      <c r="ROE6" s="6"/>
      <c r="ROF6" s="7"/>
      <c r="ROG6" s="8"/>
      <c r="ROH6" s="9"/>
      <c r="ROI6" s="8"/>
      <c r="ROJ6" s="7"/>
      <c r="ROK6" s="9"/>
      <c r="ROL6" s="8"/>
      <c r="ROM6" s="8"/>
      <c r="RON6" s="7"/>
      <c r="ROO6" s="9"/>
      <c r="ROP6" s="1"/>
      <c r="ROQ6" s="1"/>
      <c r="ROR6" s="1"/>
      <c r="ROS6" s="1"/>
      <c r="ROT6" s="1"/>
      <c r="ROU6" s="1"/>
      <c r="ROV6" s="1"/>
      <c r="ROW6" s="1"/>
      <c r="ROY6" s="1"/>
      <c r="RPA6" s="6"/>
      <c r="RPB6" s="7"/>
      <c r="RPC6" s="8"/>
      <c r="RPD6" s="9"/>
      <c r="RPE6" s="8"/>
      <c r="RPF6" s="7"/>
      <c r="RPG6" s="9"/>
      <c r="RPH6" s="8"/>
      <c r="RPI6" s="8"/>
      <c r="RPJ6" s="7"/>
      <c r="RPK6" s="9"/>
      <c r="RPL6" s="1"/>
      <c r="RPM6" s="1"/>
      <c r="RPN6" s="1"/>
      <c r="RPO6" s="1"/>
      <c r="RPP6" s="1"/>
      <c r="RPQ6" s="1"/>
      <c r="RPR6" s="1"/>
      <c r="RPS6" s="1"/>
      <c r="RPU6" s="1"/>
      <c r="RPW6" s="6"/>
      <c r="RPX6" s="7"/>
      <c r="RPY6" s="8"/>
      <c r="RPZ6" s="9"/>
      <c r="RQA6" s="8"/>
      <c r="RQB6" s="7"/>
      <c r="RQC6" s="9"/>
      <c r="RQD6" s="8"/>
      <c r="RQE6" s="8"/>
      <c r="RQF6" s="7"/>
      <c r="RQG6" s="9"/>
      <c r="RQH6" s="1"/>
      <c r="RQI6" s="1"/>
      <c r="RQJ6" s="1"/>
      <c r="RQK6" s="1"/>
      <c r="RQL6" s="1"/>
      <c r="RQM6" s="1"/>
      <c r="RQN6" s="1"/>
      <c r="RQO6" s="1"/>
      <c r="RQQ6" s="1"/>
      <c r="RQS6" s="6"/>
      <c r="RQT6" s="7"/>
      <c r="RQU6" s="8"/>
      <c r="RQV6" s="9"/>
      <c r="RQW6" s="8"/>
      <c r="RQX6" s="7"/>
      <c r="RQY6" s="9"/>
      <c r="RQZ6" s="8"/>
      <c r="RRA6" s="8"/>
      <c r="RRB6" s="7"/>
      <c r="RRC6" s="9"/>
      <c r="RRD6" s="1"/>
      <c r="RRE6" s="1"/>
      <c r="RRF6" s="1"/>
      <c r="RRG6" s="1"/>
      <c r="RRH6" s="1"/>
      <c r="RRI6" s="1"/>
      <c r="RRJ6" s="1"/>
      <c r="RRK6" s="1"/>
      <c r="RRM6" s="1"/>
      <c r="RRO6" s="6"/>
      <c r="RRP6" s="7"/>
      <c r="RRQ6" s="8"/>
      <c r="RRR6" s="9"/>
      <c r="RRS6" s="8"/>
      <c r="RRT6" s="7"/>
      <c r="RRU6" s="9"/>
      <c r="RRV6" s="8"/>
      <c r="RRW6" s="8"/>
      <c r="RRX6" s="7"/>
      <c r="RRY6" s="9"/>
      <c r="RRZ6" s="1"/>
      <c r="RSA6" s="1"/>
      <c r="RSB6" s="1"/>
      <c r="RSC6" s="1"/>
      <c r="RSD6" s="1"/>
      <c r="RSE6" s="1"/>
      <c r="RSF6" s="1"/>
      <c r="RSG6" s="1"/>
      <c r="RSI6" s="1"/>
      <c r="RSK6" s="6"/>
      <c r="RSL6" s="7"/>
      <c r="RSM6" s="8"/>
      <c r="RSN6" s="9"/>
      <c r="RSO6" s="8"/>
      <c r="RSP6" s="7"/>
      <c r="RSQ6" s="9"/>
      <c r="RSR6" s="8"/>
      <c r="RSS6" s="8"/>
      <c r="RST6" s="7"/>
      <c r="RSU6" s="9"/>
      <c r="RSV6" s="1"/>
      <c r="RSW6" s="1"/>
      <c r="RSX6" s="1"/>
      <c r="RSY6" s="1"/>
      <c r="RSZ6" s="1"/>
      <c r="RTA6" s="1"/>
      <c r="RTB6" s="1"/>
      <c r="RTC6" s="1"/>
      <c r="RTE6" s="1"/>
      <c r="RTG6" s="6"/>
      <c r="RTH6" s="7"/>
      <c r="RTI6" s="8"/>
      <c r="RTJ6" s="9"/>
      <c r="RTK6" s="8"/>
      <c r="RTL6" s="7"/>
      <c r="RTM6" s="9"/>
      <c r="RTN6" s="8"/>
      <c r="RTO6" s="8"/>
      <c r="RTP6" s="7"/>
      <c r="RTQ6" s="9"/>
      <c r="RTR6" s="1"/>
      <c r="RTS6" s="1"/>
      <c r="RTT6" s="1"/>
      <c r="RTU6" s="1"/>
      <c r="RTV6" s="1"/>
      <c r="RTW6" s="1"/>
      <c r="RTX6" s="1"/>
      <c r="RTY6" s="1"/>
      <c r="RUA6" s="1"/>
      <c r="RUC6" s="6"/>
      <c r="RUD6" s="7"/>
      <c r="RUE6" s="8"/>
      <c r="RUF6" s="9"/>
      <c r="RUG6" s="8"/>
      <c r="RUH6" s="7"/>
      <c r="RUI6" s="9"/>
      <c r="RUJ6" s="8"/>
      <c r="RUK6" s="8"/>
      <c r="RUL6" s="7"/>
      <c r="RUM6" s="9"/>
      <c r="RUN6" s="1"/>
      <c r="RUO6" s="1"/>
      <c r="RUP6" s="1"/>
      <c r="RUQ6" s="1"/>
      <c r="RUR6" s="1"/>
      <c r="RUS6" s="1"/>
      <c r="RUT6" s="1"/>
      <c r="RUU6" s="1"/>
      <c r="RUW6" s="1"/>
      <c r="RUY6" s="6"/>
      <c r="RUZ6" s="7"/>
      <c r="RVA6" s="8"/>
      <c r="RVB6" s="9"/>
      <c r="RVC6" s="8"/>
      <c r="RVD6" s="7"/>
      <c r="RVE6" s="9"/>
      <c r="RVF6" s="8"/>
      <c r="RVG6" s="8"/>
      <c r="RVH6" s="7"/>
      <c r="RVI6" s="9"/>
      <c r="RVJ6" s="1"/>
      <c r="RVK6" s="1"/>
      <c r="RVL6" s="1"/>
      <c r="RVM6" s="1"/>
      <c r="RVN6" s="1"/>
      <c r="RVO6" s="1"/>
      <c r="RVP6" s="1"/>
      <c r="RVQ6" s="1"/>
      <c r="RVS6" s="1"/>
      <c r="RVU6" s="6"/>
      <c r="RVV6" s="7"/>
      <c r="RVW6" s="8"/>
      <c r="RVX6" s="9"/>
      <c r="RVY6" s="8"/>
      <c r="RVZ6" s="7"/>
      <c r="RWA6" s="9"/>
      <c r="RWB6" s="8"/>
      <c r="RWC6" s="8"/>
      <c r="RWD6" s="7"/>
      <c r="RWE6" s="9"/>
      <c r="RWF6" s="1"/>
      <c r="RWG6" s="1"/>
      <c r="RWH6" s="1"/>
      <c r="RWI6" s="1"/>
      <c r="RWJ6" s="1"/>
      <c r="RWK6" s="1"/>
      <c r="RWL6" s="1"/>
      <c r="RWM6" s="1"/>
      <c r="RWO6" s="1"/>
      <c r="RWQ6" s="6"/>
      <c r="RWR6" s="7"/>
      <c r="RWS6" s="8"/>
      <c r="RWT6" s="9"/>
      <c r="RWU6" s="8"/>
      <c r="RWV6" s="7"/>
      <c r="RWW6" s="9"/>
      <c r="RWX6" s="8"/>
      <c r="RWY6" s="8"/>
      <c r="RWZ6" s="7"/>
      <c r="RXA6" s="9"/>
      <c r="RXB6" s="1"/>
      <c r="RXC6" s="1"/>
      <c r="RXD6" s="1"/>
      <c r="RXE6" s="1"/>
      <c r="RXF6" s="1"/>
      <c r="RXG6" s="1"/>
      <c r="RXH6" s="1"/>
      <c r="RXI6" s="1"/>
      <c r="RXK6" s="1"/>
      <c r="RXM6" s="6"/>
      <c r="RXN6" s="7"/>
      <c r="RXO6" s="8"/>
      <c r="RXP6" s="9"/>
      <c r="RXQ6" s="8"/>
      <c r="RXR6" s="7"/>
      <c r="RXS6" s="9"/>
      <c r="RXT6" s="8"/>
      <c r="RXU6" s="8"/>
      <c r="RXV6" s="7"/>
      <c r="RXW6" s="9"/>
      <c r="RXX6" s="1"/>
      <c r="RXY6" s="1"/>
      <c r="RXZ6" s="1"/>
      <c r="RYA6" s="1"/>
      <c r="RYB6" s="1"/>
      <c r="RYC6" s="1"/>
      <c r="RYD6" s="1"/>
      <c r="RYE6" s="1"/>
      <c r="RYG6" s="1"/>
      <c r="RYI6" s="6"/>
      <c r="RYJ6" s="7"/>
      <c r="RYK6" s="8"/>
      <c r="RYL6" s="9"/>
      <c r="RYM6" s="8"/>
      <c r="RYN6" s="7"/>
      <c r="RYO6" s="9"/>
      <c r="RYP6" s="8"/>
      <c r="RYQ6" s="8"/>
      <c r="RYR6" s="7"/>
      <c r="RYS6" s="9"/>
      <c r="RYT6" s="1"/>
      <c r="RYU6" s="1"/>
      <c r="RYV6" s="1"/>
      <c r="RYW6" s="1"/>
      <c r="RYX6" s="1"/>
      <c r="RYY6" s="1"/>
      <c r="RYZ6" s="1"/>
      <c r="RZA6" s="1"/>
      <c r="RZC6" s="1"/>
      <c r="RZE6" s="6"/>
      <c r="RZF6" s="7"/>
      <c r="RZG6" s="8"/>
      <c r="RZH6" s="9"/>
      <c r="RZI6" s="8"/>
      <c r="RZJ6" s="7"/>
      <c r="RZK6" s="9"/>
      <c r="RZL6" s="8"/>
      <c r="RZM6" s="8"/>
      <c r="RZN6" s="7"/>
      <c r="RZO6" s="9"/>
      <c r="RZP6" s="1"/>
      <c r="RZQ6" s="1"/>
      <c r="RZR6" s="1"/>
      <c r="RZS6" s="1"/>
      <c r="RZT6" s="1"/>
      <c r="RZU6" s="1"/>
      <c r="RZV6" s="1"/>
      <c r="RZW6" s="1"/>
      <c r="RZY6" s="1"/>
      <c r="SAA6" s="6"/>
      <c r="SAB6" s="7"/>
      <c r="SAC6" s="8"/>
      <c r="SAD6" s="9"/>
      <c r="SAE6" s="8"/>
      <c r="SAF6" s="7"/>
      <c r="SAG6" s="9"/>
      <c r="SAH6" s="8"/>
      <c r="SAI6" s="8"/>
      <c r="SAJ6" s="7"/>
      <c r="SAK6" s="9"/>
      <c r="SAL6" s="1"/>
      <c r="SAM6" s="1"/>
      <c r="SAN6" s="1"/>
      <c r="SAO6" s="1"/>
      <c r="SAP6" s="1"/>
      <c r="SAQ6" s="1"/>
      <c r="SAR6" s="1"/>
      <c r="SAS6" s="1"/>
      <c r="SAU6" s="1"/>
      <c r="SAW6" s="6"/>
      <c r="SAX6" s="7"/>
      <c r="SAY6" s="8"/>
      <c r="SAZ6" s="9"/>
      <c r="SBA6" s="8"/>
      <c r="SBB6" s="7"/>
      <c r="SBC6" s="9"/>
      <c r="SBD6" s="8"/>
      <c r="SBE6" s="8"/>
      <c r="SBF6" s="7"/>
      <c r="SBG6" s="9"/>
      <c r="SBH6" s="1"/>
      <c r="SBI6" s="1"/>
      <c r="SBJ6" s="1"/>
      <c r="SBK6" s="1"/>
      <c r="SBL6" s="1"/>
      <c r="SBM6" s="1"/>
      <c r="SBN6" s="1"/>
      <c r="SBO6" s="1"/>
      <c r="SBQ6" s="1"/>
      <c r="SBS6" s="6"/>
      <c r="SBT6" s="7"/>
      <c r="SBU6" s="8"/>
      <c r="SBV6" s="9"/>
      <c r="SBW6" s="8"/>
      <c r="SBX6" s="7"/>
      <c r="SBY6" s="9"/>
      <c r="SBZ6" s="8"/>
      <c r="SCA6" s="8"/>
      <c r="SCB6" s="7"/>
      <c r="SCC6" s="9"/>
      <c r="SCD6" s="1"/>
      <c r="SCE6" s="1"/>
      <c r="SCF6" s="1"/>
      <c r="SCG6" s="1"/>
      <c r="SCH6" s="1"/>
      <c r="SCI6" s="1"/>
      <c r="SCJ6" s="1"/>
      <c r="SCK6" s="1"/>
      <c r="SCM6" s="1"/>
      <c r="SCO6" s="6"/>
      <c r="SCP6" s="7"/>
      <c r="SCQ6" s="8"/>
      <c r="SCR6" s="9"/>
      <c r="SCS6" s="8"/>
      <c r="SCT6" s="7"/>
      <c r="SCU6" s="9"/>
      <c r="SCV6" s="8"/>
      <c r="SCW6" s="8"/>
      <c r="SCX6" s="7"/>
      <c r="SCY6" s="9"/>
      <c r="SCZ6" s="1"/>
      <c r="SDA6" s="1"/>
      <c r="SDB6" s="1"/>
      <c r="SDC6" s="1"/>
      <c r="SDD6" s="1"/>
      <c r="SDE6" s="1"/>
      <c r="SDF6" s="1"/>
      <c r="SDG6" s="1"/>
      <c r="SDI6" s="1"/>
      <c r="SDK6" s="6"/>
      <c r="SDL6" s="7"/>
      <c r="SDM6" s="8"/>
      <c r="SDN6" s="9"/>
      <c r="SDO6" s="8"/>
      <c r="SDP6" s="7"/>
      <c r="SDQ6" s="9"/>
      <c r="SDR6" s="8"/>
      <c r="SDS6" s="8"/>
      <c r="SDT6" s="7"/>
      <c r="SDU6" s="9"/>
      <c r="SDV6" s="1"/>
      <c r="SDW6" s="1"/>
      <c r="SDX6" s="1"/>
      <c r="SDY6" s="1"/>
      <c r="SDZ6" s="1"/>
      <c r="SEA6" s="1"/>
      <c r="SEB6" s="1"/>
      <c r="SEC6" s="1"/>
      <c r="SEE6" s="1"/>
      <c r="SEG6" s="6"/>
      <c r="SEH6" s="7"/>
      <c r="SEI6" s="8"/>
      <c r="SEJ6" s="9"/>
      <c r="SEK6" s="8"/>
      <c r="SEL6" s="7"/>
      <c r="SEM6" s="9"/>
      <c r="SEN6" s="8"/>
      <c r="SEO6" s="8"/>
      <c r="SEP6" s="7"/>
      <c r="SEQ6" s="9"/>
      <c r="SER6" s="1"/>
      <c r="SES6" s="1"/>
      <c r="SET6" s="1"/>
      <c r="SEU6" s="1"/>
      <c r="SEV6" s="1"/>
      <c r="SEW6" s="1"/>
      <c r="SEX6" s="1"/>
      <c r="SEY6" s="1"/>
      <c r="SFA6" s="1"/>
      <c r="SFC6" s="6"/>
      <c r="SFD6" s="7"/>
      <c r="SFE6" s="8"/>
      <c r="SFF6" s="9"/>
      <c r="SFG6" s="8"/>
      <c r="SFH6" s="7"/>
      <c r="SFI6" s="9"/>
      <c r="SFJ6" s="8"/>
      <c r="SFK6" s="8"/>
      <c r="SFL6" s="7"/>
      <c r="SFM6" s="9"/>
      <c r="SFN6" s="1"/>
      <c r="SFO6" s="1"/>
      <c r="SFP6" s="1"/>
      <c r="SFQ6" s="1"/>
      <c r="SFR6" s="1"/>
      <c r="SFS6" s="1"/>
      <c r="SFT6" s="1"/>
      <c r="SFU6" s="1"/>
      <c r="SFW6" s="1"/>
      <c r="SFY6" s="6"/>
      <c r="SFZ6" s="7"/>
      <c r="SGA6" s="8"/>
      <c r="SGB6" s="9"/>
      <c r="SGC6" s="8"/>
      <c r="SGD6" s="7"/>
      <c r="SGE6" s="9"/>
      <c r="SGF6" s="8"/>
      <c r="SGG6" s="8"/>
      <c r="SGH6" s="7"/>
      <c r="SGI6" s="9"/>
      <c r="SGJ6" s="1"/>
      <c r="SGK6" s="1"/>
      <c r="SGL6" s="1"/>
      <c r="SGM6" s="1"/>
      <c r="SGN6" s="1"/>
      <c r="SGO6" s="1"/>
      <c r="SGP6" s="1"/>
      <c r="SGQ6" s="1"/>
      <c r="SGS6" s="1"/>
      <c r="SGU6" s="6"/>
      <c r="SGV6" s="7"/>
      <c r="SGW6" s="8"/>
      <c r="SGX6" s="9"/>
      <c r="SGY6" s="8"/>
      <c r="SGZ6" s="7"/>
      <c r="SHA6" s="9"/>
      <c r="SHB6" s="8"/>
      <c r="SHC6" s="8"/>
      <c r="SHD6" s="7"/>
      <c r="SHE6" s="9"/>
      <c r="SHF6" s="1"/>
      <c r="SHG6" s="1"/>
      <c r="SHH6" s="1"/>
      <c r="SHI6" s="1"/>
      <c r="SHJ6" s="1"/>
      <c r="SHK6" s="1"/>
      <c r="SHL6" s="1"/>
      <c r="SHM6" s="1"/>
      <c r="SHO6" s="1"/>
      <c r="SHQ6" s="6"/>
      <c r="SHR6" s="7"/>
      <c r="SHS6" s="8"/>
      <c r="SHT6" s="9"/>
      <c r="SHU6" s="8"/>
      <c r="SHV6" s="7"/>
      <c r="SHW6" s="9"/>
      <c r="SHX6" s="8"/>
      <c r="SHY6" s="8"/>
      <c r="SHZ6" s="7"/>
      <c r="SIA6" s="9"/>
      <c r="SIB6" s="1"/>
      <c r="SIC6" s="1"/>
      <c r="SID6" s="1"/>
      <c r="SIE6" s="1"/>
      <c r="SIF6" s="1"/>
      <c r="SIG6" s="1"/>
      <c r="SIH6" s="1"/>
      <c r="SII6" s="1"/>
      <c r="SIK6" s="1"/>
      <c r="SIM6" s="6"/>
      <c r="SIN6" s="7"/>
      <c r="SIO6" s="8"/>
      <c r="SIP6" s="9"/>
      <c r="SIQ6" s="8"/>
      <c r="SIR6" s="7"/>
      <c r="SIS6" s="9"/>
      <c r="SIT6" s="8"/>
      <c r="SIU6" s="8"/>
      <c r="SIV6" s="7"/>
      <c r="SIW6" s="9"/>
      <c r="SIX6" s="1"/>
      <c r="SIY6" s="1"/>
      <c r="SIZ6" s="1"/>
      <c r="SJA6" s="1"/>
      <c r="SJB6" s="1"/>
      <c r="SJC6" s="1"/>
      <c r="SJD6" s="1"/>
      <c r="SJE6" s="1"/>
      <c r="SJG6" s="1"/>
      <c r="SJI6" s="6"/>
      <c r="SJJ6" s="7"/>
      <c r="SJK6" s="8"/>
      <c r="SJL6" s="9"/>
      <c r="SJM6" s="8"/>
      <c r="SJN6" s="7"/>
      <c r="SJO6" s="9"/>
      <c r="SJP6" s="8"/>
      <c r="SJQ6" s="8"/>
      <c r="SJR6" s="7"/>
      <c r="SJS6" s="9"/>
      <c r="SJT6" s="1"/>
      <c r="SJU6" s="1"/>
      <c r="SJV6" s="1"/>
      <c r="SJW6" s="1"/>
      <c r="SJX6" s="1"/>
      <c r="SJY6" s="1"/>
      <c r="SJZ6" s="1"/>
      <c r="SKA6" s="1"/>
      <c r="SKC6" s="1"/>
      <c r="SKE6" s="6"/>
      <c r="SKF6" s="7"/>
      <c r="SKG6" s="8"/>
      <c r="SKH6" s="9"/>
      <c r="SKI6" s="8"/>
      <c r="SKJ6" s="7"/>
      <c r="SKK6" s="9"/>
      <c r="SKL6" s="8"/>
      <c r="SKM6" s="8"/>
      <c r="SKN6" s="7"/>
      <c r="SKO6" s="9"/>
      <c r="SKP6" s="1"/>
      <c r="SKQ6" s="1"/>
      <c r="SKR6" s="1"/>
      <c r="SKS6" s="1"/>
      <c r="SKT6" s="1"/>
      <c r="SKU6" s="1"/>
      <c r="SKV6" s="1"/>
      <c r="SKW6" s="1"/>
      <c r="SKY6" s="1"/>
      <c r="SLA6" s="6"/>
      <c r="SLB6" s="7"/>
      <c r="SLC6" s="8"/>
      <c r="SLD6" s="9"/>
      <c r="SLE6" s="8"/>
      <c r="SLF6" s="7"/>
      <c r="SLG6" s="9"/>
      <c r="SLH6" s="8"/>
      <c r="SLI6" s="8"/>
      <c r="SLJ6" s="7"/>
      <c r="SLK6" s="9"/>
      <c r="SLL6" s="1"/>
      <c r="SLM6" s="1"/>
      <c r="SLN6" s="1"/>
      <c r="SLO6" s="1"/>
      <c r="SLP6" s="1"/>
      <c r="SLQ6" s="1"/>
      <c r="SLR6" s="1"/>
      <c r="SLS6" s="1"/>
      <c r="SLU6" s="1"/>
      <c r="SLW6" s="6"/>
      <c r="SLX6" s="7"/>
      <c r="SLY6" s="8"/>
      <c r="SLZ6" s="9"/>
      <c r="SMA6" s="8"/>
      <c r="SMB6" s="7"/>
      <c r="SMC6" s="9"/>
      <c r="SMD6" s="8"/>
      <c r="SME6" s="8"/>
      <c r="SMF6" s="7"/>
      <c r="SMG6" s="9"/>
      <c r="SMH6" s="1"/>
      <c r="SMI6" s="1"/>
      <c r="SMJ6" s="1"/>
      <c r="SMK6" s="1"/>
      <c r="SML6" s="1"/>
      <c r="SMM6" s="1"/>
      <c r="SMN6" s="1"/>
      <c r="SMO6" s="1"/>
      <c r="SMQ6" s="1"/>
      <c r="SMS6" s="6"/>
      <c r="SMT6" s="7"/>
      <c r="SMU6" s="8"/>
      <c r="SMV6" s="9"/>
      <c r="SMW6" s="8"/>
      <c r="SMX6" s="7"/>
      <c r="SMY6" s="9"/>
      <c r="SMZ6" s="8"/>
      <c r="SNA6" s="8"/>
      <c r="SNB6" s="7"/>
      <c r="SNC6" s="9"/>
      <c r="SND6" s="1"/>
      <c r="SNE6" s="1"/>
      <c r="SNF6" s="1"/>
      <c r="SNG6" s="1"/>
      <c r="SNH6" s="1"/>
      <c r="SNI6" s="1"/>
      <c r="SNJ6" s="1"/>
      <c r="SNK6" s="1"/>
      <c r="SNM6" s="1"/>
      <c r="SNO6" s="6"/>
      <c r="SNP6" s="7"/>
      <c r="SNQ6" s="8"/>
      <c r="SNR6" s="9"/>
      <c r="SNS6" s="8"/>
      <c r="SNT6" s="7"/>
      <c r="SNU6" s="9"/>
      <c r="SNV6" s="8"/>
      <c r="SNW6" s="8"/>
      <c r="SNX6" s="7"/>
      <c r="SNY6" s="9"/>
      <c r="SNZ6" s="1"/>
      <c r="SOA6" s="1"/>
      <c r="SOB6" s="1"/>
      <c r="SOC6" s="1"/>
      <c r="SOD6" s="1"/>
      <c r="SOE6" s="1"/>
      <c r="SOF6" s="1"/>
      <c r="SOG6" s="1"/>
      <c r="SOI6" s="1"/>
      <c r="SOK6" s="6"/>
      <c r="SOL6" s="7"/>
      <c r="SOM6" s="8"/>
      <c r="SON6" s="9"/>
      <c r="SOO6" s="8"/>
      <c r="SOP6" s="7"/>
      <c r="SOQ6" s="9"/>
      <c r="SOR6" s="8"/>
      <c r="SOS6" s="8"/>
      <c r="SOT6" s="7"/>
      <c r="SOU6" s="9"/>
      <c r="SOV6" s="1"/>
      <c r="SOW6" s="1"/>
      <c r="SOX6" s="1"/>
      <c r="SOY6" s="1"/>
      <c r="SOZ6" s="1"/>
      <c r="SPA6" s="1"/>
      <c r="SPB6" s="1"/>
      <c r="SPC6" s="1"/>
      <c r="SPE6" s="1"/>
      <c r="SPG6" s="6"/>
      <c r="SPH6" s="7"/>
      <c r="SPI6" s="8"/>
      <c r="SPJ6" s="9"/>
      <c r="SPK6" s="8"/>
      <c r="SPL6" s="7"/>
      <c r="SPM6" s="9"/>
      <c r="SPN6" s="8"/>
      <c r="SPO6" s="8"/>
      <c r="SPP6" s="7"/>
      <c r="SPQ6" s="9"/>
      <c r="SPR6" s="1"/>
      <c r="SPS6" s="1"/>
      <c r="SPT6" s="1"/>
      <c r="SPU6" s="1"/>
      <c r="SPV6" s="1"/>
      <c r="SPW6" s="1"/>
      <c r="SPX6" s="1"/>
      <c r="SPY6" s="1"/>
      <c r="SQA6" s="1"/>
      <c r="SQC6" s="6"/>
      <c r="SQD6" s="7"/>
      <c r="SQE6" s="8"/>
      <c r="SQF6" s="9"/>
      <c r="SQG6" s="8"/>
      <c r="SQH6" s="7"/>
      <c r="SQI6" s="9"/>
      <c r="SQJ6" s="8"/>
      <c r="SQK6" s="8"/>
      <c r="SQL6" s="7"/>
      <c r="SQM6" s="9"/>
      <c r="SQN6" s="1"/>
      <c r="SQO6" s="1"/>
      <c r="SQP6" s="1"/>
      <c r="SQQ6" s="1"/>
      <c r="SQR6" s="1"/>
      <c r="SQS6" s="1"/>
      <c r="SQT6" s="1"/>
      <c r="SQU6" s="1"/>
      <c r="SQW6" s="1"/>
      <c r="SQY6" s="6"/>
      <c r="SQZ6" s="7"/>
      <c r="SRA6" s="8"/>
      <c r="SRB6" s="9"/>
      <c r="SRC6" s="8"/>
      <c r="SRD6" s="7"/>
      <c r="SRE6" s="9"/>
      <c r="SRF6" s="8"/>
      <c r="SRG6" s="8"/>
      <c r="SRH6" s="7"/>
      <c r="SRI6" s="9"/>
      <c r="SRJ6" s="1"/>
      <c r="SRK6" s="1"/>
      <c r="SRL6" s="1"/>
      <c r="SRM6" s="1"/>
      <c r="SRN6" s="1"/>
      <c r="SRO6" s="1"/>
      <c r="SRP6" s="1"/>
      <c r="SRQ6" s="1"/>
      <c r="SRS6" s="1"/>
      <c r="SRU6" s="6"/>
      <c r="SRV6" s="7"/>
      <c r="SRW6" s="8"/>
      <c r="SRX6" s="9"/>
      <c r="SRY6" s="8"/>
      <c r="SRZ6" s="7"/>
      <c r="SSA6" s="9"/>
      <c r="SSB6" s="8"/>
      <c r="SSC6" s="8"/>
      <c r="SSD6" s="7"/>
      <c r="SSE6" s="9"/>
      <c r="SSF6" s="1"/>
      <c r="SSG6" s="1"/>
      <c r="SSH6" s="1"/>
      <c r="SSI6" s="1"/>
      <c r="SSJ6" s="1"/>
      <c r="SSK6" s="1"/>
      <c r="SSL6" s="1"/>
      <c r="SSM6" s="1"/>
      <c r="SSO6" s="1"/>
      <c r="SSQ6" s="6"/>
      <c r="SSR6" s="7"/>
      <c r="SSS6" s="8"/>
      <c r="SST6" s="9"/>
      <c r="SSU6" s="8"/>
      <c r="SSV6" s="7"/>
      <c r="SSW6" s="9"/>
      <c r="SSX6" s="8"/>
      <c r="SSY6" s="8"/>
      <c r="SSZ6" s="7"/>
      <c r="STA6" s="9"/>
      <c r="STB6" s="1"/>
      <c r="STC6" s="1"/>
      <c r="STD6" s="1"/>
      <c r="STE6" s="1"/>
      <c r="STF6" s="1"/>
      <c r="STG6" s="1"/>
      <c r="STH6" s="1"/>
      <c r="STI6" s="1"/>
      <c r="STK6" s="1"/>
      <c r="STM6" s="6"/>
      <c r="STN6" s="7"/>
      <c r="STO6" s="8"/>
      <c r="STP6" s="9"/>
      <c r="STQ6" s="8"/>
      <c r="STR6" s="7"/>
      <c r="STS6" s="9"/>
      <c r="STT6" s="8"/>
      <c r="STU6" s="8"/>
      <c r="STV6" s="7"/>
      <c r="STW6" s="9"/>
      <c r="STX6" s="1"/>
      <c r="STY6" s="1"/>
      <c r="STZ6" s="1"/>
      <c r="SUA6" s="1"/>
      <c r="SUB6" s="1"/>
      <c r="SUC6" s="1"/>
      <c r="SUD6" s="1"/>
      <c r="SUE6" s="1"/>
      <c r="SUG6" s="1"/>
      <c r="SUI6" s="6"/>
      <c r="SUJ6" s="7"/>
      <c r="SUK6" s="8"/>
      <c r="SUL6" s="9"/>
      <c r="SUM6" s="8"/>
      <c r="SUN6" s="7"/>
      <c r="SUO6" s="9"/>
      <c r="SUP6" s="8"/>
      <c r="SUQ6" s="8"/>
      <c r="SUR6" s="7"/>
      <c r="SUS6" s="9"/>
      <c r="SUT6" s="1"/>
      <c r="SUU6" s="1"/>
      <c r="SUV6" s="1"/>
      <c r="SUW6" s="1"/>
      <c r="SUX6" s="1"/>
      <c r="SUY6" s="1"/>
      <c r="SUZ6" s="1"/>
      <c r="SVA6" s="1"/>
      <c r="SVC6" s="1"/>
      <c r="SVE6" s="6"/>
      <c r="SVF6" s="7"/>
      <c r="SVG6" s="8"/>
      <c r="SVH6" s="9"/>
      <c r="SVI6" s="8"/>
      <c r="SVJ6" s="7"/>
      <c r="SVK6" s="9"/>
      <c r="SVL6" s="8"/>
      <c r="SVM6" s="8"/>
      <c r="SVN6" s="7"/>
      <c r="SVO6" s="9"/>
      <c r="SVP6" s="1"/>
      <c r="SVQ6" s="1"/>
      <c r="SVR6" s="1"/>
      <c r="SVS6" s="1"/>
      <c r="SVT6" s="1"/>
      <c r="SVU6" s="1"/>
      <c r="SVV6" s="1"/>
      <c r="SVW6" s="1"/>
      <c r="SVY6" s="1"/>
      <c r="SWA6" s="6"/>
      <c r="SWB6" s="7"/>
      <c r="SWC6" s="8"/>
      <c r="SWD6" s="9"/>
      <c r="SWE6" s="8"/>
      <c r="SWF6" s="7"/>
      <c r="SWG6" s="9"/>
      <c r="SWH6" s="8"/>
      <c r="SWI6" s="8"/>
      <c r="SWJ6" s="7"/>
      <c r="SWK6" s="9"/>
      <c r="SWL6" s="1"/>
      <c r="SWM6" s="1"/>
      <c r="SWN6" s="1"/>
      <c r="SWO6" s="1"/>
      <c r="SWP6" s="1"/>
      <c r="SWQ6" s="1"/>
      <c r="SWR6" s="1"/>
      <c r="SWS6" s="1"/>
      <c r="SWU6" s="1"/>
      <c r="SWW6" s="6"/>
      <c r="SWX6" s="7"/>
      <c r="SWY6" s="8"/>
      <c r="SWZ6" s="9"/>
      <c r="SXA6" s="8"/>
      <c r="SXB6" s="7"/>
      <c r="SXC6" s="9"/>
      <c r="SXD6" s="8"/>
      <c r="SXE6" s="8"/>
      <c r="SXF6" s="7"/>
      <c r="SXG6" s="9"/>
      <c r="SXH6" s="1"/>
      <c r="SXI6" s="1"/>
      <c r="SXJ6" s="1"/>
      <c r="SXK6" s="1"/>
      <c r="SXL6" s="1"/>
      <c r="SXM6" s="1"/>
      <c r="SXN6" s="1"/>
      <c r="SXO6" s="1"/>
      <c r="SXQ6" s="1"/>
      <c r="SXS6" s="6"/>
      <c r="SXT6" s="7"/>
      <c r="SXU6" s="8"/>
      <c r="SXV6" s="9"/>
      <c r="SXW6" s="8"/>
      <c r="SXX6" s="7"/>
      <c r="SXY6" s="9"/>
      <c r="SXZ6" s="8"/>
      <c r="SYA6" s="8"/>
      <c r="SYB6" s="7"/>
      <c r="SYC6" s="9"/>
      <c r="SYD6" s="1"/>
      <c r="SYE6" s="1"/>
      <c r="SYF6" s="1"/>
      <c r="SYG6" s="1"/>
      <c r="SYH6" s="1"/>
      <c r="SYI6" s="1"/>
      <c r="SYJ6" s="1"/>
      <c r="SYK6" s="1"/>
      <c r="SYM6" s="1"/>
      <c r="SYO6" s="6"/>
      <c r="SYP6" s="7"/>
      <c r="SYQ6" s="8"/>
      <c r="SYR6" s="9"/>
      <c r="SYS6" s="8"/>
      <c r="SYT6" s="7"/>
      <c r="SYU6" s="9"/>
      <c r="SYV6" s="8"/>
      <c r="SYW6" s="8"/>
      <c r="SYX6" s="7"/>
      <c r="SYY6" s="9"/>
      <c r="SYZ6" s="1"/>
      <c r="SZA6" s="1"/>
      <c r="SZB6" s="1"/>
      <c r="SZC6" s="1"/>
      <c r="SZD6" s="1"/>
      <c r="SZE6" s="1"/>
      <c r="SZF6" s="1"/>
      <c r="SZG6" s="1"/>
      <c r="SZI6" s="1"/>
      <c r="SZK6" s="6"/>
      <c r="SZL6" s="7"/>
      <c r="SZM6" s="8"/>
      <c r="SZN6" s="9"/>
      <c r="SZO6" s="8"/>
      <c r="SZP6" s="7"/>
      <c r="SZQ6" s="9"/>
      <c r="SZR6" s="8"/>
      <c r="SZS6" s="8"/>
      <c r="SZT6" s="7"/>
      <c r="SZU6" s="9"/>
      <c r="SZV6" s="1"/>
      <c r="SZW6" s="1"/>
      <c r="SZX6" s="1"/>
      <c r="SZY6" s="1"/>
      <c r="SZZ6" s="1"/>
      <c r="TAA6" s="1"/>
      <c r="TAB6" s="1"/>
      <c r="TAC6" s="1"/>
      <c r="TAE6" s="1"/>
      <c r="TAG6" s="6"/>
      <c r="TAH6" s="7"/>
      <c r="TAI6" s="8"/>
      <c r="TAJ6" s="9"/>
      <c r="TAK6" s="8"/>
      <c r="TAL6" s="7"/>
      <c r="TAM6" s="9"/>
      <c r="TAN6" s="8"/>
      <c r="TAO6" s="8"/>
      <c r="TAP6" s="7"/>
      <c r="TAQ6" s="9"/>
      <c r="TAR6" s="1"/>
      <c r="TAS6" s="1"/>
      <c r="TAT6" s="1"/>
      <c r="TAU6" s="1"/>
      <c r="TAV6" s="1"/>
      <c r="TAW6" s="1"/>
      <c r="TAX6" s="1"/>
      <c r="TAY6" s="1"/>
      <c r="TBA6" s="1"/>
      <c r="TBC6" s="6"/>
      <c r="TBD6" s="7"/>
      <c r="TBE6" s="8"/>
      <c r="TBF6" s="9"/>
      <c r="TBG6" s="8"/>
      <c r="TBH6" s="7"/>
      <c r="TBI6" s="9"/>
      <c r="TBJ6" s="8"/>
      <c r="TBK6" s="8"/>
      <c r="TBL6" s="7"/>
      <c r="TBM6" s="9"/>
      <c r="TBN6" s="1"/>
      <c r="TBO6" s="1"/>
      <c r="TBP6" s="1"/>
      <c r="TBQ6" s="1"/>
      <c r="TBR6" s="1"/>
      <c r="TBS6" s="1"/>
      <c r="TBT6" s="1"/>
      <c r="TBU6" s="1"/>
      <c r="TBW6" s="1"/>
      <c r="TBY6" s="6"/>
      <c r="TBZ6" s="7"/>
      <c r="TCA6" s="8"/>
      <c r="TCB6" s="9"/>
      <c r="TCC6" s="8"/>
      <c r="TCD6" s="7"/>
      <c r="TCE6" s="9"/>
      <c r="TCF6" s="8"/>
      <c r="TCG6" s="8"/>
      <c r="TCH6" s="7"/>
      <c r="TCI6" s="9"/>
      <c r="TCJ6" s="1"/>
      <c r="TCK6" s="1"/>
      <c r="TCL6" s="1"/>
      <c r="TCM6" s="1"/>
      <c r="TCN6" s="1"/>
      <c r="TCO6" s="1"/>
      <c r="TCP6" s="1"/>
      <c r="TCQ6" s="1"/>
      <c r="TCS6" s="1"/>
      <c r="TCU6" s="6"/>
      <c r="TCV6" s="7"/>
      <c r="TCW6" s="8"/>
      <c r="TCX6" s="9"/>
      <c r="TCY6" s="8"/>
      <c r="TCZ6" s="7"/>
      <c r="TDA6" s="9"/>
      <c r="TDB6" s="8"/>
      <c r="TDC6" s="8"/>
      <c r="TDD6" s="7"/>
      <c r="TDE6" s="9"/>
      <c r="TDF6" s="1"/>
      <c r="TDG6" s="1"/>
      <c r="TDH6" s="1"/>
      <c r="TDI6" s="1"/>
      <c r="TDJ6" s="1"/>
      <c r="TDK6" s="1"/>
      <c r="TDL6" s="1"/>
      <c r="TDM6" s="1"/>
      <c r="TDO6" s="1"/>
      <c r="TDQ6" s="6"/>
      <c r="TDR6" s="7"/>
      <c r="TDS6" s="8"/>
      <c r="TDT6" s="9"/>
      <c r="TDU6" s="8"/>
      <c r="TDV6" s="7"/>
      <c r="TDW6" s="9"/>
      <c r="TDX6" s="8"/>
      <c r="TDY6" s="8"/>
      <c r="TDZ6" s="7"/>
      <c r="TEA6" s="9"/>
      <c r="TEB6" s="1"/>
      <c r="TEC6" s="1"/>
      <c r="TED6" s="1"/>
      <c r="TEE6" s="1"/>
      <c r="TEF6" s="1"/>
      <c r="TEG6" s="1"/>
      <c r="TEH6" s="1"/>
      <c r="TEI6" s="1"/>
      <c r="TEK6" s="1"/>
      <c r="TEM6" s="6"/>
      <c r="TEN6" s="7"/>
      <c r="TEO6" s="8"/>
      <c r="TEP6" s="9"/>
      <c r="TEQ6" s="8"/>
      <c r="TER6" s="7"/>
      <c r="TES6" s="9"/>
      <c r="TET6" s="8"/>
      <c r="TEU6" s="8"/>
      <c r="TEV6" s="7"/>
      <c r="TEW6" s="9"/>
      <c r="TEX6" s="1"/>
      <c r="TEY6" s="1"/>
      <c r="TEZ6" s="1"/>
      <c r="TFA6" s="1"/>
      <c r="TFB6" s="1"/>
      <c r="TFC6" s="1"/>
      <c r="TFD6" s="1"/>
      <c r="TFE6" s="1"/>
      <c r="TFG6" s="1"/>
      <c r="TFI6" s="6"/>
      <c r="TFJ6" s="7"/>
      <c r="TFK6" s="8"/>
      <c r="TFL6" s="9"/>
      <c r="TFM6" s="8"/>
      <c r="TFN6" s="7"/>
      <c r="TFO6" s="9"/>
      <c r="TFP6" s="8"/>
      <c r="TFQ6" s="8"/>
      <c r="TFR6" s="7"/>
      <c r="TFS6" s="9"/>
      <c r="TFT6" s="1"/>
      <c r="TFU6" s="1"/>
      <c r="TFV6" s="1"/>
      <c r="TFW6" s="1"/>
      <c r="TFX6" s="1"/>
      <c r="TFY6" s="1"/>
      <c r="TFZ6" s="1"/>
      <c r="TGA6" s="1"/>
      <c r="TGC6" s="1"/>
      <c r="TGE6" s="6"/>
      <c r="TGF6" s="7"/>
      <c r="TGG6" s="8"/>
      <c r="TGH6" s="9"/>
      <c r="TGI6" s="8"/>
      <c r="TGJ6" s="7"/>
      <c r="TGK6" s="9"/>
      <c r="TGL6" s="8"/>
      <c r="TGM6" s="8"/>
      <c r="TGN6" s="7"/>
      <c r="TGO6" s="9"/>
      <c r="TGP6" s="1"/>
      <c r="TGQ6" s="1"/>
      <c r="TGR6" s="1"/>
      <c r="TGS6" s="1"/>
      <c r="TGT6" s="1"/>
      <c r="TGU6" s="1"/>
      <c r="TGV6" s="1"/>
      <c r="TGW6" s="1"/>
      <c r="TGY6" s="1"/>
      <c r="THA6" s="6"/>
      <c r="THB6" s="7"/>
      <c r="THC6" s="8"/>
      <c r="THD6" s="9"/>
      <c r="THE6" s="8"/>
      <c r="THF6" s="7"/>
      <c r="THG6" s="9"/>
      <c r="THH6" s="8"/>
      <c r="THI6" s="8"/>
      <c r="THJ6" s="7"/>
      <c r="THK6" s="9"/>
      <c r="THL6" s="1"/>
      <c r="THM6" s="1"/>
      <c r="THN6" s="1"/>
      <c r="THO6" s="1"/>
      <c r="THP6" s="1"/>
      <c r="THQ6" s="1"/>
      <c r="THR6" s="1"/>
      <c r="THS6" s="1"/>
      <c r="THU6" s="1"/>
      <c r="THW6" s="6"/>
      <c r="THX6" s="7"/>
      <c r="THY6" s="8"/>
      <c r="THZ6" s="9"/>
      <c r="TIA6" s="8"/>
      <c r="TIB6" s="7"/>
      <c r="TIC6" s="9"/>
      <c r="TID6" s="8"/>
      <c r="TIE6" s="8"/>
      <c r="TIF6" s="7"/>
      <c r="TIG6" s="9"/>
      <c r="TIH6" s="1"/>
      <c r="TII6" s="1"/>
      <c r="TIJ6" s="1"/>
      <c r="TIK6" s="1"/>
      <c r="TIL6" s="1"/>
      <c r="TIM6" s="1"/>
      <c r="TIN6" s="1"/>
      <c r="TIO6" s="1"/>
      <c r="TIQ6" s="1"/>
      <c r="TIS6" s="6"/>
      <c r="TIT6" s="7"/>
      <c r="TIU6" s="8"/>
      <c r="TIV6" s="9"/>
      <c r="TIW6" s="8"/>
      <c r="TIX6" s="7"/>
      <c r="TIY6" s="9"/>
      <c r="TIZ6" s="8"/>
      <c r="TJA6" s="8"/>
      <c r="TJB6" s="7"/>
      <c r="TJC6" s="9"/>
      <c r="TJD6" s="1"/>
      <c r="TJE6" s="1"/>
      <c r="TJF6" s="1"/>
      <c r="TJG6" s="1"/>
      <c r="TJH6" s="1"/>
      <c r="TJI6" s="1"/>
      <c r="TJJ6" s="1"/>
      <c r="TJK6" s="1"/>
      <c r="TJM6" s="1"/>
      <c r="TJO6" s="6"/>
      <c r="TJP6" s="7"/>
      <c r="TJQ6" s="8"/>
      <c r="TJR6" s="9"/>
      <c r="TJS6" s="8"/>
      <c r="TJT6" s="7"/>
      <c r="TJU6" s="9"/>
      <c r="TJV6" s="8"/>
      <c r="TJW6" s="8"/>
      <c r="TJX6" s="7"/>
      <c r="TJY6" s="9"/>
      <c r="TJZ6" s="1"/>
      <c r="TKA6" s="1"/>
      <c r="TKB6" s="1"/>
      <c r="TKC6" s="1"/>
      <c r="TKD6" s="1"/>
      <c r="TKE6" s="1"/>
      <c r="TKF6" s="1"/>
      <c r="TKG6" s="1"/>
      <c r="TKI6" s="1"/>
      <c r="TKK6" s="6"/>
      <c r="TKL6" s="7"/>
      <c r="TKM6" s="8"/>
      <c r="TKN6" s="9"/>
      <c r="TKO6" s="8"/>
      <c r="TKP6" s="7"/>
      <c r="TKQ6" s="9"/>
      <c r="TKR6" s="8"/>
      <c r="TKS6" s="8"/>
      <c r="TKT6" s="7"/>
      <c r="TKU6" s="9"/>
      <c r="TKV6" s="1"/>
      <c r="TKW6" s="1"/>
      <c r="TKX6" s="1"/>
      <c r="TKY6" s="1"/>
      <c r="TKZ6" s="1"/>
      <c r="TLA6" s="1"/>
      <c r="TLB6" s="1"/>
      <c r="TLC6" s="1"/>
      <c r="TLE6" s="1"/>
      <c r="TLG6" s="6"/>
      <c r="TLH6" s="7"/>
      <c r="TLI6" s="8"/>
      <c r="TLJ6" s="9"/>
      <c r="TLK6" s="8"/>
      <c r="TLL6" s="7"/>
      <c r="TLM6" s="9"/>
      <c r="TLN6" s="8"/>
      <c r="TLO6" s="8"/>
      <c r="TLP6" s="7"/>
      <c r="TLQ6" s="9"/>
      <c r="TLR6" s="1"/>
      <c r="TLS6" s="1"/>
      <c r="TLT6" s="1"/>
      <c r="TLU6" s="1"/>
      <c r="TLV6" s="1"/>
      <c r="TLW6" s="1"/>
      <c r="TLX6" s="1"/>
      <c r="TLY6" s="1"/>
      <c r="TMA6" s="1"/>
      <c r="TMC6" s="6"/>
      <c r="TMD6" s="7"/>
      <c r="TME6" s="8"/>
      <c r="TMF6" s="9"/>
      <c r="TMG6" s="8"/>
      <c r="TMH6" s="7"/>
      <c r="TMI6" s="9"/>
      <c r="TMJ6" s="8"/>
      <c r="TMK6" s="8"/>
      <c r="TML6" s="7"/>
      <c r="TMM6" s="9"/>
      <c r="TMN6" s="1"/>
      <c r="TMO6" s="1"/>
      <c r="TMP6" s="1"/>
      <c r="TMQ6" s="1"/>
      <c r="TMR6" s="1"/>
      <c r="TMS6" s="1"/>
      <c r="TMT6" s="1"/>
      <c r="TMU6" s="1"/>
      <c r="TMW6" s="1"/>
      <c r="TMY6" s="6"/>
      <c r="TMZ6" s="7"/>
      <c r="TNA6" s="8"/>
      <c r="TNB6" s="9"/>
      <c r="TNC6" s="8"/>
      <c r="TND6" s="7"/>
      <c r="TNE6" s="9"/>
      <c r="TNF6" s="8"/>
      <c r="TNG6" s="8"/>
      <c r="TNH6" s="7"/>
      <c r="TNI6" s="9"/>
      <c r="TNJ6" s="1"/>
      <c r="TNK6" s="1"/>
      <c r="TNL6" s="1"/>
      <c r="TNM6" s="1"/>
      <c r="TNN6" s="1"/>
      <c r="TNO6" s="1"/>
      <c r="TNP6" s="1"/>
      <c r="TNQ6" s="1"/>
      <c r="TNS6" s="1"/>
      <c r="TNU6" s="6"/>
      <c r="TNV6" s="7"/>
      <c r="TNW6" s="8"/>
      <c r="TNX6" s="9"/>
      <c r="TNY6" s="8"/>
      <c r="TNZ6" s="7"/>
      <c r="TOA6" s="9"/>
      <c r="TOB6" s="8"/>
      <c r="TOC6" s="8"/>
      <c r="TOD6" s="7"/>
      <c r="TOE6" s="9"/>
      <c r="TOF6" s="1"/>
      <c r="TOG6" s="1"/>
      <c r="TOH6" s="1"/>
      <c r="TOI6" s="1"/>
      <c r="TOJ6" s="1"/>
      <c r="TOK6" s="1"/>
      <c r="TOL6" s="1"/>
      <c r="TOM6" s="1"/>
      <c r="TOO6" s="1"/>
      <c r="TOQ6" s="6"/>
      <c r="TOR6" s="7"/>
      <c r="TOS6" s="8"/>
      <c r="TOT6" s="9"/>
      <c r="TOU6" s="8"/>
      <c r="TOV6" s="7"/>
      <c r="TOW6" s="9"/>
      <c r="TOX6" s="8"/>
      <c r="TOY6" s="8"/>
      <c r="TOZ6" s="7"/>
      <c r="TPA6" s="9"/>
      <c r="TPB6" s="1"/>
      <c r="TPC6" s="1"/>
      <c r="TPD6" s="1"/>
      <c r="TPE6" s="1"/>
      <c r="TPF6" s="1"/>
      <c r="TPG6" s="1"/>
      <c r="TPH6" s="1"/>
      <c r="TPI6" s="1"/>
      <c r="TPK6" s="1"/>
      <c r="TPM6" s="6"/>
      <c r="TPN6" s="7"/>
      <c r="TPO6" s="8"/>
      <c r="TPP6" s="9"/>
      <c r="TPQ6" s="8"/>
      <c r="TPR6" s="7"/>
      <c r="TPS6" s="9"/>
      <c r="TPT6" s="8"/>
      <c r="TPU6" s="8"/>
      <c r="TPV6" s="7"/>
      <c r="TPW6" s="9"/>
      <c r="TPX6" s="1"/>
      <c r="TPY6" s="1"/>
      <c r="TPZ6" s="1"/>
      <c r="TQA6" s="1"/>
      <c r="TQB6" s="1"/>
      <c r="TQC6" s="1"/>
      <c r="TQD6" s="1"/>
      <c r="TQE6" s="1"/>
      <c r="TQG6" s="1"/>
      <c r="TQI6" s="6"/>
      <c r="TQJ6" s="7"/>
      <c r="TQK6" s="8"/>
      <c r="TQL6" s="9"/>
      <c r="TQM6" s="8"/>
      <c r="TQN6" s="7"/>
      <c r="TQO6" s="9"/>
      <c r="TQP6" s="8"/>
      <c r="TQQ6" s="8"/>
      <c r="TQR6" s="7"/>
      <c r="TQS6" s="9"/>
      <c r="TQT6" s="1"/>
      <c r="TQU6" s="1"/>
      <c r="TQV6" s="1"/>
      <c r="TQW6" s="1"/>
      <c r="TQX6" s="1"/>
      <c r="TQY6" s="1"/>
      <c r="TQZ6" s="1"/>
      <c r="TRA6" s="1"/>
      <c r="TRC6" s="1"/>
      <c r="TRE6" s="6"/>
      <c r="TRF6" s="7"/>
      <c r="TRG6" s="8"/>
      <c r="TRH6" s="9"/>
      <c r="TRI6" s="8"/>
      <c r="TRJ6" s="7"/>
      <c r="TRK6" s="9"/>
      <c r="TRL6" s="8"/>
      <c r="TRM6" s="8"/>
      <c r="TRN6" s="7"/>
      <c r="TRO6" s="9"/>
      <c r="TRP6" s="1"/>
      <c r="TRQ6" s="1"/>
      <c r="TRR6" s="1"/>
      <c r="TRS6" s="1"/>
      <c r="TRT6" s="1"/>
      <c r="TRU6" s="1"/>
      <c r="TRV6" s="1"/>
      <c r="TRW6" s="1"/>
      <c r="TRY6" s="1"/>
      <c r="TSA6" s="6"/>
      <c r="TSB6" s="7"/>
      <c r="TSC6" s="8"/>
      <c r="TSD6" s="9"/>
      <c r="TSE6" s="8"/>
      <c r="TSF6" s="7"/>
      <c r="TSG6" s="9"/>
      <c r="TSH6" s="8"/>
      <c r="TSI6" s="8"/>
      <c r="TSJ6" s="7"/>
      <c r="TSK6" s="9"/>
      <c r="TSL6" s="1"/>
      <c r="TSM6" s="1"/>
      <c r="TSN6" s="1"/>
      <c r="TSO6" s="1"/>
      <c r="TSP6" s="1"/>
      <c r="TSQ6" s="1"/>
      <c r="TSR6" s="1"/>
      <c r="TSS6" s="1"/>
      <c r="TSU6" s="1"/>
      <c r="TSW6" s="6"/>
      <c r="TSX6" s="7"/>
      <c r="TSY6" s="8"/>
      <c r="TSZ6" s="9"/>
      <c r="TTA6" s="8"/>
      <c r="TTB6" s="7"/>
      <c r="TTC6" s="9"/>
      <c r="TTD6" s="8"/>
      <c r="TTE6" s="8"/>
      <c r="TTF6" s="7"/>
      <c r="TTG6" s="9"/>
      <c r="TTH6" s="1"/>
      <c r="TTI6" s="1"/>
      <c r="TTJ6" s="1"/>
      <c r="TTK6" s="1"/>
      <c r="TTL6" s="1"/>
      <c r="TTM6" s="1"/>
      <c r="TTN6" s="1"/>
      <c r="TTO6" s="1"/>
      <c r="TTQ6" s="1"/>
      <c r="TTS6" s="6"/>
      <c r="TTT6" s="7"/>
      <c r="TTU6" s="8"/>
      <c r="TTV6" s="9"/>
      <c r="TTW6" s="8"/>
      <c r="TTX6" s="7"/>
      <c r="TTY6" s="9"/>
      <c r="TTZ6" s="8"/>
      <c r="TUA6" s="8"/>
      <c r="TUB6" s="7"/>
      <c r="TUC6" s="9"/>
      <c r="TUD6" s="1"/>
      <c r="TUE6" s="1"/>
      <c r="TUF6" s="1"/>
      <c r="TUG6" s="1"/>
      <c r="TUH6" s="1"/>
      <c r="TUI6" s="1"/>
      <c r="TUJ6" s="1"/>
      <c r="TUK6" s="1"/>
      <c r="TUM6" s="1"/>
      <c r="TUO6" s="6"/>
      <c r="TUP6" s="7"/>
      <c r="TUQ6" s="8"/>
      <c r="TUR6" s="9"/>
      <c r="TUS6" s="8"/>
      <c r="TUT6" s="7"/>
      <c r="TUU6" s="9"/>
      <c r="TUV6" s="8"/>
      <c r="TUW6" s="8"/>
      <c r="TUX6" s="7"/>
      <c r="TUY6" s="9"/>
      <c r="TUZ6" s="1"/>
      <c r="TVA6" s="1"/>
      <c r="TVB6" s="1"/>
      <c r="TVC6" s="1"/>
      <c r="TVD6" s="1"/>
      <c r="TVE6" s="1"/>
      <c r="TVF6" s="1"/>
      <c r="TVG6" s="1"/>
      <c r="TVI6" s="1"/>
      <c r="TVK6" s="6"/>
      <c r="TVL6" s="7"/>
      <c r="TVM6" s="8"/>
      <c r="TVN6" s="9"/>
      <c r="TVO6" s="8"/>
      <c r="TVP6" s="7"/>
      <c r="TVQ6" s="9"/>
      <c r="TVR6" s="8"/>
      <c r="TVS6" s="8"/>
      <c r="TVT6" s="7"/>
      <c r="TVU6" s="9"/>
      <c r="TVV6" s="1"/>
      <c r="TVW6" s="1"/>
      <c r="TVX6" s="1"/>
      <c r="TVY6" s="1"/>
      <c r="TVZ6" s="1"/>
      <c r="TWA6" s="1"/>
      <c r="TWB6" s="1"/>
      <c r="TWC6" s="1"/>
      <c r="TWE6" s="1"/>
      <c r="TWG6" s="6"/>
      <c r="TWH6" s="7"/>
      <c r="TWI6" s="8"/>
      <c r="TWJ6" s="9"/>
      <c r="TWK6" s="8"/>
      <c r="TWL6" s="7"/>
      <c r="TWM6" s="9"/>
      <c r="TWN6" s="8"/>
      <c r="TWO6" s="8"/>
      <c r="TWP6" s="7"/>
      <c r="TWQ6" s="9"/>
      <c r="TWR6" s="1"/>
      <c r="TWS6" s="1"/>
      <c r="TWT6" s="1"/>
      <c r="TWU6" s="1"/>
      <c r="TWV6" s="1"/>
      <c r="TWW6" s="1"/>
      <c r="TWX6" s="1"/>
      <c r="TWY6" s="1"/>
      <c r="TXA6" s="1"/>
      <c r="TXC6" s="6"/>
      <c r="TXD6" s="7"/>
      <c r="TXE6" s="8"/>
      <c r="TXF6" s="9"/>
      <c r="TXG6" s="8"/>
      <c r="TXH6" s="7"/>
      <c r="TXI6" s="9"/>
      <c r="TXJ6" s="8"/>
      <c r="TXK6" s="8"/>
      <c r="TXL6" s="7"/>
      <c r="TXM6" s="9"/>
      <c r="TXN6" s="1"/>
      <c r="TXO6" s="1"/>
      <c r="TXP6" s="1"/>
      <c r="TXQ6" s="1"/>
      <c r="TXR6" s="1"/>
      <c r="TXS6" s="1"/>
      <c r="TXT6" s="1"/>
      <c r="TXU6" s="1"/>
      <c r="TXW6" s="1"/>
      <c r="TXY6" s="6"/>
      <c r="TXZ6" s="7"/>
      <c r="TYA6" s="8"/>
      <c r="TYB6" s="9"/>
      <c r="TYC6" s="8"/>
      <c r="TYD6" s="7"/>
      <c r="TYE6" s="9"/>
      <c r="TYF6" s="8"/>
      <c r="TYG6" s="8"/>
      <c r="TYH6" s="7"/>
      <c r="TYI6" s="9"/>
      <c r="TYJ6" s="1"/>
      <c r="TYK6" s="1"/>
      <c r="TYL6" s="1"/>
      <c r="TYM6" s="1"/>
      <c r="TYN6" s="1"/>
      <c r="TYO6" s="1"/>
      <c r="TYP6" s="1"/>
      <c r="TYQ6" s="1"/>
      <c r="TYS6" s="1"/>
      <c r="TYU6" s="6"/>
      <c r="TYV6" s="7"/>
      <c r="TYW6" s="8"/>
      <c r="TYX6" s="9"/>
      <c r="TYY6" s="8"/>
      <c r="TYZ6" s="7"/>
      <c r="TZA6" s="9"/>
      <c r="TZB6" s="8"/>
      <c r="TZC6" s="8"/>
      <c r="TZD6" s="7"/>
      <c r="TZE6" s="9"/>
      <c r="TZF6" s="1"/>
      <c r="TZG6" s="1"/>
      <c r="TZH6" s="1"/>
      <c r="TZI6" s="1"/>
      <c r="TZJ6" s="1"/>
      <c r="TZK6" s="1"/>
      <c r="TZL6" s="1"/>
      <c r="TZM6" s="1"/>
      <c r="TZO6" s="1"/>
      <c r="TZQ6" s="6"/>
      <c r="TZR6" s="7"/>
      <c r="TZS6" s="8"/>
      <c r="TZT6" s="9"/>
      <c r="TZU6" s="8"/>
      <c r="TZV6" s="7"/>
      <c r="TZW6" s="9"/>
      <c r="TZX6" s="8"/>
      <c r="TZY6" s="8"/>
      <c r="TZZ6" s="7"/>
      <c r="UAA6" s="9"/>
      <c r="UAB6" s="1"/>
      <c r="UAC6" s="1"/>
      <c r="UAD6" s="1"/>
      <c r="UAE6" s="1"/>
      <c r="UAF6" s="1"/>
      <c r="UAG6" s="1"/>
      <c r="UAH6" s="1"/>
      <c r="UAI6" s="1"/>
      <c r="UAK6" s="1"/>
      <c r="UAM6" s="6"/>
      <c r="UAN6" s="7"/>
      <c r="UAO6" s="8"/>
      <c r="UAP6" s="9"/>
      <c r="UAQ6" s="8"/>
      <c r="UAR6" s="7"/>
      <c r="UAS6" s="9"/>
      <c r="UAT6" s="8"/>
      <c r="UAU6" s="8"/>
      <c r="UAV6" s="7"/>
      <c r="UAW6" s="9"/>
      <c r="UAX6" s="1"/>
      <c r="UAY6" s="1"/>
      <c r="UAZ6" s="1"/>
      <c r="UBA6" s="1"/>
      <c r="UBB6" s="1"/>
      <c r="UBC6" s="1"/>
      <c r="UBD6" s="1"/>
      <c r="UBE6" s="1"/>
      <c r="UBG6" s="1"/>
      <c r="UBI6" s="6"/>
      <c r="UBJ6" s="7"/>
      <c r="UBK6" s="8"/>
      <c r="UBL6" s="9"/>
      <c r="UBM6" s="8"/>
      <c r="UBN6" s="7"/>
      <c r="UBO6" s="9"/>
      <c r="UBP6" s="8"/>
      <c r="UBQ6" s="8"/>
      <c r="UBR6" s="7"/>
      <c r="UBS6" s="9"/>
      <c r="UBT6" s="1"/>
      <c r="UBU6" s="1"/>
      <c r="UBV6" s="1"/>
      <c r="UBW6" s="1"/>
      <c r="UBX6" s="1"/>
      <c r="UBY6" s="1"/>
      <c r="UBZ6" s="1"/>
      <c r="UCA6" s="1"/>
      <c r="UCC6" s="1"/>
      <c r="UCE6" s="6"/>
      <c r="UCF6" s="7"/>
      <c r="UCG6" s="8"/>
      <c r="UCH6" s="9"/>
      <c r="UCI6" s="8"/>
      <c r="UCJ6" s="7"/>
      <c r="UCK6" s="9"/>
      <c r="UCL6" s="8"/>
      <c r="UCM6" s="8"/>
      <c r="UCN6" s="7"/>
      <c r="UCO6" s="9"/>
      <c r="UCP6" s="1"/>
      <c r="UCQ6" s="1"/>
      <c r="UCR6" s="1"/>
      <c r="UCS6" s="1"/>
      <c r="UCT6" s="1"/>
      <c r="UCU6" s="1"/>
      <c r="UCV6" s="1"/>
      <c r="UCW6" s="1"/>
      <c r="UCY6" s="1"/>
      <c r="UDA6" s="6"/>
      <c r="UDB6" s="7"/>
      <c r="UDC6" s="8"/>
      <c r="UDD6" s="9"/>
      <c r="UDE6" s="8"/>
      <c r="UDF6" s="7"/>
      <c r="UDG6" s="9"/>
      <c r="UDH6" s="8"/>
      <c r="UDI6" s="8"/>
      <c r="UDJ6" s="7"/>
      <c r="UDK6" s="9"/>
      <c r="UDL6" s="1"/>
      <c r="UDM6" s="1"/>
      <c r="UDN6" s="1"/>
      <c r="UDO6" s="1"/>
      <c r="UDP6" s="1"/>
      <c r="UDQ6" s="1"/>
      <c r="UDR6" s="1"/>
      <c r="UDS6" s="1"/>
      <c r="UDU6" s="1"/>
      <c r="UDW6" s="6"/>
      <c r="UDX6" s="7"/>
      <c r="UDY6" s="8"/>
      <c r="UDZ6" s="9"/>
      <c r="UEA6" s="8"/>
      <c r="UEB6" s="7"/>
      <c r="UEC6" s="9"/>
      <c r="UED6" s="8"/>
      <c r="UEE6" s="8"/>
      <c r="UEF6" s="7"/>
      <c r="UEG6" s="9"/>
      <c r="UEH6" s="1"/>
      <c r="UEI6" s="1"/>
      <c r="UEJ6" s="1"/>
      <c r="UEK6" s="1"/>
      <c r="UEL6" s="1"/>
      <c r="UEM6" s="1"/>
      <c r="UEN6" s="1"/>
      <c r="UEO6" s="1"/>
      <c r="UEQ6" s="1"/>
      <c r="UES6" s="6"/>
      <c r="UET6" s="7"/>
      <c r="UEU6" s="8"/>
      <c r="UEV6" s="9"/>
      <c r="UEW6" s="8"/>
      <c r="UEX6" s="7"/>
      <c r="UEY6" s="9"/>
      <c r="UEZ6" s="8"/>
      <c r="UFA6" s="8"/>
      <c r="UFB6" s="7"/>
      <c r="UFC6" s="9"/>
      <c r="UFD6" s="1"/>
      <c r="UFE6" s="1"/>
      <c r="UFF6" s="1"/>
      <c r="UFG6" s="1"/>
      <c r="UFH6" s="1"/>
      <c r="UFI6" s="1"/>
      <c r="UFJ6" s="1"/>
      <c r="UFK6" s="1"/>
      <c r="UFM6" s="1"/>
      <c r="UFO6" s="6"/>
      <c r="UFP6" s="7"/>
      <c r="UFQ6" s="8"/>
      <c r="UFR6" s="9"/>
      <c r="UFS6" s="8"/>
      <c r="UFT6" s="7"/>
      <c r="UFU6" s="9"/>
      <c r="UFV6" s="8"/>
      <c r="UFW6" s="8"/>
      <c r="UFX6" s="7"/>
      <c r="UFY6" s="9"/>
      <c r="UFZ6" s="1"/>
      <c r="UGA6" s="1"/>
      <c r="UGB6" s="1"/>
      <c r="UGC6" s="1"/>
      <c r="UGD6" s="1"/>
      <c r="UGE6" s="1"/>
      <c r="UGF6" s="1"/>
      <c r="UGG6" s="1"/>
      <c r="UGI6" s="1"/>
      <c r="UGK6" s="6"/>
      <c r="UGL6" s="7"/>
      <c r="UGM6" s="8"/>
      <c r="UGN6" s="9"/>
      <c r="UGO6" s="8"/>
      <c r="UGP6" s="7"/>
      <c r="UGQ6" s="9"/>
      <c r="UGR6" s="8"/>
      <c r="UGS6" s="8"/>
      <c r="UGT6" s="7"/>
      <c r="UGU6" s="9"/>
      <c r="UGV6" s="1"/>
      <c r="UGW6" s="1"/>
      <c r="UGX6" s="1"/>
      <c r="UGY6" s="1"/>
      <c r="UGZ6" s="1"/>
      <c r="UHA6" s="1"/>
      <c r="UHB6" s="1"/>
      <c r="UHC6" s="1"/>
      <c r="UHE6" s="1"/>
      <c r="UHG6" s="6"/>
      <c r="UHH6" s="7"/>
      <c r="UHI6" s="8"/>
      <c r="UHJ6" s="9"/>
      <c r="UHK6" s="8"/>
      <c r="UHL6" s="7"/>
      <c r="UHM6" s="9"/>
      <c r="UHN6" s="8"/>
      <c r="UHO6" s="8"/>
      <c r="UHP6" s="7"/>
      <c r="UHQ6" s="9"/>
      <c r="UHR6" s="1"/>
      <c r="UHS6" s="1"/>
      <c r="UHT6" s="1"/>
      <c r="UHU6" s="1"/>
      <c r="UHV6" s="1"/>
      <c r="UHW6" s="1"/>
      <c r="UHX6" s="1"/>
      <c r="UHY6" s="1"/>
      <c r="UIA6" s="1"/>
      <c r="UIC6" s="6"/>
      <c r="UID6" s="7"/>
      <c r="UIE6" s="8"/>
      <c r="UIF6" s="9"/>
      <c r="UIG6" s="8"/>
      <c r="UIH6" s="7"/>
      <c r="UII6" s="9"/>
      <c r="UIJ6" s="8"/>
      <c r="UIK6" s="8"/>
      <c r="UIL6" s="7"/>
      <c r="UIM6" s="9"/>
      <c r="UIN6" s="1"/>
      <c r="UIO6" s="1"/>
      <c r="UIP6" s="1"/>
      <c r="UIQ6" s="1"/>
      <c r="UIR6" s="1"/>
      <c r="UIS6" s="1"/>
      <c r="UIT6" s="1"/>
      <c r="UIU6" s="1"/>
      <c r="UIW6" s="1"/>
      <c r="UIY6" s="6"/>
      <c r="UIZ6" s="7"/>
      <c r="UJA6" s="8"/>
      <c r="UJB6" s="9"/>
      <c r="UJC6" s="8"/>
      <c r="UJD6" s="7"/>
      <c r="UJE6" s="9"/>
      <c r="UJF6" s="8"/>
      <c r="UJG6" s="8"/>
      <c r="UJH6" s="7"/>
      <c r="UJI6" s="9"/>
      <c r="UJJ6" s="1"/>
      <c r="UJK6" s="1"/>
      <c r="UJL6" s="1"/>
      <c r="UJM6" s="1"/>
      <c r="UJN6" s="1"/>
      <c r="UJO6" s="1"/>
      <c r="UJP6" s="1"/>
      <c r="UJQ6" s="1"/>
      <c r="UJS6" s="1"/>
      <c r="UJU6" s="6"/>
      <c r="UJV6" s="7"/>
      <c r="UJW6" s="8"/>
      <c r="UJX6" s="9"/>
      <c r="UJY6" s="8"/>
      <c r="UJZ6" s="7"/>
      <c r="UKA6" s="9"/>
      <c r="UKB6" s="8"/>
      <c r="UKC6" s="8"/>
      <c r="UKD6" s="7"/>
      <c r="UKE6" s="9"/>
      <c r="UKF6" s="1"/>
      <c r="UKG6" s="1"/>
      <c r="UKH6" s="1"/>
      <c r="UKI6" s="1"/>
      <c r="UKJ6" s="1"/>
      <c r="UKK6" s="1"/>
      <c r="UKL6" s="1"/>
      <c r="UKM6" s="1"/>
      <c r="UKO6" s="1"/>
      <c r="UKQ6" s="6"/>
      <c r="UKR6" s="7"/>
      <c r="UKS6" s="8"/>
      <c r="UKT6" s="9"/>
      <c r="UKU6" s="8"/>
      <c r="UKV6" s="7"/>
      <c r="UKW6" s="9"/>
      <c r="UKX6" s="8"/>
      <c r="UKY6" s="8"/>
      <c r="UKZ6" s="7"/>
      <c r="ULA6" s="9"/>
      <c r="ULB6" s="1"/>
      <c r="ULC6" s="1"/>
      <c r="ULD6" s="1"/>
      <c r="ULE6" s="1"/>
      <c r="ULF6" s="1"/>
      <c r="ULG6" s="1"/>
      <c r="ULH6" s="1"/>
      <c r="ULI6" s="1"/>
      <c r="ULK6" s="1"/>
      <c r="ULM6" s="6"/>
      <c r="ULN6" s="7"/>
      <c r="ULO6" s="8"/>
      <c r="ULP6" s="9"/>
      <c r="ULQ6" s="8"/>
      <c r="ULR6" s="7"/>
      <c r="ULS6" s="9"/>
      <c r="ULT6" s="8"/>
      <c r="ULU6" s="8"/>
      <c r="ULV6" s="7"/>
      <c r="ULW6" s="9"/>
      <c r="ULX6" s="1"/>
      <c r="ULY6" s="1"/>
      <c r="ULZ6" s="1"/>
      <c r="UMA6" s="1"/>
      <c r="UMB6" s="1"/>
      <c r="UMC6" s="1"/>
      <c r="UMD6" s="1"/>
      <c r="UME6" s="1"/>
      <c r="UMG6" s="1"/>
      <c r="UMI6" s="6"/>
      <c r="UMJ6" s="7"/>
      <c r="UMK6" s="8"/>
      <c r="UML6" s="9"/>
      <c r="UMM6" s="8"/>
      <c r="UMN6" s="7"/>
      <c r="UMO6" s="9"/>
      <c r="UMP6" s="8"/>
      <c r="UMQ6" s="8"/>
      <c r="UMR6" s="7"/>
      <c r="UMS6" s="9"/>
      <c r="UMT6" s="1"/>
      <c r="UMU6" s="1"/>
      <c r="UMV6" s="1"/>
      <c r="UMW6" s="1"/>
      <c r="UMX6" s="1"/>
      <c r="UMY6" s="1"/>
      <c r="UMZ6" s="1"/>
      <c r="UNA6" s="1"/>
      <c r="UNC6" s="1"/>
      <c r="UNE6" s="6"/>
      <c r="UNF6" s="7"/>
      <c r="UNG6" s="8"/>
      <c r="UNH6" s="9"/>
      <c r="UNI6" s="8"/>
      <c r="UNJ6" s="7"/>
      <c r="UNK6" s="9"/>
      <c r="UNL6" s="8"/>
      <c r="UNM6" s="8"/>
      <c r="UNN6" s="7"/>
      <c r="UNO6" s="9"/>
      <c r="UNP6" s="1"/>
      <c r="UNQ6" s="1"/>
      <c r="UNR6" s="1"/>
      <c r="UNS6" s="1"/>
      <c r="UNT6" s="1"/>
      <c r="UNU6" s="1"/>
      <c r="UNV6" s="1"/>
      <c r="UNW6" s="1"/>
      <c r="UNY6" s="1"/>
      <c r="UOA6" s="6"/>
      <c r="UOB6" s="7"/>
      <c r="UOC6" s="8"/>
      <c r="UOD6" s="9"/>
      <c r="UOE6" s="8"/>
      <c r="UOF6" s="7"/>
      <c r="UOG6" s="9"/>
      <c r="UOH6" s="8"/>
      <c r="UOI6" s="8"/>
      <c r="UOJ6" s="7"/>
      <c r="UOK6" s="9"/>
      <c r="UOL6" s="1"/>
      <c r="UOM6" s="1"/>
      <c r="UON6" s="1"/>
      <c r="UOO6" s="1"/>
      <c r="UOP6" s="1"/>
      <c r="UOQ6" s="1"/>
      <c r="UOR6" s="1"/>
      <c r="UOS6" s="1"/>
      <c r="UOU6" s="1"/>
      <c r="UOW6" s="6"/>
      <c r="UOX6" s="7"/>
      <c r="UOY6" s="8"/>
      <c r="UOZ6" s="9"/>
      <c r="UPA6" s="8"/>
      <c r="UPB6" s="7"/>
      <c r="UPC6" s="9"/>
      <c r="UPD6" s="8"/>
      <c r="UPE6" s="8"/>
      <c r="UPF6" s="7"/>
      <c r="UPG6" s="9"/>
      <c r="UPH6" s="1"/>
      <c r="UPI6" s="1"/>
      <c r="UPJ6" s="1"/>
      <c r="UPK6" s="1"/>
      <c r="UPL6" s="1"/>
      <c r="UPM6" s="1"/>
      <c r="UPN6" s="1"/>
      <c r="UPO6" s="1"/>
      <c r="UPQ6" s="1"/>
      <c r="UPS6" s="6"/>
      <c r="UPT6" s="7"/>
      <c r="UPU6" s="8"/>
      <c r="UPV6" s="9"/>
      <c r="UPW6" s="8"/>
      <c r="UPX6" s="7"/>
      <c r="UPY6" s="9"/>
      <c r="UPZ6" s="8"/>
      <c r="UQA6" s="8"/>
      <c r="UQB6" s="7"/>
      <c r="UQC6" s="9"/>
      <c r="UQD6" s="1"/>
      <c r="UQE6" s="1"/>
      <c r="UQF6" s="1"/>
      <c r="UQG6" s="1"/>
      <c r="UQH6" s="1"/>
      <c r="UQI6" s="1"/>
      <c r="UQJ6" s="1"/>
      <c r="UQK6" s="1"/>
      <c r="UQM6" s="1"/>
      <c r="UQO6" s="6"/>
      <c r="UQP6" s="7"/>
      <c r="UQQ6" s="8"/>
      <c r="UQR6" s="9"/>
      <c r="UQS6" s="8"/>
      <c r="UQT6" s="7"/>
      <c r="UQU6" s="9"/>
      <c r="UQV6" s="8"/>
      <c r="UQW6" s="8"/>
      <c r="UQX6" s="7"/>
      <c r="UQY6" s="9"/>
      <c r="UQZ6" s="1"/>
      <c r="URA6" s="1"/>
      <c r="URB6" s="1"/>
      <c r="URC6" s="1"/>
      <c r="URD6" s="1"/>
      <c r="URE6" s="1"/>
      <c r="URF6" s="1"/>
      <c r="URG6" s="1"/>
      <c r="URI6" s="1"/>
      <c r="URK6" s="6"/>
      <c r="URL6" s="7"/>
      <c r="URM6" s="8"/>
      <c r="URN6" s="9"/>
      <c r="URO6" s="8"/>
      <c r="URP6" s="7"/>
      <c r="URQ6" s="9"/>
      <c r="URR6" s="8"/>
      <c r="URS6" s="8"/>
      <c r="URT6" s="7"/>
      <c r="URU6" s="9"/>
      <c r="URV6" s="1"/>
      <c r="URW6" s="1"/>
      <c r="URX6" s="1"/>
      <c r="URY6" s="1"/>
      <c r="URZ6" s="1"/>
      <c r="USA6" s="1"/>
      <c r="USB6" s="1"/>
      <c r="USC6" s="1"/>
      <c r="USE6" s="1"/>
      <c r="USG6" s="6"/>
      <c r="USH6" s="7"/>
      <c r="USI6" s="8"/>
      <c r="USJ6" s="9"/>
      <c r="USK6" s="8"/>
      <c r="USL6" s="7"/>
      <c r="USM6" s="9"/>
      <c r="USN6" s="8"/>
      <c r="USO6" s="8"/>
      <c r="USP6" s="7"/>
      <c r="USQ6" s="9"/>
      <c r="USR6" s="1"/>
      <c r="USS6" s="1"/>
      <c r="UST6" s="1"/>
      <c r="USU6" s="1"/>
      <c r="USV6" s="1"/>
      <c r="USW6" s="1"/>
      <c r="USX6" s="1"/>
      <c r="USY6" s="1"/>
      <c r="UTA6" s="1"/>
      <c r="UTC6" s="6"/>
      <c r="UTD6" s="7"/>
      <c r="UTE6" s="8"/>
      <c r="UTF6" s="9"/>
      <c r="UTG6" s="8"/>
      <c r="UTH6" s="7"/>
      <c r="UTI6" s="9"/>
      <c r="UTJ6" s="8"/>
      <c r="UTK6" s="8"/>
      <c r="UTL6" s="7"/>
      <c r="UTM6" s="9"/>
      <c r="UTN6" s="1"/>
      <c r="UTO6" s="1"/>
      <c r="UTP6" s="1"/>
      <c r="UTQ6" s="1"/>
      <c r="UTR6" s="1"/>
      <c r="UTS6" s="1"/>
      <c r="UTT6" s="1"/>
      <c r="UTU6" s="1"/>
      <c r="UTW6" s="1"/>
      <c r="UTY6" s="6"/>
      <c r="UTZ6" s="7"/>
      <c r="UUA6" s="8"/>
      <c r="UUB6" s="9"/>
      <c r="UUC6" s="8"/>
      <c r="UUD6" s="7"/>
      <c r="UUE6" s="9"/>
      <c r="UUF6" s="8"/>
      <c r="UUG6" s="8"/>
      <c r="UUH6" s="7"/>
      <c r="UUI6" s="9"/>
      <c r="UUJ6" s="1"/>
      <c r="UUK6" s="1"/>
      <c r="UUL6" s="1"/>
      <c r="UUM6" s="1"/>
      <c r="UUN6" s="1"/>
      <c r="UUO6" s="1"/>
      <c r="UUP6" s="1"/>
      <c r="UUQ6" s="1"/>
      <c r="UUS6" s="1"/>
      <c r="UUU6" s="6"/>
      <c r="UUV6" s="7"/>
      <c r="UUW6" s="8"/>
      <c r="UUX6" s="9"/>
      <c r="UUY6" s="8"/>
      <c r="UUZ6" s="7"/>
      <c r="UVA6" s="9"/>
      <c r="UVB6" s="8"/>
      <c r="UVC6" s="8"/>
      <c r="UVD6" s="7"/>
      <c r="UVE6" s="9"/>
      <c r="UVF6" s="1"/>
      <c r="UVG6" s="1"/>
      <c r="UVH6" s="1"/>
      <c r="UVI6" s="1"/>
      <c r="UVJ6" s="1"/>
      <c r="UVK6" s="1"/>
      <c r="UVL6" s="1"/>
      <c r="UVM6" s="1"/>
      <c r="UVO6" s="1"/>
      <c r="UVQ6" s="6"/>
      <c r="UVR6" s="7"/>
      <c r="UVS6" s="8"/>
      <c r="UVT6" s="9"/>
      <c r="UVU6" s="8"/>
      <c r="UVV6" s="7"/>
      <c r="UVW6" s="9"/>
      <c r="UVX6" s="8"/>
      <c r="UVY6" s="8"/>
      <c r="UVZ6" s="7"/>
      <c r="UWA6" s="9"/>
      <c r="UWB6" s="1"/>
      <c r="UWC6" s="1"/>
      <c r="UWD6" s="1"/>
      <c r="UWE6" s="1"/>
      <c r="UWF6" s="1"/>
      <c r="UWG6" s="1"/>
      <c r="UWH6" s="1"/>
      <c r="UWI6" s="1"/>
      <c r="UWK6" s="1"/>
      <c r="UWM6" s="6"/>
      <c r="UWN6" s="7"/>
      <c r="UWO6" s="8"/>
      <c r="UWP6" s="9"/>
      <c r="UWQ6" s="8"/>
      <c r="UWR6" s="7"/>
      <c r="UWS6" s="9"/>
      <c r="UWT6" s="8"/>
      <c r="UWU6" s="8"/>
      <c r="UWV6" s="7"/>
      <c r="UWW6" s="9"/>
      <c r="UWX6" s="1"/>
      <c r="UWY6" s="1"/>
      <c r="UWZ6" s="1"/>
      <c r="UXA6" s="1"/>
      <c r="UXB6" s="1"/>
      <c r="UXC6" s="1"/>
      <c r="UXD6" s="1"/>
      <c r="UXE6" s="1"/>
      <c r="UXG6" s="1"/>
      <c r="UXI6" s="6"/>
      <c r="UXJ6" s="7"/>
      <c r="UXK6" s="8"/>
      <c r="UXL6" s="9"/>
      <c r="UXM6" s="8"/>
      <c r="UXN6" s="7"/>
      <c r="UXO6" s="9"/>
      <c r="UXP6" s="8"/>
      <c r="UXQ6" s="8"/>
      <c r="UXR6" s="7"/>
      <c r="UXS6" s="9"/>
      <c r="UXT6" s="1"/>
      <c r="UXU6" s="1"/>
      <c r="UXV6" s="1"/>
      <c r="UXW6" s="1"/>
      <c r="UXX6" s="1"/>
      <c r="UXY6" s="1"/>
      <c r="UXZ6" s="1"/>
      <c r="UYA6" s="1"/>
      <c r="UYC6" s="1"/>
      <c r="UYE6" s="6"/>
      <c r="UYF6" s="7"/>
      <c r="UYG6" s="8"/>
      <c r="UYH6" s="9"/>
      <c r="UYI6" s="8"/>
      <c r="UYJ6" s="7"/>
      <c r="UYK6" s="9"/>
      <c r="UYL6" s="8"/>
      <c r="UYM6" s="8"/>
      <c r="UYN6" s="7"/>
      <c r="UYO6" s="9"/>
      <c r="UYP6" s="1"/>
      <c r="UYQ6" s="1"/>
      <c r="UYR6" s="1"/>
      <c r="UYS6" s="1"/>
      <c r="UYT6" s="1"/>
      <c r="UYU6" s="1"/>
      <c r="UYV6" s="1"/>
      <c r="UYW6" s="1"/>
      <c r="UYY6" s="1"/>
      <c r="UZA6" s="6"/>
      <c r="UZB6" s="7"/>
      <c r="UZC6" s="8"/>
      <c r="UZD6" s="9"/>
      <c r="UZE6" s="8"/>
      <c r="UZF6" s="7"/>
      <c r="UZG6" s="9"/>
      <c r="UZH6" s="8"/>
      <c r="UZI6" s="8"/>
      <c r="UZJ6" s="7"/>
      <c r="UZK6" s="9"/>
      <c r="UZL6" s="1"/>
      <c r="UZM6" s="1"/>
      <c r="UZN6" s="1"/>
      <c r="UZO6" s="1"/>
      <c r="UZP6" s="1"/>
      <c r="UZQ6" s="1"/>
      <c r="UZR6" s="1"/>
      <c r="UZS6" s="1"/>
      <c r="UZU6" s="1"/>
      <c r="UZW6" s="6"/>
      <c r="UZX6" s="7"/>
      <c r="UZY6" s="8"/>
      <c r="UZZ6" s="9"/>
      <c r="VAA6" s="8"/>
      <c r="VAB6" s="7"/>
      <c r="VAC6" s="9"/>
      <c r="VAD6" s="8"/>
      <c r="VAE6" s="8"/>
      <c r="VAF6" s="7"/>
      <c r="VAG6" s="9"/>
      <c r="VAH6" s="1"/>
      <c r="VAI6" s="1"/>
      <c r="VAJ6" s="1"/>
      <c r="VAK6" s="1"/>
      <c r="VAL6" s="1"/>
      <c r="VAM6" s="1"/>
      <c r="VAN6" s="1"/>
      <c r="VAO6" s="1"/>
      <c r="VAQ6" s="1"/>
      <c r="VAS6" s="6"/>
      <c r="VAT6" s="7"/>
      <c r="VAU6" s="8"/>
      <c r="VAV6" s="9"/>
      <c r="VAW6" s="8"/>
      <c r="VAX6" s="7"/>
      <c r="VAY6" s="9"/>
      <c r="VAZ6" s="8"/>
      <c r="VBA6" s="8"/>
      <c r="VBB6" s="7"/>
      <c r="VBC6" s="9"/>
      <c r="VBD6" s="1"/>
      <c r="VBE6" s="1"/>
      <c r="VBF6" s="1"/>
      <c r="VBG6" s="1"/>
      <c r="VBH6" s="1"/>
      <c r="VBI6" s="1"/>
      <c r="VBJ6" s="1"/>
      <c r="VBK6" s="1"/>
      <c r="VBM6" s="1"/>
      <c r="VBO6" s="6"/>
      <c r="VBP6" s="7"/>
      <c r="VBQ6" s="8"/>
      <c r="VBR6" s="9"/>
      <c r="VBS6" s="8"/>
      <c r="VBT6" s="7"/>
      <c r="VBU6" s="9"/>
      <c r="VBV6" s="8"/>
      <c r="VBW6" s="8"/>
      <c r="VBX6" s="7"/>
      <c r="VBY6" s="9"/>
      <c r="VBZ6" s="1"/>
      <c r="VCA6" s="1"/>
      <c r="VCB6" s="1"/>
      <c r="VCC6" s="1"/>
      <c r="VCD6" s="1"/>
      <c r="VCE6" s="1"/>
      <c r="VCF6" s="1"/>
      <c r="VCG6" s="1"/>
      <c r="VCI6" s="1"/>
      <c r="VCK6" s="6"/>
      <c r="VCL6" s="7"/>
      <c r="VCM6" s="8"/>
      <c r="VCN6" s="9"/>
      <c r="VCO6" s="8"/>
      <c r="VCP6" s="7"/>
      <c r="VCQ6" s="9"/>
      <c r="VCR6" s="8"/>
      <c r="VCS6" s="8"/>
      <c r="VCT6" s="7"/>
      <c r="VCU6" s="9"/>
      <c r="VCV6" s="1"/>
      <c r="VCW6" s="1"/>
      <c r="VCX6" s="1"/>
      <c r="VCY6" s="1"/>
      <c r="VCZ6" s="1"/>
      <c r="VDA6" s="1"/>
      <c r="VDB6" s="1"/>
      <c r="VDC6" s="1"/>
      <c r="VDE6" s="1"/>
      <c r="VDG6" s="6"/>
      <c r="VDH6" s="7"/>
      <c r="VDI6" s="8"/>
      <c r="VDJ6" s="9"/>
      <c r="VDK6" s="8"/>
      <c r="VDL6" s="7"/>
      <c r="VDM6" s="9"/>
      <c r="VDN6" s="8"/>
      <c r="VDO6" s="8"/>
      <c r="VDP6" s="7"/>
      <c r="VDQ6" s="9"/>
      <c r="VDR6" s="1"/>
      <c r="VDS6" s="1"/>
      <c r="VDT6" s="1"/>
      <c r="VDU6" s="1"/>
      <c r="VDV6" s="1"/>
      <c r="VDW6" s="1"/>
      <c r="VDX6" s="1"/>
      <c r="VDY6" s="1"/>
      <c r="VEA6" s="1"/>
      <c r="VEC6" s="6"/>
      <c r="VED6" s="7"/>
      <c r="VEE6" s="8"/>
      <c r="VEF6" s="9"/>
      <c r="VEG6" s="8"/>
      <c r="VEH6" s="7"/>
      <c r="VEI6" s="9"/>
      <c r="VEJ6" s="8"/>
      <c r="VEK6" s="8"/>
      <c r="VEL6" s="7"/>
      <c r="VEM6" s="9"/>
      <c r="VEN6" s="1"/>
      <c r="VEO6" s="1"/>
      <c r="VEP6" s="1"/>
      <c r="VEQ6" s="1"/>
      <c r="VER6" s="1"/>
      <c r="VES6" s="1"/>
      <c r="VET6" s="1"/>
      <c r="VEU6" s="1"/>
      <c r="VEW6" s="1"/>
      <c r="VEY6" s="6"/>
      <c r="VEZ6" s="7"/>
      <c r="VFA6" s="8"/>
      <c r="VFB6" s="9"/>
      <c r="VFC6" s="8"/>
      <c r="VFD6" s="7"/>
      <c r="VFE6" s="9"/>
      <c r="VFF6" s="8"/>
      <c r="VFG6" s="8"/>
      <c r="VFH6" s="7"/>
      <c r="VFI6" s="9"/>
      <c r="VFJ6" s="1"/>
      <c r="VFK6" s="1"/>
      <c r="VFL6" s="1"/>
      <c r="VFM6" s="1"/>
      <c r="VFN6" s="1"/>
      <c r="VFO6" s="1"/>
      <c r="VFP6" s="1"/>
      <c r="VFQ6" s="1"/>
      <c r="VFS6" s="1"/>
      <c r="VFU6" s="6"/>
      <c r="VFV6" s="7"/>
      <c r="VFW6" s="8"/>
      <c r="VFX6" s="9"/>
      <c r="VFY6" s="8"/>
      <c r="VFZ6" s="7"/>
      <c r="VGA6" s="9"/>
      <c r="VGB6" s="8"/>
      <c r="VGC6" s="8"/>
      <c r="VGD6" s="7"/>
      <c r="VGE6" s="9"/>
      <c r="VGF6" s="1"/>
      <c r="VGG6" s="1"/>
      <c r="VGH6" s="1"/>
      <c r="VGI6" s="1"/>
      <c r="VGJ6" s="1"/>
      <c r="VGK6" s="1"/>
      <c r="VGL6" s="1"/>
      <c r="VGM6" s="1"/>
      <c r="VGO6" s="1"/>
      <c r="VGQ6" s="6"/>
      <c r="VGR6" s="7"/>
      <c r="VGS6" s="8"/>
      <c r="VGT6" s="9"/>
      <c r="VGU6" s="8"/>
      <c r="VGV6" s="7"/>
      <c r="VGW6" s="9"/>
      <c r="VGX6" s="8"/>
      <c r="VGY6" s="8"/>
      <c r="VGZ6" s="7"/>
      <c r="VHA6" s="9"/>
      <c r="VHB6" s="1"/>
      <c r="VHC6" s="1"/>
      <c r="VHD6" s="1"/>
      <c r="VHE6" s="1"/>
      <c r="VHF6" s="1"/>
      <c r="VHG6" s="1"/>
      <c r="VHH6" s="1"/>
      <c r="VHI6" s="1"/>
      <c r="VHK6" s="1"/>
      <c r="VHM6" s="6"/>
      <c r="VHN6" s="7"/>
      <c r="VHO6" s="8"/>
      <c r="VHP6" s="9"/>
      <c r="VHQ6" s="8"/>
      <c r="VHR6" s="7"/>
      <c r="VHS6" s="9"/>
      <c r="VHT6" s="8"/>
      <c r="VHU6" s="8"/>
      <c r="VHV6" s="7"/>
      <c r="VHW6" s="9"/>
      <c r="VHX6" s="1"/>
      <c r="VHY6" s="1"/>
      <c r="VHZ6" s="1"/>
      <c r="VIA6" s="1"/>
      <c r="VIB6" s="1"/>
      <c r="VIC6" s="1"/>
      <c r="VID6" s="1"/>
      <c r="VIE6" s="1"/>
      <c r="VIG6" s="1"/>
      <c r="VII6" s="6"/>
      <c r="VIJ6" s="7"/>
      <c r="VIK6" s="8"/>
      <c r="VIL6" s="9"/>
      <c r="VIM6" s="8"/>
      <c r="VIN6" s="7"/>
      <c r="VIO6" s="9"/>
      <c r="VIP6" s="8"/>
      <c r="VIQ6" s="8"/>
      <c r="VIR6" s="7"/>
      <c r="VIS6" s="9"/>
      <c r="VIT6" s="1"/>
      <c r="VIU6" s="1"/>
      <c r="VIV6" s="1"/>
      <c r="VIW6" s="1"/>
      <c r="VIX6" s="1"/>
      <c r="VIY6" s="1"/>
      <c r="VIZ6" s="1"/>
      <c r="VJA6" s="1"/>
      <c r="VJC6" s="1"/>
      <c r="VJE6" s="6"/>
      <c r="VJF6" s="7"/>
      <c r="VJG6" s="8"/>
      <c r="VJH6" s="9"/>
      <c r="VJI6" s="8"/>
      <c r="VJJ6" s="7"/>
      <c r="VJK6" s="9"/>
      <c r="VJL6" s="8"/>
      <c r="VJM6" s="8"/>
      <c r="VJN6" s="7"/>
      <c r="VJO6" s="9"/>
      <c r="VJP6" s="1"/>
      <c r="VJQ6" s="1"/>
      <c r="VJR6" s="1"/>
      <c r="VJS6" s="1"/>
      <c r="VJT6" s="1"/>
      <c r="VJU6" s="1"/>
      <c r="VJV6" s="1"/>
      <c r="VJW6" s="1"/>
      <c r="VJY6" s="1"/>
      <c r="VKA6" s="6"/>
      <c r="VKB6" s="7"/>
      <c r="VKC6" s="8"/>
      <c r="VKD6" s="9"/>
      <c r="VKE6" s="8"/>
      <c r="VKF6" s="7"/>
      <c r="VKG6" s="9"/>
      <c r="VKH6" s="8"/>
      <c r="VKI6" s="8"/>
      <c r="VKJ6" s="7"/>
      <c r="VKK6" s="9"/>
      <c r="VKL6" s="1"/>
      <c r="VKM6" s="1"/>
      <c r="VKN6" s="1"/>
      <c r="VKO6" s="1"/>
      <c r="VKP6" s="1"/>
      <c r="VKQ6" s="1"/>
      <c r="VKR6" s="1"/>
      <c r="VKS6" s="1"/>
      <c r="VKU6" s="1"/>
      <c r="VKW6" s="6"/>
      <c r="VKX6" s="7"/>
      <c r="VKY6" s="8"/>
      <c r="VKZ6" s="9"/>
      <c r="VLA6" s="8"/>
      <c r="VLB6" s="7"/>
      <c r="VLC6" s="9"/>
      <c r="VLD6" s="8"/>
      <c r="VLE6" s="8"/>
      <c r="VLF6" s="7"/>
      <c r="VLG6" s="9"/>
      <c r="VLH6" s="1"/>
      <c r="VLI6" s="1"/>
      <c r="VLJ6" s="1"/>
      <c r="VLK6" s="1"/>
      <c r="VLL6" s="1"/>
      <c r="VLM6" s="1"/>
      <c r="VLN6" s="1"/>
      <c r="VLO6" s="1"/>
      <c r="VLQ6" s="1"/>
      <c r="VLS6" s="6"/>
      <c r="VLT6" s="7"/>
      <c r="VLU6" s="8"/>
      <c r="VLV6" s="9"/>
      <c r="VLW6" s="8"/>
      <c r="VLX6" s="7"/>
      <c r="VLY6" s="9"/>
      <c r="VLZ6" s="8"/>
      <c r="VMA6" s="8"/>
      <c r="VMB6" s="7"/>
      <c r="VMC6" s="9"/>
      <c r="VMD6" s="1"/>
      <c r="VME6" s="1"/>
      <c r="VMF6" s="1"/>
      <c r="VMG6" s="1"/>
      <c r="VMH6" s="1"/>
      <c r="VMI6" s="1"/>
      <c r="VMJ6" s="1"/>
      <c r="VMK6" s="1"/>
      <c r="VMM6" s="1"/>
      <c r="VMO6" s="6"/>
      <c r="VMP6" s="7"/>
      <c r="VMQ6" s="8"/>
      <c r="VMR6" s="9"/>
      <c r="VMS6" s="8"/>
      <c r="VMT6" s="7"/>
      <c r="VMU6" s="9"/>
      <c r="VMV6" s="8"/>
      <c r="VMW6" s="8"/>
      <c r="VMX6" s="7"/>
      <c r="VMY6" s="9"/>
      <c r="VMZ6" s="1"/>
      <c r="VNA6" s="1"/>
      <c r="VNB6" s="1"/>
      <c r="VNC6" s="1"/>
      <c r="VND6" s="1"/>
      <c r="VNE6" s="1"/>
      <c r="VNF6" s="1"/>
      <c r="VNG6" s="1"/>
      <c r="VNI6" s="1"/>
      <c r="VNK6" s="6"/>
      <c r="VNL6" s="7"/>
      <c r="VNM6" s="8"/>
      <c r="VNN6" s="9"/>
      <c r="VNO6" s="8"/>
      <c r="VNP6" s="7"/>
      <c r="VNQ6" s="9"/>
      <c r="VNR6" s="8"/>
      <c r="VNS6" s="8"/>
      <c r="VNT6" s="7"/>
      <c r="VNU6" s="9"/>
      <c r="VNV6" s="1"/>
      <c r="VNW6" s="1"/>
      <c r="VNX6" s="1"/>
      <c r="VNY6" s="1"/>
      <c r="VNZ6" s="1"/>
      <c r="VOA6" s="1"/>
      <c r="VOB6" s="1"/>
      <c r="VOC6" s="1"/>
      <c r="VOE6" s="1"/>
      <c r="VOG6" s="6"/>
      <c r="VOH6" s="7"/>
      <c r="VOI6" s="8"/>
      <c r="VOJ6" s="9"/>
      <c r="VOK6" s="8"/>
      <c r="VOL6" s="7"/>
      <c r="VOM6" s="9"/>
      <c r="VON6" s="8"/>
      <c r="VOO6" s="8"/>
      <c r="VOP6" s="7"/>
      <c r="VOQ6" s="9"/>
      <c r="VOR6" s="1"/>
      <c r="VOS6" s="1"/>
      <c r="VOT6" s="1"/>
      <c r="VOU6" s="1"/>
      <c r="VOV6" s="1"/>
      <c r="VOW6" s="1"/>
      <c r="VOX6" s="1"/>
      <c r="VOY6" s="1"/>
      <c r="VPA6" s="1"/>
      <c r="VPC6" s="6"/>
      <c r="VPD6" s="7"/>
      <c r="VPE6" s="8"/>
      <c r="VPF6" s="9"/>
      <c r="VPG6" s="8"/>
      <c r="VPH6" s="7"/>
      <c r="VPI6" s="9"/>
      <c r="VPJ6" s="8"/>
      <c r="VPK6" s="8"/>
      <c r="VPL6" s="7"/>
      <c r="VPM6" s="9"/>
      <c r="VPN6" s="1"/>
      <c r="VPO6" s="1"/>
      <c r="VPP6" s="1"/>
      <c r="VPQ6" s="1"/>
      <c r="VPR6" s="1"/>
      <c r="VPS6" s="1"/>
      <c r="VPT6" s="1"/>
      <c r="VPU6" s="1"/>
      <c r="VPW6" s="1"/>
      <c r="VPY6" s="6"/>
      <c r="VPZ6" s="7"/>
      <c r="VQA6" s="8"/>
      <c r="VQB6" s="9"/>
      <c r="VQC6" s="8"/>
      <c r="VQD6" s="7"/>
      <c r="VQE6" s="9"/>
      <c r="VQF6" s="8"/>
      <c r="VQG6" s="8"/>
      <c r="VQH6" s="7"/>
      <c r="VQI6" s="9"/>
      <c r="VQJ6" s="1"/>
      <c r="VQK6" s="1"/>
      <c r="VQL6" s="1"/>
      <c r="VQM6" s="1"/>
      <c r="VQN6" s="1"/>
      <c r="VQO6" s="1"/>
      <c r="VQP6" s="1"/>
      <c r="VQQ6" s="1"/>
      <c r="VQS6" s="1"/>
      <c r="VQU6" s="6"/>
      <c r="VQV6" s="7"/>
      <c r="VQW6" s="8"/>
      <c r="VQX6" s="9"/>
      <c r="VQY6" s="8"/>
      <c r="VQZ6" s="7"/>
      <c r="VRA6" s="9"/>
      <c r="VRB6" s="8"/>
      <c r="VRC6" s="8"/>
      <c r="VRD6" s="7"/>
      <c r="VRE6" s="9"/>
      <c r="VRF6" s="1"/>
      <c r="VRG6" s="1"/>
      <c r="VRH6" s="1"/>
      <c r="VRI6" s="1"/>
      <c r="VRJ6" s="1"/>
      <c r="VRK6" s="1"/>
      <c r="VRL6" s="1"/>
      <c r="VRM6" s="1"/>
      <c r="VRO6" s="1"/>
      <c r="VRQ6" s="6"/>
      <c r="VRR6" s="7"/>
      <c r="VRS6" s="8"/>
      <c r="VRT6" s="9"/>
      <c r="VRU6" s="8"/>
      <c r="VRV6" s="7"/>
      <c r="VRW6" s="9"/>
      <c r="VRX6" s="8"/>
      <c r="VRY6" s="8"/>
      <c r="VRZ6" s="7"/>
      <c r="VSA6" s="9"/>
      <c r="VSB6" s="1"/>
      <c r="VSC6" s="1"/>
      <c r="VSD6" s="1"/>
      <c r="VSE6" s="1"/>
      <c r="VSF6" s="1"/>
      <c r="VSG6" s="1"/>
      <c r="VSH6" s="1"/>
      <c r="VSI6" s="1"/>
      <c r="VSK6" s="1"/>
      <c r="VSM6" s="6"/>
      <c r="VSN6" s="7"/>
      <c r="VSO6" s="8"/>
      <c r="VSP6" s="9"/>
      <c r="VSQ6" s="8"/>
      <c r="VSR6" s="7"/>
      <c r="VSS6" s="9"/>
      <c r="VST6" s="8"/>
      <c r="VSU6" s="8"/>
      <c r="VSV6" s="7"/>
      <c r="VSW6" s="9"/>
      <c r="VSX6" s="1"/>
      <c r="VSY6" s="1"/>
      <c r="VSZ6" s="1"/>
      <c r="VTA6" s="1"/>
      <c r="VTB6" s="1"/>
      <c r="VTC6" s="1"/>
      <c r="VTD6" s="1"/>
      <c r="VTE6" s="1"/>
      <c r="VTG6" s="1"/>
      <c r="VTI6" s="6"/>
      <c r="VTJ6" s="7"/>
      <c r="VTK6" s="8"/>
      <c r="VTL6" s="9"/>
      <c r="VTM6" s="8"/>
      <c r="VTN6" s="7"/>
      <c r="VTO6" s="9"/>
      <c r="VTP6" s="8"/>
      <c r="VTQ6" s="8"/>
      <c r="VTR6" s="7"/>
      <c r="VTS6" s="9"/>
      <c r="VTT6" s="1"/>
      <c r="VTU6" s="1"/>
      <c r="VTV6" s="1"/>
      <c r="VTW6" s="1"/>
      <c r="VTX6" s="1"/>
      <c r="VTY6" s="1"/>
      <c r="VTZ6" s="1"/>
      <c r="VUA6" s="1"/>
      <c r="VUC6" s="1"/>
      <c r="VUE6" s="6"/>
      <c r="VUF6" s="7"/>
      <c r="VUG6" s="8"/>
      <c r="VUH6" s="9"/>
      <c r="VUI6" s="8"/>
      <c r="VUJ6" s="7"/>
      <c r="VUK6" s="9"/>
      <c r="VUL6" s="8"/>
      <c r="VUM6" s="8"/>
      <c r="VUN6" s="7"/>
      <c r="VUO6" s="9"/>
      <c r="VUP6" s="1"/>
      <c r="VUQ6" s="1"/>
      <c r="VUR6" s="1"/>
      <c r="VUS6" s="1"/>
      <c r="VUT6" s="1"/>
      <c r="VUU6" s="1"/>
      <c r="VUV6" s="1"/>
      <c r="VUW6" s="1"/>
      <c r="VUY6" s="1"/>
      <c r="VVA6" s="6"/>
      <c r="VVB6" s="7"/>
      <c r="VVC6" s="8"/>
      <c r="VVD6" s="9"/>
      <c r="VVE6" s="8"/>
      <c r="VVF6" s="7"/>
      <c r="VVG6" s="9"/>
      <c r="VVH6" s="8"/>
      <c r="VVI6" s="8"/>
      <c r="VVJ6" s="7"/>
      <c r="VVK6" s="9"/>
      <c r="VVL6" s="1"/>
      <c r="VVM6" s="1"/>
      <c r="VVN6" s="1"/>
      <c r="VVO6" s="1"/>
      <c r="VVP6" s="1"/>
      <c r="VVQ6" s="1"/>
      <c r="VVR6" s="1"/>
      <c r="VVS6" s="1"/>
      <c r="VVU6" s="1"/>
      <c r="VVW6" s="6"/>
      <c r="VVX6" s="7"/>
      <c r="VVY6" s="8"/>
      <c r="VVZ6" s="9"/>
      <c r="VWA6" s="8"/>
      <c r="VWB6" s="7"/>
      <c r="VWC6" s="9"/>
      <c r="VWD6" s="8"/>
      <c r="VWE6" s="8"/>
      <c r="VWF6" s="7"/>
      <c r="VWG6" s="9"/>
      <c r="VWH6" s="1"/>
      <c r="VWI6" s="1"/>
      <c r="VWJ6" s="1"/>
      <c r="VWK6" s="1"/>
      <c r="VWL6" s="1"/>
      <c r="VWM6" s="1"/>
      <c r="VWN6" s="1"/>
      <c r="VWO6" s="1"/>
      <c r="VWQ6" s="1"/>
      <c r="VWS6" s="6"/>
      <c r="VWT6" s="7"/>
      <c r="VWU6" s="8"/>
      <c r="VWV6" s="9"/>
      <c r="VWW6" s="8"/>
      <c r="VWX6" s="7"/>
      <c r="VWY6" s="9"/>
      <c r="VWZ6" s="8"/>
      <c r="VXA6" s="8"/>
      <c r="VXB6" s="7"/>
      <c r="VXC6" s="9"/>
      <c r="VXD6" s="1"/>
      <c r="VXE6" s="1"/>
      <c r="VXF6" s="1"/>
      <c r="VXG6" s="1"/>
      <c r="VXH6" s="1"/>
      <c r="VXI6" s="1"/>
      <c r="VXJ6" s="1"/>
      <c r="VXK6" s="1"/>
      <c r="VXM6" s="1"/>
      <c r="VXO6" s="6"/>
      <c r="VXP6" s="7"/>
      <c r="VXQ6" s="8"/>
      <c r="VXR6" s="9"/>
      <c r="VXS6" s="8"/>
      <c r="VXT6" s="7"/>
      <c r="VXU6" s="9"/>
      <c r="VXV6" s="8"/>
      <c r="VXW6" s="8"/>
      <c r="VXX6" s="7"/>
      <c r="VXY6" s="9"/>
      <c r="VXZ6" s="1"/>
      <c r="VYA6" s="1"/>
      <c r="VYB6" s="1"/>
      <c r="VYC6" s="1"/>
      <c r="VYD6" s="1"/>
      <c r="VYE6" s="1"/>
      <c r="VYF6" s="1"/>
      <c r="VYG6" s="1"/>
      <c r="VYI6" s="1"/>
      <c r="VYK6" s="6"/>
      <c r="VYL6" s="7"/>
      <c r="VYM6" s="8"/>
      <c r="VYN6" s="9"/>
      <c r="VYO6" s="8"/>
      <c r="VYP6" s="7"/>
      <c r="VYQ6" s="9"/>
      <c r="VYR6" s="8"/>
      <c r="VYS6" s="8"/>
      <c r="VYT6" s="7"/>
      <c r="VYU6" s="9"/>
      <c r="VYV6" s="1"/>
      <c r="VYW6" s="1"/>
      <c r="VYX6" s="1"/>
      <c r="VYY6" s="1"/>
      <c r="VYZ6" s="1"/>
      <c r="VZA6" s="1"/>
      <c r="VZB6" s="1"/>
      <c r="VZC6" s="1"/>
      <c r="VZE6" s="1"/>
      <c r="VZG6" s="6"/>
      <c r="VZH6" s="7"/>
      <c r="VZI6" s="8"/>
      <c r="VZJ6" s="9"/>
      <c r="VZK6" s="8"/>
      <c r="VZL6" s="7"/>
      <c r="VZM6" s="9"/>
      <c r="VZN6" s="8"/>
      <c r="VZO6" s="8"/>
      <c r="VZP6" s="7"/>
      <c r="VZQ6" s="9"/>
      <c r="VZR6" s="1"/>
      <c r="VZS6" s="1"/>
      <c r="VZT6" s="1"/>
      <c r="VZU6" s="1"/>
      <c r="VZV6" s="1"/>
      <c r="VZW6" s="1"/>
      <c r="VZX6" s="1"/>
      <c r="VZY6" s="1"/>
      <c r="WAA6" s="1"/>
      <c r="WAC6" s="6"/>
      <c r="WAD6" s="7"/>
      <c r="WAE6" s="8"/>
      <c r="WAF6" s="9"/>
      <c r="WAG6" s="8"/>
      <c r="WAH6" s="7"/>
      <c r="WAI6" s="9"/>
      <c r="WAJ6" s="8"/>
      <c r="WAK6" s="8"/>
      <c r="WAL6" s="7"/>
      <c r="WAM6" s="9"/>
      <c r="WAN6" s="1"/>
      <c r="WAO6" s="1"/>
      <c r="WAP6" s="1"/>
      <c r="WAQ6" s="1"/>
      <c r="WAR6" s="1"/>
      <c r="WAS6" s="1"/>
      <c r="WAT6" s="1"/>
      <c r="WAU6" s="1"/>
      <c r="WAW6" s="1"/>
      <c r="WAY6" s="6"/>
      <c r="WAZ6" s="7"/>
      <c r="WBA6" s="8"/>
      <c r="WBB6" s="9"/>
      <c r="WBC6" s="8"/>
      <c r="WBD6" s="7"/>
      <c r="WBE6" s="9"/>
      <c r="WBF6" s="8"/>
      <c r="WBG6" s="8"/>
      <c r="WBH6" s="7"/>
      <c r="WBI6" s="9"/>
      <c r="WBJ6" s="1"/>
      <c r="WBK6" s="1"/>
      <c r="WBL6" s="1"/>
      <c r="WBM6" s="1"/>
      <c r="WBN6" s="1"/>
      <c r="WBO6" s="1"/>
      <c r="WBP6" s="1"/>
      <c r="WBQ6" s="1"/>
      <c r="WBS6" s="1"/>
      <c r="WBU6" s="6"/>
      <c r="WBV6" s="7"/>
      <c r="WBW6" s="8"/>
      <c r="WBX6" s="9"/>
      <c r="WBY6" s="8"/>
      <c r="WBZ6" s="7"/>
      <c r="WCA6" s="9"/>
      <c r="WCB6" s="8"/>
      <c r="WCC6" s="8"/>
      <c r="WCD6" s="7"/>
      <c r="WCE6" s="9"/>
      <c r="WCF6" s="1"/>
      <c r="WCG6" s="1"/>
      <c r="WCH6" s="1"/>
      <c r="WCI6" s="1"/>
      <c r="WCJ6" s="1"/>
      <c r="WCK6" s="1"/>
      <c r="WCL6" s="1"/>
      <c r="WCM6" s="1"/>
      <c r="WCO6" s="1"/>
      <c r="WCQ6" s="6"/>
      <c r="WCR6" s="7"/>
      <c r="WCS6" s="8"/>
      <c r="WCT6" s="9"/>
      <c r="WCU6" s="8"/>
      <c r="WCV6" s="7"/>
      <c r="WCW6" s="9"/>
      <c r="WCX6" s="8"/>
      <c r="WCY6" s="8"/>
      <c r="WCZ6" s="7"/>
      <c r="WDA6" s="9"/>
      <c r="WDB6" s="1"/>
      <c r="WDC6" s="1"/>
      <c r="WDD6" s="1"/>
      <c r="WDE6" s="1"/>
      <c r="WDF6" s="1"/>
      <c r="WDG6" s="1"/>
      <c r="WDH6" s="1"/>
      <c r="WDI6" s="1"/>
      <c r="WDK6" s="1"/>
      <c r="WDM6" s="6"/>
      <c r="WDN6" s="7"/>
      <c r="WDO6" s="8"/>
      <c r="WDP6" s="9"/>
      <c r="WDQ6" s="8"/>
      <c r="WDR6" s="7"/>
      <c r="WDS6" s="9"/>
      <c r="WDT6" s="8"/>
      <c r="WDU6" s="8"/>
      <c r="WDV6" s="7"/>
      <c r="WDW6" s="9"/>
      <c r="WDX6" s="1"/>
      <c r="WDY6" s="1"/>
      <c r="WDZ6" s="1"/>
      <c r="WEA6" s="1"/>
      <c r="WEB6" s="1"/>
      <c r="WEC6" s="1"/>
      <c r="WED6" s="1"/>
      <c r="WEE6" s="1"/>
      <c r="WEG6" s="1"/>
      <c r="WEI6" s="6"/>
      <c r="WEJ6" s="7"/>
      <c r="WEK6" s="8"/>
      <c r="WEL6" s="9"/>
      <c r="WEM6" s="8"/>
      <c r="WEN6" s="7"/>
      <c r="WEO6" s="9"/>
      <c r="WEP6" s="8"/>
      <c r="WEQ6" s="8"/>
      <c r="WER6" s="7"/>
      <c r="WES6" s="9"/>
      <c r="WET6" s="1"/>
      <c r="WEU6" s="1"/>
      <c r="WEV6" s="1"/>
      <c r="WEW6" s="1"/>
      <c r="WEX6" s="1"/>
      <c r="WEY6" s="1"/>
      <c r="WEZ6" s="1"/>
      <c r="WFA6" s="1"/>
      <c r="WFC6" s="1"/>
      <c r="WFE6" s="6"/>
      <c r="WFF6" s="7"/>
      <c r="WFG6" s="8"/>
      <c r="WFH6" s="9"/>
      <c r="WFI6" s="8"/>
      <c r="WFJ6" s="7"/>
      <c r="WFK6" s="9"/>
      <c r="WFL6" s="8"/>
      <c r="WFM6" s="8"/>
      <c r="WFN6" s="7"/>
      <c r="WFO6" s="9"/>
      <c r="WFP6" s="1"/>
      <c r="WFQ6" s="1"/>
      <c r="WFR6" s="1"/>
      <c r="WFS6" s="1"/>
      <c r="WFT6" s="1"/>
      <c r="WFU6" s="1"/>
      <c r="WFV6" s="1"/>
      <c r="WFW6" s="1"/>
      <c r="WFY6" s="1"/>
      <c r="WGA6" s="6"/>
      <c r="WGB6" s="7"/>
      <c r="WGC6" s="8"/>
      <c r="WGD6" s="9"/>
      <c r="WGE6" s="8"/>
      <c r="WGF6" s="7"/>
      <c r="WGG6" s="9"/>
      <c r="WGH6" s="8"/>
      <c r="WGI6" s="8"/>
      <c r="WGJ6" s="7"/>
      <c r="WGK6" s="9"/>
      <c r="WGL6" s="1"/>
      <c r="WGM6" s="1"/>
      <c r="WGN6" s="1"/>
      <c r="WGO6" s="1"/>
      <c r="WGP6" s="1"/>
      <c r="WGQ6" s="1"/>
      <c r="WGR6" s="1"/>
      <c r="WGS6" s="1"/>
      <c r="WGU6" s="1"/>
      <c r="WGW6" s="6"/>
      <c r="WGX6" s="7"/>
      <c r="WGY6" s="8"/>
      <c r="WGZ6" s="9"/>
      <c r="WHA6" s="8"/>
      <c r="WHB6" s="7"/>
      <c r="WHC6" s="9"/>
      <c r="WHD6" s="8"/>
      <c r="WHE6" s="8"/>
      <c r="WHF6" s="7"/>
      <c r="WHG6" s="9"/>
      <c r="WHH6" s="1"/>
      <c r="WHI6" s="1"/>
      <c r="WHJ6" s="1"/>
      <c r="WHK6" s="1"/>
      <c r="WHL6" s="1"/>
      <c r="WHM6" s="1"/>
      <c r="WHN6" s="1"/>
      <c r="WHO6" s="1"/>
      <c r="WHQ6" s="1"/>
      <c r="WHS6" s="6"/>
      <c r="WHT6" s="7"/>
      <c r="WHU6" s="8"/>
      <c r="WHV6" s="9"/>
      <c r="WHW6" s="8"/>
      <c r="WHX6" s="7"/>
      <c r="WHY6" s="9"/>
      <c r="WHZ6" s="8"/>
      <c r="WIA6" s="8"/>
      <c r="WIB6" s="7"/>
      <c r="WIC6" s="9"/>
      <c r="WID6" s="1"/>
      <c r="WIE6" s="1"/>
      <c r="WIF6" s="1"/>
      <c r="WIG6" s="1"/>
      <c r="WIH6" s="1"/>
      <c r="WII6" s="1"/>
      <c r="WIJ6" s="1"/>
      <c r="WIK6" s="1"/>
      <c r="WIM6" s="1"/>
      <c r="WIO6" s="6"/>
      <c r="WIP6" s="7"/>
      <c r="WIQ6" s="8"/>
      <c r="WIR6" s="9"/>
      <c r="WIS6" s="8"/>
      <c r="WIT6" s="7"/>
      <c r="WIU6" s="9"/>
      <c r="WIV6" s="8"/>
      <c r="WIW6" s="8"/>
      <c r="WIX6" s="7"/>
      <c r="WIY6" s="9"/>
      <c r="WIZ6" s="1"/>
      <c r="WJA6" s="1"/>
      <c r="WJB6" s="1"/>
      <c r="WJC6" s="1"/>
      <c r="WJD6" s="1"/>
      <c r="WJE6" s="1"/>
      <c r="WJF6" s="1"/>
      <c r="WJG6" s="1"/>
      <c r="WJI6" s="1"/>
      <c r="WJK6" s="6"/>
      <c r="WJL6" s="7"/>
      <c r="WJM6" s="8"/>
      <c r="WJN6" s="9"/>
      <c r="WJO6" s="8"/>
      <c r="WJP6" s="7"/>
      <c r="WJQ6" s="9"/>
      <c r="WJR6" s="8"/>
      <c r="WJS6" s="8"/>
      <c r="WJT6" s="7"/>
      <c r="WJU6" s="9"/>
      <c r="WJV6" s="1"/>
      <c r="WJW6" s="1"/>
      <c r="WJX6" s="1"/>
      <c r="WJY6" s="1"/>
      <c r="WJZ6" s="1"/>
      <c r="WKA6" s="1"/>
      <c r="WKB6" s="1"/>
      <c r="WKC6" s="1"/>
      <c r="WKE6" s="1"/>
      <c r="WKG6" s="6"/>
      <c r="WKH6" s="7"/>
      <c r="WKI6" s="8"/>
      <c r="WKJ6" s="9"/>
      <c r="WKK6" s="8"/>
      <c r="WKL6" s="7"/>
      <c r="WKM6" s="9"/>
      <c r="WKN6" s="8"/>
      <c r="WKO6" s="8"/>
      <c r="WKP6" s="7"/>
      <c r="WKQ6" s="9"/>
      <c r="WKR6" s="1"/>
      <c r="WKS6" s="1"/>
      <c r="WKT6" s="1"/>
      <c r="WKU6" s="1"/>
      <c r="WKV6" s="1"/>
      <c r="WKW6" s="1"/>
      <c r="WKX6" s="1"/>
      <c r="WKY6" s="1"/>
      <c r="WLA6" s="1"/>
      <c r="WLC6" s="6"/>
      <c r="WLD6" s="7"/>
      <c r="WLE6" s="8"/>
      <c r="WLF6" s="9"/>
      <c r="WLG6" s="8"/>
      <c r="WLH6" s="7"/>
      <c r="WLI6" s="9"/>
      <c r="WLJ6" s="8"/>
      <c r="WLK6" s="8"/>
      <c r="WLL6" s="7"/>
      <c r="WLM6" s="9"/>
      <c r="WLN6" s="1"/>
      <c r="WLO6" s="1"/>
      <c r="WLP6" s="1"/>
      <c r="WLQ6" s="1"/>
      <c r="WLR6" s="1"/>
      <c r="WLS6" s="1"/>
      <c r="WLT6" s="1"/>
      <c r="WLU6" s="1"/>
      <c r="WLW6" s="1"/>
      <c r="WLY6" s="6"/>
      <c r="WLZ6" s="7"/>
      <c r="WMA6" s="8"/>
      <c r="WMB6" s="9"/>
      <c r="WMC6" s="8"/>
      <c r="WMD6" s="7"/>
      <c r="WME6" s="9"/>
      <c r="WMF6" s="8"/>
      <c r="WMG6" s="8"/>
      <c r="WMH6" s="7"/>
      <c r="WMI6" s="9"/>
      <c r="WMJ6" s="1"/>
      <c r="WMK6" s="1"/>
      <c r="WML6" s="1"/>
      <c r="WMM6" s="1"/>
      <c r="WMN6" s="1"/>
      <c r="WMO6" s="1"/>
      <c r="WMP6" s="1"/>
      <c r="WMQ6" s="1"/>
      <c r="WMS6" s="1"/>
      <c r="WMU6" s="6"/>
      <c r="WMV6" s="7"/>
      <c r="WMW6" s="8"/>
      <c r="WMX6" s="9"/>
      <c r="WMY6" s="8"/>
      <c r="WMZ6" s="7"/>
      <c r="WNA6" s="9"/>
      <c r="WNB6" s="8"/>
      <c r="WNC6" s="8"/>
      <c r="WND6" s="7"/>
      <c r="WNE6" s="9"/>
      <c r="WNF6" s="1"/>
      <c r="WNG6" s="1"/>
      <c r="WNH6" s="1"/>
      <c r="WNI6" s="1"/>
      <c r="WNJ6" s="1"/>
      <c r="WNK6" s="1"/>
      <c r="WNL6" s="1"/>
      <c r="WNM6" s="1"/>
      <c r="WNO6" s="1"/>
      <c r="WNQ6" s="6"/>
      <c r="WNR6" s="7"/>
      <c r="WNS6" s="8"/>
      <c r="WNT6" s="9"/>
      <c r="WNU6" s="8"/>
      <c r="WNV6" s="7"/>
      <c r="WNW6" s="9"/>
      <c r="WNX6" s="8"/>
      <c r="WNY6" s="8"/>
      <c r="WNZ6" s="7"/>
      <c r="WOA6" s="9"/>
      <c r="WOB6" s="1"/>
      <c r="WOC6" s="1"/>
      <c r="WOD6" s="1"/>
      <c r="WOE6" s="1"/>
      <c r="WOF6" s="1"/>
      <c r="WOG6" s="1"/>
      <c r="WOH6" s="1"/>
      <c r="WOI6" s="1"/>
      <c r="WOK6" s="1"/>
      <c r="WOM6" s="6"/>
      <c r="WON6" s="7"/>
      <c r="WOO6" s="8"/>
      <c r="WOP6" s="9"/>
      <c r="WOQ6" s="8"/>
      <c r="WOR6" s="7"/>
      <c r="WOS6" s="9"/>
      <c r="WOT6" s="8"/>
      <c r="WOU6" s="8"/>
      <c r="WOV6" s="7"/>
      <c r="WOW6" s="9"/>
      <c r="WOX6" s="1"/>
      <c r="WOY6" s="1"/>
      <c r="WOZ6" s="1"/>
      <c r="WPA6" s="1"/>
      <c r="WPB6" s="1"/>
      <c r="WPC6" s="1"/>
      <c r="WPD6" s="1"/>
      <c r="WPE6" s="1"/>
      <c r="WPG6" s="1"/>
      <c r="WPI6" s="6"/>
      <c r="WPJ6" s="7"/>
      <c r="WPK6" s="8"/>
      <c r="WPL6" s="9"/>
      <c r="WPM6" s="8"/>
      <c r="WPN6" s="7"/>
      <c r="WPO6" s="9"/>
      <c r="WPP6" s="8"/>
      <c r="WPQ6" s="8"/>
      <c r="WPR6" s="7"/>
      <c r="WPS6" s="9"/>
      <c r="WPT6" s="1"/>
      <c r="WPU6" s="1"/>
      <c r="WPV6" s="1"/>
      <c r="WPW6" s="1"/>
      <c r="WPX6" s="1"/>
      <c r="WPY6" s="1"/>
      <c r="WPZ6" s="1"/>
      <c r="WQA6" s="1"/>
      <c r="WQC6" s="1"/>
      <c r="WQE6" s="6"/>
      <c r="WQF6" s="7"/>
      <c r="WQG6" s="8"/>
      <c r="WQH6" s="9"/>
      <c r="WQI6" s="8"/>
      <c r="WQJ6" s="7"/>
      <c r="WQK6" s="9"/>
      <c r="WQL6" s="8"/>
      <c r="WQM6" s="8"/>
      <c r="WQN6" s="7"/>
      <c r="WQO6" s="9"/>
      <c r="WQP6" s="1"/>
      <c r="WQQ6" s="1"/>
      <c r="WQR6" s="1"/>
      <c r="WQS6" s="1"/>
      <c r="WQT6" s="1"/>
      <c r="WQU6" s="1"/>
      <c r="WQV6" s="1"/>
      <c r="WQW6" s="1"/>
      <c r="WQY6" s="1"/>
      <c r="WRA6" s="6"/>
      <c r="WRB6" s="7"/>
      <c r="WRC6" s="8"/>
      <c r="WRD6" s="9"/>
      <c r="WRE6" s="8"/>
      <c r="WRF6" s="7"/>
      <c r="WRG6" s="9"/>
      <c r="WRH6" s="8"/>
      <c r="WRI6" s="8"/>
      <c r="WRJ6" s="7"/>
      <c r="WRK6" s="9"/>
      <c r="WRL6" s="1"/>
      <c r="WRM6" s="1"/>
      <c r="WRN6" s="1"/>
      <c r="WRO6" s="1"/>
      <c r="WRP6" s="1"/>
      <c r="WRQ6" s="1"/>
      <c r="WRR6" s="1"/>
      <c r="WRS6" s="1"/>
      <c r="WRU6" s="1"/>
      <c r="WRW6" s="6"/>
      <c r="WRX6" s="7"/>
      <c r="WRY6" s="8"/>
      <c r="WRZ6" s="9"/>
      <c r="WSA6" s="8"/>
      <c r="WSB6" s="7"/>
      <c r="WSC6" s="9"/>
      <c r="WSD6" s="8"/>
      <c r="WSE6" s="8"/>
      <c r="WSF6" s="7"/>
      <c r="WSG6" s="9"/>
      <c r="WSH6" s="1"/>
      <c r="WSI6" s="1"/>
      <c r="WSJ6" s="1"/>
      <c r="WSK6" s="1"/>
      <c r="WSL6" s="1"/>
      <c r="WSM6" s="1"/>
      <c r="WSN6" s="1"/>
      <c r="WSO6" s="1"/>
      <c r="WSQ6" s="1"/>
      <c r="WSS6" s="6"/>
      <c r="WST6" s="7"/>
      <c r="WSU6" s="8"/>
      <c r="WSV6" s="9"/>
      <c r="WSW6" s="8"/>
      <c r="WSX6" s="7"/>
      <c r="WSY6" s="9"/>
      <c r="WSZ6" s="8"/>
      <c r="WTA6" s="8"/>
      <c r="WTB6" s="7"/>
      <c r="WTC6" s="9"/>
      <c r="WTD6" s="1"/>
      <c r="WTE6" s="1"/>
      <c r="WTF6" s="1"/>
      <c r="WTG6" s="1"/>
      <c r="WTH6" s="1"/>
      <c r="WTI6" s="1"/>
      <c r="WTJ6" s="1"/>
      <c r="WTK6" s="1"/>
      <c r="WTM6" s="1"/>
      <c r="WTO6" s="6"/>
      <c r="WTP6" s="7"/>
      <c r="WTQ6" s="8"/>
      <c r="WTR6" s="9"/>
      <c r="WTS6" s="8"/>
      <c r="WTT6" s="7"/>
      <c r="WTU6" s="9"/>
      <c r="WTV6" s="8"/>
      <c r="WTW6" s="8"/>
      <c r="WTX6" s="7"/>
      <c r="WTY6" s="9"/>
      <c r="WTZ6" s="1"/>
      <c r="WUA6" s="1"/>
      <c r="WUB6" s="1"/>
      <c r="WUC6" s="1"/>
      <c r="WUD6" s="1"/>
      <c r="WUE6" s="1"/>
      <c r="WUF6" s="1"/>
      <c r="WUG6" s="1"/>
      <c r="WUI6" s="1"/>
      <c r="WUK6" s="6"/>
      <c r="WUL6" s="7"/>
      <c r="WUM6" s="8"/>
      <c r="WUN6" s="9"/>
      <c r="WUO6" s="8"/>
      <c r="WUP6" s="7"/>
      <c r="WUQ6" s="9"/>
      <c r="WUR6" s="8"/>
      <c r="WUS6" s="8"/>
      <c r="WUT6" s="7"/>
      <c r="WUU6" s="9"/>
      <c r="WUV6" s="1"/>
      <c r="WUW6" s="1"/>
      <c r="WUX6" s="1"/>
      <c r="WUY6" s="1"/>
      <c r="WUZ6" s="1"/>
      <c r="WVA6" s="1"/>
      <c r="WVB6" s="1"/>
      <c r="WVC6" s="1"/>
      <c r="WVE6" s="1"/>
      <c r="WVG6" s="6"/>
      <c r="WVH6" s="7"/>
      <c r="WVI6" s="8"/>
      <c r="WVJ6" s="9"/>
      <c r="WVK6" s="8"/>
      <c r="WVL6" s="7"/>
      <c r="WVM6" s="9"/>
      <c r="WVN6" s="8"/>
      <c r="WVO6" s="8"/>
      <c r="WVP6" s="7"/>
      <c r="WVQ6" s="9"/>
      <c r="WVR6" s="1"/>
      <c r="WVS6" s="1"/>
      <c r="WVT6" s="1"/>
      <c r="WVU6" s="1"/>
      <c r="WVV6" s="1"/>
      <c r="WVW6" s="1"/>
      <c r="WVX6" s="1"/>
      <c r="WVY6" s="1"/>
      <c r="WWA6" s="1"/>
      <c r="WWC6" s="6"/>
      <c r="WWD6" s="7"/>
      <c r="WWE6" s="8"/>
      <c r="WWF6" s="9"/>
      <c r="WWG6" s="8"/>
      <c r="WWH6" s="7"/>
      <c r="WWI6" s="9"/>
      <c r="WWJ6" s="8"/>
      <c r="WWK6" s="8"/>
      <c r="WWL6" s="7"/>
      <c r="WWM6" s="9"/>
      <c r="WWN6" s="1"/>
      <c r="WWO6" s="1"/>
      <c r="WWP6" s="1"/>
      <c r="WWQ6" s="1"/>
      <c r="WWR6" s="1"/>
      <c r="WWS6" s="1"/>
      <c r="WWT6" s="1"/>
      <c r="WWU6" s="1"/>
      <c r="WWW6" s="1"/>
      <c r="WWY6" s="6"/>
      <c r="WWZ6" s="7"/>
      <c r="WXA6" s="8"/>
      <c r="WXB6" s="9"/>
      <c r="WXC6" s="8"/>
      <c r="WXD6" s="7"/>
      <c r="WXE6" s="9"/>
      <c r="WXF6" s="8"/>
      <c r="WXG6" s="8"/>
      <c r="WXH6" s="7"/>
      <c r="WXI6" s="9"/>
      <c r="WXJ6" s="1"/>
      <c r="WXK6" s="1"/>
      <c r="WXL6" s="1"/>
      <c r="WXM6" s="1"/>
      <c r="WXN6" s="1"/>
      <c r="WXO6" s="1"/>
      <c r="WXP6" s="1"/>
      <c r="WXQ6" s="1"/>
      <c r="WXS6" s="1"/>
      <c r="WXU6" s="6"/>
      <c r="WXV6" s="7"/>
      <c r="WXW6" s="8"/>
      <c r="WXX6" s="9"/>
      <c r="WXY6" s="8"/>
      <c r="WXZ6" s="7"/>
      <c r="WYA6" s="9"/>
      <c r="WYB6" s="8"/>
      <c r="WYC6" s="8"/>
      <c r="WYD6" s="7"/>
      <c r="WYE6" s="9"/>
      <c r="WYF6" s="1"/>
      <c r="WYG6" s="1"/>
      <c r="WYH6" s="1"/>
      <c r="WYI6" s="1"/>
      <c r="WYJ6" s="1"/>
      <c r="WYK6" s="1"/>
      <c r="WYL6" s="1"/>
      <c r="WYM6" s="1"/>
      <c r="WYO6" s="1"/>
      <c r="WYQ6" s="6"/>
      <c r="WYR6" s="7"/>
      <c r="WYS6" s="8"/>
      <c r="WYT6" s="9"/>
      <c r="WYU6" s="8"/>
      <c r="WYV6" s="7"/>
      <c r="WYW6" s="9"/>
      <c r="WYX6" s="8"/>
      <c r="WYY6" s="8"/>
      <c r="WYZ6" s="7"/>
      <c r="WZA6" s="9"/>
      <c r="WZB6" s="1"/>
      <c r="WZC6" s="1"/>
      <c r="WZD6" s="1"/>
      <c r="WZE6" s="1"/>
      <c r="WZF6" s="1"/>
      <c r="WZG6" s="1"/>
      <c r="WZH6" s="1"/>
      <c r="WZI6" s="1"/>
      <c r="WZK6" s="1"/>
      <c r="WZM6" s="6"/>
      <c r="WZN6" s="7"/>
      <c r="WZO6" s="8"/>
      <c r="WZP6" s="9"/>
      <c r="WZQ6" s="8"/>
      <c r="WZR6" s="7"/>
      <c r="WZS6" s="9"/>
      <c r="WZT6" s="8"/>
      <c r="WZU6" s="8"/>
      <c r="WZV6" s="7"/>
      <c r="WZW6" s="9"/>
      <c r="WZX6" s="1"/>
      <c r="WZY6" s="1"/>
      <c r="WZZ6" s="1"/>
      <c r="XAA6" s="1"/>
      <c r="XAB6" s="1"/>
      <c r="XAC6" s="1"/>
      <c r="XAD6" s="1"/>
      <c r="XAE6" s="1"/>
      <c r="XAG6" s="1"/>
      <c r="XAI6" s="6"/>
      <c r="XAJ6" s="7"/>
      <c r="XAK6" s="8"/>
      <c r="XAL6" s="9"/>
      <c r="XAM6" s="8"/>
      <c r="XAN6" s="7"/>
      <c r="XAO6" s="9"/>
      <c r="XAP6" s="8"/>
      <c r="XAQ6" s="8"/>
      <c r="XAR6" s="7"/>
      <c r="XAS6" s="9"/>
      <c r="XAT6" s="1"/>
      <c r="XAU6" s="1"/>
      <c r="XAV6" s="1"/>
      <c r="XAW6" s="1"/>
      <c r="XAX6" s="1"/>
      <c r="XAY6" s="1"/>
      <c r="XAZ6" s="1"/>
      <c r="XBA6" s="1"/>
      <c r="XBC6" s="1"/>
      <c r="XBE6" s="6"/>
      <c r="XBF6" s="7"/>
      <c r="XBG6" s="8"/>
      <c r="XBH6" s="9"/>
      <c r="XBI6" s="8"/>
      <c r="XBJ6" s="7"/>
      <c r="XBK6" s="9"/>
      <c r="XBL6" s="8"/>
      <c r="XBM6" s="8"/>
      <c r="XBN6" s="7"/>
      <c r="XBO6" s="9"/>
      <c r="XBP6" s="1"/>
      <c r="XBQ6" s="1"/>
      <c r="XBR6" s="1"/>
      <c r="XBS6" s="1"/>
      <c r="XBT6" s="1"/>
      <c r="XBU6" s="1"/>
      <c r="XBV6" s="1"/>
      <c r="XBW6" s="1"/>
      <c r="XBY6" s="1"/>
      <c r="XCA6" s="6"/>
      <c r="XCB6" s="7"/>
      <c r="XCC6" s="8"/>
      <c r="XCD6" s="9"/>
      <c r="XCE6" s="8"/>
      <c r="XCF6" s="7"/>
      <c r="XCG6" s="9"/>
      <c r="XCH6" s="8"/>
      <c r="XCI6" s="8"/>
      <c r="XCJ6" s="7"/>
      <c r="XCK6" s="9"/>
      <c r="XCL6" s="1"/>
      <c r="XCM6" s="1"/>
      <c r="XCN6" s="1"/>
      <c r="XCO6" s="1"/>
      <c r="XCP6" s="1"/>
      <c r="XCQ6" s="1"/>
      <c r="XCR6" s="1"/>
      <c r="XCS6" s="1"/>
      <c r="XCU6" s="1"/>
      <c r="XCW6" s="6"/>
      <c r="XCX6" s="7"/>
      <c r="XCY6" s="8"/>
      <c r="XCZ6" s="9"/>
      <c r="XDA6" s="8"/>
      <c r="XDB6" s="7"/>
      <c r="XDC6" s="9"/>
      <c r="XDD6" s="8"/>
      <c r="XDE6" s="8"/>
      <c r="XDF6" s="7"/>
      <c r="XDG6" s="9"/>
      <c r="XDH6" s="1"/>
      <c r="XDI6" s="1"/>
      <c r="XDJ6" s="1"/>
      <c r="XDK6" s="1"/>
      <c r="XDL6" s="1"/>
      <c r="XDM6" s="1"/>
      <c r="XDN6" s="1"/>
      <c r="XDO6" s="1"/>
      <c r="XDQ6" s="1"/>
      <c r="XDS6" s="6"/>
      <c r="XDT6" s="7"/>
      <c r="XDU6" s="8"/>
      <c r="XDV6" s="9"/>
      <c r="XDW6" s="8"/>
      <c r="XDX6" s="7"/>
      <c r="XDY6" s="9"/>
      <c r="XDZ6" s="8"/>
      <c r="XEA6" s="8"/>
      <c r="XEB6" s="7"/>
      <c r="XEC6" s="9"/>
      <c r="XED6" s="1"/>
      <c r="XEE6" s="1"/>
      <c r="XEF6" s="1"/>
      <c r="XEG6" s="1"/>
      <c r="XEH6" s="1"/>
      <c r="XEI6" s="1"/>
      <c r="XEJ6" s="1"/>
      <c r="XEK6" s="1"/>
    </row>
    <row r="7" spans="2:16366">
      <c r="B7" s="22" t="s">
        <v>12</v>
      </c>
      <c r="C7" s="22" t="s">
        <v>0</v>
      </c>
      <c r="D7" s="22" t="s">
        <v>1</v>
      </c>
      <c r="E7" s="22" t="s">
        <v>2</v>
      </c>
      <c r="F7" s="22" t="s">
        <v>8</v>
      </c>
      <c r="G7" s="22" t="s">
        <v>7</v>
      </c>
      <c r="H7" s="22" t="s">
        <v>3</v>
      </c>
      <c r="I7" s="22" t="s">
        <v>4</v>
      </c>
      <c r="J7" s="22" t="s">
        <v>6</v>
      </c>
      <c r="K7" s="22" t="s">
        <v>5</v>
      </c>
      <c r="L7" s="22" t="s">
        <v>13</v>
      </c>
      <c r="M7" s="42" t="s">
        <v>1955</v>
      </c>
      <c r="N7" s="82" t="s">
        <v>1956</v>
      </c>
      <c r="O7" s="82" t="s">
        <v>1963</v>
      </c>
      <c r="P7" s="82" t="s">
        <v>1964</v>
      </c>
      <c r="Q7" s="21" t="s">
        <v>1551</v>
      </c>
      <c r="R7" s="21" t="s">
        <v>1706</v>
      </c>
      <c r="S7" s="21" t="s">
        <v>275</v>
      </c>
      <c r="T7" s="21" t="s">
        <v>1550</v>
      </c>
      <c r="U7" s="21" t="s">
        <v>276</v>
      </c>
      <c r="V7" s="21" t="s">
        <v>16</v>
      </c>
      <c r="W7" s="6"/>
      <c r="X7" s="7"/>
      <c r="Y7" s="8"/>
      <c r="Z7" s="9"/>
      <c r="AA7" s="8"/>
      <c r="AB7" s="7"/>
      <c r="AC7" s="9"/>
      <c r="AD7" s="8"/>
      <c r="AE7" s="8"/>
      <c r="AF7" s="7"/>
      <c r="AG7" s="9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6"/>
      <c r="AT7" s="7"/>
      <c r="AU7" s="8"/>
      <c r="AV7" s="9"/>
      <c r="AW7" s="8"/>
      <c r="AX7" s="7"/>
      <c r="AY7" s="9"/>
      <c r="AZ7" s="8"/>
      <c r="BA7" s="8"/>
      <c r="BB7" s="7"/>
      <c r="BC7" s="9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6"/>
      <c r="BP7" s="7"/>
      <c r="BQ7" s="8"/>
      <c r="BR7" s="9"/>
      <c r="BS7" s="8"/>
      <c r="BT7" s="7"/>
      <c r="BU7" s="9"/>
      <c r="BV7" s="8"/>
      <c r="BW7" s="8"/>
      <c r="BX7" s="7"/>
      <c r="BY7" s="9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6"/>
      <c r="CL7" s="7"/>
      <c r="CM7" s="8"/>
      <c r="CN7" s="9"/>
      <c r="CO7" s="8"/>
      <c r="CP7" s="7"/>
      <c r="CQ7" s="9"/>
      <c r="CR7" s="8"/>
      <c r="CS7" s="8"/>
      <c r="CT7" s="7"/>
      <c r="CU7" s="9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6"/>
      <c r="DH7" s="7"/>
      <c r="DI7" s="8"/>
      <c r="DJ7" s="9"/>
      <c r="DK7" s="8"/>
      <c r="DL7" s="7"/>
      <c r="DM7" s="9"/>
      <c r="DN7" s="8"/>
      <c r="DO7" s="8"/>
      <c r="DP7" s="7"/>
      <c r="DQ7" s="9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6"/>
      <c r="ED7" s="7"/>
      <c r="EE7" s="8"/>
      <c r="EF7" s="9"/>
      <c r="EG7" s="8"/>
      <c r="EH7" s="7"/>
      <c r="EI7" s="9"/>
      <c r="EJ7" s="8"/>
      <c r="EK7" s="8"/>
      <c r="EL7" s="7"/>
      <c r="EM7" s="9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6"/>
      <c r="EZ7" s="7"/>
      <c r="FA7" s="8"/>
      <c r="FB7" s="9"/>
      <c r="FC7" s="8"/>
      <c r="FD7" s="7"/>
      <c r="FE7" s="9"/>
      <c r="FF7" s="8"/>
      <c r="FG7" s="8"/>
      <c r="FH7" s="7"/>
      <c r="FI7" s="9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6"/>
      <c r="FV7" s="7"/>
      <c r="FW7" s="8"/>
      <c r="FX7" s="9"/>
      <c r="FY7" s="8"/>
      <c r="FZ7" s="7"/>
      <c r="GA7" s="9"/>
      <c r="GB7" s="8"/>
      <c r="GC7" s="8"/>
      <c r="GD7" s="7"/>
      <c r="GE7" s="9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6"/>
      <c r="GR7" s="7"/>
      <c r="GS7" s="8"/>
      <c r="GT7" s="9"/>
      <c r="GU7" s="8"/>
      <c r="GV7" s="7"/>
      <c r="GW7" s="9"/>
      <c r="GX7" s="8"/>
      <c r="GY7" s="8"/>
      <c r="GZ7" s="7"/>
      <c r="HA7" s="9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6"/>
      <c r="HN7" s="7"/>
      <c r="HO7" s="8"/>
      <c r="HP7" s="9"/>
      <c r="HQ7" s="8"/>
      <c r="HR7" s="7"/>
      <c r="HS7" s="9"/>
      <c r="HT7" s="8"/>
      <c r="HU7" s="8"/>
      <c r="HV7" s="7"/>
      <c r="HW7" s="9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6"/>
      <c r="IJ7" s="7"/>
      <c r="IK7" s="8"/>
      <c r="IL7" s="9"/>
      <c r="IM7" s="8"/>
      <c r="IN7" s="7"/>
      <c r="IO7" s="9"/>
      <c r="IP7" s="8"/>
      <c r="IQ7" s="8"/>
      <c r="IR7" s="7"/>
      <c r="IS7" s="9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6"/>
      <c r="JF7" s="7"/>
      <c r="JG7" s="8"/>
      <c r="JH7" s="9"/>
      <c r="JI7" s="8"/>
      <c r="JJ7" s="7"/>
      <c r="JK7" s="9"/>
      <c r="JL7" s="8"/>
      <c r="JM7" s="8"/>
      <c r="JN7" s="7"/>
      <c r="JO7" s="9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6"/>
      <c r="KB7" s="7"/>
      <c r="KC7" s="8"/>
      <c r="KD7" s="9"/>
      <c r="KE7" s="8"/>
      <c r="KF7" s="7"/>
      <c r="KG7" s="9"/>
      <c r="KH7" s="8"/>
      <c r="KI7" s="8"/>
      <c r="KJ7" s="7"/>
      <c r="KK7" s="9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6"/>
      <c r="KX7" s="7"/>
      <c r="KY7" s="8"/>
      <c r="KZ7" s="9"/>
      <c r="LA7" s="8"/>
      <c r="LB7" s="7"/>
      <c r="LC7" s="9"/>
      <c r="LD7" s="8"/>
      <c r="LE7" s="8"/>
      <c r="LF7" s="7"/>
      <c r="LG7" s="9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6"/>
      <c r="LT7" s="7"/>
      <c r="LU7" s="8"/>
      <c r="LV7" s="9"/>
      <c r="LW7" s="8"/>
      <c r="LX7" s="7"/>
      <c r="LY7" s="9"/>
      <c r="LZ7" s="8"/>
      <c r="MA7" s="8"/>
      <c r="MB7" s="7"/>
      <c r="MC7" s="9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6"/>
      <c r="MP7" s="7"/>
      <c r="MQ7" s="8"/>
      <c r="MR7" s="9"/>
      <c r="MS7" s="8"/>
      <c r="MT7" s="7"/>
      <c r="MU7" s="9"/>
      <c r="MV7" s="8"/>
      <c r="MW7" s="8"/>
      <c r="MX7" s="7"/>
      <c r="MY7" s="9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6"/>
      <c r="NL7" s="7"/>
      <c r="NM7" s="8"/>
      <c r="NN7" s="9"/>
      <c r="NO7" s="8"/>
      <c r="NP7" s="7"/>
      <c r="NQ7" s="9"/>
      <c r="NR7" s="8"/>
      <c r="NS7" s="8"/>
      <c r="NT7" s="7"/>
      <c r="NU7" s="9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6"/>
      <c r="OH7" s="7"/>
      <c r="OI7" s="8"/>
      <c r="OJ7" s="9"/>
      <c r="OK7" s="8"/>
      <c r="OL7" s="7"/>
      <c r="OM7" s="9"/>
      <c r="ON7" s="8"/>
      <c r="OO7" s="8"/>
      <c r="OP7" s="7"/>
      <c r="OQ7" s="9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6"/>
      <c r="PD7" s="7"/>
      <c r="PE7" s="8"/>
      <c r="PF7" s="9"/>
      <c r="PG7" s="8"/>
      <c r="PH7" s="7"/>
      <c r="PI7" s="9"/>
      <c r="PJ7" s="8"/>
      <c r="PK7" s="8"/>
      <c r="PL7" s="7"/>
      <c r="PM7" s="9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6"/>
      <c r="PZ7" s="7"/>
      <c r="QA7" s="8"/>
      <c r="QB7" s="9"/>
      <c r="QC7" s="8"/>
      <c r="QD7" s="7"/>
      <c r="QE7" s="9"/>
      <c r="QF7" s="8"/>
      <c r="QG7" s="8"/>
      <c r="QH7" s="7"/>
      <c r="QI7" s="9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6"/>
      <c r="QV7" s="7"/>
      <c r="QW7" s="8"/>
      <c r="QX7" s="9"/>
      <c r="QY7" s="8"/>
      <c r="QZ7" s="7"/>
      <c r="RA7" s="9"/>
      <c r="RB7" s="8"/>
      <c r="RC7" s="8"/>
      <c r="RD7" s="7"/>
      <c r="RE7" s="9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6"/>
      <c r="RR7" s="7"/>
      <c r="RS7" s="8"/>
      <c r="RT7" s="9"/>
      <c r="RU7" s="8"/>
      <c r="RV7" s="7"/>
      <c r="RW7" s="9"/>
      <c r="RX7" s="8"/>
      <c r="RY7" s="8"/>
      <c r="RZ7" s="7"/>
      <c r="SA7" s="9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6"/>
      <c r="SN7" s="7"/>
      <c r="SO7" s="8"/>
      <c r="SP7" s="9"/>
      <c r="SQ7" s="8"/>
      <c r="SR7" s="7"/>
      <c r="SS7" s="9"/>
      <c r="ST7" s="8"/>
      <c r="SU7" s="8"/>
      <c r="SV7" s="7"/>
      <c r="SW7" s="9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6"/>
      <c r="TJ7" s="7"/>
      <c r="TK7" s="8"/>
      <c r="TL7" s="9"/>
      <c r="TM7" s="8"/>
      <c r="TN7" s="7"/>
      <c r="TO7" s="9"/>
      <c r="TP7" s="8"/>
      <c r="TQ7" s="8"/>
      <c r="TR7" s="7"/>
      <c r="TS7" s="9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6"/>
      <c r="UF7" s="7"/>
      <c r="UG7" s="8"/>
      <c r="UH7" s="9"/>
      <c r="UI7" s="8"/>
      <c r="UJ7" s="7"/>
      <c r="UK7" s="9"/>
      <c r="UL7" s="8"/>
      <c r="UM7" s="8"/>
      <c r="UN7" s="7"/>
      <c r="UO7" s="9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6"/>
      <c r="VB7" s="7"/>
      <c r="VC7" s="8"/>
      <c r="VD7" s="9"/>
      <c r="VE7" s="8"/>
      <c r="VF7" s="7"/>
      <c r="VG7" s="9"/>
      <c r="VH7" s="8"/>
      <c r="VI7" s="8"/>
      <c r="VJ7" s="7"/>
      <c r="VK7" s="9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6"/>
      <c r="VX7" s="7"/>
      <c r="VY7" s="8"/>
      <c r="VZ7" s="9"/>
      <c r="WA7" s="8"/>
      <c r="WB7" s="7"/>
      <c r="WC7" s="9"/>
      <c r="WD7" s="8"/>
      <c r="WE7" s="8"/>
      <c r="WF7" s="7"/>
      <c r="WG7" s="9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6"/>
      <c r="WT7" s="7"/>
      <c r="WU7" s="8"/>
      <c r="WV7" s="9"/>
      <c r="WW7" s="8"/>
      <c r="WX7" s="7"/>
      <c r="WY7" s="9"/>
      <c r="WZ7" s="8"/>
      <c r="XA7" s="8"/>
      <c r="XB7" s="7"/>
      <c r="XC7" s="9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6"/>
      <c r="XP7" s="7"/>
      <c r="XQ7" s="8"/>
      <c r="XR7" s="9"/>
      <c r="XS7" s="8"/>
      <c r="XT7" s="7"/>
      <c r="XU7" s="9"/>
      <c r="XV7" s="8"/>
      <c r="XW7" s="8"/>
      <c r="XX7" s="7"/>
      <c r="XY7" s="9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6"/>
      <c r="YL7" s="7"/>
      <c r="YM7" s="8"/>
      <c r="YN7" s="9"/>
      <c r="YO7" s="8"/>
      <c r="YP7" s="7"/>
      <c r="YQ7" s="9"/>
      <c r="YR7" s="8"/>
      <c r="YS7" s="8"/>
      <c r="YT7" s="7"/>
      <c r="YU7" s="9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6"/>
      <c r="ZH7" s="7"/>
      <c r="ZI7" s="8"/>
      <c r="ZJ7" s="9"/>
      <c r="ZK7" s="8"/>
      <c r="ZL7" s="7"/>
      <c r="ZM7" s="9"/>
      <c r="ZN7" s="8"/>
      <c r="ZO7" s="8"/>
      <c r="ZP7" s="7"/>
      <c r="ZQ7" s="9"/>
      <c r="ZR7" s="2"/>
      <c r="ZS7" s="2"/>
      <c r="ZT7" s="2"/>
      <c r="ZU7" s="2"/>
      <c r="ZV7" s="2"/>
      <c r="ZW7" s="2"/>
      <c r="ZX7" s="2"/>
      <c r="ZY7" s="2"/>
      <c r="ZZ7" s="2"/>
      <c r="AAA7" s="2"/>
      <c r="AAB7" s="2"/>
      <c r="AAC7" s="6"/>
      <c r="AAD7" s="7"/>
      <c r="AAE7" s="8"/>
      <c r="AAF7" s="9"/>
      <c r="AAG7" s="8"/>
      <c r="AAH7" s="7"/>
      <c r="AAI7" s="9"/>
      <c r="AAJ7" s="8"/>
      <c r="AAK7" s="8"/>
      <c r="AAL7" s="7"/>
      <c r="AAM7" s="9"/>
      <c r="AAN7" s="2"/>
      <c r="AAO7" s="2"/>
      <c r="AAP7" s="2"/>
      <c r="AAQ7" s="2"/>
      <c r="AAR7" s="2"/>
      <c r="AAS7" s="2"/>
      <c r="AAT7" s="2"/>
      <c r="AAU7" s="2"/>
      <c r="AAV7" s="2"/>
      <c r="AAW7" s="2"/>
      <c r="AAX7" s="2"/>
      <c r="AAY7" s="6"/>
      <c r="AAZ7" s="7"/>
      <c r="ABA7" s="8"/>
      <c r="ABB7" s="9"/>
      <c r="ABC7" s="8"/>
      <c r="ABD7" s="7"/>
      <c r="ABE7" s="9"/>
      <c r="ABF7" s="8"/>
      <c r="ABG7" s="8"/>
      <c r="ABH7" s="7"/>
      <c r="ABI7" s="9"/>
      <c r="ABJ7" s="2"/>
      <c r="ABK7" s="2"/>
      <c r="ABL7" s="2"/>
      <c r="ABM7" s="2"/>
      <c r="ABN7" s="2"/>
      <c r="ABO7" s="2"/>
      <c r="ABP7" s="2"/>
      <c r="ABQ7" s="2"/>
      <c r="ABR7" s="2"/>
      <c r="ABS7" s="2"/>
      <c r="ABT7" s="2"/>
      <c r="ABU7" s="6"/>
      <c r="ABV7" s="7"/>
      <c r="ABW7" s="8"/>
      <c r="ABX7" s="9"/>
      <c r="ABY7" s="8"/>
      <c r="ABZ7" s="7"/>
      <c r="ACA7" s="9"/>
      <c r="ACB7" s="8"/>
      <c r="ACC7" s="8"/>
      <c r="ACD7" s="7"/>
      <c r="ACE7" s="9"/>
      <c r="ACF7" s="2"/>
      <c r="ACG7" s="2"/>
      <c r="ACH7" s="2"/>
      <c r="ACI7" s="2"/>
      <c r="ACJ7" s="2"/>
      <c r="ACK7" s="2"/>
      <c r="ACL7" s="2"/>
      <c r="ACM7" s="2"/>
      <c r="ACN7" s="2"/>
      <c r="ACO7" s="2"/>
      <c r="ACP7" s="2"/>
      <c r="ACQ7" s="6"/>
      <c r="ACR7" s="7"/>
      <c r="ACS7" s="8"/>
      <c r="ACT7" s="9"/>
      <c r="ACU7" s="8"/>
      <c r="ACV7" s="7"/>
      <c r="ACW7" s="9"/>
      <c r="ACX7" s="8"/>
      <c r="ACY7" s="8"/>
      <c r="ACZ7" s="7"/>
      <c r="ADA7" s="9"/>
      <c r="ADB7" s="2"/>
      <c r="ADC7" s="2"/>
      <c r="ADD7" s="2"/>
      <c r="ADE7" s="2"/>
      <c r="ADF7" s="2"/>
      <c r="ADG7" s="2"/>
      <c r="ADH7" s="2"/>
      <c r="ADI7" s="2"/>
      <c r="ADJ7" s="2"/>
      <c r="ADK7" s="2"/>
      <c r="ADL7" s="2"/>
      <c r="ADM7" s="6"/>
      <c r="ADN7" s="7"/>
      <c r="ADO7" s="8"/>
      <c r="ADP7" s="9"/>
      <c r="ADQ7" s="8"/>
      <c r="ADR7" s="7"/>
      <c r="ADS7" s="9"/>
      <c r="ADT7" s="8"/>
      <c r="ADU7" s="8"/>
      <c r="ADV7" s="7"/>
      <c r="ADW7" s="9"/>
      <c r="ADX7" s="2"/>
      <c r="ADY7" s="2"/>
      <c r="ADZ7" s="2"/>
      <c r="AEA7" s="2"/>
      <c r="AEB7" s="2"/>
      <c r="AEC7" s="2"/>
      <c r="AED7" s="2"/>
      <c r="AEE7" s="2"/>
      <c r="AEF7" s="2"/>
      <c r="AEG7" s="2"/>
      <c r="AEH7" s="2"/>
      <c r="AEI7" s="6"/>
      <c r="AEJ7" s="7"/>
      <c r="AEK7" s="8"/>
      <c r="AEL7" s="9"/>
      <c r="AEM7" s="8"/>
      <c r="AEN7" s="7"/>
      <c r="AEO7" s="9"/>
      <c r="AEP7" s="8"/>
      <c r="AEQ7" s="8"/>
      <c r="AER7" s="7"/>
      <c r="AES7" s="9"/>
      <c r="AET7" s="2"/>
      <c r="AEU7" s="2"/>
      <c r="AEV7" s="2"/>
      <c r="AEW7" s="2"/>
      <c r="AEX7" s="2"/>
      <c r="AEY7" s="2"/>
      <c r="AEZ7" s="2"/>
      <c r="AFA7" s="2"/>
      <c r="AFB7" s="2"/>
      <c r="AFC7" s="2"/>
      <c r="AFD7" s="2"/>
      <c r="AFE7" s="6"/>
      <c r="AFF7" s="7"/>
      <c r="AFG7" s="8"/>
      <c r="AFH7" s="9"/>
      <c r="AFI7" s="8"/>
      <c r="AFJ7" s="7"/>
      <c r="AFK7" s="9"/>
      <c r="AFL7" s="8"/>
      <c r="AFM7" s="8"/>
      <c r="AFN7" s="7"/>
      <c r="AFO7" s="9"/>
      <c r="AFP7" s="2"/>
      <c r="AFQ7" s="2"/>
      <c r="AFR7" s="2"/>
      <c r="AFS7" s="2"/>
      <c r="AFT7" s="2"/>
      <c r="AFU7" s="2"/>
      <c r="AFV7" s="2"/>
      <c r="AFW7" s="2"/>
      <c r="AFX7" s="2"/>
      <c r="AFY7" s="2"/>
      <c r="AFZ7" s="2"/>
      <c r="AGA7" s="6"/>
      <c r="AGB7" s="7"/>
      <c r="AGC7" s="8"/>
      <c r="AGD7" s="9"/>
      <c r="AGE7" s="8"/>
      <c r="AGF7" s="7"/>
      <c r="AGG7" s="9"/>
      <c r="AGH7" s="8"/>
      <c r="AGI7" s="8"/>
      <c r="AGJ7" s="7"/>
      <c r="AGK7" s="9"/>
      <c r="AGL7" s="2"/>
      <c r="AGM7" s="2"/>
      <c r="AGN7" s="2"/>
      <c r="AGO7" s="2"/>
      <c r="AGP7" s="2"/>
      <c r="AGQ7" s="2"/>
      <c r="AGR7" s="2"/>
      <c r="AGS7" s="2"/>
      <c r="AGT7" s="2"/>
      <c r="AGU7" s="2"/>
      <c r="AGV7" s="2"/>
      <c r="AGW7" s="6"/>
      <c r="AGX7" s="7"/>
      <c r="AGY7" s="8"/>
      <c r="AGZ7" s="9"/>
      <c r="AHA7" s="8"/>
      <c r="AHB7" s="7"/>
      <c r="AHC7" s="9"/>
      <c r="AHD7" s="8"/>
      <c r="AHE7" s="8"/>
      <c r="AHF7" s="7"/>
      <c r="AHG7" s="9"/>
      <c r="AHH7" s="2"/>
      <c r="AHI7" s="2"/>
      <c r="AHJ7" s="2"/>
      <c r="AHK7" s="2"/>
      <c r="AHL7" s="2"/>
      <c r="AHM7" s="2"/>
      <c r="AHN7" s="2"/>
      <c r="AHO7" s="2"/>
      <c r="AHP7" s="2"/>
      <c r="AHQ7" s="2"/>
      <c r="AHR7" s="2"/>
      <c r="AHS7" s="6"/>
      <c r="AHT7" s="7"/>
      <c r="AHU7" s="8"/>
      <c r="AHV7" s="9"/>
      <c r="AHW7" s="8"/>
      <c r="AHX7" s="7"/>
      <c r="AHY7" s="9"/>
      <c r="AHZ7" s="8"/>
      <c r="AIA7" s="8"/>
      <c r="AIB7" s="7"/>
      <c r="AIC7" s="9"/>
      <c r="AID7" s="2"/>
      <c r="AIE7" s="2"/>
      <c r="AIF7" s="2"/>
      <c r="AIG7" s="2"/>
      <c r="AIH7" s="2"/>
      <c r="AII7" s="2"/>
      <c r="AIJ7" s="2"/>
      <c r="AIK7" s="2"/>
      <c r="AIL7" s="2"/>
      <c r="AIM7" s="2"/>
      <c r="AIN7" s="2"/>
      <c r="AIO7" s="6"/>
      <c r="AIP7" s="7"/>
      <c r="AIQ7" s="8"/>
      <c r="AIR7" s="9"/>
      <c r="AIS7" s="8"/>
      <c r="AIT7" s="7"/>
      <c r="AIU7" s="9"/>
      <c r="AIV7" s="8"/>
      <c r="AIW7" s="8"/>
      <c r="AIX7" s="7"/>
      <c r="AIY7" s="9"/>
      <c r="AIZ7" s="2"/>
      <c r="AJA7" s="2"/>
      <c r="AJB7" s="2"/>
      <c r="AJC7" s="2"/>
      <c r="AJD7" s="2"/>
      <c r="AJE7" s="2"/>
      <c r="AJF7" s="2"/>
      <c r="AJG7" s="2"/>
      <c r="AJH7" s="2"/>
      <c r="AJI7" s="2"/>
      <c r="AJJ7" s="2"/>
      <c r="AJK7" s="6"/>
      <c r="AJL7" s="7"/>
      <c r="AJM7" s="8"/>
      <c r="AJN7" s="9"/>
      <c r="AJO7" s="8"/>
      <c r="AJP7" s="7"/>
      <c r="AJQ7" s="9"/>
      <c r="AJR7" s="8"/>
      <c r="AJS7" s="8"/>
      <c r="AJT7" s="7"/>
      <c r="AJU7" s="9"/>
      <c r="AJV7" s="2"/>
      <c r="AJW7" s="2"/>
      <c r="AJX7" s="2"/>
      <c r="AJY7" s="2"/>
      <c r="AJZ7" s="2"/>
      <c r="AKA7" s="2"/>
      <c r="AKB7" s="2"/>
      <c r="AKC7" s="2"/>
      <c r="AKD7" s="2"/>
      <c r="AKE7" s="2"/>
      <c r="AKF7" s="2"/>
      <c r="AKG7" s="6"/>
      <c r="AKH7" s="7"/>
      <c r="AKI7" s="8"/>
      <c r="AKJ7" s="9"/>
      <c r="AKK7" s="8"/>
      <c r="AKL7" s="7"/>
      <c r="AKM7" s="9"/>
      <c r="AKN7" s="8"/>
      <c r="AKO7" s="8"/>
      <c r="AKP7" s="7"/>
      <c r="AKQ7" s="9"/>
      <c r="AKR7" s="2"/>
      <c r="AKS7" s="2"/>
      <c r="AKT7" s="2"/>
      <c r="AKU7" s="2"/>
      <c r="AKV7" s="2"/>
      <c r="AKW7" s="2"/>
      <c r="AKX7" s="2"/>
      <c r="AKY7" s="2"/>
      <c r="AKZ7" s="2"/>
      <c r="ALA7" s="2"/>
      <c r="ALB7" s="2"/>
      <c r="ALC7" s="6"/>
      <c r="ALD7" s="7"/>
      <c r="ALE7" s="8"/>
      <c r="ALF7" s="9"/>
      <c r="ALG7" s="8"/>
      <c r="ALH7" s="7"/>
      <c r="ALI7" s="9"/>
      <c r="ALJ7" s="8"/>
      <c r="ALK7" s="8"/>
      <c r="ALL7" s="7"/>
      <c r="ALM7" s="9"/>
      <c r="ALN7" s="2"/>
      <c r="ALO7" s="2"/>
      <c r="ALP7" s="2"/>
      <c r="ALQ7" s="2"/>
      <c r="ALR7" s="2"/>
      <c r="ALS7" s="2"/>
      <c r="ALT7" s="2"/>
      <c r="ALU7" s="2"/>
      <c r="ALV7" s="2"/>
      <c r="ALW7" s="2"/>
      <c r="ALX7" s="2"/>
      <c r="ALY7" s="6"/>
      <c r="ALZ7" s="7"/>
      <c r="AMA7" s="8"/>
      <c r="AMB7" s="9"/>
      <c r="AMC7" s="8"/>
      <c r="AMD7" s="7"/>
      <c r="AME7" s="9"/>
      <c r="AMF7" s="8"/>
      <c r="AMG7" s="8"/>
      <c r="AMH7" s="7"/>
      <c r="AMI7" s="9"/>
      <c r="AMJ7" s="2"/>
      <c r="AMK7" s="2"/>
      <c r="AML7" s="2"/>
      <c r="AMM7" s="2"/>
      <c r="AMN7" s="2"/>
      <c r="AMO7" s="2"/>
      <c r="AMP7" s="2"/>
      <c r="AMQ7" s="2"/>
      <c r="AMR7" s="2"/>
      <c r="AMS7" s="2"/>
      <c r="AMT7" s="2"/>
      <c r="AMU7" s="6"/>
      <c r="AMV7" s="7"/>
      <c r="AMW7" s="8"/>
      <c r="AMX7" s="9"/>
      <c r="AMY7" s="8"/>
      <c r="AMZ7" s="7"/>
      <c r="ANA7" s="9"/>
      <c r="ANB7" s="8"/>
      <c r="ANC7" s="8"/>
      <c r="AND7" s="7"/>
      <c r="ANE7" s="9"/>
      <c r="ANF7" s="2"/>
      <c r="ANG7" s="2"/>
      <c r="ANH7" s="2"/>
      <c r="ANI7" s="2"/>
      <c r="ANJ7" s="2"/>
      <c r="ANK7" s="2"/>
      <c r="ANL7" s="2"/>
      <c r="ANM7" s="2"/>
      <c r="ANN7" s="2"/>
      <c r="ANO7" s="2"/>
      <c r="ANP7" s="2"/>
      <c r="ANQ7" s="6"/>
      <c r="ANR7" s="7"/>
      <c r="ANS7" s="8"/>
      <c r="ANT7" s="9"/>
      <c r="ANU7" s="8"/>
      <c r="ANV7" s="7"/>
      <c r="ANW7" s="9"/>
      <c r="ANX7" s="8"/>
      <c r="ANY7" s="8"/>
      <c r="ANZ7" s="7"/>
      <c r="AOA7" s="9"/>
      <c r="AOB7" s="2"/>
      <c r="AOC7" s="2"/>
      <c r="AOD7" s="2"/>
      <c r="AOE7" s="2"/>
      <c r="AOF7" s="2"/>
      <c r="AOG7" s="2"/>
      <c r="AOH7" s="2"/>
      <c r="AOI7" s="2"/>
      <c r="AOJ7" s="2"/>
      <c r="AOK7" s="2"/>
      <c r="AOL7" s="2"/>
      <c r="AOM7" s="6"/>
      <c r="AON7" s="7"/>
      <c r="AOO7" s="8"/>
      <c r="AOP7" s="9"/>
      <c r="AOQ7" s="8"/>
      <c r="AOR7" s="7"/>
      <c r="AOS7" s="9"/>
      <c r="AOT7" s="8"/>
      <c r="AOU7" s="8"/>
      <c r="AOV7" s="7"/>
      <c r="AOW7" s="9"/>
      <c r="AOX7" s="2"/>
      <c r="AOY7" s="2"/>
      <c r="AOZ7" s="2"/>
      <c r="APA7" s="2"/>
      <c r="APB7" s="2"/>
      <c r="APC7" s="2"/>
      <c r="APD7" s="2"/>
      <c r="APE7" s="2"/>
      <c r="APF7" s="2"/>
      <c r="APG7" s="2"/>
      <c r="APH7" s="2"/>
      <c r="API7" s="6"/>
      <c r="APJ7" s="7"/>
      <c r="APK7" s="8"/>
      <c r="APL7" s="9"/>
      <c r="APM7" s="8"/>
      <c r="APN7" s="7"/>
      <c r="APO7" s="9"/>
      <c r="APP7" s="8"/>
      <c r="APQ7" s="8"/>
      <c r="APR7" s="7"/>
      <c r="APS7" s="9"/>
      <c r="APT7" s="2"/>
      <c r="APU7" s="2"/>
      <c r="APV7" s="2"/>
      <c r="APW7" s="2"/>
      <c r="APX7" s="2"/>
      <c r="APY7" s="2"/>
      <c r="APZ7" s="2"/>
      <c r="AQA7" s="2"/>
      <c r="AQB7" s="2"/>
      <c r="AQC7" s="2"/>
      <c r="AQD7" s="2"/>
      <c r="AQE7" s="6"/>
      <c r="AQF7" s="7"/>
      <c r="AQG7" s="8"/>
      <c r="AQH7" s="9"/>
      <c r="AQI7" s="8"/>
      <c r="AQJ7" s="7"/>
      <c r="AQK7" s="9"/>
      <c r="AQL7" s="8"/>
      <c r="AQM7" s="8"/>
      <c r="AQN7" s="7"/>
      <c r="AQO7" s="9"/>
      <c r="AQP7" s="2"/>
      <c r="AQQ7" s="2"/>
      <c r="AQR7" s="2"/>
      <c r="AQS7" s="2"/>
      <c r="AQT7" s="2"/>
      <c r="AQU7" s="2"/>
      <c r="AQV7" s="2"/>
      <c r="AQW7" s="2"/>
      <c r="AQX7" s="2"/>
      <c r="AQY7" s="2"/>
      <c r="AQZ7" s="2"/>
      <c r="ARA7" s="6"/>
      <c r="ARB7" s="7"/>
      <c r="ARC7" s="8"/>
      <c r="ARD7" s="9"/>
      <c r="ARE7" s="8"/>
      <c r="ARF7" s="7"/>
      <c r="ARG7" s="9"/>
      <c r="ARH7" s="8"/>
      <c r="ARI7" s="8"/>
      <c r="ARJ7" s="7"/>
      <c r="ARK7" s="9"/>
      <c r="ARL7" s="2"/>
      <c r="ARM7" s="2"/>
      <c r="ARN7" s="2"/>
      <c r="ARO7" s="2"/>
      <c r="ARP7" s="2"/>
      <c r="ARQ7" s="2"/>
      <c r="ARR7" s="2"/>
      <c r="ARS7" s="2"/>
      <c r="ART7" s="2"/>
      <c r="ARU7" s="2"/>
      <c r="ARV7" s="2"/>
      <c r="ARW7" s="6"/>
      <c r="ARX7" s="7"/>
      <c r="ARY7" s="8"/>
      <c r="ARZ7" s="9"/>
      <c r="ASA7" s="8"/>
      <c r="ASB7" s="7"/>
      <c r="ASC7" s="9"/>
      <c r="ASD7" s="8"/>
      <c r="ASE7" s="8"/>
      <c r="ASF7" s="7"/>
      <c r="ASG7" s="9"/>
      <c r="ASH7" s="2"/>
      <c r="ASI7" s="2"/>
      <c r="ASJ7" s="2"/>
      <c r="ASK7" s="2"/>
      <c r="ASL7" s="2"/>
      <c r="ASM7" s="2"/>
      <c r="ASN7" s="2"/>
      <c r="ASO7" s="2"/>
      <c r="ASP7" s="2"/>
      <c r="ASQ7" s="2"/>
      <c r="ASR7" s="2"/>
      <c r="ASS7" s="6"/>
      <c r="AST7" s="7"/>
      <c r="ASU7" s="8"/>
      <c r="ASV7" s="9"/>
      <c r="ASW7" s="8"/>
      <c r="ASX7" s="7"/>
      <c r="ASY7" s="9"/>
      <c r="ASZ7" s="8"/>
      <c r="ATA7" s="8"/>
      <c r="ATB7" s="7"/>
      <c r="ATC7" s="9"/>
      <c r="ATD7" s="2"/>
      <c r="ATE7" s="2"/>
      <c r="ATF7" s="2"/>
      <c r="ATG7" s="2"/>
      <c r="ATH7" s="2"/>
      <c r="ATI7" s="2"/>
      <c r="ATJ7" s="2"/>
      <c r="ATK7" s="2"/>
      <c r="ATL7" s="2"/>
      <c r="ATM7" s="2"/>
      <c r="ATN7" s="2"/>
      <c r="ATO7" s="6"/>
      <c r="ATP7" s="7"/>
      <c r="ATQ7" s="8"/>
      <c r="ATR7" s="9"/>
      <c r="ATS7" s="8"/>
      <c r="ATT7" s="7"/>
      <c r="ATU7" s="9"/>
      <c r="ATV7" s="8"/>
      <c r="ATW7" s="8"/>
      <c r="ATX7" s="7"/>
      <c r="ATY7" s="9"/>
      <c r="ATZ7" s="2"/>
      <c r="AUA7" s="2"/>
      <c r="AUB7" s="2"/>
      <c r="AUC7" s="2"/>
      <c r="AUD7" s="2"/>
      <c r="AUE7" s="2"/>
      <c r="AUF7" s="2"/>
      <c r="AUG7" s="2"/>
      <c r="AUH7" s="2"/>
      <c r="AUI7" s="2"/>
      <c r="AUJ7" s="2"/>
      <c r="AUK7" s="6"/>
      <c r="AUL7" s="7"/>
      <c r="AUM7" s="8"/>
      <c r="AUN7" s="9"/>
      <c r="AUO7" s="8"/>
      <c r="AUP7" s="7"/>
      <c r="AUQ7" s="9"/>
      <c r="AUR7" s="8"/>
      <c r="AUS7" s="8"/>
      <c r="AUT7" s="7"/>
      <c r="AUU7" s="9"/>
      <c r="AUV7" s="2"/>
      <c r="AUW7" s="2"/>
      <c r="AUX7" s="2"/>
      <c r="AUY7" s="2"/>
      <c r="AUZ7" s="2"/>
      <c r="AVA7" s="2"/>
      <c r="AVB7" s="2"/>
      <c r="AVC7" s="2"/>
      <c r="AVD7" s="2"/>
      <c r="AVE7" s="2"/>
      <c r="AVF7" s="2"/>
      <c r="AVG7" s="6"/>
      <c r="AVH7" s="7"/>
      <c r="AVI7" s="8"/>
      <c r="AVJ7" s="9"/>
      <c r="AVK7" s="8"/>
      <c r="AVL7" s="7"/>
      <c r="AVM7" s="9"/>
      <c r="AVN7" s="8"/>
      <c r="AVO7" s="8"/>
      <c r="AVP7" s="7"/>
      <c r="AVQ7" s="9"/>
      <c r="AVR7" s="2"/>
      <c r="AVS7" s="2"/>
      <c r="AVT7" s="2"/>
      <c r="AVU7" s="2"/>
      <c r="AVV7" s="2"/>
      <c r="AVW7" s="2"/>
      <c r="AVX7" s="2"/>
      <c r="AVY7" s="2"/>
      <c r="AVZ7" s="2"/>
      <c r="AWA7" s="2"/>
      <c r="AWB7" s="2"/>
      <c r="AWC7" s="6"/>
      <c r="AWD7" s="7"/>
      <c r="AWE7" s="8"/>
      <c r="AWF7" s="9"/>
      <c r="AWG7" s="8"/>
      <c r="AWH7" s="7"/>
      <c r="AWI7" s="9"/>
      <c r="AWJ7" s="8"/>
      <c r="AWK7" s="8"/>
      <c r="AWL7" s="7"/>
      <c r="AWM7" s="9"/>
      <c r="AWN7" s="2"/>
      <c r="AWO7" s="2"/>
      <c r="AWP7" s="2"/>
      <c r="AWQ7" s="2"/>
      <c r="AWR7" s="2"/>
      <c r="AWS7" s="2"/>
      <c r="AWT7" s="2"/>
      <c r="AWU7" s="2"/>
      <c r="AWV7" s="2"/>
      <c r="AWW7" s="2"/>
      <c r="AWX7" s="2"/>
      <c r="AWY7" s="6"/>
      <c r="AWZ7" s="7"/>
      <c r="AXA7" s="8"/>
      <c r="AXB7" s="9"/>
      <c r="AXC7" s="8"/>
      <c r="AXD7" s="7"/>
      <c r="AXE7" s="9"/>
      <c r="AXF7" s="8"/>
      <c r="AXG7" s="8"/>
      <c r="AXH7" s="7"/>
      <c r="AXI7" s="9"/>
      <c r="AXJ7" s="2"/>
      <c r="AXK7" s="2"/>
      <c r="AXL7" s="2"/>
      <c r="AXM7" s="2"/>
      <c r="AXN7" s="2"/>
      <c r="AXO7" s="2"/>
      <c r="AXP7" s="2"/>
      <c r="AXQ7" s="2"/>
      <c r="AXR7" s="2"/>
      <c r="AXS7" s="2"/>
      <c r="AXT7" s="2"/>
      <c r="AXU7" s="6"/>
      <c r="AXV7" s="7"/>
      <c r="AXW7" s="8"/>
      <c r="AXX7" s="9"/>
      <c r="AXY7" s="8"/>
      <c r="AXZ7" s="7"/>
      <c r="AYA7" s="9"/>
      <c r="AYB7" s="8"/>
      <c r="AYC7" s="8"/>
      <c r="AYD7" s="7"/>
      <c r="AYE7" s="9"/>
      <c r="AYF7" s="2"/>
      <c r="AYG7" s="2"/>
      <c r="AYH7" s="2"/>
      <c r="AYI7" s="2"/>
      <c r="AYJ7" s="2"/>
      <c r="AYK7" s="2"/>
      <c r="AYL7" s="2"/>
      <c r="AYM7" s="2"/>
      <c r="AYN7" s="2"/>
      <c r="AYO7" s="2"/>
      <c r="AYP7" s="2"/>
      <c r="AYQ7" s="6"/>
      <c r="AYR7" s="7"/>
      <c r="AYS7" s="8"/>
      <c r="AYT7" s="9"/>
      <c r="AYU7" s="8"/>
      <c r="AYV7" s="7"/>
      <c r="AYW7" s="9"/>
      <c r="AYX7" s="8"/>
      <c r="AYY7" s="8"/>
      <c r="AYZ7" s="7"/>
      <c r="AZA7" s="9"/>
      <c r="AZB7" s="2"/>
      <c r="AZC7" s="2"/>
      <c r="AZD7" s="2"/>
      <c r="AZE7" s="2"/>
      <c r="AZF7" s="2"/>
      <c r="AZG7" s="2"/>
      <c r="AZH7" s="2"/>
      <c r="AZI7" s="2"/>
      <c r="AZJ7" s="2"/>
      <c r="AZK7" s="2"/>
      <c r="AZL7" s="2"/>
      <c r="AZM7" s="6"/>
      <c r="AZN7" s="7"/>
      <c r="AZO7" s="8"/>
      <c r="AZP7" s="9"/>
      <c r="AZQ7" s="8"/>
      <c r="AZR7" s="7"/>
      <c r="AZS7" s="9"/>
      <c r="AZT7" s="8"/>
      <c r="AZU7" s="8"/>
      <c r="AZV7" s="7"/>
      <c r="AZW7" s="9"/>
      <c r="AZX7" s="2"/>
      <c r="AZY7" s="2"/>
      <c r="AZZ7" s="2"/>
      <c r="BAA7" s="2"/>
      <c r="BAB7" s="2"/>
      <c r="BAC7" s="2"/>
      <c r="BAD7" s="2"/>
      <c r="BAE7" s="2"/>
      <c r="BAF7" s="2"/>
      <c r="BAG7" s="2"/>
      <c r="BAH7" s="2"/>
      <c r="BAI7" s="6"/>
      <c r="BAJ7" s="7"/>
      <c r="BAK7" s="8"/>
      <c r="BAL7" s="9"/>
      <c r="BAM7" s="8"/>
      <c r="BAN7" s="7"/>
      <c r="BAO7" s="9"/>
      <c r="BAP7" s="8"/>
      <c r="BAQ7" s="8"/>
      <c r="BAR7" s="7"/>
      <c r="BAS7" s="9"/>
      <c r="BAT7" s="2"/>
      <c r="BAU7" s="2"/>
      <c r="BAV7" s="2"/>
      <c r="BAW7" s="2"/>
      <c r="BAX7" s="2"/>
      <c r="BAY7" s="2"/>
      <c r="BAZ7" s="2"/>
      <c r="BBA7" s="2"/>
      <c r="BBB7" s="2"/>
      <c r="BBC7" s="2"/>
      <c r="BBD7" s="2"/>
      <c r="BBE7" s="6"/>
      <c r="BBF7" s="7"/>
      <c r="BBG7" s="8"/>
      <c r="BBH7" s="9"/>
      <c r="BBI7" s="8"/>
      <c r="BBJ7" s="7"/>
      <c r="BBK7" s="9"/>
      <c r="BBL7" s="8"/>
      <c r="BBM7" s="8"/>
      <c r="BBN7" s="7"/>
      <c r="BBO7" s="9"/>
      <c r="BBP7" s="2"/>
      <c r="BBQ7" s="2"/>
      <c r="BBR7" s="2"/>
      <c r="BBS7" s="2"/>
      <c r="BBT7" s="2"/>
      <c r="BBU7" s="2"/>
      <c r="BBV7" s="2"/>
      <c r="BBW7" s="2"/>
      <c r="BBX7" s="2"/>
      <c r="BBY7" s="2"/>
      <c r="BBZ7" s="2"/>
      <c r="BCA7" s="6"/>
      <c r="BCB7" s="7"/>
      <c r="BCC7" s="8"/>
      <c r="BCD7" s="9"/>
      <c r="BCE7" s="8"/>
      <c r="BCF7" s="7"/>
      <c r="BCG7" s="9"/>
      <c r="BCH7" s="8"/>
      <c r="BCI7" s="8"/>
      <c r="BCJ7" s="7"/>
      <c r="BCK7" s="9"/>
      <c r="BCL7" s="2"/>
      <c r="BCM7" s="2"/>
      <c r="BCN7" s="2"/>
      <c r="BCO7" s="2"/>
      <c r="BCP7" s="2"/>
      <c r="BCQ7" s="2"/>
      <c r="BCR7" s="2"/>
      <c r="BCS7" s="2"/>
      <c r="BCT7" s="2"/>
      <c r="BCU7" s="2"/>
      <c r="BCV7" s="2"/>
      <c r="BCW7" s="6"/>
      <c r="BCX7" s="7"/>
      <c r="BCY7" s="8"/>
      <c r="BCZ7" s="9"/>
      <c r="BDA7" s="8"/>
      <c r="BDB7" s="7"/>
      <c r="BDC7" s="9"/>
      <c r="BDD7" s="8"/>
      <c r="BDE7" s="8"/>
      <c r="BDF7" s="7"/>
      <c r="BDG7" s="9"/>
      <c r="BDH7" s="2"/>
      <c r="BDI7" s="2"/>
      <c r="BDJ7" s="2"/>
      <c r="BDK7" s="2"/>
      <c r="BDL7" s="2"/>
      <c r="BDM7" s="2"/>
      <c r="BDN7" s="2"/>
      <c r="BDO7" s="2"/>
      <c r="BDP7" s="2"/>
      <c r="BDQ7" s="2"/>
      <c r="BDR7" s="2"/>
      <c r="BDS7" s="6"/>
      <c r="BDT7" s="7"/>
      <c r="BDU7" s="8"/>
      <c r="BDV7" s="9"/>
      <c r="BDW7" s="8"/>
      <c r="BDX7" s="7"/>
      <c r="BDY7" s="9"/>
      <c r="BDZ7" s="8"/>
      <c r="BEA7" s="8"/>
      <c r="BEB7" s="7"/>
      <c r="BEC7" s="9"/>
      <c r="BED7" s="2"/>
      <c r="BEE7" s="2"/>
      <c r="BEF7" s="2"/>
      <c r="BEG7" s="2"/>
      <c r="BEH7" s="2"/>
      <c r="BEI7" s="2"/>
      <c r="BEJ7" s="2"/>
      <c r="BEK7" s="2"/>
      <c r="BEL7" s="2"/>
      <c r="BEM7" s="2"/>
      <c r="BEN7" s="2"/>
      <c r="BEO7" s="6"/>
      <c r="BEP7" s="7"/>
      <c r="BEQ7" s="8"/>
      <c r="BER7" s="9"/>
      <c r="BES7" s="8"/>
      <c r="BET7" s="7"/>
      <c r="BEU7" s="9"/>
      <c r="BEV7" s="8"/>
      <c r="BEW7" s="8"/>
      <c r="BEX7" s="7"/>
      <c r="BEY7" s="9"/>
      <c r="BEZ7" s="2"/>
      <c r="BFA7" s="2"/>
      <c r="BFB7" s="2"/>
      <c r="BFC7" s="2"/>
      <c r="BFD7" s="2"/>
      <c r="BFE7" s="2"/>
      <c r="BFF7" s="2"/>
      <c r="BFG7" s="2"/>
      <c r="BFH7" s="2"/>
      <c r="BFI7" s="2"/>
      <c r="BFJ7" s="2"/>
      <c r="BFK7" s="6"/>
      <c r="BFL7" s="7"/>
      <c r="BFM7" s="8"/>
      <c r="BFN7" s="9"/>
      <c r="BFO7" s="8"/>
      <c r="BFP7" s="7"/>
      <c r="BFQ7" s="9"/>
      <c r="BFR7" s="8"/>
      <c r="BFS7" s="8"/>
      <c r="BFT7" s="7"/>
      <c r="BFU7" s="9"/>
      <c r="BFV7" s="2"/>
      <c r="BFW7" s="2"/>
      <c r="BFX7" s="2"/>
      <c r="BFY7" s="2"/>
      <c r="BFZ7" s="2"/>
      <c r="BGA7" s="2"/>
      <c r="BGB7" s="2"/>
      <c r="BGC7" s="2"/>
      <c r="BGD7" s="2"/>
      <c r="BGE7" s="2"/>
      <c r="BGF7" s="2"/>
      <c r="BGG7" s="6"/>
      <c r="BGH7" s="7"/>
      <c r="BGI7" s="8"/>
      <c r="BGJ7" s="9"/>
      <c r="BGK7" s="8"/>
      <c r="BGL7" s="7"/>
      <c r="BGM7" s="9"/>
      <c r="BGN7" s="8"/>
      <c r="BGO7" s="8"/>
      <c r="BGP7" s="7"/>
      <c r="BGQ7" s="9"/>
      <c r="BGR7" s="2"/>
      <c r="BGS7" s="2"/>
      <c r="BGT7" s="2"/>
      <c r="BGU7" s="2"/>
      <c r="BGV7" s="2"/>
      <c r="BGW7" s="2"/>
      <c r="BGX7" s="2"/>
      <c r="BGY7" s="2"/>
      <c r="BGZ7" s="2"/>
      <c r="BHA7" s="2"/>
      <c r="BHB7" s="2"/>
      <c r="BHC7" s="6"/>
      <c r="BHD7" s="7"/>
      <c r="BHE7" s="8"/>
      <c r="BHF7" s="9"/>
      <c r="BHG7" s="8"/>
      <c r="BHH7" s="7"/>
      <c r="BHI7" s="9"/>
      <c r="BHJ7" s="8"/>
      <c r="BHK7" s="8"/>
      <c r="BHL7" s="7"/>
      <c r="BHM7" s="9"/>
      <c r="BHN7" s="2"/>
      <c r="BHO7" s="2"/>
      <c r="BHP7" s="2"/>
      <c r="BHQ7" s="2"/>
      <c r="BHR7" s="2"/>
      <c r="BHS7" s="2"/>
      <c r="BHT7" s="2"/>
      <c r="BHU7" s="2"/>
      <c r="BHV7" s="2"/>
      <c r="BHW7" s="2"/>
      <c r="BHX7" s="2"/>
      <c r="BHY7" s="6"/>
      <c r="BHZ7" s="7"/>
      <c r="BIA7" s="8"/>
      <c r="BIB7" s="9"/>
      <c r="BIC7" s="8"/>
      <c r="BID7" s="7"/>
      <c r="BIE7" s="9"/>
      <c r="BIF7" s="8"/>
      <c r="BIG7" s="8"/>
      <c r="BIH7" s="7"/>
      <c r="BII7" s="9"/>
      <c r="BIJ7" s="2"/>
      <c r="BIK7" s="2"/>
      <c r="BIL7" s="2"/>
      <c r="BIM7" s="2"/>
      <c r="BIN7" s="2"/>
      <c r="BIO7" s="2"/>
      <c r="BIP7" s="2"/>
      <c r="BIQ7" s="2"/>
      <c r="BIR7" s="2"/>
      <c r="BIS7" s="2"/>
      <c r="BIT7" s="2"/>
      <c r="BIU7" s="6"/>
      <c r="BIV7" s="7"/>
      <c r="BIW7" s="8"/>
      <c r="BIX7" s="9"/>
      <c r="BIY7" s="8"/>
      <c r="BIZ7" s="7"/>
      <c r="BJA7" s="9"/>
      <c r="BJB7" s="8"/>
      <c r="BJC7" s="8"/>
      <c r="BJD7" s="7"/>
      <c r="BJE7" s="9"/>
      <c r="BJF7" s="2"/>
      <c r="BJG7" s="2"/>
      <c r="BJH7" s="2"/>
      <c r="BJI7" s="2"/>
      <c r="BJJ7" s="2"/>
      <c r="BJK7" s="2"/>
      <c r="BJL7" s="2"/>
      <c r="BJM7" s="2"/>
      <c r="BJN7" s="2"/>
      <c r="BJO7" s="2"/>
      <c r="BJP7" s="2"/>
      <c r="BJQ7" s="6"/>
      <c r="BJR7" s="7"/>
      <c r="BJS7" s="8"/>
      <c r="BJT7" s="9"/>
      <c r="BJU7" s="8"/>
      <c r="BJV7" s="7"/>
      <c r="BJW7" s="9"/>
      <c r="BJX7" s="8"/>
      <c r="BJY7" s="8"/>
      <c r="BJZ7" s="7"/>
      <c r="BKA7" s="9"/>
      <c r="BKB7" s="2"/>
      <c r="BKC7" s="2"/>
      <c r="BKD7" s="2"/>
      <c r="BKE7" s="2"/>
      <c r="BKF7" s="2"/>
      <c r="BKG7" s="2"/>
      <c r="BKH7" s="2"/>
      <c r="BKI7" s="2"/>
      <c r="BKJ7" s="2"/>
      <c r="BKK7" s="2"/>
      <c r="BKL7" s="2"/>
      <c r="BKM7" s="6"/>
      <c r="BKN7" s="7"/>
      <c r="BKO7" s="8"/>
      <c r="BKP7" s="9"/>
      <c r="BKQ7" s="8"/>
      <c r="BKR7" s="7"/>
      <c r="BKS7" s="9"/>
      <c r="BKT7" s="8"/>
      <c r="BKU7" s="8"/>
      <c r="BKV7" s="7"/>
      <c r="BKW7" s="9"/>
      <c r="BKX7" s="2"/>
      <c r="BKY7" s="2"/>
      <c r="BKZ7" s="2"/>
      <c r="BLA7" s="2"/>
      <c r="BLB7" s="2"/>
      <c r="BLC7" s="2"/>
      <c r="BLD7" s="2"/>
      <c r="BLE7" s="2"/>
      <c r="BLF7" s="2"/>
      <c r="BLG7" s="2"/>
      <c r="BLH7" s="2"/>
      <c r="BLI7" s="6"/>
      <c r="BLJ7" s="7"/>
      <c r="BLK7" s="8"/>
      <c r="BLL7" s="9"/>
      <c r="BLM7" s="8"/>
      <c r="BLN7" s="7"/>
      <c r="BLO7" s="9"/>
      <c r="BLP7" s="8"/>
      <c r="BLQ7" s="8"/>
      <c r="BLR7" s="7"/>
      <c r="BLS7" s="9"/>
      <c r="BLT7" s="2"/>
      <c r="BLU7" s="2"/>
      <c r="BLV7" s="2"/>
      <c r="BLW7" s="2"/>
      <c r="BLX7" s="2"/>
      <c r="BLY7" s="2"/>
      <c r="BLZ7" s="2"/>
      <c r="BMA7" s="2"/>
      <c r="BMB7" s="2"/>
      <c r="BMC7" s="2"/>
      <c r="BMD7" s="2"/>
      <c r="BME7" s="6"/>
      <c r="BMF7" s="7"/>
      <c r="BMG7" s="8"/>
      <c r="BMH7" s="9"/>
      <c r="BMI7" s="8"/>
      <c r="BMJ7" s="7"/>
      <c r="BMK7" s="9"/>
      <c r="BML7" s="8"/>
      <c r="BMM7" s="8"/>
      <c r="BMN7" s="7"/>
      <c r="BMO7" s="9"/>
      <c r="BMP7" s="2"/>
      <c r="BMQ7" s="2"/>
      <c r="BMR7" s="2"/>
      <c r="BMS7" s="2"/>
      <c r="BMT7" s="2"/>
      <c r="BMU7" s="2"/>
      <c r="BMV7" s="2"/>
      <c r="BMW7" s="2"/>
      <c r="BMX7" s="2"/>
      <c r="BMY7" s="2"/>
      <c r="BMZ7" s="2"/>
      <c r="BNA7" s="6"/>
      <c r="BNB7" s="7"/>
      <c r="BNC7" s="8"/>
      <c r="BND7" s="9"/>
      <c r="BNE7" s="8"/>
      <c r="BNF7" s="7"/>
      <c r="BNG7" s="9"/>
      <c r="BNH7" s="8"/>
      <c r="BNI7" s="8"/>
      <c r="BNJ7" s="7"/>
      <c r="BNK7" s="9"/>
      <c r="BNL7" s="2"/>
      <c r="BNM7" s="2"/>
      <c r="BNN7" s="2"/>
      <c r="BNO7" s="2"/>
      <c r="BNP7" s="2"/>
      <c r="BNQ7" s="2"/>
      <c r="BNR7" s="2"/>
      <c r="BNS7" s="2"/>
      <c r="BNT7" s="2"/>
      <c r="BNU7" s="2"/>
      <c r="BNV7" s="2"/>
      <c r="BNW7" s="6"/>
      <c r="BNX7" s="7"/>
      <c r="BNY7" s="8"/>
      <c r="BNZ7" s="9"/>
      <c r="BOA7" s="8"/>
      <c r="BOB7" s="7"/>
      <c r="BOC7" s="9"/>
      <c r="BOD7" s="8"/>
      <c r="BOE7" s="8"/>
      <c r="BOF7" s="7"/>
      <c r="BOG7" s="9"/>
      <c r="BOH7" s="2"/>
      <c r="BOI7" s="2"/>
      <c r="BOJ7" s="2"/>
      <c r="BOK7" s="2"/>
      <c r="BOL7" s="2"/>
      <c r="BOM7" s="2"/>
      <c r="BON7" s="2"/>
      <c r="BOO7" s="2"/>
      <c r="BOP7" s="2"/>
      <c r="BOQ7" s="2"/>
      <c r="BOR7" s="2"/>
      <c r="BOS7" s="6"/>
      <c r="BOT7" s="7"/>
      <c r="BOU7" s="8"/>
      <c r="BOV7" s="9"/>
      <c r="BOW7" s="8"/>
      <c r="BOX7" s="7"/>
      <c r="BOY7" s="9"/>
      <c r="BOZ7" s="8"/>
      <c r="BPA7" s="8"/>
      <c r="BPB7" s="7"/>
      <c r="BPC7" s="9"/>
      <c r="BPD7" s="2"/>
      <c r="BPE7" s="2"/>
      <c r="BPF7" s="2"/>
      <c r="BPG7" s="2"/>
      <c r="BPH7" s="2"/>
      <c r="BPI7" s="2"/>
      <c r="BPJ7" s="2"/>
      <c r="BPK7" s="2"/>
      <c r="BPL7" s="2"/>
      <c r="BPM7" s="2"/>
      <c r="BPN7" s="2"/>
      <c r="BPO7" s="6"/>
      <c r="BPP7" s="7"/>
      <c r="BPQ7" s="8"/>
      <c r="BPR7" s="9"/>
      <c r="BPS7" s="8"/>
      <c r="BPT7" s="7"/>
      <c r="BPU7" s="9"/>
      <c r="BPV7" s="8"/>
      <c r="BPW7" s="8"/>
      <c r="BPX7" s="7"/>
      <c r="BPY7" s="9"/>
      <c r="BPZ7" s="2"/>
      <c r="BQA7" s="2"/>
      <c r="BQB7" s="2"/>
      <c r="BQC7" s="2"/>
      <c r="BQD7" s="2"/>
      <c r="BQE7" s="2"/>
      <c r="BQF7" s="2"/>
      <c r="BQG7" s="2"/>
      <c r="BQH7" s="2"/>
      <c r="BQI7" s="2"/>
      <c r="BQJ7" s="2"/>
      <c r="BQK7" s="6"/>
      <c r="BQL7" s="7"/>
      <c r="BQM7" s="8"/>
      <c r="BQN7" s="9"/>
      <c r="BQO7" s="8"/>
      <c r="BQP7" s="7"/>
      <c r="BQQ7" s="9"/>
      <c r="BQR7" s="8"/>
      <c r="BQS7" s="8"/>
      <c r="BQT7" s="7"/>
      <c r="BQU7" s="9"/>
      <c r="BQV7" s="2"/>
      <c r="BQW7" s="2"/>
      <c r="BQX7" s="2"/>
      <c r="BQY7" s="2"/>
      <c r="BQZ7" s="2"/>
      <c r="BRA7" s="2"/>
      <c r="BRB7" s="2"/>
      <c r="BRC7" s="2"/>
      <c r="BRD7" s="2"/>
      <c r="BRE7" s="2"/>
      <c r="BRF7" s="2"/>
      <c r="BRG7" s="6"/>
      <c r="BRH7" s="7"/>
      <c r="BRI7" s="8"/>
      <c r="BRJ7" s="9"/>
      <c r="BRK7" s="8"/>
      <c r="BRL7" s="7"/>
      <c r="BRM7" s="9"/>
      <c r="BRN7" s="8"/>
      <c r="BRO7" s="8"/>
      <c r="BRP7" s="7"/>
      <c r="BRQ7" s="9"/>
      <c r="BRR7" s="2"/>
      <c r="BRS7" s="2"/>
      <c r="BRT7" s="2"/>
      <c r="BRU7" s="2"/>
      <c r="BRV7" s="2"/>
      <c r="BRW7" s="2"/>
      <c r="BRX7" s="2"/>
      <c r="BRY7" s="2"/>
      <c r="BRZ7" s="2"/>
      <c r="BSA7" s="2"/>
      <c r="BSB7" s="2"/>
      <c r="BSC7" s="6"/>
      <c r="BSD7" s="7"/>
      <c r="BSE7" s="8"/>
      <c r="BSF7" s="9"/>
      <c r="BSG7" s="8"/>
      <c r="BSH7" s="7"/>
      <c r="BSI7" s="9"/>
      <c r="BSJ7" s="8"/>
      <c r="BSK7" s="8"/>
      <c r="BSL7" s="7"/>
      <c r="BSM7" s="9"/>
      <c r="BSN7" s="2"/>
      <c r="BSO7" s="2"/>
      <c r="BSP7" s="2"/>
      <c r="BSQ7" s="2"/>
      <c r="BSR7" s="2"/>
      <c r="BSS7" s="2"/>
      <c r="BST7" s="2"/>
      <c r="BSU7" s="2"/>
      <c r="BSV7" s="2"/>
      <c r="BSW7" s="2"/>
      <c r="BSX7" s="2"/>
      <c r="BSY7" s="6"/>
      <c r="BSZ7" s="7"/>
      <c r="BTA7" s="8"/>
      <c r="BTB7" s="9"/>
      <c r="BTC7" s="8"/>
      <c r="BTD7" s="7"/>
      <c r="BTE7" s="9"/>
      <c r="BTF7" s="8"/>
      <c r="BTG7" s="8"/>
      <c r="BTH7" s="7"/>
      <c r="BTI7" s="9"/>
      <c r="BTJ7" s="2"/>
      <c r="BTK7" s="2"/>
      <c r="BTL7" s="2"/>
      <c r="BTM7" s="2"/>
      <c r="BTN7" s="2"/>
      <c r="BTO7" s="2"/>
      <c r="BTP7" s="2"/>
      <c r="BTQ7" s="2"/>
      <c r="BTR7" s="2"/>
      <c r="BTS7" s="2"/>
      <c r="BTT7" s="2"/>
      <c r="BTU7" s="6"/>
      <c r="BTV7" s="7"/>
      <c r="BTW7" s="8"/>
      <c r="BTX7" s="9"/>
      <c r="BTY7" s="8"/>
      <c r="BTZ7" s="7"/>
      <c r="BUA7" s="9"/>
      <c r="BUB7" s="8"/>
      <c r="BUC7" s="8"/>
      <c r="BUD7" s="7"/>
      <c r="BUE7" s="9"/>
      <c r="BUF7" s="2"/>
      <c r="BUG7" s="2"/>
      <c r="BUH7" s="2"/>
      <c r="BUI7" s="2"/>
      <c r="BUJ7" s="2"/>
      <c r="BUK7" s="2"/>
      <c r="BUL7" s="2"/>
      <c r="BUM7" s="2"/>
      <c r="BUN7" s="2"/>
      <c r="BUO7" s="2"/>
      <c r="BUP7" s="2"/>
      <c r="BUQ7" s="6"/>
      <c r="BUR7" s="7"/>
      <c r="BUS7" s="8"/>
      <c r="BUT7" s="9"/>
      <c r="BUU7" s="8"/>
      <c r="BUV7" s="7"/>
      <c r="BUW7" s="9"/>
      <c r="BUX7" s="8"/>
      <c r="BUY7" s="8"/>
      <c r="BUZ7" s="7"/>
      <c r="BVA7" s="9"/>
      <c r="BVB7" s="2"/>
      <c r="BVC7" s="2"/>
      <c r="BVD7" s="2"/>
      <c r="BVE7" s="2"/>
      <c r="BVF7" s="2"/>
      <c r="BVG7" s="2"/>
      <c r="BVH7" s="2"/>
      <c r="BVI7" s="2"/>
      <c r="BVJ7" s="2"/>
      <c r="BVK7" s="2"/>
      <c r="BVL7" s="2"/>
      <c r="BVM7" s="6"/>
      <c r="BVN7" s="7"/>
      <c r="BVO7" s="8"/>
      <c r="BVP7" s="9"/>
      <c r="BVQ7" s="8"/>
      <c r="BVR7" s="7"/>
      <c r="BVS7" s="9"/>
      <c r="BVT7" s="8"/>
      <c r="BVU7" s="8"/>
      <c r="BVV7" s="7"/>
      <c r="BVW7" s="9"/>
      <c r="BVX7" s="2"/>
      <c r="BVY7" s="2"/>
      <c r="BVZ7" s="2"/>
      <c r="BWA7" s="2"/>
      <c r="BWB7" s="2"/>
      <c r="BWC7" s="2"/>
      <c r="BWD7" s="2"/>
      <c r="BWE7" s="2"/>
      <c r="BWF7" s="2"/>
      <c r="BWG7" s="2"/>
      <c r="BWH7" s="2"/>
      <c r="BWI7" s="6"/>
      <c r="BWJ7" s="7"/>
      <c r="BWK7" s="8"/>
      <c r="BWL7" s="9"/>
      <c r="BWM7" s="8"/>
      <c r="BWN7" s="7"/>
      <c r="BWO7" s="9"/>
      <c r="BWP7" s="8"/>
      <c r="BWQ7" s="8"/>
      <c r="BWR7" s="7"/>
      <c r="BWS7" s="9"/>
      <c r="BWT7" s="2"/>
      <c r="BWU7" s="2"/>
      <c r="BWV7" s="2"/>
      <c r="BWW7" s="2"/>
      <c r="BWX7" s="2"/>
      <c r="BWY7" s="2"/>
      <c r="BWZ7" s="2"/>
      <c r="BXA7" s="2"/>
      <c r="BXB7" s="2"/>
      <c r="BXC7" s="2"/>
      <c r="BXD7" s="2"/>
      <c r="BXE7" s="6"/>
      <c r="BXF7" s="7"/>
      <c r="BXG7" s="8"/>
      <c r="BXH7" s="9"/>
      <c r="BXI7" s="8"/>
      <c r="BXJ7" s="7"/>
      <c r="BXK7" s="9"/>
      <c r="BXL7" s="8"/>
      <c r="BXM7" s="8"/>
      <c r="BXN7" s="7"/>
      <c r="BXO7" s="9"/>
      <c r="BXP7" s="2"/>
      <c r="BXQ7" s="2"/>
      <c r="BXR7" s="2"/>
      <c r="BXS7" s="2"/>
      <c r="BXT7" s="2"/>
      <c r="BXU7" s="2"/>
      <c r="BXV7" s="2"/>
      <c r="BXW7" s="2"/>
      <c r="BXX7" s="2"/>
      <c r="BXY7" s="2"/>
      <c r="BXZ7" s="2"/>
      <c r="BYA7" s="6"/>
      <c r="BYB7" s="7"/>
      <c r="BYC7" s="8"/>
      <c r="BYD7" s="9"/>
      <c r="BYE7" s="8"/>
      <c r="BYF7" s="7"/>
      <c r="BYG7" s="9"/>
      <c r="BYH7" s="8"/>
      <c r="BYI7" s="8"/>
      <c r="BYJ7" s="7"/>
      <c r="BYK7" s="9"/>
      <c r="BYL7" s="2"/>
      <c r="BYM7" s="2"/>
      <c r="BYN7" s="2"/>
      <c r="BYO7" s="2"/>
      <c r="BYP7" s="2"/>
      <c r="BYQ7" s="2"/>
      <c r="BYR7" s="2"/>
      <c r="BYS7" s="2"/>
      <c r="BYT7" s="2"/>
      <c r="BYU7" s="2"/>
      <c r="BYV7" s="2"/>
      <c r="BYW7" s="6"/>
      <c r="BYX7" s="7"/>
      <c r="BYY7" s="8"/>
      <c r="BYZ7" s="9"/>
      <c r="BZA7" s="8"/>
      <c r="BZB7" s="7"/>
      <c r="BZC7" s="9"/>
      <c r="BZD7" s="8"/>
      <c r="BZE7" s="8"/>
      <c r="BZF7" s="7"/>
      <c r="BZG7" s="9"/>
      <c r="BZH7" s="2"/>
      <c r="BZI7" s="2"/>
      <c r="BZJ7" s="2"/>
      <c r="BZK7" s="2"/>
      <c r="BZL7" s="2"/>
      <c r="BZM7" s="2"/>
      <c r="BZN7" s="2"/>
      <c r="BZO7" s="2"/>
      <c r="BZP7" s="2"/>
      <c r="BZQ7" s="2"/>
      <c r="BZR7" s="2"/>
      <c r="BZS7" s="6"/>
      <c r="BZT7" s="7"/>
      <c r="BZU7" s="8"/>
      <c r="BZV7" s="9"/>
      <c r="BZW7" s="8"/>
      <c r="BZX7" s="7"/>
      <c r="BZY7" s="9"/>
      <c r="BZZ7" s="8"/>
      <c r="CAA7" s="8"/>
      <c r="CAB7" s="7"/>
      <c r="CAC7" s="9"/>
      <c r="CAD7" s="2"/>
      <c r="CAE7" s="2"/>
      <c r="CAF7" s="2"/>
      <c r="CAG7" s="2"/>
      <c r="CAH7" s="2"/>
      <c r="CAI7" s="2"/>
      <c r="CAJ7" s="2"/>
      <c r="CAK7" s="2"/>
      <c r="CAL7" s="2"/>
      <c r="CAM7" s="2"/>
      <c r="CAN7" s="2"/>
      <c r="CAO7" s="6"/>
      <c r="CAP7" s="7"/>
      <c r="CAQ7" s="8"/>
      <c r="CAR7" s="9"/>
      <c r="CAS7" s="8"/>
      <c r="CAT7" s="7"/>
      <c r="CAU7" s="9"/>
      <c r="CAV7" s="8"/>
      <c r="CAW7" s="8"/>
      <c r="CAX7" s="7"/>
      <c r="CAY7" s="9"/>
      <c r="CAZ7" s="2"/>
      <c r="CBA7" s="2"/>
      <c r="CBB7" s="2"/>
      <c r="CBC7" s="2"/>
      <c r="CBD7" s="2"/>
      <c r="CBE7" s="2"/>
      <c r="CBF7" s="2"/>
      <c r="CBG7" s="2"/>
      <c r="CBH7" s="2"/>
      <c r="CBI7" s="2"/>
      <c r="CBJ7" s="2"/>
      <c r="CBK7" s="6"/>
      <c r="CBL7" s="7"/>
      <c r="CBM7" s="8"/>
      <c r="CBN7" s="9"/>
      <c r="CBO7" s="8"/>
      <c r="CBP7" s="7"/>
      <c r="CBQ7" s="9"/>
      <c r="CBR7" s="8"/>
      <c r="CBS7" s="8"/>
      <c r="CBT7" s="7"/>
      <c r="CBU7" s="9"/>
      <c r="CBV7" s="2"/>
      <c r="CBW7" s="2"/>
      <c r="CBX7" s="2"/>
      <c r="CBY7" s="2"/>
      <c r="CBZ7" s="2"/>
      <c r="CCA7" s="2"/>
      <c r="CCB7" s="2"/>
      <c r="CCC7" s="2"/>
      <c r="CCD7" s="2"/>
      <c r="CCE7" s="2"/>
      <c r="CCF7" s="2"/>
      <c r="CCG7" s="6"/>
      <c r="CCH7" s="7"/>
      <c r="CCI7" s="8"/>
      <c r="CCJ7" s="9"/>
      <c r="CCK7" s="8"/>
      <c r="CCL7" s="7"/>
      <c r="CCM7" s="9"/>
      <c r="CCN7" s="8"/>
      <c r="CCO7" s="8"/>
      <c r="CCP7" s="7"/>
      <c r="CCQ7" s="9"/>
      <c r="CCR7" s="2"/>
      <c r="CCS7" s="2"/>
      <c r="CCT7" s="2"/>
      <c r="CCU7" s="2"/>
      <c r="CCV7" s="2"/>
      <c r="CCW7" s="2"/>
      <c r="CCX7" s="2"/>
      <c r="CCY7" s="2"/>
      <c r="CCZ7" s="2"/>
      <c r="CDA7" s="2"/>
      <c r="CDB7" s="2"/>
      <c r="CDC7" s="6"/>
      <c r="CDD7" s="7"/>
      <c r="CDE7" s="8"/>
      <c r="CDF7" s="9"/>
      <c r="CDG7" s="8"/>
      <c r="CDH7" s="7"/>
      <c r="CDI7" s="9"/>
      <c r="CDJ7" s="8"/>
      <c r="CDK7" s="8"/>
      <c r="CDL7" s="7"/>
      <c r="CDM7" s="9"/>
      <c r="CDN7" s="2"/>
      <c r="CDO7" s="2"/>
      <c r="CDP7" s="2"/>
      <c r="CDQ7" s="2"/>
      <c r="CDR7" s="2"/>
      <c r="CDS7" s="2"/>
      <c r="CDT7" s="2"/>
      <c r="CDU7" s="2"/>
      <c r="CDV7" s="2"/>
      <c r="CDW7" s="2"/>
      <c r="CDX7" s="2"/>
      <c r="CDY7" s="6"/>
      <c r="CDZ7" s="7"/>
      <c r="CEA7" s="8"/>
      <c r="CEB7" s="9"/>
      <c r="CEC7" s="8"/>
      <c r="CED7" s="7"/>
      <c r="CEE7" s="9"/>
      <c r="CEF7" s="8"/>
      <c r="CEG7" s="8"/>
      <c r="CEH7" s="7"/>
      <c r="CEI7" s="9"/>
      <c r="CEJ7" s="2"/>
      <c r="CEK7" s="2"/>
      <c r="CEL7" s="2"/>
      <c r="CEM7" s="2"/>
      <c r="CEN7" s="2"/>
      <c r="CEO7" s="2"/>
      <c r="CEP7" s="2"/>
      <c r="CEQ7" s="2"/>
      <c r="CER7" s="2"/>
      <c r="CES7" s="2"/>
      <c r="CET7" s="2"/>
      <c r="CEU7" s="6"/>
      <c r="CEV7" s="7"/>
      <c r="CEW7" s="8"/>
      <c r="CEX7" s="9"/>
      <c r="CEY7" s="8"/>
      <c r="CEZ7" s="7"/>
      <c r="CFA7" s="9"/>
      <c r="CFB7" s="8"/>
      <c r="CFC7" s="8"/>
      <c r="CFD7" s="7"/>
      <c r="CFE7" s="9"/>
      <c r="CFF7" s="2"/>
      <c r="CFG7" s="2"/>
      <c r="CFH7" s="2"/>
      <c r="CFI7" s="2"/>
      <c r="CFJ7" s="2"/>
      <c r="CFK7" s="2"/>
      <c r="CFL7" s="2"/>
      <c r="CFM7" s="2"/>
      <c r="CFN7" s="2"/>
      <c r="CFO7" s="2"/>
      <c r="CFP7" s="2"/>
      <c r="CFQ7" s="6"/>
      <c r="CFR7" s="7"/>
      <c r="CFS7" s="8"/>
      <c r="CFT7" s="9"/>
      <c r="CFU7" s="8"/>
      <c r="CFV7" s="7"/>
      <c r="CFW7" s="9"/>
      <c r="CFX7" s="8"/>
      <c r="CFY7" s="8"/>
      <c r="CFZ7" s="7"/>
      <c r="CGA7" s="9"/>
      <c r="CGB7" s="2"/>
      <c r="CGC7" s="2"/>
      <c r="CGD7" s="2"/>
      <c r="CGE7" s="2"/>
      <c r="CGF7" s="2"/>
      <c r="CGG7" s="2"/>
      <c r="CGH7" s="2"/>
      <c r="CGI7" s="2"/>
      <c r="CGJ7" s="2"/>
      <c r="CGK7" s="2"/>
      <c r="CGL7" s="2"/>
      <c r="CGM7" s="6"/>
      <c r="CGN7" s="7"/>
      <c r="CGO7" s="8"/>
      <c r="CGP7" s="9"/>
      <c r="CGQ7" s="8"/>
      <c r="CGR7" s="7"/>
      <c r="CGS7" s="9"/>
      <c r="CGT7" s="8"/>
      <c r="CGU7" s="8"/>
      <c r="CGV7" s="7"/>
      <c r="CGW7" s="9"/>
      <c r="CGX7" s="2"/>
      <c r="CGY7" s="2"/>
      <c r="CGZ7" s="2"/>
      <c r="CHA7" s="2"/>
      <c r="CHB7" s="2"/>
      <c r="CHC7" s="2"/>
      <c r="CHD7" s="2"/>
      <c r="CHE7" s="2"/>
      <c r="CHF7" s="2"/>
      <c r="CHG7" s="2"/>
      <c r="CHH7" s="2"/>
      <c r="CHI7" s="6"/>
      <c r="CHJ7" s="7"/>
      <c r="CHK7" s="8"/>
      <c r="CHL7" s="9"/>
      <c r="CHM7" s="8"/>
      <c r="CHN7" s="7"/>
      <c r="CHO7" s="9"/>
      <c r="CHP7" s="8"/>
      <c r="CHQ7" s="8"/>
      <c r="CHR7" s="7"/>
      <c r="CHS7" s="9"/>
      <c r="CHT7" s="2"/>
      <c r="CHU7" s="2"/>
      <c r="CHV7" s="2"/>
      <c r="CHW7" s="2"/>
      <c r="CHX7" s="2"/>
      <c r="CHY7" s="2"/>
      <c r="CHZ7" s="2"/>
      <c r="CIA7" s="2"/>
      <c r="CIB7" s="2"/>
      <c r="CIC7" s="2"/>
      <c r="CID7" s="2"/>
      <c r="CIE7" s="6"/>
      <c r="CIF7" s="7"/>
      <c r="CIG7" s="8"/>
      <c r="CIH7" s="9"/>
      <c r="CII7" s="8"/>
      <c r="CIJ7" s="7"/>
      <c r="CIK7" s="9"/>
      <c r="CIL7" s="8"/>
      <c r="CIM7" s="8"/>
      <c r="CIN7" s="7"/>
      <c r="CIO7" s="9"/>
      <c r="CIP7" s="2"/>
      <c r="CIQ7" s="2"/>
      <c r="CIR7" s="2"/>
      <c r="CIS7" s="2"/>
      <c r="CIT7" s="2"/>
      <c r="CIU7" s="2"/>
      <c r="CIV7" s="2"/>
      <c r="CIW7" s="2"/>
      <c r="CIX7" s="2"/>
      <c r="CIY7" s="2"/>
      <c r="CIZ7" s="2"/>
      <c r="CJA7" s="6"/>
      <c r="CJB7" s="7"/>
      <c r="CJC7" s="8"/>
      <c r="CJD7" s="9"/>
      <c r="CJE7" s="8"/>
      <c r="CJF7" s="7"/>
      <c r="CJG7" s="9"/>
      <c r="CJH7" s="8"/>
      <c r="CJI7" s="8"/>
      <c r="CJJ7" s="7"/>
      <c r="CJK7" s="9"/>
      <c r="CJL7" s="2"/>
      <c r="CJM7" s="2"/>
      <c r="CJN7" s="2"/>
      <c r="CJO7" s="2"/>
      <c r="CJP7" s="2"/>
      <c r="CJQ7" s="2"/>
      <c r="CJR7" s="2"/>
      <c r="CJS7" s="2"/>
      <c r="CJT7" s="2"/>
      <c r="CJU7" s="2"/>
      <c r="CJV7" s="2"/>
      <c r="CJW7" s="6"/>
      <c r="CJX7" s="7"/>
      <c r="CJY7" s="8"/>
      <c r="CJZ7" s="9"/>
      <c r="CKA7" s="8"/>
      <c r="CKB7" s="7"/>
      <c r="CKC7" s="9"/>
      <c r="CKD7" s="8"/>
      <c r="CKE7" s="8"/>
      <c r="CKF7" s="7"/>
      <c r="CKG7" s="9"/>
      <c r="CKH7" s="2"/>
      <c r="CKI7" s="2"/>
      <c r="CKJ7" s="2"/>
      <c r="CKK7" s="2"/>
      <c r="CKL7" s="2"/>
      <c r="CKM7" s="2"/>
      <c r="CKN7" s="2"/>
      <c r="CKO7" s="2"/>
      <c r="CKP7" s="2"/>
      <c r="CKQ7" s="2"/>
      <c r="CKR7" s="2"/>
      <c r="CKS7" s="6"/>
      <c r="CKT7" s="7"/>
      <c r="CKU7" s="8"/>
      <c r="CKV7" s="9"/>
      <c r="CKW7" s="8"/>
      <c r="CKX7" s="7"/>
      <c r="CKY7" s="9"/>
      <c r="CKZ7" s="8"/>
      <c r="CLA7" s="8"/>
      <c r="CLB7" s="7"/>
      <c r="CLC7" s="9"/>
      <c r="CLD7" s="2"/>
      <c r="CLE7" s="2"/>
      <c r="CLF7" s="2"/>
      <c r="CLG7" s="2"/>
      <c r="CLH7" s="2"/>
      <c r="CLI7" s="2"/>
      <c r="CLJ7" s="2"/>
      <c r="CLK7" s="2"/>
      <c r="CLL7" s="2"/>
      <c r="CLM7" s="2"/>
      <c r="CLN7" s="2"/>
      <c r="CLO7" s="6"/>
      <c r="CLP7" s="7"/>
      <c r="CLQ7" s="8"/>
      <c r="CLR7" s="9"/>
      <c r="CLS7" s="8"/>
      <c r="CLT7" s="7"/>
      <c r="CLU7" s="9"/>
      <c r="CLV7" s="8"/>
      <c r="CLW7" s="8"/>
      <c r="CLX7" s="7"/>
      <c r="CLY7" s="9"/>
      <c r="CLZ7" s="2"/>
      <c r="CMA7" s="2"/>
      <c r="CMB7" s="2"/>
      <c r="CMC7" s="2"/>
      <c r="CMD7" s="2"/>
      <c r="CME7" s="2"/>
      <c r="CMF7" s="2"/>
      <c r="CMG7" s="2"/>
      <c r="CMH7" s="2"/>
      <c r="CMI7" s="2"/>
      <c r="CMJ7" s="2"/>
      <c r="CMK7" s="6"/>
      <c r="CML7" s="7"/>
      <c r="CMM7" s="8"/>
      <c r="CMN7" s="9"/>
      <c r="CMO7" s="8"/>
      <c r="CMP7" s="7"/>
      <c r="CMQ7" s="9"/>
      <c r="CMR7" s="8"/>
      <c r="CMS7" s="8"/>
      <c r="CMT7" s="7"/>
      <c r="CMU7" s="9"/>
      <c r="CMV7" s="2"/>
      <c r="CMW7" s="2"/>
      <c r="CMX7" s="2"/>
      <c r="CMY7" s="2"/>
      <c r="CMZ7" s="2"/>
      <c r="CNA7" s="2"/>
      <c r="CNB7" s="2"/>
      <c r="CNC7" s="2"/>
      <c r="CND7" s="2"/>
      <c r="CNE7" s="2"/>
      <c r="CNF7" s="2"/>
      <c r="CNG7" s="6"/>
      <c r="CNH7" s="7"/>
      <c r="CNI7" s="8"/>
      <c r="CNJ7" s="9"/>
      <c r="CNK7" s="8"/>
      <c r="CNL7" s="7"/>
      <c r="CNM7" s="9"/>
      <c r="CNN7" s="8"/>
      <c r="CNO7" s="8"/>
      <c r="CNP7" s="7"/>
      <c r="CNQ7" s="9"/>
      <c r="CNR7" s="2"/>
      <c r="CNS7" s="2"/>
      <c r="CNT7" s="2"/>
      <c r="CNU7" s="2"/>
      <c r="CNV7" s="2"/>
      <c r="CNW7" s="2"/>
      <c r="CNX7" s="2"/>
      <c r="CNY7" s="2"/>
      <c r="CNZ7" s="2"/>
      <c r="COA7" s="2"/>
      <c r="COB7" s="2"/>
      <c r="COC7" s="6"/>
      <c r="COD7" s="7"/>
      <c r="COE7" s="8"/>
      <c r="COF7" s="9"/>
      <c r="COG7" s="8"/>
      <c r="COH7" s="7"/>
      <c r="COI7" s="9"/>
      <c r="COJ7" s="8"/>
      <c r="COK7" s="8"/>
      <c r="COL7" s="7"/>
      <c r="COM7" s="9"/>
      <c r="CON7" s="2"/>
      <c r="COO7" s="2"/>
      <c r="COP7" s="2"/>
      <c r="COQ7" s="2"/>
      <c r="COR7" s="2"/>
      <c r="COS7" s="2"/>
      <c r="COT7" s="2"/>
      <c r="COU7" s="2"/>
      <c r="COV7" s="2"/>
      <c r="COW7" s="2"/>
      <c r="COX7" s="2"/>
      <c r="COY7" s="6"/>
      <c r="COZ7" s="7"/>
      <c r="CPA7" s="8"/>
      <c r="CPB7" s="9"/>
      <c r="CPC7" s="8"/>
      <c r="CPD7" s="7"/>
      <c r="CPE7" s="9"/>
      <c r="CPF7" s="8"/>
      <c r="CPG7" s="8"/>
      <c r="CPH7" s="7"/>
      <c r="CPI7" s="9"/>
      <c r="CPJ7" s="2"/>
      <c r="CPK7" s="2"/>
      <c r="CPL7" s="2"/>
      <c r="CPM7" s="2"/>
      <c r="CPN7" s="2"/>
      <c r="CPO7" s="2"/>
      <c r="CPP7" s="2"/>
      <c r="CPQ7" s="2"/>
      <c r="CPR7" s="2"/>
      <c r="CPS7" s="2"/>
      <c r="CPT7" s="2"/>
      <c r="CPU7" s="6"/>
      <c r="CPV7" s="7"/>
      <c r="CPW7" s="8"/>
      <c r="CPX7" s="9"/>
      <c r="CPY7" s="8"/>
      <c r="CPZ7" s="7"/>
      <c r="CQA7" s="9"/>
      <c r="CQB7" s="8"/>
      <c r="CQC7" s="8"/>
      <c r="CQD7" s="7"/>
      <c r="CQE7" s="9"/>
      <c r="CQF7" s="2"/>
      <c r="CQG7" s="2"/>
      <c r="CQH7" s="2"/>
      <c r="CQI7" s="2"/>
      <c r="CQJ7" s="2"/>
      <c r="CQK7" s="2"/>
      <c r="CQL7" s="2"/>
      <c r="CQM7" s="2"/>
      <c r="CQN7" s="2"/>
      <c r="CQO7" s="2"/>
      <c r="CQP7" s="2"/>
      <c r="CQQ7" s="6"/>
      <c r="CQR7" s="7"/>
      <c r="CQS7" s="8"/>
      <c r="CQT7" s="9"/>
      <c r="CQU7" s="8"/>
      <c r="CQV7" s="7"/>
      <c r="CQW7" s="9"/>
      <c r="CQX7" s="8"/>
      <c r="CQY7" s="8"/>
      <c r="CQZ7" s="7"/>
      <c r="CRA7" s="9"/>
      <c r="CRB7" s="2"/>
      <c r="CRC7" s="2"/>
      <c r="CRD7" s="2"/>
      <c r="CRE7" s="2"/>
      <c r="CRF7" s="2"/>
      <c r="CRG7" s="2"/>
      <c r="CRH7" s="2"/>
      <c r="CRI7" s="2"/>
      <c r="CRJ7" s="2"/>
      <c r="CRK7" s="2"/>
      <c r="CRL7" s="2"/>
      <c r="CRM7" s="6"/>
      <c r="CRN7" s="7"/>
      <c r="CRO7" s="8"/>
      <c r="CRP7" s="9"/>
      <c r="CRQ7" s="8"/>
      <c r="CRR7" s="7"/>
      <c r="CRS7" s="9"/>
      <c r="CRT7" s="8"/>
      <c r="CRU7" s="8"/>
      <c r="CRV7" s="7"/>
      <c r="CRW7" s="9"/>
      <c r="CRX7" s="2"/>
      <c r="CRY7" s="2"/>
      <c r="CRZ7" s="2"/>
      <c r="CSA7" s="2"/>
      <c r="CSB7" s="2"/>
      <c r="CSC7" s="2"/>
      <c r="CSD7" s="2"/>
      <c r="CSE7" s="2"/>
      <c r="CSF7" s="2"/>
      <c r="CSG7" s="2"/>
      <c r="CSH7" s="2"/>
      <c r="CSI7" s="6"/>
      <c r="CSJ7" s="7"/>
      <c r="CSK7" s="8"/>
      <c r="CSL7" s="9"/>
      <c r="CSM7" s="8"/>
      <c r="CSN7" s="7"/>
      <c r="CSO7" s="9"/>
      <c r="CSP7" s="8"/>
      <c r="CSQ7" s="8"/>
      <c r="CSR7" s="7"/>
      <c r="CSS7" s="9"/>
      <c r="CST7" s="2"/>
      <c r="CSU7" s="2"/>
      <c r="CSV7" s="2"/>
      <c r="CSW7" s="2"/>
      <c r="CSX7" s="2"/>
      <c r="CSY7" s="2"/>
      <c r="CSZ7" s="2"/>
      <c r="CTA7" s="2"/>
      <c r="CTB7" s="2"/>
      <c r="CTC7" s="2"/>
      <c r="CTD7" s="2"/>
      <c r="CTE7" s="6"/>
      <c r="CTF7" s="7"/>
      <c r="CTG7" s="8"/>
      <c r="CTH7" s="9"/>
      <c r="CTI7" s="8"/>
      <c r="CTJ7" s="7"/>
      <c r="CTK7" s="9"/>
      <c r="CTL7" s="8"/>
      <c r="CTM7" s="8"/>
      <c r="CTN7" s="7"/>
      <c r="CTO7" s="9"/>
      <c r="CTP7" s="2"/>
      <c r="CTQ7" s="2"/>
      <c r="CTR7" s="2"/>
      <c r="CTS7" s="2"/>
      <c r="CTT7" s="2"/>
      <c r="CTU7" s="2"/>
      <c r="CTV7" s="2"/>
      <c r="CTW7" s="2"/>
      <c r="CTX7" s="2"/>
      <c r="CTY7" s="2"/>
      <c r="CTZ7" s="2"/>
      <c r="CUA7" s="6"/>
      <c r="CUB7" s="7"/>
      <c r="CUC7" s="8"/>
      <c r="CUD7" s="9"/>
      <c r="CUE7" s="8"/>
      <c r="CUF7" s="7"/>
      <c r="CUG7" s="9"/>
      <c r="CUH7" s="8"/>
      <c r="CUI7" s="8"/>
      <c r="CUJ7" s="7"/>
      <c r="CUK7" s="9"/>
      <c r="CUL7" s="2"/>
      <c r="CUM7" s="2"/>
      <c r="CUN7" s="2"/>
      <c r="CUO7" s="2"/>
      <c r="CUP7" s="2"/>
      <c r="CUQ7" s="2"/>
      <c r="CUR7" s="2"/>
      <c r="CUS7" s="2"/>
      <c r="CUT7" s="2"/>
      <c r="CUU7" s="2"/>
      <c r="CUV7" s="2"/>
      <c r="CUW7" s="6"/>
      <c r="CUX7" s="7"/>
      <c r="CUY7" s="8"/>
      <c r="CUZ7" s="9"/>
      <c r="CVA7" s="8"/>
      <c r="CVB7" s="7"/>
      <c r="CVC7" s="9"/>
      <c r="CVD7" s="8"/>
      <c r="CVE7" s="8"/>
      <c r="CVF7" s="7"/>
      <c r="CVG7" s="9"/>
      <c r="CVH7" s="2"/>
      <c r="CVI7" s="2"/>
      <c r="CVJ7" s="2"/>
      <c r="CVK7" s="2"/>
      <c r="CVL7" s="2"/>
      <c r="CVM7" s="2"/>
      <c r="CVN7" s="2"/>
      <c r="CVO7" s="2"/>
      <c r="CVP7" s="2"/>
      <c r="CVQ7" s="2"/>
      <c r="CVR7" s="2"/>
      <c r="CVS7" s="6"/>
      <c r="CVT7" s="7"/>
      <c r="CVU7" s="8"/>
      <c r="CVV7" s="9"/>
      <c r="CVW7" s="8"/>
      <c r="CVX7" s="7"/>
      <c r="CVY7" s="9"/>
      <c r="CVZ7" s="8"/>
      <c r="CWA7" s="8"/>
      <c r="CWB7" s="7"/>
      <c r="CWC7" s="9"/>
      <c r="CWD7" s="2"/>
      <c r="CWE7" s="2"/>
      <c r="CWF7" s="2"/>
      <c r="CWG7" s="2"/>
      <c r="CWH7" s="2"/>
      <c r="CWI7" s="2"/>
      <c r="CWJ7" s="2"/>
      <c r="CWK7" s="2"/>
      <c r="CWL7" s="2"/>
      <c r="CWM7" s="2"/>
      <c r="CWN7" s="2"/>
      <c r="CWO7" s="6"/>
      <c r="CWP7" s="7"/>
      <c r="CWQ7" s="8"/>
      <c r="CWR7" s="9"/>
      <c r="CWS7" s="8"/>
      <c r="CWT7" s="7"/>
      <c r="CWU7" s="9"/>
      <c r="CWV7" s="8"/>
      <c r="CWW7" s="8"/>
      <c r="CWX7" s="7"/>
      <c r="CWY7" s="9"/>
      <c r="CWZ7" s="2"/>
      <c r="CXA7" s="2"/>
      <c r="CXB7" s="2"/>
      <c r="CXC7" s="2"/>
      <c r="CXD7" s="2"/>
      <c r="CXE7" s="2"/>
      <c r="CXF7" s="2"/>
      <c r="CXG7" s="2"/>
      <c r="CXH7" s="2"/>
      <c r="CXI7" s="2"/>
      <c r="CXJ7" s="2"/>
      <c r="CXK7" s="6"/>
      <c r="CXL7" s="7"/>
      <c r="CXM7" s="8"/>
      <c r="CXN7" s="9"/>
      <c r="CXO7" s="8"/>
      <c r="CXP7" s="7"/>
      <c r="CXQ7" s="9"/>
      <c r="CXR7" s="8"/>
      <c r="CXS7" s="8"/>
      <c r="CXT7" s="7"/>
      <c r="CXU7" s="9"/>
      <c r="CXV7" s="2"/>
      <c r="CXW7" s="2"/>
      <c r="CXX7" s="2"/>
      <c r="CXY7" s="2"/>
      <c r="CXZ7" s="2"/>
      <c r="CYA7" s="2"/>
      <c r="CYB7" s="2"/>
      <c r="CYC7" s="2"/>
      <c r="CYD7" s="2"/>
      <c r="CYE7" s="2"/>
      <c r="CYF7" s="2"/>
      <c r="CYG7" s="6"/>
      <c r="CYH7" s="7"/>
      <c r="CYI7" s="8"/>
      <c r="CYJ7" s="9"/>
      <c r="CYK7" s="8"/>
      <c r="CYL7" s="7"/>
      <c r="CYM7" s="9"/>
      <c r="CYN7" s="8"/>
      <c r="CYO7" s="8"/>
      <c r="CYP7" s="7"/>
      <c r="CYQ7" s="9"/>
      <c r="CYR7" s="2"/>
      <c r="CYS7" s="2"/>
      <c r="CYT7" s="2"/>
      <c r="CYU7" s="2"/>
      <c r="CYV7" s="2"/>
      <c r="CYW7" s="2"/>
      <c r="CYX7" s="2"/>
      <c r="CYY7" s="2"/>
      <c r="CYZ7" s="2"/>
      <c r="CZA7" s="2"/>
      <c r="CZB7" s="2"/>
      <c r="CZC7" s="6"/>
      <c r="CZD7" s="7"/>
      <c r="CZE7" s="8"/>
      <c r="CZF7" s="9"/>
      <c r="CZG7" s="8"/>
      <c r="CZH7" s="7"/>
      <c r="CZI7" s="9"/>
      <c r="CZJ7" s="8"/>
      <c r="CZK7" s="8"/>
      <c r="CZL7" s="7"/>
      <c r="CZM7" s="9"/>
      <c r="CZN7" s="2"/>
      <c r="CZO7" s="2"/>
      <c r="CZP7" s="2"/>
      <c r="CZQ7" s="2"/>
      <c r="CZR7" s="2"/>
      <c r="CZS7" s="2"/>
      <c r="CZT7" s="2"/>
      <c r="CZU7" s="2"/>
      <c r="CZV7" s="2"/>
      <c r="CZW7" s="2"/>
      <c r="CZX7" s="2"/>
      <c r="CZY7" s="6"/>
      <c r="CZZ7" s="7"/>
      <c r="DAA7" s="8"/>
      <c r="DAB7" s="9"/>
      <c r="DAC7" s="8"/>
      <c r="DAD7" s="7"/>
      <c r="DAE7" s="9"/>
      <c r="DAF7" s="8"/>
      <c r="DAG7" s="8"/>
      <c r="DAH7" s="7"/>
      <c r="DAI7" s="9"/>
      <c r="DAJ7" s="2"/>
      <c r="DAK7" s="2"/>
      <c r="DAL7" s="2"/>
      <c r="DAM7" s="2"/>
      <c r="DAN7" s="2"/>
      <c r="DAO7" s="2"/>
      <c r="DAP7" s="2"/>
      <c r="DAQ7" s="2"/>
      <c r="DAR7" s="2"/>
      <c r="DAS7" s="2"/>
      <c r="DAT7" s="2"/>
      <c r="DAU7" s="6"/>
      <c r="DAV7" s="7"/>
      <c r="DAW7" s="8"/>
      <c r="DAX7" s="9"/>
      <c r="DAY7" s="8"/>
      <c r="DAZ7" s="7"/>
      <c r="DBA7" s="9"/>
      <c r="DBB7" s="8"/>
      <c r="DBC7" s="8"/>
      <c r="DBD7" s="7"/>
      <c r="DBE7" s="9"/>
      <c r="DBF7" s="2"/>
      <c r="DBG7" s="2"/>
      <c r="DBH7" s="2"/>
      <c r="DBI7" s="2"/>
      <c r="DBJ7" s="2"/>
      <c r="DBK7" s="2"/>
      <c r="DBL7" s="2"/>
      <c r="DBM7" s="2"/>
      <c r="DBN7" s="2"/>
      <c r="DBO7" s="2"/>
      <c r="DBP7" s="2"/>
      <c r="DBQ7" s="6"/>
      <c r="DBR7" s="7"/>
      <c r="DBS7" s="8"/>
      <c r="DBT7" s="9"/>
      <c r="DBU7" s="8"/>
      <c r="DBV7" s="7"/>
      <c r="DBW7" s="9"/>
      <c r="DBX7" s="8"/>
      <c r="DBY7" s="8"/>
      <c r="DBZ7" s="7"/>
      <c r="DCA7" s="9"/>
      <c r="DCB7" s="2"/>
      <c r="DCC7" s="2"/>
      <c r="DCD7" s="2"/>
      <c r="DCE7" s="2"/>
      <c r="DCF7" s="2"/>
      <c r="DCG7" s="2"/>
      <c r="DCH7" s="2"/>
      <c r="DCI7" s="2"/>
      <c r="DCJ7" s="2"/>
      <c r="DCK7" s="2"/>
      <c r="DCL7" s="2"/>
      <c r="DCM7" s="6"/>
      <c r="DCN7" s="7"/>
      <c r="DCO7" s="8"/>
      <c r="DCP7" s="9"/>
      <c r="DCQ7" s="8"/>
      <c r="DCR7" s="7"/>
      <c r="DCS7" s="9"/>
      <c r="DCT7" s="8"/>
      <c r="DCU7" s="8"/>
      <c r="DCV7" s="7"/>
      <c r="DCW7" s="9"/>
      <c r="DCX7" s="2"/>
      <c r="DCY7" s="2"/>
      <c r="DCZ7" s="2"/>
      <c r="DDA7" s="2"/>
      <c r="DDB7" s="2"/>
      <c r="DDC7" s="2"/>
      <c r="DDD7" s="2"/>
      <c r="DDE7" s="2"/>
      <c r="DDF7" s="2"/>
      <c r="DDG7" s="2"/>
      <c r="DDH7" s="2"/>
      <c r="DDI7" s="6"/>
      <c r="DDJ7" s="7"/>
      <c r="DDK7" s="8"/>
      <c r="DDL7" s="9"/>
      <c r="DDM7" s="8"/>
      <c r="DDN7" s="7"/>
      <c r="DDO7" s="9"/>
      <c r="DDP7" s="8"/>
      <c r="DDQ7" s="8"/>
      <c r="DDR7" s="7"/>
      <c r="DDS7" s="9"/>
      <c r="DDT7" s="2"/>
      <c r="DDU7" s="2"/>
      <c r="DDV7" s="2"/>
      <c r="DDW7" s="2"/>
      <c r="DDX7" s="2"/>
      <c r="DDY7" s="2"/>
      <c r="DDZ7" s="2"/>
      <c r="DEA7" s="2"/>
      <c r="DEB7" s="2"/>
      <c r="DEC7" s="2"/>
      <c r="DED7" s="2"/>
      <c r="DEE7" s="6"/>
      <c r="DEF7" s="7"/>
      <c r="DEG7" s="8"/>
      <c r="DEH7" s="9"/>
      <c r="DEI7" s="8"/>
      <c r="DEJ7" s="7"/>
      <c r="DEK7" s="9"/>
      <c r="DEL7" s="8"/>
      <c r="DEM7" s="8"/>
      <c r="DEN7" s="7"/>
      <c r="DEO7" s="9"/>
      <c r="DEP7" s="2"/>
      <c r="DEQ7" s="2"/>
      <c r="DER7" s="2"/>
      <c r="DES7" s="2"/>
      <c r="DET7" s="2"/>
      <c r="DEU7" s="2"/>
      <c r="DEV7" s="2"/>
      <c r="DEW7" s="2"/>
      <c r="DEX7" s="2"/>
      <c r="DEY7" s="2"/>
      <c r="DEZ7" s="2"/>
      <c r="DFA7" s="6"/>
      <c r="DFB7" s="7"/>
      <c r="DFC7" s="8"/>
      <c r="DFD7" s="9"/>
      <c r="DFE7" s="8"/>
      <c r="DFF7" s="7"/>
      <c r="DFG7" s="9"/>
      <c r="DFH7" s="8"/>
      <c r="DFI7" s="8"/>
      <c r="DFJ7" s="7"/>
      <c r="DFK7" s="9"/>
      <c r="DFL7" s="2"/>
      <c r="DFM7" s="2"/>
      <c r="DFN7" s="2"/>
      <c r="DFO7" s="2"/>
      <c r="DFP7" s="2"/>
      <c r="DFQ7" s="2"/>
      <c r="DFR7" s="2"/>
      <c r="DFS7" s="2"/>
      <c r="DFT7" s="2"/>
      <c r="DFU7" s="2"/>
      <c r="DFV7" s="2"/>
      <c r="DFW7" s="6"/>
      <c r="DFX7" s="7"/>
      <c r="DFY7" s="8"/>
      <c r="DFZ7" s="9"/>
      <c r="DGA7" s="8"/>
      <c r="DGB7" s="7"/>
      <c r="DGC7" s="9"/>
      <c r="DGD7" s="8"/>
      <c r="DGE7" s="8"/>
      <c r="DGF7" s="7"/>
      <c r="DGG7" s="9"/>
      <c r="DGH7" s="2"/>
      <c r="DGI7" s="2"/>
      <c r="DGJ7" s="2"/>
      <c r="DGK7" s="2"/>
      <c r="DGL7" s="2"/>
      <c r="DGM7" s="2"/>
      <c r="DGN7" s="2"/>
      <c r="DGO7" s="2"/>
      <c r="DGP7" s="2"/>
      <c r="DGQ7" s="2"/>
      <c r="DGR7" s="2"/>
      <c r="DGS7" s="6"/>
      <c r="DGT7" s="7"/>
      <c r="DGU7" s="8"/>
      <c r="DGV7" s="9"/>
      <c r="DGW7" s="8"/>
      <c r="DGX7" s="7"/>
      <c r="DGY7" s="9"/>
      <c r="DGZ7" s="8"/>
      <c r="DHA7" s="8"/>
      <c r="DHB7" s="7"/>
      <c r="DHC7" s="9"/>
      <c r="DHD7" s="2"/>
      <c r="DHE7" s="2"/>
      <c r="DHF7" s="2"/>
      <c r="DHG7" s="2"/>
      <c r="DHH7" s="2"/>
      <c r="DHI7" s="2"/>
      <c r="DHJ7" s="2"/>
      <c r="DHK7" s="2"/>
      <c r="DHL7" s="2"/>
      <c r="DHM7" s="2"/>
      <c r="DHN7" s="2"/>
      <c r="DHO7" s="6"/>
      <c r="DHP7" s="7"/>
      <c r="DHQ7" s="8"/>
      <c r="DHR7" s="9"/>
      <c r="DHS7" s="8"/>
      <c r="DHT7" s="7"/>
      <c r="DHU7" s="9"/>
      <c r="DHV7" s="8"/>
      <c r="DHW7" s="8"/>
      <c r="DHX7" s="7"/>
      <c r="DHY7" s="9"/>
      <c r="DHZ7" s="2"/>
      <c r="DIA7" s="2"/>
      <c r="DIB7" s="2"/>
      <c r="DIC7" s="2"/>
      <c r="DID7" s="2"/>
      <c r="DIE7" s="2"/>
      <c r="DIF7" s="2"/>
      <c r="DIG7" s="2"/>
      <c r="DIH7" s="2"/>
      <c r="DII7" s="2"/>
      <c r="DIJ7" s="2"/>
      <c r="DIK7" s="6"/>
      <c r="DIL7" s="7"/>
      <c r="DIM7" s="8"/>
      <c r="DIN7" s="9"/>
      <c r="DIO7" s="8"/>
      <c r="DIP7" s="7"/>
      <c r="DIQ7" s="9"/>
      <c r="DIR7" s="8"/>
      <c r="DIS7" s="8"/>
      <c r="DIT7" s="7"/>
      <c r="DIU7" s="9"/>
      <c r="DIV7" s="2"/>
      <c r="DIW7" s="2"/>
      <c r="DIX7" s="2"/>
      <c r="DIY7" s="2"/>
      <c r="DIZ7" s="2"/>
      <c r="DJA7" s="2"/>
      <c r="DJB7" s="2"/>
      <c r="DJC7" s="2"/>
      <c r="DJD7" s="2"/>
      <c r="DJE7" s="2"/>
      <c r="DJF7" s="2"/>
      <c r="DJG7" s="6"/>
      <c r="DJH7" s="7"/>
      <c r="DJI7" s="8"/>
      <c r="DJJ7" s="9"/>
      <c r="DJK7" s="8"/>
      <c r="DJL7" s="7"/>
      <c r="DJM7" s="9"/>
      <c r="DJN7" s="8"/>
      <c r="DJO7" s="8"/>
      <c r="DJP7" s="7"/>
      <c r="DJQ7" s="9"/>
      <c r="DJR7" s="2"/>
      <c r="DJS7" s="2"/>
      <c r="DJT7" s="2"/>
      <c r="DJU7" s="2"/>
      <c r="DJV7" s="2"/>
      <c r="DJW7" s="2"/>
      <c r="DJX7" s="2"/>
      <c r="DJY7" s="2"/>
      <c r="DJZ7" s="2"/>
      <c r="DKA7" s="2"/>
      <c r="DKB7" s="2"/>
      <c r="DKC7" s="6"/>
      <c r="DKD7" s="7"/>
      <c r="DKE7" s="8"/>
      <c r="DKF7" s="9"/>
      <c r="DKG7" s="8"/>
      <c r="DKH7" s="7"/>
      <c r="DKI7" s="9"/>
      <c r="DKJ7" s="8"/>
      <c r="DKK7" s="8"/>
      <c r="DKL7" s="7"/>
      <c r="DKM7" s="9"/>
      <c r="DKN7" s="2"/>
      <c r="DKO7" s="2"/>
      <c r="DKP7" s="2"/>
      <c r="DKQ7" s="2"/>
      <c r="DKR7" s="2"/>
      <c r="DKS7" s="2"/>
      <c r="DKT7" s="2"/>
      <c r="DKU7" s="2"/>
      <c r="DKV7" s="2"/>
      <c r="DKW7" s="2"/>
      <c r="DKX7" s="2"/>
      <c r="DKY7" s="6"/>
      <c r="DKZ7" s="7"/>
      <c r="DLA7" s="8"/>
      <c r="DLB7" s="9"/>
      <c r="DLC7" s="8"/>
      <c r="DLD7" s="7"/>
      <c r="DLE7" s="9"/>
      <c r="DLF7" s="8"/>
      <c r="DLG7" s="8"/>
      <c r="DLH7" s="7"/>
      <c r="DLI7" s="9"/>
      <c r="DLJ7" s="2"/>
      <c r="DLK7" s="2"/>
      <c r="DLL7" s="2"/>
      <c r="DLM7" s="2"/>
      <c r="DLN7" s="2"/>
      <c r="DLO7" s="2"/>
      <c r="DLP7" s="2"/>
      <c r="DLQ7" s="2"/>
      <c r="DLR7" s="2"/>
      <c r="DLS7" s="2"/>
      <c r="DLT7" s="2"/>
      <c r="DLU7" s="6"/>
      <c r="DLV7" s="7"/>
      <c r="DLW7" s="8"/>
      <c r="DLX7" s="9"/>
      <c r="DLY7" s="8"/>
      <c r="DLZ7" s="7"/>
      <c r="DMA7" s="9"/>
      <c r="DMB7" s="8"/>
      <c r="DMC7" s="8"/>
      <c r="DMD7" s="7"/>
      <c r="DME7" s="9"/>
      <c r="DMF7" s="2"/>
      <c r="DMG7" s="2"/>
      <c r="DMH7" s="2"/>
      <c r="DMI7" s="2"/>
      <c r="DMJ7" s="2"/>
      <c r="DMK7" s="2"/>
      <c r="DML7" s="2"/>
      <c r="DMM7" s="2"/>
      <c r="DMN7" s="2"/>
      <c r="DMO7" s="2"/>
      <c r="DMP7" s="2"/>
      <c r="DMQ7" s="6"/>
      <c r="DMR7" s="7"/>
      <c r="DMS7" s="8"/>
      <c r="DMT7" s="9"/>
      <c r="DMU7" s="8"/>
      <c r="DMV7" s="7"/>
      <c r="DMW7" s="9"/>
      <c r="DMX7" s="8"/>
      <c r="DMY7" s="8"/>
      <c r="DMZ7" s="7"/>
      <c r="DNA7" s="9"/>
      <c r="DNB7" s="2"/>
      <c r="DNC7" s="2"/>
      <c r="DND7" s="2"/>
      <c r="DNE7" s="2"/>
      <c r="DNF7" s="2"/>
      <c r="DNG7" s="2"/>
      <c r="DNH7" s="2"/>
      <c r="DNI7" s="2"/>
      <c r="DNJ7" s="2"/>
      <c r="DNK7" s="2"/>
      <c r="DNL7" s="2"/>
      <c r="DNM7" s="6"/>
      <c r="DNN7" s="7"/>
      <c r="DNO7" s="8"/>
      <c r="DNP7" s="9"/>
      <c r="DNQ7" s="8"/>
      <c r="DNR7" s="7"/>
      <c r="DNS7" s="9"/>
      <c r="DNT7" s="8"/>
      <c r="DNU7" s="8"/>
      <c r="DNV7" s="7"/>
      <c r="DNW7" s="9"/>
      <c r="DNX7" s="2"/>
      <c r="DNY7" s="2"/>
      <c r="DNZ7" s="2"/>
      <c r="DOA7" s="2"/>
      <c r="DOB7" s="2"/>
      <c r="DOC7" s="2"/>
      <c r="DOD7" s="2"/>
      <c r="DOE7" s="2"/>
      <c r="DOF7" s="2"/>
      <c r="DOG7" s="2"/>
      <c r="DOH7" s="2"/>
      <c r="DOI7" s="6"/>
      <c r="DOJ7" s="7"/>
      <c r="DOK7" s="8"/>
      <c r="DOL7" s="9"/>
      <c r="DOM7" s="8"/>
      <c r="DON7" s="7"/>
      <c r="DOO7" s="9"/>
      <c r="DOP7" s="8"/>
      <c r="DOQ7" s="8"/>
      <c r="DOR7" s="7"/>
      <c r="DOS7" s="9"/>
      <c r="DOT7" s="2"/>
      <c r="DOU7" s="2"/>
      <c r="DOV7" s="2"/>
      <c r="DOW7" s="2"/>
      <c r="DOX7" s="2"/>
      <c r="DOY7" s="2"/>
      <c r="DOZ7" s="2"/>
      <c r="DPA7" s="2"/>
      <c r="DPB7" s="2"/>
      <c r="DPC7" s="2"/>
      <c r="DPD7" s="2"/>
      <c r="DPE7" s="6"/>
      <c r="DPF7" s="7"/>
      <c r="DPG7" s="8"/>
      <c r="DPH7" s="9"/>
      <c r="DPI7" s="8"/>
      <c r="DPJ7" s="7"/>
      <c r="DPK7" s="9"/>
      <c r="DPL7" s="8"/>
      <c r="DPM7" s="8"/>
      <c r="DPN7" s="7"/>
      <c r="DPO7" s="9"/>
      <c r="DPP7" s="2"/>
      <c r="DPQ7" s="2"/>
      <c r="DPR7" s="2"/>
      <c r="DPS7" s="2"/>
      <c r="DPT7" s="2"/>
      <c r="DPU7" s="2"/>
      <c r="DPV7" s="2"/>
      <c r="DPW7" s="2"/>
      <c r="DPX7" s="2"/>
      <c r="DPY7" s="2"/>
      <c r="DPZ7" s="2"/>
      <c r="DQA7" s="6"/>
      <c r="DQB7" s="7"/>
      <c r="DQC7" s="8"/>
      <c r="DQD7" s="9"/>
      <c r="DQE7" s="8"/>
      <c r="DQF7" s="7"/>
      <c r="DQG7" s="9"/>
      <c r="DQH7" s="8"/>
      <c r="DQI7" s="8"/>
      <c r="DQJ7" s="7"/>
      <c r="DQK7" s="9"/>
      <c r="DQL7" s="2"/>
      <c r="DQM7" s="2"/>
      <c r="DQN7" s="2"/>
      <c r="DQO7" s="2"/>
      <c r="DQP7" s="2"/>
      <c r="DQQ7" s="2"/>
      <c r="DQR7" s="2"/>
      <c r="DQS7" s="2"/>
      <c r="DQT7" s="2"/>
      <c r="DQU7" s="2"/>
      <c r="DQV7" s="2"/>
      <c r="DQW7" s="6"/>
      <c r="DQX7" s="7"/>
      <c r="DQY7" s="8"/>
      <c r="DQZ7" s="9"/>
      <c r="DRA7" s="8"/>
      <c r="DRB7" s="7"/>
      <c r="DRC7" s="9"/>
      <c r="DRD7" s="8"/>
      <c r="DRE7" s="8"/>
      <c r="DRF7" s="7"/>
      <c r="DRG7" s="9"/>
      <c r="DRH7" s="2"/>
      <c r="DRI7" s="2"/>
      <c r="DRJ7" s="2"/>
      <c r="DRK7" s="2"/>
      <c r="DRL7" s="2"/>
      <c r="DRM7" s="2"/>
      <c r="DRN7" s="2"/>
      <c r="DRO7" s="2"/>
      <c r="DRP7" s="2"/>
      <c r="DRQ7" s="2"/>
      <c r="DRR7" s="2"/>
      <c r="DRS7" s="6"/>
      <c r="DRT7" s="7"/>
      <c r="DRU7" s="8"/>
      <c r="DRV7" s="9"/>
      <c r="DRW7" s="8"/>
      <c r="DRX7" s="7"/>
      <c r="DRY7" s="9"/>
      <c r="DRZ7" s="8"/>
      <c r="DSA7" s="8"/>
      <c r="DSB7" s="7"/>
      <c r="DSC7" s="9"/>
      <c r="DSD7" s="2"/>
      <c r="DSE7" s="2"/>
      <c r="DSF7" s="2"/>
      <c r="DSG7" s="2"/>
      <c r="DSH7" s="2"/>
      <c r="DSI7" s="2"/>
      <c r="DSJ7" s="2"/>
      <c r="DSK7" s="2"/>
      <c r="DSL7" s="2"/>
      <c r="DSM7" s="2"/>
      <c r="DSN7" s="2"/>
      <c r="DSO7" s="6"/>
      <c r="DSP7" s="7"/>
      <c r="DSQ7" s="8"/>
      <c r="DSR7" s="9"/>
      <c r="DSS7" s="8"/>
      <c r="DST7" s="7"/>
      <c r="DSU7" s="9"/>
      <c r="DSV7" s="8"/>
      <c r="DSW7" s="8"/>
      <c r="DSX7" s="7"/>
      <c r="DSY7" s="9"/>
      <c r="DSZ7" s="2"/>
      <c r="DTA7" s="2"/>
      <c r="DTB7" s="2"/>
      <c r="DTC7" s="2"/>
      <c r="DTD7" s="2"/>
      <c r="DTE7" s="2"/>
      <c r="DTF7" s="2"/>
      <c r="DTG7" s="2"/>
      <c r="DTH7" s="2"/>
      <c r="DTI7" s="2"/>
      <c r="DTJ7" s="2"/>
      <c r="DTK7" s="6"/>
      <c r="DTL7" s="7"/>
      <c r="DTM7" s="8"/>
      <c r="DTN7" s="9"/>
      <c r="DTO7" s="8"/>
      <c r="DTP7" s="7"/>
      <c r="DTQ7" s="9"/>
      <c r="DTR7" s="8"/>
      <c r="DTS7" s="8"/>
      <c r="DTT7" s="7"/>
      <c r="DTU7" s="9"/>
      <c r="DTV7" s="2"/>
      <c r="DTW7" s="2"/>
      <c r="DTX7" s="2"/>
      <c r="DTY7" s="2"/>
      <c r="DTZ7" s="2"/>
      <c r="DUA7" s="2"/>
      <c r="DUB7" s="2"/>
      <c r="DUC7" s="2"/>
      <c r="DUD7" s="2"/>
      <c r="DUE7" s="2"/>
      <c r="DUF7" s="2"/>
      <c r="DUG7" s="6"/>
      <c r="DUH7" s="7"/>
      <c r="DUI7" s="8"/>
      <c r="DUJ7" s="9"/>
      <c r="DUK7" s="8"/>
      <c r="DUL7" s="7"/>
      <c r="DUM7" s="9"/>
      <c r="DUN7" s="8"/>
      <c r="DUO7" s="8"/>
      <c r="DUP7" s="7"/>
      <c r="DUQ7" s="9"/>
      <c r="DUR7" s="2"/>
      <c r="DUS7" s="2"/>
      <c r="DUT7" s="2"/>
      <c r="DUU7" s="2"/>
      <c r="DUV7" s="2"/>
      <c r="DUW7" s="2"/>
      <c r="DUX7" s="2"/>
      <c r="DUY7" s="2"/>
      <c r="DUZ7" s="2"/>
      <c r="DVA7" s="2"/>
      <c r="DVB7" s="2"/>
      <c r="DVC7" s="6"/>
      <c r="DVD7" s="7"/>
      <c r="DVE7" s="8"/>
      <c r="DVF7" s="9"/>
      <c r="DVG7" s="8"/>
      <c r="DVH7" s="7"/>
      <c r="DVI7" s="9"/>
      <c r="DVJ7" s="8"/>
      <c r="DVK7" s="8"/>
      <c r="DVL7" s="7"/>
      <c r="DVM7" s="9"/>
      <c r="DVN7" s="2"/>
      <c r="DVO7" s="2"/>
      <c r="DVP7" s="2"/>
      <c r="DVQ7" s="2"/>
      <c r="DVR7" s="2"/>
      <c r="DVS7" s="2"/>
      <c r="DVT7" s="2"/>
      <c r="DVU7" s="2"/>
      <c r="DVV7" s="2"/>
      <c r="DVW7" s="2"/>
      <c r="DVX7" s="2"/>
      <c r="DVY7" s="6"/>
      <c r="DVZ7" s="7"/>
      <c r="DWA7" s="8"/>
      <c r="DWB7" s="9"/>
      <c r="DWC7" s="8"/>
      <c r="DWD7" s="7"/>
      <c r="DWE7" s="9"/>
      <c r="DWF7" s="8"/>
      <c r="DWG7" s="8"/>
      <c r="DWH7" s="7"/>
      <c r="DWI7" s="9"/>
      <c r="DWJ7" s="2"/>
      <c r="DWK7" s="2"/>
      <c r="DWL7" s="2"/>
      <c r="DWM7" s="2"/>
      <c r="DWN7" s="2"/>
      <c r="DWO7" s="2"/>
      <c r="DWP7" s="2"/>
      <c r="DWQ7" s="2"/>
      <c r="DWR7" s="2"/>
      <c r="DWS7" s="2"/>
      <c r="DWT7" s="2"/>
      <c r="DWU7" s="6"/>
      <c r="DWV7" s="7"/>
      <c r="DWW7" s="8"/>
      <c r="DWX7" s="9"/>
      <c r="DWY7" s="8"/>
      <c r="DWZ7" s="7"/>
      <c r="DXA7" s="9"/>
      <c r="DXB7" s="8"/>
      <c r="DXC7" s="8"/>
      <c r="DXD7" s="7"/>
      <c r="DXE7" s="9"/>
      <c r="DXF7" s="2"/>
      <c r="DXG7" s="2"/>
      <c r="DXH7" s="2"/>
      <c r="DXI7" s="2"/>
      <c r="DXJ7" s="2"/>
      <c r="DXK7" s="2"/>
      <c r="DXL7" s="2"/>
      <c r="DXM7" s="2"/>
      <c r="DXN7" s="2"/>
      <c r="DXO7" s="2"/>
      <c r="DXP7" s="2"/>
      <c r="DXQ7" s="6"/>
      <c r="DXR7" s="7"/>
      <c r="DXS7" s="8"/>
      <c r="DXT7" s="9"/>
      <c r="DXU7" s="8"/>
      <c r="DXV7" s="7"/>
      <c r="DXW7" s="9"/>
      <c r="DXX7" s="8"/>
      <c r="DXY7" s="8"/>
      <c r="DXZ7" s="7"/>
      <c r="DYA7" s="9"/>
      <c r="DYB7" s="2"/>
      <c r="DYC7" s="2"/>
      <c r="DYD7" s="2"/>
      <c r="DYE7" s="2"/>
      <c r="DYF7" s="2"/>
      <c r="DYG7" s="2"/>
      <c r="DYH7" s="2"/>
      <c r="DYI7" s="2"/>
      <c r="DYJ7" s="2"/>
      <c r="DYK7" s="2"/>
      <c r="DYL7" s="2"/>
      <c r="DYM7" s="6"/>
      <c r="DYN7" s="7"/>
      <c r="DYO7" s="8"/>
      <c r="DYP7" s="9"/>
      <c r="DYQ7" s="8"/>
      <c r="DYR7" s="7"/>
      <c r="DYS7" s="9"/>
      <c r="DYT7" s="8"/>
      <c r="DYU7" s="8"/>
      <c r="DYV7" s="7"/>
      <c r="DYW7" s="9"/>
      <c r="DYX7" s="2"/>
      <c r="DYY7" s="2"/>
      <c r="DYZ7" s="2"/>
      <c r="DZA7" s="2"/>
      <c r="DZB7" s="2"/>
      <c r="DZC7" s="2"/>
      <c r="DZD7" s="2"/>
      <c r="DZE7" s="2"/>
      <c r="DZF7" s="2"/>
      <c r="DZG7" s="2"/>
      <c r="DZH7" s="2"/>
      <c r="DZI7" s="6"/>
      <c r="DZJ7" s="7"/>
      <c r="DZK7" s="8"/>
      <c r="DZL7" s="9"/>
      <c r="DZM7" s="8"/>
      <c r="DZN7" s="7"/>
      <c r="DZO7" s="9"/>
      <c r="DZP7" s="8"/>
      <c r="DZQ7" s="8"/>
      <c r="DZR7" s="7"/>
      <c r="DZS7" s="9"/>
      <c r="DZT7" s="2"/>
      <c r="DZU7" s="2"/>
      <c r="DZV7" s="2"/>
      <c r="DZW7" s="2"/>
      <c r="DZX7" s="2"/>
      <c r="DZY7" s="2"/>
      <c r="DZZ7" s="2"/>
      <c r="EAA7" s="2"/>
      <c r="EAB7" s="2"/>
      <c r="EAC7" s="2"/>
      <c r="EAD7" s="2"/>
      <c r="EAE7" s="6"/>
      <c r="EAF7" s="7"/>
      <c r="EAG7" s="8"/>
      <c r="EAH7" s="9"/>
      <c r="EAI7" s="8"/>
      <c r="EAJ7" s="7"/>
      <c r="EAK7" s="9"/>
      <c r="EAL7" s="8"/>
      <c r="EAM7" s="8"/>
      <c r="EAN7" s="7"/>
      <c r="EAO7" s="9"/>
      <c r="EAP7" s="2"/>
      <c r="EAQ7" s="2"/>
      <c r="EAR7" s="2"/>
      <c r="EAS7" s="2"/>
      <c r="EAT7" s="2"/>
      <c r="EAU7" s="2"/>
      <c r="EAV7" s="2"/>
      <c r="EAW7" s="2"/>
      <c r="EAX7" s="2"/>
      <c r="EAY7" s="2"/>
      <c r="EAZ7" s="2"/>
      <c r="EBA7" s="6"/>
      <c r="EBB7" s="7"/>
      <c r="EBC7" s="8"/>
      <c r="EBD7" s="9"/>
      <c r="EBE7" s="8"/>
      <c r="EBF7" s="7"/>
      <c r="EBG7" s="9"/>
      <c r="EBH7" s="8"/>
      <c r="EBI7" s="8"/>
      <c r="EBJ7" s="7"/>
      <c r="EBK7" s="9"/>
      <c r="EBL7" s="2"/>
      <c r="EBM7" s="2"/>
      <c r="EBN7" s="2"/>
      <c r="EBO7" s="2"/>
      <c r="EBP7" s="2"/>
      <c r="EBQ7" s="2"/>
      <c r="EBR7" s="2"/>
      <c r="EBS7" s="2"/>
      <c r="EBT7" s="2"/>
      <c r="EBU7" s="2"/>
      <c r="EBV7" s="2"/>
      <c r="EBW7" s="6"/>
      <c r="EBX7" s="7"/>
      <c r="EBY7" s="8"/>
      <c r="EBZ7" s="9"/>
      <c r="ECA7" s="8"/>
      <c r="ECB7" s="7"/>
      <c r="ECC7" s="9"/>
      <c r="ECD7" s="8"/>
      <c r="ECE7" s="8"/>
      <c r="ECF7" s="7"/>
      <c r="ECG7" s="9"/>
      <c r="ECH7" s="2"/>
      <c r="ECI7" s="2"/>
      <c r="ECJ7" s="2"/>
      <c r="ECK7" s="2"/>
      <c r="ECL7" s="2"/>
      <c r="ECM7" s="2"/>
      <c r="ECN7" s="2"/>
      <c r="ECO7" s="2"/>
      <c r="ECP7" s="2"/>
      <c r="ECQ7" s="2"/>
      <c r="ECR7" s="2"/>
      <c r="ECS7" s="6"/>
      <c r="ECT7" s="7"/>
      <c r="ECU7" s="8"/>
      <c r="ECV7" s="9"/>
      <c r="ECW7" s="8"/>
      <c r="ECX7" s="7"/>
      <c r="ECY7" s="9"/>
      <c r="ECZ7" s="8"/>
      <c r="EDA7" s="8"/>
      <c r="EDB7" s="7"/>
      <c r="EDC7" s="9"/>
      <c r="EDD7" s="2"/>
      <c r="EDE7" s="2"/>
      <c r="EDF7" s="2"/>
      <c r="EDG7" s="2"/>
      <c r="EDH7" s="2"/>
      <c r="EDI7" s="2"/>
      <c r="EDJ7" s="2"/>
      <c r="EDK7" s="2"/>
      <c r="EDL7" s="2"/>
      <c r="EDM7" s="2"/>
      <c r="EDN7" s="2"/>
      <c r="EDO7" s="6"/>
      <c r="EDP7" s="7"/>
      <c r="EDQ7" s="8"/>
      <c r="EDR7" s="9"/>
      <c r="EDS7" s="8"/>
      <c r="EDT7" s="7"/>
      <c r="EDU7" s="9"/>
      <c r="EDV7" s="8"/>
      <c r="EDW7" s="8"/>
      <c r="EDX7" s="7"/>
      <c r="EDY7" s="9"/>
      <c r="EDZ7" s="2"/>
      <c r="EEA7" s="2"/>
      <c r="EEB7" s="2"/>
      <c r="EEC7" s="2"/>
      <c r="EED7" s="2"/>
      <c r="EEE7" s="2"/>
      <c r="EEF7" s="2"/>
      <c r="EEG7" s="2"/>
      <c r="EEH7" s="2"/>
      <c r="EEI7" s="2"/>
      <c r="EEJ7" s="2"/>
      <c r="EEK7" s="6"/>
      <c r="EEL7" s="7"/>
      <c r="EEM7" s="8"/>
      <c r="EEN7" s="9"/>
      <c r="EEO7" s="8"/>
      <c r="EEP7" s="7"/>
      <c r="EEQ7" s="9"/>
      <c r="EER7" s="8"/>
      <c r="EES7" s="8"/>
      <c r="EET7" s="7"/>
      <c r="EEU7" s="9"/>
      <c r="EEV7" s="2"/>
      <c r="EEW7" s="2"/>
      <c r="EEX7" s="2"/>
      <c r="EEY7" s="2"/>
      <c r="EEZ7" s="2"/>
      <c r="EFA7" s="2"/>
      <c r="EFB7" s="2"/>
      <c r="EFC7" s="2"/>
      <c r="EFD7" s="2"/>
      <c r="EFE7" s="2"/>
      <c r="EFF7" s="2"/>
      <c r="EFG7" s="6"/>
      <c r="EFH7" s="7"/>
      <c r="EFI7" s="8"/>
      <c r="EFJ7" s="9"/>
      <c r="EFK7" s="8"/>
      <c r="EFL7" s="7"/>
      <c r="EFM7" s="9"/>
      <c r="EFN7" s="8"/>
      <c r="EFO7" s="8"/>
      <c r="EFP7" s="7"/>
      <c r="EFQ7" s="9"/>
      <c r="EFR7" s="2"/>
      <c r="EFS7" s="2"/>
      <c r="EFT7" s="2"/>
      <c r="EFU7" s="2"/>
      <c r="EFV7" s="2"/>
      <c r="EFW7" s="2"/>
      <c r="EFX7" s="2"/>
      <c r="EFY7" s="2"/>
      <c r="EFZ7" s="2"/>
      <c r="EGA7" s="2"/>
      <c r="EGB7" s="2"/>
      <c r="EGC7" s="6"/>
      <c r="EGD7" s="7"/>
      <c r="EGE7" s="8"/>
      <c r="EGF7" s="9"/>
      <c r="EGG7" s="8"/>
      <c r="EGH7" s="7"/>
      <c r="EGI7" s="9"/>
      <c r="EGJ7" s="8"/>
      <c r="EGK7" s="8"/>
      <c r="EGL7" s="7"/>
      <c r="EGM7" s="9"/>
      <c r="EGN7" s="2"/>
      <c r="EGO7" s="2"/>
      <c r="EGP7" s="2"/>
      <c r="EGQ7" s="2"/>
      <c r="EGR7" s="2"/>
      <c r="EGS7" s="2"/>
      <c r="EGT7" s="2"/>
      <c r="EGU7" s="2"/>
      <c r="EGV7" s="2"/>
      <c r="EGW7" s="2"/>
      <c r="EGX7" s="2"/>
      <c r="EGY7" s="6"/>
      <c r="EGZ7" s="7"/>
      <c r="EHA7" s="8"/>
      <c r="EHB7" s="9"/>
      <c r="EHC7" s="8"/>
      <c r="EHD7" s="7"/>
      <c r="EHE7" s="9"/>
      <c r="EHF7" s="8"/>
      <c r="EHG7" s="8"/>
      <c r="EHH7" s="7"/>
      <c r="EHI7" s="9"/>
      <c r="EHJ7" s="2"/>
      <c r="EHK7" s="2"/>
      <c r="EHL7" s="2"/>
      <c r="EHM7" s="2"/>
      <c r="EHN7" s="2"/>
      <c r="EHO7" s="2"/>
      <c r="EHP7" s="2"/>
      <c r="EHQ7" s="2"/>
      <c r="EHR7" s="2"/>
      <c r="EHS7" s="2"/>
      <c r="EHT7" s="2"/>
      <c r="EHU7" s="6"/>
      <c r="EHV7" s="7"/>
      <c r="EHW7" s="8"/>
      <c r="EHX7" s="9"/>
      <c r="EHY7" s="8"/>
      <c r="EHZ7" s="7"/>
      <c r="EIA7" s="9"/>
      <c r="EIB7" s="8"/>
      <c r="EIC7" s="8"/>
      <c r="EID7" s="7"/>
      <c r="EIE7" s="9"/>
      <c r="EIF7" s="2"/>
      <c r="EIG7" s="2"/>
      <c r="EIH7" s="2"/>
      <c r="EII7" s="2"/>
      <c r="EIJ7" s="2"/>
      <c r="EIK7" s="2"/>
      <c r="EIL7" s="2"/>
      <c r="EIM7" s="2"/>
      <c r="EIN7" s="2"/>
      <c r="EIO7" s="2"/>
      <c r="EIP7" s="2"/>
      <c r="EIQ7" s="6"/>
      <c r="EIR7" s="7"/>
      <c r="EIS7" s="8"/>
      <c r="EIT7" s="9"/>
      <c r="EIU7" s="8"/>
      <c r="EIV7" s="7"/>
      <c r="EIW7" s="9"/>
      <c r="EIX7" s="8"/>
      <c r="EIY7" s="8"/>
      <c r="EIZ7" s="7"/>
      <c r="EJA7" s="9"/>
      <c r="EJB7" s="2"/>
      <c r="EJC7" s="2"/>
      <c r="EJD7" s="2"/>
      <c r="EJE7" s="2"/>
      <c r="EJF7" s="2"/>
      <c r="EJG7" s="2"/>
      <c r="EJH7" s="2"/>
      <c r="EJI7" s="2"/>
      <c r="EJJ7" s="2"/>
      <c r="EJK7" s="2"/>
      <c r="EJL7" s="2"/>
      <c r="EJM7" s="6"/>
      <c r="EJN7" s="7"/>
      <c r="EJO7" s="8"/>
      <c r="EJP7" s="9"/>
      <c r="EJQ7" s="8"/>
      <c r="EJR7" s="7"/>
      <c r="EJS7" s="9"/>
      <c r="EJT7" s="8"/>
      <c r="EJU7" s="8"/>
      <c r="EJV7" s="7"/>
      <c r="EJW7" s="9"/>
      <c r="EJX7" s="2"/>
      <c r="EJY7" s="2"/>
      <c r="EJZ7" s="2"/>
      <c r="EKA7" s="2"/>
      <c r="EKB7" s="2"/>
      <c r="EKC7" s="2"/>
      <c r="EKD7" s="2"/>
      <c r="EKE7" s="2"/>
      <c r="EKF7" s="2"/>
      <c r="EKG7" s="2"/>
      <c r="EKH7" s="2"/>
      <c r="EKI7" s="6"/>
      <c r="EKJ7" s="7"/>
      <c r="EKK7" s="8"/>
      <c r="EKL7" s="9"/>
      <c r="EKM7" s="8"/>
      <c r="EKN7" s="7"/>
      <c r="EKO7" s="9"/>
      <c r="EKP7" s="8"/>
      <c r="EKQ7" s="8"/>
      <c r="EKR7" s="7"/>
      <c r="EKS7" s="9"/>
      <c r="EKT7" s="2"/>
      <c r="EKU7" s="2"/>
      <c r="EKV7" s="2"/>
      <c r="EKW7" s="2"/>
      <c r="EKX7" s="2"/>
      <c r="EKY7" s="2"/>
      <c r="EKZ7" s="2"/>
      <c r="ELA7" s="2"/>
      <c r="ELB7" s="2"/>
      <c r="ELC7" s="2"/>
      <c r="ELD7" s="2"/>
      <c r="ELE7" s="6"/>
      <c r="ELF7" s="7"/>
      <c r="ELG7" s="8"/>
      <c r="ELH7" s="9"/>
      <c r="ELI7" s="8"/>
      <c r="ELJ7" s="7"/>
      <c r="ELK7" s="9"/>
      <c r="ELL7" s="8"/>
      <c r="ELM7" s="8"/>
      <c r="ELN7" s="7"/>
      <c r="ELO7" s="9"/>
      <c r="ELP7" s="2"/>
      <c r="ELQ7" s="2"/>
      <c r="ELR7" s="2"/>
      <c r="ELS7" s="2"/>
      <c r="ELT7" s="2"/>
      <c r="ELU7" s="2"/>
      <c r="ELV7" s="2"/>
      <c r="ELW7" s="2"/>
      <c r="ELX7" s="2"/>
      <c r="ELY7" s="2"/>
      <c r="ELZ7" s="2"/>
      <c r="EMA7" s="6"/>
      <c r="EMB7" s="7"/>
      <c r="EMC7" s="8"/>
      <c r="EMD7" s="9"/>
      <c r="EME7" s="8"/>
      <c r="EMF7" s="7"/>
      <c r="EMG7" s="9"/>
      <c r="EMH7" s="8"/>
      <c r="EMI7" s="8"/>
      <c r="EMJ7" s="7"/>
      <c r="EMK7" s="9"/>
      <c r="EML7" s="2"/>
      <c r="EMM7" s="2"/>
      <c r="EMN7" s="2"/>
      <c r="EMO7" s="2"/>
      <c r="EMP7" s="2"/>
      <c r="EMQ7" s="2"/>
      <c r="EMR7" s="2"/>
      <c r="EMS7" s="2"/>
      <c r="EMT7" s="2"/>
      <c r="EMU7" s="2"/>
      <c r="EMV7" s="2"/>
      <c r="EMW7" s="6"/>
      <c r="EMX7" s="7"/>
      <c r="EMY7" s="8"/>
      <c r="EMZ7" s="9"/>
      <c r="ENA7" s="8"/>
      <c r="ENB7" s="7"/>
      <c r="ENC7" s="9"/>
      <c r="END7" s="8"/>
      <c r="ENE7" s="8"/>
      <c r="ENF7" s="7"/>
      <c r="ENG7" s="9"/>
      <c r="ENH7" s="2"/>
      <c r="ENI7" s="2"/>
      <c r="ENJ7" s="2"/>
      <c r="ENK7" s="2"/>
      <c r="ENL7" s="2"/>
      <c r="ENM7" s="2"/>
      <c r="ENN7" s="2"/>
      <c r="ENO7" s="2"/>
      <c r="ENP7" s="2"/>
      <c r="ENQ7" s="2"/>
      <c r="ENR7" s="2"/>
      <c r="ENS7" s="6"/>
      <c r="ENT7" s="7"/>
      <c r="ENU7" s="8"/>
      <c r="ENV7" s="9"/>
      <c r="ENW7" s="8"/>
      <c r="ENX7" s="7"/>
      <c r="ENY7" s="9"/>
      <c r="ENZ7" s="8"/>
      <c r="EOA7" s="8"/>
      <c r="EOB7" s="7"/>
      <c r="EOC7" s="9"/>
      <c r="EOD7" s="2"/>
      <c r="EOE7" s="2"/>
      <c r="EOF7" s="2"/>
      <c r="EOG7" s="2"/>
      <c r="EOH7" s="2"/>
      <c r="EOI7" s="2"/>
      <c r="EOJ7" s="2"/>
      <c r="EOK7" s="2"/>
      <c r="EOL7" s="2"/>
      <c r="EOM7" s="2"/>
      <c r="EON7" s="2"/>
      <c r="EOO7" s="6"/>
      <c r="EOP7" s="7"/>
      <c r="EOQ7" s="8"/>
      <c r="EOR7" s="9"/>
      <c r="EOS7" s="8"/>
      <c r="EOT7" s="7"/>
      <c r="EOU7" s="9"/>
      <c r="EOV7" s="8"/>
      <c r="EOW7" s="8"/>
      <c r="EOX7" s="7"/>
      <c r="EOY7" s="9"/>
      <c r="EOZ7" s="2"/>
      <c r="EPA7" s="2"/>
      <c r="EPB7" s="2"/>
      <c r="EPC7" s="2"/>
      <c r="EPD7" s="2"/>
      <c r="EPE7" s="2"/>
      <c r="EPF7" s="2"/>
      <c r="EPG7" s="2"/>
      <c r="EPH7" s="2"/>
      <c r="EPI7" s="2"/>
      <c r="EPJ7" s="2"/>
      <c r="EPK7" s="6"/>
      <c r="EPL7" s="7"/>
      <c r="EPM7" s="8"/>
      <c r="EPN7" s="9"/>
      <c r="EPO7" s="8"/>
      <c r="EPP7" s="7"/>
      <c r="EPQ7" s="9"/>
      <c r="EPR7" s="8"/>
      <c r="EPS7" s="8"/>
      <c r="EPT7" s="7"/>
      <c r="EPU7" s="9"/>
      <c r="EPV7" s="2"/>
      <c r="EPW7" s="2"/>
      <c r="EPX7" s="2"/>
      <c r="EPY7" s="2"/>
      <c r="EPZ7" s="2"/>
      <c r="EQA7" s="2"/>
      <c r="EQB7" s="2"/>
      <c r="EQC7" s="2"/>
      <c r="EQD7" s="2"/>
      <c r="EQE7" s="2"/>
      <c r="EQF7" s="2"/>
      <c r="EQG7" s="6"/>
      <c r="EQH7" s="7"/>
      <c r="EQI7" s="8"/>
      <c r="EQJ7" s="9"/>
      <c r="EQK7" s="8"/>
      <c r="EQL7" s="7"/>
      <c r="EQM7" s="9"/>
      <c r="EQN7" s="8"/>
      <c r="EQO7" s="8"/>
      <c r="EQP7" s="7"/>
      <c r="EQQ7" s="9"/>
      <c r="EQR7" s="2"/>
      <c r="EQS7" s="2"/>
      <c r="EQT7" s="2"/>
      <c r="EQU7" s="2"/>
      <c r="EQV7" s="2"/>
      <c r="EQW7" s="2"/>
      <c r="EQX7" s="2"/>
      <c r="EQY7" s="2"/>
      <c r="EQZ7" s="2"/>
      <c r="ERA7" s="2"/>
      <c r="ERB7" s="2"/>
      <c r="ERC7" s="6"/>
      <c r="ERD7" s="7"/>
      <c r="ERE7" s="8"/>
      <c r="ERF7" s="9"/>
      <c r="ERG7" s="8"/>
      <c r="ERH7" s="7"/>
      <c r="ERI7" s="9"/>
      <c r="ERJ7" s="8"/>
      <c r="ERK7" s="8"/>
      <c r="ERL7" s="7"/>
      <c r="ERM7" s="9"/>
      <c r="ERN7" s="2"/>
      <c r="ERO7" s="2"/>
      <c r="ERP7" s="2"/>
      <c r="ERQ7" s="2"/>
      <c r="ERR7" s="2"/>
      <c r="ERS7" s="2"/>
      <c r="ERT7" s="2"/>
      <c r="ERU7" s="2"/>
      <c r="ERV7" s="2"/>
      <c r="ERW7" s="2"/>
      <c r="ERX7" s="2"/>
      <c r="ERY7" s="6"/>
      <c r="ERZ7" s="7"/>
      <c r="ESA7" s="8"/>
      <c r="ESB7" s="9"/>
      <c r="ESC7" s="8"/>
      <c r="ESD7" s="7"/>
      <c r="ESE7" s="9"/>
      <c r="ESF7" s="8"/>
      <c r="ESG7" s="8"/>
      <c r="ESH7" s="7"/>
      <c r="ESI7" s="9"/>
      <c r="ESJ7" s="2"/>
      <c r="ESK7" s="2"/>
      <c r="ESL7" s="2"/>
      <c r="ESM7" s="2"/>
      <c r="ESN7" s="2"/>
      <c r="ESO7" s="2"/>
      <c r="ESP7" s="2"/>
      <c r="ESQ7" s="2"/>
      <c r="ESR7" s="2"/>
      <c r="ESS7" s="2"/>
      <c r="EST7" s="2"/>
      <c r="ESU7" s="6"/>
      <c r="ESV7" s="7"/>
      <c r="ESW7" s="8"/>
      <c r="ESX7" s="9"/>
      <c r="ESY7" s="8"/>
      <c r="ESZ7" s="7"/>
      <c r="ETA7" s="9"/>
      <c r="ETB7" s="8"/>
      <c r="ETC7" s="8"/>
      <c r="ETD7" s="7"/>
      <c r="ETE7" s="9"/>
      <c r="ETF7" s="2"/>
      <c r="ETG7" s="2"/>
      <c r="ETH7" s="2"/>
      <c r="ETI7" s="2"/>
      <c r="ETJ7" s="2"/>
      <c r="ETK7" s="2"/>
      <c r="ETL7" s="2"/>
      <c r="ETM7" s="2"/>
      <c r="ETN7" s="2"/>
      <c r="ETO7" s="2"/>
      <c r="ETP7" s="2"/>
      <c r="ETQ7" s="6"/>
      <c r="ETR7" s="7"/>
      <c r="ETS7" s="8"/>
      <c r="ETT7" s="9"/>
      <c r="ETU7" s="8"/>
      <c r="ETV7" s="7"/>
      <c r="ETW7" s="9"/>
      <c r="ETX7" s="8"/>
      <c r="ETY7" s="8"/>
      <c r="ETZ7" s="7"/>
      <c r="EUA7" s="9"/>
      <c r="EUB7" s="2"/>
      <c r="EUC7" s="2"/>
      <c r="EUD7" s="2"/>
      <c r="EUE7" s="2"/>
      <c r="EUF7" s="2"/>
      <c r="EUG7" s="2"/>
      <c r="EUH7" s="2"/>
      <c r="EUI7" s="2"/>
      <c r="EUJ7" s="2"/>
      <c r="EUK7" s="2"/>
      <c r="EUL7" s="2"/>
      <c r="EUM7" s="6"/>
      <c r="EUN7" s="7"/>
      <c r="EUO7" s="8"/>
      <c r="EUP7" s="9"/>
      <c r="EUQ7" s="8"/>
      <c r="EUR7" s="7"/>
      <c r="EUS7" s="9"/>
      <c r="EUT7" s="8"/>
      <c r="EUU7" s="8"/>
      <c r="EUV7" s="7"/>
      <c r="EUW7" s="9"/>
      <c r="EUX7" s="2"/>
      <c r="EUY7" s="2"/>
      <c r="EUZ7" s="2"/>
      <c r="EVA7" s="2"/>
      <c r="EVB7" s="2"/>
      <c r="EVC7" s="2"/>
      <c r="EVD7" s="2"/>
      <c r="EVE7" s="2"/>
      <c r="EVF7" s="2"/>
      <c r="EVG7" s="2"/>
      <c r="EVH7" s="2"/>
      <c r="EVI7" s="6"/>
      <c r="EVJ7" s="7"/>
      <c r="EVK7" s="8"/>
      <c r="EVL7" s="9"/>
      <c r="EVM7" s="8"/>
      <c r="EVN7" s="7"/>
      <c r="EVO7" s="9"/>
      <c r="EVP7" s="8"/>
      <c r="EVQ7" s="8"/>
      <c r="EVR7" s="7"/>
      <c r="EVS7" s="9"/>
      <c r="EVT7" s="2"/>
      <c r="EVU7" s="2"/>
      <c r="EVV7" s="2"/>
      <c r="EVW7" s="2"/>
      <c r="EVX7" s="2"/>
      <c r="EVY7" s="2"/>
      <c r="EVZ7" s="2"/>
      <c r="EWA7" s="2"/>
      <c r="EWB7" s="2"/>
      <c r="EWC7" s="2"/>
      <c r="EWD7" s="2"/>
      <c r="EWE7" s="6"/>
      <c r="EWF7" s="7"/>
      <c r="EWG7" s="8"/>
      <c r="EWH7" s="9"/>
      <c r="EWI7" s="8"/>
      <c r="EWJ7" s="7"/>
      <c r="EWK7" s="9"/>
      <c r="EWL7" s="8"/>
      <c r="EWM7" s="8"/>
      <c r="EWN7" s="7"/>
      <c r="EWO7" s="9"/>
      <c r="EWP7" s="2"/>
      <c r="EWQ7" s="2"/>
      <c r="EWR7" s="2"/>
      <c r="EWS7" s="2"/>
      <c r="EWT7" s="2"/>
      <c r="EWU7" s="2"/>
      <c r="EWV7" s="2"/>
      <c r="EWW7" s="2"/>
      <c r="EWX7" s="2"/>
      <c r="EWY7" s="2"/>
      <c r="EWZ7" s="2"/>
      <c r="EXA7" s="6"/>
      <c r="EXB7" s="7"/>
      <c r="EXC7" s="8"/>
      <c r="EXD7" s="9"/>
      <c r="EXE7" s="8"/>
      <c r="EXF7" s="7"/>
      <c r="EXG7" s="9"/>
      <c r="EXH7" s="8"/>
      <c r="EXI7" s="8"/>
      <c r="EXJ7" s="7"/>
      <c r="EXK7" s="9"/>
      <c r="EXL7" s="2"/>
      <c r="EXM7" s="2"/>
      <c r="EXN7" s="2"/>
      <c r="EXO7" s="2"/>
      <c r="EXP7" s="2"/>
      <c r="EXQ7" s="2"/>
      <c r="EXR7" s="2"/>
      <c r="EXS7" s="2"/>
      <c r="EXT7" s="2"/>
      <c r="EXU7" s="2"/>
      <c r="EXV7" s="2"/>
      <c r="EXW7" s="6"/>
      <c r="EXX7" s="7"/>
      <c r="EXY7" s="8"/>
      <c r="EXZ7" s="9"/>
      <c r="EYA7" s="8"/>
      <c r="EYB7" s="7"/>
      <c r="EYC7" s="9"/>
      <c r="EYD7" s="8"/>
      <c r="EYE7" s="8"/>
      <c r="EYF7" s="7"/>
      <c r="EYG7" s="9"/>
      <c r="EYH7" s="2"/>
      <c r="EYI7" s="2"/>
      <c r="EYJ7" s="2"/>
      <c r="EYK7" s="2"/>
      <c r="EYL7" s="2"/>
      <c r="EYM7" s="2"/>
      <c r="EYN7" s="2"/>
      <c r="EYO7" s="2"/>
      <c r="EYP7" s="2"/>
      <c r="EYQ7" s="2"/>
      <c r="EYR7" s="2"/>
      <c r="EYS7" s="6"/>
      <c r="EYT7" s="7"/>
      <c r="EYU7" s="8"/>
      <c r="EYV7" s="9"/>
      <c r="EYW7" s="8"/>
      <c r="EYX7" s="7"/>
      <c r="EYY7" s="9"/>
      <c r="EYZ7" s="8"/>
      <c r="EZA7" s="8"/>
      <c r="EZB7" s="7"/>
      <c r="EZC7" s="9"/>
      <c r="EZD7" s="2"/>
      <c r="EZE7" s="2"/>
      <c r="EZF7" s="2"/>
      <c r="EZG7" s="2"/>
      <c r="EZH7" s="2"/>
      <c r="EZI7" s="2"/>
      <c r="EZJ7" s="2"/>
      <c r="EZK7" s="2"/>
      <c r="EZL7" s="2"/>
      <c r="EZM7" s="2"/>
      <c r="EZN7" s="2"/>
      <c r="EZO7" s="6"/>
      <c r="EZP7" s="7"/>
      <c r="EZQ7" s="8"/>
      <c r="EZR7" s="9"/>
      <c r="EZS7" s="8"/>
      <c r="EZT7" s="7"/>
      <c r="EZU7" s="9"/>
      <c r="EZV7" s="8"/>
      <c r="EZW7" s="8"/>
      <c r="EZX7" s="7"/>
      <c r="EZY7" s="9"/>
      <c r="EZZ7" s="2"/>
      <c r="FAA7" s="2"/>
      <c r="FAB7" s="2"/>
      <c r="FAC7" s="2"/>
      <c r="FAD7" s="2"/>
      <c r="FAE7" s="2"/>
      <c r="FAF7" s="2"/>
      <c r="FAG7" s="2"/>
      <c r="FAH7" s="2"/>
      <c r="FAI7" s="2"/>
      <c r="FAJ7" s="2"/>
      <c r="FAK7" s="6"/>
      <c r="FAL7" s="7"/>
      <c r="FAM7" s="8"/>
      <c r="FAN7" s="9"/>
      <c r="FAO7" s="8"/>
      <c r="FAP7" s="7"/>
      <c r="FAQ7" s="9"/>
      <c r="FAR7" s="8"/>
      <c r="FAS7" s="8"/>
      <c r="FAT7" s="7"/>
      <c r="FAU7" s="9"/>
      <c r="FAV7" s="2"/>
      <c r="FAW7" s="2"/>
      <c r="FAX7" s="2"/>
      <c r="FAY7" s="2"/>
      <c r="FAZ7" s="2"/>
      <c r="FBA7" s="2"/>
      <c r="FBB7" s="2"/>
      <c r="FBC7" s="2"/>
      <c r="FBD7" s="2"/>
      <c r="FBE7" s="2"/>
      <c r="FBF7" s="2"/>
      <c r="FBG7" s="6"/>
      <c r="FBH7" s="7"/>
      <c r="FBI7" s="8"/>
      <c r="FBJ7" s="9"/>
      <c r="FBK7" s="8"/>
      <c r="FBL7" s="7"/>
      <c r="FBM7" s="9"/>
      <c r="FBN7" s="8"/>
      <c r="FBO7" s="8"/>
      <c r="FBP7" s="7"/>
      <c r="FBQ7" s="9"/>
      <c r="FBR7" s="2"/>
      <c r="FBS7" s="2"/>
      <c r="FBT7" s="2"/>
      <c r="FBU7" s="2"/>
      <c r="FBV7" s="2"/>
      <c r="FBW7" s="2"/>
      <c r="FBX7" s="2"/>
      <c r="FBY7" s="2"/>
      <c r="FBZ7" s="2"/>
      <c r="FCA7" s="2"/>
      <c r="FCB7" s="2"/>
      <c r="FCC7" s="6"/>
      <c r="FCD7" s="7"/>
      <c r="FCE7" s="8"/>
      <c r="FCF7" s="9"/>
      <c r="FCG7" s="8"/>
      <c r="FCH7" s="7"/>
      <c r="FCI7" s="9"/>
      <c r="FCJ7" s="8"/>
      <c r="FCK7" s="8"/>
      <c r="FCL7" s="7"/>
      <c r="FCM7" s="9"/>
      <c r="FCN7" s="2"/>
      <c r="FCO7" s="2"/>
      <c r="FCP7" s="2"/>
      <c r="FCQ7" s="2"/>
      <c r="FCR7" s="2"/>
      <c r="FCS7" s="2"/>
      <c r="FCT7" s="2"/>
      <c r="FCU7" s="2"/>
      <c r="FCV7" s="2"/>
      <c r="FCW7" s="2"/>
      <c r="FCX7" s="2"/>
      <c r="FCY7" s="6"/>
      <c r="FCZ7" s="7"/>
      <c r="FDA7" s="8"/>
      <c r="FDB7" s="9"/>
      <c r="FDC7" s="8"/>
      <c r="FDD7" s="7"/>
      <c r="FDE7" s="9"/>
      <c r="FDF7" s="8"/>
      <c r="FDG7" s="8"/>
      <c r="FDH7" s="7"/>
      <c r="FDI7" s="9"/>
      <c r="FDJ7" s="2"/>
      <c r="FDK7" s="2"/>
      <c r="FDL7" s="2"/>
      <c r="FDM7" s="2"/>
      <c r="FDN7" s="2"/>
      <c r="FDO7" s="2"/>
      <c r="FDP7" s="2"/>
      <c r="FDQ7" s="2"/>
      <c r="FDR7" s="2"/>
      <c r="FDS7" s="2"/>
      <c r="FDT7" s="2"/>
      <c r="FDU7" s="6"/>
      <c r="FDV7" s="7"/>
      <c r="FDW7" s="8"/>
      <c r="FDX7" s="9"/>
      <c r="FDY7" s="8"/>
      <c r="FDZ7" s="7"/>
      <c r="FEA7" s="9"/>
      <c r="FEB7" s="8"/>
      <c r="FEC7" s="8"/>
      <c r="FED7" s="7"/>
      <c r="FEE7" s="9"/>
      <c r="FEF7" s="2"/>
      <c r="FEG7" s="2"/>
      <c r="FEH7" s="2"/>
      <c r="FEI7" s="2"/>
      <c r="FEJ7" s="2"/>
      <c r="FEK7" s="2"/>
      <c r="FEL7" s="2"/>
      <c r="FEM7" s="2"/>
      <c r="FEN7" s="2"/>
      <c r="FEO7" s="2"/>
      <c r="FEP7" s="2"/>
      <c r="FEQ7" s="6"/>
      <c r="FER7" s="7"/>
      <c r="FES7" s="8"/>
      <c r="FET7" s="9"/>
      <c r="FEU7" s="8"/>
      <c r="FEV7" s="7"/>
      <c r="FEW7" s="9"/>
      <c r="FEX7" s="8"/>
      <c r="FEY7" s="8"/>
      <c r="FEZ7" s="7"/>
      <c r="FFA7" s="9"/>
      <c r="FFB7" s="2"/>
      <c r="FFC7" s="2"/>
      <c r="FFD7" s="2"/>
      <c r="FFE7" s="2"/>
      <c r="FFF7" s="2"/>
      <c r="FFG7" s="2"/>
      <c r="FFH7" s="2"/>
      <c r="FFI7" s="2"/>
      <c r="FFJ7" s="2"/>
      <c r="FFK7" s="2"/>
      <c r="FFL7" s="2"/>
      <c r="FFM7" s="6"/>
      <c r="FFN7" s="7"/>
      <c r="FFO7" s="8"/>
      <c r="FFP7" s="9"/>
      <c r="FFQ7" s="8"/>
      <c r="FFR7" s="7"/>
      <c r="FFS7" s="9"/>
      <c r="FFT7" s="8"/>
      <c r="FFU7" s="8"/>
      <c r="FFV7" s="7"/>
      <c r="FFW7" s="9"/>
      <c r="FFX7" s="2"/>
      <c r="FFY7" s="2"/>
      <c r="FFZ7" s="2"/>
      <c r="FGA7" s="2"/>
      <c r="FGB7" s="2"/>
      <c r="FGC7" s="2"/>
      <c r="FGD7" s="2"/>
      <c r="FGE7" s="2"/>
      <c r="FGF7" s="2"/>
      <c r="FGG7" s="2"/>
      <c r="FGH7" s="2"/>
      <c r="FGI7" s="6"/>
      <c r="FGJ7" s="7"/>
      <c r="FGK7" s="8"/>
      <c r="FGL7" s="9"/>
      <c r="FGM7" s="8"/>
      <c r="FGN7" s="7"/>
      <c r="FGO7" s="9"/>
      <c r="FGP7" s="8"/>
      <c r="FGQ7" s="8"/>
      <c r="FGR7" s="7"/>
      <c r="FGS7" s="9"/>
      <c r="FGT7" s="2"/>
      <c r="FGU7" s="2"/>
      <c r="FGV7" s="2"/>
      <c r="FGW7" s="2"/>
      <c r="FGX7" s="2"/>
      <c r="FGY7" s="2"/>
      <c r="FGZ7" s="2"/>
      <c r="FHA7" s="2"/>
      <c r="FHB7" s="2"/>
      <c r="FHC7" s="2"/>
      <c r="FHD7" s="2"/>
      <c r="FHE7" s="6"/>
      <c r="FHF7" s="7"/>
      <c r="FHG7" s="8"/>
      <c r="FHH7" s="9"/>
      <c r="FHI7" s="8"/>
      <c r="FHJ7" s="7"/>
      <c r="FHK7" s="9"/>
      <c r="FHL7" s="8"/>
      <c r="FHM7" s="8"/>
      <c r="FHN7" s="7"/>
      <c r="FHO7" s="9"/>
      <c r="FHP7" s="2"/>
      <c r="FHQ7" s="2"/>
      <c r="FHR7" s="2"/>
      <c r="FHS7" s="2"/>
      <c r="FHT7" s="2"/>
      <c r="FHU7" s="2"/>
      <c r="FHV7" s="2"/>
      <c r="FHW7" s="2"/>
      <c r="FHX7" s="2"/>
      <c r="FHY7" s="2"/>
      <c r="FHZ7" s="2"/>
      <c r="FIA7" s="6"/>
      <c r="FIB7" s="7"/>
      <c r="FIC7" s="8"/>
      <c r="FID7" s="9"/>
      <c r="FIE7" s="8"/>
      <c r="FIF7" s="7"/>
      <c r="FIG7" s="9"/>
      <c r="FIH7" s="8"/>
      <c r="FII7" s="8"/>
      <c r="FIJ7" s="7"/>
      <c r="FIK7" s="9"/>
      <c r="FIL7" s="2"/>
      <c r="FIM7" s="2"/>
      <c r="FIN7" s="2"/>
      <c r="FIO7" s="2"/>
      <c r="FIP7" s="2"/>
      <c r="FIQ7" s="2"/>
      <c r="FIR7" s="2"/>
      <c r="FIS7" s="2"/>
      <c r="FIT7" s="2"/>
      <c r="FIU7" s="2"/>
      <c r="FIV7" s="2"/>
      <c r="FIW7" s="6"/>
      <c r="FIX7" s="7"/>
      <c r="FIY7" s="8"/>
      <c r="FIZ7" s="9"/>
      <c r="FJA7" s="8"/>
      <c r="FJB7" s="7"/>
      <c r="FJC7" s="9"/>
      <c r="FJD7" s="8"/>
      <c r="FJE7" s="8"/>
      <c r="FJF7" s="7"/>
      <c r="FJG7" s="9"/>
      <c r="FJH7" s="2"/>
      <c r="FJI7" s="2"/>
      <c r="FJJ7" s="2"/>
      <c r="FJK7" s="2"/>
      <c r="FJL7" s="2"/>
      <c r="FJM7" s="2"/>
      <c r="FJN7" s="2"/>
      <c r="FJO7" s="2"/>
      <c r="FJP7" s="2"/>
      <c r="FJQ7" s="2"/>
      <c r="FJR7" s="2"/>
      <c r="FJS7" s="6"/>
      <c r="FJT7" s="7"/>
      <c r="FJU7" s="8"/>
      <c r="FJV7" s="9"/>
      <c r="FJW7" s="8"/>
      <c r="FJX7" s="7"/>
      <c r="FJY7" s="9"/>
      <c r="FJZ7" s="8"/>
      <c r="FKA7" s="8"/>
      <c r="FKB7" s="7"/>
      <c r="FKC7" s="9"/>
      <c r="FKD7" s="2"/>
      <c r="FKE7" s="2"/>
      <c r="FKF7" s="2"/>
      <c r="FKG7" s="2"/>
      <c r="FKH7" s="2"/>
      <c r="FKI7" s="2"/>
      <c r="FKJ7" s="2"/>
      <c r="FKK7" s="2"/>
      <c r="FKL7" s="2"/>
      <c r="FKM7" s="2"/>
      <c r="FKN7" s="2"/>
      <c r="FKO7" s="6"/>
      <c r="FKP7" s="7"/>
      <c r="FKQ7" s="8"/>
      <c r="FKR7" s="9"/>
      <c r="FKS7" s="8"/>
      <c r="FKT7" s="7"/>
      <c r="FKU7" s="9"/>
      <c r="FKV7" s="8"/>
      <c r="FKW7" s="8"/>
      <c r="FKX7" s="7"/>
      <c r="FKY7" s="9"/>
      <c r="FKZ7" s="2"/>
      <c r="FLA7" s="2"/>
      <c r="FLB7" s="2"/>
      <c r="FLC7" s="2"/>
      <c r="FLD7" s="2"/>
      <c r="FLE7" s="2"/>
      <c r="FLF7" s="2"/>
      <c r="FLG7" s="2"/>
      <c r="FLH7" s="2"/>
      <c r="FLI7" s="2"/>
      <c r="FLJ7" s="2"/>
      <c r="FLK7" s="6"/>
      <c r="FLL7" s="7"/>
      <c r="FLM7" s="8"/>
      <c r="FLN7" s="9"/>
      <c r="FLO7" s="8"/>
      <c r="FLP7" s="7"/>
      <c r="FLQ7" s="9"/>
      <c r="FLR7" s="8"/>
      <c r="FLS7" s="8"/>
      <c r="FLT7" s="7"/>
      <c r="FLU7" s="9"/>
      <c r="FLV7" s="2"/>
      <c r="FLW7" s="2"/>
      <c r="FLX7" s="2"/>
      <c r="FLY7" s="2"/>
      <c r="FLZ7" s="2"/>
      <c r="FMA7" s="2"/>
      <c r="FMB7" s="2"/>
      <c r="FMC7" s="2"/>
      <c r="FMD7" s="2"/>
      <c r="FME7" s="2"/>
      <c r="FMF7" s="2"/>
      <c r="FMG7" s="6"/>
      <c r="FMH7" s="7"/>
      <c r="FMI7" s="8"/>
      <c r="FMJ7" s="9"/>
      <c r="FMK7" s="8"/>
      <c r="FML7" s="7"/>
      <c r="FMM7" s="9"/>
      <c r="FMN7" s="8"/>
      <c r="FMO7" s="8"/>
      <c r="FMP7" s="7"/>
      <c r="FMQ7" s="9"/>
      <c r="FMR7" s="2"/>
      <c r="FMS7" s="2"/>
      <c r="FMT7" s="2"/>
      <c r="FMU7" s="2"/>
      <c r="FMV7" s="2"/>
      <c r="FMW7" s="2"/>
      <c r="FMX7" s="2"/>
      <c r="FMY7" s="2"/>
      <c r="FMZ7" s="2"/>
      <c r="FNA7" s="2"/>
      <c r="FNB7" s="2"/>
      <c r="FNC7" s="6"/>
      <c r="FND7" s="7"/>
      <c r="FNE7" s="8"/>
      <c r="FNF7" s="9"/>
      <c r="FNG7" s="8"/>
      <c r="FNH7" s="7"/>
      <c r="FNI7" s="9"/>
      <c r="FNJ7" s="8"/>
      <c r="FNK7" s="8"/>
      <c r="FNL7" s="7"/>
      <c r="FNM7" s="9"/>
      <c r="FNN7" s="2"/>
      <c r="FNO7" s="2"/>
      <c r="FNP7" s="2"/>
      <c r="FNQ7" s="2"/>
      <c r="FNR7" s="2"/>
      <c r="FNS7" s="2"/>
      <c r="FNT7" s="2"/>
      <c r="FNU7" s="2"/>
      <c r="FNV7" s="2"/>
      <c r="FNW7" s="2"/>
      <c r="FNX7" s="2"/>
      <c r="FNY7" s="6"/>
      <c r="FNZ7" s="7"/>
      <c r="FOA7" s="8"/>
      <c r="FOB7" s="9"/>
      <c r="FOC7" s="8"/>
      <c r="FOD7" s="7"/>
      <c r="FOE7" s="9"/>
      <c r="FOF7" s="8"/>
      <c r="FOG7" s="8"/>
      <c r="FOH7" s="7"/>
      <c r="FOI7" s="9"/>
      <c r="FOJ7" s="2"/>
      <c r="FOK7" s="2"/>
      <c r="FOL7" s="2"/>
      <c r="FOM7" s="2"/>
      <c r="FON7" s="2"/>
      <c r="FOO7" s="2"/>
      <c r="FOP7" s="2"/>
      <c r="FOQ7" s="2"/>
      <c r="FOR7" s="2"/>
      <c r="FOS7" s="2"/>
      <c r="FOT7" s="2"/>
      <c r="FOU7" s="6"/>
      <c r="FOV7" s="7"/>
      <c r="FOW7" s="8"/>
      <c r="FOX7" s="9"/>
      <c r="FOY7" s="8"/>
      <c r="FOZ7" s="7"/>
      <c r="FPA7" s="9"/>
      <c r="FPB7" s="8"/>
      <c r="FPC7" s="8"/>
      <c r="FPD7" s="7"/>
      <c r="FPE7" s="9"/>
      <c r="FPF7" s="2"/>
      <c r="FPG7" s="2"/>
      <c r="FPH7" s="2"/>
      <c r="FPI7" s="2"/>
      <c r="FPJ7" s="2"/>
      <c r="FPK7" s="2"/>
      <c r="FPL7" s="2"/>
      <c r="FPM7" s="2"/>
      <c r="FPN7" s="2"/>
      <c r="FPO7" s="2"/>
      <c r="FPP7" s="2"/>
      <c r="FPQ7" s="6"/>
      <c r="FPR7" s="7"/>
      <c r="FPS7" s="8"/>
      <c r="FPT7" s="9"/>
      <c r="FPU7" s="8"/>
      <c r="FPV7" s="7"/>
      <c r="FPW7" s="9"/>
      <c r="FPX7" s="8"/>
      <c r="FPY7" s="8"/>
      <c r="FPZ7" s="7"/>
      <c r="FQA7" s="9"/>
      <c r="FQB7" s="2"/>
      <c r="FQC7" s="2"/>
      <c r="FQD7" s="2"/>
      <c r="FQE7" s="2"/>
      <c r="FQF7" s="2"/>
      <c r="FQG7" s="2"/>
      <c r="FQH7" s="2"/>
      <c r="FQI7" s="2"/>
      <c r="FQJ7" s="2"/>
      <c r="FQK7" s="2"/>
      <c r="FQL7" s="2"/>
      <c r="FQM7" s="6"/>
      <c r="FQN7" s="7"/>
      <c r="FQO7" s="8"/>
      <c r="FQP7" s="9"/>
      <c r="FQQ7" s="8"/>
      <c r="FQR7" s="7"/>
      <c r="FQS7" s="9"/>
      <c r="FQT7" s="8"/>
      <c r="FQU7" s="8"/>
      <c r="FQV7" s="7"/>
      <c r="FQW7" s="9"/>
      <c r="FQX7" s="2"/>
      <c r="FQY7" s="2"/>
      <c r="FQZ7" s="2"/>
      <c r="FRA7" s="2"/>
      <c r="FRB7" s="2"/>
      <c r="FRC7" s="2"/>
      <c r="FRD7" s="2"/>
      <c r="FRE7" s="2"/>
      <c r="FRF7" s="2"/>
      <c r="FRG7" s="2"/>
      <c r="FRH7" s="2"/>
      <c r="FRI7" s="6"/>
      <c r="FRJ7" s="7"/>
      <c r="FRK7" s="8"/>
      <c r="FRL7" s="9"/>
      <c r="FRM7" s="8"/>
      <c r="FRN7" s="7"/>
      <c r="FRO7" s="9"/>
      <c r="FRP7" s="8"/>
      <c r="FRQ7" s="8"/>
      <c r="FRR7" s="7"/>
      <c r="FRS7" s="9"/>
      <c r="FRT7" s="2"/>
      <c r="FRU7" s="2"/>
      <c r="FRV7" s="2"/>
      <c r="FRW7" s="2"/>
      <c r="FRX7" s="2"/>
      <c r="FRY7" s="2"/>
      <c r="FRZ7" s="2"/>
      <c r="FSA7" s="2"/>
      <c r="FSB7" s="2"/>
      <c r="FSC7" s="2"/>
      <c r="FSD7" s="2"/>
      <c r="FSE7" s="6"/>
      <c r="FSF7" s="7"/>
      <c r="FSG7" s="8"/>
      <c r="FSH7" s="9"/>
      <c r="FSI7" s="8"/>
      <c r="FSJ7" s="7"/>
      <c r="FSK7" s="9"/>
      <c r="FSL7" s="8"/>
      <c r="FSM7" s="8"/>
      <c r="FSN7" s="7"/>
      <c r="FSO7" s="9"/>
      <c r="FSP7" s="2"/>
      <c r="FSQ7" s="2"/>
      <c r="FSR7" s="2"/>
      <c r="FSS7" s="2"/>
      <c r="FST7" s="2"/>
      <c r="FSU7" s="2"/>
      <c r="FSV7" s="2"/>
      <c r="FSW7" s="2"/>
      <c r="FSX7" s="2"/>
      <c r="FSY7" s="2"/>
      <c r="FSZ7" s="2"/>
      <c r="FTA7" s="6"/>
      <c r="FTB7" s="7"/>
      <c r="FTC7" s="8"/>
      <c r="FTD7" s="9"/>
      <c r="FTE7" s="8"/>
      <c r="FTF7" s="7"/>
      <c r="FTG7" s="9"/>
      <c r="FTH7" s="8"/>
      <c r="FTI7" s="8"/>
      <c r="FTJ7" s="7"/>
      <c r="FTK7" s="9"/>
      <c r="FTL7" s="2"/>
      <c r="FTM7" s="2"/>
      <c r="FTN7" s="2"/>
      <c r="FTO7" s="2"/>
      <c r="FTP7" s="2"/>
      <c r="FTQ7" s="2"/>
      <c r="FTR7" s="2"/>
      <c r="FTS7" s="2"/>
      <c r="FTT7" s="2"/>
      <c r="FTU7" s="2"/>
      <c r="FTV7" s="2"/>
      <c r="FTW7" s="6"/>
      <c r="FTX7" s="7"/>
      <c r="FTY7" s="8"/>
      <c r="FTZ7" s="9"/>
      <c r="FUA7" s="8"/>
      <c r="FUB7" s="7"/>
      <c r="FUC7" s="9"/>
      <c r="FUD7" s="8"/>
      <c r="FUE7" s="8"/>
      <c r="FUF7" s="7"/>
      <c r="FUG7" s="9"/>
      <c r="FUH7" s="2"/>
      <c r="FUI7" s="2"/>
      <c r="FUJ7" s="2"/>
      <c r="FUK7" s="2"/>
      <c r="FUL7" s="2"/>
      <c r="FUM7" s="2"/>
      <c r="FUN7" s="2"/>
      <c r="FUO7" s="2"/>
      <c r="FUP7" s="2"/>
      <c r="FUQ7" s="2"/>
      <c r="FUR7" s="2"/>
      <c r="FUS7" s="6"/>
      <c r="FUT7" s="7"/>
      <c r="FUU7" s="8"/>
      <c r="FUV7" s="9"/>
      <c r="FUW7" s="8"/>
      <c r="FUX7" s="7"/>
      <c r="FUY7" s="9"/>
      <c r="FUZ7" s="8"/>
      <c r="FVA7" s="8"/>
      <c r="FVB7" s="7"/>
      <c r="FVC7" s="9"/>
      <c r="FVD7" s="2"/>
      <c r="FVE7" s="2"/>
      <c r="FVF7" s="2"/>
      <c r="FVG7" s="2"/>
      <c r="FVH7" s="2"/>
      <c r="FVI7" s="2"/>
      <c r="FVJ7" s="2"/>
      <c r="FVK7" s="2"/>
      <c r="FVL7" s="2"/>
      <c r="FVM7" s="2"/>
      <c r="FVN7" s="2"/>
      <c r="FVO7" s="6"/>
      <c r="FVP7" s="7"/>
      <c r="FVQ7" s="8"/>
      <c r="FVR7" s="9"/>
      <c r="FVS7" s="8"/>
      <c r="FVT7" s="7"/>
      <c r="FVU7" s="9"/>
      <c r="FVV7" s="8"/>
      <c r="FVW7" s="8"/>
      <c r="FVX7" s="7"/>
      <c r="FVY7" s="9"/>
      <c r="FVZ7" s="2"/>
      <c r="FWA7" s="2"/>
      <c r="FWB7" s="2"/>
      <c r="FWC7" s="2"/>
      <c r="FWD7" s="2"/>
      <c r="FWE7" s="2"/>
      <c r="FWF7" s="2"/>
      <c r="FWG7" s="2"/>
      <c r="FWH7" s="2"/>
      <c r="FWI7" s="2"/>
      <c r="FWJ7" s="2"/>
      <c r="FWK7" s="6"/>
      <c r="FWL7" s="7"/>
      <c r="FWM7" s="8"/>
      <c r="FWN7" s="9"/>
      <c r="FWO7" s="8"/>
      <c r="FWP7" s="7"/>
      <c r="FWQ7" s="9"/>
      <c r="FWR7" s="8"/>
      <c r="FWS7" s="8"/>
      <c r="FWT7" s="7"/>
      <c r="FWU7" s="9"/>
      <c r="FWV7" s="2"/>
      <c r="FWW7" s="2"/>
      <c r="FWX7" s="2"/>
      <c r="FWY7" s="2"/>
      <c r="FWZ7" s="2"/>
      <c r="FXA7" s="2"/>
      <c r="FXB7" s="2"/>
      <c r="FXC7" s="2"/>
      <c r="FXD7" s="2"/>
      <c r="FXE7" s="2"/>
      <c r="FXF7" s="2"/>
      <c r="FXG7" s="6"/>
      <c r="FXH7" s="7"/>
      <c r="FXI7" s="8"/>
      <c r="FXJ7" s="9"/>
      <c r="FXK7" s="8"/>
      <c r="FXL7" s="7"/>
      <c r="FXM7" s="9"/>
      <c r="FXN7" s="8"/>
      <c r="FXO7" s="8"/>
      <c r="FXP7" s="7"/>
      <c r="FXQ7" s="9"/>
      <c r="FXR7" s="2"/>
      <c r="FXS7" s="2"/>
      <c r="FXT7" s="2"/>
      <c r="FXU7" s="2"/>
      <c r="FXV7" s="2"/>
      <c r="FXW7" s="2"/>
      <c r="FXX7" s="2"/>
      <c r="FXY7" s="2"/>
      <c r="FXZ7" s="2"/>
      <c r="FYA7" s="2"/>
      <c r="FYB7" s="2"/>
      <c r="FYC7" s="6"/>
      <c r="FYD7" s="7"/>
      <c r="FYE7" s="8"/>
      <c r="FYF7" s="9"/>
      <c r="FYG7" s="8"/>
      <c r="FYH7" s="7"/>
      <c r="FYI7" s="9"/>
      <c r="FYJ7" s="8"/>
      <c r="FYK7" s="8"/>
      <c r="FYL7" s="7"/>
      <c r="FYM7" s="9"/>
      <c r="FYN7" s="2"/>
      <c r="FYO7" s="2"/>
      <c r="FYP7" s="2"/>
      <c r="FYQ7" s="2"/>
      <c r="FYR7" s="2"/>
      <c r="FYS7" s="2"/>
      <c r="FYT7" s="2"/>
      <c r="FYU7" s="2"/>
      <c r="FYV7" s="2"/>
      <c r="FYW7" s="2"/>
      <c r="FYX7" s="2"/>
      <c r="FYY7" s="6"/>
      <c r="FYZ7" s="7"/>
      <c r="FZA7" s="8"/>
      <c r="FZB7" s="9"/>
      <c r="FZC7" s="8"/>
      <c r="FZD7" s="7"/>
      <c r="FZE7" s="9"/>
      <c r="FZF7" s="8"/>
      <c r="FZG7" s="8"/>
      <c r="FZH7" s="7"/>
      <c r="FZI7" s="9"/>
      <c r="FZJ7" s="2"/>
      <c r="FZK7" s="2"/>
      <c r="FZL7" s="2"/>
      <c r="FZM7" s="2"/>
      <c r="FZN7" s="2"/>
      <c r="FZO7" s="2"/>
      <c r="FZP7" s="2"/>
      <c r="FZQ7" s="2"/>
      <c r="FZR7" s="2"/>
      <c r="FZS7" s="2"/>
      <c r="FZT7" s="2"/>
      <c r="FZU7" s="6"/>
      <c r="FZV7" s="7"/>
      <c r="FZW7" s="8"/>
      <c r="FZX7" s="9"/>
      <c r="FZY7" s="8"/>
      <c r="FZZ7" s="7"/>
      <c r="GAA7" s="9"/>
      <c r="GAB7" s="8"/>
      <c r="GAC7" s="8"/>
      <c r="GAD7" s="7"/>
      <c r="GAE7" s="9"/>
      <c r="GAF7" s="2"/>
      <c r="GAG7" s="2"/>
      <c r="GAH7" s="2"/>
      <c r="GAI7" s="2"/>
      <c r="GAJ7" s="2"/>
      <c r="GAK7" s="2"/>
      <c r="GAL7" s="2"/>
      <c r="GAM7" s="2"/>
      <c r="GAN7" s="2"/>
      <c r="GAO7" s="2"/>
      <c r="GAP7" s="2"/>
      <c r="GAQ7" s="6"/>
      <c r="GAR7" s="7"/>
      <c r="GAS7" s="8"/>
      <c r="GAT7" s="9"/>
      <c r="GAU7" s="8"/>
      <c r="GAV7" s="7"/>
      <c r="GAW7" s="9"/>
      <c r="GAX7" s="8"/>
      <c r="GAY7" s="8"/>
      <c r="GAZ7" s="7"/>
      <c r="GBA7" s="9"/>
      <c r="GBB7" s="2"/>
      <c r="GBC7" s="2"/>
      <c r="GBD7" s="2"/>
      <c r="GBE7" s="2"/>
      <c r="GBF7" s="2"/>
      <c r="GBG7" s="2"/>
      <c r="GBH7" s="2"/>
      <c r="GBI7" s="2"/>
      <c r="GBJ7" s="2"/>
      <c r="GBK7" s="2"/>
      <c r="GBL7" s="2"/>
      <c r="GBM7" s="6"/>
      <c r="GBN7" s="7"/>
      <c r="GBO7" s="8"/>
      <c r="GBP7" s="9"/>
      <c r="GBQ7" s="8"/>
      <c r="GBR7" s="7"/>
      <c r="GBS7" s="9"/>
      <c r="GBT7" s="8"/>
      <c r="GBU7" s="8"/>
      <c r="GBV7" s="7"/>
      <c r="GBW7" s="9"/>
      <c r="GBX7" s="2"/>
      <c r="GBY7" s="2"/>
      <c r="GBZ7" s="2"/>
      <c r="GCA7" s="2"/>
      <c r="GCB7" s="2"/>
      <c r="GCC7" s="2"/>
      <c r="GCD7" s="2"/>
      <c r="GCE7" s="2"/>
      <c r="GCF7" s="2"/>
      <c r="GCG7" s="2"/>
      <c r="GCH7" s="2"/>
      <c r="GCI7" s="6"/>
      <c r="GCJ7" s="7"/>
      <c r="GCK7" s="8"/>
      <c r="GCL7" s="9"/>
      <c r="GCM7" s="8"/>
      <c r="GCN7" s="7"/>
      <c r="GCO7" s="9"/>
      <c r="GCP7" s="8"/>
      <c r="GCQ7" s="8"/>
      <c r="GCR7" s="7"/>
      <c r="GCS7" s="9"/>
      <c r="GCT7" s="2"/>
      <c r="GCU7" s="2"/>
      <c r="GCV7" s="2"/>
      <c r="GCW7" s="2"/>
      <c r="GCX7" s="2"/>
      <c r="GCY7" s="2"/>
      <c r="GCZ7" s="2"/>
      <c r="GDA7" s="2"/>
      <c r="GDB7" s="2"/>
      <c r="GDC7" s="2"/>
      <c r="GDD7" s="2"/>
      <c r="GDE7" s="6"/>
      <c r="GDF7" s="7"/>
      <c r="GDG7" s="8"/>
      <c r="GDH7" s="9"/>
      <c r="GDI7" s="8"/>
      <c r="GDJ7" s="7"/>
      <c r="GDK7" s="9"/>
      <c r="GDL7" s="8"/>
      <c r="GDM7" s="8"/>
      <c r="GDN7" s="7"/>
      <c r="GDO7" s="9"/>
      <c r="GDP7" s="2"/>
      <c r="GDQ7" s="2"/>
      <c r="GDR7" s="2"/>
      <c r="GDS7" s="2"/>
      <c r="GDT7" s="2"/>
      <c r="GDU7" s="2"/>
      <c r="GDV7" s="2"/>
      <c r="GDW7" s="2"/>
      <c r="GDX7" s="2"/>
      <c r="GDY7" s="2"/>
      <c r="GDZ7" s="2"/>
      <c r="GEA7" s="6"/>
      <c r="GEB7" s="7"/>
      <c r="GEC7" s="8"/>
      <c r="GED7" s="9"/>
      <c r="GEE7" s="8"/>
      <c r="GEF7" s="7"/>
      <c r="GEG7" s="9"/>
      <c r="GEH7" s="8"/>
      <c r="GEI7" s="8"/>
      <c r="GEJ7" s="7"/>
      <c r="GEK7" s="9"/>
      <c r="GEL7" s="2"/>
      <c r="GEM7" s="2"/>
      <c r="GEN7" s="2"/>
      <c r="GEO7" s="2"/>
      <c r="GEP7" s="2"/>
      <c r="GEQ7" s="2"/>
      <c r="GER7" s="2"/>
      <c r="GES7" s="2"/>
      <c r="GET7" s="2"/>
      <c r="GEU7" s="2"/>
      <c r="GEV7" s="2"/>
      <c r="GEW7" s="6"/>
      <c r="GEX7" s="7"/>
      <c r="GEY7" s="8"/>
      <c r="GEZ7" s="9"/>
      <c r="GFA7" s="8"/>
      <c r="GFB7" s="7"/>
      <c r="GFC7" s="9"/>
      <c r="GFD7" s="8"/>
      <c r="GFE7" s="8"/>
      <c r="GFF7" s="7"/>
      <c r="GFG7" s="9"/>
      <c r="GFH7" s="2"/>
      <c r="GFI7" s="2"/>
      <c r="GFJ7" s="2"/>
      <c r="GFK7" s="2"/>
      <c r="GFL7" s="2"/>
      <c r="GFM7" s="2"/>
      <c r="GFN7" s="2"/>
      <c r="GFO7" s="2"/>
      <c r="GFP7" s="2"/>
      <c r="GFQ7" s="2"/>
      <c r="GFR7" s="2"/>
      <c r="GFS7" s="6"/>
      <c r="GFT7" s="7"/>
      <c r="GFU7" s="8"/>
      <c r="GFV7" s="9"/>
      <c r="GFW7" s="8"/>
      <c r="GFX7" s="7"/>
      <c r="GFY7" s="9"/>
      <c r="GFZ7" s="8"/>
      <c r="GGA7" s="8"/>
      <c r="GGB7" s="7"/>
      <c r="GGC7" s="9"/>
      <c r="GGD7" s="2"/>
      <c r="GGE7" s="2"/>
      <c r="GGF7" s="2"/>
      <c r="GGG7" s="2"/>
      <c r="GGH7" s="2"/>
      <c r="GGI7" s="2"/>
      <c r="GGJ7" s="2"/>
      <c r="GGK7" s="2"/>
      <c r="GGL7" s="2"/>
      <c r="GGM7" s="2"/>
      <c r="GGN7" s="2"/>
      <c r="GGO7" s="6"/>
      <c r="GGP7" s="7"/>
      <c r="GGQ7" s="8"/>
      <c r="GGR7" s="9"/>
      <c r="GGS7" s="8"/>
      <c r="GGT7" s="7"/>
      <c r="GGU7" s="9"/>
      <c r="GGV7" s="8"/>
      <c r="GGW7" s="8"/>
      <c r="GGX7" s="7"/>
      <c r="GGY7" s="9"/>
      <c r="GGZ7" s="2"/>
      <c r="GHA7" s="2"/>
      <c r="GHB7" s="2"/>
      <c r="GHC7" s="2"/>
      <c r="GHD7" s="2"/>
      <c r="GHE7" s="2"/>
      <c r="GHF7" s="2"/>
      <c r="GHG7" s="2"/>
      <c r="GHH7" s="2"/>
      <c r="GHI7" s="2"/>
      <c r="GHJ7" s="2"/>
      <c r="GHK7" s="6"/>
      <c r="GHL7" s="7"/>
      <c r="GHM7" s="8"/>
      <c r="GHN7" s="9"/>
      <c r="GHO7" s="8"/>
      <c r="GHP7" s="7"/>
      <c r="GHQ7" s="9"/>
      <c r="GHR7" s="8"/>
      <c r="GHS7" s="8"/>
      <c r="GHT7" s="7"/>
      <c r="GHU7" s="9"/>
      <c r="GHV7" s="2"/>
      <c r="GHW7" s="2"/>
      <c r="GHX7" s="2"/>
      <c r="GHY7" s="2"/>
      <c r="GHZ7" s="2"/>
      <c r="GIA7" s="2"/>
      <c r="GIB7" s="2"/>
      <c r="GIC7" s="2"/>
      <c r="GID7" s="2"/>
      <c r="GIE7" s="2"/>
      <c r="GIF7" s="2"/>
      <c r="GIG7" s="6"/>
      <c r="GIH7" s="7"/>
      <c r="GII7" s="8"/>
      <c r="GIJ7" s="9"/>
      <c r="GIK7" s="8"/>
      <c r="GIL7" s="7"/>
      <c r="GIM7" s="9"/>
      <c r="GIN7" s="8"/>
      <c r="GIO7" s="8"/>
      <c r="GIP7" s="7"/>
      <c r="GIQ7" s="9"/>
      <c r="GIR7" s="2"/>
      <c r="GIS7" s="2"/>
      <c r="GIT7" s="2"/>
      <c r="GIU7" s="2"/>
      <c r="GIV7" s="2"/>
      <c r="GIW7" s="2"/>
      <c r="GIX7" s="2"/>
      <c r="GIY7" s="2"/>
      <c r="GIZ7" s="2"/>
      <c r="GJA7" s="2"/>
      <c r="GJB7" s="2"/>
      <c r="GJC7" s="6"/>
      <c r="GJD7" s="7"/>
      <c r="GJE7" s="8"/>
      <c r="GJF7" s="9"/>
      <c r="GJG7" s="8"/>
      <c r="GJH7" s="7"/>
      <c r="GJI7" s="9"/>
      <c r="GJJ7" s="8"/>
      <c r="GJK7" s="8"/>
      <c r="GJL7" s="7"/>
      <c r="GJM7" s="9"/>
      <c r="GJN7" s="2"/>
      <c r="GJO7" s="2"/>
      <c r="GJP7" s="2"/>
      <c r="GJQ7" s="2"/>
      <c r="GJR7" s="2"/>
      <c r="GJS7" s="2"/>
      <c r="GJT7" s="2"/>
      <c r="GJU7" s="2"/>
      <c r="GJV7" s="2"/>
      <c r="GJW7" s="2"/>
      <c r="GJX7" s="2"/>
      <c r="GJY7" s="6"/>
      <c r="GJZ7" s="7"/>
      <c r="GKA7" s="8"/>
      <c r="GKB7" s="9"/>
      <c r="GKC7" s="8"/>
      <c r="GKD7" s="7"/>
      <c r="GKE7" s="9"/>
      <c r="GKF7" s="8"/>
      <c r="GKG7" s="8"/>
      <c r="GKH7" s="7"/>
      <c r="GKI7" s="9"/>
      <c r="GKJ7" s="2"/>
      <c r="GKK7" s="2"/>
      <c r="GKL7" s="2"/>
      <c r="GKM7" s="2"/>
      <c r="GKN7" s="2"/>
      <c r="GKO7" s="2"/>
      <c r="GKP7" s="2"/>
      <c r="GKQ7" s="2"/>
      <c r="GKR7" s="2"/>
      <c r="GKS7" s="2"/>
      <c r="GKT7" s="2"/>
      <c r="GKU7" s="6"/>
      <c r="GKV7" s="7"/>
      <c r="GKW7" s="8"/>
      <c r="GKX7" s="9"/>
      <c r="GKY7" s="8"/>
      <c r="GKZ7" s="7"/>
      <c r="GLA7" s="9"/>
      <c r="GLB7" s="8"/>
      <c r="GLC7" s="8"/>
      <c r="GLD7" s="7"/>
      <c r="GLE7" s="9"/>
      <c r="GLF7" s="2"/>
      <c r="GLG7" s="2"/>
      <c r="GLH7" s="2"/>
      <c r="GLI7" s="2"/>
      <c r="GLJ7" s="2"/>
      <c r="GLK7" s="2"/>
      <c r="GLL7" s="2"/>
      <c r="GLM7" s="2"/>
      <c r="GLN7" s="2"/>
      <c r="GLO7" s="2"/>
      <c r="GLP7" s="2"/>
      <c r="GLQ7" s="6"/>
      <c r="GLR7" s="7"/>
      <c r="GLS7" s="8"/>
      <c r="GLT7" s="9"/>
      <c r="GLU7" s="8"/>
      <c r="GLV7" s="7"/>
      <c r="GLW7" s="9"/>
      <c r="GLX7" s="8"/>
      <c r="GLY7" s="8"/>
      <c r="GLZ7" s="7"/>
      <c r="GMA7" s="9"/>
      <c r="GMB7" s="2"/>
      <c r="GMC7" s="2"/>
      <c r="GMD7" s="2"/>
      <c r="GME7" s="2"/>
      <c r="GMF7" s="2"/>
      <c r="GMG7" s="2"/>
      <c r="GMH7" s="2"/>
      <c r="GMI7" s="2"/>
      <c r="GMJ7" s="2"/>
      <c r="GMK7" s="2"/>
      <c r="GML7" s="2"/>
      <c r="GMM7" s="6"/>
      <c r="GMN7" s="7"/>
      <c r="GMO7" s="8"/>
      <c r="GMP7" s="9"/>
      <c r="GMQ7" s="8"/>
      <c r="GMR7" s="7"/>
      <c r="GMS7" s="9"/>
      <c r="GMT7" s="8"/>
      <c r="GMU7" s="8"/>
      <c r="GMV7" s="7"/>
      <c r="GMW7" s="9"/>
      <c r="GMX7" s="2"/>
      <c r="GMY7" s="2"/>
      <c r="GMZ7" s="2"/>
      <c r="GNA7" s="2"/>
      <c r="GNB7" s="2"/>
      <c r="GNC7" s="2"/>
      <c r="GND7" s="2"/>
      <c r="GNE7" s="2"/>
      <c r="GNF7" s="2"/>
      <c r="GNG7" s="2"/>
      <c r="GNH7" s="2"/>
      <c r="GNI7" s="6"/>
      <c r="GNJ7" s="7"/>
      <c r="GNK7" s="8"/>
      <c r="GNL7" s="9"/>
      <c r="GNM7" s="8"/>
      <c r="GNN7" s="7"/>
      <c r="GNO7" s="9"/>
      <c r="GNP7" s="8"/>
      <c r="GNQ7" s="8"/>
      <c r="GNR7" s="7"/>
      <c r="GNS7" s="9"/>
      <c r="GNT7" s="2"/>
      <c r="GNU7" s="2"/>
      <c r="GNV7" s="2"/>
      <c r="GNW7" s="2"/>
      <c r="GNX7" s="2"/>
      <c r="GNY7" s="2"/>
      <c r="GNZ7" s="2"/>
      <c r="GOA7" s="2"/>
      <c r="GOB7" s="2"/>
      <c r="GOC7" s="2"/>
      <c r="GOD7" s="2"/>
      <c r="GOE7" s="6"/>
      <c r="GOF7" s="7"/>
      <c r="GOG7" s="8"/>
      <c r="GOH7" s="9"/>
      <c r="GOI7" s="8"/>
      <c r="GOJ7" s="7"/>
      <c r="GOK7" s="9"/>
      <c r="GOL7" s="8"/>
      <c r="GOM7" s="8"/>
      <c r="GON7" s="7"/>
      <c r="GOO7" s="9"/>
      <c r="GOP7" s="2"/>
      <c r="GOQ7" s="2"/>
      <c r="GOR7" s="2"/>
      <c r="GOS7" s="2"/>
      <c r="GOT7" s="2"/>
      <c r="GOU7" s="2"/>
      <c r="GOV7" s="2"/>
      <c r="GOW7" s="2"/>
      <c r="GOX7" s="2"/>
      <c r="GOY7" s="2"/>
      <c r="GOZ7" s="2"/>
      <c r="GPA7" s="6"/>
      <c r="GPB7" s="7"/>
      <c r="GPC7" s="8"/>
      <c r="GPD7" s="9"/>
      <c r="GPE7" s="8"/>
      <c r="GPF7" s="7"/>
      <c r="GPG7" s="9"/>
      <c r="GPH7" s="8"/>
      <c r="GPI7" s="8"/>
      <c r="GPJ7" s="7"/>
      <c r="GPK7" s="9"/>
      <c r="GPL7" s="2"/>
      <c r="GPM7" s="2"/>
      <c r="GPN7" s="2"/>
      <c r="GPO7" s="2"/>
      <c r="GPP7" s="2"/>
      <c r="GPQ7" s="2"/>
      <c r="GPR7" s="2"/>
      <c r="GPS7" s="2"/>
      <c r="GPT7" s="2"/>
      <c r="GPU7" s="2"/>
      <c r="GPV7" s="2"/>
      <c r="GPW7" s="6"/>
      <c r="GPX7" s="7"/>
      <c r="GPY7" s="8"/>
      <c r="GPZ7" s="9"/>
      <c r="GQA7" s="8"/>
      <c r="GQB7" s="7"/>
      <c r="GQC7" s="9"/>
      <c r="GQD7" s="8"/>
      <c r="GQE7" s="8"/>
      <c r="GQF7" s="7"/>
      <c r="GQG7" s="9"/>
      <c r="GQH7" s="2"/>
      <c r="GQI7" s="2"/>
      <c r="GQJ7" s="2"/>
      <c r="GQK7" s="2"/>
      <c r="GQL7" s="2"/>
      <c r="GQM7" s="2"/>
      <c r="GQN7" s="2"/>
      <c r="GQO7" s="2"/>
      <c r="GQP7" s="2"/>
      <c r="GQQ7" s="2"/>
      <c r="GQR7" s="2"/>
      <c r="GQS7" s="6"/>
      <c r="GQT7" s="7"/>
      <c r="GQU7" s="8"/>
      <c r="GQV7" s="9"/>
      <c r="GQW7" s="8"/>
      <c r="GQX7" s="7"/>
      <c r="GQY7" s="9"/>
      <c r="GQZ7" s="8"/>
      <c r="GRA7" s="8"/>
      <c r="GRB7" s="7"/>
      <c r="GRC7" s="9"/>
      <c r="GRD7" s="2"/>
      <c r="GRE7" s="2"/>
      <c r="GRF7" s="2"/>
      <c r="GRG7" s="2"/>
      <c r="GRH7" s="2"/>
      <c r="GRI7" s="2"/>
      <c r="GRJ7" s="2"/>
      <c r="GRK7" s="2"/>
      <c r="GRL7" s="2"/>
      <c r="GRM7" s="2"/>
      <c r="GRN7" s="2"/>
      <c r="GRO7" s="6"/>
      <c r="GRP7" s="7"/>
      <c r="GRQ7" s="8"/>
      <c r="GRR7" s="9"/>
      <c r="GRS7" s="8"/>
      <c r="GRT7" s="7"/>
      <c r="GRU7" s="9"/>
      <c r="GRV7" s="8"/>
      <c r="GRW7" s="8"/>
      <c r="GRX7" s="7"/>
      <c r="GRY7" s="9"/>
      <c r="GRZ7" s="2"/>
      <c r="GSA7" s="2"/>
      <c r="GSB7" s="2"/>
      <c r="GSC7" s="2"/>
      <c r="GSD7" s="2"/>
      <c r="GSE7" s="2"/>
      <c r="GSF7" s="2"/>
      <c r="GSG7" s="2"/>
      <c r="GSH7" s="2"/>
      <c r="GSI7" s="2"/>
      <c r="GSJ7" s="2"/>
      <c r="GSK7" s="6"/>
      <c r="GSL7" s="7"/>
      <c r="GSM7" s="8"/>
      <c r="GSN7" s="9"/>
      <c r="GSO7" s="8"/>
      <c r="GSP7" s="7"/>
      <c r="GSQ7" s="9"/>
      <c r="GSR7" s="8"/>
      <c r="GSS7" s="8"/>
      <c r="GST7" s="7"/>
      <c r="GSU7" s="9"/>
      <c r="GSV7" s="2"/>
      <c r="GSW7" s="2"/>
      <c r="GSX7" s="2"/>
      <c r="GSY7" s="2"/>
      <c r="GSZ7" s="2"/>
      <c r="GTA7" s="2"/>
      <c r="GTB7" s="2"/>
      <c r="GTC7" s="2"/>
      <c r="GTD7" s="2"/>
      <c r="GTE7" s="2"/>
      <c r="GTF7" s="2"/>
      <c r="GTG7" s="6"/>
      <c r="GTH7" s="7"/>
      <c r="GTI7" s="8"/>
      <c r="GTJ7" s="9"/>
      <c r="GTK7" s="8"/>
      <c r="GTL7" s="7"/>
      <c r="GTM7" s="9"/>
      <c r="GTN7" s="8"/>
      <c r="GTO7" s="8"/>
      <c r="GTP7" s="7"/>
      <c r="GTQ7" s="9"/>
      <c r="GTR7" s="2"/>
      <c r="GTS7" s="2"/>
      <c r="GTT7" s="2"/>
      <c r="GTU7" s="2"/>
      <c r="GTV7" s="2"/>
      <c r="GTW7" s="2"/>
      <c r="GTX7" s="2"/>
      <c r="GTY7" s="2"/>
      <c r="GTZ7" s="2"/>
      <c r="GUA7" s="2"/>
      <c r="GUB7" s="2"/>
      <c r="GUC7" s="6"/>
      <c r="GUD7" s="7"/>
      <c r="GUE7" s="8"/>
      <c r="GUF7" s="9"/>
      <c r="GUG7" s="8"/>
      <c r="GUH7" s="7"/>
      <c r="GUI7" s="9"/>
      <c r="GUJ7" s="8"/>
      <c r="GUK7" s="8"/>
      <c r="GUL7" s="7"/>
      <c r="GUM7" s="9"/>
      <c r="GUN7" s="2"/>
      <c r="GUO7" s="2"/>
      <c r="GUP7" s="2"/>
      <c r="GUQ7" s="2"/>
      <c r="GUR7" s="2"/>
      <c r="GUS7" s="2"/>
      <c r="GUT7" s="2"/>
      <c r="GUU7" s="2"/>
      <c r="GUV7" s="2"/>
      <c r="GUW7" s="2"/>
      <c r="GUX7" s="2"/>
      <c r="GUY7" s="6"/>
      <c r="GUZ7" s="7"/>
      <c r="GVA7" s="8"/>
      <c r="GVB7" s="9"/>
      <c r="GVC7" s="8"/>
      <c r="GVD7" s="7"/>
      <c r="GVE7" s="9"/>
      <c r="GVF7" s="8"/>
      <c r="GVG7" s="8"/>
      <c r="GVH7" s="7"/>
      <c r="GVI7" s="9"/>
      <c r="GVJ7" s="2"/>
      <c r="GVK7" s="2"/>
      <c r="GVL7" s="2"/>
      <c r="GVM7" s="2"/>
      <c r="GVN7" s="2"/>
      <c r="GVO7" s="2"/>
      <c r="GVP7" s="2"/>
      <c r="GVQ7" s="2"/>
      <c r="GVR7" s="2"/>
      <c r="GVS7" s="2"/>
      <c r="GVT7" s="2"/>
      <c r="GVU7" s="6"/>
      <c r="GVV7" s="7"/>
      <c r="GVW7" s="8"/>
      <c r="GVX7" s="9"/>
      <c r="GVY7" s="8"/>
      <c r="GVZ7" s="7"/>
      <c r="GWA7" s="9"/>
      <c r="GWB7" s="8"/>
      <c r="GWC7" s="8"/>
      <c r="GWD7" s="7"/>
      <c r="GWE7" s="9"/>
      <c r="GWF7" s="2"/>
      <c r="GWG7" s="2"/>
      <c r="GWH7" s="2"/>
      <c r="GWI7" s="2"/>
      <c r="GWJ7" s="2"/>
      <c r="GWK7" s="2"/>
      <c r="GWL7" s="2"/>
      <c r="GWM7" s="2"/>
      <c r="GWN7" s="2"/>
      <c r="GWO7" s="2"/>
      <c r="GWP7" s="2"/>
      <c r="GWQ7" s="6"/>
      <c r="GWR7" s="7"/>
      <c r="GWS7" s="8"/>
      <c r="GWT7" s="9"/>
      <c r="GWU7" s="8"/>
      <c r="GWV7" s="7"/>
      <c r="GWW7" s="9"/>
      <c r="GWX7" s="8"/>
      <c r="GWY7" s="8"/>
      <c r="GWZ7" s="7"/>
      <c r="GXA7" s="9"/>
      <c r="GXB7" s="2"/>
      <c r="GXC7" s="2"/>
      <c r="GXD7" s="2"/>
      <c r="GXE7" s="2"/>
      <c r="GXF7" s="2"/>
      <c r="GXG7" s="2"/>
      <c r="GXH7" s="2"/>
      <c r="GXI7" s="2"/>
      <c r="GXJ7" s="2"/>
      <c r="GXK7" s="2"/>
      <c r="GXL7" s="2"/>
      <c r="GXM7" s="6"/>
      <c r="GXN7" s="7"/>
      <c r="GXO7" s="8"/>
      <c r="GXP7" s="9"/>
      <c r="GXQ7" s="8"/>
      <c r="GXR7" s="7"/>
      <c r="GXS7" s="9"/>
      <c r="GXT7" s="8"/>
      <c r="GXU7" s="8"/>
      <c r="GXV7" s="7"/>
      <c r="GXW7" s="9"/>
      <c r="GXX7" s="2"/>
      <c r="GXY7" s="2"/>
      <c r="GXZ7" s="2"/>
      <c r="GYA7" s="2"/>
      <c r="GYB7" s="2"/>
      <c r="GYC7" s="2"/>
      <c r="GYD7" s="2"/>
      <c r="GYE7" s="2"/>
      <c r="GYF7" s="2"/>
      <c r="GYG7" s="2"/>
      <c r="GYH7" s="2"/>
      <c r="GYI7" s="6"/>
      <c r="GYJ7" s="7"/>
      <c r="GYK7" s="8"/>
      <c r="GYL7" s="9"/>
      <c r="GYM7" s="8"/>
      <c r="GYN7" s="7"/>
      <c r="GYO7" s="9"/>
      <c r="GYP7" s="8"/>
      <c r="GYQ7" s="8"/>
      <c r="GYR7" s="7"/>
      <c r="GYS7" s="9"/>
      <c r="GYT7" s="2"/>
      <c r="GYU7" s="2"/>
      <c r="GYV7" s="2"/>
      <c r="GYW7" s="2"/>
      <c r="GYX7" s="2"/>
      <c r="GYY7" s="2"/>
      <c r="GYZ7" s="2"/>
      <c r="GZA7" s="2"/>
      <c r="GZB7" s="2"/>
      <c r="GZC7" s="2"/>
      <c r="GZD7" s="2"/>
      <c r="GZE7" s="6"/>
      <c r="GZF7" s="7"/>
      <c r="GZG7" s="8"/>
      <c r="GZH7" s="9"/>
      <c r="GZI7" s="8"/>
      <c r="GZJ7" s="7"/>
      <c r="GZK7" s="9"/>
      <c r="GZL7" s="8"/>
      <c r="GZM7" s="8"/>
      <c r="GZN7" s="7"/>
      <c r="GZO7" s="9"/>
      <c r="GZP7" s="2"/>
      <c r="GZQ7" s="2"/>
      <c r="GZR7" s="2"/>
      <c r="GZS7" s="2"/>
      <c r="GZT7" s="2"/>
      <c r="GZU7" s="2"/>
      <c r="GZV7" s="2"/>
      <c r="GZW7" s="2"/>
      <c r="GZX7" s="2"/>
      <c r="GZY7" s="2"/>
      <c r="GZZ7" s="2"/>
      <c r="HAA7" s="6"/>
      <c r="HAB7" s="7"/>
      <c r="HAC7" s="8"/>
      <c r="HAD7" s="9"/>
      <c r="HAE7" s="8"/>
      <c r="HAF7" s="7"/>
      <c r="HAG7" s="9"/>
      <c r="HAH7" s="8"/>
      <c r="HAI7" s="8"/>
      <c r="HAJ7" s="7"/>
      <c r="HAK7" s="9"/>
      <c r="HAL7" s="2"/>
      <c r="HAM7" s="2"/>
      <c r="HAN7" s="2"/>
      <c r="HAO7" s="2"/>
      <c r="HAP7" s="2"/>
      <c r="HAQ7" s="2"/>
      <c r="HAR7" s="2"/>
      <c r="HAS7" s="2"/>
      <c r="HAT7" s="2"/>
      <c r="HAU7" s="2"/>
      <c r="HAV7" s="2"/>
      <c r="HAW7" s="6"/>
      <c r="HAX7" s="7"/>
      <c r="HAY7" s="8"/>
      <c r="HAZ7" s="9"/>
      <c r="HBA7" s="8"/>
      <c r="HBB7" s="7"/>
      <c r="HBC7" s="9"/>
      <c r="HBD7" s="8"/>
      <c r="HBE7" s="8"/>
      <c r="HBF7" s="7"/>
      <c r="HBG7" s="9"/>
      <c r="HBH7" s="2"/>
      <c r="HBI7" s="2"/>
      <c r="HBJ7" s="2"/>
      <c r="HBK7" s="2"/>
      <c r="HBL7" s="2"/>
      <c r="HBM7" s="2"/>
      <c r="HBN7" s="2"/>
      <c r="HBO7" s="2"/>
      <c r="HBP7" s="2"/>
      <c r="HBQ7" s="2"/>
      <c r="HBR7" s="2"/>
      <c r="HBS7" s="6"/>
      <c r="HBT7" s="7"/>
      <c r="HBU7" s="8"/>
      <c r="HBV7" s="9"/>
      <c r="HBW7" s="8"/>
      <c r="HBX7" s="7"/>
      <c r="HBY7" s="9"/>
      <c r="HBZ7" s="8"/>
      <c r="HCA7" s="8"/>
      <c r="HCB7" s="7"/>
      <c r="HCC7" s="9"/>
      <c r="HCD7" s="2"/>
      <c r="HCE7" s="2"/>
      <c r="HCF7" s="2"/>
      <c r="HCG7" s="2"/>
      <c r="HCH7" s="2"/>
      <c r="HCI7" s="2"/>
      <c r="HCJ7" s="2"/>
      <c r="HCK7" s="2"/>
      <c r="HCL7" s="2"/>
      <c r="HCM7" s="2"/>
      <c r="HCN7" s="2"/>
      <c r="HCO7" s="6"/>
      <c r="HCP7" s="7"/>
      <c r="HCQ7" s="8"/>
      <c r="HCR7" s="9"/>
      <c r="HCS7" s="8"/>
      <c r="HCT7" s="7"/>
      <c r="HCU7" s="9"/>
      <c r="HCV7" s="8"/>
      <c r="HCW7" s="8"/>
      <c r="HCX7" s="7"/>
      <c r="HCY7" s="9"/>
      <c r="HCZ7" s="2"/>
      <c r="HDA7" s="2"/>
      <c r="HDB7" s="2"/>
      <c r="HDC7" s="2"/>
      <c r="HDD7" s="2"/>
      <c r="HDE7" s="2"/>
      <c r="HDF7" s="2"/>
      <c r="HDG7" s="2"/>
      <c r="HDH7" s="2"/>
      <c r="HDI7" s="2"/>
      <c r="HDJ7" s="2"/>
      <c r="HDK7" s="6"/>
      <c r="HDL7" s="7"/>
      <c r="HDM7" s="8"/>
      <c r="HDN7" s="9"/>
      <c r="HDO7" s="8"/>
      <c r="HDP7" s="7"/>
      <c r="HDQ7" s="9"/>
      <c r="HDR7" s="8"/>
      <c r="HDS7" s="8"/>
      <c r="HDT7" s="7"/>
      <c r="HDU7" s="9"/>
      <c r="HDV7" s="2"/>
      <c r="HDW7" s="2"/>
      <c r="HDX7" s="2"/>
      <c r="HDY7" s="2"/>
      <c r="HDZ7" s="2"/>
      <c r="HEA7" s="2"/>
      <c r="HEB7" s="2"/>
      <c r="HEC7" s="2"/>
      <c r="HED7" s="2"/>
      <c r="HEE7" s="2"/>
      <c r="HEF7" s="2"/>
      <c r="HEG7" s="6"/>
      <c r="HEH7" s="7"/>
      <c r="HEI7" s="8"/>
      <c r="HEJ7" s="9"/>
      <c r="HEK7" s="8"/>
      <c r="HEL7" s="7"/>
      <c r="HEM7" s="9"/>
      <c r="HEN7" s="8"/>
      <c r="HEO7" s="8"/>
      <c r="HEP7" s="7"/>
      <c r="HEQ7" s="9"/>
      <c r="HER7" s="2"/>
      <c r="HES7" s="2"/>
      <c r="HET7" s="2"/>
      <c r="HEU7" s="2"/>
      <c r="HEV7" s="2"/>
      <c r="HEW7" s="2"/>
      <c r="HEX7" s="2"/>
      <c r="HEY7" s="2"/>
      <c r="HEZ7" s="2"/>
      <c r="HFA7" s="2"/>
      <c r="HFB7" s="2"/>
      <c r="HFC7" s="6"/>
      <c r="HFD7" s="7"/>
      <c r="HFE7" s="8"/>
      <c r="HFF7" s="9"/>
      <c r="HFG7" s="8"/>
      <c r="HFH7" s="7"/>
      <c r="HFI7" s="9"/>
      <c r="HFJ7" s="8"/>
      <c r="HFK7" s="8"/>
      <c r="HFL7" s="7"/>
      <c r="HFM7" s="9"/>
      <c r="HFN7" s="2"/>
      <c r="HFO7" s="2"/>
      <c r="HFP7" s="2"/>
      <c r="HFQ7" s="2"/>
      <c r="HFR7" s="2"/>
      <c r="HFS7" s="2"/>
      <c r="HFT7" s="2"/>
      <c r="HFU7" s="2"/>
      <c r="HFV7" s="2"/>
      <c r="HFW7" s="2"/>
      <c r="HFX7" s="2"/>
      <c r="HFY7" s="6"/>
      <c r="HFZ7" s="7"/>
      <c r="HGA7" s="8"/>
      <c r="HGB7" s="9"/>
      <c r="HGC7" s="8"/>
      <c r="HGD7" s="7"/>
      <c r="HGE7" s="9"/>
      <c r="HGF7" s="8"/>
      <c r="HGG7" s="8"/>
      <c r="HGH7" s="7"/>
      <c r="HGI7" s="9"/>
      <c r="HGJ7" s="2"/>
      <c r="HGK7" s="2"/>
      <c r="HGL7" s="2"/>
      <c r="HGM7" s="2"/>
      <c r="HGN7" s="2"/>
      <c r="HGO7" s="2"/>
      <c r="HGP7" s="2"/>
      <c r="HGQ7" s="2"/>
      <c r="HGR7" s="2"/>
      <c r="HGS7" s="2"/>
      <c r="HGT7" s="2"/>
      <c r="HGU7" s="6"/>
      <c r="HGV7" s="7"/>
      <c r="HGW7" s="8"/>
      <c r="HGX7" s="9"/>
      <c r="HGY7" s="8"/>
      <c r="HGZ7" s="7"/>
      <c r="HHA7" s="9"/>
      <c r="HHB7" s="8"/>
      <c r="HHC7" s="8"/>
      <c r="HHD7" s="7"/>
      <c r="HHE7" s="9"/>
      <c r="HHF7" s="2"/>
      <c r="HHG7" s="2"/>
      <c r="HHH7" s="2"/>
      <c r="HHI7" s="2"/>
      <c r="HHJ7" s="2"/>
      <c r="HHK7" s="2"/>
      <c r="HHL7" s="2"/>
      <c r="HHM7" s="2"/>
      <c r="HHN7" s="2"/>
      <c r="HHO7" s="2"/>
      <c r="HHP7" s="2"/>
      <c r="HHQ7" s="6"/>
      <c r="HHR7" s="7"/>
      <c r="HHS7" s="8"/>
      <c r="HHT7" s="9"/>
      <c r="HHU7" s="8"/>
      <c r="HHV7" s="7"/>
      <c r="HHW7" s="9"/>
      <c r="HHX7" s="8"/>
      <c r="HHY7" s="8"/>
      <c r="HHZ7" s="7"/>
      <c r="HIA7" s="9"/>
      <c r="HIB7" s="2"/>
      <c r="HIC7" s="2"/>
      <c r="HID7" s="2"/>
      <c r="HIE7" s="2"/>
      <c r="HIF7" s="2"/>
      <c r="HIG7" s="2"/>
      <c r="HIH7" s="2"/>
      <c r="HII7" s="2"/>
      <c r="HIJ7" s="2"/>
      <c r="HIK7" s="2"/>
      <c r="HIL7" s="2"/>
      <c r="HIM7" s="6"/>
      <c r="HIN7" s="7"/>
      <c r="HIO7" s="8"/>
      <c r="HIP7" s="9"/>
      <c r="HIQ7" s="8"/>
      <c r="HIR7" s="7"/>
      <c r="HIS7" s="9"/>
      <c r="HIT7" s="8"/>
      <c r="HIU7" s="8"/>
      <c r="HIV7" s="7"/>
      <c r="HIW7" s="9"/>
      <c r="HIX7" s="2"/>
      <c r="HIY7" s="2"/>
      <c r="HIZ7" s="2"/>
      <c r="HJA7" s="2"/>
      <c r="HJB7" s="2"/>
      <c r="HJC7" s="2"/>
      <c r="HJD7" s="2"/>
      <c r="HJE7" s="2"/>
      <c r="HJF7" s="2"/>
      <c r="HJG7" s="2"/>
      <c r="HJH7" s="2"/>
      <c r="HJI7" s="6"/>
      <c r="HJJ7" s="7"/>
      <c r="HJK7" s="8"/>
      <c r="HJL7" s="9"/>
      <c r="HJM7" s="8"/>
      <c r="HJN7" s="7"/>
      <c r="HJO7" s="9"/>
      <c r="HJP7" s="8"/>
      <c r="HJQ7" s="8"/>
      <c r="HJR7" s="7"/>
      <c r="HJS7" s="9"/>
      <c r="HJT7" s="2"/>
      <c r="HJU7" s="2"/>
      <c r="HJV7" s="2"/>
      <c r="HJW7" s="2"/>
      <c r="HJX7" s="2"/>
      <c r="HJY7" s="2"/>
      <c r="HJZ7" s="2"/>
      <c r="HKA7" s="2"/>
      <c r="HKB7" s="2"/>
      <c r="HKC7" s="2"/>
      <c r="HKD7" s="2"/>
      <c r="HKE7" s="6"/>
      <c r="HKF7" s="7"/>
      <c r="HKG7" s="8"/>
      <c r="HKH7" s="9"/>
      <c r="HKI7" s="8"/>
      <c r="HKJ7" s="7"/>
      <c r="HKK7" s="9"/>
      <c r="HKL7" s="8"/>
      <c r="HKM7" s="8"/>
      <c r="HKN7" s="7"/>
      <c r="HKO7" s="9"/>
      <c r="HKP7" s="2"/>
      <c r="HKQ7" s="2"/>
      <c r="HKR7" s="2"/>
      <c r="HKS7" s="2"/>
      <c r="HKT7" s="2"/>
      <c r="HKU7" s="2"/>
      <c r="HKV7" s="2"/>
      <c r="HKW7" s="2"/>
      <c r="HKX7" s="2"/>
      <c r="HKY7" s="2"/>
      <c r="HKZ7" s="2"/>
      <c r="HLA7" s="6"/>
      <c r="HLB7" s="7"/>
      <c r="HLC7" s="8"/>
      <c r="HLD7" s="9"/>
      <c r="HLE7" s="8"/>
      <c r="HLF7" s="7"/>
      <c r="HLG7" s="9"/>
      <c r="HLH7" s="8"/>
      <c r="HLI7" s="8"/>
      <c r="HLJ7" s="7"/>
      <c r="HLK7" s="9"/>
      <c r="HLL7" s="2"/>
      <c r="HLM7" s="2"/>
      <c r="HLN7" s="2"/>
      <c r="HLO7" s="2"/>
      <c r="HLP7" s="2"/>
      <c r="HLQ7" s="2"/>
      <c r="HLR7" s="2"/>
      <c r="HLS7" s="2"/>
      <c r="HLT7" s="2"/>
      <c r="HLU7" s="2"/>
      <c r="HLV7" s="2"/>
      <c r="HLW7" s="6"/>
      <c r="HLX7" s="7"/>
      <c r="HLY7" s="8"/>
      <c r="HLZ7" s="9"/>
      <c r="HMA7" s="8"/>
      <c r="HMB7" s="7"/>
      <c r="HMC7" s="9"/>
      <c r="HMD7" s="8"/>
      <c r="HME7" s="8"/>
      <c r="HMF7" s="7"/>
      <c r="HMG7" s="9"/>
      <c r="HMH7" s="2"/>
      <c r="HMI7" s="2"/>
      <c r="HMJ7" s="2"/>
      <c r="HMK7" s="2"/>
      <c r="HML7" s="2"/>
      <c r="HMM7" s="2"/>
      <c r="HMN7" s="2"/>
      <c r="HMO7" s="2"/>
      <c r="HMP7" s="2"/>
      <c r="HMQ7" s="2"/>
      <c r="HMR7" s="2"/>
      <c r="HMS7" s="6"/>
      <c r="HMT7" s="7"/>
      <c r="HMU7" s="8"/>
      <c r="HMV7" s="9"/>
      <c r="HMW7" s="8"/>
      <c r="HMX7" s="7"/>
      <c r="HMY7" s="9"/>
      <c r="HMZ7" s="8"/>
      <c r="HNA7" s="8"/>
      <c r="HNB7" s="7"/>
      <c r="HNC7" s="9"/>
      <c r="HND7" s="2"/>
      <c r="HNE7" s="2"/>
      <c r="HNF7" s="2"/>
      <c r="HNG7" s="2"/>
      <c r="HNH7" s="2"/>
      <c r="HNI7" s="2"/>
      <c r="HNJ7" s="2"/>
      <c r="HNK7" s="2"/>
      <c r="HNL7" s="2"/>
      <c r="HNM7" s="2"/>
      <c r="HNN7" s="2"/>
      <c r="HNO7" s="6"/>
      <c r="HNP7" s="7"/>
      <c r="HNQ7" s="8"/>
      <c r="HNR7" s="9"/>
      <c r="HNS7" s="8"/>
      <c r="HNT7" s="7"/>
      <c r="HNU7" s="9"/>
      <c r="HNV7" s="8"/>
      <c r="HNW7" s="8"/>
      <c r="HNX7" s="7"/>
      <c r="HNY7" s="9"/>
      <c r="HNZ7" s="2"/>
      <c r="HOA7" s="2"/>
      <c r="HOB7" s="2"/>
      <c r="HOC7" s="2"/>
      <c r="HOD7" s="2"/>
      <c r="HOE7" s="2"/>
      <c r="HOF7" s="2"/>
      <c r="HOG7" s="2"/>
      <c r="HOH7" s="2"/>
      <c r="HOI7" s="2"/>
      <c r="HOJ7" s="2"/>
      <c r="HOK7" s="6"/>
      <c r="HOL7" s="7"/>
      <c r="HOM7" s="8"/>
      <c r="HON7" s="9"/>
      <c r="HOO7" s="8"/>
      <c r="HOP7" s="7"/>
      <c r="HOQ7" s="9"/>
      <c r="HOR7" s="8"/>
      <c r="HOS7" s="8"/>
      <c r="HOT7" s="7"/>
      <c r="HOU7" s="9"/>
      <c r="HOV7" s="2"/>
      <c r="HOW7" s="2"/>
      <c r="HOX7" s="2"/>
      <c r="HOY7" s="2"/>
      <c r="HOZ7" s="2"/>
      <c r="HPA7" s="2"/>
      <c r="HPB7" s="2"/>
      <c r="HPC7" s="2"/>
      <c r="HPD7" s="2"/>
      <c r="HPE7" s="2"/>
      <c r="HPF7" s="2"/>
      <c r="HPG7" s="6"/>
      <c r="HPH7" s="7"/>
      <c r="HPI7" s="8"/>
      <c r="HPJ7" s="9"/>
      <c r="HPK7" s="8"/>
      <c r="HPL7" s="7"/>
      <c r="HPM7" s="9"/>
      <c r="HPN7" s="8"/>
      <c r="HPO7" s="8"/>
      <c r="HPP7" s="7"/>
      <c r="HPQ7" s="9"/>
      <c r="HPR7" s="2"/>
      <c r="HPS7" s="2"/>
      <c r="HPT7" s="2"/>
      <c r="HPU7" s="2"/>
      <c r="HPV7" s="2"/>
      <c r="HPW7" s="2"/>
      <c r="HPX7" s="2"/>
      <c r="HPY7" s="2"/>
      <c r="HPZ7" s="2"/>
      <c r="HQA7" s="2"/>
      <c r="HQB7" s="2"/>
      <c r="HQC7" s="6"/>
      <c r="HQD7" s="7"/>
      <c r="HQE7" s="8"/>
      <c r="HQF7" s="9"/>
      <c r="HQG7" s="8"/>
      <c r="HQH7" s="7"/>
      <c r="HQI7" s="9"/>
      <c r="HQJ7" s="8"/>
      <c r="HQK7" s="8"/>
      <c r="HQL7" s="7"/>
      <c r="HQM7" s="9"/>
      <c r="HQN7" s="2"/>
      <c r="HQO7" s="2"/>
      <c r="HQP7" s="2"/>
      <c r="HQQ7" s="2"/>
      <c r="HQR7" s="2"/>
      <c r="HQS7" s="2"/>
      <c r="HQT7" s="2"/>
      <c r="HQU7" s="2"/>
      <c r="HQV7" s="2"/>
      <c r="HQW7" s="2"/>
      <c r="HQX7" s="2"/>
      <c r="HQY7" s="6"/>
      <c r="HQZ7" s="7"/>
      <c r="HRA7" s="8"/>
      <c r="HRB7" s="9"/>
      <c r="HRC7" s="8"/>
      <c r="HRD7" s="7"/>
      <c r="HRE7" s="9"/>
      <c r="HRF7" s="8"/>
      <c r="HRG7" s="8"/>
      <c r="HRH7" s="7"/>
      <c r="HRI7" s="9"/>
      <c r="HRJ7" s="2"/>
      <c r="HRK7" s="2"/>
      <c r="HRL7" s="2"/>
      <c r="HRM7" s="2"/>
      <c r="HRN7" s="2"/>
      <c r="HRO7" s="2"/>
      <c r="HRP7" s="2"/>
      <c r="HRQ7" s="2"/>
      <c r="HRR7" s="2"/>
      <c r="HRS7" s="2"/>
      <c r="HRT7" s="2"/>
      <c r="HRU7" s="6"/>
      <c r="HRV7" s="7"/>
      <c r="HRW7" s="8"/>
      <c r="HRX7" s="9"/>
      <c r="HRY7" s="8"/>
      <c r="HRZ7" s="7"/>
      <c r="HSA7" s="9"/>
      <c r="HSB7" s="8"/>
      <c r="HSC7" s="8"/>
      <c r="HSD7" s="7"/>
      <c r="HSE7" s="9"/>
      <c r="HSF7" s="2"/>
      <c r="HSG7" s="2"/>
      <c r="HSH7" s="2"/>
      <c r="HSI7" s="2"/>
      <c r="HSJ7" s="2"/>
      <c r="HSK7" s="2"/>
      <c r="HSL7" s="2"/>
      <c r="HSM7" s="2"/>
      <c r="HSN7" s="2"/>
      <c r="HSO7" s="2"/>
      <c r="HSP7" s="2"/>
      <c r="HSQ7" s="6"/>
      <c r="HSR7" s="7"/>
      <c r="HSS7" s="8"/>
      <c r="HST7" s="9"/>
      <c r="HSU7" s="8"/>
      <c r="HSV7" s="7"/>
      <c r="HSW7" s="9"/>
      <c r="HSX7" s="8"/>
      <c r="HSY7" s="8"/>
      <c r="HSZ7" s="7"/>
      <c r="HTA7" s="9"/>
      <c r="HTB7" s="2"/>
      <c r="HTC7" s="2"/>
      <c r="HTD7" s="2"/>
      <c r="HTE7" s="2"/>
      <c r="HTF7" s="2"/>
      <c r="HTG7" s="2"/>
      <c r="HTH7" s="2"/>
      <c r="HTI7" s="2"/>
      <c r="HTJ7" s="2"/>
      <c r="HTK7" s="2"/>
      <c r="HTL7" s="2"/>
      <c r="HTM7" s="6"/>
      <c r="HTN7" s="7"/>
      <c r="HTO7" s="8"/>
      <c r="HTP7" s="9"/>
      <c r="HTQ7" s="8"/>
      <c r="HTR7" s="7"/>
      <c r="HTS7" s="9"/>
      <c r="HTT7" s="8"/>
      <c r="HTU7" s="8"/>
      <c r="HTV7" s="7"/>
      <c r="HTW7" s="9"/>
      <c r="HTX7" s="2"/>
      <c r="HTY7" s="2"/>
      <c r="HTZ7" s="2"/>
      <c r="HUA7" s="2"/>
      <c r="HUB7" s="2"/>
      <c r="HUC7" s="2"/>
      <c r="HUD7" s="2"/>
      <c r="HUE7" s="2"/>
      <c r="HUF7" s="2"/>
      <c r="HUG7" s="2"/>
      <c r="HUH7" s="2"/>
      <c r="HUI7" s="6"/>
      <c r="HUJ7" s="7"/>
      <c r="HUK7" s="8"/>
      <c r="HUL7" s="9"/>
      <c r="HUM7" s="8"/>
      <c r="HUN7" s="7"/>
      <c r="HUO7" s="9"/>
      <c r="HUP7" s="8"/>
      <c r="HUQ7" s="8"/>
      <c r="HUR7" s="7"/>
      <c r="HUS7" s="9"/>
      <c r="HUT7" s="2"/>
      <c r="HUU7" s="2"/>
      <c r="HUV7" s="2"/>
      <c r="HUW7" s="2"/>
      <c r="HUX7" s="2"/>
      <c r="HUY7" s="2"/>
      <c r="HUZ7" s="2"/>
      <c r="HVA7" s="2"/>
      <c r="HVB7" s="2"/>
      <c r="HVC7" s="2"/>
      <c r="HVD7" s="2"/>
      <c r="HVE7" s="6"/>
      <c r="HVF7" s="7"/>
      <c r="HVG7" s="8"/>
      <c r="HVH7" s="9"/>
      <c r="HVI7" s="8"/>
      <c r="HVJ7" s="7"/>
      <c r="HVK7" s="9"/>
      <c r="HVL7" s="8"/>
      <c r="HVM7" s="8"/>
      <c r="HVN7" s="7"/>
      <c r="HVO7" s="9"/>
      <c r="HVP7" s="2"/>
      <c r="HVQ7" s="2"/>
      <c r="HVR7" s="2"/>
      <c r="HVS7" s="2"/>
      <c r="HVT7" s="2"/>
      <c r="HVU7" s="2"/>
      <c r="HVV7" s="2"/>
      <c r="HVW7" s="2"/>
      <c r="HVX7" s="2"/>
      <c r="HVY7" s="2"/>
      <c r="HVZ7" s="2"/>
      <c r="HWA7" s="6"/>
      <c r="HWB7" s="7"/>
      <c r="HWC7" s="8"/>
      <c r="HWD7" s="9"/>
      <c r="HWE7" s="8"/>
      <c r="HWF7" s="7"/>
      <c r="HWG7" s="9"/>
      <c r="HWH7" s="8"/>
      <c r="HWI7" s="8"/>
      <c r="HWJ7" s="7"/>
      <c r="HWK7" s="9"/>
      <c r="HWL7" s="2"/>
      <c r="HWM7" s="2"/>
      <c r="HWN7" s="2"/>
      <c r="HWO7" s="2"/>
      <c r="HWP7" s="2"/>
      <c r="HWQ7" s="2"/>
      <c r="HWR7" s="2"/>
      <c r="HWS7" s="2"/>
      <c r="HWT7" s="2"/>
      <c r="HWU7" s="2"/>
      <c r="HWV7" s="2"/>
      <c r="HWW7" s="6"/>
      <c r="HWX7" s="7"/>
      <c r="HWY7" s="8"/>
      <c r="HWZ7" s="9"/>
      <c r="HXA7" s="8"/>
      <c r="HXB7" s="7"/>
      <c r="HXC7" s="9"/>
      <c r="HXD7" s="8"/>
      <c r="HXE7" s="8"/>
      <c r="HXF7" s="7"/>
      <c r="HXG7" s="9"/>
      <c r="HXH7" s="2"/>
      <c r="HXI7" s="2"/>
      <c r="HXJ7" s="2"/>
      <c r="HXK7" s="2"/>
      <c r="HXL7" s="2"/>
      <c r="HXM7" s="2"/>
      <c r="HXN7" s="2"/>
      <c r="HXO7" s="2"/>
      <c r="HXP7" s="2"/>
      <c r="HXQ7" s="2"/>
      <c r="HXR7" s="2"/>
      <c r="HXS7" s="6"/>
      <c r="HXT7" s="7"/>
      <c r="HXU7" s="8"/>
      <c r="HXV7" s="9"/>
      <c r="HXW7" s="8"/>
      <c r="HXX7" s="7"/>
      <c r="HXY7" s="9"/>
      <c r="HXZ7" s="8"/>
      <c r="HYA7" s="8"/>
      <c r="HYB7" s="7"/>
      <c r="HYC7" s="9"/>
      <c r="HYD7" s="2"/>
      <c r="HYE7" s="2"/>
      <c r="HYF7" s="2"/>
      <c r="HYG7" s="2"/>
      <c r="HYH7" s="2"/>
      <c r="HYI7" s="2"/>
      <c r="HYJ7" s="2"/>
      <c r="HYK7" s="2"/>
      <c r="HYL7" s="2"/>
      <c r="HYM7" s="2"/>
      <c r="HYN7" s="2"/>
      <c r="HYO7" s="6"/>
      <c r="HYP7" s="7"/>
      <c r="HYQ7" s="8"/>
      <c r="HYR7" s="9"/>
      <c r="HYS7" s="8"/>
      <c r="HYT7" s="7"/>
      <c r="HYU7" s="9"/>
      <c r="HYV7" s="8"/>
      <c r="HYW7" s="8"/>
      <c r="HYX7" s="7"/>
      <c r="HYY7" s="9"/>
      <c r="HYZ7" s="2"/>
      <c r="HZA7" s="2"/>
      <c r="HZB7" s="2"/>
      <c r="HZC7" s="2"/>
      <c r="HZD7" s="2"/>
      <c r="HZE7" s="2"/>
      <c r="HZF7" s="2"/>
      <c r="HZG7" s="2"/>
      <c r="HZH7" s="2"/>
      <c r="HZI7" s="2"/>
      <c r="HZJ7" s="2"/>
      <c r="HZK7" s="6"/>
      <c r="HZL7" s="7"/>
      <c r="HZM7" s="8"/>
      <c r="HZN7" s="9"/>
      <c r="HZO7" s="8"/>
      <c r="HZP7" s="7"/>
      <c r="HZQ7" s="9"/>
      <c r="HZR7" s="8"/>
      <c r="HZS7" s="8"/>
      <c r="HZT7" s="7"/>
      <c r="HZU7" s="9"/>
      <c r="HZV7" s="2"/>
      <c r="HZW7" s="2"/>
      <c r="HZX7" s="2"/>
      <c r="HZY7" s="2"/>
      <c r="HZZ7" s="2"/>
      <c r="IAA7" s="2"/>
      <c r="IAB7" s="2"/>
      <c r="IAC7" s="2"/>
      <c r="IAD7" s="2"/>
      <c r="IAE7" s="2"/>
      <c r="IAF7" s="2"/>
      <c r="IAG7" s="6"/>
      <c r="IAH7" s="7"/>
      <c r="IAI7" s="8"/>
      <c r="IAJ7" s="9"/>
      <c r="IAK7" s="8"/>
      <c r="IAL7" s="7"/>
      <c r="IAM7" s="9"/>
      <c r="IAN7" s="8"/>
      <c r="IAO7" s="8"/>
      <c r="IAP7" s="7"/>
      <c r="IAQ7" s="9"/>
      <c r="IAR7" s="2"/>
      <c r="IAS7" s="2"/>
      <c r="IAT7" s="2"/>
      <c r="IAU7" s="2"/>
      <c r="IAV7" s="2"/>
      <c r="IAW7" s="2"/>
      <c r="IAX7" s="2"/>
      <c r="IAY7" s="2"/>
      <c r="IAZ7" s="2"/>
      <c r="IBA7" s="2"/>
      <c r="IBB7" s="2"/>
      <c r="IBC7" s="6"/>
      <c r="IBD7" s="7"/>
      <c r="IBE7" s="8"/>
      <c r="IBF7" s="9"/>
      <c r="IBG7" s="8"/>
      <c r="IBH7" s="7"/>
      <c r="IBI7" s="9"/>
      <c r="IBJ7" s="8"/>
      <c r="IBK7" s="8"/>
      <c r="IBL7" s="7"/>
      <c r="IBM7" s="9"/>
      <c r="IBN7" s="2"/>
      <c r="IBO7" s="2"/>
      <c r="IBP7" s="2"/>
      <c r="IBQ7" s="2"/>
      <c r="IBR7" s="2"/>
      <c r="IBS7" s="2"/>
      <c r="IBT7" s="2"/>
      <c r="IBU7" s="2"/>
      <c r="IBV7" s="2"/>
      <c r="IBW7" s="2"/>
      <c r="IBX7" s="2"/>
      <c r="IBY7" s="6"/>
      <c r="IBZ7" s="7"/>
      <c r="ICA7" s="8"/>
      <c r="ICB7" s="9"/>
      <c r="ICC7" s="8"/>
      <c r="ICD7" s="7"/>
      <c r="ICE7" s="9"/>
      <c r="ICF7" s="8"/>
      <c r="ICG7" s="8"/>
      <c r="ICH7" s="7"/>
      <c r="ICI7" s="9"/>
      <c r="ICJ7" s="2"/>
      <c r="ICK7" s="2"/>
      <c r="ICL7" s="2"/>
      <c r="ICM7" s="2"/>
      <c r="ICN7" s="2"/>
      <c r="ICO7" s="2"/>
      <c r="ICP7" s="2"/>
      <c r="ICQ7" s="2"/>
      <c r="ICR7" s="2"/>
      <c r="ICS7" s="2"/>
      <c r="ICT7" s="2"/>
      <c r="ICU7" s="6"/>
      <c r="ICV7" s="7"/>
      <c r="ICW7" s="8"/>
      <c r="ICX7" s="9"/>
      <c r="ICY7" s="8"/>
      <c r="ICZ7" s="7"/>
      <c r="IDA7" s="9"/>
      <c r="IDB7" s="8"/>
      <c r="IDC7" s="8"/>
      <c r="IDD7" s="7"/>
      <c r="IDE7" s="9"/>
      <c r="IDF7" s="2"/>
      <c r="IDG7" s="2"/>
      <c r="IDH7" s="2"/>
      <c r="IDI7" s="2"/>
      <c r="IDJ7" s="2"/>
      <c r="IDK7" s="2"/>
      <c r="IDL7" s="2"/>
      <c r="IDM7" s="2"/>
      <c r="IDN7" s="2"/>
      <c r="IDO7" s="2"/>
      <c r="IDP7" s="2"/>
      <c r="IDQ7" s="6"/>
      <c r="IDR7" s="7"/>
      <c r="IDS7" s="8"/>
      <c r="IDT7" s="9"/>
      <c r="IDU7" s="8"/>
      <c r="IDV7" s="7"/>
      <c r="IDW7" s="9"/>
      <c r="IDX7" s="8"/>
      <c r="IDY7" s="8"/>
      <c r="IDZ7" s="7"/>
      <c r="IEA7" s="9"/>
      <c r="IEB7" s="2"/>
      <c r="IEC7" s="2"/>
      <c r="IED7" s="2"/>
      <c r="IEE7" s="2"/>
      <c r="IEF7" s="2"/>
      <c r="IEG7" s="2"/>
      <c r="IEH7" s="2"/>
      <c r="IEI7" s="2"/>
      <c r="IEJ7" s="2"/>
      <c r="IEK7" s="2"/>
      <c r="IEL7" s="2"/>
      <c r="IEM7" s="6"/>
      <c r="IEN7" s="7"/>
      <c r="IEO7" s="8"/>
      <c r="IEP7" s="9"/>
      <c r="IEQ7" s="8"/>
      <c r="IER7" s="7"/>
      <c r="IES7" s="9"/>
      <c r="IET7" s="8"/>
      <c r="IEU7" s="8"/>
      <c r="IEV7" s="7"/>
      <c r="IEW7" s="9"/>
      <c r="IEX7" s="2"/>
      <c r="IEY7" s="2"/>
      <c r="IEZ7" s="2"/>
      <c r="IFA7" s="2"/>
      <c r="IFB7" s="2"/>
      <c r="IFC7" s="2"/>
      <c r="IFD7" s="2"/>
      <c r="IFE7" s="2"/>
      <c r="IFF7" s="2"/>
      <c r="IFG7" s="2"/>
      <c r="IFH7" s="2"/>
      <c r="IFI7" s="6"/>
      <c r="IFJ7" s="7"/>
      <c r="IFK7" s="8"/>
      <c r="IFL7" s="9"/>
      <c r="IFM7" s="8"/>
      <c r="IFN7" s="7"/>
      <c r="IFO7" s="9"/>
      <c r="IFP7" s="8"/>
      <c r="IFQ7" s="8"/>
      <c r="IFR7" s="7"/>
      <c r="IFS7" s="9"/>
      <c r="IFT7" s="2"/>
      <c r="IFU7" s="2"/>
      <c r="IFV7" s="2"/>
      <c r="IFW7" s="2"/>
      <c r="IFX7" s="2"/>
      <c r="IFY7" s="2"/>
      <c r="IFZ7" s="2"/>
      <c r="IGA7" s="2"/>
      <c r="IGB7" s="2"/>
      <c r="IGC7" s="2"/>
      <c r="IGD7" s="2"/>
      <c r="IGE7" s="6"/>
      <c r="IGF7" s="7"/>
      <c r="IGG7" s="8"/>
      <c r="IGH7" s="9"/>
      <c r="IGI7" s="8"/>
      <c r="IGJ7" s="7"/>
      <c r="IGK7" s="9"/>
      <c r="IGL7" s="8"/>
      <c r="IGM7" s="8"/>
      <c r="IGN7" s="7"/>
      <c r="IGO7" s="9"/>
      <c r="IGP7" s="2"/>
      <c r="IGQ7" s="2"/>
      <c r="IGR7" s="2"/>
      <c r="IGS7" s="2"/>
      <c r="IGT7" s="2"/>
      <c r="IGU7" s="2"/>
      <c r="IGV7" s="2"/>
      <c r="IGW7" s="2"/>
      <c r="IGX7" s="2"/>
      <c r="IGY7" s="2"/>
      <c r="IGZ7" s="2"/>
      <c r="IHA7" s="6"/>
      <c r="IHB7" s="7"/>
      <c r="IHC7" s="8"/>
      <c r="IHD7" s="9"/>
      <c r="IHE7" s="8"/>
      <c r="IHF7" s="7"/>
      <c r="IHG7" s="9"/>
      <c r="IHH7" s="8"/>
      <c r="IHI7" s="8"/>
      <c r="IHJ7" s="7"/>
      <c r="IHK7" s="9"/>
      <c r="IHL7" s="2"/>
      <c r="IHM7" s="2"/>
      <c r="IHN7" s="2"/>
      <c r="IHO7" s="2"/>
      <c r="IHP7" s="2"/>
      <c r="IHQ7" s="2"/>
      <c r="IHR7" s="2"/>
      <c r="IHS7" s="2"/>
      <c r="IHT7" s="2"/>
      <c r="IHU7" s="2"/>
      <c r="IHV7" s="2"/>
      <c r="IHW7" s="6"/>
      <c r="IHX7" s="7"/>
      <c r="IHY7" s="8"/>
      <c r="IHZ7" s="9"/>
      <c r="IIA7" s="8"/>
      <c r="IIB7" s="7"/>
      <c r="IIC7" s="9"/>
      <c r="IID7" s="8"/>
      <c r="IIE7" s="8"/>
      <c r="IIF7" s="7"/>
      <c r="IIG7" s="9"/>
      <c r="IIH7" s="2"/>
      <c r="III7" s="2"/>
      <c r="IIJ7" s="2"/>
      <c r="IIK7" s="2"/>
      <c r="IIL7" s="2"/>
      <c r="IIM7" s="2"/>
      <c r="IIN7" s="2"/>
      <c r="IIO7" s="2"/>
      <c r="IIP7" s="2"/>
      <c r="IIQ7" s="2"/>
      <c r="IIR7" s="2"/>
      <c r="IIS7" s="6"/>
      <c r="IIT7" s="7"/>
      <c r="IIU7" s="8"/>
      <c r="IIV7" s="9"/>
      <c r="IIW7" s="8"/>
      <c r="IIX7" s="7"/>
      <c r="IIY7" s="9"/>
      <c r="IIZ7" s="8"/>
      <c r="IJA7" s="8"/>
      <c r="IJB7" s="7"/>
      <c r="IJC7" s="9"/>
      <c r="IJD7" s="2"/>
      <c r="IJE7" s="2"/>
      <c r="IJF7" s="2"/>
      <c r="IJG7" s="2"/>
      <c r="IJH7" s="2"/>
      <c r="IJI7" s="2"/>
      <c r="IJJ7" s="2"/>
      <c r="IJK7" s="2"/>
      <c r="IJL7" s="2"/>
      <c r="IJM7" s="2"/>
      <c r="IJN7" s="2"/>
      <c r="IJO7" s="6"/>
      <c r="IJP7" s="7"/>
      <c r="IJQ7" s="8"/>
      <c r="IJR7" s="9"/>
      <c r="IJS7" s="8"/>
      <c r="IJT7" s="7"/>
      <c r="IJU7" s="9"/>
      <c r="IJV7" s="8"/>
      <c r="IJW7" s="8"/>
      <c r="IJX7" s="7"/>
      <c r="IJY7" s="9"/>
      <c r="IJZ7" s="2"/>
      <c r="IKA7" s="2"/>
      <c r="IKB7" s="2"/>
      <c r="IKC7" s="2"/>
      <c r="IKD7" s="2"/>
      <c r="IKE7" s="2"/>
      <c r="IKF7" s="2"/>
      <c r="IKG7" s="2"/>
      <c r="IKH7" s="2"/>
      <c r="IKI7" s="2"/>
      <c r="IKJ7" s="2"/>
      <c r="IKK7" s="6"/>
      <c r="IKL7" s="7"/>
      <c r="IKM7" s="8"/>
      <c r="IKN7" s="9"/>
      <c r="IKO7" s="8"/>
      <c r="IKP7" s="7"/>
      <c r="IKQ7" s="9"/>
      <c r="IKR7" s="8"/>
      <c r="IKS7" s="8"/>
      <c r="IKT7" s="7"/>
      <c r="IKU7" s="9"/>
      <c r="IKV7" s="2"/>
      <c r="IKW7" s="2"/>
      <c r="IKX7" s="2"/>
      <c r="IKY7" s="2"/>
      <c r="IKZ7" s="2"/>
      <c r="ILA7" s="2"/>
      <c r="ILB7" s="2"/>
      <c r="ILC7" s="2"/>
      <c r="ILD7" s="2"/>
      <c r="ILE7" s="2"/>
      <c r="ILF7" s="2"/>
      <c r="ILG7" s="6"/>
      <c r="ILH7" s="7"/>
      <c r="ILI7" s="8"/>
      <c r="ILJ7" s="9"/>
      <c r="ILK7" s="8"/>
      <c r="ILL7" s="7"/>
      <c r="ILM7" s="9"/>
      <c r="ILN7" s="8"/>
      <c r="ILO7" s="8"/>
      <c r="ILP7" s="7"/>
      <c r="ILQ7" s="9"/>
      <c r="ILR7" s="2"/>
      <c r="ILS7" s="2"/>
      <c r="ILT7" s="2"/>
      <c r="ILU7" s="2"/>
      <c r="ILV7" s="2"/>
      <c r="ILW7" s="2"/>
      <c r="ILX7" s="2"/>
      <c r="ILY7" s="2"/>
      <c r="ILZ7" s="2"/>
      <c r="IMA7" s="2"/>
      <c r="IMB7" s="2"/>
      <c r="IMC7" s="6"/>
      <c r="IMD7" s="7"/>
      <c r="IME7" s="8"/>
      <c r="IMF7" s="9"/>
      <c r="IMG7" s="8"/>
      <c r="IMH7" s="7"/>
      <c r="IMI7" s="9"/>
      <c r="IMJ7" s="8"/>
      <c r="IMK7" s="8"/>
      <c r="IML7" s="7"/>
      <c r="IMM7" s="9"/>
      <c r="IMN7" s="2"/>
      <c r="IMO7" s="2"/>
      <c r="IMP7" s="2"/>
      <c r="IMQ7" s="2"/>
      <c r="IMR7" s="2"/>
      <c r="IMS7" s="2"/>
      <c r="IMT7" s="2"/>
      <c r="IMU7" s="2"/>
      <c r="IMV7" s="2"/>
      <c r="IMW7" s="2"/>
      <c r="IMX7" s="2"/>
      <c r="IMY7" s="6"/>
      <c r="IMZ7" s="7"/>
      <c r="INA7" s="8"/>
      <c r="INB7" s="9"/>
      <c r="INC7" s="8"/>
      <c r="IND7" s="7"/>
      <c r="INE7" s="9"/>
      <c r="INF7" s="8"/>
      <c r="ING7" s="8"/>
      <c r="INH7" s="7"/>
      <c r="INI7" s="9"/>
      <c r="INJ7" s="2"/>
      <c r="INK7" s="2"/>
      <c r="INL7" s="2"/>
      <c r="INM7" s="2"/>
      <c r="INN7" s="2"/>
      <c r="INO7" s="2"/>
      <c r="INP7" s="2"/>
      <c r="INQ7" s="2"/>
      <c r="INR7" s="2"/>
      <c r="INS7" s="2"/>
      <c r="INT7" s="2"/>
      <c r="INU7" s="6"/>
      <c r="INV7" s="7"/>
      <c r="INW7" s="8"/>
      <c r="INX7" s="9"/>
      <c r="INY7" s="8"/>
      <c r="INZ7" s="7"/>
      <c r="IOA7" s="9"/>
      <c r="IOB7" s="8"/>
      <c r="IOC7" s="8"/>
      <c r="IOD7" s="7"/>
      <c r="IOE7" s="9"/>
      <c r="IOF7" s="2"/>
      <c r="IOG7" s="2"/>
      <c r="IOH7" s="2"/>
      <c r="IOI7" s="2"/>
      <c r="IOJ7" s="2"/>
      <c r="IOK7" s="2"/>
      <c r="IOL7" s="2"/>
      <c r="IOM7" s="2"/>
      <c r="ION7" s="2"/>
      <c r="IOO7" s="2"/>
      <c r="IOP7" s="2"/>
      <c r="IOQ7" s="6"/>
      <c r="IOR7" s="7"/>
      <c r="IOS7" s="8"/>
      <c r="IOT7" s="9"/>
      <c r="IOU7" s="8"/>
      <c r="IOV7" s="7"/>
      <c r="IOW7" s="9"/>
      <c r="IOX7" s="8"/>
      <c r="IOY7" s="8"/>
      <c r="IOZ7" s="7"/>
      <c r="IPA7" s="9"/>
      <c r="IPB7" s="2"/>
      <c r="IPC7" s="2"/>
      <c r="IPD7" s="2"/>
      <c r="IPE7" s="2"/>
      <c r="IPF7" s="2"/>
      <c r="IPG7" s="2"/>
      <c r="IPH7" s="2"/>
      <c r="IPI7" s="2"/>
      <c r="IPJ7" s="2"/>
      <c r="IPK7" s="2"/>
      <c r="IPL7" s="2"/>
      <c r="IPM7" s="6"/>
      <c r="IPN7" s="7"/>
      <c r="IPO7" s="8"/>
      <c r="IPP7" s="9"/>
      <c r="IPQ7" s="8"/>
      <c r="IPR7" s="7"/>
      <c r="IPS7" s="9"/>
      <c r="IPT7" s="8"/>
      <c r="IPU7" s="8"/>
      <c r="IPV7" s="7"/>
      <c r="IPW7" s="9"/>
      <c r="IPX7" s="2"/>
      <c r="IPY7" s="2"/>
      <c r="IPZ7" s="2"/>
      <c r="IQA7" s="2"/>
      <c r="IQB7" s="2"/>
      <c r="IQC7" s="2"/>
      <c r="IQD7" s="2"/>
      <c r="IQE7" s="2"/>
      <c r="IQF7" s="2"/>
      <c r="IQG7" s="2"/>
      <c r="IQH7" s="2"/>
      <c r="IQI7" s="6"/>
      <c r="IQJ7" s="7"/>
      <c r="IQK7" s="8"/>
      <c r="IQL7" s="9"/>
      <c r="IQM7" s="8"/>
      <c r="IQN7" s="7"/>
      <c r="IQO7" s="9"/>
      <c r="IQP7" s="8"/>
      <c r="IQQ7" s="8"/>
      <c r="IQR7" s="7"/>
      <c r="IQS7" s="9"/>
      <c r="IQT7" s="2"/>
      <c r="IQU7" s="2"/>
      <c r="IQV7" s="2"/>
      <c r="IQW7" s="2"/>
      <c r="IQX7" s="2"/>
      <c r="IQY7" s="2"/>
      <c r="IQZ7" s="2"/>
      <c r="IRA7" s="2"/>
      <c r="IRB7" s="2"/>
      <c r="IRC7" s="2"/>
      <c r="IRD7" s="2"/>
      <c r="IRE7" s="6"/>
      <c r="IRF7" s="7"/>
      <c r="IRG7" s="8"/>
      <c r="IRH7" s="9"/>
      <c r="IRI7" s="8"/>
      <c r="IRJ7" s="7"/>
      <c r="IRK7" s="9"/>
      <c r="IRL7" s="8"/>
      <c r="IRM7" s="8"/>
      <c r="IRN7" s="7"/>
      <c r="IRO7" s="9"/>
      <c r="IRP7" s="2"/>
      <c r="IRQ7" s="2"/>
      <c r="IRR7" s="2"/>
      <c r="IRS7" s="2"/>
      <c r="IRT7" s="2"/>
      <c r="IRU7" s="2"/>
      <c r="IRV7" s="2"/>
      <c r="IRW7" s="2"/>
      <c r="IRX7" s="2"/>
      <c r="IRY7" s="2"/>
      <c r="IRZ7" s="2"/>
      <c r="ISA7" s="6"/>
      <c r="ISB7" s="7"/>
      <c r="ISC7" s="8"/>
      <c r="ISD7" s="9"/>
      <c r="ISE7" s="8"/>
      <c r="ISF7" s="7"/>
      <c r="ISG7" s="9"/>
      <c r="ISH7" s="8"/>
      <c r="ISI7" s="8"/>
      <c r="ISJ7" s="7"/>
      <c r="ISK7" s="9"/>
      <c r="ISL7" s="2"/>
      <c r="ISM7" s="2"/>
      <c r="ISN7" s="2"/>
      <c r="ISO7" s="2"/>
      <c r="ISP7" s="2"/>
      <c r="ISQ7" s="2"/>
      <c r="ISR7" s="2"/>
      <c r="ISS7" s="2"/>
      <c r="IST7" s="2"/>
      <c r="ISU7" s="2"/>
      <c r="ISV7" s="2"/>
      <c r="ISW7" s="6"/>
      <c r="ISX7" s="7"/>
      <c r="ISY7" s="8"/>
      <c r="ISZ7" s="9"/>
      <c r="ITA7" s="8"/>
      <c r="ITB7" s="7"/>
      <c r="ITC7" s="9"/>
      <c r="ITD7" s="8"/>
      <c r="ITE7" s="8"/>
      <c r="ITF7" s="7"/>
      <c r="ITG7" s="9"/>
      <c r="ITH7" s="2"/>
      <c r="ITI7" s="2"/>
      <c r="ITJ7" s="2"/>
      <c r="ITK7" s="2"/>
      <c r="ITL7" s="2"/>
      <c r="ITM7" s="2"/>
      <c r="ITN7" s="2"/>
      <c r="ITO7" s="2"/>
      <c r="ITP7" s="2"/>
      <c r="ITQ7" s="2"/>
      <c r="ITR7" s="2"/>
      <c r="ITS7" s="6"/>
      <c r="ITT7" s="7"/>
      <c r="ITU7" s="8"/>
      <c r="ITV7" s="9"/>
      <c r="ITW7" s="8"/>
      <c r="ITX7" s="7"/>
      <c r="ITY7" s="9"/>
      <c r="ITZ7" s="8"/>
      <c r="IUA7" s="8"/>
      <c r="IUB7" s="7"/>
      <c r="IUC7" s="9"/>
      <c r="IUD7" s="2"/>
      <c r="IUE7" s="2"/>
      <c r="IUF7" s="2"/>
      <c r="IUG7" s="2"/>
      <c r="IUH7" s="2"/>
      <c r="IUI7" s="2"/>
      <c r="IUJ7" s="2"/>
      <c r="IUK7" s="2"/>
      <c r="IUL7" s="2"/>
      <c r="IUM7" s="2"/>
      <c r="IUN7" s="2"/>
      <c r="IUO7" s="6"/>
      <c r="IUP7" s="7"/>
      <c r="IUQ7" s="8"/>
      <c r="IUR7" s="9"/>
      <c r="IUS7" s="8"/>
      <c r="IUT7" s="7"/>
      <c r="IUU7" s="9"/>
      <c r="IUV7" s="8"/>
      <c r="IUW7" s="8"/>
      <c r="IUX7" s="7"/>
      <c r="IUY7" s="9"/>
      <c r="IUZ7" s="2"/>
      <c r="IVA7" s="2"/>
      <c r="IVB7" s="2"/>
      <c r="IVC7" s="2"/>
      <c r="IVD7" s="2"/>
      <c r="IVE7" s="2"/>
      <c r="IVF7" s="2"/>
      <c r="IVG7" s="2"/>
      <c r="IVH7" s="2"/>
      <c r="IVI7" s="2"/>
      <c r="IVJ7" s="2"/>
      <c r="IVK7" s="6"/>
      <c r="IVL7" s="7"/>
      <c r="IVM7" s="8"/>
      <c r="IVN7" s="9"/>
      <c r="IVO7" s="8"/>
      <c r="IVP7" s="7"/>
      <c r="IVQ7" s="9"/>
      <c r="IVR7" s="8"/>
      <c r="IVS7" s="8"/>
      <c r="IVT7" s="7"/>
      <c r="IVU7" s="9"/>
      <c r="IVV7" s="2"/>
      <c r="IVW7" s="2"/>
      <c r="IVX7" s="2"/>
      <c r="IVY7" s="2"/>
      <c r="IVZ7" s="2"/>
      <c r="IWA7" s="2"/>
      <c r="IWB7" s="2"/>
      <c r="IWC7" s="2"/>
      <c r="IWD7" s="2"/>
      <c r="IWE7" s="2"/>
      <c r="IWF7" s="2"/>
      <c r="IWG7" s="6"/>
      <c r="IWH7" s="7"/>
      <c r="IWI7" s="8"/>
      <c r="IWJ7" s="9"/>
      <c r="IWK7" s="8"/>
      <c r="IWL7" s="7"/>
      <c r="IWM7" s="9"/>
      <c r="IWN7" s="8"/>
      <c r="IWO7" s="8"/>
      <c r="IWP7" s="7"/>
      <c r="IWQ7" s="9"/>
      <c r="IWR7" s="2"/>
      <c r="IWS7" s="2"/>
      <c r="IWT7" s="2"/>
      <c r="IWU7" s="2"/>
      <c r="IWV7" s="2"/>
      <c r="IWW7" s="2"/>
      <c r="IWX7" s="2"/>
      <c r="IWY7" s="2"/>
      <c r="IWZ7" s="2"/>
      <c r="IXA7" s="2"/>
      <c r="IXB7" s="2"/>
      <c r="IXC7" s="6"/>
      <c r="IXD7" s="7"/>
      <c r="IXE7" s="8"/>
      <c r="IXF7" s="9"/>
      <c r="IXG7" s="8"/>
      <c r="IXH7" s="7"/>
      <c r="IXI7" s="9"/>
      <c r="IXJ7" s="8"/>
      <c r="IXK7" s="8"/>
      <c r="IXL7" s="7"/>
      <c r="IXM7" s="9"/>
      <c r="IXN7" s="2"/>
      <c r="IXO7" s="2"/>
      <c r="IXP7" s="2"/>
      <c r="IXQ7" s="2"/>
      <c r="IXR7" s="2"/>
      <c r="IXS7" s="2"/>
      <c r="IXT7" s="2"/>
      <c r="IXU7" s="2"/>
      <c r="IXV7" s="2"/>
      <c r="IXW7" s="2"/>
      <c r="IXX7" s="2"/>
      <c r="IXY7" s="6"/>
      <c r="IXZ7" s="7"/>
      <c r="IYA7" s="8"/>
      <c r="IYB7" s="9"/>
      <c r="IYC7" s="8"/>
      <c r="IYD7" s="7"/>
      <c r="IYE7" s="9"/>
      <c r="IYF7" s="8"/>
      <c r="IYG7" s="8"/>
      <c r="IYH7" s="7"/>
      <c r="IYI7" s="9"/>
      <c r="IYJ7" s="2"/>
      <c r="IYK7" s="2"/>
      <c r="IYL7" s="2"/>
      <c r="IYM7" s="2"/>
      <c r="IYN7" s="2"/>
      <c r="IYO7" s="2"/>
      <c r="IYP7" s="2"/>
      <c r="IYQ7" s="2"/>
      <c r="IYR7" s="2"/>
      <c r="IYS7" s="2"/>
      <c r="IYT7" s="2"/>
      <c r="IYU7" s="6"/>
      <c r="IYV7" s="7"/>
      <c r="IYW7" s="8"/>
      <c r="IYX7" s="9"/>
      <c r="IYY7" s="8"/>
      <c r="IYZ7" s="7"/>
      <c r="IZA7" s="9"/>
      <c r="IZB7" s="8"/>
      <c r="IZC7" s="8"/>
      <c r="IZD7" s="7"/>
      <c r="IZE7" s="9"/>
      <c r="IZF7" s="2"/>
      <c r="IZG7" s="2"/>
      <c r="IZH7" s="2"/>
      <c r="IZI7" s="2"/>
      <c r="IZJ7" s="2"/>
      <c r="IZK7" s="2"/>
      <c r="IZL7" s="2"/>
      <c r="IZM7" s="2"/>
      <c r="IZN7" s="2"/>
      <c r="IZO7" s="2"/>
      <c r="IZP7" s="2"/>
      <c r="IZQ7" s="6"/>
      <c r="IZR7" s="7"/>
      <c r="IZS7" s="8"/>
      <c r="IZT7" s="9"/>
      <c r="IZU7" s="8"/>
      <c r="IZV7" s="7"/>
      <c r="IZW7" s="9"/>
      <c r="IZX7" s="8"/>
      <c r="IZY7" s="8"/>
      <c r="IZZ7" s="7"/>
      <c r="JAA7" s="9"/>
      <c r="JAB7" s="2"/>
      <c r="JAC7" s="2"/>
      <c r="JAD7" s="2"/>
      <c r="JAE7" s="2"/>
      <c r="JAF7" s="2"/>
      <c r="JAG7" s="2"/>
      <c r="JAH7" s="2"/>
      <c r="JAI7" s="2"/>
      <c r="JAJ7" s="2"/>
      <c r="JAK7" s="2"/>
      <c r="JAL7" s="2"/>
      <c r="JAM7" s="6"/>
      <c r="JAN7" s="7"/>
      <c r="JAO7" s="8"/>
      <c r="JAP7" s="9"/>
      <c r="JAQ7" s="8"/>
      <c r="JAR7" s="7"/>
      <c r="JAS7" s="9"/>
      <c r="JAT7" s="8"/>
      <c r="JAU7" s="8"/>
      <c r="JAV7" s="7"/>
      <c r="JAW7" s="9"/>
      <c r="JAX7" s="2"/>
      <c r="JAY7" s="2"/>
      <c r="JAZ7" s="2"/>
      <c r="JBA7" s="2"/>
      <c r="JBB7" s="2"/>
      <c r="JBC7" s="2"/>
      <c r="JBD7" s="2"/>
      <c r="JBE7" s="2"/>
      <c r="JBF7" s="2"/>
      <c r="JBG7" s="2"/>
      <c r="JBH7" s="2"/>
      <c r="JBI7" s="6"/>
      <c r="JBJ7" s="7"/>
      <c r="JBK7" s="8"/>
      <c r="JBL7" s="9"/>
      <c r="JBM7" s="8"/>
      <c r="JBN7" s="7"/>
      <c r="JBO7" s="9"/>
      <c r="JBP7" s="8"/>
      <c r="JBQ7" s="8"/>
      <c r="JBR7" s="7"/>
      <c r="JBS7" s="9"/>
      <c r="JBT7" s="2"/>
      <c r="JBU7" s="2"/>
      <c r="JBV7" s="2"/>
      <c r="JBW7" s="2"/>
      <c r="JBX7" s="2"/>
      <c r="JBY7" s="2"/>
      <c r="JBZ7" s="2"/>
      <c r="JCA7" s="2"/>
      <c r="JCB7" s="2"/>
      <c r="JCC7" s="2"/>
      <c r="JCD7" s="2"/>
      <c r="JCE7" s="6"/>
      <c r="JCF7" s="7"/>
      <c r="JCG7" s="8"/>
      <c r="JCH7" s="9"/>
      <c r="JCI7" s="8"/>
      <c r="JCJ7" s="7"/>
      <c r="JCK7" s="9"/>
      <c r="JCL7" s="8"/>
      <c r="JCM7" s="8"/>
      <c r="JCN7" s="7"/>
      <c r="JCO7" s="9"/>
      <c r="JCP7" s="2"/>
      <c r="JCQ7" s="2"/>
      <c r="JCR7" s="2"/>
      <c r="JCS7" s="2"/>
      <c r="JCT7" s="2"/>
      <c r="JCU7" s="2"/>
      <c r="JCV7" s="2"/>
      <c r="JCW7" s="2"/>
      <c r="JCX7" s="2"/>
      <c r="JCY7" s="2"/>
      <c r="JCZ7" s="2"/>
      <c r="JDA7" s="6"/>
      <c r="JDB7" s="7"/>
      <c r="JDC7" s="8"/>
      <c r="JDD7" s="9"/>
      <c r="JDE7" s="8"/>
      <c r="JDF7" s="7"/>
      <c r="JDG7" s="9"/>
      <c r="JDH7" s="8"/>
      <c r="JDI7" s="8"/>
      <c r="JDJ7" s="7"/>
      <c r="JDK7" s="9"/>
      <c r="JDL7" s="2"/>
      <c r="JDM7" s="2"/>
      <c r="JDN7" s="2"/>
      <c r="JDO7" s="2"/>
      <c r="JDP7" s="2"/>
      <c r="JDQ7" s="2"/>
      <c r="JDR7" s="2"/>
      <c r="JDS7" s="2"/>
      <c r="JDT7" s="2"/>
      <c r="JDU7" s="2"/>
      <c r="JDV7" s="2"/>
      <c r="JDW7" s="6"/>
      <c r="JDX7" s="7"/>
      <c r="JDY7" s="8"/>
      <c r="JDZ7" s="9"/>
      <c r="JEA7" s="8"/>
      <c r="JEB7" s="7"/>
      <c r="JEC7" s="9"/>
      <c r="JED7" s="8"/>
      <c r="JEE7" s="8"/>
      <c r="JEF7" s="7"/>
      <c r="JEG7" s="9"/>
      <c r="JEH7" s="2"/>
      <c r="JEI7" s="2"/>
      <c r="JEJ7" s="2"/>
      <c r="JEK7" s="2"/>
      <c r="JEL7" s="2"/>
      <c r="JEM7" s="2"/>
      <c r="JEN7" s="2"/>
      <c r="JEO7" s="2"/>
      <c r="JEP7" s="2"/>
      <c r="JEQ7" s="2"/>
      <c r="JER7" s="2"/>
      <c r="JES7" s="6"/>
      <c r="JET7" s="7"/>
      <c r="JEU7" s="8"/>
      <c r="JEV7" s="9"/>
      <c r="JEW7" s="8"/>
      <c r="JEX7" s="7"/>
      <c r="JEY7" s="9"/>
      <c r="JEZ7" s="8"/>
      <c r="JFA7" s="8"/>
      <c r="JFB7" s="7"/>
      <c r="JFC7" s="9"/>
      <c r="JFD7" s="2"/>
      <c r="JFE7" s="2"/>
      <c r="JFF7" s="2"/>
      <c r="JFG7" s="2"/>
      <c r="JFH7" s="2"/>
      <c r="JFI7" s="2"/>
      <c r="JFJ7" s="2"/>
      <c r="JFK7" s="2"/>
      <c r="JFL7" s="2"/>
      <c r="JFM7" s="2"/>
      <c r="JFN7" s="2"/>
      <c r="JFO7" s="6"/>
      <c r="JFP7" s="7"/>
      <c r="JFQ7" s="8"/>
      <c r="JFR7" s="9"/>
      <c r="JFS7" s="8"/>
      <c r="JFT7" s="7"/>
      <c r="JFU7" s="9"/>
      <c r="JFV7" s="8"/>
      <c r="JFW7" s="8"/>
      <c r="JFX7" s="7"/>
      <c r="JFY7" s="9"/>
      <c r="JFZ7" s="2"/>
      <c r="JGA7" s="2"/>
      <c r="JGB7" s="2"/>
      <c r="JGC7" s="2"/>
      <c r="JGD7" s="2"/>
      <c r="JGE7" s="2"/>
      <c r="JGF7" s="2"/>
      <c r="JGG7" s="2"/>
      <c r="JGH7" s="2"/>
      <c r="JGI7" s="2"/>
      <c r="JGJ7" s="2"/>
      <c r="JGK7" s="6"/>
      <c r="JGL7" s="7"/>
      <c r="JGM7" s="8"/>
      <c r="JGN7" s="9"/>
      <c r="JGO7" s="8"/>
      <c r="JGP7" s="7"/>
      <c r="JGQ7" s="9"/>
      <c r="JGR7" s="8"/>
      <c r="JGS7" s="8"/>
      <c r="JGT7" s="7"/>
      <c r="JGU7" s="9"/>
      <c r="JGV7" s="2"/>
      <c r="JGW7" s="2"/>
      <c r="JGX7" s="2"/>
      <c r="JGY7" s="2"/>
      <c r="JGZ7" s="2"/>
      <c r="JHA7" s="2"/>
      <c r="JHB7" s="2"/>
      <c r="JHC7" s="2"/>
      <c r="JHD7" s="2"/>
      <c r="JHE7" s="2"/>
      <c r="JHF7" s="2"/>
      <c r="JHG7" s="6"/>
      <c r="JHH7" s="7"/>
      <c r="JHI7" s="8"/>
      <c r="JHJ7" s="9"/>
      <c r="JHK7" s="8"/>
      <c r="JHL7" s="7"/>
      <c r="JHM7" s="9"/>
      <c r="JHN7" s="8"/>
      <c r="JHO7" s="8"/>
      <c r="JHP7" s="7"/>
      <c r="JHQ7" s="9"/>
      <c r="JHR7" s="2"/>
      <c r="JHS7" s="2"/>
      <c r="JHT7" s="2"/>
      <c r="JHU7" s="2"/>
      <c r="JHV7" s="2"/>
      <c r="JHW7" s="2"/>
      <c r="JHX7" s="2"/>
      <c r="JHY7" s="2"/>
      <c r="JHZ7" s="2"/>
      <c r="JIA7" s="2"/>
      <c r="JIB7" s="2"/>
      <c r="JIC7" s="6"/>
      <c r="JID7" s="7"/>
      <c r="JIE7" s="8"/>
      <c r="JIF7" s="9"/>
      <c r="JIG7" s="8"/>
      <c r="JIH7" s="7"/>
      <c r="JII7" s="9"/>
      <c r="JIJ7" s="8"/>
      <c r="JIK7" s="8"/>
      <c r="JIL7" s="7"/>
      <c r="JIM7" s="9"/>
      <c r="JIN7" s="2"/>
      <c r="JIO7" s="2"/>
      <c r="JIP7" s="2"/>
      <c r="JIQ7" s="2"/>
      <c r="JIR7" s="2"/>
      <c r="JIS7" s="2"/>
      <c r="JIT7" s="2"/>
      <c r="JIU7" s="2"/>
      <c r="JIV7" s="2"/>
      <c r="JIW7" s="2"/>
      <c r="JIX7" s="2"/>
      <c r="JIY7" s="6"/>
      <c r="JIZ7" s="7"/>
      <c r="JJA7" s="8"/>
      <c r="JJB7" s="9"/>
      <c r="JJC7" s="8"/>
      <c r="JJD7" s="7"/>
      <c r="JJE7" s="9"/>
      <c r="JJF7" s="8"/>
      <c r="JJG7" s="8"/>
      <c r="JJH7" s="7"/>
      <c r="JJI7" s="9"/>
      <c r="JJJ7" s="2"/>
      <c r="JJK7" s="2"/>
      <c r="JJL7" s="2"/>
      <c r="JJM7" s="2"/>
      <c r="JJN7" s="2"/>
      <c r="JJO7" s="2"/>
      <c r="JJP7" s="2"/>
      <c r="JJQ7" s="2"/>
      <c r="JJR7" s="2"/>
      <c r="JJS7" s="2"/>
      <c r="JJT7" s="2"/>
      <c r="JJU7" s="6"/>
      <c r="JJV7" s="7"/>
      <c r="JJW7" s="8"/>
      <c r="JJX7" s="9"/>
      <c r="JJY7" s="8"/>
      <c r="JJZ7" s="7"/>
      <c r="JKA7" s="9"/>
      <c r="JKB7" s="8"/>
      <c r="JKC7" s="8"/>
      <c r="JKD7" s="7"/>
      <c r="JKE7" s="9"/>
      <c r="JKF7" s="2"/>
      <c r="JKG7" s="2"/>
      <c r="JKH7" s="2"/>
      <c r="JKI7" s="2"/>
      <c r="JKJ7" s="2"/>
      <c r="JKK7" s="2"/>
      <c r="JKL7" s="2"/>
      <c r="JKM7" s="2"/>
      <c r="JKN7" s="2"/>
      <c r="JKO7" s="2"/>
      <c r="JKP7" s="2"/>
      <c r="JKQ7" s="6"/>
      <c r="JKR7" s="7"/>
      <c r="JKS7" s="8"/>
      <c r="JKT7" s="9"/>
      <c r="JKU7" s="8"/>
      <c r="JKV7" s="7"/>
      <c r="JKW7" s="9"/>
      <c r="JKX7" s="8"/>
      <c r="JKY7" s="8"/>
      <c r="JKZ7" s="7"/>
      <c r="JLA7" s="9"/>
      <c r="JLB7" s="2"/>
      <c r="JLC7" s="2"/>
      <c r="JLD7" s="2"/>
      <c r="JLE7" s="2"/>
      <c r="JLF7" s="2"/>
      <c r="JLG7" s="2"/>
      <c r="JLH7" s="2"/>
      <c r="JLI7" s="2"/>
      <c r="JLJ7" s="2"/>
      <c r="JLK7" s="2"/>
      <c r="JLL7" s="2"/>
      <c r="JLM7" s="6"/>
      <c r="JLN7" s="7"/>
      <c r="JLO7" s="8"/>
      <c r="JLP7" s="9"/>
      <c r="JLQ7" s="8"/>
      <c r="JLR7" s="7"/>
      <c r="JLS7" s="9"/>
      <c r="JLT7" s="8"/>
      <c r="JLU7" s="8"/>
      <c r="JLV7" s="7"/>
      <c r="JLW7" s="9"/>
      <c r="JLX7" s="2"/>
      <c r="JLY7" s="2"/>
      <c r="JLZ7" s="2"/>
      <c r="JMA7" s="2"/>
      <c r="JMB7" s="2"/>
      <c r="JMC7" s="2"/>
      <c r="JMD7" s="2"/>
      <c r="JME7" s="2"/>
      <c r="JMF7" s="2"/>
      <c r="JMG7" s="2"/>
      <c r="JMH7" s="2"/>
      <c r="JMI7" s="6"/>
      <c r="JMJ7" s="7"/>
      <c r="JMK7" s="8"/>
      <c r="JML7" s="9"/>
      <c r="JMM7" s="8"/>
      <c r="JMN7" s="7"/>
      <c r="JMO7" s="9"/>
      <c r="JMP7" s="8"/>
      <c r="JMQ7" s="8"/>
      <c r="JMR7" s="7"/>
      <c r="JMS7" s="9"/>
      <c r="JMT7" s="2"/>
      <c r="JMU7" s="2"/>
      <c r="JMV7" s="2"/>
      <c r="JMW7" s="2"/>
      <c r="JMX7" s="2"/>
      <c r="JMY7" s="2"/>
      <c r="JMZ7" s="2"/>
      <c r="JNA7" s="2"/>
      <c r="JNB7" s="2"/>
      <c r="JNC7" s="2"/>
      <c r="JND7" s="2"/>
      <c r="JNE7" s="6"/>
      <c r="JNF7" s="7"/>
      <c r="JNG7" s="8"/>
      <c r="JNH7" s="9"/>
      <c r="JNI7" s="8"/>
      <c r="JNJ7" s="7"/>
      <c r="JNK7" s="9"/>
      <c r="JNL7" s="8"/>
      <c r="JNM7" s="8"/>
      <c r="JNN7" s="7"/>
      <c r="JNO7" s="9"/>
      <c r="JNP7" s="2"/>
      <c r="JNQ7" s="2"/>
      <c r="JNR7" s="2"/>
      <c r="JNS7" s="2"/>
      <c r="JNT7" s="2"/>
      <c r="JNU7" s="2"/>
      <c r="JNV7" s="2"/>
      <c r="JNW7" s="2"/>
      <c r="JNX7" s="2"/>
      <c r="JNY7" s="2"/>
      <c r="JNZ7" s="2"/>
      <c r="JOA7" s="6"/>
      <c r="JOB7" s="7"/>
      <c r="JOC7" s="8"/>
      <c r="JOD7" s="9"/>
      <c r="JOE7" s="8"/>
      <c r="JOF7" s="7"/>
      <c r="JOG7" s="9"/>
      <c r="JOH7" s="8"/>
      <c r="JOI7" s="8"/>
      <c r="JOJ7" s="7"/>
      <c r="JOK7" s="9"/>
      <c r="JOL7" s="2"/>
      <c r="JOM7" s="2"/>
      <c r="JON7" s="2"/>
      <c r="JOO7" s="2"/>
      <c r="JOP7" s="2"/>
      <c r="JOQ7" s="2"/>
      <c r="JOR7" s="2"/>
      <c r="JOS7" s="2"/>
      <c r="JOT7" s="2"/>
      <c r="JOU7" s="2"/>
      <c r="JOV7" s="2"/>
      <c r="JOW7" s="6"/>
      <c r="JOX7" s="7"/>
      <c r="JOY7" s="8"/>
      <c r="JOZ7" s="9"/>
      <c r="JPA7" s="8"/>
      <c r="JPB7" s="7"/>
      <c r="JPC7" s="9"/>
      <c r="JPD7" s="8"/>
      <c r="JPE7" s="8"/>
      <c r="JPF7" s="7"/>
      <c r="JPG7" s="9"/>
      <c r="JPH7" s="2"/>
      <c r="JPI7" s="2"/>
      <c r="JPJ7" s="2"/>
      <c r="JPK7" s="2"/>
      <c r="JPL7" s="2"/>
      <c r="JPM7" s="2"/>
      <c r="JPN7" s="2"/>
      <c r="JPO7" s="2"/>
      <c r="JPP7" s="2"/>
      <c r="JPQ7" s="2"/>
      <c r="JPR7" s="2"/>
      <c r="JPS7" s="6"/>
      <c r="JPT7" s="7"/>
      <c r="JPU7" s="8"/>
      <c r="JPV7" s="9"/>
      <c r="JPW7" s="8"/>
      <c r="JPX7" s="7"/>
      <c r="JPY7" s="9"/>
      <c r="JPZ7" s="8"/>
      <c r="JQA7" s="8"/>
      <c r="JQB7" s="7"/>
      <c r="JQC7" s="9"/>
      <c r="JQD7" s="2"/>
      <c r="JQE7" s="2"/>
      <c r="JQF7" s="2"/>
      <c r="JQG7" s="2"/>
      <c r="JQH7" s="2"/>
      <c r="JQI7" s="2"/>
      <c r="JQJ7" s="2"/>
      <c r="JQK7" s="2"/>
      <c r="JQL7" s="2"/>
      <c r="JQM7" s="2"/>
      <c r="JQN7" s="2"/>
      <c r="JQO7" s="6"/>
      <c r="JQP7" s="7"/>
      <c r="JQQ7" s="8"/>
      <c r="JQR7" s="9"/>
      <c r="JQS7" s="8"/>
      <c r="JQT7" s="7"/>
      <c r="JQU7" s="9"/>
      <c r="JQV7" s="8"/>
      <c r="JQW7" s="8"/>
      <c r="JQX7" s="7"/>
      <c r="JQY7" s="9"/>
      <c r="JQZ7" s="2"/>
      <c r="JRA7" s="2"/>
      <c r="JRB7" s="2"/>
      <c r="JRC7" s="2"/>
      <c r="JRD7" s="2"/>
      <c r="JRE7" s="2"/>
      <c r="JRF7" s="2"/>
      <c r="JRG7" s="2"/>
      <c r="JRH7" s="2"/>
      <c r="JRI7" s="2"/>
      <c r="JRJ7" s="2"/>
      <c r="JRK7" s="6"/>
      <c r="JRL7" s="7"/>
      <c r="JRM7" s="8"/>
      <c r="JRN7" s="9"/>
      <c r="JRO7" s="8"/>
      <c r="JRP7" s="7"/>
      <c r="JRQ7" s="9"/>
      <c r="JRR7" s="8"/>
      <c r="JRS7" s="8"/>
      <c r="JRT7" s="7"/>
      <c r="JRU7" s="9"/>
      <c r="JRV7" s="2"/>
      <c r="JRW7" s="2"/>
      <c r="JRX7" s="2"/>
      <c r="JRY7" s="2"/>
      <c r="JRZ7" s="2"/>
      <c r="JSA7" s="2"/>
      <c r="JSB7" s="2"/>
      <c r="JSC7" s="2"/>
      <c r="JSD7" s="2"/>
      <c r="JSE7" s="2"/>
      <c r="JSF7" s="2"/>
      <c r="JSG7" s="6"/>
      <c r="JSH7" s="7"/>
      <c r="JSI7" s="8"/>
      <c r="JSJ7" s="9"/>
      <c r="JSK7" s="8"/>
      <c r="JSL7" s="7"/>
      <c r="JSM7" s="9"/>
      <c r="JSN7" s="8"/>
      <c r="JSO7" s="8"/>
      <c r="JSP7" s="7"/>
      <c r="JSQ7" s="9"/>
      <c r="JSR7" s="2"/>
      <c r="JSS7" s="2"/>
      <c r="JST7" s="2"/>
      <c r="JSU7" s="2"/>
      <c r="JSV7" s="2"/>
      <c r="JSW7" s="2"/>
      <c r="JSX7" s="2"/>
      <c r="JSY7" s="2"/>
      <c r="JSZ7" s="2"/>
      <c r="JTA7" s="2"/>
      <c r="JTB7" s="2"/>
      <c r="JTC7" s="6"/>
      <c r="JTD7" s="7"/>
      <c r="JTE7" s="8"/>
      <c r="JTF7" s="9"/>
      <c r="JTG7" s="8"/>
      <c r="JTH7" s="7"/>
      <c r="JTI7" s="9"/>
      <c r="JTJ7" s="8"/>
      <c r="JTK7" s="8"/>
      <c r="JTL7" s="7"/>
      <c r="JTM7" s="9"/>
      <c r="JTN7" s="2"/>
      <c r="JTO7" s="2"/>
      <c r="JTP7" s="2"/>
      <c r="JTQ7" s="2"/>
      <c r="JTR7" s="2"/>
      <c r="JTS7" s="2"/>
      <c r="JTT7" s="2"/>
      <c r="JTU7" s="2"/>
      <c r="JTV7" s="2"/>
      <c r="JTW7" s="2"/>
      <c r="JTX7" s="2"/>
      <c r="JTY7" s="6"/>
      <c r="JTZ7" s="7"/>
      <c r="JUA7" s="8"/>
      <c r="JUB7" s="9"/>
      <c r="JUC7" s="8"/>
      <c r="JUD7" s="7"/>
      <c r="JUE7" s="9"/>
      <c r="JUF7" s="8"/>
      <c r="JUG7" s="8"/>
      <c r="JUH7" s="7"/>
      <c r="JUI7" s="9"/>
      <c r="JUJ7" s="2"/>
      <c r="JUK7" s="2"/>
      <c r="JUL7" s="2"/>
      <c r="JUM7" s="2"/>
      <c r="JUN7" s="2"/>
      <c r="JUO7" s="2"/>
      <c r="JUP7" s="2"/>
      <c r="JUQ7" s="2"/>
      <c r="JUR7" s="2"/>
      <c r="JUS7" s="2"/>
      <c r="JUT7" s="2"/>
      <c r="JUU7" s="6"/>
      <c r="JUV7" s="7"/>
      <c r="JUW7" s="8"/>
      <c r="JUX7" s="9"/>
      <c r="JUY7" s="8"/>
      <c r="JUZ7" s="7"/>
      <c r="JVA7" s="9"/>
      <c r="JVB7" s="8"/>
      <c r="JVC7" s="8"/>
      <c r="JVD7" s="7"/>
      <c r="JVE7" s="9"/>
      <c r="JVF7" s="2"/>
      <c r="JVG7" s="2"/>
      <c r="JVH7" s="2"/>
      <c r="JVI7" s="2"/>
      <c r="JVJ7" s="2"/>
      <c r="JVK7" s="2"/>
      <c r="JVL7" s="2"/>
      <c r="JVM7" s="2"/>
      <c r="JVN7" s="2"/>
      <c r="JVO7" s="2"/>
      <c r="JVP7" s="2"/>
      <c r="JVQ7" s="6"/>
      <c r="JVR7" s="7"/>
      <c r="JVS7" s="8"/>
      <c r="JVT7" s="9"/>
      <c r="JVU7" s="8"/>
      <c r="JVV7" s="7"/>
      <c r="JVW7" s="9"/>
      <c r="JVX7" s="8"/>
      <c r="JVY7" s="8"/>
      <c r="JVZ7" s="7"/>
      <c r="JWA7" s="9"/>
      <c r="JWB7" s="2"/>
      <c r="JWC7" s="2"/>
      <c r="JWD7" s="2"/>
      <c r="JWE7" s="2"/>
      <c r="JWF7" s="2"/>
      <c r="JWG7" s="2"/>
      <c r="JWH7" s="2"/>
      <c r="JWI7" s="2"/>
      <c r="JWJ7" s="2"/>
      <c r="JWK7" s="2"/>
      <c r="JWL7" s="2"/>
      <c r="JWM7" s="6"/>
      <c r="JWN7" s="7"/>
      <c r="JWO7" s="8"/>
      <c r="JWP7" s="9"/>
      <c r="JWQ7" s="8"/>
      <c r="JWR7" s="7"/>
      <c r="JWS7" s="9"/>
      <c r="JWT7" s="8"/>
      <c r="JWU7" s="8"/>
      <c r="JWV7" s="7"/>
      <c r="JWW7" s="9"/>
      <c r="JWX7" s="2"/>
      <c r="JWY7" s="2"/>
      <c r="JWZ7" s="2"/>
      <c r="JXA7" s="2"/>
      <c r="JXB7" s="2"/>
      <c r="JXC7" s="2"/>
      <c r="JXD7" s="2"/>
      <c r="JXE7" s="2"/>
      <c r="JXF7" s="2"/>
      <c r="JXG7" s="2"/>
      <c r="JXH7" s="2"/>
      <c r="JXI7" s="6"/>
      <c r="JXJ7" s="7"/>
      <c r="JXK7" s="8"/>
      <c r="JXL7" s="9"/>
      <c r="JXM7" s="8"/>
      <c r="JXN7" s="7"/>
      <c r="JXO7" s="9"/>
      <c r="JXP7" s="8"/>
      <c r="JXQ7" s="8"/>
      <c r="JXR7" s="7"/>
      <c r="JXS7" s="9"/>
      <c r="JXT7" s="2"/>
      <c r="JXU7" s="2"/>
      <c r="JXV7" s="2"/>
      <c r="JXW7" s="2"/>
      <c r="JXX7" s="2"/>
      <c r="JXY7" s="2"/>
      <c r="JXZ7" s="2"/>
      <c r="JYA7" s="2"/>
      <c r="JYB7" s="2"/>
      <c r="JYC7" s="2"/>
      <c r="JYD7" s="2"/>
      <c r="JYE7" s="6"/>
      <c r="JYF7" s="7"/>
      <c r="JYG7" s="8"/>
      <c r="JYH7" s="9"/>
      <c r="JYI7" s="8"/>
      <c r="JYJ7" s="7"/>
      <c r="JYK7" s="9"/>
      <c r="JYL7" s="8"/>
      <c r="JYM7" s="8"/>
      <c r="JYN7" s="7"/>
      <c r="JYO7" s="9"/>
      <c r="JYP7" s="2"/>
      <c r="JYQ7" s="2"/>
      <c r="JYR7" s="2"/>
      <c r="JYS7" s="2"/>
      <c r="JYT7" s="2"/>
      <c r="JYU7" s="2"/>
      <c r="JYV7" s="2"/>
      <c r="JYW7" s="2"/>
      <c r="JYX7" s="2"/>
      <c r="JYY7" s="2"/>
      <c r="JYZ7" s="2"/>
      <c r="JZA7" s="6"/>
      <c r="JZB7" s="7"/>
      <c r="JZC7" s="8"/>
      <c r="JZD7" s="9"/>
      <c r="JZE7" s="8"/>
      <c r="JZF7" s="7"/>
      <c r="JZG7" s="9"/>
      <c r="JZH7" s="8"/>
      <c r="JZI7" s="8"/>
      <c r="JZJ7" s="7"/>
      <c r="JZK7" s="9"/>
      <c r="JZL7" s="2"/>
      <c r="JZM7" s="2"/>
      <c r="JZN7" s="2"/>
      <c r="JZO7" s="2"/>
      <c r="JZP7" s="2"/>
      <c r="JZQ7" s="2"/>
      <c r="JZR7" s="2"/>
      <c r="JZS7" s="2"/>
      <c r="JZT7" s="2"/>
      <c r="JZU7" s="2"/>
      <c r="JZV7" s="2"/>
      <c r="JZW7" s="6"/>
      <c r="JZX7" s="7"/>
      <c r="JZY7" s="8"/>
      <c r="JZZ7" s="9"/>
      <c r="KAA7" s="8"/>
      <c r="KAB7" s="7"/>
      <c r="KAC7" s="9"/>
      <c r="KAD7" s="8"/>
      <c r="KAE7" s="8"/>
      <c r="KAF7" s="7"/>
      <c r="KAG7" s="9"/>
      <c r="KAH7" s="2"/>
      <c r="KAI7" s="2"/>
      <c r="KAJ7" s="2"/>
      <c r="KAK7" s="2"/>
      <c r="KAL7" s="2"/>
      <c r="KAM7" s="2"/>
      <c r="KAN7" s="2"/>
      <c r="KAO7" s="2"/>
      <c r="KAP7" s="2"/>
      <c r="KAQ7" s="2"/>
      <c r="KAR7" s="2"/>
      <c r="KAS7" s="6"/>
      <c r="KAT7" s="7"/>
      <c r="KAU7" s="8"/>
      <c r="KAV7" s="9"/>
      <c r="KAW7" s="8"/>
      <c r="KAX7" s="7"/>
      <c r="KAY7" s="9"/>
      <c r="KAZ7" s="8"/>
      <c r="KBA7" s="8"/>
      <c r="KBB7" s="7"/>
      <c r="KBC7" s="9"/>
      <c r="KBD7" s="2"/>
      <c r="KBE7" s="2"/>
      <c r="KBF7" s="2"/>
      <c r="KBG7" s="2"/>
      <c r="KBH7" s="2"/>
      <c r="KBI7" s="2"/>
      <c r="KBJ7" s="2"/>
      <c r="KBK7" s="2"/>
      <c r="KBL7" s="2"/>
      <c r="KBM7" s="2"/>
      <c r="KBN7" s="2"/>
      <c r="KBO7" s="6"/>
      <c r="KBP7" s="7"/>
      <c r="KBQ7" s="8"/>
      <c r="KBR7" s="9"/>
      <c r="KBS7" s="8"/>
      <c r="KBT7" s="7"/>
      <c r="KBU7" s="9"/>
      <c r="KBV7" s="8"/>
      <c r="KBW7" s="8"/>
      <c r="KBX7" s="7"/>
      <c r="KBY7" s="9"/>
      <c r="KBZ7" s="2"/>
      <c r="KCA7" s="2"/>
      <c r="KCB7" s="2"/>
      <c r="KCC7" s="2"/>
      <c r="KCD7" s="2"/>
      <c r="KCE7" s="2"/>
      <c r="KCF7" s="2"/>
      <c r="KCG7" s="2"/>
      <c r="KCH7" s="2"/>
      <c r="KCI7" s="2"/>
      <c r="KCJ7" s="2"/>
      <c r="KCK7" s="6"/>
      <c r="KCL7" s="7"/>
      <c r="KCM7" s="8"/>
      <c r="KCN7" s="9"/>
      <c r="KCO7" s="8"/>
      <c r="KCP7" s="7"/>
      <c r="KCQ7" s="9"/>
      <c r="KCR7" s="8"/>
      <c r="KCS7" s="8"/>
      <c r="KCT7" s="7"/>
      <c r="KCU7" s="9"/>
      <c r="KCV7" s="2"/>
      <c r="KCW7" s="2"/>
      <c r="KCX7" s="2"/>
      <c r="KCY7" s="2"/>
      <c r="KCZ7" s="2"/>
      <c r="KDA7" s="2"/>
      <c r="KDB7" s="2"/>
      <c r="KDC7" s="2"/>
      <c r="KDD7" s="2"/>
      <c r="KDE7" s="2"/>
      <c r="KDF7" s="2"/>
      <c r="KDG7" s="6"/>
      <c r="KDH7" s="7"/>
      <c r="KDI7" s="8"/>
      <c r="KDJ7" s="9"/>
      <c r="KDK7" s="8"/>
      <c r="KDL7" s="7"/>
      <c r="KDM7" s="9"/>
      <c r="KDN7" s="8"/>
      <c r="KDO7" s="8"/>
      <c r="KDP7" s="7"/>
      <c r="KDQ7" s="9"/>
      <c r="KDR7" s="2"/>
      <c r="KDS7" s="2"/>
      <c r="KDT7" s="2"/>
      <c r="KDU7" s="2"/>
      <c r="KDV7" s="2"/>
      <c r="KDW7" s="2"/>
      <c r="KDX7" s="2"/>
      <c r="KDY7" s="2"/>
      <c r="KDZ7" s="2"/>
      <c r="KEA7" s="2"/>
      <c r="KEB7" s="2"/>
      <c r="KEC7" s="6"/>
      <c r="KED7" s="7"/>
      <c r="KEE7" s="8"/>
      <c r="KEF7" s="9"/>
      <c r="KEG7" s="8"/>
      <c r="KEH7" s="7"/>
      <c r="KEI7" s="9"/>
      <c r="KEJ7" s="8"/>
      <c r="KEK7" s="8"/>
      <c r="KEL7" s="7"/>
      <c r="KEM7" s="9"/>
      <c r="KEN7" s="2"/>
      <c r="KEO7" s="2"/>
      <c r="KEP7" s="2"/>
      <c r="KEQ7" s="2"/>
      <c r="KER7" s="2"/>
      <c r="KES7" s="2"/>
      <c r="KET7" s="2"/>
      <c r="KEU7" s="2"/>
      <c r="KEV7" s="2"/>
      <c r="KEW7" s="2"/>
      <c r="KEX7" s="2"/>
      <c r="KEY7" s="6"/>
      <c r="KEZ7" s="7"/>
      <c r="KFA7" s="8"/>
      <c r="KFB7" s="9"/>
      <c r="KFC7" s="8"/>
      <c r="KFD7" s="7"/>
      <c r="KFE7" s="9"/>
      <c r="KFF7" s="8"/>
      <c r="KFG7" s="8"/>
      <c r="KFH7" s="7"/>
      <c r="KFI7" s="9"/>
      <c r="KFJ7" s="2"/>
      <c r="KFK7" s="2"/>
      <c r="KFL7" s="2"/>
      <c r="KFM7" s="2"/>
      <c r="KFN7" s="2"/>
      <c r="KFO7" s="2"/>
      <c r="KFP7" s="2"/>
      <c r="KFQ7" s="2"/>
      <c r="KFR7" s="2"/>
      <c r="KFS7" s="2"/>
      <c r="KFT7" s="2"/>
      <c r="KFU7" s="6"/>
      <c r="KFV7" s="7"/>
      <c r="KFW7" s="8"/>
      <c r="KFX7" s="9"/>
      <c r="KFY7" s="8"/>
      <c r="KFZ7" s="7"/>
      <c r="KGA7" s="9"/>
      <c r="KGB7" s="8"/>
      <c r="KGC7" s="8"/>
      <c r="KGD7" s="7"/>
      <c r="KGE7" s="9"/>
      <c r="KGF7" s="2"/>
      <c r="KGG7" s="2"/>
      <c r="KGH7" s="2"/>
      <c r="KGI7" s="2"/>
      <c r="KGJ7" s="2"/>
      <c r="KGK7" s="2"/>
      <c r="KGL7" s="2"/>
      <c r="KGM7" s="2"/>
      <c r="KGN7" s="2"/>
      <c r="KGO7" s="2"/>
      <c r="KGP7" s="2"/>
      <c r="KGQ7" s="6"/>
      <c r="KGR7" s="7"/>
      <c r="KGS7" s="8"/>
      <c r="KGT7" s="9"/>
      <c r="KGU7" s="8"/>
      <c r="KGV7" s="7"/>
      <c r="KGW7" s="9"/>
      <c r="KGX7" s="8"/>
      <c r="KGY7" s="8"/>
      <c r="KGZ7" s="7"/>
      <c r="KHA7" s="9"/>
      <c r="KHB7" s="2"/>
      <c r="KHC7" s="2"/>
      <c r="KHD7" s="2"/>
      <c r="KHE7" s="2"/>
      <c r="KHF7" s="2"/>
      <c r="KHG7" s="2"/>
      <c r="KHH7" s="2"/>
      <c r="KHI7" s="2"/>
      <c r="KHJ7" s="2"/>
      <c r="KHK7" s="2"/>
      <c r="KHL7" s="2"/>
      <c r="KHM7" s="6"/>
      <c r="KHN7" s="7"/>
      <c r="KHO7" s="8"/>
      <c r="KHP7" s="9"/>
      <c r="KHQ7" s="8"/>
      <c r="KHR7" s="7"/>
      <c r="KHS7" s="9"/>
      <c r="KHT7" s="8"/>
      <c r="KHU7" s="8"/>
      <c r="KHV7" s="7"/>
      <c r="KHW7" s="9"/>
      <c r="KHX7" s="2"/>
      <c r="KHY7" s="2"/>
      <c r="KHZ7" s="2"/>
      <c r="KIA7" s="2"/>
      <c r="KIB7" s="2"/>
      <c r="KIC7" s="2"/>
      <c r="KID7" s="2"/>
      <c r="KIE7" s="2"/>
      <c r="KIF7" s="2"/>
      <c r="KIG7" s="2"/>
      <c r="KIH7" s="2"/>
      <c r="KII7" s="6"/>
      <c r="KIJ7" s="7"/>
      <c r="KIK7" s="8"/>
      <c r="KIL7" s="9"/>
      <c r="KIM7" s="8"/>
      <c r="KIN7" s="7"/>
      <c r="KIO7" s="9"/>
      <c r="KIP7" s="8"/>
      <c r="KIQ7" s="8"/>
      <c r="KIR7" s="7"/>
      <c r="KIS7" s="9"/>
      <c r="KIT7" s="2"/>
      <c r="KIU7" s="2"/>
      <c r="KIV7" s="2"/>
      <c r="KIW7" s="2"/>
      <c r="KIX7" s="2"/>
      <c r="KIY7" s="2"/>
      <c r="KIZ7" s="2"/>
      <c r="KJA7" s="2"/>
      <c r="KJB7" s="2"/>
      <c r="KJC7" s="2"/>
      <c r="KJD7" s="2"/>
      <c r="KJE7" s="6"/>
      <c r="KJF7" s="7"/>
      <c r="KJG7" s="8"/>
      <c r="KJH7" s="9"/>
      <c r="KJI7" s="8"/>
      <c r="KJJ7" s="7"/>
      <c r="KJK7" s="9"/>
      <c r="KJL7" s="8"/>
      <c r="KJM7" s="8"/>
      <c r="KJN7" s="7"/>
      <c r="KJO7" s="9"/>
      <c r="KJP7" s="2"/>
      <c r="KJQ7" s="2"/>
      <c r="KJR7" s="2"/>
      <c r="KJS7" s="2"/>
      <c r="KJT7" s="2"/>
      <c r="KJU7" s="2"/>
      <c r="KJV7" s="2"/>
      <c r="KJW7" s="2"/>
      <c r="KJX7" s="2"/>
      <c r="KJY7" s="2"/>
      <c r="KJZ7" s="2"/>
      <c r="KKA7" s="6"/>
      <c r="KKB7" s="7"/>
      <c r="KKC7" s="8"/>
      <c r="KKD7" s="9"/>
      <c r="KKE7" s="8"/>
      <c r="KKF7" s="7"/>
      <c r="KKG7" s="9"/>
      <c r="KKH7" s="8"/>
      <c r="KKI7" s="8"/>
      <c r="KKJ7" s="7"/>
      <c r="KKK7" s="9"/>
      <c r="KKL7" s="2"/>
      <c r="KKM7" s="2"/>
      <c r="KKN7" s="2"/>
      <c r="KKO7" s="2"/>
      <c r="KKP7" s="2"/>
      <c r="KKQ7" s="2"/>
      <c r="KKR7" s="2"/>
      <c r="KKS7" s="2"/>
      <c r="KKT7" s="2"/>
      <c r="KKU7" s="2"/>
      <c r="KKV7" s="2"/>
      <c r="KKW7" s="6"/>
      <c r="KKX7" s="7"/>
      <c r="KKY7" s="8"/>
      <c r="KKZ7" s="9"/>
      <c r="KLA7" s="8"/>
      <c r="KLB7" s="7"/>
      <c r="KLC7" s="9"/>
      <c r="KLD7" s="8"/>
      <c r="KLE7" s="8"/>
      <c r="KLF7" s="7"/>
      <c r="KLG7" s="9"/>
      <c r="KLH7" s="2"/>
      <c r="KLI7" s="2"/>
      <c r="KLJ7" s="2"/>
      <c r="KLK7" s="2"/>
      <c r="KLL7" s="2"/>
      <c r="KLM7" s="2"/>
      <c r="KLN7" s="2"/>
      <c r="KLO7" s="2"/>
      <c r="KLP7" s="2"/>
      <c r="KLQ7" s="2"/>
      <c r="KLR7" s="2"/>
      <c r="KLS7" s="6"/>
      <c r="KLT7" s="7"/>
      <c r="KLU7" s="8"/>
      <c r="KLV7" s="9"/>
      <c r="KLW7" s="8"/>
      <c r="KLX7" s="7"/>
      <c r="KLY7" s="9"/>
      <c r="KLZ7" s="8"/>
      <c r="KMA7" s="8"/>
      <c r="KMB7" s="7"/>
      <c r="KMC7" s="9"/>
      <c r="KMD7" s="2"/>
      <c r="KME7" s="2"/>
      <c r="KMF7" s="2"/>
      <c r="KMG7" s="2"/>
      <c r="KMH7" s="2"/>
      <c r="KMI7" s="2"/>
      <c r="KMJ7" s="2"/>
      <c r="KMK7" s="2"/>
      <c r="KML7" s="2"/>
      <c r="KMM7" s="2"/>
      <c r="KMN7" s="2"/>
      <c r="KMO7" s="6"/>
      <c r="KMP7" s="7"/>
      <c r="KMQ7" s="8"/>
      <c r="KMR7" s="9"/>
      <c r="KMS7" s="8"/>
      <c r="KMT7" s="7"/>
      <c r="KMU7" s="9"/>
      <c r="KMV7" s="8"/>
      <c r="KMW7" s="8"/>
      <c r="KMX7" s="7"/>
      <c r="KMY7" s="9"/>
      <c r="KMZ7" s="2"/>
      <c r="KNA7" s="2"/>
      <c r="KNB7" s="2"/>
      <c r="KNC7" s="2"/>
      <c r="KND7" s="2"/>
      <c r="KNE7" s="2"/>
      <c r="KNF7" s="2"/>
      <c r="KNG7" s="2"/>
      <c r="KNH7" s="2"/>
      <c r="KNI7" s="2"/>
      <c r="KNJ7" s="2"/>
      <c r="KNK7" s="6"/>
      <c r="KNL7" s="7"/>
      <c r="KNM7" s="8"/>
      <c r="KNN7" s="9"/>
      <c r="KNO7" s="8"/>
      <c r="KNP7" s="7"/>
      <c r="KNQ7" s="9"/>
      <c r="KNR7" s="8"/>
      <c r="KNS7" s="8"/>
      <c r="KNT7" s="7"/>
      <c r="KNU7" s="9"/>
      <c r="KNV7" s="2"/>
      <c r="KNW7" s="2"/>
      <c r="KNX7" s="2"/>
      <c r="KNY7" s="2"/>
      <c r="KNZ7" s="2"/>
      <c r="KOA7" s="2"/>
      <c r="KOB7" s="2"/>
      <c r="KOC7" s="2"/>
      <c r="KOD7" s="2"/>
      <c r="KOE7" s="2"/>
      <c r="KOF7" s="2"/>
      <c r="KOG7" s="6"/>
      <c r="KOH7" s="7"/>
      <c r="KOI7" s="8"/>
      <c r="KOJ7" s="9"/>
      <c r="KOK7" s="8"/>
      <c r="KOL7" s="7"/>
      <c r="KOM7" s="9"/>
      <c r="KON7" s="8"/>
      <c r="KOO7" s="8"/>
      <c r="KOP7" s="7"/>
      <c r="KOQ7" s="9"/>
      <c r="KOR7" s="2"/>
      <c r="KOS7" s="2"/>
      <c r="KOT7" s="2"/>
      <c r="KOU7" s="2"/>
      <c r="KOV7" s="2"/>
      <c r="KOW7" s="2"/>
      <c r="KOX7" s="2"/>
      <c r="KOY7" s="2"/>
      <c r="KOZ7" s="2"/>
      <c r="KPA7" s="2"/>
      <c r="KPB7" s="2"/>
      <c r="KPC7" s="6"/>
      <c r="KPD7" s="7"/>
      <c r="KPE7" s="8"/>
      <c r="KPF7" s="9"/>
      <c r="KPG7" s="8"/>
      <c r="KPH7" s="7"/>
      <c r="KPI7" s="9"/>
      <c r="KPJ7" s="8"/>
      <c r="KPK7" s="8"/>
      <c r="KPL7" s="7"/>
      <c r="KPM7" s="9"/>
      <c r="KPN7" s="2"/>
      <c r="KPO7" s="2"/>
      <c r="KPP7" s="2"/>
      <c r="KPQ7" s="2"/>
      <c r="KPR7" s="2"/>
      <c r="KPS7" s="2"/>
      <c r="KPT7" s="2"/>
      <c r="KPU7" s="2"/>
      <c r="KPV7" s="2"/>
      <c r="KPW7" s="2"/>
      <c r="KPX7" s="2"/>
      <c r="KPY7" s="6"/>
      <c r="KPZ7" s="7"/>
      <c r="KQA7" s="8"/>
      <c r="KQB7" s="9"/>
      <c r="KQC7" s="8"/>
      <c r="KQD7" s="7"/>
      <c r="KQE7" s="9"/>
      <c r="KQF7" s="8"/>
      <c r="KQG7" s="8"/>
      <c r="KQH7" s="7"/>
      <c r="KQI7" s="9"/>
      <c r="KQJ7" s="2"/>
      <c r="KQK7" s="2"/>
      <c r="KQL7" s="2"/>
      <c r="KQM7" s="2"/>
      <c r="KQN7" s="2"/>
      <c r="KQO7" s="2"/>
      <c r="KQP7" s="2"/>
      <c r="KQQ7" s="2"/>
      <c r="KQR7" s="2"/>
      <c r="KQS7" s="2"/>
      <c r="KQT7" s="2"/>
      <c r="KQU7" s="6"/>
      <c r="KQV7" s="7"/>
      <c r="KQW7" s="8"/>
      <c r="KQX7" s="9"/>
      <c r="KQY7" s="8"/>
      <c r="KQZ7" s="7"/>
      <c r="KRA7" s="9"/>
      <c r="KRB7" s="8"/>
      <c r="KRC7" s="8"/>
      <c r="KRD7" s="7"/>
      <c r="KRE7" s="9"/>
      <c r="KRF7" s="2"/>
      <c r="KRG7" s="2"/>
      <c r="KRH7" s="2"/>
      <c r="KRI7" s="2"/>
      <c r="KRJ7" s="2"/>
      <c r="KRK7" s="2"/>
      <c r="KRL7" s="2"/>
      <c r="KRM7" s="2"/>
      <c r="KRN7" s="2"/>
      <c r="KRO7" s="2"/>
      <c r="KRP7" s="2"/>
      <c r="KRQ7" s="6"/>
      <c r="KRR7" s="7"/>
      <c r="KRS7" s="8"/>
      <c r="KRT7" s="9"/>
      <c r="KRU7" s="8"/>
      <c r="KRV7" s="7"/>
      <c r="KRW7" s="9"/>
      <c r="KRX7" s="8"/>
      <c r="KRY7" s="8"/>
      <c r="KRZ7" s="7"/>
      <c r="KSA7" s="9"/>
      <c r="KSB7" s="2"/>
      <c r="KSC7" s="2"/>
      <c r="KSD7" s="2"/>
      <c r="KSE7" s="2"/>
      <c r="KSF7" s="2"/>
      <c r="KSG7" s="2"/>
      <c r="KSH7" s="2"/>
      <c r="KSI7" s="2"/>
      <c r="KSJ7" s="2"/>
      <c r="KSK7" s="2"/>
      <c r="KSL7" s="2"/>
      <c r="KSM7" s="6"/>
      <c r="KSN7" s="7"/>
      <c r="KSO7" s="8"/>
      <c r="KSP7" s="9"/>
      <c r="KSQ7" s="8"/>
      <c r="KSR7" s="7"/>
      <c r="KSS7" s="9"/>
      <c r="KST7" s="8"/>
      <c r="KSU7" s="8"/>
      <c r="KSV7" s="7"/>
      <c r="KSW7" s="9"/>
      <c r="KSX7" s="2"/>
      <c r="KSY7" s="2"/>
      <c r="KSZ7" s="2"/>
      <c r="KTA7" s="2"/>
      <c r="KTB7" s="2"/>
      <c r="KTC7" s="2"/>
      <c r="KTD7" s="2"/>
      <c r="KTE7" s="2"/>
      <c r="KTF7" s="2"/>
      <c r="KTG7" s="2"/>
      <c r="KTH7" s="2"/>
      <c r="KTI7" s="6"/>
      <c r="KTJ7" s="7"/>
      <c r="KTK7" s="8"/>
      <c r="KTL7" s="9"/>
      <c r="KTM7" s="8"/>
      <c r="KTN7" s="7"/>
      <c r="KTO7" s="9"/>
      <c r="KTP7" s="8"/>
      <c r="KTQ7" s="8"/>
      <c r="KTR7" s="7"/>
      <c r="KTS7" s="9"/>
      <c r="KTT7" s="2"/>
      <c r="KTU7" s="2"/>
      <c r="KTV7" s="2"/>
      <c r="KTW7" s="2"/>
      <c r="KTX7" s="2"/>
      <c r="KTY7" s="2"/>
      <c r="KTZ7" s="2"/>
      <c r="KUA7" s="2"/>
      <c r="KUB7" s="2"/>
      <c r="KUC7" s="2"/>
      <c r="KUD7" s="2"/>
      <c r="KUE7" s="6"/>
      <c r="KUF7" s="7"/>
      <c r="KUG7" s="8"/>
      <c r="KUH7" s="9"/>
      <c r="KUI7" s="8"/>
      <c r="KUJ7" s="7"/>
      <c r="KUK7" s="9"/>
      <c r="KUL7" s="8"/>
      <c r="KUM7" s="8"/>
      <c r="KUN7" s="7"/>
      <c r="KUO7" s="9"/>
      <c r="KUP7" s="2"/>
      <c r="KUQ7" s="2"/>
      <c r="KUR7" s="2"/>
      <c r="KUS7" s="2"/>
      <c r="KUT7" s="2"/>
      <c r="KUU7" s="2"/>
      <c r="KUV7" s="2"/>
      <c r="KUW7" s="2"/>
      <c r="KUX7" s="2"/>
      <c r="KUY7" s="2"/>
      <c r="KUZ7" s="2"/>
      <c r="KVA7" s="6"/>
      <c r="KVB7" s="7"/>
      <c r="KVC7" s="8"/>
      <c r="KVD7" s="9"/>
      <c r="KVE7" s="8"/>
      <c r="KVF7" s="7"/>
      <c r="KVG7" s="9"/>
      <c r="KVH7" s="8"/>
      <c r="KVI7" s="8"/>
      <c r="KVJ7" s="7"/>
      <c r="KVK7" s="9"/>
      <c r="KVL7" s="2"/>
      <c r="KVM7" s="2"/>
      <c r="KVN7" s="2"/>
      <c r="KVO7" s="2"/>
      <c r="KVP7" s="2"/>
      <c r="KVQ7" s="2"/>
      <c r="KVR7" s="2"/>
      <c r="KVS7" s="2"/>
      <c r="KVT7" s="2"/>
      <c r="KVU7" s="2"/>
      <c r="KVV7" s="2"/>
      <c r="KVW7" s="6"/>
      <c r="KVX7" s="7"/>
      <c r="KVY7" s="8"/>
      <c r="KVZ7" s="9"/>
      <c r="KWA7" s="8"/>
      <c r="KWB7" s="7"/>
      <c r="KWC7" s="9"/>
      <c r="KWD7" s="8"/>
      <c r="KWE7" s="8"/>
      <c r="KWF7" s="7"/>
      <c r="KWG7" s="9"/>
      <c r="KWH7" s="2"/>
      <c r="KWI7" s="2"/>
      <c r="KWJ7" s="2"/>
      <c r="KWK7" s="2"/>
      <c r="KWL7" s="2"/>
      <c r="KWM7" s="2"/>
      <c r="KWN7" s="2"/>
      <c r="KWO7" s="2"/>
      <c r="KWP7" s="2"/>
      <c r="KWQ7" s="2"/>
      <c r="KWR7" s="2"/>
      <c r="KWS7" s="6"/>
      <c r="KWT7" s="7"/>
      <c r="KWU7" s="8"/>
      <c r="KWV7" s="9"/>
      <c r="KWW7" s="8"/>
      <c r="KWX7" s="7"/>
      <c r="KWY7" s="9"/>
      <c r="KWZ7" s="8"/>
      <c r="KXA7" s="8"/>
      <c r="KXB7" s="7"/>
      <c r="KXC7" s="9"/>
      <c r="KXD7" s="2"/>
      <c r="KXE7" s="2"/>
      <c r="KXF7" s="2"/>
      <c r="KXG7" s="2"/>
      <c r="KXH7" s="2"/>
      <c r="KXI7" s="2"/>
      <c r="KXJ7" s="2"/>
      <c r="KXK7" s="2"/>
      <c r="KXL7" s="2"/>
      <c r="KXM7" s="2"/>
      <c r="KXN7" s="2"/>
      <c r="KXO7" s="6"/>
      <c r="KXP7" s="7"/>
      <c r="KXQ7" s="8"/>
      <c r="KXR7" s="9"/>
      <c r="KXS7" s="8"/>
      <c r="KXT7" s="7"/>
      <c r="KXU7" s="9"/>
      <c r="KXV7" s="8"/>
      <c r="KXW7" s="8"/>
      <c r="KXX7" s="7"/>
      <c r="KXY7" s="9"/>
      <c r="KXZ7" s="2"/>
      <c r="KYA7" s="2"/>
      <c r="KYB7" s="2"/>
      <c r="KYC7" s="2"/>
      <c r="KYD7" s="2"/>
      <c r="KYE7" s="2"/>
      <c r="KYF7" s="2"/>
      <c r="KYG7" s="2"/>
      <c r="KYH7" s="2"/>
      <c r="KYI7" s="2"/>
      <c r="KYJ7" s="2"/>
      <c r="KYK7" s="6"/>
      <c r="KYL7" s="7"/>
      <c r="KYM7" s="8"/>
      <c r="KYN7" s="9"/>
      <c r="KYO7" s="8"/>
      <c r="KYP7" s="7"/>
      <c r="KYQ7" s="9"/>
      <c r="KYR7" s="8"/>
      <c r="KYS7" s="8"/>
      <c r="KYT7" s="7"/>
      <c r="KYU7" s="9"/>
      <c r="KYV7" s="2"/>
      <c r="KYW7" s="2"/>
      <c r="KYX7" s="2"/>
      <c r="KYY7" s="2"/>
      <c r="KYZ7" s="2"/>
      <c r="KZA7" s="2"/>
      <c r="KZB7" s="2"/>
      <c r="KZC7" s="2"/>
      <c r="KZD7" s="2"/>
      <c r="KZE7" s="2"/>
      <c r="KZF7" s="2"/>
      <c r="KZG7" s="6"/>
      <c r="KZH7" s="7"/>
      <c r="KZI7" s="8"/>
      <c r="KZJ7" s="9"/>
      <c r="KZK7" s="8"/>
      <c r="KZL7" s="7"/>
      <c r="KZM7" s="9"/>
      <c r="KZN7" s="8"/>
      <c r="KZO7" s="8"/>
      <c r="KZP7" s="7"/>
      <c r="KZQ7" s="9"/>
      <c r="KZR7" s="2"/>
      <c r="KZS7" s="2"/>
      <c r="KZT7" s="2"/>
      <c r="KZU7" s="2"/>
      <c r="KZV7" s="2"/>
      <c r="KZW7" s="2"/>
      <c r="KZX7" s="2"/>
      <c r="KZY7" s="2"/>
      <c r="KZZ7" s="2"/>
      <c r="LAA7" s="2"/>
      <c r="LAB7" s="2"/>
      <c r="LAC7" s="6"/>
      <c r="LAD7" s="7"/>
      <c r="LAE7" s="8"/>
      <c r="LAF7" s="9"/>
      <c r="LAG7" s="8"/>
      <c r="LAH7" s="7"/>
      <c r="LAI7" s="9"/>
      <c r="LAJ7" s="8"/>
      <c r="LAK7" s="8"/>
      <c r="LAL7" s="7"/>
      <c r="LAM7" s="9"/>
      <c r="LAN7" s="2"/>
      <c r="LAO7" s="2"/>
      <c r="LAP7" s="2"/>
      <c r="LAQ7" s="2"/>
      <c r="LAR7" s="2"/>
      <c r="LAS7" s="2"/>
      <c r="LAT7" s="2"/>
      <c r="LAU7" s="2"/>
      <c r="LAV7" s="2"/>
      <c r="LAW7" s="2"/>
      <c r="LAX7" s="2"/>
      <c r="LAY7" s="6"/>
      <c r="LAZ7" s="7"/>
      <c r="LBA7" s="8"/>
      <c r="LBB7" s="9"/>
      <c r="LBC7" s="8"/>
      <c r="LBD7" s="7"/>
      <c r="LBE7" s="9"/>
      <c r="LBF7" s="8"/>
      <c r="LBG7" s="8"/>
      <c r="LBH7" s="7"/>
      <c r="LBI7" s="9"/>
      <c r="LBJ7" s="2"/>
      <c r="LBK7" s="2"/>
      <c r="LBL7" s="2"/>
      <c r="LBM7" s="2"/>
      <c r="LBN7" s="2"/>
      <c r="LBO7" s="2"/>
      <c r="LBP7" s="2"/>
      <c r="LBQ7" s="2"/>
      <c r="LBR7" s="2"/>
      <c r="LBS7" s="2"/>
      <c r="LBT7" s="2"/>
      <c r="LBU7" s="6"/>
      <c r="LBV7" s="7"/>
      <c r="LBW7" s="8"/>
      <c r="LBX7" s="9"/>
      <c r="LBY7" s="8"/>
      <c r="LBZ7" s="7"/>
      <c r="LCA7" s="9"/>
      <c r="LCB7" s="8"/>
      <c r="LCC7" s="8"/>
      <c r="LCD7" s="7"/>
      <c r="LCE7" s="9"/>
      <c r="LCF7" s="2"/>
      <c r="LCG7" s="2"/>
      <c r="LCH7" s="2"/>
      <c r="LCI7" s="2"/>
      <c r="LCJ7" s="2"/>
      <c r="LCK7" s="2"/>
      <c r="LCL7" s="2"/>
      <c r="LCM7" s="2"/>
      <c r="LCN7" s="2"/>
      <c r="LCO7" s="2"/>
      <c r="LCP7" s="2"/>
      <c r="LCQ7" s="6"/>
      <c r="LCR7" s="7"/>
      <c r="LCS7" s="8"/>
      <c r="LCT7" s="9"/>
      <c r="LCU7" s="8"/>
      <c r="LCV7" s="7"/>
      <c r="LCW7" s="9"/>
      <c r="LCX7" s="8"/>
      <c r="LCY7" s="8"/>
      <c r="LCZ7" s="7"/>
      <c r="LDA7" s="9"/>
      <c r="LDB7" s="2"/>
      <c r="LDC7" s="2"/>
      <c r="LDD7" s="2"/>
      <c r="LDE7" s="2"/>
      <c r="LDF7" s="2"/>
      <c r="LDG7" s="2"/>
      <c r="LDH7" s="2"/>
      <c r="LDI7" s="2"/>
      <c r="LDJ7" s="2"/>
      <c r="LDK7" s="2"/>
      <c r="LDL7" s="2"/>
      <c r="LDM7" s="6"/>
      <c r="LDN7" s="7"/>
      <c r="LDO7" s="8"/>
      <c r="LDP7" s="9"/>
      <c r="LDQ7" s="8"/>
      <c r="LDR7" s="7"/>
      <c r="LDS7" s="9"/>
      <c r="LDT7" s="8"/>
      <c r="LDU7" s="8"/>
      <c r="LDV7" s="7"/>
      <c r="LDW7" s="9"/>
      <c r="LDX7" s="2"/>
      <c r="LDY7" s="2"/>
      <c r="LDZ7" s="2"/>
      <c r="LEA7" s="2"/>
      <c r="LEB7" s="2"/>
      <c r="LEC7" s="2"/>
      <c r="LED7" s="2"/>
      <c r="LEE7" s="2"/>
      <c r="LEF7" s="2"/>
      <c r="LEG7" s="2"/>
      <c r="LEH7" s="2"/>
      <c r="LEI7" s="6"/>
      <c r="LEJ7" s="7"/>
      <c r="LEK7" s="8"/>
      <c r="LEL7" s="9"/>
      <c r="LEM7" s="8"/>
      <c r="LEN7" s="7"/>
      <c r="LEO7" s="9"/>
      <c r="LEP7" s="8"/>
      <c r="LEQ7" s="8"/>
      <c r="LER7" s="7"/>
      <c r="LES7" s="9"/>
      <c r="LET7" s="2"/>
      <c r="LEU7" s="2"/>
      <c r="LEV7" s="2"/>
      <c r="LEW7" s="2"/>
      <c r="LEX7" s="2"/>
      <c r="LEY7" s="2"/>
      <c r="LEZ7" s="2"/>
      <c r="LFA7" s="2"/>
      <c r="LFB7" s="2"/>
      <c r="LFC7" s="2"/>
      <c r="LFD7" s="2"/>
      <c r="LFE7" s="6"/>
      <c r="LFF7" s="7"/>
      <c r="LFG7" s="8"/>
      <c r="LFH7" s="9"/>
      <c r="LFI7" s="8"/>
      <c r="LFJ7" s="7"/>
      <c r="LFK7" s="9"/>
      <c r="LFL7" s="8"/>
      <c r="LFM7" s="8"/>
      <c r="LFN7" s="7"/>
      <c r="LFO7" s="9"/>
      <c r="LFP7" s="2"/>
      <c r="LFQ7" s="2"/>
      <c r="LFR7" s="2"/>
      <c r="LFS7" s="2"/>
      <c r="LFT7" s="2"/>
      <c r="LFU7" s="2"/>
      <c r="LFV7" s="2"/>
      <c r="LFW7" s="2"/>
      <c r="LFX7" s="2"/>
      <c r="LFY7" s="2"/>
      <c r="LFZ7" s="2"/>
      <c r="LGA7" s="6"/>
      <c r="LGB7" s="7"/>
      <c r="LGC7" s="8"/>
      <c r="LGD7" s="9"/>
      <c r="LGE7" s="8"/>
      <c r="LGF7" s="7"/>
      <c r="LGG7" s="9"/>
      <c r="LGH7" s="8"/>
      <c r="LGI7" s="8"/>
      <c r="LGJ7" s="7"/>
      <c r="LGK7" s="9"/>
      <c r="LGL7" s="2"/>
      <c r="LGM7" s="2"/>
      <c r="LGN7" s="2"/>
      <c r="LGO7" s="2"/>
      <c r="LGP7" s="2"/>
      <c r="LGQ7" s="2"/>
      <c r="LGR7" s="2"/>
      <c r="LGS7" s="2"/>
      <c r="LGT7" s="2"/>
      <c r="LGU7" s="2"/>
      <c r="LGV7" s="2"/>
      <c r="LGW7" s="6"/>
      <c r="LGX7" s="7"/>
      <c r="LGY7" s="8"/>
      <c r="LGZ7" s="9"/>
      <c r="LHA7" s="8"/>
      <c r="LHB7" s="7"/>
      <c r="LHC7" s="9"/>
      <c r="LHD7" s="8"/>
      <c r="LHE7" s="8"/>
      <c r="LHF7" s="7"/>
      <c r="LHG7" s="9"/>
      <c r="LHH7" s="2"/>
      <c r="LHI7" s="2"/>
      <c r="LHJ7" s="2"/>
      <c r="LHK7" s="2"/>
      <c r="LHL7" s="2"/>
      <c r="LHM7" s="2"/>
      <c r="LHN7" s="2"/>
      <c r="LHO7" s="2"/>
      <c r="LHP7" s="2"/>
      <c r="LHQ7" s="2"/>
      <c r="LHR7" s="2"/>
      <c r="LHS7" s="6"/>
      <c r="LHT7" s="7"/>
      <c r="LHU7" s="8"/>
      <c r="LHV7" s="9"/>
      <c r="LHW7" s="8"/>
      <c r="LHX7" s="7"/>
      <c r="LHY7" s="9"/>
      <c r="LHZ7" s="8"/>
      <c r="LIA7" s="8"/>
      <c r="LIB7" s="7"/>
      <c r="LIC7" s="9"/>
      <c r="LID7" s="2"/>
      <c r="LIE7" s="2"/>
      <c r="LIF7" s="2"/>
      <c r="LIG7" s="2"/>
      <c r="LIH7" s="2"/>
      <c r="LII7" s="2"/>
      <c r="LIJ7" s="2"/>
      <c r="LIK7" s="2"/>
      <c r="LIL7" s="2"/>
      <c r="LIM7" s="2"/>
      <c r="LIN7" s="2"/>
      <c r="LIO7" s="6"/>
      <c r="LIP7" s="7"/>
      <c r="LIQ7" s="8"/>
      <c r="LIR7" s="9"/>
      <c r="LIS7" s="8"/>
      <c r="LIT7" s="7"/>
      <c r="LIU7" s="9"/>
      <c r="LIV7" s="8"/>
      <c r="LIW7" s="8"/>
      <c r="LIX7" s="7"/>
      <c r="LIY7" s="9"/>
      <c r="LIZ7" s="2"/>
      <c r="LJA7" s="2"/>
      <c r="LJB7" s="2"/>
      <c r="LJC7" s="2"/>
      <c r="LJD7" s="2"/>
      <c r="LJE7" s="2"/>
      <c r="LJF7" s="2"/>
      <c r="LJG7" s="2"/>
      <c r="LJH7" s="2"/>
      <c r="LJI7" s="2"/>
      <c r="LJJ7" s="2"/>
      <c r="LJK7" s="6"/>
      <c r="LJL7" s="7"/>
      <c r="LJM7" s="8"/>
      <c r="LJN7" s="9"/>
      <c r="LJO7" s="8"/>
      <c r="LJP7" s="7"/>
      <c r="LJQ7" s="9"/>
      <c r="LJR7" s="8"/>
      <c r="LJS7" s="8"/>
      <c r="LJT7" s="7"/>
      <c r="LJU7" s="9"/>
      <c r="LJV7" s="2"/>
      <c r="LJW7" s="2"/>
      <c r="LJX7" s="2"/>
      <c r="LJY7" s="2"/>
      <c r="LJZ7" s="2"/>
      <c r="LKA7" s="2"/>
      <c r="LKB7" s="2"/>
      <c r="LKC7" s="2"/>
      <c r="LKD7" s="2"/>
      <c r="LKE7" s="2"/>
      <c r="LKF7" s="2"/>
      <c r="LKG7" s="6"/>
      <c r="LKH7" s="7"/>
      <c r="LKI7" s="8"/>
      <c r="LKJ7" s="9"/>
      <c r="LKK7" s="8"/>
      <c r="LKL7" s="7"/>
      <c r="LKM7" s="9"/>
      <c r="LKN7" s="8"/>
      <c r="LKO7" s="8"/>
      <c r="LKP7" s="7"/>
      <c r="LKQ7" s="9"/>
      <c r="LKR7" s="2"/>
      <c r="LKS7" s="2"/>
      <c r="LKT7" s="2"/>
      <c r="LKU7" s="2"/>
      <c r="LKV7" s="2"/>
      <c r="LKW7" s="2"/>
      <c r="LKX7" s="2"/>
      <c r="LKY7" s="2"/>
      <c r="LKZ7" s="2"/>
      <c r="LLA7" s="2"/>
      <c r="LLB7" s="2"/>
      <c r="LLC7" s="6"/>
      <c r="LLD7" s="7"/>
      <c r="LLE7" s="8"/>
      <c r="LLF7" s="9"/>
      <c r="LLG7" s="8"/>
      <c r="LLH7" s="7"/>
      <c r="LLI7" s="9"/>
      <c r="LLJ7" s="8"/>
      <c r="LLK7" s="8"/>
      <c r="LLL7" s="7"/>
      <c r="LLM7" s="9"/>
      <c r="LLN7" s="2"/>
      <c r="LLO7" s="2"/>
      <c r="LLP7" s="2"/>
      <c r="LLQ7" s="2"/>
      <c r="LLR7" s="2"/>
      <c r="LLS7" s="2"/>
      <c r="LLT7" s="2"/>
      <c r="LLU7" s="2"/>
      <c r="LLV7" s="2"/>
      <c r="LLW7" s="2"/>
      <c r="LLX7" s="2"/>
      <c r="LLY7" s="6"/>
      <c r="LLZ7" s="7"/>
      <c r="LMA7" s="8"/>
      <c r="LMB7" s="9"/>
      <c r="LMC7" s="8"/>
      <c r="LMD7" s="7"/>
      <c r="LME7" s="9"/>
      <c r="LMF7" s="8"/>
      <c r="LMG7" s="8"/>
      <c r="LMH7" s="7"/>
      <c r="LMI7" s="9"/>
      <c r="LMJ7" s="2"/>
      <c r="LMK7" s="2"/>
      <c r="LML7" s="2"/>
      <c r="LMM7" s="2"/>
      <c r="LMN7" s="2"/>
      <c r="LMO7" s="2"/>
      <c r="LMP7" s="2"/>
      <c r="LMQ7" s="2"/>
      <c r="LMR7" s="2"/>
      <c r="LMS7" s="2"/>
      <c r="LMT7" s="2"/>
      <c r="LMU7" s="6"/>
      <c r="LMV7" s="7"/>
      <c r="LMW7" s="8"/>
      <c r="LMX7" s="9"/>
      <c r="LMY7" s="8"/>
      <c r="LMZ7" s="7"/>
      <c r="LNA7" s="9"/>
      <c r="LNB7" s="8"/>
      <c r="LNC7" s="8"/>
      <c r="LND7" s="7"/>
      <c r="LNE7" s="9"/>
      <c r="LNF7" s="2"/>
      <c r="LNG7" s="2"/>
      <c r="LNH7" s="2"/>
      <c r="LNI7" s="2"/>
      <c r="LNJ7" s="2"/>
      <c r="LNK7" s="2"/>
      <c r="LNL7" s="2"/>
      <c r="LNM7" s="2"/>
      <c r="LNN7" s="2"/>
      <c r="LNO7" s="2"/>
      <c r="LNP7" s="2"/>
      <c r="LNQ7" s="6"/>
      <c r="LNR7" s="7"/>
      <c r="LNS7" s="8"/>
      <c r="LNT7" s="9"/>
      <c r="LNU7" s="8"/>
      <c r="LNV7" s="7"/>
      <c r="LNW7" s="9"/>
      <c r="LNX7" s="8"/>
      <c r="LNY7" s="8"/>
      <c r="LNZ7" s="7"/>
      <c r="LOA7" s="9"/>
      <c r="LOB7" s="2"/>
      <c r="LOC7" s="2"/>
      <c r="LOD7" s="2"/>
      <c r="LOE7" s="2"/>
      <c r="LOF7" s="2"/>
      <c r="LOG7" s="2"/>
      <c r="LOH7" s="2"/>
      <c r="LOI7" s="2"/>
      <c r="LOJ7" s="2"/>
      <c r="LOK7" s="2"/>
      <c r="LOL7" s="2"/>
      <c r="LOM7" s="6"/>
      <c r="LON7" s="7"/>
      <c r="LOO7" s="8"/>
      <c r="LOP7" s="9"/>
      <c r="LOQ7" s="8"/>
      <c r="LOR7" s="7"/>
      <c r="LOS7" s="9"/>
      <c r="LOT7" s="8"/>
      <c r="LOU7" s="8"/>
      <c r="LOV7" s="7"/>
      <c r="LOW7" s="9"/>
      <c r="LOX7" s="2"/>
      <c r="LOY7" s="2"/>
      <c r="LOZ7" s="2"/>
      <c r="LPA7" s="2"/>
      <c r="LPB7" s="2"/>
      <c r="LPC7" s="2"/>
      <c r="LPD7" s="2"/>
      <c r="LPE7" s="2"/>
      <c r="LPF7" s="2"/>
      <c r="LPG7" s="2"/>
      <c r="LPH7" s="2"/>
      <c r="LPI7" s="6"/>
      <c r="LPJ7" s="7"/>
      <c r="LPK7" s="8"/>
      <c r="LPL7" s="9"/>
      <c r="LPM7" s="8"/>
      <c r="LPN7" s="7"/>
      <c r="LPO7" s="9"/>
      <c r="LPP7" s="8"/>
      <c r="LPQ7" s="8"/>
      <c r="LPR7" s="7"/>
      <c r="LPS7" s="9"/>
      <c r="LPT7" s="2"/>
      <c r="LPU7" s="2"/>
      <c r="LPV7" s="2"/>
      <c r="LPW7" s="2"/>
      <c r="LPX7" s="2"/>
      <c r="LPY7" s="2"/>
      <c r="LPZ7" s="2"/>
      <c r="LQA7" s="2"/>
      <c r="LQB7" s="2"/>
      <c r="LQC7" s="2"/>
      <c r="LQD7" s="2"/>
      <c r="LQE7" s="6"/>
      <c r="LQF7" s="7"/>
      <c r="LQG7" s="8"/>
      <c r="LQH7" s="9"/>
      <c r="LQI7" s="8"/>
      <c r="LQJ7" s="7"/>
      <c r="LQK7" s="9"/>
      <c r="LQL7" s="8"/>
      <c r="LQM7" s="8"/>
      <c r="LQN7" s="7"/>
      <c r="LQO7" s="9"/>
      <c r="LQP7" s="2"/>
      <c r="LQQ7" s="2"/>
      <c r="LQR7" s="2"/>
      <c r="LQS7" s="2"/>
      <c r="LQT7" s="2"/>
      <c r="LQU7" s="2"/>
      <c r="LQV7" s="2"/>
      <c r="LQW7" s="2"/>
      <c r="LQX7" s="2"/>
      <c r="LQY7" s="2"/>
      <c r="LQZ7" s="2"/>
      <c r="LRA7" s="6"/>
      <c r="LRB7" s="7"/>
      <c r="LRC7" s="8"/>
      <c r="LRD7" s="9"/>
      <c r="LRE7" s="8"/>
      <c r="LRF7" s="7"/>
      <c r="LRG7" s="9"/>
      <c r="LRH7" s="8"/>
      <c r="LRI7" s="8"/>
      <c r="LRJ7" s="7"/>
      <c r="LRK7" s="9"/>
      <c r="LRL7" s="2"/>
      <c r="LRM7" s="2"/>
      <c r="LRN7" s="2"/>
      <c r="LRO7" s="2"/>
      <c r="LRP7" s="2"/>
      <c r="LRQ7" s="2"/>
      <c r="LRR7" s="2"/>
      <c r="LRS7" s="2"/>
      <c r="LRT7" s="2"/>
      <c r="LRU7" s="2"/>
      <c r="LRV7" s="2"/>
      <c r="LRW7" s="6"/>
      <c r="LRX7" s="7"/>
      <c r="LRY7" s="8"/>
      <c r="LRZ7" s="9"/>
      <c r="LSA7" s="8"/>
      <c r="LSB7" s="7"/>
      <c r="LSC7" s="9"/>
      <c r="LSD7" s="8"/>
      <c r="LSE7" s="8"/>
      <c r="LSF7" s="7"/>
      <c r="LSG7" s="9"/>
      <c r="LSH7" s="2"/>
      <c r="LSI7" s="2"/>
      <c r="LSJ7" s="2"/>
      <c r="LSK7" s="2"/>
      <c r="LSL7" s="2"/>
      <c r="LSM7" s="2"/>
      <c r="LSN7" s="2"/>
      <c r="LSO7" s="2"/>
      <c r="LSP7" s="2"/>
      <c r="LSQ7" s="2"/>
      <c r="LSR7" s="2"/>
      <c r="LSS7" s="6"/>
      <c r="LST7" s="7"/>
      <c r="LSU7" s="8"/>
      <c r="LSV7" s="9"/>
      <c r="LSW7" s="8"/>
      <c r="LSX7" s="7"/>
      <c r="LSY7" s="9"/>
      <c r="LSZ7" s="8"/>
      <c r="LTA7" s="8"/>
      <c r="LTB7" s="7"/>
      <c r="LTC7" s="9"/>
      <c r="LTD7" s="2"/>
      <c r="LTE7" s="2"/>
      <c r="LTF7" s="2"/>
      <c r="LTG7" s="2"/>
      <c r="LTH7" s="2"/>
      <c r="LTI7" s="2"/>
      <c r="LTJ7" s="2"/>
      <c r="LTK7" s="2"/>
      <c r="LTL7" s="2"/>
      <c r="LTM7" s="2"/>
      <c r="LTN7" s="2"/>
      <c r="LTO7" s="6"/>
      <c r="LTP7" s="7"/>
      <c r="LTQ7" s="8"/>
      <c r="LTR7" s="9"/>
      <c r="LTS7" s="8"/>
      <c r="LTT7" s="7"/>
      <c r="LTU7" s="9"/>
      <c r="LTV7" s="8"/>
      <c r="LTW7" s="8"/>
      <c r="LTX7" s="7"/>
      <c r="LTY7" s="9"/>
      <c r="LTZ7" s="2"/>
      <c r="LUA7" s="2"/>
      <c r="LUB7" s="2"/>
      <c r="LUC7" s="2"/>
      <c r="LUD7" s="2"/>
      <c r="LUE7" s="2"/>
      <c r="LUF7" s="2"/>
      <c r="LUG7" s="2"/>
      <c r="LUH7" s="2"/>
      <c r="LUI7" s="2"/>
      <c r="LUJ7" s="2"/>
      <c r="LUK7" s="6"/>
      <c r="LUL7" s="7"/>
      <c r="LUM7" s="8"/>
      <c r="LUN7" s="9"/>
      <c r="LUO7" s="8"/>
      <c r="LUP7" s="7"/>
      <c r="LUQ7" s="9"/>
      <c r="LUR7" s="8"/>
      <c r="LUS7" s="8"/>
      <c r="LUT7" s="7"/>
      <c r="LUU7" s="9"/>
      <c r="LUV7" s="2"/>
      <c r="LUW7" s="2"/>
      <c r="LUX7" s="2"/>
      <c r="LUY7" s="2"/>
      <c r="LUZ7" s="2"/>
      <c r="LVA7" s="2"/>
      <c r="LVB7" s="2"/>
      <c r="LVC7" s="2"/>
      <c r="LVD7" s="2"/>
      <c r="LVE7" s="2"/>
      <c r="LVF7" s="2"/>
      <c r="LVG7" s="6"/>
      <c r="LVH7" s="7"/>
      <c r="LVI7" s="8"/>
      <c r="LVJ7" s="9"/>
      <c r="LVK7" s="8"/>
      <c r="LVL7" s="7"/>
      <c r="LVM7" s="9"/>
      <c r="LVN7" s="8"/>
      <c r="LVO7" s="8"/>
      <c r="LVP7" s="7"/>
      <c r="LVQ7" s="9"/>
      <c r="LVR7" s="2"/>
      <c r="LVS7" s="2"/>
      <c r="LVT7" s="2"/>
      <c r="LVU7" s="2"/>
      <c r="LVV7" s="2"/>
      <c r="LVW7" s="2"/>
      <c r="LVX7" s="2"/>
      <c r="LVY7" s="2"/>
      <c r="LVZ7" s="2"/>
      <c r="LWA7" s="2"/>
      <c r="LWB7" s="2"/>
      <c r="LWC7" s="6"/>
      <c r="LWD7" s="7"/>
      <c r="LWE7" s="8"/>
      <c r="LWF7" s="9"/>
      <c r="LWG7" s="8"/>
      <c r="LWH7" s="7"/>
      <c r="LWI7" s="9"/>
      <c r="LWJ7" s="8"/>
      <c r="LWK7" s="8"/>
      <c r="LWL7" s="7"/>
      <c r="LWM7" s="9"/>
      <c r="LWN7" s="2"/>
      <c r="LWO7" s="2"/>
      <c r="LWP7" s="2"/>
      <c r="LWQ7" s="2"/>
      <c r="LWR7" s="2"/>
      <c r="LWS7" s="2"/>
      <c r="LWT7" s="2"/>
      <c r="LWU7" s="2"/>
      <c r="LWV7" s="2"/>
      <c r="LWW7" s="2"/>
      <c r="LWX7" s="2"/>
      <c r="LWY7" s="6"/>
      <c r="LWZ7" s="7"/>
      <c r="LXA7" s="8"/>
      <c r="LXB7" s="9"/>
      <c r="LXC7" s="8"/>
      <c r="LXD7" s="7"/>
      <c r="LXE7" s="9"/>
      <c r="LXF7" s="8"/>
      <c r="LXG7" s="8"/>
      <c r="LXH7" s="7"/>
      <c r="LXI7" s="9"/>
      <c r="LXJ7" s="2"/>
      <c r="LXK7" s="2"/>
      <c r="LXL7" s="2"/>
      <c r="LXM7" s="2"/>
      <c r="LXN7" s="2"/>
      <c r="LXO7" s="2"/>
      <c r="LXP7" s="2"/>
      <c r="LXQ7" s="2"/>
      <c r="LXR7" s="2"/>
      <c r="LXS7" s="2"/>
      <c r="LXT7" s="2"/>
      <c r="LXU7" s="6"/>
      <c r="LXV7" s="7"/>
      <c r="LXW7" s="8"/>
      <c r="LXX7" s="9"/>
      <c r="LXY7" s="8"/>
      <c r="LXZ7" s="7"/>
      <c r="LYA7" s="9"/>
      <c r="LYB7" s="8"/>
      <c r="LYC7" s="8"/>
      <c r="LYD7" s="7"/>
      <c r="LYE7" s="9"/>
      <c r="LYF7" s="2"/>
      <c r="LYG7" s="2"/>
      <c r="LYH7" s="2"/>
      <c r="LYI7" s="2"/>
      <c r="LYJ7" s="2"/>
      <c r="LYK7" s="2"/>
      <c r="LYL7" s="2"/>
      <c r="LYM7" s="2"/>
      <c r="LYN7" s="2"/>
      <c r="LYO7" s="2"/>
      <c r="LYP7" s="2"/>
      <c r="LYQ7" s="6"/>
      <c r="LYR7" s="7"/>
      <c r="LYS7" s="8"/>
      <c r="LYT7" s="9"/>
      <c r="LYU7" s="8"/>
      <c r="LYV7" s="7"/>
      <c r="LYW7" s="9"/>
      <c r="LYX7" s="8"/>
      <c r="LYY7" s="8"/>
      <c r="LYZ7" s="7"/>
      <c r="LZA7" s="9"/>
      <c r="LZB7" s="2"/>
      <c r="LZC7" s="2"/>
      <c r="LZD7" s="2"/>
      <c r="LZE7" s="2"/>
      <c r="LZF7" s="2"/>
      <c r="LZG7" s="2"/>
      <c r="LZH7" s="2"/>
      <c r="LZI7" s="2"/>
      <c r="LZJ7" s="2"/>
      <c r="LZK7" s="2"/>
      <c r="LZL7" s="2"/>
      <c r="LZM7" s="6"/>
      <c r="LZN7" s="7"/>
      <c r="LZO7" s="8"/>
      <c r="LZP7" s="9"/>
      <c r="LZQ7" s="8"/>
      <c r="LZR7" s="7"/>
      <c r="LZS7" s="9"/>
      <c r="LZT7" s="8"/>
      <c r="LZU7" s="8"/>
      <c r="LZV7" s="7"/>
      <c r="LZW7" s="9"/>
      <c r="LZX7" s="2"/>
      <c r="LZY7" s="2"/>
      <c r="LZZ7" s="2"/>
      <c r="MAA7" s="2"/>
      <c r="MAB7" s="2"/>
      <c r="MAC7" s="2"/>
      <c r="MAD7" s="2"/>
      <c r="MAE7" s="2"/>
      <c r="MAF7" s="2"/>
      <c r="MAG7" s="2"/>
      <c r="MAH7" s="2"/>
      <c r="MAI7" s="6"/>
      <c r="MAJ7" s="7"/>
      <c r="MAK7" s="8"/>
      <c r="MAL7" s="9"/>
      <c r="MAM7" s="8"/>
      <c r="MAN7" s="7"/>
      <c r="MAO7" s="9"/>
      <c r="MAP7" s="8"/>
      <c r="MAQ7" s="8"/>
      <c r="MAR7" s="7"/>
      <c r="MAS7" s="9"/>
      <c r="MAT7" s="2"/>
      <c r="MAU7" s="2"/>
      <c r="MAV7" s="2"/>
      <c r="MAW7" s="2"/>
      <c r="MAX7" s="2"/>
      <c r="MAY7" s="2"/>
      <c r="MAZ7" s="2"/>
      <c r="MBA7" s="2"/>
      <c r="MBB7" s="2"/>
      <c r="MBC7" s="2"/>
      <c r="MBD7" s="2"/>
      <c r="MBE7" s="6"/>
      <c r="MBF7" s="7"/>
      <c r="MBG7" s="8"/>
      <c r="MBH7" s="9"/>
      <c r="MBI7" s="8"/>
      <c r="MBJ7" s="7"/>
      <c r="MBK7" s="9"/>
      <c r="MBL7" s="8"/>
      <c r="MBM7" s="8"/>
      <c r="MBN7" s="7"/>
      <c r="MBO7" s="9"/>
      <c r="MBP7" s="2"/>
      <c r="MBQ7" s="2"/>
      <c r="MBR7" s="2"/>
      <c r="MBS7" s="2"/>
      <c r="MBT7" s="2"/>
      <c r="MBU7" s="2"/>
      <c r="MBV7" s="2"/>
      <c r="MBW7" s="2"/>
      <c r="MBX7" s="2"/>
      <c r="MBY7" s="2"/>
      <c r="MBZ7" s="2"/>
      <c r="MCA7" s="6"/>
      <c r="MCB7" s="7"/>
      <c r="MCC7" s="8"/>
      <c r="MCD7" s="9"/>
      <c r="MCE7" s="8"/>
      <c r="MCF7" s="7"/>
      <c r="MCG7" s="9"/>
      <c r="MCH7" s="8"/>
      <c r="MCI7" s="8"/>
      <c r="MCJ7" s="7"/>
      <c r="MCK7" s="9"/>
      <c r="MCL7" s="2"/>
      <c r="MCM7" s="2"/>
      <c r="MCN7" s="2"/>
      <c r="MCO7" s="2"/>
      <c r="MCP7" s="2"/>
      <c r="MCQ7" s="2"/>
      <c r="MCR7" s="2"/>
      <c r="MCS7" s="2"/>
      <c r="MCT7" s="2"/>
      <c r="MCU7" s="2"/>
      <c r="MCV7" s="2"/>
      <c r="MCW7" s="6"/>
      <c r="MCX7" s="7"/>
      <c r="MCY7" s="8"/>
      <c r="MCZ7" s="9"/>
      <c r="MDA7" s="8"/>
      <c r="MDB7" s="7"/>
      <c r="MDC7" s="9"/>
      <c r="MDD7" s="8"/>
      <c r="MDE7" s="8"/>
      <c r="MDF7" s="7"/>
      <c r="MDG7" s="9"/>
      <c r="MDH7" s="2"/>
      <c r="MDI7" s="2"/>
      <c r="MDJ7" s="2"/>
      <c r="MDK7" s="2"/>
      <c r="MDL7" s="2"/>
      <c r="MDM7" s="2"/>
      <c r="MDN7" s="2"/>
      <c r="MDO7" s="2"/>
      <c r="MDP7" s="2"/>
      <c r="MDQ7" s="2"/>
      <c r="MDR7" s="2"/>
      <c r="MDS7" s="6"/>
      <c r="MDT7" s="7"/>
      <c r="MDU7" s="8"/>
      <c r="MDV7" s="9"/>
      <c r="MDW7" s="8"/>
      <c r="MDX7" s="7"/>
      <c r="MDY7" s="9"/>
      <c r="MDZ7" s="8"/>
      <c r="MEA7" s="8"/>
      <c r="MEB7" s="7"/>
      <c r="MEC7" s="9"/>
      <c r="MED7" s="2"/>
      <c r="MEE7" s="2"/>
      <c r="MEF7" s="2"/>
      <c r="MEG7" s="2"/>
      <c r="MEH7" s="2"/>
      <c r="MEI7" s="2"/>
      <c r="MEJ7" s="2"/>
      <c r="MEK7" s="2"/>
      <c r="MEL7" s="2"/>
      <c r="MEM7" s="2"/>
      <c r="MEN7" s="2"/>
      <c r="MEO7" s="6"/>
      <c r="MEP7" s="7"/>
      <c r="MEQ7" s="8"/>
      <c r="MER7" s="9"/>
      <c r="MES7" s="8"/>
      <c r="MET7" s="7"/>
      <c r="MEU7" s="9"/>
      <c r="MEV7" s="8"/>
      <c r="MEW7" s="8"/>
      <c r="MEX7" s="7"/>
      <c r="MEY7" s="9"/>
      <c r="MEZ7" s="2"/>
      <c r="MFA7" s="2"/>
      <c r="MFB7" s="2"/>
      <c r="MFC7" s="2"/>
      <c r="MFD7" s="2"/>
      <c r="MFE7" s="2"/>
      <c r="MFF7" s="2"/>
      <c r="MFG7" s="2"/>
      <c r="MFH7" s="2"/>
      <c r="MFI7" s="2"/>
      <c r="MFJ7" s="2"/>
      <c r="MFK7" s="6"/>
      <c r="MFL7" s="7"/>
      <c r="MFM7" s="8"/>
      <c r="MFN7" s="9"/>
      <c r="MFO7" s="8"/>
      <c r="MFP7" s="7"/>
      <c r="MFQ7" s="9"/>
      <c r="MFR7" s="8"/>
      <c r="MFS7" s="8"/>
      <c r="MFT7" s="7"/>
      <c r="MFU7" s="9"/>
      <c r="MFV7" s="2"/>
      <c r="MFW7" s="2"/>
      <c r="MFX7" s="2"/>
      <c r="MFY7" s="2"/>
      <c r="MFZ7" s="2"/>
      <c r="MGA7" s="2"/>
      <c r="MGB7" s="2"/>
      <c r="MGC7" s="2"/>
      <c r="MGD7" s="2"/>
      <c r="MGE7" s="2"/>
      <c r="MGF7" s="2"/>
      <c r="MGG7" s="6"/>
      <c r="MGH7" s="7"/>
      <c r="MGI7" s="8"/>
      <c r="MGJ7" s="9"/>
      <c r="MGK7" s="8"/>
      <c r="MGL7" s="7"/>
      <c r="MGM7" s="9"/>
      <c r="MGN7" s="8"/>
      <c r="MGO7" s="8"/>
      <c r="MGP7" s="7"/>
      <c r="MGQ7" s="9"/>
      <c r="MGR7" s="2"/>
      <c r="MGS7" s="2"/>
      <c r="MGT7" s="2"/>
      <c r="MGU7" s="2"/>
      <c r="MGV7" s="2"/>
      <c r="MGW7" s="2"/>
      <c r="MGX7" s="2"/>
      <c r="MGY7" s="2"/>
      <c r="MGZ7" s="2"/>
      <c r="MHA7" s="2"/>
      <c r="MHB7" s="2"/>
      <c r="MHC7" s="6"/>
      <c r="MHD7" s="7"/>
      <c r="MHE7" s="8"/>
      <c r="MHF7" s="9"/>
      <c r="MHG7" s="8"/>
      <c r="MHH7" s="7"/>
      <c r="MHI7" s="9"/>
      <c r="MHJ7" s="8"/>
      <c r="MHK7" s="8"/>
      <c r="MHL7" s="7"/>
      <c r="MHM7" s="9"/>
      <c r="MHN7" s="2"/>
      <c r="MHO7" s="2"/>
      <c r="MHP7" s="2"/>
      <c r="MHQ7" s="2"/>
      <c r="MHR7" s="2"/>
      <c r="MHS7" s="2"/>
      <c r="MHT7" s="2"/>
      <c r="MHU7" s="2"/>
      <c r="MHV7" s="2"/>
      <c r="MHW7" s="2"/>
      <c r="MHX7" s="2"/>
      <c r="MHY7" s="6"/>
      <c r="MHZ7" s="7"/>
      <c r="MIA7" s="8"/>
      <c r="MIB7" s="9"/>
      <c r="MIC7" s="8"/>
      <c r="MID7" s="7"/>
      <c r="MIE7" s="9"/>
      <c r="MIF7" s="8"/>
      <c r="MIG7" s="8"/>
      <c r="MIH7" s="7"/>
      <c r="MII7" s="9"/>
      <c r="MIJ7" s="2"/>
      <c r="MIK7" s="2"/>
      <c r="MIL7" s="2"/>
      <c r="MIM7" s="2"/>
      <c r="MIN7" s="2"/>
      <c r="MIO7" s="2"/>
      <c r="MIP7" s="2"/>
      <c r="MIQ7" s="2"/>
      <c r="MIR7" s="2"/>
      <c r="MIS7" s="2"/>
      <c r="MIT7" s="2"/>
      <c r="MIU7" s="6"/>
      <c r="MIV7" s="7"/>
      <c r="MIW7" s="8"/>
      <c r="MIX7" s="9"/>
      <c r="MIY7" s="8"/>
      <c r="MIZ7" s="7"/>
      <c r="MJA7" s="9"/>
      <c r="MJB7" s="8"/>
      <c r="MJC7" s="8"/>
      <c r="MJD7" s="7"/>
      <c r="MJE7" s="9"/>
      <c r="MJF7" s="2"/>
      <c r="MJG7" s="2"/>
      <c r="MJH7" s="2"/>
      <c r="MJI7" s="2"/>
      <c r="MJJ7" s="2"/>
      <c r="MJK7" s="2"/>
      <c r="MJL7" s="2"/>
      <c r="MJM7" s="2"/>
      <c r="MJN7" s="2"/>
      <c r="MJO7" s="2"/>
      <c r="MJP7" s="2"/>
      <c r="MJQ7" s="6"/>
      <c r="MJR7" s="7"/>
      <c r="MJS7" s="8"/>
      <c r="MJT7" s="9"/>
      <c r="MJU7" s="8"/>
      <c r="MJV7" s="7"/>
      <c r="MJW7" s="9"/>
      <c r="MJX7" s="8"/>
      <c r="MJY7" s="8"/>
      <c r="MJZ7" s="7"/>
      <c r="MKA7" s="9"/>
      <c r="MKB7" s="2"/>
      <c r="MKC7" s="2"/>
      <c r="MKD7" s="2"/>
      <c r="MKE7" s="2"/>
      <c r="MKF7" s="2"/>
      <c r="MKG7" s="2"/>
      <c r="MKH7" s="2"/>
      <c r="MKI7" s="2"/>
      <c r="MKJ7" s="2"/>
      <c r="MKK7" s="2"/>
      <c r="MKL7" s="2"/>
      <c r="MKM7" s="6"/>
      <c r="MKN7" s="7"/>
      <c r="MKO7" s="8"/>
      <c r="MKP7" s="9"/>
      <c r="MKQ7" s="8"/>
      <c r="MKR7" s="7"/>
      <c r="MKS7" s="9"/>
      <c r="MKT7" s="8"/>
      <c r="MKU7" s="8"/>
      <c r="MKV7" s="7"/>
      <c r="MKW7" s="9"/>
      <c r="MKX7" s="2"/>
      <c r="MKY7" s="2"/>
      <c r="MKZ7" s="2"/>
      <c r="MLA7" s="2"/>
      <c r="MLB7" s="2"/>
      <c r="MLC7" s="2"/>
      <c r="MLD7" s="2"/>
      <c r="MLE7" s="2"/>
      <c r="MLF7" s="2"/>
      <c r="MLG7" s="2"/>
      <c r="MLH7" s="2"/>
      <c r="MLI7" s="6"/>
      <c r="MLJ7" s="7"/>
      <c r="MLK7" s="8"/>
      <c r="MLL7" s="9"/>
      <c r="MLM7" s="8"/>
      <c r="MLN7" s="7"/>
      <c r="MLO7" s="9"/>
      <c r="MLP7" s="8"/>
      <c r="MLQ7" s="8"/>
      <c r="MLR7" s="7"/>
      <c r="MLS7" s="9"/>
      <c r="MLT7" s="2"/>
      <c r="MLU7" s="2"/>
      <c r="MLV7" s="2"/>
      <c r="MLW7" s="2"/>
      <c r="MLX7" s="2"/>
      <c r="MLY7" s="2"/>
      <c r="MLZ7" s="2"/>
      <c r="MMA7" s="2"/>
      <c r="MMB7" s="2"/>
      <c r="MMC7" s="2"/>
      <c r="MMD7" s="2"/>
      <c r="MME7" s="6"/>
      <c r="MMF7" s="7"/>
      <c r="MMG7" s="8"/>
      <c r="MMH7" s="9"/>
      <c r="MMI7" s="8"/>
      <c r="MMJ7" s="7"/>
      <c r="MMK7" s="9"/>
      <c r="MML7" s="8"/>
      <c r="MMM7" s="8"/>
      <c r="MMN7" s="7"/>
      <c r="MMO7" s="9"/>
      <c r="MMP7" s="2"/>
      <c r="MMQ7" s="2"/>
      <c r="MMR7" s="2"/>
      <c r="MMS7" s="2"/>
      <c r="MMT7" s="2"/>
      <c r="MMU7" s="2"/>
      <c r="MMV7" s="2"/>
      <c r="MMW7" s="2"/>
      <c r="MMX7" s="2"/>
      <c r="MMY7" s="2"/>
      <c r="MMZ7" s="2"/>
      <c r="MNA7" s="6"/>
      <c r="MNB7" s="7"/>
      <c r="MNC7" s="8"/>
      <c r="MND7" s="9"/>
      <c r="MNE7" s="8"/>
      <c r="MNF7" s="7"/>
      <c r="MNG7" s="9"/>
      <c r="MNH7" s="8"/>
      <c r="MNI7" s="8"/>
      <c r="MNJ7" s="7"/>
      <c r="MNK7" s="9"/>
      <c r="MNL7" s="2"/>
      <c r="MNM7" s="2"/>
      <c r="MNN7" s="2"/>
      <c r="MNO7" s="2"/>
      <c r="MNP7" s="2"/>
      <c r="MNQ7" s="2"/>
      <c r="MNR7" s="2"/>
      <c r="MNS7" s="2"/>
      <c r="MNT7" s="2"/>
      <c r="MNU7" s="2"/>
      <c r="MNV7" s="2"/>
      <c r="MNW7" s="6"/>
      <c r="MNX7" s="7"/>
      <c r="MNY7" s="8"/>
      <c r="MNZ7" s="9"/>
      <c r="MOA7" s="8"/>
      <c r="MOB7" s="7"/>
      <c r="MOC7" s="9"/>
      <c r="MOD7" s="8"/>
      <c r="MOE7" s="8"/>
      <c r="MOF7" s="7"/>
      <c r="MOG7" s="9"/>
      <c r="MOH7" s="2"/>
      <c r="MOI7" s="2"/>
      <c r="MOJ7" s="2"/>
      <c r="MOK7" s="2"/>
      <c r="MOL7" s="2"/>
      <c r="MOM7" s="2"/>
      <c r="MON7" s="2"/>
      <c r="MOO7" s="2"/>
      <c r="MOP7" s="2"/>
      <c r="MOQ7" s="2"/>
      <c r="MOR7" s="2"/>
      <c r="MOS7" s="6"/>
      <c r="MOT7" s="7"/>
      <c r="MOU7" s="8"/>
      <c r="MOV7" s="9"/>
      <c r="MOW7" s="8"/>
      <c r="MOX7" s="7"/>
      <c r="MOY7" s="9"/>
      <c r="MOZ7" s="8"/>
      <c r="MPA7" s="8"/>
      <c r="MPB7" s="7"/>
      <c r="MPC7" s="9"/>
      <c r="MPD7" s="2"/>
      <c r="MPE7" s="2"/>
      <c r="MPF7" s="2"/>
      <c r="MPG7" s="2"/>
      <c r="MPH7" s="2"/>
      <c r="MPI7" s="2"/>
      <c r="MPJ7" s="2"/>
      <c r="MPK7" s="2"/>
      <c r="MPL7" s="2"/>
      <c r="MPM7" s="2"/>
      <c r="MPN7" s="2"/>
      <c r="MPO7" s="6"/>
      <c r="MPP7" s="7"/>
      <c r="MPQ7" s="8"/>
      <c r="MPR7" s="9"/>
      <c r="MPS7" s="8"/>
      <c r="MPT7" s="7"/>
      <c r="MPU7" s="9"/>
      <c r="MPV7" s="8"/>
      <c r="MPW7" s="8"/>
      <c r="MPX7" s="7"/>
      <c r="MPY7" s="9"/>
      <c r="MPZ7" s="2"/>
      <c r="MQA7" s="2"/>
      <c r="MQB7" s="2"/>
      <c r="MQC7" s="2"/>
      <c r="MQD7" s="2"/>
      <c r="MQE7" s="2"/>
      <c r="MQF7" s="2"/>
      <c r="MQG7" s="2"/>
      <c r="MQH7" s="2"/>
      <c r="MQI7" s="2"/>
      <c r="MQJ7" s="2"/>
      <c r="MQK7" s="6"/>
      <c r="MQL7" s="7"/>
      <c r="MQM7" s="8"/>
      <c r="MQN7" s="9"/>
      <c r="MQO7" s="8"/>
      <c r="MQP7" s="7"/>
      <c r="MQQ7" s="9"/>
      <c r="MQR7" s="8"/>
      <c r="MQS7" s="8"/>
      <c r="MQT7" s="7"/>
      <c r="MQU7" s="9"/>
      <c r="MQV7" s="2"/>
      <c r="MQW7" s="2"/>
      <c r="MQX7" s="2"/>
      <c r="MQY7" s="2"/>
      <c r="MQZ7" s="2"/>
      <c r="MRA7" s="2"/>
      <c r="MRB7" s="2"/>
      <c r="MRC7" s="2"/>
      <c r="MRD7" s="2"/>
      <c r="MRE7" s="2"/>
      <c r="MRF7" s="2"/>
      <c r="MRG7" s="6"/>
      <c r="MRH7" s="7"/>
      <c r="MRI7" s="8"/>
      <c r="MRJ7" s="9"/>
      <c r="MRK7" s="8"/>
      <c r="MRL7" s="7"/>
      <c r="MRM7" s="9"/>
      <c r="MRN7" s="8"/>
      <c r="MRO7" s="8"/>
      <c r="MRP7" s="7"/>
      <c r="MRQ7" s="9"/>
      <c r="MRR7" s="2"/>
      <c r="MRS7" s="2"/>
      <c r="MRT7" s="2"/>
      <c r="MRU7" s="2"/>
      <c r="MRV7" s="2"/>
      <c r="MRW7" s="2"/>
      <c r="MRX7" s="2"/>
      <c r="MRY7" s="2"/>
      <c r="MRZ7" s="2"/>
      <c r="MSA7" s="2"/>
      <c r="MSB7" s="2"/>
      <c r="MSC7" s="6"/>
      <c r="MSD7" s="7"/>
      <c r="MSE7" s="8"/>
      <c r="MSF7" s="9"/>
      <c r="MSG7" s="8"/>
      <c r="MSH7" s="7"/>
      <c r="MSI7" s="9"/>
      <c r="MSJ7" s="8"/>
      <c r="MSK7" s="8"/>
      <c r="MSL7" s="7"/>
      <c r="MSM7" s="9"/>
      <c r="MSN7" s="2"/>
      <c r="MSO7" s="2"/>
      <c r="MSP7" s="2"/>
      <c r="MSQ7" s="2"/>
      <c r="MSR7" s="2"/>
      <c r="MSS7" s="2"/>
      <c r="MST7" s="2"/>
      <c r="MSU7" s="2"/>
      <c r="MSV7" s="2"/>
      <c r="MSW7" s="2"/>
      <c r="MSX7" s="2"/>
      <c r="MSY7" s="6"/>
      <c r="MSZ7" s="7"/>
      <c r="MTA7" s="8"/>
      <c r="MTB7" s="9"/>
      <c r="MTC7" s="8"/>
      <c r="MTD7" s="7"/>
      <c r="MTE7" s="9"/>
      <c r="MTF7" s="8"/>
      <c r="MTG7" s="8"/>
      <c r="MTH7" s="7"/>
      <c r="MTI7" s="9"/>
      <c r="MTJ7" s="2"/>
      <c r="MTK7" s="2"/>
      <c r="MTL7" s="2"/>
      <c r="MTM7" s="2"/>
      <c r="MTN7" s="2"/>
      <c r="MTO7" s="2"/>
      <c r="MTP7" s="2"/>
      <c r="MTQ7" s="2"/>
      <c r="MTR7" s="2"/>
      <c r="MTS7" s="2"/>
      <c r="MTT7" s="2"/>
      <c r="MTU7" s="6"/>
      <c r="MTV7" s="7"/>
      <c r="MTW7" s="8"/>
      <c r="MTX7" s="9"/>
      <c r="MTY7" s="8"/>
      <c r="MTZ7" s="7"/>
      <c r="MUA7" s="9"/>
      <c r="MUB7" s="8"/>
      <c r="MUC7" s="8"/>
      <c r="MUD7" s="7"/>
      <c r="MUE7" s="9"/>
      <c r="MUF7" s="2"/>
      <c r="MUG7" s="2"/>
      <c r="MUH7" s="2"/>
      <c r="MUI7" s="2"/>
      <c r="MUJ7" s="2"/>
      <c r="MUK7" s="2"/>
      <c r="MUL7" s="2"/>
      <c r="MUM7" s="2"/>
      <c r="MUN7" s="2"/>
      <c r="MUO7" s="2"/>
      <c r="MUP7" s="2"/>
      <c r="MUQ7" s="6"/>
      <c r="MUR7" s="7"/>
      <c r="MUS7" s="8"/>
      <c r="MUT7" s="9"/>
      <c r="MUU7" s="8"/>
      <c r="MUV7" s="7"/>
      <c r="MUW7" s="9"/>
      <c r="MUX7" s="8"/>
      <c r="MUY7" s="8"/>
      <c r="MUZ7" s="7"/>
      <c r="MVA7" s="9"/>
      <c r="MVB7" s="2"/>
      <c r="MVC7" s="2"/>
      <c r="MVD7" s="2"/>
      <c r="MVE7" s="2"/>
      <c r="MVF7" s="2"/>
      <c r="MVG7" s="2"/>
      <c r="MVH7" s="2"/>
      <c r="MVI7" s="2"/>
      <c r="MVJ7" s="2"/>
      <c r="MVK7" s="2"/>
      <c r="MVL7" s="2"/>
      <c r="MVM7" s="6"/>
      <c r="MVN7" s="7"/>
      <c r="MVO7" s="8"/>
      <c r="MVP7" s="9"/>
      <c r="MVQ7" s="8"/>
      <c r="MVR7" s="7"/>
      <c r="MVS7" s="9"/>
      <c r="MVT7" s="8"/>
      <c r="MVU7" s="8"/>
      <c r="MVV7" s="7"/>
      <c r="MVW7" s="9"/>
      <c r="MVX7" s="2"/>
      <c r="MVY7" s="2"/>
      <c r="MVZ7" s="2"/>
      <c r="MWA7" s="2"/>
      <c r="MWB7" s="2"/>
      <c r="MWC7" s="2"/>
      <c r="MWD7" s="2"/>
      <c r="MWE7" s="2"/>
      <c r="MWF7" s="2"/>
      <c r="MWG7" s="2"/>
      <c r="MWH7" s="2"/>
      <c r="MWI7" s="6"/>
      <c r="MWJ7" s="7"/>
      <c r="MWK7" s="8"/>
      <c r="MWL7" s="9"/>
      <c r="MWM7" s="8"/>
      <c r="MWN7" s="7"/>
      <c r="MWO7" s="9"/>
      <c r="MWP7" s="8"/>
      <c r="MWQ7" s="8"/>
      <c r="MWR7" s="7"/>
      <c r="MWS7" s="9"/>
      <c r="MWT7" s="2"/>
      <c r="MWU7" s="2"/>
      <c r="MWV7" s="2"/>
      <c r="MWW7" s="2"/>
      <c r="MWX7" s="2"/>
      <c r="MWY7" s="2"/>
      <c r="MWZ7" s="2"/>
      <c r="MXA7" s="2"/>
      <c r="MXB7" s="2"/>
      <c r="MXC7" s="2"/>
      <c r="MXD7" s="2"/>
      <c r="MXE7" s="6"/>
      <c r="MXF7" s="7"/>
      <c r="MXG7" s="8"/>
      <c r="MXH7" s="9"/>
      <c r="MXI7" s="8"/>
      <c r="MXJ7" s="7"/>
      <c r="MXK7" s="9"/>
      <c r="MXL7" s="8"/>
      <c r="MXM7" s="8"/>
      <c r="MXN7" s="7"/>
      <c r="MXO7" s="9"/>
      <c r="MXP7" s="2"/>
      <c r="MXQ7" s="2"/>
      <c r="MXR7" s="2"/>
      <c r="MXS7" s="2"/>
      <c r="MXT7" s="2"/>
      <c r="MXU7" s="2"/>
      <c r="MXV7" s="2"/>
      <c r="MXW7" s="2"/>
      <c r="MXX7" s="2"/>
      <c r="MXY7" s="2"/>
      <c r="MXZ7" s="2"/>
      <c r="MYA7" s="6"/>
      <c r="MYB7" s="7"/>
      <c r="MYC7" s="8"/>
      <c r="MYD7" s="9"/>
      <c r="MYE7" s="8"/>
      <c r="MYF7" s="7"/>
      <c r="MYG7" s="9"/>
      <c r="MYH7" s="8"/>
      <c r="MYI7" s="8"/>
      <c r="MYJ7" s="7"/>
      <c r="MYK7" s="9"/>
      <c r="MYL7" s="2"/>
      <c r="MYM7" s="2"/>
      <c r="MYN7" s="2"/>
      <c r="MYO7" s="2"/>
      <c r="MYP7" s="2"/>
      <c r="MYQ7" s="2"/>
      <c r="MYR7" s="2"/>
      <c r="MYS7" s="2"/>
      <c r="MYT7" s="2"/>
      <c r="MYU7" s="2"/>
      <c r="MYV7" s="2"/>
      <c r="MYW7" s="6"/>
      <c r="MYX7" s="7"/>
      <c r="MYY7" s="8"/>
      <c r="MYZ7" s="9"/>
      <c r="MZA7" s="8"/>
      <c r="MZB7" s="7"/>
      <c r="MZC7" s="9"/>
      <c r="MZD7" s="8"/>
      <c r="MZE7" s="8"/>
      <c r="MZF7" s="7"/>
      <c r="MZG7" s="9"/>
      <c r="MZH7" s="2"/>
      <c r="MZI7" s="2"/>
      <c r="MZJ7" s="2"/>
      <c r="MZK7" s="2"/>
      <c r="MZL7" s="2"/>
      <c r="MZM7" s="2"/>
      <c r="MZN7" s="2"/>
      <c r="MZO7" s="2"/>
      <c r="MZP7" s="2"/>
      <c r="MZQ7" s="2"/>
      <c r="MZR7" s="2"/>
      <c r="MZS7" s="6"/>
      <c r="MZT7" s="7"/>
      <c r="MZU7" s="8"/>
      <c r="MZV7" s="9"/>
      <c r="MZW7" s="8"/>
      <c r="MZX7" s="7"/>
      <c r="MZY7" s="9"/>
      <c r="MZZ7" s="8"/>
      <c r="NAA7" s="8"/>
      <c r="NAB7" s="7"/>
      <c r="NAC7" s="9"/>
      <c r="NAD7" s="2"/>
      <c r="NAE7" s="2"/>
      <c r="NAF7" s="2"/>
      <c r="NAG7" s="2"/>
      <c r="NAH7" s="2"/>
      <c r="NAI7" s="2"/>
      <c r="NAJ7" s="2"/>
      <c r="NAK7" s="2"/>
      <c r="NAL7" s="2"/>
      <c r="NAM7" s="2"/>
      <c r="NAN7" s="2"/>
      <c r="NAO7" s="6"/>
      <c r="NAP7" s="7"/>
      <c r="NAQ7" s="8"/>
      <c r="NAR7" s="9"/>
      <c r="NAS7" s="8"/>
      <c r="NAT7" s="7"/>
      <c r="NAU7" s="9"/>
      <c r="NAV7" s="8"/>
      <c r="NAW7" s="8"/>
      <c r="NAX7" s="7"/>
      <c r="NAY7" s="9"/>
      <c r="NAZ7" s="2"/>
      <c r="NBA7" s="2"/>
      <c r="NBB7" s="2"/>
      <c r="NBC7" s="2"/>
      <c r="NBD7" s="2"/>
      <c r="NBE7" s="2"/>
      <c r="NBF7" s="2"/>
      <c r="NBG7" s="2"/>
      <c r="NBH7" s="2"/>
      <c r="NBI7" s="2"/>
      <c r="NBJ7" s="2"/>
      <c r="NBK7" s="6"/>
      <c r="NBL7" s="7"/>
      <c r="NBM7" s="8"/>
      <c r="NBN7" s="9"/>
      <c r="NBO7" s="8"/>
      <c r="NBP7" s="7"/>
      <c r="NBQ7" s="9"/>
      <c r="NBR7" s="8"/>
      <c r="NBS7" s="8"/>
      <c r="NBT7" s="7"/>
      <c r="NBU7" s="9"/>
      <c r="NBV7" s="2"/>
      <c r="NBW7" s="2"/>
      <c r="NBX7" s="2"/>
      <c r="NBY7" s="2"/>
      <c r="NBZ7" s="2"/>
      <c r="NCA7" s="2"/>
      <c r="NCB7" s="2"/>
      <c r="NCC7" s="2"/>
      <c r="NCD7" s="2"/>
      <c r="NCE7" s="2"/>
      <c r="NCF7" s="2"/>
      <c r="NCG7" s="6"/>
      <c r="NCH7" s="7"/>
      <c r="NCI7" s="8"/>
      <c r="NCJ7" s="9"/>
      <c r="NCK7" s="8"/>
      <c r="NCL7" s="7"/>
      <c r="NCM7" s="9"/>
      <c r="NCN7" s="8"/>
      <c r="NCO7" s="8"/>
      <c r="NCP7" s="7"/>
      <c r="NCQ7" s="9"/>
      <c r="NCR7" s="2"/>
      <c r="NCS7" s="2"/>
      <c r="NCT7" s="2"/>
      <c r="NCU7" s="2"/>
      <c r="NCV7" s="2"/>
      <c r="NCW7" s="2"/>
      <c r="NCX7" s="2"/>
      <c r="NCY7" s="2"/>
      <c r="NCZ7" s="2"/>
      <c r="NDA7" s="2"/>
      <c r="NDB7" s="2"/>
      <c r="NDC7" s="6"/>
      <c r="NDD7" s="7"/>
      <c r="NDE7" s="8"/>
      <c r="NDF7" s="9"/>
      <c r="NDG7" s="8"/>
      <c r="NDH7" s="7"/>
      <c r="NDI7" s="9"/>
      <c r="NDJ7" s="8"/>
      <c r="NDK7" s="8"/>
      <c r="NDL7" s="7"/>
      <c r="NDM7" s="9"/>
      <c r="NDN7" s="2"/>
      <c r="NDO7" s="2"/>
      <c r="NDP7" s="2"/>
      <c r="NDQ7" s="2"/>
      <c r="NDR7" s="2"/>
      <c r="NDS7" s="2"/>
      <c r="NDT7" s="2"/>
      <c r="NDU7" s="2"/>
      <c r="NDV7" s="2"/>
      <c r="NDW7" s="2"/>
      <c r="NDX7" s="2"/>
      <c r="NDY7" s="6"/>
      <c r="NDZ7" s="7"/>
      <c r="NEA7" s="8"/>
      <c r="NEB7" s="9"/>
      <c r="NEC7" s="8"/>
      <c r="NED7" s="7"/>
      <c r="NEE7" s="9"/>
      <c r="NEF7" s="8"/>
      <c r="NEG7" s="8"/>
      <c r="NEH7" s="7"/>
      <c r="NEI7" s="9"/>
      <c r="NEJ7" s="2"/>
      <c r="NEK7" s="2"/>
      <c r="NEL7" s="2"/>
      <c r="NEM7" s="2"/>
      <c r="NEN7" s="2"/>
      <c r="NEO7" s="2"/>
      <c r="NEP7" s="2"/>
      <c r="NEQ7" s="2"/>
      <c r="NER7" s="2"/>
      <c r="NES7" s="2"/>
      <c r="NET7" s="2"/>
      <c r="NEU7" s="6"/>
      <c r="NEV7" s="7"/>
      <c r="NEW7" s="8"/>
      <c r="NEX7" s="9"/>
      <c r="NEY7" s="8"/>
      <c r="NEZ7" s="7"/>
      <c r="NFA7" s="9"/>
      <c r="NFB7" s="8"/>
      <c r="NFC7" s="8"/>
      <c r="NFD7" s="7"/>
      <c r="NFE7" s="9"/>
      <c r="NFF7" s="2"/>
      <c r="NFG7" s="2"/>
      <c r="NFH7" s="2"/>
      <c r="NFI7" s="2"/>
      <c r="NFJ7" s="2"/>
      <c r="NFK7" s="2"/>
      <c r="NFL7" s="2"/>
      <c r="NFM7" s="2"/>
      <c r="NFN7" s="2"/>
      <c r="NFO7" s="2"/>
      <c r="NFP7" s="2"/>
      <c r="NFQ7" s="6"/>
      <c r="NFR7" s="7"/>
      <c r="NFS7" s="8"/>
      <c r="NFT7" s="9"/>
      <c r="NFU7" s="8"/>
      <c r="NFV7" s="7"/>
      <c r="NFW7" s="9"/>
      <c r="NFX7" s="8"/>
      <c r="NFY7" s="8"/>
      <c r="NFZ7" s="7"/>
      <c r="NGA7" s="9"/>
      <c r="NGB7" s="2"/>
      <c r="NGC7" s="2"/>
      <c r="NGD7" s="2"/>
      <c r="NGE7" s="2"/>
      <c r="NGF7" s="2"/>
      <c r="NGG7" s="2"/>
      <c r="NGH7" s="2"/>
      <c r="NGI7" s="2"/>
      <c r="NGJ7" s="2"/>
      <c r="NGK7" s="2"/>
      <c r="NGL7" s="2"/>
      <c r="NGM7" s="6"/>
      <c r="NGN7" s="7"/>
      <c r="NGO7" s="8"/>
      <c r="NGP7" s="9"/>
      <c r="NGQ7" s="8"/>
      <c r="NGR7" s="7"/>
      <c r="NGS7" s="9"/>
      <c r="NGT7" s="8"/>
      <c r="NGU7" s="8"/>
      <c r="NGV7" s="7"/>
      <c r="NGW7" s="9"/>
      <c r="NGX7" s="2"/>
      <c r="NGY7" s="2"/>
      <c r="NGZ7" s="2"/>
      <c r="NHA7" s="2"/>
      <c r="NHB7" s="2"/>
      <c r="NHC7" s="2"/>
      <c r="NHD7" s="2"/>
      <c r="NHE7" s="2"/>
      <c r="NHF7" s="2"/>
      <c r="NHG7" s="2"/>
      <c r="NHH7" s="2"/>
      <c r="NHI7" s="6"/>
      <c r="NHJ7" s="7"/>
      <c r="NHK7" s="8"/>
      <c r="NHL7" s="9"/>
      <c r="NHM7" s="8"/>
      <c r="NHN7" s="7"/>
      <c r="NHO7" s="9"/>
      <c r="NHP7" s="8"/>
      <c r="NHQ7" s="8"/>
      <c r="NHR7" s="7"/>
      <c r="NHS7" s="9"/>
      <c r="NHT7" s="2"/>
      <c r="NHU7" s="2"/>
      <c r="NHV7" s="2"/>
      <c r="NHW7" s="2"/>
      <c r="NHX7" s="2"/>
      <c r="NHY7" s="2"/>
      <c r="NHZ7" s="2"/>
      <c r="NIA7" s="2"/>
      <c r="NIB7" s="2"/>
      <c r="NIC7" s="2"/>
      <c r="NID7" s="2"/>
      <c r="NIE7" s="6"/>
      <c r="NIF7" s="7"/>
      <c r="NIG7" s="8"/>
      <c r="NIH7" s="9"/>
      <c r="NII7" s="8"/>
      <c r="NIJ7" s="7"/>
      <c r="NIK7" s="9"/>
      <c r="NIL7" s="8"/>
      <c r="NIM7" s="8"/>
      <c r="NIN7" s="7"/>
      <c r="NIO7" s="9"/>
      <c r="NIP7" s="2"/>
      <c r="NIQ7" s="2"/>
      <c r="NIR7" s="2"/>
      <c r="NIS7" s="2"/>
      <c r="NIT7" s="2"/>
      <c r="NIU7" s="2"/>
      <c r="NIV7" s="2"/>
      <c r="NIW7" s="2"/>
      <c r="NIX7" s="2"/>
      <c r="NIY7" s="2"/>
      <c r="NIZ7" s="2"/>
      <c r="NJA7" s="6"/>
      <c r="NJB7" s="7"/>
      <c r="NJC7" s="8"/>
      <c r="NJD7" s="9"/>
      <c r="NJE7" s="8"/>
      <c r="NJF7" s="7"/>
      <c r="NJG7" s="9"/>
      <c r="NJH7" s="8"/>
      <c r="NJI7" s="8"/>
      <c r="NJJ7" s="7"/>
      <c r="NJK7" s="9"/>
      <c r="NJL7" s="2"/>
      <c r="NJM7" s="2"/>
      <c r="NJN7" s="2"/>
      <c r="NJO7" s="2"/>
      <c r="NJP7" s="2"/>
      <c r="NJQ7" s="2"/>
      <c r="NJR7" s="2"/>
      <c r="NJS7" s="2"/>
      <c r="NJT7" s="2"/>
      <c r="NJU7" s="2"/>
      <c r="NJV7" s="2"/>
      <c r="NJW7" s="6"/>
      <c r="NJX7" s="7"/>
      <c r="NJY7" s="8"/>
      <c r="NJZ7" s="9"/>
      <c r="NKA7" s="8"/>
      <c r="NKB7" s="7"/>
      <c r="NKC7" s="9"/>
      <c r="NKD7" s="8"/>
      <c r="NKE7" s="8"/>
      <c r="NKF7" s="7"/>
      <c r="NKG7" s="9"/>
      <c r="NKH7" s="2"/>
      <c r="NKI7" s="2"/>
      <c r="NKJ7" s="2"/>
      <c r="NKK7" s="2"/>
      <c r="NKL7" s="2"/>
      <c r="NKM7" s="2"/>
      <c r="NKN7" s="2"/>
      <c r="NKO7" s="2"/>
      <c r="NKP7" s="2"/>
      <c r="NKQ7" s="2"/>
      <c r="NKR7" s="2"/>
      <c r="NKS7" s="6"/>
      <c r="NKT7" s="7"/>
      <c r="NKU7" s="8"/>
      <c r="NKV7" s="9"/>
      <c r="NKW7" s="8"/>
      <c r="NKX7" s="7"/>
      <c r="NKY7" s="9"/>
      <c r="NKZ7" s="8"/>
      <c r="NLA7" s="8"/>
      <c r="NLB7" s="7"/>
      <c r="NLC7" s="9"/>
      <c r="NLD7" s="2"/>
      <c r="NLE7" s="2"/>
      <c r="NLF7" s="2"/>
      <c r="NLG7" s="2"/>
      <c r="NLH7" s="2"/>
      <c r="NLI7" s="2"/>
      <c r="NLJ7" s="2"/>
      <c r="NLK7" s="2"/>
      <c r="NLL7" s="2"/>
      <c r="NLM7" s="2"/>
      <c r="NLN7" s="2"/>
      <c r="NLO7" s="6"/>
      <c r="NLP7" s="7"/>
      <c r="NLQ7" s="8"/>
      <c r="NLR7" s="9"/>
      <c r="NLS7" s="8"/>
      <c r="NLT7" s="7"/>
      <c r="NLU7" s="9"/>
      <c r="NLV7" s="8"/>
      <c r="NLW7" s="8"/>
      <c r="NLX7" s="7"/>
      <c r="NLY7" s="9"/>
      <c r="NLZ7" s="2"/>
      <c r="NMA7" s="2"/>
      <c r="NMB7" s="2"/>
      <c r="NMC7" s="2"/>
      <c r="NMD7" s="2"/>
      <c r="NME7" s="2"/>
      <c r="NMF7" s="2"/>
      <c r="NMG7" s="2"/>
      <c r="NMH7" s="2"/>
      <c r="NMI7" s="2"/>
      <c r="NMJ7" s="2"/>
      <c r="NMK7" s="6"/>
      <c r="NML7" s="7"/>
      <c r="NMM7" s="8"/>
      <c r="NMN7" s="9"/>
      <c r="NMO7" s="8"/>
      <c r="NMP7" s="7"/>
      <c r="NMQ7" s="9"/>
      <c r="NMR7" s="8"/>
      <c r="NMS7" s="8"/>
      <c r="NMT7" s="7"/>
      <c r="NMU7" s="9"/>
      <c r="NMV7" s="2"/>
      <c r="NMW7" s="2"/>
      <c r="NMX7" s="2"/>
      <c r="NMY7" s="2"/>
      <c r="NMZ7" s="2"/>
      <c r="NNA7" s="2"/>
      <c r="NNB7" s="2"/>
      <c r="NNC7" s="2"/>
      <c r="NND7" s="2"/>
      <c r="NNE7" s="2"/>
      <c r="NNF7" s="2"/>
      <c r="NNG7" s="6"/>
      <c r="NNH7" s="7"/>
      <c r="NNI7" s="8"/>
      <c r="NNJ7" s="9"/>
      <c r="NNK7" s="8"/>
      <c r="NNL7" s="7"/>
      <c r="NNM7" s="9"/>
      <c r="NNN7" s="8"/>
      <c r="NNO7" s="8"/>
      <c r="NNP7" s="7"/>
      <c r="NNQ7" s="9"/>
      <c r="NNR7" s="2"/>
      <c r="NNS7" s="2"/>
      <c r="NNT7" s="2"/>
      <c r="NNU7" s="2"/>
      <c r="NNV7" s="2"/>
      <c r="NNW7" s="2"/>
      <c r="NNX7" s="2"/>
      <c r="NNY7" s="2"/>
      <c r="NNZ7" s="2"/>
      <c r="NOA7" s="2"/>
      <c r="NOB7" s="2"/>
      <c r="NOC7" s="6"/>
      <c r="NOD7" s="7"/>
      <c r="NOE7" s="8"/>
      <c r="NOF7" s="9"/>
      <c r="NOG7" s="8"/>
      <c r="NOH7" s="7"/>
      <c r="NOI7" s="9"/>
      <c r="NOJ7" s="8"/>
      <c r="NOK7" s="8"/>
      <c r="NOL7" s="7"/>
      <c r="NOM7" s="9"/>
      <c r="NON7" s="2"/>
      <c r="NOO7" s="2"/>
      <c r="NOP7" s="2"/>
      <c r="NOQ7" s="2"/>
      <c r="NOR7" s="2"/>
      <c r="NOS7" s="2"/>
      <c r="NOT7" s="2"/>
      <c r="NOU7" s="2"/>
      <c r="NOV7" s="2"/>
      <c r="NOW7" s="2"/>
      <c r="NOX7" s="2"/>
      <c r="NOY7" s="6"/>
      <c r="NOZ7" s="7"/>
      <c r="NPA7" s="8"/>
      <c r="NPB7" s="9"/>
      <c r="NPC7" s="8"/>
      <c r="NPD7" s="7"/>
      <c r="NPE7" s="9"/>
      <c r="NPF7" s="8"/>
      <c r="NPG7" s="8"/>
      <c r="NPH7" s="7"/>
      <c r="NPI7" s="9"/>
      <c r="NPJ7" s="2"/>
      <c r="NPK7" s="2"/>
      <c r="NPL7" s="2"/>
      <c r="NPM7" s="2"/>
      <c r="NPN7" s="2"/>
      <c r="NPO7" s="2"/>
      <c r="NPP7" s="2"/>
      <c r="NPQ7" s="2"/>
      <c r="NPR7" s="2"/>
      <c r="NPS7" s="2"/>
      <c r="NPT7" s="2"/>
      <c r="NPU7" s="6"/>
      <c r="NPV7" s="7"/>
      <c r="NPW7" s="8"/>
      <c r="NPX7" s="9"/>
      <c r="NPY7" s="8"/>
      <c r="NPZ7" s="7"/>
      <c r="NQA7" s="9"/>
      <c r="NQB7" s="8"/>
      <c r="NQC7" s="8"/>
      <c r="NQD7" s="7"/>
      <c r="NQE7" s="9"/>
      <c r="NQF7" s="2"/>
      <c r="NQG7" s="2"/>
      <c r="NQH7" s="2"/>
      <c r="NQI7" s="2"/>
      <c r="NQJ7" s="2"/>
      <c r="NQK7" s="2"/>
      <c r="NQL7" s="2"/>
      <c r="NQM7" s="2"/>
      <c r="NQN7" s="2"/>
      <c r="NQO7" s="2"/>
      <c r="NQP7" s="2"/>
      <c r="NQQ7" s="6"/>
      <c r="NQR7" s="7"/>
      <c r="NQS7" s="8"/>
      <c r="NQT7" s="9"/>
      <c r="NQU7" s="8"/>
      <c r="NQV7" s="7"/>
      <c r="NQW7" s="9"/>
      <c r="NQX7" s="8"/>
      <c r="NQY7" s="8"/>
      <c r="NQZ7" s="7"/>
      <c r="NRA7" s="9"/>
      <c r="NRB7" s="2"/>
      <c r="NRC7" s="2"/>
      <c r="NRD7" s="2"/>
      <c r="NRE7" s="2"/>
      <c r="NRF7" s="2"/>
      <c r="NRG7" s="2"/>
      <c r="NRH7" s="2"/>
      <c r="NRI7" s="2"/>
      <c r="NRJ7" s="2"/>
      <c r="NRK7" s="2"/>
      <c r="NRL7" s="2"/>
      <c r="NRM7" s="6"/>
      <c r="NRN7" s="7"/>
      <c r="NRO7" s="8"/>
      <c r="NRP7" s="9"/>
      <c r="NRQ7" s="8"/>
      <c r="NRR7" s="7"/>
      <c r="NRS7" s="9"/>
      <c r="NRT7" s="8"/>
      <c r="NRU7" s="8"/>
      <c r="NRV7" s="7"/>
      <c r="NRW7" s="9"/>
      <c r="NRX7" s="2"/>
      <c r="NRY7" s="2"/>
      <c r="NRZ7" s="2"/>
      <c r="NSA7" s="2"/>
      <c r="NSB7" s="2"/>
      <c r="NSC7" s="2"/>
      <c r="NSD7" s="2"/>
      <c r="NSE7" s="2"/>
      <c r="NSF7" s="2"/>
      <c r="NSG7" s="2"/>
      <c r="NSH7" s="2"/>
      <c r="NSI7" s="6"/>
      <c r="NSJ7" s="7"/>
      <c r="NSK7" s="8"/>
      <c r="NSL7" s="9"/>
      <c r="NSM7" s="8"/>
      <c r="NSN7" s="7"/>
      <c r="NSO7" s="9"/>
      <c r="NSP7" s="8"/>
      <c r="NSQ7" s="8"/>
      <c r="NSR7" s="7"/>
      <c r="NSS7" s="9"/>
      <c r="NST7" s="2"/>
      <c r="NSU7" s="2"/>
      <c r="NSV7" s="2"/>
      <c r="NSW7" s="2"/>
      <c r="NSX7" s="2"/>
      <c r="NSY7" s="2"/>
      <c r="NSZ7" s="2"/>
      <c r="NTA7" s="2"/>
      <c r="NTB7" s="2"/>
      <c r="NTC7" s="2"/>
      <c r="NTD7" s="2"/>
      <c r="NTE7" s="6"/>
      <c r="NTF7" s="7"/>
      <c r="NTG7" s="8"/>
      <c r="NTH7" s="9"/>
      <c r="NTI7" s="8"/>
      <c r="NTJ7" s="7"/>
      <c r="NTK7" s="9"/>
      <c r="NTL7" s="8"/>
      <c r="NTM7" s="8"/>
      <c r="NTN7" s="7"/>
      <c r="NTO7" s="9"/>
      <c r="NTP7" s="2"/>
      <c r="NTQ7" s="2"/>
      <c r="NTR7" s="2"/>
      <c r="NTS7" s="2"/>
      <c r="NTT7" s="2"/>
      <c r="NTU7" s="2"/>
      <c r="NTV7" s="2"/>
      <c r="NTW7" s="2"/>
      <c r="NTX7" s="2"/>
      <c r="NTY7" s="2"/>
      <c r="NTZ7" s="2"/>
      <c r="NUA7" s="6"/>
      <c r="NUB7" s="7"/>
      <c r="NUC7" s="8"/>
      <c r="NUD7" s="9"/>
      <c r="NUE7" s="8"/>
      <c r="NUF7" s="7"/>
      <c r="NUG7" s="9"/>
      <c r="NUH7" s="8"/>
      <c r="NUI7" s="8"/>
      <c r="NUJ7" s="7"/>
      <c r="NUK7" s="9"/>
      <c r="NUL7" s="2"/>
      <c r="NUM7" s="2"/>
      <c r="NUN7" s="2"/>
      <c r="NUO7" s="2"/>
      <c r="NUP7" s="2"/>
      <c r="NUQ7" s="2"/>
      <c r="NUR7" s="2"/>
      <c r="NUS7" s="2"/>
      <c r="NUT7" s="2"/>
      <c r="NUU7" s="2"/>
      <c r="NUV7" s="2"/>
      <c r="NUW7" s="6"/>
      <c r="NUX7" s="7"/>
      <c r="NUY7" s="8"/>
      <c r="NUZ7" s="9"/>
      <c r="NVA7" s="8"/>
      <c r="NVB7" s="7"/>
      <c r="NVC7" s="9"/>
      <c r="NVD7" s="8"/>
      <c r="NVE7" s="8"/>
      <c r="NVF7" s="7"/>
      <c r="NVG7" s="9"/>
      <c r="NVH7" s="2"/>
      <c r="NVI7" s="2"/>
      <c r="NVJ7" s="2"/>
      <c r="NVK7" s="2"/>
      <c r="NVL7" s="2"/>
      <c r="NVM7" s="2"/>
      <c r="NVN7" s="2"/>
      <c r="NVO7" s="2"/>
      <c r="NVP7" s="2"/>
      <c r="NVQ7" s="2"/>
      <c r="NVR7" s="2"/>
      <c r="NVS7" s="6"/>
      <c r="NVT7" s="7"/>
      <c r="NVU7" s="8"/>
      <c r="NVV7" s="9"/>
      <c r="NVW7" s="8"/>
      <c r="NVX7" s="7"/>
      <c r="NVY7" s="9"/>
      <c r="NVZ7" s="8"/>
      <c r="NWA7" s="8"/>
      <c r="NWB7" s="7"/>
      <c r="NWC7" s="9"/>
      <c r="NWD7" s="2"/>
      <c r="NWE7" s="2"/>
      <c r="NWF7" s="2"/>
      <c r="NWG7" s="2"/>
      <c r="NWH7" s="2"/>
      <c r="NWI7" s="2"/>
      <c r="NWJ7" s="2"/>
      <c r="NWK7" s="2"/>
      <c r="NWL7" s="2"/>
      <c r="NWM7" s="2"/>
      <c r="NWN7" s="2"/>
      <c r="NWO7" s="6"/>
      <c r="NWP7" s="7"/>
      <c r="NWQ7" s="8"/>
      <c r="NWR7" s="9"/>
      <c r="NWS7" s="8"/>
      <c r="NWT7" s="7"/>
      <c r="NWU7" s="9"/>
      <c r="NWV7" s="8"/>
      <c r="NWW7" s="8"/>
      <c r="NWX7" s="7"/>
      <c r="NWY7" s="9"/>
      <c r="NWZ7" s="2"/>
      <c r="NXA7" s="2"/>
      <c r="NXB7" s="2"/>
      <c r="NXC7" s="2"/>
      <c r="NXD7" s="2"/>
      <c r="NXE7" s="2"/>
      <c r="NXF7" s="2"/>
      <c r="NXG7" s="2"/>
      <c r="NXH7" s="2"/>
      <c r="NXI7" s="2"/>
      <c r="NXJ7" s="2"/>
      <c r="NXK7" s="6"/>
      <c r="NXL7" s="7"/>
      <c r="NXM7" s="8"/>
      <c r="NXN7" s="9"/>
      <c r="NXO7" s="8"/>
      <c r="NXP7" s="7"/>
      <c r="NXQ7" s="9"/>
      <c r="NXR7" s="8"/>
      <c r="NXS7" s="8"/>
      <c r="NXT7" s="7"/>
      <c r="NXU7" s="9"/>
      <c r="NXV7" s="2"/>
      <c r="NXW7" s="2"/>
      <c r="NXX7" s="2"/>
      <c r="NXY7" s="2"/>
      <c r="NXZ7" s="2"/>
      <c r="NYA7" s="2"/>
      <c r="NYB7" s="2"/>
      <c r="NYC7" s="2"/>
      <c r="NYD7" s="2"/>
      <c r="NYE7" s="2"/>
      <c r="NYF7" s="2"/>
      <c r="NYG7" s="6"/>
      <c r="NYH7" s="7"/>
      <c r="NYI7" s="8"/>
      <c r="NYJ7" s="9"/>
      <c r="NYK7" s="8"/>
      <c r="NYL7" s="7"/>
      <c r="NYM7" s="9"/>
      <c r="NYN7" s="8"/>
      <c r="NYO7" s="8"/>
      <c r="NYP7" s="7"/>
      <c r="NYQ7" s="9"/>
      <c r="NYR7" s="2"/>
      <c r="NYS7" s="2"/>
      <c r="NYT7" s="2"/>
      <c r="NYU7" s="2"/>
      <c r="NYV7" s="2"/>
      <c r="NYW7" s="2"/>
      <c r="NYX7" s="2"/>
      <c r="NYY7" s="2"/>
      <c r="NYZ7" s="2"/>
      <c r="NZA7" s="2"/>
      <c r="NZB7" s="2"/>
      <c r="NZC7" s="6"/>
      <c r="NZD7" s="7"/>
      <c r="NZE7" s="8"/>
      <c r="NZF7" s="9"/>
      <c r="NZG7" s="8"/>
      <c r="NZH7" s="7"/>
      <c r="NZI7" s="9"/>
      <c r="NZJ7" s="8"/>
      <c r="NZK7" s="8"/>
      <c r="NZL7" s="7"/>
      <c r="NZM7" s="9"/>
      <c r="NZN7" s="2"/>
      <c r="NZO7" s="2"/>
      <c r="NZP7" s="2"/>
      <c r="NZQ7" s="2"/>
      <c r="NZR7" s="2"/>
      <c r="NZS7" s="2"/>
      <c r="NZT7" s="2"/>
      <c r="NZU7" s="2"/>
      <c r="NZV7" s="2"/>
      <c r="NZW7" s="2"/>
      <c r="NZX7" s="2"/>
      <c r="NZY7" s="6"/>
      <c r="NZZ7" s="7"/>
      <c r="OAA7" s="8"/>
      <c r="OAB7" s="9"/>
      <c r="OAC7" s="8"/>
      <c r="OAD7" s="7"/>
      <c r="OAE7" s="9"/>
      <c r="OAF7" s="8"/>
      <c r="OAG7" s="8"/>
      <c r="OAH7" s="7"/>
      <c r="OAI7" s="9"/>
      <c r="OAJ7" s="2"/>
      <c r="OAK7" s="2"/>
      <c r="OAL7" s="2"/>
      <c r="OAM7" s="2"/>
      <c r="OAN7" s="2"/>
      <c r="OAO7" s="2"/>
      <c r="OAP7" s="2"/>
      <c r="OAQ7" s="2"/>
      <c r="OAR7" s="2"/>
      <c r="OAS7" s="2"/>
      <c r="OAT7" s="2"/>
      <c r="OAU7" s="6"/>
      <c r="OAV7" s="7"/>
      <c r="OAW7" s="8"/>
      <c r="OAX7" s="9"/>
      <c r="OAY7" s="8"/>
      <c r="OAZ7" s="7"/>
      <c r="OBA7" s="9"/>
      <c r="OBB7" s="8"/>
      <c r="OBC7" s="8"/>
      <c r="OBD7" s="7"/>
      <c r="OBE7" s="9"/>
      <c r="OBF7" s="2"/>
      <c r="OBG7" s="2"/>
      <c r="OBH7" s="2"/>
      <c r="OBI7" s="2"/>
      <c r="OBJ7" s="2"/>
      <c r="OBK7" s="2"/>
      <c r="OBL7" s="2"/>
      <c r="OBM7" s="2"/>
      <c r="OBN7" s="2"/>
      <c r="OBO7" s="2"/>
      <c r="OBP7" s="2"/>
      <c r="OBQ7" s="6"/>
      <c r="OBR7" s="7"/>
      <c r="OBS7" s="8"/>
      <c r="OBT7" s="9"/>
      <c r="OBU7" s="8"/>
      <c r="OBV7" s="7"/>
      <c r="OBW7" s="9"/>
      <c r="OBX7" s="8"/>
      <c r="OBY7" s="8"/>
      <c r="OBZ7" s="7"/>
      <c r="OCA7" s="9"/>
      <c r="OCB7" s="2"/>
      <c r="OCC7" s="2"/>
      <c r="OCD7" s="2"/>
      <c r="OCE7" s="2"/>
      <c r="OCF7" s="2"/>
      <c r="OCG7" s="2"/>
      <c r="OCH7" s="2"/>
      <c r="OCI7" s="2"/>
      <c r="OCJ7" s="2"/>
      <c r="OCK7" s="2"/>
      <c r="OCL7" s="2"/>
      <c r="OCM7" s="6"/>
      <c r="OCN7" s="7"/>
      <c r="OCO7" s="8"/>
      <c r="OCP7" s="9"/>
      <c r="OCQ7" s="8"/>
      <c r="OCR7" s="7"/>
      <c r="OCS7" s="9"/>
      <c r="OCT7" s="8"/>
      <c r="OCU7" s="8"/>
      <c r="OCV7" s="7"/>
      <c r="OCW7" s="9"/>
      <c r="OCX7" s="2"/>
      <c r="OCY7" s="2"/>
      <c r="OCZ7" s="2"/>
      <c r="ODA7" s="2"/>
      <c r="ODB7" s="2"/>
      <c r="ODC7" s="2"/>
      <c r="ODD7" s="2"/>
      <c r="ODE7" s="2"/>
      <c r="ODF7" s="2"/>
      <c r="ODG7" s="2"/>
      <c r="ODH7" s="2"/>
      <c r="ODI7" s="6"/>
      <c r="ODJ7" s="7"/>
      <c r="ODK7" s="8"/>
      <c r="ODL7" s="9"/>
      <c r="ODM7" s="8"/>
      <c r="ODN7" s="7"/>
      <c r="ODO7" s="9"/>
      <c r="ODP7" s="8"/>
      <c r="ODQ7" s="8"/>
      <c r="ODR7" s="7"/>
      <c r="ODS7" s="9"/>
      <c r="ODT7" s="2"/>
      <c r="ODU7" s="2"/>
      <c r="ODV7" s="2"/>
      <c r="ODW7" s="2"/>
      <c r="ODX7" s="2"/>
      <c r="ODY7" s="2"/>
      <c r="ODZ7" s="2"/>
      <c r="OEA7" s="2"/>
      <c r="OEB7" s="2"/>
      <c r="OEC7" s="2"/>
      <c r="OED7" s="2"/>
      <c r="OEE7" s="6"/>
      <c r="OEF7" s="7"/>
      <c r="OEG7" s="8"/>
      <c r="OEH7" s="9"/>
      <c r="OEI7" s="8"/>
      <c r="OEJ7" s="7"/>
      <c r="OEK7" s="9"/>
      <c r="OEL7" s="8"/>
      <c r="OEM7" s="8"/>
      <c r="OEN7" s="7"/>
      <c r="OEO7" s="9"/>
      <c r="OEP7" s="2"/>
      <c r="OEQ7" s="2"/>
      <c r="OER7" s="2"/>
      <c r="OES7" s="2"/>
      <c r="OET7" s="2"/>
      <c r="OEU7" s="2"/>
      <c r="OEV7" s="2"/>
      <c r="OEW7" s="2"/>
      <c r="OEX7" s="2"/>
      <c r="OEY7" s="2"/>
      <c r="OEZ7" s="2"/>
      <c r="OFA7" s="6"/>
      <c r="OFB7" s="7"/>
      <c r="OFC7" s="8"/>
      <c r="OFD7" s="9"/>
      <c r="OFE7" s="8"/>
      <c r="OFF7" s="7"/>
      <c r="OFG7" s="9"/>
      <c r="OFH7" s="8"/>
      <c r="OFI7" s="8"/>
      <c r="OFJ7" s="7"/>
      <c r="OFK7" s="9"/>
      <c r="OFL7" s="2"/>
      <c r="OFM7" s="2"/>
      <c r="OFN7" s="2"/>
      <c r="OFO7" s="2"/>
      <c r="OFP7" s="2"/>
      <c r="OFQ7" s="2"/>
      <c r="OFR7" s="2"/>
      <c r="OFS7" s="2"/>
      <c r="OFT7" s="2"/>
      <c r="OFU7" s="2"/>
      <c r="OFV7" s="2"/>
      <c r="OFW7" s="6"/>
      <c r="OFX7" s="7"/>
      <c r="OFY7" s="8"/>
      <c r="OFZ7" s="9"/>
      <c r="OGA7" s="8"/>
      <c r="OGB7" s="7"/>
      <c r="OGC7" s="9"/>
      <c r="OGD7" s="8"/>
      <c r="OGE7" s="8"/>
      <c r="OGF7" s="7"/>
      <c r="OGG7" s="9"/>
      <c r="OGH7" s="2"/>
      <c r="OGI7" s="2"/>
      <c r="OGJ7" s="2"/>
      <c r="OGK7" s="2"/>
      <c r="OGL7" s="2"/>
      <c r="OGM7" s="2"/>
      <c r="OGN7" s="2"/>
      <c r="OGO7" s="2"/>
      <c r="OGP7" s="2"/>
      <c r="OGQ7" s="2"/>
      <c r="OGR7" s="2"/>
      <c r="OGS7" s="6"/>
      <c r="OGT7" s="7"/>
      <c r="OGU7" s="8"/>
      <c r="OGV7" s="9"/>
      <c r="OGW7" s="8"/>
      <c r="OGX7" s="7"/>
      <c r="OGY7" s="9"/>
      <c r="OGZ7" s="8"/>
      <c r="OHA7" s="8"/>
      <c r="OHB7" s="7"/>
      <c r="OHC7" s="9"/>
      <c r="OHD7" s="2"/>
      <c r="OHE7" s="2"/>
      <c r="OHF7" s="2"/>
      <c r="OHG7" s="2"/>
      <c r="OHH7" s="2"/>
      <c r="OHI7" s="2"/>
      <c r="OHJ7" s="2"/>
      <c r="OHK7" s="2"/>
      <c r="OHL7" s="2"/>
      <c r="OHM7" s="2"/>
      <c r="OHN7" s="2"/>
      <c r="OHO7" s="6"/>
      <c r="OHP7" s="7"/>
      <c r="OHQ7" s="8"/>
      <c r="OHR7" s="9"/>
      <c r="OHS7" s="8"/>
      <c r="OHT7" s="7"/>
      <c r="OHU7" s="9"/>
      <c r="OHV7" s="8"/>
      <c r="OHW7" s="8"/>
      <c r="OHX7" s="7"/>
      <c r="OHY7" s="9"/>
      <c r="OHZ7" s="2"/>
      <c r="OIA7" s="2"/>
      <c r="OIB7" s="2"/>
      <c r="OIC7" s="2"/>
      <c r="OID7" s="2"/>
      <c r="OIE7" s="2"/>
      <c r="OIF7" s="2"/>
      <c r="OIG7" s="2"/>
      <c r="OIH7" s="2"/>
      <c r="OII7" s="2"/>
      <c r="OIJ7" s="2"/>
      <c r="OIK7" s="6"/>
      <c r="OIL7" s="7"/>
      <c r="OIM7" s="8"/>
      <c r="OIN7" s="9"/>
      <c r="OIO7" s="8"/>
      <c r="OIP7" s="7"/>
      <c r="OIQ7" s="9"/>
      <c r="OIR7" s="8"/>
      <c r="OIS7" s="8"/>
      <c r="OIT7" s="7"/>
      <c r="OIU7" s="9"/>
      <c r="OIV7" s="2"/>
      <c r="OIW7" s="2"/>
      <c r="OIX7" s="2"/>
      <c r="OIY7" s="2"/>
      <c r="OIZ7" s="2"/>
      <c r="OJA7" s="2"/>
      <c r="OJB7" s="2"/>
      <c r="OJC7" s="2"/>
      <c r="OJD7" s="2"/>
      <c r="OJE7" s="2"/>
      <c r="OJF7" s="2"/>
      <c r="OJG7" s="6"/>
      <c r="OJH7" s="7"/>
      <c r="OJI7" s="8"/>
      <c r="OJJ7" s="9"/>
      <c r="OJK7" s="8"/>
      <c r="OJL7" s="7"/>
      <c r="OJM7" s="9"/>
      <c r="OJN7" s="8"/>
      <c r="OJO7" s="8"/>
      <c r="OJP7" s="7"/>
      <c r="OJQ7" s="9"/>
      <c r="OJR7" s="2"/>
      <c r="OJS7" s="2"/>
      <c r="OJT7" s="2"/>
      <c r="OJU7" s="2"/>
      <c r="OJV7" s="2"/>
      <c r="OJW7" s="2"/>
      <c r="OJX7" s="2"/>
      <c r="OJY7" s="2"/>
      <c r="OJZ7" s="2"/>
      <c r="OKA7" s="2"/>
      <c r="OKB7" s="2"/>
      <c r="OKC7" s="6"/>
      <c r="OKD7" s="7"/>
      <c r="OKE7" s="8"/>
      <c r="OKF7" s="9"/>
      <c r="OKG7" s="8"/>
      <c r="OKH7" s="7"/>
      <c r="OKI7" s="9"/>
      <c r="OKJ7" s="8"/>
      <c r="OKK7" s="8"/>
      <c r="OKL7" s="7"/>
      <c r="OKM7" s="9"/>
      <c r="OKN7" s="2"/>
      <c r="OKO7" s="2"/>
      <c r="OKP7" s="2"/>
      <c r="OKQ7" s="2"/>
      <c r="OKR7" s="2"/>
      <c r="OKS7" s="2"/>
      <c r="OKT7" s="2"/>
      <c r="OKU7" s="2"/>
      <c r="OKV7" s="2"/>
      <c r="OKW7" s="2"/>
      <c r="OKX7" s="2"/>
      <c r="OKY7" s="6"/>
      <c r="OKZ7" s="7"/>
      <c r="OLA7" s="8"/>
      <c r="OLB7" s="9"/>
      <c r="OLC7" s="8"/>
      <c r="OLD7" s="7"/>
      <c r="OLE7" s="9"/>
      <c r="OLF7" s="8"/>
      <c r="OLG7" s="8"/>
      <c r="OLH7" s="7"/>
      <c r="OLI7" s="9"/>
      <c r="OLJ7" s="2"/>
      <c r="OLK7" s="2"/>
      <c r="OLL7" s="2"/>
      <c r="OLM7" s="2"/>
      <c r="OLN7" s="2"/>
      <c r="OLO7" s="2"/>
      <c r="OLP7" s="2"/>
      <c r="OLQ7" s="2"/>
      <c r="OLR7" s="2"/>
      <c r="OLS7" s="2"/>
      <c r="OLT7" s="2"/>
      <c r="OLU7" s="6"/>
      <c r="OLV7" s="7"/>
      <c r="OLW7" s="8"/>
      <c r="OLX7" s="9"/>
      <c r="OLY7" s="8"/>
      <c r="OLZ7" s="7"/>
      <c r="OMA7" s="9"/>
      <c r="OMB7" s="8"/>
      <c r="OMC7" s="8"/>
      <c r="OMD7" s="7"/>
      <c r="OME7" s="9"/>
      <c r="OMF7" s="2"/>
      <c r="OMG7" s="2"/>
      <c r="OMH7" s="2"/>
      <c r="OMI7" s="2"/>
      <c r="OMJ7" s="2"/>
      <c r="OMK7" s="2"/>
      <c r="OML7" s="2"/>
      <c r="OMM7" s="2"/>
      <c r="OMN7" s="2"/>
      <c r="OMO7" s="2"/>
      <c r="OMP7" s="2"/>
      <c r="OMQ7" s="6"/>
      <c r="OMR7" s="7"/>
      <c r="OMS7" s="8"/>
      <c r="OMT7" s="9"/>
      <c r="OMU7" s="8"/>
      <c r="OMV7" s="7"/>
      <c r="OMW7" s="9"/>
      <c r="OMX7" s="8"/>
      <c r="OMY7" s="8"/>
      <c r="OMZ7" s="7"/>
      <c r="ONA7" s="9"/>
      <c r="ONB7" s="2"/>
      <c r="ONC7" s="2"/>
      <c r="OND7" s="2"/>
      <c r="ONE7" s="2"/>
      <c r="ONF7" s="2"/>
      <c r="ONG7" s="2"/>
      <c r="ONH7" s="2"/>
      <c r="ONI7" s="2"/>
      <c r="ONJ7" s="2"/>
      <c r="ONK7" s="2"/>
      <c r="ONL7" s="2"/>
      <c r="ONM7" s="6"/>
      <c r="ONN7" s="7"/>
      <c r="ONO7" s="8"/>
      <c r="ONP7" s="9"/>
      <c r="ONQ7" s="8"/>
      <c r="ONR7" s="7"/>
      <c r="ONS7" s="9"/>
      <c r="ONT7" s="8"/>
      <c r="ONU7" s="8"/>
      <c r="ONV7" s="7"/>
      <c r="ONW7" s="9"/>
      <c r="ONX7" s="2"/>
      <c r="ONY7" s="2"/>
      <c r="ONZ7" s="2"/>
      <c r="OOA7" s="2"/>
      <c r="OOB7" s="2"/>
      <c r="OOC7" s="2"/>
      <c r="OOD7" s="2"/>
      <c r="OOE7" s="2"/>
      <c r="OOF7" s="2"/>
      <c r="OOG7" s="2"/>
      <c r="OOH7" s="2"/>
      <c r="OOI7" s="6"/>
      <c r="OOJ7" s="7"/>
      <c r="OOK7" s="8"/>
      <c r="OOL7" s="9"/>
      <c r="OOM7" s="8"/>
      <c r="OON7" s="7"/>
      <c r="OOO7" s="9"/>
      <c r="OOP7" s="8"/>
      <c r="OOQ7" s="8"/>
      <c r="OOR7" s="7"/>
      <c r="OOS7" s="9"/>
      <c r="OOT7" s="2"/>
      <c r="OOU7" s="2"/>
      <c r="OOV7" s="2"/>
      <c r="OOW7" s="2"/>
      <c r="OOX7" s="2"/>
      <c r="OOY7" s="2"/>
      <c r="OOZ7" s="2"/>
      <c r="OPA7" s="2"/>
      <c r="OPB7" s="2"/>
      <c r="OPC7" s="2"/>
      <c r="OPD7" s="2"/>
      <c r="OPE7" s="6"/>
      <c r="OPF7" s="7"/>
      <c r="OPG7" s="8"/>
      <c r="OPH7" s="9"/>
      <c r="OPI7" s="8"/>
      <c r="OPJ7" s="7"/>
      <c r="OPK7" s="9"/>
      <c r="OPL7" s="8"/>
      <c r="OPM7" s="8"/>
      <c r="OPN7" s="7"/>
      <c r="OPO7" s="9"/>
      <c r="OPP7" s="2"/>
      <c r="OPQ7" s="2"/>
      <c r="OPR7" s="2"/>
      <c r="OPS7" s="2"/>
      <c r="OPT7" s="2"/>
      <c r="OPU7" s="2"/>
      <c r="OPV7" s="2"/>
      <c r="OPW7" s="2"/>
      <c r="OPX7" s="2"/>
      <c r="OPY7" s="2"/>
      <c r="OPZ7" s="2"/>
      <c r="OQA7" s="6"/>
      <c r="OQB7" s="7"/>
      <c r="OQC7" s="8"/>
      <c r="OQD7" s="9"/>
      <c r="OQE7" s="8"/>
      <c r="OQF7" s="7"/>
      <c r="OQG7" s="9"/>
      <c r="OQH7" s="8"/>
      <c r="OQI7" s="8"/>
      <c r="OQJ7" s="7"/>
      <c r="OQK7" s="9"/>
      <c r="OQL7" s="2"/>
      <c r="OQM7" s="2"/>
      <c r="OQN7" s="2"/>
      <c r="OQO7" s="2"/>
      <c r="OQP7" s="2"/>
      <c r="OQQ7" s="2"/>
      <c r="OQR7" s="2"/>
      <c r="OQS7" s="2"/>
      <c r="OQT7" s="2"/>
      <c r="OQU7" s="2"/>
      <c r="OQV7" s="2"/>
      <c r="OQW7" s="6"/>
      <c r="OQX7" s="7"/>
      <c r="OQY7" s="8"/>
      <c r="OQZ7" s="9"/>
      <c r="ORA7" s="8"/>
      <c r="ORB7" s="7"/>
      <c r="ORC7" s="9"/>
      <c r="ORD7" s="8"/>
      <c r="ORE7" s="8"/>
      <c r="ORF7" s="7"/>
      <c r="ORG7" s="9"/>
      <c r="ORH7" s="2"/>
      <c r="ORI7" s="2"/>
      <c r="ORJ7" s="2"/>
      <c r="ORK7" s="2"/>
      <c r="ORL7" s="2"/>
      <c r="ORM7" s="2"/>
      <c r="ORN7" s="2"/>
      <c r="ORO7" s="2"/>
      <c r="ORP7" s="2"/>
      <c r="ORQ7" s="2"/>
      <c r="ORR7" s="2"/>
      <c r="ORS7" s="6"/>
      <c r="ORT7" s="7"/>
      <c r="ORU7" s="8"/>
      <c r="ORV7" s="9"/>
      <c r="ORW7" s="8"/>
      <c r="ORX7" s="7"/>
      <c r="ORY7" s="9"/>
      <c r="ORZ7" s="8"/>
      <c r="OSA7" s="8"/>
      <c r="OSB7" s="7"/>
      <c r="OSC7" s="9"/>
      <c r="OSD7" s="2"/>
      <c r="OSE7" s="2"/>
      <c r="OSF7" s="2"/>
      <c r="OSG7" s="2"/>
      <c r="OSH7" s="2"/>
      <c r="OSI7" s="2"/>
      <c r="OSJ7" s="2"/>
      <c r="OSK7" s="2"/>
      <c r="OSL7" s="2"/>
      <c r="OSM7" s="2"/>
      <c r="OSN7" s="2"/>
      <c r="OSO7" s="6"/>
      <c r="OSP7" s="7"/>
      <c r="OSQ7" s="8"/>
      <c r="OSR7" s="9"/>
      <c r="OSS7" s="8"/>
      <c r="OST7" s="7"/>
      <c r="OSU7" s="9"/>
      <c r="OSV7" s="8"/>
      <c r="OSW7" s="8"/>
      <c r="OSX7" s="7"/>
      <c r="OSY7" s="9"/>
      <c r="OSZ7" s="2"/>
      <c r="OTA7" s="2"/>
      <c r="OTB7" s="2"/>
      <c r="OTC7" s="2"/>
      <c r="OTD7" s="2"/>
      <c r="OTE7" s="2"/>
      <c r="OTF7" s="2"/>
      <c r="OTG7" s="2"/>
      <c r="OTH7" s="2"/>
      <c r="OTI7" s="2"/>
      <c r="OTJ7" s="2"/>
      <c r="OTK7" s="6"/>
      <c r="OTL7" s="7"/>
      <c r="OTM7" s="8"/>
      <c r="OTN7" s="9"/>
      <c r="OTO7" s="8"/>
      <c r="OTP7" s="7"/>
      <c r="OTQ7" s="9"/>
      <c r="OTR7" s="8"/>
      <c r="OTS7" s="8"/>
      <c r="OTT7" s="7"/>
      <c r="OTU7" s="9"/>
      <c r="OTV7" s="2"/>
      <c r="OTW7" s="2"/>
      <c r="OTX7" s="2"/>
      <c r="OTY7" s="2"/>
      <c r="OTZ7" s="2"/>
      <c r="OUA7" s="2"/>
      <c r="OUB7" s="2"/>
      <c r="OUC7" s="2"/>
      <c r="OUD7" s="2"/>
      <c r="OUE7" s="2"/>
      <c r="OUF7" s="2"/>
      <c r="OUG7" s="6"/>
      <c r="OUH7" s="7"/>
      <c r="OUI7" s="8"/>
      <c r="OUJ7" s="9"/>
      <c r="OUK7" s="8"/>
      <c r="OUL7" s="7"/>
      <c r="OUM7" s="9"/>
      <c r="OUN7" s="8"/>
      <c r="OUO7" s="8"/>
      <c r="OUP7" s="7"/>
      <c r="OUQ7" s="9"/>
      <c r="OUR7" s="2"/>
      <c r="OUS7" s="2"/>
      <c r="OUT7" s="2"/>
      <c r="OUU7" s="2"/>
      <c r="OUV7" s="2"/>
      <c r="OUW7" s="2"/>
      <c r="OUX7" s="2"/>
      <c r="OUY7" s="2"/>
      <c r="OUZ7" s="2"/>
      <c r="OVA7" s="2"/>
      <c r="OVB7" s="2"/>
      <c r="OVC7" s="6"/>
      <c r="OVD7" s="7"/>
      <c r="OVE7" s="8"/>
      <c r="OVF7" s="9"/>
      <c r="OVG7" s="8"/>
      <c r="OVH7" s="7"/>
      <c r="OVI7" s="9"/>
      <c r="OVJ7" s="8"/>
      <c r="OVK7" s="8"/>
      <c r="OVL7" s="7"/>
      <c r="OVM7" s="9"/>
      <c r="OVN7" s="2"/>
      <c r="OVO7" s="2"/>
      <c r="OVP7" s="2"/>
      <c r="OVQ7" s="2"/>
      <c r="OVR7" s="2"/>
      <c r="OVS7" s="2"/>
      <c r="OVT7" s="2"/>
      <c r="OVU7" s="2"/>
      <c r="OVV7" s="2"/>
      <c r="OVW7" s="2"/>
      <c r="OVX7" s="2"/>
      <c r="OVY7" s="6"/>
      <c r="OVZ7" s="7"/>
      <c r="OWA7" s="8"/>
      <c r="OWB7" s="9"/>
      <c r="OWC7" s="8"/>
      <c r="OWD7" s="7"/>
      <c r="OWE7" s="9"/>
      <c r="OWF7" s="8"/>
      <c r="OWG7" s="8"/>
      <c r="OWH7" s="7"/>
      <c r="OWI7" s="9"/>
      <c r="OWJ7" s="2"/>
      <c r="OWK7" s="2"/>
      <c r="OWL7" s="2"/>
      <c r="OWM7" s="2"/>
      <c r="OWN7" s="2"/>
      <c r="OWO7" s="2"/>
      <c r="OWP7" s="2"/>
      <c r="OWQ7" s="2"/>
      <c r="OWR7" s="2"/>
      <c r="OWS7" s="2"/>
      <c r="OWT7" s="2"/>
      <c r="OWU7" s="6"/>
      <c r="OWV7" s="7"/>
      <c r="OWW7" s="8"/>
      <c r="OWX7" s="9"/>
      <c r="OWY7" s="8"/>
      <c r="OWZ7" s="7"/>
      <c r="OXA7" s="9"/>
      <c r="OXB7" s="8"/>
      <c r="OXC7" s="8"/>
      <c r="OXD7" s="7"/>
      <c r="OXE7" s="9"/>
      <c r="OXF7" s="2"/>
      <c r="OXG7" s="2"/>
      <c r="OXH7" s="2"/>
      <c r="OXI7" s="2"/>
      <c r="OXJ7" s="2"/>
      <c r="OXK7" s="2"/>
      <c r="OXL7" s="2"/>
      <c r="OXM7" s="2"/>
      <c r="OXN7" s="2"/>
      <c r="OXO7" s="2"/>
      <c r="OXP7" s="2"/>
      <c r="OXQ7" s="6"/>
      <c r="OXR7" s="7"/>
      <c r="OXS7" s="8"/>
      <c r="OXT7" s="9"/>
      <c r="OXU7" s="8"/>
      <c r="OXV7" s="7"/>
      <c r="OXW7" s="9"/>
      <c r="OXX7" s="8"/>
      <c r="OXY7" s="8"/>
      <c r="OXZ7" s="7"/>
      <c r="OYA7" s="9"/>
      <c r="OYB7" s="2"/>
      <c r="OYC7" s="2"/>
      <c r="OYD7" s="2"/>
      <c r="OYE7" s="2"/>
      <c r="OYF7" s="2"/>
      <c r="OYG7" s="2"/>
      <c r="OYH7" s="2"/>
      <c r="OYI7" s="2"/>
      <c r="OYJ7" s="2"/>
      <c r="OYK7" s="2"/>
      <c r="OYL7" s="2"/>
      <c r="OYM7" s="6"/>
      <c r="OYN7" s="7"/>
      <c r="OYO7" s="8"/>
      <c r="OYP7" s="9"/>
      <c r="OYQ7" s="8"/>
      <c r="OYR7" s="7"/>
      <c r="OYS7" s="9"/>
      <c r="OYT7" s="8"/>
      <c r="OYU7" s="8"/>
      <c r="OYV7" s="7"/>
      <c r="OYW7" s="9"/>
      <c r="OYX7" s="2"/>
      <c r="OYY7" s="2"/>
      <c r="OYZ7" s="2"/>
      <c r="OZA7" s="2"/>
      <c r="OZB7" s="2"/>
      <c r="OZC7" s="2"/>
      <c r="OZD7" s="2"/>
      <c r="OZE7" s="2"/>
      <c r="OZF7" s="2"/>
      <c r="OZG7" s="2"/>
      <c r="OZH7" s="2"/>
      <c r="OZI7" s="6"/>
      <c r="OZJ7" s="7"/>
      <c r="OZK7" s="8"/>
      <c r="OZL7" s="9"/>
      <c r="OZM7" s="8"/>
      <c r="OZN7" s="7"/>
      <c r="OZO7" s="9"/>
      <c r="OZP7" s="8"/>
      <c r="OZQ7" s="8"/>
      <c r="OZR7" s="7"/>
      <c r="OZS7" s="9"/>
      <c r="OZT7" s="2"/>
      <c r="OZU7" s="2"/>
      <c r="OZV7" s="2"/>
      <c r="OZW7" s="2"/>
      <c r="OZX7" s="2"/>
      <c r="OZY7" s="2"/>
      <c r="OZZ7" s="2"/>
      <c r="PAA7" s="2"/>
      <c r="PAB7" s="2"/>
      <c r="PAC7" s="2"/>
      <c r="PAD7" s="2"/>
      <c r="PAE7" s="6"/>
      <c r="PAF7" s="7"/>
      <c r="PAG7" s="8"/>
      <c r="PAH7" s="9"/>
      <c r="PAI7" s="8"/>
      <c r="PAJ7" s="7"/>
      <c r="PAK7" s="9"/>
      <c r="PAL7" s="8"/>
      <c r="PAM7" s="8"/>
      <c r="PAN7" s="7"/>
      <c r="PAO7" s="9"/>
      <c r="PAP7" s="2"/>
      <c r="PAQ7" s="2"/>
      <c r="PAR7" s="2"/>
      <c r="PAS7" s="2"/>
      <c r="PAT7" s="2"/>
      <c r="PAU7" s="2"/>
      <c r="PAV7" s="2"/>
      <c r="PAW7" s="2"/>
      <c r="PAX7" s="2"/>
      <c r="PAY7" s="2"/>
      <c r="PAZ7" s="2"/>
      <c r="PBA7" s="6"/>
      <c r="PBB7" s="7"/>
      <c r="PBC7" s="8"/>
      <c r="PBD7" s="9"/>
      <c r="PBE7" s="8"/>
      <c r="PBF7" s="7"/>
      <c r="PBG7" s="9"/>
      <c r="PBH7" s="8"/>
      <c r="PBI7" s="8"/>
      <c r="PBJ7" s="7"/>
      <c r="PBK7" s="9"/>
      <c r="PBL7" s="2"/>
      <c r="PBM7" s="2"/>
      <c r="PBN7" s="2"/>
      <c r="PBO7" s="2"/>
      <c r="PBP7" s="2"/>
      <c r="PBQ7" s="2"/>
      <c r="PBR7" s="2"/>
      <c r="PBS7" s="2"/>
      <c r="PBT7" s="2"/>
      <c r="PBU7" s="2"/>
      <c r="PBV7" s="2"/>
      <c r="PBW7" s="6"/>
      <c r="PBX7" s="7"/>
      <c r="PBY7" s="8"/>
      <c r="PBZ7" s="9"/>
      <c r="PCA7" s="8"/>
      <c r="PCB7" s="7"/>
      <c r="PCC7" s="9"/>
      <c r="PCD7" s="8"/>
      <c r="PCE7" s="8"/>
      <c r="PCF7" s="7"/>
      <c r="PCG7" s="9"/>
      <c r="PCH7" s="2"/>
      <c r="PCI7" s="2"/>
      <c r="PCJ7" s="2"/>
      <c r="PCK7" s="2"/>
      <c r="PCL7" s="2"/>
      <c r="PCM7" s="2"/>
      <c r="PCN7" s="2"/>
      <c r="PCO7" s="2"/>
      <c r="PCP7" s="2"/>
      <c r="PCQ7" s="2"/>
      <c r="PCR7" s="2"/>
      <c r="PCS7" s="6"/>
      <c r="PCT7" s="7"/>
      <c r="PCU7" s="8"/>
      <c r="PCV7" s="9"/>
      <c r="PCW7" s="8"/>
      <c r="PCX7" s="7"/>
      <c r="PCY7" s="9"/>
      <c r="PCZ7" s="8"/>
      <c r="PDA7" s="8"/>
      <c r="PDB7" s="7"/>
      <c r="PDC7" s="9"/>
      <c r="PDD7" s="2"/>
      <c r="PDE7" s="2"/>
      <c r="PDF7" s="2"/>
      <c r="PDG7" s="2"/>
      <c r="PDH7" s="2"/>
      <c r="PDI7" s="2"/>
      <c r="PDJ7" s="2"/>
      <c r="PDK7" s="2"/>
      <c r="PDL7" s="2"/>
      <c r="PDM7" s="2"/>
      <c r="PDN7" s="2"/>
      <c r="PDO7" s="6"/>
      <c r="PDP7" s="7"/>
      <c r="PDQ7" s="8"/>
      <c r="PDR7" s="9"/>
      <c r="PDS7" s="8"/>
      <c r="PDT7" s="7"/>
      <c r="PDU7" s="9"/>
      <c r="PDV7" s="8"/>
      <c r="PDW7" s="8"/>
      <c r="PDX7" s="7"/>
      <c r="PDY7" s="9"/>
      <c r="PDZ7" s="2"/>
      <c r="PEA7" s="2"/>
      <c r="PEB7" s="2"/>
      <c r="PEC7" s="2"/>
      <c r="PED7" s="2"/>
      <c r="PEE7" s="2"/>
      <c r="PEF7" s="2"/>
      <c r="PEG7" s="2"/>
      <c r="PEH7" s="2"/>
      <c r="PEI7" s="2"/>
      <c r="PEJ7" s="2"/>
      <c r="PEK7" s="6"/>
      <c r="PEL7" s="7"/>
      <c r="PEM7" s="8"/>
      <c r="PEN7" s="9"/>
      <c r="PEO7" s="8"/>
      <c r="PEP7" s="7"/>
      <c r="PEQ7" s="9"/>
      <c r="PER7" s="8"/>
      <c r="PES7" s="8"/>
      <c r="PET7" s="7"/>
      <c r="PEU7" s="9"/>
      <c r="PEV7" s="2"/>
      <c r="PEW7" s="2"/>
      <c r="PEX7" s="2"/>
      <c r="PEY7" s="2"/>
      <c r="PEZ7" s="2"/>
      <c r="PFA7" s="2"/>
      <c r="PFB7" s="2"/>
      <c r="PFC7" s="2"/>
      <c r="PFD7" s="2"/>
      <c r="PFE7" s="2"/>
      <c r="PFF7" s="2"/>
      <c r="PFG7" s="6"/>
      <c r="PFH7" s="7"/>
      <c r="PFI7" s="8"/>
      <c r="PFJ7" s="9"/>
      <c r="PFK7" s="8"/>
      <c r="PFL7" s="7"/>
      <c r="PFM7" s="9"/>
      <c r="PFN7" s="8"/>
      <c r="PFO7" s="8"/>
      <c r="PFP7" s="7"/>
      <c r="PFQ7" s="9"/>
      <c r="PFR7" s="2"/>
      <c r="PFS7" s="2"/>
      <c r="PFT7" s="2"/>
      <c r="PFU7" s="2"/>
      <c r="PFV7" s="2"/>
      <c r="PFW7" s="2"/>
      <c r="PFX7" s="2"/>
      <c r="PFY7" s="2"/>
      <c r="PFZ7" s="2"/>
      <c r="PGA7" s="2"/>
      <c r="PGB7" s="2"/>
      <c r="PGC7" s="6"/>
      <c r="PGD7" s="7"/>
      <c r="PGE7" s="8"/>
      <c r="PGF7" s="9"/>
      <c r="PGG7" s="8"/>
      <c r="PGH7" s="7"/>
      <c r="PGI7" s="9"/>
      <c r="PGJ7" s="8"/>
      <c r="PGK7" s="8"/>
      <c r="PGL7" s="7"/>
      <c r="PGM7" s="9"/>
      <c r="PGN7" s="2"/>
      <c r="PGO7" s="2"/>
      <c r="PGP7" s="2"/>
      <c r="PGQ7" s="2"/>
      <c r="PGR7" s="2"/>
      <c r="PGS7" s="2"/>
      <c r="PGT7" s="2"/>
      <c r="PGU7" s="2"/>
      <c r="PGV7" s="2"/>
      <c r="PGW7" s="2"/>
      <c r="PGX7" s="2"/>
      <c r="PGY7" s="6"/>
      <c r="PGZ7" s="7"/>
      <c r="PHA7" s="8"/>
      <c r="PHB7" s="9"/>
      <c r="PHC7" s="8"/>
      <c r="PHD7" s="7"/>
      <c r="PHE7" s="9"/>
      <c r="PHF7" s="8"/>
      <c r="PHG7" s="8"/>
      <c r="PHH7" s="7"/>
      <c r="PHI7" s="9"/>
      <c r="PHJ7" s="2"/>
      <c r="PHK7" s="2"/>
      <c r="PHL7" s="2"/>
      <c r="PHM7" s="2"/>
      <c r="PHN7" s="2"/>
      <c r="PHO7" s="2"/>
      <c r="PHP7" s="2"/>
      <c r="PHQ7" s="2"/>
      <c r="PHR7" s="2"/>
      <c r="PHS7" s="2"/>
      <c r="PHT7" s="2"/>
      <c r="PHU7" s="6"/>
      <c r="PHV7" s="7"/>
      <c r="PHW7" s="8"/>
      <c r="PHX7" s="9"/>
      <c r="PHY7" s="8"/>
      <c r="PHZ7" s="7"/>
      <c r="PIA7" s="9"/>
      <c r="PIB7" s="8"/>
      <c r="PIC7" s="8"/>
      <c r="PID7" s="7"/>
      <c r="PIE7" s="9"/>
      <c r="PIF7" s="2"/>
      <c r="PIG7" s="2"/>
      <c r="PIH7" s="2"/>
      <c r="PII7" s="2"/>
      <c r="PIJ7" s="2"/>
      <c r="PIK7" s="2"/>
      <c r="PIL7" s="2"/>
      <c r="PIM7" s="2"/>
      <c r="PIN7" s="2"/>
      <c r="PIO7" s="2"/>
      <c r="PIP7" s="2"/>
      <c r="PIQ7" s="6"/>
      <c r="PIR7" s="7"/>
      <c r="PIS7" s="8"/>
      <c r="PIT7" s="9"/>
      <c r="PIU7" s="8"/>
      <c r="PIV7" s="7"/>
      <c r="PIW7" s="9"/>
      <c r="PIX7" s="8"/>
      <c r="PIY7" s="8"/>
      <c r="PIZ7" s="7"/>
      <c r="PJA7" s="9"/>
      <c r="PJB7" s="2"/>
      <c r="PJC7" s="2"/>
      <c r="PJD7" s="2"/>
      <c r="PJE7" s="2"/>
      <c r="PJF7" s="2"/>
      <c r="PJG7" s="2"/>
      <c r="PJH7" s="2"/>
      <c r="PJI7" s="2"/>
      <c r="PJJ7" s="2"/>
      <c r="PJK7" s="2"/>
      <c r="PJL7" s="2"/>
      <c r="PJM7" s="6"/>
      <c r="PJN7" s="7"/>
      <c r="PJO7" s="8"/>
      <c r="PJP7" s="9"/>
      <c r="PJQ7" s="8"/>
      <c r="PJR7" s="7"/>
      <c r="PJS7" s="9"/>
      <c r="PJT7" s="8"/>
      <c r="PJU7" s="8"/>
      <c r="PJV7" s="7"/>
      <c r="PJW7" s="9"/>
      <c r="PJX7" s="2"/>
      <c r="PJY7" s="2"/>
      <c r="PJZ7" s="2"/>
      <c r="PKA7" s="2"/>
      <c r="PKB7" s="2"/>
      <c r="PKC7" s="2"/>
      <c r="PKD7" s="2"/>
      <c r="PKE7" s="2"/>
      <c r="PKF7" s="2"/>
      <c r="PKG7" s="2"/>
      <c r="PKH7" s="2"/>
      <c r="PKI7" s="6"/>
      <c r="PKJ7" s="7"/>
      <c r="PKK7" s="8"/>
      <c r="PKL7" s="9"/>
      <c r="PKM7" s="8"/>
      <c r="PKN7" s="7"/>
      <c r="PKO7" s="9"/>
      <c r="PKP7" s="8"/>
      <c r="PKQ7" s="8"/>
      <c r="PKR7" s="7"/>
      <c r="PKS7" s="9"/>
      <c r="PKT7" s="2"/>
      <c r="PKU7" s="2"/>
      <c r="PKV7" s="2"/>
      <c r="PKW7" s="2"/>
      <c r="PKX7" s="2"/>
      <c r="PKY7" s="2"/>
      <c r="PKZ7" s="2"/>
      <c r="PLA7" s="2"/>
      <c r="PLB7" s="2"/>
      <c r="PLC7" s="2"/>
      <c r="PLD7" s="2"/>
      <c r="PLE7" s="6"/>
      <c r="PLF7" s="7"/>
      <c r="PLG7" s="8"/>
      <c r="PLH7" s="9"/>
      <c r="PLI7" s="8"/>
      <c r="PLJ7" s="7"/>
      <c r="PLK7" s="9"/>
      <c r="PLL7" s="8"/>
      <c r="PLM7" s="8"/>
      <c r="PLN7" s="7"/>
      <c r="PLO7" s="9"/>
      <c r="PLP7" s="2"/>
      <c r="PLQ7" s="2"/>
      <c r="PLR7" s="2"/>
      <c r="PLS7" s="2"/>
      <c r="PLT7" s="2"/>
      <c r="PLU7" s="2"/>
      <c r="PLV7" s="2"/>
      <c r="PLW7" s="2"/>
      <c r="PLX7" s="2"/>
      <c r="PLY7" s="2"/>
      <c r="PLZ7" s="2"/>
      <c r="PMA7" s="6"/>
      <c r="PMB7" s="7"/>
      <c r="PMC7" s="8"/>
      <c r="PMD7" s="9"/>
      <c r="PME7" s="8"/>
      <c r="PMF7" s="7"/>
      <c r="PMG7" s="9"/>
      <c r="PMH7" s="8"/>
      <c r="PMI7" s="8"/>
      <c r="PMJ7" s="7"/>
      <c r="PMK7" s="9"/>
      <c r="PML7" s="2"/>
      <c r="PMM7" s="2"/>
      <c r="PMN7" s="2"/>
      <c r="PMO7" s="2"/>
      <c r="PMP7" s="2"/>
      <c r="PMQ7" s="2"/>
      <c r="PMR7" s="2"/>
      <c r="PMS7" s="2"/>
      <c r="PMT7" s="2"/>
      <c r="PMU7" s="2"/>
      <c r="PMV7" s="2"/>
      <c r="PMW7" s="6"/>
      <c r="PMX7" s="7"/>
      <c r="PMY7" s="8"/>
      <c r="PMZ7" s="9"/>
      <c r="PNA7" s="8"/>
      <c r="PNB7" s="7"/>
      <c r="PNC7" s="9"/>
      <c r="PND7" s="8"/>
      <c r="PNE7" s="8"/>
      <c r="PNF7" s="7"/>
      <c r="PNG7" s="9"/>
      <c r="PNH7" s="2"/>
      <c r="PNI7" s="2"/>
      <c r="PNJ7" s="2"/>
      <c r="PNK7" s="2"/>
      <c r="PNL7" s="2"/>
      <c r="PNM7" s="2"/>
      <c r="PNN7" s="2"/>
      <c r="PNO7" s="2"/>
      <c r="PNP7" s="2"/>
      <c r="PNQ7" s="2"/>
      <c r="PNR7" s="2"/>
      <c r="PNS7" s="6"/>
      <c r="PNT7" s="7"/>
      <c r="PNU7" s="8"/>
      <c r="PNV7" s="9"/>
      <c r="PNW7" s="8"/>
      <c r="PNX7" s="7"/>
      <c r="PNY7" s="9"/>
      <c r="PNZ7" s="8"/>
      <c r="POA7" s="8"/>
      <c r="POB7" s="7"/>
      <c r="POC7" s="9"/>
      <c r="POD7" s="2"/>
      <c r="POE7" s="2"/>
      <c r="POF7" s="2"/>
      <c r="POG7" s="2"/>
      <c r="POH7" s="2"/>
      <c r="POI7" s="2"/>
      <c r="POJ7" s="2"/>
      <c r="POK7" s="2"/>
      <c r="POL7" s="2"/>
      <c r="POM7" s="2"/>
      <c r="PON7" s="2"/>
      <c r="POO7" s="6"/>
      <c r="POP7" s="7"/>
      <c r="POQ7" s="8"/>
      <c r="POR7" s="9"/>
      <c r="POS7" s="8"/>
      <c r="POT7" s="7"/>
      <c r="POU7" s="9"/>
      <c r="POV7" s="8"/>
      <c r="POW7" s="8"/>
      <c r="POX7" s="7"/>
      <c r="POY7" s="9"/>
      <c r="POZ7" s="2"/>
      <c r="PPA7" s="2"/>
      <c r="PPB7" s="2"/>
      <c r="PPC7" s="2"/>
      <c r="PPD7" s="2"/>
      <c r="PPE7" s="2"/>
      <c r="PPF7" s="2"/>
      <c r="PPG7" s="2"/>
      <c r="PPH7" s="2"/>
      <c r="PPI7" s="2"/>
      <c r="PPJ7" s="2"/>
      <c r="PPK7" s="6"/>
      <c r="PPL7" s="7"/>
      <c r="PPM7" s="8"/>
      <c r="PPN7" s="9"/>
      <c r="PPO7" s="8"/>
      <c r="PPP7" s="7"/>
      <c r="PPQ7" s="9"/>
      <c r="PPR7" s="8"/>
      <c r="PPS7" s="8"/>
      <c r="PPT7" s="7"/>
      <c r="PPU7" s="9"/>
      <c r="PPV7" s="2"/>
      <c r="PPW7" s="2"/>
      <c r="PPX7" s="2"/>
      <c r="PPY7" s="2"/>
      <c r="PPZ7" s="2"/>
      <c r="PQA7" s="2"/>
      <c r="PQB7" s="2"/>
      <c r="PQC7" s="2"/>
      <c r="PQD7" s="2"/>
      <c r="PQE7" s="2"/>
      <c r="PQF7" s="2"/>
      <c r="PQG7" s="6"/>
      <c r="PQH7" s="7"/>
      <c r="PQI7" s="8"/>
      <c r="PQJ7" s="9"/>
      <c r="PQK7" s="8"/>
      <c r="PQL7" s="7"/>
      <c r="PQM7" s="9"/>
      <c r="PQN7" s="8"/>
      <c r="PQO7" s="8"/>
      <c r="PQP7" s="7"/>
      <c r="PQQ7" s="9"/>
      <c r="PQR7" s="2"/>
      <c r="PQS7" s="2"/>
      <c r="PQT7" s="2"/>
      <c r="PQU7" s="2"/>
      <c r="PQV7" s="2"/>
      <c r="PQW7" s="2"/>
      <c r="PQX7" s="2"/>
      <c r="PQY7" s="2"/>
      <c r="PQZ7" s="2"/>
      <c r="PRA7" s="2"/>
      <c r="PRB7" s="2"/>
      <c r="PRC7" s="6"/>
      <c r="PRD7" s="7"/>
      <c r="PRE7" s="8"/>
      <c r="PRF7" s="9"/>
      <c r="PRG7" s="8"/>
      <c r="PRH7" s="7"/>
      <c r="PRI7" s="9"/>
      <c r="PRJ7" s="8"/>
      <c r="PRK7" s="8"/>
      <c r="PRL7" s="7"/>
      <c r="PRM7" s="9"/>
      <c r="PRN7" s="2"/>
      <c r="PRO7" s="2"/>
      <c r="PRP7" s="2"/>
      <c r="PRQ7" s="2"/>
      <c r="PRR7" s="2"/>
      <c r="PRS7" s="2"/>
      <c r="PRT7" s="2"/>
      <c r="PRU7" s="2"/>
      <c r="PRV7" s="2"/>
      <c r="PRW7" s="2"/>
      <c r="PRX7" s="2"/>
      <c r="PRY7" s="6"/>
      <c r="PRZ7" s="7"/>
      <c r="PSA7" s="8"/>
      <c r="PSB7" s="9"/>
      <c r="PSC7" s="8"/>
      <c r="PSD7" s="7"/>
      <c r="PSE7" s="9"/>
      <c r="PSF7" s="8"/>
      <c r="PSG7" s="8"/>
      <c r="PSH7" s="7"/>
      <c r="PSI7" s="9"/>
      <c r="PSJ7" s="2"/>
      <c r="PSK7" s="2"/>
      <c r="PSL7" s="2"/>
      <c r="PSM7" s="2"/>
      <c r="PSN7" s="2"/>
      <c r="PSO7" s="2"/>
      <c r="PSP7" s="2"/>
      <c r="PSQ7" s="2"/>
      <c r="PSR7" s="2"/>
      <c r="PSS7" s="2"/>
      <c r="PST7" s="2"/>
      <c r="PSU7" s="6"/>
      <c r="PSV7" s="7"/>
      <c r="PSW7" s="8"/>
      <c r="PSX7" s="9"/>
      <c r="PSY7" s="8"/>
      <c r="PSZ7" s="7"/>
      <c r="PTA7" s="9"/>
      <c r="PTB7" s="8"/>
      <c r="PTC7" s="8"/>
      <c r="PTD7" s="7"/>
      <c r="PTE7" s="9"/>
      <c r="PTF7" s="2"/>
      <c r="PTG7" s="2"/>
      <c r="PTH7" s="2"/>
      <c r="PTI7" s="2"/>
      <c r="PTJ7" s="2"/>
      <c r="PTK7" s="2"/>
      <c r="PTL7" s="2"/>
      <c r="PTM7" s="2"/>
      <c r="PTN7" s="2"/>
      <c r="PTO7" s="2"/>
      <c r="PTP7" s="2"/>
      <c r="PTQ7" s="6"/>
      <c r="PTR7" s="7"/>
      <c r="PTS7" s="8"/>
      <c r="PTT7" s="9"/>
      <c r="PTU7" s="8"/>
      <c r="PTV7" s="7"/>
      <c r="PTW7" s="9"/>
      <c r="PTX7" s="8"/>
      <c r="PTY7" s="8"/>
      <c r="PTZ7" s="7"/>
      <c r="PUA7" s="9"/>
      <c r="PUB7" s="2"/>
      <c r="PUC7" s="2"/>
      <c r="PUD7" s="2"/>
      <c r="PUE7" s="2"/>
      <c r="PUF7" s="2"/>
      <c r="PUG7" s="2"/>
      <c r="PUH7" s="2"/>
      <c r="PUI7" s="2"/>
      <c r="PUJ7" s="2"/>
      <c r="PUK7" s="2"/>
      <c r="PUL7" s="2"/>
      <c r="PUM7" s="6"/>
      <c r="PUN7" s="7"/>
      <c r="PUO7" s="8"/>
      <c r="PUP7" s="9"/>
      <c r="PUQ7" s="8"/>
      <c r="PUR7" s="7"/>
      <c r="PUS7" s="9"/>
      <c r="PUT7" s="8"/>
      <c r="PUU7" s="8"/>
      <c r="PUV7" s="7"/>
      <c r="PUW7" s="9"/>
      <c r="PUX7" s="2"/>
      <c r="PUY7" s="2"/>
      <c r="PUZ7" s="2"/>
      <c r="PVA7" s="2"/>
      <c r="PVB7" s="2"/>
      <c r="PVC7" s="2"/>
      <c r="PVD7" s="2"/>
      <c r="PVE7" s="2"/>
      <c r="PVF7" s="2"/>
      <c r="PVG7" s="2"/>
      <c r="PVH7" s="2"/>
      <c r="PVI7" s="6"/>
      <c r="PVJ7" s="7"/>
      <c r="PVK7" s="8"/>
      <c r="PVL7" s="9"/>
      <c r="PVM7" s="8"/>
      <c r="PVN7" s="7"/>
      <c r="PVO7" s="9"/>
      <c r="PVP7" s="8"/>
      <c r="PVQ7" s="8"/>
      <c r="PVR7" s="7"/>
      <c r="PVS7" s="9"/>
      <c r="PVT7" s="2"/>
      <c r="PVU7" s="2"/>
      <c r="PVV7" s="2"/>
      <c r="PVW7" s="2"/>
      <c r="PVX7" s="2"/>
      <c r="PVY7" s="2"/>
      <c r="PVZ7" s="2"/>
      <c r="PWA7" s="2"/>
      <c r="PWB7" s="2"/>
      <c r="PWC7" s="2"/>
      <c r="PWD7" s="2"/>
      <c r="PWE7" s="6"/>
      <c r="PWF7" s="7"/>
      <c r="PWG7" s="8"/>
      <c r="PWH7" s="9"/>
      <c r="PWI7" s="8"/>
      <c r="PWJ7" s="7"/>
      <c r="PWK7" s="9"/>
      <c r="PWL7" s="8"/>
      <c r="PWM7" s="8"/>
      <c r="PWN7" s="7"/>
      <c r="PWO7" s="9"/>
      <c r="PWP7" s="2"/>
      <c r="PWQ7" s="2"/>
      <c r="PWR7" s="2"/>
      <c r="PWS7" s="2"/>
      <c r="PWT7" s="2"/>
      <c r="PWU7" s="2"/>
      <c r="PWV7" s="2"/>
      <c r="PWW7" s="2"/>
      <c r="PWX7" s="2"/>
      <c r="PWY7" s="2"/>
      <c r="PWZ7" s="2"/>
      <c r="PXA7" s="6"/>
      <c r="PXB7" s="7"/>
      <c r="PXC7" s="8"/>
      <c r="PXD7" s="9"/>
      <c r="PXE7" s="8"/>
      <c r="PXF7" s="7"/>
      <c r="PXG7" s="9"/>
      <c r="PXH7" s="8"/>
      <c r="PXI7" s="8"/>
      <c r="PXJ7" s="7"/>
      <c r="PXK7" s="9"/>
      <c r="PXL7" s="2"/>
      <c r="PXM7" s="2"/>
      <c r="PXN7" s="2"/>
      <c r="PXO7" s="2"/>
      <c r="PXP7" s="2"/>
      <c r="PXQ7" s="2"/>
      <c r="PXR7" s="2"/>
      <c r="PXS7" s="2"/>
      <c r="PXT7" s="2"/>
      <c r="PXU7" s="2"/>
      <c r="PXV7" s="2"/>
      <c r="PXW7" s="6"/>
      <c r="PXX7" s="7"/>
      <c r="PXY7" s="8"/>
      <c r="PXZ7" s="9"/>
      <c r="PYA7" s="8"/>
      <c r="PYB7" s="7"/>
      <c r="PYC7" s="9"/>
      <c r="PYD7" s="8"/>
      <c r="PYE7" s="8"/>
      <c r="PYF7" s="7"/>
      <c r="PYG7" s="9"/>
      <c r="PYH7" s="2"/>
      <c r="PYI7" s="2"/>
      <c r="PYJ7" s="2"/>
      <c r="PYK7" s="2"/>
      <c r="PYL7" s="2"/>
      <c r="PYM7" s="2"/>
      <c r="PYN7" s="2"/>
      <c r="PYO7" s="2"/>
      <c r="PYP7" s="2"/>
      <c r="PYQ7" s="2"/>
      <c r="PYR7" s="2"/>
      <c r="PYS7" s="6"/>
      <c r="PYT7" s="7"/>
      <c r="PYU7" s="8"/>
      <c r="PYV7" s="9"/>
      <c r="PYW7" s="8"/>
      <c r="PYX7" s="7"/>
      <c r="PYY7" s="9"/>
      <c r="PYZ7" s="8"/>
      <c r="PZA7" s="8"/>
      <c r="PZB7" s="7"/>
      <c r="PZC7" s="9"/>
      <c r="PZD7" s="2"/>
      <c r="PZE7" s="2"/>
      <c r="PZF7" s="2"/>
      <c r="PZG7" s="2"/>
      <c r="PZH7" s="2"/>
      <c r="PZI7" s="2"/>
      <c r="PZJ7" s="2"/>
      <c r="PZK7" s="2"/>
      <c r="PZL7" s="2"/>
      <c r="PZM7" s="2"/>
      <c r="PZN7" s="2"/>
      <c r="PZO7" s="6"/>
      <c r="PZP7" s="7"/>
      <c r="PZQ7" s="8"/>
      <c r="PZR7" s="9"/>
      <c r="PZS7" s="8"/>
      <c r="PZT7" s="7"/>
      <c r="PZU7" s="9"/>
      <c r="PZV7" s="8"/>
      <c r="PZW7" s="8"/>
      <c r="PZX7" s="7"/>
      <c r="PZY7" s="9"/>
      <c r="PZZ7" s="2"/>
      <c r="QAA7" s="2"/>
      <c r="QAB7" s="2"/>
      <c r="QAC7" s="2"/>
      <c r="QAD7" s="2"/>
      <c r="QAE7" s="2"/>
      <c r="QAF7" s="2"/>
      <c r="QAG7" s="2"/>
      <c r="QAH7" s="2"/>
      <c r="QAI7" s="2"/>
      <c r="QAJ7" s="2"/>
      <c r="QAK7" s="6"/>
      <c r="QAL7" s="7"/>
      <c r="QAM7" s="8"/>
      <c r="QAN7" s="9"/>
      <c r="QAO7" s="8"/>
      <c r="QAP7" s="7"/>
      <c r="QAQ7" s="9"/>
      <c r="QAR7" s="8"/>
      <c r="QAS7" s="8"/>
      <c r="QAT7" s="7"/>
      <c r="QAU7" s="9"/>
      <c r="QAV7" s="2"/>
      <c r="QAW7" s="2"/>
      <c r="QAX7" s="2"/>
      <c r="QAY7" s="2"/>
      <c r="QAZ7" s="2"/>
      <c r="QBA7" s="2"/>
      <c r="QBB7" s="2"/>
      <c r="QBC7" s="2"/>
      <c r="QBD7" s="2"/>
      <c r="QBE7" s="2"/>
      <c r="QBF7" s="2"/>
      <c r="QBG7" s="6"/>
      <c r="QBH7" s="7"/>
      <c r="QBI7" s="8"/>
      <c r="QBJ7" s="9"/>
      <c r="QBK7" s="8"/>
      <c r="QBL7" s="7"/>
      <c r="QBM7" s="9"/>
      <c r="QBN7" s="8"/>
      <c r="QBO7" s="8"/>
      <c r="QBP7" s="7"/>
      <c r="QBQ7" s="9"/>
      <c r="QBR7" s="2"/>
      <c r="QBS7" s="2"/>
      <c r="QBT7" s="2"/>
      <c r="QBU7" s="2"/>
      <c r="QBV7" s="2"/>
      <c r="QBW7" s="2"/>
      <c r="QBX7" s="2"/>
      <c r="QBY7" s="2"/>
      <c r="QBZ7" s="2"/>
      <c r="QCA7" s="2"/>
      <c r="QCB7" s="2"/>
      <c r="QCC7" s="6"/>
      <c r="QCD7" s="7"/>
      <c r="QCE7" s="8"/>
      <c r="QCF7" s="9"/>
      <c r="QCG7" s="8"/>
      <c r="QCH7" s="7"/>
      <c r="QCI7" s="9"/>
      <c r="QCJ7" s="8"/>
      <c r="QCK7" s="8"/>
      <c r="QCL7" s="7"/>
      <c r="QCM7" s="9"/>
      <c r="QCN7" s="2"/>
      <c r="QCO7" s="2"/>
      <c r="QCP7" s="2"/>
      <c r="QCQ7" s="2"/>
      <c r="QCR7" s="2"/>
      <c r="QCS7" s="2"/>
      <c r="QCT7" s="2"/>
      <c r="QCU7" s="2"/>
      <c r="QCV7" s="2"/>
      <c r="QCW7" s="2"/>
      <c r="QCX7" s="2"/>
      <c r="QCY7" s="6"/>
      <c r="QCZ7" s="7"/>
      <c r="QDA7" s="8"/>
      <c r="QDB7" s="9"/>
      <c r="QDC7" s="8"/>
      <c r="QDD7" s="7"/>
      <c r="QDE7" s="9"/>
      <c r="QDF7" s="8"/>
      <c r="QDG7" s="8"/>
      <c r="QDH7" s="7"/>
      <c r="QDI7" s="9"/>
      <c r="QDJ7" s="2"/>
      <c r="QDK7" s="2"/>
      <c r="QDL7" s="2"/>
      <c r="QDM7" s="2"/>
      <c r="QDN7" s="2"/>
      <c r="QDO7" s="2"/>
      <c r="QDP7" s="2"/>
      <c r="QDQ7" s="2"/>
      <c r="QDR7" s="2"/>
      <c r="QDS7" s="2"/>
      <c r="QDT7" s="2"/>
      <c r="QDU7" s="6"/>
      <c r="QDV7" s="7"/>
      <c r="QDW7" s="8"/>
      <c r="QDX7" s="9"/>
      <c r="QDY7" s="8"/>
      <c r="QDZ7" s="7"/>
      <c r="QEA7" s="9"/>
      <c r="QEB7" s="8"/>
      <c r="QEC7" s="8"/>
      <c r="QED7" s="7"/>
      <c r="QEE7" s="9"/>
      <c r="QEF7" s="2"/>
      <c r="QEG7" s="2"/>
      <c r="QEH7" s="2"/>
      <c r="QEI7" s="2"/>
      <c r="QEJ7" s="2"/>
      <c r="QEK7" s="2"/>
      <c r="QEL7" s="2"/>
      <c r="QEM7" s="2"/>
      <c r="QEN7" s="2"/>
      <c r="QEO7" s="2"/>
      <c r="QEP7" s="2"/>
      <c r="QEQ7" s="6"/>
      <c r="QER7" s="7"/>
      <c r="QES7" s="8"/>
      <c r="QET7" s="9"/>
      <c r="QEU7" s="8"/>
      <c r="QEV7" s="7"/>
      <c r="QEW7" s="9"/>
      <c r="QEX7" s="8"/>
      <c r="QEY7" s="8"/>
      <c r="QEZ7" s="7"/>
      <c r="QFA7" s="9"/>
      <c r="QFB7" s="2"/>
      <c r="QFC7" s="2"/>
      <c r="QFD7" s="2"/>
      <c r="QFE7" s="2"/>
      <c r="QFF7" s="2"/>
      <c r="QFG7" s="2"/>
      <c r="QFH7" s="2"/>
      <c r="QFI7" s="2"/>
      <c r="QFJ7" s="2"/>
      <c r="QFK7" s="2"/>
      <c r="QFL7" s="2"/>
      <c r="QFM7" s="6"/>
      <c r="QFN7" s="7"/>
      <c r="QFO7" s="8"/>
      <c r="QFP7" s="9"/>
      <c r="QFQ7" s="8"/>
      <c r="QFR7" s="7"/>
      <c r="QFS7" s="9"/>
      <c r="QFT7" s="8"/>
      <c r="QFU7" s="8"/>
      <c r="QFV7" s="7"/>
      <c r="QFW7" s="9"/>
      <c r="QFX7" s="2"/>
      <c r="QFY7" s="2"/>
      <c r="QFZ7" s="2"/>
      <c r="QGA7" s="2"/>
      <c r="QGB7" s="2"/>
      <c r="QGC7" s="2"/>
      <c r="QGD7" s="2"/>
      <c r="QGE7" s="2"/>
      <c r="QGF7" s="2"/>
      <c r="QGG7" s="2"/>
      <c r="QGH7" s="2"/>
      <c r="QGI7" s="6"/>
      <c r="QGJ7" s="7"/>
      <c r="QGK7" s="8"/>
      <c r="QGL7" s="9"/>
      <c r="QGM7" s="8"/>
      <c r="QGN7" s="7"/>
      <c r="QGO7" s="9"/>
      <c r="QGP7" s="8"/>
      <c r="QGQ7" s="8"/>
      <c r="QGR7" s="7"/>
      <c r="QGS7" s="9"/>
      <c r="QGT7" s="2"/>
      <c r="QGU7" s="2"/>
      <c r="QGV7" s="2"/>
      <c r="QGW7" s="2"/>
      <c r="QGX7" s="2"/>
      <c r="QGY7" s="2"/>
      <c r="QGZ7" s="2"/>
      <c r="QHA7" s="2"/>
      <c r="QHB7" s="2"/>
      <c r="QHC7" s="2"/>
      <c r="QHD7" s="2"/>
      <c r="QHE7" s="6"/>
      <c r="QHF7" s="7"/>
      <c r="QHG7" s="8"/>
      <c r="QHH7" s="9"/>
      <c r="QHI7" s="8"/>
      <c r="QHJ7" s="7"/>
      <c r="QHK7" s="9"/>
      <c r="QHL7" s="8"/>
      <c r="QHM7" s="8"/>
      <c r="QHN7" s="7"/>
      <c r="QHO7" s="9"/>
      <c r="QHP7" s="2"/>
      <c r="QHQ7" s="2"/>
      <c r="QHR7" s="2"/>
      <c r="QHS7" s="2"/>
      <c r="QHT7" s="2"/>
      <c r="QHU7" s="2"/>
      <c r="QHV7" s="2"/>
      <c r="QHW7" s="2"/>
      <c r="QHX7" s="2"/>
      <c r="QHY7" s="2"/>
      <c r="QHZ7" s="2"/>
      <c r="QIA7" s="6"/>
      <c r="QIB7" s="7"/>
      <c r="QIC7" s="8"/>
      <c r="QID7" s="9"/>
      <c r="QIE7" s="8"/>
      <c r="QIF7" s="7"/>
      <c r="QIG7" s="9"/>
      <c r="QIH7" s="8"/>
      <c r="QII7" s="8"/>
      <c r="QIJ7" s="7"/>
      <c r="QIK7" s="9"/>
      <c r="QIL7" s="2"/>
      <c r="QIM7" s="2"/>
      <c r="QIN7" s="2"/>
      <c r="QIO7" s="2"/>
      <c r="QIP7" s="2"/>
      <c r="QIQ7" s="2"/>
      <c r="QIR7" s="2"/>
      <c r="QIS7" s="2"/>
      <c r="QIT7" s="2"/>
      <c r="QIU7" s="2"/>
      <c r="QIV7" s="2"/>
      <c r="QIW7" s="6"/>
      <c r="QIX7" s="7"/>
      <c r="QIY7" s="8"/>
      <c r="QIZ7" s="9"/>
      <c r="QJA7" s="8"/>
      <c r="QJB7" s="7"/>
      <c r="QJC7" s="9"/>
      <c r="QJD7" s="8"/>
      <c r="QJE7" s="8"/>
      <c r="QJF7" s="7"/>
      <c r="QJG7" s="9"/>
      <c r="QJH7" s="2"/>
      <c r="QJI7" s="2"/>
      <c r="QJJ7" s="2"/>
      <c r="QJK7" s="2"/>
      <c r="QJL7" s="2"/>
      <c r="QJM7" s="2"/>
      <c r="QJN7" s="2"/>
      <c r="QJO7" s="2"/>
      <c r="QJP7" s="2"/>
      <c r="QJQ7" s="2"/>
      <c r="QJR7" s="2"/>
      <c r="QJS7" s="6"/>
      <c r="QJT7" s="7"/>
      <c r="QJU7" s="8"/>
      <c r="QJV7" s="9"/>
      <c r="QJW7" s="8"/>
      <c r="QJX7" s="7"/>
      <c r="QJY7" s="9"/>
      <c r="QJZ7" s="8"/>
      <c r="QKA7" s="8"/>
      <c r="QKB7" s="7"/>
      <c r="QKC7" s="9"/>
      <c r="QKD7" s="2"/>
      <c r="QKE7" s="2"/>
      <c r="QKF7" s="2"/>
      <c r="QKG7" s="2"/>
      <c r="QKH7" s="2"/>
      <c r="QKI7" s="2"/>
      <c r="QKJ7" s="2"/>
      <c r="QKK7" s="2"/>
      <c r="QKL7" s="2"/>
      <c r="QKM7" s="2"/>
      <c r="QKN7" s="2"/>
      <c r="QKO7" s="6"/>
      <c r="QKP7" s="7"/>
      <c r="QKQ7" s="8"/>
      <c r="QKR7" s="9"/>
      <c r="QKS7" s="8"/>
      <c r="QKT7" s="7"/>
      <c r="QKU7" s="9"/>
      <c r="QKV7" s="8"/>
      <c r="QKW7" s="8"/>
      <c r="QKX7" s="7"/>
      <c r="QKY7" s="9"/>
      <c r="QKZ7" s="2"/>
      <c r="QLA7" s="2"/>
      <c r="QLB7" s="2"/>
      <c r="QLC7" s="2"/>
      <c r="QLD7" s="2"/>
      <c r="QLE7" s="2"/>
      <c r="QLF7" s="2"/>
      <c r="QLG7" s="2"/>
      <c r="QLH7" s="2"/>
      <c r="QLI7" s="2"/>
      <c r="QLJ7" s="2"/>
      <c r="QLK7" s="6"/>
      <c r="QLL7" s="7"/>
      <c r="QLM7" s="8"/>
      <c r="QLN7" s="9"/>
      <c r="QLO7" s="8"/>
      <c r="QLP7" s="7"/>
      <c r="QLQ7" s="9"/>
      <c r="QLR7" s="8"/>
      <c r="QLS7" s="8"/>
      <c r="QLT7" s="7"/>
      <c r="QLU7" s="9"/>
      <c r="QLV7" s="2"/>
      <c r="QLW7" s="2"/>
      <c r="QLX7" s="2"/>
      <c r="QLY7" s="2"/>
      <c r="QLZ7" s="2"/>
      <c r="QMA7" s="2"/>
      <c r="QMB7" s="2"/>
      <c r="QMC7" s="2"/>
      <c r="QMD7" s="2"/>
      <c r="QME7" s="2"/>
      <c r="QMF7" s="2"/>
      <c r="QMG7" s="6"/>
      <c r="QMH7" s="7"/>
      <c r="QMI7" s="8"/>
      <c r="QMJ7" s="9"/>
      <c r="QMK7" s="8"/>
      <c r="QML7" s="7"/>
      <c r="QMM7" s="9"/>
      <c r="QMN7" s="8"/>
      <c r="QMO7" s="8"/>
      <c r="QMP7" s="7"/>
      <c r="QMQ7" s="9"/>
      <c r="QMR7" s="2"/>
      <c r="QMS7" s="2"/>
      <c r="QMT7" s="2"/>
      <c r="QMU7" s="2"/>
      <c r="QMV7" s="2"/>
      <c r="QMW7" s="2"/>
      <c r="QMX7" s="2"/>
      <c r="QMY7" s="2"/>
      <c r="QMZ7" s="2"/>
      <c r="QNA7" s="2"/>
      <c r="QNB7" s="2"/>
      <c r="QNC7" s="6"/>
      <c r="QND7" s="7"/>
      <c r="QNE7" s="8"/>
      <c r="QNF7" s="9"/>
      <c r="QNG7" s="8"/>
      <c r="QNH7" s="7"/>
      <c r="QNI7" s="9"/>
      <c r="QNJ7" s="8"/>
      <c r="QNK7" s="8"/>
      <c r="QNL7" s="7"/>
      <c r="QNM7" s="9"/>
      <c r="QNN7" s="2"/>
      <c r="QNO7" s="2"/>
      <c r="QNP7" s="2"/>
      <c r="QNQ7" s="2"/>
      <c r="QNR7" s="2"/>
      <c r="QNS7" s="2"/>
      <c r="QNT7" s="2"/>
      <c r="QNU7" s="2"/>
      <c r="QNV7" s="2"/>
      <c r="QNW7" s="2"/>
      <c r="QNX7" s="2"/>
      <c r="QNY7" s="6"/>
      <c r="QNZ7" s="7"/>
      <c r="QOA7" s="8"/>
      <c r="QOB7" s="9"/>
      <c r="QOC7" s="8"/>
      <c r="QOD7" s="7"/>
      <c r="QOE7" s="9"/>
      <c r="QOF7" s="8"/>
      <c r="QOG7" s="8"/>
      <c r="QOH7" s="7"/>
      <c r="QOI7" s="9"/>
      <c r="QOJ7" s="2"/>
      <c r="QOK7" s="2"/>
      <c r="QOL7" s="2"/>
      <c r="QOM7" s="2"/>
      <c r="QON7" s="2"/>
      <c r="QOO7" s="2"/>
      <c r="QOP7" s="2"/>
      <c r="QOQ7" s="2"/>
      <c r="QOR7" s="2"/>
      <c r="QOS7" s="2"/>
      <c r="QOT7" s="2"/>
      <c r="QOU7" s="6"/>
      <c r="QOV7" s="7"/>
      <c r="QOW7" s="8"/>
      <c r="QOX7" s="9"/>
      <c r="QOY7" s="8"/>
      <c r="QOZ7" s="7"/>
      <c r="QPA7" s="9"/>
      <c r="QPB7" s="8"/>
      <c r="QPC7" s="8"/>
      <c r="QPD7" s="7"/>
      <c r="QPE7" s="9"/>
      <c r="QPF7" s="2"/>
      <c r="QPG7" s="2"/>
      <c r="QPH7" s="2"/>
      <c r="QPI7" s="2"/>
      <c r="QPJ7" s="2"/>
      <c r="QPK7" s="2"/>
      <c r="QPL7" s="2"/>
      <c r="QPM7" s="2"/>
      <c r="QPN7" s="2"/>
      <c r="QPO7" s="2"/>
      <c r="QPP7" s="2"/>
      <c r="QPQ7" s="6"/>
      <c r="QPR7" s="7"/>
      <c r="QPS7" s="8"/>
      <c r="QPT7" s="9"/>
      <c r="QPU7" s="8"/>
      <c r="QPV7" s="7"/>
      <c r="QPW7" s="9"/>
      <c r="QPX7" s="8"/>
      <c r="QPY7" s="8"/>
      <c r="QPZ7" s="7"/>
      <c r="QQA7" s="9"/>
      <c r="QQB7" s="2"/>
      <c r="QQC7" s="2"/>
      <c r="QQD7" s="2"/>
      <c r="QQE7" s="2"/>
      <c r="QQF7" s="2"/>
      <c r="QQG7" s="2"/>
      <c r="QQH7" s="2"/>
      <c r="QQI7" s="2"/>
      <c r="QQJ7" s="2"/>
      <c r="QQK7" s="2"/>
      <c r="QQL7" s="2"/>
      <c r="QQM7" s="6"/>
      <c r="QQN7" s="7"/>
      <c r="QQO7" s="8"/>
      <c r="QQP7" s="9"/>
      <c r="QQQ7" s="8"/>
      <c r="QQR7" s="7"/>
      <c r="QQS7" s="9"/>
      <c r="QQT7" s="8"/>
      <c r="QQU7" s="8"/>
      <c r="QQV7" s="7"/>
      <c r="QQW7" s="9"/>
      <c r="QQX7" s="2"/>
      <c r="QQY7" s="2"/>
      <c r="QQZ7" s="2"/>
      <c r="QRA7" s="2"/>
      <c r="QRB7" s="2"/>
      <c r="QRC7" s="2"/>
      <c r="QRD7" s="2"/>
      <c r="QRE7" s="2"/>
      <c r="QRF7" s="2"/>
      <c r="QRG7" s="2"/>
      <c r="QRH7" s="2"/>
      <c r="QRI7" s="6"/>
      <c r="QRJ7" s="7"/>
      <c r="QRK7" s="8"/>
      <c r="QRL7" s="9"/>
      <c r="QRM7" s="8"/>
      <c r="QRN7" s="7"/>
      <c r="QRO7" s="9"/>
      <c r="QRP7" s="8"/>
      <c r="QRQ7" s="8"/>
      <c r="QRR7" s="7"/>
      <c r="QRS7" s="9"/>
      <c r="QRT7" s="2"/>
      <c r="QRU7" s="2"/>
      <c r="QRV7" s="2"/>
      <c r="QRW7" s="2"/>
      <c r="QRX7" s="2"/>
      <c r="QRY7" s="2"/>
      <c r="QRZ7" s="2"/>
      <c r="QSA7" s="2"/>
      <c r="QSB7" s="2"/>
      <c r="QSC7" s="2"/>
      <c r="QSD7" s="2"/>
      <c r="QSE7" s="6"/>
      <c r="QSF7" s="7"/>
      <c r="QSG7" s="8"/>
      <c r="QSH7" s="9"/>
      <c r="QSI7" s="8"/>
      <c r="QSJ7" s="7"/>
      <c r="QSK7" s="9"/>
      <c r="QSL7" s="8"/>
      <c r="QSM7" s="8"/>
      <c r="QSN7" s="7"/>
      <c r="QSO7" s="9"/>
      <c r="QSP7" s="2"/>
      <c r="QSQ7" s="2"/>
      <c r="QSR7" s="2"/>
      <c r="QSS7" s="2"/>
      <c r="QST7" s="2"/>
      <c r="QSU7" s="2"/>
      <c r="QSV7" s="2"/>
      <c r="QSW7" s="2"/>
      <c r="QSX7" s="2"/>
      <c r="QSY7" s="2"/>
      <c r="QSZ7" s="2"/>
      <c r="QTA7" s="6"/>
      <c r="QTB7" s="7"/>
      <c r="QTC7" s="8"/>
      <c r="QTD7" s="9"/>
      <c r="QTE7" s="8"/>
      <c r="QTF7" s="7"/>
      <c r="QTG7" s="9"/>
      <c r="QTH7" s="8"/>
      <c r="QTI7" s="8"/>
      <c r="QTJ7" s="7"/>
      <c r="QTK7" s="9"/>
      <c r="QTL7" s="2"/>
      <c r="QTM7" s="2"/>
      <c r="QTN7" s="2"/>
      <c r="QTO7" s="2"/>
      <c r="QTP7" s="2"/>
      <c r="QTQ7" s="2"/>
      <c r="QTR7" s="2"/>
      <c r="QTS7" s="2"/>
      <c r="QTT7" s="2"/>
      <c r="QTU7" s="2"/>
      <c r="QTV7" s="2"/>
      <c r="QTW7" s="6"/>
      <c r="QTX7" s="7"/>
      <c r="QTY7" s="8"/>
      <c r="QTZ7" s="9"/>
      <c r="QUA7" s="8"/>
      <c r="QUB7" s="7"/>
      <c r="QUC7" s="9"/>
      <c r="QUD7" s="8"/>
      <c r="QUE7" s="8"/>
      <c r="QUF7" s="7"/>
      <c r="QUG7" s="9"/>
      <c r="QUH7" s="2"/>
      <c r="QUI7" s="2"/>
      <c r="QUJ7" s="2"/>
      <c r="QUK7" s="2"/>
      <c r="QUL7" s="2"/>
      <c r="QUM7" s="2"/>
      <c r="QUN7" s="2"/>
      <c r="QUO7" s="2"/>
      <c r="QUP7" s="2"/>
      <c r="QUQ7" s="2"/>
      <c r="QUR7" s="2"/>
      <c r="QUS7" s="6"/>
      <c r="QUT7" s="7"/>
      <c r="QUU7" s="8"/>
      <c r="QUV7" s="9"/>
      <c r="QUW7" s="8"/>
      <c r="QUX7" s="7"/>
      <c r="QUY7" s="9"/>
      <c r="QUZ7" s="8"/>
      <c r="QVA7" s="8"/>
      <c r="QVB7" s="7"/>
      <c r="QVC7" s="9"/>
      <c r="QVD7" s="2"/>
      <c r="QVE7" s="2"/>
      <c r="QVF7" s="2"/>
      <c r="QVG7" s="2"/>
      <c r="QVH7" s="2"/>
      <c r="QVI7" s="2"/>
      <c r="QVJ7" s="2"/>
      <c r="QVK7" s="2"/>
      <c r="QVL7" s="2"/>
      <c r="QVM7" s="2"/>
      <c r="QVN7" s="2"/>
      <c r="QVO7" s="6"/>
      <c r="QVP7" s="7"/>
      <c r="QVQ7" s="8"/>
      <c r="QVR7" s="9"/>
      <c r="QVS7" s="8"/>
      <c r="QVT7" s="7"/>
      <c r="QVU7" s="9"/>
      <c r="QVV7" s="8"/>
      <c r="QVW7" s="8"/>
      <c r="QVX7" s="7"/>
      <c r="QVY7" s="9"/>
      <c r="QVZ7" s="2"/>
      <c r="QWA7" s="2"/>
      <c r="QWB7" s="2"/>
      <c r="QWC7" s="2"/>
      <c r="QWD7" s="2"/>
      <c r="QWE7" s="2"/>
      <c r="QWF7" s="2"/>
      <c r="QWG7" s="2"/>
      <c r="QWH7" s="2"/>
      <c r="QWI7" s="2"/>
      <c r="QWJ7" s="2"/>
      <c r="QWK7" s="6"/>
      <c r="QWL7" s="7"/>
      <c r="QWM7" s="8"/>
      <c r="QWN7" s="9"/>
      <c r="QWO7" s="8"/>
      <c r="QWP7" s="7"/>
      <c r="QWQ7" s="9"/>
      <c r="QWR7" s="8"/>
      <c r="QWS7" s="8"/>
      <c r="QWT7" s="7"/>
      <c r="QWU7" s="9"/>
      <c r="QWV7" s="2"/>
      <c r="QWW7" s="2"/>
      <c r="QWX7" s="2"/>
      <c r="QWY7" s="2"/>
      <c r="QWZ7" s="2"/>
      <c r="QXA7" s="2"/>
      <c r="QXB7" s="2"/>
      <c r="QXC7" s="2"/>
      <c r="QXD7" s="2"/>
      <c r="QXE7" s="2"/>
      <c r="QXF7" s="2"/>
      <c r="QXG7" s="6"/>
      <c r="QXH7" s="7"/>
      <c r="QXI7" s="8"/>
      <c r="QXJ7" s="9"/>
      <c r="QXK7" s="8"/>
      <c r="QXL7" s="7"/>
      <c r="QXM7" s="9"/>
      <c r="QXN7" s="8"/>
      <c r="QXO7" s="8"/>
      <c r="QXP7" s="7"/>
      <c r="QXQ7" s="9"/>
      <c r="QXR7" s="2"/>
      <c r="QXS7" s="2"/>
      <c r="QXT7" s="2"/>
      <c r="QXU7" s="2"/>
      <c r="QXV7" s="2"/>
      <c r="QXW7" s="2"/>
      <c r="QXX7" s="2"/>
      <c r="QXY7" s="2"/>
      <c r="QXZ7" s="2"/>
      <c r="QYA7" s="2"/>
      <c r="QYB7" s="2"/>
      <c r="QYC7" s="6"/>
      <c r="QYD7" s="7"/>
      <c r="QYE7" s="8"/>
      <c r="QYF7" s="9"/>
      <c r="QYG7" s="8"/>
      <c r="QYH7" s="7"/>
      <c r="QYI7" s="9"/>
      <c r="QYJ7" s="8"/>
      <c r="QYK7" s="8"/>
      <c r="QYL7" s="7"/>
      <c r="QYM7" s="9"/>
      <c r="QYN7" s="2"/>
      <c r="QYO7" s="2"/>
      <c r="QYP7" s="2"/>
      <c r="QYQ7" s="2"/>
      <c r="QYR7" s="2"/>
      <c r="QYS7" s="2"/>
      <c r="QYT7" s="2"/>
      <c r="QYU7" s="2"/>
      <c r="QYV7" s="2"/>
      <c r="QYW7" s="2"/>
      <c r="QYX7" s="2"/>
      <c r="QYY7" s="6"/>
      <c r="QYZ7" s="7"/>
      <c r="QZA7" s="8"/>
      <c r="QZB7" s="9"/>
      <c r="QZC7" s="8"/>
      <c r="QZD7" s="7"/>
      <c r="QZE7" s="9"/>
      <c r="QZF7" s="8"/>
      <c r="QZG7" s="8"/>
      <c r="QZH7" s="7"/>
      <c r="QZI7" s="9"/>
      <c r="QZJ7" s="2"/>
      <c r="QZK7" s="2"/>
      <c r="QZL7" s="2"/>
      <c r="QZM7" s="2"/>
      <c r="QZN7" s="2"/>
      <c r="QZO7" s="2"/>
      <c r="QZP7" s="2"/>
      <c r="QZQ7" s="2"/>
      <c r="QZR7" s="2"/>
      <c r="QZS7" s="2"/>
      <c r="QZT7" s="2"/>
      <c r="QZU7" s="6"/>
      <c r="QZV7" s="7"/>
      <c r="QZW7" s="8"/>
      <c r="QZX7" s="9"/>
      <c r="QZY7" s="8"/>
      <c r="QZZ7" s="7"/>
      <c r="RAA7" s="9"/>
      <c r="RAB7" s="8"/>
      <c r="RAC7" s="8"/>
      <c r="RAD7" s="7"/>
      <c r="RAE7" s="9"/>
      <c r="RAF7" s="2"/>
      <c r="RAG7" s="2"/>
      <c r="RAH7" s="2"/>
      <c r="RAI7" s="2"/>
      <c r="RAJ7" s="2"/>
      <c r="RAK7" s="2"/>
      <c r="RAL7" s="2"/>
      <c r="RAM7" s="2"/>
      <c r="RAN7" s="2"/>
      <c r="RAO7" s="2"/>
      <c r="RAP7" s="2"/>
      <c r="RAQ7" s="6"/>
      <c r="RAR7" s="7"/>
      <c r="RAS7" s="8"/>
      <c r="RAT7" s="9"/>
      <c r="RAU7" s="8"/>
      <c r="RAV7" s="7"/>
      <c r="RAW7" s="9"/>
      <c r="RAX7" s="8"/>
      <c r="RAY7" s="8"/>
      <c r="RAZ7" s="7"/>
      <c r="RBA7" s="9"/>
      <c r="RBB7" s="2"/>
      <c r="RBC7" s="2"/>
      <c r="RBD7" s="2"/>
      <c r="RBE7" s="2"/>
      <c r="RBF7" s="2"/>
      <c r="RBG7" s="2"/>
      <c r="RBH7" s="2"/>
      <c r="RBI7" s="2"/>
      <c r="RBJ7" s="2"/>
      <c r="RBK7" s="2"/>
      <c r="RBL7" s="2"/>
      <c r="RBM7" s="6"/>
      <c r="RBN7" s="7"/>
      <c r="RBO7" s="8"/>
      <c r="RBP7" s="9"/>
      <c r="RBQ7" s="8"/>
      <c r="RBR7" s="7"/>
      <c r="RBS7" s="9"/>
      <c r="RBT7" s="8"/>
      <c r="RBU7" s="8"/>
      <c r="RBV7" s="7"/>
      <c r="RBW7" s="9"/>
      <c r="RBX7" s="2"/>
      <c r="RBY7" s="2"/>
      <c r="RBZ7" s="2"/>
      <c r="RCA7" s="2"/>
      <c r="RCB7" s="2"/>
      <c r="RCC7" s="2"/>
      <c r="RCD7" s="2"/>
      <c r="RCE7" s="2"/>
      <c r="RCF7" s="2"/>
      <c r="RCG7" s="2"/>
      <c r="RCH7" s="2"/>
      <c r="RCI7" s="6"/>
      <c r="RCJ7" s="7"/>
      <c r="RCK7" s="8"/>
      <c r="RCL7" s="9"/>
      <c r="RCM7" s="8"/>
      <c r="RCN7" s="7"/>
      <c r="RCO7" s="9"/>
      <c r="RCP7" s="8"/>
      <c r="RCQ7" s="8"/>
      <c r="RCR7" s="7"/>
      <c r="RCS7" s="9"/>
      <c r="RCT7" s="2"/>
      <c r="RCU7" s="2"/>
      <c r="RCV7" s="2"/>
      <c r="RCW7" s="2"/>
      <c r="RCX7" s="2"/>
      <c r="RCY7" s="2"/>
      <c r="RCZ7" s="2"/>
      <c r="RDA7" s="2"/>
      <c r="RDB7" s="2"/>
      <c r="RDC7" s="2"/>
      <c r="RDD7" s="2"/>
      <c r="RDE7" s="6"/>
      <c r="RDF7" s="7"/>
      <c r="RDG7" s="8"/>
      <c r="RDH7" s="9"/>
      <c r="RDI7" s="8"/>
      <c r="RDJ7" s="7"/>
      <c r="RDK7" s="9"/>
      <c r="RDL7" s="8"/>
      <c r="RDM7" s="8"/>
      <c r="RDN7" s="7"/>
      <c r="RDO7" s="9"/>
      <c r="RDP7" s="2"/>
      <c r="RDQ7" s="2"/>
      <c r="RDR7" s="2"/>
      <c r="RDS7" s="2"/>
      <c r="RDT7" s="2"/>
      <c r="RDU7" s="2"/>
      <c r="RDV7" s="2"/>
      <c r="RDW7" s="2"/>
      <c r="RDX7" s="2"/>
      <c r="RDY7" s="2"/>
      <c r="RDZ7" s="2"/>
      <c r="REA7" s="6"/>
      <c r="REB7" s="7"/>
      <c r="REC7" s="8"/>
      <c r="RED7" s="9"/>
      <c r="REE7" s="8"/>
      <c r="REF7" s="7"/>
      <c r="REG7" s="9"/>
      <c r="REH7" s="8"/>
      <c r="REI7" s="8"/>
      <c r="REJ7" s="7"/>
      <c r="REK7" s="9"/>
      <c r="REL7" s="2"/>
      <c r="REM7" s="2"/>
      <c r="REN7" s="2"/>
      <c r="REO7" s="2"/>
      <c r="REP7" s="2"/>
      <c r="REQ7" s="2"/>
      <c r="RER7" s="2"/>
      <c r="RES7" s="2"/>
      <c r="RET7" s="2"/>
      <c r="REU7" s="2"/>
      <c r="REV7" s="2"/>
      <c r="REW7" s="6"/>
      <c r="REX7" s="7"/>
      <c r="REY7" s="8"/>
      <c r="REZ7" s="9"/>
      <c r="RFA7" s="8"/>
      <c r="RFB7" s="7"/>
      <c r="RFC7" s="9"/>
      <c r="RFD7" s="8"/>
      <c r="RFE7" s="8"/>
      <c r="RFF7" s="7"/>
      <c r="RFG7" s="9"/>
      <c r="RFH7" s="2"/>
      <c r="RFI7" s="2"/>
      <c r="RFJ7" s="2"/>
      <c r="RFK7" s="2"/>
      <c r="RFL7" s="2"/>
      <c r="RFM7" s="2"/>
      <c r="RFN7" s="2"/>
      <c r="RFO7" s="2"/>
      <c r="RFP7" s="2"/>
      <c r="RFQ7" s="2"/>
      <c r="RFR7" s="2"/>
      <c r="RFS7" s="6"/>
      <c r="RFT7" s="7"/>
      <c r="RFU7" s="8"/>
      <c r="RFV7" s="9"/>
      <c r="RFW7" s="8"/>
      <c r="RFX7" s="7"/>
      <c r="RFY7" s="9"/>
      <c r="RFZ7" s="8"/>
      <c r="RGA7" s="8"/>
      <c r="RGB7" s="7"/>
      <c r="RGC7" s="9"/>
      <c r="RGD7" s="2"/>
      <c r="RGE7" s="2"/>
      <c r="RGF7" s="2"/>
      <c r="RGG7" s="2"/>
      <c r="RGH7" s="2"/>
      <c r="RGI7" s="2"/>
      <c r="RGJ7" s="2"/>
      <c r="RGK7" s="2"/>
      <c r="RGL7" s="2"/>
      <c r="RGM7" s="2"/>
      <c r="RGN7" s="2"/>
      <c r="RGO7" s="6"/>
      <c r="RGP7" s="7"/>
      <c r="RGQ7" s="8"/>
      <c r="RGR7" s="9"/>
      <c r="RGS7" s="8"/>
      <c r="RGT7" s="7"/>
      <c r="RGU7" s="9"/>
      <c r="RGV7" s="8"/>
      <c r="RGW7" s="8"/>
      <c r="RGX7" s="7"/>
      <c r="RGY7" s="9"/>
      <c r="RGZ7" s="2"/>
      <c r="RHA7" s="2"/>
      <c r="RHB7" s="2"/>
      <c r="RHC7" s="2"/>
      <c r="RHD7" s="2"/>
      <c r="RHE7" s="2"/>
      <c r="RHF7" s="2"/>
      <c r="RHG7" s="2"/>
      <c r="RHH7" s="2"/>
      <c r="RHI7" s="2"/>
      <c r="RHJ7" s="2"/>
      <c r="RHK7" s="6"/>
      <c r="RHL7" s="7"/>
      <c r="RHM7" s="8"/>
      <c r="RHN7" s="9"/>
      <c r="RHO7" s="8"/>
      <c r="RHP7" s="7"/>
      <c r="RHQ7" s="9"/>
      <c r="RHR7" s="8"/>
      <c r="RHS7" s="8"/>
      <c r="RHT7" s="7"/>
      <c r="RHU7" s="9"/>
      <c r="RHV7" s="2"/>
      <c r="RHW7" s="2"/>
      <c r="RHX7" s="2"/>
      <c r="RHY7" s="2"/>
      <c r="RHZ7" s="2"/>
      <c r="RIA7" s="2"/>
      <c r="RIB7" s="2"/>
      <c r="RIC7" s="2"/>
      <c r="RID7" s="2"/>
      <c r="RIE7" s="2"/>
      <c r="RIF7" s="2"/>
      <c r="RIG7" s="6"/>
      <c r="RIH7" s="7"/>
      <c r="RII7" s="8"/>
      <c r="RIJ7" s="9"/>
      <c r="RIK7" s="8"/>
      <c r="RIL7" s="7"/>
      <c r="RIM7" s="9"/>
      <c r="RIN7" s="8"/>
      <c r="RIO7" s="8"/>
      <c r="RIP7" s="7"/>
      <c r="RIQ7" s="9"/>
      <c r="RIR7" s="2"/>
      <c r="RIS7" s="2"/>
      <c r="RIT7" s="2"/>
      <c r="RIU7" s="2"/>
      <c r="RIV7" s="2"/>
      <c r="RIW7" s="2"/>
      <c r="RIX7" s="2"/>
      <c r="RIY7" s="2"/>
      <c r="RIZ7" s="2"/>
      <c r="RJA7" s="2"/>
      <c r="RJB7" s="2"/>
      <c r="RJC7" s="6"/>
      <c r="RJD7" s="7"/>
      <c r="RJE7" s="8"/>
      <c r="RJF7" s="9"/>
      <c r="RJG7" s="8"/>
      <c r="RJH7" s="7"/>
      <c r="RJI7" s="9"/>
      <c r="RJJ7" s="8"/>
      <c r="RJK7" s="8"/>
      <c r="RJL7" s="7"/>
      <c r="RJM7" s="9"/>
      <c r="RJN7" s="2"/>
      <c r="RJO7" s="2"/>
      <c r="RJP7" s="2"/>
      <c r="RJQ7" s="2"/>
      <c r="RJR7" s="2"/>
      <c r="RJS7" s="2"/>
      <c r="RJT7" s="2"/>
      <c r="RJU7" s="2"/>
      <c r="RJV7" s="2"/>
      <c r="RJW7" s="2"/>
      <c r="RJX7" s="2"/>
      <c r="RJY7" s="6"/>
      <c r="RJZ7" s="7"/>
      <c r="RKA7" s="8"/>
      <c r="RKB7" s="9"/>
      <c r="RKC7" s="8"/>
      <c r="RKD7" s="7"/>
      <c r="RKE7" s="9"/>
      <c r="RKF7" s="8"/>
      <c r="RKG7" s="8"/>
      <c r="RKH7" s="7"/>
      <c r="RKI7" s="9"/>
      <c r="RKJ7" s="2"/>
      <c r="RKK7" s="2"/>
      <c r="RKL7" s="2"/>
      <c r="RKM7" s="2"/>
      <c r="RKN7" s="2"/>
      <c r="RKO7" s="2"/>
      <c r="RKP7" s="2"/>
      <c r="RKQ7" s="2"/>
      <c r="RKR7" s="2"/>
      <c r="RKS7" s="2"/>
      <c r="RKT7" s="2"/>
      <c r="RKU7" s="6"/>
      <c r="RKV7" s="7"/>
      <c r="RKW7" s="8"/>
      <c r="RKX7" s="9"/>
      <c r="RKY7" s="8"/>
      <c r="RKZ7" s="7"/>
      <c r="RLA7" s="9"/>
      <c r="RLB7" s="8"/>
      <c r="RLC7" s="8"/>
      <c r="RLD7" s="7"/>
      <c r="RLE7" s="9"/>
      <c r="RLF7" s="2"/>
      <c r="RLG7" s="2"/>
      <c r="RLH7" s="2"/>
      <c r="RLI7" s="2"/>
      <c r="RLJ7" s="2"/>
      <c r="RLK7" s="2"/>
      <c r="RLL7" s="2"/>
      <c r="RLM7" s="2"/>
      <c r="RLN7" s="2"/>
      <c r="RLO7" s="2"/>
      <c r="RLP7" s="2"/>
      <c r="RLQ7" s="6"/>
      <c r="RLR7" s="7"/>
      <c r="RLS7" s="8"/>
      <c r="RLT7" s="9"/>
      <c r="RLU7" s="8"/>
      <c r="RLV7" s="7"/>
      <c r="RLW7" s="9"/>
      <c r="RLX7" s="8"/>
      <c r="RLY7" s="8"/>
      <c r="RLZ7" s="7"/>
      <c r="RMA7" s="9"/>
      <c r="RMB7" s="2"/>
      <c r="RMC7" s="2"/>
      <c r="RMD7" s="2"/>
      <c r="RME7" s="2"/>
      <c r="RMF7" s="2"/>
      <c r="RMG7" s="2"/>
      <c r="RMH7" s="2"/>
      <c r="RMI7" s="2"/>
      <c r="RMJ7" s="2"/>
      <c r="RMK7" s="2"/>
      <c r="RML7" s="2"/>
      <c r="RMM7" s="6"/>
      <c r="RMN7" s="7"/>
      <c r="RMO7" s="8"/>
      <c r="RMP7" s="9"/>
      <c r="RMQ7" s="8"/>
      <c r="RMR7" s="7"/>
      <c r="RMS7" s="9"/>
      <c r="RMT7" s="8"/>
      <c r="RMU7" s="8"/>
      <c r="RMV7" s="7"/>
      <c r="RMW7" s="9"/>
      <c r="RMX7" s="2"/>
      <c r="RMY7" s="2"/>
      <c r="RMZ7" s="2"/>
      <c r="RNA7" s="2"/>
      <c r="RNB7" s="2"/>
      <c r="RNC7" s="2"/>
      <c r="RND7" s="2"/>
      <c r="RNE7" s="2"/>
      <c r="RNF7" s="2"/>
      <c r="RNG7" s="2"/>
      <c r="RNH7" s="2"/>
      <c r="RNI7" s="6"/>
      <c r="RNJ7" s="7"/>
      <c r="RNK7" s="8"/>
      <c r="RNL7" s="9"/>
      <c r="RNM7" s="8"/>
      <c r="RNN7" s="7"/>
      <c r="RNO7" s="9"/>
      <c r="RNP7" s="8"/>
      <c r="RNQ7" s="8"/>
      <c r="RNR7" s="7"/>
      <c r="RNS7" s="9"/>
      <c r="RNT7" s="2"/>
      <c r="RNU7" s="2"/>
      <c r="RNV7" s="2"/>
      <c r="RNW7" s="2"/>
      <c r="RNX7" s="2"/>
      <c r="RNY7" s="2"/>
      <c r="RNZ7" s="2"/>
      <c r="ROA7" s="2"/>
      <c r="ROB7" s="2"/>
      <c r="ROC7" s="2"/>
      <c r="ROD7" s="2"/>
      <c r="ROE7" s="6"/>
      <c r="ROF7" s="7"/>
      <c r="ROG7" s="8"/>
      <c r="ROH7" s="9"/>
      <c r="ROI7" s="8"/>
      <c r="ROJ7" s="7"/>
      <c r="ROK7" s="9"/>
      <c r="ROL7" s="8"/>
      <c r="ROM7" s="8"/>
      <c r="RON7" s="7"/>
      <c r="ROO7" s="9"/>
      <c r="ROP7" s="2"/>
      <c r="ROQ7" s="2"/>
      <c r="ROR7" s="2"/>
      <c r="ROS7" s="2"/>
      <c r="ROT7" s="2"/>
      <c r="ROU7" s="2"/>
      <c r="ROV7" s="2"/>
      <c r="ROW7" s="2"/>
      <c r="ROX7" s="2"/>
      <c r="ROY7" s="2"/>
      <c r="ROZ7" s="2"/>
      <c r="RPA7" s="6"/>
      <c r="RPB7" s="7"/>
      <c r="RPC7" s="8"/>
      <c r="RPD7" s="9"/>
      <c r="RPE7" s="8"/>
      <c r="RPF7" s="7"/>
      <c r="RPG7" s="9"/>
      <c r="RPH7" s="8"/>
      <c r="RPI7" s="8"/>
      <c r="RPJ7" s="7"/>
      <c r="RPK7" s="9"/>
      <c r="RPL7" s="2"/>
      <c r="RPM7" s="2"/>
      <c r="RPN7" s="2"/>
      <c r="RPO7" s="2"/>
      <c r="RPP7" s="2"/>
      <c r="RPQ7" s="2"/>
      <c r="RPR7" s="2"/>
      <c r="RPS7" s="2"/>
      <c r="RPT7" s="2"/>
      <c r="RPU7" s="2"/>
      <c r="RPV7" s="2"/>
      <c r="RPW7" s="6"/>
      <c r="RPX7" s="7"/>
      <c r="RPY7" s="8"/>
      <c r="RPZ7" s="9"/>
      <c r="RQA7" s="8"/>
      <c r="RQB7" s="7"/>
      <c r="RQC7" s="9"/>
      <c r="RQD7" s="8"/>
      <c r="RQE7" s="8"/>
      <c r="RQF7" s="7"/>
      <c r="RQG7" s="9"/>
      <c r="RQH7" s="2"/>
      <c r="RQI7" s="2"/>
      <c r="RQJ7" s="2"/>
      <c r="RQK7" s="2"/>
      <c r="RQL7" s="2"/>
      <c r="RQM7" s="2"/>
      <c r="RQN7" s="2"/>
      <c r="RQO7" s="2"/>
      <c r="RQP7" s="2"/>
      <c r="RQQ7" s="2"/>
      <c r="RQR7" s="2"/>
      <c r="RQS7" s="6"/>
      <c r="RQT7" s="7"/>
      <c r="RQU7" s="8"/>
      <c r="RQV7" s="9"/>
      <c r="RQW7" s="8"/>
      <c r="RQX7" s="7"/>
      <c r="RQY7" s="9"/>
      <c r="RQZ7" s="8"/>
      <c r="RRA7" s="8"/>
      <c r="RRB7" s="7"/>
      <c r="RRC7" s="9"/>
      <c r="RRD7" s="2"/>
      <c r="RRE7" s="2"/>
      <c r="RRF7" s="2"/>
      <c r="RRG7" s="2"/>
      <c r="RRH7" s="2"/>
      <c r="RRI7" s="2"/>
      <c r="RRJ7" s="2"/>
      <c r="RRK7" s="2"/>
      <c r="RRL7" s="2"/>
      <c r="RRM7" s="2"/>
      <c r="RRN7" s="2"/>
      <c r="RRO7" s="6"/>
      <c r="RRP7" s="7"/>
      <c r="RRQ7" s="8"/>
      <c r="RRR7" s="9"/>
      <c r="RRS7" s="8"/>
      <c r="RRT7" s="7"/>
      <c r="RRU7" s="9"/>
      <c r="RRV7" s="8"/>
      <c r="RRW7" s="8"/>
      <c r="RRX7" s="7"/>
      <c r="RRY7" s="9"/>
      <c r="RRZ7" s="2"/>
      <c r="RSA7" s="2"/>
      <c r="RSB7" s="2"/>
      <c r="RSC7" s="2"/>
      <c r="RSD7" s="2"/>
      <c r="RSE7" s="2"/>
      <c r="RSF7" s="2"/>
      <c r="RSG7" s="2"/>
      <c r="RSH7" s="2"/>
      <c r="RSI7" s="2"/>
      <c r="RSJ7" s="2"/>
      <c r="RSK7" s="6"/>
      <c r="RSL7" s="7"/>
      <c r="RSM7" s="8"/>
      <c r="RSN7" s="9"/>
      <c r="RSO7" s="8"/>
      <c r="RSP7" s="7"/>
      <c r="RSQ7" s="9"/>
      <c r="RSR7" s="8"/>
      <c r="RSS7" s="8"/>
      <c r="RST7" s="7"/>
      <c r="RSU7" s="9"/>
      <c r="RSV7" s="2"/>
      <c r="RSW7" s="2"/>
      <c r="RSX7" s="2"/>
      <c r="RSY7" s="2"/>
      <c r="RSZ7" s="2"/>
      <c r="RTA7" s="2"/>
      <c r="RTB7" s="2"/>
      <c r="RTC7" s="2"/>
      <c r="RTD7" s="2"/>
      <c r="RTE7" s="2"/>
      <c r="RTF7" s="2"/>
      <c r="RTG7" s="6"/>
      <c r="RTH7" s="7"/>
      <c r="RTI7" s="8"/>
      <c r="RTJ7" s="9"/>
      <c r="RTK7" s="8"/>
      <c r="RTL7" s="7"/>
      <c r="RTM7" s="9"/>
      <c r="RTN7" s="8"/>
      <c r="RTO7" s="8"/>
      <c r="RTP7" s="7"/>
      <c r="RTQ7" s="9"/>
      <c r="RTR7" s="2"/>
      <c r="RTS7" s="2"/>
      <c r="RTT7" s="2"/>
      <c r="RTU7" s="2"/>
      <c r="RTV7" s="2"/>
      <c r="RTW7" s="2"/>
      <c r="RTX7" s="2"/>
      <c r="RTY7" s="2"/>
      <c r="RTZ7" s="2"/>
      <c r="RUA7" s="2"/>
      <c r="RUB7" s="2"/>
      <c r="RUC7" s="6"/>
      <c r="RUD7" s="7"/>
      <c r="RUE7" s="8"/>
      <c r="RUF7" s="9"/>
      <c r="RUG7" s="8"/>
      <c r="RUH7" s="7"/>
      <c r="RUI7" s="9"/>
      <c r="RUJ7" s="8"/>
      <c r="RUK7" s="8"/>
      <c r="RUL7" s="7"/>
      <c r="RUM7" s="9"/>
      <c r="RUN7" s="2"/>
      <c r="RUO7" s="2"/>
      <c r="RUP7" s="2"/>
      <c r="RUQ7" s="2"/>
      <c r="RUR7" s="2"/>
      <c r="RUS7" s="2"/>
      <c r="RUT7" s="2"/>
      <c r="RUU7" s="2"/>
      <c r="RUV7" s="2"/>
      <c r="RUW7" s="2"/>
      <c r="RUX7" s="2"/>
      <c r="RUY7" s="6"/>
      <c r="RUZ7" s="7"/>
      <c r="RVA7" s="8"/>
      <c r="RVB7" s="9"/>
      <c r="RVC7" s="8"/>
      <c r="RVD7" s="7"/>
      <c r="RVE7" s="9"/>
      <c r="RVF7" s="8"/>
      <c r="RVG7" s="8"/>
      <c r="RVH7" s="7"/>
      <c r="RVI7" s="9"/>
      <c r="RVJ7" s="2"/>
      <c r="RVK7" s="2"/>
      <c r="RVL7" s="2"/>
      <c r="RVM7" s="2"/>
      <c r="RVN7" s="2"/>
      <c r="RVO7" s="2"/>
      <c r="RVP7" s="2"/>
      <c r="RVQ7" s="2"/>
      <c r="RVR7" s="2"/>
      <c r="RVS7" s="2"/>
      <c r="RVT7" s="2"/>
      <c r="RVU7" s="6"/>
      <c r="RVV7" s="7"/>
      <c r="RVW7" s="8"/>
      <c r="RVX7" s="9"/>
      <c r="RVY7" s="8"/>
      <c r="RVZ7" s="7"/>
      <c r="RWA7" s="9"/>
      <c r="RWB7" s="8"/>
      <c r="RWC7" s="8"/>
      <c r="RWD7" s="7"/>
      <c r="RWE7" s="9"/>
      <c r="RWF7" s="2"/>
      <c r="RWG7" s="2"/>
      <c r="RWH7" s="2"/>
      <c r="RWI7" s="2"/>
      <c r="RWJ7" s="2"/>
      <c r="RWK7" s="2"/>
      <c r="RWL7" s="2"/>
      <c r="RWM7" s="2"/>
      <c r="RWN7" s="2"/>
      <c r="RWO7" s="2"/>
      <c r="RWP7" s="2"/>
      <c r="RWQ7" s="6"/>
      <c r="RWR7" s="7"/>
      <c r="RWS7" s="8"/>
      <c r="RWT7" s="9"/>
      <c r="RWU7" s="8"/>
      <c r="RWV7" s="7"/>
      <c r="RWW7" s="9"/>
      <c r="RWX7" s="8"/>
      <c r="RWY7" s="8"/>
      <c r="RWZ7" s="7"/>
      <c r="RXA7" s="9"/>
      <c r="RXB7" s="2"/>
      <c r="RXC7" s="2"/>
      <c r="RXD7" s="2"/>
      <c r="RXE7" s="2"/>
      <c r="RXF7" s="2"/>
      <c r="RXG7" s="2"/>
      <c r="RXH7" s="2"/>
      <c r="RXI7" s="2"/>
      <c r="RXJ7" s="2"/>
      <c r="RXK7" s="2"/>
      <c r="RXL7" s="2"/>
      <c r="RXM7" s="6"/>
      <c r="RXN7" s="7"/>
      <c r="RXO7" s="8"/>
      <c r="RXP7" s="9"/>
      <c r="RXQ7" s="8"/>
      <c r="RXR7" s="7"/>
      <c r="RXS7" s="9"/>
      <c r="RXT7" s="8"/>
      <c r="RXU7" s="8"/>
      <c r="RXV7" s="7"/>
      <c r="RXW7" s="9"/>
      <c r="RXX7" s="2"/>
      <c r="RXY7" s="2"/>
      <c r="RXZ7" s="2"/>
      <c r="RYA7" s="2"/>
      <c r="RYB7" s="2"/>
      <c r="RYC7" s="2"/>
      <c r="RYD7" s="2"/>
      <c r="RYE7" s="2"/>
      <c r="RYF7" s="2"/>
      <c r="RYG7" s="2"/>
      <c r="RYH7" s="2"/>
      <c r="RYI7" s="6"/>
      <c r="RYJ7" s="7"/>
      <c r="RYK7" s="8"/>
      <c r="RYL7" s="9"/>
      <c r="RYM7" s="8"/>
      <c r="RYN7" s="7"/>
      <c r="RYO7" s="9"/>
      <c r="RYP7" s="8"/>
      <c r="RYQ7" s="8"/>
      <c r="RYR7" s="7"/>
      <c r="RYS7" s="9"/>
      <c r="RYT7" s="2"/>
      <c r="RYU7" s="2"/>
      <c r="RYV7" s="2"/>
      <c r="RYW7" s="2"/>
      <c r="RYX7" s="2"/>
      <c r="RYY7" s="2"/>
      <c r="RYZ7" s="2"/>
      <c r="RZA7" s="2"/>
      <c r="RZB7" s="2"/>
      <c r="RZC7" s="2"/>
      <c r="RZD7" s="2"/>
      <c r="RZE7" s="6"/>
      <c r="RZF7" s="7"/>
      <c r="RZG7" s="8"/>
      <c r="RZH7" s="9"/>
      <c r="RZI7" s="8"/>
      <c r="RZJ7" s="7"/>
      <c r="RZK7" s="9"/>
      <c r="RZL7" s="8"/>
      <c r="RZM7" s="8"/>
      <c r="RZN7" s="7"/>
      <c r="RZO7" s="9"/>
      <c r="RZP7" s="2"/>
      <c r="RZQ7" s="2"/>
      <c r="RZR7" s="2"/>
      <c r="RZS7" s="2"/>
      <c r="RZT7" s="2"/>
      <c r="RZU7" s="2"/>
      <c r="RZV7" s="2"/>
      <c r="RZW7" s="2"/>
      <c r="RZX7" s="2"/>
      <c r="RZY7" s="2"/>
      <c r="RZZ7" s="2"/>
      <c r="SAA7" s="6"/>
      <c r="SAB7" s="7"/>
      <c r="SAC7" s="8"/>
      <c r="SAD7" s="9"/>
      <c r="SAE7" s="8"/>
      <c r="SAF7" s="7"/>
      <c r="SAG7" s="9"/>
      <c r="SAH7" s="8"/>
      <c r="SAI7" s="8"/>
      <c r="SAJ7" s="7"/>
      <c r="SAK7" s="9"/>
      <c r="SAL7" s="2"/>
      <c r="SAM7" s="2"/>
      <c r="SAN7" s="2"/>
      <c r="SAO7" s="2"/>
      <c r="SAP7" s="2"/>
      <c r="SAQ7" s="2"/>
      <c r="SAR7" s="2"/>
      <c r="SAS7" s="2"/>
      <c r="SAT7" s="2"/>
      <c r="SAU7" s="2"/>
      <c r="SAV7" s="2"/>
      <c r="SAW7" s="6"/>
      <c r="SAX7" s="7"/>
      <c r="SAY7" s="8"/>
      <c r="SAZ7" s="9"/>
      <c r="SBA7" s="8"/>
      <c r="SBB7" s="7"/>
      <c r="SBC7" s="9"/>
      <c r="SBD7" s="8"/>
      <c r="SBE7" s="8"/>
      <c r="SBF7" s="7"/>
      <c r="SBG7" s="9"/>
      <c r="SBH7" s="2"/>
      <c r="SBI7" s="2"/>
      <c r="SBJ7" s="2"/>
      <c r="SBK7" s="2"/>
      <c r="SBL7" s="2"/>
      <c r="SBM7" s="2"/>
      <c r="SBN7" s="2"/>
      <c r="SBO7" s="2"/>
      <c r="SBP7" s="2"/>
      <c r="SBQ7" s="2"/>
      <c r="SBR7" s="2"/>
      <c r="SBS7" s="6"/>
      <c r="SBT7" s="7"/>
      <c r="SBU7" s="8"/>
      <c r="SBV7" s="9"/>
      <c r="SBW7" s="8"/>
      <c r="SBX7" s="7"/>
      <c r="SBY7" s="9"/>
      <c r="SBZ7" s="8"/>
      <c r="SCA7" s="8"/>
      <c r="SCB7" s="7"/>
      <c r="SCC7" s="9"/>
      <c r="SCD7" s="2"/>
      <c r="SCE7" s="2"/>
      <c r="SCF7" s="2"/>
      <c r="SCG7" s="2"/>
      <c r="SCH7" s="2"/>
      <c r="SCI7" s="2"/>
      <c r="SCJ7" s="2"/>
      <c r="SCK7" s="2"/>
      <c r="SCL7" s="2"/>
      <c r="SCM7" s="2"/>
      <c r="SCN7" s="2"/>
      <c r="SCO7" s="6"/>
      <c r="SCP7" s="7"/>
      <c r="SCQ7" s="8"/>
      <c r="SCR7" s="9"/>
      <c r="SCS7" s="8"/>
      <c r="SCT7" s="7"/>
      <c r="SCU7" s="9"/>
      <c r="SCV7" s="8"/>
      <c r="SCW7" s="8"/>
      <c r="SCX7" s="7"/>
      <c r="SCY7" s="9"/>
      <c r="SCZ7" s="2"/>
      <c r="SDA7" s="2"/>
      <c r="SDB7" s="2"/>
      <c r="SDC7" s="2"/>
      <c r="SDD7" s="2"/>
      <c r="SDE7" s="2"/>
      <c r="SDF7" s="2"/>
      <c r="SDG7" s="2"/>
      <c r="SDH7" s="2"/>
      <c r="SDI7" s="2"/>
      <c r="SDJ7" s="2"/>
      <c r="SDK7" s="6"/>
      <c r="SDL7" s="7"/>
      <c r="SDM7" s="8"/>
      <c r="SDN7" s="9"/>
      <c r="SDO7" s="8"/>
      <c r="SDP7" s="7"/>
      <c r="SDQ7" s="9"/>
      <c r="SDR7" s="8"/>
      <c r="SDS7" s="8"/>
      <c r="SDT7" s="7"/>
      <c r="SDU7" s="9"/>
      <c r="SDV7" s="2"/>
      <c r="SDW7" s="2"/>
      <c r="SDX7" s="2"/>
      <c r="SDY7" s="2"/>
      <c r="SDZ7" s="2"/>
      <c r="SEA7" s="2"/>
      <c r="SEB7" s="2"/>
      <c r="SEC7" s="2"/>
      <c r="SED7" s="2"/>
      <c r="SEE7" s="2"/>
      <c r="SEF7" s="2"/>
      <c r="SEG7" s="6"/>
      <c r="SEH7" s="7"/>
      <c r="SEI7" s="8"/>
      <c r="SEJ7" s="9"/>
      <c r="SEK7" s="8"/>
      <c r="SEL7" s="7"/>
      <c r="SEM7" s="9"/>
      <c r="SEN7" s="8"/>
      <c r="SEO7" s="8"/>
      <c r="SEP7" s="7"/>
      <c r="SEQ7" s="9"/>
      <c r="SER7" s="2"/>
      <c r="SES7" s="2"/>
      <c r="SET7" s="2"/>
      <c r="SEU7" s="2"/>
      <c r="SEV7" s="2"/>
      <c r="SEW7" s="2"/>
      <c r="SEX7" s="2"/>
      <c r="SEY7" s="2"/>
      <c r="SEZ7" s="2"/>
      <c r="SFA7" s="2"/>
      <c r="SFB7" s="2"/>
      <c r="SFC7" s="6"/>
      <c r="SFD7" s="7"/>
      <c r="SFE7" s="8"/>
      <c r="SFF7" s="9"/>
      <c r="SFG7" s="8"/>
      <c r="SFH7" s="7"/>
      <c r="SFI7" s="9"/>
      <c r="SFJ7" s="8"/>
      <c r="SFK7" s="8"/>
      <c r="SFL7" s="7"/>
      <c r="SFM7" s="9"/>
      <c r="SFN7" s="2"/>
      <c r="SFO7" s="2"/>
      <c r="SFP7" s="2"/>
      <c r="SFQ7" s="2"/>
      <c r="SFR7" s="2"/>
      <c r="SFS7" s="2"/>
      <c r="SFT7" s="2"/>
      <c r="SFU7" s="2"/>
      <c r="SFV7" s="2"/>
      <c r="SFW7" s="2"/>
      <c r="SFX7" s="2"/>
      <c r="SFY7" s="6"/>
      <c r="SFZ7" s="7"/>
      <c r="SGA7" s="8"/>
      <c r="SGB7" s="9"/>
      <c r="SGC7" s="8"/>
      <c r="SGD7" s="7"/>
      <c r="SGE7" s="9"/>
      <c r="SGF7" s="8"/>
      <c r="SGG7" s="8"/>
      <c r="SGH7" s="7"/>
      <c r="SGI7" s="9"/>
      <c r="SGJ7" s="2"/>
      <c r="SGK7" s="2"/>
      <c r="SGL7" s="2"/>
      <c r="SGM7" s="2"/>
      <c r="SGN7" s="2"/>
      <c r="SGO7" s="2"/>
      <c r="SGP7" s="2"/>
      <c r="SGQ7" s="2"/>
      <c r="SGR7" s="2"/>
      <c r="SGS7" s="2"/>
      <c r="SGT7" s="2"/>
      <c r="SGU7" s="6"/>
      <c r="SGV7" s="7"/>
      <c r="SGW7" s="8"/>
      <c r="SGX7" s="9"/>
      <c r="SGY7" s="8"/>
      <c r="SGZ7" s="7"/>
      <c r="SHA7" s="9"/>
      <c r="SHB7" s="8"/>
      <c r="SHC7" s="8"/>
      <c r="SHD7" s="7"/>
      <c r="SHE7" s="9"/>
      <c r="SHF7" s="2"/>
      <c r="SHG7" s="2"/>
      <c r="SHH7" s="2"/>
      <c r="SHI7" s="2"/>
      <c r="SHJ7" s="2"/>
      <c r="SHK7" s="2"/>
      <c r="SHL7" s="2"/>
      <c r="SHM7" s="2"/>
      <c r="SHN7" s="2"/>
      <c r="SHO7" s="2"/>
      <c r="SHP7" s="2"/>
      <c r="SHQ7" s="6"/>
      <c r="SHR7" s="7"/>
      <c r="SHS7" s="8"/>
      <c r="SHT7" s="9"/>
      <c r="SHU7" s="8"/>
      <c r="SHV7" s="7"/>
      <c r="SHW7" s="9"/>
      <c r="SHX7" s="8"/>
      <c r="SHY7" s="8"/>
      <c r="SHZ7" s="7"/>
      <c r="SIA7" s="9"/>
      <c r="SIB7" s="2"/>
      <c r="SIC7" s="2"/>
      <c r="SID7" s="2"/>
      <c r="SIE7" s="2"/>
      <c r="SIF7" s="2"/>
      <c r="SIG7" s="2"/>
      <c r="SIH7" s="2"/>
      <c r="SII7" s="2"/>
      <c r="SIJ7" s="2"/>
      <c r="SIK7" s="2"/>
      <c r="SIL7" s="2"/>
      <c r="SIM7" s="6"/>
      <c r="SIN7" s="7"/>
      <c r="SIO7" s="8"/>
      <c r="SIP7" s="9"/>
      <c r="SIQ7" s="8"/>
      <c r="SIR7" s="7"/>
      <c r="SIS7" s="9"/>
      <c r="SIT7" s="8"/>
      <c r="SIU7" s="8"/>
      <c r="SIV7" s="7"/>
      <c r="SIW7" s="9"/>
      <c r="SIX7" s="2"/>
      <c r="SIY7" s="2"/>
      <c r="SIZ7" s="2"/>
      <c r="SJA7" s="2"/>
      <c r="SJB7" s="2"/>
      <c r="SJC7" s="2"/>
      <c r="SJD7" s="2"/>
      <c r="SJE7" s="2"/>
      <c r="SJF7" s="2"/>
      <c r="SJG7" s="2"/>
      <c r="SJH7" s="2"/>
      <c r="SJI7" s="6"/>
      <c r="SJJ7" s="7"/>
      <c r="SJK7" s="8"/>
      <c r="SJL7" s="9"/>
      <c r="SJM7" s="8"/>
      <c r="SJN7" s="7"/>
      <c r="SJO7" s="9"/>
      <c r="SJP7" s="8"/>
      <c r="SJQ7" s="8"/>
      <c r="SJR7" s="7"/>
      <c r="SJS7" s="9"/>
      <c r="SJT7" s="2"/>
      <c r="SJU7" s="2"/>
      <c r="SJV7" s="2"/>
      <c r="SJW7" s="2"/>
      <c r="SJX7" s="2"/>
      <c r="SJY7" s="2"/>
      <c r="SJZ7" s="2"/>
      <c r="SKA7" s="2"/>
      <c r="SKB7" s="2"/>
      <c r="SKC7" s="2"/>
      <c r="SKD7" s="2"/>
      <c r="SKE7" s="6"/>
      <c r="SKF7" s="7"/>
      <c r="SKG7" s="8"/>
      <c r="SKH7" s="9"/>
      <c r="SKI7" s="8"/>
      <c r="SKJ7" s="7"/>
      <c r="SKK7" s="9"/>
      <c r="SKL7" s="8"/>
      <c r="SKM7" s="8"/>
      <c r="SKN7" s="7"/>
      <c r="SKO7" s="9"/>
      <c r="SKP7" s="2"/>
      <c r="SKQ7" s="2"/>
      <c r="SKR7" s="2"/>
      <c r="SKS7" s="2"/>
      <c r="SKT7" s="2"/>
      <c r="SKU7" s="2"/>
      <c r="SKV7" s="2"/>
      <c r="SKW7" s="2"/>
      <c r="SKX7" s="2"/>
      <c r="SKY7" s="2"/>
      <c r="SKZ7" s="2"/>
      <c r="SLA7" s="6"/>
      <c r="SLB7" s="7"/>
      <c r="SLC7" s="8"/>
      <c r="SLD7" s="9"/>
      <c r="SLE7" s="8"/>
      <c r="SLF7" s="7"/>
      <c r="SLG7" s="9"/>
      <c r="SLH7" s="8"/>
      <c r="SLI7" s="8"/>
      <c r="SLJ7" s="7"/>
      <c r="SLK7" s="9"/>
      <c r="SLL7" s="2"/>
      <c r="SLM7" s="2"/>
      <c r="SLN7" s="2"/>
      <c r="SLO7" s="2"/>
      <c r="SLP7" s="2"/>
      <c r="SLQ7" s="2"/>
      <c r="SLR7" s="2"/>
      <c r="SLS7" s="2"/>
      <c r="SLT7" s="2"/>
      <c r="SLU7" s="2"/>
      <c r="SLV7" s="2"/>
      <c r="SLW7" s="6"/>
      <c r="SLX7" s="7"/>
      <c r="SLY7" s="8"/>
      <c r="SLZ7" s="9"/>
      <c r="SMA7" s="8"/>
      <c r="SMB7" s="7"/>
      <c r="SMC7" s="9"/>
      <c r="SMD7" s="8"/>
      <c r="SME7" s="8"/>
      <c r="SMF7" s="7"/>
      <c r="SMG7" s="9"/>
      <c r="SMH7" s="2"/>
      <c r="SMI7" s="2"/>
      <c r="SMJ7" s="2"/>
      <c r="SMK7" s="2"/>
      <c r="SML7" s="2"/>
      <c r="SMM7" s="2"/>
      <c r="SMN7" s="2"/>
      <c r="SMO7" s="2"/>
      <c r="SMP7" s="2"/>
      <c r="SMQ7" s="2"/>
      <c r="SMR7" s="2"/>
      <c r="SMS7" s="6"/>
      <c r="SMT7" s="7"/>
      <c r="SMU7" s="8"/>
      <c r="SMV7" s="9"/>
      <c r="SMW7" s="8"/>
      <c r="SMX7" s="7"/>
      <c r="SMY7" s="9"/>
      <c r="SMZ7" s="8"/>
      <c r="SNA7" s="8"/>
      <c r="SNB7" s="7"/>
      <c r="SNC7" s="9"/>
      <c r="SND7" s="2"/>
      <c r="SNE7" s="2"/>
      <c r="SNF7" s="2"/>
      <c r="SNG7" s="2"/>
      <c r="SNH7" s="2"/>
      <c r="SNI7" s="2"/>
      <c r="SNJ7" s="2"/>
      <c r="SNK7" s="2"/>
      <c r="SNL7" s="2"/>
      <c r="SNM7" s="2"/>
      <c r="SNN7" s="2"/>
      <c r="SNO7" s="6"/>
      <c r="SNP7" s="7"/>
      <c r="SNQ7" s="8"/>
      <c r="SNR7" s="9"/>
      <c r="SNS7" s="8"/>
      <c r="SNT7" s="7"/>
      <c r="SNU7" s="9"/>
      <c r="SNV7" s="8"/>
      <c r="SNW7" s="8"/>
      <c r="SNX7" s="7"/>
      <c r="SNY7" s="9"/>
      <c r="SNZ7" s="2"/>
      <c r="SOA7" s="2"/>
      <c r="SOB7" s="2"/>
      <c r="SOC7" s="2"/>
      <c r="SOD7" s="2"/>
      <c r="SOE7" s="2"/>
      <c r="SOF7" s="2"/>
      <c r="SOG7" s="2"/>
      <c r="SOH7" s="2"/>
      <c r="SOI7" s="2"/>
      <c r="SOJ7" s="2"/>
      <c r="SOK7" s="6"/>
      <c r="SOL7" s="7"/>
      <c r="SOM7" s="8"/>
      <c r="SON7" s="9"/>
      <c r="SOO7" s="8"/>
      <c r="SOP7" s="7"/>
      <c r="SOQ7" s="9"/>
      <c r="SOR7" s="8"/>
      <c r="SOS7" s="8"/>
      <c r="SOT7" s="7"/>
      <c r="SOU7" s="9"/>
      <c r="SOV7" s="2"/>
      <c r="SOW7" s="2"/>
      <c r="SOX7" s="2"/>
      <c r="SOY7" s="2"/>
      <c r="SOZ7" s="2"/>
      <c r="SPA7" s="2"/>
      <c r="SPB7" s="2"/>
      <c r="SPC7" s="2"/>
      <c r="SPD7" s="2"/>
      <c r="SPE7" s="2"/>
      <c r="SPF7" s="2"/>
      <c r="SPG7" s="6"/>
      <c r="SPH7" s="7"/>
      <c r="SPI7" s="8"/>
      <c r="SPJ7" s="9"/>
      <c r="SPK7" s="8"/>
      <c r="SPL7" s="7"/>
      <c r="SPM7" s="9"/>
      <c r="SPN7" s="8"/>
      <c r="SPO7" s="8"/>
      <c r="SPP7" s="7"/>
      <c r="SPQ7" s="9"/>
      <c r="SPR7" s="2"/>
      <c r="SPS7" s="2"/>
      <c r="SPT7" s="2"/>
      <c r="SPU7" s="2"/>
      <c r="SPV7" s="2"/>
      <c r="SPW7" s="2"/>
      <c r="SPX7" s="2"/>
      <c r="SPY7" s="2"/>
      <c r="SPZ7" s="2"/>
      <c r="SQA7" s="2"/>
      <c r="SQB7" s="2"/>
      <c r="SQC7" s="6"/>
      <c r="SQD7" s="7"/>
      <c r="SQE7" s="8"/>
      <c r="SQF7" s="9"/>
      <c r="SQG7" s="8"/>
      <c r="SQH7" s="7"/>
      <c r="SQI7" s="9"/>
      <c r="SQJ7" s="8"/>
      <c r="SQK7" s="8"/>
      <c r="SQL7" s="7"/>
      <c r="SQM7" s="9"/>
      <c r="SQN7" s="2"/>
      <c r="SQO7" s="2"/>
      <c r="SQP7" s="2"/>
      <c r="SQQ7" s="2"/>
      <c r="SQR7" s="2"/>
      <c r="SQS7" s="2"/>
      <c r="SQT7" s="2"/>
      <c r="SQU7" s="2"/>
      <c r="SQV7" s="2"/>
      <c r="SQW7" s="2"/>
      <c r="SQX7" s="2"/>
      <c r="SQY7" s="6"/>
      <c r="SQZ7" s="7"/>
      <c r="SRA7" s="8"/>
      <c r="SRB7" s="9"/>
      <c r="SRC7" s="8"/>
      <c r="SRD7" s="7"/>
      <c r="SRE7" s="9"/>
      <c r="SRF7" s="8"/>
      <c r="SRG7" s="8"/>
      <c r="SRH7" s="7"/>
      <c r="SRI7" s="9"/>
      <c r="SRJ7" s="2"/>
      <c r="SRK7" s="2"/>
      <c r="SRL7" s="2"/>
      <c r="SRM7" s="2"/>
      <c r="SRN7" s="2"/>
      <c r="SRO7" s="2"/>
      <c r="SRP7" s="2"/>
      <c r="SRQ7" s="2"/>
      <c r="SRR7" s="2"/>
      <c r="SRS7" s="2"/>
      <c r="SRT7" s="2"/>
      <c r="SRU7" s="6"/>
      <c r="SRV7" s="7"/>
      <c r="SRW7" s="8"/>
      <c r="SRX7" s="9"/>
      <c r="SRY7" s="8"/>
      <c r="SRZ7" s="7"/>
      <c r="SSA7" s="9"/>
      <c r="SSB7" s="8"/>
      <c r="SSC7" s="8"/>
      <c r="SSD7" s="7"/>
      <c r="SSE7" s="9"/>
      <c r="SSF7" s="2"/>
      <c r="SSG7" s="2"/>
      <c r="SSH7" s="2"/>
      <c r="SSI7" s="2"/>
      <c r="SSJ7" s="2"/>
      <c r="SSK7" s="2"/>
      <c r="SSL7" s="2"/>
      <c r="SSM7" s="2"/>
      <c r="SSN7" s="2"/>
      <c r="SSO7" s="2"/>
      <c r="SSP7" s="2"/>
      <c r="SSQ7" s="6"/>
      <c r="SSR7" s="7"/>
      <c r="SSS7" s="8"/>
      <c r="SST7" s="9"/>
      <c r="SSU7" s="8"/>
      <c r="SSV7" s="7"/>
      <c r="SSW7" s="9"/>
      <c r="SSX7" s="8"/>
      <c r="SSY7" s="8"/>
      <c r="SSZ7" s="7"/>
      <c r="STA7" s="9"/>
      <c r="STB7" s="2"/>
      <c r="STC7" s="2"/>
      <c r="STD7" s="2"/>
      <c r="STE7" s="2"/>
      <c r="STF7" s="2"/>
      <c r="STG7" s="2"/>
      <c r="STH7" s="2"/>
      <c r="STI7" s="2"/>
      <c r="STJ7" s="2"/>
      <c r="STK7" s="2"/>
      <c r="STL7" s="2"/>
      <c r="STM7" s="6"/>
      <c r="STN7" s="7"/>
      <c r="STO7" s="8"/>
      <c r="STP7" s="9"/>
      <c r="STQ7" s="8"/>
      <c r="STR7" s="7"/>
      <c r="STS7" s="9"/>
      <c r="STT7" s="8"/>
      <c r="STU7" s="8"/>
      <c r="STV7" s="7"/>
      <c r="STW7" s="9"/>
      <c r="STX7" s="2"/>
      <c r="STY7" s="2"/>
      <c r="STZ7" s="2"/>
      <c r="SUA7" s="2"/>
      <c r="SUB7" s="2"/>
      <c r="SUC7" s="2"/>
      <c r="SUD7" s="2"/>
      <c r="SUE7" s="2"/>
      <c r="SUF7" s="2"/>
      <c r="SUG7" s="2"/>
      <c r="SUH7" s="2"/>
      <c r="SUI7" s="6"/>
      <c r="SUJ7" s="7"/>
      <c r="SUK7" s="8"/>
      <c r="SUL7" s="9"/>
      <c r="SUM7" s="8"/>
      <c r="SUN7" s="7"/>
      <c r="SUO7" s="9"/>
      <c r="SUP7" s="8"/>
      <c r="SUQ7" s="8"/>
      <c r="SUR7" s="7"/>
      <c r="SUS7" s="9"/>
      <c r="SUT7" s="2"/>
      <c r="SUU7" s="2"/>
      <c r="SUV7" s="2"/>
      <c r="SUW7" s="2"/>
      <c r="SUX7" s="2"/>
      <c r="SUY7" s="2"/>
      <c r="SUZ7" s="2"/>
      <c r="SVA7" s="2"/>
      <c r="SVB7" s="2"/>
      <c r="SVC7" s="2"/>
      <c r="SVD7" s="2"/>
      <c r="SVE7" s="6"/>
      <c r="SVF7" s="7"/>
      <c r="SVG7" s="8"/>
      <c r="SVH7" s="9"/>
      <c r="SVI7" s="8"/>
      <c r="SVJ7" s="7"/>
      <c r="SVK7" s="9"/>
      <c r="SVL7" s="8"/>
      <c r="SVM7" s="8"/>
      <c r="SVN7" s="7"/>
      <c r="SVO7" s="9"/>
      <c r="SVP7" s="2"/>
      <c r="SVQ7" s="2"/>
      <c r="SVR7" s="2"/>
      <c r="SVS7" s="2"/>
      <c r="SVT7" s="2"/>
      <c r="SVU7" s="2"/>
      <c r="SVV7" s="2"/>
      <c r="SVW7" s="2"/>
      <c r="SVX7" s="2"/>
      <c r="SVY7" s="2"/>
      <c r="SVZ7" s="2"/>
      <c r="SWA7" s="6"/>
      <c r="SWB7" s="7"/>
      <c r="SWC7" s="8"/>
      <c r="SWD7" s="9"/>
      <c r="SWE7" s="8"/>
      <c r="SWF7" s="7"/>
      <c r="SWG7" s="9"/>
      <c r="SWH7" s="8"/>
      <c r="SWI7" s="8"/>
      <c r="SWJ7" s="7"/>
      <c r="SWK7" s="9"/>
      <c r="SWL7" s="2"/>
      <c r="SWM7" s="2"/>
      <c r="SWN7" s="2"/>
      <c r="SWO7" s="2"/>
      <c r="SWP7" s="2"/>
      <c r="SWQ7" s="2"/>
      <c r="SWR7" s="2"/>
      <c r="SWS7" s="2"/>
      <c r="SWT7" s="2"/>
      <c r="SWU7" s="2"/>
      <c r="SWV7" s="2"/>
      <c r="SWW7" s="6"/>
      <c r="SWX7" s="7"/>
      <c r="SWY7" s="8"/>
      <c r="SWZ7" s="9"/>
      <c r="SXA7" s="8"/>
      <c r="SXB7" s="7"/>
      <c r="SXC7" s="9"/>
      <c r="SXD7" s="8"/>
      <c r="SXE7" s="8"/>
      <c r="SXF7" s="7"/>
      <c r="SXG7" s="9"/>
      <c r="SXH7" s="2"/>
      <c r="SXI7" s="2"/>
      <c r="SXJ7" s="2"/>
      <c r="SXK7" s="2"/>
      <c r="SXL7" s="2"/>
      <c r="SXM7" s="2"/>
      <c r="SXN7" s="2"/>
      <c r="SXO7" s="2"/>
      <c r="SXP7" s="2"/>
      <c r="SXQ7" s="2"/>
      <c r="SXR7" s="2"/>
      <c r="SXS7" s="6"/>
      <c r="SXT7" s="7"/>
      <c r="SXU7" s="8"/>
      <c r="SXV7" s="9"/>
      <c r="SXW7" s="8"/>
      <c r="SXX7" s="7"/>
      <c r="SXY7" s="9"/>
      <c r="SXZ7" s="8"/>
      <c r="SYA7" s="8"/>
      <c r="SYB7" s="7"/>
      <c r="SYC7" s="9"/>
      <c r="SYD7" s="2"/>
      <c r="SYE7" s="2"/>
      <c r="SYF7" s="2"/>
      <c r="SYG7" s="2"/>
      <c r="SYH7" s="2"/>
      <c r="SYI7" s="2"/>
      <c r="SYJ7" s="2"/>
      <c r="SYK7" s="2"/>
      <c r="SYL7" s="2"/>
      <c r="SYM7" s="2"/>
      <c r="SYN7" s="2"/>
      <c r="SYO7" s="6"/>
      <c r="SYP7" s="7"/>
      <c r="SYQ7" s="8"/>
      <c r="SYR7" s="9"/>
      <c r="SYS7" s="8"/>
      <c r="SYT7" s="7"/>
      <c r="SYU7" s="9"/>
      <c r="SYV7" s="8"/>
      <c r="SYW7" s="8"/>
      <c r="SYX7" s="7"/>
      <c r="SYY7" s="9"/>
      <c r="SYZ7" s="2"/>
      <c r="SZA7" s="2"/>
      <c r="SZB7" s="2"/>
      <c r="SZC7" s="2"/>
      <c r="SZD7" s="2"/>
      <c r="SZE7" s="2"/>
      <c r="SZF7" s="2"/>
      <c r="SZG7" s="2"/>
      <c r="SZH7" s="2"/>
      <c r="SZI7" s="2"/>
      <c r="SZJ7" s="2"/>
      <c r="SZK7" s="6"/>
      <c r="SZL7" s="7"/>
      <c r="SZM7" s="8"/>
      <c r="SZN7" s="9"/>
      <c r="SZO7" s="8"/>
      <c r="SZP7" s="7"/>
      <c r="SZQ7" s="9"/>
      <c r="SZR7" s="8"/>
      <c r="SZS7" s="8"/>
      <c r="SZT7" s="7"/>
      <c r="SZU7" s="9"/>
      <c r="SZV7" s="2"/>
      <c r="SZW7" s="2"/>
      <c r="SZX7" s="2"/>
      <c r="SZY7" s="2"/>
      <c r="SZZ7" s="2"/>
      <c r="TAA7" s="2"/>
      <c r="TAB7" s="2"/>
      <c r="TAC7" s="2"/>
      <c r="TAD7" s="2"/>
      <c r="TAE7" s="2"/>
      <c r="TAF7" s="2"/>
      <c r="TAG7" s="6"/>
      <c r="TAH7" s="7"/>
      <c r="TAI7" s="8"/>
      <c r="TAJ7" s="9"/>
      <c r="TAK7" s="8"/>
      <c r="TAL7" s="7"/>
      <c r="TAM7" s="9"/>
      <c r="TAN7" s="8"/>
      <c r="TAO7" s="8"/>
      <c r="TAP7" s="7"/>
      <c r="TAQ7" s="9"/>
      <c r="TAR7" s="2"/>
      <c r="TAS7" s="2"/>
      <c r="TAT7" s="2"/>
      <c r="TAU7" s="2"/>
      <c r="TAV7" s="2"/>
      <c r="TAW7" s="2"/>
      <c r="TAX7" s="2"/>
      <c r="TAY7" s="2"/>
      <c r="TAZ7" s="2"/>
      <c r="TBA7" s="2"/>
      <c r="TBB7" s="2"/>
      <c r="TBC7" s="6"/>
      <c r="TBD7" s="7"/>
      <c r="TBE7" s="8"/>
      <c r="TBF7" s="9"/>
      <c r="TBG7" s="8"/>
      <c r="TBH7" s="7"/>
      <c r="TBI7" s="9"/>
      <c r="TBJ7" s="8"/>
      <c r="TBK7" s="8"/>
      <c r="TBL7" s="7"/>
      <c r="TBM7" s="9"/>
      <c r="TBN7" s="2"/>
      <c r="TBO7" s="2"/>
      <c r="TBP7" s="2"/>
      <c r="TBQ7" s="2"/>
      <c r="TBR7" s="2"/>
      <c r="TBS7" s="2"/>
      <c r="TBT7" s="2"/>
      <c r="TBU7" s="2"/>
      <c r="TBV7" s="2"/>
      <c r="TBW7" s="2"/>
      <c r="TBX7" s="2"/>
      <c r="TBY7" s="6"/>
      <c r="TBZ7" s="7"/>
      <c r="TCA7" s="8"/>
      <c r="TCB7" s="9"/>
      <c r="TCC7" s="8"/>
      <c r="TCD7" s="7"/>
      <c r="TCE7" s="9"/>
      <c r="TCF7" s="8"/>
      <c r="TCG7" s="8"/>
      <c r="TCH7" s="7"/>
      <c r="TCI7" s="9"/>
      <c r="TCJ7" s="2"/>
      <c r="TCK7" s="2"/>
      <c r="TCL7" s="2"/>
      <c r="TCM7" s="2"/>
      <c r="TCN7" s="2"/>
      <c r="TCO7" s="2"/>
      <c r="TCP7" s="2"/>
      <c r="TCQ7" s="2"/>
      <c r="TCR7" s="2"/>
      <c r="TCS7" s="2"/>
      <c r="TCT7" s="2"/>
      <c r="TCU7" s="6"/>
      <c r="TCV7" s="7"/>
      <c r="TCW7" s="8"/>
      <c r="TCX7" s="9"/>
      <c r="TCY7" s="8"/>
      <c r="TCZ7" s="7"/>
      <c r="TDA7" s="9"/>
      <c r="TDB7" s="8"/>
      <c r="TDC7" s="8"/>
      <c r="TDD7" s="7"/>
      <c r="TDE7" s="9"/>
      <c r="TDF7" s="2"/>
      <c r="TDG7" s="2"/>
      <c r="TDH7" s="2"/>
      <c r="TDI7" s="2"/>
      <c r="TDJ7" s="2"/>
      <c r="TDK7" s="2"/>
      <c r="TDL7" s="2"/>
      <c r="TDM7" s="2"/>
      <c r="TDN7" s="2"/>
      <c r="TDO7" s="2"/>
      <c r="TDP7" s="2"/>
      <c r="TDQ7" s="6"/>
      <c r="TDR7" s="7"/>
      <c r="TDS7" s="8"/>
      <c r="TDT7" s="9"/>
      <c r="TDU7" s="8"/>
      <c r="TDV7" s="7"/>
      <c r="TDW7" s="9"/>
      <c r="TDX7" s="8"/>
      <c r="TDY7" s="8"/>
      <c r="TDZ7" s="7"/>
      <c r="TEA7" s="9"/>
      <c r="TEB7" s="2"/>
      <c r="TEC7" s="2"/>
      <c r="TED7" s="2"/>
      <c r="TEE7" s="2"/>
      <c r="TEF7" s="2"/>
      <c r="TEG7" s="2"/>
      <c r="TEH7" s="2"/>
      <c r="TEI7" s="2"/>
      <c r="TEJ7" s="2"/>
      <c r="TEK7" s="2"/>
      <c r="TEL7" s="2"/>
      <c r="TEM7" s="6"/>
      <c r="TEN7" s="7"/>
      <c r="TEO7" s="8"/>
      <c r="TEP7" s="9"/>
      <c r="TEQ7" s="8"/>
      <c r="TER7" s="7"/>
      <c r="TES7" s="9"/>
      <c r="TET7" s="8"/>
      <c r="TEU7" s="8"/>
      <c r="TEV7" s="7"/>
      <c r="TEW7" s="9"/>
      <c r="TEX7" s="2"/>
      <c r="TEY7" s="2"/>
      <c r="TEZ7" s="2"/>
      <c r="TFA7" s="2"/>
      <c r="TFB7" s="2"/>
      <c r="TFC7" s="2"/>
      <c r="TFD7" s="2"/>
      <c r="TFE7" s="2"/>
      <c r="TFF7" s="2"/>
      <c r="TFG7" s="2"/>
      <c r="TFH7" s="2"/>
      <c r="TFI7" s="6"/>
      <c r="TFJ7" s="7"/>
      <c r="TFK7" s="8"/>
      <c r="TFL7" s="9"/>
      <c r="TFM7" s="8"/>
      <c r="TFN7" s="7"/>
      <c r="TFO7" s="9"/>
      <c r="TFP7" s="8"/>
      <c r="TFQ7" s="8"/>
      <c r="TFR7" s="7"/>
      <c r="TFS7" s="9"/>
      <c r="TFT7" s="2"/>
      <c r="TFU7" s="2"/>
      <c r="TFV7" s="2"/>
      <c r="TFW7" s="2"/>
      <c r="TFX7" s="2"/>
      <c r="TFY7" s="2"/>
      <c r="TFZ7" s="2"/>
      <c r="TGA7" s="2"/>
      <c r="TGB7" s="2"/>
      <c r="TGC7" s="2"/>
      <c r="TGD7" s="2"/>
      <c r="TGE7" s="6"/>
      <c r="TGF7" s="7"/>
      <c r="TGG7" s="8"/>
      <c r="TGH7" s="9"/>
      <c r="TGI7" s="8"/>
      <c r="TGJ7" s="7"/>
      <c r="TGK7" s="9"/>
      <c r="TGL7" s="8"/>
      <c r="TGM7" s="8"/>
      <c r="TGN7" s="7"/>
      <c r="TGO7" s="9"/>
      <c r="TGP7" s="2"/>
      <c r="TGQ7" s="2"/>
      <c r="TGR7" s="2"/>
      <c r="TGS7" s="2"/>
      <c r="TGT7" s="2"/>
      <c r="TGU7" s="2"/>
      <c r="TGV7" s="2"/>
      <c r="TGW7" s="2"/>
      <c r="TGX7" s="2"/>
      <c r="TGY7" s="2"/>
      <c r="TGZ7" s="2"/>
      <c r="THA7" s="6"/>
      <c r="THB7" s="7"/>
      <c r="THC7" s="8"/>
      <c r="THD7" s="9"/>
      <c r="THE7" s="8"/>
      <c r="THF7" s="7"/>
      <c r="THG7" s="9"/>
      <c r="THH7" s="8"/>
      <c r="THI7" s="8"/>
      <c r="THJ7" s="7"/>
      <c r="THK7" s="9"/>
      <c r="THL7" s="2"/>
      <c r="THM7" s="2"/>
      <c r="THN7" s="2"/>
      <c r="THO7" s="2"/>
      <c r="THP7" s="2"/>
      <c r="THQ7" s="2"/>
      <c r="THR7" s="2"/>
      <c r="THS7" s="2"/>
      <c r="THT7" s="2"/>
      <c r="THU7" s="2"/>
      <c r="THV7" s="2"/>
      <c r="THW7" s="6"/>
      <c r="THX7" s="7"/>
      <c r="THY7" s="8"/>
      <c r="THZ7" s="9"/>
      <c r="TIA7" s="8"/>
      <c r="TIB7" s="7"/>
      <c r="TIC7" s="9"/>
      <c r="TID7" s="8"/>
      <c r="TIE7" s="8"/>
      <c r="TIF7" s="7"/>
      <c r="TIG7" s="9"/>
      <c r="TIH7" s="2"/>
      <c r="TII7" s="2"/>
      <c r="TIJ7" s="2"/>
      <c r="TIK7" s="2"/>
      <c r="TIL7" s="2"/>
      <c r="TIM7" s="2"/>
      <c r="TIN7" s="2"/>
      <c r="TIO7" s="2"/>
      <c r="TIP7" s="2"/>
      <c r="TIQ7" s="2"/>
      <c r="TIR7" s="2"/>
      <c r="TIS7" s="6"/>
      <c r="TIT7" s="7"/>
      <c r="TIU7" s="8"/>
      <c r="TIV7" s="9"/>
      <c r="TIW7" s="8"/>
      <c r="TIX7" s="7"/>
      <c r="TIY7" s="9"/>
      <c r="TIZ7" s="8"/>
      <c r="TJA7" s="8"/>
      <c r="TJB7" s="7"/>
      <c r="TJC7" s="9"/>
      <c r="TJD7" s="2"/>
      <c r="TJE7" s="2"/>
      <c r="TJF7" s="2"/>
      <c r="TJG7" s="2"/>
      <c r="TJH7" s="2"/>
      <c r="TJI7" s="2"/>
      <c r="TJJ7" s="2"/>
      <c r="TJK7" s="2"/>
      <c r="TJL7" s="2"/>
      <c r="TJM7" s="2"/>
      <c r="TJN7" s="2"/>
      <c r="TJO7" s="6"/>
      <c r="TJP7" s="7"/>
      <c r="TJQ7" s="8"/>
      <c r="TJR7" s="9"/>
      <c r="TJS7" s="8"/>
      <c r="TJT7" s="7"/>
      <c r="TJU7" s="9"/>
      <c r="TJV7" s="8"/>
      <c r="TJW7" s="8"/>
      <c r="TJX7" s="7"/>
      <c r="TJY7" s="9"/>
      <c r="TJZ7" s="2"/>
      <c r="TKA7" s="2"/>
      <c r="TKB7" s="2"/>
      <c r="TKC7" s="2"/>
      <c r="TKD7" s="2"/>
      <c r="TKE7" s="2"/>
      <c r="TKF7" s="2"/>
      <c r="TKG7" s="2"/>
      <c r="TKH7" s="2"/>
      <c r="TKI7" s="2"/>
      <c r="TKJ7" s="2"/>
      <c r="TKK7" s="6"/>
      <c r="TKL7" s="7"/>
      <c r="TKM7" s="8"/>
      <c r="TKN7" s="9"/>
      <c r="TKO7" s="8"/>
      <c r="TKP7" s="7"/>
      <c r="TKQ7" s="9"/>
      <c r="TKR7" s="8"/>
      <c r="TKS7" s="8"/>
      <c r="TKT7" s="7"/>
      <c r="TKU7" s="9"/>
      <c r="TKV7" s="2"/>
      <c r="TKW7" s="2"/>
      <c r="TKX7" s="2"/>
      <c r="TKY7" s="2"/>
      <c r="TKZ7" s="2"/>
      <c r="TLA7" s="2"/>
      <c r="TLB7" s="2"/>
      <c r="TLC7" s="2"/>
      <c r="TLD7" s="2"/>
      <c r="TLE7" s="2"/>
      <c r="TLF7" s="2"/>
      <c r="TLG7" s="6"/>
      <c r="TLH7" s="7"/>
      <c r="TLI7" s="8"/>
      <c r="TLJ7" s="9"/>
      <c r="TLK7" s="8"/>
      <c r="TLL7" s="7"/>
      <c r="TLM7" s="9"/>
      <c r="TLN7" s="8"/>
      <c r="TLO7" s="8"/>
      <c r="TLP7" s="7"/>
      <c r="TLQ7" s="9"/>
      <c r="TLR7" s="2"/>
      <c r="TLS7" s="2"/>
      <c r="TLT7" s="2"/>
      <c r="TLU7" s="2"/>
      <c r="TLV7" s="2"/>
      <c r="TLW7" s="2"/>
      <c r="TLX7" s="2"/>
      <c r="TLY7" s="2"/>
      <c r="TLZ7" s="2"/>
      <c r="TMA7" s="2"/>
      <c r="TMB7" s="2"/>
      <c r="TMC7" s="6"/>
      <c r="TMD7" s="7"/>
      <c r="TME7" s="8"/>
      <c r="TMF7" s="9"/>
      <c r="TMG7" s="8"/>
      <c r="TMH7" s="7"/>
      <c r="TMI7" s="9"/>
      <c r="TMJ7" s="8"/>
      <c r="TMK7" s="8"/>
      <c r="TML7" s="7"/>
      <c r="TMM7" s="9"/>
      <c r="TMN7" s="2"/>
      <c r="TMO7" s="2"/>
      <c r="TMP7" s="2"/>
      <c r="TMQ7" s="2"/>
      <c r="TMR7" s="2"/>
      <c r="TMS7" s="2"/>
      <c r="TMT7" s="2"/>
      <c r="TMU7" s="2"/>
      <c r="TMV7" s="2"/>
      <c r="TMW7" s="2"/>
      <c r="TMX7" s="2"/>
      <c r="TMY7" s="6"/>
      <c r="TMZ7" s="7"/>
      <c r="TNA7" s="8"/>
      <c r="TNB7" s="9"/>
      <c r="TNC7" s="8"/>
      <c r="TND7" s="7"/>
      <c r="TNE7" s="9"/>
      <c r="TNF7" s="8"/>
      <c r="TNG7" s="8"/>
      <c r="TNH7" s="7"/>
      <c r="TNI7" s="9"/>
      <c r="TNJ7" s="2"/>
      <c r="TNK7" s="2"/>
      <c r="TNL7" s="2"/>
      <c r="TNM7" s="2"/>
      <c r="TNN7" s="2"/>
      <c r="TNO7" s="2"/>
      <c r="TNP7" s="2"/>
      <c r="TNQ7" s="2"/>
      <c r="TNR7" s="2"/>
      <c r="TNS7" s="2"/>
      <c r="TNT7" s="2"/>
      <c r="TNU7" s="6"/>
      <c r="TNV7" s="7"/>
      <c r="TNW7" s="8"/>
      <c r="TNX7" s="9"/>
      <c r="TNY7" s="8"/>
      <c r="TNZ7" s="7"/>
      <c r="TOA7" s="9"/>
      <c r="TOB7" s="8"/>
      <c r="TOC7" s="8"/>
      <c r="TOD7" s="7"/>
      <c r="TOE7" s="9"/>
      <c r="TOF7" s="2"/>
      <c r="TOG7" s="2"/>
      <c r="TOH7" s="2"/>
      <c r="TOI7" s="2"/>
      <c r="TOJ7" s="2"/>
      <c r="TOK7" s="2"/>
      <c r="TOL7" s="2"/>
      <c r="TOM7" s="2"/>
      <c r="TON7" s="2"/>
      <c r="TOO7" s="2"/>
      <c r="TOP7" s="2"/>
      <c r="TOQ7" s="6"/>
      <c r="TOR7" s="7"/>
      <c r="TOS7" s="8"/>
      <c r="TOT7" s="9"/>
      <c r="TOU7" s="8"/>
      <c r="TOV7" s="7"/>
      <c r="TOW7" s="9"/>
      <c r="TOX7" s="8"/>
      <c r="TOY7" s="8"/>
      <c r="TOZ7" s="7"/>
      <c r="TPA7" s="9"/>
      <c r="TPB7" s="2"/>
      <c r="TPC7" s="2"/>
      <c r="TPD7" s="2"/>
      <c r="TPE7" s="2"/>
      <c r="TPF7" s="2"/>
      <c r="TPG7" s="2"/>
      <c r="TPH7" s="2"/>
      <c r="TPI7" s="2"/>
      <c r="TPJ7" s="2"/>
      <c r="TPK7" s="2"/>
      <c r="TPL7" s="2"/>
      <c r="TPM7" s="6"/>
      <c r="TPN7" s="7"/>
      <c r="TPO7" s="8"/>
      <c r="TPP7" s="9"/>
      <c r="TPQ7" s="8"/>
      <c r="TPR7" s="7"/>
      <c r="TPS7" s="9"/>
      <c r="TPT7" s="8"/>
      <c r="TPU7" s="8"/>
      <c r="TPV7" s="7"/>
      <c r="TPW7" s="9"/>
      <c r="TPX7" s="2"/>
      <c r="TPY7" s="2"/>
      <c r="TPZ7" s="2"/>
      <c r="TQA7" s="2"/>
      <c r="TQB7" s="2"/>
      <c r="TQC7" s="2"/>
      <c r="TQD7" s="2"/>
      <c r="TQE7" s="2"/>
      <c r="TQF7" s="2"/>
      <c r="TQG7" s="2"/>
      <c r="TQH7" s="2"/>
      <c r="TQI7" s="6"/>
      <c r="TQJ7" s="7"/>
      <c r="TQK7" s="8"/>
      <c r="TQL7" s="9"/>
      <c r="TQM7" s="8"/>
      <c r="TQN7" s="7"/>
      <c r="TQO7" s="9"/>
      <c r="TQP7" s="8"/>
      <c r="TQQ7" s="8"/>
      <c r="TQR7" s="7"/>
      <c r="TQS7" s="9"/>
      <c r="TQT7" s="2"/>
      <c r="TQU7" s="2"/>
      <c r="TQV7" s="2"/>
      <c r="TQW7" s="2"/>
      <c r="TQX7" s="2"/>
      <c r="TQY7" s="2"/>
      <c r="TQZ7" s="2"/>
      <c r="TRA7" s="2"/>
      <c r="TRB7" s="2"/>
      <c r="TRC7" s="2"/>
      <c r="TRD7" s="2"/>
      <c r="TRE7" s="6"/>
      <c r="TRF7" s="7"/>
      <c r="TRG7" s="8"/>
      <c r="TRH7" s="9"/>
      <c r="TRI7" s="8"/>
      <c r="TRJ7" s="7"/>
      <c r="TRK7" s="9"/>
      <c r="TRL7" s="8"/>
      <c r="TRM7" s="8"/>
      <c r="TRN7" s="7"/>
      <c r="TRO7" s="9"/>
      <c r="TRP7" s="2"/>
      <c r="TRQ7" s="2"/>
      <c r="TRR7" s="2"/>
      <c r="TRS7" s="2"/>
      <c r="TRT7" s="2"/>
      <c r="TRU7" s="2"/>
      <c r="TRV7" s="2"/>
      <c r="TRW7" s="2"/>
      <c r="TRX7" s="2"/>
      <c r="TRY7" s="2"/>
      <c r="TRZ7" s="2"/>
      <c r="TSA7" s="6"/>
      <c r="TSB7" s="7"/>
      <c r="TSC7" s="8"/>
      <c r="TSD7" s="9"/>
      <c r="TSE7" s="8"/>
      <c r="TSF7" s="7"/>
      <c r="TSG7" s="9"/>
      <c r="TSH7" s="8"/>
      <c r="TSI7" s="8"/>
      <c r="TSJ7" s="7"/>
      <c r="TSK7" s="9"/>
      <c r="TSL7" s="2"/>
      <c r="TSM7" s="2"/>
      <c r="TSN7" s="2"/>
      <c r="TSO7" s="2"/>
      <c r="TSP7" s="2"/>
      <c r="TSQ7" s="2"/>
      <c r="TSR7" s="2"/>
      <c r="TSS7" s="2"/>
      <c r="TST7" s="2"/>
      <c r="TSU7" s="2"/>
      <c r="TSV7" s="2"/>
      <c r="TSW7" s="6"/>
      <c r="TSX7" s="7"/>
      <c r="TSY7" s="8"/>
      <c r="TSZ7" s="9"/>
      <c r="TTA7" s="8"/>
      <c r="TTB7" s="7"/>
      <c r="TTC7" s="9"/>
      <c r="TTD7" s="8"/>
      <c r="TTE7" s="8"/>
      <c r="TTF7" s="7"/>
      <c r="TTG7" s="9"/>
      <c r="TTH7" s="2"/>
      <c r="TTI7" s="2"/>
      <c r="TTJ7" s="2"/>
      <c r="TTK7" s="2"/>
      <c r="TTL7" s="2"/>
      <c r="TTM7" s="2"/>
      <c r="TTN7" s="2"/>
      <c r="TTO7" s="2"/>
      <c r="TTP7" s="2"/>
      <c r="TTQ7" s="2"/>
      <c r="TTR7" s="2"/>
      <c r="TTS7" s="6"/>
      <c r="TTT7" s="7"/>
      <c r="TTU7" s="8"/>
      <c r="TTV7" s="9"/>
      <c r="TTW7" s="8"/>
      <c r="TTX7" s="7"/>
      <c r="TTY7" s="9"/>
      <c r="TTZ7" s="8"/>
      <c r="TUA7" s="8"/>
      <c r="TUB7" s="7"/>
      <c r="TUC7" s="9"/>
      <c r="TUD7" s="2"/>
      <c r="TUE7" s="2"/>
      <c r="TUF7" s="2"/>
      <c r="TUG7" s="2"/>
      <c r="TUH7" s="2"/>
      <c r="TUI7" s="2"/>
      <c r="TUJ7" s="2"/>
      <c r="TUK7" s="2"/>
      <c r="TUL7" s="2"/>
      <c r="TUM7" s="2"/>
      <c r="TUN7" s="2"/>
      <c r="TUO7" s="6"/>
      <c r="TUP7" s="7"/>
      <c r="TUQ7" s="8"/>
      <c r="TUR7" s="9"/>
      <c r="TUS7" s="8"/>
      <c r="TUT7" s="7"/>
      <c r="TUU7" s="9"/>
      <c r="TUV7" s="8"/>
      <c r="TUW7" s="8"/>
      <c r="TUX7" s="7"/>
      <c r="TUY7" s="9"/>
      <c r="TUZ7" s="2"/>
      <c r="TVA7" s="2"/>
      <c r="TVB7" s="2"/>
      <c r="TVC7" s="2"/>
      <c r="TVD7" s="2"/>
      <c r="TVE7" s="2"/>
      <c r="TVF7" s="2"/>
      <c r="TVG7" s="2"/>
      <c r="TVH7" s="2"/>
      <c r="TVI7" s="2"/>
      <c r="TVJ7" s="2"/>
      <c r="TVK7" s="6"/>
      <c r="TVL7" s="7"/>
      <c r="TVM7" s="8"/>
      <c r="TVN7" s="9"/>
      <c r="TVO7" s="8"/>
      <c r="TVP7" s="7"/>
      <c r="TVQ7" s="9"/>
      <c r="TVR7" s="8"/>
      <c r="TVS7" s="8"/>
      <c r="TVT7" s="7"/>
      <c r="TVU7" s="9"/>
      <c r="TVV7" s="2"/>
      <c r="TVW7" s="2"/>
      <c r="TVX7" s="2"/>
      <c r="TVY7" s="2"/>
      <c r="TVZ7" s="2"/>
      <c r="TWA7" s="2"/>
      <c r="TWB7" s="2"/>
      <c r="TWC7" s="2"/>
      <c r="TWD7" s="2"/>
      <c r="TWE7" s="2"/>
      <c r="TWF7" s="2"/>
      <c r="TWG7" s="6"/>
      <c r="TWH7" s="7"/>
      <c r="TWI7" s="8"/>
      <c r="TWJ7" s="9"/>
      <c r="TWK7" s="8"/>
      <c r="TWL7" s="7"/>
      <c r="TWM7" s="9"/>
      <c r="TWN7" s="8"/>
      <c r="TWO7" s="8"/>
      <c r="TWP7" s="7"/>
      <c r="TWQ7" s="9"/>
      <c r="TWR7" s="2"/>
      <c r="TWS7" s="2"/>
      <c r="TWT7" s="2"/>
      <c r="TWU7" s="2"/>
      <c r="TWV7" s="2"/>
      <c r="TWW7" s="2"/>
      <c r="TWX7" s="2"/>
      <c r="TWY7" s="2"/>
      <c r="TWZ7" s="2"/>
      <c r="TXA7" s="2"/>
      <c r="TXB7" s="2"/>
      <c r="TXC7" s="6"/>
      <c r="TXD7" s="7"/>
      <c r="TXE7" s="8"/>
      <c r="TXF7" s="9"/>
      <c r="TXG7" s="8"/>
      <c r="TXH7" s="7"/>
      <c r="TXI7" s="9"/>
      <c r="TXJ7" s="8"/>
      <c r="TXK7" s="8"/>
      <c r="TXL7" s="7"/>
      <c r="TXM7" s="9"/>
      <c r="TXN7" s="2"/>
      <c r="TXO7" s="2"/>
      <c r="TXP7" s="2"/>
      <c r="TXQ7" s="2"/>
      <c r="TXR7" s="2"/>
      <c r="TXS7" s="2"/>
      <c r="TXT7" s="2"/>
      <c r="TXU7" s="2"/>
      <c r="TXV7" s="2"/>
      <c r="TXW7" s="2"/>
      <c r="TXX7" s="2"/>
      <c r="TXY7" s="6"/>
      <c r="TXZ7" s="7"/>
      <c r="TYA7" s="8"/>
      <c r="TYB7" s="9"/>
      <c r="TYC7" s="8"/>
      <c r="TYD7" s="7"/>
      <c r="TYE7" s="9"/>
      <c r="TYF7" s="8"/>
      <c r="TYG7" s="8"/>
      <c r="TYH7" s="7"/>
      <c r="TYI7" s="9"/>
      <c r="TYJ7" s="2"/>
      <c r="TYK7" s="2"/>
      <c r="TYL7" s="2"/>
      <c r="TYM7" s="2"/>
      <c r="TYN7" s="2"/>
      <c r="TYO7" s="2"/>
      <c r="TYP7" s="2"/>
      <c r="TYQ7" s="2"/>
      <c r="TYR7" s="2"/>
      <c r="TYS7" s="2"/>
      <c r="TYT7" s="2"/>
      <c r="TYU7" s="6"/>
      <c r="TYV7" s="7"/>
      <c r="TYW7" s="8"/>
      <c r="TYX7" s="9"/>
      <c r="TYY7" s="8"/>
      <c r="TYZ7" s="7"/>
      <c r="TZA7" s="9"/>
      <c r="TZB7" s="8"/>
      <c r="TZC7" s="8"/>
      <c r="TZD7" s="7"/>
      <c r="TZE7" s="9"/>
      <c r="TZF7" s="2"/>
      <c r="TZG7" s="2"/>
      <c r="TZH7" s="2"/>
      <c r="TZI7" s="2"/>
      <c r="TZJ7" s="2"/>
      <c r="TZK7" s="2"/>
      <c r="TZL7" s="2"/>
      <c r="TZM7" s="2"/>
      <c r="TZN7" s="2"/>
      <c r="TZO7" s="2"/>
      <c r="TZP7" s="2"/>
      <c r="TZQ7" s="6"/>
      <c r="TZR7" s="7"/>
      <c r="TZS7" s="8"/>
      <c r="TZT7" s="9"/>
      <c r="TZU7" s="8"/>
      <c r="TZV7" s="7"/>
      <c r="TZW7" s="9"/>
      <c r="TZX7" s="8"/>
      <c r="TZY7" s="8"/>
      <c r="TZZ7" s="7"/>
      <c r="UAA7" s="9"/>
      <c r="UAB7" s="2"/>
      <c r="UAC7" s="2"/>
      <c r="UAD7" s="2"/>
      <c r="UAE7" s="2"/>
      <c r="UAF7" s="2"/>
      <c r="UAG7" s="2"/>
      <c r="UAH7" s="2"/>
      <c r="UAI7" s="2"/>
      <c r="UAJ7" s="2"/>
      <c r="UAK7" s="2"/>
      <c r="UAL7" s="2"/>
      <c r="UAM7" s="6"/>
      <c r="UAN7" s="7"/>
      <c r="UAO7" s="8"/>
      <c r="UAP7" s="9"/>
      <c r="UAQ7" s="8"/>
      <c r="UAR7" s="7"/>
      <c r="UAS7" s="9"/>
      <c r="UAT7" s="8"/>
      <c r="UAU7" s="8"/>
      <c r="UAV7" s="7"/>
      <c r="UAW7" s="9"/>
      <c r="UAX7" s="2"/>
      <c r="UAY7" s="2"/>
      <c r="UAZ7" s="2"/>
      <c r="UBA7" s="2"/>
      <c r="UBB7" s="2"/>
      <c r="UBC7" s="2"/>
      <c r="UBD7" s="2"/>
      <c r="UBE7" s="2"/>
      <c r="UBF7" s="2"/>
      <c r="UBG7" s="2"/>
      <c r="UBH7" s="2"/>
      <c r="UBI7" s="6"/>
      <c r="UBJ7" s="7"/>
      <c r="UBK7" s="8"/>
      <c r="UBL7" s="9"/>
      <c r="UBM7" s="8"/>
      <c r="UBN7" s="7"/>
      <c r="UBO7" s="9"/>
      <c r="UBP7" s="8"/>
      <c r="UBQ7" s="8"/>
      <c r="UBR7" s="7"/>
      <c r="UBS7" s="9"/>
      <c r="UBT7" s="2"/>
      <c r="UBU7" s="2"/>
      <c r="UBV7" s="2"/>
      <c r="UBW7" s="2"/>
      <c r="UBX7" s="2"/>
      <c r="UBY7" s="2"/>
      <c r="UBZ7" s="2"/>
      <c r="UCA7" s="2"/>
      <c r="UCB7" s="2"/>
      <c r="UCC7" s="2"/>
      <c r="UCD7" s="2"/>
      <c r="UCE7" s="6"/>
      <c r="UCF7" s="7"/>
      <c r="UCG7" s="8"/>
      <c r="UCH7" s="9"/>
      <c r="UCI7" s="8"/>
      <c r="UCJ7" s="7"/>
      <c r="UCK7" s="9"/>
      <c r="UCL7" s="8"/>
      <c r="UCM7" s="8"/>
      <c r="UCN7" s="7"/>
      <c r="UCO7" s="9"/>
      <c r="UCP7" s="2"/>
      <c r="UCQ7" s="2"/>
      <c r="UCR7" s="2"/>
      <c r="UCS7" s="2"/>
      <c r="UCT7" s="2"/>
      <c r="UCU7" s="2"/>
      <c r="UCV7" s="2"/>
      <c r="UCW7" s="2"/>
      <c r="UCX7" s="2"/>
      <c r="UCY7" s="2"/>
      <c r="UCZ7" s="2"/>
      <c r="UDA7" s="6"/>
      <c r="UDB7" s="7"/>
      <c r="UDC7" s="8"/>
      <c r="UDD7" s="9"/>
      <c r="UDE7" s="8"/>
      <c r="UDF7" s="7"/>
      <c r="UDG7" s="9"/>
      <c r="UDH7" s="8"/>
      <c r="UDI7" s="8"/>
      <c r="UDJ7" s="7"/>
      <c r="UDK7" s="9"/>
      <c r="UDL7" s="2"/>
      <c r="UDM7" s="2"/>
      <c r="UDN7" s="2"/>
      <c r="UDO7" s="2"/>
      <c r="UDP7" s="2"/>
      <c r="UDQ7" s="2"/>
      <c r="UDR7" s="2"/>
      <c r="UDS7" s="2"/>
      <c r="UDT7" s="2"/>
      <c r="UDU7" s="2"/>
      <c r="UDV7" s="2"/>
      <c r="UDW7" s="6"/>
      <c r="UDX7" s="7"/>
      <c r="UDY7" s="8"/>
      <c r="UDZ7" s="9"/>
      <c r="UEA7" s="8"/>
      <c r="UEB7" s="7"/>
      <c r="UEC7" s="9"/>
      <c r="UED7" s="8"/>
      <c r="UEE7" s="8"/>
      <c r="UEF7" s="7"/>
      <c r="UEG7" s="9"/>
      <c r="UEH7" s="2"/>
      <c r="UEI7" s="2"/>
      <c r="UEJ7" s="2"/>
      <c r="UEK7" s="2"/>
      <c r="UEL7" s="2"/>
      <c r="UEM7" s="2"/>
      <c r="UEN7" s="2"/>
      <c r="UEO7" s="2"/>
      <c r="UEP7" s="2"/>
      <c r="UEQ7" s="2"/>
      <c r="UER7" s="2"/>
      <c r="UES7" s="6"/>
      <c r="UET7" s="7"/>
      <c r="UEU7" s="8"/>
      <c r="UEV7" s="9"/>
      <c r="UEW7" s="8"/>
      <c r="UEX7" s="7"/>
      <c r="UEY7" s="9"/>
      <c r="UEZ7" s="8"/>
      <c r="UFA7" s="8"/>
      <c r="UFB7" s="7"/>
      <c r="UFC7" s="9"/>
      <c r="UFD7" s="2"/>
      <c r="UFE7" s="2"/>
      <c r="UFF7" s="2"/>
      <c r="UFG7" s="2"/>
      <c r="UFH7" s="2"/>
      <c r="UFI7" s="2"/>
      <c r="UFJ7" s="2"/>
      <c r="UFK7" s="2"/>
      <c r="UFL7" s="2"/>
      <c r="UFM7" s="2"/>
      <c r="UFN7" s="2"/>
      <c r="UFO7" s="6"/>
      <c r="UFP7" s="7"/>
      <c r="UFQ7" s="8"/>
      <c r="UFR7" s="9"/>
      <c r="UFS7" s="8"/>
      <c r="UFT7" s="7"/>
      <c r="UFU7" s="9"/>
      <c r="UFV7" s="8"/>
      <c r="UFW7" s="8"/>
      <c r="UFX7" s="7"/>
      <c r="UFY7" s="9"/>
      <c r="UFZ7" s="2"/>
      <c r="UGA7" s="2"/>
      <c r="UGB7" s="2"/>
      <c r="UGC7" s="2"/>
      <c r="UGD7" s="2"/>
      <c r="UGE7" s="2"/>
      <c r="UGF7" s="2"/>
      <c r="UGG7" s="2"/>
      <c r="UGH7" s="2"/>
      <c r="UGI7" s="2"/>
      <c r="UGJ7" s="2"/>
      <c r="UGK7" s="6"/>
      <c r="UGL7" s="7"/>
      <c r="UGM7" s="8"/>
      <c r="UGN7" s="9"/>
      <c r="UGO7" s="8"/>
      <c r="UGP7" s="7"/>
      <c r="UGQ7" s="9"/>
      <c r="UGR7" s="8"/>
      <c r="UGS7" s="8"/>
      <c r="UGT7" s="7"/>
      <c r="UGU7" s="9"/>
      <c r="UGV7" s="2"/>
      <c r="UGW7" s="2"/>
      <c r="UGX7" s="2"/>
      <c r="UGY7" s="2"/>
      <c r="UGZ7" s="2"/>
      <c r="UHA7" s="2"/>
      <c r="UHB7" s="2"/>
      <c r="UHC7" s="2"/>
      <c r="UHD7" s="2"/>
      <c r="UHE7" s="2"/>
      <c r="UHF7" s="2"/>
      <c r="UHG7" s="6"/>
      <c r="UHH7" s="7"/>
      <c r="UHI7" s="8"/>
      <c r="UHJ7" s="9"/>
      <c r="UHK7" s="8"/>
      <c r="UHL7" s="7"/>
      <c r="UHM7" s="9"/>
      <c r="UHN7" s="8"/>
      <c r="UHO7" s="8"/>
      <c r="UHP7" s="7"/>
      <c r="UHQ7" s="9"/>
      <c r="UHR7" s="2"/>
      <c r="UHS7" s="2"/>
      <c r="UHT7" s="2"/>
      <c r="UHU7" s="2"/>
      <c r="UHV7" s="2"/>
      <c r="UHW7" s="2"/>
      <c r="UHX7" s="2"/>
      <c r="UHY7" s="2"/>
      <c r="UHZ7" s="2"/>
      <c r="UIA7" s="2"/>
      <c r="UIB7" s="2"/>
      <c r="UIC7" s="6"/>
      <c r="UID7" s="7"/>
      <c r="UIE7" s="8"/>
      <c r="UIF7" s="9"/>
      <c r="UIG7" s="8"/>
      <c r="UIH7" s="7"/>
      <c r="UII7" s="9"/>
      <c r="UIJ7" s="8"/>
      <c r="UIK7" s="8"/>
      <c r="UIL7" s="7"/>
      <c r="UIM7" s="9"/>
      <c r="UIN7" s="2"/>
      <c r="UIO7" s="2"/>
      <c r="UIP7" s="2"/>
      <c r="UIQ7" s="2"/>
      <c r="UIR7" s="2"/>
      <c r="UIS7" s="2"/>
      <c r="UIT7" s="2"/>
      <c r="UIU7" s="2"/>
      <c r="UIV7" s="2"/>
      <c r="UIW7" s="2"/>
      <c r="UIX7" s="2"/>
      <c r="UIY7" s="6"/>
      <c r="UIZ7" s="7"/>
      <c r="UJA7" s="8"/>
      <c r="UJB7" s="9"/>
      <c r="UJC7" s="8"/>
      <c r="UJD7" s="7"/>
      <c r="UJE7" s="9"/>
      <c r="UJF7" s="8"/>
      <c r="UJG7" s="8"/>
      <c r="UJH7" s="7"/>
      <c r="UJI7" s="9"/>
      <c r="UJJ7" s="2"/>
      <c r="UJK7" s="2"/>
      <c r="UJL7" s="2"/>
      <c r="UJM7" s="2"/>
      <c r="UJN7" s="2"/>
      <c r="UJO7" s="2"/>
      <c r="UJP7" s="2"/>
      <c r="UJQ7" s="2"/>
      <c r="UJR7" s="2"/>
      <c r="UJS7" s="2"/>
      <c r="UJT7" s="2"/>
      <c r="UJU7" s="6"/>
      <c r="UJV7" s="7"/>
      <c r="UJW7" s="8"/>
      <c r="UJX7" s="9"/>
      <c r="UJY7" s="8"/>
      <c r="UJZ7" s="7"/>
      <c r="UKA7" s="9"/>
      <c r="UKB7" s="8"/>
      <c r="UKC7" s="8"/>
      <c r="UKD7" s="7"/>
      <c r="UKE7" s="9"/>
      <c r="UKF7" s="2"/>
      <c r="UKG7" s="2"/>
      <c r="UKH7" s="2"/>
      <c r="UKI7" s="2"/>
      <c r="UKJ7" s="2"/>
      <c r="UKK7" s="2"/>
      <c r="UKL7" s="2"/>
      <c r="UKM7" s="2"/>
      <c r="UKN7" s="2"/>
      <c r="UKO7" s="2"/>
      <c r="UKP7" s="2"/>
      <c r="UKQ7" s="6"/>
      <c r="UKR7" s="7"/>
      <c r="UKS7" s="8"/>
      <c r="UKT7" s="9"/>
      <c r="UKU7" s="8"/>
      <c r="UKV7" s="7"/>
      <c r="UKW7" s="9"/>
      <c r="UKX7" s="8"/>
      <c r="UKY7" s="8"/>
      <c r="UKZ7" s="7"/>
      <c r="ULA7" s="9"/>
      <c r="ULB7" s="2"/>
      <c r="ULC7" s="2"/>
      <c r="ULD7" s="2"/>
      <c r="ULE7" s="2"/>
      <c r="ULF7" s="2"/>
      <c r="ULG7" s="2"/>
      <c r="ULH7" s="2"/>
      <c r="ULI7" s="2"/>
      <c r="ULJ7" s="2"/>
      <c r="ULK7" s="2"/>
      <c r="ULL7" s="2"/>
      <c r="ULM7" s="6"/>
      <c r="ULN7" s="7"/>
      <c r="ULO7" s="8"/>
      <c r="ULP7" s="9"/>
      <c r="ULQ7" s="8"/>
      <c r="ULR7" s="7"/>
      <c r="ULS7" s="9"/>
      <c r="ULT7" s="8"/>
      <c r="ULU7" s="8"/>
      <c r="ULV7" s="7"/>
      <c r="ULW7" s="9"/>
      <c r="ULX7" s="2"/>
      <c r="ULY7" s="2"/>
      <c r="ULZ7" s="2"/>
      <c r="UMA7" s="2"/>
      <c r="UMB7" s="2"/>
      <c r="UMC7" s="2"/>
      <c r="UMD7" s="2"/>
      <c r="UME7" s="2"/>
      <c r="UMF7" s="2"/>
      <c r="UMG7" s="2"/>
      <c r="UMH7" s="2"/>
      <c r="UMI7" s="6"/>
      <c r="UMJ7" s="7"/>
      <c r="UMK7" s="8"/>
      <c r="UML7" s="9"/>
      <c r="UMM7" s="8"/>
      <c r="UMN7" s="7"/>
      <c r="UMO7" s="9"/>
      <c r="UMP7" s="8"/>
      <c r="UMQ7" s="8"/>
      <c r="UMR7" s="7"/>
      <c r="UMS7" s="9"/>
      <c r="UMT7" s="2"/>
      <c r="UMU7" s="2"/>
      <c r="UMV7" s="2"/>
      <c r="UMW7" s="2"/>
      <c r="UMX7" s="2"/>
      <c r="UMY7" s="2"/>
      <c r="UMZ7" s="2"/>
      <c r="UNA7" s="2"/>
      <c r="UNB7" s="2"/>
      <c r="UNC7" s="2"/>
      <c r="UND7" s="2"/>
      <c r="UNE7" s="6"/>
      <c r="UNF7" s="7"/>
      <c r="UNG7" s="8"/>
      <c r="UNH7" s="9"/>
      <c r="UNI7" s="8"/>
      <c r="UNJ7" s="7"/>
      <c r="UNK7" s="9"/>
      <c r="UNL7" s="8"/>
      <c r="UNM7" s="8"/>
      <c r="UNN7" s="7"/>
      <c r="UNO7" s="9"/>
      <c r="UNP7" s="2"/>
      <c r="UNQ7" s="2"/>
      <c r="UNR7" s="2"/>
      <c r="UNS7" s="2"/>
      <c r="UNT7" s="2"/>
      <c r="UNU7" s="2"/>
      <c r="UNV7" s="2"/>
      <c r="UNW7" s="2"/>
      <c r="UNX7" s="2"/>
      <c r="UNY7" s="2"/>
      <c r="UNZ7" s="2"/>
      <c r="UOA7" s="6"/>
      <c r="UOB7" s="7"/>
      <c r="UOC7" s="8"/>
      <c r="UOD7" s="9"/>
      <c r="UOE7" s="8"/>
      <c r="UOF7" s="7"/>
      <c r="UOG7" s="9"/>
      <c r="UOH7" s="8"/>
      <c r="UOI7" s="8"/>
      <c r="UOJ7" s="7"/>
      <c r="UOK7" s="9"/>
      <c r="UOL7" s="2"/>
      <c r="UOM7" s="2"/>
      <c r="UON7" s="2"/>
      <c r="UOO7" s="2"/>
      <c r="UOP7" s="2"/>
      <c r="UOQ7" s="2"/>
      <c r="UOR7" s="2"/>
      <c r="UOS7" s="2"/>
      <c r="UOT7" s="2"/>
      <c r="UOU7" s="2"/>
      <c r="UOV7" s="2"/>
      <c r="UOW7" s="6"/>
      <c r="UOX7" s="7"/>
      <c r="UOY7" s="8"/>
      <c r="UOZ7" s="9"/>
      <c r="UPA7" s="8"/>
      <c r="UPB7" s="7"/>
      <c r="UPC7" s="9"/>
      <c r="UPD7" s="8"/>
      <c r="UPE7" s="8"/>
      <c r="UPF7" s="7"/>
      <c r="UPG7" s="9"/>
      <c r="UPH7" s="2"/>
      <c r="UPI7" s="2"/>
      <c r="UPJ7" s="2"/>
      <c r="UPK7" s="2"/>
      <c r="UPL7" s="2"/>
      <c r="UPM7" s="2"/>
      <c r="UPN7" s="2"/>
      <c r="UPO7" s="2"/>
      <c r="UPP7" s="2"/>
      <c r="UPQ7" s="2"/>
      <c r="UPR7" s="2"/>
      <c r="UPS7" s="6"/>
      <c r="UPT7" s="7"/>
      <c r="UPU7" s="8"/>
      <c r="UPV7" s="9"/>
      <c r="UPW7" s="8"/>
      <c r="UPX7" s="7"/>
      <c r="UPY7" s="9"/>
      <c r="UPZ7" s="8"/>
      <c r="UQA7" s="8"/>
      <c r="UQB7" s="7"/>
      <c r="UQC7" s="9"/>
      <c r="UQD7" s="2"/>
      <c r="UQE7" s="2"/>
      <c r="UQF7" s="2"/>
      <c r="UQG7" s="2"/>
      <c r="UQH7" s="2"/>
      <c r="UQI7" s="2"/>
      <c r="UQJ7" s="2"/>
      <c r="UQK7" s="2"/>
      <c r="UQL7" s="2"/>
      <c r="UQM7" s="2"/>
      <c r="UQN7" s="2"/>
      <c r="UQO7" s="6"/>
      <c r="UQP7" s="7"/>
      <c r="UQQ7" s="8"/>
      <c r="UQR7" s="9"/>
      <c r="UQS7" s="8"/>
      <c r="UQT7" s="7"/>
      <c r="UQU7" s="9"/>
      <c r="UQV7" s="8"/>
      <c r="UQW7" s="8"/>
      <c r="UQX7" s="7"/>
      <c r="UQY7" s="9"/>
      <c r="UQZ7" s="2"/>
      <c r="URA7" s="2"/>
      <c r="URB7" s="2"/>
      <c r="URC7" s="2"/>
      <c r="URD7" s="2"/>
      <c r="URE7" s="2"/>
      <c r="URF7" s="2"/>
      <c r="URG7" s="2"/>
      <c r="URH7" s="2"/>
      <c r="URI7" s="2"/>
      <c r="URJ7" s="2"/>
      <c r="URK7" s="6"/>
      <c r="URL7" s="7"/>
      <c r="URM7" s="8"/>
      <c r="URN7" s="9"/>
      <c r="URO7" s="8"/>
      <c r="URP7" s="7"/>
      <c r="URQ7" s="9"/>
      <c r="URR7" s="8"/>
      <c r="URS7" s="8"/>
      <c r="URT7" s="7"/>
      <c r="URU7" s="9"/>
      <c r="URV7" s="2"/>
      <c r="URW7" s="2"/>
      <c r="URX7" s="2"/>
      <c r="URY7" s="2"/>
      <c r="URZ7" s="2"/>
      <c r="USA7" s="2"/>
      <c r="USB7" s="2"/>
      <c r="USC7" s="2"/>
      <c r="USD7" s="2"/>
      <c r="USE7" s="2"/>
      <c r="USF7" s="2"/>
      <c r="USG7" s="6"/>
      <c r="USH7" s="7"/>
      <c r="USI7" s="8"/>
      <c r="USJ7" s="9"/>
      <c r="USK7" s="8"/>
      <c r="USL7" s="7"/>
      <c r="USM7" s="9"/>
      <c r="USN7" s="8"/>
      <c r="USO7" s="8"/>
      <c r="USP7" s="7"/>
      <c r="USQ7" s="9"/>
      <c r="USR7" s="2"/>
      <c r="USS7" s="2"/>
      <c r="UST7" s="2"/>
      <c r="USU7" s="2"/>
      <c r="USV7" s="2"/>
      <c r="USW7" s="2"/>
      <c r="USX7" s="2"/>
      <c r="USY7" s="2"/>
      <c r="USZ7" s="2"/>
      <c r="UTA7" s="2"/>
      <c r="UTB7" s="2"/>
      <c r="UTC7" s="6"/>
      <c r="UTD7" s="7"/>
      <c r="UTE7" s="8"/>
      <c r="UTF7" s="9"/>
      <c r="UTG7" s="8"/>
      <c r="UTH7" s="7"/>
      <c r="UTI7" s="9"/>
      <c r="UTJ7" s="8"/>
      <c r="UTK7" s="8"/>
      <c r="UTL7" s="7"/>
      <c r="UTM7" s="9"/>
      <c r="UTN7" s="2"/>
      <c r="UTO7" s="2"/>
      <c r="UTP7" s="2"/>
      <c r="UTQ7" s="2"/>
      <c r="UTR7" s="2"/>
      <c r="UTS7" s="2"/>
      <c r="UTT7" s="2"/>
      <c r="UTU7" s="2"/>
      <c r="UTV7" s="2"/>
      <c r="UTW7" s="2"/>
      <c r="UTX7" s="2"/>
      <c r="UTY7" s="6"/>
      <c r="UTZ7" s="7"/>
      <c r="UUA7" s="8"/>
      <c r="UUB7" s="9"/>
      <c r="UUC7" s="8"/>
      <c r="UUD7" s="7"/>
      <c r="UUE7" s="9"/>
      <c r="UUF7" s="8"/>
      <c r="UUG7" s="8"/>
      <c r="UUH7" s="7"/>
      <c r="UUI7" s="9"/>
      <c r="UUJ7" s="2"/>
      <c r="UUK7" s="2"/>
      <c r="UUL7" s="2"/>
      <c r="UUM7" s="2"/>
      <c r="UUN7" s="2"/>
      <c r="UUO7" s="2"/>
      <c r="UUP7" s="2"/>
      <c r="UUQ7" s="2"/>
      <c r="UUR7" s="2"/>
      <c r="UUS7" s="2"/>
      <c r="UUT7" s="2"/>
      <c r="UUU7" s="6"/>
      <c r="UUV7" s="7"/>
      <c r="UUW7" s="8"/>
      <c r="UUX7" s="9"/>
      <c r="UUY7" s="8"/>
      <c r="UUZ7" s="7"/>
      <c r="UVA7" s="9"/>
      <c r="UVB7" s="8"/>
      <c r="UVC7" s="8"/>
      <c r="UVD7" s="7"/>
      <c r="UVE7" s="9"/>
      <c r="UVF7" s="2"/>
      <c r="UVG7" s="2"/>
      <c r="UVH7" s="2"/>
      <c r="UVI7" s="2"/>
      <c r="UVJ7" s="2"/>
      <c r="UVK7" s="2"/>
      <c r="UVL7" s="2"/>
      <c r="UVM7" s="2"/>
      <c r="UVN7" s="2"/>
      <c r="UVO7" s="2"/>
      <c r="UVP7" s="2"/>
      <c r="UVQ7" s="6"/>
      <c r="UVR7" s="7"/>
      <c r="UVS7" s="8"/>
      <c r="UVT7" s="9"/>
      <c r="UVU7" s="8"/>
      <c r="UVV7" s="7"/>
      <c r="UVW7" s="9"/>
      <c r="UVX7" s="8"/>
      <c r="UVY7" s="8"/>
      <c r="UVZ7" s="7"/>
      <c r="UWA7" s="9"/>
      <c r="UWB7" s="2"/>
      <c r="UWC7" s="2"/>
      <c r="UWD7" s="2"/>
      <c r="UWE7" s="2"/>
      <c r="UWF7" s="2"/>
      <c r="UWG7" s="2"/>
      <c r="UWH7" s="2"/>
      <c r="UWI7" s="2"/>
      <c r="UWJ7" s="2"/>
      <c r="UWK7" s="2"/>
      <c r="UWL7" s="2"/>
      <c r="UWM7" s="6"/>
      <c r="UWN7" s="7"/>
      <c r="UWO7" s="8"/>
      <c r="UWP7" s="9"/>
      <c r="UWQ7" s="8"/>
      <c r="UWR7" s="7"/>
      <c r="UWS7" s="9"/>
      <c r="UWT7" s="8"/>
      <c r="UWU7" s="8"/>
      <c r="UWV7" s="7"/>
      <c r="UWW7" s="9"/>
      <c r="UWX7" s="2"/>
      <c r="UWY7" s="2"/>
      <c r="UWZ7" s="2"/>
      <c r="UXA7" s="2"/>
      <c r="UXB7" s="2"/>
      <c r="UXC7" s="2"/>
      <c r="UXD7" s="2"/>
      <c r="UXE7" s="2"/>
      <c r="UXF7" s="2"/>
      <c r="UXG7" s="2"/>
      <c r="UXH7" s="2"/>
      <c r="UXI7" s="6"/>
      <c r="UXJ7" s="7"/>
      <c r="UXK7" s="8"/>
      <c r="UXL7" s="9"/>
      <c r="UXM7" s="8"/>
      <c r="UXN7" s="7"/>
      <c r="UXO7" s="9"/>
      <c r="UXP7" s="8"/>
      <c r="UXQ7" s="8"/>
      <c r="UXR7" s="7"/>
      <c r="UXS7" s="9"/>
      <c r="UXT7" s="2"/>
      <c r="UXU7" s="2"/>
      <c r="UXV7" s="2"/>
      <c r="UXW7" s="2"/>
      <c r="UXX7" s="2"/>
      <c r="UXY7" s="2"/>
      <c r="UXZ7" s="2"/>
      <c r="UYA7" s="2"/>
      <c r="UYB7" s="2"/>
      <c r="UYC7" s="2"/>
      <c r="UYD7" s="2"/>
      <c r="UYE7" s="6"/>
      <c r="UYF7" s="7"/>
      <c r="UYG7" s="8"/>
      <c r="UYH7" s="9"/>
      <c r="UYI7" s="8"/>
      <c r="UYJ7" s="7"/>
      <c r="UYK7" s="9"/>
      <c r="UYL7" s="8"/>
      <c r="UYM7" s="8"/>
      <c r="UYN7" s="7"/>
      <c r="UYO7" s="9"/>
      <c r="UYP7" s="2"/>
      <c r="UYQ7" s="2"/>
      <c r="UYR7" s="2"/>
      <c r="UYS7" s="2"/>
      <c r="UYT7" s="2"/>
      <c r="UYU7" s="2"/>
      <c r="UYV7" s="2"/>
      <c r="UYW7" s="2"/>
      <c r="UYX7" s="2"/>
      <c r="UYY7" s="2"/>
      <c r="UYZ7" s="2"/>
      <c r="UZA7" s="6"/>
      <c r="UZB7" s="7"/>
      <c r="UZC7" s="8"/>
      <c r="UZD7" s="9"/>
      <c r="UZE7" s="8"/>
      <c r="UZF7" s="7"/>
      <c r="UZG7" s="9"/>
      <c r="UZH7" s="8"/>
      <c r="UZI7" s="8"/>
      <c r="UZJ7" s="7"/>
      <c r="UZK7" s="9"/>
      <c r="UZL7" s="2"/>
      <c r="UZM7" s="2"/>
      <c r="UZN7" s="2"/>
      <c r="UZO7" s="2"/>
      <c r="UZP7" s="2"/>
      <c r="UZQ7" s="2"/>
      <c r="UZR7" s="2"/>
      <c r="UZS7" s="2"/>
      <c r="UZT7" s="2"/>
      <c r="UZU7" s="2"/>
      <c r="UZV7" s="2"/>
      <c r="UZW7" s="6"/>
      <c r="UZX7" s="7"/>
      <c r="UZY7" s="8"/>
      <c r="UZZ7" s="9"/>
      <c r="VAA7" s="8"/>
      <c r="VAB7" s="7"/>
      <c r="VAC7" s="9"/>
      <c r="VAD7" s="8"/>
      <c r="VAE7" s="8"/>
      <c r="VAF7" s="7"/>
      <c r="VAG7" s="9"/>
      <c r="VAH7" s="2"/>
      <c r="VAI7" s="2"/>
      <c r="VAJ7" s="2"/>
      <c r="VAK7" s="2"/>
      <c r="VAL7" s="2"/>
      <c r="VAM7" s="2"/>
      <c r="VAN7" s="2"/>
      <c r="VAO7" s="2"/>
      <c r="VAP7" s="2"/>
      <c r="VAQ7" s="2"/>
      <c r="VAR7" s="2"/>
      <c r="VAS7" s="6"/>
      <c r="VAT7" s="7"/>
      <c r="VAU7" s="8"/>
      <c r="VAV7" s="9"/>
      <c r="VAW7" s="8"/>
      <c r="VAX7" s="7"/>
      <c r="VAY7" s="9"/>
      <c r="VAZ7" s="8"/>
      <c r="VBA7" s="8"/>
      <c r="VBB7" s="7"/>
      <c r="VBC7" s="9"/>
      <c r="VBD7" s="2"/>
      <c r="VBE7" s="2"/>
      <c r="VBF7" s="2"/>
      <c r="VBG7" s="2"/>
      <c r="VBH7" s="2"/>
      <c r="VBI7" s="2"/>
      <c r="VBJ7" s="2"/>
      <c r="VBK7" s="2"/>
      <c r="VBL7" s="2"/>
      <c r="VBM7" s="2"/>
      <c r="VBN7" s="2"/>
      <c r="VBO7" s="6"/>
      <c r="VBP7" s="7"/>
      <c r="VBQ7" s="8"/>
      <c r="VBR7" s="9"/>
      <c r="VBS7" s="8"/>
      <c r="VBT7" s="7"/>
      <c r="VBU7" s="9"/>
      <c r="VBV7" s="8"/>
      <c r="VBW7" s="8"/>
      <c r="VBX7" s="7"/>
      <c r="VBY7" s="9"/>
      <c r="VBZ7" s="2"/>
      <c r="VCA7" s="2"/>
      <c r="VCB7" s="2"/>
      <c r="VCC7" s="2"/>
      <c r="VCD7" s="2"/>
      <c r="VCE7" s="2"/>
      <c r="VCF7" s="2"/>
      <c r="VCG7" s="2"/>
      <c r="VCH7" s="2"/>
      <c r="VCI7" s="2"/>
      <c r="VCJ7" s="2"/>
      <c r="VCK7" s="6"/>
      <c r="VCL7" s="7"/>
      <c r="VCM7" s="8"/>
      <c r="VCN7" s="9"/>
      <c r="VCO7" s="8"/>
      <c r="VCP7" s="7"/>
      <c r="VCQ7" s="9"/>
      <c r="VCR7" s="8"/>
      <c r="VCS7" s="8"/>
      <c r="VCT7" s="7"/>
      <c r="VCU7" s="9"/>
      <c r="VCV7" s="2"/>
      <c r="VCW7" s="2"/>
      <c r="VCX7" s="2"/>
      <c r="VCY7" s="2"/>
      <c r="VCZ7" s="2"/>
      <c r="VDA7" s="2"/>
      <c r="VDB7" s="2"/>
      <c r="VDC7" s="2"/>
      <c r="VDD7" s="2"/>
      <c r="VDE7" s="2"/>
      <c r="VDF7" s="2"/>
      <c r="VDG7" s="6"/>
      <c r="VDH7" s="7"/>
      <c r="VDI7" s="8"/>
      <c r="VDJ7" s="9"/>
      <c r="VDK7" s="8"/>
      <c r="VDL7" s="7"/>
      <c r="VDM7" s="9"/>
      <c r="VDN7" s="8"/>
      <c r="VDO7" s="8"/>
      <c r="VDP7" s="7"/>
      <c r="VDQ7" s="9"/>
      <c r="VDR7" s="2"/>
      <c r="VDS7" s="2"/>
      <c r="VDT7" s="2"/>
      <c r="VDU7" s="2"/>
      <c r="VDV7" s="2"/>
      <c r="VDW7" s="2"/>
      <c r="VDX7" s="2"/>
      <c r="VDY7" s="2"/>
      <c r="VDZ7" s="2"/>
      <c r="VEA7" s="2"/>
      <c r="VEB7" s="2"/>
      <c r="VEC7" s="6"/>
      <c r="VED7" s="7"/>
      <c r="VEE7" s="8"/>
      <c r="VEF7" s="9"/>
      <c r="VEG7" s="8"/>
      <c r="VEH7" s="7"/>
      <c r="VEI7" s="9"/>
      <c r="VEJ7" s="8"/>
      <c r="VEK7" s="8"/>
      <c r="VEL7" s="7"/>
      <c r="VEM7" s="9"/>
      <c r="VEN7" s="2"/>
      <c r="VEO7" s="2"/>
      <c r="VEP7" s="2"/>
      <c r="VEQ7" s="2"/>
      <c r="VER7" s="2"/>
      <c r="VES7" s="2"/>
      <c r="VET7" s="2"/>
      <c r="VEU7" s="2"/>
      <c r="VEV7" s="2"/>
      <c r="VEW7" s="2"/>
      <c r="VEX7" s="2"/>
      <c r="VEY7" s="6"/>
      <c r="VEZ7" s="7"/>
      <c r="VFA7" s="8"/>
      <c r="VFB7" s="9"/>
      <c r="VFC7" s="8"/>
      <c r="VFD7" s="7"/>
      <c r="VFE7" s="9"/>
      <c r="VFF7" s="8"/>
      <c r="VFG7" s="8"/>
      <c r="VFH7" s="7"/>
      <c r="VFI7" s="9"/>
      <c r="VFJ7" s="2"/>
      <c r="VFK7" s="2"/>
      <c r="VFL7" s="2"/>
      <c r="VFM7" s="2"/>
      <c r="VFN7" s="2"/>
      <c r="VFO7" s="2"/>
      <c r="VFP7" s="2"/>
      <c r="VFQ7" s="2"/>
      <c r="VFR7" s="2"/>
      <c r="VFS7" s="2"/>
      <c r="VFT7" s="2"/>
      <c r="VFU7" s="6"/>
      <c r="VFV7" s="7"/>
      <c r="VFW7" s="8"/>
      <c r="VFX7" s="9"/>
      <c r="VFY7" s="8"/>
      <c r="VFZ7" s="7"/>
      <c r="VGA7" s="9"/>
      <c r="VGB7" s="8"/>
      <c r="VGC7" s="8"/>
      <c r="VGD7" s="7"/>
      <c r="VGE7" s="9"/>
      <c r="VGF7" s="2"/>
      <c r="VGG7" s="2"/>
      <c r="VGH7" s="2"/>
      <c r="VGI7" s="2"/>
      <c r="VGJ7" s="2"/>
      <c r="VGK7" s="2"/>
      <c r="VGL7" s="2"/>
      <c r="VGM7" s="2"/>
      <c r="VGN7" s="2"/>
      <c r="VGO7" s="2"/>
      <c r="VGP7" s="2"/>
      <c r="VGQ7" s="6"/>
      <c r="VGR7" s="7"/>
      <c r="VGS7" s="8"/>
      <c r="VGT7" s="9"/>
      <c r="VGU7" s="8"/>
      <c r="VGV7" s="7"/>
      <c r="VGW7" s="9"/>
      <c r="VGX7" s="8"/>
      <c r="VGY7" s="8"/>
      <c r="VGZ7" s="7"/>
      <c r="VHA7" s="9"/>
      <c r="VHB7" s="2"/>
      <c r="VHC7" s="2"/>
      <c r="VHD7" s="2"/>
      <c r="VHE7" s="2"/>
      <c r="VHF7" s="2"/>
      <c r="VHG7" s="2"/>
      <c r="VHH7" s="2"/>
      <c r="VHI7" s="2"/>
      <c r="VHJ7" s="2"/>
      <c r="VHK7" s="2"/>
      <c r="VHL7" s="2"/>
      <c r="VHM7" s="6"/>
      <c r="VHN7" s="7"/>
      <c r="VHO7" s="8"/>
      <c r="VHP7" s="9"/>
      <c r="VHQ7" s="8"/>
      <c r="VHR7" s="7"/>
      <c r="VHS7" s="9"/>
      <c r="VHT7" s="8"/>
      <c r="VHU7" s="8"/>
      <c r="VHV7" s="7"/>
      <c r="VHW7" s="9"/>
      <c r="VHX7" s="2"/>
      <c r="VHY7" s="2"/>
      <c r="VHZ7" s="2"/>
      <c r="VIA7" s="2"/>
      <c r="VIB7" s="2"/>
      <c r="VIC7" s="2"/>
      <c r="VID7" s="2"/>
      <c r="VIE7" s="2"/>
      <c r="VIF7" s="2"/>
      <c r="VIG7" s="2"/>
      <c r="VIH7" s="2"/>
      <c r="VII7" s="6"/>
      <c r="VIJ7" s="7"/>
      <c r="VIK7" s="8"/>
      <c r="VIL7" s="9"/>
      <c r="VIM7" s="8"/>
      <c r="VIN7" s="7"/>
      <c r="VIO7" s="9"/>
      <c r="VIP7" s="8"/>
      <c r="VIQ7" s="8"/>
      <c r="VIR7" s="7"/>
      <c r="VIS7" s="9"/>
      <c r="VIT7" s="2"/>
      <c r="VIU7" s="2"/>
      <c r="VIV7" s="2"/>
      <c r="VIW7" s="2"/>
      <c r="VIX7" s="2"/>
      <c r="VIY7" s="2"/>
      <c r="VIZ7" s="2"/>
      <c r="VJA7" s="2"/>
      <c r="VJB7" s="2"/>
      <c r="VJC7" s="2"/>
      <c r="VJD7" s="2"/>
      <c r="VJE7" s="6"/>
      <c r="VJF7" s="7"/>
      <c r="VJG7" s="8"/>
      <c r="VJH7" s="9"/>
      <c r="VJI7" s="8"/>
      <c r="VJJ7" s="7"/>
      <c r="VJK7" s="9"/>
      <c r="VJL7" s="8"/>
      <c r="VJM7" s="8"/>
      <c r="VJN7" s="7"/>
      <c r="VJO7" s="9"/>
      <c r="VJP7" s="2"/>
      <c r="VJQ7" s="2"/>
      <c r="VJR7" s="2"/>
      <c r="VJS7" s="2"/>
      <c r="VJT7" s="2"/>
      <c r="VJU7" s="2"/>
      <c r="VJV7" s="2"/>
      <c r="VJW7" s="2"/>
      <c r="VJX7" s="2"/>
      <c r="VJY7" s="2"/>
      <c r="VJZ7" s="2"/>
      <c r="VKA7" s="6"/>
      <c r="VKB7" s="7"/>
      <c r="VKC7" s="8"/>
      <c r="VKD7" s="9"/>
      <c r="VKE7" s="8"/>
      <c r="VKF7" s="7"/>
      <c r="VKG7" s="9"/>
      <c r="VKH7" s="8"/>
      <c r="VKI7" s="8"/>
      <c r="VKJ7" s="7"/>
      <c r="VKK7" s="9"/>
      <c r="VKL7" s="2"/>
      <c r="VKM7" s="2"/>
      <c r="VKN7" s="2"/>
      <c r="VKO7" s="2"/>
      <c r="VKP7" s="2"/>
      <c r="VKQ7" s="2"/>
      <c r="VKR7" s="2"/>
      <c r="VKS7" s="2"/>
      <c r="VKT7" s="2"/>
      <c r="VKU7" s="2"/>
      <c r="VKV7" s="2"/>
      <c r="VKW7" s="6"/>
      <c r="VKX7" s="7"/>
      <c r="VKY7" s="8"/>
      <c r="VKZ7" s="9"/>
      <c r="VLA7" s="8"/>
      <c r="VLB7" s="7"/>
      <c r="VLC7" s="9"/>
      <c r="VLD7" s="8"/>
      <c r="VLE7" s="8"/>
      <c r="VLF7" s="7"/>
      <c r="VLG7" s="9"/>
      <c r="VLH7" s="2"/>
      <c r="VLI7" s="2"/>
      <c r="VLJ7" s="2"/>
      <c r="VLK7" s="2"/>
      <c r="VLL7" s="2"/>
      <c r="VLM7" s="2"/>
      <c r="VLN7" s="2"/>
      <c r="VLO7" s="2"/>
      <c r="VLP7" s="2"/>
      <c r="VLQ7" s="2"/>
      <c r="VLR7" s="2"/>
      <c r="VLS7" s="6"/>
      <c r="VLT7" s="7"/>
      <c r="VLU7" s="8"/>
      <c r="VLV7" s="9"/>
      <c r="VLW7" s="8"/>
      <c r="VLX7" s="7"/>
      <c r="VLY7" s="9"/>
      <c r="VLZ7" s="8"/>
      <c r="VMA7" s="8"/>
      <c r="VMB7" s="7"/>
      <c r="VMC7" s="9"/>
      <c r="VMD7" s="2"/>
      <c r="VME7" s="2"/>
      <c r="VMF7" s="2"/>
      <c r="VMG7" s="2"/>
      <c r="VMH7" s="2"/>
      <c r="VMI7" s="2"/>
      <c r="VMJ7" s="2"/>
      <c r="VMK7" s="2"/>
      <c r="VML7" s="2"/>
      <c r="VMM7" s="2"/>
      <c r="VMN7" s="2"/>
      <c r="VMO7" s="6"/>
      <c r="VMP7" s="7"/>
      <c r="VMQ7" s="8"/>
      <c r="VMR7" s="9"/>
      <c r="VMS7" s="8"/>
      <c r="VMT7" s="7"/>
      <c r="VMU7" s="9"/>
      <c r="VMV7" s="8"/>
      <c r="VMW7" s="8"/>
      <c r="VMX7" s="7"/>
      <c r="VMY7" s="9"/>
      <c r="VMZ7" s="2"/>
      <c r="VNA7" s="2"/>
      <c r="VNB7" s="2"/>
      <c r="VNC7" s="2"/>
      <c r="VND7" s="2"/>
      <c r="VNE7" s="2"/>
      <c r="VNF7" s="2"/>
      <c r="VNG7" s="2"/>
      <c r="VNH7" s="2"/>
      <c r="VNI7" s="2"/>
      <c r="VNJ7" s="2"/>
      <c r="VNK7" s="6"/>
      <c r="VNL7" s="7"/>
      <c r="VNM7" s="8"/>
      <c r="VNN7" s="9"/>
      <c r="VNO7" s="8"/>
      <c r="VNP7" s="7"/>
      <c r="VNQ7" s="9"/>
      <c r="VNR7" s="8"/>
      <c r="VNS7" s="8"/>
      <c r="VNT7" s="7"/>
      <c r="VNU7" s="9"/>
      <c r="VNV7" s="2"/>
      <c r="VNW7" s="2"/>
      <c r="VNX7" s="2"/>
      <c r="VNY7" s="2"/>
      <c r="VNZ7" s="2"/>
      <c r="VOA7" s="2"/>
      <c r="VOB7" s="2"/>
      <c r="VOC7" s="2"/>
      <c r="VOD7" s="2"/>
      <c r="VOE7" s="2"/>
      <c r="VOF7" s="2"/>
      <c r="VOG7" s="6"/>
      <c r="VOH7" s="7"/>
      <c r="VOI7" s="8"/>
      <c r="VOJ7" s="9"/>
      <c r="VOK7" s="8"/>
      <c r="VOL7" s="7"/>
      <c r="VOM7" s="9"/>
      <c r="VON7" s="8"/>
      <c r="VOO7" s="8"/>
      <c r="VOP7" s="7"/>
      <c r="VOQ7" s="9"/>
      <c r="VOR7" s="2"/>
      <c r="VOS7" s="2"/>
      <c r="VOT7" s="2"/>
      <c r="VOU7" s="2"/>
      <c r="VOV7" s="2"/>
      <c r="VOW7" s="2"/>
      <c r="VOX7" s="2"/>
      <c r="VOY7" s="2"/>
      <c r="VOZ7" s="2"/>
      <c r="VPA7" s="2"/>
      <c r="VPB7" s="2"/>
      <c r="VPC7" s="6"/>
      <c r="VPD7" s="7"/>
      <c r="VPE7" s="8"/>
      <c r="VPF7" s="9"/>
      <c r="VPG7" s="8"/>
      <c r="VPH7" s="7"/>
      <c r="VPI7" s="9"/>
      <c r="VPJ7" s="8"/>
      <c r="VPK7" s="8"/>
      <c r="VPL7" s="7"/>
      <c r="VPM7" s="9"/>
      <c r="VPN7" s="2"/>
      <c r="VPO7" s="2"/>
      <c r="VPP7" s="2"/>
      <c r="VPQ7" s="2"/>
      <c r="VPR7" s="2"/>
      <c r="VPS7" s="2"/>
      <c r="VPT7" s="2"/>
      <c r="VPU7" s="2"/>
      <c r="VPV7" s="2"/>
      <c r="VPW7" s="2"/>
      <c r="VPX7" s="2"/>
      <c r="VPY7" s="6"/>
      <c r="VPZ7" s="7"/>
      <c r="VQA7" s="8"/>
      <c r="VQB7" s="9"/>
      <c r="VQC7" s="8"/>
      <c r="VQD7" s="7"/>
      <c r="VQE7" s="9"/>
      <c r="VQF7" s="8"/>
      <c r="VQG7" s="8"/>
      <c r="VQH7" s="7"/>
      <c r="VQI7" s="9"/>
      <c r="VQJ7" s="2"/>
      <c r="VQK7" s="2"/>
      <c r="VQL7" s="2"/>
      <c r="VQM7" s="2"/>
      <c r="VQN7" s="2"/>
      <c r="VQO7" s="2"/>
      <c r="VQP7" s="2"/>
      <c r="VQQ7" s="2"/>
      <c r="VQR7" s="2"/>
      <c r="VQS7" s="2"/>
      <c r="VQT7" s="2"/>
      <c r="VQU7" s="6"/>
      <c r="VQV7" s="7"/>
      <c r="VQW7" s="8"/>
      <c r="VQX7" s="9"/>
      <c r="VQY7" s="8"/>
      <c r="VQZ7" s="7"/>
      <c r="VRA7" s="9"/>
      <c r="VRB7" s="8"/>
      <c r="VRC7" s="8"/>
      <c r="VRD7" s="7"/>
      <c r="VRE7" s="9"/>
      <c r="VRF7" s="2"/>
      <c r="VRG7" s="2"/>
      <c r="VRH7" s="2"/>
      <c r="VRI7" s="2"/>
      <c r="VRJ7" s="2"/>
      <c r="VRK7" s="2"/>
      <c r="VRL7" s="2"/>
      <c r="VRM7" s="2"/>
      <c r="VRN7" s="2"/>
      <c r="VRO7" s="2"/>
      <c r="VRP7" s="2"/>
      <c r="VRQ7" s="6"/>
      <c r="VRR7" s="7"/>
      <c r="VRS7" s="8"/>
      <c r="VRT7" s="9"/>
      <c r="VRU7" s="8"/>
      <c r="VRV7" s="7"/>
      <c r="VRW7" s="9"/>
      <c r="VRX7" s="8"/>
      <c r="VRY7" s="8"/>
      <c r="VRZ7" s="7"/>
      <c r="VSA7" s="9"/>
      <c r="VSB7" s="2"/>
      <c r="VSC7" s="2"/>
      <c r="VSD7" s="2"/>
      <c r="VSE7" s="2"/>
      <c r="VSF7" s="2"/>
      <c r="VSG7" s="2"/>
      <c r="VSH7" s="2"/>
      <c r="VSI7" s="2"/>
      <c r="VSJ7" s="2"/>
      <c r="VSK7" s="2"/>
      <c r="VSL7" s="2"/>
      <c r="VSM7" s="6"/>
      <c r="VSN7" s="7"/>
      <c r="VSO7" s="8"/>
      <c r="VSP7" s="9"/>
      <c r="VSQ7" s="8"/>
      <c r="VSR7" s="7"/>
      <c r="VSS7" s="9"/>
      <c r="VST7" s="8"/>
      <c r="VSU7" s="8"/>
      <c r="VSV7" s="7"/>
      <c r="VSW7" s="9"/>
      <c r="VSX7" s="2"/>
      <c r="VSY7" s="2"/>
      <c r="VSZ7" s="2"/>
      <c r="VTA7" s="2"/>
      <c r="VTB7" s="2"/>
      <c r="VTC7" s="2"/>
      <c r="VTD7" s="2"/>
      <c r="VTE7" s="2"/>
      <c r="VTF7" s="2"/>
      <c r="VTG7" s="2"/>
      <c r="VTH7" s="2"/>
      <c r="VTI7" s="6"/>
      <c r="VTJ7" s="7"/>
      <c r="VTK7" s="8"/>
      <c r="VTL7" s="9"/>
      <c r="VTM7" s="8"/>
      <c r="VTN7" s="7"/>
      <c r="VTO7" s="9"/>
      <c r="VTP7" s="8"/>
      <c r="VTQ7" s="8"/>
      <c r="VTR7" s="7"/>
      <c r="VTS7" s="9"/>
      <c r="VTT7" s="2"/>
      <c r="VTU7" s="2"/>
      <c r="VTV7" s="2"/>
      <c r="VTW7" s="2"/>
      <c r="VTX7" s="2"/>
      <c r="VTY7" s="2"/>
      <c r="VTZ7" s="2"/>
      <c r="VUA7" s="2"/>
      <c r="VUB7" s="2"/>
      <c r="VUC7" s="2"/>
      <c r="VUD7" s="2"/>
      <c r="VUE7" s="6"/>
      <c r="VUF7" s="7"/>
      <c r="VUG7" s="8"/>
      <c r="VUH7" s="9"/>
      <c r="VUI7" s="8"/>
      <c r="VUJ7" s="7"/>
      <c r="VUK7" s="9"/>
      <c r="VUL7" s="8"/>
      <c r="VUM7" s="8"/>
      <c r="VUN7" s="7"/>
      <c r="VUO7" s="9"/>
      <c r="VUP7" s="2"/>
      <c r="VUQ7" s="2"/>
      <c r="VUR7" s="2"/>
      <c r="VUS7" s="2"/>
      <c r="VUT7" s="2"/>
      <c r="VUU7" s="2"/>
      <c r="VUV7" s="2"/>
      <c r="VUW7" s="2"/>
      <c r="VUX7" s="2"/>
      <c r="VUY7" s="2"/>
      <c r="VUZ7" s="2"/>
      <c r="VVA7" s="6"/>
      <c r="VVB7" s="7"/>
      <c r="VVC7" s="8"/>
      <c r="VVD7" s="9"/>
      <c r="VVE7" s="8"/>
      <c r="VVF7" s="7"/>
      <c r="VVG7" s="9"/>
      <c r="VVH7" s="8"/>
      <c r="VVI7" s="8"/>
      <c r="VVJ7" s="7"/>
      <c r="VVK7" s="9"/>
      <c r="VVL7" s="2"/>
      <c r="VVM7" s="2"/>
      <c r="VVN7" s="2"/>
      <c r="VVO7" s="2"/>
      <c r="VVP7" s="2"/>
      <c r="VVQ7" s="2"/>
      <c r="VVR7" s="2"/>
      <c r="VVS7" s="2"/>
      <c r="VVT7" s="2"/>
      <c r="VVU7" s="2"/>
      <c r="VVV7" s="2"/>
      <c r="VVW7" s="6"/>
      <c r="VVX7" s="7"/>
      <c r="VVY7" s="8"/>
      <c r="VVZ7" s="9"/>
      <c r="VWA7" s="8"/>
      <c r="VWB7" s="7"/>
      <c r="VWC7" s="9"/>
      <c r="VWD7" s="8"/>
      <c r="VWE7" s="8"/>
      <c r="VWF7" s="7"/>
      <c r="VWG7" s="9"/>
      <c r="VWH7" s="2"/>
      <c r="VWI7" s="2"/>
      <c r="VWJ7" s="2"/>
      <c r="VWK7" s="2"/>
      <c r="VWL7" s="2"/>
      <c r="VWM7" s="2"/>
      <c r="VWN7" s="2"/>
      <c r="VWO7" s="2"/>
      <c r="VWP7" s="2"/>
      <c r="VWQ7" s="2"/>
      <c r="VWR7" s="2"/>
      <c r="VWS7" s="6"/>
      <c r="VWT7" s="7"/>
      <c r="VWU7" s="8"/>
      <c r="VWV7" s="9"/>
      <c r="VWW7" s="8"/>
      <c r="VWX7" s="7"/>
      <c r="VWY7" s="9"/>
      <c r="VWZ7" s="8"/>
      <c r="VXA7" s="8"/>
      <c r="VXB7" s="7"/>
      <c r="VXC7" s="9"/>
      <c r="VXD7" s="2"/>
      <c r="VXE7" s="2"/>
      <c r="VXF7" s="2"/>
      <c r="VXG7" s="2"/>
      <c r="VXH7" s="2"/>
      <c r="VXI7" s="2"/>
      <c r="VXJ7" s="2"/>
      <c r="VXK7" s="2"/>
      <c r="VXL7" s="2"/>
      <c r="VXM7" s="2"/>
      <c r="VXN7" s="2"/>
      <c r="VXO7" s="6"/>
      <c r="VXP7" s="7"/>
      <c r="VXQ7" s="8"/>
      <c r="VXR7" s="9"/>
      <c r="VXS7" s="8"/>
      <c r="VXT7" s="7"/>
      <c r="VXU7" s="9"/>
      <c r="VXV7" s="8"/>
      <c r="VXW7" s="8"/>
      <c r="VXX7" s="7"/>
      <c r="VXY7" s="9"/>
      <c r="VXZ7" s="2"/>
      <c r="VYA7" s="2"/>
      <c r="VYB7" s="2"/>
      <c r="VYC7" s="2"/>
      <c r="VYD7" s="2"/>
      <c r="VYE7" s="2"/>
      <c r="VYF7" s="2"/>
      <c r="VYG7" s="2"/>
      <c r="VYH7" s="2"/>
      <c r="VYI7" s="2"/>
      <c r="VYJ7" s="2"/>
      <c r="VYK7" s="6"/>
      <c r="VYL7" s="7"/>
      <c r="VYM7" s="8"/>
      <c r="VYN7" s="9"/>
      <c r="VYO7" s="8"/>
      <c r="VYP7" s="7"/>
      <c r="VYQ7" s="9"/>
      <c r="VYR7" s="8"/>
      <c r="VYS7" s="8"/>
      <c r="VYT7" s="7"/>
      <c r="VYU7" s="9"/>
      <c r="VYV7" s="2"/>
      <c r="VYW7" s="2"/>
      <c r="VYX7" s="2"/>
      <c r="VYY7" s="2"/>
      <c r="VYZ7" s="2"/>
      <c r="VZA7" s="2"/>
      <c r="VZB7" s="2"/>
      <c r="VZC7" s="2"/>
      <c r="VZD7" s="2"/>
      <c r="VZE7" s="2"/>
      <c r="VZF7" s="2"/>
      <c r="VZG7" s="6"/>
      <c r="VZH7" s="7"/>
      <c r="VZI7" s="8"/>
      <c r="VZJ7" s="9"/>
      <c r="VZK7" s="8"/>
      <c r="VZL7" s="7"/>
      <c r="VZM7" s="9"/>
      <c r="VZN7" s="8"/>
      <c r="VZO7" s="8"/>
      <c r="VZP7" s="7"/>
      <c r="VZQ7" s="9"/>
      <c r="VZR7" s="2"/>
      <c r="VZS7" s="2"/>
      <c r="VZT7" s="2"/>
      <c r="VZU7" s="2"/>
      <c r="VZV7" s="2"/>
      <c r="VZW7" s="2"/>
      <c r="VZX7" s="2"/>
      <c r="VZY7" s="2"/>
      <c r="VZZ7" s="2"/>
      <c r="WAA7" s="2"/>
      <c r="WAB7" s="2"/>
      <c r="WAC7" s="6"/>
      <c r="WAD7" s="7"/>
      <c r="WAE7" s="8"/>
      <c r="WAF7" s="9"/>
      <c r="WAG7" s="8"/>
      <c r="WAH7" s="7"/>
      <c r="WAI7" s="9"/>
      <c r="WAJ7" s="8"/>
      <c r="WAK7" s="8"/>
      <c r="WAL7" s="7"/>
      <c r="WAM7" s="9"/>
      <c r="WAN7" s="2"/>
      <c r="WAO7" s="2"/>
      <c r="WAP7" s="2"/>
      <c r="WAQ7" s="2"/>
      <c r="WAR7" s="2"/>
      <c r="WAS7" s="2"/>
      <c r="WAT7" s="2"/>
      <c r="WAU7" s="2"/>
      <c r="WAV7" s="2"/>
      <c r="WAW7" s="2"/>
      <c r="WAX7" s="2"/>
      <c r="WAY7" s="6"/>
      <c r="WAZ7" s="7"/>
      <c r="WBA7" s="8"/>
      <c r="WBB7" s="9"/>
      <c r="WBC7" s="8"/>
      <c r="WBD7" s="7"/>
      <c r="WBE7" s="9"/>
      <c r="WBF7" s="8"/>
      <c r="WBG7" s="8"/>
      <c r="WBH7" s="7"/>
      <c r="WBI7" s="9"/>
      <c r="WBJ7" s="2"/>
      <c r="WBK7" s="2"/>
      <c r="WBL7" s="2"/>
      <c r="WBM7" s="2"/>
      <c r="WBN7" s="2"/>
      <c r="WBO7" s="2"/>
      <c r="WBP7" s="2"/>
      <c r="WBQ7" s="2"/>
      <c r="WBR7" s="2"/>
      <c r="WBS7" s="2"/>
      <c r="WBT7" s="2"/>
      <c r="WBU7" s="6"/>
      <c r="WBV7" s="7"/>
      <c r="WBW7" s="8"/>
      <c r="WBX7" s="9"/>
      <c r="WBY7" s="8"/>
      <c r="WBZ7" s="7"/>
      <c r="WCA7" s="9"/>
      <c r="WCB7" s="8"/>
      <c r="WCC7" s="8"/>
      <c r="WCD7" s="7"/>
      <c r="WCE7" s="9"/>
      <c r="WCF7" s="2"/>
      <c r="WCG7" s="2"/>
      <c r="WCH7" s="2"/>
      <c r="WCI7" s="2"/>
      <c r="WCJ7" s="2"/>
      <c r="WCK7" s="2"/>
      <c r="WCL7" s="2"/>
      <c r="WCM7" s="2"/>
      <c r="WCN7" s="2"/>
      <c r="WCO7" s="2"/>
      <c r="WCP7" s="2"/>
      <c r="WCQ7" s="6"/>
      <c r="WCR7" s="7"/>
      <c r="WCS7" s="8"/>
      <c r="WCT7" s="9"/>
      <c r="WCU7" s="8"/>
      <c r="WCV7" s="7"/>
      <c r="WCW7" s="9"/>
      <c r="WCX7" s="8"/>
      <c r="WCY7" s="8"/>
      <c r="WCZ7" s="7"/>
      <c r="WDA7" s="9"/>
      <c r="WDB7" s="2"/>
      <c r="WDC7" s="2"/>
      <c r="WDD7" s="2"/>
      <c r="WDE7" s="2"/>
      <c r="WDF7" s="2"/>
      <c r="WDG7" s="2"/>
      <c r="WDH7" s="2"/>
      <c r="WDI7" s="2"/>
      <c r="WDJ7" s="2"/>
      <c r="WDK7" s="2"/>
      <c r="WDL7" s="2"/>
      <c r="WDM7" s="6"/>
      <c r="WDN7" s="7"/>
      <c r="WDO7" s="8"/>
      <c r="WDP7" s="9"/>
      <c r="WDQ7" s="8"/>
      <c r="WDR7" s="7"/>
      <c r="WDS7" s="9"/>
      <c r="WDT7" s="8"/>
      <c r="WDU7" s="8"/>
      <c r="WDV7" s="7"/>
      <c r="WDW7" s="9"/>
      <c r="WDX7" s="2"/>
      <c r="WDY7" s="2"/>
      <c r="WDZ7" s="2"/>
      <c r="WEA7" s="2"/>
      <c r="WEB7" s="2"/>
      <c r="WEC7" s="2"/>
      <c r="WED7" s="2"/>
      <c r="WEE7" s="2"/>
      <c r="WEF7" s="2"/>
      <c r="WEG7" s="2"/>
      <c r="WEH7" s="2"/>
      <c r="WEI7" s="6"/>
      <c r="WEJ7" s="7"/>
      <c r="WEK7" s="8"/>
      <c r="WEL7" s="9"/>
      <c r="WEM7" s="8"/>
      <c r="WEN7" s="7"/>
      <c r="WEO7" s="9"/>
      <c r="WEP7" s="8"/>
      <c r="WEQ7" s="8"/>
      <c r="WER7" s="7"/>
      <c r="WES7" s="9"/>
      <c r="WET7" s="2"/>
      <c r="WEU7" s="2"/>
      <c r="WEV7" s="2"/>
      <c r="WEW7" s="2"/>
      <c r="WEX7" s="2"/>
      <c r="WEY7" s="2"/>
      <c r="WEZ7" s="2"/>
      <c r="WFA7" s="2"/>
      <c r="WFB7" s="2"/>
      <c r="WFC7" s="2"/>
      <c r="WFD7" s="2"/>
      <c r="WFE7" s="6"/>
      <c r="WFF7" s="7"/>
      <c r="WFG7" s="8"/>
      <c r="WFH7" s="9"/>
      <c r="WFI7" s="8"/>
      <c r="WFJ7" s="7"/>
      <c r="WFK7" s="9"/>
      <c r="WFL7" s="8"/>
      <c r="WFM7" s="8"/>
      <c r="WFN7" s="7"/>
      <c r="WFO7" s="9"/>
      <c r="WFP7" s="2"/>
      <c r="WFQ7" s="2"/>
      <c r="WFR7" s="2"/>
      <c r="WFS7" s="2"/>
      <c r="WFT7" s="2"/>
      <c r="WFU7" s="2"/>
      <c r="WFV7" s="2"/>
      <c r="WFW7" s="2"/>
      <c r="WFX7" s="2"/>
      <c r="WFY7" s="2"/>
      <c r="WFZ7" s="2"/>
      <c r="WGA7" s="6"/>
      <c r="WGB7" s="7"/>
      <c r="WGC7" s="8"/>
      <c r="WGD7" s="9"/>
      <c r="WGE7" s="8"/>
      <c r="WGF7" s="7"/>
      <c r="WGG7" s="9"/>
      <c r="WGH7" s="8"/>
      <c r="WGI7" s="8"/>
      <c r="WGJ7" s="7"/>
      <c r="WGK7" s="9"/>
      <c r="WGL7" s="2"/>
      <c r="WGM7" s="2"/>
      <c r="WGN7" s="2"/>
      <c r="WGO7" s="2"/>
      <c r="WGP7" s="2"/>
      <c r="WGQ7" s="2"/>
      <c r="WGR7" s="2"/>
      <c r="WGS7" s="2"/>
      <c r="WGT7" s="2"/>
      <c r="WGU7" s="2"/>
      <c r="WGV7" s="2"/>
      <c r="WGW7" s="6"/>
      <c r="WGX7" s="7"/>
      <c r="WGY7" s="8"/>
      <c r="WGZ7" s="9"/>
      <c r="WHA7" s="8"/>
      <c r="WHB7" s="7"/>
      <c r="WHC7" s="9"/>
      <c r="WHD7" s="8"/>
      <c r="WHE7" s="8"/>
      <c r="WHF7" s="7"/>
      <c r="WHG7" s="9"/>
      <c r="WHH7" s="2"/>
      <c r="WHI7" s="2"/>
      <c r="WHJ7" s="2"/>
      <c r="WHK7" s="2"/>
      <c r="WHL7" s="2"/>
      <c r="WHM7" s="2"/>
      <c r="WHN7" s="2"/>
      <c r="WHO7" s="2"/>
      <c r="WHP7" s="2"/>
      <c r="WHQ7" s="2"/>
      <c r="WHR7" s="2"/>
      <c r="WHS7" s="6"/>
      <c r="WHT7" s="7"/>
      <c r="WHU7" s="8"/>
      <c r="WHV7" s="9"/>
      <c r="WHW7" s="8"/>
      <c r="WHX7" s="7"/>
      <c r="WHY7" s="9"/>
      <c r="WHZ7" s="8"/>
      <c r="WIA7" s="8"/>
      <c r="WIB7" s="7"/>
      <c r="WIC7" s="9"/>
      <c r="WID7" s="2"/>
      <c r="WIE7" s="2"/>
      <c r="WIF7" s="2"/>
      <c r="WIG7" s="2"/>
      <c r="WIH7" s="2"/>
      <c r="WII7" s="2"/>
      <c r="WIJ7" s="2"/>
      <c r="WIK7" s="2"/>
      <c r="WIL7" s="2"/>
      <c r="WIM7" s="2"/>
      <c r="WIN7" s="2"/>
      <c r="WIO7" s="6"/>
      <c r="WIP7" s="7"/>
      <c r="WIQ7" s="8"/>
      <c r="WIR7" s="9"/>
      <c r="WIS7" s="8"/>
      <c r="WIT7" s="7"/>
      <c r="WIU7" s="9"/>
      <c r="WIV7" s="8"/>
      <c r="WIW7" s="8"/>
      <c r="WIX7" s="7"/>
      <c r="WIY7" s="9"/>
      <c r="WIZ7" s="2"/>
      <c r="WJA7" s="2"/>
      <c r="WJB7" s="2"/>
      <c r="WJC7" s="2"/>
      <c r="WJD7" s="2"/>
      <c r="WJE7" s="2"/>
      <c r="WJF7" s="2"/>
      <c r="WJG7" s="2"/>
      <c r="WJH7" s="2"/>
      <c r="WJI7" s="2"/>
      <c r="WJJ7" s="2"/>
      <c r="WJK7" s="6"/>
      <c r="WJL7" s="7"/>
      <c r="WJM7" s="8"/>
      <c r="WJN7" s="9"/>
      <c r="WJO7" s="8"/>
      <c r="WJP7" s="7"/>
      <c r="WJQ7" s="9"/>
      <c r="WJR7" s="8"/>
      <c r="WJS7" s="8"/>
      <c r="WJT7" s="7"/>
      <c r="WJU7" s="9"/>
      <c r="WJV7" s="2"/>
      <c r="WJW7" s="2"/>
      <c r="WJX7" s="2"/>
      <c r="WJY7" s="2"/>
      <c r="WJZ7" s="2"/>
      <c r="WKA7" s="2"/>
      <c r="WKB7" s="2"/>
      <c r="WKC7" s="2"/>
      <c r="WKD7" s="2"/>
      <c r="WKE7" s="2"/>
      <c r="WKF7" s="2"/>
      <c r="WKG7" s="6"/>
      <c r="WKH7" s="7"/>
      <c r="WKI7" s="8"/>
      <c r="WKJ7" s="9"/>
      <c r="WKK7" s="8"/>
      <c r="WKL7" s="7"/>
      <c r="WKM7" s="9"/>
      <c r="WKN7" s="8"/>
      <c r="WKO7" s="8"/>
      <c r="WKP7" s="7"/>
      <c r="WKQ7" s="9"/>
      <c r="WKR7" s="2"/>
      <c r="WKS7" s="2"/>
      <c r="WKT7" s="2"/>
      <c r="WKU7" s="2"/>
      <c r="WKV7" s="2"/>
      <c r="WKW7" s="2"/>
      <c r="WKX7" s="2"/>
      <c r="WKY7" s="2"/>
      <c r="WKZ7" s="2"/>
      <c r="WLA7" s="2"/>
      <c r="WLB7" s="2"/>
      <c r="WLC7" s="6"/>
      <c r="WLD7" s="7"/>
      <c r="WLE7" s="8"/>
      <c r="WLF7" s="9"/>
      <c r="WLG7" s="8"/>
      <c r="WLH7" s="7"/>
      <c r="WLI7" s="9"/>
      <c r="WLJ7" s="8"/>
      <c r="WLK7" s="8"/>
      <c r="WLL7" s="7"/>
      <c r="WLM7" s="9"/>
      <c r="WLN7" s="2"/>
      <c r="WLO7" s="2"/>
      <c r="WLP7" s="2"/>
      <c r="WLQ7" s="2"/>
      <c r="WLR7" s="2"/>
      <c r="WLS7" s="2"/>
      <c r="WLT7" s="2"/>
      <c r="WLU7" s="2"/>
      <c r="WLV7" s="2"/>
      <c r="WLW7" s="2"/>
      <c r="WLX7" s="2"/>
      <c r="WLY7" s="6"/>
      <c r="WLZ7" s="7"/>
      <c r="WMA7" s="8"/>
      <c r="WMB7" s="9"/>
      <c r="WMC7" s="8"/>
      <c r="WMD7" s="7"/>
      <c r="WME7" s="9"/>
      <c r="WMF7" s="8"/>
      <c r="WMG7" s="8"/>
      <c r="WMH7" s="7"/>
      <c r="WMI7" s="9"/>
      <c r="WMJ7" s="2"/>
      <c r="WMK7" s="2"/>
      <c r="WML7" s="2"/>
      <c r="WMM7" s="2"/>
      <c r="WMN7" s="2"/>
      <c r="WMO7" s="2"/>
      <c r="WMP7" s="2"/>
      <c r="WMQ7" s="2"/>
      <c r="WMR7" s="2"/>
      <c r="WMS7" s="2"/>
      <c r="WMT7" s="2"/>
      <c r="WMU7" s="6"/>
      <c r="WMV7" s="7"/>
      <c r="WMW7" s="8"/>
      <c r="WMX7" s="9"/>
      <c r="WMY7" s="8"/>
      <c r="WMZ7" s="7"/>
      <c r="WNA7" s="9"/>
      <c r="WNB7" s="8"/>
      <c r="WNC7" s="8"/>
      <c r="WND7" s="7"/>
      <c r="WNE7" s="9"/>
      <c r="WNF7" s="2"/>
      <c r="WNG7" s="2"/>
      <c r="WNH7" s="2"/>
      <c r="WNI7" s="2"/>
      <c r="WNJ7" s="2"/>
      <c r="WNK7" s="2"/>
      <c r="WNL7" s="2"/>
      <c r="WNM7" s="2"/>
      <c r="WNN7" s="2"/>
      <c r="WNO7" s="2"/>
      <c r="WNP7" s="2"/>
      <c r="WNQ7" s="6"/>
      <c r="WNR7" s="7"/>
      <c r="WNS7" s="8"/>
      <c r="WNT7" s="9"/>
      <c r="WNU7" s="8"/>
      <c r="WNV7" s="7"/>
      <c r="WNW7" s="9"/>
      <c r="WNX7" s="8"/>
      <c r="WNY7" s="8"/>
      <c r="WNZ7" s="7"/>
      <c r="WOA7" s="9"/>
      <c r="WOB7" s="2"/>
      <c r="WOC7" s="2"/>
      <c r="WOD7" s="2"/>
      <c r="WOE7" s="2"/>
      <c r="WOF7" s="2"/>
      <c r="WOG7" s="2"/>
      <c r="WOH7" s="2"/>
      <c r="WOI7" s="2"/>
      <c r="WOJ7" s="2"/>
      <c r="WOK7" s="2"/>
      <c r="WOL7" s="2"/>
      <c r="WOM7" s="6"/>
      <c r="WON7" s="7"/>
      <c r="WOO7" s="8"/>
      <c r="WOP7" s="9"/>
      <c r="WOQ7" s="8"/>
      <c r="WOR7" s="7"/>
      <c r="WOS7" s="9"/>
      <c r="WOT7" s="8"/>
      <c r="WOU7" s="8"/>
      <c r="WOV7" s="7"/>
      <c r="WOW7" s="9"/>
      <c r="WOX7" s="2"/>
      <c r="WOY7" s="2"/>
      <c r="WOZ7" s="2"/>
      <c r="WPA7" s="2"/>
      <c r="WPB7" s="2"/>
      <c r="WPC7" s="2"/>
      <c r="WPD7" s="2"/>
      <c r="WPE7" s="2"/>
      <c r="WPF7" s="2"/>
      <c r="WPG7" s="2"/>
      <c r="WPH7" s="2"/>
      <c r="WPI7" s="6"/>
      <c r="WPJ7" s="7"/>
      <c r="WPK7" s="8"/>
      <c r="WPL7" s="9"/>
      <c r="WPM7" s="8"/>
      <c r="WPN7" s="7"/>
      <c r="WPO7" s="9"/>
      <c r="WPP7" s="8"/>
      <c r="WPQ7" s="8"/>
      <c r="WPR7" s="7"/>
      <c r="WPS7" s="9"/>
      <c r="WPT7" s="2"/>
      <c r="WPU7" s="2"/>
      <c r="WPV7" s="2"/>
      <c r="WPW7" s="2"/>
      <c r="WPX7" s="2"/>
      <c r="WPY7" s="2"/>
      <c r="WPZ7" s="2"/>
      <c r="WQA7" s="2"/>
      <c r="WQB7" s="2"/>
      <c r="WQC7" s="2"/>
      <c r="WQD7" s="2"/>
      <c r="WQE7" s="6"/>
      <c r="WQF7" s="7"/>
      <c r="WQG7" s="8"/>
      <c r="WQH7" s="9"/>
      <c r="WQI7" s="8"/>
      <c r="WQJ7" s="7"/>
      <c r="WQK7" s="9"/>
      <c r="WQL7" s="8"/>
      <c r="WQM7" s="8"/>
      <c r="WQN7" s="7"/>
      <c r="WQO7" s="9"/>
      <c r="WQP7" s="2"/>
      <c r="WQQ7" s="2"/>
      <c r="WQR7" s="2"/>
      <c r="WQS7" s="2"/>
      <c r="WQT7" s="2"/>
      <c r="WQU7" s="2"/>
      <c r="WQV7" s="2"/>
      <c r="WQW7" s="2"/>
      <c r="WQX7" s="2"/>
      <c r="WQY7" s="2"/>
      <c r="WQZ7" s="2"/>
      <c r="WRA7" s="6"/>
      <c r="WRB7" s="7"/>
      <c r="WRC7" s="8"/>
      <c r="WRD7" s="9"/>
      <c r="WRE7" s="8"/>
      <c r="WRF7" s="7"/>
      <c r="WRG7" s="9"/>
      <c r="WRH7" s="8"/>
      <c r="WRI7" s="8"/>
      <c r="WRJ7" s="7"/>
      <c r="WRK7" s="9"/>
      <c r="WRL7" s="2"/>
      <c r="WRM7" s="2"/>
      <c r="WRN7" s="2"/>
      <c r="WRO7" s="2"/>
      <c r="WRP7" s="2"/>
      <c r="WRQ7" s="2"/>
      <c r="WRR7" s="2"/>
      <c r="WRS7" s="2"/>
      <c r="WRT7" s="2"/>
      <c r="WRU7" s="2"/>
      <c r="WRV7" s="2"/>
      <c r="WRW7" s="6"/>
      <c r="WRX7" s="7"/>
      <c r="WRY7" s="8"/>
      <c r="WRZ7" s="9"/>
      <c r="WSA7" s="8"/>
      <c r="WSB7" s="7"/>
      <c r="WSC7" s="9"/>
      <c r="WSD7" s="8"/>
      <c r="WSE7" s="8"/>
      <c r="WSF7" s="7"/>
      <c r="WSG7" s="9"/>
      <c r="WSH7" s="2"/>
      <c r="WSI7" s="2"/>
      <c r="WSJ7" s="2"/>
      <c r="WSK7" s="2"/>
      <c r="WSL7" s="2"/>
      <c r="WSM7" s="2"/>
      <c r="WSN7" s="2"/>
      <c r="WSO7" s="2"/>
      <c r="WSP7" s="2"/>
      <c r="WSQ7" s="2"/>
      <c r="WSR7" s="2"/>
      <c r="WSS7" s="6"/>
      <c r="WST7" s="7"/>
      <c r="WSU7" s="8"/>
      <c r="WSV7" s="9"/>
      <c r="WSW7" s="8"/>
      <c r="WSX7" s="7"/>
      <c r="WSY7" s="9"/>
      <c r="WSZ7" s="8"/>
      <c r="WTA7" s="8"/>
      <c r="WTB7" s="7"/>
      <c r="WTC7" s="9"/>
      <c r="WTD7" s="2"/>
      <c r="WTE7" s="2"/>
      <c r="WTF7" s="2"/>
      <c r="WTG7" s="2"/>
      <c r="WTH7" s="2"/>
      <c r="WTI7" s="2"/>
      <c r="WTJ7" s="2"/>
      <c r="WTK7" s="2"/>
      <c r="WTL7" s="2"/>
      <c r="WTM7" s="2"/>
      <c r="WTN7" s="2"/>
      <c r="WTO7" s="6"/>
      <c r="WTP7" s="7"/>
      <c r="WTQ7" s="8"/>
      <c r="WTR7" s="9"/>
      <c r="WTS7" s="8"/>
      <c r="WTT7" s="7"/>
      <c r="WTU7" s="9"/>
      <c r="WTV7" s="8"/>
      <c r="WTW7" s="8"/>
      <c r="WTX7" s="7"/>
      <c r="WTY7" s="9"/>
      <c r="WTZ7" s="2"/>
      <c r="WUA7" s="2"/>
      <c r="WUB7" s="2"/>
      <c r="WUC7" s="2"/>
      <c r="WUD7" s="2"/>
      <c r="WUE7" s="2"/>
      <c r="WUF7" s="2"/>
      <c r="WUG7" s="2"/>
      <c r="WUH7" s="2"/>
      <c r="WUI7" s="2"/>
      <c r="WUJ7" s="2"/>
      <c r="WUK7" s="6"/>
      <c r="WUL7" s="7"/>
      <c r="WUM7" s="8"/>
      <c r="WUN7" s="9"/>
      <c r="WUO7" s="8"/>
      <c r="WUP7" s="7"/>
      <c r="WUQ7" s="9"/>
      <c r="WUR7" s="8"/>
      <c r="WUS7" s="8"/>
      <c r="WUT7" s="7"/>
      <c r="WUU7" s="9"/>
      <c r="WUV7" s="2"/>
      <c r="WUW7" s="2"/>
      <c r="WUX7" s="2"/>
      <c r="WUY7" s="2"/>
      <c r="WUZ7" s="2"/>
      <c r="WVA7" s="2"/>
      <c r="WVB7" s="2"/>
      <c r="WVC7" s="2"/>
      <c r="WVD7" s="2"/>
      <c r="WVE7" s="2"/>
      <c r="WVF7" s="2"/>
      <c r="WVG7" s="6"/>
      <c r="WVH7" s="7"/>
      <c r="WVI7" s="8"/>
      <c r="WVJ7" s="9"/>
      <c r="WVK7" s="8"/>
      <c r="WVL7" s="7"/>
      <c r="WVM7" s="9"/>
      <c r="WVN7" s="8"/>
      <c r="WVO7" s="8"/>
      <c r="WVP7" s="7"/>
      <c r="WVQ7" s="9"/>
      <c r="WVR7" s="2"/>
      <c r="WVS7" s="2"/>
      <c r="WVT7" s="2"/>
      <c r="WVU7" s="2"/>
      <c r="WVV7" s="2"/>
      <c r="WVW7" s="2"/>
      <c r="WVX7" s="2"/>
      <c r="WVY7" s="2"/>
      <c r="WVZ7" s="2"/>
      <c r="WWA7" s="2"/>
      <c r="WWB7" s="2"/>
      <c r="WWC7" s="6"/>
      <c r="WWD7" s="7"/>
      <c r="WWE7" s="8"/>
      <c r="WWF7" s="9"/>
      <c r="WWG7" s="8"/>
      <c r="WWH7" s="7"/>
      <c r="WWI7" s="9"/>
      <c r="WWJ7" s="8"/>
      <c r="WWK7" s="8"/>
      <c r="WWL7" s="7"/>
      <c r="WWM7" s="9"/>
      <c r="WWN7" s="2"/>
      <c r="WWO7" s="2"/>
      <c r="WWP7" s="2"/>
      <c r="WWQ7" s="2"/>
      <c r="WWR7" s="2"/>
      <c r="WWS7" s="2"/>
      <c r="WWT7" s="2"/>
      <c r="WWU7" s="2"/>
      <c r="WWV7" s="2"/>
      <c r="WWW7" s="2"/>
      <c r="WWX7" s="2"/>
      <c r="WWY7" s="6"/>
      <c r="WWZ7" s="7"/>
      <c r="WXA7" s="8"/>
      <c r="WXB7" s="9"/>
      <c r="WXC7" s="8"/>
      <c r="WXD7" s="7"/>
      <c r="WXE7" s="9"/>
      <c r="WXF7" s="8"/>
      <c r="WXG7" s="8"/>
      <c r="WXH7" s="7"/>
      <c r="WXI7" s="9"/>
      <c r="WXJ7" s="2"/>
      <c r="WXK7" s="2"/>
      <c r="WXL7" s="2"/>
      <c r="WXM7" s="2"/>
      <c r="WXN7" s="2"/>
      <c r="WXO7" s="2"/>
      <c r="WXP7" s="2"/>
      <c r="WXQ7" s="2"/>
      <c r="WXR7" s="2"/>
      <c r="WXS7" s="2"/>
      <c r="WXT7" s="2"/>
      <c r="WXU7" s="6"/>
      <c r="WXV7" s="7"/>
      <c r="WXW7" s="8"/>
      <c r="WXX7" s="9"/>
      <c r="WXY7" s="8"/>
      <c r="WXZ7" s="7"/>
      <c r="WYA7" s="9"/>
      <c r="WYB7" s="8"/>
      <c r="WYC7" s="8"/>
      <c r="WYD7" s="7"/>
      <c r="WYE7" s="9"/>
      <c r="WYF7" s="2"/>
      <c r="WYG7" s="2"/>
      <c r="WYH7" s="2"/>
      <c r="WYI7" s="2"/>
      <c r="WYJ7" s="2"/>
      <c r="WYK7" s="2"/>
      <c r="WYL7" s="2"/>
      <c r="WYM7" s="2"/>
      <c r="WYN7" s="2"/>
      <c r="WYO7" s="2"/>
      <c r="WYP7" s="2"/>
      <c r="WYQ7" s="6"/>
      <c r="WYR7" s="7"/>
      <c r="WYS7" s="8"/>
      <c r="WYT7" s="9"/>
      <c r="WYU7" s="8"/>
      <c r="WYV7" s="7"/>
      <c r="WYW7" s="9"/>
      <c r="WYX7" s="8"/>
      <c r="WYY7" s="8"/>
      <c r="WYZ7" s="7"/>
      <c r="WZA7" s="9"/>
      <c r="WZB7" s="2"/>
      <c r="WZC7" s="2"/>
      <c r="WZD7" s="2"/>
      <c r="WZE7" s="2"/>
      <c r="WZF7" s="2"/>
      <c r="WZG7" s="2"/>
      <c r="WZH7" s="2"/>
      <c r="WZI7" s="2"/>
      <c r="WZJ7" s="2"/>
      <c r="WZK7" s="2"/>
      <c r="WZL7" s="2"/>
      <c r="WZM7" s="6"/>
      <c r="WZN7" s="7"/>
      <c r="WZO7" s="8"/>
      <c r="WZP7" s="9"/>
      <c r="WZQ7" s="8"/>
      <c r="WZR7" s="7"/>
      <c r="WZS7" s="9"/>
      <c r="WZT7" s="8"/>
      <c r="WZU7" s="8"/>
      <c r="WZV7" s="7"/>
      <c r="WZW7" s="9"/>
      <c r="WZX7" s="2"/>
      <c r="WZY7" s="2"/>
      <c r="WZZ7" s="2"/>
      <c r="XAA7" s="2"/>
      <c r="XAB7" s="2"/>
      <c r="XAC7" s="2"/>
      <c r="XAD7" s="2"/>
      <c r="XAE7" s="2"/>
      <c r="XAF7" s="2"/>
      <c r="XAG7" s="2"/>
      <c r="XAH7" s="2"/>
      <c r="XAI7" s="6"/>
      <c r="XAJ7" s="7"/>
      <c r="XAK7" s="8"/>
      <c r="XAL7" s="9"/>
      <c r="XAM7" s="8"/>
      <c r="XAN7" s="7"/>
      <c r="XAO7" s="9"/>
      <c r="XAP7" s="8"/>
      <c r="XAQ7" s="8"/>
      <c r="XAR7" s="7"/>
      <c r="XAS7" s="9"/>
      <c r="XAT7" s="2"/>
      <c r="XAU7" s="2"/>
      <c r="XAV7" s="2"/>
      <c r="XAW7" s="2"/>
      <c r="XAX7" s="2"/>
      <c r="XAY7" s="2"/>
      <c r="XAZ7" s="2"/>
      <c r="XBA7" s="2"/>
      <c r="XBB7" s="2"/>
      <c r="XBC7" s="2"/>
      <c r="XBD7" s="2"/>
      <c r="XBE7" s="6"/>
      <c r="XBF7" s="7"/>
      <c r="XBG7" s="8"/>
      <c r="XBH7" s="9"/>
      <c r="XBI7" s="8"/>
      <c r="XBJ7" s="7"/>
      <c r="XBK7" s="9"/>
      <c r="XBL7" s="8"/>
      <c r="XBM7" s="8"/>
      <c r="XBN7" s="7"/>
      <c r="XBO7" s="9"/>
      <c r="XBP7" s="2"/>
      <c r="XBQ7" s="2"/>
      <c r="XBR7" s="2"/>
      <c r="XBS7" s="2"/>
      <c r="XBT7" s="2"/>
      <c r="XBU7" s="2"/>
      <c r="XBV7" s="2"/>
      <c r="XBW7" s="2"/>
      <c r="XBX7" s="2"/>
      <c r="XBY7" s="2"/>
      <c r="XBZ7" s="2"/>
      <c r="XCA7" s="6"/>
      <c r="XCB7" s="7"/>
      <c r="XCC7" s="8"/>
      <c r="XCD7" s="9"/>
      <c r="XCE7" s="8"/>
      <c r="XCF7" s="7"/>
      <c r="XCG7" s="9"/>
      <c r="XCH7" s="8"/>
      <c r="XCI7" s="8"/>
      <c r="XCJ7" s="7"/>
      <c r="XCK7" s="9"/>
      <c r="XCL7" s="2"/>
      <c r="XCM7" s="2"/>
      <c r="XCN7" s="2"/>
      <c r="XCO7" s="2"/>
      <c r="XCP7" s="2"/>
      <c r="XCQ7" s="2"/>
      <c r="XCR7" s="2"/>
      <c r="XCS7" s="2"/>
      <c r="XCT7" s="2"/>
      <c r="XCU7" s="2"/>
      <c r="XCV7" s="2"/>
      <c r="XCW7" s="6"/>
      <c r="XCX7" s="7"/>
      <c r="XCY7" s="8"/>
      <c r="XCZ7" s="9"/>
      <c r="XDA7" s="8"/>
      <c r="XDB7" s="7"/>
      <c r="XDC7" s="9"/>
      <c r="XDD7" s="8"/>
      <c r="XDE7" s="8"/>
      <c r="XDF7" s="7"/>
      <c r="XDG7" s="9"/>
      <c r="XDH7" s="2"/>
      <c r="XDI7" s="2"/>
      <c r="XDJ7" s="2"/>
      <c r="XDK7" s="2"/>
      <c r="XDL7" s="2"/>
      <c r="XDM7" s="2"/>
      <c r="XDN7" s="2"/>
      <c r="XDO7" s="2"/>
      <c r="XDP7" s="2"/>
      <c r="XDQ7" s="2"/>
      <c r="XDR7" s="2"/>
      <c r="XDS7" s="6"/>
      <c r="XDT7" s="7"/>
      <c r="XDU7" s="8"/>
      <c r="XDV7" s="9"/>
      <c r="XDW7" s="8"/>
      <c r="XDX7" s="7"/>
      <c r="XDY7" s="9"/>
      <c r="XDZ7" s="8"/>
      <c r="XEA7" s="8"/>
      <c r="XEB7" s="7"/>
      <c r="XEC7" s="9"/>
      <c r="XED7" s="2"/>
      <c r="XEE7" s="2"/>
      <c r="XEF7" s="2"/>
      <c r="XEG7" s="2"/>
      <c r="XEH7" s="2"/>
      <c r="XEI7" s="2"/>
      <c r="XEJ7" s="2"/>
      <c r="XEK7" s="2"/>
      <c r="XEL7" s="2"/>
    </row>
    <row r="8" spans="2:16366">
      <c r="B8" s="11" t="s">
        <v>752</v>
      </c>
      <c r="C8" s="11" t="s">
        <v>753</v>
      </c>
      <c r="D8" s="11" t="s">
        <v>753</v>
      </c>
      <c r="E8" s="12">
        <v>40680</v>
      </c>
      <c r="F8" s="15">
        <v>40622</v>
      </c>
      <c r="G8" s="14"/>
      <c r="H8" s="12">
        <v>40806</v>
      </c>
      <c r="I8" s="12">
        <v>44094</v>
      </c>
      <c r="J8" s="13">
        <v>1.1000000000000001E-2</v>
      </c>
      <c r="K8" s="12">
        <v>44275</v>
      </c>
      <c r="L8" s="16" t="str" cm="1">
        <f t="array" ref="L8">_xll.aqBondObjectCreateFromGenerator($C8,$L$4,_xll.aqToolLVBFromKeysValues($C$7:$K$7,$C8:$K8))</f>
        <v>JP1103141B54:3</v>
      </c>
      <c r="M8" s="78">
        <v>-1.1899999999999305E-3</v>
      </c>
      <c r="N8" s="51">
        <v>102.9575</v>
      </c>
      <c r="O8" s="51">
        <v>2.3923999999999999</v>
      </c>
      <c r="P8" s="95">
        <v>245.82050000000001</v>
      </c>
      <c r="Q8" s="39" cm="1">
        <f t="array" ref="Q8">_xll.aqBondObjectYield(L8,$C$4,R8)</f>
        <v>-1.1899999999999578E-3</v>
      </c>
      <c r="R8" s="49" cm="1">
        <f t="array" ref="R8">_xll.aqBondObjectPrice($L8,$C$4,$M8)</f>
        <v>102.95749217548831</v>
      </c>
      <c r="S8" s="49" cm="1">
        <f t="array" ref="S8">_xll.aqBondObjectCleanPrice($L8,$C$4,$M8)</f>
        <v>102.95749217548831</v>
      </c>
      <c r="T8" s="49" cm="1">
        <f t="array" ref="T8">_xll.aqBondObjectDirtyPrice($L8,$C$4,$M8)</f>
        <v>102.75000000000001</v>
      </c>
      <c r="U8" s="49" cm="1">
        <f t="array" ref="U8">_xll.aqBondObjectModifiedDuration($L8,$C$4,$Q8)</f>
        <v>2.3924140919241408</v>
      </c>
      <c r="V8" s="93" cm="1">
        <f t="array" ref="V8">_xll.aqBondObjectDV01($L8,$C$4,$Q8)</f>
        <v>245.8205479452055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  <c r="AAA8" s="2"/>
      <c r="AAB8" s="2"/>
      <c r="AAC8" s="2"/>
      <c r="AAD8" s="2"/>
      <c r="AAE8" s="2"/>
      <c r="AAF8" s="2"/>
      <c r="AAG8" s="2"/>
      <c r="AAH8" s="2"/>
      <c r="AAI8" s="2"/>
      <c r="AAJ8" s="2"/>
      <c r="AAK8" s="2"/>
      <c r="AAL8" s="2"/>
      <c r="AAM8" s="2"/>
      <c r="AAN8" s="2"/>
      <c r="AAO8" s="2"/>
      <c r="AAP8" s="2"/>
      <c r="AAQ8" s="2"/>
      <c r="AAR8" s="2"/>
      <c r="AAS8" s="2"/>
      <c r="AAT8" s="2"/>
      <c r="AAU8" s="2"/>
      <c r="AAV8" s="2"/>
      <c r="AAW8" s="2"/>
      <c r="AAX8" s="2"/>
      <c r="AAY8" s="2"/>
      <c r="AAZ8" s="2"/>
      <c r="ABA8" s="2"/>
      <c r="ABB8" s="2"/>
      <c r="ABC8" s="2"/>
      <c r="ABD8" s="2"/>
      <c r="ABE8" s="2"/>
      <c r="ABF8" s="2"/>
      <c r="ABG8" s="2"/>
      <c r="ABH8" s="2"/>
      <c r="ABI8" s="2"/>
      <c r="ABJ8" s="2"/>
      <c r="ABK8" s="2"/>
      <c r="ABL8" s="2"/>
      <c r="ABM8" s="2"/>
      <c r="ABN8" s="2"/>
      <c r="ABO8" s="2"/>
      <c r="ABP8" s="2"/>
      <c r="ABQ8" s="2"/>
      <c r="ABR8" s="2"/>
      <c r="ABS8" s="2"/>
      <c r="ABT8" s="2"/>
      <c r="ABU8" s="2"/>
      <c r="ABV8" s="2"/>
      <c r="ABW8" s="2"/>
      <c r="ABX8" s="2"/>
      <c r="ABY8" s="2"/>
      <c r="ABZ8" s="2"/>
      <c r="ACA8" s="2"/>
      <c r="ACB8" s="2"/>
      <c r="ACC8" s="2"/>
      <c r="ACD8" s="2"/>
      <c r="ACE8" s="2"/>
      <c r="ACF8" s="2"/>
      <c r="ACG8" s="2"/>
      <c r="ACH8" s="2"/>
      <c r="ACI8" s="2"/>
      <c r="ACJ8" s="2"/>
      <c r="ACK8" s="2"/>
      <c r="ACL8" s="2"/>
      <c r="ACM8" s="2"/>
      <c r="ACN8" s="2"/>
      <c r="ACO8" s="2"/>
      <c r="ACP8" s="2"/>
      <c r="ACQ8" s="2"/>
      <c r="ACR8" s="2"/>
      <c r="ACS8" s="2"/>
      <c r="ACT8" s="2"/>
      <c r="ACU8" s="2"/>
      <c r="ACV8" s="2"/>
      <c r="ACW8" s="2"/>
      <c r="ACX8" s="2"/>
      <c r="ACY8" s="2"/>
      <c r="ACZ8" s="2"/>
      <c r="ADA8" s="2"/>
      <c r="ADB8" s="2"/>
      <c r="ADC8" s="2"/>
      <c r="ADD8" s="2"/>
      <c r="ADE8" s="2"/>
      <c r="ADF8" s="2"/>
      <c r="ADG8" s="2"/>
      <c r="ADH8" s="2"/>
      <c r="ADI8" s="2"/>
      <c r="ADJ8" s="2"/>
      <c r="ADK8" s="2"/>
      <c r="ADL8" s="2"/>
      <c r="ADM8" s="2"/>
      <c r="ADN8" s="2"/>
      <c r="ADO8" s="2"/>
      <c r="ADP8" s="2"/>
      <c r="ADQ8" s="2"/>
      <c r="ADR8" s="2"/>
      <c r="ADS8" s="2"/>
      <c r="ADT8" s="2"/>
      <c r="ADU8" s="2"/>
      <c r="ADV8" s="2"/>
      <c r="ADW8" s="2"/>
      <c r="ADX8" s="2"/>
      <c r="ADY8" s="2"/>
      <c r="ADZ8" s="2"/>
      <c r="AEA8" s="2"/>
      <c r="AEB8" s="2"/>
      <c r="AEC8" s="2"/>
      <c r="AED8" s="2"/>
      <c r="AEE8" s="2"/>
      <c r="AEF8" s="2"/>
      <c r="AEG8" s="2"/>
      <c r="AEH8" s="2"/>
      <c r="AEI8" s="2"/>
      <c r="AEJ8" s="2"/>
      <c r="AEK8" s="2"/>
      <c r="AEL8" s="2"/>
      <c r="AEM8" s="2"/>
      <c r="AEN8" s="2"/>
      <c r="AEO8" s="2"/>
      <c r="AEP8" s="2"/>
      <c r="AEQ8" s="2"/>
      <c r="AER8" s="2"/>
      <c r="AES8" s="2"/>
      <c r="AET8" s="2"/>
      <c r="AEU8" s="2"/>
      <c r="AEV8" s="2"/>
      <c r="AEW8" s="2"/>
      <c r="AEX8" s="2"/>
      <c r="AEY8" s="2"/>
      <c r="AEZ8" s="2"/>
      <c r="AFA8" s="2"/>
      <c r="AFB8" s="2"/>
      <c r="AFC8" s="2"/>
      <c r="AFD8" s="2"/>
      <c r="AFE8" s="2"/>
      <c r="AFF8" s="2"/>
      <c r="AFG8" s="2"/>
      <c r="AFH8" s="2"/>
      <c r="AFI8" s="2"/>
      <c r="AFJ8" s="2"/>
      <c r="AFK8" s="2"/>
      <c r="AFL8" s="2"/>
      <c r="AFM8" s="2"/>
      <c r="AFN8" s="2"/>
      <c r="AFO8" s="2"/>
      <c r="AFP8" s="2"/>
      <c r="AFQ8" s="2"/>
      <c r="AFR8" s="2"/>
      <c r="AFS8" s="2"/>
      <c r="AFT8" s="2"/>
      <c r="AFU8" s="2"/>
      <c r="AFV8" s="2"/>
      <c r="AFW8" s="2"/>
      <c r="AFX8" s="2"/>
      <c r="AFY8" s="2"/>
      <c r="AFZ8" s="2"/>
      <c r="AGA8" s="2"/>
      <c r="AGB8" s="2"/>
      <c r="AGC8" s="2"/>
      <c r="AGD8" s="2"/>
      <c r="AGE8" s="2"/>
      <c r="AGF8" s="2"/>
      <c r="AGG8" s="2"/>
      <c r="AGH8" s="2"/>
      <c r="AGI8" s="2"/>
      <c r="AGJ8" s="2"/>
      <c r="AGK8" s="2"/>
      <c r="AGL8" s="2"/>
      <c r="AGM8" s="2"/>
      <c r="AGN8" s="2"/>
      <c r="AGO8" s="2"/>
      <c r="AGP8" s="2"/>
      <c r="AGQ8" s="2"/>
      <c r="AGR8" s="2"/>
      <c r="AGS8" s="2"/>
      <c r="AGT8" s="2"/>
      <c r="AGU8" s="2"/>
      <c r="AGV8" s="2"/>
      <c r="AGW8" s="2"/>
      <c r="AGX8" s="2"/>
      <c r="AGY8" s="2"/>
      <c r="AGZ8" s="2"/>
      <c r="AHA8" s="2"/>
      <c r="AHB8" s="2"/>
      <c r="AHC8" s="2"/>
      <c r="AHD8" s="2"/>
      <c r="AHE8" s="2"/>
      <c r="AHF8" s="2"/>
      <c r="AHG8" s="2"/>
      <c r="AHH8" s="2"/>
      <c r="AHI8" s="2"/>
      <c r="AHJ8" s="2"/>
      <c r="AHK8" s="2"/>
      <c r="AHL8" s="2"/>
      <c r="AHM8" s="2"/>
      <c r="AHN8" s="2"/>
      <c r="AHO8" s="2"/>
      <c r="AHP8" s="2"/>
      <c r="AHQ8" s="2"/>
      <c r="AHR8" s="2"/>
      <c r="AHS8" s="2"/>
      <c r="AHT8" s="2"/>
      <c r="AHU8" s="2"/>
      <c r="AHV8" s="2"/>
      <c r="AHW8" s="2"/>
      <c r="AHX8" s="2"/>
      <c r="AHY8" s="2"/>
      <c r="AHZ8" s="2"/>
      <c r="AIA8" s="2"/>
      <c r="AIB8" s="2"/>
      <c r="AIC8" s="2"/>
      <c r="AID8" s="2"/>
      <c r="AIE8" s="2"/>
      <c r="AIF8" s="2"/>
      <c r="AIG8" s="2"/>
      <c r="AIH8" s="2"/>
      <c r="AII8" s="2"/>
      <c r="AIJ8" s="2"/>
      <c r="AIK8" s="2"/>
      <c r="AIL8" s="2"/>
      <c r="AIM8" s="2"/>
      <c r="AIN8" s="2"/>
      <c r="AIO8" s="2"/>
      <c r="AIP8" s="2"/>
      <c r="AIQ8" s="2"/>
      <c r="AIR8" s="2"/>
      <c r="AIS8" s="2"/>
      <c r="AIT8" s="2"/>
      <c r="AIU8" s="2"/>
      <c r="AIV8" s="2"/>
      <c r="AIW8" s="2"/>
      <c r="AIX8" s="2"/>
      <c r="AIY8" s="2"/>
      <c r="AIZ8" s="2"/>
      <c r="AJA8" s="2"/>
      <c r="AJB8" s="2"/>
      <c r="AJC8" s="2"/>
      <c r="AJD8" s="2"/>
      <c r="AJE8" s="2"/>
      <c r="AJF8" s="2"/>
      <c r="AJG8" s="2"/>
      <c r="AJH8" s="2"/>
      <c r="AJI8" s="2"/>
      <c r="AJJ8" s="2"/>
      <c r="AJK8" s="2"/>
      <c r="AJL8" s="2"/>
      <c r="AJM8" s="2"/>
      <c r="AJN8" s="2"/>
      <c r="AJO8" s="2"/>
      <c r="AJP8" s="2"/>
      <c r="AJQ8" s="2"/>
      <c r="AJR8" s="2"/>
      <c r="AJS8" s="2"/>
      <c r="AJT8" s="2"/>
      <c r="AJU8" s="2"/>
      <c r="AJV8" s="2"/>
      <c r="AJW8" s="2"/>
      <c r="AJX8" s="2"/>
      <c r="AJY8" s="2"/>
      <c r="AJZ8" s="2"/>
      <c r="AKA8" s="2"/>
      <c r="AKB8" s="2"/>
      <c r="AKC8" s="2"/>
      <c r="AKD8" s="2"/>
      <c r="AKE8" s="2"/>
      <c r="AKF8" s="2"/>
      <c r="AKG8" s="2"/>
      <c r="AKH8" s="2"/>
      <c r="AKI8" s="2"/>
      <c r="AKJ8" s="2"/>
      <c r="AKK8" s="2"/>
      <c r="AKL8" s="2"/>
      <c r="AKM8" s="2"/>
      <c r="AKN8" s="2"/>
      <c r="AKO8" s="2"/>
      <c r="AKP8" s="2"/>
      <c r="AKQ8" s="2"/>
      <c r="AKR8" s="2"/>
      <c r="AKS8" s="2"/>
      <c r="AKT8" s="2"/>
      <c r="AKU8" s="2"/>
      <c r="AKV8" s="2"/>
      <c r="AKW8" s="2"/>
      <c r="AKX8" s="2"/>
      <c r="AKY8" s="2"/>
      <c r="AKZ8" s="2"/>
      <c r="ALA8" s="2"/>
      <c r="ALB8" s="2"/>
      <c r="ALC8" s="2"/>
      <c r="ALD8" s="2"/>
      <c r="ALE8" s="2"/>
      <c r="ALF8" s="2"/>
      <c r="ALG8" s="2"/>
      <c r="ALH8" s="2"/>
      <c r="ALI8" s="2"/>
      <c r="ALJ8" s="2"/>
      <c r="ALK8" s="2"/>
      <c r="ALL8" s="2"/>
      <c r="ALM8" s="2"/>
      <c r="ALN8" s="2"/>
      <c r="ALO8" s="2"/>
      <c r="ALP8" s="2"/>
      <c r="ALQ8" s="2"/>
      <c r="ALR8" s="2"/>
      <c r="ALS8" s="2"/>
      <c r="ALT8" s="2"/>
      <c r="ALU8" s="2"/>
      <c r="ALV8" s="2"/>
      <c r="ALW8" s="2"/>
      <c r="ALX8" s="2"/>
      <c r="ALY8" s="2"/>
      <c r="ALZ8" s="2"/>
      <c r="AMA8" s="2"/>
      <c r="AMB8" s="2"/>
      <c r="AMC8" s="2"/>
      <c r="AMD8" s="2"/>
      <c r="AME8" s="2"/>
      <c r="AMF8" s="2"/>
      <c r="AMG8" s="2"/>
      <c r="AMH8" s="2"/>
      <c r="AMI8" s="2"/>
      <c r="AMJ8" s="2"/>
      <c r="AMK8" s="2"/>
      <c r="AML8" s="2"/>
      <c r="AMM8" s="2"/>
      <c r="AMN8" s="2"/>
      <c r="AMO8" s="2"/>
      <c r="AMP8" s="2"/>
      <c r="AMQ8" s="2"/>
      <c r="AMR8" s="2"/>
      <c r="AMS8" s="2"/>
      <c r="AMT8" s="2"/>
      <c r="AMU8" s="2"/>
      <c r="AMV8" s="2"/>
      <c r="AMW8" s="2"/>
      <c r="AMX8" s="2"/>
      <c r="AMY8" s="2"/>
      <c r="AMZ8" s="2"/>
      <c r="ANA8" s="2"/>
      <c r="ANB8" s="2"/>
      <c r="ANC8" s="2"/>
      <c r="AND8" s="2"/>
      <c r="ANE8" s="2"/>
      <c r="ANF8" s="2"/>
      <c r="ANG8" s="2"/>
      <c r="ANH8" s="2"/>
      <c r="ANI8" s="2"/>
      <c r="ANJ8" s="2"/>
      <c r="ANK8" s="2"/>
      <c r="ANL8" s="2"/>
      <c r="ANM8" s="2"/>
      <c r="ANN8" s="2"/>
      <c r="ANO8" s="2"/>
      <c r="ANP8" s="2"/>
      <c r="ANQ8" s="2"/>
      <c r="ANR8" s="2"/>
      <c r="ANS8" s="2"/>
      <c r="ANT8" s="2"/>
      <c r="ANU8" s="2"/>
      <c r="ANV8" s="2"/>
      <c r="ANW8" s="2"/>
      <c r="ANX8" s="2"/>
      <c r="ANY8" s="2"/>
      <c r="ANZ8" s="2"/>
      <c r="AOA8" s="2"/>
      <c r="AOB8" s="2"/>
      <c r="AOC8" s="2"/>
      <c r="AOD8" s="2"/>
      <c r="AOE8" s="2"/>
      <c r="AOF8" s="2"/>
      <c r="AOG8" s="2"/>
      <c r="AOH8" s="2"/>
      <c r="AOI8" s="2"/>
      <c r="AOJ8" s="2"/>
      <c r="AOK8" s="2"/>
      <c r="AOL8" s="2"/>
      <c r="AOM8" s="2"/>
      <c r="AON8" s="2"/>
      <c r="AOO8" s="2"/>
      <c r="AOP8" s="2"/>
      <c r="AOQ8" s="2"/>
      <c r="AOR8" s="2"/>
      <c r="AOS8" s="2"/>
      <c r="AOT8" s="2"/>
      <c r="AOU8" s="2"/>
      <c r="AOV8" s="2"/>
      <c r="AOW8" s="2"/>
      <c r="AOX8" s="2"/>
      <c r="AOY8" s="2"/>
      <c r="AOZ8" s="2"/>
      <c r="APA8" s="2"/>
      <c r="APB8" s="2"/>
      <c r="APC8" s="2"/>
      <c r="APD8" s="2"/>
      <c r="APE8" s="2"/>
      <c r="APF8" s="2"/>
      <c r="APG8" s="2"/>
      <c r="APH8" s="2"/>
      <c r="API8" s="2"/>
      <c r="APJ8" s="2"/>
      <c r="APK8" s="2"/>
      <c r="APL8" s="2"/>
      <c r="APM8" s="2"/>
      <c r="APN8" s="2"/>
      <c r="APO8" s="2"/>
      <c r="APP8" s="2"/>
      <c r="APQ8" s="2"/>
      <c r="APR8" s="2"/>
      <c r="APS8" s="2"/>
      <c r="APT8" s="2"/>
      <c r="APU8" s="2"/>
      <c r="APV8" s="2"/>
      <c r="APW8" s="2"/>
      <c r="APX8" s="2"/>
      <c r="APY8" s="2"/>
      <c r="APZ8" s="2"/>
      <c r="AQA8" s="2"/>
      <c r="AQB8" s="2"/>
      <c r="AQC8" s="2"/>
      <c r="AQD8" s="2"/>
      <c r="AQE8" s="2"/>
      <c r="AQF8" s="2"/>
      <c r="AQG8" s="2"/>
      <c r="AQH8" s="2"/>
      <c r="AQI8" s="2"/>
      <c r="AQJ8" s="2"/>
      <c r="AQK8" s="2"/>
      <c r="AQL8" s="2"/>
      <c r="AQM8" s="2"/>
      <c r="AQN8" s="2"/>
      <c r="AQO8" s="2"/>
      <c r="AQP8" s="2"/>
      <c r="AQQ8" s="2"/>
      <c r="AQR8" s="2"/>
      <c r="AQS8" s="2"/>
      <c r="AQT8" s="2"/>
      <c r="AQU8" s="2"/>
      <c r="AQV8" s="2"/>
      <c r="AQW8" s="2"/>
      <c r="AQX8" s="2"/>
      <c r="AQY8" s="2"/>
      <c r="AQZ8" s="2"/>
      <c r="ARA8" s="2"/>
      <c r="ARB8" s="2"/>
      <c r="ARC8" s="2"/>
      <c r="ARD8" s="2"/>
      <c r="ARE8" s="2"/>
      <c r="ARF8" s="2"/>
      <c r="ARG8" s="2"/>
      <c r="ARH8" s="2"/>
      <c r="ARI8" s="2"/>
      <c r="ARJ8" s="2"/>
      <c r="ARK8" s="2"/>
      <c r="ARL8" s="2"/>
      <c r="ARM8" s="2"/>
      <c r="ARN8" s="2"/>
      <c r="ARO8" s="2"/>
      <c r="ARP8" s="2"/>
      <c r="ARQ8" s="2"/>
      <c r="ARR8" s="2"/>
      <c r="ARS8" s="2"/>
      <c r="ART8" s="2"/>
      <c r="ARU8" s="2"/>
      <c r="ARV8" s="2"/>
      <c r="ARW8" s="2"/>
      <c r="ARX8" s="2"/>
      <c r="ARY8" s="2"/>
      <c r="ARZ8" s="2"/>
      <c r="ASA8" s="2"/>
      <c r="ASB8" s="2"/>
      <c r="ASC8" s="2"/>
      <c r="ASD8" s="2"/>
      <c r="ASE8" s="2"/>
      <c r="ASF8" s="2"/>
      <c r="ASG8" s="2"/>
      <c r="ASH8" s="2"/>
      <c r="ASI8" s="2"/>
      <c r="ASJ8" s="2"/>
      <c r="ASK8" s="2"/>
      <c r="ASL8" s="2"/>
      <c r="ASM8" s="2"/>
      <c r="ASN8" s="2"/>
      <c r="ASO8" s="2"/>
      <c r="ASP8" s="2"/>
      <c r="ASQ8" s="2"/>
      <c r="ASR8" s="2"/>
      <c r="ASS8" s="2"/>
      <c r="AST8" s="2"/>
      <c r="ASU8" s="2"/>
      <c r="ASV8" s="2"/>
      <c r="ASW8" s="2"/>
      <c r="ASX8" s="2"/>
      <c r="ASY8" s="2"/>
      <c r="ASZ8" s="2"/>
      <c r="ATA8" s="2"/>
      <c r="ATB8" s="2"/>
      <c r="ATC8" s="2"/>
      <c r="ATD8" s="2"/>
      <c r="ATE8" s="2"/>
      <c r="ATF8" s="2"/>
      <c r="ATG8" s="2"/>
      <c r="ATH8" s="2"/>
      <c r="ATI8" s="2"/>
      <c r="ATJ8" s="2"/>
      <c r="ATK8" s="2"/>
      <c r="ATL8" s="2"/>
      <c r="ATM8" s="2"/>
      <c r="ATN8" s="2"/>
      <c r="ATO8" s="2"/>
      <c r="ATP8" s="2"/>
      <c r="ATQ8" s="2"/>
      <c r="ATR8" s="2"/>
      <c r="ATS8" s="2"/>
      <c r="ATT8" s="2"/>
      <c r="ATU8" s="2"/>
      <c r="ATV8" s="2"/>
      <c r="ATW8" s="2"/>
      <c r="ATX8" s="2"/>
      <c r="ATY8" s="2"/>
      <c r="ATZ8" s="2"/>
      <c r="AUA8" s="2"/>
      <c r="AUB8" s="2"/>
      <c r="AUC8" s="2"/>
      <c r="AUD8" s="2"/>
      <c r="AUE8" s="2"/>
      <c r="AUF8" s="2"/>
      <c r="AUG8" s="2"/>
      <c r="AUH8" s="2"/>
      <c r="AUI8" s="2"/>
      <c r="AUJ8" s="2"/>
      <c r="AUK8" s="2"/>
      <c r="AUL8" s="2"/>
      <c r="AUM8" s="2"/>
      <c r="AUN8" s="2"/>
      <c r="AUO8" s="2"/>
      <c r="AUP8" s="2"/>
      <c r="AUQ8" s="2"/>
      <c r="AUR8" s="2"/>
      <c r="AUS8" s="2"/>
      <c r="AUT8" s="2"/>
      <c r="AUU8" s="2"/>
      <c r="AUV8" s="2"/>
      <c r="AUW8" s="2"/>
      <c r="AUX8" s="2"/>
      <c r="AUY8" s="2"/>
      <c r="AUZ8" s="2"/>
      <c r="AVA8" s="2"/>
      <c r="AVB8" s="2"/>
      <c r="AVC8" s="2"/>
      <c r="AVD8" s="2"/>
      <c r="AVE8" s="2"/>
      <c r="AVF8" s="2"/>
      <c r="AVG8" s="2"/>
      <c r="AVH8" s="2"/>
      <c r="AVI8" s="2"/>
      <c r="AVJ8" s="2"/>
      <c r="AVK8" s="2"/>
      <c r="AVL8" s="2"/>
      <c r="AVM8" s="2"/>
      <c r="AVN8" s="2"/>
      <c r="AVO8" s="2"/>
      <c r="AVP8" s="2"/>
      <c r="AVQ8" s="2"/>
      <c r="AVR8" s="2"/>
      <c r="AVS8" s="2"/>
      <c r="AVT8" s="2"/>
      <c r="AVU8" s="2"/>
      <c r="AVV8" s="2"/>
      <c r="AVW8" s="2"/>
      <c r="AVX8" s="2"/>
      <c r="AVY8" s="2"/>
      <c r="AVZ8" s="2"/>
      <c r="AWA8" s="2"/>
      <c r="AWB8" s="2"/>
      <c r="AWC8" s="2"/>
      <c r="AWD8" s="2"/>
      <c r="AWE8" s="2"/>
      <c r="AWF8" s="2"/>
      <c r="AWG8" s="2"/>
      <c r="AWH8" s="2"/>
      <c r="AWI8" s="2"/>
      <c r="AWJ8" s="2"/>
      <c r="AWK8" s="2"/>
      <c r="AWL8" s="2"/>
      <c r="AWM8" s="2"/>
      <c r="AWN8" s="2"/>
      <c r="AWO8" s="2"/>
      <c r="AWP8" s="2"/>
      <c r="AWQ8" s="2"/>
      <c r="AWR8" s="2"/>
      <c r="AWS8" s="2"/>
      <c r="AWT8" s="2"/>
      <c r="AWU8" s="2"/>
      <c r="AWV8" s="2"/>
      <c r="AWW8" s="2"/>
      <c r="AWX8" s="2"/>
      <c r="AWY8" s="2"/>
      <c r="AWZ8" s="2"/>
      <c r="AXA8" s="2"/>
      <c r="AXB8" s="2"/>
      <c r="AXC8" s="2"/>
      <c r="AXD8" s="2"/>
      <c r="AXE8" s="2"/>
      <c r="AXF8" s="2"/>
      <c r="AXG8" s="2"/>
      <c r="AXH8" s="2"/>
      <c r="AXI8" s="2"/>
      <c r="AXJ8" s="2"/>
      <c r="AXK8" s="2"/>
      <c r="AXL8" s="2"/>
      <c r="AXM8" s="2"/>
      <c r="AXN8" s="2"/>
      <c r="AXO8" s="2"/>
      <c r="AXP8" s="2"/>
      <c r="AXQ8" s="2"/>
      <c r="AXR8" s="2"/>
      <c r="AXS8" s="2"/>
      <c r="AXT8" s="2"/>
      <c r="AXU8" s="2"/>
      <c r="AXV8" s="2"/>
      <c r="AXW8" s="2"/>
      <c r="AXX8" s="2"/>
      <c r="AXY8" s="2"/>
      <c r="AXZ8" s="2"/>
      <c r="AYA8" s="2"/>
      <c r="AYB8" s="2"/>
      <c r="AYC8" s="2"/>
      <c r="AYD8" s="2"/>
      <c r="AYE8" s="2"/>
      <c r="AYF8" s="2"/>
      <c r="AYG8" s="2"/>
      <c r="AYH8" s="2"/>
      <c r="AYI8" s="2"/>
      <c r="AYJ8" s="2"/>
      <c r="AYK8" s="2"/>
      <c r="AYL8" s="2"/>
      <c r="AYM8" s="2"/>
      <c r="AYN8" s="2"/>
      <c r="AYO8" s="2"/>
      <c r="AYP8" s="2"/>
      <c r="AYQ8" s="2"/>
      <c r="AYR8" s="2"/>
      <c r="AYS8" s="2"/>
      <c r="AYT8" s="2"/>
      <c r="AYU8" s="2"/>
      <c r="AYV8" s="2"/>
      <c r="AYW8" s="2"/>
      <c r="AYX8" s="2"/>
      <c r="AYY8" s="2"/>
      <c r="AYZ8" s="2"/>
      <c r="AZA8" s="2"/>
      <c r="AZB8" s="2"/>
      <c r="AZC8" s="2"/>
      <c r="AZD8" s="2"/>
      <c r="AZE8" s="2"/>
      <c r="AZF8" s="2"/>
      <c r="AZG8" s="2"/>
      <c r="AZH8" s="2"/>
      <c r="AZI8" s="2"/>
      <c r="AZJ8" s="2"/>
      <c r="AZK8" s="2"/>
      <c r="AZL8" s="2"/>
      <c r="AZM8" s="2"/>
      <c r="AZN8" s="2"/>
      <c r="AZO8" s="2"/>
      <c r="AZP8" s="2"/>
      <c r="AZQ8" s="2"/>
      <c r="AZR8" s="2"/>
      <c r="AZS8" s="2"/>
      <c r="AZT8" s="2"/>
      <c r="AZU8" s="2"/>
      <c r="AZV8" s="2"/>
      <c r="AZW8" s="2"/>
      <c r="AZX8" s="2"/>
      <c r="AZY8" s="2"/>
      <c r="AZZ8" s="2"/>
      <c r="BAA8" s="2"/>
      <c r="BAB8" s="2"/>
      <c r="BAC8" s="2"/>
      <c r="BAD8" s="2"/>
      <c r="BAE8" s="2"/>
      <c r="BAF8" s="2"/>
      <c r="BAG8" s="2"/>
      <c r="BAH8" s="2"/>
      <c r="BAI8" s="2"/>
      <c r="BAJ8" s="2"/>
      <c r="BAK8" s="2"/>
      <c r="BAL8" s="2"/>
      <c r="BAM8" s="2"/>
      <c r="BAN8" s="2"/>
      <c r="BAO8" s="2"/>
      <c r="BAP8" s="2"/>
      <c r="BAQ8" s="2"/>
      <c r="BAR8" s="2"/>
      <c r="BAS8" s="2"/>
      <c r="BAT8" s="2"/>
      <c r="BAU8" s="2"/>
      <c r="BAV8" s="2"/>
      <c r="BAW8" s="2"/>
      <c r="BAX8" s="2"/>
      <c r="BAY8" s="2"/>
      <c r="BAZ8" s="2"/>
      <c r="BBA8" s="2"/>
      <c r="BBB8" s="2"/>
      <c r="BBC8" s="2"/>
      <c r="BBD8" s="2"/>
      <c r="BBE8" s="2"/>
      <c r="BBF8" s="2"/>
      <c r="BBG8" s="2"/>
      <c r="BBH8" s="2"/>
      <c r="BBI8" s="2"/>
      <c r="BBJ8" s="2"/>
      <c r="BBK8" s="2"/>
      <c r="BBL8" s="2"/>
      <c r="BBM8" s="2"/>
      <c r="BBN8" s="2"/>
      <c r="BBO8" s="2"/>
      <c r="BBP8" s="2"/>
      <c r="BBQ8" s="2"/>
      <c r="BBR8" s="2"/>
      <c r="BBS8" s="2"/>
      <c r="BBT8" s="2"/>
      <c r="BBU8" s="2"/>
      <c r="BBV8" s="2"/>
      <c r="BBW8" s="2"/>
      <c r="BBX8" s="2"/>
      <c r="BBY8" s="2"/>
      <c r="BBZ8" s="2"/>
      <c r="BCA8" s="2"/>
      <c r="BCB8" s="2"/>
      <c r="BCC8" s="2"/>
      <c r="BCD8" s="2"/>
      <c r="BCE8" s="2"/>
      <c r="BCF8" s="2"/>
      <c r="BCG8" s="2"/>
      <c r="BCH8" s="2"/>
      <c r="BCI8" s="2"/>
      <c r="BCJ8" s="2"/>
      <c r="BCK8" s="2"/>
      <c r="BCL8" s="2"/>
      <c r="BCM8" s="2"/>
      <c r="BCN8" s="2"/>
      <c r="BCO8" s="2"/>
      <c r="BCP8" s="2"/>
      <c r="BCQ8" s="2"/>
      <c r="BCR8" s="2"/>
      <c r="BCS8" s="2"/>
      <c r="BCT8" s="2"/>
      <c r="BCU8" s="2"/>
      <c r="BCV8" s="2"/>
      <c r="BCW8" s="2"/>
      <c r="BCX8" s="2"/>
      <c r="BCY8" s="2"/>
      <c r="BCZ8" s="2"/>
      <c r="BDA8" s="2"/>
      <c r="BDB8" s="2"/>
      <c r="BDC8" s="2"/>
      <c r="BDD8" s="2"/>
      <c r="BDE8" s="2"/>
      <c r="BDF8" s="2"/>
      <c r="BDG8" s="2"/>
      <c r="BDH8" s="2"/>
      <c r="BDI8" s="2"/>
      <c r="BDJ8" s="2"/>
      <c r="BDK8" s="2"/>
      <c r="BDL8" s="2"/>
      <c r="BDM8" s="2"/>
      <c r="BDN8" s="2"/>
      <c r="BDO8" s="2"/>
      <c r="BDP8" s="2"/>
      <c r="BDQ8" s="2"/>
      <c r="BDR8" s="2"/>
      <c r="BDS8" s="2"/>
      <c r="BDT8" s="2"/>
      <c r="BDU8" s="2"/>
      <c r="BDV8" s="2"/>
      <c r="BDW8" s="2"/>
      <c r="BDX8" s="2"/>
      <c r="BDY8" s="2"/>
      <c r="BDZ8" s="2"/>
      <c r="BEA8" s="2"/>
      <c r="BEB8" s="2"/>
      <c r="BEC8" s="2"/>
      <c r="BED8" s="2"/>
      <c r="BEE8" s="2"/>
      <c r="BEF8" s="2"/>
      <c r="BEG8" s="2"/>
      <c r="BEH8" s="2"/>
      <c r="BEI8" s="2"/>
      <c r="BEJ8" s="2"/>
      <c r="BEK8" s="2"/>
      <c r="BEL8" s="2"/>
      <c r="BEM8" s="2"/>
      <c r="BEN8" s="2"/>
      <c r="BEO8" s="2"/>
      <c r="BEP8" s="2"/>
      <c r="BEQ8" s="2"/>
      <c r="BER8" s="2"/>
      <c r="BES8" s="2"/>
      <c r="BET8" s="2"/>
      <c r="BEU8" s="2"/>
      <c r="BEV8" s="2"/>
      <c r="BEW8" s="2"/>
      <c r="BEX8" s="2"/>
      <c r="BEY8" s="2"/>
      <c r="BEZ8" s="2"/>
      <c r="BFA8" s="2"/>
      <c r="BFB8" s="2"/>
      <c r="BFC8" s="2"/>
      <c r="BFD8" s="2"/>
      <c r="BFE8" s="2"/>
      <c r="BFF8" s="2"/>
      <c r="BFG8" s="2"/>
      <c r="BFH8" s="2"/>
      <c r="BFI8" s="2"/>
      <c r="BFJ8" s="2"/>
      <c r="BFK8" s="2"/>
      <c r="BFL8" s="2"/>
      <c r="BFM8" s="2"/>
      <c r="BFN8" s="2"/>
      <c r="BFO8" s="2"/>
      <c r="BFP8" s="2"/>
      <c r="BFQ8" s="2"/>
      <c r="BFR8" s="2"/>
      <c r="BFS8" s="2"/>
      <c r="BFT8" s="2"/>
      <c r="BFU8" s="2"/>
      <c r="BFV8" s="2"/>
      <c r="BFW8" s="2"/>
      <c r="BFX8" s="2"/>
      <c r="BFY8" s="2"/>
      <c r="BFZ8" s="2"/>
      <c r="BGA8" s="2"/>
      <c r="BGB8" s="2"/>
      <c r="BGC8" s="2"/>
      <c r="BGD8" s="2"/>
      <c r="BGE8" s="2"/>
      <c r="BGF8" s="2"/>
      <c r="BGG8" s="2"/>
      <c r="BGH8" s="2"/>
      <c r="BGI8" s="2"/>
      <c r="BGJ8" s="2"/>
      <c r="BGK8" s="2"/>
      <c r="BGL8" s="2"/>
      <c r="BGM8" s="2"/>
      <c r="BGN8" s="2"/>
      <c r="BGO8" s="2"/>
      <c r="BGP8" s="2"/>
      <c r="BGQ8" s="2"/>
      <c r="BGR8" s="2"/>
      <c r="BGS8" s="2"/>
      <c r="BGT8" s="2"/>
      <c r="BGU8" s="2"/>
      <c r="BGV8" s="2"/>
      <c r="BGW8" s="2"/>
      <c r="BGX8" s="2"/>
      <c r="BGY8" s="2"/>
      <c r="BGZ8" s="2"/>
      <c r="BHA8" s="2"/>
      <c r="BHB8" s="2"/>
      <c r="BHC8" s="2"/>
      <c r="BHD8" s="2"/>
      <c r="BHE8" s="2"/>
      <c r="BHF8" s="2"/>
      <c r="BHG8" s="2"/>
      <c r="BHH8" s="2"/>
      <c r="BHI8" s="2"/>
      <c r="BHJ8" s="2"/>
      <c r="BHK8" s="2"/>
      <c r="BHL8" s="2"/>
      <c r="BHM8" s="2"/>
      <c r="BHN8" s="2"/>
      <c r="BHO8" s="2"/>
      <c r="BHP8" s="2"/>
      <c r="BHQ8" s="2"/>
      <c r="BHR8" s="2"/>
      <c r="BHS8" s="2"/>
      <c r="BHT8" s="2"/>
      <c r="BHU8" s="2"/>
      <c r="BHV8" s="2"/>
      <c r="BHW8" s="2"/>
      <c r="BHX8" s="2"/>
      <c r="BHY8" s="2"/>
      <c r="BHZ8" s="2"/>
      <c r="BIA8" s="2"/>
      <c r="BIB8" s="2"/>
      <c r="BIC8" s="2"/>
      <c r="BID8" s="2"/>
      <c r="BIE8" s="2"/>
      <c r="BIF8" s="2"/>
      <c r="BIG8" s="2"/>
      <c r="BIH8" s="2"/>
      <c r="BII8" s="2"/>
      <c r="BIJ8" s="2"/>
      <c r="BIK8" s="2"/>
      <c r="BIL8" s="2"/>
      <c r="BIM8" s="2"/>
      <c r="BIN8" s="2"/>
      <c r="BIO8" s="2"/>
      <c r="BIP8" s="2"/>
      <c r="BIQ8" s="2"/>
      <c r="BIR8" s="2"/>
      <c r="BIS8" s="2"/>
      <c r="BIT8" s="2"/>
      <c r="BIU8" s="2"/>
      <c r="BIV8" s="2"/>
      <c r="BIW8" s="2"/>
      <c r="BIX8" s="2"/>
      <c r="BIY8" s="2"/>
      <c r="BIZ8" s="2"/>
      <c r="BJA8" s="2"/>
      <c r="BJB8" s="2"/>
      <c r="BJC8" s="2"/>
      <c r="BJD8" s="2"/>
      <c r="BJE8" s="2"/>
      <c r="BJF8" s="2"/>
      <c r="BJG8" s="2"/>
      <c r="BJH8" s="2"/>
      <c r="BJI8" s="2"/>
      <c r="BJJ8" s="2"/>
      <c r="BJK8" s="2"/>
      <c r="BJL8" s="2"/>
      <c r="BJM8" s="2"/>
      <c r="BJN8" s="2"/>
      <c r="BJO8" s="2"/>
      <c r="BJP8" s="2"/>
      <c r="BJQ8" s="2"/>
      <c r="BJR8" s="2"/>
      <c r="BJS8" s="2"/>
      <c r="BJT8" s="2"/>
      <c r="BJU8" s="2"/>
      <c r="BJV8" s="2"/>
      <c r="BJW8" s="2"/>
      <c r="BJX8" s="2"/>
      <c r="BJY8" s="2"/>
      <c r="BJZ8" s="2"/>
      <c r="BKA8" s="2"/>
      <c r="BKB8" s="2"/>
      <c r="BKC8" s="2"/>
      <c r="BKD8" s="2"/>
      <c r="BKE8" s="2"/>
      <c r="BKF8" s="2"/>
      <c r="BKG8" s="2"/>
      <c r="BKH8" s="2"/>
      <c r="BKI8" s="2"/>
      <c r="BKJ8" s="2"/>
      <c r="BKK8" s="2"/>
      <c r="BKL8" s="2"/>
      <c r="BKM8" s="2"/>
      <c r="BKN8" s="2"/>
      <c r="BKO8" s="2"/>
      <c r="BKP8" s="2"/>
      <c r="BKQ8" s="2"/>
      <c r="BKR8" s="2"/>
      <c r="BKS8" s="2"/>
      <c r="BKT8" s="2"/>
      <c r="BKU8" s="2"/>
      <c r="BKV8" s="2"/>
      <c r="BKW8" s="2"/>
      <c r="BKX8" s="2"/>
      <c r="BKY8" s="2"/>
      <c r="BKZ8" s="2"/>
      <c r="BLA8" s="2"/>
      <c r="BLB8" s="2"/>
      <c r="BLC8" s="2"/>
      <c r="BLD8" s="2"/>
      <c r="BLE8" s="2"/>
      <c r="BLF8" s="2"/>
      <c r="BLG8" s="2"/>
      <c r="BLH8" s="2"/>
      <c r="BLI8" s="2"/>
      <c r="BLJ8" s="2"/>
      <c r="BLK8" s="2"/>
      <c r="BLL8" s="2"/>
      <c r="BLM8" s="2"/>
      <c r="BLN8" s="2"/>
      <c r="BLO8" s="2"/>
      <c r="BLP8" s="2"/>
      <c r="BLQ8" s="2"/>
      <c r="BLR8" s="2"/>
      <c r="BLS8" s="2"/>
      <c r="BLT8" s="2"/>
      <c r="BLU8" s="2"/>
      <c r="BLV8" s="2"/>
      <c r="BLW8" s="2"/>
      <c r="BLX8" s="2"/>
      <c r="BLY8" s="2"/>
      <c r="BLZ8" s="2"/>
      <c r="BMA8" s="2"/>
      <c r="BMB8" s="2"/>
      <c r="BMC8" s="2"/>
      <c r="BMD8" s="2"/>
      <c r="BME8" s="2"/>
      <c r="BMF8" s="2"/>
      <c r="BMG8" s="2"/>
      <c r="BMH8" s="2"/>
      <c r="BMI8" s="2"/>
      <c r="BMJ8" s="2"/>
      <c r="BMK8" s="2"/>
      <c r="BML8" s="2"/>
      <c r="BMM8" s="2"/>
      <c r="BMN8" s="2"/>
      <c r="BMO8" s="2"/>
      <c r="BMP8" s="2"/>
      <c r="BMQ8" s="2"/>
      <c r="BMR8" s="2"/>
      <c r="BMS8" s="2"/>
      <c r="BMT8" s="2"/>
      <c r="BMU8" s="2"/>
      <c r="BMV8" s="2"/>
      <c r="BMW8" s="2"/>
      <c r="BMX8" s="2"/>
      <c r="BMY8" s="2"/>
      <c r="BMZ8" s="2"/>
      <c r="BNA8" s="2"/>
      <c r="BNB8" s="2"/>
      <c r="BNC8" s="2"/>
      <c r="BND8" s="2"/>
      <c r="BNE8" s="2"/>
      <c r="BNF8" s="2"/>
      <c r="BNG8" s="2"/>
      <c r="BNH8" s="2"/>
      <c r="BNI8" s="2"/>
      <c r="BNJ8" s="2"/>
      <c r="BNK8" s="2"/>
      <c r="BNL8" s="2"/>
      <c r="BNM8" s="2"/>
      <c r="BNN8" s="2"/>
      <c r="BNO8" s="2"/>
      <c r="BNP8" s="2"/>
      <c r="BNQ8" s="2"/>
      <c r="BNR8" s="2"/>
      <c r="BNS8" s="2"/>
      <c r="BNT8" s="2"/>
      <c r="BNU8" s="2"/>
      <c r="BNV8" s="2"/>
      <c r="BNW8" s="2"/>
      <c r="BNX8" s="2"/>
      <c r="BNY8" s="2"/>
      <c r="BNZ8" s="2"/>
      <c r="BOA8" s="2"/>
      <c r="BOB8" s="2"/>
      <c r="BOC8" s="2"/>
      <c r="BOD8" s="2"/>
      <c r="BOE8" s="2"/>
      <c r="BOF8" s="2"/>
      <c r="BOG8" s="2"/>
      <c r="BOH8" s="2"/>
      <c r="BOI8" s="2"/>
      <c r="BOJ8" s="2"/>
      <c r="BOK8" s="2"/>
      <c r="BOL8" s="2"/>
      <c r="BOM8" s="2"/>
      <c r="BON8" s="2"/>
      <c r="BOO8" s="2"/>
      <c r="BOP8" s="2"/>
      <c r="BOQ8" s="2"/>
      <c r="BOR8" s="2"/>
      <c r="BOS8" s="2"/>
      <c r="BOT8" s="2"/>
      <c r="BOU8" s="2"/>
      <c r="BOV8" s="2"/>
      <c r="BOW8" s="2"/>
      <c r="BOX8" s="2"/>
      <c r="BOY8" s="2"/>
      <c r="BOZ8" s="2"/>
      <c r="BPA8" s="2"/>
      <c r="BPB8" s="2"/>
      <c r="BPC8" s="2"/>
      <c r="BPD8" s="2"/>
      <c r="BPE8" s="2"/>
      <c r="BPF8" s="2"/>
      <c r="BPG8" s="2"/>
      <c r="BPH8" s="2"/>
      <c r="BPI8" s="2"/>
      <c r="BPJ8" s="2"/>
      <c r="BPK8" s="2"/>
      <c r="BPL8" s="2"/>
      <c r="BPM8" s="2"/>
      <c r="BPN8" s="2"/>
      <c r="BPO8" s="2"/>
      <c r="BPP8" s="2"/>
      <c r="BPQ8" s="2"/>
      <c r="BPR8" s="2"/>
      <c r="BPS8" s="2"/>
      <c r="BPT8" s="2"/>
      <c r="BPU8" s="2"/>
      <c r="BPV8" s="2"/>
      <c r="BPW8" s="2"/>
      <c r="BPX8" s="2"/>
      <c r="BPY8" s="2"/>
      <c r="BPZ8" s="2"/>
      <c r="BQA8" s="2"/>
      <c r="BQB8" s="2"/>
      <c r="BQC8" s="2"/>
      <c r="BQD8" s="2"/>
      <c r="BQE8" s="2"/>
      <c r="BQF8" s="2"/>
      <c r="BQG8" s="2"/>
      <c r="BQH8" s="2"/>
      <c r="BQI8" s="2"/>
      <c r="BQJ8" s="2"/>
      <c r="BQK8" s="2"/>
      <c r="BQL8" s="2"/>
      <c r="BQM8" s="2"/>
      <c r="BQN8" s="2"/>
      <c r="BQO8" s="2"/>
      <c r="BQP8" s="2"/>
      <c r="BQQ8" s="2"/>
      <c r="BQR8" s="2"/>
      <c r="BQS8" s="2"/>
      <c r="BQT8" s="2"/>
      <c r="BQU8" s="2"/>
      <c r="BQV8" s="2"/>
      <c r="BQW8" s="2"/>
      <c r="BQX8" s="2"/>
      <c r="BQY8" s="2"/>
      <c r="BQZ8" s="2"/>
      <c r="BRA8" s="2"/>
      <c r="BRB8" s="2"/>
      <c r="BRC8" s="2"/>
      <c r="BRD8" s="2"/>
      <c r="BRE8" s="2"/>
      <c r="BRF8" s="2"/>
      <c r="BRG8" s="2"/>
      <c r="BRH8" s="2"/>
      <c r="BRI8" s="2"/>
      <c r="BRJ8" s="2"/>
      <c r="BRK8" s="2"/>
      <c r="BRL8" s="2"/>
      <c r="BRM8" s="2"/>
      <c r="BRN8" s="2"/>
      <c r="BRO8" s="2"/>
      <c r="BRP8" s="2"/>
      <c r="BRQ8" s="2"/>
      <c r="BRR8" s="2"/>
      <c r="BRS8" s="2"/>
      <c r="BRT8" s="2"/>
      <c r="BRU8" s="2"/>
      <c r="BRV8" s="2"/>
      <c r="BRW8" s="2"/>
      <c r="BRX8" s="2"/>
      <c r="BRY8" s="2"/>
      <c r="BRZ8" s="2"/>
      <c r="BSA8" s="2"/>
      <c r="BSB8" s="2"/>
      <c r="BSC8" s="2"/>
      <c r="BSD8" s="2"/>
      <c r="BSE8" s="2"/>
      <c r="BSF8" s="2"/>
      <c r="BSG8" s="2"/>
      <c r="BSH8" s="2"/>
      <c r="BSI8" s="2"/>
      <c r="BSJ8" s="2"/>
      <c r="BSK8" s="2"/>
      <c r="BSL8" s="2"/>
      <c r="BSM8" s="2"/>
      <c r="BSN8" s="2"/>
      <c r="BSO8" s="2"/>
      <c r="BSP8" s="2"/>
      <c r="BSQ8" s="2"/>
      <c r="BSR8" s="2"/>
      <c r="BSS8" s="2"/>
      <c r="BST8" s="2"/>
      <c r="BSU8" s="2"/>
      <c r="BSV8" s="2"/>
      <c r="BSW8" s="2"/>
      <c r="BSX8" s="2"/>
      <c r="BSY8" s="2"/>
      <c r="BSZ8" s="2"/>
      <c r="BTA8" s="2"/>
      <c r="BTB8" s="2"/>
      <c r="BTC8" s="2"/>
      <c r="BTD8" s="2"/>
      <c r="BTE8" s="2"/>
      <c r="BTF8" s="2"/>
      <c r="BTG8" s="2"/>
      <c r="BTH8" s="2"/>
      <c r="BTI8" s="2"/>
      <c r="BTJ8" s="2"/>
      <c r="BTK8" s="2"/>
      <c r="BTL8" s="2"/>
      <c r="BTM8" s="2"/>
      <c r="BTN8" s="2"/>
      <c r="BTO8" s="2"/>
      <c r="BTP8" s="2"/>
      <c r="BTQ8" s="2"/>
      <c r="BTR8" s="2"/>
      <c r="BTS8" s="2"/>
      <c r="BTT8" s="2"/>
      <c r="BTU8" s="2"/>
      <c r="BTV8" s="2"/>
      <c r="BTW8" s="2"/>
      <c r="BTX8" s="2"/>
      <c r="BTY8" s="2"/>
      <c r="BTZ8" s="2"/>
      <c r="BUA8" s="2"/>
      <c r="BUB8" s="2"/>
      <c r="BUC8" s="2"/>
      <c r="BUD8" s="2"/>
      <c r="BUE8" s="2"/>
      <c r="BUF8" s="2"/>
      <c r="BUG8" s="2"/>
      <c r="BUH8" s="2"/>
      <c r="BUI8" s="2"/>
      <c r="BUJ8" s="2"/>
      <c r="BUK8" s="2"/>
      <c r="BUL8" s="2"/>
      <c r="BUM8" s="2"/>
      <c r="BUN8" s="2"/>
      <c r="BUO8" s="2"/>
      <c r="BUP8" s="2"/>
      <c r="BUQ8" s="2"/>
      <c r="BUR8" s="2"/>
      <c r="BUS8" s="2"/>
      <c r="BUT8" s="2"/>
      <c r="BUU8" s="2"/>
      <c r="BUV8" s="2"/>
      <c r="BUW8" s="2"/>
      <c r="BUX8" s="2"/>
      <c r="BUY8" s="2"/>
      <c r="BUZ8" s="2"/>
      <c r="BVA8" s="2"/>
      <c r="BVB8" s="2"/>
      <c r="BVC8" s="2"/>
      <c r="BVD8" s="2"/>
      <c r="BVE8" s="2"/>
      <c r="BVF8" s="2"/>
      <c r="BVG8" s="2"/>
      <c r="BVH8" s="2"/>
      <c r="BVI8" s="2"/>
      <c r="BVJ8" s="2"/>
      <c r="BVK8" s="2"/>
      <c r="BVL8" s="2"/>
      <c r="BVM8" s="2"/>
      <c r="BVN8" s="2"/>
      <c r="BVO8" s="2"/>
      <c r="BVP8" s="2"/>
      <c r="BVQ8" s="2"/>
      <c r="BVR8" s="2"/>
      <c r="BVS8" s="2"/>
      <c r="BVT8" s="2"/>
      <c r="BVU8" s="2"/>
      <c r="BVV8" s="2"/>
      <c r="BVW8" s="2"/>
      <c r="BVX8" s="2"/>
      <c r="BVY8" s="2"/>
      <c r="BVZ8" s="2"/>
      <c r="BWA8" s="2"/>
      <c r="BWB8" s="2"/>
      <c r="BWC8" s="2"/>
      <c r="BWD8" s="2"/>
      <c r="BWE8" s="2"/>
      <c r="BWF8" s="2"/>
      <c r="BWG8" s="2"/>
      <c r="BWH8" s="2"/>
      <c r="BWI8" s="2"/>
      <c r="BWJ8" s="2"/>
      <c r="BWK8" s="2"/>
      <c r="BWL8" s="2"/>
      <c r="BWM8" s="2"/>
      <c r="BWN8" s="2"/>
      <c r="BWO8" s="2"/>
      <c r="BWP8" s="2"/>
      <c r="BWQ8" s="2"/>
      <c r="BWR8" s="2"/>
      <c r="BWS8" s="2"/>
      <c r="BWT8" s="2"/>
      <c r="BWU8" s="2"/>
      <c r="BWV8" s="2"/>
      <c r="BWW8" s="2"/>
      <c r="BWX8" s="2"/>
      <c r="BWY8" s="2"/>
      <c r="BWZ8" s="2"/>
      <c r="BXA8" s="2"/>
      <c r="BXB8" s="2"/>
      <c r="BXC8" s="2"/>
      <c r="BXD8" s="2"/>
      <c r="BXE8" s="2"/>
      <c r="BXF8" s="2"/>
      <c r="BXG8" s="2"/>
      <c r="BXH8" s="2"/>
      <c r="BXI8" s="2"/>
      <c r="BXJ8" s="2"/>
      <c r="BXK8" s="2"/>
      <c r="BXL8" s="2"/>
      <c r="BXM8" s="2"/>
      <c r="BXN8" s="2"/>
      <c r="BXO8" s="2"/>
      <c r="BXP8" s="2"/>
      <c r="BXQ8" s="2"/>
      <c r="BXR8" s="2"/>
      <c r="BXS8" s="2"/>
      <c r="BXT8" s="2"/>
      <c r="BXU8" s="2"/>
      <c r="BXV8" s="2"/>
      <c r="BXW8" s="2"/>
      <c r="BXX8" s="2"/>
      <c r="BXY8" s="2"/>
      <c r="BXZ8" s="2"/>
      <c r="BYA8" s="2"/>
      <c r="BYB8" s="2"/>
      <c r="BYC8" s="2"/>
      <c r="BYD8" s="2"/>
      <c r="BYE8" s="2"/>
      <c r="BYF8" s="2"/>
      <c r="BYG8" s="2"/>
      <c r="BYH8" s="2"/>
      <c r="BYI8" s="2"/>
      <c r="BYJ8" s="2"/>
      <c r="BYK8" s="2"/>
      <c r="BYL8" s="2"/>
      <c r="BYM8" s="2"/>
      <c r="BYN8" s="2"/>
      <c r="BYO8" s="2"/>
      <c r="BYP8" s="2"/>
      <c r="BYQ8" s="2"/>
      <c r="BYR8" s="2"/>
      <c r="BYS8" s="2"/>
      <c r="BYT8" s="2"/>
      <c r="BYU8" s="2"/>
      <c r="BYV8" s="2"/>
      <c r="BYW8" s="2"/>
      <c r="BYX8" s="2"/>
      <c r="BYY8" s="2"/>
      <c r="BYZ8" s="2"/>
      <c r="BZA8" s="2"/>
      <c r="BZB8" s="2"/>
      <c r="BZC8" s="2"/>
      <c r="BZD8" s="2"/>
      <c r="BZE8" s="2"/>
      <c r="BZF8" s="2"/>
      <c r="BZG8" s="2"/>
      <c r="BZH8" s="2"/>
      <c r="BZI8" s="2"/>
      <c r="BZJ8" s="2"/>
      <c r="BZK8" s="2"/>
      <c r="BZL8" s="2"/>
      <c r="BZM8" s="2"/>
      <c r="BZN8" s="2"/>
      <c r="BZO8" s="2"/>
      <c r="BZP8" s="2"/>
      <c r="BZQ8" s="2"/>
      <c r="BZR8" s="2"/>
      <c r="BZS8" s="2"/>
      <c r="BZT8" s="2"/>
      <c r="BZU8" s="2"/>
      <c r="BZV8" s="2"/>
      <c r="BZW8" s="2"/>
      <c r="BZX8" s="2"/>
      <c r="BZY8" s="2"/>
      <c r="BZZ8" s="2"/>
      <c r="CAA8" s="2"/>
      <c r="CAB8" s="2"/>
      <c r="CAC8" s="2"/>
      <c r="CAD8" s="2"/>
      <c r="CAE8" s="2"/>
      <c r="CAF8" s="2"/>
      <c r="CAG8" s="2"/>
      <c r="CAH8" s="2"/>
      <c r="CAI8" s="2"/>
      <c r="CAJ8" s="2"/>
      <c r="CAK8" s="2"/>
      <c r="CAL8" s="2"/>
      <c r="CAM8" s="2"/>
      <c r="CAN8" s="2"/>
      <c r="CAO8" s="2"/>
      <c r="CAP8" s="2"/>
      <c r="CAQ8" s="2"/>
      <c r="CAR8" s="2"/>
      <c r="CAS8" s="2"/>
      <c r="CAT8" s="2"/>
      <c r="CAU8" s="2"/>
      <c r="CAV8" s="2"/>
      <c r="CAW8" s="2"/>
      <c r="CAX8" s="2"/>
      <c r="CAY8" s="2"/>
      <c r="CAZ8" s="2"/>
      <c r="CBA8" s="2"/>
      <c r="CBB8" s="2"/>
      <c r="CBC8" s="2"/>
      <c r="CBD8" s="2"/>
      <c r="CBE8" s="2"/>
      <c r="CBF8" s="2"/>
      <c r="CBG8" s="2"/>
      <c r="CBH8" s="2"/>
      <c r="CBI8" s="2"/>
      <c r="CBJ8" s="2"/>
      <c r="CBK8" s="2"/>
      <c r="CBL8" s="2"/>
      <c r="CBM8" s="2"/>
      <c r="CBN8" s="2"/>
      <c r="CBO8" s="2"/>
      <c r="CBP8" s="2"/>
      <c r="CBQ8" s="2"/>
      <c r="CBR8" s="2"/>
      <c r="CBS8" s="2"/>
      <c r="CBT8" s="2"/>
      <c r="CBU8" s="2"/>
      <c r="CBV8" s="2"/>
      <c r="CBW8" s="2"/>
      <c r="CBX8" s="2"/>
      <c r="CBY8" s="2"/>
      <c r="CBZ8" s="2"/>
      <c r="CCA8" s="2"/>
      <c r="CCB8" s="2"/>
      <c r="CCC8" s="2"/>
      <c r="CCD8" s="2"/>
      <c r="CCE8" s="2"/>
      <c r="CCF8" s="2"/>
      <c r="CCG8" s="2"/>
      <c r="CCH8" s="2"/>
      <c r="CCI8" s="2"/>
      <c r="CCJ8" s="2"/>
      <c r="CCK8" s="2"/>
      <c r="CCL8" s="2"/>
      <c r="CCM8" s="2"/>
      <c r="CCN8" s="2"/>
      <c r="CCO8" s="2"/>
      <c r="CCP8" s="2"/>
      <c r="CCQ8" s="2"/>
      <c r="CCR8" s="2"/>
      <c r="CCS8" s="2"/>
      <c r="CCT8" s="2"/>
      <c r="CCU8" s="2"/>
      <c r="CCV8" s="2"/>
      <c r="CCW8" s="2"/>
      <c r="CCX8" s="2"/>
      <c r="CCY8" s="2"/>
      <c r="CCZ8" s="2"/>
      <c r="CDA8" s="2"/>
      <c r="CDB8" s="2"/>
      <c r="CDC8" s="2"/>
      <c r="CDD8" s="2"/>
      <c r="CDE8" s="2"/>
      <c r="CDF8" s="2"/>
      <c r="CDG8" s="2"/>
      <c r="CDH8" s="2"/>
      <c r="CDI8" s="2"/>
      <c r="CDJ8" s="2"/>
      <c r="CDK8" s="2"/>
      <c r="CDL8" s="2"/>
      <c r="CDM8" s="2"/>
      <c r="CDN8" s="2"/>
      <c r="CDO8" s="2"/>
      <c r="CDP8" s="2"/>
      <c r="CDQ8" s="2"/>
      <c r="CDR8" s="2"/>
      <c r="CDS8" s="2"/>
      <c r="CDT8" s="2"/>
      <c r="CDU8" s="2"/>
      <c r="CDV8" s="2"/>
      <c r="CDW8" s="2"/>
      <c r="CDX8" s="2"/>
      <c r="CDY8" s="2"/>
      <c r="CDZ8" s="2"/>
      <c r="CEA8" s="2"/>
      <c r="CEB8" s="2"/>
      <c r="CEC8" s="2"/>
      <c r="CED8" s="2"/>
      <c r="CEE8" s="2"/>
      <c r="CEF8" s="2"/>
      <c r="CEG8" s="2"/>
      <c r="CEH8" s="2"/>
      <c r="CEI8" s="2"/>
      <c r="CEJ8" s="2"/>
      <c r="CEK8" s="2"/>
      <c r="CEL8" s="2"/>
      <c r="CEM8" s="2"/>
      <c r="CEN8" s="2"/>
      <c r="CEO8" s="2"/>
      <c r="CEP8" s="2"/>
      <c r="CEQ8" s="2"/>
      <c r="CER8" s="2"/>
      <c r="CES8" s="2"/>
      <c r="CET8" s="2"/>
      <c r="CEU8" s="2"/>
      <c r="CEV8" s="2"/>
      <c r="CEW8" s="2"/>
      <c r="CEX8" s="2"/>
      <c r="CEY8" s="2"/>
      <c r="CEZ8" s="2"/>
      <c r="CFA8" s="2"/>
      <c r="CFB8" s="2"/>
      <c r="CFC8" s="2"/>
      <c r="CFD8" s="2"/>
      <c r="CFE8" s="2"/>
      <c r="CFF8" s="2"/>
      <c r="CFG8" s="2"/>
      <c r="CFH8" s="2"/>
      <c r="CFI8" s="2"/>
      <c r="CFJ8" s="2"/>
      <c r="CFK8" s="2"/>
      <c r="CFL8" s="2"/>
      <c r="CFM8" s="2"/>
      <c r="CFN8" s="2"/>
      <c r="CFO8" s="2"/>
      <c r="CFP8" s="2"/>
      <c r="CFQ8" s="2"/>
      <c r="CFR8" s="2"/>
      <c r="CFS8" s="2"/>
      <c r="CFT8" s="2"/>
      <c r="CFU8" s="2"/>
      <c r="CFV8" s="2"/>
      <c r="CFW8" s="2"/>
      <c r="CFX8" s="2"/>
      <c r="CFY8" s="2"/>
      <c r="CFZ8" s="2"/>
      <c r="CGA8" s="2"/>
      <c r="CGB8" s="2"/>
      <c r="CGC8" s="2"/>
      <c r="CGD8" s="2"/>
      <c r="CGE8" s="2"/>
      <c r="CGF8" s="2"/>
      <c r="CGG8" s="2"/>
      <c r="CGH8" s="2"/>
      <c r="CGI8" s="2"/>
      <c r="CGJ8" s="2"/>
      <c r="CGK8" s="2"/>
      <c r="CGL8" s="2"/>
      <c r="CGM8" s="2"/>
      <c r="CGN8" s="2"/>
      <c r="CGO8" s="2"/>
      <c r="CGP8" s="2"/>
      <c r="CGQ8" s="2"/>
      <c r="CGR8" s="2"/>
      <c r="CGS8" s="2"/>
      <c r="CGT8" s="2"/>
      <c r="CGU8" s="2"/>
      <c r="CGV8" s="2"/>
      <c r="CGW8" s="2"/>
      <c r="CGX8" s="2"/>
      <c r="CGY8" s="2"/>
      <c r="CGZ8" s="2"/>
      <c r="CHA8" s="2"/>
      <c r="CHB8" s="2"/>
      <c r="CHC8" s="2"/>
      <c r="CHD8" s="2"/>
      <c r="CHE8" s="2"/>
      <c r="CHF8" s="2"/>
      <c r="CHG8" s="2"/>
      <c r="CHH8" s="2"/>
      <c r="CHI8" s="2"/>
      <c r="CHJ8" s="2"/>
      <c r="CHK8" s="2"/>
      <c r="CHL8" s="2"/>
      <c r="CHM8" s="2"/>
      <c r="CHN8" s="2"/>
      <c r="CHO8" s="2"/>
      <c r="CHP8" s="2"/>
      <c r="CHQ8" s="2"/>
      <c r="CHR8" s="2"/>
      <c r="CHS8" s="2"/>
      <c r="CHT8" s="2"/>
      <c r="CHU8" s="2"/>
      <c r="CHV8" s="2"/>
      <c r="CHW8" s="2"/>
      <c r="CHX8" s="2"/>
      <c r="CHY8" s="2"/>
      <c r="CHZ8" s="2"/>
      <c r="CIA8" s="2"/>
      <c r="CIB8" s="2"/>
      <c r="CIC8" s="2"/>
      <c r="CID8" s="2"/>
      <c r="CIE8" s="2"/>
      <c r="CIF8" s="2"/>
      <c r="CIG8" s="2"/>
      <c r="CIH8" s="2"/>
      <c r="CII8" s="2"/>
      <c r="CIJ8" s="2"/>
      <c r="CIK8" s="2"/>
      <c r="CIL8" s="2"/>
      <c r="CIM8" s="2"/>
      <c r="CIN8" s="2"/>
      <c r="CIO8" s="2"/>
      <c r="CIP8" s="2"/>
      <c r="CIQ8" s="2"/>
      <c r="CIR8" s="2"/>
      <c r="CIS8" s="2"/>
      <c r="CIT8" s="2"/>
      <c r="CIU8" s="2"/>
      <c r="CIV8" s="2"/>
      <c r="CIW8" s="2"/>
      <c r="CIX8" s="2"/>
      <c r="CIY8" s="2"/>
      <c r="CIZ8" s="2"/>
      <c r="CJA8" s="2"/>
      <c r="CJB8" s="2"/>
      <c r="CJC8" s="2"/>
      <c r="CJD8" s="2"/>
      <c r="CJE8" s="2"/>
      <c r="CJF8" s="2"/>
      <c r="CJG8" s="2"/>
      <c r="CJH8" s="2"/>
      <c r="CJI8" s="2"/>
      <c r="CJJ8" s="2"/>
      <c r="CJK8" s="2"/>
      <c r="CJL8" s="2"/>
      <c r="CJM8" s="2"/>
      <c r="CJN8" s="2"/>
      <c r="CJO8" s="2"/>
      <c r="CJP8" s="2"/>
      <c r="CJQ8" s="2"/>
      <c r="CJR8" s="2"/>
      <c r="CJS8" s="2"/>
      <c r="CJT8" s="2"/>
      <c r="CJU8" s="2"/>
      <c r="CJV8" s="2"/>
      <c r="CJW8" s="2"/>
      <c r="CJX8" s="2"/>
      <c r="CJY8" s="2"/>
      <c r="CJZ8" s="2"/>
      <c r="CKA8" s="2"/>
      <c r="CKB8" s="2"/>
      <c r="CKC8" s="2"/>
      <c r="CKD8" s="2"/>
      <c r="CKE8" s="2"/>
      <c r="CKF8" s="2"/>
      <c r="CKG8" s="2"/>
      <c r="CKH8" s="2"/>
      <c r="CKI8" s="2"/>
      <c r="CKJ8" s="2"/>
      <c r="CKK8" s="2"/>
      <c r="CKL8" s="2"/>
      <c r="CKM8" s="2"/>
      <c r="CKN8" s="2"/>
      <c r="CKO8" s="2"/>
      <c r="CKP8" s="2"/>
      <c r="CKQ8" s="2"/>
      <c r="CKR8" s="2"/>
      <c r="CKS8" s="2"/>
      <c r="CKT8" s="2"/>
      <c r="CKU8" s="2"/>
      <c r="CKV8" s="2"/>
      <c r="CKW8" s="2"/>
      <c r="CKX8" s="2"/>
      <c r="CKY8" s="2"/>
      <c r="CKZ8" s="2"/>
      <c r="CLA8" s="2"/>
      <c r="CLB8" s="2"/>
      <c r="CLC8" s="2"/>
      <c r="CLD8" s="2"/>
      <c r="CLE8" s="2"/>
      <c r="CLF8" s="2"/>
      <c r="CLG8" s="2"/>
      <c r="CLH8" s="2"/>
      <c r="CLI8" s="2"/>
      <c r="CLJ8" s="2"/>
      <c r="CLK8" s="2"/>
      <c r="CLL8" s="2"/>
      <c r="CLM8" s="2"/>
      <c r="CLN8" s="2"/>
      <c r="CLO8" s="2"/>
      <c r="CLP8" s="2"/>
      <c r="CLQ8" s="2"/>
      <c r="CLR8" s="2"/>
      <c r="CLS8" s="2"/>
      <c r="CLT8" s="2"/>
      <c r="CLU8" s="2"/>
      <c r="CLV8" s="2"/>
      <c r="CLW8" s="2"/>
      <c r="CLX8" s="2"/>
      <c r="CLY8" s="2"/>
      <c r="CLZ8" s="2"/>
      <c r="CMA8" s="2"/>
      <c r="CMB8" s="2"/>
      <c r="CMC8" s="2"/>
      <c r="CMD8" s="2"/>
      <c r="CME8" s="2"/>
      <c r="CMF8" s="2"/>
      <c r="CMG8" s="2"/>
      <c r="CMH8" s="2"/>
      <c r="CMI8" s="2"/>
      <c r="CMJ8" s="2"/>
      <c r="CMK8" s="2"/>
      <c r="CML8" s="2"/>
      <c r="CMM8" s="2"/>
      <c r="CMN8" s="2"/>
      <c r="CMO8" s="2"/>
      <c r="CMP8" s="2"/>
      <c r="CMQ8" s="2"/>
      <c r="CMR8" s="2"/>
      <c r="CMS8" s="2"/>
      <c r="CMT8" s="2"/>
      <c r="CMU8" s="2"/>
      <c r="CMV8" s="2"/>
      <c r="CMW8" s="2"/>
      <c r="CMX8" s="2"/>
      <c r="CMY8" s="2"/>
      <c r="CMZ8" s="2"/>
      <c r="CNA8" s="2"/>
      <c r="CNB8" s="2"/>
      <c r="CNC8" s="2"/>
      <c r="CND8" s="2"/>
      <c r="CNE8" s="2"/>
      <c r="CNF8" s="2"/>
      <c r="CNG8" s="2"/>
      <c r="CNH8" s="2"/>
      <c r="CNI8" s="2"/>
      <c r="CNJ8" s="2"/>
      <c r="CNK8" s="2"/>
      <c r="CNL8" s="2"/>
      <c r="CNM8" s="2"/>
      <c r="CNN8" s="2"/>
      <c r="CNO8" s="2"/>
      <c r="CNP8" s="2"/>
      <c r="CNQ8" s="2"/>
      <c r="CNR8" s="2"/>
      <c r="CNS8" s="2"/>
      <c r="CNT8" s="2"/>
      <c r="CNU8" s="2"/>
      <c r="CNV8" s="2"/>
      <c r="CNW8" s="2"/>
      <c r="CNX8" s="2"/>
      <c r="CNY8" s="2"/>
      <c r="CNZ8" s="2"/>
      <c r="COA8" s="2"/>
      <c r="COB8" s="2"/>
      <c r="COC8" s="2"/>
      <c r="COD8" s="2"/>
      <c r="COE8" s="2"/>
      <c r="COF8" s="2"/>
      <c r="COG8" s="2"/>
      <c r="COH8" s="2"/>
      <c r="COI8" s="2"/>
      <c r="COJ8" s="2"/>
      <c r="COK8" s="2"/>
      <c r="COL8" s="2"/>
      <c r="COM8" s="2"/>
      <c r="CON8" s="2"/>
      <c r="COO8" s="2"/>
      <c r="COP8" s="2"/>
      <c r="COQ8" s="2"/>
      <c r="COR8" s="2"/>
      <c r="COS8" s="2"/>
      <c r="COT8" s="2"/>
      <c r="COU8" s="2"/>
      <c r="COV8" s="2"/>
      <c r="COW8" s="2"/>
      <c r="COX8" s="2"/>
      <c r="COY8" s="2"/>
      <c r="COZ8" s="2"/>
      <c r="CPA8" s="2"/>
      <c r="CPB8" s="2"/>
      <c r="CPC8" s="2"/>
      <c r="CPD8" s="2"/>
      <c r="CPE8" s="2"/>
      <c r="CPF8" s="2"/>
      <c r="CPG8" s="2"/>
      <c r="CPH8" s="2"/>
      <c r="CPI8" s="2"/>
      <c r="CPJ8" s="2"/>
      <c r="CPK8" s="2"/>
      <c r="CPL8" s="2"/>
      <c r="CPM8" s="2"/>
      <c r="CPN8" s="2"/>
      <c r="CPO8" s="2"/>
      <c r="CPP8" s="2"/>
      <c r="CPQ8" s="2"/>
      <c r="CPR8" s="2"/>
      <c r="CPS8" s="2"/>
      <c r="CPT8" s="2"/>
      <c r="CPU8" s="2"/>
      <c r="CPV8" s="2"/>
      <c r="CPW8" s="2"/>
      <c r="CPX8" s="2"/>
      <c r="CPY8" s="2"/>
      <c r="CPZ8" s="2"/>
      <c r="CQA8" s="2"/>
      <c r="CQB8" s="2"/>
      <c r="CQC8" s="2"/>
      <c r="CQD8" s="2"/>
      <c r="CQE8" s="2"/>
      <c r="CQF8" s="2"/>
      <c r="CQG8" s="2"/>
      <c r="CQH8" s="2"/>
      <c r="CQI8" s="2"/>
      <c r="CQJ8" s="2"/>
      <c r="CQK8" s="2"/>
      <c r="CQL8" s="2"/>
      <c r="CQM8" s="2"/>
      <c r="CQN8" s="2"/>
      <c r="CQO8" s="2"/>
      <c r="CQP8" s="2"/>
      <c r="CQQ8" s="2"/>
      <c r="CQR8" s="2"/>
      <c r="CQS8" s="2"/>
      <c r="CQT8" s="2"/>
      <c r="CQU8" s="2"/>
      <c r="CQV8" s="2"/>
      <c r="CQW8" s="2"/>
      <c r="CQX8" s="2"/>
      <c r="CQY8" s="2"/>
      <c r="CQZ8" s="2"/>
      <c r="CRA8" s="2"/>
      <c r="CRB8" s="2"/>
      <c r="CRC8" s="2"/>
      <c r="CRD8" s="2"/>
      <c r="CRE8" s="2"/>
      <c r="CRF8" s="2"/>
      <c r="CRG8" s="2"/>
      <c r="CRH8" s="2"/>
      <c r="CRI8" s="2"/>
      <c r="CRJ8" s="2"/>
      <c r="CRK8" s="2"/>
      <c r="CRL8" s="2"/>
      <c r="CRM8" s="2"/>
      <c r="CRN8" s="2"/>
      <c r="CRO8" s="2"/>
      <c r="CRP8" s="2"/>
      <c r="CRQ8" s="2"/>
      <c r="CRR8" s="2"/>
      <c r="CRS8" s="2"/>
      <c r="CRT8" s="2"/>
      <c r="CRU8" s="2"/>
      <c r="CRV8" s="2"/>
      <c r="CRW8" s="2"/>
      <c r="CRX8" s="2"/>
      <c r="CRY8" s="2"/>
      <c r="CRZ8" s="2"/>
      <c r="CSA8" s="2"/>
      <c r="CSB8" s="2"/>
      <c r="CSC8" s="2"/>
      <c r="CSD8" s="2"/>
      <c r="CSE8" s="2"/>
      <c r="CSF8" s="2"/>
      <c r="CSG8" s="2"/>
      <c r="CSH8" s="2"/>
      <c r="CSI8" s="2"/>
      <c r="CSJ8" s="2"/>
      <c r="CSK8" s="2"/>
      <c r="CSL8" s="2"/>
      <c r="CSM8" s="2"/>
      <c r="CSN8" s="2"/>
      <c r="CSO8" s="2"/>
      <c r="CSP8" s="2"/>
      <c r="CSQ8" s="2"/>
      <c r="CSR8" s="2"/>
      <c r="CSS8" s="2"/>
      <c r="CST8" s="2"/>
      <c r="CSU8" s="2"/>
      <c r="CSV8" s="2"/>
      <c r="CSW8" s="2"/>
      <c r="CSX8" s="2"/>
      <c r="CSY8" s="2"/>
      <c r="CSZ8" s="2"/>
      <c r="CTA8" s="2"/>
      <c r="CTB8" s="2"/>
      <c r="CTC8" s="2"/>
      <c r="CTD8" s="2"/>
      <c r="CTE8" s="2"/>
      <c r="CTF8" s="2"/>
      <c r="CTG8" s="2"/>
      <c r="CTH8" s="2"/>
      <c r="CTI8" s="2"/>
      <c r="CTJ8" s="2"/>
      <c r="CTK8" s="2"/>
      <c r="CTL8" s="2"/>
      <c r="CTM8" s="2"/>
      <c r="CTN8" s="2"/>
      <c r="CTO8" s="2"/>
      <c r="CTP8" s="2"/>
      <c r="CTQ8" s="2"/>
      <c r="CTR8" s="2"/>
      <c r="CTS8" s="2"/>
      <c r="CTT8" s="2"/>
      <c r="CTU8" s="2"/>
      <c r="CTV8" s="2"/>
      <c r="CTW8" s="2"/>
      <c r="CTX8" s="2"/>
      <c r="CTY8" s="2"/>
      <c r="CTZ8" s="2"/>
      <c r="CUA8" s="2"/>
      <c r="CUB8" s="2"/>
      <c r="CUC8" s="2"/>
      <c r="CUD8" s="2"/>
      <c r="CUE8" s="2"/>
      <c r="CUF8" s="2"/>
      <c r="CUG8" s="2"/>
      <c r="CUH8" s="2"/>
      <c r="CUI8" s="2"/>
      <c r="CUJ8" s="2"/>
      <c r="CUK8" s="2"/>
      <c r="CUL8" s="2"/>
      <c r="CUM8" s="2"/>
      <c r="CUN8" s="2"/>
      <c r="CUO8" s="2"/>
      <c r="CUP8" s="2"/>
      <c r="CUQ8" s="2"/>
      <c r="CUR8" s="2"/>
      <c r="CUS8" s="2"/>
      <c r="CUT8" s="2"/>
      <c r="CUU8" s="2"/>
      <c r="CUV8" s="2"/>
      <c r="CUW8" s="2"/>
      <c r="CUX8" s="2"/>
      <c r="CUY8" s="2"/>
      <c r="CUZ8" s="2"/>
      <c r="CVA8" s="2"/>
      <c r="CVB8" s="2"/>
      <c r="CVC8" s="2"/>
      <c r="CVD8" s="2"/>
      <c r="CVE8" s="2"/>
      <c r="CVF8" s="2"/>
      <c r="CVG8" s="2"/>
      <c r="CVH8" s="2"/>
      <c r="CVI8" s="2"/>
      <c r="CVJ8" s="2"/>
      <c r="CVK8" s="2"/>
      <c r="CVL8" s="2"/>
      <c r="CVM8" s="2"/>
      <c r="CVN8" s="2"/>
      <c r="CVO8" s="2"/>
      <c r="CVP8" s="2"/>
      <c r="CVQ8" s="2"/>
      <c r="CVR8" s="2"/>
      <c r="CVS8" s="2"/>
      <c r="CVT8" s="2"/>
      <c r="CVU8" s="2"/>
      <c r="CVV8" s="2"/>
      <c r="CVW8" s="2"/>
      <c r="CVX8" s="2"/>
      <c r="CVY8" s="2"/>
      <c r="CVZ8" s="2"/>
      <c r="CWA8" s="2"/>
      <c r="CWB8" s="2"/>
      <c r="CWC8" s="2"/>
      <c r="CWD8" s="2"/>
      <c r="CWE8" s="2"/>
      <c r="CWF8" s="2"/>
      <c r="CWG8" s="2"/>
      <c r="CWH8" s="2"/>
      <c r="CWI8" s="2"/>
      <c r="CWJ8" s="2"/>
      <c r="CWK8" s="2"/>
      <c r="CWL8" s="2"/>
      <c r="CWM8" s="2"/>
      <c r="CWN8" s="2"/>
      <c r="CWO8" s="2"/>
      <c r="CWP8" s="2"/>
      <c r="CWQ8" s="2"/>
      <c r="CWR8" s="2"/>
      <c r="CWS8" s="2"/>
      <c r="CWT8" s="2"/>
      <c r="CWU8" s="2"/>
      <c r="CWV8" s="2"/>
      <c r="CWW8" s="2"/>
      <c r="CWX8" s="2"/>
      <c r="CWY8" s="2"/>
      <c r="CWZ8" s="2"/>
      <c r="CXA8" s="2"/>
      <c r="CXB8" s="2"/>
      <c r="CXC8" s="2"/>
      <c r="CXD8" s="2"/>
      <c r="CXE8" s="2"/>
      <c r="CXF8" s="2"/>
      <c r="CXG8" s="2"/>
      <c r="CXH8" s="2"/>
      <c r="CXI8" s="2"/>
      <c r="CXJ8" s="2"/>
      <c r="CXK8" s="2"/>
      <c r="CXL8" s="2"/>
      <c r="CXM8" s="2"/>
      <c r="CXN8" s="2"/>
      <c r="CXO8" s="2"/>
      <c r="CXP8" s="2"/>
      <c r="CXQ8" s="2"/>
      <c r="CXR8" s="2"/>
      <c r="CXS8" s="2"/>
      <c r="CXT8" s="2"/>
      <c r="CXU8" s="2"/>
      <c r="CXV8" s="2"/>
      <c r="CXW8" s="2"/>
      <c r="CXX8" s="2"/>
      <c r="CXY8" s="2"/>
      <c r="CXZ8" s="2"/>
      <c r="CYA8" s="2"/>
      <c r="CYB8" s="2"/>
      <c r="CYC8" s="2"/>
      <c r="CYD8" s="2"/>
      <c r="CYE8" s="2"/>
      <c r="CYF8" s="2"/>
      <c r="CYG8" s="2"/>
      <c r="CYH8" s="2"/>
      <c r="CYI8" s="2"/>
      <c r="CYJ8" s="2"/>
      <c r="CYK8" s="2"/>
      <c r="CYL8" s="2"/>
      <c r="CYM8" s="2"/>
      <c r="CYN8" s="2"/>
      <c r="CYO8" s="2"/>
      <c r="CYP8" s="2"/>
      <c r="CYQ8" s="2"/>
      <c r="CYR8" s="2"/>
      <c r="CYS8" s="2"/>
      <c r="CYT8" s="2"/>
      <c r="CYU8" s="2"/>
      <c r="CYV8" s="2"/>
      <c r="CYW8" s="2"/>
      <c r="CYX8" s="2"/>
      <c r="CYY8" s="2"/>
      <c r="CYZ8" s="2"/>
      <c r="CZA8" s="2"/>
      <c r="CZB8" s="2"/>
      <c r="CZC8" s="2"/>
      <c r="CZD8" s="2"/>
      <c r="CZE8" s="2"/>
      <c r="CZF8" s="2"/>
      <c r="CZG8" s="2"/>
      <c r="CZH8" s="2"/>
      <c r="CZI8" s="2"/>
      <c r="CZJ8" s="2"/>
      <c r="CZK8" s="2"/>
      <c r="CZL8" s="2"/>
      <c r="CZM8" s="2"/>
      <c r="CZN8" s="2"/>
      <c r="CZO8" s="2"/>
      <c r="CZP8" s="2"/>
      <c r="CZQ8" s="2"/>
      <c r="CZR8" s="2"/>
      <c r="CZS8" s="2"/>
      <c r="CZT8" s="2"/>
      <c r="CZU8" s="2"/>
      <c r="CZV8" s="2"/>
      <c r="CZW8" s="2"/>
      <c r="CZX8" s="2"/>
      <c r="CZY8" s="2"/>
      <c r="CZZ8" s="2"/>
      <c r="DAA8" s="2"/>
      <c r="DAB8" s="2"/>
      <c r="DAC8" s="2"/>
      <c r="DAD8" s="2"/>
      <c r="DAE8" s="2"/>
      <c r="DAF8" s="2"/>
      <c r="DAG8" s="2"/>
      <c r="DAH8" s="2"/>
      <c r="DAI8" s="2"/>
      <c r="DAJ8" s="2"/>
      <c r="DAK8" s="2"/>
      <c r="DAL8" s="2"/>
      <c r="DAM8" s="2"/>
      <c r="DAN8" s="2"/>
      <c r="DAO8" s="2"/>
      <c r="DAP8" s="2"/>
      <c r="DAQ8" s="2"/>
      <c r="DAR8" s="2"/>
      <c r="DAS8" s="2"/>
      <c r="DAT8" s="2"/>
      <c r="DAU8" s="2"/>
      <c r="DAV8" s="2"/>
      <c r="DAW8" s="2"/>
      <c r="DAX8" s="2"/>
      <c r="DAY8" s="2"/>
      <c r="DAZ8" s="2"/>
      <c r="DBA8" s="2"/>
      <c r="DBB8" s="2"/>
      <c r="DBC8" s="2"/>
      <c r="DBD8" s="2"/>
      <c r="DBE8" s="2"/>
      <c r="DBF8" s="2"/>
      <c r="DBG8" s="2"/>
      <c r="DBH8" s="2"/>
      <c r="DBI8" s="2"/>
      <c r="DBJ8" s="2"/>
      <c r="DBK8" s="2"/>
      <c r="DBL8" s="2"/>
      <c r="DBM8" s="2"/>
      <c r="DBN8" s="2"/>
      <c r="DBO8" s="2"/>
      <c r="DBP8" s="2"/>
      <c r="DBQ8" s="2"/>
      <c r="DBR8" s="2"/>
      <c r="DBS8" s="2"/>
      <c r="DBT8" s="2"/>
      <c r="DBU8" s="2"/>
      <c r="DBV8" s="2"/>
      <c r="DBW8" s="2"/>
      <c r="DBX8" s="2"/>
      <c r="DBY8" s="2"/>
      <c r="DBZ8" s="2"/>
      <c r="DCA8" s="2"/>
      <c r="DCB8" s="2"/>
      <c r="DCC8" s="2"/>
      <c r="DCD8" s="2"/>
      <c r="DCE8" s="2"/>
      <c r="DCF8" s="2"/>
      <c r="DCG8" s="2"/>
      <c r="DCH8" s="2"/>
      <c r="DCI8" s="2"/>
      <c r="DCJ8" s="2"/>
      <c r="DCK8" s="2"/>
      <c r="DCL8" s="2"/>
      <c r="DCM8" s="2"/>
      <c r="DCN8" s="2"/>
      <c r="DCO8" s="2"/>
      <c r="DCP8" s="2"/>
      <c r="DCQ8" s="2"/>
      <c r="DCR8" s="2"/>
      <c r="DCS8" s="2"/>
      <c r="DCT8" s="2"/>
      <c r="DCU8" s="2"/>
      <c r="DCV8" s="2"/>
      <c r="DCW8" s="2"/>
      <c r="DCX8" s="2"/>
      <c r="DCY8" s="2"/>
      <c r="DCZ8" s="2"/>
      <c r="DDA8" s="2"/>
      <c r="DDB8" s="2"/>
      <c r="DDC8" s="2"/>
      <c r="DDD8" s="2"/>
      <c r="DDE8" s="2"/>
      <c r="DDF8" s="2"/>
      <c r="DDG8" s="2"/>
      <c r="DDH8" s="2"/>
      <c r="DDI8" s="2"/>
      <c r="DDJ8" s="2"/>
      <c r="DDK8" s="2"/>
      <c r="DDL8" s="2"/>
      <c r="DDM8" s="2"/>
      <c r="DDN8" s="2"/>
      <c r="DDO8" s="2"/>
      <c r="DDP8" s="2"/>
      <c r="DDQ8" s="2"/>
      <c r="DDR8" s="2"/>
      <c r="DDS8" s="2"/>
      <c r="DDT8" s="2"/>
      <c r="DDU8" s="2"/>
      <c r="DDV8" s="2"/>
      <c r="DDW8" s="2"/>
      <c r="DDX8" s="2"/>
      <c r="DDY8" s="2"/>
      <c r="DDZ8" s="2"/>
      <c r="DEA8" s="2"/>
      <c r="DEB8" s="2"/>
      <c r="DEC8" s="2"/>
      <c r="DED8" s="2"/>
      <c r="DEE8" s="2"/>
      <c r="DEF8" s="2"/>
      <c r="DEG8" s="2"/>
      <c r="DEH8" s="2"/>
      <c r="DEI8" s="2"/>
      <c r="DEJ8" s="2"/>
      <c r="DEK8" s="2"/>
      <c r="DEL8" s="2"/>
      <c r="DEM8" s="2"/>
      <c r="DEN8" s="2"/>
      <c r="DEO8" s="2"/>
      <c r="DEP8" s="2"/>
      <c r="DEQ8" s="2"/>
      <c r="DER8" s="2"/>
      <c r="DES8" s="2"/>
      <c r="DET8" s="2"/>
      <c r="DEU8" s="2"/>
      <c r="DEV8" s="2"/>
      <c r="DEW8" s="2"/>
      <c r="DEX8" s="2"/>
      <c r="DEY8" s="2"/>
      <c r="DEZ8" s="2"/>
      <c r="DFA8" s="2"/>
      <c r="DFB8" s="2"/>
      <c r="DFC8" s="2"/>
      <c r="DFD8" s="2"/>
      <c r="DFE8" s="2"/>
      <c r="DFF8" s="2"/>
      <c r="DFG8" s="2"/>
      <c r="DFH8" s="2"/>
      <c r="DFI8" s="2"/>
      <c r="DFJ8" s="2"/>
      <c r="DFK8" s="2"/>
      <c r="DFL8" s="2"/>
      <c r="DFM8" s="2"/>
      <c r="DFN8" s="2"/>
      <c r="DFO8" s="2"/>
      <c r="DFP8" s="2"/>
      <c r="DFQ8" s="2"/>
      <c r="DFR8" s="2"/>
      <c r="DFS8" s="2"/>
      <c r="DFT8" s="2"/>
      <c r="DFU8" s="2"/>
      <c r="DFV8" s="2"/>
      <c r="DFW8" s="2"/>
      <c r="DFX8" s="2"/>
      <c r="DFY8" s="2"/>
      <c r="DFZ8" s="2"/>
      <c r="DGA8" s="2"/>
      <c r="DGB8" s="2"/>
      <c r="DGC8" s="2"/>
      <c r="DGD8" s="2"/>
      <c r="DGE8" s="2"/>
      <c r="DGF8" s="2"/>
      <c r="DGG8" s="2"/>
      <c r="DGH8" s="2"/>
      <c r="DGI8" s="2"/>
      <c r="DGJ8" s="2"/>
      <c r="DGK8" s="2"/>
      <c r="DGL8" s="2"/>
      <c r="DGM8" s="2"/>
      <c r="DGN8" s="2"/>
      <c r="DGO8" s="2"/>
      <c r="DGP8" s="2"/>
      <c r="DGQ8" s="2"/>
      <c r="DGR8" s="2"/>
      <c r="DGS8" s="2"/>
      <c r="DGT8" s="2"/>
      <c r="DGU8" s="2"/>
      <c r="DGV8" s="2"/>
      <c r="DGW8" s="2"/>
      <c r="DGX8" s="2"/>
      <c r="DGY8" s="2"/>
      <c r="DGZ8" s="2"/>
      <c r="DHA8" s="2"/>
      <c r="DHB8" s="2"/>
      <c r="DHC8" s="2"/>
      <c r="DHD8" s="2"/>
      <c r="DHE8" s="2"/>
      <c r="DHF8" s="2"/>
      <c r="DHG8" s="2"/>
      <c r="DHH8" s="2"/>
      <c r="DHI8" s="2"/>
      <c r="DHJ8" s="2"/>
      <c r="DHK8" s="2"/>
      <c r="DHL8" s="2"/>
      <c r="DHM8" s="2"/>
      <c r="DHN8" s="2"/>
      <c r="DHO8" s="2"/>
      <c r="DHP8" s="2"/>
      <c r="DHQ8" s="2"/>
      <c r="DHR8" s="2"/>
      <c r="DHS8" s="2"/>
      <c r="DHT8" s="2"/>
      <c r="DHU8" s="2"/>
      <c r="DHV8" s="2"/>
      <c r="DHW8" s="2"/>
      <c r="DHX8" s="2"/>
      <c r="DHY8" s="2"/>
      <c r="DHZ8" s="2"/>
      <c r="DIA8" s="2"/>
      <c r="DIB8" s="2"/>
      <c r="DIC8" s="2"/>
      <c r="DID8" s="2"/>
      <c r="DIE8" s="2"/>
      <c r="DIF8" s="2"/>
      <c r="DIG8" s="2"/>
      <c r="DIH8" s="2"/>
      <c r="DII8" s="2"/>
      <c r="DIJ8" s="2"/>
      <c r="DIK8" s="2"/>
      <c r="DIL8" s="2"/>
      <c r="DIM8" s="2"/>
      <c r="DIN8" s="2"/>
      <c r="DIO8" s="2"/>
      <c r="DIP8" s="2"/>
      <c r="DIQ8" s="2"/>
      <c r="DIR8" s="2"/>
      <c r="DIS8" s="2"/>
      <c r="DIT8" s="2"/>
      <c r="DIU8" s="2"/>
      <c r="DIV8" s="2"/>
      <c r="DIW8" s="2"/>
      <c r="DIX8" s="2"/>
      <c r="DIY8" s="2"/>
      <c r="DIZ8" s="2"/>
      <c r="DJA8" s="2"/>
      <c r="DJB8" s="2"/>
      <c r="DJC8" s="2"/>
      <c r="DJD8" s="2"/>
      <c r="DJE8" s="2"/>
      <c r="DJF8" s="2"/>
      <c r="DJG8" s="2"/>
      <c r="DJH8" s="2"/>
      <c r="DJI8" s="2"/>
      <c r="DJJ8" s="2"/>
      <c r="DJK8" s="2"/>
      <c r="DJL8" s="2"/>
      <c r="DJM8" s="2"/>
      <c r="DJN8" s="2"/>
      <c r="DJO8" s="2"/>
      <c r="DJP8" s="2"/>
      <c r="DJQ8" s="2"/>
      <c r="DJR8" s="2"/>
      <c r="DJS8" s="2"/>
      <c r="DJT8" s="2"/>
      <c r="DJU8" s="2"/>
      <c r="DJV8" s="2"/>
      <c r="DJW8" s="2"/>
      <c r="DJX8" s="2"/>
      <c r="DJY8" s="2"/>
      <c r="DJZ8" s="2"/>
      <c r="DKA8" s="2"/>
      <c r="DKB8" s="2"/>
      <c r="DKC8" s="2"/>
      <c r="DKD8" s="2"/>
      <c r="DKE8" s="2"/>
      <c r="DKF8" s="2"/>
      <c r="DKG8" s="2"/>
      <c r="DKH8" s="2"/>
      <c r="DKI8" s="2"/>
      <c r="DKJ8" s="2"/>
      <c r="DKK8" s="2"/>
      <c r="DKL8" s="2"/>
      <c r="DKM8" s="2"/>
      <c r="DKN8" s="2"/>
      <c r="DKO8" s="2"/>
      <c r="DKP8" s="2"/>
      <c r="DKQ8" s="2"/>
      <c r="DKR8" s="2"/>
      <c r="DKS8" s="2"/>
      <c r="DKT8" s="2"/>
      <c r="DKU8" s="2"/>
      <c r="DKV8" s="2"/>
      <c r="DKW8" s="2"/>
      <c r="DKX8" s="2"/>
      <c r="DKY8" s="2"/>
      <c r="DKZ8" s="2"/>
      <c r="DLA8" s="2"/>
      <c r="DLB8" s="2"/>
      <c r="DLC8" s="2"/>
      <c r="DLD8" s="2"/>
      <c r="DLE8" s="2"/>
      <c r="DLF8" s="2"/>
      <c r="DLG8" s="2"/>
      <c r="DLH8" s="2"/>
      <c r="DLI8" s="2"/>
      <c r="DLJ8" s="2"/>
      <c r="DLK8" s="2"/>
      <c r="DLL8" s="2"/>
      <c r="DLM8" s="2"/>
      <c r="DLN8" s="2"/>
      <c r="DLO8" s="2"/>
      <c r="DLP8" s="2"/>
      <c r="DLQ8" s="2"/>
      <c r="DLR8" s="2"/>
      <c r="DLS8" s="2"/>
      <c r="DLT8" s="2"/>
      <c r="DLU8" s="2"/>
      <c r="DLV8" s="2"/>
      <c r="DLW8" s="2"/>
      <c r="DLX8" s="2"/>
      <c r="DLY8" s="2"/>
      <c r="DLZ8" s="2"/>
      <c r="DMA8" s="2"/>
      <c r="DMB8" s="2"/>
      <c r="DMC8" s="2"/>
      <c r="DMD8" s="2"/>
      <c r="DME8" s="2"/>
      <c r="DMF8" s="2"/>
      <c r="DMG8" s="2"/>
      <c r="DMH8" s="2"/>
      <c r="DMI8" s="2"/>
      <c r="DMJ8" s="2"/>
      <c r="DMK8" s="2"/>
      <c r="DML8" s="2"/>
      <c r="DMM8" s="2"/>
      <c r="DMN8" s="2"/>
      <c r="DMO8" s="2"/>
      <c r="DMP8" s="2"/>
      <c r="DMQ8" s="2"/>
      <c r="DMR8" s="2"/>
      <c r="DMS8" s="2"/>
      <c r="DMT8" s="2"/>
      <c r="DMU8" s="2"/>
      <c r="DMV8" s="2"/>
      <c r="DMW8" s="2"/>
      <c r="DMX8" s="2"/>
      <c r="DMY8" s="2"/>
      <c r="DMZ8" s="2"/>
      <c r="DNA8" s="2"/>
      <c r="DNB8" s="2"/>
      <c r="DNC8" s="2"/>
      <c r="DND8" s="2"/>
      <c r="DNE8" s="2"/>
      <c r="DNF8" s="2"/>
      <c r="DNG8" s="2"/>
      <c r="DNH8" s="2"/>
      <c r="DNI8" s="2"/>
      <c r="DNJ8" s="2"/>
      <c r="DNK8" s="2"/>
      <c r="DNL8" s="2"/>
      <c r="DNM8" s="2"/>
      <c r="DNN8" s="2"/>
      <c r="DNO8" s="2"/>
      <c r="DNP8" s="2"/>
      <c r="DNQ8" s="2"/>
      <c r="DNR8" s="2"/>
      <c r="DNS8" s="2"/>
      <c r="DNT8" s="2"/>
      <c r="DNU8" s="2"/>
      <c r="DNV8" s="2"/>
      <c r="DNW8" s="2"/>
      <c r="DNX8" s="2"/>
      <c r="DNY8" s="2"/>
      <c r="DNZ8" s="2"/>
      <c r="DOA8" s="2"/>
      <c r="DOB8" s="2"/>
      <c r="DOC8" s="2"/>
      <c r="DOD8" s="2"/>
      <c r="DOE8" s="2"/>
      <c r="DOF8" s="2"/>
      <c r="DOG8" s="2"/>
      <c r="DOH8" s="2"/>
      <c r="DOI8" s="2"/>
      <c r="DOJ8" s="2"/>
      <c r="DOK8" s="2"/>
      <c r="DOL8" s="2"/>
      <c r="DOM8" s="2"/>
      <c r="DON8" s="2"/>
      <c r="DOO8" s="2"/>
      <c r="DOP8" s="2"/>
      <c r="DOQ8" s="2"/>
      <c r="DOR8" s="2"/>
      <c r="DOS8" s="2"/>
      <c r="DOT8" s="2"/>
      <c r="DOU8" s="2"/>
      <c r="DOV8" s="2"/>
      <c r="DOW8" s="2"/>
      <c r="DOX8" s="2"/>
      <c r="DOY8" s="2"/>
      <c r="DOZ8" s="2"/>
      <c r="DPA8" s="2"/>
      <c r="DPB8" s="2"/>
      <c r="DPC8" s="2"/>
      <c r="DPD8" s="2"/>
      <c r="DPE8" s="2"/>
      <c r="DPF8" s="2"/>
      <c r="DPG8" s="2"/>
      <c r="DPH8" s="2"/>
      <c r="DPI8" s="2"/>
      <c r="DPJ8" s="2"/>
      <c r="DPK8" s="2"/>
      <c r="DPL8" s="2"/>
      <c r="DPM8" s="2"/>
      <c r="DPN8" s="2"/>
      <c r="DPO8" s="2"/>
      <c r="DPP8" s="2"/>
      <c r="DPQ8" s="2"/>
      <c r="DPR8" s="2"/>
      <c r="DPS8" s="2"/>
      <c r="DPT8" s="2"/>
      <c r="DPU8" s="2"/>
      <c r="DPV8" s="2"/>
      <c r="DPW8" s="2"/>
      <c r="DPX8" s="2"/>
      <c r="DPY8" s="2"/>
      <c r="DPZ8" s="2"/>
      <c r="DQA8" s="2"/>
      <c r="DQB8" s="2"/>
      <c r="DQC8" s="2"/>
      <c r="DQD8" s="2"/>
      <c r="DQE8" s="2"/>
      <c r="DQF8" s="2"/>
      <c r="DQG8" s="2"/>
      <c r="DQH8" s="2"/>
      <c r="DQI8" s="2"/>
      <c r="DQJ8" s="2"/>
      <c r="DQK8" s="2"/>
      <c r="DQL8" s="2"/>
      <c r="DQM8" s="2"/>
      <c r="DQN8" s="2"/>
      <c r="DQO8" s="2"/>
      <c r="DQP8" s="2"/>
      <c r="DQQ8" s="2"/>
      <c r="DQR8" s="2"/>
      <c r="DQS8" s="2"/>
      <c r="DQT8" s="2"/>
      <c r="DQU8" s="2"/>
      <c r="DQV8" s="2"/>
      <c r="DQW8" s="2"/>
      <c r="DQX8" s="2"/>
      <c r="DQY8" s="2"/>
      <c r="DQZ8" s="2"/>
      <c r="DRA8" s="2"/>
      <c r="DRB8" s="2"/>
      <c r="DRC8" s="2"/>
      <c r="DRD8" s="2"/>
      <c r="DRE8" s="2"/>
      <c r="DRF8" s="2"/>
      <c r="DRG8" s="2"/>
      <c r="DRH8" s="2"/>
      <c r="DRI8" s="2"/>
      <c r="DRJ8" s="2"/>
      <c r="DRK8" s="2"/>
      <c r="DRL8" s="2"/>
      <c r="DRM8" s="2"/>
      <c r="DRN8" s="2"/>
      <c r="DRO8" s="2"/>
      <c r="DRP8" s="2"/>
      <c r="DRQ8" s="2"/>
      <c r="DRR8" s="2"/>
      <c r="DRS8" s="2"/>
      <c r="DRT8" s="2"/>
      <c r="DRU8" s="2"/>
      <c r="DRV8" s="2"/>
      <c r="DRW8" s="2"/>
      <c r="DRX8" s="2"/>
      <c r="DRY8" s="2"/>
      <c r="DRZ8" s="2"/>
      <c r="DSA8" s="2"/>
      <c r="DSB8" s="2"/>
      <c r="DSC8" s="2"/>
      <c r="DSD8" s="2"/>
      <c r="DSE8" s="2"/>
      <c r="DSF8" s="2"/>
      <c r="DSG8" s="2"/>
      <c r="DSH8" s="2"/>
      <c r="DSI8" s="2"/>
      <c r="DSJ8" s="2"/>
      <c r="DSK8" s="2"/>
      <c r="DSL8" s="2"/>
      <c r="DSM8" s="2"/>
      <c r="DSN8" s="2"/>
      <c r="DSO8" s="2"/>
      <c r="DSP8" s="2"/>
      <c r="DSQ8" s="2"/>
      <c r="DSR8" s="2"/>
      <c r="DSS8" s="2"/>
      <c r="DST8" s="2"/>
      <c r="DSU8" s="2"/>
      <c r="DSV8" s="2"/>
      <c r="DSW8" s="2"/>
      <c r="DSX8" s="2"/>
      <c r="DSY8" s="2"/>
      <c r="DSZ8" s="2"/>
      <c r="DTA8" s="2"/>
      <c r="DTB8" s="2"/>
      <c r="DTC8" s="2"/>
      <c r="DTD8" s="2"/>
      <c r="DTE8" s="2"/>
      <c r="DTF8" s="2"/>
      <c r="DTG8" s="2"/>
      <c r="DTH8" s="2"/>
      <c r="DTI8" s="2"/>
      <c r="DTJ8" s="2"/>
      <c r="DTK8" s="2"/>
      <c r="DTL8" s="2"/>
      <c r="DTM8" s="2"/>
      <c r="DTN8" s="2"/>
      <c r="DTO8" s="2"/>
      <c r="DTP8" s="2"/>
      <c r="DTQ8" s="2"/>
      <c r="DTR8" s="2"/>
      <c r="DTS8" s="2"/>
      <c r="DTT8" s="2"/>
      <c r="DTU8" s="2"/>
      <c r="DTV8" s="2"/>
      <c r="DTW8" s="2"/>
      <c r="DTX8" s="2"/>
      <c r="DTY8" s="2"/>
      <c r="DTZ8" s="2"/>
      <c r="DUA8" s="2"/>
      <c r="DUB8" s="2"/>
      <c r="DUC8" s="2"/>
      <c r="DUD8" s="2"/>
      <c r="DUE8" s="2"/>
      <c r="DUF8" s="2"/>
      <c r="DUG8" s="2"/>
      <c r="DUH8" s="2"/>
      <c r="DUI8" s="2"/>
      <c r="DUJ8" s="2"/>
      <c r="DUK8" s="2"/>
      <c r="DUL8" s="2"/>
      <c r="DUM8" s="2"/>
      <c r="DUN8" s="2"/>
      <c r="DUO8" s="2"/>
      <c r="DUP8" s="2"/>
      <c r="DUQ8" s="2"/>
      <c r="DUR8" s="2"/>
      <c r="DUS8" s="2"/>
      <c r="DUT8" s="2"/>
      <c r="DUU8" s="2"/>
      <c r="DUV8" s="2"/>
      <c r="DUW8" s="2"/>
      <c r="DUX8" s="2"/>
      <c r="DUY8" s="2"/>
      <c r="DUZ8" s="2"/>
      <c r="DVA8" s="2"/>
      <c r="DVB8" s="2"/>
      <c r="DVC8" s="2"/>
      <c r="DVD8" s="2"/>
      <c r="DVE8" s="2"/>
      <c r="DVF8" s="2"/>
      <c r="DVG8" s="2"/>
      <c r="DVH8" s="2"/>
      <c r="DVI8" s="2"/>
      <c r="DVJ8" s="2"/>
      <c r="DVK8" s="2"/>
      <c r="DVL8" s="2"/>
      <c r="DVM8" s="2"/>
      <c r="DVN8" s="2"/>
      <c r="DVO8" s="2"/>
      <c r="DVP8" s="2"/>
      <c r="DVQ8" s="2"/>
      <c r="DVR8" s="2"/>
      <c r="DVS8" s="2"/>
      <c r="DVT8" s="2"/>
      <c r="DVU8" s="2"/>
      <c r="DVV8" s="2"/>
      <c r="DVW8" s="2"/>
      <c r="DVX8" s="2"/>
      <c r="DVY8" s="2"/>
      <c r="DVZ8" s="2"/>
      <c r="DWA8" s="2"/>
      <c r="DWB8" s="2"/>
      <c r="DWC8" s="2"/>
      <c r="DWD8" s="2"/>
      <c r="DWE8" s="2"/>
      <c r="DWF8" s="2"/>
      <c r="DWG8" s="2"/>
      <c r="DWH8" s="2"/>
      <c r="DWI8" s="2"/>
      <c r="DWJ8" s="2"/>
      <c r="DWK8" s="2"/>
      <c r="DWL8" s="2"/>
      <c r="DWM8" s="2"/>
      <c r="DWN8" s="2"/>
      <c r="DWO8" s="2"/>
      <c r="DWP8" s="2"/>
      <c r="DWQ8" s="2"/>
      <c r="DWR8" s="2"/>
      <c r="DWS8" s="2"/>
      <c r="DWT8" s="2"/>
      <c r="DWU8" s="2"/>
      <c r="DWV8" s="2"/>
      <c r="DWW8" s="2"/>
      <c r="DWX8" s="2"/>
      <c r="DWY8" s="2"/>
      <c r="DWZ8" s="2"/>
      <c r="DXA8" s="2"/>
      <c r="DXB8" s="2"/>
      <c r="DXC8" s="2"/>
      <c r="DXD8" s="2"/>
      <c r="DXE8" s="2"/>
      <c r="DXF8" s="2"/>
      <c r="DXG8" s="2"/>
      <c r="DXH8" s="2"/>
      <c r="DXI8" s="2"/>
      <c r="DXJ8" s="2"/>
      <c r="DXK8" s="2"/>
      <c r="DXL8" s="2"/>
      <c r="DXM8" s="2"/>
      <c r="DXN8" s="2"/>
      <c r="DXO8" s="2"/>
      <c r="DXP8" s="2"/>
      <c r="DXQ8" s="2"/>
      <c r="DXR8" s="2"/>
      <c r="DXS8" s="2"/>
      <c r="DXT8" s="2"/>
      <c r="DXU8" s="2"/>
      <c r="DXV8" s="2"/>
      <c r="DXW8" s="2"/>
      <c r="DXX8" s="2"/>
      <c r="DXY8" s="2"/>
      <c r="DXZ8" s="2"/>
      <c r="DYA8" s="2"/>
      <c r="DYB8" s="2"/>
      <c r="DYC8" s="2"/>
      <c r="DYD8" s="2"/>
      <c r="DYE8" s="2"/>
      <c r="DYF8" s="2"/>
      <c r="DYG8" s="2"/>
      <c r="DYH8" s="2"/>
      <c r="DYI8" s="2"/>
      <c r="DYJ8" s="2"/>
      <c r="DYK8" s="2"/>
      <c r="DYL8" s="2"/>
      <c r="DYM8" s="2"/>
      <c r="DYN8" s="2"/>
      <c r="DYO8" s="2"/>
      <c r="DYP8" s="2"/>
      <c r="DYQ8" s="2"/>
      <c r="DYR8" s="2"/>
      <c r="DYS8" s="2"/>
      <c r="DYT8" s="2"/>
      <c r="DYU8" s="2"/>
      <c r="DYV8" s="2"/>
      <c r="DYW8" s="2"/>
      <c r="DYX8" s="2"/>
      <c r="DYY8" s="2"/>
      <c r="DYZ8" s="2"/>
      <c r="DZA8" s="2"/>
      <c r="DZB8" s="2"/>
      <c r="DZC8" s="2"/>
      <c r="DZD8" s="2"/>
      <c r="DZE8" s="2"/>
      <c r="DZF8" s="2"/>
      <c r="DZG8" s="2"/>
      <c r="DZH8" s="2"/>
      <c r="DZI8" s="2"/>
      <c r="DZJ8" s="2"/>
      <c r="DZK8" s="2"/>
      <c r="DZL8" s="2"/>
      <c r="DZM8" s="2"/>
      <c r="DZN8" s="2"/>
      <c r="DZO8" s="2"/>
      <c r="DZP8" s="2"/>
      <c r="DZQ8" s="2"/>
      <c r="DZR8" s="2"/>
      <c r="DZS8" s="2"/>
      <c r="DZT8" s="2"/>
      <c r="DZU8" s="2"/>
      <c r="DZV8" s="2"/>
      <c r="DZW8" s="2"/>
      <c r="DZX8" s="2"/>
      <c r="DZY8" s="2"/>
      <c r="DZZ8" s="2"/>
      <c r="EAA8" s="2"/>
      <c r="EAB8" s="2"/>
      <c r="EAC8" s="2"/>
      <c r="EAD8" s="2"/>
      <c r="EAE8" s="2"/>
      <c r="EAF8" s="2"/>
      <c r="EAG8" s="2"/>
      <c r="EAH8" s="2"/>
      <c r="EAI8" s="2"/>
      <c r="EAJ8" s="2"/>
      <c r="EAK8" s="2"/>
      <c r="EAL8" s="2"/>
      <c r="EAM8" s="2"/>
      <c r="EAN8" s="2"/>
      <c r="EAO8" s="2"/>
      <c r="EAP8" s="2"/>
      <c r="EAQ8" s="2"/>
      <c r="EAR8" s="2"/>
      <c r="EAS8" s="2"/>
      <c r="EAT8" s="2"/>
      <c r="EAU8" s="2"/>
      <c r="EAV8" s="2"/>
      <c r="EAW8" s="2"/>
      <c r="EAX8" s="2"/>
      <c r="EAY8" s="2"/>
      <c r="EAZ8" s="2"/>
      <c r="EBA8" s="2"/>
      <c r="EBB8" s="2"/>
      <c r="EBC8" s="2"/>
      <c r="EBD8" s="2"/>
      <c r="EBE8" s="2"/>
      <c r="EBF8" s="2"/>
      <c r="EBG8" s="2"/>
      <c r="EBH8" s="2"/>
      <c r="EBI8" s="2"/>
      <c r="EBJ8" s="2"/>
      <c r="EBK8" s="2"/>
      <c r="EBL8" s="2"/>
      <c r="EBM8" s="2"/>
      <c r="EBN8" s="2"/>
      <c r="EBO8" s="2"/>
      <c r="EBP8" s="2"/>
      <c r="EBQ8" s="2"/>
      <c r="EBR8" s="2"/>
      <c r="EBS8" s="2"/>
      <c r="EBT8" s="2"/>
      <c r="EBU8" s="2"/>
      <c r="EBV8" s="2"/>
      <c r="EBW8" s="2"/>
      <c r="EBX8" s="2"/>
      <c r="EBY8" s="2"/>
      <c r="EBZ8" s="2"/>
      <c r="ECA8" s="2"/>
      <c r="ECB8" s="2"/>
      <c r="ECC8" s="2"/>
      <c r="ECD8" s="2"/>
      <c r="ECE8" s="2"/>
      <c r="ECF8" s="2"/>
      <c r="ECG8" s="2"/>
      <c r="ECH8" s="2"/>
      <c r="ECI8" s="2"/>
      <c r="ECJ8" s="2"/>
      <c r="ECK8" s="2"/>
      <c r="ECL8" s="2"/>
      <c r="ECM8" s="2"/>
      <c r="ECN8" s="2"/>
      <c r="ECO8" s="2"/>
      <c r="ECP8" s="2"/>
      <c r="ECQ8" s="2"/>
      <c r="ECR8" s="2"/>
      <c r="ECS8" s="2"/>
      <c r="ECT8" s="2"/>
      <c r="ECU8" s="2"/>
      <c r="ECV8" s="2"/>
      <c r="ECW8" s="2"/>
      <c r="ECX8" s="2"/>
      <c r="ECY8" s="2"/>
      <c r="ECZ8" s="2"/>
      <c r="EDA8" s="2"/>
      <c r="EDB8" s="2"/>
      <c r="EDC8" s="2"/>
      <c r="EDD8" s="2"/>
      <c r="EDE8" s="2"/>
      <c r="EDF8" s="2"/>
      <c r="EDG8" s="2"/>
      <c r="EDH8" s="2"/>
      <c r="EDI8" s="2"/>
      <c r="EDJ8" s="2"/>
      <c r="EDK8" s="2"/>
      <c r="EDL8" s="2"/>
      <c r="EDM8" s="2"/>
      <c r="EDN8" s="2"/>
      <c r="EDO8" s="2"/>
      <c r="EDP8" s="2"/>
      <c r="EDQ8" s="2"/>
      <c r="EDR8" s="2"/>
      <c r="EDS8" s="2"/>
      <c r="EDT8" s="2"/>
      <c r="EDU8" s="2"/>
      <c r="EDV8" s="2"/>
      <c r="EDW8" s="2"/>
      <c r="EDX8" s="2"/>
      <c r="EDY8" s="2"/>
      <c r="EDZ8" s="2"/>
      <c r="EEA8" s="2"/>
      <c r="EEB8" s="2"/>
      <c r="EEC8" s="2"/>
      <c r="EED8" s="2"/>
      <c r="EEE8" s="2"/>
      <c r="EEF8" s="2"/>
      <c r="EEG8" s="2"/>
      <c r="EEH8" s="2"/>
      <c r="EEI8" s="2"/>
      <c r="EEJ8" s="2"/>
      <c r="EEK8" s="2"/>
      <c r="EEL8" s="2"/>
      <c r="EEM8" s="2"/>
      <c r="EEN8" s="2"/>
      <c r="EEO8" s="2"/>
      <c r="EEP8" s="2"/>
      <c r="EEQ8" s="2"/>
      <c r="EER8" s="2"/>
      <c r="EES8" s="2"/>
      <c r="EET8" s="2"/>
      <c r="EEU8" s="2"/>
      <c r="EEV8" s="2"/>
      <c r="EEW8" s="2"/>
      <c r="EEX8" s="2"/>
      <c r="EEY8" s="2"/>
      <c r="EEZ8" s="2"/>
      <c r="EFA8" s="2"/>
      <c r="EFB8" s="2"/>
      <c r="EFC8" s="2"/>
      <c r="EFD8" s="2"/>
      <c r="EFE8" s="2"/>
      <c r="EFF8" s="2"/>
      <c r="EFG8" s="2"/>
      <c r="EFH8" s="2"/>
      <c r="EFI8" s="2"/>
      <c r="EFJ8" s="2"/>
      <c r="EFK8" s="2"/>
      <c r="EFL8" s="2"/>
      <c r="EFM8" s="2"/>
      <c r="EFN8" s="2"/>
      <c r="EFO8" s="2"/>
      <c r="EFP8" s="2"/>
      <c r="EFQ8" s="2"/>
      <c r="EFR8" s="2"/>
      <c r="EFS8" s="2"/>
      <c r="EFT8" s="2"/>
      <c r="EFU8" s="2"/>
      <c r="EFV8" s="2"/>
      <c r="EFW8" s="2"/>
      <c r="EFX8" s="2"/>
      <c r="EFY8" s="2"/>
      <c r="EFZ8" s="2"/>
      <c r="EGA8" s="2"/>
      <c r="EGB8" s="2"/>
      <c r="EGC8" s="2"/>
      <c r="EGD8" s="2"/>
      <c r="EGE8" s="2"/>
      <c r="EGF8" s="2"/>
      <c r="EGG8" s="2"/>
      <c r="EGH8" s="2"/>
      <c r="EGI8" s="2"/>
      <c r="EGJ8" s="2"/>
      <c r="EGK8" s="2"/>
      <c r="EGL8" s="2"/>
      <c r="EGM8" s="2"/>
      <c r="EGN8" s="2"/>
      <c r="EGO8" s="2"/>
      <c r="EGP8" s="2"/>
      <c r="EGQ8" s="2"/>
      <c r="EGR8" s="2"/>
      <c r="EGS8" s="2"/>
      <c r="EGT8" s="2"/>
      <c r="EGU8" s="2"/>
      <c r="EGV8" s="2"/>
      <c r="EGW8" s="2"/>
      <c r="EGX8" s="2"/>
      <c r="EGY8" s="2"/>
      <c r="EGZ8" s="2"/>
      <c r="EHA8" s="2"/>
      <c r="EHB8" s="2"/>
      <c r="EHC8" s="2"/>
      <c r="EHD8" s="2"/>
      <c r="EHE8" s="2"/>
      <c r="EHF8" s="2"/>
      <c r="EHG8" s="2"/>
      <c r="EHH8" s="2"/>
      <c r="EHI8" s="2"/>
      <c r="EHJ8" s="2"/>
      <c r="EHK8" s="2"/>
      <c r="EHL8" s="2"/>
      <c r="EHM8" s="2"/>
      <c r="EHN8" s="2"/>
      <c r="EHO8" s="2"/>
      <c r="EHP8" s="2"/>
      <c r="EHQ8" s="2"/>
      <c r="EHR8" s="2"/>
      <c r="EHS8" s="2"/>
      <c r="EHT8" s="2"/>
      <c r="EHU8" s="2"/>
      <c r="EHV8" s="2"/>
      <c r="EHW8" s="2"/>
      <c r="EHX8" s="2"/>
      <c r="EHY8" s="2"/>
      <c r="EHZ8" s="2"/>
      <c r="EIA8" s="2"/>
      <c r="EIB8" s="2"/>
      <c r="EIC8" s="2"/>
      <c r="EID8" s="2"/>
      <c r="EIE8" s="2"/>
      <c r="EIF8" s="2"/>
      <c r="EIG8" s="2"/>
      <c r="EIH8" s="2"/>
      <c r="EII8" s="2"/>
      <c r="EIJ8" s="2"/>
      <c r="EIK8" s="2"/>
      <c r="EIL8" s="2"/>
      <c r="EIM8" s="2"/>
      <c r="EIN8" s="2"/>
      <c r="EIO8" s="2"/>
      <c r="EIP8" s="2"/>
      <c r="EIQ8" s="2"/>
      <c r="EIR8" s="2"/>
      <c r="EIS8" s="2"/>
      <c r="EIT8" s="2"/>
      <c r="EIU8" s="2"/>
      <c r="EIV8" s="2"/>
      <c r="EIW8" s="2"/>
      <c r="EIX8" s="2"/>
      <c r="EIY8" s="2"/>
      <c r="EIZ8" s="2"/>
      <c r="EJA8" s="2"/>
      <c r="EJB8" s="2"/>
      <c r="EJC8" s="2"/>
      <c r="EJD8" s="2"/>
      <c r="EJE8" s="2"/>
      <c r="EJF8" s="2"/>
      <c r="EJG8" s="2"/>
      <c r="EJH8" s="2"/>
      <c r="EJI8" s="2"/>
      <c r="EJJ8" s="2"/>
      <c r="EJK8" s="2"/>
      <c r="EJL8" s="2"/>
      <c r="EJM8" s="2"/>
      <c r="EJN8" s="2"/>
      <c r="EJO8" s="2"/>
      <c r="EJP8" s="2"/>
      <c r="EJQ8" s="2"/>
      <c r="EJR8" s="2"/>
      <c r="EJS8" s="2"/>
      <c r="EJT8" s="2"/>
      <c r="EJU8" s="2"/>
      <c r="EJV8" s="2"/>
      <c r="EJW8" s="2"/>
      <c r="EJX8" s="2"/>
      <c r="EJY8" s="2"/>
      <c r="EJZ8" s="2"/>
      <c r="EKA8" s="2"/>
      <c r="EKB8" s="2"/>
      <c r="EKC8" s="2"/>
      <c r="EKD8" s="2"/>
      <c r="EKE8" s="2"/>
      <c r="EKF8" s="2"/>
      <c r="EKG8" s="2"/>
      <c r="EKH8" s="2"/>
      <c r="EKI8" s="2"/>
      <c r="EKJ8" s="2"/>
      <c r="EKK8" s="2"/>
      <c r="EKL8" s="2"/>
      <c r="EKM8" s="2"/>
      <c r="EKN8" s="2"/>
      <c r="EKO8" s="2"/>
      <c r="EKP8" s="2"/>
      <c r="EKQ8" s="2"/>
      <c r="EKR8" s="2"/>
      <c r="EKS8" s="2"/>
      <c r="EKT8" s="2"/>
      <c r="EKU8" s="2"/>
      <c r="EKV8" s="2"/>
      <c r="EKW8" s="2"/>
      <c r="EKX8" s="2"/>
      <c r="EKY8" s="2"/>
      <c r="EKZ8" s="2"/>
      <c r="ELA8" s="2"/>
      <c r="ELB8" s="2"/>
      <c r="ELC8" s="2"/>
      <c r="ELD8" s="2"/>
      <c r="ELE8" s="2"/>
      <c r="ELF8" s="2"/>
      <c r="ELG8" s="2"/>
      <c r="ELH8" s="2"/>
      <c r="ELI8" s="2"/>
      <c r="ELJ8" s="2"/>
      <c r="ELK8" s="2"/>
      <c r="ELL8" s="2"/>
      <c r="ELM8" s="2"/>
      <c r="ELN8" s="2"/>
      <c r="ELO8" s="2"/>
      <c r="ELP8" s="2"/>
      <c r="ELQ8" s="2"/>
      <c r="ELR8" s="2"/>
      <c r="ELS8" s="2"/>
      <c r="ELT8" s="2"/>
      <c r="ELU8" s="2"/>
      <c r="ELV8" s="2"/>
      <c r="ELW8" s="2"/>
      <c r="ELX8" s="2"/>
      <c r="ELY8" s="2"/>
      <c r="ELZ8" s="2"/>
      <c r="EMA8" s="2"/>
      <c r="EMB8" s="2"/>
      <c r="EMC8" s="2"/>
      <c r="EMD8" s="2"/>
      <c r="EME8" s="2"/>
      <c r="EMF8" s="2"/>
      <c r="EMG8" s="2"/>
      <c r="EMH8" s="2"/>
      <c r="EMI8" s="2"/>
      <c r="EMJ8" s="2"/>
      <c r="EMK8" s="2"/>
      <c r="EML8" s="2"/>
      <c r="EMM8" s="2"/>
      <c r="EMN8" s="2"/>
      <c r="EMO8" s="2"/>
      <c r="EMP8" s="2"/>
      <c r="EMQ8" s="2"/>
      <c r="EMR8" s="2"/>
      <c r="EMS8" s="2"/>
      <c r="EMT8" s="2"/>
      <c r="EMU8" s="2"/>
      <c r="EMV8" s="2"/>
      <c r="EMW8" s="2"/>
      <c r="EMX8" s="2"/>
      <c r="EMY8" s="2"/>
      <c r="EMZ8" s="2"/>
      <c r="ENA8" s="2"/>
      <c r="ENB8" s="2"/>
      <c r="ENC8" s="2"/>
      <c r="END8" s="2"/>
      <c r="ENE8" s="2"/>
      <c r="ENF8" s="2"/>
      <c r="ENG8" s="2"/>
      <c r="ENH8" s="2"/>
      <c r="ENI8" s="2"/>
      <c r="ENJ8" s="2"/>
      <c r="ENK8" s="2"/>
      <c r="ENL8" s="2"/>
      <c r="ENM8" s="2"/>
      <c r="ENN8" s="2"/>
      <c r="ENO8" s="2"/>
      <c r="ENP8" s="2"/>
      <c r="ENQ8" s="2"/>
      <c r="ENR8" s="2"/>
      <c r="ENS8" s="2"/>
      <c r="ENT8" s="2"/>
      <c r="ENU8" s="2"/>
      <c r="ENV8" s="2"/>
      <c r="ENW8" s="2"/>
      <c r="ENX8" s="2"/>
      <c r="ENY8" s="2"/>
      <c r="ENZ8" s="2"/>
      <c r="EOA8" s="2"/>
      <c r="EOB8" s="2"/>
      <c r="EOC8" s="2"/>
      <c r="EOD8" s="2"/>
      <c r="EOE8" s="2"/>
      <c r="EOF8" s="2"/>
      <c r="EOG8" s="2"/>
      <c r="EOH8" s="2"/>
      <c r="EOI8" s="2"/>
      <c r="EOJ8" s="2"/>
      <c r="EOK8" s="2"/>
      <c r="EOL8" s="2"/>
      <c r="EOM8" s="2"/>
      <c r="EON8" s="2"/>
      <c r="EOO8" s="2"/>
      <c r="EOP8" s="2"/>
      <c r="EOQ8" s="2"/>
      <c r="EOR8" s="2"/>
      <c r="EOS8" s="2"/>
      <c r="EOT8" s="2"/>
      <c r="EOU8" s="2"/>
      <c r="EOV8" s="2"/>
      <c r="EOW8" s="2"/>
      <c r="EOX8" s="2"/>
      <c r="EOY8" s="2"/>
      <c r="EOZ8" s="2"/>
      <c r="EPA8" s="2"/>
      <c r="EPB8" s="2"/>
      <c r="EPC8" s="2"/>
      <c r="EPD8" s="2"/>
      <c r="EPE8" s="2"/>
      <c r="EPF8" s="2"/>
      <c r="EPG8" s="2"/>
      <c r="EPH8" s="2"/>
      <c r="EPI8" s="2"/>
      <c r="EPJ8" s="2"/>
      <c r="EPK8" s="2"/>
      <c r="EPL8" s="2"/>
      <c r="EPM8" s="2"/>
      <c r="EPN8" s="2"/>
      <c r="EPO8" s="2"/>
      <c r="EPP8" s="2"/>
      <c r="EPQ8" s="2"/>
      <c r="EPR8" s="2"/>
      <c r="EPS8" s="2"/>
      <c r="EPT8" s="2"/>
      <c r="EPU8" s="2"/>
      <c r="EPV8" s="2"/>
      <c r="EPW8" s="2"/>
      <c r="EPX8" s="2"/>
      <c r="EPY8" s="2"/>
      <c r="EPZ8" s="2"/>
      <c r="EQA8" s="2"/>
      <c r="EQB8" s="2"/>
      <c r="EQC8" s="2"/>
      <c r="EQD8" s="2"/>
      <c r="EQE8" s="2"/>
      <c r="EQF8" s="2"/>
      <c r="EQG8" s="2"/>
      <c r="EQH8" s="2"/>
      <c r="EQI8" s="2"/>
      <c r="EQJ8" s="2"/>
      <c r="EQK8" s="2"/>
      <c r="EQL8" s="2"/>
      <c r="EQM8" s="2"/>
      <c r="EQN8" s="2"/>
      <c r="EQO8" s="2"/>
      <c r="EQP8" s="2"/>
      <c r="EQQ8" s="2"/>
      <c r="EQR8" s="2"/>
      <c r="EQS8" s="2"/>
      <c r="EQT8" s="2"/>
      <c r="EQU8" s="2"/>
      <c r="EQV8" s="2"/>
      <c r="EQW8" s="2"/>
      <c r="EQX8" s="2"/>
      <c r="EQY8" s="2"/>
      <c r="EQZ8" s="2"/>
      <c r="ERA8" s="2"/>
      <c r="ERB8" s="2"/>
      <c r="ERC8" s="2"/>
      <c r="ERD8" s="2"/>
      <c r="ERE8" s="2"/>
      <c r="ERF8" s="2"/>
      <c r="ERG8" s="2"/>
      <c r="ERH8" s="2"/>
      <c r="ERI8" s="2"/>
      <c r="ERJ8" s="2"/>
      <c r="ERK8" s="2"/>
      <c r="ERL8" s="2"/>
      <c r="ERM8" s="2"/>
      <c r="ERN8" s="2"/>
      <c r="ERO8" s="2"/>
      <c r="ERP8" s="2"/>
      <c r="ERQ8" s="2"/>
      <c r="ERR8" s="2"/>
      <c r="ERS8" s="2"/>
      <c r="ERT8" s="2"/>
      <c r="ERU8" s="2"/>
      <c r="ERV8" s="2"/>
      <c r="ERW8" s="2"/>
      <c r="ERX8" s="2"/>
      <c r="ERY8" s="2"/>
      <c r="ERZ8" s="2"/>
      <c r="ESA8" s="2"/>
      <c r="ESB8" s="2"/>
      <c r="ESC8" s="2"/>
      <c r="ESD8" s="2"/>
      <c r="ESE8" s="2"/>
      <c r="ESF8" s="2"/>
      <c r="ESG8" s="2"/>
      <c r="ESH8" s="2"/>
      <c r="ESI8" s="2"/>
      <c r="ESJ8" s="2"/>
      <c r="ESK8" s="2"/>
      <c r="ESL8" s="2"/>
      <c r="ESM8" s="2"/>
      <c r="ESN8" s="2"/>
      <c r="ESO8" s="2"/>
      <c r="ESP8" s="2"/>
      <c r="ESQ8" s="2"/>
      <c r="ESR8" s="2"/>
      <c r="ESS8" s="2"/>
      <c r="EST8" s="2"/>
      <c r="ESU8" s="2"/>
      <c r="ESV8" s="2"/>
      <c r="ESW8" s="2"/>
      <c r="ESX8" s="2"/>
      <c r="ESY8" s="2"/>
      <c r="ESZ8" s="2"/>
      <c r="ETA8" s="2"/>
      <c r="ETB8" s="2"/>
      <c r="ETC8" s="2"/>
      <c r="ETD8" s="2"/>
      <c r="ETE8" s="2"/>
      <c r="ETF8" s="2"/>
      <c r="ETG8" s="2"/>
      <c r="ETH8" s="2"/>
      <c r="ETI8" s="2"/>
      <c r="ETJ8" s="2"/>
      <c r="ETK8" s="2"/>
      <c r="ETL8" s="2"/>
      <c r="ETM8" s="2"/>
      <c r="ETN8" s="2"/>
      <c r="ETO8" s="2"/>
      <c r="ETP8" s="2"/>
      <c r="ETQ8" s="2"/>
      <c r="ETR8" s="2"/>
      <c r="ETS8" s="2"/>
      <c r="ETT8" s="2"/>
      <c r="ETU8" s="2"/>
      <c r="ETV8" s="2"/>
      <c r="ETW8" s="2"/>
      <c r="ETX8" s="2"/>
      <c r="ETY8" s="2"/>
      <c r="ETZ8" s="2"/>
      <c r="EUA8" s="2"/>
      <c r="EUB8" s="2"/>
      <c r="EUC8" s="2"/>
      <c r="EUD8" s="2"/>
      <c r="EUE8" s="2"/>
      <c r="EUF8" s="2"/>
      <c r="EUG8" s="2"/>
      <c r="EUH8" s="2"/>
      <c r="EUI8" s="2"/>
      <c r="EUJ8" s="2"/>
      <c r="EUK8" s="2"/>
      <c r="EUL8" s="2"/>
      <c r="EUM8" s="2"/>
      <c r="EUN8" s="2"/>
      <c r="EUO8" s="2"/>
      <c r="EUP8" s="2"/>
      <c r="EUQ8" s="2"/>
      <c r="EUR8" s="2"/>
      <c r="EUS8" s="2"/>
      <c r="EUT8" s="2"/>
      <c r="EUU8" s="2"/>
      <c r="EUV8" s="2"/>
      <c r="EUW8" s="2"/>
      <c r="EUX8" s="2"/>
      <c r="EUY8" s="2"/>
      <c r="EUZ8" s="2"/>
      <c r="EVA8" s="2"/>
      <c r="EVB8" s="2"/>
      <c r="EVC8" s="2"/>
      <c r="EVD8" s="2"/>
      <c r="EVE8" s="2"/>
      <c r="EVF8" s="2"/>
      <c r="EVG8" s="2"/>
      <c r="EVH8" s="2"/>
      <c r="EVI8" s="2"/>
      <c r="EVJ8" s="2"/>
      <c r="EVK8" s="2"/>
      <c r="EVL8" s="2"/>
      <c r="EVM8" s="2"/>
      <c r="EVN8" s="2"/>
      <c r="EVO8" s="2"/>
      <c r="EVP8" s="2"/>
      <c r="EVQ8" s="2"/>
      <c r="EVR8" s="2"/>
      <c r="EVS8" s="2"/>
      <c r="EVT8" s="2"/>
      <c r="EVU8" s="2"/>
      <c r="EVV8" s="2"/>
      <c r="EVW8" s="2"/>
      <c r="EVX8" s="2"/>
      <c r="EVY8" s="2"/>
      <c r="EVZ8" s="2"/>
      <c r="EWA8" s="2"/>
      <c r="EWB8" s="2"/>
      <c r="EWC8" s="2"/>
      <c r="EWD8" s="2"/>
      <c r="EWE8" s="2"/>
      <c r="EWF8" s="2"/>
      <c r="EWG8" s="2"/>
      <c r="EWH8" s="2"/>
      <c r="EWI8" s="2"/>
      <c r="EWJ8" s="2"/>
      <c r="EWK8" s="2"/>
      <c r="EWL8" s="2"/>
      <c r="EWM8" s="2"/>
      <c r="EWN8" s="2"/>
      <c r="EWO8" s="2"/>
      <c r="EWP8" s="2"/>
      <c r="EWQ8" s="2"/>
      <c r="EWR8" s="2"/>
      <c r="EWS8" s="2"/>
      <c r="EWT8" s="2"/>
      <c r="EWU8" s="2"/>
      <c r="EWV8" s="2"/>
      <c r="EWW8" s="2"/>
      <c r="EWX8" s="2"/>
      <c r="EWY8" s="2"/>
      <c r="EWZ8" s="2"/>
      <c r="EXA8" s="2"/>
      <c r="EXB8" s="2"/>
      <c r="EXC8" s="2"/>
      <c r="EXD8" s="2"/>
      <c r="EXE8" s="2"/>
      <c r="EXF8" s="2"/>
      <c r="EXG8" s="2"/>
      <c r="EXH8" s="2"/>
      <c r="EXI8" s="2"/>
      <c r="EXJ8" s="2"/>
      <c r="EXK8" s="2"/>
      <c r="EXL8" s="2"/>
      <c r="EXM8" s="2"/>
      <c r="EXN8" s="2"/>
      <c r="EXO8" s="2"/>
      <c r="EXP8" s="2"/>
      <c r="EXQ8" s="2"/>
      <c r="EXR8" s="2"/>
      <c r="EXS8" s="2"/>
      <c r="EXT8" s="2"/>
      <c r="EXU8" s="2"/>
      <c r="EXV8" s="2"/>
      <c r="EXW8" s="2"/>
      <c r="EXX8" s="2"/>
      <c r="EXY8" s="2"/>
      <c r="EXZ8" s="2"/>
      <c r="EYA8" s="2"/>
      <c r="EYB8" s="2"/>
      <c r="EYC8" s="2"/>
      <c r="EYD8" s="2"/>
      <c r="EYE8" s="2"/>
      <c r="EYF8" s="2"/>
      <c r="EYG8" s="2"/>
      <c r="EYH8" s="2"/>
      <c r="EYI8" s="2"/>
      <c r="EYJ8" s="2"/>
      <c r="EYK8" s="2"/>
      <c r="EYL8" s="2"/>
      <c r="EYM8" s="2"/>
      <c r="EYN8" s="2"/>
      <c r="EYO8" s="2"/>
      <c r="EYP8" s="2"/>
      <c r="EYQ8" s="2"/>
      <c r="EYR8" s="2"/>
      <c r="EYS8" s="2"/>
      <c r="EYT8" s="2"/>
      <c r="EYU8" s="2"/>
      <c r="EYV8" s="2"/>
      <c r="EYW8" s="2"/>
      <c r="EYX8" s="2"/>
      <c r="EYY8" s="2"/>
      <c r="EYZ8" s="2"/>
      <c r="EZA8" s="2"/>
      <c r="EZB8" s="2"/>
      <c r="EZC8" s="2"/>
      <c r="EZD8" s="2"/>
      <c r="EZE8" s="2"/>
      <c r="EZF8" s="2"/>
      <c r="EZG8" s="2"/>
      <c r="EZH8" s="2"/>
      <c r="EZI8" s="2"/>
      <c r="EZJ8" s="2"/>
      <c r="EZK8" s="2"/>
      <c r="EZL8" s="2"/>
      <c r="EZM8" s="2"/>
      <c r="EZN8" s="2"/>
      <c r="EZO8" s="2"/>
      <c r="EZP8" s="2"/>
      <c r="EZQ8" s="2"/>
      <c r="EZR8" s="2"/>
      <c r="EZS8" s="2"/>
      <c r="EZT8" s="2"/>
      <c r="EZU8" s="2"/>
      <c r="EZV8" s="2"/>
      <c r="EZW8" s="2"/>
      <c r="EZX8" s="2"/>
      <c r="EZY8" s="2"/>
      <c r="EZZ8" s="2"/>
      <c r="FAA8" s="2"/>
      <c r="FAB8" s="2"/>
      <c r="FAC8" s="2"/>
      <c r="FAD8" s="2"/>
      <c r="FAE8" s="2"/>
      <c r="FAF8" s="2"/>
      <c r="FAG8" s="2"/>
      <c r="FAH8" s="2"/>
      <c r="FAI8" s="2"/>
      <c r="FAJ8" s="2"/>
      <c r="FAK8" s="2"/>
      <c r="FAL8" s="2"/>
      <c r="FAM8" s="2"/>
      <c r="FAN8" s="2"/>
      <c r="FAO8" s="2"/>
      <c r="FAP8" s="2"/>
      <c r="FAQ8" s="2"/>
      <c r="FAR8" s="2"/>
      <c r="FAS8" s="2"/>
      <c r="FAT8" s="2"/>
      <c r="FAU8" s="2"/>
      <c r="FAV8" s="2"/>
      <c r="FAW8" s="2"/>
      <c r="FAX8" s="2"/>
      <c r="FAY8" s="2"/>
      <c r="FAZ8" s="2"/>
      <c r="FBA8" s="2"/>
      <c r="FBB8" s="2"/>
      <c r="FBC8" s="2"/>
      <c r="FBD8" s="2"/>
      <c r="FBE8" s="2"/>
      <c r="FBF8" s="2"/>
      <c r="FBG8" s="2"/>
      <c r="FBH8" s="2"/>
      <c r="FBI8" s="2"/>
      <c r="FBJ8" s="2"/>
      <c r="FBK8" s="2"/>
      <c r="FBL8" s="2"/>
      <c r="FBM8" s="2"/>
      <c r="FBN8" s="2"/>
      <c r="FBO8" s="2"/>
      <c r="FBP8" s="2"/>
      <c r="FBQ8" s="2"/>
      <c r="FBR8" s="2"/>
      <c r="FBS8" s="2"/>
      <c r="FBT8" s="2"/>
      <c r="FBU8" s="2"/>
      <c r="FBV8" s="2"/>
      <c r="FBW8" s="2"/>
      <c r="FBX8" s="2"/>
      <c r="FBY8" s="2"/>
      <c r="FBZ8" s="2"/>
      <c r="FCA8" s="2"/>
      <c r="FCB8" s="2"/>
      <c r="FCC8" s="2"/>
      <c r="FCD8" s="2"/>
      <c r="FCE8" s="2"/>
      <c r="FCF8" s="2"/>
      <c r="FCG8" s="2"/>
      <c r="FCH8" s="2"/>
      <c r="FCI8" s="2"/>
      <c r="FCJ8" s="2"/>
      <c r="FCK8" s="2"/>
      <c r="FCL8" s="2"/>
      <c r="FCM8" s="2"/>
      <c r="FCN8" s="2"/>
      <c r="FCO8" s="2"/>
      <c r="FCP8" s="2"/>
      <c r="FCQ8" s="2"/>
      <c r="FCR8" s="2"/>
      <c r="FCS8" s="2"/>
      <c r="FCT8" s="2"/>
      <c r="FCU8" s="2"/>
      <c r="FCV8" s="2"/>
      <c r="FCW8" s="2"/>
      <c r="FCX8" s="2"/>
      <c r="FCY8" s="2"/>
      <c r="FCZ8" s="2"/>
      <c r="FDA8" s="2"/>
      <c r="FDB8" s="2"/>
      <c r="FDC8" s="2"/>
      <c r="FDD8" s="2"/>
      <c r="FDE8" s="2"/>
      <c r="FDF8" s="2"/>
      <c r="FDG8" s="2"/>
      <c r="FDH8" s="2"/>
      <c r="FDI8" s="2"/>
      <c r="FDJ8" s="2"/>
      <c r="FDK8" s="2"/>
      <c r="FDL8" s="2"/>
      <c r="FDM8" s="2"/>
      <c r="FDN8" s="2"/>
      <c r="FDO8" s="2"/>
      <c r="FDP8" s="2"/>
      <c r="FDQ8" s="2"/>
      <c r="FDR8" s="2"/>
      <c r="FDS8" s="2"/>
      <c r="FDT8" s="2"/>
      <c r="FDU8" s="2"/>
      <c r="FDV8" s="2"/>
      <c r="FDW8" s="2"/>
      <c r="FDX8" s="2"/>
      <c r="FDY8" s="2"/>
      <c r="FDZ8" s="2"/>
      <c r="FEA8" s="2"/>
      <c r="FEB8" s="2"/>
      <c r="FEC8" s="2"/>
      <c r="FED8" s="2"/>
      <c r="FEE8" s="2"/>
      <c r="FEF8" s="2"/>
      <c r="FEG8" s="2"/>
      <c r="FEH8" s="2"/>
      <c r="FEI8" s="2"/>
      <c r="FEJ8" s="2"/>
      <c r="FEK8" s="2"/>
      <c r="FEL8" s="2"/>
      <c r="FEM8" s="2"/>
      <c r="FEN8" s="2"/>
      <c r="FEO8" s="2"/>
      <c r="FEP8" s="2"/>
      <c r="FEQ8" s="2"/>
      <c r="FER8" s="2"/>
      <c r="FES8" s="2"/>
      <c r="FET8" s="2"/>
      <c r="FEU8" s="2"/>
      <c r="FEV8" s="2"/>
      <c r="FEW8" s="2"/>
      <c r="FEX8" s="2"/>
      <c r="FEY8" s="2"/>
      <c r="FEZ8" s="2"/>
      <c r="FFA8" s="2"/>
      <c r="FFB8" s="2"/>
      <c r="FFC8" s="2"/>
      <c r="FFD8" s="2"/>
      <c r="FFE8" s="2"/>
      <c r="FFF8" s="2"/>
      <c r="FFG8" s="2"/>
      <c r="FFH8" s="2"/>
      <c r="FFI8" s="2"/>
      <c r="FFJ8" s="2"/>
      <c r="FFK8" s="2"/>
      <c r="FFL8" s="2"/>
      <c r="FFM8" s="2"/>
      <c r="FFN8" s="2"/>
      <c r="FFO8" s="2"/>
      <c r="FFP8" s="2"/>
      <c r="FFQ8" s="2"/>
      <c r="FFR8" s="2"/>
      <c r="FFS8" s="2"/>
      <c r="FFT8" s="2"/>
      <c r="FFU8" s="2"/>
      <c r="FFV8" s="2"/>
      <c r="FFW8" s="2"/>
      <c r="FFX8" s="2"/>
      <c r="FFY8" s="2"/>
      <c r="FFZ8" s="2"/>
      <c r="FGA8" s="2"/>
      <c r="FGB8" s="2"/>
      <c r="FGC8" s="2"/>
      <c r="FGD8" s="2"/>
      <c r="FGE8" s="2"/>
      <c r="FGF8" s="2"/>
      <c r="FGG8" s="2"/>
      <c r="FGH8" s="2"/>
      <c r="FGI8" s="2"/>
      <c r="FGJ8" s="2"/>
      <c r="FGK8" s="2"/>
      <c r="FGL8" s="2"/>
      <c r="FGM8" s="2"/>
      <c r="FGN8" s="2"/>
      <c r="FGO8" s="2"/>
      <c r="FGP8" s="2"/>
      <c r="FGQ8" s="2"/>
      <c r="FGR8" s="2"/>
      <c r="FGS8" s="2"/>
      <c r="FGT8" s="2"/>
      <c r="FGU8" s="2"/>
      <c r="FGV8" s="2"/>
      <c r="FGW8" s="2"/>
      <c r="FGX8" s="2"/>
      <c r="FGY8" s="2"/>
      <c r="FGZ8" s="2"/>
      <c r="FHA8" s="2"/>
      <c r="FHB8" s="2"/>
      <c r="FHC8" s="2"/>
      <c r="FHD8" s="2"/>
      <c r="FHE8" s="2"/>
      <c r="FHF8" s="2"/>
      <c r="FHG8" s="2"/>
      <c r="FHH8" s="2"/>
      <c r="FHI8" s="2"/>
      <c r="FHJ8" s="2"/>
      <c r="FHK8" s="2"/>
      <c r="FHL8" s="2"/>
      <c r="FHM8" s="2"/>
      <c r="FHN8" s="2"/>
      <c r="FHO8" s="2"/>
      <c r="FHP8" s="2"/>
      <c r="FHQ8" s="2"/>
      <c r="FHR8" s="2"/>
      <c r="FHS8" s="2"/>
      <c r="FHT8" s="2"/>
      <c r="FHU8" s="2"/>
      <c r="FHV8" s="2"/>
      <c r="FHW8" s="2"/>
      <c r="FHX8" s="2"/>
      <c r="FHY8" s="2"/>
      <c r="FHZ8" s="2"/>
      <c r="FIA8" s="2"/>
      <c r="FIB8" s="2"/>
      <c r="FIC8" s="2"/>
      <c r="FID8" s="2"/>
      <c r="FIE8" s="2"/>
      <c r="FIF8" s="2"/>
      <c r="FIG8" s="2"/>
      <c r="FIH8" s="2"/>
      <c r="FII8" s="2"/>
      <c r="FIJ8" s="2"/>
      <c r="FIK8" s="2"/>
      <c r="FIL8" s="2"/>
      <c r="FIM8" s="2"/>
      <c r="FIN8" s="2"/>
      <c r="FIO8" s="2"/>
      <c r="FIP8" s="2"/>
      <c r="FIQ8" s="2"/>
      <c r="FIR8" s="2"/>
      <c r="FIS8" s="2"/>
      <c r="FIT8" s="2"/>
      <c r="FIU8" s="2"/>
      <c r="FIV8" s="2"/>
      <c r="FIW8" s="2"/>
      <c r="FIX8" s="2"/>
      <c r="FIY8" s="2"/>
      <c r="FIZ8" s="2"/>
      <c r="FJA8" s="2"/>
      <c r="FJB8" s="2"/>
      <c r="FJC8" s="2"/>
      <c r="FJD8" s="2"/>
      <c r="FJE8" s="2"/>
      <c r="FJF8" s="2"/>
      <c r="FJG8" s="2"/>
      <c r="FJH8" s="2"/>
      <c r="FJI8" s="2"/>
      <c r="FJJ8" s="2"/>
      <c r="FJK8" s="2"/>
      <c r="FJL8" s="2"/>
      <c r="FJM8" s="2"/>
      <c r="FJN8" s="2"/>
      <c r="FJO8" s="2"/>
      <c r="FJP8" s="2"/>
      <c r="FJQ8" s="2"/>
      <c r="FJR8" s="2"/>
      <c r="FJS8" s="2"/>
      <c r="FJT8" s="2"/>
      <c r="FJU8" s="2"/>
      <c r="FJV8" s="2"/>
      <c r="FJW8" s="2"/>
      <c r="FJX8" s="2"/>
      <c r="FJY8" s="2"/>
      <c r="FJZ8" s="2"/>
      <c r="FKA8" s="2"/>
      <c r="FKB8" s="2"/>
      <c r="FKC8" s="2"/>
      <c r="FKD8" s="2"/>
      <c r="FKE8" s="2"/>
      <c r="FKF8" s="2"/>
      <c r="FKG8" s="2"/>
      <c r="FKH8" s="2"/>
      <c r="FKI8" s="2"/>
      <c r="FKJ8" s="2"/>
      <c r="FKK8" s="2"/>
      <c r="FKL8" s="2"/>
      <c r="FKM8" s="2"/>
      <c r="FKN8" s="2"/>
      <c r="FKO8" s="2"/>
      <c r="FKP8" s="2"/>
      <c r="FKQ8" s="2"/>
      <c r="FKR8" s="2"/>
      <c r="FKS8" s="2"/>
      <c r="FKT8" s="2"/>
      <c r="FKU8" s="2"/>
      <c r="FKV8" s="2"/>
      <c r="FKW8" s="2"/>
      <c r="FKX8" s="2"/>
      <c r="FKY8" s="2"/>
      <c r="FKZ8" s="2"/>
      <c r="FLA8" s="2"/>
      <c r="FLB8" s="2"/>
      <c r="FLC8" s="2"/>
      <c r="FLD8" s="2"/>
      <c r="FLE8" s="2"/>
      <c r="FLF8" s="2"/>
      <c r="FLG8" s="2"/>
      <c r="FLH8" s="2"/>
      <c r="FLI8" s="2"/>
      <c r="FLJ8" s="2"/>
      <c r="FLK8" s="2"/>
      <c r="FLL8" s="2"/>
      <c r="FLM8" s="2"/>
      <c r="FLN8" s="2"/>
      <c r="FLO8" s="2"/>
      <c r="FLP8" s="2"/>
      <c r="FLQ8" s="2"/>
      <c r="FLR8" s="2"/>
      <c r="FLS8" s="2"/>
      <c r="FLT8" s="2"/>
      <c r="FLU8" s="2"/>
      <c r="FLV8" s="2"/>
      <c r="FLW8" s="2"/>
      <c r="FLX8" s="2"/>
      <c r="FLY8" s="2"/>
      <c r="FLZ8" s="2"/>
      <c r="FMA8" s="2"/>
      <c r="FMB8" s="2"/>
      <c r="FMC8" s="2"/>
      <c r="FMD8" s="2"/>
      <c r="FME8" s="2"/>
      <c r="FMF8" s="2"/>
      <c r="FMG8" s="2"/>
      <c r="FMH8" s="2"/>
      <c r="FMI8" s="2"/>
      <c r="FMJ8" s="2"/>
      <c r="FMK8" s="2"/>
      <c r="FML8" s="2"/>
      <c r="FMM8" s="2"/>
      <c r="FMN8" s="2"/>
      <c r="FMO8" s="2"/>
      <c r="FMP8" s="2"/>
      <c r="FMQ8" s="2"/>
      <c r="FMR8" s="2"/>
      <c r="FMS8" s="2"/>
      <c r="FMT8" s="2"/>
      <c r="FMU8" s="2"/>
      <c r="FMV8" s="2"/>
      <c r="FMW8" s="2"/>
      <c r="FMX8" s="2"/>
      <c r="FMY8" s="2"/>
      <c r="FMZ8" s="2"/>
      <c r="FNA8" s="2"/>
      <c r="FNB8" s="2"/>
      <c r="FNC8" s="2"/>
      <c r="FND8" s="2"/>
      <c r="FNE8" s="2"/>
      <c r="FNF8" s="2"/>
      <c r="FNG8" s="2"/>
      <c r="FNH8" s="2"/>
      <c r="FNI8" s="2"/>
      <c r="FNJ8" s="2"/>
      <c r="FNK8" s="2"/>
      <c r="FNL8" s="2"/>
      <c r="FNM8" s="2"/>
      <c r="FNN8" s="2"/>
      <c r="FNO8" s="2"/>
      <c r="FNP8" s="2"/>
      <c r="FNQ8" s="2"/>
      <c r="FNR8" s="2"/>
      <c r="FNS8" s="2"/>
      <c r="FNT8" s="2"/>
      <c r="FNU8" s="2"/>
      <c r="FNV8" s="2"/>
      <c r="FNW8" s="2"/>
      <c r="FNX8" s="2"/>
      <c r="FNY8" s="2"/>
      <c r="FNZ8" s="2"/>
      <c r="FOA8" s="2"/>
      <c r="FOB8" s="2"/>
      <c r="FOC8" s="2"/>
      <c r="FOD8" s="2"/>
      <c r="FOE8" s="2"/>
      <c r="FOF8" s="2"/>
      <c r="FOG8" s="2"/>
      <c r="FOH8" s="2"/>
      <c r="FOI8" s="2"/>
      <c r="FOJ8" s="2"/>
      <c r="FOK8" s="2"/>
      <c r="FOL8" s="2"/>
      <c r="FOM8" s="2"/>
      <c r="FON8" s="2"/>
      <c r="FOO8" s="2"/>
      <c r="FOP8" s="2"/>
      <c r="FOQ8" s="2"/>
      <c r="FOR8" s="2"/>
      <c r="FOS8" s="2"/>
      <c r="FOT8" s="2"/>
      <c r="FOU8" s="2"/>
      <c r="FOV8" s="2"/>
      <c r="FOW8" s="2"/>
      <c r="FOX8" s="2"/>
      <c r="FOY8" s="2"/>
      <c r="FOZ8" s="2"/>
      <c r="FPA8" s="2"/>
      <c r="FPB8" s="2"/>
      <c r="FPC8" s="2"/>
      <c r="FPD8" s="2"/>
      <c r="FPE8" s="2"/>
      <c r="FPF8" s="2"/>
      <c r="FPG8" s="2"/>
      <c r="FPH8" s="2"/>
      <c r="FPI8" s="2"/>
      <c r="FPJ8" s="2"/>
      <c r="FPK8" s="2"/>
      <c r="FPL8" s="2"/>
      <c r="FPM8" s="2"/>
      <c r="FPN8" s="2"/>
      <c r="FPO8" s="2"/>
      <c r="FPP8" s="2"/>
      <c r="FPQ8" s="2"/>
      <c r="FPR8" s="2"/>
      <c r="FPS8" s="2"/>
      <c r="FPT8" s="2"/>
      <c r="FPU8" s="2"/>
      <c r="FPV8" s="2"/>
      <c r="FPW8" s="2"/>
      <c r="FPX8" s="2"/>
      <c r="FPY8" s="2"/>
      <c r="FPZ8" s="2"/>
      <c r="FQA8" s="2"/>
      <c r="FQB8" s="2"/>
      <c r="FQC8" s="2"/>
      <c r="FQD8" s="2"/>
      <c r="FQE8" s="2"/>
      <c r="FQF8" s="2"/>
      <c r="FQG8" s="2"/>
      <c r="FQH8" s="2"/>
      <c r="FQI8" s="2"/>
      <c r="FQJ8" s="2"/>
      <c r="FQK8" s="2"/>
      <c r="FQL8" s="2"/>
      <c r="FQM8" s="2"/>
      <c r="FQN8" s="2"/>
      <c r="FQO8" s="2"/>
      <c r="FQP8" s="2"/>
      <c r="FQQ8" s="2"/>
      <c r="FQR8" s="2"/>
      <c r="FQS8" s="2"/>
      <c r="FQT8" s="2"/>
      <c r="FQU8" s="2"/>
      <c r="FQV8" s="2"/>
      <c r="FQW8" s="2"/>
      <c r="FQX8" s="2"/>
      <c r="FQY8" s="2"/>
      <c r="FQZ8" s="2"/>
      <c r="FRA8" s="2"/>
      <c r="FRB8" s="2"/>
      <c r="FRC8" s="2"/>
      <c r="FRD8" s="2"/>
      <c r="FRE8" s="2"/>
      <c r="FRF8" s="2"/>
      <c r="FRG8" s="2"/>
      <c r="FRH8" s="2"/>
      <c r="FRI8" s="2"/>
      <c r="FRJ8" s="2"/>
      <c r="FRK8" s="2"/>
      <c r="FRL8" s="2"/>
      <c r="FRM8" s="2"/>
      <c r="FRN8" s="2"/>
      <c r="FRO8" s="2"/>
      <c r="FRP8" s="2"/>
      <c r="FRQ8" s="2"/>
      <c r="FRR8" s="2"/>
      <c r="FRS8" s="2"/>
      <c r="FRT8" s="2"/>
      <c r="FRU8" s="2"/>
      <c r="FRV8" s="2"/>
      <c r="FRW8" s="2"/>
      <c r="FRX8" s="2"/>
      <c r="FRY8" s="2"/>
      <c r="FRZ8" s="2"/>
      <c r="FSA8" s="2"/>
      <c r="FSB8" s="2"/>
      <c r="FSC8" s="2"/>
      <c r="FSD8" s="2"/>
      <c r="FSE8" s="2"/>
      <c r="FSF8" s="2"/>
      <c r="FSG8" s="2"/>
      <c r="FSH8" s="2"/>
      <c r="FSI8" s="2"/>
      <c r="FSJ8" s="2"/>
      <c r="FSK8" s="2"/>
      <c r="FSL8" s="2"/>
      <c r="FSM8" s="2"/>
      <c r="FSN8" s="2"/>
      <c r="FSO8" s="2"/>
      <c r="FSP8" s="2"/>
      <c r="FSQ8" s="2"/>
      <c r="FSR8" s="2"/>
      <c r="FSS8" s="2"/>
      <c r="FST8" s="2"/>
      <c r="FSU8" s="2"/>
      <c r="FSV8" s="2"/>
      <c r="FSW8" s="2"/>
      <c r="FSX8" s="2"/>
      <c r="FSY8" s="2"/>
      <c r="FSZ8" s="2"/>
      <c r="FTA8" s="2"/>
      <c r="FTB8" s="2"/>
      <c r="FTC8" s="2"/>
      <c r="FTD8" s="2"/>
      <c r="FTE8" s="2"/>
      <c r="FTF8" s="2"/>
      <c r="FTG8" s="2"/>
      <c r="FTH8" s="2"/>
      <c r="FTI8" s="2"/>
      <c r="FTJ8" s="2"/>
      <c r="FTK8" s="2"/>
      <c r="FTL8" s="2"/>
      <c r="FTM8" s="2"/>
      <c r="FTN8" s="2"/>
      <c r="FTO8" s="2"/>
      <c r="FTP8" s="2"/>
      <c r="FTQ8" s="2"/>
      <c r="FTR8" s="2"/>
      <c r="FTS8" s="2"/>
      <c r="FTT8" s="2"/>
      <c r="FTU8" s="2"/>
      <c r="FTV8" s="2"/>
      <c r="FTW8" s="2"/>
      <c r="FTX8" s="2"/>
      <c r="FTY8" s="2"/>
      <c r="FTZ8" s="2"/>
      <c r="FUA8" s="2"/>
      <c r="FUB8" s="2"/>
      <c r="FUC8" s="2"/>
      <c r="FUD8" s="2"/>
      <c r="FUE8" s="2"/>
      <c r="FUF8" s="2"/>
      <c r="FUG8" s="2"/>
      <c r="FUH8" s="2"/>
      <c r="FUI8" s="2"/>
      <c r="FUJ8" s="2"/>
      <c r="FUK8" s="2"/>
      <c r="FUL8" s="2"/>
      <c r="FUM8" s="2"/>
      <c r="FUN8" s="2"/>
      <c r="FUO8" s="2"/>
      <c r="FUP8" s="2"/>
      <c r="FUQ8" s="2"/>
      <c r="FUR8" s="2"/>
      <c r="FUS8" s="2"/>
      <c r="FUT8" s="2"/>
      <c r="FUU8" s="2"/>
      <c r="FUV8" s="2"/>
      <c r="FUW8" s="2"/>
      <c r="FUX8" s="2"/>
      <c r="FUY8" s="2"/>
      <c r="FUZ8" s="2"/>
      <c r="FVA8" s="2"/>
      <c r="FVB8" s="2"/>
      <c r="FVC8" s="2"/>
      <c r="FVD8" s="2"/>
      <c r="FVE8" s="2"/>
      <c r="FVF8" s="2"/>
      <c r="FVG8" s="2"/>
      <c r="FVH8" s="2"/>
      <c r="FVI8" s="2"/>
      <c r="FVJ8" s="2"/>
      <c r="FVK8" s="2"/>
      <c r="FVL8" s="2"/>
      <c r="FVM8" s="2"/>
      <c r="FVN8" s="2"/>
      <c r="FVO8" s="2"/>
      <c r="FVP8" s="2"/>
      <c r="FVQ8" s="2"/>
      <c r="FVR8" s="2"/>
      <c r="FVS8" s="2"/>
      <c r="FVT8" s="2"/>
      <c r="FVU8" s="2"/>
      <c r="FVV8" s="2"/>
      <c r="FVW8" s="2"/>
      <c r="FVX8" s="2"/>
      <c r="FVY8" s="2"/>
      <c r="FVZ8" s="2"/>
      <c r="FWA8" s="2"/>
      <c r="FWB8" s="2"/>
      <c r="FWC8" s="2"/>
      <c r="FWD8" s="2"/>
      <c r="FWE8" s="2"/>
      <c r="FWF8" s="2"/>
      <c r="FWG8" s="2"/>
      <c r="FWH8" s="2"/>
      <c r="FWI8" s="2"/>
      <c r="FWJ8" s="2"/>
      <c r="FWK8" s="2"/>
      <c r="FWL8" s="2"/>
      <c r="FWM8" s="2"/>
      <c r="FWN8" s="2"/>
      <c r="FWO8" s="2"/>
      <c r="FWP8" s="2"/>
      <c r="FWQ8" s="2"/>
      <c r="FWR8" s="2"/>
      <c r="FWS8" s="2"/>
      <c r="FWT8" s="2"/>
      <c r="FWU8" s="2"/>
      <c r="FWV8" s="2"/>
      <c r="FWW8" s="2"/>
      <c r="FWX8" s="2"/>
      <c r="FWY8" s="2"/>
      <c r="FWZ8" s="2"/>
      <c r="FXA8" s="2"/>
      <c r="FXB8" s="2"/>
      <c r="FXC8" s="2"/>
      <c r="FXD8" s="2"/>
      <c r="FXE8" s="2"/>
      <c r="FXF8" s="2"/>
      <c r="FXG8" s="2"/>
      <c r="FXH8" s="2"/>
      <c r="FXI8" s="2"/>
      <c r="FXJ8" s="2"/>
      <c r="FXK8" s="2"/>
      <c r="FXL8" s="2"/>
      <c r="FXM8" s="2"/>
      <c r="FXN8" s="2"/>
      <c r="FXO8" s="2"/>
      <c r="FXP8" s="2"/>
      <c r="FXQ8" s="2"/>
      <c r="FXR8" s="2"/>
      <c r="FXS8" s="2"/>
      <c r="FXT8" s="2"/>
      <c r="FXU8" s="2"/>
      <c r="FXV8" s="2"/>
      <c r="FXW8" s="2"/>
      <c r="FXX8" s="2"/>
      <c r="FXY8" s="2"/>
      <c r="FXZ8" s="2"/>
      <c r="FYA8" s="2"/>
      <c r="FYB8" s="2"/>
      <c r="FYC8" s="2"/>
      <c r="FYD8" s="2"/>
      <c r="FYE8" s="2"/>
      <c r="FYF8" s="2"/>
      <c r="FYG8" s="2"/>
      <c r="FYH8" s="2"/>
      <c r="FYI8" s="2"/>
      <c r="FYJ8" s="2"/>
      <c r="FYK8" s="2"/>
      <c r="FYL8" s="2"/>
      <c r="FYM8" s="2"/>
      <c r="FYN8" s="2"/>
      <c r="FYO8" s="2"/>
      <c r="FYP8" s="2"/>
      <c r="FYQ8" s="2"/>
      <c r="FYR8" s="2"/>
      <c r="FYS8" s="2"/>
      <c r="FYT8" s="2"/>
      <c r="FYU8" s="2"/>
      <c r="FYV8" s="2"/>
      <c r="FYW8" s="2"/>
      <c r="FYX8" s="2"/>
      <c r="FYY8" s="2"/>
      <c r="FYZ8" s="2"/>
      <c r="FZA8" s="2"/>
      <c r="FZB8" s="2"/>
      <c r="FZC8" s="2"/>
      <c r="FZD8" s="2"/>
      <c r="FZE8" s="2"/>
      <c r="FZF8" s="2"/>
      <c r="FZG8" s="2"/>
      <c r="FZH8" s="2"/>
      <c r="FZI8" s="2"/>
      <c r="FZJ8" s="2"/>
      <c r="FZK8" s="2"/>
      <c r="FZL8" s="2"/>
      <c r="FZM8" s="2"/>
      <c r="FZN8" s="2"/>
      <c r="FZO8" s="2"/>
      <c r="FZP8" s="2"/>
      <c r="FZQ8" s="2"/>
      <c r="FZR8" s="2"/>
      <c r="FZS8" s="2"/>
      <c r="FZT8" s="2"/>
      <c r="FZU8" s="2"/>
      <c r="FZV8" s="2"/>
      <c r="FZW8" s="2"/>
      <c r="FZX8" s="2"/>
      <c r="FZY8" s="2"/>
      <c r="FZZ8" s="2"/>
      <c r="GAA8" s="2"/>
      <c r="GAB8" s="2"/>
      <c r="GAC8" s="2"/>
      <c r="GAD8" s="2"/>
      <c r="GAE8" s="2"/>
      <c r="GAF8" s="2"/>
      <c r="GAG8" s="2"/>
      <c r="GAH8" s="2"/>
      <c r="GAI8" s="2"/>
      <c r="GAJ8" s="2"/>
      <c r="GAK8" s="2"/>
      <c r="GAL8" s="2"/>
      <c r="GAM8" s="2"/>
      <c r="GAN8" s="2"/>
      <c r="GAO8" s="2"/>
      <c r="GAP8" s="2"/>
      <c r="GAQ8" s="2"/>
      <c r="GAR8" s="2"/>
      <c r="GAS8" s="2"/>
      <c r="GAT8" s="2"/>
      <c r="GAU8" s="2"/>
      <c r="GAV8" s="2"/>
      <c r="GAW8" s="2"/>
      <c r="GAX8" s="2"/>
      <c r="GAY8" s="2"/>
      <c r="GAZ8" s="2"/>
      <c r="GBA8" s="2"/>
      <c r="GBB8" s="2"/>
      <c r="GBC8" s="2"/>
      <c r="GBD8" s="2"/>
      <c r="GBE8" s="2"/>
      <c r="GBF8" s="2"/>
      <c r="GBG8" s="2"/>
      <c r="GBH8" s="2"/>
      <c r="GBI8" s="2"/>
      <c r="GBJ8" s="2"/>
      <c r="GBK8" s="2"/>
      <c r="GBL8" s="2"/>
      <c r="GBM8" s="2"/>
      <c r="GBN8" s="2"/>
      <c r="GBO8" s="2"/>
      <c r="GBP8" s="2"/>
      <c r="GBQ8" s="2"/>
      <c r="GBR8" s="2"/>
      <c r="GBS8" s="2"/>
      <c r="GBT8" s="2"/>
      <c r="GBU8" s="2"/>
      <c r="GBV8" s="2"/>
      <c r="GBW8" s="2"/>
      <c r="GBX8" s="2"/>
      <c r="GBY8" s="2"/>
      <c r="GBZ8" s="2"/>
      <c r="GCA8" s="2"/>
      <c r="GCB8" s="2"/>
      <c r="GCC8" s="2"/>
      <c r="GCD8" s="2"/>
      <c r="GCE8" s="2"/>
      <c r="GCF8" s="2"/>
      <c r="GCG8" s="2"/>
      <c r="GCH8" s="2"/>
      <c r="GCI8" s="2"/>
      <c r="GCJ8" s="2"/>
      <c r="GCK8" s="2"/>
      <c r="GCL8" s="2"/>
      <c r="GCM8" s="2"/>
      <c r="GCN8" s="2"/>
      <c r="GCO8" s="2"/>
      <c r="GCP8" s="2"/>
      <c r="GCQ8" s="2"/>
      <c r="GCR8" s="2"/>
      <c r="GCS8" s="2"/>
      <c r="GCT8" s="2"/>
      <c r="GCU8" s="2"/>
      <c r="GCV8" s="2"/>
      <c r="GCW8" s="2"/>
      <c r="GCX8" s="2"/>
      <c r="GCY8" s="2"/>
      <c r="GCZ8" s="2"/>
      <c r="GDA8" s="2"/>
      <c r="GDB8" s="2"/>
      <c r="GDC8" s="2"/>
      <c r="GDD8" s="2"/>
      <c r="GDE8" s="2"/>
      <c r="GDF8" s="2"/>
      <c r="GDG8" s="2"/>
      <c r="GDH8" s="2"/>
      <c r="GDI8" s="2"/>
      <c r="GDJ8" s="2"/>
      <c r="GDK8" s="2"/>
      <c r="GDL8" s="2"/>
      <c r="GDM8" s="2"/>
      <c r="GDN8" s="2"/>
      <c r="GDO8" s="2"/>
      <c r="GDP8" s="2"/>
      <c r="GDQ8" s="2"/>
      <c r="GDR8" s="2"/>
      <c r="GDS8" s="2"/>
      <c r="GDT8" s="2"/>
      <c r="GDU8" s="2"/>
      <c r="GDV8" s="2"/>
      <c r="GDW8" s="2"/>
      <c r="GDX8" s="2"/>
      <c r="GDY8" s="2"/>
      <c r="GDZ8" s="2"/>
      <c r="GEA8" s="2"/>
      <c r="GEB8" s="2"/>
      <c r="GEC8" s="2"/>
      <c r="GED8" s="2"/>
      <c r="GEE8" s="2"/>
      <c r="GEF8" s="2"/>
      <c r="GEG8" s="2"/>
      <c r="GEH8" s="2"/>
      <c r="GEI8" s="2"/>
      <c r="GEJ8" s="2"/>
      <c r="GEK8" s="2"/>
      <c r="GEL8" s="2"/>
      <c r="GEM8" s="2"/>
      <c r="GEN8" s="2"/>
      <c r="GEO8" s="2"/>
      <c r="GEP8" s="2"/>
      <c r="GEQ8" s="2"/>
      <c r="GER8" s="2"/>
      <c r="GES8" s="2"/>
      <c r="GET8" s="2"/>
      <c r="GEU8" s="2"/>
      <c r="GEV8" s="2"/>
      <c r="GEW8" s="2"/>
      <c r="GEX8" s="2"/>
      <c r="GEY8" s="2"/>
      <c r="GEZ8" s="2"/>
      <c r="GFA8" s="2"/>
      <c r="GFB8" s="2"/>
      <c r="GFC8" s="2"/>
      <c r="GFD8" s="2"/>
      <c r="GFE8" s="2"/>
      <c r="GFF8" s="2"/>
      <c r="GFG8" s="2"/>
      <c r="GFH8" s="2"/>
      <c r="GFI8" s="2"/>
      <c r="GFJ8" s="2"/>
      <c r="GFK8" s="2"/>
      <c r="GFL8" s="2"/>
      <c r="GFM8" s="2"/>
      <c r="GFN8" s="2"/>
      <c r="GFO8" s="2"/>
      <c r="GFP8" s="2"/>
      <c r="GFQ8" s="2"/>
      <c r="GFR8" s="2"/>
      <c r="GFS8" s="2"/>
      <c r="GFT8" s="2"/>
      <c r="GFU8" s="2"/>
      <c r="GFV8" s="2"/>
      <c r="GFW8" s="2"/>
      <c r="GFX8" s="2"/>
      <c r="GFY8" s="2"/>
      <c r="GFZ8" s="2"/>
      <c r="GGA8" s="2"/>
      <c r="GGB8" s="2"/>
      <c r="GGC8" s="2"/>
      <c r="GGD8" s="2"/>
      <c r="GGE8" s="2"/>
      <c r="GGF8" s="2"/>
      <c r="GGG8" s="2"/>
      <c r="GGH8" s="2"/>
      <c r="GGI8" s="2"/>
      <c r="GGJ8" s="2"/>
      <c r="GGK8" s="2"/>
      <c r="GGL8" s="2"/>
      <c r="GGM8" s="2"/>
      <c r="GGN8" s="2"/>
      <c r="GGO8" s="2"/>
      <c r="GGP8" s="2"/>
      <c r="GGQ8" s="2"/>
      <c r="GGR8" s="2"/>
      <c r="GGS8" s="2"/>
      <c r="GGT8" s="2"/>
      <c r="GGU8" s="2"/>
      <c r="GGV8" s="2"/>
      <c r="GGW8" s="2"/>
      <c r="GGX8" s="2"/>
      <c r="GGY8" s="2"/>
      <c r="GGZ8" s="2"/>
      <c r="GHA8" s="2"/>
      <c r="GHB8" s="2"/>
      <c r="GHC8" s="2"/>
      <c r="GHD8" s="2"/>
      <c r="GHE8" s="2"/>
      <c r="GHF8" s="2"/>
      <c r="GHG8" s="2"/>
      <c r="GHH8" s="2"/>
      <c r="GHI8" s="2"/>
      <c r="GHJ8" s="2"/>
      <c r="GHK8" s="2"/>
      <c r="GHL8" s="2"/>
      <c r="GHM8" s="2"/>
      <c r="GHN8" s="2"/>
      <c r="GHO8" s="2"/>
      <c r="GHP8" s="2"/>
      <c r="GHQ8" s="2"/>
      <c r="GHR8" s="2"/>
      <c r="GHS8" s="2"/>
      <c r="GHT8" s="2"/>
      <c r="GHU8" s="2"/>
      <c r="GHV8" s="2"/>
      <c r="GHW8" s="2"/>
      <c r="GHX8" s="2"/>
      <c r="GHY8" s="2"/>
      <c r="GHZ8" s="2"/>
      <c r="GIA8" s="2"/>
      <c r="GIB8" s="2"/>
      <c r="GIC8" s="2"/>
      <c r="GID8" s="2"/>
      <c r="GIE8" s="2"/>
      <c r="GIF8" s="2"/>
      <c r="GIG8" s="2"/>
      <c r="GIH8" s="2"/>
      <c r="GII8" s="2"/>
      <c r="GIJ8" s="2"/>
      <c r="GIK8" s="2"/>
      <c r="GIL8" s="2"/>
      <c r="GIM8" s="2"/>
      <c r="GIN8" s="2"/>
      <c r="GIO8" s="2"/>
      <c r="GIP8" s="2"/>
      <c r="GIQ8" s="2"/>
      <c r="GIR8" s="2"/>
      <c r="GIS8" s="2"/>
      <c r="GIT8" s="2"/>
      <c r="GIU8" s="2"/>
      <c r="GIV8" s="2"/>
      <c r="GIW8" s="2"/>
      <c r="GIX8" s="2"/>
      <c r="GIY8" s="2"/>
      <c r="GIZ8" s="2"/>
      <c r="GJA8" s="2"/>
      <c r="GJB8" s="2"/>
      <c r="GJC8" s="2"/>
      <c r="GJD8" s="2"/>
      <c r="GJE8" s="2"/>
      <c r="GJF8" s="2"/>
      <c r="GJG8" s="2"/>
      <c r="GJH8" s="2"/>
      <c r="GJI8" s="2"/>
      <c r="GJJ8" s="2"/>
      <c r="GJK8" s="2"/>
      <c r="GJL8" s="2"/>
      <c r="GJM8" s="2"/>
      <c r="GJN8" s="2"/>
      <c r="GJO8" s="2"/>
      <c r="GJP8" s="2"/>
      <c r="GJQ8" s="2"/>
      <c r="GJR8" s="2"/>
      <c r="GJS8" s="2"/>
      <c r="GJT8" s="2"/>
      <c r="GJU8" s="2"/>
      <c r="GJV8" s="2"/>
      <c r="GJW8" s="2"/>
      <c r="GJX8" s="2"/>
      <c r="GJY8" s="2"/>
      <c r="GJZ8" s="2"/>
      <c r="GKA8" s="2"/>
      <c r="GKB8" s="2"/>
      <c r="GKC8" s="2"/>
      <c r="GKD8" s="2"/>
      <c r="GKE8" s="2"/>
      <c r="GKF8" s="2"/>
      <c r="GKG8" s="2"/>
      <c r="GKH8" s="2"/>
      <c r="GKI8" s="2"/>
      <c r="GKJ8" s="2"/>
      <c r="GKK8" s="2"/>
      <c r="GKL8" s="2"/>
      <c r="GKM8" s="2"/>
      <c r="GKN8" s="2"/>
      <c r="GKO8" s="2"/>
      <c r="GKP8" s="2"/>
      <c r="GKQ8" s="2"/>
      <c r="GKR8" s="2"/>
      <c r="GKS8" s="2"/>
      <c r="GKT8" s="2"/>
      <c r="GKU8" s="2"/>
      <c r="GKV8" s="2"/>
      <c r="GKW8" s="2"/>
      <c r="GKX8" s="2"/>
      <c r="GKY8" s="2"/>
      <c r="GKZ8" s="2"/>
      <c r="GLA8" s="2"/>
      <c r="GLB8" s="2"/>
      <c r="GLC8" s="2"/>
      <c r="GLD8" s="2"/>
      <c r="GLE8" s="2"/>
      <c r="GLF8" s="2"/>
      <c r="GLG8" s="2"/>
      <c r="GLH8" s="2"/>
      <c r="GLI8" s="2"/>
      <c r="GLJ8" s="2"/>
      <c r="GLK8" s="2"/>
      <c r="GLL8" s="2"/>
      <c r="GLM8" s="2"/>
      <c r="GLN8" s="2"/>
      <c r="GLO8" s="2"/>
      <c r="GLP8" s="2"/>
      <c r="GLQ8" s="2"/>
      <c r="GLR8" s="2"/>
      <c r="GLS8" s="2"/>
      <c r="GLT8" s="2"/>
      <c r="GLU8" s="2"/>
      <c r="GLV8" s="2"/>
      <c r="GLW8" s="2"/>
      <c r="GLX8" s="2"/>
      <c r="GLY8" s="2"/>
      <c r="GLZ8" s="2"/>
      <c r="GMA8" s="2"/>
      <c r="GMB8" s="2"/>
      <c r="GMC8" s="2"/>
      <c r="GMD8" s="2"/>
      <c r="GME8" s="2"/>
      <c r="GMF8" s="2"/>
      <c r="GMG8" s="2"/>
      <c r="GMH8" s="2"/>
      <c r="GMI8" s="2"/>
      <c r="GMJ8" s="2"/>
      <c r="GMK8" s="2"/>
      <c r="GML8" s="2"/>
      <c r="GMM8" s="2"/>
      <c r="GMN8" s="2"/>
      <c r="GMO8" s="2"/>
      <c r="GMP8" s="2"/>
      <c r="GMQ8" s="2"/>
      <c r="GMR8" s="2"/>
      <c r="GMS8" s="2"/>
      <c r="GMT8" s="2"/>
      <c r="GMU8" s="2"/>
      <c r="GMV8" s="2"/>
      <c r="GMW8" s="2"/>
      <c r="GMX8" s="2"/>
      <c r="GMY8" s="2"/>
      <c r="GMZ8" s="2"/>
      <c r="GNA8" s="2"/>
      <c r="GNB8" s="2"/>
      <c r="GNC8" s="2"/>
      <c r="GND8" s="2"/>
      <c r="GNE8" s="2"/>
      <c r="GNF8" s="2"/>
      <c r="GNG8" s="2"/>
      <c r="GNH8" s="2"/>
      <c r="GNI8" s="2"/>
      <c r="GNJ8" s="2"/>
      <c r="GNK8" s="2"/>
      <c r="GNL8" s="2"/>
      <c r="GNM8" s="2"/>
      <c r="GNN8" s="2"/>
      <c r="GNO8" s="2"/>
      <c r="GNP8" s="2"/>
      <c r="GNQ8" s="2"/>
      <c r="GNR8" s="2"/>
      <c r="GNS8" s="2"/>
      <c r="GNT8" s="2"/>
      <c r="GNU8" s="2"/>
      <c r="GNV8" s="2"/>
      <c r="GNW8" s="2"/>
      <c r="GNX8" s="2"/>
      <c r="GNY8" s="2"/>
      <c r="GNZ8" s="2"/>
      <c r="GOA8" s="2"/>
      <c r="GOB8" s="2"/>
      <c r="GOC8" s="2"/>
      <c r="GOD8" s="2"/>
      <c r="GOE8" s="2"/>
      <c r="GOF8" s="2"/>
      <c r="GOG8" s="2"/>
      <c r="GOH8" s="2"/>
      <c r="GOI8" s="2"/>
      <c r="GOJ8" s="2"/>
      <c r="GOK8" s="2"/>
      <c r="GOL8" s="2"/>
      <c r="GOM8" s="2"/>
      <c r="GON8" s="2"/>
      <c r="GOO8" s="2"/>
      <c r="GOP8" s="2"/>
      <c r="GOQ8" s="2"/>
      <c r="GOR8" s="2"/>
      <c r="GOS8" s="2"/>
      <c r="GOT8" s="2"/>
      <c r="GOU8" s="2"/>
      <c r="GOV8" s="2"/>
      <c r="GOW8" s="2"/>
      <c r="GOX8" s="2"/>
      <c r="GOY8" s="2"/>
      <c r="GOZ8" s="2"/>
      <c r="GPA8" s="2"/>
      <c r="GPB8" s="2"/>
      <c r="GPC8" s="2"/>
      <c r="GPD8" s="2"/>
      <c r="GPE8" s="2"/>
      <c r="GPF8" s="2"/>
      <c r="GPG8" s="2"/>
      <c r="GPH8" s="2"/>
      <c r="GPI8" s="2"/>
      <c r="GPJ8" s="2"/>
      <c r="GPK8" s="2"/>
      <c r="GPL8" s="2"/>
      <c r="GPM8" s="2"/>
      <c r="GPN8" s="2"/>
      <c r="GPO8" s="2"/>
      <c r="GPP8" s="2"/>
      <c r="GPQ8" s="2"/>
      <c r="GPR8" s="2"/>
      <c r="GPS8" s="2"/>
      <c r="GPT8" s="2"/>
      <c r="GPU8" s="2"/>
      <c r="GPV8" s="2"/>
      <c r="GPW8" s="2"/>
      <c r="GPX8" s="2"/>
      <c r="GPY8" s="2"/>
      <c r="GPZ8" s="2"/>
      <c r="GQA8" s="2"/>
      <c r="GQB8" s="2"/>
      <c r="GQC8" s="2"/>
      <c r="GQD8" s="2"/>
      <c r="GQE8" s="2"/>
      <c r="GQF8" s="2"/>
      <c r="GQG8" s="2"/>
      <c r="GQH8" s="2"/>
      <c r="GQI8" s="2"/>
      <c r="GQJ8" s="2"/>
      <c r="GQK8" s="2"/>
      <c r="GQL8" s="2"/>
      <c r="GQM8" s="2"/>
      <c r="GQN8" s="2"/>
      <c r="GQO8" s="2"/>
      <c r="GQP8" s="2"/>
      <c r="GQQ8" s="2"/>
      <c r="GQR8" s="2"/>
      <c r="GQS8" s="2"/>
      <c r="GQT8" s="2"/>
      <c r="GQU8" s="2"/>
      <c r="GQV8" s="2"/>
      <c r="GQW8" s="2"/>
      <c r="GQX8" s="2"/>
      <c r="GQY8" s="2"/>
      <c r="GQZ8" s="2"/>
      <c r="GRA8" s="2"/>
      <c r="GRB8" s="2"/>
      <c r="GRC8" s="2"/>
      <c r="GRD8" s="2"/>
      <c r="GRE8" s="2"/>
      <c r="GRF8" s="2"/>
      <c r="GRG8" s="2"/>
      <c r="GRH8" s="2"/>
      <c r="GRI8" s="2"/>
      <c r="GRJ8" s="2"/>
      <c r="GRK8" s="2"/>
      <c r="GRL8" s="2"/>
      <c r="GRM8" s="2"/>
      <c r="GRN8" s="2"/>
      <c r="GRO8" s="2"/>
      <c r="GRP8" s="2"/>
      <c r="GRQ8" s="2"/>
      <c r="GRR8" s="2"/>
      <c r="GRS8" s="2"/>
      <c r="GRT8" s="2"/>
      <c r="GRU8" s="2"/>
      <c r="GRV8" s="2"/>
      <c r="GRW8" s="2"/>
      <c r="GRX8" s="2"/>
      <c r="GRY8" s="2"/>
      <c r="GRZ8" s="2"/>
      <c r="GSA8" s="2"/>
      <c r="GSB8" s="2"/>
      <c r="GSC8" s="2"/>
      <c r="GSD8" s="2"/>
      <c r="GSE8" s="2"/>
      <c r="GSF8" s="2"/>
      <c r="GSG8" s="2"/>
      <c r="GSH8" s="2"/>
      <c r="GSI8" s="2"/>
      <c r="GSJ8" s="2"/>
      <c r="GSK8" s="2"/>
      <c r="GSL8" s="2"/>
      <c r="GSM8" s="2"/>
      <c r="GSN8" s="2"/>
      <c r="GSO8" s="2"/>
      <c r="GSP8" s="2"/>
      <c r="GSQ8" s="2"/>
      <c r="GSR8" s="2"/>
      <c r="GSS8" s="2"/>
      <c r="GST8" s="2"/>
      <c r="GSU8" s="2"/>
      <c r="GSV8" s="2"/>
      <c r="GSW8" s="2"/>
      <c r="GSX8" s="2"/>
      <c r="GSY8" s="2"/>
      <c r="GSZ8" s="2"/>
      <c r="GTA8" s="2"/>
      <c r="GTB8" s="2"/>
      <c r="GTC8" s="2"/>
      <c r="GTD8" s="2"/>
      <c r="GTE8" s="2"/>
      <c r="GTF8" s="2"/>
      <c r="GTG8" s="2"/>
      <c r="GTH8" s="2"/>
      <c r="GTI8" s="2"/>
      <c r="GTJ8" s="2"/>
      <c r="GTK8" s="2"/>
      <c r="GTL8" s="2"/>
      <c r="GTM8" s="2"/>
      <c r="GTN8" s="2"/>
      <c r="GTO8" s="2"/>
      <c r="GTP8" s="2"/>
      <c r="GTQ8" s="2"/>
      <c r="GTR8" s="2"/>
      <c r="GTS8" s="2"/>
      <c r="GTT8" s="2"/>
      <c r="GTU8" s="2"/>
      <c r="GTV8" s="2"/>
      <c r="GTW8" s="2"/>
      <c r="GTX8" s="2"/>
      <c r="GTY8" s="2"/>
      <c r="GTZ8" s="2"/>
      <c r="GUA8" s="2"/>
      <c r="GUB8" s="2"/>
      <c r="GUC8" s="2"/>
      <c r="GUD8" s="2"/>
      <c r="GUE8" s="2"/>
      <c r="GUF8" s="2"/>
      <c r="GUG8" s="2"/>
      <c r="GUH8" s="2"/>
      <c r="GUI8" s="2"/>
      <c r="GUJ8" s="2"/>
      <c r="GUK8" s="2"/>
      <c r="GUL8" s="2"/>
      <c r="GUM8" s="2"/>
      <c r="GUN8" s="2"/>
      <c r="GUO8" s="2"/>
      <c r="GUP8" s="2"/>
      <c r="GUQ8" s="2"/>
      <c r="GUR8" s="2"/>
      <c r="GUS8" s="2"/>
      <c r="GUT8" s="2"/>
      <c r="GUU8" s="2"/>
      <c r="GUV8" s="2"/>
      <c r="GUW8" s="2"/>
      <c r="GUX8" s="2"/>
      <c r="GUY8" s="2"/>
      <c r="GUZ8" s="2"/>
      <c r="GVA8" s="2"/>
      <c r="GVB8" s="2"/>
      <c r="GVC8" s="2"/>
      <c r="GVD8" s="2"/>
      <c r="GVE8" s="2"/>
      <c r="GVF8" s="2"/>
      <c r="GVG8" s="2"/>
      <c r="GVH8" s="2"/>
      <c r="GVI8" s="2"/>
      <c r="GVJ8" s="2"/>
      <c r="GVK8" s="2"/>
      <c r="GVL8" s="2"/>
      <c r="GVM8" s="2"/>
      <c r="GVN8" s="2"/>
      <c r="GVO8" s="2"/>
      <c r="GVP8" s="2"/>
      <c r="GVQ8" s="2"/>
      <c r="GVR8" s="2"/>
      <c r="GVS8" s="2"/>
      <c r="GVT8" s="2"/>
      <c r="GVU8" s="2"/>
      <c r="GVV8" s="2"/>
      <c r="GVW8" s="2"/>
      <c r="GVX8" s="2"/>
      <c r="GVY8" s="2"/>
      <c r="GVZ8" s="2"/>
      <c r="GWA8" s="2"/>
      <c r="GWB8" s="2"/>
      <c r="GWC8" s="2"/>
      <c r="GWD8" s="2"/>
      <c r="GWE8" s="2"/>
      <c r="GWF8" s="2"/>
      <c r="GWG8" s="2"/>
      <c r="GWH8" s="2"/>
      <c r="GWI8" s="2"/>
      <c r="GWJ8" s="2"/>
      <c r="GWK8" s="2"/>
      <c r="GWL8" s="2"/>
      <c r="GWM8" s="2"/>
      <c r="GWN8" s="2"/>
      <c r="GWO8" s="2"/>
      <c r="GWP8" s="2"/>
      <c r="GWQ8" s="2"/>
      <c r="GWR8" s="2"/>
      <c r="GWS8" s="2"/>
      <c r="GWT8" s="2"/>
      <c r="GWU8" s="2"/>
      <c r="GWV8" s="2"/>
      <c r="GWW8" s="2"/>
      <c r="GWX8" s="2"/>
      <c r="GWY8" s="2"/>
      <c r="GWZ8" s="2"/>
      <c r="GXA8" s="2"/>
      <c r="GXB8" s="2"/>
      <c r="GXC8" s="2"/>
      <c r="GXD8" s="2"/>
      <c r="GXE8" s="2"/>
      <c r="GXF8" s="2"/>
      <c r="GXG8" s="2"/>
      <c r="GXH8" s="2"/>
      <c r="GXI8" s="2"/>
      <c r="GXJ8" s="2"/>
      <c r="GXK8" s="2"/>
      <c r="GXL8" s="2"/>
      <c r="GXM8" s="2"/>
      <c r="GXN8" s="2"/>
      <c r="GXO8" s="2"/>
      <c r="GXP8" s="2"/>
      <c r="GXQ8" s="2"/>
      <c r="GXR8" s="2"/>
      <c r="GXS8" s="2"/>
      <c r="GXT8" s="2"/>
      <c r="GXU8" s="2"/>
      <c r="GXV8" s="2"/>
      <c r="GXW8" s="2"/>
      <c r="GXX8" s="2"/>
      <c r="GXY8" s="2"/>
      <c r="GXZ8" s="2"/>
      <c r="GYA8" s="2"/>
      <c r="GYB8" s="2"/>
      <c r="GYC8" s="2"/>
      <c r="GYD8" s="2"/>
      <c r="GYE8" s="2"/>
      <c r="GYF8" s="2"/>
      <c r="GYG8" s="2"/>
      <c r="GYH8" s="2"/>
      <c r="GYI8" s="2"/>
      <c r="GYJ8" s="2"/>
      <c r="GYK8" s="2"/>
      <c r="GYL8" s="2"/>
      <c r="GYM8" s="2"/>
      <c r="GYN8" s="2"/>
      <c r="GYO8" s="2"/>
      <c r="GYP8" s="2"/>
      <c r="GYQ8" s="2"/>
      <c r="GYR8" s="2"/>
      <c r="GYS8" s="2"/>
      <c r="GYT8" s="2"/>
      <c r="GYU8" s="2"/>
      <c r="GYV8" s="2"/>
      <c r="GYW8" s="2"/>
      <c r="GYX8" s="2"/>
      <c r="GYY8" s="2"/>
      <c r="GYZ8" s="2"/>
      <c r="GZA8" s="2"/>
      <c r="GZB8" s="2"/>
      <c r="GZC8" s="2"/>
      <c r="GZD8" s="2"/>
      <c r="GZE8" s="2"/>
      <c r="GZF8" s="2"/>
      <c r="GZG8" s="2"/>
      <c r="GZH8" s="2"/>
      <c r="GZI8" s="2"/>
      <c r="GZJ8" s="2"/>
      <c r="GZK8" s="2"/>
      <c r="GZL8" s="2"/>
      <c r="GZM8" s="2"/>
      <c r="GZN8" s="2"/>
      <c r="GZO8" s="2"/>
      <c r="GZP8" s="2"/>
      <c r="GZQ8" s="2"/>
      <c r="GZR8" s="2"/>
      <c r="GZS8" s="2"/>
      <c r="GZT8" s="2"/>
      <c r="GZU8" s="2"/>
      <c r="GZV8" s="2"/>
      <c r="GZW8" s="2"/>
      <c r="GZX8" s="2"/>
      <c r="GZY8" s="2"/>
      <c r="GZZ8" s="2"/>
      <c r="HAA8" s="2"/>
      <c r="HAB8" s="2"/>
      <c r="HAC8" s="2"/>
      <c r="HAD8" s="2"/>
      <c r="HAE8" s="2"/>
      <c r="HAF8" s="2"/>
      <c r="HAG8" s="2"/>
      <c r="HAH8" s="2"/>
      <c r="HAI8" s="2"/>
      <c r="HAJ8" s="2"/>
      <c r="HAK8" s="2"/>
      <c r="HAL8" s="2"/>
      <c r="HAM8" s="2"/>
      <c r="HAN8" s="2"/>
      <c r="HAO8" s="2"/>
      <c r="HAP8" s="2"/>
      <c r="HAQ8" s="2"/>
      <c r="HAR8" s="2"/>
      <c r="HAS8" s="2"/>
      <c r="HAT8" s="2"/>
      <c r="HAU8" s="2"/>
      <c r="HAV8" s="2"/>
      <c r="HAW8" s="2"/>
      <c r="HAX8" s="2"/>
      <c r="HAY8" s="2"/>
      <c r="HAZ8" s="2"/>
      <c r="HBA8" s="2"/>
      <c r="HBB8" s="2"/>
      <c r="HBC8" s="2"/>
      <c r="HBD8" s="2"/>
      <c r="HBE8" s="2"/>
      <c r="HBF8" s="2"/>
      <c r="HBG8" s="2"/>
      <c r="HBH8" s="2"/>
      <c r="HBI8" s="2"/>
      <c r="HBJ8" s="2"/>
      <c r="HBK8" s="2"/>
      <c r="HBL8" s="2"/>
      <c r="HBM8" s="2"/>
      <c r="HBN8" s="2"/>
      <c r="HBO8" s="2"/>
      <c r="HBP8" s="2"/>
      <c r="HBQ8" s="2"/>
      <c r="HBR8" s="2"/>
      <c r="HBS8" s="2"/>
      <c r="HBT8" s="2"/>
      <c r="HBU8" s="2"/>
      <c r="HBV8" s="2"/>
      <c r="HBW8" s="2"/>
      <c r="HBX8" s="2"/>
      <c r="HBY8" s="2"/>
      <c r="HBZ8" s="2"/>
      <c r="HCA8" s="2"/>
      <c r="HCB8" s="2"/>
      <c r="HCC8" s="2"/>
      <c r="HCD8" s="2"/>
      <c r="HCE8" s="2"/>
      <c r="HCF8" s="2"/>
      <c r="HCG8" s="2"/>
      <c r="HCH8" s="2"/>
      <c r="HCI8" s="2"/>
      <c r="HCJ8" s="2"/>
      <c r="HCK8" s="2"/>
      <c r="HCL8" s="2"/>
      <c r="HCM8" s="2"/>
      <c r="HCN8" s="2"/>
      <c r="HCO8" s="2"/>
      <c r="HCP8" s="2"/>
      <c r="HCQ8" s="2"/>
      <c r="HCR8" s="2"/>
      <c r="HCS8" s="2"/>
      <c r="HCT8" s="2"/>
      <c r="HCU8" s="2"/>
      <c r="HCV8" s="2"/>
      <c r="HCW8" s="2"/>
      <c r="HCX8" s="2"/>
      <c r="HCY8" s="2"/>
      <c r="HCZ8" s="2"/>
      <c r="HDA8" s="2"/>
      <c r="HDB8" s="2"/>
      <c r="HDC8" s="2"/>
      <c r="HDD8" s="2"/>
      <c r="HDE8" s="2"/>
      <c r="HDF8" s="2"/>
      <c r="HDG8" s="2"/>
      <c r="HDH8" s="2"/>
      <c r="HDI8" s="2"/>
      <c r="HDJ8" s="2"/>
      <c r="HDK8" s="2"/>
      <c r="HDL8" s="2"/>
      <c r="HDM8" s="2"/>
      <c r="HDN8" s="2"/>
      <c r="HDO8" s="2"/>
      <c r="HDP8" s="2"/>
      <c r="HDQ8" s="2"/>
      <c r="HDR8" s="2"/>
      <c r="HDS8" s="2"/>
      <c r="HDT8" s="2"/>
      <c r="HDU8" s="2"/>
      <c r="HDV8" s="2"/>
      <c r="HDW8" s="2"/>
      <c r="HDX8" s="2"/>
      <c r="HDY8" s="2"/>
      <c r="HDZ8" s="2"/>
      <c r="HEA8" s="2"/>
      <c r="HEB8" s="2"/>
      <c r="HEC8" s="2"/>
      <c r="HED8" s="2"/>
      <c r="HEE8" s="2"/>
      <c r="HEF8" s="2"/>
      <c r="HEG8" s="2"/>
      <c r="HEH8" s="2"/>
      <c r="HEI8" s="2"/>
      <c r="HEJ8" s="2"/>
      <c r="HEK8" s="2"/>
      <c r="HEL8" s="2"/>
      <c r="HEM8" s="2"/>
      <c r="HEN8" s="2"/>
      <c r="HEO8" s="2"/>
      <c r="HEP8" s="2"/>
      <c r="HEQ8" s="2"/>
      <c r="HER8" s="2"/>
      <c r="HES8" s="2"/>
      <c r="HET8" s="2"/>
      <c r="HEU8" s="2"/>
      <c r="HEV8" s="2"/>
      <c r="HEW8" s="2"/>
      <c r="HEX8" s="2"/>
      <c r="HEY8" s="2"/>
      <c r="HEZ8" s="2"/>
      <c r="HFA8" s="2"/>
      <c r="HFB8" s="2"/>
      <c r="HFC8" s="2"/>
      <c r="HFD8" s="2"/>
      <c r="HFE8" s="2"/>
      <c r="HFF8" s="2"/>
      <c r="HFG8" s="2"/>
      <c r="HFH8" s="2"/>
      <c r="HFI8" s="2"/>
      <c r="HFJ8" s="2"/>
      <c r="HFK8" s="2"/>
      <c r="HFL8" s="2"/>
      <c r="HFM8" s="2"/>
      <c r="HFN8" s="2"/>
      <c r="HFO8" s="2"/>
      <c r="HFP8" s="2"/>
      <c r="HFQ8" s="2"/>
      <c r="HFR8" s="2"/>
      <c r="HFS8" s="2"/>
      <c r="HFT8" s="2"/>
      <c r="HFU8" s="2"/>
      <c r="HFV8" s="2"/>
      <c r="HFW8" s="2"/>
      <c r="HFX8" s="2"/>
      <c r="HFY8" s="2"/>
      <c r="HFZ8" s="2"/>
      <c r="HGA8" s="2"/>
      <c r="HGB8" s="2"/>
      <c r="HGC8" s="2"/>
      <c r="HGD8" s="2"/>
      <c r="HGE8" s="2"/>
      <c r="HGF8" s="2"/>
      <c r="HGG8" s="2"/>
      <c r="HGH8" s="2"/>
      <c r="HGI8" s="2"/>
      <c r="HGJ8" s="2"/>
      <c r="HGK8" s="2"/>
      <c r="HGL8" s="2"/>
      <c r="HGM8" s="2"/>
      <c r="HGN8" s="2"/>
      <c r="HGO8" s="2"/>
      <c r="HGP8" s="2"/>
      <c r="HGQ8" s="2"/>
      <c r="HGR8" s="2"/>
      <c r="HGS8" s="2"/>
      <c r="HGT8" s="2"/>
      <c r="HGU8" s="2"/>
      <c r="HGV8" s="2"/>
      <c r="HGW8" s="2"/>
      <c r="HGX8" s="2"/>
      <c r="HGY8" s="2"/>
      <c r="HGZ8" s="2"/>
      <c r="HHA8" s="2"/>
      <c r="HHB8" s="2"/>
      <c r="HHC8" s="2"/>
      <c r="HHD8" s="2"/>
      <c r="HHE8" s="2"/>
      <c r="HHF8" s="2"/>
      <c r="HHG8" s="2"/>
      <c r="HHH8" s="2"/>
      <c r="HHI8" s="2"/>
      <c r="HHJ8" s="2"/>
      <c r="HHK8" s="2"/>
      <c r="HHL8" s="2"/>
      <c r="HHM8" s="2"/>
      <c r="HHN8" s="2"/>
      <c r="HHO8" s="2"/>
      <c r="HHP8" s="2"/>
      <c r="HHQ8" s="2"/>
      <c r="HHR8" s="2"/>
      <c r="HHS8" s="2"/>
      <c r="HHT8" s="2"/>
      <c r="HHU8" s="2"/>
      <c r="HHV8" s="2"/>
      <c r="HHW8" s="2"/>
      <c r="HHX8" s="2"/>
      <c r="HHY8" s="2"/>
      <c r="HHZ8" s="2"/>
      <c r="HIA8" s="2"/>
      <c r="HIB8" s="2"/>
      <c r="HIC8" s="2"/>
      <c r="HID8" s="2"/>
      <c r="HIE8" s="2"/>
      <c r="HIF8" s="2"/>
      <c r="HIG8" s="2"/>
      <c r="HIH8" s="2"/>
      <c r="HII8" s="2"/>
      <c r="HIJ8" s="2"/>
      <c r="HIK8" s="2"/>
      <c r="HIL8" s="2"/>
      <c r="HIM8" s="2"/>
      <c r="HIN8" s="2"/>
      <c r="HIO8" s="2"/>
      <c r="HIP8" s="2"/>
      <c r="HIQ8" s="2"/>
      <c r="HIR8" s="2"/>
      <c r="HIS8" s="2"/>
      <c r="HIT8" s="2"/>
      <c r="HIU8" s="2"/>
      <c r="HIV8" s="2"/>
      <c r="HIW8" s="2"/>
      <c r="HIX8" s="2"/>
      <c r="HIY8" s="2"/>
      <c r="HIZ8" s="2"/>
      <c r="HJA8" s="2"/>
      <c r="HJB8" s="2"/>
      <c r="HJC8" s="2"/>
      <c r="HJD8" s="2"/>
      <c r="HJE8" s="2"/>
      <c r="HJF8" s="2"/>
      <c r="HJG8" s="2"/>
      <c r="HJH8" s="2"/>
      <c r="HJI8" s="2"/>
      <c r="HJJ8" s="2"/>
      <c r="HJK8" s="2"/>
      <c r="HJL8" s="2"/>
      <c r="HJM8" s="2"/>
      <c r="HJN8" s="2"/>
      <c r="HJO8" s="2"/>
      <c r="HJP8" s="2"/>
      <c r="HJQ8" s="2"/>
      <c r="HJR8" s="2"/>
      <c r="HJS8" s="2"/>
      <c r="HJT8" s="2"/>
      <c r="HJU8" s="2"/>
      <c r="HJV8" s="2"/>
      <c r="HJW8" s="2"/>
      <c r="HJX8" s="2"/>
      <c r="HJY8" s="2"/>
      <c r="HJZ8" s="2"/>
      <c r="HKA8" s="2"/>
      <c r="HKB8" s="2"/>
      <c r="HKC8" s="2"/>
      <c r="HKD8" s="2"/>
      <c r="HKE8" s="2"/>
      <c r="HKF8" s="2"/>
      <c r="HKG8" s="2"/>
      <c r="HKH8" s="2"/>
      <c r="HKI8" s="2"/>
      <c r="HKJ8" s="2"/>
      <c r="HKK8" s="2"/>
      <c r="HKL8" s="2"/>
      <c r="HKM8" s="2"/>
      <c r="HKN8" s="2"/>
      <c r="HKO8" s="2"/>
      <c r="HKP8" s="2"/>
      <c r="HKQ8" s="2"/>
      <c r="HKR8" s="2"/>
      <c r="HKS8" s="2"/>
      <c r="HKT8" s="2"/>
      <c r="HKU8" s="2"/>
      <c r="HKV8" s="2"/>
      <c r="HKW8" s="2"/>
      <c r="HKX8" s="2"/>
      <c r="HKY8" s="2"/>
      <c r="HKZ8" s="2"/>
      <c r="HLA8" s="2"/>
      <c r="HLB8" s="2"/>
      <c r="HLC8" s="2"/>
      <c r="HLD8" s="2"/>
      <c r="HLE8" s="2"/>
      <c r="HLF8" s="2"/>
      <c r="HLG8" s="2"/>
      <c r="HLH8" s="2"/>
      <c r="HLI8" s="2"/>
      <c r="HLJ8" s="2"/>
      <c r="HLK8" s="2"/>
      <c r="HLL8" s="2"/>
      <c r="HLM8" s="2"/>
      <c r="HLN8" s="2"/>
      <c r="HLO8" s="2"/>
      <c r="HLP8" s="2"/>
      <c r="HLQ8" s="2"/>
      <c r="HLR8" s="2"/>
      <c r="HLS8" s="2"/>
      <c r="HLT8" s="2"/>
      <c r="HLU8" s="2"/>
      <c r="HLV8" s="2"/>
      <c r="HLW8" s="2"/>
      <c r="HLX8" s="2"/>
      <c r="HLY8" s="2"/>
      <c r="HLZ8" s="2"/>
      <c r="HMA8" s="2"/>
      <c r="HMB8" s="2"/>
      <c r="HMC8" s="2"/>
      <c r="HMD8" s="2"/>
      <c r="HME8" s="2"/>
      <c r="HMF8" s="2"/>
      <c r="HMG8" s="2"/>
      <c r="HMH8" s="2"/>
      <c r="HMI8" s="2"/>
      <c r="HMJ8" s="2"/>
      <c r="HMK8" s="2"/>
      <c r="HML8" s="2"/>
      <c r="HMM8" s="2"/>
      <c r="HMN8" s="2"/>
      <c r="HMO8" s="2"/>
      <c r="HMP8" s="2"/>
      <c r="HMQ8" s="2"/>
      <c r="HMR8" s="2"/>
      <c r="HMS8" s="2"/>
      <c r="HMT8" s="2"/>
      <c r="HMU8" s="2"/>
      <c r="HMV8" s="2"/>
      <c r="HMW8" s="2"/>
      <c r="HMX8" s="2"/>
      <c r="HMY8" s="2"/>
      <c r="HMZ8" s="2"/>
      <c r="HNA8" s="2"/>
      <c r="HNB8" s="2"/>
      <c r="HNC8" s="2"/>
      <c r="HND8" s="2"/>
      <c r="HNE8" s="2"/>
      <c r="HNF8" s="2"/>
      <c r="HNG8" s="2"/>
      <c r="HNH8" s="2"/>
      <c r="HNI8" s="2"/>
      <c r="HNJ8" s="2"/>
      <c r="HNK8" s="2"/>
      <c r="HNL8" s="2"/>
      <c r="HNM8" s="2"/>
      <c r="HNN8" s="2"/>
      <c r="HNO8" s="2"/>
      <c r="HNP8" s="2"/>
      <c r="HNQ8" s="2"/>
      <c r="HNR8" s="2"/>
      <c r="HNS8" s="2"/>
      <c r="HNT8" s="2"/>
      <c r="HNU8" s="2"/>
      <c r="HNV8" s="2"/>
      <c r="HNW8" s="2"/>
      <c r="HNX8" s="2"/>
      <c r="HNY8" s="2"/>
      <c r="HNZ8" s="2"/>
      <c r="HOA8" s="2"/>
      <c r="HOB8" s="2"/>
      <c r="HOC8" s="2"/>
      <c r="HOD8" s="2"/>
      <c r="HOE8" s="2"/>
      <c r="HOF8" s="2"/>
      <c r="HOG8" s="2"/>
      <c r="HOH8" s="2"/>
      <c r="HOI8" s="2"/>
      <c r="HOJ8" s="2"/>
      <c r="HOK8" s="2"/>
      <c r="HOL8" s="2"/>
      <c r="HOM8" s="2"/>
      <c r="HON8" s="2"/>
      <c r="HOO8" s="2"/>
      <c r="HOP8" s="2"/>
      <c r="HOQ8" s="2"/>
      <c r="HOR8" s="2"/>
      <c r="HOS8" s="2"/>
      <c r="HOT8" s="2"/>
      <c r="HOU8" s="2"/>
      <c r="HOV8" s="2"/>
      <c r="HOW8" s="2"/>
      <c r="HOX8" s="2"/>
      <c r="HOY8" s="2"/>
      <c r="HOZ8" s="2"/>
      <c r="HPA8" s="2"/>
      <c r="HPB8" s="2"/>
      <c r="HPC8" s="2"/>
      <c r="HPD8" s="2"/>
      <c r="HPE8" s="2"/>
      <c r="HPF8" s="2"/>
      <c r="HPG8" s="2"/>
      <c r="HPH8" s="2"/>
      <c r="HPI8" s="2"/>
      <c r="HPJ8" s="2"/>
      <c r="HPK8" s="2"/>
      <c r="HPL8" s="2"/>
      <c r="HPM8" s="2"/>
      <c r="HPN8" s="2"/>
      <c r="HPO8" s="2"/>
      <c r="HPP8" s="2"/>
      <c r="HPQ8" s="2"/>
      <c r="HPR8" s="2"/>
      <c r="HPS8" s="2"/>
      <c r="HPT8" s="2"/>
      <c r="HPU8" s="2"/>
      <c r="HPV8" s="2"/>
      <c r="HPW8" s="2"/>
      <c r="HPX8" s="2"/>
      <c r="HPY8" s="2"/>
      <c r="HPZ8" s="2"/>
      <c r="HQA8" s="2"/>
      <c r="HQB8" s="2"/>
      <c r="HQC8" s="2"/>
      <c r="HQD8" s="2"/>
      <c r="HQE8" s="2"/>
      <c r="HQF8" s="2"/>
      <c r="HQG8" s="2"/>
      <c r="HQH8" s="2"/>
      <c r="HQI8" s="2"/>
      <c r="HQJ8" s="2"/>
      <c r="HQK8" s="2"/>
      <c r="HQL8" s="2"/>
      <c r="HQM8" s="2"/>
      <c r="HQN8" s="2"/>
      <c r="HQO8" s="2"/>
      <c r="HQP8" s="2"/>
      <c r="HQQ8" s="2"/>
      <c r="HQR8" s="2"/>
      <c r="HQS8" s="2"/>
      <c r="HQT8" s="2"/>
      <c r="HQU8" s="2"/>
      <c r="HQV8" s="2"/>
      <c r="HQW8" s="2"/>
      <c r="HQX8" s="2"/>
      <c r="HQY8" s="2"/>
      <c r="HQZ8" s="2"/>
      <c r="HRA8" s="2"/>
      <c r="HRB8" s="2"/>
      <c r="HRC8" s="2"/>
      <c r="HRD8" s="2"/>
      <c r="HRE8" s="2"/>
      <c r="HRF8" s="2"/>
      <c r="HRG8" s="2"/>
      <c r="HRH8" s="2"/>
      <c r="HRI8" s="2"/>
      <c r="HRJ8" s="2"/>
      <c r="HRK8" s="2"/>
      <c r="HRL8" s="2"/>
      <c r="HRM8" s="2"/>
      <c r="HRN8" s="2"/>
      <c r="HRO8" s="2"/>
      <c r="HRP8" s="2"/>
      <c r="HRQ8" s="2"/>
      <c r="HRR8" s="2"/>
      <c r="HRS8" s="2"/>
      <c r="HRT8" s="2"/>
      <c r="HRU8" s="2"/>
      <c r="HRV8" s="2"/>
      <c r="HRW8" s="2"/>
      <c r="HRX8" s="2"/>
      <c r="HRY8" s="2"/>
      <c r="HRZ8" s="2"/>
      <c r="HSA8" s="2"/>
      <c r="HSB8" s="2"/>
      <c r="HSC8" s="2"/>
      <c r="HSD8" s="2"/>
      <c r="HSE8" s="2"/>
      <c r="HSF8" s="2"/>
      <c r="HSG8" s="2"/>
      <c r="HSH8" s="2"/>
      <c r="HSI8" s="2"/>
      <c r="HSJ8" s="2"/>
      <c r="HSK8" s="2"/>
      <c r="HSL8" s="2"/>
      <c r="HSM8" s="2"/>
      <c r="HSN8" s="2"/>
      <c r="HSO8" s="2"/>
      <c r="HSP8" s="2"/>
      <c r="HSQ8" s="2"/>
      <c r="HSR8" s="2"/>
      <c r="HSS8" s="2"/>
      <c r="HST8" s="2"/>
      <c r="HSU8" s="2"/>
      <c r="HSV8" s="2"/>
      <c r="HSW8" s="2"/>
      <c r="HSX8" s="2"/>
      <c r="HSY8" s="2"/>
      <c r="HSZ8" s="2"/>
      <c r="HTA8" s="2"/>
      <c r="HTB8" s="2"/>
      <c r="HTC8" s="2"/>
      <c r="HTD8" s="2"/>
      <c r="HTE8" s="2"/>
      <c r="HTF8" s="2"/>
      <c r="HTG8" s="2"/>
      <c r="HTH8" s="2"/>
      <c r="HTI8" s="2"/>
      <c r="HTJ8" s="2"/>
      <c r="HTK8" s="2"/>
      <c r="HTL8" s="2"/>
      <c r="HTM8" s="2"/>
      <c r="HTN8" s="2"/>
      <c r="HTO8" s="2"/>
      <c r="HTP8" s="2"/>
      <c r="HTQ8" s="2"/>
      <c r="HTR8" s="2"/>
      <c r="HTS8" s="2"/>
      <c r="HTT8" s="2"/>
      <c r="HTU8" s="2"/>
      <c r="HTV8" s="2"/>
      <c r="HTW8" s="2"/>
      <c r="HTX8" s="2"/>
      <c r="HTY8" s="2"/>
      <c r="HTZ8" s="2"/>
      <c r="HUA8" s="2"/>
      <c r="HUB8" s="2"/>
      <c r="HUC8" s="2"/>
      <c r="HUD8" s="2"/>
      <c r="HUE8" s="2"/>
      <c r="HUF8" s="2"/>
      <c r="HUG8" s="2"/>
      <c r="HUH8" s="2"/>
      <c r="HUI8" s="2"/>
      <c r="HUJ8" s="2"/>
      <c r="HUK8" s="2"/>
      <c r="HUL8" s="2"/>
      <c r="HUM8" s="2"/>
      <c r="HUN8" s="2"/>
      <c r="HUO8" s="2"/>
      <c r="HUP8" s="2"/>
      <c r="HUQ8" s="2"/>
      <c r="HUR8" s="2"/>
      <c r="HUS8" s="2"/>
      <c r="HUT8" s="2"/>
      <c r="HUU8" s="2"/>
      <c r="HUV8" s="2"/>
      <c r="HUW8" s="2"/>
      <c r="HUX8" s="2"/>
      <c r="HUY8" s="2"/>
      <c r="HUZ8" s="2"/>
      <c r="HVA8" s="2"/>
      <c r="HVB8" s="2"/>
      <c r="HVC8" s="2"/>
      <c r="HVD8" s="2"/>
      <c r="HVE8" s="2"/>
      <c r="HVF8" s="2"/>
      <c r="HVG8" s="2"/>
      <c r="HVH8" s="2"/>
      <c r="HVI8" s="2"/>
      <c r="HVJ8" s="2"/>
      <c r="HVK8" s="2"/>
      <c r="HVL8" s="2"/>
      <c r="HVM8" s="2"/>
      <c r="HVN8" s="2"/>
      <c r="HVO8" s="2"/>
      <c r="HVP8" s="2"/>
      <c r="HVQ8" s="2"/>
      <c r="HVR8" s="2"/>
      <c r="HVS8" s="2"/>
      <c r="HVT8" s="2"/>
      <c r="HVU8" s="2"/>
      <c r="HVV8" s="2"/>
      <c r="HVW8" s="2"/>
      <c r="HVX8" s="2"/>
      <c r="HVY8" s="2"/>
      <c r="HVZ8" s="2"/>
      <c r="HWA8" s="2"/>
      <c r="HWB8" s="2"/>
      <c r="HWC8" s="2"/>
      <c r="HWD8" s="2"/>
      <c r="HWE8" s="2"/>
      <c r="HWF8" s="2"/>
      <c r="HWG8" s="2"/>
      <c r="HWH8" s="2"/>
      <c r="HWI8" s="2"/>
      <c r="HWJ8" s="2"/>
      <c r="HWK8" s="2"/>
      <c r="HWL8" s="2"/>
      <c r="HWM8" s="2"/>
      <c r="HWN8" s="2"/>
      <c r="HWO8" s="2"/>
      <c r="HWP8" s="2"/>
      <c r="HWQ8" s="2"/>
      <c r="HWR8" s="2"/>
      <c r="HWS8" s="2"/>
      <c r="HWT8" s="2"/>
      <c r="HWU8" s="2"/>
      <c r="HWV8" s="2"/>
      <c r="HWW8" s="2"/>
      <c r="HWX8" s="2"/>
      <c r="HWY8" s="2"/>
      <c r="HWZ8" s="2"/>
      <c r="HXA8" s="2"/>
      <c r="HXB8" s="2"/>
      <c r="HXC8" s="2"/>
      <c r="HXD8" s="2"/>
      <c r="HXE8" s="2"/>
      <c r="HXF8" s="2"/>
      <c r="HXG8" s="2"/>
      <c r="HXH8" s="2"/>
      <c r="HXI8" s="2"/>
      <c r="HXJ8" s="2"/>
      <c r="HXK8" s="2"/>
      <c r="HXL8" s="2"/>
      <c r="HXM8" s="2"/>
      <c r="HXN8" s="2"/>
      <c r="HXO8" s="2"/>
      <c r="HXP8" s="2"/>
      <c r="HXQ8" s="2"/>
      <c r="HXR8" s="2"/>
      <c r="HXS8" s="2"/>
      <c r="HXT8" s="2"/>
      <c r="HXU8" s="2"/>
      <c r="HXV8" s="2"/>
      <c r="HXW8" s="2"/>
      <c r="HXX8" s="2"/>
      <c r="HXY8" s="2"/>
      <c r="HXZ8" s="2"/>
      <c r="HYA8" s="2"/>
      <c r="HYB8" s="2"/>
      <c r="HYC8" s="2"/>
      <c r="HYD8" s="2"/>
      <c r="HYE8" s="2"/>
      <c r="HYF8" s="2"/>
      <c r="HYG8" s="2"/>
      <c r="HYH8" s="2"/>
      <c r="HYI8" s="2"/>
      <c r="HYJ8" s="2"/>
      <c r="HYK8" s="2"/>
      <c r="HYL8" s="2"/>
      <c r="HYM8" s="2"/>
      <c r="HYN8" s="2"/>
      <c r="HYO8" s="2"/>
      <c r="HYP8" s="2"/>
      <c r="HYQ8" s="2"/>
      <c r="HYR8" s="2"/>
      <c r="HYS8" s="2"/>
      <c r="HYT8" s="2"/>
      <c r="HYU8" s="2"/>
      <c r="HYV8" s="2"/>
      <c r="HYW8" s="2"/>
      <c r="HYX8" s="2"/>
      <c r="HYY8" s="2"/>
      <c r="HYZ8" s="2"/>
      <c r="HZA8" s="2"/>
      <c r="HZB8" s="2"/>
      <c r="HZC8" s="2"/>
      <c r="HZD8" s="2"/>
      <c r="HZE8" s="2"/>
      <c r="HZF8" s="2"/>
      <c r="HZG8" s="2"/>
      <c r="HZH8" s="2"/>
      <c r="HZI8" s="2"/>
      <c r="HZJ8" s="2"/>
      <c r="HZK8" s="2"/>
      <c r="HZL8" s="2"/>
      <c r="HZM8" s="2"/>
      <c r="HZN8" s="2"/>
      <c r="HZO8" s="2"/>
      <c r="HZP8" s="2"/>
      <c r="HZQ8" s="2"/>
      <c r="HZR8" s="2"/>
      <c r="HZS8" s="2"/>
      <c r="HZT8" s="2"/>
      <c r="HZU8" s="2"/>
      <c r="HZV8" s="2"/>
      <c r="HZW8" s="2"/>
      <c r="HZX8" s="2"/>
      <c r="HZY8" s="2"/>
      <c r="HZZ8" s="2"/>
      <c r="IAA8" s="2"/>
      <c r="IAB8" s="2"/>
      <c r="IAC8" s="2"/>
      <c r="IAD8" s="2"/>
      <c r="IAE8" s="2"/>
      <c r="IAF8" s="2"/>
      <c r="IAG8" s="2"/>
      <c r="IAH8" s="2"/>
      <c r="IAI8" s="2"/>
      <c r="IAJ8" s="2"/>
      <c r="IAK8" s="2"/>
      <c r="IAL8" s="2"/>
      <c r="IAM8" s="2"/>
      <c r="IAN8" s="2"/>
      <c r="IAO8" s="2"/>
      <c r="IAP8" s="2"/>
      <c r="IAQ8" s="2"/>
      <c r="IAR8" s="2"/>
      <c r="IAS8" s="2"/>
      <c r="IAT8" s="2"/>
      <c r="IAU8" s="2"/>
      <c r="IAV8" s="2"/>
      <c r="IAW8" s="2"/>
      <c r="IAX8" s="2"/>
      <c r="IAY8" s="2"/>
      <c r="IAZ8" s="2"/>
      <c r="IBA8" s="2"/>
      <c r="IBB8" s="2"/>
      <c r="IBC8" s="2"/>
      <c r="IBD8" s="2"/>
      <c r="IBE8" s="2"/>
      <c r="IBF8" s="2"/>
      <c r="IBG8" s="2"/>
      <c r="IBH8" s="2"/>
      <c r="IBI8" s="2"/>
      <c r="IBJ8" s="2"/>
      <c r="IBK8" s="2"/>
      <c r="IBL8" s="2"/>
      <c r="IBM8" s="2"/>
      <c r="IBN8" s="2"/>
      <c r="IBO8" s="2"/>
      <c r="IBP8" s="2"/>
      <c r="IBQ8" s="2"/>
      <c r="IBR8" s="2"/>
      <c r="IBS8" s="2"/>
      <c r="IBT8" s="2"/>
      <c r="IBU8" s="2"/>
      <c r="IBV8" s="2"/>
      <c r="IBW8" s="2"/>
      <c r="IBX8" s="2"/>
      <c r="IBY8" s="2"/>
      <c r="IBZ8" s="2"/>
      <c r="ICA8" s="2"/>
      <c r="ICB8" s="2"/>
      <c r="ICC8" s="2"/>
      <c r="ICD8" s="2"/>
      <c r="ICE8" s="2"/>
      <c r="ICF8" s="2"/>
      <c r="ICG8" s="2"/>
      <c r="ICH8" s="2"/>
      <c r="ICI8" s="2"/>
      <c r="ICJ8" s="2"/>
      <c r="ICK8" s="2"/>
      <c r="ICL8" s="2"/>
      <c r="ICM8" s="2"/>
      <c r="ICN8" s="2"/>
      <c r="ICO8" s="2"/>
      <c r="ICP8" s="2"/>
      <c r="ICQ8" s="2"/>
      <c r="ICR8" s="2"/>
      <c r="ICS8" s="2"/>
      <c r="ICT8" s="2"/>
      <c r="ICU8" s="2"/>
      <c r="ICV8" s="2"/>
      <c r="ICW8" s="2"/>
      <c r="ICX8" s="2"/>
      <c r="ICY8" s="2"/>
      <c r="ICZ8" s="2"/>
      <c r="IDA8" s="2"/>
      <c r="IDB8" s="2"/>
      <c r="IDC8" s="2"/>
      <c r="IDD8" s="2"/>
      <c r="IDE8" s="2"/>
      <c r="IDF8" s="2"/>
      <c r="IDG8" s="2"/>
      <c r="IDH8" s="2"/>
      <c r="IDI8" s="2"/>
      <c r="IDJ8" s="2"/>
      <c r="IDK8" s="2"/>
      <c r="IDL8" s="2"/>
      <c r="IDM8" s="2"/>
      <c r="IDN8" s="2"/>
      <c r="IDO8" s="2"/>
      <c r="IDP8" s="2"/>
      <c r="IDQ8" s="2"/>
      <c r="IDR8" s="2"/>
      <c r="IDS8" s="2"/>
      <c r="IDT8" s="2"/>
      <c r="IDU8" s="2"/>
      <c r="IDV8" s="2"/>
      <c r="IDW8" s="2"/>
      <c r="IDX8" s="2"/>
      <c r="IDY8" s="2"/>
      <c r="IDZ8" s="2"/>
      <c r="IEA8" s="2"/>
      <c r="IEB8" s="2"/>
      <c r="IEC8" s="2"/>
      <c r="IED8" s="2"/>
      <c r="IEE8" s="2"/>
      <c r="IEF8" s="2"/>
      <c r="IEG8" s="2"/>
      <c r="IEH8" s="2"/>
      <c r="IEI8" s="2"/>
      <c r="IEJ8" s="2"/>
      <c r="IEK8" s="2"/>
      <c r="IEL8" s="2"/>
      <c r="IEM8" s="2"/>
      <c r="IEN8" s="2"/>
      <c r="IEO8" s="2"/>
      <c r="IEP8" s="2"/>
      <c r="IEQ8" s="2"/>
      <c r="IER8" s="2"/>
      <c r="IES8" s="2"/>
      <c r="IET8" s="2"/>
      <c r="IEU8" s="2"/>
      <c r="IEV8" s="2"/>
      <c r="IEW8" s="2"/>
      <c r="IEX8" s="2"/>
      <c r="IEY8" s="2"/>
      <c r="IEZ8" s="2"/>
      <c r="IFA8" s="2"/>
      <c r="IFB8" s="2"/>
      <c r="IFC8" s="2"/>
      <c r="IFD8" s="2"/>
      <c r="IFE8" s="2"/>
      <c r="IFF8" s="2"/>
      <c r="IFG8" s="2"/>
      <c r="IFH8" s="2"/>
      <c r="IFI8" s="2"/>
      <c r="IFJ8" s="2"/>
      <c r="IFK8" s="2"/>
      <c r="IFL8" s="2"/>
      <c r="IFM8" s="2"/>
      <c r="IFN8" s="2"/>
      <c r="IFO8" s="2"/>
      <c r="IFP8" s="2"/>
      <c r="IFQ8" s="2"/>
      <c r="IFR8" s="2"/>
      <c r="IFS8" s="2"/>
      <c r="IFT8" s="2"/>
      <c r="IFU8" s="2"/>
      <c r="IFV8" s="2"/>
      <c r="IFW8" s="2"/>
      <c r="IFX8" s="2"/>
      <c r="IFY8" s="2"/>
      <c r="IFZ8" s="2"/>
      <c r="IGA8" s="2"/>
      <c r="IGB8" s="2"/>
      <c r="IGC8" s="2"/>
      <c r="IGD8" s="2"/>
      <c r="IGE8" s="2"/>
      <c r="IGF8" s="2"/>
      <c r="IGG8" s="2"/>
      <c r="IGH8" s="2"/>
      <c r="IGI8" s="2"/>
      <c r="IGJ8" s="2"/>
      <c r="IGK8" s="2"/>
      <c r="IGL8" s="2"/>
      <c r="IGM8" s="2"/>
      <c r="IGN8" s="2"/>
      <c r="IGO8" s="2"/>
      <c r="IGP8" s="2"/>
      <c r="IGQ8" s="2"/>
      <c r="IGR8" s="2"/>
      <c r="IGS8" s="2"/>
      <c r="IGT8" s="2"/>
      <c r="IGU8" s="2"/>
      <c r="IGV8" s="2"/>
      <c r="IGW8" s="2"/>
      <c r="IGX8" s="2"/>
      <c r="IGY8" s="2"/>
      <c r="IGZ8" s="2"/>
      <c r="IHA8" s="2"/>
      <c r="IHB8" s="2"/>
      <c r="IHC8" s="2"/>
      <c r="IHD8" s="2"/>
      <c r="IHE8" s="2"/>
      <c r="IHF8" s="2"/>
      <c r="IHG8" s="2"/>
      <c r="IHH8" s="2"/>
      <c r="IHI8" s="2"/>
      <c r="IHJ8" s="2"/>
      <c r="IHK8" s="2"/>
      <c r="IHL8" s="2"/>
      <c r="IHM8" s="2"/>
      <c r="IHN8" s="2"/>
      <c r="IHO8" s="2"/>
      <c r="IHP8" s="2"/>
      <c r="IHQ8" s="2"/>
      <c r="IHR8" s="2"/>
      <c r="IHS8" s="2"/>
      <c r="IHT8" s="2"/>
      <c r="IHU8" s="2"/>
      <c r="IHV8" s="2"/>
      <c r="IHW8" s="2"/>
      <c r="IHX8" s="2"/>
      <c r="IHY8" s="2"/>
      <c r="IHZ8" s="2"/>
      <c r="IIA8" s="2"/>
      <c r="IIB8" s="2"/>
      <c r="IIC8" s="2"/>
      <c r="IID8" s="2"/>
      <c r="IIE8" s="2"/>
      <c r="IIF8" s="2"/>
      <c r="IIG8" s="2"/>
      <c r="IIH8" s="2"/>
      <c r="III8" s="2"/>
      <c r="IIJ8" s="2"/>
      <c r="IIK8" s="2"/>
      <c r="IIL8" s="2"/>
      <c r="IIM8" s="2"/>
      <c r="IIN8" s="2"/>
      <c r="IIO8" s="2"/>
      <c r="IIP8" s="2"/>
      <c r="IIQ8" s="2"/>
      <c r="IIR8" s="2"/>
      <c r="IIS8" s="2"/>
      <c r="IIT8" s="2"/>
      <c r="IIU8" s="2"/>
      <c r="IIV8" s="2"/>
      <c r="IIW8" s="2"/>
      <c r="IIX8" s="2"/>
      <c r="IIY8" s="2"/>
      <c r="IIZ8" s="2"/>
      <c r="IJA8" s="2"/>
      <c r="IJB8" s="2"/>
      <c r="IJC8" s="2"/>
      <c r="IJD8" s="2"/>
      <c r="IJE8" s="2"/>
      <c r="IJF8" s="2"/>
      <c r="IJG8" s="2"/>
      <c r="IJH8" s="2"/>
      <c r="IJI8" s="2"/>
      <c r="IJJ8" s="2"/>
      <c r="IJK8" s="2"/>
      <c r="IJL8" s="2"/>
      <c r="IJM8" s="2"/>
      <c r="IJN8" s="2"/>
      <c r="IJO8" s="2"/>
      <c r="IJP8" s="2"/>
      <c r="IJQ8" s="2"/>
      <c r="IJR8" s="2"/>
      <c r="IJS8" s="2"/>
      <c r="IJT8" s="2"/>
      <c r="IJU8" s="2"/>
      <c r="IJV8" s="2"/>
      <c r="IJW8" s="2"/>
      <c r="IJX8" s="2"/>
      <c r="IJY8" s="2"/>
      <c r="IJZ8" s="2"/>
      <c r="IKA8" s="2"/>
      <c r="IKB8" s="2"/>
      <c r="IKC8" s="2"/>
      <c r="IKD8" s="2"/>
      <c r="IKE8" s="2"/>
      <c r="IKF8" s="2"/>
      <c r="IKG8" s="2"/>
      <c r="IKH8" s="2"/>
      <c r="IKI8" s="2"/>
      <c r="IKJ8" s="2"/>
      <c r="IKK8" s="2"/>
      <c r="IKL8" s="2"/>
      <c r="IKM8" s="2"/>
      <c r="IKN8" s="2"/>
      <c r="IKO8" s="2"/>
      <c r="IKP8" s="2"/>
      <c r="IKQ8" s="2"/>
      <c r="IKR8" s="2"/>
      <c r="IKS8" s="2"/>
      <c r="IKT8" s="2"/>
      <c r="IKU8" s="2"/>
      <c r="IKV8" s="2"/>
      <c r="IKW8" s="2"/>
      <c r="IKX8" s="2"/>
      <c r="IKY8" s="2"/>
      <c r="IKZ8" s="2"/>
      <c r="ILA8" s="2"/>
      <c r="ILB8" s="2"/>
      <c r="ILC8" s="2"/>
      <c r="ILD8" s="2"/>
      <c r="ILE8" s="2"/>
      <c r="ILF8" s="2"/>
      <c r="ILG8" s="2"/>
      <c r="ILH8" s="2"/>
      <c r="ILI8" s="2"/>
      <c r="ILJ8" s="2"/>
      <c r="ILK8" s="2"/>
      <c r="ILL8" s="2"/>
      <c r="ILM8" s="2"/>
      <c r="ILN8" s="2"/>
      <c r="ILO8" s="2"/>
      <c r="ILP8" s="2"/>
      <c r="ILQ8" s="2"/>
      <c r="ILR8" s="2"/>
      <c r="ILS8" s="2"/>
      <c r="ILT8" s="2"/>
      <c r="ILU8" s="2"/>
      <c r="ILV8" s="2"/>
      <c r="ILW8" s="2"/>
      <c r="ILX8" s="2"/>
      <c r="ILY8" s="2"/>
      <c r="ILZ8" s="2"/>
      <c r="IMA8" s="2"/>
      <c r="IMB8" s="2"/>
      <c r="IMC8" s="2"/>
      <c r="IMD8" s="2"/>
      <c r="IME8" s="2"/>
      <c r="IMF8" s="2"/>
      <c r="IMG8" s="2"/>
      <c r="IMH8" s="2"/>
      <c r="IMI8" s="2"/>
      <c r="IMJ8" s="2"/>
      <c r="IMK8" s="2"/>
      <c r="IML8" s="2"/>
      <c r="IMM8" s="2"/>
      <c r="IMN8" s="2"/>
      <c r="IMO8" s="2"/>
      <c r="IMP8" s="2"/>
      <c r="IMQ8" s="2"/>
      <c r="IMR8" s="2"/>
      <c r="IMS8" s="2"/>
      <c r="IMT8" s="2"/>
      <c r="IMU8" s="2"/>
      <c r="IMV8" s="2"/>
      <c r="IMW8" s="2"/>
      <c r="IMX8" s="2"/>
      <c r="IMY8" s="2"/>
      <c r="IMZ8" s="2"/>
      <c r="INA8" s="2"/>
      <c r="INB8" s="2"/>
      <c r="INC8" s="2"/>
      <c r="IND8" s="2"/>
      <c r="INE8" s="2"/>
      <c r="INF8" s="2"/>
      <c r="ING8" s="2"/>
      <c r="INH8" s="2"/>
      <c r="INI8" s="2"/>
      <c r="INJ8" s="2"/>
      <c r="INK8" s="2"/>
      <c r="INL8" s="2"/>
      <c r="INM8" s="2"/>
      <c r="INN8" s="2"/>
      <c r="INO8" s="2"/>
      <c r="INP8" s="2"/>
      <c r="INQ8" s="2"/>
      <c r="INR8" s="2"/>
      <c r="INS8" s="2"/>
      <c r="INT8" s="2"/>
      <c r="INU8" s="2"/>
      <c r="INV8" s="2"/>
      <c r="INW8" s="2"/>
      <c r="INX8" s="2"/>
      <c r="INY8" s="2"/>
      <c r="INZ8" s="2"/>
      <c r="IOA8" s="2"/>
      <c r="IOB8" s="2"/>
      <c r="IOC8" s="2"/>
      <c r="IOD8" s="2"/>
      <c r="IOE8" s="2"/>
      <c r="IOF8" s="2"/>
      <c r="IOG8" s="2"/>
      <c r="IOH8" s="2"/>
      <c r="IOI8" s="2"/>
      <c r="IOJ8" s="2"/>
      <c r="IOK8" s="2"/>
      <c r="IOL8" s="2"/>
      <c r="IOM8" s="2"/>
      <c r="ION8" s="2"/>
      <c r="IOO8" s="2"/>
      <c r="IOP8" s="2"/>
      <c r="IOQ8" s="2"/>
      <c r="IOR8" s="2"/>
      <c r="IOS8" s="2"/>
      <c r="IOT8" s="2"/>
      <c r="IOU8" s="2"/>
      <c r="IOV8" s="2"/>
      <c r="IOW8" s="2"/>
      <c r="IOX8" s="2"/>
      <c r="IOY8" s="2"/>
      <c r="IOZ8" s="2"/>
      <c r="IPA8" s="2"/>
      <c r="IPB8" s="2"/>
      <c r="IPC8" s="2"/>
      <c r="IPD8" s="2"/>
      <c r="IPE8" s="2"/>
      <c r="IPF8" s="2"/>
      <c r="IPG8" s="2"/>
      <c r="IPH8" s="2"/>
      <c r="IPI8" s="2"/>
      <c r="IPJ8" s="2"/>
      <c r="IPK8" s="2"/>
      <c r="IPL8" s="2"/>
      <c r="IPM8" s="2"/>
      <c r="IPN8" s="2"/>
      <c r="IPO8" s="2"/>
      <c r="IPP8" s="2"/>
      <c r="IPQ8" s="2"/>
      <c r="IPR8" s="2"/>
      <c r="IPS8" s="2"/>
      <c r="IPT8" s="2"/>
      <c r="IPU8" s="2"/>
      <c r="IPV8" s="2"/>
      <c r="IPW8" s="2"/>
      <c r="IPX8" s="2"/>
      <c r="IPY8" s="2"/>
      <c r="IPZ8" s="2"/>
      <c r="IQA8" s="2"/>
      <c r="IQB8" s="2"/>
      <c r="IQC8" s="2"/>
      <c r="IQD8" s="2"/>
      <c r="IQE8" s="2"/>
      <c r="IQF8" s="2"/>
      <c r="IQG8" s="2"/>
      <c r="IQH8" s="2"/>
      <c r="IQI8" s="2"/>
      <c r="IQJ8" s="2"/>
      <c r="IQK8" s="2"/>
      <c r="IQL8" s="2"/>
      <c r="IQM8" s="2"/>
      <c r="IQN8" s="2"/>
      <c r="IQO8" s="2"/>
      <c r="IQP8" s="2"/>
      <c r="IQQ8" s="2"/>
      <c r="IQR8" s="2"/>
      <c r="IQS8" s="2"/>
      <c r="IQT8" s="2"/>
      <c r="IQU8" s="2"/>
      <c r="IQV8" s="2"/>
      <c r="IQW8" s="2"/>
      <c r="IQX8" s="2"/>
      <c r="IQY8" s="2"/>
      <c r="IQZ8" s="2"/>
      <c r="IRA8" s="2"/>
      <c r="IRB8" s="2"/>
      <c r="IRC8" s="2"/>
      <c r="IRD8" s="2"/>
      <c r="IRE8" s="2"/>
      <c r="IRF8" s="2"/>
      <c r="IRG8" s="2"/>
      <c r="IRH8" s="2"/>
      <c r="IRI8" s="2"/>
      <c r="IRJ8" s="2"/>
      <c r="IRK8" s="2"/>
      <c r="IRL8" s="2"/>
      <c r="IRM8" s="2"/>
      <c r="IRN8" s="2"/>
      <c r="IRO8" s="2"/>
      <c r="IRP8" s="2"/>
      <c r="IRQ8" s="2"/>
      <c r="IRR8" s="2"/>
      <c r="IRS8" s="2"/>
      <c r="IRT8" s="2"/>
      <c r="IRU8" s="2"/>
      <c r="IRV8" s="2"/>
      <c r="IRW8" s="2"/>
      <c r="IRX8" s="2"/>
      <c r="IRY8" s="2"/>
      <c r="IRZ8" s="2"/>
      <c r="ISA8" s="2"/>
      <c r="ISB8" s="2"/>
      <c r="ISC8" s="2"/>
      <c r="ISD8" s="2"/>
      <c r="ISE8" s="2"/>
      <c r="ISF8" s="2"/>
      <c r="ISG8" s="2"/>
      <c r="ISH8" s="2"/>
      <c r="ISI8" s="2"/>
      <c r="ISJ8" s="2"/>
      <c r="ISK8" s="2"/>
      <c r="ISL8" s="2"/>
      <c r="ISM8" s="2"/>
      <c r="ISN8" s="2"/>
      <c r="ISO8" s="2"/>
      <c r="ISP8" s="2"/>
      <c r="ISQ8" s="2"/>
      <c r="ISR8" s="2"/>
      <c r="ISS8" s="2"/>
      <c r="IST8" s="2"/>
      <c r="ISU8" s="2"/>
      <c r="ISV8" s="2"/>
      <c r="ISW8" s="2"/>
      <c r="ISX8" s="2"/>
      <c r="ISY8" s="2"/>
      <c r="ISZ8" s="2"/>
      <c r="ITA8" s="2"/>
      <c r="ITB8" s="2"/>
      <c r="ITC8" s="2"/>
      <c r="ITD8" s="2"/>
      <c r="ITE8" s="2"/>
      <c r="ITF8" s="2"/>
      <c r="ITG8" s="2"/>
      <c r="ITH8" s="2"/>
      <c r="ITI8" s="2"/>
      <c r="ITJ8" s="2"/>
      <c r="ITK8" s="2"/>
      <c r="ITL8" s="2"/>
      <c r="ITM8" s="2"/>
      <c r="ITN8" s="2"/>
      <c r="ITO8" s="2"/>
      <c r="ITP8" s="2"/>
      <c r="ITQ8" s="2"/>
      <c r="ITR8" s="2"/>
      <c r="ITS8" s="2"/>
      <c r="ITT8" s="2"/>
      <c r="ITU8" s="2"/>
      <c r="ITV8" s="2"/>
      <c r="ITW8" s="2"/>
      <c r="ITX8" s="2"/>
      <c r="ITY8" s="2"/>
      <c r="ITZ8" s="2"/>
      <c r="IUA8" s="2"/>
      <c r="IUB8" s="2"/>
      <c r="IUC8" s="2"/>
      <c r="IUD8" s="2"/>
      <c r="IUE8" s="2"/>
      <c r="IUF8" s="2"/>
      <c r="IUG8" s="2"/>
      <c r="IUH8" s="2"/>
      <c r="IUI8" s="2"/>
      <c r="IUJ8" s="2"/>
      <c r="IUK8" s="2"/>
      <c r="IUL8" s="2"/>
      <c r="IUM8" s="2"/>
      <c r="IUN8" s="2"/>
      <c r="IUO8" s="2"/>
      <c r="IUP8" s="2"/>
      <c r="IUQ8" s="2"/>
      <c r="IUR8" s="2"/>
      <c r="IUS8" s="2"/>
      <c r="IUT8" s="2"/>
      <c r="IUU8" s="2"/>
      <c r="IUV8" s="2"/>
      <c r="IUW8" s="2"/>
      <c r="IUX8" s="2"/>
      <c r="IUY8" s="2"/>
      <c r="IUZ8" s="2"/>
      <c r="IVA8" s="2"/>
      <c r="IVB8" s="2"/>
      <c r="IVC8" s="2"/>
      <c r="IVD8" s="2"/>
      <c r="IVE8" s="2"/>
      <c r="IVF8" s="2"/>
      <c r="IVG8" s="2"/>
      <c r="IVH8" s="2"/>
      <c r="IVI8" s="2"/>
      <c r="IVJ8" s="2"/>
      <c r="IVK8" s="2"/>
      <c r="IVL8" s="2"/>
      <c r="IVM8" s="2"/>
      <c r="IVN8" s="2"/>
      <c r="IVO8" s="2"/>
      <c r="IVP8" s="2"/>
      <c r="IVQ8" s="2"/>
      <c r="IVR8" s="2"/>
      <c r="IVS8" s="2"/>
      <c r="IVT8" s="2"/>
      <c r="IVU8" s="2"/>
      <c r="IVV8" s="2"/>
      <c r="IVW8" s="2"/>
      <c r="IVX8" s="2"/>
      <c r="IVY8" s="2"/>
      <c r="IVZ8" s="2"/>
      <c r="IWA8" s="2"/>
      <c r="IWB8" s="2"/>
      <c r="IWC8" s="2"/>
      <c r="IWD8" s="2"/>
      <c r="IWE8" s="2"/>
      <c r="IWF8" s="2"/>
      <c r="IWG8" s="2"/>
      <c r="IWH8" s="2"/>
      <c r="IWI8" s="2"/>
      <c r="IWJ8" s="2"/>
      <c r="IWK8" s="2"/>
      <c r="IWL8" s="2"/>
      <c r="IWM8" s="2"/>
      <c r="IWN8" s="2"/>
      <c r="IWO8" s="2"/>
      <c r="IWP8" s="2"/>
      <c r="IWQ8" s="2"/>
      <c r="IWR8" s="2"/>
      <c r="IWS8" s="2"/>
      <c r="IWT8" s="2"/>
      <c r="IWU8" s="2"/>
      <c r="IWV8" s="2"/>
      <c r="IWW8" s="2"/>
      <c r="IWX8" s="2"/>
      <c r="IWY8" s="2"/>
      <c r="IWZ8" s="2"/>
      <c r="IXA8" s="2"/>
      <c r="IXB8" s="2"/>
      <c r="IXC8" s="2"/>
      <c r="IXD8" s="2"/>
      <c r="IXE8" s="2"/>
      <c r="IXF8" s="2"/>
      <c r="IXG8" s="2"/>
      <c r="IXH8" s="2"/>
      <c r="IXI8" s="2"/>
      <c r="IXJ8" s="2"/>
      <c r="IXK8" s="2"/>
      <c r="IXL8" s="2"/>
      <c r="IXM8" s="2"/>
      <c r="IXN8" s="2"/>
      <c r="IXO8" s="2"/>
      <c r="IXP8" s="2"/>
      <c r="IXQ8" s="2"/>
      <c r="IXR8" s="2"/>
      <c r="IXS8" s="2"/>
      <c r="IXT8" s="2"/>
      <c r="IXU8" s="2"/>
      <c r="IXV8" s="2"/>
      <c r="IXW8" s="2"/>
      <c r="IXX8" s="2"/>
      <c r="IXY8" s="2"/>
      <c r="IXZ8" s="2"/>
      <c r="IYA8" s="2"/>
      <c r="IYB8" s="2"/>
      <c r="IYC8" s="2"/>
      <c r="IYD8" s="2"/>
      <c r="IYE8" s="2"/>
      <c r="IYF8" s="2"/>
      <c r="IYG8" s="2"/>
      <c r="IYH8" s="2"/>
      <c r="IYI8" s="2"/>
      <c r="IYJ8" s="2"/>
      <c r="IYK8" s="2"/>
      <c r="IYL8" s="2"/>
      <c r="IYM8" s="2"/>
      <c r="IYN8" s="2"/>
      <c r="IYO8" s="2"/>
      <c r="IYP8" s="2"/>
      <c r="IYQ8" s="2"/>
      <c r="IYR8" s="2"/>
      <c r="IYS8" s="2"/>
      <c r="IYT8" s="2"/>
      <c r="IYU8" s="2"/>
      <c r="IYV8" s="2"/>
      <c r="IYW8" s="2"/>
      <c r="IYX8" s="2"/>
      <c r="IYY8" s="2"/>
      <c r="IYZ8" s="2"/>
      <c r="IZA8" s="2"/>
      <c r="IZB8" s="2"/>
      <c r="IZC8" s="2"/>
      <c r="IZD8" s="2"/>
      <c r="IZE8" s="2"/>
      <c r="IZF8" s="2"/>
      <c r="IZG8" s="2"/>
      <c r="IZH8" s="2"/>
      <c r="IZI8" s="2"/>
      <c r="IZJ8" s="2"/>
      <c r="IZK8" s="2"/>
      <c r="IZL8" s="2"/>
      <c r="IZM8" s="2"/>
      <c r="IZN8" s="2"/>
      <c r="IZO8" s="2"/>
      <c r="IZP8" s="2"/>
      <c r="IZQ8" s="2"/>
      <c r="IZR8" s="2"/>
      <c r="IZS8" s="2"/>
      <c r="IZT8" s="2"/>
      <c r="IZU8" s="2"/>
      <c r="IZV8" s="2"/>
      <c r="IZW8" s="2"/>
      <c r="IZX8" s="2"/>
      <c r="IZY8" s="2"/>
      <c r="IZZ8" s="2"/>
      <c r="JAA8" s="2"/>
      <c r="JAB8" s="2"/>
      <c r="JAC8" s="2"/>
      <c r="JAD8" s="2"/>
      <c r="JAE8" s="2"/>
      <c r="JAF8" s="2"/>
      <c r="JAG8" s="2"/>
      <c r="JAH8" s="2"/>
      <c r="JAI8" s="2"/>
      <c r="JAJ8" s="2"/>
      <c r="JAK8" s="2"/>
      <c r="JAL8" s="2"/>
      <c r="JAM8" s="2"/>
      <c r="JAN8" s="2"/>
      <c r="JAO8" s="2"/>
      <c r="JAP8" s="2"/>
      <c r="JAQ8" s="2"/>
      <c r="JAR8" s="2"/>
      <c r="JAS8" s="2"/>
      <c r="JAT8" s="2"/>
      <c r="JAU8" s="2"/>
      <c r="JAV8" s="2"/>
      <c r="JAW8" s="2"/>
      <c r="JAX8" s="2"/>
      <c r="JAY8" s="2"/>
      <c r="JAZ8" s="2"/>
      <c r="JBA8" s="2"/>
      <c r="JBB8" s="2"/>
      <c r="JBC8" s="2"/>
      <c r="JBD8" s="2"/>
      <c r="JBE8" s="2"/>
      <c r="JBF8" s="2"/>
      <c r="JBG8" s="2"/>
      <c r="JBH8" s="2"/>
      <c r="JBI8" s="2"/>
      <c r="JBJ8" s="2"/>
      <c r="JBK8" s="2"/>
      <c r="JBL8" s="2"/>
      <c r="JBM8" s="2"/>
      <c r="JBN8" s="2"/>
      <c r="JBO8" s="2"/>
      <c r="JBP8" s="2"/>
      <c r="JBQ8" s="2"/>
      <c r="JBR8" s="2"/>
      <c r="JBS8" s="2"/>
      <c r="JBT8" s="2"/>
      <c r="JBU8" s="2"/>
      <c r="JBV8" s="2"/>
      <c r="JBW8" s="2"/>
      <c r="JBX8" s="2"/>
      <c r="JBY8" s="2"/>
      <c r="JBZ8" s="2"/>
      <c r="JCA8" s="2"/>
      <c r="JCB8" s="2"/>
      <c r="JCC8" s="2"/>
      <c r="JCD8" s="2"/>
      <c r="JCE8" s="2"/>
      <c r="JCF8" s="2"/>
      <c r="JCG8" s="2"/>
      <c r="JCH8" s="2"/>
      <c r="JCI8" s="2"/>
      <c r="JCJ8" s="2"/>
      <c r="JCK8" s="2"/>
      <c r="JCL8" s="2"/>
      <c r="JCM8" s="2"/>
      <c r="JCN8" s="2"/>
      <c r="JCO8" s="2"/>
      <c r="JCP8" s="2"/>
      <c r="JCQ8" s="2"/>
      <c r="JCR8" s="2"/>
      <c r="JCS8" s="2"/>
      <c r="JCT8" s="2"/>
      <c r="JCU8" s="2"/>
      <c r="JCV8" s="2"/>
      <c r="JCW8" s="2"/>
      <c r="JCX8" s="2"/>
      <c r="JCY8" s="2"/>
      <c r="JCZ8" s="2"/>
      <c r="JDA8" s="2"/>
      <c r="JDB8" s="2"/>
      <c r="JDC8" s="2"/>
      <c r="JDD8" s="2"/>
      <c r="JDE8" s="2"/>
      <c r="JDF8" s="2"/>
      <c r="JDG8" s="2"/>
      <c r="JDH8" s="2"/>
      <c r="JDI8" s="2"/>
      <c r="JDJ8" s="2"/>
      <c r="JDK8" s="2"/>
      <c r="JDL8" s="2"/>
      <c r="JDM8" s="2"/>
      <c r="JDN8" s="2"/>
      <c r="JDO8" s="2"/>
      <c r="JDP8" s="2"/>
      <c r="JDQ8" s="2"/>
      <c r="JDR8" s="2"/>
      <c r="JDS8" s="2"/>
      <c r="JDT8" s="2"/>
      <c r="JDU8" s="2"/>
      <c r="JDV8" s="2"/>
      <c r="JDW8" s="2"/>
      <c r="JDX8" s="2"/>
      <c r="JDY8" s="2"/>
      <c r="JDZ8" s="2"/>
      <c r="JEA8" s="2"/>
      <c r="JEB8" s="2"/>
      <c r="JEC8" s="2"/>
      <c r="JED8" s="2"/>
      <c r="JEE8" s="2"/>
      <c r="JEF8" s="2"/>
      <c r="JEG8" s="2"/>
      <c r="JEH8" s="2"/>
      <c r="JEI8" s="2"/>
      <c r="JEJ8" s="2"/>
      <c r="JEK8" s="2"/>
      <c r="JEL8" s="2"/>
      <c r="JEM8" s="2"/>
      <c r="JEN8" s="2"/>
      <c r="JEO8" s="2"/>
      <c r="JEP8" s="2"/>
      <c r="JEQ8" s="2"/>
      <c r="JER8" s="2"/>
      <c r="JES8" s="2"/>
      <c r="JET8" s="2"/>
      <c r="JEU8" s="2"/>
      <c r="JEV8" s="2"/>
      <c r="JEW8" s="2"/>
      <c r="JEX8" s="2"/>
      <c r="JEY8" s="2"/>
      <c r="JEZ8" s="2"/>
      <c r="JFA8" s="2"/>
      <c r="JFB8" s="2"/>
      <c r="JFC8" s="2"/>
      <c r="JFD8" s="2"/>
      <c r="JFE8" s="2"/>
      <c r="JFF8" s="2"/>
      <c r="JFG8" s="2"/>
      <c r="JFH8" s="2"/>
      <c r="JFI8" s="2"/>
      <c r="JFJ8" s="2"/>
      <c r="JFK8" s="2"/>
      <c r="JFL8" s="2"/>
      <c r="JFM8" s="2"/>
      <c r="JFN8" s="2"/>
      <c r="JFO8" s="2"/>
      <c r="JFP8" s="2"/>
      <c r="JFQ8" s="2"/>
      <c r="JFR8" s="2"/>
      <c r="JFS8" s="2"/>
      <c r="JFT8" s="2"/>
      <c r="JFU8" s="2"/>
      <c r="JFV8" s="2"/>
      <c r="JFW8" s="2"/>
      <c r="JFX8" s="2"/>
      <c r="JFY8" s="2"/>
      <c r="JFZ8" s="2"/>
      <c r="JGA8" s="2"/>
      <c r="JGB8" s="2"/>
      <c r="JGC8" s="2"/>
      <c r="JGD8" s="2"/>
      <c r="JGE8" s="2"/>
      <c r="JGF8" s="2"/>
      <c r="JGG8" s="2"/>
      <c r="JGH8" s="2"/>
      <c r="JGI8" s="2"/>
      <c r="JGJ8" s="2"/>
      <c r="JGK8" s="2"/>
      <c r="JGL8" s="2"/>
      <c r="JGM8" s="2"/>
      <c r="JGN8" s="2"/>
      <c r="JGO8" s="2"/>
      <c r="JGP8" s="2"/>
      <c r="JGQ8" s="2"/>
      <c r="JGR8" s="2"/>
      <c r="JGS8" s="2"/>
      <c r="JGT8" s="2"/>
      <c r="JGU8" s="2"/>
      <c r="JGV8" s="2"/>
      <c r="JGW8" s="2"/>
      <c r="JGX8" s="2"/>
      <c r="JGY8" s="2"/>
      <c r="JGZ8" s="2"/>
      <c r="JHA8" s="2"/>
      <c r="JHB8" s="2"/>
      <c r="JHC8" s="2"/>
      <c r="JHD8" s="2"/>
      <c r="JHE8" s="2"/>
      <c r="JHF8" s="2"/>
      <c r="JHG8" s="2"/>
      <c r="JHH8" s="2"/>
      <c r="JHI8" s="2"/>
      <c r="JHJ8" s="2"/>
      <c r="JHK8" s="2"/>
      <c r="JHL8" s="2"/>
      <c r="JHM8" s="2"/>
      <c r="JHN8" s="2"/>
      <c r="JHO8" s="2"/>
      <c r="JHP8" s="2"/>
      <c r="JHQ8" s="2"/>
      <c r="JHR8" s="2"/>
      <c r="JHS8" s="2"/>
      <c r="JHT8" s="2"/>
      <c r="JHU8" s="2"/>
      <c r="JHV8" s="2"/>
      <c r="JHW8" s="2"/>
      <c r="JHX8" s="2"/>
      <c r="JHY8" s="2"/>
      <c r="JHZ8" s="2"/>
      <c r="JIA8" s="2"/>
      <c r="JIB8" s="2"/>
      <c r="JIC8" s="2"/>
      <c r="JID8" s="2"/>
      <c r="JIE8" s="2"/>
      <c r="JIF8" s="2"/>
      <c r="JIG8" s="2"/>
      <c r="JIH8" s="2"/>
      <c r="JII8" s="2"/>
      <c r="JIJ8" s="2"/>
      <c r="JIK8" s="2"/>
      <c r="JIL8" s="2"/>
      <c r="JIM8" s="2"/>
      <c r="JIN8" s="2"/>
      <c r="JIO8" s="2"/>
      <c r="JIP8" s="2"/>
      <c r="JIQ8" s="2"/>
      <c r="JIR8" s="2"/>
      <c r="JIS8" s="2"/>
      <c r="JIT8" s="2"/>
      <c r="JIU8" s="2"/>
      <c r="JIV8" s="2"/>
      <c r="JIW8" s="2"/>
      <c r="JIX8" s="2"/>
      <c r="JIY8" s="2"/>
      <c r="JIZ8" s="2"/>
      <c r="JJA8" s="2"/>
      <c r="JJB8" s="2"/>
      <c r="JJC8" s="2"/>
      <c r="JJD8" s="2"/>
      <c r="JJE8" s="2"/>
      <c r="JJF8" s="2"/>
      <c r="JJG8" s="2"/>
      <c r="JJH8" s="2"/>
      <c r="JJI8" s="2"/>
      <c r="JJJ8" s="2"/>
      <c r="JJK8" s="2"/>
      <c r="JJL8" s="2"/>
      <c r="JJM8" s="2"/>
      <c r="JJN8" s="2"/>
      <c r="JJO8" s="2"/>
      <c r="JJP8" s="2"/>
      <c r="JJQ8" s="2"/>
      <c r="JJR8" s="2"/>
      <c r="JJS8" s="2"/>
      <c r="JJT8" s="2"/>
      <c r="JJU8" s="2"/>
      <c r="JJV8" s="2"/>
      <c r="JJW8" s="2"/>
      <c r="JJX8" s="2"/>
      <c r="JJY8" s="2"/>
      <c r="JJZ8" s="2"/>
      <c r="JKA8" s="2"/>
      <c r="JKB8" s="2"/>
      <c r="JKC8" s="2"/>
      <c r="JKD8" s="2"/>
      <c r="JKE8" s="2"/>
      <c r="JKF8" s="2"/>
      <c r="JKG8" s="2"/>
      <c r="JKH8" s="2"/>
      <c r="JKI8" s="2"/>
      <c r="JKJ8" s="2"/>
      <c r="JKK8" s="2"/>
      <c r="JKL8" s="2"/>
      <c r="JKM8" s="2"/>
      <c r="JKN8" s="2"/>
      <c r="JKO8" s="2"/>
      <c r="JKP8" s="2"/>
      <c r="JKQ8" s="2"/>
      <c r="JKR8" s="2"/>
      <c r="JKS8" s="2"/>
      <c r="JKT8" s="2"/>
      <c r="JKU8" s="2"/>
      <c r="JKV8" s="2"/>
      <c r="JKW8" s="2"/>
      <c r="JKX8" s="2"/>
      <c r="JKY8" s="2"/>
      <c r="JKZ8" s="2"/>
      <c r="JLA8" s="2"/>
      <c r="JLB8" s="2"/>
      <c r="JLC8" s="2"/>
      <c r="JLD8" s="2"/>
      <c r="JLE8" s="2"/>
      <c r="JLF8" s="2"/>
      <c r="JLG8" s="2"/>
      <c r="JLH8" s="2"/>
      <c r="JLI8" s="2"/>
      <c r="JLJ8" s="2"/>
      <c r="JLK8" s="2"/>
      <c r="JLL8" s="2"/>
      <c r="JLM8" s="2"/>
      <c r="JLN8" s="2"/>
      <c r="JLO8" s="2"/>
      <c r="JLP8" s="2"/>
      <c r="JLQ8" s="2"/>
      <c r="JLR8" s="2"/>
      <c r="JLS8" s="2"/>
      <c r="JLT8" s="2"/>
      <c r="JLU8" s="2"/>
      <c r="JLV8" s="2"/>
      <c r="JLW8" s="2"/>
      <c r="JLX8" s="2"/>
      <c r="JLY8" s="2"/>
      <c r="JLZ8" s="2"/>
      <c r="JMA8" s="2"/>
      <c r="JMB8" s="2"/>
      <c r="JMC8" s="2"/>
      <c r="JMD8" s="2"/>
      <c r="JME8" s="2"/>
      <c r="JMF8" s="2"/>
      <c r="JMG8" s="2"/>
      <c r="JMH8" s="2"/>
      <c r="JMI8" s="2"/>
      <c r="JMJ8" s="2"/>
      <c r="JMK8" s="2"/>
      <c r="JML8" s="2"/>
      <c r="JMM8" s="2"/>
      <c r="JMN8" s="2"/>
      <c r="JMO8" s="2"/>
      <c r="JMP8" s="2"/>
      <c r="JMQ8" s="2"/>
      <c r="JMR8" s="2"/>
      <c r="JMS8" s="2"/>
      <c r="JMT8" s="2"/>
      <c r="JMU8" s="2"/>
      <c r="JMV8" s="2"/>
      <c r="JMW8" s="2"/>
      <c r="JMX8" s="2"/>
      <c r="JMY8" s="2"/>
      <c r="JMZ8" s="2"/>
      <c r="JNA8" s="2"/>
      <c r="JNB8" s="2"/>
      <c r="JNC8" s="2"/>
      <c r="JND8" s="2"/>
      <c r="JNE8" s="2"/>
      <c r="JNF8" s="2"/>
      <c r="JNG8" s="2"/>
      <c r="JNH8" s="2"/>
      <c r="JNI8" s="2"/>
      <c r="JNJ8" s="2"/>
      <c r="JNK8" s="2"/>
      <c r="JNL8" s="2"/>
      <c r="JNM8" s="2"/>
      <c r="JNN8" s="2"/>
      <c r="JNO8" s="2"/>
      <c r="JNP8" s="2"/>
      <c r="JNQ8" s="2"/>
      <c r="JNR8" s="2"/>
      <c r="JNS8" s="2"/>
      <c r="JNT8" s="2"/>
      <c r="JNU8" s="2"/>
      <c r="JNV8" s="2"/>
      <c r="JNW8" s="2"/>
      <c r="JNX8" s="2"/>
      <c r="JNY8" s="2"/>
      <c r="JNZ8" s="2"/>
      <c r="JOA8" s="2"/>
      <c r="JOB8" s="2"/>
      <c r="JOC8" s="2"/>
      <c r="JOD8" s="2"/>
      <c r="JOE8" s="2"/>
      <c r="JOF8" s="2"/>
      <c r="JOG8" s="2"/>
      <c r="JOH8" s="2"/>
      <c r="JOI8" s="2"/>
      <c r="JOJ8" s="2"/>
      <c r="JOK8" s="2"/>
      <c r="JOL8" s="2"/>
      <c r="JOM8" s="2"/>
      <c r="JON8" s="2"/>
      <c r="JOO8" s="2"/>
      <c r="JOP8" s="2"/>
      <c r="JOQ8" s="2"/>
      <c r="JOR8" s="2"/>
      <c r="JOS8" s="2"/>
      <c r="JOT8" s="2"/>
      <c r="JOU8" s="2"/>
      <c r="JOV8" s="2"/>
      <c r="JOW8" s="2"/>
      <c r="JOX8" s="2"/>
      <c r="JOY8" s="2"/>
      <c r="JOZ8" s="2"/>
      <c r="JPA8" s="2"/>
      <c r="JPB8" s="2"/>
      <c r="JPC8" s="2"/>
      <c r="JPD8" s="2"/>
      <c r="JPE8" s="2"/>
      <c r="JPF8" s="2"/>
      <c r="JPG8" s="2"/>
      <c r="JPH8" s="2"/>
      <c r="JPI8" s="2"/>
      <c r="JPJ8" s="2"/>
      <c r="JPK8" s="2"/>
      <c r="JPL8" s="2"/>
      <c r="JPM8" s="2"/>
      <c r="JPN8" s="2"/>
      <c r="JPO8" s="2"/>
      <c r="JPP8" s="2"/>
      <c r="JPQ8" s="2"/>
      <c r="JPR8" s="2"/>
      <c r="JPS8" s="2"/>
      <c r="JPT8" s="2"/>
      <c r="JPU8" s="2"/>
      <c r="JPV8" s="2"/>
      <c r="JPW8" s="2"/>
      <c r="JPX8" s="2"/>
      <c r="JPY8" s="2"/>
      <c r="JPZ8" s="2"/>
      <c r="JQA8" s="2"/>
      <c r="JQB8" s="2"/>
      <c r="JQC8" s="2"/>
      <c r="JQD8" s="2"/>
      <c r="JQE8" s="2"/>
      <c r="JQF8" s="2"/>
      <c r="JQG8" s="2"/>
      <c r="JQH8" s="2"/>
      <c r="JQI8" s="2"/>
      <c r="JQJ8" s="2"/>
      <c r="JQK8" s="2"/>
      <c r="JQL8" s="2"/>
      <c r="JQM8" s="2"/>
      <c r="JQN8" s="2"/>
      <c r="JQO8" s="2"/>
      <c r="JQP8" s="2"/>
      <c r="JQQ8" s="2"/>
      <c r="JQR8" s="2"/>
      <c r="JQS8" s="2"/>
      <c r="JQT8" s="2"/>
      <c r="JQU8" s="2"/>
      <c r="JQV8" s="2"/>
      <c r="JQW8" s="2"/>
      <c r="JQX8" s="2"/>
      <c r="JQY8" s="2"/>
      <c r="JQZ8" s="2"/>
      <c r="JRA8" s="2"/>
      <c r="JRB8" s="2"/>
      <c r="JRC8" s="2"/>
      <c r="JRD8" s="2"/>
      <c r="JRE8" s="2"/>
      <c r="JRF8" s="2"/>
      <c r="JRG8" s="2"/>
      <c r="JRH8" s="2"/>
      <c r="JRI8" s="2"/>
      <c r="JRJ8" s="2"/>
      <c r="JRK8" s="2"/>
      <c r="JRL8" s="2"/>
      <c r="JRM8" s="2"/>
      <c r="JRN8" s="2"/>
      <c r="JRO8" s="2"/>
      <c r="JRP8" s="2"/>
      <c r="JRQ8" s="2"/>
      <c r="JRR8" s="2"/>
      <c r="JRS8" s="2"/>
      <c r="JRT8" s="2"/>
      <c r="JRU8" s="2"/>
      <c r="JRV8" s="2"/>
      <c r="JRW8" s="2"/>
      <c r="JRX8" s="2"/>
      <c r="JRY8" s="2"/>
      <c r="JRZ8" s="2"/>
      <c r="JSA8" s="2"/>
      <c r="JSB8" s="2"/>
      <c r="JSC8" s="2"/>
      <c r="JSD8" s="2"/>
      <c r="JSE8" s="2"/>
      <c r="JSF8" s="2"/>
      <c r="JSG8" s="2"/>
      <c r="JSH8" s="2"/>
      <c r="JSI8" s="2"/>
      <c r="JSJ8" s="2"/>
      <c r="JSK8" s="2"/>
      <c r="JSL8" s="2"/>
      <c r="JSM8" s="2"/>
      <c r="JSN8" s="2"/>
      <c r="JSO8" s="2"/>
      <c r="JSP8" s="2"/>
      <c r="JSQ8" s="2"/>
      <c r="JSR8" s="2"/>
      <c r="JSS8" s="2"/>
      <c r="JST8" s="2"/>
      <c r="JSU8" s="2"/>
      <c r="JSV8" s="2"/>
      <c r="JSW8" s="2"/>
      <c r="JSX8" s="2"/>
      <c r="JSY8" s="2"/>
      <c r="JSZ8" s="2"/>
      <c r="JTA8" s="2"/>
      <c r="JTB8" s="2"/>
      <c r="JTC8" s="2"/>
      <c r="JTD8" s="2"/>
      <c r="JTE8" s="2"/>
      <c r="JTF8" s="2"/>
      <c r="JTG8" s="2"/>
      <c r="JTH8" s="2"/>
      <c r="JTI8" s="2"/>
      <c r="JTJ8" s="2"/>
      <c r="JTK8" s="2"/>
      <c r="JTL8" s="2"/>
      <c r="JTM8" s="2"/>
      <c r="JTN8" s="2"/>
      <c r="JTO8" s="2"/>
      <c r="JTP8" s="2"/>
      <c r="JTQ8" s="2"/>
      <c r="JTR8" s="2"/>
      <c r="JTS8" s="2"/>
      <c r="JTT8" s="2"/>
      <c r="JTU8" s="2"/>
      <c r="JTV8" s="2"/>
      <c r="JTW8" s="2"/>
      <c r="JTX8" s="2"/>
      <c r="JTY8" s="2"/>
      <c r="JTZ8" s="2"/>
      <c r="JUA8" s="2"/>
      <c r="JUB8" s="2"/>
      <c r="JUC8" s="2"/>
      <c r="JUD8" s="2"/>
      <c r="JUE8" s="2"/>
      <c r="JUF8" s="2"/>
      <c r="JUG8" s="2"/>
      <c r="JUH8" s="2"/>
      <c r="JUI8" s="2"/>
      <c r="JUJ8" s="2"/>
      <c r="JUK8" s="2"/>
      <c r="JUL8" s="2"/>
      <c r="JUM8" s="2"/>
      <c r="JUN8" s="2"/>
      <c r="JUO8" s="2"/>
      <c r="JUP8" s="2"/>
      <c r="JUQ8" s="2"/>
      <c r="JUR8" s="2"/>
      <c r="JUS8" s="2"/>
      <c r="JUT8" s="2"/>
      <c r="JUU8" s="2"/>
      <c r="JUV8" s="2"/>
      <c r="JUW8" s="2"/>
      <c r="JUX8" s="2"/>
      <c r="JUY8" s="2"/>
      <c r="JUZ8" s="2"/>
      <c r="JVA8" s="2"/>
      <c r="JVB8" s="2"/>
      <c r="JVC8" s="2"/>
      <c r="JVD8" s="2"/>
      <c r="JVE8" s="2"/>
      <c r="JVF8" s="2"/>
      <c r="JVG8" s="2"/>
      <c r="JVH8" s="2"/>
      <c r="JVI8" s="2"/>
      <c r="JVJ8" s="2"/>
      <c r="JVK8" s="2"/>
      <c r="JVL8" s="2"/>
      <c r="JVM8" s="2"/>
      <c r="JVN8" s="2"/>
      <c r="JVO8" s="2"/>
      <c r="JVP8" s="2"/>
      <c r="JVQ8" s="2"/>
      <c r="JVR8" s="2"/>
      <c r="JVS8" s="2"/>
      <c r="JVT8" s="2"/>
      <c r="JVU8" s="2"/>
      <c r="JVV8" s="2"/>
      <c r="JVW8" s="2"/>
      <c r="JVX8" s="2"/>
      <c r="JVY8" s="2"/>
      <c r="JVZ8" s="2"/>
      <c r="JWA8" s="2"/>
      <c r="JWB8" s="2"/>
      <c r="JWC8" s="2"/>
      <c r="JWD8" s="2"/>
      <c r="JWE8" s="2"/>
      <c r="JWF8" s="2"/>
      <c r="JWG8" s="2"/>
      <c r="JWH8" s="2"/>
      <c r="JWI8" s="2"/>
      <c r="JWJ8" s="2"/>
      <c r="JWK8" s="2"/>
      <c r="JWL8" s="2"/>
      <c r="JWM8" s="2"/>
      <c r="JWN8" s="2"/>
      <c r="JWO8" s="2"/>
      <c r="JWP8" s="2"/>
      <c r="JWQ8" s="2"/>
      <c r="JWR8" s="2"/>
      <c r="JWS8" s="2"/>
      <c r="JWT8" s="2"/>
      <c r="JWU8" s="2"/>
      <c r="JWV8" s="2"/>
      <c r="JWW8" s="2"/>
      <c r="JWX8" s="2"/>
      <c r="JWY8" s="2"/>
      <c r="JWZ8" s="2"/>
      <c r="JXA8" s="2"/>
      <c r="JXB8" s="2"/>
      <c r="JXC8" s="2"/>
      <c r="JXD8" s="2"/>
      <c r="JXE8" s="2"/>
      <c r="JXF8" s="2"/>
      <c r="JXG8" s="2"/>
      <c r="JXH8" s="2"/>
      <c r="JXI8" s="2"/>
      <c r="JXJ8" s="2"/>
      <c r="JXK8" s="2"/>
      <c r="JXL8" s="2"/>
      <c r="JXM8" s="2"/>
      <c r="JXN8" s="2"/>
      <c r="JXO8" s="2"/>
      <c r="JXP8" s="2"/>
      <c r="JXQ8" s="2"/>
      <c r="JXR8" s="2"/>
      <c r="JXS8" s="2"/>
      <c r="JXT8" s="2"/>
      <c r="JXU8" s="2"/>
      <c r="JXV8" s="2"/>
      <c r="JXW8" s="2"/>
      <c r="JXX8" s="2"/>
      <c r="JXY8" s="2"/>
      <c r="JXZ8" s="2"/>
      <c r="JYA8" s="2"/>
      <c r="JYB8" s="2"/>
      <c r="JYC8" s="2"/>
      <c r="JYD8" s="2"/>
      <c r="JYE8" s="2"/>
      <c r="JYF8" s="2"/>
      <c r="JYG8" s="2"/>
      <c r="JYH8" s="2"/>
      <c r="JYI8" s="2"/>
      <c r="JYJ8" s="2"/>
      <c r="JYK8" s="2"/>
      <c r="JYL8" s="2"/>
      <c r="JYM8" s="2"/>
      <c r="JYN8" s="2"/>
      <c r="JYO8" s="2"/>
      <c r="JYP8" s="2"/>
      <c r="JYQ8" s="2"/>
      <c r="JYR8" s="2"/>
      <c r="JYS8" s="2"/>
      <c r="JYT8" s="2"/>
      <c r="JYU8" s="2"/>
      <c r="JYV8" s="2"/>
      <c r="JYW8" s="2"/>
      <c r="JYX8" s="2"/>
      <c r="JYY8" s="2"/>
      <c r="JYZ8" s="2"/>
      <c r="JZA8" s="2"/>
      <c r="JZB8" s="2"/>
      <c r="JZC8" s="2"/>
      <c r="JZD8" s="2"/>
      <c r="JZE8" s="2"/>
      <c r="JZF8" s="2"/>
      <c r="JZG8" s="2"/>
      <c r="JZH8" s="2"/>
      <c r="JZI8" s="2"/>
      <c r="JZJ8" s="2"/>
      <c r="JZK8" s="2"/>
      <c r="JZL8" s="2"/>
      <c r="JZM8" s="2"/>
      <c r="JZN8" s="2"/>
      <c r="JZO8" s="2"/>
      <c r="JZP8" s="2"/>
      <c r="JZQ8" s="2"/>
      <c r="JZR8" s="2"/>
      <c r="JZS8" s="2"/>
      <c r="JZT8" s="2"/>
      <c r="JZU8" s="2"/>
      <c r="JZV8" s="2"/>
      <c r="JZW8" s="2"/>
      <c r="JZX8" s="2"/>
      <c r="JZY8" s="2"/>
      <c r="JZZ8" s="2"/>
      <c r="KAA8" s="2"/>
      <c r="KAB8" s="2"/>
      <c r="KAC8" s="2"/>
      <c r="KAD8" s="2"/>
      <c r="KAE8" s="2"/>
      <c r="KAF8" s="2"/>
      <c r="KAG8" s="2"/>
      <c r="KAH8" s="2"/>
      <c r="KAI8" s="2"/>
      <c r="KAJ8" s="2"/>
      <c r="KAK8" s="2"/>
      <c r="KAL8" s="2"/>
      <c r="KAM8" s="2"/>
      <c r="KAN8" s="2"/>
      <c r="KAO8" s="2"/>
      <c r="KAP8" s="2"/>
      <c r="KAQ8" s="2"/>
      <c r="KAR8" s="2"/>
      <c r="KAS8" s="2"/>
      <c r="KAT8" s="2"/>
      <c r="KAU8" s="2"/>
      <c r="KAV8" s="2"/>
      <c r="KAW8" s="2"/>
      <c r="KAX8" s="2"/>
      <c r="KAY8" s="2"/>
      <c r="KAZ8" s="2"/>
      <c r="KBA8" s="2"/>
      <c r="KBB8" s="2"/>
      <c r="KBC8" s="2"/>
      <c r="KBD8" s="2"/>
      <c r="KBE8" s="2"/>
      <c r="KBF8" s="2"/>
      <c r="KBG8" s="2"/>
      <c r="KBH8" s="2"/>
      <c r="KBI8" s="2"/>
      <c r="KBJ8" s="2"/>
      <c r="KBK8" s="2"/>
      <c r="KBL8" s="2"/>
      <c r="KBM8" s="2"/>
      <c r="KBN8" s="2"/>
      <c r="KBO8" s="2"/>
      <c r="KBP8" s="2"/>
      <c r="KBQ8" s="2"/>
      <c r="KBR8" s="2"/>
      <c r="KBS8" s="2"/>
      <c r="KBT8" s="2"/>
      <c r="KBU8" s="2"/>
      <c r="KBV8" s="2"/>
      <c r="KBW8" s="2"/>
      <c r="KBX8" s="2"/>
      <c r="KBY8" s="2"/>
      <c r="KBZ8" s="2"/>
      <c r="KCA8" s="2"/>
      <c r="KCB8" s="2"/>
      <c r="KCC8" s="2"/>
      <c r="KCD8" s="2"/>
      <c r="KCE8" s="2"/>
      <c r="KCF8" s="2"/>
      <c r="KCG8" s="2"/>
      <c r="KCH8" s="2"/>
      <c r="KCI8" s="2"/>
      <c r="KCJ8" s="2"/>
      <c r="KCK8" s="2"/>
      <c r="KCL8" s="2"/>
      <c r="KCM8" s="2"/>
      <c r="KCN8" s="2"/>
      <c r="KCO8" s="2"/>
      <c r="KCP8" s="2"/>
      <c r="KCQ8" s="2"/>
      <c r="KCR8" s="2"/>
      <c r="KCS8" s="2"/>
      <c r="KCT8" s="2"/>
      <c r="KCU8" s="2"/>
      <c r="KCV8" s="2"/>
      <c r="KCW8" s="2"/>
      <c r="KCX8" s="2"/>
      <c r="KCY8" s="2"/>
      <c r="KCZ8" s="2"/>
      <c r="KDA8" s="2"/>
      <c r="KDB8" s="2"/>
      <c r="KDC8" s="2"/>
      <c r="KDD8" s="2"/>
      <c r="KDE8" s="2"/>
      <c r="KDF8" s="2"/>
      <c r="KDG8" s="2"/>
      <c r="KDH8" s="2"/>
      <c r="KDI8" s="2"/>
      <c r="KDJ8" s="2"/>
      <c r="KDK8" s="2"/>
      <c r="KDL8" s="2"/>
      <c r="KDM8" s="2"/>
      <c r="KDN8" s="2"/>
      <c r="KDO8" s="2"/>
      <c r="KDP8" s="2"/>
      <c r="KDQ8" s="2"/>
      <c r="KDR8" s="2"/>
      <c r="KDS8" s="2"/>
      <c r="KDT8" s="2"/>
      <c r="KDU8" s="2"/>
      <c r="KDV8" s="2"/>
      <c r="KDW8" s="2"/>
      <c r="KDX8" s="2"/>
      <c r="KDY8" s="2"/>
      <c r="KDZ8" s="2"/>
      <c r="KEA8" s="2"/>
      <c r="KEB8" s="2"/>
      <c r="KEC8" s="2"/>
      <c r="KED8" s="2"/>
      <c r="KEE8" s="2"/>
      <c r="KEF8" s="2"/>
      <c r="KEG8" s="2"/>
      <c r="KEH8" s="2"/>
      <c r="KEI8" s="2"/>
      <c r="KEJ8" s="2"/>
      <c r="KEK8" s="2"/>
      <c r="KEL8" s="2"/>
      <c r="KEM8" s="2"/>
      <c r="KEN8" s="2"/>
      <c r="KEO8" s="2"/>
      <c r="KEP8" s="2"/>
      <c r="KEQ8" s="2"/>
      <c r="KER8" s="2"/>
      <c r="KES8" s="2"/>
      <c r="KET8" s="2"/>
      <c r="KEU8" s="2"/>
      <c r="KEV8" s="2"/>
      <c r="KEW8" s="2"/>
      <c r="KEX8" s="2"/>
      <c r="KEY8" s="2"/>
      <c r="KEZ8" s="2"/>
      <c r="KFA8" s="2"/>
      <c r="KFB8" s="2"/>
      <c r="KFC8" s="2"/>
      <c r="KFD8" s="2"/>
      <c r="KFE8" s="2"/>
      <c r="KFF8" s="2"/>
      <c r="KFG8" s="2"/>
      <c r="KFH8" s="2"/>
      <c r="KFI8" s="2"/>
      <c r="KFJ8" s="2"/>
      <c r="KFK8" s="2"/>
      <c r="KFL8" s="2"/>
      <c r="KFM8" s="2"/>
      <c r="KFN8" s="2"/>
      <c r="KFO8" s="2"/>
      <c r="KFP8" s="2"/>
      <c r="KFQ8" s="2"/>
      <c r="KFR8" s="2"/>
      <c r="KFS8" s="2"/>
      <c r="KFT8" s="2"/>
      <c r="KFU8" s="2"/>
      <c r="KFV8" s="2"/>
      <c r="KFW8" s="2"/>
      <c r="KFX8" s="2"/>
      <c r="KFY8" s="2"/>
      <c r="KFZ8" s="2"/>
      <c r="KGA8" s="2"/>
      <c r="KGB8" s="2"/>
      <c r="KGC8" s="2"/>
      <c r="KGD8" s="2"/>
      <c r="KGE8" s="2"/>
      <c r="KGF8" s="2"/>
      <c r="KGG8" s="2"/>
      <c r="KGH8" s="2"/>
      <c r="KGI8" s="2"/>
      <c r="KGJ8" s="2"/>
      <c r="KGK8" s="2"/>
      <c r="KGL8" s="2"/>
      <c r="KGM8" s="2"/>
      <c r="KGN8" s="2"/>
      <c r="KGO8" s="2"/>
      <c r="KGP8" s="2"/>
      <c r="KGQ8" s="2"/>
      <c r="KGR8" s="2"/>
      <c r="KGS8" s="2"/>
      <c r="KGT8" s="2"/>
      <c r="KGU8" s="2"/>
      <c r="KGV8" s="2"/>
      <c r="KGW8" s="2"/>
      <c r="KGX8" s="2"/>
      <c r="KGY8" s="2"/>
      <c r="KGZ8" s="2"/>
      <c r="KHA8" s="2"/>
      <c r="KHB8" s="2"/>
      <c r="KHC8" s="2"/>
      <c r="KHD8" s="2"/>
      <c r="KHE8" s="2"/>
      <c r="KHF8" s="2"/>
      <c r="KHG8" s="2"/>
      <c r="KHH8" s="2"/>
      <c r="KHI8" s="2"/>
      <c r="KHJ8" s="2"/>
      <c r="KHK8" s="2"/>
      <c r="KHL8" s="2"/>
      <c r="KHM8" s="2"/>
      <c r="KHN8" s="2"/>
      <c r="KHO8" s="2"/>
      <c r="KHP8" s="2"/>
      <c r="KHQ8" s="2"/>
      <c r="KHR8" s="2"/>
      <c r="KHS8" s="2"/>
      <c r="KHT8" s="2"/>
      <c r="KHU8" s="2"/>
      <c r="KHV8" s="2"/>
      <c r="KHW8" s="2"/>
      <c r="KHX8" s="2"/>
      <c r="KHY8" s="2"/>
      <c r="KHZ8" s="2"/>
      <c r="KIA8" s="2"/>
      <c r="KIB8" s="2"/>
      <c r="KIC8" s="2"/>
      <c r="KID8" s="2"/>
      <c r="KIE8" s="2"/>
      <c r="KIF8" s="2"/>
      <c r="KIG8" s="2"/>
      <c r="KIH8" s="2"/>
      <c r="KII8" s="2"/>
      <c r="KIJ8" s="2"/>
      <c r="KIK8" s="2"/>
      <c r="KIL8" s="2"/>
      <c r="KIM8" s="2"/>
      <c r="KIN8" s="2"/>
      <c r="KIO8" s="2"/>
      <c r="KIP8" s="2"/>
      <c r="KIQ8" s="2"/>
      <c r="KIR8" s="2"/>
      <c r="KIS8" s="2"/>
      <c r="KIT8" s="2"/>
      <c r="KIU8" s="2"/>
      <c r="KIV8" s="2"/>
      <c r="KIW8" s="2"/>
      <c r="KIX8" s="2"/>
      <c r="KIY8" s="2"/>
      <c r="KIZ8" s="2"/>
      <c r="KJA8" s="2"/>
      <c r="KJB8" s="2"/>
      <c r="KJC8" s="2"/>
      <c r="KJD8" s="2"/>
      <c r="KJE8" s="2"/>
      <c r="KJF8" s="2"/>
      <c r="KJG8" s="2"/>
      <c r="KJH8" s="2"/>
      <c r="KJI8" s="2"/>
      <c r="KJJ8" s="2"/>
      <c r="KJK8" s="2"/>
      <c r="KJL8" s="2"/>
      <c r="KJM8" s="2"/>
      <c r="KJN8" s="2"/>
      <c r="KJO8" s="2"/>
      <c r="KJP8" s="2"/>
      <c r="KJQ8" s="2"/>
      <c r="KJR8" s="2"/>
      <c r="KJS8" s="2"/>
      <c r="KJT8" s="2"/>
      <c r="KJU8" s="2"/>
      <c r="KJV8" s="2"/>
      <c r="KJW8" s="2"/>
      <c r="KJX8" s="2"/>
      <c r="KJY8" s="2"/>
      <c r="KJZ8" s="2"/>
      <c r="KKA8" s="2"/>
      <c r="KKB8" s="2"/>
      <c r="KKC8" s="2"/>
      <c r="KKD8" s="2"/>
      <c r="KKE8" s="2"/>
      <c r="KKF8" s="2"/>
      <c r="KKG8" s="2"/>
      <c r="KKH8" s="2"/>
      <c r="KKI8" s="2"/>
      <c r="KKJ8" s="2"/>
      <c r="KKK8" s="2"/>
      <c r="KKL8" s="2"/>
      <c r="KKM8" s="2"/>
      <c r="KKN8" s="2"/>
      <c r="KKO8" s="2"/>
      <c r="KKP8" s="2"/>
      <c r="KKQ8" s="2"/>
      <c r="KKR8" s="2"/>
      <c r="KKS8" s="2"/>
      <c r="KKT8" s="2"/>
      <c r="KKU8" s="2"/>
      <c r="KKV8" s="2"/>
      <c r="KKW8" s="2"/>
      <c r="KKX8" s="2"/>
      <c r="KKY8" s="2"/>
      <c r="KKZ8" s="2"/>
      <c r="KLA8" s="2"/>
      <c r="KLB8" s="2"/>
      <c r="KLC8" s="2"/>
      <c r="KLD8" s="2"/>
      <c r="KLE8" s="2"/>
      <c r="KLF8" s="2"/>
      <c r="KLG8" s="2"/>
      <c r="KLH8" s="2"/>
      <c r="KLI8" s="2"/>
      <c r="KLJ8" s="2"/>
      <c r="KLK8" s="2"/>
      <c r="KLL8" s="2"/>
      <c r="KLM8" s="2"/>
      <c r="KLN8" s="2"/>
      <c r="KLO8" s="2"/>
      <c r="KLP8" s="2"/>
      <c r="KLQ8" s="2"/>
      <c r="KLR8" s="2"/>
      <c r="KLS8" s="2"/>
      <c r="KLT8" s="2"/>
      <c r="KLU8" s="2"/>
      <c r="KLV8" s="2"/>
      <c r="KLW8" s="2"/>
      <c r="KLX8" s="2"/>
      <c r="KLY8" s="2"/>
      <c r="KLZ8" s="2"/>
      <c r="KMA8" s="2"/>
      <c r="KMB8" s="2"/>
      <c r="KMC8" s="2"/>
      <c r="KMD8" s="2"/>
      <c r="KME8" s="2"/>
      <c r="KMF8" s="2"/>
      <c r="KMG8" s="2"/>
      <c r="KMH8" s="2"/>
      <c r="KMI8" s="2"/>
      <c r="KMJ8" s="2"/>
      <c r="KMK8" s="2"/>
      <c r="KML8" s="2"/>
      <c r="KMM8" s="2"/>
      <c r="KMN8" s="2"/>
      <c r="KMO8" s="2"/>
      <c r="KMP8" s="2"/>
      <c r="KMQ8" s="2"/>
      <c r="KMR8" s="2"/>
      <c r="KMS8" s="2"/>
      <c r="KMT8" s="2"/>
      <c r="KMU8" s="2"/>
      <c r="KMV8" s="2"/>
      <c r="KMW8" s="2"/>
      <c r="KMX8" s="2"/>
      <c r="KMY8" s="2"/>
      <c r="KMZ8" s="2"/>
      <c r="KNA8" s="2"/>
      <c r="KNB8" s="2"/>
      <c r="KNC8" s="2"/>
      <c r="KND8" s="2"/>
      <c r="KNE8" s="2"/>
      <c r="KNF8" s="2"/>
      <c r="KNG8" s="2"/>
      <c r="KNH8" s="2"/>
      <c r="KNI8" s="2"/>
      <c r="KNJ8" s="2"/>
      <c r="KNK8" s="2"/>
      <c r="KNL8" s="2"/>
      <c r="KNM8" s="2"/>
      <c r="KNN8" s="2"/>
      <c r="KNO8" s="2"/>
      <c r="KNP8" s="2"/>
      <c r="KNQ8" s="2"/>
      <c r="KNR8" s="2"/>
      <c r="KNS8" s="2"/>
      <c r="KNT8" s="2"/>
      <c r="KNU8" s="2"/>
      <c r="KNV8" s="2"/>
      <c r="KNW8" s="2"/>
      <c r="KNX8" s="2"/>
      <c r="KNY8" s="2"/>
      <c r="KNZ8" s="2"/>
      <c r="KOA8" s="2"/>
      <c r="KOB8" s="2"/>
      <c r="KOC8" s="2"/>
      <c r="KOD8" s="2"/>
      <c r="KOE8" s="2"/>
      <c r="KOF8" s="2"/>
      <c r="KOG8" s="2"/>
      <c r="KOH8" s="2"/>
      <c r="KOI8" s="2"/>
      <c r="KOJ8" s="2"/>
      <c r="KOK8" s="2"/>
      <c r="KOL8" s="2"/>
      <c r="KOM8" s="2"/>
      <c r="KON8" s="2"/>
      <c r="KOO8" s="2"/>
      <c r="KOP8" s="2"/>
      <c r="KOQ8" s="2"/>
      <c r="KOR8" s="2"/>
      <c r="KOS8" s="2"/>
      <c r="KOT8" s="2"/>
      <c r="KOU8" s="2"/>
      <c r="KOV8" s="2"/>
      <c r="KOW8" s="2"/>
      <c r="KOX8" s="2"/>
      <c r="KOY8" s="2"/>
      <c r="KOZ8" s="2"/>
      <c r="KPA8" s="2"/>
      <c r="KPB8" s="2"/>
      <c r="KPC8" s="2"/>
      <c r="KPD8" s="2"/>
      <c r="KPE8" s="2"/>
      <c r="KPF8" s="2"/>
      <c r="KPG8" s="2"/>
      <c r="KPH8" s="2"/>
      <c r="KPI8" s="2"/>
      <c r="KPJ8" s="2"/>
      <c r="KPK8" s="2"/>
      <c r="KPL8" s="2"/>
      <c r="KPM8" s="2"/>
      <c r="KPN8" s="2"/>
      <c r="KPO8" s="2"/>
      <c r="KPP8" s="2"/>
      <c r="KPQ8" s="2"/>
      <c r="KPR8" s="2"/>
      <c r="KPS8" s="2"/>
      <c r="KPT8" s="2"/>
      <c r="KPU8" s="2"/>
      <c r="KPV8" s="2"/>
      <c r="KPW8" s="2"/>
      <c r="KPX8" s="2"/>
      <c r="KPY8" s="2"/>
      <c r="KPZ8" s="2"/>
      <c r="KQA8" s="2"/>
      <c r="KQB8" s="2"/>
      <c r="KQC8" s="2"/>
      <c r="KQD8" s="2"/>
      <c r="KQE8" s="2"/>
      <c r="KQF8" s="2"/>
      <c r="KQG8" s="2"/>
      <c r="KQH8" s="2"/>
      <c r="KQI8" s="2"/>
      <c r="KQJ8" s="2"/>
      <c r="KQK8" s="2"/>
      <c r="KQL8" s="2"/>
      <c r="KQM8" s="2"/>
      <c r="KQN8" s="2"/>
      <c r="KQO8" s="2"/>
      <c r="KQP8" s="2"/>
      <c r="KQQ8" s="2"/>
      <c r="KQR8" s="2"/>
      <c r="KQS8" s="2"/>
      <c r="KQT8" s="2"/>
      <c r="KQU8" s="2"/>
      <c r="KQV8" s="2"/>
      <c r="KQW8" s="2"/>
      <c r="KQX8" s="2"/>
      <c r="KQY8" s="2"/>
      <c r="KQZ8" s="2"/>
      <c r="KRA8" s="2"/>
      <c r="KRB8" s="2"/>
      <c r="KRC8" s="2"/>
      <c r="KRD8" s="2"/>
      <c r="KRE8" s="2"/>
      <c r="KRF8" s="2"/>
      <c r="KRG8" s="2"/>
      <c r="KRH8" s="2"/>
      <c r="KRI8" s="2"/>
      <c r="KRJ8" s="2"/>
      <c r="KRK8" s="2"/>
      <c r="KRL8" s="2"/>
      <c r="KRM8" s="2"/>
      <c r="KRN8" s="2"/>
      <c r="KRO8" s="2"/>
      <c r="KRP8" s="2"/>
      <c r="KRQ8" s="2"/>
      <c r="KRR8" s="2"/>
      <c r="KRS8" s="2"/>
      <c r="KRT8" s="2"/>
      <c r="KRU8" s="2"/>
      <c r="KRV8" s="2"/>
      <c r="KRW8" s="2"/>
      <c r="KRX8" s="2"/>
      <c r="KRY8" s="2"/>
      <c r="KRZ8" s="2"/>
      <c r="KSA8" s="2"/>
      <c r="KSB8" s="2"/>
      <c r="KSC8" s="2"/>
      <c r="KSD8" s="2"/>
      <c r="KSE8" s="2"/>
      <c r="KSF8" s="2"/>
      <c r="KSG8" s="2"/>
      <c r="KSH8" s="2"/>
      <c r="KSI8" s="2"/>
      <c r="KSJ8" s="2"/>
      <c r="KSK8" s="2"/>
      <c r="KSL8" s="2"/>
      <c r="KSM8" s="2"/>
      <c r="KSN8" s="2"/>
      <c r="KSO8" s="2"/>
      <c r="KSP8" s="2"/>
      <c r="KSQ8" s="2"/>
      <c r="KSR8" s="2"/>
      <c r="KSS8" s="2"/>
      <c r="KST8" s="2"/>
      <c r="KSU8" s="2"/>
      <c r="KSV8" s="2"/>
      <c r="KSW8" s="2"/>
      <c r="KSX8" s="2"/>
      <c r="KSY8" s="2"/>
      <c r="KSZ8" s="2"/>
      <c r="KTA8" s="2"/>
      <c r="KTB8" s="2"/>
      <c r="KTC8" s="2"/>
      <c r="KTD8" s="2"/>
      <c r="KTE8" s="2"/>
      <c r="KTF8" s="2"/>
      <c r="KTG8" s="2"/>
      <c r="KTH8" s="2"/>
      <c r="KTI8" s="2"/>
      <c r="KTJ8" s="2"/>
      <c r="KTK8" s="2"/>
      <c r="KTL8" s="2"/>
      <c r="KTM8" s="2"/>
      <c r="KTN8" s="2"/>
      <c r="KTO8" s="2"/>
      <c r="KTP8" s="2"/>
      <c r="KTQ8" s="2"/>
      <c r="KTR8" s="2"/>
      <c r="KTS8" s="2"/>
      <c r="KTT8" s="2"/>
      <c r="KTU8" s="2"/>
      <c r="KTV8" s="2"/>
      <c r="KTW8" s="2"/>
      <c r="KTX8" s="2"/>
      <c r="KTY8" s="2"/>
      <c r="KTZ8" s="2"/>
      <c r="KUA8" s="2"/>
      <c r="KUB8" s="2"/>
      <c r="KUC8" s="2"/>
      <c r="KUD8" s="2"/>
      <c r="KUE8" s="2"/>
      <c r="KUF8" s="2"/>
      <c r="KUG8" s="2"/>
      <c r="KUH8" s="2"/>
      <c r="KUI8" s="2"/>
      <c r="KUJ8" s="2"/>
      <c r="KUK8" s="2"/>
      <c r="KUL8" s="2"/>
      <c r="KUM8" s="2"/>
      <c r="KUN8" s="2"/>
      <c r="KUO8" s="2"/>
      <c r="KUP8" s="2"/>
      <c r="KUQ8" s="2"/>
      <c r="KUR8" s="2"/>
      <c r="KUS8" s="2"/>
      <c r="KUT8" s="2"/>
      <c r="KUU8" s="2"/>
      <c r="KUV8" s="2"/>
      <c r="KUW8" s="2"/>
      <c r="KUX8" s="2"/>
      <c r="KUY8" s="2"/>
      <c r="KUZ8" s="2"/>
      <c r="KVA8" s="2"/>
      <c r="KVB8" s="2"/>
      <c r="KVC8" s="2"/>
      <c r="KVD8" s="2"/>
      <c r="KVE8" s="2"/>
      <c r="KVF8" s="2"/>
      <c r="KVG8" s="2"/>
      <c r="KVH8" s="2"/>
      <c r="KVI8" s="2"/>
      <c r="KVJ8" s="2"/>
      <c r="KVK8" s="2"/>
      <c r="KVL8" s="2"/>
      <c r="KVM8" s="2"/>
      <c r="KVN8" s="2"/>
      <c r="KVO8" s="2"/>
      <c r="KVP8" s="2"/>
      <c r="KVQ8" s="2"/>
      <c r="KVR8" s="2"/>
      <c r="KVS8" s="2"/>
      <c r="KVT8" s="2"/>
      <c r="KVU8" s="2"/>
      <c r="KVV8" s="2"/>
      <c r="KVW8" s="2"/>
      <c r="KVX8" s="2"/>
      <c r="KVY8" s="2"/>
      <c r="KVZ8" s="2"/>
      <c r="KWA8" s="2"/>
      <c r="KWB8" s="2"/>
      <c r="KWC8" s="2"/>
      <c r="KWD8" s="2"/>
      <c r="KWE8" s="2"/>
      <c r="KWF8" s="2"/>
      <c r="KWG8" s="2"/>
      <c r="KWH8" s="2"/>
      <c r="KWI8" s="2"/>
      <c r="KWJ8" s="2"/>
      <c r="KWK8" s="2"/>
      <c r="KWL8" s="2"/>
      <c r="KWM8" s="2"/>
      <c r="KWN8" s="2"/>
      <c r="KWO8" s="2"/>
      <c r="KWP8" s="2"/>
      <c r="KWQ8" s="2"/>
      <c r="KWR8" s="2"/>
      <c r="KWS8" s="2"/>
      <c r="KWT8" s="2"/>
      <c r="KWU8" s="2"/>
      <c r="KWV8" s="2"/>
      <c r="KWW8" s="2"/>
      <c r="KWX8" s="2"/>
      <c r="KWY8" s="2"/>
      <c r="KWZ8" s="2"/>
      <c r="KXA8" s="2"/>
      <c r="KXB8" s="2"/>
      <c r="KXC8" s="2"/>
      <c r="KXD8" s="2"/>
      <c r="KXE8" s="2"/>
      <c r="KXF8" s="2"/>
      <c r="KXG8" s="2"/>
      <c r="KXH8" s="2"/>
      <c r="KXI8" s="2"/>
      <c r="KXJ8" s="2"/>
      <c r="KXK8" s="2"/>
      <c r="KXL8" s="2"/>
      <c r="KXM8" s="2"/>
      <c r="KXN8" s="2"/>
      <c r="KXO8" s="2"/>
      <c r="KXP8" s="2"/>
      <c r="KXQ8" s="2"/>
      <c r="KXR8" s="2"/>
      <c r="KXS8" s="2"/>
      <c r="KXT8" s="2"/>
      <c r="KXU8" s="2"/>
      <c r="KXV8" s="2"/>
      <c r="KXW8" s="2"/>
      <c r="KXX8" s="2"/>
      <c r="KXY8" s="2"/>
      <c r="KXZ8" s="2"/>
      <c r="KYA8" s="2"/>
      <c r="KYB8" s="2"/>
      <c r="KYC8" s="2"/>
      <c r="KYD8" s="2"/>
      <c r="KYE8" s="2"/>
      <c r="KYF8" s="2"/>
      <c r="KYG8" s="2"/>
      <c r="KYH8" s="2"/>
      <c r="KYI8" s="2"/>
      <c r="KYJ8" s="2"/>
      <c r="KYK8" s="2"/>
      <c r="KYL8" s="2"/>
      <c r="KYM8" s="2"/>
      <c r="KYN8" s="2"/>
      <c r="KYO8" s="2"/>
      <c r="KYP8" s="2"/>
      <c r="KYQ8" s="2"/>
      <c r="KYR8" s="2"/>
      <c r="KYS8" s="2"/>
      <c r="KYT8" s="2"/>
      <c r="KYU8" s="2"/>
      <c r="KYV8" s="2"/>
      <c r="KYW8" s="2"/>
      <c r="KYX8" s="2"/>
      <c r="KYY8" s="2"/>
      <c r="KYZ8" s="2"/>
      <c r="KZA8" s="2"/>
      <c r="KZB8" s="2"/>
      <c r="KZC8" s="2"/>
      <c r="KZD8" s="2"/>
      <c r="KZE8" s="2"/>
      <c r="KZF8" s="2"/>
      <c r="KZG8" s="2"/>
      <c r="KZH8" s="2"/>
      <c r="KZI8" s="2"/>
      <c r="KZJ8" s="2"/>
      <c r="KZK8" s="2"/>
      <c r="KZL8" s="2"/>
      <c r="KZM8" s="2"/>
      <c r="KZN8" s="2"/>
      <c r="KZO8" s="2"/>
      <c r="KZP8" s="2"/>
      <c r="KZQ8" s="2"/>
      <c r="KZR8" s="2"/>
      <c r="KZS8" s="2"/>
      <c r="KZT8" s="2"/>
      <c r="KZU8" s="2"/>
      <c r="KZV8" s="2"/>
      <c r="KZW8" s="2"/>
      <c r="KZX8" s="2"/>
      <c r="KZY8" s="2"/>
      <c r="KZZ8" s="2"/>
      <c r="LAA8" s="2"/>
      <c r="LAB8" s="2"/>
      <c r="LAC8" s="2"/>
      <c r="LAD8" s="2"/>
      <c r="LAE8" s="2"/>
      <c r="LAF8" s="2"/>
      <c r="LAG8" s="2"/>
      <c r="LAH8" s="2"/>
      <c r="LAI8" s="2"/>
      <c r="LAJ8" s="2"/>
      <c r="LAK8" s="2"/>
      <c r="LAL8" s="2"/>
      <c r="LAM8" s="2"/>
      <c r="LAN8" s="2"/>
      <c r="LAO8" s="2"/>
      <c r="LAP8" s="2"/>
      <c r="LAQ8" s="2"/>
      <c r="LAR8" s="2"/>
      <c r="LAS8" s="2"/>
      <c r="LAT8" s="2"/>
      <c r="LAU8" s="2"/>
      <c r="LAV8" s="2"/>
      <c r="LAW8" s="2"/>
      <c r="LAX8" s="2"/>
      <c r="LAY8" s="2"/>
      <c r="LAZ8" s="2"/>
      <c r="LBA8" s="2"/>
      <c r="LBB8" s="2"/>
      <c r="LBC8" s="2"/>
      <c r="LBD8" s="2"/>
      <c r="LBE8" s="2"/>
      <c r="LBF8" s="2"/>
      <c r="LBG8" s="2"/>
      <c r="LBH8" s="2"/>
      <c r="LBI8" s="2"/>
      <c r="LBJ8" s="2"/>
      <c r="LBK8" s="2"/>
      <c r="LBL8" s="2"/>
      <c r="LBM8" s="2"/>
      <c r="LBN8" s="2"/>
      <c r="LBO8" s="2"/>
      <c r="LBP8" s="2"/>
      <c r="LBQ8" s="2"/>
      <c r="LBR8" s="2"/>
      <c r="LBS8" s="2"/>
      <c r="LBT8" s="2"/>
      <c r="LBU8" s="2"/>
      <c r="LBV8" s="2"/>
      <c r="LBW8" s="2"/>
      <c r="LBX8" s="2"/>
      <c r="LBY8" s="2"/>
      <c r="LBZ8" s="2"/>
      <c r="LCA8" s="2"/>
      <c r="LCB8" s="2"/>
      <c r="LCC8" s="2"/>
      <c r="LCD8" s="2"/>
      <c r="LCE8" s="2"/>
      <c r="LCF8" s="2"/>
      <c r="LCG8" s="2"/>
      <c r="LCH8" s="2"/>
      <c r="LCI8" s="2"/>
      <c r="LCJ8" s="2"/>
      <c r="LCK8" s="2"/>
      <c r="LCL8" s="2"/>
      <c r="LCM8" s="2"/>
      <c r="LCN8" s="2"/>
      <c r="LCO8" s="2"/>
      <c r="LCP8" s="2"/>
      <c r="LCQ8" s="2"/>
      <c r="LCR8" s="2"/>
      <c r="LCS8" s="2"/>
      <c r="LCT8" s="2"/>
      <c r="LCU8" s="2"/>
      <c r="LCV8" s="2"/>
      <c r="LCW8" s="2"/>
      <c r="LCX8" s="2"/>
      <c r="LCY8" s="2"/>
      <c r="LCZ8" s="2"/>
      <c r="LDA8" s="2"/>
      <c r="LDB8" s="2"/>
      <c r="LDC8" s="2"/>
      <c r="LDD8" s="2"/>
      <c r="LDE8" s="2"/>
      <c r="LDF8" s="2"/>
      <c r="LDG8" s="2"/>
      <c r="LDH8" s="2"/>
      <c r="LDI8" s="2"/>
      <c r="LDJ8" s="2"/>
      <c r="LDK8" s="2"/>
      <c r="LDL8" s="2"/>
      <c r="LDM8" s="2"/>
      <c r="LDN8" s="2"/>
      <c r="LDO8" s="2"/>
      <c r="LDP8" s="2"/>
      <c r="LDQ8" s="2"/>
      <c r="LDR8" s="2"/>
      <c r="LDS8" s="2"/>
      <c r="LDT8" s="2"/>
      <c r="LDU8" s="2"/>
      <c r="LDV8" s="2"/>
      <c r="LDW8" s="2"/>
      <c r="LDX8" s="2"/>
      <c r="LDY8" s="2"/>
      <c r="LDZ8" s="2"/>
      <c r="LEA8" s="2"/>
      <c r="LEB8" s="2"/>
      <c r="LEC8" s="2"/>
      <c r="LED8" s="2"/>
      <c r="LEE8" s="2"/>
      <c r="LEF8" s="2"/>
      <c r="LEG8" s="2"/>
      <c r="LEH8" s="2"/>
      <c r="LEI8" s="2"/>
      <c r="LEJ8" s="2"/>
      <c r="LEK8" s="2"/>
      <c r="LEL8" s="2"/>
      <c r="LEM8" s="2"/>
      <c r="LEN8" s="2"/>
      <c r="LEO8" s="2"/>
      <c r="LEP8" s="2"/>
      <c r="LEQ8" s="2"/>
      <c r="LER8" s="2"/>
      <c r="LES8" s="2"/>
      <c r="LET8" s="2"/>
      <c r="LEU8" s="2"/>
      <c r="LEV8" s="2"/>
      <c r="LEW8" s="2"/>
      <c r="LEX8" s="2"/>
      <c r="LEY8" s="2"/>
      <c r="LEZ8" s="2"/>
      <c r="LFA8" s="2"/>
      <c r="LFB8" s="2"/>
      <c r="LFC8" s="2"/>
      <c r="LFD8" s="2"/>
      <c r="LFE8" s="2"/>
      <c r="LFF8" s="2"/>
      <c r="LFG8" s="2"/>
      <c r="LFH8" s="2"/>
      <c r="LFI8" s="2"/>
      <c r="LFJ8" s="2"/>
      <c r="LFK8" s="2"/>
      <c r="LFL8" s="2"/>
      <c r="LFM8" s="2"/>
      <c r="LFN8" s="2"/>
      <c r="LFO8" s="2"/>
      <c r="LFP8" s="2"/>
      <c r="LFQ8" s="2"/>
      <c r="LFR8" s="2"/>
      <c r="LFS8" s="2"/>
      <c r="LFT8" s="2"/>
      <c r="LFU8" s="2"/>
      <c r="LFV8" s="2"/>
      <c r="LFW8" s="2"/>
      <c r="LFX8" s="2"/>
      <c r="LFY8" s="2"/>
      <c r="LFZ8" s="2"/>
      <c r="LGA8" s="2"/>
      <c r="LGB8" s="2"/>
      <c r="LGC8" s="2"/>
      <c r="LGD8" s="2"/>
      <c r="LGE8" s="2"/>
      <c r="LGF8" s="2"/>
      <c r="LGG8" s="2"/>
      <c r="LGH8" s="2"/>
      <c r="LGI8" s="2"/>
      <c r="LGJ8" s="2"/>
      <c r="LGK8" s="2"/>
      <c r="LGL8" s="2"/>
      <c r="LGM8" s="2"/>
      <c r="LGN8" s="2"/>
      <c r="LGO8" s="2"/>
      <c r="LGP8" s="2"/>
      <c r="LGQ8" s="2"/>
      <c r="LGR8" s="2"/>
      <c r="LGS8" s="2"/>
      <c r="LGT8" s="2"/>
      <c r="LGU8" s="2"/>
      <c r="LGV8" s="2"/>
      <c r="LGW8" s="2"/>
      <c r="LGX8" s="2"/>
      <c r="LGY8" s="2"/>
      <c r="LGZ8" s="2"/>
      <c r="LHA8" s="2"/>
      <c r="LHB8" s="2"/>
      <c r="LHC8" s="2"/>
      <c r="LHD8" s="2"/>
      <c r="LHE8" s="2"/>
      <c r="LHF8" s="2"/>
      <c r="LHG8" s="2"/>
      <c r="LHH8" s="2"/>
      <c r="LHI8" s="2"/>
      <c r="LHJ8" s="2"/>
      <c r="LHK8" s="2"/>
      <c r="LHL8" s="2"/>
      <c r="LHM8" s="2"/>
      <c r="LHN8" s="2"/>
      <c r="LHO8" s="2"/>
      <c r="LHP8" s="2"/>
      <c r="LHQ8" s="2"/>
      <c r="LHR8" s="2"/>
      <c r="LHS8" s="2"/>
      <c r="LHT8" s="2"/>
      <c r="LHU8" s="2"/>
      <c r="LHV8" s="2"/>
      <c r="LHW8" s="2"/>
      <c r="LHX8" s="2"/>
      <c r="LHY8" s="2"/>
      <c r="LHZ8" s="2"/>
      <c r="LIA8" s="2"/>
      <c r="LIB8" s="2"/>
      <c r="LIC8" s="2"/>
      <c r="LID8" s="2"/>
      <c r="LIE8" s="2"/>
      <c r="LIF8" s="2"/>
      <c r="LIG8" s="2"/>
      <c r="LIH8" s="2"/>
      <c r="LII8" s="2"/>
      <c r="LIJ8" s="2"/>
      <c r="LIK8" s="2"/>
      <c r="LIL8" s="2"/>
      <c r="LIM8" s="2"/>
      <c r="LIN8" s="2"/>
      <c r="LIO8" s="2"/>
      <c r="LIP8" s="2"/>
      <c r="LIQ8" s="2"/>
      <c r="LIR8" s="2"/>
      <c r="LIS8" s="2"/>
      <c r="LIT8" s="2"/>
      <c r="LIU8" s="2"/>
      <c r="LIV8" s="2"/>
      <c r="LIW8" s="2"/>
      <c r="LIX8" s="2"/>
      <c r="LIY8" s="2"/>
      <c r="LIZ8" s="2"/>
      <c r="LJA8" s="2"/>
      <c r="LJB8" s="2"/>
      <c r="LJC8" s="2"/>
      <c r="LJD8" s="2"/>
      <c r="LJE8" s="2"/>
      <c r="LJF8" s="2"/>
      <c r="LJG8" s="2"/>
      <c r="LJH8" s="2"/>
      <c r="LJI8" s="2"/>
      <c r="LJJ8" s="2"/>
      <c r="LJK8" s="2"/>
      <c r="LJL8" s="2"/>
      <c r="LJM8" s="2"/>
      <c r="LJN8" s="2"/>
      <c r="LJO8" s="2"/>
      <c r="LJP8" s="2"/>
      <c r="LJQ8" s="2"/>
      <c r="LJR8" s="2"/>
      <c r="LJS8" s="2"/>
      <c r="LJT8" s="2"/>
      <c r="LJU8" s="2"/>
      <c r="LJV8" s="2"/>
      <c r="LJW8" s="2"/>
      <c r="LJX8" s="2"/>
      <c r="LJY8" s="2"/>
      <c r="LJZ8" s="2"/>
      <c r="LKA8" s="2"/>
      <c r="LKB8" s="2"/>
      <c r="LKC8" s="2"/>
      <c r="LKD8" s="2"/>
      <c r="LKE8" s="2"/>
      <c r="LKF8" s="2"/>
      <c r="LKG8" s="2"/>
      <c r="LKH8" s="2"/>
      <c r="LKI8" s="2"/>
      <c r="LKJ8" s="2"/>
      <c r="LKK8" s="2"/>
      <c r="LKL8" s="2"/>
      <c r="LKM8" s="2"/>
      <c r="LKN8" s="2"/>
      <c r="LKO8" s="2"/>
      <c r="LKP8" s="2"/>
      <c r="LKQ8" s="2"/>
      <c r="LKR8" s="2"/>
      <c r="LKS8" s="2"/>
      <c r="LKT8" s="2"/>
      <c r="LKU8" s="2"/>
      <c r="LKV8" s="2"/>
      <c r="LKW8" s="2"/>
      <c r="LKX8" s="2"/>
      <c r="LKY8" s="2"/>
      <c r="LKZ8" s="2"/>
      <c r="LLA8" s="2"/>
      <c r="LLB8" s="2"/>
      <c r="LLC8" s="2"/>
      <c r="LLD8" s="2"/>
      <c r="LLE8" s="2"/>
      <c r="LLF8" s="2"/>
      <c r="LLG8" s="2"/>
      <c r="LLH8" s="2"/>
      <c r="LLI8" s="2"/>
      <c r="LLJ8" s="2"/>
      <c r="LLK8" s="2"/>
      <c r="LLL8" s="2"/>
      <c r="LLM8" s="2"/>
      <c r="LLN8" s="2"/>
      <c r="LLO8" s="2"/>
      <c r="LLP8" s="2"/>
      <c r="LLQ8" s="2"/>
      <c r="LLR8" s="2"/>
      <c r="LLS8" s="2"/>
      <c r="LLT8" s="2"/>
      <c r="LLU8" s="2"/>
      <c r="LLV8" s="2"/>
      <c r="LLW8" s="2"/>
      <c r="LLX8" s="2"/>
      <c r="LLY8" s="2"/>
      <c r="LLZ8" s="2"/>
      <c r="LMA8" s="2"/>
      <c r="LMB8" s="2"/>
      <c r="LMC8" s="2"/>
      <c r="LMD8" s="2"/>
      <c r="LME8" s="2"/>
      <c r="LMF8" s="2"/>
      <c r="LMG8" s="2"/>
      <c r="LMH8" s="2"/>
      <c r="LMI8" s="2"/>
      <c r="LMJ8" s="2"/>
      <c r="LMK8" s="2"/>
      <c r="LML8" s="2"/>
      <c r="LMM8" s="2"/>
      <c r="LMN8" s="2"/>
      <c r="LMO8" s="2"/>
      <c r="LMP8" s="2"/>
      <c r="LMQ8" s="2"/>
      <c r="LMR8" s="2"/>
      <c r="LMS8" s="2"/>
      <c r="LMT8" s="2"/>
      <c r="LMU8" s="2"/>
      <c r="LMV8" s="2"/>
      <c r="LMW8" s="2"/>
      <c r="LMX8" s="2"/>
      <c r="LMY8" s="2"/>
      <c r="LMZ8" s="2"/>
      <c r="LNA8" s="2"/>
      <c r="LNB8" s="2"/>
      <c r="LNC8" s="2"/>
      <c r="LND8" s="2"/>
      <c r="LNE8" s="2"/>
      <c r="LNF8" s="2"/>
      <c r="LNG8" s="2"/>
      <c r="LNH8" s="2"/>
      <c r="LNI8" s="2"/>
      <c r="LNJ8" s="2"/>
      <c r="LNK8" s="2"/>
      <c r="LNL8" s="2"/>
      <c r="LNM8" s="2"/>
      <c r="LNN8" s="2"/>
      <c r="LNO8" s="2"/>
      <c r="LNP8" s="2"/>
      <c r="LNQ8" s="2"/>
      <c r="LNR8" s="2"/>
      <c r="LNS8" s="2"/>
      <c r="LNT8" s="2"/>
      <c r="LNU8" s="2"/>
      <c r="LNV8" s="2"/>
      <c r="LNW8" s="2"/>
      <c r="LNX8" s="2"/>
      <c r="LNY8" s="2"/>
      <c r="LNZ8" s="2"/>
      <c r="LOA8" s="2"/>
      <c r="LOB8" s="2"/>
      <c r="LOC8" s="2"/>
      <c r="LOD8" s="2"/>
      <c r="LOE8" s="2"/>
      <c r="LOF8" s="2"/>
      <c r="LOG8" s="2"/>
      <c r="LOH8" s="2"/>
      <c r="LOI8" s="2"/>
      <c r="LOJ8" s="2"/>
      <c r="LOK8" s="2"/>
      <c r="LOL8" s="2"/>
      <c r="LOM8" s="2"/>
      <c r="LON8" s="2"/>
      <c r="LOO8" s="2"/>
      <c r="LOP8" s="2"/>
      <c r="LOQ8" s="2"/>
      <c r="LOR8" s="2"/>
      <c r="LOS8" s="2"/>
      <c r="LOT8" s="2"/>
      <c r="LOU8" s="2"/>
      <c r="LOV8" s="2"/>
      <c r="LOW8" s="2"/>
      <c r="LOX8" s="2"/>
      <c r="LOY8" s="2"/>
      <c r="LOZ8" s="2"/>
      <c r="LPA8" s="2"/>
      <c r="LPB8" s="2"/>
      <c r="LPC8" s="2"/>
      <c r="LPD8" s="2"/>
      <c r="LPE8" s="2"/>
      <c r="LPF8" s="2"/>
      <c r="LPG8" s="2"/>
      <c r="LPH8" s="2"/>
      <c r="LPI8" s="2"/>
      <c r="LPJ8" s="2"/>
      <c r="LPK8" s="2"/>
      <c r="LPL8" s="2"/>
      <c r="LPM8" s="2"/>
      <c r="LPN8" s="2"/>
      <c r="LPO8" s="2"/>
      <c r="LPP8" s="2"/>
      <c r="LPQ8" s="2"/>
      <c r="LPR8" s="2"/>
      <c r="LPS8" s="2"/>
      <c r="LPT8" s="2"/>
      <c r="LPU8" s="2"/>
      <c r="LPV8" s="2"/>
      <c r="LPW8" s="2"/>
      <c r="LPX8" s="2"/>
      <c r="LPY8" s="2"/>
      <c r="LPZ8" s="2"/>
      <c r="LQA8" s="2"/>
      <c r="LQB8" s="2"/>
      <c r="LQC8" s="2"/>
      <c r="LQD8" s="2"/>
      <c r="LQE8" s="2"/>
      <c r="LQF8" s="2"/>
      <c r="LQG8" s="2"/>
      <c r="LQH8" s="2"/>
      <c r="LQI8" s="2"/>
      <c r="LQJ8" s="2"/>
      <c r="LQK8" s="2"/>
      <c r="LQL8" s="2"/>
      <c r="LQM8" s="2"/>
      <c r="LQN8" s="2"/>
      <c r="LQO8" s="2"/>
      <c r="LQP8" s="2"/>
      <c r="LQQ8" s="2"/>
      <c r="LQR8" s="2"/>
      <c r="LQS8" s="2"/>
      <c r="LQT8" s="2"/>
      <c r="LQU8" s="2"/>
      <c r="LQV8" s="2"/>
      <c r="LQW8" s="2"/>
      <c r="LQX8" s="2"/>
      <c r="LQY8" s="2"/>
      <c r="LQZ8" s="2"/>
      <c r="LRA8" s="2"/>
      <c r="LRB8" s="2"/>
      <c r="LRC8" s="2"/>
      <c r="LRD8" s="2"/>
      <c r="LRE8" s="2"/>
      <c r="LRF8" s="2"/>
      <c r="LRG8" s="2"/>
      <c r="LRH8" s="2"/>
      <c r="LRI8" s="2"/>
      <c r="LRJ8" s="2"/>
      <c r="LRK8" s="2"/>
      <c r="LRL8" s="2"/>
      <c r="LRM8" s="2"/>
      <c r="LRN8" s="2"/>
      <c r="LRO8" s="2"/>
      <c r="LRP8" s="2"/>
      <c r="LRQ8" s="2"/>
      <c r="LRR8" s="2"/>
      <c r="LRS8" s="2"/>
      <c r="LRT8" s="2"/>
      <c r="LRU8" s="2"/>
      <c r="LRV8" s="2"/>
      <c r="LRW8" s="2"/>
      <c r="LRX8" s="2"/>
      <c r="LRY8" s="2"/>
      <c r="LRZ8" s="2"/>
      <c r="LSA8" s="2"/>
      <c r="LSB8" s="2"/>
      <c r="LSC8" s="2"/>
      <c r="LSD8" s="2"/>
      <c r="LSE8" s="2"/>
      <c r="LSF8" s="2"/>
      <c r="LSG8" s="2"/>
      <c r="LSH8" s="2"/>
      <c r="LSI8" s="2"/>
      <c r="LSJ8" s="2"/>
      <c r="LSK8" s="2"/>
      <c r="LSL8" s="2"/>
      <c r="LSM8" s="2"/>
      <c r="LSN8" s="2"/>
      <c r="LSO8" s="2"/>
      <c r="LSP8" s="2"/>
      <c r="LSQ8" s="2"/>
      <c r="LSR8" s="2"/>
      <c r="LSS8" s="2"/>
      <c r="LST8" s="2"/>
      <c r="LSU8" s="2"/>
      <c r="LSV8" s="2"/>
      <c r="LSW8" s="2"/>
      <c r="LSX8" s="2"/>
      <c r="LSY8" s="2"/>
      <c r="LSZ8" s="2"/>
      <c r="LTA8" s="2"/>
      <c r="LTB8" s="2"/>
      <c r="LTC8" s="2"/>
      <c r="LTD8" s="2"/>
      <c r="LTE8" s="2"/>
      <c r="LTF8" s="2"/>
      <c r="LTG8" s="2"/>
      <c r="LTH8" s="2"/>
      <c r="LTI8" s="2"/>
      <c r="LTJ8" s="2"/>
      <c r="LTK8" s="2"/>
      <c r="LTL8" s="2"/>
      <c r="LTM8" s="2"/>
      <c r="LTN8" s="2"/>
      <c r="LTO8" s="2"/>
      <c r="LTP8" s="2"/>
      <c r="LTQ8" s="2"/>
      <c r="LTR8" s="2"/>
      <c r="LTS8" s="2"/>
      <c r="LTT8" s="2"/>
      <c r="LTU8" s="2"/>
      <c r="LTV8" s="2"/>
      <c r="LTW8" s="2"/>
      <c r="LTX8" s="2"/>
      <c r="LTY8" s="2"/>
      <c r="LTZ8" s="2"/>
      <c r="LUA8" s="2"/>
      <c r="LUB8" s="2"/>
      <c r="LUC8" s="2"/>
      <c r="LUD8" s="2"/>
      <c r="LUE8" s="2"/>
      <c r="LUF8" s="2"/>
      <c r="LUG8" s="2"/>
      <c r="LUH8" s="2"/>
      <c r="LUI8" s="2"/>
      <c r="LUJ8" s="2"/>
      <c r="LUK8" s="2"/>
      <c r="LUL8" s="2"/>
      <c r="LUM8" s="2"/>
      <c r="LUN8" s="2"/>
      <c r="LUO8" s="2"/>
      <c r="LUP8" s="2"/>
      <c r="LUQ8" s="2"/>
      <c r="LUR8" s="2"/>
      <c r="LUS8" s="2"/>
      <c r="LUT8" s="2"/>
      <c r="LUU8" s="2"/>
      <c r="LUV8" s="2"/>
      <c r="LUW8" s="2"/>
      <c r="LUX8" s="2"/>
      <c r="LUY8" s="2"/>
      <c r="LUZ8" s="2"/>
      <c r="LVA8" s="2"/>
      <c r="LVB8" s="2"/>
      <c r="LVC8" s="2"/>
      <c r="LVD8" s="2"/>
      <c r="LVE8" s="2"/>
      <c r="LVF8" s="2"/>
      <c r="LVG8" s="2"/>
      <c r="LVH8" s="2"/>
      <c r="LVI8" s="2"/>
      <c r="LVJ8" s="2"/>
      <c r="LVK8" s="2"/>
      <c r="LVL8" s="2"/>
      <c r="LVM8" s="2"/>
      <c r="LVN8" s="2"/>
      <c r="LVO8" s="2"/>
      <c r="LVP8" s="2"/>
      <c r="LVQ8" s="2"/>
      <c r="LVR8" s="2"/>
      <c r="LVS8" s="2"/>
      <c r="LVT8" s="2"/>
      <c r="LVU8" s="2"/>
      <c r="LVV8" s="2"/>
      <c r="LVW8" s="2"/>
      <c r="LVX8" s="2"/>
      <c r="LVY8" s="2"/>
      <c r="LVZ8" s="2"/>
      <c r="LWA8" s="2"/>
      <c r="LWB8" s="2"/>
      <c r="LWC8" s="2"/>
      <c r="LWD8" s="2"/>
      <c r="LWE8" s="2"/>
      <c r="LWF8" s="2"/>
      <c r="LWG8" s="2"/>
      <c r="LWH8" s="2"/>
      <c r="LWI8" s="2"/>
      <c r="LWJ8" s="2"/>
      <c r="LWK8" s="2"/>
      <c r="LWL8" s="2"/>
      <c r="LWM8" s="2"/>
      <c r="LWN8" s="2"/>
      <c r="LWO8" s="2"/>
      <c r="LWP8" s="2"/>
      <c r="LWQ8" s="2"/>
      <c r="LWR8" s="2"/>
      <c r="LWS8" s="2"/>
      <c r="LWT8" s="2"/>
      <c r="LWU8" s="2"/>
      <c r="LWV8" s="2"/>
      <c r="LWW8" s="2"/>
      <c r="LWX8" s="2"/>
      <c r="LWY8" s="2"/>
      <c r="LWZ8" s="2"/>
      <c r="LXA8" s="2"/>
      <c r="LXB8" s="2"/>
      <c r="LXC8" s="2"/>
      <c r="LXD8" s="2"/>
      <c r="LXE8" s="2"/>
      <c r="LXF8" s="2"/>
      <c r="LXG8" s="2"/>
      <c r="LXH8" s="2"/>
      <c r="LXI8" s="2"/>
      <c r="LXJ8" s="2"/>
      <c r="LXK8" s="2"/>
      <c r="LXL8" s="2"/>
      <c r="LXM8" s="2"/>
      <c r="LXN8" s="2"/>
      <c r="LXO8" s="2"/>
      <c r="LXP8" s="2"/>
      <c r="LXQ8" s="2"/>
      <c r="LXR8" s="2"/>
      <c r="LXS8" s="2"/>
      <c r="LXT8" s="2"/>
      <c r="LXU8" s="2"/>
      <c r="LXV8" s="2"/>
      <c r="LXW8" s="2"/>
      <c r="LXX8" s="2"/>
      <c r="LXY8" s="2"/>
      <c r="LXZ8" s="2"/>
      <c r="LYA8" s="2"/>
      <c r="LYB8" s="2"/>
      <c r="LYC8" s="2"/>
      <c r="LYD8" s="2"/>
      <c r="LYE8" s="2"/>
      <c r="LYF8" s="2"/>
      <c r="LYG8" s="2"/>
      <c r="LYH8" s="2"/>
      <c r="LYI8" s="2"/>
      <c r="LYJ8" s="2"/>
      <c r="LYK8" s="2"/>
      <c r="LYL8" s="2"/>
      <c r="LYM8" s="2"/>
      <c r="LYN8" s="2"/>
      <c r="LYO8" s="2"/>
      <c r="LYP8" s="2"/>
      <c r="LYQ8" s="2"/>
      <c r="LYR8" s="2"/>
      <c r="LYS8" s="2"/>
      <c r="LYT8" s="2"/>
      <c r="LYU8" s="2"/>
      <c r="LYV8" s="2"/>
      <c r="LYW8" s="2"/>
      <c r="LYX8" s="2"/>
      <c r="LYY8" s="2"/>
      <c r="LYZ8" s="2"/>
      <c r="LZA8" s="2"/>
      <c r="LZB8" s="2"/>
      <c r="LZC8" s="2"/>
      <c r="LZD8" s="2"/>
      <c r="LZE8" s="2"/>
      <c r="LZF8" s="2"/>
      <c r="LZG8" s="2"/>
      <c r="LZH8" s="2"/>
      <c r="LZI8" s="2"/>
      <c r="LZJ8" s="2"/>
      <c r="LZK8" s="2"/>
      <c r="LZL8" s="2"/>
      <c r="LZM8" s="2"/>
      <c r="LZN8" s="2"/>
      <c r="LZO8" s="2"/>
      <c r="LZP8" s="2"/>
      <c r="LZQ8" s="2"/>
      <c r="LZR8" s="2"/>
      <c r="LZS8" s="2"/>
      <c r="LZT8" s="2"/>
      <c r="LZU8" s="2"/>
      <c r="LZV8" s="2"/>
      <c r="LZW8" s="2"/>
      <c r="LZX8" s="2"/>
      <c r="LZY8" s="2"/>
      <c r="LZZ8" s="2"/>
      <c r="MAA8" s="2"/>
      <c r="MAB8" s="2"/>
      <c r="MAC8" s="2"/>
      <c r="MAD8" s="2"/>
      <c r="MAE8" s="2"/>
      <c r="MAF8" s="2"/>
      <c r="MAG8" s="2"/>
      <c r="MAH8" s="2"/>
      <c r="MAI8" s="2"/>
      <c r="MAJ8" s="2"/>
      <c r="MAK8" s="2"/>
      <c r="MAL8" s="2"/>
      <c r="MAM8" s="2"/>
      <c r="MAN8" s="2"/>
      <c r="MAO8" s="2"/>
      <c r="MAP8" s="2"/>
      <c r="MAQ8" s="2"/>
      <c r="MAR8" s="2"/>
      <c r="MAS8" s="2"/>
      <c r="MAT8" s="2"/>
      <c r="MAU8" s="2"/>
      <c r="MAV8" s="2"/>
      <c r="MAW8" s="2"/>
      <c r="MAX8" s="2"/>
      <c r="MAY8" s="2"/>
      <c r="MAZ8" s="2"/>
      <c r="MBA8" s="2"/>
      <c r="MBB8" s="2"/>
      <c r="MBC8" s="2"/>
      <c r="MBD8" s="2"/>
      <c r="MBE8" s="2"/>
      <c r="MBF8" s="2"/>
      <c r="MBG8" s="2"/>
      <c r="MBH8" s="2"/>
      <c r="MBI8" s="2"/>
      <c r="MBJ8" s="2"/>
      <c r="MBK8" s="2"/>
      <c r="MBL8" s="2"/>
      <c r="MBM8" s="2"/>
      <c r="MBN8" s="2"/>
      <c r="MBO8" s="2"/>
      <c r="MBP8" s="2"/>
      <c r="MBQ8" s="2"/>
      <c r="MBR8" s="2"/>
      <c r="MBS8" s="2"/>
      <c r="MBT8" s="2"/>
      <c r="MBU8" s="2"/>
      <c r="MBV8" s="2"/>
      <c r="MBW8" s="2"/>
      <c r="MBX8" s="2"/>
      <c r="MBY8" s="2"/>
      <c r="MBZ8" s="2"/>
      <c r="MCA8" s="2"/>
      <c r="MCB8" s="2"/>
      <c r="MCC8" s="2"/>
      <c r="MCD8" s="2"/>
      <c r="MCE8" s="2"/>
      <c r="MCF8" s="2"/>
      <c r="MCG8" s="2"/>
      <c r="MCH8" s="2"/>
      <c r="MCI8" s="2"/>
      <c r="MCJ8" s="2"/>
      <c r="MCK8" s="2"/>
      <c r="MCL8" s="2"/>
      <c r="MCM8" s="2"/>
      <c r="MCN8" s="2"/>
      <c r="MCO8" s="2"/>
      <c r="MCP8" s="2"/>
      <c r="MCQ8" s="2"/>
      <c r="MCR8" s="2"/>
      <c r="MCS8" s="2"/>
      <c r="MCT8" s="2"/>
      <c r="MCU8" s="2"/>
      <c r="MCV8" s="2"/>
      <c r="MCW8" s="2"/>
      <c r="MCX8" s="2"/>
      <c r="MCY8" s="2"/>
      <c r="MCZ8" s="2"/>
      <c r="MDA8" s="2"/>
      <c r="MDB8" s="2"/>
      <c r="MDC8" s="2"/>
      <c r="MDD8" s="2"/>
      <c r="MDE8" s="2"/>
      <c r="MDF8" s="2"/>
      <c r="MDG8" s="2"/>
      <c r="MDH8" s="2"/>
      <c r="MDI8" s="2"/>
      <c r="MDJ8" s="2"/>
      <c r="MDK8" s="2"/>
      <c r="MDL8" s="2"/>
      <c r="MDM8" s="2"/>
      <c r="MDN8" s="2"/>
      <c r="MDO8" s="2"/>
      <c r="MDP8" s="2"/>
      <c r="MDQ8" s="2"/>
      <c r="MDR8" s="2"/>
      <c r="MDS8" s="2"/>
      <c r="MDT8" s="2"/>
      <c r="MDU8" s="2"/>
      <c r="MDV8" s="2"/>
      <c r="MDW8" s="2"/>
      <c r="MDX8" s="2"/>
      <c r="MDY8" s="2"/>
      <c r="MDZ8" s="2"/>
      <c r="MEA8" s="2"/>
      <c r="MEB8" s="2"/>
      <c r="MEC8" s="2"/>
      <c r="MED8" s="2"/>
      <c r="MEE8" s="2"/>
      <c r="MEF8" s="2"/>
      <c r="MEG8" s="2"/>
      <c r="MEH8" s="2"/>
      <c r="MEI8" s="2"/>
      <c r="MEJ8" s="2"/>
      <c r="MEK8" s="2"/>
      <c r="MEL8" s="2"/>
      <c r="MEM8" s="2"/>
      <c r="MEN8" s="2"/>
      <c r="MEO8" s="2"/>
      <c r="MEP8" s="2"/>
      <c r="MEQ8" s="2"/>
      <c r="MER8" s="2"/>
      <c r="MES8" s="2"/>
      <c r="MET8" s="2"/>
      <c r="MEU8" s="2"/>
      <c r="MEV8" s="2"/>
      <c r="MEW8" s="2"/>
      <c r="MEX8" s="2"/>
      <c r="MEY8" s="2"/>
      <c r="MEZ8" s="2"/>
      <c r="MFA8" s="2"/>
      <c r="MFB8" s="2"/>
      <c r="MFC8" s="2"/>
      <c r="MFD8" s="2"/>
      <c r="MFE8" s="2"/>
      <c r="MFF8" s="2"/>
      <c r="MFG8" s="2"/>
      <c r="MFH8" s="2"/>
      <c r="MFI8" s="2"/>
      <c r="MFJ8" s="2"/>
      <c r="MFK8" s="2"/>
      <c r="MFL8" s="2"/>
      <c r="MFM8" s="2"/>
      <c r="MFN8" s="2"/>
      <c r="MFO8" s="2"/>
      <c r="MFP8" s="2"/>
      <c r="MFQ8" s="2"/>
      <c r="MFR8" s="2"/>
      <c r="MFS8" s="2"/>
      <c r="MFT8" s="2"/>
      <c r="MFU8" s="2"/>
      <c r="MFV8" s="2"/>
      <c r="MFW8" s="2"/>
      <c r="MFX8" s="2"/>
      <c r="MFY8" s="2"/>
      <c r="MFZ8" s="2"/>
      <c r="MGA8" s="2"/>
      <c r="MGB8" s="2"/>
      <c r="MGC8" s="2"/>
      <c r="MGD8" s="2"/>
      <c r="MGE8" s="2"/>
      <c r="MGF8" s="2"/>
      <c r="MGG8" s="2"/>
      <c r="MGH8" s="2"/>
      <c r="MGI8" s="2"/>
      <c r="MGJ8" s="2"/>
      <c r="MGK8" s="2"/>
      <c r="MGL8" s="2"/>
      <c r="MGM8" s="2"/>
      <c r="MGN8" s="2"/>
      <c r="MGO8" s="2"/>
      <c r="MGP8" s="2"/>
      <c r="MGQ8" s="2"/>
      <c r="MGR8" s="2"/>
      <c r="MGS8" s="2"/>
      <c r="MGT8" s="2"/>
      <c r="MGU8" s="2"/>
      <c r="MGV8" s="2"/>
      <c r="MGW8" s="2"/>
      <c r="MGX8" s="2"/>
      <c r="MGY8" s="2"/>
      <c r="MGZ8" s="2"/>
      <c r="MHA8" s="2"/>
      <c r="MHB8" s="2"/>
      <c r="MHC8" s="2"/>
      <c r="MHD8" s="2"/>
      <c r="MHE8" s="2"/>
      <c r="MHF8" s="2"/>
      <c r="MHG8" s="2"/>
      <c r="MHH8" s="2"/>
      <c r="MHI8" s="2"/>
      <c r="MHJ8" s="2"/>
      <c r="MHK8" s="2"/>
      <c r="MHL8" s="2"/>
      <c r="MHM8" s="2"/>
      <c r="MHN8" s="2"/>
      <c r="MHO8" s="2"/>
      <c r="MHP8" s="2"/>
      <c r="MHQ8" s="2"/>
      <c r="MHR8" s="2"/>
      <c r="MHS8" s="2"/>
      <c r="MHT8" s="2"/>
      <c r="MHU8" s="2"/>
      <c r="MHV8" s="2"/>
      <c r="MHW8" s="2"/>
      <c r="MHX8" s="2"/>
      <c r="MHY8" s="2"/>
      <c r="MHZ8" s="2"/>
      <c r="MIA8" s="2"/>
      <c r="MIB8" s="2"/>
      <c r="MIC8" s="2"/>
      <c r="MID8" s="2"/>
      <c r="MIE8" s="2"/>
      <c r="MIF8" s="2"/>
      <c r="MIG8" s="2"/>
      <c r="MIH8" s="2"/>
      <c r="MII8" s="2"/>
      <c r="MIJ8" s="2"/>
      <c r="MIK8" s="2"/>
      <c r="MIL8" s="2"/>
      <c r="MIM8" s="2"/>
      <c r="MIN8" s="2"/>
      <c r="MIO8" s="2"/>
      <c r="MIP8" s="2"/>
      <c r="MIQ8" s="2"/>
      <c r="MIR8" s="2"/>
      <c r="MIS8" s="2"/>
      <c r="MIT8" s="2"/>
      <c r="MIU8" s="2"/>
      <c r="MIV8" s="2"/>
      <c r="MIW8" s="2"/>
      <c r="MIX8" s="2"/>
      <c r="MIY8" s="2"/>
      <c r="MIZ8" s="2"/>
      <c r="MJA8" s="2"/>
      <c r="MJB8" s="2"/>
      <c r="MJC8" s="2"/>
      <c r="MJD8" s="2"/>
      <c r="MJE8" s="2"/>
      <c r="MJF8" s="2"/>
      <c r="MJG8" s="2"/>
      <c r="MJH8" s="2"/>
      <c r="MJI8" s="2"/>
      <c r="MJJ8" s="2"/>
      <c r="MJK8" s="2"/>
      <c r="MJL8" s="2"/>
      <c r="MJM8" s="2"/>
      <c r="MJN8" s="2"/>
      <c r="MJO8" s="2"/>
      <c r="MJP8" s="2"/>
      <c r="MJQ8" s="2"/>
      <c r="MJR8" s="2"/>
      <c r="MJS8" s="2"/>
      <c r="MJT8" s="2"/>
      <c r="MJU8" s="2"/>
      <c r="MJV8" s="2"/>
      <c r="MJW8" s="2"/>
      <c r="MJX8" s="2"/>
      <c r="MJY8" s="2"/>
      <c r="MJZ8" s="2"/>
      <c r="MKA8" s="2"/>
      <c r="MKB8" s="2"/>
      <c r="MKC8" s="2"/>
      <c r="MKD8" s="2"/>
      <c r="MKE8" s="2"/>
      <c r="MKF8" s="2"/>
      <c r="MKG8" s="2"/>
      <c r="MKH8" s="2"/>
      <c r="MKI8" s="2"/>
      <c r="MKJ8" s="2"/>
      <c r="MKK8" s="2"/>
      <c r="MKL8" s="2"/>
      <c r="MKM8" s="2"/>
      <c r="MKN8" s="2"/>
      <c r="MKO8" s="2"/>
      <c r="MKP8" s="2"/>
      <c r="MKQ8" s="2"/>
      <c r="MKR8" s="2"/>
      <c r="MKS8" s="2"/>
      <c r="MKT8" s="2"/>
      <c r="MKU8" s="2"/>
      <c r="MKV8" s="2"/>
      <c r="MKW8" s="2"/>
      <c r="MKX8" s="2"/>
      <c r="MKY8" s="2"/>
      <c r="MKZ8" s="2"/>
      <c r="MLA8" s="2"/>
      <c r="MLB8" s="2"/>
      <c r="MLC8" s="2"/>
      <c r="MLD8" s="2"/>
      <c r="MLE8" s="2"/>
      <c r="MLF8" s="2"/>
      <c r="MLG8" s="2"/>
      <c r="MLH8" s="2"/>
      <c r="MLI8" s="2"/>
      <c r="MLJ8" s="2"/>
      <c r="MLK8" s="2"/>
      <c r="MLL8" s="2"/>
      <c r="MLM8" s="2"/>
      <c r="MLN8" s="2"/>
      <c r="MLO8" s="2"/>
      <c r="MLP8" s="2"/>
      <c r="MLQ8" s="2"/>
      <c r="MLR8" s="2"/>
      <c r="MLS8" s="2"/>
      <c r="MLT8" s="2"/>
      <c r="MLU8" s="2"/>
      <c r="MLV8" s="2"/>
      <c r="MLW8" s="2"/>
      <c r="MLX8" s="2"/>
      <c r="MLY8" s="2"/>
      <c r="MLZ8" s="2"/>
      <c r="MMA8" s="2"/>
      <c r="MMB8" s="2"/>
      <c r="MMC8" s="2"/>
      <c r="MMD8" s="2"/>
      <c r="MME8" s="2"/>
      <c r="MMF8" s="2"/>
      <c r="MMG8" s="2"/>
      <c r="MMH8" s="2"/>
      <c r="MMI8" s="2"/>
      <c r="MMJ8" s="2"/>
      <c r="MMK8" s="2"/>
      <c r="MML8" s="2"/>
      <c r="MMM8" s="2"/>
      <c r="MMN8" s="2"/>
      <c r="MMO8" s="2"/>
      <c r="MMP8" s="2"/>
      <c r="MMQ8" s="2"/>
      <c r="MMR8" s="2"/>
      <c r="MMS8" s="2"/>
      <c r="MMT8" s="2"/>
      <c r="MMU8" s="2"/>
      <c r="MMV8" s="2"/>
      <c r="MMW8" s="2"/>
      <c r="MMX8" s="2"/>
      <c r="MMY8" s="2"/>
      <c r="MMZ8" s="2"/>
      <c r="MNA8" s="2"/>
      <c r="MNB8" s="2"/>
      <c r="MNC8" s="2"/>
      <c r="MND8" s="2"/>
      <c r="MNE8" s="2"/>
      <c r="MNF8" s="2"/>
      <c r="MNG8" s="2"/>
      <c r="MNH8" s="2"/>
      <c r="MNI8" s="2"/>
      <c r="MNJ8" s="2"/>
      <c r="MNK8" s="2"/>
      <c r="MNL8" s="2"/>
      <c r="MNM8" s="2"/>
      <c r="MNN8" s="2"/>
      <c r="MNO8" s="2"/>
      <c r="MNP8" s="2"/>
      <c r="MNQ8" s="2"/>
      <c r="MNR8" s="2"/>
      <c r="MNS8" s="2"/>
      <c r="MNT8" s="2"/>
      <c r="MNU8" s="2"/>
      <c r="MNV8" s="2"/>
      <c r="MNW8" s="2"/>
      <c r="MNX8" s="2"/>
      <c r="MNY8" s="2"/>
      <c r="MNZ8" s="2"/>
      <c r="MOA8" s="2"/>
      <c r="MOB8" s="2"/>
      <c r="MOC8" s="2"/>
      <c r="MOD8" s="2"/>
      <c r="MOE8" s="2"/>
      <c r="MOF8" s="2"/>
      <c r="MOG8" s="2"/>
      <c r="MOH8" s="2"/>
      <c r="MOI8" s="2"/>
      <c r="MOJ8" s="2"/>
      <c r="MOK8" s="2"/>
      <c r="MOL8" s="2"/>
      <c r="MOM8" s="2"/>
      <c r="MON8" s="2"/>
      <c r="MOO8" s="2"/>
      <c r="MOP8" s="2"/>
      <c r="MOQ8" s="2"/>
      <c r="MOR8" s="2"/>
      <c r="MOS8" s="2"/>
      <c r="MOT8" s="2"/>
      <c r="MOU8" s="2"/>
      <c r="MOV8" s="2"/>
      <c r="MOW8" s="2"/>
      <c r="MOX8" s="2"/>
      <c r="MOY8" s="2"/>
      <c r="MOZ8" s="2"/>
      <c r="MPA8" s="2"/>
      <c r="MPB8" s="2"/>
      <c r="MPC8" s="2"/>
      <c r="MPD8" s="2"/>
      <c r="MPE8" s="2"/>
      <c r="MPF8" s="2"/>
      <c r="MPG8" s="2"/>
      <c r="MPH8" s="2"/>
      <c r="MPI8" s="2"/>
      <c r="MPJ8" s="2"/>
      <c r="MPK8" s="2"/>
      <c r="MPL8" s="2"/>
      <c r="MPM8" s="2"/>
      <c r="MPN8" s="2"/>
      <c r="MPO8" s="2"/>
      <c r="MPP8" s="2"/>
      <c r="MPQ8" s="2"/>
      <c r="MPR8" s="2"/>
      <c r="MPS8" s="2"/>
      <c r="MPT8" s="2"/>
      <c r="MPU8" s="2"/>
      <c r="MPV8" s="2"/>
      <c r="MPW8" s="2"/>
      <c r="MPX8" s="2"/>
      <c r="MPY8" s="2"/>
      <c r="MPZ8" s="2"/>
      <c r="MQA8" s="2"/>
      <c r="MQB8" s="2"/>
      <c r="MQC8" s="2"/>
      <c r="MQD8" s="2"/>
      <c r="MQE8" s="2"/>
      <c r="MQF8" s="2"/>
      <c r="MQG8" s="2"/>
      <c r="MQH8" s="2"/>
      <c r="MQI8" s="2"/>
      <c r="MQJ8" s="2"/>
      <c r="MQK8" s="2"/>
      <c r="MQL8" s="2"/>
      <c r="MQM8" s="2"/>
      <c r="MQN8" s="2"/>
      <c r="MQO8" s="2"/>
      <c r="MQP8" s="2"/>
      <c r="MQQ8" s="2"/>
      <c r="MQR8" s="2"/>
      <c r="MQS8" s="2"/>
      <c r="MQT8" s="2"/>
      <c r="MQU8" s="2"/>
      <c r="MQV8" s="2"/>
      <c r="MQW8" s="2"/>
      <c r="MQX8" s="2"/>
      <c r="MQY8" s="2"/>
      <c r="MQZ8" s="2"/>
      <c r="MRA8" s="2"/>
      <c r="MRB8" s="2"/>
      <c r="MRC8" s="2"/>
      <c r="MRD8" s="2"/>
      <c r="MRE8" s="2"/>
      <c r="MRF8" s="2"/>
      <c r="MRG8" s="2"/>
      <c r="MRH8" s="2"/>
      <c r="MRI8" s="2"/>
      <c r="MRJ8" s="2"/>
      <c r="MRK8" s="2"/>
      <c r="MRL8" s="2"/>
      <c r="MRM8" s="2"/>
      <c r="MRN8" s="2"/>
      <c r="MRO8" s="2"/>
      <c r="MRP8" s="2"/>
      <c r="MRQ8" s="2"/>
      <c r="MRR8" s="2"/>
      <c r="MRS8" s="2"/>
      <c r="MRT8" s="2"/>
      <c r="MRU8" s="2"/>
      <c r="MRV8" s="2"/>
      <c r="MRW8" s="2"/>
      <c r="MRX8" s="2"/>
      <c r="MRY8" s="2"/>
      <c r="MRZ8" s="2"/>
      <c r="MSA8" s="2"/>
      <c r="MSB8" s="2"/>
      <c r="MSC8" s="2"/>
      <c r="MSD8" s="2"/>
      <c r="MSE8" s="2"/>
      <c r="MSF8" s="2"/>
      <c r="MSG8" s="2"/>
      <c r="MSH8" s="2"/>
      <c r="MSI8" s="2"/>
      <c r="MSJ8" s="2"/>
      <c r="MSK8" s="2"/>
      <c r="MSL8" s="2"/>
      <c r="MSM8" s="2"/>
      <c r="MSN8" s="2"/>
      <c r="MSO8" s="2"/>
      <c r="MSP8" s="2"/>
      <c r="MSQ8" s="2"/>
      <c r="MSR8" s="2"/>
      <c r="MSS8" s="2"/>
      <c r="MST8" s="2"/>
      <c r="MSU8" s="2"/>
      <c r="MSV8" s="2"/>
      <c r="MSW8" s="2"/>
      <c r="MSX8" s="2"/>
      <c r="MSY8" s="2"/>
      <c r="MSZ8" s="2"/>
      <c r="MTA8" s="2"/>
      <c r="MTB8" s="2"/>
      <c r="MTC8" s="2"/>
      <c r="MTD8" s="2"/>
      <c r="MTE8" s="2"/>
      <c r="MTF8" s="2"/>
      <c r="MTG8" s="2"/>
      <c r="MTH8" s="2"/>
      <c r="MTI8" s="2"/>
      <c r="MTJ8" s="2"/>
      <c r="MTK8" s="2"/>
      <c r="MTL8" s="2"/>
      <c r="MTM8" s="2"/>
      <c r="MTN8" s="2"/>
      <c r="MTO8" s="2"/>
      <c r="MTP8" s="2"/>
      <c r="MTQ8" s="2"/>
      <c r="MTR8" s="2"/>
      <c r="MTS8" s="2"/>
      <c r="MTT8" s="2"/>
      <c r="MTU8" s="2"/>
      <c r="MTV8" s="2"/>
      <c r="MTW8" s="2"/>
      <c r="MTX8" s="2"/>
      <c r="MTY8" s="2"/>
      <c r="MTZ8" s="2"/>
      <c r="MUA8" s="2"/>
      <c r="MUB8" s="2"/>
      <c r="MUC8" s="2"/>
      <c r="MUD8" s="2"/>
      <c r="MUE8" s="2"/>
      <c r="MUF8" s="2"/>
      <c r="MUG8" s="2"/>
      <c r="MUH8" s="2"/>
      <c r="MUI8" s="2"/>
      <c r="MUJ8" s="2"/>
      <c r="MUK8" s="2"/>
      <c r="MUL8" s="2"/>
      <c r="MUM8" s="2"/>
      <c r="MUN8" s="2"/>
      <c r="MUO8" s="2"/>
      <c r="MUP8" s="2"/>
      <c r="MUQ8" s="2"/>
      <c r="MUR8" s="2"/>
      <c r="MUS8" s="2"/>
      <c r="MUT8" s="2"/>
      <c r="MUU8" s="2"/>
      <c r="MUV8" s="2"/>
      <c r="MUW8" s="2"/>
      <c r="MUX8" s="2"/>
      <c r="MUY8" s="2"/>
      <c r="MUZ8" s="2"/>
      <c r="MVA8" s="2"/>
      <c r="MVB8" s="2"/>
      <c r="MVC8" s="2"/>
      <c r="MVD8" s="2"/>
      <c r="MVE8" s="2"/>
      <c r="MVF8" s="2"/>
      <c r="MVG8" s="2"/>
      <c r="MVH8" s="2"/>
      <c r="MVI8" s="2"/>
      <c r="MVJ8" s="2"/>
      <c r="MVK8" s="2"/>
      <c r="MVL8" s="2"/>
      <c r="MVM8" s="2"/>
      <c r="MVN8" s="2"/>
      <c r="MVO8" s="2"/>
      <c r="MVP8" s="2"/>
      <c r="MVQ8" s="2"/>
      <c r="MVR8" s="2"/>
      <c r="MVS8" s="2"/>
      <c r="MVT8" s="2"/>
      <c r="MVU8" s="2"/>
      <c r="MVV8" s="2"/>
      <c r="MVW8" s="2"/>
      <c r="MVX8" s="2"/>
      <c r="MVY8" s="2"/>
      <c r="MVZ8" s="2"/>
      <c r="MWA8" s="2"/>
      <c r="MWB8" s="2"/>
      <c r="MWC8" s="2"/>
      <c r="MWD8" s="2"/>
      <c r="MWE8" s="2"/>
      <c r="MWF8" s="2"/>
      <c r="MWG8" s="2"/>
      <c r="MWH8" s="2"/>
      <c r="MWI8" s="2"/>
      <c r="MWJ8" s="2"/>
      <c r="MWK8" s="2"/>
      <c r="MWL8" s="2"/>
      <c r="MWM8" s="2"/>
      <c r="MWN8" s="2"/>
      <c r="MWO8" s="2"/>
      <c r="MWP8" s="2"/>
      <c r="MWQ8" s="2"/>
      <c r="MWR8" s="2"/>
      <c r="MWS8" s="2"/>
      <c r="MWT8" s="2"/>
      <c r="MWU8" s="2"/>
      <c r="MWV8" s="2"/>
      <c r="MWW8" s="2"/>
      <c r="MWX8" s="2"/>
      <c r="MWY8" s="2"/>
      <c r="MWZ8" s="2"/>
      <c r="MXA8" s="2"/>
      <c r="MXB8" s="2"/>
      <c r="MXC8" s="2"/>
      <c r="MXD8" s="2"/>
      <c r="MXE8" s="2"/>
      <c r="MXF8" s="2"/>
      <c r="MXG8" s="2"/>
      <c r="MXH8" s="2"/>
      <c r="MXI8" s="2"/>
      <c r="MXJ8" s="2"/>
      <c r="MXK8" s="2"/>
      <c r="MXL8" s="2"/>
      <c r="MXM8" s="2"/>
      <c r="MXN8" s="2"/>
      <c r="MXO8" s="2"/>
      <c r="MXP8" s="2"/>
      <c r="MXQ8" s="2"/>
      <c r="MXR8" s="2"/>
      <c r="MXS8" s="2"/>
      <c r="MXT8" s="2"/>
      <c r="MXU8" s="2"/>
      <c r="MXV8" s="2"/>
      <c r="MXW8" s="2"/>
      <c r="MXX8" s="2"/>
      <c r="MXY8" s="2"/>
      <c r="MXZ8" s="2"/>
      <c r="MYA8" s="2"/>
      <c r="MYB8" s="2"/>
      <c r="MYC8" s="2"/>
      <c r="MYD8" s="2"/>
      <c r="MYE8" s="2"/>
      <c r="MYF8" s="2"/>
      <c r="MYG8" s="2"/>
      <c r="MYH8" s="2"/>
      <c r="MYI8" s="2"/>
      <c r="MYJ8" s="2"/>
      <c r="MYK8" s="2"/>
      <c r="MYL8" s="2"/>
      <c r="MYM8" s="2"/>
      <c r="MYN8" s="2"/>
      <c r="MYO8" s="2"/>
      <c r="MYP8" s="2"/>
      <c r="MYQ8" s="2"/>
      <c r="MYR8" s="2"/>
      <c r="MYS8" s="2"/>
      <c r="MYT8" s="2"/>
      <c r="MYU8" s="2"/>
      <c r="MYV8" s="2"/>
      <c r="MYW8" s="2"/>
      <c r="MYX8" s="2"/>
      <c r="MYY8" s="2"/>
      <c r="MYZ8" s="2"/>
      <c r="MZA8" s="2"/>
      <c r="MZB8" s="2"/>
      <c r="MZC8" s="2"/>
      <c r="MZD8" s="2"/>
      <c r="MZE8" s="2"/>
      <c r="MZF8" s="2"/>
      <c r="MZG8" s="2"/>
      <c r="MZH8" s="2"/>
      <c r="MZI8" s="2"/>
      <c r="MZJ8" s="2"/>
      <c r="MZK8" s="2"/>
      <c r="MZL8" s="2"/>
      <c r="MZM8" s="2"/>
      <c r="MZN8" s="2"/>
      <c r="MZO8" s="2"/>
      <c r="MZP8" s="2"/>
      <c r="MZQ8" s="2"/>
      <c r="MZR8" s="2"/>
      <c r="MZS8" s="2"/>
      <c r="MZT8" s="2"/>
      <c r="MZU8" s="2"/>
      <c r="MZV8" s="2"/>
      <c r="MZW8" s="2"/>
      <c r="MZX8" s="2"/>
      <c r="MZY8" s="2"/>
      <c r="MZZ8" s="2"/>
      <c r="NAA8" s="2"/>
      <c r="NAB8" s="2"/>
      <c r="NAC8" s="2"/>
      <c r="NAD8" s="2"/>
      <c r="NAE8" s="2"/>
      <c r="NAF8" s="2"/>
      <c r="NAG8" s="2"/>
      <c r="NAH8" s="2"/>
      <c r="NAI8" s="2"/>
      <c r="NAJ8" s="2"/>
      <c r="NAK8" s="2"/>
      <c r="NAL8" s="2"/>
      <c r="NAM8" s="2"/>
      <c r="NAN8" s="2"/>
      <c r="NAO8" s="2"/>
      <c r="NAP8" s="2"/>
      <c r="NAQ8" s="2"/>
      <c r="NAR8" s="2"/>
      <c r="NAS8" s="2"/>
      <c r="NAT8" s="2"/>
      <c r="NAU8" s="2"/>
      <c r="NAV8" s="2"/>
      <c r="NAW8" s="2"/>
      <c r="NAX8" s="2"/>
      <c r="NAY8" s="2"/>
      <c r="NAZ8" s="2"/>
      <c r="NBA8" s="2"/>
      <c r="NBB8" s="2"/>
      <c r="NBC8" s="2"/>
      <c r="NBD8" s="2"/>
      <c r="NBE8" s="2"/>
      <c r="NBF8" s="2"/>
      <c r="NBG8" s="2"/>
      <c r="NBH8" s="2"/>
      <c r="NBI8" s="2"/>
      <c r="NBJ8" s="2"/>
      <c r="NBK8" s="2"/>
      <c r="NBL8" s="2"/>
      <c r="NBM8" s="2"/>
      <c r="NBN8" s="2"/>
      <c r="NBO8" s="2"/>
      <c r="NBP8" s="2"/>
      <c r="NBQ8" s="2"/>
      <c r="NBR8" s="2"/>
      <c r="NBS8" s="2"/>
      <c r="NBT8" s="2"/>
      <c r="NBU8" s="2"/>
      <c r="NBV8" s="2"/>
      <c r="NBW8" s="2"/>
      <c r="NBX8" s="2"/>
      <c r="NBY8" s="2"/>
      <c r="NBZ8" s="2"/>
      <c r="NCA8" s="2"/>
      <c r="NCB8" s="2"/>
      <c r="NCC8" s="2"/>
      <c r="NCD8" s="2"/>
      <c r="NCE8" s="2"/>
      <c r="NCF8" s="2"/>
      <c r="NCG8" s="2"/>
      <c r="NCH8" s="2"/>
      <c r="NCI8" s="2"/>
      <c r="NCJ8" s="2"/>
      <c r="NCK8" s="2"/>
      <c r="NCL8" s="2"/>
      <c r="NCM8" s="2"/>
      <c r="NCN8" s="2"/>
      <c r="NCO8" s="2"/>
      <c r="NCP8" s="2"/>
      <c r="NCQ8" s="2"/>
      <c r="NCR8" s="2"/>
      <c r="NCS8" s="2"/>
      <c r="NCT8" s="2"/>
      <c r="NCU8" s="2"/>
      <c r="NCV8" s="2"/>
      <c r="NCW8" s="2"/>
      <c r="NCX8" s="2"/>
      <c r="NCY8" s="2"/>
      <c r="NCZ8" s="2"/>
      <c r="NDA8" s="2"/>
      <c r="NDB8" s="2"/>
      <c r="NDC8" s="2"/>
      <c r="NDD8" s="2"/>
      <c r="NDE8" s="2"/>
      <c r="NDF8" s="2"/>
      <c r="NDG8" s="2"/>
      <c r="NDH8" s="2"/>
      <c r="NDI8" s="2"/>
      <c r="NDJ8" s="2"/>
      <c r="NDK8" s="2"/>
      <c r="NDL8" s="2"/>
      <c r="NDM8" s="2"/>
      <c r="NDN8" s="2"/>
      <c r="NDO8" s="2"/>
      <c r="NDP8" s="2"/>
      <c r="NDQ8" s="2"/>
      <c r="NDR8" s="2"/>
      <c r="NDS8" s="2"/>
      <c r="NDT8" s="2"/>
      <c r="NDU8" s="2"/>
      <c r="NDV8" s="2"/>
      <c r="NDW8" s="2"/>
      <c r="NDX8" s="2"/>
      <c r="NDY8" s="2"/>
      <c r="NDZ8" s="2"/>
      <c r="NEA8" s="2"/>
      <c r="NEB8" s="2"/>
      <c r="NEC8" s="2"/>
      <c r="NED8" s="2"/>
      <c r="NEE8" s="2"/>
      <c r="NEF8" s="2"/>
      <c r="NEG8" s="2"/>
      <c r="NEH8" s="2"/>
      <c r="NEI8" s="2"/>
      <c r="NEJ8" s="2"/>
      <c r="NEK8" s="2"/>
      <c r="NEL8" s="2"/>
      <c r="NEM8" s="2"/>
      <c r="NEN8" s="2"/>
      <c r="NEO8" s="2"/>
      <c r="NEP8" s="2"/>
      <c r="NEQ8" s="2"/>
      <c r="NER8" s="2"/>
      <c r="NES8" s="2"/>
      <c r="NET8" s="2"/>
      <c r="NEU8" s="2"/>
      <c r="NEV8" s="2"/>
      <c r="NEW8" s="2"/>
      <c r="NEX8" s="2"/>
      <c r="NEY8" s="2"/>
      <c r="NEZ8" s="2"/>
      <c r="NFA8" s="2"/>
      <c r="NFB8" s="2"/>
      <c r="NFC8" s="2"/>
      <c r="NFD8" s="2"/>
      <c r="NFE8" s="2"/>
      <c r="NFF8" s="2"/>
      <c r="NFG8" s="2"/>
      <c r="NFH8" s="2"/>
      <c r="NFI8" s="2"/>
      <c r="NFJ8" s="2"/>
      <c r="NFK8" s="2"/>
      <c r="NFL8" s="2"/>
      <c r="NFM8" s="2"/>
      <c r="NFN8" s="2"/>
      <c r="NFO8" s="2"/>
      <c r="NFP8" s="2"/>
      <c r="NFQ8" s="2"/>
      <c r="NFR8" s="2"/>
      <c r="NFS8" s="2"/>
      <c r="NFT8" s="2"/>
      <c r="NFU8" s="2"/>
      <c r="NFV8" s="2"/>
      <c r="NFW8" s="2"/>
      <c r="NFX8" s="2"/>
      <c r="NFY8" s="2"/>
      <c r="NFZ8" s="2"/>
      <c r="NGA8" s="2"/>
      <c r="NGB8" s="2"/>
      <c r="NGC8" s="2"/>
      <c r="NGD8" s="2"/>
      <c r="NGE8" s="2"/>
      <c r="NGF8" s="2"/>
      <c r="NGG8" s="2"/>
      <c r="NGH8" s="2"/>
      <c r="NGI8" s="2"/>
      <c r="NGJ8" s="2"/>
      <c r="NGK8" s="2"/>
      <c r="NGL8" s="2"/>
      <c r="NGM8" s="2"/>
      <c r="NGN8" s="2"/>
      <c r="NGO8" s="2"/>
      <c r="NGP8" s="2"/>
      <c r="NGQ8" s="2"/>
      <c r="NGR8" s="2"/>
      <c r="NGS8" s="2"/>
      <c r="NGT8" s="2"/>
      <c r="NGU8" s="2"/>
      <c r="NGV8" s="2"/>
      <c r="NGW8" s="2"/>
      <c r="NGX8" s="2"/>
      <c r="NGY8" s="2"/>
      <c r="NGZ8" s="2"/>
      <c r="NHA8" s="2"/>
      <c r="NHB8" s="2"/>
      <c r="NHC8" s="2"/>
      <c r="NHD8" s="2"/>
      <c r="NHE8" s="2"/>
      <c r="NHF8" s="2"/>
      <c r="NHG8" s="2"/>
      <c r="NHH8" s="2"/>
      <c r="NHI8" s="2"/>
      <c r="NHJ8" s="2"/>
      <c r="NHK8" s="2"/>
      <c r="NHL8" s="2"/>
      <c r="NHM8" s="2"/>
      <c r="NHN8" s="2"/>
      <c r="NHO8" s="2"/>
      <c r="NHP8" s="2"/>
      <c r="NHQ8" s="2"/>
      <c r="NHR8" s="2"/>
      <c r="NHS8" s="2"/>
      <c r="NHT8" s="2"/>
      <c r="NHU8" s="2"/>
      <c r="NHV8" s="2"/>
      <c r="NHW8" s="2"/>
      <c r="NHX8" s="2"/>
      <c r="NHY8" s="2"/>
      <c r="NHZ8" s="2"/>
      <c r="NIA8" s="2"/>
      <c r="NIB8" s="2"/>
      <c r="NIC8" s="2"/>
      <c r="NID8" s="2"/>
      <c r="NIE8" s="2"/>
      <c r="NIF8" s="2"/>
      <c r="NIG8" s="2"/>
      <c r="NIH8" s="2"/>
      <c r="NII8" s="2"/>
      <c r="NIJ8" s="2"/>
      <c r="NIK8" s="2"/>
      <c r="NIL8" s="2"/>
      <c r="NIM8" s="2"/>
      <c r="NIN8" s="2"/>
      <c r="NIO8" s="2"/>
      <c r="NIP8" s="2"/>
      <c r="NIQ8" s="2"/>
      <c r="NIR8" s="2"/>
      <c r="NIS8" s="2"/>
      <c r="NIT8" s="2"/>
      <c r="NIU8" s="2"/>
      <c r="NIV8" s="2"/>
      <c r="NIW8" s="2"/>
      <c r="NIX8" s="2"/>
      <c r="NIY8" s="2"/>
      <c r="NIZ8" s="2"/>
      <c r="NJA8" s="2"/>
      <c r="NJB8" s="2"/>
      <c r="NJC8" s="2"/>
      <c r="NJD8" s="2"/>
      <c r="NJE8" s="2"/>
      <c r="NJF8" s="2"/>
      <c r="NJG8" s="2"/>
      <c r="NJH8" s="2"/>
      <c r="NJI8" s="2"/>
      <c r="NJJ8" s="2"/>
      <c r="NJK8" s="2"/>
      <c r="NJL8" s="2"/>
      <c r="NJM8" s="2"/>
      <c r="NJN8" s="2"/>
      <c r="NJO8" s="2"/>
      <c r="NJP8" s="2"/>
      <c r="NJQ8" s="2"/>
      <c r="NJR8" s="2"/>
      <c r="NJS8" s="2"/>
      <c r="NJT8" s="2"/>
      <c r="NJU8" s="2"/>
      <c r="NJV8" s="2"/>
      <c r="NJW8" s="2"/>
      <c r="NJX8" s="2"/>
      <c r="NJY8" s="2"/>
      <c r="NJZ8" s="2"/>
      <c r="NKA8" s="2"/>
      <c r="NKB8" s="2"/>
      <c r="NKC8" s="2"/>
      <c r="NKD8" s="2"/>
      <c r="NKE8" s="2"/>
      <c r="NKF8" s="2"/>
      <c r="NKG8" s="2"/>
      <c r="NKH8" s="2"/>
      <c r="NKI8" s="2"/>
      <c r="NKJ8" s="2"/>
      <c r="NKK8" s="2"/>
      <c r="NKL8" s="2"/>
      <c r="NKM8" s="2"/>
      <c r="NKN8" s="2"/>
      <c r="NKO8" s="2"/>
      <c r="NKP8" s="2"/>
      <c r="NKQ8" s="2"/>
      <c r="NKR8" s="2"/>
      <c r="NKS8" s="2"/>
      <c r="NKT8" s="2"/>
      <c r="NKU8" s="2"/>
      <c r="NKV8" s="2"/>
      <c r="NKW8" s="2"/>
      <c r="NKX8" s="2"/>
      <c r="NKY8" s="2"/>
      <c r="NKZ8" s="2"/>
      <c r="NLA8" s="2"/>
      <c r="NLB8" s="2"/>
      <c r="NLC8" s="2"/>
      <c r="NLD8" s="2"/>
      <c r="NLE8" s="2"/>
      <c r="NLF8" s="2"/>
      <c r="NLG8" s="2"/>
      <c r="NLH8" s="2"/>
      <c r="NLI8" s="2"/>
      <c r="NLJ8" s="2"/>
      <c r="NLK8" s="2"/>
      <c r="NLL8" s="2"/>
      <c r="NLM8" s="2"/>
      <c r="NLN8" s="2"/>
      <c r="NLO8" s="2"/>
      <c r="NLP8" s="2"/>
      <c r="NLQ8" s="2"/>
      <c r="NLR8" s="2"/>
      <c r="NLS8" s="2"/>
      <c r="NLT8" s="2"/>
      <c r="NLU8" s="2"/>
      <c r="NLV8" s="2"/>
      <c r="NLW8" s="2"/>
      <c r="NLX8" s="2"/>
      <c r="NLY8" s="2"/>
      <c r="NLZ8" s="2"/>
      <c r="NMA8" s="2"/>
      <c r="NMB8" s="2"/>
      <c r="NMC8" s="2"/>
      <c r="NMD8" s="2"/>
      <c r="NME8" s="2"/>
      <c r="NMF8" s="2"/>
      <c r="NMG8" s="2"/>
      <c r="NMH8" s="2"/>
      <c r="NMI8" s="2"/>
      <c r="NMJ8" s="2"/>
      <c r="NMK8" s="2"/>
      <c r="NML8" s="2"/>
      <c r="NMM8" s="2"/>
      <c r="NMN8" s="2"/>
      <c r="NMO8" s="2"/>
      <c r="NMP8" s="2"/>
      <c r="NMQ8" s="2"/>
      <c r="NMR8" s="2"/>
      <c r="NMS8" s="2"/>
      <c r="NMT8" s="2"/>
      <c r="NMU8" s="2"/>
      <c r="NMV8" s="2"/>
      <c r="NMW8" s="2"/>
      <c r="NMX8" s="2"/>
      <c r="NMY8" s="2"/>
      <c r="NMZ8" s="2"/>
      <c r="NNA8" s="2"/>
      <c r="NNB8" s="2"/>
      <c r="NNC8" s="2"/>
      <c r="NND8" s="2"/>
      <c r="NNE8" s="2"/>
      <c r="NNF8" s="2"/>
      <c r="NNG8" s="2"/>
      <c r="NNH8" s="2"/>
      <c r="NNI8" s="2"/>
      <c r="NNJ8" s="2"/>
      <c r="NNK8" s="2"/>
      <c r="NNL8" s="2"/>
      <c r="NNM8" s="2"/>
      <c r="NNN8" s="2"/>
      <c r="NNO8" s="2"/>
      <c r="NNP8" s="2"/>
      <c r="NNQ8" s="2"/>
      <c r="NNR8" s="2"/>
      <c r="NNS8" s="2"/>
      <c r="NNT8" s="2"/>
      <c r="NNU8" s="2"/>
      <c r="NNV8" s="2"/>
      <c r="NNW8" s="2"/>
      <c r="NNX8" s="2"/>
      <c r="NNY8" s="2"/>
      <c r="NNZ8" s="2"/>
      <c r="NOA8" s="2"/>
      <c r="NOB8" s="2"/>
      <c r="NOC8" s="2"/>
      <c r="NOD8" s="2"/>
      <c r="NOE8" s="2"/>
      <c r="NOF8" s="2"/>
      <c r="NOG8" s="2"/>
      <c r="NOH8" s="2"/>
      <c r="NOI8" s="2"/>
      <c r="NOJ8" s="2"/>
      <c r="NOK8" s="2"/>
      <c r="NOL8" s="2"/>
      <c r="NOM8" s="2"/>
      <c r="NON8" s="2"/>
      <c r="NOO8" s="2"/>
      <c r="NOP8" s="2"/>
      <c r="NOQ8" s="2"/>
      <c r="NOR8" s="2"/>
      <c r="NOS8" s="2"/>
      <c r="NOT8" s="2"/>
      <c r="NOU8" s="2"/>
      <c r="NOV8" s="2"/>
      <c r="NOW8" s="2"/>
      <c r="NOX8" s="2"/>
      <c r="NOY8" s="2"/>
      <c r="NOZ8" s="2"/>
      <c r="NPA8" s="2"/>
      <c r="NPB8" s="2"/>
      <c r="NPC8" s="2"/>
      <c r="NPD8" s="2"/>
      <c r="NPE8" s="2"/>
      <c r="NPF8" s="2"/>
      <c r="NPG8" s="2"/>
      <c r="NPH8" s="2"/>
      <c r="NPI8" s="2"/>
      <c r="NPJ8" s="2"/>
      <c r="NPK8" s="2"/>
      <c r="NPL8" s="2"/>
      <c r="NPM8" s="2"/>
      <c r="NPN8" s="2"/>
      <c r="NPO8" s="2"/>
      <c r="NPP8" s="2"/>
      <c r="NPQ8" s="2"/>
      <c r="NPR8" s="2"/>
      <c r="NPS8" s="2"/>
      <c r="NPT8" s="2"/>
      <c r="NPU8" s="2"/>
      <c r="NPV8" s="2"/>
      <c r="NPW8" s="2"/>
      <c r="NPX8" s="2"/>
      <c r="NPY8" s="2"/>
      <c r="NPZ8" s="2"/>
      <c r="NQA8" s="2"/>
      <c r="NQB8" s="2"/>
      <c r="NQC8" s="2"/>
      <c r="NQD8" s="2"/>
      <c r="NQE8" s="2"/>
      <c r="NQF8" s="2"/>
      <c r="NQG8" s="2"/>
      <c r="NQH8" s="2"/>
      <c r="NQI8" s="2"/>
      <c r="NQJ8" s="2"/>
      <c r="NQK8" s="2"/>
      <c r="NQL8" s="2"/>
      <c r="NQM8" s="2"/>
      <c r="NQN8" s="2"/>
      <c r="NQO8" s="2"/>
      <c r="NQP8" s="2"/>
      <c r="NQQ8" s="2"/>
      <c r="NQR8" s="2"/>
      <c r="NQS8" s="2"/>
      <c r="NQT8" s="2"/>
      <c r="NQU8" s="2"/>
      <c r="NQV8" s="2"/>
      <c r="NQW8" s="2"/>
      <c r="NQX8" s="2"/>
      <c r="NQY8" s="2"/>
      <c r="NQZ8" s="2"/>
      <c r="NRA8" s="2"/>
      <c r="NRB8" s="2"/>
      <c r="NRC8" s="2"/>
      <c r="NRD8" s="2"/>
      <c r="NRE8" s="2"/>
      <c r="NRF8" s="2"/>
      <c r="NRG8" s="2"/>
      <c r="NRH8" s="2"/>
      <c r="NRI8" s="2"/>
      <c r="NRJ8" s="2"/>
      <c r="NRK8" s="2"/>
      <c r="NRL8" s="2"/>
      <c r="NRM8" s="2"/>
      <c r="NRN8" s="2"/>
      <c r="NRO8" s="2"/>
      <c r="NRP8" s="2"/>
      <c r="NRQ8" s="2"/>
      <c r="NRR8" s="2"/>
      <c r="NRS8" s="2"/>
      <c r="NRT8" s="2"/>
      <c r="NRU8" s="2"/>
      <c r="NRV8" s="2"/>
      <c r="NRW8" s="2"/>
      <c r="NRX8" s="2"/>
      <c r="NRY8" s="2"/>
      <c r="NRZ8" s="2"/>
      <c r="NSA8" s="2"/>
      <c r="NSB8" s="2"/>
      <c r="NSC8" s="2"/>
      <c r="NSD8" s="2"/>
      <c r="NSE8" s="2"/>
      <c r="NSF8" s="2"/>
      <c r="NSG8" s="2"/>
      <c r="NSH8" s="2"/>
      <c r="NSI8" s="2"/>
      <c r="NSJ8" s="2"/>
      <c r="NSK8" s="2"/>
      <c r="NSL8" s="2"/>
      <c r="NSM8" s="2"/>
      <c r="NSN8" s="2"/>
      <c r="NSO8" s="2"/>
      <c r="NSP8" s="2"/>
      <c r="NSQ8" s="2"/>
      <c r="NSR8" s="2"/>
      <c r="NSS8" s="2"/>
      <c r="NST8" s="2"/>
      <c r="NSU8" s="2"/>
      <c r="NSV8" s="2"/>
      <c r="NSW8" s="2"/>
      <c r="NSX8" s="2"/>
      <c r="NSY8" s="2"/>
      <c r="NSZ8" s="2"/>
      <c r="NTA8" s="2"/>
      <c r="NTB8" s="2"/>
      <c r="NTC8" s="2"/>
      <c r="NTD8" s="2"/>
      <c r="NTE8" s="2"/>
      <c r="NTF8" s="2"/>
      <c r="NTG8" s="2"/>
      <c r="NTH8" s="2"/>
      <c r="NTI8" s="2"/>
      <c r="NTJ8" s="2"/>
      <c r="NTK8" s="2"/>
      <c r="NTL8" s="2"/>
      <c r="NTM8" s="2"/>
      <c r="NTN8" s="2"/>
      <c r="NTO8" s="2"/>
      <c r="NTP8" s="2"/>
      <c r="NTQ8" s="2"/>
      <c r="NTR8" s="2"/>
      <c r="NTS8" s="2"/>
      <c r="NTT8" s="2"/>
      <c r="NTU8" s="2"/>
      <c r="NTV8" s="2"/>
      <c r="NTW8" s="2"/>
      <c r="NTX8" s="2"/>
      <c r="NTY8" s="2"/>
      <c r="NTZ8" s="2"/>
      <c r="NUA8" s="2"/>
      <c r="NUB8" s="2"/>
      <c r="NUC8" s="2"/>
      <c r="NUD8" s="2"/>
      <c r="NUE8" s="2"/>
      <c r="NUF8" s="2"/>
      <c r="NUG8" s="2"/>
      <c r="NUH8" s="2"/>
      <c r="NUI8" s="2"/>
      <c r="NUJ8" s="2"/>
      <c r="NUK8" s="2"/>
      <c r="NUL8" s="2"/>
      <c r="NUM8" s="2"/>
      <c r="NUN8" s="2"/>
      <c r="NUO8" s="2"/>
      <c r="NUP8" s="2"/>
      <c r="NUQ8" s="2"/>
      <c r="NUR8" s="2"/>
      <c r="NUS8" s="2"/>
      <c r="NUT8" s="2"/>
      <c r="NUU8" s="2"/>
      <c r="NUV8" s="2"/>
      <c r="NUW8" s="2"/>
      <c r="NUX8" s="2"/>
      <c r="NUY8" s="2"/>
      <c r="NUZ8" s="2"/>
      <c r="NVA8" s="2"/>
      <c r="NVB8" s="2"/>
      <c r="NVC8" s="2"/>
      <c r="NVD8" s="2"/>
      <c r="NVE8" s="2"/>
      <c r="NVF8" s="2"/>
      <c r="NVG8" s="2"/>
      <c r="NVH8" s="2"/>
      <c r="NVI8" s="2"/>
      <c r="NVJ8" s="2"/>
      <c r="NVK8" s="2"/>
      <c r="NVL8" s="2"/>
      <c r="NVM8" s="2"/>
      <c r="NVN8" s="2"/>
      <c r="NVO8" s="2"/>
      <c r="NVP8" s="2"/>
      <c r="NVQ8" s="2"/>
      <c r="NVR8" s="2"/>
      <c r="NVS8" s="2"/>
      <c r="NVT8" s="2"/>
      <c r="NVU8" s="2"/>
      <c r="NVV8" s="2"/>
      <c r="NVW8" s="2"/>
      <c r="NVX8" s="2"/>
      <c r="NVY8" s="2"/>
      <c r="NVZ8" s="2"/>
      <c r="NWA8" s="2"/>
      <c r="NWB8" s="2"/>
      <c r="NWC8" s="2"/>
      <c r="NWD8" s="2"/>
      <c r="NWE8" s="2"/>
      <c r="NWF8" s="2"/>
      <c r="NWG8" s="2"/>
      <c r="NWH8" s="2"/>
      <c r="NWI8" s="2"/>
      <c r="NWJ8" s="2"/>
      <c r="NWK8" s="2"/>
      <c r="NWL8" s="2"/>
      <c r="NWM8" s="2"/>
      <c r="NWN8" s="2"/>
      <c r="NWO8" s="2"/>
      <c r="NWP8" s="2"/>
      <c r="NWQ8" s="2"/>
      <c r="NWR8" s="2"/>
      <c r="NWS8" s="2"/>
      <c r="NWT8" s="2"/>
      <c r="NWU8" s="2"/>
      <c r="NWV8" s="2"/>
      <c r="NWW8" s="2"/>
      <c r="NWX8" s="2"/>
      <c r="NWY8" s="2"/>
      <c r="NWZ8" s="2"/>
      <c r="NXA8" s="2"/>
      <c r="NXB8" s="2"/>
      <c r="NXC8" s="2"/>
      <c r="NXD8" s="2"/>
      <c r="NXE8" s="2"/>
      <c r="NXF8" s="2"/>
      <c r="NXG8" s="2"/>
      <c r="NXH8" s="2"/>
      <c r="NXI8" s="2"/>
      <c r="NXJ8" s="2"/>
      <c r="NXK8" s="2"/>
      <c r="NXL8" s="2"/>
      <c r="NXM8" s="2"/>
      <c r="NXN8" s="2"/>
      <c r="NXO8" s="2"/>
      <c r="NXP8" s="2"/>
      <c r="NXQ8" s="2"/>
      <c r="NXR8" s="2"/>
      <c r="NXS8" s="2"/>
      <c r="NXT8" s="2"/>
      <c r="NXU8" s="2"/>
      <c r="NXV8" s="2"/>
      <c r="NXW8" s="2"/>
      <c r="NXX8" s="2"/>
      <c r="NXY8" s="2"/>
      <c r="NXZ8" s="2"/>
      <c r="NYA8" s="2"/>
      <c r="NYB8" s="2"/>
      <c r="NYC8" s="2"/>
      <c r="NYD8" s="2"/>
      <c r="NYE8" s="2"/>
      <c r="NYF8" s="2"/>
      <c r="NYG8" s="2"/>
      <c r="NYH8" s="2"/>
      <c r="NYI8" s="2"/>
      <c r="NYJ8" s="2"/>
      <c r="NYK8" s="2"/>
      <c r="NYL8" s="2"/>
      <c r="NYM8" s="2"/>
      <c r="NYN8" s="2"/>
      <c r="NYO8" s="2"/>
      <c r="NYP8" s="2"/>
      <c r="NYQ8" s="2"/>
      <c r="NYR8" s="2"/>
      <c r="NYS8" s="2"/>
      <c r="NYT8" s="2"/>
      <c r="NYU8" s="2"/>
      <c r="NYV8" s="2"/>
      <c r="NYW8" s="2"/>
      <c r="NYX8" s="2"/>
      <c r="NYY8" s="2"/>
      <c r="NYZ8" s="2"/>
      <c r="NZA8" s="2"/>
      <c r="NZB8" s="2"/>
      <c r="NZC8" s="2"/>
      <c r="NZD8" s="2"/>
      <c r="NZE8" s="2"/>
      <c r="NZF8" s="2"/>
      <c r="NZG8" s="2"/>
      <c r="NZH8" s="2"/>
      <c r="NZI8" s="2"/>
      <c r="NZJ8" s="2"/>
      <c r="NZK8" s="2"/>
      <c r="NZL8" s="2"/>
      <c r="NZM8" s="2"/>
      <c r="NZN8" s="2"/>
      <c r="NZO8" s="2"/>
      <c r="NZP8" s="2"/>
      <c r="NZQ8" s="2"/>
      <c r="NZR8" s="2"/>
      <c r="NZS8" s="2"/>
      <c r="NZT8" s="2"/>
      <c r="NZU8" s="2"/>
      <c r="NZV8" s="2"/>
      <c r="NZW8" s="2"/>
      <c r="NZX8" s="2"/>
      <c r="NZY8" s="2"/>
      <c r="NZZ8" s="2"/>
      <c r="OAA8" s="2"/>
      <c r="OAB8" s="2"/>
      <c r="OAC8" s="2"/>
      <c r="OAD8" s="2"/>
      <c r="OAE8" s="2"/>
      <c r="OAF8" s="2"/>
      <c r="OAG8" s="2"/>
      <c r="OAH8" s="2"/>
      <c r="OAI8" s="2"/>
      <c r="OAJ8" s="2"/>
      <c r="OAK8" s="2"/>
      <c r="OAL8" s="2"/>
      <c r="OAM8" s="2"/>
      <c r="OAN8" s="2"/>
      <c r="OAO8" s="2"/>
      <c r="OAP8" s="2"/>
      <c r="OAQ8" s="2"/>
      <c r="OAR8" s="2"/>
      <c r="OAS8" s="2"/>
      <c r="OAT8" s="2"/>
      <c r="OAU8" s="2"/>
      <c r="OAV8" s="2"/>
      <c r="OAW8" s="2"/>
      <c r="OAX8" s="2"/>
      <c r="OAY8" s="2"/>
      <c r="OAZ8" s="2"/>
      <c r="OBA8" s="2"/>
      <c r="OBB8" s="2"/>
      <c r="OBC8" s="2"/>
      <c r="OBD8" s="2"/>
      <c r="OBE8" s="2"/>
      <c r="OBF8" s="2"/>
      <c r="OBG8" s="2"/>
      <c r="OBH8" s="2"/>
      <c r="OBI8" s="2"/>
      <c r="OBJ8" s="2"/>
      <c r="OBK8" s="2"/>
      <c r="OBL8" s="2"/>
      <c r="OBM8" s="2"/>
      <c r="OBN8" s="2"/>
      <c r="OBO8" s="2"/>
      <c r="OBP8" s="2"/>
      <c r="OBQ8" s="2"/>
      <c r="OBR8" s="2"/>
      <c r="OBS8" s="2"/>
      <c r="OBT8" s="2"/>
      <c r="OBU8" s="2"/>
      <c r="OBV8" s="2"/>
      <c r="OBW8" s="2"/>
      <c r="OBX8" s="2"/>
      <c r="OBY8" s="2"/>
      <c r="OBZ8" s="2"/>
      <c r="OCA8" s="2"/>
      <c r="OCB8" s="2"/>
      <c r="OCC8" s="2"/>
      <c r="OCD8" s="2"/>
      <c r="OCE8" s="2"/>
      <c r="OCF8" s="2"/>
      <c r="OCG8" s="2"/>
      <c r="OCH8" s="2"/>
      <c r="OCI8" s="2"/>
      <c r="OCJ8" s="2"/>
      <c r="OCK8" s="2"/>
      <c r="OCL8" s="2"/>
      <c r="OCM8" s="2"/>
      <c r="OCN8" s="2"/>
      <c r="OCO8" s="2"/>
      <c r="OCP8" s="2"/>
      <c r="OCQ8" s="2"/>
      <c r="OCR8" s="2"/>
      <c r="OCS8" s="2"/>
      <c r="OCT8" s="2"/>
      <c r="OCU8" s="2"/>
      <c r="OCV8" s="2"/>
      <c r="OCW8" s="2"/>
      <c r="OCX8" s="2"/>
      <c r="OCY8" s="2"/>
      <c r="OCZ8" s="2"/>
      <c r="ODA8" s="2"/>
      <c r="ODB8" s="2"/>
      <c r="ODC8" s="2"/>
      <c r="ODD8" s="2"/>
      <c r="ODE8" s="2"/>
      <c r="ODF8" s="2"/>
      <c r="ODG8" s="2"/>
      <c r="ODH8" s="2"/>
      <c r="ODI8" s="2"/>
      <c r="ODJ8" s="2"/>
      <c r="ODK8" s="2"/>
      <c r="ODL8" s="2"/>
      <c r="ODM8" s="2"/>
      <c r="ODN8" s="2"/>
      <c r="ODO8" s="2"/>
      <c r="ODP8" s="2"/>
      <c r="ODQ8" s="2"/>
      <c r="ODR8" s="2"/>
      <c r="ODS8" s="2"/>
      <c r="ODT8" s="2"/>
      <c r="ODU8" s="2"/>
      <c r="ODV8" s="2"/>
      <c r="ODW8" s="2"/>
      <c r="ODX8" s="2"/>
      <c r="ODY8" s="2"/>
      <c r="ODZ8" s="2"/>
      <c r="OEA8" s="2"/>
      <c r="OEB8" s="2"/>
      <c r="OEC8" s="2"/>
      <c r="OED8" s="2"/>
      <c r="OEE8" s="2"/>
      <c r="OEF8" s="2"/>
      <c r="OEG8" s="2"/>
      <c r="OEH8" s="2"/>
      <c r="OEI8" s="2"/>
      <c r="OEJ8" s="2"/>
      <c r="OEK8" s="2"/>
      <c r="OEL8" s="2"/>
      <c r="OEM8" s="2"/>
      <c r="OEN8" s="2"/>
      <c r="OEO8" s="2"/>
      <c r="OEP8" s="2"/>
      <c r="OEQ8" s="2"/>
      <c r="OER8" s="2"/>
      <c r="OES8" s="2"/>
      <c r="OET8" s="2"/>
      <c r="OEU8" s="2"/>
      <c r="OEV8" s="2"/>
      <c r="OEW8" s="2"/>
      <c r="OEX8" s="2"/>
      <c r="OEY8" s="2"/>
      <c r="OEZ8" s="2"/>
      <c r="OFA8" s="2"/>
      <c r="OFB8" s="2"/>
      <c r="OFC8" s="2"/>
      <c r="OFD8" s="2"/>
      <c r="OFE8" s="2"/>
      <c r="OFF8" s="2"/>
      <c r="OFG8" s="2"/>
      <c r="OFH8" s="2"/>
      <c r="OFI8" s="2"/>
      <c r="OFJ8" s="2"/>
      <c r="OFK8" s="2"/>
      <c r="OFL8" s="2"/>
      <c r="OFM8" s="2"/>
      <c r="OFN8" s="2"/>
      <c r="OFO8" s="2"/>
      <c r="OFP8" s="2"/>
      <c r="OFQ8" s="2"/>
      <c r="OFR8" s="2"/>
      <c r="OFS8" s="2"/>
      <c r="OFT8" s="2"/>
      <c r="OFU8" s="2"/>
      <c r="OFV8" s="2"/>
      <c r="OFW8" s="2"/>
      <c r="OFX8" s="2"/>
      <c r="OFY8" s="2"/>
      <c r="OFZ8" s="2"/>
      <c r="OGA8" s="2"/>
      <c r="OGB8" s="2"/>
      <c r="OGC8" s="2"/>
      <c r="OGD8" s="2"/>
      <c r="OGE8" s="2"/>
      <c r="OGF8" s="2"/>
      <c r="OGG8" s="2"/>
      <c r="OGH8" s="2"/>
      <c r="OGI8" s="2"/>
      <c r="OGJ8" s="2"/>
      <c r="OGK8" s="2"/>
      <c r="OGL8" s="2"/>
      <c r="OGM8" s="2"/>
      <c r="OGN8" s="2"/>
      <c r="OGO8" s="2"/>
      <c r="OGP8" s="2"/>
      <c r="OGQ8" s="2"/>
      <c r="OGR8" s="2"/>
      <c r="OGS8" s="2"/>
      <c r="OGT8" s="2"/>
      <c r="OGU8" s="2"/>
      <c r="OGV8" s="2"/>
      <c r="OGW8" s="2"/>
      <c r="OGX8" s="2"/>
      <c r="OGY8" s="2"/>
      <c r="OGZ8" s="2"/>
      <c r="OHA8" s="2"/>
      <c r="OHB8" s="2"/>
      <c r="OHC8" s="2"/>
      <c r="OHD8" s="2"/>
      <c r="OHE8" s="2"/>
      <c r="OHF8" s="2"/>
      <c r="OHG8" s="2"/>
      <c r="OHH8" s="2"/>
      <c r="OHI8" s="2"/>
      <c r="OHJ8" s="2"/>
      <c r="OHK8" s="2"/>
      <c r="OHL8" s="2"/>
      <c r="OHM8" s="2"/>
      <c r="OHN8" s="2"/>
      <c r="OHO8" s="2"/>
      <c r="OHP8" s="2"/>
      <c r="OHQ8" s="2"/>
      <c r="OHR8" s="2"/>
      <c r="OHS8" s="2"/>
      <c r="OHT8" s="2"/>
      <c r="OHU8" s="2"/>
      <c r="OHV8" s="2"/>
      <c r="OHW8" s="2"/>
      <c r="OHX8" s="2"/>
      <c r="OHY8" s="2"/>
      <c r="OHZ8" s="2"/>
      <c r="OIA8" s="2"/>
      <c r="OIB8" s="2"/>
      <c r="OIC8" s="2"/>
      <c r="OID8" s="2"/>
      <c r="OIE8" s="2"/>
      <c r="OIF8" s="2"/>
      <c r="OIG8" s="2"/>
      <c r="OIH8" s="2"/>
      <c r="OII8" s="2"/>
      <c r="OIJ8" s="2"/>
      <c r="OIK8" s="2"/>
      <c r="OIL8" s="2"/>
      <c r="OIM8" s="2"/>
      <c r="OIN8" s="2"/>
      <c r="OIO8" s="2"/>
      <c r="OIP8" s="2"/>
      <c r="OIQ8" s="2"/>
      <c r="OIR8" s="2"/>
      <c r="OIS8" s="2"/>
      <c r="OIT8" s="2"/>
      <c r="OIU8" s="2"/>
      <c r="OIV8" s="2"/>
      <c r="OIW8" s="2"/>
      <c r="OIX8" s="2"/>
      <c r="OIY8" s="2"/>
      <c r="OIZ8" s="2"/>
      <c r="OJA8" s="2"/>
      <c r="OJB8" s="2"/>
      <c r="OJC8" s="2"/>
      <c r="OJD8" s="2"/>
      <c r="OJE8" s="2"/>
      <c r="OJF8" s="2"/>
      <c r="OJG8" s="2"/>
      <c r="OJH8" s="2"/>
      <c r="OJI8" s="2"/>
      <c r="OJJ8" s="2"/>
      <c r="OJK8" s="2"/>
      <c r="OJL8" s="2"/>
      <c r="OJM8" s="2"/>
      <c r="OJN8" s="2"/>
      <c r="OJO8" s="2"/>
      <c r="OJP8" s="2"/>
      <c r="OJQ8" s="2"/>
      <c r="OJR8" s="2"/>
      <c r="OJS8" s="2"/>
      <c r="OJT8" s="2"/>
      <c r="OJU8" s="2"/>
      <c r="OJV8" s="2"/>
      <c r="OJW8" s="2"/>
      <c r="OJX8" s="2"/>
      <c r="OJY8" s="2"/>
      <c r="OJZ8" s="2"/>
      <c r="OKA8" s="2"/>
      <c r="OKB8" s="2"/>
      <c r="OKC8" s="2"/>
      <c r="OKD8" s="2"/>
      <c r="OKE8" s="2"/>
      <c r="OKF8" s="2"/>
      <c r="OKG8" s="2"/>
      <c r="OKH8" s="2"/>
      <c r="OKI8" s="2"/>
      <c r="OKJ8" s="2"/>
      <c r="OKK8" s="2"/>
      <c r="OKL8" s="2"/>
      <c r="OKM8" s="2"/>
      <c r="OKN8" s="2"/>
      <c r="OKO8" s="2"/>
      <c r="OKP8" s="2"/>
      <c r="OKQ8" s="2"/>
      <c r="OKR8" s="2"/>
      <c r="OKS8" s="2"/>
      <c r="OKT8" s="2"/>
      <c r="OKU8" s="2"/>
      <c r="OKV8" s="2"/>
      <c r="OKW8" s="2"/>
      <c r="OKX8" s="2"/>
      <c r="OKY8" s="2"/>
      <c r="OKZ8" s="2"/>
      <c r="OLA8" s="2"/>
      <c r="OLB8" s="2"/>
      <c r="OLC8" s="2"/>
      <c r="OLD8" s="2"/>
      <c r="OLE8" s="2"/>
      <c r="OLF8" s="2"/>
      <c r="OLG8" s="2"/>
      <c r="OLH8" s="2"/>
      <c r="OLI8" s="2"/>
      <c r="OLJ8" s="2"/>
      <c r="OLK8" s="2"/>
      <c r="OLL8" s="2"/>
      <c r="OLM8" s="2"/>
      <c r="OLN8" s="2"/>
      <c r="OLO8" s="2"/>
      <c r="OLP8" s="2"/>
      <c r="OLQ8" s="2"/>
      <c r="OLR8" s="2"/>
      <c r="OLS8" s="2"/>
      <c r="OLT8" s="2"/>
      <c r="OLU8" s="2"/>
      <c r="OLV8" s="2"/>
      <c r="OLW8" s="2"/>
      <c r="OLX8" s="2"/>
      <c r="OLY8" s="2"/>
      <c r="OLZ8" s="2"/>
      <c r="OMA8" s="2"/>
      <c r="OMB8" s="2"/>
      <c r="OMC8" s="2"/>
      <c r="OMD8" s="2"/>
      <c r="OME8" s="2"/>
      <c r="OMF8" s="2"/>
      <c r="OMG8" s="2"/>
      <c r="OMH8" s="2"/>
      <c r="OMI8" s="2"/>
      <c r="OMJ8" s="2"/>
      <c r="OMK8" s="2"/>
      <c r="OML8" s="2"/>
      <c r="OMM8" s="2"/>
      <c r="OMN8" s="2"/>
      <c r="OMO8" s="2"/>
      <c r="OMP8" s="2"/>
      <c r="OMQ8" s="2"/>
      <c r="OMR8" s="2"/>
      <c r="OMS8" s="2"/>
      <c r="OMT8" s="2"/>
      <c r="OMU8" s="2"/>
      <c r="OMV8" s="2"/>
      <c r="OMW8" s="2"/>
      <c r="OMX8" s="2"/>
      <c r="OMY8" s="2"/>
      <c r="OMZ8" s="2"/>
      <c r="ONA8" s="2"/>
      <c r="ONB8" s="2"/>
      <c r="ONC8" s="2"/>
      <c r="OND8" s="2"/>
      <c r="ONE8" s="2"/>
      <c r="ONF8" s="2"/>
      <c r="ONG8" s="2"/>
      <c r="ONH8" s="2"/>
      <c r="ONI8" s="2"/>
      <c r="ONJ8" s="2"/>
      <c r="ONK8" s="2"/>
      <c r="ONL8" s="2"/>
      <c r="ONM8" s="2"/>
      <c r="ONN8" s="2"/>
      <c r="ONO8" s="2"/>
      <c r="ONP8" s="2"/>
      <c r="ONQ8" s="2"/>
      <c r="ONR8" s="2"/>
      <c r="ONS8" s="2"/>
      <c r="ONT8" s="2"/>
      <c r="ONU8" s="2"/>
      <c r="ONV8" s="2"/>
      <c r="ONW8" s="2"/>
      <c r="ONX8" s="2"/>
      <c r="ONY8" s="2"/>
      <c r="ONZ8" s="2"/>
      <c r="OOA8" s="2"/>
      <c r="OOB8" s="2"/>
      <c r="OOC8" s="2"/>
      <c r="OOD8" s="2"/>
      <c r="OOE8" s="2"/>
      <c r="OOF8" s="2"/>
      <c r="OOG8" s="2"/>
      <c r="OOH8" s="2"/>
      <c r="OOI8" s="2"/>
      <c r="OOJ8" s="2"/>
      <c r="OOK8" s="2"/>
      <c r="OOL8" s="2"/>
      <c r="OOM8" s="2"/>
      <c r="OON8" s="2"/>
      <c r="OOO8" s="2"/>
      <c r="OOP8" s="2"/>
      <c r="OOQ8" s="2"/>
      <c r="OOR8" s="2"/>
      <c r="OOS8" s="2"/>
      <c r="OOT8" s="2"/>
      <c r="OOU8" s="2"/>
      <c r="OOV8" s="2"/>
      <c r="OOW8" s="2"/>
      <c r="OOX8" s="2"/>
      <c r="OOY8" s="2"/>
      <c r="OOZ8" s="2"/>
      <c r="OPA8" s="2"/>
      <c r="OPB8" s="2"/>
      <c r="OPC8" s="2"/>
      <c r="OPD8" s="2"/>
      <c r="OPE8" s="2"/>
      <c r="OPF8" s="2"/>
      <c r="OPG8" s="2"/>
      <c r="OPH8" s="2"/>
      <c r="OPI8" s="2"/>
      <c r="OPJ8" s="2"/>
      <c r="OPK8" s="2"/>
      <c r="OPL8" s="2"/>
      <c r="OPM8" s="2"/>
      <c r="OPN8" s="2"/>
      <c r="OPO8" s="2"/>
      <c r="OPP8" s="2"/>
      <c r="OPQ8" s="2"/>
      <c r="OPR8" s="2"/>
      <c r="OPS8" s="2"/>
      <c r="OPT8" s="2"/>
      <c r="OPU8" s="2"/>
      <c r="OPV8" s="2"/>
      <c r="OPW8" s="2"/>
      <c r="OPX8" s="2"/>
      <c r="OPY8" s="2"/>
      <c r="OPZ8" s="2"/>
      <c r="OQA8" s="2"/>
      <c r="OQB8" s="2"/>
      <c r="OQC8" s="2"/>
      <c r="OQD8" s="2"/>
      <c r="OQE8" s="2"/>
      <c r="OQF8" s="2"/>
      <c r="OQG8" s="2"/>
      <c r="OQH8" s="2"/>
      <c r="OQI8" s="2"/>
      <c r="OQJ8" s="2"/>
      <c r="OQK8" s="2"/>
      <c r="OQL8" s="2"/>
      <c r="OQM8" s="2"/>
      <c r="OQN8" s="2"/>
      <c r="OQO8" s="2"/>
      <c r="OQP8" s="2"/>
      <c r="OQQ8" s="2"/>
      <c r="OQR8" s="2"/>
      <c r="OQS8" s="2"/>
      <c r="OQT8" s="2"/>
      <c r="OQU8" s="2"/>
      <c r="OQV8" s="2"/>
      <c r="OQW8" s="2"/>
      <c r="OQX8" s="2"/>
      <c r="OQY8" s="2"/>
      <c r="OQZ8" s="2"/>
      <c r="ORA8" s="2"/>
      <c r="ORB8" s="2"/>
      <c r="ORC8" s="2"/>
      <c r="ORD8" s="2"/>
      <c r="ORE8" s="2"/>
      <c r="ORF8" s="2"/>
      <c r="ORG8" s="2"/>
      <c r="ORH8" s="2"/>
      <c r="ORI8" s="2"/>
      <c r="ORJ8" s="2"/>
      <c r="ORK8" s="2"/>
      <c r="ORL8" s="2"/>
      <c r="ORM8" s="2"/>
      <c r="ORN8" s="2"/>
      <c r="ORO8" s="2"/>
      <c r="ORP8" s="2"/>
      <c r="ORQ8" s="2"/>
      <c r="ORR8" s="2"/>
      <c r="ORS8" s="2"/>
      <c r="ORT8" s="2"/>
      <c r="ORU8" s="2"/>
      <c r="ORV8" s="2"/>
      <c r="ORW8" s="2"/>
      <c r="ORX8" s="2"/>
      <c r="ORY8" s="2"/>
      <c r="ORZ8" s="2"/>
      <c r="OSA8" s="2"/>
      <c r="OSB8" s="2"/>
      <c r="OSC8" s="2"/>
      <c r="OSD8" s="2"/>
      <c r="OSE8" s="2"/>
      <c r="OSF8" s="2"/>
      <c r="OSG8" s="2"/>
      <c r="OSH8" s="2"/>
      <c r="OSI8" s="2"/>
      <c r="OSJ8" s="2"/>
      <c r="OSK8" s="2"/>
      <c r="OSL8" s="2"/>
      <c r="OSM8" s="2"/>
      <c r="OSN8" s="2"/>
      <c r="OSO8" s="2"/>
      <c r="OSP8" s="2"/>
      <c r="OSQ8" s="2"/>
      <c r="OSR8" s="2"/>
      <c r="OSS8" s="2"/>
      <c r="OST8" s="2"/>
      <c r="OSU8" s="2"/>
      <c r="OSV8" s="2"/>
      <c r="OSW8" s="2"/>
      <c r="OSX8" s="2"/>
      <c r="OSY8" s="2"/>
      <c r="OSZ8" s="2"/>
      <c r="OTA8" s="2"/>
      <c r="OTB8" s="2"/>
      <c r="OTC8" s="2"/>
      <c r="OTD8" s="2"/>
      <c r="OTE8" s="2"/>
      <c r="OTF8" s="2"/>
      <c r="OTG8" s="2"/>
      <c r="OTH8" s="2"/>
      <c r="OTI8" s="2"/>
      <c r="OTJ8" s="2"/>
      <c r="OTK8" s="2"/>
      <c r="OTL8" s="2"/>
      <c r="OTM8" s="2"/>
      <c r="OTN8" s="2"/>
      <c r="OTO8" s="2"/>
      <c r="OTP8" s="2"/>
      <c r="OTQ8" s="2"/>
      <c r="OTR8" s="2"/>
      <c r="OTS8" s="2"/>
      <c r="OTT8" s="2"/>
      <c r="OTU8" s="2"/>
      <c r="OTV8" s="2"/>
      <c r="OTW8" s="2"/>
      <c r="OTX8" s="2"/>
      <c r="OTY8" s="2"/>
      <c r="OTZ8" s="2"/>
      <c r="OUA8" s="2"/>
      <c r="OUB8" s="2"/>
      <c r="OUC8" s="2"/>
      <c r="OUD8" s="2"/>
      <c r="OUE8" s="2"/>
      <c r="OUF8" s="2"/>
      <c r="OUG8" s="2"/>
      <c r="OUH8" s="2"/>
      <c r="OUI8" s="2"/>
      <c r="OUJ8" s="2"/>
      <c r="OUK8" s="2"/>
      <c r="OUL8" s="2"/>
      <c r="OUM8" s="2"/>
      <c r="OUN8" s="2"/>
      <c r="OUO8" s="2"/>
      <c r="OUP8" s="2"/>
      <c r="OUQ8" s="2"/>
      <c r="OUR8" s="2"/>
      <c r="OUS8" s="2"/>
      <c r="OUT8" s="2"/>
      <c r="OUU8" s="2"/>
      <c r="OUV8" s="2"/>
      <c r="OUW8" s="2"/>
      <c r="OUX8" s="2"/>
      <c r="OUY8" s="2"/>
      <c r="OUZ8" s="2"/>
      <c r="OVA8" s="2"/>
      <c r="OVB8" s="2"/>
      <c r="OVC8" s="2"/>
      <c r="OVD8" s="2"/>
      <c r="OVE8" s="2"/>
      <c r="OVF8" s="2"/>
      <c r="OVG8" s="2"/>
      <c r="OVH8" s="2"/>
      <c r="OVI8" s="2"/>
      <c r="OVJ8" s="2"/>
      <c r="OVK8" s="2"/>
      <c r="OVL8" s="2"/>
      <c r="OVM8" s="2"/>
      <c r="OVN8" s="2"/>
      <c r="OVO8" s="2"/>
      <c r="OVP8" s="2"/>
      <c r="OVQ8" s="2"/>
      <c r="OVR8" s="2"/>
      <c r="OVS8" s="2"/>
      <c r="OVT8" s="2"/>
      <c r="OVU8" s="2"/>
      <c r="OVV8" s="2"/>
      <c r="OVW8" s="2"/>
      <c r="OVX8" s="2"/>
      <c r="OVY8" s="2"/>
      <c r="OVZ8" s="2"/>
      <c r="OWA8" s="2"/>
      <c r="OWB8" s="2"/>
      <c r="OWC8" s="2"/>
      <c r="OWD8" s="2"/>
      <c r="OWE8" s="2"/>
      <c r="OWF8" s="2"/>
      <c r="OWG8" s="2"/>
      <c r="OWH8" s="2"/>
      <c r="OWI8" s="2"/>
      <c r="OWJ8" s="2"/>
      <c r="OWK8" s="2"/>
      <c r="OWL8" s="2"/>
      <c r="OWM8" s="2"/>
      <c r="OWN8" s="2"/>
      <c r="OWO8" s="2"/>
      <c r="OWP8" s="2"/>
      <c r="OWQ8" s="2"/>
      <c r="OWR8" s="2"/>
      <c r="OWS8" s="2"/>
      <c r="OWT8" s="2"/>
      <c r="OWU8" s="2"/>
      <c r="OWV8" s="2"/>
      <c r="OWW8" s="2"/>
      <c r="OWX8" s="2"/>
      <c r="OWY8" s="2"/>
      <c r="OWZ8" s="2"/>
      <c r="OXA8" s="2"/>
      <c r="OXB8" s="2"/>
      <c r="OXC8" s="2"/>
      <c r="OXD8" s="2"/>
      <c r="OXE8" s="2"/>
      <c r="OXF8" s="2"/>
      <c r="OXG8" s="2"/>
      <c r="OXH8" s="2"/>
      <c r="OXI8" s="2"/>
      <c r="OXJ8" s="2"/>
      <c r="OXK8" s="2"/>
      <c r="OXL8" s="2"/>
      <c r="OXM8" s="2"/>
      <c r="OXN8" s="2"/>
      <c r="OXO8" s="2"/>
      <c r="OXP8" s="2"/>
      <c r="OXQ8" s="2"/>
      <c r="OXR8" s="2"/>
      <c r="OXS8" s="2"/>
      <c r="OXT8" s="2"/>
      <c r="OXU8" s="2"/>
      <c r="OXV8" s="2"/>
      <c r="OXW8" s="2"/>
      <c r="OXX8" s="2"/>
      <c r="OXY8" s="2"/>
      <c r="OXZ8" s="2"/>
      <c r="OYA8" s="2"/>
      <c r="OYB8" s="2"/>
      <c r="OYC8" s="2"/>
      <c r="OYD8" s="2"/>
      <c r="OYE8" s="2"/>
      <c r="OYF8" s="2"/>
      <c r="OYG8" s="2"/>
      <c r="OYH8" s="2"/>
      <c r="OYI8" s="2"/>
      <c r="OYJ8" s="2"/>
      <c r="OYK8" s="2"/>
      <c r="OYL8" s="2"/>
      <c r="OYM8" s="2"/>
      <c r="OYN8" s="2"/>
      <c r="OYO8" s="2"/>
      <c r="OYP8" s="2"/>
      <c r="OYQ8" s="2"/>
      <c r="OYR8" s="2"/>
      <c r="OYS8" s="2"/>
      <c r="OYT8" s="2"/>
      <c r="OYU8" s="2"/>
      <c r="OYV8" s="2"/>
      <c r="OYW8" s="2"/>
      <c r="OYX8" s="2"/>
      <c r="OYY8" s="2"/>
      <c r="OYZ8" s="2"/>
      <c r="OZA8" s="2"/>
      <c r="OZB8" s="2"/>
      <c r="OZC8" s="2"/>
      <c r="OZD8" s="2"/>
      <c r="OZE8" s="2"/>
      <c r="OZF8" s="2"/>
      <c r="OZG8" s="2"/>
      <c r="OZH8" s="2"/>
      <c r="OZI8" s="2"/>
      <c r="OZJ8" s="2"/>
      <c r="OZK8" s="2"/>
      <c r="OZL8" s="2"/>
      <c r="OZM8" s="2"/>
      <c r="OZN8" s="2"/>
      <c r="OZO8" s="2"/>
      <c r="OZP8" s="2"/>
      <c r="OZQ8" s="2"/>
      <c r="OZR8" s="2"/>
      <c r="OZS8" s="2"/>
      <c r="OZT8" s="2"/>
      <c r="OZU8" s="2"/>
      <c r="OZV8" s="2"/>
      <c r="OZW8" s="2"/>
      <c r="OZX8" s="2"/>
      <c r="OZY8" s="2"/>
      <c r="OZZ8" s="2"/>
      <c r="PAA8" s="2"/>
      <c r="PAB8" s="2"/>
      <c r="PAC8" s="2"/>
      <c r="PAD8" s="2"/>
      <c r="PAE8" s="2"/>
      <c r="PAF8" s="2"/>
      <c r="PAG8" s="2"/>
      <c r="PAH8" s="2"/>
      <c r="PAI8" s="2"/>
      <c r="PAJ8" s="2"/>
      <c r="PAK8" s="2"/>
      <c r="PAL8" s="2"/>
      <c r="PAM8" s="2"/>
      <c r="PAN8" s="2"/>
      <c r="PAO8" s="2"/>
      <c r="PAP8" s="2"/>
      <c r="PAQ8" s="2"/>
      <c r="PAR8" s="2"/>
      <c r="PAS8" s="2"/>
      <c r="PAT8" s="2"/>
      <c r="PAU8" s="2"/>
      <c r="PAV8" s="2"/>
      <c r="PAW8" s="2"/>
      <c r="PAX8" s="2"/>
      <c r="PAY8" s="2"/>
      <c r="PAZ8" s="2"/>
      <c r="PBA8" s="2"/>
      <c r="PBB8" s="2"/>
      <c r="PBC8" s="2"/>
      <c r="PBD8" s="2"/>
      <c r="PBE8" s="2"/>
      <c r="PBF8" s="2"/>
      <c r="PBG8" s="2"/>
      <c r="PBH8" s="2"/>
      <c r="PBI8" s="2"/>
      <c r="PBJ8" s="2"/>
      <c r="PBK8" s="2"/>
      <c r="PBL8" s="2"/>
      <c r="PBM8" s="2"/>
      <c r="PBN8" s="2"/>
      <c r="PBO8" s="2"/>
      <c r="PBP8" s="2"/>
      <c r="PBQ8" s="2"/>
      <c r="PBR8" s="2"/>
      <c r="PBS8" s="2"/>
      <c r="PBT8" s="2"/>
      <c r="PBU8" s="2"/>
      <c r="PBV8" s="2"/>
      <c r="PBW8" s="2"/>
      <c r="PBX8" s="2"/>
      <c r="PBY8" s="2"/>
      <c r="PBZ8" s="2"/>
      <c r="PCA8" s="2"/>
      <c r="PCB8" s="2"/>
      <c r="PCC8" s="2"/>
      <c r="PCD8" s="2"/>
      <c r="PCE8" s="2"/>
      <c r="PCF8" s="2"/>
      <c r="PCG8" s="2"/>
      <c r="PCH8" s="2"/>
      <c r="PCI8" s="2"/>
      <c r="PCJ8" s="2"/>
      <c r="PCK8" s="2"/>
      <c r="PCL8" s="2"/>
      <c r="PCM8" s="2"/>
      <c r="PCN8" s="2"/>
      <c r="PCO8" s="2"/>
      <c r="PCP8" s="2"/>
      <c r="PCQ8" s="2"/>
      <c r="PCR8" s="2"/>
      <c r="PCS8" s="2"/>
      <c r="PCT8" s="2"/>
      <c r="PCU8" s="2"/>
      <c r="PCV8" s="2"/>
      <c r="PCW8" s="2"/>
      <c r="PCX8" s="2"/>
      <c r="PCY8" s="2"/>
      <c r="PCZ8" s="2"/>
      <c r="PDA8" s="2"/>
      <c r="PDB8" s="2"/>
      <c r="PDC8" s="2"/>
      <c r="PDD8" s="2"/>
      <c r="PDE8" s="2"/>
      <c r="PDF8" s="2"/>
      <c r="PDG8" s="2"/>
      <c r="PDH8" s="2"/>
      <c r="PDI8" s="2"/>
      <c r="PDJ8" s="2"/>
      <c r="PDK8" s="2"/>
      <c r="PDL8" s="2"/>
      <c r="PDM8" s="2"/>
      <c r="PDN8" s="2"/>
      <c r="PDO8" s="2"/>
      <c r="PDP8" s="2"/>
      <c r="PDQ8" s="2"/>
      <c r="PDR8" s="2"/>
      <c r="PDS8" s="2"/>
      <c r="PDT8" s="2"/>
      <c r="PDU8" s="2"/>
      <c r="PDV8" s="2"/>
      <c r="PDW8" s="2"/>
      <c r="PDX8" s="2"/>
      <c r="PDY8" s="2"/>
      <c r="PDZ8" s="2"/>
      <c r="PEA8" s="2"/>
      <c r="PEB8" s="2"/>
      <c r="PEC8" s="2"/>
      <c r="PED8" s="2"/>
      <c r="PEE8" s="2"/>
      <c r="PEF8" s="2"/>
      <c r="PEG8" s="2"/>
      <c r="PEH8" s="2"/>
      <c r="PEI8" s="2"/>
      <c r="PEJ8" s="2"/>
      <c r="PEK8" s="2"/>
      <c r="PEL8" s="2"/>
      <c r="PEM8" s="2"/>
      <c r="PEN8" s="2"/>
      <c r="PEO8" s="2"/>
      <c r="PEP8" s="2"/>
      <c r="PEQ8" s="2"/>
      <c r="PER8" s="2"/>
      <c r="PES8" s="2"/>
      <c r="PET8" s="2"/>
      <c r="PEU8" s="2"/>
      <c r="PEV8" s="2"/>
      <c r="PEW8" s="2"/>
      <c r="PEX8" s="2"/>
      <c r="PEY8" s="2"/>
      <c r="PEZ8" s="2"/>
      <c r="PFA8" s="2"/>
      <c r="PFB8" s="2"/>
      <c r="PFC8" s="2"/>
      <c r="PFD8" s="2"/>
      <c r="PFE8" s="2"/>
      <c r="PFF8" s="2"/>
      <c r="PFG8" s="2"/>
      <c r="PFH8" s="2"/>
      <c r="PFI8" s="2"/>
      <c r="PFJ8" s="2"/>
      <c r="PFK8" s="2"/>
      <c r="PFL8" s="2"/>
      <c r="PFM8" s="2"/>
      <c r="PFN8" s="2"/>
      <c r="PFO8" s="2"/>
      <c r="PFP8" s="2"/>
      <c r="PFQ8" s="2"/>
      <c r="PFR8" s="2"/>
      <c r="PFS8" s="2"/>
      <c r="PFT8" s="2"/>
      <c r="PFU8" s="2"/>
      <c r="PFV8" s="2"/>
      <c r="PFW8" s="2"/>
      <c r="PFX8" s="2"/>
      <c r="PFY8" s="2"/>
      <c r="PFZ8" s="2"/>
      <c r="PGA8" s="2"/>
      <c r="PGB8" s="2"/>
      <c r="PGC8" s="2"/>
      <c r="PGD8" s="2"/>
      <c r="PGE8" s="2"/>
      <c r="PGF8" s="2"/>
      <c r="PGG8" s="2"/>
      <c r="PGH8" s="2"/>
      <c r="PGI8" s="2"/>
      <c r="PGJ8" s="2"/>
      <c r="PGK8" s="2"/>
      <c r="PGL8" s="2"/>
      <c r="PGM8" s="2"/>
      <c r="PGN8" s="2"/>
      <c r="PGO8" s="2"/>
      <c r="PGP8" s="2"/>
      <c r="PGQ8" s="2"/>
      <c r="PGR8" s="2"/>
      <c r="PGS8" s="2"/>
      <c r="PGT8" s="2"/>
      <c r="PGU8" s="2"/>
      <c r="PGV8" s="2"/>
      <c r="PGW8" s="2"/>
      <c r="PGX8" s="2"/>
      <c r="PGY8" s="2"/>
      <c r="PGZ8" s="2"/>
      <c r="PHA8" s="2"/>
      <c r="PHB8" s="2"/>
      <c r="PHC8" s="2"/>
      <c r="PHD8" s="2"/>
      <c r="PHE8" s="2"/>
      <c r="PHF8" s="2"/>
      <c r="PHG8" s="2"/>
      <c r="PHH8" s="2"/>
      <c r="PHI8" s="2"/>
      <c r="PHJ8" s="2"/>
      <c r="PHK8" s="2"/>
      <c r="PHL8" s="2"/>
      <c r="PHM8" s="2"/>
      <c r="PHN8" s="2"/>
      <c r="PHO8" s="2"/>
      <c r="PHP8" s="2"/>
      <c r="PHQ8" s="2"/>
      <c r="PHR8" s="2"/>
      <c r="PHS8" s="2"/>
      <c r="PHT8" s="2"/>
      <c r="PHU8" s="2"/>
      <c r="PHV8" s="2"/>
      <c r="PHW8" s="2"/>
      <c r="PHX8" s="2"/>
      <c r="PHY8" s="2"/>
      <c r="PHZ8" s="2"/>
      <c r="PIA8" s="2"/>
      <c r="PIB8" s="2"/>
      <c r="PIC8" s="2"/>
      <c r="PID8" s="2"/>
      <c r="PIE8" s="2"/>
      <c r="PIF8" s="2"/>
      <c r="PIG8" s="2"/>
      <c r="PIH8" s="2"/>
      <c r="PII8" s="2"/>
      <c r="PIJ8" s="2"/>
      <c r="PIK8" s="2"/>
      <c r="PIL8" s="2"/>
      <c r="PIM8" s="2"/>
      <c r="PIN8" s="2"/>
      <c r="PIO8" s="2"/>
      <c r="PIP8" s="2"/>
      <c r="PIQ8" s="2"/>
      <c r="PIR8" s="2"/>
      <c r="PIS8" s="2"/>
      <c r="PIT8" s="2"/>
      <c r="PIU8" s="2"/>
      <c r="PIV8" s="2"/>
      <c r="PIW8" s="2"/>
      <c r="PIX8" s="2"/>
      <c r="PIY8" s="2"/>
      <c r="PIZ8" s="2"/>
      <c r="PJA8" s="2"/>
      <c r="PJB8" s="2"/>
      <c r="PJC8" s="2"/>
      <c r="PJD8" s="2"/>
      <c r="PJE8" s="2"/>
      <c r="PJF8" s="2"/>
      <c r="PJG8" s="2"/>
      <c r="PJH8" s="2"/>
      <c r="PJI8" s="2"/>
      <c r="PJJ8" s="2"/>
      <c r="PJK8" s="2"/>
      <c r="PJL8" s="2"/>
      <c r="PJM8" s="2"/>
      <c r="PJN8" s="2"/>
      <c r="PJO8" s="2"/>
      <c r="PJP8" s="2"/>
      <c r="PJQ8" s="2"/>
      <c r="PJR8" s="2"/>
      <c r="PJS8" s="2"/>
      <c r="PJT8" s="2"/>
      <c r="PJU8" s="2"/>
      <c r="PJV8" s="2"/>
      <c r="PJW8" s="2"/>
      <c r="PJX8" s="2"/>
      <c r="PJY8" s="2"/>
      <c r="PJZ8" s="2"/>
      <c r="PKA8" s="2"/>
      <c r="PKB8" s="2"/>
      <c r="PKC8" s="2"/>
      <c r="PKD8" s="2"/>
      <c r="PKE8" s="2"/>
      <c r="PKF8" s="2"/>
      <c r="PKG8" s="2"/>
      <c r="PKH8" s="2"/>
      <c r="PKI8" s="2"/>
      <c r="PKJ8" s="2"/>
      <c r="PKK8" s="2"/>
      <c r="PKL8" s="2"/>
      <c r="PKM8" s="2"/>
      <c r="PKN8" s="2"/>
      <c r="PKO8" s="2"/>
      <c r="PKP8" s="2"/>
      <c r="PKQ8" s="2"/>
      <c r="PKR8" s="2"/>
      <c r="PKS8" s="2"/>
      <c r="PKT8" s="2"/>
      <c r="PKU8" s="2"/>
      <c r="PKV8" s="2"/>
      <c r="PKW8" s="2"/>
      <c r="PKX8" s="2"/>
      <c r="PKY8" s="2"/>
      <c r="PKZ8" s="2"/>
      <c r="PLA8" s="2"/>
      <c r="PLB8" s="2"/>
      <c r="PLC8" s="2"/>
      <c r="PLD8" s="2"/>
      <c r="PLE8" s="2"/>
      <c r="PLF8" s="2"/>
      <c r="PLG8" s="2"/>
      <c r="PLH8" s="2"/>
      <c r="PLI8" s="2"/>
      <c r="PLJ8" s="2"/>
      <c r="PLK8" s="2"/>
      <c r="PLL8" s="2"/>
      <c r="PLM8" s="2"/>
      <c r="PLN8" s="2"/>
      <c r="PLO8" s="2"/>
      <c r="PLP8" s="2"/>
      <c r="PLQ8" s="2"/>
      <c r="PLR8" s="2"/>
      <c r="PLS8" s="2"/>
      <c r="PLT8" s="2"/>
      <c r="PLU8" s="2"/>
      <c r="PLV8" s="2"/>
      <c r="PLW8" s="2"/>
      <c r="PLX8" s="2"/>
      <c r="PLY8" s="2"/>
      <c r="PLZ8" s="2"/>
      <c r="PMA8" s="2"/>
      <c r="PMB8" s="2"/>
      <c r="PMC8" s="2"/>
      <c r="PMD8" s="2"/>
      <c r="PME8" s="2"/>
      <c r="PMF8" s="2"/>
      <c r="PMG8" s="2"/>
      <c r="PMH8" s="2"/>
      <c r="PMI8" s="2"/>
      <c r="PMJ8" s="2"/>
      <c r="PMK8" s="2"/>
      <c r="PML8" s="2"/>
      <c r="PMM8" s="2"/>
      <c r="PMN8" s="2"/>
      <c r="PMO8" s="2"/>
      <c r="PMP8" s="2"/>
      <c r="PMQ8" s="2"/>
      <c r="PMR8" s="2"/>
      <c r="PMS8" s="2"/>
      <c r="PMT8" s="2"/>
      <c r="PMU8" s="2"/>
      <c r="PMV8" s="2"/>
      <c r="PMW8" s="2"/>
      <c r="PMX8" s="2"/>
      <c r="PMY8" s="2"/>
      <c r="PMZ8" s="2"/>
      <c r="PNA8" s="2"/>
      <c r="PNB8" s="2"/>
      <c r="PNC8" s="2"/>
      <c r="PND8" s="2"/>
      <c r="PNE8" s="2"/>
      <c r="PNF8" s="2"/>
      <c r="PNG8" s="2"/>
      <c r="PNH8" s="2"/>
      <c r="PNI8" s="2"/>
      <c r="PNJ8" s="2"/>
      <c r="PNK8" s="2"/>
      <c r="PNL8" s="2"/>
      <c r="PNM8" s="2"/>
      <c r="PNN8" s="2"/>
      <c r="PNO8" s="2"/>
      <c r="PNP8" s="2"/>
      <c r="PNQ8" s="2"/>
      <c r="PNR8" s="2"/>
      <c r="PNS8" s="2"/>
      <c r="PNT8" s="2"/>
      <c r="PNU8" s="2"/>
      <c r="PNV8" s="2"/>
      <c r="PNW8" s="2"/>
      <c r="PNX8" s="2"/>
      <c r="PNY8" s="2"/>
      <c r="PNZ8" s="2"/>
      <c r="POA8" s="2"/>
      <c r="POB8" s="2"/>
      <c r="POC8" s="2"/>
      <c r="POD8" s="2"/>
      <c r="POE8" s="2"/>
      <c r="POF8" s="2"/>
      <c r="POG8" s="2"/>
      <c r="POH8" s="2"/>
      <c r="POI8" s="2"/>
      <c r="POJ8" s="2"/>
      <c r="POK8" s="2"/>
      <c r="POL8" s="2"/>
      <c r="POM8" s="2"/>
      <c r="PON8" s="2"/>
      <c r="POO8" s="2"/>
      <c r="POP8" s="2"/>
      <c r="POQ8" s="2"/>
      <c r="POR8" s="2"/>
      <c r="POS8" s="2"/>
      <c r="POT8" s="2"/>
      <c r="POU8" s="2"/>
      <c r="POV8" s="2"/>
      <c r="POW8" s="2"/>
      <c r="POX8" s="2"/>
      <c r="POY8" s="2"/>
      <c r="POZ8" s="2"/>
      <c r="PPA8" s="2"/>
      <c r="PPB8" s="2"/>
      <c r="PPC8" s="2"/>
      <c r="PPD8" s="2"/>
      <c r="PPE8" s="2"/>
      <c r="PPF8" s="2"/>
      <c r="PPG8" s="2"/>
      <c r="PPH8" s="2"/>
      <c r="PPI8" s="2"/>
      <c r="PPJ8" s="2"/>
      <c r="PPK8" s="2"/>
      <c r="PPL8" s="2"/>
      <c r="PPM8" s="2"/>
      <c r="PPN8" s="2"/>
      <c r="PPO8" s="2"/>
      <c r="PPP8" s="2"/>
      <c r="PPQ8" s="2"/>
      <c r="PPR8" s="2"/>
      <c r="PPS8" s="2"/>
      <c r="PPT8" s="2"/>
      <c r="PPU8" s="2"/>
      <c r="PPV8" s="2"/>
      <c r="PPW8" s="2"/>
      <c r="PPX8" s="2"/>
      <c r="PPY8" s="2"/>
      <c r="PPZ8" s="2"/>
      <c r="PQA8" s="2"/>
      <c r="PQB8" s="2"/>
      <c r="PQC8" s="2"/>
      <c r="PQD8" s="2"/>
      <c r="PQE8" s="2"/>
      <c r="PQF8" s="2"/>
      <c r="PQG8" s="2"/>
      <c r="PQH8" s="2"/>
      <c r="PQI8" s="2"/>
      <c r="PQJ8" s="2"/>
      <c r="PQK8" s="2"/>
      <c r="PQL8" s="2"/>
      <c r="PQM8" s="2"/>
      <c r="PQN8" s="2"/>
      <c r="PQO8" s="2"/>
      <c r="PQP8" s="2"/>
      <c r="PQQ8" s="2"/>
      <c r="PQR8" s="2"/>
      <c r="PQS8" s="2"/>
      <c r="PQT8" s="2"/>
      <c r="PQU8" s="2"/>
      <c r="PQV8" s="2"/>
      <c r="PQW8" s="2"/>
      <c r="PQX8" s="2"/>
      <c r="PQY8" s="2"/>
      <c r="PQZ8" s="2"/>
      <c r="PRA8" s="2"/>
      <c r="PRB8" s="2"/>
      <c r="PRC8" s="2"/>
      <c r="PRD8" s="2"/>
      <c r="PRE8" s="2"/>
      <c r="PRF8" s="2"/>
      <c r="PRG8" s="2"/>
      <c r="PRH8" s="2"/>
      <c r="PRI8" s="2"/>
      <c r="PRJ8" s="2"/>
      <c r="PRK8" s="2"/>
      <c r="PRL8" s="2"/>
      <c r="PRM8" s="2"/>
      <c r="PRN8" s="2"/>
      <c r="PRO8" s="2"/>
      <c r="PRP8" s="2"/>
      <c r="PRQ8" s="2"/>
      <c r="PRR8" s="2"/>
      <c r="PRS8" s="2"/>
      <c r="PRT8" s="2"/>
      <c r="PRU8" s="2"/>
      <c r="PRV8" s="2"/>
      <c r="PRW8" s="2"/>
      <c r="PRX8" s="2"/>
      <c r="PRY8" s="2"/>
      <c r="PRZ8" s="2"/>
      <c r="PSA8" s="2"/>
      <c r="PSB8" s="2"/>
      <c r="PSC8" s="2"/>
      <c r="PSD8" s="2"/>
      <c r="PSE8" s="2"/>
      <c r="PSF8" s="2"/>
      <c r="PSG8" s="2"/>
      <c r="PSH8" s="2"/>
      <c r="PSI8" s="2"/>
      <c r="PSJ8" s="2"/>
      <c r="PSK8" s="2"/>
      <c r="PSL8" s="2"/>
      <c r="PSM8" s="2"/>
      <c r="PSN8" s="2"/>
      <c r="PSO8" s="2"/>
      <c r="PSP8" s="2"/>
      <c r="PSQ8" s="2"/>
      <c r="PSR8" s="2"/>
      <c r="PSS8" s="2"/>
      <c r="PST8" s="2"/>
      <c r="PSU8" s="2"/>
      <c r="PSV8" s="2"/>
      <c r="PSW8" s="2"/>
      <c r="PSX8" s="2"/>
      <c r="PSY8" s="2"/>
      <c r="PSZ8" s="2"/>
      <c r="PTA8" s="2"/>
      <c r="PTB8" s="2"/>
      <c r="PTC8" s="2"/>
      <c r="PTD8" s="2"/>
      <c r="PTE8" s="2"/>
      <c r="PTF8" s="2"/>
      <c r="PTG8" s="2"/>
      <c r="PTH8" s="2"/>
      <c r="PTI8" s="2"/>
      <c r="PTJ8" s="2"/>
      <c r="PTK8" s="2"/>
      <c r="PTL8" s="2"/>
      <c r="PTM8" s="2"/>
      <c r="PTN8" s="2"/>
      <c r="PTO8" s="2"/>
      <c r="PTP8" s="2"/>
      <c r="PTQ8" s="2"/>
      <c r="PTR8" s="2"/>
      <c r="PTS8" s="2"/>
      <c r="PTT8" s="2"/>
      <c r="PTU8" s="2"/>
      <c r="PTV8" s="2"/>
      <c r="PTW8" s="2"/>
      <c r="PTX8" s="2"/>
      <c r="PTY8" s="2"/>
      <c r="PTZ8" s="2"/>
      <c r="PUA8" s="2"/>
      <c r="PUB8" s="2"/>
      <c r="PUC8" s="2"/>
      <c r="PUD8" s="2"/>
      <c r="PUE8" s="2"/>
      <c r="PUF8" s="2"/>
      <c r="PUG8" s="2"/>
      <c r="PUH8" s="2"/>
      <c r="PUI8" s="2"/>
      <c r="PUJ8" s="2"/>
      <c r="PUK8" s="2"/>
      <c r="PUL8" s="2"/>
      <c r="PUM8" s="2"/>
      <c r="PUN8" s="2"/>
      <c r="PUO8" s="2"/>
      <c r="PUP8" s="2"/>
      <c r="PUQ8" s="2"/>
      <c r="PUR8" s="2"/>
      <c r="PUS8" s="2"/>
      <c r="PUT8" s="2"/>
      <c r="PUU8" s="2"/>
      <c r="PUV8" s="2"/>
      <c r="PUW8" s="2"/>
      <c r="PUX8" s="2"/>
      <c r="PUY8" s="2"/>
      <c r="PUZ8" s="2"/>
      <c r="PVA8" s="2"/>
      <c r="PVB8" s="2"/>
      <c r="PVC8" s="2"/>
      <c r="PVD8" s="2"/>
      <c r="PVE8" s="2"/>
      <c r="PVF8" s="2"/>
      <c r="PVG8" s="2"/>
      <c r="PVH8" s="2"/>
      <c r="PVI8" s="2"/>
      <c r="PVJ8" s="2"/>
      <c r="PVK8" s="2"/>
      <c r="PVL8" s="2"/>
      <c r="PVM8" s="2"/>
      <c r="PVN8" s="2"/>
      <c r="PVO8" s="2"/>
      <c r="PVP8" s="2"/>
      <c r="PVQ8" s="2"/>
      <c r="PVR8" s="2"/>
      <c r="PVS8" s="2"/>
      <c r="PVT8" s="2"/>
      <c r="PVU8" s="2"/>
      <c r="PVV8" s="2"/>
      <c r="PVW8" s="2"/>
      <c r="PVX8" s="2"/>
      <c r="PVY8" s="2"/>
      <c r="PVZ8" s="2"/>
      <c r="PWA8" s="2"/>
      <c r="PWB8" s="2"/>
      <c r="PWC8" s="2"/>
      <c r="PWD8" s="2"/>
      <c r="PWE8" s="2"/>
      <c r="PWF8" s="2"/>
      <c r="PWG8" s="2"/>
      <c r="PWH8" s="2"/>
      <c r="PWI8" s="2"/>
      <c r="PWJ8" s="2"/>
      <c r="PWK8" s="2"/>
      <c r="PWL8" s="2"/>
      <c r="PWM8" s="2"/>
      <c r="PWN8" s="2"/>
      <c r="PWO8" s="2"/>
      <c r="PWP8" s="2"/>
      <c r="PWQ8" s="2"/>
      <c r="PWR8" s="2"/>
      <c r="PWS8" s="2"/>
      <c r="PWT8" s="2"/>
      <c r="PWU8" s="2"/>
      <c r="PWV8" s="2"/>
      <c r="PWW8" s="2"/>
      <c r="PWX8" s="2"/>
      <c r="PWY8" s="2"/>
      <c r="PWZ8" s="2"/>
      <c r="PXA8" s="2"/>
      <c r="PXB8" s="2"/>
      <c r="PXC8" s="2"/>
      <c r="PXD8" s="2"/>
      <c r="PXE8" s="2"/>
      <c r="PXF8" s="2"/>
      <c r="PXG8" s="2"/>
      <c r="PXH8" s="2"/>
      <c r="PXI8" s="2"/>
      <c r="PXJ8" s="2"/>
      <c r="PXK8" s="2"/>
      <c r="PXL8" s="2"/>
      <c r="PXM8" s="2"/>
      <c r="PXN8" s="2"/>
      <c r="PXO8" s="2"/>
      <c r="PXP8" s="2"/>
      <c r="PXQ8" s="2"/>
      <c r="PXR8" s="2"/>
      <c r="PXS8" s="2"/>
      <c r="PXT8" s="2"/>
      <c r="PXU8" s="2"/>
      <c r="PXV8" s="2"/>
      <c r="PXW8" s="2"/>
      <c r="PXX8" s="2"/>
      <c r="PXY8" s="2"/>
      <c r="PXZ8" s="2"/>
      <c r="PYA8" s="2"/>
      <c r="PYB8" s="2"/>
      <c r="PYC8" s="2"/>
      <c r="PYD8" s="2"/>
      <c r="PYE8" s="2"/>
      <c r="PYF8" s="2"/>
      <c r="PYG8" s="2"/>
      <c r="PYH8" s="2"/>
      <c r="PYI8" s="2"/>
      <c r="PYJ8" s="2"/>
      <c r="PYK8" s="2"/>
      <c r="PYL8" s="2"/>
      <c r="PYM8" s="2"/>
      <c r="PYN8" s="2"/>
      <c r="PYO8" s="2"/>
      <c r="PYP8" s="2"/>
      <c r="PYQ8" s="2"/>
      <c r="PYR8" s="2"/>
      <c r="PYS8" s="2"/>
      <c r="PYT8" s="2"/>
      <c r="PYU8" s="2"/>
      <c r="PYV8" s="2"/>
      <c r="PYW8" s="2"/>
      <c r="PYX8" s="2"/>
      <c r="PYY8" s="2"/>
      <c r="PYZ8" s="2"/>
      <c r="PZA8" s="2"/>
      <c r="PZB8" s="2"/>
      <c r="PZC8" s="2"/>
      <c r="PZD8" s="2"/>
      <c r="PZE8" s="2"/>
      <c r="PZF8" s="2"/>
      <c r="PZG8" s="2"/>
      <c r="PZH8" s="2"/>
      <c r="PZI8" s="2"/>
      <c r="PZJ8" s="2"/>
      <c r="PZK8" s="2"/>
      <c r="PZL8" s="2"/>
      <c r="PZM8" s="2"/>
      <c r="PZN8" s="2"/>
      <c r="PZO8" s="2"/>
      <c r="PZP8" s="2"/>
      <c r="PZQ8" s="2"/>
      <c r="PZR8" s="2"/>
      <c r="PZS8" s="2"/>
      <c r="PZT8" s="2"/>
      <c r="PZU8" s="2"/>
      <c r="PZV8" s="2"/>
      <c r="PZW8" s="2"/>
      <c r="PZX8" s="2"/>
      <c r="PZY8" s="2"/>
      <c r="PZZ8" s="2"/>
      <c r="QAA8" s="2"/>
      <c r="QAB8" s="2"/>
      <c r="QAC8" s="2"/>
      <c r="QAD8" s="2"/>
      <c r="QAE8" s="2"/>
      <c r="QAF8" s="2"/>
      <c r="QAG8" s="2"/>
      <c r="QAH8" s="2"/>
      <c r="QAI8" s="2"/>
      <c r="QAJ8" s="2"/>
      <c r="QAK8" s="2"/>
      <c r="QAL8" s="2"/>
      <c r="QAM8" s="2"/>
      <c r="QAN8" s="2"/>
      <c r="QAO8" s="2"/>
      <c r="QAP8" s="2"/>
      <c r="QAQ8" s="2"/>
      <c r="QAR8" s="2"/>
      <c r="QAS8" s="2"/>
      <c r="QAT8" s="2"/>
      <c r="QAU8" s="2"/>
      <c r="QAV8" s="2"/>
      <c r="QAW8" s="2"/>
      <c r="QAX8" s="2"/>
      <c r="QAY8" s="2"/>
      <c r="QAZ8" s="2"/>
      <c r="QBA8" s="2"/>
      <c r="QBB8" s="2"/>
      <c r="QBC8" s="2"/>
      <c r="QBD8" s="2"/>
      <c r="QBE8" s="2"/>
      <c r="QBF8" s="2"/>
      <c r="QBG8" s="2"/>
      <c r="QBH8" s="2"/>
      <c r="QBI8" s="2"/>
      <c r="QBJ8" s="2"/>
      <c r="QBK8" s="2"/>
      <c r="QBL8" s="2"/>
      <c r="QBM8" s="2"/>
      <c r="QBN8" s="2"/>
      <c r="QBO8" s="2"/>
      <c r="QBP8" s="2"/>
      <c r="QBQ8" s="2"/>
      <c r="QBR8" s="2"/>
      <c r="QBS8" s="2"/>
      <c r="QBT8" s="2"/>
      <c r="QBU8" s="2"/>
      <c r="QBV8" s="2"/>
      <c r="QBW8" s="2"/>
      <c r="QBX8" s="2"/>
      <c r="QBY8" s="2"/>
      <c r="QBZ8" s="2"/>
      <c r="QCA8" s="2"/>
      <c r="QCB8" s="2"/>
      <c r="QCC8" s="2"/>
      <c r="QCD8" s="2"/>
      <c r="QCE8" s="2"/>
      <c r="QCF8" s="2"/>
      <c r="QCG8" s="2"/>
      <c r="QCH8" s="2"/>
      <c r="QCI8" s="2"/>
      <c r="QCJ8" s="2"/>
      <c r="QCK8" s="2"/>
      <c r="QCL8" s="2"/>
      <c r="QCM8" s="2"/>
      <c r="QCN8" s="2"/>
      <c r="QCO8" s="2"/>
      <c r="QCP8" s="2"/>
      <c r="QCQ8" s="2"/>
      <c r="QCR8" s="2"/>
      <c r="QCS8" s="2"/>
      <c r="QCT8" s="2"/>
      <c r="QCU8" s="2"/>
      <c r="QCV8" s="2"/>
      <c r="QCW8" s="2"/>
      <c r="QCX8" s="2"/>
      <c r="QCY8" s="2"/>
      <c r="QCZ8" s="2"/>
      <c r="QDA8" s="2"/>
      <c r="QDB8" s="2"/>
      <c r="QDC8" s="2"/>
      <c r="QDD8" s="2"/>
      <c r="QDE8" s="2"/>
      <c r="QDF8" s="2"/>
      <c r="QDG8" s="2"/>
      <c r="QDH8" s="2"/>
      <c r="QDI8" s="2"/>
      <c r="QDJ8" s="2"/>
      <c r="QDK8" s="2"/>
      <c r="QDL8" s="2"/>
      <c r="QDM8" s="2"/>
      <c r="QDN8" s="2"/>
      <c r="QDO8" s="2"/>
      <c r="QDP8" s="2"/>
      <c r="QDQ8" s="2"/>
      <c r="QDR8" s="2"/>
      <c r="QDS8" s="2"/>
      <c r="QDT8" s="2"/>
      <c r="QDU8" s="2"/>
      <c r="QDV8" s="2"/>
      <c r="QDW8" s="2"/>
      <c r="QDX8" s="2"/>
      <c r="QDY8" s="2"/>
      <c r="QDZ8" s="2"/>
      <c r="QEA8" s="2"/>
      <c r="QEB8" s="2"/>
      <c r="QEC8" s="2"/>
      <c r="QED8" s="2"/>
      <c r="QEE8" s="2"/>
      <c r="QEF8" s="2"/>
      <c r="QEG8" s="2"/>
      <c r="QEH8" s="2"/>
      <c r="QEI8" s="2"/>
      <c r="QEJ8" s="2"/>
      <c r="QEK8" s="2"/>
      <c r="QEL8" s="2"/>
      <c r="QEM8" s="2"/>
      <c r="QEN8" s="2"/>
      <c r="QEO8" s="2"/>
      <c r="QEP8" s="2"/>
      <c r="QEQ8" s="2"/>
      <c r="QER8" s="2"/>
      <c r="QES8" s="2"/>
      <c r="QET8" s="2"/>
      <c r="QEU8" s="2"/>
      <c r="QEV8" s="2"/>
      <c r="QEW8" s="2"/>
      <c r="QEX8" s="2"/>
      <c r="QEY8" s="2"/>
      <c r="QEZ8" s="2"/>
      <c r="QFA8" s="2"/>
      <c r="QFB8" s="2"/>
      <c r="QFC8" s="2"/>
      <c r="QFD8" s="2"/>
      <c r="QFE8" s="2"/>
      <c r="QFF8" s="2"/>
      <c r="QFG8" s="2"/>
      <c r="QFH8" s="2"/>
      <c r="QFI8" s="2"/>
      <c r="QFJ8" s="2"/>
      <c r="QFK8" s="2"/>
      <c r="QFL8" s="2"/>
      <c r="QFM8" s="2"/>
      <c r="QFN8" s="2"/>
      <c r="QFO8" s="2"/>
      <c r="QFP8" s="2"/>
      <c r="QFQ8" s="2"/>
      <c r="QFR8" s="2"/>
      <c r="QFS8" s="2"/>
      <c r="QFT8" s="2"/>
      <c r="QFU8" s="2"/>
      <c r="QFV8" s="2"/>
      <c r="QFW8" s="2"/>
      <c r="QFX8" s="2"/>
      <c r="QFY8" s="2"/>
      <c r="QFZ8" s="2"/>
      <c r="QGA8" s="2"/>
      <c r="QGB8" s="2"/>
      <c r="QGC8" s="2"/>
      <c r="QGD8" s="2"/>
      <c r="QGE8" s="2"/>
      <c r="QGF8" s="2"/>
      <c r="QGG8" s="2"/>
      <c r="QGH8" s="2"/>
      <c r="QGI8" s="2"/>
      <c r="QGJ8" s="2"/>
      <c r="QGK8" s="2"/>
      <c r="QGL8" s="2"/>
      <c r="QGM8" s="2"/>
      <c r="QGN8" s="2"/>
      <c r="QGO8" s="2"/>
      <c r="QGP8" s="2"/>
      <c r="QGQ8" s="2"/>
      <c r="QGR8" s="2"/>
      <c r="QGS8" s="2"/>
      <c r="QGT8" s="2"/>
      <c r="QGU8" s="2"/>
      <c r="QGV8" s="2"/>
      <c r="QGW8" s="2"/>
      <c r="QGX8" s="2"/>
      <c r="QGY8" s="2"/>
      <c r="QGZ8" s="2"/>
      <c r="QHA8" s="2"/>
      <c r="QHB8" s="2"/>
      <c r="QHC8" s="2"/>
      <c r="QHD8" s="2"/>
      <c r="QHE8" s="2"/>
      <c r="QHF8" s="2"/>
      <c r="QHG8" s="2"/>
      <c r="QHH8" s="2"/>
      <c r="QHI8" s="2"/>
      <c r="QHJ8" s="2"/>
      <c r="QHK8" s="2"/>
      <c r="QHL8" s="2"/>
      <c r="QHM8" s="2"/>
      <c r="QHN8" s="2"/>
      <c r="QHO8" s="2"/>
      <c r="QHP8" s="2"/>
      <c r="QHQ8" s="2"/>
      <c r="QHR8" s="2"/>
      <c r="QHS8" s="2"/>
      <c r="QHT8" s="2"/>
      <c r="QHU8" s="2"/>
      <c r="QHV8" s="2"/>
      <c r="QHW8" s="2"/>
      <c r="QHX8" s="2"/>
      <c r="QHY8" s="2"/>
      <c r="QHZ8" s="2"/>
      <c r="QIA8" s="2"/>
      <c r="QIB8" s="2"/>
      <c r="QIC8" s="2"/>
      <c r="QID8" s="2"/>
      <c r="QIE8" s="2"/>
      <c r="QIF8" s="2"/>
      <c r="QIG8" s="2"/>
      <c r="QIH8" s="2"/>
      <c r="QII8" s="2"/>
      <c r="QIJ8" s="2"/>
      <c r="QIK8" s="2"/>
      <c r="QIL8" s="2"/>
      <c r="QIM8" s="2"/>
      <c r="QIN8" s="2"/>
      <c r="QIO8" s="2"/>
      <c r="QIP8" s="2"/>
      <c r="QIQ8" s="2"/>
      <c r="QIR8" s="2"/>
      <c r="QIS8" s="2"/>
      <c r="QIT8" s="2"/>
      <c r="QIU8" s="2"/>
      <c r="QIV8" s="2"/>
      <c r="QIW8" s="2"/>
      <c r="QIX8" s="2"/>
      <c r="QIY8" s="2"/>
      <c r="QIZ8" s="2"/>
      <c r="QJA8" s="2"/>
      <c r="QJB8" s="2"/>
      <c r="QJC8" s="2"/>
      <c r="QJD8" s="2"/>
      <c r="QJE8" s="2"/>
      <c r="QJF8" s="2"/>
      <c r="QJG8" s="2"/>
      <c r="QJH8" s="2"/>
      <c r="QJI8" s="2"/>
      <c r="QJJ8" s="2"/>
      <c r="QJK8" s="2"/>
      <c r="QJL8" s="2"/>
      <c r="QJM8" s="2"/>
      <c r="QJN8" s="2"/>
      <c r="QJO8" s="2"/>
      <c r="QJP8" s="2"/>
      <c r="QJQ8" s="2"/>
      <c r="QJR8" s="2"/>
      <c r="QJS8" s="2"/>
      <c r="QJT8" s="2"/>
      <c r="QJU8" s="2"/>
      <c r="QJV8" s="2"/>
      <c r="QJW8" s="2"/>
      <c r="QJX8" s="2"/>
      <c r="QJY8" s="2"/>
      <c r="QJZ8" s="2"/>
      <c r="QKA8" s="2"/>
      <c r="QKB8" s="2"/>
      <c r="QKC8" s="2"/>
      <c r="QKD8" s="2"/>
      <c r="QKE8" s="2"/>
      <c r="QKF8" s="2"/>
      <c r="QKG8" s="2"/>
      <c r="QKH8" s="2"/>
      <c r="QKI8" s="2"/>
      <c r="QKJ8" s="2"/>
      <c r="QKK8" s="2"/>
      <c r="QKL8" s="2"/>
      <c r="QKM8" s="2"/>
      <c r="QKN8" s="2"/>
      <c r="QKO8" s="2"/>
      <c r="QKP8" s="2"/>
      <c r="QKQ8" s="2"/>
      <c r="QKR8" s="2"/>
      <c r="QKS8" s="2"/>
      <c r="QKT8" s="2"/>
      <c r="QKU8" s="2"/>
      <c r="QKV8" s="2"/>
      <c r="QKW8" s="2"/>
      <c r="QKX8" s="2"/>
      <c r="QKY8" s="2"/>
      <c r="QKZ8" s="2"/>
      <c r="QLA8" s="2"/>
      <c r="QLB8" s="2"/>
      <c r="QLC8" s="2"/>
      <c r="QLD8" s="2"/>
      <c r="QLE8" s="2"/>
      <c r="QLF8" s="2"/>
      <c r="QLG8" s="2"/>
      <c r="QLH8" s="2"/>
      <c r="QLI8" s="2"/>
      <c r="QLJ8" s="2"/>
      <c r="QLK8" s="2"/>
      <c r="QLL8" s="2"/>
      <c r="QLM8" s="2"/>
      <c r="QLN8" s="2"/>
      <c r="QLO8" s="2"/>
      <c r="QLP8" s="2"/>
      <c r="QLQ8" s="2"/>
      <c r="QLR8" s="2"/>
      <c r="QLS8" s="2"/>
      <c r="QLT8" s="2"/>
      <c r="QLU8" s="2"/>
      <c r="QLV8" s="2"/>
      <c r="QLW8" s="2"/>
      <c r="QLX8" s="2"/>
      <c r="QLY8" s="2"/>
      <c r="QLZ8" s="2"/>
      <c r="QMA8" s="2"/>
      <c r="QMB8" s="2"/>
      <c r="QMC8" s="2"/>
      <c r="QMD8" s="2"/>
      <c r="QME8" s="2"/>
      <c r="QMF8" s="2"/>
      <c r="QMG8" s="2"/>
      <c r="QMH8" s="2"/>
      <c r="QMI8" s="2"/>
      <c r="QMJ8" s="2"/>
      <c r="QMK8" s="2"/>
      <c r="QML8" s="2"/>
      <c r="QMM8" s="2"/>
      <c r="QMN8" s="2"/>
      <c r="QMO8" s="2"/>
      <c r="QMP8" s="2"/>
      <c r="QMQ8" s="2"/>
      <c r="QMR8" s="2"/>
      <c r="QMS8" s="2"/>
      <c r="QMT8" s="2"/>
      <c r="QMU8" s="2"/>
      <c r="QMV8" s="2"/>
      <c r="QMW8" s="2"/>
      <c r="QMX8" s="2"/>
      <c r="QMY8" s="2"/>
      <c r="QMZ8" s="2"/>
      <c r="QNA8" s="2"/>
      <c r="QNB8" s="2"/>
      <c r="QNC8" s="2"/>
      <c r="QND8" s="2"/>
      <c r="QNE8" s="2"/>
      <c r="QNF8" s="2"/>
      <c r="QNG8" s="2"/>
      <c r="QNH8" s="2"/>
      <c r="QNI8" s="2"/>
      <c r="QNJ8" s="2"/>
      <c r="QNK8" s="2"/>
      <c r="QNL8" s="2"/>
      <c r="QNM8" s="2"/>
      <c r="QNN8" s="2"/>
      <c r="QNO8" s="2"/>
      <c r="QNP8" s="2"/>
      <c r="QNQ8" s="2"/>
      <c r="QNR8" s="2"/>
      <c r="QNS8" s="2"/>
      <c r="QNT8" s="2"/>
      <c r="QNU8" s="2"/>
      <c r="QNV8" s="2"/>
      <c r="QNW8" s="2"/>
      <c r="QNX8" s="2"/>
      <c r="QNY8" s="2"/>
      <c r="QNZ8" s="2"/>
      <c r="QOA8" s="2"/>
      <c r="QOB8" s="2"/>
      <c r="QOC8" s="2"/>
      <c r="QOD8" s="2"/>
      <c r="QOE8" s="2"/>
      <c r="QOF8" s="2"/>
      <c r="QOG8" s="2"/>
      <c r="QOH8" s="2"/>
      <c r="QOI8" s="2"/>
      <c r="QOJ8" s="2"/>
      <c r="QOK8" s="2"/>
      <c r="QOL8" s="2"/>
      <c r="QOM8" s="2"/>
      <c r="QON8" s="2"/>
      <c r="QOO8" s="2"/>
      <c r="QOP8" s="2"/>
      <c r="QOQ8" s="2"/>
      <c r="QOR8" s="2"/>
      <c r="QOS8" s="2"/>
      <c r="QOT8" s="2"/>
      <c r="QOU8" s="2"/>
      <c r="QOV8" s="2"/>
      <c r="QOW8" s="2"/>
      <c r="QOX8" s="2"/>
      <c r="QOY8" s="2"/>
      <c r="QOZ8" s="2"/>
      <c r="QPA8" s="2"/>
      <c r="QPB8" s="2"/>
      <c r="QPC8" s="2"/>
      <c r="QPD8" s="2"/>
      <c r="QPE8" s="2"/>
      <c r="QPF8" s="2"/>
      <c r="QPG8" s="2"/>
      <c r="QPH8" s="2"/>
      <c r="QPI8" s="2"/>
      <c r="QPJ8" s="2"/>
      <c r="QPK8" s="2"/>
      <c r="QPL8" s="2"/>
      <c r="QPM8" s="2"/>
      <c r="QPN8" s="2"/>
      <c r="QPO8" s="2"/>
      <c r="QPP8" s="2"/>
      <c r="QPQ8" s="2"/>
      <c r="QPR8" s="2"/>
      <c r="QPS8" s="2"/>
      <c r="QPT8" s="2"/>
      <c r="QPU8" s="2"/>
      <c r="QPV8" s="2"/>
      <c r="QPW8" s="2"/>
      <c r="QPX8" s="2"/>
      <c r="QPY8" s="2"/>
      <c r="QPZ8" s="2"/>
      <c r="QQA8" s="2"/>
      <c r="QQB8" s="2"/>
      <c r="QQC8" s="2"/>
      <c r="QQD8" s="2"/>
      <c r="QQE8" s="2"/>
      <c r="QQF8" s="2"/>
      <c r="QQG8" s="2"/>
      <c r="QQH8" s="2"/>
      <c r="QQI8" s="2"/>
      <c r="QQJ8" s="2"/>
      <c r="QQK8" s="2"/>
      <c r="QQL8" s="2"/>
      <c r="QQM8" s="2"/>
      <c r="QQN8" s="2"/>
      <c r="QQO8" s="2"/>
      <c r="QQP8" s="2"/>
      <c r="QQQ8" s="2"/>
      <c r="QQR8" s="2"/>
      <c r="QQS8" s="2"/>
      <c r="QQT8" s="2"/>
      <c r="QQU8" s="2"/>
      <c r="QQV8" s="2"/>
      <c r="QQW8" s="2"/>
      <c r="QQX8" s="2"/>
      <c r="QQY8" s="2"/>
      <c r="QQZ8" s="2"/>
      <c r="QRA8" s="2"/>
      <c r="QRB8" s="2"/>
      <c r="QRC8" s="2"/>
      <c r="QRD8" s="2"/>
      <c r="QRE8" s="2"/>
      <c r="QRF8" s="2"/>
      <c r="QRG8" s="2"/>
      <c r="QRH8" s="2"/>
      <c r="QRI8" s="2"/>
      <c r="QRJ8" s="2"/>
      <c r="QRK8" s="2"/>
      <c r="QRL8" s="2"/>
      <c r="QRM8" s="2"/>
      <c r="QRN8" s="2"/>
      <c r="QRO8" s="2"/>
      <c r="QRP8" s="2"/>
      <c r="QRQ8" s="2"/>
      <c r="QRR8" s="2"/>
      <c r="QRS8" s="2"/>
      <c r="QRT8" s="2"/>
      <c r="QRU8" s="2"/>
      <c r="QRV8" s="2"/>
      <c r="QRW8" s="2"/>
      <c r="QRX8" s="2"/>
      <c r="QRY8" s="2"/>
      <c r="QRZ8" s="2"/>
      <c r="QSA8" s="2"/>
      <c r="QSB8" s="2"/>
      <c r="QSC8" s="2"/>
      <c r="QSD8" s="2"/>
      <c r="QSE8" s="2"/>
      <c r="QSF8" s="2"/>
      <c r="QSG8" s="2"/>
      <c r="QSH8" s="2"/>
      <c r="QSI8" s="2"/>
      <c r="QSJ8" s="2"/>
      <c r="QSK8" s="2"/>
      <c r="QSL8" s="2"/>
      <c r="QSM8" s="2"/>
      <c r="QSN8" s="2"/>
      <c r="QSO8" s="2"/>
      <c r="QSP8" s="2"/>
      <c r="QSQ8" s="2"/>
      <c r="QSR8" s="2"/>
      <c r="QSS8" s="2"/>
      <c r="QST8" s="2"/>
      <c r="QSU8" s="2"/>
      <c r="QSV8" s="2"/>
      <c r="QSW8" s="2"/>
      <c r="QSX8" s="2"/>
      <c r="QSY8" s="2"/>
      <c r="QSZ8" s="2"/>
      <c r="QTA8" s="2"/>
      <c r="QTB8" s="2"/>
      <c r="QTC8" s="2"/>
      <c r="QTD8" s="2"/>
      <c r="QTE8" s="2"/>
      <c r="QTF8" s="2"/>
      <c r="QTG8" s="2"/>
      <c r="QTH8" s="2"/>
      <c r="QTI8" s="2"/>
      <c r="QTJ8" s="2"/>
      <c r="QTK8" s="2"/>
      <c r="QTL8" s="2"/>
      <c r="QTM8" s="2"/>
      <c r="QTN8" s="2"/>
      <c r="QTO8" s="2"/>
      <c r="QTP8" s="2"/>
      <c r="QTQ8" s="2"/>
      <c r="QTR8" s="2"/>
      <c r="QTS8" s="2"/>
      <c r="QTT8" s="2"/>
      <c r="QTU8" s="2"/>
      <c r="QTV8" s="2"/>
      <c r="QTW8" s="2"/>
      <c r="QTX8" s="2"/>
      <c r="QTY8" s="2"/>
      <c r="QTZ8" s="2"/>
      <c r="QUA8" s="2"/>
      <c r="QUB8" s="2"/>
      <c r="QUC8" s="2"/>
      <c r="QUD8" s="2"/>
      <c r="QUE8" s="2"/>
      <c r="QUF8" s="2"/>
      <c r="QUG8" s="2"/>
      <c r="QUH8" s="2"/>
      <c r="QUI8" s="2"/>
      <c r="QUJ8" s="2"/>
      <c r="QUK8" s="2"/>
      <c r="QUL8" s="2"/>
      <c r="QUM8" s="2"/>
      <c r="QUN8" s="2"/>
      <c r="QUO8" s="2"/>
      <c r="QUP8" s="2"/>
      <c r="QUQ8" s="2"/>
      <c r="QUR8" s="2"/>
      <c r="QUS8" s="2"/>
      <c r="QUT8" s="2"/>
      <c r="QUU8" s="2"/>
      <c r="QUV8" s="2"/>
      <c r="QUW8" s="2"/>
      <c r="QUX8" s="2"/>
      <c r="QUY8" s="2"/>
      <c r="QUZ8" s="2"/>
      <c r="QVA8" s="2"/>
      <c r="QVB8" s="2"/>
      <c r="QVC8" s="2"/>
      <c r="QVD8" s="2"/>
      <c r="QVE8" s="2"/>
      <c r="QVF8" s="2"/>
      <c r="QVG8" s="2"/>
      <c r="QVH8" s="2"/>
      <c r="QVI8" s="2"/>
      <c r="QVJ8" s="2"/>
      <c r="QVK8" s="2"/>
      <c r="QVL8" s="2"/>
      <c r="QVM8" s="2"/>
      <c r="QVN8" s="2"/>
      <c r="QVO8" s="2"/>
      <c r="QVP8" s="2"/>
      <c r="QVQ8" s="2"/>
      <c r="QVR8" s="2"/>
      <c r="QVS8" s="2"/>
      <c r="QVT8" s="2"/>
      <c r="QVU8" s="2"/>
      <c r="QVV8" s="2"/>
      <c r="QVW8" s="2"/>
      <c r="QVX8" s="2"/>
      <c r="QVY8" s="2"/>
      <c r="QVZ8" s="2"/>
      <c r="QWA8" s="2"/>
      <c r="QWB8" s="2"/>
      <c r="QWC8" s="2"/>
      <c r="QWD8" s="2"/>
      <c r="QWE8" s="2"/>
      <c r="QWF8" s="2"/>
      <c r="QWG8" s="2"/>
      <c r="QWH8" s="2"/>
      <c r="QWI8" s="2"/>
      <c r="QWJ8" s="2"/>
      <c r="QWK8" s="2"/>
      <c r="QWL8" s="2"/>
      <c r="QWM8" s="2"/>
      <c r="QWN8" s="2"/>
      <c r="QWO8" s="2"/>
      <c r="QWP8" s="2"/>
      <c r="QWQ8" s="2"/>
      <c r="QWR8" s="2"/>
      <c r="QWS8" s="2"/>
      <c r="QWT8" s="2"/>
      <c r="QWU8" s="2"/>
      <c r="QWV8" s="2"/>
      <c r="QWW8" s="2"/>
      <c r="QWX8" s="2"/>
      <c r="QWY8" s="2"/>
      <c r="QWZ8" s="2"/>
      <c r="QXA8" s="2"/>
      <c r="QXB8" s="2"/>
      <c r="QXC8" s="2"/>
      <c r="QXD8" s="2"/>
      <c r="QXE8" s="2"/>
      <c r="QXF8" s="2"/>
      <c r="QXG8" s="2"/>
      <c r="QXH8" s="2"/>
      <c r="QXI8" s="2"/>
      <c r="QXJ8" s="2"/>
      <c r="QXK8" s="2"/>
      <c r="QXL8" s="2"/>
      <c r="QXM8" s="2"/>
      <c r="QXN8" s="2"/>
      <c r="QXO8" s="2"/>
      <c r="QXP8" s="2"/>
      <c r="QXQ8" s="2"/>
      <c r="QXR8" s="2"/>
      <c r="QXS8" s="2"/>
      <c r="QXT8" s="2"/>
      <c r="QXU8" s="2"/>
      <c r="QXV8" s="2"/>
      <c r="QXW8" s="2"/>
      <c r="QXX8" s="2"/>
      <c r="QXY8" s="2"/>
      <c r="QXZ8" s="2"/>
      <c r="QYA8" s="2"/>
      <c r="QYB8" s="2"/>
      <c r="QYC8" s="2"/>
      <c r="QYD8" s="2"/>
      <c r="QYE8" s="2"/>
      <c r="QYF8" s="2"/>
      <c r="QYG8" s="2"/>
      <c r="QYH8" s="2"/>
      <c r="QYI8" s="2"/>
      <c r="QYJ8" s="2"/>
      <c r="QYK8" s="2"/>
      <c r="QYL8" s="2"/>
      <c r="QYM8" s="2"/>
      <c r="QYN8" s="2"/>
      <c r="QYO8" s="2"/>
      <c r="QYP8" s="2"/>
      <c r="QYQ8" s="2"/>
      <c r="QYR8" s="2"/>
      <c r="QYS8" s="2"/>
      <c r="QYT8" s="2"/>
      <c r="QYU8" s="2"/>
      <c r="QYV8" s="2"/>
      <c r="QYW8" s="2"/>
      <c r="QYX8" s="2"/>
      <c r="QYY8" s="2"/>
      <c r="QYZ8" s="2"/>
      <c r="QZA8" s="2"/>
      <c r="QZB8" s="2"/>
      <c r="QZC8" s="2"/>
      <c r="QZD8" s="2"/>
      <c r="QZE8" s="2"/>
      <c r="QZF8" s="2"/>
      <c r="QZG8" s="2"/>
      <c r="QZH8" s="2"/>
      <c r="QZI8" s="2"/>
      <c r="QZJ8" s="2"/>
      <c r="QZK8" s="2"/>
      <c r="QZL8" s="2"/>
      <c r="QZM8" s="2"/>
      <c r="QZN8" s="2"/>
      <c r="QZO8" s="2"/>
      <c r="QZP8" s="2"/>
      <c r="QZQ8" s="2"/>
      <c r="QZR8" s="2"/>
      <c r="QZS8" s="2"/>
      <c r="QZT8" s="2"/>
      <c r="QZU8" s="2"/>
      <c r="QZV8" s="2"/>
      <c r="QZW8" s="2"/>
      <c r="QZX8" s="2"/>
      <c r="QZY8" s="2"/>
      <c r="QZZ8" s="2"/>
      <c r="RAA8" s="2"/>
      <c r="RAB8" s="2"/>
      <c r="RAC8" s="2"/>
      <c r="RAD8" s="2"/>
      <c r="RAE8" s="2"/>
      <c r="RAF8" s="2"/>
      <c r="RAG8" s="2"/>
      <c r="RAH8" s="2"/>
      <c r="RAI8" s="2"/>
      <c r="RAJ8" s="2"/>
      <c r="RAK8" s="2"/>
      <c r="RAL8" s="2"/>
      <c r="RAM8" s="2"/>
      <c r="RAN8" s="2"/>
      <c r="RAO8" s="2"/>
      <c r="RAP8" s="2"/>
      <c r="RAQ8" s="2"/>
      <c r="RAR8" s="2"/>
      <c r="RAS8" s="2"/>
      <c r="RAT8" s="2"/>
      <c r="RAU8" s="2"/>
      <c r="RAV8" s="2"/>
      <c r="RAW8" s="2"/>
      <c r="RAX8" s="2"/>
      <c r="RAY8" s="2"/>
      <c r="RAZ8" s="2"/>
      <c r="RBA8" s="2"/>
      <c r="RBB8" s="2"/>
      <c r="RBC8" s="2"/>
      <c r="RBD8" s="2"/>
      <c r="RBE8" s="2"/>
      <c r="RBF8" s="2"/>
      <c r="RBG8" s="2"/>
      <c r="RBH8" s="2"/>
      <c r="RBI8" s="2"/>
      <c r="RBJ8" s="2"/>
      <c r="RBK8" s="2"/>
      <c r="RBL8" s="2"/>
      <c r="RBM8" s="2"/>
      <c r="RBN8" s="2"/>
      <c r="RBO8" s="2"/>
      <c r="RBP8" s="2"/>
      <c r="RBQ8" s="2"/>
      <c r="RBR8" s="2"/>
      <c r="RBS8" s="2"/>
      <c r="RBT8" s="2"/>
      <c r="RBU8" s="2"/>
      <c r="RBV8" s="2"/>
      <c r="RBW8" s="2"/>
      <c r="RBX8" s="2"/>
      <c r="RBY8" s="2"/>
      <c r="RBZ8" s="2"/>
      <c r="RCA8" s="2"/>
      <c r="RCB8" s="2"/>
      <c r="RCC8" s="2"/>
      <c r="RCD8" s="2"/>
      <c r="RCE8" s="2"/>
      <c r="RCF8" s="2"/>
      <c r="RCG8" s="2"/>
      <c r="RCH8" s="2"/>
      <c r="RCI8" s="2"/>
      <c r="RCJ8" s="2"/>
      <c r="RCK8" s="2"/>
      <c r="RCL8" s="2"/>
      <c r="RCM8" s="2"/>
      <c r="RCN8" s="2"/>
      <c r="RCO8" s="2"/>
      <c r="RCP8" s="2"/>
      <c r="RCQ8" s="2"/>
      <c r="RCR8" s="2"/>
      <c r="RCS8" s="2"/>
      <c r="RCT8" s="2"/>
      <c r="RCU8" s="2"/>
      <c r="RCV8" s="2"/>
      <c r="RCW8" s="2"/>
      <c r="RCX8" s="2"/>
      <c r="RCY8" s="2"/>
      <c r="RCZ8" s="2"/>
      <c r="RDA8" s="2"/>
      <c r="RDB8" s="2"/>
      <c r="RDC8" s="2"/>
      <c r="RDD8" s="2"/>
      <c r="RDE8" s="2"/>
      <c r="RDF8" s="2"/>
      <c r="RDG8" s="2"/>
      <c r="RDH8" s="2"/>
      <c r="RDI8" s="2"/>
      <c r="RDJ8" s="2"/>
      <c r="RDK8" s="2"/>
      <c r="RDL8" s="2"/>
      <c r="RDM8" s="2"/>
      <c r="RDN8" s="2"/>
      <c r="RDO8" s="2"/>
      <c r="RDP8" s="2"/>
      <c r="RDQ8" s="2"/>
      <c r="RDR8" s="2"/>
      <c r="RDS8" s="2"/>
      <c r="RDT8" s="2"/>
      <c r="RDU8" s="2"/>
      <c r="RDV8" s="2"/>
      <c r="RDW8" s="2"/>
      <c r="RDX8" s="2"/>
      <c r="RDY8" s="2"/>
      <c r="RDZ8" s="2"/>
      <c r="REA8" s="2"/>
      <c r="REB8" s="2"/>
      <c r="REC8" s="2"/>
      <c r="RED8" s="2"/>
      <c r="REE8" s="2"/>
      <c r="REF8" s="2"/>
      <c r="REG8" s="2"/>
      <c r="REH8" s="2"/>
      <c r="REI8" s="2"/>
      <c r="REJ8" s="2"/>
      <c r="REK8" s="2"/>
      <c r="REL8" s="2"/>
      <c r="REM8" s="2"/>
      <c r="REN8" s="2"/>
      <c r="REO8" s="2"/>
      <c r="REP8" s="2"/>
      <c r="REQ8" s="2"/>
      <c r="RER8" s="2"/>
      <c r="RES8" s="2"/>
      <c r="RET8" s="2"/>
      <c r="REU8" s="2"/>
      <c r="REV8" s="2"/>
      <c r="REW8" s="2"/>
      <c r="REX8" s="2"/>
      <c r="REY8" s="2"/>
      <c r="REZ8" s="2"/>
      <c r="RFA8" s="2"/>
      <c r="RFB8" s="2"/>
      <c r="RFC8" s="2"/>
      <c r="RFD8" s="2"/>
      <c r="RFE8" s="2"/>
      <c r="RFF8" s="2"/>
      <c r="RFG8" s="2"/>
      <c r="RFH8" s="2"/>
      <c r="RFI8" s="2"/>
      <c r="RFJ8" s="2"/>
      <c r="RFK8" s="2"/>
      <c r="RFL8" s="2"/>
      <c r="RFM8" s="2"/>
      <c r="RFN8" s="2"/>
      <c r="RFO8" s="2"/>
      <c r="RFP8" s="2"/>
      <c r="RFQ8" s="2"/>
      <c r="RFR8" s="2"/>
      <c r="RFS8" s="2"/>
      <c r="RFT8" s="2"/>
      <c r="RFU8" s="2"/>
      <c r="RFV8" s="2"/>
      <c r="RFW8" s="2"/>
      <c r="RFX8" s="2"/>
      <c r="RFY8" s="2"/>
      <c r="RFZ8" s="2"/>
      <c r="RGA8" s="2"/>
      <c r="RGB8" s="2"/>
      <c r="RGC8" s="2"/>
      <c r="RGD8" s="2"/>
      <c r="RGE8" s="2"/>
      <c r="RGF8" s="2"/>
      <c r="RGG8" s="2"/>
      <c r="RGH8" s="2"/>
      <c r="RGI8" s="2"/>
      <c r="RGJ8" s="2"/>
      <c r="RGK8" s="2"/>
      <c r="RGL8" s="2"/>
      <c r="RGM8" s="2"/>
      <c r="RGN8" s="2"/>
      <c r="RGO8" s="2"/>
      <c r="RGP8" s="2"/>
      <c r="RGQ8" s="2"/>
      <c r="RGR8" s="2"/>
      <c r="RGS8" s="2"/>
      <c r="RGT8" s="2"/>
      <c r="RGU8" s="2"/>
      <c r="RGV8" s="2"/>
      <c r="RGW8" s="2"/>
      <c r="RGX8" s="2"/>
      <c r="RGY8" s="2"/>
      <c r="RGZ8" s="2"/>
      <c r="RHA8" s="2"/>
      <c r="RHB8" s="2"/>
      <c r="RHC8" s="2"/>
      <c r="RHD8" s="2"/>
      <c r="RHE8" s="2"/>
      <c r="RHF8" s="2"/>
      <c r="RHG8" s="2"/>
      <c r="RHH8" s="2"/>
      <c r="RHI8" s="2"/>
      <c r="RHJ8" s="2"/>
      <c r="RHK8" s="2"/>
      <c r="RHL8" s="2"/>
      <c r="RHM8" s="2"/>
      <c r="RHN8" s="2"/>
      <c r="RHO8" s="2"/>
      <c r="RHP8" s="2"/>
      <c r="RHQ8" s="2"/>
      <c r="RHR8" s="2"/>
      <c r="RHS8" s="2"/>
      <c r="RHT8" s="2"/>
      <c r="RHU8" s="2"/>
      <c r="RHV8" s="2"/>
      <c r="RHW8" s="2"/>
      <c r="RHX8" s="2"/>
      <c r="RHY8" s="2"/>
      <c r="RHZ8" s="2"/>
      <c r="RIA8" s="2"/>
      <c r="RIB8" s="2"/>
      <c r="RIC8" s="2"/>
      <c r="RID8" s="2"/>
      <c r="RIE8" s="2"/>
      <c r="RIF8" s="2"/>
      <c r="RIG8" s="2"/>
      <c r="RIH8" s="2"/>
      <c r="RII8" s="2"/>
      <c r="RIJ8" s="2"/>
      <c r="RIK8" s="2"/>
      <c r="RIL8" s="2"/>
      <c r="RIM8" s="2"/>
      <c r="RIN8" s="2"/>
      <c r="RIO8" s="2"/>
      <c r="RIP8" s="2"/>
      <c r="RIQ8" s="2"/>
      <c r="RIR8" s="2"/>
      <c r="RIS8" s="2"/>
      <c r="RIT8" s="2"/>
      <c r="RIU8" s="2"/>
      <c r="RIV8" s="2"/>
      <c r="RIW8" s="2"/>
      <c r="RIX8" s="2"/>
      <c r="RIY8" s="2"/>
      <c r="RIZ8" s="2"/>
      <c r="RJA8" s="2"/>
      <c r="RJB8" s="2"/>
      <c r="RJC8" s="2"/>
      <c r="RJD8" s="2"/>
      <c r="RJE8" s="2"/>
      <c r="RJF8" s="2"/>
      <c r="RJG8" s="2"/>
      <c r="RJH8" s="2"/>
      <c r="RJI8" s="2"/>
      <c r="RJJ8" s="2"/>
      <c r="RJK8" s="2"/>
      <c r="RJL8" s="2"/>
      <c r="RJM8" s="2"/>
      <c r="RJN8" s="2"/>
      <c r="RJO8" s="2"/>
      <c r="RJP8" s="2"/>
      <c r="RJQ8" s="2"/>
      <c r="RJR8" s="2"/>
      <c r="RJS8" s="2"/>
      <c r="RJT8" s="2"/>
      <c r="RJU8" s="2"/>
      <c r="RJV8" s="2"/>
      <c r="RJW8" s="2"/>
      <c r="RJX8" s="2"/>
      <c r="RJY8" s="2"/>
      <c r="RJZ8" s="2"/>
      <c r="RKA8" s="2"/>
      <c r="RKB8" s="2"/>
      <c r="RKC8" s="2"/>
      <c r="RKD8" s="2"/>
      <c r="RKE8" s="2"/>
      <c r="RKF8" s="2"/>
      <c r="RKG8" s="2"/>
      <c r="RKH8" s="2"/>
      <c r="RKI8" s="2"/>
      <c r="RKJ8" s="2"/>
      <c r="RKK8" s="2"/>
      <c r="RKL8" s="2"/>
      <c r="RKM8" s="2"/>
      <c r="RKN8" s="2"/>
      <c r="RKO8" s="2"/>
      <c r="RKP8" s="2"/>
      <c r="RKQ8" s="2"/>
      <c r="RKR8" s="2"/>
      <c r="RKS8" s="2"/>
      <c r="RKT8" s="2"/>
      <c r="RKU8" s="2"/>
      <c r="RKV8" s="2"/>
      <c r="RKW8" s="2"/>
      <c r="RKX8" s="2"/>
      <c r="RKY8" s="2"/>
      <c r="RKZ8" s="2"/>
      <c r="RLA8" s="2"/>
      <c r="RLB8" s="2"/>
      <c r="RLC8" s="2"/>
      <c r="RLD8" s="2"/>
      <c r="RLE8" s="2"/>
      <c r="RLF8" s="2"/>
      <c r="RLG8" s="2"/>
      <c r="RLH8" s="2"/>
      <c r="RLI8" s="2"/>
      <c r="RLJ8" s="2"/>
      <c r="RLK8" s="2"/>
      <c r="RLL8" s="2"/>
      <c r="RLM8" s="2"/>
      <c r="RLN8" s="2"/>
      <c r="RLO8" s="2"/>
      <c r="RLP8" s="2"/>
      <c r="RLQ8" s="2"/>
      <c r="RLR8" s="2"/>
      <c r="RLS8" s="2"/>
      <c r="RLT8" s="2"/>
      <c r="RLU8" s="2"/>
      <c r="RLV8" s="2"/>
      <c r="RLW8" s="2"/>
      <c r="RLX8" s="2"/>
      <c r="RLY8" s="2"/>
      <c r="RLZ8" s="2"/>
      <c r="RMA8" s="2"/>
      <c r="RMB8" s="2"/>
      <c r="RMC8" s="2"/>
      <c r="RMD8" s="2"/>
      <c r="RME8" s="2"/>
      <c r="RMF8" s="2"/>
      <c r="RMG8" s="2"/>
      <c r="RMH8" s="2"/>
      <c r="RMI8" s="2"/>
      <c r="RMJ8" s="2"/>
      <c r="RMK8" s="2"/>
      <c r="RML8" s="2"/>
      <c r="RMM8" s="2"/>
      <c r="RMN8" s="2"/>
      <c r="RMO8" s="2"/>
      <c r="RMP8" s="2"/>
      <c r="RMQ8" s="2"/>
      <c r="RMR8" s="2"/>
      <c r="RMS8" s="2"/>
      <c r="RMT8" s="2"/>
      <c r="RMU8" s="2"/>
      <c r="RMV8" s="2"/>
      <c r="RMW8" s="2"/>
      <c r="RMX8" s="2"/>
      <c r="RMY8" s="2"/>
      <c r="RMZ8" s="2"/>
      <c r="RNA8" s="2"/>
      <c r="RNB8" s="2"/>
      <c r="RNC8" s="2"/>
      <c r="RND8" s="2"/>
      <c r="RNE8" s="2"/>
      <c r="RNF8" s="2"/>
      <c r="RNG8" s="2"/>
      <c r="RNH8" s="2"/>
      <c r="RNI8" s="2"/>
      <c r="RNJ8" s="2"/>
      <c r="RNK8" s="2"/>
      <c r="RNL8" s="2"/>
      <c r="RNM8" s="2"/>
      <c r="RNN8" s="2"/>
      <c r="RNO8" s="2"/>
      <c r="RNP8" s="2"/>
      <c r="RNQ8" s="2"/>
      <c r="RNR8" s="2"/>
      <c r="RNS8" s="2"/>
      <c r="RNT8" s="2"/>
      <c r="RNU8" s="2"/>
      <c r="RNV8" s="2"/>
      <c r="RNW8" s="2"/>
      <c r="RNX8" s="2"/>
      <c r="RNY8" s="2"/>
      <c r="RNZ8" s="2"/>
      <c r="ROA8" s="2"/>
      <c r="ROB8" s="2"/>
      <c r="ROC8" s="2"/>
      <c r="ROD8" s="2"/>
      <c r="ROE8" s="2"/>
      <c r="ROF8" s="2"/>
      <c r="ROG8" s="2"/>
      <c r="ROH8" s="2"/>
      <c r="ROI8" s="2"/>
      <c r="ROJ8" s="2"/>
      <c r="ROK8" s="2"/>
      <c r="ROL8" s="2"/>
      <c r="ROM8" s="2"/>
      <c r="RON8" s="2"/>
      <c r="ROO8" s="2"/>
      <c r="ROP8" s="2"/>
      <c r="ROQ8" s="2"/>
      <c r="ROR8" s="2"/>
      <c r="ROS8" s="2"/>
      <c r="ROT8" s="2"/>
      <c r="ROU8" s="2"/>
      <c r="ROV8" s="2"/>
      <c r="ROW8" s="2"/>
      <c r="ROX8" s="2"/>
      <c r="ROY8" s="2"/>
      <c r="ROZ8" s="2"/>
      <c r="RPA8" s="2"/>
      <c r="RPB8" s="2"/>
      <c r="RPC8" s="2"/>
      <c r="RPD8" s="2"/>
      <c r="RPE8" s="2"/>
      <c r="RPF8" s="2"/>
      <c r="RPG8" s="2"/>
      <c r="RPH8" s="2"/>
      <c r="RPI8" s="2"/>
      <c r="RPJ8" s="2"/>
      <c r="RPK8" s="2"/>
      <c r="RPL8" s="2"/>
      <c r="RPM8" s="2"/>
      <c r="RPN8" s="2"/>
      <c r="RPO8" s="2"/>
      <c r="RPP8" s="2"/>
      <c r="RPQ8" s="2"/>
      <c r="RPR8" s="2"/>
      <c r="RPS8" s="2"/>
      <c r="RPT8" s="2"/>
      <c r="RPU8" s="2"/>
      <c r="RPV8" s="2"/>
      <c r="RPW8" s="2"/>
      <c r="RPX8" s="2"/>
      <c r="RPY8" s="2"/>
      <c r="RPZ8" s="2"/>
      <c r="RQA8" s="2"/>
      <c r="RQB8" s="2"/>
      <c r="RQC8" s="2"/>
      <c r="RQD8" s="2"/>
      <c r="RQE8" s="2"/>
      <c r="RQF8" s="2"/>
      <c r="RQG8" s="2"/>
      <c r="RQH8" s="2"/>
      <c r="RQI8" s="2"/>
      <c r="RQJ8" s="2"/>
      <c r="RQK8" s="2"/>
      <c r="RQL8" s="2"/>
      <c r="RQM8" s="2"/>
      <c r="RQN8" s="2"/>
      <c r="RQO8" s="2"/>
      <c r="RQP8" s="2"/>
      <c r="RQQ8" s="2"/>
      <c r="RQR8" s="2"/>
      <c r="RQS8" s="2"/>
      <c r="RQT8" s="2"/>
      <c r="RQU8" s="2"/>
      <c r="RQV8" s="2"/>
      <c r="RQW8" s="2"/>
      <c r="RQX8" s="2"/>
      <c r="RQY8" s="2"/>
      <c r="RQZ8" s="2"/>
      <c r="RRA8" s="2"/>
      <c r="RRB8" s="2"/>
      <c r="RRC8" s="2"/>
      <c r="RRD8" s="2"/>
      <c r="RRE8" s="2"/>
      <c r="RRF8" s="2"/>
      <c r="RRG8" s="2"/>
      <c r="RRH8" s="2"/>
      <c r="RRI8" s="2"/>
      <c r="RRJ8" s="2"/>
      <c r="RRK8" s="2"/>
      <c r="RRL8" s="2"/>
      <c r="RRM8" s="2"/>
      <c r="RRN8" s="2"/>
      <c r="RRO8" s="2"/>
      <c r="RRP8" s="2"/>
      <c r="RRQ8" s="2"/>
      <c r="RRR8" s="2"/>
      <c r="RRS8" s="2"/>
      <c r="RRT8" s="2"/>
      <c r="RRU8" s="2"/>
      <c r="RRV8" s="2"/>
      <c r="RRW8" s="2"/>
      <c r="RRX8" s="2"/>
      <c r="RRY8" s="2"/>
      <c r="RRZ8" s="2"/>
      <c r="RSA8" s="2"/>
      <c r="RSB8" s="2"/>
      <c r="RSC8" s="2"/>
      <c r="RSD8" s="2"/>
      <c r="RSE8" s="2"/>
      <c r="RSF8" s="2"/>
      <c r="RSG8" s="2"/>
      <c r="RSH8" s="2"/>
      <c r="RSI8" s="2"/>
      <c r="RSJ8" s="2"/>
      <c r="RSK8" s="2"/>
      <c r="RSL8" s="2"/>
      <c r="RSM8" s="2"/>
      <c r="RSN8" s="2"/>
      <c r="RSO8" s="2"/>
      <c r="RSP8" s="2"/>
      <c r="RSQ8" s="2"/>
      <c r="RSR8" s="2"/>
      <c r="RSS8" s="2"/>
      <c r="RST8" s="2"/>
      <c r="RSU8" s="2"/>
      <c r="RSV8" s="2"/>
      <c r="RSW8" s="2"/>
      <c r="RSX8" s="2"/>
      <c r="RSY8" s="2"/>
      <c r="RSZ8" s="2"/>
      <c r="RTA8" s="2"/>
      <c r="RTB8" s="2"/>
      <c r="RTC8" s="2"/>
      <c r="RTD8" s="2"/>
      <c r="RTE8" s="2"/>
      <c r="RTF8" s="2"/>
      <c r="RTG8" s="2"/>
      <c r="RTH8" s="2"/>
      <c r="RTI8" s="2"/>
      <c r="RTJ8" s="2"/>
      <c r="RTK8" s="2"/>
      <c r="RTL8" s="2"/>
      <c r="RTM8" s="2"/>
      <c r="RTN8" s="2"/>
      <c r="RTO8" s="2"/>
      <c r="RTP8" s="2"/>
      <c r="RTQ8" s="2"/>
      <c r="RTR8" s="2"/>
      <c r="RTS8" s="2"/>
      <c r="RTT8" s="2"/>
      <c r="RTU8" s="2"/>
      <c r="RTV8" s="2"/>
      <c r="RTW8" s="2"/>
      <c r="RTX8" s="2"/>
      <c r="RTY8" s="2"/>
      <c r="RTZ8" s="2"/>
      <c r="RUA8" s="2"/>
      <c r="RUB8" s="2"/>
      <c r="RUC8" s="2"/>
      <c r="RUD8" s="2"/>
      <c r="RUE8" s="2"/>
      <c r="RUF8" s="2"/>
      <c r="RUG8" s="2"/>
      <c r="RUH8" s="2"/>
      <c r="RUI8" s="2"/>
      <c r="RUJ8" s="2"/>
      <c r="RUK8" s="2"/>
      <c r="RUL8" s="2"/>
      <c r="RUM8" s="2"/>
      <c r="RUN8" s="2"/>
      <c r="RUO8" s="2"/>
      <c r="RUP8" s="2"/>
      <c r="RUQ8" s="2"/>
      <c r="RUR8" s="2"/>
      <c r="RUS8" s="2"/>
      <c r="RUT8" s="2"/>
      <c r="RUU8" s="2"/>
      <c r="RUV8" s="2"/>
      <c r="RUW8" s="2"/>
      <c r="RUX8" s="2"/>
      <c r="RUY8" s="2"/>
      <c r="RUZ8" s="2"/>
      <c r="RVA8" s="2"/>
      <c r="RVB8" s="2"/>
      <c r="RVC8" s="2"/>
      <c r="RVD8" s="2"/>
      <c r="RVE8" s="2"/>
      <c r="RVF8" s="2"/>
      <c r="RVG8" s="2"/>
      <c r="RVH8" s="2"/>
      <c r="RVI8" s="2"/>
      <c r="RVJ8" s="2"/>
      <c r="RVK8" s="2"/>
      <c r="RVL8" s="2"/>
      <c r="RVM8" s="2"/>
      <c r="RVN8" s="2"/>
      <c r="RVO8" s="2"/>
      <c r="RVP8" s="2"/>
      <c r="RVQ8" s="2"/>
      <c r="RVR8" s="2"/>
      <c r="RVS8" s="2"/>
      <c r="RVT8" s="2"/>
      <c r="RVU8" s="2"/>
      <c r="RVV8" s="2"/>
      <c r="RVW8" s="2"/>
      <c r="RVX8" s="2"/>
      <c r="RVY8" s="2"/>
      <c r="RVZ8" s="2"/>
      <c r="RWA8" s="2"/>
      <c r="RWB8" s="2"/>
      <c r="RWC8" s="2"/>
      <c r="RWD8" s="2"/>
      <c r="RWE8" s="2"/>
      <c r="RWF8" s="2"/>
      <c r="RWG8" s="2"/>
      <c r="RWH8" s="2"/>
      <c r="RWI8" s="2"/>
      <c r="RWJ8" s="2"/>
      <c r="RWK8" s="2"/>
      <c r="RWL8" s="2"/>
      <c r="RWM8" s="2"/>
      <c r="RWN8" s="2"/>
      <c r="RWO8" s="2"/>
      <c r="RWP8" s="2"/>
      <c r="RWQ8" s="2"/>
      <c r="RWR8" s="2"/>
      <c r="RWS8" s="2"/>
      <c r="RWT8" s="2"/>
      <c r="RWU8" s="2"/>
      <c r="RWV8" s="2"/>
      <c r="RWW8" s="2"/>
      <c r="RWX8" s="2"/>
      <c r="RWY8" s="2"/>
      <c r="RWZ8" s="2"/>
      <c r="RXA8" s="2"/>
      <c r="RXB8" s="2"/>
      <c r="RXC8" s="2"/>
      <c r="RXD8" s="2"/>
      <c r="RXE8" s="2"/>
      <c r="RXF8" s="2"/>
      <c r="RXG8" s="2"/>
      <c r="RXH8" s="2"/>
      <c r="RXI8" s="2"/>
      <c r="RXJ8" s="2"/>
      <c r="RXK8" s="2"/>
      <c r="RXL8" s="2"/>
      <c r="RXM8" s="2"/>
      <c r="RXN8" s="2"/>
      <c r="RXO8" s="2"/>
      <c r="RXP8" s="2"/>
      <c r="RXQ8" s="2"/>
      <c r="RXR8" s="2"/>
      <c r="RXS8" s="2"/>
      <c r="RXT8" s="2"/>
      <c r="RXU8" s="2"/>
      <c r="RXV8" s="2"/>
      <c r="RXW8" s="2"/>
      <c r="RXX8" s="2"/>
      <c r="RXY8" s="2"/>
      <c r="RXZ8" s="2"/>
      <c r="RYA8" s="2"/>
      <c r="RYB8" s="2"/>
      <c r="RYC8" s="2"/>
      <c r="RYD8" s="2"/>
      <c r="RYE8" s="2"/>
      <c r="RYF8" s="2"/>
      <c r="RYG8" s="2"/>
      <c r="RYH8" s="2"/>
      <c r="RYI8" s="2"/>
      <c r="RYJ8" s="2"/>
      <c r="RYK8" s="2"/>
      <c r="RYL8" s="2"/>
      <c r="RYM8" s="2"/>
      <c r="RYN8" s="2"/>
      <c r="RYO8" s="2"/>
      <c r="RYP8" s="2"/>
      <c r="RYQ8" s="2"/>
      <c r="RYR8" s="2"/>
      <c r="RYS8" s="2"/>
      <c r="RYT8" s="2"/>
      <c r="RYU8" s="2"/>
      <c r="RYV8" s="2"/>
      <c r="RYW8" s="2"/>
      <c r="RYX8" s="2"/>
      <c r="RYY8" s="2"/>
      <c r="RYZ8" s="2"/>
      <c r="RZA8" s="2"/>
      <c r="RZB8" s="2"/>
      <c r="RZC8" s="2"/>
      <c r="RZD8" s="2"/>
      <c r="RZE8" s="2"/>
      <c r="RZF8" s="2"/>
      <c r="RZG8" s="2"/>
      <c r="RZH8" s="2"/>
      <c r="RZI8" s="2"/>
      <c r="RZJ8" s="2"/>
      <c r="RZK8" s="2"/>
      <c r="RZL8" s="2"/>
      <c r="RZM8" s="2"/>
      <c r="RZN8" s="2"/>
      <c r="RZO8" s="2"/>
      <c r="RZP8" s="2"/>
      <c r="RZQ8" s="2"/>
      <c r="RZR8" s="2"/>
      <c r="RZS8" s="2"/>
      <c r="RZT8" s="2"/>
      <c r="RZU8" s="2"/>
      <c r="RZV8" s="2"/>
      <c r="RZW8" s="2"/>
      <c r="RZX8" s="2"/>
      <c r="RZY8" s="2"/>
      <c r="RZZ8" s="2"/>
      <c r="SAA8" s="2"/>
      <c r="SAB8" s="2"/>
      <c r="SAC8" s="2"/>
      <c r="SAD8" s="2"/>
      <c r="SAE8" s="2"/>
      <c r="SAF8" s="2"/>
      <c r="SAG8" s="2"/>
      <c r="SAH8" s="2"/>
      <c r="SAI8" s="2"/>
      <c r="SAJ8" s="2"/>
      <c r="SAK8" s="2"/>
      <c r="SAL8" s="2"/>
      <c r="SAM8" s="2"/>
      <c r="SAN8" s="2"/>
      <c r="SAO8" s="2"/>
      <c r="SAP8" s="2"/>
      <c r="SAQ8" s="2"/>
      <c r="SAR8" s="2"/>
      <c r="SAS8" s="2"/>
      <c r="SAT8" s="2"/>
      <c r="SAU8" s="2"/>
      <c r="SAV8" s="2"/>
      <c r="SAW8" s="2"/>
      <c r="SAX8" s="2"/>
      <c r="SAY8" s="2"/>
      <c r="SAZ8" s="2"/>
      <c r="SBA8" s="2"/>
      <c r="SBB8" s="2"/>
      <c r="SBC8" s="2"/>
      <c r="SBD8" s="2"/>
      <c r="SBE8" s="2"/>
      <c r="SBF8" s="2"/>
      <c r="SBG8" s="2"/>
      <c r="SBH8" s="2"/>
      <c r="SBI8" s="2"/>
      <c r="SBJ8" s="2"/>
      <c r="SBK8" s="2"/>
      <c r="SBL8" s="2"/>
      <c r="SBM8" s="2"/>
      <c r="SBN8" s="2"/>
      <c r="SBO8" s="2"/>
      <c r="SBP8" s="2"/>
      <c r="SBQ8" s="2"/>
      <c r="SBR8" s="2"/>
      <c r="SBS8" s="2"/>
      <c r="SBT8" s="2"/>
      <c r="SBU8" s="2"/>
      <c r="SBV8" s="2"/>
      <c r="SBW8" s="2"/>
      <c r="SBX8" s="2"/>
      <c r="SBY8" s="2"/>
      <c r="SBZ8" s="2"/>
      <c r="SCA8" s="2"/>
      <c r="SCB8" s="2"/>
      <c r="SCC8" s="2"/>
      <c r="SCD8" s="2"/>
      <c r="SCE8" s="2"/>
      <c r="SCF8" s="2"/>
      <c r="SCG8" s="2"/>
      <c r="SCH8" s="2"/>
      <c r="SCI8" s="2"/>
      <c r="SCJ8" s="2"/>
      <c r="SCK8" s="2"/>
      <c r="SCL8" s="2"/>
      <c r="SCM8" s="2"/>
      <c r="SCN8" s="2"/>
      <c r="SCO8" s="2"/>
      <c r="SCP8" s="2"/>
      <c r="SCQ8" s="2"/>
      <c r="SCR8" s="2"/>
      <c r="SCS8" s="2"/>
      <c r="SCT8" s="2"/>
      <c r="SCU8" s="2"/>
      <c r="SCV8" s="2"/>
      <c r="SCW8" s="2"/>
      <c r="SCX8" s="2"/>
      <c r="SCY8" s="2"/>
      <c r="SCZ8" s="2"/>
      <c r="SDA8" s="2"/>
      <c r="SDB8" s="2"/>
      <c r="SDC8" s="2"/>
      <c r="SDD8" s="2"/>
      <c r="SDE8" s="2"/>
      <c r="SDF8" s="2"/>
      <c r="SDG8" s="2"/>
      <c r="SDH8" s="2"/>
      <c r="SDI8" s="2"/>
      <c r="SDJ8" s="2"/>
      <c r="SDK8" s="2"/>
      <c r="SDL8" s="2"/>
      <c r="SDM8" s="2"/>
      <c r="SDN8" s="2"/>
      <c r="SDO8" s="2"/>
      <c r="SDP8" s="2"/>
      <c r="SDQ8" s="2"/>
      <c r="SDR8" s="2"/>
      <c r="SDS8" s="2"/>
      <c r="SDT8" s="2"/>
      <c r="SDU8" s="2"/>
      <c r="SDV8" s="2"/>
      <c r="SDW8" s="2"/>
      <c r="SDX8" s="2"/>
      <c r="SDY8" s="2"/>
      <c r="SDZ8" s="2"/>
      <c r="SEA8" s="2"/>
      <c r="SEB8" s="2"/>
      <c r="SEC8" s="2"/>
      <c r="SED8" s="2"/>
      <c r="SEE8" s="2"/>
      <c r="SEF8" s="2"/>
      <c r="SEG8" s="2"/>
      <c r="SEH8" s="2"/>
      <c r="SEI8" s="2"/>
      <c r="SEJ8" s="2"/>
      <c r="SEK8" s="2"/>
      <c r="SEL8" s="2"/>
      <c r="SEM8" s="2"/>
      <c r="SEN8" s="2"/>
      <c r="SEO8" s="2"/>
      <c r="SEP8" s="2"/>
      <c r="SEQ8" s="2"/>
      <c r="SER8" s="2"/>
      <c r="SES8" s="2"/>
      <c r="SET8" s="2"/>
      <c r="SEU8" s="2"/>
      <c r="SEV8" s="2"/>
      <c r="SEW8" s="2"/>
      <c r="SEX8" s="2"/>
      <c r="SEY8" s="2"/>
      <c r="SEZ8" s="2"/>
      <c r="SFA8" s="2"/>
      <c r="SFB8" s="2"/>
      <c r="SFC8" s="2"/>
      <c r="SFD8" s="2"/>
      <c r="SFE8" s="2"/>
      <c r="SFF8" s="2"/>
      <c r="SFG8" s="2"/>
      <c r="SFH8" s="2"/>
      <c r="SFI8" s="2"/>
      <c r="SFJ8" s="2"/>
      <c r="SFK8" s="2"/>
      <c r="SFL8" s="2"/>
      <c r="SFM8" s="2"/>
      <c r="SFN8" s="2"/>
      <c r="SFO8" s="2"/>
      <c r="SFP8" s="2"/>
      <c r="SFQ8" s="2"/>
      <c r="SFR8" s="2"/>
      <c r="SFS8" s="2"/>
      <c r="SFT8" s="2"/>
      <c r="SFU8" s="2"/>
      <c r="SFV8" s="2"/>
      <c r="SFW8" s="2"/>
      <c r="SFX8" s="2"/>
      <c r="SFY8" s="2"/>
      <c r="SFZ8" s="2"/>
      <c r="SGA8" s="2"/>
      <c r="SGB8" s="2"/>
      <c r="SGC8" s="2"/>
      <c r="SGD8" s="2"/>
      <c r="SGE8" s="2"/>
      <c r="SGF8" s="2"/>
      <c r="SGG8" s="2"/>
      <c r="SGH8" s="2"/>
      <c r="SGI8" s="2"/>
      <c r="SGJ8" s="2"/>
      <c r="SGK8" s="2"/>
      <c r="SGL8" s="2"/>
      <c r="SGM8" s="2"/>
      <c r="SGN8" s="2"/>
      <c r="SGO8" s="2"/>
      <c r="SGP8" s="2"/>
      <c r="SGQ8" s="2"/>
      <c r="SGR8" s="2"/>
      <c r="SGS8" s="2"/>
      <c r="SGT8" s="2"/>
      <c r="SGU8" s="2"/>
      <c r="SGV8" s="2"/>
      <c r="SGW8" s="2"/>
      <c r="SGX8" s="2"/>
      <c r="SGY8" s="2"/>
      <c r="SGZ8" s="2"/>
      <c r="SHA8" s="2"/>
      <c r="SHB8" s="2"/>
      <c r="SHC8" s="2"/>
      <c r="SHD8" s="2"/>
      <c r="SHE8" s="2"/>
      <c r="SHF8" s="2"/>
      <c r="SHG8" s="2"/>
      <c r="SHH8" s="2"/>
      <c r="SHI8" s="2"/>
      <c r="SHJ8" s="2"/>
      <c r="SHK8" s="2"/>
      <c r="SHL8" s="2"/>
      <c r="SHM8" s="2"/>
      <c r="SHN8" s="2"/>
      <c r="SHO8" s="2"/>
      <c r="SHP8" s="2"/>
      <c r="SHQ8" s="2"/>
      <c r="SHR8" s="2"/>
      <c r="SHS8" s="2"/>
      <c r="SHT8" s="2"/>
      <c r="SHU8" s="2"/>
      <c r="SHV8" s="2"/>
      <c r="SHW8" s="2"/>
      <c r="SHX8" s="2"/>
      <c r="SHY8" s="2"/>
      <c r="SHZ8" s="2"/>
      <c r="SIA8" s="2"/>
      <c r="SIB8" s="2"/>
      <c r="SIC8" s="2"/>
      <c r="SID8" s="2"/>
      <c r="SIE8" s="2"/>
      <c r="SIF8" s="2"/>
      <c r="SIG8" s="2"/>
      <c r="SIH8" s="2"/>
      <c r="SII8" s="2"/>
      <c r="SIJ8" s="2"/>
      <c r="SIK8" s="2"/>
      <c r="SIL8" s="2"/>
      <c r="SIM8" s="2"/>
      <c r="SIN8" s="2"/>
      <c r="SIO8" s="2"/>
      <c r="SIP8" s="2"/>
      <c r="SIQ8" s="2"/>
      <c r="SIR8" s="2"/>
      <c r="SIS8" s="2"/>
      <c r="SIT8" s="2"/>
      <c r="SIU8" s="2"/>
      <c r="SIV8" s="2"/>
      <c r="SIW8" s="2"/>
      <c r="SIX8" s="2"/>
      <c r="SIY8" s="2"/>
      <c r="SIZ8" s="2"/>
      <c r="SJA8" s="2"/>
      <c r="SJB8" s="2"/>
      <c r="SJC8" s="2"/>
      <c r="SJD8" s="2"/>
      <c r="SJE8" s="2"/>
      <c r="SJF8" s="2"/>
      <c r="SJG8" s="2"/>
      <c r="SJH8" s="2"/>
      <c r="SJI8" s="2"/>
      <c r="SJJ8" s="2"/>
      <c r="SJK8" s="2"/>
      <c r="SJL8" s="2"/>
      <c r="SJM8" s="2"/>
      <c r="SJN8" s="2"/>
      <c r="SJO8" s="2"/>
      <c r="SJP8" s="2"/>
      <c r="SJQ8" s="2"/>
      <c r="SJR8" s="2"/>
      <c r="SJS8" s="2"/>
      <c r="SJT8" s="2"/>
      <c r="SJU8" s="2"/>
      <c r="SJV8" s="2"/>
      <c r="SJW8" s="2"/>
      <c r="SJX8" s="2"/>
      <c r="SJY8" s="2"/>
      <c r="SJZ8" s="2"/>
      <c r="SKA8" s="2"/>
      <c r="SKB8" s="2"/>
      <c r="SKC8" s="2"/>
      <c r="SKD8" s="2"/>
      <c r="SKE8" s="2"/>
      <c r="SKF8" s="2"/>
      <c r="SKG8" s="2"/>
      <c r="SKH8" s="2"/>
      <c r="SKI8" s="2"/>
      <c r="SKJ8" s="2"/>
      <c r="SKK8" s="2"/>
      <c r="SKL8" s="2"/>
      <c r="SKM8" s="2"/>
      <c r="SKN8" s="2"/>
      <c r="SKO8" s="2"/>
      <c r="SKP8" s="2"/>
      <c r="SKQ8" s="2"/>
      <c r="SKR8" s="2"/>
      <c r="SKS8" s="2"/>
      <c r="SKT8" s="2"/>
      <c r="SKU8" s="2"/>
      <c r="SKV8" s="2"/>
      <c r="SKW8" s="2"/>
      <c r="SKX8" s="2"/>
      <c r="SKY8" s="2"/>
      <c r="SKZ8" s="2"/>
      <c r="SLA8" s="2"/>
      <c r="SLB8" s="2"/>
      <c r="SLC8" s="2"/>
      <c r="SLD8" s="2"/>
      <c r="SLE8" s="2"/>
      <c r="SLF8" s="2"/>
      <c r="SLG8" s="2"/>
      <c r="SLH8" s="2"/>
      <c r="SLI8" s="2"/>
      <c r="SLJ8" s="2"/>
      <c r="SLK8" s="2"/>
      <c r="SLL8" s="2"/>
      <c r="SLM8" s="2"/>
      <c r="SLN8" s="2"/>
      <c r="SLO8" s="2"/>
      <c r="SLP8" s="2"/>
      <c r="SLQ8" s="2"/>
      <c r="SLR8" s="2"/>
      <c r="SLS8" s="2"/>
      <c r="SLT8" s="2"/>
      <c r="SLU8" s="2"/>
      <c r="SLV8" s="2"/>
      <c r="SLW8" s="2"/>
      <c r="SLX8" s="2"/>
      <c r="SLY8" s="2"/>
      <c r="SLZ8" s="2"/>
      <c r="SMA8" s="2"/>
      <c r="SMB8" s="2"/>
      <c r="SMC8" s="2"/>
      <c r="SMD8" s="2"/>
      <c r="SME8" s="2"/>
      <c r="SMF8" s="2"/>
      <c r="SMG8" s="2"/>
      <c r="SMH8" s="2"/>
      <c r="SMI8" s="2"/>
      <c r="SMJ8" s="2"/>
      <c r="SMK8" s="2"/>
      <c r="SML8" s="2"/>
      <c r="SMM8" s="2"/>
      <c r="SMN8" s="2"/>
      <c r="SMO8" s="2"/>
      <c r="SMP8" s="2"/>
      <c r="SMQ8" s="2"/>
      <c r="SMR8" s="2"/>
      <c r="SMS8" s="2"/>
      <c r="SMT8" s="2"/>
      <c r="SMU8" s="2"/>
      <c r="SMV8" s="2"/>
      <c r="SMW8" s="2"/>
      <c r="SMX8" s="2"/>
      <c r="SMY8" s="2"/>
      <c r="SMZ8" s="2"/>
      <c r="SNA8" s="2"/>
      <c r="SNB8" s="2"/>
      <c r="SNC8" s="2"/>
      <c r="SND8" s="2"/>
      <c r="SNE8" s="2"/>
      <c r="SNF8" s="2"/>
      <c r="SNG8" s="2"/>
      <c r="SNH8" s="2"/>
      <c r="SNI8" s="2"/>
      <c r="SNJ8" s="2"/>
      <c r="SNK8" s="2"/>
      <c r="SNL8" s="2"/>
      <c r="SNM8" s="2"/>
      <c r="SNN8" s="2"/>
      <c r="SNO8" s="2"/>
      <c r="SNP8" s="2"/>
      <c r="SNQ8" s="2"/>
      <c r="SNR8" s="2"/>
      <c r="SNS8" s="2"/>
      <c r="SNT8" s="2"/>
      <c r="SNU8" s="2"/>
      <c r="SNV8" s="2"/>
      <c r="SNW8" s="2"/>
      <c r="SNX8" s="2"/>
      <c r="SNY8" s="2"/>
      <c r="SNZ8" s="2"/>
      <c r="SOA8" s="2"/>
      <c r="SOB8" s="2"/>
      <c r="SOC8" s="2"/>
      <c r="SOD8" s="2"/>
      <c r="SOE8" s="2"/>
      <c r="SOF8" s="2"/>
      <c r="SOG8" s="2"/>
      <c r="SOH8" s="2"/>
      <c r="SOI8" s="2"/>
      <c r="SOJ8" s="2"/>
      <c r="SOK8" s="2"/>
      <c r="SOL8" s="2"/>
      <c r="SOM8" s="2"/>
      <c r="SON8" s="2"/>
      <c r="SOO8" s="2"/>
      <c r="SOP8" s="2"/>
      <c r="SOQ8" s="2"/>
      <c r="SOR8" s="2"/>
      <c r="SOS8" s="2"/>
      <c r="SOT8" s="2"/>
      <c r="SOU8" s="2"/>
      <c r="SOV8" s="2"/>
      <c r="SOW8" s="2"/>
      <c r="SOX8" s="2"/>
      <c r="SOY8" s="2"/>
      <c r="SOZ8" s="2"/>
      <c r="SPA8" s="2"/>
      <c r="SPB8" s="2"/>
      <c r="SPC8" s="2"/>
      <c r="SPD8" s="2"/>
      <c r="SPE8" s="2"/>
      <c r="SPF8" s="2"/>
      <c r="SPG8" s="2"/>
      <c r="SPH8" s="2"/>
      <c r="SPI8" s="2"/>
      <c r="SPJ8" s="2"/>
      <c r="SPK8" s="2"/>
      <c r="SPL8" s="2"/>
      <c r="SPM8" s="2"/>
      <c r="SPN8" s="2"/>
      <c r="SPO8" s="2"/>
      <c r="SPP8" s="2"/>
      <c r="SPQ8" s="2"/>
      <c r="SPR8" s="2"/>
      <c r="SPS8" s="2"/>
      <c r="SPT8" s="2"/>
      <c r="SPU8" s="2"/>
      <c r="SPV8" s="2"/>
      <c r="SPW8" s="2"/>
      <c r="SPX8" s="2"/>
      <c r="SPY8" s="2"/>
      <c r="SPZ8" s="2"/>
      <c r="SQA8" s="2"/>
      <c r="SQB8" s="2"/>
      <c r="SQC8" s="2"/>
      <c r="SQD8" s="2"/>
      <c r="SQE8" s="2"/>
      <c r="SQF8" s="2"/>
      <c r="SQG8" s="2"/>
      <c r="SQH8" s="2"/>
      <c r="SQI8" s="2"/>
      <c r="SQJ8" s="2"/>
      <c r="SQK8" s="2"/>
      <c r="SQL8" s="2"/>
      <c r="SQM8" s="2"/>
      <c r="SQN8" s="2"/>
      <c r="SQO8" s="2"/>
      <c r="SQP8" s="2"/>
      <c r="SQQ8" s="2"/>
      <c r="SQR8" s="2"/>
      <c r="SQS8" s="2"/>
      <c r="SQT8" s="2"/>
      <c r="SQU8" s="2"/>
      <c r="SQV8" s="2"/>
      <c r="SQW8" s="2"/>
      <c r="SQX8" s="2"/>
      <c r="SQY8" s="2"/>
      <c r="SQZ8" s="2"/>
      <c r="SRA8" s="2"/>
      <c r="SRB8" s="2"/>
      <c r="SRC8" s="2"/>
      <c r="SRD8" s="2"/>
      <c r="SRE8" s="2"/>
      <c r="SRF8" s="2"/>
      <c r="SRG8" s="2"/>
      <c r="SRH8" s="2"/>
      <c r="SRI8" s="2"/>
      <c r="SRJ8" s="2"/>
      <c r="SRK8" s="2"/>
      <c r="SRL8" s="2"/>
      <c r="SRM8" s="2"/>
      <c r="SRN8" s="2"/>
      <c r="SRO8" s="2"/>
      <c r="SRP8" s="2"/>
      <c r="SRQ8" s="2"/>
      <c r="SRR8" s="2"/>
      <c r="SRS8" s="2"/>
      <c r="SRT8" s="2"/>
      <c r="SRU8" s="2"/>
      <c r="SRV8" s="2"/>
      <c r="SRW8" s="2"/>
      <c r="SRX8" s="2"/>
      <c r="SRY8" s="2"/>
      <c r="SRZ8" s="2"/>
      <c r="SSA8" s="2"/>
      <c r="SSB8" s="2"/>
      <c r="SSC8" s="2"/>
      <c r="SSD8" s="2"/>
      <c r="SSE8" s="2"/>
      <c r="SSF8" s="2"/>
      <c r="SSG8" s="2"/>
      <c r="SSH8" s="2"/>
      <c r="SSI8" s="2"/>
      <c r="SSJ8" s="2"/>
      <c r="SSK8" s="2"/>
      <c r="SSL8" s="2"/>
      <c r="SSM8" s="2"/>
      <c r="SSN8" s="2"/>
      <c r="SSO8" s="2"/>
      <c r="SSP8" s="2"/>
      <c r="SSQ8" s="2"/>
      <c r="SSR8" s="2"/>
      <c r="SSS8" s="2"/>
      <c r="SST8" s="2"/>
      <c r="SSU8" s="2"/>
      <c r="SSV8" s="2"/>
      <c r="SSW8" s="2"/>
      <c r="SSX8" s="2"/>
      <c r="SSY8" s="2"/>
      <c r="SSZ8" s="2"/>
      <c r="STA8" s="2"/>
      <c r="STB8" s="2"/>
      <c r="STC8" s="2"/>
      <c r="STD8" s="2"/>
      <c r="STE8" s="2"/>
      <c r="STF8" s="2"/>
      <c r="STG8" s="2"/>
      <c r="STH8" s="2"/>
      <c r="STI8" s="2"/>
      <c r="STJ8" s="2"/>
      <c r="STK8" s="2"/>
      <c r="STL8" s="2"/>
      <c r="STM8" s="2"/>
      <c r="STN8" s="2"/>
      <c r="STO8" s="2"/>
      <c r="STP8" s="2"/>
      <c r="STQ8" s="2"/>
      <c r="STR8" s="2"/>
      <c r="STS8" s="2"/>
      <c r="STT8" s="2"/>
      <c r="STU8" s="2"/>
      <c r="STV8" s="2"/>
      <c r="STW8" s="2"/>
      <c r="STX8" s="2"/>
      <c r="STY8" s="2"/>
      <c r="STZ8" s="2"/>
      <c r="SUA8" s="2"/>
      <c r="SUB8" s="2"/>
      <c r="SUC8" s="2"/>
      <c r="SUD8" s="2"/>
      <c r="SUE8" s="2"/>
      <c r="SUF8" s="2"/>
      <c r="SUG8" s="2"/>
      <c r="SUH8" s="2"/>
      <c r="SUI8" s="2"/>
      <c r="SUJ8" s="2"/>
      <c r="SUK8" s="2"/>
      <c r="SUL8" s="2"/>
      <c r="SUM8" s="2"/>
      <c r="SUN8" s="2"/>
      <c r="SUO8" s="2"/>
      <c r="SUP8" s="2"/>
      <c r="SUQ8" s="2"/>
      <c r="SUR8" s="2"/>
      <c r="SUS8" s="2"/>
      <c r="SUT8" s="2"/>
      <c r="SUU8" s="2"/>
      <c r="SUV8" s="2"/>
      <c r="SUW8" s="2"/>
      <c r="SUX8" s="2"/>
      <c r="SUY8" s="2"/>
      <c r="SUZ8" s="2"/>
      <c r="SVA8" s="2"/>
      <c r="SVB8" s="2"/>
      <c r="SVC8" s="2"/>
      <c r="SVD8" s="2"/>
      <c r="SVE8" s="2"/>
      <c r="SVF8" s="2"/>
      <c r="SVG8" s="2"/>
      <c r="SVH8" s="2"/>
      <c r="SVI8" s="2"/>
      <c r="SVJ8" s="2"/>
      <c r="SVK8" s="2"/>
      <c r="SVL8" s="2"/>
      <c r="SVM8" s="2"/>
      <c r="SVN8" s="2"/>
      <c r="SVO8" s="2"/>
      <c r="SVP8" s="2"/>
      <c r="SVQ8" s="2"/>
      <c r="SVR8" s="2"/>
      <c r="SVS8" s="2"/>
      <c r="SVT8" s="2"/>
      <c r="SVU8" s="2"/>
      <c r="SVV8" s="2"/>
      <c r="SVW8" s="2"/>
      <c r="SVX8" s="2"/>
      <c r="SVY8" s="2"/>
      <c r="SVZ8" s="2"/>
      <c r="SWA8" s="2"/>
      <c r="SWB8" s="2"/>
      <c r="SWC8" s="2"/>
      <c r="SWD8" s="2"/>
      <c r="SWE8" s="2"/>
      <c r="SWF8" s="2"/>
      <c r="SWG8" s="2"/>
      <c r="SWH8" s="2"/>
      <c r="SWI8" s="2"/>
      <c r="SWJ8" s="2"/>
      <c r="SWK8" s="2"/>
      <c r="SWL8" s="2"/>
      <c r="SWM8" s="2"/>
      <c r="SWN8" s="2"/>
      <c r="SWO8" s="2"/>
      <c r="SWP8" s="2"/>
      <c r="SWQ8" s="2"/>
      <c r="SWR8" s="2"/>
      <c r="SWS8" s="2"/>
      <c r="SWT8" s="2"/>
      <c r="SWU8" s="2"/>
      <c r="SWV8" s="2"/>
      <c r="SWW8" s="2"/>
      <c r="SWX8" s="2"/>
      <c r="SWY8" s="2"/>
      <c r="SWZ8" s="2"/>
      <c r="SXA8" s="2"/>
      <c r="SXB8" s="2"/>
      <c r="SXC8" s="2"/>
      <c r="SXD8" s="2"/>
      <c r="SXE8" s="2"/>
      <c r="SXF8" s="2"/>
      <c r="SXG8" s="2"/>
      <c r="SXH8" s="2"/>
      <c r="SXI8" s="2"/>
      <c r="SXJ8" s="2"/>
      <c r="SXK8" s="2"/>
      <c r="SXL8" s="2"/>
      <c r="SXM8" s="2"/>
      <c r="SXN8" s="2"/>
      <c r="SXO8" s="2"/>
      <c r="SXP8" s="2"/>
      <c r="SXQ8" s="2"/>
      <c r="SXR8" s="2"/>
      <c r="SXS8" s="2"/>
      <c r="SXT8" s="2"/>
      <c r="SXU8" s="2"/>
      <c r="SXV8" s="2"/>
      <c r="SXW8" s="2"/>
      <c r="SXX8" s="2"/>
      <c r="SXY8" s="2"/>
      <c r="SXZ8" s="2"/>
      <c r="SYA8" s="2"/>
      <c r="SYB8" s="2"/>
      <c r="SYC8" s="2"/>
      <c r="SYD8" s="2"/>
      <c r="SYE8" s="2"/>
      <c r="SYF8" s="2"/>
      <c r="SYG8" s="2"/>
      <c r="SYH8" s="2"/>
      <c r="SYI8" s="2"/>
      <c r="SYJ8" s="2"/>
      <c r="SYK8" s="2"/>
      <c r="SYL8" s="2"/>
      <c r="SYM8" s="2"/>
      <c r="SYN8" s="2"/>
      <c r="SYO8" s="2"/>
      <c r="SYP8" s="2"/>
      <c r="SYQ8" s="2"/>
      <c r="SYR8" s="2"/>
      <c r="SYS8" s="2"/>
      <c r="SYT8" s="2"/>
      <c r="SYU8" s="2"/>
      <c r="SYV8" s="2"/>
      <c r="SYW8" s="2"/>
      <c r="SYX8" s="2"/>
      <c r="SYY8" s="2"/>
      <c r="SYZ8" s="2"/>
      <c r="SZA8" s="2"/>
      <c r="SZB8" s="2"/>
      <c r="SZC8" s="2"/>
      <c r="SZD8" s="2"/>
      <c r="SZE8" s="2"/>
      <c r="SZF8" s="2"/>
      <c r="SZG8" s="2"/>
      <c r="SZH8" s="2"/>
      <c r="SZI8" s="2"/>
      <c r="SZJ8" s="2"/>
      <c r="SZK8" s="2"/>
      <c r="SZL8" s="2"/>
      <c r="SZM8" s="2"/>
      <c r="SZN8" s="2"/>
      <c r="SZO8" s="2"/>
      <c r="SZP8" s="2"/>
      <c r="SZQ8" s="2"/>
      <c r="SZR8" s="2"/>
      <c r="SZS8" s="2"/>
      <c r="SZT8" s="2"/>
      <c r="SZU8" s="2"/>
      <c r="SZV8" s="2"/>
      <c r="SZW8" s="2"/>
      <c r="SZX8" s="2"/>
      <c r="SZY8" s="2"/>
      <c r="SZZ8" s="2"/>
      <c r="TAA8" s="2"/>
      <c r="TAB8" s="2"/>
      <c r="TAC8" s="2"/>
      <c r="TAD8" s="2"/>
      <c r="TAE8" s="2"/>
      <c r="TAF8" s="2"/>
      <c r="TAG8" s="2"/>
      <c r="TAH8" s="2"/>
      <c r="TAI8" s="2"/>
      <c r="TAJ8" s="2"/>
      <c r="TAK8" s="2"/>
      <c r="TAL8" s="2"/>
      <c r="TAM8" s="2"/>
      <c r="TAN8" s="2"/>
      <c r="TAO8" s="2"/>
      <c r="TAP8" s="2"/>
      <c r="TAQ8" s="2"/>
      <c r="TAR8" s="2"/>
      <c r="TAS8" s="2"/>
      <c r="TAT8" s="2"/>
      <c r="TAU8" s="2"/>
      <c r="TAV8" s="2"/>
      <c r="TAW8" s="2"/>
      <c r="TAX8" s="2"/>
      <c r="TAY8" s="2"/>
      <c r="TAZ8" s="2"/>
      <c r="TBA8" s="2"/>
      <c r="TBB8" s="2"/>
      <c r="TBC8" s="2"/>
      <c r="TBD8" s="2"/>
      <c r="TBE8" s="2"/>
      <c r="TBF8" s="2"/>
      <c r="TBG8" s="2"/>
      <c r="TBH8" s="2"/>
      <c r="TBI8" s="2"/>
      <c r="TBJ8" s="2"/>
      <c r="TBK8" s="2"/>
      <c r="TBL8" s="2"/>
      <c r="TBM8" s="2"/>
      <c r="TBN8" s="2"/>
      <c r="TBO8" s="2"/>
      <c r="TBP8" s="2"/>
      <c r="TBQ8" s="2"/>
      <c r="TBR8" s="2"/>
      <c r="TBS8" s="2"/>
      <c r="TBT8" s="2"/>
      <c r="TBU8" s="2"/>
      <c r="TBV8" s="2"/>
      <c r="TBW8" s="2"/>
      <c r="TBX8" s="2"/>
      <c r="TBY8" s="2"/>
      <c r="TBZ8" s="2"/>
      <c r="TCA8" s="2"/>
      <c r="TCB8" s="2"/>
      <c r="TCC8" s="2"/>
      <c r="TCD8" s="2"/>
      <c r="TCE8" s="2"/>
      <c r="TCF8" s="2"/>
      <c r="TCG8" s="2"/>
      <c r="TCH8" s="2"/>
      <c r="TCI8" s="2"/>
      <c r="TCJ8" s="2"/>
      <c r="TCK8" s="2"/>
      <c r="TCL8" s="2"/>
      <c r="TCM8" s="2"/>
      <c r="TCN8" s="2"/>
      <c r="TCO8" s="2"/>
      <c r="TCP8" s="2"/>
      <c r="TCQ8" s="2"/>
      <c r="TCR8" s="2"/>
      <c r="TCS8" s="2"/>
      <c r="TCT8" s="2"/>
      <c r="TCU8" s="2"/>
      <c r="TCV8" s="2"/>
      <c r="TCW8" s="2"/>
      <c r="TCX8" s="2"/>
      <c r="TCY8" s="2"/>
      <c r="TCZ8" s="2"/>
      <c r="TDA8" s="2"/>
      <c r="TDB8" s="2"/>
      <c r="TDC8" s="2"/>
      <c r="TDD8" s="2"/>
      <c r="TDE8" s="2"/>
      <c r="TDF8" s="2"/>
      <c r="TDG8" s="2"/>
      <c r="TDH8" s="2"/>
      <c r="TDI8" s="2"/>
      <c r="TDJ8" s="2"/>
      <c r="TDK8" s="2"/>
      <c r="TDL8" s="2"/>
      <c r="TDM8" s="2"/>
      <c r="TDN8" s="2"/>
      <c r="TDO8" s="2"/>
      <c r="TDP8" s="2"/>
      <c r="TDQ8" s="2"/>
      <c r="TDR8" s="2"/>
      <c r="TDS8" s="2"/>
      <c r="TDT8" s="2"/>
      <c r="TDU8" s="2"/>
      <c r="TDV8" s="2"/>
      <c r="TDW8" s="2"/>
      <c r="TDX8" s="2"/>
      <c r="TDY8" s="2"/>
      <c r="TDZ8" s="2"/>
      <c r="TEA8" s="2"/>
      <c r="TEB8" s="2"/>
      <c r="TEC8" s="2"/>
      <c r="TED8" s="2"/>
      <c r="TEE8" s="2"/>
      <c r="TEF8" s="2"/>
      <c r="TEG8" s="2"/>
      <c r="TEH8" s="2"/>
      <c r="TEI8" s="2"/>
      <c r="TEJ8" s="2"/>
      <c r="TEK8" s="2"/>
      <c r="TEL8" s="2"/>
      <c r="TEM8" s="2"/>
      <c r="TEN8" s="2"/>
      <c r="TEO8" s="2"/>
      <c r="TEP8" s="2"/>
      <c r="TEQ8" s="2"/>
      <c r="TER8" s="2"/>
      <c r="TES8" s="2"/>
      <c r="TET8" s="2"/>
      <c r="TEU8" s="2"/>
      <c r="TEV8" s="2"/>
      <c r="TEW8" s="2"/>
      <c r="TEX8" s="2"/>
      <c r="TEY8" s="2"/>
      <c r="TEZ8" s="2"/>
      <c r="TFA8" s="2"/>
      <c r="TFB8" s="2"/>
      <c r="TFC8" s="2"/>
      <c r="TFD8" s="2"/>
      <c r="TFE8" s="2"/>
      <c r="TFF8" s="2"/>
      <c r="TFG8" s="2"/>
      <c r="TFH8" s="2"/>
      <c r="TFI8" s="2"/>
      <c r="TFJ8" s="2"/>
      <c r="TFK8" s="2"/>
      <c r="TFL8" s="2"/>
      <c r="TFM8" s="2"/>
      <c r="TFN8" s="2"/>
      <c r="TFO8" s="2"/>
      <c r="TFP8" s="2"/>
      <c r="TFQ8" s="2"/>
      <c r="TFR8" s="2"/>
      <c r="TFS8" s="2"/>
      <c r="TFT8" s="2"/>
      <c r="TFU8" s="2"/>
      <c r="TFV8" s="2"/>
      <c r="TFW8" s="2"/>
      <c r="TFX8" s="2"/>
      <c r="TFY8" s="2"/>
      <c r="TFZ8" s="2"/>
      <c r="TGA8" s="2"/>
      <c r="TGB8" s="2"/>
      <c r="TGC8" s="2"/>
      <c r="TGD8" s="2"/>
      <c r="TGE8" s="2"/>
      <c r="TGF8" s="2"/>
      <c r="TGG8" s="2"/>
      <c r="TGH8" s="2"/>
      <c r="TGI8" s="2"/>
      <c r="TGJ8" s="2"/>
      <c r="TGK8" s="2"/>
      <c r="TGL8" s="2"/>
      <c r="TGM8" s="2"/>
      <c r="TGN8" s="2"/>
      <c r="TGO8" s="2"/>
      <c r="TGP8" s="2"/>
      <c r="TGQ8" s="2"/>
      <c r="TGR8" s="2"/>
      <c r="TGS8" s="2"/>
      <c r="TGT8" s="2"/>
      <c r="TGU8" s="2"/>
      <c r="TGV8" s="2"/>
      <c r="TGW8" s="2"/>
      <c r="TGX8" s="2"/>
      <c r="TGY8" s="2"/>
      <c r="TGZ8" s="2"/>
      <c r="THA8" s="2"/>
      <c r="THB8" s="2"/>
      <c r="THC8" s="2"/>
      <c r="THD8" s="2"/>
      <c r="THE8" s="2"/>
      <c r="THF8" s="2"/>
      <c r="THG8" s="2"/>
      <c r="THH8" s="2"/>
      <c r="THI8" s="2"/>
      <c r="THJ8" s="2"/>
      <c r="THK8" s="2"/>
      <c r="THL8" s="2"/>
      <c r="THM8" s="2"/>
      <c r="THN8" s="2"/>
      <c r="THO8" s="2"/>
      <c r="THP8" s="2"/>
      <c r="THQ8" s="2"/>
      <c r="THR8" s="2"/>
      <c r="THS8" s="2"/>
      <c r="THT8" s="2"/>
      <c r="THU8" s="2"/>
      <c r="THV8" s="2"/>
      <c r="THW8" s="2"/>
      <c r="THX8" s="2"/>
      <c r="THY8" s="2"/>
      <c r="THZ8" s="2"/>
      <c r="TIA8" s="2"/>
      <c r="TIB8" s="2"/>
      <c r="TIC8" s="2"/>
      <c r="TID8" s="2"/>
      <c r="TIE8" s="2"/>
      <c r="TIF8" s="2"/>
      <c r="TIG8" s="2"/>
      <c r="TIH8" s="2"/>
      <c r="TII8" s="2"/>
      <c r="TIJ8" s="2"/>
      <c r="TIK8" s="2"/>
      <c r="TIL8" s="2"/>
      <c r="TIM8" s="2"/>
      <c r="TIN8" s="2"/>
      <c r="TIO8" s="2"/>
      <c r="TIP8" s="2"/>
      <c r="TIQ8" s="2"/>
      <c r="TIR8" s="2"/>
      <c r="TIS8" s="2"/>
      <c r="TIT8" s="2"/>
      <c r="TIU8" s="2"/>
      <c r="TIV8" s="2"/>
      <c r="TIW8" s="2"/>
      <c r="TIX8" s="2"/>
      <c r="TIY8" s="2"/>
      <c r="TIZ8" s="2"/>
      <c r="TJA8" s="2"/>
      <c r="TJB8" s="2"/>
      <c r="TJC8" s="2"/>
      <c r="TJD8" s="2"/>
      <c r="TJE8" s="2"/>
      <c r="TJF8" s="2"/>
      <c r="TJG8" s="2"/>
      <c r="TJH8" s="2"/>
      <c r="TJI8" s="2"/>
      <c r="TJJ8" s="2"/>
      <c r="TJK8" s="2"/>
      <c r="TJL8" s="2"/>
      <c r="TJM8" s="2"/>
      <c r="TJN8" s="2"/>
      <c r="TJO8" s="2"/>
      <c r="TJP8" s="2"/>
      <c r="TJQ8" s="2"/>
      <c r="TJR8" s="2"/>
      <c r="TJS8" s="2"/>
      <c r="TJT8" s="2"/>
      <c r="TJU8" s="2"/>
      <c r="TJV8" s="2"/>
      <c r="TJW8" s="2"/>
      <c r="TJX8" s="2"/>
      <c r="TJY8" s="2"/>
      <c r="TJZ8" s="2"/>
      <c r="TKA8" s="2"/>
      <c r="TKB8" s="2"/>
      <c r="TKC8" s="2"/>
      <c r="TKD8" s="2"/>
      <c r="TKE8" s="2"/>
      <c r="TKF8" s="2"/>
      <c r="TKG8" s="2"/>
      <c r="TKH8" s="2"/>
      <c r="TKI8" s="2"/>
      <c r="TKJ8" s="2"/>
      <c r="TKK8" s="2"/>
      <c r="TKL8" s="2"/>
      <c r="TKM8" s="2"/>
      <c r="TKN8" s="2"/>
      <c r="TKO8" s="2"/>
      <c r="TKP8" s="2"/>
      <c r="TKQ8" s="2"/>
      <c r="TKR8" s="2"/>
      <c r="TKS8" s="2"/>
      <c r="TKT8" s="2"/>
      <c r="TKU8" s="2"/>
      <c r="TKV8" s="2"/>
      <c r="TKW8" s="2"/>
      <c r="TKX8" s="2"/>
      <c r="TKY8" s="2"/>
      <c r="TKZ8" s="2"/>
      <c r="TLA8" s="2"/>
      <c r="TLB8" s="2"/>
      <c r="TLC8" s="2"/>
      <c r="TLD8" s="2"/>
      <c r="TLE8" s="2"/>
      <c r="TLF8" s="2"/>
      <c r="TLG8" s="2"/>
      <c r="TLH8" s="2"/>
      <c r="TLI8" s="2"/>
      <c r="TLJ8" s="2"/>
      <c r="TLK8" s="2"/>
      <c r="TLL8" s="2"/>
      <c r="TLM8" s="2"/>
      <c r="TLN8" s="2"/>
      <c r="TLO8" s="2"/>
      <c r="TLP8" s="2"/>
      <c r="TLQ8" s="2"/>
      <c r="TLR8" s="2"/>
      <c r="TLS8" s="2"/>
      <c r="TLT8" s="2"/>
      <c r="TLU8" s="2"/>
      <c r="TLV8" s="2"/>
      <c r="TLW8" s="2"/>
      <c r="TLX8" s="2"/>
      <c r="TLY8" s="2"/>
      <c r="TLZ8" s="2"/>
      <c r="TMA8" s="2"/>
      <c r="TMB8" s="2"/>
      <c r="TMC8" s="2"/>
      <c r="TMD8" s="2"/>
      <c r="TME8" s="2"/>
      <c r="TMF8" s="2"/>
      <c r="TMG8" s="2"/>
      <c r="TMH8" s="2"/>
      <c r="TMI8" s="2"/>
      <c r="TMJ8" s="2"/>
      <c r="TMK8" s="2"/>
      <c r="TML8" s="2"/>
      <c r="TMM8" s="2"/>
      <c r="TMN8" s="2"/>
      <c r="TMO8" s="2"/>
      <c r="TMP8" s="2"/>
      <c r="TMQ8" s="2"/>
      <c r="TMR8" s="2"/>
      <c r="TMS8" s="2"/>
      <c r="TMT8" s="2"/>
      <c r="TMU8" s="2"/>
      <c r="TMV8" s="2"/>
      <c r="TMW8" s="2"/>
      <c r="TMX8" s="2"/>
      <c r="TMY8" s="2"/>
      <c r="TMZ8" s="2"/>
      <c r="TNA8" s="2"/>
      <c r="TNB8" s="2"/>
      <c r="TNC8" s="2"/>
      <c r="TND8" s="2"/>
      <c r="TNE8" s="2"/>
      <c r="TNF8" s="2"/>
      <c r="TNG8" s="2"/>
      <c r="TNH8" s="2"/>
      <c r="TNI8" s="2"/>
      <c r="TNJ8" s="2"/>
      <c r="TNK8" s="2"/>
      <c r="TNL8" s="2"/>
      <c r="TNM8" s="2"/>
      <c r="TNN8" s="2"/>
      <c r="TNO8" s="2"/>
      <c r="TNP8" s="2"/>
      <c r="TNQ8" s="2"/>
      <c r="TNR8" s="2"/>
      <c r="TNS8" s="2"/>
      <c r="TNT8" s="2"/>
      <c r="TNU8" s="2"/>
      <c r="TNV8" s="2"/>
      <c r="TNW8" s="2"/>
      <c r="TNX8" s="2"/>
      <c r="TNY8" s="2"/>
      <c r="TNZ8" s="2"/>
      <c r="TOA8" s="2"/>
      <c r="TOB8" s="2"/>
      <c r="TOC8" s="2"/>
      <c r="TOD8" s="2"/>
      <c r="TOE8" s="2"/>
      <c r="TOF8" s="2"/>
      <c r="TOG8" s="2"/>
      <c r="TOH8" s="2"/>
      <c r="TOI8" s="2"/>
      <c r="TOJ8" s="2"/>
      <c r="TOK8" s="2"/>
      <c r="TOL8" s="2"/>
      <c r="TOM8" s="2"/>
      <c r="TON8" s="2"/>
      <c r="TOO8" s="2"/>
      <c r="TOP8" s="2"/>
      <c r="TOQ8" s="2"/>
      <c r="TOR8" s="2"/>
      <c r="TOS8" s="2"/>
      <c r="TOT8" s="2"/>
      <c r="TOU8" s="2"/>
      <c r="TOV8" s="2"/>
      <c r="TOW8" s="2"/>
      <c r="TOX8" s="2"/>
      <c r="TOY8" s="2"/>
      <c r="TOZ8" s="2"/>
      <c r="TPA8" s="2"/>
      <c r="TPB8" s="2"/>
      <c r="TPC8" s="2"/>
      <c r="TPD8" s="2"/>
      <c r="TPE8" s="2"/>
      <c r="TPF8" s="2"/>
      <c r="TPG8" s="2"/>
      <c r="TPH8" s="2"/>
      <c r="TPI8" s="2"/>
      <c r="TPJ8" s="2"/>
      <c r="TPK8" s="2"/>
      <c r="TPL8" s="2"/>
      <c r="TPM8" s="2"/>
      <c r="TPN8" s="2"/>
      <c r="TPO8" s="2"/>
      <c r="TPP8" s="2"/>
      <c r="TPQ8" s="2"/>
      <c r="TPR8" s="2"/>
      <c r="TPS8" s="2"/>
      <c r="TPT8" s="2"/>
      <c r="TPU8" s="2"/>
      <c r="TPV8" s="2"/>
      <c r="TPW8" s="2"/>
      <c r="TPX8" s="2"/>
      <c r="TPY8" s="2"/>
      <c r="TPZ8" s="2"/>
      <c r="TQA8" s="2"/>
      <c r="TQB8" s="2"/>
      <c r="TQC8" s="2"/>
      <c r="TQD8" s="2"/>
      <c r="TQE8" s="2"/>
      <c r="TQF8" s="2"/>
      <c r="TQG8" s="2"/>
      <c r="TQH8" s="2"/>
      <c r="TQI8" s="2"/>
      <c r="TQJ8" s="2"/>
      <c r="TQK8" s="2"/>
      <c r="TQL8" s="2"/>
      <c r="TQM8" s="2"/>
      <c r="TQN8" s="2"/>
      <c r="TQO8" s="2"/>
      <c r="TQP8" s="2"/>
      <c r="TQQ8" s="2"/>
      <c r="TQR8" s="2"/>
      <c r="TQS8" s="2"/>
      <c r="TQT8" s="2"/>
      <c r="TQU8" s="2"/>
      <c r="TQV8" s="2"/>
      <c r="TQW8" s="2"/>
      <c r="TQX8" s="2"/>
      <c r="TQY8" s="2"/>
      <c r="TQZ8" s="2"/>
      <c r="TRA8" s="2"/>
      <c r="TRB8" s="2"/>
      <c r="TRC8" s="2"/>
      <c r="TRD8" s="2"/>
      <c r="TRE8" s="2"/>
      <c r="TRF8" s="2"/>
      <c r="TRG8" s="2"/>
      <c r="TRH8" s="2"/>
      <c r="TRI8" s="2"/>
      <c r="TRJ8" s="2"/>
      <c r="TRK8" s="2"/>
      <c r="TRL8" s="2"/>
      <c r="TRM8" s="2"/>
      <c r="TRN8" s="2"/>
      <c r="TRO8" s="2"/>
      <c r="TRP8" s="2"/>
      <c r="TRQ8" s="2"/>
      <c r="TRR8" s="2"/>
      <c r="TRS8" s="2"/>
      <c r="TRT8" s="2"/>
      <c r="TRU8" s="2"/>
      <c r="TRV8" s="2"/>
      <c r="TRW8" s="2"/>
      <c r="TRX8" s="2"/>
      <c r="TRY8" s="2"/>
      <c r="TRZ8" s="2"/>
      <c r="TSA8" s="2"/>
      <c r="TSB8" s="2"/>
      <c r="TSC8" s="2"/>
      <c r="TSD8" s="2"/>
      <c r="TSE8" s="2"/>
      <c r="TSF8" s="2"/>
      <c r="TSG8" s="2"/>
      <c r="TSH8" s="2"/>
      <c r="TSI8" s="2"/>
      <c r="TSJ8" s="2"/>
      <c r="TSK8" s="2"/>
      <c r="TSL8" s="2"/>
      <c r="TSM8" s="2"/>
      <c r="TSN8" s="2"/>
      <c r="TSO8" s="2"/>
      <c r="TSP8" s="2"/>
      <c r="TSQ8" s="2"/>
      <c r="TSR8" s="2"/>
      <c r="TSS8" s="2"/>
      <c r="TST8" s="2"/>
      <c r="TSU8" s="2"/>
      <c r="TSV8" s="2"/>
      <c r="TSW8" s="2"/>
      <c r="TSX8" s="2"/>
      <c r="TSY8" s="2"/>
      <c r="TSZ8" s="2"/>
      <c r="TTA8" s="2"/>
      <c r="TTB8" s="2"/>
      <c r="TTC8" s="2"/>
      <c r="TTD8" s="2"/>
      <c r="TTE8" s="2"/>
      <c r="TTF8" s="2"/>
      <c r="TTG8" s="2"/>
      <c r="TTH8" s="2"/>
      <c r="TTI8" s="2"/>
      <c r="TTJ8" s="2"/>
      <c r="TTK8" s="2"/>
      <c r="TTL8" s="2"/>
      <c r="TTM8" s="2"/>
      <c r="TTN8" s="2"/>
      <c r="TTO8" s="2"/>
      <c r="TTP8" s="2"/>
      <c r="TTQ8" s="2"/>
      <c r="TTR8" s="2"/>
      <c r="TTS8" s="2"/>
      <c r="TTT8" s="2"/>
      <c r="TTU8" s="2"/>
      <c r="TTV8" s="2"/>
      <c r="TTW8" s="2"/>
      <c r="TTX8" s="2"/>
      <c r="TTY8" s="2"/>
      <c r="TTZ8" s="2"/>
      <c r="TUA8" s="2"/>
      <c r="TUB8" s="2"/>
      <c r="TUC8" s="2"/>
      <c r="TUD8" s="2"/>
      <c r="TUE8" s="2"/>
      <c r="TUF8" s="2"/>
      <c r="TUG8" s="2"/>
      <c r="TUH8" s="2"/>
      <c r="TUI8" s="2"/>
      <c r="TUJ8" s="2"/>
      <c r="TUK8" s="2"/>
      <c r="TUL8" s="2"/>
      <c r="TUM8" s="2"/>
      <c r="TUN8" s="2"/>
      <c r="TUO8" s="2"/>
      <c r="TUP8" s="2"/>
      <c r="TUQ8" s="2"/>
      <c r="TUR8" s="2"/>
      <c r="TUS8" s="2"/>
      <c r="TUT8" s="2"/>
      <c r="TUU8" s="2"/>
      <c r="TUV8" s="2"/>
      <c r="TUW8" s="2"/>
      <c r="TUX8" s="2"/>
      <c r="TUY8" s="2"/>
      <c r="TUZ8" s="2"/>
      <c r="TVA8" s="2"/>
      <c r="TVB8" s="2"/>
      <c r="TVC8" s="2"/>
      <c r="TVD8" s="2"/>
      <c r="TVE8" s="2"/>
      <c r="TVF8" s="2"/>
      <c r="TVG8" s="2"/>
      <c r="TVH8" s="2"/>
      <c r="TVI8" s="2"/>
      <c r="TVJ8" s="2"/>
      <c r="TVK8" s="2"/>
      <c r="TVL8" s="2"/>
      <c r="TVM8" s="2"/>
      <c r="TVN8" s="2"/>
      <c r="TVO8" s="2"/>
      <c r="TVP8" s="2"/>
      <c r="TVQ8" s="2"/>
      <c r="TVR8" s="2"/>
      <c r="TVS8" s="2"/>
      <c r="TVT8" s="2"/>
      <c r="TVU8" s="2"/>
      <c r="TVV8" s="2"/>
      <c r="TVW8" s="2"/>
      <c r="TVX8" s="2"/>
      <c r="TVY8" s="2"/>
      <c r="TVZ8" s="2"/>
      <c r="TWA8" s="2"/>
      <c r="TWB8" s="2"/>
      <c r="TWC8" s="2"/>
      <c r="TWD8" s="2"/>
      <c r="TWE8" s="2"/>
      <c r="TWF8" s="2"/>
      <c r="TWG8" s="2"/>
      <c r="TWH8" s="2"/>
      <c r="TWI8" s="2"/>
      <c r="TWJ8" s="2"/>
      <c r="TWK8" s="2"/>
      <c r="TWL8" s="2"/>
      <c r="TWM8" s="2"/>
      <c r="TWN8" s="2"/>
      <c r="TWO8" s="2"/>
      <c r="TWP8" s="2"/>
      <c r="TWQ8" s="2"/>
      <c r="TWR8" s="2"/>
      <c r="TWS8" s="2"/>
      <c r="TWT8" s="2"/>
      <c r="TWU8" s="2"/>
      <c r="TWV8" s="2"/>
      <c r="TWW8" s="2"/>
      <c r="TWX8" s="2"/>
      <c r="TWY8" s="2"/>
      <c r="TWZ8" s="2"/>
      <c r="TXA8" s="2"/>
      <c r="TXB8" s="2"/>
      <c r="TXC8" s="2"/>
      <c r="TXD8" s="2"/>
      <c r="TXE8" s="2"/>
      <c r="TXF8" s="2"/>
      <c r="TXG8" s="2"/>
      <c r="TXH8" s="2"/>
      <c r="TXI8" s="2"/>
      <c r="TXJ8" s="2"/>
      <c r="TXK8" s="2"/>
      <c r="TXL8" s="2"/>
      <c r="TXM8" s="2"/>
      <c r="TXN8" s="2"/>
      <c r="TXO8" s="2"/>
      <c r="TXP8" s="2"/>
      <c r="TXQ8" s="2"/>
      <c r="TXR8" s="2"/>
      <c r="TXS8" s="2"/>
      <c r="TXT8" s="2"/>
      <c r="TXU8" s="2"/>
      <c r="TXV8" s="2"/>
      <c r="TXW8" s="2"/>
      <c r="TXX8" s="2"/>
      <c r="TXY8" s="2"/>
      <c r="TXZ8" s="2"/>
      <c r="TYA8" s="2"/>
      <c r="TYB8" s="2"/>
      <c r="TYC8" s="2"/>
      <c r="TYD8" s="2"/>
      <c r="TYE8" s="2"/>
      <c r="TYF8" s="2"/>
      <c r="TYG8" s="2"/>
      <c r="TYH8" s="2"/>
      <c r="TYI8" s="2"/>
      <c r="TYJ8" s="2"/>
      <c r="TYK8" s="2"/>
      <c r="TYL8" s="2"/>
      <c r="TYM8" s="2"/>
      <c r="TYN8" s="2"/>
      <c r="TYO8" s="2"/>
      <c r="TYP8" s="2"/>
      <c r="TYQ8" s="2"/>
      <c r="TYR8" s="2"/>
      <c r="TYS8" s="2"/>
      <c r="TYT8" s="2"/>
      <c r="TYU8" s="2"/>
      <c r="TYV8" s="2"/>
      <c r="TYW8" s="2"/>
      <c r="TYX8" s="2"/>
      <c r="TYY8" s="2"/>
      <c r="TYZ8" s="2"/>
      <c r="TZA8" s="2"/>
      <c r="TZB8" s="2"/>
      <c r="TZC8" s="2"/>
      <c r="TZD8" s="2"/>
      <c r="TZE8" s="2"/>
      <c r="TZF8" s="2"/>
      <c r="TZG8" s="2"/>
      <c r="TZH8" s="2"/>
      <c r="TZI8" s="2"/>
      <c r="TZJ8" s="2"/>
      <c r="TZK8" s="2"/>
      <c r="TZL8" s="2"/>
      <c r="TZM8" s="2"/>
      <c r="TZN8" s="2"/>
      <c r="TZO8" s="2"/>
      <c r="TZP8" s="2"/>
      <c r="TZQ8" s="2"/>
      <c r="TZR8" s="2"/>
      <c r="TZS8" s="2"/>
      <c r="TZT8" s="2"/>
      <c r="TZU8" s="2"/>
      <c r="TZV8" s="2"/>
      <c r="TZW8" s="2"/>
      <c r="TZX8" s="2"/>
      <c r="TZY8" s="2"/>
      <c r="TZZ8" s="2"/>
      <c r="UAA8" s="2"/>
      <c r="UAB8" s="2"/>
      <c r="UAC8" s="2"/>
      <c r="UAD8" s="2"/>
      <c r="UAE8" s="2"/>
      <c r="UAF8" s="2"/>
      <c r="UAG8" s="2"/>
      <c r="UAH8" s="2"/>
      <c r="UAI8" s="2"/>
      <c r="UAJ8" s="2"/>
      <c r="UAK8" s="2"/>
      <c r="UAL8" s="2"/>
      <c r="UAM8" s="2"/>
      <c r="UAN8" s="2"/>
      <c r="UAO8" s="2"/>
      <c r="UAP8" s="2"/>
      <c r="UAQ8" s="2"/>
      <c r="UAR8" s="2"/>
      <c r="UAS8" s="2"/>
      <c r="UAT8" s="2"/>
      <c r="UAU8" s="2"/>
      <c r="UAV8" s="2"/>
      <c r="UAW8" s="2"/>
      <c r="UAX8" s="2"/>
      <c r="UAY8" s="2"/>
      <c r="UAZ8" s="2"/>
      <c r="UBA8" s="2"/>
      <c r="UBB8" s="2"/>
      <c r="UBC8" s="2"/>
      <c r="UBD8" s="2"/>
      <c r="UBE8" s="2"/>
      <c r="UBF8" s="2"/>
      <c r="UBG8" s="2"/>
      <c r="UBH8" s="2"/>
      <c r="UBI8" s="2"/>
      <c r="UBJ8" s="2"/>
      <c r="UBK8" s="2"/>
      <c r="UBL8" s="2"/>
      <c r="UBM8" s="2"/>
      <c r="UBN8" s="2"/>
      <c r="UBO8" s="2"/>
      <c r="UBP8" s="2"/>
      <c r="UBQ8" s="2"/>
      <c r="UBR8" s="2"/>
      <c r="UBS8" s="2"/>
      <c r="UBT8" s="2"/>
      <c r="UBU8" s="2"/>
      <c r="UBV8" s="2"/>
      <c r="UBW8" s="2"/>
      <c r="UBX8" s="2"/>
      <c r="UBY8" s="2"/>
      <c r="UBZ8" s="2"/>
      <c r="UCA8" s="2"/>
      <c r="UCB8" s="2"/>
      <c r="UCC8" s="2"/>
      <c r="UCD8" s="2"/>
      <c r="UCE8" s="2"/>
      <c r="UCF8" s="2"/>
      <c r="UCG8" s="2"/>
      <c r="UCH8" s="2"/>
      <c r="UCI8" s="2"/>
      <c r="UCJ8" s="2"/>
      <c r="UCK8" s="2"/>
      <c r="UCL8" s="2"/>
      <c r="UCM8" s="2"/>
      <c r="UCN8" s="2"/>
      <c r="UCO8" s="2"/>
      <c r="UCP8" s="2"/>
      <c r="UCQ8" s="2"/>
      <c r="UCR8" s="2"/>
      <c r="UCS8" s="2"/>
      <c r="UCT8" s="2"/>
      <c r="UCU8" s="2"/>
      <c r="UCV8" s="2"/>
      <c r="UCW8" s="2"/>
      <c r="UCX8" s="2"/>
      <c r="UCY8" s="2"/>
      <c r="UCZ8" s="2"/>
      <c r="UDA8" s="2"/>
      <c r="UDB8" s="2"/>
      <c r="UDC8" s="2"/>
      <c r="UDD8" s="2"/>
      <c r="UDE8" s="2"/>
      <c r="UDF8" s="2"/>
      <c r="UDG8" s="2"/>
      <c r="UDH8" s="2"/>
      <c r="UDI8" s="2"/>
      <c r="UDJ8" s="2"/>
      <c r="UDK8" s="2"/>
      <c r="UDL8" s="2"/>
      <c r="UDM8" s="2"/>
      <c r="UDN8" s="2"/>
      <c r="UDO8" s="2"/>
      <c r="UDP8" s="2"/>
      <c r="UDQ8" s="2"/>
      <c r="UDR8" s="2"/>
      <c r="UDS8" s="2"/>
      <c r="UDT8" s="2"/>
      <c r="UDU8" s="2"/>
      <c r="UDV8" s="2"/>
      <c r="UDW8" s="2"/>
      <c r="UDX8" s="2"/>
      <c r="UDY8" s="2"/>
      <c r="UDZ8" s="2"/>
      <c r="UEA8" s="2"/>
      <c r="UEB8" s="2"/>
      <c r="UEC8" s="2"/>
      <c r="UED8" s="2"/>
      <c r="UEE8" s="2"/>
      <c r="UEF8" s="2"/>
      <c r="UEG8" s="2"/>
      <c r="UEH8" s="2"/>
      <c r="UEI8" s="2"/>
      <c r="UEJ8" s="2"/>
      <c r="UEK8" s="2"/>
      <c r="UEL8" s="2"/>
      <c r="UEM8" s="2"/>
      <c r="UEN8" s="2"/>
      <c r="UEO8" s="2"/>
      <c r="UEP8" s="2"/>
      <c r="UEQ8" s="2"/>
      <c r="UER8" s="2"/>
      <c r="UES8" s="2"/>
      <c r="UET8" s="2"/>
      <c r="UEU8" s="2"/>
      <c r="UEV8" s="2"/>
      <c r="UEW8" s="2"/>
      <c r="UEX8" s="2"/>
      <c r="UEY8" s="2"/>
      <c r="UEZ8" s="2"/>
      <c r="UFA8" s="2"/>
      <c r="UFB8" s="2"/>
      <c r="UFC8" s="2"/>
      <c r="UFD8" s="2"/>
      <c r="UFE8" s="2"/>
      <c r="UFF8" s="2"/>
      <c r="UFG8" s="2"/>
      <c r="UFH8" s="2"/>
      <c r="UFI8" s="2"/>
      <c r="UFJ8" s="2"/>
      <c r="UFK8" s="2"/>
      <c r="UFL8" s="2"/>
      <c r="UFM8" s="2"/>
      <c r="UFN8" s="2"/>
      <c r="UFO8" s="2"/>
      <c r="UFP8" s="2"/>
      <c r="UFQ8" s="2"/>
      <c r="UFR8" s="2"/>
      <c r="UFS8" s="2"/>
      <c r="UFT8" s="2"/>
      <c r="UFU8" s="2"/>
      <c r="UFV8" s="2"/>
      <c r="UFW8" s="2"/>
      <c r="UFX8" s="2"/>
      <c r="UFY8" s="2"/>
      <c r="UFZ8" s="2"/>
      <c r="UGA8" s="2"/>
      <c r="UGB8" s="2"/>
      <c r="UGC8" s="2"/>
      <c r="UGD8" s="2"/>
      <c r="UGE8" s="2"/>
      <c r="UGF8" s="2"/>
      <c r="UGG8" s="2"/>
      <c r="UGH8" s="2"/>
      <c r="UGI8" s="2"/>
      <c r="UGJ8" s="2"/>
      <c r="UGK8" s="2"/>
      <c r="UGL8" s="2"/>
      <c r="UGM8" s="2"/>
      <c r="UGN8" s="2"/>
      <c r="UGO8" s="2"/>
      <c r="UGP8" s="2"/>
      <c r="UGQ8" s="2"/>
      <c r="UGR8" s="2"/>
      <c r="UGS8" s="2"/>
      <c r="UGT8" s="2"/>
      <c r="UGU8" s="2"/>
      <c r="UGV8" s="2"/>
      <c r="UGW8" s="2"/>
      <c r="UGX8" s="2"/>
      <c r="UGY8" s="2"/>
      <c r="UGZ8" s="2"/>
      <c r="UHA8" s="2"/>
      <c r="UHB8" s="2"/>
      <c r="UHC8" s="2"/>
      <c r="UHD8" s="2"/>
      <c r="UHE8" s="2"/>
      <c r="UHF8" s="2"/>
      <c r="UHG8" s="2"/>
      <c r="UHH8" s="2"/>
      <c r="UHI8" s="2"/>
      <c r="UHJ8" s="2"/>
      <c r="UHK8" s="2"/>
      <c r="UHL8" s="2"/>
      <c r="UHM8" s="2"/>
      <c r="UHN8" s="2"/>
      <c r="UHO8" s="2"/>
      <c r="UHP8" s="2"/>
      <c r="UHQ8" s="2"/>
      <c r="UHR8" s="2"/>
      <c r="UHS8" s="2"/>
      <c r="UHT8" s="2"/>
      <c r="UHU8" s="2"/>
      <c r="UHV8" s="2"/>
      <c r="UHW8" s="2"/>
      <c r="UHX8" s="2"/>
      <c r="UHY8" s="2"/>
      <c r="UHZ8" s="2"/>
      <c r="UIA8" s="2"/>
      <c r="UIB8" s="2"/>
      <c r="UIC8" s="2"/>
      <c r="UID8" s="2"/>
      <c r="UIE8" s="2"/>
      <c r="UIF8" s="2"/>
      <c r="UIG8" s="2"/>
      <c r="UIH8" s="2"/>
      <c r="UII8" s="2"/>
      <c r="UIJ8" s="2"/>
      <c r="UIK8" s="2"/>
      <c r="UIL8" s="2"/>
      <c r="UIM8" s="2"/>
      <c r="UIN8" s="2"/>
      <c r="UIO8" s="2"/>
      <c r="UIP8" s="2"/>
      <c r="UIQ8" s="2"/>
      <c r="UIR8" s="2"/>
      <c r="UIS8" s="2"/>
      <c r="UIT8" s="2"/>
      <c r="UIU8" s="2"/>
      <c r="UIV8" s="2"/>
      <c r="UIW8" s="2"/>
      <c r="UIX8" s="2"/>
      <c r="UIY8" s="2"/>
      <c r="UIZ8" s="2"/>
      <c r="UJA8" s="2"/>
      <c r="UJB8" s="2"/>
      <c r="UJC8" s="2"/>
      <c r="UJD8" s="2"/>
      <c r="UJE8" s="2"/>
      <c r="UJF8" s="2"/>
      <c r="UJG8" s="2"/>
      <c r="UJH8" s="2"/>
      <c r="UJI8" s="2"/>
      <c r="UJJ8" s="2"/>
      <c r="UJK8" s="2"/>
      <c r="UJL8" s="2"/>
      <c r="UJM8" s="2"/>
      <c r="UJN8" s="2"/>
      <c r="UJO8" s="2"/>
      <c r="UJP8" s="2"/>
      <c r="UJQ8" s="2"/>
      <c r="UJR8" s="2"/>
      <c r="UJS8" s="2"/>
      <c r="UJT8" s="2"/>
      <c r="UJU8" s="2"/>
      <c r="UJV8" s="2"/>
      <c r="UJW8" s="2"/>
      <c r="UJX8" s="2"/>
      <c r="UJY8" s="2"/>
      <c r="UJZ8" s="2"/>
      <c r="UKA8" s="2"/>
      <c r="UKB8" s="2"/>
      <c r="UKC8" s="2"/>
      <c r="UKD8" s="2"/>
      <c r="UKE8" s="2"/>
      <c r="UKF8" s="2"/>
      <c r="UKG8" s="2"/>
      <c r="UKH8" s="2"/>
      <c r="UKI8" s="2"/>
      <c r="UKJ8" s="2"/>
      <c r="UKK8" s="2"/>
      <c r="UKL8" s="2"/>
      <c r="UKM8" s="2"/>
      <c r="UKN8" s="2"/>
      <c r="UKO8" s="2"/>
      <c r="UKP8" s="2"/>
      <c r="UKQ8" s="2"/>
      <c r="UKR8" s="2"/>
      <c r="UKS8" s="2"/>
      <c r="UKT8" s="2"/>
      <c r="UKU8" s="2"/>
      <c r="UKV8" s="2"/>
      <c r="UKW8" s="2"/>
      <c r="UKX8" s="2"/>
      <c r="UKY8" s="2"/>
      <c r="UKZ8" s="2"/>
      <c r="ULA8" s="2"/>
      <c r="ULB8" s="2"/>
      <c r="ULC8" s="2"/>
      <c r="ULD8" s="2"/>
      <c r="ULE8" s="2"/>
      <c r="ULF8" s="2"/>
      <c r="ULG8" s="2"/>
      <c r="ULH8" s="2"/>
      <c r="ULI8" s="2"/>
      <c r="ULJ8" s="2"/>
      <c r="ULK8" s="2"/>
      <c r="ULL8" s="2"/>
      <c r="ULM8" s="2"/>
      <c r="ULN8" s="2"/>
      <c r="ULO8" s="2"/>
      <c r="ULP8" s="2"/>
      <c r="ULQ8" s="2"/>
      <c r="ULR8" s="2"/>
      <c r="ULS8" s="2"/>
      <c r="ULT8" s="2"/>
      <c r="ULU8" s="2"/>
      <c r="ULV8" s="2"/>
      <c r="ULW8" s="2"/>
      <c r="ULX8" s="2"/>
      <c r="ULY8" s="2"/>
      <c r="ULZ8" s="2"/>
      <c r="UMA8" s="2"/>
      <c r="UMB8" s="2"/>
      <c r="UMC8" s="2"/>
      <c r="UMD8" s="2"/>
      <c r="UME8" s="2"/>
      <c r="UMF8" s="2"/>
      <c r="UMG8" s="2"/>
      <c r="UMH8" s="2"/>
      <c r="UMI8" s="2"/>
      <c r="UMJ8" s="2"/>
      <c r="UMK8" s="2"/>
      <c r="UML8" s="2"/>
      <c r="UMM8" s="2"/>
      <c r="UMN8" s="2"/>
      <c r="UMO8" s="2"/>
      <c r="UMP8" s="2"/>
      <c r="UMQ8" s="2"/>
      <c r="UMR8" s="2"/>
      <c r="UMS8" s="2"/>
      <c r="UMT8" s="2"/>
      <c r="UMU8" s="2"/>
      <c r="UMV8" s="2"/>
      <c r="UMW8" s="2"/>
      <c r="UMX8" s="2"/>
      <c r="UMY8" s="2"/>
      <c r="UMZ8" s="2"/>
      <c r="UNA8" s="2"/>
      <c r="UNB8" s="2"/>
      <c r="UNC8" s="2"/>
      <c r="UND8" s="2"/>
      <c r="UNE8" s="2"/>
      <c r="UNF8" s="2"/>
      <c r="UNG8" s="2"/>
      <c r="UNH8" s="2"/>
      <c r="UNI8" s="2"/>
      <c r="UNJ8" s="2"/>
      <c r="UNK8" s="2"/>
      <c r="UNL8" s="2"/>
      <c r="UNM8" s="2"/>
      <c r="UNN8" s="2"/>
      <c r="UNO8" s="2"/>
      <c r="UNP8" s="2"/>
      <c r="UNQ8" s="2"/>
      <c r="UNR8" s="2"/>
      <c r="UNS8" s="2"/>
      <c r="UNT8" s="2"/>
      <c r="UNU8" s="2"/>
      <c r="UNV8" s="2"/>
      <c r="UNW8" s="2"/>
      <c r="UNX8" s="2"/>
      <c r="UNY8" s="2"/>
      <c r="UNZ8" s="2"/>
      <c r="UOA8" s="2"/>
      <c r="UOB8" s="2"/>
      <c r="UOC8" s="2"/>
      <c r="UOD8" s="2"/>
      <c r="UOE8" s="2"/>
      <c r="UOF8" s="2"/>
      <c r="UOG8" s="2"/>
      <c r="UOH8" s="2"/>
      <c r="UOI8" s="2"/>
      <c r="UOJ8" s="2"/>
      <c r="UOK8" s="2"/>
      <c r="UOL8" s="2"/>
      <c r="UOM8" s="2"/>
      <c r="UON8" s="2"/>
      <c r="UOO8" s="2"/>
      <c r="UOP8" s="2"/>
      <c r="UOQ8" s="2"/>
      <c r="UOR8" s="2"/>
      <c r="UOS8" s="2"/>
      <c r="UOT8" s="2"/>
      <c r="UOU8" s="2"/>
      <c r="UOV8" s="2"/>
      <c r="UOW8" s="2"/>
      <c r="UOX8" s="2"/>
      <c r="UOY8" s="2"/>
      <c r="UOZ8" s="2"/>
      <c r="UPA8" s="2"/>
      <c r="UPB8" s="2"/>
      <c r="UPC8" s="2"/>
      <c r="UPD8" s="2"/>
      <c r="UPE8" s="2"/>
      <c r="UPF8" s="2"/>
      <c r="UPG8" s="2"/>
      <c r="UPH8" s="2"/>
      <c r="UPI8" s="2"/>
      <c r="UPJ8" s="2"/>
      <c r="UPK8" s="2"/>
      <c r="UPL8" s="2"/>
      <c r="UPM8" s="2"/>
      <c r="UPN8" s="2"/>
      <c r="UPO8" s="2"/>
      <c r="UPP8" s="2"/>
      <c r="UPQ8" s="2"/>
      <c r="UPR8" s="2"/>
      <c r="UPS8" s="2"/>
      <c r="UPT8" s="2"/>
      <c r="UPU8" s="2"/>
      <c r="UPV8" s="2"/>
      <c r="UPW8" s="2"/>
      <c r="UPX8" s="2"/>
      <c r="UPY8" s="2"/>
      <c r="UPZ8" s="2"/>
      <c r="UQA8" s="2"/>
      <c r="UQB8" s="2"/>
      <c r="UQC8" s="2"/>
      <c r="UQD8" s="2"/>
      <c r="UQE8" s="2"/>
      <c r="UQF8" s="2"/>
      <c r="UQG8" s="2"/>
      <c r="UQH8" s="2"/>
      <c r="UQI8" s="2"/>
      <c r="UQJ8" s="2"/>
      <c r="UQK8" s="2"/>
      <c r="UQL8" s="2"/>
      <c r="UQM8" s="2"/>
      <c r="UQN8" s="2"/>
      <c r="UQO8" s="2"/>
      <c r="UQP8" s="2"/>
      <c r="UQQ8" s="2"/>
      <c r="UQR8" s="2"/>
      <c r="UQS8" s="2"/>
      <c r="UQT8" s="2"/>
      <c r="UQU8" s="2"/>
      <c r="UQV8" s="2"/>
      <c r="UQW8" s="2"/>
      <c r="UQX8" s="2"/>
      <c r="UQY8" s="2"/>
      <c r="UQZ8" s="2"/>
      <c r="URA8" s="2"/>
      <c r="URB8" s="2"/>
      <c r="URC8" s="2"/>
      <c r="URD8" s="2"/>
      <c r="URE8" s="2"/>
      <c r="URF8" s="2"/>
      <c r="URG8" s="2"/>
      <c r="URH8" s="2"/>
      <c r="URI8" s="2"/>
      <c r="URJ8" s="2"/>
      <c r="URK8" s="2"/>
      <c r="URL8" s="2"/>
      <c r="URM8" s="2"/>
      <c r="URN8" s="2"/>
      <c r="URO8" s="2"/>
      <c r="URP8" s="2"/>
      <c r="URQ8" s="2"/>
      <c r="URR8" s="2"/>
      <c r="URS8" s="2"/>
      <c r="URT8" s="2"/>
      <c r="URU8" s="2"/>
      <c r="URV8" s="2"/>
      <c r="URW8" s="2"/>
      <c r="URX8" s="2"/>
      <c r="URY8" s="2"/>
      <c r="URZ8" s="2"/>
      <c r="USA8" s="2"/>
      <c r="USB8" s="2"/>
      <c r="USC8" s="2"/>
      <c r="USD8" s="2"/>
      <c r="USE8" s="2"/>
      <c r="USF8" s="2"/>
      <c r="USG8" s="2"/>
      <c r="USH8" s="2"/>
      <c r="USI8" s="2"/>
      <c r="USJ8" s="2"/>
      <c r="USK8" s="2"/>
      <c r="USL8" s="2"/>
      <c r="USM8" s="2"/>
      <c r="USN8" s="2"/>
      <c r="USO8" s="2"/>
      <c r="USP8" s="2"/>
      <c r="USQ8" s="2"/>
      <c r="USR8" s="2"/>
      <c r="USS8" s="2"/>
      <c r="UST8" s="2"/>
      <c r="USU8" s="2"/>
      <c r="USV8" s="2"/>
      <c r="USW8" s="2"/>
      <c r="USX8" s="2"/>
      <c r="USY8" s="2"/>
      <c r="USZ8" s="2"/>
      <c r="UTA8" s="2"/>
      <c r="UTB8" s="2"/>
      <c r="UTC8" s="2"/>
      <c r="UTD8" s="2"/>
      <c r="UTE8" s="2"/>
      <c r="UTF8" s="2"/>
      <c r="UTG8" s="2"/>
      <c r="UTH8" s="2"/>
      <c r="UTI8" s="2"/>
      <c r="UTJ8" s="2"/>
      <c r="UTK8" s="2"/>
      <c r="UTL8" s="2"/>
      <c r="UTM8" s="2"/>
      <c r="UTN8" s="2"/>
      <c r="UTO8" s="2"/>
      <c r="UTP8" s="2"/>
      <c r="UTQ8" s="2"/>
      <c r="UTR8" s="2"/>
      <c r="UTS8" s="2"/>
      <c r="UTT8" s="2"/>
      <c r="UTU8" s="2"/>
      <c r="UTV8" s="2"/>
      <c r="UTW8" s="2"/>
      <c r="UTX8" s="2"/>
      <c r="UTY8" s="2"/>
      <c r="UTZ8" s="2"/>
      <c r="UUA8" s="2"/>
      <c r="UUB8" s="2"/>
      <c r="UUC8" s="2"/>
      <c r="UUD8" s="2"/>
      <c r="UUE8" s="2"/>
      <c r="UUF8" s="2"/>
      <c r="UUG8" s="2"/>
      <c r="UUH8" s="2"/>
      <c r="UUI8" s="2"/>
      <c r="UUJ8" s="2"/>
      <c r="UUK8" s="2"/>
      <c r="UUL8" s="2"/>
      <c r="UUM8" s="2"/>
      <c r="UUN8" s="2"/>
      <c r="UUO8" s="2"/>
      <c r="UUP8" s="2"/>
      <c r="UUQ8" s="2"/>
      <c r="UUR8" s="2"/>
      <c r="UUS8" s="2"/>
      <c r="UUT8" s="2"/>
      <c r="UUU8" s="2"/>
      <c r="UUV8" s="2"/>
      <c r="UUW8" s="2"/>
      <c r="UUX8" s="2"/>
      <c r="UUY8" s="2"/>
      <c r="UUZ8" s="2"/>
      <c r="UVA8" s="2"/>
      <c r="UVB8" s="2"/>
      <c r="UVC8" s="2"/>
      <c r="UVD8" s="2"/>
      <c r="UVE8" s="2"/>
      <c r="UVF8" s="2"/>
      <c r="UVG8" s="2"/>
      <c r="UVH8" s="2"/>
      <c r="UVI8" s="2"/>
      <c r="UVJ8" s="2"/>
      <c r="UVK8" s="2"/>
      <c r="UVL8" s="2"/>
      <c r="UVM8" s="2"/>
      <c r="UVN8" s="2"/>
      <c r="UVO8" s="2"/>
      <c r="UVP8" s="2"/>
      <c r="UVQ8" s="2"/>
      <c r="UVR8" s="2"/>
      <c r="UVS8" s="2"/>
      <c r="UVT8" s="2"/>
      <c r="UVU8" s="2"/>
      <c r="UVV8" s="2"/>
      <c r="UVW8" s="2"/>
      <c r="UVX8" s="2"/>
      <c r="UVY8" s="2"/>
      <c r="UVZ8" s="2"/>
      <c r="UWA8" s="2"/>
      <c r="UWB8" s="2"/>
      <c r="UWC8" s="2"/>
      <c r="UWD8" s="2"/>
      <c r="UWE8" s="2"/>
      <c r="UWF8" s="2"/>
      <c r="UWG8" s="2"/>
      <c r="UWH8" s="2"/>
      <c r="UWI8" s="2"/>
      <c r="UWJ8" s="2"/>
      <c r="UWK8" s="2"/>
      <c r="UWL8" s="2"/>
      <c r="UWM8" s="2"/>
      <c r="UWN8" s="2"/>
      <c r="UWO8" s="2"/>
      <c r="UWP8" s="2"/>
      <c r="UWQ8" s="2"/>
      <c r="UWR8" s="2"/>
      <c r="UWS8" s="2"/>
      <c r="UWT8" s="2"/>
      <c r="UWU8" s="2"/>
      <c r="UWV8" s="2"/>
      <c r="UWW8" s="2"/>
      <c r="UWX8" s="2"/>
      <c r="UWY8" s="2"/>
      <c r="UWZ8" s="2"/>
      <c r="UXA8" s="2"/>
      <c r="UXB8" s="2"/>
      <c r="UXC8" s="2"/>
      <c r="UXD8" s="2"/>
      <c r="UXE8" s="2"/>
      <c r="UXF8" s="2"/>
      <c r="UXG8" s="2"/>
      <c r="UXH8" s="2"/>
      <c r="UXI8" s="2"/>
      <c r="UXJ8" s="2"/>
      <c r="UXK8" s="2"/>
      <c r="UXL8" s="2"/>
      <c r="UXM8" s="2"/>
      <c r="UXN8" s="2"/>
      <c r="UXO8" s="2"/>
      <c r="UXP8" s="2"/>
      <c r="UXQ8" s="2"/>
      <c r="UXR8" s="2"/>
      <c r="UXS8" s="2"/>
      <c r="UXT8" s="2"/>
      <c r="UXU8" s="2"/>
      <c r="UXV8" s="2"/>
      <c r="UXW8" s="2"/>
      <c r="UXX8" s="2"/>
      <c r="UXY8" s="2"/>
      <c r="UXZ8" s="2"/>
      <c r="UYA8" s="2"/>
      <c r="UYB8" s="2"/>
      <c r="UYC8" s="2"/>
      <c r="UYD8" s="2"/>
      <c r="UYE8" s="2"/>
      <c r="UYF8" s="2"/>
      <c r="UYG8" s="2"/>
      <c r="UYH8" s="2"/>
      <c r="UYI8" s="2"/>
      <c r="UYJ8" s="2"/>
      <c r="UYK8" s="2"/>
      <c r="UYL8" s="2"/>
      <c r="UYM8" s="2"/>
      <c r="UYN8" s="2"/>
      <c r="UYO8" s="2"/>
      <c r="UYP8" s="2"/>
      <c r="UYQ8" s="2"/>
      <c r="UYR8" s="2"/>
      <c r="UYS8" s="2"/>
      <c r="UYT8" s="2"/>
      <c r="UYU8" s="2"/>
      <c r="UYV8" s="2"/>
      <c r="UYW8" s="2"/>
      <c r="UYX8" s="2"/>
      <c r="UYY8" s="2"/>
      <c r="UYZ8" s="2"/>
      <c r="UZA8" s="2"/>
      <c r="UZB8" s="2"/>
      <c r="UZC8" s="2"/>
      <c r="UZD8" s="2"/>
      <c r="UZE8" s="2"/>
      <c r="UZF8" s="2"/>
      <c r="UZG8" s="2"/>
      <c r="UZH8" s="2"/>
      <c r="UZI8" s="2"/>
      <c r="UZJ8" s="2"/>
      <c r="UZK8" s="2"/>
      <c r="UZL8" s="2"/>
      <c r="UZM8" s="2"/>
      <c r="UZN8" s="2"/>
      <c r="UZO8" s="2"/>
      <c r="UZP8" s="2"/>
      <c r="UZQ8" s="2"/>
      <c r="UZR8" s="2"/>
      <c r="UZS8" s="2"/>
      <c r="UZT8" s="2"/>
      <c r="UZU8" s="2"/>
      <c r="UZV8" s="2"/>
      <c r="UZW8" s="2"/>
      <c r="UZX8" s="2"/>
      <c r="UZY8" s="2"/>
      <c r="UZZ8" s="2"/>
      <c r="VAA8" s="2"/>
      <c r="VAB8" s="2"/>
      <c r="VAC8" s="2"/>
      <c r="VAD8" s="2"/>
      <c r="VAE8" s="2"/>
      <c r="VAF8" s="2"/>
      <c r="VAG8" s="2"/>
      <c r="VAH8" s="2"/>
      <c r="VAI8" s="2"/>
      <c r="VAJ8" s="2"/>
      <c r="VAK8" s="2"/>
      <c r="VAL8" s="2"/>
      <c r="VAM8" s="2"/>
      <c r="VAN8" s="2"/>
      <c r="VAO8" s="2"/>
      <c r="VAP8" s="2"/>
      <c r="VAQ8" s="2"/>
      <c r="VAR8" s="2"/>
      <c r="VAS8" s="2"/>
      <c r="VAT8" s="2"/>
      <c r="VAU8" s="2"/>
      <c r="VAV8" s="2"/>
      <c r="VAW8" s="2"/>
      <c r="VAX8" s="2"/>
      <c r="VAY8" s="2"/>
      <c r="VAZ8" s="2"/>
      <c r="VBA8" s="2"/>
      <c r="VBB8" s="2"/>
      <c r="VBC8" s="2"/>
      <c r="VBD8" s="2"/>
      <c r="VBE8" s="2"/>
      <c r="VBF8" s="2"/>
      <c r="VBG8" s="2"/>
      <c r="VBH8" s="2"/>
      <c r="VBI8" s="2"/>
      <c r="VBJ8" s="2"/>
      <c r="VBK8" s="2"/>
      <c r="VBL8" s="2"/>
      <c r="VBM8" s="2"/>
      <c r="VBN8" s="2"/>
      <c r="VBO8" s="2"/>
      <c r="VBP8" s="2"/>
      <c r="VBQ8" s="2"/>
      <c r="VBR8" s="2"/>
      <c r="VBS8" s="2"/>
      <c r="VBT8" s="2"/>
      <c r="VBU8" s="2"/>
      <c r="VBV8" s="2"/>
      <c r="VBW8" s="2"/>
      <c r="VBX8" s="2"/>
      <c r="VBY8" s="2"/>
      <c r="VBZ8" s="2"/>
      <c r="VCA8" s="2"/>
      <c r="VCB8" s="2"/>
      <c r="VCC8" s="2"/>
      <c r="VCD8" s="2"/>
      <c r="VCE8" s="2"/>
      <c r="VCF8" s="2"/>
      <c r="VCG8" s="2"/>
      <c r="VCH8" s="2"/>
      <c r="VCI8" s="2"/>
      <c r="VCJ8" s="2"/>
      <c r="VCK8" s="2"/>
      <c r="VCL8" s="2"/>
      <c r="VCM8" s="2"/>
      <c r="VCN8" s="2"/>
      <c r="VCO8" s="2"/>
      <c r="VCP8" s="2"/>
      <c r="VCQ8" s="2"/>
      <c r="VCR8" s="2"/>
      <c r="VCS8" s="2"/>
      <c r="VCT8" s="2"/>
      <c r="VCU8" s="2"/>
      <c r="VCV8" s="2"/>
      <c r="VCW8" s="2"/>
      <c r="VCX8" s="2"/>
      <c r="VCY8" s="2"/>
      <c r="VCZ8" s="2"/>
      <c r="VDA8" s="2"/>
      <c r="VDB8" s="2"/>
      <c r="VDC8" s="2"/>
      <c r="VDD8" s="2"/>
      <c r="VDE8" s="2"/>
      <c r="VDF8" s="2"/>
      <c r="VDG8" s="2"/>
      <c r="VDH8" s="2"/>
      <c r="VDI8" s="2"/>
      <c r="VDJ8" s="2"/>
      <c r="VDK8" s="2"/>
      <c r="VDL8" s="2"/>
      <c r="VDM8" s="2"/>
      <c r="VDN8" s="2"/>
      <c r="VDO8" s="2"/>
      <c r="VDP8" s="2"/>
      <c r="VDQ8" s="2"/>
      <c r="VDR8" s="2"/>
      <c r="VDS8" s="2"/>
      <c r="VDT8" s="2"/>
      <c r="VDU8" s="2"/>
      <c r="VDV8" s="2"/>
      <c r="VDW8" s="2"/>
      <c r="VDX8" s="2"/>
      <c r="VDY8" s="2"/>
      <c r="VDZ8" s="2"/>
      <c r="VEA8" s="2"/>
      <c r="VEB8" s="2"/>
      <c r="VEC8" s="2"/>
      <c r="VED8" s="2"/>
      <c r="VEE8" s="2"/>
      <c r="VEF8" s="2"/>
      <c r="VEG8" s="2"/>
      <c r="VEH8" s="2"/>
      <c r="VEI8" s="2"/>
      <c r="VEJ8" s="2"/>
      <c r="VEK8" s="2"/>
      <c r="VEL8" s="2"/>
      <c r="VEM8" s="2"/>
      <c r="VEN8" s="2"/>
      <c r="VEO8" s="2"/>
      <c r="VEP8" s="2"/>
      <c r="VEQ8" s="2"/>
      <c r="VER8" s="2"/>
      <c r="VES8" s="2"/>
      <c r="VET8" s="2"/>
      <c r="VEU8" s="2"/>
      <c r="VEV8" s="2"/>
      <c r="VEW8" s="2"/>
      <c r="VEX8" s="2"/>
      <c r="VEY8" s="2"/>
      <c r="VEZ8" s="2"/>
      <c r="VFA8" s="2"/>
      <c r="VFB8" s="2"/>
      <c r="VFC8" s="2"/>
      <c r="VFD8" s="2"/>
      <c r="VFE8" s="2"/>
      <c r="VFF8" s="2"/>
      <c r="VFG8" s="2"/>
      <c r="VFH8" s="2"/>
      <c r="VFI8" s="2"/>
      <c r="VFJ8" s="2"/>
      <c r="VFK8" s="2"/>
      <c r="VFL8" s="2"/>
      <c r="VFM8" s="2"/>
      <c r="VFN8" s="2"/>
      <c r="VFO8" s="2"/>
      <c r="VFP8" s="2"/>
      <c r="VFQ8" s="2"/>
      <c r="VFR8" s="2"/>
      <c r="VFS8" s="2"/>
      <c r="VFT8" s="2"/>
      <c r="VFU8" s="2"/>
      <c r="VFV8" s="2"/>
      <c r="VFW8" s="2"/>
      <c r="VFX8" s="2"/>
      <c r="VFY8" s="2"/>
      <c r="VFZ8" s="2"/>
      <c r="VGA8" s="2"/>
      <c r="VGB8" s="2"/>
      <c r="VGC8" s="2"/>
      <c r="VGD8" s="2"/>
      <c r="VGE8" s="2"/>
      <c r="VGF8" s="2"/>
      <c r="VGG8" s="2"/>
      <c r="VGH8" s="2"/>
      <c r="VGI8" s="2"/>
      <c r="VGJ8" s="2"/>
      <c r="VGK8" s="2"/>
      <c r="VGL8" s="2"/>
      <c r="VGM8" s="2"/>
      <c r="VGN8" s="2"/>
      <c r="VGO8" s="2"/>
      <c r="VGP8" s="2"/>
      <c r="VGQ8" s="2"/>
      <c r="VGR8" s="2"/>
      <c r="VGS8" s="2"/>
      <c r="VGT8" s="2"/>
      <c r="VGU8" s="2"/>
      <c r="VGV8" s="2"/>
      <c r="VGW8" s="2"/>
      <c r="VGX8" s="2"/>
      <c r="VGY8" s="2"/>
      <c r="VGZ8" s="2"/>
      <c r="VHA8" s="2"/>
      <c r="VHB8" s="2"/>
      <c r="VHC8" s="2"/>
      <c r="VHD8" s="2"/>
      <c r="VHE8" s="2"/>
      <c r="VHF8" s="2"/>
      <c r="VHG8" s="2"/>
      <c r="VHH8" s="2"/>
      <c r="VHI8" s="2"/>
      <c r="VHJ8" s="2"/>
      <c r="VHK8" s="2"/>
      <c r="VHL8" s="2"/>
      <c r="VHM8" s="2"/>
      <c r="VHN8" s="2"/>
      <c r="VHO8" s="2"/>
      <c r="VHP8" s="2"/>
      <c r="VHQ8" s="2"/>
      <c r="VHR8" s="2"/>
      <c r="VHS8" s="2"/>
      <c r="VHT8" s="2"/>
      <c r="VHU8" s="2"/>
      <c r="VHV8" s="2"/>
      <c r="VHW8" s="2"/>
      <c r="VHX8" s="2"/>
      <c r="VHY8" s="2"/>
      <c r="VHZ8" s="2"/>
      <c r="VIA8" s="2"/>
      <c r="VIB8" s="2"/>
      <c r="VIC8" s="2"/>
      <c r="VID8" s="2"/>
      <c r="VIE8" s="2"/>
      <c r="VIF8" s="2"/>
      <c r="VIG8" s="2"/>
      <c r="VIH8" s="2"/>
      <c r="VII8" s="2"/>
      <c r="VIJ8" s="2"/>
      <c r="VIK8" s="2"/>
      <c r="VIL8" s="2"/>
      <c r="VIM8" s="2"/>
      <c r="VIN8" s="2"/>
      <c r="VIO8" s="2"/>
      <c r="VIP8" s="2"/>
      <c r="VIQ8" s="2"/>
      <c r="VIR8" s="2"/>
      <c r="VIS8" s="2"/>
      <c r="VIT8" s="2"/>
      <c r="VIU8" s="2"/>
      <c r="VIV8" s="2"/>
      <c r="VIW8" s="2"/>
      <c r="VIX8" s="2"/>
      <c r="VIY8" s="2"/>
      <c r="VIZ8" s="2"/>
      <c r="VJA8" s="2"/>
      <c r="VJB8" s="2"/>
      <c r="VJC8" s="2"/>
      <c r="VJD8" s="2"/>
      <c r="VJE8" s="2"/>
      <c r="VJF8" s="2"/>
      <c r="VJG8" s="2"/>
      <c r="VJH8" s="2"/>
      <c r="VJI8" s="2"/>
      <c r="VJJ8" s="2"/>
      <c r="VJK8" s="2"/>
      <c r="VJL8" s="2"/>
      <c r="VJM8" s="2"/>
      <c r="VJN8" s="2"/>
      <c r="VJO8" s="2"/>
      <c r="VJP8" s="2"/>
      <c r="VJQ8" s="2"/>
      <c r="VJR8" s="2"/>
      <c r="VJS8" s="2"/>
      <c r="VJT8" s="2"/>
      <c r="VJU8" s="2"/>
      <c r="VJV8" s="2"/>
      <c r="VJW8" s="2"/>
      <c r="VJX8" s="2"/>
      <c r="VJY8" s="2"/>
      <c r="VJZ8" s="2"/>
      <c r="VKA8" s="2"/>
      <c r="VKB8" s="2"/>
      <c r="VKC8" s="2"/>
      <c r="VKD8" s="2"/>
      <c r="VKE8" s="2"/>
      <c r="VKF8" s="2"/>
      <c r="VKG8" s="2"/>
      <c r="VKH8" s="2"/>
      <c r="VKI8" s="2"/>
      <c r="VKJ8" s="2"/>
      <c r="VKK8" s="2"/>
      <c r="VKL8" s="2"/>
      <c r="VKM8" s="2"/>
      <c r="VKN8" s="2"/>
      <c r="VKO8" s="2"/>
      <c r="VKP8" s="2"/>
      <c r="VKQ8" s="2"/>
      <c r="VKR8" s="2"/>
      <c r="VKS8" s="2"/>
      <c r="VKT8" s="2"/>
      <c r="VKU8" s="2"/>
      <c r="VKV8" s="2"/>
      <c r="VKW8" s="2"/>
      <c r="VKX8" s="2"/>
      <c r="VKY8" s="2"/>
      <c r="VKZ8" s="2"/>
      <c r="VLA8" s="2"/>
      <c r="VLB8" s="2"/>
      <c r="VLC8" s="2"/>
      <c r="VLD8" s="2"/>
      <c r="VLE8" s="2"/>
      <c r="VLF8" s="2"/>
      <c r="VLG8" s="2"/>
      <c r="VLH8" s="2"/>
      <c r="VLI8" s="2"/>
      <c r="VLJ8" s="2"/>
      <c r="VLK8" s="2"/>
      <c r="VLL8" s="2"/>
      <c r="VLM8" s="2"/>
      <c r="VLN8" s="2"/>
      <c r="VLO8" s="2"/>
      <c r="VLP8" s="2"/>
      <c r="VLQ8" s="2"/>
      <c r="VLR8" s="2"/>
      <c r="VLS8" s="2"/>
      <c r="VLT8" s="2"/>
      <c r="VLU8" s="2"/>
      <c r="VLV8" s="2"/>
      <c r="VLW8" s="2"/>
      <c r="VLX8" s="2"/>
      <c r="VLY8" s="2"/>
      <c r="VLZ8" s="2"/>
      <c r="VMA8" s="2"/>
      <c r="VMB8" s="2"/>
      <c r="VMC8" s="2"/>
      <c r="VMD8" s="2"/>
      <c r="VME8" s="2"/>
      <c r="VMF8" s="2"/>
      <c r="VMG8" s="2"/>
      <c r="VMH8" s="2"/>
      <c r="VMI8" s="2"/>
      <c r="VMJ8" s="2"/>
      <c r="VMK8" s="2"/>
      <c r="VML8" s="2"/>
      <c r="VMM8" s="2"/>
      <c r="VMN8" s="2"/>
      <c r="VMO8" s="2"/>
      <c r="VMP8" s="2"/>
      <c r="VMQ8" s="2"/>
      <c r="VMR8" s="2"/>
      <c r="VMS8" s="2"/>
      <c r="VMT8" s="2"/>
      <c r="VMU8" s="2"/>
      <c r="VMV8" s="2"/>
      <c r="VMW8" s="2"/>
      <c r="VMX8" s="2"/>
      <c r="VMY8" s="2"/>
      <c r="VMZ8" s="2"/>
      <c r="VNA8" s="2"/>
      <c r="VNB8" s="2"/>
      <c r="VNC8" s="2"/>
      <c r="VND8" s="2"/>
      <c r="VNE8" s="2"/>
      <c r="VNF8" s="2"/>
      <c r="VNG8" s="2"/>
      <c r="VNH8" s="2"/>
      <c r="VNI8" s="2"/>
      <c r="VNJ8" s="2"/>
      <c r="VNK8" s="2"/>
      <c r="VNL8" s="2"/>
      <c r="VNM8" s="2"/>
      <c r="VNN8" s="2"/>
      <c r="VNO8" s="2"/>
      <c r="VNP8" s="2"/>
      <c r="VNQ8" s="2"/>
      <c r="VNR8" s="2"/>
      <c r="VNS8" s="2"/>
      <c r="VNT8" s="2"/>
      <c r="VNU8" s="2"/>
      <c r="VNV8" s="2"/>
      <c r="VNW8" s="2"/>
      <c r="VNX8" s="2"/>
      <c r="VNY8" s="2"/>
      <c r="VNZ8" s="2"/>
      <c r="VOA8" s="2"/>
      <c r="VOB8" s="2"/>
      <c r="VOC8" s="2"/>
      <c r="VOD8" s="2"/>
      <c r="VOE8" s="2"/>
      <c r="VOF8" s="2"/>
      <c r="VOG8" s="2"/>
      <c r="VOH8" s="2"/>
      <c r="VOI8" s="2"/>
      <c r="VOJ8" s="2"/>
      <c r="VOK8" s="2"/>
      <c r="VOL8" s="2"/>
      <c r="VOM8" s="2"/>
      <c r="VON8" s="2"/>
      <c r="VOO8" s="2"/>
      <c r="VOP8" s="2"/>
      <c r="VOQ8" s="2"/>
      <c r="VOR8" s="2"/>
      <c r="VOS8" s="2"/>
      <c r="VOT8" s="2"/>
      <c r="VOU8" s="2"/>
      <c r="VOV8" s="2"/>
      <c r="VOW8" s="2"/>
      <c r="VOX8" s="2"/>
      <c r="VOY8" s="2"/>
      <c r="VOZ8" s="2"/>
      <c r="VPA8" s="2"/>
      <c r="VPB8" s="2"/>
      <c r="VPC8" s="2"/>
      <c r="VPD8" s="2"/>
      <c r="VPE8" s="2"/>
      <c r="VPF8" s="2"/>
      <c r="VPG8" s="2"/>
      <c r="VPH8" s="2"/>
      <c r="VPI8" s="2"/>
      <c r="VPJ8" s="2"/>
      <c r="VPK8" s="2"/>
      <c r="VPL8" s="2"/>
      <c r="VPM8" s="2"/>
      <c r="VPN8" s="2"/>
      <c r="VPO8" s="2"/>
      <c r="VPP8" s="2"/>
      <c r="VPQ8" s="2"/>
      <c r="VPR8" s="2"/>
      <c r="VPS8" s="2"/>
      <c r="VPT8" s="2"/>
      <c r="VPU8" s="2"/>
      <c r="VPV8" s="2"/>
      <c r="VPW8" s="2"/>
      <c r="VPX8" s="2"/>
      <c r="VPY8" s="2"/>
      <c r="VPZ8" s="2"/>
      <c r="VQA8" s="2"/>
      <c r="VQB8" s="2"/>
      <c r="VQC8" s="2"/>
      <c r="VQD8" s="2"/>
      <c r="VQE8" s="2"/>
      <c r="VQF8" s="2"/>
      <c r="VQG8" s="2"/>
      <c r="VQH8" s="2"/>
      <c r="VQI8" s="2"/>
      <c r="VQJ8" s="2"/>
      <c r="VQK8" s="2"/>
      <c r="VQL8" s="2"/>
      <c r="VQM8" s="2"/>
      <c r="VQN8" s="2"/>
      <c r="VQO8" s="2"/>
      <c r="VQP8" s="2"/>
      <c r="VQQ8" s="2"/>
      <c r="VQR8" s="2"/>
      <c r="VQS8" s="2"/>
      <c r="VQT8" s="2"/>
      <c r="VQU8" s="2"/>
      <c r="VQV8" s="2"/>
      <c r="VQW8" s="2"/>
      <c r="VQX8" s="2"/>
      <c r="VQY8" s="2"/>
      <c r="VQZ8" s="2"/>
      <c r="VRA8" s="2"/>
      <c r="VRB8" s="2"/>
      <c r="VRC8" s="2"/>
      <c r="VRD8" s="2"/>
      <c r="VRE8" s="2"/>
      <c r="VRF8" s="2"/>
      <c r="VRG8" s="2"/>
      <c r="VRH8" s="2"/>
      <c r="VRI8" s="2"/>
      <c r="VRJ8" s="2"/>
      <c r="VRK8" s="2"/>
      <c r="VRL8" s="2"/>
      <c r="VRM8" s="2"/>
      <c r="VRN8" s="2"/>
      <c r="VRO8" s="2"/>
      <c r="VRP8" s="2"/>
      <c r="VRQ8" s="2"/>
      <c r="VRR8" s="2"/>
      <c r="VRS8" s="2"/>
      <c r="VRT8" s="2"/>
      <c r="VRU8" s="2"/>
      <c r="VRV8" s="2"/>
      <c r="VRW8" s="2"/>
      <c r="VRX8" s="2"/>
      <c r="VRY8" s="2"/>
      <c r="VRZ8" s="2"/>
      <c r="VSA8" s="2"/>
      <c r="VSB8" s="2"/>
      <c r="VSC8" s="2"/>
      <c r="VSD8" s="2"/>
      <c r="VSE8" s="2"/>
      <c r="VSF8" s="2"/>
      <c r="VSG8" s="2"/>
      <c r="VSH8" s="2"/>
      <c r="VSI8" s="2"/>
      <c r="VSJ8" s="2"/>
      <c r="VSK8" s="2"/>
      <c r="VSL8" s="2"/>
      <c r="VSM8" s="2"/>
      <c r="VSN8" s="2"/>
      <c r="VSO8" s="2"/>
      <c r="VSP8" s="2"/>
      <c r="VSQ8" s="2"/>
      <c r="VSR8" s="2"/>
      <c r="VSS8" s="2"/>
      <c r="VST8" s="2"/>
      <c r="VSU8" s="2"/>
      <c r="VSV8" s="2"/>
      <c r="VSW8" s="2"/>
      <c r="VSX8" s="2"/>
      <c r="VSY8" s="2"/>
      <c r="VSZ8" s="2"/>
      <c r="VTA8" s="2"/>
      <c r="VTB8" s="2"/>
      <c r="VTC8" s="2"/>
      <c r="VTD8" s="2"/>
      <c r="VTE8" s="2"/>
      <c r="VTF8" s="2"/>
      <c r="VTG8" s="2"/>
      <c r="VTH8" s="2"/>
      <c r="VTI8" s="2"/>
      <c r="VTJ8" s="2"/>
      <c r="VTK8" s="2"/>
      <c r="VTL8" s="2"/>
      <c r="VTM8" s="2"/>
      <c r="VTN8" s="2"/>
      <c r="VTO8" s="2"/>
      <c r="VTP8" s="2"/>
      <c r="VTQ8" s="2"/>
      <c r="VTR8" s="2"/>
      <c r="VTS8" s="2"/>
      <c r="VTT8" s="2"/>
      <c r="VTU8" s="2"/>
      <c r="VTV8" s="2"/>
      <c r="VTW8" s="2"/>
      <c r="VTX8" s="2"/>
      <c r="VTY8" s="2"/>
      <c r="VTZ8" s="2"/>
      <c r="VUA8" s="2"/>
      <c r="VUB8" s="2"/>
      <c r="VUC8" s="2"/>
      <c r="VUD8" s="2"/>
      <c r="VUE8" s="2"/>
      <c r="VUF8" s="2"/>
      <c r="VUG8" s="2"/>
      <c r="VUH8" s="2"/>
      <c r="VUI8" s="2"/>
      <c r="VUJ8" s="2"/>
      <c r="VUK8" s="2"/>
      <c r="VUL8" s="2"/>
      <c r="VUM8" s="2"/>
      <c r="VUN8" s="2"/>
      <c r="VUO8" s="2"/>
      <c r="VUP8" s="2"/>
      <c r="VUQ8" s="2"/>
      <c r="VUR8" s="2"/>
      <c r="VUS8" s="2"/>
      <c r="VUT8" s="2"/>
      <c r="VUU8" s="2"/>
      <c r="VUV8" s="2"/>
      <c r="VUW8" s="2"/>
      <c r="VUX8" s="2"/>
      <c r="VUY8" s="2"/>
      <c r="VUZ8" s="2"/>
      <c r="VVA8" s="2"/>
      <c r="VVB8" s="2"/>
      <c r="VVC8" s="2"/>
      <c r="VVD8" s="2"/>
      <c r="VVE8" s="2"/>
      <c r="VVF8" s="2"/>
      <c r="VVG8" s="2"/>
      <c r="VVH8" s="2"/>
      <c r="VVI8" s="2"/>
      <c r="VVJ8" s="2"/>
      <c r="VVK8" s="2"/>
      <c r="VVL8" s="2"/>
      <c r="VVM8" s="2"/>
      <c r="VVN8" s="2"/>
      <c r="VVO8" s="2"/>
      <c r="VVP8" s="2"/>
      <c r="VVQ8" s="2"/>
      <c r="VVR8" s="2"/>
      <c r="VVS8" s="2"/>
      <c r="VVT8" s="2"/>
      <c r="VVU8" s="2"/>
      <c r="VVV8" s="2"/>
      <c r="VVW8" s="2"/>
      <c r="VVX8" s="2"/>
      <c r="VVY8" s="2"/>
      <c r="VVZ8" s="2"/>
      <c r="VWA8" s="2"/>
      <c r="VWB8" s="2"/>
      <c r="VWC8" s="2"/>
      <c r="VWD8" s="2"/>
      <c r="VWE8" s="2"/>
      <c r="VWF8" s="2"/>
      <c r="VWG8" s="2"/>
      <c r="VWH8" s="2"/>
      <c r="VWI8" s="2"/>
      <c r="VWJ8" s="2"/>
      <c r="VWK8" s="2"/>
      <c r="VWL8" s="2"/>
      <c r="VWM8" s="2"/>
      <c r="VWN8" s="2"/>
      <c r="VWO8" s="2"/>
      <c r="VWP8" s="2"/>
      <c r="VWQ8" s="2"/>
      <c r="VWR8" s="2"/>
      <c r="VWS8" s="2"/>
      <c r="VWT8" s="2"/>
      <c r="VWU8" s="2"/>
      <c r="VWV8" s="2"/>
      <c r="VWW8" s="2"/>
      <c r="VWX8" s="2"/>
      <c r="VWY8" s="2"/>
      <c r="VWZ8" s="2"/>
      <c r="VXA8" s="2"/>
      <c r="VXB8" s="2"/>
      <c r="VXC8" s="2"/>
      <c r="VXD8" s="2"/>
      <c r="VXE8" s="2"/>
      <c r="VXF8" s="2"/>
      <c r="VXG8" s="2"/>
      <c r="VXH8" s="2"/>
      <c r="VXI8" s="2"/>
      <c r="VXJ8" s="2"/>
      <c r="VXK8" s="2"/>
      <c r="VXL8" s="2"/>
      <c r="VXM8" s="2"/>
      <c r="VXN8" s="2"/>
      <c r="VXO8" s="2"/>
      <c r="VXP8" s="2"/>
      <c r="VXQ8" s="2"/>
      <c r="VXR8" s="2"/>
      <c r="VXS8" s="2"/>
      <c r="VXT8" s="2"/>
      <c r="VXU8" s="2"/>
      <c r="VXV8" s="2"/>
      <c r="VXW8" s="2"/>
      <c r="VXX8" s="2"/>
      <c r="VXY8" s="2"/>
      <c r="VXZ8" s="2"/>
      <c r="VYA8" s="2"/>
      <c r="VYB8" s="2"/>
      <c r="VYC8" s="2"/>
      <c r="VYD8" s="2"/>
      <c r="VYE8" s="2"/>
      <c r="VYF8" s="2"/>
      <c r="VYG8" s="2"/>
      <c r="VYH8" s="2"/>
      <c r="VYI8" s="2"/>
      <c r="VYJ8" s="2"/>
      <c r="VYK8" s="2"/>
      <c r="VYL8" s="2"/>
      <c r="VYM8" s="2"/>
      <c r="VYN8" s="2"/>
      <c r="VYO8" s="2"/>
      <c r="VYP8" s="2"/>
      <c r="VYQ8" s="2"/>
      <c r="VYR8" s="2"/>
      <c r="VYS8" s="2"/>
      <c r="VYT8" s="2"/>
      <c r="VYU8" s="2"/>
      <c r="VYV8" s="2"/>
      <c r="VYW8" s="2"/>
      <c r="VYX8" s="2"/>
      <c r="VYY8" s="2"/>
      <c r="VYZ8" s="2"/>
      <c r="VZA8" s="2"/>
      <c r="VZB8" s="2"/>
      <c r="VZC8" s="2"/>
      <c r="VZD8" s="2"/>
      <c r="VZE8" s="2"/>
      <c r="VZF8" s="2"/>
      <c r="VZG8" s="2"/>
      <c r="VZH8" s="2"/>
      <c r="VZI8" s="2"/>
      <c r="VZJ8" s="2"/>
      <c r="VZK8" s="2"/>
      <c r="VZL8" s="2"/>
      <c r="VZM8" s="2"/>
      <c r="VZN8" s="2"/>
      <c r="VZO8" s="2"/>
      <c r="VZP8" s="2"/>
      <c r="VZQ8" s="2"/>
      <c r="VZR8" s="2"/>
      <c r="VZS8" s="2"/>
      <c r="VZT8" s="2"/>
      <c r="VZU8" s="2"/>
      <c r="VZV8" s="2"/>
      <c r="VZW8" s="2"/>
      <c r="VZX8" s="2"/>
      <c r="VZY8" s="2"/>
      <c r="VZZ8" s="2"/>
      <c r="WAA8" s="2"/>
      <c r="WAB8" s="2"/>
      <c r="WAC8" s="2"/>
      <c r="WAD8" s="2"/>
      <c r="WAE8" s="2"/>
      <c r="WAF8" s="2"/>
      <c r="WAG8" s="2"/>
      <c r="WAH8" s="2"/>
      <c r="WAI8" s="2"/>
      <c r="WAJ8" s="2"/>
      <c r="WAK8" s="2"/>
      <c r="WAL8" s="2"/>
      <c r="WAM8" s="2"/>
      <c r="WAN8" s="2"/>
      <c r="WAO8" s="2"/>
      <c r="WAP8" s="2"/>
      <c r="WAQ8" s="2"/>
      <c r="WAR8" s="2"/>
      <c r="WAS8" s="2"/>
      <c r="WAT8" s="2"/>
      <c r="WAU8" s="2"/>
      <c r="WAV8" s="2"/>
      <c r="WAW8" s="2"/>
      <c r="WAX8" s="2"/>
      <c r="WAY8" s="2"/>
      <c r="WAZ8" s="2"/>
      <c r="WBA8" s="2"/>
      <c r="WBB8" s="2"/>
      <c r="WBC8" s="2"/>
      <c r="WBD8" s="2"/>
      <c r="WBE8" s="2"/>
      <c r="WBF8" s="2"/>
      <c r="WBG8" s="2"/>
      <c r="WBH8" s="2"/>
      <c r="WBI8" s="2"/>
      <c r="WBJ8" s="2"/>
      <c r="WBK8" s="2"/>
      <c r="WBL8" s="2"/>
      <c r="WBM8" s="2"/>
      <c r="WBN8" s="2"/>
      <c r="WBO8" s="2"/>
      <c r="WBP8" s="2"/>
      <c r="WBQ8" s="2"/>
      <c r="WBR8" s="2"/>
      <c r="WBS8" s="2"/>
      <c r="WBT8" s="2"/>
      <c r="WBU8" s="2"/>
      <c r="WBV8" s="2"/>
      <c r="WBW8" s="2"/>
      <c r="WBX8" s="2"/>
      <c r="WBY8" s="2"/>
      <c r="WBZ8" s="2"/>
      <c r="WCA8" s="2"/>
      <c r="WCB8" s="2"/>
      <c r="WCC8" s="2"/>
      <c r="WCD8" s="2"/>
      <c r="WCE8" s="2"/>
      <c r="WCF8" s="2"/>
      <c r="WCG8" s="2"/>
      <c r="WCH8" s="2"/>
      <c r="WCI8" s="2"/>
      <c r="WCJ8" s="2"/>
      <c r="WCK8" s="2"/>
      <c r="WCL8" s="2"/>
      <c r="WCM8" s="2"/>
      <c r="WCN8" s="2"/>
      <c r="WCO8" s="2"/>
      <c r="WCP8" s="2"/>
      <c r="WCQ8" s="2"/>
      <c r="WCR8" s="2"/>
      <c r="WCS8" s="2"/>
      <c r="WCT8" s="2"/>
      <c r="WCU8" s="2"/>
      <c r="WCV8" s="2"/>
      <c r="WCW8" s="2"/>
      <c r="WCX8" s="2"/>
      <c r="WCY8" s="2"/>
      <c r="WCZ8" s="2"/>
      <c r="WDA8" s="2"/>
      <c r="WDB8" s="2"/>
      <c r="WDC8" s="2"/>
      <c r="WDD8" s="2"/>
      <c r="WDE8" s="2"/>
      <c r="WDF8" s="2"/>
      <c r="WDG8" s="2"/>
      <c r="WDH8" s="2"/>
      <c r="WDI8" s="2"/>
      <c r="WDJ8" s="2"/>
      <c r="WDK8" s="2"/>
      <c r="WDL8" s="2"/>
      <c r="WDM8" s="2"/>
      <c r="WDN8" s="2"/>
      <c r="WDO8" s="2"/>
      <c r="WDP8" s="2"/>
      <c r="WDQ8" s="2"/>
      <c r="WDR8" s="2"/>
      <c r="WDS8" s="2"/>
      <c r="WDT8" s="2"/>
      <c r="WDU8" s="2"/>
      <c r="WDV8" s="2"/>
      <c r="WDW8" s="2"/>
      <c r="WDX8" s="2"/>
      <c r="WDY8" s="2"/>
      <c r="WDZ8" s="2"/>
      <c r="WEA8" s="2"/>
      <c r="WEB8" s="2"/>
      <c r="WEC8" s="2"/>
      <c r="WED8" s="2"/>
      <c r="WEE8" s="2"/>
      <c r="WEF8" s="2"/>
      <c r="WEG8" s="2"/>
      <c r="WEH8" s="2"/>
      <c r="WEI8" s="2"/>
      <c r="WEJ8" s="2"/>
      <c r="WEK8" s="2"/>
      <c r="WEL8" s="2"/>
      <c r="WEM8" s="2"/>
      <c r="WEN8" s="2"/>
      <c r="WEO8" s="2"/>
      <c r="WEP8" s="2"/>
      <c r="WEQ8" s="2"/>
      <c r="WER8" s="2"/>
      <c r="WES8" s="2"/>
      <c r="WET8" s="2"/>
      <c r="WEU8" s="2"/>
      <c r="WEV8" s="2"/>
      <c r="WEW8" s="2"/>
      <c r="WEX8" s="2"/>
      <c r="WEY8" s="2"/>
      <c r="WEZ8" s="2"/>
      <c r="WFA8" s="2"/>
      <c r="WFB8" s="2"/>
      <c r="WFC8" s="2"/>
      <c r="WFD8" s="2"/>
      <c r="WFE8" s="2"/>
      <c r="WFF8" s="2"/>
      <c r="WFG8" s="2"/>
      <c r="WFH8" s="2"/>
      <c r="WFI8" s="2"/>
      <c r="WFJ8" s="2"/>
      <c r="WFK8" s="2"/>
      <c r="WFL8" s="2"/>
      <c r="WFM8" s="2"/>
      <c r="WFN8" s="2"/>
      <c r="WFO8" s="2"/>
      <c r="WFP8" s="2"/>
      <c r="WFQ8" s="2"/>
      <c r="WFR8" s="2"/>
      <c r="WFS8" s="2"/>
      <c r="WFT8" s="2"/>
      <c r="WFU8" s="2"/>
      <c r="WFV8" s="2"/>
      <c r="WFW8" s="2"/>
      <c r="WFX8" s="2"/>
      <c r="WFY8" s="2"/>
      <c r="WFZ8" s="2"/>
      <c r="WGA8" s="2"/>
      <c r="WGB8" s="2"/>
      <c r="WGC8" s="2"/>
      <c r="WGD8" s="2"/>
      <c r="WGE8" s="2"/>
      <c r="WGF8" s="2"/>
      <c r="WGG8" s="2"/>
      <c r="WGH8" s="2"/>
      <c r="WGI8" s="2"/>
      <c r="WGJ8" s="2"/>
      <c r="WGK8" s="2"/>
      <c r="WGL8" s="2"/>
      <c r="WGM8" s="2"/>
      <c r="WGN8" s="2"/>
      <c r="WGO8" s="2"/>
      <c r="WGP8" s="2"/>
      <c r="WGQ8" s="2"/>
      <c r="WGR8" s="2"/>
      <c r="WGS8" s="2"/>
      <c r="WGT8" s="2"/>
      <c r="WGU8" s="2"/>
      <c r="WGV8" s="2"/>
      <c r="WGW8" s="2"/>
      <c r="WGX8" s="2"/>
      <c r="WGY8" s="2"/>
      <c r="WGZ8" s="2"/>
      <c r="WHA8" s="2"/>
      <c r="WHB8" s="2"/>
      <c r="WHC8" s="2"/>
      <c r="WHD8" s="2"/>
      <c r="WHE8" s="2"/>
      <c r="WHF8" s="2"/>
      <c r="WHG8" s="2"/>
      <c r="WHH8" s="2"/>
      <c r="WHI8" s="2"/>
      <c r="WHJ8" s="2"/>
      <c r="WHK8" s="2"/>
      <c r="WHL8" s="2"/>
      <c r="WHM8" s="2"/>
      <c r="WHN8" s="2"/>
      <c r="WHO8" s="2"/>
      <c r="WHP8" s="2"/>
      <c r="WHQ8" s="2"/>
      <c r="WHR8" s="2"/>
      <c r="WHS8" s="2"/>
      <c r="WHT8" s="2"/>
      <c r="WHU8" s="2"/>
      <c r="WHV8" s="2"/>
      <c r="WHW8" s="2"/>
      <c r="WHX8" s="2"/>
      <c r="WHY8" s="2"/>
      <c r="WHZ8" s="2"/>
      <c r="WIA8" s="2"/>
      <c r="WIB8" s="2"/>
      <c r="WIC8" s="2"/>
      <c r="WID8" s="2"/>
      <c r="WIE8" s="2"/>
      <c r="WIF8" s="2"/>
      <c r="WIG8" s="2"/>
      <c r="WIH8" s="2"/>
      <c r="WII8" s="2"/>
      <c r="WIJ8" s="2"/>
      <c r="WIK8" s="2"/>
      <c r="WIL8" s="2"/>
      <c r="WIM8" s="2"/>
      <c r="WIN8" s="2"/>
      <c r="WIO8" s="2"/>
      <c r="WIP8" s="2"/>
      <c r="WIQ8" s="2"/>
      <c r="WIR8" s="2"/>
      <c r="WIS8" s="2"/>
      <c r="WIT8" s="2"/>
      <c r="WIU8" s="2"/>
      <c r="WIV8" s="2"/>
      <c r="WIW8" s="2"/>
      <c r="WIX8" s="2"/>
      <c r="WIY8" s="2"/>
      <c r="WIZ8" s="2"/>
      <c r="WJA8" s="2"/>
      <c r="WJB8" s="2"/>
      <c r="WJC8" s="2"/>
      <c r="WJD8" s="2"/>
      <c r="WJE8" s="2"/>
      <c r="WJF8" s="2"/>
      <c r="WJG8" s="2"/>
      <c r="WJH8" s="2"/>
      <c r="WJI8" s="2"/>
      <c r="WJJ8" s="2"/>
      <c r="WJK8" s="2"/>
      <c r="WJL8" s="2"/>
      <c r="WJM8" s="2"/>
      <c r="WJN8" s="2"/>
      <c r="WJO8" s="2"/>
      <c r="WJP8" s="2"/>
      <c r="WJQ8" s="2"/>
      <c r="WJR8" s="2"/>
      <c r="WJS8" s="2"/>
      <c r="WJT8" s="2"/>
      <c r="WJU8" s="2"/>
      <c r="WJV8" s="2"/>
      <c r="WJW8" s="2"/>
      <c r="WJX8" s="2"/>
      <c r="WJY8" s="2"/>
      <c r="WJZ8" s="2"/>
      <c r="WKA8" s="2"/>
      <c r="WKB8" s="2"/>
      <c r="WKC8" s="2"/>
      <c r="WKD8" s="2"/>
      <c r="WKE8" s="2"/>
      <c r="WKF8" s="2"/>
      <c r="WKG8" s="2"/>
      <c r="WKH8" s="2"/>
      <c r="WKI8" s="2"/>
      <c r="WKJ8" s="2"/>
      <c r="WKK8" s="2"/>
      <c r="WKL8" s="2"/>
      <c r="WKM8" s="2"/>
      <c r="WKN8" s="2"/>
      <c r="WKO8" s="2"/>
      <c r="WKP8" s="2"/>
      <c r="WKQ8" s="2"/>
      <c r="WKR8" s="2"/>
      <c r="WKS8" s="2"/>
      <c r="WKT8" s="2"/>
      <c r="WKU8" s="2"/>
      <c r="WKV8" s="2"/>
      <c r="WKW8" s="2"/>
      <c r="WKX8" s="2"/>
      <c r="WKY8" s="2"/>
      <c r="WKZ8" s="2"/>
      <c r="WLA8" s="2"/>
      <c r="WLB8" s="2"/>
      <c r="WLC8" s="2"/>
      <c r="WLD8" s="2"/>
      <c r="WLE8" s="2"/>
      <c r="WLF8" s="2"/>
      <c r="WLG8" s="2"/>
      <c r="WLH8" s="2"/>
      <c r="WLI8" s="2"/>
      <c r="WLJ8" s="2"/>
      <c r="WLK8" s="2"/>
      <c r="WLL8" s="2"/>
      <c r="WLM8" s="2"/>
      <c r="WLN8" s="2"/>
      <c r="WLO8" s="2"/>
      <c r="WLP8" s="2"/>
      <c r="WLQ8" s="2"/>
      <c r="WLR8" s="2"/>
      <c r="WLS8" s="2"/>
      <c r="WLT8" s="2"/>
      <c r="WLU8" s="2"/>
      <c r="WLV8" s="2"/>
      <c r="WLW8" s="2"/>
      <c r="WLX8" s="2"/>
      <c r="WLY8" s="2"/>
      <c r="WLZ8" s="2"/>
      <c r="WMA8" s="2"/>
      <c r="WMB8" s="2"/>
      <c r="WMC8" s="2"/>
      <c r="WMD8" s="2"/>
      <c r="WME8" s="2"/>
      <c r="WMF8" s="2"/>
      <c r="WMG8" s="2"/>
      <c r="WMH8" s="2"/>
      <c r="WMI8" s="2"/>
      <c r="WMJ8" s="2"/>
      <c r="WMK8" s="2"/>
      <c r="WML8" s="2"/>
      <c r="WMM8" s="2"/>
      <c r="WMN8" s="2"/>
      <c r="WMO8" s="2"/>
      <c r="WMP8" s="2"/>
      <c r="WMQ8" s="2"/>
      <c r="WMR8" s="2"/>
      <c r="WMS8" s="2"/>
      <c r="WMT8" s="2"/>
      <c r="WMU8" s="2"/>
      <c r="WMV8" s="2"/>
      <c r="WMW8" s="2"/>
      <c r="WMX8" s="2"/>
      <c r="WMY8" s="2"/>
      <c r="WMZ8" s="2"/>
      <c r="WNA8" s="2"/>
      <c r="WNB8" s="2"/>
      <c r="WNC8" s="2"/>
      <c r="WND8" s="2"/>
      <c r="WNE8" s="2"/>
      <c r="WNF8" s="2"/>
      <c r="WNG8" s="2"/>
      <c r="WNH8" s="2"/>
      <c r="WNI8" s="2"/>
      <c r="WNJ8" s="2"/>
      <c r="WNK8" s="2"/>
      <c r="WNL8" s="2"/>
      <c r="WNM8" s="2"/>
      <c r="WNN8" s="2"/>
      <c r="WNO8" s="2"/>
      <c r="WNP8" s="2"/>
      <c r="WNQ8" s="2"/>
      <c r="WNR8" s="2"/>
      <c r="WNS8" s="2"/>
      <c r="WNT8" s="2"/>
      <c r="WNU8" s="2"/>
      <c r="WNV8" s="2"/>
      <c r="WNW8" s="2"/>
      <c r="WNX8" s="2"/>
      <c r="WNY8" s="2"/>
      <c r="WNZ8" s="2"/>
      <c r="WOA8" s="2"/>
      <c r="WOB8" s="2"/>
      <c r="WOC8" s="2"/>
      <c r="WOD8" s="2"/>
      <c r="WOE8" s="2"/>
      <c r="WOF8" s="2"/>
      <c r="WOG8" s="2"/>
      <c r="WOH8" s="2"/>
      <c r="WOI8" s="2"/>
      <c r="WOJ8" s="2"/>
      <c r="WOK8" s="2"/>
      <c r="WOL8" s="2"/>
      <c r="WOM8" s="2"/>
      <c r="WON8" s="2"/>
      <c r="WOO8" s="2"/>
      <c r="WOP8" s="2"/>
      <c r="WOQ8" s="2"/>
      <c r="WOR8" s="2"/>
      <c r="WOS8" s="2"/>
      <c r="WOT8" s="2"/>
      <c r="WOU8" s="2"/>
      <c r="WOV8" s="2"/>
      <c r="WOW8" s="2"/>
      <c r="WOX8" s="2"/>
      <c r="WOY8" s="2"/>
      <c r="WOZ8" s="2"/>
      <c r="WPA8" s="2"/>
      <c r="WPB8" s="2"/>
      <c r="WPC8" s="2"/>
      <c r="WPD8" s="2"/>
      <c r="WPE8" s="2"/>
      <c r="WPF8" s="2"/>
      <c r="WPG8" s="2"/>
      <c r="WPH8" s="2"/>
      <c r="WPI8" s="2"/>
      <c r="WPJ8" s="2"/>
      <c r="WPK8" s="2"/>
      <c r="WPL8" s="2"/>
      <c r="WPM8" s="2"/>
      <c r="WPN8" s="2"/>
      <c r="WPO8" s="2"/>
      <c r="WPP8" s="2"/>
      <c r="WPQ8" s="2"/>
      <c r="WPR8" s="2"/>
      <c r="WPS8" s="2"/>
      <c r="WPT8" s="2"/>
      <c r="WPU8" s="2"/>
      <c r="WPV8" s="2"/>
      <c r="WPW8" s="2"/>
      <c r="WPX8" s="2"/>
      <c r="WPY8" s="2"/>
      <c r="WPZ8" s="2"/>
      <c r="WQA8" s="2"/>
      <c r="WQB8" s="2"/>
      <c r="WQC8" s="2"/>
      <c r="WQD8" s="2"/>
      <c r="WQE8" s="2"/>
      <c r="WQF8" s="2"/>
      <c r="WQG8" s="2"/>
      <c r="WQH8" s="2"/>
      <c r="WQI8" s="2"/>
      <c r="WQJ8" s="2"/>
      <c r="WQK8" s="2"/>
      <c r="WQL8" s="2"/>
      <c r="WQM8" s="2"/>
      <c r="WQN8" s="2"/>
      <c r="WQO8" s="2"/>
      <c r="WQP8" s="2"/>
      <c r="WQQ8" s="2"/>
      <c r="WQR8" s="2"/>
      <c r="WQS8" s="2"/>
      <c r="WQT8" s="2"/>
      <c r="WQU8" s="2"/>
      <c r="WQV8" s="2"/>
      <c r="WQW8" s="2"/>
      <c r="WQX8" s="2"/>
      <c r="WQY8" s="2"/>
      <c r="WQZ8" s="2"/>
      <c r="WRA8" s="2"/>
      <c r="WRB8" s="2"/>
      <c r="WRC8" s="2"/>
      <c r="WRD8" s="2"/>
      <c r="WRE8" s="2"/>
      <c r="WRF8" s="2"/>
      <c r="WRG8" s="2"/>
      <c r="WRH8" s="2"/>
      <c r="WRI8" s="2"/>
      <c r="WRJ8" s="2"/>
      <c r="WRK8" s="2"/>
      <c r="WRL8" s="2"/>
      <c r="WRM8" s="2"/>
      <c r="WRN8" s="2"/>
      <c r="WRO8" s="2"/>
      <c r="WRP8" s="2"/>
      <c r="WRQ8" s="2"/>
      <c r="WRR8" s="2"/>
      <c r="WRS8" s="2"/>
      <c r="WRT8" s="2"/>
      <c r="WRU8" s="2"/>
      <c r="WRV8" s="2"/>
      <c r="WRW8" s="2"/>
      <c r="WRX8" s="2"/>
      <c r="WRY8" s="2"/>
      <c r="WRZ8" s="2"/>
      <c r="WSA8" s="2"/>
      <c r="WSB8" s="2"/>
      <c r="WSC8" s="2"/>
      <c r="WSD8" s="2"/>
      <c r="WSE8" s="2"/>
      <c r="WSF8" s="2"/>
      <c r="WSG8" s="2"/>
      <c r="WSH8" s="2"/>
      <c r="WSI8" s="2"/>
      <c r="WSJ8" s="2"/>
      <c r="WSK8" s="2"/>
      <c r="WSL8" s="2"/>
      <c r="WSM8" s="2"/>
      <c r="WSN8" s="2"/>
      <c r="WSO8" s="2"/>
      <c r="WSP8" s="2"/>
      <c r="WSQ8" s="2"/>
      <c r="WSR8" s="2"/>
      <c r="WSS8" s="2"/>
      <c r="WST8" s="2"/>
      <c r="WSU8" s="2"/>
      <c r="WSV8" s="2"/>
      <c r="WSW8" s="2"/>
      <c r="WSX8" s="2"/>
      <c r="WSY8" s="2"/>
      <c r="WSZ8" s="2"/>
      <c r="WTA8" s="2"/>
      <c r="WTB8" s="2"/>
      <c r="WTC8" s="2"/>
      <c r="WTD8" s="2"/>
      <c r="WTE8" s="2"/>
      <c r="WTF8" s="2"/>
      <c r="WTG8" s="2"/>
      <c r="WTH8" s="2"/>
      <c r="WTI8" s="2"/>
      <c r="WTJ8" s="2"/>
      <c r="WTK8" s="2"/>
      <c r="WTL8" s="2"/>
      <c r="WTM8" s="2"/>
      <c r="WTN8" s="2"/>
      <c r="WTO8" s="2"/>
      <c r="WTP8" s="2"/>
      <c r="WTQ8" s="2"/>
      <c r="WTR8" s="2"/>
      <c r="WTS8" s="2"/>
      <c r="WTT8" s="2"/>
      <c r="WTU8" s="2"/>
      <c r="WTV8" s="2"/>
      <c r="WTW8" s="2"/>
      <c r="WTX8" s="2"/>
      <c r="WTY8" s="2"/>
      <c r="WTZ8" s="2"/>
      <c r="WUA8" s="2"/>
      <c r="WUB8" s="2"/>
      <c r="WUC8" s="2"/>
      <c r="WUD8" s="2"/>
      <c r="WUE8" s="2"/>
      <c r="WUF8" s="2"/>
      <c r="WUG8" s="2"/>
      <c r="WUH8" s="2"/>
      <c r="WUI8" s="2"/>
      <c r="WUJ8" s="2"/>
      <c r="WUK8" s="2"/>
      <c r="WUL8" s="2"/>
      <c r="WUM8" s="2"/>
      <c r="WUN8" s="2"/>
      <c r="WUO8" s="2"/>
      <c r="WUP8" s="2"/>
      <c r="WUQ8" s="2"/>
      <c r="WUR8" s="2"/>
      <c r="WUS8" s="2"/>
      <c r="WUT8" s="2"/>
      <c r="WUU8" s="2"/>
      <c r="WUV8" s="2"/>
      <c r="WUW8" s="2"/>
      <c r="WUX8" s="2"/>
      <c r="WUY8" s="2"/>
      <c r="WUZ8" s="2"/>
      <c r="WVA8" s="2"/>
      <c r="WVB8" s="2"/>
      <c r="WVC8" s="2"/>
      <c r="WVD8" s="2"/>
      <c r="WVE8" s="2"/>
      <c r="WVF8" s="2"/>
      <c r="WVG8" s="2"/>
      <c r="WVH8" s="2"/>
      <c r="WVI8" s="2"/>
      <c r="WVJ8" s="2"/>
      <c r="WVK8" s="2"/>
      <c r="WVL8" s="2"/>
      <c r="WVM8" s="2"/>
      <c r="WVN8" s="2"/>
      <c r="WVO8" s="2"/>
      <c r="WVP8" s="2"/>
      <c r="WVQ8" s="2"/>
      <c r="WVR8" s="2"/>
      <c r="WVS8" s="2"/>
      <c r="WVT8" s="2"/>
      <c r="WVU8" s="2"/>
      <c r="WVV8" s="2"/>
      <c r="WVW8" s="2"/>
      <c r="WVX8" s="2"/>
      <c r="WVY8" s="2"/>
      <c r="WVZ8" s="2"/>
      <c r="WWA8" s="2"/>
      <c r="WWB8" s="2"/>
      <c r="WWC8" s="2"/>
      <c r="WWD8" s="2"/>
      <c r="WWE8" s="2"/>
      <c r="WWF8" s="2"/>
      <c r="WWG8" s="2"/>
      <c r="WWH8" s="2"/>
      <c r="WWI8" s="2"/>
      <c r="WWJ8" s="2"/>
      <c r="WWK8" s="2"/>
      <c r="WWL8" s="2"/>
      <c r="WWM8" s="2"/>
      <c r="WWN8" s="2"/>
      <c r="WWO8" s="2"/>
      <c r="WWP8" s="2"/>
      <c r="WWQ8" s="2"/>
      <c r="WWR8" s="2"/>
      <c r="WWS8" s="2"/>
      <c r="WWT8" s="2"/>
      <c r="WWU8" s="2"/>
      <c r="WWV8" s="2"/>
      <c r="WWW8" s="2"/>
      <c r="WWX8" s="2"/>
      <c r="WWY8" s="2"/>
      <c r="WWZ8" s="2"/>
      <c r="WXA8" s="2"/>
      <c r="WXB8" s="2"/>
      <c r="WXC8" s="2"/>
      <c r="WXD8" s="2"/>
      <c r="WXE8" s="2"/>
      <c r="WXF8" s="2"/>
      <c r="WXG8" s="2"/>
      <c r="WXH8" s="2"/>
      <c r="WXI8" s="2"/>
      <c r="WXJ8" s="2"/>
      <c r="WXK8" s="2"/>
      <c r="WXL8" s="2"/>
      <c r="WXM8" s="2"/>
      <c r="WXN8" s="2"/>
      <c r="WXO8" s="2"/>
      <c r="WXP8" s="2"/>
      <c r="WXQ8" s="2"/>
      <c r="WXR8" s="2"/>
      <c r="WXS8" s="2"/>
      <c r="WXT8" s="2"/>
      <c r="WXU8" s="2"/>
      <c r="WXV8" s="2"/>
      <c r="WXW8" s="2"/>
      <c r="WXX8" s="2"/>
      <c r="WXY8" s="2"/>
      <c r="WXZ8" s="2"/>
      <c r="WYA8" s="2"/>
      <c r="WYB8" s="2"/>
      <c r="WYC8" s="2"/>
      <c r="WYD8" s="2"/>
      <c r="WYE8" s="2"/>
      <c r="WYF8" s="2"/>
      <c r="WYG8" s="2"/>
      <c r="WYH8" s="2"/>
      <c r="WYI8" s="2"/>
      <c r="WYJ8" s="2"/>
      <c r="WYK8" s="2"/>
      <c r="WYL8" s="2"/>
      <c r="WYM8" s="2"/>
      <c r="WYN8" s="2"/>
      <c r="WYO8" s="2"/>
      <c r="WYP8" s="2"/>
      <c r="WYQ8" s="2"/>
      <c r="WYR8" s="2"/>
      <c r="WYS8" s="2"/>
      <c r="WYT8" s="2"/>
      <c r="WYU8" s="2"/>
      <c r="WYV8" s="2"/>
      <c r="WYW8" s="2"/>
      <c r="WYX8" s="2"/>
      <c r="WYY8" s="2"/>
      <c r="WYZ8" s="2"/>
      <c r="WZA8" s="2"/>
      <c r="WZB8" s="2"/>
      <c r="WZC8" s="2"/>
      <c r="WZD8" s="2"/>
      <c r="WZE8" s="2"/>
      <c r="WZF8" s="2"/>
      <c r="WZG8" s="2"/>
      <c r="WZH8" s="2"/>
      <c r="WZI8" s="2"/>
      <c r="WZJ8" s="2"/>
      <c r="WZK8" s="2"/>
      <c r="WZL8" s="2"/>
      <c r="WZM8" s="2"/>
      <c r="WZN8" s="2"/>
      <c r="WZO8" s="2"/>
      <c r="WZP8" s="2"/>
      <c r="WZQ8" s="2"/>
      <c r="WZR8" s="2"/>
      <c r="WZS8" s="2"/>
      <c r="WZT8" s="2"/>
      <c r="WZU8" s="2"/>
      <c r="WZV8" s="2"/>
      <c r="WZW8" s="2"/>
      <c r="WZX8" s="2"/>
      <c r="WZY8" s="2"/>
      <c r="WZZ8" s="2"/>
      <c r="XAA8" s="2"/>
      <c r="XAB8" s="2"/>
      <c r="XAC8" s="2"/>
      <c r="XAD8" s="2"/>
      <c r="XAE8" s="2"/>
      <c r="XAF8" s="2"/>
      <c r="XAG8" s="2"/>
      <c r="XAH8" s="2"/>
      <c r="XAI8" s="2"/>
      <c r="XAJ8" s="2"/>
      <c r="XAK8" s="2"/>
      <c r="XAL8" s="2"/>
      <c r="XAM8" s="2"/>
      <c r="XAN8" s="2"/>
      <c r="XAO8" s="2"/>
      <c r="XAP8" s="2"/>
      <c r="XAQ8" s="2"/>
      <c r="XAR8" s="2"/>
      <c r="XAS8" s="2"/>
      <c r="XAT8" s="2"/>
      <c r="XAU8" s="2"/>
      <c r="XAV8" s="2"/>
      <c r="XAW8" s="2"/>
      <c r="XAX8" s="2"/>
      <c r="XAY8" s="2"/>
      <c r="XAZ8" s="2"/>
      <c r="XBA8" s="2"/>
      <c r="XBB8" s="2"/>
      <c r="XBC8" s="2"/>
      <c r="XBD8" s="2"/>
      <c r="XBE8" s="2"/>
      <c r="XBF8" s="2"/>
      <c r="XBG8" s="2"/>
      <c r="XBH8" s="2"/>
      <c r="XBI8" s="2"/>
      <c r="XBJ8" s="2"/>
      <c r="XBK8" s="2"/>
      <c r="XBL8" s="2"/>
      <c r="XBM8" s="2"/>
      <c r="XBN8" s="2"/>
      <c r="XBO8" s="2"/>
      <c r="XBP8" s="2"/>
      <c r="XBQ8" s="2"/>
      <c r="XBR8" s="2"/>
      <c r="XBS8" s="2"/>
      <c r="XBT8" s="2"/>
      <c r="XBU8" s="2"/>
      <c r="XBV8" s="2"/>
      <c r="XBW8" s="2"/>
      <c r="XBX8" s="2"/>
      <c r="XBY8" s="2"/>
      <c r="XBZ8" s="2"/>
      <c r="XCA8" s="2"/>
      <c r="XCB8" s="2"/>
      <c r="XCC8" s="2"/>
      <c r="XCD8" s="2"/>
      <c r="XCE8" s="2"/>
      <c r="XCF8" s="2"/>
      <c r="XCG8" s="2"/>
      <c r="XCH8" s="2"/>
      <c r="XCI8" s="2"/>
      <c r="XCJ8" s="2"/>
      <c r="XCK8" s="2"/>
      <c r="XCL8" s="2"/>
      <c r="XCM8" s="2"/>
      <c r="XCN8" s="2"/>
      <c r="XCO8" s="2"/>
      <c r="XCP8" s="2"/>
      <c r="XCQ8" s="2"/>
      <c r="XCR8" s="2"/>
      <c r="XCS8" s="2"/>
      <c r="XCT8" s="2"/>
      <c r="XCU8" s="2"/>
      <c r="XCV8" s="2"/>
      <c r="XCW8" s="2"/>
      <c r="XCX8" s="2"/>
      <c r="XCY8" s="2"/>
      <c r="XCZ8" s="2"/>
      <c r="XDA8" s="2"/>
      <c r="XDB8" s="2"/>
      <c r="XDC8" s="2"/>
      <c r="XDD8" s="2"/>
      <c r="XDE8" s="2"/>
      <c r="XDF8" s="2"/>
      <c r="XDG8" s="2"/>
      <c r="XDH8" s="2"/>
      <c r="XDI8" s="2"/>
      <c r="XDJ8" s="2"/>
      <c r="XDK8" s="2"/>
      <c r="XDL8" s="2"/>
      <c r="XDM8" s="2"/>
      <c r="XDN8" s="2"/>
      <c r="XDO8" s="2"/>
      <c r="XDP8" s="2"/>
      <c r="XDQ8" s="2"/>
      <c r="XDR8" s="2"/>
      <c r="XDS8" s="2"/>
      <c r="XDT8" s="2"/>
      <c r="XDU8" s="2"/>
      <c r="XDV8" s="2"/>
      <c r="XDW8" s="2"/>
      <c r="XDX8" s="2"/>
      <c r="XDY8" s="2"/>
      <c r="XDZ8" s="2"/>
      <c r="XEA8" s="2"/>
      <c r="XEB8" s="2"/>
      <c r="XEC8" s="2"/>
      <c r="XED8" s="2"/>
      <c r="XEE8" s="2"/>
      <c r="XEF8" s="2"/>
      <c r="XEG8" s="2"/>
      <c r="XEH8" s="2"/>
      <c r="XEI8" s="2"/>
      <c r="XEJ8" s="2"/>
      <c r="XEK8" s="2"/>
      <c r="XEL8" s="2"/>
    </row>
    <row r="9" spans="2:16366">
      <c r="B9" s="11" t="s">
        <v>754</v>
      </c>
      <c r="C9" s="11" t="s">
        <v>755</v>
      </c>
      <c r="D9" s="11" t="s">
        <v>755</v>
      </c>
      <c r="E9" s="12">
        <v>42451</v>
      </c>
      <c r="F9" s="15">
        <v>42449</v>
      </c>
      <c r="G9" s="14"/>
      <c r="H9" s="12">
        <v>42633</v>
      </c>
      <c r="I9" s="12">
        <v>44094</v>
      </c>
      <c r="J9" s="13">
        <v>1E-3</v>
      </c>
      <c r="K9" s="12">
        <v>44275</v>
      </c>
      <c r="L9" s="16" t="str" cm="1">
        <f t="array" ref="L9">_xll.aqBondObjectCreateFromGenerator($C9,$L$4,_xll.aqToolLVBFromKeysValues($C$7:$K$7,$C9:$K9))</f>
        <v>JP1051271G37:3</v>
      </c>
      <c r="M9" s="78">
        <v>-1.2399999999999525E-3</v>
      </c>
      <c r="N9" s="51">
        <v>100.54349999999999</v>
      </c>
      <c r="O9" s="51">
        <v>2.4167000000000001</v>
      </c>
      <c r="P9" s="95">
        <v>242.27260000000001</v>
      </c>
      <c r="Q9" s="39" cm="1">
        <f t="array" ref="Q9">_xll.aqBondObjectYield(L9,$C$4,R9)</f>
        <v>-1.2399999999999514E-3</v>
      </c>
      <c r="R9" s="49" cm="1">
        <f t="array" ref="R9">_xll.aqBondObjectPrice($L9,$C$4,$M9)</f>
        <v>100.54352635033288</v>
      </c>
      <c r="S9" s="49" cm="1">
        <f t="array" ref="S9">_xll.aqBondObjectCleanPrice($L9,$C$4,$M9)</f>
        <v>100.54352635033288</v>
      </c>
      <c r="T9" s="49" cm="1">
        <f t="array" ref="T9">_xll.aqBondObjectDirtyPrice($L9,$C$4,$M9)</f>
        <v>100.25</v>
      </c>
      <c r="U9" s="49" cm="1">
        <f t="array" ref="U9">_xll.aqBondObjectModifiedDuration($L9,$C$4,$Q9)</f>
        <v>2.4166843166057461</v>
      </c>
      <c r="V9" s="93" cm="1">
        <f t="array" ref="V9">_xll.aqBondObjectDV01($L9,$C$4,$Q9)</f>
        <v>242.27260273972607</v>
      </c>
    </row>
    <row r="10" spans="2:16366">
      <c r="B10" s="11" t="s">
        <v>756</v>
      </c>
      <c r="C10" s="11" t="s">
        <v>757</v>
      </c>
      <c r="D10" s="11" t="s">
        <v>757</v>
      </c>
      <c r="E10" s="12">
        <v>40624</v>
      </c>
      <c r="F10" s="15">
        <v>40622</v>
      </c>
      <c r="G10" s="14"/>
      <c r="H10" s="12">
        <v>40806</v>
      </c>
      <c r="I10" s="12">
        <v>44094</v>
      </c>
      <c r="J10" s="13">
        <v>1.3000000000000001E-2</v>
      </c>
      <c r="K10" s="12">
        <v>44275</v>
      </c>
      <c r="L10" s="16" t="str" cm="1">
        <f t="array" ref="L10">_xll.aqBondObjectCreateFromGenerator($C10,$L$4,_xll.aqToolLVBFromKeysValues($C$7:$K$7,$C10:$K10))</f>
        <v>JP1103131B31:3</v>
      </c>
      <c r="M10" s="78">
        <v>-1.199999999999999E-3</v>
      </c>
      <c r="N10" s="51">
        <v>103.4452</v>
      </c>
      <c r="O10" s="51">
        <v>2.3877000000000002</v>
      </c>
      <c r="P10" s="95">
        <v>246.5301</v>
      </c>
      <c r="Q10" s="39" cm="1">
        <f t="array" ref="Q10">_xll.aqBondObjectYield(L10,$C$4,R10)</f>
        <v>-1.2000000000000049E-3</v>
      </c>
      <c r="R10" s="49" cm="1">
        <f t="array" ref="R10">_xll.aqBondObjectPrice($L10,$C$4,$M10)</f>
        <v>103.44523443948515</v>
      </c>
      <c r="S10" s="49" cm="1">
        <f t="array" ref="S10">_xll.aqBondObjectCleanPrice($L10,$C$4,$M10)</f>
        <v>103.44523443948515</v>
      </c>
      <c r="T10" s="49" cm="1">
        <f t="array" ref="T10">_xll.aqBondObjectDirtyPrice($L10,$C$4,$M10)</f>
        <v>103.25</v>
      </c>
      <c r="U10" s="49" cm="1">
        <f t="array" ref="U10">_xll.aqBondObjectModifiedDuration($L10,$C$4,$Q10)</f>
        <v>2.3877010846130884</v>
      </c>
      <c r="V10" s="93" cm="1">
        <f t="array" ref="V10">_xll.aqBondObjectDV01($L10,$C$4,$Q10)</f>
        <v>246.53013698630139</v>
      </c>
    </row>
    <row r="11" spans="2:16366">
      <c r="B11" s="11" t="s">
        <v>758</v>
      </c>
      <c r="C11" s="11" t="s">
        <v>759</v>
      </c>
      <c r="D11" s="11" t="s">
        <v>759</v>
      </c>
      <c r="E11" s="12">
        <v>37001</v>
      </c>
      <c r="F11" s="15">
        <v>36970</v>
      </c>
      <c r="G11" s="14"/>
      <c r="H11" s="12">
        <v>37154</v>
      </c>
      <c r="I11" s="12">
        <v>44094</v>
      </c>
      <c r="J11" s="13">
        <v>1.9E-2</v>
      </c>
      <c r="K11" s="12">
        <v>44277</v>
      </c>
      <c r="L11" s="16" t="str" cm="1">
        <f t="array" ref="L11">_xll.aqBondObjectCreateFromGenerator($C11,$L$4,_xll.aqToolLVBFromKeysValues($C$7:$K$7,$C11:$K11))</f>
        <v>JP1200501144:3</v>
      </c>
      <c r="M11" s="78">
        <v>-1.1899999999999999E-3</v>
      </c>
      <c r="N11" s="51">
        <v>104.90949999999999</v>
      </c>
      <c r="O11" s="51">
        <v>2.3738000000000001</v>
      </c>
      <c r="P11" s="95">
        <v>248.6841</v>
      </c>
      <c r="Q11" s="39" cm="1">
        <f t="array" ref="Q11">_xll.aqBondObjectYield(L11,$C$4,R11)</f>
        <v>-1.1900000000000055E-3</v>
      </c>
      <c r="R11" s="49" cm="1">
        <f t="array" ref="R11">_xll.aqBondObjectPrice($L11,$C$4,$M11)</f>
        <v>104.90954929270579</v>
      </c>
      <c r="S11" s="49" cm="1">
        <f t="array" ref="S11">_xll.aqBondObjectCleanPrice($L11,$C$4,$M11)</f>
        <v>104.90954929270579</v>
      </c>
      <c r="T11" s="49" cm="1">
        <f t="array" ref="T11">_xll.aqBondObjectDirtyPrice($L11,$C$4,$M11)</f>
        <v>104.76041095890412</v>
      </c>
      <c r="U11" s="49" cm="1">
        <f t="array" ref="U11">_xll.aqBondObjectModifiedDuration($L11,$C$4,$Q11)</f>
        <v>2.3738365265743315</v>
      </c>
      <c r="V11" s="93" cm="1">
        <f t="array" ref="V11">_xll.aqBondObjectDV01($L11,$C$4,$Q11)</f>
        <v>248.68409007318451</v>
      </c>
    </row>
    <row r="12" spans="2:16366">
      <c r="B12" s="11" t="s">
        <v>760</v>
      </c>
      <c r="C12" s="11" t="s">
        <v>761</v>
      </c>
      <c r="D12" s="11" t="s">
        <v>761</v>
      </c>
      <c r="E12" s="12">
        <v>36916</v>
      </c>
      <c r="F12" s="15">
        <v>36916</v>
      </c>
      <c r="G12" s="14"/>
      <c r="H12" s="12">
        <v>37154</v>
      </c>
      <c r="I12" s="12">
        <v>44094</v>
      </c>
      <c r="J12" s="13">
        <v>2.1000000000000001E-2</v>
      </c>
      <c r="K12" s="12">
        <v>44277</v>
      </c>
      <c r="L12" s="16" t="str" cm="1">
        <f t="array" ref="L12">_xll.aqBondObjectCreateFromGenerator($C12,$L$4,_xll.aqToolLVBFromKeysValues($C$7:$K$7,$C12:$K12))</f>
        <v>JP1200491106:3</v>
      </c>
      <c r="M12" s="78">
        <v>-1.1999999999999999E-3</v>
      </c>
      <c r="N12" s="51">
        <v>105.3984</v>
      </c>
      <c r="O12" s="51">
        <v>2.3693</v>
      </c>
      <c r="P12" s="95">
        <v>249.3963</v>
      </c>
      <c r="Q12" s="39" cm="1">
        <f t="array" ref="Q12">_xll.aqBondObjectYield(L12,$C$4,R12)</f>
        <v>-1.2000000000000051E-3</v>
      </c>
      <c r="R12" s="49" cm="1">
        <f t="array" ref="R12">_xll.aqBondObjectPrice($L12,$C$4,$M12)</f>
        <v>105.39844698822327</v>
      </c>
      <c r="S12" s="49" cm="1">
        <f t="array" ref="S12">_xll.aqBondObjectCleanPrice($L12,$C$4,$M12)</f>
        <v>105.39844698822327</v>
      </c>
      <c r="T12" s="49" cm="1">
        <f t="array" ref="T12">_xll.aqBondObjectDirtyPrice($L12,$C$4,$M12)</f>
        <v>105.26150684931505</v>
      </c>
      <c r="U12" s="49" cm="1">
        <f t="array" ref="U12">_xll.aqBondObjectModifiedDuration($L12,$C$4,$Q12)</f>
        <v>2.3693022998935525</v>
      </c>
      <c r="V12" s="93" cm="1">
        <f t="array" ref="V12">_xll.aqBondObjectDV01($L12,$C$4,$Q12)</f>
        <v>249.39633026834309</v>
      </c>
    </row>
    <row r="13" spans="2:16366">
      <c r="B13" s="11" t="s">
        <v>762</v>
      </c>
      <c r="C13" s="11" t="s">
        <v>763</v>
      </c>
      <c r="D13" s="11" t="s">
        <v>763</v>
      </c>
      <c r="E13" s="12">
        <v>42541</v>
      </c>
      <c r="F13" s="15">
        <v>42541</v>
      </c>
      <c r="G13" s="14"/>
      <c r="H13" s="12">
        <v>42724</v>
      </c>
      <c r="I13" s="12">
        <v>44185</v>
      </c>
      <c r="J13" s="13">
        <v>1E-3</v>
      </c>
      <c r="K13" s="12">
        <v>44367</v>
      </c>
      <c r="L13" s="16" t="str" cm="1">
        <f t="array" ref="L13">_xll.aqBondObjectCreateFromGenerator($C13,$L$4,_xll.aqToolLVBFromKeysValues($C$7:$K$7,$C13:$K13))</f>
        <v>JP1051281G68:3</v>
      </c>
      <c r="M13" s="78">
        <v>-1.1799999999999949E-3</v>
      </c>
      <c r="N13" s="51">
        <v>100.5842</v>
      </c>
      <c r="O13" s="51">
        <v>2.6688999999999998</v>
      </c>
      <c r="P13" s="95">
        <v>267.68709999999999</v>
      </c>
      <c r="Q13" s="39" cm="1">
        <f t="array" ref="Q13">_xll.aqBondObjectYield(L13,$C$4,R13)</f>
        <v>-1.1800000000000057E-3</v>
      </c>
      <c r="R13" s="49" cm="1">
        <f t="array" ref="R13">_xll.aqBondObjectPrice($L13,$C$4,$M13)</f>
        <v>100.58417010329821</v>
      </c>
      <c r="S13" s="49" cm="1">
        <f t="array" ref="S13">_xll.aqBondObjectCleanPrice($L13,$C$4,$M13)</f>
        <v>100.58417010329821</v>
      </c>
      <c r="T13" s="49" cm="1">
        <f t="array" ref="T13">_xll.aqBondObjectDirtyPrice($L13,$C$4,$M13)</f>
        <v>100.29999999999998</v>
      </c>
      <c r="U13" s="49" cm="1">
        <f t="array" ref="U13">_xll.aqBondObjectModifiedDuration($L13,$C$4,$Q13)</f>
        <v>2.6688639560769754</v>
      </c>
      <c r="V13" s="93" cm="1">
        <f t="array" ref="V13">_xll.aqBondObjectDV01($L13,$C$4,$Q13)</f>
        <v>267.68705479452058</v>
      </c>
    </row>
    <row r="14" spans="2:16366">
      <c r="B14" s="11" t="s">
        <v>764</v>
      </c>
      <c r="C14" s="11" t="s">
        <v>765</v>
      </c>
      <c r="D14" s="11" t="s">
        <v>765</v>
      </c>
      <c r="E14" s="12">
        <v>40714</v>
      </c>
      <c r="F14" s="15">
        <v>40714</v>
      </c>
      <c r="G14" s="14"/>
      <c r="H14" s="12">
        <v>40897</v>
      </c>
      <c r="I14" s="12">
        <v>44185</v>
      </c>
      <c r="J14" s="13">
        <v>1.2E-2</v>
      </c>
      <c r="K14" s="12">
        <v>44367</v>
      </c>
      <c r="L14" s="16" t="str" cm="1">
        <f t="array" ref="L14">_xll.aqBondObjectCreateFromGenerator($C14,$L$4,_xll.aqToolLVBFromKeysValues($C$7:$K$7,$C14:$K14))</f>
        <v>JP1103151B69:3</v>
      </c>
      <c r="M14" s="78">
        <v>-1.1399999999999833E-3</v>
      </c>
      <c r="N14" s="51">
        <v>103.52070000000001</v>
      </c>
      <c r="O14" s="51">
        <v>2.6292</v>
      </c>
      <c r="P14" s="95">
        <v>272.38159999999999</v>
      </c>
      <c r="Q14" s="39" cm="1">
        <f t="array" ref="Q14">_xll.aqBondObjectYield(L14,$C$4,R14)</f>
        <v>-1.139999999999939E-3</v>
      </c>
      <c r="R14" s="49" cm="1">
        <f t="array" ref="R14">_xll.aqBondObjectPrice($L14,$C$4,$M14)</f>
        <v>103.52072131985483</v>
      </c>
      <c r="S14" s="49" cm="1">
        <f t="array" ref="S14">_xll.aqBondObjectCleanPrice($L14,$C$4,$M14)</f>
        <v>103.52072131985483</v>
      </c>
      <c r="T14" s="49" cm="1">
        <f t="array" ref="T14">_xll.aqBondObjectDirtyPrice($L14,$C$4,$M14)</f>
        <v>103.60000000000001</v>
      </c>
      <c r="U14" s="49" cm="1">
        <f t="array" ref="U14">_xll.aqBondObjectModifiedDuration($L14,$C$4,$Q14)</f>
        <v>2.6291664462897337</v>
      </c>
      <c r="V14" s="93" cm="1">
        <f t="array" ref="V14">_xll.aqBondObjectDV01($L14,$C$4,$Q14)</f>
        <v>272.38164383561644</v>
      </c>
    </row>
    <row r="15" spans="2:16366">
      <c r="B15" s="11" t="s">
        <v>766</v>
      </c>
      <c r="C15" s="11" t="s">
        <v>767</v>
      </c>
      <c r="D15" s="11" t="s">
        <v>767</v>
      </c>
      <c r="E15" s="12">
        <v>40760</v>
      </c>
      <c r="F15" s="15">
        <v>40714</v>
      </c>
      <c r="G15" s="14"/>
      <c r="H15" s="12">
        <v>40897</v>
      </c>
      <c r="I15" s="12">
        <v>44185</v>
      </c>
      <c r="J15" s="13">
        <v>1.1000000000000001E-2</v>
      </c>
      <c r="K15" s="12">
        <v>44367</v>
      </c>
      <c r="L15" s="16" t="str" cm="1">
        <f t="array" ref="L15">_xll.aqBondObjectCreateFromGenerator($C15,$L$4,_xll.aqToolLVBFromKeysValues($C$7:$K$7,$C15:$K15))</f>
        <v>JP1103161B83:3</v>
      </c>
      <c r="M15" s="78">
        <v>-1.1500000000000123E-3</v>
      </c>
      <c r="N15" s="51">
        <v>103.2555</v>
      </c>
      <c r="O15" s="51">
        <v>2.6326999999999998</v>
      </c>
      <c r="P15" s="95">
        <v>271.95490000000001</v>
      </c>
      <c r="Q15" s="39" cm="1">
        <f t="array" ref="Q15">_xll.aqBondObjectYield(L15,$C$4,R15)</f>
        <v>-1.1500000000000303E-3</v>
      </c>
      <c r="R15" s="49" cm="1">
        <f t="array" ref="R15">_xll.aqBondObjectPrice($L15,$C$4,$M15)</f>
        <v>103.25554872330413</v>
      </c>
      <c r="S15" s="49" cm="1">
        <f t="array" ref="S15">_xll.aqBondObjectCleanPrice($L15,$C$4,$M15)</f>
        <v>103.25554872330413</v>
      </c>
      <c r="T15" s="49" cm="1">
        <f t="array" ref="T15">_xll.aqBondObjectDirtyPrice($L15,$C$4,$M15)</f>
        <v>103.3</v>
      </c>
      <c r="U15" s="49" cm="1">
        <f t="array" ref="U15">_xll.aqBondObjectModifiedDuration($L15,$C$4,$Q15)</f>
        <v>2.6326705035207998</v>
      </c>
      <c r="V15" s="93" cm="1">
        <f t="array" ref="V15">_xll.aqBondObjectDV01($L15,$C$4,$Q15)</f>
        <v>271.95486301369863</v>
      </c>
    </row>
    <row r="16" spans="2:16366">
      <c r="B16" s="11" t="s">
        <v>768</v>
      </c>
      <c r="C16" s="11" t="s">
        <v>769</v>
      </c>
      <c r="D16" s="11" t="s">
        <v>769</v>
      </c>
      <c r="E16" s="12">
        <v>37123</v>
      </c>
      <c r="F16" s="15">
        <v>37062</v>
      </c>
      <c r="G16" s="14"/>
      <c r="H16" s="12">
        <v>37245</v>
      </c>
      <c r="I16" s="12">
        <v>44185</v>
      </c>
      <c r="J16" s="13">
        <v>0.02</v>
      </c>
      <c r="K16" s="12">
        <v>44368</v>
      </c>
      <c r="L16" s="16" t="str" cm="1">
        <f t="array" ref="L16">_xll.aqBondObjectCreateFromGenerator($C16,$L$4,_xll.aqToolLVBFromKeysValues($C$7:$K$7,$C16:$K16))</f>
        <v>JP1200511184:3</v>
      </c>
      <c r="M16" s="78">
        <v>-1.1999999999999999E-3</v>
      </c>
      <c r="N16" s="51">
        <v>105.6871</v>
      </c>
      <c r="O16" s="51">
        <v>2.6019000000000001</v>
      </c>
      <c r="P16" s="95">
        <v>275.81049999999999</v>
      </c>
      <c r="Q16" s="39" cm="1">
        <f t="array" ref="Q16">_xll.aqBondObjectYield(L16,$C$4,R16)</f>
        <v>-1.1999999999999539E-3</v>
      </c>
      <c r="R16" s="49" cm="1">
        <f t="array" ref="R16">_xll.aqBondObjectPrice($L16,$C$4,$M16)</f>
        <v>105.68707040234307</v>
      </c>
      <c r="S16" s="49" cm="1">
        <f t="array" ref="S16">_xll.aqBondObjectCleanPrice($L16,$C$4,$M16)</f>
        <v>105.68707040234307</v>
      </c>
      <c r="T16" s="49" cm="1">
        <f t="array" ref="T16">_xll.aqBondObjectDirtyPrice($L16,$C$4,$M16)</f>
        <v>106.0054794520548</v>
      </c>
      <c r="U16" s="49" cm="1">
        <f t="array" ref="U16">_xll.aqBondObjectModifiedDuration($L16,$C$4,$Q16)</f>
        <v>2.6018516800754536</v>
      </c>
      <c r="V16" s="93" cm="1">
        <f t="array" ref="V16">_xll.aqBondObjectDV01($L16,$C$4,$Q16)</f>
        <v>275.81053480953278</v>
      </c>
    </row>
    <row r="17" spans="2:22">
      <c r="B17" s="11" t="s">
        <v>770</v>
      </c>
      <c r="C17" s="11" t="s">
        <v>771</v>
      </c>
      <c r="D17" s="11" t="s">
        <v>771</v>
      </c>
      <c r="E17" s="12">
        <v>42633</v>
      </c>
      <c r="F17" s="15">
        <v>42633</v>
      </c>
      <c r="G17" s="14"/>
      <c r="H17" s="12">
        <v>42814</v>
      </c>
      <c r="I17" s="12">
        <v>44275</v>
      </c>
      <c r="J17" s="13">
        <v>1E-3</v>
      </c>
      <c r="K17" s="12">
        <v>44459</v>
      </c>
      <c r="L17" s="16" t="str" cm="1">
        <f t="array" ref="L17">_xll.aqBondObjectCreateFromGenerator($C17,$L$4,_xll.aqToolLVBFromKeysValues($C$7:$K$7,$C17:$K17))</f>
        <v>JP1051291G90:3</v>
      </c>
      <c r="M17" s="78">
        <v>-1.1399999999999546E-3</v>
      </c>
      <c r="N17" s="51">
        <v>100.6277</v>
      </c>
      <c r="O17" s="51">
        <v>2.9154</v>
      </c>
      <c r="P17" s="95">
        <v>292.41860000000003</v>
      </c>
      <c r="Q17" s="39" cm="1">
        <f t="array" ref="Q17">_xll.aqBondObjectYield(L17,$C$4,R17)</f>
        <v>-1.1399999999999785E-3</v>
      </c>
      <c r="R17" s="49" cm="1">
        <f t="array" ref="R17">_xll.aqBondObjectPrice($L17,$C$4,$M17)</f>
        <v>100.62767531974089</v>
      </c>
      <c r="S17" s="49" cm="1">
        <f t="array" ref="S17">_xll.aqBondObjectCleanPrice($L17,$C$4,$M17)</f>
        <v>100.62767531974089</v>
      </c>
      <c r="T17" s="49" cm="1">
        <f t="array" ref="T17">_xll.aqBondObjectDirtyPrice($L17,$C$4,$M17)</f>
        <v>100.29999999999998</v>
      </c>
      <c r="U17" s="49" cm="1">
        <f t="array" ref="U17">_xll.aqBondObjectModifiedDuration($L17,$C$4,$Q17)</f>
        <v>2.9154392985427284</v>
      </c>
      <c r="V17" s="93" cm="1">
        <f t="array" ref="V17">_xll.aqBondObjectDV01($L17,$C$4,$Q17)</f>
        <v>292.41856164383563</v>
      </c>
    </row>
    <row r="18" spans="2:22">
      <c r="B18" s="11" t="s">
        <v>772</v>
      </c>
      <c r="C18" s="11" t="s">
        <v>773</v>
      </c>
      <c r="D18" s="11" t="s">
        <v>773</v>
      </c>
      <c r="E18" s="12">
        <v>40823</v>
      </c>
      <c r="F18" s="15">
        <v>40806</v>
      </c>
      <c r="G18" s="14"/>
      <c r="H18" s="12">
        <v>40988</v>
      </c>
      <c r="I18" s="12">
        <v>44275</v>
      </c>
      <c r="J18" s="13">
        <v>0.01</v>
      </c>
      <c r="K18" s="12">
        <v>44459</v>
      </c>
      <c r="L18" s="16" t="str" cm="1">
        <f t="array" ref="L18">_xll.aqBondObjectCreateFromGenerator($C18,$L$4,_xll.aqToolLVBFromKeysValues($C$7:$K$7,$C18:$K18))</f>
        <v>JP1103181BA8:3</v>
      </c>
      <c r="M18" s="78">
        <v>-1.089999999999971E-3</v>
      </c>
      <c r="N18" s="51">
        <v>103.25230000000001</v>
      </c>
      <c r="O18" s="51">
        <v>2.8828</v>
      </c>
      <c r="P18" s="95">
        <v>296.92529999999999</v>
      </c>
      <c r="Q18" s="39" cm="1">
        <f t="array" ref="Q18">_xll.aqBondObjectYield(L18,$C$4,R18)</f>
        <v>-1.0899999999999725E-3</v>
      </c>
      <c r="R18" s="49" cm="1">
        <f t="array" ref="R18">_xll.aqBondObjectPrice($L18,$C$4,$M18)</f>
        <v>103.25228906782067</v>
      </c>
      <c r="S18" s="49" cm="1">
        <f t="array" ref="S18">_xll.aqBondObjectCleanPrice($L18,$C$4,$M18)</f>
        <v>103.25228906782067</v>
      </c>
      <c r="T18" s="49" cm="1">
        <f t="array" ref="T18">_xll.aqBondObjectDirtyPrice($L18,$C$4,$M18)</f>
        <v>103</v>
      </c>
      <c r="U18" s="49" cm="1">
        <f t="array" ref="U18">_xll.aqBondObjectModifiedDuration($L18,$C$4,$Q18)</f>
        <v>2.8827703152014896</v>
      </c>
      <c r="V18" s="93" cm="1">
        <f t="array" ref="V18">_xll.aqBondObjectDV01($L18,$C$4,$Q18)</f>
        <v>296.92534246575343</v>
      </c>
    </row>
    <row r="19" spans="2:22">
      <c r="B19" s="11" t="s">
        <v>774</v>
      </c>
      <c r="C19" s="11" t="s">
        <v>775</v>
      </c>
      <c r="D19" s="11" t="s">
        <v>775</v>
      </c>
      <c r="E19" s="12">
        <v>40806</v>
      </c>
      <c r="F19" s="15">
        <v>40806</v>
      </c>
      <c r="G19" s="14"/>
      <c r="H19" s="12">
        <v>40988</v>
      </c>
      <c r="I19" s="12">
        <v>44275</v>
      </c>
      <c r="J19" s="13">
        <v>1.1000000000000001E-2</v>
      </c>
      <c r="K19" s="12">
        <v>44459</v>
      </c>
      <c r="L19" s="16" t="str" cm="1">
        <f t="array" ref="L19">_xll.aqBondObjectCreateFromGenerator($C19,$L$4,_xll.aqToolLVBFromKeysValues($C$7:$K$7,$C19:$K19))</f>
        <v>JP1103171B99:3</v>
      </c>
      <c r="M19" s="78">
        <v>-1.0900000000000078E-3</v>
      </c>
      <c r="N19" s="51">
        <v>103.54559999999999</v>
      </c>
      <c r="O19" s="51">
        <v>2.8792</v>
      </c>
      <c r="P19" s="95">
        <v>297.42610000000002</v>
      </c>
      <c r="Q19" s="39" cm="1">
        <f t="array" ref="Q19">_xll.aqBondObjectYield(L19,$C$4,R19)</f>
        <v>-1.09000000000002E-3</v>
      </c>
      <c r="R19" s="49" cm="1">
        <f t="array" ref="R19">_xll.aqBondObjectPrice($L19,$C$4,$M19)</f>
        <v>103.54555228403535</v>
      </c>
      <c r="S19" s="49" cm="1">
        <f t="array" ref="S19">_xll.aqBondObjectCleanPrice($L19,$C$4,$M19)</f>
        <v>103.54555228403535</v>
      </c>
      <c r="T19" s="49" cm="1">
        <f t="array" ref="T19">_xll.aqBondObjectDirtyPrice($L19,$C$4,$M19)</f>
        <v>103.3</v>
      </c>
      <c r="U19" s="49" cm="1">
        <f t="array" ref="U19">_xll.aqBondObjectModifiedDuration($L19,$C$4,$Q19)</f>
        <v>2.8792458459865538</v>
      </c>
      <c r="V19" s="93" cm="1">
        <f t="array" ref="V19">_xll.aqBondObjectDV01($L19,$C$4,$Q19)</f>
        <v>297.42609589041098</v>
      </c>
    </row>
    <row r="20" spans="2:22">
      <c r="B20" s="11" t="s">
        <v>776</v>
      </c>
      <c r="C20" s="11" t="s">
        <v>777</v>
      </c>
      <c r="D20" s="11" t="s">
        <v>777</v>
      </c>
      <c r="E20" s="12">
        <v>37186</v>
      </c>
      <c r="F20" s="15">
        <v>37154</v>
      </c>
      <c r="G20" s="14"/>
      <c r="H20" s="12">
        <v>37335</v>
      </c>
      <c r="I20" s="12">
        <v>44275</v>
      </c>
      <c r="J20" s="13">
        <v>2.1000000000000001E-2</v>
      </c>
      <c r="K20" s="12">
        <v>44460</v>
      </c>
      <c r="L20" s="16" t="str" cm="1">
        <f t="array" ref="L20">_xll.aqBondObjectCreateFromGenerator($C20,$L$4,_xll.aqToolLVBFromKeysValues($C$7:$K$7,$C20:$K20))</f>
        <v>JP12005211A9:3</v>
      </c>
      <c r="M20" s="78">
        <v>-1.15E-3</v>
      </c>
      <c r="N20" s="51">
        <v>106.503</v>
      </c>
      <c r="O20" s="51">
        <v>2.8451</v>
      </c>
      <c r="P20" s="95">
        <v>302.4504</v>
      </c>
      <c r="Q20" s="39" cm="1">
        <f t="array" ref="Q20">_xll.aqBondObjectYield(L20,$C$4,R20)</f>
        <v>-1.150000000000028E-3</v>
      </c>
      <c r="R20" s="49" cm="1">
        <f t="array" ref="R20">_xll.aqBondObjectPrice($L20,$C$4,$M20)</f>
        <v>106.5030329453795</v>
      </c>
      <c r="S20" s="49" cm="1">
        <f t="array" ref="S20">_xll.aqBondObjectCleanPrice($L20,$C$4,$M20)</f>
        <v>106.5030329453795</v>
      </c>
      <c r="T20" s="49" cm="1">
        <f t="array" ref="T20">_xll.aqBondObjectDirtyPrice($L20,$C$4,$M20)</f>
        <v>106.30575342465754</v>
      </c>
      <c r="U20" s="49" cm="1">
        <f t="array" ref="U20">_xll.aqBondObjectModifiedDuration($L20,$C$4,$Q20)</f>
        <v>2.8450993070897233</v>
      </c>
      <c r="V20" s="93" cm="1">
        <f t="array" ref="V20">_xll.aqBondObjectDV01($L20,$C$4,$Q20)</f>
        <v>302.45042540814416</v>
      </c>
    </row>
    <row r="21" spans="2:22">
      <c r="B21" s="11" t="s">
        <v>778</v>
      </c>
      <c r="C21" s="11" t="s">
        <v>779</v>
      </c>
      <c r="D21" s="11" t="s">
        <v>779</v>
      </c>
      <c r="E21" s="12">
        <v>42724</v>
      </c>
      <c r="F21" s="15">
        <v>42724</v>
      </c>
      <c r="G21" s="14"/>
      <c r="H21" s="12">
        <v>42906</v>
      </c>
      <c r="I21" s="12">
        <v>44367</v>
      </c>
      <c r="J21" s="13">
        <v>1E-3</v>
      </c>
      <c r="K21" s="12">
        <v>44550</v>
      </c>
      <c r="L21" s="16" t="str" cm="1">
        <f t="array" ref="L21">_xll.aqBondObjectCreateFromGenerator($C21,$L$4,_xll.aqToolLVBFromKeysValues($C$7:$K$7,$C21:$K21))</f>
        <v>JP1051301GC9:3</v>
      </c>
      <c r="M21" s="78">
        <v>-1.0800000000000195E-3</v>
      </c>
      <c r="N21" s="51">
        <v>100.6622</v>
      </c>
      <c r="O21" s="51">
        <v>3.1674000000000002</v>
      </c>
      <c r="P21" s="95">
        <v>317.84570000000002</v>
      </c>
      <c r="Q21" s="39" cm="1">
        <f t="array" ref="Q21">_xll.aqBondObjectYield(L21,$C$4,R21)</f>
        <v>-1.0800000000000234E-3</v>
      </c>
      <c r="R21" s="49" cm="1">
        <f t="array" ref="R21">_xll.aqBondObjectPrice($L21,$C$4,$M21)</f>
        <v>100.66217023722049</v>
      </c>
      <c r="S21" s="49" cm="1">
        <f t="array" ref="S21">_xll.aqBondObjectCleanPrice($L21,$C$4,$M21)</f>
        <v>100.66217023722049</v>
      </c>
      <c r="T21" s="49" cm="1">
        <f t="array" ref="T21">_xll.aqBondObjectDirtyPrice($L21,$C$4,$M21)</f>
        <v>100.35000000000001</v>
      </c>
      <c r="U21" s="49" cm="1">
        <f t="array" ref="U21">_xll.aqBondObjectModifiedDuration($L21,$C$4,$Q21)</f>
        <v>3.1673710506378359</v>
      </c>
      <c r="V21" s="93" cm="1">
        <f t="array" ref="V21">_xll.aqBondObjectDV01($L21,$C$4,$Q21)</f>
        <v>317.84568493150687</v>
      </c>
    </row>
    <row r="22" spans="2:22">
      <c r="B22" s="11" t="s">
        <v>780</v>
      </c>
      <c r="C22" s="11" t="s">
        <v>781</v>
      </c>
      <c r="D22" s="11" t="s">
        <v>781</v>
      </c>
      <c r="E22" s="12">
        <v>40925</v>
      </c>
      <c r="F22" s="15">
        <v>40897</v>
      </c>
      <c r="G22" s="14"/>
      <c r="H22" s="12">
        <v>41080</v>
      </c>
      <c r="I22" s="12">
        <v>44367</v>
      </c>
      <c r="J22" s="13">
        <v>0.01</v>
      </c>
      <c r="K22" s="12">
        <v>44550</v>
      </c>
      <c r="L22" s="16" t="str" cm="1">
        <f t="array" ref="L22">_xll.aqBondObjectCreateFromGenerator($C22,$L$4,_xll.aqToolLVBFromKeysValues($C$7:$K$7,$C22:$K22))</f>
        <v>JP1103201C19:3</v>
      </c>
      <c r="M22" s="78">
        <v>-1.0399999999999995E-3</v>
      </c>
      <c r="N22" s="51">
        <v>103.5141</v>
      </c>
      <c r="O22" s="51">
        <v>3.1219000000000001</v>
      </c>
      <c r="P22" s="95">
        <v>323.11439999999999</v>
      </c>
      <c r="Q22" s="39" cm="1">
        <f t="array" ref="Q22">_xll.aqBondObjectYield(L22,$C$4,R22)</f>
        <v>-1.0399999999999804E-3</v>
      </c>
      <c r="R22" s="49" cm="1">
        <f t="array" ref="R22">_xll.aqBondObjectPrice($L22,$C$4,$M22)</f>
        <v>103.51414838131117</v>
      </c>
      <c r="S22" s="49" cm="1">
        <f t="array" ref="S22">_xll.aqBondObjectCleanPrice($L22,$C$4,$M22)</f>
        <v>103.51414838131117</v>
      </c>
      <c r="T22" s="49" cm="1">
        <f t="array" ref="T22">_xll.aqBondObjectDirtyPrice($L22,$C$4,$M22)</f>
        <v>103.49999999999999</v>
      </c>
      <c r="U22" s="49" cm="1">
        <f t="array" ref="U22">_xll.aqBondObjectModifiedDuration($L22,$C$4,$Q22)</f>
        <v>3.1218781020448683</v>
      </c>
      <c r="V22" s="93" cm="1">
        <f t="array" ref="V22">_xll.aqBondObjectDV01($L22,$C$4,$Q22)</f>
        <v>323.11438356164382</v>
      </c>
    </row>
    <row r="23" spans="2:22">
      <c r="B23" s="11" t="s">
        <v>782</v>
      </c>
      <c r="C23" s="11" t="s">
        <v>783</v>
      </c>
      <c r="D23" s="11" t="s">
        <v>783</v>
      </c>
      <c r="E23" s="12">
        <v>40897</v>
      </c>
      <c r="F23" s="15">
        <v>40897</v>
      </c>
      <c r="G23" s="14"/>
      <c r="H23" s="12">
        <v>41080</v>
      </c>
      <c r="I23" s="12">
        <v>44367</v>
      </c>
      <c r="J23" s="13">
        <v>1.1000000000000001E-2</v>
      </c>
      <c r="K23" s="12">
        <v>44550</v>
      </c>
      <c r="L23" s="16" t="str" cm="1">
        <f t="array" ref="L23">_xll.aqBondObjectCreateFromGenerator($C23,$L$4,_xll.aqToolLVBFromKeysValues($C$7:$K$7,$C23:$K23))</f>
        <v>JP1103191BC3:3</v>
      </c>
      <c r="M23" s="78">
        <v>-1.0400000000000008E-3</v>
      </c>
      <c r="N23" s="51">
        <v>103.8325</v>
      </c>
      <c r="O23" s="51">
        <v>3.117</v>
      </c>
      <c r="P23" s="95">
        <v>323.69979999999998</v>
      </c>
      <c r="Q23" s="39" cm="1">
        <f t="array" ref="Q23">_xll.aqBondObjectYield(L23,$C$4,R23)</f>
        <v>-1.0399999999999915E-3</v>
      </c>
      <c r="R23" s="49" cm="1">
        <f t="array" ref="R23">_xll.aqBondObjectPrice($L23,$C$4,$M23)</f>
        <v>103.83245892309661</v>
      </c>
      <c r="S23" s="49" cm="1">
        <f t="array" ref="S23">_xll.aqBondObjectCleanPrice($L23,$C$4,$M23)</f>
        <v>103.83245892309661</v>
      </c>
      <c r="T23" s="49" cm="1">
        <f t="array" ref="T23">_xll.aqBondObjectDirtyPrice($L23,$C$4,$M23)</f>
        <v>103.85</v>
      </c>
      <c r="U23" s="49" cm="1">
        <f t="array" ref="U23">_xll.aqBondObjectModifiedDuration($L23,$C$4,$Q23)</f>
        <v>3.1169936882094174</v>
      </c>
      <c r="V23" s="93" cm="1">
        <f t="array" ref="V23">_xll.aqBondObjectDV01($L23,$C$4,$Q23)</f>
        <v>323.69979452054798</v>
      </c>
    </row>
    <row r="24" spans="2:22">
      <c r="B24" s="11" t="s">
        <v>784</v>
      </c>
      <c r="C24" s="11" t="s">
        <v>785</v>
      </c>
      <c r="D24" s="11" t="s">
        <v>785</v>
      </c>
      <c r="E24" s="12">
        <v>37307</v>
      </c>
      <c r="F24" s="15">
        <v>37245</v>
      </c>
      <c r="G24" s="14"/>
      <c r="H24" s="12">
        <v>37427</v>
      </c>
      <c r="I24" s="12">
        <v>44367</v>
      </c>
      <c r="J24" s="13">
        <v>2.2000000000000002E-2</v>
      </c>
      <c r="K24" s="12">
        <v>44550</v>
      </c>
      <c r="L24" s="16" t="str" cm="1">
        <f t="array" ref="L24">_xll.aqBondObjectCreateFromGenerator($C24,$L$4,_xll.aqToolLVBFromKeysValues($C$7:$K$7,$C24:$K24))</f>
        <v>JP1200541223:3</v>
      </c>
      <c r="M24" s="78">
        <v>-1.1099999999999836E-3</v>
      </c>
      <c r="N24" s="51">
        <v>107.3578</v>
      </c>
      <c r="O24" s="51">
        <v>3.0653999999999999</v>
      </c>
      <c r="P24" s="95">
        <v>330.13929999999999</v>
      </c>
      <c r="Q24" s="39" cm="1">
        <f t="array" ref="Q24">_xll.aqBondObjectYield(L24,$C$4,R24)</f>
        <v>-1.1099999999999556E-3</v>
      </c>
      <c r="R24" s="49" cm="1">
        <f t="array" ref="R24">_xll.aqBondObjectPrice($L24,$C$4,$M24)</f>
        <v>107.35779606549771</v>
      </c>
      <c r="S24" s="49" cm="1">
        <f t="array" ref="S24">_xll.aqBondObjectCleanPrice($L24,$C$4,$M24)</f>
        <v>107.35779606549771</v>
      </c>
      <c r="T24" s="49" cm="1">
        <f t="array" ref="T24">_xll.aqBondObjectDirtyPrice($L24,$C$4,$M24)</f>
        <v>107.69999999999999</v>
      </c>
      <c r="U24" s="49" cm="1">
        <f t="array" ref="U24">_xll.aqBondObjectModifiedDuration($L24,$C$4,$Q24)</f>
        <v>3.0653603998931591</v>
      </c>
      <c r="V24" s="93" cm="1">
        <f t="array" ref="V24">_xll.aqBondObjectDV01($L24,$C$4,$Q24)</f>
        <v>330.1393150684932</v>
      </c>
    </row>
    <row r="25" spans="2:22">
      <c r="B25" s="11" t="s">
        <v>786</v>
      </c>
      <c r="C25" s="11" t="s">
        <v>787</v>
      </c>
      <c r="D25" s="11" t="s">
        <v>787</v>
      </c>
      <c r="E25" s="12">
        <v>37245</v>
      </c>
      <c r="F25" s="15">
        <v>37245</v>
      </c>
      <c r="G25" s="14"/>
      <c r="H25" s="12">
        <v>37427</v>
      </c>
      <c r="I25" s="12">
        <v>44367</v>
      </c>
      <c r="J25" s="13">
        <v>2.1000000000000001E-2</v>
      </c>
      <c r="K25" s="12">
        <v>44550</v>
      </c>
      <c r="L25" s="16" t="str" cm="1">
        <f t="array" ref="L25">_xll.aqBondObjectCreateFromGenerator($C25,$L$4,_xll.aqToolLVBFromKeysValues($C$7:$K$7,$C25:$K25))</f>
        <v>JP12005311C3:3</v>
      </c>
      <c r="M25" s="78">
        <v>-1.1000000000000356E-3</v>
      </c>
      <c r="N25" s="51">
        <v>107.036</v>
      </c>
      <c r="O25" s="51">
        <v>3.0699000000000001</v>
      </c>
      <c r="P25" s="95">
        <v>329.5539</v>
      </c>
      <c r="Q25" s="39" cm="1">
        <f t="array" ref="Q25">_xll.aqBondObjectYield(L25,$C$4,R25)</f>
        <v>-1.10000000000002E-3</v>
      </c>
      <c r="R25" s="49" cm="1">
        <f t="array" ref="R25">_xll.aqBondObjectPrice($L25,$C$4,$M25)</f>
        <v>107.0360067545313</v>
      </c>
      <c r="S25" s="49" cm="1">
        <f t="array" ref="S25">_xll.aqBondObjectCleanPrice($L25,$C$4,$M25)</f>
        <v>107.0360067545313</v>
      </c>
      <c r="T25" s="49" cm="1">
        <f t="array" ref="T25">_xll.aqBondObjectDirtyPrice($L25,$C$4,$M25)</f>
        <v>107.35</v>
      </c>
      <c r="U25" s="49" cm="1">
        <f t="array" ref="U25">_xll.aqBondObjectModifiedDuration($L25,$C$4,$Q25)</f>
        <v>3.0699012958508534</v>
      </c>
      <c r="V25" s="93" cm="1">
        <f t="array" ref="V25">_xll.aqBondObjectDV01($L25,$C$4,$Q25)</f>
        <v>329.5539041095891</v>
      </c>
    </row>
    <row r="26" spans="2:22">
      <c r="B26" s="11" t="s">
        <v>788</v>
      </c>
      <c r="C26" s="11" t="s">
        <v>789</v>
      </c>
      <c r="D26" s="11" t="s">
        <v>789</v>
      </c>
      <c r="E26" s="12">
        <v>42815</v>
      </c>
      <c r="F26" s="15">
        <v>42814</v>
      </c>
      <c r="G26" s="14"/>
      <c r="H26" s="12">
        <v>42998</v>
      </c>
      <c r="I26" s="12">
        <v>44459</v>
      </c>
      <c r="J26" s="13">
        <v>1E-3</v>
      </c>
      <c r="K26" s="12">
        <v>44640</v>
      </c>
      <c r="L26" s="16" t="str" cm="1">
        <f t="array" ref="L26">_xll.aqBondObjectCreateFromGenerator($C26,$L$4,_xll.aqToolLVBFromKeysValues($C$7:$K$7,$C26:$K26))</f>
        <v>JP1051311H38:3</v>
      </c>
      <c r="M26" s="78">
        <v>-1.0599999999999874E-3</v>
      </c>
      <c r="N26" s="51">
        <v>100.7069</v>
      </c>
      <c r="O26" s="51">
        <v>3.4138999999999999</v>
      </c>
      <c r="P26" s="95">
        <v>342.58949999999999</v>
      </c>
      <c r="Q26" s="39" cm="1">
        <f t="array" ref="Q26">_xll.aqBondObjectYield(L26,$C$4,R26)</f>
        <v>-1.0600000000000052E-3</v>
      </c>
      <c r="R26" s="49" cm="1">
        <f t="array" ref="R26">_xll.aqBondObjectPrice($L26,$C$4,$M26)</f>
        <v>100.70691276921683</v>
      </c>
      <c r="S26" s="49" cm="1">
        <f t="array" ref="S26">_xll.aqBondObjectCleanPrice($L26,$C$4,$M26)</f>
        <v>100.70691276921683</v>
      </c>
      <c r="T26" s="49" cm="1">
        <f t="array" ref="T26">_xll.aqBondObjectDirtyPrice($L26,$C$4,$M26)</f>
        <v>100.35000000000001</v>
      </c>
      <c r="U26" s="49" cm="1">
        <f t="array" ref="U26">_xll.aqBondObjectModifiedDuration($L26,$C$4,$Q26)</f>
        <v>3.4139463931035898</v>
      </c>
      <c r="V26" s="93" cm="1">
        <f t="array" ref="V26">_xll.aqBondObjectDV01($L26,$C$4,$Q26)</f>
        <v>342.58952054794526</v>
      </c>
    </row>
    <row r="27" spans="2:22">
      <c r="B27" s="11" t="s">
        <v>790</v>
      </c>
      <c r="C27" s="11" t="s">
        <v>791</v>
      </c>
      <c r="D27" s="11" t="s">
        <v>791</v>
      </c>
      <c r="E27" s="12">
        <v>40989</v>
      </c>
      <c r="F27" s="15">
        <v>40988</v>
      </c>
      <c r="G27" s="14"/>
      <c r="H27" s="12">
        <v>41172</v>
      </c>
      <c r="I27" s="12">
        <v>44459</v>
      </c>
      <c r="J27" s="13">
        <v>0.01</v>
      </c>
      <c r="K27" s="12">
        <v>44640</v>
      </c>
      <c r="L27" s="16" t="str" cm="1">
        <f t="array" ref="L27">_xll.aqBondObjectCreateFromGenerator($C27,$L$4,_xll.aqToolLVBFromKeysValues($C$7:$K$7,$C27:$K27))</f>
        <v>JP1103211C33:3</v>
      </c>
      <c r="M27" s="78">
        <v>-1.0200000000000018E-3</v>
      </c>
      <c r="N27" s="51">
        <v>103.7811</v>
      </c>
      <c r="O27" s="51">
        <v>3.3685</v>
      </c>
      <c r="P27" s="95">
        <v>348.63490000000002</v>
      </c>
      <c r="Q27" s="39" cm="1">
        <f t="array" ref="Q27">_xll.aqBondObjectYield(L27,$C$4,R27)</f>
        <v>-1.0199999999999879E-3</v>
      </c>
      <c r="R27" s="49" cm="1">
        <f t="array" ref="R27">_xll.aqBondObjectPrice($L27,$C$4,$M27)</f>
        <v>103.78112113963262</v>
      </c>
      <c r="S27" s="49" cm="1">
        <f t="array" ref="S27">_xll.aqBondObjectCleanPrice($L27,$C$4,$M27)</f>
        <v>103.78112113963262</v>
      </c>
      <c r="T27" s="49" cm="1">
        <f t="array" ref="T27">_xll.aqBondObjectDirtyPrice($L27,$C$4,$M27)</f>
        <v>103.49999999999999</v>
      </c>
      <c r="U27" s="49" cm="1">
        <f t="array" ref="U27">_xll.aqBondObjectModifiedDuration($L27,$C$4,$Q27)</f>
        <v>3.3684534445106222</v>
      </c>
      <c r="V27" s="93" cm="1">
        <f t="array" ref="V27">_xll.aqBondObjectDV01($L27,$C$4,$Q27)</f>
        <v>348.63493150684934</v>
      </c>
    </row>
    <row r="28" spans="2:22">
      <c r="B28" s="11" t="s">
        <v>792</v>
      </c>
      <c r="C28" s="11" t="s">
        <v>793</v>
      </c>
      <c r="D28" s="11" t="s">
        <v>793</v>
      </c>
      <c r="E28" s="12">
        <v>41039</v>
      </c>
      <c r="F28" s="15">
        <v>40988</v>
      </c>
      <c r="G28" s="14"/>
      <c r="H28" s="12">
        <v>41172</v>
      </c>
      <c r="I28" s="12">
        <v>44459</v>
      </c>
      <c r="J28" s="13">
        <v>9.0000000000000011E-3</v>
      </c>
      <c r="K28" s="12">
        <v>44640</v>
      </c>
      <c r="L28" s="16" t="str" cm="1">
        <f t="array" ref="L28">_xll.aqBondObjectCreateFromGenerator($C28,$L$4,_xll.aqToolLVBFromKeysValues($C$7:$K$7,$C28:$K28))</f>
        <v>JP1103221C56:3</v>
      </c>
      <c r="M28" s="78">
        <v>-1.019999999999973E-3</v>
      </c>
      <c r="N28" s="51">
        <v>103.438</v>
      </c>
      <c r="O28" s="51">
        <v>3.3734000000000002</v>
      </c>
      <c r="P28" s="95">
        <v>347.96319999999997</v>
      </c>
      <c r="Q28" s="39" cm="1">
        <f t="array" ref="Q28">_xll.aqBondObjectYield(L28,$C$4,R28)</f>
        <v>-1.0199999999999764E-3</v>
      </c>
      <c r="R28" s="49" cm="1">
        <f t="array" ref="R28">_xll.aqBondObjectPrice($L28,$C$4,$M28)</f>
        <v>103.43800669864962</v>
      </c>
      <c r="S28" s="49" cm="1">
        <f t="array" ref="S28">_xll.aqBondObjectCleanPrice($L28,$C$4,$M28)</f>
        <v>103.43800669864962</v>
      </c>
      <c r="T28" s="49" cm="1">
        <f t="array" ref="T28">_xll.aqBondObjectDirtyPrice($L28,$C$4,$M28)</f>
        <v>103.15</v>
      </c>
      <c r="U28" s="49" cm="1">
        <f t="array" ref="U28">_xll.aqBondObjectModifiedDuration($L28,$C$4,$Q28)</f>
        <v>3.373371005119556</v>
      </c>
      <c r="V28" s="93" cm="1">
        <f t="array" ref="V28">_xll.aqBondObjectDV01($L28,$C$4,$Q28)</f>
        <v>347.96321917808223</v>
      </c>
    </row>
    <row r="29" spans="2:22">
      <c r="B29" s="11" t="s">
        <v>794</v>
      </c>
      <c r="C29" s="11" t="s">
        <v>795</v>
      </c>
      <c r="D29" s="11" t="s">
        <v>795</v>
      </c>
      <c r="E29" s="12">
        <v>37368</v>
      </c>
      <c r="F29" s="15">
        <v>37335</v>
      </c>
      <c r="G29" s="14"/>
      <c r="H29" s="12">
        <v>37519</v>
      </c>
      <c r="I29" s="12">
        <v>44459</v>
      </c>
      <c r="J29" s="13">
        <v>0.02</v>
      </c>
      <c r="K29" s="12">
        <v>44641</v>
      </c>
      <c r="L29" s="16" t="str" cm="1">
        <f t="array" ref="L29">_xll.aqBondObjectCreateFromGenerator($C29,$L$4,_xll.aqToolLVBFromKeysValues($C$7:$K$7,$C29:$K29))</f>
        <v>JP1200551248:3</v>
      </c>
      <c r="M29" s="78">
        <v>-1.09E-3</v>
      </c>
      <c r="N29" s="51">
        <v>107.24379999999999</v>
      </c>
      <c r="O29" s="51">
        <v>3.3210999999999999</v>
      </c>
      <c r="P29" s="95">
        <v>355.37079999999997</v>
      </c>
      <c r="Q29" s="39" cm="1">
        <f t="array" ref="Q29">_xll.aqBondObjectYield(L29,$C$4,R29)</f>
        <v>-1.0900000000000065E-3</v>
      </c>
      <c r="R29" s="49" cm="1">
        <f t="array" ref="R29">_xll.aqBondObjectPrice($L29,$C$4,$M29)</f>
        <v>107.24384339956879</v>
      </c>
      <c r="S29" s="49" cm="1">
        <f t="array" ref="S29">_xll.aqBondObjectCleanPrice($L29,$C$4,$M29)</f>
        <v>107.24384339956879</v>
      </c>
      <c r="T29" s="49" cm="1">
        <f t="array" ref="T29">_xll.aqBondObjectDirtyPrice($L29,$C$4,$M29)</f>
        <v>107.00547945205481</v>
      </c>
      <c r="U29" s="49" cm="1">
        <f t="array" ref="U29">_xll.aqBondObjectModifiedDuration($L29,$C$4,$Q29)</f>
        <v>3.3210522660768715</v>
      </c>
      <c r="V29" s="93" cm="1">
        <f t="array" ref="V29">_xll.aqBondObjectDV01($L29,$C$4,$Q29)</f>
        <v>355.37079001688875</v>
      </c>
    </row>
    <row r="30" spans="2:22">
      <c r="B30" s="11" t="s">
        <v>796</v>
      </c>
      <c r="C30" s="11" t="s">
        <v>797</v>
      </c>
      <c r="D30" s="11" t="s">
        <v>797</v>
      </c>
      <c r="E30" s="12">
        <v>41095</v>
      </c>
      <c r="F30" s="15">
        <v>41080</v>
      </c>
      <c r="G30" s="14"/>
      <c r="H30" s="12">
        <v>41263</v>
      </c>
      <c r="I30" s="12">
        <v>44550</v>
      </c>
      <c r="J30" s="13">
        <v>8.0000000000000002E-3</v>
      </c>
      <c r="K30" s="12">
        <v>44732</v>
      </c>
      <c r="L30" s="16" t="str" cm="1">
        <f t="array" ref="L30">_xll.aqBondObjectCreateFromGenerator($C30,$L$4,_xll.aqToolLVBFromKeysValues($C$7:$K$7,$C30:$K30))</f>
        <v>JP1103241C78:3</v>
      </c>
      <c r="M30" s="78">
        <v>-9.9000000000000758E-4</v>
      </c>
      <c r="N30" s="51">
        <v>103.3125</v>
      </c>
      <c r="O30" s="51">
        <v>3.6183000000000001</v>
      </c>
      <c r="P30" s="95">
        <v>373.4126</v>
      </c>
      <c r="Q30" s="39" cm="1">
        <f t="array" ref="Q30">_xll.aqBondObjectYield(L30,$C$4,R30)</f>
        <v>-9.9000000000001301E-4</v>
      </c>
      <c r="R30" s="49" cm="1">
        <f t="array" ref="R30">_xll.aqBondObjectPrice($L30,$C$4,$M30)</f>
        <v>103.31247762415398</v>
      </c>
      <c r="S30" s="49" cm="1">
        <f t="array" ref="S30">_xll.aqBondObjectCleanPrice($L30,$C$4,$M30)</f>
        <v>103.31247762415398</v>
      </c>
      <c r="T30" s="49" cm="1">
        <f t="array" ref="T30">_xll.aqBondObjectDirtyPrice($L30,$C$4,$M30)</f>
        <v>103.2</v>
      </c>
      <c r="U30" s="49" cm="1">
        <f t="array" ref="U30">_xll.aqBondObjectModifiedDuration($L30,$C$4,$Q30)</f>
        <v>3.6183391738345549</v>
      </c>
      <c r="V30" s="93" cm="1">
        <f t="array" ref="V30">_xll.aqBondObjectDV01($L30,$C$4,$Q30)</f>
        <v>373.41260273972608</v>
      </c>
    </row>
    <row r="31" spans="2:22">
      <c r="B31" s="11" t="s">
        <v>798</v>
      </c>
      <c r="C31" s="11" t="s">
        <v>799</v>
      </c>
      <c r="D31" s="11" t="s">
        <v>799</v>
      </c>
      <c r="E31" s="12">
        <v>41080</v>
      </c>
      <c r="F31" s="15">
        <v>41080</v>
      </c>
      <c r="G31" s="14"/>
      <c r="H31" s="12">
        <v>41263</v>
      </c>
      <c r="I31" s="12">
        <v>44550</v>
      </c>
      <c r="J31" s="13">
        <v>9.0000000000000011E-3</v>
      </c>
      <c r="K31" s="12">
        <v>44732</v>
      </c>
      <c r="L31" s="16" t="str" cm="1">
        <f t="array" ref="L31">_xll.aqBondObjectCreateFromGenerator($C31,$L$4,_xll.aqToolLVBFromKeysValues($C$7:$K$7,$C31:$K31))</f>
        <v>JP1103231C62:3</v>
      </c>
      <c r="M31" s="78">
        <v>-9.9000000000000823E-4</v>
      </c>
      <c r="N31" s="51">
        <v>103.68089999999999</v>
      </c>
      <c r="O31" s="51">
        <v>3.6118000000000001</v>
      </c>
      <c r="P31" s="95">
        <v>374.1816</v>
      </c>
      <c r="Q31" s="39" cm="1">
        <f t="array" ref="Q31">_xll.aqBondObjectYield(L31,$C$4,R31)</f>
        <v>-9.8999999999998807E-4</v>
      </c>
      <c r="R31" s="49" cm="1">
        <f t="array" ref="R31">_xll.aqBondObjectPrice($L31,$C$4,$M31)</f>
        <v>103.68094009625119</v>
      </c>
      <c r="S31" s="49" cm="1">
        <f t="array" ref="S31">_xll.aqBondObjectCleanPrice($L31,$C$4,$M31)</f>
        <v>103.68094009625119</v>
      </c>
      <c r="T31" s="49" cm="1">
        <f t="array" ref="T31">_xll.aqBondObjectDirtyPrice($L31,$C$4,$M31)</f>
        <v>103.60000000000001</v>
      </c>
      <c r="U31" s="49" cm="1">
        <f t="array" ref="U31">_xll.aqBondObjectModifiedDuration($L31,$C$4,$Q31)</f>
        <v>3.6117919289152165</v>
      </c>
      <c r="V31" s="93" cm="1">
        <f t="array" ref="V31">_xll.aqBondObjectDV01($L31,$C$4,$Q31)</f>
        <v>374.18164383561646</v>
      </c>
    </row>
    <row r="32" spans="2:22">
      <c r="B32" s="11" t="s">
        <v>800</v>
      </c>
      <c r="C32" s="11" t="s">
        <v>801</v>
      </c>
      <c r="D32" s="11" t="s">
        <v>801</v>
      </c>
      <c r="E32" s="12">
        <v>37488</v>
      </c>
      <c r="F32" s="15">
        <v>37427</v>
      </c>
      <c r="G32" s="14"/>
      <c r="H32" s="12">
        <v>37610</v>
      </c>
      <c r="I32" s="12">
        <v>44550</v>
      </c>
      <c r="J32" s="13">
        <v>1.9E-2</v>
      </c>
      <c r="K32" s="12">
        <v>44732</v>
      </c>
      <c r="L32" s="16" t="str" cm="1">
        <f t="array" ref="L32">_xll.aqBondObjectCreateFromGenerator($C32,$L$4,_xll.aqToolLVBFromKeysValues($C$7:$K$7,$C32:$K32))</f>
        <v>JP1200571287:3</v>
      </c>
      <c r="M32" s="78">
        <v>-1.0299999999999802E-3</v>
      </c>
      <c r="N32" s="51">
        <v>107.3814</v>
      </c>
      <c r="O32" s="51">
        <v>3.5489999999999999</v>
      </c>
      <c r="P32" s="95">
        <v>381.87209999999999</v>
      </c>
      <c r="Q32" s="39" cm="1">
        <f t="array" ref="Q32">_xll.aqBondObjectYield(L32,$C$4,R32)</f>
        <v>-1.0299999999999762E-3</v>
      </c>
      <c r="R32" s="49" cm="1">
        <f t="array" ref="R32">_xll.aqBondObjectPrice($L32,$C$4,$M32)</f>
        <v>107.38139122237017</v>
      </c>
      <c r="S32" s="49" cm="1">
        <f t="array" ref="S32">_xll.aqBondObjectCleanPrice($L32,$C$4,$M32)</f>
        <v>107.38139122237017</v>
      </c>
      <c r="T32" s="49" cm="1">
        <f t="array" ref="T32">_xll.aqBondObjectDirtyPrice($L32,$C$4,$M32)</f>
        <v>107.60000000000001</v>
      </c>
      <c r="U32" s="49" cm="1">
        <f t="array" ref="U32">_xll.aqBondObjectModifiedDuration($L32,$C$4,$Q32)</f>
        <v>3.5489967917706369</v>
      </c>
      <c r="V32" s="93" cm="1">
        <f t="array" ref="V32">_xll.aqBondObjectDV01($L32,$C$4,$Q32)</f>
        <v>381.87205479452058</v>
      </c>
    </row>
    <row r="33" spans="2:22">
      <c r="B33" s="11" t="s">
        <v>802</v>
      </c>
      <c r="C33" s="11" t="s">
        <v>803</v>
      </c>
      <c r="D33" s="11" t="s">
        <v>803</v>
      </c>
      <c r="E33" s="12">
        <v>37427</v>
      </c>
      <c r="F33" s="15">
        <v>37427</v>
      </c>
      <c r="G33" s="14"/>
      <c r="H33" s="12">
        <v>37610</v>
      </c>
      <c r="I33" s="12">
        <v>44550</v>
      </c>
      <c r="J33" s="13">
        <v>0.02</v>
      </c>
      <c r="K33" s="12">
        <v>44732</v>
      </c>
      <c r="L33" s="16" t="str" cm="1">
        <f t="array" ref="L33">_xll.aqBondObjectCreateFromGenerator($C33,$L$4,_xll.aqToolLVBFromKeysValues($C$7:$K$7,$C33:$K33))</f>
        <v>JP1200561262:3</v>
      </c>
      <c r="M33" s="78">
        <v>-1.0299999999999834E-3</v>
      </c>
      <c r="N33" s="51">
        <v>107.7499</v>
      </c>
      <c r="O33" s="51">
        <v>3.5430000000000001</v>
      </c>
      <c r="P33" s="95">
        <v>382.64109999999999</v>
      </c>
      <c r="Q33" s="39" cm="1">
        <f t="array" ref="Q33">_xll.aqBondObjectYield(L33,$C$4,R33)</f>
        <v>-1.0299999999999877E-3</v>
      </c>
      <c r="R33" s="49" cm="1">
        <f t="array" ref="R33">_xll.aqBondObjectPrice($L33,$C$4,$M33)</f>
        <v>107.74990800830977</v>
      </c>
      <c r="S33" s="49" cm="1">
        <f t="array" ref="S33">_xll.aqBondObjectCleanPrice($L33,$C$4,$M33)</f>
        <v>107.74990800830977</v>
      </c>
      <c r="T33" s="49" cm="1">
        <f t="array" ref="T33">_xll.aqBondObjectDirtyPrice($L33,$C$4,$M33)</f>
        <v>108</v>
      </c>
      <c r="U33" s="49" cm="1">
        <f t="array" ref="U33">_xll.aqBondObjectModifiedDuration($L33,$C$4,$Q33)</f>
        <v>3.5429731100963977</v>
      </c>
      <c r="V33" s="93" cm="1">
        <f t="array" ref="V33">_xll.aqBondObjectDV01($L33,$C$4,$Q33)</f>
        <v>382.64109589041095</v>
      </c>
    </row>
    <row r="34" spans="2:22">
      <c r="B34" s="11" t="s">
        <v>804</v>
      </c>
      <c r="C34" s="11" t="s">
        <v>805</v>
      </c>
      <c r="D34" s="11" t="s">
        <v>805</v>
      </c>
      <c r="E34" s="12">
        <v>41172</v>
      </c>
      <c r="F34" s="15">
        <v>41172</v>
      </c>
      <c r="G34" s="14"/>
      <c r="H34" s="12">
        <v>41353</v>
      </c>
      <c r="I34" s="12">
        <v>44640</v>
      </c>
      <c r="J34" s="13">
        <v>8.0000000000000002E-3</v>
      </c>
      <c r="K34" s="12">
        <v>44824</v>
      </c>
      <c r="L34" s="16" t="str" cm="1">
        <f t="array" ref="L34">_xll.aqBondObjectCreateFromGenerator($C34,$L$4,_xll.aqToolLVBFromKeysValues($C$7:$K$7,$C34:$K34))</f>
        <v>JP1103251C91:3</v>
      </c>
      <c r="M34" s="78">
        <v>-9.3000000000003562E-4</v>
      </c>
      <c r="N34" s="51">
        <v>103.5163</v>
      </c>
      <c r="O34" s="51">
        <v>3.8649</v>
      </c>
      <c r="P34" s="95">
        <v>398.85919999999999</v>
      </c>
      <c r="Q34" s="39" cm="1">
        <f t="array" ref="Q34">_xll.aqBondObjectYield(L34,$C$4,R34)</f>
        <v>-9.3000000000004342E-4</v>
      </c>
      <c r="R34" s="49" cm="1">
        <f t="array" ref="R34">_xll.aqBondObjectPrice($L34,$C$4,$M34)</f>
        <v>103.51632575888399</v>
      </c>
      <c r="S34" s="49" cm="1">
        <f t="array" ref="S34">_xll.aqBondObjectCleanPrice($L34,$C$4,$M34)</f>
        <v>103.51632575888399</v>
      </c>
      <c r="T34" s="49" cm="1">
        <f t="array" ref="T34">_xll.aqBondObjectDirtyPrice($L34,$C$4,$M34)</f>
        <v>103.2</v>
      </c>
      <c r="U34" s="49" cm="1">
        <f t="array" ref="U34">_xll.aqBondObjectModifiedDuration($L34,$C$4,$Q34)</f>
        <v>3.864914516300308</v>
      </c>
      <c r="V34" s="93" cm="1">
        <f t="array" ref="V34">_xll.aqBondObjectDV01($L34,$C$4,$Q34)</f>
        <v>398.85917808219182</v>
      </c>
    </row>
    <row r="35" spans="2:22">
      <c r="B35" s="11" t="s">
        <v>806</v>
      </c>
      <c r="C35" s="11" t="s">
        <v>807</v>
      </c>
      <c r="D35" s="11" t="s">
        <v>807</v>
      </c>
      <c r="E35" s="12">
        <v>37550</v>
      </c>
      <c r="F35" s="15">
        <v>37519</v>
      </c>
      <c r="G35" s="14"/>
      <c r="H35" s="12">
        <v>37700</v>
      </c>
      <c r="I35" s="12">
        <v>44640</v>
      </c>
      <c r="J35" s="13">
        <v>1.9E-2</v>
      </c>
      <c r="K35" s="12">
        <v>44824</v>
      </c>
      <c r="L35" s="16" t="str" cm="1">
        <f t="array" ref="L35">_xll.aqBondObjectCreateFromGenerator($C35,$L$4,_xll.aqToolLVBFromKeysValues($C$7:$K$7,$C35:$K35))</f>
        <v>JP12005812A4:3</v>
      </c>
      <c r="M35" s="78">
        <v>-9.9000000000001257E-4</v>
      </c>
      <c r="N35" s="51">
        <v>107.8732</v>
      </c>
      <c r="O35" s="51">
        <v>3.7955999999999999</v>
      </c>
      <c r="P35" s="95">
        <v>408.40359999999998</v>
      </c>
      <c r="Q35" s="39" cm="1">
        <f t="array" ref="Q35">_xll.aqBondObjectYield(L35,$C$4,R35)</f>
        <v>-9.9000000000001712E-4</v>
      </c>
      <c r="R35" s="49" cm="1">
        <f t="array" ref="R35">_xll.aqBondObjectPrice($L35,$C$4,$M35)</f>
        <v>107.87323211975765</v>
      </c>
      <c r="S35" s="49" cm="1">
        <f t="array" ref="S35">_xll.aqBondObjectCleanPrice($L35,$C$4,$M35)</f>
        <v>107.87323211975765</v>
      </c>
      <c r="T35" s="49" cm="1">
        <f t="array" ref="T35">_xll.aqBondObjectDirtyPrice($L35,$C$4,$M35)</f>
        <v>107.60000000000001</v>
      </c>
      <c r="U35" s="49" cm="1">
        <f t="array" ref="U35">_xll.aqBondObjectModifiedDuration($L35,$C$4,$Q35)</f>
        <v>3.7955721342363904</v>
      </c>
      <c r="V35" s="93" cm="1">
        <f t="array" ref="V35">_xll.aqBondObjectDV01($L35,$C$4,$Q35)</f>
        <v>408.40356164383564</v>
      </c>
    </row>
    <row r="36" spans="2:22">
      <c r="B36" s="11" t="s">
        <v>808</v>
      </c>
      <c r="C36" s="11" t="s">
        <v>809</v>
      </c>
      <c r="D36" s="11" t="s">
        <v>809</v>
      </c>
      <c r="E36" s="12">
        <v>41284</v>
      </c>
      <c r="F36" s="15">
        <v>41263</v>
      </c>
      <c r="G36" s="14"/>
      <c r="H36" s="12">
        <v>41445</v>
      </c>
      <c r="I36" s="12">
        <v>44732</v>
      </c>
      <c r="J36" s="13">
        <v>8.0000000000000002E-3</v>
      </c>
      <c r="K36" s="12">
        <v>44915</v>
      </c>
      <c r="L36" s="16" t="str" cm="1">
        <f t="array" ref="L36">_xll.aqBondObjectCreateFromGenerator($C36,$L$4,_xll.aqToolLVBFromKeysValues($C$7:$K$7,$C36:$K36))</f>
        <v>JP1103271D13:3</v>
      </c>
      <c r="M36" s="78">
        <v>-8.7000000000001746E-4</v>
      </c>
      <c r="N36" s="51">
        <v>103.7146</v>
      </c>
      <c r="O36" s="51">
        <v>4.1031000000000004</v>
      </c>
      <c r="P36" s="95">
        <v>425.08159999999998</v>
      </c>
      <c r="Q36" s="39" cm="1">
        <f t="array" ref="Q36">_xll.aqBondObjectYield(L36,$C$4,R36)</f>
        <v>-8.7000000000000597E-4</v>
      </c>
      <c r="R36" s="49" cm="1">
        <f t="array" ref="R36">_xll.aqBondObjectPrice($L36,$C$4,$M36)</f>
        <v>103.71458317768841</v>
      </c>
      <c r="S36" s="49" cm="1">
        <f t="array" ref="S36">_xll.aqBondObjectCleanPrice($L36,$C$4,$M36)</f>
        <v>103.71458317768841</v>
      </c>
      <c r="T36" s="49" cm="1">
        <f t="array" ref="T36">_xll.aqBondObjectDirtyPrice($L36,$C$4,$M36)</f>
        <v>103.60000000000001</v>
      </c>
      <c r="U36" s="49" cm="1">
        <f t="array" ref="U36">_xll.aqBondObjectModifiedDuration($L36,$C$4,$Q36)</f>
        <v>4.1031046702279577</v>
      </c>
      <c r="V36" s="93" cm="1">
        <f t="array" ref="V36">_xll.aqBondObjectDV01($L36,$C$4,$Q36)</f>
        <v>425.08164383561649</v>
      </c>
    </row>
    <row r="37" spans="2:22">
      <c r="B37" s="11" t="s">
        <v>810</v>
      </c>
      <c r="C37" s="11" t="s">
        <v>811</v>
      </c>
      <c r="D37" s="11" t="s">
        <v>811</v>
      </c>
      <c r="E37" s="12">
        <v>41263</v>
      </c>
      <c r="F37" s="15">
        <v>41263</v>
      </c>
      <c r="G37" s="14"/>
      <c r="H37" s="12">
        <v>41445</v>
      </c>
      <c r="I37" s="12">
        <v>44732</v>
      </c>
      <c r="J37" s="13">
        <v>6.9999999999999993E-3</v>
      </c>
      <c r="K37" s="12">
        <v>44915</v>
      </c>
      <c r="L37" s="16" t="str" cm="1">
        <f t="array" ref="L37">_xll.aqBondObjectCreateFromGenerator($C37,$L$4,_xll.aqToolLVBFromKeysValues($C$7:$K$7,$C37:$K37))</f>
        <v>JP1103261CC2:3</v>
      </c>
      <c r="M37" s="78">
        <v>-8.7000000000002505E-4</v>
      </c>
      <c r="N37" s="51">
        <v>103.2958</v>
      </c>
      <c r="O37" s="51">
        <v>4.1115000000000004</v>
      </c>
      <c r="P37" s="95">
        <v>424.10399999999998</v>
      </c>
      <c r="Q37" s="39" cm="1">
        <f t="array" ref="Q37">_xll.aqBondObjectYield(L37,$C$4,R37)</f>
        <v>-8.7000000000004467E-4</v>
      </c>
      <c r="R37" s="49" cm="1">
        <f t="array" ref="R37">_xll.aqBondObjectPrice($L37,$C$4,$M37)</f>
        <v>103.2958026616018</v>
      </c>
      <c r="S37" s="49" cm="1">
        <f t="array" ref="S37">_xll.aqBondObjectCleanPrice($L37,$C$4,$M37)</f>
        <v>103.2958026616018</v>
      </c>
      <c r="T37" s="49" cm="1">
        <f t="array" ref="T37">_xll.aqBondObjectDirtyPrice($L37,$C$4,$M37)</f>
        <v>103.15</v>
      </c>
      <c r="U37" s="49" cm="1">
        <f t="array" ref="U37">_xll.aqBondObjectModifiedDuration($L37,$C$4,$Q37)</f>
        <v>4.1115266369630605</v>
      </c>
      <c r="V37" s="93" cm="1">
        <f t="array" ref="V37">_xll.aqBondObjectDV01($L37,$C$4,$Q37)</f>
        <v>424.10397260273976</v>
      </c>
    </row>
    <row r="38" spans="2:22">
      <c r="B38" s="11" t="s">
        <v>812</v>
      </c>
      <c r="C38" s="11" t="s">
        <v>813</v>
      </c>
      <c r="D38" s="11" t="s">
        <v>813</v>
      </c>
      <c r="E38" s="12">
        <v>37610</v>
      </c>
      <c r="F38" s="15">
        <v>37610</v>
      </c>
      <c r="G38" s="14"/>
      <c r="H38" s="12">
        <v>37792</v>
      </c>
      <c r="I38" s="12">
        <v>44732</v>
      </c>
      <c r="J38" s="13">
        <v>1.7000000000000001E-2</v>
      </c>
      <c r="K38" s="12">
        <v>44915</v>
      </c>
      <c r="L38" s="16" t="str" cm="1">
        <f t="array" ref="L38">_xll.aqBondObjectCreateFromGenerator($C38,$L$4,_xll.aqToolLVBFromKeysValues($C$7:$K$7,$C38:$K38))</f>
        <v>JP12005912C8:3</v>
      </c>
      <c r="M38" s="78">
        <v>-9.3999999999999704E-4</v>
      </c>
      <c r="N38" s="51">
        <v>107.5151</v>
      </c>
      <c r="O38" s="51">
        <v>4.0305</v>
      </c>
      <c r="P38" s="95">
        <v>433.88069999999999</v>
      </c>
      <c r="Q38" s="39" cm="1">
        <f t="array" ref="Q38">_xll.aqBondObjectYield(L38,$C$4,R38)</f>
        <v>-9.4000000000000279E-4</v>
      </c>
      <c r="R38" s="49" cm="1">
        <f t="array" ref="R38">_xll.aqBondObjectPrice($L38,$C$4,$M38)</f>
        <v>107.51512549028604</v>
      </c>
      <c r="S38" s="49" cm="1">
        <f t="array" ref="S38">_xll.aqBondObjectCleanPrice($L38,$C$4,$M38)</f>
        <v>107.51512549028604</v>
      </c>
      <c r="T38" s="49" cm="1">
        <f t="array" ref="T38">_xll.aqBondObjectDirtyPrice($L38,$C$4,$M38)</f>
        <v>107.65</v>
      </c>
      <c r="U38" s="49" cm="1">
        <f t="array" ref="U38">_xll.aqBondObjectModifiedDuration($L38,$C$4,$Q38)</f>
        <v>4.0304754754436312</v>
      </c>
      <c r="V38" s="93" cm="1">
        <f t="array" ref="V38">_xll.aqBondObjectDV01($L38,$C$4,$Q38)</f>
        <v>433.88068493150689</v>
      </c>
    </row>
    <row r="39" spans="2:22">
      <c r="B39" s="11" t="s">
        <v>814</v>
      </c>
      <c r="C39" s="11" t="s">
        <v>815</v>
      </c>
      <c r="D39" s="11" t="s">
        <v>815</v>
      </c>
      <c r="E39" s="12">
        <v>37677</v>
      </c>
      <c r="F39" s="15">
        <v>37610</v>
      </c>
      <c r="G39" s="14"/>
      <c r="H39" s="12">
        <v>37792</v>
      </c>
      <c r="I39" s="12">
        <v>44732</v>
      </c>
      <c r="J39" s="13">
        <v>1.3999999999999999E-2</v>
      </c>
      <c r="K39" s="12">
        <v>44915</v>
      </c>
      <c r="L39" s="16" t="str" cm="1">
        <f t="array" ref="L39">_xll.aqBondObjectCreateFromGenerator($C39,$L$4,_xll.aqToolLVBFromKeysValues($C$7:$K$7,$C39:$K39))</f>
        <v>JP1200601324:3</v>
      </c>
      <c r="M39" s="78">
        <v>-8.9999999999998556E-4</v>
      </c>
      <c r="N39" s="51">
        <v>106.2406</v>
      </c>
      <c r="O39" s="51">
        <v>4.0541</v>
      </c>
      <c r="P39" s="95">
        <v>430.9477</v>
      </c>
      <c r="Q39" s="39" cm="1">
        <f t="array" ref="Q39">_xll.aqBondObjectYield(L39,$C$4,R39)</f>
        <v>-8.9999999999999087E-4</v>
      </c>
      <c r="R39" s="49" cm="1">
        <f t="array" ref="R39">_xll.aqBondObjectPrice($L39,$C$4,$M39)</f>
        <v>106.24061372392158</v>
      </c>
      <c r="S39" s="49" cm="1">
        <f t="array" ref="S39">_xll.aqBondObjectCleanPrice($L39,$C$4,$M39)</f>
        <v>106.24061372392158</v>
      </c>
      <c r="T39" s="49" cm="1">
        <f t="array" ref="T39">_xll.aqBondObjectDirtyPrice($L39,$C$4,$M39)</f>
        <v>106.3</v>
      </c>
      <c r="U39" s="49" cm="1">
        <f t="array" ref="U39">_xll.aqBondObjectModifiedDuration($L39,$C$4,$Q39)</f>
        <v>4.0540702844108818</v>
      </c>
      <c r="V39" s="93" cm="1">
        <f t="array" ref="V39">_xll.aqBondObjectDV01($L39,$C$4,$Q39)</f>
        <v>430.94767123287676</v>
      </c>
    </row>
    <row r="40" spans="2:22">
      <c r="B40" s="11" t="s">
        <v>816</v>
      </c>
      <c r="C40" s="11" t="s">
        <v>817</v>
      </c>
      <c r="D40" s="11" t="s">
        <v>817</v>
      </c>
      <c r="E40" s="12">
        <v>41354</v>
      </c>
      <c r="F40" s="15">
        <v>41353</v>
      </c>
      <c r="G40" s="14"/>
      <c r="H40" s="12">
        <v>41537</v>
      </c>
      <c r="I40" s="12">
        <v>44824</v>
      </c>
      <c r="J40" s="13">
        <v>6.0000000000000001E-3</v>
      </c>
      <c r="K40" s="12">
        <v>45005</v>
      </c>
      <c r="L40" s="16" t="str" cm="1">
        <f t="array" ref="L40">_xll.aqBondObjectCreateFromGenerator($C40,$L$4,_xll.aqToolLVBFromKeysValues($C$7:$K$7,$C40:$K40))</f>
        <v>JP1103281D37:3</v>
      </c>
      <c r="M40" s="78">
        <v>-8.0999999999998521E-4</v>
      </c>
      <c r="N40" s="51">
        <v>103.02030000000001</v>
      </c>
      <c r="O40" s="51">
        <v>4.3666</v>
      </c>
      <c r="P40" s="95">
        <v>448.44959999999998</v>
      </c>
      <c r="Q40" s="39" cm="1">
        <f t="array" ref="Q40">_xll.aqBondObjectYield(L40,$C$4,R40)</f>
        <v>-8.0999999999999833E-4</v>
      </c>
      <c r="R40" s="49" cm="1">
        <f t="array" ref="R40">_xll.aqBondObjectPrice($L40,$C$4,$M40)</f>
        <v>103.02027143902254</v>
      </c>
      <c r="S40" s="49" cm="1">
        <f t="array" ref="S40">_xll.aqBondObjectCleanPrice($L40,$C$4,$M40)</f>
        <v>103.02027143902254</v>
      </c>
      <c r="T40" s="49" cm="1">
        <f t="array" ref="T40">_xll.aqBondObjectDirtyPrice($L40,$C$4,$M40)</f>
        <v>102.69999999999999</v>
      </c>
      <c r="U40" s="49" cm="1">
        <f t="array" ref="U40">_xll.aqBondObjectModifiedDuration($L40,$C$4,$Q40)</f>
        <v>4.3665977511304375</v>
      </c>
      <c r="V40" s="93" cm="1">
        <f t="array" ref="V40">_xll.aqBondObjectDV01($L40,$C$4,$Q40)</f>
        <v>448.44958904109592</v>
      </c>
    </row>
    <row r="41" spans="2:22">
      <c r="B41" s="11" t="s">
        <v>818</v>
      </c>
      <c r="C41" s="11" t="s">
        <v>819</v>
      </c>
      <c r="D41" s="11" t="s">
        <v>819</v>
      </c>
      <c r="E41" s="12">
        <v>37736</v>
      </c>
      <c r="F41" s="15">
        <v>37700</v>
      </c>
      <c r="G41" s="14"/>
      <c r="H41" s="12">
        <v>37884</v>
      </c>
      <c r="I41" s="12">
        <v>44824</v>
      </c>
      <c r="J41" s="13">
        <v>0.01</v>
      </c>
      <c r="K41" s="12">
        <v>45005</v>
      </c>
      <c r="L41" s="16" t="str" cm="1">
        <f t="array" ref="L41">_xll.aqBondObjectCreateFromGenerator($C41,$L$4,_xll.aqToolLVBFromKeysValues($C$7:$K$7,$C41:$K41))</f>
        <v>JP1200611349:3</v>
      </c>
      <c r="M41" s="78">
        <v>-8.5999999999999586E-4</v>
      </c>
      <c r="N41" s="51">
        <v>104.8175</v>
      </c>
      <c r="O41" s="51">
        <v>4.3331</v>
      </c>
      <c r="P41" s="95">
        <v>452.80410000000001</v>
      </c>
      <c r="Q41" s="39" cm="1">
        <f t="array" ref="Q41">_xll.aqBondObjectYield(L41,$C$4,R41)</f>
        <v>-8.5999999999996528E-4</v>
      </c>
      <c r="R41" s="49" cm="1">
        <f t="array" ref="R41">_xll.aqBondObjectPrice($L41,$C$4,$M41)</f>
        <v>104.81753641139494</v>
      </c>
      <c r="S41" s="49" cm="1">
        <f t="array" ref="S41">_xll.aqBondObjectCleanPrice($L41,$C$4,$M41)</f>
        <v>104.81753641139494</v>
      </c>
      <c r="T41" s="49" cm="1">
        <f t="array" ref="T41">_xll.aqBondObjectDirtyPrice($L41,$C$4,$M41)</f>
        <v>104.5</v>
      </c>
      <c r="U41" s="49" cm="1">
        <f t="array" ref="U41">_xll.aqBondObjectModifiedDuration($L41,$C$4,$Q41)</f>
        <v>4.3330536802779056</v>
      </c>
      <c r="V41" s="93" cm="1">
        <f t="array" ref="V41">_xll.aqBondObjectDV01($L41,$C$4,$Q41)</f>
        <v>452.80410958904116</v>
      </c>
    </row>
    <row r="42" spans="2:22">
      <c r="B42" s="11" t="s">
        <v>820</v>
      </c>
      <c r="C42" s="11" t="s">
        <v>821</v>
      </c>
      <c r="D42" s="11" t="s">
        <v>821</v>
      </c>
      <c r="E42" s="12">
        <v>41445</v>
      </c>
      <c r="F42" s="15">
        <v>41445</v>
      </c>
      <c r="G42" s="14"/>
      <c r="H42" s="12">
        <v>41628</v>
      </c>
      <c r="I42" s="12">
        <v>44915</v>
      </c>
      <c r="J42" s="13">
        <v>8.0000000000000002E-3</v>
      </c>
      <c r="K42" s="12">
        <v>45097</v>
      </c>
      <c r="L42" s="16" t="str" cm="1">
        <f t="array" ref="L42">_xll.aqBondObjectCreateFromGenerator($C42,$L$4,_xll.aqToolLVBFromKeysValues($C$7:$K$7,$C42:$K42))</f>
        <v>JP1103291D68:3</v>
      </c>
      <c r="M42" s="78">
        <v>-7.6999999999999356E-4</v>
      </c>
      <c r="N42" s="51">
        <v>104.11150000000001</v>
      </c>
      <c r="O42" s="51">
        <v>4.5861000000000001</v>
      </c>
      <c r="P42" s="95">
        <v>476.95069999999998</v>
      </c>
      <c r="Q42" s="39" cm="1">
        <f t="array" ref="Q42">_xll.aqBondObjectYield(L42,$C$4,R42)</f>
        <v>-7.6999999999998532E-4</v>
      </c>
      <c r="R42" s="49" cm="1">
        <f t="array" ref="R42">_xll.aqBondObjectPrice($L42,$C$4,$M42)</f>
        <v>104.11145953328293</v>
      </c>
      <c r="S42" s="49" cm="1">
        <f t="array" ref="S42">_xll.aqBondObjectCleanPrice($L42,$C$4,$M42)</f>
        <v>104.11145953328293</v>
      </c>
      <c r="T42" s="49" cm="1">
        <f t="array" ref="T42">_xll.aqBondObjectDirtyPrice($L42,$C$4,$M42)</f>
        <v>104</v>
      </c>
      <c r="U42" s="49" cm="1">
        <f t="array" ref="U42">_xll.aqBondObjectModifiedDuration($L42,$C$4,$Q42)</f>
        <v>4.5860642781875658</v>
      </c>
      <c r="V42" s="93" cm="1">
        <f t="array" ref="V42">_xll.aqBondObjectDV01($L42,$C$4,$Q42)</f>
        <v>476.95068493150688</v>
      </c>
    </row>
    <row r="43" spans="2:22">
      <c r="B43" s="11" t="s">
        <v>822</v>
      </c>
      <c r="C43" s="11" t="s">
        <v>823</v>
      </c>
      <c r="D43" s="11" t="s">
        <v>823</v>
      </c>
      <c r="E43" s="12">
        <v>37792</v>
      </c>
      <c r="F43" s="15">
        <v>37792</v>
      </c>
      <c r="G43" s="14"/>
      <c r="H43" s="12">
        <v>37975</v>
      </c>
      <c r="I43" s="12">
        <v>44915</v>
      </c>
      <c r="J43" s="13">
        <v>8.0000000000000002E-3</v>
      </c>
      <c r="K43" s="12">
        <v>45097</v>
      </c>
      <c r="L43" s="16" t="str" cm="1">
        <f t="array" ref="L43">_xll.aqBondObjectCreateFromGenerator($C43,$L$4,_xll.aqToolLVBFromKeysValues($C$7:$K$7,$C43:$K43))</f>
        <v>JP1200621363:3</v>
      </c>
      <c r="M43" s="78">
        <v>-8.1000000000000126E-4</v>
      </c>
      <c r="N43" s="51">
        <v>104.131</v>
      </c>
      <c r="O43" s="51">
        <v>4.5861000000000001</v>
      </c>
      <c r="P43" s="95">
        <v>476.95069999999998</v>
      </c>
      <c r="Q43" s="39" cm="1">
        <f t="array" ref="Q43">_xll.aqBondObjectYield(L43,$C$4,R43)</f>
        <v>-8.0999999999998987E-4</v>
      </c>
      <c r="R43" s="49" cm="1">
        <f t="array" ref="R43">_xll.aqBondObjectPrice($L43,$C$4,$M43)</f>
        <v>104.13098657261949</v>
      </c>
      <c r="S43" s="49" cm="1">
        <f t="array" ref="S43">_xll.aqBondObjectCleanPrice($L43,$C$4,$M43)</f>
        <v>104.13098657261949</v>
      </c>
      <c r="T43" s="49" cm="1">
        <f t="array" ref="T43">_xll.aqBondObjectDirtyPrice($L43,$C$4,$M43)</f>
        <v>104</v>
      </c>
      <c r="U43" s="49" cm="1">
        <f t="array" ref="U43">_xll.aqBondObjectModifiedDuration($L43,$C$4,$Q43)</f>
        <v>4.5860642781875658</v>
      </c>
      <c r="V43" s="93" cm="1">
        <f t="array" ref="V43">_xll.aqBondObjectDV01($L43,$C$4,$Q43)</f>
        <v>476.95068493150688</v>
      </c>
    </row>
    <row r="44" spans="2:22">
      <c r="B44" s="11" t="s">
        <v>824</v>
      </c>
      <c r="C44" s="11" t="s">
        <v>825</v>
      </c>
      <c r="D44" s="11" t="s">
        <v>825</v>
      </c>
      <c r="E44" s="12">
        <v>37858</v>
      </c>
      <c r="F44" s="15">
        <v>37792</v>
      </c>
      <c r="G44" s="14"/>
      <c r="H44" s="12">
        <v>37975</v>
      </c>
      <c r="I44" s="12">
        <v>44915</v>
      </c>
      <c r="J44" s="13">
        <v>1.8000000000000002E-2</v>
      </c>
      <c r="K44" s="12">
        <v>45097</v>
      </c>
      <c r="L44" s="16" t="str" cm="1">
        <f t="array" ref="L44">_xll.aqBondObjectCreateFromGenerator($C44,$L$4,_xll.aqToolLVBFromKeysValues($C$7:$K$7,$C44:$K44))</f>
        <v>JP1200631388:3</v>
      </c>
      <c r="M44" s="78">
        <v>-8.1000000000000679E-4</v>
      </c>
      <c r="N44" s="51">
        <v>108.82</v>
      </c>
      <c r="O44" s="51">
        <v>4.4867999999999997</v>
      </c>
      <c r="P44" s="95">
        <v>489.06369999999998</v>
      </c>
      <c r="Q44" s="39" cm="1">
        <f t="array" ref="Q44">_xll.aqBondObjectYield(L44,$C$4,R44)</f>
        <v>-8.1000000000002706E-4</v>
      </c>
      <c r="R44" s="49" cm="1">
        <f t="array" ref="R44">_xll.aqBondObjectPrice($L44,$C$4,$M44)</f>
        <v>108.81996111588795</v>
      </c>
      <c r="S44" s="49" cm="1">
        <f t="array" ref="S44">_xll.aqBondObjectCleanPrice($L44,$C$4,$M44)</f>
        <v>108.81996111588795</v>
      </c>
      <c r="T44" s="49" cm="1">
        <f t="array" ref="T44">_xll.aqBondObjectDirtyPrice($L44,$C$4,$M44)</f>
        <v>109.00000000000001</v>
      </c>
      <c r="U44" s="49" cm="1">
        <f t="array" ref="U44">_xll.aqBondObjectModifiedDuration($L44,$C$4,$Q44)</f>
        <v>4.4868229232122658</v>
      </c>
      <c r="V44" s="93" cm="1">
        <f t="array" ref="V44">_xll.aqBondObjectDV01($L44,$C$4,$Q44)</f>
        <v>489.06369863013703</v>
      </c>
    </row>
    <row r="45" spans="2:22">
      <c r="B45" s="11" t="s">
        <v>826</v>
      </c>
      <c r="C45" s="11" t="s">
        <v>827</v>
      </c>
      <c r="D45" s="11" t="s">
        <v>827</v>
      </c>
      <c r="E45" s="12">
        <v>41537</v>
      </c>
      <c r="F45" s="15">
        <v>41537</v>
      </c>
      <c r="G45" s="14"/>
      <c r="H45" s="12">
        <v>41718</v>
      </c>
      <c r="I45" s="12">
        <v>45005</v>
      </c>
      <c r="J45" s="13">
        <v>8.0000000000000002E-3</v>
      </c>
      <c r="K45" s="12">
        <v>45189</v>
      </c>
      <c r="L45" s="16" t="str" cm="1">
        <f t="array" ref="L45">_xll.aqBondObjectCreateFromGenerator($C45,$L$4,_xll.aqToolLVBFromKeysValues($C$7:$K$7,$C45:$K45))</f>
        <v>JP1103301D90:3</v>
      </c>
      <c r="M45" s="78">
        <v>-6.900000000000055E-4</v>
      </c>
      <c r="N45" s="51">
        <v>104.2929</v>
      </c>
      <c r="O45" s="51">
        <v>4.8326000000000002</v>
      </c>
      <c r="P45" s="95">
        <v>502.59449999999998</v>
      </c>
      <c r="Q45" s="39" cm="1">
        <f t="array" ref="Q45">_xll.aqBondObjectYield(L45,$C$4,R45)</f>
        <v>-6.899999999999978E-4</v>
      </c>
      <c r="R45" s="49" cm="1">
        <f t="array" ref="R45">_xll.aqBondObjectPrice($L45,$C$4,$M45)</f>
        <v>104.2929203307004</v>
      </c>
      <c r="S45" s="49" cm="1">
        <f t="array" ref="S45">_xll.aqBondObjectCleanPrice($L45,$C$4,$M45)</f>
        <v>104.2929203307004</v>
      </c>
      <c r="T45" s="49" cm="1">
        <f t="array" ref="T45">_xll.aqBondObjectDirtyPrice($L45,$C$4,$M45)</f>
        <v>104</v>
      </c>
      <c r="U45" s="49" cm="1">
        <f t="array" ref="U45">_xll.aqBondObjectModifiedDuration($L45,$C$4,$Q45)</f>
        <v>4.8326396206533193</v>
      </c>
      <c r="V45" s="93" cm="1">
        <f t="array" ref="V45">_xll.aqBondObjectDV01($L45,$C$4,$Q45)</f>
        <v>502.59452054794525</v>
      </c>
    </row>
    <row r="46" spans="2:22">
      <c r="B46" s="11" t="s">
        <v>828</v>
      </c>
      <c r="C46" s="11" t="s">
        <v>829</v>
      </c>
      <c r="D46" s="11" t="s">
        <v>829</v>
      </c>
      <c r="E46" s="12">
        <v>41586</v>
      </c>
      <c r="F46" s="15">
        <v>41537</v>
      </c>
      <c r="G46" s="14"/>
      <c r="H46" s="12">
        <v>41718</v>
      </c>
      <c r="I46" s="12">
        <v>45005</v>
      </c>
      <c r="J46" s="13">
        <v>6.0000000000000001E-3</v>
      </c>
      <c r="K46" s="12">
        <v>45189</v>
      </c>
      <c r="L46" s="16" t="str" cm="1">
        <f t="array" ref="L46">_xll.aqBondObjectCreateFromGenerator($C46,$L$4,_xll.aqToolLVBFromKeysValues($C$7:$K$7,$C46:$K46))</f>
        <v>JP1103311DB5:3</v>
      </c>
      <c r="M46" s="78">
        <v>-6.7999999999999788E-4</v>
      </c>
      <c r="N46" s="51">
        <v>103.2998</v>
      </c>
      <c r="O46" s="51">
        <v>4.8536000000000001</v>
      </c>
      <c r="P46" s="95">
        <v>499.92529999999999</v>
      </c>
      <c r="Q46" s="39" cm="1">
        <f t="array" ref="Q46">_xll.aqBondObjectYield(L46,$C$4,R46)</f>
        <v>-6.7999999999999842E-4</v>
      </c>
      <c r="R46" s="49" cm="1">
        <f t="array" ref="R46">_xll.aqBondObjectPrice($L46,$C$4,$M46)</f>
        <v>103.2998033636115</v>
      </c>
      <c r="S46" s="49" cm="1">
        <f t="array" ref="S46">_xll.aqBondObjectCleanPrice($L46,$C$4,$M46)</f>
        <v>103.2998033636115</v>
      </c>
      <c r="T46" s="49" cm="1">
        <f t="array" ref="T46">_xll.aqBondObjectDirtyPrice($L46,$C$4,$M46)</f>
        <v>103</v>
      </c>
      <c r="U46" s="49" cm="1">
        <f t="array" ref="U46">_xll.aqBondObjectModifiedDuration($L46,$C$4,$Q46)</f>
        <v>4.8536441016092562</v>
      </c>
      <c r="V46" s="93" cm="1">
        <f t="array" ref="V46">_xll.aqBondObjectDV01($L46,$C$4,$Q46)</f>
        <v>499.92534246575343</v>
      </c>
    </row>
    <row r="47" spans="2:22">
      <c r="B47" s="11" t="s">
        <v>830</v>
      </c>
      <c r="C47" s="11" t="s">
        <v>831</v>
      </c>
      <c r="D47" s="11" t="s">
        <v>831</v>
      </c>
      <c r="E47" s="12">
        <v>37921</v>
      </c>
      <c r="F47" s="15">
        <v>37884</v>
      </c>
      <c r="G47" s="14"/>
      <c r="H47" s="12">
        <v>38066</v>
      </c>
      <c r="I47" s="12">
        <v>45005</v>
      </c>
      <c r="J47" s="13">
        <v>1.9E-2</v>
      </c>
      <c r="K47" s="12">
        <v>45189</v>
      </c>
      <c r="L47" s="16" t="str" cm="1">
        <f t="array" ref="L47">_xll.aqBondObjectCreateFromGenerator($C47,$L$4,_xll.aqToolLVBFromKeysValues($C$7:$K$7,$C47:$K47))</f>
        <v>JP12006413A0:3</v>
      </c>
      <c r="M47" s="78">
        <v>-6.9999999999999728E-4</v>
      </c>
      <c r="N47" s="51">
        <v>109.7324</v>
      </c>
      <c r="O47" s="51">
        <v>4.7240000000000002</v>
      </c>
      <c r="P47" s="95">
        <v>517.27499999999998</v>
      </c>
      <c r="Q47" s="39" cm="1">
        <f t="array" ref="Q47">_xll.aqBondObjectYield(L47,$C$4,R47)</f>
        <v>-7.0000000000000129E-4</v>
      </c>
      <c r="R47" s="49" cm="1">
        <f t="array" ref="R47">_xll.aqBondObjectPrice($L47,$C$4,$M47)</f>
        <v>109.73241755628507</v>
      </c>
      <c r="S47" s="49" cm="1">
        <f t="array" ref="S47">_xll.aqBondObjectCleanPrice($L47,$C$4,$M47)</f>
        <v>109.73241755628507</v>
      </c>
      <c r="T47" s="49" cm="1">
        <f t="array" ref="T47">_xll.aqBondObjectDirtyPrice($L47,$C$4,$M47)</f>
        <v>109.5</v>
      </c>
      <c r="U47" s="49" cm="1">
        <f t="array" ref="U47">_xll.aqBondObjectModifiedDuration($L47,$C$4,$Q47)</f>
        <v>4.7239726027397255</v>
      </c>
      <c r="V47" s="93" cm="1">
        <f t="array" ref="V47">_xll.aqBondObjectDV01($L47,$C$4,$Q47)</f>
        <v>517.27499999999998</v>
      </c>
    </row>
    <row r="48" spans="2:22">
      <c r="B48" s="11" t="s">
        <v>832</v>
      </c>
      <c r="C48" s="11" t="s">
        <v>833</v>
      </c>
      <c r="D48" s="11" t="s">
        <v>833</v>
      </c>
      <c r="E48" s="12">
        <v>41628</v>
      </c>
      <c r="F48" s="15">
        <v>41628</v>
      </c>
      <c r="G48" s="14"/>
      <c r="H48" s="12">
        <v>41810</v>
      </c>
      <c r="I48" s="12">
        <v>45097</v>
      </c>
      <c r="J48" s="13">
        <v>6.0000000000000001E-3</v>
      </c>
      <c r="K48" s="12">
        <v>45280</v>
      </c>
      <c r="L48" s="16" t="str" cm="1">
        <f t="array" ref="L48">_xll.aqBondObjectCreateFromGenerator($C48,$L$4,_xll.aqToolLVBFromKeysValues($C$7:$K$7,$C48:$K48))</f>
        <v>JP1103321DC2:3</v>
      </c>
      <c r="M48" s="78">
        <v>-5.5999999999999496E-4</v>
      </c>
      <c r="N48" s="51">
        <v>103.40309999999999</v>
      </c>
      <c r="O48" s="51">
        <v>5.0926999999999998</v>
      </c>
      <c r="P48" s="95">
        <v>526.07989999999995</v>
      </c>
      <c r="Q48" s="39" cm="1">
        <f t="array" ref="Q48">_xll.aqBondObjectYield(L48,$C$4,R48)</f>
        <v>-5.5999999999999626E-4</v>
      </c>
      <c r="R48" s="49" cm="1">
        <f t="array" ref="R48">_xll.aqBondObjectPrice($L48,$C$4,$M48)</f>
        <v>103.40308496897534</v>
      </c>
      <c r="S48" s="49" cm="1">
        <f t="array" ref="S48">_xll.aqBondObjectCleanPrice($L48,$C$4,$M48)</f>
        <v>103.40308496897534</v>
      </c>
      <c r="T48" s="49" cm="1">
        <f t="array" ref="T48">_xll.aqBondObjectDirtyPrice($L48,$C$4,$M48)</f>
        <v>103.3</v>
      </c>
      <c r="U48" s="49" cm="1">
        <f t="array" ref="U48">_xll.aqBondObjectModifiedDuration($L48,$C$4,$Q48)</f>
        <v>5.0927382673155721</v>
      </c>
      <c r="V48" s="93" cm="1">
        <f t="array" ref="V48">_xll.aqBondObjectDV01($L48,$C$4,$Q48)</f>
        <v>526.07986301369863</v>
      </c>
    </row>
    <row r="49" spans="2:22">
      <c r="B49" s="11" t="s">
        <v>834</v>
      </c>
      <c r="C49" s="11" t="s">
        <v>835</v>
      </c>
      <c r="D49" s="11" t="s">
        <v>835</v>
      </c>
      <c r="E49" s="12">
        <v>38042</v>
      </c>
      <c r="F49" s="15">
        <v>37975</v>
      </c>
      <c r="G49" s="14"/>
      <c r="H49" s="12">
        <v>38158</v>
      </c>
      <c r="I49" s="12">
        <v>45097</v>
      </c>
      <c r="J49" s="13">
        <v>1.8000000000000002E-2</v>
      </c>
      <c r="K49" s="12">
        <v>45280</v>
      </c>
      <c r="L49" s="16" t="str" cm="1">
        <f t="array" ref="L49">_xll.aqBondObjectCreateFromGenerator($C49,$L$4,_xll.aqToolLVBFromKeysValues($C$7:$K$7,$C49:$K49))</f>
        <v>JP1200661427:3</v>
      </c>
      <c r="M49" s="78">
        <v>-6.0999999999998566E-4</v>
      </c>
      <c r="N49" s="51">
        <v>109.6567</v>
      </c>
      <c r="O49" s="51">
        <v>4.9474</v>
      </c>
      <c r="P49" s="95">
        <v>543.71900000000005</v>
      </c>
      <c r="Q49" s="39" cm="1">
        <f t="array" ref="Q49">_xll.aqBondObjectYield(L49,$C$4,R49)</f>
        <v>-6.0999999999998924E-4</v>
      </c>
      <c r="R49" s="49" cm="1">
        <f t="array" ref="R49">_xll.aqBondObjectPrice($L49,$C$4,$M49)</f>
        <v>109.65668331243084</v>
      </c>
      <c r="S49" s="49" cm="1">
        <f t="array" ref="S49">_xll.aqBondObjectCleanPrice($L49,$C$4,$M49)</f>
        <v>109.65668331243084</v>
      </c>
      <c r="T49" s="49" cm="1">
        <f t="array" ref="T49">_xll.aqBondObjectDirtyPrice($L49,$C$4,$M49)</f>
        <v>109.89999999999999</v>
      </c>
      <c r="U49" s="49" cm="1">
        <f t="array" ref="U49">_xll.aqBondObjectModifiedDuration($L49,$C$4,$Q49)</f>
        <v>4.9473980081518691</v>
      </c>
      <c r="V49" s="93" cm="1">
        <f t="array" ref="V49">_xll.aqBondObjectDV01($L49,$C$4,$Q49)</f>
        <v>543.71904109589036</v>
      </c>
    </row>
    <row r="50" spans="2:22">
      <c r="B50" s="11" t="s">
        <v>836</v>
      </c>
      <c r="C50" s="11" t="s">
        <v>837</v>
      </c>
      <c r="D50" s="11" t="s">
        <v>837</v>
      </c>
      <c r="E50" s="12">
        <v>37980</v>
      </c>
      <c r="F50" s="15">
        <v>37975</v>
      </c>
      <c r="G50" s="14"/>
      <c r="H50" s="12">
        <v>38158</v>
      </c>
      <c r="I50" s="12">
        <v>45097</v>
      </c>
      <c r="J50" s="13">
        <v>1.9E-2</v>
      </c>
      <c r="K50" s="12">
        <v>45280</v>
      </c>
      <c r="L50" s="16" t="str" cm="1">
        <f t="array" ref="L50">_xll.aqBondObjectCreateFromGenerator($C50,$L$4,_xll.aqToolLVBFromKeysValues($C$7:$K$7,$C50:$K50))</f>
        <v>JP12006513C3:3</v>
      </c>
      <c r="M50" s="78">
        <v>-6.1000000000001147E-4</v>
      </c>
      <c r="N50" s="51">
        <v>110.1756</v>
      </c>
      <c r="O50" s="51">
        <v>4.9360999999999997</v>
      </c>
      <c r="P50" s="95">
        <v>545.18899999999996</v>
      </c>
      <c r="Q50" s="39" cm="1">
        <f t="array" ref="Q50">_xll.aqBondObjectYield(L50,$C$4,R50)</f>
        <v>-6.1000000000002643E-4</v>
      </c>
      <c r="R50" s="49" cm="1">
        <f t="array" ref="R50">_xll.aqBondObjectPrice($L50,$C$4,$M50)</f>
        <v>110.17558085742984</v>
      </c>
      <c r="S50" s="49" cm="1">
        <f t="array" ref="S50">_xll.aqBondObjectCleanPrice($L50,$C$4,$M50)</f>
        <v>110.17558085742984</v>
      </c>
      <c r="T50" s="49" cm="1">
        <f t="array" ref="T50">_xll.aqBondObjectDirtyPrice($L50,$C$4,$M50)</f>
        <v>110.45</v>
      </c>
      <c r="U50" s="49" cm="1">
        <f t="array" ref="U50">_xll.aqBondObjectModifiedDuration($L50,$C$4,$Q50)</f>
        <v>4.9360703721388841</v>
      </c>
      <c r="V50" s="93" cm="1">
        <f t="array" ref="V50">_xll.aqBondObjectDV01($L50,$C$4,$Q50)</f>
        <v>545.1889726027398</v>
      </c>
    </row>
    <row r="51" spans="2:22">
      <c r="B51" s="11" t="s">
        <v>838</v>
      </c>
      <c r="C51" s="11" t="s">
        <v>839</v>
      </c>
      <c r="D51" s="11" t="s">
        <v>839</v>
      </c>
      <c r="E51" s="12">
        <v>41718</v>
      </c>
      <c r="F51" s="15">
        <v>41718</v>
      </c>
      <c r="G51" s="14"/>
      <c r="H51" s="12">
        <v>41902</v>
      </c>
      <c r="I51" s="12">
        <v>45189</v>
      </c>
      <c r="J51" s="13">
        <v>6.0000000000000001E-3</v>
      </c>
      <c r="K51" s="12">
        <v>45371</v>
      </c>
      <c r="L51" s="16" t="str" cm="1">
        <f t="array" ref="L51">_xll.aqBondObjectCreateFromGenerator($C51,$L$4,_xll.aqToolLVBFromKeysValues($C$7:$K$7,$C51:$K51))</f>
        <v>JP1103331E36:3</v>
      </c>
      <c r="M51" s="78">
        <v>-4.7000000000001153E-4</v>
      </c>
      <c r="N51" s="51">
        <v>103.51519999999999</v>
      </c>
      <c r="O51" s="51">
        <v>5.3392999999999997</v>
      </c>
      <c r="P51" s="95">
        <v>551.55110000000002</v>
      </c>
      <c r="Q51" s="39" cm="1">
        <f t="array" ref="Q51">_xll.aqBondObjectYield(L51,$C$4,R51)</f>
        <v>-4.7000000000000205E-4</v>
      </c>
      <c r="R51" s="49" cm="1">
        <f t="array" ref="R51">_xll.aqBondObjectPrice($L51,$C$4,$M51)</f>
        <v>103.51516138337443</v>
      </c>
      <c r="S51" s="49" cm="1">
        <f t="array" ref="S51">_xll.aqBondObjectCleanPrice($L51,$C$4,$M51)</f>
        <v>103.51516138337443</v>
      </c>
      <c r="T51" s="49" cm="1">
        <f t="array" ref="T51">_xll.aqBondObjectDirtyPrice($L51,$C$4,$M51)</f>
        <v>103.3</v>
      </c>
      <c r="U51" s="49" cm="1">
        <f t="array" ref="U51">_xll.aqBondObjectModifiedDuration($L51,$C$4,$Q51)</f>
        <v>5.3393136097813265</v>
      </c>
      <c r="V51" s="93" cm="1">
        <f t="array" ref="V51">_xll.aqBondObjectDV01($L51,$C$4,$Q51)</f>
        <v>551.55109589041103</v>
      </c>
    </row>
    <row r="52" spans="2:22">
      <c r="B52" s="11" t="s">
        <v>840</v>
      </c>
      <c r="C52" s="11" t="s">
        <v>841</v>
      </c>
      <c r="D52" s="11" t="s">
        <v>841</v>
      </c>
      <c r="E52" s="12">
        <v>38138</v>
      </c>
      <c r="F52" s="15">
        <v>38066</v>
      </c>
      <c r="G52" s="14"/>
      <c r="H52" s="12">
        <v>38250</v>
      </c>
      <c r="I52" s="12">
        <v>45189</v>
      </c>
      <c r="J52" s="13">
        <v>2.1000000000000001E-2</v>
      </c>
      <c r="K52" s="12">
        <v>45371</v>
      </c>
      <c r="L52" s="16" t="str" cm="1">
        <f t="array" ref="L52">_xll.aqBondObjectCreateFromGenerator($C52,$L$4,_xll.aqToolLVBFromKeysValues($C$7:$K$7,$C52:$K52))</f>
        <v>JP1200691457:3</v>
      </c>
      <c r="M52" s="78">
        <v>-5.0000000000000923E-4</v>
      </c>
      <c r="N52" s="51">
        <v>111.6829</v>
      </c>
      <c r="O52" s="51">
        <v>5.1603000000000003</v>
      </c>
      <c r="P52" s="95">
        <v>575.63430000000005</v>
      </c>
      <c r="Q52" s="39" cm="1">
        <f t="array" ref="Q52">_xll.aqBondObjectYield(L52,$C$4,R52)</f>
        <v>-5.0000000000000175E-4</v>
      </c>
      <c r="R52" s="49" cm="1">
        <f t="array" ref="R52">_xll.aqBondObjectPrice($L52,$C$4,$M52)</f>
        <v>111.68288870391279</v>
      </c>
      <c r="S52" s="49" cm="1">
        <f t="array" ref="S52">_xll.aqBondObjectCleanPrice($L52,$C$4,$M52)</f>
        <v>111.68288870391279</v>
      </c>
      <c r="T52" s="49" cm="1">
        <f t="array" ref="T52">_xll.aqBondObjectDirtyPrice($L52,$C$4,$M52)</f>
        <v>111.55</v>
      </c>
      <c r="U52" s="49" cm="1">
        <f t="array" ref="U52">_xll.aqBondObjectModifiedDuration($L52,$C$4,$Q52)</f>
        <v>5.1603255496951439</v>
      </c>
      <c r="V52" s="93" cm="1">
        <f t="array" ref="V52">_xll.aqBondObjectDV01($L52,$C$4,$Q52)</f>
        <v>575.63431506849327</v>
      </c>
    </row>
    <row r="53" spans="2:22">
      <c r="B53" s="11" t="s">
        <v>842</v>
      </c>
      <c r="C53" s="11" t="s">
        <v>843</v>
      </c>
      <c r="D53" s="11" t="s">
        <v>843</v>
      </c>
      <c r="E53" s="12">
        <v>38107</v>
      </c>
      <c r="F53" s="15">
        <v>38066</v>
      </c>
      <c r="G53" s="14"/>
      <c r="H53" s="12">
        <v>38250</v>
      </c>
      <c r="I53" s="12">
        <v>45189</v>
      </c>
      <c r="J53" s="13">
        <v>2.2000000000000002E-2</v>
      </c>
      <c r="K53" s="12">
        <v>45371</v>
      </c>
      <c r="L53" s="16" t="str" cm="1">
        <f t="array" ref="L53">_xll.aqBondObjectCreateFromGenerator($C53,$L$4,_xll.aqToolLVBFromKeysValues($C$7:$K$7,$C53:$K53))</f>
        <v>JP1200681441:3</v>
      </c>
      <c r="M53" s="78">
        <v>-5.1000000000000166E-4</v>
      </c>
      <c r="N53" s="51">
        <v>112.2324</v>
      </c>
      <c r="O53" s="51">
        <v>5.1493000000000002</v>
      </c>
      <c r="P53" s="95">
        <v>577.23990000000003</v>
      </c>
      <c r="Q53" s="39" cm="1">
        <f t="array" ref="Q53">_xll.aqBondObjectYield(L53,$C$4,R53)</f>
        <v>-5.1000000000001597E-4</v>
      </c>
      <c r="R53" s="49" cm="1">
        <f t="array" ref="R53">_xll.aqBondObjectPrice($L53,$C$4,$M53)</f>
        <v>112.23237747328082</v>
      </c>
      <c r="S53" s="49" cm="1">
        <f t="array" ref="S53">_xll.aqBondObjectCleanPrice($L53,$C$4,$M53)</f>
        <v>112.23237747328082</v>
      </c>
      <c r="T53" s="49" cm="1">
        <f t="array" ref="T53">_xll.aqBondObjectDirtyPrice($L53,$C$4,$M53)</f>
        <v>112.1</v>
      </c>
      <c r="U53" s="49" cm="1">
        <f t="array" ref="U53">_xll.aqBondObjectModifiedDuration($L53,$C$4,$Q53)</f>
        <v>5.1493297325040031</v>
      </c>
      <c r="V53" s="93" cm="1">
        <f t="array" ref="V53">_xll.aqBondObjectDV01($L53,$C$4,$Q53)</f>
        <v>577.23986301369871</v>
      </c>
    </row>
    <row r="54" spans="2:22">
      <c r="B54" s="11" t="s">
        <v>844</v>
      </c>
      <c r="C54" s="11" t="s">
        <v>845</v>
      </c>
      <c r="D54" s="11" t="s">
        <v>845</v>
      </c>
      <c r="E54" s="12">
        <v>38071</v>
      </c>
      <c r="F54" s="15">
        <v>38066</v>
      </c>
      <c r="G54" s="14"/>
      <c r="H54" s="12">
        <v>38250</v>
      </c>
      <c r="I54" s="12">
        <v>45189</v>
      </c>
      <c r="J54" s="13">
        <v>1.9E-2</v>
      </c>
      <c r="K54" s="12">
        <v>45371</v>
      </c>
      <c r="L54" s="16" t="str" cm="1">
        <f t="array" ref="L54">_xll.aqBondObjectCreateFromGenerator($C54,$L$4,_xll.aqToolLVBFromKeysValues($C$7:$K$7,$C54:$K54))</f>
        <v>JP1200671434:3</v>
      </c>
      <c r="M54" s="78">
        <v>-5.0999999999998833E-4</v>
      </c>
      <c r="N54" s="51">
        <v>110.60209999999999</v>
      </c>
      <c r="O54" s="51">
        <v>5.1825999999999999</v>
      </c>
      <c r="P54" s="95">
        <v>572.42319999999995</v>
      </c>
      <c r="Q54" s="39" cm="1">
        <f t="array" ref="Q54">_xll.aqBondObjectYield(L54,$C$4,R54)</f>
        <v>-5.0999999999998876E-4</v>
      </c>
      <c r="R54" s="49" cm="1">
        <f t="array" ref="R54">_xll.aqBondObjectPrice($L54,$C$4,$M54)</f>
        <v>110.60211836977825</v>
      </c>
      <c r="S54" s="49" cm="1">
        <f t="array" ref="S54">_xll.aqBondObjectCleanPrice($L54,$C$4,$M54)</f>
        <v>110.60211836977825</v>
      </c>
      <c r="T54" s="49" cm="1">
        <f t="array" ref="T54">_xll.aqBondObjectDirtyPrice($L54,$C$4,$M54)</f>
        <v>110.45</v>
      </c>
      <c r="U54" s="49" cm="1">
        <f t="array" ref="U54">_xll.aqBondObjectModifiedDuration($L54,$C$4,$Q54)</f>
        <v>5.1826457146046367</v>
      </c>
      <c r="V54" s="93" cm="1">
        <f t="array" ref="V54">_xll.aqBondObjectDV01($L54,$C$4,$Q54)</f>
        <v>572.42321917808215</v>
      </c>
    </row>
    <row r="55" spans="2:22">
      <c r="B55" s="11" t="s">
        <v>846</v>
      </c>
      <c r="C55" s="11" t="s">
        <v>847</v>
      </c>
      <c r="D55" s="11" t="s">
        <v>847</v>
      </c>
      <c r="E55" s="12">
        <v>41810</v>
      </c>
      <c r="F55" s="15">
        <v>41810</v>
      </c>
      <c r="G55" s="14"/>
      <c r="H55" s="12">
        <v>41993</v>
      </c>
      <c r="I55" s="12">
        <v>45280</v>
      </c>
      <c r="J55" s="13">
        <v>6.0000000000000001E-3</v>
      </c>
      <c r="K55" s="12">
        <v>45463</v>
      </c>
      <c r="L55" s="16" t="str" cm="1">
        <f t="array" ref="L55">_xll.aqBondObjectCreateFromGenerator($C55,$L$4,_xll.aqToolLVBFromKeysValues($C$7:$K$7,$C55:$K55))</f>
        <v>JP1103341E67:3</v>
      </c>
      <c r="M55" s="78">
        <v>-3.700000000000245E-4</v>
      </c>
      <c r="N55" s="51">
        <v>103.6202</v>
      </c>
      <c r="O55" s="51">
        <v>5.577</v>
      </c>
      <c r="P55" s="95">
        <v>577.78160000000003</v>
      </c>
      <c r="Q55" s="39" cm="1">
        <f t="array" ref="Q55">_xll.aqBondObjectYield(L55,$C$4,R55)</f>
        <v>-3.7000000000000623E-4</v>
      </c>
      <c r="R55" s="49" cm="1">
        <f t="array" ref="R55">_xll.aqBondObjectPrice($L55,$C$4,$M55)</f>
        <v>103.62017175217807</v>
      </c>
      <c r="S55" s="49" cm="1">
        <f t="array" ref="S55">_xll.aqBondObjectCleanPrice($L55,$C$4,$M55)</f>
        <v>103.62017175217807</v>
      </c>
      <c r="T55" s="49" cm="1">
        <f t="array" ref="T55">_xll.aqBondObjectDirtyPrice($L55,$C$4,$M55)</f>
        <v>103.60000000000001</v>
      </c>
      <c r="U55" s="49" cm="1">
        <f t="array" ref="U55">_xll.aqBondObjectModifiedDuration($L55,$C$4,$Q55)</f>
        <v>5.5770428941661807</v>
      </c>
      <c r="V55" s="93" cm="1">
        <f t="array" ref="V55">_xll.aqBondObjectDV01($L55,$C$4,$Q55)</f>
        <v>577.78164383561636</v>
      </c>
    </row>
    <row r="56" spans="2:22">
      <c r="B56" s="11" t="s">
        <v>848</v>
      </c>
      <c r="C56" s="11" t="s">
        <v>849</v>
      </c>
      <c r="D56" s="11" t="s">
        <v>849</v>
      </c>
      <c r="E56" s="12">
        <v>38163</v>
      </c>
      <c r="F56" s="15">
        <v>38158</v>
      </c>
      <c r="G56" s="14"/>
      <c r="H56" s="12">
        <v>38341</v>
      </c>
      <c r="I56" s="12">
        <v>45280</v>
      </c>
      <c r="J56" s="13">
        <v>2.4E-2</v>
      </c>
      <c r="K56" s="12">
        <v>45463</v>
      </c>
      <c r="L56" s="16" t="str" cm="1">
        <f t="array" ref="L56">_xll.aqBondObjectCreateFromGenerator($C56,$L$4,_xll.aqToolLVBFromKeysValues($C$7:$K$7,$C56:$K56))</f>
        <v>JP1200701462:3</v>
      </c>
      <c r="M56" s="78">
        <v>-3.7000000000000818E-4</v>
      </c>
      <c r="N56" s="51">
        <v>113.84990000000001</v>
      </c>
      <c r="O56" s="51">
        <v>5.3263999999999996</v>
      </c>
      <c r="P56" s="95">
        <v>609.34580000000005</v>
      </c>
      <c r="Q56" s="39" cm="1">
        <f t="array" ref="Q56">_xll.aqBondObjectYield(L56,$C$4,R56)</f>
        <v>-3.7000000000001431E-4</v>
      </c>
      <c r="R56" s="49" cm="1">
        <f t="array" ref="R56">_xll.aqBondObjectPrice($L56,$C$4,$M56)</f>
        <v>113.84985645221028</v>
      </c>
      <c r="S56" s="49" cm="1">
        <f t="array" ref="S56">_xll.aqBondObjectCleanPrice($L56,$C$4,$M56)</f>
        <v>113.84985645221028</v>
      </c>
      <c r="T56" s="49" cm="1">
        <f t="array" ref="T56">_xll.aqBondObjectDirtyPrice($L56,$C$4,$M56)</f>
        <v>114.39999999999999</v>
      </c>
      <c r="U56" s="49" cm="1">
        <f t="array" ref="U56">_xll.aqBondObjectModifiedDuration($L56,$C$4,$Q56)</f>
        <v>5.3264488935721817</v>
      </c>
      <c r="V56" s="93" cm="1">
        <f t="array" ref="V56">_xll.aqBondObjectDV01($L56,$C$4,$Q56)</f>
        <v>609.34575342465757</v>
      </c>
    </row>
    <row r="57" spans="2:22">
      <c r="B57" s="11" t="s">
        <v>850</v>
      </c>
      <c r="C57" s="11" t="s">
        <v>851</v>
      </c>
      <c r="D57" s="11" t="s">
        <v>851</v>
      </c>
      <c r="E57" s="12">
        <v>38229</v>
      </c>
      <c r="F57" s="15">
        <v>38158</v>
      </c>
      <c r="G57" s="14"/>
      <c r="H57" s="12">
        <v>38341</v>
      </c>
      <c r="I57" s="12">
        <v>45280</v>
      </c>
      <c r="J57" s="13">
        <v>2.2000000000000002E-2</v>
      </c>
      <c r="K57" s="12">
        <v>45463</v>
      </c>
      <c r="L57" s="16" t="str" cm="1">
        <f t="array" ref="L57">_xll.aqBondObjectCreateFromGenerator($C57,$L$4,_xll.aqToolLVBFromKeysValues($C$7:$K$7,$C57:$K57))</f>
        <v>JP1200711487:3</v>
      </c>
      <c r="M57" s="78">
        <v>-3.8000000000000208E-4</v>
      </c>
      <c r="N57" s="51">
        <v>112.7196</v>
      </c>
      <c r="O57" s="51">
        <v>5.3518999999999997</v>
      </c>
      <c r="P57" s="95">
        <v>605.83860000000004</v>
      </c>
      <c r="Q57" s="39" cm="1">
        <f t="array" ref="Q57">_xll.aqBondObjectYield(L57,$C$4,R57)</f>
        <v>-3.7999999999999926E-4</v>
      </c>
      <c r="R57" s="49" cm="1">
        <f t="array" ref="R57">_xll.aqBondObjectPrice($L57,$C$4,$M57)</f>
        <v>112.71963085377968</v>
      </c>
      <c r="S57" s="49" cm="1">
        <f t="array" ref="S57">_xll.aqBondObjectCleanPrice($L57,$C$4,$M57)</f>
        <v>112.71963085377968</v>
      </c>
      <c r="T57" s="49" cm="1">
        <f t="array" ref="T57">_xll.aqBondObjectDirtyPrice($L57,$C$4,$M57)</f>
        <v>113.19999999999999</v>
      </c>
      <c r="U57" s="49" cm="1">
        <f t="array" ref="U57">_xll.aqBondObjectModifiedDuration($L57,$C$4,$Q57)</f>
        <v>5.3519313616341542</v>
      </c>
      <c r="V57" s="93" cm="1">
        <f t="array" ref="V57">_xll.aqBondObjectDV01($L57,$C$4,$Q57)</f>
        <v>605.83863013698624</v>
      </c>
    </row>
    <row r="58" spans="2:22">
      <c r="B58" s="11" t="s">
        <v>852</v>
      </c>
      <c r="C58" s="11" t="s">
        <v>853</v>
      </c>
      <c r="D58" s="11" t="s">
        <v>853</v>
      </c>
      <c r="E58" s="12">
        <v>41904</v>
      </c>
      <c r="F58" s="15">
        <v>41902</v>
      </c>
      <c r="G58" s="14"/>
      <c r="H58" s="12">
        <v>42083</v>
      </c>
      <c r="I58" s="12">
        <v>45371</v>
      </c>
      <c r="J58" s="13">
        <v>5.0000000000000001E-3</v>
      </c>
      <c r="K58" s="12">
        <v>45555</v>
      </c>
      <c r="L58" s="16" t="str" cm="1">
        <f t="array" ref="L58">_xll.aqBondObjectCreateFromGenerator($C58,$L$4,_xll.aqToolLVBFromKeysValues($C$7:$K$7,$C58:$K58))</f>
        <v>JP1103351E98:3</v>
      </c>
      <c r="M58" s="78">
        <v>-3.0999999999999642E-4</v>
      </c>
      <c r="N58" s="51">
        <v>103.1511</v>
      </c>
      <c r="O58" s="51">
        <v>5.8391000000000002</v>
      </c>
      <c r="P58" s="95">
        <v>601.42529999999999</v>
      </c>
      <c r="Q58" s="39" cm="1">
        <f t="array" ref="Q58">_xll.aqBondObjectYield(L58,$C$4,R58)</f>
        <v>-3.1000000000001512E-4</v>
      </c>
      <c r="R58" s="49" cm="1">
        <f t="array" ref="R58">_xll.aqBondObjectPrice($L58,$C$4,$M58)</f>
        <v>103.15105177512528</v>
      </c>
      <c r="S58" s="49" cm="1">
        <f t="array" ref="S58">_xll.aqBondObjectCleanPrice($L58,$C$4,$M58)</f>
        <v>103.15105177512528</v>
      </c>
      <c r="T58" s="49" cm="1">
        <f t="array" ref="T58">_xll.aqBondObjectDirtyPrice($L58,$C$4,$M58)</f>
        <v>103</v>
      </c>
      <c r="U58" s="49" cm="1">
        <f t="array" ref="U58">_xll.aqBondObjectModifiedDuration($L58,$C$4,$Q58)</f>
        <v>5.8390809948131395</v>
      </c>
      <c r="V58" s="93" cm="1">
        <f t="array" ref="V58">_xll.aqBondObjectDV01($L58,$C$4,$Q58)</f>
        <v>601.42534246575337</v>
      </c>
    </row>
    <row r="59" spans="2:22">
      <c r="B59" s="11" t="s">
        <v>854</v>
      </c>
      <c r="C59" s="11" t="s">
        <v>855</v>
      </c>
      <c r="D59" s="11" t="s">
        <v>855</v>
      </c>
      <c r="E59" s="12">
        <v>38257</v>
      </c>
      <c r="F59" s="15">
        <v>38250</v>
      </c>
      <c r="G59" s="14"/>
      <c r="H59" s="12">
        <v>38431</v>
      </c>
      <c r="I59" s="12">
        <v>45371</v>
      </c>
      <c r="J59" s="13">
        <v>2.1000000000000001E-2</v>
      </c>
      <c r="K59" s="12">
        <v>45555</v>
      </c>
      <c r="L59" s="16" t="str" cm="1">
        <f t="array" ref="L59">_xll.aqBondObjectCreateFromGenerator($C59,$L$4,_xll.aqToolLVBFromKeysValues($C$7:$K$7,$C59:$K59))</f>
        <v>JP1200721494:3</v>
      </c>
      <c r="M59" s="78">
        <v>-3.4999999999999262E-4</v>
      </c>
      <c r="N59" s="51">
        <v>112.6725</v>
      </c>
      <c r="O59" s="51">
        <v>5.6115000000000004</v>
      </c>
      <c r="P59" s="95">
        <v>631.84950000000003</v>
      </c>
      <c r="Q59" s="39" cm="1">
        <f t="array" ref="Q59">_xll.aqBondObjectYield(L59,$C$4,R59)</f>
        <v>-3.4999999999999604E-4</v>
      </c>
      <c r="R59" s="49" cm="1">
        <f t="array" ref="R59">_xll.aqBondObjectPrice($L59,$C$4,$M59)</f>
        <v>112.67249116181409</v>
      </c>
      <c r="S59" s="49" cm="1">
        <f t="array" ref="S59">_xll.aqBondObjectCleanPrice($L59,$C$4,$M59)</f>
        <v>112.67249116181409</v>
      </c>
      <c r="T59" s="49" cm="1">
        <f t="array" ref="T59">_xll.aqBondObjectDirtyPrice($L59,$C$4,$M59)</f>
        <v>112.6</v>
      </c>
      <c r="U59" s="49" cm="1">
        <f t="array" ref="U59">_xll.aqBondObjectModifiedDuration($L59,$C$4,$Q59)</f>
        <v>5.6114516168276607</v>
      </c>
      <c r="V59" s="93" cm="1">
        <f t="array" ref="V59">_xll.aqBondObjectDV01($L59,$C$4,$Q59)</f>
        <v>631.8494520547946</v>
      </c>
    </row>
    <row r="60" spans="2:22">
      <c r="B60" s="11" t="s">
        <v>856</v>
      </c>
      <c r="C60" s="11" t="s">
        <v>857</v>
      </c>
      <c r="D60" s="11" t="s">
        <v>857</v>
      </c>
      <c r="E60" s="12">
        <v>42012</v>
      </c>
      <c r="F60" s="15">
        <v>41993</v>
      </c>
      <c r="G60" s="14"/>
      <c r="H60" s="12">
        <v>42175</v>
      </c>
      <c r="I60" s="12">
        <v>45463</v>
      </c>
      <c r="J60" s="13">
        <v>3.0000000000000001E-3</v>
      </c>
      <c r="K60" s="12">
        <v>45646</v>
      </c>
      <c r="L60" s="16" t="str" cm="1">
        <f t="array" ref="L60">_xll.aqBondObjectCreateFromGenerator($C60,$L$4,_xll.aqToolLVBFromKeysValues($C$7:$K$7,$C60:$K60))</f>
        <v>JP1103371F10:3</v>
      </c>
      <c r="M60" s="78">
        <v>-2.1999999999998505E-4</v>
      </c>
      <c r="N60" s="51">
        <v>101.9903</v>
      </c>
      <c r="O60" s="51">
        <v>6.1151999999999997</v>
      </c>
      <c r="P60" s="95">
        <v>623.44680000000005</v>
      </c>
      <c r="Q60" s="39" cm="1">
        <f t="array" ref="Q60">_xll.aqBondObjectYield(L60,$C$4,R60)</f>
        <v>-2.199999999999976E-4</v>
      </c>
      <c r="R60" s="49" cm="1">
        <f t="array" ref="R60">_xll.aqBondObjectPrice($L60,$C$4,$M60)</f>
        <v>101.99028082902936</v>
      </c>
      <c r="S60" s="49" cm="1">
        <f t="array" ref="S60">_xll.aqBondObjectCleanPrice($L60,$C$4,$M60)</f>
        <v>101.99028082902936</v>
      </c>
      <c r="T60" s="49" cm="1">
        <f t="array" ref="T60">_xll.aqBondObjectDirtyPrice($L60,$C$4,$M60)</f>
        <v>101.95</v>
      </c>
      <c r="U60" s="49" cm="1">
        <f t="array" ref="U60">_xll.aqBondObjectModifiedDuration($L60,$C$4,$Q60)</f>
        <v>6.1152216705744831</v>
      </c>
      <c r="V60" s="93" cm="1">
        <f t="array" ref="V60">_xll.aqBondObjectDV01($L60,$C$4,$Q60)</f>
        <v>623.44684931506856</v>
      </c>
    </row>
    <row r="61" spans="2:22">
      <c r="B61" s="11" t="s">
        <v>858</v>
      </c>
      <c r="C61" s="11" t="s">
        <v>859</v>
      </c>
      <c r="D61" s="11" t="s">
        <v>859</v>
      </c>
      <c r="E61" s="12">
        <v>41995</v>
      </c>
      <c r="F61" s="15">
        <v>41993</v>
      </c>
      <c r="G61" s="14"/>
      <c r="H61" s="12">
        <v>42175</v>
      </c>
      <c r="I61" s="12">
        <v>45463</v>
      </c>
      <c r="J61" s="13">
        <v>5.0000000000000001E-3</v>
      </c>
      <c r="K61" s="12">
        <v>45646</v>
      </c>
      <c r="L61" s="16" t="str" cm="1">
        <f t="array" ref="L61">_xll.aqBondObjectCreateFromGenerator($C61,$L$4,_xll.aqToolLVBFromKeysValues($C$7:$K$7,$C61:$K61))</f>
        <v>JP1103361EC6:3</v>
      </c>
      <c r="M61" s="78">
        <v>-2.0999999999999445E-4</v>
      </c>
      <c r="N61" s="51">
        <v>103.2201</v>
      </c>
      <c r="O61" s="51">
        <v>6.0781999999999998</v>
      </c>
      <c r="P61" s="95">
        <v>627.57119999999998</v>
      </c>
      <c r="Q61" s="39" cm="1">
        <f t="array" ref="Q61">_xll.aqBondObjectYield(L61,$C$4,R61)</f>
        <v>-2.0999999999999326E-4</v>
      </c>
      <c r="R61" s="49" cm="1">
        <f t="array" ref="R61">_xll.aqBondObjectPrice($L61,$C$4,$M61)</f>
        <v>103.22010007108666</v>
      </c>
      <c r="S61" s="49" cm="1">
        <f t="array" ref="S61">_xll.aqBondObjectCleanPrice($L61,$C$4,$M61)</f>
        <v>103.22010007108666</v>
      </c>
      <c r="T61" s="49" cm="1">
        <f t="array" ref="T61">_xll.aqBondObjectDirtyPrice($L61,$C$4,$M61)</f>
        <v>103.25</v>
      </c>
      <c r="U61" s="49" cm="1">
        <f t="array" ref="U61">_xll.aqBondObjectModifiedDuration($L61,$C$4,$Q61)</f>
        <v>6.078171746989951</v>
      </c>
      <c r="V61" s="93" cm="1">
        <f t="array" ref="V61">_xll.aqBondObjectDV01($L61,$C$4,$Q61)</f>
        <v>627.57123287671243</v>
      </c>
    </row>
    <row r="62" spans="2:22">
      <c r="B62" s="11" t="s">
        <v>860</v>
      </c>
      <c r="C62" s="11" t="s">
        <v>861</v>
      </c>
      <c r="D62" s="11" t="s">
        <v>861</v>
      </c>
      <c r="E62" s="12">
        <v>38411</v>
      </c>
      <c r="F62" s="15">
        <v>38341</v>
      </c>
      <c r="G62" s="14"/>
      <c r="H62" s="12">
        <v>38523</v>
      </c>
      <c r="I62" s="12">
        <v>45463</v>
      </c>
      <c r="J62" s="13">
        <v>2.1000000000000001E-2</v>
      </c>
      <c r="K62" s="12">
        <v>45646</v>
      </c>
      <c r="L62" s="16" t="str" cm="1">
        <f t="array" ref="L62">_xll.aqBondObjectCreateFromGenerator($C62,$L$4,_xll.aqToolLVBFromKeysValues($C$7:$K$7,$C62:$K62))</f>
        <v>JP1200741526:3</v>
      </c>
      <c r="M62" s="78">
        <v>-1.7999999999999524E-4</v>
      </c>
      <c r="N62" s="51">
        <v>113.0881</v>
      </c>
      <c r="O62" s="51">
        <v>5.8122999999999996</v>
      </c>
      <c r="P62" s="95">
        <v>660.56629999999996</v>
      </c>
      <c r="Q62" s="39" cm="1">
        <f t="array" ref="Q62">_xll.aqBondObjectYield(L62,$C$4,R62)</f>
        <v>-1.7999999999998743E-4</v>
      </c>
      <c r="R62" s="49" cm="1">
        <f t="array" ref="R62">_xll.aqBondObjectPrice($L62,$C$4,$M62)</f>
        <v>113.08811439427795</v>
      </c>
      <c r="S62" s="49" cm="1">
        <f t="array" ref="S62">_xll.aqBondObjectCleanPrice($L62,$C$4,$M62)</f>
        <v>113.08811439427795</v>
      </c>
      <c r="T62" s="49" cm="1">
        <f t="array" ref="T62">_xll.aqBondObjectDirtyPrice($L62,$C$4,$M62)</f>
        <v>113.65</v>
      </c>
      <c r="U62" s="49" cm="1">
        <f t="array" ref="U62">_xll.aqBondObjectModifiedDuration($L62,$C$4,$Q62)</f>
        <v>5.8122859777374671</v>
      </c>
      <c r="V62" s="93" cm="1">
        <f t="array" ref="V62">_xll.aqBondObjectDV01($L62,$C$4,$Q62)</f>
        <v>660.56630136986314</v>
      </c>
    </row>
    <row r="63" spans="2:22">
      <c r="B63" s="11" t="s">
        <v>862</v>
      </c>
      <c r="C63" s="11" t="s">
        <v>863</v>
      </c>
      <c r="D63" s="11" t="s">
        <v>863</v>
      </c>
      <c r="E63" s="12">
        <v>38341</v>
      </c>
      <c r="F63" s="15">
        <v>38341</v>
      </c>
      <c r="G63" s="14"/>
      <c r="H63" s="12">
        <v>38523</v>
      </c>
      <c r="I63" s="12">
        <v>45463</v>
      </c>
      <c r="J63" s="13">
        <v>0.02</v>
      </c>
      <c r="K63" s="12">
        <v>45646</v>
      </c>
      <c r="L63" s="16" t="str" cm="1">
        <f t="array" ref="L63">_xll.aqBondObjectCreateFromGenerator($C63,$L$4,_xll.aqToolLVBFromKeysValues($C$7:$K$7,$C63:$K63))</f>
        <v>JP12007314C5:3</v>
      </c>
      <c r="M63" s="78">
        <v>-1.8000000000000719E-4</v>
      </c>
      <c r="N63" s="51">
        <v>112.47020000000001</v>
      </c>
      <c r="O63" s="51">
        <v>5.8274999999999997</v>
      </c>
      <c r="P63" s="95">
        <v>658.50409999999999</v>
      </c>
      <c r="Q63" s="39" cm="1">
        <f t="array" ref="Q63">_xll.aqBondObjectYield(L63,$C$4,R63)</f>
        <v>-1.800000000000034E-4</v>
      </c>
      <c r="R63" s="49" cm="1">
        <f t="array" ref="R63">_xll.aqBondObjectPrice($L63,$C$4,$M63)</f>
        <v>112.47016753902405</v>
      </c>
      <c r="S63" s="49" cm="1">
        <f t="array" ref="S63">_xll.aqBondObjectCleanPrice($L63,$C$4,$M63)</f>
        <v>112.47016753902405</v>
      </c>
      <c r="T63" s="49" cm="1">
        <f t="array" ref="T63">_xll.aqBondObjectDirtyPrice($L63,$C$4,$M63)</f>
        <v>112.99999999999999</v>
      </c>
      <c r="U63" s="49" cm="1">
        <f t="array" ref="U63">_xll.aqBondObjectModifiedDuration($L63,$C$4,$Q63)</f>
        <v>5.8274699963631971</v>
      </c>
      <c r="V63" s="93" cm="1">
        <f t="array" ref="V63">_xll.aqBondObjectDV01($L63,$C$4,$Q63)</f>
        <v>658.50410958904115</v>
      </c>
    </row>
    <row r="64" spans="2:22">
      <c r="B64" s="11" t="s">
        <v>864</v>
      </c>
      <c r="C64" s="11" t="s">
        <v>865</v>
      </c>
      <c r="D64" s="11" t="s">
        <v>865</v>
      </c>
      <c r="E64" s="12">
        <v>42083</v>
      </c>
      <c r="F64" s="15">
        <v>42083</v>
      </c>
      <c r="G64" s="14"/>
      <c r="H64" s="12">
        <v>42267</v>
      </c>
      <c r="I64" s="12">
        <v>45555</v>
      </c>
      <c r="J64" s="13">
        <v>4.0000000000000001E-3</v>
      </c>
      <c r="K64" s="12">
        <v>45736</v>
      </c>
      <c r="L64" s="16" t="str" cm="1">
        <f t="array" ref="L64">_xll.aqBondObjectCreateFromGenerator($C64,$L$4,_xll.aqToolLVBFromKeysValues($C$7:$K$7,$C64:$K64))</f>
        <v>JP1103381F34:3</v>
      </c>
      <c r="M64" s="78">
        <v>-1.7000000000000909E-4</v>
      </c>
      <c r="N64" s="51">
        <v>102.6797</v>
      </c>
      <c r="O64" s="51">
        <v>6.3432000000000004</v>
      </c>
      <c r="P64" s="95">
        <v>650.80769999999995</v>
      </c>
      <c r="Q64" s="39" cm="1">
        <f t="array" ref="Q64">_xll.aqBondObjectYield(L64,$C$4,R64)</f>
        <v>-1.6999999999999196E-4</v>
      </c>
      <c r="R64" s="49" cm="1">
        <f t="array" ref="R64">_xll.aqBondObjectPrice($L64,$C$4,$M64)</f>
        <v>102.67972153392925</v>
      </c>
      <c r="S64" s="49" cm="1">
        <f t="array" ref="S64">_xll.aqBondObjectCleanPrice($L64,$C$4,$M64)</f>
        <v>102.67972153392925</v>
      </c>
      <c r="T64" s="49" cm="1">
        <f t="array" ref="T64">_xll.aqBondObjectDirtyPrice($L64,$C$4,$M64)</f>
        <v>102.60000000000001</v>
      </c>
      <c r="U64" s="49" cm="1">
        <f t="array" ref="U64">_xll.aqBondObjectModifiedDuration($L64,$C$4,$Q64)</f>
        <v>6.343154690378916</v>
      </c>
      <c r="V64" s="93" cm="1">
        <f t="array" ref="V64">_xll.aqBondObjectDV01($L64,$C$4,$Q64)</f>
        <v>650.80767123287683</v>
      </c>
    </row>
    <row r="65" spans="2:22">
      <c r="B65" s="11" t="s">
        <v>866</v>
      </c>
      <c r="C65" s="11" t="s">
        <v>867</v>
      </c>
      <c r="D65" s="11" t="s">
        <v>867</v>
      </c>
      <c r="E65" s="12">
        <v>38436</v>
      </c>
      <c r="F65" s="15">
        <v>38431</v>
      </c>
      <c r="G65" s="14"/>
      <c r="H65" s="12">
        <v>38615</v>
      </c>
      <c r="I65" s="12">
        <v>45555</v>
      </c>
      <c r="J65" s="13">
        <v>2.1000000000000001E-2</v>
      </c>
      <c r="K65" s="12">
        <v>45736</v>
      </c>
      <c r="L65" s="16" t="str" cm="1">
        <f t="array" ref="L65">_xll.aqBondObjectCreateFromGenerator($C65,$L$4,_xll.aqToolLVBFromKeysValues($C$7:$K$7,$C65:$K65))</f>
        <v>JP1200751533:3</v>
      </c>
      <c r="M65" s="78">
        <v>-1.2999999999998828E-4</v>
      </c>
      <c r="N65" s="51">
        <v>113.57510000000001</v>
      </c>
      <c r="O65" s="51">
        <v>6.0589000000000004</v>
      </c>
      <c r="P65" s="95">
        <v>688.58960000000002</v>
      </c>
      <c r="Q65" s="39" cm="1">
        <f t="array" ref="Q65">_xll.aqBondObjectYield(L65,$C$4,R65)</f>
        <v>-1.2999999999999736E-4</v>
      </c>
      <c r="R65" s="49" cm="1">
        <f t="array" ref="R65">_xll.aqBondObjectPrice($L65,$C$4,$M65)</f>
        <v>113.57505157523096</v>
      </c>
      <c r="S65" s="49" cm="1">
        <f t="array" ref="S65">_xll.aqBondObjectCleanPrice($L65,$C$4,$M65)</f>
        <v>113.57505157523096</v>
      </c>
      <c r="T65" s="49" cm="1">
        <f t="array" ref="T65">_xll.aqBondObjectDirtyPrice($L65,$C$4,$M65)</f>
        <v>113.65</v>
      </c>
      <c r="U65" s="49" cm="1">
        <f t="array" ref="U65">_xll.aqBondObjectModifiedDuration($L65,$C$4,$Q65)</f>
        <v>6.0588613202032207</v>
      </c>
      <c r="V65" s="93" cm="1">
        <f t="array" ref="V65">_xll.aqBondObjectDV01($L65,$C$4,$Q65)</f>
        <v>688.58958904109602</v>
      </c>
    </row>
    <row r="66" spans="2:22">
      <c r="B66" s="11" t="s">
        <v>868</v>
      </c>
      <c r="C66" s="11" t="s">
        <v>869</v>
      </c>
      <c r="D66" s="11" t="s">
        <v>869</v>
      </c>
      <c r="E66" s="12">
        <v>38470</v>
      </c>
      <c r="F66" s="15">
        <v>38431</v>
      </c>
      <c r="G66" s="14"/>
      <c r="H66" s="12">
        <v>38615</v>
      </c>
      <c r="I66" s="12">
        <v>45555</v>
      </c>
      <c r="J66" s="13">
        <v>1.9E-2</v>
      </c>
      <c r="K66" s="12">
        <v>45736</v>
      </c>
      <c r="L66" s="16" t="str" cm="1">
        <f t="array" ref="L66">_xll.aqBondObjectCreateFromGenerator($C66,$L$4,_xll.aqToolLVBFromKeysValues($C$7:$K$7,$C66:$K66))</f>
        <v>JP1200761540:3</v>
      </c>
      <c r="M66" s="78">
        <v>-1.3000000000000248E-4</v>
      </c>
      <c r="N66" s="51">
        <v>112.2901</v>
      </c>
      <c r="O66" s="51">
        <v>6.0894000000000004</v>
      </c>
      <c r="P66" s="95">
        <v>684.14469999999994</v>
      </c>
      <c r="Q66" s="39" cm="1">
        <f t="array" ref="Q66">_xll.aqBondObjectYield(L66,$C$4,R66)</f>
        <v>-1.2999999999999863E-4</v>
      </c>
      <c r="R66" s="49" cm="1">
        <f t="array" ref="R66">_xll.aqBondObjectPrice($L66,$C$4,$M66)</f>
        <v>112.29014371198146</v>
      </c>
      <c r="S66" s="49" cm="1">
        <f t="array" ref="S66">_xll.aqBondObjectCleanPrice($L66,$C$4,$M66)</f>
        <v>112.29014371198146</v>
      </c>
      <c r="T66" s="49" cm="1">
        <f t="array" ref="T66">_xll.aqBondObjectDirtyPrice($L66,$C$4,$M66)</f>
        <v>112.35</v>
      </c>
      <c r="U66" s="49" cm="1">
        <f t="array" ref="U66">_xll.aqBondObjectModifiedDuration($L66,$C$4,$Q66)</f>
        <v>6.0894050514841709</v>
      </c>
      <c r="V66" s="93" cm="1">
        <f t="array" ref="V66">_xll.aqBondObjectDV01($L66,$C$4,$Q66)</f>
        <v>684.14465753424656</v>
      </c>
    </row>
    <row r="67" spans="2:22">
      <c r="B67" s="11" t="s">
        <v>870</v>
      </c>
      <c r="C67" s="11" t="s">
        <v>871</v>
      </c>
      <c r="D67" s="11" t="s">
        <v>871</v>
      </c>
      <c r="E67" s="12">
        <v>38502</v>
      </c>
      <c r="F67" s="15">
        <v>38431</v>
      </c>
      <c r="G67" s="14"/>
      <c r="H67" s="12">
        <v>38615</v>
      </c>
      <c r="I67" s="12">
        <v>45555</v>
      </c>
      <c r="J67" s="13">
        <v>0.02</v>
      </c>
      <c r="K67" s="12">
        <v>45736</v>
      </c>
      <c r="L67" s="16" t="str" cm="1">
        <f t="array" ref="L67">_xll.aqBondObjectCreateFromGenerator($C67,$L$4,_xll.aqToolLVBFromKeysValues($C$7:$K$7,$C67:$K67))</f>
        <v>JP1200771556:3</v>
      </c>
      <c r="M67" s="78">
        <v>-1.3000000000000614E-4</v>
      </c>
      <c r="N67" s="51">
        <v>112.93259999999999</v>
      </c>
      <c r="O67" s="51">
        <v>6.0739999999999998</v>
      </c>
      <c r="P67" s="95">
        <v>686.36710000000005</v>
      </c>
      <c r="Q67" s="39" cm="1">
        <f t="array" ref="Q67">_xll.aqBondObjectYield(L67,$C$4,R67)</f>
        <v>-1.299999999999872E-4</v>
      </c>
      <c r="R67" s="49" cm="1">
        <f t="array" ref="R67">_xll.aqBondObjectPrice($L67,$C$4,$M67)</f>
        <v>112.9325976436062</v>
      </c>
      <c r="S67" s="49" cm="1">
        <f t="array" ref="S67">_xll.aqBondObjectCleanPrice($L67,$C$4,$M67)</f>
        <v>112.9325976436062</v>
      </c>
      <c r="T67" s="49" cm="1">
        <f t="array" ref="T67">_xll.aqBondObjectDirtyPrice($L67,$C$4,$M67)</f>
        <v>112.99999999999999</v>
      </c>
      <c r="U67" s="49" cm="1">
        <f t="array" ref="U67">_xll.aqBondObjectModifiedDuration($L67,$C$4,$Q67)</f>
        <v>6.0740453388289497</v>
      </c>
      <c r="V67" s="93" cm="1">
        <f t="array" ref="V67">_xll.aqBondObjectDV01($L67,$C$4,$Q67)</f>
        <v>686.36712328767123</v>
      </c>
    </row>
    <row r="68" spans="2:22">
      <c r="B68" s="11" t="s">
        <v>872</v>
      </c>
      <c r="C68" s="11" t="s">
        <v>873</v>
      </c>
      <c r="D68" s="11" t="s">
        <v>873</v>
      </c>
      <c r="E68" s="12">
        <v>42177</v>
      </c>
      <c r="F68" s="15">
        <v>42175</v>
      </c>
      <c r="G68" s="14"/>
      <c r="H68" s="12">
        <v>42358</v>
      </c>
      <c r="I68" s="12">
        <v>45646</v>
      </c>
      <c r="J68" s="13">
        <v>4.0000000000000001E-3</v>
      </c>
      <c r="K68" s="12">
        <v>45828</v>
      </c>
      <c r="L68" s="16" t="str" cm="1">
        <f t="array" ref="L68">_xll.aqBondObjectCreateFromGenerator($C68,$L$4,_xll.aqToolLVBFromKeysValues($C$7:$K$7,$C68:$K68))</f>
        <v>JP1103391F65:3</v>
      </c>
      <c r="M68" s="78">
        <v>-6.9999999999994451E-5</v>
      </c>
      <c r="N68" s="51">
        <v>102.7165</v>
      </c>
      <c r="O68" s="51">
        <v>6.5841000000000003</v>
      </c>
      <c r="P68" s="95">
        <v>676.84360000000004</v>
      </c>
      <c r="Q68" s="39" cm="1">
        <f t="array" ref="Q68">_xll.aqBondObjectYield(L68,$C$4,R68)</f>
        <v>-7.0000000000013885E-5</v>
      </c>
      <c r="R68" s="49" cm="1">
        <f t="array" ref="R68">_xll.aqBondObjectPrice($L68,$C$4,$M68)</f>
        <v>102.71646033058452</v>
      </c>
      <c r="S68" s="49" cm="1">
        <f t="array" ref="S68">_xll.aqBondObjectCleanPrice($L68,$C$4,$M68)</f>
        <v>102.71646033058452</v>
      </c>
      <c r="T68" s="49" cm="1">
        <f t="array" ref="T68">_xll.aqBondObjectDirtyPrice($L68,$C$4,$M68)</f>
        <v>102.8</v>
      </c>
      <c r="U68" s="49" cm="1">
        <f t="array" ref="U68">_xll.aqBondObjectModifiedDuration($L68,$C$4,$Q68)</f>
        <v>6.5840813389478177</v>
      </c>
      <c r="V68" s="93" cm="1">
        <f t="array" ref="V68">_xll.aqBondObjectDV01($L68,$C$4,$Q68)</f>
        <v>676.84356164383564</v>
      </c>
    </row>
    <row r="69" spans="2:22">
      <c r="B69" s="11" t="s">
        <v>874</v>
      </c>
      <c r="C69" s="11" t="s">
        <v>875</v>
      </c>
      <c r="D69" s="11" t="s">
        <v>875</v>
      </c>
      <c r="E69" s="12">
        <v>38594</v>
      </c>
      <c r="F69" s="15">
        <v>38523</v>
      </c>
      <c r="G69" s="14"/>
      <c r="H69" s="12">
        <v>38706</v>
      </c>
      <c r="I69" s="12">
        <v>45646</v>
      </c>
      <c r="J69" s="13">
        <v>2.1000000000000001E-2</v>
      </c>
      <c r="K69" s="12">
        <v>45828</v>
      </c>
      <c r="L69" s="16" t="str" cm="1">
        <f t="array" ref="L69">_xll.aqBondObjectCreateFromGenerator($C69,$L$4,_xll.aqToolLVBFromKeysValues($C$7:$K$7,$C69:$K69))</f>
        <v>JP1200801585:3</v>
      </c>
      <c r="M69" s="78">
        <v>-1.9999999999992575E-5</v>
      </c>
      <c r="N69" s="51">
        <v>114.0248</v>
      </c>
      <c r="O69" s="51">
        <v>6.2561</v>
      </c>
      <c r="P69" s="95">
        <v>717.57249999999999</v>
      </c>
      <c r="Q69" s="39" cm="1">
        <f t="array" ref="Q69">_xll.aqBondObjectYield(L69,$C$4,R69)</f>
        <v>-2.0000000000002668E-5</v>
      </c>
      <c r="R69" s="49" cm="1">
        <f t="array" ref="R69">_xll.aqBondObjectPrice($L69,$C$4,$M69)</f>
        <v>114.02480276135474</v>
      </c>
      <c r="S69" s="49" cm="1">
        <f t="array" ref="S69">_xll.aqBondObjectCleanPrice($L69,$C$4,$M69)</f>
        <v>114.02480276135474</v>
      </c>
      <c r="T69" s="49" cm="1">
        <f t="array" ref="T69">_xll.aqBondObjectDirtyPrice($L69,$C$4,$M69)</f>
        <v>114.7</v>
      </c>
      <c r="U69" s="49" cm="1">
        <f t="array" ref="U69">_xll.aqBondObjectModifiedDuration($L69,$C$4,$Q69)</f>
        <v>6.2560813796562806</v>
      </c>
      <c r="V69" s="93" cm="1">
        <f t="array" ref="V69">_xll.aqBondObjectDV01($L69,$C$4,$Q69)</f>
        <v>717.5725342465754</v>
      </c>
    </row>
    <row r="70" spans="2:22">
      <c r="B70" s="11" t="s">
        <v>876</v>
      </c>
      <c r="C70" s="11" t="s">
        <v>877</v>
      </c>
      <c r="D70" s="11" t="s">
        <v>877</v>
      </c>
      <c r="E70" s="12">
        <v>38562</v>
      </c>
      <c r="F70" s="15">
        <v>38523</v>
      </c>
      <c r="G70" s="14"/>
      <c r="H70" s="12">
        <v>38706</v>
      </c>
      <c r="I70" s="12">
        <v>45646</v>
      </c>
      <c r="J70" s="13">
        <v>0.02</v>
      </c>
      <c r="K70" s="12">
        <v>45828</v>
      </c>
      <c r="L70" s="16" t="str" cm="1">
        <f t="array" ref="L70">_xll.aqBondObjectCreateFromGenerator($C70,$L$4,_xll.aqToolLVBFromKeysValues($C$7:$K$7,$C70:$K70))</f>
        <v>JP1200791570:3</v>
      </c>
      <c r="M70" s="78">
        <v>-3.0000000000004643E-5</v>
      </c>
      <c r="N70" s="51">
        <v>113.3652</v>
      </c>
      <c r="O70" s="51">
        <v>6.2735000000000003</v>
      </c>
      <c r="P70" s="95">
        <v>715.17669999999998</v>
      </c>
      <c r="Q70" s="39" cm="1">
        <f t="array" ref="Q70">_xll.aqBondObjectYield(L70,$C$4,R70)</f>
        <v>-3.0000000000012669E-5</v>
      </c>
      <c r="R70" s="49" cm="1">
        <f t="array" ref="R70">_xll.aqBondObjectPrice($L70,$C$4,$M70)</f>
        <v>113.36515431376061</v>
      </c>
      <c r="S70" s="49" cm="1">
        <f t="array" ref="S70">_xll.aqBondObjectCleanPrice($L70,$C$4,$M70)</f>
        <v>113.36515431376061</v>
      </c>
      <c r="T70" s="49" cm="1">
        <f t="array" ref="T70">_xll.aqBondObjectDirtyPrice($L70,$C$4,$M70)</f>
        <v>113.99999999999999</v>
      </c>
      <c r="U70" s="49" cm="1">
        <f t="array" ref="U70">_xll.aqBondObjectModifiedDuration($L70,$C$4,$Q70)</f>
        <v>6.2734799327084847</v>
      </c>
      <c r="V70" s="93" cm="1">
        <f t="array" ref="V70">_xll.aqBondObjectDV01($L70,$C$4,$Q70)</f>
        <v>715.17671232876717</v>
      </c>
    </row>
    <row r="71" spans="2:22">
      <c r="B71" s="11" t="s">
        <v>878</v>
      </c>
      <c r="C71" s="11" t="s">
        <v>879</v>
      </c>
      <c r="D71" s="11" t="s">
        <v>879</v>
      </c>
      <c r="E71" s="12">
        <v>38530</v>
      </c>
      <c r="F71" s="15">
        <v>38523</v>
      </c>
      <c r="G71" s="14"/>
      <c r="H71" s="12">
        <v>38706</v>
      </c>
      <c r="I71" s="12">
        <v>45646</v>
      </c>
      <c r="J71" s="13">
        <v>1.9E-2</v>
      </c>
      <c r="K71" s="12">
        <v>45828</v>
      </c>
      <c r="L71" s="16" t="str" cm="1">
        <f t="array" ref="L71">_xll.aqBondObjectCreateFromGenerator($C71,$L$4,_xll.aqToolLVBFromKeysValues($C$7:$K$7,$C71:$K71))</f>
        <v>JP1200781563:3</v>
      </c>
      <c r="M71" s="78">
        <v>-2.999999999999789E-5</v>
      </c>
      <c r="N71" s="51">
        <v>112.6979</v>
      </c>
      <c r="O71" s="51">
        <v>6.2911000000000001</v>
      </c>
      <c r="P71" s="95">
        <v>712.78089999999997</v>
      </c>
      <c r="Q71" s="39" cm="1">
        <f t="array" ref="Q71">_xll.aqBondObjectYield(L71,$C$4,R71)</f>
        <v>-3.0000000000011209E-5</v>
      </c>
      <c r="R71" s="49" cm="1">
        <f t="array" ref="R71">_xll.aqBondObjectPrice($L71,$C$4,$M71)</f>
        <v>112.69789748331824</v>
      </c>
      <c r="S71" s="49" cm="1">
        <f t="array" ref="S71">_xll.aqBondObjectCleanPrice($L71,$C$4,$M71)</f>
        <v>112.69789748331824</v>
      </c>
      <c r="T71" s="49" cm="1">
        <f t="array" ref="T71">_xll.aqBondObjectDirtyPrice($L71,$C$4,$M71)</f>
        <v>113.3</v>
      </c>
      <c r="U71" s="49" cm="1">
        <f t="array" ref="U71">_xll.aqBondObjectModifiedDuration($L71,$C$4,$Q71)</f>
        <v>6.2910934722944312</v>
      </c>
      <c r="V71" s="93" cm="1">
        <f t="array" ref="V71">_xll.aqBondObjectDV01($L71,$C$4,$Q71)</f>
        <v>712.78089041095905</v>
      </c>
    </row>
    <row r="72" spans="2:22">
      <c r="B72" s="11" t="s">
        <v>880</v>
      </c>
      <c r="C72" s="11" t="s">
        <v>881</v>
      </c>
      <c r="D72" s="11" t="s">
        <v>881</v>
      </c>
      <c r="E72" s="12">
        <v>42271</v>
      </c>
      <c r="F72" s="15">
        <v>42267</v>
      </c>
      <c r="G72" s="14"/>
      <c r="H72" s="12">
        <v>42449</v>
      </c>
      <c r="I72" s="12">
        <v>45736</v>
      </c>
      <c r="J72" s="13">
        <v>4.0000000000000001E-3</v>
      </c>
      <c r="K72" s="12">
        <v>45920</v>
      </c>
      <c r="L72" s="16" t="str" cm="1">
        <f t="array" ref="L72">_xll.aqBondObjectCreateFromGenerator($C72,$L$4,_xll.aqToolLVBFromKeysValues($C$7:$K$7,$C72:$K72))</f>
        <v>JP1103401F97:3</v>
      </c>
      <c r="M72" s="78">
        <v>-1.0000000000000919E-5</v>
      </c>
      <c r="N72" s="51">
        <v>102.7764</v>
      </c>
      <c r="O72" s="51">
        <v>6.8307000000000002</v>
      </c>
      <c r="P72" s="95">
        <v>702.19150000000002</v>
      </c>
      <c r="Q72" s="39" cm="1">
        <f t="array" ref="Q72">_xll.aqBondObjectYield(L72,$C$4,R72)</f>
        <v>-1.0000000000011868E-5</v>
      </c>
      <c r="R72" s="49" cm="1">
        <f t="array" ref="R72">_xll.aqBondObjectPrice($L72,$C$4,$M72)</f>
        <v>102.77643057644019</v>
      </c>
      <c r="S72" s="49" cm="1">
        <f t="array" ref="S72">_xll.aqBondObjectCleanPrice($L72,$C$4,$M72)</f>
        <v>102.77643057644019</v>
      </c>
      <c r="T72" s="49" cm="1">
        <f t="array" ref="T72">_xll.aqBondObjectDirtyPrice($L72,$C$4,$M72)</f>
        <v>102.8</v>
      </c>
      <c r="U72" s="49" cm="1">
        <f t="array" ref="U72">_xll.aqBondObjectModifiedDuration($L72,$C$4,$Q72)</f>
        <v>6.8306566814135721</v>
      </c>
      <c r="V72" s="93" cm="1">
        <f t="array" ref="V72">_xll.aqBondObjectDV01($L72,$C$4,$Q72)</f>
        <v>702.19150684931515</v>
      </c>
    </row>
    <row r="73" spans="2:22">
      <c r="B73" s="11" t="s">
        <v>882</v>
      </c>
      <c r="C73" s="11" t="s">
        <v>883</v>
      </c>
      <c r="D73" s="11" t="s">
        <v>883</v>
      </c>
      <c r="E73" s="12">
        <v>38625</v>
      </c>
      <c r="F73" s="15">
        <v>38615</v>
      </c>
      <c r="G73" s="14"/>
      <c r="H73" s="12">
        <v>38796</v>
      </c>
      <c r="I73" s="12">
        <v>45736</v>
      </c>
      <c r="J73" s="13">
        <v>0.02</v>
      </c>
      <c r="K73" s="12">
        <v>45920</v>
      </c>
      <c r="L73" s="16" t="str" cm="1">
        <f t="array" ref="L73">_xll.aqBondObjectCreateFromGenerator($C73,$L$4,_xll.aqToolLVBFromKeysValues($C$7:$K$7,$C73:$K73))</f>
        <v>JP1200811592:3</v>
      </c>
      <c r="M73" s="78">
        <v>2.0000000000005365E-5</v>
      </c>
      <c r="N73" s="51">
        <v>113.8308</v>
      </c>
      <c r="O73" s="51">
        <v>6.5201000000000002</v>
      </c>
      <c r="P73" s="95">
        <v>743.28629999999998</v>
      </c>
      <c r="Q73" s="39" cm="1">
        <f t="array" ref="Q73">_xll.aqBondObjectYield(L73,$C$4,R73)</f>
        <v>2.0000000000007899E-5</v>
      </c>
      <c r="R73" s="49" cm="1">
        <f t="array" ref="R73">_xll.aqBondObjectPrice($L73,$C$4,$M73)</f>
        <v>113.83081367308756</v>
      </c>
      <c r="S73" s="49" cm="1">
        <f t="array" ref="S73">_xll.aqBondObjectCleanPrice($L73,$C$4,$M73)</f>
        <v>113.83081367308756</v>
      </c>
      <c r="T73" s="49" cm="1">
        <f t="array" ref="T73">_xll.aqBondObjectDirtyPrice($L73,$C$4,$M73)</f>
        <v>113.99999999999999</v>
      </c>
      <c r="U73" s="49" cm="1">
        <f t="array" ref="U73">_xll.aqBondObjectModifiedDuration($L73,$C$4,$Q73)</f>
        <v>6.5200552751742382</v>
      </c>
      <c r="V73" s="93" cm="1">
        <f t="array" ref="V73">_xll.aqBondObjectDV01($L73,$C$4,$Q73)</f>
        <v>743.28630136986305</v>
      </c>
    </row>
    <row r="74" spans="2:22">
      <c r="B74" s="11" t="s">
        <v>884</v>
      </c>
      <c r="C74" s="11" t="s">
        <v>885</v>
      </c>
      <c r="D74" s="11" t="s">
        <v>885</v>
      </c>
      <c r="E74" s="12">
        <v>38656</v>
      </c>
      <c r="F74" s="15">
        <v>38615</v>
      </c>
      <c r="G74" s="14"/>
      <c r="H74" s="12">
        <v>38796</v>
      </c>
      <c r="I74" s="12">
        <v>45736</v>
      </c>
      <c r="J74" s="13">
        <v>2.1000000000000001E-2</v>
      </c>
      <c r="K74" s="12">
        <v>45920</v>
      </c>
      <c r="L74" s="16" t="str" cm="1">
        <f t="array" ref="L74">_xll.aqBondObjectCreateFromGenerator($C74,$L$4,_xll.aqToolLVBFromKeysValues($C$7:$K$7,$C74:$K74))</f>
        <v>JP12008215A7:3</v>
      </c>
      <c r="M74" s="78">
        <v>2.9999999999994437E-5</v>
      </c>
      <c r="N74" s="51">
        <v>114.5151</v>
      </c>
      <c r="O74" s="51">
        <v>6.5026999999999999</v>
      </c>
      <c r="P74" s="95">
        <v>745.85469999999998</v>
      </c>
      <c r="Q74" s="39" cm="1">
        <f t="array" ref="Q74">_xll.aqBondObjectYield(L74,$C$4,R74)</f>
        <v>2.9999999999989369E-5</v>
      </c>
      <c r="R74" s="49" cm="1">
        <f t="array" ref="R74">_xll.aqBondObjectPrice($L74,$C$4,$M74)</f>
        <v>114.51511947614388</v>
      </c>
      <c r="S74" s="49" cm="1">
        <f t="array" ref="S74">_xll.aqBondObjectCleanPrice($L74,$C$4,$M74)</f>
        <v>114.51511947614388</v>
      </c>
      <c r="T74" s="49" cm="1">
        <f t="array" ref="T74">_xll.aqBondObjectDirtyPrice($L74,$C$4,$M74)</f>
        <v>114.7</v>
      </c>
      <c r="U74" s="49" cm="1">
        <f t="array" ref="U74">_xll.aqBondObjectModifiedDuration($L74,$C$4,$Q74)</f>
        <v>6.5026567221220342</v>
      </c>
      <c r="V74" s="93" cm="1">
        <f t="array" ref="V74">_xll.aqBondObjectDV01($L74,$C$4,$Q74)</f>
        <v>745.85472602739731</v>
      </c>
    </row>
    <row r="75" spans="2:22">
      <c r="B75" s="11" t="s">
        <v>886</v>
      </c>
      <c r="C75" s="11" t="s">
        <v>887</v>
      </c>
      <c r="D75" s="11" t="s">
        <v>887</v>
      </c>
      <c r="E75" s="12">
        <v>42359</v>
      </c>
      <c r="F75" s="15">
        <v>42358</v>
      </c>
      <c r="G75" s="14"/>
      <c r="H75" s="12">
        <v>42541</v>
      </c>
      <c r="I75" s="12">
        <v>45828</v>
      </c>
      <c r="J75" s="13">
        <v>3.0000000000000001E-3</v>
      </c>
      <c r="K75" s="12">
        <v>46011</v>
      </c>
      <c r="L75" s="16" t="str" cm="1">
        <f t="array" ref="L75">_xll.aqBondObjectCreateFromGenerator($C75,$L$4,_xll.aqToolLVBFromKeysValues($C$7:$K$7,$C75:$K75))</f>
        <v>JP1103411FC6:3</v>
      </c>
      <c r="M75" s="78">
        <v>8.0000000000022761E-5</v>
      </c>
      <c r="N75" s="51">
        <v>102.0932</v>
      </c>
      <c r="O75" s="51">
        <v>7.0956000000000001</v>
      </c>
      <c r="P75" s="95">
        <v>725.52359999999999</v>
      </c>
      <c r="Q75" s="39" cm="1">
        <f t="array" ref="Q75">_xll.aqBondObjectYield(L75,$C$4,R75)</f>
        <v>8.0000000000012217E-5</v>
      </c>
      <c r="R75" s="49" cm="1">
        <f t="array" ref="R75">_xll.aqBondObjectPrice($L75,$C$4,$M75)</f>
        <v>102.09319890526378</v>
      </c>
      <c r="S75" s="49" cm="1">
        <f t="array" ref="S75">_xll.aqBondObjectCleanPrice($L75,$C$4,$M75)</f>
        <v>102.09319890526378</v>
      </c>
      <c r="T75" s="49" cm="1">
        <f t="array" ref="T75">_xll.aqBondObjectDirtyPrice($L75,$C$4,$M75)</f>
        <v>102.25</v>
      </c>
      <c r="U75" s="49" cm="1">
        <f t="array" ref="U75">_xll.aqBondObjectModifiedDuration($L75,$C$4,$Q75)</f>
        <v>7.0955856248116023</v>
      </c>
      <c r="V75" s="93" cm="1">
        <f t="array" ref="V75">_xll.aqBondObjectDV01($L75,$C$4,$Q75)</f>
        <v>725.5236301369863</v>
      </c>
    </row>
    <row r="76" spans="2:22">
      <c r="B76" s="11" t="s">
        <v>888</v>
      </c>
      <c r="C76" s="11" t="s">
        <v>889</v>
      </c>
      <c r="D76" s="11" t="s">
        <v>889</v>
      </c>
      <c r="E76" s="12">
        <v>38706</v>
      </c>
      <c r="F76" s="15">
        <v>38706</v>
      </c>
      <c r="G76" s="14"/>
      <c r="H76" s="12">
        <v>38888</v>
      </c>
      <c r="I76" s="12">
        <v>45828</v>
      </c>
      <c r="J76" s="13">
        <v>2.1000000000000001E-2</v>
      </c>
      <c r="K76" s="12">
        <v>46011</v>
      </c>
      <c r="L76" s="16" t="str" cm="1">
        <f t="array" ref="L76">_xll.aqBondObjectCreateFromGenerator($C76,$L$4,_xll.aqToolLVBFromKeysValues($C$7:$K$7,$C76:$K76))</f>
        <v>JP12008315C1:3</v>
      </c>
      <c r="M76" s="78">
        <v>1.3000000000001278E-4</v>
      </c>
      <c r="N76" s="51">
        <v>114.95529999999999</v>
      </c>
      <c r="O76" s="51">
        <v>6.6963999999999997</v>
      </c>
      <c r="P76" s="95">
        <v>775.10379999999998</v>
      </c>
      <c r="Q76" s="39" cm="1">
        <f t="array" ref="Q76">_xll.aqBondObjectYield(L76,$C$4,R76)</f>
        <v>1.3000000000000541E-4</v>
      </c>
      <c r="R76" s="49" cm="1">
        <f t="array" ref="R76">_xll.aqBondObjectPrice($L76,$C$4,$M76)</f>
        <v>114.95527704386545</v>
      </c>
      <c r="S76" s="49" cm="1">
        <f t="array" ref="S76">_xll.aqBondObjectCleanPrice($L76,$C$4,$M76)</f>
        <v>114.95527704386545</v>
      </c>
      <c r="T76" s="49" cm="1">
        <f t="array" ref="T76">_xll.aqBondObjectDirtyPrice($L76,$C$4,$M76)</f>
        <v>115.75</v>
      </c>
      <c r="U76" s="49" cm="1">
        <f t="array" ref="U76">_xll.aqBondObjectModifiedDuration($L76,$C$4,$Q76)</f>
        <v>6.6963608390780802</v>
      </c>
      <c r="V76" s="93" cm="1">
        <f t="array" ref="V76">_xll.aqBondObjectDV01($L76,$C$4,$Q76)</f>
        <v>775.10376712328775</v>
      </c>
    </row>
    <row r="77" spans="2:22">
      <c r="B77" s="11" t="s">
        <v>890</v>
      </c>
      <c r="C77" s="11" t="s">
        <v>891</v>
      </c>
      <c r="D77" s="11" t="s">
        <v>891</v>
      </c>
      <c r="E77" s="12">
        <v>38748</v>
      </c>
      <c r="F77" s="15">
        <v>38706</v>
      </c>
      <c r="G77" s="14"/>
      <c r="H77" s="12">
        <v>38888</v>
      </c>
      <c r="I77" s="12">
        <v>45828</v>
      </c>
      <c r="J77" s="13">
        <v>0.02</v>
      </c>
      <c r="K77" s="12">
        <v>46011</v>
      </c>
      <c r="L77" s="16" t="str" cm="1">
        <f t="array" ref="L77">_xll.aqBondObjectCreateFromGenerator($C77,$L$4,_xll.aqToolLVBFromKeysValues($C$7:$K$7,$C77:$K77))</f>
        <v>JP1200841615:3</v>
      </c>
      <c r="M77" s="78">
        <v>1.2000000000001684E-4</v>
      </c>
      <c r="N77" s="51">
        <v>114.2469</v>
      </c>
      <c r="O77" s="51">
        <v>6.7161</v>
      </c>
      <c r="P77" s="95">
        <v>772.34929999999997</v>
      </c>
      <c r="Q77" s="39" cm="1">
        <f t="array" ref="Q77">_xll.aqBondObjectYield(L77,$C$4,R77)</f>
        <v>1.2000000000000284E-4</v>
      </c>
      <c r="R77" s="49" cm="1">
        <f t="array" ref="R77">_xll.aqBondObjectPrice($L77,$C$4,$M77)</f>
        <v>114.24687178838072</v>
      </c>
      <c r="S77" s="49" cm="1">
        <f t="array" ref="S77">_xll.aqBondObjectCleanPrice($L77,$C$4,$M77)</f>
        <v>114.24687178838072</v>
      </c>
      <c r="T77" s="49" cm="1">
        <f t="array" ref="T77">_xll.aqBondObjectDirtyPrice($L77,$C$4,$M77)</f>
        <v>114.99999999999999</v>
      </c>
      <c r="U77" s="49" cm="1">
        <f t="array" ref="U77">_xll.aqBondObjectModifiedDuration($L77,$C$4,$Q77)</f>
        <v>6.7160810005955938</v>
      </c>
      <c r="V77" s="93" cm="1">
        <f t="array" ref="V77">_xll.aqBondObjectDV01($L77,$C$4,$Q77)</f>
        <v>772.34931506849318</v>
      </c>
    </row>
    <row r="78" spans="2:22">
      <c r="B78" s="11" t="s">
        <v>892</v>
      </c>
      <c r="C78" s="11" t="s">
        <v>893</v>
      </c>
      <c r="D78" s="11" t="s">
        <v>893</v>
      </c>
      <c r="E78" s="12">
        <v>42451</v>
      </c>
      <c r="F78" s="15">
        <v>42449</v>
      </c>
      <c r="G78" s="14"/>
      <c r="H78" s="12">
        <v>42633</v>
      </c>
      <c r="I78" s="12">
        <v>45920</v>
      </c>
      <c r="J78" s="13">
        <v>1E-3</v>
      </c>
      <c r="K78" s="12">
        <v>46101</v>
      </c>
      <c r="L78" s="16" t="str" cm="1">
        <f t="array" ref="L78">_xll.aqBondObjectCreateFromGenerator($C78,$L$4,_xll.aqToolLVBFromKeysValues($C$7:$K$7,$C78:$K78))</f>
        <v>JP1103421G35:3</v>
      </c>
      <c r="M78" s="78">
        <v>1.8000000000001386E-4</v>
      </c>
      <c r="N78" s="51">
        <v>100.60760000000001</v>
      </c>
      <c r="O78" s="51">
        <v>7.3930999999999996</v>
      </c>
      <c r="P78" s="95">
        <v>744.85720000000003</v>
      </c>
      <c r="Q78" s="39" cm="1">
        <f t="array" ref="Q78">_xll.aqBondObjectYield(L78,$C$4,R78)</f>
        <v>1.799999999999992E-4</v>
      </c>
      <c r="R78" s="49" cm="1">
        <f t="array" ref="R78">_xll.aqBondObjectPrice($L78,$C$4,$M78)</f>
        <v>100.60756123384158</v>
      </c>
      <c r="S78" s="49" cm="1">
        <f t="array" ref="S78">_xll.aqBondObjectCleanPrice($L78,$C$4,$M78)</f>
        <v>100.60756123384158</v>
      </c>
      <c r="T78" s="49" cm="1">
        <f t="array" ref="T78">_xll.aqBondObjectDirtyPrice($L78,$C$4,$M78)</f>
        <v>100.75</v>
      </c>
      <c r="U78" s="49" cm="1">
        <f t="array" ref="U78">_xll.aqBondObjectModifiedDuration($L78,$C$4,$Q78)</f>
        <v>7.3931234916210631</v>
      </c>
      <c r="V78" s="93" cm="1">
        <f t="array" ref="V78">_xll.aqBondObjectDV01($L78,$C$4,$Q78)</f>
        <v>744.85719178082206</v>
      </c>
    </row>
    <row r="79" spans="2:22">
      <c r="B79" s="11" t="s">
        <v>894</v>
      </c>
      <c r="C79" s="11" t="s">
        <v>895</v>
      </c>
      <c r="D79" s="11" t="s">
        <v>895</v>
      </c>
      <c r="E79" s="12">
        <v>38835</v>
      </c>
      <c r="F79" s="15">
        <v>38796</v>
      </c>
      <c r="G79" s="14"/>
      <c r="H79" s="12">
        <v>38980</v>
      </c>
      <c r="I79" s="12">
        <v>45920</v>
      </c>
      <c r="J79" s="13">
        <v>2.3E-2</v>
      </c>
      <c r="K79" s="12">
        <v>46101</v>
      </c>
      <c r="L79" s="16" t="str" cm="1">
        <f t="array" ref="L79">_xll.aqBondObjectCreateFromGenerator($C79,$L$4,_xll.aqToolLVBFromKeysValues($C$7:$K$7,$C79:$K79))</f>
        <v>JP1200861647:3</v>
      </c>
      <c r="M79" s="78">
        <v>2.1999999999998084E-4</v>
      </c>
      <c r="N79" s="51">
        <v>116.8733</v>
      </c>
      <c r="O79" s="51">
        <v>6.9043000000000001</v>
      </c>
      <c r="P79" s="95">
        <v>809.52359999999999</v>
      </c>
      <c r="Q79" s="39" cm="1">
        <f t="array" ref="Q79">_xll.aqBondObjectYield(L79,$C$4,R79)</f>
        <v>2.1999999999997575E-4</v>
      </c>
      <c r="R79" s="49" cm="1">
        <f t="array" ref="R79">_xll.aqBondObjectPrice($L79,$C$4,$M79)</f>
        <v>116.87334667119774</v>
      </c>
      <c r="S79" s="49" cm="1">
        <f t="array" ref="S79">_xll.aqBondObjectCleanPrice($L79,$C$4,$M79)</f>
        <v>116.87334667119774</v>
      </c>
      <c r="T79" s="49" cm="1">
        <f t="array" ref="T79">_xll.aqBondObjectDirtyPrice($L79,$C$4,$M79)</f>
        <v>117.25000000000001</v>
      </c>
      <c r="U79" s="49" cm="1">
        <f t="array" ref="U79">_xll.aqBondObjectModifiedDuration($L79,$C$4,$Q79)</f>
        <v>6.9042527090574515</v>
      </c>
      <c r="V79" s="93" cm="1">
        <f t="array" ref="V79">_xll.aqBondObjectDV01($L79,$C$4,$Q79)</f>
        <v>809.5236301369863</v>
      </c>
    </row>
    <row r="80" spans="2:22">
      <c r="B80" s="11" t="s">
        <v>896</v>
      </c>
      <c r="C80" s="11" t="s">
        <v>897</v>
      </c>
      <c r="D80" s="11" t="s">
        <v>897</v>
      </c>
      <c r="E80" s="12">
        <v>38867</v>
      </c>
      <c r="F80" s="15">
        <v>38796</v>
      </c>
      <c r="G80" s="14"/>
      <c r="H80" s="12">
        <v>38980</v>
      </c>
      <c r="I80" s="12">
        <v>45920</v>
      </c>
      <c r="J80" s="13">
        <v>2.2000000000000002E-2</v>
      </c>
      <c r="K80" s="12">
        <v>46101</v>
      </c>
      <c r="L80" s="16" t="str" cm="1">
        <f t="array" ref="L80">_xll.aqBondObjectCreateFromGenerator($C80,$L$4,_xll.aqToolLVBFromKeysValues($C$7:$K$7,$C80:$K80))</f>
        <v>JP1200871653:3</v>
      </c>
      <c r="M80" s="78">
        <v>2.1000000000000852E-4</v>
      </c>
      <c r="N80" s="51">
        <v>116.1412</v>
      </c>
      <c r="O80" s="51">
        <v>6.9234999999999998</v>
      </c>
      <c r="P80" s="95">
        <v>806.58420000000001</v>
      </c>
      <c r="Q80" s="39" cm="1">
        <f t="array" ref="Q80">_xll.aqBondObjectYield(L80,$C$4,R80)</f>
        <v>2.1000000000000082E-4</v>
      </c>
      <c r="R80" s="49" cm="1">
        <f t="array" ref="R80">_xll.aqBondObjectPrice($L80,$C$4,$M80)</f>
        <v>116.1412405460993</v>
      </c>
      <c r="S80" s="49" cm="1">
        <f t="array" ref="S80">_xll.aqBondObjectCleanPrice($L80,$C$4,$M80)</f>
        <v>116.1412405460993</v>
      </c>
      <c r="T80" s="49" cm="1">
        <f t="array" ref="T80">_xll.aqBondObjectDirtyPrice($L80,$C$4,$M80)</f>
        <v>116.5</v>
      </c>
      <c r="U80" s="49" cm="1">
        <f t="array" ref="U80">_xll.aqBondObjectModifiedDuration($L80,$C$4,$Q80)</f>
        <v>6.9234699276853435</v>
      </c>
      <c r="V80" s="93" cm="1">
        <f t="array" ref="V80">_xll.aqBondObjectDV01($L80,$C$4,$Q80)</f>
        <v>806.58424657534249</v>
      </c>
    </row>
    <row r="81" spans="2:22">
      <c r="B81" s="11" t="s">
        <v>898</v>
      </c>
      <c r="C81" s="11" t="s">
        <v>899</v>
      </c>
      <c r="D81" s="11" t="s">
        <v>899</v>
      </c>
      <c r="E81" s="12">
        <v>38803</v>
      </c>
      <c r="F81" s="15">
        <v>38796</v>
      </c>
      <c r="G81" s="14"/>
      <c r="H81" s="12">
        <v>38980</v>
      </c>
      <c r="I81" s="12">
        <v>45920</v>
      </c>
      <c r="J81" s="13">
        <v>2.1000000000000001E-2</v>
      </c>
      <c r="K81" s="12">
        <v>46101</v>
      </c>
      <c r="L81" s="16" t="str" cm="1">
        <f t="array" ref="L81">_xll.aqBondObjectCreateFromGenerator($C81,$L$4,_xll.aqToolLVBFromKeysValues($C$7:$K$7,$C81:$K81))</f>
        <v>JP1200851630:3</v>
      </c>
      <c r="M81" s="78">
        <v>2.1999999999998271E-4</v>
      </c>
      <c r="N81" s="51">
        <v>115.39190000000001</v>
      </c>
      <c r="O81" s="51">
        <v>6.9428999999999998</v>
      </c>
      <c r="P81" s="95">
        <v>803.64490000000001</v>
      </c>
      <c r="Q81" s="39" cm="1">
        <f t="array" ref="Q81">_xll.aqBondObjectYield(L81,$C$4,R81)</f>
        <v>2.199999999999687E-4</v>
      </c>
      <c r="R81" s="49" cm="1">
        <f t="array" ref="R81">_xll.aqBondObjectPrice($L81,$C$4,$M81)</f>
        <v>115.39192905300655</v>
      </c>
      <c r="S81" s="49" cm="1">
        <f t="array" ref="S81">_xll.aqBondObjectCleanPrice($L81,$C$4,$M81)</f>
        <v>115.39192905300655</v>
      </c>
      <c r="T81" s="49" cm="1">
        <f t="array" ref="T81">_xll.aqBondObjectDirtyPrice($L81,$C$4,$M81)</f>
        <v>115.75</v>
      </c>
      <c r="U81" s="49" cm="1">
        <f t="array" ref="U81">_xll.aqBondObjectModifiedDuration($L81,$C$4,$Q81)</f>
        <v>6.9429361815438329</v>
      </c>
      <c r="V81" s="93" cm="1">
        <f t="array" ref="V81">_xll.aqBondObjectDV01($L81,$C$4,$Q81)</f>
        <v>803.64486301369868</v>
      </c>
    </row>
    <row r="82" spans="2:22">
      <c r="B82" s="11" t="s">
        <v>900</v>
      </c>
      <c r="C82" s="11" t="s">
        <v>901</v>
      </c>
      <c r="D82" s="11" t="s">
        <v>901</v>
      </c>
      <c r="E82" s="12">
        <v>42541</v>
      </c>
      <c r="F82" s="15">
        <v>42541</v>
      </c>
      <c r="G82" s="14"/>
      <c r="H82" s="12">
        <v>42724</v>
      </c>
      <c r="I82" s="12">
        <v>46011</v>
      </c>
      <c r="J82" s="13">
        <v>1E-3</v>
      </c>
      <c r="K82" s="12">
        <v>46193</v>
      </c>
      <c r="L82" s="16" t="str" cm="1">
        <f t="array" ref="L82">_xll.aqBondObjectCreateFromGenerator($C82,$L$4,_xll.aqToolLVBFromKeysValues($C$7:$K$7,$C82:$K82))</f>
        <v>JP1103431G66:3</v>
      </c>
      <c r="M82" s="78">
        <v>2.7000000000002375E-4</v>
      </c>
      <c r="N82" s="51">
        <v>100.55880000000001</v>
      </c>
      <c r="O82" s="51">
        <v>7.6428000000000003</v>
      </c>
      <c r="P82" s="95">
        <v>770.39840000000004</v>
      </c>
      <c r="Q82" s="39" cm="1">
        <f t="array" ref="Q82">_xll.aqBondObjectYield(L82,$C$4,R82)</f>
        <v>2.700000000000212E-4</v>
      </c>
      <c r="R82" s="49" cm="1">
        <f t="array" ref="R82">_xll.aqBondObjectPrice($L82,$C$4,$M82)</f>
        <v>100.55884250702653</v>
      </c>
      <c r="S82" s="49" cm="1">
        <f t="array" ref="S82">_xll.aqBondObjectCleanPrice($L82,$C$4,$M82)</f>
        <v>100.55884250702653</v>
      </c>
      <c r="T82" s="49" cm="1">
        <f t="array" ref="T82">_xll.aqBondObjectDirtyPrice($L82,$C$4,$M82)</f>
        <v>100.8</v>
      </c>
      <c r="U82" s="49" cm="1">
        <f t="array" ref="U82">_xll.aqBondObjectModifiedDuration($L82,$C$4,$Q82)</f>
        <v>7.6428408349641233</v>
      </c>
      <c r="V82" s="93" cm="1">
        <f t="array" ref="V82">_xll.aqBondObjectDV01($L82,$C$4,$Q82)</f>
        <v>770.39835616438359</v>
      </c>
    </row>
    <row r="83" spans="2:22">
      <c r="B83" s="11" t="s">
        <v>902</v>
      </c>
      <c r="C83" s="11" t="s">
        <v>903</v>
      </c>
      <c r="D83" s="11" t="s">
        <v>903</v>
      </c>
      <c r="E83" s="12">
        <v>38894</v>
      </c>
      <c r="F83" s="15">
        <v>38888</v>
      </c>
      <c r="G83" s="14"/>
      <c r="H83" s="12">
        <v>39071</v>
      </c>
      <c r="I83" s="12">
        <v>46011</v>
      </c>
      <c r="J83" s="13">
        <v>2.3E-2</v>
      </c>
      <c r="K83" s="12">
        <v>46193</v>
      </c>
      <c r="L83" s="16" t="str" cm="1">
        <f t="array" ref="L83">_xll.aqBondObjectCreateFromGenerator($C83,$L$4,_xll.aqToolLVBFromKeysValues($C$7:$K$7,$C83:$K83))</f>
        <v>JP1200881660:3</v>
      </c>
      <c r="M83" s="78">
        <v>3.2000000000000577E-4</v>
      </c>
      <c r="N83" s="51">
        <v>117.3558</v>
      </c>
      <c r="O83" s="51">
        <v>7.0898000000000003</v>
      </c>
      <c r="P83" s="95">
        <v>839.43619999999999</v>
      </c>
      <c r="Q83" s="39" cm="1">
        <f t="array" ref="Q83">_xll.aqBondObjectYield(L83,$C$4,R83)</f>
        <v>3.1999999999999976E-4</v>
      </c>
      <c r="R83" s="49" cm="1">
        <f t="array" ref="R83">_xll.aqBondObjectPrice($L83,$C$4,$M83)</f>
        <v>117.35575136104248</v>
      </c>
      <c r="S83" s="49" cm="1">
        <f t="array" ref="S83">_xll.aqBondObjectCleanPrice($L83,$C$4,$M83)</f>
        <v>117.35575136104248</v>
      </c>
      <c r="T83" s="49" cm="1">
        <f t="array" ref="T83">_xll.aqBondObjectDirtyPrice($L83,$C$4,$M83)</f>
        <v>118.39999999999999</v>
      </c>
      <c r="U83" s="49" cm="1">
        <f t="array" ref="U83">_xll.aqBondObjectModifiedDuration($L83,$C$4,$Q83)</f>
        <v>7.0898324694557573</v>
      </c>
      <c r="V83" s="93" cm="1">
        <f t="array" ref="V83">_xll.aqBondObjectDV01($L83,$C$4,$Q83)</f>
        <v>839.43616438356162</v>
      </c>
    </row>
    <row r="84" spans="2:22">
      <c r="B84" s="11" t="s">
        <v>904</v>
      </c>
      <c r="C84" s="11" t="s">
        <v>905</v>
      </c>
      <c r="D84" s="11" t="s">
        <v>905</v>
      </c>
      <c r="E84" s="12">
        <v>38959</v>
      </c>
      <c r="F84" s="15">
        <v>38888</v>
      </c>
      <c r="G84" s="14"/>
      <c r="H84" s="12">
        <v>39071</v>
      </c>
      <c r="I84" s="12">
        <v>46011</v>
      </c>
      <c r="J84" s="13">
        <v>2.2000000000000002E-2</v>
      </c>
      <c r="K84" s="12">
        <v>46193</v>
      </c>
      <c r="L84" s="16" t="str" cm="1">
        <f t="array" ref="L84">_xll.aqBondObjectCreateFromGenerator($C84,$L$4,_xll.aqToolLVBFromKeysValues($C$7:$K$7,$C84:$K84))</f>
        <v>JP1200891685:3</v>
      </c>
      <c r="M84" s="78">
        <v>3.2000000000000637E-4</v>
      </c>
      <c r="N84" s="51">
        <v>116.59050000000001</v>
      </c>
      <c r="O84" s="51">
        <v>7.1113999999999997</v>
      </c>
      <c r="P84" s="95">
        <v>836.29809999999998</v>
      </c>
      <c r="Q84" s="39" cm="1">
        <f t="array" ref="Q84">_xll.aqBondObjectYield(L84,$C$4,R84)</f>
        <v>3.1999999999998973E-4</v>
      </c>
      <c r="R84" s="49" cm="1">
        <f t="array" ref="R84">_xll.aqBondObjectPrice($L84,$C$4,$M84)</f>
        <v>116.59050659203709</v>
      </c>
      <c r="S84" s="49" cm="1">
        <f t="array" ref="S84">_xll.aqBondObjectCleanPrice($L84,$C$4,$M84)</f>
        <v>116.59050659203709</v>
      </c>
      <c r="T84" s="49" cm="1">
        <f t="array" ref="T84">_xll.aqBondObjectDirtyPrice($L84,$C$4,$M84)</f>
        <v>117.6</v>
      </c>
      <c r="U84" s="49" cm="1">
        <f t="array" ref="U84">_xll.aqBondObjectModifiedDuration($L84,$C$4,$Q84)</f>
        <v>7.1113782499301097</v>
      </c>
      <c r="V84" s="93" cm="1">
        <f t="array" ref="V84">_xll.aqBondObjectDV01($L84,$C$4,$Q84)</f>
        <v>836.29808219178085</v>
      </c>
    </row>
    <row r="85" spans="2:22">
      <c r="B85" s="11" t="s">
        <v>906</v>
      </c>
      <c r="C85" s="11" t="s">
        <v>907</v>
      </c>
      <c r="D85" s="11" t="s">
        <v>907</v>
      </c>
      <c r="E85" s="12">
        <v>42633</v>
      </c>
      <c r="F85" s="15">
        <v>42633</v>
      </c>
      <c r="G85" s="14"/>
      <c r="H85" s="12">
        <v>42814</v>
      </c>
      <c r="I85" s="12">
        <v>46101</v>
      </c>
      <c r="J85" s="13">
        <v>1E-3</v>
      </c>
      <c r="K85" s="12">
        <v>46285</v>
      </c>
      <c r="L85" s="16" t="str" cm="1">
        <f t="array" ref="L85">_xll.aqBondObjectCreateFromGenerator($C85,$L$4,_xll.aqToolLVBFromKeysValues($C$7:$K$7,$C85:$K85))</f>
        <v>JP1103441G98:3</v>
      </c>
      <c r="M85" s="78">
        <v>4.300000000000181E-4</v>
      </c>
      <c r="N85" s="51">
        <v>100.45010000000001</v>
      </c>
      <c r="O85" s="51">
        <v>7.8894000000000002</v>
      </c>
      <c r="P85" s="95">
        <v>795.25319999999999</v>
      </c>
      <c r="Q85" s="39" cm="1">
        <f t="array" ref="Q85">_xll.aqBondObjectYield(L85,$C$4,R85)</f>
        <v>4.3000000000002541E-4</v>
      </c>
      <c r="R85" s="49" cm="1">
        <f t="array" ref="R85">_xll.aqBondObjectPrice($L85,$C$4,$M85)</f>
        <v>100.45009392110538</v>
      </c>
      <c r="S85" s="49" cm="1">
        <f t="array" ref="S85">_xll.aqBondObjectCleanPrice($L85,$C$4,$M85)</f>
        <v>100.45009392110538</v>
      </c>
      <c r="T85" s="49" cm="1">
        <f t="array" ref="T85">_xll.aqBondObjectDirtyPrice($L85,$C$4,$M85)</f>
        <v>100.8</v>
      </c>
      <c r="U85" s="49" cm="1">
        <f t="array" ref="U85">_xll.aqBondObjectModifiedDuration($L85,$C$4,$Q85)</f>
        <v>7.8894161774298768</v>
      </c>
      <c r="V85" s="93" cm="1">
        <f t="array" ref="V85">_xll.aqBondObjectDV01($L85,$C$4,$Q85)</f>
        <v>795.2531506849316</v>
      </c>
    </row>
    <row r="86" spans="2:22">
      <c r="B86" s="11" t="s">
        <v>908</v>
      </c>
      <c r="C86" s="11" t="s">
        <v>909</v>
      </c>
      <c r="D86" s="11" t="s">
        <v>909</v>
      </c>
      <c r="E86" s="12">
        <v>39020</v>
      </c>
      <c r="F86" s="15">
        <v>38980</v>
      </c>
      <c r="G86" s="14"/>
      <c r="H86" s="12">
        <v>39161</v>
      </c>
      <c r="I86" s="12">
        <v>46101</v>
      </c>
      <c r="J86" s="13">
        <v>2.3E-2</v>
      </c>
      <c r="K86" s="12">
        <v>46285</v>
      </c>
      <c r="L86" s="16" t="str" cm="1">
        <f t="array" ref="L86">_xll.aqBondObjectCreateFromGenerator($C86,$L$4,_xll.aqToolLVBFromKeysValues($C$7:$K$7,$C86:$K86))</f>
        <v>JP12009116A6:3</v>
      </c>
      <c r="M86" s="78">
        <v>4.0999999999999419E-4</v>
      </c>
      <c r="N86" s="51">
        <v>117.8408</v>
      </c>
      <c r="O86" s="51">
        <v>7.3364000000000003</v>
      </c>
      <c r="P86" s="95">
        <v>868.63070000000005</v>
      </c>
      <c r="Q86" s="39" cm="1">
        <f t="array" ref="Q86">_xll.aqBondObjectYield(L86,$C$4,R86)</f>
        <v>4.0999999999999294E-4</v>
      </c>
      <c r="R86" s="49" cm="1">
        <f t="array" ref="R86">_xll.aqBondObjectPrice($L86,$C$4,$M86)</f>
        <v>117.84075031653337</v>
      </c>
      <c r="S86" s="49" cm="1">
        <f t="array" ref="S86">_xll.aqBondObjectCleanPrice($L86,$C$4,$M86)</f>
        <v>117.84075031653337</v>
      </c>
      <c r="T86" s="49" cm="1">
        <f t="array" ref="T86">_xll.aqBondObjectDirtyPrice($L86,$C$4,$M86)</f>
        <v>118.39999999999999</v>
      </c>
      <c r="U86" s="49" cm="1">
        <f t="array" ref="U86">_xll.aqBondObjectModifiedDuration($L86,$C$4,$Q86)</f>
        <v>7.3364078119215108</v>
      </c>
      <c r="V86" s="93" cm="1">
        <f t="array" ref="V86">_xll.aqBondObjectDV01($L86,$C$4,$Q86)</f>
        <v>868.63068493150683</v>
      </c>
    </row>
    <row r="87" spans="2:22">
      <c r="B87" s="11" t="s">
        <v>910</v>
      </c>
      <c r="C87" s="11" t="s">
        <v>911</v>
      </c>
      <c r="D87" s="11" t="s">
        <v>911</v>
      </c>
      <c r="E87" s="12">
        <v>38989</v>
      </c>
      <c r="F87" s="15">
        <v>38980</v>
      </c>
      <c r="G87" s="14"/>
      <c r="H87" s="12">
        <v>39161</v>
      </c>
      <c r="I87" s="12">
        <v>46101</v>
      </c>
      <c r="J87" s="13">
        <v>2.2000000000000002E-2</v>
      </c>
      <c r="K87" s="12">
        <v>46285</v>
      </c>
      <c r="L87" s="16" t="str" cm="1">
        <f t="array" ref="L87">_xll.aqBondObjectCreateFromGenerator($C87,$L$4,_xll.aqToolLVBFromKeysValues($C$7:$K$7,$C87:$K87))</f>
        <v>JP1200901690:3</v>
      </c>
      <c r="M87" s="78">
        <v>4.0999999999998991E-4</v>
      </c>
      <c r="N87" s="51">
        <v>117.051</v>
      </c>
      <c r="O87" s="51">
        <v>7.3579999999999997</v>
      </c>
      <c r="P87" s="95">
        <v>865.2953</v>
      </c>
      <c r="Q87" s="39" cm="1">
        <f t="array" ref="Q87">_xll.aqBondObjectYield(L87,$C$4,R87)</f>
        <v>4.0999999999997674E-4</v>
      </c>
      <c r="R87" s="49" cm="1">
        <f t="array" ref="R87">_xll.aqBondObjectPrice($L87,$C$4,$M87)</f>
        <v>117.05098713297724</v>
      </c>
      <c r="S87" s="49" cm="1">
        <f t="array" ref="S87">_xll.aqBondObjectCleanPrice($L87,$C$4,$M87)</f>
        <v>117.05098713297724</v>
      </c>
      <c r="T87" s="49" cm="1">
        <f t="array" ref="T87">_xll.aqBondObjectDirtyPrice($L87,$C$4,$M87)</f>
        <v>117.6</v>
      </c>
      <c r="U87" s="49" cm="1">
        <f t="array" ref="U87">_xll.aqBondObjectModifiedDuration($L87,$C$4,$Q87)</f>
        <v>7.3579535923958632</v>
      </c>
      <c r="V87" s="93" cm="1">
        <f t="array" ref="V87">_xll.aqBondObjectDV01($L87,$C$4,$Q87)</f>
        <v>865.29534246575349</v>
      </c>
    </row>
    <row r="88" spans="2:22">
      <c r="B88" s="11" t="s">
        <v>912</v>
      </c>
      <c r="C88" s="11" t="s">
        <v>913</v>
      </c>
      <c r="D88" s="11" t="s">
        <v>913</v>
      </c>
      <c r="E88" s="12">
        <v>39076</v>
      </c>
      <c r="F88" s="15">
        <v>39071</v>
      </c>
      <c r="G88" s="14"/>
      <c r="H88" s="12">
        <v>39253</v>
      </c>
      <c r="I88" s="12">
        <v>46193</v>
      </c>
      <c r="J88" s="13">
        <v>2.1000000000000001E-2</v>
      </c>
      <c r="K88" s="12">
        <v>46376</v>
      </c>
      <c r="L88" s="16" t="str" cm="1">
        <f t="array" ref="L88">_xll.aqBondObjectCreateFromGenerator($C88,$L$4,_xll.aqToolLVBFromKeysValues($C$7:$K$7,$C88:$K88))</f>
        <v>JP12009216C0:3</v>
      </c>
      <c r="M88" s="78">
        <v>5.2000000000002305E-4</v>
      </c>
      <c r="N88" s="51">
        <v>116.66670000000001</v>
      </c>
      <c r="O88" s="51">
        <v>7.5667</v>
      </c>
      <c r="P88" s="95">
        <v>891.74120000000005</v>
      </c>
      <c r="Q88" s="39" cm="1">
        <f t="array" ref="Q88">_xll.aqBondObjectYield(L88,$C$4,R88)</f>
        <v>5.2000000000002554E-4</v>
      </c>
      <c r="R88" s="49" cm="1">
        <f t="array" ref="R88">_xll.aqBondObjectPrice($L88,$C$4,$M88)</f>
        <v>116.66666121040237</v>
      </c>
      <c r="S88" s="49" cm="1">
        <f t="array" ref="S88">_xll.aqBondObjectCleanPrice($L88,$C$4,$M88)</f>
        <v>116.66666121040237</v>
      </c>
      <c r="T88" s="49" cm="1">
        <f t="array" ref="T88">_xll.aqBondObjectDirtyPrice($L88,$C$4,$M88)</f>
        <v>117.85000000000001</v>
      </c>
      <c r="U88" s="49" cm="1">
        <f t="array" ref="U88">_xll.aqBondObjectModifiedDuration($L88,$C$4,$Q88)</f>
        <v>7.5667478394290404</v>
      </c>
      <c r="V88" s="93" cm="1">
        <f t="array" ref="V88">_xll.aqBondObjectDV01($L88,$C$4,$Q88)</f>
        <v>891.7412328767125</v>
      </c>
    </row>
    <row r="89" spans="2:22">
      <c r="B89" s="11" t="s">
        <v>914</v>
      </c>
      <c r="C89" s="11" t="s">
        <v>915</v>
      </c>
      <c r="D89" s="11" t="s">
        <v>915</v>
      </c>
      <c r="E89" s="12">
        <v>42815</v>
      </c>
      <c r="F89" s="15">
        <v>42814</v>
      </c>
      <c r="G89" s="14"/>
      <c r="H89" s="12">
        <v>42998</v>
      </c>
      <c r="I89" s="12">
        <v>46285</v>
      </c>
      <c r="J89" s="13">
        <v>1E-3</v>
      </c>
      <c r="K89" s="12">
        <v>46466</v>
      </c>
      <c r="L89" s="16" t="str" cm="1">
        <f t="array" ref="L89">_xll.aqBondObjectCreateFromGenerator($C89,$L$4,_xll.aqToolLVBFromKeysValues($C$7:$K$7,$C89:$K89))</f>
        <v>JP1103461H35:3</v>
      </c>
      <c r="M89" s="78">
        <v>6.5999999999999772E-4</v>
      </c>
      <c r="N89" s="51">
        <v>100.2847</v>
      </c>
      <c r="O89" s="51">
        <v>8.3855000000000004</v>
      </c>
      <c r="P89" s="95">
        <v>845.67409999999995</v>
      </c>
      <c r="Q89" s="39" cm="1">
        <f t="array" ref="Q89">_xll.aqBondObjectYield(L89,$C$4,R89)</f>
        <v>6.5999999999999078E-4</v>
      </c>
      <c r="R89" s="49" cm="1">
        <f t="array" ref="R89">_xll.aqBondObjectPrice($L89,$C$4,$M89)</f>
        <v>100.28467023976198</v>
      </c>
      <c r="S89" s="49" cm="1">
        <f t="array" ref="S89">_xll.aqBondObjectCleanPrice($L89,$C$4,$M89)</f>
        <v>100.28467023976198</v>
      </c>
      <c r="T89" s="49" cm="1">
        <f t="array" ref="T89">_xll.aqBondObjectDirtyPrice($L89,$C$4,$M89)</f>
        <v>100.85</v>
      </c>
      <c r="U89" s="49" cm="1">
        <f t="array" ref="U89">_xll.aqBondObjectModifiedDuration($L89,$C$4,$Q89)</f>
        <v>8.3854646463960467</v>
      </c>
      <c r="V89" s="93" cm="1">
        <f t="array" ref="V89">_xll.aqBondObjectDV01($L89,$C$4,$Q89)</f>
        <v>845.67410958904122</v>
      </c>
    </row>
    <row r="90" spans="2:22">
      <c r="B90" s="11" t="s">
        <v>916</v>
      </c>
      <c r="C90" s="11" t="s">
        <v>917</v>
      </c>
      <c r="D90" s="11" t="s">
        <v>917</v>
      </c>
      <c r="E90" s="12">
        <v>39199</v>
      </c>
      <c r="F90" s="15">
        <v>39161</v>
      </c>
      <c r="G90" s="14"/>
      <c r="H90" s="12">
        <v>39345</v>
      </c>
      <c r="I90" s="12">
        <v>46285</v>
      </c>
      <c r="J90" s="13">
        <v>2.1000000000000001E-2</v>
      </c>
      <c r="K90" s="12">
        <v>46466</v>
      </c>
      <c r="L90" s="16" t="str" cm="1">
        <f t="array" ref="L90">_xll.aqBondObjectCreateFromGenerator($C90,$L$4,_xll.aqToolLVBFromKeysValues($C$7:$K$7,$C90:$K90))</f>
        <v>JP1200941746:3</v>
      </c>
      <c r="M90" s="78">
        <v>6.1999999999999469E-4</v>
      </c>
      <c r="N90" s="51">
        <v>117.0692</v>
      </c>
      <c r="O90" s="51">
        <v>7.8132999999999999</v>
      </c>
      <c r="P90" s="95">
        <v>920.80010000000004</v>
      </c>
      <c r="Q90" s="39" cm="1">
        <f t="array" ref="Q90">_xll.aqBondObjectYield(L90,$C$4,R90)</f>
        <v>6.1999999999998797E-4</v>
      </c>
      <c r="R90" s="49" cm="1">
        <f t="array" ref="R90">_xll.aqBondObjectPrice($L90,$C$4,$M90)</f>
        <v>117.06918565299392</v>
      </c>
      <c r="S90" s="49" cm="1">
        <f t="array" ref="S90">_xll.aqBondObjectCleanPrice($L90,$C$4,$M90)</f>
        <v>117.06918565299392</v>
      </c>
      <c r="T90" s="49" cm="1">
        <f t="array" ref="T90">_xll.aqBondObjectDirtyPrice($L90,$C$4,$M90)</f>
        <v>117.85000000000001</v>
      </c>
      <c r="U90" s="49" cm="1">
        <f t="array" ref="U90">_xll.aqBondObjectModifiedDuration($L90,$C$4,$Q90)</f>
        <v>7.8133231818947939</v>
      </c>
      <c r="V90" s="93" cm="1">
        <f t="array" ref="V90">_xll.aqBondObjectDV01($L90,$C$4,$Q90)</f>
        <v>920.80013698630148</v>
      </c>
    </row>
    <row r="91" spans="2:22">
      <c r="B91" s="11" t="s">
        <v>918</v>
      </c>
      <c r="C91" s="11" t="s">
        <v>919</v>
      </c>
      <c r="D91" s="11" t="s">
        <v>919</v>
      </c>
      <c r="E91" s="12">
        <v>39167</v>
      </c>
      <c r="F91" s="15">
        <v>39161</v>
      </c>
      <c r="G91" s="14"/>
      <c r="H91" s="12">
        <v>39345</v>
      </c>
      <c r="I91" s="12">
        <v>46285</v>
      </c>
      <c r="J91" s="13">
        <v>0.02</v>
      </c>
      <c r="K91" s="12">
        <v>46466</v>
      </c>
      <c r="L91" s="16" t="str" cm="1">
        <f t="array" ref="L91">_xll.aqBondObjectCreateFromGenerator($C91,$L$4,_xll.aqToolLVBFromKeysValues($C$7:$K$7,$C91:$K91))</f>
        <v>JP1200931739:3</v>
      </c>
      <c r="M91" s="78">
        <v>6.1000000000000886E-4</v>
      </c>
      <c r="N91" s="51">
        <v>116.2414</v>
      </c>
      <c r="O91" s="51">
        <v>7.8380000000000001</v>
      </c>
      <c r="P91" s="95">
        <v>917.04380000000003</v>
      </c>
      <c r="Q91" s="39" cm="1">
        <f t="array" ref="Q91">_xll.aqBondObjectYield(L91,$C$4,R91)</f>
        <v>6.1000000000000453E-4</v>
      </c>
      <c r="R91" s="49" cm="1">
        <f t="array" ref="R91">_xll.aqBondObjectPrice($L91,$C$4,$M91)</f>
        <v>116.24137549150659</v>
      </c>
      <c r="S91" s="49" cm="1">
        <f t="array" ref="S91">_xll.aqBondObjectCleanPrice($L91,$C$4,$M91)</f>
        <v>116.24137549150659</v>
      </c>
      <c r="T91" s="49" cm="1">
        <f t="array" ref="T91">_xll.aqBondObjectDirtyPrice($L91,$C$4,$M91)</f>
        <v>117</v>
      </c>
      <c r="U91" s="49" cm="1">
        <f t="array" ref="U91">_xll.aqBondObjectModifiedDuration($L91,$C$4,$Q91)</f>
        <v>7.837981500995201</v>
      </c>
      <c r="V91" s="93" cm="1">
        <f t="array" ref="V91">_xll.aqBondObjectDV01($L91,$C$4,$Q91)</f>
        <v>917.04383561643851</v>
      </c>
    </row>
    <row r="92" spans="2:22">
      <c r="B92" s="11" t="s">
        <v>920</v>
      </c>
      <c r="C92" s="11" t="s">
        <v>921</v>
      </c>
      <c r="D92" s="11" t="s">
        <v>921</v>
      </c>
      <c r="E92" s="12">
        <v>39262</v>
      </c>
      <c r="F92" s="15">
        <v>39253</v>
      </c>
      <c r="G92" s="14"/>
      <c r="H92" s="12">
        <v>39436</v>
      </c>
      <c r="I92" s="12">
        <v>46376</v>
      </c>
      <c r="J92" s="13">
        <v>2.3E-2</v>
      </c>
      <c r="K92" s="12">
        <v>46558</v>
      </c>
      <c r="L92" s="16" t="str" cm="1">
        <f t="array" ref="L92">_xll.aqBondObjectCreateFromGenerator($C92,$L$4,_xll.aqToolLVBFromKeysValues($C$7:$K$7,$C92:$K92))</f>
        <v>JP1200951760:3</v>
      </c>
      <c r="M92" s="78">
        <v>7.2999999999999541E-4</v>
      </c>
      <c r="N92" s="51">
        <v>119.18940000000001</v>
      </c>
      <c r="O92" s="51">
        <v>7.9436999999999998</v>
      </c>
      <c r="P92" s="95">
        <v>958.80820000000006</v>
      </c>
      <c r="Q92" s="39" cm="1">
        <f t="array" ref="Q92">_xll.aqBondObjectYield(L92,$C$4,R92)</f>
        <v>7.2999999999999779E-4</v>
      </c>
      <c r="R92" s="49" cm="1">
        <f t="array" ref="R92">_xll.aqBondObjectPrice($L92,$C$4,$M92)</f>
        <v>119.18936692381064</v>
      </c>
      <c r="S92" s="49" cm="1">
        <f t="array" ref="S92">_xll.aqBondObjectCleanPrice($L92,$C$4,$M92)</f>
        <v>119.18936692381064</v>
      </c>
      <c r="T92" s="49" cm="1">
        <f t="array" ref="T92">_xll.aqBondObjectDirtyPrice($L92,$C$4,$M92)</f>
        <v>120.7</v>
      </c>
      <c r="U92" s="49" cm="1">
        <f t="array" ref="U92">_xll.aqBondObjectModifiedDuration($L92,$C$4,$Q92)</f>
        <v>7.9437295002894075</v>
      </c>
      <c r="V92" s="93" cm="1">
        <f t="array" ref="V92">_xll.aqBondObjectDV01($L92,$C$4,$Q92)</f>
        <v>958.80815068493155</v>
      </c>
    </row>
    <row r="93" spans="2:22">
      <c r="B93" s="11" t="s">
        <v>922</v>
      </c>
      <c r="C93" s="11" t="s">
        <v>923</v>
      </c>
      <c r="D93" s="11" t="s">
        <v>923</v>
      </c>
      <c r="E93" s="12">
        <v>39325</v>
      </c>
      <c r="F93" s="15">
        <v>39253</v>
      </c>
      <c r="G93" s="14"/>
      <c r="H93" s="12">
        <v>39436</v>
      </c>
      <c r="I93" s="12">
        <v>46376</v>
      </c>
      <c r="J93" s="13">
        <v>2.1000000000000001E-2</v>
      </c>
      <c r="K93" s="12">
        <v>46558</v>
      </c>
      <c r="L93" s="16" t="str" cm="1">
        <f t="array" ref="L93">_xll.aqBondObjectCreateFromGenerator($C93,$L$4,_xll.aqToolLVBFromKeysValues($C$7:$K$7,$C93:$K93))</f>
        <v>JP1200961785:3</v>
      </c>
      <c r="M93" s="78">
        <v>7.2000000000001197E-4</v>
      </c>
      <c r="N93" s="51">
        <v>117.47620000000001</v>
      </c>
      <c r="O93" s="51">
        <v>7.9969999999999999</v>
      </c>
      <c r="P93" s="95">
        <v>950.84749999999997</v>
      </c>
      <c r="Q93" s="39" cm="1">
        <f t="array" ref="Q93">_xll.aqBondObjectYield(L93,$C$4,R93)</f>
        <v>7.2000000000001013E-4</v>
      </c>
      <c r="R93" s="49" cm="1">
        <f t="array" ref="R93">_xll.aqBondObjectPrice($L93,$C$4,$M93)</f>
        <v>117.47615163194826</v>
      </c>
      <c r="S93" s="49" cm="1">
        <f t="array" ref="S93">_xll.aqBondObjectCleanPrice($L93,$C$4,$M93)</f>
        <v>117.47615163194826</v>
      </c>
      <c r="T93" s="49" cm="1">
        <f t="array" ref="T93">_xll.aqBondObjectDirtyPrice($L93,$C$4,$M93)</f>
        <v>118.9</v>
      </c>
      <c r="U93" s="49" cm="1">
        <f t="array" ref="U93">_xll.aqBondObjectModifiedDuration($L93,$C$4,$Q93)</f>
        <v>7.9970350357731244</v>
      </c>
      <c r="V93" s="93" cm="1">
        <f t="array" ref="V93">_xll.aqBondObjectDV01($L93,$C$4,$Q93)</f>
        <v>950.84746575342456</v>
      </c>
    </row>
    <row r="94" spans="2:22">
      <c r="B94" s="11" t="s">
        <v>924</v>
      </c>
      <c r="C94" s="11" t="s">
        <v>925</v>
      </c>
      <c r="D94" s="11" t="s">
        <v>925</v>
      </c>
      <c r="E94" s="12">
        <v>39353</v>
      </c>
      <c r="F94" s="15">
        <v>39345</v>
      </c>
      <c r="G94" s="14"/>
      <c r="H94" s="12">
        <v>39527</v>
      </c>
      <c r="I94" s="12">
        <v>46466</v>
      </c>
      <c r="J94" s="13">
        <v>2.2000000000000002E-2</v>
      </c>
      <c r="K94" s="12">
        <v>46650</v>
      </c>
      <c r="L94" s="16" t="str" cm="1">
        <f t="array" ref="L94">_xll.aqBondObjectCreateFromGenerator($C94,$L$4,_xll.aqToolLVBFromKeysValues($C$7:$K$7,$C94:$K94))</f>
        <v>JP1200971792:3</v>
      </c>
      <c r="M94" s="78">
        <v>8.3000000000000272E-4</v>
      </c>
      <c r="N94" s="51">
        <v>118.7517</v>
      </c>
      <c r="O94" s="51">
        <v>8.2167999999999992</v>
      </c>
      <c r="P94" s="95">
        <v>984.36749999999995</v>
      </c>
      <c r="Q94" s="39" cm="1">
        <f t="array" ref="Q94">_xll.aqBondObjectYield(L94,$C$4,R94)</f>
        <v>8.3000000000000066E-4</v>
      </c>
      <c r="R94" s="49" cm="1">
        <f t="array" ref="R94">_xll.aqBondObjectPrice($L94,$C$4,$M94)</f>
        <v>118.75171860704762</v>
      </c>
      <c r="S94" s="49" cm="1">
        <f t="array" ref="S94">_xll.aqBondObjectCleanPrice($L94,$C$4,$M94)</f>
        <v>118.75171860704762</v>
      </c>
      <c r="T94" s="49" cm="1">
        <f t="array" ref="T94">_xll.aqBondObjectDirtyPrice($L94,$C$4,$M94)</f>
        <v>119.8</v>
      </c>
      <c r="U94" s="49" cm="1">
        <f t="array" ref="U94">_xll.aqBondObjectModifiedDuration($L94,$C$4,$Q94)</f>
        <v>8.2167573810231662</v>
      </c>
      <c r="V94" s="93" cm="1">
        <f t="array" ref="V94">_xll.aqBondObjectDV01($L94,$C$4,$Q94)</f>
        <v>984.36753424657536</v>
      </c>
    </row>
    <row r="95" spans="2:22">
      <c r="B95" s="11" t="s">
        <v>926</v>
      </c>
      <c r="C95" s="11" t="s">
        <v>927</v>
      </c>
      <c r="D95" s="11" t="s">
        <v>927</v>
      </c>
      <c r="E95" s="12">
        <v>39416</v>
      </c>
      <c r="F95" s="15">
        <v>39345</v>
      </c>
      <c r="G95" s="14"/>
      <c r="H95" s="12">
        <v>39527</v>
      </c>
      <c r="I95" s="12">
        <v>46466</v>
      </c>
      <c r="J95" s="13">
        <v>2.1000000000000001E-2</v>
      </c>
      <c r="K95" s="12">
        <v>46650</v>
      </c>
      <c r="L95" s="16" t="str" cm="1">
        <f t="array" ref="L95">_xll.aqBondObjectCreateFromGenerator($C95,$L$4,_xll.aqToolLVBFromKeysValues($C$7:$K$7,$C95:$K95))</f>
        <v>JP12009817B7:3</v>
      </c>
      <c r="M95" s="78">
        <v>8.1999999999999304E-4</v>
      </c>
      <c r="N95" s="51">
        <v>117.8764</v>
      </c>
      <c r="O95" s="51">
        <v>8.2436000000000007</v>
      </c>
      <c r="P95" s="95">
        <v>980.1653</v>
      </c>
      <c r="Q95" s="39" cm="1">
        <f t="array" ref="Q95">_xll.aqBondObjectYield(L95,$C$4,R95)</f>
        <v>8.2000000000000356E-4</v>
      </c>
      <c r="R95" s="49" cm="1">
        <f t="array" ref="R95">_xll.aqBondObjectPrice($L95,$C$4,$M95)</f>
        <v>117.87639125158559</v>
      </c>
      <c r="S95" s="49" cm="1">
        <f t="array" ref="S95">_xll.aqBondObjectCleanPrice($L95,$C$4,$M95)</f>
        <v>117.87639125158559</v>
      </c>
      <c r="T95" s="49" cm="1">
        <f t="array" ref="T95">_xll.aqBondObjectDirtyPrice($L95,$C$4,$M95)</f>
        <v>118.9</v>
      </c>
      <c r="U95" s="49" cm="1">
        <f t="array" ref="U95">_xll.aqBondObjectModifiedDuration($L95,$C$4,$Q95)</f>
        <v>8.2436103782388788</v>
      </c>
      <c r="V95" s="93" cm="1">
        <f t="array" ref="V95">_xll.aqBondObjectDV01($L95,$C$4,$Q95)</f>
        <v>980.16527397260279</v>
      </c>
    </row>
    <row r="96" spans="2:22">
      <c r="B96" s="11" t="s">
        <v>928</v>
      </c>
      <c r="C96" s="11" t="s">
        <v>929</v>
      </c>
      <c r="D96" s="11" t="s">
        <v>929</v>
      </c>
      <c r="E96" s="12">
        <v>39441</v>
      </c>
      <c r="F96" s="15">
        <v>39436</v>
      </c>
      <c r="G96" s="14"/>
      <c r="H96" s="12">
        <v>39619</v>
      </c>
      <c r="I96" s="12">
        <v>46558</v>
      </c>
      <c r="J96" s="13">
        <v>2.1000000000000001E-2</v>
      </c>
      <c r="K96" s="12">
        <v>46741</v>
      </c>
      <c r="L96" s="16" t="str" cm="1">
        <f t="array" ref="L96">_xll.aqBondObjectCreateFromGenerator($C96,$L$4,_xll.aqToolLVBFromKeysValues($C$7:$K$7,$C96:$K96))</f>
        <v>JP12009917C3:3</v>
      </c>
      <c r="M96" s="78">
        <v>8.7999999999999819E-4</v>
      </c>
      <c r="N96" s="51">
        <v>118.3075</v>
      </c>
      <c r="O96" s="51">
        <v>8.4242000000000008</v>
      </c>
      <c r="P96" s="95">
        <v>1010.4787</v>
      </c>
      <c r="Q96" s="39" cm="1">
        <f t="array" ref="Q96">_xll.aqBondObjectYield(L96,$C$4,R96)</f>
        <v>8.7999999999999483E-4</v>
      </c>
      <c r="R96" s="49" cm="1">
        <f t="array" ref="R96">_xll.aqBondObjectPrice($L96,$C$4,$M96)</f>
        <v>118.3075005739969</v>
      </c>
      <c r="S96" s="49" cm="1">
        <f t="array" ref="S96">_xll.aqBondObjectCleanPrice($L96,$C$4,$M96)</f>
        <v>118.3075005739969</v>
      </c>
      <c r="T96" s="49" cm="1">
        <f t="array" ref="T96">_xll.aqBondObjectDirtyPrice($L96,$C$4,$M96)</f>
        <v>119.95</v>
      </c>
      <c r="U96" s="49" cm="1">
        <f t="array" ref="U96">_xll.aqBondObjectModifiedDuration($L96,$C$4,$Q96)</f>
        <v>8.424165891039074</v>
      </c>
      <c r="V96" s="93" cm="1">
        <f t="array" ref="V96">_xll.aqBondObjectDV01($L96,$C$4,$Q96)</f>
        <v>1010.478698630137</v>
      </c>
    </row>
    <row r="97" spans="2:22">
      <c r="B97" s="11" t="s">
        <v>930</v>
      </c>
      <c r="C97" s="11" t="s">
        <v>931</v>
      </c>
      <c r="D97" s="11" t="s">
        <v>931</v>
      </c>
      <c r="E97" s="12">
        <v>39532</v>
      </c>
      <c r="F97" s="15">
        <v>39527</v>
      </c>
      <c r="G97" s="14"/>
      <c r="H97" s="12">
        <v>39711</v>
      </c>
      <c r="I97" s="12">
        <v>46650</v>
      </c>
      <c r="J97" s="13">
        <v>2.2000000000000002E-2</v>
      </c>
      <c r="K97" s="12">
        <v>46832</v>
      </c>
      <c r="L97" s="16" t="str" cm="1">
        <f t="array" ref="L97">_xll.aqBondObjectCreateFromGenerator($C97,$L$4,_xll.aqToolLVBFromKeysValues($C$7:$K$7,$C97:$K97))</f>
        <v>JP1201001839:3</v>
      </c>
      <c r="M97" s="78">
        <v>9.8000000000000929E-4</v>
      </c>
      <c r="N97" s="51">
        <v>119.61799999999999</v>
      </c>
      <c r="O97" s="51">
        <v>8.6412999999999993</v>
      </c>
      <c r="P97" s="95">
        <v>1044.7285999999999</v>
      </c>
      <c r="Q97" s="39" cm="1">
        <f t="array" ref="Q97">_xll.aqBondObjectYield(L97,$C$4,R97)</f>
        <v>9.80000000000021E-4</v>
      </c>
      <c r="R97" s="49" cm="1">
        <f t="array" ref="R97">_xll.aqBondObjectPrice($L97,$C$4,$M97)</f>
        <v>119.61802239513807</v>
      </c>
      <c r="S97" s="49" cm="1">
        <f t="array" ref="S97">_xll.aqBondObjectCleanPrice($L97,$C$4,$M97)</f>
        <v>119.61802239513807</v>
      </c>
      <c r="T97" s="49" cm="1">
        <f t="array" ref="T97">_xll.aqBondObjectDirtyPrice($L97,$C$4,$M97)</f>
        <v>120.9</v>
      </c>
      <c r="U97" s="49" cm="1">
        <f t="array" ref="U97">_xll.aqBondObjectModifiedDuration($L97,$C$4,$Q97)</f>
        <v>8.6412624494374377</v>
      </c>
      <c r="V97" s="93" cm="1">
        <f t="array" ref="V97">_xll.aqBondObjectDV01($L97,$C$4,$Q97)</f>
        <v>1044.7286301369863</v>
      </c>
    </row>
    <row r="98" spans="2:22">
      <c r="B98" s="11" t="s">
        <v>932</v>
      </c>
      <c r="C98" s="11" t="s">
        <v>933</v>
      </c>
      <c r="D98" s="11" t="s">
        <v>933</v>
      </c>
      <c r="E98" s="12">
        <v>39598</v>
      </c>
      <c r="F98" s="15">
        <v>39527</v>
      </c>
      <c r="G98" s="14"/>
      <c r="H98" s="12">
        <v>39711</v>
      </c>
      <c r="I98" s="12">
        <v>46650</v>
      </c>
      <c r="J98" s="13">
        <v>2.4E-2</v>
      </c>
      <c r="K98" s="12">
        <v>46832</v>
      </c>
      <c r="L98" s="16" t="str" cm="1">
        <f t="array" ref="L98">_xll.aqBondObjectCreateFromGenerator($C98,$L$4,_xll.aqToolLVBFromKeysValues($C$7:$K$7,$C98:$K98))</f>
        <v>JP1201011853:3</v>
      </c>
      <c r="M98" s="78">
        <v>9.6999999999999962E-4</v>
      </c>
      <c r="N98" s="51">
        <v>121.496</v>
      </c>
      <c r="O98" s="51">
        <v>8.5837000000000003</v>
      </c>
      <c r="P98" s="95">
        <v>1054.0751</v>
      </c>
      <c r="Q98" s="39" cm="1">
        <f t="array" ref="Q98">_xll.aqBondObjectYield(L98,$C$4,R98)</f>
        <v>9.6999999999998173E-4</v>
      </c>
      <c r="R98" s="49" cm="1">
        <f t="array" ref="R98">_xll.aqBondObjectPrice($L98,$C$4,$M98)</f>
        <v>121.49596701219104</v>
      </c>
      <c r="S98" s="49" cm="1">
        <f t="array" ref="S98">_xll.aqBondObjectCleanPrice($L98,$C$4,$M98)</f>
        <v>121.49596701219104</v>
      </c>
      <c r="T98" s="49" cm="1">
        <f t="array" ref="T98">_xll.aqBondObjectDirtyPrice($L98,$C$4,$M98)</f>
        <v>122.8</v>
      </c>
      <c r="U98" s="49" cm="1">
        <f t="array" ref="U98">_xll.aqBondObjectModifiedDuration($L98,$C$4,$Q98)</f>
        <v>8.5836731961982977</v>
      </c>
      <c r="V98" s="93" cm="1">
        <f t="array" ref="V98">_xll.aqBondObjectDV01($L98,$C$4,$Q98)</f>
        <v>1054.0750684931509</v>
      </c>
    </row>
    <row r="99" spans="2:22">
      <c r="B99" s="11" t="s">
        <v>934</v>
      </c>
      <c r="C99" s="11" t="s">
        <v>935</v>
      </c>
      <c r="D99" s="11" t="s">
        <v>935</v>
      </c>
      <c r="E99" s="12">
        <v>39619</v>
      </c>
      <c r="F99" s="15">
        <v>39619</v>
      </c>
      <c r="G99" s="14"/>
      <c r="H99" s="12">
        <v>39802</v>
      </c>
      <c r="I99" s="12">
        <v>46741</v>
      </c>
      <c r="J99" s="13">
        <v>2.4E-2</v>
      </c>
      <c r="K99" s="12">
        <v>46924</v>
      </c>
      <c r="L99" s="16" t="str" cm="1">
        <f t="array" ref="L99">_xll.aqBondObjectCreateFromGenerator($C99,$L$4,_xll.aqToolLVBFromKeysValues($C$7:$K$7,$C99:$K99))</f>
        <v>JP1201021860:3</v>
      </c>
      <c r="M99" s="78">
        <v>1.1300000000000027E-3</v>
      </c>
      <c r="N99" s="51">
        <v>121.879</v>
      </c>
      <c r="O99" s="51">
        <v>8.7531999999999996</v>
      </c>
      <c r="P99" s="95">
        <v>1085.4027000000001</v>
      </c>
      <c r="Q99" s="39" cm="1">
        <f t="array" ref="Q99">_xll.aqBondObjectYield(L99,$C$4,R99)</f>
        <v>1.1300000000000047E-3</v>
      </c>
      <c r="R99" s="49" cm="1">
        <f t="array" ref="R99">_xll.aqBondObjectPrice($L99,$C$4,$M99)</f>
        <v>121.8790050324007</v>
      </c>
      <c r="S99" s="49" cm="1">
        <f t="array" ref="S99">_xll.aqBondObjectCleanPrice($L99,$C$4,$M99)</f>
        <v>121.8790050324007</v>
      </c>
      <c r="T99" s="49" cm="1">
        <f t="array" ref="T99">_xll.aqBondObjectDirtyPrice($L99,$C$4,$M99)</f>
        <v>124</v>
      </c>
      <c r="U99" s="49" cm="1">
        <f t="array" ref="U99">_xll.aqBondObjectModifiedDuration($L99,$C$4,$Q99)</f>
        <v>8.7532479010163495</v>
      </c>
      <c r="V99" s="93" cm="1">
        <f t="array" ref="V99">_xll.aqBondObjectDV01($L99,$C$4,$Q99)</f>
        <v>1085.4027397260274</v>
      </c>
    </row>
    <row r="100" spans="2:22">
      <c r="B100" s="11" t="s">
        <v>936</v>
      </c>
      <c r="C100" s="11" t="s">
        <v>937</v>
      </c>
      <c r="D100" s="11" t="s">
        <v>937</v>
      </c>
      <c r="E100" s="12">
        <v>39689</v>
      </c>
      <c r="F100" s="15">
        <v>39619</v>
      </c>
      <c r="G100" s="14"/>
      <c r="H100" s="12">
        <v>39802</v>
      </c>
      <c r="I100" s="12">
        <v>46741</v>
      </c>
      <c r="J100" s="13">
        <v>2.1000000000000001E-2</v>
      </c>
      <c r="K100" s="12">
        <v>46924</v>
      </c>
      <c r="L100" s="16" t="str" cm="1">
        <f t="array" ref="L100">_xll.aqBondObjectCreateFromGenerator($C100,$L$4,_xll.aqToolLVBFromKeysValues($C$7:$K$7,$C100:$K100))</f>
        <v>JP1201041884:3</v>
      </c>
      <c r="M100" s="78">
        <v>1.1400000000000082E-3</v>
      </c>
      <c r="N100" s="51">
        <v>118.99760000000001</v>
      </c>
      <c r="O100" s="51">
        <v>8.8482000000000003</v>
      </c>
      <c r="P100" s="95">
        <v>1070.6349</v>
      </c>
      <c r="Q100" s="39" cm="1">
        <f t="array" ref="Q100">_xll.aqBondObjectYield(L100,$C$4,R100)</f>
        <v>1.1400000000000104E-3</v>
      </c>
      <c r="R100" s="49" cm="1">
        <f t="array" ref="R100">_xll.aqBondObjectPrice($L100,$C$4,$M100)</f>
        <v>118.99761587451445</v>
      </c>
      <c r="S100" s="49" cm="1">
        <f t="array" ref="S100">_xll.aqBondObjectCleanPrice($L100,$C$4,$M100)</f>
        <v>118.99761587451445</v>
      </c>
      <c r="T100" s="49" cm="1">
        <f t="array" ref="T100">_xll.aqBondObjectDirtyPrice($L100,$C$4,$M100)</f>
        <v>121</v>
      </c>
      <c r="U100" s="49" cm="1">
        <f t="array" ref="U100">_xll.aqBondObjectModifiedDuration($L100,$C$4,$Q100)</f>
        <v>8.8482225744367717</v>
      </c>
      <c r="V100" s="93" cm="1">
        <f t="array" ref="V100">_xll.aqBondObjectDV01($L100,$C$4,$Q100)</f>
        <v>1070.6349315068494</v>
      </c>
    </row>
    <row r="101" spans="2:22">
      <c r="B101" s="11" t="s">
        <v>938</v>
      </c>
      <c r="C101" s="11" t="s">
        <v>939</v>
      </c>
      <c r="D101" s="11" t="s">
        <v>939</v>
      </c>
      <c r="E101" s="12">
        <v>39658</v>
      </c>
      <c r="F101" s="15">
        <v>39619</v>
      </c>
      <c r="G101" s="14"/>
      <c r="H101" s="12">
        <v>39802</v>
      </c>
      <c r="I101" s="12">
        <v>46741</v>
      </c>
      <c r="J101" s="13">
        <v>2.3E-2</v>
      </c>
      <c r="K101" s="12">
        <v>46924</v>
      </c>
      <c r="L101" s="16" t="str" cm="1">
        <f t="array" ref="L101">_xll.aqBondObjectCreateFromGenerator($C101,$L$4,_xll.aqToolLVBFromKeysValues($C$7:$K$7,$C101:$K101))</f>
        <v>JP1201031877:3</v>
      </c>
      <c r="M101" s="78">
        <v>1.1399999999999969E-3</v>
      </c>
      <c r="N101" s="51">
        <v>120.91079999999999</v>
      </c>
      <c r="O101" s="51">
        <v>8.7843999999999998</v>
      </c>
      <c r="P101" s="95">
        <v>1080.4801</v>
      </c>
      <c r="Q101" s="39" cm="1">
        <f t="array" ref="Q101">_xll.aqBondObjectYield(L101,$C$4,R101)</f>
        <v>1.1399999999999848E-3</v>
      </c>
      <c r="R101" s="49" cm="1">
        <f t="array" ref="R101">_xll.aqBondObjectPrice($L101,$C$4,$M101)</f>
        <v>120.91076953760758</v>
      </c>
      <c r="S101" s="49" cm="1">
        <f t="array" ref="S101">_xll.aqBondObjectCleanPrice($L101,$C$4,$M101)</f>
        <v>120.91076953760758</v>
      </c>
      <c r="T101" s="49" cm="1">
        <f t="array" ref="T101">_xll.aqBondObjectDirtyPrice($L101,$C$4,$M101)</f>
        <v>123</v>
      </c>
      <c r="U101" s="49" cm="1">
        <f t="array" ref="U101">_xll.aqBondObjectModifiedDuration($L101,$C$4,$Q101)</f>
        <v>8.7843913576122059</v>
      </c>
      <c r="V101" s="93" cm="1">
        <f t="array" ref="V101">_xll.aqBondObjectDV01($L101,$C$4,$Q101)</f>
        <v>1080.4801369863014</v>
      </c>
    </row>
    <row r="102" spans="2:22">
      <c r="B102" s="11" t="s">
        <v>940</v>
      </c>
      <c r="C102" s="11" t="s">
        <v>941</v>
      </c>
      <c r="D102" s="11" t="s">
        <v>941</v>
      </c>
      <c r="E102" s="12">
        <v>39715</v>
      </c>
      <c r="F102" s="15">
        <v>39711</v>
      </c>
      <c r="G102" s="14"/>
      <c r="H102" s="12">
        <v>39892</v>
      </c>
      <c r="I102" s="12">
        <v>46832</v>
      </c>
      <c r="J102" s="13">
        <v>2.1000000000000001E-2</v>
      </c>
      <c r="K102" s="12">
        <v>47016</v>
      </c>
      <c r="L102" s="16" t="str" cm="1">
        <f t="array" ref="L102">_xll.aqBondObjectCreateFromGenerator($C102,$L$4,_xll.aqToolLVBFromKeysValues($C$7:$K$7,$C102:$K102))</f>
        <v>JP1201051891:3</v>
      </c>
      <c r="M102" s="78">
        <v>1.2400000000000022E-3</v>
      </c>
      <c r="N102" s="51">
        <v>119.37009999999999</v>
      </c>
      <c r="O102" s="51">
        <v>9.0947999999999993</v>
      </c>
      <c r="P102" s="95">
        <v>1100.4704999999999</v>
      </c>
      <c r="Q102" s="39" cm="1">
        <f t="array" ref="Q102">_xll.aqBondObjectYield(L102,$C$4,R102)</f>
        <v>1.2400000000000119E-3</v>
      </c>
      <c r="R102" s="49" cm="1">
        <f t="array" ref="R102">_xll.aqBondObjectPrice($L102,$C$4,$M102)</f>
        <v>119.37007011369793</v>
      </c>
      <c r="S102" s="49" cm="1">
        <f t="array" ref="S102">_xll.aqBondObjectCleanPrice($L102,$C$4,$M102)</f>
        <v>119.37007011369793</v>
      </c>
      <c r="T102" s="49" cm="1">
        <f t="array" ref="T102">_xll.aqBondObjectDirtyPrice($L102,$C$4,$M102)</f>
        <v>121</v>
      </c>
      <c r="U102" s="49" cm="1">
        <f t="array" ref="U102">_xll.aqBondObjectModifiedDuration($L102,$C$4,$Q102)</f>
        <v>9.0947979169025253</v>
      </c>
      <c r="V102" s="93" cm="1">
        <f t="array" ref="V102">_xll.aqBondObjectDV01($L102,$C$4,$Q102)</f>
        <v>1100.4705479452055</v>
      </c>
    </row>
    <row r="103" spans="2:22">
      <c r="B103" s="11" t="s">
        <v>942</v>
      </c>
      <c r="C103" s="11" t="s">
        <v>943</v>
      </c>
      <c r="D103" s="11" t="s">
        <v>943</v>
      </c>
      <c r="E103" s="12">
        <v>39752</v>
      </c>
      <c r="F103" s="15">
        <v>39711</v>
      </c>
      <c r="G103" s="14"/>
      <c r="H103" s="12">
        <v>39892</v>
      </c>
      <c r="I103" s="12">
        <v>46832</v>
      </c>
      <c r="J103" s="13">
        <v>2.2000000000000002E-2</v>
      </c>
      <c r="K103" s="12">
        <v>47016</v>
      </c>
      <c r="L103" s="16" t="str" cm="1">
        <f t="array" ref="L103">_xll.aqBondObjectCreateFromGenerator($C103,$L$4,_xll.aqToolLVBFromKeysValues($C$7:$K$7,$C103:$K103))</f>
        <v>JP12010618A8:3</v>
      </c>
      <c r="M103" s="78">
        <v>1.2400000000000132E-3</v>
      </c>
      <c r="N103" s="51">
        <v>120.3503</v>
      </c>
      <c r="O103" s="51">
        <v>9.0625999999999998</v>
      </c>
      <c r="P103" s="95">
        <v>1105.6396999999999</v>
      </c>
      <c r="Q103" s="39" cm="1">
        <f t="array" ref="Q103">_xll.aqBondObjectYield(L103,$C$4,R103)</f>
        <v>1.2400000000000009E-3</v>
      </c>
      <c r="R103" s="49" cm="1">
        <f t="array" ref="R103">_xll.aqBondObjectPrice($L103,$C$4,$M103)</f>
        <v>120.35033681985675</v>
      </c>
      <c r="S103" s="49" cm="1">
        <f t="array" ref="S103">_xll.aqBondObjectCleanPrice($L103,$C$4,$M103)</f>
        <v>120.35033681985675</v>
      </c>
      <c r="T103" s="49" cm="1">
        <f t="array" ref="T103">_xll.aqBondObjectDirtyPrice($L103,$C$4,$M103)</f>
        <v>122</v>
      </c>
      <c r="U103" s="49" cm="1">
        <f t="array" ref="U103">_xll.aqBondObjectModifiedDuration($L103,$C$4,$Q103)</f>
        <v>9.0626207051426011</v>
      </c>
      <c r="V103" s="93" cm="1">
        <f t="array" ref="V103">_xll.aqBondObjectDV01($L103,$C$4,$Q103)</f>
        <v>1105.6397260273973</v>
      </c>
    </row>
    <row r="104" spans="2:22">
      <c r="B104" s="11" t="s">
        <v>944</v>
      </c>
      <c r="C104" s="11" t="s">
        <v>945</v>
      </c>
      <c r="D104" s="11" t="s">
        <v>945</v>
      </c>
      <c r="E104" s="12">
        <v>39843</v>
      </c>
      <c r="F104" s="15">
        <v>39802</v>
      </c>
      <c r="G104" s="14"/>
      <c r="H104" s="12">
        <v>39984</v>
      </c>
      <c r="I104" s="12">
        <v>46924</v>
      </c>
      <c r="J104" s="13">
        <v>1.9E-2</v>
      </c>
      <c r="K104" s="12">
        <v>47107</v>
      </c>
      <c r="L104" s="16" t="str" cm="1">
        <f t="array" ref="L104">_xll.aqBondObjectCreateFromGenerator($C104,$L$4,_xll.aqToolLVBFromKeysValues($C$7:$K$7,$C104:$K104))</f>
        <v>JP1201081914:3</v>
      </c>
      <c r="M104" s="78">
        <v>1.3900000000000151E-3</v>
      </c>
      <c r="N104" s="51">
        <v>117.66419999999999</v>
      </c>
      <c r="O104" s="51">
        <v>9.3409999999999993</v>
      </c>
      <c r="P104" s="95">
        <v>1120.4537</v>
      </c>
      <c r="Q104" s="39" cm="1">
        <f t="array" ref="Q104">_xll.aqBondObjectYield(L104,$C$4,R104)</f>
        <v>1.3900000000000188E-3</v>
      </c>
      <c r="R104" s="49" cm="1">
        <f t="array" ref="R104">_xll.aqBondObjectPrice($L104,$C$4,$M104)</f>
        <v>117.66418332430256</v>
      </c>
      <c r="S104" s="49" cm="1">
        <f t="array" ref="S104">_xll.aqBondObjectCleanPrice($L104,$C$4,$M104)</f>
        <v>117.66418332430256</v>
      </c>
      <c r="T104" s="49" cm="1">
        <f t="array" ref="T104">_xll.aqBondObjectDirtyPrice($L104,$C$4,$M104)</f>
        <v>119.95</v>
      </c>
      <c r="U104" s="49" cm="1">
        <f t="array" ref="U104">_xll.aqBondObjectModifiedDuration($L104,$C$4,$Q104)</f>
        <v>9.341006241184969</v>
      </c>
      <c r="V104" s="93" cm="1">
        <f t="array" ref="V104">_xll.aqBondObjectDV01($L104,$C$4,$Q104)</f>
        <v>1120.4536986301371</v>
      </c>
    </row>
    <row r="105" spans="2:22">
      <c r="B105" s="11" t="s">
        <v>946</v>
      </c>
      <c r="C105" s="11" t="s">
        <v>947</v>
      </c>
      <c r="D105" s="11" t="s">
        <v>947</v>
      </c>
      <c r="E105" s="12">
        <v>39804</v>
      </c>
      <c r="F105" s="15">
        <v>39802</v>
      </c>
      <c r="G105" s="14"/>
      <c r="H105" s="12">
        <v>39984</v>
      </c>
      <c r="I105" s="12">
        <v>46924</v>
      </c>
      <c r="J105" s="13">
        <v>2.1000000000000001E-2</v>
      </c>
      <c r="K105" s="12">
        <v>47107</v>
      </c>
      <c r="L105" s="16" t="str" cm="1">
        <f t="array" ref="L105">_xll.aqBondObjectCreateFromGenerator($C105,$L$4,_xll.aqToolLVBFromKeysValues($C$7:$K$7,$C105:$K105))</f>
        <v>JP12010718C2:3</v>
      </c>
      <c r="M105" s="78">
        <v>1.3799999999999863E-3</v>
      </c>
      <c r="N105" s="51">
        <v>119.6823</v>
      </c>
      <c r="O105" s="51">
        <v>9.2692999999999994</v>
      </c>
      <c r="P105" s="95">
        <v>1131.3162</v>
      </c>
      <c r="Q105" s="39" cm="1">
        <f t="array" ref="Q105">_xll.aqBondObjectYield(L105,$C$4,R105)</f>
        <v>1.3799999999999973E-3</v>
      </c>
      <c r="R105" s="49" cm="1">
        <f t="array" ref="R105">_xll.aqBondObjectPrice($L105,$C$4,$M105)</f>
        <v>119.6823420824927</v>
      </c>
      <c r="S105" s="49" cm="1">
        <f t="array" ref="S105">_xll.aqBondObjectCleanPrice($L105,$C$4,$M105)</f>
        <v>119.6823420824927</v>
      </c>
      <c r="T105" s="49" cm="1">
        <f t="array" ref="T105">_xll.aqBondObjectDirtyPrice($L105,$C$4,$M105)</f>
        <v>122.05</v>
      </c>
      <c r="U105" s="49" cm="1">
        <f t="array" ref="U105">_xll.aqBondObjectModifiedDuration($L105,$C$4,$Q105)</f>
        <v>9.2692844275588815</v>
      </c>
      <c r="V105" s="93" cm="1">
        <f t="array" ref="V105">_xll.aqBondObjectDV01($L105,$C$4,$Q105)</f>
        <v>1131.3161643835615</v>
      </c>
    </row>
    <row r="106" spans="2:22">
      <c r="B106" s="11" t="s">
        <v>948</v>
      </c>
      <c r="C106" s="11" t="s">
        <v>949</v>
      </c>
      <c r="D106" s="11" t="s">
        <v>949</v>
      </c>
      <c r="E106" s="12">
        <v>39927</v>
      </c>
      <c r="F106" s="15">
        <v>39892</v>
      </c>
      <c r="G106" s="14"/>
      <c r="H106" s="12">
        <v>40076</v>
      </c>
      <c r="I106" s="12">
        <v>47016</v>
      </c>
      <c r="J106" s="13">
        <v>2.1000000000000001E-2</v>
      </c>
      <c r="K106" s="12">
        <v>47197</v>
      </c>
      <c r="L106" s="16" t="str" cm="1">
        <f t="array" ref="L106">_xll.aqBondObjectCreateFromGenerator($C106,$L$4,_xll.aqToolLVBFromKeysValues($C$7:$K$7,$C106:$K106))</f>
        <v>JP1201101944:3</v>
      </c>
      <c r="M106" s="78">
        <v>1.4900000000000013E-3</v>
      </c>
      <c r="N106" s="51">
        <v>120.0171</v>
      </c>
      <c r="O106" s="51">
        <v>9.5159000000000002</v>
      </c>
      <c r="P106" s="95">
        <v>1161.4106999999999</v>
      </c>
      <c r="Q106" s="39" cm="1">
        <f t="array" ref="Q106">_xll.aqBondObjectYield(L106,$C$4,R106)</f>
        <v>1.4900000000000082E-3</v>
      </c>
      <c r="R106" s="49" cm="1">
        <f t="array" ref="R106">_xll.aqBondObjectPrice($L106,$C$4,$M106)</f>
        <v>120.0170600809941</v>
      </c>
      <c r="S106" s="49" cm="1">
        <f t="array" ref="S106">_xll.aqBondObjectCleanPrice($L106,$C$4,$M106)</f>
        <v>120.0170600809941</v>
      </c>
      <c r="T106" s="49" cm="1">
        <f t="array" ref="T106">_xll.aqBondObjectDirtyPrice($L106,$C$4,$M106)</f>
        <v>122.05</v>
      </c>
      <c r="U106" s="49" cm="1">
        <f t="array" ref="U106">_xll.aqBondObjectModifiedDuration($L106,$C$4,$Q106)</f>
        <v>9.5158597700246368</v>
      </c>
      <c r="V106" s="93" cm="1">
        <f t="array" ref="V106">_xll.aqBondObjectDV01($L106,$C$4,$Q106)</f>
        <v>1161.4106849315069</v>
      </c>
    </row>
    <row r="107" spans="2:22">
      <c r="B107" s="11" t="s">
        <v>950</v>
      </c>
      <c r="C107" s="11" t="s">
        <v>951</v>
      </c>
      <c r="D107" s="11" t="s">
        <v>951</v>
      </c>
      <c r="E107" s="12">
        <v>39895</v>
      </c>
      <c r="F107" s="15">
        <v>39892</v>
      </c>
      <c r="G107" s="14"/>
      <c r="H107" s="12">
        <v>40076</v>
      </c>
      <c r="I107" s="12">
        <v>47016</v>
      </c>
      <c r="J107" s="13">
        <v>1.9E-2</v>
      </c>
      <c r="K107" s="12">
        <v>47197</v>
      </c>
      <c r="L107" s="16" t="str" cm="1">
        <f t="array" ref="L107">_xll.aqBondObjectCreateFromGenerator($C107,$L$4,_xll.aqToolLVBFromKeysValues($C$7:$K$7,$C107:$K107))</f>
        <v>JP1201091939:3</v>
      </c>
      <c r="M107" s="78">
        <v>1.4900000000000108E-3</v>
      </c>
      <c r="N107" s="51">
        <v>117.96510000000001</v>
      </c>
      <c r="O107" s="51">
        <v>9.5876000000000001</v>
      </c>
      <c r="P107" s="95">
        <v>1150.0304000000001</v>
      </c>
      <c r="Q107" s="39" cm="1">
        <f t="array" ref="Q107">_xll.aqBondObjectYield(L107,$C$4,R107)</f>
        <v>1.490000000000002E-3</v>
      </c>
      <c r="R107" s="49" cm="1">
        <f t="array" ref="R107">_xll.aqBondObjectPrice($L107,$C$4,$M107)</f>
        <v>117.96508057499778</v>
      </c>
      <c r="S107" s="49" cm="1">
        <f t="array" ref="S107">_xll.aqBondObjectCleanPrice($L107,$C$4,$M107)</f>
        <v>117.96508057499778</v>
      </c>
      <c r="T107" s="49" cm="1">
        <f t="array" ref="T107">_xll.aqBondObjectDirtyPrice($L107,$C$4,$M107)</f>
        <v>119.95</v>
      </c>
      <c r="U107" s="49" cm="1">
        <f t="array" ref="U107">_xll.aqBondObjectModifiedDuration($L107,$C$4,$Q107)</f>
        <v>9.5875815836507208</v>
      </c>
      <c r="V107" s="93" cm="1">
        <f t="array" ref="V107">_xll.aqBondObjectDV01($L107,$C$4,$Q107)</f>
        <v>1150.030410958904</v>
      </c>
    </row>
    <row r="108" spans="2:22">
      <c r="B108" s="11" t="s">
        <v>952</v>
      </c>
      <c r="C108" s="11" t="s">
        <v>953</v>
      </c>
      <c r="D108" s="11" t="s">
        <v>953</v>
      </c>
      <c r="E108" s="12">
        <v>40021</v>
      </c>
      <c r="F108" s="15">
        <v>39984</v>
      </c>
      <c r="G108" s="14"/>
      <c r="H108" s="12">
        <v>40167</v>
      </c>
      <c r="I108" s="12">
        <v>47107</v>
      </c>
      <c r="J108" s="13">
        <v>2.1000000000000001E-2</v>
      </c>
      <c r="K108" s="12">
        <v>47289</v>
      </c>
      <c r="L108" s="16" t="str" cm="1">
        <f t="array" ref="L108">_xll.aqBondObjectCreateFromGenerator($C108,$L$4,_xll.aqToolLVBFromKeysValues($C$7:$K$7,$C108:$K108))</f>
        <v>JP1201121975:3</v>
      </c>
      <c r="M108" s="78">
        <v>1.5900000000000042E-3</v>
      </c>
      <c r="N108" s="51">
        <v>120.3673</v>
      </c>
      <c r="O108" s="51">
        <v>9.6874000000000002</v>
      </c>
      <c r="P108" s="95">
        <v>1192.5224000000001</v>
      </c>
      <c r="Q108" s="39" cm="1">
        <f t="array" ref="Q108">_xll.aqBondObjectYield(L108,$C$4,R108)</f>
        <v>1.5899999999999844E-3</v>
      </c>
      <c r="R108" s="49" cm="1">
        <f t="array" ref="R108">_xll.aqBondObjectPrice($L108,$C$4,$M108)</f>
        <v>120.36728597154502</v>
      </c>
      <c r="S108" s="49" cm="1">
        <f t="array" ref="S108">_xll.aqBondObjectCleanPrice($L108,$C$4,$M108)</f>
        <v>120.36728597154502</v>
      </c>
      <c r="T108" s="49" cm="1">
        <f t="array" ref="T108">_xll.aqBondObjectDirtyPrice($L108,$C$4,$M108)</f>
        <v>123.10000000000001</v>
      </c>
      <c r="U108" s="49" cm="1">
        <f t="array" ref="U108">_xll.aqBondObjectModifiedDuration($L108,$C$4,$Q108)</f>
        <v>9.6874280849737939</v>
      </c>
      <c r="V108" s="93" cm="1">
        <f t="array" ref="V108">_xll.aqBondObjectDV01($L108,$C$4,$Q108)</f>
        <v>1192.5223972602741</v>
      </c>
    </row>
    <row r="109" spans="2:22">
      <c r="B109" s="11" t="s">
        <v>954</v>
      </c>
      <c r="C109" s="11" t="s">
        <v>955</v>
      </c>
      <c r="D109" s="11" t="s">
        <v>955</v>
      </c>
      <c r="E109" s="12">
        <v>39986</v>
      </c>
      <c r="F109" s="15">
        <v>39984</v>
      </c>
      <c r="G109" s="14"/>
      <c r="H109" s="12">
        <v>40167</v>
      </c>
      <c r="I109" s="12">
        <v>47107</v>
      </c>
      <c r="J109" s="13">
        <v>2.2000000000000002E-2</v>
      </c>
      <c r="K109" s="12">
        <v>47289</v>
      </c>
      <c r="L109" s="16" t="str" cm="1">
        <f t="array" ref="L109">_xll.aqBondObjectCreateFromGenerator($C109,$L$4,_xll.aqToolLVBFromKeysValues($C$7:$K$7,$C109:$K109))</f>
        <v>JP1201111968:3</v>
      </c>
      <c r="M109" s="78">
        <v>1.5899999999999959E-3</v>
      </c>
      <c r="N109" s="51">
        <v>121.4166</v>
      </c>
      <c r="O109" s="51">
        <v>9.6496999999999993</v>
      </c>
      <c r="P109" s="95">
        <v>1198.4873</v>
      </c>
      <c r="Q109" s="39" cm="1">
        <f t="array" ref="Q109">_xll.aqBondObjectYield(L109,$C$4,R109)</f>
        <v>1.5899999999999977E-3</v>
      </c>
      <c r="R109" s="49" cm="1">
        <f t="array" ref="R109">_xll.aqBondObjectPrice($L109,$C$4,$M109)</f>
        <v>121.41660518697751</v>
      </c>
      <c r="S109" s="49" cm="1">
        <f t="array" ref="S109">_xll.aqBondObjectCleanPrice($L109,$C$4,$M109)</f>
        <v>121.41660518697751</v>
      </c>
      <c r="T109" s="49" cm="1">
        <f t="array" ref="T109">_xll.aqBondObjectDirtyPrice($L109,$C$4,$M109)</f>
        <v>124.2</v>
      </c>
      <c r="U109" s="49" cm="1">
        <f t="array" ref="U109">_xll.aqBondObjectModifiedDuration($L109,$C$4,$Q109)</f>
        <v>9.6496558798226477</v>
      </c>
      <c r="V109" s="93" cm="1">
        <f t="array" ref="V109">_xll.aqBondObjectDV01($L109,$C$4,$Q109)</f>
        <v>1198.4872602739729</v>
      </c>
    </row>
    <row r="110" spans="2:22">
      <c r="B110" s="11" t="s">
        <v>956</v>
      </c>
      <c r="C110" s="11" t="s">
        <v>957</v>
      </c>
      <c r="D110" s="11" t="s">
        <v>957</v>
      </c>
      <c r="E110" s="12">
        <v>40080</v>
      </c>
      <c r="F110" s="15">
        <v>40076</v>
      </c>
      <c r="G110" s="14"/>
      <c r="H110" s="12">
        <v>40257</v>
      </c>
      <c r="I110" s="12">
        <v>47197</v>
      </c>
      <c r="J110" s="13">
        <v>2.1000000000000001E-2</v>
      </c>
      <c r="K110" s="12">
        <v>47381</v>
      </c>
      <c r="L110" s="16" t="str" cm="1">
        <f t="array" ref="L110">_xll.aqBondObjectCreateFromGenerator($C110,$L$4,_xll.aqToolLVBFromKeysValues($C$7:$K$7,$C110:$K110))</f>
        <v>JP1201131990:3</v>
      </c>
      <c r="M110" s="78">
        <v>1.6999999999999971E-3</v>
      </c>
      <c r="N110" s="51">
        <v>120.69759999999999</v>
      </c>
      <c r="O110" s="51">
        <v>9.9339999999999993</v>
      </c>
      <c r="P110" s="95">
        <v>1222.8758</v>
      </c>
      <c r="Q110" s="39" cm="1">
        <f t="array" ref="Q110">_xll.aqBondObjectYield(L110,$C$4,R110)</f>
        <v>1.7000000000000058E-3</v>
      </c>
      <c r="R110" s="49" cm="1">
        <f t="array" ref="R110">_xll.aqBondObjectPrice($L110,$C$4,$M110)</f>
        <v>120.6975992924808</v>
      </c>
      <c r="S110" s="49" cm="1">
        <f t="array" ref="S110">_xll.aqBondObjectCleanPrice($L110,$C$4,$M110)</f>
        <v>120.6975992924808</v>
      </c>
      <c r="T110" s="49" cm="1">
        <f t="array" ref="T110">_xll.aqBondObjectDirtyPrice($L110,$C$4,$M110)</f>
        <v>123.10000000000001</v>
      </c>
      <c r="U110" s="49" cm="1">
        <f t="array" ref="U110">_xll.aqBondObjectModifiedDuration($L110,$C$4,$Q110)</f>
        <v>9.9340034274395457</v>
      </c>
      <c r="V110" s="93" cm="1">
        <f t="array" ref="V110">_xll.aqBondObjectDV01($L110,$C$4,$Q110)</f>
        <v>1222.8758219178083</v>
      </c>
    </row>
    <row r="111" spans="2:22">
      <c r="B111" s="11" t="s">
        <v>958</v>
      </c>
      <c r="C111" s="11" t="s">
        <v>959</v>
      </c>
      <c r="D111" s="11" t="s">
        <v>959</v>
      </c>
      <c r="E111" s="12">
        <v>36423</v>
      </c>
      <c r="F111" s="15">
        <v>36423</v>
      </c>
      <c r="G111" s="14"/>
      <c r="H111" s="12">
        <v>36605</v>
      </c>
      <c r="I111" s="12">
        <v>47197</v>
      </c>
      <c r="J111" s="13">
        <v>2.7999999999999997E-2</v>
      </c>
      <c r="K111" s="12">
        <v>47381</v>
      </c>
      <c r="L111" s="16" t="str" cm="1">
        <f t="array" ref="L111">_xll.aqBondObjectCreateFromGenerator($C111,$L$4,_xll.aqToolLVBFromKeysValues($C$7:$K$7,$C111:$K111))</f>
        <v>JP1300011W09:3</v>
      </c>
      <c r="M111" s="78">
        <v>1.7399999999999955E-3</v>
      </c>
      <c r="N111" s="51">
        <v>128.14949999999999</v>
      </c>
      <c r="O111" s="51">
        <v>9.6829000000000001</v>
      </c>
      <c r="P111" s="95">
        <v>1266.5284999999999</v>
      </c>
      <c r="Q111" s="39" cm="1">
        <f t="array" ref="Q111">_xll.aqBondObjectYield(L111,$C$4,R111)</f>
        <v>1.7399999999999714E-3</v>
      </c>
      <c r="R111" s="49" cm="1">
        <f t="array" ref="R111">_xll.aqBondObjectPrice($L111,$C$4,$M111)</f>
        <v>128.14952882659983</v>
      </c>
      <c r="S111" s="49" cm="1">
        <f t="array" ref="S111">_xll.aqBondObjectCleanPrice($L111,$C$4,$M111)</f>
        <v>128.14952882659983</v>
      </c>
      <c r="T111" s="49" cm="1">
        <f t="array" ref="T111">_xll.aqBondObjectDirtyPrice($L111,$C$4,$M111)</f>
        <v>130.80000000000001</v>
      </c>
      <c r="U111" s="49" cm="1">
        <f t="array" ref="U111">_xll.aqBondObjectModifiedDuration($L111,$C$4,$Q111)</f>
        <v>9.6829395500816897</v>
      </c>
      <c r="V111" s="93" cm="1">
        <f t="array" ref="V111">_xll.aqBondObjectDV01($L111,$C$4,$Q111)</f>
        <v>1266.5284931506851</v>
      </c>
    </row>
    <row r="112" spans="2:22">
      <c r="B112" s="11" t="s">
        <v>960</v>
      </c>
      <c r="C112" s="11" t="s">
        <v>961</v>
      </c>
      <c r="D112" s="11" t="s">
        <v>961</v>
      </c>
      <c r="E112" s="12">
        <v>40168</v>
      </c>
      <c r="F112" s="15">
        <v>40167</v>
      </c>
      <c r="G112" s="14"/>
      <c r="H112" s="12">
        <v>40349</v>
      </c>
      <c r="I112" s="12">
        <v>47289</v>
      </c>
      <c r="J112" s="13">
        <v>2.1000000000000001E-2</v>
      </c>
      <c r="K112" s="12">
        <v>47472</v>
      </c>
      <c r="L112" s="16" t="str" cm="1">
        <f t="array" ref="L112">_xll.aqBondObjectCreateFromGenerator($C112,$L$4,_xll.aqToolLVBFromKeysValues($C$7:$K$7,$C112:$K112))</f>
        <v>JP12011419C6:3</v>
      </c>
      <c r="M112" s="78">
        <v>1.8400000000000046E-3</v>
      </c>
      <c r="N112" s="51">
        <v>120.9755</v>
      </c>
      <c r="O112" s="51">
        <v>10.1027</v>
      </c>
      <c r="P112" s="95">
        <v>1254.2536</v>
      </c>
      <c r="Q112" s="39" cm="1">
        <f t="array" ref="Q112">_xll.aqBondObjectYield(L112,$C$4,R112)</f>
        <v>1.8399999999999966E-3</v>
      </c>
      <c r="R112" s="49" cm="1">
        <f t="array" ref="R112">_xll.aqBondObjectPrice($L112,$C$4,$M112)</f>
        <v>120.97550111741226</v>
      </c>
      <c r="S112" s="49" cm="1">
        <f t="array" ref="S112">_xll.aqBondObjectCleanPrice($L112,$C$4,$M112)</f>
        <v>120.97550111741226</v>
      </c>
      <c r="T112" s="49" cm="1">
        <f t="array" ref="T112">_xll.aqBondObjectDirtyPrice($L112,$C$4,$M112)</f>
        <v>124.15</v>
      </c>
      <c r="U112" s="49" cm="1">
        <f t="array" ref="U112">_xll.aqBondObjectModifiedDuration($L112,$C$4,$Q112)</f>
        <v>10.102727588699045</v>
      </c>
      <c r="V112" s="93" cm="1">
        <f t="array" ref="V112">_xll.aqBondObjectDV01($L112,$C$4,$Q112)</f>
        <v>1254.2536301369864</v>
      </c>
    </row>
    <row r="113" spans="2:22">
      <c r="B113" s="11" t="s">
        <v>962</v>
      </c>
      <c r="C113" s="11" t="s">
        <v>963</v>
      </c>
      <c r="D113" s="11" t="s">
        <v>963</v>
      </c>
      <c r="E113" s="12">
        <v>40235</v>
      </c>
      <c r="F113" s="15">
        <v>40167</v>
      </c>
      <c r="G113" s="14"/>
      <c r="H113" s="12">
        <v>40349</v>
      </c>
      <c r="I113" s="12">
        <v>47289</v>
      </c>
      <c r="J113" s="13">
        <v>2.2000000000000002E-2</v>
      </c>
      <c r="K113" s="12">
        <v>47472</v>
      </c>
      <c r="L113" s="16" t="str" cm="1">
        <f t="array" ref="L113">_xll.aqBondObjectCreateFromGenerator($C113,$L$4,_xll.aqToolLVBFromKeysValues($C$7:$K$7,$C113:$K113))</f>
        <v>JP1201151A21:3</v>
      </c>
      <c r="M113" s="78">
        <v>1.8399999999999964E-3</v>
      </c>
      <c r="N113" s="51">
        <v>122.0703</v>
      </c>
      <c r="O113" s="51">
        <v>10.062099999999999</v>
      </c>
      <c r="P113" s="95">
        <v>1260.7771</v>
      </c>
      <c r="Q113" s="39" cm="1">
        <f t="array" ref="Q113">_xll.aqBondObjectYield(L113,$C$4,R113)</f>
        <v>1.8399999999999992E-3</v>
      </c>
      <c r="R113" s="49" cm="1">
        <f t="array" ref="R113">_xll.aqBondObjectPrice($L113,$C$4,$M113)</f>
        <v>122.07025587301833</v>
      </c>
      <c r="S113" s="49" cm="1">
        <f t="array" ref="S113">_xll.aqBondObjectCleanPrice($L113,$C$4,$M113)</f>
        <v>122.07025587301833</v>
      </c>
      <c r="T113" s="49" cm="1">
        <f t="array" ref="T113">_xll.aqBondObjectDirtyPrice($L113,$C$4,$M113)</f>
        <v>125.29999999999998</v>
      </c>
      <c r="U113" s="49" cm="1">
        <f t="array" ref="U113">_xll.aqBondObjectModifiedDuration($L113,$C$4,$Q113)</f>
        <v>10.062068023046061</v>
      </c>
      <c r="V113" s="93" cm="1">
        <f t="array" ref="V113">_xll.aqBondObjectDV01($L113,$C$4,$Q113)</f>
        <v>1260.7771232876712</v>
      </c>
    </row>
    <row r="114" spans="2:22">
      <c r="B114" s="11" t="s">
        <v>964</v>
      </c>
      <c r="C114" s="11" t="s">
        <v>965</v>
      </c>
      <c r="D114" s="11" t="s">
        <v>965</v>
      </c>
      <c r="E114" s="12">
        <v>36577</v>
      </c>
      <c r="F114" s="15">
        <v>36577</v>
      </c>
      <c r="G114" s="14"/>
      <c r="H114" s="12">
        <v>36758</v>
      </c>
      <c r="I114" s="12">
        <v>47350</v>
      </c>
      <c r="J114" s="13">
        <v>2.4E-2</v>
      </c>
      <c r="K114" s="12">
        <v>47534</v>
      </c>
      <c r="L114" s="16" t="str" cm="1">
        <f t="array" ref="L114">_xll.aqBondObjectCreateFromGenerator($C114,$L$4,_xll.aqToolLVBFromKeysValues($C$7:$K$7,$C114:$K114))</f>
        <v>JP1300021001:3</v>
      </c>
      <c r="M114" s="78">
        <v>1.8800000000000108E-3</v>
      </c>
      <c r="N114" s="51">
        <v>124.56570000000001</v>
      </c>
      <c r="O114" s="51">
        <v>10.152799999999999</v>
      </c>
      <c r="P114" s="95">
        <v>1295.4985999999999</v>
      </c>
      <c r="Q114" s="39" cm="1">
        <f t="array" ref="Q114">_xll.aqBondObjectYield(L114,$C$4,R114)</f>
        <v>1.8800000000000138E-3</v>
      </c>
      <c r="R114" s="49" cm="1">
        <f t="array" ref="R114">_xll.aqBondObjectPrice($L114,$C$4,$M114)</f>
        <v>124.56569931262995</v>
      </c>
      <c r="S114" s="49" cm="1">
        <f t="array" ref="S114">_xll.aqBondObjectCleanPrice($L114,$C$4,$M114)</f>
        <v>124.56569931262995</v>
      </c>
      <c r="T114" s="49" cm="1">
        <f t="array" ref="T114">_xll.aqBondObjectDirtyPrice($L114,$C$4,$M114)</f>
        <v>127.60000000000001</v>
      </c>
      <c r="U114" s="49" cm="1">
        <f t="array" ref="U114">_xll.aqBondObjectModifiedDuration($L114,$C$4,$Q114)</f>
        <v>10.152810581010863</v>
      </c>
      <c r="V114" s="93" cm="1">
        <f t="array" ref="V114">_xll.aqBondObjectDV01($L114,$C$4,$Q114)</f>
        <v>1295.4986301369863</v>
      </c>
    </row>
    <row r="115" spans="2:22">
      <c r="B115" s="11" t="s">
        <v>966</v>
      </c>
      <c r="C115" s="11" t="s">
        <v>967</v>
      </c>
      <c r="D115" s="11" t="s">
        <v>967</v>
      </c>
      <c r="E115" s="12">
        <v>40295</v>
      </c>
      <c r="F115" s="15">
        <v>40257</v>
      </c>
      <c r="G115" s="14"/>
      <c r="H115" s="12">
        <v>40441</v>
      </c>
      <c r="I115" s="12">
        <v>47381</v>
      </c>
      <c r="J115" s="13">
        <v>2.1000000000000001E-2</v>
      </c>
      <c r="K115" s="12">
        <v>47562</v>
      </c>
      <c r="L115" s="16" t="str" cm="1">
        <f t="array" ref="L115">_xll.aqBondObjectCreateFromGenerator($C115,$L$4,_xll.aqToolLVBFromKeysValues($C$7:$K$7,$C115:$K115))</f>
        <v>JP1201171A43:3</v>
      </c>
      <c r="M115" s="78">
        <v>1.940000000000009E-3</v>
      </c>
      <c r="N115" s="51">
        <v>121.2932</v>
      </c>
      <c r="O115" s="51">
        <v>10.349299999999999</v>
      </c>
      <c r="P115" s="95">
        <v>1284.866</v>
      </c>
      <c r="Q115" s="39" cm="1">
        <f t="array" ref="Q115">_xll.aqBondObjectYield(L115,$C$4,R115)</f>
        <v>1.9400000000000161E-3</v>
      </c>
      <c r="R115" s="49" cm="1">
        <f t="array" ref="R115">_xll.aqBondObjectPrice($L115,$C$4,$M115)</f>
        <v>121.2932399057032</v>
      </c>
      <c r="S115" s="49" cm="1">
        <f t="array" ref="S115">_xll.aqBondObjectCleanPrice($L115,$C$4,$M115)</f>
        <v>121.2932399057032</v>
      </c>
      <c r="T115" s="49" cm="1">
        <f t="array" ref="T115">_xll.aqBondObjectDirtyPrice($L115,$C$4,$M115)</f>
        <v>124.15</v>
      </c>
      <c r="U115" s="49" cm="1">
        <f t="array" ref="U115">_xll.aqBondObjectModifiedDuration($L115,$C$4,$Q115)</f>
        <v>10.349302931164798</v>
      </c>
      <c r="V115" s="93" cm="1">
        <f t="array" ref="V115">_xll.aqBondObjectDV01($L115,$C$4,$Q115)</f>
        <v>1284.8659589041097</v>
      </c>
    </row>
    <row r="116" spans="2:22">
      <c r="B116" s="11" t="s">
        <v>968</v>
      </c>
      <c r="C116" s="11" t="s">
        <v>969</v>
      </c>
      <c r="D116" s="11" t="s">
        <v>969</v>
      </c>
      <c r="E116" s="12">
        <v>40260</v>
      </c>
      <c r="F116" s="15">
        <v>40257</v>
      </c>
      <c r="G116" s="14"/>
      <c r="H116" s="12">
        <v>40441</v>
      </c>
      <c r="I116" s="12">
        <v>47381</v>
      </c>
      <c r="J116" s="13">
        <v>2.2000000000000002E-2</v>
      </c>
      <c r="K116" s="12">
        <v>47562</v>
      </c>
      <c r="L116" s="16" t="str" cm="1">
        <f t="array" ref="L116">_xll.aqBondObjectCreateFromGenerator($C116,$L$4,_xll.aqToolLVBFromKeysValues($C$7:$K$7,$C116:$K116))</f>
        <v>JP1201161A37:3</v>
      </c>
      <c r="M116" s="78">
        <v>1.9400000000000133E-3</v>
      </c>
      <c r="N116" s="51">
        <v>122.4104</v>
      </c>
      <c r="O116" s="51">
        <v>10.3086</v>
      </c>
      <c r="P116" s="95">
        <v>1291.673</v>
      </c>
      <c r="Q116" s="39" cm="1">
        <f t="array" ref="Q116">_xll.aqBondObjectYield(L116,$C$4,R116)</f>
        <v>1.9400000000000157E-3</v>
      </c>
      <c r="R116" s="49" cm="1">
        <f t="array" ref="R116">_xll.aqBondObjectPrice($L116,$C$4,$M116)</f>
        <v>122.41040884094471</v>
      </c>
      <c r="S116" s="49" cm="1">
        <f t="array" ref="S116">_xll.aqBondObjectCleanPrice($L116,$C$4,$M116)</f>
        <v>122.41040884094471</v>
      </c>
      <c r="T116" s="49" cm="1">
        <f t="array" ref="T116">_xll.aqBondObjectDirtyPrice($L116,$C$4,$M116)</f>
        <v>125.29999999999998</v>
      </c>
      <c r="U116" s="49" cm="1">
        <f t="array" ref="U116">_xll.aqBondObjectModifiedDuration($L116,$C$4,$Q116)</f>
        <v>10.308643365511813</v>
      </c>
      <c r="V116" s="93" cm="1">
        <f t="array" ref="V116">_xll.aqBondObjectDV01($L116,$C$4,$Q116)</f>
        <v>1291.67301369863</v>
      </c>
    </row>
    <row r="117" spans="2:22">
      <c r="B117" s="11" t="s">
        <v>970</v>
      </c>
      <c r="C117" s="11" t="s">
        <v>971</v>
      </c>
      <c r="D117" s="11" t="s">
        <v>971</v>
      </c>
      <c r="E117" s="12">
        <v>36671</v>
      </c>
      <c r="F117" s="15">
        <v>36671</v>
      </c>
      <c r="G117" s="14"/>
      <c r="H117" s="12">
        <v>36850</v>
      </c>
      <c r="I117" s="12">
        <v>47442</v>
      </c>
      <c r="J117" s="13">
        <v>2.3E-2</v>
      </c>
      <c r="K117" s="12">
        <v>47623</v>
      </c>
      <c r="L117" s="16" t="str" cm="1">
        <f t="array" ref="L117">_xll.aqBondObjectCreateFromGenerator($C117,$L$4,_xll.aqToolLVBFromKeysValues($C$7:$K$7,$C117:$K117))</f>
        <v>JP1300031000:3</v>
      </c>
      <c r="M117" s="78">
        <v>1.9899999999999922E-3</v>
      </c>
      <c r="N117" s="51">
        <v>123.7942</v>
      </c>
      <c r="O117" s="51">
        <v>10.3467</v>
      </c>
      <c r="P117" s="95">
        <v>1320.2364</v>
      </c>
      <c r="Q117" s="39" cm="1">
        <f t="array" ref="Q117">_xll.aqBondObjectYield(L117,$C$4,R117)</f>
        <v>1.9899999999999883E-3</v>
      </c>
      <c r="R117" s="49" cm="1">
        <f t="array" ref="R117">_xll.aqBondObjectPrice($L117,$C$4,$M117)</f>
        <v>123.79420244531224</v>
      </c>
      <c r="S117" s="49" cm="1">
        <f t="array" ref="S117">_xll.aqBondObjectCleanPrice($L117,$C$4,$M117)</f>
        <v>123.79420244531224</v>
      </c>
      <c r="T117" s="49" cm="1">
        <f t="array" ref="T117">_xll.aqBondObjectDirtyPrice($L117,$C$4,$M117)</f>
        <v>127.60000000000001</v>
      </c>
      <c r="U117" s="49" cm="1">
        <f t="array" ref="U117">_xll.aqBondObjectModifiedDuration($L117,$C$4,$Q117)</f>
        <v>10.346680551380599</v>
      </c>
      <c r="V117" s="93" cm="1">
        <f t="array" ref="V117">_xll.aqBondObjectDV01($L117,$C$4,$Q117)</f>
        <v>1320.2364383561646</v>
      </c>
    </row>
    <row r="118" spans="2:22">
      <c r="B118" s="11" t="s">
        <v>972</v>
      </c>
      <c r="C118" s="11" t="s">
        <v>973</v>
      </c>
      <c r="D118" s="11" t="s">
        <v>973</v>
      </c>
      <c r="E118" s="12">
        <v>40417</v>
      </c>
      <c r="F118" s="15">
        <v>40349</v>
      </c>
      <c r="G118" s="14"/>
      <c r="H118" s="12">
        <v>40532</v>
      </c>
      <c r="I118" s="12">
        <v>47472</v>
      </c>
      <c r="J118" s="13">
        <v>1.6E-2</v>
      </c>
      <c r="K118" s="12">
        <v>47654</v>
      </c>
      <c r="L118" s="16" t="str" cm="1">
        <f t="array" ref="L118">_xll.aqBondObjectCreateFromGenerator($C118,$L$4,_xll.aqToolLVBFromKeysValues($C$7:$K$7,$C118:$K118))</f>
        <v>JP1201201A88:3</v>
      </c>
      <c r="M118" s="78">
        <v>2.1399999999999978E-3</v>
      </c>
      <c r="N118" s="51">
        <v>115.7821</v>
      </c>
      <c r="O118" s="51">
        <v>10.7464</v>
      </c>
      <c r="P118" s="95">
        <v>1280.9742000000001</v>
      </c>
      <c r="Q118" s="39" cm="1">
        <f t="array" ref="Q118">_xll.aqBondObjectYield(L118,$C$4,R118)</f>
        <v>2.1399999999999982E-3</v>
      </c>
      <c r="R118" s="49" cm="1">
        <f t="array" ref="R118">_xll.aqBondObjectPrice($L118,$C$4,$M118)</f>
        <v>115.78214694677914</v>
      </c>
      <c r="S118" s="49" cm="1">
        <f t="array" ref="S118">_xll.aqBondObjectCleanPrice($L118,$C$4,$M118)</f>
        <v>115.78214694677914</v>
      </c>
      <c r="T118" s="49" cm="1">
        <f t="array" ref="T118">_xll.aqBondObjectDirtyPrice($L118,$C$4,$M118)</f>
        <v>119.19999999999999</v>
      </c>
      <c r="U118" s="49" cm="1">
        <f t="array" ref="U118">_xll.aqBondObjectModifiedDuration($L118,$C$4,$Q118)</f>
        <v>10.746428243081732</v>
      </c>
      <c r="V118" s="93" cm="1">
        <f t="array" ref="V118">_xll.aqBondObjectDV01($L118,$C$4,$Q118)</f>
        <v>1280.9742465753425</v>
      </c>
    </row>
    <row r="119" spans="2:22">
      <c r="B119" s="11" t="s">
        <v>974</v>
      </c>
      <c r="C119" s="11" t="s">
        <v>975</v>
      </c>
      <c r="D119" s="11" t="s">
        <v>975</v>
      </c>
      <c r="E119" s="12">
        <v>40350</v>
      </c>
      <c r="F119" s="15">
        <v>40349</v>
      </c>
      <c r="G119" s="14"/>
      <c r="H119" s="12">
        <v>40532</v>
      </c>
      <c r="I119" s="12">
        <v>47472</v>
      </c>
      <c r="J119" s="13">
        <v>0.02</v>
      </c>
      <c r="K119" s="12">
        <v>47654</v>
      </c>
      <c r="L119" s="16" t="str" cm="1">
        <f t="array" ref="L119">_xll.aqBondObjectCreateFromGenerator($C119,$L$4,_xll.aqToolLVBFromKeysValues($C$7:$K$7,$C119:$K119))</f>
        <v>JP1201181A66:3</v>
      </c>
      <c r="M119" s="78">
        <v>2.0900000000000011E-3</v>
      </c>
      <c r="N119" s="51">
        <v>120.4054</v>
      </c>
      <c r="O119" s="51">
        <v>10.559699999999999</v>
      </c>
      <c r="P119" s="95">
        <v>1309.4027000000001</v>
      </c>
      <c r="Q119" s="39" cm="1">
        <f t="array" ref="Q119">_xll.aqBondObjectYield(L119,$C$4,R119)</f>
        <v>2.0899999999999955E-3</v>
      </c>
      <c r="R119" s="49" cm="1">
        <f t="array" ref="R119">_xll.aqBondObjectPrice($L119,$C$4,$M119)</f>
        <v>120.40543092146261</v>
      </c>
      <c r="S119" s="49" cm="1">
        <f t="array" ref="S119">_xll.aqBondObjectCleanPrice($L119,$C$4,$M119)</f>
        <v>120.40543092146261</v>
      </c>
      <c r="T119" s="49" cm="1">
        <f t="array" ref="T119">_xll.aqBondObjectDirtyPrice($L119,$C$4,$M119)</f>
        <v>124</v>
      </c>
      <c r="U119" s="49" cm="1">
        <f t="array" ref="U119">_xll.aqBondObjectModifiedDuration($L119,$C$4,$Q119)</f>
        <v>10.559699513919576</v>
      </c>
      <c r="V119" s="93" cm="1">
        <f t="array" ref="V119">_xll.aqBondObjectDV01($L119,$C$4,$Q119)</f>
        <v>1309.4027397260274</v>
      </c>
    </row>
    <row r="120" spans="2:22">
      <c r="B120" s="11" t="s">
        <v>976</v>
      </c>
      <c r="C120" s="11" t="s">
        <v>977</v>
      </c>
      <c r="D120" s="11" t="s">
        <v>977</v>
      </c>
      <c r="E120" s="12">
        <v>40386</v>
      </c>
      <c r="F120" s="15">
        <v>40349</v>
      </c>
      <c r="G120" s="14"/>
      <c r="H120" s="12">
        <v>40532</v>
      </c>
      <c r="I120" s="12">
        <v>47472</v>
      </c>
      <c r="J120" s="13">
        <v>1.8000000000000002E-2</v>
      </c>
      <c r="K120" s="12">
        <v>47654</v>
      </c>
      <c r="L120" s="16" t="str" cm="1">
        <f t="array" ref="L120">_xll.aqBondObjectCreateFromGenerator($C120,$L$4,_xll.aqToolLVBFromKeysValues($C$7:$K$7,$C120:$K120))</f>
        <v>JP1201191A72:3</v>
      </c>
      <c r="M120" s="78">
        <v>2.0900000000000068E-3</v>
      </c>
      <c r="N120" s="51">
        <v>118.1268</v>
      </c>
      <c r="O120" s="51">
        <v>10.651199999999999</v>
      </c>
      <c r="P120" s="95">
        <v>1295.1885</v>
      </c>
      <c r="Q120" s="39" cm="1">
        <f t="array" ref="Q120">_xll.aqBondObjectYield(L120,$C$4,R120)</f>
        <v>2.0900000000000137E-3</v>
      </c>
      <c r="R120" s="49" cm="1">
        <f t="array" ref="R120">_xll.aqBondObjectPrice($L120,$C$4,$M120)</f>
        <v>118.12676750198044</v>
      </c>
      <c r="S120" s="49" cm="1">
        <f t="array" ref="S120">_xll.aqBondObjectCleanPrice($L120,$C$4,$M120)</f>
        <v>118.12676750198044</v>
      </c>
      <c r="T120" s="49" cm="1">
        <f t="array" ref="T120">_xll.aqBondObjectDirtyPrice($L120,$C$4,$M120)</f>
        <v>121.6</v>
      </c>
      <c r="U120" s="49" cm="1">
        <f t="array" ref="U120">_xll.aqBondObjectModifiedDuration($L120,$C$4,$Q120)</f>
        <v>10.651221160778659</v>
      </c>
      <c r="V120" s="93" cm="1">
        <f t="array" ref="V120">_xll.aqBondObjectDV01($L120,$C$4,$Q120)</f>
        <v>1295.188493150685</v>
      </c>
    </row>
    <row r="121" spans="2:22">
      <c r="B121" s="11" t="s">
        <v>978</v>
      </c>
      <c r="C121" s="11" t="s">
        <v>979</v>
      </c>
      <c r="D121" s="11" t="s">
        <v>979</v>
      </c>
      <c r="E121" s="12">
        <v>40442</v>
      </c>
      <c r="F121" s="15">
        <v>40441</v>
      </c>
      <c r="G121" s="14"/>
      <c r="H121" s="12">
        <v>40622</v>
      </c>
      <c r="I121" s="12">
        <v>47562</v>
      </c>
      <c r="J121" s="13">
        <v>1.9E-2</v>
      </c>
      <c r="K121" s="12">
        <v>47746</v>
      </c>
      <c r="L121" s="16" t="str" cm="1">
        <f t="array" ref="L121">_xll.aqBondObjectCreateFromGenerator($C121,$L$4,_xll.aqToolLVBFromKeysValues($C$7:$K$7,$C121:$K121))</f>
        <v>JP1201211A94:3</v>
      </c>
      <c r="M121" s="78">
        <v>2.2400000000000002E-3</v>
      </c>
      <c r="N121" s="51">
        <v>119.4636</v>
      </c>
      <c r="O121" s="51">
        <v>10.851599999999999</v>
      </c>
      <c r="P121" s="95">
        <v>1332.5751</v>
      </c>
      <c r="Q121" s="39" cm="1">
        <f t="array" ref="Q121">_xll.aqBondObjectYield(L121,$C$4,R121)</f>
        <v>2.2399999999999981E-3</v>
      </c>
      <c r="R121" s="49" cm="1">
        <f t="array" ref="R121">_xll.aqBondObjectPrice($L121,$C$4,$M121)</f>
        <v>119.46359328795677</v>
      </c>
      <c r="S121" s="49" cm="1">
        <f t="array" ref="S121">_xll.aqBondObjectCleanPrice($L121,$C$4,$M121)</f>
        <v>119.46359328795677</v>
      </c>
      <c r="T121" s="49" cm="1">
        <f t="array" ref="T121">_xll.aqBondObjectDirtyPrice($L121,$C$4,$M121)</f>
        <v>122.8</v>
      </c>
      <c r="U121" s="49" cm="1">
        <f t="array" ref="U121">_xll.aqBondObjectModifiedDuration($L121,$C$4,$Q121)</f>
        <v>10.85158850564455</v>
      </c>
      <c r="V121" s="93" cm="1">
        <f t="array" ref="V121">_xll.aqBondObjectDV01($L121,$C$4,$Q121)</f>
        <v>1332.5750684931506</v>
      </c>
    </row>
    <row r="122" spans="2:22">
      <c r="B122" s="11" t="s">
        <v>980</v>
      </c>
      <c r="C122" s="11" t="s">
        <v>981</v>
      </c>
      <c r="D122" s="11" t="s">
        <v>981</v>
      </c>
      <c r="E122" s="12">
        <v>40477</v>
      </c>
      <c r="F122" s="15">
        <v>40441</v>
      </c>
      <c r="G122" s="14"/>
      <c r="H122" s="12">
        <v>40622</v>
      </c>
      <c r="I122" s="12">
        <v>47562</v>
      </c>
      <c r="J122" s="13">
        <v>1.8000000000000002E-2</v>
      </c>
      <c r="K122" s="12">
        <v>47746</v>
      </c>
      <c r="L122" s="16" t="str" cm="1">
        <f t="array" ref="L122">_xll.aqBondObjectCreateFromGenerator($C122,$L$4,_xll.aqToolLVBFromKeysValues($C$7:$K$7,$C122:$K122))</f>
        <v>JP1201221AA5:3</v>
      </c>
      <c r="M122" s="78">
        <v>2.2399999999999985E-3</v>
      </c>
      <c r="N122" s="51">
        <v>118.3023</v>
      </c>
      <c r="O122" s="51">
        <v>10.8978</v>
      </c>
      <c r="P122" s="95">
        <v>1325.1721</v>
      </c>
      <c r="Q122" s="39" cm="1">
        <f t="array" ref="Q122">_xll.aqBondObjectYield(L122,$C$4,R122)</f>
        <v>2.240000000000002E-3</v>
      </c>
      <c r="R122" s="49" cm="1">
        <f t="array" ref="R122">_xll.aqBondObjectPrice($L122,$C$4,$M122)</f>
        <v>118.30228103927199</v>
      </c>
      <c r="S122" s="49" cm="1">
        <f t="array" ref="S122">_xll.aqBondObjectCleanPrice($L122,$C$4,$M122)</f>
        <v>118.30228103927199</v>
      </c>
      <c r="T122" s="49" cm="1">
        <f t="array" ref="T122">_xll.aqBondObjectDirtyPrice($L122,$C$4,$M122)</f>
        <v>121.6</v>
      </c>
      <c r="U122" s="49" cm="1">
        <f t="array" ref="U122">_xll.aqBondObjectModifiedDuration($L122,$C$4,$Q122)</f>
        <v>10.897796503244415</v>
      </c>
      <c r="V122" s="93" cm="1">
        <f t="array" ref="V122">_xll.aqBondObjectDV01($L122,$C$4,$Q122)</f>
        <v>1325.1720547945208</v>
      </c>
    </row>
    <row r="123" spans="2:22">
      <c r="B123" s="11" t="s">
        <v>982</v>
      </c>
      <c r="C123" s="11" t="s">
        <v>983</v>
      </c>
      <c r="D123" s="11" t="s">
        <v>983</v>
      </c>
      <c r="E123" s="12">
        <v>36850</v>
      </c>
      <c r="F123" s="15">
        <v>36850</v>
      </c>
      <c r="G123" s="14"/>
      <c r="H123" s="12">
        <v>37031</v>
      </c>
      <c r="I123" s="12">
        <v>47623</v>
      </c>
      <c r="J123" s="13">
        <v>2.8999999999999998E-2</v>
      </c>
      <c r="K123" s="12">
        <v>47807</v>
      </c>
      <c r="L123" s="16" t="str" cm="1">
        <f t="array" ref="L123">_xll.aqBondObjectCreateFromGenerator($C123,$L$4,_xll.aqToolLVBFromKeysValues($C$7:$K$7,$C123:$K123))</f>
        <v>JP1300041009:3</v>
      </c>
      <c r="M123" s="78">
        <v>2.1899999999999845E-3</v>
      </c>
      <c r="N123" s="51">
        <v>131.57830000000001</v>
      </c>
      <c r="O123" s="51">
        <v>10.4941</v>
      </c>
      <c r="P123" s="95">
        <v>1429.8185000000001</v>
      </c>
      <c r="Q123" s="39" cm="1">
        <f t="array" ref="Q123">_xll.aqBondObjectYield(L123,$C$4,R123)</f>
        <v>2.1899999999999819E-3</v>
      </c>
      <c r="R123" s="49" cm="1">
        <f t="array" ref="R123">_xll.aqBondObjectPrice($L123,$C$4,$M123)</f>
        <v>131.57826254515143</v>
      </c>
      <c r="S123" s="49" cm="1">
        <f t="array" ref="S123">_xll.aqBondObjectCleanPrice($L123,$C$4,$M123)</f>
        <v>131.57826254515143</v>
      </c>
      <c r="T123" s="49" cm="1">
        <f t="array" ref="T123">_xll.aqBondObjectDirtyPrice($L123,$C$4,$M123)</f>
        <v>136.25</v>
      </c>
      <c r="U123" s="49" cm="1">
        <f t="array" ref="U123">_xll.aqBondObjectModifiedDuration($L123,$C$4,$Q123)</f>
        <v>10.494080683674753</v>
      </c>
      <c r="V123" s="93" cm="1">
        <f t="array" ref="V123">_xll.aqBondObjectDV01($L123,$C$4,$Q123)</f>
        <v>1429.8184931506851</v>
      </c>
    </row>
    <row r="124" spans="2:22">
      <c r="B124" s="11" t="s">
        <v>984</v>
      </c>
      <c r="C124" s="11" t="s">
        <v>985</v>
      </c>
      <c r="D124" s="11" t="s">
        <v>985</v>
      </c>
      <c r="E124" s="12">
        <v>40532</v>
      </c>
      <c r="F124" s="15">
        <v>40532</v>
      </c>
      <c r="G124" s="14"/>
      <c r="H124" s="12">
        <v>40714</v>
      </c>
      <c r="I124" s="12">
        <v>47654</v>
      </c>
      <c r="J124" s="13">
        <v>2.1000000000000001E-2</v>
      </c>
      <c r="K124" s="12">
        <v>47837</v>
      </c>
      <c r="L124" s="16" t="str" cm="1">
        <f t="array" ref="L124">_xll.aqBondObjectCreateFromGenerator($C124,$L$4,_xll.aqToolLVBFromKeysValues($C$7:$K$7,$C124:$K124))</f>
        <v>JP1201231AC0:3</v>
      </c>
      <c r="M124" s="78">
        <v>2.3399999999999953E-3</v>
      </c>
      <c r="N124" s="51">
        <v>122.08499999999999</v>
      </c>
      <c r="O124" s="51">
        <v>10.9251</v>
      </c>
      <c r="P124" s="95">
        <v>1379.2910999999999</v>
      </c>
      <c r="Q124" s="39" cm="1">
        <f t="array" ref="Q124">_xll.aqBondObjectYield(L124,$C$4,R124)</f>
        <v>2.339999999999991E-3</v>
      </c>
      <c r="R124" s="49" cm="1">
        <f t="array" ref="R124">_xll.aqBondObjectPrice($L124,$C$4,$M124)</f>
        <v>122.08500971585734</v>
      </c>
      <c r="S124" s="49" cm="1">
        <f t="array" ref="S124">_xll.aqBondObjectCleanPrice($L124,$C$4,$M124)</f>
        <v>122.08500971585734</v>
      </c>
      <c r="T124" s="49" cm="1">
        <f t="array" ref="T124">_xll.aqBondObjectDirtyPrice($L124,$C$4,$M124)</f>
        <v>126.25</v>
      </c>
      <c r="U124" s="49" cm="1">
        <f t="array" ref="U124">_xll.aqBondObjectModifiedDuration($L124,$C$4,$Q124)</f>
        <v>10.925077987250781</v>
      </c>
      <c r="V124" s="93" cm="1">
        <f t="array" ref="V124">_xll.aqBondObjectDV01($L124,$C$4,$Q124)</f>
        <v>1379.291095890411</v>
      </c>
    </row>
    <row r="125" spans="2:22">
      <c r="B125" s="11" t="s">
        <v>986</v>
      </c>
      <c r="C125" s="11" t="s">
        <v>987</v>
      </c>
      <c r="D125" s="11" t="s">
        <v>987</v>
      </c>
      <c r="E125" s="12">
        <v>40599</v>
      </c>
      <c r="F125" s="15">
        <v>40532</v>
      </c>
      <c r="G125" s="14"/>
      <c r="H125" s="12">
        <v>40714</v>
      </c>
      <c r="I125" s="12">
        <v>47654</v>
      </c>
      <c r="J125" s="13">
        <v>0.02</v>
      </c>
      <c r="K125" s="12">
        <v>47837</v>
      </c>
      <c r="L125" s="16" t="str" cm="1">
        <f t="array" ref="L125">_xll.aqBondObjectCreateFromGenerator($C125,$L$4,_xll.aqToolLVBFromKeysValues($C$7:$K$7,$C125:$K125))</f>
        <v>JP1201241B22:3</v>
      </c>
      <c r="M125" s="78">
        <v>2.3400000000000009E-3</v>
      </c>
      <c r="N125" s="51">
        <v>120.9015</v>
      </c>
      <c r="O125" s="51">
        <v>10.9726</v>
      </c>
      <c r="P125" s="95">
        <v>1371.5753</v>
      </c>
      <c r="Q125" s="39" cm="1">
        <f t="array" ref="Q125">_xll.aqBondObjectYield(L125,$C$4,R125)</f>
        <v>2.3400000000000057E-3</v>
      </c>
      <c r="R125" s="49" cm="1">
        <f t="array" ref="R125">_xll.aqBondObjectPrice($L125,$C$4,$M125)</f>
        <v>120.90146149957343</v>
      </c>
      <c r="S125" s="49" cm="1">
        <f t="array" ref="S125">_xll.aqBondObjectCleanPrice($L125,$C$4,$M125)</f>
        <v>120.90146149957343</v>
      </c>
      <c r="T125" s="49" cm="1">
        <f t="array" ref="T125">_xll.aqBondObjectDirtyPrice($L125,$C$4,$M125)</f>
        <v>125</v>
      </c>
      <c r="U125" s="49" cm="1">
        <f t="array" ref="U125">_xll.aqBondObjectModifiedDuration($L125,$C$4,$Q125)</f>
        <v>10.972602739726028</v>
      </c>
      <c r="V125" s="93" cm="1">
        <f t="array" ref="V125">_xll.aqBondObjectDV01($L125,$C$4,$Q125)</f>
        <v>1371.5753424657535</v>
      </c>
    </row>
    <row r="126" spans="2:22">
      <c r="B126" s="11" t="s">
        <v>988</v>
      </c>
      <c r="C126" s="11" t="s">
        <v>989</v>
      </c>
      <c r="D126" s="11" t="s">
        <v>989</v>
      </c>
      <c r="E126" s="12">
        <v>40624</v>
      </c>
      <c r="F126" s="15">
        <v>40622</v>
      </c>
      <c r="G126" s="14"/>
      <c r="H126" s="12">
        <v>40806</v>
      </c>
      <c r="I126" s="12">
        <v>47746</v>
      </c>
      <c r="J126" s="13">
        <v>2.2000000000000002E-2</v>
      </c>
      <c r="K126" s="12">
        <v>47927</v>
      </c>
      <c r="L126" s="16" t="str" cm="1">
        <f t="array" ref="L126">_xll.aqBondObjectCreateFromGenerator($C126,$L$4,_xll.aqToolLVBFromKeysValues($C$7:$K$7,$C126:$K126))</f>
        <v>JP1201251B37:3</v>
      </c>
      <c r="M126" s="78">
        <v>2.4400000000000094E-3</v>
      </c>
      <c r="N126" s="51">
        <v>123.5774</v>
      </c>
      <c r="O126" s="51">
        <v>11.1251</v>
      </c>
      <c r="P126" s="95">
        <v>1418.4452000000001</v>
      </c>
      <c r="Q126" s="39" cm="1">
        <f t="array" ref="Q126">_xll.aqBondObjectYield(L126,$C$4,R126)</f>
        <v>2.4400000000000146E-3</v>
      </c>
      <c r="R126" s="49" cm="1">
        <f t="array" ref="R126">_xll.aqBondObjectPrice($L126,$C$4,$M126)</f>
        <v>123.5774497147427</v>
      </c>
      <c r="S126" s="49" cm="1">
        <f t="array" ref="S126">_xll.aqBondObjectCleanPrice($L126,$C$4,$M126)</f>
        <v>123.5774497147427</v>
      </c>
      <c r="T126" s="49" cm="1">
        <f t="array" ref="T126">_xll.aqBondObjectDirtyPrice($L126,$C$4,$M126)</f>
        <v>127.49999999999999</v>
      </c>
      <c r="U126" s="49" cm="1">
        <f t="array" ref="U126">_xll.aqBondObjectModifiedDuration($L126,$C$4,$Q126)</f>
        <v>11.12506043513296</v>
      </c>
      <c r="V126" s="93" cm="1">
        <f t="array" ref="V126">_xll.aqBondObjectDV01($L126,$C$4,$Q126)</f>
        <v>1418.4452054794522</v>
      </c>
    </row>
    <row r="127" spans="2:22">
      <c r="B127" s="11" t="s">
        <v>990</v>
      </c>
      <c r="C127" s="11" t="s">
        <v>991</v>
      </c>
      <c r="D127" s="11" t="s">
        <v>991</v>
      </c>
      <c r="E127" s="12">
        <v>40659</v>
      </c>
      <c r="F127" s="15">
        <v>40622</v>
      </c>
      <c r="G127" s="14"/>
      <c r="H127" s="12">
        <v>40806</v>
      </c>
      <c r="I127" s="12">
        <v>47746</v>
      </c>
      <c r="J127" s="13">
        <v>0.02</v>
      </c>
      <c r="K127" s="12">
        <v>47927</v>
      </c>
      <c r="L127" s="16" t="str" cm="1">
        <f t="array" ref="L127">_xll.aqBondObjectCreateFromGenerator($C127,$L$4,_xll.aqToolLVBFromKeysValues($C$7:$K$7,$C127:$K127))</f>
        <v>JP1201261B43:3</v>
      </c>
      <c r="M127" s="78">
        <v>2.4900000000000074E-3</v>
      </c>
      <c r="N127" s="51">
        <v>121.0937</v>
      </c>
      <c r="O127" s="51">
        <v>11.219200000000001</v>
      </c>
      <c r="P127" s="95">
        <v>1402.3973000000001</v>
      </c>
      <c r="Q127" s="39" cm="1">
        <f t="array" ref="Q127">_xll.aqBondObjectYield(L127,$C$4,R127)</f>
        <v>2.4900000000000109E-3</v>
      </c>
      <c r="R127" s="49" cm="1">
        <f t="array" ref="R127">_xll.aqBondObjectPrice($L127,$C$4,$M127)</f>
        <v>121.09368491091523</v>
      </c>
      <c r="S127" s="49" cm="1">
        <f t="array" ref="S127">_xll.aqBondObjectCleanPrice($L127,$C$4,$M127)</f>
        <v>121.09368491091523</v>
      </c>
      <c r="T127" s="49" cm="1">
        <f t="array" ref="T127">_xll.aqBondObjectDirtyPrice($L127,$C$4,$M127)</f>
        <v>125</v>
      </c>
      <c r="U127" s="49" cm="1">
        <f t="array" ref="U127">_xll.aqBondObjectModifiedDuration($L127,$C$4,$Q127)</f>
        <v>11.219178082191782</v>
      </c>
      <c r="V127" s="93" cm="1">
        <f t="array" ref="V127">_xll.aqBondObjectDV01($L127,$C$4,$Q127)</f>
        <v>1402.3972602739727</v>
      </c>
    </row>
    <row r="128" spans="2:22">
      <c r="B128" s="11" t="s">
        <v>992</v>
      </c>
      <c r="C128" s="11" t="s">
        <v>993</v>
      </c>
      <c r="D128" s="11" t="s">
        <v>993</v>
      </c>
      <c r="E128" s="12">
        <v>40694</v>
      </c>
      <c r="F128" s="15">
        <v>40622</v>
      </c>
      <c r="G128" s="14"/>
      <c r="H128" s="12">
        <v>40806</v>
      </c>
      <c r="I128" s="12">
        <v>47746</v>
      </c>
      <c r="J128" s="13">
        <v>1.9E-2</v>
      </c>
      <c r="K128" s="12">
        <v>47927</v>
      </c>
      <c r="L128" s="16" t="str" cm="1">
        <f t="array" ref="L128">_xll.aqBondObjectCreateFromGenerator($C128,$L$4,_xll.aqToolLVBFromKeysValues($C$7:$K$7,$C128:$K128))</f>
        <v>JP1201271B58:3</v>
      </c>
      <c r="M128" s="78">
        <v>2.4899999999999996E-3</v>
      </c>
      <c r="N128" s="51">
        <v>119.889</v>
      </c>
      <c r="O128" s="51">
        <v>11.2677</v>
      </c>
      <c r="P128" s="95">
        <v>1394.3733</v>
      </c>
      <c r="Q128" s="39" cm="1">
        <f t="array" ref="Q128">_xll.aqBondObjectYield(L128,$C$4,R128)</f>
        <v>2.4900000000000057E-3</v>
      </c>
      <c r="R128" s="49" cm="1">
        <f t="array" ref="R128">_xll.aqBondObjectPrice($L128,$C$4,$M128)</f>
        <v>119.8890198674592</v>
      </c>
      <c r="S128" s="49" cm="1">
        <f t="array" ref="S128">_xll.aqBondObjectCleanPrice($L128,$C$4,$M128)</f>
        <v>119.8890198674592</v>
      </c>
      <c r="T128" s="49" cm="1">
        <f t="array" ref="T128">_xll.aqBondObjectDirtyPrice($L128,$C$4,$M128)</f>
        <v>123.75</v>
      </c>
      <c r="U128" s="49" cm="1">
        <f t="array" ref="U128">_xll.aqBondObjectModifiedDuration($L128,$C$4,$Q128)</f>
        <v>11.267662930676629</v>
      </c>
      <c r="V128" s="93" cm="1">
        <f t="array" ref="V128">_xll.aqBondObjectDV01($L128,$C$4,$Q128)</f>
        <v>1394.3732876712329</v>
      </c>
    </row>
    <row r="129" spans="2:22">
      <c r="B129" s="11" t="s">
        <v>994</v>
      </c>
      <c r="C129" s="11" t="s">
        <v>995</v>
      </c>
      <c r="D129" s="11" t="s">
        <v>995</v>
      </c>
      <c r="E129" s="12">
        <v>37036</v>
      </c>
      <c r="F129" s="15">
        <v>37031</v>
      </c>
      <c r="G129" s="14"/>
      <c r="H129" s="12">
        <v>37215</v>
      </c>
      <c r="I129" s="12">
        <v>47807</v>
      </c>
      <c r="J129" s="13">
        <v>2.2000000000000002E-2</v>
      </c>
      <c r="K129" s="12">
        <v>47988</v>
      </c>
      <c r="L129" s="16" t="str" cm="1">
        <f t="array" ref="L129">_xll.aqBondObjectCreateFromGenerator($C129,$L$4,_xll.aqToolLVBFromKeysValues($C$7:$K$7,$C129:$K129))</f>
        <v>JP1300051156:3</v>
      </c>
      <c r="M129" s="78">
        <v>2.4900000000000022E-3</v>
      </c>
      <c r="N129" s="51">
        <v>123.80970000000001</v>
      </c>
      <c r="O129" s="51">
        <v>11.2004</v>
      </c>
      <c r="P129" s="95">
        <v>1440.3768</v>
      </c>
      <c r="Q129" s="39" cm="1">
        <f t="array" ref="Q129">_xll.aqBondObjectYield(L129,$C$4,R129)</f>
        <v>2.4900000000000026E-3</v>
      </c>
      <c r="R129" s="49" cm="1">
        <f t="array" ref="R129">_xll.aqBondObjectPrice($L129,$C$4,$M129)</f>
        <v>123.80968117389305</v>
      </c>
      <c r="S129" s="49" cm="1">
        <f t="array" ref="S129">_xll.aqBondObjectCleanPrice($L129,$C$4,$M129)</f>
        <v>123.80968117389305</v>
      </c>
      <c r="T129" s="49" cm="1">
        <f t="array" ref="T129">_xll.aqBondObjectDirtyPrice($L129,$C$4,$M129)</f>
        <v>128.6</v>
      </c>
      <c r="U129" s="49" cm="1">
        <f t="array" ref="U129">_xll.aqBondObjectModifiedDuration($L129,$C$4,$Q129)</f>
        <v>11.200442063103177</v>
      </c>
      <c r="V129" s="93" cm="1">
        <f t="array" ref="V129">_xll.aqBondObjectDV01($L129,$C$4,$Q129)</f>
        <v>1440.3768493150685</v>
      </c>
    </row>
    <row r="130" spans="2:22">
      <c r="B130" s="11" t="s">
        <v>996</v>
      </c>
      <c r="C130" s="11" t="s">
        <v>997</v>
      </c>
      <c r="D130" s="11" t="s">
        <v>997</v>
      </c>
      <c r="E130" s="12">
        <v>40714</v>
      </c>
      <c r="F130" s="15">
        <v>40714</v>
      </c>
      <c r="G130" s="14"/>
      <c r="H130" s="12">
        <v>40897</v>
      </c>
      <c r="I130" s="12">
        <v>47837</v>
      </c>
      <c r="J130" s="13">
        <v>1.9E-2</v>
      </c>
      <c r="K130" s="12">
        <v>48019</v>
      </c>
      <c r="L130" s="16" t="str" cm="1">
        <f t="array" ref="L130">_xll.aqBondObjectCreateFromGenerator($C130,$L$4,_xll.aqToolLVBFromKeysValues($C$7:$K$7,$C130:$K130))</f>
        <v>JP1201281B64:3</v>
      </c>
      <c r="M130" s="78">
        <v>2.5899999999999925E-3</v>
      </c>
      <c r="N130" s="51">
        <v>120.1328</v>
      </c>
      <c r="O130" s="51">
        <v>11.4346</v>
      </c>
      <c r="P130" s="95">
        <v>1425.8986</v>
      </c>
      <c r="Q130" s="39" cm="1">
        <f t="array" ref="Q130">_xll.aqBondObjectYield(L130,$C$4,R130)</f>
        <v>2.589999999999989E-3</v>
      </c>
      <c r="R130" s="49" cm="1">
        <f t="array" ref="R130">_xll.aqBondObjectPrice($L130,$C$4,$M130)</f>
        <v>120.13276610419024</v>
      </c>
      <c r="S130" s="49" cm="1">
        <f t="array" ref="S130">_xll.aqBondObjectCleanPrice($L130,$C$4,$M130)</f>
        <v>120.13276610419024</v>
      </c>
      <c r="T130" s="49" cm="1">
        <f t="array" ref="T130">_xll.aqBondObjectDirtyPrice($L130,$C$4,$M130)</f>
        <v>124.70000000000002</v>
      </c>
      <c r="U130" s="49" cm="1">
        <f t="array" ref="U130">_xll.aqBondObjectModifiedDuration($L130,$C$4,$Q130)</f>
        <v>11.434631609012312</v>
      </c>
      <c r="V130" s="93" cm="1">
        <f t="array" ref="V130">_xll.aqBondObjectDV01($L130,$C$4,$Q130)</f>
        <v>1425.8985616438356</v>
      </c>
    </row>
    <row r="131" spans="2:22">
      <c r="B131" s="11" t="s">
        <v>998</v>
      </c>
      <c r="C131" s="11" t="s">
        <v>999</v>
      </c>
      <c r="D131" s="11" t="s">
        <v>999</v>
      </c>
      <c r="E131" s="12">
        <v>40785</v>
      </c>
      <c r="F131" s="15">
        <v>40714</v>
      </c>
      <c r="G131" s="14"/>
      <c r="H131" s="12">
        <v>40897</v>
      </c>
      <c r="I131" s="12">
        <v>47837</v>
      </c>
      <c r="J131" s="13">
        <v>1.8000000000000002E-2</v>
      </c>
      <c r="K131" s="12">
        <v>48019</v>
      </c>
      <c r="L131" s="16" t="str" cm="1">
        <f t="array" ref="L131">_xll.aqBondObjectCreateFromGenerator($C131,$L$4,_xll.aqToolLVBFromKeysValues($C$7:$K$7,$C131:$K131))</f>
        <v>JP1201291B88:3</v>
      </c>
      <c r="M131" s="78">
        <v>2.5899999999999847E-3</v>
      </c>
      <c r="N131" s="51">
        <v>118.9059</v>
      </c>
      <c r="O131" s="51">
        <v>11.487399999999999</v>
      </c>
      <c r="P131" s="95">
        <v>1417.5491999999999</v>
      </c>
      <c r="Q131" s="39" cm="1">
        <f t="array" ref="Q131">_xll.aqBondObjectYield(L131,$C$4,R131)</f>
        <v>2.5899999999999786E-3</v>
      </c>
      <c r="R131" s="49" cm="1">
        <f t="array" ref="R131">_xll.aqBondObjectPrice($L131,$C$4,$M131)</f>
        <v>118.90590650003485</v>
      </c>
      <c r="S131" s="49" cm="1">
        <f t="array" ref="S131">_xll.aqBondObjectCleanPrice($L131,$C$4,$M131)</f>
        <v>118.90590650003485</v>
      </c>
      <c r="T131" s="49" cm="1">
        <f t="array" ref="T131">_xll.aqBondObjectDirtyPrice($L131,$C$4,$M131)</f>
        <v>123.4</v>
      </c>
      <c r="U131" s="49" cm="1">
        <f t="array" ref="U131">_xll.aqBondObjectModifiedDuration($L131,$C$4,$Q131)</f>
        <v>11.487432561444018</v>
      </c>
      <c r="V131" s="93" cm="1">
        <f t="array" ref="V131">_xll.aqBondObjectDV01($L131,$C$4,$Q131)</f>
        <v>1417.5491780821919</v>
      </c>
    </row>
    <row r="132" spans="2:22">
      <c r="B132" s="11" t="s">
        <v>1000</v>
      </c>
      <c r="C132" s="11" t="s">
        <v>1001</v>
      </c>
      <c r="D132" s="11" t="s">
        <v>1001</v>
      </c>
      <c r="E132" s="12">
        <v>40806</v>
      </c>
      <c r="F132" s="15">
        <v>40806</v>
      </c>
      <c r="G132" s="14"/>
      <c r="H132" s="12">
        <v>40988</v>
      </c>
      <c r="I132" s="12">
        <v>47927</v>
      </c>
      <c r="J132" s="13">
        <v>1.8000000000000002E-2</v>
      </c>
      <c r="K132" s="12">
        <v>48111</v>
      </c>
      <c r="L132" s="16" t="str" cm="1">
        <f t="array" ref="L132">_xll.aqBondObjectCreateFromGenerator($C132,$L$4,_xll.aqToolLVBFromKeysValues($C$7:$K$7,$C132:$K132))</f>
        <v>JP1201301B94:3</v>
      </c>
      <c r="M132" s="78">
        <v>2.7500000000000011E-3</v>
      </c>
      <c r="N132" s="51">
        <v>119.0316</v>
      </c>
      <c r="O132" s="51">
        <v>11.734</v>
      </c>
      <c r="P132" s="95">
        <v>1447.9766</v>
      </c>
      <c r="Q132" s="39" cm="1">
        <f t="array" ref="Q132">_xll.aqBondObjectYield(L132,$C$4,R132)</f>
        <v>2.7500000000000055E-3</v>
      </c>
      <c r="R132" s="49" cm="1">
        <f t="array" ref="R132">_xll.aqBondObjectPrice($L132,$C$4,$M132)</f>
        <v>119.03164720643804</v>
      </c>
      <c r="S132" s="49" cm="1">
        <f t="array" ref="S132">_xll.aqBondObjectCleanPrice($L132,$C$4,$M132)</f>
        <v>119.03164720643804</v>
      </c>
      <c r="T132" s="49" cm="1">
        <f t="array" ref="T132">_xll.aqBondObjectDirtyPrice($L132,$C$4,$M132)</f>
        <v>123.4</v>
      </c>
      <c r="U132" s="49" cm="1">
        <f t="array" ref="U132">_xll.aqBondObjectModifiedDuration($L132,$C$4,$Q132)</f>
        <v>11.73400790390977</v>
      </c>
      <c r="V132" s="93" cm="1">
        <f t="array" ref="V132">_xll.aqBondObjectDV01($L132,$C$4,$Q132)</f>
        <v>1447.9765753424658</v>
      </c>
    </row>
    <row r="133" spans="2:22">
      <c r="B133" s="11" t="s">
        <v>1002</v>
      </c>
      <c r="C133" s="11" t="s">
        <v>1003</v>
      </c>
      <c r="D133" s="11" t="s">
        <v>1003</v>
      </c>
      <c r="E133" s="12">
        <v>40875</v>
      </c>
      <c r="F133" s="15">
        <v>40806</v>
      </c>
      <c r="G133" s="14"/>
      <c r="H133" s="12">
        <v>40988</v>
      </c>
      <c r="I133" s="12">
        <v>47927</v>
      </c>
      <c r="J133" s="13">
        <v>1.7000000000000001E-2</v>
      </c>
      <c r="K133" s="12">
        <v>48111</v>
      </c>
      <c r="L133" s="16" t="str" cm="1">
        <f t="array" ref="L133">_xll.aqBondObjectCreateFromGenerator($C133,$L$4,_xll.aqToolLVBFromKeysValues($C$7:$K$7,$C133:$K133))</f>
        <v>JP1201311BB0:3</v>
      </c>
      <c r="M133" s="78">
        <v>2.7399999999999976E-3</v>
      </c>
      <c r="N133" s="51">
        <v>117.7984</v>
      </c>
      <c r="O133" s="51">
        <v>11.7879</v>
      </c>
      <c r="P133" s="95">
        <v>1439.3065999999999</v>
      </c>
      <c r="Q133" s="39" cm="1">
        <f t="array" ref="Q133">_xll.aqBondObjectYield(L133,$C$4,R133)</f>
        <v>2.7399999999999916E-3</v>
      </c>
      <c r="R133" s="49" cm="1">
        <f t="array" ref="R133">_xll.aqBondObjectPrice($L133,$C$4,$M133)</f>
        <v>117.79837130466615</v>
      </c>
      <c r="S133" s="49" cm="1">
        <f t="array" ref="S133">_xll.aqBondObjectCleanPrice($L133,$C$4,$M133)</f>
        <v>117.79837130466615</v>
      </c>
      <c r="T133" s="49" cm="1">
        <f t="array" ref="T133">_xll.aqBondObjectDirtyPrice($L133,$C$4,$M133)</f>
        <v>122.10000000000001</v>
      </c>
      <c r="U133" s="49" cm="1">
        <f t="array" ref="U133">_xll.aqBondObjectModifiedDuration($L133,$C$4,$Q133)</f>
        <v>11.787933200946897</v>
      </c>
      <c r="V133" s="93" cm="1">
        <f t="array" ref="V133">_xll.aqBondObjectDV01($L133,$C$4,$Q133)</f>
        <v>1439.3066438356163</v>
      </c>
    </row>
    <row r="134" spans="2:22">
      <c r="B134" s="11" t="s">
        <v>1004</v>
      </c>
      <c r="C134" s="11" t="s">
        <v>1005</v>
      </c>
      <c r="D134" s="11" t="s">
        <v>1005</v>
      </c>
      <c r="E134" s="12">
        <v>37215</v>
      </c>
      <c r="F134" s="15">
        <v>37215</v>
      </c>
      <c r="G134" s="14"/>
      <c r="H134" s="12">
        <v>37396</v>
      </c>
      <c r="I134" s="12">
        <v>47988</v>
      </c>
      <c r="J134" s="13">
        <v>2.4E-2</v>
      </c>
      <c r="K134" s="12">
        <v>48172</v>
      </c>
      <c r="L134" s="16" t="str" cm="1">
        <f t="array" ref="L134">_xll.aqBondObjectCreateFromGenerator($C134,$L$4,_xll.aqToolLVBFromKeysValues($C$7:$K$7,$C134:$K134))</f>
        <v>JP13000611B1:3</v>
      </c>
      <c r="M134" s="78">
        <v>2.7399999999999903E-3</v>
      </c>
      <c r="N134" s="51">
        <v>126.86660000000001</v>
      </c>
      <c r="O134" s="51">
        <v>11.4998</v>
      </c>
      <c r="P134" s="95">
        <v>1522.5704000000001</v>
      </c>
      <c r="Q134" s="39" cm="1">
        <f t="array" ref="Q134">_xll.aqBondObjectYield(L134,$C$4,R134)</f>
        <v>2.7399999999999916E-3</v>
      </c>
      <c r="R134" s="49" cm="1">
        <f t="array" ref="R134">_xll.aqBondObjectPrice($L134,$C$4,$M134)</f>
        <v>126.86657089449091</v>
      </c>
      <c r="S134" s="49" cm="1">
        <f t="array" ref="S134">_xll.aqBondObjectCleanPrice($L134,$C$4,$M134)</f>
        <v>126.86657089449091</v>
      </c>
      <c r="T134" s="49" cm="1">
        <f t="array" ref="T134">_xll.aqBondObjectDirtyPrice($L134,$C$4,$M134)</f>
        <v>132.4</v>
      </c>
      <c r="U134" s="49" cm="1">
        <f t="array" ref="U134">_xll.aqBondObjectModifiedDuration($L134,$C$4,$Q134)</f>
        <v>11.499776517816496</v>
      </c>
      <c r="V134" s="93" cm="1">
        <f t="array" ref="V134">_xll.aqBondObjectDV01($L134,$C$4,$Q134)</f>
        <v>1522.5704109589042</v>
      </c>
    </row>
    <row r="135" spans="2:22">
      <c r="B135" s="11" t="s">
        <v>1006</v>
      </c>
      <c r="C135" s="11" t="s">
        <v>1007</v>
      </c>
      <c r="D135" s="11" t="s">
        <v>1007</v>
      </c>
      <c r="E135" s="12">
        <v>40939</v>
      </c>
      <c r="F135" s="15">
        <v>40897</v>
      </c>
      <c r="G135" s="14"/>
      <c r="H135" s="12">
        <v>41080</v>
      </c>
      <c r="I135" s="12">
        <v>48019</v>
      </c>
      <c r="J135" s="13">
        <v>1.8000000000000002E-2</v>
      </c>
      <c r="K135" s="12">
        <v>48202</v>
      </c>
      <c r="L135" s="16" t="str" cm="1">
        <f t="array" ref="L135">_xll.aqBondObjectCreateFromGenerator($C135,$L$4,_xll.aqToolLVBFromKeysValues($C$7:$K$7,$C135:$K135))</f>
        <v>JP1201331C14:3</v>
      </c>
      <c r="M135" s="78">
        <v>2.8399999999999957E-3</v>
      </c>
      <c r="N135" s="51">
        <v>119.2495</v>
      </c>
      <c r="O135" s="51">
        <v>11.901899999999999</v>
      </c>
      <c r="P135" s="95">
        <v>1479.4045000000001</v>
      </c>
      <c r="Q135" s="39" cm="1">
        <f t="array" ref="Q135">_xll.aqBondObjectYield(L135,$C$4,R135)</f>
        <v>2.8399999999999975E-3</v>
      </c>
      <c r="R135" s="49" cm="1">
        <f t="array" ref="R135">_xll.aqBondObjectPrice($L135,$C$4,$M135)</f>
        <v>119.24953688679756</v>
      </c>
      <c r="S135" s="49" cm="1">
        <f t="array" ref="S135">_xll.aqBondObjectCleanPrice($L135,$C$4,$M135)</f>
        <v>119.24953688679756</v>
      </c>
      <c r="T135" s="49" cm="1">
        <f t="array" ref="T135">_xll.aqBondObjectDirtyPrice($L135,$C$4,$M135)</f>
        <v>124.30000000000001</v>
      </c>
      <c r="U135" s="49" cm="1">
        <f t="array" ref="U135">_xll.aqBondObjectModifiedDuration($L135,$C$4,$Q135)</f>
        <v>11.901886730071965</v>
      </c>
      <c r="V135" s="93" cm="1">
        <f t="array" ref="V135">_xll.aqBondObjectDV01($L135,$C$4,$Q135)</f>
        <v>1479.4045205479454</v>
      </c>
    </row>
    <row r="136" spans="2:22">
      <c r="B136" s="11" t="s">
        <v>1008</v>
      </c>
      <c r="C136" s="11" t="s">
        <v>1009</v>
      </c>
      <c r="D136" s="11" t="s">
        <v>1009</v>
      </c>
      <c r="E136" s="12">
        <v>40897</v>
      </c>
      <c r="F136" s="15">
        <v>40897</v>
      </c>
      <c r="G136" s="14"/>
      <c r="H136" s="12">
        <v>41080</v>
      </c>
      <c r="I136" s="12">
        <v>48019</v>
      </c>
      <c r="J136" s="13">
        <v>1.7000000000000001E-2</v>
      </c>
      <c r="K136" s="12">
        <v>48202</v>
      </c>
      <c r="L136" s="16" t="str" cm="1">
        <f t="array" ref="L136">_xll.aqBondObjectCreateFromGenerator($C136,$L$4,_xll.aqToolLVBFromKeysValues($C$7:$K$7,$C136:$K136))</f>
        <v>JP1201321BC7:3</v>
      </c>
      <c r="M136" s="78">
        <v>2.8399999999999996E-3</v>
      </c>
      <c r="N136" s="51">
        <v>117.9798</v>
      </c>
      <c r="O136" s="51">
        <v>11.959300000000001</v>
      </c>
      <c r="P136" s="95">
        <v>1470.3965000000001</v>
      </c>
      <c r="Q136" s="39" cm="1">
        <f t="array" ref="Q136">_xll.aqBondObjectYield(L136,$C$4,R136)</f>
        <v>2.8399999999999905E-3</v>
      </c>
      <c r="R136" s="49" cm="1">
        <f t="array" ref="R136">_xll.aqBondObjectPrice($L136,$C$4,$M136)</f>
        <v>117.97977851695605</v>
      </c>
      <c r="S136" s="49" cm="1">
        <f t="array" ref="S136">_xll.aqBondObjectCleanPrice($L136,$C$4,$M136)</f>
        <v>117.97977851695605</v>
      </c>
      <c r="T136" s="49" cm="1">
        <f t="array" ref="T136">_xll.aqBondObjectDirtyPrice($L136,$C$4,$M136)</f>
        <v>122.95</v>
      </c>
      <c r="U136" s="49" cm="1">
        <f t="array" ref="U136">_xll.aqBondObjectModifiedDuration($L136,$C$4,$Q136)</f>
        <v>11.959304651072102</v>
      </c>
      <c r="V136" s="93" cm="1">
        <f t="array" ref="V136">_xll.aqBondObjectDV01($L136,$C$4,$Q136)</f>
        <v>1470.3965068493151</v>
      </c>
    </row>
    <row r="137" spans="2:22">
      <c r="B137" s="11" t="s">
        <v>1010</v>
      </c>
      <c r="C137" s="11" t="s">
        <v>1011</v>
      </c>
      <c r="D137" s="11" t="s">
        <v>1011</v>
      </c>
      <c r="E137" s="12">
        <v>41057</v>
      </c>
      <c r="F137" s="15">
        <v>40988</v>
      </c>
      <c r="G137" s="14"/>
      <c r="H137" s="12">
        <v>41172</v>
      </c>
      <c r="I137" s="12">
        <v>48111</v>
      </c>
      <c r="J137" s="13">
        <v>1.6E-2</v>
      </c>
      <c r="K137" s="12">
        <v>48293</v>
      </c>
      <c r="L137" s="16" t="str" cm="1">
        <f t="array" ref="L137">_xll.aqBondObjectCreateFromGenerator($C137,$L$4,_xll.aqToolLVBFromKeysValues($C$7:$K$7,$C137:$K137))</f>
        <v>JP1201361C58:3</v>
      </c>
      <c r="M137" s="78">
        <v>3.0000000000000009E-3</v>
      </c>
      <c r="N137" s="51">
        <v>116.7698</v>
      </c>
      <c r="O137" s="51">
        <v>12.2646</v>
      </c>
      <c r="P137" s="95">
        <v>1491.3721</v>
      </c>
      <c r="Q137" s="39" cm="1">
        <f t="array" ref="Q137">_xll.aqBondObjectYield(L137,$C$4,R137)</f>
        <v>3.0000000000000096E-3</v>
      </c>
      <c r="R137" s="49" cm="1">
        <f t="array" ref="R137">_xll.aqBondObjectPrice($L137,$C$4,$M137)</f>
        <v>116.7698199076098</v>
      </c>
      <c r="S137" s="49" cm="1">
        <f t="array" ref="S137">_xll.aqBondObjectCleanPrice($L137,$C$4,$M137)</f>
        <v>116.7698199076098</v>
      </c>
      <c r="T137" s="49" cm="1">
        <f t="array" ref="T137">_xll.aqBondObjectDirtyPrice($L137,$C$4,$M137)</f>
        <v>121.6</v>
      </c>
      <c r="U137" s="49" cm="1">
        <f t="array" ref="U137">_xll.aqBondObjectModifiedDuration($L137,$C$4,$Q137)</f>
        <v>12.264572819033887</v>
      </c>
      <c r="V137" s="93" cm="1">
        <f t="array" ref="V137">_xll.aqBondObjectDV01($L137,$C$4,$Q137)</f>
        <v>1491.3720547945206</v>
      </c>
    </row>
    <row r="138" spans="2:22">
      <c r="B138" s="11" t="s">
        <v>1012</v>
      </c>
      <c r="C138" s="11" t="s">
        <v>1013</v>
      </c>
      <c r="D138" s="11" t="s">
        <v>1013</v>
      </c>
      <c r="E138" s="12">
        <v>40989</v>
      </c>
      <c r="F138" s="15">
        <v>40988</v>
      </c>
      <c r="G138" s="14"/>
      <c r="H138" s="12">
        <v>41172</v>
      </c>
      <c r="I138" s="12">
        <v>48111</v>
      </c>
      <c r="J138" s="13">
        <v>1.8000000000000002E-2</v>
      </c>
      <c r="K138" s="12">
        <v>48293</v>
      </c>
      <c r="L138" s="16" t="str" cm="1">
        <f t="array" ref="L138">_xll.aqBondObjectCreateFromGenerator($C138,$L$4,_xll.aqToolLVBFromKeysValues($C$7:$K$7,$C138:$K138))</f>
        <v>JP1201341C38:3</v>
      </c>
      <c r="M138" s="78">
        <v>2.9800000000000004E-3</v>
      </c>
      <c r="N138" s="51">
        <v>119.3806</v>
      </c>
      <c r="O138" s="51">
        <v>12.1485</v>
      </c>
      <c r="P138" s="95">
        <v>1510.0537999999999</v>
      </c>
      <c r="Q138" s="39" cm="1">
        <f t="array" ref="Q138">_xll.aqBondObjectYield(L138,$C$4,R138)</f>
        <v>2.9799999999999996E-3</v>
      </c>
      <c r="R138" s="49" cm="1">
        <f t="array" ref="R138">_xll.aqBondObjectPrice($L138,$C$4,$M138)</f>
        <v>119.38059206307842</v>
      </c>
      <c r="S138" s="49" cm="1">
        <f t="array" ref="S138">_xll.aqBondObjectCleanPrice($L138,$C$4,$M138)</f>
        <v>119.38059206307842</v>
      </c>
      <c r="T138" s="49" cm="1">
        <f t="array" ref="T138">_xll.aqBondObjectDirtyPrice($L138,$C$4,$M138)</f>
        <v>124.30000000000001</v>
      </c>
      <c r="U138" s="49" cm="1">
        <f t="array" ref="U138">_xll.aqBondObjectModifiedDuration($L138,$C$4,$Q138)</f>
        <v>12.148462072537718</v>
      </c>
      <c r="V138" s="93" cm="1">
        <f t="array" ref="V138">_xll.aqBondObjectDV01($L138,$C$4,$Q138)</f>
        <v>1510.0538356164386</v>
      </c>
    </row>
    <row r="139" spans="2:22">
      <c r="B139" s="11" t="s">
        <v>1014</v>
      </c>
      <c r="C139" s="11" t="s">
        <v>1015</v>
      </c>
      <c r="D139" s="11" t="s">
        <v>1015</v>
      </c>
      <c r="E139" s="12">
        <v>41025</v>
      </c>
      <c r="F139" s="15">
        <v>40988</v>
      </c>
      <c r="G139" s="14"/>
      <c r="H139" s="12">
        <v>41172</v>
      </c>
      <c r="I139" s="12">
        <v>48111</v>
      </c>
      <c r="J139" s="13">
        <v>1.7000000000000001E-2</v>
      </c>
      <c r="K139" s="12">
        <v>48293</v>
      </c>
      <c r="L139" s="16" t="str" cm="1">
        <f t="array" ref="L139">_xll.aqBondObjectCreateFromGenerator($C139,$L$4,_xll.aqToolLVBFromKeysValues($C$7:$K$7,$C139:$K139))</f>
        <v>JP1201351C43:3</v>
      </c>
      <c r="M139" s="78">
        <v>3.0000000000000014E-3</v>
      </c>
      <c r="N139" s="51">
        <v>118.0598</v>
      </c>
      <c r="O139" s="51">
        <v>12.2059</v>
      </c>
      <c r="P139" s="95">
        <v>1500.7129</v>
      </c>
      <c r="Q139" s="39" cm="1">
        <f t="array" ref="Q139">_xll.aqBondObjectYield(L139,$C$4,R139)</f>
        <v>3.000000000000004E-3</v>
      </c>
      <c r="R139" s="49" cm="1">
        <f t="array" ref="R139">_xll.aqBondObjectPrice($L139,$C$4,$M139)</f>
        <v>118.05980605434902</v>
      </c>
      <c r="S139" s="49" cm="1">
        <f t="array" ref="S139">_xll.aqBondObjectCleanPrice($L139,$C$4,$M139)</f>
        <v>118.05980605434902</v>
      </c>
      <c r="T139" s="49" cm="1">
        <f t="array" ref="T139">_xll.aqBondObjectDirtyPrice($L139,$C$4,$M139)</f>
        <v>122.95</v>
      </c>
      <c r="U139" s="49" cm="1">
        <f t="array" ref="U139">_xll.aqBondObjectModifiedDuration($L139,$C$4,$Q139)</f>
        <v>12.205879993537856</v>
      </c>
      <c r="V139" s="93" cm="1">
        <f t="array" ref="V139">_xll.aqBondObjectDV01($L139,$C$4,$Q139)</f>
        <v>1500.7129452054794</v>
      </c>
    </row>
    <row r="140" spans="2:22">
      <c r="B140" s="11" t="s">
        <v>1016</v>
      </c>
      <c r="C140" s="11" t="s">
        <v>1017</v>
      </c>
      <c r="D140" s="11" t="s">
        <v>1017</v>
      </c>
      <c r="E140" s="12">
        <v>37396</v>
      </c>
      <c r="F140" s="15">
        <v>37396</v>
      </c>
      <c r="G140" s="14"/>
      <c r="H140" s="12">
        <v>37580</v>
      </c>
      <c r="I140" s="12">
        <v>48172</v>
      </c>
      <c r="J140" s="13">
        <v>2.3E-2</v>
      </c>
      <c r="K140" s="12">
        <v>48354</v>
      </c>
      <c r="L140" s="16" t="str" cm="1">
        <f t="array" ref="L140">_xll.aqBondObjectCreateFromGenerator($C140,$L$4,_xll.aqToolLVBFromKeysValues($C$7:$K$7,$C140:$K140))</f>
        <v>JP1300071253:3</v>
      </c>
      <c r="M140" s="78">
        <v>2.9700000000000004E-3</v>
      </c>
      <c r="N140" s="51">
        <v>126.1579</v>
      </c>
      <c r="O140" s="51">
        <v>11.946300000000001</v>
      </c>
      <c r="P140" s="95">
        <v>1579.3023000000001</v>
      </c>
      <c r="Q140" s="39" cm="1">
        <f t="array" ref="Q140">_xll.aqBondObjectYield(L140,$C$4,R140)</f>
        <v>2.96999999999999E-3</v>
      </c>
      <c r="R140" s="49" cm="1">
        <f t="array" ref="R140">_xll.aqBondObjectPrice($L140,$C$4,$M140)</f>
        <v>126.15785768679881</v>
      </c>
      <c r="S140" s="49" cm="1">
        <f t="array" ref="S140">_xll.aqBondObjectCleanPrice($L140,$C$4,$M140)</f>
        <v>126.15785768679881</v>
      </c>
      <c r="T140" s="49" cm="1">
        <f t="array" ref="T140">_xll.aqBondObjectDirtyPrice($L140,$C$4,$M140)</f>
        <v>132.20000000000002</v>
      </c>
      <c r="U140" s="49" cm="1">
        <f t="array" ref="U140">_xll.aqBondObjectModifiedDuration($L140,$C$4,$Q140)</f>
        <v>11.946311110190038</v>
      </c>
      <c r="V140" s="93" cm="1">
        <f t="array" ref="V140">_xll.aqBondObjectDV01($L140,$C$4,$Q140)</f>
        <v>1579.3023287671233</v>
      </c>
    </row>
    <row r="141" spans="2:22">
      <c r="B141" s="11" t="s">
        <v>1018</v>
      </c>
      <c r="C141" s="11" t="s">
        <v>1019</v>
      </c>
      <c r="D141" s="11" t="s">
        <v>1019</v>
      </c>
      <c r="E141" s="12">
        <v>41148</v>
      </c>
      <c r="F141" s="15">
        <v>41080</v>
      </c>
      <c r="G141" s="14"/>
      <c r="H141" s="12">
        <v>41263</v>
      </c>
      <c r="I141" s="12">
        <v>48202</v>
      </c>
      <c r="J141" s="13">
        <v>1.6E-2</v>
      </c>
      <c r="K141" s="12">
        <v>48385</v>
      </c>
      <c r="L141" s="16" t="str" cm="1">
        <f t="array" ref="L141">_xll.aqBondObjectCreateFromGenerator($C141,$L$4,_xll.aqToolLVBFromKeysValues($C$7:$K$7,$C141:$K141))</f>
        <v>JP1201391C86:3</v>
      </c>
      <c r="M141" s="78">
        <v>3.1400000000000004E-3</v>
      </c>
      <c r="N141" s="51">
        <v>116.85760000000001</v>
      </c>
      <c r="O141" s="51">
        <v>12.4373</v>
      </c>
      <c r="P141" s="95">
        <v>1522.3266000000001</v>
      </c>
      <c r="Q141" s="39" cm="1">
        <f t="array" ref="Q141">_xll.aqBondObjectYield(L141,$C$4,R141)</f>
        <v>3.140000000000003E-3</v>
      </c>
      <c r="R141" s="49" cm="1">
        <f t="array" ref="R141">_xll.aqBondObjectPrice($L141,$C$4,$M141)</f>
        <v>116.85755011051607</v>
      </c>
      <c r="S141" s="49" cm="1">
        <f t="array" ref="S141">_xll.aqBondObjectCleanPrice($L141,$C$4,$M141)</f>
        <v>116.85755011051607</v>
      </c>
      <c r="T141" s="49" cm="1">
        <f t="array" ref="T141">_xll.aqBondObjectDirtyPrice($L141,$C$4,$M141)</f>
        <v>122.39999999999999</v>
      </c>
      <c r="U141" s="49" cm="1">
        <f t="array" ref="U141">_xll.aqBondObjectModifiedDuration($L141,$C$4,$Q141)</f>
        <v>12.437308622078969</v>
      </c>
      <c r="V141" s="93" cm="1">
        <f t="array" ref="V141">_xll.aqBondObjectDV01($L141,$C$4,$Q141)</f>
        <v>1522.3265753424657</v>
      </c>
    </row>
    <row r="142" spans="2:22">
      <c r="B142" s="11" t="s">
        <v>1020</v>
      </c>
      <c r="C142" s="11" t="s">
        <v>1021</v>
      </c>
      <c r="D142" s="11" t="s">
        <v>1021</v>
      </c>
      <c r="E142" s="12">
        <v>41120</v>
      </c>
      <c r="F142" s="15">
        <v>41080</v>
      </c>
      <c r="G142" s="14"/>
      <c r="H142" s="12">
        <v>41263</v>
      </c>
      <c r="I142" s="12">
        <v>48202</v>
      </c>
      <c r="J142" s="13">
        <v>1.4999999999999999E-2</v>
      </c>
      <c r="K142" s="12">
        <v>48385</v>
      </c>
      <c r="L142" s="16" t="str" cm="1">
        <f t="array" ref="L142">_xll.aqBondObjectCreateFromGenerator($C142,$L$4,_xll.aqToolLVBFromKeysValues($C$7:$K$7,$C142:$K142))</f>
        <v>JP1201381C70:3</v>
      </c>
      <c r="M142" s="78">
        <v>3.1500000000000065E-3</v>
      </c>
      <c r="N142" s="51">
        <v>115.5316</v>
      </c>
      <c r="O142" s="51">
        <v>12.501099999999999</v>
      </c>
      <c r="P142" s="95">
        <v>1512.6349</v>
      </c>
      <c r="Q142" s="39" cm="1">
        <f t="array" ref="Q142">_xll.aqBondObjectYield(L142,$C$4,R142)</f>
        <v>3.1500000000000074E-3</v>
      </c>
      <c r="R142" s="49" cm="1">
        <f t="array" ref="R142">_xll.aqBondObjectPrice($L142,$C$4,$M142)</f>
        <v>115.53155415352812</v>
      </c>
      <c r="S142" s="49" cm="1">
        <f t="array" ref="S142">_xll.aqBondObjectCleanPrice($L142,$C$4,$M142)</f>
        <v>115.53155415352812</v>
      </c>
      <c r="T142" s="49" cm="1">
        <f t="array" ref="T142">_xll.aqBondObjectDirtyPrice($L142,$C$4,$M142)</f>
        <v>121</v>
      </c>
      <c r="U142" s="49" cm="1">
        <f t="array" ref="U142">_xll.aqBondObjectModifiedDuration($L142,$C$4,$Q142)</f>
        <v>12.501115136420243</v>
      </c>
      <c r="V142" s="93" cm="1">
        <f t="array" ref="V142">_xll.aqBondObjectDV01($L142,$C$4,$Q142)</f>
        <v>1512.6349315068494</v>
      </c>
    </row>
    <row r="143" spans="2:22">
      <c r="B143" s="11" t="s">
        <v>1022</v>
      </c>
      <c r="C143" s="11" t="s">
        <v>1023</v>
      </c>
      <c r="D143" s="11" t="s">
        <v>1023</v>
      </c>
      <c r="E143" s="12">
        <v>41080</v>
      </c>
      <c r="F143" s="15">
        <v>41080</v>
      </c>
      <c r="G143" s="14"/>
      <c r="H143" s="12">
        <v>41263</v>
      </c>
      <c r="I143" s="12">
        <v>48202</v>
      </c>
      <c r="J143" s="13">
        <v>1.7000000000000001E-2</v>
      </c>
      <c r="K143" s="12">
        <v>48385</v>
      </c>
      <c r="L143" s="16" t="str" cm="1">
        <f t="array" ref="L143">_xll.aqBondObjectCreateFromGenerator($C143,$L$4,_xll.aqToolLVBFromKeysValues($C$7:$K$7,$C143:$K143))</f>
        <v>JP1201371C64:3</v>
      </c>
      <c r="M143" s="78">
        <v>3.0999999999999917E-3</v>
      </c>
      <c r="N143" s="51">
        <v>118.2304</v>
      </c>
      <c r="O143" s="51">
        <v>12.3749</v>
      </c>
      <c r="P143" s="95">
        <v>1532.0182</v>
      </c>
      <c r="Q143" s="39" cm="1">
        <f t="array" ref="Q143">_xll.aqBondObjectYield(L143,$C$4,R143)</f>
        <v>3.0999999999999969E-3</v>
      </c>
      <c r="R143" s="49" cm="1">
        <f t="array" ref="R143">_xll.aqBondObjectPrice($L143,$C$4,$M143)</f>
        <v>118.23039459193785</v>
      </c>
      <c r="S143" s="49" cm="1">
        <f t="array" ref="S143">_xll.aqBondObjectCleanPrice($L143,$C$4,$M143)</f>
        <v>118.23039459193785</v>
      </c>
      <c r="T143" s="49" cm="1">
        <f t="array" ref="T143">_xll.aqBondObjectDirtyPrice($L143,$C$4,$M143)</f>
        <v>123.8</v>
      </c>
      <c r="U143" s="49" cm="1">
        <f t="array" ref="U143">_xll.aqBondObjectModifiedDuration($L143,$C$4,$Q143)</f>
        <v>12.374945227609709</v>
      </c>
      <c r="V143" s="93" cm="1">
        <f t="array" ref="V143">_xll.aqBondObjectDV01($L143,$C$4,$Q143)</f>
        <v>1532.0182191780821</v>
      </c>
    </row>
    <row r="144" spans="2:22">
      <c r="B144" s="11" t="s">
        <v>1024</v>
      </c>
      <c r="C144" s="11" t="s">
        <v>1025</v>
      </c>
      <c r="D144" s="11" t="s">
        <v>1025</v>
      </c>
      <c r="E144" s="12">
        <v>41172</v>
      </c>
      <c r="F144" s="15">
        <v>41172</v>
      </c>
      <c r="G144" s="14"/>
      <c r="H144" s="12">
        <v>41353</v>
      </c>
      <c r="I144" s="12">
        <v>48293</v>
      </c>
      <c r="J144" s="13">
        <v>1.7000000000000001E-2</v>
      </c>
      <c r="K144" s="12">
        <v>48477</v>
      </c>
      <c r="L144" s="16" t="str" cm="1">
        <f t="array" ref="L144">_xll.aqBondObjectCreateFromGenerator($C144,$L$4,_xll.aqToolLVBFromKeysValues($C$7:$K$7,$C144:$K144))</f>
        <v>JP1201401C92:3</v>
      </c>
      <c r="M144" s="78">
        <v>3.2499999999999955E-3</v>
      </c>
      <c r="N144" s="51">
        <v>118.31570000000001</v>
      </c>
      <c r="O144" s="51">
        <v>12.621499999999999</v>
      </c>
      <c r="P144" s="95">
        <v>1562.5442</v>
      </c>
      <c r="Q144" s="39" cm="1">
        <f t="array" ref="Q144">_xll.aqBondObjectYield(L144,$C$4,R144)</f>
        <v>3.2500000000000059E-3</v>
      </c>
      <c r="R144" s="49" cm="1">
        <f t="array" ref="R144">_xll.aqBondObjectPrice($L144,$C$4,$M144)</f>
        <v>118.31572160050744</v>
      </c>
      <c r="S144" s="49" cm="1">
        <f t="array" ref="S144">_xll.aqBondObjectCleanPrice($L144,$C$4,$M144)</f>
        <v>118.31572160050744</v>
      </c>
      <c r="T144" s="49" cm="1">
        <f t="array" ref="T144">_xll.aqBondObjectDirtyPrice($L144,$C$4,$M144)</f>
        <v>123.8</v>
      </c>
      <c r="U144" s="49" cm="1">
        <f t="array" ref="U144">_xll.aqBondObjectModifiedDuration($L144,$C$4,$Q144)</f>
        <v>12.621520570075464</v>
      </c>
      <c r="V144" s="93" cm="1">
        <f t="array" ref="V144">_xll.aqBondObjectDV01($L144,$C$4,$Q144)</f>
        <v>1562.5442465753424</v>
      </c>
    </row>
    <row r="145" spans="2:22">
      <c r="B145" s="11" t="s">
        <v>1026</v>
      </c>
      <c r="C145" s="11" t="s">
        <v>1027</v>
      </c>
      <c r="D145" s="11" t="s">
        <v>1027</v>
      </c>
      <c r="E145" s="12">
        <v>37580</v>
      </c>
      <c r="F145" s="15">
        <v>37580</v>
      </c>
      <c r="G145" s="14"/>
      <c r="H145" s="12">
        <v>37761</v>
      </c>
      <c r="I145" s="12">
        <v>48354</v>
      </c>
      <c r="J145" s="13">
        <v>1.8000000000000002E-2</v>
      </c>
      <c r="K145" s="12">
        <v>48540</v>
      </c>
      <c r="L145" s="16" t="str" cm="1">
        <f t="array" ref="L145">_xll.aqBondObjectCreateFromGenerator($C145,$L$4,_xll.aqToolLVBFromKeysValues($C$7:$K$7,$C145:$K145))</f>
        <v>JP13000812B5:3</v>
      </c>
      <c r="M145" s="78">
        <v>3.2799999999999999E-3</v>
      </c>
      <c r="N145" s="51">
        <v>119.8322</v>
      </c>
      <c r="O145" s="51">
        <v>12.6417</v>
      </c>
      <c r="P145" s="95">
        <v>1594.2398000000001</v>
      </c>
      <c r="Q145" s="39" cm="1">
        <f t="array" ref="Q145">_xll.aqBondObjectYield(L145,$C$4,R145)</f>
        <v>3.2800000000000051E-3</v>
      </c>
      <c r="R145" s="49" cm="1">
        <f t="array" ref="R145">_xll.aqBondObjectPrice($L145,$C$4,$M145)</f>
        <v>119.83221761222764</v>
      </c>
      <c r="S145" s="49" cm="1">
        <f t="array" ref="S145">_xll.aqBondObjectCleanPrice($L145,$C$4,$M145)</f>
        <v>119.83221761222764</v>
      </c>
      <c r="T145" s="49" cm="1">
        <f t="array" ref="T145">_xll.aqBondObjectDirtyPrice($L145,$C$4,$M145)</f>
        <v>126.10986301369861</v>
      </c>
      <c r="U145" s="49" cm="1">
        <f t="array" ref="U145">_xll.aqBondObjectModifiedDuration($L145,$C$4,$Q145)</f>
        <v>12.641674154074229</v>
      </c>
      <c r="V145" s="93" cm="1">
        <f t="array" ref="V145">_xll.aqBondObjectDV01($L145,$C$4,$Q145)</f>
        <v>1594.2397958341153</v>
      </c>
    </row>
    <row r="146" spans="2:22">
      <c r="B146" s="11" t="s">
        <v>1028</v>
      </c>
      <c r="C146" s="11" t="s">
        <v>1029</v>
      </c>
      <c r="D146" s="11" t="s">
        <v>1029</v>
      </c>
      <c r="E146" s="12">
        <v>41330</v>
      </c>
      <c r="F146" s="15">
        <v>41263</v>
      </c>
      <c r="G146" s="14"/>
      <c r="H146" s="12">
        <v>41445</v>
      </c>
      <c r="I146" s="12">
        <v>48385</v>
      </c>
      <c r="J146" s="13">
        <v>1.8000000000000002E-2</v>
      </c>
      <c r="K146" s="12">
        <v>48568</v>
      </c>
      <c r="L146" s="16" t="str" cm="1">
        <f t="array" ref="L146">_xll.aqBondObjectCreateFromGenerator($C146,$L$4,_xll.aqToolLVBFromKeysValues($C$7:$K$7,$C146:$K146))</f>
        <v>JP1201421D22:3</v>
      </c>
      <c r="M146" s="78">
        <v>3.360000000000004E-3</v>
      </c>
      <c r="N146" s="51">
        <v>119.8056</v>
      </c>
      <c r="O146" s="51">
        <v>12.723800000000001</v>
      </c>
      <c r="P146" s="95">
        <v>1604.4652000000001</v>
      </c>
      <c r="Q146" s="39" cm="1">
        <f t="array" ref="Q146">_xll.aqBondObjectYield(L146,$C$4,R146)</f>
        <v>3.3600000000000036E-3</v>
      </c>
      <c r="R146" s="49" cm="1">
        <f t="array" ref="R146">_xll.aqBondObjectPrice($L146,$C$4,$M146)</f>
        <v>119.80555115041196</v>
      </c>
      <c r="S146" s="49" cm="1">
        <f t="array" ref="S146">_xll.aqBondObjectCleanPrice($L146,$C$4,$M146)</f>
        <v>119.80555115041196</v>
      </c>
      <c r="T146" s="49" cm="1">
        <f t="array" ref="T146">_xll.aqBondObjectDirtyPrice($L146,$C$4,$M146)</f>
        <v>126.1</v>
      </c>
      <c r="U146" s="49" cm="1">
        <f t="array" ref="U146">_xll.aqBondObjectModifiedDuration($L146,$C$4,$Q146)</f>
        <v>12.723752620772819</v>
      </c>
      <c r="V146" s="93" cm="1">
        <f t="array" ref="V146">_xll.aqBondObjectDV01($L146,$C$4,$Q146)</f>
        <v>1604.4652054794524</v>
      </c>
    </row>
    <row r="147" spans="2:22">
      <c r="B147" s="11" t="s">
        <v>1030</v>
      </c>
      <c r="C147" s="11" t="s">
        <v>1031</v>
      </c>
      <c r="D147" s="11" t="s">
        <v>1031</v>
      </c>
      <c r="E147" s="12">
        <v>41263</v>
      </c>
      <c r="F147" s="15">
        <v>41263</v>
      </c>
      <c r="G147" s="14"/>
      <c r="H147" s="12">
        <v>41445</v>
      </c>
      <c r="I147" s="12">
        <v>48385</v>
      </c>
      <c r="J147" s="13">
        <v>1.7000000000000001E-2</v>
      </c>
      <c r="K147" s="12">
        <v>48568</v>
      </c>
      <c r="L147" s="16" t="str" cm="1">
        <f t="array" ref="L147">_xll.aqBondObjectCreateFromGenerator($C147,$L$4,_xll.aqToolLVBFromKeysValues($C$7:$K$7,$C147:$K147))</f>
        <v>JP1201411CC4:3</v>
      </c>
      <c r="M147" s="78">
        <v>3.3500000000000031E-3</v>
      </c>
      <c r="N147" s="51">
        <v>118.4687</v>
      </c>
      <c r="O147" s="51">
        <v>12.7883</v>
      </c>
      <c r="P147" s="95">
        <v>1594.0649000000001</v>
      </c>
      <c r="Q147" s="39" cm="1">
        <f t="array" ref="Q147">_xll.aqBondObjectYield(L147,$C$4,R147)</f>
        <v>3.3500000000000014E-3</v>
      </c>
      <c r="R147" s="49" cm="1">
        <f t="array" ref="R147">_xll.aqBondObjectPrice($L147,$C$4,$M147)</f>
        <v>118.46873986067779</v>
      </c>
      <c r="S147" s="49" cm="1">
        <f t="array" ref="S147">_xll.aqBondObjectCleanPrice($L147,$C$4,$M147)</f>
        <v>118.46873986067779</v>
      </c>
      <c r="T147" s="49" cm="1">
        <f t="array" ref="T147">_xll.aqBondObjectDirtyPrice($L147,$C$4,$M147)</f>
        <v>124.64999999999999</v>
      </c>
      <c r="U147" s="49" cm="1">
        <f t="array" ref="U147">_xll.aqBondObjectModifiedDuration($L147,$C$4,$Q147)</f>
        <v>12.788326767002401</v>
      </c>
      <c r="V147" s="93" cm="1">
        <f t="array" ref="V147">_xll.aqBondObjectDV01($L147,$C$4,$Q147)</f>
        <v>1594.0649315068492</v>
      </c>
    </row>
    <row r="148" spans="2:22">
      <c r="B148" s="11" t="s">
        <v>1032</v>
      </c>
      <c r="C148" s="11" t="s">
        <v>1033</v>
      </c>
      <c r="D148" s="11" t="s">
        <v>1033</v>
      </c>
      <c r="E148" s="12">
        <v>37651</v>
      </c>
      <c r="F148" s="15">
        <v>37610</v>
      </c>
      <c r="G148" s="14"/>
      <c r="H148" s="12">
        <v>37792</v>
      </c>
      <c r="I148" s="12">
        <v>48385</v>
      </c>
      <c r="J148" s="13">
        <v>1.3999999999999999E-2</v>
      </c>
      <c r="K148" s="12">
        <v>48568</v>
      </c>
      <c r="L148" s="16" t="str" cm="1">
        <f t="array" ref="L148">_xll.aqBondObjectCreateFromGenerator($C148,$L$4,_xll.aqToolLVBFromKeysValues($C$7:$K$7,$C148:$K148))</f>
        <v>JP1300091319:3</v>
      </c>
      <c r="M148" s="78">
        <v>3.3700000000000036E-3</v>
      </c>
      <c r="N148" s="51">
        <v>114.37869999999999</v>
      </c>
      <c r="O148" s="51">
        <v>12.991400000000001</v>
      </c>
      <c r="P148" s="95">
        <v>1562.8641</v>
      </c>
      <c r="Q148" s="39" cm="1">
        <f t="array" ref="Q148">_xll.aqBondObjectYield(L148,$C$4,R148)</f>
        <v>3.3700000000000019E-3</v>
      </c>
      <c r="R148" s="49" cm="1">
        <f t="array" ref="R148">_xll.aqBondObjectPrice($L148,$C$4,$M148)</f>
        <v>114.37872478633578</v>
      </c>
      <c r="S148" s="49" cm="1">
        <f t="array" ref="S148">_xll.aqBondObjectCleanPrice($L148,$C$4,$M148)</f>
        <v>114.37872478633578</v>
      </c>
      <c r="T148" s="49" cm="1">
        <f t="array" ref="T148">_xll.aqBondObjectDirtyPrice($L148,$C$4,$M148)</f>
        <v>120.30000000000001</v>
      </c>
      <c r="U148" s="49" cm="1">
        <f t="array" ref="U148">_xll.aqBondObjectModifiedDuration($L148,$C$4,$Q148)</f>
        <v>12.991389107140826</v>
      </c>
      <c r="V148" s="93" cm="1">
        <f t="array" ref="V148">_xll.aqBondObjectDV01($L148,$C$4,$Q148)</f>
        <v>1562.8641095890414</v>
      </c>
    </row>
    <row r="149" spans="2:22">
      <c r="B149" s="11" t="s">
        <v>1034</v>
      </c>
      <c r="C149" s="11" t="s">
        <v>1035</v>
      </c>
      <c r="D149" s="11" t="s">
        <v>1035</v>
      </c>
      <c r="E149" s="12">
        <v>41386</v>
      </c>
      <c r="F149" s="15">
        <v>41353</v>
      </c>
      <c r="G149" s="14"/>
      <c r="H149" s="12">
        <v>41537</v>
      </c>
      <c r="I149" s="12">
        <v>48477</v>
      </c>
      <c r="J149" s="13">
        <v>1.4999999999999999E-2</v>
      </c>
      <c r="K149" s="12">
        <v>48658</v>
      </c>
      <c r="L149" s="16" t="str" cm="1">
        <f t="array" ref="L149">_xll.aqBondObjectCreateFromGenerator($C149,$L$4,_xll.aqToolLVBFromKeysValues($C$7:$K$7,$C149:$K149))</f>
        <v>JP1201441D44:3</v>
      </c>
      <c r="M149" s="78">
        <v>3.4999999999999975E-3</v>
      </c>
      <c r="N149" s="51">
        <v>115.7854</v>
      </c>
      <c r="O149" s="51">
        <v>13.168699999999999</v>
      </c>
      <c r="P149" s="95">
        <v>1603.2849000000001</v>
      </c>
      <c r="Q149" s="39" cm="1">
        <f t="array" ref="Q149">_xll.aqBondObjectYield(L149,$C$4,R149)</f>
        <v>3.4999999999999983E-3</v>
      </c>
      <c r="R149" s="49" cm="1">
        <f t="array" ref="R149">_xll.aqBondObjectPrice($L149,$C$4,$M149)</f>
        <v>115.78541053490881</v>
      </c>
      <c r="S149" s="49" cm="1">
        <f t="array" ref="S149">_xll.aqBondObjectCleanPrice($L149,$C$4,$M149)</f>
        <v>115.78541053490881</v>
      </c>
      <c r="T149" s="49" cm="1">
        <f t="array" ref="T149">_xll.aqBondObjectDirtyPrice($L149,$C$4,$M149)</f>
        <v>121.75</v>
      </c>
      <c r="U149" s="49" cm="1">
        <f t="array" ref="U149">_xll.aqBondObjectModifiedDuration($L149,$C$4,$Q149)</f>
        <v>13.168664735169195</v>
      </c>
      <c r="V149" s="93" cm="1">
        <f t="array" ref="V149">_xll.aqBondObjectDV01($L149,$C$4,$Q149)</f>
        <v>1603.2849315068495</v>
      </c>
    </row>
    <row r="150" spans="2:22">
      <c r="B150" s="11" t="s">
        <v>1036</v>
      </c>
      <c r="C150" s="11" t="s">
        <v>1037</v>
      </c>
      <c r="D150" s="11" t="s">
        <v>1037</v>
      </c>
      <c r="E150" s="12">
        <v>41354</v>
      </c>
      <c r="F150" s="15">
        <v>41353</v>
      </c>
      <c r="G150" s="14"/>
      <c r="H150" s="12">
        <v>41537</v>
      </c>
      <c r="I150" s="12">
        <v>48477</v>
      </c>
      <c r="J150" s="13">
        <v>1.6E-2</v>
      </c>
      <c r="K150" s="12">
        <v>48658</v>
      </c>
      <c r="L150" s="16" t="str" cm="1">
        <f t="array" ref="L150">_xll.aqBondObjectCreateFromGenerator($C150,$L$4,_xll.aqToolLVBFromKeysValues($C$7:$K$7,$C150:$K150))</f>
        <v>JP1201431D38:3</v>
      </c>
      <c r="M150" s="78">
        <v>3.499999999999997E-3</v>
      </c>
      <c r="N150" s="51">
        <v>117.1581</v>
      </c>
      <c r="O150" s="51">
        <v>13.101000000000001</v>
      </c>
      <c r="P150" s="95">
        <v>1614.0427</v>
      </c>
      <c r="Q150" s="39" cm="1">
        <f t="array" ref="Q150">_xll.aqBondObjectYield(L150,$C$4,R150)</f>
        <v>3.5000000000000044E-3</v>
      </c>
      <c r="R150" s="49" cm="1">
        <f t="array" ref="R150">_xll.aqBondObjectPrice($L150,$C$4,$M150)</f>
        <v>117.15805492924869</v>
      </c>
      <c r="S150" s="49" cm="1">
        <f t="array" ref="S150">_xll.aqBondObjectCleanPrice($L150,$C$4,$M150)</f>
        <v>117.15805492924869</v>
      </c>
      <c r="T150" s="49" cm="1">
        <f t="array" ref="T150">_xll.aqBondObjectDirtyPrice($L150,$C$4,$M150)</f>
        <v>123.2</v>
      </c>
      <c r="U150" s="49" cm="1">
        <f t="array" ref="U150">_xll.aqBondObjectModifiedDuration($L150,$C$4,$Q150)</f>
        <v>13.100996264009964</v>
      </c>
      <c r="V150" s="93" cm="1">
        <f t="array" ref="V150">_xll.aqBondObjectDV01($L150,$C$4,$Q150)</f>
        <v>1614.0427397260275</v>
      </c>
    </row>
    <row r="151" spans="2:22">
      <c r="B151" s="11" t="s">
        <v>1038</v>
      </c>
      <c r="C151" s="11" t="s">
        <v>1039</v>
      </c>
      <c r="D151" s="11" t="s">
        <v>1039</v>
      </c>
      <c r="E151" s="12">
        <v>37767</v>
      </c>
      <c r="F151" s="15">
        <v>37700</v>
      </c>
      <c r="G151" s="14"/>
      <c r="H151" s="12">
        <v>37884</v>
      </c>
      <c r="I151" s="12">
        <v>48477</v>
      </c>
      <c r="J151" s="13">
        <v>1.1000000000000001E-2</v>
      </c>
      <c r="K151" s="12">
        <v>48658</v>
      </c>
      <c r="L151" s="16" t="str" cm="1">
        <f t="array" ref="L151">_xll.aqBondObjectCreateFromGenerator($C151,$L$4,_xll.aqToolLVBFromKeysValues($C$7:$K$7,$C151:$K151))</f>
        <v>JP1300101357:3</v>
      </c>
      <c r="M151" s="78">
        <v>3.5799999999999959E-3</v>
      </c>
      <c r="N151" s="51">
        <v>110.1738</v>
      </c>
      <c r="O151" s="51">
        <v>13.456300000000001</v>
      </c>
      <c r="P151" s="95">
        <v>1560.2537</v>
      </c>
      <c r="Q151" s="39" cm="1">
        <f t="array" ref="Q151">_xll.aqBondObjectYield(L151,$C$4,R151)</f>
        <v>3.5800000000000098E-3</v>
      </c>
      <c r="R151" s="49" cm="1">
        <f t="array" ref="R151">_xll.aqBondObjectPrice($L151,$C$4,$M151)</f>
        <v>110.17384934418509</v>
      </c>
      <c r="S151" s="49" cm="1">
        <f t="array" ref="S151">_xll.aqBondObjectCleanPrice($L151,$C$4,$M151)</f>
        <v>110.17384934418509</v>
      </c>
      <c r="T151" s="49" cm="1">
        <f t="array" ref="T151">_xll.aqBondObjectDirtyPrice($L151,$C$4,$M151)</f>
        <v>115.95</v>
      </c>
      <c r="U151" s="49" cm="1">
        <f t="array" ref="U151">_xll.aqBondObjectModifiedDuration($L151,$C$4,$Q151)</f>
        <v>13.45626303260144</v>
      </c>
      <c r="V151" s="93" cm="1">
        <f t="array" ref="V151">_xll.aqBondObjectDV01($L151,$C$4,$Q151)</f>
        <v>1560.253698630137</v>
      </c>
    </row>
    <row r="152" spans="2:22">
      <c r="B152" s="11" t="s">
        <v>1040</v>
      </c>
      <c r="C152" s="11" t="s">
        <v>1041</v>
      </c>
      <c r="D152" s="11" t="s">
        <v>1041</v>
      </c>
      <c r="E152" s="12">
        <v>41445</v>
      </c>
      <c r="F152" s="15">
        <v>41445</v>
      </c>
      <c r="G152" s="14"/>
      <c r="H152" s="12">
        <v>41628</v>
      </c>
      <c r="I152" s="12">
        <v>48568</v>
      </c>
      <c r="J152" s="13">
        <v>1.7000000000000001E-2</v>
      </c>
      <c r="K152" s="12">
        <v>48750</v>
      </c>
      <c r="L152" s="16" t="str" cm="1">
        <f t="array" ref="L152">_xll.aqBondObjectCreateFromGenerator($C152,$L$4,_xll.aqToolLVBFromKeysValues($C$7:$K$7,$C152:$K152))</f>
        <v>JP1201451D66:3</v>
      </c>
      <c r="M152" s="78">
        <v>3.6000000000000003E-3</v>
      </c>
      <c r="N152" s="51">
        <v>118.67319999999999</v>
      </c>
      <c r="O152" s="51">
        <v>13.1995</v>
      </c>
      <c r="P152" s="95">
        <v>1656.5365999999999</v>
      </c>
      <c r="Q152" s="39" cm="1">
        <f t="array" ref="Q152">_xll.aqBondObjectYield(L152,$C$4,R152)</f>
        <v>3.600000000000006E-3</v>
      </c>
      <c r="R152" s="49" cm="1">
        <f t="array" ref="R152">_xll.aqBondObjectPrice($L152,$C$4,$M152)</f>
        <v>118.67320013115504</v>
      </c>
      <c r="S152" s="49" cm="1">
        <f t="array" ref="S152">_xll.aqBondObjectCleanPrice($L152,$C$4,$M152)</f>
        <v>118.67320013115504</v>
      </c>
      <c r="T152" s="49" cm="1">
        <f t="array" ref="T152">_xll.aqBondObjectDirtyPrice($L152,$C$4,$M152)</f>
        <v>125.49999999999999</v>
      </c>
      <c r="U152" s="49" cm="1">
        <f t="array" ref="U152">_xll.aqBondObjectModifiedDuration($L152,$C$4,$Q152)</f>
        <v>13.199495170004912</v>
      </c>
      <c r="V152" s="93" cm="1">
        <f t="array" ref="V152">_xll.aqBondObjectDV01($L152,$C$4,$Q152)</f>
        <v>1656.5366438356164</v>
      </c>
    </row>
    <row r="153" spans="2:22">
      <c r="B153" s="11" t="s">
        <v>1042</v>
      </c>
      <c r="C153" s="11" t="s">
        <v>1043</v>
      </c>
      <c r="D153" s="11" t="s">
        <v>1043</v>
      </c>
      <c r="E153" s="12">
        <v>37832</v>
      </c>
      <c r="F153" s="15">
        <v>37792</v>
      </c>
      <c r="G153" s="14"/>
      <c r="H153" s="12">
        <v>37975</v>
      </c>
      <c r="I153" s="12">
        <v>48568</v>
      </c>
      <c r="J153" s="13">
        <v>1.7000000000000001E-2</v>
      </c>
      <c r="K153" s="12">
        <v>48750</v>
      </c>
      <c r="L153" s="16" t="str" cm="1">
        <f t="array" ref="L153">_xll.aqBondObjectCreateFromGenerator($C153,$L$4,_xll.aqToolLVBFromKeysValues($C$7:$K$7,$C153:$K153))</f>
        <v>JP1300111372:3</v>
      </c>
      <c r="M153" s="78">
        <v>3.5800000000000038E-3</v>
      </c>
      <c r="N153" s="51">
        <v>118.7063</v>
      </c>
      <c r="O153" s="51">
        <v>13.1995</v>
      </c>
      <c r="P153" s="95">
        <v>1656.5365999999999</v>
      </c>
      <c r="Q153" s="39" cm="1">
        <f t="array" ref="Q153">_xll.aqBondObjectYield(L153,$C$4,R153)</f>
        <v>3.5799999999999942E-3</v>
      </c>
      <c r="R153" s="49" cm="1">
        <f t="array" ref="R153">_xll.aqBondObjectPrice($L153,$C$4,$M153)</f>
        <v>118.70628410428797</v>
      </c>
      <c r="S153" s="49" cm="1">
        <f t="array" ref="S153">_xll.aqBondObjectCleanPrice($L153,$C$4,$M153)</f>
        <v>118.70628410428797</v>
      </c>
      <c r="T153" s="49" cm="1">
        <f t="array" ref="T153">_xll.aqBondObjectDirtyPrice($L153,$C$4,$M153)</f>
        <v>125.49999999999999</v>
      </c>
      <c r="U153" s="49" cm="1">
        <f t="array" ref="U153">_xll.aqBondObjectModifiedDuration($L153,$C$4,$Q153)</f>
        <v>13.199495170004912</v>
      </c>
      <c r="V153" s="93" cm="1">
        <f t="array" ref="V153">_xll.aqBondObjectDV01($L153,$C$4,$Q153)</f>
        <v>1656.5366438356164</v>
      </c>
    </row>
    <row r="154" spans="2:22">
      <c r="B154" s="11" t="s">
        <v>1044</v>
      </c>
      <c r="C154" s="11" t="s">
        <v>1045</v>
      </c>
      <c r="D154" s="11" t="s">
        <v>1045</v>
      </c>
      <c r="E154" s="12">
        <v>41537</v>
      </c>
      <c r="F154" s="15">
        <v>41537</v>
      </c>
      <c r="G154" s="14"/>
      <c r="H154" s="12">
        <v>41718</v>
      </c>
      <c r="I154" s="12">
        <v>48658</v>
      </c>
      <c r="J154" s="13">
        <v>1.7000000000000001E-2</v>
      </c>
      <c r="K154" s="12">
        <v>48842</v>
      </c>
      <c r="L154" s="16" t="str" cm="1">
        <f t="array" ref="L154">_xll.aqBondObjectCreateFromGenerator($C154,$L$4,_xll.aqToolLVBFromKeysValues($C$7:$K$7,$C154:$K154))</f>
        <v>JP1201461D98:3</v>
      </c>
      <c r="M154" s="78">
        <v>3.749999999999996E-3</v>
      </c>
      <c r="N154" s="51">
        <v>118.72539999999999</v>
      </c>
      <c r="O154" s="51">
        <v>13.446099999999999</v>
      </c>
      <c r="P154" s="95">
        <v>1687.4818</v>
      </c>
      <c r="Q154" s="39" cm="1">
        <f t="array" ref="Q154">_xll.aqBondObjectYield(L154,$C$4,R154)</f>
        <v>3.7499999999999908E-3</v>
      </c>
      <c r="R154" s="49" cm="1">
        <f t="array" ref="R154">_xll.aqBondObjectPrice($L154,$C$4,$M154)</f>
        <v>118.72543709723976</v>
      </c>
      <c r="S154" s="49" cm="1">
        <f t="array" ref="S154">_xll.aqBondObjectCleanPrice($L154,$C$4,$M154)</f>
        <v>118.72543709723976</v>
      </c>
      <c r="T154" s="49" cm="1">
        <f t="array" ref="T154">_xll.aqBondObjectDirtyPrice($L154,$C$4,$M154)</f>
        <v>125.49999999999999</v>
      </c>
      <c r="U154" s="49" cm="1">
        <f t="array" ref="U154">_xll.aqBondObjectModifiedDuration($L154,$C$4,$Q154)</f>
        <v>13.446070512470667</v>
      </c>
      <c r="V154" s="93" cm="1">
        <f t="array" ref="V154">_xll.aqBondObjectDV01($L154,$C$4,$Q154)</f>
        <v>1687.4818493150685</v>
      </c>
    </row>
    <row r="155" spans="2:22">
      <c r="B155" s="11" t="s">
        <v>1046</v>
      </c>
      <c r="C155" s="11" t="s">
        <v>1047</v>
      </c>
      <c r="D155" s="11" t="s">
        <v>1047</v>
      </c>
      <c r="E155" s="12">
        <v>37945</v>
      </c>
      <c r="F155" s="15">
        <v>37884</v>
      </c>
      <c r="G155" s="14"/>
      <c r="H155" s="12">
        <v>38066</v>
      </c>
      <c r="I155" s="12">
        <v>48658</v>
      </c>
      <c r="J155" s="13">
        <v>2.1000000000000001E-2</v>
      </c>
      <c r="K155" s="12">
        <v>48842</v>
      </c>
      <c r="L155" s="16" t="str" cm="1">
        <f t="array" ref="L155">_xll.aqBondObjectCreateFromGenerator($C155,$L$4,_xll.aqToolLVBFromKeysValues($C$7:$K$7,$C155:$K155))</f>
        <v>JP13001213B5:3</v>
      </c>
      <c r="M155" s="78">
        <v>3.6399999999999961E-3</v>
      </c>
      <c r="N155" s="51">
        <v>124.57210000000001</v>
      </c>
      <c r="O155" s="51">
        <v>13.182499999999999</v>
      </c>
      <c r="P155" s="95">
        <v>1733.4969000000001</v>
      </c>
      <c r="Q155" s="39" cm="1">
        <f t="array" ref="Q155">_xll.aqBondObjectYield(L155,$C$4,R155)</f>
        <v>3.6400000000000048E-3</v>
      </c>
      <c r="R155" s="49" cm="1">
        <f t="array" ref="R155">_xll.aqBondObjectPrice($L155,$C$4,$M155)</f>
        <v>124.57205454460221</v>
      </c>
      <c r="S155" s="49" cm="1">
        <f t="array" ref="S155">_xll.aqBondObjectCleanPrice($L155,$C$4,$M155)</f>
        <v>124.57205454460221</v>
      </c>
      <c r="T155" s="49" cm="1">
        <f t="array" ref="T155">_xll.aqBondObjectDirtyPrice($L155,$C$4,$M155)</f>
        <v>131.5</v>
      </c>
      <c r="U155" s="49" cm="1">
        <f t="array" ref="U155">_xll.aqBondObjectModifiedDuration($L155,$C$4,$Q155)</f>
        <v>13.182486066982655</v>
      </c>
      <c r="V155" s="93" cm="1">
        <f t="array" ref="V155">_xll.aqBondObjectDV01($L155,$C$4,$Q155)</f>
        <v>1733.4969178082192</v>
      </c>
    </row>
    <row r="156" spans="2:22">
      <c r="B156" s="11" t="s">
        <v>1048</v>
      </c>
      <c r="C156" s="11" t="s">
        <v>1049</v>
      </c>
      <c r="D156" s="11" t="s">
        <v>1049</v>
      </c>
      <c r="E156" s="12">
        <v>41628</v>
      </c>
      <c r="F156" s="15">
        <v>41628</v>
      </c>
      <c r="G156" s="14"/>
      <c r="H156" s="12">
        <v>41810</v>
      </c>
      <c r="I156" s="12">
        <v>48750</v>
      </c>
      <c r="J156" s="13">
        <v>1.6E-2</v>
      </c>
      <c r="K156" s="12">
        <v>48933</v>
      </c>
      <c r="L156" s="16" t="str" cm="1">
        <f t="array" ref="L156">_xll.aqBondObjectCreateFromGenerator($C156,$L$4,_xll.aqToolLVBFromKeysValues($C$7:$K$7,$C156:$K156))</f>
        <v>JP1201471DC6:3</v>
      </c>
      <c r="M156" s="78">
        <v>3.8900000000000002E-3</v>
      </c>
      <c r="N156" s="51">
        <v>117.35</v>
      </c>
      <c r="O156" s="51">
        <v>13.6822</v>
      </c>
      <c r="P156" s="95">
        <v>1707.5408</v>
      </c>
      <c r="Q156" s="39" cm="1">
        <f t="array" ref="Q156">_xll.aqBondObjectYield(L156,$C$4,R156)</f>
        <v>3.8899999999999976E-3</v>
      </c>
      <c r="R156" s="49" cm="1">
        <f t="array" ref="R156">_xll.aqBondObjectPrice($L156,$C$4,$M156)</f>
        <v>117.3500001888536</v>
      </c>
      <c r="S156" s="49" cm="1">
        <f t="array" ref="S156">_xll.aqBondObjectCleanPrice($L156,$C$4,$M156)</f>
        <v>117.3500001888536</v>
      </c>
      <c r="T156" s="49" cm="1">
        <f t="array" ref="T156">_xll.aqBondObjectDirtyPrice($L156,$C$4,$M156)</f>
        <v>124.8</v>
      </c>
      <c r="U156" s="49" cm="1">
        <f t="array" ref="U156">_xll.aqBondObjectModifiedDuration($L156,$C$4,$Q156)</f>
        <v>13.682218124341412</v>
      </c>
      <c r="V156" s="93" cm="1">
        <f t="array" ref="V156">_xll.aqBondObjectDV01($L156,$C$4,$Q156)</f>
        <v>1707.5408219178082</v>
      </c>
    </row>
    <row r="157" spans="2:22">
      <c r="B157" s="11" t="s">
        <v>1050</v>
      </c>
      <c r="C157" s="11" t="s">
        <v>1051</v>
      </c>
      <c r="D157" s="11" t="s">
        <v>1051</v>
      </c>
      <c r="E157" s="12">
        <v>38044</v>
      </c>
      <c r="F157" s="15">
        <v>37975</v>
      </c>
      <c r="G157" s="14"/>
      <c r="H157" s="12">
        <v>38158</v>
      </c>
      <c r="I157" s="12">
        <v>48750</v>
      </c>
      <c r="J157" s="13">
        <v>0.02</v>
      </c>
      <c r="K157" s="12">
        <v>48933</v>
      </c>
      <c r="L157" s="16" t="str" cm="1">
        <f t="array" ref="L157">_xll.aqBondObjectCreateFromGenerator($C157,$L$4,_xll.aqToolLVBFromKeysValues($C$7:$K$7,$C157:$K157))</f>
        <v>JP1300131420:3</v>
      </c>
      <c r="M157" s="78">
        <v>3.7899999999999974E-3</v>
      </c>
      <c r="N157" s="51">
        <v>123.2574</v>
      </c>
      <c r="O157" s="51">
        <v>13.3978</v>
      </c>
      <c r="P157" s="95">
        <v>1755.1110000000001</v>
      </c>
      <c r="Q157" s="39" cm="1">
        <f t="array" ref="Q157">_xll.aqBondObjectYield(L157,$C$4,R157)</f>
        <v>3.7900000000000008E-3</v>
      </c>
      <c r="R157" s="49" cm="1">
        <f t="array" ref="R157">_xll.aqBondObjectPrice($L157,$C$4,$M157)</f>
        <v>123.25739214032565</v>
      </c>
      <c r="S157" s="49" cm="1">
        <f t="array" ref="S157">_xll.aqBondObjectCleanPrice($L157,$C$4,$M157)</f>
        <v>123.25739214032565</v>
      </c>
      <c r="T157" s="49" cm="1">
        <f t="array" ref="T157">_xll.aqBondObjectDirtyPrice($L157,$C$4,$M157)</f>
        <v>131</v>
      </c>
      <c r="U157" s="49" cm="1">
        <f t="array" ref="U157">_xll.aqBondObjectModifiedDuration($L157,$C$4,$Q157)</f>
        <v>13.397793579420684</v>
      </c>
      <c r="V157" s="93" cm="1">
        <f t="array" ref="V157">_xll.aqBondObjectDV01($L157,$C$4,$Q157)</f>
        <v>1755.1109589041096</v>
      </c>
    </row>
    <row r="158" spans="2:22">
      <c r="B158" s="11" t="s">
        <v>1052</v>
      </c>
      <c r="C158" s="11" t="s">
        <v>1053</v>
      </c>
      <c r="D158" s="11" t="s">
        <v>1053</v>
      </c>
      <c r="E158" s="12">
        <v>41718</v>
      </c>
      <c r="F158" s="15">
        <v>41718</v>
      </c>
      <c r="G158" s="14"/>
      <c r="H158" s="12">
        <v>41902</v>
      </c>
      <c r="I158" s="12">
        <v>48842</v>
      </c>
      <c r="J158" s="13">
        <v>1.4999999999999999E-2</v>
      </c>
      <c r="K158" s="12">
        <v>49023</v>
      </c>
      <c r="L158" s="16" t="str" cm="1">
        <f t="array" ref="L158">_xll.aqBondObjectCreateFromGenerator($C158,$L$4,_xll.aqToolLVBFromKeysValues($C$7:$K$7,$C158:$K158))</f>
        <v>JP1201481E36:3</v>
      </c>
      <c r="M158" s="78">
        <v>4.0400000000000071E-3</v>
      </c>
      <c r="N158" s="51">
        <v>115.9084</v>
      </c>
      <c r="O158" s="51">
        <v>14.0044</v>
      </c>
      <c r="P158" s="95">
        <v>1726.0387000000001</v>
      </c>
      <c r="Q158" s="39" cm="1">
        <f t="array" ref="Q158">_xll.aqBondObjectYield(L158,$C$4,R158)</f>
        <v>4.0400000000000011E-3</v>
      </c>
      <c r="R158" s="49" cm="1">
        <f t="array" ref="R158">_xll.aqBondObjectPrice($L158,$C$4,$M158)</f>
        <v>115.90842785441848</v>
      </c>
      <c r="S158" s="49" cm="1">
        <f t="array" ref="S158">_xll.aqBondObjectCleanPrice($L158,$C$4,$M158)</f>
        <v>115.90842785441848</v>
      </c>
      <c r="T158" s="49" cm="1">
        <f t="array" ref="T158">_xll.aqBondObjectDirtyPrice($L158,$C$4,$M158)</f>
        <v>123.25</v>
      </c>
      <c r="U158" s="49" cm="1">
        <f t="array" ref="U158">_xll.aqBondObjectModifiedDuration($L158,$C$4,$Q158)</f>
        <v>14.004370779960544</v>
      </c>
      <c r="V158" s="93" cm="1">
        <f t="array" ref="V158">_xll.aqBondObjectDV01($L158,$C$4,$Q158)</f>
        <v>1726.0386986301371</v>
      </c>
    </row>
    <row r="159" spans="2:22">
      <c r="B159" s="11" t="s">
        <v>1054</v>
      </c>
      <c r="C159" s="11" t="s">
        <v>1055</v>
      </c>
      <c r="D159" s="11" t="s">
        <v>1055</v>
      </c>
      <c r="E159" s="12">
        <v>38097</v>
      </c>
      <c r="F159" s="15">
        <v>38066</v>
      </c>
      <c r="G159" s="14"/>
      <c r="H159" s="12">
        <v>38250</v>
      </c>
      <c r="I159" s="12">
        <v>48842</v>
      </c>
      <c r="J159" s="13">
        <v>2.4E-2</v>
      </c>
      <c r="K159" s="12">
        <v>49023</v>
      </c>
      <c r="L159" s="16" t="str" cm="1">
        <f t="array" ref="L159">_xll.aqBondObjectCreateFromGenerator($C159,$L$4,_xll.aqToolLVBFromKeysValues($C$7:$K$7,$C159:$K159))</f>
        <v>JP1300141445:3</v>
      </c>
      <c r="M159" s="78">
        <v>3.8400000000000079E-3</v>
      </c>
      <c r="N159" s="51">
        <v>129.34739999999999</v>
      </c>
      <c r="O159" s="51">
        <v>13.3857</v>
      </c>
      <c r="P159" s="95">
        <v>1836.5111999999999</v>
      </c>
      <c r="Q159" s="39" cm="1">
        <f t="array" ref="Q159">_xll.aqBondObjectYield(L159,$C$4,R159)</f>
        <v>3.8400000000000083E-3</v>
      </c>
      <c r="R159" s="49" cm="1">
        <f t="array" ref="R159">_xll.aqBondObjectPrice($L159,$C$4,$M159)</f>
        <v>129.34741313450772</v>
      </c>
      <c r="S159" s="49" cm="1">
        <f t="array" ref="S159">_xll.aqBondObjectCleanPrice($L159,$C$4,$M159)</f>
        <v>129.34741313450772</v>
      </c>
      <c r="T159" s="49" cm="1">
        <f t="array" ref="T159">_xll.aqBondObjectDirtyPrice($L159,$C$4,$M159)</f>
        <v>137.20000000000002</v>
      </c>
      <c r="U159" s="49" cm="1">
        <f t="array" ref="U159">_xll.aqBondObjectModifiedDuration($L159,$C$4,$Q159)</f>
        <v>13.385650385398776</v>
      </c>
      <c r="V159" s="93" cm="1">
        <f t="array" ref="V159">_xll.aqBondObjectDV01($L159,$C$4,$Q159)</f>
        <v>1836.5112328767123</v>
      </c>
    </row>
    <row r="160" spans="2:22">
      <c r="B160" s="11" t="s">
        <v>1056</v>
      </c>
      <c r="C160" s="11" t="s">
        <v>1057</v>
      </c>
      <c r="D160" s="11" t="s">
        <v>1057</v>
      </c>
      <c r="E160" s="12">
        <v>41810</v>
      </c>
      <c r="F160" s="15">
        <v>41810</v>
      </c>
      <c r="G160" s="14"/>
      <c r="H160" s="12">
        <v>41993</v>
      </c>
      <c r="I160" s="12">
        <v>48933</v>
      </c>
      <c r="J160" s="13">
        <v>1.4999999999999999E-2</v>
      </c>
      <c r="K160" s="12">
        <v>49115</v>
      </c>
      <c r="L160" s="16" t="str" cm="1">
        <f t="array" ref="L160">_xll.aqBondObjectCreateFromGenerator($C160,$L$4,_xll.aqToolLVBFromKeysValues($C$7:$K$7,$C160:$K160))</f>
        <v>JP1201491E67:3</v>
      </c>
      <c r="M160" s="78">
        <v>4.190000000000008E-3</v>
      </c>
      <c r="N160" s="51">
        <v>115.8968</v>
      </c>
      <c r="O160" s="51">
        <v>14.172599999999999</v>
      </c>
      <c r="P160" s="95">
        <v>1757.4027000000001</v>
      </c>
      <c r="Q160" s="39" cm="1">
        <f t="array" ref="Q160">_xll.aqBondObjectYield(L160,$C$4,R160)</f>
        <v>4.1900000000000106E-3</v>
      </c>
      <c r="R160" s="49" cm="1">
        <f t="array" ref="R160">_xll.aqBondObjectPrice($L160,$C$4,$M160)</f>
        <v>115.89678090777926</v>
      </c>
      <c r="S160" s="49" cm="1">
        <f t="array" ref="S160">_xll.aqBondObjectCleanPrice($L160,$C$4,$M160)</f>
        <v>115.89678090777926</v>
      </c>
      <c r="T160" s="49" cm="1">
        <f t="array" ref="T160">_xll.aqBondObjectDirtyPrice($L160,$C$4,$M160)</f>
        <v>124</v>
      </c>
      <c r="U160" s="49" cm="1">
        <f t="array" ref="U160">_xll.aqBondObjectModifiedDuration($L160,$C$4,$Q160)</f>
        <v>14.172602739726027</v>
      </c>
      <c r="V160" s="93" cm="1">
        <f t="array" ref="V160">_xll.aqBondObjectDV01($L160,$C$4,$Q160)</f>
        <v>1757.4027397260274</v>
      </c>
    </row>
    <row r="161" spans="2:22">
      <c r="B161" s="11" t="s">
        <v>1058</v>
      </c>
      <c r="C161" s="11" t="s">
        <v>1059</v>
      </c>
      <c r="D161" s="11" t="s">
        <v>1059</v>
      </c>
      <c r="E161" s="12">
        <v>38219</v>
      </c>
      <c r="F161" s="15">
        <v>38158</v>
      </c>
      <c r="G161" s="14"/>
      <c r="H161" s="12">
        <v>38341</v>
      </c>
      <c r="I161" s="12">
        <v>48933</v>
      </c>
      <c r="J161" s="13">
        <v>2.5000000000000001E-2</v>
      </c>
      <c r="K161" s="12">
        <v>49115</v>
      </c>
      <c r="L161" s="16" t="str" cm="1">
        <f t="array" ref="L161">_xll.aqBondObjectCreateFromGenerator($C161,$L$4,_xll.aqToolLVBFromKeysValues($C$7:$K$7,$C161:$K161))</f>
        <v>JP1300151485:3</v>
      </c>
      <c r="M161" s="78">
        <v>3.9699999999999987E-3</v>
      </c>
      <c r="N161" s="51">
        <v>131.02629999999999</v>
      </c>
      <c r="O161" s="51">
        <v>13.458299999999999</v>
      </c>
      <c r="P161" s="95">
        <v>1884.1643999999999</v>
      </c>
      <c r="Q161" s="39" cm="1">
        <f t="array" ref="Q161">_xll.aqBondObjectYield(L161,$C$4,R161)</f>
        <v>3.9700000000000108E-3</v>
      </c>
      <c r="R161" s="49" cm="1">
        <f t="array" ref="R161">_xll.aqBondObjectPrice($L161,$C$4,$M161)</f>
        <v>131.02630740009758</v>
      </c>
      <c r="S161" s="49" cm="1">
        <f t="array" ref="S161">_xll.aqBondObjectCleanPrice($L161,$C$4,$M161)</f>
        <v>131.02630740009758</v>
      </c>
      <c r="T161" s="49" cm="1">
        <f t="array" ref="T161">_xll.aqBondObjectDirtyPrice($L161,$C$4,$M161)</f>
        <v>140</v>
      </c>
      <c r="U161" s="49" cm="1">
        <f t="array" ref="U161">_xll.aqBondObjectModifiedDuration($L161,$C$4,$Q161)</f>
        <v>13.458317025440314</v>
      </c>
      <c r="V161" s="93" cm="1">
        <f t="array" ref="V161">_xll.aqBondObjectDV01($L161,$C$4,$Q161)</f>
        <v>1884.1643835616439</v>
      </c>
    </row>
    <row r="162" spans="2:22">
      <c r="B162" s="11" t="s">
        <v>1060</v>
      </c>
      <c r="C162" s="11" t="s">
        <v>1061</v>
      </c>
      <c r="D162" s="11" t="s">
        <v>1061</v>
      </c>
      <c r="E162" s="12">
        <v>41904</v>
      </c>
      <c r="F162" s="15">
        <v>41902</v>
      </c>
      <c r="G162" s="14"/>
      <c r="H162" s="12">
        <v>42083</v>
      </c>
      <c r="I162" s="12">
        <v>49023</v>
      </c>
      <c r="J162" s="13">
        <v>1.3999999999999999E-2</v>
      </c>
      <c r="K162" s="12">
        <v>49207</v>
      </c>
      <c r="L162" s="16" t="str" cm="1">
        <f t="array" ref="L162">_xll.aqBondObjectCreateFromGenerator($C162,$L$4,_xll.aqToolLVBFromKeysValues($C$7:$K$7,$C162:$K162))</f>
        <v>JP1201501E99:3</v>
      </c>
      <c r="M162" s="78">
        <v>4.3300000000000075E-3</v>
      </c>
      <c r="N162" s="51">
        <v>114.4046</v>
      </c>
      <c r="O162" s="51">
        <v>14.5009</v>
      </c>
      <c r="P162" s="95">
        <v>1774.9074000000001</v>
      </c>
      <c r="Q162" s="39" cm="1">
        <f t="array" ref="Q162">_xll.aqBondObjectYield(L162,$C$4,R162)</f>
        <v>4.3299999999999962E-3</v>
      </c>
      <c r="R162" s="49" cm="1">
        <f t="array" ref="R162">_xll.aqBondObjectPrice($L162,$C$4,$M162)</f>
        <v>114.40464975468389</v>
      </c>
      <c r="S162" s="49" cm="1">
        <f t="array" ref="S162">_xll.aqBondObjectCleanPrice($L162,$C$4,$M162)</f>
        <v>114.40464975468389</v>
      </c>
      <c r="T162" s="49" cm="1">
        <f t="array" ref="T162">_xll.aqBondObjectDirtyPrice($L162,$C$4,$M162)</f>
        <v>122.39999999999999</v>
      </c>
      <c r="U162" s="49" cm="1">
        <f t="array" ref="U162">_xll.aqBondObjectModifiedDuration($L162,$C$4,$Q162)</f>
        <v>14.500877428597011</v>
      </c>
      <c r="V162" s="93" cm="1">
        <f t="array" ref="V162">_xll.aqBondObjectDV01($L162,$C$4,$Q162)</f>
        <v>1774.9073972602741</v>
      </c>
    </row>
    <row r="163" spans="2:22">
      <c r="B163" s="11" t="s">
        <v>1062</v>
      </c>
      <c r="C163" s="11" t="s">
        <v>1063</v>
      </c>
      <c r="D163" s="11" t="s">
        <v>1063</v>
      </c>
      <c r="E163" s="12">
        <v>38285</v>
      </c>
      <c r="F163" s="15">
        <v>38250</v>
      </c>
      <c r="G163" s="14"/>
      <c r="H163" s="12">
        <v>38431</v>
      </c>
      <c r="I163" s="12">
        <v>49023</v>
      </c>
      <c r="J163" s="13">
        <v>2.5000000000000001E-2</v>
      </c>
      <c r="K163" s="12">
        <v>49207</v>
      </c>
      <c r="L163" s="16" t="str" cm="1">
        <f t="array" ref="L163">_xll.aqBondObjectCreateFromGenerator($C163,$L$4,_xll.aqToolLVBFromKeysValues($C$7:$K$7,$C163:$K163))</f>
        <v>JP13001614A6:3</v>
      </c>
      <c r="M163" s="78">
        <v>4.0800000000000072E-3</v>
      </c>
      <c r="N163" s="51">
        <v>131.27940000000001</v>
      </c>
      <c r="O163" s="51">
        <v>13.7049</v>
      </c>
      <c r="P163" s="95">
        <v>1918.6849</v>
      </c>
      <c r="Q163" s="39" cm="1">
        <f t="array" ref="Q163">_xll.aqBondObjectYield(L163,$C$4,R163)</f>
        <v>4.0800000000000029E-3</v>
      </c>
      <c r="R163" s="49" cm="1">
        <f t="array" ref="R163">_xll.aqBondObjectPrice($L163,$C$4,$M163)</f>
        <v>131.27938929538135</v>
      </c>
      <c r="S163" s="49" cm="1">
        <f t="array" ref="S163">_xll.aqBondObjectCleanPrice($L163,$C$4,$M163)</f>
        <v>131.27938929538135</v>
      </c>
      <c r="T163" s="49" cm="1">
        <f t="array" ref="T163">_xll.aqBondObjectDirtyPrice($L163,$C$4,$M163)</f>
        <v>140</v>
      </c>
      <c r="U163" s="49" cm="1">
        <f t="array" ref="U163">_xll.aqBondObjectModifiedDuration($L163,$C$4,$Q163)</f>
        <v>13.704892367906069</v>
      </c>
      <c r="V163" s="93" cm="1">
        <f t="array" ref="V163">_xll.aqBondObjectDV01($L163,$C$4,$Q163)</f>
        <v>1918.6849315068496</v>
      </c>
    </row>
    <row r="164" spans="2:22">
      <c r="B164" s="11" t="s">
        <v>1064</v>
      </c>
      <c r="C164" s="11" t="s">
        <v>1065</v>
      </c>
      <c r="D164" s="11" t="s">
        <v>1065</v>
      </c>
      <c r="E164" s="12">
        <v>41995</v>
      </c>
      <c r="F164" s="15">
        <v>41993</v>
      </c>
      <c r="G164" s="14"/>
      <c r="H164" s="12">
        <v>42175</v>
      </c>
      <c r="I164" s="12">
        <v>49115</v>
      </c>
      <c r="J164" s="13">
        <v>1.2E-2</v>
      </c>
      <c r="K164" s="12">
        <v>49298</v>
      </c>
      <c r="L164" s="16" t="str" cm="1">
        <f t="array" ref="L164">_xll.aqBondObjectCreateFromGenerator($C164,$L$4,_xll.aqToolLVBFromKeysValues($C$7:$K$7,$C164:$K164))</f>
        <v>JP1201511EC7:3</v>
      </c>
      <c r="M164" s="78">
        <v>4.5099999999999949E-3</v>
      </c>
      <c r="N164" s="51">
        <v>111.2898</v>
      </c>
      <c r="O164" s="51">
        <v>14.8504</v>
      </c>
      <c r="P164" s="95">
        <v>1779.0778</v>
      </c>
      <c r="Q164" s="39" cm="1">
        <f t="array" ref="Q164">_xll.aqBondObjectYield(L164,$C$4,R164)</f>
        <v>4.5099999999999967E-3</v>
      </c>
      <c r="R164" s="49" cm="1">
        <f t="array" ref="R164">_xll.aqBondObjectPrice($L164,$C$4,$M164)</f>
        <v>111.28981777427362</v>
      </c>
      <c r="S164" s="49" cm="1">
        <f t="array" ref="S164">_xll.aqBondObjectCleanPrice($L164,$C$4,$M164)</f>
        <v>111.28981777427362</v>
      </c>
      <c r="T164" s="49" cm="1">
        <f t="array" ref="T164">_xll.aqBondObjectDirtyPrice($L164,$C$4,$M164)</f>
        <v>119.8</v>
      </c>
      <c r="U164" s="49" cm="1">
        <f t="array" ref="U164">_xll.aqBondObjectModifiedDuration($L164,$C$4,$Q164)</f>
        <v>14.850399066938047</v>
      </c>
      <c r="V164" s="93" cm="1">
        <f t="array" ref="V164">_xll.aqBondObjectDV01($L164,$C$4,$Q164)</f>
        <v>1779.077808219178</v>
      </c>
    </row>
    <row r="165" spans="2:22">
      <c r="B165" s="11" t="s">
        <v>1066</v>
      </c>
      <c r="C165" s="11" t="s">
        <v>1067</v>
      </c>
      <c r="D165" s="11" t="s">
        <v>1067</v>
      </c>
      <c r="E165" s="12">
        <v>38404</v>
      </c>
      <c r="F165" s="15">
        <v>38341</v>
      </c>
      <c r="G165" s="14"/>
      <c r="H165" s="12">
        <v>38523</v>
      </c>
      <c r="I165" s="12">
        <v>49115</v>
      </c>
      <c r="J165" s="13">
        <v>2.4E-2</v>
      </c>
      <c r="K165" s="12">
        <v>49298</v>
      </c>
      <c r="L165" s="16" t="str" cm="1">
        <f t="array" ref="L165">_xll.aqBondObjectCreateFromGenerator($C165,$L$4,_xll.aqToolLVBFromKeysValues($C$7:$K$7,$C165:$K165))</f>
        <v>JP1300171525:3</v>
      </c>
      <c r="M165" s="78">
        <v>4.2000000000000006E-3</v>
      </c>
      <c r="N165" s="51">
        <v>129.98500000000001</v>
      </c>
      <c r="O165" s="51">
        <v>13.9033</v>
      </c>
      <c r="P165" s="95">
        <v>1940.8952999999999</v>
      </c>
      <c r="Q165" s="39" cm="1">
        <f t="array" ref="Q165">_xll.aqBondObjectYield(L165,$C$4,R165)</f>
        <v>4.2000000000000128E-3</v>
      </c>
      <c r="R165" s="49" cm="1">
        <f t="array" ref="R165">_xll.aqBondObjectPrice($L165,$C$4,$M165)</f>
        <v>129.98502280443495</v>
      </c>
      <c r="S165" s="49" cm="1">
        <f t="array" ref="S165">_xll.aqBondObjectCleanPrice($L165,$C$4,$M165)</f>
        <v>129.98502280443495</v>
      </c>
      <c r="T165" s="49" cm="1">
        <f t="array" ref="T165">_xll.aqBondObjectDirtyPrice($L165,$C$4,$M165)</f>
        <v>139.6</v>
      </c>
      <c r="U165" s="49" cm="1">
        <f t="array" ref="U165">_xll.aqBondObjectModifiedDuration($L165,$C$4,$Q165)</f>
        <v>13.903261765513996</v>
      </c>
      <c r="V165" s="93" cm="1">
        <f t="array" ref="V165">_xll.aqBondObjectDV01($L165,$C$4,$Q165)</f>
        <v>1940.8953424657536</v>
      </c>
    </row>
    <row r="166" spans="2:22">
      <c r="B166" s="11" t="s">
        <v>1068</v>
      </c>
      <c r="C166" s="11" t="s">
        <v>1069</v>
      </c>
      <c r="D166" s="11" t="s">
        <v>1069</v>
      </c>
      <c r="E166" s="12">
        <v>42083</v>
      </c>
      <c r="F166" s="15">
        <v>42083</v>
      </c>
      <c r="G166" s="14"/>
      <c r="H166" s="12">
        <v>42267</v>
      </c>
      <c r="I166" s="12">
        <v>49207</v>
      </c>
      <c r="J166" s="13">
        <v>1.2E-2</v>
      </c>
      <c r="K166" s="12">
        <v>49388</v>
      </c>
      <c r="L166" s="16" t="str" cm="1">
        <f t="array" ref="L166">_xll.aqBondObjectCreateFromGenerator($C166,$L$4,_xll.aqToolLVBFromKeysValues($C$7:$K$7,$C166:$K166))</f>
        <v>JP1201521F37:3</v>
      </c>
      <c r="M166" s="78">
        <v>4.659999999999994E-3</v>
      </c>
      <c r="N166" s="51">
        <v>111.1951</v>
      </c>
      <c r="O166" s="51">
        <v>15.097</v>
      </c>
      <c r="P166" s="95">
        <v>1808.6175000000001</v>
      </c>
      <c r="Q166" s="39" cm="1">
        <f t="array" ref="Q166">_xll.aqBondObjectYield(L166,$C$4,R166)</f>
        <v>4.6599999999999862E-3</v>
      </c>
      <c r="R166" s="49" cm="1">
        <f t="array" ref="R166">_xll.aqBondObjectPrice($L166,$C$4,$M166)</f>
        <v>111.19510175137199</v>
      </c>
      <c r="S166" s="49" cm="1">
        <f t="array" ref="S166">_xll.aqBondObjectCleanPrice($L166,$C$4,$M166)</f>
        <v>111.19510175137199</v>
      </c>
      <c r="T166" s="49" cm="1">
        <f t="array" ref="T166">_xll.aqBondObjectDirtyPrice($L166,$C$4,$M166)</f>
        <v>119.8</v>
      </c>
      <c r="U166" s="49" cm="1">
        <f t="array" ref="U166">_xll.aqBondObjectModifiedDuration($L166,$C$4,$Q166)</f>
        <v>15.096974409403803</v>
      </c>
      <c r="V166" s="93" cm="1">
        <f t="array" ref="V166">_xll.aqBondObjectDV01($L166,$C$4,$Q166)</f>
        <v>1808.6175342465756</v>
      </c>
    </row>
    <row r="167" spans="2:22">
      <c r="B167" s="11" t="s">
        <v>1070</v>
      </c>
      <c r="C167" s="11" t="s">
        <v>1071</v>
      </c>
      <c r="D167" s="11" t="s">
        <v>1071</v>
      </c>
      <c r="E167" s="12">
        <v>38462</v>
      </c>
      <c r="F167" s="15">
        <v>38431</v>
      </c>
      <c r="G167" s="14"/>
      <c r="H167" s="12">
        <v>38615</v>
      </c>
      <c r="I167" s="12">
        <v>49207</v>
      </c>
      <c r="J167" s="13">
        <v>2.3E-2</v>
      </c>
      <c r="K167" s="12">
        <v>49388</v>
      </c>
      <c r="L167" s="16" t="str" cm="1">
        <f t="array" ref="L167">_xll.aqBondObjectCreateFromGenerator($C167,$L$4,_xll.aqToolLVBFromKeysValues($C$7:$K$7,$C167:$K167))</f>
        <v>JP1300181540:3</v>
      </c>
      <c r="M167" s="78">
        <v>4.3500000000000032E-3</v>
      </c>
      <c r="N167" s="51">
        <v>128.5805</v>
      </c>
      <c r="O167" s="51">
        <v>14.218400000000001</v>
      </c>
      <c r="P167" s="95">
        <v>1961.4256</v>
      </c>
      <c r="Q167" s="39" cm="1">
        <f t="array" ref="Q167">_xll.aqBondObjectYield(L167,$C$4,R167)</f>
        <v>4.3500000000000014E-3</v>
      </c>
      <c r="R167" s="49" cm="1">
        <f t="array" ref="R167">_xll.aqBondObjectPrice($L167,$C$4,$M167)</f>
        <v>128.58045327231434</v>
      </c>
      <c r="S167" s="49" cm="1">
        <f t="array" ref="S167">_xll.aqBondObjectCleanPrice($L167,$C$4,$M167)</f>
        <v>128.58045327231434</v>
      </c>
      <c r="T167" s="49" cm="1">
        <f t="array" ref="T167">_xll.aqBondObjectDirtyPrice($L167,$C$4,$M167)</f>
        <v>137.94999999999999</v>
      </c>
      <c r="U167" s="49" cm="1">
        <f t="array" ref="U167">_xll.aqBondObjectModifiedDuration($L167,$C$4,$Q167)</f>
        <v>14.218380691832959</v>
      </c>
      <c r="V167" s="93" cm="1">
        <f t="array" ref="V167">_xll.aqBondObjectDV01($L167,$C$4,$Q167)</f>
        <v>1961.4256164383564</v>
      </c>
    </row>
    <row r="168" spans="2:22">
      <c r="B168" s="11" t="s">
        <v>1072</v>
      </c>
      <c r="C168" s="11" t="s">
        <v>1073</v>
      </c>
      <c r="D168" s="11" t="s">
        <v>1073</v>
      </c>
      <c r="E168" s="12">
        <v>42177</v>
      </c>
      <c r="F168" s="15">
        <v>42175</v>
      </c>
      <c r="G168" s="14"/>
      <c r="H168" s="12">
        <v>42358</v>
      </c>
      <c r="I168" s="12">
        <v>49298</v>
      </c>
      <c r="J168" s="13">
        <v>1.3000000000000001E-2</v>
      </c>
      <c r="K168" s="12">
        <v>49480</v>
      </c>
      <c r="L168" s="16" t="str" cm="1">
        <f t="array" ref="L168">_xll.aqBondObjectCreateFromGenerator($C168,$L$4,_xll.aqToolLVBFromKeysValues($C$7:$K$7,$C168:$K168))</f>
        <v>JP1201531F68:3</v>
      </c>
      <c r="M168" s="78">
        <v>4.7500000000000007E-3</v>
      </c>
      <c r="N168" s="51">
        <v>112.7445</v>
      </c>
      <c r="O168" s="51">
        <v>15.179399999999999</v>
      </c>
      <c r="P168" s="95">
        <v>1853.3997999999999</v>
      </c>
      <c r="Q168" s="39" cm="1">
        <f t="array" ref="Q168">_xll.aqBondObjectYield(L168,$C$4,R168)</f>
        <v>4.749999999999999E-3</v>
      </c>
      <c r="R168" s="49" cm="1">
        <f t="array" ref="R168">_xll.aqBondObjectPrice($L168,$C$4,$M168)</f>
        <v>112.74454736721852</v>
      </c>
      <c r="S168" s="49" cm="1">
        <f t="array" ref="S168">_xll.aqBondObjectCleanPrice($L168,$C$4,$M168)</f>
        <v>112.74454736721852</v>
      </c>
      <c r="T168" s="49" cm="1">
        <f t="array" ref="T168">_xll.aqBondObjectDirtyPrice($L168,$C$4,$M168)</f>
        <v>122.10000000000001</v>
      </c>
      <c r="U168" s="49" cm="1">
        <f t="array" ref="U168">_xll.aqBondObjectModifiedDuration($L168,$C$4,$Q168)</f>
        <v>15.179359496482784</v>
      </c>
      <c r="V168" s="93" cm="1">
        <f t="array" ref="V168">_xll.aqBondObjectDV01($L168,$C$4,$Q168)</f>
        <v>1853.3997945205481</v>
      </c>
    </row>
    <row r="169" spans="2:22">
      <c r="B169" s="11" t="s">
        <v>1074</v>
      </c>
      <c r="C169" s="11" t="s">
        <v>1075</v>
      </c>
      <c r="D169" s="11" t="s">
        <v>1075</v>
      </c>
      <c r="E169" s="12">
        <v>38553</v>
      </c>
      <c r="F169" s="15">
        <v>38523</v>
      </c>
      <c r="G169" s="14"/>
      <c r="H169" s="12">
        <v>38706</v>
      </c>
      <c r="I169" s="12">
        <v>49298</v>
      </c>
      <c r="J169" s="13">
        <v>2.3E-2</v>
      </c>
      <c r="K169" s="12">
        <v>49480</v>
      </c>
      <c r="L169" s="16" t="str" cm="1">
        <f t="array" ref="L169">_xll.aqBondObjectCreateFromGenerator($C169,$L$4,_xll.aqToolLVBFromKeysValues($C$7:$K$7,$C169:$K169))</f>
        <v>JP1300191572:3</v>
      </c>
      <c r="M169" s="78">
        <v>4.4999999999999953E-3</v>
      </c>
      <c r="N169" s="51">
        <v>128.68950000000001</v>
      </c>
      <c r="O169" s="51">
        <v>14.3536</v>
      </c>
      <c r="P169" s="95">
        <v>1996.5840000000001</v>
      </c>
      <c r="Q169" s="39" cm="1">
        <f t="array" ref="Q169">_xll.aqBondObjectYield(L169,$C$4,R169)</f>
        <v>4.4999999999999884E-3</v>
      </c>
      <c r="R169" s="49" cm="1">
        <f t="array" ref="R169">_xll.aqBondObjectPrice($L169,$C$4,$M169)</f>
        <v>128.689480290278</v>
      </c>
      <c r="S169" s="49" cm="1">
        <f t="array" ref="S169">_xll.aqBondObjectCleanPrice($L169,$C$4,$M169)</f>
        <v>128.689480290278</v>
      </c>
      <c r="T169" s="49" cm="1">
        <f t="array" ref="T169">_xll.aqBondObjectDirtyPrice($L169,$C$4,$M169)</f>
        <v>139.1</v>
      </c>
      <c r="U169" s="49" cm="1">
        <f t="array" ref="U169">_xll.aqBondObjectModifiedDuration($L169,$C$4,$Q169)</f>
        <v>14.353587642673549</v>
      </c>
      <c r="V169" s="93" cm="1">
        <f t="array" ref="V169">_xll.aqBondObjectDV01($L169,$C$4,$Q169)</f>
        <v>1996.5840410958906</v>
      </c>
    </row>
    <row r="170" spans="2:22">
      <c r="B170" s="11" t="s">
        <v>1076</v>
      </c>
      <c r="C170" s="11" t="s">
        <v>1077</v>
      </c>
      <c r="D170" s="11" t="s">
        <v>1077</v>
      </c>
      <c r="E170" s="12">
        <v>42271</v>
      </c>
      <c r="F170" s="15">
        <v>42267</v>
      </c>
      <c r="G170" s="14"/>
      <c r="H170" s="12">
        <v>42449</v>
      </c>
      <c r="I170" s="12">
        <v>49388</v>
      </c>
      <c r="J170" s="13">
        <v>1.2E-2</v>
      </c>
      <c r="K170" s="12">
        <v>49572</v>
      </c>
      <c r="L170" s="16" t="str" cm="1">
        <f t="array" ref="L170">_xll.aqBondObjectCreateFromGenerator($C170,$L$4,_xll.aqToolLVBFromKeysValues($C$7:$K$7,$C170:$K170))</f>
        <v>JP1201541F90:3</v>
      </c>
      <c r="M170" s="78">
        <v>4.9200000000000008E-3</v>
      </c>
      <c r="N170" s="51">
        <v>111.0607</v>
      </c>
      <c r="O170" s="51">
        <v>15.5213</v>
      </c>
      <c r="P170" s="95">
        <v>1868.769</v>
      </c>
      <c r="Q170" s="39" cm="1">
        <f t="array" ref="Q170">_xll.aqBondObjectYield(L170,$C$4,R170)</f>
        <v>4.9200000000000034E-3</v>
      </c>
      <c r="R170" s="49" cm="1">
        <f t="array" ref="R170">_xll.aqBondObjectPrice($L170,$C$4,$M170)</f>
        <v>111.06074182194003</v>
      </c>
      <c r="S170" s="49" cm="1">
        <f t="array" ref="S170">_xll.aqBondObjectCleanPrice($L170,$C$4,$M170)</f>
        <v>111.06074182194003</v>
      </c>
      <c r="T170" s="49" cm="1">
        <f t="array" ref="T170">_xll.aqBondObjectDirtyPrice($L170,$C$4,$M170)</f>
        <v>120.39999999999999</v>
      </c>
      <c r="U170" s="49" cm="1">
        <f t="array" ref="U170">_xll.aqBondObjectModifiedDuration($L170,$C$4,$Q170)</f>
        <v>15.521337550630317</v>
      </c>
      <c r="V170" s="93" cm="1">
        <f t="array" ref="V170">_xll.aqBondObjectDV01($L170,$C$4,$Q170)</f>
        <v>1868.7690410958901</v>
      </c>
    </row>
    <row r="171" spans="2:22">
      <c r="B171" s="11" t="s">
        <v>1078</v>
      </c>
      <c r="C171" s="11" t="s">
        <v>1079</v>
      </c>
      <c r="D171" s="11" t="s">
        <v>1079</v>
      </c>
      <c r="E171" s="12">
        <v>38650</v>
      </c>
      <c r="F171" s="15">
        <v>38615</v>
      </c>
      <c r="G171" s="14"/>
      <c r="H171" s="12">
        <v>38796</v>
      </c>
      <c r="I171" s="12">
        <v>49388</v>
      </c>
      <c r="J171" s="13">
        <v>2.5000000000000001E-2</v>
      </c>
      <c r="K171" s="12">
        <v>49572</v>
      </c>
      <c r="L171" s="16" t="str" cm="1">
        <f t="array" ref="L171">_xll.aqBondObjectCreateFromGenerator($C171,$L$4,_xll.aqToolLVBFromKeysValues($C$7:$K$7,$C171:$K171))</f>
        <v>JP13002015A5:3</v>
      </c>
      <c r="M171" s="78">
        <v>4.5800000000000111E-3</v>
      </c>
      <c r="N171" s="51">
        <v>132.07149999999999</v>
      </c>
      <c r="O171" s="51">
        <v>14.4587</v>
      </c>
      <c r="P171" s="95">
        <v>2060.3579</v>
      </c>
      <c r="Q171" s="39" cm="1">
        <f t="array" ref="Q171">_xll.aqBondObjectYield(L171,$C$4,R171)</f>
        <v>4.5800000000000068E-3</v>
      </c>
      <c r="R171" s="49" cm="1">
        <f t="array" ref="R171">_xll.aqBondObjectPrice($L171,$C$4,$M171)</f>
        <v>132.07153203180567</v>
      </c>
      <c r="S171" s="49" cm="1">
        <f t="array" ref="S171">_xll.aqBondObjectCleanPrice($L171,$C$4,$M171)</f>
        <v>132.07153203180567</v>
      </c>
      <c r="T171" s="49" cm="1">
        <f t="array" ref="T171">_xll.aqBondObjectDirtyPrice($L171,$C$4,$M171)</f>
        <v>142.5</v>
      </c>
      <c r="U171" s="49" cm="1">
        <f t="array" ref="U171">_xll.aqBondObjectModifiedDuration($L171,$C$4,$Q171)</f>
        <v>14.458651766402308</v>
      </c>
      <c r="V171" s="93" cm="1">
        <f t="array" ref="V171">_xll.aqBondObjectDV01($L171,$C$4,$Q171)</f>
        <v>2060.357876712329</v>
      </c>
    </row>
    <row r="172" spans="2:22">
      <c r="B172" s="11" t="s">
        <v>1080</v>
      </c>
      <c r="C172" s="11" t="s">
        <v>1081</v>
      </c>
      <c r="D172" s="11" t="s">
        <v>1081</v>
      </c>
      <c r="E172" s="12">
        <v>42359</v>
      </c>
      <c r="F172" s="15">
        <v>42358</v>
      </c>
      <c r="G172" s="14"/>
      <c r="H172" s="12">
        <v>42541</v>
      </c>
      <c r="I172" s="12">
        <v>49480</v>
      </c>
      <c r="J172" s="13">
        <v>0.01</v>
      </c>
      <c r="K172" s="12">
        <v>49663</v>
      </c>
      <c r="L172" s="16" t="str" cm="1">
        <f t="array" ref="L172">_xll.aqBondObjectCreateFromGenerator($C172,$L$4,_xll.aqToolLVBFromKeysValues($C$7:$K$7,$C172:$K172))</f>
        <v>JP1201551FC0:3</v>
      </c>
      <c r="M172" s="78">
        <v>5.1199999999999961E-3</v>
      </c>
      <c r="N172" s="51">
        <v>107.703</v>
      </c>
      <c r="O172" s="51">
        <v>15.906599999999999</v>
      </c>
      <c r="P172" s="95">
        <v>1869.0308</v>
      </c>
      <c r="Q172" s="39" cm="1">
        <f t="array" ref="Q172">_xll.aqBondObjectYield(L172,$C$4,R172)</f>
        <v>5.1200000000000013E-3</v>
      </c>
      <c r="R172" s="49" cm="1">
        <f t="array" ref="R172">_xll.aqBondObjectPrice($L172,$C$4,$M172)</f>
        <v>107.70295741925501</v>
      </c>
      <c r="S172" s="49" cm="1">
        <f t="array" ref="S172">_xll.aqBondObjectCleanPrice($L172,$C$4,$M172)</f>
        <v>107.70295741925501</v>
      </c>
      <c r="T172" s="49" cm="1">
        <f t="array" ref="T172">_xll.aqBondObjectDirtyPrice($L172,$C$4,$M172)</f>
        <v>117.5</v>
      </c>
      <c r="U172" s="49" cm="1">
        <f t="array" ref="U172">_xll.aqBondObjectModifiedDuration($L172,$C$4,$Q172)</f>
        <v>15.906645292917519</v>
      </c>
      <c r="V172" s="93" cm="1">
        <f t="array" ref="V172">_xll.aqBondObjectDV01($L172,$C$4,$Q172)</f>
        <v>1869.0308219178085</v>
      </c>
    </row>
    <row r="173" spans="2:22">
      <c r="B173" s="11" t="s">
        <v>1082</v>
      </c>
      <c r="C173" s="11" t="s">
        <v>1083</v>
      </c>
      <c r="D173" s="11" t="s">
        <v>1083</v>
      </c>
      <c r="E173" s="12">
        <v>38742</v>
      </c>
      <c r="F173" s="15">
        <v>38706</v>
      </c>
      <c r="G173" s="14"/>
      <c r="H173" s="12">
        <v>38888</v>
      </c>
      <c r="I173" s="12">
        <v>49480</v>
      </c>
      <c r="J173" s="13">
        <v>2.3E-2</v>
      </c>
      <c r="K173" s="12">
        <v>49663</v>
      </c>
      <c r="L173" s="16" t="str" cm="1">
        <f t="array" ref="L173">_xll.aqBondObjectCreateFromGenerator($C173,$L$4,_xll.aqToolLVBFromKeysValues($C$7:$K$7,$C173:$K173))</f>
        <v>JP1300211610:3</v>
      </c>
      <c r="M173" s="78">
        <v>4.7200000000000028E-3</v>
      </c>
      <c r="N173" s="51">
        <v>129.03790000000001</v>
      </c>
      <c r="O173" s="51">
        <v>14.7332</v>
      </c>
      <c r="P173" s="95">
        <v>2066.3325</v>
      </c>
      <c r="Q173" s="39" cm="1">
        <f t="array" ref="Q173">_xll.aqBondObjectYield(L173,$C$4,R173)</f>
        <v>4.7199999999999985E-3</v>
      </c>
      <c r="R173" s="49" cm="1">
        <f t="array" ref="R173">_xll.aqBondObjectPrice($L173,$C$4,$M173)</f>
        <v>129.03786297379403</v>
      </c>
      <c r="S173" s="49" cm="1">
        <f t="array" ref="S173">_xll.aqBondObjectCleanPrice($L173,$C$4,$M173)</f>
        <v>129.03786297379403</v>
      </c>
      <c r="T173" s="49" cm="1">
        <f t="array" ref="T173">_xll.aqBondObjectDirtyPrice($L173,$C$4,$M173)</f>
        <v>140.25</v>
      </c>
      <c r="U173" s="49" cm="1">
        <f t="array" ref="U173">_xll.aqBondObjectModifiedDuration($L173,$C$4,$Q173)</f>
        <v>14.733208800332086</v>
      </c>
      <c r="V173" s="93" cm="1">
        <f t="array" ref="V173">_xll.aqBondObjectDV01($L173,$C$4,$Q173)</f>
        <v>2066.3325342465751</v>
      </c>
    </row>
    <row r="174" spans="2:22">
      <c r="B174" s="11" t="s">
        <v>1084</v>
      </c>
      <c r="C174" s="11" t="s">
        <v>1085</v>
      </c>
      <c r="D174" s="11" t="s">
        <v>1085</v>
      </c>
      <c r="E174" s="12">
        <v>42451</v>
      </c>
      <c r="F174" s="15">
        <v>42449</v>
      </c>
      <c r="G174" s="14"/>
      <c r="H174" s="12">
        <v>42633</v>
      </c>
      <c r="I174" s="12">
        <v>49572</v>
      </c>
      <c r="J174" s="13">
        <v>4.0000000000000001E-3</v>
      </c>
      <c r="K174" s="12">
        <v>49754</v>
      </c>
      <c r="L174" s="16" t="str" cm="1">
        <f t="array" ref="L174">_xll.aqBondObjectCreateFromGenerator($C174,$L$4,_xll.aqToolLVBFromKeysValues($C$7:$K$7,$C174:$K174))</f>
        <v>JP1201561G37:3</v>
      </c>
      <c r="M174" s="78">
        <v>5.4999999999999962E-3</v>
      </c>
      <c r="N174" s="51">
        <v>97.615600000000001</v>
      </c>
      <c r="O174" s="51">
        <v>16.863099999999999</v>
      </c>
      <c r="P174" s="95">
        <v>1804.3521000000001</v>
      </c>
      <c r="Q174" s="39" cm="1">
        <f t="array" ref="Q174">_xll.aqBondObjectYield(L174,$C$4,R174)</f>
        <v>5.4999999999999919E-3</v>
      </c>
      <c r="R174" s="49" cm="1">
        <f t="array" ref="R174">_xll.aqBondObjectPrice($L174,$C$4,$M174)</f>
        <v>97.615565206303501</v>
      </c>
      <c r="S174" s="49" cm="1">
        <f t="array" ref="S174">_xll.aqBondObjectCleanPrice($L174,$C$4,$M174)</f>
        <v>97.615565206303501</v>
      </c>
      <c r="T174" s="49" cm="1">
        <f t="array" ref="T174">_xll.aqBondObjectDirtyPrice($L174,$C$4,$M174)</f>
        <v>107</v>
      </c>
      <c r="U174" s="49" cm="1">
        <f t="array" ref="U174">_xll.aqBondObjectModifiedDuration($L174,$C$4,$Q174)</f>
        <v>16.863103315836643</v>
      </c>
      <c r="V174" s="93" cm="1">
        <f t="array" ref="V174">_xll.aqBondObjectDV01($L174,$C$4,$Q174)</f>
        <v>1804.3520547945207</v>
      </c>
    </row>
    <row r="175" spans="2:22">
      <c r="B175" s="11" t="s">
        <v>1086</v>
      </c>
      <c r="C175" s="11" t="s">
        <v>1087</v>
      </c>
      <c r="D175" s="11" t="s">
        <v>1087</v>
      </c>
      <c r="E175" s="12">
        <v>38832</v>
      </c>
      <c r="F175" s="15">
        <v>38796</v>
      </c>
      <c r="G175" s="14"/>
      <c r="H175" s="12">
        <v>38980</v>
      </c>
      <c r="I175" s="12">
        <v>49572</v>
      </c>
      <c r="J175" s="13">
        <v>2.5000000000000001E-2</v>
      </c>
      <c r="K175" s="12">
        <v>49754</v>
      </c>
      <c r="L175" s="16" t="str" cm="1">
        <f t="array" ref="L175">_xll.aqBondObjectCreateFromGenerator($C175,$L$4,_xll.aqToolLVBFromKeysValues($C$7:$K$7,$C175:$K175))</f>
        <v>JP1300221643:3</v>
      </c>
      <c r="M175" s="78">
        <v>4.7999999999999961E-3</v>
      </c>
      <c r="N175" s="51">
        <v>132.4717</v>
      </c>
      <c r="O175" s="51">
        <v>14.8322</v>
      </c>
      <c r="P175" s="95">
        <v>2132.1318000000001</v>
      </c>
      <c r="Q175" s="39" cm="1">
        <f t="array" ref="Q175">_xll.aqBondObjectYield(L175,$C$4,R175)</f>
        <v>4.8000000000000004E-3</v>
      </c>
      <c r="R175" s="49" cm="1">
        <f t="array" ref="R175">_xll.aqBondObjectPrice($L175,$C$4,$M175)</f>
        <v>132.47171307327295</v>
      </c>
      <c r="S175" s="49" cm="1">
        <f t="array" ref="S175">_xll.aqBondObjectCleanPrice($L175,$C$4,$M175)</f>
        <v>132.47171307327295</v>
      </c>
      <c r="T175" s="49" cm="1">
        <f t="array" ref="T175">_xll.aqBondObjectDirtyPrice($L175,$C$4,$M175)</f>
        <v>143.75</v>
      </c>
      <c r="U175" s="49" cm="1">
        <f t="array" ref="U175">_xll.aqBondObjectModifiedDuration($L175,$C$4,$Q175)</f>
        <v>14.832221560452654</v>
      </c>
      <c r="V175" s="93" cm="1">
        <f t="array" ref="V175">_xll.aqBondObjectDV01($L175,$C$4,$Q175)</f>
        <v>2132.1318493150688</v>
      </c>
    </row>
    <row r="176" spans="2:22">
      <c r="B176" s="11" t="s">
        <v>1088</v>
      </c>
      <c r="C176" s="11" t="s">
        <v>1089</v>
      </c>
      <c r="D176" s="11" t="s">
        <v>1089</v>
      </c>
      <c r="E176" s="12">
        <v>42548</v>
      </c>
      <c r="F176" s="15">
        <v>42541</v>
      </c>
      <c r="G176" s="14"/>
      <c r="H176" s="12">
        <v>42724</v>
      </c>
      <c r="I176" s="12">
        <v>49663</v>
      </c>
      <c r="J176" s="13">
        <v>2E-3</v>
      </c>
      <c r="K176" s="12">
        <v>49846</v>
      </c>
      <c r="L176" s="16" t="str" cm="1">
        <f t="array" ref="L176">_xll.aqBondObjectCreateFromGenerator($C176,$L$4,_xll.aqToolLVBFromKeysValues($C$7:$K$7,$C176:$K176))</f>
        <v>JP1201571G68:3</v>
      </c>
      <c r="M176" s="78">
        <v>5.7600000000000021E-3</v>
      </c>
      <c r="N176" s="51">
        <v>93.969399999999993</v>
      </c>
      <c r="O176" s="51">
        <v>17.368500000000001</v>
      </c>
      <c r="P176" s="95">
        <v>1799.3815999999999</v>
      </c>
      <c r="Q176" s="39" cm="1">
        <f t="array" ref="Q176">_xll.aqBondObjectYield(L176,$C$4,R176)</f>
        <v>5.7599999999999995E-3</v>
      </c>
      <c r="R176" s="49" cm="1">
        <f t="array" ref="R176">_xll.aqBondObjectPrice($L176,$C$4,$M176)</f>
        <v>93.969444389186179</v>
      </c>
      <c r="S176" s="49" cm="1">
        <f t="array" ref="S176">_xll.aqBondObjectCleanPrice($L176,$C$4,$M176)</f>
        <v>93.969444389186179</v>
      </c>
      <c r="T176" s="49" cm="1">
        <f t="array" ref="T176">_xll.aqBondObjectDirtyPrice($L176,$C$4,$M176)</f>
        <v>103.60000000000001</v>
      </c>
      <c r="U176" s="49" cm="1">
        <f t="array" ref="U176">_xll.aqBondObjectModifiedDuration($L176,$C$4,$Q176)</f>
        <v>17.368548685671975</v>
      </c>
      <c r="V176" s="93" cm="1">
        <f t="array" ref="V176">_xll.aqBondObjectDV01($L176,$C$4,$Q176)</f>
        <v>1799.3816438356166</v>
      </c>
    </row>
    <row r="177" spans="2:22">
      <c r="B177" s="11" t="s">
        <v>1090</v>
      </c>
      <c r="C177" s="11" t="s">
        <v>1091</v>
      </c>
      <c r="D177" s="11" t="s">
        <v>1091</v>
      </c>
      <c r="E177" s="12">
        <v>38918</v>
      </c>
      <c r="F177" s="15">
        <v>38888</v>
      </c>
      <c r="G177" s="14"/>
      <c r="H177" s="12">
        <v>39071</v>
      </c>
      <c r="I177" s="12">
        <v>49663</v>
      </c>
      <c r="J177" s="13">
        <v>2.5000000000000001E-2</v>
      </c>
      <c r="K177" s="12">
        <v>49846</v>
      </c>
      <c r="L177" s="16" t="str" cm="1">
        <f t="array" ref="L177">_xll.aqBondObjectCreateFromGenerator($C177,$L$4,_xll.aqToolLVBFromKeysValues($C$7:$K$7,$C177:$K177))</f>
        <v>JP1300231675:3</v>
      </c>
      <c r="M177" s="78">
        <v>4.9099999999999925E-3</v>
      </c>
      <c r="N177" s="51">
        <v>132.6671</v>
      </c>
      <c r="O177" s="51">
        <v>14.957100000000001</v>
      </c>
      <c r="P177" s="95">
        <v>2168.7773999999999</v>
      </c>
      <c r="Q177" s="39" cm="1">
        <f t="array" ref="Q177">_xll.aqBondObjectYield(L177,$C$4,R177)</f>
        <v>4.9099999999999942E-3</v>
      </c>
      <c r="R177" s="49" cm="1">
        <f t="array" ref="R177">_xll.aqBondObjectPrice($L177,$C$4,$M177)</f>
        <v>132.66711960460788</v>
      </c>
      <c r="S177" s="49" cm="1">
        <f t="array" ref="S177">_xll.aqBondObjectCleanPrice($L177,$C$4,$M177)</f>
        <v>132.66711960460788</v>
      </c>
      <c r="T177" s="49" cm="1">
        <f t="array" ref="T177">_xll.aqBondObjectDirtyPrice($L177,$C$4,$M177)</f>
        <v>145</v>
      </c>
      <c r="U177" s="49" cm="1">
        <f t="array" ref="U177">_xll.aqBondObjectModifiedDuration($L177,$C$4,$Q177)</f>
        <v>14.957085498346721</v>
      </c>
      <c r="V177" s="93" cm="1">
        <f t="array" ref="V177">_xll.aqBondObjectDV01($L177,$C$4,$Q177)</f>
        <v>2168.7773972602745</v>
      </c>
    </row>
    <row r="178" spans="2:22">
      <c r="B178" s="11" t="s">
        <v>1092</v>
      </c>
      <c r="C178" s="11" t="s">
        <v>1093</v>
      </c>
      <c r="D178" s="11" t="s">
        <v>1093</v>
      </c>
      <c r="E178" s="12">
        <v>42633</v>
      </c>
      <c r="F178" s="15">
        <v>42633</v>
      </c>
      <c r="G178" s="14"/>
      <c r="H178" s="12">
        <v>42814</v>
      </c>
      <c r="I178" s="12">
        <v>49754</v>
      </c>
      <c r="J178" s="13">
        <v>5.0000000000000001E-3</v>
      </c>
      <c r="K178" s="12">
        <v>49938</v>
      </c>
      <c r="L178" s="16" t="str" cm="1">
        <f t="array" ref="L178">_xll.aqBondObjectCreateFromGenerator($C178,$L$4,_xll.aqToolLVBFromKeysValues($C$7:$K$7,$C178:$K178))</f>
        <v>JP1201581G90:3</v>
      </c>
      <c r="M178" s="78">
        <v>5.7600000000000073E-3</v>
      </c>
      <c r="N178" s="51">
        <v>98.765299999999996</v>
      </c>
      <c r="O178" s="51">
        <v>17.1967</v>
      </c>
      <c r="P178" s="95">
        <v>1874.4404</v>
      </c>
      <c r="Q178" s="39" cm="1">
        <f t="array" ref="Q178">_xll.aqBondObjectYield(L178,$C$4,R178)</f>
        <v>5.7600000000000142E-3</v>
      </c>
      <c r="R178" s="49" cm="1">
        <f t="array" ref="R178">_xll.aqBondObjectPrice($L178,$C$4,$M178)</f>
        <v>98.765298427105918</v>
      </c>
      <c r="S178" s="49" cm="1">
        <f t="array" ref="S178">_xll.aqBondObjectCleanPrice($L178,$C$4,$M178)</f>
        <v>98.765298427105918</v>
      </c>
      <c r="T178" s="49" cm="1">
        <f t="array" ref="T178">_xll.aqBondObjectDirtyPrice($L178,$C$4,$M178)</f>
        <v>109.00000000000001</v>
      </c>
      <c r="U178" s="49" cm="1">
        <f t="array" ref="U178">_xll.aqBondObjectModifiedDuration($L178,$C$4,$Q178)</f>
        <v>17.196701017971595</v>
      </c>
      <c r="V178" s="93" cm="1">
        <f t="array" ref="V178">_xll.aqBondObjectDV01($L178,$C$4,$Q178)</f>
        <v>1874.4404109589041</v>
      </c>
    </row>
    <row r="179" spans="2:22">
      <c r="B179" s="11" t="s">
        <v>1094</v>
      </c>
      <c r="C179" s="11" t="s">
        <v>1095</v>
      </c>
      <c r="D179" s="11" t="s">
        <v>1095</v>
      </c>
      <c r="E179" s="12">
        <v>39010</v>
      </c>
      <c r="F179" s="15">
        <v>38980</v>
      </c>
      <c r="G179" s="14"/>
      <c r="H179" s="12">
        <v>39161</v>
      </c>
      <c r="I179" s="12">
        <v>49754</v>
      </c>
      <c r="J179" s="13">
        <v>2.5000000000000001E-2</v>
      </c>
      <c r="K179" s="12">
        <v>49938</v>
      </c>
      <c r="L179" s="16" t="str" cm="1">
        <f t="array" ref="L179">_xll.aqBondObjectCreateFromGenerator($C179,$L$4,_xll.aqToolLVBFromKeysValues($C$7:$K$7,$C179:$K179))</f>
        <v>JP13002416A5:3</v>
      </c>
      <c r="M179" s="78">
        <v>5.0199999999999993E-3</v>
      </c>
      <c r="N179" s="51">
        <v>132.8546</v>
      </c>
      <c r="O179" s="51">
        <v>15.2037</v>
      </c>
      <c r="P179" s="95">
        <v>2204.5308</v>
      </c>
      <c r="Q179" s="39" cm="1">
        <f t="array" ref="Q179">_xll.aqBondObjectYield(L179,$C$4,R179)</f>
        <v>5.019999999999988E-3</v>
      </c>
      <c r="R179" s="49" cm="1">
        <f t="array" ref="R179">_xll.aqBondObjectPrice($L179,$C$4,$M179)</f>
        <v>132.85463603987969</v>
      </c>
      <c r="S179" s="49" cm="1">
        <f t="array" ref="S179">_xll.aqBondObjectCleanPrice($L179,$C$4,$M179)</f>
        <v>132.85463603987969</v>
      </c>
      <c r="T179" s="49" cm="1">
        <f t="array" ref="T179">_xll.aqBondObjectDirtyPrice($L179,$C$4,$M179)</f>
        <v>145</v>
      </c>
      <c r="U179" s="49" cm="1">
        <f t="array" ref="U179">_xll.aqBondObjectModifiedDuration($L179,$C$4,$Q179)</f>
        <v>15.203660840812473</v>
      </c>
      <c r="V179" s="93" cm="1">
        <f t="array" ref="V179">_xll.aqBondObjectDV01($L179,$C$4,$Q179)</f>
        <v>2204.5308219178087</v>
      </c>
    </row>
    <row r="180" spans="2:22">
      <c r="B180" s="11" t="s">
        <v>1096</v>
      </c>
      <c r="C180" s="11" t="s">
        <v>1097</v>
      </c>
      <c r="D180" s="11" t="s">
        <v>1097</v>
      </c>
      <c r="E180" s="12">
        <v>42724</v>
      </c>
      <c r="F180" s="15">
        <v>42724</v>
      </c>
      <c r="G180" s="14"/>
      <c r="H180" s="12">
        <v>42906</v>
      </c>
      <c r="I180" s="12">
        <v>49846</v>
      </c>
      <c r="J180" s="13">
        <v>6.0000000000000001E-3</v>
      </c>
      <c r="K180" s="12">
        <v>50029</v>
      </c>
      <c r="L180" s="16" t="str" cm="1">
        <f t="array" ref="L180">_xll.aqBondObjectCreateFromGenerator($C180,$L$4,_xll.aqToolLVBFromKeysValues($C$7:$K$7,$C180:$K180))</f>
        <v>JP1201591GC4:3</v>
      </c>
      <c r="M180" s="78">
        <v>5.8600000000000006E-3</v>
      </c>
      <c r="N180" s="51">
        <v>100.2299</v>
      </c>
      <c r="O180" s="51">
        <v>17.273399999999999</v>
      </c>
      <c r="P180" s="95">
        <v>1919.0762</v>
      </c>
      <c r="Q180" s="39" cm="1">
        <f t="array" ref="Q180">_xll.aqBondObjectYield(L180,$C$4,R180)</f>
        <v>5.8600000000000067E-3</v>
      </c>
      <c r="R180" s="49" cm="1">
        <f t="array" ref="R180">_xll.aqBondObjectPrice($L180,$C$4,$M180)</f>
        <v>100.2299307761336</v>
      </c>
      <c r="S180" s="49" cm="1">
        <f t="array" ref="S180">_xll.aqBondObjectCleanPrice($L180,$C$4,$M180)</f>
        <v>100.2299307761336</v>
      </c>
      <c r="T180" s="49" cm="1">
        <f t="array" ref="T180">_xll.aqBondObjectDirtyPrice($L180,$C$4,$M180)</f>
        <v>111.1</v>
      </c>
      <c r="U180" s="49" cm="1">
        <f t="array" ref="U180">_xll.aqBondObjectModifiedDuration($L180,$C$4,$Q180)</f>
        <v>17.27341282073413</v>
      </c>
      <c r="V180" s="93" cm="1">
        <f t="array" ref="V180">_xll.aqBondObjectDV01($L180,$C$4,$Q180)</f>
        <v>1919.0761643835617</v>
      </c>
    </row>
    <row r="181" spans="2:22">
      <c r="B181" s="11" t="s">
        <v>1098</v>
      </c>
      <c r="C181" s="11" t="s">
        <v>1099</v>
      </c>
      <c r="D181" s="11" t="s">
        <v>1099</v>
      </c>
      <c r="E181" s="12">
        <v>39107</v>
      </c>
      <c r="F181" s="15">
        <v>39071</v>
      </c>
      <c r="G181" s="14"/>
      <c r="H181" s="12">
        <v>39253</v>
      </c>
      <c r="I181" s="12">
        <v>49846</v>
      </c>
      <c r="J181" s="13">
        <v>2.3E-2</v>
      </c>
      <c r="K181" s="12">
        <v>50029</v>
      </c>
      <c r="L181" s="16" t="str" cm="1">
        <f t="array" ref="L181">_xll.aqBondObjectCreateFromGenerator($C181,$L$4,_xll.aqToolLVBFromKeysValues($C$7:$K$7,$C181:$K181))</f>
        <v>JP1300251715:3</v>
      </c>
      <c r="M181" s="78">
        <v>5.2000000000000015E-3</v>
      </c>
      <c r="N181" s="51">
        <v>129.55439999999999</v>
      </c>
      <c r="O181" s="51">
        <v>15.4862</v>
      </c>
      <c r="P181" s="95">
        <v>2207.5545000000002</v>
      </c>
      <c r="Q181" s="39" cm="1">
        <f t="array" ref="Q181">_xll.aqBondObjectYield(L181,$C$4,R181)</f>
        <v>5.2000000000000093E-3</v>
      </c>
      <c r="R181" s="49" cm="1">
        <f t="array" ref="R181">_xll.aqBondObjectPrice($L181,$C$4,$M181)</f>
        <v>129.55441365976154</v>
      </c>
      <c r="S181" s="49" cm="1">
        <f t="array" ref="S181">_xll.aqBondObjectCleanPrice($L181,$C$4,$M181)</f>
        <v>129.55441365976154</v>
      </c>
      <c r="T181" s="49" cm="1">
        <f t="array" ref="T181">_xll.aqBondObjectDirtyPrice($L181,$C$4,$M181)</f>
        <v>142.55000000000001</v>
      </c>
      <c r="U181" s="49" cm="1">
        <f t="array" ref="U181">_xll.aqBondObjectModifiedDuration($L181,$C$4,$Q181)</f>
        <v>15.486176924222693</v>
      </c>
      <c r="V181" s="93" cm="1">
        <f t="array" ref="V181">_xll.aqBondObjectDV01($L181,$C$4,$Q181)</f>
        <v>2207.5545205479452</v>
      </c>
    </row>
    <row r="182" spans="2:22">
      <c r="B182" s="11" t="s">
        <v>1100</v>
      </c>
      <c r="C182" s="11" t="s">
        <v>1101</v>
      </c>
      <c r="D182" s="11" t="s">
        <v>1101</v>
      </c>
      <c r="E182" s="12">
        <v>42815</v>
      </c>
      <c r="F182" s="15">
        <v>42814</v>
      </c>
      <c r="G182" s="14"/>
      <c r="H182" s="12">
        <v>42998</v>
      </c>
      <c r="I182" s="12">
        <v>49938</v>
      </c>
      <c r="J182" s="13">
        <v>6.9999999999999993E-3</v>
      </c>
      <c r="K182" s="12">
        <v>50119</v>
      </c>
      <c r="L182" s="16" t="str" cm="1">
        <f t="array" ref="L182">_xll.aqBondObjectCreateFromGenerator($C182,$L$4,_xll.aqToolLVBFromKeysValues($C$7:$K$7,$C182:$K182))</f>
        <v>JP1201601H38:3</v>
      </c>
      <c r="M182" s="78">
        <v>5.9299999999999943E-3</v>
      </c>
      <c r="N182" s="51">
        <v>101.77679999999999</v>
      </c>
      <c r="O182" s="51">
        <v>17.3873</v>
      </c>
      <c r="P182" s="95">
        <v>1963.8961999999999</v>
      </c>
      <c r="Q182" s="39" cm="1">
        <f t="array" ref="Q182">_xll.aqBondObjectYield(L182,$C$4,R182)</f>
        <v>5.9300000000000047E-3</v>
      </c>
      <c r="R182" s="49" cm="1">
        <f t="array" ref="R182">_xll.aqBondObjectPrice($L182,$C$4,$M182)</f>
        <v>101.77678177538576</v>
      </c>
      <c r="S182" s="49" cm="1">
        <f t="array" ref="S182">_xll.aqBondObjectCleanPrice($L182,$C$4,$M182)</f>
        <v>101.77678177538576</v>
      </c>
      <c r="T182" s="49" cm="1">
        <f t="array" ref="T182">_xll.aqBondObjectDirtyPrice($L182,$C$4,$M182)</f>
        <v>112.94999999999999</v>
      </c>
      <c r="U182" s="49" cm="1">
        <f t="array" ref="U182">_xll.aqBondObjectModifiedDuration($L182,$C$4,$Q182)</f>
        <v>17.387305572231622</v>
      </c>
      <c r="V182" s="93" cm="1">
        <f t="array" ref="V182">_xll.aqBondObjectDV01($L182,$C$4,$Q182)</f>
        <v>1963.8961643835617</v>
      </c>
    </row>
    <row r="183" spans="2:22">
      <c r="B183" s="11" t="s">
        <v>1102</v>
      </c>
      <c r="C183" s="11" t="s">
        <v>1103</v>
      </c>
      <c r="D183" s="11" t="s">
        <v>1103</v>
      </c>
      <c r="E183" s="12">
        <v>39192</v>
      </c>
      <c r="F183" s="15">
        <v>39161</v>
      </c>
      <c r="G183" s="14"/>
      <c r="H183" s="12">
        <v>39345</v>
      </c>
      <c r="I183" s="12">
        <v>49938</v>
      </c>
      <c r="J183" s="13">
        <v>2.4E-2</v>
      </c>
      <c r="K183" s="12">
        <v>50119</v>
      </c>
      <c r="L183" s="16" t="str" cm="1">
        <f t="array" ref="L183">_xll.aqBondObjectCreateFromGenerator($C183,$L$4,_xll.aqToolLVBFromKeysValues($C$7:$K$7,$C183:$K183))</f>
        <v>JP1300261748:3</v>
      </c>
      <c r="M183" s="78">
        <v>5.2800000000000017E-3</v>
      </c>
      <c r="N183" s="51">
        <v>131.4246</v>
      </c>
      <c r="O183" s="51">
        <v>15.651899999999999</v>
      </c>
      <c r="P183" s="95">
        <v>2260.1293000000001</v>
      </c>
      <c r="Q183" s="39" cm="1">
        <f t="array" ref="Q183">_xll.aqBondObjectYield(L183,$C$4,R183)</f>
        <v>5.2800000000000034E-3</v>
      </c>
      <c r="R183" s="49" cm="1">
        <f t="array" ref="R183">_xll.aqBondObjectPrice($L183,$C$4,$M183)</f>
        <v>131.42456041666583</v>
      </c>
      <c r="S183" s="49" cm="1">
        <f t="array" ref="S183">_xll.aqBondObjectCleanPrice($L183,$C$4,$M183)</f>
        <v>131.42456041666583</v>
      </c>
      <c r="T183" s="49" cm="1">
        <f t="array" ref="T183">_xll.aqBondObjectDirtyPrice($L183,$C$4,$M183)</f>
        <v>144.4</v>
      </c>
      <c r="U183" s="49" cm="1">
        <f t="array" ref="U183">_xll.aqBondObjectModifiedDuration($L183,$C$4,$Q183)</f>
        <v>15.6518650628012</v>
      </c>
      <c r="V183" s="93" cm="1">
        <f t="array" ref="V183">_xll.aqBondObjectDV01($L183,$C$4,$Q183)</f>
        <v>2260.1293150684933</v>
      </c>
    </row>
    <row r="184" spans="2:22">
      <c r="B184" s="11" t="s">
        <v>1104</v>
      </c>
      <c r="C184" s="11" t="s">
        <v>1105</v>
      </c>
      <c r="D184" s="11" t="s">
        <v>1105</v>
      </c>
      <c r="E184" s="12">
        <v>39377</v>
      </c>
      <c r="F184" s="15">
        <v>39345</v>
      </c>
      <c r="G184" s="14"/>
      <c r="H184" s="12">
        <v>39527</v>
      </c>
      <c r="I184" s="12">
        <v>50119</v>
      </c>
      <c r="J184" s="13">
        <v>2.5000000000000001E-2</v>
      </c>
      <c r="K184" s="12">
        <v>50303</v>
      </c>
      <c r="L184" s="16" t="str" cm="1">
        <f t="array" ref="L184">_xll.aqBondObjectCreateFromGenerator($C184,$L$4,_xll.aqToolLVBFromKeysValues($C$7:$K$7,$C184:$K184))</f>
        <v>JP13002717A6:3</v>
      </c>
      <c r="M184" s="78">
        <v>5.4699999999999983E-3</v>
      </c>
      <c r="N184" s="51">
        <v>133.4906</v>
      </c>
      <c r="O184" s="51">
        <v>15.9404</v>
      </c>
      <c r="P184" s="95">
        <v>2351.2037999999998</v>
      </c>
      <c r="Q184" s="39" cm="1">
        <f t="array" ref="Q184">_xll.aqBondObjectYield(L184,$C$4,R184)</f>
        <v>5.4699999999999983E-3</v>
      </c>
      <c r="R184" s="49" cm="1">
        <f t="array" ref="R184">_xll.aqBondObjectPrice($L184,$C$4,$M184)</f>
        <v>133.49056010024697</v>
      </c>
      <c r="S184" s="49" cm="1">
        <f t="array" ref="S184">_xll.aqBondObjectCleanPrice($L184,$C$4,$M184)</f>
        <v>133.49056010024697</v>
      </c>
      <c r="T184" s="49" cm="1">
        <f t="array" ref="T184">_xll.aqBondObjectDirtyPrice($L184,$C$4,$M184)</f>
        <v>147.5</v>
      </c>
      <c r="U184" s="49" cm="1">
        <f t="array" ref="U184">_xll.aqBondObjectModifiedDuration($L184,$C$4,$Q184)</f>
        <v>15.940364522869748</v>
      </c>
      <c r="V184" s="93" cm="1">
        <f t="array" ref="V184">_xll.aqBondObjectDV01($L184,$C$4,$Q184)</f>
        <v>2351.2037671232879</v>
      </c>
    </row>
    <row r="185" spans="2:22">
      <c r="B185" s="11" t="s">
        <v>1106</v>
      </c>
      <c r="C185" s="11" t="s">
        <v>1107</v>
      </c>
      <c r="D185" s="11" t="s">
        <v>1107</v>
      </c>
      <c r="E185" s="12">
        <v>39556</v>
      </c>
      <c r="F185" s="15">
        <v>39527</v>
      </c>
      <c r="G185" s="14"/>
      <c r="H185" s="12">
        <v>39711</v>
      </c>
      <c r="I185" s="12">
        <v>50303</v>
      </c>
      <c r="J185" s="13">
        <v>2.5000000000000001E-2</v>
      </c>
      <c r="K185" s="12">
        <v>50484</v>
      </c>
      <c r="L185" s="16" t="str" cm="1">
        <f t="array" ref="L185">_xll.aqBondObjectCreateFromGenerator($C185,$L$4,_xll.aqToolLVBFromKeysValues($C$7:$K$7,$C185:$K185))</f>
        <v>JP1300281845:3</v>
      </c>
      <c r="M185" s="78">
        <v>5.6900000000000041E-3</v>
      </c>
      <c r="N185" s="51">
        <v>133.76730000000001</v>
      </c>
      <c r="O185" s="51">
        <v>16.305700000000002</v>
      </c>
      <c r="P185" s="95">
        <v>2425.4776999999999</v>
      </c>
      <c r="Q185" s="39" cm="1">
        <f t="array" ref="Q185">_xll.aqBondObjectYield(L185,$C$4,R185)</f>
        <v>5.6900000000000214E-3</v>
      </c>
      <c r="R185" s="49" cm="1">
        <f t="array" ref="R185">_xll.aqBondObjectPrice($L185,$C$4,$M185)</f>
        <v>133.76730981555008</v>
      </c>
      <c r="S185" s="49" cm="1">
        <f t="array" ref="S185">_xll.aqBondObjectCleanPrice($L185,$C$4,$M185)</f>
        <v>133.76730981555008</v>
      </c>
      <c r="T185" s="49" cm="1">
        <f t="array" ref="T185">_xll.aqBondObjectDirtyPrice($L185,$C$4,$M185)</f>
        <v>148.75</v>
      </c>
      <c r="U185" s="49" cm="1">
        <f t="array" ref="U185">_xll.aqBondObjectModifiedDuration($L185,$C$4,$Q185)</f>
        <v>16.305732704040526</v>
      </c>
      <c r="V185" s="93" cm="1">
        <f t="array" ref="V185">_xll.aqBondObjectDV01($L185,$C$4,$Q185)</f>
        <v>2425.4777397260282</v>
      </c>
    </row>
    <row r="186" spans="2:22">
      <c r="B186" s="11" t="s">
        <v>1108</v>
      </c>
      <c r="C186" s="11" t="s">
        <v>1109</v>
      </c>
      <c r="D186" s="11" t="s">
        <v>1109</v>
      </c>
      <c r="E186" s="12">
        <v>39745</v>
      </c>
      <c r="F186" s="15">
        <v>39711</v>
      </c>
      <c r="G186" s="14"/>
      <c r="H186" s="12">
        <v>39892</v>
      </c>
      <c r="I186" s="12">
        <v>50484</v>
      </c>
      <c r="J186" s="13">
        <v>2.4E-2</v>
      </c>
      <c r="K186" s="12">
        <v>50668</v>
      </c>
      <c r="L186" s="16" t="str" cm="1">
        <f t="array" ref="L186">_xll.aqBondObjectCreateFromGenerator($C186,$L$4,_xll.aqToolLVBFromKeysValues($C$7:$K$7,$C186:$K186))</f>
        <v>JP13002918A0:3</v>
      </c>
      <c r="M186" s="78">
        <v>5.8799999999999937E-3</v>
      </c>
      <c r="N186" s="51">
        <v>132.31530000000001</v>
      </c>
      <c r="O186" s="51">
        <v>16.757000000000001</v>
      </c>
      <c r="P186" s="95">
        <v>2480.0383999999999</v>
      </c>
      <c r="Q186" s="39" cm="1">
        <f t="array" ref="Q186">_xll.aqBondObjectYield(L186,$C$4,R186)</f>
        <v>5.8799999999999929E-3</v>
      </c>
      <c r="R186" s="49" cm="1">
        <f t="array" ref="R186">_xll.aqBondObjectPrice($L186,$C$4,$M186)</f>
        <v>132.31529498182459</v>
      </c>
      <c r="S186" s="49" cm="1">
        <f t="array" ref="S186">_xll.aqBondObjectCleanPrice($L186,$C$4,$M186)</f>
        <v>132.31529498182459</v>
      </c>
      <c r="T186" s="49" cm="1">
        <f t="array" ref="T186">_xll.aqBondObjectDirtyPrice($L186,$C$4,$M186)</f>
        <v>148</v>
      </c>
      <c r="U186" s="49" cm="1">
        <f t="array" ref="U186">_xll.aqBondObjectModifiedDuration($L186,$C$4,$Q186)</f>
        <v>16.75701592002962</v>
      </c>
      <c r="V186" s="93" cm="1">
        <f t="array" ref="V186">_xll.aqBondObjectDV01($L186,$C$4,$Q186)</f>
        <v>2480.0383561643835</v>
      </c>
    </row>
    <row r="187" spans="2:22">
      <c r="B187" s="11" t="s">
        <v>1110</v>
      </c>
      <c r="C187" s="11" t="s">
        <v>1111</v>
      </c>
      <c r="D187" s="11" t="s">
        <v>1111</v>
      </c>
      <c r="E187" s="12">
        <v>39920</v>
      </c>
      <c r="F187" s="15">
        <v>39892</v>
      </c>
      <c r="G187" s="14"/>
      <c r="H187" s="12">
        <v>40076</v>
      </c>
      <c r="I187" s="12">
        <v>50668</v>
      </c>
      <c r="J187" s="13">
        <v>2.3E-2</v>
      </c>
      <c r="K187" s="12">
        <v>50849</v>
      </c>
      <c r="L187" s="16" t="str" cm="1">
        <f t="array" ref="L187">_xll.aqBondObjectCreateFromGenerator($C187,$L$4,_xll.aqToolLVBFromKeysValues($C$7:$K$7,$C187:$K187))</f>
        <v>JP1300301940:3</v>
      </c>
      <c r="M187" s="78">
        <v>6.0899999999999965E-3</v>
      </c>
      <c r="N187" s="51">
        <v>130.71</v>
      </c>
      <c r="O187" s="51">
        <v>17.215</v>
      </c>
      <c r="P187" s="95">
        <v>2533.1821</v>
      </c>
      <c r="Q187" s="39" cm="1">
        <f t="array" ref="Q187">_xll.aqBondObjectYield(L187,$C$4,R187)</f>
        <v>6.0899999999999869E-3</v>
      </c>
      <c r="R187" s="49" cm="1">
        <f t="array" ref="R187">_xll.aqBondObjectPrice($L187,$C$4,$M187)</f>
        <v>130.70996070384678</v>
      </c>
      <c r="S187" s="49" cm="1">
        <f t="array" ref="S187">_xll.aqBondObjectCleanPrice($L187,$C$4,$M187)</f>
        <v>130.70996070384678</v>
      </c>
      <c r="T187" s="49" cm="1">
        <f t="array" ref="T187">_xll.aqBondObjectDirtyPrice($L187,$C$4,$M187)</f>
        <v>147.15</v>
      </c>
      <c r="U187" s="49" cm="1">
        <f t="array" ref="U187">_xll.aqBondObjectModifiedDuration($L187,$C$4,$Q187)</f>
        <v>17.214964694492156</v>
      </c>
      <c r="V187" s="93" cm="1">
        <f t="array" ref="V187">_xll.aqBondObjectDV01($L187,$C$4,$Q187)</f>
        <v>2533.1820547945208</v>
      </c>
    </row>
    <row r="188" spans="2:22">
      <c r="B188" s="11" t="s">
        <v>1112</v>
      </c>
      <c r="C188" s="11" t="s">
        <v>1113</v>
      </c>
      <c r="D188" s="11" t="s">
        <v>1113</v>
      </c>
      <c r="E188" s="12">
        <v>40100</v>
      </c>
      <c r="F188" s="15">
        <v>40076</v>
      </c>
      <c r="G188" s="14"/>
      <c r="H188" s="12">
        <v>40257</v>
      </c>
      <c r="I188" s="12">
        <v>50849</v>
      </c>
      <c r="J188" s="13">
        <v>2.2000000000000002E-2</v>
      </c>
      <c r="K188" s="12">
        <v>51033</v>
      </c>
      <c r="L188" s="16" t="str" cm="1">
        <f t="array" ref="L188">_xll.aqBondObjectCreateFromGenerator($C188,$L$4,_xll.aqToolLVBFromKeysValues($C$7:$K$7,$C188:$K188))</f>
        <v>JP13003119A4:3</v>
      </c>
      <c r="M188" s="78">
        <v>6.2399999999999999E-3</v>
      </c>
      <c r="N188" s="51">
        <v>129.167</v>
      </c>
      <c r="O188" s="51">
        <v>17.680099999999999</v>
      </c>
      <c r="P188" s="95">
        <v>2584.8337999999999</v>
      </c>
      <c r="Q188" s="39" cm="1">
        <f t="array" ref="Q188">_xll.aqBondObjectYield(L188,$C$4,R188)</f>
        <v>6.2400000000000068E-3</v>
      </c>
      <c r="R188" s="49" cm="1">
        <f t="array" ref="R188">_xll.aqBondObjectPrice($L188,$C$4,$M188)</f>
        <v>129.16701724210796</v>
      </c>
      <c r="S188" s="49" cm="1">
        <f t="array" ref="S188">_xll.aqBondObjectCleanPrice($L188,$C$4,$M188)</f>
        <v>129.16701724210796</v>
      </c>
      <c r="T188" s="49" cm="1">
        <f t="array" ref="T188">_xll.aqBondObjectDirtyPrice($L188,$C$4,$M188)</f>
        <v>146.19999999999999</v>
      </c>
      <c r="U188" s="49" cm="1">
        <f t="array" ref="U188">_xll.aqBondObjectModifiedDuration($L188,$C$4,$Q188)</f>
        <v>17.68012199464048</v>
      </c>
      <c r="V188" s="93" cm="1">
        <f t="array" ref="V188">_xll.aqBondObjectDV01($L188,$C$4,$Q188)</f>
        <v>2584.8338356164381</v>
      </c>
    </row>
    <row r="189" spans="2:22">
      <c r="B189" s="11" t="s">
        <v>1114</v>
      </c>
      <c r="C189" s="11" t="s">
        <v>1115</v>
      </c>
      <c r="D189" s="11" t="s">
        <v>1115</v>
      </c>
      <c r="E189" s="12">
        <v>40260</v>
      </c>
      <c r="F189" s="15">
        <v>40257</v>
      </c>
      <c r="G189" s="14"/>
      <c r="H189" s="12">
        <v>40441</v>
      </c>
      <c r="I189" s="12">
        <v>51033</v>
      </c>
      <c r="J189" s="13">
        <v>2.3E-2</v>
      </c>
      <c r="K189" s="12">
        <v>51215</v>
      </c>
      <c r="L189" s="16" t="str" cm="1">
        <f t="array" ref="L189">_xll.aqBondObjectCreateFromGenerator($C189,$L$4,_xll.aqToolLVBFromKeysValues($C$7:$K$7,$C189:$K189))</f>
        <v>JP1300321A34:3</v>
      </c>
      <c r="M189" s="78">
        <v>6.3400000000000019E-3</v>
      </c>
      <c r="N189" s="51">
        <v>131.4179</v>
      </c>
      <c r="O189" s="51">
        <v>17.944900000000001</v>
      </c>
      <c r="P189" s="95">
        <v>2681.8712</v>
      </c>
      <c r="Q189" s="39" cm="1">
        <f t="array" ref="Q189">_xll.aqBondObjectYield(L189,$C$4,R189)</f>
        <v>6.3400000000000132E-3</v>
      </c>
      <c r="R189" s="49" cm="1">
        <f t="array" ref="R189">_xll.aqBondObjectPrice($L189,$C$4,$M189)</f>
        <v>131.4178785280379</v>
      </c>
      <c r="S189" s="49" cm="1">
        <f t="array" ref="S189">_xll.aqBondObjectCleanPrice($L189,$C$4,$M189)</f>
        <v>131.4178785280379</v>
      </c>
      <c r="T189" s="49" cm="1">
        <f t="array" ref="T189">_xll.aqBondObjectDirtyPrice($L189,$C$4,$M189)</f>
        <v>149.44999999999999</v>
      </c>
      <c r="U189" s="49" cm="1">
        <f t="array" ref="U189">_xll.aqBondObjectModifiedDuration($L189,$C$4,$Q189)</f>
        <v>17.944939206313563</v>
      </c>
      <c r="V189" s="93" cm="1">
        <f t="array" ref="V189">_xll.aqBondObjectDV01($L189,$C$4,$Q189)</f>
        <v>2681.8711643835618</v>
      </c>
    </row>
    <row r="190" spans="2:22">
      <c r="B190" s="11" t="s">
        <v>1116</v>
      </c>
      <c r="C190" s="11" t="s">
        <v>1117</v>
      </c>
      <c r="D190" s="11" t="s">
        <v>1117</v>
      </c>
      <c r="E190" s="12">
        <v>40442</v>
      </c>
      <c r="F190" s="15">
        <v>40441</v>
      </c>
      <c r="G190" s="14"/>
      <c r="H190" s="12">
        <v>40622</v>
      </c>
      <c r="I190" s="12">
        <v>51215</v>
      </c>
      <c r="J190" s="13">
        <v>0.02</v>
      </c>
      <c r="K190" s="12">
        <v>51399</v>
      </c>
      <c r="L190" s="16" t="str" cm="1">
        <f t="array" ref="L190">_xll.aqBondObjectCreateFromGenerator($C190,$L$4,_xll.aqToolLVBFromKeysValues($C$7:$K$7,$C190:$K190))</f>
        <v>JP1300331A99:3</v>
      </c>
      <c r="M190" s="78">
        <v>6.6000000000000034E-3</v>
      </c>
      <c r="N190" s="51">
        <v>125.66379999999999</v>
      </c>
      <c r="O190" s="51">
        <v>18.634499999999999</v>
      </c>
      <c r="P190" s="95">
        <v>2683.3616000000002</v>
      </c>
      <c r="Q190" s="39" cm="1">
        <f t="array" ref="Q190">_xll.aqBondObjectYield(L190,$C$4,R190)</f>
        <v>6.5999999999999956E-3</v>
      </c>
      <c r="R190" s="49" cm="1">
        <f t="array" ref="R190">_xll.aqBondObjectPrice($L190,$C$4,$M190)</f>
        <v>125.66381339794914</v>
      </c>
      <c r="S190" s="49" cm="1">
        <f t="array" ref="S190">_xll.aqBondObjectCleanPrice($L190,$C$4,$M190)</f>
        <v>125.66381339794914</v>
      </c>
      <c r="T190" s="49" cm="1">
        <f t="array" ref="T190">_xll.aqBondObjectDirtyPrice($L190,$C$4,$M190)</f>
        <v>144</v>
      </c>
      <c r="U190" s="49" cm="1">
        <f t="array" ref="U190">_xll.aqBondObjectModifiedDuration($L190,$C$4,$Q190)</f>
        <v>18.634455859969556</v>
      </c>
      <c r="V190" s="93" cm="1">
        <f t="array" ref="V190">_xll.aqBondObjectDV01($L190,$C$4,$Q190)</f>
        <v>2683.3616438356162</v>
      </c>
    </row>
    <row r="191" spans="2:22">
      <c r="B191" s="11" t="s">
        <v>1118</v>
      </c>
      <c r="C191" s="11" t="s">
        <v>1119</v>
      </c>
      <c r="D191" s="11" t="s">
        <v>1119</v>
      </c>
      <c r="E191" s="12">
        <v>40624</v>
      </c>
      <c r="F191" s="15">
        <v>40622</v>
      </c>
      <c r="G191" s="14"/>
      <c r="H191" s="12">
        <v>40806</v>
      </c>
      <c r="I191" s="12">
        <v>51399</v>
      </c>
      <c r="J191" s="13">
        <v>2.2000000000000002E-2</v>
      </c>
      <c r="K191" s="12">
        <v>51580</v>
      </c>
      <c r="L191" s="16" t="str" cm="1">
        <f t="array" ref="L191">_xll.aqBondObjectCreateFromGenerator($C191,$L$4,_xll.aqToolLVBFromKeysValues($C$7:$K$7,$C191:$K191))</f>
        <v>JP1300341B39:3</v>
      </c>
      <c r="M191" s="78">
        <v>6.6400000000000061E-3</v>
      </c>
      <c r="N191" s="51">
        <v>129.97389999999999</v>
      </c>
      <c r="O191" s="51">
        <v>18.777000000000001</v>
      </c>
      <c r="P191" s="95">
        <v>2807.1671000000001</v>
      </c>
      <c r="Q191" s="39" cm="1">
        <f t="array" ref="Q191">_xll.aqBondObjectYield(L191,$C$4,R191)</f>
        <v>6.6399999999999983E-3</v>
      </c>
      <c r="R191" s="49" cm="1">
        <f t="array" ref="R191">_xll.aqBondObjectPrice($L191,$C$4,$M191)</f>
        <v>129.97385003192673</v>
      </c>
      <c r="S191" s="49" cm="1">
        <f t="array" ref="S191">_xll.aqBondObjectCleanPrice($L191,$C$4,$M191)</f>
        <v>129.97385003192673</v>
      </c>
      <c r="T191" s="49" cm="1">
        <f t="array" ref="T191">_xll.aqBondObjectDirtyPrice($L191,$C$4,$M191)</f>
        <v>149.5</v>
      </c>
      <c r="U191" s="49" cm="1">
        <f t="array" ref="U191">_xll.aqBondObjectModifiedDuration($L191,$C$4,$Q191)</f>
        <v>18.777037613964357</v>
      </c>
      <c r="V191" s="93" cm="1">
        <f t="array" ref="V191">_xll.aqBondObjectDV01($L191,$C$4,$Q191)</f>
        <v>2807.1671232876711</v>
      </c>
    </row>
    <row r="192" spans="2:22">
      <c r="B192" s="11" t="s">
        <v>1120</v>
      </c>
      <c r="C192" s="11" t="s">
        <v>1121</v>
      </c>
      <c r="D192" s="11" t="s">
        <v>1121</v>
      </c>
      <c r="E192" s="12">
        <v>40806</v>
      </c>
      <c r="F192" s="15">
        <v>40806</v>
      </c>
      <c r="G192" s="14"/>
      <c r="H192" s="12">
        <v>40988</v>
      </c>
      <c r="I192" s="12">
        <v>51580</v>
      </c>
      <c r="J192" s="13">
        <v>0.02</v>
      </c>
      <c r="K192" s="12">
        <v>51764</v>
      </c>
      <c r="L192" s="16" t="str" cm="1">
        <f t="array" ref="L192">_xll.aqBondObjectCreateFromGenerator($C192,$L$4,_xll.aqToolLVBFromKeysValues($C$7:$K$7,$C192:$K192))</f>
        <v>JP1300351B93:3</v>
      </c>
      <c r="M192" s="78">
        <v>6.8500000000000028E-3</v>
      </c>
      <c r="N192" s="51">
        <v>126.0531</v>
      </c>
      <c r="O192" s="51">
        <v>19.374700000000001</v>
      </c>
      <c r="P192" s="95">
        <v>2828.7</v>
      </c>
      <c r="Q192" s="39" cm="1">
        <f t="array" ref="Q192">_xll.aqBondObjectYield(L192,$C$4,R192)</f>
        <v>6.8499999999999985E-3</v>
      </c>
      <c r="R192" s="49" cm="1">
        <f t="array" ref="R192">_xll.aqBondObjectPrice($L192,$C$4,$M192)</f>
        <v>126.05314127084839</v>
      </c>
      <c r="S192" s="49" cm="1">
        <f t="array" ref="S192">_xll.aqBondObjectCleanPrice($L192,$C$4,$M192)</f>
        <v>126.05314127084839</v>
      </c>
      <c r="T192" s="49" cm="1">
        <f t="array" ref="T192">_xll.aqBondObjectDirtyPrice($L192,$C$4,$M192)</f>
        <v>146</v>
      </c>
      <c r="U192" s="49" cm="1">
        <f t="array" ref="U192">_xll.aqBondObjectModifiedDuration($L192,$C$4,$Q192)</f>
        <v>19.374657534246573</v>
      </c>
      <c r="V192" s="93" cm="1">
        <f t="array" ref="V192">_xll.aqBondObjectDV01($L192,$C$4,$Q192)</f>
        <v>2828.7</v>
      </c>
    </row>
    <row r="193" spans="2:22">
      <c r="B193" s="11" t="s">
        <v>1122</v>
      </c>
      <c r="C193" s="11" t="s">
        <v>1123</v>
      </c>
      <c r="D193" s="11" t="s">
        <v>1123</v>
      </c>
      <c r="E193" s="12">
        <v>40989</v>
      </c>
      <c r="F193" s="15">
        <v>40988</v>
      </c>
      <c r="G193" s="14"/>
      <c r="H193" s="12">
        <v>41172</v>
      </c>
      <c r="I193" s="12">
        <v>51764</v>
      </c>
      <c r="J193" s="13">
        <v>0.02</v>
      </c>
      <c r="K193" s="12">
        <v>51945</v>
      </c>
      <c r="L193" s="16" t="str" cm="1">
        <f t="array" ref="L193">_xll.aqBondObjectCreateFromGenerator($C193,$L$4,_xll.aqToolLVBFromKeysValues($C$7:$K$7,$C193:$K193))</f>
        <v>JP1300361C33:3</v>
      </c>
      <c r="M193" s="78">
        <v>6.9500000000000004E-3</v>
      </c>
      <c r="N193" s="51">
        <v>126.28400000000001</v>
      </c>
      <c r="O193" s="51">
        <v>19.7423</v>
      </c>
      <c r="P193" s="95">
        <v>2902.1192000000001</v>
      </c>
      <c r="Q193" s="39" cm="1">
        <f t="array" ref="Q193">_xll.aqBondObjectYield(L193,$C$4,R193)</f>
        <v>6.9499999999999987E-3</v>
      </c>
      <c r="R193" s="49" cm="1">
        <f t="array" ref="R193">_xll.aqBondObjectPrice($L193,$C$4,$M193)</f>
        <v>126.28396314306544</v>
      </c>
      <c r="S193" s="49" cm="1">
        <f t="array" ref="S193">_xll.aqBondObjectCleanPrice($L193,$C$4,$M193)</f>
        <v>126.28396314306544</v>
      </c>
      <c r="T193" s="49" cm="1">
        <f t="array" ref="T193">_xll.aqBondObjectDirtyPrice($L193,$C$4,$M193)</f>
        <v>147</v>
      </c>
      <c r="U193" s="49" cm="1">
        <f t="array" ref="U193">_xll.aqBondObjectModifiedDuration($L193,$C$4,$Q193)</f>
        <v>19.742307333892462</v>
      </c>
      <c r="V193" s="93" cm="1">
        <f t="array" ref="V193">_xll.aqBondObjectDV01($L193,$C$4,$Q193)</f>
        <v>2902.1191780821919</v>
      </c>
    </row>
    <row r="217" spans="5:5">
      <c r="E217" s="36"/>
    </row>
    <row r="218" spans="5:5">
      <c r="E218" s="36"/>
    </row>
    <row r="219" spans="5:5">
      <c r="E219" s="36"/>
    </row>
    <row r="220" spans="5:5">
      <c r="E220" s="36"/>
    </row>
  </sheetData>
  <autoFilter ref="B7:V7" xr:uid="{00000000-0001-0000-0200-000000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AM242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2" max="2" width="20.7109375" customWidth="1"/>
    <col min="3" max="4" width="15.7109375" customWidth="1"/>
    <col min="5" max="9" width="15.7109375" hidden="1" customWidth="1" outlineLevel="1"/>
    <col min="10" max="10" width="15.7109375" customWidth="1" collapsed="1"/>
    <col min="11" max="11" width="15.7109375" customWidth="1"/>
    <col min="12" max="12" width="22.7109375" style="22" customWidth="1"/>
    <col min="13" max="13" width="22.7109375" style="41" customWidth="1"/>
    <col min="14" max="14" width="22.7109375" style="41" hidden="1" customWidth="1" outlineLevel="1"/>
    <col min="15" max="15" width="22.7109375" style="92" hidden="1" customWidth="1" outlineLevel="1"/>
    <col min="16" max="16" width="22.7109375" style="96" hidden="1" customWidth="1" outlineLevel="1"/>
    <col min="17" max="17" width="22.7109375" style="41" customWidth="1" collapsed="1"/>
    <col min="18" max="18" width="22.7109375" style="58" customWidth="1"/>
    <col min="19" max="19" width="22.7109375" style="58" hidden="1" customWidth="1" outlineLevel="1"/>
    <col min="20" max="22" width="22.7109375" style="46" hidden="1" customWidth="1" outlineLevel="1"/>
    <col min="23" max="23" width="20.7109375" customWidth="1" collapsed="1"/>
    <col min="25" max="25" width="13" customWidth="1"/>
    <col min="28" max="28" width="16.85546875" customWidth="1"/>
    <col min="30" max="30" width="29.85546875" customWidth="1"/>
  </cols>
  <sheetData>
    <row r="1" spans="2:23">
      <c r="J1" s="2" t="s">
        <v>277</v>
      </c>
      <c r="M1" s="55"/>
      <c r="N1" s="55"/>
      <c r="O1" s="55"/>
      <c r="P1" s="55"/>
      <c r="Q1" s="45" t="s">
        <v>1965</v>
      </c>
      <c r="R1"/>
      <c r="S1" s="53"/>
      <c r="T1" s="53"/>
      <c r="U1" s="53"/>
      <c r="V1" s="53"/>
      <c r="W1" s="2" t="s">
        <v>1960</v>
      </c>
    </row>
    <row r="2" spans="2:23">
      <c r="M2" s="45" t="s">
        <v>1957</v>
      </c>
      <c r="N2" s="45" t="s">
        <v>1958</v>
      </c>
      <c r="O2" s="45" t="s">
        <v>1966</v>
      </c>
      <c r="P2" s="45" t="s">
        <v>1967</v>
      </c>
      <c r="S2" s="53"/>
      <c r="T2" s="53"/>
      <c r="U2" s="53"/>
      <c r="V2" s="53"/>
    </row>
    <row r="3" spans="2:23">
      <c r="B3" s="2" t="s">
        <v>9</v>
      </c>
      <c r="C3" s="2" t="s">
        <v>10</v>
      </c>
      <c r="D3" s="1"/>
      <c r="L3" s="2" t="s">
        <v>273</v>
      </c>
      <c r="M3" s="83" t="s">
        <v>274</v>
      </c>
      <c r="N3" s="83" t="s">
        <v>274</v>
      </c>
      <c r="O3" s="83" t="s">
        <v>274</v>
      </c>
      <c r="P3" s="83" t="s">
        <v>274</v>
      </c>
      <c r="S3" s="53"/>
      <c r="T3" s="53"/>
      <c r="U3" s="53"/>
      <c r="V3" s="53"/>
    </row>
    <row r="4" spans="2:23">
      <c r="B4" s="90">
        <v>43388</v>
      </c>
      <c r="C4" s="27" cm="1">
        <f t="array" ref="C4">_xll.aqDateFromTenor($B$4,$D$4,"MOD_FOLLOWING","TGT")</f>
        <v>43390</v>
      </c>
      <c r="D4" s="30" t="s">
        <v>278</v>
      </c>
      <c r="L4" s="23" t="s">
        <v>1548</v>
      </c>
      <c r="M4" s="52">
        <f>SUM(M8:M242)-SUM(Q8:Q242)</f>
        <v>4.3520742565306136E-13</v>
      </c>
      <c r="N4" s="52">
        <f>SUM(N8:N242)-SUM(R8:R242)</f>
        <v>-5.3800067689735442E-6</v>
      </c>
      <c r="O4" s="52">
        <f>SUM(O8:O500)-SUM(U8:U500)</f>
        <v>2.1729297668571235E-4</v>
      </c>
      <c r="P4" s="94">
        <f>SUM(P8:P500)-SUM(V8:V500)</f>
        <v>-4.3698196532204747E-4</v>
      </c>
      <c r="S4" s="54"/>
      <c r="T4" s="54"/>
      <c r="U4" s="57"/>
      <c r="V4" s="45"/>
    </row>
    <row r="5" spans="2:23">
      <c r="L5"/>
      <c r="O5" s="41"/>
      <c r="P5" s="41"/>
      <c r="Q5" s="37"/>
      <c r="R5" s="37"/>
      <c r="S5"/>
      <c r="T5"/>
      <c r="U5"/>
      <c r="V5"/>
    </row>
    <row r="6" spans="2:23">
      <c r="B6" s="88" t="s">
        <v>1959</v>
      </c>
      <c r="C6" s="88" t="s">
        <v>1732</v>
      </c>
      <c r="D6" s="88" t="s">
        <v>1733</v>
      </c>
      <c r="E6" s="88" t="s">
        <v>1736</v>
      </c>
      <c r="F6" s="88" t="s">
        <v>1737</v>
      </c>
      <c r="G6" s="88"/>
      <c r="H6" s="88" t="s">
        <v>1738</v>
      </c>
      <c r="I6" s="88" t="s">
        <v>1739</v>
      </c>
      <c r="J6" s="88" t="s">
        <v>1734</v>
      </c>
      <c r="K6" s="88" t="s">
        <v>1735</v>
      </c>
      <c r="L6" s="88"/>
      <c r="M6" s="86" t="s">
        <v>14</v>
      </c>
      <c r="N6" s="87" t="s">
        <v>15</v>
      </c>
      <c r="O6" s="87" t="s">
        <v>18</v>
      </c>
      <c r="P6" s="87" t="s">
        <v>17</v>
      </c>
      <c r="Q6" s="44"/>
      <c r="R6"/>
      <c r="S6" s="44"/>
      <c r="T6" s="44"/>
      <c r="U6" s="87"/>
      <c r="V6" s="87"/>
    </row>
    <row r="7" spans="2:23">
      <c r="B7" s="22" t="s">
        <v>12</v>
      </c>
      <c r="C7" s="22" t="s">
        <v>0</v>
      </c>
      <c r="D7" s="22" t="s">
        <v>1</v>
      </c>
      <c r="E7" s="22" t="s">
        <v>2</v>
      </c>
      <c r="F7" s="22" t="s">
        <v>8</v>
      </c>
      <c r="G7" s="22" t="s">
        <v>7</v>
      </c>
      <c r="H7" s="22" t="s">
        <v>3</v>
      </c>
      <c r="I7" s="22" t="s">
        <v>4</v>
      </c>
      <c r="J7" s="22" t="s">
        <v>6</v>
      </c>
      <c r="K7" s="22" t="s">
        <v>5</v>
      </c>
      <c r="L7" s="22" t="s">
        <v>13</v>
      </c>
      <c r="M7" s="42" t="s">
        <v>1955</v>
      </c>
      <c r="N7" s="82" t="s">
        <v>1956</v>
      </c>
      <c r="O7" s="82" t="s">
        <v>1963</v>
      </c>
      <c r="P7" s="82" t="s">
        <v>1964</v>
      </c>
      <c r="Q7" s="21" t="s">
        <v>1551</v>
      </c>
      <c r="R7" s="21" t="s">
        <v>1706</v>
      </c>
      <c r="S7" s="21" t="s">
        <v>275</v>
      </c>
      <c r="T7" s="21" t="s">
        <v>1550</v>
      </c>
      <c r="U7" s="21" t="s">
        <v>276</v>
      </c>
      <c r="V7" s="21" t="s">
        <v>16</v>
      </c>
      <c r="W7" s="6"/>
    </row>
    <row r="8" spans="2:23">
      <c r="B8" s="11" t="s">
        <v>1420</v>
      </c>
      <c r="C8" s="11" t="s">
        <v>1421</v>
      </c>
      <c r="D8" s="11" t="s">
        <v>1421</v>
      </c>
      <c r="E8" s="12">
        <v>41367</v>
      </c>
      <c r="F8" s="15">
        <v>41367</v>
      </c>
      <c r="G8" s="14"/>
      <c r="H8" s="12">
        <v>41732</v>
      </c>
      <c r="I8" s="12">
        <v>43924</v>
      </c>
      <c r="J8" s="13">
        <v>2.2800000000000001E-2</v>
      </c>
      <c r="K8" s="12">
        <v>44289</v>
      </c>
      <c r="L8" s="16" t="str" cm="1">
        <f t="array" ref="L8">_xll.aqBondObjectCreateFromGenerator($C8,$L$4,_xll.aqToolLVBFromKeysValues($C$7:$K$7,$C8:$K8))</f>
        <v>FR0011438449:4</v>
      </c>
      <c r="M8" s="78">
        <v>-2.4449059516331289E-3</v>
      </c>
      <c r="N8" s="51">
        <v>106.238</v>
      </c>
      <c r="O8" s="17">
        <v>2.4024000000000001</v>
      </c>
      <c r="P8" s="95">
        <v>258.18009999999998</v>
      </c>
      <c r="Q8" s="39" cm="1">
        <f t="array" ref="Q8">_xll.aqBondObjectYield(L8,$C$4,R8)</f>
        <v>-2.444905951633171E-3</v>
      </c>
      <c r="R8" s="49" cm="1">
        <f t="array" ref="R8">_xll.aqBondObjectPrice($L8,$C$4,$M8)</f>
        <v>106.23800000000288</v>
      </c>
      <c r="S8" s="49" cm="1">
        <f t="array" ref="S8">_xll.aqBondObjectCleanPrice($L8,$C$4,$M8)</f>
        <v>106.23800000000288</v>
      </c>
      <c r="T8" s="49" cm="1">
        <f t="array" ref="T8">_xll.aqBondObjectDirtyPrice($L8,$C$4,$M8)</f>
        <v>107.46857530000288</v>
      </c>
      <c r="U8" s="18" cm="1">
        <f t="array" ref="U8">_xll.aqBondObjectModifiedDuration($L8,$C$4,$Q8)</f>
        <v>2.4023772398290166</v>
      </c>
      <c r="V8" s="93" cm="1">
        <f t="array" ref="V8">_xll.aqBondObjectDV01($L8,$C$4,$Q8)</f>
        <v>258.18005929757777</v>
      </c>
    </row>
    <row r="9" spans="2:23">
      <c r="B9" s="11" t="s">
        <v>1168</v>
      </c>
      <c r="C9" s="11" t="s">
        <v>1169</v>
      </c>
      <c r="D9" s="11" t="s">
        <v>1169</v>
      </c>
      <c r="E9" s="12">
        <v>38482</v>
      </c>
      <c r="F9" s="15">
        <v>38467</v>
      </c>
      <c r="G9" s="14"/>
      <c r="H9" s="12">
        <v>38832</v>
      </c>
      <c r="I9" s="12">
        <v>43946</v>
      </c>
      <c r="J9" s="13">
        <v>3.7499999999999999E-2</v>
      </c>
      <c r="K9" s="12">
        <v>44311</v>
      </c>
      <c r="L9" s="16" t="str" cm="1">
        <f t="array" ref="L9">_xll.aqBondObjectCreateFromGenerator($C9,$L$4,_xll.aqToolLVBFromKeysValues($C$7:$K$7,$C9:$K9))</f>
        <v>FR0010192997:3</v>
      </c>
      <c r="M9" s="78">
        <v>-4.087008068485617E-3</v>
      </c>
      <c r="N9" s="51">
        <v>110.56</v>
      </c>
      <c r="O9" s="17">
        <v>2.4300000000000002</v>
      </c>
      <c r="P9" s="95">
        <v>273.02999999999997</v>
      </c>
      <c r="Q9" s="39" cm="1">
        <f t="array" ref="Q9">_xll.aqBondObjectYield(L9,$C$4,R9)</f>
        <v>-4.0870080684849699E-3</v>
      </c>
      <c r="R9" s="49" cm="1">
        <f t="array" ref="R9">_xll.aqBondObjectPrice($L9,$C$4,$M9)</f>
        <v>110.56000000004518</v>
      </c>
      <c r="S9" s="49" cm="1">
        <f t="array" ref="S9">_xll.aqBondObjectCleanPrice($L9,$C$4,$M9)</f>
        <v>110.56000000004518</v>
      </c>
      <c r="T9" s="49" cm="1">
        <f t="array" ref="T9">_xll.aqBondObjectDirtyPrice($L9,$C$4,$M9)</f>
        <v>112.35794520004518</v>
      </c>
      <c r="U9" s="18" cm="1">
        <f t="array" ref="U9">_xll.aqBondObjectModifiedDuration($L9,$C$4,$Q9)</f>
        <v>2.4300020130147408</v>
      </c>
      <c r="V9" s="93" cm="1">
        <f t="array" ref="V9">_xll.aqBondObjectDV01($L9,$C$4,$Q9)</f>
        <v>273.03003301430931</v>
      </c>
    </row>
    <row r="10" spans="2:23">
      <c r="B10" s="11" t="s">
        <v>1258</v>
      </c>
      <c r="C10" s="11" t="s">
        <v>1259</v>
      </c>
      <c r="D10" s="11" t="s">
        <v>1259</v>
      </c>
      <c r="E10" s="12">
        <v>40140</v>
      </c>
      <c r="F10" s="15"/>
      <c r="G10" s="14"/>
      <c r="H10" s="12"/>
      <c r="I10" s="12"/>
      <c r="J10" s="13">
        <v>0</v>
      </c>
      <c r="K10" s="12">
        <v>44311</v>
      </c>
      <c r="L10" s="16" t="str" cm="1">
        <f t="array" ref="L10">_xll.aqBondObjectCreateFromGenerator($C10,$L$4,_xll.aqToolLVBFromKeysValues($C$7:$K$7,$C10:$K10))</f>
        <v>FR0010809814:3</v>
      </c>
      <c r="M10" s="78">
        <v>-4.1980197892248494E-3</v>
      </c>
      <c r="N10" s="51">
        <v>101.066</v>
      </c>
      <c r="O10" s="17">
        <v>2.5312000000000001</v>
      </c>
      <c r="P10" s="95">
        <v>255.81559999999999</v>
      </c>
      <c r="Q10" s="39" cm="1">
        <f t="array" ref="Q10">_xll.aqBondObjectYield(L10,$C$4,R10)</f>
        <v>-4.1980197892248442E-3</v>
      </c>
      <c r="R10" s="49" cm="1">
        <f t="array" ref="R10">_xll.aqBondObjectPrice($L10,$C$4,$M10)</f>
        <v>101.06599999999999</v>
      </c>
      <c r="S10" s="49" cm="1">
        <f t="array" ref="S10">_xll.aqBondObjectCleanPrice($L10,$C$4,$M10)</f>
        <v>101.06599999999999</v>
      </c>
      <c r="T10" s="49" cm="1">
        <f t="array" ref="T10">_xll.aqBondObjectDirtyPrice($L10,$C$4,$M10)</f>
        <v>101.06599999999999</v>
      </c>
      <c r="U10" s="18" cm="1">
        <f t="array" ref="U10">_xll.aqBondObjectModifiedDuration($L10,$C$4,$Q10)</f>
        <v>2.5311738631730489</v>
      </c>
      <c r="V10" s="93" cm="1">
        <f t="array" ref="V10">_xll.aqBondObjectDV01($L10,$C$4,$Q10)</f>
        <v>255.81561765544731</v>
      </c>
    </row>
    <row r="11" spans="2:23">
      <c r="B11" s="11" t="s">
        <v>1378</v>
      </c>
      <c r="C11" s="11" t="s">
        <v>1379</v>
      </c>
      <c r="D11" s="11" t="s">
        <v>1379</v>
      </c>
      <c r="E11" s="12">
        <v>33735</v>
      </c>
      <c r="F11" s="15"/>
      <c r="G11" s="14"/>
      <c r="H11" s="12"/>
      <c r="I11" s="12"/>
      <c r="J11" s="13">
        <v>0</v>
      </c>
      <c r="K11" s="12">
        <v>44311</v>
      </c>
      <c r="L11" s="16" t="str" cm="1">
        <f t="array" ref="L11">_xll.aqBondObjectCreateFromGenerator($C11,$L$4,_xll.aqToolLVBFromKeysValues($C$7:$K$7,$C11:$K11))</f>
        <v>FR0000570996:3</v>
      </c>
      <c r="M11" s="78">
        <v>-3.783355089560958E-3</v>
      </c>
      <c r="N11" s="51">
        <v>100.96</v>
      </c>
      <c r="O11" s="17">
        <v>2.5301</v>
      </c>
      <c r="P11" s="95">
        <v>255.4409</v>
      </c>
      <c r="Q11" s="39" cm="1">
        <f t="array" ref="Q11">_xll.aqBondObjectYield(L11,$C$4,R11)</f>
        <v>-3.7833550895608591E-3</v>
      </c>
      <c r="R11" s="49" cm="1">
        <f t="array" ref="R11">_xll.aqBondObjectPrice($L11,$C$4,$M11)</f>
        <v>100.95999999999998</v>
      </c>
      <c r="S11" s="49" cm="1">
        <f t="array" ref="S11">_xll.aqBondObjectCleanPrice($L11,$C$4,$M11)</f>
        <v>100.95999999999998</v>
      </c>
      <c r="T11" s="49" cm="1">
        <f t="array" ref="T11">_xll.aqBondObjectDirtyPrice($L11,$C$4,$M11)</f>
        <v>100.95999999999998</v>
      </c>
      <c r="U11" s="18" cm="1">
        <f t="array" ref="U11">_xll.aqBondObjectModifiedDuration($L11,$C$4,$Q11)</f>
        <v>2.5301202886768461</v>
      </c>
      <c r="V11" s="93" cm="1">
        <f t="array" ref="V11">_xll.aqBondObjectDV01($L11,$C$4,$Q11)</f>
        <v>255.44094434481428</v>
      </c>
    </row>
    <row r="12" spans="2:23">
      <c r="B12" s="11" t="s">
        <v>1442</v>
      </c>
      <c r="C12" s="11" t="s">
        <v>1443</v>
      </c>
      <c r="D12" s="11" t="s">
        <v>1443</v>
      </c>
      <c r="E12" s="12">
        <v>38482</v>
      </c>
      <c r="F12" s="15"/>
      <c r="G12" s="14"/>
      <c r="H12" s="12"/>
      <c r="I12" s="12"/>
      <c r="J12" s="13">
        <v>0</v>
      </c>
      <c r="K12" s="12">
        <v>44311</v>
      </c>
      <c r="L12" s="16" t="str" cm="1">
        <f t="array" ref="L12">_xll.aqBondObjectCreateFromGenerator($C12,$L$4,_xll.aqToolLVBFromKeysValues($C$7:$K$7,$C12:$K12))</f>
        <v>FR0010193003:3</v>
      </c>
      <c r="M12" s="78">
        <v>-3.7246270081509048E-3</v>
      </c>
      <c r="N12" s="51">
        <v>100.94499999999999</v>
      </c>
      <c r="O12" s="17">
        <v>2.5299999999999998</v>
      </c>
      <c r="P12" s="95">
        <v>255.3879</v>
      </c>
      <c r="Q12" s="39" cm="1">
        <f t="array" ref="Q12">_xll.aqBondObjectYield(L12,$C$4,R12)</f>
        <v>-3.7246270081509772E-3</v>
      </c>
      <c r="R12" s="49" cm="1">
        <f t="array" ref="R12">_xll.aqBondObjectPrice($L12,$C$4,$M12)</f>
        <v>100.94499999999999</v>
      </c>
      <c r="S12" s="49" cm="1">
        <f t="array" ref="S12">_xll.aqBondObjectCleanPrice($L12,$C$4,$M12)</f>
        <v>100.94499999999999</v>
      </c>
      <c r="T12" s="49" cm="1">
        <f t="array" ref="T12">_xll.aqBondObjectDirtyPrice($L12,$C$4,$M12)</f>
        <v>100.94499999999999</v>
      </c>
      <c r="U12" s="18" cm="1">
        <f t="array" ref="U12">_xll.aqBondObjectModifiedDuration($L12,$C$4,$Q12)</f>
        <v>2.5299711440584827</v>
      </c>
      <c r="V12" s="93" cm="1">
        <f t="array" ref="V12">_xll.aqBondObjectDV01($L12,$C$4,$Q12)</f>
        <v>255.38793713698357</v>
      </c>
    </row>
    <row r="13" spans="2:23">
      <c r="B13" s="11" t="s">
        <v>1158</v>
      </c>
      <c r="C13" s="11" t="s">
        <v>1159</v>
      </c>
      <c r="D13" s="11" t="s">
        <v>1159</v>
      </c>
      <c r="E13" s="12">
        <v>42485</v>
      </c>
      <c r="F13" s="15">
        <v>42149</v>
      </c>
      <c r="G13" s="14"/>
      <c r="H13" s="12">
        <v>42515</v>
      </c>
      <c r="I13" s="12">
        <v>43976</v>
      </c>
      <c r="J13" s="13">
        <v>0</v>
      </c>
      <c r="K13" s="12">
        <v>44341</v>
      </c>
      <c r="L13" s="16" t="str" cm="1">
        <f t="array" ref="L13">_xll.aqBondObjectCreateFromGenerator($C13,$L$4,_xll.aqToolLVBFromKeysValues($C$7:$K$7,$C13:$K13))</f>
        <v>FR0013157096:9</v>
      </c>
      <c r="M13" s="78">
        <v>-3.8952924962680768E-3</v>
      </c>
      <c r="N13" s="51">
        <v>101.021</v>
      </c>
      <c r="O13" s="17">
        <v>2.6128999999999998</v>
      </c>
      <c r="P13" s="95">
        <v>263.95960000000002</v>
      </c>
      <c r="Q13" s="39" cm="1">
        <f t="array" ref="Q13">_xll.aqBondObjectYield(L13,$C$4,R13)</f>
        <v>-3.8952924962680504E-3</v>
      </c>
      <c r="R13" s="49" cm="1">
        <f t="array" ref="R13">_xll.aqBondObjectPrice($L13,$C$4,$M13)</f>
        <v>101.02099999999999</v>
      </c>
      <c r="S13" s="49" cm="1">
        <f t="array" ref="S13">_xll.aqBondObjectCleanPrice($L13,$C$4,$M13)</f>
        <v>101.02099999999999</v>
      </c>
      <c r="T13" s="49" cm="1">
        <f t="array" ref="T13">_xll.aqBondObjectDirtyPrice($L13,$C$4,$M13)</f>
        <v>101.02099999999999</v>
      </c>
      <c r="U13" s="18" cm="1">
        <f t="array" ref="U13">_xll.aqBondObjectModifiedDuration($L13,$C$4,$Q13)</f>
        <v>2.612917805147152</v>
      </c>
      <c r="V13" s="93" cm="1">
        <f t="array" ref="V13">_xll.aqBondObjectDV01($L13,$C$4,$Q13)</f>
        <v>263.95956959377042</v>
      </c>
    </row>
    <row r="14" spans="2:23">
      <c r="B14" s="11" t="s">
        <v>1528</v>
      </c>
      <c r="C14" s="11" t="s">
        <v>1529</v>
      </c>
      <c r="D14" s="11" t="s">
        <v>1529</v>
      </c>
      <c r="E14" s="12">
        <v>41368</v>
      </c>
      <c r="F14" s="15"/>
      <c r="G14" s="14"/>
      <c r="H14" s="12"/>
      <c r="I14" s="12"/>
      <c r="J14" s="13">
        <v>0</v>
      </c>
      <c r="K14" s="12">
        <v>44341</v>
      </c>
      <c r="L14" s="16" t="str" cm="1">
        <f t="array" ref="L14">_xll.aqBondObjectCreateFromGenerator($C14,$L$4,_xll.aqToolLVBFromKeysValues($C$7:$K$7,$C14:$K14))</f>
        <v>FR0011461367:3</v>
      </c>
      <c r="M14" s="78">
        <v>-3.9142341422817584E-3</v>
      </c>
      <c r="N14" s="51">
        <v>101.026</v>
      </c>
      <c r="O14" s="17">
        <v>2.613</v>
      </c>
      <c r="P14" s="95">
        <v>263.97770000000003</v>
      </c>
      <c r="Q14" s="39" cm="1">
        <f t="array" ref="Q14">_xll.aqBondObjectYield(L14,$C$4,R14)</f>
        <v>-3.9142341422818546E-3</v>
      </c>
      <c r="R14" s="49" cm="1">
        <f t="array" ref="R14">_xll.aqBondObjectPrice($L14,$C$4,$M14)</f>
        <v>101.026</v>
      </c>
      <c r="S14" s="49" cm="1">
        <f t="array" ref="S14">_xll.aqBondObjectCleanPrice($L14,$C$4,$M14)</f>
        <v>101.026</v>
      </c>
      <c r="T14" s="49" cm="1">
        <f t="array" ref="T14">_xll.aqBondObjectDirtyPrice($L14,$C$4,$M14)</f>
        <v>101.026</v>
      </c>
      <c r="U14" s="18" cm="1">
        <f t="array" ref="U14">_xll.aqBondObjectModifiedDuration($L14,$C$4,$Q14)</f>
        <v>2.6129674925996027</v>
      </c>
      <c r="V14" s="93" cm="1">
        <f t="array" ref="V14">_xll.aqBondObjectDV01($L14,$C$4,$Q14)</f>
        <v>263.97765390736748</v>
      </c>
    </row>
    <row r="15" spans="2:23">
      <c r="B15" s="11" t="s">
        <v>1158</v>
      </c>
      <c r="C15" s="11" t="s">
        <v>1159</v>
      </c>
      <c r="D15" s="11" t="s">
        <v>1159</v>
      </c>
      <c r="E15" s="12">
        <v>42485</v>
      </c>
      <c r="F15" s="15">
        <v>42149</v>
      </c>
      <c r="G15" s="14"/>
      <c r="H15" s="12">
        <v>42515</v>
      </c>
      <c r="I15" s="12">
        <v>43976</v>
      </c>
      <c r="J15" s="13">
        <v>0</v>
      </c>
      <c r="K15" s="12">
        <v>44341</v>
      </c>
      <c r="L15" s="16" t="str" cm="1">
        <f t="array" ref="L15">_xll.aqBondObjectCreateFromGenerator($C15,$L$4,_xll.aqToolLVBFromKeysValues($C$7:$K$7,$C15:$K15))</f>
        <v>FR0013157096:10</v>
      </c>
      <c r="M15" s="78">
        <v>-3.8952924962680768E-3</v>
      </c>
      <c r="N15" s="51">
        <v>101.021</v>
      </c>
      <c r="O15" s="17">
        <v>2.6128999999999998</v>
      </c>
      <c r="P15" s="95">
        <v>263.95960000000002</v>
      </c>
      <c r="Q15" s="39" cm="1">
        <f t="array" ref="Q15">_xll.aqBondObjectYield(L15,$C$4,R15)</f>
        <v>-3.8952924962680504E-3</v>
      </c>
      <c r="R15" s="49" cm="1">
        <f t="array" ref="R15">_xll.aqBondObjectPrice($L15,$C$4,$M15)</f>
        <v>101.02099999999999</v>
      </c>
      <c r="S15" s="49" cm="1">
        <f t="array" ref="S15">_xll.aqBondObjectCleanPrice($L15,$C$4,$M15)</f>
        <v>101.02099999999999</v>
      </c>
      <c r="T15" s="49" cm="1">
        <f t="array" ref="T15">_xll.aqBondObjectDirtyPrice($L15,$C$4,$M15)</f>
        <v>101.02099999999999</v>
      </c>
      <c r="U15" s="18" cm="1">
        <f t="array" ref="U15">_xll.aqBondObjectModifiedDuration($L15,$C$4,$Q15)</f>
        <v>2.612917805147152</v>
      </c>
      <c r="V15" s="93" cm="1">
        <f t="array" ref="V15">_xll.aqBondObjectDV01($L15,$C$4,$Q15)</f>
        <v>263.95956959377042</v>
      </c>
    </row>
    <row r="16" spans="2:23">
      <c r="B16" s="11" t="s">
        <v>1158</v>
      </c>
      <c r="C16" s="11" t="s">
        <v>1159</v>
      </c>
      <c r="D16" s="11" t="s">
        <v>1159</v>
      </c>
      <c r="E16" s="12">
        <v>42485</v>
      </c>
      <c r="F16" s="15">
        <v>42149</v>
      </c>
      <c r="G16" s="14"/>
      <c r="H16" s="12">
        <v>42515</v>
      </c>
      <c r="I16" s="12">
        <v>43976</v>
      </c>
      <c r="J16" s="13">
        <v>0</v>
      </c>
      <c r="K16" s="12">
        <v>44341</v>
      </c>
      <c r="L16" s="16" t="str" cm="1">
        <f t="array" ref="L16">_xll.aqBondObjectCreateFromGenerator($C16,$L$4,_xll.aqToolLVBFromKeysValues($C$7:$K$7,$C16:$K16))</f>
        <v>FR0013157096:11</v>
      </c>
      <c r="M16" s="78">
        <v>-3.8952924962680768E-3</v>
      </c>
      <c r="N16" s="51">
        <v>101.021</v>
      </c>
      <c r="O16" s="17">
        <v>2.6128999999999998</v>
      </c>
      <c r="P16" s="95">
        <v>263.95960000000002</v>
      </c>
      <c r="Q16" s="39" cm="1">
        <f t="array" ref="Q16">_xll.aqBondObjectYield(L16,$C$4,R16)</f>
        <v>-3.8952924962680504E-3</v>
      </c>
      <c r="R16" s="49" cm="1">
        <f t="array" ref="R16">_xll.aqBondObjectPrice($L16,$C$4,$M16)</f>
        <v>101.02099999999999</v>
      </c>
      <c r="S16" s="49" cm="1">
        <f t="array" ref="S16">_xll.aqBondObjectCleanPrice($L16,$C$4,$M16)</f>
        <v>101.02099999999999</v>
      </c>
      <c r="T16" s="49" cm="1">
        <f t="array" ref="T16">_xll.aqBondObjectDirtyPrice($L16,$C$4,$M16)</f>
        <v>101.02099999999999</v>
      </c>
      <c r="U16" s="18" cm="1">
        <f t="array" ref="U16">_xll.aqBondObjectModifiedDuration($L16,$C$4,$Q16)</f>
        <v>2.612917805147152</v>
      </c>
      <c r="V16" s="93" cm="1">
        <f t="array" ref="V16">_xll.aqBondObjectDV01($L16,$C$4,$Q16)</f>
        <v>263.95956959377042</v>
      </c>
    </row>
    <row r="17" spans="2:25">
      <c r="B17" s="11" t="s">
        <v>1162</v>
      </c>
      <c r="C17" s="11" t="s">
        <v>1163</v>
      </c>
      <c r="D17" s="11" t="s">
        <v>1163</v>
      </c>
      <c r="E17" s="12">
        <v>40701</v>
      </c>
      <c r="F17" s="15">
        <v>40476</v>
      </c>
      <c r="G17" s="14"/>
      <c r="H17" s="12">
        <v>40841</v>
      </c>
      <c r="I17" s="12">
        <v>44129</v>
      </c>
      <c r="J17" s="13">
        <v>3.2500000000000001E-2</v>
      </c>
      <c r="K17" s="12">
        <v>44494</v>
      </c>
      <c r="L17" s="16" t="str" cm="1">
        <f t="array" ref="L17">_xll.aqBondObjectCreateFromGenerator($C17,$L$4,_xll.aqToolLVBFromKeysValues($C$7:$K$7,$C17:$K17))</f>
        <v>FR0011059088:3</v>
      </c>
      <c r="M17" s="78">
        <v>-3.2240551611984669E-3</v>
      </c>
      <c r="N17" s="51">
        <v>110.866</v>
      </c>
      <c r="O17" s="17">
        <v>2.8597999999999999</v>
      </c>
      <c r="P17" s="95">
        <v>326.14190000000002</v>
      </c>
      <c r="Q17" s="39" cm="1">
        <f t="array" ref="Q17">_xll.aqBondObjectYield(L17,$C$4,R17)</f>
        <v>-3.2240551611982448E-3</v>
      </c>
      <c r="R17" s="49" cm="1">
        <f t="array" ref="R17">_xll.aqBondObjectPrice($L17,$C$4,$M17)</f>
        <v>110.86600000008725</v>
      </c>
      <c r="S17" s="49" cm="1">
        <f t="array" ref="S17">_xll.aqBondObjectCleanPrice($L17,$C$4,$M17)</f>
        <v>110.86600000008725</v>
      </c>
      <c r="T17" s="49" cm="1">
        <f t="array" ref="T17">_xll.aqBondObjectDirtyPrice($L17,$C$4,$M17)</f>
        <v>114.04476710008726</v>
      </c>
      <c r="U17" s="18" cm="1">
        <f t="array" ref="U17">_xll.aqBondObjectModifiedDuration($L17,$C$4,$Q17)</f>
        <v>2.8597712553037677</v>
      </c>
      <c r="V17" s="93" cm="1">
        <f t="array" ref="V17">_xll.aqBondObjectDV01($L17,$C$4,$Q17)</f>
        <v>326.14194677064222</v>
      </c>
    </row>
    <row r="18" spans="2:25">
      <c r="B18" s="11" t="s">
        <v>1354</v>
      </c>
      <c r="C18" s="11" t="s">
        <v>1355</v>
      </c>
      <c r="D18" s="11" t="s">
        <v>1355</v>
      </c>
      <c r="E18" s="12">
        <v>40140</v>
      </c>
      <c r="F18" s="15"/>
      <c r="G18" s="14"/>
      <c r="H18" s="12"/>
      <c r="I18" s="12"/>
      <c r="J18" s="13">
        <v>0</v>
      </c>
      <c r="K18" s="12">
        <v>44494</v>
      </c>
      <c r="L18" s="16" t="str" cm="1">
        <f t="array" ref="L18">_xll.aqBondObjectCreateFromGenerator($C18,$L$4,_xll.aqToolLVBFromKeysValues($C$7:$K$7,$C18:$K18))</f>
        <v>FR0010809848:3</v>
      </c>
      <c r="M18" s="78">
        <v>-3.3721971266758022E-3</v>
      </c>
      <c r="N18" s="51">
        <v>101.026</v>
      </c>
      <c r="O18" s="17">
        <v>3.0320999999999998</v>
      </c>
      <c r="P18" s="95">
        <v>306.32530000000003</v>
      </c>
      <c r="Q18" s="39" cm="1">
        <f t="array" ref="Q18">_xll.aqBondObjectYield(L18,$C$4,R18)</f>
        <v>-3.3721971266757428E-3</v>
      </c>
      <c r="R18" s="49" cm="1">
        <f t="array" ref="R18">_xll.aqBondObjectPrice($L18,$C$4,$M18)</f>
        <v>101.026</v>
      </c>
      <c r="S18" s="49" cm="1">
        <f t="array" ref="S18">_xll.aqBondObjectCleanPrice($L18,$C$4,$M18)</f>
        <v>101.026</v>
      </c>
      <c r="T18" s="49" cm="1">
        <f t="array" ref="T18">_xll.aqBondObjectDirtyPrice($L18,$C$4,$M18)</f>
        <v>101.026</v>
      </c>
      <c r="U18" s="18" cm="1">
        <f t="array" ref="U18">_xll.aqBondObjectModifiedDuration($L18,$C$4,$Q18)</f>
        <v>3.0321427914281029</v>
      </c>
      <c r="V18" s="93" cm="1">
        <f t="array" ref="V18">_xll.aqBondObjectDV01($L18,$C$4,$Q18)</f>
        <v>306.32525764681537</v>
      </c>
    </row>
    <row r="19" spans="2:25">
      <c r="B19" s="11" t="s">
        <v>1496</v>
      </c>
      <c r="C19" s="11" t="s">
        <v>1497</v>
      </c>
      <c r="D19" s="11" t="s">
        <v>1497</v>
      </c>
      <c r="E19" s="12">
        <v>34450</v>
      </c>
      <c r="F19" s="15"/>
      <c r="G19" s="14"/>
      <c r="H19" s="12"/>
      <c r="I19" s="12"/>
      <c r="J19" s="13">
        <v>0</v>
      </c>
      <c r="K19" s="12">
        <v>44494</v>
      </c>
      <c r="L19" s="16" t="str" cm="1">
        <f t="array" ref="L19">_xll.aqBondObjectCreateFromGenerator($C19,$L$4,_xll.aqToolLVBFromKeysValues($C$7:$K$7,$C19:$K19))</f>
        <v>FR0000571002:3</v>
      </c>
      <c r="M19" s="78">
        <v>-3.4896914067515938E-3</v>
      </c>
      <c r="N19" s="51">
        <v>101.062</v>
      </c>
      <c r="O19" s="17">
        <v>3.0325000000000002</v>
      </c>
      <c r="P19" s="95">
        <v>306.47050000000002</v>
      </c>
      <c r="Q19" s="39" cm="1">
        <f t="array" ref="Q19">_xll.aqBondObjectYield(L19,$C$4,R19)</f>
        <v>-3.4896914067515084E-3</v>
      </c>
      <c r="R19" s="49" cm="1">
        <f t="array" ref="R19">_xll.aqBondObjectPrice($L19,$C$4,$M19)</f>
        <v>101.06199999999998</v>
      </c>
      <c r="S19" s="49" cm="1">
        <f t="array" ref="S19">_xll.aqBondObjectCleanPrice($L19,$C$4,$M19)</f>
        <v>101.06199999999998</v>
      </c>
      <c r="T19" s="49" cm="1">
        <f t="array" ref="T19">_xll.aqBondObjectDirtyPrice($L19,$C$4,$M19)</f>
        <v>101.06199999999998</v>
      </c>
      <c r="U19" s="18" cm="1">
        <f t="array" ref="U19">_xll.aqBondObjectModifiedDuration($L19,$C$4,$Q19)</f>
        <v>3.0325002984516565</v>
      </c>
      <c r="V19" s="93" cm="1">
        <f t="array" ref="V19">_xll.aqBondObjectDV01($L19,$C$4,$Q19)</f>
        <v>306.4705451621212</v>
      </c>
    </row>
    <row r="20" spans="2:25">
      <c r="B20" s="11" t="s">
        <v>1494</v>
      </c>
      <c r="C20" s="11" t="s">
        <v>1495</v>
      </c>
      <c r="D20" s="11" t="s">
        <v>1495</v>
      </c>
      <c r="E20" s="12">
        <v>41800</v>
      </c>
      <c r="F20" s="15"/>
      <c r="G20" s="14"/>
      <c r="H20" s="12"/>
      <c r="I20" s="12"/>
      <c r="J20" s="13">
        <v>0</v>
      </c>
      <c r="K20" s="12">
        <v>44525</v>
      </c>
      <c r="L20" s="16" t="str" cm="1">
        <f t="array" ref="L20">_xll.aqBondObjectCreateFromGenerator($C20,$L$4,_xll.aqToolLVBFromKeysValues($C$7:$K$7,$C20:$K20))</f>
        <v>FR0011962471:3</v>
      </c>
      <c r="M20" s="78">
        <v>-2.8479029501362607E-3</v>
      </c>
      <c r="N20" s="51">
        <v>100.89</v>
      </c>
      <c r="O20" s="17">
        <v>3.1156999999999999</v>
      </c>
      <c r="P20" s="95">
        <v>314.34530000000001</v>
      </c>
      <c r="Q20" s="39" cm="1">
        <f t="array" ref="Q20">_xll.aqBondObjectYield(L20,$C$4,R20)</f>
        <v>-2.8479029501362252E-3</v>
      </c>
      <c r="R20" s="49" cm="1">
        <f t="array" ref="R20">_xll.aqBondObjectPrice($L20,$C$4,$M20)</f>
        <v>100.88999999999999</v>
      </c>
      <c r="S20" s="49" cm="1">
        <f t="array" ref="S20">_xll.aqBondObjectCleanPrice($L20,$C$4,$M20)</f>
        <v>100.88999999999999</v>
      </c>
      <c r="T20" s="49" cm="1">
        <f t="array" ref="T20">_xll.aqBondObjectDirtyPrice($L20,$C$4,$M20)</f>
        <v>100.88999999999999</v>
      </c>
      <c r="U20" s="18" cm="1">
        <f t="array" ref="U20">_xll.aqBondObjectModifiedDuration($L20,$C$4,$Q20)</f>
        <v>3.115722590626143</v>
      </c>
      <c r="V20" s="93" cm="1">
        <f t="array" ref="V20">_xll.aqBondObjectDV01($L20,$C$4,$Q20)</f>
        <v>314.34525216827154</v>
      </c>
    </row>
    <row r="21" spans="2:25">
      <c r="B21" s="11" t="s">
        <v>1418</v>
      </c>
      <c r="C21" s="11" t="s">
        <v>1419</v>
      </c>
      <c r="D21" s="11" t="s">
        <v>1419</v>
      </c>
      <c r="E21" s="12">
        <v>40997</v>
      </c>
      <c r="F21" s="15">
        <v>40997</v>
      </c>
      <c r="G21" s="14"/>
      <c r="H21" s="12">
        <v>41362</v>
      </c>
      <c r="I21" s="12">
        <v>44284</v>
      </c>
      <c r="J21" s="13">
        <v>3.7499999999999999E-2</v>
      </c>
      <c r="K21" s="12">
        <v>44649</v>
      </c>
      <c r="L21" s="16" t="str" cm="1">
        <f t="array" ref="L21">_xll.aqBondObjectCreateFromGenerator($C21,$L$4,_xll.aqToolLVBFromKeysValues($C$7:$K$7,$C21:$K21))</f>
        <v>FR0011217603:3</v>
      </c>
      <c r="M21" s="78">
        <v>1.2160888681510565E-4</v>
      </c>
      <c r="N21" s="51">
        <v>112.8792</v>
      </c>
      <c r="O21" s="17">
        <v>3.2505000000000002</v>
      </c>
      <c r="P21" s="95">
        <v>373.65710000000001</v>
      </c>
      <c r="Q21" s="39" cm="1">
        <f t="array" ref="Q21">_xll.aqBondObjectYield(L21,$C$4,R21)</f>
        <v>1.2160888681542873E-4</v>
      </c>
      <c r="R21" s="49" cm="1">
        <f t="array" ref="R21">_xll.aqBondObjectPrice($L21,$C$4,$M21)</f>
        <v>112.8792053723883</v>
      </c>
      <c r="S21" s="49" cm="1">
        <f t="array" ref="S21">_xll.aqBondObjectCleanPrice($L21,$C$4,$M21)</f>
        <v>112.8792053723883</v>
      </c>
      <c r="T21" s="49" cm="1">
        <f t="array" ref="T21">_xll.aqBondObjectDirtyPrice($L21,$C$4,$M21)</f>
        <v>114.9545478723883</v>
      </c>
      <c r="U21" s="18" cm="1">
        <f t="array" ref="U21">_xll.aqBondObjectModifiedDuration($L21,$C$4,$Q21)</f>
        <v>3.2504770160042114</v>
      </c>
      <c r="V21" s="93" cm="1">
        <f t="array" ref="V21">_xll.aqBondObjectDV01($L21,$C$4,$Q21)</f>
        <v>373.6571157443534</v>
      </c>
    </row>
    <row r="22" spans="2:25">
      <c r="B22" s="11" t="s">
        <v>1142</v>
      </c>
      <c r="C22" s="11" t="s">
        <v>1143</v>
      </c>
      <c r="D22" s="11" t="s">
        <v>1143</v>
      </c>
      <c r="E22" s="12">
        <v>40946</v>
      </c>
      <c r="F22" s="15">
        <v>40658</v>
      </c>
      <c r="G22" s="14"/>
      <c r="H22" s="12">
        <v>41024</v>
      </c>
      <c r="I22" s="12">
        <v>44311</v>
      </c>
      <c r="J22" s="13">
        <v>0.03</v>
      </c>
      <c r="K22" s="12">
        <v>44676</v>
      </c>
      <c r="L22" s="16" t="str" cm="1">
        <f t="array" ref="L22">_xll.aqBondObjectCreateFromGenerator($C22,$L$4,_xll.aqToolLVBFromKeysValues($C$7:$K$7,$C22:$K22))</f>
        <v>FR0011196856:3</v>
      </c>
      <c r="M22" s="78">
        <v>-2.1484489004592305E-3</v>
      </c>
      <c r="N22" s="51">
        <v>111.374</v>
      </c>
      <c r="O22" s="17">
        <v>3.3677999999999999</v>
      </c>
      <c r="P22" s="95">
        <v>379.93150000000003</v>
      </c>
      <c r="Q22" s="39" cm="1">
        <f t="array" ref="Q22">_xll.aqBondObjectYield(L22,$C$4,R22)</f>
        <v>-2.1484489004592378E-3</v>
      </c>
      <c r="R22" s="49" cm="1">
        <f t="array" ref="R22">_xll.aqBondObjectPrice($L22,$C$4,$M22)</f>
        <v>111.37400000017229</v>
      </c>
      <c r="S22" s="49" cm="1">
        <f t="array" ref="S22">_xll.aqBondObjectCleanPrice($L22,$C$4,$M22)</f>
        <v>111.37400000017229</v>
      </c>
      <c r="T22" s="49" cm="1">
        <f t="array" ref="T22">_xll.aqBondObjectDirtyPrice($L22,$C$4,$M22)</f>
        <v>112.81235620017229</v>
      </c>
      <c r="U22" s="18" cm="1">
        <f t="array" ref="U22">_xll.aqBondObjectModifiedDuration($L22,$C$4,$Q22)</f>
        <v>3.3678183996208784</v>
      </c>
      <c r="V22" s="93" cm="1">
        <f t="array" ref="V22">_xll.aqBondObjectDV01($L22,$C$4,$Q22)</f>
        <v>379.93152891552484</v>
      </c>
    </row>
    <row r="23" spans="2:25">
      <c r="B23" s="11" t="s">
        <v>1188</v>
      </c>
      <c r="C23" s="11" t="s">
        <v>1189</v>
      </c>
      <c r="D23" s="11" t="s">
        <v>1189</v>
      </c>
      <c r="E23" s="12">
        <v>33646</v>
      </c>
      <c r="F23" s="15">
        <v>33646</v>
      </c>
      <c r="G23" s="14"/>
      <c r="H23" s="12">
        <v>33719</v>
      </c>
      <c r="I23" s="12">
        <v>44311</v>
      </c>
      <c r="J23" s="13">
        <v>8.2500000000000004E-2</v>
      </c>
      <c r="K23" s="12">
        <v>44676</v>
      </c>
      <c r="L23" s="16" t="str" cm="1">
        <f t="array" ref="L23">_xll.aqBondObjectCreateFromGenerator($C23,$L$4,_xll.aqToolLVBFromKeysValues($C$7:$K$7,$C23:$K23))</f>
        <v>FR0000571044:3</v>
      </c>
      <c r="M23" s="78">
        <v>-2.4501292888866877E-3</v>
      </c>
      <c r="N23" s="51">
        <v>130.07599999999999</v>
      </c>
      <c r="O23" s="17">
        <v>3.1579000000000002</v>
      </c>
      <c r="P23" s="95">
        <v>423.2568</v>
      </c>
      <c r="Q23" s="39" cm="1">
        <f t="array" ref="Q23">_xll.aqBondObjectYield(L23,$C$4,R23)</f>
        <v>-2.4501292888859192E-3</v>
      </c>
      <c r="R23" s="49" cm="1">
        <f t="array" ref="R23">_xll.aqBondObjectPrice($L23,$C$4,$M23)</f>
        <v>130.07599999999994</v>
      </c>
      <c r="S23" s="49" cm="1">
        <f t="array" ref="S23">_xll.aqBondObjectCleanPrice($L23,$C$4,$M23)</f>
        <v>130.07599999999994</v>
      </c>
      <c r="T23" s="49" cm="1">
        <f t="array" ref="T23">_xll.aqBondObjectDirtyPrice($L23,$C$4,$M23)</f>
        <v>134.03147949999993</v>
      </c>
      <c r="U23" s="18" cm="1">
        <f t="array" ref="U23">_xll.aqBondObjectModifiedDuration($L23,$C$4,$Q23)</f>
        <v>3.157891178905142</v>
      </c>
      <c r="V23" s="93" cm="1">
        <f t="array" ref="V23">_xll.aqBondObjectDV01($L23,$C$4,$Q23)</f>
        <v>423.25682680865418</v>
      </c>
    </row>
    <row r="24" spans="2:25">
      <c r="B24" s="11" t="s">
        <v>1246</v>
      </c>
      <c r="C24" s="11" t="s">
        <v>1247</v>
      </c>
      <c r="D24" s="11" t="s">
        <v>1247</v>
      </c>
      <c r="E24" s="12">
        <v>40140</v>
      </c>
      <c r="F24" s="15"/>
      <c r="G24" s="14"/>
      <c r="H24" s="12"/>
      <c r="I24" s="12"/>
      <c r="J24" s="13">
        <v>0</v>
      </c>
      <c r="K24" s="12">
        <v>44676</v>
      </c>
      <c r="L24" s="16" t="str" cm="1">
        <f t="array" ref="L24">_xll.aqBondObjectCreateFromGenerator($C24,$L$4,_xll.aqToolLVBFromKeysValues($C$7:$K$7,$C24:$K24))</f>
        <v>FR0010809871:3</v>
      </c>
      <c r="M24" s="78">
        <v>-2.2860753551303681E-3</v>
      </c>
      <c r="N24" s="51">
        <v>100.809</v>
      </c>
      <c r="O24" s="17">
        <v>3.5286</v>
      </c>
      <c r="P24" s="95">
        <v>355.71609999999998</v>
      </c>
      <c r="Q24" s="39" cm="1">
        <f t="array" ref="Q24">_xll.aqBondObjectYield(L24,$C$4,R24)</f>
        <v>-2.2860753551304409E-3</v>
      </c>
      <c r="R24" s="49" cm="1">
        <f t="array" ref="R24">_xll.aqBondObjectPrice($L24,$C$4,$M24)</f>
        <v>100.809</v>
      </c>
      <c r="S24" s="49" cm="1">
        <f t="array" ref="S24">_xll.aqBondObjectCleanPrice($L24,$C$4,$M24)</f>
        <v>100.809</v>
      </c>
      <c r="T24" s="49" cm="1">
        <f t="array" ref="T24">_xll.aqBondObjectDirtyPrice($L24,$C$4,$M24)</f>
        <v>100.809</v>
      </c>
      <c r="U24" s="18" cm="1">
        <f t="array" ref="U24">_xll.aqBondObjectModifiedDuration($L24,$C$4,$Q24)</f>
        <v>3.5286146241354688</v>
      </c>
      <c r="V24" s="93" cm="1">
        <f t="array" ref="V24">_xll.aqBondObjectDV01($L24,$C$4,$Q24)</f>
        <v>355.71611164447251</v>
      </c>
    </row>
    <row r="25" spans="2:25">
      <c r="B25" s="11" t="s">
        <v>1274</v>
      </c>
      <c r="C25" s="11" t="s">
        <v>1275</v>
      </c>
      <c r="D25" s="11" t="s">
        <v>1275</v>
      </c>
      <c r="E25" s="12">
        <v>33735</v>
      </c>
      <c r="F25" s="15"/>
      <c r="G25" s="14"/>
      <c r="H25" s="12"/>
      <c r="I25" s="12"/>
      <c r="J25" s="13">
        <v>0</v>
      </c>
      <c r="K25" s="12">
        <v>44676</v>
      </c>
      <c r="L25" s="16" t="str" cm="1">
        <f t="array" ref="L25">_xll.aqBondObjectCreateFromGenerator($C25,$L$4,_xll.aqToolLVBFromKeysValues($C$7:$K$7,$C25:$K25))</f>
        <v>FR0000571010:3</v>
      </c>
      <c r="M25" s="78">
        <v>-2.5894795934099379E-3</v>
      </c>
      <c r="N25" s="51">
        <v>100.917</v>
      </c>
      <c r="O25" s="17">
        <v>3.5297000000000001</v>
      </c>
      <c r="P25" s="95">
        <v>356.20549999999997</v>
      </c>
      <c r="Q25" s="39" cm="1">
        <f t="array" ref="Q25">_xll.aqBondObjectYield(L25,$C$4,R25)</f>
        <v>-2.5894795934099427E-3</v>
      </c>
      <c r="R25" s="49" cm="1">
        <f t="array" ref="R25">_xll.aqBondObjectPrice($L25,$C$4,$M25)</f>
        <v>100.91699999999999</v>
      </c>
      <c r="S25" s="49" cm="1">
        <f t="array" ref="S25">_xll.aqBondObjectCleanPrice($L25,$C$4,$M25)</f>
        <v>100.91699999999999</v>
      </c>
      <c r="T25" s="49" cm="1">
        <f t="array" ref="T25">_xll.aqBondObjectDirtyPrice($L25,$C$4,$M25)</f>
        <v>100.91699999999999</v>
      </c>
      <c r="U25" s="18" cm="1">
        <f t="array" ref="U25">_xll.aqBondObjectModifiedDuration($L25,$C$4,$Q25)</f>
        <v>3.5296880002532394</v>
      </c>
      <c r="V25" s="93" cm="1">
        <f t="array" ref="V25">_xll.aqBondObjectDV01($L25,$C$4,$Q25)</f>
        <v>356.20552392155611</v>
      </c>
    </row>
    <row r="26" spans="2:25">
      <c r="B26" s="11" t="s">
        <v>1324</v>
      </c>
      <c r="C26" s="11" t="s">
        <v>1325</v>
      </c>
      <c r="D26" s="11" t="s">
        <v>1325</v>
      </c>
      <c r="E26" s="12">
        <v>34354</v>
      </c>
      <c r="F26" s="15"/>
      <c r="G26" s="14"/>
      <c r="H26" s="12"/>
      <c r="I26" s="12"/>
      <c r="J26" s="13">
        <v>0</v>
      </c>
      <c r="K26" s="12">
        <v>44676</v>
      </c>
      <c r="L26" s="16" t="str" cm="1">
        <f t="array" ref="L26">_xll.aqBondObjectCreateFromGenerator($C26,$L$4,_xll.aqToolLVBFromKeysValues($C$7:$K$7,$C26:$K26))</f>
        <v>FR0000571036:3</v>
      </c>
      <c r="M26" s="78">
        <v>1.136478642689287E-4</v>
      </c>
      <c r="N26" s="51">
        <v>99.96</v>
      </c>
      <c r="O26" s="17">
        <v>3.5200999999999998</v>
      </c>
      <c r="P26" s="95">
        <v>351.87400000000002</v>
      </c>
      <c r="Q26" s="39" cm="1">
        <f t="array" ref="Q26">_xll.aqBondObjectYield(L26,$C$4,R26)</f>
        <v>1.1364786427001949E-4</v>
      </c>
      <c r="R26" s="49" cm="1">
        <f t="array" ref="R26">_xll.aqBondObjectPrice($L26,$C$4,$M26)</f>
        <v>99.960000000000022</v>
      </c>
      <c r="S26" s="49" cm="1">
        <f t="array" ref="S26">_xll.aqBondObjectCleanPrice($L26,$C$4,$M26)</f>
        <v>99.960000000000022</v>
      </c>
      <c r="T26" s="49" cm="1">
        <f t="array" ref="T26">_xll.aqBondObjectDirtyPrice($L26,$C$4,$M26)</f>
        <v>99.960000000000022</v>
      </c>
      <c r="U26" s="18" cm="1">
        <f t="array" ref="U26">_xll.aqBondObjectModifiedDuration($L26,$C$4,$Q26)</f>
        <v>3.520147887916103</v>
      </c>
      <c r="V26" s="93" cm="1">
        <f t="array" ref="V26">_xll.aqBondObjectDV01($L26,$C$4,$Q26)</f>
        <v>351.87398287609233</v>
      </c>
    </row>
    <row r="27" spans="2:25">
      <c r="B27" s="11" t="s">
        <v>1128</v>
      </c>
      <c r="C27" s="11" t="s">
        <v>1129</v>
      </c>
      <c r="D27" s="11" t="s">
        <v>1129</v>
      </c>
      <c r="E27" s="12">
        <v>42695</v>
      </c>
      <c r="F27" s="15">
        <v>42515</v>
      </c>
      <c r="G27" s="14"/>
      <c r="H27" s="12">
        <v>42880</v>
      </c>
      <c r="I27" s="12">
        <v>44341</v>
      </c>
      <c r="J27" s="13">
        <v>0</v>
      </c>
      <c r="K27" s="12">
        <v>44706</v>
      </c>
      <c r="L27" s="16" t="str" cm="1">
        <f t="array" ref="L27">_xll.aqBondObjectCreateFromGenerator($C27,$L$4,_xll.aqToolLVBFromKeysValues($C$7:$K$7,$C27:$K27))</f>
        <v>FR0013219177:9</v>
      </c>
      <c r="M27" s="78">
        <v>-1.8682887567148532E-3</v>
      </c>
      <c r="N27" s="51">
        <v>100.676</v>
      </c>
      <c r="O27" s="17">
        <v>3.6095000000000002</v>
      </c>
      <c r="P27" s="95">
        <v>363.38830000000002</v>
      </c>
      <c r="Q27" s="39" cm="1">
        <f t="array" ref="Q27">_xll.aqBondObjectYield(L27,$C$4,R27)</f>
        <v>-1.8682887568765418E-3</v>
      </c>
      <c r="R27" s="49" cm="1">
        <f t="array" ref="R27">_xll.aqBondObjectPrice($L27,$C$4,$M27)</f>
        <v>100.67600000000002</v>
      </c>
      <c r="S27" s="49" cm="1">
        <f t="array" ref="S27">_xll.aqBondObjectCleanPrice($L27,$C$4,$M27)</f>
        <v>100.67600000000002</v>
      </c>
      <c r="T27" s="49" cm="1">
        <f t="array" ref="T27">_xll.aqBondObjectDirtyPrice($L27,$C$4,$M27)</f>
        <v>100.67600000000002</v>
      </c>
      <c r="U27" s="18" cm="1">
        <f t="array" ref="U27">_xll.aqBondObjectModifiedDuration($L27,$C$4,$Q27)</f>
        <v>3.6094832830632781</v>
      </c>
      <c r="V27" s="93" cm="1">
        <f t="array" ref="V27">_xll.aqBondObjectDV01($L27,$C$4,$Q27)</f>
        <v>363.3883390058906</v>
      </c>
    </row>
    <row r="28" spans="2:25">
      <c r="B28" s="11" t="s">
        <v>1382</v>
      </c>
      <c r="C28" s="11" t="s">
        <v>1383</v>
      </c>
      <c r="D28" s="11" t="s">
        <v>1383</v>
      </c>
      <c r="E28" s="12">
        <v>41368</v>
      </c>
      <c r="F28" s="15"/>
      <c r="G28" s="14"/>
      <c r="H28" s="12"/>
      <c r="I28" s="12"/>
      <c r="J28" s="13">
        <v>0</v>
      </c>
      <c r="K28" s="12">
        <v>44706</v>
      </c>
      <c r="L28" s="16" t="str" cm="1">
        <f t="array" ref="L28">_xll.aqBondObjectCreateFromGenerator($C28,$L$4,_xll.aqToolLVBFromKeysValues($C$7:$K$7,$C28:$K28))</f>
        <v>FR0011461375:3</v>
      </c>
      <c r="M28" s="78">
        <v>-1.8297590565653499E-3</v>
      </c>
      <c r="N28" s="51">
        <v>100.66200000000001</v>
      </c>
      <c r="O28" s="17">
        <v>3.6093000000000002</v>
      </c>
      <c r="P28" s="95">
        <v>363.32380000000001</v>
      </c>
      <c r="Q28" s="39" cm="1">
        <f t="array" ref="Q28">_xll.aqBondObjectYield(L28,$C$4,R28)</f>
        <v>-1.8297590566793379E-3</v>
      </c>
      <c r="R28" s="49" cm="1">
        <f t="array" ref="R28">_xll.aqBondObjectPrice($L28,$C$4,$M28)</f>
        <v>100.66200000000001</v>
      </c>
      <c r="S28" s="49" cm="1">
        <f t="array" ref="S28">_xll.aqBondObjectCleanPrice($L28,$C$4,$M28)</f>
        <v>100.66200000000001</v>
      </c>
      <c r="T28" s="49" cm="1">
        <f t="array" ref="T28">_xll.aqBondObjectDirtyPrice($L28,$C$4,$M28)</f>
        <v>100.66200000000001</v>
      </c>
      <c r="U28" s="18" cm="1">
        <f t="array" ref="U28">_xll.aqBondObjectModifiedDuration($L28,$C$4,$Q28)</f>
        <v>3.6093439558192282</v>
      </c>
      <c r="V28" s="93" cm="1">
        <f t="array" ref="V28">_xll.aqBondObjectDV01($L28,$C$4,$Q28)</f>
        <v>363.32378128082473</v>
      </c>
    </row>
    <row r="29" spans="2:25">
      <c r="B29" s="11" t="s">
        <v>1128</v>
      </c>
      <c r="C29" s="11" t="s">
        <v>1129</v>
      </c>
      <c r="D29" s="11" t="s">
        <v>1129</v>
      </c>
      <c r="E29" s="12">
        <v>42695</v>
      </c>
      <c r="F29" s="15">
        <v>42515</v>
      </c>
      <c r="G29" s="14"/>
      <c r="H29" s="12">
        <v>42880</v>
      </c>
      <c r="I29" s="12">
        <v>44341</v>
      </c>
      <c r="J29" s="13">
        <v>0</v>
      </c>
      <c r="K29" s="12">
        <v>44706</v>
      </c>
      <c r="L29" s="16" t="str" cm="1">
        <f t="array" ref="L29">_xll.aqBondObjectCreateFromGenerator($C29,$L$4,_xll.aqToolLVBFromKeysValues($C$7:$K$7,$C29:$K29))</f>
        <v>FR0013219177:10</v>
      </c>
      <c r="M29" s="78">
        <v>-1.8682887567148532E-3</v>
      </c>
      <c r="N29" s="51">
        <v>100.676</v>
      </c>
      <c r="O29" s="17">
        <v>3.6095000000000002</v>
      </c>
      <c r="P29" s="95">
        <v>363.38830000000002</v>
      </c>
      <c r="Q29" s="39" cm="1">
        <f t="array" ref="Q29">_xll.aqBondObjectYield(L29,$C$4,R29)</f>
        <v>-1.8682887568765418E-3</v>
      </c>
      <c r="R29" s="49" cm="1">
        <f t="array" ref="R29">_xll.aqBondObjectPrice($L29,$C$4,$M29)</f>
        <v>100.67600000000002</v>
      </c>
      <c r="S29" s="49" cm="1">
        <f t="array" ref="S29">_xll.aqBondObjectCleanPrice($L29,$C$4,$M29)</f>
        <v>100.67600000000002</v>
      </c>
      <c r="T29" s="49" cm="1">
        <f t="array" ref="T29">_xll.aqBondObjectDirtyPrice($L29,$C$4,$M29)</f>
        <v>100.67600000000002</v>
      </c>
      <c r="U29" s="18" cm="1">
        <f t="array" ref="U29">_xll.aqBondObjectModifiedDuration($L29,$C$4,$Q29)</f>
        <v>3.6094832830632781</v>
      </c>
      <c r="V29" s="93" cm="1">
        <f t="array" ref="V29">_xll.aqBondObjectDV01($L29,$C$4,$Q29)</f>
        <v>363.3883390058906</v>
      </c>
    </row>
    <row r="30" spans="2:25">
      <c r="B30" s="11" t="s">
        <v>1128</v>
      </c>
      <c r="C30" s="11" t="s">
        <v>1129</v>
      </c>
      <c r="D30" s="11" t="s">
        <v>1129</v>
      </c>
      <c r="E30" s="12">
        <v>42695</v>
      </c>
      <c r="F30" s="15">
        <v>42515</v>
      </c>
      <c r="G30" s="14"/>
      <c r="H30" s="12">
        <v>42880</v>
      </c>
      <c r="I30" s="12">
        <v>44341</v>
      </c>
      <c r="J30" s="13">
        <v>0</v>
      </c>
      <c r="K30" s="12">
        <v>44706</v>
      </c>
      <c r="L30" s="16" t="str" cm="1">
        <f t="array" ref="L30">_xll.aqBondObjectCreateFromGenerator($C30,$L$4,_xll.aqToolLVBFromKeysValues($C$7:$K$7,$C30:$K30))</f>
        <v>FR0013219177:11</v>
      </c>
      <c r="M30" s="78">
        <v>-1.8682887567148532E-3</v>
      </c>
      <c r="N30" s="51">
        <v>100.676</v>
      </c>
      <c r="O30" s="17">
        <v>3.6095000000000002</v>
      </c>
      <c r="P30" s="95">
        <v>363.38830000000002</v>
      </c>
      <c r="Q30" s="39" cm="1">
        <f t="array" ref="Q30">_xll.aqBondObjectYield(L30,$C$4,R30)</f>
        <v>-1.8682887568765418E-3</v>
      </c>
      <c r="R30" s="49" cm="1">
        <f t="array" ref="R30">_xll.aqBondObjectPrice($L30,$C$4,$M30)</f>
        <v>100.67600000000002</v>
      </c>
      <c r="S30" s="49" cm="1">
        <f t="array" ref="S30">_xll.aqBondObjectCleanPrice($L30,$C$4,$M30)</f>
        <v>100.67600000000002</v>
      </c>
      <c r="T30" s="49" cm="1">
        <f t="array" ref="T30">_xll.aqBondObjectDirtyPrice($L30,$C$4,$M30)</f>
        <v>100.67600000000002</v>
      </c>
      <c r="U30" s="18" cm="1">
        <f t="array" ref="U30">_xll.aqBondObjectModifiedDuration($L30,$C$4,$Q30)</f>
        <v>3.6094832830632781</v>
      </c>
      <c r="V30" s="93" cm="1">
        <f t="array" ref="V30">_xll.aqBondObjectDV01($L30,$C$4,$Q30)</f>
        <v>363.3883390058906</v>
      </c>
    </row>
    <row r="31" spans="2:25">
      <c r="B31" s="11" t="s">
        <v>1154</v>
      </c>
      <c r="C31" s="11" t="s">
        <v>1155</v>
      </c>
      <c r="D31" s="11" t="s">
        <v>1155</v>
      </c>
      <c r="E31" s="12">
        <v>41191</v>
      </c>
      <c r="F31" s="15">
        <v>40841</v>
      </c>
      <c r="G31" s="14"/>
      <c r="H31" s="12">
        <v>41207</v>
      </c>
      <c r="I31" s="12">
        <v>44494</v>
      </c>
      <c r="J31" s="13">
        <v>2.2499999999999999E-2</v>
      </c>
      <c r="K31" s="12">
        <v>44859</v>
      </c>
      <c r="L31" s="16" t="str" cm="1">
        <f t="array" ref="L31">_xll.aqBondObjectCreateFromGenerator($C31,$L$4,_xll.aqToolLVBFromKeysValues($C$7:$K$7,$C31:$K31))</f>
        <v>FR0011337880:3</v>
      </c>
      <c r="M31" s="78">
        <v>-1.1233393413628986E-3</v>
      </c>
      <c r="N31" s="51">
        <v>109.52800000000001</v>
      </c>
      <c r="O31" s="17">
        <v>3.8246000000000002</v>
      </c>
      <c r="P31" s="95">
        <v>427.3177</v>
      </c>
      <c r="Q31" s="39" cm="1">
        <f t="array" ref="Q31">_xll.aqBondObjectYield(L31,$C$4,R31)</f>
        <v>-1.1233393413629324E-3</v>
      </c>
      <c r="R31" s="49" cm="1">
        <f t="array" ref="R31">_xll.aqBondObjectPrice($L31,$C$4,$M31)</f>
        <v>109.52800000010733</v>
      </c>
      <c r="S31" s="49" cm="1">
        <f t="array" ref="S31">_xll.aqBondObjectCleanPrice($L31,$C$4,$M31)</f>
        <v>109.52800000010733</v>
      </c>
      <c r="T31" s="49" cm="1">
        <f t="array" ref="T31">_xll.aqBondObjectDirtyPrice($L31,$C$4,$M31)</f>
        <v>111.72868490010733</v>
      </c>
      <c r="U31" s="18" cm="1">
        <f t="array" ref="U31">_xll.aqBondObjectModifiedDuration($L31,$C$4,$Q31)</f>
        <v>3.8246018736194469</v>
      </c>
      <c r="V31" s="93" cm="1">
        <f t="array" ref="V31">_xll.aqBondObjectDV01($L31,$C$4,$Q31)</f>
        <v>427.3177376059873</v>
      </c>
      <c r="Y31" s="19"/>
    </row>
    <row r="32" spans="2:25">
      <c r="B32" s="11" t="s">
        <v>1254</v>
      </c>
      <c r="C32" s="11" t="s">
        <v>1255</v>
      </c>
      <c r="D32" s="11" t="s">
        <v>1255</v>
      </c>
      <c r="E32" s="12">
        <v>34450</v>
      </c>
      <c r="F32" s="15"/>
      <c r="G32" s="14"/>
      <c r="H32" s="12"/>
      <c r="I32" s="12"/>
      <c r="J32" s="13">
        <v>0</v>
      </c>
      <c r="K32" s="12">
        <v>44859</v>
      </c>
      <c r="L32" s="16" t="str" cm="1">
        <f t="array" ref="L32">_xll.aqBondObjectCreateFromGenerator($C32,$L$4,_xll.aqToolLVBFromKeysValues($C$7:$K$7,$C32:$K32))</f>
        <v>FR0000571051:3</v>
      </c>
      <c r="M32" s="78">
        <v>-8.1138916710876696E-4</v>
      </c>
      <c r="N32" s="51">
        <v>100.327</v>
      </c>
      <c r="O32" s="17">
        <v>4.0251999999999999</v>
      </c>
      <c r="P32" s="95">
        <v>403.83460000000002</v>
      </c>
      <c r="Q32" s="39" cm="1">
        <f t="array" ref="Q32">_xll.aqBondObjectYield(L32,$C$4,R32)</f>
        <v>-8.1138916729082771E-4</v>
      </c>
      <c r="R32" s="49" cm="1">
        <f t="array" ref="R32">_xll.aqBondObjectPrice($L32,$C$4,$M32)</f>
        <v>100.32700000000001</v>
      </c>
      <c r="S32" s="49" cm="1">
        <f t="array" ref="S32">_xll.aqBondObjectCleanPrice($L32,$C$4,$M32)</f>
        <v>100.32700000000001</v>
      </c>
      <c r="T32" s="49" cm="1">
        <f t="array" ref="T32">_xll.aqBondObjectDirtyPrice($L32,$C$4,$M32)</f>
        <v>100.32700000000001</v>
      </c>
      <c r="U32" s="18" cm="1">
        <f t="array" ref="U32">_xll.aqBondObjectModifiedDuration($L32,$C$4,$Q32)</f>
        <v>4.025183798749838</v>
      </c>
      <c r="V32" s="93" cm="1">
        <f t="array" ref="V32">_xll.aqBondObjectDV01($L32,$C$4,$Q32)</f>
        <v>403.83461497747106</v>
      </c>
    </row>
    <row r="33" spans="2:39">
      <c r="B33" s="11" t="s">
        <v>1336</v>
      </c>
      <c r="C33" s="11" t="s">
        <v>1337</v>
      </c>
      <c r="D33" s="11" t="s">
        <v>1337</v>
      </c>
      <c r="E33" s="12">
        <v>40140</v>
      </c>
      <c r="F33" s="15"/>
      <c r="G33" s="14"/>
      <c r="H33" s="12"/>
      <c r="I33" s="12"/>
      <c r="J33" s="13">
        <v>0</v>
      </c>
      <c r="K33" s="12">
        <v>44859</v>
      </c>
      <c r="L33" s="16" t="str" cm="1">
        <f t="array" ref="L33">_xll.aqBondObjectCreateFromGenerator($C33,$L$4,_xll.aqToolLVBFromKeysValues($C$7:$K$7,$C33:$K33))</f>
        <v>FR0010809897:3</v>
      </c>
      <c r="M33" s="78">
        <v>-1.2739119181534031E-3</v>
      </c>
      <c r="N33" s="51">
        <v>100.514</v>
      </c>
      <c r="O33" s="17">
        <v>4.0270000000000001</v>
      </c>
      <c r="P33" s="95">
        <v>404.7747</v>
      </c>
      <c r="Q33" s="39" cm="1">
        <f t="array" ref="Q33">_xll.aqBondObjectYield(L33,$C$4,R33)</f>
        <v>-1.2739119181766029E-3</v>
      </c>
      <c r="R33" s="49" cm="1">
        <f t="array" ref="R33">_xll.aqBondObjectPrice($L33,$C$4,$M33)</f>
        <v>100.51400000000001</v>
      </c>
      <c r="S33" s="49" cm="1">
        <f t="array" ref="S33">_xll.aqBondObjectCleanPrice($L33,$C$4,$M33)</f>
        <v>100.51400000000001</v>
      </c>
      <c r="T33" s="49" cm="1">
        <f t="array" ref="T33">_xll.aqBondObjectDirtyPrice($L33,$C$4,$M33)</f>
        <v>100.51400000000001</v>
      </c>
      <c r="U33" s="18" cm="1">
        <f t="array" ref="U33">_xll.aqBondObjectModifiedDuration($L33,$C$4,$Q33)</f>
        <v>4.027047912550044</v>
      </c>
      <c r="V33" s="93" cm="1">
        <f t="array" ref="V33">_xll.aqBondObjectDV01($L33,$C$4,$Q33)</f>
        <v>404.774693882093</v>
      </c>
    </row>
    <row r="34" spans="2:39">
      <c r="B34" s="11" t="s">
        <v>1470</v>
      </c>
      <c r="C34" s="11" t="s">
        <v>1471</v>
      </c>
      <c r="D34" s="11" t="s">
        <v>1471</v>
      </c>
      <c r="E34" s="12">
        <v>41800</v>
      </c>
      <c r="F34" s="15"/>
      <c r="G34" s="14"/>
      <c r="H34" s="12"/>
      <c r="I34" s="12"/>
      <c r="J34" s="13">
        <v>0</v>
      </c>
      <c r="K34" s="12">
        <v>44890</v>
      </c>
      <c r="L34" s="16" t="str" cm="1">
        <f t="array" ref="L34">_xll.aqBondObjectCreateFromGenerator($C34,$L$4,_xll.aqToolLVBFromKeysValues($C$7:$K$7,$C34:$K34))</f>
        <v>FR0011962489:3</v>
      </c>
      <c r="M34" s="78">
        <v>-8.6250672800836092E-4</v>
      </c>
      <c r="N34" s="51">
        <v>100.355</v>
      </c>
      <c r="O34" s="17">
        <v>4.1104000000000003</v>
      </c>
      <c r="P34" s="95">
        <v>412.49860000000001</v>
      </c>
      <c r="Q34" s="39" cm="1">
        <f t="array" ref="Q34">_xll.aqBondObjectYield(L34,$C$4,R34)</f>
        <v>-8.6250672816691942E-4</v>
      </c>
      <c r="R34" s="49" cm="1">
        <f t="array" ref="R34">_xll.aqBondObjectPrice($L34,$C$4,$M34)</f>
        <v>100.35499999999999</v>
      </c>
      <c r="S34" s="49" cm="1">
        <f t="array" ref="S34">_xll.aqBondObjectCleanPrice($L34,$C$4,$M34)</f>
        <v>100.35499999999999</v>
      </c>
      <c r="T34" s="49" cm="1">
        <f t="array" ref="T34">_xll.aqBondObjectDirtyPrice($L34,$C$4,$M34)</f>
        <v>100.35499999999999</v>
      </c>
      <c r="U34" s="18" cm="1">
        <f t="array" ref="U34">_xll.aqBondObjectModifiedDuration($L34,$C$4,$Q34)</f>
        <v>4.1103945580302161</v>
      </c>
      <c r="V34" s="93" cm="1">
        <f t="array" ref="V34">_xll.aqBondObjectDV01($L34,$C$4,$Q34)</f>
        <v>412.49864587139115</v>
      </c>
    </row>
    <row r="35" spans="2:39">
      <c r="B35" s="11" t="s">
        <v>1526</v>
      </c>
      <c r="C35" s="11" t="s">
        <v>1527</v>
      </c>
      <c r="D35" s="11" t="s">
        <v>1527</v>
      </c>
      <c r="E35" s="12">
        <v>41367</v>
      </c>
      <c r="F35" s="15">
        <v>41367</v>
      </c>
      <c r="G35" s="14"/>
      <c r="H35" s="12">
        <v>41732</v>
      </c>
      <c r="I35" s="12">
        <v>44654</v>
      </c>
      <c r="J35" s="13">
        <v>2.75E-2</v>
      </c>
      <c r="K35" s="12">
        <v>45019</v>
      </c>
      <c r="L35" s="16" t="str" cm="1">
        <f t="array" ref="L35">_xll.aqBondObjectCreateFromGenerator($C35,$L$4,_xll.aqToolLVBFromKeysValues($C$7:$K$7,$C35:$K35))</f>
        <v>FR0011438373:3</v>
      </c>
      <c r="M35" s="78">
        <v>1.3401172011145248E-3</v>
      </c>
      <c r="N35" s="51">
        <v>111.625</v>
      </c>
      <c r="O35" s="17">
        <v>4.2119999999999997</v>
      </c>
      <c r="P35" s="95">
        <v>476.4135</v>
      </c>
      <c r="Q35" s="39" cm="1">
        <f t="array" ref="Q35">_xll.aqBondObjectYield(L35,$C$4,R35)</f>
        <v>1.3401172011151853E-3</v>
      </c>
      <c r="R35" s="49" cm="1">
        <f t="array" ref="R35">_xll.aqBondObjectPrice($L35,$C$4,$M35)</f>
        <v>111.62500000045773</v>
      </c>
      <c r="S35" s="49" cm="1">
        <f t="array" ref="S35">_xll.aqBondObjectCleanPrice($L35,$C$4,$M35)</f>
        <v>111.62500000045773</v>
      </c>
      <c r="T35" s="49" cm="1">
        <f t="array" ref="T35">_xll.aqBondObjectDirtyPrice($L35,$C$4,$M35)</f>
        <v>113.10924660045774</v>
      </c>
      <c r="U35" s="18" cm="1">
        <f t="array" ref="U35">_xll.aqBondObjectModifiedDuration($L35,$C$4,$Q35)</f>
        <v>4.2119764361159424</v>
      </c>
      <c r="V35" s="93" cm="1">
        <f t="array" ref="V35">_xll.aqBondObjectDV01($L35,$C$4,$Q35)</f>
        <v>476.41348138795405</v>
      </c>
      <c r="W35" s="19"/>
    </row>
    <row r="36" spans="2:39">
      <c r="B36" s="11" t="s">
        <v>1186</v>
      </c>
      <c r="C36" s="11" t="s">
        <v>1187</v>
      </c>
      <c r="D36" s="11" t="s">
        <v>1187</v>
      </c>
      <c r="E36" s="12">
        <v>33630</v>
      </c>
      <c r="F36" s="15">
        <v>33630</v>
      </c>
      <c r="G36" s="14"/>
      <c r="H36" s="12">
        <v>33719</v>
      </c>
      <c r="I36" s="12">
        <v>44676</v>
      </c>
      <c r="J36" s="13">
        <v>8.5000000000000006E-2</v>
      </c>
      <c r="K36" s="12">
        <v>45041</v>
      </c>
      <c r="L36" s="16" t="str" cm="1">
        <f t="array" ref="L36">_xll.aqBondObjectCreateFromGenerator($C36,$L$4,_xll.aqToolLVBFromKeysValues($C$7:$K$7,$C36:$K36))</f>
        <v>FR0000571085:3</v>
      </c>
      <c r="M36" s="78">
        <v>-3.8828302466862566E-4</v>
      </c>
      <c r="N36" s="51">
        <v>138.642</v>
      </c>
      <c r="O36" s="17">
        <v>3.9260999999999999</v>
      </c>
      <c r="P36" s="95">
        <v>560.3279</v>
      </c>
      <c r="Q36" s="39" cm="1">
        <f t="array" ref="Q36">_xll.aqBondObjectYield(L36,$C$4,R36)</f>
        <v>-3.8828302466809819E-4</v>
      </c>
      <c r="R36" s="49" cm="1">
        <f t="array" ref="R36">_xll.aqBondObjectPrice($L36,$C$4,$M36)</f>
        <v>138.64200000000048</v>
      </c>
      <c r="S36" s="49" cm="1">
        <f t="array" ref="S36">_xll.aqBondObjectCleanPrice($L36,$C$4,$M36)</f>
        <v>138.64200000000048</v>
      </c>
      <c r="T36" s="49" cm="1">
        <f t="array" ref="T36">_xll.aqBondObjectDirtyPrice($L36,$C$4,$M36)</f>
        <v>142.71734250000048</v>
      </c>
      <c r="U36" s="18" cm="1">
        <f t="array" ref="U36">_xll.aqBondObjectModifiedDuration($L36,$C$4,$Q36)</f>
        <v>3.9261377080151494</v>
      </c>
      <c r="V36" s="93" cm="1">
        <f t="array" ref="V36">_xll.aqBondObjectDV01($L36,$C$4,$Q36)</f>
        <v>560.32793997696365</v>
      </c>
    </row>
    <row r="37" spans="2:39">
      <c r="B37" s="11" t="s">
        <v>1216</v>
      </c>
      <c r="C37" s="11" t="s">
        <v>1217</v>
      </c>
      <c r="D37" s="11" t="s">
        <v>1217</v>
      </c>
      <c r="E37" s="12">
        <v>33735</v>
      </c>
      <c r="F37" s="15"/>
      <c r="G37" s="14"/>
      <c r="H37" s="12"/>
      <c r="I37" s="12"/>
      <c r="J37" s="13">
        <v>0</v>
      </c>
      <c r="K37" s="12">
        <v>45041</v>
      </c>
      <c r="L37" s="16" t="str" cm="1">
        <f t="array" ref="L37">_xll.aqBondObjectCreateFromGenerator($C37,$L$4,_xll.aqToolLVBFromKeysValues($C$7:$K$7,$C37:$K37))</f>
        <v>FR0000571077:3</v>
      </c>
      <c r="M37" s="78">
        <v>3.0774609280737053E-4</v>
      </c>
      <c r="N37" s="51">
        <v>99.861000000000004</v>
      </c>
      <c r="O37" s="17">
        <v>4.5191999999999997</v>
      </c>
      <c r="P37" s="95">
        <v>451.2876</v>
      </c>
      <c r="Q37" s="39" cm="1">
        <f t="array" ref="Q37">_xll.aqBondObjectYield(L37,$C$4,R37)</f>
        <v>3.0774609272091923E-4</v>
      </c>
      <c r="R37" s="49" cm="1">
        <f t="array" ref="R37">_xll.aqBondObjectPrice($L37,$C$4,$M37)</f>
        <v>99.861000000000047</v>
      </c>
      <c r="S37" s="49" cm="1">
        <f t="array" ref="S37">_xll.aqBondObjectCleanPrice($L37,$C$4,$M37)</f>
        <v>99.861000000000047</v>
      </c>
      <c r="T37" s="49" cm="1">
        <f t="array" ref="T37">_xll.aqBondObjectDirtyPrice($L37,$C$4,$M37)</f>
        <v>99.861000000000047</v>
      </c>
      <c r="U37" s="18" cm="1">
        <f t="array" ref="U37">_xll.aqBondObjectModifiedDuration($L37,$C$4,$Q37)</f>
        <v>4.519157192237178</v>
      </c>
      <c r="V37" s="93" cm="1">
        <f t="array" ref="V37">_xll.aqBondObjectDV01($L37,$C$4,$Q37)</f>
        <v>451.28755637417316</v>
      </c>
    </row>
    <row r="38" spans="2:39">
      <c r="B38" s="11" t="s">
        <v>1236</v>
      </c>
      <c r="C38" s="11" t="s">
        <v>1237</v>
      </c>
      <c r="D38" s="11" t="s">
        <v>1237</v>
      </c>
      <c r="E38" s="12">
        <v>40140</v>
      </c>
      <c r="F38" s="15"/>
      <c r="G38" s="14"/>
      <c r="H38" s="12"/>
      <c r="I38" s="12"/>
      <c r="J38" s="13">
        <v>0</v>
      </c>
      <c r="K38" s="12">
        <v>45041</v>
      </c>
      <c r="L38" s="16" t="str" cm="1">
        <f t="array" ref="L38">_xll.aqBondObjectCreateFromGenerator($C38,$L$4,_xll.aqToolLVBFromKeysValues($C$7:$K$7,$C38:$K38))</f>
        <v>FR0010809921:3</v>
      </c>
      <c r="M38" s="78">
        <v>-1.415204576890039E-4</v>
      </c>
      <c r="N38" s="51">
        <v>100.06399999999999</v>
      </c>
      <c r="O38" s="17">
        <v>4.5212000000000003</v>
      </c>
      <c r="P38" s="95">
        <v>452.40809999999999</v>
      </c>
      <c r="Q38" s="39" cm="1">
        <f t="array" ref="Q38">_xll.aqBondObjectYield(L38,$C$4,R38)</f>
        <v>-1.4152045772582294E-4</v>
      </c>
      <c r="R38" s="49" cm="1">
        <f t="array" ref="R38">_xll.aqBondObjectPrice($L38,$C$4,$M38)</f>
        <v>100.06399999999999</v>
      </c>
      <c r="S38" s="49" cm="1">
        <f t="array" ref="S38">_xll.aqBondObjectCleanPrice($L38,$C$4,$M38)</f>
        <v>100.06399999999999</v>
      </c>
      <c r="T38" s="49" cm="1">
        <f t="array" ref="T38">_xll.aqBondObjectDirtyPrice($L38,$C$4,$M38)</f>
        <v>100.06399999999999</v>
      </c>
      <c r="U38" s="18" cm="1">
        <f t="array" ref="U38">_xll.aqBondObjectModifiedDuration($L38,$C$4,$Q38)</f>
        <v>4.5211877857703859</v>
      </c>
      <c r="V38" s="93" cm="1">
        <f t="array" ref="V38">_xll.aqBondObjectDV01($L38,$C$4,$Q38)</f>
        <v>452.40813459540328</v>
      </c>
    </row>
    <row r="39" spans="2:39" s="32" customFormat="1">
      <c r="B39" s="11" t="s">
        <v>1282</v>
      </c>
      <c r="C39" s="11" t="s">
        <v>1283</v>
      </c>
      <c r="D39" s="11" t="s">
        <v>1283</v>
      </c>
      <c r="E39" s="12">
        <v>33735</v>
      </c>
      <c r="F39" s="15"/>
      <c r="G39" s="14"/>
      <c r="H39" s="12"/>
      <c r="I39" s="12"/>
      <c r="J39" s="13">
        <v>0</v>
      </c>
      <c r="K39" s="12">
        <v>45041</v>
      </c>
      <c r="L39" s="16" t="str" cm="1">
        <f t="array" ref="L39">_xll.aqBondObjectCreateFromGenerator($C39,$L$4,_xll.aqToolLVBFromKeysValues($C$7:$K$7,$C39:$K39))</f>
        <v>FR0000571069:3</v>
      </c>
      <c r="M39" s="78">
        <v>3.0774609280737053E-4</v>
      </c>
      <c r="N39" s="51">
        <v>99.861000000000004</v>
      </c>
      <c r="O39" s="17">
        <v>4.5191999999999997</v>
      </c>
      <c r="P39" s="95">
        <v>451.2876</v>
      </c>
      <c r="Q39" s="39" cm="1">
        <f t="array" ref="Q39">_xll.aqBondObjectYield(L39,$C$4,R39)</f>
        <v>3.0774609272091923E-4</v>
      </c>
      <c r="R39" s="49" cm="1">
        <f t="array" ref="R39">_xll.aqBondObjectPrice($L39,$C$4,$M39)</f>
        <v>99.861000000000047</v>
      </c>
      <c r="S39" s="49" cm="1">
        <f t="array" ref="S39">_xll.aqBondObjectCleanPrice($L39,$C$4,$M39)</f>
        <v>99.861000000000047</v>
      </c>
      <c r="T39" s="49" cm="1">
        <f t="array" ref="T39">_xll.aqBondObjectDirtyPrice($L39,$C$4,$M39)</f>
        <v>99.861000000000047</v>
      </c>
      <c r="U39" s="18" cm="1">
        <f t="array" ref="U39">_xll.aqBondObjectModifiedDuration($L39,$C$4,$Q39)</f>
        <v>4.519157192237178</v>
      </c>
      <c r="V39" s="93" cm="1">
        <f t="array" ref="V39">_xll.aqBondObjectDV01($L39,$C$4,$Q39)</f>
        <v>451.28755637417316</v>
      </c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2:39" s="32" customFormat="1">
      <c r="B40" s="11" t="s">
        <v>1152</v>
      </c>
      <c r="C40" s="11" t="s">
        <v>1153</v>
      </c>
      <c r="D40" s="11" t="s">
        <v>1153</v>
      </c>
      <c r="E40" s="12">
        <v>41401</v>
      </c>
      <c r="F40" s="15">
        <v>41054</v>
      </c>
      <c r="G40" s="14"/>
      <c r="H40" s="12">
        <v>41419</v>
      </c>
      <c r="I40" s="12">
        <v>44706</v>
      </c>
      <c r="J40" s="13">
        <v>1.7500000000000002E-2</v>
      </c>
      <c r="K40" s="12">
        <v>45071</v>
      </c>
      <c r="L40" s="16" t="str" cm="1">
        <f t="array" ref="L40">_xll.aqBondObjectCreateFromGenerator($C40,$L$4,_xll.aqToolLVBFromKeysValues($C$7:$K$7,$C40:$K40))</f>
        <v>FR0011486067:9</v>
      </c>
      <c r="M40" s="78">
        <v>1.031134399772579E-4</v>
      </c>
      <c r="N40" s="51">
        <v>108.005</v>
      </c>
      <c r="O40" s="17">
        <v>4.4413</v>
      </c>
      <c r="P40" s="95">
        <v>482.77190000000002</v>
      </c>
      <c r="Q40" s="39" cm="1">
        <f t="array" ref="Q40">_xll.aqBondObjectYield(L40,$C$4,R40)</f>
        <v>1.0311343997710144E-4</v>
      </c>
      <c r="R40" s="49" cm="1">
        <f t="array" ref="R40">_xll.aqBondObjectPrice($L40,$C$4,$M40)</f>
        <v>108.00500000006923</v>
      </c>
      <c r="S40" s="49" cm="1">
        <f t="array" ref="S40">_xll.aqBondObjectCleanPrice($L40,$C$4,$M40)</f>
        <v>108.00500000006923</v>
      </c>
      <c r="T40" s="49" cm="1">
        <f t="array" ref="T40">_xll.aqBondObjectDirtyPrice($L40,$C$4,$M40)</f>
        <v>108.70020550006923</v>
      </c>
      <c r="U40" s="18" cm="1">
        <f t="array" ref="U40">_xll.aqBondObjectModifiedDuration($L40,$C$4,$Q40)</f>
        <v>4.4413151128173149</v>
      </c>
      <c r="V40" s="93" cm="1">
        <f t="array" ref="V40">_xll.aqBondObjectDV01($L40,$C$4,$Q40)</f>
        <v>482.77186545380533</v>
      </c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2:39" s="32" customFormat="1">
      <c r="B41" s="11" t="s">
        <v>1386</v>
      </c>
      <c r="C41" s="11" t="s">
        <v>1387</v>
      </c>
      <c r="D41" s="11" t="s">
        <v>1387</v>
      </c>
      <c r="E41" s="12">
        <v>41368</v>
      </c>
      <c r="F41" s="15"/>
      <c r="G41" s="14"/>
      <c r="H41" s="12"/>
      <c r="I41" s="12"/>
      <c r="J41" s="13">
        <v>0</v>
      </c>
      <c r="K41" s="12">
        <v>45071</v>
      </c>
      <c r="L41" s="16" t="str" cm="1">
        <f t="array" ref="L41">_xll.aqBondObjectCreateFromGenerator($C41,$L$4,_xll.aqToolLVBFromKeysValues($C$7:$K$7,$C41:$K41))</f>
        <v>FR0011461383:3</v>
      </c>
      <c r="M41" s="78">
        <v>-3.0414075181339761E-5</v>
      </c>
      <c r="N41" s="51">
        <v>100.014</v>
      </c>
      <c r="O41" s="17">
        <v>4.6029</v>
      </c>
      <c r="P41" s="95">
        <v>460.35239999999999</v>
      </c>
      <c r="Q41" s="39" cm="1">
        <f t="array" ref="Q41">_xll.aqBondObjectYield(L41,$C$4,R41)</f>
        <v>-3.0414075187182137E-5</v>
      </c>
      <c r="R41" s="49" cm="1">
        <f t="array" ref="R41">_xll.aqBondObjectPrice($L41,$C$4,$M41)</f>
        <v>100.01400000000001</v>
      </c>
      <c r="S41" s="49" cm="1">
        <f t="array" ref="S41">_xll.aqBondObjectCleanPrice($L41,$C$4,$M41)</f>
        <v>100.01400000000001</v>
      </c>
      <c r="T41" s="49" cm="1">
        <f t="array" ref="T41">_xll.aqBondObjectDirtyPrice($L41,$C$4,$M41)</f>
        <v>100.01400000000001</v>
      </c>
      <c r="U41" s="18" cm="1">
        <f t="array" ref="U41">_xll.aqBondObjectModifiedDuration($L41,$C$4,$Q41)</f>
        <v>4.6028797183572294</v>
      </c>
      <c r="V41" s="93" cm="1">
        <f t="array" ref="V41">_xll.aqBondObjectDV01($L41,$C$4,$Q41)</f>
        <v>460.35241215179241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  <row r="42" spans="2:39" s="32" customFormat="1">
      <c r="B42" s="11" t="s">
        <v>1152</v>
      </c>
      <c r="C42" s="11" t="s">
        <v>1153</v>
      </c>
      <c r="D42" s="11" t="s">
        <v>1153</v>
      </c>
      <c r="E42" s="12">
        <v>41401</v>
      </c>
      <c r="F42" s="15">
        <v>41054</v>
      </c>
      <c r="G42" s="14"/>
      <c r="H42" s="12">
        <v>41419</v>
      </c>
      <c r="I42" s="12">
        <v>44706</v>
      </c>
      <c r="J42" s="13">
        <v>1.7500000000000002E-2</v>
      </c>
      <c r="K42" s="12">
        <v>45071</v>
      </c>
      <c r="L42" s="16" t="str" cm="1">
        <f t="array" ref="L42">_xll.aqBondObjectCreateFromGenerator($C42,$L$4,_xll.aqToolLVBFromKeysValues($C$7:$K$7,$C42:$K42))</f>
        <v>FR0011486067:10</v>
      </c>
      <c r="M42" s="78">
        <v>1.031134399772579E-4</v>
      </c>
      <c r="N42" s="51">
        <v>108.005</v>
      </c>
      <c r="O42" s="17">
        <v>4.4413</v>
      </c>
      <c r="P42" s="95">
        <v>482.77190000000002</v>
      </c>
      <c r="Q42" s="39" cm="1">
        <f t="array" ref="Q42">_xll.aqBondObjectYield(L42,$C$4,R42)</f>
        <v>1.0311343997710144E-4</v>
      </c>
      <c r="R42" s="49" cm="1">
        <f t="array" ref="R42">_xll.aqBondObjectPrice($L42,$C$4,$M42)</f>
        <v>108.00500000006923</v>
      </c>
      <c r="S42" s="49" cm="1">
        <f t="array" ref="S42">_xll.aqBondObjectCleanPrice($L42,$C$4,$M42)</f>
        <v>108.00500000006923</v>
      </c>
      <c r="T42" s="49" cm="1">
        <f t="array" ref="T42">_xll.aqBondObjectDirtyPrice($L42,$C$4,$M42)</f>
        <v>108.70020550006923</v>
      </c>
      <c r="U42" s="18" cm="1">
        <f t="array" ref="U42">_xll.aqBondObjectModifiedDuration($L42,$C$4,$Q42)</f>
        <v>4.4413151128173149</v>
      </c>
      <c r="V42" s="93" cm="1">
        <f t="array" ref="V42">_xll.aqBondObjectDV01($L42,$C$4,$Q42)</f>
        <v>482.77186545380533</v>
      </c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</row>
    <row r="43" spans="2:39" s="32" customFormat="1">
      <c r="B43" s="11" t="s">
        <v>1152</v>
      </c>
      <c r="C43" s="11" t="s">
        <v>1153</v>
      </c>
      <c r="D43" s="11" t="s">
        <v>1153</v>
      </c>
      <c r="E43" s="12">
        <v>41401</v>
      </c>
      <c r="F43" s="15">
        <v>41054</v>
      </c>
      <c r="G43" s="14"/>
      <c r="H43" s="12">
        <v>41419</v>
      </c>
      <c r="I43" s="12">
        <v>44706</v>
      </c>
      <c r="J43" s="13">
        <v>1.7500000000000002E-2</v>
      </c>
      <c r="K43" s="12">
        <v>45071</v>
      </c>
      <c r="L43" s="16" t="str" cm="1">
        <f t="array" ref="L43">_xll.aqBondObjectCreateFromGenerator($C43,$L$4,_xll.aqToolLVBFromKeysValues($C$7:$K$7,$C43:$K43))</f>
        <v>FR0011486067:11</v>
      </c>
      <c r="M43" s="78">
        <v>1.031134399772579E-4</v>
      </c>
      <c r="N43" s="51">
        <v>108.005</v>
      </c>
      <c r="O43" s="17">
        <v>4.4413</v>
      </c>
      <c r="P43" s="95">
        <v>482.77190000000002</v>
      </c>
      <c r="Q43" s="39" cm="1">
        <f t="array" ref="Q43">_xll.aqBondObjectYield(L43,$C$4,R43)</f>
        <v>1.0311343997710144E-4</v>
      </c>
      <c r="R43" s="49" cm="1">
        <f t="array" ref="R43">_xll.aqBondObjectPrice($L43,$C$4,$M43)</f>
        <v>108.00500000006923</v>
      </c>
      <c r="S43" s="49" cm="1">
        <f t="array" ref="S43">_xll.aqBondObjectCleanPrice($L43,$C$4,$M43)</f>
        <v>108.00500000006923</v>
      </c>
      <c r="T43" s="49" cm="1">
        <f t="array" ref="T43">_xll.aqBondObjectDirtyPrice($L43,$C$4,$M43)</f>
        <v>108.70020550006923</v>
      </c>
      <c r="U43" s="18" cm="1">
        <f t="array" ref="U43">_xll.aqBondObjectModifiedDuration($L43,$C$4,$Q43)</f>
        <v>4.4413151128173149</v>
      </c>
      <c r="V43" s="93" cm="1">
        <f t="array" ref="V43">_xll.aqBondObjectDV01($L43,$C$4,$Q43)</f>
        <v>482.77186545380533</v>
      </c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2:39" s="32" customFormat="1">
      <c r="B44" s="11" t="s">
        <v>1150</v>
      </c>
      <c r="C44" s="11" t="s">
        <v>1151</v>
      </c>
      <c r="D44" s="11" t="s">
        <v>1151</v>
      </c>
      <c r="E44" s="12">
        <v>39211</v>
      </c>
      <c r="F44" s="15">
        <v>39015</v>
      </c>
      <c r="G44" s="14"/>
      <c r="H44" s="12">
        <v>39380</v>
      </c>
      <c r="I44" s="12">
        <v>44859</v>
      </c>
      <c r="J44" s="13">
        <v>4.2500000000000003E-2</v>
      </c>
      <c r="K44" s="12">
        <v>45224</v>
      </c>
      <c r="L44" s="16" t="str" cm="1">
        <f t="array" ref="L44">_xll.aqBondObjectCreateFromGenerator($C44,$L$4,_xll.aqToolLVBFromKeysValues($C$7:$K$7,$C44:$K44))</f>
        <v>FR0010466938:3</v>
      </c>
      <c r="M44" s="78">
        <v>5.5367931229494854E-4</v>
      </c>
      <c r="N44" s="51">
        <v>121.03</v>
      </c>
      <c r="O44" s="17">
        <v>4.5106000000000002</v>
      </c>
      <c r="P44" s="95">
        <v>564.66319999999996</v>
      </c>
      <c r="Q44" s="39" cm="1">
        <f t="array" ref="Q44">_xll.aqBondObjectYield(L44,$C$4,R44)</f>
        <v>5.5367931229566725E-4</v>
      </c>
      <c r="R44" s="49" cm="1">
        <f t="array" ref="R44">_xll.aqBondObjectPrice($L44,$C$4,$M44)</f>
        <v>121.03000000000007</v>
      </c>
      <c r="S44" s="49" cm="1">
        <f t="array" ref="S44">_xll.aqBondObjectCleanPrice($L44,$C$4,$M44)</f>
        <v>121.03000000000007</v>
      </c>
      <c r="T44" s="49" cm="1">
        <f t="array" ref="T44">_xll.aqBondObjectDirtyPrice($L44,$C$4,$M44)</f>
        <v>125.18684930000008</v>
      </c>
      <c r="U44" s="18" cm="1">
        <f t="array" ref="U44">_xll.aqBondObjectModifiedDuration($L44,$C$4,$Q44)</f>
        <v>4.5105633594659382</v>
      </c>
      <c r="V44" s="93" cm="1">
        <f t="array" ref="V44">_xll.aqBondObjectDV01($L44,$C$4,$Q44)</f>
        <v>564.6632155395622</v>
      </c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2:39" s="32" customFormat="1">
      <c r="B45" s="11" t="s">
        <v>1286</v>
      </c>
      <c r="C45" s="11" t="s">
        <v>1287</v>
      </c>
      <c r="D45" s="11" t="s">
        <v>1287</v>
      </c>
      <c r="E45" s="12">
        <v>40140</v>
      </c>
      <c r="F45" s="15"/>
      <c r="G45" s="14"/>
      <c r="H45" s="12"/>
      <c r="I45" s="12"/>
      <c r="J45" s="13">
        <v>0</v>
      </c>
      <c r="K45" s="12">
        <v>45224</v>
      </c>
      <c r="L45" s="16" t="str" cm="1">
        <f t="array" ref="L45">_xll.aqBondObjectCreateFromGenerator($C45,$L$4,_xll.aqToolLVBFromKeysValues($C$7:$K$7,$C45:$K45))</f>
        <v>FR0010809954:3</v>
      </c>
      <c r="M45" s="78">
        <v>6.4842718283131262E-4</v>
      </c>
      <c r="N45" s="51">
        <v>99.674999999999997</v>
      </c>
      <c r="O45" s="17">
        <v>5.0186999999999999</v>
      </c>
      <c r="P45" s="95">
        <v>500.2353</v>
      </c>
      <c r="Q45" s="39" cm="1">
        <f t="array" ref="Q45">_xll.aqBondObjectYield(L45,$C$4,R45)</f>
        <v>6.4842718283129061E-4</v>
      </c>
      <c r="R45" s="49" cm="1">
        <f t="array" ref="R45">_xll.aqBondObjectPrice($L45,$C$4,$M45)</f>
        <v>99.675000000000026</v>
      </c>
      <c r="S45" s="49" cm="1">
        <f t="array" ref="S45">_xll.aqBondObjectCleanPrice($L45,$C$4,$M45)</f>
        <v>99.675000000000026</v>
      </c>
      <c r="T45" s="49" cm="1">
        <f t="array" ref="T45">_xll.aqBondObjectDirtyPrice($L45,$C$4,$M45)</f>
        <v>99.675000000000026</v>
      </c>
      <c r="U45" s="18" cm="1">
        <f t="array" ref="U45">_xll.aqBondObjectModifiedDuration($L45,$C$4,$Q45)</f>
        <v>5.0186635703386857</v>
      </c>
      <c r="V45" s="93" cm="1">
        <f t="array" ref="V45">_xll.aqBondObjectDV01($L45,$C$4,$Q45)</f>
        <v>500.23529137350863</v>
      </c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2:39">
      <c r="B46" s="11" t="s">
        <v>1288</v>
      </c>
      <c r="C46" s="11" t="s">
        <v>1289</v>
      </c>
      <c r="D46" s="11" t="s">
        <v>1289</v>
      </c>
      <c r="E46" s="12">
        <v>34450</v>
      </c>
      <c r="F46" s="15"/>
      <c r="G46" s="14"/>
      <c r="H46" s="12"/>
      <c r="I46" s="12"/>
      <c r="J46" s="13">
        <v>0</v>
      </c>
      <c r="K46" s="12">
        <v>45224</v>
      </c>
      <c r="L46" s="16" t="str" cm="1">
        <f t="array" ref="L46">_xll.aqBondObjectCreateFromGenerator($C46,$L$4,_xll.aqToolLVBFromKeysValues($C$7:$K$7,$C46:$K46))</f>
        <v>FR0000571093:3</v>
      </c>
      <c r="M46" s="78">
        <v>8.7447455240829974E-4</v>
      </c>
      <c r="N46" s="51">
        <v>99.561999999999998</v>
      </c>
      <c r="O46" s="17">
        <v>5.0175000000000001</v>
      </c>
      <c r="P46" s="95">
        <v>499.55529999999999</v>
      </c>
      <c r="Q46" s="39" cm="1">
        <f t="array" ref="Q46">_xll.aqBondObjectYield(L46,$C$4,R46)</f>
        <v>8.7447455240839548E-4</v>
      </c>
      <c r="R46" s="49" cm="1">
        <f t="array" ref="R46">_xll.aqBondObjectPrice($L46,$C$4,$M46)</f>
        <v>99.561999999999998</v>
      </c>
      <c r="S46" s="49" cm="1">
        <f t="array" ref="S46">_xll.aqBondObjectCleanPrice($L46,$C$4,$M46)</f>
        <v>99.561999999999998</v>
      </c>
      <c r="T46" s="49" cm="1">
        <f t="array" ref="T46">_xll.aqBondObjectDirtyPrice($L46,$C$4,$M46)</f>
        <v>99.561999999999998</v>
      </c>
      <c r="U46" s="18" cm="1">
        <f t="array" ref="U46">_xll.aqBondObjectModifiedDuration($L46,$C$4,$Q46)</f>
        <v>5.0175301058256911</v>
      </c>
      <c r="V46" s="93" cm="1">
        <f t="array" ref="V46">_xll.aqBondObjectDV01($L46,$C$4,$Q46)</f>
        <v>499.55533239621747</v>
      </c>
    </row>
    <row r="47" spans="2:39" s="32" customFormat="1">
      <c r="B47" s="11" t="s">
        <v>1490</v>
      </c>
      <c r="C47" s="11" t="s">
        <v>1491</v>
      </c>
      <c r="D47" s="11" t="s">
        <v>1491</v>
      </c>
      <c r="E47" s="12">
        <v>39211</v>
      </c>
      <c r="F47" s="15"/>
      <c r="G47" s="14"/>
      <c r="H47" s="12"/>
      <c r="I47" s="12"/>
      <c r="J47" s="13">
        <v>0</v>
      </c>
      <c r="K47" s="12">
        <v>45224</v>
      </c>
      <c r="L47" s="16" t="str" cm="1">
        <f t="array" ref="L47">_xll.aqBondObjectCreateFromGenerator($C47,$L$4,_xll.aqToolLVBFromKeysValues($C$7:$K$7,$C47:$K47))</f>
        <v>FR0010466946:3</v>
      </c>
      <c r="M47" s="78">
        <v>1.4138274653914262E-3</v>
      </c>
      <c r="N47" s="51">
        <v>99.293000000000006</v>
      </c>
      <c r="O47" s="17">
        <v>5.0148000000000001</v>
      </c>
      <c r="P47" s="95">
        <v>497.93729999999999</v>
      </c>
      <c r="Q47" s="39" cm="1">
        <f t="array" ref="Q47">_xll.aqBondObjectYield(L47,$C$4,R47)</f>
        <v>1.4138274653913937E-3</v>
      </c>
      <c r="R47" s="49" cm="1">
        <f t="array" ref="R47">_xll.aqBondObjectPrice($L47,$C$4,$M47)</f>
        <v>99.293000000000049</v>
      </c>
      <c r="S47" s="49" cm="1">
        <f t="array" ref="S47">_xll.aqBondObjectCleanPrice($L47,$C$4,$M47)</f>
        <v>99.293000000000049</v>
      </c>
      <c r="T47" s="49" cm="1">
        <f t="array" ref="T47">_xll.aqBondObjectDirtyPrice($L47,$C$4,$M47)</f>
        <v>99.293000000000049</v>
      </c>
      <c r="U47" s="18" cm="1">
        <f t="array" ref="U47">_xll.aqBondObjectModifiedDuration($L47,$C$4,$Q47)</f>
        <v>5.0148277070727136</v>
      </c>
      <c r="V47" s="93" cm="1">
        <f t="array" ref="V47">_xll.aqBondObjectDV01($L47,$C$4,$Q47)</f>
        <v>497.93728751837119</v>
      </c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</row>
    <row r="48" spans="2:39" s="32" customFormat="1">
      <c r="B48" s="11" t="s">
        <v>1472</v>
      </c>
      <c r="C48" s="11" t="s">
        <v>1473</v>
      </c>
      <c r="D48" s="11" t="s">
        <v>1473</v>
      </c>
      <c r="E48" s="12">
        <v>41800</v>
      </c>
      <c r="F48" s="15"/>
      <c r="G48" s="14"/>
      <c r="H48" s="12"/>
      <c r="I48" s="12"/>
      <c r="J48" s="13">
        <v>0</v>
      </c>
      <c r="K48" s="12">
        <v>45255</v>
      </c>
      <c r="L48" s="16" t="str" cm="1">
        <f t="array" ref="L48">_xll.aqBondObjectCreateFromGenerator($C48,$L$4,_xll.aqToolLVBFromKeysValues($C$7:$K$7,$C48:$K48))</f>
        <v>FR0011962497:3</v>
      </c>
      <c r="M48" s="78">
        <v>1.0391528401170191E-3</v>
      </c>
      <c r="N48" s="51">
        <v>99.471000000000004</v>
      </c>
      <c r="O48" s="17">
        <v>5.1014999999999997</v>
      </c>
      <c r="P48" s="95">
        <v>507.45609999999999</v>
      </c>
      <c r="Q48" s="39" cm="1">
        <f t="array" ref="Q48">_xll.aqBondObjectYield(L48,$C$4,R48)</f>
        <v>1.0391528401168801E-3</v>
      </c>
      <c r="R48" s="49" cm="1">
        <f t="array" ref="R48">_xll.aqBondObjectPrice($L48,$C$4,$M48)</f>
        <v>99.47100000000006</v>
      </c>
      <c r="S48" s="49" cm="1">
        <f t="array" ref="S48">_xll.aqBondObjectCleanPrice($L48,$C$4,$M48)</f>
        <v>99.47100000000006</v>
      </c>
      <c r="T48" s="49" cm="1">
        <f t="array" ref="T48">_xll.aqBondObjectDirtyPrice($L48,$C$4,$M48)</f>
        <v>99.47100000000006</v>
      </c>
      <c r="U48" s="18" cm="1">
        <f t="array" ref="U48">_xll.aqBondObjectModifiedDuration($L48,$C$4,$Q48)</f>
        <v>5.1015480269472988</v>
      </c>
      <c r="V48" s="93" cm="1">
        <f t="array" ref="V48">_xll.aqBondObjectDV01($L48,$C$4,$Q48)</f>
        <v>507.45608378847561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</row>
    <row r="49" spans="2:39" s="32" customFormat="1">
      <c r="B49" s="11" t="s">
        <v>1260</v>
      </c>
      <c r="C49" s="11" t="s">
        <v>1261</v>
      </c>
      <c r="D49" s="11" t="s">
        <v>1261</v>
      </c>
      <c r="E49" s="12">
        <v>40140</v>
      </c>
      <c r="F49" s="15"/>
      <c r="G49" s="14"/>
      <c r="H49" s="12"/>
      <c r="I49" s="12"/>
      <c r="J49" s="13">
        <v>0</v>
      </c>
      <c r="K49" s="12">
        <v>45407</v>
      </c>
      <c r="L49" s="16" t="str" cm="1">
        <f t="array" ref="L49">_xll.aqBondObjectCreateFromGenerator($C49,$L$4,_xll.aqToolLVBFromKeysValues($C$7:$K$7,$C49:$K49))</f>
        <v>FR0010810002:3</v>
      </c>
      <c r="M49" s="78">
        <v>1.7415576329691262E-3</v>
      </c>
      <c r="N49" s="51">
        <v>99.043999999999997</v>
      </c>
      <c r="O49" s="17">
        <v>5.5110000000000001</v>
      </c>
      <c r="P49" s="95">
        <v>545.82659999999998</v>
      </c>
      <c r="Q49" s="39" cm="1">
        <f t="array" ref="Q49">_xll.aqBondObjectYield(L49,$C$4,R49)</f>
        <v>1.7415576329691603E-3</v>
      </c>
      <c r="R49" s="49" cm="1">
        <f t="array" ref="R49">_xll.aqBondObjectPrice($L49,$C$4,$M49)</f>
        <v>99.043999999999969</v>
      </c>
      <c r="S49" s="49" cm="1">
        <f t="array" ref="S49">_xll.aqBondObjectCleanPrice($L49,$C$4,$M49)</f>
        <v>99.043999999999969</v>
      </c>
      <c r="T49" s="49" cm="1">
        <f t="array" ref="T49">_xll.aqBondObjectDirtyPrice($L49,$C$4,$M49)</f>
        <v>99.043999999999969</v>
      </c>
      <c r="U49" s="18" cm="1">
        <f t="array" ref="U49">_xll.aqBondObjectModifiedDuration($L49,$C$4,$Q49)</f>
        <v>5.5109503076323092</v>
      </c>
      <c r="V49" s="93" cm="1">
        <f t="array" ref="V49">_xll.aqBondObjectDV01($L49,$C$4,$Q49)</f>
        <v>545.82656226913423</v>
      </c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</row>
    <row r="50" spans="2:39" s="32" customFormat="1">
      <c r="B50" s="11" t="s">
        <v>1390</v>
      </c>
      <c r="C50" s="11" t="s">
        <v>1391</v>
      </c>
      <c r="D50" s="11" t="s">
        <v>1391</v>
      </c>
      <c r="E50" s="12">
        <v>35866</v>
      </c>
      <c r="F50" s="15"/>
      <c r="G50" s="14"/>
      <c r="H50" s="12"/>
      <c r="I50" s="12"/>
      <c r="J50" s="13">
        <v>0</v>
      </c>
      <c r="K50" s="12">
        <v>45407</v>
      </c>
      <c r="L50" s="16" t="str" cm="1">
        <f t="array" ref="L50">_xll.aqBondObjectCreateFromGenerator($C50,$L$4,_xll.aqToolLVBFromKeysValues($C$7:$K$7,$C50:$K50))</f>
        <v>FR0000571101:3</v>
      </c>
      <c r="M50" s="78">
        <v>2.011110266694649E-3</v>
      </c>
      <c r="N50" s="51">
        <v>98.897000000000006</v>
      </c>
      <c r="O50" s="17">
        <v>5.5095000000000001</v>
      </c>
      <c r="P50" s="95">
        <v>544.86980000000005</v>
      </c>
      <c r="Q50" s="39" cm="1">
        <f t="array" ref="Q50">_xll.aqBondObjectYield(L50,$C$4,R50)</f>
        <v>2.0111102666946477E-3</v>
      </c>
      <c r="R50" s="49" cm="1">
        <f t="array" ref="R50">_xll.aqBondObjectPrice($L50,$C$4,$M50)</f>
        <v>98.896999999999963</v>
      </c>
      <c r="S50" s="49" cm="1">
        <f t="array" ref="S50">_xll.aqBondObjectCleanPrice($L50,$C$4,$M50)</f>
        <v>98.896999999999963</v>
      </c>
      <c r="T50" s="49" cm="1">
        <f t="array" ref="T50">_xll.aqBondObjectDirtyPrice($L50,$C$4,$M50)</f>
        <v>98.896999999999963</v>
      </c>
      <c r="U50" s="18" cm="1">
        <f t="array" ref="U50">_xll.aqBondObjectModifiedDuration($L50,$C$4,$Q50)</f>
        <v>5.5094677979529934</v>
      </c>
      <c r="V50" s="93" cm="1">
        <f t="array" ref="V50">_xll.aqBondObjectDV01($L50,$C$4,$Q50)</f>
        <v>544.869836814157</v>
      </c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</row>
    <row r="51" spans="2:39" s="33" customFormat="1">
      <c r="B51" s="11" t="s">
        <v>1160</v>
      </c>
      <c r="C51" s="11" t="s">
        <v>1161</v>
      </c>
      <c r="D51" s="11" t="s">
        <v>1161</v>
      </c>
      <c r="E51" s="12">
        <v>41590</v>
      </c>
      <c r="F51" s="15">
        <v>41419</v>
      </c>
      <c r="G51" s="14"/>
      <c r="H51" s="12">
        <v>41784</v>
      </c>
      <c r="I51" s="12">
        <v>45071</v>
      </c>
      <c r="J51" s="13">
        <v>2.2499999999999999E-2</v>
      </c>
      <c r="K51" s="12">
        <v>45437</v>
      </c>
      <c r="L51" s="16" t="str" cm="1">
        <f t="array" ref="L51">_xll.aqBondObjectCreateFromGenerator($C51,$L$4,_xll.aqToolLVBFromKeysValues($C$7:$K$7,$C51:$K51))</f>
        <v>FR0011619436:9</v>
      </c>
      <c r="M51" s="78">
        <v>1.8177795659416367E-3</v>
      </c>
      <c r="N51" s="51">
        <v>111.518</v>
      </c>
      <c r="O51" s="17">
        <v>5.2938999999999998</v>
      </c>
      <c r="P51" s="95">
        <v>595.10090000000002</v>
      </c>
      <c r="Q51" s="39" cm="1">
        <f t="array" ref="Q51">_xll.aqBondObjectYield(L51,$C$4,R51)</f>
        <v>1.8177795659430069E-3</v>
      </c>
      <c r="R51" s="49" cm="1">
        <f t="array" ref="R51">_xll.aqBondObjectPrice($L51,$C$4,$M51)</f>
        <v>111.51800000083382</v>
      </c>
      <c r="S51" s="49" cm="1">
        <f t="array" ref="S51">_xll.aqBondObjectCleanPrice($L51,$C$4,$M51)</f>
        <v>111.51800000083382</v>
      </c>
      <c r="T51" s="49" cm="1">
        <f t="array" ref="T51">_xll.aqBondObjectDirtyPrice($L51,$C$4,$M51)</f>
        <v>112.41183560083383</v>
      </c>
      <c r="U51" s="18" cm="1">
        <f t="array" ref="U51">_xll.aqBondObjectModifiedDuration($L51,$C$4,$Q51)</f>
        <v>5.2939342851251716</v>
      </c>
      <c r="V51" s="93" cm="1">
        <f t="array" ref="V51">_xll.aqBondObjectDV01($L51,$C$4,$Q51)</f>
        <v>595.10087054110363</v>
      </c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</row>
    <row r="52" spans="2:39" s="33" customFormat="1">
      <c r="B52" s="11" t="s">
        <v>1366</v>
      </c>
      <c r="C52" s="11" t="s">
        <v>1367</v>
      </c>
      <c r="D52" s="11" t="s">
        <v>1367</v>
      </c>
      <c r="E52" s="12">
        <v>41368</v>
      </c>
      <c r="F52" s="15"/>
      <c r="G52" s="14"/>
      <c r="H52" s="12"/>
      <c r="I52" s="12"/>
      <c r="J52" s="13">
        <v>0</v>
      </c>
      <c r="K52" s="12">
        <v>45437</v>
      </c>
      <c r="L52" s="16" t="str" cm="1">
        <f t="array" ref="L52">_xll.aqBondObjectCreateFromGenerator($C52,$L$4,_xll.aqToolLVBFromKeysValues($C$7:$K$7,$C52:$K52))</f>
        <v>FR0011461391:3</v>
      </c>
      <c r="M52" s="78">
        <v>1.806272119885266E-3</v>
      </c>
      <c r="N52" s="51">
        <v>98.994</v>
      </c>
      <c r="O52" s="17">
        <v>5.5926</v>
      </c>
      <c r="P52" s="95">
        <v>553.63760000000002</v>
      </c>
      <c r="Q52" s="39" cm="1">
        <f t="array" ref="Q52">_xll.aqBondObjectYield(L52,$C$4,R52)</f>
        <v>1.8062721198852094E-3</v>
      </c>
      <c r="R52" s="49" cm="1">
        <f t="array" ref="R52">_xll.aqBondObjectPrice($L52,$C$4,$M52)</f>
        <v>98.994000000000028</v>
      </c>
      <c r="S52" s="49" cm="1">
        <f t="array" ref="S52">_xll.aqBondObjectCleanPrice($L52,$C$4,$M52)</f>
        <v>98.994000000000028</v>
      </c>
      <c r="T52" s="49" cm="1">
        <f t="array" ref="T52">_xll.aqBondObjectDirtyPrice($L52,$C$4,$M52)</f>
        <v>98.994000000000028</v>
      </c>
      <c r="U52" s="18" cm="1">
        <f t="array" ref="U52">_xll.aqBondObjectModifiedDuration($L52,$C$4,$Q52)</f>
        <v>5.5926379001118116</v>
      </c>
      <c r="V52" s="93" cm="1">
        <f t="array" ref="V52">_xll.aqBondObjectDV01($L52,$C$4,$Q52)</f>
        <v>553.63759628366881</v>
      </c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</row>
    <row r="53" spans="2:39" s="33" customFormat="1">
      <c r="B53" s="11" t="s">
        <v>1160</v>
      </c>
      <c r="C53" s="11" t="s">
        <v>1161</v>
      </c>
      <c r="D53" s="11" t="s">
        <v>1161</v>
      </c>
      <c r="E53" s="12">
        <v>41590</v>
      </c>
      <c r="F53" s="15">
        <v>41419</v>
      </c>
      <c r="G53" s="14"/>
      <c r="H53" s="12">
        <v>41784</v>
      </c>
      <c r="I53" s="12">
        <v>45071</v>
      </c>
      <c r="J53" s="13">
        <v>2.2499999999999999E-2</v>
      </c>
      <c r="K53" s="12">
        <v>45437</v>
      </c>
      <c r="L53" s="16" t="str" cm="1">
        <f t="array" ref="L53">_xll.aqBondObjectCreateFromGenerator($C53,$L$4,_xll.aqToolLVBFromKeysValues($C$7:$K$7,$C53:$K53))</f>
        <v>FR0011619436:10</v>
      </c>
      <c r="M53" s="78">
        <v>1.8177795659416367E-3</v>
      </c>
      <c r="N53" s="51">
        <v>111.518</v>
      </c>
      <c r="O53" s="17">
        <v>5.2938999999999998</v>
      </c>
      <c r="P53" s="95">
        <v>595.10090000000002</v>
      </c>
      <c r="Q53" s="39" cm="1">
        <f t="array" ref="Q53">_xll.aqBondObjectYield(L53,$C$4,R53)</f>
        <v>1.8177795659430069E-3</v>
      </c>
      <c r="R53" s="49" cm="1">
        <f t="array" ref="R53">_xll.aqBondObjectPrice($L53,$C$4,$M53)</f>
        <v>111.51800000083382</v>
      </c>
      <c r="S53" s="49" cm="1">
        <f t="array" ref="S53">_xll.aqBondObjectCleanPrice($L53,$C$4,$M53)</f>
        <v>111.51800000083382</v>
      </c>
      <c r="T53" s="49" cm="1">
        <f t="array" ref="T53">_xll.aqBondObjectDirtyPrice($L53,$C$4,$M53)</f>
        <v>112.41183560083383</v>
      </c>
      <c r="U53" s="18" cm="1">
        <f t="array" ref="U53">_xll.aqBondObjectModifiedDuration($L53,$C$4,$Q53)</f>
        <v>5.2939342851251716</v>
      </c>
      <c r="V53" s="93" cm="1">
        <f t="array" ref="V53">_xll.aqBondObjectDV01($L53,$C$4,$Q53)</f>
        <v>595.10087054110363</v>
      </c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</row>
    <row r="54" spans="2:39" s="33" customFormat="1">
      <c r="B54" s="11" t="s">
        <v>1160</v>
      </c>
      <c r="C54" s="11" t="s">
        <v>1161</v>
      </c>
      <c r="D54" s="11" t="s">
        <v>1161</v>
      </c>
      <c r="E54" s="12">
        <v>41590</v>
      </c>
      <c r="F54" s="15">
        <v>41419</v>
      </c>
      <c r="G54" s="14"/>
      <c r="H54" s="12">
        <v>41784</v>
      </c>
      <c r="I54" s="12">
        <v>45071</v>
      </c>
      <c r="J54" s="13">
        <v>2.2499999999999999E-2</v>
      </c>
      <c r="K54" s="12">
        <v>45437</v>
      </c>
      <c r="L54" s="16" t="str" cm="1">
        <f t="array" ref="L54">_xll.aqBondObjectCreateFromGenerator($C54,$L$4,_xll.aqToolLVBFromKeysValues($C$7:$K$7,$C54:$K54))</f>
        <v>FR0011619436:11</v>
      </c>
      <c r="M54" s="78">
        <v>1.8177795659416367E-3</v>
      </c>
      <c r="N54" s="51">
        <v>111.518</v>
      </c>
      <c r="O54" s="17">
        <v>5.2938999999999998</v>
      </c>
      <c r="P54" s="95">
        <v>595.10090000000002</v>
      </c>
      <c r="Q54" s="39" cm="1">
        <f t="array" ref="Q54">_xll.aqBondObjectYield(L54,$C$4,R54)</f>
        <v>1.8177795659430069E-3</v>
      </c>
      <c r="R54" s="49" cm="1">
        <f t="array" ref="R54">_xll.aqBondObjectPrice($L54,$C$4,$M54)</f>
        <v>111.51800000083382</v>
      </c>
      <c r="S54" s="49" cm="1">
        <f t="array" ref="S54">_xll.aqBondObjectCleanPrice($L54,$C$4,$M54)</f>
        <v>111.51800000083382</v>
      </c>
      <c r="T54" s="49" cm="1">
        <f t="array" ref="T54">_xll.aqBondObjectDirtyPrice($L54,$C$4,$M54)</f>
        <v>112.41183560083383</v>
      </c>
      <c r="U54" s="18" cm="1">
        <f t="array" ref="U54">_xll.aqBondObjectModifiedDuration($L54,$C$4,$Q54)</f>
        <v>5.2939342851251716</v>
      </c>
      <c r="V54" s="93" cm="1">
        <f t="array" ref="V54">_xll.aqBondObjectDV01($L54,$C$4,$Q54)</f>
        <v>595.10087054110363</v>
      </c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</row>
    <row r="55" spans="2:39" s="33" customFormat="1">
      <c r="B55" s="11" t="s">
        <v>1302</v>
      </c>
      <c r="C55" s="11" t="s">
        <v>1303</v>
      </c>
      <c r="D55" s="11" t="s">
        <v>1303</v>
      </c>
      <c r="E55" s="12">
        <v>40140</v>
      </c>
      <c r="F55" s="15"/>
      <c r="G55" s="14"/>
      <c r="H55" s="12"/>
      <c r="I55" s="12"/>
      <c r="J55" s="13">
        <v>0</v>
      </c>
      <c r="K55" s="12">
        <v>45590</v>
      </c>
      <c r="L55" s="16" t="str" cm="1">
        <f t="array" ref="L55">_xll.aqBondObjectCreateFromGenerator($C55,$L$4,_xll.aqToolLVBFromKeysValues($C$7:$K$7,$C55:$K55))</f>
        <v>FR0010810036:3</v>
      </c>
      <c r="M55" s="78">
        <v>2.5129236328840232E-3</v>
      </c>
      <c r="N55" s="51">
        <v>98.5</v>
      </c>
      <c r="O55" s="17">
        <v>6.0068000000000001</v>
      </c>
      <c r="P55" s="95">
        <v>591.6721</v>
      </c>
      <c r="Q55" s="39" cm="1">
        <f t="array" ref="Q55">_xll.aqBondObjectYield(L55,$C$4,R55)</f>
        <v>2.5129236328841134E-3</v>
      </c>
      <c r="R55" s="49" cm="1">
        <f t="array" ref="R55">_xll.aqBondObjectPrice($L55,$C$4,$M55)</f>
        <v>98.500000000000071</v>
      </c>
      <c r="S55" s="49" cm="1">
        <f t="array" ref="S55">_xll.aqBondObjectCleanPrice($L55,$C$4,$M55)</f>
        <v>98.500000000000071</v>
      </c>
      <c r="T55" s="49" cm="1">
        <f t="array" ref="T55">_xll.aqBondObjectDirtyPrice($L55,$C$4,$M55)</f>
        <v>98.500000000000071</v>
      </c>
      <c r="U55" s="18" cm="1">
        <f t="array" ref="U55">_xll.aqBondObjectModifiedDuration($L55,$C$4,$Q55)</f>
        <v>6.0068231204412674</v>
      </c>
      <c r="V55" s="93" cm="1">
        <f t="array" ref="V55">_xll.aqBondObjectDV01($L55,$C$4,$Q55)</f>
        <v>591.67207736346529</v>
      </c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</row>
    <row r="56" spans="2:39" s="33" customFormat="1">
      <c r="B56" s="11" t="s">
        <v>1346</v>
      </c>
      <c r="C56" s="11" t="s">
        <v>1347</v>
      </c>
      <c r="D56" s="11" t="s">
        <v>1347</v>
      </c>
      <c r="E56" s="12">
        <v>34450</v>
      </c>
      <c r="F56" s="15"/>
      <c r="G56" s="14"/>
      <c r="H56" s="12"/>
      <c r="I56" s="12"/>
      <c r="J56" s="13">
        <v>0</v>
      </c>
      <c r="K56" s="12">
        <v>45590</v>
      </c>
      <c r="L56" s="16" t="str" cm="1">
        <f t="array" ref="L56">_xll.aqBondObjectCreateFromGenerator($C56,$L$4,_xll.aqToolLVBFromKeysValues($C$7:$K$7,$C56:$K56))</f>
        <v>FR0000571119:3</v>
      </c>
      <c r="M56" s="78">
        <v>2.2528813102915546E-3</v>
      </c>
      <c r="N56" s="51">
        <v>98.653999999999996</v>
      </c>
      <c r="O56" s="17">
        <v>6.0084</v>
      </c>
      <c r="P56" s="95">
        <v>592.7509</v>
      </c>
      <c r="Q56" s="39" cm="1">
        <f t="array" ref="Q56">_xll.aqBondObjectYield(L56,$C$4,R56)</f>
        <v>2.2528813102915147E-3</v>
      </c>
      <c r="R56" s="49" cm="1">
        <f t="array" ref="R56">_xll.aqBondObjectPrice($L56,$C$4,$M56)</f>
        <v>98.654000000000025</v>
      </c>
      <c r="S56" s="49" cm="1">
        <f t="array" ref="S56">_xll.aqBondObjectCleanPrice($L56,$C$4,$M56)</f>
        <v>98.654000000000025</v>
      </c>
      <c r="T56" s="49" cm="1">
        <f t="array" ref="T56">_xll.aqBondObjectDirtyPrice($L56,$C$4,$M56)</f>
        <v>98.654000000000025</v>
      </c>
      <c r="U56" s="18" cm="1">
        <f t="array" ref="U56">_xll.aqBondObjectModifiedDuration($L56,$C$4,$Q56)</f>
        <v>6.0083816375229047</v>
      </c>
      <c r="V56" s="93" cm="1">
        <f t="array" ref="V56">_xll.aqBondObjectDV01($L56,$C$4,$Q56)</f>
        <v>592.75088206818475</v>
      </c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</row>
    <row r="57" spans="2:39">
      <c r="B57" s="11" t="s">
        <v>1156</v>
      </c>
      <c r="C57" s="11" t="s">
        <v>1157</v>
      </c>
      <c r="D57" s="11" t="s">
        <v>1157</v>
      </c>
      <c r="E57" s="12">
        <v>41800</v>
      </c>
      <c r="F57" s="15">
        <v>41603</v>
      </c>
      <c r="G57" s="14"/>
      <c r="H57" s="12">
        <v>41968</v>
      </c>
      <c r="I57" s="12">
        <v>45255</v>
      </c>
      <c r="J57" s="13">
        <v>1.7500000000000002E-2</v>
      </c>
      <c r="K57" s="12">
        <v>45621</v>
      </c>
      <c r="L57" s="16" t="str" cm="1">
        <f t="array" ref="L57">_xll.aqBondObjectCreateFromGenerator($C57,$L$4,_xll.aqToolLVBFromKeysValues($C$7:$K$7,$C57:$K57))</f>
        <v>FR0011962398:3</v>
      </c>
      <c r="M57" s="78">
        <v>2.6463290151518227E-3</v>
      </c>
      <c r="N57" s="51">
        <v>108.986</v>
      </c>
      <c r="O57" s="17">
        <v>5.7606999999999999</v>
      </c>
      <c r="P57" s="95">
        <v>636.8424</v>
      </c>
      <c r="Q57" s="39" cm="1">
        <f t="array" ref="Q57">_xll.aqBondObjectYield(L57,$C$4,R57)</f>
        <v>2.6463290151528453E-3</v>
      </c>
      <c r="R57" s="49" cm="1">
        <f t="array" ref="R57">_xll.aqBondObjectPrice($L57,$C$4,$M57)</f>
        <v>108.98600000036552</v>
      </c>
      <c r="S57" s="49" cm="1">
        <f t="array" ref="S57">_xll.aqBondObjectCleanPrice($L57,$C$4,$M57)</f>
        <v>108.98600000036552</v>
      </c>
      <c r="T57" s="49" cm="1">
        <f t="array" ref="T57">_xll.aqBondObjectDirtyPrice($L57,$C$4,$M57)</f>
        <v>110.54901370036552</v>
      </c>
      <c r="U57" s="18" cm="1">
        <f t="array" ref="U57">_xll.aqBondObjectModifiedDuration($L57,$C$4,$Q57)</f>
        <v>5.7607247424708365</v>
      </c>
      <c r="V57" s="93" cm="1">
        <f t="array" ref="V57">_xll.aqBondObjectDV01($L57,$C$4,$Q57)</f>
        <v>636.84243847943901</v>
      </c>
    </row>
    <row r="58" spans="2:39">
      <c r="B58" s="11" t="s">
        <v>1422</v>
      </c>
      <c r="C58" s="11" t="s">
        <v>1423</v>
      </c>
      <c r="D58" s="11" t="s">
        <v>1423</v>
      </c>
      <c r="E58" s="12">
        <v>41800</v>
      </c>
      <c r="F58" s="15"/>
      <c r="G58" s="14"/>
      <c r="H58" s="12"/>
      <c r="I58" s="12"/>
      <c r="J58" s="13">
        <v>0</v>
      </c>
      <c r="K58" s="12">
        <v>45621</v>
      </c>
      <c r="L58" s="16" t="str" cm="1">
        <f t="array" ref="L58">_xll.aqBondObjectCreateFromGenerator($C58,$L$4,_xll.aqToolLVBFromKeysValues($C$7:$K$7,$C58:$K58))</f>
        <v>FR0011962547:3</v>
      </c>
      <c r="M58" s="78">
        <v>2.7815724400492847E-3</v>
      </c>
      <c r="N58" s="51">
        <v>98.317999999999998</v>
      </c>
      <c r="O58" s="17">
        <v>6.0899000000000001</v>
      </c>
      <c r="P58" s="95">
        <v>598.74779999999998</v>
      </c>
      <c r="Q58" s="39" cm="1">
        <f t="array" ref="Q58">_xll.aqBondObjectYield(L58,$C$4,R58)</f>
        <v>2.7815724400493641E-3</v>
      </c>
      <c r="R58" s="49" cm="1">
        <f t="array" ref="R58">_xll.aqBondObjectPrice($L58,$C$4,$M58)</f>
        <v>98.317999999999984</v>
      </c>
      <c r="S58" s="49" cm="1">
        <f t="array" ref="S58">_xll.aqBondObjectCleanPrice($L58,$C$4,$M58)</f>
        <v>98.317999999999984</v>
      </c>
      <c r="T58" s="49" cm="1">
        <f t="array" ref="T58">_xll.aqBondObjectDirtyPrice($L58,$C$4,$M58)</f>
        <v>98.317999999999984</v>
      </c>
      <c r="U58" s="18" cm="1">
        <f t="array" ref="U58">_xll.aqBondObjectModifiedDuration($L58,$C$4,$Q58)</f>
        <v>6.0899097898347039</v>
      </c>
      <c r="V58" s="93" cm="1">
        <f t="array" ref="V58">_xll.aqBondObjectDV01($L58,$C$4,$Q58)</f>
        <v>598.74775071696831</v>
      </c>
    </row>
    <row r="59" spans="2:39">
      <c r="B59" s="11" t="s">
        <v>1252</v>
      </c>
      <c r="C59" s="11" t="s">
        <v>1253</v>
      </c>
      <c r="D59" s="11" t="s">
        <v>1253</v>
      </c>
      <c r="E59" s="12">
        <v>40140</v>
      </c>
      <c r="F59" s="15"/>
      <c r="G59" s="14"/>
      <c r="H59" s="12"/>
      <c r="I59" s="12"/>
      <c r="J59" s="13">
        <v>0</v>
      </c>
      <c r="K59" s="12">
        <v>45772</v>
      </c>
      <c r="L59" s="16" t="str" cm="1">
        <f t="array" ref="L59">_xll.aqBondObjectCreateFromGenerator($C59,$L$4,_xll.aqToolLVBFromKeysValues($C$7:$K$7,$C59:$K59))</f>
        <v>FR0010810069:3</v>
      </c>
      <c r="M59" s="78">
        <v>3.3938427102027102E-3</v>
      </c>
      <c r="N59" s="51">
        <v>97.814999999999998</v>
      </c>
      <c r="O59" s="17">
        <v>6.4984999999999999</v>
      </c>
      <c r="P59" s="95">
        <v>635.65009999999995</v>
      </c>
      <c r="Q59" s="39" cm="1">
        <f t="array" ref="Q59">_xll.aqBondObjectYield(L59,$C$4,R59)</f>
        <v>3.393842710202882E-3</v>
      </c>
      <c r="R59" s="49" cm="1">
        <f t="array" ref="R59">_xll.aqBondObjectPrice($L59,$C$4,$M59)</f>
        <v>97.815000000000026</v>
      </c>
      <c r="S59" s="49" cm="1">
        <f t="array" ref="S59">_xll.aqBondObjectCleanPrice($L59,$C$4,$M59)</f>
        <v>97.815000000000026</v>
      </c>
      <c r="T59" s="49" cm="1">
        <f t="array" ref="T59">_xll.aqBondObjectDirtyPrice($L59,$C$4,$M59)</f>
        <v>97.815000000000026</v>
      </c>
      <c r="U59" s="18" cm="1">
        <f t="array" ref="U59">_xll.aqBondObjectModifiedDuration($L59,$C$4,$Q59)</f>
        <v>6.4984930818323994</v>
      </c>
      <c r="V59" s="93" cm="1">
        <f t="array" ref="V59">_xll.aqBondObjectDV01($L59,$C$4,$Q59)</f>
        <v>635.65010079943545</v>
      </c>
    </row>
    <row r="60" spans="2:39">
      <c r="B60" s="11" t="s">
        <v>1450</v>
      </c>
      <c r="C60" s="11" t="s">
        <v>1451</v>
      </c>
      <c r="D60" s="11" t="s">
        <v>1451</v>
      </c>
      <c r="E60" s="12">
        <v>35866</v>
      </c>
      <c r="F60" s="15"/>
      <c r="G60" s="14"/>
      <c r="H60" s="12"/>
      <c r="I60" s="12"/>
      <c r="J60" s="13">
        <v>0</v>
      </c>
      <c r="K60" s="12">
        <v>45772</v>
      </c>
      <c r="L60" s="16" t="str" cm="1">
        <f t="array" ref="L60">_xll.aqBondObjectCreateFromGenerator($C60,$L$4,_xll.aqToolLVBFromKeysValues($C$7:$K$7,$C60:$K60))</f>
        <v>FR0000571127:3</v>
      </c>
      <c r="M60" s="78">
        <v>3.0481885346262949E-3</v>
      </c>
      <c r="N60" s="51">
        <v>98.034999999999997</v>
      </c>
      <c r="O60" s="17">
        <v>6.5007000000000001</v>
      </c>
      <c r="P60" s="95">
        <v>637.29930000000002</v>
      </c>
      <c r="Q60" s="39" cm="1">
        <f t="array" ref="Q60">_xll.aqBondObjectYield(L60,$C$4,R60)</f>
        <v>3.048188534626314E-3</v>
      </c>
      <c r="R60" s="49" cm="1">
        <f t="array" ref="R60">_xll.aqBondObjectPrice($L60,$C$4,$M60)</f>
        <v>98.034999999999926</v>
      </c>
      <c r="S60" s="49" cm="1">
        <f t="array" ref="S60">_xll.aqBondObjectCleanPrice($L60,$C$4,$M60)</f>
        <v>98.034999999999926</v>
      </c>
      <c r="T60" s="49" cm="1">
        <f t="array" ref="T60">_xll.aqBondObjectDirtyPrice($L60,$C$4,$M60)</f>
        <v>98.034999999999926</v>
      </c>
      <c r="U60" s="18" cm="1">
        <f t="array" ref="U60">_xll.aqBondObjectModifiedDuration($L60,$C$4,$Q60)</f>
        <v>6.5007324869720193</v>
      </c>
      <c r="V60" s="93" cm="1">
        <f t="array" ref="V60">_xll.aqBondObjectDV01($L60,$C$4,$Q60)</f>
        <v>637.29930936030144</v>
      </c>
    </row>
    <row r="61" spans="2:39">
      <c r="B61" s="11" t="s">
        <v>1146</v>
      </c>
      <c r="C61" s="11" t="s">
        <v>1147</v>
      </c>
      <c r="D61" s="11" t="s">
        <v>1147</v>
      </c>
      <c r="E61" s="12">
        <v>42044</v>
      </c>
      <c r="F61" s="15">
        <v>41784</v>
      </c>
      <c r="G61" s="14"/>
      <c r="H61" s="12">
        <v>42149</v>
      </c>
      <c r="I61" s="12">
        <v>45437</v>
      </c>
      <c r="J61" s="13">
        <v>5.0000000000000001E-3</v>
      </c>
      <c r="K61" s="12">
        <v>45802</v>
      </c>
      <c r="L61" s="16" t="str" cm="1">
        <f t="array" ref="L61">_xll.aqBondObjectCreateFromGenerator($C61,$L$4,_xll.aqToolLVBFromKeysValues($C$7:$K$7,$C61:$K61))</f>
        <v>FR0012517027:9</v>
      </c>
      <c r="M61" s="78">
        <v>3.5933539748299061E-3</v>
      </c>
      <c r="N61" s="51">
        <v>100.916</v>
      </c>
      <c r="O61" s="17">
        <v>6.4764999999999997</v>
      </c>
      <c r="P61" s="95">
        <v>654.86540000000002</v>
      </c>
      <c r="Q61" s="39" cm="1">
        <f t="array" ref="Q61">_xll.aqBondObjectYield(L61,$C$4,R61)</f>
        <v>3.5933539748297691E-3</v>
      </c>
      <c r="R61" s="49" cm="1">
        <f t="array" ref="R61">_xll.aqBondObjectPrice($L61,$C$4,$M61)</f>
        <v>100.91600000000001</v>
      </c>
      <c r="S61" s="49" cm="1">
        <f t="array" ref="S61">_xll.aqBondObjectCleanPrice($L61,$C$4,$M61)</f>
        <v>100.91600000000001</v>
      </c>
      <c r="T61" s="49" cm="1">
        <f t="array" ref="T61">_xll.aqBondObjectDirtyPrice($L61,$C$4,$M61)</f>
        <v>101.11463010000001</v>
      </c>
      <c r="U61" s="18" cm="1">
        <f t="array" ref="U61">_xll.aqBondObjectModifiedDuration($L61,$C$4,$Q61)</f>
        <v>6.4764653470039555</v>
      </c>
      <c r="V61" s="93" cm="1">
        <f t="array" ref="V61">_xll.aqBondObjectDV01($L61,$C$4,$Q61)</f>
        <v>654.86539791777318</v>
      </c>
    </row>
    <row r="62" spans="2:39">
      <c r="B62" s="11" t="s">
        <v>1530</v>
      </c>
      <c r="C62" s="11" t="s">
        <v>1531</v>
      </c>
      <c r="D62" s="11" t="s">
        <v>1531</v>
      </c>
      <c r="E62" s="12">
        <v>41368</v>
      </c>
      <c r="F62" s="15"/>
      <c r="G62" s="14"/>
      <c r="H62" s="12"/>
      <c r="I62" s="12"/>
      <c r="J62" s="13">
        <v>0</v>
      </c>
      <c r="K62" s="12">
        <v>45802</v>
      </c>
      <c r="L62" s="16" t="str" cm="1">
        <f t="array" ref="L62">_xll.aqBondObjectCreateFromGenerator($C62,$L$4,_xll.aqToolLVBFromKeysValues($C$7:$K$7,$C62:$K62))</f>
        <v>FR0011461417:3</v>
      </c>
      <c r="M62" s="78">
        <v>3.455653485156418E-3</v>
      </c>
      <c r="N62" s="51">
        <v>97.748000000000005</v>
      </c>
      <c r="O62" s="17">
        <v>6.58</v>
      </c>
      <c r="P62" s="95">
        <v>643.18200000000002</v>
      </c>
      <c r="Q62" s="39" cm="1">
        <f t="array" ref="Q62">_xll.aqBondObjectYield(L62,$C$4,R62)</f>
        <v>3.4556534851564341E-3</v>
      </c>
      <c r="R62" s="49" cm="1">
        <f t="array" ref="R62">_xll.aqBondObjectPrice($L62,$C$4,$M62)</f>
        <v>97.748000000000033</v>
      </c>
      <c r="S62" s="49" cm="1">
        <f t="array" ref="S62">_xll.aqBondObjectCleanPrice($L62,$C$4,$M62)</f>
        <v>97.748000000000033</v>
      </c>
      <c r="T62" s="49" cm="1">
        <f t="array" ref="T62">_xll.aqBondObjectDirtyPrice($L62,$C$4,$M62)</f>
        <v>97.748000000000033</v>
      </c>
      <c r="U62" s="18" cm="1">
        <f t="array" ref="U62">_xll.aqBondObjectModifiedDuration($L62,$C$4,$Q62)</f>
        <v>6.5800015208395726</v>
      </c>
      <c r="V62" s="93" cm="1">
        <f t="array" ref="V62">_xll.aqBondObjectDV01($L62,$C$4,$Q62)</f>
        <v>643.18198865902673</v>
      </c>
    </row>
    <row r="63" spans="2:39">
      <c r="B63" s="11" t="s">
        <v>1146</v>
      </c>
      <c r="C63" s="11" t="s">
        <v>1147</v>
      </c>
      <c r="D63" s="11" t="s">
        <v>1147</v>
      </c>
      <c r="E63" s="12">
        <v>42044</v>
      </c>
      <c r="F63" s="15">
        <v>41784</v>
      </c>
      <c r="G63" s="14"/>
      <c r="H63" s="12">
        <v>42149</v>
      </c>
      <c r="I63" s="12">
        <v>45437</v>
      </c>
      <c r="J63" s="13">
        <v>5.0000000000000001E-3</v>
      </c>
      <c r="K63" s="12">
        <v>45802</v>
      </c>
      <c r="L63" s="16" t="str" cm="1">
        <f t="array" ref="L63">_xll.aqBondObjectCreateFromGenerator($C63,$L$4,_xll.aqToolLVBFromKeysValues($C$7:$K$7,$C63:$K63))</f>
        <v>FR0012517027:10</v>
      </c>
      <c r="M63" s="78">
        <v>3.5933539748299061E-3</v>
      </c>
      <c r="N63" s="51">
        <v>100.916</v>
      </c>
      <c r="O63" s="17">
        <v>6.4764999999999997</v>
      </c>
      <c r="P63" s="95">
        <v>654.86540000000002</v>
      </c>
      <c r="Q63" s="39" cm="1">
        <f t="array" ref="Q63">_xll.aqBondObjectYield(L63,$C$4,R63)</f>
        <v>3.5933539748297691E-3</v>
      </c>
      <c r="R63" s="49" cm="1">
        <f t="array" ref="R63">_xll.aqBondObjectPrice($L63,$C$4,$M63)</f>
        <v>100.91600000000001</v>
      </c>
      <c r="S63" s="49" cm="1">
        <f t="array" ref="S63">_xll.aqBondObjectCleanPrice($L63,$C$4,$M63)</f>
        <v>100.91600000000001</v>
      </c>
      <c r="T63" s="49" cm="1">
        <f t="array" ref="T63">_xll.aqBondObjectDirtyPrice($L63,$C$4,$M63)</f>
        <v>101.11463010000001</v>
      </c>
      <c r="U63" s="18" cm="1">
        <f t="array" ref="U63">_xll.aqBondObjectModifiedDuration($L63,$C$4,$Q63)</f>
        <v>6.4764653470039555</v>
      </c>
      <c r="V63" s="93" cm="1">
        <f t="array" ref="V63">_xll.aqBondObjectDV01($L63,$C$4,$Q63)</f>
        <v>654.86539791777318</v>
      </c>
    </row>
    <row r="64" spans="2:39">
      <c r="B64" s="11" t="s">
        <v>1146</v>
      </c>
      <c r="C64" s="11" t="s">
        <v>1147</v>
      </c>
      <c r="D64" s="11" t="s">
        <v>1147</v>
      </c>
      <c r="E64" s="12">
        <v>42044</v>
      </c>
      <c r="F64" s="15">
        <v>41784</v>
      </c>
      <c r="G64" s="14"/>
      <c r="H64" s="12">
        <v>42149</v>
      </c>
      <c r="I64" s="12">
        <v>45437</v>
      </c>
      <c r="J64" s="13">
        <v>5.0000000000000001E-3</v>
      </c>
      <c r="K64" s="12">
        <v>45802</v>
      </c>
      <c r="L64" s="16" t="str" cm="1">
        <f t="array" ref="L64">_xll.aqBondObjectCreateFromGenerator($C64,$L$4,_xll.aqToolLVBFromKeysValues($C$7:$K$7,$C64:$K64))</f>
        <v>FR0012517027:11</v>
      </c>
      <c r="M64" s="78">
        <v>3.5933539748299061E-3</v>
      </c>
      <c r="N64" s="51">
        <v>100.916</v>
      </c>
      <c r="O64" s="17">
        <v>6.4764999999999997</v>
      </c>
      <c r="P64" s="95">
        <v>654.86540000000002</v>
      </c>
      <c r="Q64" s="39" cm="1">
        <f t="array" ref="Q64">_xll.aqBondObjectYield(L64,$C$4,R64)</f>
        <v>3.5933539748297691E-3</v>
      </c>
      <c r="R64" s="49" cm="1">
        <f t="array" ref="R64">_xll.aqBondObjectPrice($L64,$C$4,$M64)</f>
        <v>100.91600000000001</v>
      </c>
      <c r="S64" s="49" cm="1">
        <f t="array" ref="S64">_xll.aqBondObjectCleanPrice($L64,$C$4,$M64)</f>
        <v>100.91600000000001</v>
      </c>
      <c r="T64" s="49" cm="1">
        <f t="array" ref="T64">_xll.aqBondObjectDirtyPrice($L64,$C$4,$M64)</f>
        <v>101.11463010000001</v>
      </c>
      <c r="U64" s="18" cm="1">
        <f t="array" ref="U64">_xll.aqBondObjectModifiedDuration($L64,$C$4,$Q64)</f>
        <v>6.4764653470039555</v>
      </c>
      <c r="V64" s="93" cm="1">
        <f t="array" ref="V64">_xll.aqBondObjectDV01($L64,$C$4,$Q64)</f>
        <v>654.86539791777318</v>
      </c>
    </row>
    <row r="65" spans="2:22">
      <c r="B65" s="11" t="s">
        <v>1184</v>
      </c>
      <c r="C65" s="11" t="s">
        <v>1185</v>
      </c>
      <c r="D65" s="11" t="s">
        <v>1185</v>
      </c>
      <c r="E65" s="12">
        <v>34390</v>
      </c>
      <c r="F65" s="15">
        <v>34267</v>
      </c>
      <c r="G65" s="14"/>
      <c r="H65" s="12">
        <v>34632</v>
      </c>
      <c r="I65" s="12">
        <v>45590</v>
      </c>
      <c r="J65" s="13">
        <v>0.06</v>
      </c>
      <c r="K65" s="12">
        <v>45955</v>
      </c>
      <c r="L65" s="16" t="str" cm="1">
        <f t="array" ref="L65">_xll.aqBondObjectCreateFromGenerator($C65,$L$4,_xll.aqToolLVBFromKeysValues($C$7:$K$7,$C65:$K65))</f>
        <v>FR0000571150:3</v>
      </c>
      <c r="M65" s="78">
        <v>3.7412448838656633E-3</v>
      </c>
      <c r="N65" s="51">
        <v>138.91800000000001</v>
      </c>
      <c r="O65" s="17">
        <v>5.8483999999999998</v>
      </c>
      <c r="P65" s="95">
        <v>846.77110000000005</v>
      </c>
      <c r="Q65" s="39" cm="1">
        <f t="array" ref="Q65">_xll.aqBondObjectYield(L65,$C$4,R65)</f>
        <v>3.7412448838747836E-3</v>
      </c>
      <c r="R65" s="49" cm="1">
        <f t="array" ref="R65">_xll.aqBondObjectPrice($L65,$C$4,$M65)</f>
        <v>138.91800000000021</v>
      </c>
      <c r="S65" s="49" cm="1">
        <f t="array" ref="S65">_xll.aqBondObjectCleanPrice($L65,$C$4,$M65)</f>
        <v>138.91800000000021</v>
      </c>
      <c r="T65" s="49" cm="1">
        <f t="array" ref="T65">_xll.aqBondObjectDirtyPrice($L65,$C$4,$M65)</f>
        <v>144.78649320000019</v>
      </c>
      <c r="U65" s="18" cm="1">
        <f t="array" ref="U65">_xll.aqBondObjectModifiedDuration($L65,$C$4,$Q65)</f>
        <v>5.848412108392143</v>
      </c>
      <c r="V65" s="93" cm="1">
        <f t="array" ref="V65">_xll.aqBondObjectDV01($L65,$C$4,$Q65)</f>
        <v>846.77107996247264</v>
      </c>
    </row>
    <row r="66" spans="2:22">
      <c r="B66" s="11" t="s">
        <v>1256</v>
      </c>
      <c r="C66" s="11" t="s">
        <v>1257</v>
      </c>
      <c r="D66" s="11" t="s">
        <v>1257</v>
      </c>
      <c r="E66" s="12">
        <v>40140</v>
      </c>
      <c r="F66" s="15"/>
      <c r="G66" s="14"/>
      <c r="H66" s="12"/>
      <c r="I66" s="12"/>
      <c r="J66" s="13">
        <v>0</v>
      </c>
      <c r="K66" s="12">
        <v>45955</v>
      </c>
      <c r="L66" s="16" t="str" cm="1">
        <f t="array" ref="L66">_xll.aqBondObjectCreateFromGenerator($C66,$L$4,_xll.aqToolLVBFromKeysValues($C$7:$K$7,$C66:$K66))</f>
        <v>FR0010810093:3</v>
      </c>
      <c r="M66" s="78">
        <v>4.2248280067676003E-3</v>
      </c>
      <c r="N66" s="51">
        <v>97.082999999999998</v>
      </c>
      <c r="O66" s="17">
        <v>6.9923999999999999</v>
      </c>
      <c r="P66" s="95">
        <v>678.84090000000003</v>
      </c>
      <c r="Q66" s="39" cm="1">
        <f t="array" ref="Q66">_xll.aqBondObjectYield(L66,$C$4,R66)</f>
        <v>4.2248280067678761E-3</v>
      </c>
      <c r="R66" s="49" cm="1">
        <f t="array" ref="R66">_xll.aqBondObjectPrice($L66,$C$4,$M66)</f>
        <v>97.083000000000041</v>
      </c>
      <c r="S66" s="49" cm="1">
        <f t="array" ref="S66">_xll.aqBondObjectCleanPrice($L66,$C$4,$M66)</f>
        <v>97.083000000000041</v>
      </c>
      <c r="T66" s="49" cm="1">
        <f t="array" ref="T66">_xll.aqBondObjectDirtyPrice($L66,$C$4,$M66)</f>
        <v>97.083000000000041</v>
      </c>
      <c r="U66" s="18" cm="1">
        <f t="array" ref="U66">_xll.aqBondObjectModifiedDuration($L66,$C$4,$Q66)</f>
        <v>6.9923762213254657</v>
      </c>
      <c r="V66" s="93" cm="1">
        <f t="array" ref="V66">_xll.aqBondObjectDV01($L66,$C$4,$Q66)</f>
        <v>678.84086069493935</v>
      </c>
    </row>
    <row r="67" spans="2:22">
      <c r="B67" s="11" t="s">
        <v>1294</v>
      </c>
      <c r="C67" s="11" t="s">
        <v>1295</v>
      </c>
      <c r="D67" s="11" t="s">
        <v>1295</v>
      </c>
      <c r="E67" s="12">
        <v>34450</v>
      </c>
      <c r="F67" s="15"/>
      <c r="G67" s="14"/>
      <c r="H67" s="12"/>
      <c r="I67" s="12"/>
      <c r="J67" s="13">
        <v>0</v>
      </c>
      <c r="K67" s="12">
        <v>45955</v>
      </c>
      <c r="L67" s="16" t="str" cm="1">
        <f t="array" ref="L67">_xll.aqBondObjectCreateFromGenerator($C67,$L$4,_xll.aqToolLVBFromKeysValues($C$7:$K$7,$C67:$K67))</f>
        <v>FR0000571135:3</v>
      </c>
      <c r="M67" s="78">
        <v>4.5079830347509731E-3</v>
      </c>
      <c r="N67" s="51">
        <v>96.891000000000005</v>
      </c>
      <c r="O67" s="17">
        <v>6.9904000000000002</v>
      </c>
      <c r="P67" s="95">
        <v>677.30730000000005</v>
      </c>
      <c r="Q67" s="39" cm="1">
        <f t="array" ref="Q67">_xll.aqBondObjectYield(L67,$C$4,R67)</f>
        <v>4.5079830347512341E-3</v>
      </c>
      <c r="R67" s="49" cm="1">
        <f t="array" ref="R67">_xll.aqBondObjectPrice($L67,$C$4,$M67)</f>
        <v>96.891000000000076</v>
      </c>
      <c r="S67" s="49" cm="1">
        <f t="array" ref="S67">_xll.aqBondObjectCleanPrice($L67,$C$4,$M67)</f>
        <v>96.891000000000076</v>
      </c>
      <c r="T67" s="49" cm="1">
        <f t="array" ref="T67">_xll.aqBondObjectDirtyPrice($L67,$C$4,$M67)</f>
        <v>96.891000000000076</v>
      </c>
      <c r="U67" s="18" cm="1">
        <f t="array" ref="U67">_xll.aqBondObjectModifiedDuration($L67,$C$4,$Q67)</f>
        <v>6.9904051802605274</v>
      </c>
      <c r="V67" s="93" cm="1">
        <f t="array" ref="V67">_xll.aqBondObjectDV01($L67,$C$4,$Q67)</f>
        <v>677.30734832062228</v>
      </c>
    </row>
    <row r="68" spans="2:22">
      <c r="B68" s="11" t="s">
        <v>1538</v>
      </c>
      <c r="C68" s="11" t="s">
        <v>1539</v>
      </c>
      <c r="D68" s="11" t="s">
        <v>1539</v>
      </c>
      <c r="E68" s="12">
        <v>34450</v>
      </c>
      <c r="F68" s="15"/>
      <c r="G68" s="14"/>
      <c r="H68" s="12"/>
      <c r="I68" s="12"/>
      <c r="J68" s="13">
        <v>0</v>
      </c>
      <c r="K68" s="12">
        <v>45955</v>
      </c>
      <c r="L68" s="16" t="str" cm="1">
        <f t="array" ref="L68">_xll.aqBondObjectCreateFromGenerator($C68,$L$4,_xll.aqToolLVBFromKeysValues($C$7:$K$7,$C68:$K68))</f>
        <v>FR0000571143:3</v>
      </c>
      <c r="M68" s="78">
        <v>4.4976484190695221E-3</v>
      </c>
      <c r="N68" s="51">
        <v>96.897999999999996</v>
      </c>
      <c r="O68" s="17">
        <v>6.9904999999999999</v>
      </c>
      <c r="P68" s="95">
        <v>677.36329999999998</v>
      </c>
      <c r="Q68" s="39" cm="1">
        <f t="array" ref="Q68">_xll.aqBondObjectYield(L68,$C$4,R68)</f>
        <v>4.4976484190697701E-3</v>
      </c>
      <c r="R68" s="49" cm="1">
        <f t="array" ref="R68">_xll.aqBondObjectPrice($L68,$C$4,$M68)</f>
        <v>96.898000000000067</v>
      </c>
      <c r="S68" s="49" cm="1">
        <f t="array" ref="S68">_xll.aqBondObjectCleanPrice($L68,$C$4,$M68)</f>
        <v>96.898000000000067</v>
      </c>
      <c r="T68" s="49" cm="1">
        <f t="array" ref="T68">_xll.aqBondObjectDirtyPrice($L68,$C$4,$M68)</f>
        <v>96.898000000000067</v>
      </c>
      <c r="U68" s="18" cm="1">
        <f t="array" ref="U68">_xll.aqBondObjectModifiedDuration($L68,$C$4,$Q68)</f>
        <v>6.9904770999420807</v>
      </c>
      <c r="V68" s="93" cm="1">
        <f t="array" ref="V68">_xll.aqBondObjectDV01($L68,$C$4,$Q68)</f>
        <v>677.36325003018715</v>
      </c>
    </row>
    <row r="69" spans="2:22">
      <c r="B69" s="11" t="s">
        <v>1148</v>
      </c>
      <c r="C69" s="11" t="s">
        <v>1149</v>
      </c>
      <c r="D69" s="11" t="s">
        <v>1149</v>
      </c>
      <c r="E69" s="12">
        <v>42254</v>
      </c>
      <c r="F69" s="15">
        <v>41968</v>
      </c>
      <c r="G69" s="14"/>
      <c r="H69" s="12">
        <v>42333</v>
      </c>
      <c r="I69" s="12">
        <v>45621</v>
      </c>
      <c r="J69" s="13">
        <v>0.01</v>
      </c>
      <c r="K69" s="12">
        <v>45986</v>
      </c>
      <c r="L69" s="16" t="str" cm="1">
        <f t="array" ref="L69">_xll.aqBondObjectCreateFromGenerator($C69,$L$4,_xll.aqToolLVBFromKeysValues($C$7:$K$7,$C69:$K69))</f>
        <v>FR0012938116:3</v>
      </c>
      <c r="M69" s="78">
        <v>4.3266014375881205E-3</v>
      </c>
      <c r="N69" s="51">
        <v>103.962</v>
      </c>
      <c r="O69" s="17">
        <v>6.8127000000000004</v>
      </c>
      <c r="P69" s="95">
        <v>714.35180000000003</v>
      </c>
      <c r="Q69" s="39" cm="1">
        <f t="array" ref="Q69">_xll.aqBondObjectYield(L69,$C$4,R69)</f>
        <v>4.3266014375886348E-3</v>
      </c>
      <c r="R69" s="49" cm="1">
        <f t="array" ref="R69">_xll.aqBondObjectPrice($L69,$C$4,$M69)</f>
        <v>103.96200000001767</v>
      </c>
      <c r="S69" s="49" cm="1">
        <f t="array" ref="S69">_xll.aqBondObjectCleanPrice($L69,$C$4,$M69)</f>
        <v>103.96200000001767</v>
      </c>
      <c r="T69" s="49" cm="1">
        <f t="array" ref="T69">_xll.aqBondObjectDirtyPrice($L69,$C$4,$M69)</f>
        <v>104.85515070001767</v>
      </c>
      <c r="U69" s="18" cm="1">
        <f t="array" ref="U69">_xll.aqBondObjectModifiedDuration($L69,$C$4,$Q69)</f>
        <v>6.8127487263992519</v>
      </c>
      <c r="V69" s="93" cm="1">
        <f t="array" ref="V69">_xll.aqBondObjectDV01($L69,$C$4,$Q69)</f>
        <v>714.35179438794478</v>
      </c>
    </row>
    <row r="70" spans="2:22">
      <c r="B70" s="11" t="s">
        <v>1480</v>
      </c>
      <c r="C70" s="11" t="s">
        <v>1481</v>
      </c>
      <c r="D70" s="11" t="s">
        <v>1481</v>
      </c>
      <c r="E70" s="12">
        <v>42254</v>
      </c>
      <c r="F70" s="15"/>
      <c r="G70" s="14"/>
      <c r="H70" s="12"/>
      <c r="I70" s="12"/>
      <c r="J70" s="13">
        <v>0</v>
      </c>
      <c r="K70" s="12">
        <v>45986</v>
      </c>
      <c r="L70" s="16" t="str" cm="1">
        <f t="array" ref="L70">_xll.aqBondObjectCreateFromGenerator($C70,$L$4,_xll.aqToolLVBFromKeysValues($C$7:$K$7,$C70:$K70))</f>
        <v>FR0012938843:3</v>
      </c>
      <c r="M70" s="78">
        <v>4.8352997395799679E-3</v>
      </c>
      <c r="N70" s="51">
        <v>96.63</v>
      </c>
      <c r="O70" s="17">
        <v>7.0727000000000002</v>
      </c>
      <c r="P70" s="95">
        <v>683.43029999999999</v>
      </c>
      <c r="Q70" s="39" cm="1">
        <f t="array" ref="Q70">_xll.aqBondObjectYield(L70,$C$4,R70)</f>
        <v>4.8352997395804632E-3</v>
      </c>
      <c r="R70" s="49" cm="1">
        <f t="array" ref="R70">_xll.aqBondObjectPrice($L70,$C$4,$M70)</f>
        <v>96.63000000000001</v>
      </c>
      <c r="S70" s="49" cm="1">
        <f t="array" ref="S70">_xll.aqBondObjectCleanPrice($L70,$C$4,$M70)</f>
        <v>96.63000000000001</v>
      </c>
      <c r="T70" s="49" cm="1">
        <f t="array" ref="T70">_xll.aqBondObjectDirtyPrice($L70,$C$4,$M70)</f>
        <v>96.63000000000001</v>
      </c>
      <c r="U70" s="18" cm="1">
        <f t="array" ref="U70">_xll.aqBondObjectModifiedDuration($L70,$C$4,$Q70)</f>
        <v>7.0726509278787777</v>
      </c>
      <c r="V70" s="93" cm="1">
        <f t="array" ref="V70">_xll.aqBondObjectDV01($L70,$C$4,$Q70)</f>
        <v>683.43025916092427</v>
      </c>
    </row>
    <row r="71" spans="2:22">
      <c r="B71" s="11" t="s">
        <v>1132</v>
      </c>
      <c r="C71" s="11" t="s">
        <v>1133</v>
      </c>
      <c r="D71" s="11" t="s">
        <v>1133</v>
      </c>
      <c r="E71" s="12">
        <v>40365</v>
      </c>
      <c r="F71" s="15">
        <v>40293</v>
      </c>
      <c r="G71" s="14"/>
      <c r="H71" s="12">
        <v>40658</v>
      </c>
      <c r="I71" s="12">
        <v>45772</v>
      </c>
      <c r="J71" s="13">
        <v>3.5000000000000003E-2</v>
      </c>
      <c r="K71" s="12">
        <v>46137</v>
      </c>
      <c r="L71" s="16" t="str" cm="1">
        <f t="array" ref="L71">_xll.aqBondObjectCreateFromGenerator($C71,$L$4,_xll.aqToolLVBFromKeysValues($C$7:$K$7,$C71:$K71))</f>
        <v>FR0010916924:3</v>
      </c>
      <c r="M71" s="78">
        <v>4.4006387736512005E-3</v>
      </c>
      <c r="N71" s="51">
        <v>122.58499999999999</v>
      </c>
      <c r="O71" s="17">
        <v>6.7110000000000003</v>
      </c>
      <c r="P71" s="95">
        <v>833.9325</v>
      </c>
      <c r="Q71" s="39" cm="1">
        <f t="array" ref="Q71">_xll.aqBondObjectYield(L71,$C$4,R71)</f>
        <v>4.4006387736596564E-3</v>
      </c>
      <c r="R71" s="49" cm="1">
        <f t="array" ref="R71">_xll.aqBondObjectPrice($L71,$C$4,$M71)</f>
        <v>122.58499999999985</v>
      </c>
      <c r="S71" s="49" cm="1">
        <f t="array" ref="S71">_xll.aqBondObjectCleanPrice($L71,$C$4,$M71)</f>
        <v>122.58499999999985</v>
      </c>
      <c r="T71" s="49" cm="1">
        <f t="array" ref="T71">_xll.aqBondObjectDirtyPrice($L71,$C$4,$M71)</f>
        <v>124.26308219999986</v>
      </c>
      <c r="U71" s="18" cm="1">
        <f t="array" ref="U71">_xll.aqBondObjectModifiedDuration($L71,$C$4,$Q71)</f>
        <v>6.7110236706172364</v>
      </c>
      <c r="V71" s="93" cm="1">
        <f t="array" ref="V71">_xll.aqBondObjectDV01($L71,$C$4,$Q71)</f>
        <v>833.93248602800725</v>
      </c>
    </row>
    <row r="72" spans="2:22">
      <c r="B72" s="11" t="s">
        <v>1314</v>
      </c>
      <c r="C72" s="11" t="s">
        <v>1315</v>
      </c>
      <c r="D72" s="11" t="s">
        <v>1315</v>
      </c>
      <c r="E72" s="12">
        <v>40140</v>
      </c>
      <c r="F72" s="15"/>
      <c r="G72" s="14"/>
      <c r="H72" s="12"/>
      <c r="I72" s="12"/>
      <c r="J72" s="13">
        <v>0</v>
      </c>
      <c r="K72" s="12">
        <v>46137</v>
      </c>
      <c r="L72" s="16" t="str" cm="1">
        <f t="array" ref="L72">_xll.aqBondObjectCreateFromGenerator($C72,$L$4,_xll.aqToolLVBFromKeysValues($C$7:$K$7,$C72:$K72))</f>
        <v>FR0010810127:3</v>
      </c>
      <c r="M72" s="78">
        <v>4.5770019565198883E-3</v>
      </c>
      <c r="N72" s="51">
        <v>96.623999999999995</v>
      </c>
      <c r="O72" s="17">
        <v>7.4863</v>
      </c>
      <c r="P72" s="95">
        <v>723.3546</v>
      </c>
      <c r="Q72" s="39" cm="1">
        <f t="array" ref="Q72">_xll.aqBondObjectYield(L72,$C$4,R72)</f>
        <v>4.5770019565201814E-3</v>
      </c>
      <c r="R72" s="49" cm="1">
        <f t="array" ref="R72">_xll.aqBondObjectPrice($L72,$C$4,$M72)</f>
        <v>96.623999999999924</v>
      </c>
      <c r="S72" s="49" cm="1">
        <f t="array" ref="S72">_xll.aqBondObjectCleanPrice($L72,$C$4,$M72)</f>
        <v>96.623999999999924</v>
      </c>
      <c r="T72" s="49" cm="1">
        <f t="array" ref="T72">_xll.aqBondObjectDirtyPrice($L72,$C$4,$M72)</f>
        <v>96.623999999999924</v>
      </c>
      <c r="U72" s="18" cm="1">
        <f t="array" ref="U72">_xll.aqBondObjectModifiedDuration($L72,$C$4,$Q72)</f>
        <v>7.4862832122957386</v>
      </c>
      <c r="V72" s="93" cm="1">
        <f t="array" ref="V72">_xll.aqBondObjectDV01($L72,$C$4,$Q72)</f>
        <v>723.3546291048616</v>
      </c>
    </row>
    <row r="73" spans="2:22">
      <c r="B73" s="11" t="s">
        <v>1540</v>
      </c>
      <c r="C73" s="11" t="s">
        <v>1541</v>
      </c>
      <c r="D73" s="11" t="s">
        <v>1541</v>
      </c>
      <c r="E73" s="12">
        <v>35866</v>
      </c>
      <c r="F73" s="15"/>
      <c r="G73" s="14"/>
      <c r="H73" s="12"/>
      <c r="I73" s="12"/>
      <c r="J73" s="13">
        <v>0</v>
      </c>
      <c r="K73" s="12">
        <v>46137</v>
      </c>
      <c r="L73" s="16" t="str" cm="1">
        <f t="array" ref="L73">_xll.aqBondObjectCreateFromGenerator($C73,$L$4,_xll.aqToolLVBFromKeysValues($C$7:$K$7,$C73:$K73))</f>
        <v>FR0000571168:3</v>
      </c>
      <c r="M73" s="78">
        <v>4.7430125047476235E-3</v>
      </c>
      <c r="N73" s="51">
        <v>96.504000000000005</v>
      </c>
      <c r="O73" s="17">
        <v>7.4850000000000003</v>
      </c>
      <c r="P73" s="95">
        <v>722.33690000000001</v>
      </c>
      <c r="Q73" s="39" cm="1">
        <f t="array" ref="Q73">_xll.aqBondObjectYield(L73,$C$4,R73)</f>
        <v>4.7430125047480008E-3</v>
      </c>
      <c r="R73" s="49" cm="1">
        <f t="array" ref="R73">_xll.aqBondObjectPrice($L73,$C$4,$M73)</f>
        <v>96.503999999999962</v>
      </c>
      <c r="S73" s="49" cm="1">
        <f t="array" ref="S73">_xll.aqBondObjectCleanPrice($L73,$C$4,$M73)</f>
        <v>96.503999999999962</v>
      </c>
      <c r="T73" s="49" cm="1">
        <f t="array" ref="T73">_xll.aqBondObjectDirtyPrice($L73,$C$4,$M73)</f>
        <v>96.503999999999962</v>
      </c>
      <c r="U73" s="18" cm="1">
        <f t="array" ref="U73">_xll.aqBondObjectModifiedDuration($L73,$C$4,$Q73)</f>
        <v>7.4850462771145088</v>
      </c>
      <c r="V73" s="93" cm="1">
        <f t="array" ref="V73">_xll.aqBondObjectDV01($L73,$C$4,$Q73)</f>
        <v>722.33690592665596</v>
      </c>
    </row>
    <row r="74" spans="2:22">
      <c r="B74" s="11" t="s">
        <v>1136</v>
      </c>
      <c r="C74" s="11" t="s">
        <v>1137</v>
      </c>
      <c r="D74" s="11" t="s">
        <v>1137</v>
      </c>
      <c r="E74" s="12">
        <v>42436</v>
      </c>
      <c r="F74" s="15">
        <v>42149</v>
      </c>
      <c r="G74" s="14"/>
      <c r="H74" s="12">
        <v>42515</v>
      </c>
      <c r="I74" s="12">
        <v>45802</v>
      </c>
      <c r="J74" s="13">
        <v>5.0000000000000001E-3</v>
      </c>
      <c r="K74" s="12">
        <v>46167</v>
      </c>
      <c r="L74" s="16" t="str" cm="1">
        <f t="array" ref="L74">_xll.aqBondObjectCreateFromGenerator($C74,$L$4,_xll.aqToolLVBFromKeysValues($C$7:$K$7,$C74:$K74))</f>
        <v>FR0013131877:9</v>
      </c>
      <c r="M74" s="78">
        <v>5.1501838622432265E-3</v>
      </c>
      <c r="N74" s="51">
        <v>99.888000000000005</v>
      </c>
      <c r="O74" s="17">
        <v>7.4264999999999999</v>
      </c>
      <c r="P74" s="95">
        <v>743.28989999999999</v>
      </c>
      <c r="Q74" s="39" cm="1">
        <f t="array" ref="Q74">_xll.aqBondObjectYield(L74,$C$4,R74)</f>
        <v>5.150183862246807E-3</v>
      </c>
      <c r="R74" s="49" cm="1">
        <f t="array" ref="R74">_xll.aqBondObjectPrice($L74,$C$4,$M74)</f>
        <v>99.888000000536195</v>
      </c>
      <c r="S74" s="49" cm="1">
        <f t="array" ref="S74">_xll.aqBondObjectCleanPrice($L74,$C$4,$M74)</f>
        <v>99.888000000536195</v>
      </c>
      <c r="T74" s="49" cm="1">
        <f t="array" ref="T74">_xll.aqBondObjectDirtyPrice($L74,$C$4,$M74)</f>
        <v>100.0866301005362</v>
      </c>
      <c r="U74" s="18" cm="1">
        <f t="array" ref="U74">_xll.aqBondObjectModifiedDuration($L74,$C$4,$Q74)</f>
        <v>7.4264655454282993</v>
      </c>
      <c r="V74" s="93" cm="1">
        <f t="array" ref="V74">_xll.aqBondObjectDV01($L74,$C$4,$Q74)</f>
        <v>743.28990999963935</v>
      </c>
    </row>
    <row r="75" spans="2:22">
      <c r="B75" s="11" t="s">
        <v>1454</v>
      </c>
      <c r="C75" s="11" t="s">
        <v>1455</v>
      </c>
      <c r="D75" s="11" t="s">
        <v>1455</v>
      </c>
      <c r="E75" s="12">
        <v>41368</v>
      </c>
      <c r="F75" s="15"/>
      <c r="G75" s="14"/>
      <c r="H75" s="12"/>
      <c r="I75" s="12"/>
      <c r="J75" s="13">
        <v>0</v>
      </c>
      <c r="K75" s="12">
        <v>46167</v>
      </c>
      <c r="L75" s="16" t="str" cm="1">
        <f t="array" ref="L75">_xll.aqBondObjectCreateFromGenerator($C75,$L$4,_xll.aqToolLVBFromKeysValues($C$7:$K$7,$C75:$K75))</f>
        <v>FR0011461425:3</v>
      </c>
      <c r="M75" s="78">
        <v>4.9603198261118919E-3</v>
      </c>
      <c r="N75" s="51">
        <v>96.308000000000007</v>
      </c>
      <c r="O75" s="17">
        <v>7.5651999999999999</v>
      </c>
      <c r="P75" s="95">
        <v>728.59059999999999</v>
      </c>
      <c r="Q75" s="39" cm="1">
        <f t="array" ref="Q75">_xll.aqBondObjectYield(L75,$C$4,R75)</f>
        <v>4.9603198261123603E-3</v>
      </c>
      <c r="R75" s="49" cm="1">
        <f t="array" ref="R75">_xll.aqBondObjectPrice($L75,$C$4,$M75)</f>
        <v>96.308000000000035</v>
      </c>
      <c r="S75" s="49" cm="1">
        <f t="array" ref="S75">_xll.aqBondObjectCleanPrice($L75,$C$4,$M75)</f>
        <v>96.308000000000035</v>
      </c>
      <c r="T75" s="49" cm="1">
        <f t="array" ref="T75">_xll.aqBondObjectDirtyPrice($L75,$C$4,$M75)</f>
        <v>96.308000000000035</v>
      </c>
      <c r="U75" s="18" cm="1">
        <f t="array" ref="U75">_xll.aqBondObjectModifiedDuration($L75,$C$4,$Q75)</f>
        <v>7.565213845799299</v>
      </c>
      <c r="V75" s="93" cm="1">
        <f t="array" ref="V75">_xll.aqBondObjectDV01($L75,$C$4,$Q75)</f>
        <v>728.5906150612368</v>
      </c>
    </row>
    <row r="76" spans="2:22">
      <c r="B76" s="11" t="s">
        <v>1136</v>
      </c>
      <c r="C76" s="11" t="s">
        <v>1137</v>
      </c>
      <c r="D76" s="11" t="s">
        <v>1137</v>
      </c>
      <c r="E76" s="12">
        <v>42436</v>
      </c>
      <c r="F76" s="15">
        <v>42149</v>
      </c>
      <c r="G76" s="14"/>
      <c r="H76" s="12">
        <v>42515</v>
      </c>
      <c r="I76" s="12">
        <v>45802</v>
      </c>
      <c r="J76" s="13">
        <v>5.0000000000000001E-3</v>
      </c>
      <c r="K76" s="12">
        <v>46167</v>
      </c>
      <c r="L76" s="16" t="str" cm="1">
        <f t="array" ref="L76">_xll.aqBondObjectCreateFromGenerator($C76,$L$4,_xll.aqToolLVBFromKeysValues($C$7:$K$7,$C76:$K76))</f>
        <v>FR0013131877:10</v>
      </c>
      <c r="M76" s="78">
        <v>5.1501838622432265E-3</v>
      </c>
      <c r="N76" s="51">
        <v>99.888000000000005</v>
      </c>
      <c r="O76" s="17">
        <v>7.4264999999999999</v>
      </c>
      <c r="P76" s="95">
        <v>743.28989999999999</v>
      </c>
      <c r="Q76" s="39" cm="1">
        <f t="array" ref="Q76">_xll.aqBondObjectYield(L76,$C$4,R76)</f>
        <v>5.150183862246807E-3</v>
      </c>
      <c r="R76" s="49" cm="1">
        <f t="array" ref="R76">_xll.aqBondObjectPrice($L76,$C$4,$M76)</f>
        <v>99.888000000536195</v>
      </c>
      <c r="S76" s="49" cm="1">
        <f t="array" ref="S76">_xll.aqBondObjectCleanPrice($L76,$C$4,$M76)</f>
        <v>99.888000000536195</v>
      </c>
      <c r="T76" s="49" cm="1">
        <f t="array" ref="T76">_xll.aqBondObjectDirtyPrice($L76,$C$4,$M76)</f>
        <v>100.0866301005362</v>
      </c>
      <c r="U76" s="18" cm="1">
        <f t="array" ref="U76">_xll.aqBondObjectModifiedDuration($L76,$C$4,$Q76)</f>
        <v>7.4264655454282993</v>
      </c>
      <c r="V76" s="93" cm="1">
        <f t="array" ref="V76">_xll.aqBondObjectDV01($L76,$C$4,$Q76)</f>
        <v>743.28990999963935</v>
      </c>
    </row>
    <row r="77" spans="2:22">
      <c r="B77" s="11" t="s">
        <v>1136</v>
      </c>
      <c r="C77" s="11" t="s">
        <v>1137</v>
      </c>
      <c r="D77" s="11" t="s">
        <v>1137</v>
      </c>
      <c r="E77" s="12">
        <v>42436</v>
      </c>
      <c r="F77" s="15">
        <v>42149</v>
      </c>
      <c r="G77" s="14"/>
      <c r="H77" s="12">
        <v>42515</v>
      </c>
      <c r="I77" s="12">
        <v>45802</v>
      </c>
      <c r="J77" s="13">
        <v>5.0000000000000001E-3</v>
      </c>
      <c r="K77" s="12">
        <v>46167</v>
      </c>
      <c r="L77" s="16" t="str" cm="1">
        <f t="array" ref="L77">_xll.aqBondObjectCreateFromGenerator($C77,$L$4,_xll.aqToolLVBFromKeysValues($C$7:$K$7,$C77:$K77))</f>
        <v>FR0013131877:11</v>
      </c>
      <c r="M77" s="78">
        <v>5.1501838622432265E-3</v>
      </c>
      <c r="N77" s="51">
        <v>99.888000000000005</v>
      </c>
      <c r="O77" s="17">
        <v>7.4264999999999999</v>
      </c>
      <c r="P77" s="95">
        <v>743.28989999999999</v>
      </c>
      <c r="Q77" s="39" cm="1">
        <f t="array" ref="Q77">_xll.aqBondObjectYield(L77,$C$4,R77)</f>
        <v>5.150183862246807E-3</v>
      </c>
      <c r="R77" s="49" cm="1">
        <f t="array" ref="R77">_xll.aqBondObjectPrice($L77,$C$4,$M77)</f>
        <v>99.888000000536195</v>
      </c>
      <c r="S77" s="49" cm="1">
        <f t="array" ref="S77">_xll.aqBondObjectCleanPrice($L77,$C$4,$M77)</f>
        <v>99.888000000536195</v>
      </c>
      <c r="T77" s="49" cm="1">
        <f t="array" ref="T77">_xll.aqBondObjectDirtyPrice($L77,$C$4,$M77)</f>
        <v>100.0866301005362</v>
      </c>
      <c r="U77" s="18" cm="1">
        <f t="array" ref="U77">_xll.aqBondObjectModifiedDuration($L77,$C$4,$Q77)</f>
        <v>7.4264655454282993</v>
      </c>
      <c r="V77" s="93" cm="1">
        <f t="array" ref="V77">_xll.aqBondObjectDV01($L77,$C$4,$Q77)</f>
        <v>743.28990999963935</v>
      </c>
    </row>
    <row r="78" spans="2:22">
      <c r="B78" s="11" t="s">
        <v>1328</v>
      </c>
      <c r="C78" s="11" t="s">
        <v>1329</v>
      </c>
      <c r="D78" s="11" t="s">
        <v>1329</v>
      </c>
      <c r="E78" s="12">
        <v>40140</v>
      </c>
      <c r="F78" s="15"/>
      <c r="G78" s="14"/>
      <c r="H78" s="12"/>
      <c r="I78" s="12"/>
      <c r="J78" s="13">
        <v>0</v>
      </c>
      <c r="K78" s="12">
        <v>46320</v>
      </c>
      <c r="L78" s="16" t="str" cm="1">
        <f t="array" ref="L78">_xll.aqBondObjectCreateFromGenerator($C78,$L$4,_xll.aqToolLVBFromKeysValues($C$7:$K$7,$C78:$K78))</f>
        <v>FR0010810135:3</v>
      </c>
      <c r="M78" s="78">
        <v>5.6722809578158007E-3</v>
      </c>
      <c r="N78" s="51">
        <v>95.563999999999993</v>
      </c>
      <c r="O78" s="17">
        <v>7.9767000000000001</v>
      </c>
      <c r="P78" s="95">
        <v>762.28269999999998</v>
      </c>
      <c r="Q78" s="39" cm="1">
        <f t="array" ref="Q78">_xll.aqBondObjectYield(L78,$C$4,R78)</f>
        <v>5.6722809578165796E-3</v>
      </c>
      <c r="R78" s="49" cm="1">
        <f t="array" ref="R78">_xll.aqBondObjectPrice($L78,$C$4,$M78)</f>
        <v>95.563999999999922</v>
      </c>
      <c r="S78" s="49" cm="1">
        <f t="array" ref="S78">_xll.aqBondObjectCleanPrice($L78,$C$4,$M78)</f>
        <v>95.563999999999922</v>
      </c>
      <c r="T78" s="49" cm="1">
        <f t="array" ref="T78">_xll.aqBondObjectDirtyPrice($L78,$C$4,$M78)</f>
        <v>95.563999999999922</v>
      </c>
      <c r="U78" s="18" cm="1">
        <f t="array" ref="U78">_xll.aqBondObjectModifiedDuration($L78,$C$4,$Q78)</f>
        <v>7.9766718841837729</v>
      </c>
      <c r="V78" s="93" cm="1">
        <f t="array" ref="V78">_xll.aqBondObjectDV01($L78,$C$4,$Q78)</f>
        <v>762.28267194013199</v>
      </c>
    </row>
    <row r="79" spans="2:22">
      <c r="B79" s="11" t="s">
        <v>1330</v>
      </c>
      <c r="C79" s="11" t="s">
        <v>1331</v>
      </c>
      <c r="D79" s="11" t="s">
        <v>1331</v>
      </c>
      <c r="E79" s="12">
        <v>37054</v>
      </c>
      <c r="F79" s="15"/>
      <c r="G79" s="14"/>
      <c r="H79" s="12"/>
      <c r="I79" s="12"/>
      <c r="J79" s="13">
        <v>0</v>
      </c>
      <c r="K79" s="12">
        <v>46320</v>
      </c>
      <c r="L79" s="16" t="str" cm="1">
        <f t="array" ref="L79">_xll.aqBondObjectCreateFromGenerator($C79,$L$4,_xll.aqToolLVBFromKeysValues($C$7:$K$7,$C79:$K79))</f>
        <v>FR0000578544:3</v>
      </c>
      <c r="M79" s="78">
        <v>5.6119522179491899E-3</v>
      </c>
      <c r="N79" s="51">
        <v>95.61</v>
      </c>
      <c r="O79" s="17">
        <v>7.9771999999999998</v>
      </c>
      <c r="P79" s="95">
        <v>762.69539999999995</v>
      </c>
      <c r="Q79" s="39" cm="1">
        <f t="array" ref="Q79">_xll.aqBondObjectYield(L79,$C$4,R79)</f>
        <v>5.6119522179500858E-3</v>
      </c>
      <c r="R79" s="49" cm="1">
        <f t="array" ref="R79">_xll.aqBondObjectPrice($L79,$C$4,$M79)</f>
        <v>95.61</v>
      </c>
      <c r="S79" s="49" cm="1">
        <f t="array" ref="S79">_xll.aqBondObjectCleanPrice($L79,$C$4,$M79)</f>
        <v>95.61</v>
      </c>
      <c r="T79" s="49" cm="1">
        <f t="array" ref="T79">_xll.aqBondObjectDirtyPrice($L79,$C$4,$M79)</f>
        <v>95.61</v>
      </c>
      <c r="U79" s="18" cm="1">
        <f t="array" ref="U79">_xll.aqBondObjectModifiedDuration($L79,$C$4,$Q79)</f>
        <v>7.9771504212198927</v>
      </c>
      <c r="V79" s="93" cm="1">
        <f t="array" ref="V79">_xll.aqBondObjectDV01($L79,$C$4,$Q79)</f>
        <v>762.69535177282864</v>
      </c>
    </row>
    <row r="80" spans="2:22">
      <c r="B80" s="11" t="s">
        <v>1124</v>
      </c>
      <c r="C80" s="11" t="s">
        <v>1125</v>
      </c>
      <c r="D80" s="11" t="s">
        <v>1125</v>
      </c>
      <c r="E80" s="12">
        <v>42618</v>
      </c>
      <c r="F80" s="15">
        <v>42333</v>
      </c>
      <c r="G80" s="14" t="s">
        <v>318</v>
      </c>
      <c r="H80" s="12">
        <v>42699</v>
      </c>
      <c r="I80" s="12">
        <v>45986</v>
      </c>
      <c r="J80" s="13">
        <v>2.5000000000000001E-3</v>
      </c>
      <c r="K80" s="12">
        <v>46351</v>
      </c>
      <c r="L80" s="16" t="str" cm="1">
        <f t="array" ref="L80">_xll.aqBondObjectCreateFromGenerator($C80,$L$4,_xll.aqToolLVBFromKeysValues($C$7:$K$7,$C80:$K80))</f>
        <v>FR0013200813:3</v>
      </c>
      <c r="M80" s="78">
        <v>5.8526683655753262E-3</v>
      </c>
      <c r="N80" s="51">
        <v>97.352999999999994</v>
      </c>
      <c r="O80" s="17">
        <v>7.9692999999999996</v>
      </c>
      <c r="P80" s="95">
        <v>777.61180000000002</v>
      </c>
      <c r="Q80" s="39" cm="1">
        <f t="array" ref="Q80">_xll.aqBondObjectYield(L80,$C$4,R80)</f>
        <v>5.8526683655756358E-3</v>
      </c>
      <c r="R80" s="49" cm="1">
        <f t="array" ref="R80">_xll.aqBondObjectPrice($L80,$C$4,$M80)</f>
        <v>97.352999999999852</v>
      </c>
      <c r="S80" s="49" cm="1">
        <f t="array" ref="S80">_xll.aqBondObjectCleanPrice($L80,$C$4,$M80)</f>
        <v>97.352999999999852</v>
      </c>
      <c r="T80" s="49" cm="1">
        <f t="array" ref="T80">_xll.aqBondObjectDirtyPrice($L80,$C$4,$M80)</f>
        <v>97.576287699999853</v>
      </c>
      <c r="U80" s="18" cm="1">
        <f t="array" ref="U80">_xll.aqBondObjectModifiedDuration($L80,$C$4,$Q80)</f>
        <v>7.969270408303081</v>
      </c>
      <c r="V80" s="93" cm="1">
        <f t="array" ref="V80">_xll.aqBondObjectDV01($L80,$C$4,$Q80)</f>
        <v>777.61182211967412</v>
      </c>
    </row>
    <row r="81" spans="2:22">
      <c r="B81" s="11" t="s">
        <v>1380</v>
      </c>
      <c r="C81" s="11" t="s">
        <v>1381</v>
      </c>
      <c r="D81" s="11" t="s">
        <v>1381</v>
      </c>
      <c r="E81" s="12">
        <v>42618</v>
      </c>
      <c r="F81" s="15"/>
      <c r="G81" s="14"/>
      <c r="H81" s="12"/>
      <c r="I81" s="12"/>
      <c r="J81" s="13">
        <v>0</v>
      </c>
      <c r="K81" s="12">
        <v>46351</v>
      </c>
      <c r="L81" s="16" t="str" cm="1">
        <f t="array" ref="L81">_xll.aqBondObjectCreateFromGenerator($C81,$L$4,_xll.aqToolLVBFromKeysValues($C$7:$K$7,$C81:$K81))</f>
        <v>FR0013200987:3</v>
      </c>
      <c r="M81" s="78">
        <v>5.9350700061886474E-3</v>
      </c>
      <c r="N81" s="51">
        <v>95.316000000000003</v>
      </c>
      <c r="O81" s="17">
        <v>8.0589999999999993</v>
      </c>
      <c r="P81" s="95">
        <v>768.15340000000003</v>
      </c>
      <c r="Q81" s="39" cm="1">
        <f t="array" ref="Q81">_xll.aqBondObjectYield(L81,$C$4,R81)</f>
        <v>5.9350700061896406E-3</v>
      </c>
      <c r="R81" s="49" cm="1">
        <f t="array" ref="R81">_xll.aqBondObjectPrice($L81,$C$4,$M81)</f>
        <v>95.315999999999946</v>
      </c>
      <c r="S81" s="49" cm="1">
        <f t="array" ref="S81">_xll.aqBondObjectCleanPrice($L81,$C$4,$M81)</f>
        <v>95.315999999999946</v>
      </c>
      <c r="T81" s="49" cm="1">
        <f t="array" ref="T81">_xll.aqBondObjectDirtyPrice($L81,$C$4,$M81)</f>
        <v>95.315999999999946</v>
      </c>
      <c r="U81" s="18" cm="1">
        <f t="array" ref="U81">_xll.aqBondObjectModifiedDuration($L81,$C$4,$Q81)</f>
        <v>8.0590184762308876</v>
      </c>
      <c r="V81" s="93" cm="1">
        <f t="array" ref="V81">_xll.aqBondObjectDV01($L81,$C$4,$Q81)</f>
        <v>768.15340508041731</v>
      </c>
    </row>
    <row r="82" spans="2:22">
      <c r="B82" s="11" t="s">
        <v>1202</v>
      </c>
      <c r="C82" s="11" t="s">
        <v>1203</v>
      </c>
      <c r="D82" s="11" t="s">
        <v>1203</v>
      </c>
      <c r="E82" s="12">
        <v>40140</v>
      </c>
      <c r="F82" s="15"/>
      <c r="G82" s="14"/>
      <c r="H82" s="12"/>
      <c r="I82" s="12"/>
      <c r="J82" s="13">
        <v>0</v>
      </c>
      <c r="K82" s="12">
        <v>46502</v>
      </c>
      <c r="L82" s="16" t="str" cm="1">
        <f t="array" ref="L82">_xll.aqBondObjectCreateFromGenerator($C82,$L$4,_xll.aqToolLVBFromKeysValues($C$7:$K$7,$C82:$K82))</f>
        <v>FR0010810168:3</v>
      </c>
      <c r="M82" s="78">
        <v>6.607629034837581E-3</v>
      </c>
      <c r="N82" s="51">
        <v>94.543000000000006</v>
      </c>
      <c r="O82" s="17">
        <v>8.4646000000000008</v>
      </c>
      <c r="P82" s="95">
        <v>800.27030000000002</v>
      </c>
      <c r="Q82" s="39" cm="1">
        <f t="array" ref="Q82">_xll.aqBondObjectYield(L82,$C$4,R82)</f>
        <v>6.6076290348392975E-3</v>
      </c>
      <c r="R82" s="49" cm="1">
        <f t="array" ref="R82">_xll.aqBondObjectPrice($L82,$C$4,$M82)</f>
        <v>94.542999999999921</v>
      </c>
      <c r="S82" s="49" cm="1">
        <f t="array" ref="S82">_xll.aqBondObjectCleanPrice($L82,$C$4,$M82)</f>
        <v>94.542999999999921</v>
      </c>
      <c r="T82" s="49" cm="1">
        <f t="array" ref="T82">_xll.aqBondObjectDirtyPrice($L82,$C$4,$M82)</f>
        <v>94.542999999999921</v>
      </c>
      <c r="U82" s="18" cm="1">
        <f t="array" ref="U82">_xll.aqBondObjectModifiedDuration($L82,$C$4,$Q82)</f>
        <v>8.4646168968291988</v>
      </c>
      <c r="V82" s="93" cm="1">
        <f t="array" ref="V82">_xll.aqBondObjectDV01($L82,$C$4,$Q82)</f>
        <v>800.27027527691018</v>
      </c>
    </row>
    <row r="83" spans="2:22">
      <c r="B83" s="11" t="s">
        <v>1424</v>
      </c>
      <c r="C83" s="11" t="s">
        <v>1425</v>
      </c>
      <c r="D83" s="11" t="s">
        <v>1425</v>
      </c>
      <c r="E83" s="12">
        <v>35866</v>
      </c>
      <c r="F83" s="15"/>
      <c r="G83" s="14"/>
      <c r="H83" s="12"/>
      <c r="I83" s="12"/>
      <c r="J83" s="13">
        <v>0</v>
      </c>
      <c r="K83" s="12">
        <v>46502</v>
      </c>
      <c r="L83" s="16" t="str" cm="1">
        <f t="array" ref="L83">_xll.aqBondObjectCreateFromGenerator($C83,$L$4,_xll.aqToolLVBFromKeysValues($C$7:$K$7,$C83:$K83))</f>
        <v>FR0000571176:3</v>
      </c>
      <c r="M83" s="78">
        <v>6.3467893098749784E-3</v>
      </c>
      <c r="N83" s="51">
        <v>94.751999999999995</v>
      </c>
      <c r="O83" s="17">
        <v>8.4667999999999992</v>
      </c>
      <c r="P83" s="95">
        <v>802.2473</v>
      </c>
      <c r="Q83" s="39" cm="1">
        <f t="array" ref="Q83">_xll.aqBondObjectYield(L83,$C$4,R83)</f>
        <v>6.3467893098764641E-3</v>
      </c>
      <c r="R83" s="49" cm="1">
        <f t="array" ref="R83">_xll.aqBondObjectPrice($L83,$C$4,$M83)</f>
        <v>94.752000000000052</v>
      </c>
      <c r="S83" s="49" cm="1">
        <f t="array" ref="S83">_xll.aqBondObjectCleanPrice($L83,$C$4,$M83)</f>
        <v>94.752000000000052</v>
      </c>
      <c r="T83" s="49" cm="1">
        <f t="array" ref="T83">_xll.aqBondObjectDirtyPrice($L83,$C$4,$M83)</f>
        <v>94.752000000000052</v>
      </c>
      <c r="U83" s="18" cm="1">
        <f t="array" ref="U83">_xll.aqBondObjectModifiedDuration($L83,$C$4,$Q83)</f>
        <v>8.4668108804208781</v>
      </c>
      <c r="V83" s="93" cm="1">
        <f t="array" ref="V83">_xll.aqBondObjectDV01($L83,$C$4,$Q83)</f>
        <v>802.24726454162874</v>
      </c>
    </row>
    <row r="84" spans="2:22">
      <c r="B84" s="11" t="s">
        <v>1126</v>
      </c>
      <c r="C84" s="11" t="s">
        <v>1127</v>
      </c>
      <c r="D84" s="11" t="s">
        <v>1127</v>
      </c>
      <c r="E84" s="12">
        <v>42835</v>
      </c>
      <c r="F84" s="15">
        <v>42515</v>
      </c>
      <c r="G84" s="14"/>
      <c r="H84" s="12">
        <v>42880</v>
      </c>
      <c r="I84" s="12">
        <v>46167</v>
      </c>
      <c r="J84" s="13">
        <v>0.01</v>
      </c>
      <c r="K84" s="12">
        <v>46532</v>
      </c>
      <c r="L84" s="16" t="str" cm="1">
        <f t="array" ref="L84">_xll.aqBondObjectCreateFromGenerator($C84,$L$4,_xll.aqToolLVBFromKeysValues($C$7:$K$7,$C84:$K84))</f>
        <v>FR0013250560:9</v>
      </c>
      <c r="M84" s="78">
        <v>6.6396422430506355E-3</v>
      </c>
      <c r="N84" s="51">
        <v>102.8</v>
      </c>
      <c r="O84" s="17">
        <v>8.2060999999999993</v>
      </c>
      <c r="P84" s="95">
        <v>846.84609999999998</v>
      </c>
      <c r="Q84" s="39" cm="1">
        <f t="array" ref="Q84">_xll.aqBondObjectYield(L84,$C$4,R84)</f>
        <v>6.6396422430510978E-3</v>
      </c>
      <c r="R84" s="49" cm="1">
        <f t="array" ref="R84">_xll.aqBondObjectPrice($L84,$C$4,$M84)</f>
        <v>102.80000000001615</v>
      </c>
      <c r="S84" s="49" cm="1">
        <f t="array" ref="S84">_xll.aqBondObjectCleanPrice($L84,$C$4,$M84)</f>
        <v>102.80000000001615</v>
      </c>
      <c r="T84" s="49" cm="1">
        <f t="array" ref="T84">_xll.aqBondObjectDirtyPrice($L84,$C$4,$M84)</f>
        <v>103.19726030001615</v>
      </c>
      <c r="U84" s="18" cm="1">
        <f t="array" ref="U84">_xll.aqBondObjectModifiedDuration($L84,$C$4,$Q84)</f>
        <v>8.2060913588713724</v>
      </c>
      <c r="V84" s="93" cm="1">
        <f t="array" ref="V84">_xll.aqBondObjectDV01($L84,$C$4,$Q84)</f>
        <v>846.84614600715906</v>
      </c>
    </row>
    <row r="85" spans="2:22">
      <c r="B85" s="11" t="s">
        <v>1358</v>
      </c>
      <c r="C85" s="11" t="s">
        <v>1359</v>
      </c>
      <c r="D85" s="11" t="s">
        <v>1359</v>
      </c>
      <c r="E85" s="12">
        <v>41368</v>
      </c>
      <c r="F85" s="15"/>
      <c r="G85" s="14"/>
      <c r="H85" s="12"/>
      <c r="I85" s="12"/>
      <c r="J85" s="13">
        <v>0</v>
      </c>
      <c r="K85" s="12">
        <v>46532</v>
      </c>
      <c r="L85" s="16" t="str" cm="1">
        <f t="array" ref="L85">_xll.aqBondObjectCreateFromGenerator($C85,$L$4,_xll.aqToolLVBFromKeysValues($C$7:$K$7,$C85:$K85))</f>
        <v>FR0011461433:3</v>
      </c>
      <c r="M85" s="78">
        <v>6.6706000231515628E-3</v>
      </c>
      <c r="N85" s="51">
        <v>94.441000000000003</v>
      </c>
      <c r="O85" s="17">
        <v>8.5457000000000001</v>
      </c>
      <c r="P85" s="95">
        <v>807.06769999999995</v>
      </c>
      <c r="Q85" s="39" cm="1">
        <f t="array" ref="Q85">_xll.aqBondObjectYield(L85,$C$4,R85)</f>
        <v>6.6706000231533851E-3</v>
      </c>
      <c r="R85" s="49" cm="1">
        <f t="array" ref="R85">_xll.aqBondObjectPrice($L85,$C$4,$M85)</f>
        <v>94.441000000000059</v>
      </c>
      <c r="S85" s="49" cm="1">
        <f t="array" ref="S85">_xll.aqBondObjectCleanPrice($L85,$C$4,$M85)</f>
        <v>94.441000000000059</v>
      </c>
      <c r="T85" s="49" cm="1">
        <f t="array" ref="T85">_xll.aqBondObjectDirtyPrice($L85,$C$4,$M85)</f>
        <v>94.441000000000059</v>
      </c>
      <c r="U85" s="18" cm="1">
        <f t="array" ref="U85">_xll.aqBondObjectModifiedDuration($L85,$C$4,$Q85)</f>
        <v>8.545734548947328</v>
      </c>
      <c r="V85" s="93" cm="1">
        <f t="array" ref="V85">_xll.aqBondObjectDV01($L85,$C$4,$Q85)</f>
        <v>807.06771653712269</v>
      </c>
    </row>
    <row r="86" spans="2:22">
      <c r="B86" s="11" t="s">
        <v>1126</v>
      </c>
      <c r="C86" s="11" t="s">
        <v>1127</v>
      </c>
      <c r="D86" s="11" t="s">
        <v>1127</v>
      </c>
      <c r="E86" s="12">
        <v>42835</v>
      </c>
      <c r="F86" s="15">
        <v>42515</v>
      </c>
      <c r="G86" s="14"/>
      <c r="H86" s="12">
        <v>42880</v>
      </c>
      <c r="I86" s="12">
        <v>46167</v>
      </c>
      <c r="J86" s="13">
        <v>0.01</v>
      </c>
      <c r="K86" s="12">
        <v>46532</v>
      </c>
      <c r="L86" s="16" t="str" cm="1">
        <f t="array" ref="L86">_xll.aqBondObjectCreateFromGenerator($C86,$L$4,_xll.aqToolLVBFromKeysValues($C$7:$K$7,$C86:$K86))</f>
        <v>FR0013250560:10</v>
      </c>
      <c r="M86" s="78">
        <v>6.6396422430506355E-3</v>
      </c>
      <c r="N86" s="51">
        <v>102.8</v>
      </c>
      <c r="O86" s="17">
        <v>8.2060999999999993</v>
      </c>
      <c r="P86" s="95">
        <v>846.84609999999998</v>
      </c>
      <c r="Q86" s="39" cm="1">
        <f t="array" ref="Q86">_xll.aqBondObjectYield(L86,$C$4,R86)</f>
        <v>6.6396422430510978E-3</v>
      </c>
      <c r="R86" s="49" cm="1">
        <f t="array" ref="R86">_xll.aqBondObjectPrice($L86,$C$4,$M86)</f>
        <v>102.80000000001615</v>
      </c>
      <c r="S86" s="49" cm="1">
        <f t="array" ref="S86">_xll.aqBondObjectCleanPrice($L86,$C$4,$M86)</f>
        <v>102.80000000001615</v>
      </c>
      <c r="T86" s="49" cm="1">
        <f t="array" ref="T86">_xll.aqBondObjectDirtyPrice($L86,$C$4,$M86)</f>
        <v>103.19726030001615</v>
      </c>
      <c r="U86" s="18" cm="1">
        <f t="array" ref="U86">_xll.aqBondObjectModifiedDuration($L86,$C$4,$Q86)</f>
        <v>8.2060913588713724</v>
      </c>
      <c r="V86" s="93" cm="1">
        <f t="array" ref="V86">_xll.aqBondObjectDV01($L86,$C$4,$Q86)</f>
        <v>846.84614600715906</v>
      </c>
    </row>
    <row r="87" spans="2:22">
      <c r="B87" s="11" t="s">
        <v>1126</v>
      </c>
      <c r="C87" s="11" t="s">
        <v>1127</v>
      </c>
      <c r="D87" s="11" t="s">
        <v>1127</v>
      </c>
      <c r="E87" s="12">
        <v>42835</v>
      </c>
      <c r="F87" s="15">
        <v>42515</v>
      </c>
      <c r="G87" s="14"/>
      <c r="H87" s="12">
        <v>42880</v>
      </c>
      <c r="I87" s="12">
        <v>46167</v>
      </c>
      <c r="J87" s="13">
        <v>0.01</v>
      </c>
      <c r="K87" s="12">
        <v>46532</v>
      </c>
      <c r="L87" s="16" t="str" cm="1">
        <f t="array" ref="L87">_xll.aqBondObjectCreateFromGenerator($C87,$L$4,_xll.aqToolLVBFromKeysValues($C$7:$K$7,$C87:$K87))</f>
        <v>FR0013250560:11</v>
      </c>
      <c r="M87" s="78">
        <v>6.6396422430506355E-3</v>
      </c>
      <c r="N87" s="51">
        <v>102.8</v>
      </c>
      <c r="O87" s="17">
        <v>8.2060999999999993</v>
      </c>
      <c r="P87" s="95">
        <v>846.84609999999998</v>
      </c>
      <c r="Q87" s="39" cm="1">
        <f t="array" ref="Q87">_xll.aqBondObjectYield(L87,$C$4,R87)</f>
        <v>6.6396422430510978E-3</v>
      </c>
      <c r="R87" s="49" cm="1">
        <f t="array" ref="R87">_xll.aqBondObjectPrice($L87,$C$4,$M87)</f>
        <v>102.80000000001615</v>
      </c>
      <c r="S87" s="49" cm="1">
        <f t="array" ref="S87">_xll.aqBondObjectCleanPrice($L87,$C$4,$M87)</f>
        <v>102.80000000001615</v>
      </c>
      <c r="T87" s="49" cm="1">
        <f t="array" ref="T87">_xll.aqBondObjectDirtyPrice($L87,$C$4,$M87)</f>
        <v>103.19726030001615</v>
      </c>
      <c r="U87" s="18" cm="1">
        <f t="array" ref="U87">_xll.aqBondObjectModifiedDuration($L87,$C$4,$Q87)</f>
        <v>8.2060913588713724</v>
      </c>
      <c r="V87" s="93" cm="1">
        <f t="array" ref="V87">_xll.aqBondObjectDV01($L87,$C$4,$Q87)</f>
        <v>846.84614600715906</v>
      </c>
    </row>
    <row r="88" spans="2:22">
      <c r="B88" s="11" t="s">
        <v>1138</v>
      </c>
      <c r="C88" s="11" t="s">
        <v>1139</v>
      </c>
      <c r="D88" s="11" t="s">
        <v>1139</v>
      </c>
      <c r="E88" s="12">
        <v>41163</v>
      </c>
      <c r="F88" s="15">
        <v>40841</v>
      </c>
      <c r="G88" s="14"/>
      <c r="H88" s="12">
        <v>41207</v>
      </c>
      <c r="I88" s="12">
        <v>46320</v>
      </c>
      <c r="J88" s="13">
        <v>2.75E-2</v>
      </c>
      <c r="K88" s="12">
        <v>46685</v>
      </c>
      <c r="L88" s="16" t="str" cm="1">
        <f t="array" ref="L88">_xll.aqBondObjectCreateFromGenerator($C88,$L$4,_xll.aqToolLVBFromKeysValues($C$7:$K$7,$C88:$K88))</f>
        <v>FR0011317783:3</v>
      </c>
      <c r="M88" s="78">
        <v>6.7993700466761784E-3</v>
      </c>
      <c r="N88" s="51">
        <v>118.05500000000001</v>
      </c>
      <c r="O88" s="17">
        <v>7.9612999999999996</v>
      </c>
      <c r="P88" s="95">
        <v>961.28340000000003</v>
      </c>
      <c r="Q88" s="39" cm="1">
        <f t="array" ref="Q88">_xll.aqBondObjectYield(L88,$C$4,R88)</f>
        <v>6.7993700466864419E-3</v>
      </c>
      <c r="R88" s="49" cm="1">
        <f t="array" ref="R88">_xll.aqBondObjectPrice($L88,$C$4,$M88)</f>
        <v>118.05499999999986</v>
      </c>
      <c r="S88" s="49" cm="1">
        <f t="array" ref="S88">_xll.aqBondObjectCleanPrice($L88,$C$4,$M88)</f>
        <v>118.05499999999986</v>
      </c>
      <c r="T88" s="49" cm="1">
        <f t="array" ref="T88">_xll.aqBondObjectDirtyPrice($L88,$C$4,$M88)</f>
        <v>120.74472599999986</v>
      </c>
      <c r="U88" s="18" cm="1">
        <f t="array" ref="U88">_xll.aqBondObjectModifiedDuration($L88,$C$4,$Q88)</f>
        <v>7.9612871454428014</v>
      </c>
      <c r="V88" s="93" cm="1">
        <f t="array" ref="V88">_xll.aqBondObjectDV01($L88,$C$4,$Q88)</f>
        <v>961.28343498373386</v>
      </c>
    </row>
    <row r="89" spans="2:22">
      <c r="B89" s="11" t="s">
        <v>1272</v>
      </c>
      <c r="C89" s="11" t="s">
        <v>1273</v>
      </c>
      <c r="D89" s="11" t="s">
        <v>1273</v>
      </c>
      <c r="E89" s="12">
        <v>40140</v>
      </c>
      <c r="F89" s="15"/>
      <c r="G89" s="14"/>
      <c r="H89" s="12"/>
      <c r="I89" s="12"/>
      <c r="J89" s="13">
        <v>0</v>
      </c>
      <c r="K89" s="12">
        <v>46685</v>
      </c>
      <c r="L89" s="16" t="str" cm="1">
        <f t="array" ref="L89">_xll.aqBondObjectCreateFromGenerator($C89,$L$4,_xll.aqToolLVBFromKeysValues($C$7:$K$7,$C89:$K89))</f>
        <v>FR0010810176:3</v>
      </c>
      <c r="M89" s="78">
        <v>7.0661115173673572E-3</v>
      </c>
      <c r="N89" s="51">
        <v>93.844999999999999</v>
      </c>
      <c r="O89" s="17">
        <v>8.9586000000000006</v>
      </c>
      <c r="P89" s="95">
        <v>840.72119999999995</v>
      </c>
      <c r="Q89" s="39" cm="1">
        <f t="array" ref="Q89">_xll.aqBondObjectYield(L89,$C$4,R89)</f>
        <v>7.0661115173696861E-3</v>
      </c>
      <c r="R89" s="49" cm="1">
        <f t="array" ref="R89">_xll.aqBondObjectPrice($L89,$C$4,$M89)</f>
        <v>93.845000000000056</v>
      </c>
      <c r="S89" s="49" cm="1">
        <f t="array" ref="S89">_xll.aqBondObjectCleanPrice($L89,$C$4,$M89)</f>
        <v>93.845000000000056</v>
      </c>
      <c r="T89" s="49" cm="1">
        <f t="array" ref="T89">_xll.aqBondObjectDirtyPrice($L89,$C$4,$M89)</f>
        <v>93.845000000000056</v>
      </c>
      <c r="U89" s="18" cm="1">
        <f t="array" ref="U89">_xll.aqBondObjectModifiedDuration($L89,$C$4,$Q89)</f>
        <v>8.9586152339349887</v>
      </c>
      <c r="V89" s="93" cm="1">
        <f t="array" ref="V89">_xll.aqBondObjectDV01($L89,$C$4,$Q89)</f>
        <v>840.7212466286129</v>
      </c>
    </row>
    <row r="90" spans="2:22">
      <c r="B90" s="11" t="s">
        <v>1502</v>
      </c>
      <c r="C90" s="11" t="s">
        <v>1503</v>
      </c>
      <c r="D90" s="11" t="s">
        <v>1503</v>
      </c>
      <c r="E90" s="12">
        <v>37054</v>
      </c>
      <c r="F90" s="15"/>
      <c r="G90" s="14"/>
      <c r="H90" s="12"/>
      <c r="I90" s="12"/>
      <c r="J90" s="13">
        <v>0</v>
      </c>
      <c r="K90" s="12">
        <v>46685</v>
      </c>
      <c r="L90" s="16" t="str" cm="1">
        <f t="array" ref="L90">_xll.aqBondObjectCreateFromGenerator($C90,$L$4,_xll.aqToolLVBFromKeysValues($C$7:$K$7,$C90:$K90))</f>
        <v>FR0000578551:3</v>
      </c>
      <c r="M90" s="78">
        <v>7.0589750414331576E-3</v>
      </c>
      <c r="N90" s="51">
        <v>93.850999999999999</v>
      </c>
      <c r="O90" s="17">
        <v>8.9587000000000003</v>
      </c>
      <c r="P90" s="95">
        <v>840.78099999999995</v>
      </c>
      <c r="Q90" s="39" cm="1">
        <f t="array" ref="Q90">_xll.aqBondObjectYield(L90,$C$4,R90)</f>
        <v>7.0589750414354604E-3</v>
      </c>
      <c r="R90" s="49" cm="1">
        <f t="array" ref="R90">_xll.aqBondObjectPrice($L90,$C$4,$M90)</f>
        <v>93.851000000000013</v>
      </c>
      <c r="S90" s="49" cm="1">
        <f t="array" ref="S90">_xll.aqBondObjectCleanPrice($L90,$C$4,$M90)</f>
        <v>93.851000000000013</v>
      </c>
      <c r="T90" s="49" cm="1">
        <f t="array" ref="T90">_xll.aqBondObjectDirtyPrice($L90,$C$4,$M90)</f>
        <v>93.851000000000013</v>
      </c>
      <c r="U90" s="18" cm="1">
        <f t="array" ref="U90">_xll.aqBondObjectModifiedDuration($L90,$C$4,$Q90)</f>
        <v>8.9586787187393604</v>
      </c>
      <c r="V90" s="93" cm="1">
        <f t="array" ref="V90">_xll.aqBondObjectDV01($L90,$C$4,$Q90)</f>
        <v>840.78095643239101</v>
      </c>
    </row>
    <row r="91" spans="2:22">
      <c r="B91" s="11" t="s">
        <v>1264</v>
      </c>
      <c r="C91" s="11" t="s">
        <v>1265</v>
      </c>
      <c r="D91" s="11" t="s">
        <v>1265</v>
      </c>
      <c r="E91" s="12">
        <v>40140</v>
      </c>
      <c r="F91" s="15"/>
      <c r="G91" s="14"/>
      <c r="H91" s="12"/>
      <c r="I91" s="12"/>
      <c r="J91" s="13">
        <v>0</v>
      </c>
      <c r="K91" s="12">
        <v>46868</v>
      </c>
      <c r="L91" s="16" t="str" cm="1">
        <f t="array" ref="L91">_xll.aqBondObjectCreateFromGenerator($C91,$L$4,_xll.aqToolLVBFromKeysValues($C$7:$K$7,$C91:$K91))</f>
        <v>FR0010810184:3</v>
      </c>
      <c r="M91" s="78">
        <v>7.7997209712241666E-3</v>
      </c>
      <c r="N91" s="51">
        <v>92.87</v>
      </c>
      <c r="O91" s="17">
        <v>9.4468999999999994</v>
      </c>
      <c r="P91" s="95">
        <v>877.33040000000005</v>
      </c>
      <c r="Q91" s="39" cm="1">
        <f t="array" ref="Q91">_xll.aqBondObjectYield(L91,$C$4,R91)</f>
        <v>7.7997209712282779E-3</v>
      </c>
      <c r="R91" s="49" cm="1">
        <f t="array" ref="R91">_xll.aqBondObjectPrice($L91,$C$4,$M91)</f>
        <v>92.86999999999999</v>
      </c>
      <c r="S91" s="49" cm="1">
        <f t="array" ref="S91">_xll.aqBondObjectCleanPrice($L91,$C$4,$M91)</f>
        <v>92.86999999999999</v>
      </c>
      <c r="T91" s="49" cm="1">
        <f t="array" ref="T91">_xll.aqBondObjectDirtyPrice($L91,$C$4,$M91)</f>
        <v>92.86999999999999</v>
      </c>
      <c r="U91" s="18" cm="1">
        <f t="array" ref="U91">_xll.aqBondObjectModifiedDuration($L91,$C$4,$Q91)</f>
        <v>9.4468650338882956</v>
      </c>
      <c r="V91" s="93" cm="1">
        <f t="array" ref="V91">_xll.aqBondObjectDV01($L91,$C$4,$Q91)</f>
        <v>877.33035569717106</v>
      </c>
    </row>
    <row r="92" spans="2:22">
      <c r="B92" s="11" t="s">
        <v>1542</v>
      </c>
      <c r="C92" s="11" t="s">
        <v>1543</v>
      </c>
      <c r="D92" s="11" t="s">
        <v>1543</v>
      </c>
      <c r="E92" s="12">
        <v>35866</v>
      </c>
      <c r="F92" s="15"/>
      <c r="G92" s="14"/>
      <c r="H92" s="12"/>
      <c r="I92" s="12"/>
      <c r="J92" s="13">
        <v>0</v>
      </c>
      <c r="K92" s="12">
        <v>46868</v>
      </c>
      <c r="L92" s="16" t="str" cm="1">
        <f t="array" ref="L92">_xll.aqBondObjectCreateFromGenerator($C92,$L$4,_xll.aqToolLVBFromKeysValues($C$7:$K$7,$C92:$K92))</f>
        <v>FR0000571184:3</v>
      </c>
      <c r="M92" s="78">
        <v>7.5686162265971024E-3</v>
      </c>
      <c r="N92" s="51">
        <v>93.072999999999993</v>
      </c>
      <c r="O92" s="17">
        <v>9.4489999999999998</v>
      </c>
      <c r="P92" s="95">
        <v>879.44970000000001</v>
      </c>
      <c r="Q92" s="39" cm="1">
        <f t="array" ref="Q92">_xll.aqBondObjectYield(L92,$C$4,R92)</f>
        <v>7.5686162266008165E-3</v>
      </c>
      <c r="R92" s="49" cm="1">
        <f t="array" ref="R92">_xll.aqBondObjectPrice($L92,$C$4,$M92)</f>
        <v>93.072999999999922</v>
      </c>
      <c r="S92" s="49" cm="1">
        <f t="array" ref="S92">_xll.aqBondObjectCleanPrice($L92,$C$4,$M92)</f>
        <v>93.072999999999922</v>
      </c>
      <c r="T92" s="49" cm="1">
        <f t="array" ref="T92">_xll.aqBondObjectDirtyPrice($L92,$C$4,$M92)</f>
        <v>93.072999999999922</v>
      </c>
      <c r="U92" s="18" cm="1">
        <f t="array" ref="U92">_xll.aqBondObjectModifiedDuration($L92,$C$4,$Q92)</f>
        <v>9.4490318494242587</v>
      </c>
      <c r="V92" s="93" cm="1">
        <f t="array" ref="V92">_xll.aqBondObjectDV01($L92,$C$4,$Q92)</f>
        <v>879.44974132143193</v>
      </c>
    </row>
    <row r="93" spans="2:22">
      <c r="B93" s="11" t="s">
        <v>1532</v>
      </c>
      <c r="C93" s="11" t="s">
        <v>1533</v>
      </c>
      <c r="D93" s="11" t="s">
        <v>1533</v>
      </c>
      <c r="E93" s="12">
        <v>41368</v>
      </c>
      <c r="F93" s="15"/>
      <c r="G93" s="14"/>
      <c r="H93" s="12"/>
      <c r="I93" s="12"/>
      <c r="J93" s="13">
        <v>0</v>
      </c>
      <c r="K93" s="12">
        <v>46898</v>
      </c>
      <c r="L93" s="16" t="str" cm="1">
        <f t="array" ref="L93">_xll.aqBondObjectCreateFromGenerator($C93,$L$4,_xll.aqToolLVBFromKeysValues($C$7:$K$7,$C93:$K93))</f>
        <v>FR0011461458:3</v>
      </c>
      <c r="M93" s="78">
        <v>8.0496291993761293E-3</v>
      </c>
      <c r="N93" s="51">
        <v>92.59</v>
      </c>
      <c r="O93" s="17">
        <v>9.5260999999999996</v>
      </c>
      <c r="P93" s="95">
        <v>882.01779999999997</v>
      </c>
      <c r="Q93" s="39" cm="1">
        <f t="array" ref="Q93">_xll.aqBondObjectYield(L93,$C$4,R93)</f>
        <v>8.049629199380683E-3</v>
      </c>
      <c r="R93" s="49" cm="1">
        <f t="array" ref="R93">_xll.aqBondObjectPrice($L93,$C$4,$M93)</f>
        <v>92.590000000000018</v>
      </c>
      <c r="S93" s="49" cm="1">
        <f t="array" ref="S93">_xll.aqBondObjectCleanPrice($L93,$C$4,$M93)</f>
        <v>92.590000000000018</v>
      </c>
      <c r="T93" s="49" cm="1">
        <f t="array" ref="T93">_xll.aqBondObjectDirtyPrice($L93,$C$4,$M93)</f>
        <v>92.590000000000018</v>
      </c>
      <c r="U93" s="18" cm="1">
        <f t="array" ref="U93">_xll.aqBondObjectModifiedDuration($L93,$C$4,$Q93)</f>
        <v>9.526058487471639</v>
      </c>
      <c r="V93" s="93" cm="1">
        <f t="array" ref="V93">_xll.aqBondObjectDV01($L93,$C$4,$Q93)</f>
        <v>882.01775535495995</v>
      </c>
    </row>
    <row r="94" spans="2:22">
      <c r="B94" s="11" t="s">
        <v>1362</v>
      </c>
      <c r="C94" s="11" t="s">
        <v>1363</v>
      </c>
      <c r="D94" s="11" t="s">
        <v>1363</v>
      </c>
      <c r="E94" s="12">
        <v>40140</v>
      </c>
      <c r="F94" s="15"/>
      <c r="G94" s="14"/>
      <c r="H94" s="12"/>
      <c r="I94" s="12"/>
      <c r="J94" s="13">
        <v>0</v>
      </c>
      <c r="K94" s="12">
        <v>47051</v>
      </c>
      <c r="L94" s="16" t="str" cm="1">
        <f t="array" ref="L94">_xll.aqBondObjectCreateFromGenerator($C94,$L$4,_xll.aqToolLVBFromKeysValues($C$7:$K$7,$C94:$K94))</f>
        <v>FR0010810200:3</v>
      </c>
      <c r="M94" s="78">
        <v>8.4903442479009605E-3</v>
      </c>
      <c r="N94" s="51">
        <v>91.876000000000005</v>
      </c>
      <c r="O94" s="17">
        <v>9.9375</v>
      </c>
      <c r="P94" s="95">
        <v>913.02189999999996</v>
      </c>
      <c r="Q94" s="39" cm="1">
        <f t="array" ref="Q94">_xll.aqBondObjectYield(L94,$C$4,R94)</f>
        <v>8.4903442479068655E-3</v>
      </c>
      <c r="R94" s="49" cm="1">
        <f t="array" ref="R94">_xll.aqBondObjectPrice($L94,$C$4,$M94)</f>
        <v>91.87599999999992</v>
      </c>
      <c r="S94" s="49" cm="1">
        <f t="array" ref="S94">_xll.aqBondObjectCleanPrice($L94,$C$4,$M94)</f>
        <v>91.87599999999992</v>
      </c>
      <c r="T94" s="49" cm="1">
        <f t="array" ref="T94">_xll.aqBondObjectDirtyPrice($L94,$C$4,$M94)</f>
        <v>91.87599999999992</v>
      </c>
      <c r="U94" s="18" cm="1">
        <f t="array" ref="U94">_xll.aqBondObjectModifiedDuration($L94,$C$4,$Q94)</f>
        <v>9.9375446333034922</v>
      </c>
      <c r="V94" s="93" cm="1">
        <f t="array" ref="V94">_xll.aqBondObjectDV01($L94,$C$4,$Q94)</f>
        <v>913.02185072933639</v>
      </c>
    </row>
    <row r="95" spans="2:22">
      <c r="B95" s="11" t="s">
        <v>1456</v>
      </c>
      <c r="C95" s="11" t="s">
        <v>1457</v>
      </c>
      <c r="D95" s="11" t="s">
        <v>1457</v>
      </c>
      <c r="E95" s="12">
        <v>37054</v>
      </c>
      <c r="F95" s="15"/>
      <c r="G95" s="14"/>
      <c r="H95" s="12"/>
      <c r="I95" s="12"/>
      <c r="J95" s="13">
        <v>0</v>
      </c>
      <c r="K95" s="12">
        <v>47051</v>
      </c>
      <c r="L95" s="16" t="str" cm="1">
        <f t="array" ref="L95">_xll.aqBondObjectCreateFromGenerator($C95,$L$4,_xll.aqToolLVBFromKeysValues($C$7:$K$7,$C95:$K95))</f>
        <v>FR0000578569:3</v>
      </c>
      <c r="M95" s="78">
        <v>8.24751815764313E-3</v>
      </c>
      <c r="N95" s="51">
        <v>92.097999999999999</v>
      </c>
      <c r="O95" s="17">
        <v>9.9398999999999997</v>
      </c>
      <c r="P95" s="95">
        <v>915.44839999999999</v>
      </c>
      <c r="Q95" s="39" cm="1">
        <f t="array" ref="Q95">_xll.aqBondObjectYield(L95,$C$4,R95)</f>
        <v>8.2475181576484782E-3</v>
      </c>
      <c r="R95" s="49" cm="1">
        <f t="array" ref="R95">_xll.aqBondObjectPrice($L95,$C$4,$M95)</f>
        <v>92.097999999999914</v>
      </c>
      <c r="S95" s="49" cm="1">
        <f t="array" ref="S95">_xll.aqBondObjectCleanPrice($L95,$C$4,$M95)</f>
        <v>92.097999999999914</v>
      </c>
      <c r="T95" s="49" cm="1">
        <f t="array" ref="T95">_xll.aqBondObjectDirtyPrice($L95,$C$4,$M95)</f>
        <v>92.097999999999914</v>
      </c>
      <c r="U95" s="18" cm="1">
        <f t="array" ref="U95">_xll.aqBondObjectModifiedDuration($L95,$C$4,$Q95)</f>
        <v>9.9399379891676176</v>
      </c>
      <c r="V95" s="93" cm="1">
        <f t="array" ref="V95">_xll.aqBondObjectDV01($L95,$C$4,$Q95)</f>
        <v>915.44840892630987</v>
      </c>
    </row>
    <row r="96" spans="2:22">
      <c r="B96" s="11" t="s">
        <v>1178</v>
      </c>
      <c r="C96" s="11" t="s">
        <v>1179</v>
      </c>
      <c r="D96" s="11" t="s">
        <v>1179</v>
      </c>
      <c r="E96" s="12">
        <v>35866</v>
      </c>
      <c r="F96" s="15">
        <v>35545</v>
      </c>
      <c r="G96" s="14"/>
      <c r="H96" s="12">
        <v>35910</v>
      </c>
      <c r="I96" s="12">
        <v>46868</v>
      </c>
      <c r="J96" s="13">
        <v>5.5E-2</v>
      </c>
      <c r="K96" s="12">
        <v>47233</v>
      </c>
      <c r="L96" s="16" t="str" cm="1">
        <f t="array" ref="L96">_xll.aqBondObjectCreateFromGenerator($C96,$L$4,_xll.aqToolLVBFromKeysValues($C$7:$K$7,$C96:$K96))</f>
        <v>FR0000571218:3</v>
      </c>
      <c r="M96" s="78">
        <v>8.2357336724830608E-3</v>
      </c>
      <c r="N96" s="51">
        <v>146.93700000000001</v>
      </c>
      <c r="O96" s="17">
        <v>8.4854000000000003</v>
      </c>
      <c r="P96" s="95">
        <v>1269.1984</v>
      </c>
      <c r="Q96" s="39" cm="1">
        <f t="array" ref="Q96">_xll.aqBondObjectYield(L96,$C$4,R96)</f>
        <v>8.2357336724829481E-3</v>
      </c>
      <c r="R96" s="49" cm="1">
        <f t="array" ref="R96">_xll.aqBondObjectPrice($L96,$C$4,$M96)</f>
        <v>146.93700000001044</v>
      </c>
      <c r="S96" s="49" cm="1">
        <f t="array" ref="S96">_xll.aqBondObjectCleanPrice($L96,$C$4,$M96)</f>
        <v>146.93700000001044</v>
      </c>
      <c r="T96" s="49" cm="1">
        <f t="array" ref="T96">_xll.aqBondObjectDirtyPrice($L96,$C$4,$M96)</f>
        <v>149.57398630001043</v>
      </c>
      <c r="U96" s="18" cm="1">
        <f t="array" ref="U96">_xll.aqBondObjectModifiedDuration($L96,$C$4,$Q96)</f>
        <v>8.4854218535172343</v>
      </c>
      <c r="V96" s="93" cm="1">
        <f t="array" ref="V96">_xll.aqBondObjectDV01($L96,$C$4,$Q96)</f>
        <v>1269.1983720677958</v>
      </c>
    </row>
    <row r="97" spans="2:22">
      <c r="B97" s="11" t="s">
        <v>1208</v>
      </c>
      <c r="C97" s="11" t="s">
        <v>1209</v>
      </c>
      <c r="D97" s="11" t="s">
        <v>1209</v>
      </c>
      <c r="E97" s="12">
        <v>40140</v>
      </c>
      <c r="F97" s="15"/>
      <c r="G97" s="14"/>
      <c r="H97" s="12"/>
      <c r="I97" s="12"/>
      <c r="J97" s="13">
        <v>0</v>
      </c>
      <c r="K97" s="12">
        <v>47233</v>
      </c>
      <c r="L97" s="16" t="str" cm="1">
        <f t="array" ref="L97">_xll.aqBondObjectCreateFromGenerator($C97,$L$4,_xll.aqToolLVBFromKeysValues($C$7:$K$7,$C97:$K97))</f>
        <v>FR0010810218:3</v>
      </c>
      <c r="M97" s="78">
        <v>9.2918675755984115E-3</v>
      </c>
      <c r="N97" s="51">
        <v>90.727999999999994</v>
      </c>
      <c r="O97" s="17">
        <v>10.4237</v>
      </c>
      <c r="P97" s="95">
        <v>945.72080000000005</v>
      </c>
      <c r="Q97" s="39" cm="1">
        <f t="array" ref="Q97">_xll.aqBondObjectYield(L97,$C$4,R97)</f>
        <v>9.2918675756070573E-3</v>
      </c>
      <c r="R97" s="49" cm="1">
        <f t="array" ref="R97">_xll.aqBondObjectPrice($L97,$C$4,$M97)</f>
        <v>90.728000000000051</v>
      </c>
      <c r="S97" s="49" cm="1">
        <f t="array" ref="S97">_xll.aqBondObjectCleanPrice($L97,$C$4,$M97)</f>
        <v>90.728000000000051</v>
      </c>
      <c r="T97" s="49" cm="1">
        <f t="array" ref="T97">_xll.aqBondObjectDirtyPrice($L97,$C$4,$M97)</f>
        <v>90.728000000000051</v>
      </c>
      <c r="U97" s="18" cm="1">
        <f t="array" ref="U97">_xll.aqBondObjectModifiedDuration($L97,$C$4,$Q97)</f>
        <v>10.423692375998835</v>
      </c>
      <c r="V97" s="93" cm="1">
        <f t="array" ref="V97">_xll.aqBondObjectDV01($L97,$C$4,$Q97)</f>
        <v>945.72076188953747</v>
      </c>
    </row>
    <row r="98" spans="2:22">
      <c r="B98" s="11" t="s">
        <v>1210</v>
      </c>
      <c r="C98" s="11" t="s">
        <v>1211</v>
      </c>
      <c r="D98" s="11" t="s">
        <v>1211</v>
      </c>
      <c r="E98" s="12">
        <v>35866</v>
      </c>
      <c r="F98" s="15"/>
      <c r="G98" s="14"/>
      <c r="H98" s="12"/>
      <c r="I98" s="12"/>
      <c r="J98" s="13">
        <v>0</v>
      </c>
      <c r="K98" s="12">
        <v>47233</v>
      </c>
      <c r="L98" s="16" t="str" cm="1">
        <f t="array" ref="L98">_xll.aqBondObjectCreateFromGenerator($C98,$L$4,_xll.aqToolLVBFromKeysValues($C$7:$K$7,$C98:$K98))</f>
        <v>FR0000571200:3</v>
      </c>
      <c r="M98" s="78">
        <v>9.0954126327558171E-3</v>
      </c>
      <c r="N98" s="51">
        <v>90.914000000000001</v>
      </c>
      <c r="O98" s="17">
        <v>10.425700000000001</v>
      </c>
      <c r="P98" s="95">
        <v>947.84410000000003</v>
      </c>
      <c r="Q98" s="39" cm="1">
        <f t="array" ref="Q98">_xll.aqBondObjectYield(L98,$C$4,R98)</f>
        <v>9.0954126327639079E-3</v>
      </c>
      <c r="R98" s="49" cm="1">
        <f t="array" ref="R98">_xll.aqBondObjectPrice($L98,$C$4,$M98)</f>
        <v>90.914000000000073</v>
      </c>
      <c r="S98" s="49" cm="1">
        <f t="array" ref="S98">_xll.aqBondObjectCleanPrice($L98,$C$4,$M98)</f>
        <v>90.914000000000073</v>
      </c>
      <c r="T98" s="49" cm="1">
        <f t="array" ref="T98">_xll.aqBondObjectDirtyPrice($L98,$C$4,$M98)</f>
        <v>90.914000000000073</v>
      </c>
      <c r="U98" s="18" cm="1">
        <f t="array" ref="U98">_xll.aqBondObjectModifiedDuration($L98,$C$4,$Q98)</f>
        <v>10.425721704310414</v>
      </c>
      <c r="V98" s="93" cm="1">
        <f t="array" ref="V98">_xll.aqBondObjectDV01($L98,$C$4,$Q98)</f>
        <v>947.84406302559864</v>
      </c>
    </row>
    <row r="99" spans="2:22">
      <c r="B99" s="11" t="s">
        <v>1318</v>
      </c>
      <c r="C99" s="11" t="s">
        <v>1319</v>
      </c>
      <c r="D99" s="11" t="s">
        <v>1319</v>
      </c>
      <c r="E99" s="12">
        <v>35866</v>
      </c>
      <c r="F99" s="15"/>
      <c r="G99" s="14"/>
      <c r="H99" s="12"/>
      <c r="I99" s="12"/>
      <c r="J99" s="13">
        <v>0</v>
      </c>
      <c r="K99" s="12">
        <v>47233</v>
      </c>
      <c r="L99" s="16" t="str" cm="1">
        <f t="array" ref="L99">_xll.aqBondObjectCreateFromGenerator($C99,$L$4,_xll.aqToolLVBFromKeysValues($C$7:$K$7,$C99:$K99))</f>
        <v>FR0000571192:3</v>
      </c>
      <c r="M99" s="78">
        <v>9.5354064899320079E-3</v>
      </c>
      <c r="N99" s="51">
        <v>90.498000000000005</v>
      </c>
      <c r="O99" s="17">
        <v>10.421200000000001</v>
      </c>
      <c r="P99" s="95">
        <v>943.09569999999997</v>
      </c>
      <c r="Q99" s="39" cm="1">
        <f t="array" ref="Q99">_xll.aqBondObjectYield(L99,$C$4,R99)</f>
        <v>9.5354064899413685E-3</v>
      </c>
      <c r="R99" s="49" cm="1">
        <f t="array" ref="R99">_xll.aqBondObjectPrice($L99,$C$4,$M99)</f>
        <v>90.498000000000104</v>
      </c>
      <c r="S99" s="49" cm="1">
        <f t="array" ref="S99">_xll.aqBondObjectCleanPrice($L99,$C$4,$M99)</f>
        <v>90.498000000000104</v>
      </c>
      <c r="T99" s="49" cm="1">
        <f t="array" ref="T99">_xll.aqBondObjectDirtyPrice($L99,$C$4,$M99)</f>
        <v>90.498000000000104</v>
      </c>
      <c r="U99" s="18" cm="1">
        <f t="array" ref="U99">_xll.aqBondObjectModifiedDuration($L99,$C$4,$Q99)</f>
        <v>10.421177778978969</v>
      </c>
      <c r="V99" s="93" cm="1">
        <f t="array" ref="V99">_xll.aqBondObjectDV01($L99,$C$4,$Q99)</f>
        <v>943.09574664194815</v>
      </c>
    </row>
    <row r="100" spans="2:22">
      <c r="B100" s="11" t="s">
        <v>1466</v>
      </c>
      <c r="C100" s="11" t="s">
        <v>1467</v>
      </c>
      <c r="D100" s="11" t="s">
        <v>1467</v>
      </c>
      <c r="E100" s="12">
        <v>41368</v>
      </c>
      <c r="F100" s="15"/>
      <c r="G100" s="14"/>
      <c r="H100" s="12"/>
      <c r="I100" s="12"/>
      <c r="J100" s="13">
        <v>0</v>
      </c>
      <c r="K100" s="12">
        <v>47263</v>
      </c>
      <c r="L100" s="16" t="str" cm="1">
        <f t="array" ref="L100">_xll.aqBondObjectCreateFromGenerator($C100,$L$4,_xll.aqToolLVBFromKeysValues($C$7:$K$7,$C100:$K100))</f>
        <v>FR0011461466:3</v>
      </c>
      <c r="M100" s="78">
        <v>9.5042844009436411E-3</v>
      </c>
      <c r="N100" s="51">
        <v>90.456999999999994</v>
      </c>
      <c r="O100" s="17">
        <v>10.5029</v>
      </c>
      <c r="P100" s="95">
        <v>950.06240000000003</v>
      </c>
      <c r="Q100" s="39" cm="1">
        <f t="array" ref="Q100">_xll.aqBondObjectYield(L100,$C$4,R100)</f>
        <v>9.5042844009531318E-3</v>
      </c>
      <c r="R100" s="49" cm="1">
        <f t="array" ref="R100">_xll.aqBondObjectPrice($L100,$C$4,$M100)</f>
        <v>90.456999999999937</v>
      </c>
      <c r="S100" s="49" cm="1">
        <f t="array" ref="S100">_xll.aqBondObjectCleanPrice($L100,$C$4,$M100)</f>
        <v>90.456999999999937</v>
      </c>
      <c r="T100" s="49" cm="1">
        <f t="array" ref="T100">_xll.aqBondObjectDirtyPrice($L100,$C$4,$M100)</f>
        <v>90.456999999999937</v>
      </c>
      <c r="U100" s="18" cm="1">
        <f t="array" ref="U100">_xll.aqBondObjectModifiedDuration($L100,$C$4,$Q100)</f>
        <v>10.502917015670851</v>
      </c>
      <c r="V100" s="93" cm="1">
        <f t="array" ref="V100">_xll.aqBondObjectDV01($L100,$C$4,$Q100)</f>
        <v>950.06236448644222</v>
      </c>
    </row>
    <row r="101" spans="2:22">
      <c r="B101" s="11" t="s">
        <v>1388</v>
      </c>
      <c r="C101" s="11" t="s">
        <v>1389</v>
      </c>
      <c r="D101" s="11" t="s">
        <v>1389</v>
      </c>
      <c r="E101" s="12">
        <v>41792</v>
      </c>
      <c r="F101" s="15">
        <v>41792</v>
      </c>
      <c r="G101" s="14"/>
      <c r="H101" s="12">
        <v>42156</v>
      </c>
      <c r="I101" s="12">
        <v>46905</v>
      </c>
      <c r="J101" s="13">
        <v>2.8340000000000001E-2</v>
      </c>
      <c r="K101" s="12">
        <v>47270</v>
      </c>
      <c r="L101" s="16" t="str" cm="1">
        <f t="array" ref="L101">_xll.aqBondObjectCreateFromGenerator($C101,$L$4,_xll.aqToolLVBFromKeysValues($C$7:$K$7,$C101:$K101))</f>
        <v>FR0011942168:3</v>
      </c>
      <c r="M101" s="78">
        <v>1.0185593019837416E-2</v>
      </c>
      <c r="N101" s="51">
        <v>118.18600000000001</v>
      </c>
      <c r="O101" s="17">
        <v>9.2672000000000008</v>
      </c>
      <c r="P101" s="95">
        <v>1105.1876</v>
      </c>
      <c r="Q101" s="39" cm="1">
        <f t="array" ref="Q101">_xll.aqBondObjectYield(L101,$C$4,R101)</f>
        <v>1.0185593019849568E-2</v>
      </c>
      <c r="R101" s="49" cm="1">
        <f t="array" ref="R101">_xll.aqBondObjectPrice($L101,$C$4,$M101)</f>
        <v>118.18599999999994</v>
      </c>
      <c r="S101" s="49" cm="1">
        <f t="array" ref="S101">_xll.aqBondObjectCleanPrice($L101,$C$4,$M101)</f>
        <v>118.18599999999994</v>
      </c>
      <c r="T101" s="49" cm="1">
        <f t="array" ref="T101">_xll.aqBondObjectDirtyPrice($L101,$C$4,$M101)</f>
        <v>119.25748489999994</v>
      </c>
      <c r="U101" s="18" cm="1">
        <f t="array" ref="U101">_xll.aqBondObjectModifiedDuration($L101,$C$4,$Q101)</f>
        <v>9.2672387080347978</v>
      </c>
      <c r="V101" s="93" cm="1">
        <f t="array" ref="V101">_xll.aqBondObjectDV01($L101,$C$4,$Q101)</f>
        <v>1105.1875802880297</v>
      </c>
    </row>
    <row r="102" spans="2:22">
      <c r="B102" s="11" t="s">
        <v>1304</v>
      </c>
      <c r="C102" s="11" t="s">
        <v>1305</v>
      </c>
      <c r="D102" s="11" t="s">
        <v>1305</v>
      </c>
      <c r="E102" s="12">
        <v>40140</v>
      </c>
      <c r="F102" s="15"/>
      <c r="G102" s="14"/>
      <c r="H102" s="12"/>
      <c r="I102" s="12"/>
      <c r="J102" s="13">
        <v>0</v>
      </c>
      <c r="K102" s="12">
        <v>47416</v>
      </c>
      <c r="L102" s="16" t="str" cm="1">
        <f t="array" ref="L102">_xll.aqBondObjectCreateFromGenerator($C102,$L$4,_xll.aqToolLVBFromKeysValues($C$7:$K$7,$C102:$K102))</f>
        <v>FR0010809418:3</v>
      </c>
      <c r="M102" s="78">
        <v>9.6121413962002578E-3</v>
      </c>
      <c r="N102" s="51">
        <v>89.992999999999995</v>
      </c>
      <c r="O102" s="17">
        <v>10.917</v>
      </c>
      <c r="P102" s="95">
        <v>982.452</v>
      </c>
      <c r="Q102" s="39" cm="1">
        <f t="array" ref="Q102">_xll.aqBondObjectYield(L102,$C$4,R102)</f>
        <v>9.612141396210817E-3</v>
      </c>
      <c r="R102" s="49" cm="1">
        <f t="array" ref="R102">_xll.aqBondObjectPrice($L102,$C$4,$M102)</f>
        <v>89.992999999999967</v>
      </c>
      <c r="S102" s="49" cm="1">
        <f t="array" ref="S102">_xll.aqBondObjectCleanPrice($L102,$C$4,$M102)</f>
        <v>89.992999999999967</v>
      </c>
      <c r="T102" s="49" cm="1">
        <f t="array" ref="T102">_xll.aqBondObjectDirtyPrice($L102,$C$4,$M102)</f>
        <v>89.992999999999967</v>
      </c>
      <c r="U102" s="18" cm="1">
        <f t="array" ref="U102">_xll.aqBondObjectModifiedDuration($L102,$C$4,$Q102)</f>
        <v>10.916982231391126</v>
      </c>
      <c r="V102" s="93" cm="1">
        <f t="array" ref="V102">_xll.aqBondObjectDV01($L102,$C$4,$Q102)</f>
        <v>982.45198194946693</v>
      </c>
    </row>
    <row r="103" spans="2:22">
      <c r="B103" s="11" t="s">
        <v>1504</v>
      </c>
      <c r="C103" s="11" t="s">
        <v>1505</v>
      </c>
      <c r="D103" s="11" t="s">
        <v>1505</v>
      </c>
      <c r="E103" s="12">
        <v>37054</v>
      </c>
      <c r="F103" s="15"/>
      <c r="G103" s="14"/>
      <c r="H103" s="12"/>
      <c r="I103" s="12"/>
      <c r="J103" s="13">
        <v>0</v>
      </c>
      <c r="K103" s="12">
        <v>47416</v>
      </c>
      <c r="L103" s="16" t="str" cm="1">
        <f t="array" ref="L103">_xll.aqBondObjectCreateFromGenerator($C103,$L$4,_xll.aqToolLVBFromKeysValues($C$7:$K$7,$C103:$K103))</f>
        <v>FR0000578577:3</v>
      </c>
      <c r="M103" s="78">
        <v>9.9364466426106191E-3</v>
      </c>
      <c r="N103" s="51">
        <v>89.674999999999997</v>
      </c>
      <c r="O103" s="17">
        <v>10.913500000000001</v>
      </c>
      <c r="P103" s="95">
        <v>978.66600000000005</v>
      </c>
      <c r="Q103" s="39" cm="1">
        <f t="array" ref="Q103">_xll.aqBondObjectYield(L103,$C$4,R103)</f>
        <v>9.9364466426221151E-3</v>
      </c>
      <c r="R103" s="49" cm="1">
        <f t="array" ref="R103">_xll.aqBondObjectPrice($L103,$C$4,$M103)</f>
        <v>89.674999999999997</v>
      </c>
      <c r="S103" s="49" cm="1">
        <f t="array" ref="S103">_xll.aqBondObjectCleanPrice($L103,$C$4,$M103)</f>
        <v>89.674999999999997</v>
      </c>
      <c r="T103" s="49" cm="1">
        <f t="array" ref="T103">_xll.aqBondObjectDirtyPrice($L103,$C$4,$M103)</f>
        <v>89.674999999999997</v>
      </c>
      <c r="U103" s="18" cm="1">
        <f t="array" ref="U103">_xll.aqBondObjectModifiedDuration($L103,$C$4,$Q103)</f>
        <v>10.913476629999685</v>
      </c>
      <c r="V103" s="93" cm="1">
        <f t="array" ref="V103">_xll.aqBondObjectDV01($L103,$C$4,$Q103)</f>
        <v>978.66601679509824</v>
      </c>
    </row>
    <row r="104" spans="2:22">
      <c r="B104" s="11" t="s">
        <v>1452</v>
      </c>
      <c r="C104" s="11" t="s">
        <v>1453</v>
      </c>
      <c r="D104" s="11" t="s">
        <v>1453</v>
      </c>
      <c r="E104" s="12">
        <v>40140</v>
      </c>
      <c r="F104" s="15"/>
      <c r="G104" s="14"/>
      <c r="H104" s="12"/>
      <c r="I104" s="12"/>
      <c r="J104" s="13">
        <v>0</v>
      </c>
      <c r="K104" s="12">
        <v>47598</v>
      </c>
      <c r="L104" s="16" t="str" cm="1">
        <f t="array" ref="L104">_xll.aqBondObjectCreateFromGenerator($C104,$L$4,_xll.aqToolLVBFromKeysValues($C$7:$K$7,$C104:$K104))</f>
        <v>FR0010809277:3</v>
      </c>
      <c r="M104" s="78">
        <v>1.0044560190483942E-2</v>
      </c>
      <c r="N104" s="51">
        <v>89.123999999999995</v>
      </c>
      <c r="O104" s="17">
        <v>11.406000000000001</v>
      </c>
      <c r="P104" s="95">
        <v>1016.5466</v>
      </c>
      <c r="Q104" s="39" cm="1">
        <f t="array" ref="Q104">_xll.aqBondObjectYield(L104,$C$4,R104)</f>
        <v>1.004456019049668E-2</v>
      </c>
      <c r="R104" s="49" cm="1">
        <f t="array" ref="R104">_xll.aqBondObjectPrice($L104,$C$4,$M104)</f>
        <v>89.12400000000008</v>
      </c>
      <c r="S104" s="49" cm="1">
        <f t="array" ref="S104">_xll.aqBondObjectCleanPrice($L104,$C$4,$M104)</f>
        <v>89.12400000000008</v>
      </c>
      <c r="T104" s="49" cm="1">
        <f t="array" ref="T104">_xll.aqBondObjectDirtyPrice($L104,$C$4,$M104)</f>
        <v>89.12400000000008</v>
      </c>
      <c r="U104" s="18" cm="1">
        <f t="array" ref="U104">_xll.aqBondObjectModifiedDuration($L104,$C$4,$Q104)</f>
        <v>11.405979893632296</v>
      </c>
      <c r="V104" s="93" cm="1">
        <f t="array" ref="V104">_xll.aqBondObjectDV01($L104,$C$4,$Q104)</f>
        <v>1016.546552039939</v>
      </c>
    </row>
    <row r="105" spans="2:22">
      <c r="B105" s="11" t="s">
        <v>1458</v>
      </c>
      <c r="C105" s="11" t="s">
        <v>1459</v>
      </c>
      <c r="D105" s="11" t="s">
        <v>1459</v>
      </c>
      <c r="E105" s="12">
        <v>38083</v>
      </c>
      <c r="F105" s="15"/>
      <c r="G105" s="14"/>
      <c r="H105" s="12"/>
      <c r="I105" s="12"/>
      <c r="J105" s="13">
        <v>0</v>
      </c>
      <c r="K105" s="12">
        <v>47598</v>
      </c>
      <c r="L105" s="16" t="str" cm="1">
        <f t="array" ref="L105">_xll.aqBondObjectCreateFromGenerator($C105,$L$4,_xll.aqToolLVBFromKeysValues($C$7:$K$7,$C105:$K105))</f>
        <v>FR0010070086:3</v>
      </c>
      <c r="M105" s="78">
        <v>1.0320473833288935E-2</v>
      </c>
      <c r="N105" s="51">
        <v>88.843999999999994</v>
      </c>
      <c r="O105" s="17">
        <v>11.402900000000001</v>
      </c>
      <c r="P105" s="95">
        <v>1013.0761</v>
      </c>
      <c r="Q105" s="39" cm="1">
        <f t="array" ref="Q105">_xll.aqBondObjectYield(L105,$C$4,R105)</f>
        <v>1.032047383330241E-2</v>
      </c>
      <c r="R105" s="49" cm="1">
        <f t="array" ref="R105">_xll.aqBondObjectPrice($L105,$C$4,$M105)</f>
        <v>88.843999999999994</v>
      </c>
      <c r="S105" s="49" cm="1">
        <f t="array" ref="S105">_xll.aqBondObjectCleanPrice($L105,$C$4,$M105)</f>
        <v>88.843999999999994</v>
      </c>
      <c r="T105" s="49" cm="1">
        <f t="array" ref="T105">_xll.aqBondObjectDirtyPrice($L105,$C$4,$M105)</f>
        <v>88.843999999999994</v>
      </c>
      <c r="U105" s="18" cm="1">
        <f t="array" ref="U105">_xll.aqBondObjectModifiedDuration($L105,$C$4,$Q105)</f>
        <v>11.402864975600115</v>
      </c>
      <c r="V105" s="93" cm="1">
        <f t="array" ref="V105">_xll.aqBondObjectDV01($L105,$C$4,$Q105)</f>
        <v>1013.0761358920603</v>
      </c>
    </row>
    <row r="106" spans="2:22">
      <c r="B106" s="11" t="s">
        <v>1172</v>
      </c>
      <c r="C106" s="11" t="s">
        <v>1173</v>
      </c>
      <c r="D106" s="11" t="s">
        <v>1173</v>
      </c>
      <c r="E106" s="12">
        <v>41765</v>
      </c>
      <c r="F106" s="15">
        <v>41419</v>
      </c>
      <c r="G106" s="14"/>
      <c r="H106" s="12">
        <v>41784</v>
      </c>
      <c r="I106" s="12">
        <v>47263</v>
      </c>
      <c r="J106" s="13">
        <v>2.5000000000000001E-2</v>
      </c>
      <c r="K106" s="12">
        <v>47628</v>
      </c>
      <c r="L106" s="16" t="str" cm="1">
        <f t="array" ref="L106">_xll.aqBondObjectCreateFromGenerator($C106,$L$4,_xll.aqToolLVBFromKeysValues($C$7:$K$7,$C106:$K106))</f>
        <v>FR0011883966:3</v>
      </c>
      <c r="M106" s="78">
        <v>9.5873864379303966E-3</v>
      </c>
      <c r="N106" s="51">
        <v>116.845</v>
      </c>
      <c r="O106" s="17">
        <v>10.1563</v>
      </c>
      <c r="P106" s="95">
        <v>1196.8012000000001</v>
      </c>
      <c r="Q106" s="39" cm="1">
        <f t="array" ref="Q106">_xll.aqBondObjectYield(L106,$C$4,R106)</f>
        <v>9.5873864379452563E-3</v>
      </c>
      <c r="R106" s="49" cm="1">
        <f t="array" ref="R106">_xll.aqBondObjectPrice($L106,$C$4,$M106)</f>
        <v>116.84499999999998</v>
      </c>
      <c r="S106" s="49" cm="1">
        <f t="array" ref="S106">_xll.aqBondObjectCleanPrice($L106,$C$4,$M106)</f>
        <v>116.84499999999998</v>
      </c>
      <c r="T106" s="49" cm="1">
        <f t="array" ref="T106">_xll.aqBondObjectDirtyPrice($L106,$C$4,$M106)</f>
        <v>117.83815069999999</v>
      </c>
      <c r="U106" s="18" cm="1">
        <f t="array" ref="U106">_xll.aqBondObjectModifiedDuration($L106,$C$4,$Q106)</f>
        <v>10.156313169411524</v>
      </c>
      <c r="V106" s="93" cm="1">
        <f t="array" ref="V106">_xll.aqBondObjectDV01($L106,$C$4,$Q106)</f>
        <v>1196.8011618133287</v>
      </c>
    </row>
    <row r="107" spans="2:22">
      <c r="B107" s="11" t="s">
        <v>1408</v>
      </c>
      <c r="C107" s="11" t="s">
        <v>1409</v>
      </c>
      <c r="D107" s="11" t="s">
        <v>1409</v>
      </c>
      <c r="E107" s="12">
        <v>41368</v>
      </c>
      <c r="F107" s="15"/>
      <c r="G107" s="14"/>
      <c r="H107" s="12"/>
      <c r="I107" s="12"/>
      <c r="J107" s="13">
        <v>0</v>
      </c>
      <c r="K107" s="12">
        <v>47628</v>
      </c>
      <c r="L107" s="16" t="str" cm="1">
        <f t="array" ref="L107">_xll.aqBondObjectCreateFromGenerator($C107,$L$4,_xll.aqToolLVBFromKeysValues($C$7:$K$7,$C107:$K107))</f>
        <v>FR0011461482:3</v>
      </c>
      <c r="M107" s="78">
        <v>1.0040472271618306E-2</v>
      </c>
      <c r="N107" s="51">
        <v>89.055000000000007</v>
      </c>
      <c r="O107" s="17">
        <v>11.487399999999999</v>
      </c>
      <c r="P107" s="95">
        <v>1023.0105</v>
      </c>
      <c r="Q107" s="39" cm="1">
        <f t="array" ref="Q107">_xll.aqBondObjectYield(L107,$C$4,R107)</f>
        <v>1.0040472271631134E-2</v>
      </c>
      <c r="R107" s="49" cm="1">
        <f t="array" ref="R107">_xll.aqBondObjectPrice($L107,$C$4,$M107)</f>
        <v>89.055000000000121</v>
      </c>
      <c r="S107" s="49" cm="1">
        <f t="array" ref="S107">_xll.aqBondObjectCleanPrice($L107,$C$4,$M107)</f>
        <v>89.055000000000121</v>
      </c>
      <c r="T107" s="49" cm="1">
        <f t="array" ref="T107">_xll.aqBondObjectDirtyPrice($L107,$C$4,$M107)</f>
        <v>89.055000000000121</v>
      </c>
      <c r="U107" s="18" cm="1">
        <f t="array" ref="U107">_xll.aqBondObjectModifiedDuration($L107,$C$4,$Q107)</f>
        <v>11.487400796853477</v>
      </c>
      <c r="V107" s="93" cm="1">
        <f t="array" ref="V107">_xll.aqBondObjectDV01($L107,$C$4,$Q107)</f>
        <v>1023.0104779636363</v>
      </c>
    </row>
    <row r="108" spans="2:22">
      <c r="B108" s="11" t="s">
        <v>1290</v>
      </c>
      <c r="C108" s="11" t="s">
        <v>1291</v>
      </c>
      <c r="D108" s="11" t="s">
        <v>1291</v>
      </c>
      <c r="E108" s="12">
        <v>40140</v>
      </c>
      <c r="F108" s="15"/>
      <c r="G108" s="14"/>
      <c r="H108" s="12"/>
      <c r="I108" s="12"/>
      <c r="J108" s="13">
        <v>0</v>
      </c>
      <c r="K108" s="12">
        <v>47781</v>
      </c>
      <c r="L108" s="16" t="str" cm="1">
        <f t="array" ref="L108">_xll.aqBondObjectCreateFromGenerator($C108,$L$4,_xll.aqToolLVBFromKeysValues($C$7:$K$7,$C108:$K108))</f>
        <v>FR0010809434:3</v>
      </c>
      <c r="M108" s="78">
        <v>1.0425913148192967E-2</v>
      </c>
      <c r="N108" s="51">
        <v>88.277000000000001</v>
      </c>
      <c r="O108" s="17">
        <v>11.8979</v>
      </c>
      <c r="P108" s="95">
        <v>1050.3083999999999</v>
      </c>
      <c r="Q108" s="39" cm="1">
        <f t="array" ref="Q108">_xll.aqBondObjectYield(L108,$C$4,R108)</f>
        <v>1.0425913148207691E-2</v>
      </c>
      <c r="R108" s="49" cm="1">
        <f t="array" ref="R108">_xll.aqBondObjectPrice($L108,$C$4,$M108)</f>
        <v>88.276999999999973</v>
      </c>
      <c r="S108" s="49" cm="1">
        <f t="array" ref="S108">_xll.aqBondObjectCleanPrice($L108,$C$4,$M108)</f>
        <v>88.276999999999973</v>
      </c>
      <c r="T108" s="49" cm="1">
        <f t="array" ref="T108">_xll.aqBondObjectDirtyPrice($L108,$C$4,$M108)</f>
        <v>88.276999999999973</v>
      </c>
      <c r="U108" s="18" cm="1">
        <f t="array" ref="U108">_xll.aqBondObjectModifiedDuration($L108,$C$4,$Q108)</f>
        <v>11.897871631936091</v>
      </c>
      <c r="V108" s="93" cm="1">
        <f t="array" ref="V108">_xll.aqBondObjectDV01($L108,$C$4,$Q108)</f>
        <v>1050.308414052239</v>
      </c>
    </row>
    <row r="109" spans="2:22">
      <c r="B109" s="11" t="s">
        <v>1506</v>
      </c>
      <c r="C109" s="11" t="s">
        <v>1507</v>
      </c>
      <c r="D109" s="11" t="s">
        <v>1507</v>
      </c>
      <c r="E109" s="12">
        <v>37054</v>
      </c>
      <c r="F109" s="15"/>
      <c r="G109" s="14"/>
      <c r="H109" s="12"/>
      <c r="I109" s="12"/>
      <c r="J109" s="13">
        <v>0</v>
      </c>
      <c r="K109" s="12">
        <v>47781</v>
      </c>
      <c r="L109" s="16" t="str" cm="1">
        <f t="array" ref="L109">_xll.aqBondObjectCreateFromGenerator($C109,$L$4,_xll.aqToolLVBFromKeysValues($C$7:$K$7,$C109:$K109))</f>
        <v>FR0000578585:3</v>
      </c>
      <c r="M109" s="78">
        <v>1.0713026118298385E-2</v>
      </c>
      <c r="N109" s="51">
        <v>87.975999999999999</v>
      </c>
      <c r="O109" s="17">
        <v>11.894500000000001</v>
      </c>
      <c r="P109" s="95">
        <v>1046.4297999999999</v>
      </c>
      <c r="Q109" s="39" cm="1">
        <f t="array" ref="Q109">_xll.aqBondObjectYield(L109,$C$4,R109)</f>
        <v>1.0713026118313838E-2</v>
      </c>
      <c r="R109" s="49" cm="1">
        <f t="array" ref="R109">_xll.aqBondObjectPrice($L109,$C$4,$M109)</f>
        <v>87.976000000000099</v>
      </c>
      <c r="S109" s="49" cm="1">
        <f t="array" ref="S109">_xll.aqBondObjectCleanPrice($L109,$C$4,$M109)</f>
        <v>87.976000000000099</v>
      </c>
      <c r="T109" s="49" cm="1">
        <f t="array" ref="T109">_xll.aqBondObjectDirtyPrice($L109,$C$4,$M109)</f>
        <v>87.976000000000099</v>
      </c>
      <c r="U109" s="18" cm="1">
        <f t="array" ref="U109">_xll.aqBondObjectModifiedDuration($L109,$C$4,$Q109)</f>
        <v>11.894491806828553</v>
      </c>
      <c r="V109" s="93" cm="1">
        <f t="array" ref="V109">_xll.aqBondObjectDV01($L109,$C$4,$Q109)</f>
        <v>1046.4298111973565</v>
      </c>
    </row>
    <row r="110" spans="2:22">
      <c r="B110" s="11" t="s">
        <v>1266</v>
      </c>
      <c r="C110" s="11" t="s">
        <v>1267</v>
      </c>
      <c r="D110" s="11" t="s">
        <v>1267</v>
      </c>
      <c r="E110" s="12">
        <v>40140</v>
      </c>
      <c r="F110" s="15"/>
      <c r="G110" s="14"/>
      <c r="H110" s="12"/>
      <c r="I110" s="12"/>
      <c r="J110" s="13">
        <v>0</v>
      </c>
      <c r="K110" s="12">
        <v>47963</v>
      </c>
      <c r="L110" s="16" t="str" cm="1">
        <f t="array" ref="L110">_xll.aqBondObjectCreateFromGenerator($C110,$L$4,_xll.aqToolLVBFromKeysValues($C$7:$K$7,$C110:$K110))</f>
        <v>FR0010809400:3</v>
      </c>
      <c r="M110" s="78">
        <v>1.0858719076387802E-2</v>
      </c>
      <c r="N110" s="51">
        <v>87.352000000000004</v>
      </c>
      <c r="O110" s="17">
        <v>12.386100000000001</v>
      </c>
      <c r="P110" s="95">
        <v>1081.9464</v>
      </c>
      <c r="Q110" s="39" cm="1">
        <f t="array" ref="Q110">_xll.aqBondObjectYield(L110,$C$4,R110)</f>
        <v>1.0858719076404287E-2</v>
      </c>
      <c r="R110" s="49" cm="1">
        <f t="array" ref="R110">_xll.aqBondObjectPrice($L110,$C$4,$M110)</f>
        <v>87.352000000000018</v>
      </c>
      <c r="S110" s="49" cm="1">
        <f t="array" ref="S110">_xll.aqBondObjectCleanPrice($L110,$C$4,$M110)</f>
        <v>87.352000000000018</v>
      </c>
      <c r="T110" s="49" cm="1">
        <f t="array" ref="T110">_xll.aqBondObjectDirtyPrice($L110,$C$4,$M110)</f>
        <v>87.352000000000018</v>
      </c>
      <c r="U110" s="18" cm="1">
        <f t="array" ref="U110">_xll.aqBondObjectModifiedDuration($L110,$C$4,$Q110)</f>
        <v>12.386051293740817</v>
      </c>
      <c r="V110" s="93" cm="1">
        <f t="array" ref="V110">_xll.aqBondObjectDV01($L110,$C$4,$Q110)</f>
        <v>1081.9463526106279</v>
      </c>
    </row>
    <row r="111" spans="2:22">
      <c r="B111" s="11" t="s">
        <v>1404</v>
      </c>
      <c r="C111" s="11" t="s">
        <v>1405</v>
      </c>
      <c r="D111" s="11" t="s">
        <v>1405</v>
      </c>
      <c r="E111" s="12">
        <v>38083</v>
      </c>
      <c r="F111" s="15"/>
      <c r="G111" s="14"/>
      <c r="H111" s="12"/>
      <c r="I111" s="12"/>
      <c r="J111" s="13">
        <v>0</v>
      </c>
      <c r="K111" s="12">
        <v>47963</v>
      </c>
      <c r="L111" s="16" t="str" cm="1">
        <f t="array" ref="L111">_xll.aqBondObjectCreateFromGenerator($C111,$L$4,_xll.aqToolLVBFromKeysValues($C$7:$K$7,$C111:$K111))</f>
        <v>FR0010070102:3</v>
      </c>
      <c r="M111" s="78">
        <v>1.1086433499360782E-2</v>
      </c>
      <c r="N111" s="51">
        <v>87.105999999999995</v>
      </c>
      <c r="O111" s="17">
        <v>12.3833</v>
      </c>
      <c r="P111" s="95">
        <v>1078.6564000000001</v>
      </c>
      <c r="Q111" s="39" cm="1">
        <f t="array" ref="Q111">_xll.aqBondObjectYield(L111,$C$4,R111)</f>
        <v>1.1086433499377487E-2</v>
      </c>
      <c r="R111" s="49" cm="1">
        <f t="array" ref="R111">_xll.aqBondObjectPrice($L111,$C$4,$M111)</f>
        <v>87.105999999999938</v>
      </c>
      <c r="S111" s="49" cm="1">
        <f t="array" ref="S111">_xll.aqBondObjectCleanPrice($L111,$C$4,$M111)</f>
        <v>87.105999999999938</v>
      </c>
      <c r="T111" s="49" cm="1">
        <f t="array" ref="T111">_xll.aqBondObjectDirtyPrice($L111,$C$4,$M111)</f>
        <v>87.105999999999938</v>
      </c>
      <c r="U111" s="18" cm="1">
        <f t="array" ref="U111">_xll.aqBondObjectModifiedDuration($L111,$C$4,$Q111)</f>
        <v>12.383261737447878</v>
      </c>
      <c r="V111" s="93" cm="1">
        <f t="array" ref="V111">_xll.aqBondObjectDV01($L111,$C$4,$Q111)</f>
        <v>1078.6563969019116</v>
      </c>
    </row>
    <row r="112" spans="2:22">
      <c r="B112" s="11" t="s">
        <v>1134</v>
      </c>
      <c r="C112" s="11" t="s">
        <v>1135</v>
      </c>
      <c r="D112" s="11" t="s">
        <v>1135</v>
      </c>
      <c r="E112" s="12">
        <v>42282</v>
      </c>
      <c r="F112" s="15">
        <v>42149</v>
      </c>
      <c r="G112" s="14"/>
      <c r="H112" s="12">
        <v>42515</v>
      </c>
      <c r="I112" s="12">
        <v>47628</v>
      </c>
      <c r="J112" s="13">
        <v>1.4999999999999999E-2</v>
      </c>
      <c r="K112" s="12">
        <v>47993</v>
      </c>
      <c r="L112" s="16" t="str" cm="1">
        <f t="array" ref="L112">_xll.aqBondObjectCreateFromGenerator($C112,$L$4,_xll.aqToolLVBFromKeysValues($C$7:$K$7,$C112:$K112))</f>
        <v>FR0012993103:9</v>
      </c>
      <c r="M112" s="78">
        <v>1.0587864237230328E-2</v>
      </c>
      <c r="N112" s="51">
        <v>105.178</v>
      </c>
      <c r="O112" s="17">
        <v>11.4238</v>
      </c>
      <c r="P112" s="95">
        <v>1208.3388</v>
      </c>
      <c r="Q112" s="39" cm="1">
        <f t="array" ref="Q112">_xll.aqBondObjectYield(L112,$C$4,R112)</f>
        <v>1.0587864237234231E-2</v>
      </c>
      <c r="R112" s="49" cm="1">
        <f t="array" ref="R112">_xll.aqBondObjectPrice($L112,$C$4,$M112)</f>
        <v>105.17800000000003</v>
      </c>
      <c r="S112" s="49" cm="1">
        <f t="array" ref="S112">_xll.aqBondObjectCleanPrice($L112,$C$4,$M112)</f>
        <v>105.17800000000003</v>
      </c>
      <c r="T112" s="49" cm="1">
        <f t="array" ref="T112">_xll.aqBondObjectDirtyPrice($L112,$C$4,$M112)</f>
        <v>105.77389040000003</v>
      </c>
      <c r="U112" s="18" cm="1">
        <f t="array" ref="U112">_xll.aqBondObjectModifiedDuration($L112,$C$4,$Q112)</f>
        <v>11.423791092925018</v>
      </c>
      <c r="V112" s="93" cm="1">
        <f t="array" ref="V112">_xll.aqBondObjectDV01($L112,$C$4,$Q112)</f>
        <v>1208.3388270154956</v>
      </c>
    </row>
    <row r="113" spans="2:22">
      <c r="B113" s="11" t="s">
        <v>1468</v>
      </c>
      <c r="C113" s="11" t="s">
        <v>1469</v>
      </c>
      <c r="D113" s="11" t="s">
        <v>1469</v>
      </c>
      <c r="E113" s="12">
        <v>41368</v>
      </c>
      <c r="F113" s="15"/>
      <c r="G113" s="14"/>
      <c r="H113" s="12"/>
      <c r="I113" s="12"/>
      <c r="J113" s="13">
        <v>0</v>
      </c>
      <c r="K113" s="12">
        <v>47993</v>
      </c>
      <c r="L113" s="16" t="str" cm="1">
        <f t="array" ref="L113">_xll.aqBondObjectCreateFromGenerator($C113,$L$4,_xll.aqToolLVBFromKeysValues($C$7:$K$7,$C113:$K113))</f>
        <v>FR0011461490:3</v>
      </c>
      <c r="M113" s="78">
        <v>1.0808641600450031E-2</v>
      </c>
      <c r="N113" s="51">
        <v>87.328999999999994</v>
      </c>
      <c r="O113" s="17">
        <v>12.468</v>
      </c>
      <c r="P113" s="95">
        <v>1088.816</v>
      </c>
      <c r="Q113" s="39" cm="1">
        <f t="array" ref="Q113">_xll.aqBondObjectYield(L113,$C$4,R113)</f>
        <v>1.0808641600466592E-2</v>
      </c>
      <c r="R113" s="49" cm="1">
        <f t="array" ref="R113">_xll.aqBondObjectPrice($L113,$C$4,$M113)</f>
        <v>87.328999999999908</v>
      </c>
      <c r="S113" s="49" cm="1">
        <f t="array" ref="S113">_xll.aqBondObjectCleanPrice($L113,$C$4,$M113)</f>
        <v>87.328999999999908</v>
      </c>
      <c r="T113" s="49" cm="1">
        <f t="array" ref="T113">_xll.aqBondObjectDirtyPrice($L113,$C$4,$M113)</f>
        <v>87.328999999999908</v>
      </c>
      <c r="U113" s="18" cm="1">
        <f t="array" ref="U113">_xll.aqBondObjectModifiedDuration($L113,$C$4,$Q113)</f>
        <v>12.467977822263979</v>
      </c>
      <c r="V113" s="93" cm="1">
        <f t="array" ref="V113">_xll.aqBondObjectDV01($L113,$C$4,$Q113)</f>
        <v>1088.816035240264</v>
      </c>
    </row>
    <row r="114" spans="2:22">
      <c r="B114" s="11" t="s">
        <v>1134</v>
      </c>
      <c r="C114" s="11" t="s">
        <v>1135</v>
      </c>
      <c r="D114" s="11" t="s">
        <v>1135</v>
      </c>
      <c r="E114" s="12">
        <v>42282</v>
      </c>
      <c r="F114" s="15">
        <v>42149</v>
      </c>
      <c r="G114" s="14"/>
      <c r="H114" s="12">
        <v>42515</v>
      </c>
      <c r="I114" s="12">
        <v>47628</v>
      </c>
      <c r="J114" s="13">
        <v>1.4999999999999999E-2</v>
      </c>
      <c r="K114" s="12">
        <v>47993</v>
      </c>
      <c r="L114" s="16" t="str" cm="1">
        <f t="array" ref="L114">_xll.aqBondObjectCreateFromGenerator($C114,$L$4,_xll.aqToolLVBFromKeysValues($C$7:$K$7,$C114:$K114))</f>
        <v>FR0012993103:10</v>
      </c>
      <c r="M114" s="78">
        <v>1.0587864237230328E-2</v>
      </c>
      <c r="N114" s="51">
        <v>105.178</v>
      </c>
      <c r="O114" s="17">
        <v>11.4238</v>
      </c>
      <c r="P114" s="95">
        <v>1208.3388</v>
      </c>
      <c r="Q114" s="39" cm="1">
        <f t="array" ref="Q114">_xll.aqBondObjectYield(L114,$C$4,R114)</f>
        <v>1.0587864237234231E-2</v>
      </c>
      <c r="R114" s="49" cm="1">
        <f t="array" ref="R114">_xll.aqBondObjectPrice($L114,$C$4,$M114)</f>
        <v>105.17800000000003</v>
      </c>
      <c r="S114" s="49" cm="1">
        <f t="array" ref="S114">_xll.aqBondObjectCleanPrice($L114,$C$4,$M114)</f>
        <v>105.17800000000003</v>
      </c>
      <c r="T114" s="49" cm="1">
        <f t="array" ref="T114">_xll.aqBondObjectDirtyPrice($L114,$C$4,$M114)</f>
        <v>105.77389040000003</v>
      </c>
      <c r="U114" s="18" cm="1">
        <f t="array" ref="U114">_xll.aqBondObjectModifiedDuration($L114,$C$4,$Q114)</f>
        <v>11.423791092925018</v>
      </c>
      <c r="V114" s="93" cm="1">
        <f t="array" ref="V114">_xll.aqBondObjectDV01($L114,$C$4,$Q114)</f>
        <v>1208.3388270154956</v>
      </c>
    </row>
    <row r="115" spans="2:22">
      <c r="B115" s="11" t="s">
        <v>1134</v>
      </c>
      <c r="C115" s="11" t="s">
        <v>1135</v>
      </c>
      <c r="D115" s="11" t="s">
        <v>1135</v>
      </c>
      <c r="E115" s="12">
        <v>42282</v>
      </c>
      <c r="F115" s="15">
        <v>42149</v>
      </c>
      <c r="G115" s="14"/>
      <c r="H115" s="12">
        <v>42515</v>
      </c>
      <c r="I115" s="12">
        <v>47628</v>
      </c>
      <c r="J115" s="13">
        <v>1.4999999999999999E-2</v>
      </c>
      <c r="K115" s="12">
        <v>47993</v>
      </c>
      <c r="L115" s="16" t="str" cm="1">
        <f t="array" ref="L115">_xll.aqBondObjectCreateFromGenerator($C115,$L$4,_xll.aqToolLVBFromKeysValues($C$7:$K$7,$C115:$K115))</f>
        <v>FR0012993103:11</v>
      </c>
      <c r="M115" s="78">
        <v>1.0587864237230328E-2</v>
      </c>
      <c r="N115" s="51">
        <v>105.178</v>
      </c>
      <c r="O115" s="17">
        <v>11.4238</v>
      </c>
      <c r="P115" s="95">
        <v>1208.3388</v>
      </c>
      <c r="Q115" s="39" cm="1">
        <f t="array" ref="Q115">_xll.aqBondObjectYield(L115,$C$4,R115)</f>
        <v>1.0587864237234231E-2</v>
      </c>
      <c r="R115" s="49" cm="1">
        <f t="array" ref="R115">_xll.aqBondObjectPrice($L115,$C$4,$M115)</f>
        <v>105.17800000000003</v>
      </c>
      <c r="S115" s="49" cm="1">
        <f t="array" ref="S115">_xll.aqBondObjectCleanPrice($L115,$C$4,$M115)</f>
        <v>105.17800000000003</v>
      </c>
      <c r="T115" s="49" cm="1">
        <f t="array" ref="T115">_xll.aqBondObjectDirtyPrice($L115,$C$4,$M115)</f>
        <v>105.77389040000003</v>
      </c>
      <c r="U115" s="18" cm="1">
        <f t="array" ref="U115">_xll.aqBondObjectModifiedDuration($L115,$C$4,$Q115)</f>
        <v>11.423791092925018</v>
      </c>
      <c r="V115" s="93" cm="1">
        <f t="array" ref="V115">_xll.aqBondObjectDV01($L115,$C$4,$Q115)</f>
        <v>1208.3388270154956</v>
      </c>
    </row>
    <row r="116" spans="2:22">
      <c r="B116" s="11" t="s">
        <v>1344</v>
      </c>
      <c r="C116" s="11" t="s">
        <v>1345</v>
      </c>
      <c r="D116" s="11" t="s">
        <v>1345</v>
      </c>
      <c r="E116" s="12">
        <v>40140</v>
      </c>
      <c r="F116" s="15"/>
      <c r="G116" s="14"/>
      <c r="H116" s="12"/>
      <c r="I116" s="12"/>
      <c r="J116" s="13">
        <v>0</v>
      </c>
      <c r="K116" s="12">
        <v>48146</v>
      </c>
      <c r="L116" s="16" t="str" cm="1">
        <f t="array" ref="L116">_xll.aqBondObjectCreateFromGenerator($C116,$L$4,_xll.aqToolLVBFromKeysValues($C$7:$K$7,$C116:$K116))</f>
        <v>FR0010809442:3</v>
      </c>
      <c r="M116" s="78">
        <v>1.1225338414143193E-2</v>
      </c>
      <c r="N116" s="51">
        <v>86.471000000000004</v>
      </c>
      <c r="O116" s="17">
        <v>12.8774</v>
      </c>
      <c r="P116" s="95">
        <v>1113.5186000000001</v>
      </c>
      <c r="Q116" s="39" cm="1">
        <f t="array" ref="Q116">_xll.aqBondObjectYield(L116,$C$4,R116)</f>
        <v>1.1225338414160412E-2</v>
      </c>
      <c r="R116" s="49" cm="1">
        <f t="array" ref="R116">_xll.aqBondObjectPrice($L116,$C$4,$M116)</f>
        <v>86.471000000000117</v>
      </c>
      <c r="S116" s="49" cm="1">
        <f t="array" ref="S116">_xll.aqBondObjectCleanPrice($L116,$C$4,$M116)</f>
        <v>86.471000000000117</v>
      </c>
      <c r="T116" s="49" cm="1">
        <f t="array" ref="T116">_xll.aqBondObjectDirtyPrice($L116,$C$4,$M116)</f>
        <v>86.471000000000117</v>
      </c>
      <c r="U116" s="18" cm="1">
        <f t="array" ref="U116">_xll.aqBondObjectModifiedDuration($L116,$C$4,$Q116)</f>
        <v>12.877365027898346</v>
      </c>
      <c r="V116" s="93" cm="1">
        <f t="array" ref="V116">_xll.aqBondObjectDV01($L116,$C$4,$Q116)</f>
        <v>1113.5186313271511</v>
      </c>
    </row>
    <row r="117" spans="2:22">
      <c r="B117" s="11" t="s">
        <v>1508</v>
      </c>
      <c r="C117" s="11" t="s">
        <v>1509</v>
      </c>
      <c r="D117" s="11" t="s">
        <v>1509</v>
      </c>
      <c r="E117" s="12">
        <v>37054</v>
      </c>
      <c r="F117" s="15"/>
      <c r="G117" s="14"/>
      <c r="H117" s="12"/>
      <c r="I117" s="12"/>
      <c r="J117" s="13">
        <v>0</v>
      </c>
      <c r="K117" s="12">
        <v>48146</v>
      </c>
      <c r="L117" s="16" t="str" cm="1">
        <f t="array" ref="L117">_xll.aqBondObjectCreateFromGenerator($C117,$L$4,_xll.aqToolLVBFromKeysValues($C$7:$K$7,$C117:$K117))</f>
        <v>FR0000578593:3</v>
      </c>
      <c r="M117" s="78">
        <v>1.1390769960956337E-2</v>
      </c>
      <c r="N117" s="51">
        <v>86.287000000000006</v>
      </c>
      <c r="O117" s="17">
        <v>12.875299999999999</v>
      </c>
      <c r="P117" s="95">
        <v>1110.9674</v>
      </c>
      <c r="Q117" s="39" cm="1">
        <f t="array" ref="Q117">_xll.aqBondObjectYield(L117,$C$4,R117)</f>
        <v>1.1390769960973149E-2</v>
      </c>
      <c r="R117" s="49" cm="1">
        <f t="array" ref="R117">_xll.aqBondObjectPrice($L117,$C$4,$M117)</f>
        <v>86.286999999999949</v>
      </c>
      <c r="S117" s="49" cm="1">
        <f t="array" ref="S117">_xll.aqBondObjectCleanPrice($L117,$C$4,$M117)</f>
        <v>86.286999999999949</v>
      </c>
      <c r="T117" s="49" cm="1">
        <f t="array" ref="T117">_xll.aqBondObjectDirtyPrice($L117,$C$4,$M117)</f>
        <v>86.286999999999949</v>
      </c>
      <c r="U117" s="18" cm="1">
        <f t="array" ref="U117">_xll.aqBondObjectModifiedDuration($L117,$C$4,$Q117)</f>
        <v>12.875258698199964</v>
      </c>
      <c r="V117" s="93" cm="1">
        <f t="array" ref="V117">_xll.aqBondObjectDV01($L117,$C$4,$Q117)</f>
        <v>1110.9674472913382</v>
      </c>
    </row>
    <row r="118" spans="2:22">
      <c r="B118" s="11" t="s">
        <v>1292</v>
      </c>
      <c r="C118" s="11" t="s">
        <v>1293</v>
      </c>
      <c r="D118" s="11" t="s">
        <v>1293</v>
      </c>
      <c r="E118" s="12">
        <v>40140</v>
      </c>
      <c r="F118" s="15"/>
      <c r="G118" s="14"/>
      <c r="H118" s="12"/>
      <c r="I118" s="12"/>
      <c r="J118" s="13">
        <v>0</v>
      </c>
      <c r="K118" s="12">
        <v>48329</v>
      </c>
      <c r="L118" s="16" t="str" cm="1">
        <f t="array" ref="L118">_xll.aqBondObjectCreateFromGenerator($C118,$L$4,_xll.aqToolLVBFromKeysValues($C$7:$K$7,$C118:$K118))</f>
        <v>FR0010809426:3</v>
      </c>
      <c r="M118" s="78">
        <v>1.1679991220054919E-2</v>
      </c>
      <c r="N118" s="51">
        <v>85.47</v>
      </c>
      <c r="O118" s="17">
        <v>13.3645</v>
      </c>
      <c r="P118" s="95">
        <v>1142.2597000000001</v>
      </c>
      <c r="Q118" s="39" cm="1">
        <f t="array" ref="Q118">_xll.aqBondObjectYield(L118,$C$4,R118)</f>
        <v>1.1679991220069092E-2</v>
      </c>
      <c r="R118" s="49" cm="1">
        <f t="array" ref="R118">_xll.aqBondObjectPrice($L118,$C$4,$M118)</f>
        <v>85.469999999999942</v>
      </c>
      <c r="S118" s="49" cm="1">
        <f t="array" ref="S118">_xll.aqBondObjectCleanPrice($L118,$C$4,$M118)</f>
        <v>85.469999999999942</v>
      </c>
      <c r="T118" s="49" cm="1">
        <f t="array" ref="T118">_xll.aqBondObjectDirtyPrice($L118,$C$4,$M118)</f>
        <v>85.469999999999942</v>
      </c>
      <c r="U118" s="18" cm="1">
        <f t="array" ref="U118">_xll.aqBondObjectModifiedDuration($L118,$C$4,$Q118)</f>
        <v>13.364451271691085</v>
      </c>
      <c r="V118" s="93" cm="1">
        <f t="array" ref="V118">_xll.aqBondObjectDV01($L118,$C$4,$Q118)</f>
        <v>1142.2596501912192</v>
      </c>
    </row>
    <row r="119" spans="2:22">
      <c r="B119" s="11" t="s">
        <v>1334</v>
      </c>
      <c r="C119" s="11" t="s">
        <v>1335</v>
      </c>
      <c r="D119" s="11" t="s">
        <v>1335</v>
      </c>
      <c r="E119" s="12">
        <v>38083</v>
      </c>
      <c r="F119" s="15"/>
      <c r="G119" s="14"/>
      <c r="H119" s="12"/>
      <c r="I119" s="12"/>
      <c r="J119" s="13">
        <v>0</v>
      </c>
      <c r="K119" s="12">
        <v>48329</v>
      </c>
      <c r="L119" s="16" t="str" cm="1">
        <f t="array" ref="L119">_xll.aqBondObjectCreateFromGenerator($C119,$L$4,_xll.aqToolLVBFromKeysValues($C$7:$K$7,$C119:$K119))</f>
        <v>FR0010070110:3</v>
      </c>
      <c r="M119" s="78">
        <v>1.1864958087691724E-2</v>
      </c>
      <c r="N119" s="51">
        <v>85.259</v>
      </c>
      <c r="O119" s="17">
        <v>13.362</v>
      </c>
      <c r="P119" s="95">
        <v>1139.2315000000001</v>
      </c>
      <c r="Q119" s="39" cm="1">
        <f t="array" ref="Q119">_xll.aqBondObjectYield(L119,$C$4,R119)</f>
        <v>1.186495808770399E-2</v>
      </c>
      <c r="R119" s="49" cm="1">
        <f t="array" ref="R119">_xll.aqBondObjectPrice($L119,$C$4,$M119)</f>
        <v>85.259000000000114</v>
      </c>
      <c r="S119" s="49" cm="1">
        <f t="array" ref="S119">_xll.aqBondObjectCleanPrice($L119,$C$4,$M119)</f>
        <v>85.259000000000114</v>
      </c>
      <c r="T119" s="49" cm="1">
        <f t="array" ref="T119">_xll.aqBondObjectDirtyPrice($L119,$C$4,$M119)</f>
        <v>85.259000000000114</v>
      </c>
      <c r="U119" s="18" cm="1">
        <f t="array" ref="U119">_xll.aqBondObjectModifiedDuration($L119,$C$4,$Q119)</f>
        <v>13.362008277030956</v>
      </c>
      <c r="V119" s="93" cm="1">
        <f t="array" ref="V119">_xll.aqBondObjectDV01($L119,$C$4,$Q119)</f>
        <v>1139.2314636911979</v>
      </c>
    </row>
    <row r="120" spans="2:22">
      <c r="B120" s="11" t="s">
        <v>1396</v>
      </c>
      <c r="C120" s="11" t="s">
        <v>1397</v>
      </c>
      <c r="D120" s="11" t="s">
        <v>1397</v>
      </c>
      <c r="E120" s="12">
        <v>41368</v>
      </c>
      <c r="F120" s="15"/>
      <c r="G120" s="14"/>
      <c r="H120" s="12"/>
      <c r="I120" s="12"/>
      <c r="J120" s="13">
        <v>0</v>
      </c>
      <c r="K120" s="12">
        <v>48359</v>
      </c>
      <c r="L120" s="16" t="str" cm="1">
        <f t="array" ref="L120">_xll.aqBondObjectCreateFromGenerator($C120,$L$4,_xll.aqToolLVBFromKeysValues($C$7:$K$7,$C120:$K120))</f>
        <v>FR0011461516:3</v>
      </c>
      <c r="M120" s="78">
        <v>1.1833861248810251E-2</v>
      </c>
      <c r="N120" s="51">
        <v>85.212000000000003</v>
      </c>
      <c r="O120" s="17">
        <v>13.4436</v>
      </c>
      <c r="P120" s="95">
        <v>1145.5603000000001</v>
      </c>
      <c r="Q120" s="39" cm="1">
        <f t="array" ref="Q120">_xll.aqBondObjectYield(L120,$C$4,R120)</f>
        <v>1.183386124882274E-2</v>
      </c>
      <c r="R120" s="49" cm="1">
        <f t="array" ref="R120">_xll.aqBondObjectPrice($L120,$C$4,$M120)</f>
        <v>85.212000000000003</v>
      </c>
      <c r="S120" s="49" cm="1">
        <f t="array" ref="S120">_xll.aqBondObjectCleanPrice($L120,$C$4,$M120)</f>
        <v>85.212000000000003</v>
      </c>
      <c r="T120" s="49" cm="1">
        <f t="array" ref="T120">_xll.aqBondObjectDirtyPrice($L120,$C$4,$M120)</f>
        <v>85.212000000000003</v>
      </c>
      <c r="U120" s="18" cm="1">
        <f t="array" ref="U120">_xll.aqBondObjectModifiedDuration($L120,$C$4,$Q120)</f>
        <v>13.443649443831287</v>
      </c>
      <c r="V120" s="93" cm="1">
        <f t="array" ref="V120">_xll.aqBondObjectDV01($L120,$C$4,$Q120)</f>
        <v>1145.56025640756</v>
      </c>
    </row>
    <row r="121" spans="2:22">
      <c r="B121" s="11" t="s">
        <v>1174</v>
      </c>
      <c r="C121" s="11" t="s">
        <v>1175</v>
      </c>
      <c r="D121" s="11" t="s">
        <v>1175</v>
      </c>
      <c r="E121" s="12">
        <v>37054</v>
      </c>
      <c r="F121" s="15">
        <v>36824</v>
      </c>
      <c r="G121" s="14"/>
      <c r="H121" s="12">
        <v>37189</v>
      </c>
      <c r="I121" s="12">
        <v>48146</v>
      </c>
      <c r="J121" s="13">
        <v>5.7500000000000002E-2</v>
      </c>
      <c r="K121" s="12">
        <v>48512</v>
      </c>
      <c r="L121" s="16" t="str" cm="1">
        <f t="array" ref="L121">_xll.aqBondObjectCreateFromGenerator($C121,$L$4,_xll.aqToolLVBFromKeysValues($C$7:$K$7,$C121:$K121))</f>
        <v>FR0000187635:3</v>
      </c>
      <c r="M121" s="78">
        <v>1.0621223942606322E-2</v>
      </c>
      <c r="N121" s="51">
        <v>160.773</v>
      </c>
      <c r="O121" s="17">
        <v>10.4436</v>
      </c>
      <c r="P121" s="95">
        <v>1737.7795000000001</v>
      </c>
      <c r="Q121" s="39" cm="1">
        <f t="array" ref="Q121">_xll.aqBondObjectYield(L121,$C$4,R121)</f>
        <v>1.0621223942606183E-2</v>
      </c>
      <c r="R121" s="49" cm="1">
        <f t="array" ref="R121">_xll.aqBondObjectPrice($L121,$C$4,$M121)</f>
        <v>160.77300000113908</v>
      </c>
      <c r="S121" s="49" cm="1">
        <f t="array" ref="S121">_xll.aqBondObjectCleanPrice($L121,$C$4,$M121)</f>
        <v>160.77300000113908</v>
      </c>
      <c r="T121" s="49" cm="1">
        <f t="array" ref="T121">_xll.aqBondObjectDirtyPrice($L121,$C$4,$M121)</f>
        <v>166.39697260113908</v>
      </c>
      <c r="U121" s="18" cm="1">
        <f t="array" ref="U121">_xll.aqBondObjectModifiedDuration($L121,$C$4,$Q121)</f>
        <v>10.44357629609226</v>
      </c>
      <c r="V121" s="93" cm="1">
        <f t="array" ref="V121">_xll.aqBondObjectDV01($L121,$C$4,$Q121)</f>
        <v>1737.7794787987696</v>
      </c>
    </row>
    <row r="122" spans="2:22">
      <c r="B122" s="11" t="s">
        <v>1200</v>
      </c>
      <c r="C122" s="11" t="s">
        <v>1201</v>
      </c>
      <c r="D122" s="11" t="s">
        <v>1201</v>
      </c>
      <c r="E122" s="12">
        <v>37054</v>
      </c>
      <c r="F122" s="15"/>
      <c r="G122" s="14"/>
      <c r="H122" s="12"/>
      <c r="I122" s="12"/>
      <c r="J122" s="13">
        <v>0</v>
      </c>
      <c r="K122" s="12">
        <v>48512</v>
      </c>
      <c r="L122" s="16" t="str" cm="1">
        <f t="array" ref="L122">_xll.aqBondObjectCreateFromGenerator($C122,$L$4,_xll.aqToolLVBFromKeysValues($C$7:$K$7,$C122:$K122))</f>
        <v>FR0000578536:3</v>
      </c>
      <c r="M122" s="78">
        <v>1.1801378774339844E-2</v>
      </c>
      <c r="N122" s="51">
        <v>84.831000000000003</v>
      </c>
      <c r="O122" s="17">
        <v>13.8584</v>
      </c>
      <c r="P122" s="95">
        <v>1175.6194</v>
      </c>
      <c r="Q122" s="39" cm="1">
        <f t="array" ref="Q122">_xll.aqBondObjectYield(L122,$C$4,R122)</f>
        <v>1.180137877435127E-2</v>
      </c>
      <c r="R122" s="49" cm="1">
        <f t="array" ref="R122">_xll.aqBondObjectPrice($L122,$C$4,$M122)</f>
        <v>84.830999999999932</v>
      </c>
      <c r="S122" s="49" cm="1">
        <f t="array" ref="S122">_xll.aqBondObjectCleanPrice($L122,$C$4,$M122)</f>
        <v>84.830999999999932</v>
      </c>
      <c r="T122" s="49" cm="1">
        <f t="array" ref="T122">_xll.aqBondObjectDirtyPrice($L122,$C$4,$M122)</f>
        <v>84.830999999999932</v>
      </c>
      <c r="U122" s="18" cm="1">
        <f t="array" ref="U122">_xll.aqBondObjectModifiedDuration($L122,$C$4,$Q122)</f>
        <v>13.858369935416253</v>
      </c>
      <c r="V122" s="93" cm="1">
        <f t="array" ref="V122">_xll.aqBondObjectDV01($L122,$C$4,$Q122)</f>
        <v>1175.6193799911107</v>
      </c>
    </row>
    <row r="123" spans="2:22">
      <c r="B123" s="11" t="s">
        <v>1214</v>
      </c>
      <c r="C123" s="11" t="s">
        <v>1215</v>
      </c>
      <c r="D123" s="11" t="s">
        <v>1215</v>
      </c>
      <c r="E123" s="12">
        <v>40140</v>
      </c>
      <c r="F123" s="15"/>
      <c r="G123" s="14"/>
      <c r="H123" s="12"/>
      <c r="I123" s="12"/>
      <c r="J123" s="13">
        <v>0</v>
      </c>
      <c r="K123" s="12">
        <v>48512</v>
      </c>
      <c r="L123" s="16" t="str" cm="1">
        <f t="array" ref="L123">_xll.aqBondObjectCreateFromGenerator($C123,$L$4,_xll.aqToolLVBFromKeysValues($C$7:$K$7,$C123:$K123))</f>
        <v>FR0010809996:3</v>
      </c>
      <c r="M123" s="78">
        <v>1.2028023347539607E-2</v>
      </c>
      <c r="N123" s="51">
        <v>84.564999999999998</v>
      </c>
      <c r="O123" s="17">
        <v>13.8553</v>
      </c>
      <c r="P123" s="95">
        <v>1171.6705999999999</v>
      </c>
      <c r="Q123" s="39" cm="1">
        <f t="array" ref="Q123">_xll.aqBondObjectYield(L123,$C$4,R123)</f>
        <v>1.2028023347547424E-2</v>
      </c>
      <c r="R123" s="49" cm="1">
        <f t="array" ref="R123">_xll.aqBondObjectPrice($L123,$C$4,$M123)</f>
        <v>84.564999999999984</v>
      </c>
      <c r="S123" s="49" cm="1">
        <f t="array" ref="S123">_xll.aqBondObjectCleanPrice($L123,$C$4,$M123)</f>
        <v>84.564999999999984</v>
      </c>
      <c r="T123" s="49" cm="1">
        <f t="array" ref="T123">_xll.aqBondObjectDirtyPrice($L123,$C$4,$M123)</f>
        <v>84.564999999999984</v>
      </c>
      <c r="U123" s="18" cm="1">
        <f t="array" ref="U123">_xll.aqBondObjectModifiedDuration($L123,$C$4,$Q123)</f>
        <v>13.855266341180966</v>
      </c>
      <c r="V123" s="93" cm="1">
        <f t="array" ref="V123">_xll.aqBondObjectDV01($L123,$C$4,$Q123)</f>
        <v>1171.670598141842</v>
      </c>
    </row>
    <row r="124" spans="2:22">
      <c r="B124" s="11" t="s">
        <v>1510</v>
      </c>
      <c r="C124" s="11" t="s">
        <v>1511</v>
      </c>
      <c r="D124" s="11" t="s">
        <v>1511</v>
      </c>
      <c r="E124" s="12">
        <v>37054</v>
      </c>
      <c r="F124" s="15"/>
      <c r="G124" s="14"/>
      <c r="H124" s="12"/>
      <c r="I124" s="12"/>
      <c r="J124" s="13">
        <v>0</v>
      </c>
      <c r="K124" s="12">
        <v>48512</v>
      </c>
      <c r="L124" s="16" t="str" cm="1">
        <f t="array" ref="L124">_xll.aqBondObjectCreateFromGenerator($C124,$L$4,_xll.aqToolLVBFromKeysValues($C$7:$K$7,$C124:$K124))</f>
        <v>FR0000578601:3</v>
      </c>
      <c r="M124" s="78">
        <v>1.2258002118418654E-2</v>
      </c>
      <c r="N124" s="51">
        <v>84.296000000000006</v>
      </c>
      <c r="O124" s="17">
        <v>13.8521</v>
      </c>
      <c r="P124" s="95">
        <v>1167.6782000000001</v>
      </c>
      <c r="Q124" s="39" cm="1">
        <f t="array" ref="Q124">_xll.aqBondObjectYield(L124,$C$4,R124)</f>
        <v>1.2258002118421811E-2</v>
      </c>
      <c r="R124" s="49" cm="1">
        <f t="array" ref="R124">_xll.aqBondObjectPrice($L124,$C$4,$M124)</f>
        <v>84.295999999999992</v>
      </c>
      <c r="S124" s="49" cm="1">
        <f t="array" ref="S124">_xll.aqBondObjectCleanPrice($L124,$C$4,$M124)</f>
        <v>84.295999999999992</v>
      </c>
      <c r="T124" s="49" cm="1">
        <f t="array" ref="T124">_xll.aqBondObjectDirtyPrice($L124,$C$4,$M124)</f>
        <v>84.295999999999992</v>
      </c>
      <c r="U124" s="18" cm="1">
        <f t="array" ref="U124">_xll.aqBondObjectModifiedDuration($L124,$C$4,$Q124)</f>
        <v>13.852118510176803</v>
      </c>
      <c r="V124" s="93" cm="1">
        <f t="array" ref="V124">_xll.aqBondObjectDV01($L124,$C$4,$Q124)</f>
        <v>1167.6781819338134</v>
      </c>
    </row>
    <row r="125" spans="2:22">
      <c r="B125" s="11" t="s">
        <v>1364</v>
      </c>
      <c r="C125" s="11" t="s">
        <v>1365</v>
      </c>
      <c r="D125" s="11" t="s">
        <v>1365</v>
      </c>
      <c r="E125" s="12">
        <v>40140</v>
      </c>
      <c r="F125" s="15"/>
      <c r="G125" s="14"/>
      <c r="H125" s="12"/>
      <c r="I125" s="12"/>
      <c r="J125" s="13">
        <v>0</v>
      </c>
      <c r="K125" s="12">
        <v>48694</v>
      </c>
      <c r="L125" s="16" t="str" cm="1">
        <f t="array" ref="L125">_xll.aqBondObjectCreateFromGenerator($C125,$L$4,_xll.aqToolLVBFromKeysValues($C$7:$K$7,$C125:$K125))</f>
        <v>FR0010809459:3</v>
      </c>
      <c r="M125" s="78">
        <v>1.2226766736094463E-2</v>
      </c>
      <c r="N125" s="51">
        <v>83.822999999999993</v>
      </c>
      <c r="O125" s="17">
        <v>14.3452</v>
      </c>
      <c r="P125" s="95">
        <v>1202.4538</v>
      </c>
      <c r="Q125" s="39" cm="1">
        <f t="array" ref="Q125">_xll.aqBondObjectYield(L125,$C$4,R125)</f>
        <v>1.2226766736093837E-2</v>
      </c>
      <c r="R125" s="49" cm="1">
        <f t="array" ref="R125">_xll.aqBondObjectPrice($L125,$C$4,$M125)</f>
        <v>83.823000000000064</v>
      </c>
      <c r="S125" s="49" cm="1">
        <f t="array" ref="S125">_xll.aqBondObjectCleanPrice($L125,$C$4,$M125)</f>
        <v>83.823000000000064</v>
      </c>
      <c r="T125" s="49" cm="1">
        <f t="array" ref="T125">_xll.aqBondObjectDirtyPrice($L125,$C$4,$M125)</f>
        <v>83.823000000000064</v>
      </c>
      <c r="U125" s="18" cm="1">
        <f t="array" ref="U125">_xll.aqBondObjectModifiedDuration($L125,$C$4,$Q125)</f>
        <v>14.345153104404378</v>
      </c>
      <c r="V125" s="93" cm="1">
        <f t="array" ref="V125">_xll.aqBondObjectDV01($L125,$C$4,$Q125)</f>
        <v>1202.4537686705005</v>
      </c>
    </row>
    <row r="126" spans="2:22">
      <c r="B126" s="11" t="s">
        <v>1512</v>
      </c>
      <c r="C126" s="11" t="s">
        <v>1513</v>
      </c>
      <c r="D126" s="11" t="s">
        <v>1513</v>
      </c>
      <c r="E126" s="12">
        <v>38083</v>
      </c>
      <c r="F126" s="15"/>
      <c r="G126" s="14"/>
      <c r="H126" s="12"/>
      <c r="I126" s="12"/>
      <c r="J126" s="13">
        <v>0</v>
      </c>
      <c r="K126" s="12">
        <v>48694</v>
      </c>
      <c r="L126" s="16" t="str" cm="1">
        <f t="array" ref="L126">_xll.aqBondObjectCreateFromGenerator($C126,$L$4,_xll.aqToolLVBFromKeysValues($C$7:$K$7,$C126:$K126))</f>
        <v>FR0010070128:3</v>
      </c>
      <c r="M126" s="78">
        <v>1.2494268665463881E-2</v>
      </c>
      <c r="N126" s="51">
        <v>83.501999999999995</v>
      </c>
      <c r="O126" s="17">
        <v>14.3414</v>
      </c>
      <c r="P126" s="95">
        <v>1197.5325</v>
      </c>
      <c r="Q126" s="39" cm="1">
        <f t="array" ref="Q126">_xll.aqBondObjectYield(L126,$C$4,R126)</f>
        <v>1.249426866545475E-2</v>
      </c>
      <c r="R126" s="49" cm="1">
        <f t="array" ref="R126">_xll.aqBondObjectPrice($L126,$C$4,$M126)</f>
        <v>83.501999999999981</v>
      </c>
      <c r="S126" s="49" cm="1">
        <f t="array" ref="S126">_xll.aqBondObjectCleanPrice($L126,$C$4,$M126)</f>
        <v>83.501999999999981</v>
      </c>
      <c r="T126" s="49" cm="1">
        <f t="array" ref="T126">_xll.aqBondObjectDirtyPrice($L126,$C$4,$M126)</f>
        <v>83.501999999999981</v>
      </c>
      <c r="U126" s="18" cm="1">
        <f t="array" ref="U126">_xll.aqBondObjectModifiedDuration($L126,$C$4,$Q126)</f>
        <v>14.341363101585431</v>
      </c>
      <c r="V126" s="93" cm="1">
        <f t="array" ref="V126">_xll.aqBondObjectDV01($L126,$C$4,$Q126)</f>
        <v>1197.5325017087428</v>
      </c>
    </row>
    <row r="127" spans="2:22">
      <c r="B127" s="11" t="s">
        <v>1534</v>
      </c>
      <c r="C127" s="11" t="s">
        <v>1535</v>
      </c>
      <c r="D127" s="11" t="s">
        <v>1535</v>
      </c>
      <c r="E127" s="12">
        <v>41368</v>
      </c>
      <c r="F127" s="15"/>
      <c r="G127" s="14"/>
      <c r="H127" s="12"/>
      <c r="I127" s="12"/>
      <c r="J127" s="13">
        <v>0</v>
      </c>
      <c r="K127" s="12">
        <v>48724</v>
      </c>
      <c r="L127" s="16" t="str" cm="1">
        <f t="array" ref="L127">_xll.aqBondObjectCreateFromGenerator($C127,$L$4,_xll.aqToolLVBFromKeysValues($C$7:$K$7,$C127:$K127))</f>
        <v>FR0011461524:3</v>
      </c>
      <c r="M127" s="78">
        <v>1.2401925408773051E-2</v>
      </c>
      <c r="N127" s="51">
        <v>83.528000000000006</v>
      </c>
      <c r="O127" s="17">
        <v>14.4239</v>
      </c>
      <c r="P127" s="95">
        <v>1204.7959000000001</v>
      </c>
      <c r="Q127" s="39" cm="1">
        <f t="array" ref="Q127">_xll.aqBondObjectYield(L127,$C$4,R127)</f>
        <v>1.2401925408766008E-2</v>
      </c>
      <c r="R127" s="49" cm="1">
        <f t="array" ref="R127">_xll.aqBondObjectPrice($L127,$C$4,$M127)</f>
        <v>83.52800000000002</v>
      </c>
      <c r="S127" s="49" cm="1">
        <f t="array" ref="S127">_xll.aqBondObjectCleanPrice($L127,$C$4,$M127)</f>
        <v>83.52800000000002</v>
      </c>
      <c r="T127" s="49" cm="1">
        <f t="array" ref="T127">_xll.aqBondObjectDirtyPrice($L127,$C$4,$M127)</f>
        <v>83.52800000000002</v>
      </c>
      <c r="U127" s="18" cm="1">
        <f t="array" ref="U127">_xll.aqBondObjectModifiedDuration($L127,$C$4,$Q127)</f>
        <v>14.423856138095962</v>
      </c>
      <c r="V127" s="93" cm="1">
        <f t="array" ref="V127">_xll.aqBondObjectDV01($L127,$C$4,$Q127)</f>
        <v>1204.7958555030032</v>
      </c>
    </row>
    <row r="128" spans="2:22">
      <c r="B128" s="11" t="s">
        <v>1498</v>
      </c>
      <c r="C128" s="11" t="s">
        <v>1499</v>
      </c>
      <c r="D128" s="11" t="s">
        <v>1499</v>
      </c>
      <c r="E128" s="12">
        <v>40140</v>
      </c>
      <c r="F128" s="15"/>
      <c r="G128" s="14"/>
      <c r="H128" s="12"/>
      <c r="I128" s="12"/>
      <c r="J128" s="13">
        <v>0</v>
      </c>
      <c r="K128" s="12">
        <v>48877</v>
      </c>
      <c r="L128" s="16" t="str" cm="1">
        <f t="array" ref="L128">_xll.aqBondObjectCreateFromGenerator($C128,$L$4,_xll.aqToolLVBFromKeysValues($C$7:$K$7,$C128:$K128))</f>
        <v>FR0010809939:3</v>
      </c>
      <c r="M128" s="78">
        <v>1.2495712921722024E-2</v>
      </c>
      <c r="N128" s="51">
        <v>82.981999999999999</v>
      </c>
      <c r="O128" s="17">
        <v>14.836499999999999</v>
      </c>
      <c r="P128" s="95">
        <v>1231.1645000000001</v>
      </c>
      <c r="Q128" s="39" cm="1">
        <f t="array" ref="Q128">_xll.aqBondObjectYield(L128,$C$4,R128)</f>
        <v>1.249571292170496E-2</v>
      </c>
      <c r="R128" s="49" cm="1">
        <f t="array" ref="R128">_xll.aqBondObjectPrice($L128,$C$4,$M128)</f>
        <v>82.981999999999871</v>
      </c>
      <c r="S128" s="49" cm="1">
        <f t="array" ref="S128">_xll.aqBondObjectCleanPrice($L128,$C$4,$M128)</f>
        <v>82.981999999999871</v>
      </c>
      <c r="T128" s="49" cm="1">
        <f t="array" ref="T128">_xll.aqBondObjectDirtyPrice($L128,$C$4,$M128)</f>
        <v>82.981999999999871</v>
      </c>
      <c r="U128" s="18" cm="1">
        <f t="array" ref="U128">_xll.aqBondObjectModifiedDuration($L128,$C$4,$Q128)</f>
        <v>14.836524852901583</v>
      </c>
      <c r="V128" s="93" cm="1">
        <f t="array" ref="V128">_xll.aqBondObjectDV01($L128,$C$4,$Q128)</f>
        <v>1231.1645053437896</v>
      </c>
    </row>
    <row r="129" spans="2:22">
      <c r="B129" s="11" t="s">
        <v>1522</v>
      </c>
      <c r="C129" s="11" t="s">
        <v>1523</v>
      </c>
      <c r="D129" s="11" t="s">
        <v>1523</v>
      </c>
      <c r="E129" s="12">
        <v>38972</v>
      </c>
      <c r="F129" s="15"/>
      <c r="G129" s="14"/>
      <c r="H129" s="12"/>
      <c r="I129" s="12"/>
      <c r="J129" s="13">
        <v>0</v>
      </c>
      <c r="K129" s="12">
        <v>48877</v>
      </c>
      <c r="L129" s="16" t="str" cm="1">
        <f t="array" ref="L129">_xll.aqBondObjectCreateFromGenerator($C129,$L$4,_xll.aqToolLVBFromKeysValues($C$7:$K$7,$C129:$K129))</f>
        <v>FR0010372045:3</v>
      </c>
      <c r="M129" s="78">
        <v>1.3120970504187035E-2</v>
      </c>
      <c r="N129" s="51">
        <v>82.215999999999994</v>
      </c>
      <c r="O129" s="17">
        <v>14.827400000000001</v>
      </c>
      <c r="P129" s="95">
        <v>1219.0469000000001</v>
      </c>
      <c r="Q129" s="39" cm="1">
        <f t="array" ref="Q129">_xll.aqBondObjectYield(L129,$C$4,R129)</f>
        <v>1.3120970504132997E-2</v>
      </c>
      <c r="R129" s="49" cm="1">
        <f t="array" ref="R129">_xll.aqBondObjectPrice($L129,$C$4,$M129)</f>
        <v>82.216000000000051</v>
      </c>
      <c r="S129" s="49" cm="1">
        <f t="array" ref="S129">_xll.aqBondObjectCleanPrice($L129,$C$4,$M129)</f>
        <v>82.216000000000051</v>
      </c>
      <c r="T129" s="49" cm="1">
        <f t="array" ref="T129">_xll.aqBondObjectDirtyPrice($L129,$C$4,$M129)</f>
        <v>82.216000000000051</v>
      </c>
      <c r="U129" s="18" cm="1">
        <f t="array" ref="U129">_xll.aqBondObjectModifiedDuration($L129,$C$4,$Q129)</f>
        <v>14.827368345503904</v>
      </c>
      <c r="V129" s="93" cm="1">
        <f t="array" ref="V129">_xll.aqBondObjectDV01($L129,$C$4,$Q129)</f>
        <v>1219.0469158949252</v>
      </c>
    </row>
    <row r="130" spans="2:22">
      <c r="B130" s="11" t="s">
        <v>1316</v>
      </c>
      <c r="C130" s="11" t="s">
        <v>1317</v>
      </c>
      <c r="D130" s="11" t="s">
        <v>1317</v>
      </c>
      <c r="E130" s="12">
        <v>40140</v>
      </c>
      <c r="F130" s="15"/>
      <c r="G130" s="14"/>
      <c r="H130" s="12"/>
      <c r="I130" s="12"/>
      <c r="J130" s="13">
        <v>0</v>
      </c>
      <c r="K130" s="12">
        <v>49059</v>
      </c>
      <c r="L130" s="16" t="str" cm="1">
        <f t="array" ref="L130">_xll.aqBondObjectCreateFromGenerator($C130,$L$4,_xll.aqToolLVBFromKeysValues($C$7:$K$7,$C130:$K130))</f>
        <v>FR0010809475:3</v>
      </c>
      <c r="M130" s="78">
        <v>1.2738843803909328E-2</v>
      </c>
      <c r="N130" s="51">
        <v>82.162999999999997</v>
      </c>
      <c r="O130" s="17">
        <v>15.3253</v>
      </c>
      <c r="P130" s="95">
        <v>1259.1744000000001</v>
      </c>
      <c r="Q130" s="39" cm="1">
        <f t="array" ref="Q130">_xll.aqBondObjectYield(L130,$C$4,R130)</f>
        <v>1.2738843803867462E-2</v>
      </c>
      <c r="R130" s="49" cm="1">
        <f t="array" ref="R130">_xll.aqBondObjectPrice($L130,$C$4,$M130)</f>
        <v>82.163000000000139</v>
      </c>
      <c r="S130" s="49" cm="1">
        <f t="array" ref="S130">_xll.aqBondObjectCleanPrice($L130,$C$4,$M130)</f>
        <v>82.163000000000139</v>
      </c>
      <c r="T130" s="49" cm="1">
        <f t="array" ref="T130">_xll.aqBondObjectDirtyPrice($L130,$C$4,$M130)</f>
        <v>82.163000000000139</v>
      </c>
      <c r="U130" s="18" cm="1">
        <f t="array" ref="U130">_xll.aqBondObjectModifiedDuration($L130,$C$4,$Q130)</f>
        <v>15.325321073802197</v>
      </c>
      <c r="V130" s="93" cm="1">
        <f t="array" ref="V130">_xll.aqBondObjectDV01($L130,$C$4,$Q130)</f>
        <v>1259.174355387622</v>
      </c>
    </row>
    <row r="131" spans="2:22">
      <c r="B131" s="11" t="s">
        <v>1482</v>
      </c>
      <c r="C131" s="11" t="s">
        <v>1483</v>
      </c>
      <c r="D131" s="11" t="s">
        <v>1483</v>
      </c>
      <c r="E131" s="12">
        <v>38083</v>
      </c>
      <c r="F131" s="15"/>
      <c r="G131" s="14"/>
      <c r="H131" s="12"/>
      <c r="I131" s="12"/>
      <c r="J131" s="13">
        <v>0</v>
      </c>
      <c r="K131" s="12">
        <v>49059</v>
      </c>
      <c r="L131" s="16" t="str" cm="1">
        <f t="array" ref="L131">_xll.aqBondObjectCreateFromGenerator($C131,$L$4,_xll.aqToolLVBFromKeysValues($C$7:$K$7,$C131:$K131))</f>
        <v>FR0010070136:3</v>
      </c>
      <c r="M131" s="78">
        <v>1.2990316952430803E-2</v>
      </c>
      <c r="N131" s="51">
        <v>81.846999999999994</v>
      </c>
      <c r="O131" s="17">
        <v>15.3215</v>
      </c>
      <c r="P131" s="95">
        <v>1254.0201999999999</v>
      </c>
      <c r="Q131" s="39" cm="1">
        <f t="array" ref="Q131">_xll.aqBondObjectYield(L131,$C$4,R131)</f>
        <v>1.2990316952369558E-2</v>
      </c>
      <c r="R131" s="49" cm="1">
        <f t="array" ref="R131">_xll.aqBondObjectPrice($L131,$C$4,$M131)</f>
        <v>81.846999999999866</v>
      </c>
      <c r="S131" s="49" cm="1">
        <f t="array" ref="S131">_xll.aqBondObjectCleanPrice($L131,$C$4,$M131)</f>
        <v>81.846999999999866</v>
      </c>
      <c r="T131" s="49" cm="1">
        <f t="array" ref="T131">_xll.aqBondObjectDirtyPrice($L131,$C$4,$M131)</f>
        <v>81.846999999999866</v>
      </c>
      <c r="U131" s="18" cm="1">
        <f t="array" ref="U131">_xll.aqBondObjectModifiedDuration($L131,$C$4,$Q131)</f>
        <v>15.321516588529496</v>
      </c>
      <c r="V131" s="93" cm="1">
        <f t="array" ref="V131">_xll.aqBondObjectDV01($L131,$C$4,$Q131)</f>
        <v>1254.020168222549</v>
      </c>
    </row>
    <row r="132" spans="2:22">
      <c r="B132" s="11" t="s">
        <v>1434</v>
      </c>
      <c r="C132" s="11" t="s">
        <v>1435</v>
      </c>
      <c r="D132" s="11" t="s">
        <v>1435</v>
      </c>
      <c r="E132" s="12">
        <v>41368</v>
      </c>
      <c r="F132" s="15"/>
      <c r="G132" s="14"/>
      <c r="H132" s="12"/>
      <c r="I132" s="12"/>
      <c r="J132" s="13">
        <v>0</v>
      </c>
      <c r="K132" s="12">
        <v>49089</v>
      </c>
      <c r="L132" s="16" t="str" cm="1">
        <f t="array" ref="L132">_xll.aqBondObjectCreateFromGenerator($C132,$L$4,_xll.aqToolLVBFromKeysValues($C$7:$K$7,$C132:$K132))</f>
        <v>FR0011461540:3</v>
      </c>
      <c r="M132" s="78">
        <v>1.2763807511227521E-2</v>
      </c>
      <c r="N132" s="51">
        <v>82.046000000000006</v>
      </c>
      <c r="O132" s="17">
        <v>15.4061</v>
      </c>
      <c r="P132" s="95">
        <v>1264.0088000000001</v>
      </c>
      <c r="Q132" s="39" cm="1">
        <f t="array" ref="Q132">_xll.aqBondObjectYield(L132,$C$4,R132)</f>
        <v>1.276380751118133E-2</v>
      </c>
      <c r="R132" s="49" cm="1">
        <f t="array" ref="R132">_xll.aqBondObjectPrice($L132,$C$4,$M132)</f>
        <v>82.046000000000035</v>
      </c>
      <c r="S132" s="49" cm="1">
        <f t="array" ref="S132">_xll.aqBondObjectCleanPrice($L132,$C$4,$M132)</f>
        <v>82.046000000000035</v>
      </c>
      <c r="T132" s="49" cm="1">
        <f t="array" ref="T132">_xll.aqBondObjectDirtyPrice($L132,$C$4,$M132)</f>
        <v>82.046000000000035</v>
      </c>
      <c r="U132" s="18" cm="1">
        <f t="array" ref="U132">_xll.aqBondObjectModifiedDuration($L132,$C$4,$Q132)</f>
        <v>15.406099240819422</v>
      </c>
      <c r="V132" s="93" cm="1">
        <f t="array" ref="V132">_xll.aqBondObjectDV01($L132,$C$4,$Q132)</f>
        <v>1264.0088183131707</v>
      </c>
    </row>
    <row r="133" spans="2:22">
      <c r="B133" s="11" t="s">
        <v>1444</v>
      </c>
      <c r="C133" s="11" t="s">
        <v>1445</v>
      </c>
      <c r="D133" s="11" t="s">
        <v>1445</v>
      </c>
      <c r="E133" s="12">
        <v>40140</v>
      </c>
      <c r="F133" s="15"/>
      <c r="G133" s="14"/>
      <c r="H133" s="12"/>
      <c r="I133" s="12"/>
      <c r="J133" s="13">
        <v>0</v>
      </c>
      <c r="K133" s="12">
        <v>49242</v>
      </c>
      <c r="L133" s="16" t="str" cm="1">
        <f t="array" ref="L133">_xll.aqBondObjectCreateFromGenerator($C133,$L$4,_xll.aqToolLVBFromKeysValues($C$7:$K$7,$C133:$K133))</f>
        <v>FR0010809962:3</v>
      </c>
      <c r="M133" s="78">
        <v>1.2902584351693447E-2</v>
      </c>
      <c r="N133" s="51">
        <v>81.432000000000002</v>
      </c>
      <c r="O133" s="17">
        <v>15.8178</v>
      </c>
      <c r="P133" s="95">
        <v>1288.0772999999999</v>
      </c>
      <c r="Q133" s="39" cm="1">
        <f t="array" ref="Q133">_xll.aqBondObjectYield(L133,$C$4,R133)</f>
        <v>1.290258435162084E-2</v>
      </c>
      <c r="R133" s="49" cm="1">
        <f t="array" ref="R133">_xll.aqBondObjectPrice($L133,$C$4,$M133)</f>
        <v>81.431999999999931</v>
      </c>
      <c r="S133" s="49" cm="1">
        <f t="array" ref="S133">_xll.aqBondObjectCleanPrice($L133,$C$4,$M133)</f>
        <v>81.431999999999931</v>
      </c>
      <c r="T133" s="49" cm="1">
        <f t="array" ref="T133">_xll.aqBondObjectDirtyPrice($L133,$C$4,$M133)</f>
        <v>81.431999999999931</v>
      </c>
      <c r="U133" s="18" cm="1">
        <f t="array" ref="U133">_xll.aqBondObjectModifiedDuration($L133,$C$4,$Q133)</f>
        <v>15.817826961587947</v>
      </c>
      <c r="V133" s="93" cm="1">
        <f t="array" ref="V133">_xll.aqBondObjectDV01($L133,$C$4,$Q133)</f>
        <v>1288.0772851375082</v>
      </c>
    </row>
    <row r="134" spans="2:22">
      <c r="B134" s="11" t="s">
        <v>1524</v>
      </c>
      <c r="C134" s="11" t="s">
        <v>1525</v>
      </c>
      <c r="D134" s="11" t="s">
        <v>1525</v>
      </c>
      <c r="E134" s="12">
        <v>38972</v>
      </c>
      <c r="F134" s="15"/>
      <c r="G134" s="14"/>
      <c r="H134" s="12"/>
      <c r="I134" s="12"/>
      <c r="J134" s="13">
        <v>0</v>
      </c>
      <c r="K134" s="12">
        <v>49242</v>
      </c>
      <c r="L134" s="16" t="str" cm="1">
        <f t="array" ref="L134">_xll.aqBondObjectCreateFromGenerator($C134,$L$4,_xll.aqToolLVBFromKeysValues($C$7:$K$7,$C134:$K134))</f>
        <v>FR0010372052:3</v>
      </c>
      <c r="M134" s="78">
        <v>1.3570878642891859E-2</v>
      </c>
      <c r="N134" s="51">
        <v>80.575999999999993</v>
      </c>
      <c r="O134" s="17">
        <v>15.807399999999999</v>
      </c>
      <c r="P134" s="95">
        <v>1273.6968999999999</v>
      </c>
      <c r="Q134" s="39" cm="1">
        <f t="array" ref="Q134">_xll.aqBondObjectYield(L134,$C$4,R134)</f>
        <v>1.3570878642891748E-2</v>
      </c>
      <c r="R134" s="49" cm="1">
        <f t="array" ref="R134">_xll.aqBondObjectPrice($L134,$C$4,$M134)</f>
        <v>80.57600000000005</v>
      </c>
      <c r="S134" s="49" cm="1">
        <f t="array" ref="S134">_xll.aqBondObjectCleanPrice($L134,$C$4,$M134)</f>
        <v>80.57600000000005</v>
      </c>
      <c r="T134" s="49" cm="1">
        <f t="array" ref="T134">_xll.aqBondObjectDirtyPrice($L134,$C$4,$M134)</f>
        <v>80.57600000000005</v>
      </c>
      <c r="U134" s="18" cm="1">
        <f t="array" ref="U134">_xll.aqBondObjectModifiedDuration($L134,$C$4,$Q134)</f>
        <v>15.807397534616944</v>
      </c>
      <c r="V134" s="93" cm="1">
        <f t="array" ref="V134">_xll.aqBondObjectDV01($L134,$C$4,$Q134)</f>
        <v>1273.6968637492957</v>
      </c>
    </row>
    <row r="135" spans="2:22">
      <c r="B135" s="11" t="s">
        <v>1180</v>
      </c>
      <c r="C135" s="11" t="s">
        <v>1181</v>
      </c>
      <c r="D135" s="11" t="s">
        <v>1181</v>
      </c>
      <c r="E135" s="12">
        <v>38083</v>
      </c>
      <c r="F135" s="15">
        <v>37736</v>
      </c>
      <c r="G135" s="14"/>
      <c r="H135" s="12">
        <v>38102</v>
      </c>
      <c r="I135" s="12">
        <v>49059</v>
      </c>
      <c r="J135" s="13">
        <v>4.7500000000000001E-2</v>
      </c>
      <c r="K135" s="12">
        <v>49424</v>
      </c>
      <c r="L135" s="16" t="str" cm="1">
        <f t="array" ref="L135">_xll.aqBondObjectCreateFromGenerator($C135,$L$4,_xll.aqToolLVBFromKeysValues($C$7:$K$7,$C135:$K135))</f>
        <v>FR0010070060:3</v>
      </c>
      <c r="M135" s="78">
        <v>1.1909039387477284E-2</v>
      </c>
      <c r="N135" s="51">
        <v>153.083</v>
      </c>
      <c r="O135" s="17">
        <v>12.472899999999999</v>
      </c>
      <c r="P135" s="95">
        <v>1937.8006</v>
      </c>
      <c r="Q135" s="39" cm="1">
        <f t="array" ref="Q135">_xll.aqBondObjectYield(L135,$C$4,R135)</f>
        <v>1.1909039387477305E-2</v>
      </c>
      <c r="R135" s="49" cm="1">
        <f t="array" ref="R135">_xll.aqBondObjectPrice($L135,$C$4,$M135)</f>
        <v>153.08300000007748</v>
      </c>
      <c r="S135" s="49" cm="1">
        <f t="array" ref="S135">_xll.aqBondObjectCleanPrice($L135,$C$4,$M135)</f>
        <v>153.08300000007748</v>
      </c>
      <c r="T135" s="49" cm="1">
        <f t="array" ref="T135">_xll.aqBondObjectDirtyPrice($L135,$C$4,$M135)</f>
        <v>155.36039730007747</v>
      </c>
      <c r="U135" s="18" cm="1">
        <f t="array" ref="U135">_xll.aqBondObjectModifiedDuration($L135,$C$4,$Q135)</f>
        <v>12.472938109117898</v>
      </c>
      <c r="V135" s="93" cm="1">
        <f t="array" ref="V135">_xll.aqBondObjectDV01($L135,$C$4,$Q135)</f>
        <v>1937.8006201318335</v>
      </c>
    </row>
    <row r="136" spans="2:22">
      <c r="B136" s="11" t="s">
        <v>1206</v>
      </c>
      <c r="C136" s="11" t="s">
        <v>1207</v>
      </c>
      <c r="D136" s="11" t="s">
        <v>1207</v>
      </c>
      <c r="E136" s="12">
        <v>40140</v>
      </c>
      <c r="F136" s="15"/>
      <c r="G136" s="14"/>
      <c r="H136" s="12"/>
      <c r="I136" s="12"/>
      <c r="J136" s="13">
        <v>0</v>
      </c>
      <c r="K136" s="12">
        <v>49424</v>
      </c>
      <c r="L136" s="16" t="str" cm="1">
        <f t="array" ref="L136">_xll.aqBondObjectCreateFromGenerator($C136,$L$4,_xll.aqToolLVBFromKeysValues($C$7:$K$7,$C136:$K136))</f>
        <v>FR0010809483:3</v>
      </c>
      <c r="M136" s="78">
        <v>1.3122832602357359E-2</v>
      </c>
      <c r="N136" s="51">
        <v>80.623000000000005</v>
      </c>
      <c r="O136" s="17">
        <v>16.3066</v>
      </c>
      <c r="P136" s="95">
        <v>1314.6838</v>
      </c>
      <c r="Q136" s="39" cm="1">
        <f t="array" ref="Q136">_xll.aqBondObjectYield(L136,$C$4,R136)</f>
        <v>1.3122832602357434E-2</v>
      </c>
      <c r="R136" s="49" cm="1">
        <f t="array" ref="R136">_xll.aqBondObjectPrice($L136,$C$4,$M136)</f>
        <v>80.622999999999905</v>
      </c>
      <c r="S136" s="49" cm="1">
        <f t="array" ref="S136">_xll.aqBondObjectCleanPrice($L136,$C$4,$M136)</f>
        <v>80.622999999999905</v>
      </c>
      <c r="T136" s="49" cm="1">
        <f t="array" ref="T136">_xll.aqBondObjectDirtyPrice($L136,$C$4,$M136)</f>
        <v>80.622999999999905</v>
      </c>
      <c r="U136" s="18" cm="1">
        <f t="array" ref="U136">_xll.aqBondObjectModifiedDuration($L136,$C$4,$Q136)</f>
        <v>16.306559692046406</v>
      </c>
      <c r="V136" s="93" cm="1">
        <f t="array" ref="V136">_xll.aqBondObjectDV01($L136,$C$4,$Q136)</f>
        <v>1314.6837620518559</v>
      </c>
    </row>
    <row r="137" spans="2:22">
      <c r="B137" s="11" t="s">
        <v>1232</v>
      </c>
      <c r="C137" s="11" t="s">
        <v>1233</v>
      </c>
      <c r="D137" s="11" t="s">
        <v>1233</v>
      </c>
      <c r="E137" s="12">
        <v>38083</v>
      </c>
      <c r="F137" s="15"/>
      <c r="G137" s="14"/>
      <c r="H137" s="12"/>
      <c r="I137" s="12"/>
      <c r="J137" s="13">
        <v>0</v>
      </c>
      <c r="K137" s="12">
        <v>49424</v>
      </c>
      <c r="L137" s="16" t="str" cm="1">
        <f t="array" ref="L137">_xll.aqBondObjectCreateFromGenerator($C137,$L$4,_xll.aqToolLVBFromKeysValues($C$7:$K$7,$C137:$K137))</f>
        <v>FR0010070078:3</v>
      </c>
      <c r="M137" s="78">
        <v>1.2956492110872242E-2</v>
      </c>
      <c r="N137" s="51">
        <v>80.841999999999999</v>
      </c>
      <c r="O137" s="17">
        <v>16.309200000000001</v>
      </c>
      <c r="P137" s="95">
        <v>1318.4713999999999</v>
      </c>
      <c r="Q137" s="39" cm="1">
        <f t="array" ref="Q137">_xll.aqBondObjectYield(L137,$C$4,R137)</f>
        <v>1.2956492110872157E-2</v>
      </c>
      <c r="R137" s="49" cm="1">
        <f t="array" ref="R137">_xll.aqBondObjectPrice($L137,$C$4,$M137)</f>
        <v>80.841999999999885</v>
      </c>
      <c r="S137" s="49" cm="1">
        <f t="array" ref="S137">_xll.aqBondObjectCleanPrice($L137,$C$4,$M137)</f>
        <v>80.841999999999885</v>
      </c>
      <c r="T137" s="49" cm="1">
        <f t="array" ref="T137">_xll.aqBondObjectDirtyPrice($L137,$C$4,$M137)</f>
        <v>80.841999999999885</v>
      </c>
      <c r="U137" s="18" cm="1">
        <f t="array" ref="U137">_xll.aqBondObjectModifiedDuration($L137,$C$4,$Q137)</f>
        <v>16.309237438992827</v>
      </c>
      <c r="V137" s="93" cm="1">
        <f t="array" ref="V137">_xll.aqBondObjectDV01($L137,$C$4,$Q137)</f>
        <v>1318.4713730430562</v>
      </c>
    </row>
    <row r="138" spans="2:22">
      <c r="B138" s="11" t="s">
        <v>1484</v>
      </c>
      <c r="C138" s="11" t="s">
        <v>1485</v>
      </c>
      <c r="D138" s="11" t="s">
        <v>1485</v>
      </c>
      <c r="E138" s="12">
        <v>38083</v>
      </c>
      <c r="F138" s="15"/>
      <c r="G138" s="14"/>
      <c r="H138" s="12"/>
      <c r="I138" s="12"/>
      <c r="J138" s="13">
        <v>0</v>
      </c>
      <c r="K138" s="12">
        <v>49424</v>
      </c>
      <c r="L138" s="16" t="str" cm="1">
        <f t="array" ref="L138">_xll.aqBondObjectCreateFromGenerator($C138,$L$4,_xll.aqToolLVBFromKeysValues($C$7:$K$7,$C138:$K138))</f>
        <v>FR0010070144:3</v>
      </c>
      <c r="M138" s="78">
        <v>1.3834588561997707E-2</v>
      </c>
      <c r="N138" s="51">
        <v>79.692999999999998</v>
      </c>
      <c r="O138" s="17">
        <v>16.295100000000001</v>
      </c>
      <c r="P138" s="95">
        <v>1298.6062999999999</v>
      </c>
      <c r="Q138" s="39" cm="1">
        <f t="array" ref="Q138">_xll.aqBondObjectYield(L138,$C$4,R138)</f>
        <v>1.3834588561997803E-2</v>
      </c>
      <c r="R138" s="49" cm="1">
        <f t="array" ref="R138">_xll.aqBondObjectPrice($L138,$C$4,$M138)</f>
        <v>79.692999999999927</v>
      </c>
      <c r="S138" s="49" cm="1">
        <f t="array" ref="S138">_xll.aqBondObjectCleanPrice($L138,$C$4,$M138)</f>
        <v>79.692999999999927</v>
      </c>
      <c r="T138" s="49" cm="1">
        <f t="array" ref="T138">_xll.aqBondObjectDirtyPrice($L138,$C$4,$M138)</f>
        <v>79.692999999999927</v>
      </c>
      <c r="U138" s="18" cm="1">
        <f t="array" ref="U138">_xll.aqBondObjectModifiedDuration($L138,$C$4,$Q138)</f>
        <v>16.295111778182559</v>
      </c>
      <c r="V138" s="93" cm="1">
        <f t="array" ref="V138">_xll.aqBondObjectDV01($L138,$C$4,$Q138)</f>
        <v>1298.6063429387016</v>
      </c>
    </row>
    <row r="139" spans="2:22">
      <c r="B139" s="11" t="s">
        <v>1536</v>
      </c>
      <c r="C139" s="11" t="s">
        <v>1537</v>
      </c>
      <c r="D139" s="11" t="s">
        <v>1537</v>
      </c>
      <c r="E139" s="12">
        <v>41368</v>
      </c>
      <c r="F139" s="15"/>
      <c r="G139" s="14"/>
      <c r="H139" s="12"/>
      <c r="I139" s="12"/>
      <c r="J139" s="13">
        <v>0</v>
      </c>
      <c r="K139" s="12">
        <v>49454</v>
      </c>
      <c r="L139" s="16" t="str" cm="1">
        <f t="array" ref="L139">_xll.aqBondObjectCreateFromGenerator($C139,$L$4,_xll.aqToolLVBFromKeysValues($C$7:$K$7,$C139:$K139))</f>
        <v>FR0011461565:3</v>
      </c>
      <c r="M139" s="78">
        <v>1.3538520657165654E-2</v>
      </c>
      <c r="N139" s="51">
        <v>79.989999999999995</v>
      </c>
      <c r="O139" s="17">
        <v>16.381</v>
      </c>
      <c r="P139" s="95">
        <v>1310.3134</v>
      </c>
      <c r="Q139" s="39" cm="1">
        <f t="array" ref="Q139">_xll.aqBondObjectYield(L139,$C$4,R139)</f>
        <v>1.3538520657165641E-2</v>
      </c>
      <c r="R139" s="49" cm="1">
        <f t="array" ref="R139">_xll.aqBondObjectPrice($L139,$C$4,$M139)</f>
        <v>79.989999999999867</v>
      </c>
      <c r="S139" s="49" cm="1">
        <f t="array" ref="S139">_xll.aqBondObjectCleanPrice($L139,$C$4,$M139)</f>
        <v>79.989999999999867</v>
      </c>
      <c r="T139" s="49" cm="1">
        <f t="array" ref="T139">_xll.aqBondObjectDirtyPrice($L139,$C$4,$M139)</f>
        <v>79.989999999999867</v>
      </c>
      <c r="U139" s="18" cm="1">
        <f t="array" ref="U139">_xll.aqBondObjectModifiedDuration($L139,$C$4,$Q139)</f>
        <v>16.380965683733844</v>
      </c>
      <c r="V139" s="93" cm="1">
        <f t="array" ref="V139">_xll.aqBondObjectDV01($L139,$C$4,$Q139)</f>
        <v>1310.3134450418681</v>
      </c>
    </row>
    <row r="140" spans="2:22">
      <c r="B140" s="11" t="s">
        <v>1332</v>
      </c>
      <c r="C140" s="11" t="s">
        <v>1333</v>
      </c>
      <c r="D140" s="11" t="s">
        <v>1333</v>
      </c>
      <c r="E140" s="12">
        <v>40140</v>
      </c>
      <c r="F140" s="15"/>
      <c r="G140" s="14"/>
      <c r="H140" s="12"/>
      <c r="I140" s="12"/>
      <c r="J140" s="13">
        <v>0</v>
      </c>
      <c r="K140" s="12">
        <v>49607</v>
      </c>
      <c r="L140" s="16" t="str" cm="1">
        <f t="array" ref="L140">_xll.aqBondObjectCreateFromGenerator($C140,$L$4,_xll.aqToolLVBFromKeysValues($C$7:$K$7,$C140:$K140))</f>
        <v>FR0010810010:3</v>
      </c>
      <c r="M140" s="78">
        <v>1.3462490276911598E-2</v>
      </c>
      <c r="N140" s="51">
        <v>79.641999999999996</v>
      </c>
      <c r="O140" s="17">
        <v>16.7958</v>
      </c>
      <c r="P140" s="95">
        <v>1337.6514999999999</v>
      </c>
      <c r="Q140" s="39" cm="1">
        <f t="array" ref="Q140">_xll.aqBondObjectYield(L140,$C$4,R140)</f>
        <v>1.3462490276911496E-2</v>
      </c>
      <c r="R140" s="49" cm="1">
        <f t="array" ref="R140">_xll.aqBondObjectPrice($L140,$C$4,$M140)</f>
        <v>79.641999999999967</v>
      </c>
      <c r="S140" s="49" cm="1">
        <f t="array" ref="S140">_xll.aqBondObjectCleanPrice($L140,$C$4,$M140)</f>
        <v>79.641999999999967</v>
      </c>
      <c r="T140" s="49" cm="1">
        <f t="array" ref="T140">_xll.aqBondObjectDirtyPrice($L140,$C$4,$M140)</f>
        <v>79.641999999999967</v>
      </c>
      <c r="U140" s="18" cm="1">
        <f t="array" ref="U140">_xll.aqBondObjectModifiedDuration($L140,$C$4,$Q140)</f>
        <v>16.79580445406344</v>
      </c>
      <c r="V140" s="93" cm="1">
        <f t="array" ref="V140">_xll.aqBondObjectDV01($L140,$C$4,$Q140)</f>
        <v>1337.65145833052</v>
      </c>
    </row>
    <row r="141" spans="2:22">
      <c r="B141" s="11" t="s">
        <v>1406</v>
      </c>
      <c r="C141" s="11" t="s">
        <v>1407</v>
      </c>
      <c r="D141" s="11" t="s">
        <v>1407</v>
      </c>
      <c r="E141" s="12">
        <v>38972</v>
      </c>
      <c r="F141" s="15"/>
      <c r="G141" s="14"/>
      <c r="H141" s="12"/>
      <c r="I141" s="12"/>
      <c r="J141" s="13">
        <v>0</v>
      </c>
      <c r="K141" s="12">
        <v>49607</v>
      </c>
      <c r="L141" s="16" t="str" cm="1">
        <f t="array" ref="L141">_xll.aqBondObjectCreateFromGenerator($C141,$L$4,_xll.aqToolLVBFromKeysValues($C$7:$K$7,$C141:$K141))</f>
        <v>FR0010372060:3</v>
      </c>
      <c r="M141" s="78">
        <v>1.3962594623765812E-2</v>
      </c>
      <c r="N141" s="51">
        <v>78.975999999999999</v>
      </c>
      <c r="O141" s="17">
        <v>16.787500000000001</v>
      </c>
      <c r="P141" s="95">
        <v>1325.8112000000001</v>
      </c>
      <c r="Q141" s="39" cm="1">
        <f t="array" ref="Q141">_xll.aqBondObjectYield(L141,$C$4,R141)</f>
        <v>1.3962594623765812E-2</v>
      </c>
      <c r="R141" s="49" cm="1">
        <f t="array" ref="R141">_xll.aqBondObjectPrice($L141,$C$4,$M141)</f>
        <v>78.976000000000141</v>
      </c>
      <c r="S141" s="49" cm="1">
        <f t="array" ref="S141">_xll.aqBondObjectCleanPrice($L141,$C$4,$M141)</f>
        <v>78.976000000000141</v>
      </c>
      <c r="T141" s="49" cm="1">
        <f t="array" ref="T141">_xll.aqBondObjectDirtyPrice($L141,$C$4,$M141)</f>
        <v>78.976000000000141</v>
      </c>
      <c r="U141" s="18" cm="1">
        <f t="array" ref="U141">_xll.aqBondObjectModifiedDuration($L141,$C$4,$Q141)</f>
        <v>16.787520465225068</v>
      </c>
      <c r="V141" s="93" cm="1">
        <f t="array" ref="V141">_xll.aqBondObjectDV01($L141,$C$4,$Q141)</f>
        <v>1325.8112162616173</v>
      </c>
    </row>
    <row r="142" spans="2:22">
      <c r="B142" s="11" t="s">
        <v>1242</v>
      </c>
      <c r="C142" s="11" t="s">
        <v>1243</v>
      </c>
      <c r="D142" s="11" t="s">
        <v>1243</v>
      </c>
      <c r="E142" s="12">
        <v>40140</v>
      </c>
      <c r="F142" s="15"/>
      <c r="G142" s="14"/>
      <c r="H142" s="12"/>
      <c r="I142" s="12"/>
      <c r="J142" s="13">
        <v>0</v>
      </c>
      <c r="K142" s="12">
        <v>49790</v>
      </c>
      <c r="L142" s="16" t="str" cm="1">
        <f t="array" ref="L142">_xll.aqBondObjectCreateFromGenerator($C142,$L$4,_xll.aqToolLVBFromKeysValues($C$7:$K$7,$C142:$K142))</f>
        <v>FR0010809673:3</v>
      </c>
      <c r="M142" s="78">
        <v>1.3793030196670442E-2</v>
      </c>
      <c r="N142" s="51">
        <v>78.662000000000006</v>
      </c>
      <c r="O142" s="17">
        <v>17.2822</v>
      </c>
      <c r="P142" s="95">
        <v>1359.4503999999999</v>
      </c>
      <c r="Q142" s="39" cm="1">
        <f t="array" ref="Q142">_xll.aqBondObjectYield(L142,$C$4,R142)</f>
        <v>1.3793030196670372E-2</v>
      </c>
      <c r="R142" s="49" cm="1">
        <f t="array" ref="R142">_xll.aqBondObjectPrice($L142,$C$4,$M142)</f>
        <v>78.662000000000091</v>
      </c>
      <c r="S142" s="49" cm="1">
        <f t="array" ref="S142">_xll.aqBondObjectCleanPrice($L142,$C$4,$M142)</f>
        <v>78.662000000000091</v>
      </c>
      <c r="T142" s="49" cm="1">
        <f t="array" ref="T142">_xll.aqBondObjectDirtyPrice($L142,$C$4,$M142)</f>
        <v>78.662000000000091</v>
      </c>
      <c r="U142" s="18" cm="1">
        <f t="array" ref="U142">_xll.aqBondObjectModifiedDuration($L142,$C$4,$Q142)</f>
        <v>17.282174391953145</v>
      </c>
      <c r="V142" s="93" cm="1">
        <f t="array" ref="V142">_xll.aqBondObjectDV01($L142,$C$4,$Q142)</f>
        <v>1359.4504020198199</v>
      </c>
    </row>
    <row r="143" spans="2:22">
      <c r="B143" s="11" t="s">
        <v>1514</v>
      </c>
      <c r="C143" s="11" t="s">
        <v>1515</v>
      </c>
      <c r="D143" s="11" t="s">
        <v>1515</v>
      </c>
      <c r="E143" s="12">
        <v>38411</v>
      </c>
      <c r="F143" s="15"/>
      <c r="G143" s="14"/>
      <c r="H143" s="12"/>
      <c r="I143" s="12"/>
      <c r="J143" s="13">
        <v>0</v>
      </c>
      <c r="K143" s="12">
        <v>49790</v>
      </c>
      <c r="L143" s="16" t="str" cm="1">
        <f t="array" ref="L143">_xll.aqBondObjectCreateFromGenerator($C143,$L$4,_xll.aqToolLVBFromKeysValues($C$7:$K$7,$C143:$K143))</f>
        <v>FR0010172213:3</v>
      </c>
      <c r="M143" s="78">
        <v>1.4133932632538482E-2</v>
      </c>
      <c r="N143" s="51">
        <v>78.2</v>
      </c>
      <c r="O143" s="17">
        <v>17.276399999999999</v>
      </c>
      <c r="P143" s="95">
        <v>1351.0117</v>
      </c>
      <c r="Q143" s="39" cm="1">
        <f t="array" ref="Q143">_xll.aqBondObjectYield(L143,$C$4,R143)</f>
        <v>1.4133932632538522E-2</v>
      </c>
      <c r="R143" s="49" cm="1">
        <f t="array" ref="R143">_xll.aqBondObjectPrice($L143,$C$4,$M143)</f>
        <v>78.199999999999875</v>
      </c>
      <c r="S143" s="49" cm="1">
        <f t="array" ref="S143">_xll.aqBondObjectCleanPrice($L143,$C$4,$M143)</f>
        <v>78.199999999999875</v>
      </c>
      <c r="T143" s="49" cm="1">
        <f t="array" ref="T143">_xll.aqBondObjectDirtyPrice($L143,$C$4,$M143)</f>
        <v>78.199999999999875</v>
      </c>
      <c r="U143" s="18" cm="1">
        <f t="array" ref="U143">_xll.aqBondObjectModifiedDuration($L143,$C$4,$Q143)</f>
        <v>17.276364966631959</v>
      </c>
      <c r="V143" s="93" cm="1">
        <f t="array" ref="V143">_xll.aqBondObjectDV01($L143,$C$4,$Q143)</f>
        <v>1351.011740390617</v>
      </c>
    </row>
    <row r="144" spans="2:22">
      <c r="B144" s="11" t="s">
        <v>1144</v>
      </c>
      <c r="C144" s="11" t="s">
        <v>1145</v>
      </c>
      <c r="D144" s="11" t="s">
        <v>1145</v>
      </c>
      <c r="E144" s="12">
        <v>42479</v>
      </c>
      <c r="F144" s="15">
        <v>42149</v>
      </c>
      <c r="G144" s="14"/>
      <c r="H144" s="12">
        <v>42515</v>
      </c>
      <c r="I144" s="12">
        <v>49454</v>
      </c>
      <c r="J144" s="13">
        <v>1.2500000000000001E-2</v>
      </c>
      <c r="K144" s="12">
        <v>49820</v>
      </c>
      <c r="L144" s="16" t="str" cm="1">
        <f t="array" ref="L144">_xll.aqBondObjectCreateFromGenerator($C144,$L$4,_xll.aqToolLVBFromKeysValues($C$7:$K$7,$C144:$K144))</f>
        <v>FR0013154044:9</v>
      </c>
      <c r="M144" s="78">
        <v>1.3442728901038309E-2</v>
      </c>
      <c r="N144" s="51">
        <v>98.528999999999996</v>
      </c>
      <c r="O144" s="17">
        <v>15.6061</v>
      </c>
      <c r="P144" s="95">
        <v>1545.4078</v>
      </c>
      <c r="Q144" s="39" cm="1">
        <f t="array" ref="Q144">_xll.aqBondObjectYield(L144,$C$4,R144)</f>
        <v>1.3442728901039026E-2</v>
      </c>
      <c r="R144" s="49" cm="1">
        <f t="array" ref="R144">_xll.aqBondObjectPrice($L144,$C$4,$M144)</f>
        <v>98.528999999856566</v>
      </c>
      <c r="S144" s="49" cm="1">
        <f t="array" ref="S144">_xll.aqBondObjectCleanPrice($L144,$C$4,$M144)</f>
        <v>98.528999999856566</v>
      </c>
      <c r="T144" s="49" cm="1">
        <f t="array" ref="T144">_xll.aqBondObjectDirtyPrice($L144,$C$4,$M144)</f>
        <v>99.02557529985657</v>
      </c>
      <c r="U144" s="18" cm="1">
        <f t="array" ref="U144">_xll.aqBondObjectModifiedDuration($L144,$C$4,$Q144)</f>
        <v>15.606147969208116</v>
      </c>
      <c r="V144" s="93" cm="1">
        <f t="array" ref="V144">_xll.aqBondObjectDV01($L144,$C$4,$Q144)</f>
        <v>1545.4077808655061</v>
      </c>
    </row>
    <row r="145" spans="2:22">
      <c r="B145" s="11" t="s">
        <v>1340</v>
      </c>
      <c r="C145" s="11" t="s">
        <v>1341</v>
      </c>
      <c r="D145" s="11" t="s">
        <v>1341</v>
      </c>
      <c r="E145" s="12">
        <v>41368</v>
      </c>
      <c r="F145" s="15"/>
      <c r="G145" s="14"/>
      <c r="H145" s="12"/>
      <c r="I145" s="12"/>
      <c r="J145" s="13">
        <v>0</v>
      </c>
      <c r="K145" s="12">
        <v>49820</v>
      </c>
      <c r="L145" s="16" t="str" cm="1">
        <f t="array" ref="L145">_xll.aqBondObjectCreateFromGenerator($C145,$L$4,_xll.aqToolLVBFromKeysValues($C$7:$K$7,$C145:$K145))</f>
        <v>FR0011461573:3</v>
      </c>
      <c r="M145" s="78">
        <v>1.3633095619892677E-2</v>
      </c>
      <c r="N145" s="51">
        <v>78.792000000000002</v>
      </c>
      <c r="O145" s="17">
        <v>17.366</v>
      </c>
      <c r="P145" s="95">
        <v>1368.3009</v>
      </c>
      <c r="Q145" s="39" cm="1">
        <f t="array" ref="Q145">_xll.aqBondObjectYield(L145,$C$4,R145)</f>
        <v>1.3633095619892661E-2</v>
      </c>
      <c r="R145" s="49" cm="1">
        <f t="array" ref="R145">_xll.aqBondObjectPrice($L145,$C$4,$M145)</f>
        <v>78.791999999999945</v>
      </c>
      <c r="S145" s="49" cm="1">
        <f t="array" ref="S145">_xll.aqBondObjectCleanPrice($L145,$C$4,$M145)</f>
        <v>78.791999999999945</v>
      </c>
      <c r="T145" s="49" cm="1">
        <f t="array" ref="T145">_xll.aqBondObjectDirtyPrice($L145,$C$4,$M145)</f>
        <v>78.791999999999945</v>
      </c>
      <c r="U145" s="18" cm="1">
        <f t="array" ref="U145">_xll.aqBondObjectModifiedDuration($L145,$C$4,$Q145)</f>
        <v>17.365987557127216</v>
      </c>
      <c r="V145" s="93" cm="1">
        <f t="array" ref="V145">_xll.aqBondObjectDV01($L145,$C$4,$Q145)</f>
        <v>1368.3008916011668</v>
      </c>
    </row>
    <row r="146" spans="2:22">
      <c r="B146" s="11" t="s">
        <v>1144</v>
      </c>
      <c r="C146" s="11" t="s">
        <v>1145</v>
      </c>
      <c r="D146" s="11" t="s">
        <v>1145</v>
      </c>
      <c r="E146" s="12">
        <v>42479</v>
      </c>
      <c r="F146" s="15">
        <v>42149</v>
      </c>
      <c r="G146" s="14"/>
      <c r="H146" s="12">
        <v>42515</v>
      </c>
      <c r="I146" s="12">
        <v>49454</v>
      </c>
      <c r="J146" s="13">
        <v>1.2500000000000001E-2</v>
      </c>
      <c r="K146" s="12">
        <v>49820</v>
      </c>
      <c r="L146" s="16" t="str" cm="1">
        <f t="array" ref="L146">_xll.aqBondObjectCreateFromGenerator($C146,$L$4,_xll.aqToolLVBFromKeysValues($C$7:$K$7,$C146:$K146))</f>
        <v>FR0013154044:10</v>
      </c>
      <c r="M146" s="78">
        <v>1.3442728901038309E-2</v>
      </c>
      <c r="N146" s="51">
        <v>98.528999999999996</v>
      </c>
      <c r="O146" s="17">
        <v>15.6061</v>
      </c>
      <c r="P146" s="95">
        <v>1545.4078</v>
      </c>
      <c r="Q146" s="39" cm="1">
        <f t="array" ref="Q146">_xll.aqBondObjectYield(L146,$C$4,R146)</f>
        <v>1.3442728901039026E-2</v>
      </c>
      <c r="R146" s="49" cm="1">
        <f t="array" ref="R146">_xll.aqBondObjectPrice($L146,$C$4,$M146)</f>
        <v>98.528999999856566</v>
      </c>
      <c r="S146" s="49" cm="1">
        <f t="array" ref="S146">_xll.aqBondObjectCleanPrice($L146,$C$4,$M146)</f>
        <v>98.528999999856566</v>
      </c>
      <c r="T146" s="49" cm="1">
        <f t="array" ref="T146">_xll.aqBondObjectDirtyPrice($L146,$C$4,$M146)</f>
        <v>99.02557529985657</v>
      </c>
      <c r="U146" s="18" cm="1">
        <f t="array" ref="U146">_xll.aqBondObjectModifiedDuration($L146,$C$4,$Q146)</f>
        <v>15.606147969208116</v>
      </c>
      <c r="V146" s="93" cm="1">
        <f t="array" ref="V146">_xll.aqBondObjectDV01($L146,$C$4,$Q146)</f>
        <v>1545.4077808655061</v>
      </c>
    </row>
    <row r="147" spans="2:22">
      <c r="B147" s="11" t="s">
        <v>1144</v>
      </c>
      <c r="C147" s="11" t="s">
        <v>1145</v>
      </c>
      <c r="D147" s="11" t="s">
        <v>1145</v>
      </c>
      <c r="E147" s="12">
        <v>42479</v>
      </c>
      <c r="F147" s="15">
        <v>42149</v>
      </c>
      <c r="G147" s="14"/>
      <c r="H147" s="12">
        <v>42515</v>
      </c>
      <c r="I147" s="12">
        <v>49454</v>
      </c>
      <c r="J147" s="13">
        <v>1.2500000000000001E-2</v>
      </c>
      <c r="K147" s="12">
        <v>49820</v>
      </c>
      <c r="L147" s="16" t="str" cm="1">
        <f t="array" ref="L147">_xll.aqBondObjectCreateFromGenerator($C147,$L$4,_xll.aqToolLVBFromKeysValues($C$7:$K$7,$C147:$K147))</f>
        <v>FR0013154044:11</v>
      </c>
      <c r="M147" s="78">
        <v>1.3442728901038309E-2</v>
      </c>
      <c r="N147" s="51">
        <v>98.528999999999996</v>
      </c>
      <c r="O147" s="17">
        <v>15.6061</v>
      </c>
      <c r="P147" s="95">
        <v>1545.4078</v>
      </c>
      <c r="Q147" s="39" cm="1">
        <f t="array" ref="Q147">_xll.aqBondObjectYield(L147,$C$4,R147)</f>
        <v>1.3442728901039026E-2</v>
      </c>
      <c r="R147" s="49" cm="1">
        <f t="array" ref="R147">_xll.aqBondObjectPrice($L147,$C$4,$M147)</f>
        <v>98.528999999856566</v>
      </c>
      <c r="S147" s="49" cm="1">
        <f t="array" ref="S147">_xll.aqBondObjectCleanPrice($L147,$C$4,$M147)</f>
        <v>98.528999999856566</v>
      </c>
      <c r="T147" s="49" cm="1">
        <f t="array" ref="T147">_xll.aqBondObjectDirtyPrice($L147,$C$4,$M147)</f>
        <v>99.02557529985657</v>
      </c>
      <c r="U147" s="18" cm="1">
        <f t="array" ref="U147">_xll.aqBondObjectModifiedDuration($L147,$C$4,$Q147)</f>
        <v>15.606147969208116</v>
      </c>
      <c r="V147" s="93" cm="1">
        <f t="array" ref="V147">_xll.aqBondObjectDV01($L147,$C$4,$Q147)</f>
        <v>1545.4077808655061</v>
      </c>
    </row>
    <row r="148" spans="2:22">
      <c r="B148" s="11" t="s">
        <v>1298</v>
      </c>
      <c r="C148" s="11" t="s">
        <v>1299</v>
      </c>
      <c r="D148" s="11" t="s">
        <v>1299</v>
      </c>
      <c r="E148" s="12">
        <v>40140</v>
      </c>
      <c r="F148" s="15"/>
      <c r="G148" s="14"/>
      <c r="H148" s="12"/>
      <c r="I148" s="12"/>
      <c r="J148" s="13">
        <v>0</v>
      </c>
      <c r="K148" s="12">
        <v>49973</v>
      </c>
      <c r="L148" s="16" t="str" cm="1">
        <f t="array" ref="L148">_xll.aqBondObjectCreateFromGenerator($C148,$L$4,_xll.aqToolLVBFromKeysValues($C$7:$K$7,$C148:$K148))</f>
        <v>FR0010810044:3</v>
      </c>
      <c r="M148" s="78">
        <v>1.400918835903564E-2</v>
      </c>
      <c r="N148" s="51">
        <v>77.823999999999998</v>
      </c>
      <c r="O148" s="17">
        <v>17.7729</v>
      </c>
      <c r="P148" s="95">
        <v>1383.1608000000001</v>
      </c>
      <c r="Q148" s="39" cm="1">
        <f t="array" ref="Q148">_xll.aqBondObjectYield(L148,$C$4,R148)</f>
        <v>1.400918835903563E-2</v>
      </c>
      <c r="R148" s="49" cm="1">
        <f t="array" ref="R148">_xll.aqBondObjectPrice($L148,$C$4,$M148)</f>
        <v>77.824000000000069</v>
      </c>
      <c r="S148" s="49" cm="1">
        <f t="array" ref="S148">_xll.aqBondObjectCleanPrice($L148,$C$4,$M148)</f>
        <v>77.824000000000069</v>
      </c>
      <c r="T148" s="49" cm="1">
        <f t="array" ref="T148">_xll.aqBondObjectDirtyPrice($L148,$C$4,$M148)</f>
        <v>77.824000000000069</v>
      </c>
      <c r="U148" s="18" cm="1">
        <f t="array" ref="U148">_xll.aqBondObjectModifiedDuration($L148,$C$4,$Q148)</f>
        <v>17.772933436021354</v>
      </c>
      <c r="V148" s="93" cm="1">
        <f t="array" ref="V148">_xll.aqBondObjectDV01($L148,$C$4,$Q148)</f>
        <v>1383.1607717249271</v>
      </c>
    </row>
    <row r="149" spans="2:22">
      <c r="B149" s="11" t="s">
        <v>1464</v>
      </c>
      <c r="C149" s="11" t="s">
        <v>1465</v>
      </c>
      <c r="D149" s="11" t="s">
        <v>1465</v>
      </c>
      <c r="E149" s="12">
        <v>38972</v>
      </c>
      <c r="F149" s="15"/>
      <c r="G149" s="14"/>
      <c r="H149" s="12"/>
      <c r="I149" s="12"/>
      <c r="J149" s="13">
        <v>0</v>
      </c>
      <c r="K149" s="12">
        <v>49973</v>
      </c>
      <c r="L149" s="16" t="str" cm="1">
        <f t="array" ref="L149">_xll.aqBondObjectCreateFromGenerator($C149,$L$4,_xll.aqToolLVBFromKeysValues($C$7:$K$7,$C149:$K149))</f>
        <v>FR0010372078:3</v>
      </c>
      <c r="M149" s="78">
        <v>1.4251939082283949E-2</v>
      </c>
      <c r="N149" s="51">
        <v>77.489000000000004</v>
      </c>
      <c r="O149" s="17">
        <v>17.768699999999999</v>
      </c>
      <c r="P149" s="95">
        <v>1376.8771999999999</v>
      </c>
      <c r="Q149" s="39" cm="1">
        <f t="array" ref="Q149">_xll.aqBondObjectYield(L149,$C$4,R149)</f>
        <v>1.4251939082283845E-2</v>
      </c>
      <c r="R149" s="49" cm="1">
        <f t="array" ref="R149">_xll.aqBondObjectPrice($L149,$C$4,$M149)</f>
        <v>77.488999999999891</v>
      </c>
      <c r="S149" s="49" cm="1">
        <f t="array" ref="S149">_xll.aqBondObjectCleanPrice($L149,$C$4,$M149)</f>
        <v>77.488999999999891</v>
      </c>
      <c r="T149" s="49" cm="1">
        <f t="array" ref="T149">_xll.aqBondObjectDirtyPrice($L149,$C$4,$M149)</f>
        <v>77.488999999999891</v>
      </c>
      <c r="U149" s="18" cm="1">
        <f t="array" ref="U149">_xll.aqBondObjectModifiedDuration($L149,$C$4,$Q149)</f>
        <v>17.768679668017974</v>
      </c>
      <c r="V149" s="93" cm="1">
        <f t="array" ref="V149">_xll.aqBondObjectDV01($L149,$C$4,$Q149)</f>
        <v>1376.8772187950428</v>
      </c>
    </row>
    <row r="150" spans="2:22">
      <c r="B150" s="11" t="s">
        <v>1280</v>
      </c>
      <c r="C150" s="11" t="s">
        <v>1281</v>
      </c>
      <c r="D150" s="11" t="s">
        <v>1281</v>
      </c>
      <c r="E150" s="12">
        <v>40140</v>
      </c>
      <c r="F150" s="15"/>
      <c r="G150" s="14"/>
      <c r="H150" s="12"/>
      <c r="I150" s="12"/>
      <c r="J150" s="13">
        <v>0</v>
      </c>
      <c r="K150" s="12">
        <v>50155</v>
      </c>
      <c r="L150" s="16" t="str" cm="1">
        <f t="array" ref="L150">_xll.aqBondObjectCreateFromGenerator($C150,$L$4,_xll.aqToolLVBFromKeysValues($C$7:$K$7,$C150:$K150))</f>
        <v>FR0010809707:3</v>
      </c>
      <c r="M150" s="78">
        <v>1.4229268505338899E-2</v>
      </c>
      <c r="N150" s="51">
        <v>76.975999999999999</v>
      </c>
      <c r="O150" s="17">
        <v>18.2607</v>
      </c>
      <c r="P150" s="95">
        <v>1405.6365000000001</v>
      </c>
      <c r="Q150" s="39" cm="1">
        <f t="array" ref="Q150">_xll.aqBondObjectYield(L150,$C$4,R150)</f>
        <v>1.4229268505338972E-2</v>
      </c>
      <c r="R150" s="49" cm="1">
        <f t="array" ref="R150">_xll.aqBondObjectPrice($L150,$C$4,$M150)</f>
        <v>76.976000000000028</v>
      </c>
      <c r="S150" s="49" cm="1">
        <f t="array" ref="S150">_xll.aqBondObjectCleanPrice($L150,$C$4,$M150)</f>
        <v>76.976000000000028</v>
      </c>
      <c r="T150" s="49" cm="1">
        <f t="array" ref="T150">_xll.aqBondObjectDirtyPrice($L150,$C$4,$M150)</f>
        <v>76.976000000000028</v>
      </c>
      <c r="U150" s="18" cm="1">
        <f t="array" ref="U150">_xll.aqBondObjectModifiedDuration($L150,$C$4,$Q150)</f>
        <v>18.260711379882633</v>
      </c>
      <c r="V150" s="93" cm="1">
        <f t="array" ref="V150">_xll.aqBondObjectDV01($L150,$C$4,$Q150)</f>
        <v>1405.6365191778459</v>
      </c>
    </row>
    <row r="151" spans="2:22">
      <c r="B151" s="11" t="s">
        <v>1516</v>
      </c>
      <c r="C151" s="11" t="s">
        <v>1517</v>
      </c>
      <c r="D151" s="11" t="s">
        <v>1517</v>
      </c>
      <c r="E151" s="12">
        <v>38411</v>
      </c>
      <c r="F151" s="15"/>
      <c r="G151" s="14"/>
      <c r="H151" s="12"/>
      <c r="I151" s="12"/>
      <c r="J151" s="13">
        <v>0</v>
      </c>
      <c r="K151" s="12">
        <v>50155</v>
      </c>
      <c r="L151" s="16" t="str" cm="1">
        <f t="array" ref="L151">_xll.aqBondObjectCreateFromGenerator($C151,$L$4,_xll.aqToolLVBFromKeysValues($C$7:$K$7,$C151:$K151))</f>
        <v>FR0010172270:3</v>
      </c>
      <c r="M151" s="78">
        <v>1.4388871788537871E-2</v>
      </c>
      <c r="N151" s="51">
        <v>76.751999999999995</v>
      </c>
      <c r="O151" s="17">
        <v>18.2578</v>
      </c>
      <c r="P151" s="95">
        <v>1401.3255999999999</v>
      </c>
      <c r="Q151" s="39" cm="1">
        <f t="array" ref="Q151">_xll.aqBondObjectYield(L151,$C$4,R151)</f>
        <v>1.4388871788537814E-2</v>
      </c>
      <c r="R151" s="49" cm="1">
        <f t="array" ref="R151">_xll.aqBondObjectPrice($L151,$C$4,$M151)</f>
        <v>76.752000000000137</v>
      </c>
      <c r="S151" s="49" cm="1">
        <f t="array" ref="S151">_xll.aqBondObjectCleanPrice($L151,$C$4,$M151)</f>
        <v>76.752000000000137</v>
      </c>
      <c r="T151" s="49" cm="1">
        <f t="array" ref="T151">_xll.aqBondObjectDirtyPrice($L151,$C$4,$M151)</f>
        <v>76.752000000000137</v>
      </c>
      <c r="U151" s="18" cm="1">
        <f t="array" ref="U151">_xll.aqBondObjectModifiedDuration($L151,$C$4,$Q151)</f>
        <v>18.257838251469224</v>
      </c>
      <c r="V151" s="93" cm="1">
        <f t="array" ref="V151">_xll.aqBondObjectDV01($L151,$C$4,$Q151)</f>
        <v>1401.3256014767683</v>
      </c>
    </row>
    <row r="152" spans="2:22">
      <c r="B152" s="11" t="s">
        <v>1446</v>
      </c>
      <c r="C152" s="11" t="s">
        <v>1447</v>
      </c>
      <c r="D152" s="11" t="s">
        <v>1447</v>
      </c>
      <c r="E152" s="12">
        <v>41368</v>
      </c>
      <c r="F152" s="15"/>
      <c r="G152" s="14"/>
      <c r="H152" s="12"/>
      <c r="I152" s="12"/>
      <c r="J152" s="13">
        <v>0</v>
      </c>
      <c r="K152" s="12">
        <v>50185</v>
      </c>
      <c r="L152" s="16" t="str" cm="1">
        <f t="array" ref="L152">_xll.aqBondObjectCreateFromGenerator($C152,$L$4,_xll.aqToolLVBFromKeysValues($C$7:$K$7,$C152:$K152))</f>
        <v>FR0011461581:3</v>
      </c>
      <c r="M152" s="78">
        <v>1.4584083122918257E-2</v>
      </c>
      <c r="N152" s="51">
        <v>76.388000000000005</v>
      </c>
      <c r="O152" s="17">
        <v>18.3353</v>
      </c>
      <c r="P152" s="95">
        <v>1400.5996</v>
      </c>
      <c r="Q152" s="39" cm="1">
        <f t="array" ref="Q152">_xll.aqBondObjectYield(L152,$C$4,R152)</f>
        <v>1.4584083122918338E-2</v>
      </c>
      <c r="R152" s="49" cm="1">
        <f t="array" ref="R152">_xll.aqBondObjectPrice($L152,$C$4,$M152)</f>
        <v>76.388000000000133</v>
      </c>
      <c r="S152" s="49" cm="1">
        <f t="array" ref="S152">_xll.aqBondObjectCleanPrice($L152,$C$4,$M152)</f>
        <v>76.388000000000133</v>
      </c>
      <c r="T152" s="49" cm="1">
        <f t="array" ref="T152">_xll.aqBondObjectDirtyPrice($L152,$C$4,$M152)</f>
        <v>76.388000000000133</v>
      </c>
      <c r="U152" s="18" cm="1">
        <f t="array" ref="U152">_xll.aqBondObjectModifiedDuration($L152,$C$4,$Q152)</f>
        <v>18.335335666579393</v>
      </c>
      <c r="V152" s="93" cm="1">
        <f t="array" ref="V152">_xll.aqBondObjectDV01($L152,$C$4,$Q152)</f>
        <v>1400.5996208986692</v>
      </c>
    </row>
    <row r="153" spans="2:22">
      <c r="B153" s="11" t="s">
        <v>1230</v>
      </c>
      <c r="C153" s="11" t="s">
        <v>1231</v>
      </c>
      <c r="D153" s="11" t="s">
        <v>1231</v>
      </c>
      <c r="E153" s="12">
        <v>40140</v>
      </c>
      <c r="F153" s="15"/>
      <c r="G153" s="14"/>
      <c r="H153" s="12"/>
      <c r="I153" s="12"/>
      <c r="J153" s="13">
        <v>0</v>
      </c>
      <c r="K153" s="12">
        <v>50338</v>
      </c>
      <c r="L153" s="16" t="str" cm="1">
        <f t="array" ref="L153">_xll.aqBondObjectCreateFromGenerator($C153,$L$4,_xll.aqToolLVBFromKeysValues($C$7:$K$7,$C153:$K153))</f>
        <v>FR0010810077:3</v>
      </c>
      <c r="M153" s="78">
        <v>1.4424720827054927E-2</v>
      </c>
      <c r="N153" s="51">
        <v>76.153000000000006</v>
      </c>
      <c r="O153" s="17">
        <v>18.7514</v>
      </c>
      <c r="P153" s="95">
        <v>1427.9779000000001</v>
      </c>
      <c r="Q153" s="39" cm="1">
        <f t="array" ref="Q153">_xll.aqBondObjectYield(L153,$C$4,R153)</f>
        <v>1.442472082705485E-2</v>
      </c>
      <c r="R153" s="49" cm="1">
        <f t="array" ref="R153">_xll.aqBondObjectPrice($L153,$C$4,$M153)</f>
        <v>76.15300000000002</v>
      </c>
      <c r="S153" s="49" cm="1">
        <f t="array" ref="S153">_xll.aqBondObjectCleanPrice($L153,$C$4,$M153)</f>
        <v>76.15300000000002</v>
      </c>
      <c r="T153" s="49" cm="1">
        <f t="array" ref="T153">_xll.aqBondObjectDirtyPrice($L153,$C$4,$M153)</f>
        <v>76.15300000000002</v>
      </c>
      <c r="U153" s="18" cm="1">
        <f t="array" ref="U153">_xll.aqBondObjectModifiedDuration($L153,$C$4,$Q153)</f>
        <v>18.751433613241126</v>
      </c>
      <c r="V153" s="93" cm="1">
        <f t="array" ref="V153">_xll.aqBondObjectDV01($L153,$C$4,$Q153)</f>
        <v>1427.9779239491518</v>
      </c>
    </row>
    <row r="154" spans="2:22">
      <c r="B154" s="11" t="s">
        <v>1326</v>
      </c>
      <c r="C154" s="11" t="s">
        <v>1327</v>
      </c>
      <c r="D154" s="11" t="s">
        <v>1327</v>
      </c>
      <c r="E154" s="12">
        <v>38972</v>
      </c>
      <c r="F154" s="15"/>
      <c r="G154" s="14"/>
      <c r="H154" s="12"/>
      <c r="I154" s="12"/>
      <c r="J154" s="13">
        <v>0</v>
      </c>
      <c r="K154" s="12">
        <v>50338</v>
      </c>
      <c r="L154" s="16" t="str" cm="1">
        <f t="array" ref="L154">_xll.aqBondObjectCreateFromGenerator($C154,$L$4,_xll.aqToolLVBFromKeysValues($C$7:$K$7,$C154:$K154))</f>
        <v>FR0010372086:3</v>
      </c>
      <c r="M154" s="78">
        <v>1.4405116474109025E-2</v>
      </c>
      <c r="N154" s="51">
        <v>76.180999999999997</v>
      </c>
      <c r="O154" s="17">
        <v>18.751799999999999</v>
      </c>
      <c r="P154" s="95">
        <v>1428.5306</v>
      </c>
      <c r="Q154" s="39" cm="1">
        <f t="array" ref="Q154">_xll.aqBondObjectYield(L154,$C$4,R154)</f>
        <v>1.4405116474109128E-2</v>
      </c>
      <c r="R154" s="49" cm="1">
        <f t="array" ref="R154">_xll.aqBondObjectPrice($L154,$C$4,$M154)</f>
        <v>76.180999999999969</v>
      </c>
      <c r="S154" s="49" cm="1">
        <f t="array" ref="S154">_xll.aqBondObjectCleanPrice($L154,$C$4,$M154)</f>
        <v>76.180999999999969</v>
      </c>
      <c r="T154" s="49" cm="1">
        <f t="array" ref="T154">_xll.aqBondObjectDirtyPrice($L154,$C$4,$M154)</f>
        <v>76.180999999999969</v>
      </c>
      <c r="U154" s="18" cm="1">
        <f t="array" ref="U154">_xll.aqBondObjectModifiedDuration($L154,$C$4,$Q154)</f>
        <v>18.751796002701528</v>
      </c>
      <c r="V154" s="93" cm="1">
        <f t="array" ref="V154">_xll.aqBondObjectDV01($L154,$C$4,$Q154)</f>
        <v>1428.5305712818047</v>
      </c>
    </row>
    <row r="155" spans="2:22">
      <c r="B155" s="11" t="s">
        <v>1198</v>
      </c>
      <c r="C155" s="11" t="s">
        <v>1199</v>
      </c>
      <c r="D155" s="11" t="s">
        <v>1199</v>
      </c>
      <c r="E155" s="12">
        <v>40140</v>
      </c>
      <c r="F155" s="15"/>
      <c r="G155" s="14"/>
      <c r="H155" s="12"/>
      <c r="I155" s="12"/>
      <c r="J155" s="13">
        <v>0</v>
      </c>
      <c r="K155" s="12">
        <v>50520</v>
      </c>
      <c r="L155" s="16" t="str" cm="1">
        <f t="array" ref="L155">_xll.aqBondObjectCreateFromGenerator($C155,$L$4,_xll.aqToolLVBFromKeysValues($C$7:$K$7,$C155:$K155))</f>
        <v>FR0010809715:3</v>
      </c>
      <c r="M155" s="78">
        <v>1.4684589192114128E-2</v>
      </c>
      <c r="N155" s="51">
        <v>75.233999999999995</v>
      </c>
      <c r="O155" s="17">
        <v>19.238</v>
      </c>
      <c r="P155" s="95">
        <v>1447.3551</v>
      </c>
      <c r="Q155" s="39" cm="1">
        <f t="array" ref="Q155">_xll.aqBondObjectYield(L155,$C$4,R155)</f>
        <v>1.4684589192114022E-2</v>
      </c>
      <c r="R155" s="49" cm="1">
        <f t="array" ref="R155">_xll.aqBondObjectPrice($L155,$C$4,$M155)</f>
        <v>75.233999999999952</v>
      </c>
      <c r="S155" s="49" cm="1">
        <f t="array" ref="S155">_xll.aqBondObjectCleanPrice($L155,$C$4,$M155)</f>
        <v>75.233999999999952</v>
      </c>
      <c r="T155" s="49" cm="1">
        <f t="array" ref="T155">_xll.aqBondObjectDirtyPrice($L155,$C$4,$M155)</f>
        <v>75.233999999999952</v>
      </c>
      <c r="U155" s="18" cm="1">
        <f t="array" ref="U155">_xll.aqBondObjectModifiedDuration($L155,$C$4,$Q155)</f>
        <v>19.238045155241419</v>
      </c>
      <c r="V155" s="93" cm="1">
        <f t="array" ref="V155">_xll.aqBondObjectDV01($L155,$C$4,$Q155)</f>
        <v>1447.355089209432</v>
      </c>
    </row>
    <row r="156" spans="2:22">
      <c r="B156" s="11" t="s">
        <v>1518</v>
      </c>
      <c r="C156" s="11" t="s">
        <v>1519</v>
      </c>
      <c r="D156" s="11" t="s">
        <v>1519</v>
      </c>
      <c r="E156" s="12">
        <v>38411</v>
      </c>
      <c r="F156" s="15"/>
      <c r="G156" s="14"/>
      <c r="H156" s="12"/>
      <c r="I156" s="12"/>
      <c r="J156" s="13">
        <v>0</v>
      </c>
      <c r="K156" s="12">
        <v>50520</v>
      </c>
      <c r="L156" s="16" t="str" cm="1">
        <f t="array" ref="L156">_xll.aqBondObjectCreateFromGenerator($C156,$L$4,_xll.aqToolLVBFromKeysValues($C$7:$K$7,$C156:$K156))</f>
        <v>FR0010172288:3</v>
      </c>
      <c r="M156" s="78">
        <v>1.4674917321716663E-2</v>
      </c>
      <c r="N156" s="51">
        <v>75.248000000000005</v>
      </c>
      <c r="O156" s="17">
        <v>19.238199999999999</v>
      </c>
      <c r="P156" s="95">
        <v>1447.6382000000001</v>
      </c>
      <c r="Q156" s="39" cm="1">
        <f t="array" ref="Q156">_xll.aqBondObjectYield(L156,$C$4,R156)</f>
        <v>1.4674917321716737E-2</v>
      </c>
      <c r="R156" s="49" cm="1">
        <f t="array" ref="R156">_xll.aqBondObjectPrice($L156,$C$4,$M156)</f>
        <v>75.248000000000062</v>
      </c>
      <c r="S156" s="49" cm="1">
        <f t="array" ref="S156">_xll.aqBondObjectCleanPrice($L156,$C$4,$M156)</f>
        <v>75.248000000000062</v>
      </c>
      <c r="T156" s="49" cm="1">
        <f t="array" ref="T156">_xll.aqBondObjectDirtyPrice($L156,$C$4,$M156)</f>
        <v>75.248000000000062</v>
      </c>
      <c r="U156" s="18" cm="1">
        <f t="array" ref="U156">_xll.aqBondObjectModifiedDuration($L156,$C$4,$Q156)</f>
        <v>19.238228532080903</v>
      </c>
      <c r="V156" s="93" cm="1">
        <f t="array" ref="V156">_xll.aqBondObjectDV01($L156,$C$4,$Q156)</f>
        <v>1447.638220582025</v>
      </c>
    </row>
    <row r="157" spans="2:22">
      <c r="B157" s="11" t="s">
        <v>1220</v>
      </c>
      <c r="C157" s="11" t="s">
        <v>1221</v>
      </c>
      <c r="D157" s="11" t="s">
        <v>1221</v>
      </c>
      <c r="E157" s="12">
        <v>41368</v>
      </c>
      <c r="F157" s="15"/>
      <c r="G157" s="14"/>
      <c r="H157" s="12"/>
      <c r="I157" s="12"/>
      <c r="J157" s="13">
        <v>0</v>
      </c>
      <c r="K157" s="12">
        <v>50550</v>
      </c>
      <c r="L157" s="16" t="str" cm="1">
        <f t="array" ref="L157">_xll.aqBondObjectCreateFromGenerator($C157,$L$4,_xll.aqToolLVBFromKeysValues($C$7:$K$7,$C157:$K157))</f>
        <v>FR0011461599:3</v>
      </c>
      <c r="M157" s="78">
        <v>1.502183493636533E-2</v>
      </c>
      <c r="N157" s="51">
        <v>74.656000000000006</v>
      </c>
      <c r="O157" s="17">
        <v>19.3126</v>
      </c>
      <c r="P157" s="95">
        <v>1441.8036</v>
      </c>
      <c r="Q157" s="39" cm="1">
        <f t="array" ref="Q157">_xll.aqBondObjectYield(L157,$C$4,R157)</f>
        <v>1.5021834936365245E-2</v>
      </c>
      <c r="R157" s="49" cm="1">
        <f t="array" ref="R157">_xll.aqBondObjectPrice($L157,$C$4,$M157)</f>
        <v>74.656000000000034</v>
      </c>
      <c r="S157" s="49" cm="1">
        <f t="array" ref="S157">_xll.aqBondObjectCleanPrice($L157,$C$4,$M157)</f>
        <v>74.656000000000034</v>
      </c>
      <c r="T157" s="49" cm="1">
        <f t="array" ref="T157">_xll.aqBondObjectDirtyPrice($L157,$C$4,$M157)</f>
        <v>74.656000000000034</v>
      </c>
      <c r="U157" s="18" cm="1">
        <f t="array" ref="U157">_xll.aqBondObjectModifiedDuration($L157,$C$4,$Q157)</f>
        <v>19.312628606907111</v>
      </c>
      <c r="V157" s="93" cm="1">
        <f t="array" ref="V157">_xll.aqBondObjectDV01($L157,$C$4,$Q157)</f>
        <v>1441.8036012772579</v>
      </c>
    </row>
    <row r="158" spans="2:22">
      <c r="B158" s="11" t="s">
        <v>1170</v>
      </c>
      <c r="C158" s="11" t="s">
        <v>1171</v>
      </c>
      <c r="D158" s="11" t="s">
        <v>1171</v>
      </c>
      <c r="E158" s="12">
        <v>38972</v>
      </c>
      <c r="F158" s="15">
        <v>38650</v>
      </c>
      <c r="G158" s="14"/>
      <c r="H158" s="12">
        <v>39015</v>
      </c>
      <c r="I158" s="12">
        <v>50338</v>
      </c>
      <c r="J158" s="13">
        <v>0.04</v>
      </c>
      <c r="K158" s="12">
        <v>50703</v>
      </c>
      <c r="L158" s="16" t="str" cm="1">
        <f t="array" ref="L158">_xll.aqBondObjectCreateFromGenerator($C158,$L$4,_xll.aqToolLVBFromKeysValues($C$7:$K$7,$C158:$K158))</f>
        <v>FR0010371401:3</v>
      </c>
      <c r="M158" s="78">
        <v>1.3566469921109109E-2</v>
      </c>
      <c r="N158" s="51">
        <v>146.07400000000001</v>
      </c>
      <c r="O158" s="17">
        <v>14.6713</v>
      </c>
      <c r="P158" s="95">
        <v>2200.4962</v>
      </c>
      <c r="Q158" s="39" cm="1">
        <f t="array" ref="Q158">_xll.aqBondObjectYield(L158,$C$4,R158)</f>
        <v>1.3566469921109154E-2</v>
      </c>
      <c r="R158" s="49" cm="1">
        <f t="array" ref="R158">_xll.aqBondObjectPrice($L158,$C$4,$M158)</f>
        <v>146.07400000000015</v>
      </c>
      <c r="S158" s="49" cm="1">
        <f t="array" ref="S158">_xll.aqBondObjectCleanPrice($L158,$C$4,$M158)</f>
        <v>146.07400000000015</v>
      </c>
      <c r="T158" s="49" cm="1">
        <f t="array" ref="T158">_xll.aqBondObjectDirtyPrice($L158,$C$4,$M158)</f>
        <v>149.98632880000017</v>
      </c>
      <c r="U158" s="18" cm="1">
        <f t="array" ref="U158">_xll.aqBondObjectModifiedDuration($L158,$C$4,$Q158)</f>
        <v>14.671312128403482</v>
      </c>
      <c r="V158" s="93" cm="1">
        <f t="array" ref="V158">_xll.aqBondObjectDV01($L158,$C$4,$Q158)</f>
        <v>2200.496244818155</v>
      </c>
    </row>
    <row r="159" spans="2:22">
      <c r="B159" s="11" t="s">
        <v>1196</v>
      </c>
      <c r="C159" s="11" t="s">
        <v>1197</v>
      </c>
      <c r="D159" s="11" t="s">
        <v>1197</v>
      </c>
      <c r="E159" s="12">
        <v>40140</v>
      </c>
      <c r="F159" s="15"/>
      <c r="G159" s="14"/>
      <c r="H159" s="12"/>
      <c r="I159" s="12"/>
      <c r="J159" s="13">
        <v>0</v>
      </c>
      <c r="K159" s="12">
        <v>50703</v>
      </c>
      <c r="L159" s="16" t="str" cm="1">
        <f t="array" ref="L159">_xll.aqBondObjectCreateFromGenerator($C159,$L$4,_xll.aqToolLVBFromKeysValues($C$7:$K$7,$C159:$K159))</f>
        <v>FR0010810101:3</v>
      </c>
      <c r="M159" s="78">
        <v>1.4940490430636499E-2</v>
      </c>
      <c r="N159" s="51">
        <v>74.31</v>
      </c>
      <c r="O159" s="17">
        <v>19.7272</v>
      </c>
      <c r="P159" s="95">
        <v>1465.9269999999999</v>
      </c>
      <c r="Q159" s="39" cm="1">
        <f t="array" ref="Q159">_xll.aqBondObjectYield(L159,$C$4,R159)</f>
        <v>1.4940490430636475E-2</v>
      </c>
      <c r="R159" s="49" cm="1">
        <f t="array" ref="R159">_xll.aqBondObjectPrice($L159,$C$4,$M159)</f>
        <v>74.30999999999996</v>
      </c>
      <c r="S159" s="49" cm="1">
        <f t="array" ref="S159">_xll.aqBondObjectCleanPrice($L159,$C$4,$M159)</f>
        <v>74.30999999999996</v>
      </c>
      <c r="T159" s="49" cm="1">
        <f t="array" ref="T159">_xll.aqBondObjectDirtyPrice($L159,$C$4,$M159)</f>
        <v>74.30999999999996</v>
      </c>
      <c r="U159" s="18" cm="1">
        <f t="array" ref="U159">_xll.aqBondObjectModifiedDuration($L159,$C$4,$Q159)</f>
        <v>19.727184004378358</v>
      </c>
      <c r="V159" s="93" cm="1">
        <f t="array" ref="V159">_xll.aqBondObjectDV01($L159,$C$4,$Q159)</f>
        <v>1465.9270433653551</v>
      </c>
    </row>
    <row r="160" spans="2:22">
      <c r="B160" s="11" t="s">
        <v>1262</v>
      </c>
      <c r="C160" s="11" t="s">
        <v>1263</v>
      </c>
      <c r="D160" s="11" t="s">
        <v>1263</v>
      </c>
      <c r="E160" s="12">
        <v>38972</v>
      </c>
      <c r="F160" s="15"/>
      <c r="G160" s="14"/>
      <c r="H160" s="12"/>
      <c r="I160" s="12"/>
      <c r="J160" s="13">
        <v>0</v>
      </c>
      <c r="K160" s="12">
        <v>50703</v>
      </c>
      <c r="L160" s="16" t="str" cm="1">
        <f t="array" ref="L160">_xll.aqBondObjectCreateFromGenerator($C160,$L$4,_xll.aqToolLVBFromKeysValues($C$7:$K$7,$C160:$K160))</f>
        <v>FR0010371427:3</v>
      </c>
      <c r="M160" s="78">
        <v>1.4492349985191222E-2</v>
      </c>
      <c r="N160" s="51">
        <v>74.97</v>
      </c>
      <c r="O160" s="17">
        <v>19.735900000000001</v>
      </c>
      <c r="P160" s="95">
        <v>1479.6003000000001</v>
      </c>
      <c r="Q160" s="39" cm="1">
        <f t="array" ref="Q160">_xll.aqBondObjectYield(L160,$C$4,R160)</f>
        <v>1.4492349985191251E-2</v>
      </c>
      <c r="R160" s="49" cm="1">
        <f t="array" ref="R160">_xll.aqBondObjectPrice($L160,$C$4,$M160)</f>
        <v>74.970000000000013</v>
      </c>
      <c r="S160" s="49" cm="1">
        <f t="array" ref="S160">_xll.aqBondObjectCleanPrice($L160,$C$4,$M160)</f>
        <v>74.970000000000013</v>
      </c>
      <c r="T160" s="49" cm="1">
        <f t="array" ref="T160">_xll.aqBondObjectDirtyPrice($L160,$C$4,$M160)</f>
        <v>74.970000000000013</v>
      </c>
      <c r="U160" s="18" cm="1">
        <f t="array" ref="U160">_xll.aqBondObjectModifiedDuration($L160,$C$4,$Q160)</f>
        <v>19.735898263315089</v>
      </c>
      <c r="V160" s="93" cm="1">
        <f t="array" ref="V160">_xll.aqBondObjectDV01($L160,$C$4,$Q160)</f>
        <v>1479.6002928007326</v>
      </c>
    </row>
    <row r="161" spans="2:22">
      <c r="B161" s="11" t="s">
        <v>1360</v>
      </c>
      <c r="C161" s="11" t="s">
        <v>1361</v>
      </c>
      <c r="D161" s="11" t="s">
        <v>1361</v>
      </c>
      <c r="E161" s="12">
        <v>38972</v>
      </c>
      <c r="F161" s="15"/>
      <c r="G161" s="14"/>
      <c r="H161" s="12"/>
      <c r="I161" s="12"/>
      <c r="J161" s="13">
        <v>0</v>
      </c>
      <c r="K161" s="12">
        <v>50703</v>
      </c>
      <c r="L161" s="16" t="str" cm="1">
        <f t="array" ref="L161">_xll.aqBondObjectCreateFromGenerator($C161,$L$4,_xll.aqToolLVBFromKeysValues($C$7:$K$7,$C161:$K161))</f>
        <v>FR0010372094:3</v>
      </c>
      <c r="M161" s="78">
        <v>1.4782487640735198E-2</v>
      </c>
      <c r="N161" s="51">
        <v>74.542000000000002</v>
      </c>
      <c r="O161" s="17">
        <v>19.7303</v>
      </c>
      <c r="P161" s="95">
        <v>1470.7327</v>
      </c>
      <c r="Q161" s="39" cm="1">
        <f t="array" ref="Q161">_xll.aqBondObjectYield(L161,$C$4,R161)</f>
        <v>1.4782487640735144E-2</v>
      </c>
      <c r="R161" s="49" cm="1">
        <f t="array" ref="R161">_xll.aqBondObjectPrice($L161,$C$4,$M161)</f>
        <v>74.541999999999987</v>
      </c>
      <c r="S161" s="49" cm="1">
        <f t="array" ref="S161">_xll.aqBondObjectCleanPrice($L161,$C$4,$M161)</f>
        <v>74.541999999999987</v>
      </c>
      <c r="T161" s="49" cm="1">
        <f t="array" ref="T161">_xll.aqBondObjectDirtyPrice($L161,$C$4,$M161)</f>
        <v>74.541999999999987</v>
      </c>
      <c r="U161" s="18" cm="1">
        <f t="array" ref="U161">_xll.aqBondObjectModifiedDuration($L161,$C$4,$Q161)</f>
        <v>19.73025554941146</v>
      </c>
      <c r="V161" s="93" cm="1">
        <f t="array" ref="V161">_xll.aqBondObjectDV01($L161,$C$4,$Q161)</f>
        <v>1470.7327091642287</v>
      </c>
    </row>
    <row r="162" spans="2:22">
      <c r="B162" s="11" t="s">
        <v>1352</v>
      </c>
      <c r="C162" s="11" t="s">
        <v>1353</v>
      </c>
      <c r="D162" s="11" t="s">
        <v>1353</v>
      </c>
      <c r="E162" s="12">
        <v>38411</v>
      </c>
      <c r="F162" s="15"/>
      <c r="G162" s="14"/>
      <c r="H162" s="12"/>
      <c r="I162" s="12"/>
      <c r="J162" s="13">
        <v>0</v>
      </c>
      <c r="K162" s="12">
        <v>50885</v>
      </c>
      <c r="L162" s="16" t="str" cm="1">
        <f t="array" ref="L162">_xll.aqBondObjectCreateFromGenerator($C162,$L$4,_xll.aqToolLVBFromKeysValues($C$7:$K$7,$C162:$K162))</f>
        <v>FR0010172296:3</v>
      </c>
      <c r="M162" s="78">
        <v>1.5018018925855969E-2</v>
      </c>
      <c r="N162" s="51">
        <v>73.647000000000006</v>
      </c>
      <c r="O162" s="17">
        <v>20.216899999999999</v>
      </c>
      <c r="P162" s="95">
        <v>1488.9161999999999</v>
      </c>
      <c r="Q162" s="39" cm="1">
        <f t="array" ref="Q162">_xll.aqBondObjectYield(L162,$C$4,R162)</f>
        <v>1.5018018925855867E-2</v>
      </c>
      <c r="R162" s="49" cm="1">
        <f t="array" ref="R162">_xll.aqBondObjectPrice($L162,$C$4,$M162)</f>
        <v>73.647000000000105</v>
      </c>
      <c r="S162" s="49" cm="1">
        <f t="array" ref="S162">_xll.aqBondObjectCleanPrice($L162,$C$4,$M162)</f>
        <v>73.647000000000105</v>
      </c>
      <c r="T162" s="49" cm="1">
        <f t="array" ref="T162">_xll.aqBondObjectDirtyPrice($L162,$C$4,$M162)</f>
        <v>73.647000000000105</v>
      </c>
      <c r="U162" s="18" cm="1">
        <f t="array" ref="U162">_xll.aqBondObjectModifiedDuration($L162,$C$4,$Q162)</f>
        <v>20.216929712165481</v>
      </c>
      <c r="V162" s="93" cm="1">
        <f t="array" ref="V162">_xll.aqBondObjectDV01($L162,$C$4,$Q162)</f>
        <v>1488.9162225118532</v>
      </c>
    </row>
    <row r="163" spans="2:22">
      <c r="B163" s="11" t="s">
        <v>1356</v>
      </c>
      <c r="C163" s="11" t="s">
        <v>1357</v>
      </c>
      <c r="D163" s="11" t="s">
        <v>1357</v>
      </c>
      <c r="E163" s="12">
        <v>40140</v>
      </c>
      <c r="F163" s="15"/>
      <c r="G163" s="14"/>
      <c r="H163" s="12"/>
      <c r="I163" s="12"/>
      <c r="J163" s="13">
        <v>0</v>
      </c>
      <c r="K163" s="12">
        <v>50885</v>
      </c>
      <c r="L163" s="16" t="str" cm="1">
        <f t="array" ref="L163">_xll.aqBondObjectCreateFromGenerator($C163,$L$4,_xll.aqToolLVBFromKeysValues($C$7:$K$7,$C163:$K163))</f>
        <v>FR0010809749:3</v>
      </c>
      <c r="M163" s="78">
        <v>1.523950421085063E-2</v>
      </c>
      <c r="N163" s="51">
        <v>73.317999999999998</v>
      </c>
      <c r="O163" s="17">
        <v>20.212499999999999</v>
      </c>
      <c r="P163" s="95">
        <v>1481.9414999999999</v>
      </c>
      <c r="Q163" s="39" cm="1">
        <f t="array" ref="Q163">_xll.aqBondObjectYield(L163,$C$4,R163)</f>
        <v>1.5239504210850604E-2</v>
      </c>
      <c r="R163" s="49" cm="1">
        <f t="array" ref="R163">_xll.aqBondObjectPrice($L163,$C$4,$M163)</f>
        <v>73.317999999999941</v>
      </c>
      <c r="S163" s="49" cm="1">
        <f t="array" ref="S163">_xll.aqBondObjectCleanPrice($L163,$C$4,$M163)</f>
        <v>73.317999999999941</v>
      </c>
      <c r="T163" s="49" cm="1">
        <f t="array" ref="T163">_xll.aqBondObjectDirtyPrice($L163,$C$4,$M163)</f>
        <v>73.317999999999941</v>
      </c>
      <c r="U163" s="18" cm="1">
        <f t="array" ref="U163">_xll.aqBondObjectModifiedDuration($L163,$C$4,$Q163)</f>
        <v>20.212519174139285</v>
      </c>
      <c r="V163" s="93" cm="1">
        <f t="array" ref="V163">_xll.aqBondObjectDV01($L163,$C$4,$Q163)</f>
        <v>1481.941480809543</v>
      </c>
    </row>
    <row r="164" spans="2:22">
      <c r="B164" s="11" t="s">
        <v>1306</v>
      </c>
      <c r="C164" s="11" t="s">
        <v>1307</v>
      </c>
      <c r="D164" s="11" t="s">
        <v>1307</v>
      </c>
      <c r="E164" s="12">
        <v>41368</v>
      </c>
      <c r="F164" s="15"/>
      <c r="G164" s="14"/>
      <c r="H164" s="12"/>
      <c r="I164" s="12"/>
      <c r="J164" s="13">
        <v>0</v>
      </c>
      <c r="K164" s="12">
        <v>50915</v>
      </c>
      <c r="L164" s="16" t="str" cm="1">
        <f t="array" ref="L164">_xll.aqBondObjectCreateFromGenerator($C164,$L$4,_xll.aqToolLVBFromKeysValues($C$7:$K$7,$C164:$K164))</f>
        <v>FR0011461607:3</v>
      </c>
      <c r="M164" s="78">
        <v>1.539582684533447E-2</v>
      </c>
      <c r="N164" s="51">
        <v>72.995000000000005</v>
      </c>
      <c r="O164" s="17">
        <v>20.290400000000002</v>
      </c>
      <c r="P164" s="95">
        <v>1481.0943</v>
      </c>
      <c r="Q164" s="39" cm="1">
        <f t="array" ref="Q164">_xll.aqBondObjectYield(L164,$C$4,R164)</f>
        <v>1.5395826845334444E-2</v>
      </c>
      <c r="R164" s="49" cm="1">
        <f t="array" ref="R164">_xll.aqBondObjectPrice($L164,$C$4,$M164)</f>
        <v>72.99500000000009</v>
      </c>
      <c r="S164" s="49" cm="1">
        <f t="array" ref="S164">_xll.aqBondObjectCleanPrice($L164,$C$4,$M164)</f>
        <v>72.99500000000009</v>
      </c>
      <c r="T164" s="49" cm="1">
        <f t="array" ref="T164">_xll.aqBondObjectDirtyPrice($L164,$C$4,$M164)</f>
        <v>72.99500000000009</v>
      </c>
      <c r="U164" s="18" cm="1">
        <f t="array" ref="U164">_xll.aqBondObjectModifiedDuration($L164,$C$4,$Q164)</f>
        <v>20.290352965145303</v>
      </c>
      <c r="V164" s="93" cm="1">
        <f t="array" ref="V164">_xll.aqBondObjectDV01($L164,$C$4,$Q164)</f>
        <v>1481.0943146907832</v>
      </c>
    </row>
    <row r="165" spans="2:22">
      <c r="B165" s="11" t="s">
        <v>1166</v>
      </c>
      <c r="C165" s="11" t="s">
        <v>1167</v>
      </c>
      <c r="D165" s="11" t="s">
        <v>1167</v>
      </c>
      <c r="E165" s="12">
        <v>42766</v>
      </c>
      <c r="F165" s="15">
        <v>42546</v>
      </c>
      <c r="G165" s="14"/>
      <c r="H165" s="12">
        <v>42911</v>
      </c>
      <c r="I165" s="12">
        <v>50581</v>
      </c>
      <c r="J165" s="13">
        <v>1.7500000000000002E-2</v>
      </c>
      <c r="K165" s="12">
        <v>50946</v>
      </c>
      <c r="L165" s="16" t="str" cm="1">
        <f t="array" ref="L165">_xll.aqBondObjectCreateFromGenerator($C165,$L$4,_xll.aqToolLVBFromKeysValues($C$7:$K$7,$C165:$K165))</f>
        <v>FR0013234333:3</v>
      </c>
      <c r="M165" s="78">
        <v>1.4508295832050959E-2</v>
      </c>
      <c r="N165" s="51">
        <v>105.31100000000001</v>
      </c>
      <c r="O165" s="17">
        <v>17.291599999999999</v>
      </c>
      <c r="P165" s="95">
        <v>1830.4476999999999</v>
      </c>
      <c r="Q165" s="39" cm="1">
        <f t="array" ref="Q165">_xll.aqBondObjectYield(L165,$C$4,R165)</f>
        <v>1.4508295832064727E-2</v>
      </c>
      <c r="R165" s="49" cm="1">
        <f t="array" ref="R165">_xll.aqBondObjectPrice($L165,$C$4,$M165)</f>
        <v>105.31099999999986</v>
      </c>
      <c r="S165" s="49" cm="1">
        <f t="array" ref="S165">_xll.aqBondObjectCleanPrice($L165,$C$4,$M165)</f>
        <v>105.31099999999986</v>
      </c>
      <c r="T165" s="49" cm="1">
        <f t="array" ref="T165">_xll.aqBondObjectDirtyPrice($L165,$C$4,$M165)</f>
        <v>105.85757529999987</v>
      </c>
      <c r="U165" s="18" cm="1">
        <f t="array" ref="U165">_xll.aqBondObjectModifiedDuration($L165,$C$4,$Q165)</f>
        <v>17.291608307682854</v>
      </c>
      <c r="V165" s="93" cm="1">
        <f t="array" ref="V165">_xll.aqBondObjectDV01($L165,$C$4,$Q165)</f>
        <v>1830.4477284882048</v>
      </c>
    </row>
    <row r="166" spans="2:22">
      <c r="B166" s="11" t="s">
        <v>1248</v>
      </c>
      <c r="C166" s="11" t="s">
        <v>1249</v>
      </c>
      <c r="D166" s="11" t="s">
        <v>1249</v>
      </c>
      <c r="E166" s="12">
        <v>40140</v>
      </c>
      <c r="F166" s="15"/>
      <c r="G166" s="14"/>
      <c r="H166" s="12"/>
      <c r="I166" s="12"/>
      <c r="J166" s="13">
        <v>0</v>
      </c>
      <c r="K166" s="12">
        <v>51251</v>
      </c>
      <c r="L166" s="16" t="str" cm="1">
        <f t="array" ref="L166">_xll.aqBondObjectCreateFromGenerator($C166,$L$4,_xll.aqToolLVBFromKeysValues($C$7:$K$7,$C166:$K166))</f>
        <v>FR0010809780:3</v>
      </c>
      <c r="M166" s="78">
        <v>1.5793207353901106E-2</v>
      </c>
      <c r="N166" s="51">
        <v>71.375</v>
      </c>
      <c r="O166" s="17">
        <v>21.186</v>
      </c>
      <c r="P166" s="95">
        <v>1512.1475</v>
      </c>
      <c r="Q166" s="39" cm="1">
        <f t="array" ref="Q166">_xll.aqBondObjectYield(L166,$C$4,R166)</f>
        <v>1.5793207353901221E-2</v>
      </c>
      <c r="R166" s="49" cm="1">
        <f t="array" ref="R166">_xll.aqBondObjectPrice($L166,$C$4,$M166)</f>
        <v>71.374999999999986</v>
      </c>
      <c r="S166" s="49" cm="1">
        <f t="array" ref="S166">_xll.aqBondObjectCleanPrice($L166,$C$4,$M166)</f>
        <v>71.374999999999986</v>
      </c>
      <c r="T166" s="49" cm="1">
        <f t="array" ref="T166">_xll.aqBondObjectDirtyPrice($L166,$C$4,$M166)</f>
        <v>71.374999999999986</v>
      </c>
      <c r="U166" s="18" cm="1">
        <f t="array" ref="U166">_xll.aqBondObjectModifiedDuration($L166,$C$4,$Q166)</f>
        <v>21.185953784102971</v>
      </c>
      <c r="V166" s="93" cm="1">
        <f t="array" ref="V166">_xll.aqBondObjectDV01($L166,$C$4,$Q166)</f>
        <v>1512.1474513403423</v>
      </c>
    </row>
    <row r="167" spans="2:22">
      <c r="B167" s="11" t="s">
        <v>1432</v>
      </c>
      <c r="C167" s="11" t="s">
        <v>1433</v>
      </c>
      <c r="D167" s="11" t="s">
        <v>1433</v>
      </c>
      <c r="E167" s="12">
        <v>38411</v>
      </c>
      <c r="F167" s="15"/>
      <c r="G167" s="14"/>
      <c r="H167" s="12"/>
      <c r="I167" s="12"/>
      <c r="J167" s="13">
        <v>0</v>
      </c>
      <c r="K167" s="12">
        <v>51251</v>
      </c>
      <c r="L167" s="16" t="str" cm="1">
        <f t="array" ref="L167">_xll.aqBondObjectCreateFromGenerator($C167,$L$4,_xll.aqToolLVBFromKeysValues($C$7:$K$7,$C167:$K167))</f>
        <v>FR0010172304:3</v>
      </c>
      <c r="M167" s="78">
        <v>1.5297315148641744E-2</v>
      </c>
      <c r="N167" s="51">
        <v>72.129000000000005</v>
      </c>
      <c r="O167" s="17">
        <v>21.196300000000001</v>
      </c>
      <c r="P167" s="95">
        <v>1528.8679999999999</v>
      </c>
      <c r="Q167" s="39" cm="1">
        <f t="array" ref="Q167">_xll.aqBondObjectYield(L167,$C$4,R167)</f>
        <v>1.52973151486417E-2</v>
      </c>
      <c r="R167" s="49" cm="1">
        <f t="array" ref="R167">_xll.aqBondObjectPrice($L167,$C$4,$M167)</f>
        <v>72.129000000000033</v>
      </c>
      <c r="S167" s="49" cm="1">
        <f t="array" ref="S167">_xll.aqBondObjectCleanPrice($L167,$C$4,$M167)</f>
        <v>72.129000000000033</v>
      </c>
      <c r="T167" s="49" cm="1">
        <f t="array" ref="T167">_xll.aqBondObjectDirtyPrice($L167,$C$4,$M167)</f>
        <v>72.129000000000033</v>
      </c>
      <c r="U167" s="18" cm="1">
        <f t="array" ref="U167">_xll.aqBondObjectModifiedDuration($L167,$C$4,$Q167)</f>
        <v>21.196301442060669</v>
      </c>
      <c r="V167" s="93" cm="1">
        <f t="array" ref="V167">_xll.aqBondObjectDV01($L167,$C$4,$Q167)</f>
        <v>1528.8680267143948</v>
      </c>
    </row>
    <row r="168" spans="2:22">
      <c r="B168" s="11" t="s">
        <v>1448</v>
      </c>
      <c r="C168" s="11" t="s">
        <v>1449</v>
      </c>
      <c r="D168" s="11" t="s">
        <v>1449</v>
      </c>
      <c r="E168" s="12">
        <v>41368</v>
      </c>
      <c r="F168" s="15"/>
      <c r="G168" s="14"/>
      <c r="H168" s="12"/>
      <c r="I168" s="12"/>
      <c r="J168" s="13">
        <v>0</v>
      </c>
      <c r="K168" s="12">
        <v>51281</v>
      </c>
      <c r="L168" s="16" t="str" cm="1">
        <f t="array" ref="L168">_xll.aqBondObjectCreateFromGenerator($C168,$L$4,_xll.aqToolLVBFromKeysValues($C$7:$K$7,$C168:$K168))</f>
        <v>FR0011461615:3</v>
      </c>
      <c r="M168" s="78">
        <v>1.6001565400613593E-2</v>
      </c>
      <c r="N168" s="51">
        <v>70.968000000000004</v>
      </c>
      <c r="O168" s="17">
        <v>21.262499999999999</v>
      </c>
      <c r="P168" s="95">
        <v>1508.9575</v>
      </c>
      <c r="Q168" s="39" cm="1">
        <f t="array" ref="Q168">_xll.aqBondObjectYield(L168,$C$4,R168)</f>
        <v>1.6001565400613645E-2</v>
      </c>
      <c r="R168" s="49" cm="1">
        <f t="array" ref="R168">_xll.aqBondObjectPrice($L168,$C$4,$M168)</f>
        <v>70.968000000000004</v>
      </c>
      <c r="S168" s="49" cm="1">
        <f t="array" ref="S168">_xll.aqBondObjectCleanPrice($L168,$C$4,$M168)</f>
        <v>70.968000000000004</v>
      </c>
      <c r="T168" s="49" cm="1">
        <f t="array" ref="T168">_xll.aqBondObjectDirtyPrice($L168,$C$4,$M168)</f>
        <v>70.968000000000004</v>
      </c>
      <c r="U168" s="18" cm="1">
        <f t="array" ref="U168">_xll.aqBondObjectModifiedDuration($L168,$C$4,$Q168)</f>
        <v>21.262506340243039</v>
      </c>
      <c r="V168" s="93" cm="1">
        <f t="array" ref="V168">_xll.aqBondObjectDV01($L168,$C$4,$Q168)</f>
        <v>1508.957549954368</v>
      </c>
    </row>
    <row r="169" spans="2:22">
      <c r="B169" s="11" t="s">
        <v>1164</v>
      </c>
      <c r="C169" s="11" t="s">
        <v>1165</v>
      </c>
      <c r="D169" s="11" t="s">
        <v>1165</v>
      </c>
      <c r="E169" s="12">
        <v>39994</v>
      </c>
      <c r="F169" s="15">
        <v>39928</v>
      </c>
      <c r="G169" s="14"/>
      <c r="H169" s="12">
        <v>40293</v>
      </c>
      <c r="I169" s="12">
        <v>51251</v>
      </c>
      <c r="J169" s="13">
        <v>4.4999999999999998E-2</v>
      </c>
      <c r="K169" s="12">
        <v>51616</v>
      </c>
      <c r="L169" s="16" t="str" cm="1">
        <f t="array" ref="L169">_xll.aqBondObjectCreateFromGenerator($C169,$L$4,_xll.aqToolLVBFromKeysValues($C$7:$K$7,$C169:$K169))</f>
        <v>FR0010773192:9</v>
      </c>
      <c r="M169" s="78">
        <v>1.4587782392608989E-2</v>
      </c>
      <c r="N169" s="51">
        <v>158.012</v>
      </c>
      <c r="O169" s="17">
        <v>15.8956</v>
      </c>
      <c r="P169" s="95">
        <v>2545.9935</v>
      </c>
      <c r="Q169" s="39" cm="1">
        <f t="array" ref="Q169">_xll.aqBondObjectYield(L169,$C$4,R169)</f>
        <v>1.4587782392609145E-2</v>
      </c>
      <c r="R169" s="49" cm="1">
        <f t="array" ref="R169">_xll.aqBondObjectPrice($L169,$C$4,$M169)</f>
        <v>158.01200000044753</v>
      </c>
      <c r="S169" s="49" cm="1">
        <f t="array" ref="S169">_xll.aqBondObjectCleanPrice($L169,$C$4,$M169)</f>
        <v>158.01200000044753</v>
      </c>
      <c r="T169" s="49" cm="1">
        <f t="array" ref="T169">_xll.aqBondObjectDirtyPrice($L169,$C$4,$M169)</f>
        <v>160.16953420044752</v>
      </c>
      <c r="U169" s="18" cm="1">
        <f t="array" ref="U169">_xll.aqBondObjectModifiedDuration($L169,$C$4,$Q169)</f>
        <v>15.89561628156055</v>
      </c>
      <c r="V169" s="93" cm="1">
        <f t="array" ref="V169">_xll.aqBondObjectDV01($L169,$C$4,$Q169)</f>
        <v>2545.9934556466028</v>
      </c>
    </row>
    <row r="170" spans="2:22">
      <c r="B170" s="11" t="s">
        <v>1212</v>
      </c>
      <c r="C170" s="11" t="s">
        <v>1213</v>
      </c>
      <c r="D170" s="11" t="s">
        <v>1213</v>
      </c>
      <c r="E170" s="12">
        <v>40140</v>
      </c>
      <c r="F170" s="15"/>
      <c r="G170" s="14"/>
      <c r="H170" s="12"/>
      <c r="I170" s="12"/>
      <c r="J170" s="13">
        <v>0</v>
      </c>
      <c r="K170" s="12">
        <v>51616</v>
      </c>
      <c r="L170" s="16" t="str" cm="1">
        <f t="array" ref="L170">_xll.aqBondObjectCreateFromGenerator($C170,$L$4,_xll.aqToolLVBFromKeysValues($C$7:$K$7,$C170:$K170))</f>
        <v>FR0010809806:3</v>
      </c>
      <c r="M170" s="78">
        <v>1.6320407323022534E-2</v>
      </c>
      <c r="N170" s="51">
        <v>69.448999999999998</v>
      </c>
      <c r="O170" s="17">
        <v>22.158899999999999</v>
      </c>
      <c r="P170" s="95">
        <v>1538.9138</v>
      </c>
      <c r="Q170" s="39" cm="1">
        <f t="array" ref="Q170">_xll.aqBondObjectYield(L170,$C$4,R170)</f>
        <v>1.6320407323022531E-2</v>
      </c>
      <c r="R170" s="49" cm="1">
        <f t="array" ref="R170">_xll.aqBondObjectPrice($L170,$C$4,$M170)</f>
        <v>69.448999999999899</v>
      </c>
      <c r="S170" s="49" cm="1">
        <f t="array" ref="S170">_xll.aqBondObjectCleanPrice($L170,$C$4,$M170)</f>
        <v>69.448999999999899</v>
      </c>
      <c r="T170" s="49" cm="1">
        <f t="array" ref="T170">_xll.aqBondObjectDirtyPrice($L170,$C$4,$M170)</f>
        <v>69.448999999999899</v>
      </c>
      <c r="U170" s="18" cm="1">
        <f t="array" ref="U170">_xll.aqBondObjectModifiedDuration($L170,$C$4,$Q170)</f>
        <v>22.158905580302548</v>
      </c>
      <c r="V170" s="93" cm="1">
        <f t="array" ref="V170">_xll.aqBondObjectDV01($L170,$C$4,$Q170)</f>
        <v>1538.9138336464293</v>
      </c>
    </row>
    <row r="171" spans="2:22">
      <c r="B171" s="11" t="s">
        <v>1234</v>
      </c>
      <c r="C171" s="11" t="s">
        <v>1235</v>
      </c>
      <c r="D171" s="11" t="s">
        <v>1235</v>
      </c>
      <c r="E171" s="12">
        <v>39994</v>
      </c>
      <c r="F171" s="15"/>
      <c r="G171" s="14"/>
      <c r="H171" s="12"/>
      <c r="I171" s="12"/>
      <c r="J171" s="13">
        <v>0</v>
      </c>
      <c r="K171" s="12">
        <v>51616</v>
      </c>
      <c r="L171" s="16" t="str" cm="1">
        <f t="array" ref="L171">_xll.aqBondObjectCreateFromGenerator($C171,$L$4,_xll.aqToolLVBFromKeysValues($C$7:$K$7,$C171:$K171))</f>
        <v>FR0010773200:3</v>
      </c>
      <c r="M171" s="78">
        <v>1.4775822354253787E-2</v>
      </c>
      <c r="N171" s="51">
        <v>71.869</v>
      </c>
      <c r="O171" s="17">
        <v>22.192599999999999</v>
      </c>
      <c r="P171" s="95">
        <v>1594.9623999999999</v>
      </c>
      <c r="Q171" s="39" cm="1">
        <f t="array" ref="Q171">_xll.aqBondObjectYield(L171,$C$4,R171)</f>
        <v>1.4775822354253719E-2</v>
      </c>
      <c r="R171" s="49" cm="1">
        <f t="array" ref="R171">_xll.aqBondObjectPrice($L171,$C$4,$M171)</f>
        <v>71.869000000000099</v>
      </c>
      <c r="S171" s="49" cm="1">
        <f t="array" ref="S171">_xll.aqBondObjectCleanPrice($L171,$C$4,$M171)</f>
        <v>71.869000000000099</v>
      </c>
      <c r="T171" s="49" cm="1">
        <f t="array" ref="T171">_xll.aqBondObjectDirtyPrice($L171,$C$4,$M171)</f>
        <v>71.869000000000099</v>
      </c>
      <c r="U171" s="18" cm="1">
        <f t="array" ref="U171">_xll.aqBondObjectModifiedDuration($L171,$C$4,$Q171)</f>
        <v>22.192633534526262</v>
      </c>
      <c r="V171" s="93" cm="1">
        <f t="array" ref="V171">_xll.aqBondObjectDV01($L171,$C$4,$Q171)</f>
        <v>1594.96237949287</v>
      </c>
    </row>
    <row r="172" spans="2:22">
      <c r="B172" s="11" t="s">
        <v>1460</v>
      </c>
      <c r="C172" s="11" t="s">
        <v>1461</v>
      </c>
      <c r="D172" s="11" t="s">
        <v>1461</v>
      </c>
      <c r="E172" s="12">
        <v>38411</v>
      </c>
      <c r="F172" s="15"/>
      <c r="G172" s="14"/>
      <c r="H172" s="12"/>
      <c r="I172" s="12"/>
      <c r="J172" s="13">
        <v>0</v>
      </c>
      <c r="K172" s="12">
        <v>51616</v>
      </c>
      <c r="L172" s="16" t="str" cm="1">
        <f t="array" ref="L172">_xll.aqBondObjectCreateFromGenerator($C172,$L$4,_xll.aqToolLVBFromKeysValues($C$7:$K$7,$C172:$K172))</f>
        <v>FR0010172312:3</v>
      </c>
      <c r="M172" s="78">
        <v>1.5639601860431229E-2</v>
      </c>
      <c r="N172" s="51">
        <v>70.504999999999995</v>
      </c>
      <c r="O172" s="17">
        <v>22.1738</v>
      </c>
      <c r="P172" s="95">
        <v>1563.3608999999999</v>
      </c>
      <c r="Q172" s="39" cm="1">
        <f t="array" ref="Q172">_xll.aqBondObjectYield(L172,$C$4,R172)</f>
        <v>1.5639601860431163E-2</v>
      </c>
      <c r="R172" s="49" cm="1">
        <f t="array" ref="R172">_xll.aqBondObjectPrice($L172,$C$4,$M172)</f>
        <v>70.504999999999981</v>
      </c>
      <c r="S172" s="49" cm="1">
        <f t="array" ref="S172">_xll.aqBondObjectCleanPrice($L172,$C$4,$M172)</f>
        <v>70.504999999999981</v>
      </c>
      <c r="T172" s="49" cm="1">
        <f t="array" ref="T172">_xll.aqBondObjectDirtyPrice($L172,$C$4,$M172)</f>
        <v>70.504999999999981</v>
      </c>
      <c r="U172" s="18" cm="1">
        <f t="array" ref="U172">_xll.aqBondObjectModifiedDuration($L172,$C$4,$Q172)</f>
        <v>22.173759179883032</v>
      </c>
      <c r="V172" s="93" cm="1">
        <f t="array" ref="V172">_xll.aqBondObjectDV01($L172,$C$4,$Q172)</f>
        <v>1563.3608909776526</v>
      </c>
    </row>
    <row r="173" spans="2:22">
      <c r="B173" s="11" t="s">
        <v>1164</v>
      </c>
      <c r="C173" s="11" t="s">
        <v>1165</v>
      </c>
      <c r="D173" s="11" t="s">
        <v>1165</v>
      </c>
      <c r="E173" s="12">
        <v>39994</v>
      </c>
      <c r="F173" s="15">
        <v>39928</v>
      </c>
      <c r="G173" s="14"/>
      <c r="H173" s="12">
        <v>40293</v>
      </c>
      <c r="I173" s="12">
        <v>51251</v>
      </c>
      <c r="J173" s="13">
        <v>4.4999999999999998E-2</v>
      </c>
      <c r="K173" s="12">
        <v>51616</v>
      </c>
      <c r="L173" s="16" t="str" cm="1">
        <f t="array" ref="L173">_xll.aqBondObjectCreateFromGenerator($C173,$L$4,_xll.aqToolLVBFromKeysValues($C$7:$K$7,$C173:$K173))</f>
        <v>FR0010773192:10</v>
      </c>
      <c r="M173" s="78">
        <v>1.4587782392608989E-2</v>
      </c>
      <c r="N173" s="51">
        <v>158.012</v>
      </c>
      <c r="O173" s="17">
        <v>15.8956</v>
      </c>
      <c r="P173" s="95">
        <v>2545.9935</v>
      </c>
      <c r="Q173" s="39" cm="1">
        <f t="array" ref="Q173">_xll.aqBondObjectYield(L173,$C$4,R173)</f>
        <v>1.4587782392609145E-2</v>
      </c>
      <c r="R173" s="49" cm="1">
        <f t="array" ref="R173">_xll.aqBondObjectPrice($L173,$C$4,$M173)</f>
        <v>158.01200000044753</v>
      </c>
      <c r="S173" s="49" cm="1">
        <f t="array" ref="S173">_xll.aqBondObjectCleanPrice($L173,$C$4,$M173)</f>
        <v>158.01200000044753</v>
      </c>
      <c r="T173" s="49" cm="1">
        <f t="array" ref="T173">_xll.aqBondObjectDirtyPrice($L173,$C$4,$M173)</f>
        <v>160.16953420044752</v>
      </c>
      <c r="U173" s="18" cm="1">
        <f t="array" ref="U173">_xll.aqBondObjectModifiedDuration($L173,$C$4,$Q173)</f>
        <v>15.89561628156055</v>
      </c>
      <c r="V173" s="93" cm="1">
        <f t="array" ref="V173">_xll.aqBondObjectDV01($L173,$C$4,$Q173)</f>
        <v>2545.9934556466028</v>
      </c>
    </row>
    <row r="174" spans="2:22">
      <c r="B174" s="11" t="s">
        <v>1164</v>
      </c>
      <c r="C174" s="11" t="s">
        <v>1165</v>
      </c>
      <c r="D174" s="11" t="s">
        <v>1165</v>
      </c>
      <c r="E174" s="12">
        <v>39994</v>
      </c>
      <c r="F174" s="15">
        <v>39928</v>
      </c>
      <c r="G174" s="14"/>
      <c r="H174" s="12">
        <v>40293</v>
      </c>
      <c r="I174" s="12">
        <v>51251</v>
      </c>
      <c r="J174" s="13">
        <v>4.4999999999999998E-2</v>
      </c>
      <c r="K174" s="12">
        <v>51616</v>
      </c>
      <c r="L174" s="16" t="str" cm="1">
        <f t="array" ref="L174">_xll.aqBondObjectCreateFromGenerator($C174,$L$4,_xll.aqToolLVBFromKeysValues($C$7:$K$7,$C174:$K174))</f>
        <v>FR0010773192:11</v>
      </c>
      <c r="M174" s="78">
        <v>1.4587782392608989E-2</v>
      </c>
      <c r="N174" s="51">
        <v>158.012</v>
      </c>
      <c r="O174" s="17">
        <v>15.8956</v>
      </c>
      <c r="P174" s="95">
        <v>2545.9935</v>
      </c>
      <c r="Q174" s="39" cm="1">
        <f t="array" ref="Q174">_xll.aqBondObjectYield(L174,$C$4,R174)</f>
        <v>1.4587782392609145E-2</v>
      </c>
      <c r="R174" s="49" cm="1">
        <f t="array" ref="R174">_xll.aqBondObjectPrice($L174,$C$4,$M174)</f>
        <v>158.01200000044753</v>
      </c>
      <c r="S174" s="49" cm="1">
        <f t="array" ref="S174">_xll.aqBondObjectCleanPrice($L174,$C$4,$M174)</f>
        <v>158.01200000044753</v>
      </c>
      <c r="T174" s="49" cm="1">
        <f t="array" ref="T174">_xll.aqBondObjectDirtyPrice($L174,$C$4,$M174)</f>
        <v>160.16953420044752</v>
      </c>
      <c r="U174" s="18" cm="1">
        <f t="array" ref="U174">_xll.aqBondObjectModifiedDuration($L174,$C$4,$Q174)</f>
        <v>15.89561628156055</v>
      </c>
      <c r="V174" s="93" cm="1">
        <f t="array" ref="V174">_xll.aqBondObjectDV01($L174,$C$4,$Q174)</f>
        <v>2545.9934556466028</v>
      </c>
    </row>
    <row r="175" spans="2:22">
      <c r="B175" s="11" t="s">
        <v>1410</v>
      </c>
      <c r="C175" s="11" t="s">
        <v>1411</v>
      </c>
      <c r="D175" s="11" t="s">
        <v>1411</v>
      </c>
      <c r="E175" s="12">
        <v>41368</v>
      </c>
      <c r="F175" s="15"/>
      <c r="G175" s="14"/>
      <c r="H175" s="12"/>
      <c r="I175" s="12"/>
      <c r="J175" s="13">
        <v>0</v>
      </c>
      <c r="K175" s="12">
        <v>51646</v>
      </c>
      <c r="L175" s="16" t="str" cm="1">
        <f t="array" ref="L175">_xll.aqBondObjectCreateFromGenerator($C175,$L$4,_xll.aqToolLVBFromKeysValues($C$7:$K$7,$C175:$K175))</f>
        <v>FR0011461623:3</v>
      </c>
      <c r="M175" s="78">
        <v>1.6541824552873674E-2</v>
      </c>
      <c r="N175" s="51">
        <v>69.016000000000005</v>
      </c>
      <c r="O175" s="17">
        <v>22.2349</v>
      </c>
      <c r="P175" s="95">
        <v>1534.5662</v>
      </c>
      <c r="Q175" s="39" cm="1">
        <f t="array" ref="Q175">_xll.aqBondObjectYield(L175,$C$4,R175)</f>
        <v>1.654182455287375E-2</v>
      </c>
      <c r="R175" s="49" cm="1">
        <f t="array" ref="R175">_xll.aqBondObjectPrice($L175,$C$4,$M175)</f>
        <v>69.01600000000002</v>
      </c>
      <c r="S175" s="49" cm="1">
        <f t="array" ref="S175">_xll.aqBondObjectCleanPrice($L175,$C$4,$M175)</f>
        <v>69.01600000000002</v>
      </c>
      <c r="T175" s="49" cm="1">
        <f t="array" ref="T175">_xll.aqBondObjectDirtyPrice($L175,$C$4,$M175)</f>
        <v>69.01600000000002</v>
      </c>
      <c r="U175" s="18" cm="1">
        <f t="array" ref="U175">_xll.aqBondObjectModifiedDuration($L175,$C$4,$Q175)</f>
        <v>22.23493335945053</v>
      </c>
      <c r="V175" s="93" cm="1">
        <f t="array" ref="V175">_xll.aqBondObjectDV01($L175,$C$4,$Q175)</f>
        <v>1534.5661607358381</v>
      </c>
    </row>
    <row r="176" spans="2:22">
      <c r="B176" s="11" t="s">
        <v>1296</v>
      </c>
      <c r="C176" s="11" t="s">
        <v>1297</v>
      </c>
      <c r="D176" s="11" t="s">
        <v>1297</v>
      </c>
      <c r="E176" s="12">
        <v>40140</v>
      </c>
      <c r="F176" s="15"/>
      <c r="G176" s="14"/>
      <c r="H176" s="12"/>
      <c r="I176" s="12"/>
      <c r="J176" s="13">
        <v>0</v>
      </c>
      <c r="K176" s="12">
        <v>51981</v>
      </c>
      <c r="L176" s="16" t="str" cm="1">
        <f t="array" ref="L176">_xll.aqBondObjectCreateFromGenerator($C176,$L$4,_xll.aqToolLVBFromKeysValues($C$7:$K$7,$C176:$K176))</f>
        <v>FR0010809830:3</v>
      </c>
      <c r="M176" s="78">
        <v>1.6700129580387246E-2</v>
      </c>
      <c r="N176" s="51">
        <v>67.736000000000004</v>
      </c>
      <c r="O176" s="17">
        <v>23.1342</v>
      </c>
      <c r="P176" s="95">
        <v>1567.0183999999999</v>
      </c>
      <c r="Q176" s="39" cm="1">
        <f t="array" ref="Q176">_xll.aqBondObjectYield(L176,$C$4,R176)</f>
        <v>1.6700129580387225E-2</v>
      </c>
      <c r="R176" s="49" cm="1">
        <f t="array" ref="R176">_xll.aqBondObjectPrice($L176,$C$4,$M176)</f>
        <v>67.735999999999919</v>
      </c>
      <c r="S176" s="49" cm="1">
        <f t="array" ref="S176">_xll.aqBondObjectCleanPrice($L176,$C$4,$M176)</f>
        <v>67.735999999999919</v>
      </c>
      <c r="T176" s="49" cm="1">
        <f t="array" ref="T176">_xll.aqBondObjectDirtyPrice($L176,$C$4,$M176)</f>
        <v>67.735999999999919</v>
      </c>
      <c r="U176" s="18" cm="1">
        <f t="array" ref="U176">_xll.aqBondObjectModifiedDuration($L176,$C$4,$Q176)</f>
        <v>23.134203744926133</v>
      </c>
      <c r="V176" s="93" cm="1">
        <f t="array" ref="V176">_xll.aqBondObjectDV01($L176,$C$4,$Q176)</f>
        <v>1567.0184248663147</v>
      </c>
    </row>
    <row r="177" spans="2:22">
      <c r="B177" s="11" t="s">
        <v>1520</v>
      </c>
      <c r="C177" s="11" t="s">
        <v>1521</v>
      </c>
      <c r="D177" s="11" t="s">
        <v>1521</v>
      </c>
      <c r="E177" s="12">
        <v>38411</v>
      </c>
      <c r="F177" s="15"/>
      <c r="G177" s="14"/>
      <c r="H177" s="12"/>
      <c r="I177" s="12"/>
      <c r="J177" s="13">
        <v>0</v>
      </c>
      <c r="K177" s="12">
        <v>51981</v>
      </c>
      <c r="L177" s="16" t="str" cm="1">
        <f t="array" ref="L177">_xll.aqBondObjectCreateFromGenerator($C177,$L$4,_xll.aqToolLVBFromKeysValues($C$7:$K$7,$C177:$K177))</f>
        <v>FR0010172320:3</v>
      </c>
      <c r="M177" s="78">
        <v>1.6261493448743503E-2</v>
      </c>
      <c r="N177" s="51">
        <v>68.427000000000007</v>
      </c>
      <c r="O177" s="17">
        <v>23.144200000000001</v>
      </c>
      <c r="P177" s="95">
        <v>1583.6874</v>
      </c>
      <c r="Q177" s="39" cm="1">
        <f t="array" ref="Q177">_xll.aqBondObjectYield(L177,$C$4,R177)</f>
        <v>1.626149344874352E-2</v>
      </c>
      <c r="R177" s="49" cm="1">
        <f t="array" ref="R177">_xll.aqBondObjectPrice($L177,$C$4,$M177)</f>
        <v>68.427000000000135</v>
      </c>
      <c r="S177" s="49" cm="1">
        <f t="array" ref="S177">_xll.aqBondObjectCleanPrice($L177,$C$4,$M177)</f>
        <v>68.427000000000135</v>
      </c>
      <c r="T177" s="49" cm="1">
        <f t="array" ref="T177">_xll.aqBondObjectDirtyPrice($L177,$C$4,$M177)</f>
        <v>68.427000000000135</v>
      </c>
      <c r="U177" s="18" cm="1">
        <f t="array" ref="U177">_xll.aqBondObjectModifiedDuration($L177,$C$4,$Q177)</f>
        <v>23.144188869527184</v>
      </c>
      <c r="V177" s="93" cm="1">
        <f t="array" ref="V177">_xll.aqBondObjectDV01($L177,$C$4,$Q177)</f>
        <v>1583.6874117751397</v>
      </c>
    </row>
    <row r="178" spans="2:22">
      <c r="B178" s="11" t="s">
        <v>1436</v>
      </c>
      <c r="C178" s="11" t="s">
        <v>1437</v>
      </c>
      <c r="D178" s="11" t="s">
        <v>1437</v>
      </c>
      <c r="E178" s="12">
        <v>41368</v>
      </c>
      <c r="F178" s="15"/>
      <c r="G178" s="14"/>
      <c r="H178" s="12"/>
      <c r="I178" s="12"/>
      <c r="J178" s="13">
        <v>0</v>
      </c>
      <c r="K178" s="12">
        <v>52011</v>
      </c>
      <c r="L178" s="16" t="str" cm="1">
        <f t="array" ref="L178">_xll.aqBondObjectCreateFromGenerator($C178,$L$4,_xll.aqToolLVBFromKeysValues($C$7:$K$7,$C178:$K178))</f>
        <v>FR0011461631:3</v>
      </c>
      <c r="M178" s="78">
        <v>1.6826315954055149E-2</v>
      </c>
      <c r="N178" s="51">
        <v>67.445999999999998</v>
      </c>
      <c r="O178" s="17">
        <v>23.212199999999999</v>
      </c>
      <c r="P178" s="95">
        <v>1565.5676000000001</v>
      </c>
      <c r="Q178" s="39" cm="1">
        <f t="array" ref="Q178">_xll.aqBondObjectYield(L178,$C$4,R178)</f>
        <v>1.6826315954055079E-2</v>
      </c>
      <c r="R178" s="49" cm="1">
        <f t="array" ref="R178">_xll.aqBondObjectPrice($L178,$C$4,$M178)</f>
        <v>67.44599999999997</v>
      </c>
      <c r="S178" s="49" cm="1">
        <f t="array" ref="S178">_xll.aqBondObjectCleanPrice($L178,$C$4,$M178)</f>
        <v>67.44599999999997</v>
      </c>
      <c r="T178" s="49" cm="1">
        <f t="array" ref="T178">_xll.aqBondObjectDirtyPrice($L178,$C$4,$M178)</f>
        <v>67.44599999999997</v>
      </c>
      <c r="U178" s="18" cm="1">
        <f t="array" ref="U178">_xll.aqBondObjectModifiedDuration($L178,$C$4,$Q178)</f>
        <v>23.212164511971466</v>
      </c>
      <c r="V178" s="93" cm="1">
        <f t="array" ref="V178">_xll.aqBondObjectDV01($L178,$C$4,$Q178)</f>
        <v>1565.5676476744268</v>
      </c>
    </row>
    <row r="179" spans="2:22">
      <c r="B179" s="11" t="s">
        <v>1222</v>
      </c>
      <c r="C179" s="11" t="s">
        <v>1223</v>
      </c>
      <c r="D179" s="11" t="s">
        <v>1223</v>
      </c>
      <c r="E179" s="12">
        <v>40140</v>
      </c>
      <c r="F179" s="15"/>
      <c r="G179" s="14"/>
      <c r="H179" s="12"/>
      <c r="I179" s="12"/>
      <c r="J179" s="13">
        <v>0</v>
      </c>
      <c r="K179" s="12">
        <v>52346</v>
      </c>
      <c r="L179" s="16" t="str" cm="1">
        <f t="array" ref="L179">_xll.aqBondObjectCreateFromGenerator($C179,$L$4,_xll.aqToolLVBFromKeysValues($C$7:$K$7,$C179:$K179))</f>
        <v>FR0010809863:3</v>
      </c>
      <c r="M179" s="78">
        <v>1.703409835374825E-2</v>
      </c>
      <c r="N179" s="51">
        <v>66.088999999999999</v>
      </c>
      <c r="O179" s="17">
        <v>24.1099</v>
      </c>
      <c r="P179" s="95">
        <v>1593.3964000000001</v>
      </c>
      <c r="Q179" s="39" cm="1">
        <f t="array" ref="Q179">_xll.aqBondObjectYield(L179,$C$4,R179)</f>
        <v>1.7034098353748282E-2</v>
      </c>
      <c r="R179" s="49" cm="1">
        <f t="array" ref="R179">_xll.aqBondObjectPrice($L179,$C$4,$M179)</f>
        <v>66.088999999999984</v>
      </c>
      <c r="S179" s="49" cm="1">
        <f t="array" ref="S179">_xll.aqBondObjectCleanPrice($L179,$C$4,$M179)</f>
        <v>66.088999999999984</v>
      </c>
      <c r="T179" s="49" cm="1">
        <f t="array" ref="T179">_xll.aqBondObjectDirtyPrice($L179,$C$4,$M179)</f>
        <v>66.088999999999984</v>
      </c>
      <c r="U179" s="18" cm="1">
        <f t="array" ref="U179">_xll.aqBondObjectModifiedDuration($L179,$C$4,$Q179)</f>
        <v>24.10985824850551</v>
      </c>
      <c r="V179" s="93" cm="1">
        <f t="array" ref="V179">_xll.aqBondObjectDV01($L179,$C$4,$Q179)</f>
        <v>1593.3964217854802</v>
      </c>
    </row>
    <row r="180" spans="2:22">
      <c r="B180" s="11" t="s">
        <v>1486</v>
      </c>
      <c r="C180" s="11" t="s">
        <v>1487</v>
      </c>
      <c r="D180" s="11" t="s">
        <v>1487</v>
      </c>
      <c r="E180" s="12">
        <v>38411</v>
      </c>
      <c r="F180" s="15"/>
      <c r="G180" s="14"/>
      <c r="H180" s="12"/>
      <c r="I180" s="12"/>
      <c r="J180" s="13">
        <v>0</v>
      </c>
      <c r="K180" s="12">
        <v>52346</v>
      </c>
      <c r="L180" s="16" t="str" cm="1">
        <f t="array" ref="L180">_xll.aqBondObjectCreateFromGenerator($C180,$L$4,_xll.aqToolLVBFromKeysValues($C$7:$K$7,$C180:$K180))</f>
        <v>FR0010172478:3</v>
      </c>
      <c r="M180" s="78">
        <v>1.4867433008359354E-2</v>
      </c>
      <c r="N180" s="51">
        <v>69.637</v>
      </c>
      <c r="O180" s="17">
        <v>24.161300000000001</v>
      </c>
      <c r="P180" s="95">
        <v>1682.5226</v>
      </c>
      <c r="Q180" s="39" cm="1">
        <f t="array" ref="Q180">_xll.aqBondObjectYield(L180,$C$4,R180)</f>
        <v>1.486743300835946E-2</v>
      </c>
      <c r="R180" s="49" cm="1">
        <f t="array" ref="R180">_xll.aqBondObjectPrice($L180,$C$4,$M180)</f>
        <v>69.636999999999944</v>
      </c>
      <c r="S180" s="49" cm="1">
        <f t="array" ref="S180">_xll.aqBondObjectCleanPrice($L180,$C$4,$M180)</f>
        <v>69.636999999999944</v>
      </c>
      <c r="T180" s="49" cm="1">
        <f t="array" ref="T180">_xll.aqBondObjectDirtyPrice($L180,$C$4,$M180)</f>
        <v>69.636999999999944</v>
      </c>
      <c r="U180" s="18" cm="1">
        <f t="array" ref="U180">_xll.aqBondObjectModifiedDuration($L180,$C$4,$Q180)</f>
        <v>24.161330975533939</v>
      </c>
      <c r="V180" s="93" cm="1">
        <f t="array" ref="V180">_xll.aqBondObjectDV01($L180,$C$4,$Q180)</f>
        <v>1682.5226051432555</v>
      </c>
    </row>
    <row r="181" spans="2:22">
      <c r="B181" s="11" t="s">
        <v>1376</v>
      </c>
      <c r="C181" s="11" t="s">
        <v>1377</v>
      </c>
      <c r="D181" s="11" t="s">
        <v>1377</v>
      </c>
      <c r="E181" s="12">
        <v>41368</v>
      </c>
      <c r="F181" s="15"/>
      <c r="G181" s="14"/>
      <c r="H181" s="12"/>
      <c r="I181" s="12"/>
      <c r="J181" s="13">
        <v>0</v>
      </c>
      <c r="K181" s="12">
        <v>52376</v>
      </c>
      <c r="L181" s="16" t="str" cm="1">
        <f t="array" ref="L181">_xll.aqBondObjectCreateFromGenerator($C181,$L$4,_xll.aqToolLVBFromKeysValues($C$7:$K$7,$C181:$K181))</f>
        <v>FR0011461649:3</v>
      </c>
      <c r="M181" s="78">
        <v>1.7209436644033849E-2</v>
      </c>
      <c r="N181" s="51">
        <v>65.718000000000004</v>
      </c>
      <c r="O181" s="17">
        <v>24.186499999999999</v>
      </c>
      <c r="P181" s="95">
        <v>1589.4885999999999</v>
      </c>
      <c r="Q181" s="39" cm="1">
        <f t="array" ref="Q181">_xll.aqBondObjectYield(L181,$C$4,R181)</f>
        <v>1.7209436644033876E-2</v>
      </c>
      <c r="R181" s="49" cm="1">
        <f t="array" ref="R181">_xll.aqBondObjectPrice($L181,$C$4,$M181)</f>
        <v>65.718000000000075</v>
      </c>
      <c r="S181" s="49" cm="1">
        <f t="array" ref="S181">_xll.aqBondObjectCleanPrice($L181,$C$4,$M181)</f>
        <v>65.718000000000075</v>
      </c>
      <c r="T181" s="49" cm="1">
        <f t="array" ref="T181">_xll.aqBondObjectDirtyPrice($L181,$C$4,$M181)</f>
        <v>65.718000000000075</v>
      </c>
      <c r="U181" s="18" cm="1">
        <f t="array" ref="U181">_xll.aqBondObjectModifiedDuration($L181,$C$4,$Q181)</f>
        <v>24.186503624264919</v>
      </c>
      <c r="V181" s="93" cm="1">
        <f t="array" ref="V181">_xll.aqBondObjectDV01($L181,$C$4,$Q181)</f>
        <v>1589.4886451794437</v>
      </c>
    </row>
    <row r="182" spans="2:22">
      <c r="B182" s="11" t="s">
        <v>1270</v>
      </c>
      <c r="C182" s="11" t="s">
        <v>1271</v>
      </c>
      <c r="D182" s="11" t="s">
        <v>1271</v>
      </c>
      <c r="E182" s="12">
        <v>40140</v>
      </c>
      <c r="F182" s="15"/>
      <c r="G182" s="14"/>
      <c r="H182" s="12"/>
      <c r="I182" s="12"/>
      <c r="J182" s="13">
        <v>0</v>
      </c>
      <c r="K182" s="12">
        <v>52712</v>
      </c>
      <c r="L182" s="16" t="str" cm="1">
        <f t="array" ref="L182">_xll.aqBondObjectCreateFromGenerator($C182,$L$4,_xll.aqToolLVBFromKeysValues($C$7:$K$7,$C182:$K182))</f>
        <v>FR0010809905:3</v>
      </c>
      <c r="M182" s="78">
        <v>1.7423711755763405E-2</v>
      </c>
      <c r="N182" s="51">
        <v>64.349999999999994</v>
      </c>
      <c r="O182" s="17">
        <v>25.083500000000001</v>
      </c>
      <c r="P182" s="95">
        <v>1614.1232</v>
      </c>
      <c r="Q182" s="39" cm="1">
        <f t="array" ref="Q182">_xll.aqBondObjectYield(L182,$C$4,R182)</f>
        <v>1.7423711755763505E-2</v>
      </c>
      <c r="R182" s="49" cm="1">
        <f t="array" ref="R182">_xll.aqBondObjectPrice($L182,$C$4,$M182)</f>
        <v>64.350000000000023</v>
      </c>
      <c r="S182" s="49" cm="1">
        <f t="array" ref="S182">_xll.aqBondObjectCleanPrice($L182,$C$4,$M182)</f>
        <v>64.350000000000023</v>
      </c>
      <c r="T182" s="49" cm="1">
        <f t="array" ref="T182">_xll.aqBondObjectDirtyPrice($L182,$C$4,$M182)</f>
        <v>64.350000000000023</v>
      </c>
      <c r="U182" s="18" cm="1">
        <f t="array" ref="U182">_xll.aqBondObjectModifiedDuration($L182,$C$4,$Q182)</f>
        <v>25.083500266732319</v>
      </c>
      <c r="V182" s="93" cm="1">
        <f t="array" ref="V182">_xll.aqBondObjectDV01($L182,$C$4,$Q182)</f>
        <v>1614.1232421642253</v>
      </c>
    </row>
    <row r="183" spans="2:22">
      <c r="B183" s="11" t="s">
        <v>1308</v>
      </c>
      <c r="C183" s="11" t="s">
        <v>1309</v>
      </c>
      <c r="D183" s="11" t="s">
        <v>1309</v>
      </c>
      <c r="E183" s="12">
        <v>38411</v>
      </c>
      <c r="F183" s="15"/>
      <c r="G183" s="14"/>
      <c r="H183" s="12"/>
      <c r="I183" s="12"/>
      <c r="J183" s="13">
        <v>0</v>
      </c>
      <c r="K183" s="12">
        <v>52712</v>
      </c>
      <c r="L183" s="16" t="str" cm="1">
        <f t="array" ref="L183">_xll.aqBondObjectCreateFromGenerator($C183,$L$4,_xll.aqToolLVBFromKeysValues($C$7:$K$7,$C183:$K183))</f>
        <v>FR0010172494:3</v>
      </c>
      <c r="M183" s="78">
        <v>1.5067809751746708E-2</v>
      </c>
      <c r="N183" s="51">
        <v>68.272000000000006</v>
      </c>
      <c r="O183" s="17">
        <v>25.1417</v>
      </c>
      <c r="P183" s="95">
        <v>1716.4753000000001</v>
      </c>
      <c r="Q183" s="39" cm="1">
        <f t="array" ref="Q183">_xll.aqBondObjectYield(L183,$C$4,R183)</f>
        <v>1.5067809751746736E-2</v>
      </c>
      <c r="R183" s="49" cm="1">
        <f t="array" ref="R183">_xll.aqBondObjectPrice($L183,$C$4,$M183)</f>
        <v>68.272000000000176</v>
      </c>
      <c r="S183" s="49" cm="1">
        <f t="array" ref="S183">_xll.aqBondObjectCleanPrice($L183,$C$4,$M183)</f>
        <v>68.272000000000176</v>
      </c>
      <c r="T183" s="49" cm="1">
        <f t="array" ref="T183">_xll.aqBondObjectDirtyPrice($L183,$C$4,$M183)</f>
        <v>68.272000000000176</v>
      </c>
      <c r="U183" s="18" cm="1">
        <f t="array" ref="U183">_xll.aqBondObjectModifiedDuration($L183,$C$4,$Q183)</f>
        <v>25.141717331620431</v>
      </c>
      <c r="V183" s="93" cm="1">
        <f t="array" ref="V183">_xll.aqBondObjectDV01($L183,$C$4,$Q183)</f>
        <v>1716.4753256643944</v>
      </c>
    </row>
    <row r="184" spans="2:22">
      <c r="B184" s="11" t="s">
        <v>1322</v>
      </c>
      <c r="C184" s="11" t="s">
        <v>1323</v>
      </c>
      <c r="D184" s="11" t="s">
        <v>1323</v>
      </c>
      <c r="E184" s="12">
        <v>41368</v>
      </c>
      <c r="F184" s="15"/>
      <c r="G184" s="14"/>
      <c r="H184" s="12"/>
      <c r="I184" s="12"/>
      <c r="J184" s="13">
        <v>0</v>
      </c>
      <c r="K184" s="12">
        <v>52742</v>
      </c>
      <c r="L184" s="16" t="str" cm="1">
        <f t="array" ref="L184">_xll.aqBondObjectCreateFromGenerator($C184,$L$4,_xll.aqToolLVBFromKeysValues($C$7:$K$7,$C184:$K184))</f>
        <v>FR0011461656:3</v>
      </c>
      <c r="M184" s="78">
        <v>1.7537486857973184E-2</v>
      </c>
      <c r="N184" s="51">
        <v>64.075000000000003</v>
      </c>
      <c r="O184" s="17">
        <v>25.1615</v>
      </c>
      <c r="P184" s="95">
        <v>1612.2212</v>
      </c>
      <c r="Q184" s="39" cm="1">
        <f t="array" ref="Q184">_xll.aqBondObjectYield(L184,$C$4,R184)</f>
        <v>1.7537486857973263E-2</v>
      </c>
      <c r="R184" s="49" cm="1">
        <f t="array" ref="R184">_xll.aqBondObjectPrice($L184,$C$4,$M184)</f>
        <v>64.075000000000031</v>
      </c>
      <c r="S184" s="49" cm="1">
        <f t="array" ref="S184">_xll.aqBondObjectCleanPrice($L184,$C$4,$M184)</f>
        <v>64.075000000000031</v>
      </c>
      <c r="T184" s="49" cm="1">
        <f t="array" ref="T184">_xll.aqBondObjectDirtyPrice($L184,$C$4,$M184)</f>
        <v>64.075000000000031</v>
      </c>
      <c r="U184" s="18" cm="1">
        <f t="array" ref="U184">_xll.aqBondObjectModifiedDuration($L184,$C$4,$Q184)</f>
        <v>25.161470763190668</v>
      </c>
      <c r="V184" s="93" cm="1">
        <f t="array" ref="V184">_xll.aqBondObjectDV01($L184,$C$4,$Q184)</f>
        <v>1612.2212391514429</v>
      </c>
    </row>
    <row r="185" spans="2:22">
      <c r="B185" s="11" t="s">
        <v>1244</v>
      </c>
      <c r="C185" s="11" t="s">
        <v>1245</v>
      </c>
      <c r="D185" s="11" t="s">
        <v>1245</v>
      </c>
      <c r="E185" s="12">
        <v>40140</v>
      </c>
      <c r="F185" s="15"/>
      <c r="G185" s="14"/>
      <c r="H185" s="12"/>
      <c r="I185" s="12"/>
      <c r="J185" s="13">
        <v>0</v>
      </c>
      <c r="K185" s="12">
        <v>53077</v>
      </c>
      <c r="L185" s="16" t="str" cm="1">
        <f t="array" ref="L185">_xll.aqBondObjectCreateFromGenerator($C185,$L$4,_xll.aqToolLVBFromKeysValues($C$7:$K$7,$C185:$K185))</f>
        <v>FR0010809491:3</v>
      </c>
      <c r="M185" s="78">
        <v>1.7639050442788573E-2</v>
      </c>
      <c r="N185" s="51">
        <v>62.893999999999998</v>
      </c>
      <c r="O185" s="17">
        <v>26.0609</v>
      </c>
      <c r="P185" s="95">
        <v>1639.0717</v>
      </c>
      <c r="Q185" s="39" cm="1">
        <f t="array" ref="Q185">_xll.aqBondObjectYield(L185,$C$4,R185)</f>
        <v>1.7639050442788698E-2</v>
      </c>
      <c r="R185" s="49" cm="1">
        <f t="array" ref="R185">_xll.aqBondObjectPrice($L185,$C$4,$M185)</f>
        <v>62.894000000000148</v>
      </c>
      <c r="S185" s="49" cm="1">
        <f t="array" ref="S185">_xll.aqBondObjectCleanPrice($L185,$C$4,$M185)</f>
        <v>62.894000000000148</v>
      </c>
      <c r="T185" s="49" cm="1">
        <f t="array" ref="T185">_xll.aqBondObjectDirtyPrice($L185,$C$4,$M185)</f>
        <v>62.894000000000148</v>
      </c>
      <c r="U185" s="18" cm="1">
        <f t="array" ref="U185">_xll.aqBondObjectModifiedDuration($L185,$C$4,$Q185)</f>
        <v>26.060859136317557</v>
      </c>
      <c r="V185" s="93" cm="1">
        <f t="array" ref="V185">_xll.aqBondObjectDV01($L185,$C$4,$Q185)</f>
        <v>1639.0716745195509</v>
      </c>
    </row>
    <row r="186" spans="2:22">
      <c r="B186" s="11" t="s">
        <v>1276</v>
      </c>
      <c r="C186" s="11" t="s">
        <v>1277</v>
      </c>
      <c r="D186" s="11" t="s">
        <v>1277</v>
      </c>
      <c r="E186" s="12">
        <v>38411</v>
      </c>
      <c r="F186" s="15"/>
      <c r="G186" s="14"/>
      <c r="H186" s="12"/>
      <c r="I186" s="12"/>
      <c r="J186" s="13">
        <v>0</v>
      </c>
      <c r="K186" s="12">
        <v>53077</v>
      </c>
      <c r="L186" s="16" t="str" cm="1">
        <f t="array" ref="L186">_xll.aqBondObjectCreateFromGenerator($C186,$L$4,_xll.aqToolLVBFromKeysValues($C$7:$K$7,$C186:$K186))</f>
        <v>FR0010172510:3</v>
      </c>
      <c r="M186" s="78">
        <v>1.6515413452392602E-2</v>
      </c>
      <c r="N186" s="51">
        <v>64.763999999999996</v>
      </c>
      <c r="O186" s="17">
        <v>26.089700000000001</v>
      </c>
      <c r="P186" s="95">
        <v>1689.6711</v>
      </c>
      <c r="Q186" s="39" cm="1">
        <f t="array" ref="Q186">_xll.aqBondObjectYield(L186,$C$4,R186)</f>
        <v>1.6515413452392734E-2</v>
      </c>
      <c r="R186" s="49" cm="1">
        <f t="array" ref="R186">_xll.aqBondObjectPrice($L186,$C$4,$M186)</f>
        <v>64.764000000000095</v>
      </c>
      <c r="S186" s="49" cm="1">
        <f t="array" ref="S186">_xll.aqBondObjectCleanPrice($L186,$C$4,$M186)</f>
        <v>64.764000000000095</v>
      </c>
      <c r="T186" s="49" cm="1">
        <f t="array" ref="T186">_xll.aqBondObjectDirtyPrice($L186,$C$4,$M186)</f>
        <v>64.764000000000095</v>
      </c>
      <c r="U186" s="18" cm="1">
        <f t="array" ref="U186">_xll.aqBondObjectModifiedDuration($L186,$C$4,$Q186)</f>
        <v>26.089666319110403</v>
      </c>
      <c r="V186" s="93" cm="1">
        <f t="array" ref="V186">_xll.aqBondObjectDV01($L186,$C$4,$Q186)</f>
        <v>1689.6711494908591</v>
      </c>
    </row>
    <row r="187" spans="2:22">
      <c r="B187" s="11" t="s">
        <v>1130</v>
      </c>
      <c r="C187" s="11" t="s">
        <v>1131</v>
      </c>
      <c r="D187" s="11" t="s">
        <v>1131</v>
      </c>
      <c r="E187" s="12">
        <v>41368</v>
      </c>
      <c r="F187" s="15">
        <v>41054</v>
      </c>
      <c r="G187" s="14"/>
      <c r="H187" s="12">
        <v>41419</v>
      </c>
      <c r="I187" s="12">
        <v>52742</v>
      </c>
      <c r="J187" s="13">
        <v>3.2500000000000001E-2</v>
      </c>
      <c r="K187" s="12">
        <v>53107</v>
      </c>
      <c r="L187" s="16" t="str" cm="1">
        <f t="array" ref="L187">_xll.aqBondObjectCreateFromGenerator($C187,$L$4,_xll.aqToolLVBFromKeysValues($C$7:$K$7,$C187:$K187))</f>
        <v>FR0011461037:9</v>
      </c>
      <c r="M187" s="78">
        <v>1.6036825976361982E-2</v>
      </c>
      <c r="N187" s="51">
        <v>135.41900000000001</v>
      </c>
      <c r="O187" s="17">
        <v>19.0242</v>
      </c>
      <c r="P187" s="95">
        <v>2600.7948000000001</v>
      </c>
      <c r="Q187" s="39" cm="1">
        <f t="array" ref="Q187">_xll.aqBondObjectYield(L187,$C$4,R187)</f>
        <v>1.6036825976361867E-2</v>
      </c>
      <c r="R187" s="49" cm="1">
        <f t="array" ref="R187">_xll.aqBondObjectPrice($L187,$C$4,$M187)</f>
        <v>135.41899999982726</v>
      </c>
      <c r="S187" s="49" cm="1">
        <f t="array" ref="S187">_xll.aqBondObjectCleanPrice($L187,$C$4,$M187)</f>
        <v>135.41899999982726</v>
      </c>
      <c r="T187" s="49" cm="1">
        <f t="array" ref="T187">_xll.aqBondObjectDirtyPrice($L187,$C$4,$M187)</f>
        <v>136.71009589982725</v>
      </c>
      <c r="U187" s="18" cm="1">
        <f t="array" ref="U187">_xll.aqBondObjectModifiedDuration($L187,$C$4,$Q187)</f>
        <v>19.024160341415634</v>
      </c>
      <c r="V187" s="93" cm="1">
        <f t="array" ref="V187">_xll.aqBondObjectDV01($L187,$C$4,$Q187)</f>
        <v>2600.7947846886218</v>
      </c>
    </row>
    <row r="188" spans="2:22">
      <c r="B188" s="11" t="s">
        <v>1204</v>
      </c>
      <c r="C188" s="11" t="s">
        <v>1205</v>
      </c>
      <c r="D188" s="11" t="s">
        <v>1205</v>
      </c>
      <c r="E188" s="12">
        <v>41368</v>
      </c>
      <c r="F188" s="15"/>
      <c r="G188" s="14"/>
      <c r="H188" s="12"/>
      <c r="I188" s="12"/>
      <c r="J188" s="13">
        <v>0</v>
      </c>
      <c r="K188" s="12">
        <v>53107</v>
      </c>
      <c r="L188" s="16" t="str" cm="1">
        <f t="array" ref="L188">_xll.aqBondObjectCreateFromGenerator($C188,$L$4,_xll.aqToolLVBFromKeysValues($C$7:$K$7,$C188:$K188))</f>
        <v>FR0011461664:3</v>
      </c>
      <c r="M188" s="78">
        <v>1.7266758017079109E-2</v>
      </c>
      <c r="N188" s="51">
        <v>63.417999999999999</v>
      </c>
      <c r="O188" s="17">
        <v>26.151199999999999</v>
      </c>
      <c r="P188" s="95">
        <v>1658.4564</v>
      </c>
      <c r="Q188" s="39" cm="1">
        <f t="array" ref="Q188">_xll.aqBondObjectYield(L188,$C$4,R188)</f>
        <v>1.7266758017079172E-2</v>
      </c>
      <c r="R188" s="49" cm="1">
        <f t="array" ref="R188">_xll.aqBondObjectPrice($L188,$C$4,$M188)</f>
        <v>63.417999999999999</v>
      </c>
      <c r="S188" s="49" cm="1">
        <f t="array" ref="S188">_xll.aqBondObjectCleanPrice($L188,$C$4,$M188)</f>
        <v>63.417999999999999</v>
      </c>
      <c r="T188" s="49" cm="1">
        <f t="array" ref="T188">_xll.aqBondObjectDirtyPrice($L188,$C$4,$M188)</f>
        <v>63.417999999999999</v>
      </c>
      <c r="U188" s="18" cm="1">
        <f t="array" ref="U188">_xll.aqBondObjectModifiedDuration($L188,$C$4,$Q188)</f>
        <v>26.151193397770264</v>
      </c>
      <c r="V188" s="93" cm="1">
        <f t="array" ref="V188">_xll.aqBondObjectDV01($L188,$C$4,$Q188)</f>
        <v>1658.4563828997946</v>
      </c>
    </row>
    <row r="189" spans="2:22">
      <c r="B189" s="11" t="s">
        <v>1130</v>
      </c>
      <c r="C189" s="11" t="s">
        <v>1131</v>
      </c>
      <c r="D189" s="11" t="s">
        <v>1131</v>
      </c>
      <c r="E189" s="12">
        <v>41368</v>
      </c>
      <c r="F189" s="15">
        <v>41054</v>
      </c>
      <c r="G189" s="14"/>
      <c r="H189" s="12">
        <v>41419</v>
      </c>
      <c r="I189" s="12">
        <v>52742</v>
      </c>
      <c r="J189" s="13">
        <v>3.2500000000000001E-2</v>
      </c>
      <c r="K189" s="12">
        <v>53107</v>
      </c>
      <c r="L189" s="16" t="str" cm="1">
        <f t="array" ref="L189">_xll.aqBondObjectCreateFromGenerator($C189,$L$4,_xll.aqToolLVBFromKeysValues($C$7:$K$7,$C189:$K189))</f>
        <v>FR0011461037:10</v>
      </c>
      <c r="M189" s="78">
        <v>1.6036825976361982E-2</v>
      </c>
      <c r="N189" s="51">
        <v>135.41900000000001</v>
      </c>
      <c r="O189" s="17">
        <v>19.0242</v>
      </c>
      <c r="P189" s="95">
        <v>2600.7948000000001</v>
      </c>
      <c r="Q189" s="39" cm="1">
        <f t="array" ref="Q189">_xll.aqBondObjectYield(L189,$C$4,R189)</f>
        <v>1.6036825976361867E-2</v>
      </c>
      <c r="R189" s="49" cm="1">
        <f t="array" ref="R189">_xll.aqBondObjectPrice($L189,$C$4,$M189)</f>
        <v>135.41899999982726</v>
      </c>
      <c r="S189" s="49" cm="1">
        <f t="array" ref="S189">_xll.aqBondObjectCleanPrice($L189,$C$4,$M189)</f>
        <v>135.41899999982726</v>
      </c>
      <c r="T189" s="49" cm="1">
        <f t="array" ref="T189">_xll.aqBondObjectDirtyPrice($L189,$C$4,$M189)</f>
        <v>136.71009589982725</v>
      </c>
      <c r="U189" s="18" cm="1">
        <f t="array" ref="U189">_xll.aqBondObjectModifiedDuration($L189,$C$4,$Q189)</f>
        <v>19.024160341415634</v>
      </c>
      <c r="V189" s="93" cm="1">
        <f t="array" ref="V189">_xll.aqBondObjectDV01($L189,$C$4,$Q189)</f>
        <v>2600.7947846886218</v>
      </c>
    </row>
    <row r="190" spans="2:22">
      <c r="B190" s="11" t="s">
        <v>1130</v>
      </c>
      <c r="C190" s="11" t="s">
        <v>1131</v>
      </c>
      <c r="D190" s="11" t="s">
        <v>1131</v>
      </c>
      <c r="E190" s="12">
        <v>41368</v>
      </c>
      <c r="F190" s="15">
        <v>41054</v>
      </c>
      <c r="G190" s="14"/>
      <c r="H190" s="12">
        <v>41419</v>
      </c>
      <c r="I190" s="12">
        <v>52742</v>
      </c>
      <c r="J190" s="13">
        <v>3.2500000000000001E-2</v>
      </c>
      <c r="K190" s="12">
        <v>53107</v>
      </c>
      <c r="L190" s="16" t="str" cm="1">
        <f t="array" ref="L190">_xll.aqBondObjectCreateFromGenerator($C190,$L$4,_xll.aqToolLVBFromKeysValues($C$7:$K$7,$C190:$K190))</f>
        <v>FR0011461037:11</v>
      </c>
      <c r="M190" s="78">
        <v>1.6036825976361982E-2</v>
      </c>
      <c r="N190" s="51">
        <v>135.41900000000001</v>
      </c>
      <c r="O190" s="17">
        <v>19.0242</v>
      </c>
      <c r="P190" s="95">
        <v>2600.7948000000001</v>
      </c>
      <c r="Q190" s="39" cm="1">
        <f t="array" ref="Q190">_xll.aqBondObjectYield(L190,$C$4,R190)</f>
        <v>1.6036825976361867E-2</v>
      </c>
      <c r="R190" s="49" cm="1">
        <f t="array" ref="R190">_xll.aqBondObjectPrice($L190,$C$4,$M190)</f>
        <v>135.41899999982726</v>
      </c>
      <c r="S190" s="49" cm="1">
        <f t="array" ref="S190">_xll.aqBondObjectCleanPrice($L190,$C$4,$M190)</f>
        <v>135.41899999982726</v>
      </c>
      <c r="T190" s="49" cm="1">
        <f t="array" ref="T190">_xll.aqBondObjectDirtyPrice($L190,$C$4,$M190)</f>
        <v>136.71009589982725</v>
      </c>
      <c r="U190" s="18" cm="1">
        <f t="array" ref="U190">_xll.aqBondObjectModifiedDuration($L190,$C$4,$Q190)</f>
        <v>19.024160341415634</v>
      </c>
      <c r="V190" s="93" cm="1">
        <f t="array" ref="V190">_xll.aqBondObjectDV01($L190,$C$4,$Q190)</f>
        <v>2600.7947846886218</v>
      </c>
    </row>
    <row r="191" spans="2:22">
      <c r="B191" s="11" t="s">
        <v>1226</v>
      </c>
      <c r="C191" s="11" t="s">
        <v>1227</v>
      </c>
      <c r="D191" s="11" t="s">
        <v>1227</v>
      </c>
      <c r="E191" s="12">
        <v>40140</v>
      </c>
      <c r="F191" s="15"/>
      <c r="G191" s="14"/>
      <c r="H191" s="12"/>
      <c r="I191" s="12"/>
      <c r="J191" s="13">
        <v>0</v>
      </c>
      <c r="K191" s="12">
        <v>53442</v>
      </c>
      <c r="L191" s="16" t="str" cm="1">
        <f t="array" ref="L191">_xll.aqBondObjectCreateFromGenerator($C191,$L$4,_xll.aqToolLVBFromKeysValues($C$7:$K$7,$C191:$K191))</f>
        <v>FR0010809517:3</v>
      </c>
      <c r="M191" s="78">
        <v>1.7895347728919431E-2</v>
      </c>
      <c r="N191" s="51">
        <v>61.377000000000002</v>
      </c>
      <c r="O191" s="17">
        <v>27.0367</v>
      </c>
      <c r="P191" s="95">
        <v>1659.4324999999999</v>
      </c>
      <c r="Q191" s="39" cm="1">
        <f t="array" ref="Q191">_xll.aqBondObjectYield(L191,$C$4,R191)</f>
        <v>1.7895347728919701E-2</v>
      </c>
      <c r="R191" s="49" cm="1">
        <f t="array" ref="R191">_xll.aqBondObjectPrice($L191,$C$4,$M191)</f>
        <v>61.377000000000059</v>
      </c>
      <c r="S191" s="49" cm="1">
        <f t="array" ref="S191">_xll.aqBondObjectCleanPrice($L191,$C$4,$M191)</f>
        <v>61.377000000000059</v>
      </c>
      <c r="T191" s="49" cm="1">
        <f t="array" ref="T191">_xll.aqBondObjectDirtyPrice($L191,$C$4,$M191)</f>
        <v>61.377000000000059</v>
      </c>
      <c r="U191" s="18" cm="1">
        <f t="array" ref="U191">_xll.aqBondObjectModifiedDuration($L191,$C$4,$Q191)</f>
        <v>27.036716501954778</v>
      </c>
      <c r="V191" s="93" cm="1">
        <f t="array" ref="V191">_xll.aqBondObjectDV01($L191,$C$4,$Q191)</f>
        <v>1659.4325487404699</v>
      </c>
    </row>
    <row r="192" spans="2:22">
      <c r="B192" s="11" t="s">
        <v>1268</v>
      </c>
      <c r="C192" s="11" t="s">
        <v>1269</v>
      </c>
      <c r="D192" s="11" t="s">
        <v>1269</v>
      </c>
      <c r="E192" s="12">
        <v>38411</v>
      </c>
      <c r="F192" s="15"/>
      <c r="G192" s="14"/>
      <c r="H192" s="12"/>
      <c r="I192" s="12"/>
      <c r="J192" s="13">
        <v>0</v>
      </c>
      <c r="K192" s="12">
        <v>53442</v>
      </c>
      <c r="L192" s="16" t="str" cm="1">
        <f t="array" ref="L192">_xll.aqBondObjectCreateFromGenerator($C192,$L$4,_xll.aqToolLVBFromKeysValues($C$7:$K$7,$C192:$K192))</f>
        <v>FR0010172528:3</v>
      </c>
      <c r="M192" s="78">
        <v>1.5250395160707253E-2</v>
      </c>
      <c r="N192" s="51">
        <v>65.933000000000007</v>
      </c>
      <c r="O192" s="17">
        <v>27.107199999999999</v>
      </c>
      <c r="P192" s="95">
        <v>1787.2559000000001</v>
      </c>
      <c r="Q192" s="39" cm="1">
        <f t="array" ref="Q192">_xll.aqBondObjectYield(L192,$C$4,R192)</f>
        <v>1.5250395160707201E-2</v>
      </c>
      <c r="R192" s="49" cm="1">
        <f t="array" ref="R192">_xll.aqBondObjectPrice($L192,$C$4,$M192)</f>
        <v>65.933000000000192</v>
      </c>
      <c r="S192" s="49" cm="1">
        <f t="array" ref="S192">_xll.aqBondObjectCleanPrice($L192,$C$4,$M192)</f>
        <v>65.933000000000192</v>
      </c>
      <c r="T192" s="49" cm="1">
        <f t="array" ref="T192">_xll.aqBondObjectDirtyPrice($L192,$C$4,$M192)</f>
        <v>65.933000000000192</v>
      </c>
      <c r="U192" s="18" cm="1">
        <f t="array" ref="U192">_xll.aqBondObjectModifiedDuration($L192,$C$4,$Q192)</f>
        <v>27.107153148016415</v>
      </c>
      <c r="V192" s="93" cm="1">
        <f t="array" ref="V192">_xll.aqBondObjectDV01($L192,$C$4,$Q192)</f>
        <v>1787.2559285081716</v>
      </c>
    </row>
    <row r="193" spans="2:22">
      <c r="B193" s="11" t="s">
        <v>1544</v>
      </c>
      <c r="C193" s="11" t="s">
        <v>1545</v>
      </c>
      <c r="D193" s="11" t="s">
        <v>1545</v>
      </c>
      <c r="E193" s="12">
        <v>42479</v>
      </c>
      <c r="F193" s="15"/>
      <c r="G193" s="14"/>
      <c r="H193" s="12"/>
      <c r="I193" s="12"/>
      <c r="J193" s="13">
        <v>0</v>
      </c>
      <c r="K193" s="12">
        <v>53472</v>
      </c>
      <c r="L193" s="16" t="str" cm="1">
        <f t="array" ref="L193">_xll.aqBondObjectCreateFromGenerator($C193,$L$4,_xll.aqToolLVBFromKeysValues($C$7:$K$7,$C193:$K193))</f>
        <v>FR0013154085:3</v>
      </c>
      <c r="M193" s="78">
        <v>1.8389499075412763E-2</v>
      </c>
      <c r="N193" s="51">
        <v>60.472000000000001</v>
      </c>
      <c r="O193" s="17">
        <v>27.104299999999999</v>
      </c>
      <c r="P193" s="95">
        <v>1639.0515</v>
      </c>
      <c r="Q193" s="39" cm="1">
        <f t="array" ref="Q193">_xll.aqBondObjectYield(L193,$C$4,R193)</f>
        <v>1.8389499075413023E-2</v>
      </c>
      <c r="R193" s="49" cm="1">
        <f t="array" ref="R193">_xll.aqBondObjectPrice($L193,$C$4,$M193)</f>
        <v>60.471999999999845</v>
      </c>
      <c r="S193" s="49" cm="1">
        <f t="array" ref="S193">_xll.aqBondObjectCleanPrice($L193,$C$4,$M193)</f>
        <v>60.471999999999845</v>
      </c>
      <c r="T193" s="49" cm="1">
        <f t="array" ref="T193">_xll.aqBondObjectDirtyPrice($L193,$C$4,$M193)</f>
        <v>60.471999999999845</v>
      </c>
      <c r="U193" s="18" cm="1">
        <f t="array" ref="U193">_xll.aqBondObjectModifiedDuration($L193,$C$4,$Q193)</f>
        <v>27.104305131865257</v>
      </c>
      <c r="V193" s="93" cm="1">
        <f t="array" ref="V193">_xll.aqBondObjectDV01($L193,$C$4,$Q193)</f>
        <v>1639.0515399341414</v>
      </c>
    </row>
    <row r="194" spans="2:22">
      <c r="B194" s="11" t="s">
        <v>1228</v>
      </c>
      <c r="C194" s="11" t="s">
        <v>1229</v>
      </c>
      <c r="D194" s="11" t="s">
        <v>1229</v>
      </c>
      <c r="E194" s="12">
        <v>40140</v>
      </c>
      <c r="F194" s="15"/>
      <c r="G194" s="14"/>
      <c r="H194" s="12"/>
      <c r="I194" s="12"/>
      <c r="J194" s="13">
        <v>0</v>
      </c>
      <c r="K194" s="12">
        <v>53807</v>
      </c>
      <c r="L194" s="16" t="str" cm="1">
        <f t="array" ref="L194">_xll.aqBondObjectCreateFromGenerator($C194,$L$4,_xll.aqToolLVBFromKeysValues($C$7:$K$7,$C194:$K194))</f>
        <v>FR0010809533:3</v>
      </c>
      <c r="M194" s="78">
        <v>1.8082268312669125E-2</v>
      </c>
      <c r="N194" s="51">
        <v>59.982999999999997</v>
      </c>
      <c r="O194" s="17">
        <v>28.013999999999999</v>
      </c>
      <c r="P194" s="95">
        <v>1680.3632</v>
      </c>
      <c r="Q194" s="39" cm="1">
        <f t="array" ref="Q194">_xll.aqBondObjectYield(L194,$C$4,R194)</f>
        <v>1.8082268312669618E-2</v>
      </c>
      <c r="R194" s="49" cm="1">
        <f t="array" ref="R194">_xll.aqBondObjectPrice($L194,$C$4,$M194)</f>
        <v>59.983000000000189</v>
      </c>
      <c r="S194" s="49" cm="1">
        <f t="array" ref="S194">_xll.aqBondObjectCleanPrice($L194,$C$4,$M194)</f>
        <v>59.983000000000189</v>
      </c>
      <c r="T194" s="49" cm="1">
        <f t="array" ref="T194">_xll.aqBondObjectDirtyPrice($L194,$C$4,$M194)</f>
        <v>59.983000000000189</v>
      </c>
      <c r="U194" s="18" cm="1">
        <f t="array" ref="U194">_xll.aqBondObjectModifiedDuration($L194,$C$4,$Q194)</f>
        <v>28.013991435558879</v>
      </c>
      <c r="V194" s="93" cm="1">
        <f t="array" ref="V194">_xll.aqBondObjectDV01($L194,$C$4,$Q194)</f>
        <v>1680.3632482791122</v>
      </c>
    </row>
    <row r="195" spans="2:22">
      <c r="B195" s="11" t="s">
        <v>1488</v>
      </c>
      <c r="C195" s="11" t="s">
        <v>1489</v>
      </c>
      <c r="D195" s="11" t="s">
        <v>1489</v>
      </c>
      <c r="E195" s="12">
        <v>38411</v>
      </c>
      <c r="F195" s="15"/>
      <c r="G195" s="14"/>
      <c r="H195" s="12"/>
      <c r="I195" s="12"/>
      <c r="J195" s="13">
        <v>0</v>
      </c>
      <c r="K195" s="12">
        <v>53807</v>
      </c>
      <c r="L195" s="16" t="str" cm="1">
        <f t="array" ref="L195">_xll.aqBondObjectCreateFromGenerator($C195,$L$4,_xll.aqToolLVBFromKeysValues($C$7:$K$7,$C195:$K195))</f>
        <v>FR0010172544:3</v>
      </c>
      <c r="M195" s="78">
        <v>1.5226614260968496E-2</v>
      </c>
      <c r="N195" s="51">
        <v>64.986000000000004</v>
      </c>
      <c r="O195" s="17">
        <v>28.0928</v>
      </c>
      <c r="P195" s="95">
        <v>1825.6379999999999</v>
      </c>
      <c r="Q195" s="39" cm="1">
        <f t="array" ref="Q195">_xll.aqBondObjectYield(L195,$C$4,R195)</f>
        <v>1.5226614260968468E-2</v>
      </c>
      <c r="R195" s="49" cm="1">
        <f t="array" ref="R195">_xll.aqBondObjectPrice($L195,$C$4,$M195)</f>
        <v>64.985999999999905</v>
      </c>
      <c r="S195" s="49" cm="1">
        <f t="array" ref="S195">_xll.aqBondObjectCleanPrice($L195,$C$4,$M195)</f>
        <v>64.985999999999905</v>
      </c>
      <c r="T195" s="49" cm="1">
        <f t="array" ref="T195">_xll.aqBondObjectDirtyPrice($L195,$C$4,$M195)</f>
        <v>64.985999999999905</v>
      </c>
      <c r="U195" s="18" cm="1">
        <f t="array" ref="U195">_xll.aqBondObjectModifiedDuration($L195,$C$4,$Q195)</f>
        <v>28.092789870335434</v>
      </c>
      <c r="V195" s="93" cm="1">
        <f t="array" ref="V195">_xll.aqBondObjectDV01($L195,$C$4,$Q195)</f>
        <v>1825.6380425136158</v>
      </c>
    </row>
    <row r="196" spans="2:22">
      <c r="B196" s="11" t="s">
        <v>1426</v>
      </c>
      <c r="C196" s="11" t="s">
        <v>1427</v>
      </c>
      <c r="D196" s="11" t="s">
        <v>1427</v>
      </c>
      <c r="E196" s="12">
        <v>42479</v>
      </c>
      <c r="F196" s="15"/>
      <c r="G196" s="14"/>
      <c r="H196" s="12"/>
      <c r="I196" s="12"/>
      <c r="J196" s="13">
        <v>0</v>
      </c>
      <c r="K196" s="12">
        <v>53837</v>
      </c>
      <c r="L196" s="16" t="str" cm="1">
        <f t="array" ref="L196">_xll.aqBondObjectCreateFromGenerator($C196,$L$4,_xll.aqToolLVBFromKeysValues($C$7:$K$7,$C196:$K196))</f>
        <v>FR0013154093:3</v>
      </c>
      <c r="M196" s="78">
        <v>1.8734818949379672E-2</v>
      </c>
      <c r="N196" s="51">
        <v>58.807000000000002</v>
      </c>
      <c r="O196" s="17">
        <v>28.076699999999999</v>
      </c>
      <c r="P196" s="95">
        <v>1651.1080999999999</v>
      </c>
      <c r="Q196" s="39" cm="1">
        <f t="array" ref="Q196">_xll.aqBondObjectYield(L196,$C$4,R196)</f>
        <v>1.8734818949380217E-2</v>
      </c>
      <c r="R196" s="49" cm="1">
        <f t="array" ref="R196">_xll.aqBondObjectPrice($L196,$C$4,$M196)</f>
        <v>58.806999999999853</v>
      </c>
      <c r="S196" s="49" cm="1">
        <f t="array" ref="S196">_xll.aqBondObjectCleanPrice($L196,$C$4,$M196)</f>
        <v>58.806999999999853</v>
      </c>
      <c r="T196" s="49" cm="1">
        <f t="array" ref="T196">_xll.aqBondObjectDirtyPrice($L196,$C$4,$M196)</f>
        <v>58.806999999999853</v>
      </c>
      <c r="U196" s="18" cm="1">
        <f t="array" ref="U196">_xll.aqBondObjectModifiedDuration($L196,$C$4,$Q196)</f>
        <v>28.076727322940979</v>
      </c>
      <c r="V196" s="93" cm="1">
        <f t="array" ref="V196">_xll.aqBondObjectDV01($L196,$C$4,$Q196)</f>
        <v>1651.1081036801659</v>
      </c>
    </row>
    <row r="197" spans="2:22">
      <c r="B197" s="11" t="s">
        <v>1238</v>
      </c>
      <c r="C197" s="11" t="s">
        <v>1239</v>
      </c>
      <c r="D197" s="11" t="s">
        <v>1239</v>
      </c>
      <c r="E197" s="12">
        <v>40140</v>
      </c>
      <c r="F197" s="15"/>
      <c r="G197" s="14"/>
      <c r="H197" s="12"/>
      <c r="I197" s="12"/>
      <c r="J197" s="13">
        <v>0</v>
      </c>
      <c r="K197" s="12">
        <v>54173</v>
      </c>
      <c r="L197" s="16" t="str" cm="1">
        <f t="array" ref="L197">_xll.aqBondObjectCreateFromGenerator($C197,$L$4,_xll.aqToolLVBFromKeysValues($C$7:$K$7,$C197:$K197))</f>
        <v>FR0010809558:3</v>
      </c>
      <c r="M197" s="78">
        <v>1.8399647079683445E-2</v>
      </c>
      <c r="N197" s="51">
        <v>58.378</v>
      </c>
      <c r="O197" s="17">
        <v>28.987200000000001</v>
      </c>
      <c r="P197" s="95">
        <v>1692.2144000000001</v>
      </c>
      <c r="Q197" s="39" cm="1">
        <f t="array" ref="Q197">_xll.aqBondObjectYield(L197,$C$4,R197)</f>
        <v>1.8399647079684056E-2</v>
      </c>
      <c r="R197" s="49" cm="1">
        <f t="array" ref="R197">_xll.aqBondObjectPrice($L197,$C$4,$M197)</f>
        <v>58.378000000000007</v>
      </c>
      <c r="S197" s="49" cm="1">
        <f t="array" ref="S197">_xll.aqBondObjectCleanPrice($L197,$C$4,$M197)</f>
        <v>58.378000000000007</v>
      </c>
      <c r="T197" s="49" cm="1">
        <f t="array" ref="T197">_xll.aqBondObjectDirtyPrice($L197,$C$4,$M197)</f>
        <v>58.378000000000007</v>
      </c>
      <c r="U197" s="18" cm="1">
        <f t="array" ref="U197">_xll.aqBondObjectModifiedDuration($L197,$C$4,$Q197)</f>
        <v>28.987193809284243</v>
      </c>
      <c r="V197" s="93" cm="1">
        <f t="array" ref="V197">_xll.aqBondObjectDV01($L197,$C$4,$Q197)</f>
        <v>1692.2144001983631</v>
      </c>
    </row>
    <row r="198" spans="2:22">
      <c r="B198" s="11" t="s">
        <v>1394</v>
      </c>
      <c r="C198" s="11" t="s">
        <v>1395</v>
      </c>
      <c r="D198" s="11" t="s">
        <v>1395</v>
      </c>
      <c r="E198" s="12">
        <v>38411</v>
      </c>
      <c r="F198" s="15"/>
      <c r="G198" s="14"/>
      <c r="H198" s="12"/>
      <c r="I198" s="12"/>
      <c r="J198" s="13">
        <v>0</v>
      </c>
      <c r="K198" s="12">
        <v>54173</v>
      </c>
      <c r="L198" s="16" t="str" cm="1">
        <f t="array" ref="L198">_xll.aqBondObjectCreateFromGenerator($C198,$L$4,_xll.aqToolLVBFromKeysValues($C$7:$K$7,$C198:$K198))</f>
        <v>FR0010172577:3</v>
      </c>
      <c r="M198" s="78">
        <v>1.6448091409158705E-2</v>
      </c>
      <c r="N198" s="51">
        <v>61.779000000000003</v>
      </c>
      <c r="O198" s="17">
        <v>29.0428</v>
      </c>
      <c r="P198" s="95">
        <v>1794.2381</v>
      </c>
      <c r="Q198" s="39" cm="1">
        <f t="array" ref="Q198">_xll.aqBondObjectYield(L198,$C$4,R198)</f>
        <v>1.6448091409158858E-2</v>
      </c>
      <c r="R198" s="49" cm="1">
        <f t="array" ref="R198">_xll.aqBondObjectPrice($L198,$C$4,$M198)</f>
        <v>61.779000000000103</v>
      </c>
      <c r="S198" s="49" cm="1">
        <f t="array" ref="S198">_xll.aqBondObjectCleanPrice($L198,$C$4,$M198)</f>
        <v>61.779000000000103</v>
      </c>
      <c r="T198" s="49" cm="1">
        <f t="array" ref="T198">_xll.aqBondObjectDirtyPrice($L198,$C$4,$M198)</f>
        <v>61.779000000000103</v>
      </c>
      <c r="U198" s="18" cm="1">
        <f t="array" ref="U198">_xll.aqBondObjectModifiedDuration($L198,$C$4,$Q198)</f>
        <v>29.042848517999072</v>
      </c>
      <c r="V198" s="93" cm="1">
        <f t="array" ref="V198">_xll.aqBondObjectDV01($L198,$C$4,$Q198)</f>
        <v>1794.2381385934561</v>
      </c>
    </row>
    <row r="199" spans="2:22">
      <c r="B199" s="11" t="s">
        <v>1392</v>
      </c>
      <c r="C199" s="11" t="s">
        <v>1393</v>
      </c>
      <c r="D199" s="11" t="s">
        <v>1393</v>
      </c>
      <c r="E199" s="12">
        <v>42479</v>
      </c>
      <c r="F199" s="15"/>
      <c r="G199" s="14"/>
      <c r="H199" s="12"/>
      <c r="I199" s="12"/>
      <c r="J199" s="13">
        <v>0</v>
      </c>
      <c r="K199" s="12">
        <v>54203</v>
      </c>
      <c r="L199" s="16" t="str" cm="1">
        <f t="array" ref="L199">_xll.aqBondObjectCreateFromGenerator($C199,$L$4,_xll.aqToolLVBFromKeysValues($C$7:$K$7,$C199:$K199))</f>
        <v>FR0013154101:3</v>
      </c>
      <c r="M199" s="78">
        <v>1.8029649320366437E-2</v>
      </c>
      <c r="N199" s="51">
        <v>58.920999999999999</v>
      </c>
      <c r="O199" s="17">
        <v>29.078499999999998</v>
      </c>
      <c r="P199" s="95">
        <v>1713.3322000000001</v>
      </c>
      <c r="Q199" s="39" cm="1">
        <f t="array" ref="Q199">_xll.aqBondObjectYield(L199,$C$4,R199)</f>
        <v>1.8029649320366943E-2</v>
      </c>
      <c r="R199" s="49" cm="1">
        <f t="array" ref="R199">_xll.aqBondObjectPrice($L199,$C$4,$M199)</f>
        <v>58.920999999999978</v>
      </c>
      <c r="S199" s="49" cm="1">
        <f t="array" ref="S199">_xll.aqBondObjectCleanPrice($L199,$C$4,$M199)</f>
        <v>58.920999999999978</v>
      </c>
      <c r="T199" s="49" cm="1">
        <f t="array" ref="T199">_xll.aqBondObjectDirtyPrice($L199,$C$4,$M199)</f>
        <v>58.920999999999978</v>
      </c>
      <c r="U199" s="18" cm="1">
        <f t="array" ref="U199">_xll.aqBondObjectModifiedDuration($L199,$C$4,$Q199)</f>
        <v>29.078465195773116</v>
      </c>
      <c r="V199" s="93" cm="1">
        <f t="array" ref="V199">_xll.aqBondObjectDV01($L199,$C$4,$Q199)</f>
        <v>1713.3322478001248</v>
      </c>
    </row>
    <row r="200" spans="2:22">
      <c r="B200" s="11" t="s">
        <v>1218</v>
      </c>
      <c r="C200" s="11" t="s">
        <v>1219</v>
      </c>
      <c r="D200" s="11" t="s">
        <v>1219</v>
      </c>
      <c r="E200" s="12">
        <v>40140</v>
      </c>
      <c r="F200" s="15"/>
      <c r="G200" s="14"/>
      <c r="H200" s="12"/>
      <c r="I200" s="12"/>
      <c r="J200" s="13">
        <v>0</v>
      </c>
      <c r="K200" s="12">
        <v>54538</v>
      </c>
      <c r="L200" s="16" t="str" cm="1">
        <f t="array" ref="L200">_xll.aqBondObjectCreateFromGenerator($C200,$L$4,_xll.aqToolLVBFromKeysValues($C$7:$K$7,$C200:$K200))</f>
        <v>FR0010809574:3</v>
      </c>
      <c r="M200" s="78">
        <v>1.8664578259258047E-2</v>
      </c>
      <c r="N200" s="51">
        <v>56.87</v>
      </c>
      <c r="O200" s="17">
        <v>29.961300000000001</v>
      </c>
      <c r="P200" s="95">
        <v>1703.9010000000001</v>
      </c>
      <c r="Q200" s="39" cm="1">
        <f t="array" ref="Q200">_xll.aqBondObjectYield(L200,$C$4,R200)</f>
        <v>1.8664578259259081E-2</v>
      </c>
      <c r="R200" s="49" cm="1">
        <f t="array" ref="R200">_xll.aqBondObjectPrice($L200,$C$4,$M200)</f>
        <v>56.869999999999955</v>
      </c>
      <c r="S200" s="49" cm="1">
        <f t="array" ref="S200">_xll.aqBondObjectCleanPrice($L200,$C$4,$M200)</f>
        <v>56.869999999999955</v>
      </c>
      <c r="T200" s="49" cm="1">
        <f t="array" ref="T200">_xll.aqBondObjectDirtyPrice($L200,$C$4,$M200)</f>
        <v>56.869999999999955</v>
      </c>
      <c r="U200" s="18" cm="1">
        <f t="array" ref="U200">_xll.aqBondObjectModifiedDuration($L200,$C$4,$Q200)</f>
        <v>29.9613323134887</v>
      </c>
      <c r="V200" s="93" cm="1">
        <f t="array" ref="V200">_xll.aqBondObjectDV01($L200,$C$4,$Q200)</f>
        <v>1703.9009686680445</v>
      </c>
    </row>
    <row r="201" spans="2:22">
      <c r="B201" s="11" t="s">
        <v>1440</v>
      </c>
      <c r="C201" s="11" t="s">
        <v>1441</v>
      </c>
      <c r="D201" s="11" t="s">
        <v>1441</v>
      </c>
      <c r="E201" s="12">
        <v>38411</v>
      </c>
      <c r="F201" s="15"/>
      <c r="G201" s="14"/>
      <c r="H201" s="12"/>
      <c r="I201" s="12"/>
      <c r="J201" s="13">
        <v>0</v>
      </c>
      <c r="K201" s="12">
        <v>54538</v>
      </c>
      <c r="L201" s="16" t="str" cm="1">
        <f t="array" ref="L201">_xll.aqBondObjectCreateFromGenerator($C201,$L$4,_xll.aqToolLVBFromKeysValues($C$7:$K$7,$C201:$K201))</f>
        <v>FR0010172585:3</v>
      </c>
      <c r="M201" s="78">
        <v>1.6298464591281148E-2</v>
      </c>
      <c r="N201" s="51">
        <v>61.052999999999997</v>
      </c>
      <c r="O201" s="17">
        <v>30.031099999999999</v>
      </c>
      <c r="P201" s="95">
        <v>1833.4880000000001</v>
      </c>
      <c r="Q201" s="39" cm="1">
        <f t="array" ref="Q201">_xll.aqBondObjectYield(L201,$C$4,R201)</f>
        <v>1.6298464591281304E-2</v>
      </c>
      <c r="R201" s="49" cm="1">
        <f t="array" ref="R201">_xll.aqBondObjectPrice($L201,$C$4,$M201)</f>
        <v>61.053000000000203</v>
      </c>
      <c r="S201" s="49" cm="1">
        <f t="array" ref="S201">_xll.aqBondObjectCleanPrice($L201,$C$4,$M201)</f>
        <v>61.053000000000203</v>
      </c>
      <c r="T201" s="49" cm="1">
        <f t="array" ref="T201">_xll.aqBondObjectDirtyPrice($L201,$C$4,$M201)</f>
        <v>61.053000000000203</v>
      </c>
      <c r="U201" s="18" cm="1">
        <f t="array" ref="U201">_xll.aqBondObjectModifiedDuration($L201,$C$4,$Q201)</f>
        <v>30.031087331692213</v>
      </c>
      <c r="V201" s="93" cm="1">
        <f t="array" ref="V201">_xll.aqBondObjectDV01($L201,$C$4,$Q201)</f>
        <v>1833.4879748617984</v>
      </c>
    </row>
    <row r="202" spans="2:22">
      <c r="B202" s="11" t="s">
        <v>1398</v>
      </c>
      <c r="C202" s="11" t="s">
        <v>1399</v>
      </c>
      <c r="D202" s="11" t="s">
        <v>1399</v>
      </c>
      <c r="E202" s="12">
        <v>42479</v>
      </c>
      <c r="F202" s="15"/>
      <c r="G202" s="14"/>
      <c r="H202" s="12"/>
      <c r="I202" s="12"/>
      <c r="J202" s="13">
        <v>0</v>
      </c>
      <c r="K202" s="12">
        <v>54568</v>
      </c>
      <c r="L202" s="16" t="str" cm="1">
        <f t="array" ref="L202">_xll.aqBondObjectCreateFromGenerator($C202,$L$4,_xll.aqToolLVBFromKeysValues($C$7:$K$7,$C202:$K202))</f>
        <v>FR0013154119:3</v>
      </c>
      <c r="M202" s="78">
        <v>1.9224921198452982E-2</v>
      </c>
      <c r="N202" s="51">
        <v>55.835999999999999</v>
      </c>
      <c r="O202" s="17">
        <v>30.025500000000001</v>
      </c>
      <c r="P202" s="95">
        <v>1676.5038999999999</v>
      </c>
      <c r="Q202" s="39" cm="1">
        <f t="array" ref="Q202">_xll.aqBondObjectYield(L202,$C$4,R202)</f>
        <v>1.9224921198454443E-2</v>
      </c>
      <c r="R202" s="49" cm="1">
        <f t="array" ref="R202">_xll.aqBondObjectPrice($L202,$C$4,$M202)</f>
        <v>55.836000000000176</v>
      </c>
      <c r="S202" s="49" cm="1">
        <f t="array" ref="S202">_xll.aqBondObjectCleanPrice($L202,$C$4,$M202)</f>
        <v>55.836000000000176</v>
      </c>
      <c r="T202" s="49" cm="1">
        <f t="array" ref="T202">_xll.aqBondObjectDirtyPrice($L202,$C$4,$M202)</f>
        <v>55.836000000000176</v>
      </c>
      <c r="U202" s="18" cm="1">
        <f t="array" ref="U202">_xll.aqBondObjectModifiedDuration($L202,$C$4,$Q202)</f>
        <v>30.025501819601505</v>
      </c>
      <c r="V202" s="93" cm="1">
        <f t="array" ref="V202">_xll.aqBondObjectDV01($L202,$C$4,$Q202)</f>
        <v>1676.5039195991967</v>
      </c>
    </row>
    <row r="203" spans="2:22">
      <c r="B203" s="11" t="s">
        <v>1300</v>
      </c>
      <c r="C203" s="11" t="s">
        <v>1301</v>
      </c>
      <c r="D203" s="11" t="s">
        <v>1301</v>
      </c>
      <c r="E203" s="12">
        <v>40140</v>
      </c>
      <c r="F203" s="15"/>
      <c r="G203" s="14"/>
      <c r="H203" s="12"/>
      <c r="I203" s="12"/>
      <c r="J203" s="13">
        <v>0</v>
      </c>
      <c r="K203" s="12">
        <v>54903</v>
      </c>
      <c r="L203" s="16" t="str" cm="1">
        <f t="array" ref="L203">_xll.aqBondObjectCreateFromGenerator($C203,$L$4,_xll.aqToolLVBFromKeysValues($C$7:$K$7,$C203:$K203))</f>
        <v>FR0010809608:3</v>
      </c>
      <c r="M203" s="78">
        <v>1.8950684252601491E-2</v>
      </c>
      <c r="N203" s="51">
        <v>55.335999999999999</v>
      </c>
      <c r="O203" s="17">
        <v>30.9343</v>
      </c>
      <c r="P203" s="95">
        <v>1711.7816</v>
      </c>
      <c r="Q203" s="39" cm="1">
        <f t="array" ref="Q203">_xll.aqBondObjectYield(L203,$C$4,R203)</f>
        <v>1.8950684252603236E-2</v>
      </c>
      <c r="R203" s="49" cm="1">
        <f t="array" ref="R203">_xll.aqBondObjectPrice($L203,$C$4,$M203)</f>
        <v>55.33600000000002</v>
      </c>
      <c r="S203" s="49" cm="1">
        <f t="array" ref="S203">_xll.aqBondObjectCleanPrice($L203,$C$4,$M203)</f>
        <v>55.33600000000002</v>
      </c>
      <c r="T203" s="49" cm="1">
        <f t="array" ref="T203">_xll.aqBondObjectDirtyPrice($L203,$C$4,$M203)</f>
        <v>55.33600000000002</v>
      </c>
      <c r="U203" s="18" cm="1">
        <f t="array" ref="U203">_xll.aqBondObjectModifiedDuration($L203,$C$4,$Q203)</f>
        <v>30.934321388012702</v>
      </c>
      <c r="V203" s="93" cm="1">
        <f t="array" ref="V203">_xll.aqBondObjectDV01($L203,$C$4,$Q203)</f>
        <v>1711.7816083269777</v>
      </c>
    </row>
    <row r="204" spans="2:22">
      <c r="B204" s="11" t="s">
        <v>1462</v>
      </c>
      <c r="C204" s="11" t="s">
        <v>1463</v>
      </c>
      <c r="D204" s="11" t="s">
        <v>1463</v>
      </c>
      <c r="E204" s="12">
        <v>38411</v>
      </c>
      <c r="F204" s="15"/>
      <c r="G204" s="14"/>
      <c r="H204" s="12"/>
      <c r="I204" s="12"/>
      <c r="J204" s="13">
        <v>0</v>
      </c>
      <c r="K204" s="12">
        <v>54903</v>
      </c>
      <c r="L204" s="16" t="str" cm="1">
        <f t="array" ref="L204">_xll.aqBondObjectCreateFromGenerator($C204,$L$4,_xll.aqToolLVBFromKeysValues($C$7:$K$7,$C204:$K204))</f>
        <v>FR0010172593:3</v>
      </c>
      <c r="M204" s="78">
        <v>1.6397854108917809E-2</v>
      </c>
      <c r="N204" s="51">
        <v>59.889000000000003</v>
      </c>
      <c r="O204" s="17">
        <v>31.012</v>
      </c>
      <c r="P204" s="95">
        <v>1857.2787000000001</v>
      </c>
      <c r="Q204" s="39" cm="1">
        <f t="array" ref="Q204">_xll.aqBondObjectYield(L204,$C$4,R204)</f>
        <v>1.639785410891818E-2</v>
      </c>
      <c r="R204" s="49" cm="1">
        <f t="array" ref="R204">_xll.aqBondObjectPrice($L204,$C$4,$M204)</f>
        <v>59.888999999999847</v>
      </c>
      <c r="S204" s="49" cm="1">
        <f t="array" ref="S204">_xll.aqBondObjectCleanPrice($L204,$C$4,$M204)</f>
        <v>59.888999999999847</v>
      </c>
      <c r="T204" s="49" cm="1">
        <f t="array" ref="T204">_xll.aqBondObjectDirtyPrice($L204,$C$4,$M204)</f>
        <v>59.888999999999847</v>
      </c>
      <c r="U204" s="18" cm="1">
        <f t="array" ref="U204">_xll.aqBondObjectModifiedDuration($L204,$C$4,$Q204)</f>
        <v>31.012017408123828</v>
      </c>
      <c r="V204" s="93" cm="1">
        <f t="array" ref="V204">_xll.aqBondObjectDV01($L204,$C$4,$Q204)</f>
        <v>1857.2787105550979</v>
      </c>
    </row>
    <row r="205" spans="2:22">
      <c r="B205" s="11" t="s">
        <v>1428</v>
      </c>
      <c r="C205" s="11" t="s">
        <v>1429</v>
      </c>
      <c r="D205" s="11" t="s">
        <v>1429</v>
      </c>
      <c r="E205" s="12">
        <v>42479</v>
      </c>
      <c r="F205" s="15"/>
      <c r="G205" s="14"/>
      <c r="H205" s="12"/>
      <c r="I205" s="12"/>
      <c r="J205" s="13">
        <v>0</v>
      </c>
      <c r="K205" s="12">
        <v>54933</v>
      </c>
      <c r="L205" s="16" t="str" cm="1">
        <f t="array" ref="L205">_xll.aqBondObjectCreateFromGenerator($C205,$L$4,_xll.aqToolLVBFromKeysValues($C$7:$K$7,$C205:$K205))</f>
        <v>FR0013154127:3</v>
      </c>
      <c r="M205" s="78">
        <v>1.9621749346203421E-2</v>
      </c>
      <c r="N205" s="51">
        <v>54.113</v>
      </c>
      <c r="O205" s="17">
        <v>30.994599999999998</v>
      </c>
      <c r="P205" s="95">
        <v>1677.2093</v>
      </c>
      <c r="Q205" s="39" cm="1">
        <f t="array" ref="Q205">_xll.aqBondObjectYield(L205,$C$4,R205)</f>
        <v>1.9621749346205825E-2</v>
      </c>
      <c r="R205" s="49" cm="1">
        <f t="array" ref="R205">_xll.aqBondObjectPrice($L205,$C$4,$M205)</f>
        <v>54.113000000000063</v>
      </c>
      <c r="S205" s="49" cm="1">
        <f t="array" ref="S205">_xll.aqBondObjectCleanPrice($L205,$C$4,$M205)</f>
        <v>54.113000000000063</v>
      </c>
      <c r="T205" s="49" cm="1">
        <f t="array" ref="T205">_xll.aqBondObjectDirtyPrice($L205,$C$4,$M205)</f>
        <v>54.113000000000063</v>
      </c>
      <c r="U205" s="18" cm="1">
        <f t="array" ref="U205">_xll.aqBondObjectModifiedDuration($L205,$C$4,$Q205)</f>
        <v>30.994572003089836</v>
      </c>
      <c r="V205" s="93" cm="1">
        <f t="array" ref="V205">_xll.aqBondObjectDV01($L205,$C$4,$Q205)</f>
        <v>1677.2092748030755</v>
      </c>
    </row>
    <row r="206" spans="2:22">
      <c r="B206" s="11" t="s">
        <v>1320</v>
      </c>
      <c r="C206" s="11" t="s">
        <v>1321</v>
      </c>
      <c r="D206" s="11" t="s">
        <v>1321</v>
      </c>
      <c r="E206" s="12">
        <v>40140</v>
      </c>
      <c r="F206" s="15"/>
      <c r="G206" s="14"/>
      <c r="H206" s="12"/>
      <c r="I206" s="12"/>
      <c r="J206" s="13">
        <v>0</v>
      </c>
      <c r="K206" s="12">
        <v>55268</v>
      </c>
      <c r="L206" s="16" t="str" cm="1">
        <f t="array" ref="L206">_xll.aqBondObjectCreateFromGenerator($C206,$L$4,_xll.aqToolLVBFromKeysValues($C$7:$K$7,$C206:$K206))</f>
        <v>FR0010809624:3</v>
      </c>
      <c r="M206" s="78">
        <v>1.9313930886515118E-2</v>
      </c>
      <c r="N206" s="51">
        <v>53.680999999999997</v>
      </c>
      <c r="O206" s="17">
        <v>31.904299999999999</v>
      </c>
      <c r="P206" s="95">
        <v>1712.6574000000001</v>
      </c>
      <c r="Q206" s="39" cm="1">
        <f t="array" ref="Q206">_xll.aqBondObjectYield(L206,$C$4,R206)</f>
        <v>1.9313930886517831E-2</v>
      </c>
      <c r="R206" s="49" cm="1">
        <f t="array" ref="R206">_xll.aqBondObjectPrice($L206,$C$4,$M206)</f>
        <v>53.681000000000054</v>
      </c>
      <c r="S206" s="49" cm="1">
        <f t="array" ref="S206">_xll.aqBondObjectCleanPrice($L206,$C$4,$M206)</f>
        <v>53.681000000000054</v>
      </c>
      <c r="T206" s="49" cm="1">
        <f t="array" ref="T206">_xll.aqBondObjectDirtyPrice($L206,$C$4,$M206)</f>
        <v>53.681000000000054</v>
      </c>
      <c r="U206" s="18" cm="1">
        <f t="array" ref="U206">_xll.aqBondObjectModifiedDuration($L206,$C$4,$Q206)</f>
        <v>31.904349543149781</v>
      </c>
      <c r="V206" s="93" cm="1">
        <f t="array" ref="V206">_xll.aqBondObjectDV01($L206,$C$4,$Q206)</f>
        <v>1712.6573878256795</v>
      </c>
    </row>
    <row r="207" spans="2:22">
      <c r="B207" s="11" t="s">
        <v>1342</v>
      </c>
      <c r="C207" s="11" t="s">
        <v>1343</v>
      </c>
      <c r="D207" s="11" t="s">
        <v>1343</v>
      </c>
      <c r="E207" s="12">
        <v>38411</v>
      </c>
      <c r="F207" s="15"/>
      <c r="G207" s="14"/>
      <c r="H207" s="12"/>
      <c r="I207" s="12"/>
      <c r="J207" s="13">
        <v>0</v>
      </c>
      <c r="K207" s="12">
        <v>55268</v>
      </c>
      <c r="L207" s="16" t="str" cm="1">
        <f t="array" ref="L207">_xll.aqBondObjectCreateFromGenerator($C207,$L$4,_xll.aqToolLVBFromKeysValues($C$7:$K$7,$C207:$K207))</f>
        <v>FR0010172601:3</v>
      </c>
      <c r="M207" s="78">
        <v>1.6120543985707059E-2</v>
      </c>
      <c r="N207" s="51">
        <v>59.448</v>
      </c>
      <c r="O207" s="17">
        <v>32.004600000000003</v>
      </c>
      <c r="P207" s="95">
        <v>1902.6104</v>
      </c>
      <c r="Q207" s="39" cm="1">
        <f t="array" ref="Q207">_xll.aqBondObjectYield(L207,$C$4,R207)</f>
        <v>1.6120543985707499E-2</v>
      </c>
      <c r="R207" s="49" cm="1">
        <f t="array" ref="R207">_xll.aqBondObjectPrice($L207,$C$4,$M207)</f>
        <v>59.448000000000015</v>
      </c>
      <c r="S207" s="49" cm="1">
        <f t="array" ref="S207">_xll.aqBondObjectCleanPrice($L207,$C$4,$M207)</f>
        <v>59.448000000000015</v>
      </c>
      <c r="T207" s="49" cm="1">
        <f t="array" ref="T207">_xll.aqBondObjectDirtyPrice($L207,$C$4,$M207)</f>
        <v>59.448000000000015</v>
      </c>
      <c r="U207" s="18" cm="1">
        <f t="array" ref="U207">_xll.aqBondObjectModifiedDuration($L207,$C$4,$Q207)</f>
        <v>32.004616123245022</v>
      </c>
      <c r="V207" s="93" cm="1">
        <f t="array" ref="V207">_xll.aqBondObjectDV01($L207,$C$4,$Q207)</f>
        <v>1902.6104192946434</v>
      </c>
    </row>
    <row r="208" spans="2:22">
      <c r="B208" s="11" t="s">
        <v>1412</v>
      </c>
      <c r="C208" s="11" t="s">
        <v>1413</v>
      </c>
      <c r="D208" s="11" t="s">
        <v>1413</v>
      </c>
      <c r="E208" s="12">
        <v>42479</v>
      </c>
      <c r="F208" s="15"/>
      <c r="G208" s="14"/>
      <c r="H208" s="12"/>
      <c r="I208" s="12"/>
      <c r="J208" s="13">
        <v>0</v>
      </c>
      <c r="K208" s="12">
        <v>55298</v>
      </c>
      <c r="L208" s="16" t="str" cm="1">
        <f t="array" ref="L208">_xll.aqBondObjectCreateFromGenerator($C208,$L$4,_xll.aqToolLVBFromKeysValues($C$7:$K$7,$C208:$K208))</f>
        <v>FR0013154135:3</v>
      </c>
      <c r="M208" s="78">
        <v>1.9924757759908207E-2</v>
      </c>
      <c r="N208" s="51">
        <v>52.56</v>
      </c>
      <c r="O208" s="17">
        <v>31.965800000000002</v>
      </c>
      <c r="P208" s="95">
        <v>1680.1239</v>
      </c>
      <c r="Q208" s="39" cm="1">
        <f t="array" ref="Q208">_xll.aqBondObjectYield(L208,$C$4,R208)</f>
        <v>1.9924757759912096E-2</v>
      </c>
      <c r="R208" s="49" cm="1">
        <f t="array" ref="R208">_xll.aqBondObjectPrice($L208,$C$4,$M208)</f>
        <v>52.55999999999986</v>
      </c>
      <c r="S208" s="49" cm="1">
        <f t="array" ref="S208">_xll.aqBondObjectCleanPrice($L208,$C$4,$M208)</f>
        <v>52.55999999999986</v>
      </c>
      <c r="T208" s="49" cm="1">
        <f t="array" ref="T208">_xll.aqBondObjectDirtyPrice($L208,$C$4,$M208)</f>
        <v>52.55999999999986</v>
      </c>
      <c r="U208" s="18" cm="1">
        <f t="array" ref="U208">_xll.aqBondObjectModifiedDuration($L208,$C$4,$Q208)</f>
        <v>31.96582833976268</v>
      </c>
      <c r="V208" s="93" cm="1">
        <f t="array" ref="V208">_xll.aqBondObjectDV01($L208,$C$4,$Q208)</f>
        <v>1680.1239375377074</v>
      </c>
    </row>
    <row r="209" spans="2:22">
      <c r="B209" s="11" t="s">
        <v>1350</v>
      </c>
      <c r="C209" s="11" t="s">
        <v>1351</v>
      </c>
      <c r="D209" s="11" t="s">
        <v>1351</v>
      </c>
      <c r="E209" s="12">
        <v>40140</v>
      </c>
      <c r="F209" s="15"/>
      <c r="G209" s="14"/>
      <c r="H209" s="12"/>
      <c r="I209" s="12"/>
      <c r="J209" s="13">
        <v>0</v>
      </c>
      <c r="K209" s="12">
        <v>55634</v>
      </c>
      <c r="L209" s="16" t="str" cm="1">
        <f t="array" ref="L209">_xll.aqBondObjectCreateFromGenerator($C209,$L$4,_xll.aqToolLVBFromKeysValues($C$7:$K$7,$C209:$K209))</f>
        <v>FR0010809632:3</v>
      </c>
      <c r="M209" s="78">
        <v>1.9629055521789285E-2</v>
      </c>
      <c r="N209" s="51">
        <v>52.121000000000002</v>
      </c>
      <c r="O209" s="17">
        <v>32.8752</v>
      </c>
      <c r="P209" s="95">
        <v>1713.4902999999999</v>
      </c>
      <c r="Q209" s="39" cm="1">
        <f t="array" ref="Q209">_xll.aqBondObjectYield(L209,$C$4,R209)</f>
        <v>1.9629055521793632E-2</v>
      </c>
      <c r="R209" s="49" cm="1">
        <f t="array" ref="R209">_xll.aqBondObjectPrice($L209,$C$4,$M209)</f>
        <v>52.12099999999991</v>
      </c>
      <c r="S209" s="49" cm="1">
        <f t="array" ref="S209">_xll.aqBondObjectCleanPrice($L209,$C$4,$M209)</f>
        <v>52.12099999999991</v>
      </c>
      <c r="T209" s="49" cm="1">
        <f t="array" ref="T209">_xll.aqBondObjectDirtyPrice($L209,$C$4,$M209)</f>
        <v>52.12099999999991</v>
      </c>
      <c r="U209" s="18" cm="1">
        <f t="array" ref="U209">_xll.aqBondObjectModifiedDuration($L209,$C$4,$Q209)</f>
        <v>32.875238071801896</v>
      </c>
      <c r="V209" s="93" cm="1">
        <f t="array" ref="V209">_xll.aqBondObjectDV01($L209,$C$4,$Q209)</f>
        <v>1713.4902835401335</v>
      </c>
    </row>
    <row r="210" spans="2:22">
      <c r="B210" s="11" t="s">
        <v>1374</v>
      </c>
      <c r="C210" s="11" t="s">
        <v>1375</v>
      </c>
      <c r="D210" s="11" t="s">
        <v>1375</v>
      </c>
      <c r="E210" s="12">
        <v>38411</v>
      </c>
      <c r="F210" s="15"/>
      <c r="G210" s="14"/>
      <c r="H210" s="12"/>
      <c r="I210" s="12"/>
      <c r="J210" s="13">
        <v>0</v>
      </c>
      <c r="K210" s="12">
        <v>55634</v>
      </c>
      <c r="L210" s="16" t="str" cm="1">
        <f t="array" ref="L210">_xll.aqBondObjectCreateFromGenerator($C210,$L$4,_xll.aqToolLVBFromKeysValues($C$7:$K$7,$C210:$K210))</f>
        <v>FR0010172619:3</v>
      </c>
      <c r="M210" s="78">
        <v>1.6192585172914553E-2</v>
      </c>
      <c r="N210" s="51">
        <v>58.366</v>
      </c>
      <c r="O210" s="17">
        <v>32.986400000000003</v>
      </c>
      <c r="P210" s="95">
        <v>1925.2850000000001</v>
      </c>
      <c r="Q210" s="39" cm="1">
        <f t="array" ref="Q210">_xll.aqBondObjectYield(L210,$C$4,R210)</f>
        <v>1.6192585172915098E-2</v>
      </c>
      <c r="R210" s="49" cm="1">
        <f t="array" ref="R210">_xll.aqBondObjectPrice($L210,$C$4,$M210)</f>
        <v>58.36600000000012</v>
      </c>
      <c r="S210" s="49" cm="1">
        <f t="array" ref="S210">_xll.aqBondObjectCleanPrice($L210,$C$4,$M210)</f>
        <v>58.36600000000012</v>
      </c>
      <c r="T210" s="49" cm="1">
        <f t="array" ref="T210">_xll.aqBondObjectDirtyPrice($L210,$C$4,$M210)</f>
        <v>58.36600000000012</v>
      </c>
      <c r="U210" s="18" cm="1">
        <f t="array" ref="U210">_xll.aqBondObjectModifiedDuration($L210,$C$4,$Q210)</f>
        <v>32.986412648840215</v>
      </c>
      <c r="V210" s="93" cm="1">
        <f t="array" ref="V210">_xll.aqBondObjectDV01($L210,$C$4,$Q210)</f>
        <v>1925.2849606621837</v>
      </c>
    </row>
    <row r="211" spans="2:22">
      <c r="B211" s="11" t="s">
        <v>1348</v>
      </c>
      <c r="C211" s="11" t="s">
        <v>1349</v>
      </c>
      <c r="D211" s="11" t="s">
        <v>1349</v>
      </c>
      <c r="E211" s="12">
        <v>42479</v>
      </c>
      <c r="F211" s="15"/>
      <c r="G211" s="14"/>
      <c r="H211" s="12"/>
      <c r="I211" s="12"/>
      <c r="J211" s="13">
        <v>0</v>
      </c>
      <c r="K211" s="12">
        <v>55664</v>
      </c>
      <c r="L211" s="16" t="str" cm="1">
        <f t="array" ref="L211">_xll.aqBondObjectCreateFromGenerator($C211,$L$4,_xll.aqToolLVBFromKeysValues($C$7:$K$7,$C211:$K211))</f>
        <v>FR0013154143:3</v>
      </c>
      <c r="M211" s="78">
        <v>2.0043508749197914E-2</v>
      </c>
      <c r="N211" s="51">
        <v>51.332000000000001</v>
      </c>
      <c r="O211" s="17">
        <v>32.942500000000003</v>
      </c>
      <c r="P211" s="95">
        <v>1691.0021999999999</v>
      </c>
      <c r="Q211" s="39" cm="1">
        <f t="array" ref="Q211">_xll.aqBondObjectYield(L211,$C$4,R211)</f>
        <v>2.0043508749203329E-2</v>
      </c>
      <c r="R211" s="49" cm="1">
        <f t="array" ref="R211">_xll.aqBondObjectPrice($L211,$C$4,$M211)</f>
        <v>51.332000000000143</v>
      </c>
      <c r="S211" s="49" cm="1">
        <f t="array" ref="S211">_xll.aqBondObjectCleanPrice($L211,$C$4,$M211)</f>
        <v>51.332000000000143</v>
      </c>
      <c r="T211" s="49" cm="1">
        <f t="array" ref="T211">_xll.aqBondObjectDirtyPrice($L211,$C$4,$M211)</f>
        <v>51.332000000000143</v>
      </c>
      <c r="U211" s="18" cm="1">
        <f t="array" ref="U211">_xll.aqBondObjectModifiedDuration($L211,$C$4,$Q211)</f>
        <v>32.94245729501452</v>
      </c>
      <c r="V211" s="93" cm="1">
        <f t="array" ref="V211">_xll.aqBondObjectDV01($L211,$C$4,$Q211)</f>
        <v>1691.002217867393</v>
      </c>
    </row>
    <row r="212" spans="2:22">
      <c r="B212" s="11" t="s">
        <v>1338</v>
      </c>
      <c r="C212" s="11" t="s">
        <v>1339</v>
      </c>
      <c r="D212" s="11" t="s">
        <v>1339</v>
      </c>
      <c r="E212" s="12">
        <v>40140</v>
      </c>
      <c r="F212" s="15"/>
      <c r="G212" s="14"/>
      <c r="H212" s="12"/>
      <c r="I212" s="12"/>
      <c r="J212" s="13">
        <v>0</v>
      </c>
      <c r="K212" s="12">
        <v>55999</v>
      </c>
      <c r="L212" s="16" t="str" cm="1">
        <f t="array" ref="L212">_xll.aqBondObjectCreateFromGenerator($C212,$L$4,_xll.aqToolLVBFromKeysValues($C$7:$K$7,$C212:$K212))</f>
        <v>FR0010809640:3</v>
      </c>
      <c r="M212" s="78">
        <v>1.9893531252422436E-2</v>
      </c>
      <c r="N212" s="51">
        <v>50.661999999999999</v>
      </c>
      <c r="O212" s="17">
        <v>33.847200000000001</v>
      </c>
      <c r="P212" s="95">
        <v>1714.7672</v>
      </c>
      <c r="Q212" s="39" cm="1">
        <f t="array" ref="Q212">_xll.aqBondObjectYield(L212,$C$4,R212)</f>
        <v>1.9893531252429018E-2</v>
      </c>
      <c r="R212" s="49" cm="1">
        <f t="array" ref="R212">_xll.aqBondObjectPrice($L212,$C$4,$M212)</f>
        <v>50.661999999999871</v>
      </c>
      <c r="S212" s="49" cm="1">
        <f t="array" ref="S212">_xll.aqBondObjectCleanPrice($L212,$C$4,$M212)</f>
        <v>50.661999999999871</v>
      </c>
      <c r="T212" s="49" cm="1">
        <f t="array" ref="T212">_xll.aqBondObjectDirtyPrice($L212,$C$4,$M212)</f>
        <v>50.661999999999871</v>
      </c>
      <c r="U212" s="18" cm="1">
        <f t="array" ref="U212">_xll.aqBondObjectModifiedDuration($L212,$C$4,$Q212)</f>
        <v>33.847207465679539</v>
      </c>
      <c r="V212" s="93" cm="1">
        <f t="array" ref="V212">_xll.aqBondObjectDV01($L212,$C$4,$Q212)</f>
        <v>1714.7672246258658</v>
      </c>
    </row>
    <row r="213" spans="2:22">
      <c r="B213" s="11" t="s">
        <v>1372</v>
      </c>
      <c r="C213" s="11" t="s">
        <v>1373</v>
      </c>
      <c r="D213" s="11" t="s">
        <v>1373</v>
      </c>
      <c r="E213" s="12">
        <v>38411</v>
      </c>
      <c r="F213" s="15"/>
      <c r="G213" s="14"/>
      <c r="H213" s="12"/>
      <c r="I213" s="12"/>
      <c r="J213" s="13">
        <v>0</v>
      </c>
      <c r="K213" s="12">
        <v>55999</v>
      </c>
      <c r="L213" s="16" t="str" cm="1">
        <f t="array" ref="L213">_xll.aqBondObjectCreateFromGenerator($C213,$L$4,_xll.aqToolLVBFromKeysValues($C$7:$K$7,$C213:$K213))</f>
        <v>FR0010172627:3</v>
      </c>
      <c r="M213" s="78">
        <v>1.6311719680709658E-2</v>
      </c>
      <c r="N213" s="51">
        <v>57.204000000000001</v>
      </c>
      <c r="O213" s="17">
        <v>33.966500000000003</v>
      </c>
      <c r="P213" s="95">
        <v>1943.0193999999999</v>
      </c>
      <c r="Q213" s="39" cm="1">
        <f t="array" ref="Q213">_xll.aqBondObjectYield(L213,$C$4,R213)</f>
        <v>1.6311719680710424E-2</v>
      </c>
      <c r="R213" s="49" cm="1">
        <f t="array" ref="R213">_xll.aqBondObjectPrice($L213,$C$4,$M213)</f>
        <v>57.204000000000136</v>
      </c>
      <c r="S213" s="49" cm="1">
        <f t="array" ref="S213">_xll.aqBondObjectCleanPrice($L213,$C$4,$M213)</f>
        <v>57.204000000000136</v>
      </c>
      <c r="T213" s="49" cm="1">
        <f t="array" ref="T213">_xll.aqBondObjectDirtyPrice($L213,$C$4,$M213)</f>
        <v>57.204000000000136</v>
      </c>
      <c r="U213" s="18" cm="1">
        <f t="array" ref="U213">_xll.aqBondObjectModifiedDuration($L213,$C$4,$Q213)</f>
        <v>33.966495984175637</v>
      </c>
      <c r="V213" s="93" cm="1">
        <f t="array" ref="V213">_xll.aqBondObjectDV01($L213,$C$4,$Q213)</f>
        <v>1943.019436278744</v>
      </c>
    </row>
    <row r="214" spans="2:22">
      <c r="B214" s="11" t="s">
        <v>1414</v>
      </c>
      <c r="C214" s="11" t="s">
        <v>1415</v>
      </c>
      <c r="D214" s="11" t="s">
        <v>1415</v>
      </c>
      <c r="E214" s="12">
        <v>42479</v>
      </c>
      <c r="F214" s="15"/>
      <c r="G214" s="14"/>
      <c r="H214" s="12"/>
      <c r="I214" s="12"/>
      <c r="J214" s="13">
        <v>0</v>
      </c>
      <c r="K214" s="12">
        <v>56029</v>
      </c>
      <c r="L214" s="16" t="str" cm="1">
        <f t="array" ref="L214">_xll.aqBondObjectCreateFromGenerator($C214,$L$4,_xll.aqToolLVBFromKeysValues($C$7:$K$7,$C214:$K214))</f>
        <v>FR0013154192:3</v>
      </c>
      <c r="M214" s="78">
        <v>2.0280761196439068E-2</v>
      </c>
      <c r="N214" s="51">
        <v>49.92</v>
      </c>
      <c r="O214" s="17">
        <v>33.914900000000003</v>
      </c>
      <c r="P214" s="95">
        <v>1693.0328</v>
      </c>
      <c r="Q214" s="39" cm="1">
        <f t="array" ref="Q214">_xll.aqBondObjectYield(L214,$C$4,R214)</f>
        <v>2.0280761196447231E-2</v>
      </c>
      <c r="R214" s="49" cm="1">
        <f t="array" ref="R214">_xll.aqBondObjectPrice($L214,$C$4,$M214)</f>
        <v>49.920000000000016</v>
      </c>
      <c r="S214" s="49" cm="1">
        <f t="array" ref="S214">_xll.aqBondObjectCleanPrice($L214,$C$4,$M214)</f>
        <v>49.920000000000016</v>
      </c>
      <c r="T214" s="49" cm="1">
        <f t="array" ref="T214">_xll.aqBondObjectDirtyPrice($L214,$C$4,$M214)</f>
        <v>49.920000000000016</v>
      </c>
      <c r="U214" s="18" cm="1">
        <f t="array" ref="U214">_xll.aqBondObjectModifiedDuration($L214,$C$4,$Q214)</f>
        <v>33.914919345778891</v>
      </c>
      <c r="V214" s="93" cm="1">
        <f t="array" ref="V214">_xll.aqBondObjectDV01($L214,$C$4,$Q214)</f>
        <v>1693.0327737408106</v>
      </c>
    </row>
    <row r="215" spans="2:22">
      <c r="B215" s="11" t="s">
        <v>1240</v>
      </c>
      <c r="C215" s="11" t="s">
        <v>1241</v>
      </c>
      <c r="D215" s="11" t="s">
        <v>1241</v>
      </c>
      <c r="E215" s="12">
        <v>40140</v>
      </c>
      <c r="F215" s="15"/>
      <c r="G215" s="14"/>
      <c r="H215" s="12"/>
      <c r="I215" s="12"/>
      <c r="J215" s="13">
        <v>0</v>
      </c>
      <c r="K215" s="12">
        <v>56364</v>
      </c>
      <c r="L215" s="16" t="str" cm="1">
        <f t="array" ref="L215">_xll.aqBondObjectCreateFromGenerator($C215,$L$4,_xll.aqToolLVBFromKeysValues($C$7:$K$7,$C215:$K215))</f>
        <v>FR0010809657:3</v>
      </c>
      <c r="M215" s="78">
        <v>2.0142502618299751E-2</v>
      </c>
      <c r="N215" s="51">
        <v>49.244999999999997</v>
      </c>
      <c r="O215" s="17">
        <v>34.819200000000002</v>
      </c>
      <c r="P215" s="95">
        <v>1714.6715999999999</v>
      </c>
      <c r="Q215" s="39" cm="1">
        <f t="array" ref="Q215">_xll.aqBondObjectYield(L215,$C$4,R215)</f>
        <v>2.0142502618309466E-2</v>
      </c>
      <c r="R215" s="49" cm="1">
        <f t="array" ref="R215">_xll.aqBondObjectPrice($L215,$C$4,$M215)</f>
        <v>49.244999999999997</v>
      </c>
      <c r="S215" s="49" cm="1">
        <f t="array" ref="S215">_xll.aqBondObjectCleanPrice($L215,$C$4,$M215)</f>
        <v>49.244999999999997</v>
      </c>
      <c r="T215" s="49" cm="1">
        <f t="array" ref="T215">_xll.aqBondObjectDirtyPrice($L215,$C$4,$M215)</f>
        <v>49.244999999999997</v>
      </c>
      <c r="U215" s="18" cm="1">
        <f t="array" ref="U215">_xll.aqBondObjectModifiedDuration($L215,$C$4,$Q215)</f>
        <v>34.819202076217813</v>
      </c>
      <c r="V215" s="93" cm="1">
        <f t="array" ref="V215">_xll.aqBondObjectDV01($L215,$C$4,$Q215)</f>
        <v>1714.6716062427629</v>
      </c>
    </row>
    <row r="216" spans="2:22">
      <c r="B216" s="11" t="s">
        <v>1250</v>
      </c>
      <c r="C216" s="11" t="s">
        <v>1251</v>
      </c>
      <c r="D216" s="11" t="s">
        <v>1251</v>
      </c>
      <c r="E216" s="12">
        <v>38411</v>
      </c>
      <c r="F216" s="15"/>
      <c r="G216" s="14"/>
      <c r="H216" s="12"/>
      <c r="I216" s="12"/>
      <c r="J216" s="13">
        <v>0</v>
      </c>
      <c r="K216" s="12">
        <v>56364</v>
      </c>
      <c r="L216" s="16" t="str" cm="1">
        <f t="array" ref="L216">_xll.aqBondObjectCreateFromGenerator($C216,$L$4,_xll.aqToolLVBFromKeysValues($C$7:$K$7,$C216:$K216))</f>
        <v>FR0010172635:3</v>
      </c>
      <c r="M216" s="78">
        <v>1.643035288629946E-2</v>
      </c>
      <c r="N216" s="51">
        <v>56.052999999999997</v>
      </c>
      <c r="O216" s="17">
        <v>34.946399999999997</v>
      </c>
      <c r="P216" s="95">
        <v>1958.8487</v>
      </c>
      <c r="Q216" s="39" cm="1">
        <f t="array" ref="Q216">_xll.aqBondObjectYield(L216,$C$4,R216)</f>
        <v>1.643035288630058E-2</v>
      </c>
      <c r="R216" s="49" cm="1">
        <f t="array" ref="R216">_xll.aqBondObjectPrice($L216,$C$4,$M216)</f>
        <v>56.052999999999841</v>
      </c>
      <c r="S216" s="49" cm="1">
        <f t="array" ref="S216">_xll.aqBondObjectCleanPrice($L216,$C$4,$M216)</f>
        <v>56.052999999999841</v>
      </c>
      <c r="T216" s="49" cm="1">
        <f t="array" ref="T216">_xll.aqBondObjectDirtyPrice($L216,$C$4,$M216)</f>
        <v>56.052999999999841</v>
      </c>
      <c r="U216" s="18" cm="1">
        <f t="array" ref="U216">_xll.aqBondObjectModifiedDuration($L216,$C$4,$Q216)</f>
        <v>34.946366806480889</v>
      </c>
      <c r="V216" s="93" cm="1">
        <f t="array" ref="V216">_xll.aqBondObjectDV01($L216,$C$4,$Q216)</f>
        <v>1958.8486986035921</v>
      </c>
    </row>
    <row r="217" spans="2:22">
      <c r="B217" s="11" t="s">
        <v>1430</v>
      </c>
      <c r="C217" s="11" t="s">
        <v>1431</v>
      </c>
      <c r="D217" s="11" t="s">
        <v>1431</v>
      </c>
      <c r="E217" s="12">
        <v>42479</v>
      </c>
      <c r="F217" s="15"/>
      <c r="G217" s="14"/>
      <c r="H217" s="12"/>
      <c r="I217" s="12"/>
      <c r="J217" s="13">
        <v>0</v>
      </c>
      <c r="K217" s="12">
        <v>56394</v>
      </c>
      <c r="L217" s="16" t="str" cm="1">
        <f t="array" ref="L217">_xll.aqBondObjectCreateFromGenerator($C217,$L$4,_xll.aqToolLVBFromKeysValues($C$7:$K$7,$C217:$K217))</f>
        <v>FR0013154200:3</v>
      </c>
      <c r="M217" s="78">
        <v>2.0515271920117151E-2</v>
      </c>
      <c r="N217" s="51">
        <v>48.529000000000003</v>
      </c>
      <c r="O217" s="17">
        <v>34.887</v>
      </c>
      <c r="P217" s="95">
        <v>1693.0323000000001</v>
      </c>
      <c r="Q217" s="39" cm="1">
        <f t="array" ref="Q217">_xll.aqBondObjectYield(L217,$C$4,R217)</f>
        <v>2.0515271920129082E-2</v>
      </c>
      <c r="R217" s="49" cm="1">
        <f t="array" ref="R217">_xll.aqBondObjectPrice($L217,$C$4,$M217)</f>
        <v>48.529000000000124</v>
      </c>
      <c r="S217" s="49" cm="1">
        <f t="array" ref="S217">_xll.aqBondObjectCleanPrice($L217,$C$4,$M217)</f>
        <v>48.529000000000124</v>
      </c>
      <c r="T217" s="49" cm="1">
        <f t="array" ref="T217">_xll.aqBondObjectDirtyPrice($L217,$C$4,$M217)</f>
        <v>48.529000000000124</v>
      </c>
      <c r="U217" s="18" cm="1">
        <f t="array" ref="U217">_xll.aqBondObjectModifiedDuration($L217,$C$4,$Q217)</f>
        <v>34.887022963448459</v>
      </c>
      <c r="V217" s="93" cm="1">
        <f t="array" ref="V217">_xll.aqBondObjectDV01($L217,$C$4,$Q217)</f>
        <v>1693.0323373924864</v>
      </c>
    </row>
    <row r="218" spans="2:22">
      <c r="B218" s="11" t="s">
        <v>1182</v>
      </c>
      <c r="C218" s="11" t="s">
        <v>1183</v>
      </c>
      <c r="D218" s="11" t="s">
        <v>1183</v>
      </c>
      <c r="E218" s="12">
        <v>38411</v>
      </c>
      <c r="F218" s="15">
        <v>38102</v>
      </c>
      <c r="G218" s="14"/>
      <c r="H218" s="12">
        <v>38467</v>
      </c>
      <c r="I218" s="12">
        <v>56364</v>
      </c>
      <c r="J218" s="13">
        <v>0.04</v>
      </c>
      <c r="K218" s="12">
        <v>56729</v>
      </c>
      <c r="L218" s="16" t="str" cm="1">
        <f t="array" ref="L218">_xll.aqBondObjectCreateFromGenerator($C218,$L$4,_xll.aqToolLVBFromKeysValues($C$7:$K$7,$C218:$K218))</f>
        <v>FR0010171975:3</v>
      </c>
      <c r="M218" s="78">
        <v>1.7920069624973202E-2</v>
      </c>
      <c r="N218" s="51">
        <v>158.79499999999999</v>
      </c>
      <c r="O218" s="17">
        <v>22.613700000000001</v>
      </c>
      <c r="P218" s="95">
        <v>3634.3085999999998</v>
      </c>
      <c r="Q218" s="39" cm="1">
        <f t="array" ref="Q218">_xll.aqBondObjectYield(L218,$C$4,R218)</f>
        <v>1.7920069624973712E-2</v>
      </c>
      <c r="R218" s="49" cm="1">
        <f t="array" ref="R218">_xll.aqBondObjectPrice($L218,$C$4,$M218)</f>
        <v>158.79500000008196</v>
      </c>
      <c r="S218" s="49" cm="1">
        <f t="array" ref="S218">_xll.aqBondObjectCleanPrice($L218,$C$4,$M218)</f>
        <v>158.79500000008196</v>
      </c>
      <c r="T218" s="49" cm="1">
        <f t="array" ref="T218">_xll.aqBondObjectDirtyPrice($L218,$C$4,$M218)</f>
        <v>160.71280820008195</v>
      </c>
      <c r="U218" s="18" cm="1">
        <f t="array" ref="U218">_xll.aqBondObjectModifiedDuration($L218,$C$4,$Q218)</f>
        <v>22.613683888166975</v>
      </c>
      <c r="V218" s="93" cm="1">
        <f t="array" ref="V218">_xll.aqBondObjectDV01($L218,$C$4,$Q218)</f>
        <v>3634.3086414162244</v>
      </c>
    </row>
    <row r="219" spans="2:22">
      <c r="B219" s="11" t="s">
        <v>1192</v>
      </c>
      <c r="C219" s="11" t="s">
        <v>1193</v>
      </c>
      <c r="D219" s="11" t="s">
        <v>1193</v>
      </c>
      <c r="E219" s="12">
        <v>40140</v>
      </c>
      <c r="F219" s="15"/>
      <c r="G219" s="14"/>
      <c r="H219" s="12"/>
      <c r="I219" s="12"/>
      <c r="J219" s="13">
        <v>0</v>
      </c>
      <c r="K219" s="12">
        <v>56729</v>
      </c>
      <c r="L219" s="16" t="str" cm="1">
        <f t="array" ref="L219">_xll.aqBondObjectCreateFromGenerator($C219,$L$4,_xll.aqToolLVBFromKeysValues($C$7:$K$7,$C219:$K219))</f>
        <v>FR0010809665:3</v>
      </c>
      <c r="M219" s="78">
        <v>2.0168362231350878E-2</v>
      </c>
      <c r="N219" s="51">
        <v>48.228000000000002</v>
      </c>
      <c r="O219" s="17">
        <v>35.798499999999997</v>
      </c>
      <c r="P219" s="95">
        <v>1726.4925000000001</v>
      </c>
      <c r="Q219" s="39" cm="1">
        <f t="array" ref="Q219">_xll.aqBondObjectYield(L219,$C$4,R219)</f>
        <v>2.0168362231363483E-2</v>
      </c>
      <c r="R219" s="49" cm="1">
        <f t="array" ref="R219">_xll.aqBondObjectPrice($L219,$C$4,$M219)</f>
        <v>48.227999999999994</v>
      </c>
      <c r="S219" s="49" cm="1">
        <f t="array" ref="S219">_xll.aqBondObjectCleanPrice($L219,$C$4,$M219)</f>
        <v>48.227999999999994</v>
      </c>
      <c r="T219" s="49" cm="1">
        <f t="array" ref="T219">_xll.aqBondObjectDirtyPrice($L219,$C$4,$M219)</f>
        <v>48.227999999999994</v>
      </c>
      <c r="U219" s="18" cm="1">
        <f t="array" ref="U219">_xll.aqBondObjectModifiedDuration($L219,$C$4,$Q219)</f>
        <v>35.798549824977805</v>
      </c>
      <c r="V219" s="93" cm="1">
        <f t="array" ref="V219">_xll.aqBondObjectDV01($L219,$C$4,$Q219)</f>
        <v>1726.492460958247</v>
      </c>
    </row>
    <row r="220" spans="2:22">
      <c r="B220" s="11" t="s">
        <v>1224</v>
      </c>
      <c r="C220" s="11" t="s">
        <v>1225</v>
      </c>
      <c r="D220" s="11" t="s">
        <v>1225</v>
      </c>
      <c r="E220" s="12">
        <v>38411</v>
      </c>
      <c r="F220" s="15"/>
      <c r="G220" s="14"/>
      <c r="H220" s="12"/>
      <c r="I220" s="12"/>
      <c r="J220" s="13">
        <v>0</v>
      </c>
      <c r="K220" s="12">
        <v>56729</v>
      </c>
      <c r="L220" s="16" t="str" cm="1">
        <f t="array" ref="L220">_xll.aqBondObjectCreateFromGenerator($C220,$L$4,_xll.aqToolLVBFromKeysValues($C$7:$K$7,$C220:$K220))</f>
        <v>FR0010172205:3</v>
      </c>
      <c r="M220" s="78">
        <v>1.547386796699679E-2</v>
      </c>
      <c r="N220" s="51">
        <v>57.076000000000001</v>
      </c>
      <c r="O220" s="17">
        <v>35.963999999999999</v>
      </c>
      <c r="P220" s="95">
        <v>2052.6837999999998</v>
      </c>
      <c r="Q220" s="39" cm="1">
        <f t="array" ref="Q220">_xll.aqBondObjectYield(L220,$C$4,R220)</f>
        <v>1.5473867966997496E-2</v>
      </c>
      <c r="R220" s="49" cm="1">
        <f t="array" ref="R220">_xll.aqBondObjectPrice($L220,$C$4,$M220)</f>
        <v>57.075999999999816</v>
      </c>
      <c r="S220" s="49" cm="1">
        <f t="array" ref="S220">_xll.aqBondObjectCleanPrice($L220,$C$4,$M220)</f>
        <v>57.075999999999816</v>
      </c>
      <c r="T220" s="49" cm="1">
        <f t="array" ref="T220">_xll.aqBondObjectDirtyPrice($L220,$C$4,$M220)</f>
        <v>57.075999999999816</v>
      </c>
      <c r="U220" s="18" cm="1">
        <f t="array" ref="U220">_xll.aqBondObjectModifiedDuration($L220,$C$4,$Q220)</f>
        <v>35.964045060381984</v>
      </c>
      <c r="V220" s="93" cm="1">
        <f t="array" ref="V220">_xll.aqBondObjectDV01($L220,$C$4,$Q220)</f>
        <v>2052.6838358663063</v>
      </c>
    </row>
    <row r="221" spans="2:22">
      <c r="B221" s="11" t="s">
        <v>1278</v>
      </c>
      <c r="C221" s="11" t="s">
        <v>1279</v>
      </c>
      <c r="D221" s="11" t="s">
        <v>1279</v>
      </c>
      <c r="E221" s="12">
        <v>38411</v>
      </c>
      <c r="F221" s="15"/>
      <c r="G221" s="14"/>
      <c r="H221" s="12"/>
      <c r="I221" s="12"/>
      <c r="J221" s="13">
        <v>0</v>
      </c>
      <c r="K221" s="12">
        <v>56729</v>
      </c>
      <c r="L221" s="16" t="str" cm="1">
        <f t="array" ref="L221">_xll.aqBondObjectCreateFromGenerator($C221,$L$4,_xll.aqToolLVBFromKeysValues($C$7:$K$7,$C221:$K221))</f>
        <v>FR0010172643:3</v>
      </c>
      <c r="M221" s="78">
        <v>1.6434853370484115E-2</v>
      </c>
      <c r="N221" s="51">
        <v>55.137999999999998</v>
      </c>
      <c r="O221" s="17">
        <v>35.93</v>
      </c>
      <c r="P221" s="95">
        <v>1981.1107</v>
      </c>
      <c r="Q221" s="39" cm="1">
        <f t="array" ref="Q221">_xll.aqBondObjectYield(L221,$C$4,R221)</f>
        <v>1.6434853370485555E-2</v>
      </c>
      <c r="R221" s="49" cm="1">
        <f t="array" ref="R221">_xll.aqBondObjectPrice($L221,$C$4,$M221)</f>
        <v>55.137999999999806</v>
      </c>
      <c r="S221" s="49" cm="1">
        <f t="array" ref="S221">_xll.aqBondObjectCleanPrice($L221,$C$4,$M221)</f>
        <v>55.137999999999806</v>
      </c>
      <c r="T221" s="49" cm="1">
        <f t="array" ref="T221">_xll.aqBondObjectDirtyPrice($L221,$C$4,$M221)</f>
        <v>55.137999999999806</v>
      </c>
      <c r="U221" s="18" cm="1">
        <f t="array" ref="U221">_xll.aqBondObjectModifiedDuration($L221,$C$4,$Q221)</f>
        <v>35.930042957602048</v>
      </c>
      <c r="V221" s="93" cm="1">
        <f t="array" ref="V221">_xll.aqBondObjectDV01($L221,$C$4,$Q221)</f>
        <v>1981.1107085961601</v>
      </c>
    </row>
    <row r="222" spans="2:22">
      <c r="B222" s="11" t="s">
        <v>1312</v>
      </c>
      <c r="C222" s="11" t="s">
        <v>1313</v>
      </c>
      <c r="D222" s="11" t="s">
        <v>1313</v>
      </c>
      <c r="E222" s="12">
        <v>42479</v>
      </c>
      <c r="F222" s="15"/>
      <c r="G222" s="14"/>
      <c r="H222" s="12"/>
      <c r="I222" s="12"/>
      <c r="J222" s="13">
        <v>0</v>
      </c>
      <c r="K222" s="12">
        <v>56759</v>
      </c>
      <c r="L222" s="16" t="str" cm="1">
        <f t="array" ref="L222">_xll.aqBondObjectCreateFromGenerator($C222,$L$4,_xll.aqToolLVBFromKeysValues($C$7:$K$7,$C222:$K222))</f>
        <v>FR0013154218:3</v>
      </c>
      <c r="M222" s="78">
        <v>2.0739832012723225E-2</v>
      </c>
      <c r="N222" s="51">
        <v>47.171999999999997</v>
      </c>
      <c r="O222" s="17">
        <v>35.859000000000002</v>
      </c>
      <c r="P222" s="95">
        <v>1691.5420999999999</v>
      </c>
      <c r="Q222" s="39" cm="1">
        <f t="array" ref="Q222">_xll.aqBondObjectYield(L222,$C$4,R222)</f>
        <v>2.0739832012740145E-2</v>
      </c>
      <c r="R222" s="49" cm="1">
        <f t="array" ref="R222">_xll.aqBondObjectPrice($L222,$C$4,$M222)</f>
        <v>47.172000000000025</v>
      </c>
      <c r="S222" s="49" cm="1">
        <f t="array" ref="S222">_xll.aqBondObjectCleanPrice($L222,$C$4,$M222)</f>
        <v>47.172000000000025</v>
      </c>
      <c r="T222" s="49" cm="1">
        <f t="array" ref="T222">_xll.aqBondObjectDirtyPrice($L222,$C$4,$M222)</f>
        <v>47.172000000000025</v>
      </c>
      <c r="U222" s="18" cm="1">
        <f t="array" ref="U222">_xll.aqBondObjectModifiedDuration($L222,$C$4,$Q222)</f>
        <v>35.859029478503345</v>
      </c>
      <c r="V222" s="93" cm="1">
        <f t="array" ref="V222">_xll.aqBondObjectDV01($L222,$C$4,$Q222)</f>
        <v>1691.542138558937</v>
      </c>
    </row>
    <row r="223" spans="2:22">
      <c r="B223" s="11" t="s">
        <v>1500</v>
      </c>
      <c r="C223" s="11" t="s">
        <v>1501</v>
      </c>
      <c r="D223" s="11" t="s">
        <v>1501</v>
      </c>
      <c r="E223" s="12">
        <v>40254</v>
      </c>
      <c r="F223" s="15"/>
      <c r="G223" s="14"/>
      <c r="H223" s="12"/>
      <c r="I223" s="12"/>
      <c r="J223" s="13">
        <v>0</v>
      </c>
      <c r="K223" s="12">
        <v>57095</v>
      </c>
      <c r="L223" s="16" t="str" cm="1">
        <f t="array" ref="L223">_xll.aqBondObjectCreateFromGenerator($C223,$L$4,_xll.aqToolLVBFromKeysValues($C$7:$K$7,$C223:$K223))</f>
        <v>FR0010871038:3</v>
      </c>
      <c r="M223" s="78">
        <v>2.0484004270011624E-2</v>
      </c>
      <c r="N223" s="51">
        <v>46.728999999999999</v>
      </c>
      <c r="O223" s="17">
        <v>36.767400000000002</v>
      </c>
      <c r="P223" s="95">
        <v>1718.104</v>
      </c>
      <c r="Q223" s="39" cm="1">
        <f t="array" ref="Q223">_xll.aqBondObjectYield(L223,$C$4,R223)</f>
        <v>2.0484004270030373E-2</v>
      </c>
      <c r="R223" s="49" cm="1">
        <f t="array" ref="R223">_xll.aqBondObjectPrice($L223,$C$4,$M223)</f>
        <v>46.729000000000021</v>
      </c>
      <c r="S223" s="49" cm="1">
        <f t="array" ref="S223">_xll.aqBondObjectCleanPrice($L223,$C$4,$M223)</f>
        <v>46.729000000000021</v>
      </c>
      <c r="T223" s="49" cm="1">
        <f t="array" ref="T223">_xll.aqBondObjectDirtyPrice($L223,$C$4,$M223)</f>
        <v>46.729000000000021</v>
      </c>
      <c r="U223" s="18" cm="1">
        <f t="array" ref="U223">_xll.aqBondObjectModifiedDuration($L223,$C$4,$Q223)</f>
        <v>36.767404278957386</v>
      </c>
      <c r="V223" s="93" cm="1">
        <f t="array" ref="V223">_xll.aqBondObjectDV01($L223,$C$4,$Q223)</f>
        <v>1718.1040345502224</v>
      </c>
    </row>
    <row r="224" spans="2:22">
      <c r="B224" s="11" t="s">
        <v>1368</v>
      </c>
      <c r="C224" s="11" t="s">
        <v>1369</v>
      </c>
      <c r="D224" s="11" t="s">
        <v>1369</v>
      </c>
      <c r="E224" s="12">
        <v>42479</v>
      </c>
      <c r="F224" s="15"/>
      <c r="G224" s="14"/>
      <c r="H224" s="12"/>
      <c r="I224" s="12"/>
      <c r="J224" s="13">
        <v>0</v>
      </c>
      <c r="K224" s="12">
        <v>57125</v>
      </c>
      <c r="L224" s="16" t="str" cm="1">
        <f t="array" ref="L224">_xll.aqBondObjectCreateFromGenerator($C224,$L$4,_xll.aqToolLVBFromKeysValues($C$7:$K$7,$C224:$K224))</f>
        <v>FR0013154226:3</v>
      </c>
      <c r="M224" s="78">
        <v>2.0834888991690725E-2</v>
      </c>
      <c r="N224" s="51">
        <v>46.052</v>
      </c>
      <c r="O224" s="17">
        <v>36.835299999999997</v>
      </c>
      <c r="P224" s="95">
        <v>1696.3382999999999</v>
      </c>
      <c r="Q224" s="39" cm="1">
        <f t="array" ref="Q224">_xll.aqBondObjectYield(L224,$C$4,R224)</f>
        <v>2.0834888991713044E-2</v>
      </c>
      <c r="R224" s="49" cm="1">
        <f t="array" ref="R224">_xll.aqBondObjectPrice($L224,$C$4,$M224)</f>
        <v>46.052000000000106</v>
      </c>
      <c r="S224" s="49" cm="1">
        <f t="array" ref="S224">_xll.aqBondObjectCleanPrice($L224,$C$4,$M224)</f>
        <v>46.052000000000106</v>
      </c>
      <c r="T224" s="49" cm="1">
        <f t="array" ref="T224">_xll.aqBondObjectDirtyPrice($L224,$C$4,$M224)</f>
        <v>46.052000000000106</v>
      </c>
      <c r="U224" s="18" cm="1">
        <f t="array" ref="U224">_xll.aqBondObjectModifiedDuration($L224,$C$4,$Q224)</f>
        <v>36.83528074081395</v>
      </c>
      <c r="V224" s="93" cm="1">
        <f t="array" ref="V224">_xll.aqBondObjectDV01($L224,$C$4,$Q224)</f>
        <v>1696.3383486745668</v>
      </c>
    </row>
    <row r="225" spans="2:22">
      <c r="B225" s="11" t="s">
        <v>1310</v>
      </c>
      <c r="C225" s="11" t="s">
        <v>1311</v>
      </c>
      <c r="D225" s="11" t="s">
        <v>1311</v>
      </c>
      <c r="E225" s="12">
        <v>40254</v>
      </c>
      <c r="F225" s="15"/>
      <c r="G225" s="14"/>
      <c r="H225" s="12"/>
      <c r="I225" s="12"/>
      <c r="J225" s="13">
        <v>0</v>
      </c>
      <c r="K225" s="12">
        <v>57460</v>
      </c>
      <c r="L225" s="16" t="str" cm="1">
        <f t="array" ref="L225">_xll.aqBondObjectCreateFromGenerator($C225,$L$4,_xll.aqToolLVBFromKeysValues($C$7:$K$7,$C225:$K225))</f>
        <v>FR0010871046:3</v>
      </c>
      <c r="M225" s="78">
        <v>2.0529179506214357E-2</v>
      </c>
      <c r="N225" s="51">
        <v>45.713000000000001</v>
      </c>
      <c r="O225" s="17">
        <v>37.745699999999999</v>
      </c>
      <c r="P225" s="95">
        <v>1725.4674</v>
      </c>
      <c r="Q225" s="39" cm="1">
        <f t="array" ref="Q225">_xll.aqBondObjectYield(L225,$C$4,R225)</f>
        <v>2.05291795062384E-2</v>
      </c>
      <c r="R225" s="49" cm="1">
        <f t="array" ref="R225">_xll.aqBondObjectPrice($L225,$C$4,$M225)</f>
        <v>45.713000000000143</v>
      </c>
      <c r="S225" s="49" cm="1">
        <f t="array" ref="S225">_xll.aqBondObjectCleanPrice($L225,$C$4,$M225)</f>
        <v>45.713000000000143</v>
      </c>
      <c r="T225" s="49" cm="1">
        <f t="array" ref="T225">_xll.aqBondObjectDirtyPrice($L225,$C$4,$M225)</f>
        <v>45.713000000000143</v>
      </c>
      <c r="U225" s="18" cm="1">
        <f t="array" ref="U225">_xll.aqBondObjectModifiedDuration($L225,$C$4,$Q225)</f>
        <v>37.745660505114451</v>
      </c>
      <c r="V225" s="93" cm="1">
        <f t="array" ref="V225">_xll.aqBondObjectDV01($L225,$C$4,$Q225)</f>
        <v>1725.4673786687404</v>
      </c>
    </row>
    <row r="226" spans="2:22">
      <c r="B226" s="11" t="s">
        <v>1438</v>
      </c>
      <c r="C226" s="11" t="s">
        <v>1439</v>
      </c>
      <c r="D226" s="11" t="s">
        <v>1439</v>
      </c>
      <c r="E226" s="12">
        <v>42479</v>
      </c>
      <c r="F226" s="15"/>
      <c r="G226" s="14"/>
      <c r="H226" s="12"/>
      <c r="I226" s="12"/>
      <c r="J226" s="13">
        <v>0</v>
      </c>
      <c r="K226" s="12">
        <v>57490</v>
      </c>
      <c r="L226" s="16" t="str" cm="1">
        <f t="array" ref="L226">_xll.aqBondObjectCreateFromGenerator($C226,$L$4,_xll.aqToolLVBFromKeysValues($C$7:$K$7,$C226:$K226))</f>
        <v>FR0013154234:3</v>
      </c>
      <c r="M226" s="78">
        <v>2.0923024608371588E-2</v>
      </c>
      <c r="N226" s="51">
        <v>44.962000000000003</v>
      </c>
      <c r="O226" s="17">
        <v>37.811599999999999</v>
      </c>
      <c r="P226" s="95">
        <v>1700.0854999999999</v>
      </c>
      <c r="Q226" s="39" cm="1">
        <f t="array" ref="Q226">_xll.aqBondObjectYield(L226,$C$4,R226)</f>
        <v>2.092302460840044E-2</v>
      </c>
      <c r="R226" s="49" cm="1">
        <f t="array" ref="R226">_xll.aqBondObjectPrice($L226,$C$4,$M226)</f>
        <v>44.96199999999989</v>
      </c>
      <c r="S226" s="49" cm="1">
        <f t="array" ref="S226">_xll.aqBondObjectCleanPrice($L226,$C$4,$M226)</f>
        <v>44.96199999999989</v>
      </c>
      <c r="T226" s="49" cm="1">
        <f t="array" ref="T226">_xll.aqBondObjectDirtyPrice($L226,$C$4,$M226)</f>
        <v>44.96199999999989</v>
      </c>
      <c r="U226" s="18" cm="1">
        <f t="array" ref="U226">_xll.aqBondObjectModifiedDuration($L226,$C$4,$Q226)</f>
        <v>37.811606551663786</v>
      </c>
      <c r="V226" s="93" cm="1">
        <f t="array" ref="V226">_xll.aqBondObjectDV01($L226,$C$4,$Q226)</f>
        <v>1700.0854537740474</v>
      </c>
    </row>
    <row r="227" spans="2:22">
      <c r="B227" s="11" t="s">
        <v>1492</v>
      </c>
      <c r="C227" s="11" t="s">
        <v>1493</v>
      </c>
      <c r="D227" s="11" t="s">
        <v>1493</v>
      </c>
      <c r="E227" s="12">
        <v>40254</v>
      </c>
      <c r="F227" s="15"/>
      <c r="G227" s="14"/>
      <c r="H227" s="12"/>
      <c r="I227" s="12"/>
      <c r="J227" s="13">
        <v>0</v>
      </c>
      <c r="K227" s="12">
        <v>57825</v>
      </c>
      <c r="L227" s="16" t="str" cm="1">
        <f t="array" ref="L227">_xll.aqBondObjectCreateFromGenerator($C227,$L$4,_xll.aqToolLVBFromKeysValues($C$7:$K$7,$C227:$K227))</f>
        <v>FR0010871053:3</v>
      </c>
      <c r="M227" s="78">
        <v>2.0655415658756393E-2</v>
      </c>
      <c r="N227" s="51">
        <v>44.575000000000003</v>
      </c>
      <c r="O227" s="17">
        <v>38.720799999999997</v>
      </c>
      <c r="P227" s="95">
        <v>1725.9775999999999</v>
      </c>
      <c r="Q227" s="39" cm="1">
        <f t="array" ref="Q227">_xll.aqBondObjectYield(L227,$C$4,R227)</f>
        <v>2.0655415658787667E-2</v>
      </c>
      <c r="R227" s="49" cm="1">
        <f t="array" ref="R227">_xll.aqBondObjectPrice($L227,$C$4,$M227)</f>
        <v>44.575000000000131</v>
      </c>
      <c r="S227" s="49" cm="1">
        <f t="array" ref="S227">_xll.aqBondObjectCleanPrice($L227,$C$4,$M227)</f>
        <v>44.575000000000131</v>
      </c>
      <c r="T227" s="49" cm="1">
        <f t="array" ref="T227">_xll.aqBondObjectDirtyPrice($L227,$C$4,$M227)</f>
        <v>44.575000000000131</v>
      </c>
      <c r="U227" s="18" cm="1">
        <f t="array" ref="U227">_xll.aqBondObjectModifiedDuration($L227,$C$4,$Q227)</f>
        <v>38.720754663018887</v>
      </c>
      <c r="V227" s="93" cm="1">
        <f t="array" ref="V227">_xll.aqBondObjectDV01($L227,$C$4,$Q227)</f>
        <v>1725.9776391019795</v>
      </c>
    </row>
    <row r="228" spans="2:22">
      <c r="B228" s="11" t="s">
        <v>1474</v>
      </c>
      <c r="C228" s="11" t="s">
        <v>1475</v>
      </c>
      <c r="D228" s="11" t="s">
        <v>1475</v>
      </c>
      <c r="E228" s="12">
        <v>42479</v>
      </c>
      <c r="F228" s="15"/>
      <c r="G228" s="14"/>
      <c r="H228" s="12"/>
      <c r="I228" s="12"/>
      <c r="J228" s="13">
        <v>0</v>
      </c>
      <c r="K228" s="12">
        <v>57855</v>
      </c>
      <c r="L228" s="16" t="str" cm="1">
        <f t="array" ref="L228">_xll.aqBondObjectCreateFromGenerator($C228,$L$4,_xll.aqToolLVBFromKeysValues($C$7:$K$7,$C228:$K228))</f>
        <v>FR0013154259:3</v>
      </c>
      <c r="M228" s="78">
        <v>2.1013646856184787E-2</v>
      </c>
      <c r="N228" s="51">
        <v>43.886000000000003</v>
      </c>
      <c r="O228" s="17">
        <v>38.787700000000001</v>
      </c>
      <c r="P228" s="95">
        <v>1702.2357</v>
      </c>
      <c r="Q228" s="39" cm="1">
        <f t="array" ref="Q228">_xll.aqBondObjectYield(L228,$C$4,R228)</f>
        <v>2.1013646856220883E-2</v>
      </c>
      <c r="R228" s="49" cm="1">
        <f t="array" ref="R228">_xll.aqBondObjectPrice($L228,$C$4,$M228)</f>
        <v>43.88600000000018</v>
      </c>
      <c r="S228" s="49" cm="1">
        <f t="array" ref="S228">_xll.aqBondObjectCleanPrice($L228,$C$4,$M228)</f>
        <v>43.88600000000018</v>
      </c>
      <c r="T228" s="49" cm="1">
        <f t="array" ref="T228">_xll.aqBondObjectDirtyPrice($L228,$C$4,$M228)</f>
        <v>43.88600000000018</v>
      </c>
      <c r="U228" s="18" cm="1">
        <f t="array" ref="U228">_xll.aqBondObjectModifiedDuration($L228,$C$4,$Q228)</f>
        <v>38.78766934013786</v>
      </c>
      <c r="V228" s="93" cm="1">
        <f t="array" ref="V228">_xll.aqBondObjectDV01($L228,$C$4,$Q228)</f>
        <v>1702.2356566589076</v>
      </c>
    </row>
    <row r="229" spans="2:22">
      <c r="B229" s="11" t="s">
        <v>1384</v>
      </c>
      <c r="C229" s="11" t="s">
        <v>1385</v>
      </c>
      <c r="D229" s="11" t="s">
        <v>1385</v>
      </c>
      <c r="E229" s="12">
        <v>40254</v>
      </c>
      <c r="F229" s="15"/>
      <c r="G229" s="14"/>
      <c r="H229" s="12"/>
      <c r="I229" s="12"/>
      <c r="J229" s="13">
        <v>0</v>
      </c>
      <c r="K229" s="12">
        <v>58190</v>
      </c>
      <c r="L229" s="16" t="str" cm="1">
        <f t="array" ref="L229">_xll.aqBondObjectCreateFromGenerator($C229,$L$4,_xll.aqToolLVBFromKeysValues($C$7:$K$7,$C229:$K229))</f>
        <v>FR0010871061:3</v>
      </c>
      <c r="M229" s="78">
        <v>2.0778524844298429E-2</v>
      </c>
      <c r="N229" s="51">
        <v>43.46</v>
      </c>
      <c r="O229" s="17">
        <v>39.695700000000002</v>
      </c>
      <c r="P229" s="95">
        <v>1725.1764000000001</v>
      </c>
      <c r="Q229" s="39" cm="1">
        <f t="array" ref="Q229">_xll.aqBondObjectYield(L229,$C$4,R229)</f>
        <v>2.0778524844337641E-2</v>
      </c>
      <c r="R229" s="49" cm="1">
        <f t="array" ref="R229">_xll.aqBondObjectPrice($L229,$C$4,$M229)</f>
        <v>43.459999999999965</v>
      </c>
      <c r="S229" s="49" cm="1">
        <f t="array" ref="S229">_xll.aqBondObjectCleanPrice($L229,$C$4,$M229)</f>
        <v>43.459999999999965</v>
      </c>
      <c r="T229" s="49" cm="1">
        <f t="array" ref="T229">_xll.aqBondObjectDirtyPrice($L229,$C$4,$M229)</f>
        <v>43.459999999999965</v>
      </c>
      <c r="U229" s="18" cm="1">
        <f t="array" ref="U229">_xll.aqBondObjectModifiedDuration($L229,$C$4,$Q229)</f>
        <v>39.695729248795288</v>
      </c>
      <c r="V229" s="93" cm="1">
        <f t="array" ref="V229">_xll.aqBondObjectDV01($L229,$C$4,$Q229)</f>
        <v>1725.1763931499504</v>
      </c>
    </row>
    <row r="230" spans="2:22">
      <c r="B230" s="11" t="s">
        <v>1476</v>
      </c>
      <c r="C230" s="11" t="s">
        <v>1477</v>
      </c>
      <c r="D230" s="11" t="s">
        <v>1477</v>
      </c>
      <c r="E230" s="12">
        <v>42479</v>
      </c>
      <c r="F230" s="15"/>
      <c r="G230" s="14"/>
      <c r="H230" s="12"/>
      <c r="I230" s="12"/>
      <c r="J230" s="13">
        <v>0</v>
      </c>
      <c r="K230" s="12">
        <v>58220</v>
      </c>
      <c r="L230" s="16" t="str" cm="1">
        <f t="array" ref="L230">_xll.aqBondObjectCreateFromGenerator($C230,$L$4,_xll.aqToolLVBFromKeysValues($C$7:$K$7,$C230:$K230))</f>
        <v>FR0013154283:3</v>
      </c>
      <c r="M230" s="78">
        <v>2.110260162081512E-2</v>
      </c>
      <c r="N230" s="51">
        <v>42.831000000000003</v>
      </c>
      <c r="O230" s="17">
        <v>39.763599999999997</v>
      </c>
      <c r="P230" s="95">
        <v>1703.1158</v>
      </c>
      <c r="Q230" s="39" cm="1">
        <f t="array" ref="Q230">_xll.aqBondObjectYield(L230,$C$4,R230)</f>
        <v>2.1102601620858946E-2</v>
      </c>
      <c r="R230" s="49" cm="1">
        <f t="array" ref="R230">_xll.aqBondObjectPrice($L230,$C$4,$M230)</f>
        <v>42.83100000000006</v>
      </c>
      <c r="S230" s="49" cm="1">
        <f t="array" ref="S230">_xll.aqBondObjectCleanPrice($L230,$C$4,$M230)</f>
        <v>42.83100000000006</v>
      </c>
      <c r="T230" s="49" cm="1">
        <f t="array" ref="T230">_xll.aqBondObjectDirtyPrice($L230,$C$4,$M230)</f>
        <v>42.83100000000006</v>
      </c>
      <c r="U230" s="18" cm="1">
        <f t="array" ref="U230">_xll.aqBondObjectModifiedDuration($L230,$C$4,$Q230)</f>
        <v>39.763623813685498</v>
      </c>
      <c r="V230" s="93" cm="1">
        <f t="array" ref="V230">_xll.aqBondObjectDV01($L230,$C$4,$Q230)</f>
        <v>1703.1157715610036</v>
      </c>
    </row>
    <row r="231" spans="2:22">
      <c r="B231" s="11" t="s">
        <v>1176</v>
      </c>
      <c r="C231" s="11" t="s">
        <v>1177</v>
      </c>
      <c r="D231" s="11" t="s">
        <v>1177</v>
      </c>
      <c r="E231" s="12">
        <v>40254</v>
      </c>
      <c r="F231" s="15">
        <v>39928</v>
      </c>
      <c r="G231" s="14"/>
      <c r="H231" s="12">
        <v>40293</v>
      </c>
      <c r="I231" s="12">
        <v>58190</v>
      </c>
      <c r="J231" s="13">
        <v>0.04</v>
      </c>
      <c r="K231" s="12">
        <v>58556</v>
      </c>
      <c r="L231" s="16" t="str" cm="1">
        <f t="array" ref="L231">_xll.aqBondObjectCreateFromGenerator($C231,$L$4,_xll.aqToolLVBFromKeysValues($C$7:$K$7,$C231:$K231))</f>
        <v>FR0010870956:3</v>
      </c>
      <c r="M231" s="78">
        <v>1.8364818679373455E-2</v>
      </c>
      <c r="N231" s="51">
        <v>162.46100000000001</v>
      </c>
      <c r="O231" s="17">
        <v>24.536799999999999</v>
      </c>
      <c r="P231" s="95">
        <v>4033.3220000000001</v>
      </c>
      <c r="Q231" s="39" cm="1">
        <f t="array" ref="Q231">_xll.aqBondObjectYield(L231,$C$4,R231)</f>
        <v>1.8364818679375065E-2</v>
      </c>
      <c r="R231" s="49" cm="1">
        <f t="array" ref="R231">_xll.aqBondObjectPrice($L231,$C$4,$M231)</f>
        <v>162.46100000029986</v>
      </c>
      <c r="S231" s="49" cm="1">
        <f t="array" ref="S231">_xll.aqBondObjectCleanPrice($L231,$C$4,$M231)</f>
        <v>162.46100000029986</v>
      </c>
      <c r="T231" s="49" cm="1">
        <f t="array" ref="T231">_xll.aqBondObjectDirtyPrice($L231,$C$4,$M231)</f>
        <v>164.37880820029986</v>
      </c>
      <c r="U231" s="18" cm="1">
        <f t="array" ref="U231">_xll.aqBondObjectModifiedDuration($L231,$C$4,$Q231)</f>
        <v>24.536751938186455</v>
      </c>
      <c r="V231" s="93" cm="1">
        <f t="array" ref="V231">_xll.aqBondObjectDV01($L231,$C$4,$Q231)</f>
        <v>4033.3220407053336</v>
      </c>
    </row>
    <row r="232" spans="2:22">
      <c r="B232" s="11" t="s">
        <v>1190</v>
      </c>
      <c r="C232" s="11" t="s">
        <v>1191</v>
      </c>
      <c r="D232" s="11" t="s">
        <v>1191</v>
      </c>
      <c r="E232" s="12">
        <v>40254</v>
      </c>
      <c r="F232" s="15"/>
      <c r="G232" s="14"/>
      <c r="H232" s="12"/>
      <c r="I232" s="12"/>
      <c r="J232" s="13">
        <v>0</v>
      </c>
      <c r="K232" s="12">
        <v>58556</v>
      </c>
      <c r="L232" s="16" t="str" cm="1">
        <f t="array" ref="L232">_xll.aqBondObjectCreateFromGenerator($C232,$L$4,_xll.aqToolLVBFromKeysValues($C$7:$K$7,$C232:$K232))</f>
        <v>FR0010871079:3</v>
      </c>
      <c r="M232" s="78">
        <v>2.0521983322139059E-2</v>
      </c>
      <c r="N232" s="51">
        <v>43.021999999999998</v>
      </c>
      <c r="O232" s="17">
        <v>40.685600000000001</v>
      </c>
      <c r="P232" s="95">
        <v>1750.3758</v>
      </c>
      <c r="Q232" s="39" cm="1">
        <f t="array" ref="Q232">_xll.aqBondObjectYield(L232,$C$4,R232)</f>
        <v>2.052198332218164E-2</v>
      </c>
      <c r="R232" s="49" cm="1">
        <f t="array" ref="R232">_xll.aqBondObjectPrice($L232,$C$4,$M232)</f>
        <v>43.021999999999991</v>
      </c>
      <c r="S232" s="49" cm="1">
        <f t="array" ref="S232">_xll.aqBondObjectCleanPrice($L232,$C$4,$M232)</f>
        <v>43.021999999999991</v>
      </c>
      <c r="T232" s="49" cm="1">
        <f t="array" ref="T232">_xll.aqBondObjectDirtyPrice($L232,$C$4,$M232)</f>
        <v>43.021999999999991</v>
      </c>
      <c r="U232" s="18" cm="1">
        <f t="array" ref="U232">_xll.aqBondObjectModifiedDuration($L232,$C$4,$Q232)</f>
        <v>40.685598765879128</v>
      </c>
      <c r="V232" s="93" cm="1">
        <f t="array" ref="V232">_xll.aqBondObjectDV01($L232,$C$4,$Q232)</f>
        <v>1750.3758301026155</v>
      </c>
    </row>
    <row r="233" spans="2:22">
      <c r="B233" s="11" t="s">
        <v>1284</v>
      </c>
      <c r="C233" s="11" t="s">
        <v>1285</v>
      </c>
      <c r="D233" s="11" t="s">
        <v>1285</v>
      </c>
      <c r="E233" s="12">
        <v>42479</v>
      </c>
      <c r="F233" s="15"/>
      <c r="G233" s="14"/>
      <c r="H233" s="12"/>
      <c r="I233" s="12"/>
      <c r="J233" s="13">
        <v>0</v>
      </c>
      <c r="K233" s="12">
        <v>58586</v>
      </c>
      <c r="L233" s="16" t="str" cm="1">
        <f t="array" ref="L233">_xll.aqBondObjectCreateFromGenerator($C233,$L$4,_xll.aqToolLVBFromKeysValues($C$7:$K$7,$C233:$K233))</f>
        <v>FR0013154291:3</v>
      </c>
      <c r="M233" s="78">
        <v>2.1179280013939206E-2</v>
      </c>
      <c r="N233" s="51">
        <v>41.814999999999998</v>
      </c>
      <c r="O233" s="17">
        <v>40.739899999999999</v>
      </c>
      <c r="P233" s="95">
        <v>1703.5388</v>
      </c>
      <c r="Q233" s="39" cm="1">
        <f t="array" ref="Q233">_xll.aqBondObjectYield(L233,$C$4,R233)</f>
        <v>2.1179280013989461E-2</v>
      </c>
      <c r="R233" s="49" cm="1">
        <f t="array" ref="R233">_xll.aqBondObjectPrice($L233,$C$4,$M233)</f>
        <v>41.815000000000161</v>
      </c>
      <c r="S233" s="49" cm="1">
        <f t="array" ref="S233">_xll.aqBondObjectCleanPrice($L233,$C$4,$M233)</f>
        <v>41.815000000000161</v>
      </c>
      <c r="T233" s="49" cm="1">
        <f t="array" ref="T233">_xll.aqBondObjectDirtyPrice($L233,$C$4,$M233)</f>
        <v>41.815000000000161</v>
      </c>
      <c r="U233" s="18" cm="1">
        <f t="array" ref="U233">_xll.aqBondObjectModifiedDuration($L233,$C$4,$Q233)</f>
        <v>40.739898018159423</v>
      </c>
      <c r="V233" s="93" cm="1">
        <f t="array" ref="V233">_xll.aqBondObjectDV01($L233,$C$4,$Q233)</f>
        <v>1703.5388356258602</v>
      </c>
    </row>
    <row r="234" spans="2:22">
      <c r="B234" s="11" t="s">
        <v>1416</v>
      </c>
      <c r="C234" s="11" t="s">
        <v>1417</v>
      </c>
      <c r="D234" s="11" t="s">
        <v>1417</v>
      </c>
      <c r="E234" s="12">
        <v>42479</v>
      </c>
      <c r="F234" s="15"/>
      <c r="G234" s="14"/>
      <c r="H234" s="12"/>
      <c r="I234" s="12"/>
      <c r="J234" s="13">
        <v>0</v>
      </c>
      <c r="K234" s="12">
        <v>58951</v>
      </c>
      <c r="L234" s="16" t="str" cm="1">
        <f t="array" ref="L234">_xll.aqBondObjectCreateFromGenerator($C234,$L$4,_xll.aqToolLVBFromKeysValues($C$7:$K$7,$C234:$K234))</f>
        <v>FR0013154309:3</v>
      </c>
      <c r="M234" s="78">
        <v>2.1168602867621678E-2</v>
      </c>
      <c r="N234" s="51">
        <v>40.966000000000001</v>
      </c>
      <c r="O234" s="17">
        <v>41.7196</v>
      </c>
      <c r="P234" s="95">
        <v>1709.0849000000001</v>
      </c>
      <c r="Q234" s="39" cm="1">
        <f t="array" ref="Q234">_xll.aqBondObjectYield(L234,$C$4,R234)</f>
        <v>2.1168602867675034E-2</v>
      </c>
      <c r="R234" s="49" cm="1">
        <f t="array" ref="R234">_xll.aqBondObjectPrice($L234,$C$4,$M234)</f>
        <v>40.965999999999859</v>
      </c>
      <c r="S234" s="49" cm="1">
        <f t="array" ref="S234">_xll.aqBondObjectCleanPrice($L234,$C$4,$M234)</f>
        <v>40.965999999999859</v>
      </c>
      <c r="T234" s="49" cm="1">
        <f t="array" ref="T234">_xll.aqBondObjectDirtyPrice($L234,$C$4,$M234)</f>
        <v>40.965999999999859</v>
      </c>
      <c r="U234" s="18" cm="1">
        <f t="array" ref="U234">_xll.aqBondObjectModifiedDuration($L234,$C$4,$Q234)</f>
        <v>41.719594204511544</v>
      </c>
      <c r="V234" s="93" cm="1">
        <f t="array" ref="V234">_xll.aqBondObjectDV01($L234,$C$4,$Q234)</f>
        <v>1709.0848961782144</v>
      </c>
    </row>
    <row r="235" spans="2:22">
      <c r="B235" s="11" t="s">
        <v>1370</v>
      </c>
      <c r="C235" s="11" t="s">
        <v>1371</v>
      </c>
      <c r="D235" s="11" t="s">
        <v>1371</v>
      </c>
      <c r="E235" s="12">
        <v>42479</v>
      </c>
      <c r="F235" s="15"/>
      <c r="G235" s="14"/>
      <c r="H235" s="12"/>
      <c r="I235" s="12"/>
      <c r="J235" s="13">
        <v>0</v>
      </c>
      <c r="K235" s="12">
        <v>59316</v>
      </c>
      <c r="L235" s="16" t="str" cm="1">
        <f t="array" ref="L235">_xll.aqBondObjectCreateFromGenerator($C235,$L$4,_xll.aqToolLVBFromKeysValues($C$7:$K$7,$C235:$K235))</f>
        <v>FR0013154317:3</v>
      </c>
      <c r="M235" s="78">
        <v>2.1184244320077372E-2</v>
      </c>
      <c r="N235" s="51">
        <v>40.090000000000003</v>
      </c>
      <c r="O235" s="17">
        <v>42.6982</v>
      </c>
      <c r="P235" s="95">
        <v>1711.7713000000001</v>
      </c>
      <c r="Q235" s="39" cm="1">
        <f t="array" ref="Q235">_xll.aqBondObjectYield(L235,$C$4,R235)</f>
        <v>2.1184244320128602E-2</v>
      </c>
      <c r="R235" s="49" cm="1">
        <f t="array" ref="R235">_xll.aqBondObjectPrice($L235,$C$4,$M235)</f>
        <v>40.089999999999989</v>
      </c>
      <c r="S235" s="49" cm="1">
        <f t="array" ref="S235">_xll.aqBondObjectCleanPrice($L235,$C$4,$M235)</f>
        <v>40.089999999999989</v>
      </c>
      <c r="T235" s="49" cm="1">
        <f t="array" ref="T235">_xll.aqBondObjectDirtyPrice($L235,$C$4,$M235)</f>
        <v>40.089999999999989</v>
      </c>
      <c r="U235" s="18" cm="1">
        <f t="array" ref="U235">_xll.aqBondObjectModifiedDuration($L235,$C$4,$Q235)</f>
        <v>42.698210404780269</v>
      </c>
      <c r="V235" s="93" cm="1">
        <f t="array" ref="V235">_xll.aqBondObjectDV01($L235,$C$4,$Q235)</f>
        <v>1711.7712551238915</v>
      </c>
    </row>
    <row r="236" spans="2:22">
      <c r="B236" s="11" t="s">
        <v>1478</v>
      </c>
      <c r="C236" s="11" t="s">
        <v>1479</v>
      </c>
      <c r="D236" s="11" t="s">
        <v>1479</v>
      </c>
      <c r="E236" s="12">
        <v>42479</v>
      </c>
      <c r="F236" s="15"/>
      <c r="G236" s="14"/>
      <c r="H236" s="12"/>
      <c r="I236" s="12"/>
      <c r="J236" s="13">
        <v>0</v>
      </c>
      <c r="K236" s="12">
        <v>59681</v>
      </c>
      <c r="L236" s="16" t="str" cm="1">
        <f t="array" ref="L236">_xll.aqBondObjectCreateFromGenerator($C236,$L$4,_xll.aqToolLVBFromKeysValues($C$7:$K$7,$C236:$K236))</f>
        <v>FR0013154325:3</v>
      </c>
      <c r="M236" s="78">
        <v>2.1157050149552381E-2</v>
      </c>
      <c r="N236" s="51">
        <v>39.305</v>
      </c>
      <c r="O236" s="17">
        <v>43.678600000000003</v>
      </c>
      <c r="P236" s="95">
        <v>1716.7885000000001</v>
      </c>
      <c r="Q236" s="39" cm="1">
        <f t="array" ref="Q236">_xll.aqBondObjectYield(L236,$C$4,R236)</f>
        <v>2.1157050149593685E-2</v>
      </c>
      <c r="R236" s="49" cm="1">
        <f t="array" ref="R236">_xll.aqBondObjectPrice($L236,$C$4,$M236)</f>
        <v>39.305000000000113</v>
      </c>
      <c r="S236" s="49" cm="1">
        <f t="array" ref="S236">_xll.aqBondObjectCleanPrice($L236,$C$4,$M236)</f>
        <v>39.305000000000113</v>
      </c>
      <c r="T236" s="49" cm="1">
        <f t="array" ref="T236">_xll.aqBondObjectDirtyPrice($L236,$C$4,$M236)</f>
        <v>39.305000000000113</v>
      </c>
      <c r="U236" s="18" cm="1">
        <f t="array" ref="U236">_xll.aqBondObjectModifiedDuration($L236,$C$4,$Q236)</f>
        <v>43.678628786329526</v>
      </c>
      <c r="V236" s="93" cm="1">
        <f t="array" ref="V236">_xll.aqBondObjectDV01($L236,$C$4,$Q236)</f>
        <v>1716.78850444359</v>
      </c>
    </row>
    <row r="237" spans="2:22">
      <c r="B237" s="11" t="s">
        <v>1400</v>
      </c>
      <c r="C237" s="11" t="s">
        <v>1401</v>
      </c>
      <c r="D237" s="11" t="s">
        <v>1401</v>
      </c>
      <c r="E237" s="12">
        <v>42479</v>
      </c>
      <c r="F237" s="15"/>
      <c r="G237" s="14"/>
      <c r="H237" s="12"/>
      <c r="I237" s="12"/>
      <c r="J237" s="13">
        <v>0</v>
      </c>
      <c r="K237" s="12">
        <v>60047</v>
      </c>
      <c r="L237" s="16" t="str" cm="1">
        <f t="array" ref="L237">_xll.aqBondObjectCreateFromGenerator($C237,$L$4,_xll.aqToolLVBFromKeysValues($C$7:$K$7,$C237:$K237))</f>
        <v>FR0013154333:3</v>
      </c>
      <c r="M237" s="78">
        <v>2.1105712337772697E-2</v>
      </c>
      <c r="N237" s="51">
        <v>38.579000000000001</v>
      </c>
      <c r="O237" s="17">
        <v>44.660200000000003</v>
      </c>
      <c r="P237" s="95">
        <v>1722.9440999999999</v>
      </c>
      <c r="Q237" s="39" cm="1">
        <f t="array" ref="Q237">_xll.aqBondObjectYield(L237,$C$4,R237)</f>
        <v>2.1105712337792765E-2</v>
      </c>
      <c r="R237" s="49" cm="1">
        <f t="array" ref="R237">_xll.aqBondObjectPrice($L237,$C$4,$M237)</f>
        <v>38.579000000000043</v>
      </c>
      <c r="S237" s="49" cm="1">
        <f t="array" ref="S237">_xll.aqBondObjectCleanPrice($L237,$C$4,$M237)</f>
        <v>38.579000000000043</v>
      </c>
      <c r="T237" s="49" cm="1">
        <f t="array" ref="T237">_xll.aqBondObjectDirtyPrice($L237,$C$4,$M237)</f>
        <v>38.579000000000043</v>
      </c>
      <c r="U237" s="18" cm="1">
        <f t="array" ref="U237">_xll.aqBondObjectModifiedDuration($L237,$C$4,$Q237)</f>
        <v>44.660155334574718</v>
      </c>
      <c r="V237" s="93" cm="1">
        <f t="array" ref="V237">_xll.aqBondObjectDV01($L237,$C$4,$Q237)</f>
        <v>1722.9441326510221</v>
      </c>
    </row>
    <row r="238" spans="2:22">
      <c r="B238" s="11" t="s">
        <v>1402</v>
      </c>
      <c r="C238" s="11" t="s">
        <v>1403</v>
      </c>
      <c r="D238" s="11" t="s">
        <v>1403</v>
      </c>
      <c r="E238" s="12">
        <v>42479</v>
      </c>
      <c r="F238" s="15"/>
      <c r="G238" s="14"/>
      <c r="H238" s="12"/>
      <c r="I238" s="12"/>
      <c r="J238" s="13">
        <v>0</v>
      </c>
      <c r="K238" s="12">
        <v>60412</v>
      </c>
      <c r="L238" s="16" t="str" cm="1">
        <f t="array" ref="L238">_xll.aqBondObjectCreateFromGenerator($C238,$L$4,_xll.aqToolLVBFromKeysValues($C$7:$K$7,$C238:$K238))</f>
        <v>FR0013154341:3</v>
      </c>
      <c r="M238" s="78">
        <v>2.1015775012858118E-2</v>
      </c>
      <c r="N238" s="51">
        <v>37.936999999999998</v>
      </c>
      <c r="O238" s="17">
        <v>45.643500000000003</v>
      </c>
      <c r="P238" s="95">
        <v>1731.5777</v>
      </c>
      <c r="Q238" s="39" cm="1">
        <f t="array" ref="Q238">_xll.aqBondObjectYield(L238,$C$4,R238)</f>
        <v>2.10157750128456E-2</v>
      </c>
      <c r="R238" s="49" cm="1">
        <f t="array" ref="R238">_xll.aqBondObjectPrice($L238,$C$4,$M238)</f>
        <v>37.937000000000019</v>
      </c>
      <c r="S238" s="49" cm="1">
        <f t="array" ref="S238">_xll.aqBondObjectCleanPrice($L238,$C$4,$M238)</f>
        <v>37.937000000000019</v>
      </c>
      <c r="T238" s="49" cm="1">
        <f t="array" ref="T238">_xll.aqBondObjectDirtyPrice($L238,$C$4,$M238)</f>
        <v>37.937000000000019</v>
      </c>
      <c r="U238" s="18" cm="1">
        <f t="array" ref="U238">_xll.aqBondObjectModifiedDuration($L238,$C$4,$Q238)</f>
        <v>45.643506071628593</v>
      </c>
      <c r="V238" s="93" cm="1">
        <f t="array" ref="V238">_xll.aqBondObjectDV01($L238,$C$4,$Q238)</f>
        <v>1731.5776898403574</v>
      </c>
    </row>
    <row r="239" spans="2:22">
      <c r="B239" s="11" t="s">
        <v>1140</v>
      </c>
      <c r="C239" s="11" t="s">
        <v>1141</v>
      </c>
      <c r="D239" s="11" t="s">
        <v>1141</v>
      </c>
      <c r="E239" s="12">
        <v>42479</v>
      </c>
      <c r="F239" s="15">
        <v>42149</v>
      </c>
      <c r="G239" s="14"/>
      <c r="H239" s="12">
        <v>42515</v>
      </c>
      <c r="I239" s="12">
        <v>60412</v>
      </c>
      <c r="J239" s="13">
        <v>1.7500000000000002E-2</v>
      </c>
      <c r="K239" s="12">
        <v>60777</v>
      </c>
      <c r="L239" s="16" t="str" cm="1">
        <f t="array" ref="L239">_xll.aqBondObjectCreateFromGenerator($C239,$L$4,_xll.aqToolLVBFromKeysValues($C$7:$K$7,$C239:$K239))</f>
        <v>FR0013154028:9</v>
      </c>
      <c r="M239" s="78">
        <v>1.906136296958966E-2</v>
      </c>
      <c r="N239" s="51">
        <v>95.138999999999996</v>
      </c>
      <c r="O239" s="17">
        <v>31.4284</v>
      </c>
      <c r="P239" s="95">
        <v>3011.9159</v>
      </c>
      <c r="Q239" s="39" cm="1">
        <f t="array" ref="Q239">_xll.aqBondObjectYield(L239,$C$4,R239)</f>
        <v>1.9061362969589782E-2</v>
      </c>
      <c r="R239" s="49" cm="1">
        <f t="array" ref="R239">_xll.aqBondObjectPrice($L239,$C$4,$M239)</f>
        <v>95.138999999996699</v>
      </c>
      <c r="S239" s="49" cm="1">
        <f t="array" ref="S239">_xll.aqBondObjectCleanPrice($L239,$C$4,$M239)</f>
        <v>95.138999999996699</v>
      </c>
      <c r="T239" s="49" cm="1">
        <f t="array" ref="T239">_xll.aqBondObjectDirtyPrice($L239,$C$4,$M239)</f>
        <v>95.834205499996699</v>
      </c>
      <c r="U239" s="18" cm="1">
        <f t="array" ref="U239">_xll.aqBondObjectModifiedDuration($L239,$C$4,$Q239)</f>
        <v>31.428402095029416</v>
      </c>
      <c r="V239" s="93" cm="1">
        <f t="array" ref="V239">_xll.aqBondObjectDV01($L239,$C$4,$Q239)</f>
        <v>3011.9159449115759</v>
      </c>
    </row>
    <row r="240" spans="2:22">
      <c r="B240" s="11" t="s">
        <v>1194</v>
      </c>
      <c r="C240" s="11" t="s">
        <v>1195</v>
      </c>
      <c r="D240" s="11" t="s">
        <v>1195</v>
      </c>
      <c r="E240" s="12">
        <v>42479</v>
      </c>
      <c r="F240" s="15"/>
      <c r="G240" s="14"/>
      <c r="H240" s="12"/>
      <c r="I240" s="12"/>
      <c r="J240" s="13">
        <v>0</v>
      </c>
      <c r="K240" s="12">
        <v>60777</v>
      </c>
      <c r="L240" s="16" t="str" cm="1">
        <f t="array" ref="L240">_xll.aqBondObjectCreateFromGenerator($C240,$L$4,_xll.aqToolLVBFromKeysValues($C$7:$K$7,$C240:$K240))</f>
        <v>FR0013154358:3</v>
      </c>
      <c r="M240" s="78">
        <v>1.9905635822176082E-2</v>
      </c>
      <c r="N240" s="51">
        <v>39.131</v>
      </c>
      <c r="O240" s="17">
        <v>46.673699999999997</v>
      </c>
      <c r="P240" s="95">
        <v>1826.3874000000001</v>
      </c>
      <c r="Q240" s="39" cm="1">
        <f t="array" ref="Q240">_xll.aqBondObjectYield(L240,$C$4,R240)</f>
        <v>1.9905635822224221E-2</v>
      </c>
      <c r="R240" s="49" cm="1">
        <f t="array" ref="R240">_xll.aqBondObjectPrice($L240,$C$4,$M240)</f>
        <v>39.131000000000171</v>
      </c>
      <c r="S240" s="49" cm="1">
        <f t="array" ref="S240">_xll.aqBondObjectCleanPrice($L240,$C$4,$M240)</f>
        <v>39.131000000000171</v>
      </c>
      <c r="T240" s="49" cm="1">
        <f t="array" ref="T240">_xll.aqBondObjectDirtyPrice($L240,$C$4,$M240)</f>
        <v>39.131000000000171</v>
      </c>
      <c r="U240" s="18" cm="1">
        <f t="array" ref="U240">_xll.aqBondObjectModifiedDuration($L240,$C$4,$Q240)</f>
        <v>46.673670635863452</v>
      </c>
      <c r="V240" s="93" cm="1">
        <f t="array" ref="V240">_xll.aqBondObjectDV01($L240,$C$4,$Q240)</f>
        <v>1826.3874056478735</v>
      </c>
    </row>
    <row r="241" spans="2:22">
      <c r="B241" s="11" t="s">
        <v>1140</v>
      </c>
      <c r="C241" s="11" t="s">
        <v>1141</v>
      </c>
      <c r="D241" s="11" t="s">
        <v>1141</v>
      </c>
      <c r="E241" s="12">
        <v>42479</v>
      </c>
      <c r="F241" s="15">
        <v>42149</v>
      </c>
      <c r="G241" s="14"/>
      <c r="H241" s="12">
        <v>42515</v>
      </c>
      <c r="I241" s="12">
        <v>60412</v>
      </c>
      <c r="J241" s="13">
        <v>1.7500000000000002E-2</v>
      </c>
      <c r="K241" s="12">
        <v>60777</v>
      </c>
      <c r="L241" s="16" t="str" cm="1">
        <f t="array" ref="L241">_xll.aqBondObjectCreateFromGenerator($C241,$L$4,_xll.aqToolLVBFromKeysValues($C$7:$K$7,$C241:$K241))</f>
        <v>FR0013154028:10</v>
      </c>
      <c r="M241" s="78">
        <v>1.906136296958966E-2</v>
      </c>
      <c r="N241" s="51">
        <v>95.138999999999996</v>
      </c>
      <c r="O241" s="17">
        <v>31.4284</v>
      </c>
      <c r="P241" s="95">
        <v>3011.9159</v>
      </c>
      <c r="Q241" s="39" cm="1">
        <f t="array" ref="Q241">_xll.aqBondObjectYield(L241,$C$4,R241)</f>
        <v>1.9061362969589782E-2</v>
      </c>
      <c r="R241" s="49" cm="1">
        <f t="array" ref="R241">_xll.aqBondObjectPrice($L241,$C$4,$M241)</f>
        <v>95.138999999996699</v>
      </c>
      <c r="S241" s="49" cm="1">
        <f t="array" ref="S241">_xll.aqBondObjectCleanPrice($L241,$C$4,$M241)</f>
        <v>95.138999999996699</v>
      </c>
      <c r="T241" s="49" cm="1">
        <f t="array" ref="T241">_xll.aqBondObjectDirtyPrice($L241,$C$4,$M241)</f>
        <v>95.834205499996699</v>
      </c>
      <c r="U241" s="18" cm="1">
        <f t="array" ref="U241">_xll.aqBondObjectModifiedDuration($L241,$C$4,$Q241)</f>
        <v>31.428402095029416</v>
      </c>
      <c r="V241" s="93" cm="1">
        <f t="array" ref="V241">_xll.aqBondObjectDV01($L241,$C$4,$Q241)</f>
        <v>3011.9159449115759</v>
      </c>
    </row>
    <row r="242" spans="2:22">
      <c r="B242" s="11" t="s">
        <v>1140</v>
      </c>
      <c r="C242" s="11" t="s">
        <v>1141</v>
      </c>
      <c r="D242" s="11" t="s">
        <v>1141</v>
      </c>
      <c r="E242" s="12">
        <v>42479</v>
      </c>
      <c r="F242" s="15">
        <v>42149</v>
      </c>
      <c r="G242" s="14"/>
      <c r="H242" s="12">
        <v>42515</v>
      </c>
      <c r="I242" s="12">
        <v>60412</v>
      </c>
      <c r="J242" s="13">
        <v>1.7500000000000002E-2</v>
      </c>
      <c r="K242" s="12">
        <v>60777</v>
      </c>
      <c r="L242" s="16" t="str" cm="1">
        <f t="array" ref="L242">_xll.aqBondObjectCreateFromGenerator($C242,$L$4,_xll.aqToolLVBFromKeysValues($C$7:$K$7,$C242:$K242))</f>
        <v>FR0013154028:11</v>
      </c>
      <c r="M242" s="78">
        <v>1.906136296958966E-2</v>
      </c>
      <c r="N242" s="51">
        <v>95.138999999999996</v>
      </c>
      <c r="O242" s="17">
        <v>31.4284</v>
      </c>
      <c r="P242" s="95">
        <v>3011.9159</v>
      </c>
      <c r="Q242" s="39" cm="1">
        <f t="array" ref="Q242">_xll.aqBondObjectYield(L242,$C$4,R242)</f>
        <v>1.9061362969589782E-2</v>
      </c>
      <c r="R242" s="49" cm="1">
        <f t="array" ref="R242">_xll.aqBondObjectPrice($L242,$C$4,$M242)</f>
        <v>95.138999999996699</v>
      </c>
      <c r="S242" s="49" cm="1">
        <f t="array" ref="S242">_xll.aqBondObjectCleanPrice($L242,$C$4,$M242)</f>
        <v>95.138999999996699</v>
      </c>
      <c r="T242" s="49" cm="1">
        <f t="array" ref="T242">_xll.aqBondObjectDirtyPrice($L242,$C$4,$M242)</f>
        <v>95.834205499996699</v>
      </c>
      <c r="U242" s="18" cm="1">
        <f t="array" ref="U242">_xll.aqBondObjectModifiedDuration($L242,$C$4,$Q242)</f>
        <v>31.428402095029416</v>
      </c>
      <c r="V242" s="93" cm="1">
        <f t="array" ref="V242">_xll.aqBondObjectDV01($L242,$C$4,$Q242)</f>
        <v>3011.9159449115759</v>
      </c>
    </row>
  </sheetData>
  <autoFilter ref="B7:V7" xr:uid="{00000000-0001-0000-0300-000000000000}"/>
  <sortState xmlns:xlrd2="http://schemas.microsoft.com/office/spreadsheetml/2017/richdata2" ref="B8:V242">
    <sortCondition ref="K8:K24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G304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1" max="1" width="9.140625" customWidth="1"/>
    <col min="2" max="2" width="20.7109375" customWidth="1"/>
    <col min="3" max="4" width="15.7109375" customWidth="1"/>
    <col min="5" max="9" width="15.7109375" hidden="1" customWidth="1" outlineLevel="1"/>
    <col min="10" max="10" width="15.7109375" customWidth="1" collapsed="1"/>
    <col min="11" max="11" width="15.7109375" customWidth="1"/>
    <col min="12" max="12" width="15.7109375" style="28" customWidth="1"/>
    <col min="13" max="13" width="15.7109375" customWidth="1"/>
    <col min="14" max="14" width="22.7109375" customWidth="1"/>
    <col min="15" max="15" width="22.7109375" style="41" customWidth="1"/>
    <col min="16" max="16" width="20.7109375" hidden="1" customWidth="1" outlineLevel="1"/>
    <col min="17" max="17" width="20.7109375" style="40" hidden="1" customWidth="1" outlineLevel="1"/>
    <col min="18" max="18" width="20.7109375" style="97" hidden="1" customWidth="1" outlineLevel="1"/>
    <col min="19" max="19" width="20.7109375" customWidth="1" collapsed="1"/>
    <col min="20" max="20" width="20.7109375" customWidth="1"/>
    <col min="21" max="24" width="20.7109375" hidden="1" customWidth="1" outlineLevel="1"/>
    <col min="25" max="25" width="20.7109375" customWidth="1" collapsed="1"/>
  </cols>
  <sheetData>
    <row r="1" spans="2:25">
      <c r="J1" s="2" t="s">
        <v>277</v>
      </c>
      <c r="O1" s="44"/>
      <c r="Q1"/>
      <c r="R1"/>
      <c r="S1" s="45" t="s">
        <v>1965</v>
      </c>
      <c r="Y1" s="2" t="s">
        <v>1960</v>
      </c>
    </row>
    <row r="2" spans="2:25">
      <c r="O2" s="45" t="s">
        <v>1957</v>
      </c>
      <c r="P2" s="45" t="s">
        <v>1958</v>
      </c>
      <c r="Q2" s="45" t="s">
        <v>1966</v>
      </c>
      <c r="R2" s="45" t="s">
        <v>1967</v>
      </c>
    </row>
    <row r="3" spans="2:25">
      <c r="B3" s="2" t="s">
        <v>9</v>
      </c>
      <c r="C3" s="2" t="s">
        <v>10</v>
      </c>
      <c r="D3" s="2"/>
      <c r="N3" s="2" t="s">
        <v>273</v>
      </c>
      <c r="O3" s="83" t="s">
        <v>274</v>
      </c>
      <c r="P3" s="83" t="s">
        <v>274</v>
      </c>
      <c r="Q3" s="83" t="s">
        <v>274</v>
      </c>
      <c r="R3" s="83" t="s">
        <v>274</v>
      </c>
    </row>
    <row r="4" spans="2:25">
      <c r="B4" s="90">
        <v>43388</v>
      </c>
      <c r="C4" s="27" cm="1">
        <f t="array" ref="C4">_xll.aqDateFromTenor($B$4,$D$4,"MOD_FOLLOWING","TGT")</f>
        <v>43390</v>
      </c>
      <c r="D4" s="30" t="s">
        <v>278</v>
      </c>
      <c r="N4" s="23" t="s">
        <v>1549</v>
      </c>
      <c r="O4" s="52">
        <f>SUM(O8:O500)-SUM(S8:S500)</f>
        <v>-4.8849813083506888E-14</v>
      </c>
      <c r="P4" s="52">
        <f>SUM(P8:P500)-SUM(T8:T500)</f>
        <v>5.6171851065300871E-4</v>
      </c>
      <c r="Q4" s="52">
        <f>SUM(Q8:Q500)-SUM(W8:W500)</f>
        <v>5.0507454261605744E-4</v>
      </c>
      <c r="R4" s="94">
        <f>SUM(R8:R500)-SUM(X8:X500)</f>
        <v>-1.5583549975417554E-4</v>
      </c>
    </row>
    <row r="5" spans="2:2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Q5"/>
      <c r="R5"/>
      <c r="S5" s="37"/>
      <c r="T5" s="37"/>
    </row>
    <row r="6" spans="2:25">
      <c r="B6" s="88" t="s">
        <v>1959</v>
      </c>
      <c r="C6" s="88" t="s">
        <v>1732</v>
      </c>
      <c r="D6" s="88" t="s">
        <v>1733</v>
      </c>
      <c r="E6" s="88" t="s">
        <v>1736</v>
      </c>
      <c r="F6" s="88" t="s">
        <v>1737</v>
      </c>
      <c r="G6" s="88"/>
      <c r="H6" s="88" t="s">
        <v>1738</v>
      </c>
      <c r="I6" s="88" t="s">
        <v>1739</v>
      </c>
      <c r="J6" s="88" t="s">
        <v>1734</v>
      </c>
      <c r="K6" s="88" t="s">
        <v>1735</v>
      </c>
      <c r="L6" s="1"/>
      <c r="M6" s="1"/>
      <c r="O6" s="86" t="s">
        <v>14</v>
      </c>
      <c r="P6" s="87" t="s">
        <v>15</v>
      </c>
      <c r="Q6" s="87" t="s">
        <v>18</v>
      </c>
      <c r="R6" s="87" t="s">
        <v>17</v>
      </c>
      <c r="S6" s="44"/>
      <c r="U6" s="44"/>
      <c r="V6" s="44"/>
      <c r="W6" s="87"/>
      <c r="X6" s="87"/>
    </row>
    <row r="7" spans="2:25">
      <c r="B7" s="22" t="s">
        <v>12</v>
      </c>
      <c r="C7" s="22" t="s">
        <v>0</v>
      </c>
      <c r="D7" s="22" t="s">
        <v>1</v>
      </c>
      <c r="E7" s="22" t="s">
        <v>2</v>
      </c>
      <c r="F7" s="22" t="s">
        <v>8</v>
      </c>
      <c r="G7" s="22" t="s">
        <v>7</v>
      </c>
      <c r="H7" s="22" t="s">
        <v>3</v>
      </c>
      <c r="I7" s="22" t="s">
        <v>4</v>
      </c>
      <c r="J7" s="22" t="s">
        <v>6</v>
      </c>
      <c r="K7" s="22" t="s">
        <v>5</v>
      </c>
      <c r="L7" s="22" t="s">
        <v>279</v>
      </c>
      <c r="M7" s="22" t="s">
        <v>39</v>
      </c>
      <c r="N7" s="22" t="s">
        <v>13</v>
      </c>
      <c r="O7" s="42" t="s">
        <v>1955</v>
      </c>
      <c r="P7" s="82" t="s">
        <v>1956</v>
      </c>
      <c r="Q7" s="82" t="s">
        <v>1963</v>
      </c>
      <c r="R7" s="82" t="s">
        <v>1964</v>
      </c>
      <c r="S7" s="21" t="s">
        <v>1551</v>
      </c>
      <c r="T7" s="21" t="s">
        <v>1706</v>
      </c>
      <c r="U7" s="21" t="s">
        <v>275</v>
      </c>
      <c r="V7" s="21" t="s">
        <v>1550</v>
      </c>
      <c r="W7" s="21" t="s">
        <v>276</v>
      </c>
      <c r="X7" s="21" t="s">
        <v>16</v>
      </c>
    </row>
    <row r="8" spans="2:25">
      <c r="B8" s="11" t="s">
        <v>401</v>
      </c>
      <c r="C8" s="11" t="s">
        <v>402</v>
      </c>
      <c r="D8" s="11" t="s">
        <v>402</v>
      </c>
      <c r="E8" s="12">
        <v>37333</v>
      </c>
      <c r="F8" s="12" t="s">
        <v>318</v>
      </c>
      <c r="G8" s="15" t="str">
        <f t="shared" ref="G8:G71" si="0">IF(DAY(K8+1)=1, "EOM","")</f>
        <v/>
      </c>
      <c r="H8" s="12" t="s">
        <v>318</v>
      </c>
      <c r="I8" s="12" t="s">
        <v>318</v>
      </c>
      <c r="J8" s="31">
        <v>0</v>
      </c>
      <c r="K8" s="12">
        <v>44958</v>
      </c>
      <c r="L8" s="89" t="s">
        <v>318</v>
      </c>
      <c r="M8" s="80" t="s">
        <v>282</v>
      </c>
      <c r="N8" s="16" t="str" cm="1">
        <f t="array" ref="N8">_xll.aqBondObjectCreateFromGenerator($C8,$N$4,_xll.aqToolLVBFromKeysValues($C$7:$M$7,$C8:$M8))</f>
        <v>IT0003268775:6</v>
      </c>
      <c r="O8" s="78">
        <v>2.9802156193156737E-2</v>
      </c>
      <c r="P8" s="51">
        <v>88.160899999999998</v>
      </c>
      <c r="Q8" s="17">
        <v>4.2282000000000002</v>
      </c>
      <c r="R8" s="95">
        <v>372.76350000000002</v>
      </c>
      <c r="S8" s="39" cm="1">
        <f t="array" ref="S8">_xll.aqBondObjectYield(N8,$C$4,T8)</f>
        <v>2.9802156193109441E-2</v>
      </c>
      <c r="T8" s="49" cm="1">
        <f t="array" ref="T8">_xll.aqBondObjectPrice($N8,$C$4,$O8)</f>
        <v>88.160883392453499</v>
      </c>
      <c r="U8" s="49" cm="1">
        <f t="array" ref="U8">_xll.aqBondObjectCleanPrice($N8,$C$4,$O8)</f>
        <v>88.160883392453499</v>
      </c>
      <c r="V8" s="49" cm="1">
        <f t="array" ref="V8">_xll.aqBondObjectDirtyPrice($N8,$C$4,$O8)</f>
        <v>88.160883392453499</v>
      </c>
      <c r="W8" s="18" cm="1">
        <f t="array" ref="W8">_xll.aqBondObjectModifiedDuration($N8,$C$4,$O8)</f>
        <v>4.2282184108700838</v>
      </c>
      <c r="X8" s="93" cm="1">
        <f t="array" ref="X8">_xll.aqBondObjectDV01($N8,$C$4,$O8)</f>
        <v>372.76347027854246</v>
      </c>
    </row>
    <row r="9" spans="2:25">
      <c r="B9" s="11" t="s">
        <v>467</v>
      </c>
      <c r="C9" s="11" t="s">
        <v>468</v>
      </c>
      <c r="D9" s="11" t="s">
        <v>468</v>
      </c>
      <c r="E9" s="12">
        <v>41416</v>
      </c>
      <c r="F9" s="12" t="s">
        <v>318</v>
      </c>
      <c r="G9" s="15" t="str">
        <f t="shared" si="0"/>
        <v/>
      </c>
      <c r="H9" s="12" t="s">
        <v>318</v>
      </c>
      <c r="I9" s="12" t="s">
        <v>318</v>
      </c>
      <c r="J9" s="31">
        <v>0</v>
      </c>
      <c r="K9" s="12">
        <v>44986</v>
      </c>
      <c r="L9" s="89" t="s">
        <v>318</v>
      </c>
      <c r="M9" s="80" t="s">
        <v>282</v>
      </c>
      <c r="N9" s="16" t="str" cm="1">
        <f t="array" ref="N9">_xll.aqBondObjectCreateFromGenerator($C9,$N$4,_xll.aqToolLVBFromKeysValues($C$7:$M$7,$C9:$M9))</f>
        <v>IT0004957921:5</v>
      </c>
      <c r="O9" s="78">
        <v>3.014124614651692E-2</v>
      </c>
      <c r="P9" s="51">
        <v>87.822000000000003</v>
      </c>
      <c r="Q9" s="17">
        <v>4.3085000000000004</v>
      </c>
      <c r="R9" s="95">
        <v>378.37920000000003</v>
      </c>
      <c r="S9" s="39" cm="1">
        <f t="array" ref="S9">_xll.aqBondObjectYield(N9,$C$4,T9)</f>
        <v>3.0141246146491829E-2</v>
      </c>
      <c r="T9" s="49" cm="1">
        <f t="array" ref="T9">_xll.aqBondObjectPrice($N9,$C$4,$O9)</f>
        <v>87.821999999864005</v>
      </c>
      <c r="U9" s="49" cm="1">
        <f t="array" ref="U9">_xll.aqBondObjectCleanPrice($N9,$C$4,$O9)</f>
        <v>87.821999999864005</v>
      </c>
      <c r="V9" s="49" cm="1">
        <f t="array" ref="V9">_xll.aqBondObjectDirtyPrice($N9,$C$4,$O9)</f>
        <v>87.821999999864005</v>
      </c>
      <c r="W9" s="18" cm="1">
        <f t="array" ref="W9">_xll.aqBondObjectModifiedDuration($N9,$C$4,$O9)</f>
        <v>4.3084787584886834</v>
      </c>
      <c r="X9" s="93" cm="1">
        <f t="array" ref="X9">_xll.aqBondObjectDV01($N9,$C$4,$O9)</f>
        <v>378.37922152740725</v>
      </c>
    </row>
    <row r="10" spans="2:25">
      <c r="B10" s="11" t="s">
        <v>645</v>
      </c>
      <c r="C10" s="11" t="s">
        <v>646</v>
      </c>
      <c r="D10" s="11" t="s">
        <v>646</v>
      </c>
      <c r="E10" s="12">
        <v>40450</v>
      </c>
      <c r="F10" s="12" t="s">
        <v>318</v>
      </c>
      <c r="G10" s="15" t="str">
        <f t="shared" si="0"/>
        <v/>
      </c>
      <c r="H10" s="12" t="s">
        <v>318</v>
      </c>
      <c r="I10" s="12" t="s">
        <v>318</v>
      </c>
      <c r="J10" s="31">
        <v>0</v>
      </c>
      <c r="K10" s="12">
        <v>44986</v>
      </c>
      <c r="L10" s="89" t="s">
        <v>318</v>
      </c>
      <c r="M10" s="80" t="s">
        <v>282</v>
      </c>
      <c r="N10" s="16" t="str" cm="1">
        <f t="array" ref="N10">_xll.aqBondObjectCreateFromGenerator($C10,$N$4,_xll.aqToolLVBFromKeysValues($C$7:$M$7,$C10:$M10))</f>
        <v>IT0004534241:5</v>
      </c>
      <c r="O10" s="78">
        <v>2.8456092685732903E-2</v>
      </c>
      <c r="P10" s="51">
        <v>88.453000000000003</v>
      </c>
      <c r="Q10" s="17">
        <v>4.3120000000000003</v>
      </c>
      <c r="R10" s="95">
        <v>381.41</v>
      </c>
      <c r="S10" s="39" cm="1">
        <f t="array" ref="S10">_xll.aqBondObjectYield(N10,$C$4,T10)</f>
        <v>2.8456092685724466E-2</v>
      </c>
      <c r="T10" s="49" cm="1">
        <f t="array" ref="T10">_xll.aqBondObjectPrice($N10,$C$4,$O10)</f>
        <v>88.452999999929432</v>
      </c>
      <c r="U10" s="49" cm="1">
        <f t="array" ref="U10">_xll.aqBondObjectCleanPrice($N10,$C$4,$O10)</f>
        <v>88.452999999929432</v>
      </c>
      <c r="V10" s="49" cm="1">
        <f t="array" ref="V10">_xll.aqBondObjectDirtyPrice($N10,$C$4,$O10)</f>
        <v>88.452999999929432</v>
      </c>
      <c r="W10" s="18" cm="1">
        <f t="array" ref="W10">_xll.aqBondObjectModifiedDuration($N10,$C$4,$O10)</f>
        <v>4.3120070939546462</v>
      </c>
      <c r="X10" s="93" cm="1">
        <f t="array" ref="X10">_xll.aqBondObjectDV01($N10,$C$4,$O10)</f>
        <v>381.409963481266</v>
      </c>
    </row>
    <row r="11" spans="2:25">
      <c r="B11" s="11" t="s">
        <v>312</v>
      </c>
      <c r="C11" s="11" t="s">
        <v>313</v>
      </c>
      <c r="D11" s="11" t="s">
        <v>313</v>
      </c>
      <c r="E11" s="12">
        <v>42444</v>
      </c>
      <c r="F11" s="12">
        <v>42444</v>
      </c>
      <c r="G11" s="15" t="str">
        <f t="shared" si="0"/>
        <v/>
      </c>
      <c r="H11" s="12">
        <v>42628</v>
      </c>
      <c r="I11" s="12">
        <v>44819</v>
      </c>
      <c r="J11" s="31">
        <v>9.4999999999999998E-3</v>
      </c>
      <c r="K11" s="12">
        <v>45000</v>
      </c>
      <c r="L11" s="89">
        <v>101.07</v>
      </c>
      <c r="M11" s="80" t="s">
        <v>282</v>
      </c>
      <c r="N11" s="16" t="str" cm="1">
        <f t="array" ref="N11">_xll.aqBondObjectCreateFromGenerator($C11,$N$4,_xll.aqToolLVBFromKeysValues($C$7:$M$7,$C11:$M11))</f>
        <v>IT0005172322:5</v>
      </c>
      <c r="O11" s="78">
        <v>2.800309442751292E-2</v>
      </c>
      <c r="P11" s="51">
        <v>92.447000000000003</v>
      </c>
      <c r="Q11" s="17">
        <v>4.2637999999999998</v>
      </c>
      <c r="R11" s="95">
        <v>394.53579999999999</v>
      </c>
      <c r="S11" s="39" cm="1">
        <f t="array" ref="S11">_xll.aqBondObjectYield(N11,$C$4,T11)</f>
        <v>2.8003094427519359E-2</v>
      </c>
      <c r="T11" s="49" cm="1">
        <f t="array" ref="T11">_xll.aqBondObjectPrice($N11,$C$4,$O11)</f>
        <v>92.447000381913327</v>
      </c>
      <c r="U11" s="49" cm="1">
        <f t="array" ref="U11">_xll.aqBondObjectCleanPrice($N11,$C$4,$O11)</f>
        <v>92.447000381913327</v>
      </c>
      <c r="V11" s="49" cm="1">
        <f t="array" ref="V11">_xll.aqBondObjectDirtyPrice($N11,$C$4,$O11)</f>
        <v>92.530980381913324</v>
      </c>
      <c r="W11" s="18" cm="1">
        <f t="array" ref="W11">_xll.aqBondObjectModifiedDuration($N11,$C$4,$O11)</f>
        <v>4.2638237443411127</v>
      </c>
      <c r="X11" s="93" cm="1">
        <f t="array" ref="X11">_xll.aqBondObjectDV01($N11,$C$4,$O11)</f>
        <v>394.53579123956371</v>
      </c>
    </row>
    <row r="12" spans="2:25">
      <c r="B12" s="11" t="s">
        <v>643</v>
      </c>
      <c r="C12" s="11" t="s">
        <v>644</v>
      </c>
      <c r="D12" s="11" t="s">
        <v>644</v>
      </c>
      <c r="E12" s="12">
        <v>42444</v>
      </c>
      <c r="F12" s="12" t="s">
        <v>318</v>
      </c>
      <c r="G12" s="15" t="str">
        <f t="shared" si="0"/>
        <v/>
      </c>
      <c r="H12" s="12" t="s">
        <v>318</v>
      </c>
      <c r="I12" s="12" t="s">
        <v>318</v>
      </c>
      <c r="J12" s="31">
        <v>0</v>
      </c>
      <c r="K12" s="12">
        <v>45000</v>
      </c>
      <c r="L12" s="89" t="s">
        <v>318</v>
      </c>
      <c r="M12" s="80" t="s">
        <v>282</v>
      </c>
      <c r="N12" s="16" t="str" cm="1">
        <f t="array" ref="N12">_xll.aqBondObjectCreateFromGenerator($C12,$N$4,_xll.aqToolLVBFromKeysValues($C$7:$M$7,$C12:$M12))</f>
        <v>IT0005177610:5</v>
      </c>
      <c r="O12" s="78">
        <v>2.8416698883366731E-2</v>
      </c>
      <c r="P12" s="51">
        <v>88.372</v>
      </c>
      <c r="Q12" s="17">
        <v>4.3502000000000001</v>
      </c>
      <c r="R12" s="95">
        <v>384.43810000000002</v>
      </c>
      <c r="S12" s="39" cm="1">
        <f t="array" ref="S12">_xll.aqBondObjectYield(N12,$C$4,T12)</f>
        <v>2.8416698883358738E-2</v>
      </c>
      <c r="T12" s="49" cm="1">
        <f t="array" ref="T12">_xll.aqBondObjectPrice($N12,$C$4,$O12)</f>
        <v>88.371999999926089</v>
      </c>
      <c r="U12" s="49" cm="1">
        <f t="array" ref="U12">_xll.aqBondObjectCleanPrice($N12,$C$4,$O12)</f>
        <v>88.371999999926089</v>
      </c>
      <c r="V12" s="49" cm="1">
        <f t="array" ref="V12">_xll.aqBondObjectDirtyPrice($N12,$C$4,$O12)</f>
        <v>88.371999999926089</v>
      </c>
      <c r="W12" s="18" cm="1">
        <f t="array" ref="W12">_xll.aqBondObjectModifiedDuration($N12,$C$4,$O12)</f>
        <v>4.350225658987747</v>
      </c>
      <c r="X12" s="93" cm="1">
        <f t="array" ref="X12">_xll.aqBondObjectDV01($N12,$C$4,$O12)</f>
        <v>384.43814193574366</v>
      </c>
    </row>
    <row r="13" spans="2:25">
      <c r="B13" s="11" t="s">
        <v>325</v>
      </c>
      <c r="C13" s="11" t="s">
        <v>326</v>
      </c>
      <c r="D13" s="11" t="s">
        <v>326</v>
      </c>
      <c r="E13" s="12">
        <v>41334</v>
      </c>
      <c r="F13" s="12">
        <v>41334</v>
      </c>
      <c r="G13" s="15" t="str">
        <f t="shared" si="0"/>
        <v/>
      </c>
      <c r="H13" s="12">
        <v>41395</v>
      </c>
      <c r="I13" s="12">
        <v>44866</v>
      </c>
      <c r="J13" s="31">
        <v>4.4999999999999998E-2</v>
      </c>
      <c r="K13" s="12">
        <v>45047</v>
      </c>
      <c r="L13" s="89">
        <v>97.81</v>
      </c>
      <c r="M13" s="80" t="s">
        <v>282</v>
      </c>
      <c r="N13" s="16" t="str" cm="1">
        <f t="array" ref="N13">_xll.aqBondObjectCreateFromGenerator($C13,$N$4,_xll.aqToolLVBFromKeysValues($C$7:$M$7,$C13:$M13))</f>
        <v>IT0004898034:5</v>
      </c>
      <c r="O13" s="78">
        <v>2.9230722252998165E-2</v>
      </c>
      <c r="P13" s="51">
        <v>106.7422</v>
      </c>
      <c r="Q13" s="17">
        <v>4.0347999999999997</v>
      </c>
      <c r="R13" s="95">
        <v>439.02359999999999</v>
      </c>
      <c r="S13" s="39" cm="1">
        <f t="array" ref="S13">_xll.aqBondObjectYield(N13,$C$4,T13)</f>
        <v>2.9230722253004604E-2</v>
      </c>
      <c r="T13" s="49" cm="1">
        <f t="array" ref="T13">_xll.aqBondObjectPrice($N13,$C$4,$O13)</f>
        <v>106.74223570536951</v>
      </c>
      <c r="U13" s="49" cm="1">
        <f t="array" ref="U13">_xll.aqBondObjectCleanPrice($N13,$C$4,$O13)</f>
        <v>106.74223570536951</v>
      </c>
      <c r="V13" s="49" cm="1">
        <f t="array" ref="V13">_xll.aqBondObjectDirtyPrice($N13,$C$4,$O13)</f>
        <v>108.80881570536951</v>
      </c>
      <c r="W13" s="18" cm="1">
        <f t="array" ref="W13">_xll.aqBondObjectModifiedDuration($N13,$C$4,$O13)</f>
        <v>4.0348169014894557</v>
      </c>
      <c r="X13" s="93" cm="1">
        <f t="array" ref="X13">_xll.aqBondObjectDV01($N13,$C$4,$O13)</f>
        <v>439.02364863907621</v>
      </c>
    </row>
    <row r="14" spans="2:25">
      <c r="B14" s="11" t="s">
        <v>423</v>
      </c>
      <c r="C14" s="11" t="s">
        <v>424</v>
      </c>
      <c r="D14" s="11" t="s">
        <v>424</v>
      </c>
      <c r="E14" s="12">
        <v>36003</v>
      </c>
      <c r="F14" s="12" t="s">
        <v>318</v>
      </c>
      <c r="G14" s="15" t="str">
        <f t="shared" si="0"/>
        <v/>
      </c>
      <c r="H14" s="12" t="s">
        <v>318</v>
      </c>
      <c r="I14" s="12" t="s">
        <v>318</v>
      </c>
      <c r="J14" s="31">
        <v>0</v>
      </c>
      <c r="K14" s="12">
        <v>45047</v>
      </c>
      <c r="L14" s="89" t="s">
        <v>318</v>
      </c>
      <c r="M14" s="80" t="s">
        <v>282</v>
      </c>
      <c r="N14" s="16" t="str" cm="1">
        <f t="array" ref="N14">_xll.aqBondObjectCreateFromGenerator($C14,$N$4,_xll.aqToolLVBFromKeysValues($C$7:$M$7,$C14:$M14))</f>
        <v>IT0001247318:5</v>
      </c>
      <c r="O14" s="78">
        <v>2.9670464283054088E-2</v>
      </c>
      <c r="P14" s="51">
        <v>87.559299999999993</v>
      </c>
      <c r="Q14" s="17">
        <v>4.4748999999999999</v>
      </c>
      <c r="R14" s="95">
        <v>391.81569999999999</v>
      </c>
      <c r="S14" s="39" cm="1">
        <f t="array" ref="S14">_xll.aqBondObjectYield(N14,$C$4,T14)</f>
        <v>2.9670464283042541E-2</v>
      </c>
      <c r="T14" s="49" cm="1">
        <f t="array" ref="T14">_xll.aqBondObjectPrice($N14,$C$4,$O14)</f>
        <v>87.559309420230917</v>
      </c>
      <c r="U14" s="49" cm="1">
        <f t="array" ref="U14">_xll.aqBondObjectCleanPrice($N14,$C$4,$O14)</f>
        <v>87.559309420230917</v>
      </c>
      <c r="V14" s="49" cm="1">
        <f t="array" ref="V14">_xll.aqBondObjectDirtyPrice($N14,$C$4,$O14)</f>
        <v>87.559309420230917</v>
      </c>
      <c r="W14" s="18" cm="1">
        <f t="array" ref="W14">_xll.aqBondObjectModifiedDuration($N14,$C$4,$O14)</f>
        <v>4.4748605252347771</v>
      </c>
      <c r="X14" s="93" cm="1">
        <f t="array" ref="X14">_xll.aqBondObjectDV01($N14,$C$4,$O14)</f>
        <v>391.81569734140885</v>
      </c>
    </row>
    <row r="15" spans="2:25">
      <c r="B15" s="11" t="s">
        <v>345</v>
      </c>
      <c r="C15" s="11" t="s">
        <v>346</v>
      </c>
      <c r="D15" s="11" t="s">
        <v>346</v>
      </c>
      <c r="E15" s="12">
        <v>39554</v>
      </c>
      <c r="F15" s="12">
        <v>39479</v>
      </c>
      <c r="G15" s="15" t="str">
        <f t="shared" si="0"/>
        <v/>
      </c>
      <c r="H15" s="12">
        <v>39661</v>
      </c>
      <c r="I15" s="12">
        <v>44958</v>
      </c>
      <c r="J15" s="31">
        <v>4.7500000000000001E-2</v>
      </c>
      <c r="K15" s="12">
        <v>45139</v>
      </c>
      <c r="L15" s="89">
        <v>99.134999999999991</v>
      </c>
      <c r="M15" s="80" t="s">
        <v>282</v>
      </c>
      <c r="N15" s="16" t="str" cm="1">
        <f t="array" ref="N15">_xll.aqBondObjectCreateFromGenerator($C15,$N$4,_xll.aqToolLVBFromKeysValues($C$7:$M$7,$C15:$M15))</f>
        <v>IT0004356843:5</v>
      </c>
      <c r="O15" s="78">
        <v>2.972387698290091E-2</v>
      </c>
      <c r="P15" s="51">
        <v>107.9789</v>
      </c>
      <c r="Q15" s="17">
        <v>4.2601000000000004</v>
      </c>
      <c r="R15" s="95">
        <v>464.23480000000001</v>
      </c>
      <c r="S15" s="39" cm="1">
        <f t="array" ref="S15">_xll.aqBondObjectYield(N15,$C$4,T15)</f>
        <v>2.9723876982906683E-2</v>
      </c>
      <c r="T15" s="49" cm="1">
        <f t="array" ref="T15">_xll.aqBondObjectPrice($N15,$C$4,$O15)</f>
        <v>107.97887532519387</v>
      </c>
      <c r="U15" s="49" cm="1">
        <f t="array" ref="U15">_xll.aqBondObjectCleanPrice($N15,$C$4,$O15)</f>
        <v>107.97887532519387</v>
      </c>
      <c r="V15" s="49" cm="1">
        <f t="array" ref="V15">_xll.aqBondObjectDirtyPrice($N15,$C$4,$O15)</f>
        <v>108.97276532519386</v>
      </c>
      <c r="W15" s="18" cm="1">
        <f t="array" ref="W15">_xll.aqBondObjectModifiedDuration($N15,$C$4,$O15)</f>
        <v>4.2600989171641723</v>
      </c>
      <c r="X15" s="93" cm="1">
        <f t="array" ref="X15">_xll.aqBondObjectDV01($N15,$C$4,$O15)</f>
        <v>464.23475956224382</v>
      </c>
    </row>
    <row r="16" spans="2:25">
      <c r="B16" s="11" t="s">
        <v>579</v>
      </c>
      <c r="C16" s="11" t="s">
        <v>580</v>
      </c>
      <c r="D16" s="11" t="s">
        <v>580</v>
      </c>
      <c r="E16" s="12">
        <v>39479</v>
      </c>
      <c r="F16" s="12" t="s">
        <v>318</v>
      </c>
      <c r="G16" s="15" t="str">
        <f t="shared" si="0"/>
        <v/>
      </c>
      <c r="H16" s="12" t="s">
        <v>318</v>
      </c>
      <c r="I16" s="12" t="s">
        <v>318</v>
      </c>
      <c r="J16" s="31">
        <v>0</v>
      </c>
      <c r="K16" s="12">
        <v>45139</v>
      </c>
      <c r="L16" s="89" t="s">
        <v>318</v>
      </c>
      <c r="M16" s="80" t="s">
        <v>282</v>
      </c>
      <c r="N16" s="16" t="str" cm="1">
        <f t="array" ref="N16">_xll.aqBondObjectCreateFromGenerator($C16,$N$4,_xll.aqToolLVBFromKeysValues($C$7:$M$7,$C16:$M16))</f>
        <v>IT0004848708:5</v>
      </c>
      <c r="O16" s="78">
        <v>2.9910955364945035E-2</v>
      </c>
      <c r="P16" s="51">
        <v>86.831900000000005</v>
      </c>
      <c r="Q16" s="17">
        <v>4.7206999999999999</v>
      </c>
      <c r="R16" s="95">
        <v>409.90559999999999</v>
      </c>
      <c r="S16" s="39" cm="1">
        <f t="array" ref="S16">_xll.aqBondObjectYield(N16,$C$4,T16)</f>
        <v>2.9910955364896852E-2</v>
      </c>
      <c r="T16" s="49" cm="1">
        <f t="array" ref="T16">_xll.aqBondObjectPrice($N16,$C$4,$O16)</f>
        <v>86.831884736974047</v>
      </c>
      <c r="U16" s="49" cm="1">
        <f t="array" ref="U16">_xll.aqBondObjectCleanPrice($N16,$C$4,$O16)</f>
        <v>86.831884736974047</v>
      </c>
      <c r="V16" s="49" cm="1">
        <f t="array" ref="V16">_xll.aqBondObjectDirtyPrice($N16,$C$4,$O16)</f>
        <v>86.831884736974047</v>
      </c>
      <c r="W16" s="18" cm="1">
        <f t="array" ref="W16">_xll.aqBondObjectModifiedDuration($N16,$C$4,$O16)</f>
        <v>4.720681007914453</v>
      </c>
      <c r="X16" s="93" cm="1">
        <f t="array" ref="X16">_xll.aqBondObjectDV01($N16,$C$4,$O16)</f>
        <v>409.90562915925022</v>
      </c>
    </row>
    <row r="17" spans="2:24">
      <c r="B17" s="11" t="s">
        <v>689</v>
      </c>
      <c r="C17" s="11" t="s">
        <v>690</v>
      </c>
      <c r="D17" s="11" t="s">
        <v>690</v>
      </c>
      <c r="E17" s="12">
        <v>37333</v>
      </c>
      <c r="F17" s="12" t="s">
        <v>318</v>
      </c>
      <c r="G17" s="15" t="str">
        <f t="shared" si="0"/>
        <v/>
      </c>
      <c r="H17" s="12" t="s">
        <v>318</v>
      </c>
      <c r="I17" s="12" t="s">
        <v>318</v>
      </c>
      <c r="J17" s="31">
        <v>0</v>
      </c>
      <c r="K17" s="12">
        <v>45139</v>
      </c>
      <c r="L17" s="89" t="s">
        <v>318</v>
      </c>
      <c r="M17" s="80" t="s">
        <v>282</v>
      </c>
      <c r="N17" s="16" t="str" cm="1">
        <f t="array" ref="N17">_xll.aqBondObjectCreateFromGenerator($C17,$N$4,_xll.aqToolLVBFromKeysValues($C$7:$M$7,$C17:$M17))</f>
        <v>IT0003268791:5</v>
      </c>
      <c r="O17" s="78">
        <v>2.8475848613439547E-2</v>
      </c>
      <c r="P17" s="51">
        <v>87.413899999999998</v>
      </c>
      <c r="Q17" s="17">
        <v>4.7240000000000002</v>
      </c>
      <c r="R17" s="95">
        <v>412.9409</v>
      </c>
      <c r="S17" s="39" cm="1">
        <f t="array" ref="S17">_xll.aqBondObjectYield(N17,$C$4,T17)</f>
        <v>2.8475848613415566E-2</v>
      </c>
      <c r="T17" s="49" cm="1">
        <f t="array" ref="T17">_xll.aqBondObjectPrice($N17,$C$4,$O17)</f>
        <v>87.413889454395246</v>
      </c>
      <c r="U17" s="49" cm="1">
        <f t="array" ref="U17">_xll.aqBondObjectCleanPrice($N17,$C$4,$O17)</f>
        <v>87.413889454395246</v>
      </c>
      <c r="V17" s="49" cm="1">
        <f t="array" ref="V17">_xll.aqBondObjectDirtyPrice($N17,$C$4,$O17)</f>
        <v>87.413889454395246</v>
      </c>
      <c r="W17" s="18" cm="1">
        <f t="array" ref="W17">_xll.aqBondObjectModifiedDuration($N17,$C$4,$O17)</f>
        <v>4.7239734136340488</v>
      </c>
      <c r="X17" s="93" cm="1">
        <f t="array" ref="X17">_xll.aqBondObjectDV01($N17,$C$4,$O17)</f>
        <v>412.94088976490889</v>
      </c>
    </row>
    <row r="18" spans="2:24">
      <c r="B18" s="11" t="s">
        <v>297</v>
      </c>
      <c r="C18" s="11" t="s">
        <v>298</v>
      </c>
      <c r="D18" s="11" t="s">
        <v>298</v>
      </c>
      <c r="E18" s="12">
        <v>42628</v>
      </c>
      <c r="F18" s="12">
        <v>42628</v>
      </c>
      <c r="G18" s="15" t="str">
        <f t="shared" si="0"/>
        <v/>
      </c>
      <c r="H18" s="12">
        <v>42658</v>
      </c>
      <c r="I18" s="12">
        <v>45031</v>
      </c>
      <c r="J18" s="31">
        <v>6.5000000000000006E-3</v>
      </c>
      <c r="K18" s="12">
        <v>45214</v>
      </c>
      <c r="L18" s="89">
        <v>99.7</v>
      </c>
      <c r="M18" s="80" t="s">
        <v>282</v>
      </c>
      <c r="N18" s="16" t="str" cm="1">
        <f t="array" ref="N18">_xll.aqBondObjectCreateFromGenerator($C18,$N$4,_xll.aqToolLVBFromKeysValues($C$7:$M$7,$C18:$M18))</f>
        <v>IT0005215246:5</v>
      </c>
      <c r="O18" s="78">
        <v>2.8872270677977374E-2</v>
      </c>
      <c r="P18" s="51">
        <v>89.745900000000006</v>
      </c>
      <c r="Q18" s="17">
        <v>4.8475999999999999</v>
      </c>
      <c r="R18" s="95">
        <v>435.0729</v>
      </c>
      <c r="S18" s="39" cm="1">
        <f t="array" ref="S18">_xll.aqBondObjectYield(N18,$C$4,T18)</f>
        <v>2.887227067797915E-2</v>
      </c>
      <c r="T18" s="49" cm="1">
        <f t="array" ref="T18">_xll.aqBondObjectPrice($N18,$C$4,$O18)</f>
        <v>89.745850020162479</v>
      </c>
      <c r="U18" s="49" cm="1">
        <f t="array" ref="U18">_xll.aqBondObjectCleanPrice($N18,$C$4,$O18)</f>
        <v>89.745850020162479</v>
      </c>
      <c r="V18" s="49" cm="1">
        <f t="array" ref="V18">_xll.aqBondObjectDirtyPrice($N18,$C$4,$O18)</f>
        <v>89.749420020162475</v>
      </c>
      <c r="W18" s="18" cm="1">
        <f t="array" ref="W18">_xll.aqBondObjectModifiedDuration($N18,$C$4,$O18)</f>
        <v>4.8476402090778157</v>
      </c>
      <c r="X18" s="93" cm="1">
        <f t="array" ref="X18">_xll.aqBondObjectDV01($N18,$C$4,$O18)</f>
        <v>435.07289723115315</v>
      </c>
    </row>
    <row r="19" spans="2:24">
      <c r="B19" s="11" t="s">
        <v>343</v>
      </c>
      <c r="C19" s="11" t="s">
        <v>344</v>
      </c>
      <c r="D19" s="11" t="s">
        <v>344</v>
      </c>
      <c r="E19" s="12">
        <v>34291</v>
      </c>
      <c r="F19" s="12">
        <v>34274</v>
      </c>
      <c r="G19" s="15" t="str">
        <f t="shared" si="0"/>
        <v/>
      </c>
      <c r="H19" s="12">
        <v>34455</v>
      </c>
      <c r="I19" s="12">
        <v>45047</v>
      </c>
      <c r="J19" s="31">
        <v>0.09</v>
      </c>
      <c r="K19" s="12">
        <v>45231</v>
      </c>
      <c r="L19" s="89">
        <v>93.75</v>
      </c>
      <c r="M19" s="80" t="s">
        <v>282</v>
      </c>
      <c r="N19" s="16" t="str" cm="1">
        <f t="array" ref="N19">_xll.aqBondObjectCreateFromGenerator($C19,$N$4,_xll.aqToolLVBFromKeysValues($C$7:$M$7,$C19:$M19))</f>
        <v>IT0000366655:5</v>
      </c>
      <c r="O19" s="78">
        <v>2.9987204872915507E-2</v>
      </c>
      <c r="P19" s="51">
        <v>127.9171</v>
      </c>
      <c r="Q19" s="17">
        <v>4.0839999999999996</v>
      </c>
      <c r="R19" s="95">
        <v>539.29679999999996</v>
      </c>
      <c r="S19" s="39" cm="1">
        <f t="array" ref="S19">_xll.aqBondObjectYield(N19,$C$4,T19)</f>
        <v>2.9987204872915507E-2</v>
      </c>
      <c r="T19" s="49" cm="1">
        <f t="array" ref="T19">_xll.aqBondObjectPrice($N19,$C$4,$O19)</f>
        <v>127.91711423453484</v>
      </c>
      <c r="U19" s="49" cm="1">
        <f t="array" ref="U19">_xll.aqBondObjectCleanPrice($N19,$C$4,$O19)</f>
        <v>127.91711423453484</v>
      </c>
      <c r="V19" s="49" cm="1">
        <f t="array" ref="V19">_xll.aqBondObjectDirtyPrice($N19,$C$4,$O19)</f>
        <v>132.05026423453484</v>
      </c>
      <c r="W19" s="18" cm="1">
        <f t="array" ref="W19">_xll.aqBondObjectModifiedDuration($N19,$C$4,$O19)</f>
        <v>4.0840267353996653</v>
      </c>
      <c r="X19" s="93" cm="1">
        <f t="array" ref="X19">_xll.aqBondObjectDV01($N19,$C$4,$O19)</f>
        <v>539.29680955043045</v>
      </c>
    </row>
    <row r="20" spans="2:24">
      <c r="B20" s="11" t="s">
        <v>377</v>
      </c>
      <c r="C20" s="11" t="s">
        <v>378</v>
      </c>
      <c r="D20" s="11" t="s">
        <v>378</v>
      </c>
      <c r="E20" s="12">
        <v>36003</v>
      </c>
      <c r="F20" s="12" t="s">
        <v>318</v>
      </c>
      <c r="G20" s="15" t="str">
        <f t="shared" si="0"/>
        <v/>
      </c>
      <c r="H20" s="12" t="s">
        <v>318</v>
      </c>
      <c r="I20" s="12" t="s">
        <v>318</v>
      </c>
      <c r="J20" s="31">
        <v>0</v>
      </c>
      <c r="K20" s="12">
        <v>45231</v>
      </c>
      <c r="L20" s="89" t="s">
        <v>318</v>
      </c>
      <c r="M20" s="80" t="s">
        <v>282</v>
      </c>
      <c r="N20" s="16" t="str" cm="1">
        <f t="array" ref="N20">_xll.aqBondObjectCreateFromGenerator($C20,$N$4,_xll.aqToolLVBFromKeysValues($C$7:$M$7,$C20:$M20))</f>
        <v>IT0004848435:5</v>
      </c>
      <c r="O20" s="78">
        <v>3.0696337254406014E-2</v>
      </c>
      <c r="P20" s="51">
        <v>85.863299999999995</v>
      </c>
      <c r="Q20" s="17">
        <v>4.9650999999999996</v>
      </c>
      <c r="R20" s="95">
        <v>426.32249999999999</v>
      </c>
      <c r="S20" s="39" cm="1">
        <f t="array" ref="S20">_xll.aqBondObjectYield(N20,$C$4,T20)</f>
        <v>3.0696337254297879E-2</v>
      </c>
      <c r="T20" s="49" cm="1">
        <f t="array" ref="T20">_xll.aqBondObjectPrice($N20,$C$4,$O20)</f>
        <v>85.863299732056049</v>
      </c>
      <c r="U20" s="49" cm="1">
        <f t="array" ref="U20">_xll.aqBondObjectCleanPrice($N20,$C$4,$O20)</f>
        <v>85.863299732056049</v>
      </c>
      <c r="V20" s="49" cm="1">
        <f t="array" ref="V20">_xll.aqBondObjectDirtyPrice($N20,$C$4,$O20)</f>
        <v>85.863299732056049</v>
      </c>
      <c r="W20" s="18" cm="1">
        <f t="array" ref="W20">_xll.aqBondObjectModifiedDuration($N20,$C$4,$O20)</f>
        <v>4.9651312002329728</v>
      </c>
      <c r="X20" s="93" cm="1">
        <f t="array" ref="X20">_xll.aqBondObjectDV01($N20,$C$4,$O20)</f>
        <v>426.32254845458692</v>
      </c>
    </row>
    <row r="21" spans="2:24">
      <c r="B21" s="11" t="s">
        <v>599</v>
      </c>
      <c r="C21" s="11" t="s">
        <v>600</v>
      </c>
      <c r="D21" s="11" t="s">
        <v>600</v>
      </c>
      <c r="E21" s="12">
        <v>36003</v>
      </c>
      <c r="F21" s="12" t="s">
        <v>318</v>
      </c>
      <c r="G21" s="15" t="str">
        <f t="shared" si="0"/>
        <v/>
      </c>
      <c r="H21" s="12" t="s">
        <v>318</v>
      </c>
      <c r="I21" s="12" t="s">
        <v>318</v>
      </c>
      <c r="J21" s="31">
        <v>0</v>
      </c>
      <c r="K21" s="12">
        <v>45231</v>
      </c>
      <c r="L21" s="89" t="s">
        <v>318</v>
      </c>
      <c r="M21" s="80" t="s">
        <v>282</v>
      </c>
      <c r="N21" s="16" t="str" cm="1">
        <f t="array" ref="N21">_xll.aqBondObjectCreateFromGenerator($C21,$N$4,_xll.aqToolLVBFromKeysValues($C$7:$M$7,$C21:$M21))</f>
        <v>IT0001246799:5</v>
      </c>
      <c r="O21" s="78">
        <v>2.6495456483771607E-2</v>
      </c>
      <c r="P21" s="51">
        <v>87.6494</v>
      </c>
      <c r="Q21" s="17">
        <v>4.9752999999999998</v>
      </c>
      <c r="R21" s="95">
        <v>436.08030000000002</v>
      </c>
      <c r="S21" s="39" cm="1">
        <f t="array" ref="S21">_xll.aqBondObjectYield(N21,$C$4,T21)</f>
        <v>2.6495456483757618E-2</v>
      </c>
      <c r="T21" s="49" cm="1">
        <f t="array" ref="T21">_xll.aqBondObjectPrice($N21,$C$4,$O21)</f>
        <v>87.649381726084869</v>
      </c>
      <c r="U21" s="49" cm="1">
        <f t="array" ref="U21">_xll.aqBondObjectCleanPrice($N21,$C$4,$O21)</f>
        <v>87.649381726084869</v>
      </c>
      <c r="V21" s="49" cm="1">
        <f t="array" ref="V21">_xll.aqBondObjectDirtyPrice($N21,$C$4,$O21)</f>
        <v>87.649381726084869</v>
      </c>
      <c r="W21" s="18" cm="1">
        <f t="array" ref="W21">_xll.aqBondObjectModifiedDuration($N21,$C$4,$O21)</f>
        <v>4.9752806010929946</v>
      </c>
      <c r="X21" s="93" cm="1">
        <f t="array" ref="X21">_xll.aqBondObjectDV01($N21,$C$4,$O21)</f>
        <v>436.08026859958488</v>
      </c>
    </row>
    <row r="22" spans="2:24">
      <c r="B22" s="11" t="s">
        <v>621</v>
      </c>
      <c r="C22" s="11" t="s">
        <v>622</v>
      </c>
      <c r="D22" s="11" t="s">
        <v>622</v>
      </c>
      <c r="E22" s="12">
        <v>36003</v>
      </c>
      <c r="F22" s="12" t="s">
        <v>318</v>
      </c>
      <c r="G22" s="15" t="str">
        <f t="shared" si="0"/>
        <v/>
      </c>
      <c r="H22" s="12" t="s">
        <v>318</v>
      </c>
      <c r="I22" s="12" t="s">
        <v>318</v>
      </c>
      <c r="J22" s="31">
        <v>0</v>
      </c>
      <c r="K22" s="12">
        <v>45231</v>
      </c>
      <c r="L22" s="89" t="s">
        <v>318</v>
      </c>
      <c r="M22" s="80" t="s">
        <v>282</v>
      </c>
      <c r="N22" s="16" t="str" cm="1">
        <f t="array" ref="N22">_xll.aqBondObjectCreateFromGenerator($C22,$N$4,_xll.aqToolLVBFromKeysValues($C$7:$M$7,$C22:$M22))</f>
        <v>IT0001247326:5</v>
      </c>
      <c r="O22" s="78">
        <v>2.9320716092621435E-2</v>
      </c>
      <c r="P22" s="51">
        <v>86.443299999999994</v>
      </c>
      <c r="Q22" s="17">
        <v>4.9683999999999999</v>
      </c>
      <c r="R22" s="95">
        <v>429.48919999999998</v>
      </c>
      <c r="S22" s="39" cm="1">
        <f t="array" ref="S22">_xll.aqBondObjectYield(N22,$C$4,T22)</f>
        <v>2.9320716092558374E-2</v>
      </c>
      <c r="T22" s="49" cm="1">
        <f t="array" ref="T22">_xll.aqBondObjectPrice($N22,$C$4,$O22)</f>
        <v>86.443326143506198</v>
      </c>
      <c r="U22" s="49" cm="1">
        <f t="array" ref="U22">_xll.aqBondObjectCleanPrice($N22,$C$4,$O22)</f>
        <v>86.443326143506198</v>
      </c>
      <c r="V22" s="49" cm="1">
        <f t="array" ref="V22">_xll.aqBondObjectDirtyPrice($N22,$C$4,$O22)</f>
        <v>86.443326143506198</v>
      </c>
      <c r="W22" s="18" cm="1">
        <f t="array" ref="W22">_xll.aqBondObjectModifiedDuration($N22,$C$4,$O22)</f>
        <v>4.9684478822719171</v>
      </c>
      <c r="X22" s="93" cm="1">
        <f t="array" ref="X22">_xll.aqBondObjectDV01($N22,$C$4,$O22)</f>
        <v>429.48916071424401</v>
      </c>
    </row>
    <row r="23" spans="2:24">
      <c r="B23" s="11" t="s">
        <v>353</v>
      </c>
      <c r="C23" s="11" t="s">
        <v>354</v>
      </c>
      <c r="D23" s="11" t="s">
        <v>354</v>
      </c>
      <c r="E23" s="12">
        <v>34325</v>
      </c>
      <c r="F23" s="12">
        <v>34325</v>
      </c>
      <c r="G23" s="15" t="str">
        <f t="shared" si="0"/>
        <v/>
      </c>
      <c r="H23" s="12">
        <v>34507</v>
      </c>
      <c r="I23" s="12">
        <v>45099</v>
      </c>
      <c r="J23" s="31">
        <v>8.5000000000000006E-2</v>
      </c>
      <c r="K23" s="12">
        <v>45282</v>
      </c>
      <c r="L23" s="89">
        <v>92.5</v>
      </c>
      <c r="M23" s="80" t="s">
        <v>282</v>
      </c>
      <c r="N23" s="16" t="str" cm="1">
        <f t="array" ref="N23">_xll.aqBondObjectCreateFromGenerator($C23,$N$4,_xll.aqToolLVBFromKeysValues($C$7:$M$7,$C23:$M23))</f>
        <v>IT0000366721:5</v>
      </c>
      <c r="O23" s="78">
        <v>2.7455626473854799E-2</v>
      </c>
      <c r="P23" s="51">
        <v>127.611</v>
      </c>
      <c r="Q23" s="17">
        <v>4.2702999999999998</v>
      </c>
      <c r="R23" s="95">
        <v>556.53779999999995</v>
      </c>
      <c r="S23" s="39" cm="1">
        <f t="array" ref="S23">_xll.aqBondObjectYield(N23,$C$4,T23)</f>
        <v>2.7455626473854799E-2</v>
      </c>
      <c r="T23" s="49" cm="1">
        <f t="array" ref="T23">_xll.aqBondObjectPrice($N23,$C$4,$O23)</f>
        <v>127.61100343876114</v>
      </c>
      <c r="U23" s="49" cm="1">
        <f t="array" ref="U23">_xll.aqBondObjectCleanPrice($N23,$C$4,$O23)</f>
        <v>127.61100343876114</v>
      </c>
      <c r="V23" s="49" cm="1">
        <f t="array" ref="V23">_xll.aqBondObjectDirtyPrice($N23,$C$4,$O23)</f>
        <v>130.32821343876114</v>
      </c>
      <c r="W23" s="18" cm="1">
        <f t="array" ref="W23">_xll.aqBondObjectModifiedDuration($N23,$C$4,$O23)</f>
        <v>4.2702790157131032</v>
      </c>
      <c r="X23" s="93" cm="1">
        <f t="array" ref="X23">_xll.aqBondObjectDV01($N23,$C$4,$O23)</f>
        <v>556.53783500292013</v>
      </c>
    </row>
    <row r="24" spans="2:24">
      <c r="B24" s="11" t="s">
        <v>601</v>
      </c>
      <c r="C24" s="11" t="s">
        <v>602</v>
      </c>
      <c r="D24" s="11" t="s">
        <v>602</v>
      </c>
      <c r="E24" s="12">
        <v>37333</v>
      </c>
      <c r="F24" s="12" t="s">
        <v>318</v>
      </c>
      <c r="G24" s="15" t="str">
        <f t="shared" si="0"/>
        <v/>
      </c>
      <c r="H24" s="12" t="s">
        <v>318</v>
      </c>
      <c r="I24" s="12" t="s">
        <v>318</v>
      </c>
      <c r="J24" s="31">
        <v>0</v>
      </c>
      <c r="K24" s="12">
        <v>45323</v>
      </c>
      <c r="L24" s="89" t="s">
        <v>318</v>
      </c>
      <c r="M24" s="80" t="s">
        <v>282</v>
      </c>
      <c r="N24" s="16" t="str" cm="1">
        <f t="array" ref="N24">_xll.aqBondObjectCreateFromGenerator($C24,$N$4,_xll.aqToolLVBFromKeysValues($C$7:$M$7,$C24:$M24))</f>
        <v>IT0003268809:5</v>
      </c>
      <c r="O24" s="78">
        <v>3.1747692529839888E-2</v>
      </c>
      <c r="P24" s="51">
        <v>84.758899999999997</v>
      </c>
      <c r="Q24" s="17">
        <v>5.2087000000000003</v>
      </c>
      <c r="R24" s="95">
        <v>441.48570000000001</v>
      </c>
      <c r="S24" s="39" cm="1">
        <f t="array" ref="S24">_xll.aqBondObjectYield(N24,$C$4,T24)</f>
        <v>3.1747692529839888E-2</v>
      </c>
      <c r="T24" s="49" cm="1">
        <f t="array" ref="T24">_xll.aqBondObjectPrice($N24,$C$4,$O24)</f>
        <v>84.758880686045714</v>
      </c>
      <c r="U24" s="49" cm="1">
        <f t="array" ref="U24">_xll.aqBondObjectCleanPrice($N24,$C$4,$O24)</f>
        <v>84.758880686045714</v>
      </c>
      <c r="V24" s="49" cm="1">
        <f t="array" ref="V24">_xll.aqBondObjectDirtyPrice($N24,$C$4,$O24)</f>
        <v>84.758880686045714</v>
      </c>
      <c r="W24" s="18" cm="1">
        <f t="array" ref="W24">_xll.aqBondObjectModifiedDuration($N24,$C$4,$O24)</f>
        <v>5.2087244087238194</v>
      </c>
      <c r="X24" s="93" cm="1">
        <f t="array" ref="X24">_xll.aqBondObjectDV01($N24,$C$4,$O24)</f>
        <v>441.48565068551619</v>
      </c>
    </row>
    <row r="25" spans="2:24">
      <c r="B25" s="11" t="s">
        <v>308</v>
      </c>
      <c r="C25" s="11" t="s">
        <v>309</v>
      </c>
      <c r="D25" s="11" t="s">
        <v>309</v>
      </c>
      <c r="E25" s="12">
        <v>41487</v>
      </c>
      <c r="F25" s="12">
        <v>41487</v>
      </c>
      <c r="G25" s="15" t="str">
        <f t="shared" si="0"/>
        <v/>
      </c>
      <c r="H25" s="12">
        <v>41518</v>
      </c>
      <c r="I25" s="12">
        <v>45170</v>
      </c>
      <c r="J25" s="31">
        <v>4.4999999999999998E-2</v>
      </c>
      <c r="K25" s="12">
        <v>45352</v>
      </c>
      <c r="L25" s="89">
        <v>100.77</v>
      </c>
      <c r="M25" s="80" t="s">
        <v>282</v>
      </c>
      <c r="N25" s="16" t="str" cm="1">
        <f t="array" ref="N25">_xll.aqBondObjectCreateFromGenerator($C25,$N$4,_xll.aqToolLVBFromKeysValues($C$7:$M$7,$C25:$M25))</f>
        <v>IT0004953417:5</v>
      </c>
      <c r="O25" s="78">
        <v>3.1460044309693291E-2</v>
      </c>
      <c r="P25" s="51">
        <v>106.76600000000001</v>
      </c>
      <c r="Q25" s="17">
        <v>4.7544000000000004</v>
      </c>
      <c r="R25" s="95">
        <v>510.32549999999998</v>
      </c>
      <c r="S25" s="39" cm="1">
        <f t="array" ref="S25">_xll.aqBondObjectYield(N25,$C$4,T25)</f>
        <v>3.1460044309700397E-2</v>
      </c>
      <c r="T25" s="49" cm="1">
        <f t="array" ref="T25">_xll.aqBondObjectPrice($N25,$C$4,$O25)</f>
        <v>106.7660020246965</v>
      </c>
      <c r="U25" s="49" cm="1">
        <f t="array" ref="U25">_xll.aqBondObjectCleanPrice($N25,$C$4,$O25)</f>
        <v>106.7660020246965</v>
      </c>
      <c r="V25" s="49" cm="1">
        <f t="array" ref="V25">_xll.aqBondObjectDirtyPrice($N25,$C$4,$O25)</f>
        <v>107.33782202469651</v>
      </c>
      <c r="W25" s="18" cm="1">
        <f t="array" ref="W25">_xll.aqBondObjectModifiedDuration($N25,$C$4,$O25)</f>
        <v>4.7543863824174046</v>
      </c>
      <c r="X25" s="93" cm="1">
        <f t="array" ref="X25">_xll.aqBondObjectDV01($N25,$C$4,$O25)</f>
        <v>510.32547935256008</v>
      </c>
    </row>
    <row r="26" spans="2:24">
      <c r="B26" s="11" t="s">
        <v>637</v>
      </c>
      <c r="C26" s="11" t="s">
        <v>638</v>
      </c>
      <c r="D26" s="11" t="s">
        <v>638</v>
      </c>
      <c r="E26" s="12">
        <v>40450</v>
      </c>
      <c r="F26" s="12" t="s">
        <v>318</v>
      </c>
      <c r="G26" s="15" t="str">
        <f t="shared" si="0"/>
        <v/>
      </c>
      <c r="H26" s="12" t="s">
        <v>318</v>
      </c>
      <c r="I26" s="12" t="s">
        <v>318</v>
      </c>
      <c r="J26" s="31">
        <v>0</v>
      </c>
      <c r="K26" s="12">
        <v>45352</v>
      </c>
      <c r="L26" s="89" t="s">
        <v>318</v>
      </c>
      <c r="M26" s="80" t="s">
        <v>282</v>
      </c>
      <c r="N26" s="16" t="str" cm="1">
        <f t="array" ref="N26">_xll.aqBondObjectCreateFromGenerator($C26,$N$4,_xll.aqToolLVBFromKeysValues($C$7:$M$7,$C26:$M26))</f>
        <v>IT0004534266:5</v>
      </c>
      <c r="O26" s="78">
        <v>3.1136961169695665E-2</v>
      </c>
      <c r="P26" s="51">
        <v>84.811000000000007</v>
      </c>
      <c r="Q26" s="17">
        <v>5.2911999999999999</v>
      </c>
      <c r="R26" s="95">
        <v>448.75060000000002</v>
      </c>
      <c r="S26" s="39" cm="1">
        <f t="array" ref="S26">_xll.aqBondObjectYield(N26,$C$4,T26)</f>
        <v>3.1136961169526911E-2</v>
      </c>
      <c r="T26" s="49" cm="1">
        <f t="array" ref="T26">_xll.aqBondObjectPrice($N26,$C$4,$O26)</f>
        <v>84.810999999185199</v>
      </c>
      <c r="U26" s="49" cm="1">
        <f t="array" ref="U26">_xll.aqBondObjectCleanPrice($N26,$C$4,$O26)</f>
        <v>84.810999999185199</v>
      </c>
      <c r="V26" s="49" cm="1">
        <f t="array" ref="V26">_xll.aqBondObjectDirtyPrice($N26,$C$4,$O26)</f>
        <v>84.810999999185199</v>
      </c>
      <c r="W26" s="18" cm="1">
        <f t="array" ref="W26">_xll.aqBondObjectModifiedDuration($N26,$C$4,$O26)</f>
        <v>5.2911839219597825</v>
      </c>
      <c r="X26" s="93" cm="1">
        <f t="array" ref="X26">_xll.aqBondObjectDV01($N26,$C$4,$O26)</f>
        <v>448.75059960101987</v>
      </c>
    </row>
    <row r="27" spans="2:24">
      <c r="B27" s="11" t="s">
        <v>461</v>
      </c>
      <c r="C27" s="11" t="s">
        <v>462</v>
      </c>
      <c r="D27" s="11" t="s">
        <v>462</v>
      </c>
      <c r="E27" s="12">
        <v>36003</v>
      </c>
      <c r="F27" s="12" t="s">
        <v>318</v>
      </c>
      <c r="G27" s="15" t="str">
        <f t="shared" si="0"/>
        <v/>
      </c>
      <c r="H27" s="12" t="s">
        <v>318</v>
      </c>
      <c r="I27" s="12" t="s">
        <v>318</v>
      </c>
      <c r="J27" s="31">
        <v>0</v>
      </c>
      <c r="K27" s="12">
        <v>45413</v>
      </c>
      <c r="L27" s="89" t="s">
        <v>318</v>
      </c>
      <c r="M27" s="80" t="s">
        <v>282</v>
      </c>
      <c r="N27" s="16" t="str" cm="1">
        <f t="array" ref="N27">_xll.aqBondObjectCreateFromGenerator($C27,$N$4,_xll.aqToolLVBFromKeysValues($C$7:$M$7,$C27:$M27))</f>
        <v>IT0001247334:5</v>
      </c>
      <c r="O27" s="78">
        <v>3.1781273003986144E-2</v>
      </c>
      <c r="P27" s="51">
        <v>84.0762</v>
      </c>
      <c r="Q27" s="17">
        <v>5.4547999999999996</v>
      </c>
      <c r="R27" s="95">
        <v>458.6155</v>
      </c>
      <c r="S27" s="39" cm="1">
        <f t="array" ref="S27">_xll.aqBondObjectYield(N27,$C$4,T27)</f>
        <v>3.1781273003808064E-2</v>
      </c>
      <c r="T27" s="49" cm="1">
        <f t="array" ref="T27">_xll.aqBondObjectPrice($N27,$C$4,$O27)</f>
        <v>84.076211895778513</v>
      </c>
      <c r="U27" s="49" cm="1">
        <f t="array" ref="U27">_xll.aqBondObjectCleanPrice($N27,$C$4,$O27)</f>
        <v>84.076211895778513</v>
      </c>
      <c r="V27" s="49" cm="1">
        <f t="array" ref="V27">_xll.aqBondObjectDirtyPrice($N27,$C$4,$O27)</f>
        <v>84.076211895778513</v>
      </c>
      <c r="W27" s="18" cm="1">
        <f t="array" ref="W27">_xll.aqBondObjectModifiedDuration($N27,$C$4,$O27)</f>
        <v>5.4547592390928523</v>
      </c>
      <c r="X27" s="93" cm="1">
        <f t="array" ref="X27">_xll.aqBondObjectDV01($N27,$C$4,$O27)</f>
        <v>458.6154936264262</v>
      </c>
    </row>
    <row r="28" spans="2:24">
      <c r="B28" s="11" t="s">
        <v>289</v>
      </c>
      <c r="C28" s="11" t="s">
        <v>290</v>
      </c>
      <c r="D28" s="11" t="s">
        <v>290</v>
      </c>
      <c r="E28" s="12">
        <v>42809</v>
      </c>
      <c r="F28" s="12">
        <v>42809</v>
      </c>
      <c r="G28" s="15" t="str">
        <f t="shared" si="0"/>
        <v/>
      </c>
      <c r="H28" s="12">
        <v>42870</v>
      </c>
      <c r="I28" s="12">
        <v>45245</v>
      </c>
      <c r="J28" s="31">
        <v>1.8500000000000003E-2</v>
      </c>
      <c r="K28" s="12">
        <v>45427</v>
      </c>
      <c r="L28" s="89">
        <v>99.71</v>
      </c>
      <c r="M28" s="80" t="s">
        <v>282</v>
      </c>
      <c r="N28" s="16" t="str" cm="1">
        <f t="array" ref="N28">_xll.aqBondObjectCreateFromGenerator($C28,$N$4,_xll.aqToolLVBFromKeysValues($C$7:$M$7,$C28:$M28))</f>
        <v>IT0005246340:5</v>
      </c>
      <c r="O28" s="78">
        <v>3.1000109386981833E-2</v>
      </c>
      <c r="P28" s="51">
        <v>93.755799999999994</v>
      </c>
      <c r="Q28" s="17">
        <v>5.1924999999999999</v>
      </c>
      <c r="R28" s="95">
        <v>490.87720000000002</v>
      </c>
      <c r="S28" s="39" cm="1">
        <f t="array" ref="S28">_xll.aqBondObjectYield(N28,$C$4,T28)</f>
        <v>3.1000109386989161E-2</v>
      </c>
      <c r="T28" s="49" cm="1">
        <f t="array" ref="T28">_xll.aqBondObjectPrice($N28,$C$4,$O28)</f>
        <v>93.755755858451678</v>
      </c>
      <c r="U28" s="49" cm="1">
        <f t="array" ref="U28">_xll.aqBondObjectCleanPrice($N28,$C$4,$O28)</f>
        <v>93.755755858451678</v>
      </c>
      <c r="V28" s="49" cm="1">
        <f t="array" ref="V28">_xll.aqBondObjectDirtyPrice($N28,$C$4,$O28)</f>
        <v>94.534965858451685</v>
      </c>
      <c r="W28" s="18" cm="1">
        <f t="array" ref="W28">_xll.aqBondObjectModifiedDuration($N28,$C$4,$O28)</f>
        <v>5.1925467041781106</v>
      </c>
      <c r="X28" s="93" cm="1">
        <f t="array" ref="X28">_xll.aqBondObjectDV01($N28,$C$4,$O28)</f>
        <v>490.87722539789354</v>
      </c>
    </row>
    <row r="29" spans="2:24">
      <c r="B29" s="11" t="s">
        <v>505</v>
      </c>
      <c r="C29" s="11" t="s">
        <v>506</v>
      </c>
      <c r="D29" s="11" t="s">
        <v>506</v>
      </c>
      <c r="E29" s="12">
        <v>37333</v>
      </c>
      <c r="F29" s="12" t="s">
        <v>318</v>
      </c>
      <c r="G29" s="15" t="str">
        <f t="shared" si="0"/>
        <v/>
      </c>
      <c r="H29" s="12" t="s">
        <v>318</v>
      </c>
      <c r="I29" s="12" t="s">
        <v>318</v>
      </c>
      <c r="J29" s="31">
        <v>0</v>
      </c>
      <c r="K29" s="12">
        <v>45505</v>
      </c>
      <c r="L29" s="89" t="s">
        <v>318</v>
      </c>
      <c r="M29" s="80" t="s">
        <v>282</v>
      </c>
      <c r="N29" s="16" t="str" cm="1">
        <f t="array" ref="N29">_xll.aqBondObjectCreateFromGenerator($C29,$N$4,_xll.aqToolLVBFromKeysValues($C$7:$M$7,$C29:$M29))</f>
        <v>IT0003268817:5</v>
      </c>
      <c r="O29" s="78">
        <v>3.2605814347286044E-2</v>
      </c>
      <c r="P29" s="51">
        <v>83.043899999999994</v>
      </c>
      <c r="Q29" s="17">
        <v>5.6985999999999999</v>
      </c>
      <c r="R29" s="95">
        <v>473.23399999999998</v>
      </c>
      <c r="S29" s="39" cm="1">
        <f t="array" ref="S29">_xll.aqBondObjectYield(N29,$C$4,T29)</f>
        <v>3.2605814347286044E-2</v>
      </c>
      <c r="T29" s="49" cm="1">
        <f t="array" ref="T29">_xll.aqBondObjectPrice($N29,$C$4,$O29)</f>
        <v>83.04387998950034</v>
      </c>
      <c r="U29" s="49" cm="1">
        <f t="array" ref="U29">_xll.aqBondObjectCleanPrice($N29,$C$4,$O29)</f>
        <v>83.04387998950034</v>
      </c>
      <c r="V29" s="49" cm="1">
        <f t="array" ref="V29">_xll.aqBondObjectDirtyPrice($N29,$C$4,$O29)</f>
        <v>83.04387998950034</v>
      </c>
      <c r="W29" s="18" cm="1">
        <f t="array" ref="W29">_xll.aqBondObjectModifiedDuration($N29,$C$4,$O29)</f>
        <v>5.6986022861459382</v>
      </c>
      <c r="X29" s="93" cm="1">
        <f t="array" ref="X29">_xll.aqBondObjectDV01($N29,$C$4,$O29)</f>
        <v>473.23404435859555</v>
      </c>
    </row>
    <row r="30" spans="2:24">
      <c r="B30" s="11" t="s">
        <v>319</v>
      </c>
      <c r="C30" s="11" t="s">
        <v>320</v>
      </c>
      <c r="D30" s="11" t="s">
        <v>320</v>
      </c>
      <c r="E30" s="12">
        <v>41701</v>
      </c>
      <c r="F30" s="12">
        <v>41699</v>
      </c>
      <c r="G30" s="15" t="str">
        <f t="shared" si="0"/>
        <v/>
      </c>
      <c r="H30" s="12">
        <v>41883</v>
      </c>
      <c r="I30" s="12">
        <v>45352</v>
      </c>
      <c r="J30" s="31">
        <v>3.7499999999999999E-2</v>
      </c>
      <c r="K30" s="12">
        <v>45536</v>
      </c>
      <c r="L30" s="89">
        <v>103.1</v>
      </c>
      <c r="M30" s="80" t="s">
        <v>282</v>
      </c>
      <c r="N30" s="16" t="str" cm="1">
        <f t="array" ref="N30">_xll.aqBondObjectCreateFromGenerator($C30,$N$4,_xll.aqToolLVBFromKeysValues($C$7:$M$7,$C30:$M30))</f>
        <v>IT0005001547:5</v>
      </c>
      <c r="O30" s="78">
        <v>3.1936900400330703E-2</v>
      </c>
      <c r="P30" s="51">
        <v>103.0831</v>
      </c>
      <c r="Q30" s="17">
        <v>5.2291999999999996</v>
      </c>
      <c r="R30" s="95">
        <v>541.53679999999997</v>
      </c>
      <c r="S30" s="39" cm="1">
        <f t="array" ref="S30">_xll.aqBondObjectYield(N30,$C$4,T30)</f>
        <v>3.1936900400335588E-2</v>
      </c>
      <c r="T30" s="49" cm="1">
        <f t="array" ref="T30">_xll.aqBondObjectPrice($N30,$C$4,$O30)</f>
        <v>103.08312163008722</v>
      </c>
      <c r="U30" s="49" cm="1">
        <f t="array" ref="U30">_xll.aqBondObjectCleanPrice($N30,$C$4,$O30)</f>
        <v>103.08312163008722</v>
      </c>
      <c r="V30" s="49" cm="1">
        <f t="array" ref="V30">_xll.aqBondObjectDirtyPrice($N30,$C$4,$O30)</f>
        <v>103.55964163008721</v>
      </c>
      <c r="W30" s="18" cm="1">
        <f t="array" ref="W30">_xll.aqBondObjectModifiedDuration($N30,$C$4,$O30)</f>
        <v>5.2292260908180586</v>
      </c>
      <c r="X30" s="93" cm="1">
        <f t="array" ref="X30">_xll.aqBondObjectDV01($N30,$C$4,$O30)</f>
        <v>541.53677996782005</v>
      </c>
    </row>
    <row r="31" spans="2:24">
      <c r="B31" s="11" t="s">
        <v>455</v>
      </c>
      <c r="C31" s="11" t="s">
        <v>456</v>
      </c>
      <c r="D31" s="11" t="s">
        <v>456</v>
      </c>
      <c r="E31" s="12">
        <v>41416</v>
      </c>
      <c r="F31" s="12" t="s">
        <v>318</v>
      </c>
      <c r="G31" s="15" t="str">
        <f t="shared" si="0"/>
        <v/>
      </c>
      <c r="H31" s="12" t="s">
        <v>318</v>
      </c>
      <c r="I31" s="12" t="s">
        <v>318</v>
      </c>
      <c r="J31" s="31">
        <v>0</v>
      </c>
      <c r="K31" s="12">
        <v>45536</v>
      </c>
      <c r="L31" s="89" t="s">
        <v>318</v>
      </c>
      <c r="M31" s="80" t="s">
        <v>282</v>
      </c>
      <c r="N31" s="16" t="str" cm="1">
        <f t="array" ref="N31">_xll.aqBondObjectCreateFromGenerator($C31,$N$4,_xll.aqToolLVBFromKeysValues($C$7:$M$7,$C31:$M31))</f>
        <v>IT0004976442:5</v>
      </c>
      <c r="O31" s="78">
        <v>3.203821058157974E-2</v>
      </c>
      <c r="P31" s="51">
        <v>83.086100000000002</v>
      </c>
      <c r="Q31" s="17">
        <v>5.7811000000000003</v>
      </c>
      <c r="R31" s="95">
        <v>480.32510000000002</v>
      </c>
      <c r="S31" s="39" cm="1">
        <f t="array" ref="S31">_xll.aqBondObjectYield(N31,$C$4,T31)</f>
        <v>3.203821058157974E-2</v>
      </c>
      <c r="T31" s="49" cm="1">
        <f t="array" ref="T31">_xll.aqBondObjectPrice($N31,$C$4,$O31)</f>
        <v>83.086118009817127</v>
      </c>
      <c r="U31" s="49" cm="1">
        <f t="array" ref="U31">_xll.aqBondObjectCleanPrice($N31,$C$4,$O31)</f>
        <v>83.086118009817127</v>
      </c>
      <c r="V31" s="49" cm="1">
        <f t="array" ref="V31">_xll.aqBondObjectDirtyPrice($N31,$C$4,$O31)</f>
        <v>83.086118009817127</v>
      </c>
      <c r="W31" s="18" cm="1">
        <f t="array" ref="W31">_xll.aqBondObjectModifiedDuration($N31,$C$4,$O31)</f>
        <v>5.7810510054685471</v>
      </c>
      <c r="X31" s="93" cm="1">
        <f t="array" ref="X31">_xll.aqBondObjectDV01($N31,$C$4,$O31)</f>
        <v>480.32508606113169</v>
      </c>
    </row>
    <row r="32" spans="2:24">
      <c r="B32" s="11" t="s">
        <v>473</v>
      </c>
      <c r="C32" s="11" t="s">
        <v>474</v>
      </c>
      <c r="D32" s="11" t="s">
        <v>474</v>
      </c>
      <c r="E32" s="12">
        <v>36003</v>
      </c>
      <c r="F32" s="12" t="s">
        <v>318</v>
      </c>
      <c r="G32" s="15" t="str">
        <f t="shared" si="0"/>
        <v/>
      </c>
      <c r="H32" s="12" t="s">
        <v>318</v>
      </c>
      <c r="I32" s="12" t="s">
        <v>318</v>
      </c>
      <c r="J32" s="31">
        <v>0</v>
      </c>
      <c r="K32" s="12">
        <v>45597</v>
      </c>
      <c r="L32" s="89" t="s">
        <v>318</v>
      </c>
      <c r="M32" s="80" t="s">
        <v>282</v>
      </c>
      <c r="N32" s="16" t="str" cm="1">
        <f t="array" ref="N32">_xll.aqBondObjectCreateFromGenerator($C32,$N$4,_xll.aqToolLVBFromKeysValues($C$7:$M$7,$C32:$M32))</f>
        <v>IT0001247342:5</v>
      </c>
      <c r="O32" s="78">
        <v>3.2432730584799563E-2</v>
      </c>
      <c r="P32" s="51">
        <v>82.463200000000001</v>
      </c>
      <c r="Q32" s="17">
        <v>5.9451000000000001</v>
      </c>
      <c r="R32" s="95">
        <v>490.25380000000001</v>
      </c>
      <c r="S32" s="39" cm="1">
        <f t="array" ref="S32">_xll.aqBondObjectYield(N32,$C$4,T32)</f>
        <v>3.2432730584799563E-2</v>
      </c>
      <c r="T32" s="49" cm="1">
        <f t="array" ref="T32">_xll.aqBondObjectPrice($N32,$C$4,$O32)</f>
        <v>82.463211419508013</v>
      </c>
      <c r="U32" s="49" cm="1">
        <f t="array" ref="U32">_xll.aqBondObjectCleanPrice($N32,$C$4,$O32)</f>
        <v>82.463211419508013</v>
      </c>
      <c r="V32" s="49" cm="1">
        <f t="array" ref="V32">_xll.aqBondObjectDirtyPrice($N32,$C$4,$O32)</f>
        <v>82.463211419508013</v>
      </c>
      <c r="W32" s="18" cm="1">
        <f t="array" ref="W32">_xll.aqBondObjectModifiedDuration($N32,$C$4,$O32)</f>
        <v>5.9451218724128987</v>
      </c>
      <c r="X32" s="93" cm="1">
        <f t="array" ref="X32">_xll.aqBondObjectDV01($N32,$C$4,$O32)</f>
        <v>490.25384187952619</v>
      </c>
    </row>
    <row r="33" spans="2:24">
      <c r="B33" s="11" t="s">
        <v>331</v>
      </c>
      <c r="C33" s="11" t="s">
        <v>332</v>
      </c>
      <c r="D33" s="11" t="s">
        <v>332</v>
      </c>
      <c r="E33" s="12">
        <v>41883</v>
      </c>
      <c r="F33" s="12">
        <v>41883</v>
      </c>
      <c r="G33" s="15" t="str">
        <f t="shared" si="0"/>
        <v/>
      </c>
      <c r="H33" s="12">
        <v>41974</v>
      </c>
      <c r="I33" s="12">
        <v>45444</v>
      </c>
      <c r="J33" s="31">
        <v>2.5000000000000001E-2</v>
      </c>
      <c r="K33" s="12">
        <v>45627</v>
      </c>
      <c r="L33" s="89">
        <v>101.14</v>
      </c>
      <c r="M33" s="80" t="s">
        <v>282</v>
      </c>
      <c r="N33" s="16" t="str" cm="1">
        <f t="array" ref="N33">_xll.aqBondObjectCreateFromGenerator($C33,$N$4,_xll.aqToolLVBFromKeysValues($C$7:$M$7,$C33:$M33))</f>
        <v>IT0005045270:5</v>
      </c>
      <c r="O33" s="78">
        <v>3.1286219465221254E-2</v>
      </c>
      <c r="P33" s="51">
        <v>96.643000000000001</v>
      </c>
      <c r="Q33" s="17">
        <v>5.5712000000000002</v>
      </c>
      <c r="R33" s="95">
        <v>543.6644</v>
      </c>
      <c r="S33" s="39" cm="1">
        <f t="array" ref="S33">_xll.aqBondObjectYield(N33,$C$4,T33)</f>
        <v>3.1286219465223475E-2</v>
      </c>
      <c r="T33" s="49" cm="1">
        <f t="array" ref="T33">_xll.aqBondObjectPrice($N33,$C$4,$O33)</f>
        <v>96.643039922840188</v>
      </c>
      <c r="U33" s="49" cm="1">
        <f t="array" ref="U33">_xll.aqBondObjectCleanPrice($N33,$C$4,$O33)</f>
        <v>96.643039922840188</v>
      </c>
      <c r="V33" s="49" cm="1">
        <f t="array" ref="V33">_xll.aqBondObjectDirtyPrice($N33,$C$4,$O33)</f>
        <v>97.585659922840193</v>
      </c>
      <c r="W33" s="18" cm="1">
        <f t="array" ref="W33">_xll.aqBondObjectModifiedDuration($N33,$C$4,$O33)</f>
        <v>5.5711501091854938</v>
      </c>
      <c r="X33" s="93" cm="1">
        <f t="array" ref="X33">_xll.aqBondObjectDV01($N33,$C$4,$O33)</f>
        <v>543.66435993406958</v>
      </c>
    </row>
    <row r="34" spans="2:24">
      <c r="B34" s="11" t="s">
        <v>631</v>
      </c>
      <c r="C34" s="11" t="s">
        <v>632</v>
      </c>
      <c r="D34" s="11" t="s">
        <v>632</v>
      </c>
      <c r="E34" s="12">
        <v>37333</v>
      </c>
      <c r="F34" s="12" t="s">
        <v>318</v>
      </c>
      <c r="G34" s="15" t="str">
        <f t="shared" si="0"/>
        <v/>
      </c>
      <c r="H34" s="12" t="s">
        <v>318</v>
      </c>
      <c r="I34" s="12" t="s">
        <v>318</v>
      </c>
      <c r="J34" s="31">
        <v>0</v>
      </c>
      <c r="K34" s="12">
        <v>45689</v>
      </c>
      <c r="L34" s="89" t="s">
        <v>318</v>
      </c>
      <c r="M34" s="80" t="s">
        <v>282</v>
      </c>
      <c r="N34" s="16" t="str" cm="1">
        <f t="array" ref="N34">_xll.aqBondObjectCreateFromGenerator($C34,$N$4,_xll.aqToolLVBFromKeysValues($C$7:$M$7,$C34:$M34))</f>
        <v>IT0003268825:5</v>
      </c>
      <c r="O34" s="78">
        <v>3.3396617678725704E-2</v>
      </c>
      <c r="P34" s="51">
        <v>81.315100000000001</v>
      </c>
      <c r="Q34" s="17">
        <v>6.1882999999999999</v>
      </c>
      <c r="R34" s="95">
        <v>503.2004</v>
      </c>
      <c r="S34" s="39" cm="1">
        <f t="array" ref="S34">_xll.aqBondObjectYield(N34,$C$4,T34)</f>
        <v>3.3396617678725704E-2</v>
      </c>
      <c r="T34" s="49" cm="1">
        <f t="array" ref="T34">_xll.aqBondObjectPrice($N34,$C$4,$O34)</f>
        <v>81.31512030942632</v>
      </c>
      <c r="U34" s="49" cm="1">
        <f t="array" ref="U34">_xll.aqBondObjectCleanPrice($N34,$C$4,$O34)</f>
        <v>81.31512030942632</v>
      </c>
      <c r="V34" s="49" cm="1">
        <f t="array" ref="V34">_xll.aqBondObjectDirtyPrice($N34,$C$4,$O34)</f>
        <v>81.31512030942632</v>
      </c>
      <c r="W34" s="18" cm="1">
        <f t="array" ref="W34">_xll.aqBondObjectModifiedDuration($N34,$C$4,$O34)</f>
        <v>6.1882757663775392</v>
      </c>
      <c r="X34" s="93" cm="1">
        <f t="array" ref="X34">_xll.aqBondObjectDV01($N34,$C$4,$O34)</f>
        <v>503.20038845089692</v>
      </c>
    </row>
    <row r="35" spans="2:24">
      <c r="B35" s="11" t="s">
        <v>335</v>
      </c>
      <c r="C35" s="11" t="s">
        <v>336</v>
      </c>
      <c r="D35" s="11" t="s">
        <v>336</v>
      </c>
      <c r="E35" s="12">
        <v>40009</v>
      </c>
      <c r="F35" s="12">
        <v>39873</v>
      </c>
      <c r="G35" s="15" t="str">
        <f t="shared" si="0"/>
        <v/>
      </c>
      <c r="H35" s="12">
        <v>40057</v>
      </c>
      <c r="I35" s="12">
        <v>45536</v>
      </c>
      <c r="J35" s="31">
        <v>0.05</v>
      </c>
      <c r="K35" s="12">
        <v>45717</v>
      </c>
      <c r="L35" s="89">
        <v>99.01400000000001</v>
      </c>
      <c r="M35" s="80" t="s">
        <v>282</v>
      </c>
      <c r="N35" s="16" t="str" cm="1">
        <f t="array" ref="N35">_xll.aqBondObjectCreateFromGenerator($C35,$N$4,_xll.aqToolLVBFromKeysValues($C$7:$M$7,$C35:$M35))</f>
        <v>IT0004513641:5</v>
      </c>
      <c r="O35" s="78">
        <v>3.2397230111233632E-2</v>
      </c>
      <c r="P35" s="51">
        <v>110.1999</v>
      </c>
      <c r="Q35" s="17">
        <v>5.4642999999999997</v>
      </c>
      <c r="R35" s="95">
        <v>605.63990000000001</v>
      </c>
      <c r="S35" s="39" cm="1">
        <f t="array" ref="S35">_xll.aqBondObjectYield(N35,$C$4,T35)</f>
        <v>3.2397230111211872E-2</v>
      </c>
      <c r="T35" s="49" cm="1">
        <f t="array" ref="T35">_xll.aqBondObjectPrice($N35,$C$4,$O35)</f>
        <v>110.19988518221103</v>
      </c>
      <c r="U35" s="49" cm="1">
        <f t="array" ref="U35">_xll.aqBondObjectCleanPrice($N35,$C$4,$O35)</f>
        <v>110.19988518221103</v>
      </c>
      <c r="V35" s="49" cm="1">
        <f t="array" ref="V35">_xll.aqBondObjectDirtyPrice($N35,$C$4,$O35)</f>
        <v>110.83524518221104</v>
      </c>
      <c r="W35" s="18" cm="1">
        <f t="array" ref="W35">_xll.aqBondObjectModifiedDuration($N35,$C$4,$O35)</f>
        <v>5.4643255153827015</v>
      </c>
      <c r="X35" s="93" cm="1">
        <f t="array" ref="X35">_xll.aqBondObjectDV01($N35,$C$4,$O35)</f>
        <v>605.6398582528534</v>
      </c>
    </row>
    <row r="36" spans="2:24">
      <c r="B36" s="11" t="s">
        <v>391</v>
      </c>
      <c r="C36" s="11" t="s">
        <v>392</v>
      </c>
      <c r="D36" s="11" t="s">
        <v>392</v>
      </c>
      <c r="E36" s="12">
        <v>41416</v>
      </c>
      <c r="F36" s="12" t="s">
        <v>318</v>
      </c>
      <c r="G36" s="15" t="str">
        <f t="shared" si="0"/>
        <v/>
      </c>
      <c r="H36" s="12" t="s">
        <v>318</v>
      </c>
      <c r="I36" s="12" t="s">
        <v>318</v>
      </c>
      <c r="J36" s="31">
        <v>0</v>
      </c>
      <c r="K36" s="12">
        <v>45717</v>
      </c>
      <c r="L36" s="89" t="s">
        <v>318</v>
      </c>
      <c r="M36" s="80" t="s">
        <v>282</v>
      </c>
      <c r="N36" s="16" t="str" cm="1">
        <f t="array" ref="N36">_xll.aqBondObjectCreateFromGenerator($C36,$N$4,_xll.aqToolLVBFromKeysValues($C$7:$M$7,$C36:$M36))</f>
        <v>IT0004976459:5</v>
      </c>
      <c r="O36" s="78">
        <v>3.4059552274775529E-2</v>
      </c>
      <c r="P36" s="51">
        <v>80.764899999999997</v>
      </c>
      <c r="Q36" s="17">
        <v>6.2671000000000001</v>
      </c>
      <c r="R36" s="95">
        <v>506.16109999999998</v>
      </c>
      <c r="S36" s="39" cm="1">
        <f t="array" ref="S36">_xll.aqBondObjectYield(N36,$C$4,T36)</f>
        <v>3.4059552274775529E-2</v>
      </c>
      <c r="T36" s="49" cm="1">
        <f t="array" ref="T36">_xll.aqBondObjectPrice($N36,$C$4,$O36)</f>
        <v>80.764878162053151</v>
      </c>
      <c r="U36" s="49" cm="1">
        <f t="array" ref="U36">_xll.aqBondObjectCleanPrice($N36,$C$4,$O36)</f>
        <v>80.764878162053151</v>
      </c>
      <c r="V36" s="49" cm="1">
        <f t="array" ref="V36">_xll.aqBondObjectDirtyPrice($N36,$C$4,$O36)</f>
        <v>80.764878162053151</v>
      </c>
      <c r="W36" s="18" cm="1">
        <f t="array" ref="W36">_xll.aqBondObjectModifiedDuration($N36,$C$4,$O36)</f>
        <v>6.2670945750923082</v>
      </c>
      <c r="X36" s="93" cm="1">
        <f t="array" ref="X36">_xll.aqBondObjectDV01($N36,$C$4,$O36)</f>
        <v>506.16112978739454</v>
      </c>
    </row>
    <row r="37" spans="2:24">
      <c r="B37" s="11" t="s">
        <v>519</v>
      </c>
      <c r="C37" s="11" t="s">
        <v>520</v>
      </c>
      <c r="D37" s="11" t="s">
        <v>520</v>
      </c>
      <c r="E37" s="12">
        <v>40450</v>
      </c>
      <c r="F37" s="12" t="s">
        <v>318</v>
      </c>
      <c r="G37" s="15" t="str">
        <f t="shared" si="0"/>
        <v/>
      </c>
      <c r="H37" s="12" t="s">
        <v>318</v>
      </c>
      <c r="I37" s="12" t="s">
        <v>318</v>
      </c>
      <c r="J37" s="31">
        <v>0</v>
      </c>
      <c r="K37" s="12">
        <v>45717</v>
      </c>
      <c r="L37" s="89" t="s">
        <v>318</v>
      </c>
      <c r="M37" s="80" t="s">
        <v>282</v>
      </c>
      <c r="N37" s="16" t="str" cm="1">
        <f t="array" ref="N37">_xll.aqBondObjectCreateFromGenerator($C37,$N$4,_xll.aqToolLVBFromKeysValues($C$7:$M$7,$C37:$M37))</f>
        <v>IT0004534282:5</v>
      </c>
      <c r="O37" s="78">
        <v>3.2699204792207226E-2</v>
      </c>
      <c r="P37" s="51">
        <v>81.445899999999995</v>
      </c>
      <c r="Q37" s="17">
        <v>6.2712000000000003</v>
      </c>
      <c r="R37" s="95">
        <v>510.76510000000002</v>
      </c>
      <c r="S37" s="39" cm="1">
        <f t="array" ref="S37">_xll.aqBondObjectYield(N37,$C$4,T37)</f>
        <v>3.2699204792207226E-2</v>
      </c>
      <c r="T37" s="49" cm="1">
        <f t="array" ref="T37">_xll.aqBondObjectPrice($N37,$C$4,$O37)</f>
        <v>81.44588196491658</v>
      </c>
      <c r="U37" s="49" cm="1">
        <f t="array" ref="U37">_xll.aqBondObjectCleanPrice($N37,$C$4,$O37)</f>
        <v>81.44588196491658</v>
      </c>
      <c r="V37" s="49" cm="1">
        <f t="array" ref="V37">_xll.aqBondObjectDirtyPrice($N37,$C$4,$O37)</f>
        <v>81.44588196491658</v>
      </c>
      <c r="W37" s="18" cm="1">
        <f t="array" ref="W37">_xll.aqBondObjectModifiedDuration($N37,$C$4,$O37)</f>
        <v>6.2712209560154353</v>
      </c>
      <c r="X37" s="93" cm="1">
        <f t="array" ref="X37">_xll.aqBondObjectDV01($N37,$C$4,$O37)</f>
        <v>510.76512175954446</v>
      </c>
    </row>
    <row r="38" spans="2:24">
      <c r="B38" s="11" t="s">
        <v>475</v>
      </c>
      <c r="C38" s="11" t="s">
        <v>476</v>
      </c>
      <c r="D38" s="11" t="s">
        <v>476</v>
      </c>
      <c r="E38" s="12">
        <v>36003</v>
      </c>
      <c r="F38" s="12" t="s">
        <v>318</v>
      </c>
      <c r="G38" s="15" t="str">
        <f t="shared" si="0"/>
        <v/>
      </c>
      <c r="H38" s="12" t="s">
        <v>318</v>
      </c>
      <c r="I38" s="12" t="s">
        <v>318</v>
      </c>
      <c r="J38" s="31">
        <v>0</v>
      </c>
      <c r="K38" s="12">
        <v>45778</v>
      </c>
      <c r="L38" s="89" t="s">
        <v>318</v>
      </c>
      <c r="M38" s="80" t="s">
        <v>282</v>
      </c>
      <c r="N38" s="16" t="str" cm="1">
        <f t="array" ref="N38">_xll.aqBondObjectCreateFromGenerator($C38,$N$4,_xll.aqToolLVBFromKeysValues($C$7:$M$7,$C38:$M38))</f>
        <v>IT0001247359:5</v>
      </c>
      <c r="O38" s="78">
        <v>3.3317052334266739E-2</v>
      </c>
      <c r="P38" s="51">
        <v>80.697100000000006</v>
      </c>
      <c r="Q38" s="17">
        <v>6.4344999999999999</v>
      </c>
      <c r="R38" s="95">
        <v>519.2414</v>
      </c>
      <c r="S38" s="39" cm="1">
        <f t="array" ref="S38">_xll.aqBondObjectYield(N38,$C$4,T38)</f>
        <v>3.3317052334266739E-2</v>
      </c>
      <c r="T38" s="49" cm="1">
        <f t="array" ref="T38">_xll.aqBondObjectPrice($N38,$C$4,$O38)</f>
        <v>80.697088484625255</v>
      </c>
      <c r="U38" s="49" cm="1">
        <f t="array" ref="U38">_xll.aqBondObjectCleanPrice($N38,$C$4,$O38)</f>
        <v>80.697088484625255</v>
      </c>
      <c r="V38" s="49" cm="1">
        <f t="array" ref="V38">_xll.aqBondObjectDirtyPrice($N38,$C$4,$O38)</f>
        <v>80.697088484625255</v>
      </c>
      <c r="W38" s="18" cm="1">
        <f t="array" ref="W38">_xll.aqBondObjectModifiedDuration($N38,$C$4,$O38)</f>
        <v>6.4344506360945593</v>
      </c>
      <c r="X38" s="93" cm="1">
        <f t="array" ref="X38">_xll.aqBondObjectDV01($N38,$C$4,$O38)</f>
        <v>519.24143233087591</v>
      </c>
    </row>
    <row r="39" spans="2:24">
      <c r="B39" s="11" t="s">
        <v>306</v>
      </c>
      <c r="C39" s="11" t="s">
        <v>307</v>
      </c>
      <c r="D39" s="11" t="s">
        <v>307</v>
      </c>
      <c r="E39" s="12">
        <v>42065</v>
      </c>
      <c r="F39" s="12">
        <v>42065</v>
      </c>
      <c r="G39" s="15" t="str">
        <f t="shared" si="0"/>
        <v/>
      </c>
      <c r="H39" s="12">
        <v>42156</v>
      </c>
      <c r="I39" s="12">
        <v>45627</v>
      </c>
      <c r="J39" s="31">
        <v>1.4999999999999999E-2</v>
      </c>
      <c r="K39" s="12">
        <v>45809</v>
      </c>
      <c r="L39" s="89">
        <v>101.4</v>
      </c>
      <c r="M39" s="80" t="s">
        <v>282</v>
      </c>
      <c r="N39" s="16" t="str" cm="1">
        <f t="array" ref="N39">_xll.aqBondObjectCreateFromGenerator($C39,$N$4,_xll.aqToolLVBFromKeysValues($C$7:$M$7,$C39:$M39))</f>
        <v>IT0005090318:5</v>
      </c>
      <c r="O39" s="78">
        <v>3.2102517758118232E-2</v>
      </c>
      <c r="P39" s="51">
        <v>90.001999999999995</v>
      </c>
      <c r="Q39" s="17">
        <v>6.1772999999999998</v>
      </c>
      <c r="R39" s="95">
        <v>559.46199999999999</v>
      </c>
      <c r="S39" s="39" cm="1">
        <f t="array" ref="S39">_xll.aqBondObjectYield(N39,$C$4,T39)</f>
        <v>3.2102517758113791E-2</v>
      </c>
      <c r="T39" s="49" cm="1">
        <f t="array" ref="T39">_xll.aqBondObjectPrice($N39,$C$4,$O39)</f>
        <v>90.002000997294559</v>
      </c>
      <c r="U39" s="49" cm="1">
        <f t="array" ref="U39">_xll.aqBondObjectCleanPrice($N39,$C$4,$O39)</f>
        <v>90.002000997294559</v>
      </c>
      <c r="V39" s="49" cm="1">
        <f t="array" ref="V39">_xll.aqBondObjectDirtyPrice($N39,$C$4,$O39)</f>
        <v>90.567570997294553</v>
      </c>
      <c r="W39" s="18" cm="1">
        <f t="array" ref="W39">_xll.aqBondObjectModifiedDuration($N39,$C$4,$O39)</f>
        <v>6.1772883375998182</v>
      </c>
      <c r="X39" s="93" cm="1">
        <f t="array" ref="X39">_xll.aqBondObjectDV01($N39,$C$4,$O39)</f>
        <v>559.46200008633116</v>
      </c>
    </row>
    <row r="40" spans="2:24">
      <c r="B40" s="11" t="s">
        <v>525</v>
      </c>
      <c r="C40" s="11" t="s">
        <v>526</v>
      </c>
      <c r="D40" s="11" t="s">
        <v>526</v>
      </c>
      <c r="E40" s="12">
        <v>37333</v>
      </c>
      <c r="F40" s="12" t="s">
        <v>318</v>
      </c>
      <c r="G40" s="15" t="str">
        <f t="shared" si="0"/>
        <v/>
      </c>
      <c r="H40" s="12" t="s">
        <v>318</v>
      </c>
      <c r="I40" s="12" t="s">
        <v>318</v>
      </c>
      <c r="J40" s="31">
        <v>0</v>
      </c>
      <c r="K40" s="12">
        <v>45870</v>
      </c>
      <c r="L40" s="89" t="s">
        <v>318</v>
      </c>
      <c r="M40" s="80" t="s">
        <v>282</v>
      </c>
      <c r="N40" s="16" t="str" cm="1">
        <f t="array" ref="N40">_xll.aqBondObjectCreateFromGenerator($C40,$N$4,_xll.aqToolLVBFromKeysValues($C$7:$M$7,$C40:$M40))</f>
        <v>IT0003268833:5</v>
      </c>
      <c r="O40" s="78">
        <v>3.3735217025478104E-2</v>
      </c>
      <c r="P40" s="51">
        <v>79.827100000000002</v>
      </c>
      <c r="Q40" s="17">
        <v>6.6790000000000003</v>
      </c>
      <c r="R40" s="95">
        <v>533.16819999999996</v>
      </c>
      <c r="S40" s="39" cm="1">
        <f t="array" ref="S40">_xll.aqBondObjectYield(N40,$C$4,T40)</f>
        <v>3.3735217025478104E-2</v>
      </c>
      <c r="T40" s="49" cm="1">
        <f t="array" ref="T40">_xll.aqBondObjectPrice($N40,$C$4,$O40)</f>
        <v>79.827119282007772</v>
      </c>
      <c r="U40" s="49" cm="1">
        <f t="array" ref="U40">_xll.aqBondObjectCleanPrice($N40,$C$4,$O40)</f>
        <v>79.827119282007772</v>
      </c>
      <c r="V40" s="49" cm="1">
        <f t="array" ref="V40">_xll.aqBondObjectDirtyPrice($N40,$C$4,$O40)</f>
        <v>79.827119282007772</v>
      </c>
      <c r="W40" s="18" cm="1">
        <f t="array" ref="W40">_xll.aqBondObjectModifiedDuration($N40,$C$4,$O40)</f>
        <v>6.6790359562583257</v>
      </c>
      <c r="X40" s="93" cm="1">
        <f t="array" ref="X40">_xll.aqBondObjectDV01($N40,$C$4,$O40)</f>
        <v>533.16819996905224</v>
      </c>
    </row>
    <row r="41" spans="2:24">
      <c r="B41" s="11" t="s">
        <v>413</v>
      </c>
      <c r="C41" s="11" t="s">
        <v>414</v>
      </c>
      <c r="D41" s="11" t="s">
        <v>414</v>
      </c>
      <c r="E41" s="12">
        <v>41416</v>
      </c>
      <c r="F41" s="12" t="s">
        <v>318</v>
      </c>
      <c r="G41" s="15" t="str">
        <f t="shared" si="0"/>
        <v/>
      </c>
      <c r="H41" s="12" t="s">
        <v>318</v>
      </c>
      <c r="I41" s="12" t="s">
        <v>318</v>
      </c>
      <c r="J41" s="31">
        <v>0</v>
      </c>
      <c r="K41" s="12">
        <v>45901</v>
      </c>
      <c r="L41" s="89" t="s">
        <v>318</v>
      </c>
      <c r="M41" s="80" t="s">
        <v>282</v>
      </c>
      <c r="N41" s="16" t="str" cm="1">
        <f t="array" ref="N41">_xll.aqBondObjectCreateFromGenerator($C41,$N$4,_xll.aqToolLVBFromKeysValues($C$7:$M$7,$C41:$M41))</f>
        <v>IT0004976467:5</v>
      </c>
      <c r="O41" s="78">
        <v>3.4414611232708392E-2</v>
      </c>
      <c r="P41" s="51">
        <v>79.250900000000001</v>
      </c>
      <c r="Q41" s="17">
        <v>6.7576000000000001</v>
      </c>
      <c r="R41" s="95">
        <v>535.54819999999995</v>
      </c>
      <c r="S41" s="39" cm="1">
        <f t="array" ref="S41">_xll.aqBondObjectYield(N41,$C$4,T41)</f>
        <v>3.4414611232708392E-2</v>
      </c>
      <c r="T41" s="49" cm="1">
        <f t="array" ref="T41">_xll.aqBondObjectPrice($N41,$C$4,$O41)</f>
        <v>79.250879216156633</v>
      </c>
      <c r="U41" s="49" cm="1">
        <f t="array" ref="U41">_xll.aqBondObjectCleanPrice($N41,$C$4,$O41)</f>
        <v>79.250879216156633</v>
      </c>
      <c r="V41" s="49" cm="1">
        <f t="array" ref="V41">_xll.aqBondObjectDirtyPrice($N41,$C$4,$O41)</f>
        <v>79.250879216156633</v>
      </c>
      <c r="W41" s="18" cm="1">
        <f t="array" ref="W41">_xll.aqBondObjectModifiedDuration($N41,$C$4,$O41)</f>
        <v>6.7576311374264666</v>
      </c>
      <c r="X41" s="93" cm="1">
        <f t="array" ref="X41">_xll.aqBondObjectDV01($N41,$C$4,$O41)</f>
        <v>535.54820905952408</v>
      </c>
    </row>
    <row r="42" spans="2:24">
      <c r="B42" s="11" t="s">
        <v>441</v>
      </c>
      <c r="C42" s="11" t="s">
        <v>442</v>
      </c>
      <c r="D42" s="11" t="s">
        <v>442</v>
      </c>
      <c r="E42" s="12">
        <v>36003</v>
      </c>
      <c r="F42" s="12" t="s">
        <v>318</v>
      </c>
      <c r="G42" s="15" t="str">
        <f t="shared" si="0"/>
        <v/>
      </c>
      <c r="H42" s="12" t="s">
        <v>318</v>
      </c>
      <c r="I42" s="12" t="s">
        <v>318</v>
      </c>
      <c r="J42" s="31">
        <v>0</v>
      </c>
      <c r="K42" s="12">
        <v>45962</v>
      </c>
      <c r="L42" s="89" t="s">
        <v>318</v>
      </c>
      <c r="M42" s="80" t="s">
        <v>282</v>
      </c>
      <c r="N42" s="16" t="str" cm="1">
        <f t="array" ref="N42">_xll.aqBondObjectCreateFromGenerator($C42,$N$4,_xll.aqToolLVBFromKeysValues($C$7:$M$7,$C42:$M42))</f>
        <v>IT0001247367:5</v>
      </c>
      <c r="O42" s="78">
        <v>3.4011844707460659E-2</v>
      </c>
      <c r="P42" s="51">
        <v>79.003299999999996</v>
      </c>
      <c r="Q42" s="17">
        <v>6.9240000000000004</v>
      </c>
      <c r="R42" s="95">
        <v>547.01880000000006</v>
      </c>
      <c r="S42" s="39" cm="1">
        <f t="array" ref="S42">_xll.aqBondObjectYield(N42,$C$4,T42)</f>
        <v>3.4011844707460659E-2</v>
      </c>
      <c r="T42" s="49" cm="1">
        <f t="array" ref="T42">_xll.aqBondObjectPrice($N42,$C$4,$O42)</f>
        <v>79.003327333816543</v>
      </c>
      <c r="U42" s="49" cm="1">
        <f t="array" ref="U42">_xll.aqBondObjectCleanPrice($N42,$C$4,$O42)</f>
        <v>79.003327333816543</v>
      </c>
      <c r="V42" s="49" cm="1">
        <f t="array" ref="V42">_xll.aqBondObjectDirtyPrice($N42,$C$4,$O42)</f>
        <v>79.003327333816543</v>
      </c>
      <c r="W42" s="18" cm="1">
        <f t="array" ref="W42">_xll.aqBondObjectModifiedDuration($N42,$C$4,$O42)</f>
        <v>6.9239964649809282</v>
      </c>
      <c r="X42" s="93" cm="1">
        <f t="array" ref="X42">_xll.aqBondObjectDV01($N42,$C$4,$O42)</f>
        <v>547.01875918107692</v>
      </c>
    </row>
    <row r="43" spans="2:24">
      <c r="B43" s="11" t="s">
        <v>304</v>
      </c>
      <c r="C43" s="11" t="s">
        <v>305</v>
      </c>
      <c r="D43" s="11" t="s">
        <v>305</v>
      </c>
      <c r="E43" s="12">
        <v>42248</v>
      </c>
      <c r="F43" s="12">
        <v>42248</v>
      </c>
      <c r="G43" s="15" t="str">
        <f t="shared" si="0"/>
        <v/>
      </c>
      <c r="H43" s="12">
        <v>42339</v>
      </c>
      <c r="I43" s="12">
        <v>45809</v>
      </c>
      <c r="J43" s="31">
        <v>0.02</v>
      </c>
      <c r="K43" s="12">
        <v>45992</v>
      </c>
      <c r="L43" s="89">
        <v>100.51</v>
      </c>
      <c r="M43" s="80" t="s">
        <v>282</v>
      </c>
      <c r="N43" s="16" t="str" cm="1">
        <f t="array" ref="N43">_xll.aqBondObjectCreateFromGenerator($C43,$N$4,_xll.aqToolLVBFromKeysValues($C$7:$M$7,$C43:$M43))</f>
        <v>IT0005127086:5</v>
      </c>
      <c r="O43" s="78">
        <v>3.2530580502224682E-2</v>
      </c>
      <c r="P43" s="51">
        <v>92.245000000000005</v>
      </c>
      <c r="Q43" s="17">
        <v>6.4981999999999998</v>
      </c>
      <c r="R43" s="95">
        <v>604.32740000000001</v>
      </c>
      <c r="S43" s="39" cm="1">
        <f t="array" ref="S43">_xll.aqBondObjectYield(N43,$C$4,T43)</f>
        <v>3.2530580502230899E-2</v>
      </c>
      <c r="T43" s="49" cm="1">
        <f t="array" ref="T43">_xll.aqBondObjectPrice($N43,$C$4,$O43)</f>
        <v>92.24500134399409</v>
      </c>
      <c r="U43" s="49" cm="1">
        <f t="array" ref="U43">_xll.aqBondObjectCleanPrice($N43,$C$4,$O43)</f>
        <v>92.24500134399409</v>
      </c>
      <c r="V43" s="49" cm="1">
        <f t="array" ref="V43">_xll.aqBondObjectDirtyPrice($N43,$C$4,$O43)</f>
        <v>92.999101343994084</v>
      </c>
      <c r="W43" s="18" cm="1">
        <f t="array" ref="W43">_xll.aqBondObjectModifiedDuration($N43,$C$4,$O43)</f>
        <v>6.498206951992886</v>
      </c>
      <c r="X43" s="93" cm="1">
        <f t="array" ref="X43">_xll.aqBondObjectDV01($N43,$C$4,$O43)</f>
        <v>604.32740688263334</v>
      </c>
    </row>
    <row r="44" spans="2:24">
      <c r="B44" s="11" t="s">
        <v>491</v>
      </c>
      <c r="C44" s="11" t="s">
        <v>492</v>
      </c>
      <c r="D44" s="11" t="s">
        <v>492</v>
      </c>
      <c r="E44" s="12">
        <v>37333</v>
      </c>
      <c r="F44" s="12" t="s">
        <v>318</v>
      </c>
      <c r="G44" s="15" t="str">
        <f t="shared" si="0"/>
        <v/>
      </c>
      <c r="H44" s="12" t="s">
        <v>318</v>
      </c>
      <c r="I44" s="12" t="s">
        <v>318</v>
      </c>
      <c r="J44" s="31">
        <v>0</v>
      </c>
      <c r="K44" s="12">
        <v>46054</v>
      </c>
      <c r="L44" s="89" t="s">
        <v>318</v>
      </c>
      <c r="M44" s="80" t="s">
        <v>282</v>
      </c>
      <c r="N44" s="16" t="str" cm="1">
        <f t="array" ref="N44">_xll.aqBondObjectCreateFromGenerator($C44,$N$4,_xll.aqToolLVBFromKeysValues($C$7:$M$7,$C44:$M44))</f>
        <v>IT0003268841:5</v>
      </c>
      <c r="O44" s="78">
        <v>3.4692937160419879E-2</v>
      </c>
      <c r="P44" s="51">
        <v>77.978200000000001</v>
      </c>
      <c r="Q44" s="17">
        <v>7.1675000000000004</v>
      </c>
      <c r="R44" s="95">
        <v>558.90830000000005</v>
      </c>
      <c r="S44" s="39" cm="1">
        <f t="array" ref="S44">_xll.aqBondObjectYield(N44,$C$4,T44)</f>
        <v>3.4692937160419879E-2</v>
      </c>
      <c r="T44" s="49" cm="1">
        <f t="array" ref="T44">_xll.aqBondObjectPrice($N44,$C$4,$O44)</f>
        <v>77.978239543212283</v>
      </c>
      <c r="U44" s="49" cm="1">
        <f t="array" ref="U44">_xll.aqBondObjectCleanPrice($N44,$C$4,$O44)</f>
        <v>77.978239543212283</v>
      </c>
      <c r="V44" s="49" cm="1">
        <f t="array" ref="V44">_xll.aqBondObjectDirtyPrice($N44,$C$4,$O44)</f>
        <v>77.978239543212283</v>
      </c>
      <c r="W44" s="18" cm="1">
        <f t="array" ref="W44">_xll.aqBondObjectModifiedDuration($N44,$C$4,$O44)</f>
        <v>7.1674902641594169</v>
      </c>
      <c r="X44" s="93" cm="1">
        <f t="array" ref="X44">_xll.aqBondObjectDV01($N44,$C$4,$O44)</f>
        <v>558.9082727422649</v>
      </c>
    </row>
    <row r="45" spans="2:24">
      <c r="B45" s="11" t="s">
        <v>293</v>
      </c>
      <c r="C45" s="11" t="s">
        <v>294</v>
      </c>
      <c r="D45" s="11" t="s">
        <v>294</v>
      </c>
      <c r="E45" s="12">
        <v>40450</v>
      </c>
      <c r="F45" s="12">
        <v>40422</v>
      </c>
      <c r="G45" s="15" t="str">
        <f t="shared" si="0"/>
        <v/>
      </c>
      <c r="H45" s="12">
        <v>40603</v>
      </c>
      <c r="I45" s="12">
        <v>45901</v>
      </c>
      <c r="J45" s="31">
        <v>4.4999999999999998E-2</v>
      </c>
      <c r="K45" s="12">
        <v>46082</v>
      </c>
      <c r="L45" s="89">
        <v>100.07</v>
      </c>
      <c r="M45" s="80" t="s">
        <v>282</v>
      </c>
      <c r="N45" s="16" t="str" cm="1">
        <f t="array" ref="N45">_xll.aqBondObjectCreateFromGenerator($C45,$N$4,_xll.aqToolLVBFromKeysValues($C$7:$M$7,$C45:$M45))</f>
        <v>IT0004644735:5</v>
      </c>
      <c r="O45" s="78">
        <v>3.3235202523008711E-2</v>
      </c>
      <c r="P45" s="51">
        <v>107.8098</v>
      </c>
      <c r="Q45" s="17">
        <v>6.2651000000000003</v>
      </c>
      <c r="R45" s="95">
        <v>679.02189999999996</v>
      </c>
      <c r="S45" s="39" cm="1">
        <f t="array" ref="S45">_xll.aqBondObjectYield(N45,$C$4,T45)</f>
        <v>3.3235202523012708E-2</v>
      </c>
      <c r="T45" s="49" cm="1">
        <f t="array" ref="T45">_xll.aqBondObjectPrice($N45,$C$4,$O45)</f>
        <v>107.80976290860005</v>
      </c>
      <c r="U45" s="49" cm="1">
        <f t="array" ref="U45">_xll.aqBondObjectCleanPrice($N45,$C$4,$O45)</f>
        <v>107.80976290860005</v>
      </c>
      <c r="V45" s="49" cm="1">
        <f t="array" ref="V45">_xll.aqBondObjectDirtyPrice($N45,$C$4,$O45)</f>
        <v>108.38158290860005</v>
      </c>
      <c r="W45" s="18" cm="1">
        <f t="array" ref="W45">_xll.aqBondObjectModifiedDuration($N45,$C$4,$O45)</f>
        <v>6.2651040931220949</v>
      </c>
      <c r="X45" s="93" cm="1">
        <f t="array" ref="X45">_xll.aqBondObjectDV01($N45,$C$4,$O45)</f>
        <v>679.02189869972187</v>
      </c>
    </row>
    <row r="46" spans="2:24">
      <c r="B46" s="11" t="s">
        <v>547</v>
      </c>
      <c r="C46" s="11" t="s">
        <v>548</v>
      </c>
      <c r="D46" s="11" t="s">
        <v>548</v>
      </c>
      <c r="E46" s="12">
        <v>41416</v>
      </c>
      <c r="F46" s="12" t="s">
        <v>318</v>
      </c>
      <c r="G46" s="15" t="str">
        <f t="shared" si="0"/>
        <v/>
      </c>
      <c r="H46" s="12" t="s">
        <v>318</v>
      </c>
      <c r="I46" s="12" t="s">
        <v>318</v>
      </c>
      <c r="J46" s="31">
        <v>0</v>
      </c>
      <c r="K46" s="12">
        <v>46082</v>
      </c>
      <c r="L46" s="89" t="s">
        <v>318</v>
      </c>
      <c r="M46" s="80" t="s">
        <v>282</v>
      </c>
      <c r="N46" s="16" t="str" cm="1">
        <f t="array" ref="N46">_xll.aqBondObjectCreateFromGenerator($C46,$N$4,_xll.aqToolLVBFromKeysValues($C$7:$M$7,$C46:$M46))</f>
        <v>IT0004976475:5</v>
      </c>
      <c r="O46" s="78">
        <v>3.531856437225267E-2</v>
      </c>
      <c r="P46" s="51">
        <v>77.413799999999995</v>
      </c>
      <c r="Q46" s="17">
        <v>7.2461000000000002</v>
      </c>
      <c r="R46" s="95">
        <v>560.9461</v>
      </c>
      <c r="S46" s="39" cm="1">
        <f t="array" ref="S46">_xll.aqBondObjectYield(N46,$C$4,T46)</f>
        <v>3.531856437225267E-2</v>
      </c>
      <c r="T46" s="49" cm="1">
        <f t="array" ref="T46">_xll.aqBondObjectPrice($N46,$C$4,$O46)</f>
        <v>77.413757941467779</v>
      </c>
      <c r="U46" s="49" cm="1">
        <f t="array" ref="U46">_xll.aqBondObjectCleanPrice($N46,$C$4,$O46)</f>
        <v>77.413757941467779</v>
      </c>
      <c r="V46" s="49" cm="1">
        <f t="array" ref="V46">_xll.aqBondObjectDirtyPrice($N46,$C$4,$O46)</f>
        <v>77.413757941467779</v>
      </c>
      <c r="W46" s="18" cm="1">
        <f t="array" ref="W46">_xll.aqBondObjectModifiedDuration($N46,$C$4,$O46)</f>
        <v>7.2460779644394675</v>
      </c>
      <c r="X46" s="93" cm="1">
        <f t="array" ref="X46">_xll.aqBondObjectDV01($N46,$C$4,$O46)</f>
        <v>560.94612556412051</v>
      </c>
    </row>
    <row r="47" spans="2:24">
      <c r="B47" s="11" t="s">
        <v>619</v>
      </c>
      <c r="C47" s="11" t="s">
        <v>620</v>
      </c>
      <c r="D47" s="11" t="s">
        <v>620</v>
      </c>
      <c r="E47" s="12">
        <v>40422</v>
      </c>
      <c r="F47" s="12" t="s">
        <v>318</v>
      </c>
      <c r="G47" s="15" t="str">
        <f t="shared" si="0"/>
        <v/>
      </c>
      <c r="H47" s="12" t="s">
        <v>318</v>
      </c>
      <c r="I47" s="12" t="s">
        <v>318</v>
      </c>
      <c r="J47" s="31">
        <v>0</v>
      </c>
      <c r="K47" s="12">
        <v>46082</v>
      </c>
      <c r="L47" s="89" t="s">
        <v>318</v>
      </c>
      <c r="M47" s="80" t="s">
        <v>282</v>
      </c>
      <c r="N47" s="16" t="str" cm="1">
        <f t="array" ref="N47">_xll.aqBondObjectCreateFromGenerator($C47,$N$4,_xll.aqToolLVBFromKeysValues($C$7:$M$7,$C47:$M47))</f>
        <v>IT0004848773:5</v>
      </c>
      <c r="O47" s="78">
        <v>3.4057568542764205E-2</v>
      </c>
      <c r="P47" s="51">
        <v>78.112799999999993</v>
      </c>
      <c r="Q47" s="17">
        <v>7.2504999999999997</v>
      </c>
      <c r="R47" s="95">
        <v>566.35619999999994</v>
      </c>
      <c r="S47" s="39" cm="1">
        <f t="array" ref="S47">_xll.aqBondObjectYield(N47,$C$4,T47)</f>
        <v>3.4057568542764205E-2</v>
      </c>
      <c r="T47" s="49" cm="1">
        <f t="array" ref="T47">_xll.aqBondObjectPrice($N47,$C$4,$O47)</f>
        <v>78.112764334119419</v>
      </c>
      <c r="U47" s="49" cm="1">
        <f t="array" ref="U47">_xll.aqBondObjectCleanPrice($N47,$C$4,$O47)</f>
        <v>78.112764334119419</v>
      </c>
      <c r="V47" s="49" cm="1">
        <f t="array" ref="V47">_xll.aqBondObjectDirtyPrice($N47,$C$4,$O47)</f>
        <v>78.112764334119419</v>
      </c>
      <c r="W47" s="18" cm="1">
        <f t="array" ref="W47">_xll.aqBondObjectModifiedDuration($N47,$C$4,$O47)</f>
        <v>7.2504947833983513</v>
      </c>
      <c r="X47" s="93" cm="1">
        <f t="array" ref="X47">_xll.aqBondObjectDV01($N47,$C$4,$O47)</f>
        <v>566.35619032135764</v>
      </c>
    </row>
    <row r="48" spans="2:24">
      <c r="B48" s="11" t="s">
        <v>411</v>
      </c>
      <c r="C48" s="11" t="s">
        <v>412</v>
      </c>
      <c r="D48" s="11" t="s">
        <v>412</v>
      </c>
      <c r="E48" s="12">
        <v>36003</v>
      </c>
      <c r="F48" s="12" t="s">
        <v>318</v>
      </c>
      <c r="G48" s="15" t="str">
        <f t="shared" si="0"/>
        <v/>
      </c>
      <c r="H48" s="12" t="s">
        <v>318</v>
      </c>
      <c r="I48" s="12" t="s">
        <v>318</v>
      </c>
      <c r="J48" s="31">
        <v>0</v>
      </c>
      <c r="K48" s="12">
        <v>46143</v>
      </c>
      <c r="L48" s="89" t="s">
        <v>318</v>
      </c>
      <c r="M48" s="80" t="s">
        <v>282</v>
      </c>
      <c r="N48" s="16" t="str" cm="1">
        <f t="array" ref="N48">_xll.aqBondObjectCreateFromGenerator($C48,$N$4,_xll.aqToolLVBFromKeysValues($C$7:$M$7,$C48:$M48))</f>
        <v>IT0001247375:5</v>
      </c>
      <c r="O48" s="78">
        <v>3.4508251112971289E-2</v>
      </c>
      <c r="P48" s="51">
        <v>77.405000000000001</v>
      </c>
      <c r="Q48" s="17">
        <v>7.4138999999999999</v>
      </c>
      <c r="R48" s="95">
        <v>573.87469999999996</v>
      </c>
      <c r="S48" s="39" cm="1">
        <f t="array" ref="S48">_xll.aqBondObjectYield(N48,$C$4,T48)</f>
        <v>3.4508251112971289E-2</v>
      </c>
      <c r="T48" s="49" cm="1">
        <f t="array" ref="T48">_xll.aqBondObjectPrice($N48,$C$4,$O48)</f>
        <v>77.404976642861172</v>
      </c>
      <c r="U48" s="49" cm="1">
        <f t="array" ref="U48">_xll.aqBondObjectCleanPrice($N48,$C$4,$O48)</f>
        <v>77.404976642861172</v>
      </c>
      <c r="V48" s="49" cm="1">
        <f t="array" ref="V48">_xll.aqBondObjectDirtyPrice($N48,$C$4,$O48)</f>
        <v>77.404976642861172</v>
      </c>
      <c r="W48" s="18" cm="1">
        <f t="array" ref="W48">_xll.aqBondObjectModifiedDuration($N48,$C$4,$O48)</f>
        <v>7.4139250168570197</v>
      </c>
      <c r="X48" s="93" cm="1">
        <f t="array" ref="X48">_xll.aqBondObjectDV01($N48,$C$4,$O48)</f>
        <v>573.8746927617417</v>
      </c>
    </row>
    <row r="49" spans="2:24">
      <c r="B49" s="11" t="s">
        <v>291</v>
      </c>
      <c r="C49" s="11" t="s">
        <v>292</v>
      </c>
      <c r="D49" s="11" t="s">
        <v>292</v>
      </c>
      <c r="E49" s="12">
        <v>42430</v>
      </c>
      <c r="F49" s="12">
        <v>42430</v>
      </c>
      <c r="G49" s="15" t="str">
        <f t="shared" si="0"/>
        <v/>
      </c>
      <c r="H49" s="12">
        <v>42522</v>
      </c>
      <c r="I49" s="12">
        <v>45992</v>
      </c>
      <c r="J49" s="31">
        <v>1.6E-2</v>
      </c>
      <c r="K49" s="12">
        <v>46174</v>
      </c>
      <c r="L49" s="89">
        <v>100.97</v>
      </c>
      <c r="M49" s="80" t="s">
        <v>282</v>
      </c>
      <c r="N49" s="16" t="str" cm="1">
        <f t="array" ref="N49">_xll.aqBondObjectCreateFromGenerator($C49,$N$4,_xll.aqToolLVBFromKeysValues($C$7:$M$7,$C49:$M49))</f>
        <v>IT0005170839:5</v>
      </c>
      <c r="O49" s="78">
        <v>3.2251034152013247E-2</v>
      </c>
      <c r="P49" s="51">
        <v>89.254000000000005</v>
      </c>
      <c r="Q49" s="17">
        <v>7.0212000000000003</v>
      </c>
      <c r="R49" s="95">
        <v>630.90560000000005</v>
      </c>
      <c r="S49" s="39" cm="1">
        <f t="array" ref="S49">_xll.aqBondObjectYield(N49,$C$4,T49)</f>
        <v>3.2251034151980162E-2</v>
      </c>
      <c r="T49" s="49" cm="1">
        <f t="array" ref="T49">_xll.aqBondObjectPrice($N49,$C$4,$O49)</f>
        <v>89.254001060344692</v>
      </c>
      <c r="U49" s="49" cm="1">
        <f t="array" ref="U49">_xll.aqBondObjectCleanPrice($N49,$C$4,$O49)</f>
        <v>89.254001060344692</v>
      </c>
      <c r="V49" s="49" cm="1">
        <f t="array" ref="V49">_xll.aqBondObjectDirtyPrice($N49,$C$4,$O49)</f>
        <v>89.85728106034469</v>
      </c>
      <c r="W49" s="18" cm="1">
        <f t="array" ref="W49">_xll.aqBondObjectModifiedDuration($N49,$C$4,$O49)</f>
        <v>7.0211959549467995</v>
      </c>
      <c r="X49" s="93" cm="1">
        <f t="array" ref="X49">_xll.aqBondObjectDV01($N49,$C$4,$O49)</f>
        <v>630.90557830340981</v>
      </c>
    </row>
    <row r="50" spans="2:24">
      <c r="B50" s="11" t="s">
        <v>613</v>
      </c>
      <c r="C50" s="11" t="s">
        <v>614</v>
      </c>
      <c r="D50" s="11" t="s">
        <v>614</v>
      </c>
      <c r="E50" s="12">
        <v>37333</v>
      </c>
      <c r="F50" s="12" t="s">
        <v>318</v>
      </c>
      <c r="G50" s="15" t="str">
        <f t="shared" si="0"/>
        <v/>
      </c>
      <c r="H50" s="12" t="s">
        <v>318</v>
      </c>
      <c r="I50" s="12" t="s">
        <v>318</v>
      </c>
      <c r="J50" s="31">
        <v>0</v>
      </c>
      <c r="K50" s="12">
        <v>46235</v>
      </c>
      <c r="L50" s="89" t="s">
        <v>318</v>
      </c>
      <c r="M50" s="80" t="s">
        <v>282</v>
      </c>
      <c r="N50" s="16" t="str" cm="1">
        <f t="array" ref="N50">_xll.aqBondObjectCreateFromGenerator($C50,$N$4,_xll.aqToolLVBFromKeysValues($C$7:$M$7,$C50:$M50))</f>
        <v>IT0003268858:5</v>
      </c>
      <c r="O50" s="78">
        <v>3.5091106541994765E-2</v>
      </c>
      <c r="P50" s="51">
        <v>76.423000000000002</v>
      </c>
      <c r="Q50" s="17">
        <v>7.6576000000000004</v>
      </c>
      <c r="R50" s="95">
        <v>585.21389999999997</v>
      </c>
      <c r="S50" s="39" cm="1">
        <f t="array" ref="S50">_xll.aqBondObjectYield(N50,$C$4,T50)</f>
        <v>3.5091106541994765E-2</v>
      </c>
      <c r="T50" s="49" cm="1">
        <f t="array" ref="T50">_xll.aqBondObjectPrice($N50,$C$4,$O50)</f>
        <v>76.422999973617195</v>
      </c>
      <c r="U50" s="49" cm="1">
        <f t="array" ref="U50">_xll.aqBondObjectCleanPrice($N50,$C$4,$O50)</f>
        <v>76.422999973617195</v>
      </c>
      <c r="V50" s="49" cm="1">
        <f t="array" ref="V50">_xll.aqBondObjectDirtyPrice($N50,$C$4,$O50)</f>
        <v>76.422999973617195</v>
      </c>
      <c r="W50" s="18" cm="1">
        <f t="array" ref="W50">_xll.aqBondObjectModifiedDuration($N50,$C$4,$O50)</f>
        <v>7.6575631267434696</v>
      </c>
      <c r="X50" s="93" cm="1">
        <f t="array" ref="X50">_xll.aqBondObjectDV01($N50,$C$4,$O50)</f>
        <v>585.2139466330882</v>
      </c>
    </row>
    <row r="51" spans="2:24">
      <c r="B51" s="11" t="s">
        <v>681</v>
      </c>
      <c r="C51" s="11" t="s">
        <v>682</v>
      </c>
      <c r="D51" s="11" t="s">
        <v>682</v>
      </c>
      <c r="E51" s="12">
        <v>40617</v>
      </c>
      <c r="F51" s="12" t="s">
        <v>318</v>
      </c>
      <c r="G51" s="15" t="str">
        <f t="shared" si="0"/>
        <v/>
      </c>
      <c r="H51" s="12" t="s">
        <v>318</v>
      </c>
      <c r="I51" s="12" t="s">
        <v>318</v>
      </c>
      <c r="J51" s="31">
        <v>0</v>
      </c>
      <c r="K51" s="12">
        <v>46280</v>
      </c>
      <c r="L51" s="89" t="s">
        <v>318</v>
      </c>
      <c r="M51" s="80" t="s">
        <v>282</v>
      </c>
      <c r="N51" s="16" t="str" cm="1">
        <f t="array" ref="N51">_xll.aqBondObjectCreateFromGenerator($C51,$N$4,_xll.aqToolLVBFromKeysValues($C$7:$M$7,$C51:$M51))</f>
        <v>IT0004967904:5</v>
      </c>
      <c r="O51" s="78">
        <v>3.4556797734348832E-2</v>
      </c>
      <c r="P51" s="51">
        <v>76.430800000000005</v>
      </c>
      <c r="Q51" s="17">
        <v>7.7782999999999998</v>
      </c>
      <c r="R51" s="95">
        <v>594.505</v>
      </c>
      <c r="S51" s="39" cm="1">
        <f t="array" ref="S51">_xll.aqBondObjectYield(N51,$C$4,T51)</f>
        <v>3.4556797734348832E-2</v>
      </c>
      <c r="T51" s="49" cm="1">
        <f t="array" ref="T51">_xll.aqBondObjectPrice($N51,$C$4,$O51)</f>
        <v>76.430766073129462</v>
      </c>
      <c r="U51" s="49" cm="1">
        <f t="array" ref="U51">_xll.aqBondObjectCleanPrice($N51,$C$4,$O51)</f>
        <v>76.430766073129462</v>
      </c>
      <c r="V51" s="49" cm="1">
        <f t="array" ref="V51">_xll.aqBondObjectDirtyPrice($N51,$C$4,$O51)</f>
        <v>76.430766073129462</v>
      </c>
      <c r="W51" s="18" cm="1">
        <f t="array" ref="W51">_xll.aqBondObjectModifiedDuration($N51,$C$4,$O51)</f>
        <v>7.7783462873197777</v>
      </c>
      <c r="X51" s="93" cm="1">
        <f t="array" ref="X51">_xll.aqBondObjectDV01($N51,$C$4,$O51)</f>
        <v>594.50496552193295</v>
      </c>
    </row>
    <row r="52" spans="2:24">
      <c r="B52" s="11" t="s">
        <v>337</v>
      </c>
      <c r="C52" s="11" t="s">
        <v>338</v>
      </c>
      <c r="D52" s="11" t="s">
        <v>338</v>
      </c>
      <c r="E52" s="12">
        <v>35464</v>
      </c>
      <c r="F52" s="12">
        <v>35370</v>
      </c>
      <c r="G52" s="15" t="str">
        <f t="shared" si="0"/>
        <v/>
      </c>
      <c r="H52" s="12">
        <v>35551</v>
      </c>
      <c r="I52" s="12">
        <v>46143</v>
      </c>
      <c r="J52" s="31">
        <v>7.2499999999999995E-2</v>
      </c>
      <c r="K52" s="12">
        <v>46327</v>
      </c>
      <c r="L52" s="89">
        <v>99.45</v>
      </c>
      <c r="M52" s="80" t="s">
        <v>282</v>
      </c>
      <c r="N52" s="16" t="str" cm="1">
        <f t="array" ref="N52">_xll.aqBondObjectCreateFromGenerator($C52,$N$4,_xll.aqToolLVBFromKeysValues($C$7:$M$7,$C52:$M52))</f>
        <v>IT0001086567:5</v>
      </c>
      <c r="O52" s="78">
        <v>3.426601609570934E-2</v>
      </c>
      <c r="P52" s="51">
        <v>126.8897</v>
      </c>
      <c r="Q52" s="17">
        <v>6.1943999999999999</v>
      </c>
      <c r="R52" s="95">
        <v>806.62459999999999</v>
      </c>
      <c r="S52" s="39" cm="1">
        <f t="array" ref="S52">_xll.aqBondObjectYield(N52,$C$4,T52)</f>
        <v>3.426601609570934E-2</v>
      </c>
      <c r="T52" s="49" cm="1">
        <f t="array" ref="T52">_xll.aqBondObjectPrice($N52,$C$4,$O52)</f>
        <v>126.88974611184234</v>
      </c>
      <c r="U52" s="49" cm="1">
        <f t="array" ref="U52">_xll.aqBondObjectCleanPrice($N52,$C$4,$O52)</f>
        <v>126.88974611184234</v>
      </c>
      <c r="V52" s="49" cm="1">
        <f t="array" ref="V52">_xll.aqBondObjectDirtyPrice($N52,$C$4,$O52)</f>
        <v>130.21922611184235</v>
      </c>
      <c r="W52" s="18" cm="1">
        <f t="array" ref="W52">_xll.aqBondObjectModifiedDuration($N52,$C$4,$O52)</f>
        <v>6.1943587566386542</v>
      </c>
      <c r="X52" s="93" cm="1">
        <f t="array" ref="X52">_xll.aqBondObjectDV01($N52,$C$4,$O52)</f>
        <v>806.62460354859957</v>
      </c>
    </row>
    <row r="53" spans="2:24">
      <c r="B53" s="11" t="s">
        <v>365</v>
      </c>
      <c r="C53" s="11" t="s">
        <v>366</v>
      </c>
      <c r="D53" s="11" t="s">
        <v>366</v>
      </c>
      <c r="E53" s="12">
        <v>36003</v>
      </c>
      <c r="F53" s="12" t="s">
        <v>318</v>
      </c>
      <c r="G53" s="15" t="str">
        <f t="shared" si="0"/>
        <v/>
      </c>
      <c r="H53" s="12" t="s">
        <v>318</v>
      </c>
      <c r="I53" s="12" t="s">
        <v>318</v>
      </c>
      <c r="J53" s="31">
        <v>0</v>
      </c>
      <c r="K53" s="12">
        <v>46327</v>
      </c>
      <c r="L53" s="89" t="s">
        <v>318</v>
      </c>
      <c r="M53" s="80" t="s">
        <v>282</v>
      </c>
      <c r="N53" s="16" t="str" cm="1">
        <f t="array" ref="N53">_xll.aqBondObjectCreateFromGenerator($C53,$N$4,_xll.aqToolLVBFromKeysValues($C$7:$M$7,$C53:$M53))</f>
        <v>IT0004848443:5</v>
      </c>
      <c r="O53" s="78">
        <v>3.5262540921443319E-2</v>
      </c>
      <c r="P53" s="51">
        <v>75.6721</v>
      </c>
      <c r="Q53" s="17">
        <v>7.9025999999999996</v>
      </c>
      <c r="R53" s="95">
        <v>598.00890000000004</v>
      </c>
      <c r="S53" s="39" cm="1">
        <f t="array" ref="S53">_xll.aqBondObjectYield(N53,$C$4,T53)</f>
        <v>3.5262540921443319E-2</v>
      </c>
      <c r="T53" s="49" cm="1">
        <f t="array" ref="T53">_xll.aqBondObjectPrice($N53,$C$4,$O53)</f>
        <v>75.672096159375329</v>
      </c>
      <c r="U53" s="49" cm="1">
        <f t="array" ref="U53">_xll.aqBondObjectCleanPrice($N53,$C$4,$O53)</f>
        <v>75.672096159375329</v>
      </c>
      <c r="V53" s="49" cm="1">
        <f t="array" ref="V53">_xll.aqBondObjectDirtyPrice($N53,$C$4,$O53)</f>
        <v>75.672096159375329</v>
      </c>
      <c r="W53" s="18" cm="1">
        <f t="array" ref="W53">_xll.aqBondObjectModifiedDuration($N53,$C$4,$O53)</f>
        <v>7.9026345055308251</v>
      </c>
      <c r="X53" s="93" cm="1">
        <f t="array" ref="X53">_xll.aqBondObjectDV01($N53,$C$4,$O53)</f>
        <v>598.0089182149261</v>
      </c>
    </row>
    <row r="54" spans="2:24">
      <c r="B54" s="11" t="s">
        <v>575</v>
      </c>
      <c r="C54" s="11" t="s">
        <v>576</v>
      </c>
      <c r="D54" s="11" t="s">
        <v>576</v>
      </c>
      <c r="E54" s="12">
        <v>36003</v>
      </c>
      <c r="F54" s="12" t="s">
        <v>318</v>
      </c>
      <c r="G54" s="15" t="str">
        <f t="shared" si="0"/>
        <v/>
      </c>
      <c r="H54" s="12" t="s">
        <v>318</v>
      </c>
      <c r="I54" s="12" t="s">
        <v>318</v>
      </c>
      <c r="J54" s="31">
        <v>0</v>
      </c>
      <c r="K54" s="12">
        <v>46327</v>
      </c>
      <c r="L54" s="89" t="s">
        <v>318</v>
      </c>
      <c r="M54" s="80" t="s">
        <v>282</v>
      </c>
      <c r="N54" s="16" t="str" cm="1">
        <f t="array" ref="N54">_xll.aqBondObjectCreateFromGenerator($C54,$N$4,_xll.aqToolLVBFromKeysValues($C$7:$M$7,$C54:$M54))</f>
        <v>IT0001246807:5</v>
      </c>
      <c r="O54" s="78">
        <v>3.3037512617222209E-2</v>
      </c>
      <c r="P54" s="51">
        <v>76.993099999999998</v>
      </c>
      <c r="Q54" s="17">
        <v>7.9111000000000002</v>
      </c>
      <c r="R54" s="95">
        <v>609.10350000000005</v>
      </c>
      <c r="S54" s="39" cm="1">
        <f t="array" ref="S54">_xll.aqBondObjectYield(N54,$C$4,T54)</f>
        <v>3.3037512617222209E-2</v>
      </c>
      <c r="T54" s="49" cm="1">
        <f t="array" ref="T54">_xll.aqBondObjectPrice($N54,$C$4,$O54)</f>
        <v>76.993137483454106</v>
      </c>
      <c r="U54" s="49" cm="1">
        <f t="array" ref="U54">_xll.aqBondObjectCleanPrice($N54,$C$4,$O54)</f>
        <v>76.993137483454106</v>
      </c>
      <c r="V54" s="49" cm="1">
        <f t="array" ref="V54">_xll.aqBondObjectDirtyPrice($N54,$C$4,$O54)</f>
        <v>76.993137483454106</v>
      </c>
      <c r="W54" s="18" cm="1">
        <f t="array" ref="W54">_xll.aqBondObjectModifiedDuration($N54,$C$4,$O54)</f>
        <v>7.9111405506804715</v>
      </c>
      <c r="X54" s="93" cm="1">
        <f t="array" ref="X54">_xll.aqBondObjectDV01($N54,$C$4,$O54)</f>
        <v>609.10353206947036</v>
      </c>
    </row>
    <row r="55" spans="2:24">
      <c r="B55" s="11" t="s">
        <v>593</v>
      </c>
      <c r="C55" s="11" t="s">
        <v>594</v>
      </c>
      <c r="D55" s="11" t="s">
        <v>594</v>
      </c>
      <c r="E55" s="12">
        <v>36003</v>
      </c>
      <c r="F55" s="12" t="s">
        <v>318</v>
      </c>
      <c r="G55" s="15" t="str">
        <f t="shared" si="0"/>
        <v/>
      </c>
      <c r="H55" s="12" t="s">
        <v>318</v>
      </c>
      <c r="I55" s="12" t="s">
        <v>318</v>
      </c>
      <c r="J55" s="31">
        <v>0</v>
      </c>
      <c r="K55" s="12">
        <v>46327</v>
      </c>
      <c r="L55" s="89" t="s">
        <v>318</v>
      </c>
      <c r="M55" s="80" t="s">
        <v>282</v>
      </c>
      <c r="N55" s="16" t="str" cm="1">
        <f t="array" ref="N55">_xll.aqBondObjectCreateFromGenerator($C55,$N$4,_xll.aqToolLVBFromKeysValues($C$7:$M$7,$C55:$M55))</f>
        <v>IT0001247383:5</v>
      </c>
      <c r="O55" s="78">
        <v>3.4579147140774591E-2</v>
      </c>
      <c r="P55" s="51">
        <v>76.075100000000006</v>
      </c>
      <c r="Q55" s="17">
        <v>7.9051999999999998</v>
      </c>
      <c r="R55" s="95">
        <v>601.39229999999998</v>
      </c>
      <c r="S55" s="39" cm="1">
        <f t="array" ref="S55">_xll.aqBondObjectYield(N55,$C$4,T55)</f>
        <v>3.4579147140774591E-2</v>
      </c>
      <c r="T55" s="49" cm="1">
        <f t="array" ref="T55">_xll.aqBondObjectPrice($N55,$C$4,$O55)</f>
        <v>76.075108662023553</v>
      </c>
      <c r="U55" s="49" cm="1">
        <f t="array" ref="U55">_xll.aqBondObjectCleanPrice($N55,$C$4,$O55)</f>
        <v>76.075108662023553</v>
      </c>
      <c r="V55" s="49" cm="1">
        <f t="array" ref="V55">_xll.aqBondObjectDirtyPrice($N55,$C$4,$O55)</f>
        <v>76.075108662023553</v>
      </c>
      <c r="W55" s="18" cm="1">
        <f t="array" ref="W55">_xll.aqBondObjectModifiedDuration($N55,$C$4,$O55)</f>
        <v>7.905244126909043</v>
      </c>
      <c r="X55" s="93" cm="1">
        <f t="array" ref="X55">_xll.aqBondObjectDV01($N55,$C$4,$O55)</f>
        <v>601.39230595442893</v>
      </c>
    </row>
    <row r="56" spans="2:24">
      <c r="B56" s="11" t="s">
        <v>283</v>
      </c>
      <c r="C56" s="11" t="s">
        <v>284</v>
      </c>
      <c r="D56" s="11" t="s">
        <v>284</v>
      </c>
      <c r="E56" s="12">
        <v>42583</v>
      </c>
      <c r="F56" s="12">
        <v>42583</v>
      </c>
      <c r="G56" s="15" t="str">
        <f t="shared" si="0"/>
        <v/>
      </c>
      <c r="H56" s="12">
        <v>42705</v>
      </c>
      <c r="I56" s="12">
        <v>46174</v>
      </c>
      <c r="J56" s="31">
        <v>1.2500000000000001E-2</v>
      </c>
      <c r="K56" s="12">
        <v>46357</v>
      </c>
      <c r="L56" s="89">
        <v>100.18</v>
      </c>
      <c r="M56" s="80" t="s">
        <v>282</v>
      </c>
      <c r="N56" s="16" t="str" cm="1">
        <f t="array" ref="N56">_xll.aqBondObjectCreateFromGenerator($C56,$N$4,_xll.aqToolLVBFromKeysValues($C$7:$M$7,$C56:$M56))</f>
        <v>IT0005210650:5</v>
      </c>
      <c r="O56" s="78">
        <v>3.181555354907073E-2</v>
      </c>
      <c r="P56" s="51">
        <v>86.430999999999997</v>
      </c>
      <c r="Q56" s="17">
        <v>7.5579000000000001</v>
      </c>
      <c r="R56" s="95">
        <v>656.79470000000003</v>
      </c>
      <c r="S56" s="39" cm="1">
        <f t="array" ref="S56">_xll.aqBondObjectYield(N56,$C$4,T56)</f>
        <v>3.181555354907073E-2</v>
      </c>
      <c r="T56" s="49" cm="1">
        <f t="array" ref="T56">_xll.aqBondObjectPrice($N56,$C$4,$O56)</f>
        <v>86.431000809285777</v>
      </c>
      <c r="U56" s="49" cm="1">
        <f t="array" ref="U56">_xll.aqBondObjectCleanPrice($N56,$C$4,$O56)</f>
        <v>86.431000809285777</v>
      </c>
      <c r="V56" s="49" cm="1">
        <f t="array" ref="V56">_xll.aqBondObjectDirtyPrice($N56,$C$4,$O56)</f>
        <v>86.90231080928578</v>
      </c>
      <c r="W56" s="18" cm="1">
        <f t="array" ref="W56">_xll.aqBondObjectModifiedDuration($N56,$C$4,$O56)</f>
        <v>7.5578510895896702</v>
      </c>
      <c r="X56" s="93" cm="1">
        <f t="array" ref="X56">_xll.aqBondObjectDV01($N56,$C$4,$O56)</f>
        <v>656.79472443782072</v>
      </c>
    </row>
    <row r="57" spans="2:24">
      <c r="B57" s="11" t="s">
        <v>459</v>
      </c>
      <c r="C57" s="11" t="s">
        <v>460</v>
      </c>
      <c r="D57" s="11" t="s">
        <v>460</v>
      </c>
      <c r="E57" s="12">
        <v>37333</v>
      </c>
      <c r="F57" s="12" t="s">
        <v>318</v>
      </c>
      <c r="G57" s="15" t="str">
        <f t="shared" si="0"/>
        <v/>
      </c>
      <c r="H57" s="12" t="s">
        <v>318</v>
      </c>
      <c r="I57" s="12" t="s">
        <v>318</v>
      </c>
      <c r="J57" s="31">
        <v>0</v>
      </c>
      <c r="K57" s="12">
        <v>46419</v>
      </c>
      <c r="L57" s="89" t="s">
        <v>318</v>
      </c>
      <c r="M57" s="80" t="s">
        <v>282</v>
      </c>
      <c r="N57" s="16" t="str" cm="1">
        <f t="array" ref="N57">_xll.aqBondObjectCreateFromGenerator($C57,$N$4,_xll.aqToolLVBFromKeysValues($C$7:$M$7,$C57:$M57))</f>
        <v>IT0003268874:5</v>
      </c>
      <c r="O57" s="78">
        <v>3.5593233402575253E-2</v>
      </c>
      <c r="P57" s="51">
        <v>74.828999999999994</v>
      </c>
      <c r="Q57" s="17">
        <v>8.1470000000000002</v>
      </c>
      <c r="R57" s="95">
        <v>609.63480000000004</v>
      </c>
      <c r="S57" s="39" cm="1">
        <f t="array" ref="S57">_xll.aqBondObjectYield(N57,$C$4,T57)</f>
        <v>3.5593233402575253E-2</v>
      </c>
      <c r="T57" s="49" cm="1">
        <f t="array" ref="T57">_xll.aqBondObjectPrice($N57,$C$4,$O57)</f>
        <v>74.828999956432881</v>
      </c>
      <c r="U57" s="49" cm="1">
        <f t="array" ref="U57">_xll.aqBondObjectCleanPrice($N57,$C$4,$O57)</f>
        <v>74.828999956432881</v>
      </c>
      <c r="V57" s="49" cm="1">
        <f t="array" ref="V57">_xll.aqBondObjectDirtyPrice($N57,$C$4,$O57)</f>
        <v>74.828999956432881</v>
      </c>
      <c r="W57" s="18" cm="1">
        <f t="array" ref="W57">_xll.aqBondObjectModifiedDuration($N57,$C$4,$O57)</f>
        <v>8.1470388431638323</v>
      </c>
      <c r="X57" s="93" cm="1">
        <f t="array" ref="X57">_xll.aqBondObjectDV01($N57,$C$4,$O57)</f>
        <v>609.63476924016334</v>
      </c>
    </row>
    <row r="58" spans="2:24">
      <c r="B58" s="11" t="s">
        <v>517</v>
      </c>
      <c r="C58" s="11" t="s">
        <v>518</v>
      </c>
      <c r="D58" s="11" t="s">
        <v>518</v>
      </c>
      <c r="E58" s="12">
        <v>41416</v>
      </c>
      <c r="F58" s="12" t="s">
        <v>318</v>
      </c>
      <c r="G58" s="15" t="str">
        <f t="shared" si="0"/>
        <v/>
      </c>
      <c r="H58" s="12" t="s">
        <v>318</v>
      </c>
      <c r="I58" s="12" t="s">
        <v>318</v>
      </c>
      <c r="J58" s="31">
        <v>0</v>
      </c>
      <c r="K58" s="12">
        <v>46447</v>
      </c>
      <c r="L58" s="89" t="s">
        <v>318</v>
      </c>
      <c r="M58" s="80" t="s">
        <v>282</v>
      </c>
      <c r="N58" s="16" t="str" cm="1">
        <f t="array" ref="N58">_xll.aqBondObjectCreateFromGenerator($C58,$N$4,_xll.aqToolLVBFromKeysValues($C$7:$M$7,$C58:$M58))</f>
        <v>IT0004976491:5</v>
      </c>
      <c r="O58" s="78">
        <v>3.5724710103729018E-2</v>
      </c>
      <c r="P58" s="51">
        <v>74.534800000000004</v>
      </c>
      <c r="Q58" s="17">
        <v>8.2272999999999996</v>
      </c>
      <c r="R58" s="95">
        <v>613.21680000000003</v>
      </c>
      <c r="S58" s="39" cm="1">
        <f t="array" ref="S58">_xll.aqBondObjectYield(N58,$C$4,T58)</f>
        <v>3.5724710103729018E-2</v>
      </c>
      <c r="T58" s="49" cm="1">
        <f t="array" ref="T58">_xll.aqBondObjectPrice($N58,$C$4,$O58)</f>
        <v>74.534764280223428</v>
      </c>
      <c r="U58" s="49" cm="1">
        <f t="array" ref="U58">_xll.aqBondObjectCleanPrice($N58,$C$4,$O58)</f>
        <v>74.534764280223428</v>
      </c>
      <c r="V58" s="49" cm="1">
        <f t="array" ref="V58">_xll.aqBondObjectDirtyPrice($N58,$C$4,$O58)</f>
        <v>74.534764280223428</v>
      </c>
      <c r="W58" s="18" cm="1">
        <f t="array" ref="W58">_xll.aqBondObjectModifiedDuration($N58,$C$4,$O58)</f>
        <v>8.2272595223488771</v>
      </c>
      <c r="X58" s="93" cm="1">
        <f t="array" ref="X58">_xll.aqBondObjectDV01($N58,$C$4,$O58)</f>
        <v>613.2168491704972</v>
      </c>
    </row>
    <row r="59" spans="2:24">
      <c r="B59" s="11" t="s">
        <v>657</v>
      </c>
      <c r="C59" s="11" t="s">
        <v>658</v>
      </c>
      <c r="D59" s="11" t="s">
        <v>658</v>
      </c>
      <c r="E59" s="12">
        <v>40072</v>
      </c>
      <c r="F59" s="12" t="s">
        <v>318</v>
      </c>
      <c r="G59" s="15" t="str">
        <f t="shared" si="0"/>
        <v/>
      </c>
      <c r="H59" s="12" t="s">
        <v>318</v>
      </c>
      <c r="I59" s="12" t="s">
        <v>318</v>
      </c>
      <c r="J59" s="31">
        <v>0</v>
      </c>
      <c r="K59" s="12">
        <v>46447</v>
      </c>
      <c r="L59" s="89" t="s">
        <v>318</v>
      </c>
      <c r="M59" s="80" t="s">
        <v>282</v>
      </c>
      <c r="N59" s="16" t="str" cm="1">
        <f t="array" ref="N59">_xll.aqBondObjectCreateFromGenerator($C59,$N$4,_xll.aqToolLVBFromKeysValues($C$7:$M$7,$C59:$M59))</f>
        <v>IT0004534324:5</v>
      </c>
      <c r="O59" s="78">
        <v>3.5621862002161775E-2</v>
      </c>
      <c r="P59" s="51">
        <v>74.596800000000002</v>
      </c>
      <c r="Q59" s="17">
        <v>8.2277000000000005</v>
      </c>
      <c r="R59" s="95">
        <v>613.75739999999996</v>
      </c>
      <c r="S59" s="39" cm="1">
        <f t="array" ref="S59">_xll.aqBondObjectYield(N59,$C$4,T59)</f>
        <v>3.5621862002161775E-2</v>
      </c>
      <c r="T59" s="49" cm="1">
        <f t="array" ref="T59">_xll.aqBondObjectPrice($N59,$C$4,$O59)</f>
        <v>74.596764751948612</v>
      </c>
      <c r="U59" s="49" cm="1">
        <f t="array" ref="U59">_xll.aqBondObjectCleanPrice($N59,$C$4,$O59)</f>
        <v>74.596764751948612</v>
      </c>
      <c r="V59" s="49" cm="1">
        <f t="array" ref="V59">_xll.aqBondObjectDirtyPrice($N59,$C$4,$O59)</f>
        <v>74.596764751948612</v>
      </c>
      <c r="W59" s="18" cm="1">
        <f t="array" ref="W59">_xll.aqBondObjectModifiedDuration($N59,$C$4,$O59)</f>
        <v>8.2276680387422534</v>
      </c>
      <c r="X59" s="93" cm="1">
        <f t="array" ref="X59">_xll.aqBondObjectDV01($N59,$C$4,$O59)</f>
        <v>613.75741714318224</v>
      </c>
    </row>
    <row r="60" spans="2:24">
      <c r="B60" s="11" t="s">
        <v>375</v>
      </c>
      <c r="C60" s="11" t="s">
        <v>376</v>
      </c>
      <c r="D60" s="11" t="s">
        <v>376</v>
      </c>
      <c r="E60" s="12">
        <v>39177</v>
      </c>
      <c r="F60" s="12">
        <v>39177</v>
      </c>
      <c r="G60" s="15" t="str">
        <f t="shared" si="0"/>
        <v/>
      </c>
      <c r="H60" s="12">
        <v>39543</v>
      </c>
      <c r="I60" s="12">
        <v>46117</v>
      </c>
      <c r="J60" s="31">
        <v>4.4900000000000002E-2</v>
      </c>
      <c r="K60" s="12">
        <v>46482</v>
      </c>
      <c r="L60" s="89">
        <v>99.856899999999996</v>
      </c>
      <c r="M60" s="91" t="s">
        <v>299</v>
      </c>
      <c r="N60" s="16" t="str" cm="1">
        <f t="array" ref="N60">_xll.aqBondObjectCreateFromGenerator($C60,$N$4,_xll.aqToolLVBFromKeysValues($C$7:$M$7,$C60:$M60))</f>
        <v>IT0004235559:5</v>
      </c>
      <c r="O60" s="78">
        <v>3.6961877345994494E-2</v>
      </c>
      <c r="P60" s="51">
        <v>105.65900000000001</v>
      </c>
      <c r="Q60" s="17">
        <v>6.8575999999999997</v>
      </c>
      <c r="R60" s="95">
        <v>741.0145</v>
      </c>
      <c r="S60" s="39" cm="1">
        <f t="array" ref="S60">_xll.aqBondObjectYield(N60,$C$4,T60)</f>
        <v>3.6961877345928276E-2</v>
      </c>
      <c r="T60" s="49" cm="1">
        <f t="array" ref="T60">_xll.aqBondObjectPrice($N60,$C$4,$O60)</f>
        <v>105.65902809722225</v>
      </c>
      <c r="U60" s="49" cm="1">
        <f t="array" ref="U60">_xll.aqBondObjectCleanPrice($N60,$C$4,$O60)</f>
        <v>105.65902809722225</v>
      </c>
      <c r="V60" s="49" cm="1">
        <f t="array" ref="V60">_xll.aqBondObjectDirtyPrice($N60,$C$4,$O60)</f>
        <v>108.05779809722225</v>
      </c>
      <c r="W60" s="18" cm="1">
        <f t="array" ref="W60">_xll.aqBondObjectModifiedDuration($N60,$C$4,$O60)</f>
        <v>6.8575755182853815</v>
      </c>
      <c r="X60" s="93" cm="1">
        <f t="array" ref="X60">_xll.aqBondObjectDV01($N60,$C$4,$O60)</f>
        <v>741.01451079133597</v>
      </c>
    </row>
    <row r="61" spans="2:24">
      <c r="B61" s="11" t="s">
        <v>445</v>
      </c>
      <c r="C61" s="11" t="s">
        <v>446</v>
      </c>
      <c r="D61" s="11" t="s">
        <v>446</v>
      </c>
      <c r="E61" s="12">
        <v>36003</v>
      </c>
      <c r="F61" s="12" t="s">
        <v>318</v>
      </c>
      <c r="G61" s="15" t="str">
        <f t="shared" si="0"/>
        <v/>
      </c>
      <c r="H61" s="12" t="s">
        <v>318</v>
      </c>
      <c r="I61" s="12" t="s">
        <v>318</v>
      </c>
      <c r="J61" s="31">
        <v>0</v>
      </c>
      <c r="K61" s="12">
        <v>46508</v>
      </c>
      <c r="L61" s="89" t="s">
        <v>318</v>
      </c>
      <c r="M61" s="80" t="s">
        <v>282</v>
      </c>
      <c r="N61" s="16" t="str" cm="1">
        <f t="array" ref="N61">_xll.aqBondObjectCreateFromGenerator($C61,$N$4,_xll.aqToolLVBFromKeysValues($C$7:$M$7,$C61:$M61))</f>
        <v>IT0001247391:5</v>
      </c>
      <c r="O61" s="78">
        <v>3.5562975027966681E-2</v>
      </c>
      <c r="P61" s="51">
        <v>74.180899999999994</v>
      </c>
      <c r="Q61" s="17">
        <v>8.3927999999999994</v>
      </c>
      <c r="R61" s="95">
        <v>622.58730000000003</v>
      </c>
      <c r="S61" s="39" cm="1">
        <f t="array" ref="S61">_xll.aqBondObjectYield(N61,$C$4,T61)</f>
        <v>3.5562975027966681E-2</v>
      </c>
      <c r="T61" s="49" cm="1">
        <f t="array" ref="T61">_xll.aqBondObjectPrice($N61,$C$4,$O61)</f>
        <v>74.180873018798678</v>
      </c>
      <c r="U61" s="49" cm="1">
        <f t="array" ref="U61">_xll.aqBondObjectCleanPrice($N61,$C$4,$O61)</f>
        <v>74.180873018798678</v>
      </c>
      <c r="V61" s="49" cm="1">
        <f t="array" ref="V61">_xll.aqBondObjectDirtyPrice($N61,$C$4,$O61)</f>
        <v>74.180873018798678</v>
      </c>
      <c r="W61" s="18" cm="1">
        <f t="array" ref="W61">_xll.aqBondObjectModifiedDuration($N61,$C$4,$O61)</f>
        <v>8.3928276556845756</v>
      </c>
      <c r="X61" s="93" cm="1">
        <f t="array" ref="X61">_xll.aqBondObjectDV01($N61,$C$4,$O61)</f>
        <v>622.58728259499924</v>
      </c>
    </row>
    <row r="62" spans="2:24">
      <c r="B62" s="11" t="s">
        <v>280</v>
      </c>
      <c r="C62" s="11" t="s">
        <v>281</v>
      </c>
      <c r="D62" s="11" t="s">
        <v>281</v>
      </c>
      <c r="E62" s="12">
        <v>42767</v>
      </c>
      <c r="F62" s="12">
        <v>42767</v>
      </c>
      <c r="G62" s="15" t="str">
        <f t="shared" si="0"/>
        <v/>
      </c>
      <c r="H62" s="12">
        <v>42887</v>
      </c>
      <c r="I62" s="12">
        <v>46357</v>
      </c>
      <c r="J62" s="31">
        <v>2.1999999999999999E-2</v>
      </c>
      <c r="K62" s="12">
        <v>46539</v>
      </c>
      <c r="L62" s="89">
        <v>98.58</v>
      </c>
      <c r="M62" s="80" t="s">
        <v>282</v>
      </c>
      <c r="N62" s="16" t="str" cm="1">
        <f t="array" ref="N62">_xll.aqBondObjectCreateFromGenerator($C62,$N$4,_xll.aqToolLVBFromKeysValues($C$7:$M$7,$C62:$M62))</f>
        <v>IT0005240830:5</v>
      </c>
      <c r="O62" s="78">
        <v>3.3633191255047601E-2</v>
      </c>
      <c r="P62" s="51">
        <v>91.549000000000007</v>
      </c>
      <c r="Q62" s="17">
        <v>7.6680999999999999</v>
      </c>
      <c r="R62" s="95">
        <v>708.36400000000003</v>
      </c>
      <c r="S62" s="39" cm="1">
        <f t="array" ref="S62">_xll.aqBondObjectYield(N62,$C$4,T62)</f>
        <v>3.363319125504427E-2</v>
      </c>
      <c r="T62" s="49" cm="1">
        <f t="array" ref="T62">_xll.aqBondObjectPrice($N62,$C$4,$O62)</f>
        <v>91.54900149414965</v>
      </c>
      <c r="U62" s="49" cm="1">
        <f t="array" ref="U62">_xll.aqBondObjectCleanPrice($N62,$C$4,$O62)</f>
        <v>91.54900149414965</v>
      </c>
      <c r="V62" s="49" cm="1">
        <f t="array" ref="V62">_xll.aqBondObjectDirtyPrice($N62,$C$4,$O62)</f>
        <v>92.378511494149649</v>
      </c>
      <c r="W62" s="18" cm="1">
        <f t="array" ref="W62">_xll.aqBondObjectModifiedDuration($N62,$C$4,$O62)</f>
        <v>7.668059829160117</v>
      </c>
      <c r="X62" s="93" cm="1">
        <f t="array" ref="X62">_xll.aqBondObjectDV01($N62,$C$4,$O62)</f>
        <v>708.36395306589509</v>
      </c>
    </row>
    <row r="63" spans="2:24">
      <c r="B63" s="11" t="s">
        <v>393</v>
      </c>
      <c r="C63" s="11" t="s">
        <v>394</v>
      </c>
      <c r="D63" s="11" t="s">
        <v>394</v>
      </c>
      <c r="E63" s="12">
        <v>37333</v>
      </c>
      <c r="F63" s="12" t="s">
        <v>318</v>
      </c>
      <c r="G63" s="15" t="str">
        <f t="shared" si="0"/>
        <v/>
      </c>
      <c r="H63" s="12" t="s">
        <v>318</v>
      </c>
      <c r="I63" s="12" t="s">
        <v>318</v>
      </c>
      <c r="J63" s="31">
        <v>0</v>
      </c>
      <c r="K63" s="12">
        <v>46600</v>
      </c>
      <c r="L63" s="89" t="s">
        <v>318</v>
      </c>
      <c r="M63" s="80" t="s">
        <v>282</v>
      </c>
      <c r="N63" s="16" t="str" cm="1">
        <f t="array" ref="N63">_xll.aqBondObjectCreateFromGenerator($C63,$N$4,_xll.aqToolLVBFromKeysValues($C$7:$M$7,$C63:$M63))</f>
        <v>IT0003268882:5</v>
      </c>
      <c r="O63" s="78">
        <v>3.626301634095519E-2</v>
      </c>
      <c r="P63" s="51">
        <v>73.107900000000001</v>
      </c>
      <c r="Q63" s="17">
        <v>8.6356000000000002</v>
      </c>
      <c r="R63" s="95">
        <v>631.32889999999998</v>
      </c>
      <c r="S63" s="39" cm="1">
        <f t="array" ref="S63">_xll.aqBondObjectYield(N63,$C$4,T63)</f>
        <v>3.626301634095519E-2</v>
      </c>
      <c r="T63" s="49" cm="1">
        <f t="array" ref="T63">_xll.aqBondObjectPrice($N63,$C$4,$O63)</f>
        <v>73.107882637985327</v>
      </c>
      <c r="U63" s="49" cm="1">
        <f t="array" ref="U63">_xll.aqBondObjectCleanPrice($N63,$C$4,$O63)</f>
        <v>73.107882637985327</v>
      </c>
      <c r="V63" s="49" cm="1">
        <f t="array" ref="V63">_xll.aqBondObjectDirtyPrice($N63,$C$4,$O63)</f>
        <v>73.107882637985327</v>
      </c>
      <c r="W63" s="18" cm="1">
        <f t="array" ref="W63">_xll.aqBondObjectModifiedDuration($N63,$C$4,$O63)</f>
        <v>8.6355791081720188</v>
      </c>
      <c r="X63" s="93" cm="1">
        <f t="array" ref="X63">_xll.aqBondObjectDV01($N63,$C$4,$O63)</f>
        <v>631.32890395127799</v>
      </c>
    </row>
    <row r="64" spans="2:24">
      <c r="B64" s="11" t="s">
        <v>649</v>
      </c>
      <c r="C64" s="11" t="s">
        <v>650</v>
      </c>
      <c r="D64" s="11" t="s">
        <v>650</v>
      </c>
      <c r="E64" s="12">
        <v>41416</v>
      </c>
      <c r="F64" s="12" t="s">
        <v>318</v>
      </c>
      <c r="G64" s="15" t="str">
        <f t="shared" si="0"/>
        <v/>
      </c>
      <c r="H64" s="12" t="s">
        <v>318</v>
      </c>
      <c r="I64" s="12" t="s">
        <v>318</v>
      </c>
      <c r="J64" s="31">
        <v>0</v>
      </c>
      <c r="K64" s="12">
        <v>46631</v>
      </c>
      <c r="L64" s="89" t="s">
        <v>318</v>
      </c>
      <c r="M64" s="80" t="s">
        <v>282</v>
      </c>
      <c r="N64" s="16" t="str" cm="1">
        <f t="array" ref="N64">_xll.aqBondObjectCreateFromGenerator($C64,$N$4,_xll.aqToolLVBFromKeysValues($C$7:$M$7,$C64:$M64))</f>
        <v>IT0004976509:5</v>
      </c>
      <c r="O64" s="78">
        <v>3.6943496188079905E-2</v>
      </c>
      <c r="P64" s="51">
        <v>72.477800000000002</v>
      </c>
      <c r="Q64" s="17">
        <v>8.7134</v>
      </c>
      <c r="R64" s="95">
        <v>631.53030000000001</v>
      </c>
      <c r="S64" s="39" cm="1">
        <f t="array" ref="S64">_xll.aqBondObjectYield(N64,$C$4,T64)</f>
        <v>3.6943496188079905E-2</v>
      </c>
      <c r="T64" s="49" cm="1">
        <f t="array" ref="T64">_xll.aqBondObjectPrice($N64,$C$4,$O64)</f>
        <v>72.477763074537151</v>
      </c>
      <c r="U64" s="49" cm="1">
        <f t="array" ref="U64">_xll.aqBondObjectCleanPrice($N64,$C$4,$O64)</f>
        <v>72.477763074537151</v>
      </c>
      <c r="V64" s="49" cm="1">
        <f t="array" ref="V64">_xll.aqBondObjectDirtyPrice($N64,$C$4,$O64)</f>
        <v>72.477763074537151</v>
      </c>
      <c r="W64" s="18" cm="1">
        <f t="array" ref="W64">_xll.aqBondObjectModifiedDuration($N64,$C$4,$O64)</f>
        <v>8.7134354865582999</v>
      </c>
      <c r="X64" s="93" cm="1">
        <f t="array" ref="X64">_xll.aqBondObjectDV01($N64,$C$4,$O64)</f>
        <v>631.53031276003685</v>
      </c>
    </row>
    <row r="65" spans="2:24">
      <c r="B65" s="11" t="s">
        <v>659</v>
      </c>
      <c r="C65" s="11" t="s">
        <v>660</v>
      </c>
      <c r="D65" s="11" t="s">
        <v>660</v>
      </c>
      <c r="E65" s="12">
        <v>40072</v>
      </c>
      <c r="F65" s="12" t="s">
        <v>318</v>
      </c>
      <c r="G65" s="15" t="str">
        <f t="shared" si="0"/>
        <v/>
      </c>
      <c r="H65" s="12" t="s">
        <v>318</v>
      </c>
      <c r="I65" s="12" t="s">
        <v>318</v>
      </c>
      <c r="J65" s="31">
        <v>0</v>
      </c>
      <c r="K65" s="12">
        <v>46631</v>
      </c>
      <c r="L65" s="89" t="s">
        <v>318</v>
      </c>
      <c r="M65" s="80" t="s">
        <v>282</v>
      </c>
      <c r="N65" s="16" t="str" cm="1">
        <f t="array" ref="N65">_xll.aqBondObjectCreateFromGenerator($C65,$N$4,_xll.aqToolLVBFromKeysValues($C$7:$M$7,$C65:$M65))</f>
        <v>IT0004534332:5</v>
      </c>
      <c r="O65" s="78">
        <v>3.6111559904856927E-2</v>
      </c>
      <c r="P65" s="51">
        <v>72.995800000000003</v>
      </c>
      <c r="Q65" s="17">
        <v>8.7169000000000008</v>
      </c>
      <c r="R65" s="95">
        <v>636.29920000000004</v>
      </c>
      <c r="S65" s="39" cm="1">
        <f t="array" ref="S65">_xll.aqBondObjectYield(N65,$C$4,T65)</f>
        <v>3.6111559904856927E-2</v>
      </c>
      <c r="T65" s="49" cm="1">
        <f t="array" ref="T65">_xll.aqBondObjectPrice($N65,$C$4,$O65)</f>
        <v>72.995766663579147</v>
      </c>
      <c r="U65" s="49" cm="1">
        <f t="array" ref="U65">_xll.aqBondObjectCleanPrice($N65,$C$4,$O65)</f>
        <v>72.995766663579147</v>
      </c>
      <c r="V65" s="49" cm="1">
        <f t="array" ref="V65">_xll.aqBondObjectDirtyPrice($N65,$C$4,$O65)</f>
        <v>72.995766663579147</v>
      </c>
      <c r="W65" s="18" cm="1">
        <f t="array" ref="W65">_xll.aqBondObjectModifiedDuration($N65,$C$4,$O65)</f>
        <v>8.7169329712225867</v>
      </c>
      <c r="X65" s="93" cm="1">
        <f t="array" ref="X65">_xll.aqBondObjectDV01($N65,$C$4,$O65)</f>
        <v>636.29920518942367</v>
      </c>
    </row>
    <row r="66" spans="2:24">
      <c r="B66" s="11" t="s">
        <v>321</v>
      </c>
      <c r="C66" s="11" t="s">
        <v>322</v>
      </c>
      <c r="D66" s="11" t="s">
        <v>322</v>
      </c>
      <c r="E66" s="12">
        <v>35735</v>
      </c>
      <c r="F66" s="12">
        <v>35735</v>
      </c>
      <c r="G66" s="15" t="str">
        <f t="shared" si="0"/>
        <v/>
      </c>
      <c r="H66" s="12">
        <v>35916</v>
      </c>
      <c r="I66" s="12">
        <v>46508</v>
      </c>
      <c r="J66" s="31">
        <v>6.5000000000000002E-2</v>
      </c>
      <c r="K66" s="12">
        <v>46692</v>
      </c>
      <c r="L66" s="89">
        <v>100.15</v>
      </c>
      <c r="M66" s="80" t="s">
        <v>282</v>
      </c>
      <c r="N66" s="16" t="str" cm="1">
        <f t="array" ref="N66">_xll.aqBondObjectCreateFromGenerator($C66,$N$4,_xll.aqToolLVBFromKeysValues($C$7:$M$7,$C66:$M66))</f>
        <v>IT0001174611:5</v>
      </c>
      <c r="O66" s="78">
        <v>3.5315453192760859E-2</v>
      </c>
      <c r="P66" s="51">
        <v>123.0625</v>
      </c>
      <c r="Q66" s="17">
        <v>6.9189999999999996</v>
      </c>
      <c r="R66" s="95">
        <v>872.12159999999994</v>
      </c>
      <c r="S66" s="39" cm="1">
        <f t="array" ref="S66">_xll.aqBondObjectYield(N66,$C$4,T66)</f>
        <v>3.5315453192760859E-2</v>
      </c>
      <c r="T66" s="49" cm="1">
        <f t="array" ref="T66">_xll.aqBondObjectPrice($N66,$C$4,$O66)</f>
        <v>123.06248682575136</v>
      </c>
      <c r="U66" s="49" cm="1">
        <f t="array" ref="U66">_xll.aqBondObjectCleanPrice($N66,$C$4,$O66)</f>
        <v>123.06248682575136</v>
      </c>
      <c r="V66" s="49" cm="1">
        <f t="array" ref="V66">_xll.aqBondObjectDirtyPrice($N66,$C$4,$O66)</f>
        <v>126.04753682575137</v>
      </c>
      <c r="W66" s="18" cm="1">
        <f t="array" ref="W66">_xll.aqBondObjectModifiedDuration($N66,$C$4,$O66)</f>
        <v>6.9189899074228496</v>
      </c>
      <c r="X66" s="93" cm="1">
        <f t="array" ref="X66">_xll.aqBondObjectDV01($N66,$C$4,$O66)</f>
        <v>872.12163515288364</v>
      </c>
    </row>
    <row r="67" spans="2:24">
      <c r="B67" s="11" t="s">
        <v>359</v>
      </c>
      <c r="C67" s="11" t="s">
        <v>360</v>
      </c>
      <c r="D67" s="11" t="s">
        <v>360</v>
      </c>
      <c r="E67" s="12">
        <v>35752</v>
      </c>
      <c r="F67" s="12" t="s">
        <v>318</v>
      </c>
      <c r="G67" s="15" t="str">
        <f t="shared" si="0"/>
        <v/>
      </c>
      <c r="H67" s="12" t="s">
        <v>318</v>
      </c>
      <c r="I67" s="12" t="s">
        <v>318</v>
      </c>
      <c r="J67" s="31">
        <v>0</v>
      </c>
      <c r="K67" s="12">
        <v>46692</v>
      </c>
      <c r="L67" s="89" t="s">
        <v>318</v>
      </c>
      <c r="M67" s="80" t="s">
        <v>282</v>
      </c>
      <c r="N67" s="16" t="str" cm="1">
        <f t="array" ref="N67">_xll.aqBondObjectCreateFromGenerator($C67,$N$4,_xll.aqToolLVBFromKeysValues($C$7:$M$7,$C67:$M67))</f>
        <v>IT0004848476:5</v>
      </c>
      <c r="O67" s="78">
        <v>3.6381490232777702E-2</v>
      </c>
      <c r="P67" s="51">
        <v>72.390900000000002</v>
      </c>
      <c r="Q67" s="17">
        <v>8.8806999999999992</v>
      </c>
      <c r="R67" s="95">
        <v>642.87860000000001</v>
      </c>
      <c r="S67" s="39" cm="1">
        <f t="array" ref="S67">_xll.aqBondObjectYield(N67,$C$4,T67)</f>
        <v>3.6381490232777702E-2</v>
      </c>
      <c r="T67" s="49" cm="1">
        <f t="array" ref="T67">_xll.aqBondObjectPrice($N67,$C$4,$O67)</f>
        <v>72.390875313910215</v>
      </c>
      <c r="U67" s="49" cm="1">
        <f t="array" ref="U67">_xll.aqBondObjectCleanPrice($N67,$C$4,$O67)</f>
        <v>72.390875313910215</v>
      </c>
      <c r="V67" s="49" cm="1">
        <f t="array" ref="V67">_xll.aqBondObjectDirtyPrice($N67,$C$4,$O67)</f>
        <v>72.390875313910215</v>
      </c>
      <c r="W67" s="18" cm="1">
        <f t="array" ref="W67">_xll.aqBondObjectModifiedDuration($N67,$C$4,$O67)</f>
        <v>8.8806582624761106</v>
      </c>
      <c r="X67" s="93" cm="1">
        <f t="array" ref="X67">_xll.aqBondObjectDV01($N67,$C$4,$O67)</f>
        <v>642.87862498435459</v>
      </c>
    </row>
    <row r="68" spans="2:24">
      <c r="B68" s="11" t="s">
        <v>597</v>
      </c>
      <c r="C68" s="11" t="s">
        <v>598</v>
      </c>
      <c r="D68" s="11" t="s">
        <v>598</v>
      </c>
      <c r="E68" s="12">
        <v>35752</v>
      </c>
      <c r="F68" s="12" t="s">
        <v>318</v>
      </c>
      <c r="G68" s="15" t="str">
        <f t="shared" si="0"/>
        <v/>
      </c>
      <c r="H68" s="12" t="s">
        <v>318</v>
      </c>
      <c r="I68" s="12" t="s">
        <v>318</v>
      </c>
      <c r="J68" s="31">
        <v>0</v>
      </c>
      <c r="K68" s="12">
        <v>46692</v>
      </c>
      <c r="L68" s="89" t="s">
        <v>318</v>
      </c>
      <c r="M68" s="80" t="s">
        <v>282</v>
      </c>
      <c r="N68" s="16" t="str" cm="1">
        <f t="array" ref="N68">_xll.aqBondObjectCreateFromGenerator($C68,$N$4,_xll.aqToolLVBFromKeysValues($C$7:$M$7,$C68:$M68))</f>
        <v>IT0001246815:5</v>
      </c>
      <c r="O68" s="78">
        <v>3.5181847696539759E-2</v>
      </c>
      <c r="P68" s="51">
        <v>73.152900000000002</v>
      </c>
      <c r="Q68" s="17">
        <v>8.8857999999999997</v>
      </c>
      <c r="R68" s="95">
        <v>650.0222</v>
      </c>
      <c r="S68" s="39" cm="1">
        <f t="array" ref="S68">_xll.aqBondObjectYield(N68,$C$4,T68)</f>
        <v>3.5181847696539759E-2</v>
      </c>
      <c r="T68" s="49" cm="1">
        <f t="array" ref="T68">_xll.aqBondObjectPrice($N68,$C$4,$O68)</f>
        <v>73.152900317633581</v>
      </c>
      <c r="U68" s="49" cm="1">
        <f t="array" ref="U68">_xll.aqBondObjectCleanPrice($N68,$C$4,$O68)</f>
        <v>73.152900317633581</v>
      </c>
      <c r="V68" s="49" cm="1">
        <f t="array" ref="V68">_xll.aqBondObjectDirtyPrice($N68,$C$4,$O68)</f>
        <v>73.152900317633581</v>
      </c>
      <c r="W68" s="18" cm="1">
        <f t="array" ref="W68">_xll.aqBondObjectModifiedDuration($N68,$C$4,$O68)</f>
        <v>8.8858025425221854</v>
      </c>
      <c r="X68" s="93" cm="1">
        <f t="array" ref="X68">_xll.aqBondObjectDV01($N68,$C$4,$O68)</f>
        <v>650.0222276353004</v>
      </c>
    </row>
    <row r="69" spans="2:24">
      <c r="B69" s="11" t="s">
        <v>623</v>
      </c>
      <c r="C69" s="11" t="s">
        <v>624</v>
      </c>
      <c r="D69" s="11" t="s">
        <v>624</v>
      </c>
      <c r="E69" s="12">
        <v>36003</v>
      </c>
      <c r="F69" s="12" t="s">
        <v>318</v>
      </c>
      <c r="G69" s="15" t="str">
        <f t="shared" si="0"/>
        <v/>
      </c>
      <c r="H69" s="12" t="s">
        <v>318</v>
      </c>
      <c r="I69" s="12" t="s">
        <v>318</v>
      </c>
      <c r="J69" s="31">
        <v>0</v>
      </c>
      <c r="K69" s="12">
        <v>46692</v>
      </c>
      <c r="L69" s="89" t="s">
        <v>318</v>
      </c>
      <c r="M69" s="80" t="s">
        <v>282</v>
      </c>
      <c r="N69" s="16" t="str" cm="1">
        <f t="array" ref="N69">_xll.aqBondObjectCreateFromGenerator($C69,$N$4,_xll.aqToolLVBFromKeysValues($C$7:$M$7,$C69:$M69))</f>
        <v>IT0001247409:5</v>
      </c>
      <c r="O69" s="78">
        <v>3.5822440435061109E-2</v>
      </c>
      <c r="P69" s="51">
        <v>72.744900000000001</v>
      </c>
      <c r="Q69" s="17">
        <v>8.8831000000000007</v>
      </c>
      <c r="R69" s="95">
        <v>646.19680000000005</v>
      </c>
      <c r="S69" s="39" cm="1">
        <f t="array" ref="S69">_xll.aqBondObjectYield(N69,$C$4,T69)</f>
        <v>3.5822440435061109E-2</v>
      </c>
      <c r="T69" s="49" cm="1">
        <f t="array" ref="T69">_xll.aqBondObjectPrice($N69,$C$4,$O69)</f>
        <v>72.744886881718855</v>
      </c>
      <c r="U69" s="49" cm="1">
        <f t="array" ref="U69">_xll.aqBondObjectCleanPrice($N69,$C$4,$O69)</f>
        <v>72.744886881718855</v>
      </c>
      <c r="V69" s="49" cm="1">
        <f t="array" ref="V69">_xll.aqBondObjectDirtyPrice($N69,$C$4,$O69)</f>
        <v>72.744886881718855</v>
      </c>
      <c r="W69" s="18" cm="1">
        <f t="array" ref="W69">_xll.aqBondObjectModifiedDuration($N69,$C$4,$O69)</f>
        <v>8.8830544552531023</v>
      </c>
      <c r="X69" s="93" cm="1">
        <f t="array" ref="X69">_xll.aqBondObjectDV01($N69,$C$4,$O69)</f>
        <v>646.19679151153559</v>
      </c>
    </row>
    <row r="70" spans="2:24">
      <c r="B70" s="11" t="s">
        <v>647</v>
      </c>
      <c r="C70" s="11" t="s">
        <v>648</v>
      </c>
      <c r="D70" s="11" t="s">
        <v>648</v>
      </c>
      <c r="E70" s="12">
        <v>37333</v>
      </c>
      <c r="F70" s="12" t="s">
        <v>318</v>
      </c>
      <c r="G70" s="15" t="str">
        <f t="shared" si="0"/>
        <v/>
      </c>
      <c r="H70" s="12" t="s">
        <v>318</v>
      </c>
      <c r="I70" s="12" t="s">
        <v>318</v>
      </c>
      <c r="J70" s="31">
        <v>0</v>
      </c>
      <c r="K70" s="12">
        <v>46784</v>
      </c>
      <c r="L70" s="89" t="s">
        <v>318</v>
      </c>
      <c r="M70" s="80" t="s">
        <v>282</v>
      </c>
      <c r="N70" s="16" t="str" cm="1">
        <f t="array" ref="N70">_xll.aqBondObjectCreateFromGenerator($C70,$N$4,_xll.aqToolLVBFromKeysValues($C$7:$M$7,$C70:$M70))</f>
        <v>IT0003268890:5</v>
      </c>
      <c r="O70" s="78">
        <v>3.5854482143250932E-2</v>
      </c>
      <c r="P70" s="51">
        <v>72.087900000000005</v>
      </c>
      <c r="Q70" s="17">
        <v>9.1286000000000005</v>
      </c>
      <c r="R70" s="95">
        <v>658.05799999999999</v>
      </c>
      <c r="S70" s="39" cm="1">
        <f t="array" ref="S70">_xll.aqBondObjectYield(N70,$C$4,T70)</f>
        <v>3.5854482143250932E-2</v>
      </c>
      <c r="T70" s="49" cm="1">
        <f t="array" ref="T70">_xll.aqBondObjectPrice($N70,$C$4,$O70)</f>
        <v>72.087885523405731</v>
      </c>
      <c r="U70" s="49" cm="1">
        <f t="array" ref="U70">_xll.aqBondObjectCleanPrice($N70,$C$4,$O70)</f>
        <v>72.087885523405731</v>
      </c>
      <c r="V70" s="49" cm="1">
        <f t="array" ref="V70">_xll.aqBondObjectDirtyPrice($N70,$C$4,$O70)</f>
        <v>72.087885523405731</v>
      </c>
      <c r="W70" s="18" cm="1">
        <f t="array" ref="W70">_xll.aqBondObjectModifiedDuration($N70,$C$4,$O70)</f>
        <v>9.1285522839889772</v>
      </c>
      <c r="X70" s="93" cm="1">
        <f t="array" ref="X70">_xll.aqBondObjectDV01($N70,$C$4,$O70)</f>
        <v>658.05803204262133</v>
      </c>
    </row>
    <row r="71" spans="2:24">
      <c r="B71" s="11" t="s">
        <v>651</v>
      </c>
      <c r="C71" s="11" t="s">
        <v>652</v>
      </c>
      <c r="D71" s="11" t="s">
        <v>652</v>
      </c>
      <c r="E71" s="12">
        <v>41416</v>
      </c>
      <c r="F71" s="12" t="s">
        <v>318</v>
      </c>
      <c r="G71" s="15" t="str">
        <f t="shared" si="0"/>
        <v/>
      </c>
      <c r="H71" s="12" t="s">
        <v>318</v>
      </c>
      <c r="I71" s="12" t="s">
        <v>318</v>
      </c>
      <c r="J71" s="31">
        <v>0</v>
      </c>
      <c r="K71" s="12">
        <v>46813</v>
      </c>
      <c r="L71" s="89" t="s">
        <v>318</v>
      </c>
      <c r="M71" s="80" t="s">
        <v>282</v>
      </c>
      <c r="N71" s="16" t="str" cm="1">
        <f t="array" ref="N71">_xll.aqBondObjectCreateFromGenerator($C71,$N$4,_xll.aqToolLVBFromKeysValues($C$7:$M$7,$C71:$M71))</f>
        <v>IT0004976517:5</v>
      </c>
      <c r="O71" s="78">
        <v>3.5752511856331326E-2</v>
      </c>
      <c r="P71" s="51">
        <v>71.945800000000006</v>
      </c>
      <c r="Q71" s="17">
        <v>9.2096999999999998</v>
      </c>
      <c r="R71" s="95">
        <v>662.60170000000005</v>
      </c>
      <c r="S71" s="39" cm="1">
        <f t="array" ref="S71">_xll.aqBondObjectYield(N71,$C$4,T71)</f>
        <v>3.5752511856331326E-2</v>
      </c>
      <c r="T71" s="49" cm="1">
        <f t="array" ref="T71">_xll.aqBondObjectPrice($N71,$C$4,$O71)</f>
        <v>71.945772231960731</v>
      </c>
      <c r="U71" s="49" cm="1">
        <f t="array" ref="U71">_xll.aqBondObjectCleanPrice($N71,$C$4,$O71)</f>
        <v>71.945772231960731</v>
      </c>
      <c r="V71" s="49" cm="1">
        <f t="array" ref="V71">_xll.aqBondObjectDirtyPrice($N71,$C$4,$O71)</f>
        <v>71.945772231960731</v>
      </c>
      <c r="W71" s="18" cm="1">
        <f t="array" ref="W71">_xll.aqBondObjectModifiedDuration($N71,$C$4,$O71)</f>
        <v>9.2097383395724695</v>
      </c>
      <c r="X71" s="93" cm="1">
        <f t="array" ref="X71">_xll.aqBondObjectDV01($N71,$C$4,$O71)</f>
        <v>662.60173689483713</v>
      </c>
    </row>
    <row r="72" spans="2:24">
      <c r="B72" s="11" t="s">
        <v>661</v>
      </c>
      <c r="C72" s="11" t="s">
        <v>662</v>
      </c>
      <c r="D72" s="11" t="s">
        <v>662</v>
      </c>
      <c r="E72" s="12">
        <v>40072</v>
      </c>
      <c r="F72" s="12" t="s">
        <v>318</v>
      </c>
      <c r="G72" s="15" t="str">
        <f t="shared" ref="G72:G135" si="1">IF(DAY(K72+1)=1, "EOM","")</f>
        <v/>
      </c>
      <c r="H72" s="12" t="s">
        <v>318</v>
      </c>
      <c r="I72" s="12" t="s">
        <v>318</v>
      </c>
      <c r="J72" s="31">
        <v>0</v>
      </c>
      <c r="K72" s="12">
        <v>46813</v>
      </c>
      <c r="L72" s="89" t="s">
        <v>318</v>
      </c>
      <c r="M72" s="80" t="s">
        <v>282</v>
      </c>
      <c r="N72" s="16" t="str" cm="1">
        <f t="array" ref="N72">_xll.aqBondObjectCreateFromGenerator($C72,$N$4,_xll.aqToolLVBFromKeysValues($C$7:$M$7,$C72:$M72))</f>
        <v>IT0004534340:5</v>
      </c>
      <c r="O72" s="78">
        <v>3.6537380807749154E-2</v>
      </c>
      <c r="P72" s="51">
        <v>71.436800000000005</v>
      </c>
      <c r="Q72" s="17">
        <v>9.2063000000000006</v>
      </c>
      <c r="R72" s="95">
        <v>657.66480000000001</v>
      </c>
      <c r="S72" s="39" cm="1">
        <f t="array" ref="S72">_xll.aqBondObjectYield(N72,$C$4,T72)</f>
        <v>3.6537380807749154E-2</v>
      </c>
      <c r="T72" s="49" cm="1">
        <f t="array" ref="T72">_xll.aqBondObjectPrice($N72,$C$4,$O72)</f>
        <v>71.436768961355739</v>
      </c>
      <c r="U72" s="49" cm="1">
        <f t="array" ref="U72">_xll.aqBondObjectCleanPrice($N72,$C$4,$O72)</f>
        <v>71.436768961355739</v>
      </c>
      <c r="V72" s="49" cm="1">
        <f t="array" ref="V72">_xll.aqBondObjectDirtyPrice($N72,$C$4,$O72)</f>
        <v>71.436768961355739</v>
      </c>
      <c r="W72" s="18" cm="1">
        <f t="array" ref="W72">_xll.aqBondObjectModifiedDuration($N72,$C$4,$O72)</f>
        <v>9.2062508596832764</v>
      </c>
      <c r="X72" s="93" cm="1">
        <f t="array" ref="X72">_xll.aqBondObjectDV01($N72,$C$4,$O72)</f>
        <v>657.66481566347693</v>
      </c>
    </row>
    <row r="73" spans="2:24">
      <c r="B73" s="11" t="s">
        <v>535</v>
      </c>
      <c r="C73" s="11" t="s">
        <v>536</v>
      </c>
      <c r="D73" s="11" t="s">
        <v>536</v>
      </c>
      <c r="E73" s="12">
        <v>36117</v>
      </c>
      <c r="F73" s="12" t="s">
        <v>318</v>
      </c>
      <c r="G73" s="15" t="str">
        <f t="shared" si="1"/>
        <v/>
      </c>
      <c r="H73" s="12" t="s">
        <v>318</v>
      </c>
      <c r="I73" s="12" t="s">
        <v>318</v>
      </c>
      <c r="J73" s="31">
        <v>0</v>
      </c>
      <c r="K73" s="12">
        <v>46874</v>
      </c>
      <c r="L73" s="89" t="s">
        <v>318</v>
      </c>
      <c r="M73" s="80" t="s">
        <v>282</v>
      </c>
      <c r="N73" s="16" t="str" cm="1">
        <f t="array" ref="N73">_xll.aqBondObjectCreateFromGenerator($C73,$N$4,_xll.aqToolLVBFromKeysValues($C$7:$M$7,$C73:$M73))</f>
        <v>IT0001312781:5</v>
      </c>
      <c r="O73" s="78">
        <v>3.6076666808208868E-2</v>
      </c>
      <c r="P73" s="51">
        <v>71.3018</v>
      </c>
      <c r="Q73" s="17">
        <v>9.3732000000000006</v>
      </c>
      <c r="R73" s="95">
        <v>668.32500000000005</v>
      </c>
      <c r="S73" s="39" cm="1">
        <f t="array" ref="S73">_xll.aqBondObjectYield(N73,$C$4,T73)</f>
        <v>3.6076666808208868E-2</v>
      </c>
      <c r="T73" s="49" cm="1">
        <f t="array" ref="T73">_xll.aqBondObjectPrice($N73,$C$4,$O73)</f>
        <v>71.30182584999676</v>
      </c>
      <c r="U73" s="49" cm="1">
        <f t="array" ref="U73">_xll.aqBondObjectCleanPrice($N73,$C$4,$O73)</f>
        <v>71.30182584999676</v>
      </c>
      <c r="V73" s="49" cm="1">
        <f t="array" ref="V73">_xll.aqBondObjectDirtyPrice($N73,$C$4,$O73)</f>
        <v>71.30182584999676</v>
      </c>
      <c r="W73" s="18" cm="1">
        <f t="array" ref="W73">_xll.aqBondObjectModifiedDuration($N73,$C$4,$O73)</f>
        <v>9.3731823097181994</v>
      </c>
      <c r="X73" s="93" cm="1">
        <f t="array" ref="X73">_xll.aqBondObjectDV01($N73,$C$4,$O73)</f>
        <v>668.32501270779744</v>
      </c>
    </row>
    <row r="74" spans="2:24">
      <c r="B74" s="11" t="s">
        <v>625</v>
      </c>
      <c r="C74" s="11" t="s">
        <v>626</v>
      </c>
      <c r="D74" s="11" t="s">
        <v>626</v>
      </c>
      <c r="E74" s="12">
        <v>37333</v>
      </c>
      <c r="F74" s="12" t="s">
        <v>318</v>
      </c>
      <c r="G74" s="15" t="str">
        <f t="shared" si="1"/>
        <v/>
      </c>
      <c r="H74" s="12" t="s">
        <v>318</v>
      </c>
      <c r="I74" s="12" t="s">
        <v>318</v>
      </c>
      <c r="J74" s="31">
        <v>0</v>
      </c>
      <c r="K74" s="12">
        <v>46966</v>
      </c>
      <c r="L74" s="89" t="s">
        <v>318</v>
      </c>
      <c r="M74" s="80" t="s">
        <v>282</v>
      </c>
      <c r="N74" s="16" t="str" cm="1">
        <f t="array" ref="N74">_xll.aqBondObjectCreateFromGenerator($C74,$N$4,_xll.aqToolLVBFromKeysValues($C$7:$M$7,$C74:$M74))</f>
        <v>IT0003268908:5</v>
      </c>
      <c r="O74" s="78">
        <v>3.6263745387502544E-2</v>
      </c>
      <c r="P74" s="51">
        <v>70.555899999999994</v>
      </c>
      <c r="Q74" s="17">
        <v>9.6179000000000006</v>
      </c>
      <c r="R74" s="95">
        <v>678.60109999999997</v>
      </c>
      <c r="S74" s="39" cm="1">
        <f t="array" ref="S74">_xll.aqBondObjectYield(N74,$C$4,T74)</f>
        <v>3.6263745387502544E-2</v>
      </c>
      <c r="T74" s="49" cm="1">
        <f t="array" ref="T74">_xll.aqBondObjectPrice($N74,$C$4,$O74)</f>
        <v>70.555886646504035</v>
      </c>
      <c r="U74" s="49" cm="1">
        <f t="array" ref="U74">_xll.aqBondObjectCleanPrice($N74,$C$4,$O74)</f>
        <v>70.555886646504035</v>
      </c>
      <c r="V74" s="49" cm="1">
        <f t="array" ref="V74">_xll.aqBondObjectDirtyPrice($N74,$C$4,$O74)</f>
        <v>70.555886646504035</v>
      </c>
      <c r="W74" s="18" cm="1">
        <f t="array" ref="W74">_xll.aqBondObjectModifiedDuration($N74,$C$4,$O74)</f>
        <v>9.6179229001143316</v>
      </c>
      <c r="X74" s="93" cm="1">
        <f t="array" ref="X74">_xll.aqBondObjectDV01($N74,$C$4,$O74)</f>
        <v>678.60107791528208</v>
      </c>
    </row>
    <row r="75" spans="2:24">
      <c r="B75" s="11" t="s">
        <v>327</v>
      </c>
      <c r="C75" s="11" t="s">
        <v>328</v>
      </c>
      <c r="D75" s="11" t="s">
        <v>328</v>
      </c>
      <c r="E75" s="12">
        <v>41296</v>
      </c>
      <c r="F75" s="12">
        <v>41296</v>
      </c>
      <c r="G75" s="15" t="str">
        <f t="shared" si="1"/>
        <v/>
      </c>
      <c r="H75" s="12">
        <v>41334</v>
      </c>
      <c r="I75" s="12">
        <v>46813</v>
      </c>
      <c r="J75" s="31">
        <v>4.7500000000000001E-2</v>
      </c>
      <c r="K75" s="12">
        <v>46997</v>
      </c>
      <c r="L75" s="89">
        <v>100.01700000000001</v>
      </c>
      <c r="M75" s="80" t="s">
        <v>282</v>
      </c>
      <c r="N75" s="16" t="str" cm="1">
        <f t="array" ref="N75">_xll.aqBondObjectCreateFromGenerator($C75,$N$4,_xll.aqToolLVBFromKeysValues($C$7:$M$7,$C75:$M75))</f>
        <v>IT0004889033:5</v>
      </c>
      <c r="O75" s="78">
        <v>3.5042555383253404E-2</v>
      </c>
      <c r="P75" s="51">
        <v>110.5817</v>
      </c>
      <c r="Q75" s="17">
        <v>7.9230999999999998</v>
      </c>
      <c r="R75" s="95">
        <v>880.93299999999999</v>
      </c>
      <c r="S75" s="39" cm="1">
        <f t="array" ref="S75">_xll.aqBondObjectYield(N75,$C$4,T75)</f>
        <v>3.5042555383164142E-2</v>
      </c>
      <c r="T75" s="49" cm="1">
        <f t="array" ref="T75">_xll.aqBondObjectPrice($N75,$C$4,$O75)</f>
        <v>110.58174571584924</v>
      </c>
      <c r="U75" s="49" cm="1">
        <f t="array" ref="U75">_xll.aqBondObjectCleanPrice($N75,$C$4,$O75)</f>
        <v>110.58174571584924</v>
      </c>
      <c r="V75" s="49" cm="1">
        <f t="array" ref="V75">_xll.aqBondObjectDirtyPrice($N75,$C$4,$O75)</f>
        <v>111.18533571584923</v>
      </c>
      <c r="W75" s="18" cm="1">
        <f t="array" ref="W75">_xll.aqBondObjectModifiedDuration($N75,$C$4,$O75)</f>
        <v>7.923104545078469</v>
      </c>
      <c r="X75" s="93" cm="1">
        <f t="array" ref="X75">_xll.aqBondObjectDV01($N75,$C$4,$O75)</f>
        <v>880.93303875632046</v>
      </c>
    </row>
    <row r="76" spans="2:24">
      <c r="B76" s="11" t="s">
        <v>463</v>
      </c>
      <c r="C76" s="11" t="s">
        <v>464</v>
      </c>
      <c r="D76" s="11" t="s">
        <v>464</v>
      </c>
      <c r="E76" s="12">
        <v>41416</v>
      </c>
      <c r="F76" s="12" t="s">
        <v>318</v>
      </c>
      <c r="G76" s="15" t="str">
        <f t="shared" si="1"/>
        <v/>
      </c>
      <c r="H76" s="12" t="s">
        <v>318</v>
      </c>
      <c r="I76" s="12" t="s">
        <v>318</v>
      </c>
      <c r="J76" s="31">
        <v>0</v>
      </c>
      <c r="K76" s="12">
        <v>46997</v>
      </c>
      <c r="L76" s="89" t="s">
        <v>318</v>
      </c>
      <c r="M76" s="80" t="s">
        <v>282</v>
      </c>
      <c r="N76" s="16" t="str" cm="1">
        <f t="array" ref="N76">_xll.aqBondObjectCreateFromGenerator($C76,$N$4,_xll.aqToolLVBFromKeysValues($C$7:$M$7,$C76:$M76))</f>
        <v>IT0004976525:5</v>
      </c>
      <c r="O76" s="78">
        <v>3.5459674204195268E-2</v>
      </c>
      <c r="P76" s="51">
        <v>70.890799999999999</v>
      </c>
      <c r="Q76" s="17">
        <v>9.7024000000000008</v>
      </c>
      <c r="R76" s="95">
        <v>687.81100000000004</v>
      </c>
      <c r="S76" s="39" cm="1">
        <f t="array" ref="S76">_xll.aqBondObjectYield(N76,$C$4,T76)</f>
        <v>3.5459674204195268E-2</v>
      </c>
      <c r="T76" s="49" cm="1">
        <f t="array" ref="T76">_xll.aqBondObjectPrice($N76,$C$4,$O76)</f>
        <v>70.890777330891382</v>
      </c>
      <c r="U76" s="49" cm="1">
        <f t="array" ref="U76">_xll.aqBondObjectCleanPrice($N76,$C$4,$O76)</f>
        <v>70.890777330891382</v>
      </c>
      <c r="V76" s="49" cm="1">
        <f t="array" ref="V76">_xll.aqBondObjectDirtyPrice($N76,$C$4,$O76)</f>
        <v>70.890777330891382</v>
      </c>
      <c r="W76" s="18" cm="1">
        <f t="array" ref="W76">_xll.aqBondObjectModifiedDuration($N76,$C$4,$O76)</f>
        <v>9.7024046320663846</v>
      </c>
      <c r="X76" s="93" cm="1">
        <f t="array" ref="X76">_xll.aqBondObjectDV01($N76,$C$4,$O76)</f>
        <v>687.81100634602717</v>
      </c>
    </row>
    <row r="77" spans="2:24">
      <c r="B77" s="11" t="s">
        <v>663</v>
      </c>
      <c r="C77" s="11" t="s">
        <v>664</v>
      </c>
      <c r="D77" s="11" t="s">
        <v>664</v>
      </c>
      <c r="E77" s="12">
        <v>40072</v>
      </c>
      <c r="F77" s="12" t="s">
        <v>318</v>
      </c>
      <c r="G77" s="15" t="str">
        <f t="shared" si="1"/>
        <v/>
      </c>
      <c r="H77" s="12" t="s">
        <v>318</v>
      </c>
      <c r="I77" s="12" t="s">
        <v>318</v>
      </c>
      <c r="J77" s="31">
        <v>0</v>
      </c>
      <c r="K77" s="12">
        <v>46997</v>
      </c>
      <c r="L77" s="89" t="s">
        <v>318</v>
      </c>
      <c r="M77" s="80" t="s">
        <v>282</v>
      </c>
      <c r="N77" s="16" t="str" cm="1">
        <f t="array" ref="N77">_xll.aqBondObjectCreateFromGenerator($C77,$N$4,_xll.aqToolLVBFromKeysValues($C$7:$M$7,$C77:$M77))</f>
        <v>IT0004534357:5</v>
      </c>
      <c r="O77" s="78">
        <v>3.6947710771016107E-2</v>
      </c>
      <c r="P77" s="51">
        <v>69.892799999999994</v>
      </c>
      <c r="Q77" s="17">
        <v>9.6953999999999994</v>
      </c>
      <c r="R77" s="95">
        <v>677.64120000000003</v>
      </c>
      <c r="S77" s="39" cm="1">
        <f t="array" ref="S77">_xll.aqBondObjectYield(N77,$C$4,T77)</f>
        <v>3.6947710771016551E-2</v>
      </c>
      <c r="T77" s="49" cm="1">
        <f t="array" ref="T77">_xll.aqBondObjectPrice($N77,$C$4,$O77)</f>
        <v>69.892771404202449</v>
      </c>
      <c r="U77" s="49" cm="1">
        <f t="array" ref="U77">_xll.aqBondObjectCleanPrice($N77,$C$4,$O77)</f>
        <v>69.892771404202449</v>
      </c>
      <c r="V77" s="49" cm="1">
        <f t="array" ref="V77">_xll.aqBondObjectDirtyPrice($N77,$C$4,$O77)</f>
        <v>69.892771404202449</v>
      </c>
      <c r="W77" s="18" cm="1">
        <f t="array" ref="W77">_xll.aqBondObjectModifiedDuration($N77,$C$4,$O77)</f>
        <v>9.6954405797949992</v>
      </c>
      <c r="X77" s="93" cm="1">
        <f t="array" ref="X77">_xll.aqBondObjectDV01($N77,$C$4,$O77)</f>
        <v>677.64121210663995</v>
      </c>
    </row>
    <row r="78" spans="2:24">
      <c r="B78" s="11" t="s">
        <v>407</v>
      </c>
      <c r="C78" s="11" t="s">
        <v>408</v>
      </c>
      <c r="D78" s="11" t="s">
        <v>408</v>
      </c>
      <c r="E78" s="12">
        <v>36117</v>
      </c>
      <c r="F78" s="12" t="s">
        <v>318</v>
      </c>
      <c r="G78" s="15" t="str">
        <f t="shared" si="1"/>
        <v/>
      </c>
      <c r="H78" s="12" t="s">
        <v>318</v>
      </c>
      <c r="I78" s="12" t="s">
        <v>318</v>
      </c>
      <c r="J78" s="31">
        <v>0</v>
      </c>
      <c r="K78" s="12">
        <v>47058</v>
      </c>
      <c r="L78" s="89" t="s">
        <v>318</v>
      </c>
      <c r="M78" s="80" t="s">
        <v>282</v>
      </c>
      <c r="N78" s="16" t="str" cm="1">
        <f t="array" ref="N78">_xll.aqBondObjectCreateFromGenerator($C78,$N$4,_xll.aqToolLVBFromKeysValues($C$7:$M$7,$C78:$M78))</f>
        <v>IT0001312799:5</v>
      </c>
      <c r="O78" s="78">
        <v>3.6603000209780578E-2</v>
      </c>
      <c r="P78" s="51">
        <v>69.699799999999996</v>
      </c>
      <c r="Q78" s="17">
        <v>9.8619000000000003</v>
      </c>
      <c r="R78" s="95">
        <v>687.37249999999995</v>
      </c>
      <c r="S78" s="39" cm="1">
        <f t="array" ref="S78">_xll.aqBondObjectYield(N78,$C$4,T78)</f>
        <v>3.6603000209780578E-2</v>
      </c>
      <c r="T78" s="49" cm="1">
        <f t="array" ref="T78">_xll.aqBondObjectPrice($N78,$C$4,$O78)</f>
        <v>69.699835718377329</v>
      </c>
      <c r="U78" s="49" cm="1">
        <f t="array" ref="U78">_xll.aqBondObjectCleanPrice($N78,$C$4,$O78)</f>
        <v>69.699835718377329</v>
      </c>
      <c r="V78" s="49" cm="1">
        <f t="array" ref="V78">_xll.aqBondObjectDirtyPrice($N78,$C$4,$O78)</f>
        <v>69.699835718377329</v>
      </c>
      <c r="W78" s="18" cm="1">
        <f t="array" ref="W78">_xll.aqBondObjectModifiedDuration($N78,$C$4,$O78)</f>
        <v>9.8618954326560839</v>
      </c>
      <c r="X78" s="93" cm="1">
        <f t="array" ref="X78">_xll.aqBondObjectDV01($N78,$C$4,$O78)</f>
        <v>687.37249152794482</v>
      </c>
    </row>
    <row r="79" spans="2:24">
      <c r="B79" s="11" t="s">
        <v>415</v>
      </c>
      <c r="C79" s="11" t="s">
        <v>416</v>
      </c>
      <c r="D79" s="11" t="s">
        <v>416</v>
      </c>
      <c r="E79" s="12">
        <v>37333</v>
      </c>
      <c r="F79" s="12" t="s">
        <v>318</v>
      </c>
      <c r="G79" s="15" t="str">
        <f t="shared" si="1"/>
        <v/>
      </c>
      <c r="H79" s="12" t="s">
        <v>318</v>
      </c>
      <c r="I79" s="12" t="s">
        <v>318</v>
      </c>
      <c r="J79" s="31">
        <v>0</v>
      </c>
      <c r="K79" s="12">
        <v>47150</v>
      </c>
      <c r="L79" s="89" t="s">
        <v>318</v>
      </c>
      <c r="M79" s="80" t="s">
        <v>282</v>
      </c>
      <c r="N79" s="16" t="str" cm="1">
        <f t="array" ref="N79">_xll.aqBondObjectCreateFromGenerator($C79,$N$4,_xll.aqToolLVBFromKeysValues($C$7:$M$7,$C79:$M79))</f>
        <v>IT0003268924:5</v>
      </c>
      <c r="O79" s="78">
        <v>3.681671447992696E-2</v>
      </c>
      <c r="P79" s="51">
        <v>68.930899999999994</v>
      </c>
      <c r="Q79" s="17">
        <v>10.106400000000001</v>
      </c>
      <c r="R79" s="95">
        <v>696.6431</v>
      </c>
      <c r="S79" s="39" cm="1">
        <f t="array" ref="S79">_xll.aqBondObjectYield(N79,$C$4,T79)</f>
        <v>3.681671447992696E-2</v>
      </c>
      <c r="T79" s="49" cm="1">
        <f t="array" ref="T79">_xll.aqBondObjectPrice($N79,$C$4,$O79)</f>
        <v>68.930887522466904</v>
      </c>
      <c r="U79" s="49" cm="1">
        <f t="array" ref="U79">_xll.aqBondObjectCleanPrice($N79,$C$4,$O79)</f>
        <v>68.930887522466904</v>
      </c>
      <c r="V79" s="49" cm="1">
        <f t="array" ref="V79">_xll.aqBondObjectDirtyPrice($N79,$C$4,$O79)</f>
        <v>68.930887522466904</v>
      </c>
      <c r="W79" s="18" cm="1">
        <f t="array" ref="W79">_xll.aqBondObjectModifiedDuration($N79,$C$4,$O79)</f>
        <v>10.106400195525255</v>
      </c>
      <c r="X79" s="93" cm="1">
        <f t="array" ref="X79">_xll.aqBondObjectDV01($N79,$C$4,$O79)</f>
        <v>696.64313513478885</v>
      </c>
    </row>
    <row r="80" spans="2:24">
      <c r="B80" s="11" t="s">
        <v>403</v>
      </c>
      <c r="C80" s="11" t="s">
        <v>404</v>
      </c>
      <c r="D80" s="11" t="s">
        <v>404</v>
      </c>
      <c r="E80" s="12">
        <v>41416</v>
      </c>
      <c r="F80" s="12" t="s">
        <v>318</v>
      </c>
      <c r="G80" s="15" t="str">
        <f t="shared" si="1"/>
        <v/>
      </c>
      <c r="H80" s="12" t="s">
        <v>318</v>
      </c>
      <c r="I80" s="12" t="s">
        <v>318</v>
      </c>
      <c r="J80" s="31">
        <v>0</v>
      </c>
      <c r="K80" s="12">
        <v>47178</v>
      </c>
      <c r="L80" s="89" t="s">
        <v>318</v>
      </c>
      <c r="M80" s="80" t="s">
        <v>282</v>
      </c>
      <c r="N80" s="16" t="str" cm="1">
        <f t="array" ref="N80">_xll.aqBondObjectCreateFromGenerator($C80,$N$4,_xll.aqToolLVBFromKeysValues($C$7:$M$7,$C80:$M80))</f>
        <v>IT0004976533:5</v>
      </c>
      <c r="O80" s="78">
        <v>3.7401097252337978E-2</v>
      </c>
      <c r="P80" s="51">
        <v>68.325800000000001</v>
      </c>
      <c r="Q80" s="17">
        <v>10.184200000000001</v>
      </c>
      <c r="R80" s="95">
        <v>695.8451</v>
      </c>
      <c r="S80" s="39" cm="1">
        <f t="array" ref="S80">_xll.aqBondObjectYield(N80,$C$4,T80)</f>
        <v>3.7401097252337978E-2</v>
      </c>
      <c r="T80" s="49" cm="1">
        <f t="array" ref="T80">_xll.aqBondObjectPrice($N80,$C$4,$O80)</f>
        <v>68.325773756974556</v>
      </c>
      <c r="U80" s="49" cm="1">
        <f t="array" ref="U80">_xll.aqBondObjectCleanPrice($N80,$C$4,$O80)</f>
        <v>68.325773756974556</v>
      </c>
      <c r="V80" s="49" cm="1">
        <f t="array" ref="V80">_xll.aqBondObjectDirtyPrice($N80,$C$4,$O80)</f>
        <v>68.325773756974556</v>
      </c>
      <c r="W80" s="18" cm="1">
        <f t="array" ref="W80">_xll.aqBondObjectModifiedDuration($N80,$C$4,$O80)</f>
        <v>10.184225789958438</v>
      </c>
      <c r="X80" s="93" cm="1">
        <f t="array" ref="X80">_xll.aqBondObjectDV01($N80,$C$4,$O80)</f>
        <v>695.84510721464574</v>
      </c>
    </row>
    <row r="81" spans="2:24">
      <c r="B81" s="11" t="s">
        <v>665</v>
      </c>
      <c r="C81" s="11" t="s">
        <v>666</v>
      </c>
      <c r="D81" s="11" t="s">
        <v>666</v>
      </c>
      <c r="E81" s="12">
        <v>40072</v>
      </c>
      <c r="F81" s="12" t="s">
        <v>318</v>
      </c>
      <c r="G81" s="15" t="str">
        <f t="shared" si="1"/>
        <v/>
      </c>
      <c r="H81" s="12" t="s">
        <v>318</v>
      </c>
      <c r="I81" s="12" t="s">
        <v>318</v>
      </c>
      <c r="J81" s="31">
        <v>0</v>
      </c>
      <c r="K81" s="12">
        <v>47178</v>
      </c>
      <c r="L81" s="89" t="s">
        <v>318</v>
      </c>
      <c r="M81" s="80" t="s">
        <v>282</v>
      </c>
      <c r="N81" s="16" t="str" cm="1">
        <f t="array" ref="N81">_xll.aqBondObjectCreateFromGenerator($C81,$N$4,_xll.aqToolLVBFromKeysValues($C$7:$M$7,$C81:$M81))</f>
        <v>IT0004534365:5</v>
      </c>
      <c r="O81" s="78">
        <v>3.7310391448373892E-2</v>
      </c>
      <c r="P81" s="51">
        <v>68.387799999999999</v>
      </c>
      <c r="Q81" s="17">
        <v>10.184699999999999</v>
      </c>
      <c r="R81" s="95">
        <v>696.50699999999995</v>
      </c>
      <c r="S81" s="39" cm="1">
        <f t="array" ref="S81">_xll.aqBondObjectYield(N81,$C$4,T81)</f>
        <v>3.7310391448373892E-2</v>
      </c>
      <c r="T81" s="49" cm="1">
        <f t="array" ref="T81">_xll.aqBondObjectPrice($N81,$C$4,$O81)</f>
        <v>68.387774091350053</v>
      </c>
      <c r="U81" s="49" cm="1">
        <f t="array" ref="U81">_xll.aqBondObjectCleanPrice($N81,$C$4,$O81)</f>
        <v>68.387774091350053</v>
      </c>
      <c r="V81" s="49" cm="1">
        <f t="array" ref="V81">_xll.aqBondObjectDirtyPrice($N81,$C$4,$O81)</f>
        <v>68.387774091350053</v>
      </c>
      <c r="W81" s="18" cm="1">
        <f t="array" ref="W81">_xll.aqBondObjectModifiedDuration($N81,$C$4,$O81)</f>
        <v>10.184671051185068</v>
      </c>
      <c r="X81" s="93" cm="1">
        <f t="array" ref="X81">_xll.aqBondObjectDV01($N81,$C$4,$O81)</f>
        <v>696.50698304315711</v>
      </c>
    </row>
    <row r="82" spans="2:24">
      <c r="B82" s="11" t="s">
        <v>433</v>
      </c>
      <c r="C82" s="11" t="s">
        <v>434</v>
      </c>
      <c r="D82" s="11" t="s">
        <v>434</v>
      </c>
      <c r="E82" s="12">
        <v>36117</v>
      </c>
      <c r="F82" s="12" t="s">
        <v>318</v>
      </c>
      <c r="G82" s="15" t="str">
        <f t="shared" si="1"/>
        <v/>
      </c>
      <c r="H82" s="12" t="s">
        <v>318</v>
      </c>
      <c r="I82" s="12" t="s">
        <v>318</v>
      </c>
      <c r="J82" s="31">
        <v>0</v>
      </c>
      <c r="K82" s="12">
        <v>47239</v>
      </c>
      <c r="L82" s="89" t="s">
        <v>318</v>
      </c>
      <c r="M82" s="80" t="s">
        <v>282</v>
      </c>
      <c r="N82" s="16" t="str" cm="1">
        <f t="array" ref="N82">_xll.aqBondObjectCreateFromGenerator($C82,$N$4,_xll.aqToolLVBFromKeysValues($C$7:$M$7,$C82:$M82))</f>
        <v>IT0001312807:5</v>
      </c>
      <c r="O82" s="78">
        <v>3.7202001647654637E-2</v>
      </c>
      <c r="P82" s="51">
        <v>68.035700000000006</v>
      </c>
      <c r="Q82" s="17">
        <v>10.35</v>
      </c>
      <c r="R82" s="95">
        <v>704.16970000000003</v>
      </c>
      <c r="S82" s="39" cm="1">
        <f t="array" ref="S82">_xll.aqBondObjectYield(N82,$C$4,T82)</f>
        <v>3.7202001647654637E-2</v>
      </c>
      <c r="T82" s="49" cm="1">
        <f t="array" ref="T82">_xll.aqBondObjectPrice($N82,$C$4,$O82)</f>
        <v>68.035733231916012</v>
      </c>
      <c r="U82" s="49" cm="1">
        <f t="array" ref="U82">_xll.aqBondObjectCleanPrice($N82,$C$4,$O82)</f>
        <v>68.035733231916012</v>
      </c>
      <c r="V82" s="49" cm="1">
        <f t="array" ref="V82">_xll.aqBondObjectDirtyPrice($N82,$C$4,$O82)</f>
        <v>68.035733231916012</v>
      </c>
      <c r="W82" s="18" cm="1">
        <f t="array" ref="W82">_xll.aqBondObjectModifiedDuration($N82,$C$4,$O82)</f>
        <v>10.34999852296108</v>
      </c>
      <c r="X82" s="93" cm="1">
        <f t="array" ref="X82">_xll.aqBondObjectDV01($N82,$C$4,$O82)</f>
        <v>704.16973845890482</v>
      </c>
    </row>
    <row r="83" spans="2:24">
      <c r="B83" s="11" t="s">
        <v>439</v>
      </c>
      <c r="C83" s="11" t="s">
        <v>440</v>
      </c>
      <c r="D83" s="11" t="s">
        <v>440</v>
      </c>
      <c r="E83" s="12">
        <v>37333</v>
      </c>
      <c r="F83" s="12" t="s">
        <v>318</v>
      </c>
      <c r="G83" s="15" t="str">
        <f t="shared" si="1"/>
        <v/>
      </c>
      <c r="H83" s="12" t="s">
        <v>318</v>
      </c>
      <c r="I83" s="12" t="s">
        <v>318</v>
      </c>
      <c r="J83" s="31">
        <v>0</v>
      </c>
      <c r="K83" s="12">
        <v>47331</v>
      </c>
      <c r="L83" s="89" t="s">
        <v>318</v>
      </c>
      <c r="M83" s="80" t="s">
        <v>282</v>
      </c>
      <c r="N83" s="16" t="str" cm="1">
        <f t="array" ref="N83">_xll.aqBondObjectCreateFromGenerator($C83,$N$4,_xll.aqToolLVBFromKeysValues($C$7:$M$7,$C83:$M83))</f>
        <v>IT0003268932:5</v>
      </c>
      <c r="O83" s="78">
        <v>3.751937582606546E-2</v>
      </c>
      <c r="P83" s="51">
        <v>67.2029</v>
      </c>
      <c r="Q83" s="17">
        <v>10.5939</v>
      </c>
      <c r="R83" s="95">
        <v>711.9375</v>
      </c>
      <c r="S83" s="39" cm="1">
        <f t="array" ref="S83">_xll.aqBondObjectYield(N83,$C$4,T83)</f>
        <v>3.751937582606546E-2</v>
      </c>
      <c r="T83" s="49" cm="1">
        <f t="array" ref="T83">_xll.aqBondObjectPrice($N83,$C$4,$O83)</f>
        <v>67.202888182666797</v>
      </c>
      <c r="U83" s="49" cm="1">
        <f t="array" ref="U83">_xll.aqBondObjectCleanPrice($N83,$C$4,$O83)</f>
        <v>67.202888182666797</v>
      </c>
      <c r="V83" s="49" cm="1">
        <f t="array" ref="V83">_xll.aqBondObjectDirtyPrice($N83,$C$4,$O83)</f>
        <v>67.202888182666797</v>
      </c>
      <c r="W83" s="18" cm="1">
        <f t="array" ref="W83">_xll.aqBondObjectModifiedDuration($N83,$C$4,$O83)</f>
        <v>10.593853439574254</v>
      </c>
      <c r="X83" s="93" cm="1">
        <f t="array" ref="X83">_xll.aqBondObjectDV01($N83,$C$4,$O83)</f>
        <v>711.93754812326858</v>
      </c>
    </row>
    <row r="84" spans="2:24">
      <c r="B84" s="11" t="s">
        <v>653</v>
      </c>
      <c r="C84" s="11" t="s">
        <v>654</v>
      </c>
      <c r="D84" s="11" t="s">
        <v>654</v>
      </c>
      <c r="E84" s="12">
        <v>41416</v>
      </c>
      <c r="F84" s="12" t="s">
        <v>318</v>
      </c>
      <c r="G84" s="15" t="str">
        <f t="shared" si="1"/>
        <v/>
      </c>
      <c r="H84" s="12" t="s">
        <v>318</v>
      </c>
      <c r="I84" s="12" t="s">
        <v>318</v>
      </c>
      <c r="J84" s="31">
        <v>0</v>
      </c>
      <c r="K84" s="12">
        <v>47362</v>
      </c>
      <c r="L84" s="89" t="s">
        <v>318</v>
      </c>
      <c r="M84" s="80" t="s">
        <v>282</v>
      </c>
      <c r="N84" s="16" t="str" cm="1">
        <f t="array" ref="N84">_xll.aqBondObjectCreateFromGenerator($C84,$N$4,_xll.aqToolLVBFromKeysValues($C$7:$M$7,$C84:$M84))</f>
        <v>IT0004976541:5</v>
      </c>
      <c r="O84" s="78">
        <v>3.7963711114056498E-2</v>
      </c>
      <c r="P84" s="51">
        <v>66.674999999999997</v>
      </c>
      <c r="Q84" s="17">
        <v>10.6722</v>
      </c>
      <c r="R84" s="95">
        <v>711.57140000000004</v>
      </c>
      <c r="S84" s="39" cm="1">
        <f t="array" ref="S84">_xll.aqBondObjectYield(N84,$C$4,T84)</f>
        <v>3.7963711114056498E-2</v>
      </c>
      <c r="T84" s="49" cm="1">
        <f t="array" ref="T84">_xll.aqBondObjectPrice($N84,$C$4,$O84)</f>
        <v>66.67499964435217</v>
      </c>
      <c r="U84" s="49" cm="1">
        <f t="array" ref="U84">_xll.aqBondObjectCleanPrice($N84,$C$4,$O84)</f>
        <v>66.67499964435217</v>
      </c>
      <c r="V84" s="49" cm="1">
        <f t="array" ref="V84">_xll.aqBondObjectDirtyPrice($N84,$C$4,$O84)</f>
        <v>66.67499964435217</v>
      </c>
      <c r="W84" s="18" cm="1">
        <f t="array" ref="W84">_xll.aqBondObjectModifiedDuration($N84,$C$4,$O84)</f>
        <v>10.67223633728368</v>
      </c>
      <c r="X84" s="93" cm="1">
        <f t="array" ref="X84">_xll.aqBondObjectDV01($N84,$C$4,$O84)</f>
        <v>711.57135399283163</v>
      </c>
    </row>
    <row r="85" spans="2:24">
      <c r="B85" s="11" t="s">
        <v>667</v>
      </c>
      <c r="C85" s="11" t="s">
        <v>668</v>
      </c>
      <c r="D85" s="11" t="s">
        <v>668</v>
      </c>
      <c r="E85" s="12">
        <v>40072</v>
      </c>
      <c r="F85" s="12" t="s">
        <v>318</v>
      </c>
      <c r="G85" s="15" t="str">
        <f t="shared" si="1"/>
        <v/>
      </c>
      <c r="H85" s="12" t="s">
        <v>318</v>
      </c>
      <c r="I85" s="12" t="s">
        <v>318</v>
      </c>
      <c r="J85" s="31">
        <v>0</v>
      </c>
      <c r="K85" s="12">
        <v>47362</v>
      </c>
      <c r="L85" s="89" t="s">
        <v>318</v>
      </c>
      <c r="M85" s="80" t="s">
        <v>282</v>
      </c>
      <c r="N85" s="16" t="str" cm="1">
        <f t="array" ref="N85">_xll.aqBondObjectCreateFromGenerator($C85,$N$4,_xll.aqToolLVBFromKeysValues($C$7:$M$7,$C85:$M85))</f>
        <v>IT0004534373:5</v>
      </c>
      <c r="O85" s="78">
        <v>3.766513432618912E-2</v>
      </c>
      <c r="P85" s="51">
        <v>66.884</v>
      </c>
      <c r="Q85" s="17">
        <v>10.6738</v>
      </c>
      <c r="R85" s="95">
        <v>713.90449999999998</v>
      </c>
      <c r="S85" s="39" cm="1">
        <f t="array" ref="S85">_xll.aqBondObjectYield(N85,$C$4,T85)</f>
        <v>3.766513432618912E-2</v>
      </c>
      <c r="T85" s="49" cm="1">
        <f t="array" ref="T85">_xll.aqBondObjectPrice($N85,$C$4,$O85)</f>
        <v>66.883999646287123</v>
      </c>
      <c r="U85" s="49" cm="1">
        <f t="array" ref="U85">_xll.aqBondObjectCleanPrice($N85,$C$4,$O85)</f>
        <v>66.883999646287123</v>
      </c>
      <c r="V85" s="49" cm="1">
        <f t="array" ref="V85">_xll.aqBondObjectDirtyPrice($N85,$C$4,$O85)</f>
        <v>66.883999646287123</v>
      </c>
      <c r="W85" s="18" cm="1">
        <f t="array" ref="W85">_xll.aqBondObjectModifiedDuration($N85,$C$4,$O85)</f>
        <v>10.673771636463389</v>
      </c>
      <c r="X85" s="93" cm="1">
        <f t="array" ref="X85">_xll.aqBondObjectDV01($N85,$C$4,$O85)</f>
        <v>713.9045383577668</v>
      </c>
    </row>
    <row r="86" spans="2:24">
      <c r="B86" s="11" t="s">
        <v>341</v>
      </c>
      <c r="C86" s="11" t="s">
        <v>342</v>
      </c>
      <c r="D86" s="11" t="s">
        <v>342</v>
      </c>
      <c r="E86" s="12">
        <v>36117</v>
      </c>
      <c r="F86" s="12">
        <v>36100</v>
      </c>
      <c r="G86" s="15" t="str">
        <f t="shared" si="1"/>
        <v/>
      </c>
      <c r="H86" s="12">
        <v>36281</v>
      </c>
      <c r="I86" s="12">
        <v>47239</v>
      </c>
      <c r="J86" s="31">
        <v>5.2499999999999998E-2</v>
      </c>
      <c r="K86" s="12">
        <v>47423</v>
      </c>
      <c r="L86" s="89">
        <v>99.7</v>
      </c>
      <c r="M86" s="80" t="s">
        <v>282</v>
      </c>
      <c r="N86" s="16" t="str" cm="1">
        <f t="array" ref="N86">_xll.aqBondObjectCreateFromGenerator($C86,$N$4,_xll.aqToolLVBFromKeysValues($C$7:$M$7,$C86:$M86))</f>
        <v>IT0001278511:5</v>
      </c>
      <c r="O86" s="78">
        <v>3.6187681567104724E-2</v>
      </c>
      <c r="P86" s="51">
        <v>115.04730000000001</v>
      </c>
      <c r="Q86" s="17">
        <v>8.3870000000000005</v>
      </c>
      <c r="R86" s="95">
        <v>985.12689999999998</v>
      </c>
      <c r="S86" s="39" cm="1">
        <f t="array" ref="S86">_xll.aqBondObjectYield(N86,$C$4,T86)</f>
        <v>3.6187681567104724E-2</v>
      </c>
      <c r="T86" s="49" cm="1">
        <f t="array" ref="T86">_xll.aqBondObjectPrice($N86,$C$4,$O86)</f>
        <v>115.04731206631155</v>
      </c>
      <c r="U86" s="49" cm="1">
        <f t="array" ref="U86">_xll.aqBondObjectCleanPrice($N86,$C$4,$O86)</f>
        <v>115.04731206631155</v>
      </c>
      <c r="V86" s="49" cm="1">
        <f t="array" ref="V86">_xll.aqBondObjectDirtyPrice($N86,$C$4,$O86)</f>
        <v>117.45832206631155</v>
      </c>
      <c r="W86" s="18" cm="1">
        <f t="array" ref="W86">_xll.aqBondObjectModifiedDuration($N86,$C$4,$O86)</f>
        <v>8.3870338277219965</v>
      </c>
      <c r="X86" s="93" cm="1">
        <f t="array" ref="X86">_xll.aqBondObjectDV01($N86,$C$4,$O86)</f>
        <v>985.12692051761996</v>
      </c>
    </row>
    <row r="87" spans="2:24">
      <c r="B87" s="11" t="s">
        <v>379</v>
      </c>
      <c r="C87" s="11" t="s">
        <v>380</v>
      </c>
      <c r="D87" s="11" t="s">
        <v>380</v>
      </c>
      <c r="E87" s="12">
        <v>36117</v>
      </c>
      <c r="F87" s="12" t="s">
        <v>318</v>
      </c>
      <c r="G87" s="15" t="str">
        <f t="shared" si="1"/>
        <v/>
      </c>
      <c r="H87" s="12" t="s">
        <v>318</v>
      </c>
      <c r="I87" s="12" t="s">
        <v>318</v>
      </c>
      <c r="J87" s="31">
        <v>0</v>
      </c>
      <c r="K87" s="12">
        <v>47423</v>
      </c>
      <c r="L87" s="89" t="s">
        <v>318</v>
      </c>
      <c r="M87" s="80" t="s">
        <v>282</v>
      </c>
      <c r="N87" s="16" t="str" cm="1">
        <f t="array" ref="N87">_xll.aqBondObjectCreateFromGenerator($C87,$N$4,_xll.aqToolLVBFromKeysValues($C$7:$M$7,$C87:$M87))</f>
        <v>IT0004848484:5</v>
      </c>
      <c r="O87" s="78">
        <v>3.6836252461790897E-2</v>
      </c>
      <c r="P87" s="51">
        <v>67.071799999999996</v>
      </c>
      <c r="Q87" s="17">
        <v>10.8429</v>
      </c>
      <c r="R87" s="95">
        <v>727.24980000000005</v>
      </c>
      <c r="S87" s="39" cm="1">
        <f t="array" ref="S87">_xll.aqBondObjectYield(N87,$C$4,T87)</f>
        <v>3.6836252461790897E-2</v>
      </c>
      <c r="T87" s="49" cm="1">
        <f t="array" ref="T87">_xll.aqBondObjectPrice($N87,$C$4,$O87)</f>
        <v>67.071763128627879</v>
      </c>
      <c r="U87" s="49" cm="1">
        <f t="array" ref="U87">_xll.aqBondObjectCleanPrice($N87,$C$4,$O87)</f>
        <v>67.071763128627879</v>
      </c>
      <c r="V87" s="49" cm="1">
        <f t="array" ref="V87">_xll.aqBondObjectDirtyPrice($N87,$C$4,$O87)</f>
        <v>67.071763128627879</v>
      </c>
      <c r="W87" s="18" cm="1">
        <f t="array" ref="W87">_xll.aqBondObjectModifiedDuration($N87,$C$4,$O87)</f>
        <v>10.842861660086079</v>
      </c>
      <c r="X87" s="93" cm="1">
        <f t="array" ref="X87">_xll.aqBondObjectDV01($N87,$C$4,$O87)</f>
        <v>727.24984890177439</v>
      </c>
    </row>
    <row r="88" spans="2:24">
      <c r="B88" s="11" t="s">
        <v>611</v>
      </c>
      <c r="C88" s="11" t="s">
        <v>612</v>
      </c>
      <c r="D88" s="11" t="s">
        <v>612</v>
      </c>
      <c r="E88" s="12">
        <v>36117</v>
      </c>
      <c r="F88" s="12" t="s">
        <v>318</v>
      </c>
      <c r="G88" s="15" t="str">
        <f t="shared" si="1"/>
        <v/>
      </c>
      <c r="H88" s="12" t="s">
        <v>318</v>
      </c>
      <c r="I88" s="12" t="s">
        <v>318</v>
      </c>
      <c r="J88" s="31">
        <v>0</v>
      </c>
      <c r="K88" s="12">
        <v>47423</v>
      </c>
      <c r="L88" s="89" t="s">
        <v>318</v>
      </c>
      <c r="M88" s="80" t="s">
        <v>282</v>
      </c>
      <c r="N88" s="16" t="str" cm="1">
        <f t="array" ref="N88">_xll.aqBondObjectCreateFromGenerator($C88,$N$4,_xll.aqToolLVBFromKeysValues($C$7:$M$7,$C88:$M88))</f>
        <v>IT0001312773:5</v>
      </c>
      <c r="O88" s="78">
        <v>3.5876938960706539E-2</v>
      </c>
      <c r="P88" s="51">
        <v>67.760800000000003</v>
      </c>
      <c r="Q88" s="17">
        <v>10.847899999999999</v>
      </c>
      <c r="R88" s="95">
        <v>735.06089999999995</v>
      </c>
      <c r="S88" s="39" cm="1">
        <f t="array" ref="S88">_xll.aqBondObjectYield(N88,$C$4,T88)</f>
        <v>3.5876938960706539E-2</v>
      </c>
      <c r="T88" s="49" cm="1">
        <f t="array" ref="T88">_xll.aqBondObjectPrice($N88,$C$4,$O88)</f>
        <v>67.760782416114154</v>
      </c>
      <c r="U88" s="49" cm="1">
        <f t="array" ref="U88">_xll.aqBondObjectCleanPrice($N88,$C$4,$O88)</f>
        <v>67.760782416114154</v>
      </c>
      <c r="V88" s="49" cm="1">
        <f t="array" ref="V88">_xll.aqBondObjectDirtyPrice($N88,$C$4,$O88)</f>
        <v>67.760782416114154</v>
      </c>
      <c r="W88" s="18" cm="1">
        <f t="array" ref="W88">_xll.aqBondObjectModifiedDuration($N88,$C$4,$O88)</f>
        <v>10.847881221812132</v>
      </c>
      <c r="X88" s="93" cm="1">
        <f t="array" ref="X88">_xll.aqBondObjectDV01($N88,$C$4,$O88)</f>
        <v>735.06091914706246</v>
      </c>
    </row>
    <row r="89" spans="2:24">
      <c r="B89" s="11" t="s">
        <v>685</v>
      </c>
      <c r="C89" s="11" t="s">
        <v>686</v>
      </c>
      <c r="D89" s="11" t="s">
        <v>686</v>
      </c>
      <c r="E89" s="12">
        <v>36117</v>
      </c>
      <c r="F89" s="12" t="s">
        <v>318</v>
      </c>
      <c r="G89" s="15" t="str">
        <f t="shared" si="1"/>
        <v/>
      </c>
      <c r="H89" s="12" t="s">
        <v>318</v>
      </c>
      <c r="I89" s="12" t="s">
        <v>318</v>
      </c>
      <c r="J89" s="31">
        <v>0</v>
      </c>
      <c r="K89" s="12">
        <v>47423</v>
      </c>
      <c r="L89" s="89" t="s">
        <v>318</v>
      </c>
      <c r="M89" s="80" t="s">
        <v>282</v>
      </c>
      <c r="N89" s="16" t="str" cm="1">
        <f t="array" ref="N89">_xll.aqBondObjectCreateFromGenerator($C89,$N$4,_xll.aqToolLVBFromKeysValues($C$7:$M$7,$C89:$M89))</f>
        <v>IT0001312815:5</v>
      </c>
      <c r="O89" s="78">
        <v>3.6413059610004961E-2</v>
      </c>
      <c r="P89" s="51">
        <v>67.374799999999993</v>
      </c>
      <c r="Q89" s="17">
        <v>10.8451</v>
      </c>
      <c r="R89" s="95">
        <v>730.68449999999996</v>
      </c>
      <c r="S89" s="39" cm="1">
        <f t="array" ref="S89">_xll.aqBondObjectYield(N89,$C$4,T89)</f>
        <v>3.6413059610004961E-2</v>
      </c>
      <c r="T89" s="49" cm="1">
        <f t="array" ref="T89">_xll.aqBondObjectPrice($N89,$C$4,$O89)</f>
        <v>67.374771569396728</v>
      </c>
      <c r="U89" s="49" cm="1">
        <f t="array" ref="U89">_xll.aqBondObjectCleanPrice($N89,$C$4,$O89)</f>
        <v>67.374771569396728</v>
      </c>
      <c r="V89" s="49" cm="1">
        <f t="array" ref="V89">_xll.aqBondObjectDirtyPrice($N89,$C$4,$O89)</f>
        <v>67.374771569396728</v>
      </c>
      <c r="W89" s="18" cm="1">
        <f t="array" ref="W89">_xll.aqBondObjectModifiedDuration($N89,$C$4,$O89)</f>
        <v>10.845075137226713</v>
      </c>
      <c r="X89" s="93" cm="1">
        <f t="array" ref="X89">_xll.aqBondObjectDV01($N89,$C$4,$O89)</f>
        <v>730.68446002359372</v>
      </c>
    </row>
    <row r="90" spans="2:24">
      <c r="B90" s="11" t="s">
        <v>419</v>
      </c>
      <c r="C90" s="11" t="s">
        <v>420</v>
      </c>
      <c r="D90" s="11" t="s">
        <v>420</v>
      </c>
      <c r="E90" s="12">
        <v>37333</v>
      </c>
      <c r="F90" s="12" t="s">
        <v>318</v>
      </c>
      <c r="G90" s="15" t="str">
        <f t="shared" si="1"/>
        <v/>
      </c>
      <c r="H90" s="12" t="s">
        <v>318</v>
      </c>
      <c r="I90" s="12" t="s">
        <v>318</v>
      </c>
      <c r="J90" s="31">
        <v>0</v>
      </c>
      <c r="K90" s="12">
        <v>47515</v>
      </c>
      <c r="L90" s="89" t="s">
        <v>318</v>
      </c>
      <c r="M90" s="80" t="s">
        <v>282</v>
      </c>
      <c r="N90" s="16" t="str" cm="1">
        <f t="array" ref="N90">_xll.aqBondObjectCreateFromGenerator($C90,$N$4,_xll.aqToolLVBFromKeysValues($C$7:$M$7,$C90:$M90))</f>
        <v>IT0003268957:5</v>
      </c>
      <c r="O90" s="78">
        <v>3.7578860925119528E-2</v>
      </c>
      <c r="P90" s="51">
        <v>65.933899999999994</v>
      </c>
      <c r="Q90" s="17">
        <v>11.0844</v>
      </c>
      <c r="R90" s="95">
        <v>730.83839999999998</v>
      </c>
      <c r="S90" s="39" cm="1">
        <f t="array" ref="S90">_xll.aqBondObjectYield(N90,$C$4,T90)</f>
        <v>3.7578860925119528E-2</v>
      </c>
      <c r="T90" s="49" cm="1">
        <f t="array" ref="T90">_xll.aqBondObjectPrice($N90,$C$4,$O90)</f>
        <v>65.933889988648048</v>
      </c>
      <c r="U90" s="49" cm="1">
        <f t="array" ref="U90">_xll.aqBondObjectCleanPrice($N90,$C$4,$O90)</f>
        <v>65.933889988648048</v>
      </c>
      <c r="V90" s="49" cm="1">
        <f t="array" ref="V90">_xll.aqBondObjectDirtyPrice($N90,$C$4,$O90)</f>
        <v>65.933889988648048</v>
      </c>
      <c r="W90" s="18" cm="1">
        <f t="array" ref="W90">_xll.aqBondObjectModifiedDuration($N90,$C$4,$O90)</f>
        <v>11.084411797510523</v>
      </c>
      <c r="X90" s="93" cm="1">
        <f t="array" ref="X90">_xll.aqBondObjectDV01($N90,$C$4,$O90)</f>
        <v>730.83838804593131</v>
      </c>
    </row>
    <row r="91" spans="2:24">
      <c r="B91" s="11" t="s">
        <v>310</v>
      </c>
      <c r="C91" s="11" t="s">
        <v>311</v>
      </c>
      <c r="D91" s="11" t="s">
        <v>311</v>
      </c>
      <c r="E91" s="12">
        <v>41780</v>
      </c>
      <c r="F91" s="12">
        <v>41699</v>
      </c>
      <c r="G91" s="15" t="str">
        <f t="shared" si="1"/>
        <v/>
      </c>
      <c r="H91" s="12">
        <v>41883</v>
      </c>
      <c r="I91" s="12">
        <v>47362</v>
      </c>
      <c r="J91" s="31">
        <v>3.5000000000000003E-2</v>
      </c>
      <c r="K91" s="12">
        <v>47543</v>
      </c>
      <c r="L91" s="89">
        <v>99.471000000000004</v>
      </c>
      <c r="M91" s="80" t="s">
        <v>282</v>
      </c>
      <c r="N91" s="16" t="str" cm="1">
        <f t="array" ref="N91">_xll.aqBondObjectCreateFromGenerator($C91,$N$4,_xll.aqToolLVBFromKeysValues($C$7:$M$7,$C91:$M91))</f>
        <v>IT0005024234:5</v>
      </c>
      <c r="O91" s="78">
        <v>3.6376406188127319E-2</v>
      </c>
      <c r="P91" s="51">
        <v>99.022000000000006</v>
      </c>
      <c r="Q91" s="17">
        <v>9.2596000000000007</v>
      </c>
      <c r="R91" s="95">
        <v>921.01859999999999</v>
      </c>
      <c r="S91" s="39" cm="1">
        <f t="array" ref="S91">_xll.aqBondObjectYield(N91,$C$4,T91)</f>
        <v>3.6376406188128207E-2</v>
      </c>
      <c r="T91" s="49" cm="1">
        <f t="array" ref="T91">_xll.aqBondObjectPrice($N91,$C$4,$O91)</f>
        <v>99.02197055006225</v>
      </c>
      <c r="U91" s="49" cm="1">
        <f t="array" ref="U91">_xll.aqBondObjectCleanPrice($N91,$C$4,$O91)</f>
        <v>99.02197055006225</v>
      </c>
      <c r="V91" s="49" cm="1">
        <f t="array" ref="V91">_xll.aqBondObjectDirtyPrice($N91,$C$4,$O91)</f>
        <v>99.466720550062249</v>
      </c>
      <c r="W91" s="18" cm="1">
        <f t="array" ref="W91">_xll.aqBondObjectModifiedDuration($N91,$C$4,$O91)</f>
        <v>9.2595654618270355</v>
      </c>
      <c r="X91" s="93" cm="1">
        <f t="array" ref="X91">_xll.aqBondObjectDV01($N91,$C$4,$O91)</f>
        <v>921.01861020655781</v>
      </c>
    </row>
    <row r="92" spans="2:24">
      <c r="B92" s="11" t="s">
        <v>675</v>
      </c>
      <c r="C92" s="11" t="s">
        <v>676</v>
      </c>
      <c r="D92" s="11" t="s">
        <v>676</v>
      </c>
      <c r="E92" s="12">
        <v>41416</v>
      </c>
      <c r="F92" s="12" t="s">
        <v>318</v>
      </c>
      <c r="G92" s="15" t="str">
        <f t="shared" si="1"/>
        <v/>
      </c>
      <c r="H92" s="12" t="s">
        <v>318</v>
      </c>
      <c r="I92" s="12" t="s">
        <v>318</v>
      </c>
      <c r="J92" s="31">
        <v>0</v>
      </c>
      <c r="K92" s="12">
        <v>47543</v>
      </c>
      <c r="L92" s="89" t="s">
        <v>318</v>
      </c>
      <c r="M92" s="80" t="s">
        <v>282</v>
      </c>
      <c r="N92" s="16" t="str" cm="1">
        <f t="array" ref="N92">_xll.aqBondObjectCreateFromGenerator($C92,$N$4,_xll.aqToolLVBFromKeysValues($C$7:$M$7,$C92:$M92))</f>
        <v>IT0004976558:5</v>
      </c>
      <c r="O92" s="78">
        <v>3.6661569210147071E-2</v>
      </c>
      <c r="P92" s="51">
        <v>66.399000000000001</v>
      </c>
      <c r="Q92" s="17">
        <v>11.17</v>
      </c>
      <c r="R92" s="95">
        <v>741.67790000000002</v>
      </c>
      <c r="S92" s="39" cm="1">
        <f t="array" ref="S92">_xll.aqBondObjectYield(N92,$C$4,T92)</f>
        <v>3.6661569210147071E-2</v>
      </c>
      <c r="T92" s="49" cm="1">
        <f t="array" ref="T92">_xll.aqBondObjectPrice($N92,$C$4,$O92)</f>
        <v>66.398999531741026</v>
      </c>
      <c r="U92" s="49" cm="1">
        <f t="array" ref="U92">_xll.aqBondObjectCleanPrice($N92,$C$4,$O92)</f>
        <v>66.398999531741026</v>
      </c>
      <c r="V92" s="49" cm="1">
        <f t="array" ref="V92">_xll.aqBondObjectDirtyPrice($N92,$C$4,$O92)</f>
        <v>66.398999531741026</v>
      </c>
      <c r="W92" s="18" cm="1">
        <f t="array" ref="W92">_xll.aqBondObjectModifiedDuration($N92,$C$4,$O92)</f>
        <v>11.170016047815006</v>
      </c>
      <c r="X92" s="93" cm="1">
        <f t="array" ref="X92">_xll.aqBondObjectDV01($N92,$C$4,$O92)</f>
        <v>741.67789032840835</v>
      </c>
    </row>
    <row r="93" spans="2:24">
      <c r="B93" s="11" t="s">
        <v>435</v>
      </c>
      <c r="C93" s="11" t="s">
        <v>436</v>
      </c>
      <c r="D93" s="11" t="s">
        <v>436</v>
      </c>
      <c r="E93" s="12">
        <v>36602</v>
      </c>
      <c r="F93" s="12" t="s">
        <v>318</v>
      </c>
      <c r="G93" s="15" t="str">
        <f t="shared" si="1"/>
        <v/>
      </c>
      <c r="H93" s="12" t="s">
        <v>318</v>
      </c>
      <c r="I93" s="12" t="s">
        <v>318</v>
      </c>
      <c r="J93" s="31">
        <v>0</v>
      </c>
      <c r="K93" s="12">
        <v>47604</v>
      </c>
      <c r="L93" s="89" t="s">
        <v>318</v>
      </c>
      <c r="M93" s="80" t="s">
        <v>282</v>
      </c>
      <c r="N93" s="16" t="str" cm="1">
        <f t="array" ref="N93">_xll.aqBondObjectCreateFromGenerator($C93,$N$4,_xll.aqToolLVBFromKeysValues($C$7:$M$7,$C93:$M93))</f>
        <v>IT0001464194:5</v>
      </c>
      <c r="O93" s="78">
        <v>3.7709921556782877E-2</v>
      </c>
      <c r="P93" s="51">
        <v>65.225700000000003</v>
      </c>
      <c r="Q93" s="17">
        <v>11.3291</v>
      </c>
      <c r="R93" s="95">
        <v>738.94979999999998</v>
      </c>
      <c r="S93" s="39" cm="1">
        <f t="array" ref="S93">_xll.aqBondObjectYield(N93,$C$4,T93)</f>
        <v>3.7709921556782877E-2</v>
      </c>
      <c r="T93" s="49" cm="1">
        <f t="array" ref="T93">_xll.aqBondObjectPrice($N93,$C$4,$O93)</f>
        <v>65.225660256556509</v>
      </c>
      <c r="U93" s="49" cm="1">
        <f t="array" ref="U93">_xll.aqBondObjectCleanPrice($N93,$C$4,$O93)</f>
        <v>65.225660256556509</v>
      </c>
      <c r="V93" s="49" cm="1">
        <f t="array" ref="V93">_xll.aqBondObjectDirtyPrice($N93,$C$4,$O93)</f>
        <v>65.225660256556509</v>
      </c>
      <c r="W93" s="18" cm="1">
        <f t="array" ref="W93">_xll.aqBondObjectModifiedDuration($N93,$C$4,$O93)</f>
        <v>11.329127326323473</v>
      </c>
      <c r="X93" s="93" cm="1">
        <f t="array" ref="X93">_xll.aqBondObjectDV01($N93,$C$4,$O93)</f>
        <v>738.9498099900452</v>
      </c>
    </row>
    <row r="94" spans="2:24">
      <c r="B94" s="11" t="s">
        <v>499</v>
      </c>
      <c r="C94" s="11" t="s">
        <v>500</v>
      </c>
      <c r="D94" s="11" t="s">
        <v>500</v>
      </c>
      <c r="E94" s="12">
        <v>37333</v>
      </c>
      <c r="F94" s="12" t="s">
        <v>318</v>
      </c>
      <c r="G94" s="15" t="str">
        <f t="shared" si="1"/>
        <v/>
      </c>
      <c r="H94" s="12" t="s">
        <v>318</v>
      </c>
      <c r="I94" s="12" t="s">
        <v>318</v>
      </c>
      <c r="J94" s="31">
        <v>0</v>
      </c>
      <c r="K94" s="12">
        <v>47696</v>
      </c>
      <c r="L94" s="89" t="s">
        <v>318</v>
      </c>
      <c r="M94" s="80" t="s">
        <v>282</v>
      </c>
      <c r="N94" s="16" t="str" cm="1">
        <f t="array" ref="N94">_xll.aqBondObjectCreateFromGenerator($C94,$N$4,_xll.aqToolLVBFromKeysValues($C$7:$M$7,$C94:$M94))</f>
        <v>IT0003268973:5</v>
      </c>
      <c r="O94" s="78">
        <v>3.8095749771545284E-2</v>
      </c>
      <c r="P94" s="51">
        <v>64.349900000000005</v>
      </c>
      <c r="Q94" s="17">
        <v>11.5724</v>
      </c>
      <c r="R94" s="95">
        <v>744.68209999999999</v>
      </c>
      <c r="S94" s="39" cm="1">
        <f t="array" ref="S94">_xll.aqBondObjectYield(N94,$C$4,T94)</f>
        <v>3.8095749771545728E-2</v>
      </c>
      <c r="T94" s="49" cm="1">
        <f t="array" ref="T94">_xll.aqBondObjectPrice($N94,$C$4,$O94)</f>
        <v>64.349891003301593</v>
      </c>
      <c r="U94" s="49" cm="1">
        <f t="array" ref="U94">_xll.aqBondObjectCleanPrice($N94,$C$4,$O94)</f>
        <v>64.349891003301593</v>
      </c>
      <c r="V94" s="49" cm="1">
        <f t="array" ref="V94">_xll.aqBondObjectDirtyPrice($N94,$C$4,$O94)</f>
        <v>64.349891003301593</v>
      </c>
      <c r="W94" s="18" cm="1">
        <f t="array" ref="W94">_xll.aqBondObjectModifiedDuration($N94,$C$4,$O94)</f>
        <v>11.572391696034325</v>
      </c>
      <c r="X94" s="93" cm="1">
        <f t="array" ref="X94">_xll.aqBondObjectDV01($N94,$C$4,$O94)</f>
        <v>744.68214428732131</v>
      </c>
    </row>
    <row r="95" spans="2:24">
      <c r="B95" s="11" t="s">
        <v>399</v>
      </c>
      <c r="C95" s="11" t="s">
        <v>400</v>
      </c>
      <c r="D95" s="11" t="s">
        <v>400</v>
      </c>
      <c r="E95" s="12">
        <v>36602</v>
      </c>
      <c r="F95" s="12" t="s">
        <v>318</v>
      </c>
      <c r="G95" s="15" t="str">
        <f t="shared" si="1"/>
        <v/>
      </c>
      <c r="H95" s="12" t="s">
        <v>318</v>
      </c>
      <c r="I95" s="12" t="s">
        <v>318</v>
      </c>
      <c r="J95" s="31">
        <v>0</v>
      </c>
      <c r="K95" s="12">
        <v>47788</v>
      </c>
      <c r="L95" s="89" t="s">
        <v>318</v>
      </c>
      <c r="M95" s="80" t="s">
        <v>282</v>
      </c>
      <c r="N95" s="16" t="str" cm="1">
        <f t="array" ref="N95">_xll.aqBondObjectCreateFromGenerator($C95,$N$4,_xll.aqToolLVBFromKeysValues($C$7:$M$7,$C95:$M95))</f>
        <v>IT0001464202:5</v>
      </c>
      <c r="O95" s="78">
        <v>3.8113768759377109E-2</v>
      </c>
      <c r="P95" s="51">
        <v>63.736699999999999</v>
      </c>
      <c r="Q95" s="17">
        <v>11.8177</v>
      </c>
      <c r="R95" s="95">
        <v>753.2183</v>
      </c>
      <c r="S95" s="39" cm="1">
        <f t="array" ref="S95">_xll.aqBondObjectYield(N95,$C$4,T95)</f>
        <v>3.8113768759377109E-2</v>
      </c>
      <c r="T95" s="49" cm="1">
        <f t="array" ref="T95">_xll.aqBondObjectPrice($N95,$C$4,$O95)</f>
        <v>63.736676876699029</v>
      </c>
      <c r="U95" s="49" cm="1">
        <f t="array" ref="U95">_xll.aqBondObjectCleanPrice($N95,$C$4,$O95)</f>
        <v>63.736676876699029</v>
      </c>
      <c r="V95" s="49" cm="1">
        <f t="array" ref="V95">_xll.aqBondObjectDirtyPrice($N95,$C$4,$O95)</f>
        <v>63.736676876699029</v>
      </c>
      <c r="W95" s="18" cm="1">
        <f t="array" ref="W95">_xll.aqBondObjectModifiedDuration($N95,$C$4,$O95)</f>
        <v>11.817659041803804</v>
      </c>
      <c r="X95" s="93" cm="1">
        <f t="array" ref="X95">_xll.aqBondObjectDV01($N95,$C$4,$O95)</f>
        <v>753.21831578644969</v>
      </c>
    </row>
    <row r="96" spans="2:24">
      <c r="B96" s="11" t="s">
        <v>447</v>
      </c>
      <c r="C96" s="11" t="s">
        <v>448</v>
      </c>
      <c r="D96" s="11" t="s">
        <v>448</v>
      </c>
      <c r="E96" s="12">
        <v>37333</v>
      </c>
      <c r="F96" s="12" t="s">
        <v>318</v>
      </c>
      <c r="G96" s="15" t="str">
        <f t="shared" si="1"/>
        <v/>
      </c>
      <c r="H96" s="12" t="s">
        <v>318</v>
      </c>
      <c r="I96" s="12" t="s">
        <v>318</v>
      </c>
      <c r="J96" s="31">
        <v>0</v>
      </c>
      <c r="K96" s="12">
        <v>47880</v>
      </c>
      <c r="L96" s="89" t="s">
        <v>318</v>
      </c>
      <c r="M96" s="80" t="s">
        <v>282</v>
      </c>
      <c r="N96" s="16" t="str" cm="1">
        <f t="array" ref="N96">_xll.aqBondObjectCreateFromGenerator($C96,$N$4,_xll.aqToolLVBFromKeysValues($C$7:$M$7,$C96:$M96))</f>
        <v>IT0003268999:5</v>
      </c>
      <c r="O96" s="78">
        <v>3.8594922792035691E-2</v>
      </c>
      <c r="P96" s="51">
        <v>62.773099999999999</v>
      </c>
      <c r="Q96" s="17">
        <v>12.0602</v>
      </c>
      <c r="R96" s="95">
        <v>757.05830000000003</v>
      </c>
      <c r="S96" s="39" cm="1">
        <f t="array" ref="S96">_xll.aqBondObjectYield(N96,$C$4,T96)</f>
        <v>3.8594922792036135E-2</v>
      </c>
      <c r="T96" s="49" cm="1">
        <f t="array" ref="T96">_xll.aqBondObjectPrice($N96,$C$4,$O96)</f>
        <v>62.773107065418529</v>
      </c>
      <c r="U96" s="49" cm="1">
        <f t="array" ref="U96">_xll.aqBondObjectCleanPrice($N96,$C$4,$O96)</f>
        <v>62.773107065418529</v>
      </c>
      <c r="V96" s="49" cm="1">
        <f t="array" ref="V96">_xll.aqBondObjectDirtyPrice($N96,$C$4,$O96)</f>
        <v>62.773107065418529</v>
      </c>
      <c r="W96" s="18" cm="1">
        <f t="array" ref="W96">_xll.aqBondObjectModifiedDuration($N96,$C$4,$O96)</f>
        <v>12.06023225441005</v>
      </c>
      <c r="X96" s="93" cm="1">
        <f t="array" ref="X96">_xll.aqBondObjectDV01($N96,$C$4,$O96)</f>
        <v>757.05825053989588</v>
      </c>
    </row>
    <row r="97" spans="2:24">
      <c r="B97" s="11" t="s">
        <v>339</v>
      </c>
      <c r="C97" s="11" t="s">
        <v>340</v>
      </c>
      <c r="D97" s="11" t="s">
        <v>340</v>
      </c>
      <c r="E97" s="12">
        <v>36602</v>
      </c>
      <c r="F97" s="12">
        <v>36465</v>
      </c>
      <c r="G97" s="15" t="str">
        <f t="shared" si="1"/>
        <v/>
      </c>
      <c r="H97" s="12">
        <v>36647</v>
      </c>
      <c r="I97" s="12">
        <v>47788</v>
      </c>
      <c r="J97" s="31">
        <v>0.06</v>
      </c>
      <c r="K97" s="12">
        <v>47969</v>
      </c>
      <c r="L97" s="89">
        <v>102.4</v>
      </c>
      <c r="M97" s="80" t="s">
        <v>282</v>
      </c>
      <c r="N97" s="16" t="str" cm="1">
        <f t="array" ref="N97">_xll.aqBondObjectCreateFromGenerator($C97,$N$4,_xll.aqToolLVBFromKeysValues($C$7:$M$7,$C97:$M97))</f>
        <v>IT0001444378:5</v>
      </c>
      <c r="O97" s="78">
        <v>3.7132203028623412E-2</v>
      </c>
      <c r="P97" s="51">
        <v>123.129</v>
      </c>
      <c r="Q97" s="17">
        <v>9.0135000000000005</v>
      </c>
      <c r="R97" s="95">
        <v>1134.6632</v>
      </c>
      <c r="S97" s="39" cm="1">
        <f t="array" ref="S97">_xll.aqBondObjectYield(N97,$C$4,T97)</f>
        <v>3.7132203028623412E-2</v>
      </c>
      <c r="T97" s="49" cm="1">
        <f t="array" ref="T97">_xll.aqBondObjectPrice($N97,$C$4,$O97)</f>
        <v>123.12895433190216</v>
      </c>
      <c r="U97" s="49" cm="1">
        <f t="array" ref="U97">_xll.aqBondObjectCleanPrice($N97,$C$4,$O97)</f>
        <v>123.12895433190216</v>
      </c>
      <c r="V97" s="49" cm="1">
        <f t="array" ref="V97">_xll.aqBondObjectDirtyPrice($N97,$C$4,$O97)</f>
        <v>125.88438433190217</v>
      </c>
      <c r="W97" s="18" cm="1">
        <f t="array" ref="W97">_xll.aqBondObjectModifiedDuration($N97,$C$4,$O97)</f>
        <v>9.0135342455586329</v>
      </c>
      <c r="X97" s="93" cm="1">
        <f t="array" ref="X97">_xll.aqBondObjectDV01($N97,$C$4,$O97)</f>
        <v>1134.6632091566648</v>
      </c>
    </row>
    <row r="98" spans="2:24">
      <c r="B98" s="11" t="s">
        <v>371</v>
      </c>
      <c r="C98" s="11" t="s">
        <v>372</v>
      </c>
      <c r="D98" s="11" t="s">
        <v>372</v>
      </c>
      <c r="E98" s="12">
        <v>36602</v>
      </c>
      <c r="F98" s="12" t="s">
        <v>318</v>
      </c>
      <c r="G98" s="15" t="str">
        <f t="shared" si="1"/>
        <v/>
      </c>
      <c r="H98" s="12" t="s">
        <v>318</v>
      </c>
      <c r="I98" s="12" t="s">
        <v>318</v>
      </c>
      <c r="J98" s="31">
        <v>0</v>
      </c>
      <c r="K98" s="12">
        <v>47969</v>
      </c>
      <c r="L98" s="89" t="s">
        <v>318</v>
      </c>
      <c r="M98" s="80" t="s">
        <v>282</v>
      </c>
      <c r="N98" s="16" t="str" cm="1">
        <f t="array" ref="N98">_xll.aqBondObjectCreateFromGenerator($C98,$N$4,_xll.aqToolLVBFromKeysValues($C$7:$M$7,$C98:$M98))</f>
        <v>IT0001464186:5</v>
      </c>
      <c r="O98" s="78">
        <v>3.7396894915502799E-2</v>
      </c>
      <c r="P98" s="51">
        <v>63.093600000000002</v>
      </c>
      <c r="Q98" s="17">
        <v>12.3126</v>
      </c>
      <c r="R98" s="95">
        <v>776.84929999999997</v>
      </c>
      <c r="S98" s="39" cm="1">
        <f t="array" ref="S98">_xll.aqBondObjectYield(N98,$C$4,T98)</f>
        <v>3.7396894915503243E-2</v>
      </c>
      <c r="T98" s="49" cm="1">
        <f t="array" ref="T98">_xll.aqBondObjectPrice($N98,$C$4,$O98)</f>
        <v>63.093610797757407</v>
      </c>
      <c r="U98" s="49" cm="1">
        <f t="array" ref="U98">_xll.aqBondObjectCleanPrice($N98,$C$4,$O98)</f>
        <v>63.093610797757407</v>
      </c>
      <c r="V98" s="49" cm="1">
        <f t="array" ref="V98">_xll.aqBondObjectDirtyPrice($N98,$C$4,$O98)</f>
        <v>63.093610797757407</v>
      </c>
      <c r="W98" s="18" cm="1">
        <f t="array" ref="W98">_xll.aqBondObjectModifiedDuration($N98,$C$4,$O98)</f>
        <v>12.312646610427363</v>
      </c>
      <c r="X98" s="93" cm="1">
        <f t="array" ref="X98">_xll.aqBondObjectDV01($N98,$C$4,$O98)</f>
        <v>776.84933312863097</v>
      </c>
    </row>
    <row r="99" spans="2:24">
      <c r="B99" s="11" t="s">
        <v>373</v>
      </c>
      <c r="C99" s="11" t="s">
        <v>374</v>
      </c>
      <c r="D99" s="11" t="s">
        <v>374</v>
      </c>
      <c r="E99" s="12">
        <v>36602</v>
      </c>
      <c r="F99" s="12" t="s">
        <v>318</v>
      </c>
      <c r="G99" s="15" t="str">
        <f t="shared" si="1"/>
        <v/>
      </c>
      <c r="H99" s="12" t="s">
        <v>318</v>
      </c>
      <c r="I99" s="12" t="s">
        <v>318</v>
      </c>
      <c r="J99" s="31">
        <v>0</v>
      </c>
      <c r="K99" s="12">
        <v>47969</v>
      </c>
      <c r="L99" s="89" t="s">
        <v>318</v>
      </c>
      <c r="M99" s="80" t="s">
        <v>282</v>
      </c>
      <c r="N99" s="16" t="str" cm="1">
        <f t="array" ref="N99">_xll.aqBondObjectCreateFromGenerator($C99,$N$4,_xll.aqToolLVBFromKeysValues($C$7:$M$7,$C99:$M99))</f>
        <v>IT0004848492:5</v>
      </c>
      <c r="O99" s="78">
        <v>3.8213923490995949E-2</v>
      </c>
      <c r="P99" s="51">
        <v>62.473599999999998</v>
      </c>
      <c r="Q99" s="17">
        <v>12.3078</v>
      </c>
      <c r="R99" s="95">
        <v>768.9126</v>
      </c>
      <c r="S99" s="39" cm="1">
        <f t="array" ref="S99">_xll.aqBondObjectYield(N99,$C$4,T99)</f>
        <v>3.8213923490996393E-2</v>
      </c>
      <c r="T99" s="49" cm="1">
        <f t="array" ref="T99">_xll.aqBondObjectPrice($N99,$C$4,$O99)</f>
        <v>62.473594953267806</v>
      </c>
      <c r="U99" s="49" cm="1">
        <f t="array" ref="U99">_xll.aqBondObjectCleanPrice($N99,$C$4,$O99)</f>
        <v>62.473594953267806</v>
      </c>
      <c r="V99" s="49" cm="1">
        <f t="array" ref="V99">_xll.aqBondObjectDirtyPrice($N99,$C$4,$O99)</f>
        <v>62.473594953267806</v>
      </c>
      <c r="W99" s="18" cm="1">
        <f t="array" ref="W99">_xll.aqBondObjectModifiedDuration($N99,$C$4,$O99)</f>
        <v>12.307800901935227</v>
      </c>
      <c r="X99" s="93" cm="1">
        <f t="array" ref="X99">_xll.aqBondObjectDV01($N99,$C$4,$O99)</f>
        <v>768.91256831296562</v>
      </c>
    </row>
    <row r="100" spans="2:24">
      <c r="B100" s="11" t="s">
        <v>687</v>
      </c>
      <c r="C100" s="11" t="s">
        <v>688</v>
      </c>
      <c r="D100" s="11" t="s">
        <v>688</v>
      </c>
      <c r="E100" s="12">
        <v>36602</v>
      </c>
      <c r="F100" s="12" t="s">
        <v>318</v>
      </c>
      <c r="G100" s="15" t="str">
        <f t="shared" si="1"/>
        <v/>
      </c>
      <c r="H100" s="12" t="s">
        <v>318</v>
      </c>
      <c r="I100" s="12" t="s">
        <v>318</v>
      </c>
      <c r="J100" s="31">
        <v>0</v>
      </c>
      <c r="K100" s="12">
        <v>47969</v>
      </c>
      <c r="L100" s="89" t="s">
        <v>318</v>
      </c>
      <c r="M100" s="80" t="s">
        <v>282</v>
      </c>
      <c r="N100" s="16" t="str" cm="1">
        <f t="array" ref="N100">_xll.aqBondObjectCreateFromGenerator($C100,$N$4,_xll.aqToolLVBFromKeysValues($C$7:$M$7,$C100:$M100))</f>
        <v>IT0001464210:5</v>
      </c>
      <c r="O100" s="78">
        <v>3.7850456326636195E-2</v>
      </c>
      <c r="P100" s="51">
        <v>62.748600000000003</v>
      </c>
      <c r="Q100" s="17">
        <v>12.31</v>
      </c>
      <c r="R100" s="95">
        <v>772.4325</v>
      </c>
      <c r="S100" s="39" cm="1">
        <f t="array" ref="S100">_xll.aqBondObjectYield(N100,$C$4,T100)</f>
        <v>3.7850456326636639E-2</v>
      </c>
      <c r="T100" s="49" cm="1">
        <f t="array" ref="T100">_xll.aqBondObjectPrice($N100,$C$4,$O100)</f>
        <v>62.748601944934457</v>
      </c>
      <c r="U100" s="49" cm="1">
        <f t="array" ref="U100">_xll.aqBondObjectCleanPrice($N100,$C$4,$O100)</f>
        <v>62.748601944934457</v>
      </c>
      <c r="V100" s="49" cm="1">
        <f t="array" ref="V100">_xll.aqBondObjectDirtyPrice($N100,$C$4,$O100)</f>
        <v>62.748601944934457</v>
      </c>
      <c r="W100" s="18" cm="1">
        <f t="array" ref="W100">_xll.aqBondObjectModifiedDuration($N100,$C$4,$O100)</f>
        <v>12.3099558799807</v>
      </c>
      <c r="X100" s="93" cm="1">
        <f t="array" ref="X100">_xll.aqBondObjectDV01($N100,$C$4,$O100)</f>
        <v>772.43252147261433</v>
      </c>
    </row>
    <row r="101" spans="2:24">
      <c r="B101" s="11" t="s">
        <v>515</v>
      </c>
      <c r="C101" s="11" t="s">
        <v>516</v>
      </c>
      <c r="D101" s="11" t="s">
        <v>516</v>
      </c>
      <c r="E101" s="12">
        <v>37333</v>
      </c>
      <c r="F101" s="12" t="s">
        <v>318</v>
      </c>
      <c r="G101" s="15" t="str">
        <f t="shared" si="1"/>
        <v/>
      </c>
      <c r="H101" s="12" t="s">
        <v>318</v>
      </c>
      <c r="I101" s="12" t="s">
        <v>318</v>
      </c>
      <c r="J101" s="31">
        <v>0</v>
      </c>
      <c r="K101" s="12">
        <v>48061</v>
      </c>
      <c r="L101" s="89" t="s">
        <v>318</v>
      </c>
      <c r="M101" s="80" t="s">
        <v>282</v>
      </c>
      <c r="N101" s="16" t="str" cm="1">
        <f t="array" ref="N101">_xll.aqBondObjectCreateFromGenerator($C101,$N$4,_xll.aqToolLVBFromKeysValues($C$7:$M$7,$C101:$M101))</f>
        <v>IT0003269013:5</v>
      </c>
      <c r="O101" s="78">
        <v>3.8751268508230741E-2</v>
      </c>
      <c r="P101" s="51">
        <v>61.490099999999998</v>
      </c>
      <c r="Q101" s="17">
        <v>12.549899999999999</v>
      </c>
      <c r="R101" s="95">
        <v>771.69529999999997</v>
      </c>
      <c r="S101" s="39" cm="1">
        <f t="array" ref="S101">_xll.aqBondObjectYield(N101,$C$4,T101)</f>
        <v>3.8751268508231185E-2</v>
      </c>
      <c r="T101" s="49" cm="1">
        <f t="array" ref="T101">_xll.aqBondObjectPrice($N101,$C$4,$O101)</f>
        <v>61.490105294010043</v>
      </c>
      <c r="U101" s="49" cm="1">
        <f t="array" ref="U101">_xll.aqBondObjectCleanPrice($N101,$C$4,$O101)</f>
        <v>61.490105294010043</v>
      </c>
      <c r="V101" s="49" cm="1">
        <f t="array" ref="V101">_xll.aqBondObjectDirtyPrice($N101,$C$4,$O101)</f>
        <v>61.490105294010043</v>
      </c>
      <c r="W101" s="18" cm="1">
        <f t="array" ref="W101">_xll.aqBondObjectModifiedDuration($N101,$C$4,$O101)</f>
        <v>12.549909558341982</v>
      </c>
      <c r="X101" s="93" cm="1">
        <f t="array" ref="X101">_xll.aqBondObjectDV01($N101,$C$4,$O101)</f>
        <v>771.69526017275155</v>
      </c>
    </row>
    <row r="102" spans="2:24">
      <c r="B102" s="11" t="s">
        <v>409</v>
      </c>
      <c r="C102" s="11" t="s">
        <v>410</v>
      </c>
      <c r="D102" s="11" t="s">
        <v>410</v>
      </c>
      <c r="E102" s="12">
        <v>37333</v>
      </c>
      <c r="F102" s="12" t="s">
        <v>318</v>
      </c>
      <c r="G102" s="15" t="str">
        <f t="shared" si="1"/>
        <v/>
      </c>
      <c r="H102" s="12" t="s">
        <v>318</v>
      </c>
      <c r="I102" s="12" t="s">
        <v>318</v>
      </c>
      <c r="J102" s="31">
        <v>0</v>
      </c>
      <c r="K102" s="12">
        <v>48245</v>
      </c>
      <c r="L102" s="89" t="s">
        <v>318</v>
      </c>
      <c r="M102" s="80" t="s">
        <v>282</v>
      </c>
      <c r="N102" s="16" t="str" cm="1">
        <f t="array" ref="N102">_xll.aqBondObjectCreateFromGenerator($C102,$N$4,_xll.aqToolLVBFromKeysValues($C$7:$M$7,$C102:$M102))</f>
        <v>IT0003269021:5</v>
      </c>
      <c r="O102" s="78">
        <v>3.8832705065759088E-2</v>
      </c>
      <c r="P102" s="51">
        <v>60.263199999999998</v>
      </c>
      <c r="Q102" s="17">
        <v>13.04</v>
      </c>
      <c r="R102" s="95">
        <v>785.83079999999995</v>
      </c>
      <c r="S102" s="39" cm="1">
        <f t="array" ref="S102">_xll.aqBondObjectYield(N102,$C$4,T102)</f>
        <v>3.8832705065759088E-2</v>
      </c>
      <c r="T102" s="49" cm="1">
        <f t="array" ref="T102">_xll.aqBondObjectPrice($N102,$C$4,$O102)</f>
        <v>60.263171964169324</v>
      </c>
      <c r="U102" s="49" cm="1">
        <f t="array" ref="U102">_xll.aqBondObjectCleanPrice($N102,$C$4,$O102)</f>
        <v>60.263171964169324</v>
      </c>
      <c r="V102" s="49" cm="1">
        <f t="array" ref="V102">_xll.aqBondObjectDirtyPrice($N102,$C$4,$O102)</f>
        <v>60.263171964169324</v>
      </c>
      <c r="W102" s="18" cm="1">
        <f t="array" ref="W102">_xll.aqBondObjectModifiedDuration($N102,$C$4,$O102)</f>
        <v>13.03998336049623</v>
      </c>
      <c r="X102" s="93" cm="1">
        <f t="array" ref="X102">_xll.aqBondObjectDV01($N102,$C$4,$O102)</f>
        <v>785.83075966349088</v>
      </c>
    </row>
    <row r="103" spans="2:24">
      <c r="B103" s="11" t="s">
        <v>302</v>
      </c>
      <c r="C103" s="11" t="s">
        <v>303</v>
      </c>
      <c r="D103" s="11" t="s">
        <v>303</v>
      </c>
      <c r="E103" s="12">
        <v>42087</v>
      </c>
      <c r="F103" s="12">
        <v>42064</v>
      </c>
      <c r="G103" s="15" t="str">
        <f t="shared" si="1"/>
        <v/>
      </c>
      <c r="H103" s="12">
        <v>42248</v>
      </c>
      <c r="I103" s="12">
        <v>48092</v>
      </c>
      <c r="J103" s="31">
        <v>1.6500000000000001E-2</v>
      </c>
      <c r="K103" s="12">
        <v>48274</v>
      </c>
      <c r="L103" s="89">
        <v>99.501000000000005</v>
      </c>
      <c r="M103" s="80" t="s">
        <v>282</v>
      </c>
      <c r="N103" s="16" t="str" cm="1">
        <f t="array" ref="N103">_xll.aqBondObjectCreateFromGenerator($C103,$N$4,_xll.aqToolLVBFromKeysValues($C$7:$M$7,$C103:$M103))</f>
        <v>IT0005094088:5</v>
      </c>
      <c r="O103" s="78">
        <v>3.4874540234087315E-2</v>
      </c>
      <c r="P103" s="51">
        <v>80.773899999999998</v>
      </c>
      <c r="Q103" s="17">
        <v>11.633100000000001</v>
      </c>
      <c r="R103" s="95">
        <v>942.08789999999999</v>
      </c>
      <c r="S103" s="39" cm="1">
        <f t="array" ref="S103">_xll.aqBondObjectYield(N103,$C$4,T103)</f>
        <v>3.4874540234087315E-2</v>
      </c>
      <c r="T103" s="49" cm="1">
        <f t="array" ref="T103">_xll.aqBondObjectPrice($N103,$C$4,$O103)</f>
        <v>80.773887435687385</v>
      </c>
      <c r="U103" s="49" cm="1">
        <f t="array" ref="U103">_xll.aqBondObjectCleanPrice($N103,$C$4,$O103)</f>
        <v>80.773887435687385</v>
      </c>
      <c r="V103" s="49" cm="1">
        <f t="array" ref="V103">_xll.aqBondObjectDirtyPrice($N103,$C$4,$O103)</f>
        <v>80.983557435687388</v>
      </c>
      <c r="W103" s="18" cm="1">
        <f t="array" ref="W103">_xll.aqBondObjectModifiedDuration($N103,$C$4,$O103)</f>
        <v>11.633076408930645</v>
      </c>
      <c r="X103" s="93" cm="1">
        <f t="array" ref="X103">_xll.aqBondObjectDV01($N103,$C$4,$O103)</f>
        <v>942.08791151637479</v>
      </c>
    </row>
    <row r="104" spans="2:24">
      <c r="B104" s="11" t="s">
        <v>501</v>
      </c>
      <c r="C104" s="11" t="s">
        <v>502</v>
      </c>
      <c r="D104" s="11" t="s">
        <v>502</v>
      </c>
      <c r="E104" s="12">
        <v>40072</v>
      </c>
      <c r="F104" s="12" t="s">
        <v>318</v>
      </c>
      <c r="G104" s="15" t="str">
        <f t="shared" si="1"/>
        <v/>
      </c>
      <c r="H104" s="12" t="s">
        <v>318</v>
      </c>
      <c r="I104" s="12" t="s">
        <v>318</v>
      </c>
      <c r="J104" s="31">
        <v>0</v>
      </c>
      <c r="K104" s="12">
        <v>48274</v>
      </c>
      <c r="L104" s="89" t="s">
        <v>318</v>
      </c>
      <c r="M104" s="80" t="s">
        <v>282</v>
      </c>
      <c r="N104" s="16" t="str" cm="1">
        <f t="array" ref="N104">_xll.aqBondObjectCreateFromGenerator($C104,$N$4,_xll.aqToolLVBFromKeysValues($C$7:$M$7,$C104:$M104))</f>
        <v>IT0004534423:5</v>
      </c>
      <c r="O104" s="78">
        <v>3.8808061210656497E-2</v>
      </c>
      <c r="P104" s="51">
        <v>60.099899999999998</v>
      </c>
      <c r="Q104" s="17">
        <v>13.120799999999999</v>
      </c>
      <c r="R104" s="95">
        <v>788.55610000000001</v>
      </c>
      <c r="S104" s="39" cm="1">
        <f t="array" ref="S104">_xll.aqBondObjectYield(N104,$C$4,T104)</f>
        <v>3.8808061210656941E-2</v>
      </c>
      <c r="T104" s="49" cm="1">
        <f t="array" ref="T104">_xll.aqBondObjectPrice($N104,$C$4,$O104)</f>
        <v>60.099896938348799</v>
      </c>
      <c r="U104" s="49" cm="1">
        <f t="array" ref="U104">_xll.aqBondObjectCleanPrice($N104,$C$4,$O104)</f>
        <v>60.099896938348799</v>
      </c>
      <c r="V104" s="49" cm="1">
        <f t="array" ref="V104">_xll.aqBondObjectDirtyPrice($N104,$C$4,$O104)</f>
        <v>60.099896938348799</v>
      </c>
      <c r="W104" s="18" cm="1">
        <f t="array" ref="W104">_xll.aqBondObjectModifiedDuration($N104,$C$4,$O104)</f>
        <v>13.120755919433714</v>
      </c>
      <c r="X104" s="93" cm="1">
        <f t="array" ref="X104">_xll.aqBondObjectDV01($N104,$C$4,$O104)</f>
        <v>788.55607851119612</v>
      </c>
    </row>
    <row r="105" spans="2:24">
      <c r="B105" s="11" t="s">
        <v>581</v>
      </c>
      <c r="C105" s="11" t="s">
        <v>582</v>
      </c>
      <c r="D105" s="11" t="s">
        <v>582</v>
      </c>
      <c r="E105" s="12">
        <v>41416</v>
      </c>
      <c r="F105" s="12" t="s">
        <v>318</v>
      </c>
      <c r="G105" s="15" t="str">
        <f t="shared" si="1"/>
        <v/>
      </c>
      <c r="H105" s="12" t="s">
        <v>318</v>
      </c>
      <c r="I105" s="12" t="s">
        <v>318</v>
      </c>
      <c r="J105" s="31">
        <v>0</v>
      </c>
      <c r="K105" s="12">
        <v>48274</v>
      </c>
      <c r="L105" s="89" t="s">
        <v>318</v>
      </c>
      <c r="M105" s="80" t="s">
        <v>282</v>
      </c>
      <c r="N105" s="16" t="str" cm="1">
        <f t="array" ref="N105">_xll.aqBondObjectCreateFromGenerator($C105,$N$4,_xll.aqToolLVBFromKeysValues($C$7:$M$7,$C105:$M105))</f>
        <v>IT0004976590:5</v>
      </c>
      <c r="O105" s="78">
        <v>3.4307367957027379E-2</v>
      </c>
      <c r="P105" s="51">
        <v>63.692900000000002</v>
      </c>
      <c r="Q105" s="17">
        <v>13.1493</v>
      </c>
      <c r="R105" s="95">
        <v>837.51530000000002</v>
      </c>
      <c r="S105" s="39" cm="1">
        <f t="array" ref="S105">_xll.aqBondObjectYield(N105,$C$4,T105)</f>
        <v>3.4307367957027379E-2</v>
      </c>
      <c r="T105" s="49" cm="1">
        <f t="array" ref="T105">_xll.aqBondObjectPrice($N105,$C$4,$O105)</f>
        <v>63.692903232773723</v>
      </c>
      <c r="U105" s="49" cm="1">
        <f t="array" ref="U105">_xll.aqBondObjectCleanPrice($N105,$C$4,$O105)</f>
        <v>63.692903232773723</v>
      </c>
      <c r="V105" s="49" cm="1">
        <f t="array" ref="V105">_xll.aqBondObjectDirtyPrice($N105,$C$4,$O105)</f>
        <v>63.692903232773723</v>
      </c>
      <c r="W105" s="18" cm="1">
        <f t="array" ref="W105">_xll.aqBondObjectModifiedDuration($N105,$C$4,$O105)</f>
        <v>13.149271812527697</v>
      </c>
      <c r="X105" s="93" cm="1">
        <f t="array" ref="X105">_xll.aqBondObjectDV01($N105,$C$4,$O105)</f>
        <v>837.51529713676575</v>
      </c>
    </row>
    <row r="106" spans="2:24">
      <c r="B106" s="11" t="s">
        <v>395</v>
      </c>
      <c r="C106" s="11" t="s">
        <v>396</v>
      </c>
      <c r="D106" s="11" t="s">
        <v>396</v>
      </c>
      <c r="E106" s="12">
        <v>37333</v>
      </c>
      <c r="F106" s="12" t="s">
        <v>318</v>
      </c>
      <c r="G106" s="15" t="str">
        <f t="shared" si="1"/>
        <v/>
      </c>
      <c r="H106" s="12" t="s">
        <v>318</v>
      </c>
      <c r="I106" s="12" t="s">
        <v>318</v>
      </c>
      <c r="J106" s="31">
        <v>0</v>
      </c>
      <c r="K106" s="12">
        <v>48427</v>
      </c>
      <c r="L106" s="89" t="s">
        <v>318</v>
      </c>
      <c r="M106" s="80" t="s">
        <v>282</v>
      </c>
      <c r="N106" s="16" t="str" cm="1">
        <f t="array" ref="N106">_xll.aqBondObjectCreateFromGenerator($C106,$N$4,_xll.aqToolLVBFromKeysValues($C$7:$M$7,$C106:$M106))</f>
        <v>IT0003269039:5</v>
      </c>
      <c r="O106" s="78">
        <v>3.9295321475258715E-2</v>
      </c>
      <c r="P106" s="51">
        <v>58.764099999999999</v>
      </c>
      <c r="Q106" s="17">
        <v>13.5275</v>
      </c>
      <c r="R106" s="95">
        <v>794.93359999999996</v>
      </c>
      <c r="S106" s="39" cm="1">
        <f t="array" ref="S106">_xll.aqBondObjectYield(N106,$C$4,T106)</f>
        <v>3.929532147525916E-2</v>
      </c>
      <c r="T106" s="49" cm="1">
        <f t="array" ref="T106">_xll.aqBondObjectPrice($N106,$C$4,$O106)</f>
        <v>58.764102011929239</v>
      </c>
      <c r="U106" s="49" cm="1">
        <f t="array" ref="U106">_xll.aqBondObjectCleanPrice($N106,$C$4,$O106)</f>
        <v>58.764102011929239</v>
      </c>
      <c r="V106" s="49" cm="1">
        <f t="array" ref="V106">_xll.aqBondObjectDirtyPrice($N106,$C$4,$O106)</f>
        <v>58.764102011929239</v>
      </c>
      <c r="W106" s="18" cm="1">
        <f t="array" ref="W106">_xll.aqBondObjectModifiedDuration($N106,$C$4,$O106)</f>
        <v>13.527537352332791</v>
      </c>
      <c r="X106" s="93" cm="1">
        <f t="array" ref="X106">_xll.aqBondObjectDV01($N106,$C$4,$O106)</f>
        <v>794.93358494266727</v>
      </c>
    </row>
    <row r="107" spans="2:24">
      <c r="B107" s="11" t="s">
        <v>669</v>
      </c>
      <c r="C107" s="11" t="s">
        <v>670</v>
      </c>
      <c r="D107" s="11" t="s">
        <v>670</v>
      </c>
      <c r="E107" s="12">
        <v>42291</v>
      </c>
      <c r="F107" s="12" t="s">
        <v>318</v>
      </c>
      <c r="G107" s="15" t="str">
        <f t="shared" si="1"/>
        <v/>
      </c>
      <c r="H107" s="12" t="s">
        <v>318</v>
      </c>
      <c r="I107" s="12" t="s">
        <v>318</v>
      </c>
      <c r="J107" s="31">
        <v>0</v>
      </c>
      <c r="K107" s="12">
        <v>48472</v>
      </c>
      <c r="L107" s="89" t="s">
        <v>318</v>
      </c>
      <c r="M107" s="80" t="s">
        <v>282</v>
      </c>
      <c r="N107" s="16" t="str" cm="1">
        <f t="array" ref="N107">_xll.aqBondObjectCreateFromGenerator($C107,$N$4,_xll.aqToolLVBFromKeysValues($C$7:$M$7,$C107:$M107))</f>
        <v>IT0005155442:5</v>
      </c>
      <c r="O107" s="78">
        <v>3.8260999548177521E-2</v>
      </c>
      <c r="P107" s="51">
        <v>59.312899999999999</v>
      </c>
      <c r="Q107" s="17">
        <v>13.652900000000001</v>
      </c>
      <c r="R107" s="95">
        <v>809.7912</v>
      </c>
      <c r="S107" s="39" cm="1">
        <f t="array" ref="S107">_xll.aqBondObjectYield(N107,$C$4,T107)</f>
        <v>3.8260999548177965E-2</v>
      </c>
      <c r="T107" s="49" cm="1">
        <f t="array" ref="T107">_xll.aqBondObjectPrice($N107,$C$4,$O107)</f>
        <v>59.312899695125175</v>
      </c>
      <c r="U107" s="49" cm="1">
        <f t="array" ref="U107">_xll.aqBondObjectCleanPrice($N107,$C$4,$O107)</f>
        <v>59.312899695125175</v>
      </c>
      <c r="V107" s="49" cm="1">
        <f t="array" ref="V107">_xll.aqBondObjectDirtyPrice($N107,$C$4,$O107)</f>
        <v>59.312899695125175</v>
      </c>
      <c r="W107" s="18" cm="1">
        <f t="array" ref="W107">_xll.aqBondObjectModifiedDuration($N107,$C$4,$O107)</f>
        <v>13.652867658586469</v>
      </c>
      <c r="X107" s="93" cm="1">
        <f t="array" ref="X107">_xll.aqBondObjectDV01($N107,$C$4,$O107)</f>
        <v>809.79116998455777</v>
      </c>
    </row>
    <row r="108" spans="2:24">
      <c r="B108" s="11" t="s">
        <v>347</v>
      </c>
      <c r="C108" s="11" t="s">
        <v>348</v>
      </c>
      <c r="D108" s="11" t="s">
        <v>348</v>
      </c>
      <c r="E108" s="12">
        <v>37333</v>
      </c>
      <c r="F108" s="12">
        <v>37288</v>
      </c>
      <c r="G108" s="15" t="str">
        <f t="shared" si="1"/>
        <v/>
      </c>
      <c r="H108" s="12">
        <v>37469</v>
      </c>
      <c r="I108" s="12">
        <v>48427</v>
      </c>
      <c r="J108" s="31">
        <v>5.7500000000000002E-2</v>
      </c>
      <c r="K108" s="12">
        <v>48611</v>
      </c>
      <c r="L108" s="89">
        <v>101.15</v>
      </c>
      <c r="M108" s="80" t="s">
        <v>282</v>
      </c>
      <c r="N108" s="16" t="str" cm="1">
        <f t="array" ref="N108">_xll.aqBondObjectCreateFromGenerator($C108,$N$4,_xll.aqToolLVBFromKeysValues($C$7:$M$7,$C108:$M108))</f>
        <v>IT0003256820:5</v>
      </c>
      <c r="O108" s="78">
        <v>3.8010247032769007E-2</v>
      </c>
      <c r="P108" s="51">
        <v>121.7671</v>
      </c>
      <c r="Q108" s="17">
        <v>10.101100000000001</v>
      </c>
      <c r="R108" s="95">
        <v>1242.1288</v>
      </c>
      <c r="S108" s="39" cm="1">
        <f t="array" ref="S108">_xll.aqBondObjectYield(N108,$C$4,T108)</f>
        <v>3.8010247032769007E-2</v>
      </c>
      <c r="T108" s="49" cm="1">
        <f t="array" ref="T108">_xll.aqBondObjectPrice($N108,$C$4,$O108)</f>
        <v>121.76708440560189</v>
      </c>
      <c r="U108" s="49" cm="1">
        <f t="array" ref="U108">_xll.aqBondObjectCleanPrice($N108,$C$4,$O108)</f>
        <v>121.76708440560189</v>
      </c>
      <c r="V108" s="49" cm="1">
        <f t="array" ref="V108">_xll.aqBondObjectDirtyPrice($N108,$C$4,$O108)</f>
        <v>122.97021440560189</v>
      </c>
      <c r="W108" s="18" cm="1">
        <f t="array" ref="W108">_xll.aqBondObjectModifiedDuration($N108,$C$4,$O108)</f>
        <v>10.101054186243571</v>
      </c>
      <c r="X108" s="93" cm="1">
        <f t="array" ref="X108">_xll.aqBondObjectDV01($N108,$C$4,$O108)</f>
        <v>1242.1287990049746</v>
      </c>
    </row>
    <row r="109" spans="2:24">
      <c r="B109" s="11" t="s">
        <v>381</v>
      </c>
      <c r="C109" s="11" t="s">
        <v>382</v>
      </c>
      <c r="D109" s="11" t="s">
        <v>382</v>
      </c>
      <c r="E109" s="12">
        <v>37333</v>
      </c>
      <c r="F109" s="12" t="s">
        <v>318</v>
      </c>
      <c r="G109" s="15" t="str">
        <f t="shared" si="1"/>
        <v/>
      </c>
      <c r="H109" s="12" t="s">
        <v>318</v>
      </c>
      <c r="I109" s="12" t="s">
        <v>318</v>
      </c>
      <c r="J109" s="31">
        <v>0</v>
      </c>
      <c r="K109" s="12">
        <v>48611</v>
      </c>
      <c r="L109" s="89" t="s">
        <v>318</v>
      </c>
      <c r="M109" s="80" t="s">
        <v>282</v>
      </c>
      <c r="N109" s="16" t="str" cm="1">
        <f t="array" ref="N109">_xll.aqBondObjectCreateFromGenerator($C109,$N$4,_xll.aqToolLVBFromKeysValues($C$7:$M$7,$C109:$M109))</f>
        <v>IT0004848534:5</v>
      </c>
      <c r="O109" s="78">
        <v>3.9227752689116713E-2</v>
      </c>
      <c r="P109" s="51">
        <v>57.702100000000002</v>
      </c>
      <c r="Q109" s="17">
        <v>14.0184</v>
      </c>
      <c r="R109" s="95">
        <v>808.89400000000001</v>
      </c>
      <c r="S109" s="39" cm="1">
        <f t="array" ref="S109">_xll.aqBondObjectYield(N109,$C$4,T109)</f>
        <v>3.9227752689117601E-2</v>
      </c>
      <c r="T109" s="49" cm="1">
        <f t="array" ref="T109">_xll.aqBondObjectPrice($N109,$C$4,$O109)</f>
        <v>57.702099999357124</v>
      </c>
      <c r="U109" s="49" cm="1">
        <f t="array" ref="U109">_xll.aqBondObjectCleanPrice($N109,$C$4,$O109)</f>
        <v>57.702099999357124</v>
      </c>
      <c r="V109" s="49" cm="1">
        <f t="array" ref="V109">_xll.aqBondObjectDirtyPrice($N109,$C$4,$O109)</f>
        <v>57.702099999357124</v>
      </c>
      <c r="W109" s="18" cm="1">
        <f t="array" ref="W109">_xll.aqBondObjectModifiedDuration($N109,$C$4,$O109)</f>
        <v>14.018449584416743</v>
      </c>
      <c r="X109" s="93" cm="1">
        <f t="array" ref="X109">_xll.aqBondObjectDV01($N109,$C$4,$O109)</f>
        <v>808.89397975596125</v>
      </c>
    </row>
    <row r="110" spans="2:24">
      <c r="B110" s="11" t="s">
        <v>481</v>
      </c>
      <c r="C110" s="11" t="s">
        <v>482</v>
      </c>
      <c r="D110" s="11" t="s">
        <v>482</v>
      </c>
      <c r="E110" s="12">
        <v>37333</v>
      </c>
      <c r="F110" s="12" t="s">
        <v>318</v>
      </c>
      <c r="G110" s="15" t="str">
        <f t="shared" si="1"/>
        <v/>
      </c>
      <c r="H110" s="12" t="s">
        <v>318</v>
      </c>
      <c r="I110" s="12" t="s">
        <v>318</v>
      </c>
      <c r="J110" s="31">
        <v>0</v>
      </c>
      <c r="K110" s="12">
        <v>48611</v>
      </c>
      <c r="L110" s="89" t="s">
        <v>318</v>
      </c>
      <c r="M110" s="80" t="s">
        <v>282</v>
      </c>
      <c r="N110" s="16" t="str" cm="1">
        <f t="array" ref="N110">_xll.aqBondObjectCreateFromGenerator($C110,$N$4,_xll.aqToolLVBFromKeysValues($C$7:$M$7,$C110:$M110))</f>
        <v>IT0003269062:5</v>
      </c>
      <c r="O110" s="78">
        <v>3.9124488821307368E-2</v>
      </c>
      <c r="P110" s="51">
        <v>57.784100000000002</v>
      </c>
      <c r="Q110" s="17">
        <v>14.0191</v>
      </c>
      <c r="R110" s="95">
        <v>810.08370000000002</v>
      </c>
      <c r="S110" s="39" cm="1">
        <f t="array" ref="S110">_xll.aqBondObjectYield(N110,$C$4,T110)</f>
        <v>3.9124488821308256E-2</v>
      </c>
      <c r="T110" s="49" cm="1">
        <f t="array" ref="T110">_xll.aqBondObjectPrice($N110,$C$4,$O110)</f>
        <v>57.784099882845531</v>
      </c>
      <c r="U110" s="49" cm="1">
        <f t="array" ref="U110">_xll.aqBondObjectCleanPrice($N110,$C$4,$O110)</f>
        <v>57.784099882845531</v>
      </c>
      <c r="V110" s="49" cm="1">
        <f t="array" ref="V110">_xll.aqBondObjectDirtyPrice($N110,$C$4,$O110)</f>
        <v>57.784099882845531</v>
      </c>
      <c r="W110" s="18" cm="1">
        <f t="array" ref="W110">_xll.aqBondObjectModifiedDuration($N110,$C$4,$O110)</f>
        <v>14.019146114706441</v>
      </c>
      <c r="X110" s="93" cm="1">
        <f t="array" ref="X110">_xll.aqBondObjectDV01($N110,$C$4,$O110)</f>
        <v>810.08373936440285</v>
      </c>
    </row>
    <row r="111" spans="2:24">
      <c r="B111" s="11" t="s">
        <v>489</v>
      </c>
      <c r="C111" s="11" t="s">
        <v>490</v>
      </c>
      <c r="D111" s="11" t="s">
        <v>490</v>
      </c>
      <c r="E111" s="12">
        <v>37333</v>
      </c>
      <c r="F111" s="12" t="s">
        <v>318</v>
      </c>
      <c r="G111" s="15" t="str">
        <f t="shared" si="1"/>
        <v/>
      </c>
      <c r="H111" s="12" t="s">
        <v>318</v>
      </c>
      <c r="I111" s="12" t="s">
        <v>318</v>
      </c>
      <c r="J111" s="31">
        <v>0</v>
      </c>
      <c r="K111" s="12">
        <v>48611</v>
      </c>
      <c r="L111" s="89" t="s">
        <v>318</v>
      </c>
      <c r="M111" s="80" t="s">
        <v>282</v>
      </c>
      <c r="N111" s="16" t="str" cm="1">
        <f t="array" ref="N111">_xll.aqBondObjectCreateFromGenerator($C111,$N$4,_xll.aqToolLVBFromKeysValues($C$7:$M$7,$C111:$M111))</f>
        <v>IT0003268460:5</v>
      </c>
      <c r="O111" s="78">
        <v>3.8243087835523104E-2</v>
      </c>
      <c r="P111" s="51">
        <v>58.489100000000001</v>
      </c>
      <c r="Q111" s="17">
        <v>14.0251</v>
      </c>
      <c r="R111" s="95">
        <v>820.3152</v>
      </c>
      <c r="S111" s="39" cm="1">
        <f t="array" ref="S111">_xll.aqBondObjectYield(N111,$C$4,T111)</f>
        <v>3.8243087835523992E-2</v>
      </c>
      <c r="T111" s="49" cm="1">
        <f t="array" ref="T111">_xll.aqBondObjectPrice($N111,$C$4,$O111)</f>
        <v>58.489098866051329</v>
      </c>
      <c r="U111" s="49" cm="1">
        <f t="array" ref="U111">_xll.aqBondObjectCleanPrice($N111,$C$4,$O111)</f>
        <v>58.489098866051329</v>
      </c>
      <c r="V111" s="49" cm="1">
        <f t="array" ref="V111">_xll.aqBondObjectDirtyPrice($N111,$C$4,$O111)</f>
        <v>58.489098866051329</v>
      </c>
      <c r="W111" s="18" cm="1">
        <f t="array" ref="W111">_xll.aqBondObjectModifiedDuration($N111,$C$4,$O111)</f>
        <v>14.025095524819715</v>
      </c>
      <c r="X111" s="93" cm="1">
        <f t="array" ref="X111">_xll.aqBondObjectDV01($N111,$C$4,$O111)</f>
        <v>820.31519875699439</v>
      </c>
    </row>
    <row r="112" spans="2:24">
      <c r="B112" s="11" t="s">
        <v>479</v>
      </c>
      <c r="C112" s="11" t="s">
        <v>480</v>
      </c>
      <c r="D112" s="11" t="s">
        <v>480</v>
      </c>
      <c r="E112" s="12">
        <v>41416</v>
      </c>
      <c r="F112" s="12" t="s">
        <v>318</v>
      </c>
      <c r="G112" s="15" t="str">
        <f t="shared" si="1"/>
        <v/>
      </c>
      <c r="H112" s="12" t="s">
        <v>318</v>
      </c>
      <c r="I112" s="12" t="s">
        <v>318</v>
      </c>
      <c r="J112" s="31">
        <v>0</v>
      </c>
      <c r="K112" s="12">
        <v>48639</v>
      </c>
      <c r="L112" s="89" t="s">
        <v>318</v>
      </c>
      <c r="M112" s="80" t="s">
        <v>282</v>
      </c>
      <c r="N112" s="16" t="str" cm="1">
        <f t="array" ref="N112">_xll.aqBondObjectCreateFromGenerator($C112,$N$4,_xll.aqToolLVBFromKeysValues($C$7:$M$7,$C112:$M112))</f>
        <v>IT0004976616:5</v>
      </c>
      <c r="O112" s="78">
        <v>4.0080164145211983E-2</v>
      </c>
      <c r="P112" s="51">
        <v>56.8459</v>
      </c>
      <c r="Q112" s="17">
        <v>14.093299999999999</v>
      </c>
      <c r="R112" s="95">
        <v>801.14469999999994</v>
      </c>
      <c r="S112" s="39" cm="1">
        <f t="array" ref="S112">_xll.aqBondObjectYield(N112,$C$4,T112)</f>
        <v>4.0080164145213315E-2</v>
      </c>
      <c r="T112" s="49" cm="1">
        <f t="array" ref="T112">_xll.aqBondObjectPrice($N112,$C$4,$O112)</f>
        <v>56.845899385010313</v>
      </c>
      <c r="U112" s="49" cm="1">
        <f t="array" ref="U112">_xll.aqBondObjectCleanPrice($N112,$C$4,$O112)</f>
        <v>56.845899385010313</v>
      </c>
      <c r="V112" s="49" cm="1">
        <f t="array" ref="V112">_xll.aqBondObjectDirtyPrice($N112,$C$4,$O112)</f>
        <v>56.845899385010313</v>
      </c>
      <c r="W112" s="18" cm="1">
        <f t="array" ref="W112">_xll.aqBondObjectModifiedDuration($N112,$C$4,$O112)</f>
        <v>14.093272472600228</v>
      </c>
      <c r="X112" s="93" cm="1">
        <f t="array" ref="X112">_xll.aqBondObjectDV01($N112,$C$4,$O112)</f>
        <v>801.14474898296805</v>
      </c>
    </row>
    <row r="113" spans="2:24">
      <c r="B113" s="11" t="s">
        <v>683</v>
      </c>
      <c r="C113" s="11" t="s">
        <v>684</v>
      </c>
      <c r="D113" s="11" t="s">
        <v>684</v>
      </c>
      <c r="E113" s="12">
        <v>40072</v>
      </c>
      <c r="F113" s="12" t="s">
        <v>318</v>
      </c>
      <c r="G113" s="15" t="str">
        <f t="shared" si="1"/>
        <v/>
      </c>
      <c r="H113" s="12" t="s">
        <v>318</v>
      </c>
      <c r="I113" s="12" t="s">
        <v>318</v>
      </c>
      <c r="J113" s="31">
        <v>0</v>
      </c>
      <c r="K113" s="12">
        <v>48639</v>
      </c>
      <c r="L113" s="89" t="s">
        <v>318</v>
      </c>
      <c r="M113" s="80" t="s">
        <v>282</v>
      </c>
      <c r="N113" s="16" t="str" cm="1">
        <f t="array" ref="N113">_xll.aqBondObjectCreateFromGenerator($C113,$N$4,_xll.aqToolLVBFromKeysValues($C$7:$M$7,$C113:$M113))</f>
        <v>IT0004534449:5</v>
      </c>
      <c r="O113" s="78">
        <v>3.9112023510796456E-2</v>
      </c>
      <c r="P113" s="51">
        <v>57.611899999999999</v>
      </c>
      <c r="Q113" s="17">
        <v>14.0998</v>
      </c>
      <c r="R113" s="95">
        <v>812.3184</v>
      </c>
      <c r="S113" s="39" cm="1">
        <f t="array" ref="S113">_xll.aqBondObjectYield(N113,$C$4,T113)</f>
        <v>3.9112023510797345E-2</v>
      </c>
      <c r="T113" s="49" cm="1">
        <f t="array" ref="T113">_xll.aqBondObjectPrice($N113,$C$4,$O113)</f>
        <v>57.611900445686771</v>
      </c>
      <c r="U113" s="49" cm="1">
        <f t="array" ref="U113">_xll.aqBondObjectCleanPrice($N113,$C$4,$O113)</f>
        <v>57.611900445686771</v>
      </c>
      <c r="V113" s="49" cm="1">
        <f t="array" ref="V113">_xll.aqBondObjectDirtyPrice($N113,$C$4,$O113)</f>
        <v>57.611900445686771</v>
      </c>
      <c r="W113" s="18" cm="1">
        <f t="array" ref="W113">_xll.aqBondObjectModifiedDuration($N113,$C$4,$O113)</f>
        <v>14.099836294802367</v>
      </c>
      <c r="X113" s="93" cm="1">
        <f t="array" ref="X113">_xll.aqBondObjectDV01($N113,$C$4,$O113)</f>
        <v>812.31836491663501</v>
      </c>
    </row>
    <row r="114" spans="2:24">
      <c r="B114" s="11" t="s">
        <v>427</v>
      </c>
      <c r="C114" s="11" t="s">
        <v>428</v>
      </c>
      <c r="D114" s="11" t="s">
        <v>428</v>
      </c>
      <c r="E114" s="12">
        <v>37888</v>
      </c>
      <c r="F114" s="12" t="s">
        <v>318</v>
      </c>
      <c r="G114" s="15" t="str">
        <f t="shared" si="1"/>
        <v/>
      </c>
      <c r="H114" s="12" t="s">
        <v>318</v>
      </c>
      <c r="I114" s="12" t="s">
        <v>318</v>
      </c>
      <c r="J114" s="31">
        <v>0</v>
      </c>
      <c r="K114" s="12">
        <v>48792</v>
      </c>
      <c r="L114" s="89" t="s">
        <v>318</v>
      </c>
      <c r="M114" s="80" t="s">
        <v>282</v>
      </c>
      <c r="N114" s="16" t="str" cm="1">
        <f t="array" ref="N114">_xll.aqBondObjectCreateFromGenerator($C114,$N$4,_xll.aqToolLVBFromKeysValues($C$7:$M$7,$C114:$M114))</f>
        <v>IT0003540389:5</v>
      </c>
      <c r="O114" s="78">
        <v>3.9418553425712988E-2</v>
      </c>
      <c r="P114" s="51">
        <v>56.449100000000001</v>
      </c>
      <c r="Q114" s="17">
        <v>14.5076</v>
      </c>
      <c r="R114" s="95">
        <v>818.94039999999995</v>
      </c>
      <c r="S114" s="39" cm="1">
        <f t="array" ref="S114">_xll.aqBondObjectYield(N114,$C$4,T114)</f>
        <v>3.9418553425714542E-2</v>
      </c>
      <c r="T114" s="49" cm="1">
        <f t="array" ref="T114">_xll.aqBondObjectPrice($N114,$C$4,$O114)</f>
        <v>56.449098294597086</v>
      </c>
      <c r="U114" s="49" cm="1">
        <f t="array" ref="U114">_xll.aqBondObjectCleanPrice($N114,$C$4,$O114)</f>
        <v>56.449098294597086</v>
      </c>
      <c r="V114" s="49" cm="1">
        <f t="array" ref="V114">_xll.aqBondObjectDirtyPrice($N114,$C$4,$O114)</f>
        <v>56.449098294597086</v>
      </c>
      <c r="W114" s="18" cm="1">
        <f t="array" ref="W114">_xll.aqBondObjectModifiedDuration($N114,$C$4,$O114)</f>
        <v>14.507590329792446</v>
      </c>
      <c r="X114" s="93" cm="1">
        <f t="array" ref="X114">_xll.aqBondObjectDV01($N114,$C$4,$O114)</f>
        <v>818.94039254419999</v>
      </c>
    </row>
    <row r="115" spans="2:24">
      <c r="B115" s="11" t="s">
        <v>316</v>
      </c>
      <c r="C115" s="11" t="s">
        <v>317</v>
      </c>
      <c r="D115" s="11" t="s">
        <v>317</v>
      </c>
      <c r="E115" s="12">
        <v>42760</v>
      </c>
      <c r="F115" s="12">
        <v>42614</v>
      </c>
      <c r="G115" s="15" t="str">
        <f t="shared" si="1"/>
        <v/>
      </c>
      <c r="H115" s="12">
        <v>42795</v>
      </c>
      <c r="I115" s="12">
        <v>48639</v>
      </c>
      <c r="J115" s="31">
        <v>2.4500000000000001E-2</v>
      </c>
      <c r="K115" s="12">
        <v>48823</v>
      </c>
      <c r="L115" s="89" t="s">
        <v>318</v>
      </c>
      <c r="M115" s="80" t="s">
        <v>282</v>
      </c>
      <c r="N115" s="16" t="str" cm="1">
        <f t="array" ref="N115">_xll.aqBondObjectCreateFromGenerator($C115,$N$4,_xll.aqToolLVBFromKeysValues($C$7:$M$7,$C115:$M115))</f>
        <v>IT0005240350:5</v>
      </c>
      <c r="O115" s="78">
        <v>3.6400087545594983E-2</v>
      </c>
      <c r="P115" s="51">
        <v>86.763900000000007</v>
      </c>
      <c r="Q115" s="17">
        <v>12.080500000000001</v>
      </c>
      <c r="R115" s="95">
        <v>1051.9111</v>
      </c>
      <c r="S115" s="39" cm="1">
        <f t="array" ref="S115">_xll.aqBondObjectYield(N115,$C$4,T115)</f>
        <v>3.6400087545594983E-2</v>
      </c>
      <c r="T115" s="49" cm="1">
        <f t="array" ref="T115">_xll.aqBondObjectPrice($N115,$C$4,$O115)</f>
        <v>86.763879028400623</v>
      </c>
      <c r="U115" s="49" cm="1">
        <f t="array" ref="U115">_xll.aqBondObjectCleanPrice($N115,$C$4,$O115)</f>
        <v>86.763879028400623</v>
      </c>
      <c r="V115" s="49" cm="1">
        <f t="array" ref="V115">_xll.aqBondObjectDirtyPrice($N115,$C$4,$O115)</f>
        <v>87.075209028400621</v>
      </c>
      <c r="W115" s="18" cm="1">
        <f t="array" ref="W115">_xll.aqBondObjectModifiedDuration($N115,$C$4,$O115)</f>
        <v>12.080489288358379</v>
      </c>
      <c r="X115" s="93" cm="1">
        <f t="array" ref="X115">_xll.aqBondObjectDV01($N115,$C$4,$O115)</f>
        <v>1051.9111299491606</v>
      </c>
    </row>
    <row r="116" spans="2:24">
      <c r="B116" s="11" t="s">
        <v>677</v>
      </c>
      <c r="C116" s="11" t="s">
        <v>678</v>
      </c>
      <c r="D116" s="11" t="s">
        <v>678</v>
      </c>
      <c r="E116" s="12">
        <v>41416</v>
      </c>
      <c r="F116" s="12" t="s">
        <v>318</v>
      </c>
      <c r="G116" s="15" t="str">
        <f t="shared" si="1"/>
        <v/>
      </c>
      <c r="H116" s="12" t="s">
        <v>318</v>
      </c>
      <c r="I116" s="12" t="s">
        <v>318</v>
      </c>
      <c r="J116" s="31">
        <v>0</v>
      </c>
      <c r="K116" s="12">
        <v>48823</v>
      </c>
      <c r="L116" s="89" t="s">
        <v>318</v>
      </c>
      <c r="M116" s="80" t="s">
        <v>282</v>
      </c>
      <c r="N116" s="16" t="str" cm="1">
        <f t="array" ref="N116">_xll.aqBondObjectCreateFromGenerator($C116,$N$4,_xll.aqToolLVBFromKeysValues($C$7:$M$7,$C116:$M116))</f>
        <v>IT0004976624:5</v>
      </c>
      <c r="O116" s="78">
        <v>3.6533351101857958E-2</v>
      </c>
      <c r="P116" s="51">
        <v>58.6449</v>
      </c>
      <c r="Q116" s="17">
        <v>14.608499999999999</v>
      </c>
      <c r="R116" s="95">
        <v>856.71259999999995</v>
      </c>
      <c r="S116" s="39" cm="1">
        <f t="array" ref="S116">_xll.aqBondObjectYield(N116,$C$4,T116)</f>
        <v>3.6533351101858402E-2</v>
      </c>
      <c r="T116" s="49" cm="1">
        <f t="array" ref="T116">_xll.aqBondObjectPrice($N116,$C$4,$O116)</f>
        <v>58.64490522356909</v>
      </c>
      <c r="U116" s="49" cm="1">
        <f t="array" ref="U116">_xll.aqBondObjectCleanPrice($N116,$C$4,$O116)</f>
        <v>58.64490522356909</v>
      </c>
      <c r="V116" s="49" cm="1">
        <f t="array" ref="V116">_xll.aqBondObjectDirtyPrice($N116,$C$4,$O116)</f>
        <v>58.64490522356909</v>
      </c>
      <c r="W116" s="18" cm="1">
        <f t="array" ref="W116">_xll.aqBondObjectModifiedDuration($N116,$C$4,$O116)</f>
        <v>14.608473615561614</v>
      </c>
      <c r="X116" s="93" cm="1">
        <f t="array" ref="X116">_xll.aqBondObjectDV01($N116,$C$4,$O116)</f>
        <v>856.71255064562058</v>
      </c>
    </row>
    <row r="117" spans="2:24">
      <c r="B117" s="11" t="s">
        <v>655</v>
      </c>
      <c r="C117" s="11" t="s">
        <v>656</v>
      </c>
      <c r="D117" s="11" t="s">
        <v>656</v>
      </c>
      <c r="E117" s="12">
        <v>41416</v>
      </c>
      <c r="F117" s="12" t="s">
        <v>318</v>
      </c>
      <c r="G117" s="15" t="str">
        <f t="shared" si="1"/>
        <v/>
      </c>
      <c r="H117" s="12" t="s">
        <v>318</v>
      </c>
      <c r="I117" s="12" t="s">
        <v>318</v>
      </c>
      <c r="J117" s="31">
        <v>0</v>
      </c>
      <c r="K117" s="12">
        <v>49004</v>
      </c>
      <c r="L117" s="89" t="s">
        <v>318</v>
      </c>
      <c r="M117" s="80" t="s">
        <v>282</v>
      </c>
      <c r="N117" s="16" t="str" cm="1">
        <f t="array" ref="N117">_xll.aqBondObjectCreateFromGenerator($C117,$N$4,_xll.aqToolLVBFromKeysValues($C$7:$M$7,$C117:$M117))</f>
        <v>IT0004976632:5</v>
      </c>
      <c r="O117" s="78">
        <v>3.8780664489763472E-2</v>
      </c>
      <c r="P117" s="51">
        <v>55.715899999999998</v>
      </c>
      <c r="Q117" s="17">
        <v>15.0832</v>
      </c>
      <c r="R117" s="95">
        <v>840.37639999999999</v>
      </c>
      <c r="S117" s="39" cm="1">
        <f t="array" ref="S117">_xll.aqBondObjectYield(N117,$C$4,T117)</f>
        <v>3.8780664489764805E-2</v>
      </c>
      <c r="T117" s="49" cm="1">
        <f t="array" ref="T117">_xll.aqBondObjectPrice($N117,$C$4,$O117)</f>
        <v>55.715904522297535</v>
      </c>
      <c r="U117" s="49" cm="1">
        <f t="array" ref="U117">_xll.aqBondObjectCleanPrice($N117,$C$4,$O117)</f>
        <v>55.715904522297535</v>
      </c>
      <c r="V117" s="49" cm="1">
        <f t="array" ref="V117">_xll.aqBondObjectDirtyPrice($N117,$C$4,$O117)</f>
        <v>55.715904522297535</v>
      </c>
      <c r="W117" s="18" cm="1">
        <f t="array" ref="W117">_xll.aqBondObjectModifiedDuration($N117,$C$4,$O117)</f>
        <v>15.083240974538988</v>
      </c>
      <c r="X117" s="93" cm="1">
        <f t="array" ref="X117">_xll.aqBondObjectDV01($N117,$C$4,$O117)</f>
        <v>840.37641402422025</v>
      </c>
    </row>
    <row r="118" spans="2:24">
      <c r="B118" s="11" t="s">
        <v>333</v>
      </c>
      <c r="C118" s="11" t="s">
        <v>334</v>
      </c>
      <c r="D118" s="11" t="s">
        <v>334</v>
      </c>
      <c r="E118" s="12">
        <v>37888</v>
      </c>
      <c r="F118" s="12">
        <v>37834</v>
      </c>
      <c r="G118" s="15" t="str">
        <f t="shared" si="1"/>
        <v/>
      </c>
      <c r="H118" s="12">
        <v>38018</v>
      </c>
      <c r="I118" s="12">
        <v>48976</v>
      </c>
      <c r="J118" s="31">
        <v>0.05</v>
      </c>
      <c r="K118" s="12">
        <v>49157</v>
      </c>
      <c r="L118" s="89">
        <v>98.106000000000009</v>
      </c>
      <c r="M118" s="80" t="s">
        <v>282</v>
      </c>
      <c r="N118" s="16" t="str" cm="1">
        <f t="array" ref="N118">_xll.aqBondObjectCreateFromGenerator($C118,$N$4,_xll.aqToolLVBFromKeysValues($C$7:$M$7,$C118:$M118))</f>
        <v>IT0003535157:5</v>
      </c>
      <c r="O118" s="78">
        <v>3.7918281978632562E-2</v>
      </c>
      <c r="P118" s="51">
        <v>114.7011</v>
      </c>
      <c r="Q118" s="17">
        <v>11.1417</v>
      </c>
      <c r="R118" s="95">
        <v>1289.6176</v>
      </c>
      <c r="S118" s="39" cm="1">
        <f t="array" ref="S118">_xll.aqBondObjectYield(N118,$C$4,T118)</f>
        <v>3.7918281978632562E-2</v>
      </c>
      <c r="T118" s="49" cm="1">
        <f t="array" ref="T118">_xll.aqBondObjectPrice($N118,$C$4,$O118)</f>
        <v>114.7010879434621</v>
      </c>
      <c r="U118" s="49" cm="1">
        <f t="array" ref="U118">_xll.aqBondObjectCleanPrice($N118,$C$4,$O118)</f>
        <v>114.7010879434621</v>
      </c>
      <c r="V118" s="49" cm="1">
        <f t="array" ref="V118">_xll.aqBondObjectDirtyPrice($N118,$C$4,$O118)</f>
        <v>115.7472879434621</v>
      </c>
      <c r="W118" s="18" cm="1">
        <f t="array" ref="W118">_xll.aqBondObjectModifiedDuration($N118,$C$4,$O118)</f>
        <v>11.14166600948057</v>
      </c>
      <c r="X118" s="93" cm="1">
        <f t="array" ref="X118">_xll.aqBondObjectDV01($N118,$C$4,$O118)</f>
        <v>1289.6176237692318</v>
      </c>
    </row>
    <row r="119" spans="2:24">
      <c r="B119" s="11" t="s">
        <v>357</v>
      </c>
      <c r="C119" s="11" t="s">
        <v>358</v>
      </c>
      <c r="D119" s="11" t="s">
        <v>358</v>
      </c>
      <c r="E119" s="12">
        <v>37888</v>
      </c>
      <c r="F119" s="12" t="s">
        <v>318</v>
      </c>
      <c r="G119" s="15" t="str">
        <f t="shared" si="1"/>
        <v/>
      </c>
      <c r="H119" s="12" t="s">
        <v>318</v>
      </c>
      <c r="I119" s="12" t="s">
        <v>318</v>
      </c>
      <c r="J119" s="31">
        <v>0</v>
      </c>
      <c r="K119" s="12">
        <v>49157</v>
      </c>
      <c r="L119" s="89" t="s">
        <v>318</v>
      </c>
      <c r="M119" s="80" t="s">
        <v>282</v>
      </c>
      <c r="N119" s="16" t="str" cm="1">
        <f t="array" ref="N119">_xll.aqBondObjectCreateFromGenerator($C119,$N$4,_xll.aqToolLVBFromKeysValues($C$7:$M$7,$C119:$M119))</f>
        <v>IT0004848591:5</v>
      </c>
      <c r="O119" s="78">
        <v>3.8729410059041625E-2</v>
      </c>
      <c r="P119" s="51">
        <v>54.880099999999999</v>
      </c>
      <c r="Q119" s="17">
        <v>15.493600000000001</v>
      </c>
      <c r="R119" s="95">
        <v>850.28930000000003</v>
      </c>
      <c r="S119" s="39" cm="1">
        <f t="array" ref="S119">_xll.aqBondObjectYield(N119,$C$4,T119)</f>
        <v>3.8729410059043401E-2</v>
      </c>
      <c r="T119" s="49" cm="1">
        <f t="array" ref="T119">_xll.aqBondObjectPrice($N119,$C$4,$O119)</f>
        <v>54.880093923071897</v>
      </c>
      <c r="U119" s="49" cm="1">
        <f t="array" ref="U119">_xll.aqBondObjectCleanPrice($N119,$C$4,$O119)</f>
        <v>54.880093923071897</v>
      </c>
      <c r="V119" s="49" cm="1">
        <f t="array" ref="V119">_xll.aqBondObjectDirtyPrice($N119,$C$4,$O119)</f>
        <v>54.880093923071897</v>
      </c>
      <c r="W119" s="18" cm="1">
        <f t="array" ref="W119">_xll.aqBondObjectModifiedDuration($N119,$C$4,$O119)</f>
        <v>15.493582273805602</v>
      </c>
      <c r="X119" s="93" cm="1">
        <f t="array" ref="X119">_xll.aqBondObjectDV01($N119,$C$4,$O119)</f>
        <v>850.28925039129331</v>
      </c>
    </row>
    <row r="120" spans="2:24">
      <c r="B120" s="11" t="s">
        <v>465</v>
      </c>
      <c r="C120" s="11" t="s">
        <v>466</v>
      </c>
      <c r="D120" s="11" t="s">
        <v>466</v>
      </c>
      <c r="E120" s="12">
        <v>37888</v>
      </c>
      <c r="F120" s="12" t="s">
        <v>318</v>
      </c>
      <c r="G120" s="15" t="str">
        <f t="shared" si="1"/>
        <v/>
      </c>
      <c r="H120" s="12" t="s">
        <v>318</v>
      </c>
      <c r="I120" s="12" t="s">
        <v>318</v>
      </c>
      <c r="J120" s="31">
        <v>0</v>
      </c>
      <c r="K120" s="12">
        <v>49157</v>
      </c>
      <c r="L120" s="89" t="s">
        <v>318</v>
      </c>
      <c r="M120" s="80" t="s">
        <v>282</v>
      </c>
      <c r="N120" s="16" t="str" cm="1">
        <f t="array" ref="N120">_xll.aqBondObjectCreateFromGenerator($C120,$N$4,_xll.aqToolLVBFromKeysValues($C$7:$M$7,$C120:$M120))</f>
        <v>IT0003540371:5</v>
      </c>
      <c r="O120" s="78">
        <v>3.8807370132414309E-2</v>
      </c>
      <c r="P120" s="51">
        <v>54.815100000000001</v>
      </c>
      <c r="Q120" s="17">
        <v>15.493</v>
      </c>
      <c r="R120" s="95">
        <v>849.25030000000004</v>
      </c>
      <c r="S120" s="39" cm="1">
        <f t="array" ref="S120">_xll.aqBondObjectYield(N120,$C$4,T120)</f>
        <v>3.8807370132416752E-2</v>
      </c>
      <c r="T120" s="49" cm="1">
        <f t="array" ref="T120">_xll.aqBondObjectPrice($N120,$C$4,$O120)</f>
        <v>54.815093997118112</v>
      </c>
      <c r="U120" s="49" cm="1">
        <f t="array" ref="U120">_xll.aqBondObjectCleanPrice($N120,$C$4,$O120)</f>
        <v>54.815093997118112</v>
      </c>
      <c r="V120" s="49" cm="1">
        <f t="array" ref="V120">_xll.aqBondObjectDirtyPrice($N120,$C$4,$O120)</f>
        <v>54.815093997118112</v>
      </c>
      <c r="W120" s="18" cm="1">
        <f t="array" ref="W120">_xll.aqBondObjectModifiedDuration($N120,$C$4,$O120)</f>
        <v>15.493000884267657</v>
      </c>
      <c r="X120" s="93" cm="1">
        <f t="array" ref="X120">_xll.aqBondObjectDV01($N120,$C$4,$O120)</f>
        <v>849.25029976856558</v>
      </c>
    </row>
    <row r="121" spans="2:24">
      <c r="B121" s="11" t="s">
        <v>633</v>
      </c>
      <c r="C121" s="11" t="s">
        <v>634</v>
      </c>
      <c r="D121" s="11" t="s">
        <v>634</v>
      </c>
      <c r="E121" s="12">
        <v>37888</v>
      </c>
      <c r="F121" s="12" t="s">
        <v>318</v>
      </c>
      <c r="G121" s="15" t="str">
        <f t="shared" si="1"/>
        <v/>
      </c>
      <c r="H121" s="12" t="s">
        <v>318</v>
      </c>
      <c r="I121" s="12" t="s">
        <v>318</v>
      </c>
      <c r="J121" s="31">
        <v>0</v>
      </c>
      <c r="K121" s="12">
        <v>49157</v>
      </c>
      <c r="L121" s="89" t="s">
        <v>318</v>
      </c>
      <c r="M121" s="80" t="s">
        <v>282</v>
      </c>
      <c r="N121" s="16" t="str" cm="1">
        <f t="array" ref="N121">_xll.aqBondObjectCreateFromGenerator($C121,$N$4,_xll.aqToolLVBFromKeysValues($C$7:$M$7,$C121:$M121))</f>
        <v>IT0003540405:5</v>
      </c>
      <c r="O121" s="78">
        <v>3.9420065415648464E-2</v>
      </c>
      <c r="P121" s="51">
        <v>54.307099999999998</v>
      </c>
      <c r="Q121" s="17">
        <v>15.4884</v>
      </c>
      <c r="R121" s="95">
        <v>841.1318</v>
      </c>
      <c r="S121" s="39" cm="1">
        <f t="array" ref="S121">_xll.aqBondObjectYield(N121,$C$4,T121)</f>
        <v>3.9420065415650685E-2</v>
      </c>
      <c r="T121" s="49" cm="1">
        <f t="array" ref="T121">_xll.aqBondObjectPrice($N121,$C$4,$O121)</f>
        <v>54.307094568225068</v>
      </c>
      <c r="U121" s="49" cm="1">
        <f t="array" ref="U121">_xll.aqBondObjectCleanPrice($N121,$C$4,$O121)</f>
        <v>54.307094568225068</v>
      </c>
      <c r="V121" s="49" cm="1">
        <f t="array" ref="V121">_xll.aqBondObjectDirtyPrice($N121,$C$4,$O121)</f>
        <v>54.307094568225068</v>
      </c>
      <c r="W121" s="18" cm="1">
        <f t="array" ref="W121">_xll.aqBondObjectModifiedDuration($N121,$C$4,$O121)</f>
        <v>15.488433968469636</v>
      </c>
      <c r="X121" s="93" cm="1">
        <f t="array" ref="X121">_xll.aqBondObjectDV01($N121,$C$4,$O121)</f>
        <v>841.13184823939002</v>
      </c>
    </row>
    <row r="122" spans="2:24">
      <c r="B122" s="11" t="s">
        <v>451</v>
      </c>
      <c r="C122" s="11" t="s">
        <v>452</v>
      </c>
      <c r="D122" s="11" t="s">
        <v>452</v>
      </c>
      <c r="E122" s="12">
        <v>38565</v>
      </c>
      <c r="F122" s="12" t="s">
        <v>318</v>
      </c>
      <c r="G122" s="15" t="str">
        <f t="shared" si="1"/>
        <v/>
      </c>
      <c r="H122" s="12" t="s">
        <v>318</v>
      </c>
      <c r="I122" s="12" t="s">
        <v>318</v>
      </c>
      <c r="J122" s="31">
        <v>0</v>
      </c>
      <c r="K122" s="12">
        <v>49341</v>
      </c>
      <c r="L122" s="89" t="s">
        <v>318</v>
      </c>
      <c r="M122" s="80" t="s">
        <v>282</v>
      </c>
      <c r="N122" s="16" t="str" cm="1">
        <f t="array" ref="N122">_xll.aqBondObjectCreateFromGenerator($C122,$N$4,_xll.aqToolLVBFromKeysValues($C$7:$M$7,$C122:$M122))</f>
        <v>IT0004002819:5</v>
      </c>
      <c r="O122" s="78">
        <v>3.9252901753439096E-2</v>
      </c>
      <c r="P122" s="51">
        <v>53.4071</v>
      </c>
      <c r="Q122" s="17">
        <v>15.9801</v>
      </c>
      <c r="R122" s="95">
        <v>853.45309999999995</v>
      </c>
      <c r="S122" s="39" cm="1">
        <f t="array" ref="S122">_xll.aqBondObjectYield(N122,$C$4,T122)</f>
        <v>3.925290175344176E-2</v>
      </c>
      <c r="T122" s="49" cm="1">
        <f t="array" ref="T122">_xll.aqBondObjectPrice($N122,$C$4,$O122)</f>
        <v>53.407092614057142</v>
      </c>
      <c r="U122" s="49" cm="1">
        <f t="array" ref="U122">_xll.aqBondObjectCleanPrice($N122,$C$4,$O122)</f>
        <v>53.407092614057142</v>
      </c>
      <c r="V122" s="49" cm="1">
        <f t="array" ref="V122">_xll.aqBondObjectDirtyPrice($N122,$C$4,$O122)</f>
        <v>53.407092614057142</v>
      </c>
      <c r="W122" s="18" cm="1">
        <f t="array" ref="W122">_xll.aqBondObjectModifiedDuration($N122,$C$4,$O122)</f>
        <v>15.980146110612219</v>
      </c>
      <c r="X122" s="93" cm="1">
        <f t="array" ref="X122">_xll.aqBondObjectDV01($N122,$C$4,$O122)</f>
        <v>853.45314331563179</v>
      </c>
    </row>
    <row r="123" spans="2:24">
      <c r="B123" s="11" t="s">
        <v>605</v>
      </c>
      <c r="C123" s="11" t="s">
        <v>606</v>
      </c>
      <c r="D123" s="11" t="s">
        <v>606</v>
      </c>
      <c r="E123" s="12">
        <v>41416</v>
      </c>
      <c r="F123" s="12" t="s">
        <v>318</v>
      </c>
      <c r="G123" s="15" t="str">
        <f t="shared" si="1"/>
        <v/>
      </c>
      <c r="H123" s="12" t="s">
        <v>318</v>
      </c>
      <c r="I123" s="12" t="s">
        <v>318</v>
      </c>
      <c r="J123" s="31">
        <v>0</v>
      </c>
      <c r="K123" s="12">
        <v>49369</v>
      </c>
      <c r="L123" s="89" t="s">
        <v>318</v>
      </c>
      <c r="M123" s="80" t="s">
        <v>282</v>
      </c>
      <c r="N123" s="16" t="str" cm="1">
        <f t="array" ref="N123">_xll.aqBondObjectCreateFromGenerator($C123,$N$4,_xll.aqToolLVBFromKeysValues($C$7:$M$7,$C123:$M123))</f>
        <v>IT0004976657:5</v>
      </c>
      <c r="O123" s="78">
        <v>3.9314105351115014E-2</v>
      </c>
      <c r="P123" s="51">
        <v>53.186900000000001</v>
      </c>
      <c r="Q123" s="17">
        <v>16.060300000000002</v>
      </c>
      <c r="R123" s="95">
        <v>854.19629999999995</v>
      </c>
      <c r="S123" s="39" cm="1">
        <f t="array" ref="S123">_xll.aqBondObjectYield(N123,$C$4,T123)</f>
        <v>3.9314105351118123E-2</v>
      </c>
      <c r="T123" s="49" cm="1">
        <f t="array" ref="T123">_xll.aqBondObjectPrice($N123,$C$4,$O123)</f>
        <v>53.186907626172761</v>
      </c>
      <c r="U123" s="49" cm="1">
        <f t="array" ref="U123">_xll.aqBondObjectCleanPrice($N123,$C$4,$O123)</f>
        <v>53.186907626172761</v>
      </c>
      <c r="V123" s="49" cm="1">
        <f t="array" ref="V123">_xll.aqBondObjectDirtyPrice($N123,$C$4,$O123)</f>
        <v>53.186907626172761</v>
      </c>
      <c r="W123" s="18" cm="1">
        <f t="array" ref="W123">_xll.aqBondObjectModifiedDuration($N123,$C$4,$O123)</f>
        <v>16.060273836529735</v>
      </c>
      <c r="X123" s="93" cm="1">
        <f t="array" ref="X123">_xll.aqBondObjectDV01($N123,$C$4,$O123)</f>
        <v>854.19630099454616</v>
      </c>
    </row>
    <row r="124" spans="2:24">
      <c r="B124" s="11" t="s">
        <v>639</v>
      </c>
      <c r="C124" s="11" t="s">
        <v>640</v>
      </c>
      <c r="D124" s="11" t="s">
        <v>640</v>
      </c>
      <c r="E124" s="12">
        <v>40072</v>
      </c>
      <c r="F124" s="12" t="s">
        <v>318</v>
      </c>
      <c r="G124" s="15" t="str">
        <f t="shared" si="1"/>
        <v/>
      </c>
      <c r="H124" s="12" t="s">
        <v>318</v>
      </c>
      <c r="I124" s="12" t="s">
        <v>318</v>
      </c>
      <c r="J124" s="31">
        <v>0</v>
      </c>
      <c r="K124" s="12">
        <v>49369</v>
      </c>
      <c r="L124" s="89" t="s">
        <v>318</v>
      </c>
      <c r="M124" s="80" t="s">
        <v>282</v>
      </c>
      <c r="N124" s="16" t="str" cm="1">
        <f t="array" ref="N124">_xll.aqBondObjectCreateFromGenerator($C124,$N$4,_xll.aqToolLVBFromKeysValues($C$7:$M$7,$C124:$M124))</f>
        <v>IT0004534480:5</v>
      </c>
      <c r="O124" s="78">
        <v>3.9435964284018521E-2</v>
      </c>
      <c r="P124" s="51">
        <v>53.084899999999998</v>
      </c>
      <c r="Q124" s="17">
        <v>16.0593</v>
      </c>
      <c r="R124" s="95">
        <v>852.50819999999999</v>
      </c>
      <c r="S124" s="39" cm="1">
        <f t="array" ref="S124">_xll.aqBondObjectYield(N124,$C$4,T124)</f>
        <v>3.9435964284021852E-2</v>
      </c>
      <c r="T124" s="49" cm="1">
        <f t="array" ref="T124">_xll.aqBondObjectPrice($N124,$C$4,$O124)</f>
        <v>53.084907523007708</v>
      </c>
      <c r="U124" s="49" cm="1">
        <f t="array" ref="U124">_xll.aqBondObjectCleanPrice($N124,$C$4,$O124)</f>
        <v>53.084907523007708</v>
      </c>
      <c r="V124" s="49" cm="1">
        <f t="array" ref="V124">_xll.aqBondObjectDirtyPrice($N124,$C$4,$O124)</f>
        <v>53.084907523007708</v>
      </c>
      <c r="W124" s="18" cm="1">
        <f t="array" ref="W124">_xll.aqBondObjectModifiedDuration($N124,$C$4,$O124)</f>
        <v>16.059332390754051</v>
      </c>
      <c r="X124" s="93" cm="1">
        <f t="array" ref="X124">_xll.aqBondObjectDV01($N124,$C$4,$O124)</f>
        <v>852.50817484442109</v>
      </c>
    </row>
    <row r="125" spans="2:24">
      <c r="B125" s="11" t="s">
        <v>513</v>
      </c>
      <c r="C125" s="11" t="s">
        <v>514</v>
      </c>
      <c r="D125" s="11" t="s">
        <v>514</v>
      </c>
      <c r="E125" s="12">
        <v>38565</v>
      </c>
      <c r="F125" s="12" t="s">
        <v>318</v>
      </c>
      <c r="G125" s="15" t="str">
        <f t="shared" si="1"/>
        <v/>
      </c>
      <c r="H125" s="12" t="s">
        <v>318</v>
      </c>
      <c r="I125" s="12" t="s">
        <v>318</v>
      </c>
      <c r="J125" s="31">
        <v>0</v>
      </c>
      <c r="K125" s="12">
        <v>49522</v>
      </c>
      <c r="L125" s="89" t="s">
        <v>318</v>
      </c>
      <c r="M125" s="80" t="s">
        <v>282</v>
      </c>
      <c r="N125" s="16" t="str" cm="1">
        <f t="array" ref="N125">_xll.aqBondObjectCreateFromGenerator($C125,$N$4,_xll.aqToolLVBFromKeysValues($C$7:$M$7,$C125:$M125))</f>
        <v>IT0004002827:5</v>
      </c>
      <c r="O125" s="78">
        <v>3.9172256043302323E-2</v>
      </c>
      <c r="P125" s="51">
        <v>52.457099999999997</v>
      </c>
      <c r="Q125" s="17">
        <v>16.471299999999999</v>
      </c>
      <c r="R125" s="95">
        <v>864.03390000000002</v>
      </c>
      <c r="S125" s="39" cm="1">
        <f t="array" ref="S125">_xll.aqBondObjectYield(N125,$C$4,T125)</f>
        <v>3.9172256043306541E-2</v>
      </c>
      <c r="T125" s="49" cm="1">
        <f t="array" ref="T125">_xll.aqBondObjectPrice($N125,$C$4,$O125)</f>
        <v>52.457090783216188</v>
      </c>
      <c r="U125" s="49" cm="1">
        <f t="array" ref="U125">_xll.aqBondObjectCleanPrice($N125,$C$4,$O125)</f>
        <v>52.457090783216188</v>
      </c>
      <c r="V125" s="49" cm="1">
        <f t="array" ref="V125">_xll.aqBondObjectDirtyPrice($N125,$C$4,$O125)</f>
        <v>52.457090783216188</v>
      </c>
      <c r="W125" s="18" cm="1">
        <f t="array" ref="W125">_xll.aqBondObjectModifiedDuration($N125,$C$4,$O125)</f>
        <v>16.471251741254108</v>
      </c>
      <c r="X125" s="93" cm="1">
        <f t="array" ref="X125">_xll.aqBondObjectDV01($N125,$C$4,$O125)</f>
        <v>864.0339479041744</v>
      </c>
    </row>
    <row r="126" spans="2:24">
      <c r="B126" s="11" t="s">
        <v>449</v>
      </c>
      <c r="C126" s="11" t="s">
        <v>450</v>
      </c>
      <c r="D126" s="11" t="s">
        <v>450</v>
      </c>
      <c r="E126" s="12">
        <v>41416</v>
      </c>
      <c r="F126" s="12" t="s">
        <v>318</v>
      </c>
      <c r="G126" s="15" t="str">
        <f t="shared" si="1"/>
        <v/>
      </c>
      <c r="H126" s="12" t="s">
        <v>318</v>
      </c>
      <c r="I126" s="12" t="s">
        <v>318</v>
      </c>
      <c r="J126" s="31">
        <v>0</v>
      </c>
      <c r="K126" s="12">
        <v>49553</v>
      </c>
      <c r="L126" s="89" t="s">
        <v>318</v>
      </c>
      <c r="M126" s="80" t="s">
        <v>282</v>
      </c>
      <c r="N126" s="16" t="str" cm="1">
        <f t="array" ref="N126">_xll.aqBondObjectCreateFromGenerator($C126,$N$4,_xll.aqToolLVBFromKeysValues($C$7:$M$7,$C126:$M126))</f>
        <v>IT0004976665:5</v>
      </c>
      <c r="O126" s="78">
        <v>3.8782122346193937E-2</v>
      </c>
      <c r="P126" s="51">
        <v>52.613</v>
      </c>
      <c r="Q126" s="17">
        <v>16.555</v>
      </c>
      <c r="R126" s="95">
        <v>871.0068</v>
      </c>
      <c r="S126" s="39" cm="1">
        <f t="array" ref="S126">_xll.aqBondObjectYield(N126,$C$4,T126)</f>
        <v>3.878212234619749E-2</v>
      </c>
      <c r="T126" s="49" cm="1">
        <f t="array" ref="T126">_xll.aqBondObjectPrice($N126,$C$4,$O126)</f>
        <v>52.613029393712765</v>
      </c>
      <c r="U126" s="49" cm="1">
        <f t="array" ref="U126">_xll.aqBondObjectCleanPrice($N126,$C$4,$O126)</f>
        <v>52.613029393712765</v>
      </c>
      <c r="V126" s="49" cm="1">
        <f t="array" ref="V126">_xll.aqBondObjectDirtyPrice($N126,$C$4,$O126)</f>
        <v>52.613029393712765</v>
      </c>
      <c r="W126" s="18" cm="1">
        <f t="array" ref="W126">_xll.aqBondObjectModifiedDuration($N126,$C$4,$O126)</f>
        <v>16.554963382682011</v>
      </c>
      <c r="X126" s="93" cm="1">
        <f t="array" ref="X126">_xll.aqBondObjectDV01($N126,$C$4,$O126)</f>
        <v>871.00677506488717</v>
      </c>
    </row>
    <row r="127" spans="2:24">
      <c r="B127" s="11" t="s">
        <v>603</v>
      </c>
      <c r="C127" s="11" t="s">
        <v>604</v>
      </c>
      <c r="D127" s="11" t="s">
        <v>604</v>
      </c>
      <c r="E127" s="12">
        <v>38565</v>
      </c>
      <c r="F127" s="12" t="s">
        <v>318</v>
      </c>
      <c r="G127" s="15" t="str">
        <f t="shared" si="1"/>
        <v/>
      </c>
      <c r="H127" s="12" t="s">
        <v>318</v>
      </c>
      <c r="I127" s="12" t="s">
        <v>318</v>
      </c>
      <c r="J127" s="31">
        <v>0</v>
      </c>
      <c r="K127" s="12">
        <v>49706</v>
      </c>
      <c r="L127" s="89" t="s">
        <v>318</v>
      </c>
      <c r="M127" s="80" t="s">
        <v>282</v>
      </c>
      <c r="N127" s="16" t="str" cm="1">
        <f t="array" ref="N127">_xll.aqBondObjectCreateFromGenerator($C127,$N$4,_xll.aqToolLVBFromKeysValues($C$7:$M$7,$C127:$M127))</f>
        <v>IT0004002835:5</v>
      </c>
      <c r="O127" s="78">
        <v>3.9077503133743141E-2</v>
      </c>
      <c r="P127" s="51">
        <v>51.540100000000002</v>
      </c>
      <c r="Q127" s="17">
        <v>16.962499999999999</v>
      </c>
      <c r="R127" s="95">
        <v>874.24929999999995</v>
      </c>
      <c r="S127" s="39" cm="1">
        <f t="array" ref="S127">_xll.aqBondObjectYield(N127,$C$4,T127)</f>
        <v>3.9077503133748248E-2</v>
      </c>
      <c r="T127" s="49" cm="1">
        <f t="array" ref="T127">_xll.aqBondObjectPrice($N127,$C$4,$O127)</f>
        <v>51.540088984452204</v>
      </c>
      <c r="U127" s="49" cm="1">
        <f t="array" ref="U127">_xll.aqBondObjectCleanPrice($N127,$C$4,$O127)</f>
        <v>51.540088984452204</v>
      </c>
      <c r="V127" s="49" cm="1">
        <f t="array" ref="V127">_xll.aqBondObjectDirtyPrice($N127,$C$4,$O127)</f>
        <v>51.540088984452204</v>
      </c>
      <c r="W127" s="18" cm="1">
        <f t="array" ref="W127">_xll.aqBondObjectModifiedDuration($N127,$C$4,$O127)</f>
        <v>16.96251065670835</v>
      </c>
      <c r="X127" s="93" cm="1">
        <f t="array" ref="X127">_xll.aqBondObjectDV01($N127,$C$4,$O127)</f>
        <v>874.24930864646717</v>
      </c>
    </row>
    <row r="128" spans="2:24">
      <c r="B128" s="11" t="s">
        <v>457</v>
      </c>
      <c r="C128" s="11" t="s">
        <v>458</v>
      </c>
      <c r="D128" s="11" t="s">
        <v>458</v>
      </c>
      <c r="E128" s="12">
        <v>41416</v>
      </c>
      <c r="F128" s="12" t="s">
        <v>318</v>
      </c>
      <c r="G128" s="15" t="str">
        <f t="shared" si="1"/>
        <v/>
      </c>
      <c r="H128" s="12" t="s">
        <v>318</v>
      </c>
      <c r="I128" s="12" t="s">
        <v>318</v>
      </c>
      <c r="J128" s="31">
        <v>0</v>
      </c>
      <c r="K128" s="12">
        <v>49735</v>
      </c>
      <c r="L128" s="89" t="s">
        <v>318</v>
      </c>
      <c r="M128" s="80" t="s">
        <v>282</v>
      </c>
      <c r="N128" s="16" t="str" cm="1">
        <f t="array" ref="N128">_xll.aqBondObjectCreateFromGenerator($C128,$N$4,_xll.aqToolLVBFromKeysValues($C$7:$M$7,$C128:$M128))</f>
        <v>IT0004976673:5</v>
      </c>
      <c r="O128" s="78">
        <v>3.8147266358071752E-2</v>
      </c>
      <c r="P128" s="51">
        <v>52.172899999999998</v>
      </c>
      <c r="Q128" s="17">
        <v>17.050799999999999</v>
      </c>
      <c r="R128" s="95">
        <v>889.5874</v>
      </c>
      <c r="S128" s="39" cm="1">
        <f t="array" ref="S128">_xll.aqBondObjectYield(N128,$C$4,T128)</f>
        <v>3.8147266358075305E-2</v>
      </c>
      <c r="T128" s="49" cm="1">
        <f t="array" ref="T128">_xll.aqBondObjectPrice($N128,$C$4,$O128)</f>
        <v>52.172912026704722</v>
      </c>
      <c r="U128" s="49" cm="1">
        <f t="array" ref="U128">_xll.aqBondObjectCleanPrice($N128,$C$4,$O128)</f>
        <v>52.172912026704722</v>
      </c>
      <c r="V128" s="49" cm="1">
        <f t="array" ref="V128">_xll.aqBondObjectDirtyPrice($N128,$C$4,$O128)</f>
        <v>52.172912026704722</v>
      </c>
      <c r="W128" s="18" cm="1">
        <f t="array" ref="W128">_xll.aqBondObjectModifiedDuration($N128,$C$4,$O128)</f>
        <v>17.050752161926479</v>
      </c>
      <c r="X128" s="93" cm="1">
        <f t="array" ref="X128">_xll.aqBondObjectDV01($N128,$C$4,$O128)</f>
        <v>889.58739253333556</v>
      </c>
    </row>
    <row r="129" spans="2:24">
      <c r="B129" s="11" t="s">
        <v>507</v>
      </c>
      <c r="C129" s="11" t="s">
        <v>508</v>
      </c>
      <c r="D129" s="11" t="s">
        <v>508</v>
      </c>
      <c r="E129" s="12">
        <v>38565</v>
      </c>
      <c r="F129" s="12" t="s">
        <v>318</v>
      </c>
      <c r="G129" s="15" t="str">
        <f t="shared" si="1"/>
        <v/>
      </c>
      <c r="H129" s="12" t="s">
        <v>318</v>
      </c>
      <c r="I129" s="12" t="s">
        <v>318</v>
      </c>
      <c r="J129" s="31">
        <v>0</v>
      </c>
      <c r="K129" s="12">
        <v>49888</v>
      </c>
      <c r="L129" s="89" t="s">
        <v>318</v>
      </c>
      <c r="M129" s="80" t="s">
        <v>282</v>
      </c>
      <c r="N129" s="16" t="str" cm="1">
        <f t="array" ref="N129">_xll.aqBondObjectCreateFromGenerator($C129,$N$4,_xll.aqToolLVBFromKeysValues($C$7:$M$7,$C129:$M129))</f>
        <v>IT0004002843:5</v>
      </c>
      <c r="O129" s="78">
        <v>3.8644362010708866E-2</v>
      </c>
      <c r="P129" s="51">
        <v>50.938099999999999</v>
      </c>
      <c r="Q129" s="17">
        <v>17.456700000000001</v>
      </c>
      <c r="R129" s="95">
        <v>889.20870000000002</v>
      </c>
      <c r="S129" s="39" cm="1">
        <f t="array" ref="S129">_xll.aqBondObjectYield(N129,$C$4,T129)</f>
        <v>3.8644362010714861E-2</v>
      </c>
      <c r="T129" s="49" cm="1">
        <f t="array" ref="T129">_xll.aqBondObjectPrice($N129,$C$4,$O129)</f>
        <v>50.938086988376384</v>
      </c>
      <c r="U129" s="49" cm="1">
        <f t="array" ref="U129">_xll.aqBondObjectCleanPrice($N129,$C$4,$O129)</f>
        <v>50.938086988376384</v>
      </c>
      <c r="V129" s="49" cm="1">
        <f t="array" ref="V129">_xll.aqBondObjectDirtyPrice($N129,$C$4,$O129)</f>
        <v>50.938086988376384</v>
      </c>
      <c r="W129" s="18" cm="1">
        <f t="array" ref="W129">_xll.aqBondObjectModifiedDuration($N129,$C$4,$O129)</f>
        <v>17.456657384118763</v>
      </c>
      <c r="X129" s="93" cm="1">
        <f t="array" ref="X129">_xll.aqBondObjectDV01($N129,$C$4,$O129)</f>
        <v>889.20873235852446</v>
      </c>
    </row>
    <row r="130" spans="2:24">
      <c r="B130" s="11" t="s">
        <v>295</v>
      </c>
      <c r="C130" s="11" t="s">
        <v>296</v>
      </c>
      <c r="D130" s="11" t="s">
        <v>296</v>
      </c>
      <c r="E130" s="12">
        <v>42486</v>
      </c>
      <c r="F130" s="12">
        <v>42430</v>
      </c>
      <c r="G130" s="15" t="str">
        <f t="shared" si="1"/>
        <v/>
      </c>
      <c r="H130" s="12">
        <v>42614</v>
      </c>
      <c r="I130" s="12">
        <v>49735</v>
      </c>
      <c r="J130" s="31">
        <v>2.2499999999999999E-2</v>
      </c>
      <c r="K130" s="12">
        <v>49919</v>
      </c>
      <c r="L130" s="89">
        <v>99.367999999999995</v>
      </c>
      <c r="M130" s="80" t="s">
        <v>282</v>
      </c>
      <c r="N130" s="16" t="str" cm="1">
        <f t="array" ref="N130">_xll.aqBondObjectCreateFromGenerator($C130,$N$4,_xll.aqToolLVBFromKeysValues($C$7:$M$7,$C130:$M130))</f>
        <v>IT0005177909:5</v>
      </c>
      <c r="O130" s="78">
        <v>3.6515306400632497E-2</v>
      </c>
      <c r="P130" s="51">
        <v>82.096900000000005</v>
      </c>
      <c r="Q130" s="17">
        <v>14.1158</v>
      </c>
      <c r="R130" s="95">
        <v>1162.9014999999999</v>
      </c>
      <c r="S130" s="39" cm="1">
        <f t="array" ref="S130">_xll.aqBondObjectYield(N130,$C$4,T130)</f>
        <v>3.6515306400632497E-2</v>
      </c>
      <c r="T130" s="49" cm="1">
        <f t="array" ref="T130">_xll.aqBondObjectPrice($N130,$C$4,$O130)</f>
        <v>82.096885966453897</v>
      </c>
      <c r="U130" s="49" cm="1">
        <f t="array" ref="U130">_xll.aqBondObjectCleanPrice($N130,$C$4,$O130)</f>
        <v>82.096885966453897</v>
      </c>
      <c r="V130" s="49" cm="1">
        <f t="array" ref="V130">_xll.aqBondObjectDirtyPrice($N130,$C$4,$O130)</f>
        <v>82.382795966453898</v>
      </c>
      <c r="W130" s="18" cm="1">
        <f t="array" ref="W130">_xll.aqBondObjectModifiedDuration($N130,$C$4,$O130)</f>
        <v>14.115829244007497</v>
      </c>
      <c r="X130" s="93" cm="1">
        <f t="array" ref="X130">_xll.aqBondObjectDV01($N130,$C$4,$O130)</f>
        <v>1162.9014805063728</v>
      </c>
    </row>
    <row r="131" spans="2:24">
      <c r="B131" s="11" t="s">
        <v>425</v>
      </c>
      <c r="C131" s="11" t="s">
        <v>426</v>
      </c>
      <c r="D131" s="11" t="s">
        <v>426</v>
      </c>
      <c r="E131" s="12">
        <v>41416</v>
      </c>
      <c r="F131" s="12" t="s">
        <v>318</v>
      </c>
      <c r="G131" s="15" t="str">
        <f t="shared" si="1"/>
        <v/>
      </c>
      <c r="H131" s="12" t="s">
        <v>318</v>
      </c>
      <c r="I131" s="12" t="s">
        <v>318</v>
      </c>
      <c r="J131" s="31">
        <v>0</v>
      </c>
      <c r="K131" s="12">
        <v>49919</v>
      </c>
      <c r="L131" s="89" t="s">
        <v>318</v>
      </c>
      <c r="M131" s="80" t="s">
        <v>282</v>
      </c>
      <c r="N131" s="16" t="str" cm="1">
        <f t="array" ref="N131">_xll.aqBondObjectCreateFromGenerator($C131,$N$4,_xll.aqToolLVBFromKeysValues($C$7:$M$7,$C131:$M131))</f>
        <v>IT0004976681:5</v>
      </c>
      <c r="O131" s="78">
        <v>3.6153655667604534E-2</v>
      </c>
      <c r="P131" s="51">
        <v>53.005899999999997</v>
      </c>
      <c r="Q131" s="17">
        <v>17.558299999999999</v>
      </c>
      <c r="R131" s="95">
        <v>930.69629999999995</v>
      </c>
      <c r="S131" s="39" cm="1">
        <f t="array" ref="S131">_xll.aqBondObjectYield(N131,$C$4,T131)</f>
        <v>3.6153655667607643E-2</v>
      </c>
      <c r="T131" s="49" cm="1">
        <f t="array" ref="T131">_xll.aqBondObjectPrice($N131,$C$4,$O131)</f>
        <v>53.005915210998452</v>
      </c>
      <c r="U131" s="49" cm="1">
        <f t="array" ref="U131">_xll.aqBondObjectCleanPrice($N131,$C$4,$O131)</f>
        <v>53.005915210998452</v>
      </c>
      <c r="V131" s="49" cm="1">
        <f t="array" ref="V131">_xll.aqBondObjectDirtyPrice($N131,$C$4,$O131)</f>
        <v>53.005915210998452</v>
      </c>
      <c r="W131" s="18" cm="1">
        <f t="array" ref="W131">_xll.aqBondObjectModifiedDuration($N131,$C$4,$O131)</f>
        <v>17.558347030358117</v>
      </c>
      <c r="X131" s="93" cm="1">
        <f t="array" ref="X131">_xll.aqBondObjectDV01($N131,$C$4,$O131)</f>
        <v>930.6962539364489</v>
      </c>
    </row>
    <row r="132" spans="2:24">
      <c r="B132" s="11" t="s">
        <v>314</v>
      </c>
      <c r="C132" s="11" t="s">
        <v>315</v>
      </c>
      <c r="D132" s="11" t="s">
        <v>315</v>
      </c>
      <c r="E132" s="12">
        <v>38644</v>
      </c>
      <c r="F132" s="12">
        <v>38565</v>
      </c>
      <c r="G132" s="15" t="str">
        <f t="shared" si="1"/>
        <v/>
      </c>
      <c r="H132" s="12">
        <v>38749</v>
      </c>
      <c r="I132" s="12">
        <v>49888</v>
      </c>
      <c r="J132" s="31">
        <v>0.04</v>
      </c>
      <c r="K132" s="12">
        <v>50072</v>
      </c>
      <c r="L132" s="89">
        <v>101.289</v>
      </c>
      <c r="M132" s="80" t="s">
        <v>282</v>
      </c>
      <c r="N132" s="16" t="str" cm="1">
        <f t="array" ref="N132">_xll.aqBondObjectCreateFromGenerator($C132,$N$4,_xll.aqToolLVBFromKeysValues($C$7:$M$7,$C132:$M132))</f>
        <v>IT0003934657:5</v>
      </c>
      <c r="O132" s="78">
        <v>3.7885343112424419E-2</v>
      </c>
      <c r="P132" s="51">
        <v>103.2312</v>
      </c>
      <c r="Q132" s="17">
        <v>12.8894</v>
      </c>
      <c r="R132" s="95">
        <v>1341.375</v>
      </c>
      <c r="S132" s="39" cm="1">
        <f t="array" ref="S132">_xll.aqBondObjectYield(N132,$C$4,T132)</f>
        <v>3.7885343112441072E-2</v>
      </c>
      <c r="T132" s="49" cm="1">
        <f t="array" ref="T132">_xll.aqBondObjectPrice($N132,$C$4,$O132)</f>
        <v>103.23117601301556</v>
      </c>
      <c r="U132" s="49" cm="1">
        <f t="array" ref="U132">_xll.aqBondObjectCleanPrice($N132,$C$4,$O132)</f>
        <v>103.23117601301556</v>
      </c>
      <c r="V132" s="49" cm="1">
        <f t="array" ref="V132">_xll.aqBondObjectDirtyPrice($N132,$C$4,$O132)</f>
        <v>104.06813601301556</v>
      </c>
      <c r="W132" s="18" cm="1">
        <f t="array" ref="W132">_xll.aqBondObjectModifiedDuration($N132,$C$4,$O132)</f>
        <v>12.889391841517408</v>
      </c>
      <c r="X132" s="93" cm="1">
        <f t="array" ref="X132">_xll.aqBondObjectDV01($N132,$C$4,$O132)</f>
        <v>1341.3749832880867</v>
      </c>
    </row>
    <row r="133" spans="2:24">
      <c r="B133" s="11" t="s">
        <v>383</v>
      </c>
      <c r="C133" s="11" t="s">
        <v>384</v>
      </c>
      <c r="D133" s="11" t="s">
        <v>384</v>
      </c>
      <c r="E133" s="12">
        <v>38565</v>
      </c>
      <c r="F133" s="12" t="s">
        <v>318</v>
      </c>
      <c r="G133" s="15" t="str">
        <f t="shared" si="1"/>
        <v/>
      </c>
      <c r="H133" s="12" t="s">
        <v>318</v>
      </c>
      <c r="I133" s="12" t="s">
        <v>318</v>
      </c>
      <c r="J133" s="31">
        <v>0</v>
      </c>
      <c r="K133" s="12">
        <v>50072</v>
      </c>
      <c r="L133" s="89" t="s">
        <v>318</v>
      </c>
      <c r="M133" s="80" t="s">
        <v>282</v>
      </c>
      <c r="N133" s="16" t="str" cm="1">
        <f t="array" ref="N133">_xll.aqBondObjectCreateFromGenerator($C133,$N$4,_xll.aqToolLVBFromKeysValues($C$7:$M$7,$C133:$M133))</f>
        <v>IT0004848641:5</v>
      </c>
      <c r="O133" s="78">
        <v>3.8300290230430134E-2</v>
      </c>
      <c r="P133" s="51">
        <v>50.280200000000001</v>
      </c>
      <c r="Q133" s="17">
        <v>17.950199999999999</v>
      </c>
      <c r="R133" s="95">
        <v>902.5412</v>
      </c>
      <c r="S133" s="39" cm="1">
        <f t="array" ref="S133">_xll.aqBondObjectYield(N133,$C$4,T133)</f>
        <v>3.8300290230437017E-2</v>
      </c>
      <c r="T133" s="49" cm="1">
        <f t="array" ref="T133">_xll.aqBondObjectPrice($N133,$C$4,$O133)</f>
        <v>50.280170229183284</v>
      </c>
      <c r="U133" s="49" cm="1">
        <f t="array" ref="U133">_xll.aqBondObjectCleanPrice($N133,$C$4,$O133)</f>
        <v>50.280170229183284</v>
      </c>
      <c r="V133" s="49" cm="1">
        <f t="array" ref="V133">_xll.aqBondObjectDirtyPrice($N133,$C$4,$O133)</f>
        <v>50.280170229183284</v>
      </c>
      <c r="W133" s="18" cm="1">
        <f t="array" ref="W133">_xll.aqBondObjectModifiedDuration($N133,$C$4,$O133)</f>
        <v>17.95024101593706</v>
      </c>
      <c r="X133" s="93" cm="1">
        <f t="array" ref="X133">_xll.aqBondObjectDV01($N133,$C$4,$O133)</f>
        <v>902.54117393618321</v>
      </c>
    </row>
    <row r="134" spans="2:24">
      <c r="B134" s="11" t="s">
        <v>615</v>
      </c>
      <c r="C134" s="11" t="s">
        <v>616</v>
      </c>
      <c r="D134" s="11" t="s">
        <v>616</v>
      </c>
      <c r="E134" s="12">
        <v>38565</v>
      </c>
      <c r="F134" s="12" t="s">
        <v>318</v>
      </c>
      <c r="G134" s="15" t="str">
        <f t="shared" si="1"/>
        <v/>
      </c>
      <c r="H134" s="12" t="s">
        <v>318</v>
      </c>
      <c r="I134" s="12" t="s">
        <v>318</v>
      </c>
      <c r="J134" s="31">
        <v>0</v>
      </c>
      <c r="K134" s="12">
        <v>50072</v>
      </c>
      <c r="L134" s="89" t="s">
        <v>318</v>
      </c>
      <c r="M134" s="80" t="s">
        <v>282</v>
      </c>
      <c r="N134" s="16" t="str" cm="1">
        <f t="array" ref="N134">_xll.aqBondObjectCreateFromGenerator($C134,$N$4,_xll.aqToolLVBFromKeysValues($C$7:$M$7,$C134:$M134))</f>
        <v>IT0004002801:5</v>
      </c>
      <c r="O134" s="78">
        <v>3.9634024813878233E-2</v>
      </c>
      <c r="P134" s="51">
        <v>49.113199999999999</v>
      </c>
      <c r="Q134" s="17">
        <v>17.938700000000001</v>
      </c>
      <c r="R134" s="95">
        <v>881.02760000000001</v>
      </c>
      <c r="S134" s="39" cm="1">
        <f t="array" ref="S134">_xll.aqBondObjectYield(N134,$C$4,T134)</f>
        <v>3.963402481388778E-2</v>
      </c>
      <c r="T134" s="49" cm="1">
        <f t="array" ref="T134">_xll.aqBondObjectPrice($N134,$C$4,$O134)</f>
        <v>49.113171957451762</v>
      </c>
      <c r="U134" s="49" cm="1">
        <f t="array" ref="U134">_xll.aqBondObjectCleanPrice($N134,$C$4,$O134)</f>
        <v>49.113171957451762</v>
      </c>
      <c r="V134" s="49" cm="1">
        <f t="array" ref="V134">_xll.aqBondObjectDirtyPrice($N134,$C$4,$O134)</f>
        <v>49.113171957451762</v>
      </c>
      <c r="W134" s="18" cm="1">
        <f t="array" ref="W134">_xll.aqBondObjectModifiedDuration($N134,$C$4,$O134)</f>
        <v>17.938723241439178</v>
      </c>
      <c r="X134" s="93" cm="1">
        <f t="array" ref="X134">_xll.aqBondObjectDV01($N134,$C$4,$O134)</f>
        <v>881.02759925393877</v>
      </c>
    </row>
    <row r="135" spans="2:24">
      <c r="B135" s="11" t="s">
        <v>477</v>
      </c>
      <c r="C135" s="11" t="s">
        <v>478</v>
      </c>
      <c r="D135" s="11" t="s">
        <v>478</v>
      </c>
      <c r="E135" s="12">
        <v>39295</v>
      </c>
      <c r="F135" s="12" t="s">
        <v>318</v>
      </c>
      <c r="G135" s="15" t="str">
        <f t="shared" si="1"/>
        <v/>
      </c>
      <c r="H135" s="12" t="s">
        <v>318</v>
      </c>
      <c r="I135" s="12" t="s">
        <v>318</v>
      </c>
      <c r="J135" s="31">
        <v>0</v>
      </c>
      <c r="K135" s="12">
        <v>50253</v>
      </c>
      <c r="L135" s="89" t="s">
        <v>318</v>
      </c>
      <c r="M135" s="80" t="s">
        <v>282</v>
      </c>
      <c r="N135" s="16" t="str" cm="1">
        <f t="array" ref="N135">_xll.aqBondObjectCreateFromGenerator($C135,$N$4,_xll.aqToolLVBFromKeysValues($C$7:$M$7,$C135:$M135))</f>
        <v>IT0004288590:5</v>
      </c>
      <c r="O135" s="78">
        <v>3.9912369623797295E-2</v>
      </c>
      <c r="P135" s="51">
        <v>47.920999999999999</v>
      </c>
      <c r="Q135" s="17">
        <v>18.426600000000001</v>
      </c>
      <c r="R135" s="95">
        <v>883.02269999999999</v>
      </c>
      <c r="S135" s="39" cm="1">
        <f t="array" ref="S135">_xll.aqBondObjectYield(N135,$C$4,T135)</f>
        <v>3.9912369623809507E-2</v>
      </c>
      <c r="T135" s="49" cm="1">
        <f t="array" ref="T135">_xll.aqBondObjectPrice($N135,$C$4,$O135)</f>
        <v>47.920999999120014</v>
      </c>
      <c r="U135" s="49" cm="1">
        <f t="array" ref="U135">_xll.aqBondObjectCleanPrice($N135,$C$4,$O135)</f>
        <v>47.920999999120014</v>
      </c>
      <c r="V135" s="49" cm="1">
        <f t="array" ref="V135">_xll.aqBondObjectDirtyPrice($N135,$C$4,$O135)</f>
        <v>47.920999999120014</v>
      </c>
      <c r="W135" s="18" cm="1">
        <f t="array" ref="W135">_xll.aqBondObjectModifiedDuration($N135,$C$4,$O135)</f>
        <v>18.42663332042947</v>
      </c>
      <c r="X135" s="93" cm="1">
        <f t="array" ref="X135">_xll.aqBondObjectDV01($N135,$C$4,$O135)</f>
        <v>883.02269533208539</v>
      </c>
    </row>
    <row r="136" spans="2:24">
      <c r="B136" s="11" t="s">
        <v>387</v>
      </c>
      <c r="C136" s="11" t="s">
        <v>388</v>
      </c>
      <c r="D136" s="11" t="s">
        <v>388</v>
      </c>
      <c r="E136" s="12">
        <v>41416</v>
      </c>
      <c r="F136" s="12" t="s">
        <v>318</v>
      </c>
      <c r="G136" s="15" t="str">
        <f t="shared" ref="G136:G199" si="2">IF(DAY(K136+1)=1, "EOM","")</f>
        <v/>
      </c>
      <c r="H136" s="12" t="s">
        <v>318</v>
      </c>
      <c r="I136" s="12" t="s">
        <v>318</v>
      </c>
      <c r="J136" s="31">
        <v>0</v>
      </c>
      <c r="K136" s="12">
        <v>50284</v>
      </c>
      <c r="L136" s="89" t="s">
        <v>318</v>
      </c>
      <c r="M136" s="80" t="s">
        <v>282</v>
      </c>
      <c r="N136" s="16" t="str" cm="1">
        <f t="array" ref="N136">_xll.aqBondObjectCreateFromGenerator($C136,$N$4,_xll.aqToolLVBFromKeysValues($C$7:$M$7,$C136:$M136))</f>
        <v>IT0004976707:5</v>
      </c>
      <c r="O136" s="78">
        <v>3.9712435243886457E-2</v>
      </c>
      <c r="P136" s="51">
        <v>47.950800000000001</v>
      </c>
      <c r="Q136" s="17">
        <v>18.509</v>
      </c>
      <c r="R136" s="95">
        <v>887.52139999999997</v>
      </c>
      <c r="S136" s="39" cm="1">
        <f t="array" ref="S136">_xll.aqBondObjectYield(N136,$C$4,T136)</f>
        <v>3.9712435243899336E-2</v>
      </c>
      <c r="T136" s="49" cm="1">
        <f t="array" ref="T136">_xll.aqBondObjectPrice($N136,$C$4,$O136)</f>
        <v>47.950831784247484</v>
      </c>
      <c r="U136" s="49" cm="1">
        <f t="array" ref="U136">_xll.aqBondObjectCleanPrice($N136,$C$4,$O136)</f>
        <v>47.950831784247484</v>
      </c>
      <c r="V136" s="49" cm="1">
        <f t="array" ref="V136">_xll.aqBondObjectDirtyPrice($N136,$C$4,$O136)</f>
        <v>47.950831784247484</v>
      </c>
      <c r="W136" s="18" cm="1">
        <f t="array" ref="W136">_xll.aqBondObjectModifiedDuration($N136,$C$4,$O136)</f>
        <v>18.508987750659493</v>
      </c>
      <c r="X136" s="93" cm="1">
        <f t="array" ref="X136">_xll.aqBondObjectDV01($N136,$C$4,$O136)</f>
        <v>887.52135812857057</v>
      </c>
    </row>
    <row r="137" spans="2:24">
      <c r="B137" s="11" t="s">
        <v>617</v>
      </c>
      <c r="C137" s="11" t="s">
        <v>618</v>
      </c>
      <c r="D137" s="11" t="s">
        <v>618</v>
      </c>
      <c r="E137" s="12">
        <v>39295</v>
      </c>
      <c r="F137" s="12" t="s">
        <v>318</v>
      </c>
      <c r="G137" s="15" t="str">
        <f t="shared" si="2"/>
        <v/>
      </c>
      <c r="H137" s="12" t="s">
        <v>318</v>
      </c>
      <c r="I137" s="12" t="s">
        <v>318</v>
      </c>
      <c r="J137" s="31">
        <v>0</v>
      </c>
      <c r="K137" s="12">
        <v>50437</v>
      </c>
      <c r="L137" s="89" t="s">
        <v>318</v>
      </c>
      <c r="M137" s="80" t="s">
        <v>282</v>
      </c>
      <c r="N137" s="16" t="str" cm="1">
        <f t="array" ref="N137">_xll.aqBondObjectCreateFromGenerator($C137,$N$4,_xll.aqToolLVBFromKeysValues($C$7:$M$7,$C137:$M137))</f>
        <v>IT0004288608:5</v>
      </c>
      <c r="O137" s="78">
        <v>4.0765131075795047E-2</v>
      </c>
      <c r="P137" s="51">
        <v>46.265000000000001</v>
      </c>
      <c r="Q137" s="17">
        <v>18.909199999999998</v>
      </c>
      <c r="R137" s="95">
        <v>874.8338</v>
      </c>
      <c r="S137" s="39" cm="1">
        <f t="array" ref="S137">_xll.aqBondObjectYield(N137,$C$4,T137)</f>
        <v>4.0765131075813699E-2</v>
      </c>
      <c r="T137" s="49" cm="1">
        <f t="array" ref="T137">_xll.aqBondObjectPrice($N137,$C$4,$O137)</f>
        <v>46.264999998961557</v>
      </c>
      <c r="U137" s="49" cm="1">
        <f t="array" ref="U137">_xll.aqBondObjectCleanPrice($N137,$C$4,$O137)</f>
        <v>46.264999998961557</v>
      </c>
      <c r="V137" s="49" cm="1">
        <f t="array" ref="V137">_xll.aqBondObjectDirtyPrice($N137,$C$4,$O137)</f>
        <v>46.264999998961557</v>
      </c>
      <c r="W137" s="18" cm="1">
        <f t="array" ref="W137">_xll.aqBondObjectModifiedDuration($N137,$C$4,$O137)</f>
        <v>18.909192832400482</v>
      </c>
      <c r="X137" s="93" cm="1">
        <f t="array" ref="X137">_xll.aqBondObjectDV01($N137,$C$4,$O137)</f>
        <v>874.83380637137225</v>
      </c>
    </row>
    <row r="138" spans="2:24">
      <c r="B138" s="11" t="s">
        <v>429</v>
      </c>
      <c r="C138" s="11" t="s">
        <v>430</v>
      </c>
      <c r="D138" s="11" t="s">
        <v>430</v>
      </c>
      <c r="E138" s="12">
        <v>39295</v>
      </c>
      <c r="F138" s="12" t="s">
        <v>318</v>
      </c>
      <c r="G138" s="15" t="str">
        <f t="shared" si="2"/>
        <v/>
      </c>
      <c r="H138" s="12" t="s">
        <v>318</v>
      </c>
      <c r="I138" s="12" t="s">
        <v>318</v>
      </c>
      <c r="J138" s="31">
        <v>0</v>
      </c>
      <c r="K138" s="12">
        <v>50618</v>
      </c>
      <c r="L138" s="89" t="s">
        <v>318</v>
      </c>
      <c r="M138" s="80" t="s">
        <v>282</v>
      </c>
      <c r="N138" s="16" t="str" cm="1">
        <f t="array" ref="N138">_xll.aqBondObjectCreateFromGenerator($C138,$N$4,_xll.aqToolLVBFromKeysValues($C$7:$M$7,$C138:$M138))</f>
        <v>IT0004288616:5</v>
      </c>
      <c r="O138" s="78">
        <v>4.1392861813043025E-2</v>
      </c>
      <c r="P138" s="51">
        <v>44.806899999999999</v>
      </c>
      <c r="Q138" s="17">
        <v>19.3935</v>
      </c>
      <c r="R138" s="95">
        <v>868.96100000000001</v>
      </c>
      <c r="S138" s="39" cm="1">
        <f t="array" ref="S138">_xll.aqBondObjectYield(N138,$C$4,T138)</f>
        <v>4.1392861813066117E-2</v>
      </c>
      <c r="T138" s="49" cm="1">
        <f t="array" ref="T138">_xll.aqBondObjectPrice($N138,$C$4,$O138)</f>
        <v>44.80691814688587</v>
      </c>
      <c r="U138" s="49" cm="1">
        <f t="array" ref="U138">_xll.aqBondObjectCleanPrice($N138,$C$4,$O138)</f>
        <v>44.80691814688587</v>
      </c>
      <c r="V138" s="49" cm="1">
        <f t="array" ref="V138">_xll.aqBondObjectDirtyPrice($N138,$C$4,$O138)</f>
        <v>44.80691814688587</v>
      </c>
      <c r="W138" s="18" cm="1">
        <f t="array" ref="W138">_xll.aqBondObjectModifiedDuration($N138,$C$4,$O138)</f>
        <v>19.393455278910583</v>
      </c>
      <c r="X138" s="93" cm="1">
        <f t="array" ref="X138">_xll.aqBondObjectDV01($N138,$C$4,$O138)</f>
        <v>868.96096326743816</v>
      </c>
    </row>
    <row r="139" spans="2:24">
      <c r="B139" s="11" t="s">
        <v>385</v>
      </c>
      <c r="C139" s="11" t="s">
        <v>386</v>
      </c>
      <c r="D139" s="11" t="s">
        <v>386</v>
      </c>
      <c r="E139" s="12">
        <v>41416</v>
      </c>
      <c r="F139" s="12" t="s">
        <v>318</v>
      </c>
      <c r="G139" s="15" t="str">
        <f t="shared" si="2"/>
        <v/>
      </c>
      <c r="H139" s="12" t="s">
        <v>318</v>
      </c>
      <c r="I139" s="12" t="s">
        <v>318</v>
      </c>
      <c r="J139" s="31">
        <v>0</v>
      </c>
      <c r="K139" s="12">
        <v>50649</v>
      </c>
      <c r="L139" s="89" t="s">
        <v>318</v>
      </c>
      <c r="M139" s="80" t="s">
        <v>282</v>
      </c>
      <c r="N139" s="16" t="str" cm="1">
        <f t="array" ref="N139">_xll.aqBondObjectCreateFromGenerator($C139,$N$4,_xll.aqToolLVBFromKeysValues($C$7:$M$7,$C139:$M139))</f>
        <v>IT0004976723:5</v>
      </c>
      <c r="O139" s="78">
        <v>3.9613254622182348E-2</v>
      </c>
      <c r="P139" s="51">
        <v>46.206800000000001</v>
      </c>
      <c r="Q139" s="17">
        <v>19.490600000000001</v>
      </c>
      <c r="R139" s="95">
        <v>900.60059999999999</v>
      </c>
      <c r="S139" s="39" cm="1">
        <f t="array" ref="S139">_xll.aqBondObjectYield(N139,$C$4,T139)</f>
        <v>3.9613254622201E-2</v>
      </c>
      <c r="T139" s="49" cm="1">
        <f t="array" ref="T139">_xll.aqBondObjectPrice($N139,$C$4,$O139)</f>
        <v>46.206838298569423</v>
      </c>
      <c r="U139" s="49" cm="1">
        <f t="array" ref="U139">_xll.aqBondObjectCleanPrice($N139,$C$4,$O139)</f>
        <v>46.206838298569423</v>
      </c>
      <c r="V139" s="49" cm="1">
        <f t="array" ref="V139">_xll.aqBondObjectDirtyPrice($N139,$C$4,$O139)</f>
        <v>46.206838298569423</v>
      </c>
      <c r="W139" s="18" cm="1">
        <f t="array" ref="W139">_xll.aqBondObjectModifiedDuration($N139,$C$4,$O139)</f>
        <v>19.490633672922794</v>
      </c>
      <c r="X139" s="93" cm="1">
        <f t="array" ref="X139">_xll.aqBondObjectDV01($N139,$C$4,$O139)</f>
        <v>900.60055846139574</v>
      </c>
    </row>
    <row r="140" spans="2:24">
      <c r="B140" s="11" t="s">
        <v>389</v>
      </c>
      <c r="C140" s="11" t="s">
        <v>390</v>
      </c>
      <c r="D140" s="11" t="s">
        <v>390</v>
      </c>
      <c r="E140" s="12">
        <v>39295</v>
      </c>
      <c r="F140" s="12" t="s">
        <v>318</v>
      </c>
      <c r="G140" s="15" t="str">
        <f t="shared" si="2"/>
        <v/>
      </c>
      <c r="H140" s="12" t="s">
        <v>318</v>
      </c>
      <c r="I140" s="12" t="s">
        <v>318</v>
      </c>
      <c r="J140" s="31">
        <v>0</v>
      </c>
      <c r="K140" s="12">
        <v>50802</v>
      </c>
      <c r="L140" s="89" t="s">
        <v>318</v>
      </c>
      <c r="M140" s="80" t="s">
        <v>282</v>
      </c>
      <c r="N140" s="16" t="str" cm="1">
        <f t="array" ref="N140">_xll.aqBondObjectCreateFromGenerator($C140,$N$4,_xll.aqToolLVBFromKeysValues($C$7:$M$7,$C140:$M140))</f>
        <v>IT0004288624:5</v>
      </c>
      <c r="O140" s="78">
        <v>4.2396930434701163E-2</v>
      </c>
      <c r="P140" s="51">
        <v>43.061900000000001</v>
      </c>
      <c r="Q140" s="17">
        <v>19.873799999999999</v>
      </c>
      <c r="R140" s="95">
        <v>855.8057</v>
      </c>
      <c r="S140" s="39" cm="1">
        <f t="array" ref="S140">_xll.aqBondObjectYield(N140,$C$4,T140)</f>
        <v>4.2396930434726476E-2</v>
      </c>
      <c r="T140" s="49" cm="1">
        <f t="array" ref="T140">_xll.aqBondObjectPrice($N140,$C$4,$O140)</f>
        <v>43.061919465506428</v>
      </c>
      <c r="U140" s="49" cm="1">
        <f t="array" ref="U140">_xll.aqBondObjectCleanPrice($N140,$C$4,$O140)</f>
        <v>43.061919465506428</v>
      </c>
      <c r="V140" s="49" cm="1">
        <f t="array" ref="V140">_xll.aqBondObjectDirtyPrice($N140,$C$4,$O140)</f>
        <v>43.061919465506428</v>
      </c>
      <c r="W140" s="18" cm="1">
        <f t="array" ref="W140">_xll.aqBondObjectModifiedDuration($N140,$C$4,$O140)</f>
        <v>19.873839160375269</v>
      </c>
      <c r="X140" s="93" cm="1">
        <f t="array" ref="X140">_xll.aqBondObjectDV01($N140,$C$4,$O140)</f>
        <v>855.80566139450764</v>
      </c>
    </row>
    <row r="141" spans="2:24">
      <c r="B141" s="11" t="s">
        <v>627</v>
      </c>
      <c r="C141" s="11" t="s">
        <v>628</v>
      </c>
      <c r="D141" s="11" t="s">
        <v>628</v>
      </c>
      <c r="E141" s="12">
        <v>41416</v>
      </c>
      <c r="F141" s="12" t="s">
        <v>318</v>
      </c>
      <c r="G141" s="15" t="str">
        <f t="shared" si="2"/>
        <v/>
      </c>
      <c r="H141" s="12" t="s">
        <v>318</v>
      </c>
      <c r="I141" s="12" t="s">
        <v>318</v>
      </c>
      <c r="J141" s="31">
        <v>0</v>
      </c>
      <c r="K141" s="12">
        <v>50830</v>
      </c>
      <c r="L141" s="89" t="s">
        <v>318</v>
      </c>
      <c r="M141" s="80" t="s">
        <v>282</v>
      </c>
      <c r="N141" s="16" t="str" cm="1">
        <f t="array" ref="N141">_xll.aqBondObjectCreateFromGenerator($C141,$N$4,_xll.aqToolLVBFromKeysValues($C$7:$M$7,$C141:$M141))</f>
        <v>IT0004976731:5</v>
      </c>
      <c r="O141" s="78">
        <v>4.2856110796751334E-2</v>
      </c>
      <c r="P141" s="51">
        <v>42.531799999999997</v>
      </c>
      <c r="Q141" s="17">
        <v>19.9499</v>
      </c>
      <c r="R141" s="95">
        <v>848.50699999999995</v>
      </c>
      <c r="S141" s="39" cm="1">
        <f t="array" ref="S141">_xll.aqBondObjectYield(N141,$C$4,T141)</f>
        <v>4.2856110796774427E-2</v>
      </c>
      <c r="T141" s="49" cm="1">
        <f t="array" ref="T141">_xll.aqBondObjectPrice($N141,$C$4,$O141)</f>
        <v>42.531839227595015</v>
      </c>
      <c r="U141" s="49" cm="1">
        <f t="array" ref="U141">_xll.aqBondObjectCleanPrice($N141,$C$4,$O141)</f>
        <v>42.531839227595015</v>
      </c>
      <c r="V141" s="49" cm="1">
        <f t="array" ref="V141">_xll.aqBondObjectDirtyPrice($N141,$C$4,$O141)</f>
        <v>42.531839227595015</v>
      </c>
      <c r="W141" s="18" cm="1">
        <f t="array" ref="W141">_xll.aqBondObjectModifiedDuration($N141,$C$4,$O141)</f>
        <v>19.949924615488019</v>
      </c>
      <c r="X141" s="93" cm="1">
        <f t="array" ref="X141">_xll.aqBondObjectDV01($N141,$C$4,$O141)</f>
        <v>848.50698634857667</v>
      </c>
    </row>
    <row r="142" spans="2:24">
      <c r="B142" s="11" t="s">
        <v>349</v>
      </c>
      <c r="C142" s="11" t="s">
        <v>350</v>
      </c>
      <c r="D142" s="11" t="s">
        <v>350</v>
      </c>
      <c r="E142" s="12">
        <v>39378</v>
      </c>
      <c r="F142" s="12">
        <v>39295</v>
      </c>
      <c r="G142" s="15" t="str">
        <f t="shared" si="2"/>
        <v/>
      </c>
      <c r="H142" s="12">
        <v>39479</v>
      </c>
      <c r="I142" s="12">
        <v>50802</v>
      </c>
      <c r="J142" s="31">
        <v>0.05</v>
      </c>
      <c r="K142" s="12">
        <v>50983</v>
      </c>
      <c r="L142" s="89">
        <v>99.98</v>
      </c>
      <c r="M142" s="80" t="s">
        <v>282</v>
      </c>
      <c r="N142" s="16" t="str" cm="1">
        <f t="array" ref="N142">_xll.aqBondObjectCreateFromGenerator($C142,$N$4,_xll.aqToolLVBFromKeysValues($C$7:$M$7,$C142:$M142))</f>
        <v>IT0004286966:5</v>
      </c>
      <c r="O142" s="78">
        <v>4.0184516541142967E-2</v>
      </c>
      <c r="P142" s="51">
        <v>114.3409</v>
      </c>
      <c r="Q142" s="17">
        <v>13.307700000000001</v>
      </c>
      <c r="R142" s="95">
        <v>1535.5401999999999</v>
      </c>
      <c r="S142" s="39" cm="1">
        <f t="array" ref="S142">_xll.aqBondObjectYield(N142,$C$4,T142)</f>
        <v>4.0184516541142967E-2</v>
      </c>
      <c r="T142" s="49" cm="1">
        <f t="array" ref="T142">_xll.aqBondObjectPrice($N142,$C$4,$O142)</f>
        <v>114.34092349108222</v>
      </c>
      <c r="U142" s="49" cm="1">
        <f t="array" ref="U142">_xll.aqBondObjectCleanPrice($N142,$C$4,$O142)</f>
        <v>114.34092349108222</v>
      </c>
      <c r="V142" s="49" cm="1">
        <f t="array" ref="V142">_xll.aqBondObjectDirtyPrice($N142,$C$4,$O142)</f>
        <v>115.38712349108222</v>
      </c>
      <c r="W142" s="18" cm="1">
        <f t="array" ref="W142">_xll.aqBondObjectModifiedDuration($N142,$C$4,$O142)</f>
        <v>13.307726175445003</v>
      </c>
      <c r="X142" s="93" cm="1">
        <f t="array" ref="X142">_xll.aqBondObjectDV01($N142,$C$4,$O142)</f>
        <v>1535.5402435915798</v>
      </c>
    </row>
    <row r="143" spans="2:24">
      <c r="B143" s="11" t="s">
        <v>351</v>
      </c>
      <c r="C143" s="11" t="s">
        <v>352</v>
      </c>
      <c r="D143" s="11" t="s">
        <v>352</v>
      </c>
      <c r="E143" s="12">
        <v>39295</v>
      </c>
      <c r="F143" s="12" t="s">
        <v>318</v>
      </c>
      <c r="G143" s="15" t="str">
        <f t="shared" si="2"/>
        <v/>
      </c>
      <c r="H143" s="12" t="s">
        <v>318</v>
      </c>
      <c r="I143" s="12" t="s">
        <v>318</v>
      </c>
      <c r="J143" s="31">
        <v>0</v>
      </c>
      <c r="K143" s="12">
        <v>50983</v>
      </c>
      <c r="L143" s="89" t="s">
        <v>318</v>
      </c>
      <c r="M143" s="80" t="s">
        <v>282</v>
      </c>
      <c r="N143" s="16" t="str" cm="1">
        <f t="array" ref="N143">_xll.aqBondObjectCreateFromGenerator($C143,$N$4,_xll.aqToolLVBFromKeysValues($C$7:$M$7,$C143:$M143))</f>
        <v>IT0004848690:5</v>
      </c>
      <c r="O143" s="78">
        <v>4.1977003254995759E-2</v>
      </c>
      <c r="P143" s="51">
        <v>42.5319</v>
      </c>
      <c r="Q143" s="17">
        <v>20.367699999999999</v>
      </c>
      <c r="R143" s="95">
        <v>866.27610000000004</v>
      </c>
      <c r="S143" s="39" cm="1">
        <f t="array" ref="S143">_xll.aqBondObjectYield(N143,$C$4,T143)</f>
        <v>4.197700325501974E-2</v>
      </c>
      <c r="T143" s="49" cm="1">
        <f t="array" ref="T143">_xll.aqBondObjectPrice($N143,$C$4,$O143)</f>
        <v>42.531921227943052</v>
      </c>
      <c r="U143" s="49" cm="1">
        <f t="array" ref="U143">_xll.aqBondObjectCleanPrice($N143,$C$4,$O143)</f>
        <v>42.531921227943052</v>
      </c>
      <c r="V143" s="49" cm="1">
        <f t="array" ref="V143">_xll.aqBondObjectDirtyPrice($N143,$C$4,$O143)</f>
        <v>42.531921227943052</v>
      </c>
      <c r="W143" s="18" cm="1">
        <f t="array" ref="W143">_xll.aqBondObjectModifiedDuration($N143,$C$4,$O143)</f>
        <v>20.367668424093306</v>
      </c>
      <c r="X143" s="93" cm="1">
        <f t="array" ref="X143">_xll.aqBondObjectDV01($N143,$C$4,$O143)</f>
        <v>866.27606901039951</v>
      </c>
    </row>
    <row r="144" spans="2:24">
      <c r="B144" s="11" t="s">
        <v>397</v>
      </c>
      <c r="C144" s="11" t="s">
        <v>398</v>
      </c>
      <c r="D144" s="11" t="s">
        <v>398</v>
      </c>
      <c r="E144" s="12">
        <v>39295</v>
      </c>
      <c r="F144" s="12" t="s">
        <v>318</v>
      </c>
      <c r="G144" s="15" t="str">
        <f t="shared" si="2"/>
        <v/>
      </c>
      <c r="H144" s="12" t="s">
        <v>318</v>
      </c>
      <c r="I144" s="12" t="s">
        <v>318</v>
      </c>
      <c r="J144" s="31">
        <v>0</v>
      </c>
      <c r="K144" s="12">
        <v>50983</v>
      </c>
      <c r="L144" s="89" t="s">
        <v>318</v>
      </c>
      <c r="M144" s="80" t="s">
        <v>282</v>
      </c>
      <c r="N144" s="16" t="str" cm="1">
        <f t="array" ref="N144">_xll.aqBondObjectCreateFromGenerator($C144,$N$4,_xll.aqToolLVBFromKeysValues($C$7:$M$7,$C144:$M144))</f>
        <v>IT0004288574:5</v>
      </c>
      <c r="O144" s="78">
        <v>4.081984985834608E-2</v>
      </c>
      <c r="P144" s="51">
        <v>43.5259</v>
      </c>
      <c r="Q144" s="17">
        <v>20.379000000000001</v>
      </c>
      <c r="R144" s="95">
        <v>887.01419999999996</v>
      </c>
      <c r="S144" s="39" cm="1">
        <f t="array" ref="S144">_xll.aqBondObjectYield(N144,$C$4,T144)</f>
        <v>4.0819849858372725E-2</v>
      </c>
      <c r="T144" s="49" cm="1">
        <f t="array" ref="T144">_xll.aqBondObjectPrice($N144,$C$4,$O144)</f>
        <v>43.5259215647377</v>
      </c>
      <c r="U144" s="49" cm="1">
        <f t="array" ref="U144">_xll.aqBondObjectCleanPrice($N144,$C$4,$O144)</f>
        <v>43.5259215647377</v>
      </c>
      <c r="V144" s="49" cm="1">
        <f t="array" ref="V144">_xll.aqBondObjectDirtyPrice($N144,$C$4,$O144)</f>
        <v>43.5259215647377</v>
      </c>
      <c r="W144" s="18" cm="1">
        <f t="array" ref="W144">_xll.aqBondObjectModifiedDuration($N144,$C$4,$O144)</f>
        <v>20.378987371191666</v>
      </c>
      <c r="X144" s="93" cm="1">
        <f t="array" ref="X144">_xll.aqBondObjectDV01($N144,$C$4,$O144)</f>
        <v>887.01420588726853</v>
      </c>
    </row>
    <row r="145" spans="2:24">
      <c r="B145" s="11" t="s">
        <v>673</v>
      </c>
      <c r="C145" s="11" t="s">
        <v>674</v>
      </c>
      <c r="D145" s="11" t="s">
        <v>674</v>
      </c>
      <c r="E145" s="12">
        <v>39295</v>
      </c>
      <c r="F145" s="12" t="s">
        <v>318</v>
      </c>
      <c r="G145" s="15" t="str">
        <f t="shared" si="2"/>
        <v/>
      </c>
      <c r="H145" s="12" t="s">
        <v>318</v>
      </c>
      <c r="I145" s="12" t="s">
        <v>318</v>
      </c>
      <c r="J145" s="31">
        <v>0</v>
      </c>
      <c r="K145" s="12">
        <v>50983</v>
      </c>
      <c r="L145" s="89" t="s">
        <v>318</v>
      </c>
      <c r="M145" s="80" t="s">
        <v>282</v>
      </c>
      <c r="N145" s="16" t="str" cm="1">
        <f t="array" ref="N145">_xll.aqBondObjectCreateFromGenerator($C145,$N$4,_xll.aqToolLVBFromKeysValues($C$7:$M$7,$C145:$M145))</f>
        <v>IT0004288640:5</v>
      </c>
      <c r="O145" s="78">
        <v>4.3275322873734812E-2</v>
      </c>
      <c r="P145" s="51">
        <v>41.444899999999997</v>
      </c>
      <c r="Q145" s="17">
        <v>20.355</v>
      </c>
      <c r="R145" s="95">
        <v>843.61099999999999</v>
      </c>
      <c r="S145" s="39" cm="1">
        <f t="array" ref="S145">_xll.aqBondObjectYield(N145,$C$4,T145)</f>
        <v>4.327532287374436E-2</v>
      </c>
      <c r="T145" s="49" cm="1">
        <f t="array" ref="T145">_xll.aqBondObjectPrice($N145,$C$4,$O145)</f>
        <v>41.4449209173113</v>
      </c>
      <c r="U145" s="49" cm="1">
        <f t="array" ref="U145">_xll.aqBondObjectCleanPrice($N145,$C$4,$O145)</f>
        <v>41.4449209173113</v>
      </c>
      <c r="V145" s="49" cm="1">
        <f t="array" ref="V145">_xll.aqBondObjectDirtyPrice($N145,$C$4,$O145)</f>
        <v>41.4449209173113</v>
      </c>
      <c r="W145" s="18" cm="1">
        <f t="array" ref="W145">_xll.aqBondObjectModifiedDuration($N145,$C$4,$O145)</f>
        <v>20.35499105354479</v>
      </c>
      <c r="X145" s="93" cm="1">
        <f t="array" ref="X145">_xll.aqBondObjectDV01($N145,$C$4,$O145)</f>
        <v>843.61099448674292</v>
      </c>
    </row>
    <row r="146" spans="2:24">
      <c r="B146" s="11" t="s">
        <v>583</v>
      </c>
      <c r="C146" s="11" t="s">
        <v>584</v>
      </c>
      <c r="D146" s="11" t="s">
        <v>584</v>
      </c>
      <c r="E146" s="12">
        <v>41416</v>
      </c>
      <c r="F146" s="12" t="s">
        <v>318</v>
      </c>
      <c r="G146" s="15" t="str">
        <f t="shared" si="2"/>
        <v/>
      </c>
      <c r="H146" s="12" t="s">
        <v>318</v>
      </c>
      <c r="I146" s="12" t="s">
        <v>318</v>
      </c>
      <c r="J146" s="31">
        <v>0</v>
      </c>
      <c r="K146" s="12">
        <v>51014</v>
      </c>
      <c r="L146" s="89" t="s">
        <v>318</v>
      </c>
      <c r="M146" s="80" t="s">
        <v>282</v>
      </c>
      <c r="N146" s="16" t="str" cm="1">
        <f t="array" ref="N146">_xll.aqBondObjectCreateFromGenerator($C146,$N$4,_xll.aqToolLVBFromKeysValues($C$7:$M$7,$C146:$M146))</f>
        <v>IT0004976749:5</v>
      </c>
      <c r="O146" s="78">
        <v>4.4117725972350641E-2</v>
      </c>
      <c r="P146" s="51">
        <v>40.610799999999998</v>
      </c>
      <c r="Q146" s="17">
        <v>20.427199999999999</v>
      </c>
      <c r="R146" s="95">
        <v>829.56539999999995</v>
      </c>
      <c r="S146" s="39" cm="1">
        <f t="array" ref="S146">_xll.aqBondObjectYield(N146,$C$4,T146)</f>
        <v>4.4117725972332433E-2</v>
      </c>
      <c r="T146" s="49" cm="1">
        <f t="array" ref="T146">_xll.aqBondObjectPrice($N146,$C$4,$O146)</f>
        <v>40.610842066356284</v>
      </c>
      <c r="U146" s="49" cm="1">
        <f t="array" ref="U146">_xll.aqBondObjectCleanPrice($N146,$C$4,$O146)</f>
        <v>40.610842066356284</v>
      </c>
      <c r="V146" s="49" cm="1">
        <f t="array" ref="V146">_xll.aqBondObjectDirtyPrice($N146,$C$4,$O146)</f>
        <v>40.610842066356284</v>
      </c>
      <c r="W146" s="18" cm="1">
        <f t="array" ref="W146">_xll.aqBondObjectModifiedDuration($N146,$C$4,$O146)</f>
        <v>20.427190746266021</v>
      </c>
      <c r="X146" s="93" cm="1">
        <f t="array" ref="X146">_xll.aqBondObjectDV01($N146,$C$4,$O146)</f>
        <v>829.565417255944</v>
      </c>
    </row>
    <row r="147" spans="2:24">
      <c r="B147" s="11" t="s">
        <v>641</v>
      </c>
      <c r="C147" s="11" t="s">
        <v>642</v>
      </c>
      <c r="D147" s="11" t="s">
        <v>642</v>
      </c>
      <c r="E147" s="12">
        <v>40072</v>
      </c>
      <c r="F147" s="12" t="s">
        <v>318</v>
      </c>
      <c r="G147" s="15" t="str">
        <f t="shared" si="2"/>
        <v/>
      </c>
      <c r="H147" s="12" t="s">
        <v>318</v>
      </c>
      <c r="I147" s="12" t="s">
        <v>318</v>
      </c>
      <c r="J147" s="31">
        <v>0</v>
      </c>
      <c r="K147" s="12">
        <v>51014</v>
      </c>
      <c r="L147" s="89" t="s">
        <v>318</v>
      </c>
      <c r="M147" s="80" t="s">
        <v>282</v>
      </c>
      <c r="N147" s="16" t="str" cm="1">
        <f t="array" ref="N147">_xll.aqBondObjectCreateFromGenerator($C147,$N$4,_xll.aqToolLVBFromKeysValues($C$7:$M$7,$C147:$M147))</f>
        <v>IT0004534589:5</v>
      </c>
      <c r="O147" s="78">
        <v>4.2289568175112313E-2</v>
      </c>
      <c r="P147" s="51">
        <v>42.123800000000003</v>
      </c>
      <c r="Q147" s="17">
        <v>20.4451</v>
      </c>
      <c r="R147" s="95">
        <v>861.22609999999997</v>
      </c>
      <c r="S147" s="39" cm="1">
        <f t="array" ref="S147">_xll.aqBondObjectYield(N147,$C$4,T147)</f>
        <v>4.2289568175132741E-2</v>
      </c>
      <c r="T147" s="49" cm="1">
        <f t="array" ref="T147">_xll.aqBondObjectPrice($N147,$C$4,$O147)</f>
        <v>42.12384283113817</v>
      </c>
      <c r="U147" s="49" cm="1">
        <f t="array" ref="U147">_xll.aqBondObjectCleanPrice($N147,$C$4,$O147)</f>
        <v>42.12384283113817</v>
      </c>
      <c r="V147" s="49" cm="1">
        <f t="array" ref="V147">_xll.aqBondObjectDirtyPrice($N147,$C$4,$O147)</f>
        <v>42.12384283113817</v>
      </c>
      <c r="W147" s="18" cm="1">
        <f t="array" ref="W147">_xll.aqBondObjectModifiedDuration($N147,$C$4,$O147)</f>
        <v>20.445097366597576</v>
      </c>
      <c r="X147" s="93" cm="1">
        <f t="array" ref="X147">_xll.aqBondObjectDV01($N147,$C$4,$O147)</f>
        <v>861.2260681378732</v>
      </c>
    </row>
    <row r="148" spans="2:24">
      <c r="B148" s="11" t="s">
        <v>483</v>
      </c>
      <c r="C148" s="11" t="s">
        <v>484</v>
      </c>
      <c r="D148" s="11" t="s">
        <v>484</v>
      </c>
      <c r="E148" s="12">
        <v>41416</v>
      </c>
      <c r="F148" s="12" t="s">
        <v>318</v>
      </c>
      <c r="G148" s="15" t="str">
        <f t="shared" si="2"/>
        <v/>
      </c>
      <c r="H148" s="12" t="s">
        <v>318</v>
      </c>
      <c r="I148" s="12" t="s">
        <v>318</v>
      </c>
      <c r="J148" s="31">
        <v>0</v>
      </c>
      <c r="K148" s="12">
        <v>51196</v>
      </c>
      <c r="L148" s="89" t="s">
        <v>318</v>
      </c>
      <c r="M148" s="80" t="s">
        <v>282</v>
      </c>
      <c r="N148" s="16" t="str" cm="1">
        <f t="array" ref="N148">_xll.aqBondObjectCreateFromGenerator($C148,$N$4,_xll.aqToolLVBFromKeysValues($C$7:$M$7,$C148:$M148))</f>
        <v>IT0004976756:5</v>
      </c>
      <c r="O148" s="78">
        <v>4.496084322858529E-2</v>
      </c>
      <c r="P148" s="51">
        <v>39.063800000000001</v>
      </c>
      <c r="Q148" s="17">
        <v>20.908100000000001</v>
      </c>
      <c r="R148" s="95">
        <v>816.74969999999996</v>
      </c>
      <c r="S148" s="39" cm="1">
        <f t="array" ref="S148">_xll.aqBondObjectYield(N148,$C$4,T148)</f>
        <v>4.496084322858529E-2</v>
      </c>
      <c r="T148" s="49" cm="1">
        <f t="array" ref="T148">_xll.aqBondObjectPrice($N148,$C$4,$O148)</f>
        <v>39.06384524238085</v>
      </c>
      <c r="U148" s="49" cm="1">
        <f t="array" ref="U148">_xll.aqBondObjectCleanPrice($N148,$C$4,$O148)</f>
        <v>39.06384524238085</v>
      </c>
      <c r="V148" s="49" cm="1">
        <f t="array" ref="V148">_xll.aqBondObjectDirtyPrice($N148,$C$4,$O148)</f>
        <v>39.06384524238085</v>
      </c>
      <c r="W148" s="18" cm="1">
        <f t="array" ref="W148">_xll.aqBondObjectModifiedDuration($N148,$C$4,$O148)</f>
        <v>20.908073487838696</v>
      </c>
      <c r="X148" s="93" cm="1">
        <f t="array" ref="X148">_xll.aqBondObjectDV01($N148,$C$4,$O148)</f>
        <v>816.74974704525675</v>
      </c>
    </row>
    <row r="149" spans="2:24">
      <c r="B149" s="11" t="s">
        <v>329</v>
      </c>
      <c r="C149" s="11" t="s">
        <v>330</v>
      </c>
      <c r="D149" s="11" t="s">
        <v>330</v>
      </c>
      <c r="E149" s="12">
        <v>40072</v>
      </c>
      <c r="F149" s="12">
        <v>40057</v>
      </c>
      <c r="G149" s="15" t="str">
        <f t="shared" si="2"/>
        <v/>
      </c>
      <c r="H149" s="12">
        <v>40238</v>
      </c>
      <c r="I149" s="12">
        <v>51196</v>
      </c>
      <c r="J149" s="31">
        <v>0.05</v>
      </c>
      <c r="K149" s="12">
        <v>51380</v>
      </c>
      <c r="L149" s="89">
        <v>98.185999999999993</v>
      </c>
      <c r="M149" s="80" t="s">
        <v>282</v>
      </c>
      <c r="N149" s="16" t="str" cm="1">
        <f t="array" ref="N149">_xll.aqBondObjectCreateFromGenerator($C149,$N$4,_xll.aqToolLVBFromKeysValues($C$7:$M$7,$C149:$M149))</f>
        <v>IT0004532559:5</v>
      </c>
      <c r="O149" s="78">
        <v>4.0683914439087143E-2</v>
      </c>
      <c r="P149" s="51">
        <v>114.0299</v>
      </c>
      <c r="Q149" s="17">
        <v>13.755100000000001</v>
      </c>
      <c r="R149" s="95">
        <v>1577.2333000000001</v>
      </c>
      <c r="S149" s="39" cm="1">
        <f t="array" ref="S149">_xll.aqBondObjectYield(N149,$C$4,T149)</f>
        <v>4.0683914439087143E-2</v>
      </c>
      <c r="T149" s="49" cm="1">
        <f t="array" ref="T149">_xll.aqBondObjectPrice($N149,$C$4,$O149)</f>
        <v>114.02990317021631</v>
      </c>
      <c r="U149" s="49" cm="1">
        <f t="array" ref="U149">_xll.aqBondObjectCleanPrice($N149,$C$4,$O149)</f>
        <v>114.02990317021631</v>
      </c>
      <c r="V149" s="49" cm="1">
        <f t="array" ref="V149">_xll.aqBondObjectDirtyPrice($N149,$C$4,$O149)</f>
        <v>114.66526317021632</v>
      </c>
      <c r="W149" s="18" cm="1">
        <f t="array" ref="W149">_xll.aqBondObjectModifiedDuration($N149,$C$4,$O149)</f>
        <v>13.755109680935028</v>
      </c>
      <c r="X149" s="93" cm="1">
        <f t="array" ref="X149">_xll.aqBondObjectDV01($N149,$C$4,$O149)</f>
        <v>1577.2332714996053</v>
      </c>
    </row>
    <row r="150" spans="2:24">
      <c r="B150" s="11" t="s">
        <v>369</v>
      </c>
      <c r="C150" s="11" t="s">
        <v>370</v>
      </c>
      <c r="D150" s="11" t="s">
        <v>370</v>
      </c>
      <c r="E150" s="12">
        <v>41416</v>
      </c>
      <c r="F150" s="12" t="s">
        <v>318</v>
      </c>
      <c r="G150" s="15" t="str">
        <f t="shared" si="2"/>
        <v/>
      </c>
      <c r="H150" s="12" t="s">
        <v>318</v>
      </c>
      <c r="I150" s="12" t="s">
        <v>318</v>
      </c>
      <c r="J150" s="31">
        <v>0</v>
      </c>
      <c r="K150" s="12">
        <v>51380</v>
      </c>
      <c r="L150" s="89" t="s">
        <v>318</v>
      </c>
      <c r="M150" s="80" t="s">
        <v>282</v>
      </c>
      <c r="N150" s="16" t="str" cm="1">
        <f t="array" ref="N150">_xll.aqBondObjectCreateFromGenerator($C150,$N$4,_xll.aqToolLVBFromKeysValues($C$7:$M$7,$C150:$M150))</f>
        <v>IT0004976764:5</v>
      </c>
      <c r="O150" s="78">
        <v>4.5020997138793373E-2</v>
      </c>
      <c r="P150" s="51">
        <v>38.156999999999996</v>
      </c>
      <c r="Q150" s="17">
        <v>21.396599999999999</v>
      </c>
      <c r="R150" s="95">
        <v>816.42939999999999</v>
      </c>
      <c r="S150" s="39" cm="1">
        <f t="array" ref="S150">_xll.aqBondObjectYield(N150,$C$4,T150)</f>
        <v>4.5020997138793373E-2</v>
      </c>
      <c r="T150" s="49" cm="1">
        <f t="array" ref="T150">_xll.aqBondObjectPrice($N150,$C$4,$O150)</f>
        <v>38.15699999915801</v>
      </c>
      <c r="U150" s="49" cm="1">
        <f t="array" ref="U150">_xll.aqBondObjectCleanPrice($N150,$C$4,$O150)</f>
        <v>38.15699999915801</v>
      </c>
      <c r="V150" s="49" cm="1">
        <f t="array" ref="V150">_xll.aqBondObjectDirtyPrice($N150,$C$4,$O150)</f>
        <v>38.15699999915801</v>
      </c>
      <c r="W150" s="18" cm="1">
        <f t="array" ref="W150">_xll.aqBondObjectModifiedDuration($N150,$C$4,$O150)</f>
        <v>21.396582794024109</v>
      </c>
      <c r="X150" s="93" cm="1">
        <f t="array" ref="X150">_xll.aqBondObjectDV01($N150,$C$4,$O150)</f>
        <v>816.42940965356229</v>
      </c>
    </row>
    <row r="151" spans="2:24">
      <c r="B151" s="11" t="s">
        <v>443</v>
      </c>
      <c r="C151" s="11" t="s">
        <v>444</v>
      </c>
      <c r="D151" s="11" t="s">
        <v>444</v>
      </c>
      <c r="E151" s="12">
        <v>40057</v>
      </c>
      <c r="F151" s="12" t="s">
        <v>318</v>
      </c>
      <c r="G151" s="15" t="str">
        <f t="shared" si="2"/>
        <v/>
      </c>
      <c r="H151" s="12" t="s">
        <v>318</v>
      </c>
      <c r="I151" s="12" t="s">
        <v>318</v>
      </c>
      <c r="J151" s="31">
        <v>0</v>
      </c>
      <c r="K151" s="12">
        <v>51380</v>
      </c>
      <c r="L151" s="89" t="s">
        <v>318</v>
      </c>
      <c r="M151" s="80" t="s">
        <v>282</v>
      </c>
      <c r="N151" s="16" t="str" cm="1">
        <f t="array" ref="N151">_xll.aqBondObjectCreateFromGenerator($C151,$N$4,_xll.aqToolLVBFromKeysValues($C$7:$M$7,$C151:$M151))</f>
        <v>IT0004848740:5</v>
      </c>
      <c r="O151" s="78">
        <v>4.0297156164150083E-2</v>
      </c>
      <c r="P151" s="51">
        <v>42.133000000000003</v>
      </c>
      <c r="Q151" s="17">
        <v>21.4451</v>
      </c>
      <c r="R151" s="95">
        <v>903.54669999999999</v>
      </c>
      <c r="S151" s="39" cm="1">
        <f t="array" ref="S151">_xll.aqBondObjectYield(N151,$C$4,T151)</f>
        <v>4.0297156164174508E-2</v>
      </c>
      <c r="T151" s="49" cm="1">
        <f t="array" ref="T151">_xll.aqBondObjectPrice($N151,$C$4,$O151)</f>
        <v>42.132999995201693</v>
      </c>
      <c r="U151" s="49" cm="1">
        <f t="array" ref="U151">_xll.aqBondObjectCleanPrice($N151,$C$4,$O151)</f>
        <v>42.132999995201693</v>
      </c>
      <c r="V151" s="49" cm="1">
        <f t="array" ref="V151">_xll.aqBondObjectDirtyPrice($N151,$C$4,$O151)</f>
        <v>42.132999995201693</v>
      </c>
      <c r="W151" s="18" cm="1">
        <f t="array" ref="W151">_xll.aqBondObjectModifiedDuration($N151,$C$4,$O151)</f>
        <v>21.445107185819101</v>
      </c>
      <c r="X151" s="93" cm="1">
        <f t="array" ref="X151">_xll.aqBondObjectDV01($N151,$C$4,$O151)</f>
        <v>903.54670095721599</v>
      </c>
    </row>
    <row r="152" spans="2:24">
      <c r="B152" s="11" t="s">
        <v>511</v>
      </c>
      <c r="C152" s="11" t="s">
        <v>512</v>
      </c>
      <c r="D152" s="11" t="s">
        <v>512</v>
      </c>
      <c r="E152" s="12">
        <v>40072</v>
      </c>
      <c r="F152" s="12" t="s">
        <v>318</v>
      </c>
      <c r="G152" s="15" t="str">
        <f t="shared" si="2"/>
        <v/>
      </c>
      <c r="H152" s="12" t="s">
        <v>318</v>
      </c>
      <c r="I152" s="12" t="s">
        <v>318</v>
      </c>
      <c r="J152" s="31">
        <v>0</v>
      </c>
      <c r="K152" s="12">
        <v>51380</v>
      </c>
      <c r="L152" s="89" t="s">
        <v>318</v>
      </c>
      <c r="M152" s="80" t="s">
        <v>282</v>
      </c>
      <c r="N152" s="16" t="str" cm="1">
        <f t="array" ref="N152">_xll.aqBondObjectCreateFromGenerator($C152,$N$4,_xll.aqToolLVBFromKeysValues($C$7:$M$7,$C152:$M152))</f>
        <v>IT0004534688:5</v>
      </c>
      <c r="O152" s="78">
        <v>4.1004583790664073E-2</v>
      </c>
      <c r="P152" s="51">
        <v>41.511000000000003</v>
      </c>
      <c r="Q152" s="17">
        <v>21.437799999999999</v>
      </c>
      <c r="R152" s="95">
        <v>889.90530000000001</v>
      </c>
      <c r="S152" s="39" cm="1">
        <f t="array" ref="S152">_xll.aqBondObjectYield(N152,$C$4,T152)</f>
        <v>4.1004583790681171E-2</v>
      </c>
      <c r="T152" s="49" cm="1">
        <f t="array" ref="T152">_xll.aqBondObjectPrice($N152,$C$4,$O152)</f>
        <v>41.510999995802365</v>
      </c>
      <c r="U152" s="49" cm="1">
        <f t="array" ref="U152">_xll.aqBondObjectCleanPrice($N152,$C$4,$O152)</f>
        <v>41.510999995802365</v>
      </c>
      <c r="V152" s="49" cm="1">
        <f t="array" ref="V152">_xll.aqBondObjectDirtyPrice($N152,$C$4,$O152)</f>
        <v>41.510999995802365</v>
      </c>
      <c r="W152" s="18" cm="1">
        <f t="array" ref="W152">_xll.aqBondObjectModifiedDuration($N152,$C$4,$O152)</f>
        <v>21.437819302664643</v>
      </c>
      <c r="X152" s="93" cm="1">
        <f t="array" ref="X152">_xll.aqBondObjectDV01($N152,$C$4,$O152)</f>
        <v>889.90531698292386</v>
      </c>
    </row>
    <row r="153" spans="2:24">
      <c r="B153" s="11" t="s">
        <v>635</v>
      </c>
      <c r="C153" s="11" t="s">
        <v>636</v>
      </c>
      <c r="D153" s="11" t="s">
        <v>636</v>
      </c>
      <c r="E153" s="12">
        <v>40072</v>
      </c>
      <c r="F153" s="12" t="s">
        <v>318</v>
      </c>
      <c r="G153" s="15" t="str">
        <f t="shared" si="2"/>
        <v/>
      </c>
      <c r="H153" s="12" t="s">
        <v>318</v>
      </c>
      <c r="I153" s="12" t="s">
        <v>318</v>
      </c>
      <c r="J153" s="31">
        <v>0</v>
      </c>
      <c r="K153" s="12">
        <v>51380</v>
      </c>
      <c r="L153" s="89" t="s">
        <v>318</v>
      </c>
      <c r="M153" s="80" t="s">
        <v>282</v>
      </c>
      <c r="N153" s="16" t="str" cm="1">
        <f t="array" ref="N153">_xll.aqBondObjectCreateFromGenerator($C153,$N$4,_xll.aqToolLVBFromKeysValues($C$7:$M$7,$C153:$M153))</f>
        <v>IT0004534613:5</v>
      </c>
      <c r="O153" s="78">
        <v>4.2603833103030286E-2</v>
      </c>
      <c r="P153" s="51">
        <v>40.14</v>
      </c>
      <c r="Q153" s="17">
        <v>21.421399999999998</v>
      </c>
      <c r="R153" s="95">
        <v>859.85379999999998</v>
      </c>
      <c r="S153" s="39" cm="1">
        <f t="array" ref="S153">_xll.aqBondObjectYield(N153,$C$4,T153)</f>
        <v>4.2603833103001199E-2</v>
      </c>
      <c r="T153" s="49" cm="1">
        <f t="array" ref="T153">_xll.aqBondObjectPrice($N153,$C$4,$O153)</f>
        <v>40.139999997303669</v>
      </c>
      <c r="U153" s="49" cm="1">
        <f t="array" ref="U153">_xll.aqBondObjectCleanPrice($N153,$C$4,$O153)</f>
        <v>40.139999997303669</v>
      </c>
      <c r="V153" s="49" cm="1">
        <f t="array" ref="V153">_xll.aqBondObjectDirtyPrice($N153,$C$4,$O153)</f>
        <v>40.139999997303669</v>
      </c>
      <c r="W153" s="18" cm="1">
        <f t="array" ref="W153">_xll.aqBondObjectModifiedDuration($N153,$C$4,$O153)</f>
        <v>21.421371264592231</v>
      </c>
      <c r="X153" s="93" cm="1">
        <f t="array" ref="X153">_xll.aqBondObjectDV01($N153,$C$4,$O153)</f>
        <v>859.85384250297307</v>
      </c>
    </row>
    <row r="154" spans="2:24">
      <c r="B154" s="11" t="s">
        <v>437</v>
      </c>
      <c r="C154" s="11" t="s">
        <v>438</v>
      </c>
      <c r="D154" s="11" t="s">
        <v>438</v>
      </c>
      <c r="E154" s="12">
        <v>41416</v>
      </c>
      <c r="F154" s="12" t="s">
        <v>318</v>
      </c>
      <c r="G154" s="15" t="str">
        <f t="shared" si="2"/>
        <v/>
      </c>
      <c r="H154" s="12" t="s">
        <v>318</v>
      </c>
      <c r="I154" s="12" t="s">
        <v>318</v>
      </c>
      <c r="J154" s="31">
        <v>0</v>
      </c>
      <c r="K154" s="12">
        <v>51561</v>
      </c>
      <c r="L154" s="89" t="s">
        <v>318</v>
      </c>
      <c r="M154" s="80" t="s">
        <v>282</v>
      </c>
      <c r="N154" s="16" t="str" cm="1">
        <f t="array" ref="N154">_xll.aqBondObjectCreateFromGenerator($C154,$N$4,_xll.aqToolLVBFromKeysValues($C$7:$M$7,$C154:$M154))</f>
        <v>IT0004976772:5</v>
      </c>
      <c r="O154" s="78">
        <v>4.5366506673058415E-2</v>
      </c>
      <c r="P154" s="51">
        <v>37.06</v>
      </c>
      <c r="Q154" s="17">
        <v>21.882100000000001</v>
      </c>
      <c r="R154" s="95">
        <v>810.94979999999998</v>
      </c>
      <c r="S154" s="39" cm="1">
        <f t="array" ref="S154">_xll.aqBondObjectYield(N154,$C$4,T154)</f>
        <v>4.5366506673058415E-2</v>
      </c>
      <c r="T154" s="49" cm="1">
        <f t="array" ref="T154">_xll.aqBondObjectPrice($N154,$C$4,$O154)</f>
        <v>37.059999999147465</v>
      </c>
      <c r="U154" s="49" cm="1">
        <f t="array" ref="U154">_xll.aqBondObjectCleanPrice($N154,$C$4,$O154)</f>
        <v>37.059999999147465</v>
      </c>
      <c r="V154" s="49" cm="1">
        <f t="array" ref="V154">_xll.aqBondObjectDirtyPrice($N154,$C$4,$O154)</f>
        <v>37.059999999147465</v>
      </c>
      <c r="W154" s="18" cm="1">
        <f t="array" ref="W154">_xll.aqBondObjectModifiedDuration($N154,$C$4,$O154)</f>
        <v>21.882076791958273</v>
      </c>
      <c r="X154" s="93" cm="1">
        <f t="array" ref="X154">_xll.aqBondObjectDV01($N154,$C$4,$O154)</f>
        <v>810.94976589131841</v>
      </c>
    </row>
    <row r="155" spans="2:24">
      <c r="B155" s="11" t="s">
        <v>361</v>
      </c>
      <c r="C155" s="11" t="s">
        <v>362</v>
      </c>
      <c r="D155" s="11" t="s">
        <v>362</v>
      </c>
      <c r="E155" s="12">
        <v>41416</v>
      </c>
      <c r="F155" s="12" t="s">
        <v>318</v>
      </c>
      <c r="G155" s="15" t="str">
        <f t="shared" si="2"/>
        <v/>
      </c>
      <c r="H155" s="12" t="s">
        <v>318</v>
      </c>
      <c r="I155" s="12" t="s">
        <v>318</v>
      </c>
      <c r="J155" s="31">
        <v>0</v>
      </c>
      <c r="K155" s="12">
        <v>51745</v>
      </c>
      <c r="L155" s="89" t="s">
        <v>318</v>
      </c>
      <c r="M155" s="80" t="s">
        <v>282</v>
      </c>
      <c r="N155" s="16" t="str" cm="1">
        <f t="array" ref="N155">_xll.aqBondObjectCreateFromGenerator($C155,$N$4,_xll.aqToolLVBFromKeysValues($C$7:$M$7,$C155:$M155))</f>
        <v>IT0004976780:5</v>
      </c>
      <c r="O155" s="78">
        <v>4.5223602923117445E-2</v>
      </c>
      <c r="P155" s="51">
        <v>36.356099999999998</v>
      </c>
      <c r="Q155" s="17">
        <v>22.372599999999998</v>
      </c>
      <c r="R155" s="95">
        <v>813.38120000000004</v>
      </c>
      <c r="S155" s="39" cm="1">
        <f t="array" ref="S155">_xll.aqBondObjectYield(N155,$C$4,T155)</f>
        <v>4.5223602923117445E-2</v>
      </c>
      <c r="T155" s="49" cm="1">
        <f t="array" ref="T155">_xll.aqBondObjectPrice($N155,$C$4,$O155)</f>
        <v>36.356072425135793</v>
      </c>
      <c r="U155" s="49" cm="1">
        <f t="array" ref="U155">_xll.aqBondObjectCleanPrice($N155,$C$4,$O155)</f>
        <v>36.356072425135793</v>
      </c>
      <c r="V155" s="49" cm="1">
        <f t="array" ref="V155">_xll.aqBondObjectDirtyPrice($N155,$C$4,$O155)</f>
        <v>36.356072425135793</v>
      </c>
      <c r="W155" s="18" cm="1">
        <f t="array" ref="W155">_xll.aqBondObjectModifiedDuration($N155,$C$4,$O155)</f>
        <v>22.372636275122847</v>
      </c>
      <c r="X155" s="93" cm="1">
        <f t="array" ref="X155">_xll.aqBondObjectDV01($N155,$C$4,$O155)</f>
        <v>813.38118475958652</v>
      </c>
    </row>
    <row r="156" spans="2:24">
      <c r="B156" s="11" t="s">
        <v>509</v>
      </c>
      <c r="C156" s="11" t="s">
        <v>510</v>
      </c>
      <c r="D156" s="11" t="s">
        <v>510</v>
      </c>
      <c r="E156" s="12">
        <v>40114</v>
      </c>
      <c r="F156" s="12" t="s">
        <v>318</v>
      </c>
      <c r="G156" s="15" t="str">
        <f t="shared" si="2"/>
        <v/>
      </c>
      <c r="H156" s="12" t="s">
        <v>318</v>
      </c>
      <c r="I156" s="12" t="s">
        <v>318</v>
      </c>
      <c r="J156" s="31">
        <v>0</v>
      </c>
      <c r="K156" s="12">
        <v>51759</v>
      </c>
      <c r="L156" s="89" t="s">
        <v>318</v>
      </c>
      <c r="M156" s="80" t="s">
        <v>282</v>
      </c>
      <c r="N156" s="16" t="str" cm="1">
        <f t="array" ref="N156">_xll.aqBondObjectCreateFromGenerator($C156,$N$4,_xll.aqToolLVBFromKeysValues($C$7:$M$7,$C156:$M156))</f>
        <v>IT0004548290:5</v>
      </c>
      <c r="O156" s="78">
        <v>4.1145603004993925E-2</v>
      </c>
      <c r="P156" s="51">
        <v>39.695099999999996</v>
      </c>
      <c r="Q156" s="17">
        <v>22.4543</v>
      </c>
      <c r="R156" s="95">
        <v>891.32550000000003</v>
      </c>
      <c r="S156" s="39" cm="1">
        <f t="array" ref="S156">_xll.aqBondObjectYield(N156,$C$4,T156)</f>
        <v>4.114560300494996E-2</v>
      </c>
      <c r="T156" s="49" cm="1">
        <f t="array" ref="T156">_xll.aqBondObjectPrice($N156,$C$4,$O156)</f>
        <v>39.695072082169133</v>
      </c>
      <c r="U156" s="49" cm="1">
        <f t="array" ref="U156">_xll.aqBondObjectCleanPrice($N156,$C$4,$O156)</f>
        <v>39.695072082169133</v>
      </c>
      <c r="V156" s="49" cm="1">
        <f t="array" ref="V156">_xll.aqBondObjectDirtyPrice($N156,$C$4,$O156)</f>
        <v>39.695072082169133</v>
      </c>
      <c r="W156" s="18" cm="1">
        <f t="array" ref="W156">_xll.aqBondObjectModifiedDuration($N156,$C$4,$O156)</f>
        <v>22.45431060423472</v>
      </c>
      <c r="X156" s="93" cm="1">
        <f t="array" ref="X156">_xll.aqBondObjectDV01($N156,$C$4,$O156)</f>
        <v>891.32547799051201</v>
      </c>
    </row>
    <row r="157" spans="2:24">
      <c r="B157" s="11" t="s">
        <v>679</v>
      </c>
      <c r="C157" s="11" t="s">
        <v>680</v>
      </c>
      <c r="D157" s="11" t="s">
        <v>680</v>
      </c>
      <c r="E157" s="12">
        <v>41416</v>
      </c>
      <c r="F157" s="12" t="s">
        <v>318</v>
      </c>
      <c r="G157" s="15" t="str">
        <f t="shared" si="2"/>
        <v/>
      </c>
      <c r="H157" s="12" t="s">
        <v>318</v>
      </c>
      <c r="I157" s="12" t="s">
        <v>318</v>
      </c>
      <c r="J157" s="31">
        <v>0</v>
      </c>
      <c r="K157" s="12">
        <v>51926</v>
      </c>
      <c r="L157" s="89" t="s">
        <v>318</v>
      </c>
      <c r="M157" s="80" t="s">
        <v>282</v>
      </c>
      <c r="N157" s="16" t="str" cm="1">
        <f t="array" ref="N157">_xll.aqBondObjectCreateFromGenerator($C157,$N$4,_xll.aqToolLVBFromKeysValues($C$7:$M$7,$C157:$M157))</f>
        <v>IT0004976798:5</v>
      </c>
      <c r="O157" s="78">
        <v>4.4884934898538065E-2</v>
      </c>
      <c r="P157" s="51">
        <v>35.826900000000002</v>
      </c>
      <c r="Q157" s="17">
        <v>22.865400000000001</v>
      </c>
      <c r="R157" s="95">
        <v>819.19719999999995</v>
      </c>
      <c r="S157" s="39" cm="1">
        <f t="array" ref="S157">_xll.aqBondObjectYield(N157,$C$4,T157)</f>
        <v>4.4884934898538065E-2</v>
      </c>
      <c r="T157" s="49" cm="1">
        <f t="array" ref="T157">_xll.aqBondObjectPrice($N157,$C$4,$O157)</f>
        <v>35.82692914865639</v>
      </c>
      <c r="U157" s="49" cm="1">
        <f t="array" ref="U157">_xll.aqBondObjectCleanPrice($N157,$C$4,$O157)</f>
        <v>35.82692914865639</v>
      </c>
      <c r="V157" s="49" cm="1">
        <f t="array" ref="V157">_xll.aqBondObjectDirtyPrice($N157,$C$4,$O157)</f>
        <v>35.82692914865639</v>
      </c>
      <c r="W157" s="18" cm="1">
        <f t="array" ref="W157">_xll.aqBondObjectModifiedDuration($N157,$C$4,$O157)</f>
        <v>22.865404608536778</v>
      </c>
      <c r="X157" s="93" cm="1">
        <f t="array" ref="X157">_xll.aqBondObjectDV01($N157,$C$4,$O157)</f>
        <v>819.19723086540841</v>
      </c>
    </row>
    <row r="158" spans="2:24">
      <c r="B158" s="11" t="s">
        <v>431</v>
      </c>
      <c r="C158" s="11" t="s">
        <v>432</v>
      </c>
      <c r="D158" s="11" t="s">
        <v>432</v>
      </c>
      <c r="E158" s="12">
        <v>41416</v>
      </c>
      <c r="F158" s="12" t="s">
        <v>318</v>
      </c>
      <c r="G158" s="15" t="str">
        <f t="shared" si="2"/>
        <v/>
      </c>
      <c r="H158" s="12" t="s">
        <v>318</v>
      </c>
      <c r="I158" s="12" t="s">
        <v>318</v>
      </c>
      <c r="J158" s="31">
        <v>0</v>
      </c>
      <c r="K158" s="12">
        <v>52110</v>
      </c>
      <c r="L158" s="89" t="s">
        <v>318</v>
      </c>
      <c r="M158" s="80" t="s">
        <v>282</v>
      </c>
      <c r="N158" s="16" t="str" cm="1">
        <f t="array" ref="N158">_xll.aqBondObjectCreateFromGenerator($C158,$N$4,_xll.aqToolLVBFromKeysValues($C$7:$M$7,$C158:$M158))</f>
        <v>IT0004976806:5</v>
      </c>
      <c r="O158" s="78">
        <v>4.5048067523074664E-2</v>
      </c>
      <c r="P158" s="51">
        <v>34.926900000000003</v>
      </c>
      <c r="Q158" s="17">
        <v>23.352699999999999</v>
      </c>
      <c r="R158" s="95">
        <v>815.63900000000001</v>
      </c>
      <c r="S158" s="39" cm="1">
        <f t="array" ref="S158">_xll.aqBondObjectYield(N158,$C$4,T158)</f>
        <v>4.5048067523074664E-2</v>
      </c>
      <c r="T158" s="49" cm="1">
        <f t="array" ref="T158">_xll.aqBondObjectPrice($N158,$C$4,$O158)</f>
        <v>34.926930682609147</v>
      </c>
      <c r="U158" s="49" cm="1">
        <f t="array" ref="U158">_xll.aqBondObjectCleanPrice($N158,$C$4,$O158)</f>
        <v>34.926930682609147</v>
      </c>
      <c r="V158" s="49" cm="1">
        <f t="array" ref="V158">_xll.aqBondObjectDirtyPrice($N158,$C$4,$O158)</f>
        <v>34.926930682609147</v>
      </c>
      <c r="W158" s="18" cm="1">
        <f t="array" ref="W158">_xll.aqBondObjectModifiedDuration($N158,$C$4,$O158)</f>
        <v>23.352724626604051</v>
      </c>
      <c r="X158" s="93" cm="1">
        <f t="array" ref="X158">_xll.aqBondObjectDV01($N158,$C$4,$O158)</f>
        <v>815.63899428345928</v>
      </c>
    </row>
    <row r="159" spans="2:24">
      <c r="B159" s="11" t="s">
        <v>629</v>
      </c>
      <c r="C159" s="11" t="s">
        <v>630</v>
      </c>
      <c r="D159" s="11" t="s">
        <v>630</v>
      </c>
      <c r="E159" s="12">
        <v>41416</v>
      </c>
      <c r="F159" s="12" t="s">
        <v>318</v>
      </c>
      <c r="G159" s="15" t="str">
        <f t="shared" si="2"/>
        <v/>
      </c>
      <c r="H159" s="12" t="s">
        <v>318</v>
      </c>
      <c r="I159" s="12" t="s">
        <v>318</v>
      </c>
      <c r="J159" s="31">
        <v>0</v>
      </c>
      <c r="K159" s="12">
        <v>52291</v>
      </c>
      <c r="L159" s="89" t="s">
        <v>318</v>
      </c>
      <c r="M159" s="80" t="s">
        <v>282</v>
      </c>
      <c r="N159" s="16" t="str" cm="1">
        <f t="array" ref="N159">_xll.aqBondObjectCreateFromGenerator($C159,$N$4,_xll.aqToolLVBFromKeysValues($C$7:$M$7,$C159:$M159))</f>
        <v>IT0004976814:5</v>
      </c>
      <c r="O159" s="78">
        <v>4.3377931396505476E-2</v>
      </c>
      <c r="P159" s="51">
        <v>35.5199</v>
      </c>
      <c r="Q159" s="17">
        <v>23.860900000000001</v>
      </c>
      <c r="R159" s="95">
        <v>847.53610000000003</v>
      </c>
      <c r="S159" s="39" cm="1">
        <f t="array" ref="S159">_xll.aqBondObjectYield(N159,$C$4,T159)</f>
        <v>4.3377931396505476E-2</v>
      </c>
      <c r="T159" s="49" cm="1">
        <f t="array" ref="T159">_xll.aqBondObjectPrice($N159,$C$4,$O159)</f>
        <v>35.519864126807136</v>
      </c>
      <c r="U159" s="49" cm="1">
        <f t="array" ref="U159">_xll.aqBondObjectCleanPrice($N159,$C$4,$O159)</f>
        <v>35.519864126807136</v>
      </c>
      <c r="V159" s="49" cm="1">
        <f t="array" ref="V159">_xll.aqBondObjectDirtyPrice($N159,$C$4,$O159)</f>
        <v>35.519864126807136</v>
      </c>
      <c r="W159" s="18" cm="1">
        <f t="array" ref="W159">_xll.aqBondObjectModifiedDuration($N159,$C$4,$O159)</f>
        <v>23.860903556360114</v>
      </c>
      <c r="X159" s="93" cm="1">
        <f t="array" ref="X159">_xll.aqBondObjectDV01($N159,$C$4,$O159)</f>
        <v>847.53605226476043</v>
      </c>
    </row>
    <row r="160" spans="2:24">
      <c r="B160" s="11" t="s">
        <v>527</v>
      </c>
      <c r="C160" s="11" t="s">
        <v>528</v>
      </c>
      <c r="D160" s="11" t="s">
        <v>528</v>
      </c>
      <c r="E160" s="12">
        <v>41416</v>
      </c>
      <c r="F160" s="12" t="s">
        <v>318</v>
      </c>
      <c r="G160" s="15" t="str">
        <f t="shared" si="2"/>
        <v/>
      </c>
      <c r="H160" s="12" t="s">
        <v>318</v>
      </c>
      <c r="I160" s="12" t="s">
        <v>318</v>
      </c>
      <c r="J160" s="31">
        <v>0</v>
      </c>
      <c r="K160" s="12">
        <v>52475</v>
      </c>
      <c r="L160" s="89" t="s">
        <v>318</v>
      </c>
      <c r="M160" s="80" t="s">
        <v>282</v>
      </c>
      <c r="N160" s="16" t="str" cm="1">
        <f t="array" ref="N160">_xll.aqBondObjectCreateFromGenerator($C160,$N$4,_xll.aqToolLVBFromKeysValues($C$7:$M$7,$C160:$M160))</f>
        <v>IT0004976822:5</v>
      </c>
      <c r="O160" s="78">
        <v>4.444591911687934E-2</v>
      </c>
      <c r="P160" s="51">
        <v>33.9039</v>
      </c>
      <c r="Q160" s="17">
        <v>24.337900000000001</v>
      </c>
      <c r="R160" s="95">
        <v>825.15049999999997</v>
      </c>
      <c r="S160" s="39" cm="1">
        <f t="array" ref="S160">_xll.aqBondObjectYield(N160,$C$4,T160)</f>
        <v>4.444591911687934E-2</v>
      </c>
      <c r="T160" s="49" cm="1">
        <f t="array" ref="T160">_xll.aqBondObjectPrice($N160,$C$4,$O160)</f>
        <v>33.903867185424794</v>
      </c>
      <c r="U160" s="49" cm="1">
        <f t="array" ref="U160">_xll.aqBondObjectCleanPrice($N160,$C$4,$O160)</f>
        <v>33.903867185424794</v>
      </c>
      <c r="V160" s="49" cm="1">
        <f t="array" ref="V160">_xll.aqBondObjectDirtyPrice($N160,$C$4,$O160)</f>
        <v>33.903867185424794</v>
      </c>
      <c r="W160" s="18" cm="1">
        <f t="array" ref="W160">_xll.aqBondObjectModifiedDuration($N160,$C$4,$O160)</f>
        <v>24.337946781532686</v>
      </c>
      <c r="X160" s="93" cm="1">
        <f t="array" ref="X160">_xll.aqBondObjectDV01($N160,$C$4,$O160)</f>
        <v>825.15051524702096</v>
      </c>
    </row>
    <row r="161" spans="2:24">
      <c r="B161" s="11" t="s">
        <v>363</v>
      </c>
      <c r="C161" s="11" t="s">
        <v>364</v>
      </c>
      <c r="D161" s="11" t="s">
        <v>364</v>
      </c>
      <c r="E161" s="12">
        <v>41416</v>
      </c>
      <c r="F161" s="12" t="s">
        <v>318</v>
      </c>
      <c r="G161" s="15" t="str">
        <f t="shared" si="2"/>
        <v/>
      </c>
      <c r="H161" s="12" t="s">
        <v>318</v>
      </c>
      <c r="I161" s="12" t="s">
        <v>318</v>
      </c>
      <c r="J161" s="31">
        <v>0</v>
      </c>
      <c r="K161" s="12">
        <v>52657</v>
      </c>
      <c r="L161" s="89" t="s">
        <v>318</v>
      </c>
      <c r="M161" s="80" t="s">
        <v>282</v>
      </c>
      <c r="N161" s="16" t="str" cm="1">
        <f t="array" ref="N161">_xll.aqBondObjectCreateFromGenerator($C161,$N$4,_xll.aqToolLVBFromKeysValues($C$7:$M$7,$C161:$M161))</f>
        <v>IT0004976830:5</v>
      </c>
      <c r="O161" s="78">
        <v>4.4330410259234787E-2</v>
      </c>
      <c r="P161" s="51">
        <v>33.267899999999997</v>
      </c>
      <c r="Q161" s="17">
        <v>24.828600000000002</v>
      </c>
      <c r="R161" s="95">
        <v>825.99350000000004</v>
      </c>
      <c r="S161" s="39" cm="1">
        <f t="array" ref="S161">_xll.aqBondObjectYield(N161,$C$4,T161)</f>
        <v>4.4330410259234787E-2</v>
      </c>
      <c r="T161" s="49" cm="1">
        <f t="array" ref="T161">_xll.aqBondObjectPrice($N161,$C$4,$O161)</f>
        <v>33.267870006609741</v>
      </c>
      <c r="U161" s="49" cm="1">
        <f t="array" ref="U161">_xll.aqBondObjectCleanPrice($N161,$C$4,$O161)</f>
        <v>33.267870006609741</v>
      </c>
      <c r="V161" s="49" cm="1">
        <f t="array" ref="V161">_xll.aqBondObjectDirtyPrice($N161,$C$4,$O161)</f>
        <v>33.267870006609741</v>
      </c>
      <c r="W161" s="18" cm="1">
        <f t="array" ref="W161">_xll.aqBondObjectModifiedDuration($N161,$C$4,$O161)</f>
        <v>24.828565467016833</v>
      </c>
      <c r="X161" s="93" cm="1">
        <f t="array" ref="X161">_xll.aqBondObjectDV01($N161,$C$4,$O161)</f>
        <v>825.99348840731568</v>
      </c>
    </row>
    <row r="162" spans="2:24">
      <c r="B162" s="11" t="s">
        <v>323</v>
      </c>
      <c r="C162" s="11" t="s">
        <v>324</v>
      </c>
      <c r="D162" s="11" t="s">
        <v>324</v>
      </c>
      <c r="E162" s="12">
        <v>41416</v>
      </c>
      <c r="F162" s="12">
        <v>41334</v>
      </c>
      <c r="G162" s="15" t="str">
        <f t="shared" si="2"/>
        <v/>
      </c>
      <c r="H162" s="12">
        <v>41518</v>
      </c>
      <c r="I162" s="12">
        <v>52657</v>
      </c>
      <c r="J162" s="31">
        <v>4.7500000000000001E-2</v>
      </c>
      <c r="K162" s="12">
        <v>52841</v>
      </c>
      <c r="L162" s="89">
        <v>97.221000000000004</v>
      </c>
      <c r="M162" s="80" t="s">
        <v>282</v>
      </c>
      <c r="N162" s="16" t="str" cm="1">
        <f t="array" ref="N162">_xll.aqBondObjectCreateFromGenerator($C162,$N$4,_xll.aqToolLVBFromKeysValues($C$7:$M$7,$C162:$M162))</f>
        <v>IT0004923998:5</v>
      </c>
      <c r="O162" s="78">
        <v>4.0618170378190044E-2</v>
      </c>
      <c r="P162" s="51">
        <v>111.64279999999999</v>
      </c>
      <c r="Q162" s="17">
        <v>15.366199999999999</v>
      </c>
      <c r="R162" s="95">
        <v>1724.7981</v>
      </c>
      <c r="S162" s="39" cm="1">
        <f t="array" ref="S162">_xll.aqBondObjectYield(N162,$C$4,T162)</f>
        <v>4.0618170378190044E-2</v>
      </c>
      <c r="T162" s="49" cm="1">
        <f t="array" ref="T162">_xll.aqBondObjectPrice($N162,$C$4,$O162)</f>
        <v>111.642765902371</v>
      </c>
      <c r="U162" s="49" cm="1">
        <f t="array" ref="U162">_xll.aqBondObjectCleanPrice($N162,$C$4,$O162)</f>
        <v>111.642765902371</v>
      </c>
      <c r="V162" s="49" cm="1">
        <f t="array" ref="V162">_xll.aqBondObjectDirtyPrice($N162,$C$4,$O162)</f>
        <v>112.24635590237099</v>
      </c>
      <c r="W162" s="18" cm="1">
        <f t="array" ref="W162">_xll.aqBondObjectModifiedDuration($N162,$C$4,$O162)</f>
        <v>15.366183298699939</v>
      </c>
      <c r="X162" s="93" cm="1">
        <f t="array" ref="X162">_xll.aqBondObjectDV01($N162,$C$4,$O162)</f>
        <v>1724.7980794069424</v>
      </c>
    </row>
    <row r="163" spans="2:24">
      <c r="B163" s="11" t="s">
        <v>355</v>
      </c>
      <c r="C163" s="11" t="s">
        <v>356</v>
      </c>
      <c r="D163" s="11" t="s">
        <v>356</v>
      </c>
      <c r="E163" s="12">
        <v>41416</v>
      </c>
      <c r="F163" s="12" t="s">
        <v>318</v>
      </c>
      <c r="G163" s="15" t="str">
        <f t="shared" si="2"/>
        <v/>
      </c>
      <c r="H163" s="12" t="s">
        <v>318</v>
      </c>
      <c r="I163" s="12" t="s">
        <v>318</v>
      </c>
      <c r="J163" s="31">
        <v>0</v>
      </c>
      <c r="K163" s="12">
        <v>52841</v>
      </c>
      <c r="L163" s="89" t="s">
        <v>318</v>
      </c>
      <c r="M163" s="80" t="s">
        <v>282</v>
      </c>
      <c r="N163" s="16" t="str" cm="1">
        <f t="array" ref="N163">_xll.aqBondObjectCreateFromGenerator($C163,$N$4,_xll.aqToolLVBFromKeysValues($C$7:$M$7,$C163:$M163))</f>
        <v>IT0004976848:5</v>
      </c>
      <c r="O163" s="78">
        <v>4.1912895605674683E-2</v>
      </c>
      <c r="P163" s="51">
        <v>34.565899999999999</v>
      </c>
      <c r="Q163" s="17">
        <v>25.347200000000001</v>
      </c>
      <c r="R163" s="95">
        <v>876.14779999999996</v>
      </c>
      <c r="S163" s="39" cm="1">
        <f t="array" ref="S163">_xll.aqBondObjectYield(N163,$C$4,T163)</f>
        <v>4.1912895605674683E-2</v>
      </c>
      <c r="T163" s="49" cm="1">
        <f t="array" ref="T163">_xll.aqBondObjectPrice($N163,$C$4,$O163)</f>
        <v>34.565872135632567</v>
      </c>
      <c r="U163" s="49" cm="1">
        <f t="array" ref="U163">_xll.aqBondObjectCleanPrice($N163,$C$4,$O163)</f>
        <v>34.565872135632567</v>
      </c>
      <c r="V163" s="49" cm="1">
        <f t="array" ref="V163">_xll.aqBondObjectDirtyPrice($N163,$C$4,$O163)</f>
        <v>34.565872135632567</v>
      </c>
      <c r="W163" s="18" cm="1">
        <f t="array" ref="W163">_xll.aqBondObjectModifiedDuration($N163,$C$4,$O163)</f>
        <v>25.3471932689427</v>
      </c>
      <c r="X163" s="93" cm="1">
        <f t="array" ref="X163">_xll.aqBondObjectDV01($N163,$C$4,$O163)</f>
        <v>876.14784153143989</v>
      </c>
    </row>
    <row r="164" spans="2:24">
      <c r="B164" s="11" t="s">
        <v>577</v>
      </c>
      <c r="C164" s="11" t="s">
        <v>578</v>
      </c>
      <c r="D164" s="11" t="s">
        <v>578</v>
      </c>
      <c r="E164" s="12">
        <v>42026</v>
      </c>
      <c r="F164" s="12" t="s">
        <v>318</v>
      </c>
      <c r="G164" s="15" t="str">
        <f t="shared" si="2"/>
        <v/>
      </c>
      <c r="H164" s="12" t="s">
        <v>318</v>
      </c>
      <c r="I164" s="12" t="s">
        <v>318</v>
      </c>
      <c r="J164" s="31">
        <v>0</v>
      </c>
      <c r="K164" s="12">
        <v>53022</v>
      </c>
      <c r="L164" s="89" t="s">
        <v>318</v>
      </c>
      <c r="M164" s="80" t="s">
        <v>282</v>
      </c>
      <c r="N164" s="16" t="str" cm="1">
        <f t="array" ref="N164">_xll.aqBondObjectCreateFromGenerator($C164,$N$4,_xll.aqToolLVBFromKeysValues($C$7:$M$7,$C164:$M164))</f>
        <v>IT0005093288:5</v>
      </c>
      <c r="O164" s="78">
        <v>4.3683103699150294E-2</v>
      </c>
      <c r="P164" s="51">
        <v>32.380899999999997</v>
      </c>
      <c r="Q164" s="17">
        <v>25.815100000000001</v>
      </c>
      <c r="R164" s="95">
        <v>835.91589999999997</v>
      </c>
      <c r="S164" s="39" cm="1">
        <f t="array" ref="S164">_xll.aqBondObjectYield(N164,$C$4,T164)</f>
        <v>4.3683103699150294E-2</v>
      </c>
      <c r="T164" s="49" cm="1">
        <f t="array" ref="T164">_xll.aqBondObjectPrice($N164,$C$4,$O164)</f>
        <v>32.380875273498035</v>
      </c>
      <c r="U164" s="49" cm="1">
        <f t="array" ref="U164">_xll.aqBondObjectCleanPrice($N164,$C$4,$O164)</f>
        <v>32.380875273498035</v>
      </c>
      <c r="V164" s="49" cm="1">
        <f t="array" ref="V164">_xll.aqBondObjectDirtyPrice($N164,$C$4,$O164)</f>
        <v>32.380875273498035</v>
      </c>
      <c r="W164" s="18" cm="1">
        <f t="array" ref="W164">_xll.aqBondObjectModifiedDuration($N164,$C$4,$O164)</f>
        <v>25.81511271907706</v>
      </c>
      <c r="X164" s="93" cm="1">
        <f t="array" ref="X164">_xll.aqBondObjectDV01($N164,$C$4,$O164)</f>
        <v>835.91594512772701</v>
      </c>
    </row>
    <row r="165" spans="2:24">
      <c r="B165" s="11" t="s">
        <v>671</v>
      </c>
      <c r="C165" s="11" t="s">
        <v>672</v>
      </c>
      <c r="D165" s="11" t="s">
        <v>672</v>
      </c>
      <c r="E165" s="12">
        <v>42026</v>
      </c>
      <c r="F165" s="12" t="s">
        <v>318</v>
      </c>
      <c r="G165" s="15" t="str">
        <f t="shared" si="2"/>
        <v/>
      </c>
      <c r="H165" s="12" t="s">
        <v>318</v>
      </c>
      <c r="I165" s="12" t="s">
        <v>318</v>
      </c>
      <c r="J165" s="31">
        <v>0</v>
      </c>
      <c r="K165" s="12">
        <v>53206</v>
      </c>
      <c r="L165" s="89" t="s">
        <v>318</v>
      </c>
      <c r="M165" s="80" t="s">
        <v>282</v>
      </c>
      <c r="N165" s="16" t="str" cm="1">
        <f t="array" ref="N165">_xll.aqBondObjectCreateFromGenerator($C165,$N$4,_xll.aqToolLVBFromKeysValues($C$7:$M$7,$C165:$M165))</f>
        <v>IT0005093296:5</v>
      </c>
      <c r="O165" s="78">
        <v>4.259281024025019E-2</v>
      </c>
      <c r="P165" s="51">
        <v>32.5989</v>
      </c>
      <c r="Q165" s="17">
        <v>26.318300000000001</v>
      </c>
      <c r="R165" s="95">
        <v>857.94659999999999</v>
      </c>
      <c r="S165" s="39" cm="1">
        <f t="array" ref="S165">_xll.aqBondObjectYield(N165,$C$4,T165)</f>
        <v>4.259281024025019E-2</v>
      </c>
      <c r="T165" s="49" cm="1">
        <f t="array" ref="T165">_xll.aqBondObjectPrice($N165,$C$4,$O165)</f>
        <v>32.598877490177458</v>
      </c>
      <c r="U165" s="49" cm="1">
        <f t="array" ref="U165">_xll.aqBondObjectCleanPrice($N165,$C$4,$O165)</f>
        <v>32.598877490177458</v>
      </c>
      <c r="V165" s="49" cm="1">
        <f t="array" ref="V165">_xll.aqBondObjectDirtyPrice($N165,$C$4,$O165)</f>
        <v>32.598877490177458</v>
      </c>
      <c r="W165" s="18" cm="1">
        <f t="array" ref="W165">_xll.aqBondObjectModifiedDuration($N165,$C$4,$O165)</f>
        <v>26.31828760424014</v>
      </c>
      <c r="X165" s="93" cm="1">
        <f t="array" ref="X165">_xll.aqBondObjectDV01($N165,$C$4,$O165)</f>
        <v>857.94663336188034</v>
      </c>
    </row>
    <row r="166" spans="2:24">
      <c r="B166" s="11" t="s">
        <v>521</v>
      </c>
      <c r="C166" s="11" t="s">
        <v>522</v>
      </c>
      <c r="D166" s="11" t="s">
        <v>522</v>
      </c>
      <c r="E166" s="12">
        <v>42026</v>
      </c>
      <c r="F166" s="12" t="s">
        <v>318</v>
      </c>
      <c r="G166" s="15" t="str">
        <f t="shared" si="2"/>
        <v/>
      </c>
      <c r="H166" s="12" t="s">
        <v>318</v>
      </c>
      <c r="I166" s="12" t="s">
        <v>318</v>
      </c>
      <c r="J166" s="31">
        <v>0</v>
      </c>
      <c r="K166" s="12">
        <v>53387</v>
      </c>
      <c r="L166" s="89" t="s">
        <v>318</v>
      </c>
      <c r="M166" s="80" t="s">
        <v>282</v>
      </c>
      <c r="N166" s="16" t="str" cm="1">
        <f t="array" ref="N166">_xll.aqBondObjectCreateFromGenerator($C166,$N$4,_xll.aqToolLVBFromKeysValues($C$7:$M$7,$C166:$M166))</f>
        <v>IT0005093304:5</v>
      </c>
      <c r="O166" s="78">
        <v>4.1357772356486189E-2</v>
      </c>
      <c r="P166" s="51">
        <v>32.978900000000003</v>
      </c>
      <c r="Q166" s="17">
        <v>26.823899999999998</v>
      </c>
      <c r="R166" s="95">
        <v>884.62090000000001</v>
      </c>
      <c r="S166" s="39" cm="1">
        <f t="array" ref="S166">_xll.aqBondObjectYield(N166,$C$4,T166)</f>
        <v>4.1357772356486189E-2</v>
      </c>
      <c r="T166" s="49" cm="1">
        <f t="array" ref="T166">_xll.aqBondObjectPrice($N166,$C$4,$O166)</f>
        <v>32.978879562296889</v>
      </c>
      <c r="U166" s="49" cm="1">
        <f t="array" ref="U166">_xll.aqBondObjectCleanPrice($N166,$C$4,$O166)</f>
        <v>32.978879562296889</v>
      </c>
      <c r="V166" s="49" cm="1">
        <f t="array" ref="V166">_xll.aqBondObjectDirtyPrice($N166,$C$4,$O166)</f>
        <v>32.978879562296889</v>
      </c>
      <c r="W166" s="18" cm="1">
        <f t="array" ref="W166">_xll.aqBondObjectModifiedDuration($N166,$C$4,$O166)</f>
        <v>26.823860168625075</v>
      </c>
      <c r="X166" s="93" cm="1">
        <f t="array" ref="X166">_xll.aqBondObjectDV01($N166,$C$4,$O166)</f>
        <v>884.62085389697904</v>
      </c>
    </row>
    <row r="167" spans="2:24">
      <c r="B167" s="11" t="s">
        <v>300</v>
      </c>
      <c r="C167" s="11" t="s">
        <v>301</v>
      </c>
      <c r="D167" s="11" t="s">
        <v>301</v>
      </c>
      <c r="E167" s="12">
        <v>42026</v>
      </c>
      <c r="F167" s="12">
        <v>41883</v>
      </c>
      <c r="G167" s="15" t="str">
        <f t="shared" si="2"/>
        <v/>
      </c>
      <c r="H167" s="12">
        <v>42064</v>
      </c>
      <c r="I167" s="12">
        <v>53387</v>
      </c>
      <c r="J167" s="31">
        <v>3.2500000000000001E-2</v>
      </c>
      <c r="K167" s="12">
        <v>53571</v>
      </c>
      <c r="L167" s="89">
        <v>99.707000000000008</v>
      </c>
      <c r="M167" s="80" t="s">
        <v>282</v>
      </c>
      <c r="N167" s="16" t="str" cm="1">
        <f t="array" ref="N167">_xll.aqBondObjectCreateFromGenerator($C167,$N$4,_xll.aqToolLVBFromKeysValues($C$7:$M$7,$C167:$M167))</f>
        <v>IT0005083057:5</v>
      </c>
      <c r="O167" s="78">
        <v>3.8476691429508714E-2</v>
      </c>
      <c r="P167" s="51">
        <v>90.400899999999993</v>
      </c>
      <c r="Q167" s="17">
        <v>17.5822</v>
      </c>
      <c r="R167" s="95">
        <v>1596.7039</v>
      </c>
      <c r="S167" s="39" cm="1">
        <f t="array" ref="S167">_xll.aqBondObjectYield(N167,$C$4,T167)</f>
        <v>3.8476691429508714E-2</v>
      </c>
      <c r="T167" s="49" cm="1">
        <f t="array" ref="T167">_xll.aqBondObjectPrice($N167,$C$4,$O167)</f>
        <v>90.400922938915272</v>
      </c>
      <c r="U167" s="49" cm="1">
        <f t="array" ref="U167">_xll.aqBondObjectCleanPrice($N167,$C$4,$O167)</f>
        <v>90.400922938915272</v>
      </c>
      <c r="V167" s="49" cm="1">
        <f t="array" ref="V167">_xll.aqBondObjectDirtyPrice($N167,$C$4,$O167)</f>
        <v>90.813902938915277</v>
      </c>
      <c r="W167" s="18" cm="1">
        <f t="array" ref="W167">_xll.aqBondObjectModifiedDuration($N167,$C$4,$O167)</f>
        <v>17.582152775292641</v>
      </c>
      <c r="X167" s="93" cm="1">
        <f t="array" ref="X167">_xll.aqBondObjectDV01($N167,$C$4,$O167)</f>
        <v>1596.7039155926057</v>
      </c>
    </row>
    <row r="168" spans="2:24">
      <c r="B168" s="11" t="s">
        <v>405</v>
      </c>
      <c r="C168" s="11" t="s">
        <v>406</v>
      </c>
      <c r="D168" s="11" t="s">
        <v>406</v>
      </c>
      <c r="E168" s="12">
        <v>42026</v>
      </c>
      <c r="F168" s="12" t="s">
        <v>318</v>
      </c>
      <c r="G168" s="15" t="str">
        <f t="shared" si="2"/>
        <v/>
      </c>
      <c r="H168" s="12" t="s">
        <v>318</v>
      </c>
      <c r="I168" s="12" t="s">
        <v>318</v>
      </c>
      <c r="J168" s="31">
        <v>0</v>
      </c>
      <c r="K168" s="12">
        <v>53571</v>
      </c>
      <c r="L168" s="89" t="s">
        <v>318</v>
      </c>
      <c r="M168" s="80" t="s">
        <v>282</v>
      </c>
      <c r="N168" s="16" t="str" cm="1">
        <f t="array" ref="N168">_xll.aqBondObjectCreateFromGenerator($C168,$N$4,_xll.aqToolLVBFromKeysValues($C$7:$M$7,$C168:$M168))</f>
        <v>IT0005093312:5</v>
      </c>
      <c r="O168" s="78">
        <v>3.7494223666471926E-2</v>
      </c>
      <c r="P168" s="51">
        <v>35.838000000000001</v>
      </c>
      <c r="Q168" s="17">
        <v>27.364599999999999</v>
      </c>
      <c r="R168" s="95">
        <v>980.69399999999996</v>
      </c>
      <c r="S168" s="39" cm="1">
        <f t="array" ref="S168">_xll.aqBondObjectYield(N168,$C$4,T168)</f>
        <v>3.7494223666471926E-2</v>
      </c>
      <c r="T168" s="49" cm="1">
        <f t="array" ref="T168">_xll.aqBondObjectPrice($N168,$C$4,$O168)</f>
        <v>35.837999901995317</v>
      </c>
      <c r="U168" s="49" cm="1">
        <f t="array" ref="U168">_xll.aqBondObjectCleanPrice($N168,$C$4,$O168)</f>
        <v>35.837999901995317</v>
      </c>
      <c r="V168" s="49" cm="1">
        <f t="array" ref="V168">_xll.aqBondObjectDirtyPrice($N168,$C$4,$O168)</f>
        <v>35.837999901995317</v>
      </c>
      <c r="W168" s="18" cm="1">
        <f t="array" ref="W168">_xll.aqBondObjectModifiedDuration($N168,$C$4,$O168)</f>
        <v>27.364640813406051</v>
      </c>
      <c r="X168" s="93" cm="1">
        <f t="array" ref="X168">_xll.aqBondObjectDV01($N168,$C$4,$O168)</f>
        <v>980.6939947889831</v>
      </c>
    </row>
    <row r="169" spans="2:24">
      <c r="B169" s="11" t="s">
        <v>285</v>
      </c>
      <c r="C169" s="11" t="s">
        <v>286</v>
      </c>
      <c r="D169" s="11" t="s">
        <v>286</v>
      </c>
      <c r="E169" s="12">
        <v>42409</v>
      </c>
      <c r="F169" s="12">
        <v>42409</v>
      </c>
      <c r="G169" s="15" t="str">
        <f t="shared" si="2"/>
        <v/>
      </c>
      <c r="H169" s="12">
        <v>42430</v>
      </c>
      <c r="I169" s="12">
        <v>53571</v>
      </c>
      <c r="J169" s="31">
        <v>2.7000000000000003E-2</v>
      </c>
      <c r="K169" s="12">
        <v>53752</v>
      </c>
      <c r="L169" s="89">
        <v>99.181999999999988</v>
      </c>
      <c r="M169" s="80" t="s">
        <v>282</v>
      </c>
      <c r="N169" s="16" t="str" cm="1">
        <f t="array" ref="N169">_xll.aqBondObjectCreateFromGenerator($C169,$N$4,_xll.aqToolLVBFromKeysValues($C$7:$M$7,$C169:$M169))</f>
        <v>IT0005162828:5</v>
      </c>
      <c r="O169" s="78">
        <v>3.7679002856236377E-2</v>
      </c>
      <c r="P169" s="51">
        <v>82.011899999999997</v>
      </c>
      <c r="Q169" s="17">
        <v>18.565899999999999</v>
      </c>
      <c r="R169" s="95">
        <v>1528.9969000000001</v>
      </c>
      <c r="S169" s="39" cm="1">
        <f t="array" ref="S169">_xll.aqBondObjectYield(N169,$C$4,T169)</f>
        <v>3.7679002856236821E-2</v>
      </c>
      <c r="T169" s="49" cm="1">
        <f t="array" ref="T169">_xll.aqBondObjectPrice($N169,$C$4,$O169)</f>
        <v>82.01193647902538</v>
      </c>
      <c r="U169" s="49" cm="1">
        <f t="array" ref="U169">_xll.aqBondObjectCleanPrice($N169,$C$4,$O169)</f>
        <v>82.01193647902538</v>
      </c>
      <c r="V169" s="49" cm="1">
        <f t="array" ref="V169">_xll.aqBondObjectDirtyPrice($N169,$C$4,$O169)</f>
        <v>82.355026479025383</v>
      </c>
      <c r="W169" s="18" cm="1">
        <f t="array" ref="W169">_xll.aqBondObjectModifiedDuration($N169,$C$4,$O169)</f>
        <v>18.565921202826555</v>
      </c>
      <c r="X169" s="93" cm="1">
        <f t="array" ref="X169">_xll.aqBondObjectDV01($N169,$C$4,$O169)</f>
        <v>1528.9969322662798</v>
      </c>
    </row>
    <row r="170" spans="2:24">
      <c r="B170" s="11" t="s">
        <v>421</v>
      </c>
      <c r="C170" s="11" t="s">
        <v>422</v>
      </c>
      <c r="D170" s="11" t="s">
        <v>422</v>
      </c>
      <c r="E170" s="12">
        <v>42409</v>
      </c>
      <c r="F170" s="12" t="s">
        <v>318</v>
      </c>
      <c r="G170" s="15" t="str">
        <f t="shared" si="2"/>
        <v/>
      </c>
      <c r="H170" s="12" t="s">
        <v>318</v>
      </c>
      <c r="I170" s="12" t="s">
        <v>318</v>
      </c>
      <c r="J170" s="31">
        <v>0</v>
      </c>
      <c r="K170" s="12">
        <v>53752</v>
      </c>
      <c r="L170" s="89" t="s">
        <v>318</v>
      </c>
      <c r="M170" s="80" t="s">
        <v>282</v>
      </c>
      <c r="N170" s="16" t="str" cm="1">
        <f t="array" ref="N170">_xll.aqBondObjectCreateFromGenerator($C170,$N$4,_xll.aqToolLVBFromKeysValues($C$7:$M$7,$C170:$M170))</f>
        <v>IT0005177628:5</v>
      </c>
      <c r="O170" s="78">
        <v>3.6316681466244782E-2</v>
      </c>
      <c r="P170" s="51">
        <v>36.344000000000001</v>
      </c>
      <c r="Q170" s="17">
        <v>27.871300000000002</v>
      </c>
      <c r="R170" s="95">
        <v>1012.9561</v>
      </c>
      <c r="S170" s="39" cm="1">
        <f t="array" ref="S170">_xll.aqBondObjectYield(N170,$C$4,T170)</f>
        <v>3.6316681466244782E-2</v>
      </c>
      <c r="T170" s="49" cm="1">
        <f t="array" ref="T170">_xll.aqBondObjectPrice($N170,$C$4,$O170)</f>
        <v>36.343999882295371</v>
      </c>
      <c r="U170" s="49" cm="1">
        <f t="array" ref="U170">_xll.aqBondObjectCleanPrice($N170,$C$4,$O170)</f>
        <v>36.343999882295371</v>
      </c>
      <c r="V170" s="49" cm="1">
        <f t="array" ref="V170">_xll.aqBondObjectDirtyPrice($N170,$C$4,$O170)</f>
        <v>36.343999882295371</v>
      </c>
      <c r="W170" s="18" cm="1">
        <f t="array" ref="W170">_xll.aqBondObjectModifiedDuration($N170,$C$4,$O170)</f>
        <v>27.871344167311094</v>
      </c>
      <c r="X170" s="93" cm="1">
        <f t="array" ref="X170">_xll.aqBondObjectDV01($N170,$C$4,$O170)</f>
        <v>1012.9561291361682</v>
      </c>
    </row>
    <row r="171" spans="2:24">
      <c r="B171" s="11" t="s">
        <v>453</v>
      </c>
      <c r="C171" s="11" t="s">
        <v>454</v>
      </c>
      <c r="D171" s="11" t="s">
        <v>454</v>
      </c>
      <c r="E171" s="12">
        <v>42654</v>
      </c>
      <c r="F171" s="12" t="s">
        <v>318</v>
      </c>
      <c r="G171" s="15" t="str">
        <f t="shared" si="2"/>
        <v/>
      </c>
      <c r="H171" s="12" t="s">
        <v>318</v>
      </c>
      <c r="I171" s="12" t="s">
        <v>318</v>
      </c>
      <c r="J171" s="31">
        <v>0</v>
      </c>
      <c r="K171" s="12">
        <v>53936</v>
      </c>
      <c r="L171" s="89" t="s">
        <v>318</v>
      </c>
      <c r="M171" s="80" t="s">
        <v>282</v>
      </c>
      <c r="N171" s="16" t="str" cm="1">
        <f t="array" ref="N171">_xll.aqBondObjectCreateFromGenerator($C171,$N$4,_xll.aqToolLVBFromKeysValues($C$7:$M$7,$C171:$M171))</f>
        <v>IT0005247876:5</v>
      </c>
      <c r="O171" s="78">
        <v>4.1037932173239255E-2</v>
      </c>
      <c r="P171" s="51">
        <v>31.306999999999999</v>
      </c>
      <c r="Q171" s="17">
        <v>28.298100000000002</v>
      </c>
      <c r="R171" s="95">
        <v>885.93020000000001</v>
      </c>
      <c r="S171" s="39" cm="1">
        <f t="array" ref="S171">_xll.aqBondObjectYield(N171,$C$4,T171)</f>
        <v>4.1037932173239255E-2</v>
      </c>
      <c r="T171" s="49" cm="1">
        <f t="array" ref="T171">_xll.aqBondObjectPrice($N171,$C$4,$O171)</f>
        <v>31.307037504859565</v>
      </c>
      <c r="U171" s="49" cm="1">
        <f t="array" ref="U171">_xll.aqBondObjectCleanPrice($N171,$C$4,$O171)</f>
        <v>31.307037504859565</v>
      </c>
      <c r="V171" s="49" cm="1">
        <f t="array" ref="V171">_xll.aqBondObjectDirtyPrice($N171,$C$4,$O171)</f>
        <v>31.307037504859565</v>
      </c>
      <c r="W171" s="18" cm="1">
        <f t="array" ref="W171">_xll.aqBondObjectModifiedDuration($N171,$C$4,$O171)</f>
        <v>28.298118015727972</v>
      </c>
      <c r="X171" s="93" cm="1">
        <f t="array" ref="X171">_xll.aqBondObjectDV01($N171,$C$4,$O171)</f>
        <v>885.93024203533776</v>
      </c>
    </row>
    <row r="172" spans="2:24">
      <c r="B172" s="11" t="s">
        <v>557</v>
      </c>
      <c r="C172" s="11" t="s">
        <v>558</v>
      </c>
      <c r="D172" s="11" t="s">
        <v>558</v>
      </c>
      <c r="E172" s="12">
        <v>42654</v>
      </c>
      <c r="F172" s="12" t="s">
        <v>318</v>
      </c>
      <c r="G172" s="15" t="str">
        <f t="shared" si="2"/>
        <v/>
      </c>
      <c r="H172" s="12" t="s">
        <v>318</v>
      </c>
      <c r="I172" s="12" t="s">
        <v>318</v>
      </c>
      <c r="J172" s="31">
        <v>0</v>
      </c>
      <c r="K172" s="12">
        <v>54118</v>
      </c>
      <c r="L172" s="89" t="s">
        <v>318</v>
      </c>
      <c r="M172" s="80" t="s">
        <v>282</v>
      </c>
      <c r="N172" s="16" t="str" cm="1">
        <f t="array" ref="N172">_xll.aqBondObjectCreateFromGenerator($C172,$N$4,_xll.aqToolLVBFromKeysValues($C$7:$M$7,$C172:$M172))</f>
        <v>IT0005247884:5</v>
      </c>
      <c r="O172" s="78">
        <v>3.907387411786245E-2</v>
      </c>
      <c r="P172" s="51">
        <v>32.433999999999997</v>
      </c>
      <c r="Q172" s="17">
        <v>28.8154</v>
      </c>
      <c r="R172" s="95">
        <v>934.59730000000002</v>
      </c>
      <c r="S172" s="39" cm="1">
        <f t="array" ref="S172">_xll.aqBondObjectYield(N172,$C$4,T172)</f>
        <v>3.907387411786245E-2</v>
      </c>
      <c r="T172" s="49" cm="1">
        <f t="array" ref="T172">_xll.aqBondObjectPrice($N172,$C$4,$O172)</f>
        <v>32.433999839897133</v>
      </c>
      <c r="U172" s="49" cm="1">
        <f t="array" ref="U172">_xll.aqBondObjectCleanPrice($N172,$C$4,$O172)</f>
        <v>32.433999839897133</v>
      </c>
      <c r="V172" s="49" cm="1">
        <f t="array" ref="V172">_xll.aqBondObjectDirtyPrice($N172,$C$4,$O172)</f>
        <v>32.433999839897133</v>
      </c>
      <c r="W172" s="18" cm="1">
        <f t="array" ref="W172">_xll.aqBondObjectModifiedDuration($N172,$C$4,$O172)</f>
        <v>28.815358736184876</v>
      </c>
      <c r="X172" s="93" cm="1">
        <f t="array" ref="X172">_xll.aqBondObjectDV01($N172,$C$4,$O172)</f>
        <v>934.59734063599876</v>
      </c>
    </row>
    <row r="173" spans="2:24">
      <c r="B173" s="11" t="s">
        <v>529</v>
      </c>
      <c r="C173" s="11" t="s">
        <v>530</v>
      </c>
      <c r="D173" s="11" t="s">
        <v>530</v>
      </c>
      <c r="E173" s="12">
        <v>42654</v>
      </c>
      <c r="F173" s="12" t="s">
        <v>318</v>
      </c>
      <c r="G173" s="15" t="str">
        <f t="shared" si="2"/>
        <v/>
      </c>
      <c r="H173" s="12" t="s">
        <v>318</v>
      </c>
      <c r="I173" s="12" t="s">
        <v>318</v>
      </c>
      <c r="J173" s="31">
        <v>0</v>
      </c>
      <c r="K173" s="12">
        <v>54302</v>
      </c>
      <c r="L173" s="89" t="s">
        <v>318</v>
      </c>
      <c r="M173" s="80" t="s">
        <v>282</v>
      </c>
      <c r="N173" s="16" t="str" cm="1">
        <f t="array" ref="N173">_xll.aqBondObjectCreateFromGenerator($C173,$N$4,_xll.aqToolLVBFromKeysValues($C$7:$M$7,$C173:$M173))</f>
        <v>IT0005247892:5</v>
      </c>
      <c r="O173" s="78">
        <v>4.2750566576154503E-2</v>
      </c>
      <c r="P173" s="51">
        <v>28.635000000000002</v>
      </c>
      <c r="Q173" s="17">
        <v>29.254200000000001</v>
      </c>
      <c r="R173" s="95">
        <v>837.69280000000003</v>
      </c>
      <c r="S173" s="39" cm="1">
        <f t="array" ref="S173">_xll.aqBondObjectYield(N173,$C$4,T173)</f>
        <v>4.2750566576154947E-2</v>
      </c>
      <c r="T173" s="49" cm="1">
        <f t="array" ref="T173">_xll.aqBondObjectPrice($N173,$C$4,$O173)</f>
        <v>28.634999919719426</v>
      </c>
      <c r="U173" s="49" cm="1">
        <f t="array" ref="U173">_xll.aqBondObjectCleanPrice($N173,$C$4,$O173)</f>
        <v>28.634999919719426</v>
      </c>
      <c r="V173" s="49" cm="1">
        <f t="array" ref="V173">_xll.aqBondObjectDirtyPrice($N173,$C$4,$O173)</f>
        <v>28.634999919719426</v>
      </c>
      <c r="W173" s="18" cm="1">
        <f t="array" ref="W173">_xll.aqBondObjectModifiedDuration($N173,$C$4,$O173)</f>
        <v>29.254156302488397</v>
      </c>
      <c r="X173" s="93" cm="1">
        <f t="array" ref="X173">_xll.aqBondObjectDV01($N173,$C$4,$O173)</f>
        <v>837.6927633732148</v>
      </c>
    </row>
    <row r="174" spans="2:24">
      <c r="B174" s="11" t="s">
        <v>559</v>
      </c>
      <c r="C174" s="11" t="s">
        <v>560</v>
      </c>
      <c r="D174" s="11" t="s">
        <v>560</v>
      </c>
      <c r="E174" s="12">
        <v>42654</v>
      </c>
      <c r="F174" s="12" t="s">
        <v>318</v>
      </c>
      <c r="G174" s="15" t="str">
        <f t="shared" si="2"/>
        <v/>
      </c>
      <c r="H174" s="12" t="s">
        <v>318</v>
      </c>
      <c r="I174" s="12" t="s">
        <v>318</v>
      </c>
      <c r="J174" s="31">
        <v>0</v>
      </c>
      <c r="K174" s="12">
        <v>54483</v>
      </c>
      <c r="L174" s="89" t="s">
        <v>318</v>
      </c>
      <c r="M174" s="80" t="s">
        <v>282</v>
      </c>
      <c r="N174" s="16" t="str" cm="1">
        <f t="array" ref="N174">_xll.aqBondObjectCreateFromGenerator($C174,$N$4,_xll.aqToolLVBFromKeysValues($C$7:$M$7,$C174:$M174))</f>
        <v>IT0005247900:5</v>
      </c>
      <c r="O174" s="78">
        <v>4.2630642839490696E-2</v>
      </c>
      <c r="P174" s="51">
        <v>28.14</v>
      </c>
      <c r="Q174" s="17">
        <v>29.7455</v>
      </c>
      <c r="R174" s="95">
        <v>837.03869999999995</v>
      </c>
      <c r="S174" s="39" cm="1">
        <f t="array" ref="S174">_xll.aqBondObjectYield(N174,$C$4,T174)</f>
        <v>4.2630642839490696E-2</v>
      </c>
      <c r="T174" s="49" cm="1">
        <f t="array" ref="T174">_xll.aqBondObjectPrice($N174,$C$4,$O174)</f>
        <v>28.139999899473867</v>
      </c>
      <c r="U174" s="49" cm="1">
        <f t="array" ref="U174">_xll.aqBondObjectCleanPrice($N174,$C$4,$O174)</f>
        <v>28.139999899473867</v>
      </c>
      <c r="V174" s="49" cm="1">
        <f t="array" ref="V174">_xll.aqBondObjectDirtyPrice($N174,$C$4,$O174)</f>
        <v>28.139999899473867</v>
      </c>
      <c r="W174" s="18" cm="1">
        <f t="array" ref="W174">_xll.aqBondObjectModifiedDuration($N174,$C$4,$O174)</f>
        <v>29.745510091484217</v>
      </c>
      <c r="X174" s="93" cm="1">
        <f t="array" ref="X174">_xll.aqBondObjectDV01($N174,$C$4,$O174)</f>
        <v>837.03865098416475</v>
      </c>
    </row>
    <row r="175" spans="2:24">
      <c r="B175" s="11" t="s">
        <v>549</v>
      </c>
      <c r="C175" s="11" t="s">
        <v>550</v>
      </c>
      <c r="D175" s="11" t="s">
        <v>550</v>
      </c>
      <c r="E175" s="12">
        <v>42654</v>
      </c>
      <c r="F175" s="12" t="s">
        <v>318</v>
      </c>
      <c r="G175" s="15" t="str">
        <f t="shared" si="2"/>
        <v/>
      </c>
      <c r="H175" s="12" t="s">
        <v>318</v>
      </c>
      <c r="I175" s="12" t="s">
        <v>318</v>
      </c>
      <c r="J175" s="31">
        <v>0</v>
      </c>
      <c r="K175" s="12">
        <v>54667</v>
      </c>
      <c r="L175" s="89" t="s">
        <v>318</v>
      </c>
      <c r="M175" s="80" t="s">
        <v>282</v>
      </c>
      <c r="N175" s="16" t="str" cm="1">
        <f t="array" ref="N175">_xll.aqBondObjectCreateFromGenerator($C175,$N$4,_xll.aqToolLVBFromKeysValues($C$7:$M$7,$C175:$M175))</f>
        <v>IT0005247918:5</v>
      </c>
      <c r="O175" s="78">
        <v>4.2504308296277937E-2</v>
      </c>
      <c r="P175" s="51">
        <v>27.661999999999999</v>
      </c>
      <c r="Q175" s="17">
        <v>30.236999999999998</v>
      </c>
      <c r="R175" s="95">
        <v>836.41629999999998</v>
      </c>
      <c r="S175" s="39" cm="1">
        <f t="array" ref="S175">_xll.aqBondObjectYield(N175,$C$4,T175)</f>
        <v>4.2504308296277937E-2</v>
      </c>
      <c r="T175" s="49" cm="1">
        <f t="array" ref="T175">_xll.aqBondObjectPrice($N175,$C$4,$O175)</f>
        <v>27.661999874378928</v>
      </c>
      <c r="U175" s="49" cm="1">
        <f t="array" ref="U175">_xll.aqBondObjectCleanPrice($N175,$C$4,$O175)</f>
        <v>27.661999874378928</v>
      </c>
      <c r="V175" s="49" cm="1">
        <f t="array" ref="V175">_xll.aqBondObjectDirtyPrice($N175,$C$4,$O175)</f>
        <v>27.661999874378928</v>
      </c>
      <c r="W175" s="18" cm="1">
        <f t="array" ref="W175">_xll.aqBondObjectModifiedDuration($N175,$C$4,$O175)</f>
        <v>30.23701346755935</v>
      </c>
      <c r="X175" s="93" cm="1">
        <f t="array" ref="X175">_xll.aqBondObjectDV01($N175,$C$4,$O175)</f>
        <v>836.41626274122075</v>
      </c>
    </row>
    <row r="176" spans="2:24">
      <c r="B176" s="11" t="s">
        <v>493</v>
      </c>
      <c r="C176" s="11" t="s">
        <v>494</v>
      </c>
      <c r="D176" s="11" t="s">
        <v>494</v>
      </c>
      <c r="E176" s="12">
        <v>42654</v>
      </c>
      <c r="F176" s="12" t="s">
        <v>318</v>
      </c>
      <c r="G176" s="15" t="str">
        <f t="shared" si="2"/>
        <v/>
      </c>
      <c r="H176" s="12" t="s">
        <v>318</v>
      </c>
      <c r="I176" s="12" t="s">
        <v>318</v>
      </c>
      <c r="J176" s="31">
        <v>0</v>
      </c>
      <c r="K176" s="12">
        <v>54848</v>
      </c>
      <c r="L176" s="89" t="s">
        <v>318</v>
      </c>
      <c r="M176" s="80" t="s">
        <v>282</v>
      </c>
      <c r="N176" s="16" t="str" cm="1">
        <f t="array" ref="N176">_xll.aqBondObjectCreateFromGenerator($C176,$N$4,_xll.aqToolLVBFromKeysValues($C$7:$M$7,$C176:$M176))</f>
        <v>IT0005247926:5</v>
      </c>
      <c r="O176" s="78">
        <v>4.2380939416570618E-2</v>
      </c>
      <c r="P176" s="51">
        <v>27.193000000000001</v>
      </c>
      <c r="Q176" s="17">
        <v>30.7285</v>
      </c>
      <c r="R176" s="95">
        <v>835.601</v>
      </c>
      <c r="S176" s="39" cm="1">
        <f t="array" ref="S176">_xll.aqBondObjectYield(N176,$C$4,T176)</f>
        <v>4.2380939416571062E-2</v>
      </c>
      <c r="T176" s="49" cm="1">
        <f t="array" ref="T176">_xll.aqBondObjectPrice($N176,$C$4,$O176)</f>
        <v>27.192999843869682</v>
      </c>
      <c r="U176" s="49" cm="1">
        <f t="array" ref="U176">_xll.aqBondObjectCleanPrice($N176,$C$4,$O176)</f>
        <v>27.192999843869682</v>
      </c>
      <c r="V176" s="49" cm="1">
        <f t="array" ref="V176">_xll.aqBondObjectDirtyPrice($N176,$C$4,$O176)</f>
        <v>27.192999843869682</v>
      </c>
      <c r="W176" s="18" cm="1">
        <f t="array" ref="W176">_xll.aqBondObjectModifiedDuration($N176,$C$4,$O176)</f>
        <v>30.728532807712387</v>
      </c>
      <c r="X176" s="93" cm="1">
        <f t="array" ref="X176">_xll.aqBondObjectDV01($N176,$C$4,$O176)</f>
        <v>835.60098784246736</v>
      </c>
    </row>
    <row r="177" spans="2:24">
      <c r="B177" s="11" t="s">
        <v>495</v>
      </c>
      <c r="C177" s="11" t="s">
        <v>496</v>
      </c>
      <c r="D177" s="11" t="s">
        <v>496</v>
      </c>
      <c r="E177" s="12">
        <v>42654</v>
      </c>
      <c r="F177" s="12" t="s">
        <v>318</v>
      </c>
      <c r="G177" s="15" t="str">
        <f t="shared" si="2"/>
        <v/>
      </c>
      <c r="H177" s="12" t="s">
        <v>318</v>
      </c>
      <c r="I177" s="12" t="s">
        <v>318</v>
      </c>
      <c r="J177" s="31">
        <v>0</v>
      </c>
      <c r="K177" s="12">
        <v>55032</v>
      </c>
      <c r="L177" s="89" t="s">
        <v>318</v>
      </c>
      <c r="M177" s="80" t="s">
        <v>282</v>
      </c>
      <c r="N177" s="16" t="str" cm="1">
        <f t="array" ref="N177">_xll.aqBondObjectCreateFromGenerator($C177,$N$4,_xll.aqToolLVBFromKeysValues($C$7:$M$7,$C177:$M177))</f>
        <v>IT0005247934:5</v>
      </c>
      <c r="O177" s="78">
        <v>4.2260172827745413E-2</v>
      </c>
      <c r="P177" s="51">
        <v>26.733000000000001</v>
      </c>
      <c r="Q177" s="17">
        <v>31.220099999999999</v>
      </c>
      <c r="R177" s="95">
        <v>834.60619999999994</v>
      </c>
      <c r="S177" s="39" cm="1">
        <f t="array" ref="S177">_xll.aqBondObjectYield(N177,$C$4,T177)</f>
        <v>4.2260172827745857E-2</v>
      </c>
      <c r="T177" s="49" cm="1">
        <f t="array" ref="T177">_xll.aqBondObjectPrice($N177,$C$4,$O177)</f>
        <v>26.732999806934398</v>
      </c>
      <c r="U177" s="49" cm="1">
        <f t="array" ref="U177">_xll.aqBondObjectCleanPrice($N177,$C$4,$O177)</f>
        <v>26.732999806934398</v>
      </c>
      <c r="V177" s="49" cm="1">
        <f t="array" ref="V177">_xll.aqBondObjectDirtyPrice($N177,$C$4,$O177)</f>
        <v>26.732999806934398</v>
      </c>
      <c r="W177" s="18" cm="1">
        <f t="array" ref="W177">_xll.aqBondObjectModifiedDuration($N177,$C$4,$O177)</f>
        <v>31.220071456849155</v>
      </c>
      <c r="X177" s="93" cm="1">
        <f t="array" ref="X177">_xll.aqBondObjectDV01($N177,$C$4,$O177)</f>
        <v>834.60616422842656</v>
      </c>
    </row>
    <row r="178" spans="2:24">
      <c r="B178" s="11" t="s">
        <v>503</v>
      </c>
      <c r="C178" s="11" t="s">
        <v>504</v>
      </c>
      <c r="D178" s="11" t="s">
        <v>504</v>
      </c>
      <c r="E178" s="12">
        <v>42654</v>
      </c>
      <c r="F178" s="12" t="s">
        <v>318</v>
      </c>
      <c r="G178" s="15" t="str">
        <f t="shared" si="2"/>
        <v/>
      </c>
      <c r="H178" s="12" t="s">
        <v>318</v>
      </c>
      <c r="I178" s="12" t="s">
        <v>318</v>
      </c>
      <c r="J178" s="31">
        <v>0</v>
      </c>
      <c r="K178" s="12">
        <v>55213</v>
      </c>
      <c r="L178" s="89" t="s">
        <v>318</v>
      </c>
      <c r="M178" s="80" t="s">
        <v>282</v>
      </c>
      <c r="N178" s="16" t="str" cm="1">
        <f t="array" ref="N178">_xll.aqBondObjectCreateFromGenerator($C178,$N$4,_xll.aqToolLVBFromKeysValues($C$7:$M$7,$C178:$M178))</f>
        <v>IT0005247942:5</v>
      </c>
      <c r="O178" s="78">
        <v>4.2321000943192244E-2</v>
      </c>
      <c r="P178" s="51">
        <v>26.135999999999999</v>
      </c>
      <c r="Q178" s="17">
        <v>31.7089</v>
      </c>
      <c r="R178" s="95">
        <v>828.74390000000005</v>
      </c>
      <c r="S178" s="39" cm="1">
        <f t="array" ref="S178">_xll.aqBondObjectYield(N178,$C$4,T178)</f>
        <v>4.2321000943192688E-2</v>
      </c>
      <c r="T178" s="49" cm="1">
        <f t="array" ref="T178">_xll.aqBondObjectPrice($N178,$C$4,$O178)</f>
        <v>26.135999776698359</v>
      </c>
      <c r="U178" s="49" cm="1">
        <f t="array" ref="U178">_xll.aqBondObjectCleanPrice($N178,$C$4,$O178)</f>
        <v>26.135999776698359</v>
      </c>
      <c r="V178" s="49" cm="1">
        <f t="array" ref="V178">_xll.aqBondObjectDirtyPrice($N178,$C$4,$O178)</f>
        <v>26.135999776698359</v>
      </c>
      <c r="W178" s="18" cm="1">
        <f t="array" ref="W178">_xll.aqBondObjectModifiedDuration($N178,$C$4,$O178)</f>
        <v>31.708904621543446</v>
      </c>
      <c r="X178" s="93" cm="1">
        <f t="array" ref="X178">_xll.aqBondObjectDV01($N178,$C$4,$O178)</f>
        <v>828.74392410800908</v>
      </c>
    </row>
    <row r="179" spans="2:24">
      <c r="B179" s="11" t="s">
        <v>537</v>
      </c>
      <c r="C179" s="11" t="s">
        <v>538</v>
      </c>
      <c r="D179" s="11" t="s">
        <v>538</v>
      </c>
      <c r="E179" s="12">
        <v>42654</v>
      </c>
      <c r="F179" s="12" t="s">
        <v>318</v>
      </c>
      <c r="G179" s="15" t="str">
        <f t="shared" si="2"/>
        <v/>
      </c>
      <c r="H179" s="12" t="s">
        <v>318</v>
      </c>
      <c r="I179" s="12" t="s">
        <v>318</v>
      </c>
      <c r="J179" s="31">
        <v>0</v>
      </c>
      <c r="K179" s="12">
        <v>55397</v>
      </c>
      <c r="L179" s="89" t="s">
        <v>318</v>
      </c>
      <c r="M179" s="80" t="s">
        <v>282</v>
      </c>
      <c r="N179" s="16" t="str" cm="1">
        <f t="array" ref="N179">_xll.aqBondObjectCreateFromGenerator($C179,$N$4,_xll.aqToolLVBFromKeysValues($C$7:$M$7,$C179:$M179))</f>
        <v>IT0005247959:5</v>
      </c>
      <c r="O179" s="78">
        <v>4.2202210811006502E-2</v>
      </c>
      <c r="P179" s="51">
        <v>25.696000000000002</v>
      </c>
      <c r="Q179" s="17">
        <v>32.200499999999998</v>
      </c>
      <c r="R179" s="95">
        <v>827.42359999999996</v>
      </c>
      <c r="S179" s="39" cm="1">
        <f t="array" ref="S179">_xll.aqBondObjectYield(N179,$C$4,T179)</f>
        <v>4.2202210811006946E-2</v>
      </c>
      <c r="T179" s="49" cm="1">
        <f t="array" ref="T179">_xll.aqBondObjectPrice($N179,$C$4,$O179)</f>
        <v>25.695999725791946</v>
      </c>
      <c r="U179" s="49" cm="1">
        <f t="array" ref="U179">_xll.aqBondObjectCleanPrice($N179,$C$4,$O179)</f>
        <v>25.695999725791946</v>
      </c>
      <c r="V179" s="49" cm="1">
        <f t="array" ref="V179">_xll.aqBondObjectDirtyPrice($N179,$C$4,$O179)</f>
        <v>25.695999725791946</v>
      </c>
      <c r="W179" s="18" cm="1">
        <f t="array" ref="W179">_xll.aqBondObjectModifiedDuration($N179,$C$4,$O179)</f>
        <v>32.200483722720215</v>
      </c>
      <c r="X179" s="93" cm="1">
        <f t="array" ref="X179">_xll.aqBondObjectDV01($N179,$C$4,$O179)</f>
        <v>827.42362090938673</v>
      </c>
    </row>
    <row r="180" spans="2:24">
      <c r="B180" s="11" t="s">
        <v>595</v>
      </c>
      <c r="C180" s="11" t="s">
        <v>596</v>
      </c>
      <c r="D180" s="11" t="s">
        <v>596</v>
      </c>
      <c r="E180" s="12">
        <v>42654</v>
      </c>
      <c r="F180" s="12" t="s">
        <v>318</v>
      </c>
      <c r="G180" s="15" t="str">
        <f t="shared" si="2"/>
        <v/>
      </c>
      <c r="H180" s="12" t="s">
        <v>318</v>
      </c>
      <c r="I180" s="12" t="s">
        <v>318</v>
      </c>
      <c r="J180" s="31">
        <v>0</v>
      </c>
      <c r="K180" s="12">
        <v>55579</v>
      </c>
      <c r="L180" s="89" t="s">
        <v>318</v>
      </c>
      <c r="M180" s="80" t="s">
        <v>282</v>
      </c>
      <c r="N180" s="16" t="str" cm="1">
        <f t="array" ref="N180">_xll.aqBondObjectCreateFromGenerator($C180,$N$4,_xll.aqToolLVBFromKeysValues($C$7:$M$7,$C180:$M180))</f>
        <v>IT0005247967:5</v>
      </c>
      <c r="O180" s="78">
        <v>4.2080081460942553E-2</v>
      </c>
      <c r="P180" s="51">
        <v>25.268999999999998</v>
      </c>
      <c r="Q180" s="17">
        <v>32.6922</v>
      </c>
      <c r="R180" s="95">
        <v>826.09849999999994</v>
      </c>
      <c r="S180" s="39" cm="1">
        <f t="array" ref="S180">_xll.aqBondObjectYield(N180,$C$4,T180)</f>
        <v>4.2080081460942997E-2</v>
      </c>
      <c r="T180" s="49" cm="1">
        <f t="array" ref="T180">_xll.aqBondObjectPrice($N180,$C$4,$O180)</f>
        <v>25.26899966417151</v>
      </c>
      <c r="U180" s="49" cm="1">
        <f t="array" ref="U180">_xll.aqBondObjectCleanPrice($N180,$C$4,$O180)</f>
        <v>25.26899966417151</v>
      </c>
      <c r="V180" s="49" cm="1">
        <f t="array" ref="V180">_xll.aqBondObjectDirtyPrice($N180,$C$4,$O180)</f>
        <v>25.26899966417151</v>
      </c>
      <c r="W180" s="18" cm="1">
        <f t="array" ref="W180">_xll.aqBondObjectModifiedDuration($N180,$C$4,$O180)</f>
        <v>32.692171340731072</v>
      </c>
      <c r="X180" s="93" cm="1">
        <f t="array" ref="X180">_xll.aqBondObjectDV01($N180,$C$4,$O180)</f>
        <v>826.09846662997086</v>
      </c>
    </row>
    <row r="181" spans="2:24">
      <c r="B181" s="11" t="s">
        <v>585</v>
      </c>
      <c r="C181" s="11" t="s">
        <v>586</v>
      </c>
      <c r="D181" s="11" t="s">
        <v>586</v>
      </c>
      <c r="E181" s="12">
        <v>42654</v>
      </c>
      <c r="F181" s="12" t="s">
        <v>318</v>
      </c>
      <c r="G181" s="15" t="str">
        <f t="shared" si="2"/>
        <v/>
      </c>
      <c r="H181" s="12" t="s">
        <v>318</v>
      </c>
      <c r="I181" s="12" t="s">
        <v>318</v>
      </c>
      <c r="J181" s="31">
        <v>0</v>
      </c>
      <c r="K181" s="12">
        <v>55763</v>
      </c>
      <c r="L181" s="89" t="s">
        <v>318</v>
      </c>
      <c r="M181" s="80" t="s">
        <v>282</v>
      </c>
      <c r="N181" s="16" t="str" cm="1">
        <f t="array" ref="N181">_xll.aqBondObjectCreateFromGenerator($C181,$N$4,_xll.aqToolLVBFromKeysValues($C$7:$M$7,$C181:$M181))</f>
        <v>IT0005247975:5</v>
      </c>
      <c r="O181" s="78">
        <v>4.1961910732656538E-2</v>
      </c>
      <c r="P181" s="51">
        <v>24.846</v>
      </c>
      <c r="Q181" s="17">
        <v>33.183900000000001</v>
      </c>
      <c r="R181" s="95">
        <v>824.48749999999995</v>
      </c>
      <c r="S181" s="39" cm="1">
        <f t="array" ref="S181">_xll.aqBondObjectYield(N181,$C$4,T181)</f>
        <v>4.1961910732657426E-2</v>
      </c>
      <c r="T181" s="49" cm="1">
        <f t="array" ref="T181">_xll.aqBondObjectPrice($N181,$C$4,$O181)</f>
        <v>24.846045589629313</v>
      </c>
      <c r="U181" s="49" cm="1">
        <f t="array" ref="U181">_xll.aqBondObjectCleanPrice($N181,$C$4,$O181)</f>
        <v>24.846045589629313</v>
      </c>
      <c r="V181" s="49" cm="1">
        <f t="array" ref="V181">_xll.aqBondObjectDirtyPrice($N181,$C$4,$O181)</f>
        <v>24.846045589629313</v>
      </c>
      <c r="W181" s="18" cm="1">
        <f t="array" ref="W181">_xll.aqBondObjectModifiedDuration($N181,$C$4,$O181)</f>
        <v>33.183853662795052</v>
      </c>
      <c r="X181" s="93" cm="1">
        <f t="array" ref="X181">_xll.aqBondObjectDV01($N181,$C$4,$O181)</f>
        <v>824.48754094539345</v>
      </c>
    </row>
    <row r="182" spans="2:24">
      <c r="B182" s="11" t="s">
        <v>607</v>
      </c>
      <c r="C182" s="11" t="s">
        <v>608</v>
      </c>
      <c r="D182" s="11" t="s">
        <v>608</v>
      </c>
      <c r="E182" s="12">
        <v>42654</v>
      </c>
      <c r="F182" s="12" t="s">
        <v>318</v>
      </c>
      <c r="G182" s="15" t="str">
        <f t="shared" si="2"/>
        <v/>
      </c>
      <c r="H182" s="12" t="s">
        <v>318</v>
      </c>
      <c r="I182" s="12" t="s">
        <v>318</v>
      </c>
      <c r="J182" s="31">
        <v>0</v>
      </c>
      <c r="K182" s="12">
        <v>55944</v>
      </c>
      <c r="L182" s="89" t="s">
        <v>318</v>
      </c>
      <c r="M182" s="80" t="s">
        <v>282</v>
      </c>
      <c r="N182" s="16" t="str" cm="1">
        <f t="array" ref="N182">_xll.aqBondObjectCreateFromGenerator($C182,$N$4,_xll.aqToolLVBFromKeysValues($C$7:$M$7,$C182:$M182))</f>
        <v>IT0005247983:5</v>
      </c>
      <c r="O182" s="78">
        <v>4.1839979500183144E-2</v>
      </c>
      <c r="P182" s="51">
        <v>24.436</v>
      </c>
      <c r="Q182" s="17">
        <v>33.675699999999999</v>
      </c>
      <c r="R182" s="95">
        <v>822.89670000000001</v>
      </c>
      <c r="S182" s="39" cm="1">
        <f t="array" ref="S182">_xll.aqBondObjectYield(N182,$C$4,T182)</f>
        <v>4.1839979500184477E-2</v>
      </c>
      <c r="T182" s="49" cm="1">
        <f t="array" ref="T182">_xll.aqBondObjectPrice($N182,$C$4,$O182)</f>
        <v>24.435954390358955</v>
      </c>
      <c r="U182" s="49" cm="1">
        <f t="array" ref="U182">_xll.aqBondObjectCleanPrice($N182,$C$4,$O182)</f>
        <v>24.435954390358955</v>
      </c>
      <c r="V182" s="49" cm="1">
        <f t="array" ref="V182">_xll.aqBondObjectDirtyPrice($N182,$C$4,$O182)</f>
        <v>24.435954390358955</v>
      </c>
      <c r="W182" s="18" cm="1">
        <f t="array" ref="W182">_xll.aqBondObjectModifiedDuration($N182,$C$4,$O182)</f>
        <v>33.675652632978071</v>
      </c>
      <c r="X182" s="93" cm="1">
        <f t="array" ref="X182">_xll.aqBondObjectDV01($N182,$C$4,$O182)</f>
        <v>822.89671180502364</v>
      </c>
    </row>
    <row r="183" spans="2:24">
      <c r="B183" s="11" t="s">
        <v>609</v>
      </c>
      <c r="C183" s="11" t="s">
        <v>610</v>
      </c>
      <c r="D183" s="11" t="s">
        <v>610</v>
      </c>
      <c r="E183" s="12">
        <v>42654</v>
      </c>
      <c r="F183" s="12" t="s">
        <v>318</v>
      </c>
      <c r="G183" s="15" t="str">
        <f t="shared" si="2"/>
        <v/>
      </c>
      <c r="H183" s="12" t="s">
        <v>318</v>
      </c>
      <c r="I183" s="12" t="s">
        <v>318</v>
      </c>
      <c r="J183" s="31">
        <v>0</v>
      </c>
      <c r="K183" s="12">
        <v>56128</v>
      </c>
      <c r="L183" s="89" t="s">
        <v>318</v>
      </c>
      <c r="M183" s="80" t="s">
        <v>282</v>
      </c>
      <c r="N183" s="16" t="str" cm="1">
        <f t="array" ref="N183">_xll.aqBondObjectCreateFromGenerator($C183,$N$4,_xll.aqToolLVBFromKeysValues($C$7:$M$7,$C183:$M183))</f>
        <v>IT0005247991:5</v>
      </c>
      <c r="O183" s="78">
        <v>4.1726212473243818E-2</v>
      </c>
      <c r="P183" s="51">
        <v>24.036999999999999</v>
      </c>
      <c r="Q183" s="17">
        <v>34.167400000000001</v>
      </c>
      <c r="R183" s="95">
        <v>821.27970000000005</v>
      </c>
      <c r="S183" s="39" cm="1">
        <f t="array" ref="S183">_xll.aqBondObjectYield(N183,$C$4,T183)</f>
        <v>4.1726212473245372E-2</v>
      </c>
      <c r="T183" s="49" cm="1">
        <f t="array" ref="T183">_xll.aqBondObjectPrice($N183,$C$4,$O183)</f>
        <v>24.036955142327539</v>
      </c>
      <c r="U183" s="49" cm="1">
        <f t="array" ref="U183">_xll.aqBondObjectCleanPrice($N183,$C$4,$O183)</f>
        <v>24.036955142327539</v>
      </c>
      <c r="V183" s="49" cm="1">
        <f t="array" ref="V183">_xll.aqBondObjectDirtyPrice($N183,$C$4,$O183)</f>
        <v>24.036955142327539</v>
      </c>
      <c r="W183" s="18" cm="1">
        <f t="array" ref="W183">_xll.aqBondObjectModifiedDuration($N183,$C$4,$O183)</f>
        <v>34.167375390421284</v>
      </c>
      <c r="X183" s="93" cm="1">
        <f t="array" ref="X183">_xll.aqBondObjectDV01($N183,$C$4,$O183)</f>
        <v>821.27966959062223</v>
      </c>
    </row>
    <row r="184" spans="2:24">
      <c r="B184" s="11" t="s">
        <v>539</v>
      </c>
      <c r="C184" s="11" t="s">
        <v>540</v>
      </c>
      <c r="D184" s="11" t="s">
        <v>540</v>
      </c>
      <c r="E184" s="12">
        <v>42654</v>
      </c>
      <c r="F184" s="12" t="s">
        <v>318</v>
      </c>
      <c r="G184" s="15" t="str">
        <f t="shared" si="2"/>
        <v/>
      </c>
      <c r="H184" s="12" t="s">
        <v>318</v>
      </c>
      <c r="I184" s="12" t="s">
        <v>318</v>
      </c>
      <c r="J184" s="31">
        <v>0</v>
      </c>
      <c r="K184" s="12">
        <v>56309</v>
      </c>
      <c r="L184" s="89" t="s">
        <v>318</v>
      </c>
      <c r="M184" s="80" t="s">
        <v>282</v>
      </c>
      <c r="N184" s="16" t="str" cm="1">
        <f t="array" ref="N184">_xll.aqBondObjectCreateFromGenerator($C184,$N$4,_xll.aqToolLVBFromKeysValues($C$7:$M$7,$C184:$M184))</f>
        <v>IT0005248007:5</v>
      </c>
      <c r="O184" s="78">
        <v>4.1604003020951907E-2</v>
      </c>
      <c r="P184" s="51">
        <v>23.645900000000001</v>
      </c>
      <c r="Q184" s="17">
        <v>34.659300000000002</v>
      </c>
      <c r="R184" s="95">
        <v>819.55060000000003</v>
      </c>
      <c r="S184" s="39" cm="1">
        <f t="array" ref="S184">_xll.aqBondObjectYield(N184,$C$4,T184)</f>
        <v>4.160400302095324E-2</v>
      </c>
      <c r="T184" s="49" cm="1">
        <f t="array" ref="T184">_xll.aqBondObjectPrice($N184,$C$4,$O184)</f>
        <v>23.645912450277503</v>
      </c>
      <c r="U184" s="49" cm="1">
        <f t="array" ref="U184">_xll.aqBondObjectCleanPrice($N184,$C$4,$O184)</f>
        <v>23.645912450277503</v>
      </c>
      <c r="V184" s="49" cm="1">
        <f t="array" ref="V184">_xll.aqBondObjectDirtyPrice($N184,$C$4,$O184)</f>
        <v>23.645912450277503</v>
      </c>
      <c r="W184" s="18" cm="1">
        <f t="array" ref="W184">_xll.aqBondObjectModifiedDuration($N184,$C$4,$O184)</f>
        <v>34.659292413443517</v>
      </c>
      <c r="X184" s="93" cm="1">
        <f t="array" ref="X184">_xll.aqBondObjectDV01($N184,$C$4,$O184)</f>
        <v>819.55059399685274</v>
      </c>
    </row>
    <row r="185" spans="2:24">
      <c r="B185" s="11" t="s">
        <v>497</v>
      </c>
      <c r="C185" s="11" t="s">
        <v>498</v>
      </c>
      <c r="D185" s="11" t="s">
        <v>498</v>
      </c>
      <c r="E185" s="12">
        <v>42654</v>
      </c>
      <c r="F185" s="12" t="s">
        <v>318</v>
      </c>
      <c r="G185" s="15" t="str">
        <f t="shared" si="2"/>
        <v/>
      </c>
      <c r="H185" s="12" t="s">
        <v>318</v>
      </c>
      <c r="I185" s="12" t="s">
        <v>318</v>
      </c>
      <c r="J185" s="31">
        <v>0</v>
      </c>
      <c r="K185" s="12">
        <v>56493</v>
      </c>
      <c r="L185" s="89" t="s">
        <v>318</v>
      </c>
      <c r="M185" s="80" t="s">
        <v>282</v>
      </c>
      <c r="N185" s="16" t="str" cm="1">
        <f t="array" ref="N185">_xll.aqBondObjectCreateFromGenerator($C185,$N$4,_xll.aqToolLVBFromKeysValues($C$7:$M$7,$C185:$M185))</f>
        <v>IT0005248015:5</v>
      </c>
      <c r="O185" s="78">
        <v>4.143100188585791E-2</v>
      </c>
      <c r="P185" s="51">
        <v>23.309899999999999</v>
      </c>
      <c r="Q185" s="17">
        <v>35.152099999999997</v>
      </c>
      <c r="R185" s="95">
        <v>819.39300000000003</v>
      </c>
      <c r="S185" s="39" cm="1">
        <f t="array" ref="S185">_xll.aqBondObjectYield(N185,$C$4,T185)</f>
        <v>4.143100188586013E-2</v>
      </c>
      <c r="T185" s="49" cm="1">
        <f t="array" ref="T185">_xll.aqBondObjectPrice($N185,$C$4,$O185)</f>
        <v>23.309914759377083</v>
      </c>
      <c r="U185" s="49" cm="1">
        <f t="array" ref="U185">_xll.aqBondObjectCleanPrice($N185,$C$4,$O185)</f>
        <v>23.309914759377083</v>
      </c>
      <c r="V185" s="49" cm="1">
        <f t="array" ref="V185">_xll.aqBondObjectDirtyPrice($N185,$C$4,$O185)</f>
        <v>23.309914759377083</v>
      </c>
      <c r="W185" s="18" cm="1">
        <f t="array" ref="W185">_xll.aqBondObjectModifiedDuration($N185,$C$4,$O185)</f>
        <v>35.152124446488145</v>
      </c>
      <c r="X185" s="93" cm="1">
        <f t="array" ref="X185">_xll.aqBondObjectDV01($N185,$C$4,$O185)</f>
        <v>819.39302445865405</v>
      </c>
    </row>
    <row r="186" spans="2:24">
      <c r="B186" s="11" t="s">
        <v>587</v>
      </c>
      <c r="C186" s="11" t="s">
        <v>588</v>
      </c>
      <c r="D186" s="11" t="s">
        <v>588</v>
      </c>
      <c r="E186" s="12">
        <v>42654</v>
      </c>
      <c r="F186" s="12" t="s">
        <v>318</v>
      </c>
      <c r="G186" s="15" t="str">
        <f t="shared" si="2"/>
        <v/>
      </c>
      <c r="H186" s="12" t="s">
        <v>318</v>
      </c>
      <c r="I186" s="12" t="s">
        <v>318</v>
      </c>
      <c r="J186" s="31">
        <v>0</v>
      </c>
      <c r="K186" s="12">
        <v>56674</v>
      </c>
      <c r="L186" s="89" t="s">
        <v>318</v>
      </c>
      <c r="M186" s="80" t="s">
        <v>282</v>
      </c>
      <c r="N186" s="16" t="str" cm="1">
        <f t="array" ref="N186">_xll.aqBondObjectCreateFromGenerator($C186,$N$4,_xll.aqToolLVBFromKeysValues($C$7:$M$7,$C186:$M186))</f>
        <v>IT0005248023:5</v>
      </c>
      <c r="O186" s="78">
        <v>4.1302970819105278E-2</v>
      </c>
      <c r="P186" s="51">
        <v>22.943899999999999</v>
      </c>
      <c r="Q186" s="17">
        <v>35.644300000000001</v>
      </c>
      <c r="R186" s="95">
        <v>817.81910000000005</v>
      </c>
      <c r="S186" s="39" cm="1">
        <f t="array" ref="S186">_xll.aqBondObjectYield(N186,$C$4,T186)</f>
        <v>4.1302970819107498E-2</v>
      </c>
      <c r="T186" s="49" cm="1">
        <f t="array" ref="T186">_xll.aqBondObjectPrice($N186,$C$4,$O186)</f>
        <v>22.943916351881359</v>
      </c>
      <c r="U186" s="49" cm="1">
        <f t="array" ref="U186">_xll.aqBondObjectCleanPrice($N186,$C$4,$O186)</f>
        <v>22.943916351881359</v>
      </c>
      <c r="V186" s="49" cm="1">
        <f t="array" ref="V186">_xll.aqBondObjectDirtyPrice($N186,$C$4,$O186)</f>
        <v>22.943916351881359</v>
      </c>
      <c r="W186" s="18" cm="1">
        <f t="array" ref="W186">_xll.aqBondObjectModifiedDuration($N186,$C$4,$O186)</f>
        <v>35.644268899706042</v>
      </c>
      <c r="X186" s="93" cm="1">
        <f t="array" ref="X186">_xll.aqBondObjectDV01($N186,$C$4,$O186)</f>
        <v>817.81912405882167</v>
      </c>
    </row>
    <row r="187" spans="2:24">
      <c r="B187" s="11" t="s">
        <v>523</v>
      </c>
      <c r="C187" s="11" t="s">
        <v>524</v>
      </c>
      <c r="D187" s="11" t="s">
        <v>524</v>
      </c>
      <c r="E187" s="12">
        <v>42654</v>
      </c>
      <c r="F187" s="12" t="s">
        <v>318</v>
      </c>
      <c r="G187" s="15" t="str">
        <f t="shared" si="2"/>
        <v/>
      </c>
      <c r="H187" s="12" t="s">
        <v>318</v>
      </c>
      <c r="I187" s="12" t="s">
        <v>318</v>
      </c>
      <c r="J187" s="31">
        <v>0</v>
      </c>
      <c r="K187" s="12">
        <v>56858</v>
      </c>
      <c r="L187" s="89" t="s">
        <v>318</v>
      </c>
      <c r="M187" s="80" t="s">
        <v>282</v>
      </c>
      <c r="N187" s="16" t="str" cm="1">
        <f t="array" ref="N187">_xll.aqBondObjectCreateFromGenerator($C187,$N$4,_xll.aqToolLVBFromKeysValues($C$7:$M$7,$C187:$M187))</f>
        <v>IT0005248031:5</v>
      </c>
      <c r="O187" s="78">
        <v>4.1184362643989614E-2</v>
      </c>
      <c r="P187" s="51">
        <v>22.578900000000001</v>
      </c>
      <c r="Q187" s="17">
        <v>36.136299999999999</v>
      </c>
      <c r="R187" s="95">
        <v>815.91880000000003</v>
      </c>
      <c r="S187" s="39" cm="1">
        <f t="array" ref="S187">_xll.aqBondObjectYield(N187,$C$4,T187)</f>
        <v>4.1184362643992722E-2</v>
      </c>
      <c r="T187" s="49" cm="1">
        <f t="array" ref="T187">_xll.aqBondObjectPrice($N187,$C$4,$O187)</f>
        <v>22.57891791426977</v>
      </c>
      <c r="U187" s="49" cm="1">
        <f t="array" ref="U187">_xll.aqBondObjectCleanPrice($N187,$C$4,$O187)</f>
        <v>22.57891791426977</v>
      </c>
      <c r="V187" s="49" cm="1">
        <f t="array" ref="V187">_xll.aqBondObjectDirtyPrice($N187,$C$4,$O187)</f>
        <v>22.57891791426977</v>
      </c>
      <c r="W187" s="18" cm="1">
        <f t="array" ref="W187">_xll.aqBondObjectModifiedDuration($N187,$C$4,$O187)</f>
        <v>36.136310480960248</v>
      </c>
      <c r="X187" s="93" cm="1">
        <f t="array" ref="X187">_xll.aqBondObjectDV01($N187,$C$4,$O187)</f>
        <v>815.91878807416776</v>
      </c>
    </row>
    <row r="188" spans="2:24">
      <c r="B188" s="11" t="s">
        <v>589</v>
      </c>
      <c r="C188" s="11" t="s">
        <v>590</v>
      </c>
      <c r="D188" s="11" t="s">
        <v>590</v>
      </c>
      <c r="E188" s="12">
        <v>42654</v>
      </c>
      <c r="F188" s="12" t="s">
        <v>318</v>
      </c>
      <c r="G188" s="15" t="str">
        <f t="shared" si="2"/>
        <v/>
      </c>
      <c r="H188" s="12" t="s">
        <v>318</v>
      </c>
      <c r="I188" s="12" t="s">
        <v>318</v>
      </c>
      <c r="J188" s="31">
        <v>0</v>
      </c>
      <c r="K188" s="12">
        <v>57040</v>
      </c>
      <c r="L188" s="89" t="s">
        <v>318</v>
      </c>
      <c r="M188" s="80" t="s">
        <v>282</v>
      </c>
      <c r="N188" s="16" t="str" cm="1">
        <f t="array" ref="N188">_xll.aqBondObjectCreateFromGenerator($C188,$N$4,_xll.aqToolLVBFromKeysValues($C$7:$M$7,$C188:$M188))</f>
        <v>IT0005248049:5</v>
      </c>
      <c r="O188" s="78">
        <v>4.1061177642636171E-2</v>
      </c>
      <c r="P188" s="51">
        <v>22.225899999999999</v>
      </c>
      <c r="Q188" s="17">
        <v>36.628500000000003</v>
      </c>
      <c r="R188" s="95">
        <v>814.10180000000003</v>
      </c>
      <c r="S188" s="39" cm="1">
        <f t="array" ref="S188">_xll.aqBondObjectYield(N188,$C$4,T188)</f>
        <v>4.1061177642639723E-2</v>
      </c>
      <c r="T188" s="49" cm="1">
        <f t="array" ref="T188">_xll.aqBondObjectPrice($N188,$C$4,$O188)</f>
        <v>22.225919434495243</v>
      </c>
      <c r="U188" s="49" cm="1">
        <f t="array" ref="U188">_xll.aqBondObjectCleanPrice($N188,$C$4,$O188)</f>
        <v>22.225919434495243</v>
      </c>
      <c r="V188" s="49" cm="1">
        <f t="array" ref="V188">_xll.aqBondObjectDirtyPrice($N188,$C$4,$O188)</f>
        <v>22.225919434495243</v>
      </c>
      <c r="W188" s="18" cm="1">
        <f t="array" ref="W188">_xll.aqBondObjectModifiedDuration($N188,$C$4,$O188)</f>
        <v>36.628488749154798</v>
      </c>
      <c r="X188" s="93" cm="1">
        <f t="array" ref="X188">_xll.aqBondObjectDV01($N188,$C$4,$O188)</f>
        <v>814.10183994602994</v>
      </c>
    </row>
    <row r="189" spans="2:24">
      <c r="B189" s="11" t="s">
        <v>541</v>
      </c>
      <c r="C189" s="11" t="s">
        <v>542</v>
      </c>
      <c r="D189" s="11" t="s">
        <v>542</v>
      </c>
      <c r="E189" s="12">
        <v>42654</v>
      </c>
      <c r="F189" s="12" t="s">
        <v>318</v>
      </c>
      <c r="G189" s="15" t="str">
        <f t="shared" si="2"/>
        <v/>
      </c>
      <c r="H189" s="12" t="s">
        <v>318</v>
      </c>
      <c r="I189" s="12" t="s">
        <v>318</v>
      </c>
      <c r="J189" s="31">
        <v>0</v>
      </c>
      <c r="K189" s="12">
        <v>57224</v>
      </c>
      <c r="L189" s="89" t="s">
        <v>318</v>
      </c>
      <c r="M189" s="80" t="s">
        <v>282</v>
      </c>
      <c r="N189" s="16" t="str" cm="1">
        <f t="array" ref="N189">_xll.aqBondObjectCreateFromGenerator($C189,$N$4,_xll.aqToolLVBFromKeysValues($C$7:$M$7,$C189:$M189))</f>
        <v>IT0005248056:5</v>
      </c>
      <c r="O189" s="78">
        <v>4.0943167306658701E-2</v>
      </c>
      <c r="P189" s="51">
        <v>21.876899999999999</v>
      </c>
      <c r="Q189" s="17">
        <v>37.120600000000003</v>
      </c>
      <c r="R189" s="95">
        <v>812.08519999999999</v>
      </c>
      <c r="S189" s="39" cm="1">
        <f t="array" ref="S189">_xll.aqBondObjectYield(N189,$C$4,T189)</f>
        <v>4.0943167306663364E-2</v>
      </c>
      <c r="T189" s="49" cm="1">
        <f t="array" ref="T189">_xll.aqBondObjectPrice($N189,$C$4,$O189)</f>
        <v>21.876920922973493</v>
      </c>
      <c r="U189" s="49" cm="1">
        <f t="array" ref="U189">_xll.aqBondObjectCleanPrice($N189,$C$4,$O189)</f>
        <v>21.876920922973493</v>
      </c>
      <c r="V189" s="49" cm="1">
        <f t="array" ref="V189">_xll.aqBondObjectDirtyPrice($N189,$C$4,$O189)</f>
        <v>21.876920922973493</v>
      </c>
      <c r="W189" s="18" cm="1">
        <f t="array" ref="W189">_xll.aqBondObjectModifiedDuration($N189,$C$4,$O189)</f>
        <v>37.12063312056771</v>
      </c>
      <c r="X189" s="93" cm="1">
        <f t="array" ref="X189">_xll.aqBondObjectDV01($N189,$C$4,$O189)</f>
        <v>812.08515538937058</v>
      </c>
    </row>
    <row r="190" spans="2:24">
      <c r="B190" s="11" t="s">
        <v>561</v>
      </c>
      <c r="C190" s="11" t="s">
        <v>562</v>
      </c>
      <c r="D190" s="11" t="s">
        <v>562</v>
      </c>
      <c r="E190" s="12">
        <v>42654</v>
      </c>
      <c r="F190" s="12" t="s">
        <v>318</v>
      </c>
      <c r="G190" s="15" t="str">
        <f t="shared" si="2"/>
        <v/>
      </c>
      <c r="H190" s="12" t="s">
        <v>318</v>
      </c>
      <c r="I190" s="12" t="s">
        <v>318</v>
      </c>
      <c r="J190" s="31">
        <v>0</v>
      </c>
      <c r="K190" s="12">
        <v>57405</v>
      </c>
      <c r="L190" s="89" t="s">
        <v>318</v>
      </c>
      <c r="M190" s="80" t="s">
        <v>282</v>
      </c>
      <c r="N190" s="16" t="str" cm="1">
        <f t="array" ref="N190">_xll.aqBondObjectCreateFromGenerator($C190,$N$4,_xll.aqToolLVBFromKeysValues($C$7:$M$7,$C190:$M190))</f>
        <v>IT0005248064:5</v>
      </c>
      <c r="O190" s="78">
        <v>4.0816256452927746E-2</v>
      </c>
      <c r="P190" s="51">
        <v>21.542899999999999</v>
      </c>
      <c r="Q190" s="17">
        <v>37.613</v>
      </c>
      <c r="R190" s="95">
        <v>810.29380000000003</v>
      </c>
      <c r="S190" s="39" cm="1">
        <f t="array" ref="S190">_xll.aqBondObjectYield(N190,$C$4,T190)</f>
        <v>4.0816256452933297E-2</v>
      </c>
      <c r="T190" s="49" cm="1">
        <f t="array" ref="T190">_xll.aqBondObjectPrice($N190,$C$4,$O190)</f>
        <v>21.542922366881854</v>
      </c>
      <c r="U190" s="49" cm="1">
        <f t="array" ref="U190">_xll.aqBondObjectCleanPrice($N190,$C$4,$O190)</f>
        <v>21.542922366881854</v>
      </c>
      <c r="V190" s="49" cm="1">
        <f t="array" ref="V190">_xll.aqBondObjectDirtyPrice($N190,$C$4,$O190)</f>
        <v>21.542922366881854</v>
      </c>
      <c r="W190" s="18" cm="1">
        <f t="array" ref="W190">_xll.aqBondObjectModifiedDuration($N190,$C$4,$O190)</f>
        <v>37.612994230495687</v>
      </c>
      <c r="X190" s="93" cm="1">
        <f t="array" ref="X190">_xll.aqBondObjectDV01($N190,$C$4,$O190)</f>
        <v>810.29381469354371</v>
      </c>
    </row>
    <row r="191" spans="2:24">
      <c r="B191" s="11" t="s">
        <v>543</v>
      </c>
      <c r="C191" s="11" t="s">
        <v>544</v>
      </c>
      <c r="D191" s="11" t="s">
        <v>544</v>
      </c>
      <c r="E191" s="12">
        <v>42654</v>
      </c>
      <c r="F191" s="12" t="s">
        <v>318</v>
      </c>
      <c r="G191" s="15" t="str">
        <f t="shared" si="2"/>
        <v/>
      </c>
      <c r="H191" s="12" t="s">
        <v>318</v>
      </c>
      <c r="I191" s="12" t="s">
        <v>318</v>
      </c>
      <c r="J191" s="31">
        <v>0</v>
      </c>
      <c r="K191" s="12">
        <v>57589</v>
      </c>
      <c r="L191" s="89" t="s">
        <v>318</v>
      </c>
      <c r="M191" s="80" t="s">
        <v>282</v>
      </c>
      <c r="N191" s="16" t="str" cm="1">
        <f t="array" ref="N191">_xll.aqBondObjectCreateFromGenerator($C191,$N$4,_xll.aqToolLVBFromKeysValues($C$7:$M$7,$C191:$M191))</f>
        <v>IT0005248072:5</v>
      </c>
      <c r="O191" s="78">
        <v>4.0698210335630813E-2</v>
      </c>
      <c r="P191" s="51">
        <v>21.204999999999998</v>
      </c>
      <c r="Q191" s="17">
        <v>38.1053</v>
      </c>
      <c r="R191" s="95">
        <v>808.02189999999996</v>
      </c>
      <c r="S191" s="39" cm="1">
        <f t="array" ref="S191">_xll.aqBondObjectYield(N191,$C$4,T191)</f>
        <v>4.0698210335637697E-2</v>
      </c>
      <c r="T191" s="49" cm="1">
        <f t="array" ref="T191">_xll.aqBondObjectPrice($N191,$C$4,$O191)</f>
        <v>21.205000000094955</v>
      </c>
      <c r="U191" s="49" cm="1">
        <f t="array" ref="U191">_xll.aqBondObjectCleanPrice($N191,$C$4,$O191)</f>
        <v>21.205000000094955</v>
      </c>
      <c r="V191" s="49" cm="1">
        <f t="array" ref="V191">_xll.aqBondObjectDirtyPrice($N191,$C$4,$O191)</f>
        <v>21.205000000094955</v>
      </c>
      <c r="W191" s="18" cm="1">
        <f t="array" ref="W191">_xll.aqBondObjectModifiedDuration($N191,$C$4,$O191)</f>
        <v>38.105253226867063</v>
      </c>
      <c r="X191" s="93" cm="1">
        <f t="array" ref="X191">_xll.aqBondObjectDV01($N191,$C$4,$O191)</f>
        <v>808.02189467933431</v>
      </c>
    </row>
    <row r="192" spans="2:24">
      <c r="B192" s="11" t="s">
        <v>591</v>
      </c>
      <c r="C192" s="11" t="s">
        <v>592</v>
      </c>
      <c r="D192" s="11" t="s">
        <v>592</v>
      </c>
      <c r="E192" s="12">
        <v>42654</v>
      </c>
      <c r="F192" s="12" t="s">
        <v>318</v>
      </c>
      <c r="G192" s="15" t="str">
        <f t="shared" si="2"/>
        <v/>
      </c>
      <c r="H192" s="12" t="s">
        <v>318</v>
      </c>
      <c r="I192" s="12" t="s">
        <v>318</v>
      </c>
      <c r="J192" s="31">
        <v>0</v>
      </c>
      <c r="K192" s="12">
        <v>57770</v>
      </c>
      <c r="L192" s="89" t="s">
        <v>318</v>
      </c>
      <c r="M192" s="80" t="s">
        <v>282</v>
      </c>
      <c r="N192" s="16" t="str" cm="1">
        <f t="array" ref="N192">_xll.aqBondObjectCreateFromGenerator($C192,$N$4,_xll.aqToolLVBFromKeysValues($C$7:$M$7,$C192:$M192))</f>
        <v>IT0005248080:5</v>
      </c>
      <c r="O192" s="78">
        <v>4.0580018232027282E-2</v>
      </c>
      <c r="P192" s="51">
        <v>20.884</v>
      </c>
      <c r="Q192" s="17">
        <v>38.5976</v>
      </c>
      <c r="R192" s="95">
        <v>806.07169999999996</v>
      </c>
      <c r="S192" s="39" cm="1">
        <f t="array" ref="S192">_xll.aqBondObjectYield(N192,$C$4,T192)</f>
        <v>4.0580018232035053E-2</v>
      </c>
      <c r="T192" s="49" cm="1">
        <f t="array" ref="T192">_xll.aqBondObjectPrice($N192,$C$4,$O192)</f>
        <v>20.884000000123855</v>
      </c>
      <c r="U192" s="49" cm="1">
        <f t="array" ref="U192">_xll.aqBondObjectCleanPrice($N192,$C$4,$O192)</f>
        <v>20.884000000123855</v>
      </c>
      <c r="V192" s="49" cm="1">
        <f t="array" ref="V192">_xll.aqBondObjectDirtyPrice($N192,$C$4,$O192)</f>
        <v>20.884000000123855</v>
      </c>
      <c r="W192" s="18" cm="1">
        <f t="array" ref="W192">_xll.aqBondObjectModifiedDuration($N192,$C$4,$O192)</f>
        <v>38.59757089327433</v>
      </c>
      <c r="X192" s="93" cm="1">
        <f t="array" ref="X192">_xll.aqBondObjectDV01($N192,$C$4,$O192)</f>
        <v>806.07167053992168</v>
      </c>
    </row>
    <row r="193" spans="2:24">
      <c r="B193" s="11" t="s">
        <v>485</v>
      </c>
      <c r="C193" s="11" t="s">
        <v>486</v>
      </c>
      <c r="D193" s="11" t="s">
        <v>486</v>
      </c>
      <c r="E193" s="12">
        <v>42654</v>
      </c>
      <c r="F193" s="12" t="s">
        <v>318</v>
      </c>
      <c r="G193" s="15" t="str">
        <f t="shared" si="2"/>
        <v/>
      </c>
      <c r="H193" s="12" t="s">
        <v>318</v>
      </c>
      <c r="I193" s="12" t="s">
        <v>318</v>
      </c>
      <c r="J193" s="31">
        <v>0</v>
      </c>
      <c r="K193" s="12">
        <v>57954</v>
      </c>
      <c r="L193" s="89" t="s">
        <v>318</v>
      </c>
      <c r="M193" s="80" t="s">
        <v>282</v>
      </c>
      <c r="N193" s="16" t="str" cm="1">
        <f t="array" ref="N193">_xll.aqBondObjectCreateFromGenerator($C193,$N$4,_xll.aqToolLVBFromKeysValues($C$7:$M$7,$C193:$M193))</f>
        <v>IT0005248098:5</v>
      </c>
      <c r="O193" s="78">
        <v>4.0471242534203977E-2</v>
      </c>
      <c r="P193" s="51">
        <v>20.556000000000001</v>
      </c>
      <c r="Q193" s="17">
        <v>39.089799999999997</v>
      </c>
      <c r="R193" s="95">
        <v>803.53070000000002</v>
      </c>
      <c r="S193" s="39" cm="1">
        <f t="array" ref="S193">_xll.aqBondObjectYield(N193,$C$4,T193)</f>
        <v>4.0471242534213303E-2</v>
      </c>
      <c r="T193" s="49" cm="1">
        <f t="array" ref="T193">_xll.aqBondObjectPrice($N193,$C$4,$O193)</f>
        <v>20.556036731510076</v>
      </c>
      <c r="U193" s="49" cm="1">
        <f t="array" ref="U193">_xll.aqBondObjectCleanPrice($N193,$C$4,$O193)</f>
        <v>20.556036731510076</v>
      </c>
      <c r="V193" s="49" cm="1">
        <f t="array" ref="V193">_xll.aqBondObjectDirtyPrice($N193,$C$4,$O193)</f>
        <v>20.556036731510076</v>
      </c>
      <c r="W193" s="18" cm="1">
        <f t="array" ref="W193">_xll.aqBondObjectModifiedDuration($N193,$C$4,$O193)</f>
        <v>39.089767721175242</v>
      </c>
      <c r="X193" s="93" cm="1">
        <f t="array" ref="X193">_xll.aqBondObjectDV01($N193,$C$4,$O193)</f>
        <v>803.53070110267527</v>
      </c>
    </row>
    <row r="194" spans="2:24">
      <c r="B194" s="11" t="s">
        <v>551</v>
      </c>
      <c r="C194" s="11" t="s">
        <v>552</v>
      </c>
      <c r="D194" s="11" t="s">
        <v>552</v>
      </c>
      <c r="E194" s="12">
        <v>42654</v>
      </c>
      <c r="F194" s="12" t="s">
        <v>318</v>
      </c>
      <c r="G194" s="15" t="str">
        <f t="shared" si="2"/>
        <v/>
      </c>
      <c r="H194" s="12" t="s">
        <v>318</v>
      </c>
      <c r="I194" s="12" t="s">
        <v>318</v>
      </c>
      <c r="J194" s="31">
        <v>0</v>
      </c>
      <c r="K194" s="12">
        <v>58135</v>
      </c>
      <c r="L194" s="89" t="s">
        <v>318</v>
      </c>
      <c r="M194" s="80" t="s">
        <v>282</v>
      </c>
      <c r="N194" s="16" t="str" cm="1">
        <f t="array" ref="N194">_xll.aqBondObjectCreateFromGenerator($C194,$N$4,_xll.aqToolLVBFromKeysValues($C$7:$M$7,$C194:$M194))</f>
        <v>IT0005248106:5</v>
      </c>
      <c r="O194" s="78">
        <v>4.0626603443205678E-2</v>
      </c>
      <c r="P194" s="51">
        <v>20.029</v>
      </c>
      <c r="Q194" s="17">
        <v>39.576999999999998</v>
      </c>
      <c r="R194" s="95">
        <v>792.68619999999999</v>
      </c>
      <c r="S194" s="39" cm="1">
        <f t="array" ref="S194">_xll.aqBondObjectYield(N194,$C$4,T194)</f>
        <v>4.062660344321789E-2</v>
      </c>
      <c r="T194" s="49" cm="1">
        <f t="array" ref="T194">_xll.aqBondObjectPrice($N194,$C$4,$O194)</f>
        <v>20.028964075909894</v>
      </c>
      <c r="U194" s="49" cm="1">
        <f t="array" ref="U194">_xll.aqBondObjectCleanPrice($N194,$C$4,$O194)</f>
        <v>20.028964075909894</v>
      </c>
      <c r="V194" s="49" cm="1">
        <f t="array" ref="V194">_xll.aqBondObjectDirtyPrice($N194,$C$4,$O194)</f>
        <v>20.028964075909894</v>
      </c>
      <c r="W194" s="18" cm="1">
        <f t="array" ref="W194">_xll.aqBondObjectModifiedDuration($N194,$C$4,$O194)</f>
        <v>39.576992352077774</v>
      </c>
      <c r="X194" s="93" cm="1">
        <f t="array" ref="X194">_xll.aqBondObjectDV01($N194,$C$4,$O194)</f>
        <v>792.68615805232628</v>
      </c>
    </row>
    <row r="195" spans="2:24">
      <c r="B195" s="11" t="s">
        <v>563</v>
      </c>
      <c r="C195" s="11" t="s">
        <v>564</v>
      </c>
      <c r="D195" s="11" t="s">
        <v>564</v>
      </c>
      <c r="E195" s="12">
        <v>42654</v>
      </c>
      <c r="F195" s="12" t="s">
        <v>318</v>
      </c>
      <c r="G195" s="15" t="str">
        <f t="shared" si="2"/>
        <v/>
      </c>
      <c r="H195" s="12" t="s">
        <v>318</v>
      </c>
      <c r="I195" s="12" t="s">
        <v>318</v>
      </c>
      <c r="J195" s="31">
        <v>0</v>
      </c>
      <c r="K195" s="12">
        <v>58319</v>
      </c>
      <c r="L195" s="89" t="s">
        <v>318</v>
      </c>
      <c r="M195" s="80" t="s">
        <v>282</v>
      </c>
      <c r="N195" s="16" t="str" cm="1">
        <f t="array" ref="N195">_xll.aqBondObjectCreateFromGenerator($C195,$N$4,_xll.aqToolLVBFromKeysValues($C$7:$M$7,$C195:$M195))</f>
        <v>IT0005248114:5</v>
      </c>
      <c r="O195" s="78">
        <v>4.0629697330694103E-2</v>
      </c>
      <c r="P195" s="51">
        <v>19.635999999999999</v>
      </c>
      <c r="Q195" s="17">
        <v>40.067100000000003</v>
      </c>
      <c r="R195" s="95">
        <v>786.75570000000005</v>
      </c>
      <c r="S195" s="39" cm="1">
        <f t="array" ref="S195">_xll.aqBondObjectYield(N195,$C$4,T195)</f>
        <v>4.0629697330709869E-2</v>
      </c>
      <c r="T195" s="49" cm="1">
        <f t="array" ref="T195">_xll.aqBondObjectPrice($N195,$C$4,$O195)</f>
        <v>19.635964778216326</v>
      </c>
      <c r="U195" s="49" cm="1">
        <f t="array" ref="U195">_xll.aqBondObjectCleanPrice($N195,$C$4,$O195)</f>
        <v>19.635964778216326</v>
      </c>
      <c r="V195" s="49" cm="1">
        <f t="array" ref="V195">_xll.aqBondObjectDirtyPrice($N195,$C$4,$O195)</f>
        <v>19.635964778216326</v>
      </c>
      <c r="W195" s="18" cm="1">
        <f t="array" ref="W195">_xll.aqBondObjectModifiedDuration($N195,$C$4,$O195)</f>
        <v>40.067075494179413</v>
      </c>
      <c r="X195" s="93" cm="1">
        <f t="array" ref="X195">_xll.aqBondObjectDV01($N195,$C$4,$O195)</f>
        <v>786.75568316984152</v>
      </c>
    </row>
    <row r="196" spans="2:24">
      <c r="B196" s="11" t="s">
        <v>565</v>
      </c>
      <c r="C196" s="11" t="s">
        <v>566</v>
      </c>
      <c r="D196" s="11" t="s">
        <v>566</v>
      </c>
      <c r="E196" s="12">
        <v>42654</v>
      </c>
      <c r="F196" s="12" t="s">
        <v>318</v>
      </c>
      <c r="G196" s="15" t="str">
        <f t="shared" si="2"/>
        <v/>
      </c>
      <c r="H196" s="12" t="s">
        <v>318</v>
      </c>
      <c r="I196" s="12" t="s">
        <v>318</v>
      </c>
      <c r="J196" s="31">
        <v>0</v>
      </c>
      <c r="K196" s="12">
        <v>58501</v>
      </c>
      <c r="L196" s="89" t="s">
        <v>318</v>
      </c>
      <c r="M196" s="80" t="s">
        <v>282</v>
      </c>
      <c r="N196" s="16" t="str" cm="1">
        <f t="array" ref="N196">_xll.aqBondObjectCreateFromGenerator($C196,$N$4,_xll.aqToolLVBFromKeysValues($C$7:$M$7,$C196:$M196))</f>
        <v>IT0005248122:5</v>
      </c>
      <c r="O196" s="78">
        <v>4.0382484715800082E-2</v>
      </c>
      <c r="P196" s="51">
        <v>19.439</v>
      </c>
      <c r="Q196" s="17">
        <v>40.561999999999998</v>
      </c>
      <c r="R196" s="95">
        <v>788.48400000000004</v>
      </c>
      <c r="S196" s="39" cm="1">
        <f t="array" ref="S196">_xll.aqBondObjectYield(N196,$C$4,T196)</f>
        <v>4.038248471581718E-2</v>
      </c>
      <c r="T196" s="49" cm="1">
        <f t="array" ref="T196">_xll.aqBondObjectPrice($N196,$C$4,$O196)</f>
        <v>19.438965339683566</v>
      </c>
      <c r="U196" s="49" cm="1">
        <f t="array" ref="U196">_xll.aqBondObjectCleanPrice($N196,$C$4,$O196)</f>
        <v>19.438965339683566</v>
      </c>
      <c r="V196" s="49" cm="1">
        <f t="array" ref="V196">_xll.aqBondObjectDirtyPrice($N196,$C$4,$O196)</f>
        <v>19.438965339683566</v>
      </c>
      <c r="W196" s="18" cm="1">
        <f t="array" ref="W196">_xll.aqBondObjectModifiedDuration($N196,$C$4,$O196)</f>
        <v>40.56203572627674</v>
      </c>
      <c r="X196" s="93" cm="1">
        <f t="array" ref="X196">_xll.aqBondObjectDV01($N196,$C$4,$O196)</f>
        <v>788.48400659010008</v>
      </c>
    </row>
    <row r="197" spans="2:24">
      <c r="B197" s="11" t="s">
        <v>531</v>
      </c>
      <c r="C197" s="11" t="s">
        <v>532</v>
      </c>
      <c r="D197" s="11" t="s">
        <v>532</v>
      </c>
      <c r="E197" s="12">
        <v>42654</v>
      </c>
      <c r="F197" s="12" t="s">
        <v>318</v>
      </c>
      <c r="G197" s="15" t="str">
        <f t="shared" si="2"/>
        <v/>
      </c>
      <c r="H197" s="12" t="s">
        <v>318</v>
      </c>
      <c r="I197" s="12" t="s">
        <v>318</v>
      </c>
      <c r="J197" s="31">
        <v>0</v>
      </c>
      <c r="K197" s="12">
        <v>58685</v>
      </c>
      <c r="L197" s="89" t="s">
        <v>318</v>
      </c>
      <c r="M197" s="80" t="s">
        <v>282</v>
      </c>
      <c r="N197" s="16" t="str" cm="1">
        <f t="array" ref="N197">_xll.aqBondObjectCreateFromGenerator($C197,$N$4,_xll.aqToolLVBFromKeysValues($C$7:$M$7,$C197:$M197))</f>
        <v>IT0005248130:5</v>
      </c>
      <c r="O197" s="78">
        <v>4.0253763695879963E-2</v>
      </c>
      <c r="P197" s="51">
        <v>19.157</v>
      </c>
      <c r="Q197" s="17">
        <v>41.0548</v>
      </c>
      <c r="R197" s="95">
        <v>786.48490000000004</v>
      </c>
      <c r="S197" s="39" cm="1">
        <f t="array" ref="S197">_xll.aqBondObjectYield(N197,$C$4,T197)</f>
        <v>4.0253763695900391E-2</v>
      </c>
      <c r="T197" s="49" cm="1">
        <f t="array" ref="T197">_xll.aqBondObjectPrice($N197,$C$4,$O197)</f>
        <v>19.156965949356231</v>
      </c>
      <c r="U197" s="49" cm="1">
        <f t="array" ref="U197">_xll.aqBondObjectCleanPrice($N197,$C$4,$O197)</f>
        <v>19.156965949356231</v>
      </c>
      <c r="V197" s="49" cm="1">
        <f t="array" ref="V197">_xll.aqBondObjectDirtyPrice($N197,$C$4,$O197)</f>
        <v>19.156965949356231</v>
      </c>
      <c r="W197" s="18" cm="1">
        <f t="array" ref="W197">_xll.aqBondObjectModifiedDuration($N197,$C$4,$O197)</f>
        <v>41.054775754669976</v>
      </c>
      <c r="X197" s="93" cm="1">
        <f t="array" ref="X197">_xll.aqBondObjectDV01($N197,$C$4,$O197)</f>
        <v>786.48494119066845</v>
      </c>
    </row>
    <row r="198" spans="2:24">
      <c r="B198" s="11" t="s">
        <v>567</v>
      </c>
      <c r="C198" s="11" t="s">
        <v>568</v>
      </c>
      <c r="D198" s="11" t="s">
        <v>568</v>
      </c>
      <c r="E198" s="12">
        <v>42654</v>
      </c>
      <c r="F198" s="12" t="s">
        <v>318</v>
      </c>
      <c r="G198" s="15" t="str">
        <f t="shared" si="2"/>
        <v/>
      </c>
      <c r="H198" s="12" t="s">
        <v>318</v>
      </c>
      <c r="I198" s="12" t="s">
        <v>318</v>
      </c>
      <c r="J198" s="31">
        <v>0</v>
      </c>
      <c r="K198" s="12">
        <v>58866</v>
      </c>
      <c r="L198" s="89" t="s">
        <v>318</v>
      </c>
      <c r="M198" s="80" t="s">
        <v>282</v>
      </c>
      <c r="N198" s="16" t="str" cm="1">
        <f t="array" ref="N198">_xll.aqBondObjectCreateFromGenerator($C198,$N$4,_xll.aqToolLVBFromKeysValues($C$7:$M$7,$C198:$M198))</f>
        <v>IT0005248148:5</v>
      </c>
      <c r="O198" s="78">
        <v>4.0269051435688485E-2</v>
      </c>
      <c r="P198" s="51">
        <v>18.771000000000001</v>
      </c>
      <c r="Q198" s="17">
        <v>41.544699999999999</v>
      </c>
      <c r="R198" s="95">
        <v>779.83420000000001</v>
      </c>
      <c r="S198" s="39" cm="1">
        <f t="array" ref="S198">_xll.aqBondObjectYield(N198,$C$4,T198)</f>
        <v>4.026905143571291E-2</v>
      </c>
      <c r="T198" s="49" cm="1">
        <f t="array" ref="T198">_xll.aqBondObjectPrice($N198,$C$4,$O198)</f>
        <v>18.770966623131059</v>
      </c>
      <c r="U198" s="49" cm="1">
        <f t="array" ref="U198">_xll.aqBondObjectCleanPrice($N198,$C$4,$O198)</f>
        <v>18.770966623131059</v>
      </c>
      <c r="V198" s="49" cm="1">
        <f t="array" ref="V198">_xll.aqBondObjectDirtyPrice($N198,$C$4,$O198)</f>
        <v>18.770966623131059</v>
      </c>
      <c r="W198" s="18" cm="1">
        <f t="array" ref="W198">_xll.aqBondObjectModifiedDuration($N198,$C$4,$O198)</f>
        <v>41.5447010144213</v>
      </c>
      <c r="X198" s="93" cm="1">
        <f t="array" ref="X198">_xll.aqBondObjectDV01($N198,$C$4,$O198)</f>
        <v>779.83419610966121</v>
      </c>
    </row>
    <row r="199" spans="2:24">
      <c r="B199" s="11" t="s">
        <v>569</v>
      </c>
      <c r="C199" s="11" t="s">
        <v>570</v>
      </c>
      <c r="D199" s="11" t="s">
        <v>570</v>
      </c>
      <c r="E199" s="12">
        <v>42654</v>
      </c>
      <c r="F199" s="12" t="s">
        <v>318</v>
      </c>
      <c r="G199" s="15" t="str">
        <f t="shared" si="2"/>
        <v/>
      </c>
      <c r="H199" s="12" t="s">
        <v>318</v>
      </c>
      <c r="I199" s="12" t="s">
        <v>318</v>
      </c>
      <c r="J199" s="31">
        <v>0</v>
      </c>
      <c r="K199" s="12">
        <v>59050</v>
      </c>
      <c r="L199" s="89" t="s">
        <v>318</v>
      </c>
      <c r="M199" s="80" t="s">
        <v>282</v>
      </c>
      <c r="N199" s="16" t="str" cm="1">
        <f t="array" ref="N199">_xll.aqBondObjectCreateFromGenerator($C199,$N$4,_xll.aqToolLVBFromKeysValues($C$7:$M$7,$C199:$M199))</f>
        <v>IT0005248155:5</v>
      </c>
      <c r="O199" s="78">
        <v>4.0006956086209966E-2</v>
      </c>
      <c r="P199" s="51">
        <v>18.603999999999999</v>
      </c>
      <c r="Q199" s="17">
        <v>42.040199999999999</v>
      </c>
      <c r="R199" s="95">
        <v>782.11500000000001</v>
      </c>
      <c r="S199" s="39" cm="1">
        <f t="array" ref="S199">_xll.aqBondObjectYield(N199,$C$4,T199)</f>
        <v>4.0006956086236611E-2</v>
      </c>
      <c r="T199" s="49" cm="1">
        <f t="array" ref="T199">_xll.aqBondObjectPrice($N199,$C$4,$O199)</f>
        <v>18.603967131393201</v>
      </c>
      <c r="U199" s="49" cm="1">
        <f t="array" ref="U199">_xll.aqBondObjectCleanPrice($N199,$C$4,$O199)</f>
        <v>18.603967131393201</v>
      </c>
      <c r="V199" s="49" cm="1">
        <f t="array" ref="V199">_xll.aqBondObjectDirtyPrice($N199,$C$4,$O199)</f>
        <v>18.603967131393201</v>
      </c>
      <c r="W199" s="18" cm="1">
        <f t="array" ref="W199">_xll.aqBondObjectModifiedDuration($N199,$C$4,$O199)</f>
        <v>42.040224286731544</v>
      </c>
      <c r="X199" s="93" cm="1">
        <f t="array" ref="X199">_xll.aqBondObjectDV01($N199,$C$4,$O199)</f>
        <v>782.11495082675185</v>
      </c>
    </row>
    <row r="200" spans="2:24">
      <c r="B200" s="11" t="s">
        <v>545</v>
      </c>
      <c r="C200" s="11" t="s">
        <v>546</v>
      </c>
      <c r="D200" s="11" t="s">
        <v>546</v>
      </c>
      <c r="E200" s="12">
        <v>42654</v>
      </c>
      <c r="F200" s="12" t="s">
        <v>318</v>
      </c>
      <c r="G200" s="15" t="str">
        <f t="shared" ref="G200:G211" si="3">IF(DAY(K200+1)=1, "EOM","")</f>
        <v/>
      </c>
      <c r="H200" s="12" t="s">
        <v>318</v>
      </c>
      <c r="I200" s="12" t="s">
        <v>318</v>
      </c>
      <c r="J200" s="31">
        <v>0</v>
      </c>
      <c r="K200" s="12">
        <v>59231</v>
      </c>
      <c r="L200" s="89" t="s">
        <v>318</v>
      </c>
      <c r="M200" s="80" t="s">
        <v>282</v>
      </c>
      <c r="N200" s="16" t="str" cm="1">
        <f t="array" ref="N200">_xll.aqBondObjectCreateFromGenerator($C200,$N$4,_xll.aqToolLVBFromKeysValues($C$7:$M$7,$C200:$M200))</f>
        <v>IT0005248163:5</v>
      </c>
      <c r="O200" s="78">
        <v>3.9878055068754081E-2</v>
      </c>
      <c r="P200" s="51">
        <v>18.341000000000001</v>
      </c>
      <c r="Q200" s="17">
        <v>42.533099999999997</v>
      </c>
      <c r="R200" s="95">
        <v>780.09910000000002</v>
      </c>
      <c r="S200" s="39" cm="1">
        <f t="array" ref="S200">_xll.aqBondObjectYield(N200,$C$4,T200)</f>
        <v>3.9878055068784279E-2</v>
      </c>
      <c r="T200" s="49" cm="1">
        <f t="array" ref="T200">_xll.aqBondObjectPrice($N200,$C$4,$O200)</f>
        <v>18.340967698639513</v>
      </c>
      <c r="U200" s="49" cm="1">
        <f t="array" ref="U200">_xll.aqBondObjectCleanPrice($N200,$C$4,$O200)</f>
        <v>18.340967698639513</v>
      </c>
      <c r="V200" s="49" cm="1">
        <f t="array" ref="V200">_xll.aqBondObjectDirtyPrice($N200,$C$4,$O200)</f>
        <v>18.340967698639513</v>
      </c>
      <c r="W200" s="18" cm="1">
        <f t="array" ref="W200">_xll.aqBondObjectModifiedDuration($N200,$C$4,$O200)</f>
        <v>42.53314889808842</v>
      </c>
      <c r="X200" s="93" cm="1">
        <f t="array" ref="X200">_xll.aqBondObjectDV01($N200,$C$4,$O200)</f>
        <v>780.09911006126458</v>
      </c>
    </row>
    <row r="201" spans="2:24">
      <c r="B201" s="11" t="s">
        <v>553</v>
      </c>
      <c r="C201" s="11" t="s">
        <v>554</v>
      </c>
      <c r="D201" s="11" t="s">
        <v>554</v>
      </c>
      <c r="E201" s="12">
        <v>42654</v>
      </c>
      <c r="F201" s="12" t="s">
        <v>318</v>
      </c>
      <c r="G201" s="15" t="str">
        <f t="shared" si="3"/>
        <v/>
      </c>
      <c r="H201" s="12" t="s">
        <v>318</v>
      </c>
      <c r="I201" s="12" t="s">
        <v>318</v>
      </c>
      <c r="J201" s="31">
        <v>0</v>
      </c>
      <c r="K201" s="12">
        <v>59415</v>
      </c>
      <c r="L201" s="89" t="s">
        <v>318</v>
      </c>
      <c r="M201" s="80" t="s">
        <v>282</v>
      </c>
      <c r="N201" s="16" t="str" cm="1">
        <f t="array" ref="N201">_xll.aqBondObjectCreateFromGenerator($C201,$N$4,_xll.aqToolLVBFromKeysValues($C$7:$M$7,$C201:$M201))</f>
        <v>IT0005248171:5</v>
      </c>
      <c r="O201" s="78">
        <v>3.9755670167864521E-2</v>
      </c>
      <c r="P201" s="51">
        <v>18.079000000000001</v>
      </c>
      <c r="Q201" s="17">
        <v>43.026000000000003</v>
      </c>
      <c r="R201" s="95">
        <v>777.86569999999995</v>
      </c>
      <c r="S201" s="39" cm="1">
        <f t="array" ref="S201">_xll.aqBondObjectYield(N201,$C$4,T201)</f>
        <v>3.9755670167898938E-2</v>
      </c>
      <c r="T201" s="49" cm="1">
        <f t="array" ref="T201">_xll.aqBondObjectPrice($N201,$C$4,$O201)</f>
        <v>18.078968256150226</v>
      </c>
      <c r="U201" s="49" cm="1">
        <f t="array" ref="U201">_xll.aqBondObjectCleanPrice($N201,$C$4,$O201)</f>
        <v>18.078968256150226</v>
      </c>
      <c r="V201" s="49" cm="1">
        <f t="array" ref="V201">_xll.aqBondObjectDirtyPrice($N201,$C$4,$O201)</f>
        <v>18.078968256150226</v>
      </c>
      <c r="W201" s="18" cm="1">
        <f t="array" ref="W201">_xll.aqBondObjectModifiedDuration($N201,$C$4,$O201)</f>
        <v>43.025999956551772</v>
      </c>
      <c r="X201" s="93" cm="1">
        <f t="array" ref="X201">_xll.aqBondObjectDV01($N201,$C$4,$O201)</f>
        <v>777.86568740362043</v>
      </c>
    </row>
    <row r="202" spans="2:24">
      <c r="B202" s="11" t="s">
        <v>555</v>
      </c>
      <c r="C202" s="11" t="s">
        <v>556</v>
      </c>
      <c r="D202" s="11" t="s">
        <v>556</v>
      </c>
      <c r="E202" s="12">
        <v>42654</v>
      </c>
      <c r="F202" s="12" t="s">
        <v>318</v>
      </c>
      <c r="G202" s="15" t="str">
        <f t="shared" si="3"/>
        <v/>
      </c>
      <c r="H202" s="12" t="s">
        <v>318</v>
      </c>
      <c r="I202" s="12" t="s">
        <v>318</v>
      </c>
      <c r="J202" s="31">
        <v>0</v>
      </c>
      <c r="K202" s="12">
        <v>59596</v>
      </c>
      <c r="L202" s="89" t="s">
        <v>318</v>
      </c>
      <c r="M202" s="80" t="s">
        <v>282</v>
      </c>
      <c r="N202" s="16" t="str" cm="1">
        <f t="array" ref="N202">_xll.aqBondObjectCreateFromGenerator($C202,$N$4,_xll.aqToolLVBFromKeysValues($C$7:$M$7,$C202:$M202))</f>
        <v>IT0005248189:5</v>
      </c>
      <c r="O202" s="78">
        <v>3.9638348523131306E-2</v>
      </c>
      <c r="P202" s="51">
        <v>17.818999999999999</v>
      </c>
      <c r="Q202" s="17">
        <v>43.518799999999999</v>
      </c>
      <c r="R202" s="95">
        <v>775.46019999999999</v>
      </c>
      <c r="S202" s="39" cm="1">
        <f t="array" ref="S202">_xll.aqBondObjectYield(N202,$C$4,T202)</f>
        <v>3.963834852316972E-2</v>
      </c>
      <c r="T202" s="49" cm="1">
        <f t="array" ref="T202">_xll.aqBondObjectPrice($N202,$C$4,$O202)</f>
        <v>17.818968803541566</v>
      </c>
      <c r="U202" s="49" cm="1">
        <f t="array" ref="U202">_xll.aqBondObjectCleanPrice($N202,$C$4,$O202)</f>
        <v>17.818968803541566</v>
      </c>
      <c r="V202" s="49" cm="1">
        <f t="array" ref="V202">_xll.aqBondObjectDirtyPrice($N202,$C$4,$O202)</f>
        <v>17.818968803541566</v>
      </c>
      <c r="W202" s="18" cm="1">
        <f t="array" ref="W202">_xll.aqBondObjectModifiedDuration($N202,$C$4,$O202)</f>
        <v>43.518803205493853</v>
      </c>
      <c r="X202" s="93" cm="1">
        <f t="array" ref="X202">_xll.aqBondObjectDV01($N202,$C$4,$O202)</f>
        <v>775.46019668615963</v>
      </c>
    </row>
    <row r="203" spans="2:24">
      <c r="B203" s="11" t="s">
        <v>571</v>
      </c>
      <c r="C203" s="11" t="s">
        <v>572</v>
      </c>
      <c r="D203" s="11" t="s">
        <v>572</v>
      </c>
      <c r="E203" s="12">
        <v>42654</v>
      </c>
      <c r="F203" s="12" t="s">
        <v>318</v>
      </c>
      <c r="G203" s="15" t="str">
        <f t="shared" si="3"/>
        <v/>
      </c>
      <c r="H203" s="12" t="s">
        <v>318</v>
      </c>
      <c r="I203" s="12" t="s">
        <v>318</v>
      </c>
      <c r="J203" s="31">
        <v>0</v>
      </c>
      <c r="K203" s="12">
        <v>59780</v>
      </c>
      <c r="L203" s="89" t="s">
        <v>318</v>
      </c>
      <c r="M203" s="80" t="s">
        <v>282</v>
      </c>
      <c r="N203" s="16" t="str" cm="1">
        <f t="array" ref="N203">_xll.aqBondObjectCreateFromGenerator($C203,$N$4,_xll.aqToolLVBFromKeysValues($C$7:$M$7,$C203:$M203))</f>
        <v>IT0005248197:5</v>
      </c>
      <c r="O203" s="78">
        <v>3.9502556188000471E-2</v>
      </c>
      <c r="P203" s="51">
        <v>17.574999999999999</v>
      </c>
      <c r="Q203" s="17">
        <v>44.012099999999997</v>
      </c>
      <c r="R203" s="95">
        <v>773.51229999999998</v>
      </c>
      <c r="S203" s="39" cm="1">
        <f t="array" ref="S203">_xll.aqBondObjectYield(N203,$C$4,T203)</f>
        <v>3.9502556188043103E-2</v>
      </c>
      <c r="T203" s="49" cm="1">
        <f t="array" ref="T203">_xll.aqBondObjectPrice($N203,$C$4,$O203)</f>
        <v>17.575009999549419</v>
      </c>
      <c r="U203" s="49" cm="1">
        <f t="array" ref="U203">_xll.aqBondObjectCleanPrice($N203,$C$4,$O203)</f>
        <v>17.575009999549419</v>
      </c>
      <c r="V203" s="49" cm="1">
        <f t="array" ref="V203">_xll.aqBondObjectDirtyPrice($N203,$C$4,$O203)</f>
        <v>17.575009999549419</v>
      </c>
      <c r="W203" s="18" cm="1">
        <f t="array" ref="W203">_xll.aqBondObjectModifiedDuration($N203,$C$4,$O203)</f>
        <v>44.01205322324379</v>
      </c>
      <c r="X203" s="93" cm="1">
        <f t="array" ref="X203">_xll.aqBondObjectDV01($N203,$C$4,$O203)</f>
        <v>773.51227549921089</v>
      </c>
    </row>
    <row r="204" spans="2:24">
      <c r="B204" s="11" t="s">
        <v>573</v>
      </c>
      <c r="C204" s="11" t="s">
        <v>574</v>
      </c>
      <c r="D204" s="11" t="s">
        <v>574</v>
      </c>
      <c r="E204" s="12">
        <v>42654</v>
      </c>
      <c r="F204" s="12" t="s">
        <v>318</v>
      </c>
      <c r="G204" s="15" t="str">
        <f t="shared" si="3"/>
        <v/>
      </c>
      <c r="H204" s="12" t="s">
        <v>318</v>
      </c>
      <c r="I204" s="12" t="s">
        <v>318</v>
      </c>
      <c r="J204" s="31">
        <v>0</v>
      </c>
      <c r="K204" s="12">
        <v>59962</v>
      </c>
      <c r="L204" s="89" t="s">
        <v>318</v>
      </c>
      <c r="M204" s="80" t="s">
        <v>282</v>
      </c>
      <c r="N204" s="16" t="str" cm="1">
        <f t="array" ref="N204">_xll.aqBondObjectCreateFromGenerator($C204,$N$4,_xll.aqToolLVBFromKeysValues($C$7:$M$7,$C204:$M204))</f>
        <v>IT0005248205:5</v>
      </c>
      <c r="O204" s="78">
        <v>3.9384420691686239E-2</v>
      </c>
      <c r="P204" s="51">
        <v>17.327000000000002</v>
      </c>
      <c r="Q204" s="17">
        <v>44.505000000000003</v>
      </c>
      <c r="R204" s="95">
        <v>771.13660000000004</v>
      </c>
      <c r="S204" s="39" cm="1">
        <f t="array" ref="S204">_xll.aqBondObjectYield(N204,$C$4,T204)</f>
        <v>3.9384420691733313E-2</v>
      </c>
      <c r="T204" s="49" cm="1">
        <f t="array" ref="T204">_xll.aqBondObjectPrice($N204,$C$4,$O204)</f>
        <v>17.326969856411903</v>
      </c>
      <c r="U204" s="49" cm="1">
        <f t="array" ref="U204">_xll.aqBondObjectCleanPrice($N204,$C$4,$O204)</f>
        <v>17.326969856411903</v>
      </c>
      <c r="V204" s="49" cm="1">
        <f t="array" ref="V204">_xll.aqBondObjectDirtyPrice($N204,$C$4,$O204)</f>
        <v>17.326969856411903</v>
      </c>
      <c r="W204" s="18" cm="1">
        <f t="array" ref="W204">_xll.aqBondObjectModifiedDuration($N204,$C$4,$O204)</f>
        <v>44.504989841822216</v>
      </c>
      <c r="X204" s="93" cm="1">
        <f t="array" ref="X204">_xll.aqBondObjectDV01($N204,$C$4,$O204)</f>
        <v>771.13661744917147</v>
      </c>
    </row>
    <row r="205" spans="2:24">
      <c r="B205" s="11" t="s">
        <v>533</v>
      </c>
      <c r="C205" s="11" t="s">
        <v>534</v>
      </c>
      <c r="D205" s="11" t="s">
        <v>534</v>
      </c>
      <c r="E205" s="12">
        <v>42654</v>
      </c>
      <c r="F205" s="12" t="s">
        <v>318</v>
      </c>
      <c r="G205" s="15" t="str">
        <f t="shared" si="3"/>
        <v/>
      </c>
      <c r="H205" s="12" t="s">
        <v>318</v>
      </c>
      <c r="I205" s="12" t="s">
        <v>318</v>
      </c>
      <c r="J205" s="31">
        <v>0</v>
      </c>
      <c r="K205" s="12">
        <v>60146</v>
      </c>
      <c r="L205" s="89" t="s">
        <v>318</v>
      </c>
      <c r="M205" s="80" t="s">
        <v>282</v>
      </c>
      <c r="N205" s="16" t="str" cm="1">
        <f t="array" ref="N205">_xll.aqBondObjectCreateFromGenerator($C205,$N$4,_xll.aqToolLVBFromKeysValues($C$7:$M$7,$C205:$M205))</f>
        <v>IT0005248213:5</v>
      </c>
      <c r="O205" s="78">
        <v>3.9258316137058991E-2</v>
      </c>
      <c r="P205" s="51">
        <v>17.094000000000001</v>
      </c>
      <c r="Q205" s="17">
        <v>44.998199999999997</v>
      </c>
      <c r="R205" s="95">
        <v>769.19709999999998</v>
      </c>
      <c r="S205" s="39" cm="1">
        <f t="array" ref="S205">_xll.aqBondObjectYield(N205,$C$4,T205)</f>
        <v>3.9258316137110283E-2</v>
      </c>
      <c r="T205" s="49" cm="1">
        <f t="array" ref="T205">_xll.aqBondObjectPrice($N205,$C$4,$O205)</f>
        <v>17.093970355767784</v>
      </c>
      <c r="U205" s="49" cm="1">
        <f t="array" ref="U205">_xll.aqBondObjectCleanPrice($N205,$C$4,$O205)</f>
        <v>17.093970355767784</v>
      </c>
      <c r="V205" s="49" cm="1">
        <f t="array" ref="V205">_xll.aqBondObjectDirtyPrice($N205,$C$4,$O205)</f>
        <v>17.093970355767784</v>
      </c>
      <c r="W205" s="18" cm="1">
        <f t="array" ref="W205">_xll.aqBondObjectModifiedDuration($N205,$C$4,$O205)</f>
        <v>44.998155156545785</v>
      </c>
      <c r="X205" s="93" cm="1">
        <f t="array" ref="X205">_xll.aqBondObjectDV01($N205,$C$4,$O205)</f>
        <v>769.19713031023286</v>
      </c>
    </row>
    <row r="206" spans="2:24">
      <c r="B206" s="11" t="s">
        <v>487</v>
      </c>
      <c r="C206" s="11" t="s">
        <v>488</v>
      </c>
      <c r="D206" s="11" t="s">
        <v>488</v>
      </c>
      <c r="E206" s="12">
        <v>42654</v>
      </c>
      <c r="F206" s="12" t="s">
        <v>318</v>
      </c>
      <c r="G206" s="15" t="str">
        <f t="shared" si="3"/>
        <v/>
      </c>
      <c r="H206" s="12" t="s">
        <v>318</v>
      </c>
      <c r="I206" s="12" t="s">
        <v>318</v>
      </c>
      <c r="J206" s="31">
        <v>0</v>
      </c>
      <c r="K206" s="12">
        <v>60327</v>
      </c>
      <c r="L206" s="89" t="s">
        <v>318</v>
      </c>
      <c r="M206" s="80" t="s">
        <v>282</v>
      </c>
      <c r="N206" s="16" t="str" cm="1">
        <f t="array" ref="N206">_xll.aqBondObjectCreateFromGenerator($C206,$N$4,_xll.aqToolLVBFromKeysValues($C$7:$M$7,$C206:$M206))</f>
        <v>IT0005248221:5</v>
      </c>
      <c r="O206" s="78">
        <v>3.9133396610236071E-2</v>
      </c>
      <c r="P206" s="51">
        <v>16.8599</v>
      </c>
      <c r="Q206" s="17">
        <v>45.491399999999999</v>
      </c>
      <c r="R206" s="95">
        <v>766.98159999999996</v>
      </c>
      <c r="S206" s="39" cm="1">
        <f t="array" ref="S206">_xll.aqBondObjectYield(N206,$C$4,T206)</f>
        <v>3.9133396610290694E-2</v>
      </c>
      <c r="T206" s="49" cm="1">
        <f t="array" ref="T206">_xll.aqBondObjectPrice($N206,$C$4,$O206)</f>
        <v>16.859941703726335</v>
      </c>
      <c r="U206" s="49" cm="1">
        <f t="array" ref="U206">_xll.aqBondObjectCleanPrice($N206,$C$4,$O206)</f>
        <v>16.859941703726335</v>
      </c>
      <c r="V206" s="49" cm="1">
        <f t="array" ref="V206">_xll.aqBondObjectDirtyPrice($N206,$C$4,$O206)</f>
        <v>16.859941703726335</v>
      </c>
      <c r="W206" s="18" cm="1">
        <f t="array" ref="W206">_xll.aqBondObjectModifiedDuration($N206,$C$4,$O206)</f>
        <v>45.491354542480408</v>
      </c>
      <c r="X206" s="93" cm="1">
        <f t="array" ref="X206">_xll.aqBondObjectDV01($N206,$C$4,$O206)</f>
        <v>766.98158560976594</v>
      </c>
    </row>
    <row r="207" spans="2:24">
      <c r="B207" s="11" t="s">
        <v>469</v>
      </c>
      <c r="C207" s="11" t="s">
        <v>470</v>
      </c>
      <c r="D207" s="11" t="s">
        <v>470</v>
      </c>
      <c r="E207" s="12">
        <v>42654</v>
      </c>
      <c r="F207" s="12" t="s">
        <v>318</v>
      </c>
      <c r="G207" s="15" t="str">
        <f t="shared" si="3"/>
        <v/>
      </c>
      <c r="H207" s="12" t="s">
        <v>318</v>
      </c>
      <c r="I207" s="12" t="s">
        <v>318</v>
      </c>
      <c r="J207" s="31">
        <v>0</v>
      </c>
      <c r="K207" s="12">
        <v>60511</v>
      </c>
      <c r="L207" s="89" t="s">
        <v>318</v>
      </c>
      <c r="M207" s="80" t="s">
        <v>282</v>
      </c>
      <c r="N207" s="16" t="str" cm="1">
        <f t="array" ref="N207">_xll.aqBondObjectCreateFromGenerator($C207,$N$4,_xll.aqToolLVBFromKeysValues($C$7:$M$7,$C207:$M207))</f>
        <v>IT0005248239:5</v>
      </c>
      <c r="O207" s="78">
        <v>3.9010720719841574E-2</v>
      </c>
      <c r="P207" s="51">
        <v>16.632899999999999</v>
      </c>
      <c r="Q207" s="17">
        <v>45.9846</v>
      </c>
      <c r="R207" s="95">
        <v>764.85860000000002</v>
      </c>
      <c r="S207" s="39" cm="1">
        <f t="array" ref="S207">_xll.aqBondObjectYield(N207,$C$4,T207)</f>
        <v>3.9010720719899528E-2</v>
      </c>
      <c r="T207" s="49" cm="1">
        <f t="array" ref="T207">_xll.aqBondObjectPrice($N207,$C$4,$O207)</f>
        <v>16.63294266640786</v>
      </c>
      <c r="U207" s="49" cm="1">
        <f t="array" ref="U207">_xll.aqBondObjectCleanPrice($N207,$C$4,$O207)</f>
        <v>16.63294266640786</v>
      </c>
      <c r="V207" s="49" cm="1">
        <f t="array" ref="V207">_xll.aqBondObjectDirtyPrice($N207,$C$4,$O207)</f>
        <v>16.63294266640786</v>
      </c>
      <c r="W207" s="18" cm="1">
        <f t="array" ref="W207">_xll.aqBondObjectModifiedDuration($N207,$C$4,$O207)</f>
        <v>45.984563736819574</v>
      </c>
      <c r="X207" s="93" cm="1">
        <f t="array" ref="X207">_xll.aqBondObjectDV01($N207,$C$4,$O207)</f>
        <v>764.85861217429795</v>
      </c>
    </row>
    <row r="208" spans="2:24">
      <c r="B208" s="11" t="s">
        <v>471</v>
      </c>
      <c r="C208" s="11" t="s">
        <v>472</v>
      </c>
      <c r="D208" s="11" t="s">
        <v>472</v>
      </c>
      <c r="E208" s="12">
        <v>42654</v>
      </c>
      <c r="F208" s="12" t="s">
        <v>318</v>
      </c>
      <c r="G208" s="15" t="str">
        <f t="shared" si="3"/>
        <v/>
      </c>
      <c r="H208" s="12" t="s">
        <v>318</v>
      </c>
      <c r="I208" s="12" t="s">
        <v>318</v>
      </c>
      <c r="J208" s="31">
        <v>0</v>
      </c>
      <c r="K208" s="12">
        <v>60692</v>
      </c>
      <c r="L208" s="89" t="s">
        <v>318</v>
      </c>
      <c r="M208" s="80" t="s">
        <v>282</v>
      </c>
      <c r="N208" s="16" t="str" cm="1">
        <f t="array" ref="N208">_xll.aqBondObjectCreateFromGenerator($C208,$N$4,_xll.aqToolLVBFromKeysValues($C$7:$M$7,$C208:$M208))</f>
        <v>IT0005248247:5</v>
      </c>
      <c r="O208" s="78">
        <v>3.8889772581919946E-2</v>
      </c>
      <c r="P208" s="51">
        <v>16.407900000000001</v>
      </c>
      <c r="Q208" s="17">
        <v>46.477800000000002</v>
      </c>
      <c r="R208" s="95">
        <v>762.60500000000002</v>
      </c>
      <c r="S208" s="39" cm="1">
        <f t="array" ref="S208">_xll.aqBondObjectYield(N208,$C$4,T208)</f>
        <v>3.8889772581979676E-2</v>
      </c>
      <c r="T208" s="49" cm="1">
        <f t="array" ref="T208">_xll.aqBondObjectPrice($N208,$C$4,$O208)</f>
        <v>16.407943615143786</v>
      </c>
      <c r="U208" s="49" cm="1">
        <f t="array" ref="U208">_xll.aqBondObjectCleanPrice($N208,$C$4,$O208)</f>
        <v>16.407943615143786</v>
      </c>
      <c r="V208" s="49" cm="1">
        <f t="array" ref="V208">_xll.aqBondObjectDirtyPrice($N208,$C$4,$O208)</f>
        <v>16.407943615143786</v>
      </c>
      <c r="W208" s="18" cm="1">
        <f t="array" ref="W208">_xll.aqBondObjectModifiedDuration($N208,$C$4,$O208)</f>
        <v>46.477792679932818</v>
      </c>
      <c r="X208" s="93" cm="1">
        <f t="array" ref="X208">_xll.aqBondObjectDV01($N208,$C$4,$O208)</f>
        <v>762.60500164868029</v>
      </c>
    </row>
    <row r="209" spans="2:24">
      <c r="B209" s="11" t="s">
        <v>417</v>
      </c>
      <c r="C209" s="11" t="s">
        <v>418</v>
      </c>
      <c r="D209" s="11" t="s">
        <v>418</v>
      </c>
      <c r="E209" s="12">
        <v>42654</v>
      </c>
      <c r="F209" s="12" t="s">
        <v>318</v>
      </c>
      <c r="G209" s="15" t="str">
        <f t="shared" si="3"/>
        <v/>
      </c>
      <c r="H209" s="12" t="s">
        <v>318</v>
      </c>
      <c r="I209" s="12" t="s">
        <v>318</v>
      </c>
      <c r="J209" s="31">
        <v>0</v>
      </c>
      <c r="K209" s="12">
        <v>60876</v>
      </c>
      <c r="L209" s="89" t="s">
        <v>318</v>
      </c>
      <c r="M209" s="80" t="s">
        <v>282</v>
      </c>
      <c r="N209" s="16" t="str" cm="1">
        <f t="array" ref="N209">_xll.aqBondObjectCreateFromGenerator($C209,$N$4,_xll.aqToolLVBFromKeysValues($C$7:$M$7,$C209:$M209))</f>
        <v>IT0005248254:5</v>
      </c>
      <c r="O209" s="78">
        <v>3.8767401700942283E-2</v>
      </c>
      <c r="P209" s="51">
        <v>16.1889</v>
      </c>
      <c r="Q209" s="17">
        <v>46.9711</v>
      </c>
      <c r="R209" s="95">
        <v>760.41269999999997</v>
      </c>
      <c r="S209" s="39" cm="1">
        <f t="array" ref="S209">_xll.aqBondObjectYield(N209,$C$4,T209)</f>
        <v>3.8767401701002013E-2</v>
      </c>
      <c r="T209" s="49" cm="1">
        <f t="array" ref="T209">_xll.aqBondObjectPrice($N209,$C$4,$O209)</f>
        <v>16.188944540851875</v>
      </c>
      <c r="U209" s="49" cm="1">
        <f t="array" ref="U209">_xll.aqBondObjectCleanPrice($N209,$C$4,$O209)</f>
        <v>16.188944540851875</v>
      </c>
      <c r="V209" s="49" cm="1">
        <f t="array" ref="V209">_xll.aqBondObjectDirtyPrice($N209,$C$4,$O209)</f>
        <v>16.188944540851875</v>
      </c>
      <c r="W209" s="18" cm="1">
        <f t="array" ref="W209">_xll.aqBondObjectModifiedDuration($N209,$C$4,$O209)</f>
        <v>46.971111372730896</v>
      </c>
      <c r="X209" s="93" cm="1">
        <f t="array" ref="X209">_xll.aqBondObjectDV01($N209,$C$4,$O209)</f>
        <v>760.4127170353172</v>
      </c>
    </row>
    <row r="210" spans="2:24">
      <c r="B210" s="11" t="s">
        <v>287</v>
      </c>
      <c r="C210" s="11" t="s">
        <v>288</v>
      </c>
      <c r="D210" s="11" t="s">
        <v>288</v>
      </c>
      <c r="E210" s="12">
        <v>42654</v>
      </c>
      <c r="F210" s="12">
        <v>42614</v>
      </c>
      <c r="G210" s="15" t="str">
        <f t="shared" si="3"/>
        <v/>
      </c>
      <c r="H210" s="12">
        <v>42795</v>
      </c>
      <c r="I210" s="12">
        <v>60876</v>
      </c>
      <c r="J210" s="31">
        <v>2.7999999999999997E-2</v>
      </c>
      <c r="K210" s="12">
        <v>61057</v>
      </c>
      <c r="L210" s="89">
        <v>99.194000000000003</v>
      </c>
      <c r="M210" s="80" t="s">
        <v>282</v>
      </c>
      <c r="N210" s="16" t="str" cm="1">
        <f t="array" ref="N210">_xll.aqBondObjectCreateFromGenerator($C210,$N$4,_xll.aqToolLVBFromKeysValues($C$7:$M$7,$C210:$M210))</f>
        <v>IT0005217390:5</v>
      </c>
      <c r="O210" s="78">
        <v>3.7323265755516033E-2</v>
      </c>
      <c r="P210" s="51">
        <v>79.834900000000005</v>
      </c>
      <c r="Q210" s="17">
        <v>23.6374</v>
      </c>
      <c r="R210" s="95">
        <v>1895.4962</v>
      </c>
      <c r="S210" s="39" cm="1">
        <f t="array" ref="S210">_xll.aqBondObjectYield(N210,$C$4,T210)</f>
        <v>3.7323265755535573E-2</v>
      </c>
      <c r="T210" s="49" cm="1">
        <f t="array" ref="T210">_xll.aqBondObjectPrice($N210,$C$4,$O210)</f>
        <v>79.834861177679599</v>
      </c>
      <c r="U210" s="49" cm="1">
        <f t="array" ref="U210">_xll.aqBondObjectCleanPrice($N210,$C$4,$O210)</f>
        <v>79.834861177679599</v>
      </c>
      <c r="V210" s="49" cm="1">
        <f t="array" ref="V210">_xll.aqBondObjectDirtyPrice($N210,$C$4,$O210)</f>
        <v>80.190661177679601</v>
      </c>
      <c r="W210" s="18" cm="1">
        <f t="array" ref="W210">_xll.aqBondObjectModifiedDuration($N210,$C$4,$O210)</f>
        <v>23.637368075464494</v>
      </c>
      <c r="X210" s="93" cm="1">
        <f t="array" ref="X210">_xll.aqBondObjectDV01($N210,$C$4,$O210)</f>
        <v>1895.4961744716738</v>
      </c>
    </row>
    <row r="211" spans="2:24">
      <c r="B211" s="11" t="s">
        <v>367</v>
      </c>
      <c r="C211" s="11" t="s">
        <v>368</v>
      </c>
      <c r="D211" s="11" t="s">
        <v>368</v>
      </c>
      <c r="E211" s="12">
        <v>42654</v>
      </c>
      <c r="F211" s="12" t="s">
        <v>318</v>
      </c>
      <c r="G211" s="15" t="str">
        <f t="shared" si="3"/>
        <v/>
      </c>
      <c r="H211" s="12" t="s">
        <v>318</v>
      </c>
      <c r="I211" s="12" t="s">
        <v>318</v>
      </c>
      <c r="J211" s="31">
        <v>0</v>
      </c>
      <c r="K211" s="12">
        <v>61057</v>
      </c>
      <c r="L211" s="89" t="s">
        <v>318</v>
      </c>
      <c r="M211" s="80" t="s">
        <v>282</v>
      </c>
      <c r="N211" s="16" t="str" cm="1">
        <f t="array" ref="N211">_xll.aqBondObjectCreateFromGenerator($C211,$N$4,_xll.aqToolLVBFromKeysValues($C$7:$M$7,$C211:$M211))</f>
        <v>IT0005248262:5</v>
      </c>
      <c r="O211" s="78">
        <v>3.2227185247067469E-2</v>
      </c>
      <c r="P211" s="51">
        <v>21.559899999999999</v>
      </c>
      <c r="Q211" s="17">
        <v>47.611800000000002</v>
      </c>
      <c r="R211" s="95">
        <v>1026.5078000000001</v>
      </c>
      <c r="S211" s="39" cm="1">
        <f t="array" ref="S211">_xll.aqBondObjectYield(N211,$C$4,T211)</f>
        <v>3.2227185247072576E-2</v>
      </c>
      <c r="T211" s="49" cm="1">
        <f t="array" ref="T211">_xll.aqBondObjectPrice($N211,$C$4,$O211)</f>
        <v>21.55993840321624</v>
      </c>
      <c r="U211" s="49" cm="1">
        <f t="array" ref="U211">_xll.aqBondObjectCleanPrice($N211,$C$4,$O211)</f>
        <v>21.55993840321624</v>
      </c>
      <c r="V211" s="49" cm="1">
        <f t="array" ref="V211">_xll.aqBondObjectDirtyPrice($N211,$C$4,$O211)</f>
        <v>21.55993840321624</v>
      </c>
      <c r="W211" s="18" cm="1">
        <f t="array" ref="W211">_xll.aqBondObjectModifiedDuration($N211,$C$4,$O211)</f>
        <v>47.611814311318554</v>
      </c>
      <c r="X211" s="93" cm="1">
        <f t="array" ref="X211">_xll.aqBondObjectDV01($N211,$C$4,$O211)</f>
        <v>1026.5077838173975</v>
      </c>
    </row>
    <row r="212" spans="2:24">
      <c r="P212" s="41"/>
      <c r="Q212" s="92"/>
      <c r="R212" s="96"/>
      <c r="S212" s="41"/>
      <c r="T212" s="41"/>
      <c r="U212" s="41"/>
      <c r="V212" s="41"/>
      <c r="W212" s="41"/>
      <c r="X212" s="41"/>
    </row>
    <row r="213" spans="2:24">
      <c r="P213" s="41"/>
      <c r="Q213" s="92"/>
      <c r="R213" s="96"/>
      <c r="S213" s="41"/>
      <c r="T213" s="41"/>
      <c r="U213" s="41"/>
      <c r="V213" s="41"/>
      <c r="W213" s="41"/>
      <c r="X213" s="41"/>
    </row>
    <row r="214" spans="2:24">
      <c r="P214" s="41"/>
      <c r="Q214" s="92"/>
      <c r="R214" s="96"/>
      <c r="S214" s="41"/>
      <c r="T214" s="41"/>
      <c r="U214" s="41"/>
      <c r="V214" s="41"/>
      <c r="W214" s="41"/>
      <c r="X214" s="41"/>
    </row>
    <row r="215" spans="2:24">
      <c r="P215" s="41"/>
      <c r="Q215" s="92"/>
      <c r="R215" s="96"/>
      <c r="S215" s="41"/>
      <c r="T215" s="41"/>
      <c r="U215" s="41"/>
      <c r="V215" s="41"/>
      <c r="W215" s="41"/>
      <c r="X215" s="41"/>
    </row>
    <row r="216" spans="2:24">
      <c r="P216" s="41"/>
      <c r="Q216" s="92"/>
      <c r="R216" s="96"/>
      <c r="S216" s="41"/>
      <c r="T216" s="41"/>
      <c r="U216" s="41"/>
      <c r="V216" s="41"/>
      <c r="W216" s="41"/>
      <c r="X216" s="41"/>
    </row>
    <row r="217" spans="2:24">
      <c r="P217" s="41"/>
      <c r="Q217" s="92"/>
      <c r="R217" s="96"/>
      <c r="S217" s="41"/>
      <c r="T217" s="41"/>
      <c r="U217" s="41"/>
      <c r="V217" s="41"/>
      <c r="W217" s="41"/>
      <c r="X217" s="41"/>
    </row>
    <row r="218" spans="2:24">
      <c r="P218" s="41"/>
      <c r="Q218" s="92"/>
      <c r="R218" s="96"/>
      <c r="S218" s="41"/>
      <c r="T218" s="41"/>
      <c r="U218" s="41"/>
      <c r="V218" s="41"/>
      <c r="W218" s="41"/>
      <c r="X218" s="41"/>
    </row>
    <row r="219" spans="2:24">
      <c r="P219" s="41"/>
      <c r="Q219" s="92"/>
      <c r="R219" s="96"/>
      <c r="S219" s="41"/>
      <c r="T219" s="41"/>
      <c r="U219" s="41"/>
      <c r="V219" s="41"/>
      <c r="W219" s="41"/>
      <c r="X219" s="41"/>
    </row>
    <row r="220" spans="2:24">
      <c r="P220" s="41"/>
      <c r="Q220" s="92"/>
      <c r="R220" s="96"/>
      <c r="S220" s="41"/>
      <c r="T220" s="41"/>
      <c r="U220" s="41"/>
      <c r="V220" s="41"/>
      <c r="W220" s="41"/>
      <c r="X220" s="41"/>
    </row>
    <row r="221" spans="2:24">
      <c r="P221" s="41"/>
      <c r="Q221" s="92"/>
      <c r="R221" s="96"/>
      <c r="S221" s="41"/>
      <c r="T221" s="41"/>
      <c r="U221" s="41"/>
      <c r="V221" s="41"/>
      <c r="W221" s="41"/>
      <c r="X221" s="41"/>
    </row>
    <row r="222" spans="2:24">
      <c r="P222" s="41"/>
      <c r="Q222" s="92"/>
      <c r="R222" s="96"/>
      <c r="S222" s="41"/>
      <c r="T222" s="41"/>
      <c r="U222" s="41"/>
      <c r="V222" s="41"/>
      <c r="W222" s="41"/>
      <c r="X222" s="41"/>
    </row>
    <row r="223" spans="2:24">
      <c r="P223" s="41"/>
      <c r="Q223" s="92"/>
      <c r="R223" s="96"/>
      <c r="S223" s="41"/>
      <c r="T223" s="41"/>
      <c r="U223" s="41"/>
      <c r="V223" s="41"/>
      <c r="W223" s="41"/>
      <c r="X223" s="41"/>
    </row>
    <row r="224" spans="2:24">
      <c r="P224" s="41"/>
      <c r="Q224" s="92"/>
      <c r="R224" s="96"/>
      <c r="S224" s="41"/>
      <c r="T224" s="41"/>
      <c r="U224" s="41"/>
      <c r="V224" s="41"/>
      <c r="W224" s="41"/>
      <c r="X224" s="41"/>
    </row>
    <row r="225" spans="16:24">
      <c r="P225" s="41"/>
      <c r="Q225" s="92"/>
      <c r="R225" s="96"/>
      <c r="S225" s="41"/>
      <c r="T225" s="41"/>
      <c r="U225" s="41"/>
      <c r="V225" s="41"/>
      <c r="W225" s="41"/>
      <c r="X225" s="41"/>
    </row>
    <row r="226" spans="16:24">
      <c r="P226" s="41"/>
      <c r="Q226" s="92"/>
      <c r="R226" s="96"/>
      <c r="S226" s="41"/>
      <c r="T226" s="41"/>
      <c r="U226" s="41"/>
      <c r="V226" s="41"/>
      <c r="W226" s="41"/>
      <c r="X226" s="41"/>
    </row>
    <row r="227" spans="16:24">
      <c r="P227" s="41"/>
      <c r="Q227" s="92"/>
      <c r="R227" s="96"/>
      <c r="S227" s="41"/>
      <c r="T227" s="41"/>
      <c r="U227" s="41"/>
      <c r="V227" s="41"/>
      <c r="W227" s="41"/>
      <c r="X227" s="41"/>
    </row>
    <row r="228" spans="16:24">
      <c r="P228" s="41"/>
      <c r="Q228" s="92"/>
      <c r="R228" s="96"/>
      <c r="S228" s="41"/>
      <c r="T228" s="41"/>
      <c r="U228" s="41"/>
      <c r="V228" s="41"/>
      <c r="W228" s="41"/>
      <c r="X228" s="41"/>
    </row>
    <row r="229" spans="16:24">
      <c r="P229" s="41"/>
      <c r="Q229" s="92"/>
      <c r="R229" s="96"/>
      <c r="S229" s="41"/>
      <c r="T229" s="41"/>
      <c r="U229" s="41"/>
      <c r="V229" s="41"/>
      <c r="W229" s="41"/>
      <c r="X229" s="41"/>
    </row>
    <row r="230" spans="16:24">
      <c r="P230" s="41"/>
      <c r="Q230" s="92"/>
      <c r="R230" s="96"/>
      <c r="S230" s="41"/>
      <c r="T230" s="41"/>
      <c r="U230" s="41"/>
      <c r="V230" s="41"/>
      <c r="W230" s="41"/>
      <c r="X230" s="41"/>
    </row>
    <row r="231" spans="16:24">
      <c r="P231" s="41"/>
      <c r="Q231" s="92"/>
      <c r="R231" s="96"/>
      <c r="S231" s="41"/>
      <c r="T231" s="41"/>
      <c r="U231" s="41"/>
      <c r="V231" s="41"/>
      <c r="W231" s="41"/>
      <c r="X231" s="41"/>
    </row>
    <row r="232" spans="16:24">
      <c r="P232" s="41"/>
      <c r="Q232" s="92"/>
      <c r="R232" s="96"/>
      <c r="S232" s="41"/>
      <c r="T232" s="41"/>
      <c r="U232" s="41"/>
      <c r="V232" s="41"/>
      <c r="W232" s="41"/>
      <c r="X232" s="41"/>
    </row>
    <row r="233" spans="16:24">
      <c r="P233" s="41"/>
      <c r="Q233" s="92"/>
      <c r="R233" s="96"/>
      <c r="S233" s="41"/>
      <c r="T233" s="41"/>
      <c r="U233" s="41"/>
      <c r="V233" s="41"/>
      <c r="W233" s="41"/>
      <c r="X233" s="41"/>
    </row>
    <row r="234" spans="16:24">
      <c r="P234" s="41"/>
      <c r="Q234" s="92"/>
      <c r="R234" s="96"/>
      <c r="S234" s="41"/>
      <c r="T234" s="41"/>
      <c r="U234" s="41"/>
      <c r="V234" s="41"/>
      <c r="W234" s="41"/>
      <c r="X234" s="41"/>
    </row>
    <row r="235" spans="16:24">
      <c r="P235" s="41"/>
      <c r="Q235" s="92"/>
      <c r="R235" s="96"/>
      <c r="S235" s="41"/>
      <c r="T235" s="41"/>
      <c r="U235" s="41"/>
      <c r="V235" s="41"/>
      <c r="W235" s="41"/>
      <c r="X235" s="41"/>
    </row>
    <row r="236" spans="16:24">
      <c r="P236" s="41"/>
      <c r="Q236" s="92"/>
      <c r="R236" s="96"/>
      <c r="S236" s="41"/>
      <c r="T236" s="41"/>
      <c r="U236" s="41"/>
      <c r="V236" s="41"/>
      <c r="W236" s="41"/>
      <c r="X236" s="41"/>
    </row>
    <row r="237" spans="16:24">
      <c r="P237" s="41"/>
      <c r="Q237" s="92"/>
      <c r="R237" s="96"/>
      <c r="S237" s="41"/>
      <c r="T237" s="41"/>
      <c r="U237" s="41"/>
      <c r="V237" s="41"/>
      <c r="W237" s="41"/>
      <c r="X237" s="41"/>
    </row>
    <row r="238" spans="16:24">
      <c r="P238" s="41"/>
      <c r="Q238" s="92"/>
      <c r="R238" s="96"/>
      <c r="S238" s="41"/>
      <c r="T238" s="41"/>
      <c r="U238" s="41"/>
      <c r="V238" s="41"/>
      <c r="W238" s="41"/>
      <c r="X238" s="41"/>
    </row>
    <row r="239" spans="16:24">
      <c r="P239" s="41"/>
      <c r="Q239" s="92"/>
      <c r="R239" s="96"/>
      <c r="S239" s="41"/>
      <c r="T239" s="41"/>
      <c r="U239" s="41"/>
      <c r="V239" s="41"/>
      <c r="W239" s="41"/>
      <c r="X239" s="41"/>
    </row>
    <row r="240" spans="16:24">
      <c r="P240" s="41"/>
      <c r="Q240" s="92"/>
      <c r="R240" s="96"/>
      <c r="S240" s="41"/>
      <c r="T240" s="41"/>
      <c r="U240" s="41"/>
      <c r="V240" s="41"/>
      <c r="W240" s="41"/>
      <c r="X240" s="41"/>
    </row>
    <row r="241" spans="16:24">
      <c r="P241" s="41"/>
      <c r="Q241" s="92"/>
      <c r="R241" s="96"/>
      <c r="S241" s="41"/>
      <c r="T241" s="41"/>
      <c r="U241" s="41"/>
      <c r="V241" s="41"/>
      <c r="W241" s="41"/>
      <c r="X241" s="41"/>
    </row>
    <row r="242" spans="16:24">
      <c r="P242" s="41"/>
      <c r="Q242" s="92"/>
      <c r="R242" s="96"/>
      <c r="S242" s="41"/>
      <c r="T242" s="41"/>
      <c r="U242" s="41"/>
      <c r="V242" s="41"/>
      <c r="W242" s="41"/>
      <c r="X242" s="41"/>
    </row>
    <row r="243" spans="16:24">
      <c r="P243" s="41"/>
      <c r="Q243" s="92"/>
      <c r="R243" s="96"/>
      <c r="S243" s="41"/>
      <c r="T243" s="41"/>
      <c r="U243" s="41"/>
      <c r="V243" s="41"/>
      <c r="W243" s="41"/>
      <c r="X243" s="41"/>
    </row>
    <row r="244" spans="16:24">
      <c r="P244" s="41"/>
      <c r="Q244" s="92"/>
      <c r="R244" s="96"/>
      <c r="S244" s="41"/>
      <c r="T244" s="41"/>
      <c r="U244" s="41"/>
      <c r="V244" s="41"/>
      <c r="W244" s="41"/>
      <c r="X244" s="41"/>
    </row>
    <row r="245" spans="16:24">
      <c r="P245" s="41"/>
      <c r="Q245" s="92"/>
      <c r="R245" s="96"/>
      <c r="S245" s="41"/>
      <c r="T245" s="41"/>
      <c r="U245" s="41"/>
      <c r="V245" s="41"/>
      <c r="W245" s="41"/>
      <c r="X245" s="41"/>
    </row>
    <row r="246" spans="16:24">
      <c r="P246" s="41"/>
      <c r="Q246" s="92"/>
      <c r="R246" s="96"/>
      <c r="S246" s="41"/>
      <c r="T246" s="41"/>
      <c r="U246" s="41"/>
      <c r="V246" s="41"/>
      <c r="W246" s="41"/>
      <c r="X246" s="41"/>
    </row>
    <row r="247" spans="16:24">
      <c r="P247" s="41"/>
      <c r="Q247" s="92"/>
      <c r="R247" s="96"/>
      <c r="S247" s="41"/>
      <c r="T247" s="41"/>
      <c r="U247" s="41"/>
      <c r="V247" s="41"/>
      <c r="W247" s="41"/>
      <c r="X247" s="41"/>
    </row>
    <row r="248" spans="16:24">
      <c r="P248" s="41"/>
      <c r="Q248" s="92"/>
      <c r="R248" s="96"/>
      <c r="S248" s="41"/>
      <c r="T248" s="41"/>
      <c r="U248" s="41"/>
      <c r="V248" s="41"/>
      <c r="W248" s="41"/>
      <c r="X248" s="41"/>
    </row>
    <row r="249" spans="16:24">
      <c r="P249" s="41"/>
      <c r="Q249" s="92"/>
      <c r="R249" s="96"/>
      <c r="S249" s="41"/>
      <c r="T249" s="41"/>
      <c r="U249" s="41"/>
      <c r="V249" s="41"/>
      <c r="W249" s="41"/>
      <c r="X249" s="41"/>
    </row>
    <row r="250" spans="16:24">
      <c r="P250" s="41"/>
      <c r="Q250" s="92"/>
      <c r="R250" s="96"/>
      <c r="S250" s="41"/>
      <c r="T250" s="41"/>
      <c r="U250" s="41"/>
      <c r="V250" s="41"/>
      <c r="W250" s="41"/>
      <c r="X250" s="41"/>
    </row>
    <row r="251" spans="16:24">
      <c r="P251" s="41"/>
      <c r="Q251" s="92"/>
      <c r="R251" s="96"/>
      <c r="S251" s="41"/>
      <c r="T251" s="41"/>
      <c r="U251" s="41"/>
      <c r="V251" s="41"/>
      <c r="W251" s="41"/>
      <c r="X251" s="41"/>
    </row>
    <row r="252" spans="16:24">
      <c r="P252" s="41"/>
      <c r="Q252" s="92"/>
      <c r="R252" s="96"/>
      <c r="S252" s="41"/>
      <c r="T252" s="41"/>
      <c r="U252" s="41"/>
      <c r="V252" s="41"/>
      <c r="W252" s="41"/>
      <c r="X252" s="41"/>
    </row>
    <row r="253" spans="16:24">
      <c r="P253" s="41"/>
      <c r="Q253" s="92"/>
      <c r="R253" s="96"/>
      <c r="S253" s="41"/>
      <c r="T253" s="41"/>
      <c r="U253" s="41"/>
      <c r="V253" s="41"/>
      <c r="W253" s="41"/>
      <c r="X253" s="41"/>
    </row>
    <row r="254" spans="16:24">
      <c r="P254" s="41"/>
      <c r="Q254" s="92"/>
      <c r="R254" s="96"/>
      <c r="S254" s="41"/>
      <c r="T254" s="41"/>
      <c r="U254" s="41"/>
      <c r="V254" s="41"/>
      <c r="W254" s="41"/>
      <c r="X254" s="41"/>
    </row>
    <row r="255" spans="16:24">
      <c r="P255" s="41"/>
      <c r="Q255" s="92"/>
      <c r="R255" s="96"/>
      <c r="S255" s="41"/>
      <c r="T255" s="41"/>
      <c r="U255" s="41"/>
      <c r="V255" s="41"/>
      <c r="W255" s="41"/>
      <c r="X255" s="41"/>
    </row>
    <row r="256" spans="16:24">
      <c r="P256" s="41"/>
      <c r="Q256" s="92"/>
      <c r="R256" s="96"/>
      <c r="S256" s="41"/>
      <c r="T256" s="41"/>
      <c r="U256" s="41"/>
      <c r="V256" s="41"/>
      <c r="W256" s="41"/>
      <c r="X256" s="41"/>
    </row>
    <row r="257" spans="16:24">
      <c r="P257" s="41"/>
      <c r="Q257" s="92"/>
      <c r="R257" s="96"/>
      <c r="S257" s="41"/>
      <c r="T257" s="41"/>
      <c r="U257" s="41"/>
      <c r="V257" s="41"/>
      <c r="W257" s="41"/>
      <c r="X257" s="41"/>
    </row>
    <row r="258" spans="16:24">
      <c r="P258" s="41"/>
      <c r="Q258" s="92"/>
      <c r="R258" s="96"/>
      <c r="S258" s="41"/>
      <c r="T258" s="41"/>
      <c r="U258" s="41"/>
      <c r="V258" s="41"/>
      <c r="W258" s="41"/>
      <c r="X258" s="41"/>
    </row>
    <row r="259" spans="16:24">
      <c r="P259" s="41"/>
      <c r="Q259" s="92"/>
      <c r="R259" s="96"/>
      <c r="S259" s="41"/>
      <c r="T259" s="41"/>
      <c r="U259" s="41"/>
      <c r="V259" s="41"/>
      <c r="W259" s="41"/>
      <c r="X259" s="41"/>
    </row>
    <row r="260" spans="16:24">
      <c r="P260" s="41"/>
      <c r="Q260" s="92"/>
      <c r="R260" s="96"/>
      <c r="S260" s="41"/>
      <c r="T260" s="41"/>
      <c r="U260" s="41"/>
      <c r="V260" s="41"/>
      <c r="W260" s="41"/>
      <c r="X260" s="41"/>
    </row>
    <row r="261" spans="16:24">
      <c r="P261" s="41"/>
      <c r="Q261" s="92"/>
      <c r="R261" s="96"/>
      <c r="S261" s="41"/>
      <c r="T261" s="41"/>
      <c r="U261" s="41"/>
      <c r="V261" s="41"/>
      <c r="W261" s="41"/>
      <c r="X261" s="41"/>
    </row>
    <row r="262" spans="16:24">
      <c r="P262" s="41"/>
      <c r="Q262" s="92"/>
      <c r="R262" s="96"/>
      <c r="S262" s="41"/>
      <c r="T262" s="41"/>
      <c r="U262" s="41"/>
      <c r="V262" s="41"/>
      <c r="W262" s="41"/>
      <c r="X262" s="41"/>
    </row>
    <row r="263" spans="16:24">
      <c r="P263" s="41"/>
      <c r="Q263" s="92"/>
      <c r="R263" s="96"/>
      <c r="S263" s="41"/>
      <c r="T263" s="41"/>
      <c r="U263" s="41"/>
      <c r="V263" s="41"/>
      <c r="W263" s="41"/>
      <c r="X263" s="41"/>
    </row>
    <row r="264" spans="16:24">
      <c r="P264" s="41"/>
      <c r="Q264" s="92"/>
      <c r="R264" s="96"/>
      <c r="S264" s="41"/>
      <c r="T264" s="41"/>
      <c r="U264" s="41"/>
      <c r="V264" s="41"/>
      <c r="W264" s="41"/>
      <c r="X264" s="41"/>
    </row>
    <row r="265" spans="16:24">
      <c r="P265" s="41"/>
      <c r="Q265" s="92"/>
      <c r="R265" s="96"/>
      <c r="S265" s="41"/>
      <c r="T265" s="41"/>
      <c r="U265" s="41"/>
      <c r="V265" s="41"/>
      <c r="W265" s="41"/>
      <c r="X265" s="41"/>
    </row>
    <row r="266" spans="16:24">
      <c r="P266" s="41"/>
      <c r="Q266" s="92"/>
      <c r="R266" s="96"/>
      <c r="S266" s="41"/>
      <c r="T266" s="41"/>
      <c r="U266" s="41"/>
      <c r="V266" s="41"/>
      <c r="W266" s="41"/>
      <c r="X266" s="41"/>
    </row>
    <row r="267" spans="16:24">
      <c r="P267" s="41"/>
      <c r="Q267" s="92"/>
      <c r="R267" s="96"/>
      <c r="S267" s="41"/>
      <c r="T267" s="41"/>
      <c r="U267" s="41"/>
      <c r="V267" s="41"/>
      <c r="W267" s="41"/>
      <c r="X267" s="41"/>
    </row>
    <row r="268" spans="16:24">
      <c r="P268" s="41"/>
      <c r="Q268" s="92"/>
      <c r="R268" s="96"/>
      <c r="S268" s="41"/>
      <c r="T268" s="41"/>
      <c r="U268" s="41"/>
      <c r="V268" s="41"/>
      <c r="W268" s="41"/>
      <c r="X268" s="41"/>
    </row>
    <row r="269" spans="16:24">
      <c r="P269" s="41"/>
      <c r="Q269" s="92"/>
      <c r="R269" s="96"/>
      <c r="S269" s="41"/>
      <c r="T269" s="41"/>
      <c r="U269" s="41"/>
      <c r="V269" s="41"/>
      <c r="W269" s="41"/>
      <c r="X269" s="41"/>
    </row>
    <row r="270" spans="16:24">
      <c r="P270" s="41"/>
      <c r="Q270" s="92"/>
      <c r="R270" s="96"/>
      <c r="S270" s="41"/>
      <c r="T270" s="41"/>
      <c r="U270" s="41"/>
      <c r="V270" s="41"/>
      <c r="W270" s="41"/>
      <c r="X270" s="41"/>
    </row>
    <row r="271" spans="16:24">
      <c r="P271" s="41"/>
      <c r="Q271" s="92"/>
      <c r="R271" s="96"/>
      <c r="S271" s="41"/>
      <c r="T271" s="41"/>
      <c r="U271" s="41"/>
      <c r="V271" s="41"/>
      <c r="W271" s="41"/>
      <c r="X271" s="41"/>
    </row>
    <row r="272" spans="16:24">
      <c r="P272" s="41"/>
      <c r="Q272" s="92"/>
      <c r="R272" s="96"/>
      <c r="S272" s="41"/>
      <c r="T272" s="41"/>
      <c r="U272" s="41"/>
      <c r="V272" s="41"/>
      <c r="W272" s="41"/>
      <c r="X272" s="41"/>
    </row>
    <row r="273" spans="13:24">
      <c r="P273" s="41"/>
      <c r="Q273" s="92"/>
      <c r="R273" s="96"/>
      <c r="S273" s="41"/>
      <c r="T273" s="41"/>
      <c r="U273" s="41"/>
      <c r="V273" s="41"/>
      <c r="W273" s="41"/>
      <c r="X273" s="41"/>
    </row>
    <row r="274" spans="13:24">
      <c r="P274" s="41"/>
      <c r="Q274" s="92"/>
      <c r="R274" s="96"/>
      <c r="S274" s="41"/>
      <c r="T274" s="41"/>
      <c r="U274" s="41"/>
      <c r="V274" s="41"/>
      <c r="W274" s="41"/>
      <c r="X274" s="41"/>
    </row>
    <row r="275" spans="13:24">
      <c r="P275" s="41"/>
      <c r="Q275" s="92"/>
      <c r="R275" s="96"/>
      <c r="S275" s="41"/>
      <c r="T275" s="41"/>
      <c r="U275" s="41"/>
      <c r="V275" s="41"/>
      <c r="W275" s="41"/>
      <c r="X275" s="41"/>
    </row>
    <row r="276" spans="13:24">
      <c r="P276" s="41"/>
      <c r="Q276" s="92"/>
      <c r="R276" s="96"/>
      <c r="S276" s="41"/>
      <c r="T276" s="41"/>
      <c r="U276" s="41"/>
      <c r="V276" s="41"/>
      <c r="W276" s="41"/>
      <c r="X276" s="41"/>
    </row>
    <row r="277" spans="13:24">
      <c r="P277" s="41"/>
      <c r="Q277" s="92"/>
      <c r="R277" s="96"/>
      <c r="S277" s="41"/>
      <c r="T277" s="41"/>
      <c r="U277" s="41"/>
      <c r="V277" s="41"/>
      <c r="W277" s="41"/>
      <c r="X277" s="41"/>
    </row>
    <row r="278" spans="13:24">
      <c r="P278" s="41"/>
      <c r="Q278" s="92"/>
      <c r="R278" s="96"/>
      <c r="S278" s="41"/>
      <c r="T278" s="41"/>
      <c r="U278" s="41"/>
      <c r="V278" s="41"/>
      <c r="W278" s="41"/>
      <c r="X278" s="41"/>
    </row>
    <row r="279" spans="13:24">
      <c r="P279" s="41"/>
      <c r="Q279" s="92"/>
      <c r="R279" s="96"/>
      <c r="S279" s="41"/>
      <c r="T279" s="41"/>
      <c r="U279" s="41"/>
      <c r="V279" s="41"/>
      <c r="W279" s="41"/>
      <c r="X279" s="41"/>
    </row>
    <row r="280" spans="13:24">
      <c r="P280" s="41"/>
      <c r="Q280" s="92"/>
      <c r="R280" s="96"/>
      <c r="S280" s="41"/>
      <c r="T280" s="41"/>
      <c r="U280" s="41"/>
      <c r="V280" s="41"/>
      <c r="W280" s="41"/>
      <c r="X280" s="41"/>
    </row>
    <row r="281" spans="13:24">
      <c r="P281" s="41"/>
      <c r="Q281" s="92"/>
      <c r="R281" s="96"/>
      <c r="S281" s="41"/>
      <c r="T281" s="41"/>
      <c r="U281" s="41"/>
      <c r="V281" s="41"/>
      <c r="W281" s="41"/>
      <c r="X281" s="41"/>
    </row>
    <row r="282" spans="13:24">
      <c r="P282" s="41"/>
      <c r="Q282" s="92"/>
      <c r="R282" s="96"/>
      <c r="S282" s="41"/>
      <c r="T282" s="41"/>
      <c r="U282" s="41"/>
      <c r="V282" s="41"/>
      <c r="W282" s="41"/>
      <c r="X282" s="41"/>
    </row>
    <row r="283" spans="13:24">
      <c r="M283" s="1"/>
      <c r="P283" s="41"/>
      <c r="Q283" s="92"/>
      <c r="R283" s="96"/>
      <c r="S283" s="41"/>
      <c r="T283" s="41"/>
      <c r="U283" s="41"/>
      <c r="V283" s="41"/>
      <c r="W283" s="41"/>
      <c r="X283" s="41"/>
    </row>
    <row r="284" spans="13:24">
      <c r="M284" s="1"/>
      <c r="P284" s="41"/>
      <c r="Q284" s="92"/>
      <c r="R284" s="96"/>
      <c r="S284" s="41"/>
      <c r="T284" s="41"/>
      <c r="U284" s="41"/>
      <c r="V284" s="41"/>
      <c r="W284" s="41"/>
      <c r="X284" s="41"/>
    </row>
    <row r="285" spans="13:24">
      <c r="P285" s="41"/>
      <c r="Q285" s="92"/>
      <c r="R285" s="96"/>
      <c r="S285" s="41"/>
      <c r="T285" s="41"/>
      <c r="U285" s="41"/>
      <c r="V285" s="41"/>
      <c r="W285" s="41"/>
      <c r="X285" s="41"/>
    </row>
    <row r="286" spans="13:24">
      <c r="M286" s="34"/>
      <c r="P286" s="41"/>
      <c r="Q286" s="92"/>
      <c r="R286" s="96"/>
      <c r="S286" s="41"/>
      <c r="T286" s="41"/>
      <c r="U286" s="41"/>
      <c r="V286" s="41"/>
      <c r="W286" s="41"/>
      <c r="X286" s="41"/>
    </row>
    <row r="287" spans="13:24">
      <c r="M287" s="34"/>
      <c r="P287" s="41"/>
      <c r="Q287" s="92"/>
      <c r="R287" s="96"/>
      <c r="S287" s="41"/>
      <c r="T287" s="41"/>
      <c r="U287" s="41"/>
      <c r="V287" s="41"/>
      <c r="W287" s="41"/>
      <c r="X287" s="41"/>
    </row>
    <row r="288" spans="13:24">
      <c r="P288" s="41"/>
      <c r="Q288" s="92"/>
      <c r="R288" s="96"/>
      <c r="S288" s="41"/>
      <c r="T288" s="41"/>
      <c r="U288" s="41"/>
      <c r="V288" s="41"/>
      <c r="W288" s="41"/>
      <c r="X288" s="41"/>
    </row>
    <row r="289" spans="13:24">
      <c r="P289" s="41"/>
      <c r="Q289" s="92"/>
      <c r="R289" s="96"/>
      <c r="S289" s="41"/>
      <c r="T289" s="41"/>
      <c r="U289" s="41"/>
      <c r="V289" s="41"/>
      <c r="W289" s="41"/>
      <c r="X289" s="41"/>
    </row>
    <row r="290" spans="13:24">
      <c r="P290" s="41"/>
      <c r="Q290" s="92"/>
      <c r="R290" s="96"/>
      <c r="S290" s="41"/>
      <c r="T290" s="41"/>
      <c r="U290" s="41"/>
      <c r="V290" s="41"/>
      <c r="W290" s="41"/>
      <c r="X290" s="41"/>
    </row>
    <row r="291" spans="13:24">
      <c r="P291" s="41"/>
      <c r="Q291" s="92"/>
      <c r="R291" s="96"/>
      <c r="S291" s="41"/>
      <c r="T291" s="41"/>
      <c r="U291" s="41"/>
      <c r="V291" s="41"/>
      <c r="W291" s="41"/>
      <c r="X291" s="41"/>
    </row>
    <row r="292" spans="13:24">
      <c r="P292" s="41"/>
      <c r="Q292" s="92"/>
      <c r="R292" s="96"/>
      <c r="S292" s="41"/>
      <c r="T292" s="41"/>
      <c r="U292" s="41"/>
      <c r="V292" s="41"/>
      <c r="W292" s="41"/>
      <c r="X292" s="41"/>
    </row>
    <row r="293" spans="13:24">
      <c r="P293" s="41"/>
      <c r="Q293" s="92"/>
      <c r="R293" s="96"/>
      <c r="S293" s="41"/>
      <c r="T293" s="41"/>
      <c r="U293" s="41"/>
      <c r="V293" s="41"/>
      <c r="W293" s="41"/>
      <c r="X293" s="41"/>
    </row>
    <row r="294" spans="13:24">
      <c r="P294" s="41"/>
      <c r="Q294" s="92"/>
      <c r="R294" s="96"/>
      <c r="S294" s="41"/>
      <c r="T294" s="41"/>
      <c r="U294" s="41"/>
      <c r="V294" s="41"/>
      <c r="W294" s="41"/>
      <c r="X294" s="41"/>
    </row>
    <row r="295" spans="13:24">
      <c r="P295" s="41"/>
      <c r="Q295" s="92"/>
      <c r="R295" s="96"/>
      <c r="S295" s="41"/>
      <c r="T295" s="41"/>
      <c r="U295" s="41"/>
      <c r="V295" s="41"/>
      <c r="W295" s="41"/>
      <c r="X295" s="41"/>
    </row>
    <row r="296" spans="13:24">
      <c r="P296" s="41"/>
      <c r="Q296" s="92"/>
      <c r="R296" s="96"/>
      <c r="S296" s="41"/>
      <c r="T296" s="41"/>
      <c r="U296" s="41"/>
      <c r="V296" s="41"/>
      <c r="W296" s="41"/>
      <c r="X296" s="41"/>
    </row>
    <row r="297" spans="13:24">
      <c r="P297" s="41"/>
      <c r="Q297" s="92"/>
      <c r="R297" s="96"/>
      <c r="S297" s="41"/>
      <c r="T297" s="41"/>
      <c r="U297" s="41"/>
      <c r="V297" s="41"/>
      <c r="W297" s="41"/>
      <c r="X297" s="41"/>
    </row>
    <row r="298" spans="13:24">
      <c r="P298" s="41"/>
      <c r="Q298" s="92"/>
      <c r="R298" s="96"/>
      <c r="S298" s="41"/>
      <c r="T298" s="41"/>
      <c r="U298" s="41"/>
      <c r="V298" s="41"/>
      <c r="W298" s="41"/>
      <c r="X298" s="41"/>
    </row>
    <row r="299" spans="13:24">
      <c r="P299" s="41"/>
      <c r="Q299" s="92"/>
      <c r="R299" s="96"/>
      <c r="S299" s="41"/>
      <c r="T299" s="41"/>
      <c r="U299" s="41"/>
      <c r="V299" s="41"/>
      <c r="W299" s="41"/>
      <c r="X299" s="41"/>
    </row>
    <row r="300" spans="13:24">
      <c r="P300" s="41"/>
      <c r="Q300" s="92"/>
      <c r="R300" s="96"/>
      <c r="S300" s="41"/>
      <c r="T300" s="41"/>
      <c r="U300" s="41"/>
      <c r="V300" s="41"/>
      <c r="W300" s="41"/>
      <c r="X300" s="41"/>
    </row>
    <row r="301" spans="13:24">
      <c r="P301" s="41"/>
      <c r="Q301" s="92"/>
      <c r="R301" s="96"/>
      <c r="S301" s="41"/>
      <c r="T301" s="41"/>
      <c r="U301" s="41"/>
      <c r="V301" s="41"/>
      <c r="W301" s="41"/>
      <c r="X301" s="41"/>
    </row>
    <row r="302" spans="13:24">
      <c r="M302" s="35"/>
      <c r="P302" s="41"/>
      <c r="Q302" s="92"/>
      <c r="R302" s="96"/>
      <c r="S302" s="41"/>
      <c r="T302" s="41"/>
      <c r="U302" s="41"/>
      <c r="V302" s="41"/>
      <c r="W302" s="41"/>
      <c r="X302" s="41"/>
    </row>
    <row r="303" spans="13:24">
      <c r="M303" s="35"/>
    </row>
    <row r="304" spans="13:24">
      <c r="M304" s="34"/>
    </row>
  </sheetData>
  <autoFilter ref="B7:X7" xr:uid="{00000000-0001-0000-0400-000000000000}"/>
  <sortState xmlns:xlrd2="http://schemas.microsoft.com/office/spreadsheetml/2017/richdata2" ref="B9:O354">
    <sortCondition ref="K9:K35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K98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2" max="2" width="20.7109375" customWidth="1"/>
    <col min="3" max="4" width="15.7109375" customWidth="1"/>
    <col min="5" max="9" width="15.7109375" hidden="1" customWidth="1" outlineLevel="1"/>
    <col min="10" max="10" width="15.7109375" customWidth="1" collapsed="1"/>
    <col min="11" max="12" width="15.7109375" customWidth="1"/>
    <col min="13" max="13" width="27.28515625" customWidth="1"/>
    <col min="14" max="14" width="22.7109375" style="41" customWidth="1"/>
    <col min="15" max="15" width="22.7109375" style="41" hidden="1" customWidth="1" outlineLevel="1"/>
    <col min="16" max="16" width="22.7109375" style="92" hidden="1" customWidth="1" outlineLevel="1"/>
    <col min="17" max="17" width="22.7109375" style="96" hidden="1" customWidth="1" outlineLevel="1"/>
    <col min="18" max="18" width="22.7109375" style="41" customWidth="1" collapsed="1"/>
    <col min="19" max="19" width="22.7109375" style="46" customWidth="1"/>
    <col min="20" max="23" width="22.7109375" style="46" hidden="1" customWidth="1" outlineLevel="1"/>
    <col min="24" max="24" width="22.7109375" style="46" customWidth="1" collapsed="1"/>
    <col min="25" max="25" width="20.7109375" customWidth="1"/>
  </cols>
  <sheetData>
    <row r="1" spans="2:25">
      <c r="J1" s="2" t="s">
        <v>277</v>
      </c>
      <c r="N1" s="44"/>
      <c r="O1"/>
      <c r="P1"/>
      <c r="Q1"/>
      <c r="R1" s="45" t="s">
        <v>1965</v>
      </c>
      <c r="S1"/>
      <c r="T1"/>
      <c r="U1"/>
      <c r="V1"/>
      <c r="W1"/>
      <c r="X1" s="2" t="s">
        <v>1960</v>
      </c>
    </row>
    <row r="2" spans="2:25">
      <c r="N2" s="45" t="s">
        <v>1957</v>
      </c>
      <c r="O2" s="45" t="s">
        <v>1958</v>
      </c>
      <c r="P2" s="45" t="s">
        <v>1966</v>
      </c>
      <c r="Q2" s="45" t="s">
        <v>1967</v>
      </c>
      <c r="T2"/>
      <c r="U2"/>
      <c r="V2"/>
      <c r="W2"/>
      <c r="X2"/>
    </row>
    <row r="3" spans="2:25">
      <c r="B3" s="2" t="s">
        <v>9</v>
      </c>
      <c r="C3" s="2" t="s">
        <v>10</v>
      </c>
      <c r="D3" s="4"/>
      <c r="M3" s="2" t="s">
        <v>1962</v>
      </c>
      <c r="N3" s="83" t="s">
        <v>274</v>
      </c>
      <c r="O3" s="83" t="s">
        <v>274</v>
      </c>
      <c r="P3" s="83" t="s">
        <v>274</v>
      </c>
      <c r="Q3" s="83" t="s">
        <v>274</v>
      </c>
      <c r="T3"/>
      <c r="U3"/>
      <c r="V3"/>
      <c r="W3"/>
      <c r="X3"/>
    </row>
    <row r="4" spans="2:25">
      <c r="B4" s="90">
        <v>43388</v>
      </c>
      <c r="C4" s="38" cm="1">
        <f t="array" ref="C4">_xll.aqDateFromTenor($B$4,$D$4,"MOD_FOLLOWING","NYB")</f>
        <v>43390</v>
      </c>
      <c r="D4" s="5" t="s">
        <v>278</v>
      </c>
      <c r="E4" s="1"/>
      <c r="F4" s="1"/>
      <c r="G4" s="1"/>
      <c r="H4" s="1"/>
      <c r="I4" s="1"/>
      <c r="J4" s="1"/>
      <c r="K4" s="1"/>
      <c r="L4" s="1"/>
      <c r="M4" s="23" t="s">
        <v>1552</v>
      </c>
      <c r="N4" s="52">
        <f>SUM(N8:N500)-SUM(R8:R500)</f>
        <v>-1.5344034856035194E-6</v>
      </c>
      <c r="O4" s="52">
        <f>SUM(O8:O500)-SUM(S8:S500)</f>
        <v>0</v>
      </c>
      <c r="P4" s="52">
        <f>SUM(P8:P500)-SUM(V8:V500)</f>
        <v>4.1691585749958904E-4</v>
      </c>
      <c r="Q4" s="94">
        <f>SUM(Q8:Q500)-SUM(W8:W500)</f>
        <v>7.4039002356585115E-5</v>
      </c>
      <c r="T4"/>
      <c r="U4"/>
      <c r="V4"/>
      <c r="W4"/>
      <c r="X4"/>
    </row>
    <row r="5" spans="2:25">
      <c r="N5" s="3"/>
      <c r="O5"/>
      <c r="P5"/>
      <c r="Q5"/>
      <c r="R5" s="37"/>
      <c r="S5" s="37"/>
      <c r="T5"/>
      <c r="U5"/>
      <c r="V5"/>
      <c r="W5"/>
      <c r="X5"/>
    </row>
    <row r="6" spans="2:25">
      <c r="B6" s="88" t="s">
        <v>1959</v>
      </c>
      <c r="C6" s="88" t="s">
        <v>1732</v>
      </c>
      <c r="D6" s="88" t="s">
        <v>1733</v>
      </c>
      <c r="E6" s="88" t="s">
        <v>1736</v>
      </c>
      <c r="F6" s="88" t="s">
        <v>1737</v>
      </c>
      <c r="G6" s="88"/>
      <c r="H6" s="88" t="s">
        <v>1738</v>
      </c>
      <c r="I6" s="88" t="s">
        <v>1739</v>
      </c>
      <c r="J6" s="88" t="s">
        <v>1734</v>
      </c>
      <c r="K6" s="88" t="s">
        <v>1735</v>
      </c>
      <c r="L6" s="88"/>
      <c r="M6" s="88"/>
      <c r="N6" s="86" t="s">
        <v>14</v>
      </c>
      <c r="O6" s="87" t="s">
        <v>15</v>
      </c>
      <c r="P6" s="87" t="s">
        <v>18</v>
      </c>
      <c r="Q6" s="87" t="s">
        <v>17</v>
      </c>
      <c r="R6" s="44"/>
      <c r="S6"/>
      <c r="T6" s="44"/>
      <c r="U6" s="44"/>
      <c r="V6" s="87"/>
      <c r="W6" s="87"/>
      <c r="X6"/>
    </row>
    <row r="7" spans="2:25" s="10" customFormat="1">
      <c r="B7" s="22" t="s">
        <v>12</v>
      </c>
      <c r="C7" s="22" t="s">
        <v>0</v>
      </c>
      <c r="D7" s="22" t="s">
        <v>1</v>
      </c>
      <c r="E7" s="22" t="s">
        <v>2</v>
      </c>
      <c r="F7" s="22" t="s">
        <v>8</v>
      </c>
      <c r="G7" s="22" t="s">
        <v>7</v>
      </c>
      <c r="H7" s="22" t="s">
        <v>3</v>
      </c>
      <c r="I7" s="22" t="s">
        <v>4</v>
      </c>
      <c r="J7" s="22" t="s">
        <v>6</v>
      </c>
      <c r="K7" s="22" t="s">
        <v>5</v>
      </c>
      <c r="L7" s="22" t="s">
        <v>1961</v>
      </c>
      <c r="M7" s="22" t="s">
        <v>13</v>
      </c>
      <c r="N7" s="42" t="s">
        <v>1955</v>
      </c>
      <c r="O7" s="82" t="s">
        <v>1956</v>
      </c>
      <c r="P7" s="82" t="s">
        <v>1963</v>
      </c>
      <c r="Q7" s="82" t="s">
        <v>1964</v>
      </c>
      <c r="R7" s="21" t="s">
        <v>1551</v>
      </c>
      <c r="S7" s="21" t="s">
        <v>1706</v>
      </c>
      <c r="T7" s="21" t="s">
        <v>275</v>
      </c>
      <c r="U7" s="21" t="s">
        <v>1550</v>
      </c>
      <c r="V7" s="21" t="s">
        <v>276</v>
      </c>
      <c r="W7" s="21" t="s">
        <v>16</v>
      </c>
      <c r="X7"/>
      <c r="Y7"/>
    </row>
    <row r="8" spans="2:25">
      <c r="B8" s="11" t="s">
        <v>1562</v>
      </c>
      <c r="C8" s="11" t="s">
        <v>1562</v>
      </c>
      <c r="D8" s="11" t="s">
        <v>1644</v>
      </c>
      <c r="E8" s="12">
        <v>39338</v>
      </c>
      <c r="F8" s="15">
        <v>39217</v>
      </c>
      <c r="G8" s="14"/>
      <c r="H8" s="12">
        <v>39401</v>
      </c>
      <c r="I8" s="12">
        <v>44150</v>
      </c>
      <c r="J8" s="13">
        <v>5.7500000000000002E-2</v>
      </c>
      <c r="K8" s="12">
        <v>44331</v>
      </c>
      <c r="L8" s="81" t="s">
        <v>1679</v>
      </c>
      <c r="M8" s="16" t="str" cm="1">
        <f t="array" ref="M8">_xll.aqBondObjectCreateFromGenerator($C8,$M$4&amp;"_"&amp;$L8,_xll.aqToolLVBFromKeysValues($C$7:$K$7,$C8:$K8))</f>
        <v>EG8211609 Corp:8</v>
      </c>
      <c r="N8" s="78">
        <v>2.9802156193156737E-2</v>
      </c>
      <c r="O8" s="51">
        <v>106.82299999999999</v>
      </c>
      <c r="P8" s="17">
        <v>2.3506999999999998</v>
      </c>
      <c r="Q8" s="95">
        <v>256.80009999999999</v>
      </c>
      <c r="R8" s="39" cm="1">
        <f t="array" ref="R8">_xll.aqBondObjectYield(M8,$C$4,S8)</f>
        <v>2.9803690585546879E-2</v>
      </c>
      <c r="S8" s="49" cm="1">
        <f t="array" ref="S8">_xll.aqBondObjectPrice($M8,$C$4,$N8)</f>
        <v>106.82300000000001</v>
      </c>
      <c r="T8" s="49" cm="1">
        <f t="array" ref="T8">_xll.aqBondObjectCleanPrice($M8,$C$4,$N8)</f>
        <v>106.82300000000001</v>
      </c>
      <c r="U8" s="49" cm="1">
        <f t="array" ref="U8">_xll.aqBondObjectDirtyPrice($M8,$C$4,$N8)</f>
        <v>109.245</v>
      </c>
      <c r="V8" s="18" cm="1">
        <f t="array" ref="V8">_xll.aqBondObjectModifiedDuration($M8,$C$4,$N8)</f>
        <v>2.3506808499408072</v>
      </c>
      <c r="W8" s="93" cm="1">
        <f t="array" ref="W8">_xll.aqBondObjectDV01($M8,$C$4,$N8)</f>
        <v>256.8001294517835</v>
      </c>
      <c r="X8"/>
    </row>
    <row r="9" spans="2:25">
      <c r="B9" s="11" t="s">
        <v>1598</v>
      </c>
      <c r="C9" s="11" t="s">
        <v>1598</v>
      </c>
      <c r="D9" s="11" t="s">
        <v>1664</v>
      </c>
      <c r="E9" s="12">
        <v>39338</v>
      </c>
      <c r="F9" s="15">
        <v>39217</v>
      </c>
      <c r="G9" s="14"/>
      <c r="H9" s="12">
        <v>39401</v>
      </c>
      <c r="I9" s="12">
        <v>44150</v>
      </c>
      <c r="J9" s="13">
        <v>5.7500000000000002E-2</v>
      </c>
      <c r="K9" s="12">
        <v>44331</v>
      </c>
      <c r="L9" s="81" t="s">
        <v>1680</v>
      </c>
      <c r="M9" s="16" t="str" cm="1">
        <f t="array" ref="M9">_xll.aqBondObjectCreateFromGenerator($C9,$M$4&amp;"_"&amp;$L9,_xll.aqToolLVBFromKeysValues($C$7:$K$7,$C9:$K9))</f>
        <v>EJ6773588 Corp:6</v>
      </c>
      <c r="N9" s="78">
        <v>2.0301609031451798E-2</v>
      </c>
      <c r="O9" s="51">
        <v>111.72</v>
      </c>
      <c r="P9" s="17">
        <v>2.3647</v>
      </c>
      <c r="Q9" s="95">
        <v>264.18049999999999</v>
      </c>
      <c r="R9" s="39" cm="1">
        <f t="array" ref="R9">_xll.aqBondObjectYield(M9,$C$4,S9)</f>
        <v>2.0301609031456089E-2</v>
      </c>
      <c r="S9" s="47" cm="1">
        <f t="array" ref="S9">_xll.aqBondObjectPrice($M9,$C$4,$N9)</f>
        <v>111.72</v>
      </c>
      <c r="T9" s="47" cm="1">
        <f t="array" ref="T9">_xll.aqBondObjectCleanPrice($M9,$C$4,$N9)</f>
        <v>109.298</v>
      </c>
      <c r="U9" s="47" cm="1">
        <f t="array" ref="U9">_xll.aqBondObjectDirtyPrice($M9,$C$4,$N9)</f>
        <v>111.72</v>
      </c>
      <c r="V9" s="18" cm="1">
        <f t="array" ref="V9">_xll.aqBondObjectModifiedDuration($M9,$C$4,$N9)</f>
        <v>2.3646656967771369</v>
      </c>
      <c r="W9" s="93" cm="1">
        <f t="array" ref="W9">_xll.aqBondObjectDV01($M9,$C$4,$N9)</f>
        <v>264.18045164394175</v>
      </c>
      <c r="X9"/>
    </row>
    <row r="10" spans="2:25">
      <c r="B10" s="11" t="s">
        <v>1586</v>
      </c>
      <c r="C10" s="11" t="s">
        <v>1586</v>
      </c>
      <c r="D10" s="11" t="s">
        <v>1658</v>
      </c>
      <c r="E10" s="12">
        <v>40792</v>
      </c>
      <c r="F10" s="15">
        <v>40683</v>
      </c>
      <c r="G10" s="14"/>
      <c r="H10" s="12">
        <v>40867</v>
      </c>
      <c r="I10" s="12">
        <v>44155</v>
      </c>
      <c r="J10" s="13">
        <v>0.05</v>
      </c>
      <c r="K10" s="12">
        <v>44336</v>
      </c>
      <c r="L10" s="81" t="s">
        <v>1679</v>
      </c>
      <c r="M10" s="16" t="str" cm="1">
        <f t="array" ref="M10">_xll.aqBondObjectCreateFromGenerator($C10,$M$4&amp;"_"&amp;$L10,_xll.aqToolLVBFromKeysValues($C$7:$K$7,$C10:$K10))</f>
        <v>EI7993450 Corp:5</v>
      </c>
      <c r="N10" s="78">
        <v>2.2268379070058693E-2</v>
      </c>
      <c r="O10" s="51">
        <v>106.946</v>
      </c>
      <c r="P10" s="17">
        <v>2.3965000000000001</v>
      </c>
      <c r="Q10" s="95">
        <v>261.18189999999998</v>
      </c>
      <c r="R10" s="39" cm="1">
        <f t="array" ref="R10">_xll.aqBondObjectYield(M10,$C$4,S10)</f>
        <v>2.2268379070203122E-2</v>
      </c>
      <c r="S10" s="47" cm="1">
        <f t="array" ref="S10">_xll.aqBondObjectPrice($M10,$C$4,$N10)</f>
        <v>106.946</v>
      </c>
      <c r="T10" s="47" cm="1">
        <f t="array" ref="T10">_xll.aqBondObjectCleanPrice($M10,$C$4,$N10)</f>
        <v>106.946</v>
      </c>
      <c r="U10" s="47" cm="1">
        <f t="array" ref="U10">_xll.aqBondObjectDirtyPrice($M10,$C$4,$N10)</f>
        <v>108.98399999999999</v>
      </c>
      <c r="V10" s="18" cm="1">
        <f t="array" ref="V10">_xll.aqBondObjectModifiedDuration($M10,$C$4,$N10)</f>
        <v>2.3965161575358249</v>
      </c>
      <c r="W10" s="93" cm="1">
        <f t="array" ref="W10">_xll.aqBondObjectDV01($M10,$C$4,$N10)</f>
        <v>261.18191691288433</v>
      </c>
      <c r="X10"/>
    </row>
    <row r="11" spans="2:25">
      <c r="B11" s="11" t="s">
        <v>1573</v>
      </c>
      <c r="C11" s="11" t="s">
        <v>1573</v>
      </c>
      <c r="D11" s="11" t="s">
        <v>1618</v>
      </c>
      <c r="E11" s="12">
        <v>37574</v>
      </c>
      <c r="F11" s="15">
        <v>37452</v>
      </c>
      <c r="G11" s="14"/>
      <c r="H11" s="12">
        <v>37636</v>
      </c>
      <c r="I11" s="12">
        <v>44211</v>
      </c>
      <c r="J11" s="13">
        <v>7.0000000000000007E-2</v>
      </c>
      <c r="K11" s="12">
        <v>44392</v>
      </c>
      <c r="L11" s="81" t="s">
        <v>1679</v>
      </c>
      <c r="M11" s="16" t="str" cm="1">
        <f t="array" ref="M11">_xll.aqBondObjectCreateFromGenerator($C11,$M$4&amp;"_"&amp;$L11,_xll.aqToolLVBFromKeysValues($C$7:$K$7,$C11:$K11))</f>
        <v>EC9870790 Corp:5</v>
      </c>
      <c r="N11" s="78">
        <v>2.2988316974060657E-2</v>
      </c>
      <c r="O11" s="51">
        <v>112.43</v>
      </c>
      <c r="P11" s="17">
        <v>2.4908000000000001</v>
      </c>
      <c r="Q11" s="95">
        <v>284.49720000000002</v>
      </c>
      <c r="R11" s="39" cm="1">
        <f t="array" ref="R11">_xll.aqBondObjectYield(M11,$C$4,S11)</f>
        <v>2.298831697469917E-2</v>
      </c>
      <c r="S11" s="47" cm="1">
        <f t="array" ref="S11">_xll.aqBondObjectPrice($M11,$C$4,$N11)</f>
        <v>112.43</v>
      </c>
      <c r="T11" s="47" cm="1">
        <f t="array" ref="T11">_xll.aqBondObjectCleanPrice($M11,$C$4,$N11)</f>
        <v>112.43</v>
      </c>
      <c r="U11" s="47" cm="1">
        <f t="array" ref="U11">_xll.aqBondObjectDirtyPrice($M11,$C$4,$N11)</f>
        <v>114.218</v>
      </c>
      <c r="V11" s="18" cm="1">
        <f t="array" ref="V11">_xll.aqBondObjectModifiedDuration($M11,$C$4,$N11)</f>
        <v>2.4908261043022102</v>
      </c>
      <c r="W11" s="93" cm="1">
        <f t="array" ref="W11">_xll.aqBondObjectDV01($M11,$C$4,$N11)</f>
        <v>284.49717598118986</v>
      </c>
      <c r="X11"/>
    </row>
    <row r="12" spans="2:25">
      <c r="B12" s="11" t="s">
        <v>1560</v>
      </c>
      <c r="C12" s="11" t="s">
        <v>1560</v>
      </c>
      <c r="D12" s="11" t="s">
        <v>1642</v>
      </c>
      <c r="E12" s="12">
        <v>42762</v>
      </c>
      <c r="F12" s="15">
        <v>42725</v>
      </c>
      <c r="G12" s="14"/>
      <c r="H12" s="12">
        <v>42907</v>
      </c>
      <c r="I12" s="12">
        <v>44368</v>
      </c>
      <c r="J12" s="13">
        <v>0.02</v>
      </c>
      <c r="K12" s="12">
        <v>44551</v>
      </c>
      <c r="L12" s="81" t="s">
        <v>1679</v>
      </c>
      <c r="M12" s="16" t="str" cm="1">
        <f t="array" ref="M12">_xll.aqBondObjectCreateFromGenerator($C12,$M$4&amp;"_"&amp;$L12,_xll.aqToolLVBFromKeysValues($C$7:$K$7,$C12:$K12))</f>
        <v>AM1528661 Corp:5</v>
      </c>
      <c r="N12" s="78">
        <v>2.0930488810003634E-2</v>
      </c>
      <c r="O12" s="51">
        <v>99.713999999999999</v>
      </c>
      <c r="P12" s="17">
        <v>3.0432999999999999</v>
      </c>
      <c r="Q12" s="95">
        <v>305.42149999999998</v>
      </c>
      <c r="R12" s="39" cm="1">
        <f t="array" ref="R12">_xll.aqBondObjectYield(M12,$C$4,S12)</f>
        <v>2.0930488810003648E-2</v>
      </c>
      <c r="S12" s="47" cm="1">
        <f t="array" ref="S12">_xll.aqBondObjectPrice($M12,$C$4,$N12)</f>
        <v>99.713999999999999</v>
      </c>
      <c r="T12" s="47" cm="1">
        <f t="array" ref="T12">_xll.aqBondObjectCleanPrice($M12,$C$4,$N12)</f>
        <v>99.713999999999999</v>
      </c>
      <c r="U12" s="47" cm="1">
        <f t="array" ref="U12">_xll.aqBondObjectDirtyPrice($M12,$C$4,$N12)</f>
        <v>100.35899999999999</v>
      </c>
      <c r="V12" s="18" cm="1">
        <f t="array" ref="V12">_xll.aqBondObjectModifiedDuration($M12,$C$4,$N12)</f>
        <v>3.0432894141771523</v>
      </c>
      <c r="W12" s="93" cm="1">
        <f t="array" ref="W12">_xll.aqBondObjectDV01($M12,$C$4,$N12)</f>
        <v>305.42148231740481</v>
      </c>
      <c r="X12"/>
    </row>
    <row r="13" spans="2:25">
      <c r="B13" s="11" t="s">
        <v>1593</v>
      </c>
      <c r="C13" s="11" t="s">
        <v>1593</v>
      </c>
      <c r="D13" s="11" t="s">
        <v>1626</v>
      </c>
      <c r="E13" s="12">
        <v>42762</v>
      </c>
      <c r="F13" s="15">
        <v>42725</v>
      </c>
      <c r="G13" s="14"/>
      <c r="H13" s="12">
        <v>42907</v>
      </c>
      <c r="I13" s="12">
        <v>44368</v>
      </c>
      <c r="J13" s="13">
        <v>0.02</v>
      </c>
      <c r="K13" s="12">
        <v>44551</v>
      </c>
      <c r="L13" s="81" t="s">
        <v>1680</v>
      </c>
      <c r="M13" s="16" t="str" cm="1">
        <f t="array" ref="M13">_xll.aqBondObjectCreateFromGenerator($C13,$M$4&amp;"_"&amp;$L13,_xll.aqToolLVBFromKeysValues($C$7:$K$7,$C13:$K13))</f>
        <v>AM1708602 Corp:5</v>
      </c>
      <c r="N13" s="78">
        <v>1.9389375344724246E-2</v>
      </c>
      <c r="O13" s="51">
        <v>100.831</v>
      </c>
      <c r="P13" s="17">
        <v>3.0459000000000001</v>
      </c>
      <c r="Q13" s="95">
        <v>307.12439999999998</v>
      </c>
      <c r="R13" s="39" cm="1">
        <f t="array" ref="R13">_xll.aqBondObjectYield(M13,$C$4,S13)</f>
        <v>1.9389375345584454E-2</v>
      </c>
      <c r="S13" s="47" cm="1">
        <f t="array" ref="S13">_xll.aqBondObjectPrice($M13,$C$4,$N13)</f>
        <v>100.831</v>
      </c>
      <c r="T13" s="47" cm="1">
        <f t="array" ref="T13">_xll.aqBondObjectCleanPrice($M13,$C$4,$N13)</f>
        <v>100.18600000000001</v>
      </c>
      <c r="U13" s="47" cm="1">
        <f t="array" ref="U13">_xll.aqBondObjectDirtyPrice($M13,$C$4,$N13)</f>
        <v>100.831</v>
      </c>
      <c r="V13" s="18" cm="1">
        <f t="array" ref="V13">_xll.aqBondObjectModifiedDuration($M13,$C$4,$N13)</f>
        <v>3.0459327446913238</v>
      </c>
      <c r="W13" s="93" cm="1">
        <f t="array" ref="W13">_xll.aqBondObjectDV01($M13,$C$4,$N13)</f>
        <v>307.12444457997088</v>
      </c>
      <c r="X13"/>
    </row>
    <row r="14" spans="2:25">
      <c r="B14" s="11" t="s">
        <v>1600</v>
      </c>
      <c r="C14" s="11" t="s">
        <v>1600</v>
      </c>
      <c r="D14" s="11" t="s">
        <v>1629</v>
      </c>
      <c r="E14" s="12">
        <v>41375</v>
      </c>
      <c r="F14" s="15">
        <v>41375</v>
      </c>
      <c r="G14" s="14"/>
      <c r="H14" s="12">
        <v>41558</v>
      </c>
      <c r="I14" s="12">
        <v>44480</v>
      </c>
      <c r="J14" s="13">
        <v>4.2500000000000003E-2</v>
      </c>
      <c r="K14" s="12">
        <v>44662</v>
      </c>
      <c r="L14" s="81" t="s">
        <v>1679</v>
      </c>
      <c r="M14" s="16" t="str" cm="1">
        <f t="array" ref="M14">_xll.aqBondObjectCreateFromGenerator($C14,$M$4&amp;"_"&amp;$L14,_xll.aqToolLVBFromKeysValues($C$7:$K$7,$C14:$K14))</f>
        <v>EJ6195758 Corp:5</v>
      </c>
      <c r="N14" s="78">
        <v>2.3369899320716248E-2</v>
      </c>
      <c r="O14" s="51">
        <v>106.364</v>
      </c>
      <c r="P14" s="17">
        <v>3.2423000000000002</v>
      </c>
      <c r="Q14" s="95">
        <v>345.08890000000002</v>
      </c>
      <c r="R14" s="39" cm="1">
        <f t="array" ref="R14">_xll.aqBondObjectYield(M14,$C$4,S14)</f>
        <v>2.3369899320968189E-2</v>
      </c>
      <c r="S14" s="47" cm="1">
        <f t="array" ref="S14">_xll.aqBondObjectPrice($M14,$C$4,$N14)</f>
        <v>106.364</v>
      </c>
      <c r="T14" s="47" cm="1">
        <f t="array" ref="T14">_xll.aqBondObjectCleanPrice($M14,$C$4,$N14)</f>
        <v>106.364</v>
      </c>
      <c r="U14" s="47" cm="1">
        <f t="array" ref="U14">_xll.aqBondObjectDirtyPrice($M14,$C$4,$N14)</f>
        <v>106.434</v>
      </c>
      <c r="V14" s="18" cm="1">
        <f t="array" ref="V14">_xll.aqBondObjectModifiedDuration($M14,$C$4,$N14)</f>
        <v>3.2422802271742337</v>
      </c>
      <c r="W14" s="93" cm="1">
        <f t="array" ref="W14">_xll.aqBondObjectDV01($M14,$C$4,$N14)</f>
        <v>345.08885369906238</v>
      </c>
      <c r="X14"/>
    </row>
    <row r="15" spans="2:25">
      <c r="B15" s="11" t="s">
        <v>1561</v>
      </c>
      <c r="C15" s="11" t="s">
        <v>1561</v>
      </c>
      <c r="D15" s="11" t="s">
        <v>1643</v>
      </c>
      <c r="E15" s="12">
        <v>40280</v>
      </c>
      <c r="F15" s="15">
        <v>40193</v>
      </c>
      <c r="G15" s="14"/>
      <c r="H15" s="12">
        <v>40374</v>
      </c>
      <c r="I15" s="12">
        <v>44576</v>
      </c>
      <c r="J15" s="13">
        <v>5.7500000000000002E-2</v>
      </c>
      <c r="K15" s="12">
        <v>44757</v>
      </c>
      <c r="L15" s="81" t="s">
        <v>1679</v>
      </c>
      <c r="M15" s="16" t="str" cm="1">
        <f t="array" ref="M15">_xll.aqBondObjectCreateFromGenerator($C15,$M$4&amp;"_"&amp;$L15,_xll.aqToolLVBFromKeysValues($C$7:$K$7,$C15:$K15))</f>
        <v>EI2142814 Corp:5</v>
      </c>
      <c r="N15" s="78">
        <v>2.1330083110766899E-2</v>
      </c>
      <c r="O15" s="51">
        <v>112.947</v>
      </c>
      <c r="P15" s="17">
        <v>3.3660000000000001</v>
      </c>
      <c r="Q15" s="95">
        <v>385.1232</v>
      </c>
      <c r="R15" s="39" cm="1">
        <f t="array" ref="R15">_xll.aqBondObjectYield(M15,$C$4,S15)</f>
        <v>2.1330083112552155E-2</v>
      </c>
      <c r="S15" s="47" cm="1">
        <f t="array" ref="S15">_xll.aqBondObjectPrice($M15,$C$4,$N15)</f>
        <v>112.947</v>
      </c>
      <c r="T15" s="47" cm="1">
        <f t="array" ref="T15">_xll.aqBondObjectCleanPrice($M15,$C$4,$N15)</f>
        <v>112.947</v>
      </c>
      <c r="U15" s="47" cm="1">
        <f t="array" ref="U15">_xll.aqBondObjectDirtyPrice($M15,$C$4,$N15)</f>
        <v>114.416</v>
      </c>
      <c r="V15" s="18" cm="1">
        <f t="array" ref="V15">_xll.aqBondObjectModifiedDuration($M15,$C$4,$N15)</f>
        <v>3.3659904282735704</v>
      </c>
      <c r="W15" s="93" cm="1">
        <f t="array" ref="W15">_xll.aqBondObjectDV01($M15,$C$4,$N15)</f>
        <v>385.12316084134881</v>
      </c>
      <c r="X15"/>
    </row>
    <row r="16" spans="2:25">
      <c r="B16" s="11" t="s">
        <v>1594</v>
      </c>
      <c r="C16" s="11" t="s">
        <v>1594</v>
      </c>
      <c r="D16" s="11" t="s">
        <v>1661</v>
      </c>
      <c r="E16" s="12">
        <v>40280</v>
      </c>
      <c r="F16" s="15">
        <v>40193</v>
      </c>
      <c r="G16" s="14"/>
      <c r="H16" s="12">
        <v>40374</v>
      </c>
      <c r="I16" s="12">
        <v>44576</v>
      </c>
      <c r="J16" s="13">
        <v>5.7500000000000002E-2</v>
      </c>
      <c r="K16" s="12">
        <v>44757</v>
      </c>
      <c r="L16" s="81" t="s">
        <v>1680</v>
      </c>
      <c r="M16" s="16" t="str" cm="1">
        <f t="array" ref="M16">_xll.aqBondObjectCreateFromGenerator($C16,$M$4&amp;"_"&amp;$L16,_xll.aqToolLVBFromKeysValues($C$7:$K$7,$C16:$K16))</f>
        <v>EJ6776680 Corp:5</v>
      </c>
      <c r="N16" s="78">
        <v>1.9988734416383346E-2</v>
      </c>
      <c r="O16" s="51">
        <v>114.934</v>
      </c>
      <c r="P16" s="17">
        <v>3.3692000000000002</v>
      </c>
      <c r="Q16" s="95">
        <v>387.23599999999999</v>
      </c>
      <c r="R16" s="39" cm="1">
        <f t="array" ref="R16">_xll.aqBondObjectYield(M16,$C$4,S16)</f>
        <v>1.9988734416386753E-2</v>
      </c>
      <c r="S16" s="47" cm="1">
        <f t="array" ref="S16">_xll.aqBondObjectPrice($M16,$C$4,$N16)</f>
        <v>114.934</v>
      </c>
      <c r="T16" s="47" cm="1">
        <f t="array" ref="T16">_xll.aqBondObjectCleanPrice($M16,$C$4,$N16)</f>
        <v>113.465</v>
      </c>
      <c r="U16" s="47" cm="1">
        <f t="array" ref="U16">_xll.aqBondObjectDirtyPrice($M16,$C$4,$N16)</f>
        <v>114.934</v>
      </c>
      <c r="V16" s="18" cm="1">
        <f t="array" ref="V16">_xll.aqBondObjectModifiedDuration($M16,$C$4,$N16)</f>
        <v>3.3692030523728009</v>
      </c>
      <c r="W16" s="93" cm="1">
        <f t="array" ref="W16">_xll.aqBondObjectDV01($M16,$C$4,$N16)</f>
        <v>387.23598362141547</v>
      </c>
      <c r="X16"/>
    </row>
    <row r="17" spans="2:24">
      <c r="B17" s="11" t="s">
        <v>1574</v>
      </c>
      <c r="C17" s="11" t="s">
        <v>1574</v>
      </c>
      <c r="D17" s="11" t="s">
        <v>1649</v>
      </c>
      <c r="E17" s="12">
        <v>42604</v>
      </c>
      <c r="F17" s="15">
        <v>42451</v>
      </c>
      <c r="G17" s="14"/>
      <c r="H17" s="12">
        <v>42635</v>
      </c>
      <c r="I17" s="12">
        <v>44642</v>
      </c>
      <c r="J17" s="13">
        <v>1.4999999999999999E-2</v>
      </c>
      <c r="K17" s="12">
        <v>44826</v>
      </c>
      <c r="L17" s="81" t="s">
        <v>1679</v>
      </c>
      <c r="M17" s="16" t="str" cm="1">
        <f t="array" ref="M17">_xll.aqBondObjectCreateFromGenerator($C17,$M$4&amp;"_"&amp;$L17,_xll.aqToolLVBFromKeysValues($C$7:$K$7,$C17:$K17))</f>
        <v>QZ2551245 Corp:5</v>
      </c>
      <c r="N17" s="78">
        <v>2.470958157045082E-2</v>
      </c>
      <c r="O17" s="51">
        <v>96.382999999999996</v>
      </c>
      <c r="P17" s="17">
        <v>3.7791999999999999</v>
      </c>
      <c r="Q17" s="95">
        <v>364.63979999999998</v>
      </c>
      <c r="R17" s="39" cm="1">
        <f t="array" ref="R17">_xll.aqBondObjectYield(M17,$C$4,S17)</f>
        <v>2.4709581570445227E-2</v>
      </c>
      <c r="S17" s="47" cm="1">
        <f t="array" ref="S17">_xll.aqBondObjectPrice($M17,$C$4,$N17)</f>
        <v>96.382999999999996</v>
      </c>
      <c r="T17" s="47" cm="1">
        <f t="array" ref="T17">_xll.aqBondObjectCleanPrice($M17,$C$4,$N17)</f>
        <v>96.382999999999996</v>
      </c>
      <c r="U17" s="47" cm="1">
        <f t="array" ref="U17">_xll.aqBondObjectDirtyPrice($M17,$C$4,$N17)</f>
        <v>96.486999999999995</v>
      </c>
      <c r="V17" s="18" cm="1">
        <f t="array" ref="V17">_xll.aqBondObjectModifiedDuration($M17,$C$4,$N17)</f>
        <v>3.7791596466172228</v>
      </c>
      <c r="W17" s="93" cm="1">
        <f t="array" ref="W17">_xll.aqBondObjectDV01($M17,$C$4,$N17)</f>
        <v>364.63977682315596</v>
      </c>
      <c r="X17"/>
    </row>
    <row r="18" spans="2:24">
      <c r="B18" s="11" t="s">
        <v>1581</v>
      </c>
      <c r="C18" s="11" t="s">
        <v>1581</v>
      </c>
      <c r="D18" s="11" t="s">
        <v>1654</v>
      </c>
      <c r="E18" s="12">
        <v>42487</v>
      </c>
      <c r="F18" s="15">
        <v>42480</v>
      </c>
      <c r="G18" s="14"/>
      <c r="H18" s="12">
        <v>42663</v>
      </c>
      <c r="I18" s="12">
        <v>44671</v>
      </c>
      <c r="J18" s="13">
        <v>2.75E-2</v>
      </c>
      <c r="K18" s="12">
        <v>44854</v>
      </c>
      <c r="L18" s="81" t="s">
        <v>1679</v>
      </c>
      <c r="M18" s="16" t="str" cm="1">
        <f t="array" ref="M18">_xll.aqBondObjectCreateFromGenerator($C18,$M$4&amp;"_"&amp;$L18,_xll.aqToolLVBFromKeysValues($C$7:$K$7,$C18:$K18))</f>
        <v>JK8199578 Corp:5</v>
      </c>
      <c r="N18" s="78">
        <v>2.4849112962163789E-2</v>
      </c>
      <c r="O18" s="51">
        <v>101.006</v>
      </c>
      <c r="P18" s="17">
        <v>3.7776000000000001</v>
      </c>
      <c r="Q18" s="95">
        <v>381.46969999999999</v>
      </c>
      <c r="R18" s="39" cm="1">
        <f t="array" ref="R18">_xll.aqBondObjectYield(M18,$C$4,S18)</f>
        <v>2.4849112962165045E-2</v>
      </c>
      <c r="S18" s="47" cm="1">
        <f t="array" ref="S18">_xll.aqBondObjectPrice($M18,$C$4,$N18)</f>
        <v>101.006</v>
      </c>
      <c r="T18" s="47" cm="1">
        <f t="array" ref="T18">_xll.aqBondObjectCleanPrice($M18,$C$4,$N18)</f>
        <v>101.006</v>
      </c>
      <c r="U18" s="47" cm="1">
        <f t="array" ref="U18">_xll.aqBondObjectDirtyPrice($M18,$C$4,$N18)</f>
        <v>100.983</v>
      </c>
      <c r="V18" s="18" cm="1">
        <f t="array" ref="V18">_xll.aqBondObjectModifiedDuration($M18,$C$4,$N18)</f>
        <v>3.7775637319685904</v>
      </c>
      <c r="W18" s="93" cm="1">
        <f t="array" ref="W18">_xll.aqBondObjectDV01($M18,$C$4,$N18)</f>
        <v>381.46971834538419</v>
      </c>
      <c r="X18"/>
    </row>
    <row r="19" spans="2:24">
      <c r="B19" s="11" t="s">
        <v>1559</v>
      </c>
      <c r="C19" s="11" t="s">
        <v>1559</v>
      </c>
      <c r="D19" s="11" t="s">
        <v>1611</v>
      </c>
      <c r="E19" s="12">
        <v>43021</v>
      </c>
      <c r="F19" s="15">
        <v>42876</v>
      </c>
      <c r="G19" s="14"/>
      <c r="H19" s="12">
        <v>43060</v>
      </c>
      <c r="I19" s="12">
        <v>44702</v>
      </c>
      <c r="J19" s="13">
        <v>2.2499999999999999E-2</v>
      </c>
      <c r="K19" s="12">
        <v>44886</v>
      </c>
      <c r="L19" s="81" t="s">
        <v>1679</v>
      </c>
      <c r="M19" s="16" t="str" cm="1">
        <f t="array" ref="M19">_xll.aqBondObjectCreateFromGenerator($C19,$M$4&amp;"_"&amp;$L19,_xll.aqToolLVBFromKeysValues($C$7:$K$7,$C19:$K19))</f>
        <v>AP3642968 Corp:5</v>
      </c>
      <c r="N19" s="78">
        <v>2.1920118798694151E-2</v>
      </c>
      <c r="O19" s="51">
        <v>100.22499999999999</v>
      </c>
      <c r="P19" s="17">
        <v>3.8580000000000001</v>
      </c>
      <c r="Q19" s="95">
        <v>390.1814</v>
      </c>
      <c r="R19" s="39" cm="1">
        <f t="array" ref="R19">_xll.aqBondObjectYield(M19,$C$4,S19)</f>
        <v>2.1920118798694176E-2</v>
      </c>
      <c r="S19" s="47" cm="1">
        <f t="array" ref="S19">_xll.aqBondObjectPrice($M19,$C$4,$N19)</f>
        <v>100.22499999999999</v>
      </c>
      <c r="T19" s="47" cm="1">
        <f t="array" ref="T19">_xll.aqBondObjectCleanPrice($M19,$C$4,$N19)</f>
        <v>100.22499999999999</v>
      </c>
      <c r="U19" s="47" cm="1">
        <f t="array" ref="U19">_xll.aqBondObjectDirtyPrice($M19,$C$4,$N19)</f>
        <v>101.136</v>
      </c>
      <c r="V19" s="18" cm="1">
        <f t="array" ref="V19">_xll.aqBondObjectModifiedDuration($M19,$C$4,$N19)</f>
        <v>3.8579873600380301</v>
      </c>
      <c r="W19" s="93" cm="1">
        <f t="array" ref="W19">_xll.aqBondObjectDV01($M19,$C$4,$N19)</f>
        <v>390.18140964480619</v>
      </c>
      <c r="X19"/>
    </row>
    <row r="20" spans="2:24">
      <c r="B20" s="11" t="s">
        <v>1596</v>
      </c>
      <c r="C20" s="11" t="s">
        <v>1596</v>
      </c>
      <c r="D20" s="11" t="s">
        <v>1627</v>
      </c>
      <c r="E20" s="12">
        <v>43019</v>
      </c>
      <c r="F20" s="15">
        <v>43019</v>
      </c>
      <c r="G20" s="14"/>
      <c r="H20" s="12">
        <v>43060</v>
      </c>
      <c r="I20" s="12">
        <v>44702</v>
      </c>
      <c r="J20" s="13">
        <v>2.2499999999999999E-2</v>
      </c>
      <c r="K20" s="12">
        <v>44886</v>
      </c>
      <c r="L20" s="81" t="s">
        <v>1680</v>
      </c>
      <c r="M20" s="16" t="str" cm="1">
        <f t="array" ref="M20">_xll.aqBondObjectCreateFromGenerator($C20,$M$4&amp;"_"&amp;$L20,_xll.aqToolLVBFromKeysValues($C$7:$K$7,$C20:$K20))</f>
        <v>AP4429340 Corp:5</v>
      </c>
      <c r="N20" s="78">
        <v>2.0838634680001574E-2</v>
      </c>
      <c r="O20" s="51">
        <v>101.559</v>
      </c>
      <c r="P20" s="17">
        <v>3.8605999999999998</v>
      </c>
      <c r="Q20" s="95">
        <v>392.07870000000003</v>
      </c>
      <c r="R20" s="39" cm="1">
        <f t="array" ref="R20">_xll.aqBondObjectYield(M20,$C$4,S20)</f>
        <v>2.0838634682428601E-2</v>
      </c>
      <c r="S20" s="47" cm="1">
        <f t="array" ref="S20">_xll.aqBondObjectPrice($M20,$C$4,$N20)</f>
        <v>101.559</v>
      </c>
      <c r="T20" s="47" cm="1">
        <f t="array" ref="T20">_xll.aqBondObjectCleanPrice($M20,$C$4,$N20)</f>
        <v>100.648</v>
      </c>
      <c r="U20" s="47" cm="1">
        <f t="array" ref="U20">_xll.aqBondObjectDirtyPrice($M20,$C$4,$N20)</f>
        <v>101.559</v>
      </c>
      <c r="V20" s="18" cm="1">
        <f t="array" ref="V20">_xll.aqBondObjectModifiedDuration($M20,$C$4,$N20)</f>
        <v>3.8605999556129333</v>
      </c>
      <c r="W20" s="93" cm="1">
        <f t="array" ref="W20">_xll.aqBondObjectDV01($M20,$C$4,$N20)</f>
        <v>392.0786708920939</v>
      </c>
      <c r="X20"/>
    </row>
    <row r="21" spans="2:24">
      <c r="B21" s="11" t="s">
        <v>1563</v>
      </c>
      <c r="C21" s="11" t="s">
        <v>1563</v>
      </c>
      <c r="D21" s="11" t="s">
        <v>1612</v>
      </c>
      <c r="E21" s="12">
        <v>40686</v>
      </c>
      <c r="F21" s="15">
        <v>40654</v>
      </c>
      <c r="G21" s="14"/>
      <c r="H21" s="12">
        <v>40837</v>
      </c>
      <c r="I21" s="12">
        <v>44855</v>
      </c>
      <c r="J21" s="13">
        <v>5.5E-2</v>
      </c>
      <c r="K21" s="12">
        <v>45037</v>
      </c>
      <c r="L21" s="81" t="s">
        <v>1679</v>
      </c>
      <c r="M21" s="16" t="str" cm="1">
        <f t="array" ref="M21">_xll.aqBondObjectCreateFromGenerator($C21,$M$4&amp;"_"&amp;$L21,_xll.aqToolLVBFromKeysValues($C$7:$K$7,$C21:$K21))</f>
        <v>EI6831487 Corp:5</v>
      </c>
      <c r="N21" s="78">
        <v>2.2259823365548676E-2</v>
      </c>
      <c r="O21" s="51">
        <v>113.97799999999999</v>
      </c>
      <c r="P21" s="17">
        <v>4.0471000000000004</v>
      </c>
      <c r="Q21" s="95">
        <v>461.03789999999998</v>
      </c>
      <c r="R21" s="39" cm="1">
        <f t="array" ref="R21">_xll.aqBondObjectYield(M21,$C$4,S21)</f>
        <v>2.2259823365550883E-2</v>
      </c>
      <c r="S21" s="47" cm="1">
        <f t="array" ref="S21">_xll.aqBondObjectPrice($M21,$C$4,$N21)</f>
        <v>113.97800000000001</v>
      </c>
      <c r="T21" s="47" cm="1">
        <f t="array" ref="T21">_xll.aqBondObjectCleanPrice($M21,$C$4,$N21)</f>
        <v>113.97800000000001</v>
      </c>
      <c r="U21" s="47" cm="1">
        <f t="array" ref="U21">_xll.aqBondObjectDirtyPrice($M21,$C$4,$N21)</f>
        <v>113.91800000000001</v>
      </c>
      <c r="V21" s="18" cm="1">
        <f t="array" ref="V21">_xll.aqBondObjectModifiedDuration($M21,$C$4,$N21)</f>
        <v>4.0471034466044857</v>
      </c>
      <c r="W21" s="93" cm="1">
        <f t="array" ref="W21">_xll.aqBondObjectDV01($M21,$C$4,$N21)</f>
        <v>461.03793043028986</v>
      </c>
      <c r="X21"/>
    </row>
    <row r="22" spans="2:24">
      <c r="B22" s="11" t="s">
        <v>1607</v>
      </c>
      <c r="C22" s="11" t="s">
        <v>1607</v>
      </c>
      <c r="D22" s="11" t="s">
        <v>1634</v>
      </c>
      <c r="E22" s="12">
        <v>40686</v>
      </c>
      <c r="F22" s="15">
        <v>40654</v>
      </c>
      <c r="G22" s="14"/>
      <c r="H22" s="12">
        <v>40837</v>
      </c>
      <c r="I22" s="12">
        <v>44855</v>
      </c>
      <c r="J22" s="13">
        <v>5.5E-2</v>
      </c>
      <c r="K22" s="12">
        <v>45037</v>
      </c>
      <c r="L22" s="81" t="s">
        <v>1680</v>
      </c>
      <c r="M22" s="16" t="str" cm="1">
        <f t="array" ref="M22">_xll.aqBondObjectCreateFromGenerator($C22,$M$4&amp;"_"&amp;$L22,_xll.aqToolLVBFromKeysValues($C$7:$K$7,$C22:$K22))</f>
        <v>EJ6777035 Corp:5</v>
      </c>
      <c r="N22" s="78">
        <v>2.1463146066719629E-2</v>
      </c>
      <c r="O22" s="51">
        <v>114.286</v>
      </c>
      <c r="P22" s="17">
        <v>4.0495000000000001</v>
      </c>
      <c r="Q22" s="95">
        <v>462.80040000000002</v>
      </c>
      <c r="R22" s="39" cm="1">
        <f t="array" ref="R22">_xll.aqBondObjectYield(M22,$C$4,S22)</f>
        <v>2.1463146066722623E-2</v>
      </c>
      <c r="S22" s="47" cm="1">
        <f t="array" ref="S22">_xll.aqBondObjectPrice($M22,$C$4,$N22)</f>
        <v>114.286</v>
      </c>
      <c r="T22" s="47" cm="1">
        <f t="array" ref="T22">_xll.aqBondObjectCleanPrice($M22,$C$4,$N22)</f>
        <v>114.346</v>
      </c>
      <c r="U22" s="47" cm="1">
        <f t="array" ref="U22">_xll.aqBondObjectDirtyPrice($M22,$C$4,$N22)</f>
        <v>114.286</v>
      </c>
      <c r="V22" s="18" cm="1">
        <f t="array" ref="V22">_xll.aqBondObjectModifiedDuration($M22,$C$4,$N22)</f>
        <v>4.0494930800250426</v>
      </c>
      <c r="W22" s="93" cm="1">
        <f t="array" ref="W22">_xll.aqBondObjectDV01($M22,$C$4,$N22)</f>
        <v>462.80036614374205</v>
      </c>
      <c r="X22"/>
    </row>
    <row r="23" spans="2:24">
      <c r="B23" s="11" t="s">
        <v>1575</v>
      </c>
      <c r="C23" s="11" t="s">
        <v>1575</v>
      </c>
      <c r="D23" s="11" t="s">
        <v>1650</v>
      </c>
      <c r="E23" s="12">
        <v>38412</v>
      </c>
      <c r="F23" s="15">
        <v>38412</v>
      </c>
      <c r="G23" s="14"/>
      <c r="H23" s="12">
        <v>38458</v>
      </c>
      <c r="I23" s="12">
        <v>45032</v>
      </c>
      <c r="J23" s="13">
        <v>0.06</v>
      </c>
      <c r="K23" s="12">
        <v>45215</v>
      </c>
      <c r="L23" s="81" t="s">
        <v>1679</v>
      </c>
      <c r="M23" s="16" t="str" cm="1">
        <f t="array" ref="M23">_xll.aqBondObjectCreateFromGenerator($C23,$M$4&amp;"_"&amp;$L23,_xll.aqToolLVBFromKeysValues($C$7:$K$7,$C23:$K23))</f>
        <v>EF2711531 Corp:5</v>
      </c>
      <c r="N23" s="78">
        <v>2.5860960794253627E-2</v>
      </c>
      <c r="O23" s="51">
        <v>115.908</v>
      </c>
      <c r="P23" s="17">
        <v>4.3848000000000003</v>
      </c>
      <c r="Q23" s="95">
        <v>508.30459999999999</v>
      </c>
      <c r="R23" s="39" cm="1">
        <f t="array" ref="R23">_xll.aqBondObjectYield(M23,$C$4,S23)</f>
        <v>2.5860960794229376E-2</v>
      </c>
      <c r="S23" s="47" cm="1">
        <f t="array" ref="S23">_xll.aqBondObjectPrice($M23,$C$4,$N23)</f>
        <v>115.908</v>
      </c>
      <c r="T23" s="47" cm="1">
        <f t="array" ref="T23">_xll.aqBondObjectCleanPrice($M23,$C$4,$N23)</f>
        <v>115.908</v>
      </c>
      <c r="U23" s="47" cm="1">
        <f t="array" ref="U23">_xll.aqBondObjectDirtyPrice($M23,$C$4,$N23)</f>
        <v>115.92400000000001</v>
      </c>
      <c r="V23" s="18" cm="1">
        <f t="array" ref="V23">_xll.aqBondObjectModifiedDuration($M23,$C$4,$N23)</f>
        <v>4.3848086565530311</v>
      </c>
      <c r="W23" s="93" cm="1">
        <f t="array" ref="W23">_xll.aqBondObjectDV01($M23,$C$4,$N23)</f>
        <v>508.30455870225359</v>
      </c>
      <c r="X23"/>
    </row>
    <row r="24" spans="2:24">
      <c r="B24" s="11" t="s">
        <v>1585</v>
      </c>
      <c r="C24" s="11" t="s">
        <v>1585</v>
      </c>
      <c r="D24" s="11" t="s">
        <v>1621</v>
      </c>
      <c r="E24" s="12">
        <v>41591</v>
      </c>
      <c r="F24" s="15">
        <v>41591</v>
      </c>
      <c r="G24" s="14"/>
      <c r="H24" s="12">
        <v>41772</v>
      </c>
      <c r="I24" s="12">
        <v>45059</v>
      </c>
      <c r="J24" s="13">
        <v>5.5E-2</v>
      </c>
      <c r="K24" s="12">
        <v>45243</v>
      </c>
      <c r="L24" s="81" t="s">
        <v>1679</v>
      </c>
      <c r="M24" s="16" t="str" cm="1">
        <f t="array" ref="M24">_xll.aqBondObjectCreateFromGenerator($C24,$M$4&amp;"_"&amp;$L24,_xll.aqToolLVBFromKeysValues($C$7:$K$7,$C24:$K24))</f>
        <v>EJ9131404 Corp:5</v>
      </c>
      <c r="N24" s="78">
        <v>3.1080298359869224E-2</v>
      </c>
      <c r="O24" s="51">
        <v>111.145</v>
      </c>
      <c r="P24" s="17">
        <v>4.3701999999999996</v>
      </c>
      <c r="Q24" s="95">
        <v>495.98020000000002</v>
      </c>
      <c r="R24" s="39" cm="1">
        <f t="array" ref="R24">_xll.aqBondObjectYield(M24,$C$4,S24)</f>
        <v>3.1080298359858486E-2</v>
      </c>
      <c r="S24" s="47" cm="1">
        <f t="array" ref="S24">_xll.aqBondObjectPrice($M24,$C$4,$N24)</f>
        <v>111.145</v>
      </c>
      <c r="T24" s="47" cm="1">
        <f t="array" ref="T24">_xll.aqBondObjectCleanPrice($M24,$C$4,$N24)</f>
        <v>111.145</v>
      </c>
      <c r="U24" s="47" cm="1">
        <f t="array" ref="U24">_xll.aqBondObjectDirtyPrice($M24,$C$4,$N24)</f>
        <v>113.491</v>
      </c>
      <c r="V24" s="18" cm="1">
        <f t="array" ref="V24">_xll.aqBondObjectModifiedDuration($M24,$C$4,$N24)</f>
        <v>4.3702162263801529</v>
      </c>
      <c r="W24" s="93" cm="1">
        <f t="array" ref="W24">_xll.aqBondObjectDV01($M24,$C$4,$N24)</f>
        <v>495.98020974810993</v>
      </c>
      <c r="X24"/>
    </row>
    <row r="25" spans="2:24">
      <c r="B25" s="11" t="s">
        <v>1592</v>
      </c>
      <c r="C25" s="11" t="s">
        <v>1592</v>
      </c>
      <c r="D25" s="11" t="s">
        <v>1660</v>
      </c>
      <c r="E25" s="12">
        <v>41753</v>
      </c>
      <c r="F25" s="15">
        <v>41598</v>
      </c>
      <c r="G25" s="14"/>
      <c r="H25" s="12">
        <v>41779</v>
      </c>
      <c r="I25" s="12">
        <v>45066</v>
      </c>
      <c r="J25" s="13">
        <v>4.2500000000000003E-2</v>
      </c>
      <c r="K25" s="12">
        <v>45250</v>
      </c>
      <c r="L25" s="81" t="s">
        <v>1679</v>
      </c>
      <c r="M25" s="16" t="str" cm="1">
        <f t="array" ref="M25">_xll.aqBondObjectCreateFromGenerator($C25,$M$4&amp;"_"&amp;$L25,_xll.aqToolLVBFromKeysValues($C$7:$K$7,$C25:$K25))</f>
        <v>EK1791483 Corp:5</v>
      </c>
      <c r="N25" s="78">
        <v>2.6060104333140707E-2</v>
      </c>
      <c r="O25" s="51">
        <v>107.791</v>
      </c>
      <c r="P25" s="17">
        <v>4.5212000000000003</v>
      </c>
      <c r="Q25" s="95">
        <v>495.17660000000001</v>
      </c>
      <c r="R25" s="39" cm="1">
        <f t="array" ref="R25">_xll.aqBondObjectYield(M25,$C$4,S25)</f>
        <v>2.6060104334718212E-2</v>
      </c>
      <c r="S25" s="47" cm="1">
        <f t="array" ref="S25">_xll.aqBondObjectPrice($M25,$C$4,$N25)</f>
        <v>107.791</v>
      </c>
      <c r="T25" s="47" cm="1">
        <f t="array" ref="T25">_xll.aqBondObjectCleanPrice($M25,$C$4,$N25)</f>
        <v>107.791</v>
      </c>
      <c r="U25" s="47" cm="1">
        <f t="array" ref="U25">_xll.aqBondObjectDirtyPrice($M25,$C$4,$N25)</f>
        <v>109.523</v>
      </c>
      <c r="V25" s="18" cm="1">
        <f t="array" ref="V25">_xll.aqBondObjectModifiedDuration($M25,$C$4,$N25)</f>
        <v>4.5212114463253137</v>
      </c>
      <c r="W25" s="93" cm="1">
        <f t="array" ref="W25">_xll.aqBondObjectDV01($M25,$C$4,$N25)</f>
        <v>495.1766412358873</v>
      </c>
      <c r="X25"/>
    </row>
    <row r="26" spans="2:24">
      <c r="B26" s="11" t="s">
        <v>1554</v>
      </c>
      <c r="C26" s="11" t="s">
        <v>1554</v>
      </c>
      <c r="D26" s="11" t="s">
        <v>1638</v>
      </c>
      <c r="E26" s="12">
        <v>41085</v>
      </c>
      <c r="F26" s="15">
        <v>41020</v>
      </c>
      <c r="G26" s="14"/>
      <c r="H26" s="12">
        <v>41203</v>
      </c>
      <c r="I26" s="12">
        <v>45220</v>
      </c>
      <c r="J26" s="13">
        <v>2.75E-2</v>
      </c>
      <c r="K26" s="12">
        <v>45403</v>
      </c>
      <c r="L26" s="81" t="s">
        <v>1679</v>
      </c>
      <c r="M26" s="16" t="str" cm="1">
        <f t="array" ref="M26">_xll.aqBondObjectCreateFromGenerator($C26,$M$4&amp;"_"&amp;$L26,_xll.aqToolLVBFromKeysValues($C$7:$K$7,$C26:$K26))</f>
        <v>EJ2445694 Corp:5</v>
      </c>
      <c r="N26" s="78">
        <v>2.3560445063005621E-2</v>
      </c>
      <c r="O26" s="51">
        <v>102.02500000000001</v>
      </c>
      <c r="P26" s="17">
        <v>5.0971000000000002</v>
      </c>
      <c r="Q26" s="95">
        <v>519.87540000000001</v>
      </c>
      <c r="R26" s="39" cm="1">
        <f t="array" ref="R26">_xll.aqBondObjectYield(M26,$C$4,S26)</f>
        <v>2.3560445063028818E-2</v>
      </c>
      <c r="S26" s="47" cm="1">
        <f t="array" ref="S26">_xll.aqBondObjectPrice($M26,$C$4,$N26)</f>
        <v>102.02500000000001</v>
      </c>
      <c r="T26" s="47" cm="1">
        <f t="array" ref="T26">_xll.aqBondObjectCleanPrice($M26,$C$4,$N26)</f>
        <v>102.02500000000001</v>
      </c>
      <c r="U26" s="47" cm="1">
        <f t="array" ref="U26">_xll.aqBondObjectDirtyPrice($M26,$C$4,$N26)</f>
        <v>101.995</v>
      </c>
      <c r="V26" s="18" cm="1">
        <f t="array" ref="V26">_xll.aqBondObjectModifiedDuration($M26,$C$4,$N26)</f>
        <v>5.0970676868575184</v>
      </c>
      <c r="W26" s="93" cm="1">
        <f t="array" ref="W26">_xll.aqBondObjectDV01($M26,$C$4,$N26)</f>
        <v>519.87541872103259</v>
      </c>
      <c r="X26"/>
    </row>
    <row r="27" spans="2:24">
      <c r="B27" s="11" t="s">
        <v>1603</v>
      </c>
      <c r="C27" s="11" t="s">
        <v>1603</v>
      </c>
      <c r="D27" s="11" t="s">
        <v>1631</v>
      </c>
      <c r="E27" s="12">
        <v>41085</v>
      </c>
      <c r="F27" s="15">
        <v>41020</v>
      </c>
      <c r="G27" s="14"/>
      <c r="H27" s="12">
        <v>41203</v>
      </c>
      <c r="I27" s="12">
        <v>45220</v>
      </c>
      <c r="J27" s="13">
        <v>2.75E-2</v>
      </c>
      <c r="K27" s="12">
        <v>45403</v>
      </c>
      <c r="L27" s="81" t="s">
        <v>1680</v>
      </c>
      <c r="M27" s="16" t="str" cm="1">
        <f t="array" ref="M27">_xll.aqBondObjectCreateFromGenerator($C27,$M$4&amp;"_"&amp;$L27,_xll.aqToolLVBFromKeysValues($C$7:$K$7,$C27:$K27))</f>
        <v>EJ6776938 Corp:5</v>
      </c>
      <c r="N27" s="78">
        <v>2.2402530709638525E-2</v>
      </c>
      <c r="O27" s="51">
        <v>102.599</v>
      </c>
      <c r="P27" s="17">
        <v>5.1013000000000002</v>
      </c>
      <c r="Q27" s="95">
        <v>523.38390000000004</v>
      </c>
      <c r="R27" s="39" cm="1">
        <f t="array" ref="R27">_xll.aqBondObjectYield(M27,$C$4,S27)</f>
        <v>2.240253070966473E-2</v>
      </c>
      <c r="S27" s="47" cm="1">
        <f t="array" ref="S27">_xll.aqBondObjectPrice($M27,$C$4,$N27)</f>
        <v>102.599</v>
      </c>
      <c r="T27" s="47" cm="1">
        <f t="array" ref="T27">_xll.aqBondObjectCleanPrice($M27,$C$4,$N27)</f>
        <v>102.629</v>
      </c>
      <c r="U27" s="47" cm="1">
        <f t="array" ref="U27">_xll.aqBondObjectDirtyPrice($M27,$C$4,$N27)</f>
        <v>102.599</v>
      </c>
      <c r="V27" s="18" cm="1">
        <f t="array" ref="V27">_xll.aqBondObjectModifiedDuration($M27,$C$4,$N27)</f>
        <v>5.1012577405529687</v>
      </c>
      <c r="W27" s="93" cm="1">
        <f t="array" ref="W27">_xll.aqBondObjectDV01($M27,$C$4,$N27)</f>
        <v>523.38394292299404</v>
      </c>
      <c r="X27"/>
    </row>
    <row r="28" spans="2:24">
      <c r="B28" s="11" t="s">
        <v>1606</v>
      </c>
      <c r="C28" s="11" t="s">
        <v>1606</v>
      </c>
      <c r="D28" s="11" t="s">
        <v>1633</v>
      </c>
      <c r="E28" s="12">
        <v>41781</v>
      </c>
      <c r="F28" s="15">
        <v>41781</v>
      </c>
      <c r="G28" s="14"/>
      <c r="H28" s="12">
        <v>41965</v>
      </c>
      <c r="I28" s="12">
        <v>45252</v>
      </c>
      <c r="J28" s="13">
        <v>0.04</v>
      </c>
      <c r="K28" s="12">
        <v>45434</v>
      </c>
      <c r="L28" s="81" t="s">
        <v>1679</v>
      </c>
      <c r="M28" s="16" t="str" cm="1">
        <f t="array" ref="M28">_xll.aqBondObjectCreateFromGenerator($C28,$M$4&amp;"_"&amp;$L28,_xll.aqToolLVBFromKeysValues($C$7:$K$7,$C28:$K28))</f>
        <v>EK2751312 Corp:5</v>
      </c>
      <c r="N28" s="78">
        <v>2.6080343205790266E-2</v>
      </c>
      <c r="O28" s="51">
        <v>107.20399999999999</v>
      </c>
      <c r="P28" s="17">
        <v>4.9534000000000002</v>
      </c>
      <c r="Q28" s="95">
        <v>538.99929999999995</v>
      </c>
      <c r="R28" s="39" cm="1">
        <f t="array" ref="R28">_xll.aqBondObjectYield(M28,$C$4,S28)</f>
        <v>2.6080343207445202E-2</v>
      </c>
      <c r="S28" s="47" cm="1">
        <f t="array" ref="S28">_xll.aqBondObjectPrice($M28,$C$4,$N28)</f>
        <v>107.20400000000001</v>
      </c>
      <c r="T28" s="47" cm="1">
        <f t="array" ref="T28">_xll.aqBondObjectCleanPrice($M28,$C$4,$N28)</f>
        <v>107.20400000000001</v>
      </c>
      <c r="U28" s="47" cm="1">
        <f t="array" ref="U28">_xll.aqBondObjectDirtyPrice($M28,$C$4,$N28)</f>
        <v>108.813</v>
      </c>
      <c r="V28" s="18" cm="1">
        <f t="array" ref="V28">_xll.aqBondObjectModifiedDuration($M28,$C$4,$N28)</f>
        <v>4.953445659073485</v>
      </c>
      <c r="W28" s="93" cm="1">
        <f t="array" ref="W28">_xll.aqBondObjectDV01($M28,$C$4,$N28)</f>
        <v>538.99928250076312</v>
      </c>
      <c r="X28"/>
    </row>
    <row r="29" spans="2:24">
      <c r="B29" s="11" t="s">
        <v>1577</v>
      </c>
      <c r="C29" s="11" t="s">
        <v>1577</v>
      </c>
      <c r="D29" s="11" t="s">
        <v>1651</v>
      </c>
      <c r="E29" s="12">
        <v>42699</v>
      </c>
      <c r="F29" s="15">
        <v>42574</v>
      </c>
      <c r="G29" s="14"/>
      <c r="H29" s="12">
        <v>42758</v>
      </c>
      <c r="I29" s="12">
        <v>45314</v>
      </c>
      <c r="J29" s="13">
        <v>2.5000000000000001E-2</v>
      </c>
      <c r="K29" s="12">
        <v>45496</v>
      </c>
      <c r="L29" s="81" t="s">
        <v>1679</v>
      </c>
      <c r="M29" s="16" t="str" cm="1">
        <f t="array" ref="M29">_xll.aqBondObjectCreateFromGenerator($C29,$M$4&amp;"_"&amp;$L29,_xll.aqToolLVBFromKeysValues($C$7:$K$7,$C29:$K29))</f>
        <v>AL0875834 Corp:5</v>
      </c>
      <c r="N29" s="78">
        <v>2.7630122094169637E-2</v>
      </c>
      <c r="O29" s="51">
        <v>98.605000000000004</v>
      </c>
      <c r="P29" s="17">
        <v>5.2984999999999998</v>
      </c>
      <c r="Q29" s="95">
        <v>525.54809999999998</v>
      </c>
      <c r="R29" s="39" cm="1">
        <f t="array" ref="R29">_xll.aqBondObjectYield(M29,$C$4,S29)</f>
        <v>2.7630122094161901E-2</v>
      </c>
      <c r="S29" s="47" cm="1">
        <f t="array" ref="S29">_xll.aqBondObjectPrice($M29,$C$4,$N29)</f>
        <v>98.60499999999999</v>
      </c>
      <c r="T29" s="47" cm="1">
        <f t="array" ref="T29">_xll.aqBondObjectCleanPrice($M29,$C$4,$N29)</f>
        <v>98.60499999999999</v>
      </c>
      <c r="U29" s="47" cm="1">
        <f t="array" ref="U29">_xll.aqBondObjectDirtyPrice($M29,$C$4,$N29)</f>
        <v>99.188999999999993</v>
      </c>
      <c r="V29" s="18" cm="1">
        <f t="array" ref="V29">_xll.aqBondObjectModifiedDuration($M29,$C$4,$N29)</f>
        <v>5.2984510721768903</v>
      </c>
      <c r="W29" s="93" cm="1">
        <f t="array" ref="W29">_xll.aqBondObjectDV01($M29,$C$4,$N29)</f>
        <v>525.54806339815354</v>
      </c>
      <c r="X29"/>
    </row>
    <row r="30" spans="2:24">
      <c r="B30" s="11" t="s">
        <v>1578</v>
      </c>
      <c r="C30" s="11" t="s">
        <v>1578</v>
      </c>
      <c r="D30" s="11" t="s">
        <v>1652</v>
      </c>
      <c r="E30" s="12">
        <v>42689</v>
      </c>
      <c r="F30" s="15">
        <v>42597</v>
      </c>
      <c r="G30" s="14"/>
      <c r="H30" s="12">
        <v>42781</v>
      </c>
      <c r="I30" s="12">
        <v>45337</v>
      </c>
      <c r="J30" s="13">
        <v>2.2499999999999999E-2</v>
      </c>
      <c r="K30" s="12">
        <v>45519</v>
      </c>
      <c r="L30" s="81" t="s">
        <v>1679</v>
      </c>
      <c r="M30" s="16" t="str" cm="1">
        <f t="array" ref="M30">_xll.aqBondObjectCreateFromGenerator($C30,$M$4&amp;"_"&amp;$L30,_xll.aqToolLVBFromKeysValues($C$7:$K$7,$C30:$K30))</f>
        <v>AL0690951 Corp:5</v>
      </c>
      <c r="N30" s="78">
        <v>2.7529533001373962E-2</v>
      </c>
      <c r="O30" s="51">
        <v>97.307000000000002</v>
      </c>
      <c r="P30" s="17">
        <v>5.3944999999999999</v>
      </c>
      <c r="Q30" s="95">
        <v>526.99630000000002</v>
      </c>
      <c r="R30" s="39" cm="1">
        <f t="array" ref="R30">_xll.aqBondObjectYield(M30,$C$4,S30)</f>
        <v>2.7529533001332034E-2</v>
      </c>
      <c r="S30" s="47" cm="1">
        <f t="array" ref="S30">_xll.aqBondObjectPrice($M30,$C$4,$N30)</f>
        <v>97.306999999999988</v>
      </c>
      <c r="T30" s="47" cm="1">
        <f t="array" ref="T30">_xll.aqBondObjectCleanPrice($M30,$C$4,$N30)</f>
        <v>97.306999999999988</v>
      </c>
      <c r="U30" s="47" cm="1">
        <f t="array" ref="U30">_xll.aqBondObjectDirtyPrice($M30,$C$4,$N30)</f>
        <v>97.691999999999993</v>
      </c>
      <c r="V30" s="18" cm="1">
        <f t="array" ref="V30">_xll.aqBondObjectModifiedDuration($M30,$C$4,$N30)</f>
        <v>5.3944670362167431</v>
      </c>
      <c r="W30" s="93" cm="1">
        <f t="array" ref="W30">_xll.aqBondObjectDV01($M30,$C$4,$N30)</f>
        <v>526.996273702086</v>
      </c>
      <c r="X30"/>
    </row>
    <row r="31" spans="2:24">
      <c r="B31" s="11" t="s">
        <v>1583</v>
      </c>
      <c r="C31" s="11" t="s">
        <v>1583</v>
      </c>
      <c r="D31" s="11" t="s">
        <v>1656</v>
      </c>
      <c r="E31" s="12">
        <v>42114</v>
      </c>
      <c r="F31" s="15">
        <v>42110</v>
      </c>
      <c r="G31" s="14"/>
      <c r="H31" s="12">
        <v>42293</v>
      </c>
      <c r="I31" s="12">
        <v>45581</v>
      </c>
      <c r="J31" s="13">
        <v>2.75E-2</v>
      </c>
      <c r="K31" s="12">
        <v>45763</v>
      </c>
      <c r="L31" s="81" t="s">
        <v>1679</v>
      </c>
      <c r="M31" s="16" t="str" cm="1">
        <f t="array" ref="M31">_xll.aqBondObjectCreateFromGenerator($C31,$M$4&amp;"_"&amp;$L31,_xll.aqToolLVBFromKeysValues($C$7:$K$7,$C31:$K31))</f>
        <v>EK8553563 Corp:5</v>
      </c>
      <c r="N31" s="78">
        <v>2.8229865416990255E-2</v>
      </c>
      <c r="O31" s="51">
        <v>99.569000000000003</v>
      </c>
      <c r="P31" s="17">
        <v>5.9089999999999998</v>
      </c>
      <c r="Q31" s="95">
        <v>588.3963</v>
      </c>
      <c r="R31" s="39" cm="1">
        <f t="array" ref="R31">_xll.aqBondObjectYield(M31,$C$4,S31)</f>
        <v>2.8229865416989786E-2</v>
      </c>
      <c r="S31" s="47" cm="1">
        <f t="array" ref="S31">_xll.aqBondObjectPrice($M31,$C$4,$N31)</f>
        <v>99.569000000000003</v>
      </c>
      <c r="T31" s="47" cm="1">
        <f t="array" ref="T31">_xll.aqBondObjectCleanPrice($M31,$C$4,$N31)</f>
        <v>99.569000000000003</v>
      </c>
      <c r="U31" s="47" cm="1">
        <f t="array" ref="U31">_xll.aqBondObjectDirtyPrice($M31,$C$4,$N31)</f>
        <v>99.576999999999998</v>
      </c>
      <c r="V31" s="18" cm="1">
        <f t="array" ref="V31">_xll.aqBondObjectModifiedDuration($M31,$C$4,$N31)</f>
        <v>5.9089579482528327</v>
      </c>
      <c r="W31" s="93" cm="1">
        <f t="array" ref="W31">_xll.aqBondObjectDV01($M31,$C$4,$N31)</f>
        <v>588.39630561317233</v>
      </c>
      <c r="X31"/>
    </row>
    <row r="32" spans="2:24">
      <c r="B32" s="11" t="s">
        <v>1558</v>
      </c>
      <c r="C32" s="11" t="s">
        <v>1558</v>
      </c>
      <c r="D32" s="11" t="s">
        <v>1641</v>
      </c>
      <c r="E32" s="12">
        <v>41423</v>
      </c>
      <c r="F32" s="15">
        <v>41385</v>
      </c>
      <c r="G32" s="14"/>
      <c r="H32" s="12">
        <v>41568</v>
      </c>
      <c r="I32" s="12">
        <v>45586</v>
      </c>
      <c r="J32" s="13">
        <v>3.2500000000000001E-2</v>
      </c>
      <c r="K32" s="12">
        <v>45768</v>
      </c>
      <c r="L32" s="81" t="s">
        <v>1679</v>
      </c>
      <c r="M32" s="16" t="str" cm="1">
        <f t="array" ref="M32">_xll.aqBondObjectCreateFromGenerator($C32,$M$4&amp;"_"&amp;$L32,_xll.aqToolLVBFromKeysValues($C$7:$K$7,$C32:$K32))</f>
        <v>EJ6791309 Corp:5</v>
      </c>
      <c r="N32" s="78">
        <v>2.4570378643285533E-2</v>
      </c>
      <c r="O32" s="51">
        <v>104.745</v>
      </c>
      <c r="P32" s="17">
        <v>5.8669000000000002</v>
      </c>
      <c r="Q32" s="95">
        <v>614.31910000000005</v>
      </c>
      <c r="R32" s="39" cm="1">
        <f t="array" ref="R32">_xll.aqBondObjectYield(M32,$C$4,S32)</f>
        <v>2.457037864395115E-2</v>
      </c>
      <c r="S32" s="47" cm="1">
        <f t="array" ref="S32">_xll.aqBondObjectPrice($M32,$C$4,$N32)</f>
        <v>104.745</v>
      </c>
      <c r="T32" s="47" cm="1">
        <f t="array" ref="T32">_xll.aqBondObjectCleanPrice($M32,$C$4,$N32)</f>
        <v>104.745</v>
      </c>
      <c r="U32" s="47" cm="1">
        <f t="array" ref="U32">_xll.aqBondObjectDirtyPrice($M32,$C$4,$N32)</f>
        <v>104.709</v>
      </c>
      <c r="V32" s="18" cm="1">
        <f t="array" ref="V32">_xll.aqBondObjectModifiedDuration($M32,$C$4,$N32)</f>
        <v>5.8669181837345841</v>
      </c>
      <c r="W32" s="93" cm="1">
        <f t="array" ref="W32">_xll.aqBondObjectDV01($M32,$C$4,$N32)</f>
        <v>614.31913610066454</v>
      </c>
      <c r="X32"/>
    </row>
    <row r="33" spans="2:24">
      <c r="B33" s="11" t="s">
        <v>1595</v>
      </c>
      <c r="C33" s="11" t="s">
        <v>1595</v>
      </c>
      <c r="D33" s="11" t="s">
        <v>1662</v>
      </c>
      <c r="E33" s="12">
        <v>41416</v>
      </c>
      <c r="F33" s="15">
        <v>41385</v>
      </c>
      <c r="G33" s="14"/>
      <c r="H33" s="12">
        <v>41568</v>
      </c>
      <c r="I33" s="12">
        <v>45586</v>
      </c>
      <c r="J33" s="13">
        <v>3.2500000000000001E-2</v>
      </c>
      <c r="K33" s="12">
        <v>45768</v>
      </c>
      <c r="L33" s="81" t="s">
        <v>1680</v>
      </c>
      <c r="M33" s="16" t="str" cm="1">
        <f t="array" ref="M33">_xll.aqBondObjectCreateFromGenerator($C33,$M$4&amp;"_"&amp;$L33,_xll.aqToolLVBFromKeysValues($C$7:$K$7,$C33:$K33))</f>
        <v>EJ6935351 Corp:5</v>
      </c>
      <c r="N33" s="78">
        <v>2.1338652357852338E-2</v>
      </c>
      <c r="O33" s="51">
        <v>106.71599999999999</v>
      </c>
      <c r="P33" s="17">
        <v>5.8829000000000002</v>
      </c>
      <c r="Q33" s="95">
        <v>627.79449999999997</v>
      </c>
      <c r="R33" s="39" cm="1">
        <f t="array" ref="R33">_xll.aqBondObjectYield(M33,$C$4,S33)</f>
        <v>2.133865235918226E-2</v>
      </c>
      <c r="S33" s="47" cm="1">
        <f t="array" ref="S33">_xll.aqBondObjectPrice($M33,$C$4,$N33)</f>
        <v>106.71599999999999</v>
      </c>
      <c r="T33" s="47" cm="1">
        <f t="array" ref="T33">_xll.aqBondObjectCleanPrice($M33,$C$4,$N33)</f>
        <v>106.752</v>
      </c>
      <c r="U33" s="47" cm="1">
        <f t="array" ref="U33">_xll.aqBondObjectDirtyPrice($M33,$C$4,$N33)</f>
        <v>106.71599999999999</v>
      </c>
      <c r="V33" s="18" cm="1">
        <f t="array" ref="V33">_xll.aqBondObjectModifiedDuration($M33,$C$4,$N33)</f>
        <v>5.882852933891388</v>
      </c>
      <c r="W33" s="93" cm="1">
        <f t="array" ref="W33">_xll.aqBondObjectDV01($M33,$C$4,$N33)</f>
        <v>627.79453369315331</v>
      </c>
      <c r="X33"/>
    </row>
    <row r="34" spans="2:24">
      <c r="B34" s="11" t="s">
        <v>1579</v>
      </c>
      <c r="C34" s="11" t="s">
        <v>1579</v>
      </c>
      <c r="D34" s="11" t="s">
        <v>1620</v>
      </c>
      <c r="E34" s="12">
        <v>41575</v>
      </c>
      <c r="F34" s="15">
        <v>41478</v>
      </c>
      <c r="G34" s="14"/>
      <c r="H34" s="12">
        <v>41662</v>
      </c>
      <c r="I34" s="12">
        <v>45680</v>
      </c>
      <c r="J34" s="13">
        <v>0.05</v>
      </c>
      <c r="K34" s="12">
        <v>45861</v>
      </c>
      <c r="L34" s="81" t="s">
        <v>1679</v>
      </c>
      <c r="M34" s="16" t="str" cm="1">
        <f t="array" ref="M34">_xll.aqBondObjectCreateFromGenerator($C34,$M$4&amp;"_"&amp;$L34,_xll.aqToolLVBFromKeysValues($C$7:$K$7,$C34:$K34))</f>
        <v>EJ8955977 Corp:5</v>
      </c>
      <c r="N34" s="78">
        <v>2.8349781033558522E-2</v>
      </c>
      <c r="O34" s="51">
        <v>113.241</v>
      </c>
      <c r="P34" s="17">
        <v>5.7511000000000001</v>
      </c>
      <c r="Q34" s="95">
        <v>657.97490000000005</v>
      </c>
      <c r="R34" s="39" cm="1">
        <f t="array" ref="R34">_xll.aqBondObjectYield(M34,$C$4,S34)</f>
        <v>2.8349781033540224E-2</v>
      </c>
      <c r="S34" s="47" cm="1">
        <f t="array" ref="S34">_xll.aqBondObjectPrice($M34,$C$4,$N34)</f>
        <v>113.241</v>
      </c>
      <c r="T34" s="47" cm="1">
        <f t="array" ref="T34">_xll.aqBondObjectCleanPrice($M34,$C$4,$N34)</f>
        <v>113.241</v>
      </c>
      <c r="U34" s="47" cm="1">
        <f t="array" ref="U34">_xll.aqBondObjectDirtyPrice($M34,$C$4,$N34)</f>
        <v>114.40900000000001</v>
      </c>
      <c r="V34" s="18" cm="1">
        <f t="array" ref="V34">_xll.aqBondObjectModifiedDuration($M34,$C$4,$N34)</f>
        <v>5.7510765658325109</v>
      </c>
      <c r="W34" s="93" cm="1">
        <f t="array" ref="W34">_xll.aqBondObjectDV01($M34,$C$4,$N34)</f>
        <v>657.97491882033182</v>
      </c>
      <c r="X34"/>
    </row>
    <row r="35" spans="2:24">
      <c r="B35" s="11" t="s">
        <v>1564</v>
      </c>
      <c r="C35" s="11" t="s">
        <v>1564</v>
      </c>
      <c r="D35" s="11" t="s">
        <v>1645</v>
      </c>
      <c r="E35" s="12">
        <v>41717</v>
      </c>
      <c r="F35" s="15">
        <v>41568</v>
      </c>
      <c r="G35" s="14"/>
      <c r="H35" s="12">
        <v>41750</v>
      </c>
      <c r="I35" s="12">
        <v>45951</v>
      </c>
      <c r="J35" s="13">
        <v>4.2500000000000003E-2</v>
      </c>
      <c r="K35" s="12">
        <v>46133</v>
      </c>
      <c r="L35" s="81" t="s">
        <v>1679</v>
      </c>
      <c r="M35" s="16" t="str" cm="1">
        <f t="array" ref="M35">_xll.aqBondObjectCreateFromGenerator($C35,$M$4&amp;"_"&amp;$L35,_xll.aqToolLVBFromKeysValues($C$7:$K$7,$C35:$K35))</f>
        <v>EK1150607 Corp:5</v>
      </c>
      <c r="N35" s="78">
        <v>2.5409468410030091E-2</v>
      </c>
      <c r="O35" s="51">
        <v>111.619</v>
      </c>
      <c r="P35" s="17">
        <v>6.4930000000000003</v>
      </c>
      <c r="Q35" s="95">
        <v>724.44839999999999</v>
      </c>
      <c r="R35" s="39" cm="1">
        <f t="array" ref="R35">_xll.aqBondObjectYield(M35,$C$4,S35)</f>
        <v>2.5409468410036291E-2</v>
      </c>
      <c r="S35" s="47" cm="1">
        <f t="array" ref="S35">_xll.aqBondObjectPrice($M35,$C$4,$N35)</f>
        <v>111.619</v>
      </c>
      <c r="T35" s="47" cm="1">
        <f t="array" ref="T35">_xll.aqBondObjectCleanPrice($M35,$C$4,$N35)</f>
        <v>111.619</v>
      </c>
      <c r="U35" s="47" cm="1">
        <f t="array" ref="U35">_xll.aqBondObjectDirtyPrice($M35,$C$4,$N35)</f>
        <v>111.57299999999999</v>
      </c>
      <c r="V35" s="18" cm="1">
        <f t="array" ref="V35">_xll.aqBondObjectModifiedDuration($M35,$C$4,$N35)</f>
        <v>6.4930435763602183</v>
      </c>
      <c r="W35" s="93" cm="1">
        <f t="array" ref="W35">_xll.aqBondObjectDV01($M35,$C$4,$N35)</f>
        <v>724.44835094523864</v>
      </c>
      <c r="X35"/>
    </row>
    <row r="36" spans="2:24">
      <c r="B36" s="11" t="s">
        <v>1590</v>
      </c>
      <c r="C36" s="11" t="s">
        <v>1590</v>
      </c>
      <c r="D36" s="11" t="s">
        <v>1624</v>
      </c>
      <c r="E36" s="12">
        <v>41717</v>
      </c>
      <c r="F36" s="15">
        <v>41568</v>
      </c>
      <c r="G36" s="14"/>
      <c r="H36" s="12">
        <v>41750</v>
      </c>
      <c r="I36" s="12">
        <v>45951</v>
      </c>
      <c r="J36" s="13">
        <v>4.2500000000000003E-2</v>
      </c>
      <c r="K36" s="12">
        <v>46133</v>
      </c>
      <c r="L36" s="81" t="s">
        <v>1680</v>
      </c>
      <c r="M36" s="16" t="str" cm="1">
        <f t="array" ref="M36">_xll.aqBondObjectCreateFromGenerator($C36,$M$4&amp;"_"&amp;$L36,_xll.aqToolLVBFromKeysValues($C$7:$K$7,$C36:$K36))</f>
        <v>EK1150847 Corp:5</v>
      </c>
      <c r="N36" s="78">
        <v>2.4442610532575407E-2</v>
      </c>
      <c r="O36" s="51">
        <v>112.276</v>
      </c>
      <c r="P36" s="17">
        <v>6.4996</v>
      </c>
      <c r="Q36" s="95">
        <v>729.75379999999996</v>
      </c>
      <c r="R36" s="39" cm="1">
        <f t="array" ref="R36">_xll.aqBondObjectYield(M36,$C$4,S36)</f>
        <v>2.4442610532581281E-2</v>
      </c>
      <c r="S36" s="47" cm="1">
        <f t="array" ref="S36">_xll.aqBondObjectPrice($M36,$C$4,$N36)</f>
        <v>112.276</v>
      </c>
      <c r="T36" s="47" cm="1">
        <f t="array" ref="T36">_xll.aqBondObjectCleanPrice($M36,$C$4,$N36)</f>
        <v>112.322</v>
      </c>
      <c r="U36" s="47" cm="1">
        <f t="array" ref="U36">_xll.aqBondObjectDirtyPrice($M36,$C$4,$N36)</f>
        <v>112.276</v>
      </c>
      <c r="V36" s="18" cm="1">
        <f t="array" ref="V36">_xll.aqBondObjectModifiedDuration($M36,$C$4,$N36)</f>
        <v>6.4996417499207997</v>
      </c>
      <c r="W36" s="93" cm="1">
        <f t="array" ref="W36">_xll.aqBondObjectDV01($M36,$C$4,$N36)</f>
        <v>729.75377711410772</v>
      </c>
      <c r="X36"/>
    </row>
    <row r="37" spans="2:24">
      <c r="B37" s="11" t="s">
        <v>1591</v>
      </c>
      <c r="C37" s="11" t="s">
        <v>1591</v>
      </c>
      <c r="D37" s="11" t="s">
        <v>1625</v>
      </c>
      <c r="E37" s="12">
        <v>42513</v>
      </c>
      <c r="F37" s="15">
        <v>42511</v>
      </c>
      <c r="G37" s="14"/>
      <c r="H37" s="12">
        <v>42695</v>
      </c>
      <c r="I37" s="12">
        <v>45982</v>
      </c>
      <c r="J37" s="13">
        <v>2.5000000000000001E-2</v>
      </c>
      <c r="K37" s="12">
        <v>46163</v>
      </c>
      <c r="L37" s="81" t="s">
        <v>1679</v>
      </c>
      <c r="M37" s="16" t="str" cm="1">
        <f t="array" ref="M37">_xll.aqBondObjectCreateFromGenerator($C37,$M$4&amp;"_"&amp;$L37,_xll.aqToolLVBFromKeysValues($C$7:$K$7,$C37:$K37))</f>
        <v>LW1235313 Corp:5</v>
      </c>
      <c r="N37" s="78">
        <v>2.8879531732430679E-2</v>
      </c>
      <c r="O37" s="51">
        <v>97.37</v>
      </c>
      <c r="P37" s="17">
        <v>6.7850999999999999</v>
      </c>
      <c r="Q37" s="95">
        <v>667.53340000000003</v>
      </c>
      <c r="R37" s="39" cm="1">
        <f t="array" ref="R37">_xll.aqBondObjectYield(M37,$C$4,S37)</f>
        <v>2.887953173228975E-2</v>
      </c>
      <c r="S37" s="47" cm="1">
        <f t="array" ref="S37">_xll.aqBondObjectPrice($M37,$C$4,$N37)</f>
        <v>97.37</v>
      </c>
      <c r="T37" s="47" cm="1">
        <f t="array" ref="T37">_xll.aqBondObjectCleanPrice($M37,$C$4,$N37)</f>
        <v>97.37</v>
      </c>
      <c r="U37" s="47" cm="1">
        <f t="array" ref="U37">_xll.aqBondObjectDirtyPrice($M37,$C$4,$N37)</f>
        <v>98.382000000000005</v>
      </c>
      <c r="V37" s="18" cm="1">
        <f t="array" ref="V37">_xll.aqBondObjectModifiedDuration($M37,$C$4,$N37)</f>
        <v>6.7851174582000411</v>
      </c>
      <c r="W37" s="93" cm="1">
        <f t="array" ref="W37">_xll.aqBondObjectDV01($M37,$C$4,$N37)</f>
        <v>667.53342577263652</v>
      </c>
      <c r="X37"/>
    </row>
    <row r="38" spans="2:24">
      <c r="B38" s="11" t="s">
        <v>1582</v>
      </c>
      <c r="C38" s="11" t="s">
        <v>1582</v>
      </c>
      <c r="D38" s="11" t="s">
        <v>1655</v>
      </c>
      <c r="E38" s="12">
        <v>42412</v>
      </c>
      <c r="F38" s="15">
        <v>42389</v>
      </c>
      <c r="G38" s="14"/>
      <c r="H38" s="12">
        <v>42571</v>
      </c>
      <c r="I38" s="12">
        <v>46042</v>
      </c>
      <c r="J38" s="13">
        <v>0.03</v>
      </c>
      <c r="K38" s="12">
        <v>46223</v>
      </c>
      <c r="L38" s="81" t="s">
        <v>1679</v>
      </c>
      <c r="M38" s="16" t="str" cm="1">
        <f t="array" ref="M38">_xll.aqBondObjectCreateFromGenerator($C38,$M$4&amp;"_"&amp;$L38,_xll.aqToolLVBFromKeysValues($C$7:$K$7,$C38:$K38))</f>
        <v>JV9205164 Corp:5</v>
      </c>
      <c r="N38" s="78">
        <v>2.9880456698463648E-2</v>
      </c>
      <c r="O38" s="51">
        <v>100.07899999999999</v>
      </c>
      <c r="P38" s="17">
        <v>6.8281999999999998</v>
      </c>
      <c r="Q38" s="95">
        <v>688.31539999999995</v>
      </c>
      <c r="R38" s="39" cm="1">
        <f t="array" ref="R38">_xll.aqBondObjectYield(M38,$C$4,S38)</f>
        <v>2.9880456698463564E-2</v>
      </c>
      <c r="S38" s="47" cm="1">
        <f t="array" ref="S38">_xll.aqBondObjectPrice($M38,$C$4,$N38)</f>
        <v>100.07900000000001</v>
      </c>
      <c r="T38" s="47" cm="1">
        <f t="array" ref="T38">_xll.aqBondObjectCleanPrice($M38,$C$4,$N38)</f>
        <v>100.07900000000001</v>
      </c>
      <c r="U38" s="47" cm="1">
        <f t="array" ref="U38">_xll.aqBondObjectDirtyPrice($M38,$C$4,$N38)</f>
        <v>100.80500000000001</v>
      </c>
      <c r="V38" s="18" cm="1">
        <f t="array" ref="V38">_xll.aqBondObjectModifiedDuration($M38,$C$4,$N38)</f>
        <v>6.8281866260414104</v>
      </c>
      <c r="W38" s="93" cm="1">
        <f t="array" ref="W38">_xll.aqBondObjectDV01($M38,$C$4,$N38)</f>
        <v>688.31535283810445</v>
      </c>
      <c r="X38"/>
    </row>
    <row r="39" spans="2:24">
      <c r="B39" s="11" t="s">
        <v>1576</v>
      </c>
      <c r="C39" s="11" t="s">
        <v>1576</v>
      </c>
      <c r="D39" s="11" t="s">
        <v>1619</v>
      </c>
      <c r="E39" s="12">
        <v>42894</v>
      </c>
      <c r="F39" s="15">
        <v>42846</v>
      </c>
      <c r="G39" s="14"/>
      <c r="H39" s="12">
        <v>43029</v>
      </c>
      <c r="I39" s="12">
        <v>46133</v>
      </c>
      <c r="J39" s="13">
        <v>0.03</v>
      </c>
      <c r="K39" s="12">
        <v>46316</v>
      </c>
      <c r="L39" s="81" t="s">
        <v>1679</v>
      </c>
      <c r="M39" s="16" t="str" cm="1">
        <f t="array" ref="M39">_xll.aqBondObjectCreateFromGenerator($C39,$M$4&amp;"_"&amp;$L39,_xll.aqToolLVBFromKeysValues($C$7:$K$7,$C39:$K39))</f>
        <v>AN7790412 Corp:5</v>
      </c>
      <c r="N39" s="78">
        <v>3.028936665112934E-2</v>
      </c>
      <c r="O39" s="51">
        <v>99.796000000000006</v>
      </c>
      <c r="P39" s="17">
        <v>7.0743999999999998</v>
      </c>
      <c r="Q39" s="95">
        <v>705.75919999999996</v>
      </c>
      <c r="R39" s="39" cm="1">
        <f t="array" ref="R39">_xll.aqBondObjectYield(M39,$C$4,S39)</f>
        <v>3.0289366651129034E-2</v>
      </c>
      <c r="S39" s="47" cm="1">
        <f t="array" ref="S39">_xll.aqBondObjectPrice($M39,$C$4,$N39)</f>
        <v>99.796000000000006</v>
      </c>
      <c r="T39" s="47" cm="1">
        <f t="array" ref="T39">_xll.aqBondObjectCleanPrice($M39,$C$4,$N39)</f>
        <v>99.796000000000006</v>
      </c>
      <c r="U39" s="47" cm="1">
        <f t="array" ref="U39">_xll.aqBondObjectDirtyPrice($M39,$C$4,$N39)</f>
        <v>99.763000000000005</v>
      </c>
      <c r="V39" s="18" cm="1">
        <f t="array" ref="V39">_xll.aqBondObjectModifiedDuration($M39,$C$4,$N39)</f>
        <v>7.0743585449423811</v>
      </c>
      <c r="W39" s="93" cm="1">
        <f t="array" ref="W39">_xll.aqBondObjectDV01($M39,$C$4,$N39)</f>
        <v>705.75923151908682</v>
      </c>
      <c r="X39"/>
    </row>
    <row r="40" spans="2:24">
      <c r="B40" s="11" t="s">
        <v>1584</v>
      </c>
      <c r="C40" s="11" t="s">
        <v>1584</v>
      </c>
      <c r="D40" s="11" t="s">
        <v>1657</v>
      </c>
      <c r="E40" s="12">
        <v>42705</v>
      </c>
      <c r="F40" s="15">
        <v>42705</v>
      </c>
      <c r="G40" s="14"/>
      <c r="H40" s="12">
        <v>42887</v>
      </c>
      <c r="I40" s="12">
        <v>46174</v>
      </c>
      <c r="J40" s="13">
        <v>0.04</v>
      </c>
      <c r="K40" s="12">
        <v>46357</v>
      </c>
      <c r="L40" s="81" t="s">
        <v>1679</v>
      </c>
      <c r="M40" s="16" t="str" cm="1">
        <f t="array" ref="M40">_xll.aqBondObjectCreateFromGenerator($C40,$M$4&amp;"_"&amp;$L40,_xll.aqToolLVBFromKeysValues($C$7:$K$7,$C40:$K40))</f>
        <v>AL4159805 Corp:5</v>
      </c>
      <c r="N40" s="78">
        <v>3.5950037716656544E-2</v>
      </c>
      <c r="O40" s="51">
        <v>102.828</v>
      </c>
      <c r="P40" s="17">
        <v>6.8106</v>
      </c>
      <c r="Q40" s="95">
        <v>710.5865</v>
      </c>
      <c r="R40" s="39" cm="1">
        <f t="array" ref="R40">_xll.aqBondObjectYield(M40,$C$4,S40)</f>
        <v>3.5950037717261123E-2</v>
      </c>
      <c r="S40" s="47" cm="1">
        <f t="array" ref="S40">_xll.aqBondObjectPrice($M40,$C$4,$N40)</f>
        <v>102.828</v>
      </c>
      <c r="T40" s="47" cm="1">
        <f t="array" ref="T40">_xll.aqBondObjectCleanPrice($M40,$C$4,$N40)</f>
        <v>102.828</v>
      </c>
      <c r="U40" s="47" cm="1">
        <f t="array" ref="U40">_xll.aqBondObjectDirtyPrice($M40,$C$4,$N40)</f>
        <v>104.336</v>
      </c>
      <c r="V40" s="18" cm="1">
        <f t="array" ref="V40">_xll.aqBondObjectModifiedDuration($M40,$C$4,$N40)</f>
        <v>6.8105592617131423</v>
      </c>
      <c r="W40" s="93" cm="1">
        <f t="array" ref="W40">_xll.aqBondObjectDV01($M40,$C$4,$N40)</f>
        <v>710.58651113010239</v>
      </c>
      <c r="X40"/>
    </row>
    <row r="41" spans="2:24">
      <c r="B41" s="11" t="s">
        <v>1557</v>
      </c>
      <c r="C41" s="11" t="s">
        <v>1557</v>
      </c>
      <c r="D41" s="11" t="s">
        <v>1610</v>
      </c>
      <c r="E41" s="12">
        <v>40843</v>
      </c>
      <c r="F41" s="15">
        <v>40837</v>
      </c>
      <c r="G41" s="14"/>
      <c r="H41" s="12">
        <v>41020</v>
      </c>
      <c r="I41" s="12">
        <v>46316</v>
      </c>
      <c r="J41" s="13">
        <v>4.7500000000000001E-2</v>
      </c>
      <c r="K41" s="12">
        <v>46498</v>
      </c>
      <c r="L41" s="81" t="s">
        <v>1679</v>
      </c>
      <c r="M41" s="16" t="str" cm="1">
        <f t="array" ref="M41">_xll.aqBondObjectCreateFromGenerator($C41,$M$4&amp;"_"&amp;$L41,_xll.aqToolLVBFromKeysValues($C$7:$K$7,$C41:$K41))</f>
        <v>EI8492650 Corp:5</v>
      </c>
      <c r="N41" s="78">
        <v>2.6089509398686692E-2</v>
      </c>
      <c r="O41" s="51">
        <v>116.247</v>
      </c>
      <c r="P41" s="17">
        <v>7.1307999999999998</v>
      </c>
      <c r="Q41" s="95">
        <v>828.55759999999998</v>
      </c>
      <c r="R41" s="39" cm="1">
        <f t="array" ref="R41">_xll.aqBondObjectYield(M41,$C$4,S41)</f>
        <v>2.6089509398646533E-2</v>
      </c>
      <c r="S41" s="47" cm="1">
        <f t="array" ref="S41">_xll.aqBondObjectPrice($M41,$C$4,$N41)</f>
        <v>116.247</v>
      </c>
      <c r="T41" s="47" cm="1">
        <f t="array" ref="T41">_xll.aqBondObjectCleanPrice($M41,$C$4,$N41)</f>
        <v>116.247</v>
      </c>
      <c r="U41" s="47" cm="1">
        <f t="array" ref="U41">_xll.aqBondObjectDirtyPrice($M41,$C$4,$N41)</f>
        <v>116.19499999999999</v>
      </c>
      <c r="V41" s="18" cm="1">
        <f t="array" ref="V41">_xll.aqBondObjectModifiedDuration($M41,$C$4,$N41)</f>
        <v>7.1307513041439661</v>
      </c>
      <c r="W41" s="93" cm="1">
        <f t="array" ref="W41">_xll.aqBondObjectDV01($M41,$C$4,$N41)</f>
        <v>828.55764778500804</v>
      </c>
      <c r="X41"/>
    </row>
    <row r="42" spans="2:24">
      <c r="B42" s="11" t="s">
        <v>1605</v>
      </c>
      <c r="C42" s="11" t="s">
        <v>1605</v>
      </c>
      <c r="D42" s="11" t="s">
        <v>1666</v>
      </c>
      <c r="E42" s="12">
        <v>40843</v>
      </c>
      <c r="F42" s="15">
        <v>40837</v>
      </c>
      <c r="G42" s="14"/>
      <c r="H42" s="12">
        <v>41020</v>
      </c>
      <c r="I42" s="12">
        <v>46316</v>
      </c>
      <c r="J42" s="13">
        <v>4.7500000000000001E-2</v>
      </c>
      <c r="K42" s="12">
        <v>46498</v>
      </c>
      <c r="L42" s="81" t="s">
        <v>1680</v>
      </c>
      <c r="M42" s="16" t="str" cm="1">
        <f t="array" ref="M42">_xll.aqBondObjectCreateFromGenerator($C42,$M$4&amp;"_"&amp;$L42,_xll.aqToolLVBFromKeysValues($C$7:$K$7,$C42:$K42))</f>
        <v>EJ6777233 Corp:5</v>
      </c>
      <c r="N42" s="78">
        <v>2.3036810171630347E-2</v>
      </c>
      <c r="O42" s="51">
        <v>118.75700000000001</v>
      </c>
      <c r="P42" s="17">
        <v>7.1578999999999997</v>
      </c>
      <c r="Q42" s="95">
        <v>850.0566</v>
      </c>
      <c r="R42" s="39" cm="1">
        <f t="array" ref="R42">_xll.aqBondObjectYield(M42,$C$4,S42)</f>
        <v>2.3036810171597991E-2</v>
      </c>
      <c r="S42" s="47" cm="1">
        <f t="array" ref="S42">_xll.aqBondObjectPrice($M42,$C$4,$N42)</f>
        <v>118.75700000000001</v>
      </c>
      <c r="T42" s="47" cm="1">
        <f t="array" ref="T42">_xll.aqBondObjectCleanPrice($M42,$C$4,$N42)</f>
        <v>118.80900000000001</v>
      </c>
      <c r="U42" s="47" cm="1">
        <f t="array" ref="U42">_xll.aqBondObjectDirtyPrice($M42,$C$4,$N42)</f>
        <v>118.75700000000001</v>
      </c>
      <c r="V42" s="18" cm="1">
        <f t="array" ref="V42">_xll.aqBondObjectModifiedDuration($M42,$C$4,$N42)</f>
        <v>7.1579492749258611</v>
      </c>
      <c r="W42" s="93" cm="1">
        <f t="array" ref="W42">_xll.aqBondObjectDV01($M42,$C$4,$N42)</f>
        <v>850.05658204237056</v>
      </c>
      <c r="X42"/>
    </row>
    <row r="43" spans="2:24">
      <c r="B43" s="11" t="s">
        <v>1580</v>
      </c>
      <c r="C43" s="11" t="s">
        <v>1580</v>
      </c>
      <c r="D43" s="11" t="s">
        <v>1653</v>
      </c>
      <c r="E43" s="12">
        <v>42814</v>
      </c>
      <c r="F43" s="15">
        <v>42814</v>
      </c>
      <c r="G43" s="14"/>
      <c r="H43" s="12">
        <v>42998</v>
      </c>
      <c r="I43" s="12">
        <v>46466</v>
      </c>
      <c r="J43" s="13">
        <v>0.03</v>
      </c>
      <c r="K43" s="12">
        <v>46650</v>
      </c>
      <c r="L43" s="81" t="s">
        <v>1679</v>
      </c>
      <c r="M43" s="16" t="str" cm="1">
        <f t="array" ref="M43">_xll.aqBondObjectCreateFromGenerator($C43,$M$4&amp;"_"&amp;$L43,_xll.aqToolLVBFromKeysValues($C$7:$K$7,$C43:$K43))</f>
        <v>AM6907472 Corp:5</v>
      </c>
      <c r="N43" s="78">
        <v>3.0999723371921785E-2</v>
      </c>
      <c r="O43" s="51">
        <v>99.224000000000004</v>
      </c>
      <c r="P43" s="17">
        <v>7.7539999999999996</v>
      </c>
      <c r="Q43" s="95">
        <v>771.11810000000003</v>
      </c>
      <c r="R43" s="39" cm="1">
        <f t="array" ref="R43">_xll.aqBondObjectYield(M43,$C$4,S43)</f>
        <v>3.0999723371910318E-2</v>
      </c>
      <c r="S43" s="47" cm="1">
        <f t="array" ref="S43">_xll.aqBondObjectPrice($M43,$C$4,$N43)</f>
        <v>99.22399999999999</v>
      </c>
      <c r="T43" s="47" cm="1">
        <f t="array" ref="T43">_xll.aqBondObjectCleanPrice($M43,$C$4,$N43)</f>
        <v>99.22399999999999</v>
      </c>
      <c r="U43" s="47" cm="1">
        <f t="array" ref="U43">_xll.aqBondObjectDirtyPrice($M43,$C$4,$N43)</f>
        <v>99.447999999999993</v>
      </c>
      <c r="V43" s="18" cm="1">
        <f t="array" ref="V43">_xll.aqBondObjectModifiedDuration($M43,$C$4,$N43)</f>
        <v>7.7539828155000317</v>
      </c>
      <c r="W43" s="93" cm="1">
        <f t="array" ref="W43">_xll.aqBondObjectDV01($M43,$C$4,$N43)</f>
        <v>771.11808303584712</v>
      </c>
      <c r="X43"/>
    </row>
    <row r="44" spans="2:24">
      <c r="B44" s="11" t="s">
        <v>1572</v>
      </c>
      <c r="C44" s="11" t="s">
        <v>1572</v>
      </c>
      <c r="D44" s="11" t="s">
        <v>1617</v>
      </c>
      <c r="E44" s="12">
        <v>42531</v>
      </c>
      <c r="F44" s="15">
        <v>42481</v>
      </c>
      <c r="G44" s="14"/>
      <c r="H44" s="12">
        <v>42664</v>
      </c>
      <c r="I44" s="12">
        <v>46498</v>
      </c>
      <c r="J44" s="13">
        <v>0.03</v>
      </c>
      <c r="K44" s="12">
        <v>46681</v>
      </c>
      <c r="L44" s="81" t="s">
        <v>1679</v>
      </c>
      <c r="M44" s="16" t="str" cm="1">
        <f t="array" ref="M44">_xll.aqBondObjectCreateFromGenerator($C44,$M$4&amp;"_"&amp;$L44,_xll.aqToolLVBFromKeysValues($C$7:$K$7,$C44:$K44))</f>
        <v>LW2811898 Corp:5</v>
      </c>
      <c r="N44" s="78">
        <v>3.1360120425085458E-2</v>
      </c>
      <c r="O44" s="51">
        <v>98.94</v>
      </c>
      <c r="P44" s="17">
        <v>7.835</v>
      </c>
      <c r="Q44" s="95">
        <v>774.93600000000004</v>
      </c>
      <c r="R44" s="39" cm="1">
        <f t="array" ref="R44">_xll.aqBondObjectYield(M44,$C$4,S44)</f>
        <v>3.1360120425057932E-2</v>
      </c>
      <c r="S44" s="47" cm="1">
        <f t="array" ref="S44">_xll.aqBondObjectPrice($M44,$C$4,$N44)</f>
        <v>98.94</v>
      </c>
      <c r="T44" s="47" cm="1">
        <f t="array" ref="T44">_xll.aqBondObjectCleanPrice($M44,$C$4,$N44)</f>
        <v>98.94</v>
      </c>
      <c r="U44" s="47" cm="1">
        <f t="array" ref="U44">_xll.aqBondObjectDirtyPrice($M44,$C$4,$N44)</f>
        <v>98.906999999999996</v>
      </c>
      <c r="V44" s="18" cm="1">
        <f t="array" ref="V44">_xll.aqBondObjectModifiedDuration($M44,$C$4,$N44)</f>
        <v>7.8349968052380072</v>
      </c>
      <c r="W44" s="93" cm="1">
        <f t="array" ref="W44">_xll.aqBondObjectDV01($M44,$C$4,$N44)</f>
        <v>774.93602901567556</v>
      </c>
      <c r="X44"/>
    </row>
    <row r="45" spans="2:24">
      <c r="B45" s="11" t="s">
        <v>1556</v>
      </c>
      <c r="C45" s="11" t="s">
        <v>1556</v>
      </c>
      <c r="D45" s="11" t="s">
        <v>1640</v>
      </c>
      <c r="E45" s="12">
        <v>42397</v>
      </c>
      <c r="F45" s="15">
        <v>42329</v>
      </c>
      <c r="G45" s="14"/>
      <c r="H45" s="12">
        <v>42511</v>
      </c>
      <c r="I45" s="12">
        <v>46528</v>
      </c>
      <c r="J45" s="13">
        <v>2.75E-2</v>
      </c>
      <c r="K45" s="12">
        <v>46712</v>
      </c>
      <c r="L45" s="81" t="s">
        <v>1679</v>
      </c>
      <c r="M45" s="16" t="str" cm="1">
        <f t="array" ref="M45">_xll.aqBondObjectCreateFromGenerator($C45,$M$4&amp;"_"&amp;$L45,_xll.aqToolLVBFromKeysValues($C$7:$K$7,$C45:$K45))</f>
        <v>JV3198662 Corp:5</v>
      </c>
      <c r="N45" s="78">
        <v>2.6589929331914067E-2</v>
      </c>
      <c r="O45" s="51">
        <v>100.73</v>
      </c>
      <c r="P45" s="17">
        <v>7.9196999999999997</v>
      </c>
      <c r="Q45" s="95">
        <v>806.56110000000001</v>
      </c>
      <c r="R45" s="39" cm="1">
        <f t="array" ref="R45">_xll.aqBondObjectYield(M45,$C$4,S45)</f>
        <v>2.6589929331921433E-2</v>
      </c>
      <c r="S45" s="47" cm="1">
        <f t="array" ref="S45">_xll.aqBondObjectPrice($M45,$C$4,$N45)</f>
        <v>100.73</v>
      </c>
      <c r="T45" s="47" cm="1">
        <f t="array" ref="T45">_xll.aqBondObjectCleanPrice($M45,$C$4,$N45)</f>
        <v>100.73</v>
      </c>
      <c r="U45" s="47" cm="1">
        <f t="array" ref="U45">_xll.aqBondObjectDirtyPrice($M45,$C$4,$N45)</f>
        <v>101.843</v>
      </c>
      <c r="V45" s="18" cm="1">
        <f t="array" ref="V45">_xll.aqBondObjectModifiedDuration($M45,$C$4,$N45)</f>
        <v>7.9196520448755354</v>
      </c>
      <c r="W45" s="93" cm="1">
        <f t="array" ref="W45">_xll.aqBondObjectDV01($M45,$C$4,$N45)</f>
        <v>806.56112320625914</v>
      </c>
      <c r="X45"/>
    </row>
    <row r="46" spans="2:24">
      <c r="B46" s="11" t="s">
        <v>1608</v>
      </c>
      <c r="C46" s="11" t="s">
        <v>1608</v>
      </c>
      <c r="D46" s="11" t="s">
        <v>1635</v>
      </c>
      <c r="E46" s="12">
        <v>42397</v>
      </c>
      <c r="F46" s="15">
        <v>42329</v>
      </c>
      <c r="G46" s="14"/>
      <c r="H46" s="12">
        <v>42511</v>
      </c>
      <c r="I46" s="12">
        <v>46528</v>
      </c>
      <c r="J46" s="13">
        <v>2.75E-2</v>
      </c>
      <c r="K46" s="12">
        <v>46712</v>
      </c>
      <c r="L46" s="81" t="s">
        <v>1680</v>
      </c>
      <c r="M46" s="16" t="str" cm="1">
        <f t="array" ref="M46">_xll.aqBondObjectCreateFromGenerator($C46,$M$4&amp;"_"&amp;$L46,_xll.aqToolLVBFromKeysValues($C$7:$K$7,$C46:$K46))</f>
        <v>JV7193115 Corp:5</v>
      </c>
      <c r="N46" s="78">
        <v>2.6675511030878743E-2</v>
      </c>
      <c r="O46" s="51">
        <v>101.774</v>
      </c>
      <c r="P46" s="17">
        <v>7.9188999999999998</v>
      </c>
      <c r="Q46" s="95">
        <v>805.93320000000006</v>
      </c>
      <c r="R46" s="39" cm="1">
        <f t="array" ref="R46">_xll.aqBondObjectYield(M46,$C$4,S46)</f>
        <v>2.6675511030879017E-2</v>
      </c>
      <c r="S46" s="47" cm="1">
        <f t="array" ref="S46">_xll.aqBondObjectPrice($M46,$C$4,$N46)</f>
        <v>101.774</v>
      </c>
      <c r="T46" s="47" cm="1">
        <f t="array" ref="T46">_xll.aqBondObjectCleanPrice($M46,$C$4,$N46)</f>
        <v>100.661</v>
      </c>
      <c r="U46" s="47" cm="1">
        <f t="array" ref="U46">_xll.aqBondObjectDirtyPrice($M46,$C$4,$N46)</f>
        <v>101.774</v>
      </c>
      <c r="V46" s="18" cm="1">
        <f t="array" ref="V46">_xll.aqBondObjectModifiedDuration($M46,$C$4,$N46)</f>
        <v>7.9188520031025682</v>
      </c>
      <c r="W46" s="93" cm="1">
        <f t="array" ref="W46">_xll.aqBondObjectDV01($M46,$C$4,$N46)</f>
        <v>805.93324376376074</v>
      </c>
      <c r="X46"/>
    </row>
    <row r="47" spans="2:24">
      <c r="B47" s="11" t="s">
        <v>1553</v>
      </c>
      <c r="C47" s="11" t="s">
        <v>1553</v>
      </c>
      <c r="D47" s="11" t="s">
        <v>1637</v>
      </c>
      <c r="E47" s="12">
        <v>42509</v>
      </c>
      <c r="F47" s="15">
        <v>42329</v>
      </c>
      <c r="G47" s="14"/>
      <c r="H47" s="12">
        <v>42511</v>
      </c>
      <c r="I47" s="12">
        <v>46712</v>
      </c>
      <c r="J47" s="13">
        <v>2.2499999999999999E-2</v>
      </c>
      <c r="K47" s="12">
        <v>46894</v>
      </c>
      <c r="L47" s="81" t="s">
        <v>1679</v>
      </c>
      <c r="M47" s="16" t="str" cm="1">
        <f t="array" ref="M47">_xll.aqBondObjectCreateFromGenerator($C47,$M$4&amp;"_"&amp;$L47,_xll.aqToolLVBFromKeysValues($C$7:$K$7,$C47:$K47))</f>
        <v>LW0207677 Corp:5</v>
      </c>
      <c r="N47" s="78">
        <v>2.6849716218687751E-2</v>
      </c>
      <c r="O47" s="51">
        <v>96.340999999999994</v>
      </c>
      <c r="P47" s="17">
        <v>8.4677000000000007</v>
      </c>
      <c r="Q47" s="95">
        <v>823.49959999999999</v>
      </c>
      <c r="R47" s="39" cm="1">
        <f t="array" ref="R47">_xll.aqBondObjectYield(M47,$C$4,S47)</f>
        <v>2.6849716218008947E-2</v>
      </c>
      <c r="S47" s="47" cm="1">
        <f t="array" ref="S47">_xll.aqBondObjectPrice($M47,$C$4,$N47)</f>
        <v>96.340999999999994</v>
      </c>
      <c r="T47" s="47" cm="1">
        <f t="array" ref="T47">_xll.aqBondObjectCleanPrice($M47,$C$4,$N47)</f>
        <v>96.340999999999994</v>
      </c>
      <c r="U47" s="47" cm="1">
        <f t="array" ref="U47">_xll.aqBondObjectDirtyPrice($M47,$C$4,$N47)</f>
        <v>97.251999999999995</v>
      </c>
      <c r="V47" s="18" cm="1">
        <f t="array" ref="V47">_xll.aqBondObjectModifiedDuration($M47,$C$4,$N47)</f>
        <v>8.4676877687836853</v>
      </c>
      <c r="W47" s="93" cm="1">
        <f t="array" ref="W47">_xll.aqBondObjectDV01($M47,$C$4,$N47)</f>
        <v>823.49957088975088</v>
      </c>
      <c r="X47"/>
    </row>
    <row r="48" spans="2:24">
      <c r="B48" s="11" t="s">
        <v>1589</v>
      </c>
      <c r="C48" s="11" t="s">
        <v>1589</v>
      </c>
      <c r="D48" s="11" t="s">
        <v>1659</v>
      </c>
      <c r="E48" s="12">
        <v>42509</v>
      </c>
      <c r="F48" s="15">
        <v>42329</v>
      </c>
      <c r="G48" s="14"/>
      <c r="H48" s="12">
        <v>42511</v>
      </c>
      <c r="I48" s="12">
        <v>46712</v>
      </c>
      <c r="J48" s="13">
        <v>2.2499999999999999E-2</v>
      </c>
      <c r="K48" s="12">
        <v>46894</v>
      </c>
      <c r="L48" s="81" t="s">
        <v>1680</v>
      </c>
      <c r="M48" s="16" t="str" cm="1">
        <f t="array" ref="M48">_xll.aqBondObjectCreateFromGenerator($C48,$M$4&amp;"_"&amp;$L48,_xll.aqToolLVBFromKeysValues($C$7:$K$7,$C48:$K48))</f>
        <v>LW0753340 Corp:5</v>
      </c>
      <c r="N48" s="78">
        <v>2.7334145952421469E-2</v>
      </c>
      <c r="O48" s="51">
        <v>96.853999999999999</v>
      </c>
      <c r="P48" s="17">
        <v>8.4629999999999992</v>
      </c>
      <c r="Q48" s="95">
        <v>819.67280000000005</v>
      </c>
      <c r="R48" s="39" cm="1">
        <f t="array" ref="R48">_xll.aqBondObjectYield(M48,$C$4,S48)</f>
        <v>2.7334145952427481E-2</v>
      </c>
      <c r="S48" s="47" cm="1">
        <f t="array" ref="S48">_xll.aqBondObjectPrice($M48,$C$4,$N48)</f>
        <v>96.853999999999999</v>
      </c>
      <c r="T48" s="47" cm="1">
        <f t="array" ref="T48">_xll.aqBondObjectCleanPrice($M48,$C$4,$N48)</f>
        <v>95.942999999999998</v>
      </c>
      <c r="U48" s="47" cm="1">
        <f t="array" ref="U48">_xll.aqBondObjectDirtyPrice($M48,$C$4,$N48)</f>
        <v>96.853999999999999</v>
      </c>
      <c r="V48" s="18" cm="1">
        <f t="array" ref="V48">_xll.aqBondObjectModifiedDuration($M48,$C$4,$N48)</f>
        <v>8.4629727510357977</v>
      </c>
      <c r="W48" s="93" cm="1">
        <f t="array" ref="W48">_xll.aqBondObjectDV01($M48,$C$4,$N48)</f>
        <v>819.67276282882108</v>
      </c>
      <c r="X48"/>
    </row>
    <row r="49" spans="2:24">
      <c r="B49" s="11" t="s">
        <v>1568</v>
      </c>
      <c r="C49" s="11" t="s">
        <v>1568</v>
      </c>
      <c r="D49" s="11" t="s">
        <v>1646</v>
      </c>
      <c r="E49" s="12">
        <v>42796</v>
      </c>
      <c r="F49" s="15">
        <v>42695</v>
      </c>
      <c r="G49" s="14"/>
      <c r="H49" s="12">
        <v>42876</v>
      </c>
      <c r="I49" s="12">
        <v>46894</v>
      </c>
      <c r="J49" s="13">
        <v>2.75E-2</v>
      </c>
      <c r="K49" s="12">
        <v>47078</v>
      </c>
      <c r="L49" s="81" t="s">
        <v>1679</v>
      </c>
      <c r="M49" s="16" t="str" cm="1">
        <f t="array" ref="M49">_xll.aqBondObjectCreateFromGenerator($C49,$M$4&amp;"_"&amp;$L49,_xll.aqToolLVBFromKeysValues($C$7:$K$7,$C49:$K49))</f>
        <v>AM5647400 Corp:5</v>
      </c>
      <c r="N49" s="78">
        <v>2.689022733569555E-2</v>
      </c>
      <c r="O49" s="51">
        <v>100.535</v>
      </c>
      <c r="P49" s="17">
        <v>8.6739999999999995</v>
      </c>
      <c r="Q49" s="95">
        <v>881.69349999999997</v>
      </c>
      <c r="R49" s="39" cm="1">
        <f t="array" ref="R49">_xll.aqBondObjectYield(M49,$C$4,S49)</f>
        <v>2.6890227335700002E-2</v>
      </c>
      <c r="S49" s="47" cm="1">
        <f t="array" ref="S49">_xll.aqBondObjectPrice($M49,$C$4,$N49)</f>
        <v>100.535</v>
      </c>
      <c r="T49" s="47" cm="1">
        <f t="array" ref="T49">_xll.aqBondObjectCleanPrice($M49,$C$4,$N49)</f>
        <v>100.535</v>
      </c>
      <c r="U49" s="47" cm="1">
        <f t="array" ref="U49">_xll.aqBondObjectDirtyPrice($M49,$C$4,$N49)</f>
        <v>101.648</v>
      </c>
      <c r="V49" s="18" cm="1">
        <f t="array" ref="V49">_xll.aqBondObjectModifiedDuration($M49,$C$4,$N49)</f>
        <v>8.6739880610436053</v>
      </c>
      <c r="W49" s="93" cm="1">
        <f t="array" ref="W49">_xll.aqBondObjectDV01($M49,$C$4,$N49)</f>
        <v>881.69353842896044</v>
      </c>
      <c r="X49"/>
    </row>
    <row r="50" spans="2:24">
      <c r="B50" s="11" t="s">
        <v>1599</v>
      </c>
      <c r="C50" s="11" t="s">
        <v>1599</v>
      </c>
      <c r="D50" s="11" t="s">
        <v>1628</v>
      </c>
      <c r="E50" s="12">
        <v>42796</v>
      </c>
      <c r="F50" s="15">
        <v>42695</v>
      </c>
      <c r="G50" s="14"/>
      <c r="H50" s="12">
        <v>42876</v>
      </c>
      <c r="I50" s="12">
        <v>46894</v>
      </c>
      <c r="J50" s="13">
        <v>2.75E-2</v>
      </c>
      <c r="K50" s="12">
        <v>47078</v>
      </c>
      <c r="L50" s="81" t="s">
        <v>1680</v>
      </c>
      <c r="M50" s="16" t="str" cm="1">
        <f t="array" ref="M50">_xll.aqBondObjectCreateFromGenerator($C50,$M$4&amp;"_"&amp;$L50,_xll.aqToolLVBFromKeysValues($C$7:$K$7,$C50:$K50))</f>
        <v>AM5647731 Corp:5</v>
      </c>
      <c r="N50" s="78">
        <v>2.5904957890343683E-2</v>
      </c>
      <c r="O50" s="51">
        <v>102.521</v>
      </c>
      <c r="P50" s="17">
        <v>8.6852999999999998</v>
      </c>
      <c r="Q50" s="95">
        <v>890.42589999999996</v>
      </c>
      <c r="R50" s="39" cm="1">
        <f t="array" ref="R50">_xll.aqBondObjectYield(M50,$C$4,S50)</f>
        <v>2.5904957890344433E-2</v>
      </c>
      <c r="S50" s="47" cm="1">
        <f t="array" ref="S50">_xll.aqBondObjectPrice($M50,$C$4,$N50)</f>
        <v>102.521</v>
      </c>
      <c r="T50" s="47" cm="1">
        <f t="array" ref="T50">_xll.aqBondObjectCleanPrice($M50,$C$4,$N50)</f>
        <v>101.408</v>
      </c>
      <c r="U50" s="47" cm="1">
        <f t="array" ref="U50">_xll.aqBondObjectDirtyPrice($M50,$C$4,$N50)</f>
        <v>102.521</v>
      </c>
      <c r="V50" s="18" cm="1">
        <f t="array" ref="V50">_xll.aqBondObjectModifiedDuration($M50,$C$4,$N50)</f>
        <v>8.6853024487290025</v>
      </c>
      <c r="W50" s="93" cm="1">
        <f t="array" ref="W50">_xll.aqBondObjectDV01($M50,$C$4,$N50)</f>
        <v>890.42589234614604</v>
      </c>
      <c r="X50"/>
    </row>
    <row r="51" spans="2:24">
      <c r="B51" s="11" t="s">
        <v>1566</v>
      </c>
      <c r="C51" s="11" t="s">
        <v>1566</v>
      </c>
      <c r="D51" s="11" t="s">
        <v>1614</v>
      </c>
      <c r="E51" s="12">
        <v>41199</v>
      </c>
      <c r="F51" s="15">
        <v>41203</v>
      </c>
      <c r="G51" s="14"/>
      <c r="H51" s="12">
        <v>41385</v>
      </c>
      <c r="I51" s="12">
        <v>47047</v>
      </c>
      <c r="J51" s="13">
        <v>3.2500000000000001E-2</v>
      </c>
      <c r="K51" s="12">
        <v>47229</v>
      </c>
      <c r="L51" s="81" t="s">
        <v>1679</v>
      </c>
      <c r="M51" s="16" t="str" cm="1">
        <f t="array" ref="M51">_xll.aqBondObjectCreateFromGenerator($C51,$M$4&amp;"_"&amp;$L51,_xll.aqToolLVBFromKeysValues($C$7:$K$7,$C51:$K51))</f>
        <v>EJ3938531 Corp:5</v>
      </c>
      <c r="N51" s="78">
        <v>2.6999647223581832E-2</v>
      </c>
      <c r="O51" s="51">
        <v>105.005</v>
      </c>
      <c r="P51" s="17">
        <v>8.9146999999999998</v>
      </c>
      <c r="Q51" s="95">
        <v>935.77030000000002</v>
      </c>
      <c r="R51" s="39" cm="1">
        <f t="array" ref="R51">_xll.aqBondObjectYield(M51,$C$4,S51)</f>
        <v>2.6999647223590603E-2</v>
      </c>
      <c r="S51" s="47" cm="1">
        <f t="array" ref="S51">_xll.aqBondObjectPrice($M51,$C$4,$N51)</f>
        <v>105.005</v>
      </c>
      <c r="T51" s="47" cm="1">
        <f t="array" ref="T51">_xll.aqBondObjectCleanPrice($M51,$C$4,$N51)</f>
        <v>105.005</v>
      </c>
      <c r="U51" s="47" cm="1">
        <f t="array" ref="U51">_xll.aqBondObjectDirtyPrice($M51,$C$4,$N51)</f>
        <v>104.96899999999999</v>
      </c>
      <c r="V51" s="18" cm="1">
        <f t="array" ref="V51">_xll.aqBondObjectModifiedDuration($M51,$C$4,$N51)</f>
        <v>8.9147296249916206</v>
      </c>
      <c r="W51" s="93" cm="1">
        <f t="array" ref="W51">_xll.aqBondObjectDV01($M51,$C$4,$N51)</f>
        <v>935.77025400574541</v>
      </c>
      <c r="X51"/>
    </row>
    <row r="52" spans="2:24">
      <c r="B52" s="11" t="s">
        <v>1604</v>
      </c>
      <c r="C52" s="11" t="s">
        <v>1604</v>
      </c>
      <c r="D52" s="11" t="s">
        <v>1632</v>
      </c>
      <c r="E52" s="12">
        <v>41199</v>
      </c>
      <c r="F52" s="15">
        <v>41203</v>
      </c>
      <c r="G52" s="14"/>
      <c r="H52" s="12">
        <v>41385</v>
      </c>
      <c r="I52" s="12">
        <v>47047</v>
      </c>
      <c r="J52" s="13">
        <v>3.2500000000000001E-2</v>
      </c>
      <c r="K52" s="12">
        <v>47229</v>
      </c>
      <c r="L52" s="81" t="s">
        <v>1680</v>
      </c>
      <c r="M52" s="16" t="str" cm="1">
        <f t="array" ref="M52">_xll.aqBondObjectCreateFromGenerator($C52,$M$4&amp;"_"&amp;$L52,_xll.aqToolLVBFromKeysValues($C$7:$K$7,$C52:$K52))</f>
        <v>EJ6777381 Corp:5</v>
      </c>
      <c r="N52" s="78">
        <v>2.6919532397879566E-2</v>
      </c>
      <c r="O52" s="51">
        <v>105.044</v>
      </c>
      <c r="P52" s="17">
        <v>8.9156999999999993</v>
      </c>
      <c r="Q52" s="95">
        <v>936.54250000000002</v>
      </c>
      <c r="R52" s="39" cm="1">
        <f t="array" ref="R52">_xll.aqBondObjectYield(M52,$C$4,S52)</f>
        <v>2.6919532397888513E-2</v>
      </c>
      <c r="S52" s="47" cm="1">
        <f t="array" ref="S52">_xll.aqBondObjectPrice($M52,$C$4,$N52)</f>
        <v>105.044</v>
      </c>
      <c r="T52" s="47" cm="1">
        <f t="array" ref="T52">_xll.aqBondObjectCleanPrice($M52,$C$4,$N52)</f>
        <v>105.08</v>
      </c>
      <c r="U52" s="47" cm="1">
        <f t="array" ref="U52">_xll.aqBondObjectDirtyPrice($M52,$C$4,$N52)</f>
        <v>105.044</v>
      </c>
      <c r="V52" s="18" cm="1">
        <f t="array" ref="V52">_xll.aqBondObjectModifiedDuration($M52,$C$4,$N52)</f>
        <v>8.91571617420278</v>
      </c>
      <c r="W52" s="93" cm="1">
        <f t="array" ref="W52">_xll.aqBondObjectDV01($M52,$C$4,$N52)</f>
        <v>936.54248980295677</v>
      </c>
      <c r="X52"/>
    </row>
    <row r="53" spans="2:24">
      <c r="B53" s="11" t="s">
        <v>1565</v>
      </c>
      <c r="C53" s="11" t="s">
        <v>1565</v>
      </c>
      <c r="D53" s="11" t="s">
        <v>1613</v>
      </c>
      <c r="E53" s="12">
        <v>43125</v>
      </c>
      <c r="F53" s="15">
        <v>43060</v>
      </c>
      <c r="G53" s="14"/>
      <c r="H53" s="12">
        <v>43241</v>
      </c>
      <c r="I53" s="12">
        <v>47259</v>
      </c>
      <c r="J53" s="13">
        <v>2.75E-2</v>
      </c>
      <c r="K53" s="12">
        <v>47443</v>
      </c>
      <c r="L53" s="81" t="s">
        <v>1679</v>
      </c>
      <c r="M53" s="16" t="str" cm="1">
        <f t="array" ref="M53">_xll.aqBondObjectCreateFromGenerator($C53,$M$4&amp;"_"&amp;$L53,_xll.aqToolLVBFromKeysValues($C$7:$K$7,$C53:$K53))</f>
        <v>AQ7629332 Corp:5</v>
      </c>
      <c r="N53" s="78">
        <v>2.7069751179372572E-2</v>
      </c>
      <c r="O53" s="51">
        <v>100.40900000000001</v>
      </c>
      <c r="P53" s="17">
        <v>9.4084000000000003</v>
      </c>
      <c r="Q53" s="95">
        <v>955.16420000000005</v>
      </c>
      <c r="R53" s="39" cm="1">
        <f t="array" ref="R53">_xll.aqBondObjectYield(M53,$C$4,S53)</f>
        <v>2.7069751179375517E-2</v>
      </c>
      <c r="S53" s="47" cm="1">
        <f t="array" ref="S53">_xll.aqBondObjectPrice($M53,$C$4,$N53)</f>
        <v>100.40900000000001</v>
      </c>
      <c r="T53" s="47" cm="1">
        <f t="array" ref="T53">_xll.aqBondObjectCleanPrice($M53,$C$4,$N53)</f>
        <v>100.40900000000001</v>
      </c>
      <c r="U53" s="47" cm="1">
        <f t="array" ref="U53">_xll.aqBondObjectDirtyPrice($M53,$C$4,$N53)</f>
        <v>101.52200000000001</v>
      </c>
      <c r="V53" s="18" cm="1">
        <f t="array" ref="V53">_xll.aqBondObjectModifiedDuration($M53,$C$4,$N53)</f>
        <v>9.408445793538224</v>
      </c>
      <c r="W53" s="93" cm="1">
        <f t="array" ref="W53">_xll.aqBondObjectDV01($M53,$C$4,$N53)</f>
        <v>955.1642338515876</v>
      </c>
      <c r="X53"/>
    </row>
    <row r="54" spans="2:24">
      <c r="B54" s="11" t="s">
        <v>1597</v>
      </c>
      <c r="C54" s="11" t="s">
        <v>1597</v>
      </c>
      <c r="D54" s="11" t="s">
        <v>1663</v>
      </c>
      <c r="E54" s="12">
        <v>43125</v>
      </c>
      <c r="F54" s="15">
        <v>43060</v>
      </c>
      <c r="G54" s="14"/>
      <c r="H54" s="12">
        <v>43241</v>
      </c>
      <c r="I54" s="12">
        <v>47259</v>
      </c>
      <c r="J54" s="13">
        <v>2.75E-2</v>
      </c>
      <c r="K54" s="12">
        <v>47443</v>
      </c>
      <c r="L54" s="81" t="s">
        <v>1680</v>
      </c>
      <c r="M54" s="16" t="str" cm="1">
        <f t="array" ref="M54">_xll.aqBondObjectCreateFromGenerator($C54,$M$4&amp;"_"&amp;$L54,_xll.aqToolLVBFromKeysValues($C$7:$K$7,$C54:$K54))</f>
        <v>AQ7824545 Corp:5</v>
      </c>
      <c r="N54" s="78">
        <v>2.6337725105708965E-2</v>
      </c>
      <c r="O54" s="51">
        <v>102.224</v>
      </c>
      <c r="P54" s="17">
        <v>9.4185999999999996</v>
      </c>
      <c r="Q54" s="95">
        <v>962.81110000000001</v>
      </c>
      <c r="R54" s="39" cm="1">
        <f t="array" ref="R54">_xll.aqBondObjectYield(M54,$C$4,S54)</f>
        <v>2.633772510570968E-2</v>
      </c>
      <c r="S54" s="47" cm="1">
        <f t="array" ref="S54">_xll.aqBondObjectPrice($M54,$C$4,$N54)</f>
        <v>102.224</v>
      </c>
      <c r="T54" s="47" cm="1">
        <f t="array" ref="T54">_xll.aqBondObjectCleanPrice($M54,$C$4,$N54)</f>
        <v>101.111</v>
      </c>
      <c r="U54" s="47" cm="1">
        <f t="array" ref="U54">_xll.aqBondObjectDirtyPrice($M54,$C$4,$N54)</f>
        <v>102.224</v>
      </c>
      <c r="V54" s="18" cm="1">
        <f t="array" ref="V54">_xll.aqBondObjectModifiedDuration($M54,$C$4,$N54)</f>
        <v>9.4186404175077829</v>
      </c>
      <c r="W54" s="93" cm="1">
        <f t="array" ref="W54">_xll.aqBondObjectDV01($M54,$C$4,$N54)</f>
        <v>962.81109803931565</v>
      </c>
      <c r="X54"/>
    </row>
    <row r="55" spans="2:24">
      <c r="B55" s="11" t="s">
        <v>1569</v>
      </c>
      <c r="C55" s="11" t="s">
        <v>1569</v>
      </c>
      <c r="D55" s="11" t="s">
        <v>1647</v>
      </c>
      <c r="E55" s="12">
        <v>41604</v>
      </c>
      <c r="F55" s="15">
        <v>41568</v>
      </c>
      <c r="G55" s="14"/>
      <c r="H55" s="12">
        <v>41750</v>
      </c>
      <c r="I55" s="12">
        <v>48508</v>
      </c>
      <c r="J55" s="13">
        <v>4.4999999999999998E-2</v>
      </c>
      <c r="K55" s="12">
        <v>48690</v>
      </c>
      <c r="L55" s="81" t="s">
        <v>1679</v>
      </c>
      <c r="M55" s="16" t="str" cm="1">
        <f t="array" ref="M55">_xll.aqBondObjectCreateFromGenerator($C55,$M$4&amp;"_"&amp;$L55,_xll.aqToolLVBFromKeysValues($C$7:$K$7,$C55:$K55))</f>
        <v>EJ9437272 Corp:5</v>
      </c>
      <c r="N55" s="78">
        <v>2.8449679820718218E-2</v>
      </c>
      <c r="O55" s="51">
        <v>119.56399999999999</v>
      </c>
      <c r="P55" s="17">
        <v>11.0222</v>
      </c>
      <c r="Q55" s="95">
        <v>1317.3216</v>
      </c>
      <c r="R55" s="39" cm="1">
        <f t="array" ref="R55">_xll.aqBondObjectYield(M55,$C$4,S55)</f>
        <v>2.844967982071725E-2</v>
      </c>
      <c r="S55" s="47" cm="1">
        <f t="array" ref="S55">_xll.aqBondObjectPrice($M55,$C$4,$N55)</f>
        <v>119.56400000000001</v>
      </c>
      <c r="T55" s="47" cm="1">
        <f t="array" ref="T55">_xll.aqBondObjectCleanPrice($M55,$C$4,$N55)</f>
        <v>119.56400000000001</v>
      </c>
      <c r="U55" s="47" cm="1">
        <f t="array" ref="U55">_xll.aqBondObjectDirtyPrice($M55,$C$4,$N55)</f>
        <v>119.515</v>
      </c>
      <c r="V55" s="18" cm="1">
        <f t="array" ref="V55">_xll.aqBondObjectModifiedDuration($M55,$C$4,$N55)</f>
        <v>11.022228295851326</v>
      </c>
      <c r="W55" s="93" cm="1">
        <f t="array" ref="W55">_xll.aqBondObjectDV01($M55,$C$4,$N55)</f>
        <v>1317.3216147786711</v>
      </c>
      <c r="X55"/>
    </row>
    <row r="56" spans="2:24">
      <c r="B56" s="11" t="s">
        <v>1602</v>
      </c>
      <c r="C56" s="11" t="s">
        <v>1602</v>
      </c>
      <c r="D56" s="11" t="s">
        <v>1665</v>
      </c>
      <c r="E56" s="12">
        <v>41605</v>
      </c>
      <c r="F56" s="15">
        <v>41568</v>
      </c>
      <c r="G56" s="14"/>
      <c r="H56" s="12">
        <v>41750</v>
      </c>
      <c r="I56" s="12">
        <v>48508</v>
      </c>
      <c r="J56" s="13">
        <v>4.4999999999999998E-2</v>
      </c>
      <c r="K56" s="12">
        <v>48690</v>
      </c>
      <c r="L56" s="81" t="s">
        <v>1680</v>
      </c>
      <c r="M56" s="16" t="str" cm="1">
        <f t="array" ref="M56">_xll.aqBondObjectCreateFromGenerator($C56,$M$4&amp;"_"&amp;$L56,_xll.aqToolLVBFromKeysValues($C$7:$K$7,$C56:$K56))</f>
        <v>EJ9440870 Corp:5</v>
      </c>
      <c r="N56" s="78">
        <v>2.5563274905304079E-2</v>
      </c>
      <c r="O56" s="51">
        <v>123.392</v>
      </c>
      <c r="P56" s="17">
        <v>11.0982</v>
      </c>
      <c r="Q56" s="95">
        <v>1369.4299000000001</v>
      </c>
      <c r="R56" s="39" cm="1">
        <f t="array" ref="R56">_xll.aqBondObjectYield(M56,$C$4,S56)</f>
        <v>2.5563274905302795E-2</v>
      </c>
      <c r="S56" s="47" cm="1">
        <f t="array" ref="S56">_xll.aqBondObjectPrice($M56,$C$4,$N56)</f>
        <v>123.392</v>
      </c>
      <c r="T56" s="47" cm="1">
        <f t="array" ref="T56">_xll.aqBondObjectCleanPrice($M56,$C$4,$N56)</f>
        <v>123.441</v>
      </c>
      <c r="U56" s="47" cm="1">
        <f t="array" ref="U56">_xll.aqBondObjectDirtyPrice($M56,$C$4,$N56)</f>
        <v>123.392</v>
      </c>
      <c r="V56" s="18" cm="1">
        <f t="array" ref="V56">_xll.aqBondObjectModifiedDuration($M56,$C$4,$N56)</f>
        <v>11.098206844787777</v>
      </c>
      <c r="W56" s="93" cm="1">
        <f t="array" ref="W56">_xll.aqBondObjectDV01($M56,$C$4,$N56)</f>
        <v>1369.4299389920534</v>
      </c>
      <c r="X56"/>
    </row>
    <row r="57" spans="2:24">
      <c r="B57" s="11" t="s">
        <v>1570</v>
      </c>
      <c r="C57" s="11" t="s">
        <v>1570</v>
      </c>
      <c r="D57" s="11" t="s">
        <v>1648</v>
      </c>
      <c r="E57" s="12">
        <v>42094</v>
      </c>
      <c r="F57" s="15">
        <v>41994</v>
      </c>
      <c r="G57" s="14"/>
      <c r="H57" s="12">
        <v>42176</v>
      </c>
      <c r="I57" s="12">
        <v>49299</v>
      </c>
      <c r="J57" s="13">
        <v>2.75E-2</v>
      </c>
      <c r="K57" s="12">
        <v>49481</v>
      </c>
      <c r="L57" s="81" t="s">
        <v>1679</v>
      </c>
      <c r="M57" s="16" t="str" cm="1">
        <f t="array" ref="M57">_xll.aqBondObjectCreateFromGenerator($C57,$M$4&amp;"_"&amp;$L57,_xll.aqToolLVBFromKeysValues($C$7:$K$7,$C57:$K57))</f>
        <v>EK8211675 Corp:5</v>
      </c>
      <c r="N57" s="78">
        <v>2.9479615250781445E-2</v>
      </c>
      <c r="O57" s="51">
        <v>97.403999999999996</v>
      </c>
      <c r="P57" s="17">
        <v>13.1229</v>
      </c>
      <c r="Q57" s="95">
        <v>1289.8581999999999</v>
      </c>
      <c r="R57" s="39" cm="1">
        <f t="array" ref="R57">_xll.aqBondObjectYield(M57,$C$4,S57)</f>
        <v>2.9479615250790712E-2</v>
      </c>
      <c r="S57" s="47" cm="1">
        <f t="array" ref="S57">_xll.aqBondObjectPrice($M57,$C$4,$N57)</f>
        <v>97.403999999999996</v>
      </c>
      <c r="T57" s="47" cm="1">
        <f t="array" ref="T57">_xll.aqBondObjectCleanPrice($M57,$C$4,$N57)</f>
        <v>97.403999999999996</v>
      </c>
      <c r="U57" s="47" cm="1">
        <f t="array" ref="U57">_xll.aqBondObjectDirtyPrice($M57,$C$4,$N57)</f>
        <v>98.290999999999997</v>
      </c>
      <c r="V57" s="18" cm="1">
        <f t="array" ref="V57">_xll.aqBondObjectModifiedDuration($M57,$C$4,$N57)</f>
        <v>13.122851871055399</v>
      </c>
      <c r="W57" s="93" cm="1">
        <f t="array" ref="W57">_xll.aqBondObjectDV01($M57,$C$4,$N57)</f>
        <v>1289.8582332579062</v>
      </c>
      <c r="X57"/>
    </row>
    <row r="58" spans="2:24">
      <c r="B58" s="11" t="s">
        <v>1609</v>
      </c>
      <c r="C58" s="11" t="s">
        <v>1609</v>
      </c>
      <c r="D58" s="11" t="s">
        <v>1636</v>
      </c>
      <c r="E58" s="12">
        <v>42094</v>
      </c>
      <c r="F58" s="15">
        <v>41994</v>
      </c>
      <c r="G58" s="14"/>
      <c r="H58" s="12">
        <v>42176</v>
      </c>
      <c r="I58" s="12">
        <v>49299</v>
      </c>
      <c r="J58" s="13">
        <v>2.75E-2</v>
      </c>
      <c r="K58" s="12">
        <v>49481</v>
      </c>
      <c r="L58" s="81" t="s">
        <v>1680</v>
      </c>
      <c r="M58" s="16" t="str" cm="1">
        <f t="array" ref="M58">_xll.aqBondObjectCreateFromGenerator($C58,$M$4&amp;"_"&amp;$L58,_xll.aqToolLVBFromKeysValues($C$7:$K$7,$C58:$K58))</f>
        <v>EK8238157 Corp:5</v>
      </c>
      <c r="N58" s="78">
        <v>2.9669841761718829E-2</v>
      </c>
      <c r="O58" s="51">
        <v>98.046000000000006</v>
      </c>
      <c r="P58" s="17">
        <v>13.1165</v>
      </c>
      <c r="Q58" s="95">
        <v>1286.0202999999999</v>
      </c>
      <c r="R58" s="39" cm="1">
        <f t="array" ref="R58">_xll.aqBondObjectYield(M58,$C$4,S58)</f>
        <v>2.9669841761729883E-2</v>
      </c>
      <c r="S58" s="47" cm="1">
        <f t="array" ref="S58">_xll.aqBondObjectPrice($M58,$C$4,$N58)</f>
        <v>98.046000000000006</v>
      </c>
      <c r="T58" s="47" cm="1">
        <f t="array" ref="T58">_xll.aqBondObjectCleanPrice($M58,$C$4,$N58)</f>
        <v>97.159000000000006</v>
      </c>
      <c r="U58" s="47" cm="1">
        <f t="array" ref="U58">_xll.aqBondObjectDirtyPrice($M58,$C$4,$N58)</f>
        <v>98.046000000000006</v>
      </c>
      <c r="V58" s="18" cm="1">
        <f t="array" ref="V58">_xll.aqBondObjectModifiedDuration($M58,$C$4,$N58)</f>
        <v>13.116499491854869</v>
      </c>
      <c r="W58" s="93" cm="1">
        <f t="array" ref="W58">_xll.aqBondObjectDV01($M58,$C$4,$N58)</f>
        <v>1286.0203091784026</v>
      </c>
      <c r="X58"/>
    </row>
    <row r="59" spans="2:24">
      <c r="B59" s="11" t="s">
        <v>1567</v>
      </c>
      <c r="C59" s="11" t="s">
        <v>1567</v>
      </c>
      <c r="D59" s="11" t="s">
        <v>1615</v>
      </c>
      <c r="E59" s="12">
        <v>41933</v>
      </c>
      <c r="F59" s="15">
        <v>41933</v>
      </c>
      <c r="G59" s="14"/>
      <c r="H59" s="12">
        <v>42115</v>
      </c>
      <c r="I59" s="12">
        <v>49969</v>
      </c>
      <c r="J59" s="13">
        <v>3.7499999999999999E-2</v>
      </c>
      <c r="K59" s="12">
        <v>50151</v>
      </c>
      <c r="L59" s="81" t="s">
        <v>1679</v>
      </c>
      <c r="M59" s="16" t="str" cm="1">
        <f t="array" ref="M59">_xll.aqBondObjectCreateFromGenerator($C59,$M$4&amp;"_"&amp;$L59,_xll.aqToolLVBFromKeysValues($C$7:$K$7,$C59:$K59))</f>
        <v>EK5446753 Corp:5</v>
      </c>
      <c r="N59" s="78">
        <v>2.9900233192735947E-2</v>
      </c>
      <c r="O59" s="51">
        <v>110.744</v>
      </c>
      <c r="P59" s="17">
        <v>13.5983</v>
      </c>
      <c r="Q59" s="95">
        <v>1505.3742999999999</v>
      </c>
      <c r="R59" s="39" cm="1">
        <f t="array" ref="R59">_xll.aqBondObjectYield(M59,$C$4,S59)</f>
        <v>2.9900233192734972E-2</v>
      </c>
      <c r="S59" s="47" cm="1">
        <f t="array" ref="S59">_xll.aqBondObjectPrice($M59,$C$4,$N59)</f>
        <v>110.744</v>
      </c>
      <c r="T59" s="47" cm="1">
        <f t="array" ref="T59">_xll.aqBondObjectCleanPrice($M59,$C$4,$N59)</f>
        <v>110.744</v>
      </c>
      <c r="U59" s="47" cm="1">
        <f t="array" ref="U59">_xll.aqBondObjectDirtyPrice($M59,$C$4,$N59)</f>
        <v>110.703</v>
      </c>
      <c r="V59" s="18" cm="1">
        <f t="array" ref="V59">_xll.aqBondObjectModifiedDuration($M59,$C$4,$N59)</f>
        <v>13.598315014858262</v>
      </c>
      <c r="W59" s="93" cm="1">
        <f t="array" ref="W59">_xll.aqBondObjectDV01($M59,$C$4,$N59)</f>
        <v>1505.3742670898541</v>
      </c>
      <c r="X59"/>
    </row>
    <row r="60" spans="2:24">
      <c r="B60" s="11" t="s">
        <v>1601</v>
      </c>
      <c r="C60" s="11" t="s">
        <v>1601</v>
      </c>
      <c r="D60" s="11" t="s">
        <v>1630</v>
      </c>
      <c r="E60" s="12">
        <v>41933</v>
      </c>
      <c r="F60" s="15">
        <v>41933</v>
      </c>
      <c r="G60" s="14"/>
      <c r="H60" s="12">
        <v>42115</v>
      </c>
      <c r="I60" s="12">
        <v>49969</v>
      </c>
      <c r="J60" s="13">
        <v>3.7499999999999999E-2</v>
      </c>
      <c r="K60" s="12">
        <v>50151</v>
      </c>
      <c r="L60" s="81" t="s">
        <v>1680</v>
      </c>
      <c r="M60" s="16" t="str" cm="1">
        <f t="array" ref="M60">_xll.aqBondObjectCreateFromGenerator($C60,$M$4&amp;"_"&amp;$L60,_xll.aqToolLVBFromKeysValues($C$7:$K$7,$C60:$K60))</f>
        <v>EK5450789 Corp:5</v>
      </c>
      <c r="N60" s="78">
        <v>2.9384987622627645E-2</v>
      </c>
      <c r="O60" s="51">
        <v>111.482</v>
      </c>
      <c r="P60" s="17">
        <v>13.6206</v>
      </c>
      <c r="Q60" s="95">
        <v>1518.4469999999999</v>
      </c>
      <c r="R60" s="39" cm="1">
        <f t="array" ref="R60">_xll.aqBondObjectYield(M60,$C$4,S60)</f>
        <v>2.9384987622626445E-2</v>
      </c>
      <c r="S60" s="47" cm="1">
        <f t="array" ref="S60">_xll.aqBondObjectPrice($M60,$C$4,$N60)</f>
        <v>111.482</v>
      </c>
      <c r="T60" s="47" cm="1">
        <f t="array" ref="T60">_xll.aqBondObjectCleanPrice($M60,$C$4,$N60)</f>
        <v>111.523</v>
      </c>
      <c r="U60" s="47" cm="1">
        <f t="array" ref="U60">_xll.aqBondObjectDirtyPrice($M60,$C$4,$N60)</f>
        <v>111.482</v>
      </c>
      <c r="V60" s="18" cm="1">
        <f t="array" ref="V60">_xll.aqBondObjectModifiedDuration($M60,$C$4,$N60)</f>
        <v>13.62055748292167</v>
      </c>
      <c r="W60" s="93" cm="1">
        <f t="array" ref="W60">_xll.aqBondObjectDV01($M60,$C$4,$N60)</f>
        <v>1518.4469893110736</v>
      </c>
      <c r="X60"/>
    </row>
    <row r="61" spans="2:24">
      <c r="B61" s="11" t="s">
        <v>1571</v>
      </c>
      <c r="C61" s="11" t="s">
        <v>1571</v>
      </c>
      <c r="D61" s="11" t="s">
        <v>1616</v>
      </c>
      <c r="E61" s="12">
        <v>42298</v>
      </c>
      <c r="F61" s="15">
        <v>42176</v>
      </c>
      <c r="G61" s="14"/>
      <c r="H61" s="12">
        <v>42359</v>
      </c>
      <c r="I61" s="12">
        <v>50760</v>
      </c>
      <c r="J61" s="13">
        <v>3.2500000000000001E-2</v>
      </c>
      <c r="K61" s="12">
        <v>50942</v>
      </c>
      <c r="L61" s="81" t="s">
        <v>1679</v>
      </c>
      <c r="M61" s="16" t="str" cm="1">
        <f t="array" ref="M61">_xll.aqBondObjectCreateFromGenerator($C61,$M$4&amp;"_"&amp;$L61,_xll.aqToolLVBFromKeysValues($C$7:$K$7,$C61:$K61))</f>
        <v>QJ1521823 Corp:5</v>
      </c>
      <c r="N61" s="78">
        <v>3.0549984836043098E-2</v>
      </c>
      <c r="O61" s="51">
        <v>102.97</v>
      </c>
      <c r="P61" s="17">
        <v>14.9259</v>
      </c>
      <c r="Q61" s="95">
        <v>1552.5658000000001</v>
      </c>
      <c r="R61" s="39" cm="1">
        <f t="array" ref="R61">_xll.aqBondObjectYield(M61,$C$4,S61)</f>
        <v>3.0549984836063783E-2</v>
      </c>
      <c r="S61" s="47" cm="1">
        <f t="array" ref="S61">_xll.aqBondObjectPrice($M61,$C$4,$N61)</f>
        <v>102.97</v>
      </c>
      <c r="T61" s="47" cm="1">
        <f t="array" ref="T61">_xll.aqBondObjectCleanPrice($M61,$C$4,$N61)</f>
        <v>102.97</v>
      </c>
      <c r="U61" s="47" cm="1">
        <f t="array" ref="U61">_xll.aqBondObjectDirtyPrice($M61,$C$4,$N61)</f>
        <v>104.018</v>
      </c>
      <c r="V61" s="18" cm="1">
        <f t="array" ref="V61">_xll.aqBondObjectModifiedDuration($M61,$C$4,$N61)</f>
        <v>14.925934261666892</v>
      </c>
      <c r="W61" s="93" cm="1">
        <f t="array" ref="W61">_xll.aqBondObjectDV01($M61,$C$4,$N61)</f>
        <v>1552.5658300300668</v>
      </c>
      <c r="X61"/>
    </row>
    <row r="62" spans="2:24">
      <c r="B62" s="11" t="s">
        <v>1588</v>
      </c>
      <c r="C62" s="11" t="s">
        <v>1588</v>
      </c>
      <c r="D62" s="11" t="s">
        <v>1623</v>
      </c>
      <c r="E62" s="12">
        <v>42298</v>
      </c>
      <c r="F62" s="15">
        <v>42176</v>
      </c>
      <c r="G62" s="14"/>
      <c r="H62" s="12">
        <v>42359</v>
      </c>
      <c r="I62" s="12">
        <v>50760</v>
      </c>
      <c r="J62" s="13">
        <v>3.2500000000000001E-2</v>
      </c>
      <c r="K62" s="12">
        <v>50942</v>
      </c>
      <c r="L62" s="81" t="s">
        <v>1680</v>
      </c>
      <c r="M62" s="16" t="str" cm="1">
        <f t="array" ref="M62">_xll.aqBondObjectCreateFromGenerator($C62,$M$4&amp;"_"&amp;$L62,_xll.aqToolLVBFromKeysValues($C$7:$K$7,$C62:$K62))</f>
        <v>QJ1755850 Corp:5</v>
      </c>
      <c r="N62" s="78">
        <v>3.0727404166022754E-2</v>
      </c>
      <c r="O62" s="51">
        <v>103.74299999999999</v>
      </c>
      <c r="P62" s="17">
        <v>14.9161</v>
      </c>
      <c r="Q62" s="95">
        <v>1547.4376999999999</v>
      </c>
      <c r="R62" s="39" cm="1">
        <f t="array" ref="R62">_xll.aqBondObjectYield(M62,$C$4,S62)</f>
        <v>3.0727404166041108E-2</v>
      </c>
      <c r="S62" s="47" cm="1">
        <f t="array" ref="S62">_xll.aqBondObjectPrice($M62,$C$4,$N62)</f>
        <v>103.74299999999999</v>
      </c>
      <c r="T62" s="47" cm="1">
        <f t="array" ref="T62">_xll.aqBondObjectCleanPrice($M62,$C$4,$N62)</f>
        <v>102.69499999999999</v>
      </c>
      <c r="U62" s="47" cm="1">
        <f t="array" ref="U62">_xll.aqBondObjectDirtyPrice($M62,$C$4,$N62)</f>
        <v>103.74299999999999</v>
      </c>
      <c r="V62" s="18" cm="1">
        <f t="array" ref="V62">_xll.aqBondObjectModifiedDuration($M62,$C$4,$N62)</f>
        <v>14.91606818385257</v>
      </c>
      <c r="W62" s="93" cm="1">
        <f t="array" ref="W62">_xll.aqBondObjectDV01($M62,$C$4,$N62)</f>
        <v>1547.437661597417</v>
      </c>
      <c r="X62"/>
    </row>
    <row r="63" spans="2:24">
      <c r="B63" s="11" t="s">
        <v>1555</v>
      </c>
      <c r="C63" s="11" t="s">
        <v>1555</v>
      </c>
      <c r="D63" s="11" t="s">
        <v>1639</v>
      </c>
      <c r="E63" s="12">
        <v>42662</v>
      </c>
      <c r="F63" s="15">
        <v>42634</v>
      </c>
      <c r="G63" s="14"/>
      <c r="H63" s="12">
        <v>42815</v>
      </c>
      <c r="I63" s="12">
        <v>53591</v>
      </c>
      <c r="J63" s="13">
        <v>0.03</v>
      </c>
      <c r="K63" s="12">
        <v>53772</v>
      </c>
      <c r="L63" s="81" t="s">
        <v>1679</v>
      </c>
      <c r="M63" s="16" t="str" cm="1">
        <f t="array" ref="M63">_xll.aqBondObjectCreateFromGenerator($C63,$M$4&amp;"_"&amp;$L63,_xll.aqToolLVBFromKeysValues($C$7:$K$7,$C63:$K63))</f>
        <v>QZ5429456 Corp:5</v>
      </c>
      <c r="N63" s="78">
        <v>3.1549924439152194E-2</v>
      </c>
      <c r="O63" s="51">
        <v>97.103999999999999</v>
      </c>
      <c r="P63" s="17">
        <v>18.8309</v>
      </c>
      <c r="Q63" s="95">
        <v>1832.6016999999999</v>
      </c>
      <c r="R63" s="39" cm="1">
        <f t="array" ref="R63">_xll.aqBondObjectYield(M63,$C$4,S63)</f>
        <v>3.1549924439177542E-2</v>
      </c>
      <c r="S63" s="47" cm="1">
        <f t="array" ref="S63">_xll.aqBondObjectPrice($M63,$C$4,$N63)</f>
        <v>97.103999999999999</v>
      </c>
      <c r="T63" s="47" cm="1">
        <f t="array" ref="T63">_xll.aqBondObjectCleanPrice($M63,$C$4,$N63)</f>
        <v>97.103999999999999</v>
      </c>
      <c r="U63" s="47" cm="1">
        <f t="array" ref="U63">_xll.aqBondObjectDirtyPrice($M63,$C$4,$N63)</f>
        <v>97.319000000000003</v>
      </c>
      <c r="V63" s="18" cm="1">
        <f t="array" ref="V63">_xll.aqBondObjectModifiedDuration($M63,$C$4,$N63)</f>
        <v>18.830872217949072</v>
      </c>
      <c r="W63" s="93" cm="1">
        <f t="array" ref="W63">_xll.aqBondObjectDV01($M63,$C$4,$N63)</f>
        <v>1832.6016533785858</v>
      </c>
      <c r="X63"/>
    </row>
    <row r="64" spans="2:24">
      <c r="B64" s="11" t="s">
        <v>1587</v>
      </c>
      <c r="C64" s="11" t="s">
        <v>1587</v>
      </c>
      <c r="D64" s="11" t="s">
        <v>1622</v>
      </c>
      <c r="E64" s="12">
        <v>42662</v>
      </c>
      <c r="F64" s="15">
        <v>42634</v>
      </c>
      <c r="G64" s="14"/>
      <c r="H64" s="12">
        <v>42815</v>
      </c>
      <c r="I64" s="12">
        <v>53591</v>
      </c>
      <c r="J64" s="13">
        <v>0.03</v>
      </c>
      <c r="K64" s="12">
        <v>53772</v>
      </c>
      <c r="L64" s="81" t="s">
        <v>1680</v>
      </c>
      <c r="M64" s="16" t="str" cm="1">
        <f t="array" ref="M64">_xll.aqBondObjectCreateFromGenerator($C64,$M$4&amp;"_"&amp;$L64,_xll.aqToolLVBFromKeysValues($C$7:$K$7,$C64:$K64))</f>
        <v>QZ8542552 Corp:5</v>
      </c>
      <c r="N64" s="78">
        <v>3.3001246382875056E-2</v>
      </c>
      <c r="O64" s="51">
        <v>94.706000000000003</v>
      </c>
      <c r="P64" s="17">
        <v>18.6754</v>
      </c>
      <c r="Q64" s="95">
        <v>1768.6678999999999</v>
      </c>
      <c r="R64" s="39" cm="1">
        <f t="array" ref="R64">_xll.aqBondObjectYield(M64,$C$4,S64)</f>
        <v>3.3001246382874806E-2</v>
      </c>
      <c r="S64" s="47" cm="1">
        <f t="array" ref="S64">_xll.aqBondObjectPrice($M64,$C$4,$N64)</f>
        <v>94.706000000000003</v>
      </c>
      <c r="T64" s="47" cm="1">
        <f t="array" ref="T64">_xll.aqBondObjectCleanPrice($M64,$C$4,$N64)</f>
        <v>94.491</v>
      </c>
      <c r="U64" s="47" cm="1">
        <f t="array" ref="U64">_xll.aqBondObjectDirtyPrice($M64,$C$4,$N64)</f>
        <v>94.706000000000003</v>
      </c>
      <c r="V64" s="18" cm="1">
        <f t="array" ref="V64">_xll.aqBondObjectModifiedDuration($M64,$C$4,$N64)</f>
        <v>18.675351862589505</v>
      </c>
      <c r="W64" s="93" cm="1">
        <f t="array" ref="W64">_xll.aqBondObjectDV01($M64,$C$4,$N64)</f>
        <v>1768.6678734984018</v>
      </c>
      <c r="X64"/>
    </row>
    <row r="65" spans="24:24">
      <c r="X65"/>
    </row>
    <row r="66" spans="24:24">
      <c r="X66"/>
    </row>
    <row r="67" spans="24:24">
      <c r="X67"/>
    </row>
    <row r="68" spans="24:24">
      <c r="X68"/>
    </row>
    <row r="69" spans="24:24">
      <c r="X69"/>
    </row>
    <row r="70" spans="24:24">
      <c r="X70"/>
    </row>
    <row r="71" spans="24:24">
      <c r="X71"/>
    </row>
    <row r="72" spans="24:24">
      <c r="X72"/>
    </row>
    <row r="73" spans="24:24">
      <c r="X73"/>
    </row>
    <row r="74" spans="24:24">
      <c r="X74"/>
    </row>
    <row r="75" spans="24:24">
      <c r="X75"/>
    </row>
    <row r="76" spans="24:24">
      <c r="X76"/>
    </row>
    <row r="77" spans="24:24">
      <c r="X77"/>
    </row>
    <row r="78" spans="24:24">
      <c r="X78"/>
    </row>
    <row r="79" spans="24:24">
      <c r="X79"/>
    </row>
    <row r="80" spans="24:24">
      <c r="X80"/>
    </row>
    <row r="81" spans="24:24">
      <c r="X81"/>
    </row>
    <row r="82" spans="24:24">
      <c r="X82"/>
    </row>
    <row r="83" spans="24:24">
      <c r="X83"/>
    </row>
    <row r="84" spans="24:24">
      <c r="X84"/>
    </row>
    <row r="85" spans="24:24">
      <c r="X85"/>
    </row>
    <row r="86" spans="24:24">
      <c r="X86"/>
    </row>
    <row r="87" spans="24:24">
      <c r="X87"/>
    </row>
    <row r="88" spans="24:24">
      <c r="X88"/>
    </row>
    <row r="89" spans="24:24">
      <c r="X89"/>
    </row>
    <row r="90" spans="24:24">
      <c r="X90"/>
    </row>
    <row r="91" spans="24:24">
      <c r="X91"/>
    </row>
    <row r="92" spans="24:24">
      <c r="X92"/>
    </row>
    <row r="93" spans="24:24">
      <c r="X93"/>
    </row>
    <row r="94" spans="24:24">
      <c r="X94"/>
    </row>
    <row r="95" spans="24:24">
      <c r="X95"/>
    </row>
    <row r="96" spans="24:24">
      <c r="X96"/>
    </row>
    <row r="97" spans="24:24">
      <c r="X97"/>
    </row>
    <row r="98" spans="24:24">
      <c r="X98"/>
    </row>
  </sheetData>
  <autoFilter ref="B7:W7" xr:uid="{00000000-0001-0000-0500-000000000000}"/>
  <sortState xmlns:xlrd2="http://schemas.microsoft.com/office/spreadsheetml/2017/richdata2" ref="B8:X82">
    <sortCondition ref="K8:K8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AI41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outlineLevelCol="1"/>
  <cols>
    <col min="2" max="2" width="20.7109375" customWidth="1"/>
    <col min="3" max="3" width="18.28515625" style="75" customWidth="1"/>
    <col min="4" max="4" width="15.7109375" customWidth="1"/>
    <col min="5" max="8" width="15.7109375" hidden="1" customWidth="1" outlineLevel="1"/>
    <col min="9" max="9" width="22" hidden="1" customWidth="1" outlineLevel="1"/>
    <col min="10" max="10" width="15.7109375" customWidth="1" collapsed="1"/>
    <col min="11" max="11" width="15.7109375" customWidth="1"/>
    <col min="12" max="12" width="22.7109375" customWidth="1"/>
    <col min="13" max="13" width="22.7109375" style="41" customWidth="1"/>
    <col min="14" max="16" width="22.7109375" style="41" hidden="1" customWidth="1" outlineLevel="1"/>
    <col min="17" max="17" width="20.7109375" style="41" customWidth="1" collapsed="1"/>
    <col min="18" max="18" width="20.7109375" style="41" customWidth="1"/>
    <col min="19" max="22" width="20.7109375" style="46" hidden="1" customWidth="1" outlineLevel="1"/>
    <col min="23" max="23" width="20.7109375" customWidth="1" collapsed="1"/>
  </cols>
  <sheetData>
    <row r="1" spans="2:23">
      <c r="J1" s="2" t="s">
        <v>277</v>
      </c>
      <c r="L1" s="36"/>
      <c r="M1" s="44"/>
      <c r="N1" s="44"/>
      <c r="O1" s="44"/>
      <c r="P1" s="44"/>
      <c r="Q1" s="45" t="s">
        <v>1965</v>
      </c>
      <c r="R1" s="44"/>
      <c r="S1" s="44"/>
      <c r="T1" s="44"/>
      <c r="U1" s="44"/>
      <c r="V1" s="44"/>
      <c r="W1" s="2" t="s">
        <v>1960</v>
      </c>
    </row>
    <row r="2" spans="2:23">
      <c r="M2" s="45" t="s">
        <v>1957</v>
      </c>
      <c r="N2" s="45" t="s">
        <v>1958</v>
      </c>
      <c r="O2" s="45" t="s">
        <v>1966</v>
      </c>
      <c r="P2" s="45" t="s">
        <v>1967</v>
      </c>
      <c r="Q2" s="44"/>
      <c r="R2" s="44"/>
      <c r="S2" s="24"/>
      <c r="T2" s="24"/>
      <c r="U2" s="24"/>
      <c r="V2" s="24"/>
    </row>
    <row r="3" spans="2:23">
      <c r="B3" s="2" t="s">
        <v>9</v>
      </c>
      <c r="C3" s="2" t="s">
        <v>10</v>
      </c>
      <c r="D3" s="4"/>
      <c r="L3" s="2" t="s">
        <v>273</v>
      </c>
      <c r="M3" s="83" t="s">
        <v>274</v>
      </c>
      <c r="N3" s="83" t="s">
        <v>274</v>
      </c>
      <c r="O3" s="83" t="s">
        <v>274</v>
      </c>
      <c r="P3" s="83" t="s">
        <v>274</v>
      </c>
      <c r="Q3" s="45"/>
      <c r="R3" s="45"/>
      <c r="S3" s="25"/>
      <c r="T3" s="26"/>
      <c r="U3" s="25"/>
      <c r="V3" s="25"/>
    </row>
    <row r="4" spans="2:23">
      <c r="B4" s="90">
        <v>43388</v>
      </c>
      <c r="C4" s="38" cm="1">
        <f t="array" ref="C4">_xll.aqDateFromTenor($B$4,$D$4,"MOD_FOLLOWING","NYB")</f>
        <v>43389</v>
      </c>
      <c r="D4" s="5" t="s">
        <v>11</v>
      </c>
      <c r="E4" s="1"/>
      <c r="F4" s="1"/>
      <c r="G4" s="1"/>
      <c r="H4" s="1"/>
      <c r="I4" s="1"/>
      <c r="J4" s="1"/>
      <c r="K4" s="1"/>
      <c r="L4" s="23" t="s">
        <v>1717</v>
      </c>
      <c r="M4" s="52">
        <f ca="1">SUM(M8:M500)-SUM(Q8:Q500)</f>
        <v>-5.8952842607595812E-14</v>
      </c>
      <c r="N4" s="52">
        <f ca="1">SUM(N8:N500)-SUM(R8:R500)</f>
        <v>-3.8922098610782996E-7</v>
      </c>
      <c r="O4" s="52">
        <f ca="1">SUM(O8:O500)-SUM(U8:U500)</f>
        <v>2.5184162268487853E-5</v>
      </c>
      <c r="P4" s="94">
        <f ca="1">SUM(P8:P500)-SUM(V8:V500)</f>
        <v>2.2950649145059288E-4</v>
      </c>
      <c r="Q4" s="45"/>
      <c r="R4" s="45"/>
      <c r="S4" s="45"/>
      <c r="T4" s="45"/>
      <c r="U4" s="45"/>
      <c r="V4" s="45"/>
    </row>
    <row r="5" spans="2:23">
      <c r="B5" s="37"/>
      <c r="C5" s="5"/>
      <c r="D5" s="5"/>
      <c r="E5" s="1"/>
      <c r="F5" s="1"/>
      <c r="G5" s="1"/>
      <c r="H5" s="1"/>
      <c r="I5" s="1"/>
      <c r="J5" s="1"/>
      <c r="K5" s="1"/>
      <c r="L5" s="1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2:23">
      <c r="B6" s="88" t="s">
        <v>1959</v>
      </c>
      <c r="C6" s="88" t="s">
        <v>1732</v>
      </c>
      <c r="D6" s="88" t="s">
        <v>1733</v>
      </c>
      <c r="E6" s="88" t="s">
        <v>1736</v>
      </c>
      <c r="F6" s="88" t="s">
        <v>1737</v>
      </c>
      <c r="G6" s="88"/>
      <c r="H6" s="88" t="s">
        <v>1738</v>
      </c>
      <c r="I6" s="88" t="s">
        <v>1739</v>
      </c>
      <c r="J6" s="88" t="s">
        <v>1734</v>
      </c>
      <c r="K6" s="88" t="s">
        <v>1735</v>
      </c>
      <c r="M6" s="86" t="s">
        <v>14</v>
      </c>
      <c r="N6" s="87" t="s">
        <v>15</v>
      </c>
      <c r="O6" s="87" t="s">
        <v>18</v>
      </c>
      <c r="P6" s="87" t="s">
        <v>17</v>
      </c>
      <c r="Q6" s="44"/>
      <c r="R6"/>
      <c r="S6" s="44"/>
      <c r="T6" s="44"/>
      <c r="U6" s="44"/>
      <c r="V6" s="44"/>
    </row>
    <row r="7" spans="2:23" s="10" customFormat="1">
      <c r="B7" s="22" t="s">
        <v>12</v>
      </c>
      <c r="C7" s="75" t="s">
        <v>0</v>
      </c>
      <c r="D7" s="22" t="s">
        <v>1</v>
      </c>
      <c r="E7" s="22" t="s">
        <v>2</v>
      </c>
      <c r="F7" s="22" t="s">
        <v>8</v>
      </c>
      <c r="G7" s="22" t="s">
        <v>7</v>
      </c>
      <c r="H7" s="22" t="s">
        <v>3</v>
      </c>
      <c r="I7" s="22" t="s">
        <v>4</v>
      </c>
      <c r="J7" s="22" t="s">
        <v>6</v>
      </c>
      <c r="K7" s="22" t="s">
        <v>5</v>
      </c>
      <c r="L7" s="22" t="s">
        <v>13</v>
      </c>
      <c r="M7" s="42" t="s">
        <v>1955</v>
      </c>
      <c r="N7" s="82" t="s">
        <v>1956</v>
      </c>
      <c r="O7" s="82" t="s">
        <v>1963</v>
      </c>
      <c r="P7" s="82" t="s">
        <v>1964</v>
      </c>
      <c r="Q7" s="21" t="s">
        <v>1551</v>
      </c>
      <c r="R7" s="21" t="s">
        <v>1706</v>
      </c>
      <c r="S7" s="21" t="s">
        <v>275</v>
      </c>
      <c r="T7" s="21" t="s">
        <v>1550</v>
      </c>
      <c r="U7" s="21" t="s">
        <v>276</v>
      </c>
      <c r="V7" s="21" t="s">
        <v>16</v>
      </c>
    </row>
    <row r="8" spans="2:23">
      <c r="B8" s="11" t="s">
        <v>1744</v>
      </c>
      <c r="C8" s="76" t="s">
        <v>1760</v>
      </c>
      <c r="D8" s="11" t="s">
        <v>1761</v>
      </c>
      <c r="E8" s="12" t="s">
        <v>1762</v>
      </c>
      <c r="F8" s="15" t="s">
        <v>1762</v>
      </c>
      <c r="G8" s="14"/>
      <c r="H8" s="12" t="s">
        <v>1763</v>
      </c>
      <c r="I8" s="12" t="s">
        <v>1764</v>
      </c>
      <c r="J8" s="13">
        <v>0.04</v>
      </c>
      <c r="K8" s="12" t="s">
        <v>1765</v>
      </c>
      <c r="L8" s="16" t="str" cm="1">
        <f t="array" aca="1" ref="L8" ca="1">_xll.aqBondObjectCreateFromGenerator($C8,$L$4,_xll.aqToolLVBFromKeysValues($C$7:$K$7,$C8:$K8))</f>
        <v>UKT 4 03/07/22:4</v>
      </c>
      <c r="M8" s="78">
        <v>9.369474853163964E-3</v>
      </c>
      <c r="N8" s="50">
        <v>110.20299999999799</v>
      </c>
      <c r="O8" s="17">
        <v>3.1897000000000002</v>
      </c>
      <c r="P8" s="95">
        <v>352.8852</v>
      </c>
      <c r="Q8" s="39" cm="1">
        <f t="array" aca="1" ref="Q8" ca="1">_xll.aqBondObjectYield(L8,$C$4,R8)</f>
        <v>9.3694748531654819E-3</v>
      </c>
      <c r="R8" s="49" cm="1">
        <f t="array" aca="1" ref="R8" ca="1">_xll.aqBondObjectPrice($L8,$C$4,$M8)</f>
        <v>110.20299999999807</v>
      </c>
      <c r="S8" s="49" cm="1">
        <f t="array" aca="1" ref="S8" ca="1">_xll.aqBondObjectCleanPrice($L8,$C$4,$M8)</f>
        <v>110.20299999999807</v>
      </c>
      <c r="T8" s="49" cm="1">
        <f t="array" aca="1" ref="T8" ca="1">_xll.aqBondObjectDirtyPrice($L8,$C$4,$M8)</f>
        <v>110.63393922651741</v>
      </c>
      <c r="U8" s="18" cm="1">
        <f t="array" aca="1" ref="U8" ca="1">_xll.aqBondObjectModifiedDuration($L8,$C$4,$M8)</f>
        <v>3.1896649215333839</v>
      </c>
      <c r="V8" s="93" cm="1">
        <f t="array" aca="1" ref="V8" ca="1">_xll.aqBondObjectDV01($L8,$C$4,$M8)</f>
        <v>352.88519508187881</v>
      </c>
    </row>
    <row r="9" spans="2:23">
      <c r="B9" s="11" t="s">
        <v>1718</v>
      </c>
      <c r="C9" s="76" t="s">
        <v>1766</v>
      </c>
      <c r="D9" s="76" t="s">
        <v>1767</v>
      </c>
      <c r="E9" s="12" t="s">
        <v>1768</v>
      </c>
      <c r="F9" s="15" t="s">
        <v>1768</v>
      </c>
      <c r="G9" s="14"/>
      <c r="H9" s="12" t="s">
        <v>1769</v>
      </c>
      <c r="I9" s="12" t="s">
        <v>1770</v>
      </c>
      <c r="J9" s="13">
        <v>5.0000000000000001E-3</v>
      </c>
      <c r="K9" s="12" t="s">
        <v>1771</v>
      </c>
      <c r="L9" s="16" t="str" cm="1">
        <f t="array" aca="1" ref="L9" ca="1">_xll.aqBondObjectCreateFromGenerator($C9,$L$4,_xll.aqToolLVBFromKeysValues($C$7:$K$7,$C9:$K9))</f>
        <v>UKT 0 1/2 07/22/22:4</v>
      </c>
      <c r="M9" s="78">
        <v>1.0148693731318765E-2</v>
      </c>
      <c r="N9" s="50">
        <v>98.10199999999378</v>
      </c>
      <c r="O9" s="17">
        <v>3.7122999999999999</v>
      </c>
      <c r="P9" s="95">
        <v>364.61630000000002</v>
      </c>
      <c r="Q9" s="39" cm="1">
        <f t="array" aca="1" ref="Q9" ca="1">_xll.aqBondObjectYield(L9,$C$4,R9)</f>
        <v>1.014869373131885E-2</v>
      </c>
      <c r="R9" s="49" cm="1">
        <f t="array" aca="1" ref="R9" ca="1">_xll.aqBondObjectPrice($L9,$C$4,$M9)</f>
        <v>98.101999999993794</v>
      </c>
      <c r="S9" s="47" cm="1">
        <f t="array" aca="1" ref="S9" ca="1">_xll.aqBondObjectCleanPrice($L9,$C$4,$M9)</f>
        <v>98.101999999993794</v>
      </c>
      <c r="T9" s="47" cm="1">
        <f t="array" aca="1" ref="T9" ca="1">_xll.aqBondObjectDirtyPrice($L9,$C$4,$M9)</f>
        <v>98.218847826080747</v>
      </c>
      <c r="U9" s="18" cm="1">
        <f t="array" aca="1" ref="U9" ca="1">_xll.aqBondObjectModifiedDuration($L9,$C$4,$M9)</f>
        <v>3.7122847495360927</v>
      </c>
      <c r="V9" s="93" cm="1">
        <f t="array" aca="1" ref="V9" ca="1">_xll.aqBondObjectDV01($L9,$C$4,$M9)</f>
        <v>364.61633090176576</v>
      </c>
    </row>
    <row r="10" spans="2:23">
      <c r="B10" s="11" t="s">
        <v>1726</v>
      </c>
      <c r="C10" s="76" t="s">
        <v>1772</v>
      </c>
      <c r="D10" s="11" t="s">
        <v>1773</v>
      </c>
      <c r="E10" s="12" t="s">
        <v>1774</v>
      </c>
      <c r="F10" s="15" t="s">
        <v>1774</v>
      </c>
      <c r="G10" s="14"/>
      <c r="H10" s="12" t="s">
        <v>1775</v>
      </c>
      <c r="I10" s="12" t="s">
        <v>1765</v>
      </c>
      <c r="J10" s="13">
        <v>1.7500000000000002E-2</v>
      </c>
      <c r="K10" s="12" t="s">
        <v>1776</v>
      </c>
      <c r="L10" s="16" t="str" cm="1">
        <f t="array" aca="1" ref="L10" ca="1">_xll.aqBondObjectCreateFromGenerator($C10,$L$4,_xll.aqToolLVBFromKeysValues($C$7:$K$7,$C10:$K10))</f>
        <v>UKT 1 3/4 09/07/22:4</v>
      </c>
      <c r="M10" s="78">
        <v>1.0283728339150961E-2</v>
      </c>
      <c r="N10" s="50">
        <v>102.74600008272785</v>
      </c>
      <c r="O10" s="17">
        <v>3.7555999999999998</v>
      </c>
      <c r="P10" s="95">
        <v>386.584</v>
      </c>
      <c r="Q10" s="39" cm="1">
        <f t="array" aca="1" ref="Q10" ca="1">_xll.aqBondObjectYield(L10,$C$4,R10)</f>
        <v>1.028372833915117E-2</v>
      </c>
      <c r="R10" s="49" cm="1">
        <f t="array" aca="1" ref="R10" ca="1">_xll.aqBondObjectPrice($L10,$C$4,$M10)</f>
        <v>102.74600008272787</v>
      </c>
      <c r="S10" s="49" cm="1">
        <f t="array" aca="1" ref="S10" ca="1">_xll.aqBondObjectCleanPrice($L10,$C$4,$M10)</f>
        <v>102.74600008272787</v>
      </c>
      <c r="T10" s="49" cm="1">
        <f t="array" aca="1" ref="T10" ca="1">_xll.aqBondObjectDirtyPrice($L10,$C$4,$M10)</f>
        <v>102.93453599433009</v>
      </c>
      <c r="U10" s="18" cm="1">
        <f t="array" aca="1" ref="U10" ca="1">_xll.aqBondObjectModifiedDuration($L10,$C$4,$M10)</f>
        <v>3.7556294287846304</v>
      </c>
      <c r="V10" s="93" cm="1">
        <f t="array" aca="1" ref="V10" ca="1">_xll.aqBondObjectDV01($L10,$C$4,$M10)</f>
        <v>386.58397261859687</v>
      </c>
    </row>
    <row r="11" spans="2:23">
      <c r="B11" s="11" t="s">
        <v>1719</v>
      </c>
      <c r="C11" s="76" t="s">
        <v>1777</v>
      </c>
      <c r="D11" s="11" t="s">
        <v>1778</v>
      </c>
      <c r="E11" s="12" t="s">
        <v>1779</v>
      </c>
      <c r="F11" s="15" t="s">
        <v>1779</v>
      </c>
      <c r="G11" s="14"/>
      <c r="H11" s="12" t="s">
        <v>1780</v>
      </c>
      <c r="I11" s="12" t="s">
        <v>1781</v>
      </c>
      <c r="J11" s="13">
        <v>7.4999999999999997E-3</v>
      </c>
      <c r="K11" s="12" t="s">
        <v>1782</v>
      </c>
      <c r="L11" s="16" t="str" cm="1">
        <f t="array" aca="1" ref="L11" ca="1">_xll.aqBondObjectCreateFromGenerator($C11,$L$4,_xll.aqToolLVBFromKeysValues($C$7:$K$7,$C11:$K11))</f>
        <v>UKT 0 3/4 07/22/23:4</v>
      </c>
      <c r="M11" s="78">
        <v>1.1591099427921754E-2</v>
      </c>
      <c r="N11" s="50">
        <v>98.10799999995821</v>
      </c>
      <c r="O11" s="17">
        <v>4.6550000000000002</v>
      </c>
      <c r="P11" s="95">
        <v>457.51280000000003</v>
      </c>
      <c r="Q11" s="39" cm="1">
        <f t="array" aca="1" ref="Q11" ca="1">_xll.aqBondObjectYield(L11,$C$4,R11)</f>
        <v>1.1591099427921605E-2</v>
      </c>
      <c r="R11" s="49" cm="1">
        <f t="array" aca="1" ref="R11" ca="1">_xll.aqBondObjectPrice($L11,$C$4,$M11)</f>
        <v>98.107999999958196</v>
      </c>
      <c r="S11" s="49" cm="1">
        <f t="array" aca="1" ref="S11" ca="1">_xll.aqBondObjectCleanPrice($L11,$C$4,$M11)</f>
        <v>98.107999999958196</v>
      </c>
      <c r="T11" s="49" cm="1">
        <f t="array" aca="1" ref="T11" ca="1">_xll.aqBondObjectDirtyPrice($L11,$C$4,$M11)</f>
        <v>98.283271739088633</v>
      </c>
      <c r="U11" s="18" cm="1">
        <f t="array" aca="1" ref="U11" ca="1">_xll.aqBondObjectModifiedDuration($L11,$C$4,$M11)</f>
        <v>4.6550427563472754</v>
      </c>
      <c r="V11" s="93" cm="1">
        <f t="array" aca="1" ref="V11" ca="1">_xll.aqBondObjectDV01($L11,$C$4,$M11)</f>
        <v>457.5128321791554</v>
      </c>
    </row>
    <row r="12" spans="2:23">
      <c r="B12" s="11" t="s">
        <v>1729</v>
      </c>
      <c r="C12" s="76" t="s">
        <v>1783</v>
      </c>
      <c r="D12" s="11" t="s">
        <v>1784</v>
      </c>
      <c r="E12" s="12" t="s">
        <v>1785</v>
      </c>
      <c r="F12" s="15" t="s">
        <v>1785</v>
      </c>
      <c r="G12" s="14"/>
      <c r="H12" s="12" t="s">
        <v>1786</v>
      </c>
      <c r="I12" s="12" t="s">
        <v>1787</v>
      </c>
      <c r="J12" s="13">
        <v>2.2499999999999999E-2</v>
      </c>
      <c r="K12" s="12" t="s">
        <v>1788</v>
      </c>
      <c r="L12" s="16" t="str" cm="1">
        <f t="array" aca="1" ref="L12" ca="1">_xll.aqBondObjectCreateFromGenerator($C12,$L$4,_xll.aqToolLVBFromKeysValues($C$7:$K$7,$C12:$K12))</f>
        <v>UKT 2 1/4 09/07/23:4</v>
      </c>
      <c r="M12" s="78">
        <v>1.1472952579002547E-2</v>
      </c>
      <c r="N12" s="50">
        <v>105.2310000000074</v>
      </c>
      <c r="O12" s="17">
        <v>4.6303999999999998</v>
      </c>
      <c r="P12" s="95">
        <v>488.38260000000002</v>
      </c>
      <c r="Q12" s="39" cm="1">
        <f t="array" aca="1" ref="Q12" ca="1">_xll.aqBondObjectYield(L12,$C$4,R12)</f>
        <v>1.14729525790039E-2</v>
      </c>
      <c r="R12" s="49" cm="1">
        <f t="array" aca="1" ref="R12" ca="1">_xll.aqBondObjectPrice($L12,$C$4,$M12)</f>
        <v>105.2310000000073</v>
      </c>
      <c r="S12" s="49" cm="1">
        <f t="array" aca="1" ref="S12" ca="1">_xll.aqBondObjectCleanPrice($L12,$C$4,$M12)</f>
        <v>105.2310000000073</v>
      </c>
      <c r="T12" s="49" cm="1">
        <f t="array" aca="1" ref="T12" ca="1">_xll.aqBondObjectDirtyPrice($L12,$C$4,$M12)</f>
        <v>105.47340331492443</v>
      </c>
      <c r="U12" s="18" cm="1">
        <f t="array" aca="1" ref="U12" ca="1">_xll.aqBondObjectModifiedDuration($L12,$C$4,$M12)</f>
        <v>4.6303861149109391</v>
      </c>
      <c r="V12" s="93" cm="1">
        <f t="array" aca="1" ref="V12" ca="1">_xll.aqBondObjectDV01($L12,$C$4,$M12)</f>
        <v>488.38258220182746</v>
      </c>
    </row>
    <row r="13" spans="2:23">
      <c r="B13" s="11" t="s">
        <v>1731</v>
      </c>
      <c r="C13" s="76" t="s">
        <v>1789</v>
      </c>
      <c r="D13" s="11" t="s">
        <v>1790</v>
      </c>
      <c r="E13" s="12" t="s">
        <v>1791</v>
      </c>
      <c r="F13" s="15" t="s">
        <v>1791</v>
      </c>
      <c r="G13" s="14"/>
      <c r="H13" s="12" t="s">
        <v>1792</v>
      </c>
      <c r="I13" s="12" t="s">
        <v>1793</v>
      </c>
      <c r="J13" s="13">
        <v>2.75E-2</v>
      </c>
      <c r="K13" s="12" t="s">
        <v>1794</v>
      </c>
      <c r="L13" s="16" t="str" cm="1">
        <f t="array" aca="1" ref="L13" ca="1">_xll.aqBondObjectCreateFromGenerator($C13,$L$4,_xll.aqToolLVBFromKeysValues($C$7:$K$7,$C13:$K13))</f>
        <v>UKT 2 3/4 09/07/24:4</v>
      </c>
      <c r="M13" s="78">
        <v>1.2382819160207302E-2</v>
      </c>
      <c r="N13" s="50">
        <v>108.56399976519437</v>
      </c>
      <c r="O13" s="17">
        <v>5.4520999999999997</v>
      </c>
      <c r="P13" s="95">
        <v>593.51660000000004</v>
      </c>
      <c r="Q13" s="39" cm="1">
        <f t="array" aca="1" ref="Q13" ca="1">_xll.aqBondObjectYield(L13,$C$4,R13)</f>
        <v>1.238281916021094E-2</v>
      </c>
      <c r="R13" s="49" cm="1">
        <f t="array" aca="1" ref="R13" ca="1">_xll.aqBondObjectPrice($L13,$C$4,$M13)</f>
        <v>108.56399976519424</v>
      </c>
      <c r="S13" s="49" cm="1">
        <f t="array" aca="1" ref="S13" ca="1">_xll.aqBondObjectCleanPrice($L13,$C$4,$M13)</f>
        <v>108.56399976519424</v>
      </c>
      <c r="T13" s="49" cm="1">
        <f t="array" aca="1" ref="T13" ca="1">_xll.aqBondObjectDirtyPrice($L13,$C$4,$M13)</f>
        <v>108.86027048342628</v>
      </c>
      <c r="U13" s="18" cm="1">
        <f t="array" aca="1" ref="U13" ca="1">_xll.aqBondObjectModifiedDuration($L13,$C$4,$M13)</f>
        <v>5.4520952624921248</v>
      </c>
      <c r="V13" s="93" cm="1">
        <f t="array" aca="1" ref="V13" ca="1">_xll.aqBondObjectDV01($L13,$C$4,$M13)</f>
        <v>593.51656497629972</v>
      </c>
    </row>
    <row r="14" spans="2:23">
      <c r="B14" s="11" t="s">
        <v>1758</v>
      </c>
      <c r="C14" s="76" t="s">
        <v>1795</v>
      </c>
      <c r="D14" s="11" t="s">
        <v>1796</v>
      </c>
      <c r="E14" s="12" t="s">
        <v>1797</v>
      </c>
      <c r="F14" s="15" t="s">
        <v>1797</v>
      </c>
      <c r="G14" s="14"/>
      <c r="H14" s="12" t="s">
        <v>1798</v>
      </c>
      <c r="I14" s="12" t="s">
        <v>1794</v>
      </c>
      <c r="J14" s="13">
        <v>0.05</v>
      </c>
      <c r="K14" s="12" t="s">
        <v>1799</v>
      </c>
      <c r="L14" s="16" t="str" cm="1">
        <f t="array" aca="1" ref="L14" ca="1">_xll.aqBondObjectCreateFromGenerator($C14,$L$4,_xll.aqToolLVBFromKeysValues($C$7:$K$7,$C14:$K14))</f>
        <v>UKT 5 03/07/25:4</v>
      </c>
      <c r="M14" s="78">
        <v>1.2697317343874472E-2</v>
      </c>
      <c r="N14" s="50">
        <v>122.83199999761112</v>
      </c>
      <c r="O14" s="17">
        <v>5.5883000000000003</v>
      </c>
      <c r="P14" s="95">
        <v>689.43309999999997</v>
      </c>
      <c r="Q14" s="39" cm="1">
        <f t="array" aca="1" ref="Q14" ca="1">_xll.aqBondObjectYield(L14,$C$4,R14)</f>
        <v>1.2697317343882325E-2</v>
      </c>
      <c r="R14" s="49" cm="1">
        <f t="array" aca="1" ref="R14" ca="1">_xll.aqBondObjectPrice($L14,$C$4,$M14)</f>
        <v>122.83199999761136</v>
      </c>
      <c r="S14" s="49" cm="1">
        <f t="array" aca="1" ref="S14" ca="1">_xll.aqBondObjectCleanPrice($L14,$C$4,$M14)</f>
        <v>122.83199999761136</v>
      </c>
      <c r="T14" s="49" cm="1">
        <f t="array" aca="1" ref="T14" ca="1">_xll.aqBondObjectDirtyPrice($L14,$C$4,$M14)</f>
        <v>123.37067403076054</v>
      </c>
      <c r="U14" s="18" cm="1">
        <f t="array" aca="1" ref="U14" ca="1">_xll.aqBondObjectModifiedDuration($L14,$C$4,$M14)</f>
        <v>5.5883064781928811</v>
      </c>
      <c r="V14" s="93" cm="1">
        <f t="array" aca="1" ref="V14" ca="1">_xll.aqBondObjectDV01($L14,$C$4,$M14)</f>
        <v>689.43313690512139</v>
      </c>
    </row>
    <row r="15" spans="2:23">
      <c r="B15" s="11" t="s">
        <v>1728</v>
      </c>
      <c r="C15" s="76" t="s">
        <v>1800</v>
      </c>
      <c r="D15" s="11" t="s">
        <v>1801</v>
      </c>
      <c r="E15" s="12" t="s">
        <v>1802</v>
      </c>
      <c r="F15" s="15" t="s">
        <v>1802</v>
      </c>
      <c r="G15" s="14"/>
      <c r="H15" s="12" t="s">
        <v>1803</v>
      </c>
      <c r="I15" s="12" t="s">
        <v>1799</v>
      </c>
      <c r="J15" s="13">
        <v>0.02</v>
      </c>
      <c r="K15" s="12" t="s">
        <v>1804</v>
      </c>
      <c r="L15" s="16" t="str" cm="1">
        <f t="array" aca="1" ref="L15" ca="1">_xll.aqBondObjectCreateFromGenerator($C15,$L$4,_xll.aqToolLVBFromKeysValues($C$7:$K$7,$C15:$K15))</f>
        <v>UKT 2 09/07/25:4</v>
      </c>
      <c r="M15" s="78">
        <v>1.300138774263658E-2</v>
      </c>
      <c r="N15" s="50">
        <v>104.59899999998004</v>
      </c>
      <c r="O15" s="17">
        <v>6.4295</v>
      </c>
      <c r="P15" s="95">
        <v>673.90800000000002</v>
      </c>
      <c r="Q15" s="39" cm="1">
        <f t="array" aca="1" ref="Q15" ca="1">_xll.aqBondObjectYield(L15,$C$4,R15)</f>
        <v>1.3001387742637914E-2</v>
      </c>
      <c r="R15" s="49" cm="1">
        <f t="array" aca="1" ref="R15" ca="1">_xll.aqBondObjectPrice($L15,$C$4,$M15)</f>
        <v>104.59899999997994</v>
      </c>
      <c r="S15" s="49" cm="1">
        <f t="array" aca="1" ref="S15" ca="1">_xll.aqBondObjectCleanPrice($L15,$C$4,$M15)</f>
        <v>104.59899999997994</v>
      </c>
      <c r="T15" s="49" cm="1">
        <f t="array" aca="1" ref="T15" ca="1">_xll.aqBondObjectDirtyPrice($L15,$C$4,$M15)</f>
        <v>104.81446961323961</v>
      </c>
      <c r="U15" s="18" cm="1">
        <f t="array" aca="1" ref="U15" ca="1">_xll.aqBondObjectModifiedDuration($L15,$C$4,$M15)</f>
        <v>6.4295319447590984</v>
      </c>
      <c r="V15" s="93" cm="1">
        <f t="array" aca="1" ref="V15" ca="1">_xll.aqBondObjectDV01($L15,$C$4,$M15)</f>
        <v>673.90798065130593</v>
      </c>
    </row>
    <row r="16" spans="2:23">
      <c r="B16" s="11" t="s">
        <v>1722</v>
      </c>
      <c r="C16" s="76" t="s">
        <v>1805</v>
      </c>
      <c r="D16" s="11" t="s">
        <v>1806</v>
      </c>
      <c r="E16" s="12" t="s">
        <v>1807</v>
      </c>
      <c r="F16" s="15" t="s">
        <v>1807</v>
      </c>
      <c r="G16" s="14"/>
      <c r="H16" s="12" t="s">
        <v>1808</v>
      </c>
      <c r="I16" s="12" t="s">
        <v>1809</v>
      </c>
      <c r="J16" s="13">
        <v>1.4999999999999999E-2</v>
      </c>
      <c r="K16" s="12" t="s">
        <v>1810</v>
      </c>
      <c r="L16" s="16" t="str" cm="1">
        <f t="array" aca="1" ref="L16" ca="1">_xll.aqBondObjectCreateFromGenerator($C16,$L$4,_xll.aqToolLVBFromKeysValues($C$7:$K$7,$C16:$K16))</f>
        <v>UKT 1 1/2 07/22/26:4</v>
      </c>
      <c r="M16" s="78">
        <v>1.3906102844207702E-2</v>
      </c>
      <c r="N16" s="50">
        <v>100.80199999900637</v>
      </c>
      <c r="O16" s="17">
        <v>7.2864000000000004</v>
      </c>
      <c r="P16" s="95">
        <v>737.03539999999998</v>
      </c>
      <c r="Q16" s="39" cm="1">
        <f t="array" aca="1" ref="Q16" ca="1">_xll.aqBondObjectYield(L16,$C$4,R16)</f>
        <v>1.3906102844207683E-2</v>
      </c>
      <c r="R16" s="49" cm="1">
        <f t="array" aca="1" ref="R16" ca="1">_xll.aqBondObjectPrice($L16,$C$4,$M16)</f>
        <v>100.8019999990064</v>
      </c>
      <c r="S16" s="49" cm="1">
        <f t="array" aca="1" ref="S16" ca="1">_xll.aqBondObjectCleanPrice($L16,$C$4,$M16)</f>
        <v>100.8019999990064</v>
      </c>
      <c r="T16" s="49" cm="1">
        <f t="array" aca="1" ref="T16" ca="1">_xll.aqBondObjectDirtyPrice($L16,$C$4,$M16)</f>
        <v>101.15254347726727</v>
      </c>
      <c r="U16" s="18" cm="1">
        <f t="array" aca="1" ref="U16" ca="1">_xll.aqBondObjectModifiedDuration($L16,$C$4,$M16)</f>
        <v>7.2863751893829969</v>
      </c>
      <c r="V16" s="93" cm="1">
        <f t="array" aca="1" ref="V16" ca="1">_xll.aqBondObjectDV01($L16,$C$4,$M16)</f>
        <v>737.03538313574518</v>
      </c>
    </row>
    <row r="17" spans="2:22">
      <c r="B17" s="11" t="s">
        <v>1720</v>
      </c>
      <c r="C17" s="76" t="s">
        <v>1811</v>
      </c>
      <c r="D17" s="11" t="s">
        <v>1812</v>
      </c>
      <c r="E17" s="12" t="s">
        <v>1813</v>
      </c>
      <c r="F17" s="15" t="s">
        <v>1813</v>
      </c>
      <c r="G17" s="14"/>
      <c r="H17" s="12" t="s">
        <v>1814</v>
      </c>
      <c r="I17" s="12" t="s">
        <v>1815</v>
      </c>
      <c r="J17" s="13">
        <v>1.2500000000000001E-2</v>
      </c>
      <c r="K17" s="12" t="s">
        <v>1816</v>
      </c>
      <c r="L17" s="16" t="str" cm="1">
        <f t="array" aca="1" ref="L17" ca="1">_xll.aqBondObjectCreateFromGenerator($C17,$L$4,_xll.aqToolLVBFromKeysValues($C$7:$K$7,$C17:$K17))</f>
        <v>UKT 1 1/4 07/22/27:4</v>
      </c>
      <c r="M17" s="78">
        <v>1.50049311625929E-2</v>
      </c>
      <c r="N17" s="50">
        <v>97.94899999619966</v>
      </c>
      <c r="O17" s="17">
        <v>8.2385000000000002</v>
      </c>
      <c r="P17" s="95">
        <v>809.35649999999998</v>
      </c>
      <c r="Q17" s="39" cm="1">
        <f t="array" aca="1" ref="Q17" ca="1">_xll.aqBondObjectYield(L17,$C$4,R17)</f>
        <v>1.5004931162593275E-2</v>
      </c>
      <c r="R17" s="49" cm="1">
        <f t="array" aca="1" ref="R17" ca="1">_xll.aqBondObjectPrice($L17,$C$4,$M17)</f>
        <v>97.948999996199603</v>
      </c>
      <c r="S17" s="49" cm="1">
        <f t="array" aca="1" ref="S17" ca="1">_xll.aqBondObjectCleanPrice($L17,$C$4,$M17)</f>
        <v>97.948999996199603</v>
      </c>
      <c r="T17" s="49" cm="1">
        <f t="array" aca="1" ref="T17" ca="1">_xll.aqBondObjectDirtyPrice($L17,$C$4,$M17)</f>
        <v>98.241119561416994</v>
      </c>
      <c r="U17" s="18" cm="1">
        <f t="array" aca="1" ref="U17" ca="1">_xll.aqBondObjectModifiedDuration($L17,$C$4,$M17)</f>
        <v>8.2384693527617703</v>
      </c>
      <c r="V17" s="93" cm="1">
        <f t="array" aca="1" ref="V17" ca="1">_xll.aqBondObjectDV01($L17,$C$4,$M17)</f>
        <v>809.35645268773874</v>
      </c>
    </row>
    <row r="18" spans="2:22">
      <c r="B18" s="11" t="s">
        <v>1746</v>
      </c>
      <c r="C18" s="76" t="s">
        <v>1817</v>
      </c>
      <c r="D18" s="11" t="s">
        <v>1818</v>
      </c>
      <c r="E18" s="12" t="s">
        <v>1819</v>
      </c>
      <c r="F18" s="15" t="s">
        <v>1819</v>
      </c>
      <c r="G18" s="14"/>
      <c r="H18" s="12" t="s">
        <v>1820</v>
      </c>
      <c r="I18" s="12" t="s">
        <v>1821</v>
      </c>
      <c r="J18" s="13">
        <v>4.2500000000000003E-2</v>
      </c>
      <c r="K18" s="12" t="s">
        <v>1822</v>
      </c>
      <c r="L18" s="16" t="str" cm="1">
        <f t="array" aca="1" ref="L18" ca="1">_xll.aqBondObjectCreateFromGenerator($C18,$L$4,_xll.aqToolLVBFromKeysValues($C$7:$K$7,$C18:$K18))</f>
        <v>UKT 4 1/4 12/07/27:4</v>
      </c>
      <c r="M18" s="78">
        <v>1.4617397053464235E-2</v>
      </c>
      <c r="N18" s="50">
        <v>123.77799998923504</v>
      </c>
      <c r="O18" s="17">
        <v>7.6966000000000001</v>
      </c>
      <c r="P18" s="95">
        <v>964.37739999999997</v>
      </c>
      <c r="Q18" s="39" cm="1">
        <f t="array" aca="1" ref="Q18" ca="1">_xll.aqBondObjectYield(L18,$C$4,R18)</f>
        <v>1.4617397053470449E-2</v>
      </c>
      <c r="R18" s="49" cm="1">
        <f t="array" aca="1" ref="R18" ca="1">_xll.aqBondObjectPrice($L18,$C$4,$M18)</f>
        <v>123.77799998923507</v>
      </c>
      <c r="S18" s="49" cm="1">
        <f t="array" aca="1" ref="S18" ca="1">_xll.aqBondObjectCleanPrice($L18,$C$4,$M18)</f>
        <v>123.77799998923507</v>
      </c>
      <c r="T18" s="49" cm="1">
        <f t="array" aca="1" ref="T18" ca="1">_xll.aqBondObjectDirtyPrice($L18,$C$4,$M18)</f>
        <v>125.29917485262305</v>
      </c>
      <c r="U18" s="18" cm="1">
        <f t="array" aca="1" ref="U18" ca="1">_xll.aqBondObjectModifiedDuration($L18,$C$4,$M18)</f>
        <v>7.6965978708597254</v>
      </c>
      <c r="V18" s="93" cm="1">
        <f t="array" aca="1" ref="V18" ca="1">_xll.aqBondObjectDV01($L18,$C$4,$M18)</f>
        <v>964.37736239117908</v>
      </c>
    </row>
    <row r="19" spans="2:22">
      <c r="B19" s="11" t="s">
        <v>1759</v>
      </c>
      <c r="C19" s="76" t="s">
        <v>1823</v>
      </c>
      <c r="D19" s="11" t="s">
        <v>1824</v>
      </c>
      <c r="E19" s="12" t="s">
        <v>1825</v>
      </c>
      <c r="F19" s="15" t="s">
        <v>1825</v>
      </c>
      <c r="G19" s="14"/>
      <c r="H19" s="12" t="s">
        <v>1826</v>
      </c>
      <c r="I19" s="12" t="s">
        <v>1827</v>
      </c>
      <c r="J19" s="13">
        <v>0.06</v>
      </c>
      <c r="K19" s="12" t="s">
        <v>1828</v>
      </c>
      <c r="L19" s="16" t="str" cm="1">
        <f t="array" aca="1" ref="L19" ca="1">_xll.aqBondObjectCreateFromGenerator($C19,$L$4,_xll.aqToolLVBFromKeysValues($C$7:$K$7,$C19:$K19))</f>
        <v>UKT 6 12/07/28:4</v>
      </c>
      <c r="M19" s="78">
        <v>1.5278876793308582E-2</v>
      </c>
      <c r="N19" s="50">
        <v>141.86699972017547</v>
      </c>
      <c r="O19" s="17">
        <v>7.9996999999999998</v>
      </c>
      <c r="P19" s="95">
        <v>1152.0762999999999</v>
      </c>
      <c r="Q19" s="39" cm="1">
        <f t="array" aca="1" ref="Q19" ca="1">_xll.aqBondObjectYield(L19,$C$4,R19)</f>
        <v>1.5278876793308556E-2</v>
      </c>
      <c r="R19" s="49" cm="1">
        <f t="array" aca="1" ref="R19" ca="1">_xll.aqBondObjectPrice($L19,$C$4,$M19)</f>
        <v>141.86699972017504</v>
      </c>
      <c r="S19" s="49" cm="1">
        <f t="array" aca="1" ref="S19" ca="1">_xll.aqBondObjectCleanPrice($L19,$C$4,$M19)</f>
        <v>141.86699972017504</v>
      </c>
      <c r="T19" s="49" cm="1">
        <f t="array" aca="1" ref="T19" ca="1">_xll.aqBondObjectDirtyPrice($L19,$C$4,$M19)</f>
        <v>144.01454070378159</v>
      </c>
      <c r="U19" s="18" cm="1">
        <f t="array" aca="1" ref="U19" ca="1">_xll.aqBondObjectModifiedDuration($L19,$C$4,$M19)</f>
        <v>7.9997220165372163</v>
      </c>
      <c r="V19" s="93" cm="1">
        <f t="array" aca="1" ref="V19" ca="1">_xll.aqBondObjectDV01($L19,$C$4,$M19)</f>
        <v>1152.0762919695367</v>
      </c>
    </row>
    <row r="20" spans="2:22">
      <c r="B20" s="11" t="s">
        <v>1756</v>
      </c>
      <c r="C20" s="76" t="s">
        <v>1829</v>
      </c>
      <c r="D20" s="11" t="s">
        <v>1830</v>
      </c>
      <c r="E20" s="12" t="s">
        <v>1831</v>
      </c>
      <c r="F20" s="15" t="s">
        <v>1831</v>
      </c>
      <c r="G20" s="14"/>
      <c r="H20" s="12" t="s">
        <v>1832</v>
      </c>
      <c r="I20" s="12" t="s">
        <v>1833</v>
      </c>
      <c r="J20" s="13">
        <v>4.7500000000000001E-2</v>
      </c>
      <c r="K20" s="12" t="s">
        <v>1834</v>
      </c>
      <c r="L20" s="16" t="str" cm="1">
        <f t="array" aca="1" ref="L20" ca="1">_xll.aqBondObjectCreateFromGenerator($C20,$L$4,_xll.aqToolLVBFromKeysValues($C$7:$K$7,$C20:$K20))</f>
        <v>UKT 4 3/4 12/07/30:4</v>
      </c>
      <c r="M20" s="78">
        <v>1.6817769948279781E-2</v>
      </c>
      <c r="N20" s="50">
        <v>133.56799987192875</v>
      </c>
      <c r="O20" s="17">
        <v>9.5945</v>
      </c>
      <c r="P20" s="95">
        <v>1297.8340000000001</v>
      </c>
      <c r="Q20" s="39" cm="1">
        <f t="array" aca="1" ref="Q20" ca="1">_xll.aqBondObjectYield(L20,$C$4,R20)</f>
        <v>1.6817769948279999E-2</v>
      </c>
      <c r="R20" s="49" cm="1">
        <f t="array" aca="1" ref="R20" ca="1">_xll.aqBondObjectPrice($L20,$C$4,$M20)</f>
        <v>133.56799987192909</v>
      </c>
      <c r="S20" s="49" cm="1">
        <f t="array" aca="1" ref="S20" ca="1">_xll.aqBondObjectCleanPrice($L20,$C$4,$M20)</f>
        <v>133.56799987192909</v>
      </c>
      <c r="T20" s="49" cm="1">
        <f t="array" aca="1" ref="T20" ca="1">_xll.aqBondObjectDirtyPrice($L20,$C$4,$M20)</f>
        <v>135.26813648395094</v>
      </c>
      <c r="U20" s="18" cm="1">
        <f t="array" aca="1" ref="U20" ca="1">_xll.aqBondObjectModifiedDuration($L20,$C$4,$M20)</f>
        <v>9.5945282092189288</v>
      </c>
      <c r="V20" s="93" cm="1">
        <f t="array" aca="1" ref="V20" ca="1">_xll.aqBondObjectDV01($L20,$C$4,$M20)</f>
        <v>1297.8339513037436</v>
      </c>
    </row>
    <row r="21" spans="2:22">
      <c r="B21" s="11" t="s">
        <v>1747</v>
      </c>
      <c r="C21" s="76" t="s">
        <v>1835</v>
      </c>
      <c r="D21" s="11" t="s">
        <v>1836</v>
      </c>
      <c r="E21" s="12" t="s">
        <v>1837</v>
      </c>
      <c r="F21" s="15" t="s">
        <v>1837</v>
      </c>
      <c r="G21" s="14"/>
      <c r="H21" s="12" t="s">
        <v>1838</v>
      </c>
      <c r="I21" s="12" t="s">
        <v>1839</v>
      </c>
      <c r="J21" s="13">
        <v>4.2500000000000003E-2</v>
      </c>
      <c r="K21" s="12" t="s">
        <v>1840</v>
      </c>
      <c r="L21" s="16" t="str" cm="1">
        <f t="array" aca="1" ref="L21" ca="1">_xll.aqBondObjectCreateFromGenerator($C21,$L$4,_xll.aqToolLVBFromKeysValues($C$7:$K$7,$C21:$K21))</f>
        <v>UKT 4 1/4 06/07/32:4</v>
      </c>
      <c r="M21" s="78">
        <v>1.7760102827937104E-2</v>
      </c>
      <c r="N21" s="50">
        <v>129.85399996798805</v>
      </c>
      <c r="O21" s="17">
        <v>10.7178</v>
      </c>
      <c r="P21" s="95">
        <v>1408.0571</v>
      </c>
      <c r="Q21" s="39" cm="1">
        <f t="array" aca="1" ref="Q21" ca="1">_xll.aqBondObjectYield(L21,$C$4,R21)</f>
        <v>1.7760102827937274E-2</v>
      </c>
      <c r="R21" s="49" cm="1">
        <f t="array" aca="1" ref="R21" ca="1">_xll.aqBondObjectPrice($L21,$C$4,$M21)</f>
        <v>129.85399996798785</v>
      </c>
      <c r="S21" s="49" cm="1">
        <f t="array" aca="1" ref="S21" ca="1">_xll.aqBondObjectCleanPrice($L21,$C$4,$M21)</f>
        <v>129.85399996798785</v>
      </c>
      <c r="T21" s="49" cm="1">
        <f t="array" aca="1" ref="T21" ca="1">_xll.aqBondObjectDirtyPrice($L21,$C$4,$M21)</f>
        <v>131.37517483137583</v>
      </c>
      <c r="U21" s="18" cm="1">
        <f t="array" aca="1" ref="U21" ca="1">_xll.aqBondObjectModifiedDuration($L21,$C$4,$M21)</f>
        <v>10.717832157595558</v>
      </c>
      <c r="V21" s="93" cm="1">
        <f t="array" aca="1" ref="V21" ca="1">_xll.aqBondObjectDV01($L21,$C$4,$M21)</f>
        <v>1408.0570735174583</v>
      </c>
    </row>
    <row r="22" spans="2:22">
      <c r="B22" s="11" t="s">
        <v>1754</v>
      </c>
      <c r="C22" s="76" t="s">
        <v>1841</v>
      </c>
      <c r="D22" s="11" t="s">
        <v>1842</v>
      </c>
      <c r="E22" s="12" t="s">
        <v>1843</v>
      </c>
      <c r="F22" s="15" t="s">
        <v>1843</v>
      </c>
      <c r="G22" s="14"/>
      <c r="H22" s="12" t="s">
        <v>1763</v>
      </c>
      <c r="I22" s="12" t="s">
        <v>1844</v>
      </c>
      <c r="J22" s="13">
        <v>4.4999999999999998E-2</v>
      </c>
      <c r="K22" s="12" t="s">
        <v>1845</v>
      </c>
      <c r="L22" s="16" t="str" cm="1">
        <f t="array" aca="1" ref="L22" ca="1">_xll.aqBondObjectCreateFromGenerator($C22,$L$4,_xll.aqToolLVBFromKeysValues($C$7:$K$7,$C22:$K22))</f>
        <v>UKT 4 1/2 09/07/34:4</v>
      </c>
      <c r="M22" s="78">
        <v>1.8662366809246902E-2</v>
      </c>
      <c r="N22" s="50">
        <v>136.07399992047198</v>
      </c>
      <c r="O22" s="17">
        <v>12.074199999999999</v>
      </c>
      <c r="P22" s="95">
        <v>1648.8444</v>
      </c>
      <c r="Q22" s="39" cm="1">
        <f t="array" aca="1" ref="Q22" ca="1">_xll.aqBondObjectYield(L22,$C$4,R22)</f>
        <v>1.8662366809247141E-2</v>
      </c>
      <c r="R22" s="49" cm="1">
        <f t="array" aca="1" ref="R22" ca="1">_xll.aqBondObjectPrice($L22,$C$4,$M22)</f>
        <v>136.07399992047212</v>
      </c>
      <c r="S22" s="49" cm="1">
        <f t="array" aca="1" ref="S22" ca="1">_xll.aqBondObjectCleanPrice($L22,$C$4,$M22)</f>
        <v>136.07399992047212</v>
      </c>
      <c r="T22" s="49" cm="1">
        <f t="array" aca="1" ref="T22" ca="1">_xll.aqBondObjectDirtyPrice($L22,$C$4,$M22)</f>
        <v>136.55880655030637</v>
      </c>
      <c r="U22" s="18" cm="1">
        <f t="array" aca="1" ref="U22" ca="1">_xll.aqBondObjectModifiedDuration($L22,$C$4,$M22)</f>
        <v>12.074244509144943</v>
      </c>
      <c r="V22" s="93" cm="1">
        <f t="array" aca="1" ref="V22" ca="1">_xll.aqBondObjectDV01($L22,$C$4,$M22)</f>
        <v>1648.8444201654231</v>
      </c>
    </row>
    <row r="23" spans="2:22">
      <c r="B23" s="11" t="s">
        <v>1749</v>
      </c>
      <c r="C23" s="76" t="s">
        <v>1846</v>
      </c>
      <c r="D23" s="11" t="s">
        <v>1847</v>
      </c>
      <c r="E23" s="12" t="s">
        <v>1848</v>
      </c>
      <c r="F23" s="15" t="s">
        <v>1848</v>
      </c>
      <c r="G23" s="14"/>
      <c r="H23" s="12" t="s">
        <v>1849</v>
      </c>
      <c r="I23" s="12" t="s">
        <v>1850</v>
      </c>
      <c r="J23" s="13">
        <v>4.2500000000000003E-2</v>
      </c>
      <c r="K23" s="12" t="s">
        <v>1851</v>
      </c>
      <c r="L23" s="16" t="str" cm="1">
        <f t="array" aca="1" ref="L23" ca="1">_xll.aqBondObjectCreateFromGenerator($C23,$L$4,_xll.aqToolLVBFromKeysValues($C$7:$K$7,$C23:$K23))</f>
        <v>UKT 4 1/4 03/07/36:4</v>
      </c>
      <c r="M23" s="78">
        <v>1.9111945527060973E-2</v>
      </c>
      <c r="N23" s="50">
        <v>134.46699998782367</v>
      </c>
      <c r="O23" s="17">
        <v>13.0664</v>
      </c>
      <c r="P23" s="95">
        <v>1762.9784</v>
      </c>
      <c r="Q23" s="39" cm="1">
        <f t="array" aca="1" ref="Q23" ca="1">_xll.aqBondObjectYield(L23,$C$4,R23)</f>
        <v>1.9111945527061303E-2</v>
      </c>
      <c r="R23" s="49" cm="1">
        <f t="array" aca="1" ref="R23" ca="1">_xll.aqBondObjectPrice($L23,$C$4,$M23)</f>
        <v>134.46699998782401</v>
      </c>
      <c r="S23" s="49" cm="1">
        <f t="array" aca="1" ref="S23" ca="1">_xll.aqBondObjectCleanPrice($L23,$C$4,$M23)</f>
        <v>134.46699998782401</v>
      </c>
      <c r="T23" s="49" cm="1">
        <f t="array" aca="1" ref="T23" ca="1">_xll.aqBondObjectDirtyPrice($L23,$C$4,$M23)</f>
        <v>134.92487291600079</v>
      </c>
      <c r="U23" s="18" cm="1">
        <f t="array" aca="1" ref="U23" ca="1">_xll.aqBondObjectModifiedDuration($L23,$C$4,$M23)</f>
        <v>13.06637034052895</v>
      </c>
      <c r="V23" s="93" cm="1">
        <f t="array" aca="1" ref="V23" ca="1">_xll.aqBondObjectDV01($L23,$C$4,$M23)</f>
        <v>1762.9783576692705</v>
      </c>
    </row>
    <row r="24" spans="2:22">
      <c r="B24" s="11" t="s">
        <v>1724</v>
      </c>
      <c r="C24" s="76" t="s">
        <v>1852</v>
      </c>
      <c r="D24" s="11" t="s">
        <v>1853</v>
      </c>
      <c r="E24" s="12" t="s">
        <v>1854</v>
      </c>
      <c r="F24" s="15" t="s">
        <v>1854</v>
      </c>
      <c r="G24" s="14"/>
      <c r="H24" s="12" t="s">
        <v>1855</v>
      </c>
      <c r="I24" s="12" t="s">
        <v>1856</v>
      </c>
      <c r="J24" s="13">
        <v>1.7500000000000002E-2</v>
      </c>
      <c r="K24" s="12" t="s">
        <v>1857</v>
      </c>
      <c r="L24" s="16" t="str" cm="1">
        <f t="array" aca="1" ref="L24" ca="1">_xll.aqBondObjectCreateFromGenerator($C24,$L$4,_xll.aqToolLVBFromKeysValues($C$7:$K$7,$C24:$K24))</f>
        <v>UKT 1 3/4 09/07/37:4</v>
      </c>
      <c r="M24" s="78">
        <v>1.9775896935416329E-2</v>
      </c>
      <c r="N24" s="50">
        <v>96.425999109567428</v>
      </c>
      <c r="O24" s="17">
        <v>15.917299999999999</v>
      </c>
      <c r="P24" s="95">
        <v>1537.8444999999999</v>
      </c>
      <c r="Q24" s="39" cm="1">
        <f t="array" aca="1" ref="Q24" ca="1">_xll.aqBondObjectYield(L24,$C$4,R24)</f>
        <v>1.9775896935424322E-2</v>
      </c>
      <c r="R24" s="49" cm="1">
        <f t="array" aca="1" ref="R24" ca="1">_xll.aqBondObjectPrice($L24,$C$4,$M24)</f>
        <v>96.425999109567499</v>
      </c>
      <c r="S24" s="49" cm="1">
        <f t="array" aca="1" ref="S24" ca="1">_xll.aqBondObjectCleanPrice($L24,$C$4,$M24)</f>
        <v>96.425999109567499</v>
      </c>
      <c r="T24" s="49" cm="1">
        <f t="array" aca="1" ref="T24" ca="1">_xll.aqBondObjectDirtyPrice($L24,$C$4,$M24)</f>
        <v>96.614535021169715</v>
      </c>
      <c r="U24" s="18" cm="1">
        <f t="array" aca="1" ref="U24" ca="1">_xll.aqBondObjectModifiedDuration($L24,$C$4,$M24)</f>
        <v>15.9173199222616</v>
      </c>
      <c r="V24" s="93" cm="1">
        <f t="array" aca="1" ref="V24" ca="1">_xll.aqBondObjectDV01($L24,$C$4,$M24)</f>
        <v>1537.8444630725057</v>
      </c>
    </row>
    <row r="25" spans="2:22">
      <c r="B25" s="11" t="s">
        <v>1757</v>
      </c>
      <c r="C25" s="76" t="s">
        <v>1858</v>
      </c>
      <c r="D25" s="11" t="s">
        <v>1859</v>
      </c>
      <c r="E25" s="12" t="s">
        <v>1860</v>
      </c>
      <c r="F25" s="15" t="s">
        <v>1860</v>
      </c>
      <c r="G25" s="14"/>
      <c r="H25" s="12" t="s">
        <v>1861</v>
      </c>
      <c r="I25" s="12" t="s">
        <v>1862</v>
      </c>
      <c r="J25" s="13">
        <v>4.7500000000000001E-2</v>
      </c>
      <c r="K25" s="12" t="s">
        <v>1863</v>
      </c>
      <c r="L25" s="16" t="str" cm="1">
        <f t="array" aca="1" ref="L25" ca="1">_xll.aqBondObjectCreateFromGenerator($C25,$L$4,_xll.aqToolLVBFromKeysValues($C$7:$K$7,$C25:$K25))</f>
        <v>UKT 4 3/4 12/07/38:4</v>
      </c>
      <c r="M25" s="78">
        <v>1.9472598609416848E-2</v>
      </c>
      <c r="N25" s="50">
        <v>146.51099989708123</v>
      </c>
      <c r="O25" s="17">
        <v>14.202999999999999</v>
      </c>
      <c r="P25" s="95">
        <v>2105.0387000000001</v>
      </c>
      <c r="Q25" s="39" cm="1">
        <f t="array" aca="1" ref="Q25" ca="1">_xll.aqBondObjectYield(L25,$C$4,R25)</f>
        <v>1.9472598609416508E-2</v>
      </c>
      <c r="R25" s="49" cm="1">
        <f t="array" aca="1" ref="R25" ca="1">_xll.aqBondObjectPrice($L25,$C$4,$M25)</f>
        <v>146.51099989708112</v>
      </c>
      <c r="S25" s="49" cm="1">
        <f t="array" aca="1" ref="S25" ca="1">_xll.aqBondObjectCleanPrice($L25,$C$4,$M25)</f>
        <v>146.51099989708112</v>
      </c>
      <c r="T25" s="49" cm="1">
        <f t="array" aca="1" ref="T25" ca="1">_xll.aqBondObjectDirtyPrice($L25,$C$4,$M25)</f>
        <v>148.21113650910297</v>
      </c>
      <c r="U25" s="18" cm="1">
        <f t="array" aca="1" ref="U25" ca="1">_xll.aqBondObjectModifiedDuration($L25,$C$4,$M25)</f>
        <v>14.202972536272261</v>
      </c>
      <c r="V25" s="93" cm="1">
        <f t="array" aca="1" ref="V25" ca="1">_xll.aqBondObjectDV01($L25,$C$4,$M25)</f>
        <v>2105.0387014084886</v>
      </c>
    </row>
    <row r="26" spans="2:22">
      <c r="B26" s="11" t="s">
        <v>1753</v>
      </c>
      <c r="C26" s="76" t="s">
        <v>1864</v>
      </c>
      <c r="D26" s="11" t="s">
        <v>1865</v>
      </c>
      <c r="E26" s="12" t="s">
        <v>1866</v>
      </c>
      <c r="F26" s="15" t="s">
        <v>1866</v>
      </c>
      <c r="G26" s="14"/>
      <c r="H26" s="12" t="s">
        <v>1763</v>
      </c>
      <c r="I26" s="12" t="s">
        <v>1867</v>
      </c>
      <c r="J26" s="13">
        <v>4.2500000000000003E-2</v>
      </c>
      <c r="K26" s="12" t="s">
        <v>1868</v>
      </c>
      <c r="L26" s="16" t="str" cm="1">
        <f t="array" aca="1" ref="L26" ca="1">_xll.aqBondObjectCreateFromGenerator($C26,$L$4,_xll.aqToolLVBFromKeysValues($C$7:$K$7,$C26:$K26))</f>
        <v>UKT 4 1/4 09/07/39:4</v>
      </c>
      <c r="M26" s="78">
        <v>1.9768695216167677E-2</v>
      </c>
      <c r="N26" s="50">
        <v>138.74899999965854</v>
      </c>
      <c r="O26" s="17">
        <v>14.9984</v>
      </c>
      <c r="P26" s="95">
        <v>2087.8831</v>
      </c>
      <c r="Q26" s="39" cm="1">
        <f t="array" aca="1" ref="Q26" ca="1">_xll.aqBondObjectYield(L26,$C$4,R26)</f>
        <v>1.9768695216167587E-2</v>
      </c>
      <c r="R26" s="49" cm="1">
        <f t="array" aca="1" ref="R26" ca="1">_xll.aqBondObjectPrice($L26,$C$4,$M26)</f>
        <v>138.74899999965834</v>
      </c>
      <c r="S26" s="49" cm="1">
        <f t="array" aca="1" ref="S26" ca="1">_xll.aqBondObjectCleanPrice($L26,$C$4,$M26)</f>
        <v>138.74899999965834</v>
      </c>
      <c r="T26" s="49" cm="1">
        <f t="array" aca="1" ref="T26" ca="1">_xll.aqBondObjectDirtyPrice($L26,$C$4,$M26)</f>
        <v>139.20687292783512</v>
      </c>
      <c r="U26" s="18" cm="1">
        <f t="array" aca="1" ref="U26" ca="1">_xll.aqBondObjectModifiedDuration($L26,$C$4,$M26)</f>
        <v>14.998419709756421</v>
      </c>
      <c r="V26" s="93" cm="1">
        <f t="array" aca="1" ref="V26" ca="1">_xll.aqBondObjectDV01($L26,$C$4,$M26)</f>
        <v>2087.8831066543999</v>
      </c>
    </row>
    <row r="27" spans="2:22">
      <c r="B27" s="11" t="s">
        <v>1751</v>
      </c>
      <c r="C27" s="76" t="s">
        <v>1869</v>
      </c>
      <c r="D27" s="11" t="s">
        <v>1870</v>
      </c>
      <c r="E27" s="12" t="s">
        <v>1871</v>
      </c>
      <c r="F27" s="15" t="s">
        <v>1871</v>
      </c>
      <c r="G27" s="14"/>
      <c r="H27" s="12" t="s">
        <v>1872</v>
      </c>
      <c r="I27" s="12" t="s">
        <v>1873</v>
      </c>
      <c r="J27" s="13">
        <v>4.2500000000000003E-2</v>
      </c>
      <c r="K27" s="12" t="s">
        <v>1874</v>
      </c>
      <c r="L27" s="16" t="str" cm="1">
        <f t="array" aca="1" ref="L27" ca="1">_xll.aqBondObjectCreateFromGenerator($C27,$L$4,_xll.aqToolLVBFromKeysValues($C$7:$K$7,$C27:$K27))</f>
        <v>UKT 4 1/4 12/07/40:4</v>
      </c>
      <c r="M27" s="78">
        <v>1.9882027108069533E-2</v>
      </c>
      <c r="N27" s="50">
        <v>140.3499999999884</v>
      </c>
      <c r="O27" s="17">
        <v>15.537599999999999</v>
      </c>
      <c r="P27" s="95">
        <v>2204.3368999999998</v>
      </c>
      <c r="Q27" s="39" cm="1">
        <f t="array" aca="1" ref="Q27" ca="1">_xll.aqBondObjectYield(L27,$C$4,R27)</f>
        <v>1.9882027108069598E-2</v>
      </c>
      <c r="R27" s="49" cm="1">
        <f t="array" aca="1" ref="R27" ca="1">_xll.aqBondObjectPrice($L27,$C$4,$M27)</f>
        <v>140.34999999998817</v>
      </c>
      <c r="S27" s="49" cm="1">
        <f t="array" aca="1" ref="S27" ca="1">_xll.aqBondObjectCleanPrice($L27,$C$4,$M27)</f>
        <v>140.34999999998817</v>
      </c>
      <c r="T27" s="49" cm="1">
        <f t="array" aca="1" ref="T27" ca="1">_xll.aqBondObjectDirtyPrice($L27,$C$4,$M27)</f>
        <v>141.87117486337615</v>
      </c>
      <c r="U27" s="18" cm="1">
        <f t="array" aca="1" ref="U27" ca="1">_xll.aqBondObjectModifiedDuration($L27,$C$4,$M27)</f>
        <v>15.537595197688033</v>
      </c>
      <c r="V27" s="93" cm="1">
        <f t="array" aca="1" ref="V27" ca="1">_xll.aqBondObjectDV01($L27,$C$4,$M27)</f>
        <v>2204.3368852475523</v>
      </c>
    </row>
    <row r="28" spans="2:22">
      <c r="B28" s="11" t="s">
        <v>1755</v>
      </c>
      <c r="C28" s="76" t="s">
        <v>1875</v>
      </c>
      <c r="D28" s="11" t="s">
        <v>1876</v>
      </c>
      <c r="E28" s="12" t="s">
        <v>1877</v>
      </c>
      <c r="F28" s="15" t="s">
        <v>1877</v>
      </c>
      <c r="G28" s="14"/>
      <c r="H28" s="12" t="s">
        <v>1832</v>
      </c>
      <c r="I28" s="12" t="s">
        <v>1878</v>
      </c>
      <c r="J28" s="13">
        <v>4.4999999999999998E-2</v>
      </c>
      <c r="K28" s="12" t="s">
        <v>1879</v>
      </c>
      <c r="L28" s="16" t="str" cm="1">
        <f t="array" aca="1" ref="L28" ca="1">_xll.aqBondObjectCreateFromGenerator($C28,$L$4,_xll.aqToolLVBFromKeysValues($C$7:$K$7,$C28:$K28))</f>
        <v>UKT 4 1/2 12/07/42:4</v>
      </c>
      <c r="M28" s="78">
        <v>2.0038511331582898E-2</v>
      </c>
      <c r="N28" s="50">
        <v>147.58999999995368</v>
      </c>
      <c r="O28" s="17">
        <v>16.366399999999999</v>
      </c>
      <c r="P28" s="95">
        <v>2441.8737000000001</v>
      </c>
      <c r="Q28" s="39" cm="1">
        <f t="array" aca="1" ref="Q28" ca="1">_xll.aqBondObjectYield(L28,$C$4,R28)</f>
        <v>2.0038511331582753E-2</v>
      </c>
      <c r="R28" s="49" cm="1">
        <f t="array" aca="1" ref="R28" ca="1">_xll.aqBondObjectPrice($L28,$C$4,$M28)</f>
        <v>147.58999999995402</v>
      </c>
      <c r="S28" s="49" cm="1">
        <f t="array" aca="1" ref="S28" ca="1">_xll.aqBondObjectCleanPrice($L28,$C$4,$M28)</f>
        <v>147.58999999995402</v>
      </c>
      <c r="T28" s="49" cm="1">
        <f t="array" aca="1" ref="T28" ca="1">_xll.aqBondObjectDirtyPrice($L28,$C$4,$M28)</f>
        <v>149.20065573765893</v>
      </c>
      <c r="U28" s="18" cm="1">
        <f t="array" aca="1" ref="U28" ca="1">_xll.aqBondObjectModifiedDuration($L28,$C$4,$M28)</f>
        <v>16.366373728423568</v>
      </c>
      <c r="V28" s="93" cm="1">
        <f t="array" aca="1" ref="V28" ca="1">_xll.aqBondObjectDV01($L28,$C$4,$M28)</f>
        <v>2441.87369232839</v>
      </c>
    </row>
    <row r="29" spans="2:22">
      <c r="B29" s="11" t="s">
        <v>1740</v>
      </c>
      <c r="C29" s="76" t="s">
        <v>1880</v>
      </c>
      <c r="D29" s="11" t="s">
        <v>1881</v>
      </c>
      <c r="E29" s="12" t="s">
        <v>1882</v>
      </c>
      <c r="F29" s="15" t="s">
        <v>1882</v>
      </c>
      <c r="G29" s="14"/>
      <c r="H29" s="12" t="s">
        <v>1883</v>
      </c>
      <c r="I29" s="12" t="s">
        <v>1884</v>
      </c>
      <c r="J29" s="13">
        <v>3.2500000000000001E-2</v>
      </c>
      <c r="K29" s="12" t="s">
        <v>1885</v>
      </c>
      <c r="L29" s="16" t="str" cm="1">
        <f t="array" aca="1" ref="L29" ca="1">_xll.aqBondObjectCreateFromGenerator($C29,$L$4,_xll.aqToolLVBFromKeysValues($C$7:$K$7,$C29:$K29))</f>
        <v>UKT 3 1/4 01/22/44:4</v>
      </c>
      <c r="M29" s="78">
        <v>2.0324516539275975E-2</v>
      </c>
      <c r="N29" s="50">
        <v>123.96399973599775</v>
      </c>
      <c r="O29" s="17">
        <v>18.029800000000002</v>
      </c>
      <c r="P29" s="95">
        <v>2248.7350999999999</v>
      </c>
      <c r="Q29" s="39" cm="1">
        <f t="array" aca="1" ref="Q29" ca="1">_xll.aqBondObjectYield(L29,$C$4,R29)</f>
        <v>2.0324516539275712E-2</v>
      </c>
      <c r="R29" s="49" cm="1">
        <f t="array" aca="1" ref="R29" ca="1">_xll.aqBondObjectPrice($L29,$C$4,$M29)</f>
        <v>123.96399973599793</v>
      </c>
      <c r="S29" s="49" cm="1">
        <f t="array" aca="1" ref="S29" ca="1">_xll.aqBondObjectCleanPrice($L29,$C$4,$M29)</f>
        <v>123.96399973599793</v>
      </c>
      <c r="T29" s="49" cm="1">
        <f t="array" aca="1" ref="T29" ca="1">_xll.aqBondObjectDirtyPrice($L29,$C$4,$M29)</f>
        <v>124.72351060556315</v>
      </c>
      <c r="U29" s="18" cm="1">
        <f t="array" aca="1" ref="U29" ca="1">_xll.aqBondObjectModifiedDuration($L29,$C$4,$M29)</f>
        <v>18.029760896095038</v>
      </c>
      <c r="V29" s="93" cm="1">
        <f t="array" aca="1" ref="V29" ca="1">_xll.aqBondObjectDV01($L29,$C$4,$M29)</f>
        <v>2248.735074339877</v>
      </c>
    </row>
    <row r="30" spans="2:22">
      <c r="B30" s="11" t="s">
        <v>1742</v>
      </c>
      <c r="C30" s="76" t="s">
        <v>1886</v>
      </c>
      <c r="D30" s="11" t="s">
        <v>1887</v>
      </c>
      <c r="E30" s="12" t="s">
        <v>1888</v>
      </c>
      <c r="F30" s="15" t="s">
        <v>1888</v>
      </c>
      <c r="G30" s="14"/>
      <c r="H30" s="12" t="s">
        <v>1889</v>
      </c>
      <c r="I30" s="12" t="s">
        <v>1890</v>
      </c>
      <c r="J30" s="13">
        <v>3.5000000000000003E-2</v>
      </c>
      <c r="K30" s="12" t="s">
        <v>1891</v>
      </c>
      <c r="L30" s="16" t="str" cm="1">
        <f t="array" aca="1" ref="L30" ca="1">_xll.aqBondObjectCreateFromGenerator($C30,$L$4,_xll.aqToolLVBFromKeysValues($C$7:$K$7,$C30:$K30))</f>
        <v>UKT 3 1/2 01/22/45:4</v>
      </c>
      <c r="M30" s="78">
        <v>2.0353423704142459E-2</v>
      </c>
      <c r="N30" s="50">
        <v>129.68299985452788</v>
      </c>
      <c r="O30" s="17">
        <v>18.284300000000002</v>
      </c>
      <c r="P30" s="95">
        <v>2386.1138999999998</v>
      </c>
      <c r="Q30" s="39" cm="1">
        <f t="array" aca="1" ref="Q30" ca="1">_xll.aqBondObjectYield(L30,$C$4,R30)</f>
        <v>2.0353423704142521E-2</v>
      </c>
      <c r="R30" s="49" cm="1">
        <f t="array" aca="1" ref="R30" ca="1">_xll.aqBondObjectPrice($L30,$C$4,$M30)</f>
        <v>129.68299985452754</v>
      </c>
      <c r="S30" s="49" cm="1">
        <f t="array" aca="1" ref="S30" ca="1">_xll.aqBondObjectCleanPrice($L30,$C$4,$M30)</f>
        <v>129.68299985452754</v>
      </c>
      <c r="T30" s="49" cm="1">
        <f t="array" aca="1" ref="T30" ca="1">_xll.aqBondObjectDirtyPrice($L30,$C$4,$M30)</f>
        <v>130.50093463713623</v>
      </c>
      <c r="U30" s="18" cm="1">
        <f t="array" aca="1" ref="U30" ca="1">_xll.aqBondObjectModifiedDuration($L30,$C$4,$M30)</f>
        <v>18.28426654949245</v>
      </c>
      <c r="V30" s="93" cm="1">
        <f t="array" aca="1" ref="V30" ca="1">_xll.aqBondObjectDV01($L30,$C$4,$M30)</f>
        <v>2386.1138738632908</v>
      </c>
    </row>
    <row r="31" spans="2:22">
      <c r="B31" s="11" t="s">
        <v>1750</v>
      </c>
      <c r="C31" s="76" t="s">
        <v>1892</v>
      </c>
      <c r="D31" s="11" t="s">
        <v>1893</v>
      </c>
      <c r="E31" s="12" t="s">
        <v>1894</v>
      </c>
      <c r="F31" s="15" t="s">
        <v>1894</v>
      </c>
      <c r="G31" s="14"/>
      <c r="H31" s="12" t="s">
        <v>1820</v>
      </c>
      <c r="I31" s="12" t="s">
        <v>1895</v>
      </c>
      <c r="J31" s="13">
        <v>4.2500000000000003E-2</v>
      </c>
      <c r="K31" s="12" t="s">
        <v>1896</v>
      </c>
      <c r="L31" s="16" t="str" cm="1">
        <f t="array" aca="1" ref="L31" ca="1">_xll.aqBondObjectCreateFromGenerator($C31,$L$4,_xll.aqToolLVBFromKeysValues($C$7:$K$7,$C31:$K31))</f>
        <v>UKT 4 1/4 12/07/46:4</v>
      </c>
      <c r="M31" s="78">
        <v>2.0229053653505337E-2</v>
      </c>
      <c r="N31" s="50">
        <v>147.60799999542326</v>
      </c>
      <c r="O31" s="17">
        <v>18.444500000000001</v>
      </c>
      <c r="P31" s="95">
        <v>2750.6190000000001</v>
      </c>
      <c r="Q31" s="39" cm="1">
        <f t="array" aca="1" ref="Q31" ca="1">_xll.aqBondObjectYield(L31,$C$4,R31)</f>
        <v>2.022905365350524E-2</v>
      </c>
      <c r="R31" s="49" cm="1">
        <f t="array" aca="1" ref="R31" ca="1">_xll.aqBondObjectPrice($L31,$C$4,$M31)</f>
        <v>147.6079999954232</v>
      </c>
      <c r="S31" s="49" cm="1">
        <f t="array" aca="1" ref="S31" ca="1">_xll.aqBondObjectCleanPrice($L31,$C$4,$M31)</f>
        <v>147.6079999954232</v>
      </c>
      <c r="T31" s="49" cm="1">
        <f t="array" aca="1" ref="T31" ca="1">_xll.aqBondObjectDirtyPrice($L31,$C$4,$M31)</f>
        <v>149.12917485881118</v>
      </c>
      <c r="U31" s="18" cm="1">
        <f t="array" aca="1" ref="U31" ca="1">_xll.aqBondObjectModifiedDuration($L31,$C$4,$M31)</f>
        <v>18.444539840029812</v>
      </c>
      <c r="V31" s="93" cm="1">
        <f t="array" aca="1" ref="V31" ca="1">_xll.aqBondObjectDV01($L31,$C$4,$M31)</f>
        <v>2750.6190069941149</v>
      </c>
    </row>
    <row r="32" spans="2:22">
      <c r="B32" s="11" t="s">
        <v>1721</v>
      </c>
      <c r="C32" s="76" t="s">
        <v>1897</v>
      </c>
      <c r="D32" s="11" t="s">
        <v>1898</v>
      </c>
      <c r="E32" s="12" t="s">
        <v>1899</v>
      </c>
      <c r="F32" s="15" t="s">
        <v>1899</v>
      </c>
      <c r="G32" s="14"/>
      <c r="H32" s="12" t="s">
        <v>1769</v>
      </c>
      <c r="I32" s="12" t="s">
        <v>1900</v>
      </c>
      <c r="J32" s="13">
        <v>1.4999999999999999E-2</v>
      </c>
      <c r="K32" s="12" t="s">
        <v>1901</v>
      </c>
      <c r="L32" s="16" t="str" cm="1">
        <f t="array" aca="1" ref="L32" ca="1">_xll.aqBondObjectCreateFromGenerator($C32,$L$4,_xll.aqToolLVBFromKeysValues($C$7:$K$7,$C32:$K32))</f>
        <v>UKT 1 1/2 07/22/47:4</v>
      </c>
      <c r="M32" s="78">
        <v>2.0102954325270442E-2</v>
      </c>
      <c r="N32" s="50">
        <v>88.892999999322839</v>
      </c>
      <c r="O32" s="17">
        <v>22.753699999999998</v>
      </c>
      <c r="P32" s="95">
        <v>2030.6251</v>
      </c>
      <c r="Q32" s="39" cm="1">
        <f t="array" aca="1" ref="Q32" ca="1">_xll.aqBondObjectYield(L32,$C$4,R32)</f>
        <v>2.0102954325270508E-2</v>
      </c>
      <c r="R32" s="49" cm="1">
        <f t="array" aca="1" ref="R32" ca="1">_xll.aqBondObjectPrice($L32,$C$4,$M32)</f>
        <v>88.892999999322868</v>
      </c>
      <c r="S32" s="49" cm="1">
        <f t="array" aca="1" ref="S32" ca="1">_xll.aqBondObjectCleanPrice($L32,$C$4,$M32)</f>
        <v>88.892999999322868</v>
      </c>
      <c r="T32" s="49" cm="1">
        <f t="array" aca="1" ref="T32" ca="1">_xll.aqBondObjectDirtyPrice($L32,$C$4,$M32)</f>
        <v>89.243543477583742</v>
      </c>
      <c r="U32" s="18" cm="1">
        <f t="array" aca="1" ref="U32" ca="1">_xll.aqBondObjectModifiedDuration($L32,$C$4,$M32)</f>
        <v>22.753748106582972</v>
      </c>
      <c r="V32" s="93" cm="1">
        <f t="array" aca="1" ref="V32" ca="1">_xll.aqBondObjectDV01($L32,$C$4,$M32)</f>
        <v>2030.625108427826</v>
      </c>
    </row>
    <row r="33" spans="2:22">
      <c r="B33" s="11" t="s">
        <v>1725</v>
      </c>
      <c r="C33" s="76" t="s">
        <v>1902</v>
      </c>
      <c r="D33" s="11" t="s">
        <v>1903</v>
      </c>
      <c r="E33" s="12" t="s">
        <v>1904</v>
      </c>
      <c r="F33" s="15" t="s">
        <v>1904</v>
      </c>
      <c r="G33" s="14"/>
      <c r="H33" s="12" t="s">
        <v>1905</v>
      </c>
      <c r="I33" s="12" t="s">
        <v>1906</v>
      </c>
      <c r="J33" s="13">
        <v>1.7500000000000002E-2</v>
      </c>
      <c r="K33" s="12" t="s">
        <v>1907</v>
      </c>
      <c r="L33" s="16" t="str" cm="1">
        <f t="array" aca="1" ref="L33" ca="1">_xll.aqBondObjectCreateFromGenerator($C33,$L$4,_xll.aqToolLVBFromKeysValues($C$7:$K$7,$C33:$K33))</f>
        <v>UKT 1 3/4 01/22/49:4</v>
      </c>
      <c r="M33" s="78">
        <v>2.015067388290245E-2</v>
      </c>
      <c r="N33" s="50">
        <v>94.01599999877854</v>
      </c>
      <c r="O33" s="17">
        <v>23.099799999999998</v>
      </c>
      <c r="P33" s="95">
        <v>2175.4850999999999</v>
      </c>
      <c r="Q33" s="39" cm="1">
        <f t="array" aca="1" ref="Q33" ca="1">_xll.aqBondObjectYield(L33,$C$4,R33)</f>
        <v>2.0150673882927166E-2</v>
      </c>
      <c r="R33" s="49" cm="1">
        <f t="array" aca="1" ref="R33" ca="1">_xll.aqBondObjectPrice($L33,$C$4,$M33)</f>
        <v>94.016000387999057</v>
      </c>
      <c r="S33" s="49" cm="1">
        <f t="array" aca="1" ref="S33" ca="1">_xll.aqBondObjectCleanPrice($L33,$C$4,$M33)</f>
        <v>94.016000387999057</v>
      </c>
      <c r="T33" s="49" cm="1">
        <f t="array" aca="1" ref="T33" ca="1">_xll.aqBondObjectDirtyPrice($L33,$C$4,$M33)</f>
        <v>94.177685170607759</v>
      </c>
      <c r="U33" s="18" cm="1">
        <f t="array" aca="1" ref="U33" ca="1">_xll.aqBondObjectModifiedDuration($L33,$C$4,$M33)</f>
        <v>23.099794084793636</v>
      </c>
      <c r="V33" s="93" cm="1">
        <f t="array" aca="1" ref="V33" ca="1">_xll.aqBondObjectDV01($L33,$C$4,$M33)</f>
        <v>2175.4851348235625</v>
      </c>
    </row>
    <row r="34" spans="2:22">
      <c r="B34" s="11" t="s">
        <v>1752</v>
      </c>
      <c r="C34" s="76" t="s">
        <v>1908</v>
      </c>
      <c r="D34" s="11" t="s">
        <v>1909</v>
      </c>
      <c r="E34" s="12" t="s">
        <v>1910</v>
      </c>
      <c r="F34" s="15" t="s">
        <v>1910</v>
      </c>
      <c r="G34" s="14"/>
      <c r="H34" s="12" t="s">
        <v>1911</v>
      </c>
      <c r="I34" s="12" t="s">
        <v>1912</v>
      </c>
      <c r="J34" s="13">
        <v>4.2500000000000003E-2</v>
      </c>
      <c r="K34" s="12" t="s">
        <v>1913</v>
      </c>
      <c r="L34" s="16" t="str" cm="1">
        <f t="array" aca="1" ref="L34" ca="1">_xll.aqBondObjectCreateFromGenerator($C34,$L$4,_xll.aqToolLVBFromKeysValues($C$7:$K$7,$C34:$K34))</f>
        <v>UKT 4 1/4 12/07/49:4</v>
      </c>
      <c r="M34" s="78">
        <v>2.0045347054407251E-2</v>
      </c>
      <c r="N34" s="50">
        <v>151.82599995096663</v>
      </c>
      <c r="O34" s="17">
        <v>19.810600000000001</v>
      </c>
      <c r="P34" s="95">
        <v>3037.9025000000001</v>
      </c>
      <c r="Q34" s="39" cm="1">
        <f t="array" aca="1" ref="Q34" ca="1">_xll.aqBondObjectYield(L34,$C$4,R34)</f>
        <v>2.0045347054407268E-2</v>
      </c>
      <c r="R34" s="49" cm="1">
        <f t="array" aca="1" ref="R34" ca="1">_xll.aqBondObjectPrice($L34,$C$4,$M34)</f>
        <v>151.82599995096626</v>
      </c>
      <c r="S34" s="49" cm="1">
        <f t="array" aca="1" ref="S34" ca="1">_xll.aqBondObjectCleanPrice($L34,$C$4,$M34)</f>
        <v>151.82599995096626</v>
      </c>
      <c r="T34" s="49" cm="1">
        <f t="array" aca="1" ref="T34" ca="1">_xll.aqBondObjectDirtyPrice($L34,$C$4,$M34)</f>
        <v>153.34717481435425</v>
      </c>
      <c r="U34" s="18" cm="1">
        <f t="array" aca="1" ref="U34" ca="1">_xll.aqBondObjectModifiedDuration($L34,$C$4,$M34)</f>
        <v>19.810619177938715</v>
      </c>
      <c r="V34" s="93" cm="1">
        <f t="array" aca="1" ref="V34" ca="1">_xll.aqBondObjectDV01($L34,$C$4,$M34)</f>
        <v>3037.9024822599667</v>
      </c>
    </row>
    <row r="35" spans="2:22">
      <c r="B35" s="11" t="s">
        <v>1743</v>
      </c>
      <c r="C35" s="76" t="s">
        <v>1914</v>
      </c>
      <c r="D35" s="11" t="s">
        <v>1915</v>
      </c>
      <c r="E35" s="12" t="s">
        <v>1916</v>
      </c>
      <c r="F35" s="15" t="s">
        <v>1916</v>
      </c>
      <c r="G35" s="14"/>
      <c r="H35" s="12" t="s">
        <v>1917</v>
      </c>
      <c r="I35" s="12" t="s">
        <v>1918</v>
      </c>
      <c r="J35" s="13">
        <v>3.7499999999999999E-2</v>
      </c>
      <c r="K35" s="12" t="s">
        <v>1919</v>
      </c>
      <c r="L35" s="16" t="str" cm="1">
        <f t="array" aca="1" ref="L35" ca="1">_xll.aqBondObjectCreateFromGenerator($C35,$L$4,_xll.aqToolLVBFromKeysValues($C$7:$K$7,$C35:$K35))</f>
        <v>UKT 3 3/4 07/22/52:4</v>
      </c>
      <c r="M35" s="78">
        <v>1.9778729823026652E-2</v>
      </c>
      <c r="N35" s="50">
        <v>143.49799885317626</v>
      </c>
      <c r="O35" s="17">
        <v>21.5611</v>
      </c>
      <c r="P35" s="95">
        <v>3112.8631</v>
      </c>
      <c r="Q35" s="39" cm="1">
        <f t="array" aca="1" ref="Q35" ca="1">_xll.aqBondObjectYield(L35,$C$4,R35)</f>
        <v>1.9778729823026496E-2</v>
      </c>
      <c r="R35" s="49" cm="1">
        <f t="array" aca="1" ref="R35" ca="1">_xll.aqBondObjectPrice($L35,$C$4,$M35)</f>
        <v>143.49799885317617</v>
      </c>
      <c r="S35" s="49" cm="1">
        <f t="array" aca="1" ref="S35" ca="1">_xll.aqBondObjectCleanPrice($L35,$C$4,$M35)</f>
        <v>143.49799885317617</v>
      </c>
      <c r="T35" s="49" cm="1">
        <f t="array" aca="1" ref="T35" ca="1">_xll.aqBondObjectDirtyPrice($L35,$C$4,$M35)</f>
        <v>144.37435754882836</v>
      </c>
      <c r="U35" s="18" cm="1">
        <f t="array" aca="1" ref="U35" ca="1">_xll.aqBondObjectModifiedDuration($L35,$C$4,$M35)</f>
        <v>21.561052141891142</v>
      </c>
      <c r="V35" s="93" cm="1">
        <f t="array" aca="1" ref="V35" ca="1">_xll.aqBondObjectDV01($L35,$C$4,$M35)</f>
        <v>3112.8630510623234</v>
      </c>
    </row>
    <row r="36" spans="2:22">
      <c r="B36" s="11" t="s">
        <v>1748</v>
      </c>
      <c r="C36" s="76" t="s">
        <v>1920</v>
      </c>
      <c r="D36" s="11" t="s">
        <v>1921</v>
      </c>
      <c r="E36" s="12" t="s">
        <v>1922</v>
      </c>
      <c r="F36" s="15" t="s">
        <v>1922</v>
      </c>
      <c r="G36" s="14"/>
      <c r="H36" s="12" t="s">
        <v>1923</v>
      </c>
      <c r="I36" s="12" t="s">
        <v>1924</v>
      </c>
      <c r="J36" s="13">
        <v>4.2500000000000003E-2</v>
      </c>
      <c r="K36" s="12" t="s">
        <v>1925</v>
      </c>
      <c r="L36" s="16" t="str" cm="1">
        <f t="array" aca="1" ref="L36" ca="1">_xll.aqBondObjectCreateFromGenerator($C36,$L$4,_xll.aqToolLVBFromKeysValues($C$7:$K$7,$C36:$K36))</f>
        <v>UKT 4 1/4 12/07/55:4</v>
      </c>
      <c r="M36" s="78">
        <v>1.9613282762821208E-2</v>
      </c>
      <c r="N36" s="50">
        <v>160.1679989825183</v>
      </c>
      <c r="O36" s="17">
        <v>22.376899999999999</v>
      </c>
      <c r="P36" s="95">
        <v>3618.0972000000002</v>
      </c>
      <c r="Q36" s="39" cm="1">
        <f t="array" aca="1" ref="Q36" ca="1">_xll.aqBondObjectYield(L36,$C$4,R36)</f>
        <v>1.9613282762821874E-2</v>
      </c>
      <c r="R36" s="49" cm="1">
        <f t="array" aca="1" ref="R36" ca="1">_xll.aqBondObjectPrice($L36,$C$4,$M36)</f>
        <v>160.16799898251844</v>
      </c>
      <c r="S36" s="49" cm="1">
        <f t="array" aca="1" ref="S36" ca="1">_xll.aqBondObjectCleanPrice($L36,$C$4,$M36)</f>
        <v>160.16799898251844</v>
      </c>
      <c r="T36" s="49" cm="1">
        <f t="array" aca="1" ref="T36" ca="1">_xll.aqBondObjectDirtyPrice($L36,$C$4,$M36)</f>
        <v>161.68917384590642</v>
      </c>
      <c r="U36" s="18" cm="1">
        <f t="array" aca="1" ref="U36" ca="1">_xll.aqBondObjectModifiedDuration($L36,$C$4,$M36)</f>
        <v>22.376867620036194</v>
      </c>
      <c r="V36" s="93" cm="1">
        <f t="array" aca="1" ref="V36" ca="1">_xll.aqBondObjectDV01($L36,$C$4,$M36)</f>
        <v>3618.0972387428665</v>
      </c>
    </row>
    <row r="37" spans="2:22">
      <c r="B37" s="11" t="s">
        <v>1727</v>
      </c>
      <c r="C37" s="76" t="s">
        <v>1926</v>
      </c>
      <c r="D37" s="11" t="s">
        <v>1927</v>
      </c>
      <c r="E37" s="12" t="s">
        <v>1928</v>
      </c>
      <c r="F37" s="15" t="s">
        <v>1928</v>
      </c>
      <c r="G37" s="14"/>
      <c r="H37" s="12" t="s">
        <v>1814</v>
      </c>
      <c r="I37" s="12" t="s">
        <v>1929</v>
      </c>
      <c r="J37" s="13">
        <v>1.7500000000000002E-2</v>
      </c>
      <c r="K37" s="12" t="s">
        <v>1930</v>
      </c>
      <c r="L37" s="16" t="str" cm="1">
        <f t="array" aca="1" ref="L37" ca="1">_xll.aqBondObjectCreateFromGenerator($C37,$L$4,_xll.aqToolLVBFromKeysValues($C$7:$K$7,$C37:$K37))</f>
        <v>UKT 1 3/4 07/22/57:4</v>
      </c>
      <c r="M37" s="78">
        <v>1.9530287367034573E-2</v>
      </c>
      <c r="N37" s="50">
        <v>94.496999981869408</v>
      </c>
      <c r="O37" s="17">
        <v>27.5657</v>
      </c>
      <c r="P37" s="95">
        <v>2616.1469000000002</v>
      </c>
      <c r="Q37" s="39" cm="1">
        <f t="array" aca="1" ref="Q37" ca="1">_xll.aqBondObjectYield(L37,$C$4,R37)</f>
        <v>1.9530287367033831E-2</v>
      </c>
      <c r="R37" s="49" cm="1">
        <f t="array" aca="1" ref="R37" ca="1">_xll.aqBondObjectPrice($L37,$C$4,$M37)</f>
        <v>94.496999981869294</v>
      </c>
      <c r="S37" s="49" cm="1">
        <f t="array" aca="1" ref="S37" ca="1">_xll.aqBondObjectCleanPrice($L37,$C$4,$M37)</f>
        <v>94.496999981869294</v>
      </c>
      <c r="T37" s="49" cm="1">
        <f t="array" aca="1" ref="T37" ca="1">_xll.aqBondObjectDirtyPrice($L37,$C$4,$M37)</f>
        <v>94.905967373173638</v>
      </c>
      <c r="U37" s="18" cm="1">
        <f t="array" aca="1" ref="U37" ca="1">_xll.aqBondObjectModifiedDuration($L37,$C$4,$M37)</f>
        <v>27.565673770015483</v>
      </c>
      <c r="V37" s="93" cm="1">
        <f t="array" aca="1" ref="V37" ca="1">_xll.aqBondObjectDV01($L37,$C$4,$M37)</f>
        <v>2616.1469354366377</v>
      </c>
    </row>
    <row r="38" spans="2:22">
      <c r="B38" s="11" t="s">
        <v>1745</v>
      </c>
      <c r="C38" s="76" t="s">
        <v>1931</v>
      </c>
      <c r="D38" s="11" t="s">
        <v>1932</v>
      </c>
      <c r="E38" s="12" t="s">
        <v>1933</v>
      </c>
      <c r="F38" s="15" t="s">
        <v>1933</v>
      </c>
      <c r="G38" s="14"/>
      <c r="H38" s="12" t="s">
        <v>1934</v>
      </c>
      <c r="I38" s="12" t="s">
        <v>1935</v>
      </c>
      <c r="J38" s="13">
        <v>0.04</v>
      </c>
      <c r="K38" s="12" t="s">
        <v>1936</v>
      </c>
      <c r="L38" s="16" t="str" cm="1">
        <f t="array" aca="1" ref="L38" ca="1">_xll.aqBondObjectCreateFromGenerator($C38,$L$4,_xll.aqToolLVBFromKeysValues($C$7:$K$7,$C38:$K38))</f>
        <v>UKT 4 01/22/60:4</v>
      </c>
      <c r="M38" s="78">
        <v>1.9411239941024328E-2</v>
      </c>
      <c r="N38" s="50">
        <v>158.26999999981919</v>
      </c>
      <c r="O38" s="17">
        <v>24.365500000000001</v>
      </c>
      <c r="P38" s="95">
        <v>3879.1037000000001</v>
      </c>
      <c r="Q38" s="39" cm="1">
        <f t="array" aca="1" ref="Q38" ca="1">_xll.aqBondObjectYield(L38,$C$4,R38)</f>
        <v>1.9411239941025348E-2</v>
      </c>
      <c r="R38" s="49" cm="1">
        <f t="array" aca="1" ref="R38" ca="1">_xll.aqBondObjectPrice($L38,$C$4,$M38)</f>
        <v>158.26999999981945</v>
      </c>
      <c r="S38" s="49" cm="1">
        <f t="array" aca="1" ref="S38" ca="1">_xll.aqBondObjectCleanPrice($L38,$C$4,$M38)</f>
        <v>158.26999999981945</v>
      </c>
      <c r="T38" s="49" cm="1">
        <f t="array" aca="1" ref="T38" ca="1">_xll.aqBondObjectDirtyPrice($L38,$C$4,$M38)</f>
        <v>159.2047826085151</v>
      </c>
      <c r="U38" s="18" cm="1">
        <f t="array" aca="1" ref="U38" ca="1">_xll.aqBondObjectModifiedDuration($L38,$C$4,$M38)</f>
        <v>24.365497097447456</v>
      </c>
      <c r="V38" s="93" cm="1">
        <f t="array" aca="1" ref="V38" ca="1">_xll.aqBondObjectDV01($L38,$C$4,$M38)</f>
        <v>3879.1036685475278</v>
      </c>
    </row>
    <row r="39" spans="2:22">
      <c r="B39" s="11" t="s">
        <v>1730</v>
      </c>
      <c r="C39" s="76" t="s">
        <v>1937</v>
      </c>
      <c r="D39" s="11" t="s">
        <v>1938</v>
      </c>
      <c r="E39" s="12" t="s">
        <v>1939</v>
      </c>
      <c r="F39" s="15" t="s">
        <v>1939</v>
      </c>
      <c r="G39" s="14"/>
      <c r="H39" s="12" t="s">
        <v>1940</v>
      </c>
      <c r="I39" s="12" t="s">
        <v>1941</v>
      </c>
      <c r="J39" s="13">
        <v>2.5000000000000001E-2</v>
      </c>
      <c r="K39" s="12" t="s">
        <v>1942</v>
      </c>
      <c r="L39" s="16" t="str" cm="1">
        <f t="array" aca="1" ref="L39" ca="1">_xll.aqBondObjectCreateFromGenerator($C39,$L$4,_xll.aqToolLVBFromKeysValues($C$7:$K$7,$C39:$K39))</f>
        <v>UKT 2 1/2 07/22/65:4</v>
      </c>
      <c r="M39" s="78">
        <v>1.9289422312647304E-2</v>
      </c>
      <c r="N39" s="50">
        <v>117.53999995964206</v>
      </c>
      <c r="O39" s="17">
        <v>28.973299999999998</v>
      </c>
      <c r="P39" s="95">
        <v>3422.4526999999998</v>
      </c>
      <c r="Q39" s="39" cm="1">
        <f t="array" aca="1" ref="Q39" ca="1">_xll.aqBondObjectYield(L39,$C$4,R39)</f>
        <v>1.9289422312647034E-2</v>
      </c>
      <c r="R39" s="49" cm="1">
        <f t="array" aca="1" ref="R39" ca="1">_xll.aqBondObjectPrice($L39,$C$4,$M39)</f>
        <v>117.53999995964192</v>
      </c>
      <c r="S39" s="49" cm="1">
        <f t="array" aca="1" ref="S39" ca="1">_xll.aqBondObjectCleanPrice($L39,$C$4,$M39)</f>
        <v>117.53999995964192</v>
      </c>
      <c r="T39" s="49" cm="1">
        <f t="array" aca="1" ref="T39" ca="1">_xll.aqBondObjectDirtyPrice($L39,$C$4,$M39)</f>
        <v>118.1242390900767</v>
      </c>
      <c r="U39" s="18" cm="1">
        <f t="array" aca="1" ref="U39" ca="1">_xll.aqBondObjectModifiedDuration($L39,$C$4,$M39)</f>
        <v>28.973331011178303</v>
      </c>
      <c r="V39" s="93" cm="1">
        <f t="array" aca="1" ref="V39" ca="1">_xll.aqBondObjectDV01($L39,$C$4,$M39)</f>
        <v>3422.4526796003597</v>
      </c>
    </row>
    <row r="40" spans="2:22">
      <c r="B40" s="11" t="s">
        <v>1741</v>
      </c>
      <c r="C40" s="76" t="s">
        <v>1943</v>
      </c>
      <c r="D40" s="11" t="s">
        <v>1944</v>
      </c>
      <c r="E40" s="12" t="s">
        <v>1945</v>
      </c>
      <c r="F40" s="15" t="s">
        <v>1945</v>
      </c>
      <c r="G40" s="14"/>
      <c r="H40" s="12" t="s">
        <v>1946</v>
      </c>
      <c r="I40" s="12" t="s">
        <v>1947</v>
      </c>
      <c r="J40" s="13">
        <v>3.5000000000000003E-2</v>
      </c>
      <c r="K40" s="12" t="s">
        <v>1948</v>
      </c>
      <c r="L40" s="16" t="str" cm="1">
        <f t="array" aca="1" ref="L40" ca="1">_xll.aqBondObjectCreateFromGenerator($C40,$L$4,_xll.aqToolLVBFromKeysValues($C$7:$K$7,$C40:$K40))</f>
        <v>UKT 3 1/2 07/22/68:4</v>
      </c>
      <c r="M40" s="78">
        <v>1.9360507078229255E-2</v>
      </c>
      <c r="N40" s="50">
        <v>149.81299998648234</v>
      </c>
      <c r="O40" s="17">
        <v>28.095800000000001</v>
      </c>
      <c r="P40" s="95">
        <v>4232.0925999999999</v>
      </c>
      <c r="Q40" s="39" cm="1">
        <f t="array" aca="1" ref="Q40" ca="1">_xll.aqBondObjectYield(L40,$C$4,R40)</f>
        <v>1.9360507078231903E-2</v>
      </c>
      <c r="R40" s="49" cm="1">
        <f t="array" aca="1" ref="R40" ca="1">_xll.aqBondObjectPrice($L40,$C$4,$M40)</f>
        <v>149.81299998648205</v>
      </c>
      <c r="S40" s="49" cm="1">
        <f t="array" aca="1" ref="S40" ca="1">_xll.aqBondObjectCleanPrice($L40,$C$4,$M40)</f>
        <v>149.81299998648205</v>
      </c>
      <c r="T40" s="49" cm="1">
        <f t="array" aca="1" ref="T40" ca="1">_xll.aqBondObjectDirtyPrice($L40,$C$4,$M40)</f>
        <v>150.63093476909074</v>
      </c>
      <c r="U40" s="18" cm="1">
        <f t="array" aca="1" ref="U40" ca="1">_xll.aqBondObjectModifiedDuration($L40,$C$4,$M40)</f>
        <v>28.095773654745518</v>
      </c>
      <c r="V40" s="93" cm="1">
        <f t="array" aca="1" ref="V40" ca="1">_xll.aqBondObjectDV01($L40,$C$4,$M40)</f>
        <v>4232.0926486751105</v>
      </c>
    </row>
    <row r="41" spans="2:22">
      <c r="B41" s="11" t="s">
        <v>1723</v>
      </c>
      <c r="C41" s="76" t="s">
        <v>1949</v>
      </c>
      <c r="D41" s="11" t="s">
        <v>1950</v>
      </c>
      <c r="E41" s="12" t="s">
        <v>1951</v>
      </c>
      <c r="F41" s="15" t="s">
        <v>1951</v>
      </c>
      <c r="G41" s="14"/>
      <c r="H41" s="12" t="s">
        <v>1952</v>
      </c>
      <c r="I41" s="12" t="s">
        <v>1953</v>
      </c>
      <c r="J41" s="13">
        <v>1.6250000000000001E-2</v>
      </c>
      <c r="K41" s="12" t="s">
        <v>1954</v>
      </c>
      <c r="L41" s="16" t="str" cm="1">
        <f t="array" aca="1" ref="L41" ca="1">_xll.aqBondObjectCreateFromGenerator($C41,$L$4,_xll.aqToolLVBFromKeysValues($C$7:$K$7,$C41:$K41))</f>
        <v>UKT 1 5/8 10/22/71:4</v>
      </c>
      <c r="M41" s="78">
        <v>1.9169227254224361E-2</v>
      </c>
      <c r="N41" s="50">
        <v>90.30999948110707</v>
      </c>
      <c r="O41" s="17">
        <v>34.389000000000003</v>
      </c>
      <c r="P41" s="95">
        <v>3104.7534000000001</v>
      </c>
      <c r="Q41" s="39" cm="1">
        <f t="array" aca="1" ref="Q41" ca="1">_xll.aqBondObjectYield(L41,$C$4,R41)</f>
        <v>1.9169227254224756E-2</v>
      </c>
      <c r="R41" s="49" cm="1">
        <f t="array" aca="1" ref="R41" ca="1">_xll.aqBondObjectPrice($L41,$C$4,$M41)</f>
        <v>90.309999481107113</v>
      </c>
      <c r="S41" s="49" cm="1">
        <f t="array" aca="1" ref="S41" ca="1">_xll.aqBondObjectCleanPrice($L41,$C$4,$M41)</f>
        <v>90.309999481107113</v>
      </c>
      <c r="T41" s="49" cm="1">
        <f t="array" aca="1" ref="T41" ca="1">_xll.aqBondObjectDirtyPrice($L41,$C$4,$M41)</f>
        <v>90.28336013684482</v>
      </c>
      <c r="U41" s="18" cm="1">
        <f t="array" aca="1" ref="U41" ca="1">_xll.aqBondObjectModifiedDuration($L41,$C$4,$M41)</f>
        <v>34.388988468602626</v>
      </c>
      <c r="V41" s="93" cm="1">
        <f t="array" aca="1" ref="V41" ca="1">_xll.aqBondObjectDV01($L41,$C$4,$M41)</f>
        <v>3104.7534306526545</v>
      </c>
    </row>
  </sheetData>
  <autoFilter ref="B7:V7" xr:uid="{00000000-0001-0000-0600-000000000000}"/>
  <sortState xmlns:xlrd2="http://schemas.microsoft.com/office/spreadsheetml/2017/richdata2" ref="B8:V50">
    <sortCondition ref="K8:K50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CZ102"/>
  <sheetViews>
    <sheetView showGridLines="0" workbookViewId="0"/>
  </sheetViews>
  <sheetFormatPr defaultRowHeight="15"/>
  <cols>
    <col min="2" max="2" width="34.140625" bestFit="1" customWidth="1"/>
    <col min="3" max="3" width="41.28515625" bestFit="1" customWidth="1"/>
    <col min="5" max="6" width="18.7109375" style="22" customWidth="1"/>
    <col min="7" max="7" width="19.5703125" style="22" bestFit="1" customWidth="1"/>
    <col min="8" max="9" width="18.7109375" style="22" customWidth="1"/>
    <col min="10" max="11" width="20.7109375" style="22" customWidth="1"/>
    <col min="12" max="13" width="15.7109375" style="22" customWidth="1"/>
    <col min="14" max="16" width="20.7109375" style="22" customWidth="1"/>
  </cols>
  <sheetData>
    <row r="2" spans="2:104">
      <c r="B2" s="10" t="s">
        <v>1714</v>
      </c>
      <c r="E2" s="109" t="s">
        <v>1716</v>
      </c>
    </row>
    <row r="3" spans="2:104">
      <c r="B3" s="60" t="s">
        <v>1678</v>
      </c>
      <c r="C3" s="59" t="s">
        <v>1968</v>
      </c>
      <c r="E3" s="103" t="str" cm="1">
        <f t="array" aca="1" ref="E3:CZ102" ca="1">_xll.aqToolResize(_xll.aqBondObjectDisplayCashflows($C$4,$C$35,$C$36),100,100)</f>
        <v>AccrualStart</v>
      </c>
      <c r="F3" s="100" t="str">
        <f ca="1"/>
        <v>AccrualEnd</v>
      </c>
      <c r="G3" s="100" t="str">
        <f ca="1"/>
        <v>AccrualYearFractions</v>
      </c>
      <c r="H3" s="100" t="str">
        <f ca="1"/>
        <v>ExDividendDate</v>
      </c>
      <c r="I3" s="100" t="str">
        <f ca="1"/>
        <v>PaymentDate</v>
      </c>
      <c r="J3" s="100" t="str">
        <f ca="1"/>
        <v>Notional</v>
      </c>
      <c r="K3" s="100" t="str">
        <f ca="1"/>
        <v>NotionalExchange</v>
      </c>
      <c r="L3" s="100" t="str">
        <f ca="1"/>
        <v>Leverage</v>
      </c>
      <c r="M3" s="100" t="str">
        <f ca="1"/>
        <v>FixedRate</v>
      </c>
      <c r="N3" s="100" t="str">
        <f ca="1"/>
        <v>Coupon</v>
      </c>
      <c r="O3" s="100" t="str">
        <f ca="1"/>
        <v>DiscountFactor</v>
      </c>
      <c r="P3" s="100" t="str">
        <f ca="1"/>
        <v>CouponPV</v>
      </c>
      <c r="Q3" t="str">
        <f ca="1"/>
        <v/>
      </c>
      <c r="R3" t="str">
        <f ca="1"/>
        <v/>
      </c>
      <c r="S3" t="str">
        <f ca="1"/>
        <v/>
      </c>
      <c r="T3" t="str">
        <f ca="1"/>
        <v/>
      </c>
      <c r="U3" t="str">
        <f ca="1"/>
        <v/>
      </c>
      <c r="V3" t="str">
        <f ca="1"/>
        <v/>
      </c>
      <c r="W3" t="str">
        <f ca="1"/>
        <v/>
      </c>
      <c r="X3" t="str">
        <f ca="1"/>
        <v/>
      </c>
      <c r="Y3" t="str">
        <f ca="1"/>
        <v/>
      </c>
      <c r="Z3" t="str">
        <f ca="1"/>
        <v/>
      </c>
      <c r="AA3" t="str">
        <f ca="1"/>
        <v/>
      </c>
      <c r="AB3" t="str">
        <f ca="1"/>
        <v/>
      </c>
      <c r="AC3" t="str">
        <f ca="1"/>
        <v/>
      </c>
      <c r="AD3" t="str">
        <f ca="1"/>
        <v/>
      </c>
      <c r="AE3" t="str">
        <f ca="1"/>
        <v/>
      </c>
      <c r="AF3" t="str">
        <f ca="1"/>
        <v/>
      </c>
      <c r="AG3" t="str">
        <f ca="1"/>
        <v/>
      </c>
      <c r="AH3" t="str">
        <f ca="1"/>
        <v/>
      </c>
      <c r="AI3" t="str">
        <f ca="1"/>
        <v/>
      </c>
      <c r="AJ3" t="str">
        <f ca="1"/>
        <v/>
      </c>
      <c r="AK3" t="str">
        <f ca="1"/>
        <v/>
      </c>
      <c r="AL3" t="str">
        <f ca="1"/>
        <v/>
      </c>
      <c r="AM3" t="str">
        <f ca="1"/>
        <v/>
      </c>
      <c r="AN3" t="str">
        <f ca="1"/>
        <v/>
      </c>
      <c r="AO3" t="str">
        <f ca="1"/>
        <v/>
      </c>
      <c r="AP3" t="str">
        <f ca="1"/>
        <v/>
      </c>
      <c r="AQ3" t="str">
        <f ca="1"/>
        <v/>
      </c>
      <c r="AR3" t="str">
        <f ca="1"/>
        <v/>
      </c>
      <c r="AS3" t="str">
        <f ca="1"/>
        <v/>
      </c>
      <c r="AT3" t="str">
        <f ca="1"/>
        <v/>
      </c>
      <c r="AU3" t="str">
        <f ca="1"/>
        <v/>
      </c>
      <c r="AV3" t="str">
        <f ca="1"/>
        <v/>
      </c>
      <c r="AW3" t="str">
        <f ca="1"/>
        <v/>
      </c>
      <c r="AX3" t="str">
        <f ca="1"/>
        <v/>
      </c>
      <c r="AY3" t="str">
        <f ca="1"/>
        <v/>
      </c>
      <c r="AZ3" t="str">
        <f ca="1"/>
        <v/>
      </c>
      <c r="BA3" t="str">
        <f ca="1"/>
        <v/>
      </c>
      <c r="BB3" t="str">
        <f ca="1"/>
        <v/>
      </c>
      <c r="BC3" t="str">
        <f ca="1"/>
        <v/>
      </c>
      <c r="BD3" t="str">
        <f ca="1"/>
        <v/>
      </c>
      <c r="BE3" t="str">
        <f ca="1"/>
        <v/>
      </c>
      <c r="BF3" t="str">
        <f ca="1"/>
        <v/>
      </c>
      <c r="BG3" t="str">
        <f ca="1"/>
        <v/>
      </c>
      <c r="BH3" t="str">
        <f ca="1"/>
        <v/>
      </c>
      <c r="BI3" t="str">
        <f ca="1"/>
        <v/>
      </c>
      <c r="BJ3" t="str">
        <f ca="1"/>
        <v/>
      </c>
      <c r="BK3" t="str">
        <f ca="1"/>
        <v/>
      </c>
      <c r="BL3" t="str">
        <f ca="1"/>
        <v/>
      </c>
      <c r="BM3" t="str">
        <f ca="1"/>
        <v/>
      </c>
      <c r="BN3" t="str">
        <f ca="1"/>
        <v/>
      </c>
      <c r="BO3" t="str">
        <f ca="1"/>
        <v/>
      </c>
      <c r="BP3" t="str">
        <f ca="1"/>
        <v/>
      </c>
      <c r="BQ3" t="str">
        <f ca="1"/>
        <v/>
      </c>
      <c r="BR3" t="str">
        <f ca="1"/>
        <v/>
      </c>
      <c r="BS3" t="str">
        <f ca="1"/>
        <v/>
      </c>
      <c r="BT3" t="str">
        <f ca="1"/>
        <v/>
      </c>
      <c r="BU3" t="str">
        <f ca="1"/>
        <v/>
      </c>
      <c r="BV3" t="str">
        <f ca="1"/>
        <v/>
      </c>
      <c r="BW3" t="str">
        <f ca="1"/>
        <v/>
      </c>
      <c r="BX3" t="str">
        <f ca="1"/>
        <v/>
      </c>
      <c r="BY3" t="str">
        <f ca="1"/>
        <v/>
      </c>
      <c r="BZ3" t="str">
        <f ca="1"/>
        <v/>
      </c>
      <c r="CA3" t="str">
        <f ca="1"/>
        <v/>
      </c>
      <c r="CB3" t="str">
        <f ca="1"/>
        <v/>
      </c>
      <c r="CC3" t="str">
        <f ca="1"/>
        <v/>
      </c>
      <c r="CD3" t="str">
        <f ca="1"/>
        <v/>
      </c>
      <c r="CE3" t="str">
        <f ca="1"/>
        <v/>
      </c>
      <c r="CF3" t="str">
        <f ca="1"/>
        <v/>
      </c>
      <c r="CG3" t="str">
        <f ca="1"/>
        <v/>
      </c>
      <c r="CH3" t="str">
        <f ca="1"/>
        <v/>
      </c>
      <c r="CI3" t="str">
        <f ca="1"/>
        <v/>
      </c>
      <c r="CJ3" t="str">
        <f ca="1"/>
        <v/>
      </c>
      <c r="CK3" t="str">
        <f ca="1"/>
        <v/>
      </c>
      <c r="CL3" t="str">
        <f ca="1"/>
        <v/>
      </c>
      <c r="CM3" t="str">
        <f ca="1"/>
        <v/>
      </c>
      <c r="CN3" t="str">
        <f ca="1"/>
        <v/>
      </c>
      <c r="CO3" t="str">
        <f ca="1"/>
        <v/>
      </c>
      <c r="CP3" t="str">
        <f ca="1"/>
        <v/>
      </c>
      <c r="CQ3" t="str">
        <f ca="1"/>
        <v/>
      </c>
      <c r="CR3" t="str">
        <f ca="1"/>
        <v/>
      </c>
      <c r="CS3" t="str">
        <f ca="1"/>
        <v/>
      </c>
      <c r="CT3" t="str">
        <f ca="1"/>
        <v/>
      </c>
      <c r="CU3" t="str">
        <f ca="1"/>
        <v/>
      </c>
      <c r="CV3" t="str">
        <f ca="1"/>
        <v/>
      </c>
      <c r="CW3" t="str">
        <f ca="1"/>
        <v/>
      </c>
      <c r="CX3" t="str">
        <f ca="1"/>
        <v/>
      </c>
      <c r="CY3" t="str">
        <f ca="1"/>
        <v/>
      </c>
      <c r="CZ3" t="str">
        <f ca="1"/>
        <v/>
      </c>
    </row>
    <row r="4" spans="2:104">
      <c r="B4" s="62" t="s">
        <v>13</v>
      </c>
      <c r="C4" s="67" t="str" cm="1">
        <f t="array" aca="1" ref="C4" ca="1">_xll.aqBondObjectCreateFromLVB(C3,B7:C31)</f>
        <v>AUSTRALIA_GOVT__2.25_21-MAY-2028:2</v>
      </c>
      <c r="E4" s="104" t="e">
        <f ca="1"/>
        <v>#N/A</v>
      </c>
      <c r="F4" s="105" t="e">
        <f ca="1"/>
        <v>#N/A</v>
      </c>
      <c r="G4" s="18" t="e">
        <f ca="1"/>
        <v>#N/A</v>
      </c>
      <c r="H4" s="105">
        <f ca="1"/>
        <v>42329</v>
      </c>
      <c r="I4" s="105">
        <f ca="1"/>
        <v>42329</v>
      </c>
      <c r="J4" s="18" t="e">
        <f ca="1"/>
        <v>#N/A</v>
      </c>
      <c r="K4" s="93">
        <f ca="1"/>
        <v>-1000000</v>
      </c>
      <c r="L4" s="18">
        <f ca="1"/>
        <v>1</v>
      </c>
      <c r="M4" s="77" t="e">
        <f ca="1"/>
        <v>#N/A</v>
      </c>
      <c r="N4" s="18">
        <f ca="1"/>
        <v>-1000000</v>
      </c>
      <c r="O4" s="79">
        <f ca="1"/>
        <v>0</v>
      </c>
      <c r="P4" s="18">
        <f ca="1"/>
        <v>0</v>
      </c>
      <c r="Q4" t="str">
        <f ca="1"/>
        <v/>
      </c>
      <c r="R4" t="str">
        <f ca="1"/>
        <v/>
      </c>
      <c r="S4" t="str">
        <f ca="1"/>
        <v/>
      </c>
      <c r="T4" t="str">
        <f ca="1"/>
        <v/>
      </c>
      <c r="U4" t="str">
        <f ca="1"/>
        <v/>
      </c>
      <c r="V4" t="str">
        <f ca="1"/>
        <v/>
      </c>
      <c r="W4" t="str">
        <f ca="1"/>
        <v/>
      </c>
      <c r="X4" t="str">
        <f ca="1"/>
        <v/>
      </c>
      <c r="Y4" t="str">
        <f ca="1"/>
        <v/>
      </c>
      <c r="Z4" t="str">
        <f ca="1"/>
        <v/>
      </c>
      <c r="AA4" t="str">
        <f ca="1"/>
        <v/>
      </c>
      <c r="AB4" t="str">
        <f ca="1"/>
        <v/>
      </c>
      <c r="AC4" t="str">
        <f ca="1"/>
        <v/>
      </c>
      <c r="AD4" t="str">
        <f ca="1"/>
        <v/>
      </c>
      <c r="AE4" t="str">
        <f ca="1"/>
        <v/>
      </c>
      <c r="AF4" t="str">
        <f ca="1"/>
        <v/>
      </c>
      <c r="AG4" t="str">
        <f ca="1"/>
        <v/>
      </c>
      <c r="AH4" t="str">
        <f ca="1"/>
        <v/>
      </c>
      <c r="AI4" t="str">
        <f ca="1"/>
        <v/>
      </c>
      <c r="AJ4" t="str">
        <f ca="1"/>
        <v/>
      </c>
      <c r="AK4" t="str">
        <f ca="1"/>
        <v/>
      </c>
      <c r="AL4" t="str">
        <f ca="1"/>
        <v/>
      </c>
      <c r="AM4" t="str">
        <f ca="1"/>
        <v/>
      </c>
      <c r="AN4" t="str">
        <f ca="1"/>
        <v/>
      </c>
      <c r="AO4" t="str">
        <f ca="1"/>
        <v/>
      </c>
      <c r="AP4" t="str">
        <f ca="1"/>
        <v/>
      </c>
      <c r="AQ4" t="str">
        <f ca="1"/>
        <v/>
      </c>
      <c r="AR4" t="str">
        <f ca="1"/>
        <v/>
      </c>
      <c r="AS4" t="str">
        <f ca="1"/>
        <v/>
      </c>
      <c r="AT4" t="str">
        <f ca="1"/>
        <v/>
      </c>
      <c r="AU4" t="str">
        <f ca="1"/>
        <v/>
      </c>
      <c r="AV4" t="str">
        <f ca="1"/>
        <v/>
      </c>
      <c r="AW4" t="str">
        <f ca="1"/>
        <v/>
      </c>
      <c r="AX4" t="str">
        <f ca="1"/>
        <v/>
      </c>
      <c r="AY4" t="str">
        <f ca="1"/>
        <v/>
      </c>
      <c r="AZ4" t="str">
        <f ca="1"/>
        <v/>
      </c>
      <c r="BA4" t="str">
        <f ca="1"/>
        <v/>
      </c>
      <c r="BB4" t="str">
        <f ca="1"/>
        <v/>
      </c>
      <c r="BC4" t="str">
        <f ca="1"/>
        <v/>
      </c>
      <c r="BD4" t="str">
        <f ca="1"/>
        <v/>
      </c>
      <c r="BE4" t="str">
        <f ca="1"/>
        <v/>
      </c>
      <c r="BF4" t="str">
        <f ca="1"/>
        <v/>
      </c>
      <c r="BG4" t="str">
        <f ca="1"/>
        <v/>
      </c>
      <c r="BH4" t="str">
        <f ca="1"/>
        <v/>
      </c>
      <c r="BI4" t="str">
        <f ca="1"/>
        <v/>
      </c>
      <c r="BJ4" t="str">
        <f ca="1"/>
        <v/>
      </c>
      <c r="BK4" t="str">
        <f ca="1"/>
        <v/>
      </c>
      <c r="BL4" t="str">
        <f ca="1"/>
        <v/>
      </c>
      <c r="BM4" t="str">
        <f ca="1"/>
        <v/>
      </c>
      <c r="BN4" t="str">
        <f ca="1"/>
        <v/>
      </c>
      <c r="BO4" t="str">
        <f ca="1"/>
        <v/>
      </c>
      <c r="BP4" t="str">
        <f ca="1"/>
        <v/>
      </c>
      <c r="BQ4" t="str">
        <f ca="1"/>
        <v/>
      </c>
      <c r="BR4" t="str">
        <f ca="1"/>
        <v/>
      </c>
      <c r="BS4" t="str">
        <f ca="1"/>
        <v/>
      </c>
      <c r="BT4" t="str">
        <f ca="1"/>
        <v/>
      </c>
      <c r="BU4" t="str">
        <f ca="1"/>
        <v/>
      </c>
      <c r="BV4" t="str">
        <f ca="1"/>
        <v/>
      </c>
      <c r="BW4" t="str">
        <f ca="1"/>
        <v/>
      </c>
      <c r="BX4" t="str">
        <f ca="1"/>
        <v/>
      </c>
      <c r="BY4" t="str">
        <f ca="1"/>
        <v/>
      </c>
      <c r="BZ4" t="str">
        <f ca="1"/>
        <v/>
      </c>
      <c r="CA4" t="str">
        <f ca="1"/>
        <v/>
      </c>
      <c r="CB4" t="str">
        <f ca="1"/>
        <v/>
      </c>
      <c r="CC4" t="str">
        <f ca="1"/>
        <v/>
      </c>
      <c r="CD4" t="str">
        <f ca="1"/>
        <v/>
      </c>
      <c r="CE4" t="str">
        <f ca="1"/>
        <v/>
      </c>
      <c r="CF4" t="str">
        <f ca="1"/>
        <v/>
      </c>
      <c r="CG4" t="str">
        <f ca="1"/>
        <v/>
      </c>
      <c r="CH4" t="str">
        <f ca="1"/>
        <v/>
      </c>
      <c r="CI4" t="str">
        <f ca="1"/>
        <v/>
      </c>
      <c r="CJ4" t="str">
        <f ca="1"/>
        <v/>
      </c>
      <c r="CK4" t="str">
        <f ca="1"/>
        <v/>
      </c>
      <c r="CL4" t="str">
        <f ca="1"/>
        <v/>
      </c>
      <c r="CM4" t="str">
        <f ca="1"/>
        <v/>
      </c>
      <c r="CN4" t="str">
        <f ca="1"/>
        <v/>
      </c>
      <c r="CO4" t="str">
        <f ca="1"/>
        <v/>
      </c>
      <c r="CP4" t="str">
        <f ca="1"/>
        <v/>
      </c>
      <c r="CQ4" t="str">
        <f ca="1"/>
        <v/>
      </c>
      <c r="CR4" t="str">
        <f ca="1"/>
        <v/>
      </c>
      <c r="CS4" t="str">
        <f ca="1"/>
        <v/>
      </c>
      <c r="CT4" t="str">
        <f ca="1"/>
        <v/>
      </c>
      <c r="CU4" t="str">
        <f ca="1"/>
        <v/>
      </c>
      <c r="CV4" t="str">
        <f ca="1"/>
        <v/>
      </c>
      <c r="CW4" t="str">
        <f ca="1"/>
        <v/>
      </c>
      <c r="CX4" t="str">
        <f ca="1"/>
        <v/>
      </c>
      <c r="CY4" t="str">
        <f ca="1"/>
        <v/>
      </c>
      <c r="CZ4" t="str">
        <f ca="1"/>
        <v/>
      </c>
    </row>
    <row r="5" spans="2:104">
      <c r="E5" s="104">
        <f ca="1"/>
        <v>42329</v>
      </c>
      <c r="F5" s="105">
        <f ca="1"/>
        <v>42511</v>
      </c>
      <c r="G5" s="18">
        <f ca="1"/>
        <v>0.5</v>
      </c>
      <c r="H5" s="105">
        <f ca="1"/>
        <v>42511</v>
      </c>
      <c r="I5" s="105">
        <f ca="1"/>
        <v>42504</v>
      </c>
      <c r="J5" s="18">
        <f ca="1"/>
        <v>1000000</v>
      </c>
      <c r="K5" s="93">
        <f ca="1"/>
        <v>0</v>
      </c>
      <c r="L5" s="18">
        <f ca="1"/>
        <v>1</v>
      </c>
      <c r="M5" s="77">
        <f ca="1"/>
        <v>2.2499999999999999E-2</v>
      </c>
      <c r="N5" s="18">
        <f ca="1"/>
        <v>11250</v>
      </c>
      <c r="O5" s="79">
        <f ca="1"/>
        <v>0</v>
      </c>
      <c r="P5" s="18">
        <f ca="1"/>
        <v>0</v>
      </c>
      <c r="Q5" t="str">
        <f ca="1"/>
        <v/>
      </c>
      <c r="R5" t="str">
        <f ca="1"/>
        <v/>
      </c>
      <c r="S5" t="str">
        <f ca="1"/>
        <v/>
      </c>
      <c r="T5" t="str">
        <f ca="1"/>
        <v/>
      </c>
      <c r="U5" t="str">
        <f ca="1"/>
        <v/>
      </c>
      <c r="V5" t="str">
        <f ca="1"/>
        <v/>
      </c>
      <c r="W5" t="str">
        <f ca="1"/>
        <v/>
      </c>
      <c r="X5" t="str">
        <f ca="1"/>
        <v/>
      </c>
      <c r="Y5" t="str">
        <f ca="1"/>
        <v/>
      </c>
      <c r="Z5" t="str">
        <f ca="1"/>
        <v/>
      </c>
      <c r="AA5" t="str">
        <f ca="1"/>
        <v/>
      </c>
      <c r="AB5" t="str">
        <f ca="1"/>
        <v/>
      </c>
      <c r="AC5" t="str">
        <f ca="1"/>
        <v/>
      </c>
      <c r="AD5" t="str">
        <f ca="1"/>
        <v/>
      </c>
      <c r="AE5" t="str">
        <f ca="1"/>
        <v/>
      </c>
      <c r="AF5" t="str">
        <f ca="1"/>
        <v/>
      </c>
      <c r="AG5" t="str">
        <f ca="1"/>
        <v/>
      </c>
      <c r="AH5" t="str">
        <f ca="1"/>
        <v/>
      </c>
      <c r="AI5" t="str">
        <f ca="1"/>
        <v/>
      </c>
      <c r="AJ5" t="str">
        <f ca="1"/>
        <v/>
      </c>
      <c r="AK5" t="str">
        <f ca="1"/>
        <v/>
      </c>
      <c r="AL5" t="str">
        <f ca="1"/>
        <v/>
      </c>
      <c r="AM5" t="str">
        <f ca="1"/>
        <v/>
      </c>
      <c r="AN5" t="str">
        <f ca="1"/>
        <v/>
      </c>
      <c r="AO5" t="str">
        <f ca="1"/>
        <v/>
      </c>
      <c r="AP5" t="str">
        <f ca="1"/>
        <v/>
      </c>
      <c r="AQ5" t="str">
        <f ca="1"/>
        <v/>
      </c>
      <c r="AR5" t="str">
        <f ca="1"/>
        <v/>
      </c>
      <c r="AS5" t="str">
        <f ca="1"/>
        <v/>
      </c>
      <c r="AT5" t="str">
        <f ca="1"/>
        <v/>
      </c>
      <c r="AU5" t="str">
        <f ca="1"/>
        <v/>
      </c>
      <c r="AV5" t="str">
        <f ca="1"/>
        <v/>
      </c>
      <c r="AW5" t="str">
        <f ca="1"/>
        <v/>
      </c>
      <c r="AX5" t="str">
        <f ca="1"/>
        <v/>
      </c>
      <c r="AY5" t="str">
        <f ca="1"/>
        <v/>
      </c>
      <c r="AZ5" t="str">
        <f ca="1"/>
        <v/>
      </c>
      <c r="BA5" t="str">
        <f ca="1"/>
        <v/>
      </c>
      <c r="BB5" t="str">
        <f ca="1"/>
        <v/>
      </c>
      <c r="BC5" t="str">
        <f ca="1"/>
        <v/>
      </c>
      <c r="BD5" t="str">
        <f ca="1"/>
        <v/>
      </c>
      <c r="BE5" t="str">
        <f ca="1"/>
        <v/>
      </c>
      <c r="BF5" t="str">
        <f ca="1"/>
        <v/>
      </c>
      <c r="BG5" t="str">
        <f ca="1"/>
        <v/>
      </c>
      <c r="BH5" t="str">
        <f ca="1"/>
        <v/>
      </c>
      <c r="BI5" t="str">
        <f ca="1"/>
        <v/>
      </c>
      <c r="BJ5" t="str">
        <f ca="1"/>
        <v/>
      </c>
      <c r="BK5" t="str">
        <f ca="1"/>
        <v/>
      </c>
      <c r="BL5" t="str">
        <f ca="1"/>
        <v/>
      </c>
      <c r="BM5" t="str">
        <f ca="1"/>
        <v/>
      </c>
      <c r="BN5" t="str">
        <f ca="1"/>
        <v/>
      </c>
      <c r="BO5" t="str">
        <f ca="1"/>
        <v/>
      </c>
      <c r="BP5" t="str">
        <f ca="1"/>
        <v/>
      </c>
      <c r="BQ5" t="str">
        <f ca="1"/>
        <v/>
      </c>
      <c r="BR5" t="str">
        <f ca="1"/>
        <v/>
      </c>
      <c r="BS5" t="str">
        <f ca="1"/>
        <v/>
      </c>
      <c r="BT5" t="str">
        <f ca="1"/>
        <v/>
      </c>
      <c r="BU5" t="str">
        <f ca="1"/>
        <v/>
      </c>
      <c r="BV5" t="str">
        <f ca="1"/>
        <v/>
      </c>
      <c r="BW5" t="str">
        <f ca="1"/>
        <v/>
      </c>
      <c r="BX5" t="str">
        <f ca="1"/>
        <v/>
      </c>
      <c r="BY5" t="str">
        <f ca="1"/>
        <v/>
      </c>
      <c r="BZ5" t="str">
        <f ca="1"/>
        <v/>
      </c>
      <c r="CA5" t="str">
        <f ca="1"/>
        <v/>
      </c>
      <c r="CB5" t="str">
        <f ca="1"/>
        <v/>
      </c>
      <c r="CC5" t="str">
        <f ca="1"/>
        <v/>
      </c>
      <c r="CD5" t="str">
        <f ca="1"/>
        <v/>
      </c>
      <c r="CE5" t="str">
        <f ca="1"/>
        <v/>
      </c>
      <c r="CF5" t="str">
        <f ca="1"/>
        <v/>
      </c>
      <c r="CG5" t="str">
        <f ca="1"/>
        <v/>
      </c>
      <c r="CH5" t="str">
        <f ca="1"/>
        <v/>
      </c>
      <c r="CI5" t="str">
        <f ca="1"/>
        <v/>
      </c>
      <c r="CJ5" t="str">
        <f ca="1"/>
        <v/>
      </c>
      <c r="CK5" t="str">
        <f ca="1"/>
        <v/>
      </c>
      <c r="CL5" t="str">
        <f ca="1"/>
        <v/>
      </c>
      <c r="CM5" t="str">
        <f ca="1"/>
        <v/>
      </c>
      <c r="CN5" t="str">
        <f ca="1"/>
        <v/>
      </c>
      <c r="CO5" t="str">
        <f ca="1"/>
        <v/>
      </c>
      <c r="CP5" t="str">
        <f ca="1"/>
        <v/>
      </c>
      <c r="CQ5" t="str">
        <f ca="1"/>
        <v/>
      </c>
      <c r="CR5" t="str">
        <f ca="1"/>
        <v/>
      </c>
      <c r="CS5" t="str">
        <f ca="1"/>
        <v/>
      </c>
      <c r="CT5" t="str">
        <f ca="1"/>
        <v/>
      </c>
      <c r="CU5" t="str">
        <f ca="1"/>
        <v/>
      </c>
      <c r="CV5" t="str">
        <f ca="1"/>
        <v/>
      </c>
      <c r="CW5" t="str">
        <f ca="1"/>
        <v/>
      </c>
      <c r="CX5" t="str">
        <f ca="1"/>
        <v/>
      </c>
      <c r="CY5" t="str">
        <f ca="1"/>
        <v/>
      </c>
      <c r="CZ5" t="str">
        <f ca="1"/>
        <v/>
      </c>
    </row>
    <row r="6" spans="2:104">
      <c r="B6" s="10" t="s">
        <v>1713</v>
      </c>
      <c r="E6" s="104">
        <f ca="1"/>
        <v>42511</v>
      </c>
      <c r="F6" s="105">
        <f ca="1"/>
        <v>42695</v>
      </c>
      <c r="G6" s="18">
        <f ca="1"/>
        <v>0.5</v>
      </c>
      <c r="H6" s="105">
        <f ca="1"/>
        <v>42695</v>
      </c>
      <c r="I6" s="105">
        <f ca="1"/>
        <v>42688</v>
      </c>
      <c r="J6" s="18">
        <f ca="1"/>
        <v>1000000</v>
      </c>
      <c r="K6" s="93">
        <f ca="1"/>
        <v>0</v>
      </c>
      <c r="L6" s="18">
        <f ca="1"/>
        <v>1</v>
      </c>
      <c r="M6" s="77">
        <f ca="1"/>
        <v>2.2499999999999999E-2</v>
      </c>
      <c r="N6" s="18">
        <f ca="1"/>
        <v>11250</v>
      </c>
      <c r="O6" s="79">
        <f ca="1"/>
        <v>0</v>
      </c>
      <c r="P6" s="18">
        <f ca="1"/>
        <v>0</v>
      </c>
      <c r="Q6" t="str">
        <f ca="1"/>
        <v/>
      </c>
      <c r="R6" t="str">
        <f ca="1"/>
        <v/>
      </c>
      <c r="S6" t="str">
        <f ca="1"/>
        <v/>
      </c>
      <c r="T6" t="str">
        <f ca="1"/>
        <v/>
      </c>
      <c r="U6" t="str">
        <f ca="1"/>
        <v/>
      </c>
      <c r="V6" t="str">
        <f ca="1"/>
        <v/>
      </c>
      <c r="W6" t="str">
        <f ca="1"/>
        <v/>
      </c>
      <c r="X6" t="str">
        <f ca="1"/>
        <v/>
      </c>
      <c r="Y6" t="str">
        <f ca="1"/>
        <v/>
      </c>
      <c r="Z6" t="str">
        <f ca="1"/>
        <v/>
      </c>
      <c r="AA6" t="str">
        <f ca="1"/>
        <v/>
      </c>
      <c r="AB6" t="str">
        <f ca="1"/>
        <v/>
      </c>
      <c r="AC6" t="str">
        <f ca="1"/>
        <v/>
      </c>
      <c r="AD6" t="str">
        <f ca="1"/>
        <v/>
      </c>
      <c r="AE6" t="str">
        <f ca="1"/>
        <v/>
      </c>
      <c r="AF6" t="str">
        <f ca="1"/>
        <v/>
      </c>
      <c r="AG6" t="str">
        <f ca="1"/>
        <v/>
      </c>
      <c r="AH6" t="str">
        <f ca="1"/>
        <v/>
      </c>
      <c r="AI6" t="str">
        <f ca="1"/>
        <v/>
      </c>
      <c r="AJ6" t="str">
        <f ca="1"/>
        <v/>
      </c>
      <c r="AK6" t="str">
        <f ca="1"/>
        <v/>
      </c>
      <c r="AL6" t="str">
        <f ca="1"/>
        <v/>
      </c>
      <c r="AM6" t="str">
        <f ca="1"/>
        <v/>
      </c>
      <c r="AN6" t="str">
        <f ca="1"/>
        <v/>
      </c>
      <c r="AO6" t="str">
        <f ca="1"/>
        <v/>
      </c>
      <c r="AP6" t="str">
        <f ca="1"/>
        <v/>
      </c>
      <c r="AQ6" t="str">
        <f ca="1"/>
        <v/>
      </c>
      <c r="AR6" t="str">
        <f ca="1"/>
        <v/>
      </c>
      <c r="AS6" t="str">
        <f ca="1"/>
        <v/>
      </c>
      <c r="AT6" t="str">
        <f ca="1"/>
        <v/>
      </c>
      <c r="AU6" t="str">
        <f ca="1"/>
        <v/>
      </c>
      <c r="AV6" t="str">
        <f ca="1"/>
        <v/>
      </c>
      <c r="AW6" t="str">
        <f ca="1"/>
        <v/>
      </c>
      <c r="AX6" t="str">
        <f ca="1"/>
        <v/>
      </c>
      <c r="AY6" t="str">
        <f ca="1"/>
        <v/>
      </c>
      <c r="AZ6" t="str">
        <f ca="1"/>
        <v/>
      </c>
      <c r="BA6" t="str">
        <f ca="1"/>
        <v/>
      </c>
      <c r="BB6" t="str">
        <f ca="1"/>
        <v/>
      </c>
      <c r="BC6" t="str">
        <f ca="1"/>
        <v/>
      </c>
      <c r="BD6" t="str">
        <f ca="1"/>
        <v/>
      </c>
      <c r="BE6" t="str">
        <f ca="1"/>
        <v/>
      </c>
      <c r="BF6" t="str">
        <f ca="1"/>
        <v/>
      </c>
      <c r="BG6" t="str">
        <f ca="1"/>
        <v/>
      </c>
      <c r="BH6" t="str">
        <f ca="1"/>
        <v/>
      </c>
      <c r="BI6" t="str">
        <f ca="1"/>
        <v/>
      </c>
      <c r="BJ6" t="str">
        <f ca="1"/>
        <v/>
      </c>
      <c r="BK6" t="str">
        <f ca="1"/>
        <v/>
      </c>
      <c r="BL6" t="str">
        <f ca="1"/>
        <v/>
      </c>
      <c r="BM6" t="str">
        <f ca="1"/>
        <v/>
      </c>
      <c r="BN6" t="str">
        <f ca="1"/>
        <v/>
      </c>
      <c r="BO6" t="str">
        <f ca="1"/>
        <v/>
      </c>
      <c r="BP6" t="str">
        <f ca="1"/>
        <v/>
      </c>
      <c r="BQ6" t="str">
        <f ca="1"/>
        <v/>
      </c>
      <c r="BR6" t="str">
        <f ca="1"/>
        <v/>
      </c>
      <c r="BS6" t="str">
        <f ca="1"/>
        <v/>
      </c>
      <c r="BT6" t="str">
        <f ca="1"/>
        <v/>
      </c>
      <c r="BU6" t="str">
        <f ca="1"/>
        <v/>
      </c>
      <c r="BV6" t="str">
        <f ca="1"/>
        <v/>
      </c>
      <c r="BW6" t="str">
        <f ca="1"/>
        <v/>
      </c>
      <c r="BX6" t="str">
        <f ca="1"/>
        <v/>
      </c>
      <c r="BY6" t="str">
        <f ca="1"/>
        <v/>
      </c>
      <c r="BZ6" t="str">
        <f ca="1"/>
        <v/>
      </c>
      <c r="CA6" t="str">
        <f ca="1"/>
        <v/>
      </c>
      <c r="CB6" t="str">
        <f ca="1"/>
        <v/>
      </c>
      <c r="CC6" t="str">
        <f ca="1"/>
        <v/>
      </c>
      <c r="CD6" t="str">
        <f ca="1"/>
        <v/>
      </c>
      <c r="CE6" t="str">
        <f ca="1"/>
        <v/>
      </c>
      <c r="CF6" t="str">
        <f ca="1"/>
        <v/>
      </c>
      <c r="CG6" t="str">
        <f ca="1"/>
        <v/>
      </c>
      <c r="CH6" t="str">
        <f ca="1"/>
        <v/>
      </c>
      <c r="CI6" t="str">
        <f ca="1"/>
        <v/>
      </c>
      <c r="CJ6" t="str">
        <f ca="1"/>
        <v/>
      </c>
      <c r="CK6" t="str">
        <f ca="1"/>
        <v/>
      </c>
      <c r="CL6" t="str">
        <f ca="1"/>
        <v/>
      </c>
      <c r="CM6" t="str">
        <f ca="1"/>
        <v/>
      </c>
      <c r="CN6" t="str">
        <f ca="1"/>
        <v/>
      </c>
      <c r="CO6" t="str">
        <f ca="1"/>
        <v/>
      </c>
      <c r="CP6" t="str">
        <f ca="1"/>
        <v/>
      </c>
      <c r="CQ6" t="str">
        <f ca="1"/>
        <v/>
      </c>
      <c r="CR6" t="str">
        <f ca="1"/>
        <v/>
      </c>
      <c r="CS6" t="str">
        <f ca="1"/>
        <v/>
      </c>
      <c r="CT6" t="str">
        <f ca="1"/>
        <v/>
      </c>
      <c r="CU6" t="str">
        <f ca="1"/>
        <v/>
      </c>
      <c r="CV6" t="str">
        <f ca="1"/>
        <v/>
      </c>
      <c r="CW6" t="str">
        <f ca="1"/>
        <v/>
      </c>
      <c r="CX6" t="str">
        <f ca="1"/>
        <v/>
      </c>
      <c r="CY6" t="str">
        <f ca="1"/>
        <v/>
      </c>
      <c r="CZ6" t="str">
        <f ca="1"/>
        <v/>
      </c>
    </row>
    <row r="7" spans="2:104">
      <c r="B7" s="60" t="s">
        <v>1685</v>
      </c>
      <c r="C7" s="68">
        <f>42329</f>
        <v>42329</v>
      </c>
      <c r="E7" s="104">
        <f ca="1"/>
        <v>42695</v>
      </c>
      <c r="F7" s="105">
        <f ca="1"/>
        <v>42876</v>
      </c>
      <c r="G7" s="18">
        <f ca="1"/>
        <v>0.5</v>
      </c>
      <c r="H7" s="105">
        <f ca="1"/>
        <v>42876</v>
      </c>
      <c r="I7" s="105">
        <f ca="1"/>
        <v>42869</v>
      </c>
      <c r="J7" s="18">
        <f ca="1"/>
        <v>1000000</v>
      </c>
      <c r="K7" s="93">
        <f ca="1"/>
        <v>0</v>
      </c>
      <c r="L7" s="18">
        <f ca="1"/>
        <v>1</v>
      </c>
      <c r="M7" s="77">
        <f ca="1"/>
        <v>2.2499999999999999E-2</v>
      </c>
      <c r="N7" s="18">
        <f ca="1"/>
        <v>11250</v>
      </c>
      <c r="O7" s="79">
        <f ca="1"/>
        <v>0</v>
      </c>
      <c r="P7" s="18">
        <f ca="1"/>
        <v>0</v>
      </c>
      <c r="Q7" t="str">
        <f ca="1"/>
        <v/>
      </c>
      <c r="R7" t="str">
        <f ca="1"/>
        <v/>
      </c>
      <c r="S7" t="str">
        <f ca="1"/>
        <v/>
      </c>
      <c r="T7" t="str">
        <f ca="1"/>
        <v/>
      </c>
      <c r="U7" t="str">
        <f ca="1"/>
        <v/>
      </c>
      <c r="V7" t="str">
        <f ca="1"/>
        <v/>
      </c>
      <c r="W7" t="str">
        <f ca="1"/>
        <v/>
      </c>
      <c r="X7" t="str">
        <f ca="1"/>
        <v/>
      </c>
      <c r="Y7" t="str">
        <f ca="1"/>
        <v/>
      </c>
      <c r="Z7" t="str">
        <f ca="1"/>
        <v/>
      </c>
      <c r="AA7" t="str">
        <f ca="1"/>
        <v/>
      </c>
      <c r="AB7" t="str">
        <f ca="1"/>
        <v/>
      </c>
      <c r="AC7" t="str">
        <f ca="1"/>
        <v/>
      </c>
      <c r="AD7" t="str">
        <f ca="1"/>
        <v/>
      </c>
      <c r="AE7" t="str">
        <f ca="1"/>
        <v/>
      </c>
      <c r="AF7" t="str">
        <f ca="1"/>
        <v/>
      </c>
      <c r="AG7" t="str">
        <f ca="1"/>
        <v/>
      </c>
      <c r="AH7" t="str">
        <f ca="1"/>
        <v/>
      </c>
      <c r="AI7" t="str">
        <f ca="1"/>
        <v/>
      </c>
      <c r="AJ7" t="str">
        <f ca="1"/>
        <v/>
      </c>
      <c r="AK7" t="str">
        <f ca="1"/>
        <v/>
      </c>
      <c r="AL7" t="str">
        <f ca="1"/>
        <v/>
      </c>
      <c r="AM7" t="str">
        <f ca="1"/>
        <v/>
      </c>
      <c r="AN7" t="str">
        <f ca="1"/>
        <v/>
      </c>
      <c r="AO7" t="str">
        <f ca="1"/>
        <v/>
      </c>
      <c r="AP7" t="str">
        <f ca="1"/>
        <v/>
      </c>
      <c r="AQ7" t="str">
        <f ca="1"/>
        <v/>
      </c>
      <c r="AR7" t="str">
        <f ca="1"/>
        <v/>
      </c>
      <c r="AS7" t="str">
        <f ca="1"/>
        <v/>
      </c>
      <c r="AT7" t="str">
        <f ca="1"/>
        <v/>
      </c>
      <c r="AU7" t="str">
        <f ca="1"/>
        <v/>
      </c>
      <c r="AV7" t="str">
        <f ca="1"/>
        <v/>
      </c>
      <c r="AW7" t="str">
        <f ca="1"/>
        <v/>
      </c>
      <c r="AX7" t="str">
        <f ca="1"/>
        <v/>
      </c>
      <c r="AY7" t="str">
        <f ca="1"/>
        <v/>
      </c>
      <c r="AZ7" t="str">
        <f ca="1"/>
        <v/>
      </c>
      <c r="BA7" t="str">
        <f ca="1"/>
        <v/>
      </c>
      <c r="BB7" t="str">
        <f ca="1"/>
        <v/>
      </c>
      <c r="BC7" t="str">
        <f ca="1"/>
        <v/>
      </c>
      <c r="BD7" t="str">
        <f ca="1"/>
        <v/>
      </c>
      <c r="BE7" t="str">
        <f ca="1"/>
        <v/>
      </c>
      <c r="BF7" t="str">
        <f ca="1"/>
        <v/>
      </c>
      <c r="BG7" t="str">
        <f ca="1"/>
        <v/>
      </c>
      <c r="BH7" t="str">
        <f ca="1"/>
        <v/>
      </c>
      <c r="BI7" t="str">
        <f ca="1"/>
        <v/>
      </c>
      <c r="BJ7" t="str">
        <f ca="1"/>
        <v/>
      </c>
      <c r="BK7" t="str">
        <f ca="1"/>
        <v/>
      </c>
      <c r="BL7" t="str">
        <f ca="1"/>
        <v/>
      </c>
      <c r="BM7" t="str">
        <f ca="1"/>
        <v/>
      </c>
      <c r="BN7" t="str">
        <f ca="1"/>
        <v/>
      </c>
      <c r="BO7" t="str">
        <f ca="1"/>
        <v/>
      </c>
      <c r="BP7" t="str">
        <f ca="1"/>
        <v/>
      </c>
      <c r="BQ7" t="str">
        <f ca="1"/>
        <v/>
      </c>
      <c r="BR7" t="str">
        <f ca="1"/>
        <v/>
      </c>
      <c r="BS7" t="str">
        <f ca="1"/>
        <v/>
      </c>
      <c r="BT7" t="str">
        <f ca="1"/>
        <v/>
      </c>
      <c r="BU7" t="str">
        <f ca="1"/>
        <v/>
      </c>
      <c r="BV7" t="str">
        <f ca="1"/>
        <v/>
      </c>
      <c r="BW7" t="str">
        <f ca="1"/>
        <v/>
      </c>
      <c r="BX7" t="str">
        <f ca="1"/>
        <v/>
      </c>
      <c r="BY7" t="str">
        <f ca="1"/>
        <v/>
      </c>
      <c r="BZ7" t="str">
        <f ca="1"/>
        <v/>
      </c>
      <c r="CA7" t="str">
        <f ca="1"/>
        <v/>
      </c>
      <c r="CB7" t="str">
        <f ca="1"/>
        <v/>
      </c>
      <c r="CC7" t="str">
        <f ca="1"/>
        <v/>
      </c>
      <c r="CD7" t="str">
        <f ca="1"/>
        <v/>
      </c>
      <c r="CE7" t="str">
        <f ca="1"/>
        <v/>
      </c>
      <c r="CF7" t="str">
        <f ca="1"/>
        <v/>
      </c>
      <c r="CG7" t="str">
        <f ca="1"/>
        <v/>
      </c>
      <c r="CH7" t="str">
        <f ca="1"/>
        <v/>
      </c>
      <c r="CI7" t="str">
        <f ca="1"/>
        <v/>
      </c>
      <c r="CJ7" t="str">
        <f ca="1"/>
        <v/>
      </c>
      <c r="CK7" t="str">
        <f ca="1"/>
        <v/>
      </c>
      <c r="CL7" t="str">
        <f ca="1"/>
        <v/>
      </c>
      <c r="CM7" t="str">
        <f ca="1"/>
        <v/>
      </c>
      <c r="CN7" t="str">
        <f ca="1"/>
        <v/>
      </c>
      <c r="CO7" t="str">
        <f ca="1"/>
        <v/>
      </c>
      <c r="CP7" t="str">
        <f ca="1"/>
        <v/>
      </c>
      <c r="CQ7" t="str">
        <f ca="1"/>
        <v/>
      </c>
      <c r="CR7" t="str">
        <f ca="1"/>
        <v/>
      </c>
      <c r="CS7" t="str">
        <f ca="1"/>
        <v/>
      </c>
      <c r="CT7" t="str">
        <f ca="1"/>
        <v/>
      </c>
      <c r="CU7" t="str">
        <f ca="1"/>
        <v/>
      </c>
      <c r="CV7" t="str">
        <f ca="1"/>
        <v/>
      </c>
      <c r="CW7" t="str">
        <f ca="1"/>
        <v/>
      </c>
      <c r="CX7" t="str">
        <f ca="1"/>
        <v/>
      </c>
      <c r="CY7" t="str">
        <f ca="1"/>
        <v/>
      </c>
      <c r="CZ7" t="str">
        <f ca="1"/>
        <v/>
      </c>
    </row>
    <row r="8" spans="2:104">
      <c r="B8" s="61" t="s">
        <v>1686</v>
      </c>
      <c r="C8" s="69" t="s">
        <v>1553</v>
      </c>
      <c r="E8" s="104">
        <f ca="1"/>
        <v>42876</v>
      </c>
      <c r="F8" s="105">
        <f ca="1"/>
        <v>43060</v>
      </c>
      <c r="G8" s="18">
        <f ca="1"/>
        <v>0.5</v>
      </c>
      <c r="H8" s="105">
        <f ca="1"/>
        <v>43060</v>
      </c>
      <c r="I8" s="105">
        <f ca="1"/>
        <v>43053</v>
      </c>
      <c r="J8" s="18">
        <f ca="1"/>
        <v>1000000</v>
      </c>
      <c r="K8" s="93">
        <f ca="1"/>
        <v>0</v>
      </c>
      <c r="L8" s="18">
        <f ca="1"/>
        <v>1</v>
      </c>
      <c r="M8" s="77">
        <f ca="1"/>
        <v>2.2499999999999999E-2</v>
      </c>
      <c r="N8" s="18">
        <f ca="1"/>
        <v>11250</v>
      </c>
      <c r="O8" s="79">
        <f ca="1"/>
        <v>0</v>
      </c>
      <c r="P8" s="18">
        <f ca="1"/>
        <v>0</v>
      </c>
      <c r="Q8" t="str">
        <f ca="1"/>
        <v/>
      </c>
      <c r="R8" t="str">
        <f ca="1"/>
        <v/>
      </c>
      <c r="S8" t="str">
        <f ca="1"/>
        <v/>
      </c>
      <c r="T8" t="str">
        <f ca="1"/>
        <v/>
      </c>
      <c r="U8" t="str">
        <f ca="1"/>
        <v/>
      </c>
      <c r="V8" t="str">
        <f ca="1"/>
        <v/>
      </c>
      <c r="W8" t="str">
        <f ca="1"/>
        <v/>
      </c>
      <c r="X8" t="str">
        <f ca="1"/>
        <v/>
      </c>
      <c r="Y8" t="str">
        <f ca="1"/>
        <v/>
      </c>
      <c r="Z8" t="str">
        <f ca="1"/>
        <v/>
      </c>
      <c r="AA8" t="str">
        <f ca="1"/>
        <v/>
      </c>
      <c r="AB8" t="str">
        <f ca="1"/>
        <v/>
      </c>
      <c r="AC8" t="str">
        <f ca="1"/>
        <v/>
      </c>
      <c r="AD8" t="str">
        <f ca="1"/>
        <v/>
      </c>
      <c r="AE8" t="str">
        <f ca="1"/>
        <v/>
      </c>
      <c r="AF8" t="str">
        <f ca="1"/>
        <v/>
      </c>
      <c r="AG8" t="str">
        <f ca="1"/>
        <v/>
      </c>
      <c r="AH8" t="str">
        <f ca="1"/>
        <v/>
      </c>
      <c r="AI8" t="str">
        <f ca="1"/>
        <v/>
      </c>
      <c r="AJ8" t="str">
        <f ca="1"/>
        <v/>
      </c>
      <c r="AK8" t="str">
        <f ca="1"/>
        <v/>
      </c>
      <c r="AL8" t="str">
        <f ca="1"/>
        <v/>
      </c>
      <c r="AM8" t="str">
        <f ca="1"/>
        <v/>
      </c>
      <c r="AN8" t="str">
        <f ca="1"/>
        <v/>
      </c>
      <c r="AO8" t="str">
        <f ca="1"/>
        <v/>
      </c>
      <c r="AP8" t="str">
        <f ca="1"/>
        <v/>
      </c>
      <c r="AQ8" t="str">
        <f ca="1"/>
        <v/>
      </c>
      <c r="AR8" t="str">
        <f ca="1"/>
        <v/>
      </c>
      <c r="AS8" t="str">
        <f ca="1"/>
        <v/>
      </c>
      <c r="AT8" t="str">
        <f ca="1"/>
        <v/>
      </c>
      <c r="AU8" t="str">
        <f ca="1"/>
        <v/>
      </c>
      <c r="AV8" t="str">
        <f ca="1"/>
        <v/>
      </c>
      <c r="AW8" t="str">
        <f ca="1"/>
        <v/>
      </c>
      <c r="AX8" t="str">
        <f ca="1"/>
        <v/>
      </c>
      <c r="AY8" t="str">
        <f ca="1"/>
        <v/>
      </c>
      <c r="AZ8" t="str">
        <f ca="1"/>
        <v/>
      </c>
      <c r="BA8" t="str">
        <f ca="1"/>
        <v/>
      </c>
      <c r="BB8" t="str">
        <f ca="1"/>
        <v/>
      </c>
      <c r="BC8" t="str">
        <f ca="1"/>
        <v/>
      </c>
      <c r="BD8" t="str">
        <f ca="1"/>
        <v/>
      </c>
      <c r="BE8" t="str">
        <f ca="1"/>
        <v/>
      </c>
      <c r="BF8" t="str">
        <f ca="1"/>
        <v/>
      </c>
      <c r="BG8" t="str">
        <f ca="1"/>
        <v/>
      </c>
      <c r="BH8" t="str">
        <f ca="1"/>
        <v/>
      </c>
      <c r="BI8" t="str">
        <f ca="1"/>
        <v/>
      </c>
      <c r="BJ8" t="str">
        <f ca="1"/>
        <v/>
      </c>
      <c r="BK8" t="str">
        <f ca="1"/>
        <v/>
      </c>
      <c r="BL8" t="str">
        <f ca="1"/>
        <v/>
      </c>
      <c r="BM8" t="str">
        <f ca="1"/>
        <v/>
      </c>
      <c r="BN8" t="str">
        <f ca="1"/>
        <v/>
      </c>
      <c r="BO8" t="str">
        <f ca="1"/>
        <v/>
      </c>
      <c r="BP8" t="str">
        <f ca="1"/>
        <v/>
      </c>
      <c r="BQ8" t="str">
        <f ca="1"/>
        <v/>
      </c>
      <c r="BR8" t="str">
        <f ca="1"/>
        <v/>
      </c>
      <c r="BS8" t="str">
        <f ca="1"/>
        <v/>
      </c>
      <c r="BT8" t="str">
        <f ca="1"/>
        <v/>
      </c>
      <c r="BU8" t="str">
        <f ca="1"/>
        <v/>
      </c>
      <c r="BV8" t="str">
        <f ca="1"/>
        <v/>
      </c>
      <c r="BW8" t="str">
        <f ca="1"/>
        <v/>
      </c>
      <c r="BX8" t="str">
        <f ca="1"/>
        <v/>
      </c>
      <c r="BY8" t="str">
        <f ca="1"/>
        <v/>
      </c>
      <c r="BZ8" t="str">
        <f ca="1"/>
        <v/>
      </c>
      <c r="CA8" t="str">
        <f ca="1"/>
        <v/>
      </c>
      <c r="CB8" t="str">
        <f ca="1"/>
        <v/>
      </c>
      <c r="CC8" t="str">
        <f ca="1"/>
        <v/>
      </c>
      <c r="CD8" t="str">
        <f ca="1"/>
        <v/>
      </c>
      <c r="CE8" t="str">
        <f ca="1"/>
        <v/>
      </c>
      <c r="CF8" t="str">
        <f ca="1"/>
        <v/>
      </c>
      <c r="CG8" t="str">
        <f ca="1"/>
        <v/>
      </c>
      <c r="CH8" t="str">
        <f ca="1"/>
        <v/>
      </c>
      <c r="CI8" t="str">
        <f ca="1"/>
        <v/>
      </c>
      <c r="CJ8" t="str">
        <f ca="1"/>
        <v/>
      </c>
      <c r="CK8" t="str">
        <f ca="1"/>
        <v/>
      </c>
      <c r="CL8" t="str">
        <f ca="1"/>
        <v/>
      </c>
      <c r="CM8" t="str">
        <f ca="1"/>
        <v/>
      </c>
      <c r="CN8" t="str">
        <f ca="1"/>
        <v/>
      </c>
      <c r="CO8" t="str">
        <f ca="1"/>
        <v/>
      </c>
      <c r="CP8" t="str">
        <f ca="1"/>
        <v/>
      </c>
      <c r="CQ8" t="str">
        <f ca="1"/>
        <v/>
      </c>
      <c r="CR8" t="str">
        <f ca="1"/>
        <v/>
      </c>
      <c r="CS8" t="str">
        <f ca="1"/>
        <v/>
      </c>
      <c r="CT8" t="str">
        <f ca="1"/>
        <v/>
      </c>
      <c r="CU8" t="str">
        <f ca="1"/>
        <v/>
      </c>
      <c r="CV8" t="str">
        <f ca="1"/>
        <v/>
      </c>
      <c r="CW8" t="str">
        <f ca="1"/>
        <v/>
      </c>
      <c r="CX8" t="str">
        <f ca="1"/>
        <v/>
      </c>
      <c r="CY8" t="str">
        <f ca="1"/>
        <v/>
      </c>
      <c r="CZ8" t="str">
        <f ca="1"/>
        <v/>
      </c>
    </row>
    <row r="9" spans="2:104">
      <c r="B9" s="61" t="s">
        <v>1687</v>
      </c>
      <c r="C9" s="69" t="s">
        <v>1669</v>
      </c>
      <c r="E9" s="104">
        <f ca="1"/>
        <v>43060</v>
      </c>
      <c r="F9" s="105">
        <f ca="1"/>
        <v>43241</v>
      </c>
      <c r="G9" s="18">
        <f ca="1"/>
        <v>0.5</v>
      </c>
      <c r="H9" s="105">
        <f ca="1"/>
        <v>43241</v>
      </c>
      <c r="I9" s="105">
        <f ca="1"/>
        <v>43234</v>
      </c>
      <c r="J9" s="18">
        <f ca="1"/>
        <v>1000000</v>
      </c>
      <c r="K9" s="93">
        <f ca="1"/>
        <v>0</v>
      </c>
      <c r="L9" s="18">
        <f ca="1"/>
        <v>1</v>
      </c>
      <c r="M9" s="77">
        <f ca="1"/>
        <v>2.2499999999999999E-2</v>
      </c>
      <c r="N9" s="18">
        <f ca="1"/>
        <v>11250</v>
      </c>
      <c r="O9" s="79">
        <f ca="1"/>
        <v>0.99505957752036422</v>
      </c>
      <c r="P9" s="18">
        <f ca="1"/>
        <v>11194.420247104097</v>
      </c>
      <c r="Q9" t="str">
        <f ca="1"/>
        <v/>
      </c>
      <c r="R9" t="str">
        <f ca="1"/>
        <v/>
      </c>
      <c r="S9" t="str">
        <f ca="1"/>
        <v/>
      </c>
      <c r="T9" t="str">
        <f ca="1"/>
        <v/>
      </c>
      <c r="U9" t="str">
        <f ca="1"/>
        <v/>
      </c>
      <c r="V9" t="str">
        <f ca="1"/>
        <v/>
      </c>
      <c r="W9" t="str">
        <f ca="1"/>
        <v/>
      </c>
      <c r="X9" t="str">
        <f ca="1"/>
        <v/>
      </c>
      <c r="Y9" t="str">
        <f ca="1"/>
        <v/>
      </c>
      <c r="Z9" t="str">
        <f ca="1"/>
        <v/>
      </c>
      <c r="AA9" t="str">
        <f ca="1"/>
        <v/>
      </c>
      <c r="AB9" t="str">
        <f ca="1"/>
        <v/>
      </c>
      <c r="AC9" t="str">
        <f ca="1"/>
        <v/>
      </c>
      <c r="AD9" t="str">
        <f ca="1"/>
        <v/>
      </c>
      <c r="AE9" t="str">
        <f ca="1"/>
        <v/>
      </c>
      <c r="AF9" t="str">
        <f ca="1"/>
        <v/>
      </c>
      <c r="AG9" t="str">
        <f ca="1"/>
        <v/>
      </c>
      <c r="AH9" t="str">
        <f ca="1"/>
        <v/>
      </c>
      <c r="AI9" t="str">
        <f ca="1"/>
        <v/>
      </c>
      <c r="AJ9" t="str">
        <f ca="1"/>
        <v/>
      </c>
      <c r="AK9" t="str">
        <f ca="1"/>
        <v/>
      </c>
      <c r="AL9" t="str">
        <f ca="1"/>
        <v/>
      </c>
      <c r="AM9" t="str">
        <f ca="1"/>
        <v/>
      </c>
      <c r="AN9" t="str">
        <f ca="1"/>
        <v/>
      </c>
      <c r="AO9" t="str">
        <f ca="1"/>
        <v/>
      </c>
      <c r="AP9" t="str">
        <f ca="1"/>
        <v/>
      </c>
      <c r="AQ9" t="str">
        <f ca="1"/>
        <v/>
      </c>
      <c r="AR9" t="str">
        <f ca="1"/>
        <v/>
      </c>
      <c r="AS9" t="str">
        <f ca="1"/>
        <v/>
      </c>
      <c r="AT9" t="str">
        <f ca="1"/>
        <v/>
      </c>
      <c r="AU9" t="str">
        <f ca="1"/>
        <v/>
      </c>
      <c r="AV9" t="str">
        <f ca="1"/>
        <v/>
      </c>
      <c r="AW9" t="str">
        <f ca="1"/>
        <v/>
      </c>
      <c r="AX9" t="str">
        <f ca="1"/>
        <v/>
      </c>
      <c r="AY9" t="str">
        <f ca="1"/>
        <v/>
      </c>
      <c r="AZ9" t="str">
        <f ca="1"/>
        <v/>
      </c>
      <c r="BA9" t="str">
        <f ca="1"/>
        <v/>
      </c>
      <c r="BB9" t="str">
        <f ca="1"/>
        <v/>
      </c>
      <c r="BC9" t="str">
        <f ca="1"/>
        <v/>
      </c>
      <c r="BD9" t="str">
        <f ca="1"/>
        <v/>
      </c>
      <c r="BE9" t="str">
        <f ca="1"/>
        <v/>
      </c>
      <c r="BF9" t="str">
        <f ca="1"/>
        <v/>
      </c>
      <c r="BG9" t="str">
        <f ca="1"/>
        <v/>
      </c>
      <c r="BH9" t="str">
        <f ca="1"/>
        <v/>
      </c>
      <c r="BI9" t="str">
        <f ca="1"/>
        <v/>
      </c>
      <c r="BJ9" t="str">
        <f ca="1"/>
        <v/>
      </c>
      <c r="BK9" t="str">
        <f ca="1"/>
        <v/>
      </c>
      <c r="BL9" t="str">
        <f ca="1"/>
        <v/>
      </c>
      <c r="BM9" t="str">
        <f ca="1"/>
        <v/>
      </c>
      <c r="BN9" t="str">
        <f ca="1"/>
        <v/>
      </c>
      <c r="BO9" t="str">
        <f ca="1"/>
        <v/>
      </c>
      <c r="BP9" t="str">
        <f ca="1"/>
        <v/>
      </c>
      <c r="BQ9" t="str">
        <f ca="1"/>
        <v/>
      </c>
      <c r="BR9" t="str">
        <f ca="1"/>
        <v/>
      </c>
      <c r="BS9" t="str">
        <f ca="1"/>
        <v/>
      </c>
      <c r="BT9" t="str">
        <f ca="1"/>
        <v/>
      </c>
      <c r="BU9" t="str">
        <f ca="1"/>
        <v/>
      </c>
      <c r="BV9" t="str">
        <f ca="1"/>
        <v/>
      </c>
      <c r="BW9" t="str">
        <f ca="1"/>
        <v/>
      </c>
      <c r="BX9" t="str">
        <f ca="1"/>
        <v/>
      </c>
      <c r="BY9" t="str">
        <f ca="1"/>
        <v/>
      </c>
      <c r="BZ9" t="str">
        <f ca="1"/>
        <v/>
      </c>
      <c r="CA9" t="str">
        <f ca="1"/>
        <v/>
      </c>
      <c r="CB9" t="str">
        <f ca="1"/>
        <v/>
      </c>
      <c r="CC9" t="str">
        <f ca="1"/>
        <v/>
      </c>
      <c r="CD9" t="str">
        <f ca="1"/>
        <v/>
      </c>
      <c r="CE9" t="str">
        <f ca="1"/>
        <v/>
      </c>
      <c r="CF9" t="str">
        <f ca="1"/>
        <v/>
      </c>
      <c r="CG9" t="str">
        <f ca="1"/>
        <v/>
      </c>
      <c r="CH9" t="str">
        <f ca="1"/>
        <v/>
      </c>
      <c r="CI9" t="str">
        <f ca="1"/>
        <v/>
      </c>
      <c r="CJ9" t="str">
        <f ca="1"/>
        <v/>
      </c>
      <c r="CK9" t="str">
        <f ca="1"/>
        <v/>
      </c>
      <c r="CL9" t="str">
        <f ca="1"/>
        <v/>
      </c>
      <c r="CM9" t="str">
        <f ca="1"/>
        <v/>
      </c>
      <c r="CN9" t="str">
        <f ca="1"/>
        <v/>
      </c>
      <c r="CO9" t="str">
        <f ca="1"/>
        <v/>
      </c>
      <c r="CP9" t="str">
        <f ca="1"/>
        <v/>
      </c>
      <c r="CQ9" t="str">
        <f ca="1"/>
        <v/>
      </c>
      <c r="CR9" t="str">
        <f ca="1"/>
        <v/>
      </c>
      <c r="CS9" t="str">
        <f ca="1"/>
        <v/>
      </c>
      <c r="CT9" t="str">
        <f ca="1"/>
        <v/>
      </c>
      <c r="CU9" t="str">
        <f ca="1"/>
        <v/>
      </c>
      <c r="CV9" t="str">
        <f ca="1"/>
        <v/>
      </c>
      <c r="CW9" t="str">
        <f ca="1"/>
        <v/>
      </c>
      <c r="CX9" t="str">
        <f ca="1"/>
        <v/>
      </c>
      <c r="CY9" t="str">
        <f ca="1"/>
        <v/>
      </c>
      <c r="CZ9" t="str">
        <f ca="1"/>
        <v/>
      </c>
    </row>
    <row r="10" spans="2:104">
      <c r="B10" s="61" t="s">
        <v>1</v>
      </c>
      <c r="C10" s="69" t="s">
        <v>1637</v>
      </c>
      <c r="E10" s="104">
        <f ca="1"/>
        <v>43241</v>
      </c>
      <c r="F10" s="105">
        <f ca="1"/>
        <v>43425</v>
      </c>
      <c r="G10" s="18">
        <f ca="1"/>
        <v>0.5</v>
      </c>
      <c r="H10" s="105">
        <f ca="1"/>
        <v>43425</v>
      </c>
      <c r="I10" s="105">
        <f ca="1"/>
        <v>43418</v>
      </c>
      <c r="J10" s="18">
        <f ca="1"/>
        <v>1000000</v>
      </c>
      <c r="K10" s="93">
        <f ca="1"/>
        <v>0</v>
      </c>
      <c r="L10" s="18">
        <f ca="1"/>
        <v>1</v>
      </c>
      <c r="M10" s="77">
        <f ca="1"/>
        <v>2.2499999999999999E-2</v>
      </c>
      <c r="N10" s="18">
        <f ca="1"/>
        <v>11250</v>
      </c>
      <c r="O10" s="79">
        <f ca="1"/>
        <v>0.98163573640784774</v>
      </c>
      <c r="P10" s="18">
        <f ca="1"/>
        <v>11043.402034588287</v>
      </c>
      <c r="Q10" t="str">
        <f ca="1"/>
        <v/>
      </c>
      <c r="R10" t="str">
        <f ca="1"/>
        <v/>
      </c>
      <c r="S10" t="str">
        <f ca="1"/>
        <v/>
      </c>
      <c r="T10" t="str">
        <f ca="1"/>
        <v/>
      </c>
      <c r="U10" t="str">
        <f ca="1"/>
        <v/>
      </c>
      <c r="V10" t="str">
        <f ca="1"/>
        <v/>
      </c>
      <c r="W10" t="str">
        <f ca="1"/>
        <v/>
      </c>
      <c r="X10" t="str">
        <f ca="1"/>
        <v/>
      </c>
      <c r="Y10" t="str">
        <f ca="1"/>
        <v/>
      </c>
      <c r="Z10" t="str">
        <f ca="1"/>
        <v/>
      </c>
      <c r="AA10" t="str">
        <f ca="1"/>
        <v/>
      </c>
      <c r="AB10" t="str">
        <f ca="1"/>
        <v/>
      </c>
      <c r="AC10" t="str">
        <f ca="1"/>
        <v/>
      </c>
      <c r="AD10" t="str">
        <f ca="1"/>
        <v/>
      </c>
      <c r="AE10" t="str">
        <f ca="1"/>
        <v/>
      </c>
      <c r="AF10" t="str">
        <f ca="1"/>
        <v/>
      </c>
      <c r="AG10" t="str">
        <f ca="1"/>
        <v/>
      </c>
      <c r="AH10" t="str">
        <f ca="1"/>
        <v/>
      </c>
      <c r="AI10" t="str">
        <f ca="1"/>
        <v/>
      </c>
      <c r="AJ10" t="str">
        <f ca="1"/>
        <v/>
      </c>
      <c r="AK10" t="str">
        <f ca="1"/>
        <v/>
      </c>
      <c r="AL10" t="str">
        <f ca="1"/>
        <v/>
      </c>
      <c r="AM10" t="str">
        <f ca="1"/>
        <v/>
      </c>
      <c r="AN10" t="str">
        <f ca="1"/>
        <v/>
      </c>
      <c r="AO10" t="str">
        <f ca="1"/>
        <v/>
      </c>
      <c r="AP10" t="str">
        <f ca="1"/>
        <v/>
      </c>
      <c r="AQ10" t="str">
        <f ca="1"/>
        <v/>
      </c>
      <c r="AR10" t="str">
        <f ca="1"/>
        <v/>
      </c>
      <c r="AS10" t="str">
        <f ca="1"/>
        <v/>
      </c>
      <c r="AT10" t="str">
        <f ca="1"/>
        <v/>
      </c>
      <c r="AU10" t="str">
        <f ca="1"/>
        <v/>
      </c>
      <c r="AV10" t="str">
        <f ca="1"/>
        <v/>
      </c>
      <c r="AW10" t="str">
        <f ca="1"/>
        <v/>
      </c>
      <c r="AX10" t="str">
        <f ca="1"/>
        <v/>
      </c>
      <c r="AY10" t="str">
        <f ca="1"/>
        <v/>
      </c>
      <c r="AZ10" t="str">
        <f ca="1"/>
        <v/>
      </c>
      <c r="BA10" t="str">
        <f ca="1"/>
        <v/>
      </c>
      <c r="BB10" t="str">
        <f ca="1"/>
        <v/>
      </c>
      <c r="BC10" t="str">
        <f ca="1"/>
        <v/>
      </c>
      <c r="BD10" t="str">
        <f ca="1"/>
        <v/>
      </c>
      <c r="BE10" t="str">
        <f ca="1"/>
        <v/>
      </c>
      <c r="BF10" t="str">
        <f ca="1"/>
        <v/>
      </c>
      <c r="BG10" t="str">
        <f ca="1"/>
        <v/>
      </c>
      <c r="BH10" t="str">
        <f ca="1"/>
        <v/>
      </c>
      <c r="BI10" t="str">
        <f ca="1"/>
        <v/>
      </c>
      <c r="BJ10" t="str">
        <f ca="1"/>
        <v/>
      </c>
      <c r="BK10" t="str">
        <f ca="1"/>
        <v/>
      </c>
      <c r="BL10" t="str">
        <f ca="1"/>
        <v/>
      </c>
      <c r="BM10" t="str">
        <f ca="1"/>
        <v/>
      </c>
      <c r="BN10" t="str">
        <f ca="1"/>
        <v/>
      </c>
      <c r="BO10" t="str">
        <f ca="1"/>
        <v/>
      </c>
      <c r="BP10" t="str">
        <f ca="1"/>
        <v/>
      </c>
      <c r="BQ10" t="str">
        <f ca="1"/>
        <v/>
      </c>
      <c r="BR10" t="str">
        <f ca="1"/>
        <v/>
      </c>
      <c r="BS10" t="str">
        <f ca="1"/>
        <v/>
      </c>
      <c r="BT10" t="str">
        <f ca="1"/>
        <v/>
      </c>
      <c r="BU10" t="str">
        <f ca="1"/>
        <v/>
      </c>
      <c r="BV10" t="str">
        <f ca="1"/>
        <v/>
      </c>
      <c r="BW10" t="str">
        <f ca="1"/>
        <v/>
      </c>
      <c r="BX10" t="str">
        <f ca="1"/>
        <v/>
      </c>
      <c r="BY10" t="str">
        <f ca="1"/>
        <v/>
      </c>
      <c r="BZ10" t="str">
        <f ca="1"/>
        <v/>
      </c>
      <c r="CA10" t="str">
        <f ca="1"/>
        <v/>
      </c>
      <c r="CB10" t="str">
        <f ca="1"/>
        <v/>
      </c>
      <c r="CC10" t="str">
        <f ca="1"/>
        <v/>
      </c>
      <c r="CD10" t="str">
        <f ca="1"/>
        <v/>
      </c>
      <c r="CE10" t="str">
        <f ca="1"/>
        <v/>
      </c>
      <c r="CF10" t="str">
        <f ca="1"/>
        <v/>
      </c>
      <c r="CG10" t="str">
        <f ca="1"/>
        <v/>
      </c>
      <c r="CH10" t="str">
        <f ca="1"/>
        <v/>
      </c>
      <c r="CI10" t="str">
        <f ca="1"/>
        <v/>
      </c>
      <c r="CJ10" t="str">
        <f ca="1"/>
        <v/>
      </c>
      <c r="CK10" t="str">
        <f ca="1"/>
        <v/>
      </c>
      <c r="CL10" t="str">
        <f ca="1"/>
        <v/>
      </c>
      <c r="CM10" t="str">
        <f ca="1"/>
        <v/>
      </c>
      <c r="CN10" t="str">
        <f ca="1"/>
        <v/>
      </c>
      <c r="CO10" t="str">
        <f ca="1"/>
        <v/>
      </c>
      <c r="CP10" t="str">
        <f ca="1"/>
        <v/>
      </c>
      <c r="CQ10" t="str">
        <f ca="1"/>
        <v/>
      </c>
      <c r="CR10" t="str">
        <f ca="1"/>
        <v/>
      </c>
      <c r="CS10" t="str">
        <f ca="1"/>
        <v/>
      </c>
      <c r="CT10" t="str">
        <f ca="1"/>
        <v/>
      </c>
      <c r="CU10" t="str">
        <f ca="1"/>
        <v/>
      </c>
      <c r="CV10" t="str">
        <f ca="1"/>
        <v/>
      </c>
      <c r="CW10" t="str">
        <f ca="1"/>
        <v/>
      </c>
      <c r="CX10" t="str">
        <f ca="1"/>
        <v/>
      </c>
      <c r="CY10" t="str">
        <f ca="1"/>
        <v/>
      </c>
      <c r="CZ10" t="str">
        <f ca="1"/>
        <v/>
      </c>
    </row>
    <row r="11" spans="2:104">
      <c r="B11" s="61" t="s">
        <v>1688</v>
      </c>
      <c r="C11" s="69" t="s">
        <v>1668</v>
      </c>
      <c r="E11" s="104">
        <f ca="1"/>
        <v>43425</v>
      </c>
      <c r="F11" s="105">
        <f ca="1"/>
        <v>43606</v>
      </c>
      <c r="G11" s="18">
        <f ca="1"/>
        <v>0.5</v>
      </c>
      <c r="H11" s="105">
        <f ca="1"/>
        <v>43606</v>
      </c>
      <c r="I11" s="105">
        <f ca="1"/>
        <v>43599</v>
      </c>
      <c r="J11" s="18">
        <f ca="1"/>
        <v>1000000</v>
      </c>
      <c r="K11" s="93">
        <f ca="1"/>
        <v>0</v>
      </c>
      <c r="L11" s="18">
        <f ca="1"/>
        <v>1</v>
      </c>
      <c r="M11" s="77">
        <f ca="1"/>
        <v>2.2499999999999999E-2</v>
      </c>
      <c r="N11" s="18">
        <f ca="1"/>
        <v>11250</v>
      </c>
      <c r="O11" s="79">
        <f ca="1"/>
        <v>0.96839298948736263</v>
      </c>
      <c r="P11" s="18">
        <f ca="1"/>
        <v>10894.42113173283</v>
      </c>
      <c r="Q11" t="str">
        <f ca="1"/>
        <v/>
      </c>
      <c r="R11" t="str">
        <f ca="1"/>
        <v/>
      </c>
      <c r="S11" t="str">
        <f ca="1"/>
        <v/>
      </c>
      <c r="T11" t="str">
        <f ca="1"/>
        <v/>
      </c>
      <c r="U11" t="str">
        <f ca="1"/>
        <v/>
      </c>
      <c r="V11" t="str">
        <f ca="1"/>
        <v/>
      </c>
      <c r="W11" t="str">
        <f ca="1"/>
        <v/>
      </c>
      <c r="X11" t="str">
        <f ca="1"/>
        <v/>
      </c>
      <c r="Y11" t="str">
        <f ca="1"/>
        <v/>
      </c>
      <c r="Z11" t="str">
        <f ca="1"/>
        <v/>
      </c>
      <c r="AA11" t="str">
        <f ca="1"/>
        <v/>
      </c>
      <c r="AB11" t="str">
        <f ca="1"/>
        <v/>
      </c>
      <c r="AC11" t="str">
        <f ca="1"/>
        <v/>
      </c>
      <c r="AD11" t="str">
        <f ca="1"/>
        <v/>
      </c>
      <c r="AE11" t="str">
        <f ca="1"/>
        <v/>
      </c>
      <c r="AF11" t="str">
        <f ca="1"/>
        <v/>
      </c>
      <c r="AG11" t="str">
        <f ca="1"/>
        <v/>
      </c>
      <c r="AH11" t="str">
        <f ca="1"/>
        <v/>
      </c>
      <c r="AI11" t="str">
        <f ca="1"/>
        <v/>
      </c>
      <c r="AJ11" t="str">
        <f ca="1"/>
        <v/>
      </c>
      <c r="AK11" t="str">
        <f ca="1"/>
        <v/>
      </c>
      <c r="AL11" t="str">
        <f ca="1"/>
        <v/>
      </c>
      <c r="AM11" t="str">
        <f ca="1"/>
        <v/>
      </c>
      <c r="AN11" t="str">
        <f ca="1"/>
        <v/>
      </c>
      <c r="AO11" t="str">
        <f ca="1"/>
        <v/>
      </c>
      <c r="AP11" t="str">
        <f ca="1"/>
        <v/>
      </c>
      <c r="AQ11" t="str">
        <f ca="1"/>
        <v/>
      </c>
      <c r="AR11" t="str">
        <f ca="1"/>
        <v/>
      </c>
      <c r="AS11" t="str">
        <f ca="1"/>
        <v/>
      </c>
      <c r="AT11" t="str">
        <f ca="1"/>
        <v/>
      </c>
      <c r="AU11" t="str">
        <f ca="1"/>
        <v/>
      </c>
      <c r="AV11" t="str">
        <f ca="1"/>
        <v/>
      </c>
      <c r="AW11" t="str">
        <f ca="1"/>
        <v/>
      </c>
      <c r="AX11" t="str">
        <f ca="1"/>
        <v/>
      </c>
      <c r="AY11" t="str">
        <f ca="1"/>
        <v/>
      </c>
      <c r="AZ11" t="str">
        <f ca="1"/>
        <v/>
      </c>
      <c r="BA11" t="str">
        <f ca="1"/>
        <v/>
      </c>
      <c r="BB11" t="str">
        <f ca="1"/>
        <v/>
      </c>
      <c r="BC11" t="str">
        <f ca="1"/>
        <v/>
      </c>
      <c r="BD11" t="str">
        <f ca="1"/>
        <v/>
      </c>
      <c r="BE11" t="str">
        <f ca="1"/>
        <v/>
      </c>
      <c r="BF11" t="str">
        <f ca="1"/>
        <v/>
      </c>
      <c r="BG11" t="str">
        <f ca="1"/>
        <v/>
      </c>
      <c r="BH11" t="str">
        <f ca="1"/>
        <v/>
      </c>
      <c r="BI11" t="str">
        <f ca="1"/>
        <v/>
      </c>
      <c r="BJ11" t="str">
        <f ca="1"/>
        <v/>
      </c>
      <c r="BK11" t="str">
        <f ca="1"/>
        <v/>
      </c>
      <c r="BL11" t="str">
        <f ca="1"/>
        <v/>
      </c>
      <c r="BM11" t="str">
        <f ca="1"/>
        <v/>
      </c>
      <c r="BN11" t="str">
        <f ca="1"/>
        <v/>
      </c>
      <c r="BO11" t="str">
        <f ca="1"/>
        <v/>
      </c>
      <c r="BP11" t="str">
        <f ca="1"/>
        <v/>
      </c>
      <c r="BQ11" t="str">
        <f ca="1"/>
        <v/>
      </c>
      <c r="BR11" t="str">
        <f ca="1"/>
        <v/>
      </c>
      <c r="BS11" t="str">
        <f ca="1"/>
        <v/>
      </c>
      <c r="BT11" t="str">
        <f ca="1"/>
        <v/>
      </c>
      <c r="BU11" t="str">
        <f ca="1"/>
        <v/>
      </c>
      <c r="BV11" t="str">
        <f ca="1"/>
        <v/>
      </c>
      <c r="BW11" t="str">
        <f ca="1"/>
        <v/>
      </c>
      <c r="BX11" t="str">
        <f ca="1"/>
        <v/>
      </c>
      <c r="BY11" t="str">
        <f ca="1"/>
        <v/>
      </c>
      <c r="BZ11" t="str">
        <f ca="1"/>
        <v/>
      </c>
      <c r="CA11" t="str">
        <f ca="1"/>
        <v/>
      </c>
      <c r="CB11" t="str">
        <f ca="1"/>
        <v/>
      </c>
      <c r="CC11" t="str">
        <f ca="1"/>
        <v/>
      </c>
      <c r="CD11" t="str">
        <f ca="1"/>
        <v/>
      </c>
      <c r="CE11" t="str">
        <f ca="1"/>
        <v/>
      </c>
      <c r="CF11" t="str">
        <f ca="1"/>
        <v/>
      </c>
      <c r="CG11" t="str">
        <f ca="1"/>
        <v/>
      </c>
      <c r="CH11" t="str">
        <f ca="1"/>
        <v/>
      </c>
      <c r="CI11" t="str">
        <f ca="1"/>
        <v/>
      </c>
      <c r="CJ11" t="str">
        <f ca="1"/>
        <v/>
      </c>
      <c r="CK11" t="str">
        <f ca="1"/>
        <v/>
      </c>
      <c r="CL11" t="str">
        <f ca="1"/>
        <v/>
      </c>
      <c r="CM11" t="str">
        <f ca="1"/>
        <v/>
      </c>
      <c r="CN11" t="str">
        <f ca="1"/>
        <v/>
      </c>
      <c r="CO11" t="str">
        <f ca="1"/>
        <v/>
      </c>
      <c r="CP11" t="str">
        <f ca="1"/>
        <v/>
      </c>
      <c r="CQ11" t="str">
        <f ca="1"/>
        <v/>
      </c>
      <c r="CR11" t="str">
        <f ca="1"/>
        <v/>
      </c>
      <c r="CS11" t="str">
        <f ca="1"/>
        <v/>
      </c>
      <c r="CT11" t="str">
        <f ca="1"/>
        <v/>
      </c>
      <c r="CU11" t="str">
        <f ca="1"/>
        <v/>
      </c>
      <c r="CV11" t="str">
        <f ca="1"/>
        <v/>
      </c>
      <c r="CW11" t="str">
        <f ca="1"/>
        <v/>
      </c>
      <c r="CX11" t="str">
        <f ca="1"/>
        <v/>
      </c>
      <c r="CY11" t="str">
        <f ca="1"/>
        <v/>
      </c>
      <c r="CZ11" t="str">
        <f ca="1"/>
        <v/>
      </c>
    </row>
    <row r="12" spans="2:104">
      <c r="B12" s="61" t="s">
        <v>1684</v>
      </c>
      <c r="C12" s="69" t="s">
        <v>1670</v>
      </c>
      <c r="E12" s="104">
        <f ca="1"/>
        <v>43606</v>
      </c>
      <c r="F12" s="105">
        <f ca="1"/>
        <v>43790</v>
      </c>
      <c r="G12" s="18">
        <f ca="1"/>
        <v>0.5</v>
      </c>
      <c r="H12" s="105">
        <f ca="1"/>
        <v>43790</v>
      </c>
      <c r="I12" s="105">
        <f ca="1"/>
        <v>43783</v>
      </c>
      <c r="J12" s="18">
        <f ca="1"/>
        <v>1000000</v>
      </c>
      <c r="K12" s="93">
        <f ca="1"/>
        <v>0</v>
      </c>
      <c r="L12" s="18">
        <f ca="1"/>
        <v>1</v>
      </c>
      <c r="M12" s="77">
        <f ca="1"/>
        <v>2.2499999999999999E-2</v>
      </c>
      <c r="N12" s="18">
        <f ca="1"/>
        <v>11250</v>
      </c>
      <c r="O12" s="79">
        <f ca="1"/>
        <v>0.95532889370955265</v>
      </c>
      <c r="P12" s="18">
        <f ca="1"/>
        <v>10747.450054232468</v>
      </c>
      <c r="Q12" t="str">
        <f ca="1"/>
        <v/>
      </c>
      <c r="R12" t="str">
        <f ca="1"/>
        <v/>
      </c>
      <c r="S12" t="str">
        <f ca="1"/>
        <v/>
      </c>
      <c r="T12" t="str">
        <f ca="1"/>
        <v/>
      </c>
      <c r="U12" t="str">
        <f ca="1"/>
        <v/>
      </c>
      <c r="V12" t="str">
        <f ca="1"/>
        <v/>
      </c>
      <c r="W12" t="str">
        <f ca="1"/>
        <v/>
      </c>
      <c r="X12" t="str">
        <f ca="1"/>
        <v/>
      </c>
      <c r="Y12" t="str">
        <f ca="1"/>
        <v/>
      </c>
      <c r="Z12" t="str">
        <f ca="1"/>
        <v/>
      </c>
      <c r="AA12" t="str">
        <f ca="1"/>
        <v/>
      </c>
      <c r="AB12" t="str">
        <f ca="1"/>
        <v/>
      </c>
      <c r="AC12" t="str">
        <f ca="1"/>
        <v/>
      </c>
      <c r="AD12" t="str">
        <f ca="1"/>
        <v/>
      </c>
      <c r="AE12" t="str">
        <f ca="1"/>
        <v/>
      </c>
      <c r="AF12" t="str">
        <f ca="1"/>
        <v/>
      </c>
      <c r="AG12" t="str">
        <f ca="1"/>
        <v/>
      </c>
      <c r="AH12" t="str">
        <f ca="1"/>
        <v/>
      </c>
      <c r="AI12" t="str">
        <f ca="1"/>
        <v/>
      </c>
      <c r="AJ12" t="str">
        <f ca="1"/>
        <v/>
      </c>
      <c r="AK12" t="str">
        <f ca="1"/>
        <v/>
      </c>
      <c r="AL12" t="str">
        <f ca="1"/>
        <v/>
      </c>
      <c r="AM12" t="str">
        <f ca="1"/>
        <v/>
      </c>
      <c r="AN12" t="str">
        <f ca="1"/>
        <v/>
      </c>
      <c r="AO12" t="str">
        <f ca="1"/>
        <v/>
      </c>
      <c r="AP12" t="str">
        <f ca="1"/>
        <v/>
      </c>
      <c r="AQ12" t="str">
        <f ca="1"/>
        <v/>
      </c>
      <c r="AR12" t="str">
        <f ca="1"/>
        <v/>
      </c>
      <c r="AS12" t="str">
        <f ca="1"/>
        <v/>
      </c>
      <c r="AT12" t="str">
        <f ca="1"/>
        <v/>
      </c>
      <c r="AU12" t="str">
        <f ca="1"/>
        <v/>
      </c>
      <c r="AV12" t="str">
        <f ca="1"/>
        <v/>
      </c>
      <c r="AW12" t="str">
        <f ca="1"/>
        <v/>
      </c>
      <c r="AX12" t="str">
        <f ca="1"/>
        <v/>
      </c>
      <c r="AY12" t="str">
        <f ca="1"/>
        <v/>
      </c>
      <c r="AZ12" t="str">
        <f ca="1"/>
        <v/>
      </c>
      <c r="BA12" t="str">
        <f ca="1"/>
        <v/>
      </c>
      <c r="BB12" t="str">
        <f ca="1"/>
        <v/>
      </c>
      <c r="BC12" t="str">
        <f ca="1"/>
        <v/>
      </c>
      <c r="BD12" t="str">
        <f ca="1"/>
        <v/>
      </c>
      <c r="BE12" t="str">
        <f ca="1"/>
        <v/>
      </c>
      <c r="BF12" t="str">
        <f ca="1"/>
        <v/>
      </c>
      <c r="BG12" t="str">
        <f ca="1"/>
        <v/>
      </c>
      <c r="BH12" t="str">
        <f ca="1"/>
        <v/>
      </c>
      <c r="BI12" t="str">
        <f ca="1"/>
        <v/>
      </c>
      <c r="BJ12" t="str">
        <f ca="1"/>
        <v/>
      </c>
      <c r="BK12" t="str">
        <f ca="1"/>
        <v/>
      </c>
      <c r="BL12" t="str">
        <f ca="1"/>
        <v/>
      </c>
      <c r="BM12" t="str">
        <f ca="1"/>
        <v/>
      </c>
      <c r="BN12" t="str">
        <f ca="1"/>
        <v/>
      </c>
      <c r="BO12" t="str">
        <f ca="1"/>
        <v/>
      </c>
      <c r="BP12" t="str">
        <f ca="1"/>
        <v/>
      </c>
      <c r="BQ12" t="str">
        <f ca="1"/>
        <v/>
      </c>
      <c r="BR12" t="str">
        <f ca="1"/>
        <v/>
      </c>
      <c r="BS12" t="str">
        <f ca="1"/>
        <v/>
      </c>
      <c r="BT12" t="str">
        <f ca="1"/>
        <v/>
      </c>
      <c r="BU12" t="str">
        <f ca="1"/>
        <v/>
      </c>
      <c r="BV12" t="str">
        <f ca="1"/>
        <v/>
      </c>
      <c r="BW12" t="str">
        <f ca="1"/>
        <v/>
      </c>
      <c r="BX12" t="str">
        <f ca="1"/>
        <v/>
      </c>
      <c r="BY12" t="str">
        <f ca="1"/>
        <v/>
      </c>
      <c r="BZ12" t="str">
        <f ca="1"/>
        <v/>
      </c>
      <c r="CA12" t="str">
        <f ca="1"/>
        <v/>
      </c>
      <c r="CB12" t="str">
        <f ca="1"/>
        <v/>
      </c>
      <c r="CC12" t="str">
        <f ca="1"/>
        <v/>
      </c>
      <c r="CD12" t="str">
        <f ca="1"/>
        <v/>
      </c>
      <c r="CE12" t="str">
        <f ca="1"/>
        <v/>
      </c>
      <c r="CF12" t="str">
        <f ca="1"/>
        <v/>
      </c>
      <c r="CG12" t="str">
        <f ca="1"/>
        <v/>
      </c>
      <c r="CH12" t="str">
        <f ca="1"/>
        <v/>
      </c>
      <c r="CI12" t="str">
        <f ca="1"/>
        <v/>
      </c>
      <c r="CJ12" t="str">
        <f ca="1"/>
        <v/>
      </c>
      <c r="CK12" t="str">
        <f ca="1"/>
        <v/>
      </c>
      <c r="CL12" t="str">
        <f ca="1"/>
        <v/>
      </c>
      <c r="CM12" t="str">
        <f ca="1"/>
        <v/>
      </c>
      <c r="CN12" t="str">
        <f ca="1"/>
        <v/>
      </c>
      <c r="CO12" t="str">
        <f ca="1"/>
        <v/>
      </c>
      <c r="CP12" t="str">
        <f ca="1"/>
        <v/>
      </c>
      <c r="CQ12" t="str">
        <f ca="1"/>
        <v/>
      </c>
      <c r="CR12" t="str">
        <f ca="1"/>
        <v/>
      </c>
      <c r="CS12" t="str">
        <f ca="1"/>
        <v/>
      </c>
      <c r="CT12" t="str">
        <f ca="1"/>
        <v/>
      </c>
      <c r="CU12" t="str">
        <f ca="1"/>
        <v/>
      </c>
      <c r="CV12" t="str">
        <f ca="1"/>
        <v/>
      </c>
      <c r="CW12" t="str">
        <f ca="1"/>
        <v/>
      </c>
      <c r="CX12" t="str">
        <f ca="1"/>
        <v/>
      </c>
      <c r="CY12" t="str">
        <f ca="1"/>
        <v/>
      </c>
      <c r="CZ12" t="str">
        <f ca="1"/>
        <v/>
      </c>
    </row>
    <row r="13" spans="2:104">
      <c r="B13" s="61" t="s">
        <v>1689</v>
      </c>
      <c r="C13" s="69" t="b">
        <v>0</v>
      </c>
      <c r="E13" s="104">
        <f ca="1"/>
        <v>43790</v>
      </c>
      <c r="F13" s="105">
        <f ca="1"/>
        <v>43972</v>
      </c>
      <c r="G13" s="18">
        <f ca="1"/>
        <v>0.5</v>
      </c>
      <c r="H13" s="105">
        <f ca="1"/>
        <v>43972</v>
      </c>
      <c r="I13" s="105">
        <f ca="1"/>
        <v>43965</v>
      </c>
      <c r="J13" s="18">
        <f ca="1"/>
        <v>1000000</v>
      </c>
      <c r="K13" s="93">
        <f ca="1"/>
        <v>0</v>
      </c>
      <c r="L13" s="18">
        <f ca="1"/>
        <v>1</v>
      </c>
      <c r="M13" s="77">
        <f ca="1"/>
        <v>2.2499999999999999E-2</v>
      </c>
      <c r="N13" s="18">
        <f ca="1"/>
        <v>11250</v>
      </c>
      <c r="O13" s="79">
        <f ca="1"/>
        <v>0.94244103898299414</v>
      </c>
      <c r="P13" s="18">
        <f ca="1"/>
        <v>10602.461688558684</v>
      </c>
      <c r="Q13" t="str">
        <f ca="1"/>
        <v/>
      </c>
      <c r="R13" t="str">
        <f ca="1"/>
        <v/>
      </c>
      <c r="S13" t="str">
        <f ca="1"/>
        <v/>
      </c>
      <c r="T13" t="str">
        <f ca="1"/>
        <v/>
      </c>
      <c r="U13" t="str">
        <f ca="1"/>
        <v/>
      </c>
      <c r="V13" t="str">
        <f ca="1"/>
        <v/>
      </c>
      <c r="W13" t="str">
        <f ca="1"/>
        <v/>
      </c>
      <c r="X13" t="str">
        <f ca="1"/>
        <v/>
      </c>
      <c r="Y13" t="str">
        <f ca="1"/>
        <v/>
      </c>
      <c r="Z13" t="str">
        <f ca="1"/>
        <v/>
      </c>
      <c r="AA13" t="str">
        <f ca="1"/>
        <v/>
      </c>
      <c r="AB13" t="str">
        <f ca="1"/>
        <v/>
      </c>
      <c r="AC13" t="str">
        <f ca="1"/>
        <v/>
      </c>
      <c r="AD13" t="str">
        <f ca="1"/>
        <v/>
      </c>
      <c r="AE13" t="str">
        <f ca="1"/>
        <v/>
      </c>
      <c r="AF13" t="str">
        <f ca="1"/>
        <v/>
      </c>
      <c r="AG13" t="str">
        <f ca="1"/>
        <v/>
      </c>
      <c r="AH13" t="str">
        <f ca="1"/>
        <v/>
      </c>
      <c r="AI13" t="str">
        <f ca="1"/>
        <v/>
      </c>
      <c r="AJ13" t="str">
        <f ca="1"/>
        <v/>
      </c>
      <c r="AK13" t="str">
        <f ca="1"/>
        <v/>
      </c>
      <c r="AL13" t="str">
        <f ca="1"/>
        <v/>
      </c>
      <c r="AM13" t="str">
        <f ca="1"/>
        <v/>
      </c>
      <c r="AN13" t="str">
        <f ca="1"/>
        <v/>
      </c>
      <c r="AO13" t="str">
        <f ca="1"/>
        <v/>
      </c>
      <c r="AP13" t="str">
        <f ca="1"/>
        <v/>
      </c>
      <c r="AQ13" t="str">
        <f ca="1"/>
        <v/>
      </c>
      <c r="AR13" t="str">
        <f ca="1"/>
        <v/>
      </c>
      <c r="AS13" t="str">
        <f ca="1"/>
        <v/>
      </c>
      <c r="AT13" t="str">
        <f ca="1"/>
        <v/>
      </c>
      <c r="AU13" t="str">
        <f ca="1"/>
        <v/>
      </c>
      <c r="AV13" t="str">
        <f ca="1"/>
        <v/>
      </c>
      <c r="AW13" t="str">
        <f ca="1"/>
        <v/>
      </c>
      <c r="AX13" t="str">
        <f ca="1"/>
        <v/>
      </c>
      <c r="AY13" t="str">
        <f ca="1"/>
        <v/>
      </c>
      <c r="AZ13" t="str">
        <f ca="1"/>
        <v/>
      </c>
      <c r="BA13" t="str">
        <f ca="1"/>
        <v/>
      </c>
      <c r="BB13" t="str">
        <f ca="1"/>
        <v/>
      </c>
      <c r="BC13" t="str">
        <f ca="1"/>
        <v/>
      </c>
      <c r="BD13" t="str">
        <f ca="1"/>
        <v/>
      </c>
      <c r="BE13" t="str">
        <f ca="1"/>
        <v/>
      </c>
      <c r="BF13" t="str">
        <f ca="1"/>
        <v/>
      </c>
      <c r="BG13" t="str">
        <f ca="1"/>
        <v/>
      </c>
      <c r="BH13" t="str">
        <f ca="1"/>
        <v/>
      </c>
      <c r="BI13" t="str">
        <f ca="1"/>
        <v/>
      </c>
      <c r="BJ13" t="str">
        <f ca="1"/>
        <v/>
      </c>
      <c r="BK13" t="str">
        <f ca="1"/>
        <v/>
      </c>
      <c r="BL13" t="str">
        <f ca="1"/>
        <v/>
      </c>
      <c r="BM13" t="str">
        <f ca="1"/>
        <v/>
      </c>
      <c r="BN13" t="str">
        <f ca="1"/>
        <v/>
      </c>
      <c r="BO13" t="str">
        <f ca="1"/>
        <v/>
      </c>
      <c r="BP13" t="str">
        <f ca="1"/>
        <v/>
      </c>
      <c r="BQ13" t="str">
        <f ca="1"/>
        <v/>
      </c>
      <c r="BR13" t="str">
        <f ca="1"/>
        <v/>
      </c>
      <c r="BS13" t="str">
        <f ca="1"/>
        <v/>
      </c>
      <c r="BT13" t="str">
        <f ca="1"/>
        <v/>
      </c>
      <c r="BU13" t="str">
        <f ca="1"/>
        <v/>
      </c>
      <c r="BV13" t="str">
        <f ca="1"/>
        <v/>
      </c>
      <c r="BW13" t="str">
        <f ca="1"/>
        <v/>
      </c>
      <c r="BX13" t="str">
        <f ca="1"/>
        <v/>
      </c>
      <c r="BY13" t="str">
        <f ca="1"/>
        <v/>
      </c>
      <c r="BZ13" t="str">
        <f ca="1"/>
        <v/>
      </c>
      <c r="CA13" t="str">
        <f ca="1"/>
        <v/>
      </c>
      <c r="CB13" t="str">
        <f ca="1"/>
        <v/>
      </c>
      <c r="CC13" t="str">
        <f ca="1"/>
        <v/>
      </c>
      <c r="CD13" t="str">
        <f ca="1"/>
        <v/>
      </c>
      <c r="CE13" t="str">
        <f ca="1"/>
        <v/>
      </c>
      <c r="CF13" t="str">
        <f ca="1"/>
        <v/>
      </c>
      <c r="CG13" t="str">
        <f ca="1"/>
        <v/>
      </c>
      <c r="CH13" t="str">
        <f ca="1"/>
        <v/>
      </c>
      <c r="CI13" t="str">
        <f ca="1"/>
        <v/>
      </c>
      <c r="CJ13" t="str">
        <f ca="1"/>
        <v/>
      </c>
      <c r="CK13" t="str">
        <f ca="1"/>
        <v/>
      </c>
      <c r="CL13" t="str">
        <f ca="1"/>
        <v/>
      </c>
      <c r="CM13" t="str">
        <f ca="1"/>
        <v/>
      </c>
      <c r="CN13" t="str">
        <f ca="1"/>
        <v/>
      </c>
      <c r="CO13" t="str">
        <f ca="1"/>
        <v/>
      </c>
      <c r="CP13" t="str">
        <f ca="1"/>
        <v/>
      </c>
      <c r="CQ13" t="str">
        <f ca="1"/>
        <v/>
      </c>
      <c r="CR13" t="str">
        <f ca="1"/>
        <v/>
      </c>
      <c r="CS13" t="str">
        <f ca="1"/>
        <v/>
      </c>
      <c r="CT13" t="str">
        <f ca="1"/>
        <v/>
      </c>
      <c r="CU13" t="str">
        <f ca="1"/>
        <v/>
      </c>
      <c r="CV13" t="str">
        <f ca="1"/>
        <v/>
      </c>
      <c r="CW13" t="str">
        <f ca="1"/>
        <v/>
      </c>
      <c r="CX13" t="str">
        <f ca="1"/>
        <v/>
      </c>
      <c r="CY13" t="str">
        <f ca="1"/>
        <v/>
      </c>
      <c r="CZ13" t="str">
        <f ca="1"/>
        <v/>
      </c>
    </row>
    <row r="14" spans="2:104">
      <c r="B14" s="61" t="s">
        <v>1690</v>
      </c>
      <c r="C14" s="69" t="s">
        <v>1681</v>
      </c>
      <c r="E14" s="104">
        <f ca="1"/>
        <v>43972</v>
      </c>
      <c r="F14" s="105">
        <f ca="1"/>
        <v>44156</v>
      </c>
      <c r="G14" s="18">
        <f ca="1"/>
        <v>0.5</v>
      </c>
      <c r="H14" s="105">
        <f ca="1"/>
        <v>44156</v>
      </c>
      <c r="I14" s="105">
        <f ca="1"/>
        <v>44149</v>
      </c>
      <c r="J14" s="18">
        <f ca="1"/>
        <v>1000000</v>
      </c>
      <c r="K14" s="93">
        <f ca="1"/>
        <v>0</v>
      </c>
      <c r="L14" s="18">
        <f ca="1"/>
        <v>1</v>
      </c>
      <c r="M14" s="77">
        <f ca="1"/>
        <v>2.2499999999999999E-2</v>
      </c>
      <c r="N14" s="18">
        <f ca="1"/>
        <v>11250</v>
      </c>
      <c r="O14" s="79">
        <f ca="1"/>
        <v>0.92972704772957715</v>
      </c>
      <c r="P14" s="18">
        <f ca="1"/>
        <v>10459.429286957742</v>
      </c>
      <c r="Q14" t="str">
        <f ca="1"/>
        <v/>
      </c>
      <c r="R14" t="str">
        <f ca="1"/>
        <v/>
      </c>
      <c r="S14" t="str">
        <f ca="1"/>
        <v/>
      </c>
      <c r="T14" t="str">
        <f ca="1"/>
        <v/>
      </c>
      <c r="U14" t="str">
        <f ca="1"/>
        <v/>
      </c>
      <c r="V14" t="str">
        <f ca="1"/>
        <v/>
      </c>
      <c r="W14" t="str">
        <f ca="1"/>
        <v/>
      </c>
      <c r="X14" t="str">
        <f ca="1"/>
        <v/>
      </c>
      <c r="Y14" t="str">
        <f ca="1"/>
        <v/>
      </c>
      <c r="Z14" t="str">
        <f ca="1"/>
        <v/>
      </c>
      <c r="AA14" t="str">
        <f ca="1"/>
        <v/>
      </c>
      <c r="AB14" t="str">
        <f ca="1"/>
        <v/>
      </c>
      <c r="AC14" t="str">
        <f ca="1"/>
        <v/>
      </c>
      <c r="AD14" t="str">
        <f ca="1"/>
        <v/>
      </c>
      <c r="AE14" t="str">
        <f ca="1"/>
        <v/>
      </c>
      <c r="AF14" t="str">
        <f ca="1"/>
        <v/>
      </c>
      <c r="AG14" t="str">
        <f ca="1"/>
        <v/>
      </c>
      <c r="AH14" t="str">
        <f ca="1"/>
        <v/>
      </c>
      <c r="AI14" t="str">
        <f ca="1"/>
        <v/>
      </c>
      <c r="AJ14" t="str">
        <f ca="1"/>
        <v/>
      </c>
      <c r="AK14" t="str">
        <f ca="1"/>
        <v/>
      </c>
      <c r="AL14" t="str">
        <f ca="1"/>
        <v/>
      </c>
      <c r="AM14" t="str">
        <f ca="1"/>
        <v/>
      </c>
      <c r="AN14" t="str">
        <f ca="1"/>
        <v/>
      </c>
      <c r="AO14" t="str">
        <f ca="1"/>
        <v/>
      </c>
      <c r="AP14" t="str">
        <f ca="1"/>
        <v/>
      </c>
      <c r="AQ14" t="str">
        <f ca="1"/>
        <v/>
      </c>
      <c r="AR14" t="str">
        <f ca="1"/>
        <v/>
      </c>
      <c r="AS14" t="str">
        <f ca="1"/>
        <v/>
      </c>
      <c r="AT14" t="str">
        <f ca="1"/>
        <v/>
      </c>
      <c r="AU14" t="str">
        <f ca="1"/>
        <v/>
      </c>
      <c r="AV14" t="str">
        <f ca="1"/>
        <v/>
      </c>
      <c r="AW14" t="str">
        <f ca="1"/>
        <v/>
      </c>
      <c r="AX14" t="str">
        <f ca="1"/>
        <v/>
      </c>
      <c r="AY14" t="str">
        <f ca="1"/>
        <v/>
      </c>
      <c r="AZ14" t="str">
        <f ca="1"/>
        <v/>
      </c>
      <c r="BA14" t="str">
        <f ca="1"/>
        <v/>
      </c>
      <c r="BB14" t="str">
        <f ca="1"/>
        <v/>
      </c>
      <c r="BC14" t="str">
        <f ca="1"/>
        <v/>
      </c>
      <c r="BD14" t="str">
        <f ca="1"/>
        <v/>
      </c>
      <c r="BE14" t="str">
        <f ca="1"/>
        <v/>
      </c>
      <c r="BF14" t="str">
        <f ca="1"/>
        <v/>
      </c>
      <c r="BG14" t="str">
        <f ca="1"/>
        <v/>
      </c>
      <c r="BH14" t="str">
        <f ca="1"/>
        <v/>
      </c>
      <c r="BI14" t="str">
        <f ca="1"/>
        <v/>
      </c>
      <c r="BJ14" t="str">
        <f ca="1"/>
        <v/>
      </c>
      <c r="BK14" t="str">
        <f ca="1"/>
        <v/>
      </c>
      <c r="BL14" t="str">
        <f ca="1"/>
        <v/>
      </c>
      <c r="BM14" t="str">
        <f ca="1"/>
        <v/>
      </c>
      <c r="BN14" t="str">
        <f ca="1"/>
        <v/>
      </c>
      <c r="BO14" t="str">
        <f ca="1"/>
        <v/>
      </c>
      <c r="BP14" t="str">
        <f ca="1"/>
        <v/>
      </c>
      <c r="BQ14" t="str">
        <f ca="1"/>
        <v/>
      </c>
      <c r="BR14" t="str">
        <f ca="1"/>
        <v/>
      </c>
      <c r="BS14" t="str">
        <f ca="1"/>
        <v/>
      </c>
      <c r="BT14" t="str">
        <f ca="1"/>
        <v/>
      </c>
      <c r="BU14" t="str">
        <f ca="1"/>
        <v/>
      </c>
      <c r="BV14" t="str">
        <f ca="1"/>
        <v/>
      </c>
      <c r="BW14" t="str">
        <f ca="1"/>
        <v/>
      </c>
      <c r="BX14" t="str">
        <f ca="1"/>
        <v/>
      </c>
      <c r="BY14" t="str">
        <f ca="1"/>
        <v/>
      </c>
      <c r="BZ14" t="str">
        <f ca="1"/>
        <v/>
      </c>
      <c r="CA14" t="str">
        <f ca="1"/>
        <v/>
      </c>
      <c r="CB14" t="str">
        <f ca="1"/>
        <v/>
      </c>
      <c r="CC14" t="str">
        <f ca="1"/>
        <v/>
      </c>
      <c r="CD14" t="str">
        <f ca="1"/>
        <v/>
      </c>
      <c r="CE14" t="str">
        <f ca="1"/>
        <v/>
      </c>
      <c r="CF14" t="str">
        <f ca="1"/>
        <v/>
      </c>
      <c r="CG14" t="str">
        <f ca="1"/>
        <v/>
      </c>
      <c r="CH14" t="str">
        <f ca="1"/>
        <v/>
      </c>
      <c r="CI14" t="str">
        <f ca="1"/>
        <v/>
      </c>
      <c r="CJ14" t="str">
        <f ca="1"/>
        <v/>
      </c>
      <c r="CK14" t="str">
        <f ca="1"/>
        <v/>
      </c>
      <c r="CL14" t="str">
        <f ca="1"/>
        <v/>
      </c>
      <c r="CM14" t="str">
        <f ca="1"/>
        <v/>
      </c>
      <c r="CN14" t="str">
        <f ca="1"/>
        <v/>
      </c>
      <c r="CO14" t="str">
        <f ca="1"/>
        <v/>
      </c>
      <c r="CP14" t="str">
        <f ca="1"/>
        <v/>
      </c>
      <c r="CQ14" t="str">
        <f ca="1"/>
        <v/>
      </c>
      <c r="CR14" t="str">
        <f ca="1"/>
        <v/>
      </c>
      <c r="CS14" t="str">
        <f ca="1"/>
        <v/>
      </c>
      <c r="CT14" t="str">
        <f ca="1"/>
        <v/>
      </c>
      <c r="CU14" t="str">
        <f ca="1"/>
        <v/>
      </c>
      <c r="CV14" t="str">
        <f ca="1"/>
        <v/>
      </c>
      <c r="CW14" t="str">
        <f ca="1"/>
        <v/>
      </c>
      <c r="CX14" t="str">
        <f ca="1"/>
        <v/>
      </c>
      <c r="CY14" t="str">
        <f ca="1"/>
        <v/>
      </c>
      <c r="CZ14" t="str">
        <f ca="1"/>
        <v/>
      </c>
    </row>
    <row r="15" spans="2:104">
      <c r="B15" s="61" t="s">
        <v>1682</v>
      </c>
      <c r="C15" s="69" t="s">
        <v>1671</v>
      </c>
      <c r="E15" s="104">
        <f ca="1"/>
        <v>44156</v>
      </c>
      <c r="F15" s="105">
        <f ca="1"/>
        <v>44337</v>
      </c>
      <c r="G15" s="18">
        <f ca="1"/>
        <v>0.5</v>
      </c>
      <c r="H15" s="105">
        <f ca="1"/>
        <v>44337</v>
      </c>
      <c r="I15" s="105">
        <f ca="1"/>
        <v>44330</v>
      </c>
      <c r="J15" s="18">
        <f ca="1"/>
        <v>1000000</v>
      </c>
      <c r="K15" s="93">
        <f ca="1"/>
        <v>0</v>
      </c>
      <c r="L15" s="18">
        <f ca="1"/>
        <v>1</v>
      </c>
      <c r="M15" s="77">
        <f ca="1"/>
        <v>2.2499999999999999E-2</v>
      </c>
      <c r="N15" s="18">
        <f ca="1"/>
        <v>11250</v>
      </c>
      <c r="O15" s="79">
        <f ca="1"/>
        <v>0.9171845744458853</v>
      </c>
      <c r="P15" s="18">
        <f ca="1"/>
        <v>10318.32646251621</v>
      </c>
      <c r="Q15" t="str">
        <f ca="1"/>
        <v/>
      </c>
      <c r="R15" t="str">
        <f ca="1"/>
        <v/>
      </c>
      <c r="S15" t="str">
        <f ca="1"/>
        <v/>
      </c>
      <c r="T15" t="str">
        <f ca="1"/>
        <v/>
      </c>
      <c r="U15" t="str">
        <f ca="1"/>
        <v/>
      </c>
      <c r="V15" t="str">
        <f ca="1"/>
        <v/>
      </c>
      <c r="W15" t="str">
        <f ca="1"/>
        <v/>
      </c>
      <c r="X15" t="str">
        <f ca="1"/>
        <v/>
      </c>
      <c r="Y15" t="str">
        <f ca="1"/>
        <v/>
      </c>
      <c r="Z15" t="str">
        <f ca="1"/>
        <v/>
      </c>
      <c r="AA15" t="str">
        <f ca="1"/>
        <v/>
      </c>
      <c r="AB15" t="str">
        <f ca="1"/>
        <v/>
      </c>
      <c r="AC15" t="str">
        <f ca="1"/>
        <v/>
      </c>
      <c r="AD15" t="str">
        <f ca="1"/>
        <v/>
      </c>
      <c r="AE15" t="str">
        <f ca="1"/>
        <v/>
      </c>
      <c r="AF15" t="str">
        <f ca="1"/>
        <v/>
      </c>
      <c r="AG15" t="str">
        <f ca="1"/>
        <v/>
      </c>
      <c r="AH15" t="str">
        <f ca="1"/>
        <v/>
      </c>
      <c r="AI15" t="str">
        <f ca="1"/>
        <v/>
      </c>
      <c r="AJ15" t="str">
        <f ca="1"/>
        <v/>
      </c>
      <c r="AK15" t="str">
        <f ca="1"/>
        <v/>
      </c>
      <c r="AL15" t="str">
        <f ca="1"/>
        <v/>
      </c>
      <c r="AM15" t="str">
        <f ca="1"/>
        <v/>
      </c>
      <c r="AN15" t="str">
        <f ca="1"/>
        <v/>
      </c>
      <c r="AO15" t="str">
        <f ca="1"/>
        <v/>
      </c>
      <c r="AP15" t="str">
        <f ca="1"/>
        <v/>
      </c>
      <c r="AQ15" t="str">
        <f ca="1"/>
        <v/>
      </c>
      <c r="AR15" t="str">
        <f ca="1"/>
        <v/>
      </c>
      <c r="AS15" t="str">
        <f ca="1"/>
        <v/>
      </c>
      <c r="AT15" t="str">
        <f ca="1"/>
        <v/>
      </c>
      <c r="AU15" t="str">
        <f ca="1"/>
        <v/>
      </c>
      <c r="AV15" t="str">
        <f ca="1"/>
        <v/>
      </c>
      <c r="AW15" t="str">
        <f ca="1"/>
        <v/>
      </c>
      <c r="AX15" t="str">
        <f ca="1"/>
        <v/>
      </c>
      <c r="AY15" t="str">
        <f ca="1"/>
        <v/>
      </c>
      <c r="AZ15" t="str">
        <f ca="1"/>
        <v/>
      </c>
      <c r="BA15" t="str">
        <f ca="1"/>
        <v/>
      </c>
      <c r="BB15" t="str">
        <f ca="1"/>
        <v/>
      </c>
      <c r="BC15" t="str">
        <f ca="1"/>
        <v/>
      </c>
      <c r="BD15" t="str">
        <f ca="1"/>
        <v/>
      </c>
      <c r="BE15" t="str">
        <f ca="1"/>
        <v/>
      </c>
      <c r="BF15" t="str">
        <f ca="1"/>
        <v/>
      </c>
      <c r="BG15" t="str">
        <f ca="1"/>
        <v/>
      </c>
      <c r="BH15" t="str">
        <f ca="1"/>
        <v/>
      </c>
      <c r="BI15" t="str">
        <f ca="1"/>
        <v/>
      </c>
      <c r="BJ15" t="str">
        <f ca="1"/>
        <v/>
      </c>
      <c r="BK15" t="str">
        <f ca="1"/>
        <v/>
      </c>
      <c r="BL15" t="str">
        <f ca="1"/>
        <v/>
      </c>
      <c r="BM15" t="str">
        <f ca="1"/>
        <v/>
      </c>
      <c r="BN15" t="str">
        <f ca="1"/>
        <v/>
      </c>
      <c r="BO15" t="str">
        <f ca="1"/>
        <v/>
      </c>
      <c r="BP15" t="str">
        <f ca="1"/>
        <v/>
      </c>
      <c r="BQ15" t="str">
        <f ca="1"/>
        <v/>
      </c>
      <c r="BR15" t="str">
        <f ca="1"/>
        <v/>
      </c>
      <c r="BS15" t="str">
        <f ca="1"/>
        <v/>
      </c>
      <c r="BT15" t="str">
        <f ca="1"/>
        <v/>
      </c>
      <c r="BU15" t="str">
        <f ca="1"/>
        <v/>
      </c>
      <c r="BV15" t="str">
        <f ca="1"/>
        <v/>
      </c>
      <c r="BW15" t="str">
        <f ca="1"/>
        <v/>
      </c>
      <c r="BX15" t="str">
        <f ca="1"/>
        <v/>
      </c>
      <c r="BY15" t="str">
        <f ca="1"/>
        <v/>
      </c>
      <c r="BZ15" t="str">
        <f ca="1"/>
        <v/>
      </c>
      <c r="CA15" t="str">
        <f ca="1"/>
        <v/>
      </c>
      <c r="CB15" t="str">
        <f ca="1"/>
        <v/>
      </c>
      <c r="CC15" t="str">
        <f ca="1"/>
        <v/>
      </c>
      <c r="CD15" t="str">
        <f ca="1"/>
        <v/>
      </c>
      <c r="CE15" t="str">
        <f ca="1"/>
        <v/>
      </c>
      <c r="CF15" t="str">
        <f ca="1"/>
        <v/>
      </c>
      <c r="CG15" t="str">
        <f ca="1"/>
        <v/>
      </c>
      <c r="CH15" t="str">
        <f ca="1"/>
        <v/>
      </c>
      <c r="CI15" t="str">
        <f ca="1"/>
        <v/>
      </c>
      <c r="CJ15" t="str">
        <f ca="1"/>
        <v/>
      </c>
      <c r="CK15" t="str">
        <f ca="1"/>
        <v/>
      </c>
      <c r="CL15" t="str">
        <f ca="1"/>
        <v/>
      </c>
      <c r="CM15" t="str">
        <f ca="1"/>
        <v/>
      </c>
      <c r="CN15" t="str">
        <f ca="1"/>
        <v/>
      </c>
      <c r="CO15" t="str">
        <f ca="1"/>
        <v/>
      </c>
      <c r="CP15" t="str">
        <f ca="1"/>
        <v/>
      </c>
      <c r="CQ15" t="str">
        <f ca="1"/>
        <v/>
      </c>
      <c r="CR15" t="str">
        <f ca="1"/>
        <v/>
      </c>
      <c r="CS15" t="str">
        <f ca="1"/>
        <v/>
      </c>
      <c r="CT15" t="str">
        <f ca="1"/>
        <v/>
      </c>
      <c r="CU15" t="str">
        <f ca="1"/>
        <v/>
      </c>
      <c r="CV15" t="str">
        <f ca="1"/>
        <v/>
      </c>
      <c r="CW15" t="str">
        <f ca="1"/>
        <v/>
      </c>
      <c r="CX15" t="str">
        <f ca="1"/>
        <v/>
      </c>
      <c r="CY15" t="str">
        <f ca="1"/>
        <v/>
      </c>
      <c r="CZ15" t="str">
        <f ca="1"/>
        <v/>
      </c>
    </row>
    <row r="16" spans="2:104">
      <c r="B16" s="61" t="s">
        <v>1701</v>
      </c>
      <c r="C16" s="70">
        <f>42509</f>
        <v>42509</v>
      </c>
      <c r="E16" s="104">
        <f ca="1"/>
        <v>44337</v>
      </c>
      <c r="F16" s="105">
        <f ca="1"/>
        <v>44521</v>
      </c>
      <c r="G16" s="18">
        <f ca="1"/>
        <v>0.5</v>
      </c>
      <c r="H16" s="105">
        <f ca="1"/>
        <v>44521</v>
      </c>
      <c r="I16" s="105">
        <f ca="1"/>
        <v>44514</v>
      </c>
      <c r="J16" s="18">
        <f ca="1"/>
        <v>1000000</v>
      </c>
      <c r="K16" s="93">
        <f ca="1"/>
        <v>0</v>
      </c>
      <c r="L16" s="18">
        <f ca="1"/>
        <v>1</v>
      </c>
      <c r="M16" s="77">
        <f ca="1"/>
        <v>2.2499999999999999E-2</v>
      </c>
      <c r="N16" s="18">
        <f ca="1"/>
        <v>11250</v>
      </c>
      <c r="O16" s="79">
        <f ca="1"/>
        <v>0.90481130527049203</v>
      </c>
      <c r="P16" s="18">
        <f ca="1"/>
        <v>10179.127184293035</v>
      </c>
      <c r="Q16" t="str">
        <f ca="1"/>
        <v/>
      </c>
      <c r="R16" t="str">
        <f ca="1"/>
        <v/>
      </c>
      <c r="S16" t="str">
        <f ca="1"/>
        <v/>
      </c>
      <c r="T16" t="str">
        <f ca="1"/>
        <v/>
      </c>
      <c r="U16" t="str">
        <f ca="1"/>
        <v/>
      </c>
      <c r="V16" t="str">
        <f ca="1"/>
        <v/>
      </c>
      <c r="W16" t="str">
        <f ca="1"/>
        <v/>
      </c>
      <c r="X16" t="str">
        <f ca="1"/>
        <v/>
      </c>
      <c r="Y16" t="str">
        <f ca="1"/>
        <v/>
      </c>
      <c r="Z16" t="str">
        <f ca="1"/>
        <v/>
      </c>
      <c r="AA16" t="str">
        <f ca="1"/>
        <v/>
      </c>
      <c r="AB16" t="str">
        <f ca="1"/>
        <v/>
      </c>
      <c r="AC16" t="str">
        <f ca="1"/>
        <v/>
      </c>
      <c r="AD16" t="str">
        <f ca="1"/>
        <v/>
      </c>
      <c r="AE16" t="str">
        <f ca="1"/>
        <v/>
      </c>
      <c r="AF16" t="str">
        <f ca="1"/>
        <v/>
      </c>
      <c r="AG16" t="str">
        <f ca="1"/>
        <v/>
      </c>
      <c r="AH16" t="str">
        <f ca="1"/>
        <v/>
      </c>
      <c r="AI16" t="str">
        <f ca="1"/>
        <v/>
      </c>
      <c r="AJ16" t="str">
        <f ca="1"/>
        <v/>
      </c>
      <c r="AK16" t="str">
        <f ca="1"/>
        <v/>
      </c>
      <c r="AL16" t="str">
        <f ca="1"/>
        <v/>
      </c>
      <c r="AM16" t="str">
        <f ca="1"/>
        <v/>
      </c>
      <c r="AN16" t="str">
        <f ca="1"/>
        <v/>
      </c>
      <c r="AO16" t="str">
        <f ca="1"/>
        <v/>
      </c>
      <c r="AP16" t="str">
        <f ca="1"/>
        <v/>
      </c>
      <c r="AQ16" t="str">
        <f ca="1"/>
        <v/>
      </c>
      <c r="AR16" t="str">
        <f ca="1"/>
        <v/>
      </c>
      <c r="AS16" t="str">
        <f ca="1"/>
        <v/>
      </c>
      <c r="AT16" t="str">
        <f ca="1"/>
        <v/>
      </c>
      <c r="AU16" t="str">
        <f ca="1"/>
        <v/>
      </c>
      <c r="AV16" t="str">
        <f ca="1"/>
        <v/>
      </c>
      <c r="AW16" t="str">
        <f ca="1"/>
        <v/>
      </c>
      <c r="AX16" t="str">
        <f ca="1"/>
        <v/>
      </c>
      <c r="AY16" t="str">
        <f ca="1"/>
        <v/>
      </c>
      <c r="AZ16" t="str">
        <f ca="1"/>
        <v/>
      </c>
      <c r="BA16" t="str">
        <f ca="1"/>
        <v/>
      </c>
      <c r="BB16" t="str">
        <f ca="1"/>
        <v/>
      </c>
      <c r="BC16" t="str">
        <f ca="1"/>
        <v/>
      </c>
      <c r="BD16" t="str">
        <f ca="1"/>
        <v/>
      </c>
      <c r="BE16" t="str">
        <f ca="1"/>
        <v/>
      </c>
      <c r="BF16" t="str">
        <f ca="1"/>
        <v/>
      </c>
      <c r="BG16" t="str">
        <f ca="1"/>
        <v/>
      </c>
      <c r="BH16" t="str">
        <f ca="1"/>
        <v/>
      </c>
      <c r="BI16" t="str">
        <f ca="1"/>
        <v/>
      </c>
      <c r="BJ16" t="str">
        <f ca="1"/>
        <v/>
      </c>
      <c r="BK16" t="str">
        <f ca="1"/>
        <v/>
      </c>
      <c r="BL16" t="str">
        <f ca="1"/>
        <v/>
      </c>
      <c r="BM16" t="str">
        <f ca="1"/>
        <v/>
      </c>
      <c r="BN16" t="str">
        <f ca="1"/>
        <v/>
      </c>
      <c r="BO16" t="str">
        <f ca="1"/>
        <v/>
      </c>
      <c r="BP16" t="str">
        <f ca="1"/>
        <v/>
      </c>
      <c r="BQ16" t="str">
        <f ca="1"/>
        <v/>
      </c>
      <c r="BR16" t="str">
        <f ca="1"/>
        <v/>
      </c>
      <c r="BS16" t="str">
        <f ca="1"/>
        <v/>
      </c>
      <c r="BT16" t="str">
        <f ca="1"/>
        <v/>
      </c>
      <c r="BU16" t="str">
        <f ca="1"/>
        <v/>
      </c>
      <c r="BV16" t="str">
        <f ca="1"/>
        <v/>
      </c>
      <c r="BW16" t="str">
        <f ca="1"/>
        <v/>
      </c>
      <c r="BX16" t="str">
        <f ca="1"/>
        <v/>
      </c>
      <c r="BY16" t="str">
        <f ca="1"/>
        <v/>
      </c>
      <c r="BZ16" t="str">
        <f ca="1"/>
        <v/>
      </c>
      <c r="CA16" t="str">
        <f ca="1"/>
        <v/>
      </c>
      <c r="CB16" t="str">
        <f ca="1"/>
        <v/>
      </c>
      <c r="CC16" t="str">
        <f ca="1"/>
        <v/>
      </c>
      <c r="CD16" t="str">
        <f ca="1"/>
        <v/>
      </c>
      <c r="CE16" t="str">
        <f ca="1"/>
        <v/>
      </c>
      <c r="CF16" t="str">
        <f ca="1"/>
        <v/>
      </c>
      <c r="CG16" t="str">
        <f ca="1"/>
        <v/>
      </c>
      <c r="CH16" t="str">
        <f ca="1"/>
        <v/>
      </c>
      <c r="CI16" t="str">
        <f ca="1"/>
        <v/>
      </c>
      <c r="CJ16" t="str">
        <f ca="1"/>
        <v/>
      </c>
      <c r="CK16" t="str">
        <f ca="1"/>
        <v/>
      </c>
      <c r="CL16" t="str">
        <f ca="1"/>
        <v/>
      </c>
      <c r="CM16" t="str">
        <f ca="1"/>
        <v/>
      </c>
      <c r="CN16" t="str">
        <f ca="1"/>
        <v/>
      </c>
      <c r="CO16" t="str">
        <f ca="1"/>
        <v/>
      </c>
      <c r="CP16" t="str">
        <f ca="1"/>
        <v/>
      </c>
      <c r="CQ16" t="str">
        <f ca="1"/>
        <v/>
      </c>
      <c r="CR16" t="str">
        <f ca="1"/>
        <v/>
      </c>
      <c r="CS16" t="str">
        <f ca="1"/>
        <v/>
      </c>
      <c r="CT16" t="str">
        <f ca="1"/>
        <v/>
      </c>
      <c r="CU16" t="str">
        <f ca="1"/>
        <v/>
      </c>
      <c r="CV16" t="str">
        <f ca="1"/>
        <v/>
      </c>
      <c r="CW16" t="str">
        <f ca="1"/>
        <v/>
      </c>
      <c r="CX16" t="str">
        <f ca="1"/>
        <v/>
      </c>
      <c r="CY16" t="str">
        <f ca="1"/>
        <v/>
      </c>
      <c r="CZ16" t="str">
        <f ca="1"/>
        <v/>
      </c>
    </row>
    <row r="17" spans="2:104">
      <c r="B17" s="61" t="s">
        <v>1683</v>
      </c>
      <c r="C17" s="69" t="s">
        <v>1667</v>
      </c>
      <c r="E17" s="104">
        <f ca="1"/>
        <v>44521</v>
      </c>
      <c r="F17" s="105">
        <f ca="1"/>
        <v>44702</v>
      </c>
      <c r="G17" s="18">
        <f ca="1"/>
        <v>0.5</v>
      </c>
      <c r="H17" s="105">
        <f ca="1"/>
        <v>44702</v>
      </c>
      <c r="I17" s="105">
        <f ca="1"/>
        <v>44695</v>
      </c>
      <c r="J17" s="18">
        <f ca="1"/>
        <v>1000000</v>
      </c>
      <c r="K17" s="93">
        <f ca="1"/>
        <v>0</v>
      </c>
      <c r="L17" s="18">
        <f ca="1"/>
        <v>1</v>
      </c>
      <c r="M17" s="77">
        <f ca="1"/>
        <v>2.2499999999999999E-2</v>
      </c>
      <c r="N17" s="18">
        <f ca="1"/>
        <v>11250</v>
      </c>
      <c r="O17" s="79">
        <f ca="1"/>
        <v>0.89260495755709479</v>
      </c>
      <c r="P17" s="18">
        <f ca="1"/>
        <v>10041.805772517317</v>
      </c>
      <c r="Q17" t="str">
        <f ca="1"/>
        <v/>
      </c>
      <c r="R17" t="str">
        <f ca="1"/>
        <v/>
      </c>
      <c r="S17" t="str">
        <f ca="1"/>
        <v/>
      </c>
      <c r="T17" t="str">
        <f ca="1"/>
        <v/>
      </c>
      <c r="U17" t="str">
        <f ca="1"/>
        <v/>
      </c>
      <c r="V17" t="str">
        <f ca="1"/>
        <v/>
      </c>
      <c r="W17" t="str">
        <f ca="1"/>
        <v/>
      </c>
      <c r="X17" t="str">
        <f ca="1"/>
        <v/>
      </c>
      <c r="Y17" t="str">
        <f ca="1"/>
        <v/>
      </c>
      <c r="Z17" t="str">
        <f ca="1"/>
        <v/>
      </c>
      <c r="AA17" t="str">
        <f ca="1"/>
        <v/>
      </c>
      <c r="AB17" t="str">
        <f ca="1"/>
        <v/>
      </c>
      <c r="AC17" t="str">
        <f ca="1"/>
        <v/>
      </c>
      <c r="AD17" t="str">
        <f ca="1"/>
        <v/>
      </c>
      <c r="AE17" t="str">
        <f ca="1"/>
        <v/>
      </c>
      <c r="AF17" t="str">
        <f ca="1"/>
        <v/>
      </c>
      <c r="AG17" t="str">
        <f ca="1"/>
        <v/>
      </c>
      <c r="AH17" t="str">
        <f ca="1"/>
        <v/>
      </c>
      <c r="AI17" t="str">
        <f ca="1"/>
        <v/>
      </c>
      <c r="AJ17" t="str">
        <f ca="1"/>
        <v/>
      </c>
      <c r="AK17" t="str">
        <f ca="1"/>
        <v/>
      </c>
      <c r="AL17" t="str">
        <f ca="1"/>
        <v/>
      </c>
      <c r="AM17" t="str">
        <f ca="1"/>
        <v/>
      </c>
      <c r="AN17" t="str">
        <f ca="1"/>
        <v/>
      </c>
      <c r="AO17" t="str">
        <f ca="1"/>
        <v/>
      </c>
      <c r="AP17" t="str">
        <f ca="1"/>
        <v/>
      </c>
      <c r="AQ17" t="str">
        <f ca="1"/>
        <v/>
      </c>
      <c r="AR17" t="str">
        <f ca="1"/>
        <v/>
      </c>
      <c r="AS17" t="str">
        <f ca="1"/>
        <v/>
      </c>
      <c r="AT17" t="str">
        <f ca="1"/>
        <v/>
      </c>
      <c r="AU17" t="str">
        <f ca="1"/>
        <v/>
      </c>
      <c r="AV17" t="str">
        <f ca="1"/>
        <v/>
      </c>
      <c r="AW17" t="str">
        <f ca="1"/>
        <v/>
      </c>
      <c r="AX17" t="str">
        <f ca="1"/>
        <v/>
      </c>
      <c r="AY17" t="str">
        <f ca="1"/>
        <v/>
      </c>
      <c r="AZ17" t="str">
        <f ca="1"/>
        <v/>
      </c>
      <c r="BA17" t="str">
        <f ca="1"/>
        <v/>
      </c>
      <c r="BB17" t="str">
        <f ca="1"/>
        <v/>
      </c>
      <c r="BC17" t="str">
        <f ca="1"/>
        <v/>
      </c>
      <c r="BD17" t="str">
        <f ca="1"/>
        <v/>
      </c>
      <c r="BE17" t="str">
        <f ca="1"/>
        <v/>
      </c>
      <c r="BF17" t="str">
        <f ca="1"/>
        <v/>
      </c>
      <c r="BG17" t="str">
        <f ca="1"/>
        <v/>
      </c>
      <c r="BH17" t="str">
        <f ca="1"/>
        <v/>
      </c>
      <c r="BI17" t="str">
        <f ca="1"/>
        <v/>
      </c>
      <c r="BJ17" t="str">
        <f ca="1"/>
        <v/>
      </c>
      <c r="BK17" t="str">
        <f ca="1"/>
        <v/>
      </c>
      <c r="BL17" t="str">
        <f ca="1"/>
        <v/>
      </c>
      <c r="BM17" t="str">
        <f ca="1"/>
        <v/>
      </c>
      <c r="BN17" t="str">
        <f ca="1"/>
        <v/>
      </c>
      <c r="BO17" t="str">
        <f ca="1"/>
        <v/>
      </c>
      <c r="BP17" t="str">
        <f ca="1"/>
        <v/>
      </c>
      <c r="BQ17" t="str">
        <f ca="1"/>
        <v/>
      </c>
      <c r="BR17" t="str">
        <f ca="1"/>
        <v/>
      </c>
      <c r="BS17" t="str">
        <f ca="1"/>
        <v/>
      </c>
      <c r="BT17" t="str">
        <f ca="1"/>
        <v/>
      </c>
      <c r="BU17" t="str">
        <f ca="1"/>
        <v/>
      </c>
      <c r="BV17" t="str">
        <f ca="1"/>
        <v/>
      </c>
      <c r="BW17" t="str">
        <f ca="1"/>
        <v/>
      </c>
      <c r="BX17" t="str">
        <f ca="1"/>
        <v/>
      </c>
      <c r="BY17" t="str">
        <f ca="1"/>
        <v/>
      </c>
      <c r="BZ17" t="str">
        <f ca="1"/>
        <v/>
      </c>
      <c r="CA17" t="str">
        <f ca="1"/>
        <v/>
      </c>
      <c r="CB17" t="str">
        <f ca="1"/>
        <v/>
      </c>
      <c r="CC17" t="str">
        <f ca="1"/>
        <v/>
      </c>
      <c r="CD17" t="str">
        <f ca="1"/>
        <v/>
      </c>
      <c r="CE17" t="str">
        <f ca="1"/>
        <v/>
      </c>
      <c r="CF17" t="str">
        <f ca="1"/>
        <v/>
      </c>
      <c r="CG17" t="str">
        <f ca="1"/>
        <v/>
      </c>
      <c r="CH17" t="str">
        <f ca="1"/>
        <v/>
      </c>
      <c r="CI17" t="str">
        <f ca="1"/>
        <v/>
      </c>
      <c r="CJ17" t="str">
        <f ca="1"/>
        <v/>
      </c>
      <c r="CK17" t="str">
        <f ca="1"/>
        <v/>
      </c>
      <c r="CL17" t="str">
        <f ca="1"/>
        <v/>
      </c>
      <c r="CM17" t="str">
        <f ca="1"/>
        <v/>
      </c>
      <c r="CN17" t="str">
        <f ca="1"/>
        <v/>
      </c>
      <c r="CO17" t="str">
        <f ca="1"/>
        <v/>
      </c>
      <c r="CP17" t="str">
        <f ca="1"/>
        <v/>
      </c>
      <c r="CQ17" t="str">
        <f ca="1"/>
        <v/>
      </c>
      <c r="CR17" t="str">
        <f ca="1"/>
        <v/>
      </c>
      <c r="CS17" t="str">
        <f ca="1"/>
        <v/>
      </c>
      <c r="CT17" t="str">
        <f ca="1"/>
        <v/>
      </c>
      <c r="CU17" t="str">
        <f ca="1"/>
        <v/>
      </c>
      <c r="CV17" t="str">
        <f ca="1"/>
        <v/>
      </c>
      <c r="CW17" t="str">
        <f ca="1"/>
        <v/>
      </c>
      <c r="CX17" t="str">
        <f ca="1"/>
        <v/>
      </c>
      <c r="CY17" t="str">
        <f ca="1"/>
        <v/>
      </c>
      <c r="CZ17" t="str">
        <f ca="1"/>
        <v/>
      </c>
    </row>
    <row r="18" spans="2:104">
      <c r="B18" s="61" t="s">
        <v>1692</v>
      </c>
      <c r="C18" s="71">
        <f>1000000</f>
        <v>1000000</v>
      </c>
      <c r="E18" s="104">
        <f ca="1"/>
        <v>44702</v>
      </c>
      <c r="F18" s="105">
        <f ca="1"/>
        <v>44886</v>
      </c>
      <c r="G18" s="18">
        <f ca="1"/>
        <v>0.5</v>
      </c>
      <c r="H18" s="105">
        <f ca="1"/>
        <v>44886</v>
      </c>
      <c r="I18" s="105">
        <f ca="1"/>
        <v>44879</v>
      </c>
      <c r="J18" s="18">
        <f ca="1"/>
        <v>1000000</v>
      </c>
      <c r="K18" s="93">
        <f ca="1"/>
        <v>0</v>
      </c>
      <c r="L18" s="18">
        <f ca="1"/>
        <v>1</v>
      </c>
      <c r="M18" s="77">
        <f ca="1"/>
        <v>2.2499999999999999E-2</v>
      </c>
      <c r="N18" s="18">
        <f ca="1"/>
        <v>11250</v>
      </c>
      <c r="O18" s="79">
        <f ca="1"/>
        <v>0.88056327945340784</v>
      </c>
      <c r="P18" s="18">
        <f ca="1"/>
        <v>9906.3368938508374</v>
      </c>
      <c r="Q18" t="str">
        <f ca="1"/>
        <v/>
      </c>
      <c r="R18" t="str">
        <f ca="1"/>
        <v/>
      </c>
      <c r="S18" t="str">
        <f ca="1"/>
        <v/>
      </c>
      <c r="T18" t="str">
        <f ca="1"/>
        <v/>
      </c>
      <c r="U18" t="str">
        <f ca="1"/>
        <v/>
      </c>
      <c r="V18" t="str">
        <f ca="1"/>
        <v/>
      </c>
      <c r="W18" t="str">
        <f ca="1"/>
        <v/>
      </c>
      <c r="X18" t="str">
        <f ca="1"/>
        <v/>
      </c>
      <c r="Y18" t="str">
        <f ca="1"/>
        <v/>
      </c>
      <c r="Z18" t="str">
        <f ca="1"/>
        <v/>
      </c>
      <c r="AA18" t="str">
        <f ca="1"/>
        <v/>
      </c>
      <c r="AB18" t="str">
        <f ca="1"/>
        <v/>
      </c>
      <c r="AC18" t="str">
        <f ca="1"/>
        <v/>
      </c>
      <c r="AD18" t="str">
        <f ca="1"/>
        <v/>
      </c>
      <c r="AE18" t="str">
        <f ca="1"/>
        <v/>
      </c>
      <c r="AF18" t="str">
        <f ca="1"/>
        <v/>
      </c>
      <c r="AG18" t="str">
        <f ca="1"/>
        <v/>
      </c>
      <c r="AH18" t="str">
        <f ca="1"/>
        <v/>
      </c>
      <c r="AI18" t="str">
        <f ca="1"/>
        <v/>
      </c>
      <c r="AJ18" t="str">
        <f ca="1"/>
        <v/>
      </c>
      <c r="AK18" t="str">
        <f ca="1"/>
        <v/>
      </c>
      <c r="AL18" t="str">
        <f ca="1"/>
        <v/>
      </c>
      <c r="AM18" t="str">
        <f ca="1"/>
        <v/>
      </c>
      <c r="AN18" t="str">
        <f ca="1"/>
        <v/>
      </c>
      <c r="AO18" t="str">
        <f ca="1"/>
        <v/>
      </c>
      <c r="AP18" t="str">
        <f ca="1"/>
        <v/>
      </c>
      <c r="AQ18" t="str">
        <f ca="1"/>
        <v/>
      </c>
      <c r="AR18" t="str">
        <f ca="1"/>
        <v/>
      </c>
      <c r="AS18" t="str">
        <f ca="1"/>
        <v/>
      </c>
      <c r="AT18" t="str">
        <f ca="1"/>
        <v/>
      </c>
      <c r="AU18" t="str">
        <f ca="1"/>
        <v/>
      </c>
      <c r="AV18" t="str">
        <f ca="1"/>
        <v/>
      </c>
      <c r="AW18" t="str">
        <f ca="1"/>
        <v/>
      </c>
      <c r="AX18" t="str">
        <f ca="1"/>
        <v/>
      </c>
      <c r="AY18" t="str">
        <f ca="1"/>
        <v/>
      </c>
      <c r="AZ18" t="str">
        <f ca="1"/>
        <v/>
      </c>
      <c r="BA18" t="str">
        <f ca="1"/>
        <v/>
      </c>
      <c r="BB18" t="str">
        <f ca="1"/>
        <v/>
      </c>
      <c r="BC18" t="str">
        <f ca="1"/>
        <v/>
      </c>
      <c r="BD18" t="str">
        <f ca="1"/>
        <v/>
      </c>
      <c r="BE18" t="str">
        <f ca="1"/>
        <v/>
      </c>
      <c r="BF18" t="str">
        <f ca="1"/>
        <v/>
      </c>
      <c r="BG18" t="str">
        <f ca="1"/>
        <v/>
      </c>
      <c r="BH18" t="str">
        <f ca="1"/>
        <v/>
      </c>
      <c r="BI18" t="str">
        <f ca="1"/>
        <v/>
      </c>
      <c r="BJ18" t="str">
        <f ca="1"/>
        <v/>
      </c>
      <c r="BK18" t="str">
        <f ca="1"/>
        <v/>
      </c>
      <c r="BL18" t="str">
        <f ca="1"/>
        <v/>
      </c>
      <c r="BM18" t="str">
        <f ca="1"/>
        <v/>
      </c>
      <c r="BN18" t="str">
        <f ca="1"/>
        <v/>
      </c>
      <c r="BO18" t="str">
        <f ca="1"/>
        <v/>
      </c>
      <c r="BP18" t="str">
        <f ca="1"/>
        <v/>
      </c>
      <c r="BQ18" t="str">
        <f ca="1"/>
        <v/>
      </c>
      <c r="BR18" t="str">
        <f ca="1"/>
        <v/>
      </c>
      <c r="BS18" t="str">
        <f ca="1"/>
        <v/>
      </c>
      <c r="BT18" t="str">
        <f ca="1"/>
        <v/>
      </c>
      <c r="BU18" t="str">
        <f ca="1"/>
        <v/>
      </c>
      <c r="BV18" t="str">
        <f ca="1"/>
        <v/>
      </c>
      <c r="BW18" t="str">
        <f ca="1"/>
        <v/>
      </c>
      <c r="BX18" t="str">
        <f ca="1"/>
        <v/>
      </c>
      <c r="BY18" t="str">
        <f ca="1"/>
        <v/>
      </c>
      <c r="BZ18" t="str">
        <f ca="1"/>
        <v/>
      </c>
      <c r="CA18" t="str">
        <f ca="1"/>
        <v/>
      </c>
      <c r="CB18" t="str">
        <f ca="1"/>
        <v/>
      </c>
      <c r="CC18" t="str">
        <f ca="1"/>
        <v/>
      </c>
      <c r="CD18" t="str">
        <f ca="1"/>
        <v/>
      </c>
      <c r="CE18" t="str">
        <f ca="1"/>
        <v/>
      </c>
      <c r="CF18" t="str">
        <f ca="1"/>
        <v/>
      </c>
      <c r="CG18" t="str">
        <f ca="1"/>
        <v/>
      </c>
      <c r="CH18" t="str">
        <f ca="1"/>
        <v/>
      </c>
      <c r="CI18" t="str">
        <f ca="1"/>
        <v/>
      </c>
      <c r="CJ18" t="str">
        <f ca="1"/>
        <v/>
      </c>
      <c r="CK18" t="str">
        <f ca="1"/>
        <v/>
      </c>
      <c r="CL18" t="str">
        <f ca="1"/>
        <v/>
      </c>
      <c r="CM18" t="str">
        <f ca="1"/>
        <v/>
      </c>
      <c r="CN18" t="str">
        <f ca="1"/>
        <v/>
      </c>
      <c r="CO18" t="str">
        <f ca="1"/>
        <v/>
      </c>
      <c r="CP18" t="str">
        <f ca="1"/>
        <v/>
      </c>
      <c r="CQ18" t="str">
        <f ca="1"/>
        <v/>
      </c>
      <c r="CR18" t="str">
        <f ca="1"/>
        <v/>
      </c>
      <c r="CS18" t="str">
        <f ca="1"/>
        <v/>
      </c>
      <c r="CT18" t="str">
        <f ca="1"/>
        <v/>
      </c>
      <c r="CU18" t="str">
        <f ca="1"/>
        <v/>
      </c>
      <c r="CV18" t="str">
        <f ca="1"/>
        <v/>
      </c>
      <c r="CW18" t="str">
        <f ca="1"/>
        <v/>
      </c>
      <c r="CX18" t="str">
        <f ca="1"/>
        <v/>
      </c>
      <c r="CY18" t="str">
        <f ca="1"/>
        <v/>
      </c>
      <c r="CZ18" t="str">
        <f ca="1"/>
        <v/>
      </c>
    </row>
    <row r="19" spans="2:104">
      <c r="B19" s="61" t="s">
        <v>1693</v>
      </c>
      <c r="C19" s="69" t="s">
        <v>1672</v>
      </c>
      <c r="E19" s="104">
        <f ca="1"/>
        <v>44886</v>
      </c>
      <c r="F19" s="105">
        <f ca="1"/>
        <v>45067</v>
      </c>
      <c r="G19" s="18">
        <f ca="1"/>
        <v>0.5</v>
      </c>
      <c r="H19" s="105">
        <f ca="1"/>
        <v>45067</v>
      </c>
      <c r="I19" s="105">
        <f ca="1"/>
        <v>45060</v>
      </c>
      <c r="J19" s="18">
        <f ca="1"/>
        <v>1000000</v>
      </c>
      <c r="K19" s="93">
        <f ca="1"/>
        <v>0</v>
      </c>
      <c r="L19" s="18">
        <f ca="1"/>
        <v>1</v>
      </c>
      <c r="M19" s="77">
        <f ca="1"/>
        <v>2.2499999999999999E-2</v>
      </c>
      <c r="N19" s="18">
        <f ca="1"/>
        <v>11250</v>
      </c>
      <c r="O19" s="79">
        <f ca="1"/>
        <v>0.86868404948573585</v>
      </c>
      <c r="P19" s="18">
        <f ca="1"/>
        <v>9772.6955567145287</v>
      </c>
      <c r="Q19" t="str">
        <f ca="1"/>
        <v/>
      </c>
      <c r="R19" t="str">
        <f ca="1"/>
        <v/>
      </c>
      <c r="S19" t="str">
        <f ca="1"/>
        <v/>
      </c>
      <c r="T19" t="str">
        <f ca="1"/>
        <v/>
      </c>
      <c r="U19" t="str">
        <f ca="1"/>
        <v/>
      </c>
      <c r="V19" t="str">
        <f ca="1"/>
        <v/>
      </c>
      <c r="W19" t="str">
        <f ca="1"/>
        <v/>
      </c>
      <c r="X19" t="str">
        <f ca="1"/>
        <v/>
      </c>
      <c r="Y19" t="str">
        <f ca="1"/>
        <v/>
      </c>
      <c r="Z19" t="str">
        <f ca="1"/>
        <v/>
      </c>
      <c r="AA19" t="str">
        <f ca="1"/>
        <v/>
      </c>
      <c r="AB19" t="str">
        <f ca="1"/>
        <v/>
      </c>
      <c r="AC19" t="str">
        <f ca="1"/>
        <v/>
      </c>
      <c r="AD19" t="str">
        <f ca="1"/>
        <v/>
      </c>
      <c r="AE19" t="str">
        <f ca="1"/>
        <v/>
      </c>
      <c r="AF19" t="str">
        <f ca="1"/>
        <v/>
      </c>
      <c r="AG19" t="str">
        <f ca="1"/>
        <v/>
      </c>
      <c r="AH19" t="str">
        <f ca="1"/>
        <v/>
      </c>
      <c r="AI19" t="str">
        <f ca="1"/>
        <v/>
      </c>
      <c r="AJ19" t="str">
        <f ca="1"/>
        <v/>
      </c>
      <c r="AK19" t="str">
        <f ca="1"/>
        <v/>
      </c>
      <c r="AL19" t="str">
        <f ca="1"/>
        <v/>
      </c>
      <c r="AM19" t="str">
        <f ca="1"/>
        <v/>
      </c>
      <c r="AN19" t="str">
        <f ca="1"/>
        <v/>
      </c>
      <c r="AO19" t="str">
        <f ca="1"/>
        <v/>
      </c>
      <c r="AP19" t="str">
        <f ca="1"/>
        <v/>
      </c>
      <c r="AQ19" t="str">
        <f ca="1"/>
        <v/>
      </c>
      <c r="AR19" t="str">
        <f ca="1"/>
        <v/>
      </c>
      <c r="AS19" t="str">
        <f ca="1"/>
        <v/>
      </c>
      <c r="AT19" t="str">
        <f ca="1"/>
        <v/>
      </c>
      <c r="AU19" t="str">
        <f ca="1"/>
        <v/>
      </c>
      <c r="AV19" t="str">
        <f ca="1"/>
        <v/>
      </c>
      <c r="AW19" t="str">
        <f ca="1"/>
        <v/>
      </c>
      <c r="AX19" t="str">
        <f ca="1"/>
        <v/>
      </c>
      <c r="AY19" t="str">
        <f ca="1"/>
        <v/>
      </c>
      <c r="AZ19" t="str">
        <f ca="1"/>
        <v/>
      </c>
      <c r="BA19" t="str">
        <f ca="1"/>
        <v/>
      </c>
      <c r="BB19" t="str">
        <f ca="1"/>
        <v/>
      </c>
      <c r="BC19" t="str">
        <f ca="1"/>
        <v/>
      </c>
      <c r="BD19" t="str">
        <f ca="1"/>
        <v/>
      </c>
      <c r="BE19" t="str">
        <f ca="1"/>
        <v/>
      </c>
      <c r="BF19" t="str">
        <f ca="1"/>
        <v/>
      </c>
      <c r="BG19" t="str">
        <f ca="1"/>
        <v/>
      </c>
      <c r="BH19" t="str">
        <f ca="1"/>
        <v/>
      </c>
      <c r="BI19" t="str">
        <f ca="1"/>
        <v/>
      </c>
      <c r="BJ19" t="str">
        <f ca="1"/>
        <v/>
      </c>
      <c r="BK19" t="str">
        <f ca="1"/>
        <v/>
      </c>
      <c r="BL19" t="str">
        <f ca="1"/>
        <v/>
      </c>
      <c r="BM19" t="str">
        <f ca="1"/>
        <v/>
      </c>
      <c r="BN19" t="str">
        <f ca="1"/>
        <v/>
      </c>
      <c r="BO19" t="str">
        <f ca="1"/>
        <v/>
      </c>
      <c r="BP19" t="str">
        <f ca="1"/>
        <v/>
      </c>
      <c r="BQ19" t="str">
        <f ca="1"/>
        <v/>
      </c>
      <c r="BR19" t="str">
        <f ca="1"/>
        <v/>
      </c>
      <c r="BS19" t="str">
        <f ca="1"/>
        <v/>
      </c>
      <c r="BT19" t="str">
        <f ca="1"/>
        <v/>
      </c>
      <c r="BU19" t="str">
        <f ca="1"/>
        <v/>
      </c>
      <c r="BV19" t="str">
        <f ca="1"/>
        <v/>
      </c>
      <c r="BW19" t="str">
        <f ca="1"/>
        <v/>
      </c>
      <c r="BX19" t="str">
        <f ca="1"/>
        <v/>
      </c>
      <c r="BY19" t="str">
        <f ca="1"/>
        <v/>
      </c>
      <c r="BZ19" t="str">
        <f ca="1"/>
        <v/>
      </c>
      <c r="CA19" t="str">
        <f ca="1"/>
        <v/>
      </c>
      <c r="CB19" t="str">
        <f ca="1"/>
        <v/>
      </c>
      <c r="CC19" t="str">
        <f ca="1"/>
        <v/>
      </c>
      <c r="CD19" t="str">
        <f ca="1"/>
        <v/>
      </c>
      <c r="CE19" t="str">
        <f ca="1"/>
        <v/>
      </c>
      <c r="CF19" t="str">
        <f ca="1"/>
        <v/>
      </c>
      <c r="CG19" t="str">
        <f ca="1"/>
        <v/>
      </c>
      <c r="CH19" t="str">
        <f ca="1"/>
        <v/>
      </c>
      <c r="CI19" t="str">
        <f ca="1"/>
        <v/>
      </c>
      <c r="CJ19" t="str">
        <f ca="1"/>
        <v/>
      </c>
      <c r="CK19" t="str">
        <f ca="1"/>
        <v/>
      </c>
      <c r="CL19" t="str">
        <f ca="1"/>
        <v/>
      </c>
      <c r="CM19" t="str">
        <f ca="1"/>
        <v/>
      </c>
      <c r="CN19" t="str">
        <f ca="1"/>
        <v/>
      </c>
      <c r="CO19" t="str">
        <f ca="1"/>
        <v/>
      </c>
      <c r="CP19" t="str">
        <f ca="1"/>
        <v/>
      </c>
      <c r="CQ19" t="str">
        <f ca="1"/>
        <v/>
      </c>
      <c r="CR19" t="str">
        <f ca="1"/>
        <v/>
      </c>
      <c r="CS19" t="str">
        <f ca="1"/>
        <v/>
      </c>
      <c r="CT19" t="str">
        <f ca="1"/>
        <v/>
      </c>
      <c r="CU19" t="str">
        <f ca="1"/>
        <v/>
      </c>
      <c r="CV19" t="str">
        <f ca="1"/>
        <v/>
      </c>
      <c r="CW19" t="str">
        <f ca="1"/>
        <v/>
      </c>
      <c r="CX19" t="str">
        <f ca="1"/>
        <v/>
      </c>
      <c r="CY19" t="str">
        <f ca="1"/>
        <v/>
      </c>
      <c r="CZ19" t="str">
        <f ca="1"/>
        <v/>
      </c>
    </row>
    <row r="20" spans="2:104">
      <c r="B20" s="61" t="s">
        <v>1694</v>
      </c>
      <c r="C20" s="69" t="s">
        <v>1673</v>
      </c>
      <c r="E20" s="104">
        <f ca="1"/>
        <v>45067</v>
      </c>
      <c r="F20" s="105">
        <f ca="1"/>
        <v>45251</v>
      </c>
      <c r="G20" s="18">
        <f ca="1"/>
        <v>0.5</v>
      </c>
      <c r="H20" s="105">
        <f ca="1"/>
        <v>45251</v>
      </c>
      <c r="I20" s="105">
        <f ca="1"/>
        <v>45244</v>
      </c>
      <c r="J20" s="18">
        <f ca="1"/>
        <v>1000000</v>
      </c>
      <c r="K20" s="93">
        <f ca="1"/>
        <v>0</v>
      </c>
      <c r="L20" s="18">
        <f ca="1"/>
        <v>1</v>
      </c>
      <c r="M20" s="77">
        <f ca="1"/>
        <v>2.2499999999999999E-2</v>
      </c>
      <c r="N20" s="18">
        <f ca="1"/>
        <v>11250</v>
      </c>
      <c r="O20" s="79">
        <f ca="1"/>
        <v>0.85696507614915163</v>
      </c>
      <c r="P20" s="18">
        <f ca="1"/>
        <v>9640.857106677955</v>
      </c>
      <c r="Q20" t="str">
        <f ca="1"/>
        <v/>
      </c>
      <c r="R20" t="str">
        <f ca="1"/>
        <v/>
      </c>
      <c r="S20" t="str">
        <f ca="1"/>
        <v/>
      </c>
      <c r="T20" t="str">
        <f ca="1"/>
        <v/>
      </c>
      <c r="U20" t="str">
        <f ca="1"/>
        <v/>
      </c>
      <c r="V20" t="str">
        <f ca="1"/>
        <v/>
      </c>
      <c r="W20" t="str">
        <f ca="1"/>
        <v/>
      </c>
      <c r="X20" t="str">
        <f ca="1"/>
        <v/>
      </c>
      <c r="Y20" t="str">
        <f ca="1"/>
        <v/>
      </c>
      <c r="Z20" t="str">
        <f ca="1"/>
        <v/>
      </c>
      <c r="AA20" t="str">
        <f ca="1"/>
        <v/>
      </c>
      <c r="AB20" t="str">
        <f ca="1"/>
        <v/>
      </c>
      <c r="AC20" t="str">
        <f ca="1"/>
        <v/>
      </c>
      <c r="AD20" t="str">
        <f ca="1"/>
        <v/>
      </c>
      <c r="AE20" t="str">
        <f ca="1"/>
        <v/>
      </c>
      <c r="AF20" t="str">
        <f ca="1"/>
        <v/>
      </c>
      <c r="AG20" t="str">
        <f ca="1"/>
        <v/>
      </c>
      <c r="AH20" t="str">
        <f ca="1"/>
        <v/>
      </c>
      <c r="AI20" t="str">
        <f ca="1"/>
        <v/>
      </c>
      <c r="AJ20" t="str">
        <f ca="1"/>
        <v/>
      </c>
      <c r="AK20" t="str">
        <f ca="1"/>
        <v/>
      </c>
      <c r="AL20" t="str">
        <f ca="1"/>
        <v/>
      </c>
      <c r="AM20" t="str">
        <f ca="1"/>
        <v/>
      </c>
      <c r="AN20" t="str">
        <f ca="1"/>
        <v/>
      </c>
      <c r="AO20" t="str">
        <f ca="1"/>
        <v/>
      </c>
      <c r="AP20" t="str">
        <f ca="1"/>
        <v/>
      </c>
      <c r="AQ20" t="str">
        <f ca="1"/>
        <v/>
      </c>
      <c r="AR20" t="str">
        <f ca="1"/>
        <v/>
      </c>
      <c r="AS20" t="str">
        <f ca="1"/>
        <v/>
      </c>
      <c r="AT20" t="str">
        <f ca="1"/>
        <v/>
      </c>
      <c r="AU20" t="str">
        <f ca="1"/>
        <v/>
      </c>
      <c r="AV20" t="str">
        <f ca="1"/>
        <v/>
      </c>
      <c r="AW20" t="str">
        <f ca="1"/>
        <v/>
      </c>
      <c r="AX20" t="str">
        <f ca="1"/>
        <v/>
      </c>
      <c r="AY20" t="str">
        <f ca="1"/>
        <v/>
      </c>
      <c r="AZ20" t="str">
        <f ca="1"/>
        <v/>
      </c>
      <c r="BA20" t="str">
        <f ca="1"/>
        <v/>
      </c>
      <c r="BB20" t="str">
        <f ca="1"/>
        <v/>
      </c>
      <c r="BC20" t="str">
        <f ca="1"/>
        <v/>
      </c>
      <c r="BD20" t="str">
        <f ca="1"/>
        <v/>
      </c>
      <c r="BE20" t="str">
        <f ca="1"/>
        <v/>
      </c>
      <c r="BF20" t="str">
        <f ca="1"/>
        <v/>
      </c>
      <c r="BG20" t="str">
        <f ca="1"/>
        <v/>
      </c>
      <c r="BH20" t="str">
        <f ca="1"/>
        <v/>
      </c>
      <c r="BI20" t="str">
        <f ca="1"/>
        <v/>
      </c>
      <c r="BJ20" t="str">
        <f ca="1"/>
        <v/>
      </c>
      <c r="BK20" t="str">
        <f ca="1"/>
        <v/>
      </c>
      <c r="BL20" t="str">
        <f ca="1"/>
        <v/>
      </c>
      <c r="BM20" t="str">
        <f ca="1"/>
        <v/>
      </c>
      <c r="BN20" t="str">
        <f ca="1"/>
        <v/>
      </c>
      <c r="BO20" t="str">
        <f ca="1"/>
        <v/>
      </c>
      <c r="BP20" t="str">
        <f ca="1"/>
        <v/>
      </c>
      <c r="BQ20" t="str">
        <f ca="1"/>
        <v/>
      </c>
      <c r="BR20" t="str">
        <f ca="1"/>
        <v/>
      </c>
      <c r="BS20" t="str">
        <f ca="1"/>
        <v/>
      </c>
      <c r="BT20" t="str">
        <f ca="1"/>
        <v/>
      </c>
      <c r="BU20" t="str">
        <f ca="1"/>
        <v/>
      </c>
      <c r="BV20" t="str">
        <f ca="1"/>
        <v/>
      </c>
      <c r="BW20" t="str">
        <f ca="1"/>
        <v/>
      </c>
      <c r="BX20" t="str">
        <f ca="1"/>
        <v/>
      </c>
      <c r="BY20" t="str">
        <f ca="1"/>
        <v/>
      </c>
      <c r="BZ20" t="str">
        <f ca="1"/>
        <v/>
      </c>
      <c r="CA20" t="str">
        <f ca="1"/>
        <v/>
      </c>
      <c r="CB20" t="str">
        <f ca="1"/>
        <v/>
      </c>
      <c r="CC20" t="str">
        <f ca="1"/>
        <v/>
      </c>
      <c r="CD20" t="str">
        <f ca="1"/>
        <v/>
      </c>
      <c r="CE20" t="str">
        <f ca="1"/>
        <v/>
      </c>
      <c r="CF20" t="str">
        <f ca="1"/>
        <v/>
      </c>
      <c r="CG20" t="str">
        <f ca="1"/>
        <v/>
      </c>
      <c r="CH20" t="str">
        <f ca="1"/>
        <v/>
      </c>
      <c r="CI20" t="str">
        <f ca="1"/>
        <v/>
      </c>
      <c r="CJ20" t="str">
        <f ca="1"/>
        <v/>
      </c>
      <c r="CK20" t="str">
        <f ca="1"/>
        <v/>
      </c>
      <c r="CL20" t="str">
        <f ca="1"/>
        <v/>
      </c>
      <c r="CM20" t="str">
        <f ca="1"/>
        <v/>
      </c>
      <c r="CN20" t="str">
        <f ca="1"/>
        <v/>
      </c>
      <c r="CO20" t="str">
        <f ca="1"/>
        <v/>
      </c>
      <c r="CP20" t="str">
        <f ca="1"/>
        <v/>
      </c>
      <c r="CQ20" t="str">
        <f ca="1"/>
        <v/>
      </c>
      <c r="CR20" t="str">
        <f ca="1"/>
        <v/>
      </c>
      <c r="CS20" t="str">
        <f ca="1"/>
        <v/>
      </c>
      <c r="CT20" t="str">
        <f ca="1"/>
        <v/>
      </c>
      <c r="CU20" t="str">
        <f ca="1"/>
        <v/>
      </c>
      <c r="CV20" t="str">
        <f ca="1"/>
        <v/>
      </c>
      <c r="CW20" t="str">
        <f ca="1"/>
        <v/>
      </c>
      <c r="CX20" t="str">
        <f ca="1"/>
        <v/>
      </c>
      <c r="CY20" t="str">
        <f ca="1"/>
        <v/>
      </c>
      <c r="CZ20" t="str">
        <f ca="1"/>
        <v/>
      </c>
    </row>
    <row r="21" spans="2:104">
      <c r="B21" s="61" t="s">
        <v>1691</v>
      </c>
      <c r="C21" s="69" t="s">
        <v>1674</v>
      </c>
      <c r="E21" s="104">
        <f ca="1"/>
        <v>45251</v>
      </c>
      <c r="F21" s="105">
        <f ca="1"/>
        <v>45433</v>
      </c>
      <c r="G21" s="18">
        <f ca="1"/>
        <v>0.5</v>
      </c>
      <c r="H21" s="105">
        <f ca="1"/>
        <v>45433</v>
      </c>
      <c r="I21" s="105">
        <f ca="1"/>
        <v>45426</v>
      </c>
      <c r="J21" s="18">
        <f ca="1"/>
        <v>1000000</v>
      </c>
      <c r="K21" s="93">
        <f ca="1"/>
        <v>0</v>
      </c>
      <c r="L21" s="18">
        <f ca="1"/>
        <v>1</v>
      </c>
      <c r="M21" s="77">
        <f ca="1"/>
        <v>2.2499999999999999E-2</v>
      </c>
      <c r="N21" s="18">
        <f ca="1"/>
        <v>11250</v>
      </c>
      <c r="O21" s="79">
        <f ca="1"/>
        <v>0.84540419750320295</v>
      </c>
      <c r="P21" s="18">
        <f ca="1"/>
        <v>9510.7972219110325</v>
      </c>
      <c r="Q21" t="str">
        <f ca="1"/>
        <v/>
      </c>
      <c r="R21" t="str">
        <f ca="1"/>
        <v/>
      </c>
      <c r="S21" t="str">
        <f ca="1"/>
        <v/>
      </c>
      <c r="T21" t="str">
        <f ca="1"/>
        <v/>
      </c>
      <c r="U21" t="str">
        <f ca="1"/>
        <v/>
      </c>
      <c r="V21" t="str">
        <f ca="1"/>
        <v/>
      </c>
      <c r="W21" t="str">
        <f ca="1"/>
        <v/>
      </c>
      <c r="X21" t="str">
        <f ca="1"/>
        <v/>
      </c>
      <c r="Y21" t="str">
        <f ca="1"/>
        <v/>
      </c>
      <c r="Z21" t="str">
        <f ca="1"/>
        <v/>
      </c>
      <c r="AA21" t="str">
        <f ca="1"/>
        <v/>
      </c>
      <c r="AB21" t="str">
        <f ca="1"/>
        <v/>
      </c>
      <c r="AC21" t="str">
        <f ca="1"/>
        <v/>
      </c>
      <c r="AD21" t="str">
        <f ca="1"/>
        <v/>
      </c>
      <c r="AE21" t="str">
        <f ca="1"/>
        <v/>
      </c>
      <c r="AF21" t="str">
        <f ca="1"/>
        <v/>
      </c>
      <c r="AG21" t="str">
        <f ca="1"/>
        <v/>
      </c>
      <c r="AH21" t="str">
        <f ca="1"/>
        <v/>
      </c>
      <c r="AI21" t="str">
        <f ca="1"/>
        <v/>
      </c>
      <c r="AJ21" t="str">
        <f ca="1"/>
        <v/>
      </c>
      <c r="AK21" t="str">
        <f ca="1"/>
        <v/>
      </c>
      <c r="AL21" t="str">
        <f ca="1"/>
        <v/>
      </c>
      <c r="AM21" t="str">
        <f ca="1"/>
        <v/>
      </c>
      <c r="AN21" t="str">
        <f ca="1"/>
        <v/>
      </c>
      <c r="AO21" t="str">
        <f ca="1"/>
        <v/>
      </c>
      <c r="AP21" t="str">
        <f ca="1"/>
        <v/>
      </c>
      <c r="AQ21" t="str">
        <f ca="1"/>
        <v/>
      </c>
      <c r="AR21" t="str">
        <f ca="1"/>
        <v/>
      </c>
      <c r="AS21" t="str">
        <f ca="1"/>
        <v/>
      </c>
      <c r="AT21" t="str">
        <f ca="1"/>
        <v/>
      </c>
      <c r="AU21" t="str">
        <f ca="1"/>
        <v/>
      </c>
      <c r="AV21" t="str">
        <f ca="1"/>
        <v/>
      </c>
      <c r="AW21" t="str">
        <f ca="1"/>
        <v/>
      </c>
      <c r="AX21" t="str">
        <f ca="1"/>
        <v/>
      </c>
      <c r="AY21" t="str">
        <f ca="1"/>
        <v/>
      </c>
      <c r="AZ21" t="str">
        <f ca="1"/>
        <v/>
      </c>
      <c r="BA21" t="str">
        <f ca="1"/>
        <v/>
      </c>
      <c r="BB21" t="str">
        <f ca="1"/>
        <v/>
      </c>
      <c r="BC21" t="str">
        <f ca="1"/>
        <v/>
      </c>
      <c r="BD21" t="str">
        <f ca="1"/>
        <v/>
      </c>
      <c r="BE21" t="str">
        <f ca="1"/>
        <v/>
      </c>
      <c r="BF21" t="str">
        <f ca="1"/>
        <v/>
      </c>
      <c r="BG21" t="str">
        <f ca="1"/>
        <v/>
      </c>
      <c r="BH21" t="str">
        <f ca="1"/>
        <v/>
      </c>
      <c r="BI21" t="str">
        <f ca="1"/>
        <v/>
      </c>
      <c r="BJ21" t="str">
        <f ca="1"/>
        <v/>
      </c>
      <c r="BK21" t="str">
        <f ca="1"/>
        <v/>
      </c>
      <c r="BL21" t="str">
        <f ca="1"/>
        <v/>
      </c>
      <c r="BM21" t="str">
        <f ca="1"/>
        <v/>
      </c>
      <c r="BN21" t="str">
        <f ca="1"/>
        <v/>
      </c>
      <c r="BO21" t="str">
        <f ca="1"/>
        <v/>
      </c>
      <c r="BP21" t="str">
        <f ca="1"/>
        <v/>
      </c>
      <c r="BQ21" t="str">
        <f ca="1"/>
        <v/>
      </c>
      <c r="BR21" t="str">
        <f ca="1"/>
        <v/>
      </c>
      <c r="BS21" t="str">
        <f ca="1"/>
        <v/>
      </c>
      <c r="BT21" t="str">
        <f ca="1"/>
        <v/>
      </c>
      <c r="BU21" t="str">
        <f ca="1"/>
        <v/>
      </c>
      <c r="BV21" t="str">
        <f ca="1"/>
        <v/>
      </c>
      <c r="BW21" t="str">
        <f ca="1"/>
        <v/>
      </c>
      <c r="BX21" t="str">
        <f ca="1"/>
        <v/>
      </c>
      <c r="BY21" t="str">
        <f ca="1"/>
        <v/>
      </c>
      <c r="BZ21" t="str">
        <f ca="1"/>
        <v/>
      </c>
      <c r="CA21" t="str">
        <f ca="1"/>
        <v/>
      </c>
      <c r="CB21" t="str">
        <f ca="1"/>
        <v/>
      </c>
      <c r="CC21" t="str">
        <f ca="1"/>
        <v/>
      </c>
      <c r="CD21" t="str">
        <f ca="1"/>
        <v/>
      </c>
      <c r="CE21" t="str">
        <f ca="1"/>
        <v/>
      </c>
      <c r="CF21" t="str">
        <f ca="1"/>
        <v/>
      </c>
      <c r="CG21" t="str">
        <f ca="1"/>
        <v/>
      </c>
      <c r="CH21" t="str">
        <f ca="1"/>
        <v/>
      </c>
      <c r="CI21" t="str">
        <f ca="1"/>
        <v/>
      </c>
      <c r="CJ21" t="str">
        <f ca="1"/>
        <v/>
      </c>
      <c r="CK21" t="str">
        <f ca="1"/>
        <v/>
      </c>
      <c r="CL21" t="str">
        <f ca="1"/>
        <v/>
      </c>
      <c r="CM21" t="str">
        <f ca="1"/>
        <v/>
      </c>
      <c r="CN21" t="str">
        <f ca="1"/>
        <v/>
      </c>
      <c r="CO21" t="str">
        <f ca="1"/>
        <v/>
      </c>
      <c r="CP21" t="str">
        <f ca="1"/>
        <v/>
      </c>
      <c r="CQ21" t="str">
        <f ca="1"/>
        <v/>
      </c>
      <c r="CR21" t="str">
        <f ca="1"/>
        <v/>
      </c>
      <c r="CS21" t="str">
        <f ca="1"/>
        <v/>
      </c>
      <c r="CT21" t="str">
        <f ca="1"/>
        <v/>
      </c>
      <c r="CU21" t="str">
        <f ca="1"/>
        <v/>
      </c>
      <c r="CV21" t="str">
        <f ca="1"/>
        <v/>
      </c>
      <c r="CW21" t="str">
        <f ca="1"/>
        <v/>
      </c>
      <c r="CX21" t="str">
        <f ca="1"/>
        <v/>
      </c>
      <c r="CY21" t="str">
        <f ca="1"/>
        <v/>
      </c>
      <c r="CZ21" t="str">
        <f ca="1"/>
        <v/>
      </c>
    </row>
    <row r="22" spans="2:104">
      <c r="B22" s="61" t="s">
        <v>1695</v>
      </c>
      <c r="C22" s="69" t="s">
        <v>1673</v>
      </c>
      <c r="E22" s="104">
        <f ca="1"/>
        <v>45433</v>
      </c>
      <c r="F22" s="105">
        <f ca="1"/>
        <v>45617</v>
      </c>
      <c r="G22" s="18">
        <f ca="1"/>
        <v>0.5</v>
      </c>
      <c r="H22" s="105">
        <f ca="1"/>
        <v>45617</v>
      </c>
      <c r="I22" s="105">
        <f ca="1"/>
        <v>45610</v>
      </c>
      <c r="J22" s="18">
        <f ca="1"/>
        <v>1000000</v>
      </c>
      <c r="K22" s="93">
        <f ca="1"/>
        <v>0</v>
      </c>
      <c r="L22" s="18">
        <f ca="1"/>
        <v>1</v>
      </c>
      <c r="M22" s="77">
        <f ca="1"/>
        <v>2.2499999999999999E-2</v>
      </c>
      <c r="N22" s="18">
        <f ca="1"/>
        <v>11250</v>
      </c>
      <c r="O22" s="79">
        <f ca="1"/>
        <v>0.83399928077307361</v>
      </c>
      <c r="P22" s="18">
        <f ca="1"/>
        <v>9382.4919086970785</v>
      </c>
      <c r="Q22" t="str">
        <f ca="1"/>
        <v/>
      </c>
      <c r="R22" t="str">
        <f ca="1"/>
        <v/>
      </c>
      <c r="S22" t="str">
        <f ca="1"/>
        <v/>
      </c>
      <c r="T22" t="str">
        <f ca="1"/>
        <v/>
      </c>
      <c r="U22" t="str">
        <f ca="1"/>
        <v/>
      </c>
      <c r="V22" t="str">
        <f ca="1"/>
        <v/>
      </c>
      <c r="W22" t="str">
        <f ca="1"/>
        <v/>
      </c>
      <c r="X22" t="str">
        <f ca="1"/>
        <v/>
      </c>
      <c r="Y22" t="str">
        <f ca="1"/>
        <v/>
      </c>
      <c r="Z22" t="str">
        <f ca="1"/>
        <v/>
      </c>
      <c r="AA22" t="str">
        <f ca="1"/>
        <v/>
      </c>
      <c r="AB22" t="str">
        <f ca="1"/>
        <v/>
      </c>
      <c r="AC22" t="str">
        <f ca="1"/>
        <v/>
      </c>
      <c r="AD22" t="str">
        <f ca="1"/>
        <v/>
      </c>
      <c r="AE22" t="str">
        <f ca="1"/>
        <v/>
      </c>
      <c r="AF22" t="str">
        <f ca="1"/>
        <v/>
      </c>
      <c r="AG22" t="str">
        <f ca="1"/>
        <v/>
      </c>
      <c r="AH22" t="str">
        <f ca="1"/>
        <v/>
      </c>
      <c r="AI22" t="str">
        <f ca="1"/>
        <v/>
      </c>
      <c r="AJ22" t="str">
        <f ca="1"/>
        <v/>
      </c>
      <c r="AK22" t="str">
        <f ca="1"/>
        <v/>
      </c>
      <c r="AL22" t="str">
        <f ca="1"/>
        <v/>
      </c>
      <c r="AM22" t="str">
        <f ca="1"/>
        <v/>
      </c>
      <c r="AN22" t="str">
        <f ca="1"/>
        <v/>
      </c>
      <c r="AO22" t="str">
        <f ca="1"/>
        <v/>
      </c>
      <c r="AP22" t="str">
        <f ca="1"/>
        <v/>
      </c>
      <c r="AQ22" t="str">
        <f ca="1"/>
        <v/>
      </c>
      <c r="AR22" t="str">
        <f ca="1"/>
        <v/>
      </c>
      <c r="AS22" t="str">
        <f ca="1"/>
        <v/>
      </c>
      <c r="AT22" t="str">
        <f ca="1"/>
        <v/>
      </c>
      <c r="AU22" t="str">
        <f ca="1"/>
        <v/>
      </c>
      <c r="AV22" t="str">
        <f ca="1"/>
        <v/>
      </c>
      <c r="AW22" t="str">
        <f ca="1"/>
        <v/>
      </c>
      <c r="AX22" t="str">
        <f ca="1"/>
        <v/>
      </c>
      <c r="AY22" t="str">
        <f ca="1"/>
        <v/>
      </c>
      <c r="AZ22" t="str">
        <f ca="1"/>
        <v/>
      </c>
      <c r="BA22" t="str">
        <f ca="1"/>
        <v/>
      </c>
      <c r="BB22" t="str">
        <f ca="1"/>
        <v/>
      </c>
      <c r="BC22" t="str">
        <f ca="1"/>
        <v/>
      </c>
      <c r="BD22" t="str">
        <f ca="1"/>
        <v/>
      </c>
      <c r="BE22" t="str">
        <f ca="1"/>
        <v/>
      </c>
      <c r="BF22" t="str">
        <f ca="1"/>
        <v/>
      </c>
      <c r="BG22" t="str">
        <f ca="1"/>
        <v/>
      </c>
      <c r="BH22" t="str">
        <f ca="1"/>
        <v/>
      </c>
      <c r="BI22" t="str">
        <f ca="1"/>
        <v/>
      </c>
      <c r="BJ22" t="str">
        <f ca="1"/>
        <v/>
      </c>
      <c r="BK22" t="str">
        <f ca="1"/>
        <v/>
      </c>
      <c r="BL22" t="str">
        <f ca="1"/>
        <v/>
      </c>
      <c r="BM22" t="str">
        <f ca="1"/>
        <v/>
      </c>
      <c r="BN22" t="str">
        <f ca="1"/>
        <v/>
      </c>
      <c r="BO22" t="str">
        <f ca="1"/>
        <v/>
      </c>
      <c r="BP22" t="str">
        <f ca="1"/>
        <v/>
      </c>
      <c r="BQ22" t="str">
        <f ca="1"/>
        <v/>
      </c>
      <c r="BR22" t="str">
        <f ca="1"/>
        <v/>
      </c>
      <c r="BS22" t="str">
        <f ca="1"/>
        <v/>
      </c>
      <c r="BT22" t="str">
        <f ca="1"/>
        <v/>
      </c>
      <c r="BU22" t="str">
        <f ca="1"/>
        <v/>
      </c>
      <c r="BV22" t="str">
        <f ca="1"/>
        <v/>
      </c>
      <c r="BW22" t="str">
        <f ca="1"/>
        <v/>
      </c>
      <c r="BX22" t="str">
        <f ca="1"/>
        <v/>
      </c>
      <c r="BY22" t="str">
        <f ca="1"/>
        <v/>
      </c>
      <c r="BZ22" t="str">
        <f ca="1"/>
        <v/>
      </c>
      <c r="CA22" t="str">
        <f ca="1"/>
        <v/>
      </c>
      <c r="CB22" t="str">
        <f ca="1"/>
        <v/>
      </c>
      <c r="CC22" t="str">
        <f ca="1"/>
        <v/>
      </c>
      <c r="CD22" t="str">
        <f ca="1"/>
        <v/>
      </c>
      <c r="CE22" t="str">
        <f ca="1"/>
        <v/>
      </c>
      <c r="CF22" t="str">
        <f ca="1"/>
        <v/>
      </c>
      <c r="CG22" t="str">
        <f ca="1"/>
        <v/>
      </c>
      <c r="CH22" t="str">
        <f ca="1"/>
        <v/>
      </c>
      <c r="CI22" t="str">
        <f ca="1"/>
        <v/>
      </c>
      <c r="CJ22" t="str">
        <f ca="1"/>
        <v/>
      </c>
      <c r="CK22" t="str">
        <f ca="1"/>
        <v/>
      </c>
      <c r="CL22" t="str">
        <f ca="1"/>
        <v/>
      </c>
      <c r="CM22" t="str">
        <f ca="1"/>
        <v/>
      </c>
      <c r="CN22" t="str">
        <f ca="1"/>
        <v/>
      </c>
      <c r="CO22" t="str">
        <f ca="1"/>
        <v/>
      </c>
      <c r="CP22" t="str">
        <f ca="1"/>
        <v/>
      </c>
      <c r="CQ22" t="str">
        <f ca="1"/>
        <v/>
      </c>
      <c r="CR22" t="str">
        <f ca="1"/>
        <v/>
      </c>
      <c r="CS22" t="str">
        <f ca="1"/>
        <v/>
      </c>
      <c r="CT22" t="str">
        <f ca="1"/>
        <v/>
      </c>
      <c r="CU22" t="str">
        <f ca="1"/>
        <v/>
      </c>
      <c r="CV22" t="str">
        <f ca="1"/>
        <v/>
      </c>
      <c r="CW22" t="str">
        <f ca="1"/>
        <v/>
      </c>
      <c r="CX22" t="str">
        <f ca="1"/>
        <v/>
      </c>
      <c r="CY22" t="str">
        <f ca="1"/>
        <v/>
      </c>
      <c r="CZ22" t="str">
        <f ca="1"/>
        <v/>
      </c>
    </row>
    <row r="23" spans="2:104">
      <c r="B23" s="61" t="s">
        <v>1696</v>
      </c>
      <c r="C23" s="69" t="s">
        <v>1674</v>
      </c>
      <c r="E23" s="104">
        <f ca="1"/>
        <v>45617</v>
      </c>
      <c r="F23" s="105">
        <f ca="1"/>
        <v>45798</v>
      </c>
      <c r="G23" s="18">
        <f ca="1"/>
        <v>0.5</v>
      </c>
      <c r="H23" s="105">
        <f ca="1"/>
        <v>45798</v>
      </c>
      <c r="I23" s="105">
        <f ca="1"/>
        <v>45791</v>
      </c>
      <c r="J23" s="18">
        <f ca="1"/>
        <v>1000000</v>
      </c>
      <c r="K23" s="93">
        <f ca="1"/>
        <v>0</v>
      </c>
      <c r="L23" s="18">
        <f ca="1"/>
        <v>1</v>
      </c>
      <c r="M23" s="77">
        <f ca="1"/>
        <v>2.2499999999999999E-2</v>
      </c>
      <c r="N23" s="18">
        <f ca="1"/>
        <v>11250</v>
      </c>
      <c r="O23" s="79">
        <f ca="1"/>
        <v>0.82274822195612385</v>
      </c>
      <c r="P23" s="18">
        <f ca="1"/>
        <v>9255.9174970063941</v>
      </c>
      <c r="Q23" t="str">
        <f ca="1"/>
        <v/>
      </c>
      <c r="R23" t="str">
        <f ca="1"/>
        <v/>
      </c>
      <c r="S23" t="str">
        <f ca="1"/>
        <v/>
      </c>
      <c r="T23" t="str">
        <f ca="1"/>
        <v/>
      </c>
      <c r="U23" t="str">
        <f ca="1"/>
        <v/>
      </c>
      <c r="V23" t="str">
        <f ca="1"/>
        <v/>
      </c>
      <c r="W23" t="str">
        <f ca="1"/>
        <v/>
      </c>
      <c r="X23" t="str">
        <f ca="1"/>
        <v/>
      </c>
      <c r="Y23" t="str">
        <f ca="1"/>
        <v/>
      </c>
      <c r="Z23" t="str">
        <f ca="1"/>
        <v/>
      </c>
      <c r="AA23" t="str">
        <f ca="1"/>
        <v/>
      </c>
      <c r="AB23" t="str">
        <f ca="1"/>
        <v/>
      </c>
      <c r="AC23" t="str">
        <f ca="1"/>
        <v/>
      </c>
      <c r="AD23" t="str">
        <f ca="1"/>
        <v/>
      </c>
      <c r="AE23" t="str">
        <f ca="1"/>
        <v/>
      </c>
      <c r="AF23" t="str">
        <f ca="1"/>
        <v/>
      </c>
      <c r="AG23" t="str">
        <f ca="1"/>
        <v/>
      </c>
      <c r="AH23" t="str">
        <f ca="1"/>
        <v/>
      </c>
      <c r="AI23" t="str">
        <f ca="1"/>
        <v/>
      </c>
      <c r="AJ23" t="str">
        <f ca="1"/>
        <v/>
      </c>
      <c r="AK23" t="str">
        <f ca="1"/>
        <v/>
      </c>
      <c r="AL23" t="str">
        <f ca="1"/>
        <v/>
      </c>
      <c r="AM23" t="str">
        <f ca="1"/>
        <v/>
      </c>
      <c r="AN23" t="str">
        <f ca="1"/>
        <v/>
      </c>
      <c r="AO23" t="str">
        <f ca="1"/>
        <v/>
      </c>
      <c r="AP23" t="str">
        <f ca="1"/>
        <v/>
      </c>
      <c r="AQ23" t="str">
        <f ca="1"/>
        <v/>
      </c>
      <c r="AR23" t="str">
        <f ca="1"/>
        <v/>
      </c>
      <c r="AS23" t="str">
        <f ca="1"/>
        <v/>
      </c>
      <c r="AT23" t="str">
        <f ca="1"/>
        <v/>
      </c>
      <c r="AU23" t="str">
        <f ca="1"/>
        <v/>
      </c>
      <c r="AV23" t="str">
        <f ca="1"/>
        <v/>
      </c>
      <c r="AW23" t="str">
        <f ca="1"/>
        <v/>
      </c>
      <c r="AX23" t="str">
        <f ca="1"/>
        <v/>
      </c>
      <c r="AY23" t="str">
        <f ca="1"/>
        <v/>
      </c>
      <c r="AZ23" t="str">
        <f ca="1"/>
        <v/>
      </c>
      <c r="BA23" t="str">
        <f ca="1"/>
        <v/>
      </c>
      <c r="BB23" t="str">
        <f ca="1"/>
        <v/>
      </c>
      <c r="BC23" t="str">
        <f ca="1"/>
        <v/>
      </c>
      <c r="BD23" t="str">
        <f ca="1"/>
        <v/>
      </c>
      <c r="BE23" t="str">
        <f ca="1"/>
        <v/>
      </c>
      <c r="BF23" t="str">
        <f ca="1"/>
        <v/>
      </c>
      <c r="BG23" t="str">
        <f ca="1"/>
        <v/>
      </c>
      <c r="BH23" t="str">
        <f ca="1"/>
        <v/>
      </c>
      <c r="BI23" t="str">
        <f ca="1"/>
        <v/>
      </c>
      <c r="BJ23" t="str">
        <f ca="1"/>
        <v/>
      </c>
      <c r="BK23" t="str">
        <f ca="1"/>
        <v/>
      </c>
      <c r="BL23" t="str">
        <f ca="1"/>
        <v/>
      </c>
      <c r="BM23" t="str">
        <f ca="1"/>
        <v/>
      </c>
      <c r="BN23" t="str">
        <f ca="1"/>
        <v/>
      </c>
      <c r="BO23" t="str">
        <f ca="1"/>
        <v/>
      </c>
      <c r="BP23" t="str">
        <f ca="1"/>
        <v/>
      </c>
      <c r="BQ23" t="str">
        <f ca="1"/>
        <v/>
      </c>
      <c r="BR23" t="str">
        <f ca="1"/>
        <v/>
      </c>
      <c r="BS23" t="str">
        <f ca="1"/>
        <v/>
      </c>
      <c r="BT23" t="str">
        <f ca="1"/>
        <v/>
      </c>
      <c r="BU23" t="str">
        <f ca="1"/>
        <v/>
      </c>
      <c r="BV23" t="str">
        <f ca="1"/>
        <v/>
      </c>
      <c r="BW23" t="str">
        <f ca="1"/>
        <v/>
      </c>
      <c r="BX23" t="str">
        <f ca="1"/>
        <v/>
      </c>
      <c r="BY23" t="str">
        <f ca="1"/>
        <v/>
      </c>
      <c r="BZ23" t="str">
        <f ca="1"/>
        <v/>
      </c>
      <c r="CA23" t="str">
        <f ca="1"/>
        <v/>
      </c>
      <c r="CB23" t="str">
        <f ca="1"/>
        <v/>
      </c>
      <c r="CC23" t="str">
        <f ca="1"/>
        <v/>
      </c>
      <c r="CD23" t="str">
        <f ca="1"/>
        <v/>
      </c>
      <c r="CE23" t="str">
        <f ca="1"/>
        <v/>
      </c>
      <c r="CF23" t="str">
        <f ca="1"/>
        <v/>
      </c>
      <c r="CG23" t="str">
        <f ca="1"/>
        <v/>
      </c>
      <c r="CH23" t="str">
        <f ca="1"/>
        <v/>
      </c>
      <c r="CI23" t="str">
        <f ca="1"/>
        <v/>
      </c>
      <c r="CJ23" t="str">
        <f ca="1"/>
        <v/>
      </c>
      <c r="CK23" t="str">
        <f ca="1"/>
        <v/>
      </c>
      <c r="CL23" t="str">
        <f ca="1"/>
        <v/>
      </c>
      <c r="CM23" t="str">
        <f ca="1"/>
        <v/>
      </c>
      <c r="CN23" t="str">
        <f ca="1"/>
        <v/>
      </c>
      <c r="CO23" t="str">
        <f ca="1"/>
        <v/>
      </c>
      <c r="CP23" t="str">
        <f ca="1"/>
        <v/>
      </c>
      <c r="CQ23" t="str">
        <f ca="1"/>
        <v/>
      </c>
      <c r="CR23" t="str">
        <f ca="1"/>
        <v/>
      </c>
      <c r="CS23" t="str">
        <f ca="1"/>
        <v/>
      </c>
      <c r="CT23" t="str">
        <f ca="1"/>
        <v/>
      </c>
      <c r="CU23" t="str">
        <f ca="1"/>
        <v/>
      </c>
      <c r="CV23" t="str">
        <f ca="1"/>
        <v/>
      </c>
      <c r="CW23" t="str">
        <f ca="1"/>
        <v/>
      </c>
      <c r="CX23" t="str">
        <f ca="1"/>
        <v/>
      </c>
      <c r="CY23" t="str">
        <f ca="1"/>
        <v/>
      </c>
      <c r="CZ23" t="str">
        <f ca="1"/>
        <v/>
      </c>
    </row>
    <row r="24" spans="2:104">
      <c r="B24" s="61" t="s">
        <v>1697</v>
      </c>
      <c r="C24" s="69" t="s">
        <v>1675</v>
      </c>
      <c r="E24" s="104">
        <f ca="1"/>
        <v>45798</v>
      </c>
      <c r="F24" s="105">
        <f ca="1"/>
        <v>45982</v>
      </c>
      <c r="G24" s="18">
        <f ca="1"/>
        <v>0.5</v>
      </c>
      <c r="H24" s="105">
        <f ca="1"/>
        <v>45982</v>
      </c>
      <c r="I24" s="105">
        <f ca="1"/>
        <v>45975</v>
      </c>
      <c r="J24" s="18">
        <f ca="1"/>
        <v>1000000</v>
      </c>
      <c r="K24" s="93">
        <f ca="1"/>
        <v>0</v>
      </c>
      <c r="L24" s="18">
        <f ca="1"/>
        <v>1</v>
      </c>
      <c r="M24" s="77">
        <f ca="1"/>
        <v>2.2499999999999999E-2</v>
      </c>
      <c r="N24" s="18">
        <f ca="1"/>
        <v>11250</v>
      </c>
      <c r="O24" s="79">
        <f ca="1"/>
        <v>0.81164894543374055</v>
      </c>
      <c r="P24" s="18">
        <f ca="1"/>
        <v>9131.0506361295811</v>
      </c>
      <c r="Q24" t="str">
        <f ca="1"/>
        <v/>
      </c>
      <c r="R24" t="str">
        <f ca="1"/>
        <v/>
      </c>
      <c r="S24" t="str">
        <f ca="1"/>
        <v/>
      </c>
      <c r="T24" t="str">
        <f ca="1"/>
        <v/>
      </c>
      <c r="U24" t="str">
        <f ca="1"/>
        <v/>
      </c>
      <c r="V24" t="str">
        <f ca="1"/>
        <v/>
      </c>
      <c r="W24" t="str">
        <f ca="1"/>
        <v/>
      </c>
      <c r="X24" t="str">
        <f ca="1"/>
        <v/>
      </c>
      <c r="Y24" t="str">
        <f ca="1"/>
        <v/>
      </c>
      <c r="Z24" t="str">
        <f ca="1"/>
        <v/>
      </c>
      <c r="AA24" t="str">
        <f ca="1"/>
        <v/>
      </c>
      <c r="AB24" t="str">
        <f ca="1"/>
        <v/>
      </c>
      <c r="AC24" t="str">
        <f ca="1"/>
        <v/>
      </c>
      <c r="AD24" t="str">
        <f ca="1"/>
        <v/>
      </c>
      <c r="AE24" t="str">
        <f ca="1"/>
        <v/>
      </c>
      <c r="AF24" t="str">
        <f ca="1"/>
        <v/>
      </c>
      <c r="AG24" t="str">
        <f ca="1"/>
        <v/>
      </c>
      <c r="AH24" t="str">
        <f ca="1"/>
        <v/>
      </c>
      <c r="AI24" t="str">
        <f ca="1"/>
        <v/>
      </c>
      <c r="AJ24" t="str">
        <f ca="1"/>
        <v/>
      </c>
      <c r="AK24" t="str">
        <f ca="1"/>
        <v/>
      </c>
      <c r="AL24" t="str">
        <f ca="1"/>
        <v/>
      </c>
      <c r="AM24" t="str">
        <f ca="1"/>
        <v/>
      </c>
      <c r="AN24" t="str">
        <f ca="1"/>
        <v/>
      </c>
      <c r="AO24" t="str">
        <f ca="1"/>
        <v/>
      </c>
      <c r="AP24" t="str">
        <f ca="1"/>
        <v/>
      </c>
      <c r="AQ24" t="str">
        <f ca="1"/>
        <v/>
      </c>
      <c r="AR24" t="str">
        <f ca="1"/>
        <v/>
      </c>
      <c r="AS24" t="str">
        <f ca="1"/>
        <v/>
      </c>
      <c r="AT24" t="str">
        <f ca="1"/>
        <v/>
      </c>
      <c r="AU24" t="str">
        <f ca="1"/>
        <v/>
      </c>
      <c r="AV24" t="str">
        <f ca="1"/>
        <v/>
      </c>
      <c r="AW24" t="str">
        <f ca="1"/>
        <v/>
      </c>
      <c r="AX24" t="str">
        <f ca="1"/>
        <v/>
      </c>
      <c r="AY24" t="str">
        <f ca="1"/>
        <v/>
      </c>
      <c r="AZ24" t="str">
        <f ca="1"/>
        <v/>
      </c>
      <c r="BA24" t="str">
        <f ca="1"/>
        <v/>
      </c>
      <c r="BB24" t="str">
        <f ca="1"/>
        <v/>
      </c>
      <c r="BC24" t="str">
        <f ca="1"/>
        <v/>
      </c>
      <c r="BD24" t="str">
        <f ca="1"/>
        <v/>
      </c>
      <c r="BE24" t="str">
        <f ca="1"/>
        <v/>
      </c>
      <c r="BF24" t="str">
        <f ca="1"/>
        <v/>
      </c>
      <c r="BG24" t="str">
        <f ca="1"/>
        <v/>
      </c>
      <c r="BH24" t="str">
        <f ca="1"/>
        <v/>
      </c>
      <c r="BI24" t="str">
        <f ca="1"/>
        <v/>
      </c>
      <c r="BJ24" t="str">
        <f ca="1"/>
        <v/>
      </c>
      <c r="BK24" t="str">
        <f ca="1"/>
        <v/>
      </c>
      <c r="BL24" t="str">
        <f ca="1"/>
        <v/>
      </c>
      <c r="BM24" t="str">
        <f ca="1"/>
        <v/>
      </c>
      <c r="BN24" t="str">
        <f ca="1"/>
        <v/>
      </c>
      <c r="BO24" t="str">
        <f ca="1"/>
        <v/>
      </c>
      <c r="BP24" t="str">
        <f ca="1"/>
        <v/>
      </c>
      <c r="BQ24" t="str">
        <f ca="1"/>
        <v/>
      </c>
      <c r="BR24" t="str">
        <f ca="1"/>
        <v/>
      </c>
      <c r="BS24" t="str">
        <f ca="1"/>
        <v/>
      </c>
      <c r="BT24" t="str">
        <f ca="1"/>
        <v/>
      </c>
      <c r="BU24" t="str">
        <f ca="1"/>
        <v/>
      </c>
      <c r="BV24" t="str">
        <f ca="1"/>
        <v/>
      </c>
      <c r="BW24" t="str">
        <f ca="1"/>
        <v/>
      </c>
      <c r="BX24" t="str">
        <f ca="1"/>
        <v/>
      </c>
      <c r="BY24" t="str">
        <f ca="1"/>
        <v/>
      </c>
      <c r="BZ24" t="str">
        <f ca="1"/>
        <v/>
      </c>
      <c r="CA24" t="str">
        <f ca="1"/>
        <v/>
      </c>
      <c r="CB24" t="str">
        <f ca="1"/>
        <v/>
      </c>
      <c r="CC24" t="str">
        <f ca="1"/>
        <v/>
      </c>
      <c r="CD24" t="str">
        <f ca="1"/>
        <v/>
      </c>
      <c r="CE24" t="str">
        <f ca="1"/>
        <v/>
      </c>
      <c r="CF24" t="str">
        <f ca="1"/>
        <v/>
      </c>
      <c r="CG24" t="str">
        <f ca="1"/>
        <v/>
      </c>
      <c r="CH24" t="str">
        <f ca="1"/>
        <v/>
      </c>
      <c r="CI24" t="str">
        <f ca="1"/>
        <v/>
      </c>
      <c r="CJ24" t="str">
        <f ca="1"/>
        <v/>
      </c>
      <c r="CK24" t="str">
        <f ca="1"/>
        <v/>
      </c>
      <c r="CL24" t="str">
        <f ca="1"/>
        <v/>
      </c>
      <c r="CM24" t="str">
        <f ca="1"/>
        <v/>
      </c>
      <c r="CN24" t="str">
        <f ca="1"/>
        <v/>
      </c>
      <c r="CO24" t="str">
        <f ca="1"/>
        <v/>
      </c>
      <c r="CP24" t="str">
        <f ca="1"/>
        <v/>
      </c>
      <c r="CQ24" t="str">
        <f ca="1"/>
        <v/>
      </c>
      <c r="CR24" t="str">
        <f ca="1"/>
        <v/>
      </c>
      <c r="CS24" t="str">
        <f ca="1"/>
        <v/>
      </c>
      <c r="CT24" t="str">
        <f ca="1"/>
        <v/>
      </c>
      <c r="CU24" t="str">
        <f ca="1"/>
        <v/>
      </c>
      <c r="CV24" t="str">
        <f ca="1"/>
        <v/>
      </c>
      <c r="CW24" t="str">
        <f ca="1"/>
        <v/>
      </c>
      <c r="CX24" t="str">
        <f ca="1"/>
        <v/>
      </c>
      <c r="CY24" t="str">
        <f ca="1"/>
        <v/>
      </c>
      <c r="CZ24" t="str">
        <f ca="1"/>
        <v/>
      </c>
    </row>
    <row r="25" spans="2:104">
      <c r="B25" s="61" t="s">
        <v>1698</v>
      </c>
      <c r="C25" s="69" t="s">
        <v>1677</v>
      </c>
      <c r="E25" s="104">
        <f ca="1"/>
        <v>45982</v>
      </c>
      <c r="F25" s="105">
        <f ca="1"/>
        <v>46163</v>
      </c>
      <c r="G25" s="18">
        <f ca="1"/>
        <v>0.5</v>
      </c>
      <c r="H25" s="105">
        <f ca="1"/>
        <v>46163</v>
      </c>
      <c r="I25" s="105">
        <f ca="1"/>
        <v>46156</v>
      </c>
      <c r="J25" s="18">
        <f ca="1"/>
        <v>1000000</v>
      </c>
      <c r="K25" s="93">
        <f ca="1"/>
        <v>0</v>
      </c>
      <c r="L25" s="18">
        <f ca="1"/>
        <v>1</v>
      </c>
      <c r="M25" s="77">
        <f ca="1"/>
        <v>2.2499999999999999E-2</v>
      </c>
      <c r="N25" s="18">
        <f ca="1"/>
        <v>11250</v>
      </c>
      <c r="O25" s="79">
        <f ca="1"/>
        <v>0.80069940358842218</v>
      </c>
      <c r="P25" s="18">
        <f ca="1"/>
        <v>9007.86829036975</v>
      </c>
      <c r="Q25" t="str">
        <f ca="1"/>
        <v/>
      </c>
      <c r="R25" t="str">
        <f ca="1"/>
        <v/>
      </c>
      <c r="S25" t="str">
        <f ca="1"/>
        <v/>
      </c>
      <c r="T25" t="str">
        <f ca="1"/>
        <v/>
      </c>
      <c r="U25" t="str">
        <f ca="1"/>
        <v/>
      </c>
      <c r="V25" t="str">
        <f ca="1"/>
        <v/>
      </c>
      <c r="W25" t="str">
        <f ca="1"/>
        <v/>
      </c>
      <c r="X25" t="str">
        <f ca="1"/>
        <v/>
      </c>
      <c r="Y25" t="str">
        <f ca="1"/>
        <v/>
      </c>
      <c r="Z25" t="str">
        <f ca="1"/>
        <v/>
      </c>
      <c r="AA25" t="str">
        <f ca="1"/>
        <v/>
      </c>
      <c r="AB25" t="str">
        <f ca="1"/>
        <v/>
      </c>
      <c r="AC25" t="str">
        <f ca="1"/>
        <v/>
      </c>
      <c r="AD25" t="str">
        <f ca="1"/>
        <v/>
      </c>
      <c r="AE25" t="str">
        <f ca="1"/>
        <v/>
      </c>
      <c r="AF25" t="str">
        <f ca="1"/>
        <v/>
      </c>
      <c r="AG25" t="str">
        <f ca="1"/>
        <v/>
      </c>
      <c r="AH25" t="str">
        <f ca="1"/>
        <v/>
      </c>
      <c r="AI25" t="str">
        <f ca="1"/>
        <v/>
      </c>
      <c r="AJ25" t="str">
        <f ca="1"/>
        <v/>
      </c>
      <c r="AK25" t="str">
        <f ca="1"/>
        <v/>
      </c>
      <c r="AL25" t="str">
        <f ca="1"/>
        <v/>
      </c>
      <c r="AM25" t="str">
        <f ca="1"/>
        <v/>
      </c>
      <c r="AN25" t="str">
        <f ca="1"/>
        <v/>
      </c>
      <c r="AO25" t="str">
        <f ca="1"/>
        <v/>
      </c>
      <c r="AP25" t="str">
        <f ca="1"/>
        <v/>
      </c>
      <c r="AQ25" t="str">
        <f ca="1"/>
        <v/>
      </c>
      <c r="AR25" t="str">
        <f ca="1"/>
        <v/>
      </c>
      <c r="AS25" t="str">
        <f ca="1"/>
        <v/>
      </c>
      <c r="AT25" t="str">
        <f ca="1"/>
        <v/>
      </c>
      <c r="AU25" t="str">
        <f ca="1"/>
        <v/>
      </c>
      <c r="AV25" t="str">
        <f ca="1"/>
        <v/>
      </c>
      <c r="AW25" t="str">
        <f ca="1"/>
        <v/>
      </c>
      <c r="AX25" t="str">
        <f ca="1"/>
        <v/>
      </c>
      <c r="AY25" t="str">
        <f ca="1"/>
        <v/>
      </c>
      <c r="AZ25" t="str">
        <f ca="1"/>
        <v/>
      </c>
      <c r="BA25" t="str">
        <f ca="1"/>
        <v/>
      </c>
      <c r="BB25" t="str">
        <f ca="1"/>
        <v/>
      </c>
      <c r="BC25" t="str">
        <f ca="1"/>
        <v/>
      </c>
      <c r="BD25" t="str">
        <f ca="1"/>
        <v/>
      </c>
      <c r="BE25" t="str">
        <f ca="1"/>
        <v/>
      </c>
      <c r="BF25" t="str">
        <f ca="1"/>
        <v/>
      </c>
      <c r="BG25" t="str">
        <f ca="1"/>
        <v/>
      </c>
      <c r="BH25" t="str">
        <f ca="1"/>
        <v/>
      </c>
      <c r="BI25" t="str">
        <f ca="1"/>
        <v/>
      </c>
      <c r="BJ25" t="str">
        <f ca="1"/>
        <v/>
      </c>
      <c r="BK25" t="str">
        <f ca="1"/>
        <v/>
      </c>
      <c r="BL25" t="str">
        <f ca="1"/>
        <v/>
      </c>
      <c r="BM25" t="str">
        <f ca="1"/>
        <v/>
      </c>
      <c r="BN25" t="str">
        <f ca="1"/>
        <v/>
      </c>
      <c r="BO25" t="str">
        <f ca="1"/>
        <v/>
      </c>
      <c r="BP25" t="str">
        <f ca="1"/>
        <v/>
      </c>
      <c r="BQ25" t="str">
        <f ca="1"/>
        <v/>
      </c>
      <c r="BR25" t="str">
        <f ca="1"/>
        <v/>
      </c>
      <c r="BS25" t="str">
        <f ca="1"/>
        <v/>
      </c>
      <c r="BT25" t="str">
        <f ca="1"/>
        <v/>
      </c>
      <c r="BU25" t="str">
        <f ca="1"/>
        <v/>
      </c>
      <c r="BV25" t="str">
        <f ca="1"/>
        <v/>
      </c>
      <c r="BW25" t="str">
        <f ca="1"/>
        <v/>
      </c>
      <c r="BX25" t="str">
        <f ca="1"/>
        <v/>
      </c>
      <c r="BY25" t="str">
        <f ca="1"/>
        <v/>
      </c>
      <c r="BZ25" t="str">
        <f ca="1"/>
        <v/>
      </c>
      <c r="CA25" t="str">
        <f ca="1"/>
        <v/>
      </c>
      <c r="CB25" t="str">
        <f ca="1"/>
        <v/>
      </c>
      <c r="CC25" t="str">
        <f ca="1"/>
        <v/>
      </c>
      <c r="CD25" t="str">
        <f ca="1"/>
        <v/>
      </c>
      <c r="CE25" t="str">
        <f ca="1"/>
        <v/>
      </c>
      <c r="CF25" t="str">
        <f ca="1"/>
        <v/>
      </c>
      <c r="CG25" t="str">
        <f ca="1"/>
        <v/>
      </c>
      <c r="CH25" t="str">
        <f ca="1"/>
        <v/>
      </c>
      <c r="CI25" t="str">
        <f ca="1"/>
        <v/>
      </c>
      <c r="CJ25" t="str">
        <f ca="1"/>
        <v/>
      </c>
      <c r="CK25" t="str">
        <f ca="1"/>
        <v/>
      </c>
      <c r="CL25" t="str">
        <f ca="1"/>
        <v/>
      </c>
      <c r="CM25" t="str">
        <f ca="1"/>
        <v/>
      </c>
      <c r="CN25" t="str">
        <f ca="1"/>
        <v/>
      </c>
      <c r="CO25" t="str">
        <f ca="1"/>
        <v/>
      </c>
      <c r="CP25" t="str">
        <f ca="1"/>
        <v/>
      </c>
      <c r="CQ25" t="str">
        <f ca="1"/>
        <v/>
      </c>
      <c r="CR25" t="str">
        <f ca="1"/>
        <v/>
      </c>
      <c r="CS25" t="str">
        <f ca="1"/>
        <v/>
      </c>
      <c r="CT25" t="str">
        <f ca="1"/>
        <v/>
      </c>
      <c r="CU25" t="str">
        <f ca="1"/>
        <v/>
      </c>
      <c r="CV25" t="str">
        <f ca="1"/>
        <v/>
      </c>
      <c r="CW25" t="str">
        <f ca="1"/>
        <v/>
      </c>
      <c r="CX25" t="str">
        <f ca="1"/>
        <v/>
      </c>
      <c r="CY25" t="str">
        <f ca="1"/>
        <v/>
      </c>
      <c r="CZ25" t="str">
        <f ca="1"/>
        <v/>
      </c>
    </row>
    <row r="26" spans="2:104">
      <c r="B26" s="61" t="s">
        <v>1704</v>
      </c>
      <c r="C26" s="70">
        <f>42511</f>
        <v>42511</v>
      </c>
      <c r="E26" s="104">
        <f ca="1"/>
        <v>46163</v>
      </c>
      <c r="F26" s="105">
        <f ca="1"/>
        <v>46347</v>
      </c>
      <c r="G26" s="18">
        <f ca="1"/>
        <v>0.5</v>
      </c>
      <c r="H26" s="105">
        <f ca="1"/>
        <v>46347</v>
      </c>
      <c r="I26" s="105">
        <f ca="1"/>
        <v>46340</v>
      </c>
      <c r="J26" s="18">
        <f ca="1"/>
        <v>1000000</v>
      </c>
      <c r="K26" s="93">
        <f ca="1"/>
        <v>0</v>
      </c>
      <c r="L26" s="18">
        <f ca="1"/>
        <v>1</v>
      </c>
      <c r="M26" s="77">
        <f ca="1"/>
        <v>2.2499999999999999E-2</v>
      </c>
      <c r="N26" s="18">
        <f ca="1"/>
        <v>11250</v>
      </c>
      <c r="O26" s="79">
        <f ca="1"/>
        <v>0.7898975764260302</v>
      </c>
      <c r="P26" s="18">
        <f ca="1"/>
        <v>8886.3477347928401</v>
      </c>
      <c r="Q26" t="str">
        <f ca="1"/>
        <v/>
      </c>
      <c r="R26" t="str">
        <f ca="1"/>
        <v/>
      </c>
      <c r="S26" t="str">
        <f ca="1"/>
        <v/>
      </c>
      <c r="T26" t="str">
        <f ca="1"/>
        <v/>
      </c>
      <c r="U26" t="str">
        <f ca="1"/>
        <v/>
      </c>
      <c r="V26" t="str">
        <f ca="1"/>
        <v/>
      </c>
      <c r="W26" t="str">
        <f ca="1"/>
        <v/>
      </c>
      <c r="X26" t="str">
        <f ca="1"/>
        <v/>
      </c>
      <c r="Y26" t="str">
        <f ca="1"/>
        <v/>
      </c>
      <c r="Z26" t="str">
        <f ca="1"/>
        <v/>
      </c>
      <c r="AA26" t="str">
        <f ca="1"/>
        <v/>
      </c>
      <c r="AB26" t="str">
        <f ca="1"/>
        <v/>
      </c>
      <c r="AC26" t="str">
        <f ca="1"/>
        <v/>
      </c>
      <c r="AD26" t="str">
        <f ca="1"/>
        <v/>
      </c>
      <c r="AE26" t="str">
        <f ca="1"/>
        <v/>
      </c>
      <c r="AF26" t="str">
        <f ca="1"/>
        <v/>
      </c>
      <c r="AG26" t="str">
        <f ca="1"/>
        <v/>
      </c>
      <c r="AH26" t="str">
        <f ca="1"/>
        <v/>
      </c>
      <c r="AI26" t="str">
        <f ca="1"/>
        <v/>
      </c>
      <c r="AJ26" t="str">
        <f ca="1"/>
        <v/>
      </c>
      <c r="AK26" t="str">
        <f ca="1"/>
        <v/>
      </c>
      <c r="AL26" t="str">
        <f ca="1"/>
        <v/>
      </c>
      <c r="AM26" t="str">
        <f ca="1"/>
        <v/>
      </c>
      <c r="AN26" t="str">
        <f ca="1"/>
        <v/>
      </c>
      <c r="AO26" t="str">
        <f ca="1"/>
        <v/>
      </c>
      <c r="AP26" t="str">
        <f ca="1"/>
        <v/>
      </c>
      <c r="AQ26" t="str">
        <f ca="1"/>
        <v/>
      </c>
      <c r="AR26" t="str">
        <f ca="1"/>
        <v/>
      </c>
      <c r="AS26" t="str">
        <f ca="1"/>
        <v/>
      </c>
      <c r="AT26" t="str">
        <f ca="1"/>
        <v/>
      </c>
      <c r="AU26" t="str">
        <f ca="1"/>
        <v/>
      </c>
      <c r="AV26" t="str">
        <f ca="1"/>
        <v/>
      </c>
      <c r="AW26" t="str">
        <f ca="1"/>
        <v/>
      </c>
      <c r="AX26" t="str">
        <f ca="1"/>
        <v/>
      </c>
      <c r="AY26" t="str">
        <f ca="1"/>
        <v/>
      </c>
      <c r="AZ26" t="str">
        <f ca="1"/>
        <v/>
      </c>
      <c r="BA26" t="str">
        <f ca="1"/>
        <v/>
      </c>
      <c r="BB26" t="str">
        <f ca="1"/>
        <v/>
      </c>
      <c r="BC26" t="str">
        <f ca="1"/>
        <v/>
      </c>
      <c r="BD26" t="str">
        <f ca="1"/>
        <v/>
      </c>
      <c r="BE26" t="str">
        <f ca="1"/>
        <v/>
      </c>
      <c r="BF26" t="str">
        <f ca="1"/>
        <v/>
      </c>
      <c r="BG26" t="str">
        <f ca="1"/>
        <v/>
      </c>
      <c r="BH26" t="str">
        <f ca="1"/>
        <v/>
      </c>
      <c r="BI26" t="str">
        <f ca="1"/>
        <v/>
      </c>
      <c r="BJ26" t="str">
        <f ca="1"/>
        <v/>
      </c>
      <c r="BK26" t="str">
        <f ca="1"/>
        <v/>
      </c>
      <c r="BL26" t="str">
        <f ca="1"/>
        <v/>
      </c>
      <c r="BM26" t="str">
        <f ca="1"/>
        <v/>
      </c>
      <c r="BN26" t="str">
        <f ca="1"/>
        <v/>
      </c>
      <c r="BO26" t="str">
        <f ca="1"/>
        <v/>
      </c>
      <c r="BP26" t="str">
        <f ca="1"/>
        <v/>
      </c>
      <c r="BQ26" t="str">
        <f ca="1"/>
        <v/>
      </c>
      <c r="BR26" t="str">
        <f ca="1"/>
        <v/>
      </c>
      <c r="BS26" t="str">
        <f ca="1"/>
        <v/>
      </c>
      <c r="BT26" t="str">
        <f ca="1"/>
        <v/>
      </c>
      <c r="BU26" t="str">
        <f ca="1"/>
        <v/>
      </c>
      <c r="BV26" t="str">
        <f ca="1"/>
        <v/>
      </c>
      <c r="BW26" t="str">
        <f ca="1"/>
        <v/>
      </c>
      <c r="BX26" t="str">
        <f ca="1"/>
        <v/>
      </c>
      <c r="BY26" t="str">
        <f ca="1"/>
        <v/>
      </c>
      <c r="BZ26" t="str">
        <f ca="1"/>
        <v/>
      </c>
      <c r="CA26" t="str">
        <f ca="1"/>
        <v/>
      </c>
      <c r="CB26" t="str">
        <f ca="1"/>
        <v/>
      </c>
      <c r="CC26" t="str">
        <f ca="1"/>
        <v/>
      </c>
      <c r="CD26" t="str">
        <f ca="1"/>
        <v/>
      </c>
      <c r="CE26" t="str">
        <f ca="1"/>
        <v/>
      </c>
      <c r="CF26" t="str">
        <f ca="1"/>
        <v/>
      </c>
      <c r="CG26" t="str">
        <f ca="1"/>
        <v/>
      </c>
      <c r="CH26" t="str">
        <f ca="1"/>
        <v/>
      </c>
      <c r="CI26" t="str">
        <f ca="1"/>
        <v/>
      </c>
      <c r="CJ26" t="str">
        <f ca="1"/>
        <v/>
      </c>
      <c r="CK26" t="str">
        <f ca="1"/>
        <v/>
      </c>
      <c r="CL26" t="str">
        <f ca="1"/>
        <v/>
      </c>
      <c r="CM26" t="str">
        <f ca="1"/>
        <v/>
      </c>
      <c r="CN26" t="str">
        <f ca="1"/>
        <v/>
      </c>
      <c r="CO26" t="str">
        <f ca="1"/>
        <v/>
      </c>
      <c r="CP26" t="str">
        <f ca="1"/>
        <v/>
      </c>
      <c r="CQ26" t="str">
        <f ca="1"/>
        <v/>
      </c>
      <c r="CR26" t="str">
        <f ca="1"/>
        <v/>
      </c>
      <c r="CS26" t="str">
        <f ca="1"/>
        <v/>
      </c>
      <c r="CT26" t="str">
        <f ca="1"/>
        <v/>
      </c>
      <c r="CU26" t="str">
        <f ca="1"/>
        <v/>
      </c>
      <c r="CV26" t="str">
        <f ca="1"/>
        <v/>
      </c>
      <c r="CW26" t="str">
        <f ca="1"/>
        <v/>
      </c>
      <c r="CX26" t="str">
        <f ca="1"/>
        <v/>
      </c>
      <c r="CY26" t="str">
        <f ca="1"/>
        <v/>
      </c>
      <c r="CZ26" t="str">
        <f ca="1"/>
        <v/>
      </c>
    </row>
    <row r="27" spans="2:104">
      <c r="B27" s="61" t="s">
        <v>1703</v>
      </c>
      <c r="C27" s="70">
        <f>46712</f>
        <v>46712</v>
      </c>
      <c r="E27" s="104">
        <f ca="1"/>
        <v>46347</v>
      </c>
      <c r="F27" s="105">
        <f ca="1"/>
        <v>46528</v>
      </c>
      <c r="G27" s="18">
        <f ca="1"/>
        <v>0.5</v>
      </c>
      <c r="H27" s="105">
        <f ca="1"/>
        <v>46528</v>
      </c>
      <c r="I27" s="105">
        <f ca="1"/>
        <v>46521</v>
      </c>
      <c r="J27" s="18">
        <f ca="1"/>
        <v>1000000</v>
      </c>
      <c r="K27" s="93">
        <f ca="1"/>
        <v>0</v>
      </c>
      <c r="L27" s="18">
        <f ca="1"/>
        <v>1</v>
      </c>
      <c r="M27" s="77">
        <f ca="1"/>
        <v>2.2499999999999999E-2</v>
      </c>
      <c r="N27" s="18">
        <f ca="1"/>
        <v>11250</v>
      </c>
      <c r="O27" s="79">
        <f ca="1"/>
        <v>0.7792414712031368</v>
      </c>
      <c r="P27" s="18">
        <f ca="1"/>
        <v>8766.4665510352897</v>
      </c>
      <c r="Q27" t="str">
        <f ca="1"/>
        <v/>
      </c>
      <c r="R27" t="str">
        <f ca="1"/>
        <v/>
      </c>
      <c r="S27" t="str">
        <f ca="1"/>
        <v/>
      </c>
      <c r="T27" t="str">
        <f ca="1"/>
        <v/>
      </c>
      <c r="U27" t="str">
        <f ca="1"/>
        <v/>
      </c>
      <c r="V27" t="str">
        <f ca="1"/>
        <v/>
      </c>
      <c r="W27" t="str">
        <f ca="1"/>
        <v/>
      </c>
      <c r="X27" t="str">
        <f ca="1"/>
        <v/>
      </c>
      <c r="Y27" t="str">
        <f ca="1"/>
        <v/>
      </c>
      <c r="Z27" t="str">
        <f ca="1"/>
        <v/>
      </c>
      <c r="AA27" t="str">
        <f ca="1"/>
        <v/>
      </c>
      <c r="AB27" t="str">
        <f ca="1"/>
        <v/>
      </c>
      <c r="AC27" t="str">
        <f ca="1"/>
        <v/>
      </c>
      <c r="AD27" t="str">
        <f ca="1"/>
        <v/>
      </c>
      <c r="AE27" t="str">
        <f ca="1"/>
        <v/>
      </c>
      <c r="AF27" t="str">
        <f ca="1"/>
        <v/>
      </c>
      <c r="AG27" t="str">
        <f ca="1"/>
        <v/>
      </c>
      <c r="AH27" t="str">
        <f ca="1"/>
        <v/>
      </c>
      <c r="AI27" t="str">
        <f ca="1"/>
        <v/>
      </c>
      <c r="AJ27" t="str">
        <f ca="1"/>
        <v/>
      </c>
      <c r="AK27" t="str">
        <f ca="1"/>
        <v/>
      </c>
      <c r="AL27" t="str">
        <f ca="1"/>
        <v/>
      </c>
      <c r="AM27" t="str">
        <f ca="1"/>
        <v/>
      </c>
      <c r="AN27" t="str">
        <f ca="1"/>
        <v/>
      </c>
      <c r="AO27" t="str">
        <f ca="1"/>
        <v/>
      </c>
      <c r="AP27" t="str">
        <f ca="1"/>
        <v/>
      </c>
      <c r="AQ27" t="str">
        <f ca="1"/>
        <v/>
      </c>
      <c r="AR27" t="str">
        <f ca="1"/>
        <v/>
      </c>
      <c r="AS27" t="str">
        <f ca="1"/>
        <v/>
      </c>
      <c r="AT27" t="str">
        <f ca="1"/>
        <v/>
      </c>
      <c r="AU27" t="str">
        <f ca="1"/>
        <v/>
      </c>
      <c r="AV27" t="str">
        <f ca="1"/>
        <v/>
      </c>
      <c r="AW27" t="str">
        <f ca="1"/>
        <v/>
      </c>
      <c r="AX27" t="str">
        <f ca="1"/>
        <v/>
      </c>
      <c r="AY27" t="str">
        <f ca="1"/>
        <v/>
      </c>
      <c r="AZ27" t="str">
        <f ca="1"/>
        <v/>
      </c>
      <c r="BA27" t="str">
        <f ca="1"/>
        <v/>
      </c>
      <c r="BB27" t="str">
        <f ca="1"/>
        <v/>
      </c>
      <c r="BC27" t="str">
        <f ca="1"/>
        <v/>
      </c>
      <c r="BD27" t="str">
        <f ca="1"/>
        <v/>
      </c>
      <c r="BE27" t="str">
        <f ca="1"/>
        <v/>
      </c>
      <c r="BF27" t="str">
        <f ca="1"/>
        <v/>
      </c>
      <c r="BG27" t="str">
        <f ca="1"/>
        <v/>
      </c>
      <c r="BH27" t="str">
        <f ca="1"/>
        <v/>
      </c>
      <c r="BI27" t="str">
        <f ca="1"/>
        <v/>
      </c>
      <c r="BJ27" t="str">
        <f ca="1"/>
        <v/>
      </c>
      <c r="BK27" t="str">
        <f ca="1"/>
        <v/>
      </c>
      <c r="BL27" t="str">
        <f ca="1"/>
        <v/>
      </c>
      <c r="BM27" t="str">
        <f ca="1"/>
        <v/>
      </c>
      <c r="BN27" t="str">
        <f ca="1"/>
        <v/>
      </c>
      <c r="BO27" t="str">
        <f ca="1"/>
        <v/>
      </c>
      <c r="BP27" t="str">
        <f ca="1"/>
        <v/>
      </c>
      <c r="BQ27" t="str">
        <f ca="1"/>
        <v/>
      </c>
      <c r="BR27" t="str">
        <f ca="1"/>
        <v/>
      </c>
      <c r="BS27" t="str">
        <f ca="1"/>
        <v/>
      </c>
      <c r="BT27" t="str">
        <f ca="1"/>
        <v/>
      </c>
      <c r="BU27" t="str">
        <f ca="1"/>
        <v/>
      </c>
      <c r="BV27" t="str">
        <f ca="1"/>
        <v/>
      </c>
      <c r="BW27" t="str">
        <f ca="1"/>
        <v/>
      </c>
      <c r="BX27" t="str">
        <f ca="1"/>
        <v/>
      </c>
      <c r="BY27" t="str">
        <f ca="1"/>
        <v/>
      </c>
      <c r="BZ27" t="str">
        <f ca="1"/>
        <v/>
      </c>
      <c r="CA27" t="str">
        <f ca="1"/>
        <v/>
      </c>
      <c r="CB27" t="str">
        <f ca="1"/>
        <v/>
      </c>
      <c r="CC27" t="str">
        <f ca="1"/>
        <v/>
      </c>
      <c r="CD27" t="str">
        <f ca="1"/>
        <v/>
      </c>
      <c r="CE27" t="str">
        <f ca="1"/>
        <v/>
      </c>
      <c r="CF27" t="str">
        <f ca="1"/>
        <v/>
      </c>
      <c r="CG27" t="str">
        <f ca="1"/>
        <v/>
      </c>
      <c r="CH27" t="str">
        <f ca="1"/>
        <v/>
      </c>
      <c r="CI27" t="str">
        <f ca="1"/>
        <v/>
      </c>
      <c r="CJ27" t="str">
        <f ca="1"/>
        <v/>
      </c>
      <c r="CK27" t="str">
        <f ca="1"/>
        <v/>
      </c>
      <c r="CL27" t="str">
        <f ca="1"/>
        <v/>
      </c>
      <c r="CM27" t="str">
        <f ca="1"/>
        <v/>
      </c>
      <c r="CN27" t="str">
        <f ca="1"/>
        <v/>
      </c>
      <c r="CO27" t="str">
        <f ca="1"/>
        <v/>
      </c>
      <c r="CP27" t="str">
        <f ca="1"/>
        <v/>
      </c>
      <c r="CQ27" t="str">
        <f ca="1"/>
        <v/>
      </c>
      <c r="CR27" t="str">
        <f ca="1"/>
        <v/>
      </c>
      <c r="CS27" t="str">
        <f ca="1"/>
        <v/>
      </c>
      <c r="CT27" t="str">
        <f ca="1"/>
        <v/>
      </c>
      <c r="CU27" t="str">
        <f ca="1"/>
        <v/>
      </c>
      <c r="CV27" t="str">
        <f ca="1"/>
        <v/>
      </c>
      <c r="CW27" t="str">
        <f ca="1"/>
        <v/>
      </c>
      <c r="CX27" t="str">
        <f ca="1"/>
        <v/>
      </c>
      <c r="CY27" t="str">
        <f ca="1"/>
        <v/>
      </c>
      <c r="CZ27" t="str">
        <f ca="1"/>
        <v/>
      </c>
    </row>
    <row r="28" spans="2:104">
      <c r="B28" s="61" t="s">
        <v>1705</v>
      </c>
      <c r="C28" s="70">
        <f>46894</f>
        <v>46894</v>
      </c>
      <c r="E28" s="104">
        <f ca="1"/>
        <v>46528</v>
      </c>
      <c r="F28" s="105">
        <f ca="1"/>
        <v>46712</v>
      </c>
      <c r="G28" s="18">
        <f ca="1"/>
        <v>0.5</v>
      </c>
      <c r="H28" s="105">
        <f ca="1"/>
        <v>46712</v>
      </c>
      <c r="I28" s="105">
        <f ca="1"/>
        <v>46705</v>
      </c>
      <c r="J28" s="18">
        <f ca="1"/>
        <v>1000000</v>
      </c>
      <c r="K28" s="93">
        <f ca="1"/>
        <v>0</v>
      </c>
      <c r="L28" s="18">
        <f ca="1"/>
        <v>1</v>
      </c>
      <c r="M28" s="77">
        <f ca="1"/>
        <v>2.2499999999999999E-2</v>
      </c>
      <c r="N28" s="18">
        <f ca="1"/>
        <v>11250</v>
      </c>
      <c r="O28" s="79">
        <f ca="1"/>
        <v>0.76872912205939881</v>
      </c>
      <c r="P28" s="18">
        <f ca="1"/>
        <v>8648.2026231682357</v>
      </c>
      <c r="Q28" t="str">
        <f ca="1"/>
        <v/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  <c r="AA28" t="str">
        <f ca="1"/>
        <v/>
      </c>
      <c r="AB28" t="str">
        <f ca="1"/>
        <v/>
      </c>
      <c r="AC28" t="str">
        <f ca="1"/>
        <v/>
      </c>
      <c r="AD28" t="str">
        <f ca="1"/>
        <v/>
      </c>
      <c r="AE28" t="str">
        <f ca="1"/>
        <v/>
      </c>
      <c r="AF28" t="str">
        <f ca="1"/>
        <v/>
      </c>
      <c r="AG28" t="str">
        <f ca="1"/>
        <v/>
      </c>
      <c r="AH28" t="str">
        <f ca="1"/>
        <v/>
      </c>
      <c r="AI28" t="str">
        <f ca="1"/>
        <v/>
      </c>
      <c r="AJ28" t="str">
        <f ca="1"/>
        <v/>
      </c>
      <c r="AK28" t="str">
        <f ca="1"/>
        <v/>
      </c>
      <c r="AL28" t="str">
        <f ca="1"/>
        <v/>
      </c>
      <c r="AM28" t="str">
        <f ca="1"/>
        <v/>
      </c>
      <c r="AN28" t="str">
        <f ca="1"/>
        <v/>
      </c>
      <c r="AO28" t="str">
        <f ca="1"/>
        <v/>
      </c>
      <c r="AP28" t="str">
        <f ca="1"/>
        <v/>
      </c>
      <c r="AQ28" t="str">
        <f ca="1"/>
        <v/>
      </c>
      <c r="AR28" t="str">
        <f ca="1"/>
        <v/>
      </c>
      <c r="AS28" t="str">
        <f ca="1"/>
        <v/>
      </c>
      <c r="AT28" t="str">
        <f ca="1"/>
        <v/>
      </c>
      <c r="AU28" t="str">
        <f ca="1"/>
        <v/>
      </c>
      <c r="AV28" t="str">
        <f ca="1"/>
        <v/>
      </c>
      <c r="AW28" t="str">
        <f ca="1"/>
        <v/>
      </c>
      <c r="AX28" t="str">
        <f ca="1"/>
        <v/>
      </c>
      <c r="AY28" t="str">
        <f ca="1"/>
        <v/>
      </c>
      <c r="AZ28" t="str">
        <f ca="1"/>
        <v/>
      </c>
      <c r="BA28" t="str">
        <f ca="1"/>
        <v/>
      </c>
      <c r="BB28" t="str">
        <f ca="1"/>
        <v/>
      </c>
      <c r="BC28" t="str">
        <f ca="1"/>
        <v/>
      </c>
      <c r="BD28" t="str">
        <f ca="1"/>
        <v/>
      </c>
      <c r="BE28" t="str">
        <f ca="1"/>
        <v/>
      </c>
      <c r="BF28" t="str">
        <f ca="1"/>
        <v/>
      </c>
      <c r="BG28" t="str">
        <f ca="1"/>
        <v/>
      </c>
      <c r="BH28" t="str">
        <f ca="1"/>
        <v/>
      </c>
      <c r="BI28" t="str">
        <f ca="1"/>
        <v/>
      </c>
      <c r="BJ28" t="str">
        <f ca="1"/>
        <v/>
      </c>
      <c r="BK28" t="str">
        <f ca="1"/>
        <v/>
      </c>
      <c r="BL28" t="str">
        <f ca="1"/>
        <v/>
      </c>
      <c r="BM28" t="str">
        <f ca="1"/>
        <v/>
      </c>
      <c r="BN28" t="str">
        <f ca="1"/>
        <v/>
      </c>
      <c r="BO28" t="str">
        <f ca="1"/>
        <v/>
      </c>
      <c r="BP28" t="str">
        <f ca="1"/>
        <v/>
      </c>
      <c r="BQ28" t="str">
        <f ca="1"/>
        <v/>
      </c>
      <c r="BR28" t="str">
        <f ca="1"/>
        <v/>
      </c>
      <c r="BS28" t="str">
        <f ca="1"/>
        <v/>
      </c>
      <c r="BT28" t="str">
        <f ca="1"/>
        <v/>
      </c>
      <c r="BU28" t="str">
        <f ca="1"/>
        <v/>
      </c>
      <c r="BV28" t="str">
        <f ca="1"/>
        <v/>
      </c>
      <c r="BW28" t="str">
        <f ca="1"/>
        <v/>
      </c>
      <c r="BX28" t="str">
        <f ca="1"/>
        <v/>
      </c>
      <c r="BY28" t="str">
        <f ca="1"/>
        <v/>
      </c>
      <c r="BZ28" t="str">
        <f ca="1"/>
        <v/>
      </c>
      <c r="CA28" t="str">
        <f ca="1"/>
        <v/>
      </c>
      <c r="CB28" t="str">
        <f ca="1"/>
        <v/>
      </c>
      <c r="CC28" t="str">
        <f ca="1"/>
        <v/>
      </c>
      <c r="CD28" t="str">
        <f ca="1"/>
        <v/>
      </c>
      <c r="CE28" t="str">
        <f ca="1"/>
        <v/>
      </c>
      <c r="CF28" t="str">
        <f ca="1"/>
        <v/>
      </c>
      <c r="CG28" t="str">
        <f ca="1"/>
        <v/>
      </c>
      <c r="CH28" t="str">
        <f ca="1"/>
        <v/>
      </c>
      <c r="CI28" t="str">
        <f ca="1"/>
        <v/>
      </c>
      <c r="CJ28" t="str">
        <f ca="1"/>
        <v/>
      </c>
      <c r="CK28" t="str">
        <f ca="1"/>
        <v/>
      </c>
      <c r="CL28" t="str">
        <f ca="1"/>
        <v/>
      </c>
      <c r="CM28" t="str">
        <f ca="1"/>
        <v/>
      </c>
      <c r="CN28" t="str">
        <f ca="1"/>
        <v/>
      </c>
      <c r="CO28" t="str">
        <f ca="1"/>
        <v/>
      </c>
      <c r="CP28" t="str">
        <f ca="1"/>
        <v/>
      </c>
      <c r="CQ28" t="str">
        <f ca="1"/>
        <v/>
      </c>
      <c r="CR28" t="str">
        <f ca="1"/>
        <v/>
      </c>
      <c r="CS28" t="str">
        <f ca="1"/>
        <v/>
      </c>
      <c r="CT28" t="str">
        <f ca="1"/>
        <v/>
      </c>
      <c r="CU28" t="str">
        <f ca="1"/>
        <v/>
      </c>
      <c r="CV28" t="str">
        <f ca="1"/>
        <v/>
      </c>
      <c r="CW28" t="str">
        <f ca="1"/>
        <v/>
      </c>
      <c r="CX28" t="str">
        <f ca="1"/>
        <v/>
      </c>
      <c r="CY28" t="str">
        <f ca="1"/>
        <v/>
      </c>
      <c r="CZ28" t="str">
        <f ca="1"/>
        <v/>
      </c>
    </row>
    <row r="29" spans="2:104">
      <c r="B29" s="61" t="s">
        <v>1702</v>
      </c>
      <c r="C29" s="72">
        <f>0.0225</f>
        <v>2.2499999999999999E-2</v>
      </c>
      <c r="E29" s="104">
        <f ca="1"/>
        <v>46712</v>
      </c>
      <c r="F29" s="105">
        <f ca="1"/>
        <v>46894</v>
      </c>
      <c r="G29" s="18">
        <f ca="1"/>
        <v>0.5</v>
      </c>
      <c r="H29" s="105">
        <f ca="1"/>
        <v>46894</v>
      </c>
      <c r="I29" s="105">
        <f ca="1"/>
        <v>46887</v>
      </c>
      <c r="J29" s="18">
        <f ca="1"/>
        <v>1000000</v>
      </c>
      <c r="K29" s="93">
        <f ca="1"/>
        <v>1000000</v>
      </c>
      <c r="L29" s="18">
        <f ca="1"/>
        <v>1</v>
      </c>
      <c r="M29" s="77">
        <f ca="1"/>
        <v>2.2499999999999999E-2</v>
      </c>
      <c r="N29" s="18">
        <f ca="1"/>
        <v>1011250</v>
      </c>
      <c r="O29" s="79">
        <f ca="1"/>
        <v>0.75835858965489211</v>
      </c>
      <c r="P29" s="18">
        <f ca="1"/>
        <v>766890.12378850963</v>
      </c>
      <c r="Q29" t="str">
        <f ca="1"/>
        <v/>
      </c>
      <c r="R29" t="str">
        <f ca="1"/>
        <v/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  <c r="AA29" t="str">
        <f ca="1"/>
        <v/>
      </c>
      <c r="AB29" t="str">
        <f ca="1"/>
        <v/>
      </c>
      <c r="AC29" t="str">
        <f ca="1"/>
        <v/>
      </c>
      <c r="AD29" t="str">
        <f ca="1"/>
        <v/>
      </c>
      <c r="AE29" t="str">
        <f ca="1"/>
        <v/>
      </c>
      <c r="AF29" t="str">
        <f ca="1"/>
        <v/>
      </c>
      <c r="AG29" t="str">
        <f ca="1"/>
        <v/>
      </c>
      <c r="AH29" t="str">
        <f ca="1"/>
        <v/>
      </c>
      <c r="AI29" t="str">
        <f ca="1"/>
        <v/>
      </c>
      <c r="AJ29" t="str">
        <f ca="1"/>
        <v/>
      </c>
      <c r="AK29" t="str">
        <f ca="1"/>
        <v/>
      </c>
      <c r="AL29" t="str">
        <f ca="1"/>
        <v/>
      </c>
      <c r="AM29" t="str">
        <f ca="1"/>
        <v/>
      </c>
      <c r="AN29" t="str">
        <f ca="1"/>
        <v/>
      </c>
      <c r="AO29" t="str">
        <f ca="1"/>
        <v/>
      </c>
      <c r="AP29" t="str">
        <f ca="1"/>
        <v/>
      </c>
      <c r="AQ29" t="str">
        <f ca="1"/>
        <v/>
      </c>
      <c r="AR29" t="str">
        <f ca="1"/>
        <v/>
      </c>
      <c r="AS29" t="str">
        <f ca="1"/>
        <v/>
      </c>
      <c r="AT29" t="str">
        <f ca="1"/>
        <v/>
      </c>
      <c r="AU29" t="str">
        <f ca="1"/>
        <v/>
      </c>
      <c r="AV29" t="str">
        <f ca="1"/>
        <v/>
      </c>
      <c r="AW29" t="str">
        <f ca="1"/>
        <v/>
      </c>
      <c r="AX29" t="str">
        <f ca="1"/>
        <v/>
      </c>
      <c r="AY29" t="str">
        <f ca="1"/>
        <v/>
      </c>
      <c r="AZ29" t="str">
        <f ca="1"/>
        <v/>
      </c>
      <c r="BA29" t="str">
        <f ca="1"/>
        <v/>
      </c>
      <c r="BB29" t="str">
        <f ca="1"/>
        <v/>
      </c>
      <c r="BC29" t="str">
        <f ca="1"/>
        <v/>
      </c>
      <c r="BD29" t="str">
        <f ca="1"/>
        <v/>
      </c>
      <c r="BE29" t="str">
        <f ca="1"/>
        <v/>
      </c>
      <c r="BF29" t="str">
        <f ca="1"/>
        <v/>
      </c>
      <c r="BG29" t="str">
        <f ca="1"/>
        <v/>
      </c>
      <c r="BH29" t="str">
        <f ca="1"/>
        <v/>
      </c>
      <c r="BI29" t="str">
        <f ca="1"/>
        <v/>
      </c>
      <c r="BJ29" t="str">
        <f ca="1"/>
        <v/>
      </c>
      <c r="BK29" t="str">
        <f ca="1"/>
        <v/>
      </c>
      <c r="BL29" t="str">
        <f ca="1"/>
        <v/>
      </c>
      <c r="BM29" t="str">
        <f ca="1"/>
        <v/>
      </c>
      <c r="BN29" t="str">
        <f ca="1"/>
        <v/>
      </c>
      <c r="BO29" t="str">
        <f ca="1"/>
        <v/>
      </c>
      <c r="BP29" t="str">
        <f ca="1"/>
        <v/>
      </c>
      <c r="BQ29" t="str">
        <f ca="1"/>
        <v/>
      </c>
      <c r="BR29" t="str">
        <f ca="1"/>
        <v/>
      </c>
      <c r="BS29" t="str">
        <f ca="1"/>
        <v/>
      </c>
      <c r="BT29" t="str">
        <f ca="1"/>
        <v/>
      </c>
      <c r="BU29" t="str">
        <f ca="1"/>
        <v/>
      </c>
      <c r="BV29" t="str">
        <f ca="1"/>
        <v/>
      </c>
      <c r="BW29" t="str">
        <f ca="1"/>
        <v/>
      </c>
      <c r="BX29" t="str">
        <f ca="1"/>
        <v/>
      </c>
      <c r="BY29" t="str">
        <f ca="1"/>
        <v/>
      </c>
      <c r="BZ29" t="str">
        <f ca="1"/>
        <v/>
      </c>
      <c r="CA29" t="str">
        <f ca="1"/>
        <v/>
      </c>
      <c r="CB29" t="str">
        <f ca="1"/>
        <v/>
      </c>
      <c r="CC29" t="str">
        <f ca="1"/>
        <v/>
      </c>
      <c r="CD29" t="str">
        <f ca="1"/>
        <v/>
      </c>
      <c r="CE29" t="str">
        <f ca="1"/>
        <v/>
      </c>
      <c r="CF29" t="str">
        <f ca="1"/>
        <v/>
      </c>
      <c r="CG29" t="str">
        <f ca="1"/>
        <v/>
      </c>
      <c r="CH29" t="str">
        <f ca="1"/>
        <v/>
      </c>
      <c r="CI29" t="str">
        <f ca="1"/>
        <v/>
      </c>
      <c r="CJ29" t="str">
        <f ca="1"/>
        <v/>
      </c>
      <c r="CK29" t="str">
        <f ca="1"/>
        <v/>
      </c>
      <c r="CL29" t="str">
        <f ca="1"/>
        <v/>
      </c>
      <c r="CM29" t="str">
        <f ca="1"/>
        <v/>
      </c>
      <c r="CN29" t="str">
        <f ca="1"/>
        <v/>
      </c>
      <c r="CO29" t="str">
        <f ca="1"/>
        <v/>
      </c>
      <c r="CP29" t="str">
        <f ca="1"/>
        <v/>
      </c>
      <c r="CQ29" t="str">
        <f ca="1"/>
        <v/>
      </c>
      <c r="CR29" t="str">
        <f ca="1"/>
        <v/>
      </c>
      <c r="CS29" t="str">
        <f ca="1"/>
        <v/>
      </c>
      <c r="CT29" t="str">
        <f ca="1"/>
        <v/>
      </c>
      <c r="CU29" t="str">
        <f ca="1"/>
        <v/>
      </c>
      <c r="CV29" t="str">
        <f ca="1"/>
        <v/>
      </c>
      <c r="CW29" t="str">
        <f ca="1"/>
        <v/>
      </c>
      <c r="CX29" t="str">
        <f ca="1"/>
        <v/>
      </c>
      <c r="CY29" t="str">
        <f ca="1"/>
        <v/>
      </c>
      <c r="CZ29" t="str">
        <f ca="1"/>
        <v/>
      </c>
    </row>
    <row r="30" spans="2:104">
      <c r="B30" s="61" t="s">
        <v>1700</v>
      </c>
      <c r="C30" s="69" t="s">
        <v>318</v>
      </c>
      <c r="E30" s="104" t="str">
        <f ca="1"/>
        <v/>
      </c>
      <c r="F30" s="105" t="str">
        <f ca="1"/>
        <v/>
      </c>
      <c r="G30" s="18" t="str">
        <f ca="1"/>
        <v/>
      </c>
      <c r="H30" s="105" t="str">
        <f ca="1"/>
        <v/>
      </c>
      <c r="I30" s="105" t="str">
        <f ca="1"/>
        <v/>
      </c>
      <c r="J30" s="18" t="str">
        <f ca="1"/>
        <v/>
      </c>
      <c r="K30" s="93" t="str">
        <f ca="1"/>
        <v/>
      </c>
      <c r="L30" s="18" t="str">
        <f ca="1"/>
        <v/>
      </c>
      <c r="M30" s="77" t="str">
        <f ca="1"/>
        <v/>
      </c>
      <c r="N30" s="18" t="str">
        <f ca="1"/>
        <v/>
      </c>
      <c r="O30" s="79" t="str">
        <f ca="1"/>
        <v/>
      </c>
      <c r="P30" s="18" t="str">
        <f ca="1"/>
        <v/>
      </c>
      <c r="Q30" t="str">
        <f ca="1"/>
        <v/>
      </c>
      <c r="R30" t="str">
        <f ca="1"/>
        <v/>
      </c>
      <c r="S30" t="str">
        <f ca="1"/>
        <v/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  <c r="AA30" t="str">
        <f ca="1"/>
        <v/>
      </c>
      <c r="AB30" t="str">
        <f ca="1"/>
        <v/>
      </c>
      <c r="AC30" t="str">
        <f ca="1"/>
        <v/>
      </c>
      <c r="AD30" t="str">
        <f ca="1"/>
        <v/>
      </c>
      <c r="AE30" t="str">
        <f ca="1"/>
        <v/>
      </c>
      <c r="AF30" t="str">
        <f ca="1"/>
        <v/>
      </c>
      <c r="AG30" t="str">
        <f ca="1"/>
        <v/>
      </c>
      <c r="AH30" t="str">
        <f ca="1"/>
        <v/>
      </c>
      <c r="AI30" t="str">
        <f ca="1"/>
        <v/>
      </c>
      <c r="AJ30" t="str">
        <f ca="1"/>
        <v/>
      </c>
      <c r="AK30" t="str">
        <f ca="1"/>
        <v/>
      </c>
      <c r="AL30" t="str">
        <f ca="1"/>
        <v/>
      </c>
      <c r="AM30" t="str">
        <f ca="1"/>
        <v/>
      </c>
      <c r="AN30" t="str">
        <f ca="1"/>
        <v/>
      </c>
      <c r="AO30" t="str">
        <f ca="1"/>
        <v/>
      </c>
      <c r="AP30" t="str">
        <f ca="1"/>
        <v/>
      </c>
      <c r="AQ30" t="str">
        <f ca="1"/>
        <v/>
      </c>
      <c r="AR30" t="str">
        <f ca="1"/>
        <v/>
      </c>
      <c r="AS30" t="str">
        <f ca="1"/>
        <v/>
      </c>
      <c r="AT30" t="str">
        <f ca="1"/>
        <v/>
      </c>
      <c r="AU30" t="str">
        <f ca="1"/>
        <v/>
      </c>
      <c r="AV30" t="str">
        <f ca="1"/>
        <v/>
      </c>
      <c r="AW30" t="str">
        <f ca="1"/>
        <v/>
      </c>
      <c r="AX30" t="str">
        <f ca="1"/>
        <v/>
      </c>
      <c r="AY30" t="str">
        <f ca="1"/>
        <v/>
      </c>
      <c r="AZ30" t="str">
        <f ca="1"/>
        <v/>
      </c>
      <c r="BA30" t="str">
        <f ca="1"/>
        <v/>
      </c>
      <c r="BB30" t="str">
        <f ca="1"/>
        <v/>
      </c>
      <c r="BC30" t="str">
        <f ca="1"/>
        <v/>
      </c>
      <c r="BD30" t="str">
        <f ca="1"/>
        <v/>
      </c>
      <c r="BE30" t="str">
        <f ca="1"/>
        <v/>
      </c>
      <c r="BF30" t="str">
        <f ca="1"/>
        <v/>
      </c>
      <c r="BG30" t="str">
        <f ca="1"/>
        <v/>
      </c>
      <c r="BH30" t="str">
        <f ca="1"/>
        <v/>
      </c>
      <c r="BI30" t="str">
        <f ca="1"/>
        <v/>
      </c>
      <c r="BJ30" t="str">
        <f ca="1"/>
        <v/>
      </c>
      <c r="BK30" t="str">
        <f ca="1"/>
        <v/>
      </c>
      <c r="BL30" t="str">
        <f ca="1"/>
        <v/>
      </c>
      <c r="BM30" t="str">
        <f ca="1"/>
        <v/>
      </c>
      <c r="BN30" t="str">
        <f ca="1"/>
        <v/>
      </c>
      <c r="BO30" t="str">
        <f ca="1"/>
        <v/>
      </c>
      <c r="BP30" t="str">
        <f ca="1"/>
        <v/>
      </c>
      <c r="BQ30" t="str">
        <f ca="1"/>
        <v/>
      </c>
      <c r="BR30" t="str">
        <f ca="1"/>
        <v/>
      </c>
      <c r="BS30" t="str">
        <f ca="1"/>
        <v/>
      </c>
      <c r="BT30" t="str">
        <f ca="1"/>
        <v/>
      </c>
      <c r="BU30" t="str">
        <f ca="1"/>
        <v/>
      </c>
      <c r="BV30" t="str">
        <f ca="1"/>
        <v/>
      </c>
      <c r="BW30" t="str">
        <f ca="1"/>
        <v/>
      </c>
      <c r="BX30" t="str">
        <f ca="1"/>
        <v/>
      </c>
      <c r="BY30" t="str">
        <f ca="1"/>
        <v/>
      </c>
      <c r="BZ30" t="str">
        <f ca="1"/>
        <v/>
      </c>
      <c r="CA30" t="str">
        <f ca="1"/>
        <v/>
      </c>
      <c r="CB30" t="str">
        <f ca="1"/>
        <v/>
      </c>
      <c r="CC30" t="str">
        <f ca="1"/>
        <v/>
      </c>
      <c r="CD30" t="str">
        <f ca="1"/>
        <v/>
      </c>
      <c r="CE30" t="str">
        <f ca="1"/>
        <v/>
      </c>
      <c r="CF30" t="str">
        <f ca="1"/>
        <v/>
      </c>
      <c r="CG30" t="str">
        <f ca="1"/>
        <v/>
      </c>
      <c r="CH30" t="str">
        <f ca="1"/>
        <v/>
      </c>
      <c r="CI30" t="str">
        <f ca="1"/>
        <v/>
      </c>
      <c r="CJ30" t="str">
        <f ca="1"/>
        <v/>
      </c>
      <c r="CK30" t="str">
        <f ca="1"/>
        <v/>
      </c>
      <c r="CL30" t="str">
        <f ca="1"/>
        <v/>
      </c>
      <c r="CM30" t="str">
        <f ca="1"/>
        <v/>
      </c>
      <c r="CN30" t="str">
        <f ca="1"/>
        <v/>
      </c>
      <c r="CO30" t="str">
        <f ca="1"/>
        <v/>
      </c>
      <c r="CP30" t="str">
        <f ca="1"/>
        <v/>
      </c>
      <c r="CQ30" t="str">
        <f ca="1"/>
        <v/>
      </c>
      <c r="CR30" t="str">
        <f ca="1"/>
        <v/>
      </c>
      <c r="CS30" t="str">
        <f ca="1"/>
        <v/>
      </c>
      <c r="CT30" t="str">
        <f ca="1"/>
        <v/>
      </c>
      <c r="CU30" t="str">
        <f ca="1"/>
        <v/>
      </c>
      <c r="CV30" t="str">
        <f ca="1"/>
        <v/>
      </c>
      <c r="CW30" t="str">
        <f ca="1"/>
        <v/>
      </c>
      <c r="CX30" t="str">
        <f ca="1"/>
        <v/>
      </c>
      <c r="CY30" t="str">
        <f ca="1"/>
        <v/>
      </c>
      <c r="CZ30" t="str">
        <f ca="1"/>
        <v/>
      </c>
    </row>
    <row r="31" spans="2:104">
      <c r="B31" s="62" t="s">
        <v>1699</v>
      </c>
      <c r="C31" s="73" t="s">
        <v>1676</v>
      </c>
      <c r="E31" s="104" t="str">
        <f ca="1"/>
        <v/>
      </c>
      <c r="F31" s="105" t="str">
        <f ca="1"/>
        <v/>
      </c>
      <c r="G31" s="18" t="str">
        <f ca="1"/>
        <v/>
      </c>
      <c r="H31" s="105" t="str">
        <f ca="1"/>
        <v/>
      </c>
      <c r="I31" s="105" t="str">
        <f ca="1"/>
        <v/>
      </c>
      <c r="J31" s="18" t="str">
        <f ca="1"/>
        <v/>
      </c>
      <c r="K31" s="93" t="str">
        <f ca="1"/>
        <v/>
      </c>
      <c r="L31" s="18" t="str">
        <f ca="1"/>
        <v/>
      </c>
      <c r="M31" s="77" t="str">
        <f ca="1"/>
        <v/>
      </c>
      <c r="N31" s="18" t="str">
        <f ca="1"/>
        <v/>
      </c>
      <c r="O31" s="79" t="str">
        <f ca="1"/>
        <v/>
      </c>
      <c r="P31" s="18" t="str">
        <f ca="1"/>
        <v/>
      </c>
      <c r="Q31" t="str">
        <f ca="1"/>
        <v/>
      </c>
      <c r="R31" t="str">
        <f ca="1"/>
        <v/>
      </c>
      <c r="S31" t="str">
        <f ca="1"/>
        <v/>
      </c>
      <c r="T31" t="str">
        <f ca="1"/>
        <v/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  <c r="AA31" t="str">
        <f ca="1"/>
        <v/>
      </c>
      <c r="AB31" t="str">
        <f ca="1"/>
        <v/>
      </c>
      <c r="AC31" t="str">
        <f ca="1"/>
        <v/>
      </c>
      <c r="AD31" t="str">
        <f ca="1"/>
        <v/>
      </c>
      <c r="AE31" t="str">
        <f ca="1"/>
        <v/>
      </c>
      <c r="AF31" t="str">
        <f ca="1"/>
        <v/>
      </c>
      <c r="AG31" t="str">
        <f ca="1"/>
        <v/>
      </c>
      <c r="AH31" t="str">
        <f ca="1"/>
        <v/>
      </c>
      <c r="AI31" t="str">
        <f ca="1"/>
        <v/>
      </c>
      <c r="AJ31" t="str">
        <f ca="1"/>
        <v/>
      </c>
      <c r="AK31" t="str">
        <f ca="1"/>
        <v/>
      </c>
      <c r="AL31" t="str">
        <f ca="1"/>
        <v/>
      </c>
      <c r="AM31" t="str">
        <f ca="1"/>
        <v/>
      </c>
      <c r="AN31" t="str">
        <f ca="1"/>
        <v/>
      </c>
      <c r="AO31" t="str">
        <f ca="1"/>
        <v/>
      </c>
      <c r="AP31" t="str">
        <f ca="1"/>
        <v/>
      </c>
      <c r="AQ31" t="str">
        <f ca="1"/>
        <v/>
      </c>
      <c r="AR31" t="str">
        <f ca="1"/>
        <v/>
      </c>
      <c r="AS31" t="str">
        <f ca="1"/>
        <v/>
      </c>
      <c r="AT31" t="str">
        <f ca="1"/>
        <v/>
      </c>
      <c r="AU31" t="str">
        <f ca="1"/>
        <v/>
      </c>
      <c r="AV31" t="str">
        <f ca="1"/>
        <v/>
      </c>
      <c r="AW31" t="str">
        <f ca="1"/>
        <v/>
      </c>
      <c r="AX31" t="str">
        <f ca="1"/>
        <v/>
      </c>
      <c r="AY31" t="str">
        <f ca="1"/>
        <v/>
      </c>
      <c r="AZ31" t="str">
        <f ca="1"/>
        <v/>
      </c>
      <c r="BA31" t="str">
        <f ca="1"/>
        <v/>
      </c>
      <c r="BB31" t="str">
        <f ca="1"/>
        <v/>
      </c>
      <c r="BC31" t="str">
        <f ca="1"/>
        <v/>
      </c>
      <c r="BD31" t="str">
        <f ca="1"/>
        <v/>
      </c>
      <c r="BE31" t="str">
        <f ca="1"/>
        <v/>
      </c>
      <c r="BF31" t="str">
        <f ca="1"/>
        <v/>
      </c>
      <c r="BG31" t="str">
        <f ca="1"/>
        <v/>
      </c>
      <c r="BH31" t="str">
        <f ca="1"/>
        <v/>
      </c>
      <c r="BI31" t="str">
        <f ca="1"/>
        <v/>
      </c>
      <c r="BJ31" t="str">
        <f ca="1"/>
        <v/>
      </c>
      <c r="BK31" t="str">
        <f ca="1"/>
        <v/>
      </c>
      <c r="BL31" t="str">
        <f ca="1"/>
        <v/>
      </c>
      <c r="BM31" t="str">
        <f ca="1"/>
        <v/>
      </c>
      <c r="BN31" t="str">
        <f ca="1"/>
        <v/>
      </c>
      <c r="BO31" t="str">
        <f ca="1"/>
        <v/>
      </c>
      <c r="BP31" t="str">
        <f ca="1"/>
        <v/>
      </c>
      <c r="BQ31" t="str">
        <f ca="1"/>
        <v/>
      </c>
      <c r="BR31" t="str">
        <f ca="1"/>
        <v/>
      </c>
      <c r="BS31" t="str">
        <f ca="1"/>
        <v/>
      </c>
      <c r="BT31" t="str">
        <f ca="1"/>
        <v/>
      </c>
      <c r="BU31" t="str">
        <f ca="1"/>
        <v/>
      </c>
      <c r="BV31" t="str">
        <f ca="1"/>
        <v/>
      </c>
      <c r="BW31" t="str">
        <f ca="1"/>
        <v/>
      </c>
      <c r="BX31" t="str">
        <f ca="1"/>
        <v/>
      </c>
      <c r="BY31" t="str">
        <f ca="1"/>
        <v/>
      </c>
      <c r="BZ31" t="str">
        <f ca="1"/>
        <v/>
      </c>
      <c r="CA31" t="str">
        <f ca="1"/>
        <v/>
      </c>
      <c r="CB31" t="str">
        <f ca="1"/>
        <v/>
      </c>
      <c r="CC31" t="str">
        <f ca="1"/>
        <v/>
      </c>
      <c r="CD31" t="str">
        <f ca="1"/>
        <v/>
      </c>
      <c r="CE31" t="str">
        <f ca="1"/>
        <v/>
      </c>
      <c r="CF31" t="str">
        <f ca="1"/>
        <v/>
      </c>
      <c r="CG31" t="str">
        <f ca="1"/>
        <v/>
      </c>
      <c r="CH31" t="str">
        <f ca="1"/>
        <v/>
      </c>
      <c r="CI31" t="str">
        <f ca="1"/>
        <v/>
      </c>
      <c r="CJ31" t="str">
        <f ca="1"/>
        <v/>
      </c>
      <c r="CK31" t="str">
        <f ca="1"/>
        <v/>
      </c>
      <c r="CL31" t="str">
        <f ca="1"/>
        <v/>
      </c>
      <c r="CM31" t="str">
        <f ca="1"/>
        <v/>
      </c>
      <c r="CN31" t="str">
        <f ca="1"/>
        <v/>
      </c>
      <c r="CO31" t="str">
        <f ca="1"/>
        <v/>
      </c>
      <c r="CP31" t="str">
        <f ca="1"/>
        <v/>
      </c>
      <c r="CQ31" t="str">
        <f ca="1"/>
        <v/>
      </c>
      <c r="CR31" t="str">
        <f ca="1"/>
        <v/>
      </c>
      <c r="CS31" t="str">
        <f ca="1"/>
        <v/>
      </c>
      <c r="CT31" t="str">
        <f ca="1"/>
        <v/>
      </c>
      <c r="CU31" t="str">
        <f ca="1"/>
        <v/>
      </c>
      <c r="CV31" t="str">
        <f ca="1"/>
        <v/>
      </c>
      <c r="CW31" t="str">
        <f ca="1"/>
        <v/>
      </c>
      <c r="CX31" t="str">
        <f ca="1"/>
        <v/>
      </c>
      <c r="CY31" t="str">
        <f ca="1"/>
        <v/>
      </c>
      <c r="CZ31" t="str">
        <f ca="1"/>
        <v/>
      </c>
    </row>
    <row r="32" spans="2:104">
      <c r="E32" s="104" t="str">
        <f ca="1"/>
        <v/>
      </c>
      <c r="F32" s="105" t="str">
        <f ca="1"/>
        <v/>
      </c>
      <c r="G32" s="18" t="str">
        <f ca="1"/>
        <v/>
      </c>
      <c r="H32" s="105" t="str">
        <f ca="1"/>
        <v/>
      </c>
      <c r="I32" s="105" t="str">
        <f ca="1"/>
        <v/>
      </c>
      <c r="J32" s="18" t="str">
        <f ca="1"/>
        <v/>
      </c>
      <c r="K32" s="93" t="str">
        <f ca="1"/>
        <v/>
      </c>
      <c r="L32" s="18" t="str">
        <f ca="1"/>
        <v/>
      </c>
      <c r="M32" s="77" t="str">
        <f ca="1"/>
        <v/>
      </c>
      <c r="N32" s="18" t="str">
        <f ca="1"/>
        <v/>
      </c>
      <c r="O32" s="79" t="str">
        <f ca="1"/>
        <v/>
      </c>
      <c r="P32" s="18" t="str">
        <f ca="1"/>
        <v/>
      </c>
      <c r="Q32" t="str">
        <f ca="1"/>
        <v/>
      </c>
      <c r="R32" t="str">
        <f ca="1"/>
        <v/>
      </c>
      <c r="S32" t="str">
        <f ca="1"/>
        <v/>
      </c>
      <c r="T32" t="str">
        <f ca="1"/>
        <v/>
      </c>
      <c r="U32" t="str">
        <f ca="1"/>
        <v/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  <c r="AA32" t="str">
        <f ca="1"/>
        <v/>
      </c>
      <c r="AB32" t="str">
        <f ca="1"/>
        <v/>
      </c>
      <c r="AC32" t="str">
        <f ca="1"/>
        <v/>
      </c>
      <c r="AD32" t="str">
        <f ca="1"/>
        <v/>
      </c>
      <c r="AE32" t="str">
        <f ca="1"/>
        <v/>
      </c>
      <c r="AF32" t="str">
        <f ca="1"/>
        <v/>
      </c>
      <c r="AG32" t="str">
        <f ca="1"/>
        <v/>
      </c>
      <c r="AH32" t="str">
        <f ca="1"/>
        <v/>
      </c>
      <c r="AI32" t="str">
        <f ca="1"/>
        <v/>
      </c>
      <c r="AJ32" t="str">
        <f ca="1"/>
        <v/>
      </c>
      <c r="AK32" t="str">
        <f ca="1"/>
        <v/>
      </c>
      <c r="AL32" t="str">
        <f ca="1"/>
        <v/>
      </c>
      <c r="AM32" t="str">
        <f ca="1"/>
        <v/>
      </c>
      <c r="AN32" t="str">
        <f ca="1"/>
        <v/>
      </c>
      <c r="AO32" t="str">
        <f ca="1"/>
        <v/>
      </c>
      <c r="AP32" t="str">
        <f ca="1"/>
        <v/>
      </c>
      <c r="AQ32" t="str">
        <f ca="1"/>
        <v/>
      </c>
      <c r="AR32" t="str">
        <f ca="1"/>
        <v/>
      </c>
      <c r="AS32" t="str">
        <f ca="1"/>
        <v/>
      </c>
      <c r="AT32" t="str">
        <f ca="1"/>
        <v/>
      </c>
      <c r="AU32" t="str">
        <f ca="1"/>
        <v/>
      </c>
      <c r="AV32" t="str">
        <f ca="1"/>
        <v/>
      </c>
      <c r="AW32" t="str">
        <f ca="1"/>
        <v/>
      </c>
      <c r="AX32" t="str">
        <f ca="1"/>
        <v/>
      </c>
      <c r="AY32" t="str">
        <f ca="1"/>
        <v/>
      </c>
      <c r="AZ32" t="str">
        <f ca="1"/>
        <v/>
      </c>
      <c r="BA32" t="str">
        <f ca="1"/>
        <v/>
      </c>
      <c r="BB32" t="str">
        <f ca="1"/>
        <v/>
      </c>
      <c r="BC32" t="str">
        <f ca="1"/>
        <v/>
      </c>
      <c r="BD32" t="str">
        <f ca="1"/>
        <v/>
      </c>
      <c r="BE32" t="str">
        <f ca="1"/>
        <v/>
      </c>
      <c r="BF32" t="str">
        <f ca="1"/>
        <v/>
      </c>
      <c r="BG32" t="str">
        <f ca="1"/>
        <v/>
      </c>
      <c r="BH32" t="str">
        <f ca="1"/>
        <v/>
      </c>
      <c r="BI32" t="str">
        <f ca="1"/>
        <v/>
      </c>
      <c r="BJ32" t="str">
        <f ca="1"/>
        <v/>
      </c>
      <c r="BK32" t="str">
        <f ca="1"/>
        <v/>
      </c>
      <c r="BL32" t="str">
        <f ca="1"/>
        <v/>
      </c>
      <c r="BM32" t="str">
        <f ca="1"/>
        <v/>
      </c>
      <c r="BN32" t="str">
        <f ca="1"/>
        <v/>
      </c>
      <c r="BO32" t="str">
        <f ca="1"/>
        <v/>
      </c>
      <c r="BP32" t="str">
        <f ca="1"/>
        <v/>
      </c>
      <c r="BQ32" t="str">
        <f ca="1"/>
        <v/>
      </c>
      <c r="BR32" t="str">
        <f ca="1"/>
        <v/>
      </c>
      <c r="BS32" t="str">
        <f ca="1"/>
        <v/>
      </c>
      <c r="BT32" t="str">
        <f ca="1"/>
        <v/>
      </c>
      <c r="BU32" t="str">
        <f ca="1"/>
        <v/>
      </c>
      <c r="BV32" t="str">
        <f ca="1"/>
        <v/>
      </c>
      <c r="BW32" t="str">
        <f ca="1"/>
        <v/>
      </c>
      <c r="BX32" t="str">
        <f ca="1"/>
        <v/>
      </c>
      <c r="BY32" t="str">
        <f ca="1"/>
        <v/>
      </c>
      <c r="BZ32" t="str">
        <f ca="1"/>
        <v/>
      </c>
      <c r="CA32" t="str">
        <f ca="1"/>
        <v/>
      </c>
      <c r="CB32" t="str">
        <f ca="1"/>
        <v/>
      </c>
      <c r="CC32" t="str">
        <f ca="1"/>
        <v/>
      </c>
      <c r="CD32" t="str">
        <f ca="1"/>
        <v/>
      </c>
      <c r="CE32" t="str">
        <f ca="1"/>
        <v/>
      </c>
      <c r="CF32" t="str">
        <f ca="1"/>
        <v/>
      </c>
      <c r="CG32" t="str">
        <f ca="1"/>
        <v/>
      </c>
      <c r="CH32" t="str">
        <f ca="1"/>
        <v/>
      </c>
      <c r="CI32" t="str">
        <f ca="1"/>
        <v/>
      </c>
      <c r="CJ32" t="str">
        <f ca="1"/>
        <v/>
      </c>
      <c r="CK32" t="str">
        <f ca="1"/>
        <v/>
      </c>
      <c r="CL32" t="str">
        <f ca="1"/>
        <v/>
      </c>
      <c r="CM32" t="str">
        <f ca="1"/>
        <v/>
      </c>
      <c r="CN32" t="str">
        <f ca="1"/>
        <v/>
      </c>
      <c r="CO32" t="str">
        <f ca="1"/>
        <v/>
      </c>
      <c r="CP32" t="str">
        <f ca="1"/>
        <v/>
      </c>
      <c r="CQ32" t="str">
        <f ca="1"/>
        <v/>
      </c>
      <c r="CR32" t="str">
        <f ca="1"/>
        <v/>
      </c>
      <c r="CS32" t="str">
        <f ca="1"/>
        <v/>
      </c>
      <c r="CT32" t="str">
        <f ca="1"/>
        <v/>
      </c>
      <c r="CU32" t="str">
        <f ca="1"/>
        <v/>
      </c>
      <c r="CV32" t="str">
        <f ca="1"/>
        <v/>
      </c>
      <c r="CW32" t="str">
        <f ca="1"/>
        <v/>
      </c>
      <c r="CX32" t="str">
        <f ca="1"/>
        <v/>
      </c>
      <c r="CY32" t="str">
        <f ca="1"/>
        <v/>
      </c>
      <c r="CZ32" t="str">
        <f ca="1"/>
        <v/>
      </c>
    </row>
    <row r="33" spans="2:104">
      <c r="B33" s="10" t="s">
        <v>1715</v>
      </c>
      <c r="E33" s="104" t="str">
        <f ca="1"/>
        <v/>
      </c>
      <c r="F33" s="105" t="str">
        <f ca="1"/>
        <v/>
      </c>
      <c r="G33" s="18" t="str">
        <f ca="1"/>
        <v/>
      </c>
      <c r="H33" s="105" t="str">
        <f ca="1"/>
        <v/>
      </c>
      <c r="I33" s="105" t="str">
        <f ca="1"/>
        <v/>
      </c>
      <c r="J33" s="18" t="str">
        <f ca="1"/>
        <v/>
      </c>
      <c r="K33" s="93" t="str">
        <f ca="1"/>
        <v/>
      </c>
      <c r="L33" s="18" t="str">
        <f ca="1"/>
        <v/>
      </c>
      <c r="M33" s="77" t="str">
        <f ca="1"/>
        <v/>
      </c>
      <c r="N33" s="18" t="str">
        <f ca="1"/>
        <v/>
      </c>
      <c r="O33" s="79" t="str">
        <f ca="1"/>
        <v/>
      </c>
      <c r="P33" s="18" t="str">
        <f ca="1"/>
        <v/>
      </c>
      <c r="Q33" t="str">
        <f ca="1"/>
        <v/>
      </c>
      <c r="R33" t="str">
        <f ca="1"/>
        <v/>
      </c>
      <c r="S33" t="str">
        <f ca="1"/>
        <v/>
      </c>
      <c r="T33" t="str">
        <f ca="1"/>
        <v/>
      </c>
      <c r="U33" t="str">
        <f ca="1"/>
        <v/>
      </c>
      <c r="V33" t="str">
        <f ca="1"/>
        <v/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  <c r="AA33" t="str">
        <f ca="1"/>
        <v/>
      </c>
      <c r="AB33" t="str">
        <f ca="1"/>
        <v/>
      </c>
      <c r="AC33" t="str">
        <f ca="1"/>
        <v/>
      </c>
      <c r="AD33" t="str">
        <f ca="1"/>
        <v/>
      </c>
      <c r="AE33" t="str">
        <f ca="1"/>
        <v/>
      </c>
      <c r="AF33" t="str">
        <f ca="1"/>
        <v/>
      </c>
      <c r="AG33" t="str">
        <f ca="1"/>
        <v/>
      </c>
      <c r="AH33" t="str">
        <f ca="1"/>
        <v/>
      </c>
      <c r="AI33" t="str">
        <f ca="1"/>
        <v/>
      </c>
      <c r="AJ33" t="str">
        <f ca="1"/>
        <v/>
      </c>
      <c r="AK33" t="str">
        <f ca="1"/>
        <v/>
      </c>
      <c r="AL33" t="str">
        <f ca="1"/>
        <v/>
      </c>
      <c r="AM33" t="str">
        <f ca="1"/>
        <v/>
      </c>
      <c r="AN33" t="str">
        <f ca="1"/>
        <v/>
      </c>
      <c r="AO33" t="str">
        <f ca="1"/>
        <v/>
      </c>
      <c r="AP33" t="str">
        <f ca="1"/>
        <v/>
      </c>
      <c r="AQ33" t="str">
        <f ca="1"/>
        <v/>
      </c>
      <c r="AR33" t="str">
        <f ca="1"/>
        <v/>
      </c>
      <c r="AS33" t="str">
        <f ca="1"/>
        <v/>
      </c>
      <c r="AT33" t="str">
        <f ca="1"/>
        <v/>
      </c>
      <c r="AU33" t="str">
        <f ca="1"/>
        <v/>
      </c>
      <c r="AV33" t="str">
        <f ca="1"/>
        <v/>
      </c>
      <c r="AW33" t="str">
        <f ca="1"/>
        <v/>
      </c>
      <c r="AX33" t="str">
        <f ca="1"/>
        <v/>
      </c>
      <c r="AY33" t="str">
        <f ca="1"/>
        <v/>
      </c>
      <c r="AZ33" t="str">
        <f ca="1"/>
        <v/>
      </c>
      <c r="BA33" t="str">
        <f ca="1"/>
        <v/>
      </c>
      <c r="BB33" t="str">
        <f ca="1"/>
        <v/>
      </c>
      <c r="BC33" t="str">
        <f ca="1"/>
        <v/>
      </c>
      <c r="BD33" t="str">
        <f ca="1"/>
        <v/>
      </c>
      <c r="BE33" t="str">
        <f ca="1"/>
        <v/>
      </c>
      <c r="BF33" t="str">
        <f ca="1"/>
        <v/>
      </c>
      <c r="BG33" t="str">
        <f ca="1"/>
        <v/>
      </c>
      <c r="BH33" t="str">
        <f ca="1"/>
        <v/>
      </c>
      <c r="BI33" t="str">
        <f ca="1"/>
        <v/>
      </c>
      <c r="BJ33" t="str">
        <f ca="1"/>
        <v/>
      </c>
      <c r="BK33" t="str">
        <f ca="1"/>
        <v/>
      </c>
      <c r="BL33" t="str">
        <f ca="1"/>
        <v/>
      </c>
      <c r="BM33" t="str">
        <f ca="1"/>
        <v/>
      </c>
      <c r="BN33" t="str">
        <f ca="1"/>
        <v/>
      </c>
      <c r="BO33" t="str">
        <f ca="1"/>
        <v/>
      </c>
      <c r="BP33" t="str">
        <f ca="1"/>
        <v/>
      </c>
      <c r="BQ33" t="str">
        <f ca="1"/>
        <v/>
      </c>
      <c r="BR33" t="str">
        <f ca="1"/>
        <v/>
      </c>
      <c r="BS33" t="str">
        <f ca="1"/>
        <v/>
      </c>
      <c r="BT33" t="str">
        <f ca="1"/>
        <v/>
      </c>
      <c r="BU33" t="str">
        <f ca="1"/>
        <v/>
      </c>
      <c r="BV33" t="str">
        <f ca="1"/>
        <v/>
      </c>
      <c r="BW33" t="str">
        <f ca="1"/>
        <v/>
      </c>
      <c r="BX33" t="str">
        <f ca="1"/>
        <v/>
      </c>
      <c r="BY33" t="str">
        <f ca="1"/>
        <v/>
      </c>
      <c r="BZ33" t="str">
        <f ca="1"/>
        <v/>
      </c>
      <c r="CA33" t="str">
        <f ca="1"/>
        <v/>
      </c>
      <c r="CB33" t="str">
        <f ca="1"/>
        <v/>
      </c>
      <c r="CC33" t="str">
        <f ca="1"/>
        <v/>
      </c>
      <c r="CD33" t="str">
        <f ca="1"/>
        <v/>
      </c>
      <c r="CE33" t="str">
        <f ca="1"/>
        <v/>
      </c>
      <c r="CF33" t="str">
        <f ca="1"/>
        <v/>
      </c>
      <c r="CG33" t="str">
        <f ca="1"/>
        <v/>
      </c>
      <c r="CH33" t="str">
        <f ca="1"/>
        <v/>
      </c>
      <c r="CI33" t="str">
        <f ca="1"/>
        <v/>
      </c>
      <c r="CJ33" t="str">
        <f ca="1"/>
        <v/>
      </c>
      <c r="CK33" t="str">
        <f ca="1"/>
        <v/>
      </c>
      <c r="CL33" t="str">
        <f ca="1"/>
        <v/>
      </c>
      <c r="CM33" t="str">
        <f ca="1"/>
        <v/>
      </c>
      <c r="CN33" t="str">
        <f ca="1"/>
        <v/>
      </c>
      <c r="CO33" t="str">
        <f ca="1"/>
        <v/>
      </c>
      <c r="CP33" t="str">
        <f ca="1"/>
        <v/>
      </c>
      <c r="CQ33" t="str">
        <f ca="1"/>
        <v/>
      </c>
      <c r="CR33" t="str">
        <f ca="1"/>
        <v/>
      </c>
      <c r="CS33" t="str">
        <f ca="1"/>
        <v/>
      </c>
      <c r="CT33" t="str">
        <f ca="1"/>
        <v/>
      </c>
      <c r="CU33" t="str">
        <f ca="1"/>
        <v/>
      </c>
      <c r="CV33" t="str">
        <f ca="1"/>
        <v/>
      </c>
      <c r="CW33" t="str">
        <f ca="1"/>
        <v/>
      </c>
      <c r="CX33" t="str">
        <f ca="1"/>
        <v/>
      </c>
      <c r="CY33" t="str">
        <f ca="1"/>
        <v/>
      </c>
      <c r="CZ33" t="str">
        <f ca="1"/>
        <v/>
      </c>
    </row>
    <row r="34" spans="2:104">
      <c r="B34" s="60" t="s">
        <v>1711</v>
      </c>
      <c r="C34" s="74" t="s">
        <v>278</v>
      </c>
      <c r="E34" s="104" t="str">
        <f ca="1"/>
        <v/>
      </c>
      <c r="F34" s="105" t="str">
        <f ca="1"/>
        <v/>
      </c>
      <c r="G34" s="18" t="str">
        <f ca="1"/>
        <v/>
      </c>
      <c r="H34" s="105" t="str">
        <f ca="1"/>
        <v/>
      </c>
      <c r="I34" s="105" t="str">
        <f ca="1"/>
        <v/>
      </c>
      <c r="J34" s="18" t="str">
        <f ca="1"/>
        <v/>
      </c>
      <c r="K34" s="93" t="str">
        <f ca="1"/>
        <v/>
      </c>
      <c r="L34" s="18" t="str">
        <f ca="1"/>
        <v/>
      </c>
      <c r="M34" s="77" t="str">
        <f ca="1"/>
        <v/>
      </c>
      <c r="N34" s="18" t="str">
        <f ca="1"/>
        <v/>
      </c>
      <c r="O34" s="79" t="str">
        <f ca="1"/>
        <v/>
      </c>
      <c r="P34" s="18" t="str">
        <f ca="1"/>
        <v/>
      </c>
      <c r="Q34" t="str">
        <f ca="1"/>
        <v/>
      </c>
      <c r="R34" t="str">
        <f ca="1"/>
        <v/>
      </c>
      <c r="S34" t="str">
        <f ca="1"/>
        <v/>
      </c>
      <c r="T34" t="str">
        <f ca="1"/>
        <v/>
      </c>
      <c r="U34" t="str">
        <f ca="1"/>
        <v/>
      </c>
      <c r="V34" t="str">
        <f ca="1"/>
        <v/>
      </c>
      <c r="W34" t="str">
        <f ca="1"/>
        <v/>
      </c>
      <c r="X34" t="str">
        <f ca="1"/>
        <v/>
      </c>
      <c r="Y34" t="str">
        <f ca="1"/>
        <v/>
      </c>
      <c r="Z34" t="str">
        <f ca="1"/>
        <v/>
      </c>
      <c r="AA34" t="str">
        <f ca="1"/>
        <v/>
      </c>
      <c r="AB34" t="str">
        <f ca="1"/>
        <v/>
      </c>
      <c r="AC34" t="str">
        <f ca="1"/>
        <v/>
      </c>
      <c r="AD34" t="str">
        <f ca="1"/>
        <v/>
      </c>
      <c r="AE34" t="str">
        <f ca="1"/>
        <v/>
      </c>
      <c r="AF34" t="str">
        <f ca="1"/>
        <v/>
      </c>
      <c r="AG34" t="str">
        <f ca="1"/>
        <v/>
      </c>
      <c r="AH34" t="str">
        <f ca="1"/>
        <v/>
      </c>
      <c r="AI34" t="str">
        <f ca="1"/>
        <v/>
      </c>
      <c r="AJ34" t="str">
        <f ca="1"/>
        <v/>
      </c>
      <c r="AK34" t="str">
        <f ca="1"/>
        <v/>
      </c>
      <c r="AL34" t="str">
        <f ca="1"/>
        <v/>
      </c>
      <c r="AM34" t="str">
        <f ca="1"/>
        <v/>
      </c>
      <c r="AN34" t="str">
        <f ca="1"/>
        <v/>
      </c>
      <c r="AO34" t="str">
        <f ca="1"/>
        <v/>
      </c>
      <c r="AP34" t="str">
        <f ca="1"/>
        <v/>
      </c>
      <c r="AQ34" t="str">
        <f ca="1"/>
        <v/>
      </c>
      <c r="AR34" t="str">
        <f ca="1"/>
        <v/>
      </c>
      <c r="AS34" t="str">
        <f ca="1"/>
        <v/>
      </c>
      <c r="AT34" t="str">
        <f ca="1"/>
        <v/>
      </c>
      <c r="AU34" t="str">
        <f ca="1"/>
        <v/>
      </c>
      <c r="AV34" t="str">
        <f ca="1"/>
        <v/>
      </c>
      <c r="AW34" t="str">
        <f ca="1"/>
        <v/>
      </c>
      <c r="AX34" t="str">
        <f ca="1"/>
        <v/>
      </c>
      <c r="AY34" t="str">
        <f ca="1"/>
        <v/>
      </c>
      <c r="AZ34" t="str">
        <f ca="1"/>
        <v/>
      </c>
      <c r="BA34" t="str">
        <f ca="1"/>
        <v/>
      </c>
      <c r="BB34" t="str">
        <f ca="1"/>
        <v/>
      </c>
      <c r="BC34" t="str">
        <f ca="1"/>
        <v/>
      </c>
      <c r="BD34" t="str">
        <f ca="1"/>
        <v/>
      </c>
      <c r="BE34" t="str">
        <f ca="1"/>
        <v/>
      </c>
      <c r="BF34" t="str">
        <f ca="1"/>
        <v/>
      </c>
      <c r="BG34" t="str">
        <f ca="1"/>
        <v/>
      </c>
      <c r="BH34" t="str">
        <f ca="1"/>
        <v/>
      </c>
      <c r="BI34" t="str">
        <f ca="1"/>
        <v/>
      </c>
      <c r="BJ34" t="str">
        <f ca="1"/>
        <v/>
      </c>
      <c r="BK34" t="str">
        <f ca="1"/>
        <v/>
      </c>
      <c r="BL34" t="str">
        <f ca="1"/>
        <v/>
      </c>
      <c r="BM34" t="str">
        <f ca="1"/>
        <v/>
      </c>
      <c r="BN34" t="str">
        <f ca="1"/>
        <v/>
      </c>
      <c r="BO34" t="str">
        <f ca="1"/>
        <v/>
      </c>
      <c r="BP34" t="str">
        <f ca="1"/>
        <v/>
      </c>
      <c r="BQ34" t="str">
        <f ca="1"/>
        <v/>
      </c>
      <c r="BR34" t="str">
        <f ca="1"/>
        <v/>
      </c>
      <c r="BS34" t="str">
        <f ca="1"/>
        <v/>
      </c>
      <c r="BT34" t="str">
        <f ca="1"/>
        <v/>
      </c>
      <c r="BU34" t="str">
        <f ca="1"/>
        <v/>
      </c>
      <c r="BV34" t="str">
        <f ca="1"/>
        <v/>
      </c>
      <c r="BW34" t="str">
        <f ca="1"/>
        <v/>
      </c>
      <c r="BX34" t="str">
        <f ca="1"/>
        <v/>
      </c>
      <c r="BY34" t="str">
        <f ca="1"/>
        <v/>
      </c>
      <c r="BZ34" t="str">
        <f ca="1"/>
        <v/>
      </c>
      <c r="CA34" t="str">
        <f ca="1"/>
        <v/>
      </c>
      <c r="CB34" t="str">
        <f ca="1"/>
        <v/>
      </c>
      <c r="CC34" t="str">
        <f ca="1"/>
        <v/>
      </c>
      <c r="CD34" t="str">
        <f ca="1"/>
        <v/>
      </c>
      <c r="CE34" t="str">
        <f ca="1"/>
        <v/>
      </c>
      <c r="CF34" t="str">
        <f ca="1"/>
        <v/>
      </c>
      <c r="CG34" t="str">
        <f ca="1"/>
        <v/>
      </c>
      <c r="CH34" t="str">
        <f ca="1"/>
        <v/>
      </c>
      <c r="CI34" t="str">
        <f ca="1"/>
        <v/>
      </c>
      <c r="CJ34" t="str">
        <f ca="1"/>
        <v/>
      </c>
      <c r="CK34" t="str">
        <f ca="1"/>
        <v/>
      </c>
      <c r="CL34" t="str">
        <f ca="1"/>
        <v/>
      </c>
      <c r="CM34" t="str">
        <f ca="1"/>
        <v/>
      </c>
      <c r="CN34" t="str">
        <f ca="1"/>
        <v/>
      </c>
      <c r="CO34" t="str">
        <f ca="1"/>
        <v/>
      </c>
      <c r="CP34" t="str">
        <f ca="1"/>
        <v/>
      </c>
      <c r="CQ34" t="str">
        <f ca="1"/>
        <v/>
      </c>
      <c r="CR34" t="str">
        <f ca="1"/>
        <v/>
      </c>
      <c r="CS34" t="str">
        <f ca="1"/>
        <v/>
      </c>
      <c r="CT34" t="str">
        <f ca="1"/>
        <v/>
      </c>
      <c r="CU34" t="str">
        <f ca="1"/>
        <v/>
      </c>
      <c r="CV34" t="str">
        <f ca="1"/>
        <v/>
      </c>
      <c r="CW34" t="str">
        <f ca="1"/>
        <v/>
      </c>
      <c r="CX34" t="str">
        <f ca="1"/>
        <v/>
      </c>
      <c r="CY34" t="str">
        <f ca="1"/>
        <v/>
      </c>
      <c r="CZ34" t="str">
        <f ca="1"/>
        <v/>
      </c>
    </row>
    <row r="35" spans="2:104">
      <c r="B35" s="61" t="s">
        <v>1708</v>
      </c>
      <c r="C35" s="70">
        <v>43175</v>
      </c>
      <c r="E35" s="104" t="str">
        <f ca="1"/>
        <v/>
      </c>
      <c r="F35" s="105" t="str">
        <f ca="1"/>
        <v/>
      </c>
      <c r="G35" s="18" t="str">
        <f ca="1"/>
        <v/>
      </c>
      <c r="H35" s="105" t="str">
        <f ca="1"/>
        <v/>
      </c>
      <c r="I35" s="105" t="str">
        <f ca="1"/>
        <v/>
      </c>
      <c r="J35" s="18" t="str">
        <f ca="1"/>
        <v/>
      </c>
      <c r="K35" s="93" t="str">
        <f ca="1"/>
        <v/>
      </c>
      <c r="L35" s="18" t="str">
        <f ca="1"/>
        <v/>
      </c>
      <c r="M35" s="77" t="str">
        <f ca="1"/>
        <v/>
      </c>
      <c r="N35" s="18" t="str">
        <f ca="1"/>
        <v/>
      </c>
      <c r="O35" s="79" t="str">
        <f ca="1"/>
        <v/>
      </c>
      <c r="P35" s="18" t="str">
        <f ca="1"/>
        <v/>
      </c>
      <c r="Q35" t="str">
        <f ca="1"/>
        <v/>
      </c>
      <c r="R35" t="str">
        <f ca="1"/>
        <v/>
      </c>
      <c r="S35" t="str">
        <f ca="1"/>
        <v/>
      </c>
      <c r="T35" t="str">
        <f ca="1"/>
        <v/>
      </c>
      <c r="U35" t="str">
        <f ca="1"/>
        <v/>
      </c>
      <c r="V35" t="str">
        <f ca="1"/>
        <v/>
      </c>
      <c r="W35" t="str">
        <f ca="1"/>
        <v/>
      </c>
      <c r="X35" t="str">
        <f ca="1"/>
        <v/>
      </c>
      <c r="Y35" t="str">
        <f ca="1"/>
        <v/>
      </c>
      <c r="Z35" t="str">
        <f ca="1"/>
        <v/>
      </c>
      <c r="AA35" t="str">
        <f ca="1"/>
        <v/>
      </c>
      <c r="AB35" t="str">
        <f ca="1"/>
        <v/>
      </c>
      <c r="AC35" t="str">
        <f ca="1"/>
        <v/>
      </c>
      <c r="AD35" t="str">
        <f ca="1"/>
        <v/>
      </c>
      <c r="AE35" t="str">
        <f ca="1"/>
        <v/>
      </c>
      <c r="AF35" t="str">
        <f ca="1"/>
        <v/>
      </c>
      <c r="AG35" t="str">
        <f ca="1"/>
        <v/>
      </c>
      <c r="AH35" t="str">
        <f ca="1"/>
        <v/>
      </c>
      <c r="AI35" t="str">
        <f ca="1"/>
        <v/>
      </c>
      <c r="AJ35" t="str">
        <f ca="1"/>
        <v/>
      </c>
      <c r="AK35" t="str">
        <f ca="1"/>
        <v/>
      </c>
      <c r="AL35" t="str">
        <f ca="1"/>
        <v/>
      </c>
      <c r="AM35" t="str">
        <f ca="1"/>
        <v/>
      </c>
      <c r="AN35" t="str">
        <f ca="1"/>
        <v/>
      </c>
      <c r="AO35" t="str">
        <f ca="1"/>
        <v/>
      </c>
      <c r="AP35" t="str">
        <f ca="1"/>
        <v/>
      </c>
      <c r="AQ35" t="str">
        <f ca="1"/>
        <v/>
      </c>
      <c r="AR35" t="str">
        <f ca="1"/>
        <v/>
      </c>
      <c r="AS35" t="str">
        <f ca="1"/>
        <v/>
      </c>
      <c r="AT35" t="str">
        <f ca="1"/>
        <v/>
      </c>
      <c r="AU35" t="str">
        <f ca="1"/>
        <v/>
      </c>
      <c r="AV35" t="str">
        <f ca="1"/>
        <v/>
      </c>
      <c r="AW35" t="str">
        <f ca="1"/>
        <v/>
      </c>
      <c r="AX35" t="str">
        <f ca="1"/>
        <v/>
      </c>
      <c r="AY35" t="str">
        <f ca="1"/>
        <v/>
      </c>
      <c r="AZ35" t="str">
        <f ca="1"/>
        <v/>
      </c>
      <c r="BA35" t="str">
        <f ca="1"/>
        <v/>
      </c>
      <c r="BB35" t="str">
        <f ca="1"/>
        <v/>
      </c>
      <c r="BC35" t="str">
        <f ca="1"/>
        <v/>
      </c>
      <c r="BD35" t="str">
        <f ca="1"/>
        <v/>
      </c>
      <c r="BE35" t="str">
        <f ca="1"/>
        <v/>
      </c>
      <c r="BF35" t="str">
        <f ca="1"/>
        <v/>
      </c>
      <c r="BG35" t="str">
        <f ca="1"/>
        <v/>
      </c>
      <c r="BH35" t="str">
        <f ca="1"/>
        <v/>
      </c>
      <c r="BI35" t="str">
        <f ca="1"/>
        <v/>
      </c>
      <c r="BJ35" t="str">
        <f ca="1"/>
        <v/>
      </c>
      <c r="BK35" t="str">
        <f ca="1"/>
        <v/>
      </c>
      <c r="BL35" t="str">
        <f ca="1"/>
        <v/>
      </c>
      <c r="BM35" t="str">
        <f ca="1"/>
        <v/>
      </c>
      <c r="BN35" t="str">
        <f ca="1"/>
        <v/>
      </c>
      <c r="BO35" t="str">
        <f ca="1"/>
        <v/>
      </c>
      <c r="BP35" t="str">
        <f ca="1"/>
        <v/>
      </c>
      <c r="BQ35" t="str">
        <f ca="1"/>
        <v/>
      </c>
      <c r="BR35" t="str">
        <f ca="1"/>
        <v/>
      </c>
      <c r="BS35" t="str">
        <f ca="1"/>
        <v/>
      </c>
      <c r="BT35" t="str">
        <f ca="1"/>
        <v/>
      </c>
      <c r="BU35" t="str">
        <f ca="1"/>
        <v/>
      </c>
      <c r="BV35" t="str">
        <f ca="1"/>
        <v/>
      </c>
      <c r="BW35" t="str">
        <f ca="1"/>
        <v/>
      </c>
      <c r="BX35" t="str">
        <f ca="1"/>
        <v/>
      </c>
      <c r="BY35" t="str">
        <f ca="1"/>
        <v/>
      </c>
      <c r="BZ35" t="str">
        <f ca="1"/>
        <v/>
      </c>
      <c r="CA35" t="str">
        <f ca="1"/>
        <v/>
      </c>
      <c r="CB35" t="str">
        <f ca="1"/>
        <v/>
      </c>
      <c r="CC35" t="str">
        <f ca="1"/>
        <v/>
      </c>
      <c r="CD35" t="str">
        <f ca="1"/>
        <v/>
      </c>
      <c r="CE35" t="str">
        <f ca="1"/>
        <v/>
      </c>
      <c r="CF35" t="str">
        <f ca="1"/>
        <v/>
      </c>
      <c r="CG35" t="str">
        <f ca="1"/>
        <v/>
      </c>
      <c r="CH35" t="str">
        <f ca="1"/>
        <v/>
      </c>
      <c r="CI35" t="str">
        <f ca="1"/>
        <v/>
      </c>
      <c r="CJ35" t="str">
        <f ca="1"/>
        <v/>
      </c>
      <c r="CK35" t="str">
        <f ca="1"/>
        <v/>
      </c>
      <c r="CL35" t="str">
        <f ca="1"/>
        <v/>
      </c>
      <c r="CM35" t="str">
        <f ca="1"/>
        <v/>
      </c>
      <c r="CN35" t="str">
        <f ca="1"/>
        <v/>
      </c>
      <c r="CO35" t="str">
        <f ca="1"/>
        <v/>
      </c>
      <c r="CP35" t="str">
        <f ca="1"/>
        <v/>
      </c>
      <c r="CQ35" t="str">
        <f ca="1"/>
        <v/>
      </c>
      <c r="CR35" t="str">
        <f ca="1"/>
        <v/>
      </c>
      <c r="CS35" t="str">
        <f ca="1"/>
        <v/>
      </c>
      <c r="CT35" t="str">
        <f ca="1"/>
        <v/>
      </c>
      <c r="CU35" t="str">
        <f ca="1"/>
        <v/>
      </c>
      <c r="CV35" t="str">
        <f ca="1"/>
        <v/>
      </c>
      <c r="CW35" t="str">
        <f ca="1"/>
        <v/>
      </c>
      <c r="CX35" t="str">
        <f ca="1"/>
        <v/>
      </c>
      <c r="CY35" t="str">
        <f ca="1"/>
        <v/>
      </c>
      <c r="CZ35" t="str">
        <f ca="1"/>
        <v/>
      </c>
    </row>
    <row r="36" spans="2:104">
      <c r="B36" s="62" t="s">
        <v>1955</v>
      </c>
      <c r="C36" s="110">
        <v>2.73499438022482E-2</v>
      </c>
      <c r="E36" s="104" t="str">
        <f ca="1"/>
        <v/>
      </c>
      <c r="F36" s="105" t="str">
        <f ca="1"/>
        <v/>
      </c>
      <c r="G36" s="18" t="str">
        <f ca="1"/>
        <v/>
      </c>
      <c r="H36" s="105" t="str">
        <f ca="1"/>
        <v/>
      </c>
      <c r="I36" s="105" t="str">
        <f ca="1"/>
        <v/>
      </c>
      <c r="J36" s="18" t="str">
        <f ca="1"/>
        <v/>
      </c>
      <c r="K36" s="93" t="str">
        <f ca="1"/>
        <v/>
      </c>
      <c r="L36" s="18" t="str">
        <f ca="1"/>
        <v/>
      </c>
      <c r="M36" s="77" t="str">
        <f ca="1"/>
        <v/>
      </c>
      <c r="N36" s="18" t="str">
        <f ca="1"/>
        <v/>
      </c>
      <c r="O36" s="79" t="str">
        <f ca="1"/>
        <v/>
      </c>
      <c r="P36" s="18" t="str">
        <f ca="1"/>
        <v/>
      </c>
      <c r="Q36" t="str">
        <f ca="1"/>
        <v/>
      </c>
      <c r="R36" t="str">
        <f ca="1"/>
        <v/>
      </c>
      <c r="S36" t="str">
        <f ca="1"/>
        <v/>
      </c>
      <c r="T36" t="str">
        <f ca="1"/>
        <v/>
      </c>
      <c r="U36" t="str">
        <f ca="1"/>
        <v/>
      </c>
      <c r="V36" t="str">
        <f ca="1"/>
        <v/>
      </c>
      <c r="W36" t="str">
        <f ca="1"/>
        <v/>
      </c>
      <c r="X36" t="str">
        <f ca="1"/>
        <v/>
      </c>
      <c r="Y36" t="str">
        <f ca="1"/>
        <v/>
      </c>
      <c r="Z36" t="str">
        <f ca="1"/>
        <v/>
      </c>
      <c r="AA36" t="str">
        <f ca="1"/>
        <v/>
      </c>
      <c r="AB36" t="str">
        <f ca="1"/>
        <v/>
      </c>
      <c r="AC36" t="str">
        <f ca="1"/>
        <v/>
      </c>
      <c r="AD36" t="str">
        <f ca="1"/>
        <v/>
      </c>
      <c r="AE36" t="str">
        <f ca="1"/>
        <v/>
      </c>
      <c r="AF36" t="str">
        <f ca="1"/>
        <v/>
      </c>
      <c r="AG36" t="str">
        <f ca="1"/>
        <v/>
      </c>
      <c r="AH36" t="str">
        <f ca="1"/>
        <v/>
      </c>
      <c r="AI36" t="str">
        <f ca="1"/>
        <v/>
      </c>
      <c r="AJ36" t="str">
        <f ca="1"/>
        <v/>
      </c>
      <c r="AK36" t="str">
        <f ca="1"/>
        <v/>
      </c>
      <c r="AL36" t="str">
        <f ca="1"/>
        <v/>
      </c>
      <c r="AM36" t="str">
        <f ca="1"/>
        <v/>
      </c>
      <c r="AN36" t="str">
        <f ca="1"/>
        <v/>
      </c>
      <c r="AO36" t="str">
        <f ca="1"/>
        <v/>
      </c>
      <c r="AP36" t="str">
        <f ca="1"/>
        <v/>
      </c>
      <c r="AQ36" t="str">
        <f ca="1"/>
        <v/>
      </c>
      <c r="AR36" t="str">
        <f ca="1"/>
        <v/>
      </c>
      <c r="AS36" t="str">
        <f ca="1"/>
        <v/>
      </c>
      <c r="AT36" t="str">
        <f ca="1"/>
        <v/>
      </c>
      <c r="AU36" t="str">
        <f ca="1"/>
        <v/>
      </c>
      <c r="AV36" t="str">
        <f ca="1"/>
        <v/>
      </c>
      <c r="AW36" t="str">
        <f ca="1"/>
        <v/>
      </c>
      <c r="AX36" t="str">
        <f ca="1"/>
        <v/>
      </c>
      <c r="AY36" t="str">
        <f ca="1"/>
        <v/>
      </c>
      <c r="AZ36" t="str">
        <f ca="1"/>
        <v/>
      </c>
      <c r="BA36" t="str">
        <f ca="1"/>
        <v/>
      </c>
      <c r="BB36" t="str">
        <f ca="1"/>
        <v/>
      </c>
      <c r="BC36" t="str">
        <f ca="1"/>
        <v/>
      </c>
      <c r="BD36" t="str">
        <f ca="1"/>
        <v/>
      </c>
      <c r="BE36" t="str">
        <f ca="1"/>
        <v/>
      </c>
      <c r="BF36" t="str">
        <f ca="1"/>
        <v/>
      </c>
      <c r="BG36" t="str">
        <f ca="1"/>
        <v/>
      </c>
      <c r="BH36" t="str">
        <f ca="1"/>
        <v/>
      </c>
      <c r="BI36" t="str">
        <f ca="1"/>
        <v/>
      </c>
      <c r="BJ36" t="str">
        <f ca="1"/>
        <v/>
      </c>
      <c r="BK36" t="str">
        <f ca="1"/>
        <v/>
      </c>
      <c r="BL36" t="str">
        <f ca="1"/>
        <v/>
      </c>
      <c r="BM36" t="str">
        <f ca="1"/>
        <v/>
      </c>
      <c r="BN36" t="str">
        <f ca="1"/>
        <v/>
      </c>
      <c r="BO36" t="str">
        <f ca="1"/>
        <v/>
      </c>
      <c r="BP36" t="str">
        <f ca="1"/>
        <v/>
      </c>
      <c r="BQ36" t="str">
        <f ca="1"/>
        <v/>
      </c>
      <c r="BR36" t="str">
        <f ca="1"/>
        <v/>
      </c>
      <c r="BS36" t="str">
        <f ca="1"/>
        <v/>
      </c>
      <c r="BT36" t="str">
        <f ca="1"/>
        <v/>
      </c>
      <c r="BU36" t="str">
        <f ca="1"/>
        <v/>
      </c>
      <c r="BV36" t="str">
        <f ca="1"/>
        <v/>
      </c>
      <c r="BW36" t="str">
        <f ca="1"/>
        <v/>
      </c>
      <c r="BX36" t="str">
        <f ca="1"/>
        <v/>
      </c>
      <c r="BY36" t="str">
        <f ca="1"/>
        <v/>
      </c>
      <c r="BZ36" t="str">
        <f ca="1"/>
        <v/>
      </c>
      <c r="CA36" t="str">
        <f ca="1"/>
        <v/>
      </c>
      <c r="CB36" t="str">
        <f ca="1"/>
        <v/>
      </c>
      <c r="CC36" t="str">
        <f ca="1"/>
        <v/>
      </c>
      <c r="CD36" t="str">
        <f ca="1"/>
        <v/>
      </c>
      <c r="CE36" t="str">
        <f ca="1"/>
        <v/>
      </c>
      <c r="CF36" t="str">
        <f ca="1"/>
        <v/>
      </c>
      <c r="CG36" t="str">
        <f ca="1"/>
        <v/>
      </c>
      <c r="CH36" t="str">
        <f ca="1"/>
        <v/>
      </c>
      <c r="CI36" t="str">
        <f ca="1"/>
        <v/>
      </c>
      <c r="CJ36" t="str">
        <f ca="1"/>
        <v/>
      </c>
      <c r="CK36" t="str">
        <f ca="1"/>
        <v/>
      </c>
      <c r="CL36" t="str">
        <f ca="1"/>
        <v/>
      </c>
      <c r="CM36" t="str">
        <f ca="1"/>
        <v/>
      </c>
      <c r="CN36" t="str">
        <f ca="1"/>
        <v/>
      </c>
      <c r="CO36" t="str">
        <f ca="1"/>
        <v/>
      </c>
      <c r="CP36" t="str">
        <f ca="1"/>
        <v/>
      </c>
      <c r="CQ36" t="str">
        <f ca="1"/>
        <v/>
      </c>
      <c r="CR36" t="str">
        <f ca="1"/>
        <v/>
      </c>
      <c r="CS36" t="str">
        <f ca="1"/>
        <v/>
      </c>
      <c r="CT36" t="str">
        <f ca="1"/>
        <v/>
      </c>
      <c r="CU36" t="str">
        <f ca="1"/>
        <v/>
      </c>
      <c r="CV36" t="str">
        <f ca="1"/>
        <v/>
      </c>
      <c r="CW36" t="str">
        <f ca="1"/>
        <v/>
      </c>
      <c r="CX36" t="str">
        <f ca="1"/>
        <v/>
      </c>
      <c r="CY36" t="str">
        <f ca="1"/>
        <v/>
      </c>
      <c r="CZ36" t="str">
        <f ca="1"/>
        <v/>
      </c>
    </row>
    <row r="37" spans="2:104">
      <c r="E37" s="104" t="str">
        <f ca="1"/>
        <v/>
      </c>
      <c r="F37" s="105" t="str">
        <f ca="1"/>
        <v/>
      </c>
      <c r="G37" s="18" t="str">
        <f ca="1"/>
        <v/>
      </c>
      <c r="H37" s="105" t="str">
        <f ca="1"/>
        <v/>
      </c>
      <c r="I37" s="105" t="str">
        <f ca="1"/>
        <v/>
      </c>
      <c r="J37" s="18" t="str">
        <f ca="1"/>
        <v/>
      </c>
      <c r="K37" s="93" t="str">
        <f ca="1"/>
        <v/>
      </c>
      <c r="L37" s="18" t="str">
        <f ca="1"/>
        <v/>
      </c>
      <c r="M37" s="77" t="str">
        <f ca="1"/>
        <v/>
      </c>
      <c r="N37" s="18" t="str">
        <f ca="1"/>
        <v/>
      </c>
      <c r="O37" s="79" t="str">
        <f ca="1"/>
        <v/>
      </c>
      <c r="P37" s="18" t="str">
        <f ca="1"/>
        <v/>
      </c>
      <c r="Q37" t="str">
        <f ca="1"/>
        <v/>
      </c>
      <c r="R37" t="str">
        <f ca="1"/>
        <v/>
      </c>
      <c r="S37" t="str">
        <f ca="1"/>
        <v/>
      </c>
      <c r="T37" t="str">
        <f ca="1"/>
        <v/>
      </c>
      <c r="U37" t="str">
        <f ca="1"/>
        <v/>
      </c>
      <c r="V37" t="str">
        <f ca="1"/>
        <v/>
      </c>
      <c r="W37" t="str">
        <f ca="1"/>
        <v/>
      </c>
      <c r="X37" t="str">
        <f ca="1"/>
        <v/>
      </c>
      <c r="Y37" t="str">
        <f ca="1"/>
        <v/>
      </c>
      <c r="Z37" t="str">
        <f ca="1"/>
        <v/>
      </c>
      <c r="AA37" t="str">
        <f ca="1"/>
        <v/>
      </c>
      <c r="AB37" t="str">
        <f ca="1"/>
        <v/>
      </c>
      <c r="AC37" t="str">
        <f ca="1"/>
        <v/>
      </c>
      <c r="AD37" t="str">
        <f ca="1"/>
        <v/>
      </c>
      <c r="AE37" t="str">
        <f ca="1"/>
        <v/>
      </c>
      <c r="AF37" t="str">
        <f ca="1"/>
        <v/>
      </c>
      <c r="AG37" t="str">
        <f ca="1"/>
        <v/>
      </c>
      <c r="AH37" t="str">
        <f ca="1"/>
        <v/>
      </c>
      <c r="AI37" t="str">
        <f ca="1"/>
        <v/>
      </c>
      <c r="AJ37" t="str">
        <f ca="1"/>
        <v/>
      </c>
      <c r="AK37" t="str">
        <f ca="1"/>
        <v/>
      </c>
      <c r="AL37" t="str">
        <f ca="1"/>
        <v/>
      </c>
      <c r="AM37" t="str">
        <f ca="1"/>
        <v/>
      </c>
      <c r="AN37" t="str">
        <f ca="1"/>
        <v/>
      </c>
      <c r="AO37" t="str">
        <f ca="1"/>
        <v/>
      </c>
      <c r="AP37" t="str">
        <f ca="1"/>
        <v/>
      </c>
      <c r="AQ37" t="str">
        <f ca="1"/>
        <v/>
      </c>
      <c r="AR37" t="str">
        <f ca="1"/>
        <v/>
      </c>
      <c r="AS37" t="str">
        <f ca="1"/>
        <v/>
      </c>
      <c r="AT37" t="str">
        <f ca="1"/>
        <v/>
      </c>
      <c r="AU37" t="str">
        <f ca="1"/>
        <v/>
      </c>
      <c r="AV37" t="str">
        <f ca="1"/>
        <v/>
      </c>
      <c r="AW37" t="str">
        <f ca="1"/>
        <v/>
      </c>
      <c r="AX37" t="str">
        <f ca="1"/>
        <v/>
      </c>
      <c r="AY37" t="str">
        <f ca="1"/>
        <v/>
      </c>
      <c r="AZ37" t="str">
        <f ca="1"/>
        <v/>
      </c>
      <c r="BA37" t="str">
        <f ca="1"/>
        <v/>
      </c>
      <c r="BB37" t="str">
        <f ca="1"/>
        <v/>
      </c>
      <c r="BC37" t="str">
        <f ca="1"/>
        <v/>
      </c>
      <c r="BD37" t="str">
        <f ca="1"/>
        <v/>
      </c>
      <c r="BE37" t="str">
        <f ca="1"/>
        <v/>
      </c>
      <c r="BF37" t="str">
        <f ca="1"/>
        <v/>
      </c>
      <c r="BG37" t="str">
        <f ca="1"/>
        <v/>
      </c>
      <c r="BH37" t="str">
        <f ca="1"/>
        <v/>
      </c>
      <c r="BI37" t="str">
        <f ca="1"/>
        <v/>
      </c>
      <c r="BJ37" t="str">
        <f ca="1"/>
        <v/>
      </c>
      <c r="BK37" t="str">
        <f ca="1"/>
        <v/>
      </c>
      <c r="BL37" t="str">
        <f ca="1"/>
        <v/>
      </c>
      <c r="BM37" t="str">
        <f ca="1"/>
        <v/>
      </c>
      <c r="BN37" t="str">
        <f ca="1"/>
        <v/>
      </c>
      <c r="BO37" t="str">
        <f ca="1"/>
        <v/>
      </c>
      <c r="BP37" t="str">
        <f ca="1"/>
        <v/>
      </c>
      <c r="BQ37" t="str">
        <f ca="1"/>
        <v/>
      </c>
      <c r="BR37" t="str">
        <f ca="1"/>
        <v/>
      </c>
      <c r="BS37" t="str">
        <f ca="1"/>
        <v/>
      </c>
      <c r="BT37" t="str">
        <f ca="1"/>
        <v/>
      </c>
      <c r="BU37" t="str">
        <f ca="1"/>
        <v/>
      </c>
      <c r="BV37" t="str">
        <f ca="1"/>
        <v/>
      </c>
      <c r="BW37" t="str">
        <f ca="1"/>
        <v/>
      </c>
      <c r="BX37" t="str">
        <f ca="1"/>
        <v/>
      </c>
      <c r="BY37" t="str">
        <f ca="1"/>
        <v/>
      </c>
      <c r="BZ37" t="str">
        <f ca="1"/>
        <v/>
      </c>
      <c r="CA37" t="str">
        <f ca="1"/>
        <v/>
      </c>
      <c r="CB37" t="str">
        <f ca="1"/>
        <v/>
      </c>
      <c r="CC37" t="str">
        <f ca="1"/>
        <v/>
      </c>
      <c r="CD37" t="str">
        <f ca="1"/>
        <v/>
      </c>
      <c r="CE37" t="str">
        <f ca="1"/>
        <v/>
      </c>
      <c r="CF37" t="str">
        <f ca="1"/>
        <v/>
      </c>
      <c r="CG37" t="str">
        <f ca="1"/>
        <v/>
      </c>
      <c r="CH37" t="str">
        <f ca="1"/>
        <v/>
      </c>
      <c r="CI37" t="str">
        <f ca="1"/>
        <v/>
      </c>
      <c r="CJ37" t="str">
        <f ca="1"/>
        <v/>
      </c>
      <c r="CK37" t="str">
        <f ca="1"/>
        <v/>
      </c>
      <c r="CL37" t="str">
        <f ca="1"/>
        <v/>
      </c>
      <c r="CM37" t="str">
        <f ca="1"/>
        <v/>
      </c>
      <c r="CN37" t="str">
        <f ca="1"/>
        <v/>
      </c>
      <c r="CO37" t="str">
        <f ca="1"/>
        <v/>
      </c>
      <c r="CP37" t="str">
        <f ca="1"/>
        <v/>
      </c>
      <c r="CQ37" t="str">
        <f ca="1"/>
        <v/>
      </c>
      <c r="CR37" t="str">
        <f ca="1"/>
        <v/>
      </c>
      <c r="CS37" t="str">
        <f ca="1"/>
        <v/>
      </c>
      <c r="CT37" t="str">
        <f ca="1"/>
        <v/>
      </c>
      <c r="CU37" t="str">
        <f ca="1"/>
        <v/>
      </c>
      <c r="CV37" t="str">
        <f ca="1"/>
        <v/>
      </c>
      <c r="CW37" t="str">
        <f ca="1"/>
        <v/>
      </c>
      <c r="CX37" t="str">
        <f ca="1"/>
        <v/>
      </c>
      <c r="CY37" t="str">
        <f ca="1"/>
        <v/>
      </c>
      <c r="CZ37" t="str">
        <f ca="1"/>
        <v/>
      </c>
    </row>
    <row r="38" spans="2:104">
      <c r="B38" s="10" t="s">
        <v>1712</v>
      </c>
      <c r="E38" s="104" t="str">
        <f ca="1"/>
        <v/>
      </c>
      <c r="F38" s="105" t="str">
        <f ca="1"/>
        <v/>
      </c>
      <c r="G38" s="18" t="str">
        <f ca="1"/>
        <v/>
      </c>
      <c r="H38" s="105" t="str">
        <f ca="1"/>
        <v/>
      </c>
      <c r="I38" s="105" t="str">
        <f ca="1"/>
        <v/>
      </c>
      <c r="J38" s="18" t="str">
        <f ca="1"/>
        <v/>
      </c>
      <c r="K38" s="93" t="str">
        <f ca="1"/>
        <v/>
      </c>
      <c r="L38" s="18" t="str">
        <f ca="1"/>
        <v/>
      </c>
      <c r="M38" s="77" t="str">
        <f ca="1"/>
        <v/>
      </c>
      <c r="N38" s="18" t="str">
        <f ca="1"/>
        <v/>
      </c>
      <c r="O38" s="79" t="str">
        <f ca="1"/>
        <v/>
      </c>
      <c r="P38" s="18" t="str">
        <f ca="1"/>
        <v/>
      </c>
      <c r="Q38" t="str">
        <f ca="1"/>
        <v/>
      </c>
      <c r="R38" t="str">
        <f ca="1"/>
        <v/>
      </c>
      <c r="S38" t="str">
        <f ca="1"/>
        <v/>
      </c>
      <c r="T38" t="str">
        <f ca="1"/>
        <v/>
      </c>
      <c r="U38" t="str">
        <f ca="1"/>
        <v/>
      </c>
      <c r="V38" t="str">
        <f ca="1"/>
        <v/>
      </c>
      <c r="W38" t="str">
        <f ca="1"/>
        <v/>
      </c>
      <c r="X38" t="str">
        <f ca="1"/>
        <v/>
      </c>
      <c r="Y38" t="str">
        <f ca="1"/>
        <v/>
      </c>
      <c r="Z38" t="str">
        <f ca="1"/>
        <v/>
      </c>
      <c r="AA38" t="str">
        <f ca="1"/>
        <v/>
      </c>
      <c r="AB38" t="str">
        <f ca="1"/>
        <v/>
      </c>
      <c r="AC38" t="str">
        <f ca="1"/>
        <v/>
      </c>
      <c r="AD38" t="str">
        <f ca="1"/>
        <v/>
      </c>
      <c r="AE38" t="str">
        <f ca="1"/>
        <v/>
      </c>
      <c r="AF38" t="str">
        <f ca="1"/>
        <v/>
      </c>
      <c r="AG38" t="str">
        <f ca="1"/>
        <v/>
      </c>
      <c r="AH38" t="str">
        <f ca="1"/>
        <v/>
      </c>
      <c r="AI38" t="str">
        <f ca="1"/>
        <v/>
      </c>
      <c r="AJ38" t="str">
        <f ca="1"/>
        <v/>
      </c>
      <c r="AK38" t="str">
        <f ca="1"/>
        <v/>
      </c>
      <c r="AL38" t="str">
        <f ca="1"/>
        <v/>
      </c>
      <c r="AM38" t="str">
        <f ca="1"/>
        <v/>
      </c>
      <c r="AN38" t="str">
        <f ca="1"/>
        <v/>
      </c>
      <c r="AO38" t="str">
        <f ca="1"/>
        <v/>
      </c>
      <c r="AP38" t="str">
        <f ca="1"/>
        <v/>
      </c>
      <c r="AQ38" t="str">
        <f ca="1"/>
        <v/>
      </c>
      <c r="AR38" t="str">
        <f ca="1"/>
        <v/>
      </c>
      <c r="AS38" t="str">
        <f ca="1"/>
        <v/>
      </c>
      <c r="AT38" t="str">
        <f ca="1"/>
        <v/>
      </c>
      <c r="AU38" t="str">
        <f ca="1"/>
        <v/>
      </c>
      <c r="AV38" t="str">
        <f ca="1"/>
        <v/>
      </c>
      <c r="AW38" t="str">
        <f ca="1"/>
        <v/>
      </c>
      <c r="AX38" t="str">
        <f ca="1"/>
        <v/>
      </c>
      <c r="AY38" t="str">
        <f ca="1"/>
        <v/>
      </c>
      <c r="AZ38" t="str">
        <f ca="1"/>
        <v/>
      </c>
      <c r="BA38" t="str">
        <f ca="1"/>
        <v/>
      </c>
      <c r="BB38" t="str">
        <f ca="1"/>
        <v/>
      </c>
      <c r="BC38" t="str">
        <f ca="1"/>
        <v/>
      </c>
      <c r="BD38" t="str">
        <f ca="1"/>
        <v/>
      </c>
      <c r="BE38" t="str">
        <f ca="1"/>
        <v/>
      </c>
      <c r="BF38" t="str">
        <f ca="1"/>
        <v/>
      </c>
      <c r="BG38" t="str">
        <f ca="1"/>
        <v/>
      </c>
      <c r="BH38" t="str">
        <f ca="1"/>
        <v/>
      </c>
      <c r="BI38" t="str">
        <f ca="1"/>
        <v/>
      </c>
      <c r="BJ38" t="str">
        <f ca="1"/>
        <v/>
      </c>
      <c r="BK38" t="str">
        <f ca="1"/>
        <v/>
      </c>
      <c r="BL38" t="str">
        <f ca="1"/>
        <v/>
      </c>
      <c r="BM38" t="str">
        <f ca="1"/>
        <v/>
      </c>
      <c r="BN38" t="str">
        <f ca="1"/>
        <v/>
      </c>
      <c r="BO38" t="str">
        <f ca="1"/>
        <v/>
      </c>
      <c r="BP38" t="str">
        <f ca="1"/>
        <v/>
      </c>
      <c r="BQ38" t="str">
        <f ca="1"/>
        <v/>
      </c>
      <c r="BR38" t="str">
        <f ca="1"/>
        <v/>
      </c>
      <c r="BS38" t="str">
        <f ca="1"/>
        <v/>
      </c>
      <c r="BT38" t="str">
        <f ca="1"/>
        <v/>
      </c>
      <c r="BU38" t="str">
        <f ca="1"/>
        <v/>
      </c>
      <c r="BV38" t="str">
        <f ca="1"/>
        <v/>
      </c>
      <c r="BW38" t="str">
        <f ca="1"/>
        <v/>
      </c>
      <c r="BX38" t="str">
        <f ca="1"/>
        <v/>
      </c>
      <c r="BY38" t="str">
        <f ca="1"/>
        <v/>
      </c>
      <c r="BZ38" t="str">
        <f ca="1"/>
        <v/>
      </c>
      <c r="CA38" t="str">
        <f ca="1"/>
        <v/>
      </c>
      <c r="CB38" t="str">
        <f ca="1"/>
        <v/>
      </c>
      <c r="CC38" t="str">
        <f ca="1"/>
        <v/>
      </c>
      <c r="CD38" t="str">
        <f ca="1"/>
        <v/>
      </c>
      <c r="CE38" t="str">
        <f ca="1"/>
        <v/>
      </c>
      <c r="CF38" t="str">
        <f ca="1"/>
        <v/>
      </c>
      <c r="CG38" t="str">
        <f ca="1"/>
        <v/>
      </c>
      <c r="CH38" t="str">
        <f ca="1"/>
        <v/>
      </c>
      <c r="CI38" t="str">
        <f ca="1"/>
        <v/>
      </c>
      <c r="CJ38" t="str">
        <f ca="1"/>
        <v/>
      </c>
      <c r="CK38" t="str">
        <f ca="1"/>
        <v/>
      </c>
      <c r="CL38" t="str">
        <f ca="1"/>
        <v/>
      </c>
      <c r="CM38" t="str">
        <f ca="1"/>
        <v/>
      </c>
      <c r="CN38" t="str">
        <f ca="1"/>
        <v/>
      </c>
      <c r="CO38" t="str">
        <f ca="1"/>
        <v/>
      </c>
      <c r="CP38" t="str">
        <f ca="1"/>
        <v/>
      </c>
      <c r="CQ38" t="str">
        <f ca="1"/>
        <v/>
      </c>
      <c r="CR38" t="str">
        <f ca="1"/>
        <v/>
      </c>
      <c r="CS38" t="str">
        <f ca="1"/>
        <v/>
      </c>
      <c r="CT38" t="str">
        <f ca="1"/>
        <v/>
      </c>
      <c r="CU38" t="str">
        <f ca="1"/>
        <v/>
      </c>
      <c r="CV38" t="str">
        <f ca="1"/>
        <v/>
      </c>
      <c r="CW38" t="str">
        <f ca="1"/>
        <v/>
      </c>
      <c r="CX38" t="str">
        <f ca="1"/>
        <v/>
      </c>
      <c r="CY38" t="str">
        <f ca="1"/>
        <v/>
      </c>
      <c r="CZ38" t="str">
        <f ca="1"/>
        <v/>
      </c>
    </row>
    <row r="39" spans="2:104">
      <c r="B39" s="60" t="s">
        <v>1706</v>
      </c>
      <c r="C39" s="63" cm="1">
        <f t="array" aca="1" ref="C39" ca="1">_xll.aqBondObjectQuote($C$4,$C$35,$C$36)</f>
        <v>96.427999999999997</v>
      </c>
      <c r="E39" s="104" t="str">
        <f ca="1"/>
        <v/>
      </c>
      <c r="F39" s="105" t="str">
        <f ca="1"/>
        <v/>
      </c>
      <c r="G39" s="18" t="str">
        <f ca="1"/>
        <v/>
      </c>
      <c r="H39" s="105" t="str">
        <f ca="1"/>
        <v/>
      </c>
      <c r="I39" s="105" t="str">
        <f ca="1"/>
        <v/>
      </c>
      <c r="J39" s="18" t="str">
        <f ca="1"/>
        <v/>
      </c>
      <c r="K39" s="93" t="str">
        <f ca="1"/>
        <v/>
      </c>
      <c r="L39" s="18" t="str">
        <f ca="1"/>
        <v/>
      </c>
      <c r="M39" s="77" t="str">
        <f ca="1"/>
        <v/>
      </c>
      <c r="N39" s="18" t="str">
        <f ca="1"/>
        <v/>
      </c>
      <c r="O39" s="79" t="str">
        <f ca="1"/>
        <v/>
      </c>
      <c r="P39" s="18" t="str">
        <f ca="1"/>
        <v/>
      </c>
      <c r="Q39" t="str">
        <f ca="1"/>
        <v/>
      </c>
      <c r="R39" t="str">
        <f ca="1"/>
        <v/>
      </c>
      <c r="S39" t="str">
        <f ca="1"/>
        <v/>
      </c>
      <c r="T39" t="str">
        <f ca="1"/>
        <v/>
      </c>
      <c r="U39" t="str">
        <f ca="1"/>
        <v/>
      </c>
      <c r="V39" t="str">
        <f ca="1"/>
        <v/>
      </c>
      <c r="W39" t="str">
        <f ca="1"/>
        <v/>
      </c>
      <c r="X39" t="str">
        <f ca="1"/>
        <v/>
      </c>
      <c r="Y39" t="str">
        <f ca="1"/>
        <v/>
      </c>
      <c r="Z39" t="str">
        <f ca="1"/>
        <v/>
      </c>
      <c r="AA39" t="str">
        <f ca="1"/>
        <v/>
      </c>
      <c r="AB39" t="str">
        <f ca="1"/>
        <v/>
      </c>
      <c r="AC39" t="str">
        <f ca="1"/>
        <v/>
      </c>
      <c r="AD39" t="str">
        <f ca="1"/>
        <v/>
      </c>
      <c r="AE39" t="str">
        <f ca="1"/>
        <v/>
      </c>
      <c r="AF39" t="str">
        <f ca="1"/>
        <v/>
      </c>
      <c r="AG39" t="str">
        <f ca="1"/>
        <v/>
      </c>
      <c r="AH39" t="str">
        <f ca="1"/>
        <v/>
      </c>
      <c r="AI39" t="str">
        <f ca="1"/>
        <v/>
      </c>
      <c r="AJ39" t="str">
        <f ca="1"/>
        <v/>
      </c>
      <c r="AK39" t="str">
        <f ca="1"/>
        <v/>
      </c>
      <c r="AL39" t="str">
        <f ca="1"/>
        <v/>
      </c>
      <c r="AM39" t="str">
        <f ca="1"/>
        <v/>
      </c>
      <c r="AN39" t="str">
        <f ca="1"/>
        <v/>
      </c>
      <c r="AO39" t="str">
        <f ca="1"/>
        <v/>
      </c>
      <c r="AP39" t="str">
        <f ca="1"/>
        <v/>
      </c>
      <c r="AQ39" t="str">
        <f ca="1"/>
        <v/>
      </c>
      <c r="AR39" t="str">
        <f ca="1"/>
        <v/>
      </c>
      <c r="AS39" t="str">
        <f ca="1"/>
        <v/>
      </c>
      <c r="AT39" t="str">
        <f ca="1"/>
        <v/>
      </c>
      <c r="AU39" t="str">
        <f ca="1"/>
        <v/>
      </c>
      <c r="AV39" t="str">
        <f ca="1"/>
        <v/>
      </c>
      <c r="AW39" t="str">
        <f ca="1"/>
        <v/>
      </c>
      <c r="AX39" t="str">
        <f ca="1"/>
        <v/>
      </c>
      <c r="AY39" t="str">
        <f ca="1"/>
        <v/>
      </c>
      <c r="AZ39" t="str">
        <f ca="1"/>
        <v/>
      </c>
      <c r="BA39" t="str">
        <f ca="1"/>
        <v/>
      </c>
      <c r="BB39" t="str">
        <f ca="1"/>
        <v/>
      </c>
      <c r="BC39" t="str">
        <f ca="1"/>
        <v/>
      </c>
      <c r="BD39" t="str">
        <f ca="1"/>
        <v/>
      </c>
      <c r="BE39" t="str">
        <f ca="1"/>
        <v/>
      </c>
      <c r="BF39" t="str">
        <f ca="1"/>
        <v/>
      </c>
      <c r="BG39" t="str">
        <f ca="1"/>
        <v/>
      </c>
      <c r="BH39" t="str">
        <f ca="1"/>
        <v/>
      </c>
      <c r="BI39" t="str">
        <f ca="1"/>
        <v/>
      </c>
      <c r="BJ39" t="str">
        <f ca="1"/>
        <v/>
      </c>
      <c r="BK39" t="str">
        <f ca="1"/>
        <v/>
      </c>
      <c r="BL39" t="str">
        <f ca="1"/>
        <v/>
      </c>
      <c r="BM39" t="str">
        <f ca="1"/>
        <v/>
      </c>
      <c r="BN39" t="str">
        <f ca="1"/>
        <v/>
      </c>
      <c r="BO39" t="str">
        <f ca="1"/>
        <v/>
      </c>
      <c r="BP39" t="str">
        <f ca="1"/>
        <v/>
      </c>
      <c r="BQ39" t="str">
        <f ca="1"/>
        <v/>
      </c>
      <c r="BR39" t="str">
        <f ca="1"/>
        <v/>
      </c>
      <c r="BS39" t="str">
        <f ca="1"/>
        <v/>
      </c>
      <c r="BT39" t="str">
        <f ca="1"/>
        <v/>
      </c>
      <c r="BU39" t="str">
        <f ca="1"/>
        <v/>
      </c>
      <c r="BV39" t="str">
        <f ca="1"/>
        <v/>
      </c>
      <c r="BW39" t="str">
        <f ca="1"/>
        <v/>
      </c>
      <c r="BX39" t="str">
        <f ca="1"/>
        <v/>
      </c>
      <c r="BY39" t="str">
        <f ca="1"/>
        <v/>
      </c>
      <c r="BZ39" t="str">
        <f ca="1"/>
        <v/>
      </c>
      <c r="CA39" t="str">
        <f ca="1"/>
        <v/>
      </c>
      <c r="CB39" t="str">
        <f ca="1"/>
        <v/>
      </c>
      <c r="CC39" t="str">
        <f ca="1"/>
        <v/>
      </c>
      <c r="CD39" t="str">
        <f ca="1"/>
        <v/>
      </c>
      <c r="CE39" t="str">
        <f ca="1"/>
        <v/>
      </c>
      <c r="CF39" t="str">
        <f ca="1"/>
        <v/>
      </c>
      <c r="CG39" t="str">
        <f ca="1"/>
        <v/>
      </c>
      <c r="CH39" t="str">
        <f ca="1"/>
        <v/>
      </c>
      <c r="CI39" t="str">
        <f ca="1"/>
        <v/>
      </c>
      <c r="CJ39" t="str">
        <f ca="1"/>
        <v/>
      </c>
      <c r="CK39" t="str">
        <f ca="1"/>
        <v/>
      </c>
      <c r="CL39" t="str">
        <f ca="1"/>
        <v/>
      </c>
      <c r="CM39" t="str">
        <f ca="1"/>
        <v/>
      </c>
      <c r="CN39" t="str">
        <f ca="1"/>
        <v/>
      </c>
      <c r="CO39" t="str">
        <f ca="1"/>
        <v/>
      </c>
      <c r="CP39" t="str">
        <f ca="1"/>
        <v/>
      </c>
      <c r="CQ39" t="str">
        <f ca="1"/>
        <v/>
      </c>
      <c r="CR39" t="str">
        <f ca="1"/>
        <v/>
      </c>
      <c r="CS39" t="str">
        <f ca="1"/>
        <v/>
      </c>
      <c r="CT39" t="str">
        <f ca="1"/>
        <v/>
      </c>
      <c r="CU39" t="str">
        <f ca="1"/>
        <v/>
      </c>
      <c r="CV39" t="str">
        <f ca="1"/>
        <v/>
      </c>
      <c r="CW39" t="str">
        <f ca="1"/>
        <v/>
      </c>
      <c r="CX39" t="str">
        <f ca="1"/>
        <v/>
      </c>
      <c r="CY39" t="str">
        <f ca="1"/>
        <v/>
      </c>
      <c r="CZ39" t="str">
        <f ca="1"/>
        <v/>
      </c>
    </row>
    <row r="40" spans="2:104">
      <c r="B40" s="61" t="s">
        <v>275</v>
      </c>
      <c r="C40" s="64" cm="1">
        <f t="array" aca="1" ref="C40" ca="1">_xll.aqBondObjectCleanPrice($C$4,$C$35,$C$36)</f>
        <v>95.712999999999994</v>
      </c>
      <c r="E40" s="104" t="str">
        <f ca="1"/>
        <v/>
      </c>
      <c r="F40" s="105" t="str">
        <f ca="1"/>
        <v/>
      </c>
      <c r="G40" s="18" t="str">
        <f ca="1"/>
        <v/>
      </c>
      <c r="H40" s="105" t="str">
        <f ca="1"/>
        <v/>
      </c>
      <c r="I40" s="105" t="str">
        <f ca="1"/>
        <v/>
      </c>
      <c r="J40" s="18" t="str">
        <f ca="1"/>
        <v/>
      </c>
      <c r="K40" s="93" t="str">
        <f ca="1"/>
        <v/>
      </c>
      <c r="L40" s="18" t="str">
        <f ca="1"/>
        <v/>
      </c>
      <c r="M40" s="77" t="str">
        <f ca="1"/>
        <v/>
      </c>
      <c r="N40" s="18" t="str">
        <f ca="1"/>
        <v/>
      </c>
      <c r="O40" s="79" t="str">
        <f ca="1"/>
        <v/>
      </c>
      <c r="P40" s="18" t="str">
        <f ca="1"/>
        <v/>
      </c>
      <c r="Q40" t="str">
        <f ca="1"/>
        <v/>
      </c>
      <c r="R40" t="str">
        <f ca="1"/>
        <v/>
      </c>
      <c r="S40" t="str">
        <f ca="1"/>
        <v/>
      </c>
      <c r="T40" t="str">
        <f ca="1"/>
        <v/>
      </c>
      <c r="U40" t="str">
        <f ca="1"/>
        <v/>
      </c>
      <c r="V40" t="str">
        <f ca="1"/>
        <v/>
      </c>
      <c r="W40" t="str">
        <f ca="1"/>
        <v/>
      </c>
      <c r="X40" t="str">
        <f ca="1"/>
        <v/>
      </c>
      <c r="Y40" t="str">
        <f ca="1"/>
        <v/>
      </c>
      <c r="Z40" t="str">
        <f ca="1"/>
        <v/>
      </c>
      <c r="AA40" t="str">
        <f ca="1"/>
        <v/>
      </c>
      <c r="AB40" t="str">
        <f ca="1"/>
        <v/>
      </c>
      <c r="AC40" t="str">
        <f ca="1"/>
        <v/>
      </c>
      <c r="AD40" t="str">
        <f ca="1"/>
        <v/>
      </c>
      <c r="AE40" t="str">
        <f ca="1"/>
        <v/>
      </c>
      <c r="AF40" t="str">
        <f ca="1"/>
        <v/>
      </c>
      <c r="AG40" t="str">
        <f ca="1"/>
        <v/>
      </c>
      <c r="AH40" t="str">
        <f ca="1"/>
        <v/>
      </c>
      <c r="AI40" t="str">
        <f ca="1"/>
        <v/>
      </c>
      <c r="AJ40" t="str">
        <f ca="1"/>
        <v/>
      </c>
      <c r="AK40" t="str">
        <f ca="1"/>
        <v/>
      </c>
      <c r="AL40" t="str">
        <f ca="1"/>
        <v/>
      </c>
      <c r="AM40" t="str">
        <f ca="1"/>
        <v/>
      </c>
      <c r="AN40" t="str">
        <f ca="1"/>
        <v/>
      </c>
      <c r="AO40" t="str">
        <f ca="1"/>
        <v/>
      </c>
      <c r="AP40" t="str">
        <f ca="1"/>
        <v/>
      </c>
      <c r="AQ40" t="str">
        <f ca="1"/>
        <v/>
      </c>
      <c r="AR40" t="str">
        <f ca="1"/>
        <v/>
      </c>
      <c r="AS40" t="str">
        <f ca="1"/>
        <v/>
      </c>
      <c r="AT40" t="str">
        <f ca="1"/>
        <v/>
      </c>
      <c r="AU40" t="str">
        <f ca="1"/>
        <v/>
      </c>
      <c r="AV40" t="str">
        <f ca="1"/>
        <v/>
      </c>
      <c r="AW40" t="str">
        <f ca="1"/>
        <v/>
      </c>
      <c r="AX40" t="str">
        <f ca="1"/>
        <v/>
      </c>
      <c r="AY40" t="str">
        <f ca="1"/>
        <v/>
      </c>
      <c r="AZ40" t="str">
        <f ca="1"/>
        <v/>
      </c>
      <c r="BA40" t="str">
        <f ca="1"/>
        <v/>
      </c>
      <c r="BB40" t="str">
        <f ca="1"/>
        <v/>
      </c>
      <c r="BC40" t="str">
        <f ca="1"/>
        <v/>
      </c>
      <c r="BD40" t="str">
        <f ca="1"/>
        <v/>
      </c>
      <c r="BE40" t="str">
        <f ca="1"/>
        <v/>
      </c>
      <c r="BF40" t="str">
        <f ca="1"/>
        <v/>
      </c>
      <c r="BG40" t="str">
        <f ca="1"/>
        <v/>
      </c>
      <c r="BH40" t="str">
        <f ca="1"/>
        <v/>
      </c>
      <c r="BI40" t="str">
        <f ca="1"/>
        <v/>
      </c>
      <c r="BJ40" t="str">
        <f ca="1"/>
        <v/>
      </c>
      <c r="BK40" t="str">
        <f ca="1"/>
        <v/>
      </c>
      <c r="BL40" t="str">
        <f ca="1"/>
        <v/>
      </c>
      <c r="BM40" t="str">
        <f ca="1"/>
        <v/>
      </c>
      <c r="BN40" t="str">
        <f ca="1"/>
        <v/>
      </c>
      <c r="BO40" t="str">
        <f ca="1"/>
        <v/>
      </c>
      <c r="BP40" t="str">
        <f ca="1"/>
        <v/>
      </c>
      <c r="BQ40" t="str">
        <f ca="1"/>
        <v/>
      </c>
      <c r="BR40" t="str">
        <f ca="1"/>
        <v/>
      </c>
      <c r="BS40" t="str">
        <f ca="1"/>
        <v/>
      </c>
      <c r="BT40" t="str">
        <f ca="1"/>
        <v/>
      </c>
      <c r="BU40" t="str">
        <f ca="1"/>
        <v/>
      </c>
      <c r="BV40" t="str">
        <f ca="1"/>
        <v/>
      </c>
      <c r="BW40" t="str">
        <f ca="1"/>
        <v/>
      </c>
      <c r="BX40" t="str">
        <f ca="1"/>
        <v/>
      </c>
      <c r="BY40" t="str">
        <f ca="1"/>
        <v/>
      </c>
      <c r="BZ40" t="str">
        <f ca="1"/>
        <v/>
      </c>
      <c r="CA40" t="str">
        <f ca="1"/>
        <v/>
      </c>
      <c r="CB40" t="str">
        <f ca="1"/>
        <v/>
      </c>
      <c r="CC40" t="str">
        <f ca="1"/>
        <v/>
      </c>
      <c r="CD40" t="str">
        <f ca="1"/>
        <v/>
      </c>
      <c r="CE40" t="str">
        <f ca="1"/>
        <v/>
      </c>
      <c r="CF40" t="str">
        <f ca="1"/>
        <v/>
      </c>
      <c r="CG40" t="str">
        <f ca="1"/>
        <v/>
      </c>
      <c r="CH40" t="str">
        <f ca="1"/>
        <v/>
      </c>
      <c r="CI40" t="str">
        <f ca="1"/>
        <v/>
      </c>
      <c r="CJ40" t="str">
        <f ca="1"/>
        <v/>
      </c>
      <c r="CK40" t="str">
        <f ca="1"/>
        <v/>
      </c>
      <c r="CL40" t="str">
        <f ca="1"/>
        <v/>
      </c>
      <c r="CM40" t="str">
        <f ca="1"/>
        <v/>
      </c>
      <c r="CN40" t="str">
        <f ca="1"/>
        <v/>
      </c>
      <c r="CO40" t="str">
        <f ca="1"/>
        <v/>
      </c>
      <c r="CP40" t="str">
        <f ca="1"/>
        <v/>
      </c>
      <c r="CQ40" t="str">
        <f ca="1"/>
        <v/>
      </c>
      <c r="CR40" t="str">
        <f ca="1"/>
        <v/>
      </c>
      <c r="CS40" t="str">
        <f ca="1"/>
        <v/>
      </c>
      <c r="CT40" t="str">
        <f ca="1"/>
        <v/>
      </c>
      <c r="CU40" t="str">
        <f ca="1"/>
        <v/>
      </c>
      <c r="CV40" t="str">
        <f ca="1"/>
        <v/>
      </c>
      <c r="CW40" t="str">
        <f ca="1"/>
        <v/>
      </c>
      <c r="CX40" t="str">
        <f ca="1"/>
        <v/>
      </c>
      <c r="CY40" t="str">
        <f ca="1"/>
        <v/>
      </c>
      <c r="CZ40" t="str">
        <f ca="1"/>
        <v/>
      </c>
    </row>
    <row r="41" spans="2:104">
      <c r="B41" s="61" t="s">
        <v>1550</v>
      </c>
      <c r="C41" s="64" cm="1">
        <f t="array" aca="1" ref="C41" ca="1">_xll.aqBondObjectDirtyPrice($C$4,$C$35,$C$36)</f>
        <v>96.427999999999997</v>
      </c>
      <c r="E41" s="104" t="str">
        <f ca="1"/>
        <v/>
      </c>
      <c r="F41" s="105" t="str">
        <f ca="1"/>
        <v/>
      </c>
      <c r="G41" s="18" t="str">
        <f ca="1"/>
        <v/>
      </c>
      <c r="H41" s="105" t="str">
        <f ca="1"/>
        <v/>
      </c>
      <c r="I41" s="105" t="str">
        <f ca="1"/>
        <v/>
      </c>
      <c r="J41" s="18" t="str">
        <f ca="1"/>
        <v/>
      </c>
      <c r="K41" s="93" t="str">
        <f ca="1"/>
        <v/>
      </c>
      <c r="L41" s="18" t="str">
        <f ca="1"/>
        <v/>
      </c>
      <c r="M41" s="77" t="str">
        <f ca="1"/>
        <v/>
      </c>
      <c r="N41" s="18" t="str">
        <f ca="1"/>
        <v/>
      </c>
      <c r="O41" s="79" t="str">
        <f ca="1"/>
        <v/>
      </c>
      <c r="P41" s="18" t="str">
        <f ca="1"/>
        <v/>
      </c>
      <c r="Q41" t="str">
        <f ca="1"/>
        <v/>
      </c>
      <c r="R41" t="str">
        <f ca="1"/>
        <v/>
      </c>
      <c r="S41" t="str">
        <f ca="1"/>
        <v/>
      </c>
      <c r="T41" t="str">
        <f ca="1"/>
        <v/>
      </c>
      <c r="U41" t="str">
        <f ca="1"/>
        <v/>
      </c>
      <c r="V41" t="str">
        <f ca="1"/>
        <v/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  <c r="AA41" t="str">
        <f ca="1"/>
        <v/>
      </c>
      <c r="AB41" t="str">
        <f ca="1"/>
        <v/>
      </c>
      <c r="AC41" t="str">
        <f ca="1"/>
        <v/>
      </c>
      <c r="AD41" t="str">
        <f ca="1"/>
        <v/>
      </c>
      <c r="AE41" t="str">
        <f ca="1"/>
        <v/>
      </c>
      <c r="AF41" t="str">
        <f ca="1"/>
        <v/>
      </c>
      <c r="AG41" t="str">
        <f ca="1"/>
        <v/>
      </c>
      <c r="AH41" t="str">
        <f ca="1"/>
        <v/>
      </c>
      <c r="AI41" t="str">
        <f ca="1"/>
        <v/>
      </c>
      <c r="AJ41" t="str">
        <f ca="1"/>
        <v/>
      </c>
      <c r="AK41" t="str">
        <f ca="1"/>
        <v/>
      </c>
      <c r="AL41" t="str">
        <f ca="1"/>
        <v/>
      </c>
      <c r="AM41" t="str">
        <f ca="1"/>
        <v/>
      </c>
      <c r="AN41" t="str">
        <f ca="1"/>
        <v/>
      </c>
      <c r="AO41" t="str">
        <f ca="1"/>
        <v/>
      </c>
      <c r="AP41" t="str">
        <f ca="1"/>
        <v/>
      </c>
      <c r="AQ41" t="str">
        <f ca="1"/>
        <v/>
      </c>
      <c r="AR41" t="str">
        <f ca="1"/>
        <v/>
      </c>
      <c r="AS41" t="str">
        <f ca="1"/>
        <v/>
      </c>
      <c r="AT41" t="str">
        <f ca="1"/>
        <v/>
      </c>
      <c r="AU41" t="str">
        <f ca="1"/>
        <v/>
      </c>
      <c r="AV41" t="str">
        <f ca="1"/>
        <v/>
      </c>
      <c r="AW41" t="str">
        <f ca="1"/>
        <v/>
      </c>
      <c r="AX41" t="str">
        <f ca="1"/>
        <v/>
      </c>
      <c r="AY41" t="str">
        <f ca="1"/>
        <v/>
      </c>
      <c r="AZ41" t="str">
        <f ca="1"/>
        <v/>
      </c>
      <c r="BA41" t="str">
        <f ca="1"/>
        <v/>
      </c>
      <c r="BB41" t="str">
        <f ca="1"/>
        <v/>
      </c>
      <c r="BC41" t="str">
        <f ca="1"/>
        <v/>
      </c>
      <c r="BD41" t="str">
        <f ca="1"/>
        <v/>
      </c>
      <c r="BE41" t="str">
        <f ca="1"/>
        <v/>
      </c>
      <c r="BF41" t="str">
        <f ca="1"/>
        <v/>
      </c>
      <c r="BG41" t="str">
        <f ca="1"/>
        <v/>
      </c>
      <c r="BH41" t="str">
        <f ca="1"/>
        <v/>
      </c>
      <c r="BI41" t="str">
        <f ca="1"/>
        <v/>
      </c>
      <c r="BJ41" t="str">
        <f ca="1"/>
        <v/>
      </c>
      <c r="BK41" t="str">
        <f ca="1"/>
        <v/>
      </c>
      <c r="BL41" t="str">
        <f ca="1"/>
        <v/>
      </c>
      <c r="BM41" t="str">
        <f ca="1"/>
        <v/>
      </c>
      <c r="BN41" t="str">
        <f ca="1"/>
        <v/>
      </c>
      <c r="BO41" t="str">
        <f ca="1"/>
        <v/>
      </c>
      <c r="BP41" t="str">
        <f ca="1"/>
        <v/>
      </c>
      <c r="BQ41" t="str">
        <f ca="1"/>
        <v/>
      </c>
      <c r="BR41" t="str">
        <f ca="1"/>
        <v/>
      </c>
      <c r="BS41" t="str">
        <f ca="1"/>
        <v/>
      </c>
      <c r="BT41" t="str">
        <f ca="1"/>
        <v/>
      </c>
      <c r="BU41" t="str">
        <f ca="1"/>
        <v/>
      </c>
      <c r="BV41" t="str">
        <f ca="1"/>
        <v/>
      </c>
      <c r="BW41" t="str">
        <f ca="1"/>
        <v/>
      </c>
      <c r="BX41" t="str">
        <f ca="1"/>
        <v/>
      </c>
      <c r="BY41" t="str">
        <f ca="1"/>
        <v/>
      </c>
      <c r="BZ41" t="str">
        <f ca="1"/>
        <v/>
      </c>
      <c r="CA41" t="str">
        <f ca="1"/>
        <v/>
      </c>
      <c r="CB41" t="str">
        <f ca="1"/>
        <v/>
      </c>
      <c r="CC41" t="str">
        <f ca="1"/>
        <v/>
      </c>
      <c r="CD41" t="str">
        <f ca="1"/>
        <v/>
      </c>
      <c r="CE41" t="str">
        <f ca="1"/>
        <v/>
      </c>
      <c r="CF41" t="str">
        <f ca="1"/>
        <v/>
      </c>
      <c r="CG41" t="str">
        <f ca="1"/>
        <v/>
      </c>
      <c r="CH41" t="str">
        <f ca="1"/>
        <v/>
      </c>
      <c r="CI41" t="str">
        <f ca="1"/>
        <v/>
      </c>
      <c r="CJ41" t="str">
        <f ca="1"/>
        <v/>
      </c>
      <c r="CK41" t="str">
        <f ca="1"/>
        <v/>
      </c>
      <c r="CL41" t="str">
        <f ca="1"/>
        <v/>
      </c>
      <c r="CM41" t="str">
        <f ca="1"/>
        <v/>
      </c>
      <c r="CN41" t="str">
        <f ca="1"/>
        <v/>
      </c>
      <c r="CO41" t="str">
        <f ca="1"/>
        <v/>
      </c>
      <c r="CP41" t="str">
        <f ca="1"/>
        <v/>
      </c>
      <c r="CQ41" t="str">
        <f ca="1"/>
        <v/>
      </c>
      <c r="CR41" t="str">
        <f ca="1"/>
        <v/>
      </c>
      <c r="CS41" t="str">
        <f ca="1"/>
        <v/>
      </c>
      <c r="CT41" t="str">
        <f ca="1"/>
        <v/>
      </c>
      <c r="CU41" t="str">
        <f ca="1"/>
        <v/>
      </c>
      <c r="CV41" t="str">
        <f ca="1"/>
        <v/>
      </c>
      <c r="CW41" t="str">
        <f ca="1"/>
        <v/>
      </c>
      <c r="CX41" t="str">
        <f ca="1"/>
        <v/>
      </c>
      <c r="CY41" t="str">
        <f ca="1"/>
        <v/>
      </c>
      <c r="CZ41" t="str">
        <f ca="1"/>
        <v/>
      </c>
    </row>
    <row r="42" spans="2:104">
      <c r="B42" s="61" t="s">
        <v>1709</v>
      </c>
      <c r="C42" s="64" cm="1">
        <f t="array" aca="1" ref="C42" ca="1">_xll.aqBondObjectAccruedInterestDays($C$4,$C$35)</f>
        <v>115</v>
      </c>
      <c r="E42" s="104" t="str">
        <f ca="1"/>
        <v/>
      </c>
      <c r="F42" s="105" t="str">
        <f ca="1"/>
        <v/>
      </c>
      <c r="G42" s="18" t="str">
        <f ca="1"/>
        <v/>
      </c>
      <c r="H42" s="105" t="str">
        <f ca="1"/>
        <v/>
      </c>
      <c r="I42" s="105" t="str">
        <f ca="1"/>
        <v/>
      </c>
      <c r="J42" s="18" t="str">
        <f ca="1"/>
        <v/>
      </c>
      <c r="K42" s="93" t="str">
        <f ca="1"/>
        <v/>
      </c>
      <c r="L42" s="18" t="str">
        <f ca="1"/>
        <v/>
      </c>
      <c r="M42" s="77" t="str">
        <f ca="1"/>
        <v/>
      </c>
      <c r="N42" s="18" t="str">
        <f ca="1"/>
        <v/>
      </c>
      <c r="O42" s="79" t="str">
        <f ca="1"/>
        <v/>
      </c>
      <c r="P42" s="18" t="str">
        <f ca="1"/>
        <v/>
      </c>
      <c r="Q42" t="str">
        <f ca="1"/>
        <v/>
      </c>
      <c r="R42" t="str">
        <f ca="1"/>
        <v/>
      </c>
      <c r="S42" t="str">
        <f ca="1"/>
        <v/>
      </c>
      <c r="T42" t="str">
        <f ca="1"/>
        <v/>
      </c>
      <c r="U42" t="str">
        <f ca="1"/>
        <v/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  <c r="AA42" t="str">
        <f ca="1"/>
        <v/>
      </c>
      <c r="AB42" t="str">
        <f ca="1"/>
        <v/>
      </c>
      <c r="AC42" t="str">
        <f ca="1"/>
        <v/>
      </c>
      <c r="AD42" t="str">
        <f ca="1"/>
        <v/>
      </c>
      <c r="AE42" t="str">
        <f ca="1"/>
        <v/>
      </c>
      <c r="AF42" t="str">
        <f ca="1"/>
        <v/>
      </c>
      <c r="AG42" t="str">
        <f ca="1"/>
        <v/>
      </c>
      <c r="AH42" t="str">
        <f ca="1"/>
        <v/>
      </c>
      <c r="AI42" t="str">
        <f ca="1"/>
        <v/>
      </c>
      <c r="AJ42" t="str">
        <f ca="1"/>
        <v/>
      </c>
      <c r="AK42" t="str">
        <f ca="1"/>
        <v/>
      </c>
      <c r="AL42" t="str">
        <f ca="1"/>
        <v/>
      </c>
      <c r="AM42" t="str">
        <f ca="1"/>
        <v/>
      </c>
      <c r="AN42" t="str">
        <f ca="1"/>
        <v/>
      </c>
      <c r="AO42" t="str">
        <f ca="1"/>
        <v/>
      </c>
      <c r="AP42" t="str">
        <f ca="1"/>
        <v/>
      </c>
      <c r="AQ42" t="str">
        <f ca="1"/>
        <v/>
      </c>
      <c r="AR42" t="str">
        <f ca="1"/>
        <v/>
      </c>
      <c r="AS42" t="str">
        <f ca="1"/>
        <v/>
      </c>
      <c r="AT42" t="str">
        <f ca="1"/>
        <v/>
      </c>
      <c r="AU42" t="str">
        <f ca="1"/>
        <v/>
      </c>
      <c r="AV42" t="str">
        <f ca="1"/>
        <v/>
      </c>
      <c r="AW42" t="str">
        <f ca="1"/>
        <v/>
      </c>
      <c r="AX42" t="str">
        <f ca="1"/>
        <v/>
      </c>
      <c r="AY42" t="str">
        <f ca="1"/>
        <v/>
      </c>
      <c r="AZ42" t="str">
        <f ca="1"/>
        <v/>
      </c>
      <c r="BA42" t="str">
        <f ca="1"/>
        <v/>
      </c>
      <c r="BB42" t="str">
        <f ca="1"/>
        <v/>
      </c>
      <c r="BC42" t="str">
        <f ca="1"/>
        <v/>
      </c>
      <c r="BD42" t="str">
        <f ca="1"/>
        <v/>
      </c>
      <c r="BE42" t="str">
        <f ca="1"/>
        <v/>
      </c>
      <c r="BF42" t="str">
        <f ca="1"/>
        <v/>
      </c>
      <c r="BG42" t="str">
        <f ca="1"/>
        <v/>
      </c>
      <c r="BH42" t="str">
        <f ca="1"/>
        <v/>
      </c>
      <c r="BI42" t="str">
        <f ca="1"/>
        <v/>
      </c>
      <c r="BJ42" t="str">
        <f ca="1"/>
        <v/>
      </c>
      <c r="BK42" t="str">
        <f ca="1"/>
        <v/>
      </c>
      <c r="BL42" t="str">
        <f ca="1"/>
        <v/>
      </c>
      <c r="BM42" t="str">
        <f ca="1"/>
        <v/>
      </c>
      <c r="BN42" t="str">
        <f ca="1"/>
        <v/>
      </c>
      <c r="BO42" t="str">
        <f ca="1"/>
        <v/>
      </c>
      <c r="BP42" t="str">
        <f ca="1"/>
        <v/>
      </c>
      <c r="BQ42" t="str">
        <f ca="1"/>
        <v/>
      </c>
      <c r="BR42" t="str">
        <f ca="1"/>
        <v/>
      </c>
      <c r="BS42" t="str">
        <f ca="1"/>
        <v/>
      </c>
      <c r="BT42" t="str">
        <f ca="1"/>
        <v/>
      </c>
      <c r="BU42" t="str">
        <f ca="1"/>
        <v/>
      </c>
      <c r="BV42" t="str">
        <f ca="1"/>
        <v/>
      </c>
      <c r="BW42" t="str">
        <f ca="1"/>
        <v/>
      </c>
      <c r="BX42" t="str">
        <f ca="1"/>
        <v/>
      </c>
      <c r="BY42" t="str">
        <f ca="1"/>
        <v/>
      </c>
      <c r="BZ42" t="str">
        <f ca="1"/>
        <v/>
      </c>
      <c r="CA42" t="str">
        <f ca="1"/>
        <v/>
      </c>
      <c r="CB42" t="str">
        <f ca="1"/>
        <v/>
      </c>
      <c r="CC42" t="str">
        <f ca="1"/>
        <v/>
      </c>
      <c r="CD42" t="str">
        <f ca="1"/>
        <v/>
      </c>
      <c r="CE42" t="str">
        <f ca="1"/>
        <v/>
      </c>
      <c r="CF42" t="str">
        <f ca="1"/>
        <v/>
      </c>
      <c r="CG42" t="str">
        <f ca="1"/>
        <v/>
      </c>
      <c r="CH42" t="str">
        <f ca="1"/>
        <v/>
      </c>
      <c r="CI42" t="str">
        <f ca="1"/>
        <v/>
      </c>
      <c r="CJ42" t="str">
        <f ca="1"/>
        <v/>
      </c>
      <c r="CK42" t="str">
        <f ca="1"/>
        <v/>
      </c>
      <c r="CL42" t="str">
        <f ca="1"/>
        <v/>
      </c>
      <c r="CM42" t="str">
        <f ca="1"/>
        <v/>
      </c>
      <c r="CN42" t="str">
        <f ca="1"/>
        <v/>
      </c>
      <c r="CO42" t="str">
        <f ca="1"/>
        <v/>
      </c>
      <c r="CP42" t="str">
        <f ca="1"/>
        <v/>
      </c>
      <c r="CQ42" t="str">
        <f ca="1"/>
        <v/>
      </c>
      <c r="CR42" t="str">
        <f ca="1"/>
        <v/>
      </c>
      <c r="CS42" t="str">
        <f ca="1"/>
        <v/>
      </c>
      <c r="CT42" t="str">
        <f ca="1"/>
        <v/>
      </c>
      <c r="CU42" t="str">
        <f ca="1"/>
        <v/>
      </c>
      <c r="CV42" t="str">
        <f ca="1"/>
        <v/>
      </c>
      <c r="CW42" t="str">
        <f ca="1"/>
        <v/>
      </c>
      <c r="CX42" t="str">
        <f ca="1"/>
        <v/>
      </c>
      <c r="CY42" t="str">
        <f ca="1"/>
        <v/>
      </c>
      <c r="CZ42" t="str">
        <f ca="1"/>
        <v/>
      </c>
    </row>
    <row r="43" spans="2:104">
      <c r="B43" s="61" t="s">
        <v>1707</v>
      </c>
      <c r="C43" s="98" cm="1">
        <f t="array" aca="1" ref="C43" ca="1">_xll.aqBondObjectAccruedInterest($C$4,$C$35)</f>
        <v>7150</v>
      </c>
      <c r="E43" s="104" t="str">
        <f ca="1"/>
        <v/>
      </c>
      <c r="F43" s="105" t="str">
        <f ca="1"/>
        <v/>
      </c>
      <c r="G43" s="18" t="str">
        <f ca="1"/>
        <v/>
      </c>
      <c r="H43" s="105" t="str">
        <f ca="1"/>
        <v/>
      </c>
      <c r="I43" s="105" t="str">
        <f ca="1"/>
        <v/>
      </c>
      <c r="J43" s="18" t="str">
        <f ca="1"/>
        <v/>
      </c>
      <c r="K43" s="93" t="str">
        <f ca="1"/>
        <v/>
      </c>
      <c r="L43" s="18" t="str">
        <f ca="1"/>
        <v/>
      </c>
      <c r="M43" s="77" t="str">
        <f ca="1"/>
        <v/>
      </c>
      <c r="N43" s="18" t="str">
        <f ca="1"/>
        <v/>
      </c>
      <c r="O43" s="79" t="str">
        <f ca="1"/>
        <v/>
      </c>
      <c r="P43" s="18" t="str">
        <f ca="1"/>
        <v/>
      </c>
      <c r="Q43" t="str">
        <f ca="1"/>
        <v/>
      </c>
      <c r="R43" t="str">
        <f ca="1"/>
        <v/>
      </c>
      <c r="S43" t="str">
        <f ca="1"/>
        <v/>
      </c>
      <c r="T43" t="str">
        <f ca="1"/>
        <v/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  <c r="AA43" t="str">
        <f ca="1"/>
        <v/>
      </c>
      <c r="AB43" t="str">
        <f ca="1"/>
        <v/>
      </c>
      <c r="AC43" t="str">
        <f ca="1"/>
        <v/>
      </c>
      <c r="AD43" t="str">
        <f ca="1"/>
        <v/>
      </c>
      <c r="AE43" t="str">
        <f ca="1"/>
        <v/>
      </c>
      <c r="AF43" t="str">
        <f ca="1"/>
        <v/>
      </c>
      <c r="AG43" t="str">
        <f ca="1"/>
        <v/>
      </c>
      <c r="AH43" t="str">
        <f ca="1"/>
        <v/>
      </c>
      <c r="AI43" t="str">
        <f ca="1"/>
        <v/>
      </c>
      <c r="AJ43" t="str">
        <f ca="1"/>
        <v/>
      </c>
      <c r="AK43" t="str">
        <f ca="1"/>
        <v/>
      </c>
      <c r="AL43" t="str">
        <f ca="1"/>
        <v/>
      </c>
      <c r="AM43" t="str">
        <f ca="1"/>
        <v/>
      </c>
      <c r="AN43" t="str">
        <f ca="1"/>
        <v/>
      </c>
      <c r="AO43" t="str">
        <f ca="1"/>
        <v/>
      </c>
      <c r="AP43" t="str">
        <f ca="1"/>
        <v/>
      </c>
      <c r="AQ43" t="str">
        <f ca="1"/>
        <v/>
      </c>
      <c r="AR43" t="str">
        <f ca="1"/>
        <v/>
      </c>
      <c r="AS43" t="str">
        <f ca="1"/>
        <v/>
      </c>
      <c r="AT43" t="str">
        <f ca="1"/>
        <v/>
      </c>
      <c r="AU43" t="str">
        <f ca="1"/>
        <v/>
      </c>
      <c r="AV43" t="str">
        <f ca="1"/>
        <v/>
      </c>
      <c r="AW43" t="str">
        <f ca="1"/>
        <v/>
      </c>
      <c r="AX43" t="str">
        <f ca="1"/>
        <v/>
      </c>
      <c r="AY43" t="str">
        <f ca="1"/>
        <v/>
      </c>
      <c r="AZ43" t="str">
        <f ca="1"/>
        <v/>
      </c>
      <c r="BA43" t="str">
        <f ca="1"/>
        <v/>
      </c>
      <c r="BB43" t="str">
        <f ca="1"/>
        <v/>
      </c>
      <c r="BC43" t="str">
        <f ca="1"/>
        <v/>
      </c>
      <c r="BD43" t="str">
        <f ca="1"/>
        <v/>
      </c>
      <c r="BE43" t="str">
        <f ca="1"/>
        <v/>
      </c>
      <c r="BF43" t="str">
        <f ca="1"/>
        <v/>
      </c>
      <c r="BG43" t="str">
        <f ca="1"/>
        <v/>
      </c>
      <c r="BH43" t="str">
        <f ca="1"/>
        <v/>
      </c>
      <c r="BI43" t="str">
        <f ca="1"/>
        <v/>
      </c>
      <c r="BJ43" t="str">
        <f ca="1"/>
        <v/>
      </c>
      <c r="BK43" t="str">
        <f ca="1"/>
        <v/>
      </c>
      <c r="BL43" t="str">
        <f ca="1"/>
        <v/>
      </c>
      <c r="BM43" t="str">
        <f ca="1"/>
        <v/>
      </c>
      <c r="BN43" t="str">
        <f ca="1"/>
        <v/>
      </c>
      <c r="BO43" t="str">
        <f ca="1"/>
        <v/>
      </c>
      <c r="BP43" t="str">
        <f ca="1"/>
        <v/>
      </c>
      <c r="BQ43" t="str">
        <f ca="1"/>
        <v/>
      </c>
      <c r="BR43" t="str">
        <f ca="1"/>
        <v/>
      </c>
      <c r="BS43" t="str">
        <f ca="1"/>
        <v/>
      </c>
      <c r="BT43" t="str">
        <f ca="1"/>
        <v/>
      </c>
      <c r="BU43" t="str">
        <f ca="1"/>
        <v/>
      </c>
      <c r="BV43" t="str">
        <f ca="1"/>
        <v/>
      </c>
      <c r="BW43" t="str">
        <f ca="1"/>
        <v/>
      </c>
      <c r="BX43" t="str">
        <f ca="1"/>
        <v/>
      </c>
      <c r="BY43" t="str">
        <f ca="1"/>
        <v/>
      </c>
      <c r="BZ43" t="str">
        <f ca="1"/>
        <v/>
      </c>
      <c r="CA43" t="str">
        <f ca="1"/>
        <v/>
      </c>
      <c r="CB43" t="str">
        <f ca="1"/>
        <v/>
      </c>
      <c r="CC43" t="str">
        <f ca="1"/>
        <v/>
      </c>
      <c r="CD43" t="str">
        <f ca="1"/>
        <v/>
      </c>
      <c r="CE43" t="str">
        <f ca="1"/>
        <v/>
      </c>
      <c r="CF43" t="str">
        <f ca="1"/>
        <v/>
      </c>
      <c r="CG43" t="str">
        <f ca="1"/>
        <v/>
      </c>
      <c r="CH43" t="str">
        <f ca="1"/>
        <v/>
      </c>
      <c r="CI43" t="str">
        <f ca="1"/>
        <v/>
      </c>
      <c r="CJ43" t="str">
        <f ca="1"/>
        <v/>
      </c>
      <c r="CK43" t="str">
        <f ca="1"/>
        <v/>
      </c>
      <c r="CL43" t="str">
        <f ca="1"/>
        <v/>
      </c>
      <c r="CM43" t="str">
        <f ca="1"/>
        <v/>
      </c>
      <c r="CN43" t="str">
        <f ca="1"/>
        <v/>
      </c>
      <c r="CO43" t="str">
        <f ca="1"/>
        <v/>
      </c>
      <c r="CP43" t="str">
        <f ca="1"/>
        <v/>
      </c>
      <c r="CQ43" t="str">
        <f ca="1"/>
        <v/>
      </c>
      <c r="CR43" t="str">
        <f ca="1"/>
        <v/>
      </c>
      <c r="CS43" t="str">
        <f ca="1"/>
        <v/>
      </c>
      <c r="CT43" t="str">
        <f ca="1"/>
        <v/>
      </c>
      <c r="CU43" t="str">
        <f ca="1"/>
        <v/>
      </c>
      <c r="CV43" t="str">
        <f ca="1"/>
        <v/>
      </c>
      <c r="CW43" t="str">
        <f ca="1"/>
        <v/>
      </c>
      <c r="CX43" t="str">
        <f ca="1"/>
        <v/>
      </c>
      <c r="CY43" t="str">
        <f ca="1"/>
        <v/>
      </c>
      <c r="CZ43" t="str">
        <f ca="1"/>
        <v/>
      </c>
    </row>
    <row r="44" spans="2:104">
      <c r="B44" s="61" t="s">
        <v>1551</v>
      </c>
      <c r="C44" s="65" cm="1">
        <f t="array" aca="1" ref="C44" ca="1">_xll.aqBondObjectYield($C$4,$C$35,$C$39)</f>
        <v>2.7349943764129834E-2</v>
      </c>
      <c r="E44" s="104" t="str">
        <f ca="1"/>
        <v/>
      </c>
      <c r="F44" s="105" t="str">
        <f ca="1"/>
        <v/>
      </c>
      <c r="G44" s="18" t="str">
        <f ca="1"/>
        <v/>
      </c>
      <c r="H44" s="105" t="str">
        <f ca="1"/>
        <v/>
      </c>
      <c r="I44" s="105" t="str">
        <f ca="1"/>
        <v/>
      </c>
      <c r="J44" s="18" t="str">
        <f ca="1"/>
        <v/>
      </c>
      <c r="K44" s="93" t="str">
        <f ca="1"/>
        <v/>
      </c>
      <c r="L44" s="18" t="str">
        <f ca="1"/>
        <v/>
      </c>
      <c r="M44" s="77" t="str">
        <f ca="1"/>
        <v/>
      </c>
      <c r="N44" s="18" t="str">
        <f ca="1"/>
        <v/>
      </c>
      <c r="O44" s="79" t="str">
        <f ca="1"/>
        <v/>
      </c>
      <c r="P44" s="18" t="str">
        <f ca="1"/>
        <v/>
      </c>
      <c r="Q44" t="str">
        <f ca="1"/>
        <v/>
      </c>
      <c r="R44" t="str">
        <f ca="1"/>
        <v/>
      </c>
      <c r="S44" t="str">
        <f ca="1"/>
        <v/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  <c r="AA44" t="str">
        <f ca="1"/>
        <v/>
      </c>
      <c r="AB44" t="str">
        <f ca="1"/>
        <v/>
      </c>
      <c r="AC44" t="str">
        <f ca="1"/>
        <v/>
      </c>
      <c r="AD44" t="str">
        <f ca="1"/>
        <v/>
      </c>
      <c r="AE44" t="str">
        <f ca="1"/>
        <v/>
      </c>
      <c r="AF44" t="str">
        <f ca="1"/>
        <v/>
      </c>
      <c r="AG44" t="str">
        <f ca="1"/>
        <v/>
      </c>
      <c r="AH44" t="str">
        <f ca="1"/>
        <v/>
      </c>
      <c r="AI44" t="str">
        <f ca="1"/>
        <v/>
      </c>
      <c r="AJ44" t="str">
        <f ca="1"/>
        <v/>
      </c>
      <c r="AK44" t="str">
        <f ca="1"/>
        <v/>
      </c>
      <c r="AL44" t="str">
        <f ca="1"/>
        <v/>
      </c>
      <c r="AM44" t="str">
        <f ca="1"/>
        <v/>
      </c>
      <c r="AN44" t="str">
        <f ca="1"/>
        <v/>
      </c>
      <c r="AO44" t="str">
        <f ca="1"/>
        <v/>
      </c>
      <c r="AP44" t="str">
        <f ca="1"/>
        <v/>
      </c>
      <c r="AQ44" t="str">
        <f ca="1"/>
        <v/>
      </c>
      <c r="AR44" t="str">
        <f ca="1"/>
        <v/>
      </c>
      <c r="AS44" t="str">
        <f ca="1"/>
        <v/>
      </c>
      <c r="AT44" t="str">
        <f ca="1"/>
        <v/>
      </c>
      <c r="AU44" t="str">
        <f ca="1"/>
        <v/>
      </c>
      <c r="AV44" t="str">
        <f ca="1"/>
        <v/>
      </c>
      <c r="AW44" t="str">
        <f ca="1"/>
        <v/>
      </c>
      <c r="AX44" t="str">
        <f ca="1"/>
        <v/>
      </c>
      <c r="AY44" t="str">
        <f ca="1"/>
        <v/>
      </c>
      <c r="AZ44" t="str">
        <f ca="1"/>
        <v/>
      </c>
      <c r="BA44" t="str">
        <f ca="1"/>
        <v/>
      </c>
      <c r="BB44" t="str">
        <f ca="1"/>
        <v/>
      </c>
      <c r="BC44" t="str">
        <f ca="1"/>
        <v/>
      </c>
      <c r="BD44" t="str">
        <f ca="1"/>
        <v/>
      </c>
      <c r="BE44" t="str">
        <f ca="1"/>
        <v/>
      </c>
      <c r="BF44" t="str">
        <f ca="1"/>
        <v/>
      </c>
      <c r="BG44" t="str">
        <f ca="1"/>
        <v/>
      </c>
      <c r="BH44" t="str">
        <f ca="1"/>
        <v/>
      </c>
      <c r="BI44" t="str">
        <f ca="1"/>
        <v/>
      </c>
      <c r="BJ44" t="str">
        <f ca="1"/>
        <v/>
      </c>
      <c r="BK44" t="str">
        <f ca="1"/>
        <v/>
      </c>
      <c r="BL44" t="str">
        <f ca="1"/>
        <v/>
      </c>
      <c r="BM44" t="str">
        <f ca="1"/>
        <v/>
      </c>
      <c r="BN44" t="str">
        <f ca="1"/>
        <v/>
      </c>
      <c r="BO44" t="str">
        <f ca="1"/>
        <v/>
      </c>
      <c r="BP44" t="str">
        <f ca="1"/>
        <v/>
      </c>
      <c r="BQ44" t="str">
        <f ca="1"/>
        <v/>
      </c>
      <c r="BR44" t="str">
        <f ca="1"/>
        <v/>
      </c>
      <c r="BS44" t="str">
        <f ca="1"/>
        <v/>
      </c>
      <c r="BT44" t="str">
        <f ca="1"/>
        <v/>
      </c>
      <c r="BU44" t="str">
        <f ca="1"/>
        <v/>
      </c>
      <c r="BV44" t="str">
        <f ca="1"/>
        <v/>
      </c>
      <c r="BW44" t="str">
        <f ca="1"/>
        <v/>
      </c>
      <c r="BX44" t="str">
        <f ca="1"/>
        <v/>
      </c>
      <c r="BY44" t="str">
        <f ca="1"/>
        <v/>
      </c>
      <c r="BZ44" t="str">
        <f ca="1"/>
        <v/>
      </c>
      <c r="CA44" t="str">
        <f ca="1"/>
        <v/>
      </c>
      <c r="CB44" t="str">
        <f ca="1"/>
        <v/>
      </c>
      <c r="CC44" t="str">
        <f ca="1"/>
        <v/>
      </c>
      <c r="CD44" t="str">
        <f ca="1"/>
        <v/>
      </c>
      <c r="CE44" t="str">
        <f ca="1"/>
        <v/>
      </c>
      <c r="CF44" t="str">
        <f ca="1"/>
        <v/>
      </c>
      <c r="CG44" t="str">
        <f ca="1"/>
        <v/>
      </c>
      <c r="CH44" t="str">
        <f ca="1"/>
        <v/>
      </c>
      <c r="CI44" t="str">
        <f ca="1"/>
        <v/>
      </c>
      <c r="CJ44" t="str">
        <f ca="1"/>
        <v/>
      </c>
      <c r="CK44" t="str">
        <f ca="1"/>
        <v/>
      </c>
      <c r="CL44" t="str">
        <f ca="1"/>
        <v/>
      </c>
      <c r="CM44" t="str">
        <f ca="1"/>
        <v/>
      </c>
      <c r="CN44" t="str">
        <f ca="1"/>
        <v/>
      </c>
      <c r="CO44" t="str">
        <f ca="1"/>
        <v/>
      </c>
      <c r="CP44" t="str">
        <f ca="1"/>
        <v/>
      </c>
      <c r="CQ44" t="str">
        <f ca="1"/>
        <v/>
      </c>
      <c r="CR44" t="str">
        <f ca="1"/>
        <v/>
      </c>
      <c r="CS44" t="str">
        <f ca="1"/>
        <v/>
      </c>
      <c r="CT44" t="str">
        <f ca="1"/>
        <v/>
      </c>
      <c r="CU44" t="str">
        <f ca="1"/>
        <v/>
      </c>
      <c r="CV44" t="str">
        <f ca="1"/>
        <v/>
      </c>
      <c r="CW44" t="str">
        <f ca="1"/>
        <v/>
      </c>
      <c r="CX44" t="str">
        <f ca="1"/>
        <v/>
      </c>
      <c r="CY44" t="str">
        <f ca="1"/>
        <v/>
      </c>
      <c r="CZ44" t="str">
        <f ca="1"/>
        <v/>
      </c>
    </row>
    <row r="45" spans="2:104">
      <c r="B45" s="61" t="s">
        <v>1710</v>
      </c>
      <c r="C45" s="98" cm="1">
        <f t="array" aca="1" ref="C45" ca="1">_xll.aqBondObjectModifiedDuration($C$4,$C$35,$C$36)</f>
        <v>8.9392261881864936</v>
      </c>
      <c r="E45" s="104" t="str">
        <f ca="1"/>
        <v/>
      </c>
      <c r="F45" s="105" t="str">
        <f ca="1"/>
        <v/>
      </c>
      <c r="G45" s="18" t="str">
        <f ca="1"/>
        <v/>
      </c>
      <c r="H45" s="105" t="str">
        <f ca="1"/>
        <v/>
      </c>
      <c r="I45" s="105" t="str">
        <f ca="1"/>
        <v/>
      </c>
      <c r="J45" s="18" t="str">
        <f ca="1"/>
        <v/>
      </c>
      <c r="K45" s="93" t="str">
        <f ca="1"/>
        <v/>
      </c>
      <c r="L45" s="18" t="str">
        <f ca="1"/>
        <v/>
      </c>
      <c r="M45" s="77" t="str">
        <f ca="1"/>
        <v/>
      </c>
      <c r="N45" s="18" t="str">
        <f ca="1"/>
        <v/>
      </c>
      <c r="O45" s="79" t="str">
        <f ca="1"/>
        <v/>
      </c>
      <c r="P45" s="18" t="str">
        <f ca="1"/>
        <v/>
      </c>
      <c r="Q45" t="str">
        <f ca="1"/>
        <v/>
      </c>
      <c r="R45" t="str">
        <f ca="1"/>
        <v/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  <c r="AA45" t="str">
        <f ca="1"/>
        <v/>
      </c>
      <c r="AB45" t="str">
        <f ca="1"/>
        <v/>
      </c>
      <c r="AC45" t="str">
        <f ca="1"/>
        <v/>
      </c>
      <c r="AD45" t="str">
        <f ca="1"/>
        <v/>
      </c>
      <c r="AE45" t="str">
        <f ca="1"/>
        <v/>
      </c>
      <c r="AF45" t="str">
        <f ca="1"/>
        <v/>
      </c>
      <c r="AG45" t="str">
        <f ca="1"/>
        <v/>
      </c>
      <c r="AH45" t="str">
        <f ca="1"/>
        <v/>
      </c>
      <c r="AI45" t="str">
        <f ca="1"/>
        <v/>
      </c>
      <c r="AJ45" t="str">
        <f ca="1"/>
        <v/>
      </c>
      <c r="AK45" t="str">
        <f ca="1"/>
        <v/>
      </c>
      <c r="AL45" t="str">
        <f ca="1"/>
        <v/>
      </c>
      <c r="AM45" t="str">
        <f ca="1"/>
        <v/>
      </c>
      <c r="AN45" t="str">
        <f ca="1"/>
        <v/>
      </c>
      <c r="AO45" t="str">
        <f ca="1"/>
        <v/>
      </c>
      <c r="AP45" t="str">
        <f ca="1"/>
        <v/>
      </c>
      <c r="AQ45" t="str">
        <f ca="1"/>
        <v/>
      </c>
      <c r="AR45" t="str">
        <f ca="1"/>
        <v/>
      </c>
      <c r="AS45" t="str">
        <f ca="1"/>
        <v/>
      </c>
      <c r="AT45" t="str">
        <f ca="1"/>
        <v/>
      </c>
      <c r="AU45" t="str">
        <f ca="1"/>
        <v/>
      </c>
      <c r="AV45" t="str">
        <f ca="1"/>
        <v/>
      </c>
      <c r="AW45" t="str">
        <f ca="1"/>
        <v/>
      </c>
      <c r="AX45" t="str">
        <f ca="1"/>
        <v/>
      </c>
      <c r="AY45" t="str">
        <f ca="1"/>
        <v/>
      </c>
      <c r="AZ45" t="str">
        <f ca="1"/>
        <v/>
      </c>
      <c r="BA45" t="str">
        <f ca="1"/>
        <v/>
      </c>
      <c r="BB45" t="str">
        <f ca="1"/>
        <v/>
      </c>
      <c r="BC45" t="str">
        <f ca="1"/>
        <v/>
      </c>
      <c r="BD45" t="str">
        <f ca="1"/>
        <v/>
      </c>
      <c r="BE45" t="str">
        <f ca="1"/>
        <v/>
      </c>
      <c r="BF45" t="str">
        <f ca="1"/>
        <v/>
      </c>
      <c r="BG45" t="str">
        <f ca="1"/>
        <v/>
      </c>
      <c r="BH45" t="str">
        <f ca="1"/>
        <v/>
      </c>
      <c r="BI45" t="str">
        <f ca="1"/>
        <v/>
      </c>
      <c r="BJ45" t="str">
        <f ca="1"/>
        <v/>
      </c>
      <c r="BK45" t="str">
        <f ca="1"/>
        <v/>
      </c>
      <c r="BL45" t="str">
        <f ca="1"/>
        <v/>
      </c>
      <c r="BM45" t="str">
        <f ca="1"/>
        <v/>
      </c>
      <c r="BN45" t="str">
        <f ca="1"/>
        <v/>
      </c>
      <c r="BO45" t="str">
        <f ca="1"/>
        <v/>
      </c>
      <c r="BP45" t="str">
        <f ca="1"/>
        <v/>
      </c>
      <c r="BQ45" t="str">
        <f ca="1"/>
        <v/>
      </c>
      <c r="BR45" t="str">
        <f ca="1"/>
        <v/>
      </c>
      <c r="BS45" t="str">
        <f ca="1"/>
        <v/>
      </c>
      <c r="BT45" t="str">
        <f ca="1"/>
        <v/>
      </c>
      <c r="BU45" t="str">
        <f ca="1"/>
        <v/>
      </c>
      <c r="BV45" t="str">
        <f ca="1"/>
        <v/>
      </c>
      <c r="BW45" t="str">
        <f ca="1"/>
        <v/>
      </c>
      <c r="BX45" t="str">
        <f ca="1"/>
        <v/>
      </c>
      <c r="BY45" t="str">
        <f ca="1"/>
        <v/>
      </c>
      <c r="BZ45" t="str">
        <f ca="1"/>
        <v/>
      </c>
      <c r="CA45" t="str">
        <f ca="1"/>
        <v/>
      </c>
      <c r="CB45" t="str">
        <f ca="1"/>
        <v/>
      </c>
      <c r="CC45" t="str">
        <f ca="1"/>
        <v/>
      </c>
      <c r="CD45" t="str">
        <f ca="1"/>
        <v/>
      </c>
      <c r="CE45" t="str">
        <f ca="1"/>
        <v/>
      </c>
      <c r="CF45" t="str">
        <f ca="1"/>
        <v/>
      </c>
      <c r="CG45" t="str">
        <f ca="1"/>
        <v/>
      </c>
      <c r="CH45" t="str">
        <f ca="1"/>
        <v/>
      </c>
      <c r="CI45" t="str">
        <f ca="1"/>
        <v/>
      </c>
      <c r="CJ45" t="str">
        <f ca="1"/>
        <v/>
      </c>
      <c r="CK45" t="str">
        <f ca="1"/>
        <v/>
      </c>
      <c r="CL45" t="str">
        <f ca="1"/>
        <v/>
      </c>
      <c r="CM45" t="str">
        <f ca="1"/>
        <v/>
      </c>
      <c r="CN45" t="str">
        <f ca="1"/>
        <v/>
      </c>
      <c r="CO45" t="str">
        <f ca="1"/>
        <v/>
      </c>
      <c r="CP45" t="str">
        <f ca="1"/>
        <v/>
      </c>
      <c r="CQ45" t="str">
        <f ca="1"/>
        <v/>
      </c>
      <c r="CR45" t="str">
        <f ca="1"/>
        <v/>
      </c>
      <c r="CS45" t="str">
        <f ca="1"/>
        <v/>
      </c>
      <c r="CT45" t="str">
        <f ca="1"/>
        <v/>
      </c>
      <c r="CU45" t="str">
        <f ca="1"/>
        <v/>
      </c>
      <c r="CV45" t="str">
        <f ca="1"/>
        <v/>
      </c>
      <c r="CW45" t="str">
        <f ca="1"/>
        <v/>
      </c>
      <c r="CX45" t="str">
        <f ca="1"/>
        <v/>
      </c>
      <c r="CY45" t="str">
        <f ca="1"/>
        <v/>
      </c>
      <c r="CZ45" t="str">
        <f ca="1"/>
        <v/>
      </c>
    </row>
    <row r="46" spans="2:104">
      <c r="B46" s="62" t="s">
        <v>16</v>
      </c>
      <c r="C46" s="66" cm="1">
        <f t="array" aca="1" ref="C46" ca="1">_xll.aqBondObjectDV01($C$4,$C$35,$C$36)</f>
        <v>861.99170287444724</v>
      </c>
      <c r="E46" s="106" t="str">
        <f ca="1"/>
        <v/>
      </c>
      <c r="F46" s="107" t="str">
        <f ca="1"/>
        <v/>
      </c>
      <c r="G46" s="101" t="str">
        <f ca="1"/>
        <v/>
      </c>
      <c r="H46" s="105" t="str">
        <f ca="1"/>
        <v/>
      </c>
      <c r="I46" s="105" t="str">
        <f ca="1"/>
        <v/>
      </c>
      <c r="J46" s="101" t="str">
        <f ca="1"/>
        <v/>
      </c>
      <c r="K46" s="102" t="str">
        <f ca="1"/>
        <v/>
      </c>
      <c r="L46" s="101" t="str">
        <f ca="1"/>
        <v/>
      </c>
      <c r="M46" s="99" t="str">
        <f ca="1"/>
        <v/>
      </c>
      <c r="N46" s="101" t="str">
        <f ca="1"/>
        <v/>
      </c>
      <c r="O46" s="108" t="str">
        <f ca="1"/>
        <v/>
      </c>
      <c r="P46" s="101" t="str">
        <f ca="1"/>
        <v/>
      </c>
      <c r="Q46" t="str">
        <f ca="1"/>
        <v/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  <c r="AA46" t="str">
        <f ca="1"/>
        <v/>
      </c>
      <c r="AB46" t="str">
        <f ca="1"/>
        <v/>
      </c>
      <c r="AC46" t="str">
        <f ca="1"/>
        <v/>
      </c>
      <c r="AD46" t="str">
        <f ca="1"/>
        <v/>
      </c>
      <c r="AE46" t="str">
        <f ca="1"/>
        <v/>
      </c>
      <c r="AF46" t="str">
        <f ca="1"/>
        <v/>
      </c>
      <c r="AG46" t="str">
        <f ca="1"/>
        <v/>
      </c>
      <c r="AH46" t="str">
        <f ca="1"/>
        <v/>
      </c>
      <c r="AI46" t="str">
        <f ca="1"/>
        <v/>
      </c>
      <c r="AJ46" t="str">
        <f ca="1"/>
        <v/>
      </c>
      <c r="AK46" t="str">
        <f ca="1"/>
        <v/>
      </c>
      <c r="AL46" t="str">
        <f ca="1"/>
        <v/>
      </c>
      <c r="AM46" t="str">
        <f ca="1"/>
        <v/>
      </c>
      <c r="AN46" t="str">
        <f ca="1"/>
        <v/>
      </c>
      <c r="AO46" t="str">
        <f ca="1"/>
        <v/>
      </c>
      <c r="AP46" t="str">
        <f ca="1"/>
        <v/>
      </c>
      <c r="AQ46" t="str">
        <f ca="1"/>
        <v/>
      </c>
      <c r="AR46" t="str">
        <f ca="1"/>
        <v/>
      </c>
      <c r="AS46" t="str">
        <f ca="1"/>
        <v/>
      </c>
      <c r="AT46" t="str">
        <f ca="1"/>
        <v/>
      </c>
      <c r="AU46" t="str">
        <f ca="1"/>
        <v/>
      </c>
      <c r="AV46" t="str">
        <f ca="1"/>
        <v/>
      </c>
      <c r="AW46" t="str">
        <f ca="1"/>
        <v/>
      </c>
      <c r="AX46" t="str">
        <f ca="1"/>
        <v/>
      </c>
      <c r="AY46" t="str">
        <f ca="1"/>
        <v/>
      </c>
      <c r="AZ46" t="str">
        <f ca="1"/>
        <v/>
      </c>
      <c r="BA46" t="str">
        <f ca="1"/>
        <v/>
      </c>
      <c r="BB46" t="str">
        <f ca="1"/>
        <v/>
      </c>
      <c r="BC46" t="str">
        <f ca="1"/>
        <v/>
      </c>
      <c r="BD46" t="str">
        <f ca="1"/>
        <v/>
      </c>
      <c r="BE46" t="str">
        <f ca="1"/>
        <v/>
      </c>
      <c r="BF46" t="str">
        <f ca="1"/>
        <v/>
      </c>
      <c r="BG46" t="str">
        <f ca="1"/>
        <v/>
      </c>
      <c r="BH46" t="str">
        <f ca="1"/>
        <v/>
      </c>
      <c r="BI46" t="str">
        <f ca="1"/>
        <v/>
      </c>
      <c r="BJ46" t="str">
        <f ca="1"/>
        <v/>
      </c>
      <c r="BK46" t="str">
        <f ca="1"/>
        <v/>
      </c>
      <c r="BL46" t="str">
        <f ca="1"/>
        <v/>
      </c>
      <c r="BM46" t="str">
        <f ca="1"/>
        <v/>
      </c>
      <c r="BN46" t="str">
        <f ca="1"/>
        <v/>
      </c>
      <c r="BO46" t="str">
        <f ca="1"/>
        <v/>
      </c>
      <c r="BP46" t="str">
        <f ca="1"/>
        <v/>
      </c>
      <c r="BQ46" t="str">
        <f ca="1"/>
        <v/>
      </c>
      <c r="BR46" t="str">
        <f ca="1"/>
        <v/>
      </c>
      <c r="BS46" t="str">
        <f ca="1"/>
        <v/>
      </c>
      <c r="BT46" t="str">
        <f ca="1"/>
        <v/>
      </c>
      <c r="BU46" t="str">
        <f ca="1"/>
        <v/>
      </c>
      <c r="BV46" t="str">
        <f ca="1"/>
        <v/>
      </c>
      <c r="BW46" t="str">
        <f ca="1"/>
        <v/>
      </c>
      <c r="BX46" t="str">
        <f ca="1"/>
        <v/>
      </c>
      <c r="BY46" t="str">
        <f ca="1"/>
        <v/>
      </c>
      <c r="BZ46" t="str">
        <f ca="1"/>
        <v/>
      </c>
      <c r="CA46" t="str">
        <f ca="1"/>
        <v/>
      </c>
      <c r="CB46" t="str">
        <f ca="1"/>
        <v/>
      </c>
      <c r="CC46" t="str">
        <f ca="1"/>
        <v/>
      </c>
      <c r="CD46" t="str">
        <f ca="1"/>
        <v/>
      </c>
      <c r="CE46" t="str">
        <f ca="1"/>
        <v/>
      </c>
      <c r="CF46" t="str">
        <f ca="1"/>
        <v/>
      </c>
      <c r="CG46" t="str">
        <f ca="1"/>
        <v/>
      </c>
      <c r="CH46" t="str">
        <f ca="1"/>
        <v/>
      </c>
      <c r="CI46" t="str">
        <f ca="1"/>
        <v/>
      </c>
      <c r="CJ46" t="str">
        <f ca="1"/>
        <v/>
      </c>
      <c r="CK46" t="str">
        <f ca="1"/>
        <v/>
      </c>
      <c r="CL46" t="str">
        <f ca="1"/>
        <v/>
      </c>
      <c r="CM46" t="str">
        <f ca="1"/>
        <v/>
      </c>
      <c r="CN46" t="str">
        <f ca="1"/>
        <v/>
      </c>
      <c r="CO46" t="str">
        <f ca="1"/>
        <v/>
      </c>
      <c r="CP46" t="str">
        <f ca="1"/>
        <v/>
      </c>
      <c r="CQ46" t="str">
        <f ca="1"/>
        <v/>
      </c>
      <c r="CR46" t="str">
        <f ca="1"/>
        <v/>
      </c>
      <c r="CS46" t="str">
        <f ca="1"/>
        <v/>
      </c>
      <c r="CT46" t="str">
        <f ca="1"/>
        <v/>
      </c>
      <c r="CU46" t="str">
        <f ca="1"/>
        <v/>
      </c>
      <c r="CV46" t="str">
        <f ca="1"/>
        <v/>
      </c>
      <c r="CW46" t="str">
        <f ca="1"/>
        <v/>
      </c>
      <c r="CX46" t="str">
        <f ca="1"/>
        <v/>
      </c>
      <c r="CY46" t="str">
        <f ca="1"/>
        <v/>
      </c>
      <c r="CZ46" t="str">
        <f ca="1"/>
        <v/>
      </c>
    </row>
    <row r="47" spans="2:104">
      <c r="E47" s="22" t="str">
        <f ca="1"/>
        <v/>
      </c>
      <c r="F47" s="22" t="str">
        <f ca="1"/>
        <v/>
      </c>
      <c r="G47" s="22" t="str">
        <f ca="1"/>
        <v/>
      </c>
      <c r="H47" s="22" t="str">
        <f ca="1"/>
        <v/>
      </c>
      <c r="I47" s="22" t="str">
        <f ca="1"/>
        <v/>
      </c>
      <c r="J47" s="22" t="str">
        <f ca="1"/>
        <v/>
      </c>
      <c r="K47" s="22" t="str">
        <f ca="1"/>
        <v/>
      </c>
      <c r="L47" s="22" t="str">
        <f ca="1"/>
        <v/>
      </c>
      <c r="M47" s="22" t="str">
        <f ca="1"/>
        <v/>
      </c>
      <c r="N47" s="22" t="str">
        <f ca="1"/>
        <v/>
      </c>
      <c r="O47" s="22" t="str">
        <f ca="1"/>
        <v/>
      </c>
      <c r="P47" s="22" t="str">
        <f ca="1"/>
        <v/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  <c r="AA47" t="str">
        <f ca="1"/>
        <v/>
      </c>
      <c r="AB47" t="str">
        <f ca="1"/>
        <v/>
      </c>
      <c r="AC47" t="str">
        <f ca="1"/>
        <v/>
      </c>
      <c r="AD47" t="str">
        <f ca="1"/>
        <v/>
      </c>
      <c r="AE47" t="str">
        <f ca="1"/>
        <v/>
      </c>
      <c r="AF47" t="str">
        <f ca="1"/>
        <v/>
      </c>
      <c r="AG47" t="str">
        <f ca="1"/>
        <v/>
      </c>
      <c r="AH47" t="str">
        <f ca="1"/>
        <v/>
      </c>
      <c r="AI47" t="str">
        <f ca="1"/>
        <v/>
      </c>
      <c r="AJ47" t="str">
        <f ca="1"/>
        <v/>
      </c>
      <c r="AK47" t="str">
        <f ca="1"/>
        <v/>
      </c>
      <c r="AL47" t="str">
        <f ca="1"/>
        <v/>
      </c>
      <c r="AM47" t="str">
        <f ca="1"/>
        <v/>
      </c>
      <c r="AN47" t="str">
        <f ca="1"/>
        <v/>
      </c>
      <c r="AO47" t="str">
        <f ca="1"/>
        <v/>
      </c>
      <c r="AP47" t="str">
        <f ca="1"/>
        <v/>
      </c>
      <c r="AQ47" t="str">
        <f ca="1"/>
        <v/>
      </c>
      <c r="AR47" t="str">
        <f ca="1"/>
        <v/>
      </c>
      <c r="AS47" t="str">
        <f ca="1"/>
        <v/>
      </c>
      <c r="AT47" t="str">
        <f ca="1"/>
        <v/>
      </c>
      <c r="AU47" t="str">
        <f ca="1"/>
        <v/>
      </c>
      <c r="AV47" t="str">
        <f ca="1"/>
        <v/>
      </c>
      <c r="AW47" t="str">
        <f ca="1"/>
        <v/>
      </c>
      <c r="AX47" t="str">
        <f ca="1"/>
        <v/>
      </c>
      <c r="AY47" t="str">
        <f ca="1"/>
        <v/>
      </c>
      <c r="AZ47" t="str">
        <f ca="1"/>
        <v/>
      </c>
      <c r="BA47" t="str">
        <f ca="1"/>
        <v/>
      </c>
      <c r="BB47" t="str">
        <f ca="1"/>
        <v/>
      </c>
      <c r="BC47" t="str">
        <f ca="1"/>
        <v/>
      </c>
      <c r="BD47" t="str">
        <f ca="1"/>
        <v/>
      </c>
      <c r="BE47" t="str">
        <f ca="1"/>
        <v/>
      </c>
      <c r="BF47" t="str">
        <f ca="1"/>
        <v/>
      </c>
      <c r="BG47" t="str">
        <f ca="1"/>
        <v/>
      </c>
      <c r="BH47" t="str">
        <f ca="1"/>
        <v/>
      </c>
      <c r="BI47" t="str">
        <f ca="1"/>
        <v/>
      </c>
      <c r="BJ47" t="str">
        <f ca="1"/>
        <v/>
      </c>
      <c r="BK47" t="str">
        <f ca="1"/>
        <v/>
      </c>
      <c r="BL47" t="str">
        <f ca="1"/>
        <v/>
      </c>
      <c r="BM47" t="str">
        <f ca="1"/>
        <v/>
      </c>
      <c r="BN47" t="str">
        <f ca="1"/>
        <v/>
      </c>
      <c r="BO47" t="str">
        <f ca="1"/>
        <v/>
      </c>
      <c r="BP47" t="str">
        <f ca="1"/>
        <v/>
      </c>
      <c r="BQ47" t="str">
        <f ca="1"/>
        <v/>
      </c>
      <c r="BR47" t="str">
        <f ca="1"/>
        <v/>
      </c>
      <c r="BS47" t="str">
        <f ca="1"/>
        <v/>
      </c>
      <c r="BT47" t="str">
        <f ca="1"/>
        <v/>
      </c>
      <c r="BU47" t="str">
        <f ca="1"/>
        <v/>
      </c>
      <c r="BV47" t="str">
        <f ca="1"/>
        <v/>
      </c>
      <c r="BW47" t="str">
        <f ca="1"/>
        <v/>
      </c>
      <c r="BX47" t="str">
        <f ca="1"/>
        <v/>
      </c>
      <c r="BY47" t="str">
        <f ca="1"/>
        <v/>
      </c>
      <c r="BZ47" t="str">
        <f ca="1"/>
        <v/>
      </c>
      <c r="CA47" t="str">
        <f ca="1"/>
        <v/>
      </c>
      <c r="CB47" t="str">
        <f ca="1"/>
        <v/>
      </c>
      <c r="CC47" t="str">
        <f ca="1"/>
        <v/>
      </c>
      <c r="CD47" t="str">
        <f ca="1"/>
        <v/>
      </c>
      <c r="CE47" t="str">
        <f ca="1"/>
        <v/>
      </c>
      <c r="CF47" t="str">
        <f ca="1"/>
        <v/>
      </c>
      <c r="CG47" t="str">
        <f ca="1"/>
        <v/>
      </c>
      <c r="CH47" t="str">
        <f ca="1"/>
        <v/>
      </c>
      <c r="CI47" t="str">
        <f ca="1"/>
        <v/>
      </c>
      <c r="CJ47" t="str">
        <f ca="1"/>
        <v/>
      </c>
      <c r="CK47" t="str">
        <f ca="1"/>
        <v/>
      </c>
      <c r="CL47" t="str">
        <f ca="1"/>
        <v/>
      </c>
      <c r="CM47" t="str">
        <f ca="1"/>
        <v/>
      </c>
      <c r="CN47" t="str">
        <f ca="1"/>
        <v/>
      </c>
      <c r="CO47" t="str">
        <f ca="1"/>
        <v/>
      </c>
      <c r="CP47" t="str">
        <f ca="1"/>
        <v/>
      </c>
      <c r="CQ47" t="str">
        <f ca="1"/>
        <v/>
      </c>
      <c r="CR47" t="str">
        <f ca="1"/>
        <v/>
      </c>
      <c r="CS47" t="str">
        <f ca="1"/>
        <v/>
      </c>
      <c r="CT47" t="str">
        <f ca="1"/>
        <v/>
      </c>
      <c r="CU47" t="str">
        <f ca="1"/>
        <v/>
      </c>
      <c r="CV47" t="str">
        <f ca="1"/>
        <v/>
      </c>
      <c r="CW47" t="str">
        <f ca="1"/>
        <v/>
      </c>
      <c r="CX47" t="str">
        <f ca="1"/>
        <v/>
      </c>
      <c r="CY47" t="str">
        <f ca="1"/>
        <v/>
      </c>
      <c r="CZ47" t="str">
        <f ca="1"/>
        <v/>
      </c>
    </row>
    <row r="48" spans="2:104">
      <c r="E48" s="22" t="str">
        <f ca="1"/>
        <v/>
      </c>
      <c r="F48" s="22" t="str">
        <f ca="1"/>
        <v/>
      </c>
      <c r="G48" s="22" t="str">
        <f ca="1"/>
        <v/>
      </c>
      <c r="H48" s="22" t="str">
        <f ca="1"/>
        <v/>
      </c>
      <c r="I48" s="22" t="str">
        <f ca="1"/>
        <v/>
      </c>
      <c r="J48" s="22" t="str">
        <f ca="1"/>
        <v/>
      </c>
      <c r="K48" s="22" t="str">
        <f ca="1"/>
        <v/>
      </c>
      <c r="L48" s="22" t="str">
        <f ca="1"/>
        <v/>
      </c>
      <c r="M48" s="22" t="str">
        <f ca="1"/>
        <v/>
      </c>
      <c r="N48" s="22" t="str">
        <f ca="1"/>
        <v/>
      </c>
      <c r="O48" s="22" t="str">
        <f ca="1"/>
        <v/>
      </c>
      <c r="P48" s="22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  <c r="AA48" t="str">
        <f ca="1"/>
        <v/>
      </c>
      <c r="AB48" t="str">
        <f ca="1"/>
        <v/>
      </c>
      <c r="AC48" t="str">
        <f ca="1"/>
        <v/>
      </c>
      <c r="AD48" t="str">
        <f ca="1"/>
        <v/>
      </c>
      <c r="AE48" t="str">
        <f ca="1"/>
        <v/>
      </c>
      <c r="AF48" t="str">
        <f ca="1"/>
        <v/>
      </c>
      <c r="AG48" t="str">
        <f ca="1"/>
        <v/>
      </c>
      <c r="AH48" t="str">
        <f ca="1"/>
        <v/>
      </c>
      <c r="AI48" t="str">
        <f ca="1"/>
        <v/>
      </c>
      <c r="AJ48" t="str">
        <f ca="1"/>
        <v/>
      </c>
      <c r="AK48" t="str">
        <f ca="1"/>
        <v/>
      </c>
      <c r="AL48" t="str">
        <f ca="1"/>
        <v/>
      </c>
      <c r="AM48" t="str">
        <f ca="1"/>
        <v/>
      </c>
      <c r="AN48" t="str">
        <f ca="1"/>
        <v/>
      </c>
      <c r="AO48" t="str">
        <f ca="1"/>
        <v/>
      </c>
      <c r="AP48" t="str">
        <f ca="1"/>
        <v/>
      </c>
      <c r="AQ48" t="str">
        <f ca="1"/>
        <v/>
      </c>
      <c r="AR48" t="str">
        <f ca="1"/>
        <v/>
      </c>
      <c r="AS48" t="str">
        <f ca="1"/>
        <v/>
      </c>
      <c r="AT48" t="str">
        <f ca="1"/>
        <v/>
      </c>
      <c r="AU48" t="str">
        <f ca="1"/>
        <v/>
      </c>
      <c r="AV48" t="str">
        <f ca="1"/>
        <v/>
      </c>
      <c r="AW48" t="str">
        <f ca="1"/>
        <v/>
      </c>
      <c r="AX48" t="str">
        <f ca="1"/>
        <v/>
      </c>
      <c r="AY48" t="str">
        <f ca="1"/>
        <v/>
      </c>
      <c r="AZ48" t="str">
        <f ca="1"/>
        <v/>
      </c>
      <c r="BA48" t="str">
        <f ca="1"/>
        <v/>
      </c>
      <c r="BB48" t="str">
        <f ca="1"/>
        <v/>
      </c>
      <c r="BC48" t="str">
        <f ca="1"/>
        <v/>
      </c>
      <c r="BD48" t="str">
        <f ca="1"/>
        <v/>
      </c>
      <c r="BE48" t="str">
        <f ca="1"/>
        <v/>
      </c>
      <c r="BF48" t="str">
        <f ca="1"/>
        <v/>
      </c>
      <c r="BG48" t="str">
        <f ca="1"/>
        <v/>
      </c>
      <c r="BH48" t="str">
        <f ca="1"/>
        <v/>
      </c>
      <c r="BI48" t="str">
        <f ca="1"/>
        <v/>
      </c>
      <c r="BJ48" t="str">
        <f ca="1"/>
        <v/>
      </c>
      <c r="BK48" t="str">
        <f ca="1"/>
        <v/>
      </c>
      <c r="BL48" t="str">
        <f ca="1"/>
        <v/>
      </c>
      <c r="BM48" t="str">
        <f ca="1"/>
        <v/>
      </c>
      <c r="BN48" t="str">
        <f ca="1"/>
        <v/>
      </c>
      <c r="BO48" t="str">
        <f ca="1"/>
        <v/>
      </c>
      <c r="BP48" t="str">
        <f ca="1"/>
        <v/>
      </c>
      <c r="BQ48" t="str">
        <f ca="1"/>
        <v/>
      </c>
      <c r="BR48" t="str">
        <f ca="1"/>
        <v/>
      </c>
      <c r="BS48" t="str">
        <f ca="1"/>
        <v/>
      </c>
      <c r="BT48" t="str">
        <f ca="1"/>
        <v/>
      </c>
      <c r="BU48" t="str">
        <f ca="1"/>
        <v/>
      </c>
      <c r="BV48" t="str">
        <f ca="1"/>
        <v/>
      </c>
      <c r="BW48" t="str">
        <f ca="1"/>
        <v/>
      </c>
      <c r="BX48" t="str">
        <f ca="1"/>
        <v/>
      </c>
      <c r="BY48" t="str">
        <f ca="1"/>
        <v/>
      </c>
      <c r="BZ48" t="str">
        <f ca="1"/>
        <v/>
      </c>
      <c r="CA48" t="str">
        <f ca="1"/>
        <v/>
      </c>
      <c r="CB48" t="str">
        <f ca="1"/>
        <v/>
      </c>
      <c r="CC48" t="str">
        <f ca="1"/>
        <v/>
      </c>
      <c r="CD48" t="str">
        <f ca="1"/>
        <v/>
      </c>
      <c r="CE48" t="str">
        <f ca="1"/>
        <v/>
      </c>
      <c r="CF48" t="str">
        <f ca="1"/>
        <v/>
      </c>
      <c r="CG48" t="str">
        <f ca="1"/>
        <v/>
      </c>
      <c r="CH48" t="str">
        <f ca="1"/>
        <v/>
      </c>
      <c r="CI48" t="str">
        <f ca="1"/>
        <v/>
      </c>
      <c r="CJ48" t="str">
        <f ca="1"/>
        <v/>
      </c>
      <c r="CK48" t="str">
        <f ca="1"/>
        <v/>
      </c>
      <c r="CL48" t="str">
        <f ca="1"/>
        <v/>
      </c>
      <c r="CM48" t="str">
        <f ca="1"/>
        <v/>
      </c>
      <c r="CN48" t="str">
        <f ca="1"/>
        <v/>
      </c>
      <c r="CO48" t="str">
        <f ca="1"/>
        <v/>
      </c>
      <c r="CP48" t="str">
        <f ca="1"/>
        <v/>
      </c>
      <c r="CQ48" t="str">
        <f ca="1"/>
        <v/>
      </c>
      <c r="CR48" t="str">
        <f ca="1"/>
        <v/>
      </c>
      <c r="CS48" t="str">
        <f ca="1"/>
        <v/>
      </c>
      <c r="CT48" t="str">
        <f ca="1"/>
        <v/>
      </c>
      <c r="CU48" t="str">
        <f ca="1"/>
        <v/>
      </c>
      <c r="CV48" t="str">
        <f ca="1"/>
        <v/>
      </c>
      <c r="CW48" t="str">
        <f ca="1"/>
        <v/>
      </c>
      <c r="CX48" t="str">
        <f ca="1"/>
        <v/>
      </c>
      <c r="CY48" t="str">
        <f ca="1"/>
        <v/>
      </c>
      <c r="CZ48" t="str">
        <f ca="1"/>
        <v/>
      </c>
    </row>
    <row r="49" spans="5:104">
      <c r="E49" s="22" t="str">
        <f ca="1"/>
        <v/>
      </c>
      <c r="F49" s="22" t="str">
        <f ca="1"/>
        <v/>
      </c>
      <c r="G49" s="22" t="str">
        <f ca="1"/>
        <v/>
      </c>
      <c r="H49" s="22" t="str">
        <f ca="1"/>
        <v/>
      </c>
      <c r="I49" s="22" t="str">
        <f ca="1"/>
        <v/>
      </c>
      <c r="J49" s="22" t="str">
        <f ca="1"/>
        <v/>
      </c>
      <c r="K49" s="22" t="str">
        <f ca="1"/>
        <v/>
      </c>
      <c r="L49" s="22" t="str">
        <f ca="1"/>
        <v/>
      </c>
      <c r="M49" s="22" t="str">
        <f ca="1"/>
        <v/>
      </c>
      <c r="N49" s="22" t="str">
        <f ca="1"/>
        <v/>
      </c>
      <c r="O49" s="22" t="str">
        <f ca="1"/>
        <v/>
      </c>
      <c r="P49" s="22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  <c r="AA49" t="str">
        <f ca="1"/>
        <v/>
      </c>
      <c r="AB49" t="str">
        <f ca="1"/>
        <v/>
      </c>
      <c r="AC49" t="str">
        <f ca="1"/>
        <v/>
      </c>
      <c r="AD49" t="str">
        <f ca="1"/>
        <v/>
      </c>
      <c r="AE49" t="str">
        <f ca="1"/>
        <v/>
      </c>
      <c r="AF49" t="str">
        <f ca="1"/>
        <v/>
      </c>
      <c r="AG49" t="str">
        <f ca="1"/>
        <v/>
      </c>
      <c r="AH49" t="str">
        <f ca="1"/>
        <v/>
      </c>
      <c r="AI49" t="str">
        <f ca="1"/>
        <v/>
      </c>
      <c r="AJ49" t="str">
        <f ca="1"/>
        <v/>
      </c>
      <c r="AK49" t="str">
        <f ca="1"/>
        <v/>
      </c>
      <c r="AL49" t="str">
        <f ca="1"/>
        <v/>
      </c>
      <c r="AM49" t="str">
        <f ca="1"/>
        <v/>
      </c>
      <c r="AN49" t="str">
        <f ca="1"/>
        <v/>
      </c>
      <c r="AO49" t="str">
        <f ca="1"/>
        <v/>
      </c>
      <c r="AP49" t="str">
        <f ca="1"/>
        <v/>
      </c>
      <c r="AQ49" t="str">
        <f ca="1"/>
        <v/>
      </c>
      <c r="AR49" t="str">
        <f ca="1"/>
        <v/>
      </c>
      <c r="AS49" t="str">
        <f ca="1"/>
        <v/>
      </c>
      <c r="AT49" t="str">
        <f ca="1"/>
        <v/>
      </c>
      <c r="AU49" t="str">
        <f ca="1"/>
        <v/>
      </c>
      <c r="AV49" t="str">
        <f ca="1"/>
        <v/>
      </c>
      <c r="AW49" t="str">
        <f ca="1"/>
        <v/>
      </c>
      <c r="AX49" t="str">
        <f ca="1"/>
        <v/>
      </c>
      <c r="AY49" t="str">
        <f ca="1"/>
        <v/>
      </c>
      <c r="AZ49" t="str">
        <f ca="1"/>
        <v/>
      </c>
      <c r="BA49" t="str">
        <f ca="1"/>
        <v/>
      </c>
      <c r="BB49" t="str">
        <f ca="1"/>
        <v/>
      </c>
      <c r="BC49" t="str">
        <f ca="1"/>
        <v/>
      </c>
      <c r="BD49" t="str">
        <f ca="1"/>
        <v/>
      </c>
      <c r="BE49" t="str">
        <f ca="1"/>
        <v/>
      </c>
      <c r="BF49" t="str">
        <f ca="1"/>
        <v/>
      </c>
      <c r="BG49" t="str">
        <f ca="1"/>
        <v/>
      </c>
      <c r="BH49" t="str">
        <f ca="1"/>
        <v/>
      </c>
      <c r="BI49" t="str">
        <f ca="1"/>
        <v/>
      </c>
      <c r="BJ49" t="str">
        <f ca="1"/>
        <v/>
      </c>
      <c r="BK49" t="str">
        <f ca="1"/>
        <v/>
      </c>
      <c r="BL49" t="str">
        <f ca="1"/>
        <v/>
      </c>
      <c r="BM49" t="str">
        <f ca="1"/>
        <v/>
      </c>
      <c r="BN49" t="str">
        <f ca="1"/>
        <v/>
      </c>
      <c r="BO49" t="str">
        <f ca="1"/>
        <v/>
      </c>
      <c r="BP49" t="str">
        <f ca="1"/>
        <v/>
      </c>
      <c r="BQ49" t="str">
        <f ca="1"/>
        <v/>
      </c>
      <c r="BR49" t="str">
        <f ca="1"/>
        <v/>
      </c>
      <c r="BS49" t="str">
        <f ca="1"/>
        <v/>
      </c>
      <c r="BT49" t="str">
        <f ca="1"/>
        <v/>
      </c>
      <c r="BU49" t="str">
        <f ca="1"/>
        <v/>
      </c>
      <c r="BV49" t="str">
        <f ca="1"/>
        <v/>
      </c>
      <c r="BW49" t="str">
        <f ca="1"/>
        <v/>
      </c>
      <c r="BX49" t="str">
        <f ca="1"/>
        <v/>
      </c>
      <c r="BY49" t="str">
        <f ca="1"/>
        <v/>
      </c>
      <c r="BZ49" t="str">
        <f ca="1"/>
        <v/>
      </c>
      <c r="CA49" t="str">
        <f ca="1"/>
        <v/>
      </c>
      <c r="CB49" t="str">
        <f ca="1"/>
        <v/>
      </c>
      <c r="CC49" t="str">
        <f ca="1"/>
        <v/>
      </c>
      <c r="CD49" t="str">
        <f ca="1"/>
        <v/>
      </c>
      <c r="CE49" t="str">
        <f ca="1"/>
        <v/>
      </c>
      <c r="CF49" t="str">
        <f ca="1"/>
        <v/>
      </c>
      <c r="CG49" t="str">
        <f ca="1"/>
        <v/>
      </c>
      <c r="CH49" t="str">
        <f ca="1"/>
        <v/>
      </c>
      <c r="CI49" t="str">
        <f ca="1"/>
        <v/>
      </c>
      <c r="CJ49" t="str">
        <f ca="1"/>
        <v/>
      </c>
      <c r="CK49" t="str">
        <f ca="1"/>
        <v/>
      </c>
      <c r="CL49" t="str">
        <f ca="1"/>
        <v/>
      </c>
      <c r="CM49" t="str">
        <f ca="1"/>
        <v/>
      </c>
      <c r="CN49" t="str">
        <f ca="1"/>
        <v/>
      </c>
      <c r="CO49" t="str">
        <f ca="1"/>
        <v/>
      </c>
      <c r="CP49" t="str">
        <f ca="1"/>
        <v/>
      </c>
      <c r="CQ49" t="str">
        <f ca="1"/>
        <v/>
      </c>
      <c r="CR49" t="str">
        <f ca="1"/>
        <v/>
      </c>
      <c r="CS49" t="str">
        <f ca="1"/>
        <v/>
      </c>
      <c r="CT49" t="str">
        <f ca="1"/>
        <v/>
      </c>
      <c r="CU49" t="str">
        <f ca="1"/>
        <v/>
      </c>
      <c r="CV49" t="str">
        <f ca="1"/>
        <v/>
      </c>
      <c r="CW49" t="str">
        <f ca="1"/>
        <v/>
      </c>
      <c r="CX49" t="str">
        <f ca="1"/>
        <v/>
      </c>
      <c r="CY49" t="str">
        <f ca="1"/>
        <v/>
      </c>
      <c r="CZ49" t="str">
        <f ca="1"/>
        <v/>
      </c>
    </row>
    <row r="50" spans="5:104">
      <c r="E50" s="22" t="str">
        <f ca="1"/>
        <v/>
      </c>
      <c r="F50" s="22" t="str">
        <f ca="1"/>
        <v/>
      </c>
      <c r="G50" s="22" t="str">
        <f ca="1"/>
        <v/>
      </c>
      <c r="H50" s="22" t="str">
        <f ca="1"/>
        <v/>
      </c>
      <c r="I50" s="22" t="str">
        <f ca="1"/>
        <v/>
      </c>
      <c r="J50" s="22" t="str">
        <f ca="1"/>
        <v/>
      </c>
      <c r="K50" s="22" t="str">
        <f ca="1"/>
        <v/>
      </c>
      <c r="L50" s="22" t="str">
        <f ca="1"/>
        <v/>
      </c>
      <c r="M50" s="22" t="str">
        <f ca="1"/>
        <v/>
      </c>
      <c r="N50" s="22" t="str">
        <f ca="1"/>
        <v/>
      </c>
      <c r="O50" s="22" t="str">
        <f ca="1"/>
        <v/>
      </c>
      <c r="P50" s="22" t="str">
        <f ca="1"/>
        <v/>
      </c>
      <c r="Q50" t="str">
        <f ca="1"/>
        <v/>
      </c>
      <c r="R50" t="str">
        <f ca="1"/>
        <v/>
      </c>
      <c r="S50" t="str">
        <f ca="1"/>
        <v/>
      </c>
      <c r="T50" t="str">
        <f ca="1"/>
        <v/>
      </c>
      <c r="U50" t="str">
        <f ca="1"/>
        <v/>
      </c>
      <c r="V50" t="str">
        <f ca="1"/>
        <v/>
      </c>
      <c r="W50" t="str">
        <f ca="1"/>
        <v/>
      </c>
      <c r="X50" t="str">
        <f ca="1"/>
        <v/>
      </c>
      <c r="Y50" t="str">
        <f ca="1"/>
        <v/>
      </c>
      <c r="Z50" t="str">
        <f ca="1"/>
        <v/>
      </c>
      <c r="AA50" t="str">
        <f ca="1"/>
        <v/>
      </c>
      <c r="AB50" t="str">
        <f ca="1"/>
        <v/>
      </c>
      <c r="AC50" t="str">
        <f ca="1"/>
        <v/>
      </c>
      <c r="AD50" t="str">
        <f ca="1"/>
        <v/>
      </c>
      <c r="AE50" t="str">
        <f ca="1"/>
        <v/>
      </c>
      <c r="AF50" t="str">
        <f ca="1"/>
        <v/>
      </c>
      <c r="AG50" t="str">
        <f ca="1"/>
        <v/>
      </c>
      <c r="AH50" t="str">
        <f ca="1"/>
        <v/>
      </c>
      <c r="AI50" t="str">
        <f ca="1"/>
        <v/>
      </c>
      <c r="AJ50" t="str">
        <f ca="1"/>
        <v/>
      </c>
      <c r="AK50" t="str">
        <f ca="1"/>
        <v/>
      </c>
      <c r="AL50" t="str">
        <f ca="1"/>
        <v/>
      </c>
      <c r="AM50" t="str">
        <f ca="1"/>
        <v/>
      </c>
      <c r="AN50" t="str">
        <f ca="1"/>
        <v/>
      </c>
      <c r="AO50" t="str">
        <f ca="1"/>
        <v/>
      </c>
      <c r="AP50" t="str">
        <f ca="1"/>
        <v/>
      </c>
      <c r="AQ50" t="str">
        <f ca="1"/>
        <v/>
      </c>
      <c r="AR50" t="str">
        <f ca="1"/>
        <v/>
      </c>
      <c r="AS50" t="str">
        <f ca="1"/>
        <v/>
      </c>
      <c r="AT50" t="str">
        <f ca="1"/>
        <v/>
      </c>
      <c r="AU50" t="str">
        <f ca="1"/>
        <v/>
      </c>
      <c r="AV50" t="str">
        <f ca="1"/>
        <v/>
      </c>
      <c r="AW50" t="str">
        <f ca="1"/>
        <v/>
      </c>
      <c r="AX50" t="str">
        <f ca="1"/>
        <v/>
      </c>
      <c r="AY50" t="str">
        <f ca="1"/>
        <v/>
      </c>
      <c r="AZ50" t="str">
        <f ca="1"/>
        <v/>
      </c>
      <c r="BA50" t="str">
        <f ca="1"/>
        <v/>
      </c>
      <c r="BB50" t="str">
        <f ca="1"/>
        <v/>
      </c>
      <c r="BC50" t="str">
        <f ca="1"/>
        <v/>
      </c>
      <c r="BD50" t="str">
        <f ca="1"/>
        <v/>
      </c>
      <c r="BE50" t="str">
        <f ca="1"/>
        <v/>
      </c>
      <c r="BF50" t="str">
        <f ca="1"/>
        <v/>
      </c>
      <c r="BG50" t="str">
        <f ca="1"/>
        <v/>
      </c>
      <c r="BH50" t="str">
        <f ca="1"/>
        <v/>
      </c>
      <c r="BI50" t="str">
        <f ca="1"/>
        <v/>
      </c>
      <c r="BJ50" t="str">
        <f ca="1"/>
        <v/>
      </c>
      <c r="BK50" t="str">
        <f ca="1"/>
        <v/>
      </c>
      <c r="BL50" t="str">
        <f ca="1"/>
        <v/>
      </c>
      <c r="BM50" t="str">
        <f ca="1"/>
        <v/>
      </c>
      <c r="BN50" t="str">
        <f ca="1"/>
        <v/>
      </c>
      <c r="BO50" t="str">
        <f ca="1"/>
        <v/>
      </c>
      <c r="BP50" t="str">
        <f ca="1"/>
        <v/>
      </c>
      <c r="BQ50" t="str">
        <f ca="1"/>
        <v/>
      </c>
      <c r="BR50" t="str">
        <f ca="1"/>
        <v/>
      </c>
      <c r="BS50" t="str">
        <f ca="1"/>
        <v/>
      </c>
      <c r="BT50" t="str">
        <f ca="1"/>
        <v/>
      </c>
      <c r="BU50" t="str">
        <f ca="1"/>
        <v/>
      </c>
      <c r="BV50" t="str">
        <f ca="1"/>
        <v/>
      </c>
      <c r="BW50" t="str">
        <f ca="1"/>
        <v/>
      </c>
      <c r="BX50" t="str">
        <f ca="1"/>
        <v/>
      </c>
      <c r="BY50" t="str">
        <f ca="1"/>
        <v/>
      </c>
      <c r="BZ50" t="str">
        <f ca="1"/>
        <v/>
      </c>
      <c r="CA50" t="str">
        <f ca="1"/>
        <v/>
      </c>
      <c r="CB50" t="str">
        <f ca="1"/>
        <v/>
      </c>
      <c r="CC50" t="str">
        <f ca="1"/>
        <v/>
      </c>
      <c r="CD50" t="str">
        <f ca="1"/>
        <v/>
      </c>
      <c r="CE50" t="str">
        <f ca="1"/>
        <v/>
      </c>
      <c r="CF50" t="str">
        <f ca="1"/>
        <v/>
      </c>
      <c r="CG50" t="str">
        <f ca="1"/>
        <v/>
      </c>
      <c r="CH50" t="str">
        <f ca="1"/>
        <v/>
      </c>
      <c r="CI50" t="str">
        <f ca="1"/>
        <v/>
      </c>
      <c r="CJ50" t="str">
        <f ca="1"/>
        <v/>
      </c>
      <c r="CK50" t="str">
        <f ca="1"/>
        <v/>
      </c>
      <c r="CL50" t="str">
        <f ca="1"/>
        <v/>
      </c>
      <c r="CM50" t="str">
        <f ca="1"/>
        <v/>
      </c>
      <c r="CN50" t="str">
        <f ca="1"/>
        <v/>
      </c>
      <c r="CO50" t="str">
        <f ca="1"/>
        <v/>
      </c>
      <c r="CP50" t="str">
        <f ca="1"/>
        <v/>
      </c>
      <c r="CQ50" t="str">
        <f ca="1"/>
        <v/>
      </c>
      <c r="CR50" t="str">
        <f ca="1"/>
        <v/>
      </c>
      <c r="CS50" t="str">
        <f ca="1"/>
        <v/>
      </c>
      <c r="CT50" t="str">
        <f ca="1"/>
        <v/>
      </c>
      <c r="CU50" t="str">
        <f ca="1"/>
        <v/>
      </c>
      <c r="CV50" t="str">
        <f ca="1"/>
        <v/>
      </c>
      <c r="CW50" t="str">
        <f ca="1"/>
        <v/>
      </c>
      <c r="CX50" t="str">
        <f ca="1"/>
        <v/>
      </c>
      <c r="CY50" t="str">
        <f ca="1"/>
        <v/>
      </c>
      <c r="CZ50" t="str">
        <f ca="1"/>
        <v/>
      </c>
    </row>
    <row r="51" spans="5:104">
      <c r="E51" s="22" t="str">
        <f ca="1"/>
        <v/>
      </c>
      <c r="F51" s="22" t="str">
        <f ca="1"/>
        <v/>
      </c>
      <c r="G51" s="22" t="str">
        <f ca="1"/>
        <v/>
      </c>
      <c r="H51" s="22" t="str">
        <f ca="1"/>
        <v/>
      </c>
      <c r="I51" s="22" t="str">
        <f ca="1"/>
        <v/>
      </c>
      <c r="J51" s="22" t="str">
        <f ca="1"/>
        <v/>
      </c>
      <c r="K51" s="22" t="str">
        <f ca="1"/>
        <v/>
      </c>
      <c r="L51" s="22" t="str">
        <f ca="1"/>
        <v/>
      </c>
      <c r="M51" s="22" t="str">
        <f ca="1"/>
        <v/>
      </c>
      <c r="N51" s="22" t="str">
        <f ca="1"/>
        <v/>
      </c>
      <c r="O51" s="22" t="str">
        <f ca="1"/>
        <v/>
      </c>
      <c r="P51" s="22" t="str">
        <f ca="1"/>
        <v/>
      </c>
      <c r="Q51" t="str">
        <f ca="1"/>
        <v/>
      </c>
      <c r="R51" t="str">
        <f ca="1"/>
        <v/>
      </c>
      <c r="S51" t="str">
        <f ca="1"/>
        <v/>
      </c>
      <c r="T51" t="str">
        <f ca="1"/>
        <v/>
      </c>
      <c r="U51" t="str">
        <f ca="1"/>
        <v/>
      </c>
      <c r="V51" t="str">
        <f ca="1"/>
        <v/>
      </c>
      <c r="W51" t="str">
        <f ca="1"/>
        <v/>
      </c>
      <c r="X51" t="str">
        <f ca="1"/>
        <v/>
      </c>
      <c r="Y51" t="str">
        <f ca="1"/>
        <v/>
      </c>
      <c r="Z51" t="str">
        <f ca="1"/>
        <v/>
      </c>
      <c r="AA51" t="str">
        <f ca="1"/>
        <v/>
      </c>
      <c r="AB51" t="str">
        <f ca="1"/>
        <v/>
      </c>
      <c r="AC51" t="str">
        <f ca="1"/>
        <v/>
      </c>
      <c r="AD51" t="str">
        <f ca="1"/>
        <v/>
      </c>
      <c r="AE51" t="str">
        <f ca="1"/>
        <v/>
      </c>
      <c r="AF51" t="str">
        <f ca="1"/>
        <v/>
      </c>
      <c r="AG51" t="str">
        <f ca="1"/>
        <v/>
      </c>
      <c r="AH51" t="str">
        <f ca="1"/>
        <v/>
      </c>
      <c r="AI51" t="str">
        <f ca="1"/>
        <v/>
      </c>
      <c r="AJ51" t="str">
        <f ca="1"/>
        <v/>
      </c>
      <c r="AK51" t="str">
        <f ca="1"/>
        <v/>
      </c>
      <c r="AL51" t="str">
        <f ca="1"/>
        <v/>
      </c>
      <c r="AM51" t="str">
        <f ca="1"/>
        <v/>
      </c>
      <c r="AN51" t="str">
        <f ca="1"/>
        <v/>
      </c>
      <c r="AO51" t="str">
        <f ca="1"/>
        <v/>
      </c>
      <c r="AP51" t="str">
        <f ca="1"/>
        <v/>
      </c>
      <c r="AQ51" t="str">
        <f ca="1"/>
        <v/>
      </c>
      <c r="AR51" t="str">
        <f ca="1"/>
        <v/>
      </c>
      <c r="AS51" t="str">
        <f ca="1"/>
        <v/>
      </c>
      <c r="AT51" t="str">
        <f ca="1"/>
        <v/>
      </c>
      <c r="AU51" t="str">
        <f ca="1"/>
        <v/>
      </c>
      <c r="AV51" t="str">
        <f ca="1"/>
        <v/>
      </c>
      <c r="AW51" t="str">
        <f ca="1"/>
        <v/>
      </c>
      <c r="AX51" t="str">
        <f ca="1"/>
        <v/>
      </c>
      <c r="AY51" t="str">
        <f ca="1"/>
        <v/>
      </c>
      <c r="AZ51" t="str">
        <f ca="1"/>
        <v/>
      </c>
      <c r="BA51" t="str">
        <f ca="1"/>
        <v/>
      </c>
      <c r="BB51" t="str">
        <f ca="1"/>
        <v/>
      </c>
      <c r="BC51" t="str">
        <f ca="1"/>
        <v/>
      </c>
      <c r="BD51" t="str">
        <f ca="1"/>
        <v/>
      </c>
      <c r="BE51" t="str">
        <f ca="1"/>
        <v/>
      </c>
      <c r="BF51" t="str">
        <f ca="1"/>
        <v/>
      </c>
      <c r="BG51" t="str">
        <f ca="1"/>
        <v/>
      </c>
      <c r="BH51" t="str">
        <f ca="1"/>
        <v/>
      </c>
      <c r="BI51" t="str">
        <f ca="1"/>
        <v/>
      </c>
      <c r="BJ51" t="str">
        <f ca="1"/>
        <v/>
      </c>
      <c r="BK51" t="str">
        <f ca="1"/>
        <v/>
      </c>
      <c r="BL51" t="str">
        <f ca="1"/>
        <v/>
      </c>
      <c r="BM51" t="str">
        <f ca="1"/>
        <v/>
      </c>
      <c r="BN51" t="str">
        <f ca="1"/>
        <v/>
      </c>
      <c r="BO51" t="str">
        <f ca="1"/>
        <v/>
      </c>
      <c r="BP51" t="str">
        <f ca="1"/>
        <v/>
      </c>
      <c r="BQ51" t="str">
        <f ca="1"/>
        <v/>
      </c>
      <c r="BR51" t="str">
        <f ca="1"/>
        <v/>
      </c>
      <c r="BS51" t="str">
        <f ca="1"/>
        <v/>
      </c>
      <c r="BT51" t="str">
        <f ca="1"/>
        <v/>
      </c>
      <c r="BU51" t="str">
        <f ca="1"/>
        <v/>
      </c>
      <c r="BV51" t="str">
        <f ca="1"/>
        <v/>
      </c>
      <c r="BW51" t="str">
        <f ca="1"/>
        <v/>
      </c>
      <c r="BX51" t="str">
        <f ca="1"/>
        <v/>
      </c>
      <c r="BY51" t="str">
        <f ca="1"/>
        <v/>
      </c>
      <c r="BZ51" t="str">
        <f ca="1"/>
        <v/>
      </c>
      <c r="CA51" t="str">
        <f ca="1"/>
        <v/>
      </c>
      <c r="CB51" t="str">
        <f ca="1"/>
        <v/>
      </c>
      <c r="CC51" t="str">
        <f ca="1"/>
        <v/>
      </c>
      <c r="CD51" t="str">
        <f ca="1"/>
        <v/>
      </c>
      <c r="CE51" t="str">
        <f ca="1"/>
        <v/>
      </c>
      <c r="CF51" t="str">
        <f ca="1"/>
        <v/>
      </c>
      <c r="CG51" t="str">
        <f ca="1"/>
        <v/>
      </c>
      <c r="CH51" t="str">
        <f ca="1"/>
        <v/>
      </c>
      <c r="CI51" t="str">
        <f ca="1"/>
        <v/>
      </c>
      <c r="CJ51" t="str">
        <f ca="1"/>
        <v/>
      </c>
      <c r="CK51" t="str">
        <f ca="1"/>
        <v/>
      </c>
      <c r="CL51" t="str">
        <f ca="1"/>
        <v/>
      </c>
      <c r="CM51" t="str">
        <f ca="1"/>
        <v/>
      </c>
      <c r="CN51" t="str">
        <f ca="1"/>
        <v/>
      </c>
      <c r="CO51" t="str">
        <f ca="1"/>
        <v/>
      </c>
      <c r="CP51" t="str">
        <f ca="1"/>
        <v/>
      </c>
      <c r="CQ51" t="str">
        <f ca="1"/>
        <v/>
      </c>
      <c r="CR51" t="str">
        <f ca="1"/>
        <v/>
      </c>
      <c r="CS51" t="str">
        <f ca="1"/>
        <v/>
      </c>
      <c r="CT51" t="str">
        <f ca="1"/>
        <v/>
      </c>
      <c r="CU51" t="str">
        <f ca="1"/>
        <v/>
      </c>
      <c r="CV51" t="str">
        <f ca="1"/>
        <v/>
      </c>
      <c r="CW51" t="str">
        <f ca="1"/>
        <v/>
      </c>
      <c r="CX51" t="str">
        <f ca="1"/>
        <v/>
      </c>
      <c r="CY51" t="str">
        <f ca="1"/>
        <v/>
      </c>
      <c r="CZ51" t="str">
        <f ca="1"/>
        <v/>
      </c>
    </row>
    <row r="52" spans="5:104">
      <c r="E52" s="22" t="str">
        <f ca="1"/>
        <v/>
      </c>
      <c r="F52" s="22" t="str">
        <f ca="1"/>
        <v/>
      </c>
      <c r="G52" s="22" t="str">
        <f ca="1"/>
        <v/>
      </c>
      <c r="H52" s="22" t="str">
        <f ca="1"/>
        <v/>
      </c>
      <c r="I52" s="22" t="str">
        <f ca="1"/>
        <v/>
      </c>
      <c r="J52" s="22" t="str">
        <f ca="1"/>
        <v/>
      </c>
      <c r="K52" s="22" t="str">
        <f ca="1"/>
        <v/>
      </c>
      <c r="L52" s="22" t="str">
        <f ca="1"/>
        <v/>
      </c>
      <c r="M52" s="22" t="str">
        <f ca="1"/>
        <v/>
      </c>
      <c r="N52" s="22" t="str">
        <f ca="1"/>
        <v/>
      </c>
      <c r="O52" s="22" t="str">
        <f ca="1"/>
        <v/>
      </c>
      <c r="P52" s="22" t="str">
        <f ca="1"/>
        <v/>
      </c>
      <c r="Q52" t="str">
        <f ca="1"/>
        <v/>
      </c>
      <c r="R52" t="str">
        <f ca="1"/>
        <v/>
      </c>
      <c r="S52" t="str">
        <f ca="1"/>
        <v/>
      </c>
      <c r="T52" t="str">
        <f ca="1"/>
        <v/>
      </c>
      <c r="U52" t="str">
        <f ca="1"/>
        <v/>
      </c>
      <c r="V52" t="str">
        <f ca="1"/>
        <v/>
      </c>
      <c r="W52" t="str">
        <f ca="1"/>
        <v/>
      </c>
      <c r="X52" t="str">
        <f ca="1"/>
        <v/>
      </c>
      <c r="Y52" t="str">
        <f ca="1"/>
        <v/>
      </c>
      <c r="Z52" t="str">
        <f ca="1"/>
        <v/>
      </c>
      <c r="AA52" t="str">
        <f ca="1"/>
        <v/>
      </c>
      <c r="AB52" t="str">
        <f ca="1"/>
        <v/>
      </c>
      <c r="AC52" t="str">
        <f ca="1"/>
        <v/>
      </c>
      <c r="AD52" t="str">
        <f ca="1"/>
        <v/>
      </c>
      <c r="AE52" t="str">
        <f ca="1"/>
        <v/>
      </c>
      <c r="AF52" t="str">
        <f ca="1"/>
        <v/>
      </c>
      <c r="AG52" t="str">
        <f ca="1"/>
        <v/>
      </c>
      <c r="AH52" t="str">
        <f ca="1"/>
        <v/>
      </c>
      <c r="AI52" t="str">
        <f ca="1"/>
        <v/>
      </c>
      <c r="AJ52" t="str">
        <f ca="1"/>
        <v/>
      </c>
      <c r="AK52" t="str">
        <f ca="1"/>
        <v/>
      </c>
      <c r="AL52" t="str">
        <f ca="1"/>
        <v/>
      </c>
      <c r="AM52" t="str">
        <f ca="1"/>
        <v/>
      </c>
      <c r="AN52" t="str">
        <f ca="1"/>
        <v/>
      </c>
      <c r="AO52" t="str">
        <f ca="1"/>
        <v/>
      </c>
      <c r="AP52" t="str">
        <f ca="1"/>
        <v/>
      </c>
      <c r="AQ52" t="str">
        <f ca="1"/>
        <v/>
      </c>
      <c r="AR52" t="str">
        <f ca="1"/>
        <v/>
      </c>
      <c r="AS52" t="str">
        <f ca="1"/>
        <v/>
      </c>
      <c r="AT52" t="str">
        <f ca="1"/>
        <v/>
      </c>
      <c r="AU52" t="str">
        <f ca="1"/>
        <v/>
      </c>
      <c r="AV52" t="str">
        <f ca="1"/>
        <v/>
      </c>
      <c r="AW52" t="str">
        <f ca="1"/>
        <v/>
      </c>
      <c r="AX52" t="str">
        <f ca="1"/>
        <v/>
      </c>
      <c r="AY52" t="str">
        <f ca="1"/>
        <v/>
      </c>
      <c r="AZ52" t="str">
        <f ca="1"/>
        <v/>
      </c>
      <c r="BA52" t="str">
        <f ca="1"/>
        <v/>
      </c>
      <c r="BB52" t="str">
        <f ca="1"/>
        <v/>
      </c>
      <c r="BC52" t="str">
        <f ca="1"/>
        <v/>
      </c>
      <c r="BD52" t="str">
        <f ca="1"/>
        <v/>
      </c>
      <c r="BE52" t="str">
        <f ca="1"/>
        <v/>
      </c>
      <c r="BF52" t="str">
        <f ca="1"/>
        <v/>
      </c>
      <c r="BG52" t="str">
        <f ca="1"/>
        <v/>
      </c>
      <c r="BH52" t="str">
        <f ca="1"/>
        <v/>
      </c>
      <c r="BI52" t="str">
        <f ca="1"/>
        <v/>
      </c>
      <c r="BJ52" t="str">
        <f ca="1"/>
        <v/>
      </c>
      <c r="BK52" t="str">
        <f ca="1"/>
        <v/>
      </c>
      <c r="BL52" t="str">
        <f ca="1"/>
        <v/>
      </c>
      <c r="BM52" t="str">
        <f ca="1"/>
        <v/>
      </c>
      <c r="BN52" t="str">
        <f ca="1"/>
        <v/>
      </c>
      <c r="BO52" t="str">
        <f ca="1"/>
        <v/>
      </c>
      <c r="BP52" t="str">
        <f ca="1"/>
        <v/>
      </c>
      <c r="BQ52" t="str">
        <f ca="1"/>
        <v/>
      </c>
      <c r="BR52" t="str">
        <f ca="1"/>
        <v/>
      </c>
      <c r="BS52" t="str">
        <f ca="1"/>
        <v/>
      </c>
      <c r="BT52" t="str">
        <f ca="1"/>
        <v/>
      </c>
      <c r="BU52" t="str">
        <f ca="1"/>
        <v/>
      </c>
      <c r="BV52" t="str">
        <f ca="1"/>
        <v/>
      </c>
      <c r="BW52" t="str">
        <f ca="1"/>
        <v/>
      </c>
      <c r="BX52" t="str">
        <f ca="1"/>
        <v/>
      </c>
      <c r="BY52" t="str">
        <f ca="1"/>
        <v/>
      </c>
      <c r="BZ52" t="str">
        <f ca="1"/>
        <v/>
      </c>
      <c r="CA52" t="str">
        <f ca="1"/>
        <v/>
      </c>
      <c r="CB52" t="str">
        <f ca="1"/>
        <v/>
      </c>
      <c r="CC52" t="str">
        <f ca="1"/>
        <v/>
      </c>
      <c r="CD52" t="str">
        <f ca="1"/>
        <v/>
      </c>
      <c r="CE52" t="str">
        <f ca="1"/>
        <v/>
      </c>
      <c r="CF52" t="str">
        <f ca="1"/>
        <v/>
      </c>
      <c r="CG52" t="str">
        <f ca="1"/>
        <v/>
      </c>
      <c r="CH52" t="str">
        <f ca="1"/>
        <v/>
      </c>
      <c r="CI52" t="str">
        <f ca="1"/>
        <v/>
      </c>
      <c r="CJ52" t="str">
        <f ca="1"/>
        <v/>
      </c>
      <c r="CK52" t="str">
        <f ca="1"/>
        <v/>
      </c>
      <c r="CL52" t="str">
        <f ca="1"/>
        <v/>
      </c>
      <c r="CM52" t="str">
        <f ca="1"/>
        <v/>
      </c>
      <c r="CN52" t="str">
        <f ca="1"/>
        <v/>
      </c>
      <c r="CO52" t="str">
        <f ca="1"/>
        <v/>
      </c>
      <c r="CP52" t="str">
        <f ca="1"/>
        <v/>
      </c>
      <c r="CQ52" t="str">
        <f ca="1"/>
        <v/>
      </c>
      <c r="CR52" t="str">
        <f ca="1"/>
        <v/>
      </c>
      <c r="CS52" t="str">
        <f ca="1"/>
        <v/>
      </c>
      <c r="CT52" t="str">
        <f ca="1"/>
        <v/>
      </c>
      <c r="CU52" t="str">
        <f ca="1"/>
        <v/>
      </c>
      <c r="CV52" t="str">
        <f ca="1"/>
        <v/>
      </c>
      <c r="CW52" t="str">
        <f ca="1"/>
        <v/>
      </c>
      <c r="CX52" t="str">
        <f ca="1"/>
        <v/>
      </c>
      <c r="CY52" t="str">
        <f ca="1"/>
        <v/>
      </c>
      <c r="CZ52" t="str">
        <f ca="1"/>
        <v/>
      </c>
    </row>
    <row r="53" spans="5:104">
      <c r="E53" s="22" t="str">
        <f ca="1"/>
        <v/>
      </c>
      <c r="F53" s="22" t="str">
        <f ca="1"/>
        <v/>
      </c>
      <c r="G53" s="22" t="str">
        <f ca="1"/>
        <v/>
      </c>
      <c r="H53" s="22" t="str">
        <f ca="1"/>
        <v/>
      </c>
      <c r="I53" s="22" t="str">
        <f ca="1"/>
        <v/>
      </c>
      <c r="J53" s="22" t="str">
        <f ca="1"/>
        <v/>
      </c>
      <c r="K53" s="22" t="str">
        <f ca="1"/>
        <v/>
      </c>
      <c r="L53" s="22" t="str">
        <f ca="1"/>
        <v/>
      </c>
      <c r="M53" s="22" t="str">
        <f ca="1"/>
        <v/>
      </c>
      <c r="N53" s="22" t="str">
        <f ca="1"/>
        <v/>
      </c>
      <c r="O53" s="22" t="str">
        <f ca="1"/>
        <v/>
      </c>
      <c r="P53" s="22" t="str">
        <f ca="1"/>
        <v/>
      </c>
      <c r="Q53" t="str">
        <f ca="1"/>
        <v/>
      </c>
      <c r="R53" t="str">
        <f ca="1"/>
        <v/>
      </c>
      <c r="S53" t="str">
        <f ca="1"/>
        <v/>
      </c>
      <c r="T53" t="str">
        <f ca="1"/>
        <v/>
      </c>
      <c r="U53" t="str">
        <f ca="1"/>
        <v/>
      </c>
      <c r="V53" t="str">
        <f ca="1"/>
        <v/>
      </c>
      <c r="W53" t="str">
        <f ca="1"/>
        <v/>
      </c>
      <c r="X53" t="str">
        <f ca="1"/>
        <v/>
      </c>
      <c r="Y53" t="str">
        <f ca="1"/>
        <v/>
      </c>
      <c r="Z53" t="str">
        <f ca="1"/>
        <v/>
      </c>
      <c r="AA53" t="str">
        <f ca="1"/>
        <v/>
      </c>
      <c r="AB53" t="str">
        <f ca="1"/>
        <v/>
      </c>
      <c r="AC53" t="str">
        <f ca="1"/>
        <v/>
      </c>
      <c r="AD53" t="str">
        <f ca="1"/>
        <v/>
      </c>
      <c r="AE53" t="str">
        <f ca="1"/>
        <v/>
      </c>
      <c r="AF53" t="str">
        <f ca="1"/>
        <v/>
      </c>
      <c r="AG53" t="str">
        <f ca="1"/>
        <v/>
      </c>
      <c r="AH53" t="str">
        <f ca="1"/>
        <v/>
      </c>
      <c r="AI53" t="str">
        <f ca="1"/>
        <v/>
      </c>
      <c r="AJ53" t="str">
        <f ca="1"/>
        <v/>
      </c>
      <c r="AK53" t="str">
        <f ca="1"/>
        <v/>
      </c>
      <c r="AL53" t="str">
        <f ca="1"/>
        <v/>
      </c>
      <c r="AM53" t="str">
        <f ca="1"/>
        <v/>
      </c>
      <c r="AN53" t="str">
        <f ca="1"/>
        <v/>
      </c>
      <c r="AO53" t="str">
        <f ca="1"/>
        <v/>
      </c>
      <c r="AP53" t="str">
        <f ca="1"/>
        <v/>
      </c>
      <c r="AQ53" t="str">
        <f ca="1"/>
        <v/>
      </c>
      <c r="AR53" t="str">
        <f ca="1"/>
        <v/>
      </c>
      <c r="AS53" t="str">
        <f ca="1"/>
        <v/>
      </c>
      <c r="AT53" t="str">
        <f ca="1"/>
        <v/>
      </c>
      <c r="AU53" t="str">
        <f ca="1"/>
        <v/>
      </c>
      <c r="AV53" t="str">
        <f ca="1"/>
        <v/>
      </c>
      <c r="AW53" t="str">
        <f ca="1"/>
        <v/>
      </c>
      <c r="AX53" t="str">
        <f ca="1"/>
        <v/>
      </c>
      <c r="AY53" t="str">
        <f ca="1"/>
        <v/>
      </c>
      <c r="AZ53" t="str">
        <f ca="1"/>
        <v/>
      </c>
      <c r="BA53" t="str">
        <f ca="1"/>
        <v/>
      </c>
      <c r="BB53" t="str">
        <f ca="1"/>
        <v/>
      </c>
      <c r="BC53" t="str">
        <f ca="1"/>
        <v/>
      </c>
      <c r="BD53" t="str">
        <f ca="1"/>
        <v/>
      </c>
      <c r="BE53" t="str">
        <f ca="1"/>
        <v/>
      </c>
      <c r="BF53" t="str">
        <f ca="1"/>
        <v/>
      </c>
      <c r="BG53" t="str">
        <f ca="1"/>
        <v/>
      </c>
      <c r="BH53" t="str">
        <f ca="1"/>
        <v/>
      </c>
      <c r="BI53" t="str">
        <f ca="1"/>
        <v/>
      </c>
      <c r="BJ53" t="str">
        <f ca="1"/>
        <v/>
      </c>
      <c r="BK53" t="str">
        <f ca="1"/>
        <v/>
      </c>
      <c r="BL53" t="str">
        <f ca="1"/>
        <v/>
      </c>
      <c r="BM53" t="str">
        <f ca="1"/>
        <v/>
      </c>
      <c r="BN53" t="str">
        <f ca="1"/>
        <v/>
      </c>
      <c r="BO53" t="str">
        <f ca="1"/>
        <v/>
      </c>
      <c r="BP53" t="str">
        <f ca="1"/>
        <v/>
      </c>
      <c r="BQ53" t="str">
        <f ca="1"/>
        <v/>
      </c>
      <c r="BR53" t="str">
        <f ca="1"/>
        <v/>
      </c>
      <c r="BS53" t="str">
        <f ca="1"/>
        <v/>
      </c>
      <c r="BT53" t="str">
        <f ca="1"/>
        <v/>
      </c>
      <c r="BU53" t="str">
        <f ca="1"/>
        <v/>
      </c>
      <c r="BV53" t="str">
        <f ca="1"/>
        <v/>
      </c>
      <c r="BW53" t="str">
        <f ca="1"/>
        <v/>
      </c>
      <c r="BX53" t="str">
        <f ca="1"/>
        <v/>
      </c>
      <c r="BY53" t="str">
        <f ca="1"/>
        <v/>
      </c>
      <c r="BZ53" t="str">
        <f ca="1"/>
        <v/>
      </c>
      <c r="CA53" t="str">
        <f ca="1"/>
        <v/>
      </c>
      <c r="CB53" t="str">
        <f ca="1"/>
        <v/>
      </c>
      <c r="CC53" t="str">
        <f ca="1"/>
        <v/>
      </c>
      <c r="CD53" t="str">
        <f ca="1"/>
        <v/>
      </c>
      <c r="CE53" t="str">
        <f ca="1"/>
        <v/>
      </c>
      <c r="CF53" t="str">
        <f ca="1"/>
        <v/>
      </c>
      <c r="CG53" t="str">
        <f ca="1"/>
        <v/>
      </c>
      <c r="CH53" t="str">
        <f ca="1"/>
        <v/>
      </c>
      <c r="CI53" t="str">
        <f ca="1"/>
        <v/>
      </c>
      <c r="CJ53" t="str">
        <f ca="1"/>
        <v/>
      </c>
      <c r="CK53" t="str">
        <f ca="1"/>
        <v/>
      </c>
      <c r="CL53" t="str">
        <f ca="1"/>
        <v/>
      </c>
      <c r="CM53" t="str">
        <f ca="1"/>
        <v/>
      </c>
      <c r="CN53" t="str">
        <f ca="1"/>
        <v/>
      </c>
      <c r="CO53" t="str">
        <f ca="1"/>
        <v/>
      </c>
      <c r="CP53" t="str">
        <f ca="1"/>
        <v/>
      </c>
      <c r="CQ53" t="str">
        <f ca="1"/>
        <v/>
      </c>
      <c r="CR53" t="str">
        <f ca="1"/>
        <v/>
      </c>
      <c r="CS53" t="str">
        <f ca="1"/>
        <v/>
      </c>
      <c r="CT53" t="str">
        <f ca="1"/>
        <v/>
      </c>
      <c r="CU53" t="str">
        <f ca="1"/>
        <v/>
      </c>
      <c r="CV53" t="str">
        <f ca="1"/>
        <v/>
      </c>
      <c r="CW53" t="str">
        <f ca="1"/>
        <v/>
      </c>
      <c r="CX53" t="str">
        <f ca="1"/>
        <v/>
      </c>
      <c r="CY53" t="str">
        <f ca="1"/>
        <v/>
      </c>
      <c r="CZ53" t="str">
        <f ca="1"/>
        <v/>
      </c>
    </row>
    <row r="54" spans="5:104">
      <c r="E54" s="22" t="str">
        <f ca="1"/>
        <v/>
      </c>
      <c r="F54" s="22" t="str">
        <f ca="1"/>
        <v/>
      </c>
      <c r="G54" s="22" t="str">
        <f ca="1"/>
        <v/>
      </c>
      <c r="H54" s="22" t="str">
        <f ca="1"/>
        <v/>
      </c>
      <c r="I54" s="22" t="str">
        <f ca="1"/>
        <v/>
      </c>
      <c r="J54" s="22" t="str">
        <f ca="1"/>
        <v/>
      </c>
      <c r="K54" s="22" t="str">
        <f ca="1"/>
        <v/>
      </c>
      <c r="L54" s="22" t="str">
        <f ca="1"/>
        <v/>
      </c>
      <c r="M54" s="22" t="str">
        <f ca="1"/>
        <v/>
      </c>
      <c r="N54" s="22" t="str">
        <f ca="1"/>
        <v/>
      </c>
      <c r="O54" s="22" t="str">
        <f ca="1"/>
        <v/>
      </c>
      <c r="P54" s="22" t="str">
        <f ca="1"/>
        <v/>
      </c>
      <c r="Q54" t="str">
        <f ca="1"/>
        <v/>
      </c>
      <c r="R54" t="str">
        <f ca="1"/>
        <v/>
      </c>
      <c r="S54" t="str">
        <f ca="1"/>
        <v/>
      </c>
      <c r="T54" t="str">
        <f ca="1"/>
        <v/>
      </c>
      <c r="U54" t="str">
        <f ca="1"/>
        <v/>
      </c>
      <c r="V54" t="str">
        <f ca="1"/>
        <v/>
      </c>
      <c r="W54" t="str">
        <f ca="1"/>
        <v/>
      </c>
      <c r="X54" t="str">
        <f ca="1"/>
        <v/>
      </c>
      <c r="Y54" t="str">
        <f ca="1"/>
        <v/>
      </c>
      <c r="Z54" t="str">
        <f ca="1"/>
        <v/>
      </c>
      <c r="AA54" t="str">
        <f ca="1"/>
        <v/>
      </c>
      <c r="AB54" t="str">
        <f ca="1"/>
        <v/>
      </c>
      <c r="AC54" t="str">
        <f ca="1"/>
        <v/>
      </c>
      <c r="AD54" t="str">
        <f ca="1"/>
        <v/>
      </c>
      <c r="AE54" t="str">
        <f ca="1"/>
        <v/>
      </c>
      <c r="AF54" t="str">
        <f ca="1"/>
        <v/>
      </c>
      <c r="AG54" t="str">
        <f ca="1"/>
        <v/>
      </c>
      <c r="AH54" t="str">
        <f ca="1"/>
        <v/>
      </c>
      <c r="AI54" t="str">
        <f ca="1"/>
        <v/>
      </c>
      <c r="AJ54" t="str">
        <f ca="1"/>
        <v/>
      </c>
      <c r="AK54" t="str">
        <f ca="1"/>
        <v/>
      </c>
      <c r="AL54" t="str">
        <f ca="1"/>
        <v/>
      </c>
      <c r="AM54" t="str">
        <f ca="1"/>
        <v/>
      </c>
      <c r="AN54" t="str">
        <f ca="1"/>
        <v/>
      </c>
      <c r="AO54" t="str">
        <f ca="1"/>
        <v/>
      </c>
      <c r="AP54" t="str">
        <f ca="1"/>
        <v/>
      </c>
      <c r="AQ54" t="str">
        <f ca="1"/>
        <v/>
      </c>
      <c r="AR54" t="str">
        <f ca="1"/>
        <v/>
      </c>
      <c r="AS54" t="str">
        <f ca="1"/>
        <v/>
      </c>
      <c r="AT54" t="str">
        <f ca="1"/>
        <v/>
      </c>
      <c r="AU54" t="str">
        <f ca="1"/>
        <v/>
      </c>
      <c r="AV54" t="str">
        <f ca="1"/>
        <v/>
      </c>
      <c r="AW54" t="str">
        <f ca="1"/>
        <v/>
      </c>
      <c r="AX54" t="str">
        <f ca="1"/>
        <v/>
      </c>
      <c r="AY54" t="str">
        <f ca="1"/>
        <v/>
      </c>
      <c r="AZ54" t="str">
        <f ca="1"/>
        <v/>
      </c>
      <c r="BA54" t="str">
        <f ca="1"/>
        <v/>
      </c>
      <c r="BB54" t="str">
        <f ca="1"/>
        <v/>
      </c>
      <c r="BC54" t="str">
        <f ca="1"/>
        <v/>
      </c>
      <c r="BD54" t="str">
        <f ca="1"/>
        <v/>
      </c>
      <c r="BE54" t="str">
        <f ca="1"/>
        <v/>
      </c>
      <c r="BF54" t="str">
        <f ca="1"/>
        <v/>
      </c>
      <c r="BG54" t="str">
        <f ca="1"/>
        <v/>
      </c>
      <c r="BH54" t="str">
        <f ca="1"/>
        <v/>
      </c>
      <c r="BI54" t="str">
        <f ca="1"/>
        <v/>
      </c>
      <c r="BJ54" t="str">
        <f ca="1"/>
        <v/>
      </c>
      <c r="BK54" t="str">
        <f ca="1"/>
        <v/>
      </c>
      <c r="BL54" t="str">
        <f ca="1"/>
        <v/>
      </c>
      <c r="BM54" t="str">
        <f ca="1"/>
        <v/>
      </c>
      <c r="BN54" t="str">
        <f ca="1"/>
        <v/>
      </c>
      <c r="BO54" t="str">
        <f ca="1"/>
        <v/>
      </c>
      <c r="BP54" t="str">
        <f ca="1"/>
        <v/>
      </c>
      <c r="BQ54" t="str">
        <f ca="1"/>
        <v/>
      </c>
      <c r="BR54" t="str">
        <f ca="1"/>
        <v/>
      </c>
      <c r="BS54" t="str">
        <f ca="1"/>
        <v/>
      </c>
      <c r="BT54" t="str">
        <f ca="1"/>
        <v/>
      </c>
      <c r="BU54" t="str">
        <f ca="1"/>
        <v/>
      </c>
      <c r="BV54" t="str">
        <f ca="1"/>
        <v/>
      </c>
      <c r="BW54" t="str">
        <f ca="1"/>
        <v/>
      </c>
      <c r="BX54" t="str">
        <f ca="1"/>
        <v/>
      </c>
      <c r="BY54" t="str">
        <f ca="1"/>
        <v/>
      </c>
      <c r="BZ54" t="str">
        <f ca="1"/>
        <v/>
      </c>
      <c r="CA54" t="str">
        <f ca="1"/>
        <v/>
      </c>
      <c r="CB54" t="str">
        <f ca="1"/>
        <v/>
      </c>
      <c r="CC54" t="str">
        <f ca="1"/>
        <v/>
      </c>
      <c r="CD54" t="str">
        <f ca="1"/>
        <v/>
      </c>
      <c r="CE54" t="str">
        <f ca="1"/>
        <v/>
      </c>
      <c r="CF54" t="str">
        <f ca="1"/>
        <v/>
      </c>
      <c r="CG54" t="str">
        <f ca="1"/>
        <v/>
      </c>
      <c r="CH54" t="str">
        <f ca="1"/>
        <v/>
      </c>
      <c r="CI54" t="str">
        <f ca="1"/>
        <v/>
      </c>
      <c r="CJ54" t="str">
        <f ca="1"/>
        <v/>
      </c>
      <c r="CK54" t="str">
        <f ca="1"/>
        <v/>
      </c>
      <c r="CL54" t="str">
        <f ca="1"/>
        <v/>
      </c>
      <c r="CM54" t="str">
        <f ca="1"/>
        <v/>
      </c>
      <c r="CN54" t="str">
        <f ca="1"/>
        <v/>
      </c>
      <c r="CO54" t="str">
        <f ca="1"/>
        <v/>
      </c>
      <c r="CP54" t="str">
        <f ca="1"/>
        <v/>
      </c>
      <c r="CQ54" t="str">
        <f ca="1"/>
        <v/>
      </c>
      <c r="CR54" t="str">
        <f ca="1"/>
        <v/>
      </c>
      <c r="CS54" t="str">
        <f ca="1"/>
        <v/>
      </c>
      <c r="CT54" t="str">
        <f ca="1"/>
        <v/>
      </c>
      <c r="CU54" t="str">
        <f ca="1"/>
        <v/>
      </c>
      <c r="CV54" t="str">
        <f ca="1"/>
        <v/>
      </c>
      <c r="CW54" t="str">
        <f ca="1"/>
        <v/>
      </c>
      <c r="CX54" t="str">
        <f ca="1"/>
        <v/>
      </c>
      <c r="CY54" t="str">
        <f ca="1"/>
        <v/>
      </c>
      <c r="CZ54" t="str">
        <f ca="1"/>
        <v/>
      </c>
    </row>
    <row r="55" spans="5:104">
      <c r="E55" s="22" t="str">
        <f ca="1"/>
        <v/>
      </c>
      <c r="F55" s="22" t="str">
        <f ca="1"/>
        <v/>
      </c>
      <c r="G55" s="22" t="str">
        <f ca="1"/>
        <v/>
      </c>
      <c r="H55" s="22" t="str">
        <f ca="1"/>
        <v/>
      </c>
      <c r="I55" s="22" t="str">
        <f ca="1"/>
        <v/>
      </c>
      <c r="J55" s="22" t="str">
        <f ca="1"/>
        <v/>
      </c>
      <c r="K55" s="22" t="str">
        <f ca="1"/>
        <v/>
      </c>
      <c r="L55" s="22" t="str">
        <f ca="1"/>
        <v/>
      </c>
      <c r="M55" s="22" t="str">
        <f ca="1"/>
        <v/>
      </c>
      <c r="N55" s="22" t="str">
        <f ca="1"/>
        <v/>
      </c>
      <c r="O55" s="22" t="str">
        <f ca="1"/>
        <v/>
      </c>
      <c r="P55" s="22" t="str">
        <f ca="1"/>
        <v/>
      </c>
      <c r="Q55" t="str">
        <f ca="1"/>
        <v/>
      </c>
      <c r="R55" t="str">
        <f ca="1"/>
        <v/>
      </c>
      <c r="S55" t="str">
        <f ca="1"/>
        <v/>
      </c>
      <c r="T55" t="str">
        <f ca="1"/>
        <v/>
      </c>
      <c r="U55" t="str">
        <f ca="1"/>
        <v/>
      </c>
      <c r="V55" t="str">
        <f ca="1"/>
        <v/>
      </c>
      <c r="W55" t="str">
        <f ca="1"/>
        <v/>
      </c>
      <c r="X55" t="str">
        <f ca="1"/>
        <v/>
      </c>
      <c r="Y55" t="str">
        <f ca="1"/>
        <v/>
      </c>
      <c r="Z55" t="str">
        <f ca="1"/>
        <v/>
      </c>
      <c r="AA55" t="str">
        <f ca="1"/>
        <v/>
      </c>
      <c r="AB55" t="str">
        <f ca="1"/>
        <v/>
      </c>
      <c r="AC55" t="str">
        <f ca="1"/>
        <v/>
      </c>
      <c r="AD55" t="str">
        <f ca="1"/>
        <v/>
      </c>
      <c r="AE55" t="str">
        <f ca="1"/>
        <v/>
      </c>
      <c r="AF55" t="str">
        <f ca="1"/>
        <v/>
      </c>
      <c r="AG55" t="str">
        <f ca="1"/>
        <v/>
      </c>
      <c r="AH55" t="str">
        <f ca="1"/>
        <v/>
      </c>
      <c r="AI55" t="str">
        <f ca="1"/>
        <v/>
      </c>
      <c r="AJ55" t="str">
        <f ca="1"/>
        <v/>
      </c>
      <c r="AK55" t="str">
        <f ca="1"/>
        <v/>
      </c>
      <c r="AL55" t="str">
        <f ca="1"/>
        <v/>
      </c>
      <c r="AM55" t="str">
        <f ca="1"/>
        <v/>
      </c>
      <c r="AN55" t="str">
        <f ca="1"/>
        <v/>
      </c>
      <c r="AO55" t="str">
        <f ca="1"/>
        <v/>
      </c>
      <c r="AP55" t="str">
        <f ca="1"/>
        <v/>
      </c>
      <c r="AQ55" t="str">
        <f ca="1"/>
        <v/>
      </c>
      <c r="AR55" t="str">
        <f ca="1"/>
        <v/>
      </c>
      <c r="AS55" t="str">
        <f ca="1"/>
        <v/>
      </c>
      <c r="AT55" t="str">
        <f ca="1"/>
        <v/>
      </c>
      <c r="AU55" t="str">
        <f ca="1"/>
        <v/>
      </c>
      <c r="AV55" t="str">
        <f ca="1"/>
        <v/>
      </c>
      <c r="AW55" t="str">
        <f ca="1"/>
        <v/>
      </c>
      <c r="AX55" t="str">
        <f ca="1"/>
        <v/>
      </c>
      <c r="AY55" t="str">
        <f ca="1"/>
        <v/>
      </c>
      <c r="AZ55" t="str">
        <f ca="1"/>
        <v/>
      </c>
      <c r="BA55" t="str">
        <f ca="1"/>
        <v/>
      </c>
      <c r="BB55" t="str">
        <f ca="1"/>
        <v/>
      </c>
      <c r="BC55" t="str">
        <f ca="1"/>
        <v/>
      </c>
      <c r="BD55" t="str">
        <f ca="1"/>
        <v/>
      </c>
      <c r="BE55" t="str">
        <f ca="1"/>
        <v/>
      </c>
      <c r="BF55" t="str">
        <f ca="1"/>
        <v/>
      </c>
      <c r="BG55" t="str">
        <f ca="1"/>
        <v/>
      </c>
      <c r="BH55" t="str">
        <f ca="1"/>
        <v/>
      </c>
      <c r="BI55" t="str">
        <f ca="1"/>
        <v/>
      </c>
      <c r="BJ55" t="str">
        <f ca="1"/>
        <v/>
      </c>
      <c r="BK55" t="str">
        <f ca="1"/>
        <v/>
      </c>
      <c r="BL55" t="str">
        <f ca="1"/>
        <v/>
      </c>
      <c r="BM55" t="str">
        <f ca="1"/>
        <v/>
      </c>
      <c r="BN55" t="str">
        <f ca="1"/>
        <v/>
      </c>
      <c r="BO55" t="str">
        <f ca="1"/>
        <v/>
      </c>
      <c r="BP55" t="str">
        <f ca="1"/>
        <v/>
      </c>
      <c r="BQ55" t="str">
        <f ca="1"/>
        <v/>
      </c>
      <c r="BR55" t="str">
        <f ca="1"/>
        <v/>
      </c>
      <c r="BS55" t="str">
        <f ca="1"/>
        <v/>
      </c>
      <c r="BT55" t="str">
        <f ca="1"/>
        <v/>
      </c>
      <c r="BU55" t="str">
        <f ca="1"/>
        <v/>
      </c>
      <c r="BV55" t="str">
        <f ca="1"/>
        <v/>
      </c>
      <c r="BW55" t="str">
        <f ca="1"/>
        <v/>
      </c>
      <c r="BX55" t="str">
        <f ca="1"/>
        <v/>
      </c>
      <c r="BY55" t="str">
        <f ca="1"/>
        <v/>
      </c>
      <c r="BZ55" t="str">
        <f ca="1"/>
        <v/>
      </c>
      <c r="CA55" t="str">
        <f ca="1"/>
        <v/>
      </c>
      <c r="CB55" t="str">
        <f ca="1"/>
        <v/>
      </c>
      <c r="CC55" t="str">
        <f ca="1"/>
        <v/>
      </c>
      <c r="CD55" t="str">
        <f ca="1"/>
        <v/>
      </c>
      <c r="CE55" t="str">
        <f ca="1"/>
        <v/>
      </c>
      <c r="CF55" t="str">
        <f ca="1"/>
        <v/>
      </c>
      <c r="CG55" t="str">
        <f ca="1"/>
        <v/>
      </c>
      <c r="CH55" t="str">
        <f ca="1"/>
        <v/>
      </c>
      <c r="CI55" t="str">
        <f ca="1"/>
        <v/>
      </c>
      <c r="CJ55" t="str">
        <f ca="1"/>
        <v/>
      </c>
      <c r="CK55" t="str">
        <f ca="1"/>
        <v/>
      </c>
      <c r="CL55" t="str">
        <f ca="1"/>
        <v/>
      </c>
      <c r="CM55" t="str">
        <f ca="1"/>
        <v/>
      </c>
      <c r="CN55" t="str">
        <f ca="1"/>
        <v/>
      </c>
      <c r="CO55" t="str">
        <f ca="1"/>
        <v/>
      </c>
      <c r="CP55" t="str">
        <f ca="1"/>
        <v/>
      </c>
      <c r="CQ55" t="str">
        <f ca="1"/>
        <v/>
      </c>
      <c r="CR55" t="str">
        <f ca="1"/>
        <v/>
      </c>
      <c r="CS55" t="str">
        <f ca="1"/>
        <v/>
      </c>
      <c r="CT55" t="str">
        <f ca="1"/>
        <v/>
      </c>
      <c r="CU55" t="str">
        <f ca="1"/>
        <v/>
      </c>
      <c r="CV55" t="str">
        <f ca="1"/>
        <v/>
      </c>
      <c r="CW55" t="str">
        <f ca="1"/>
        <v/>
      </c>
      <c r="CX55" t="str">
        <f ca="1"/>
        <v/>
      </c>
      <c r="CY55" t="str">
        <f ca="1"/>
        <v/>
      </c>
      <c r="CZ55" t="str">
        <f ca="1"/>
        <v/>
      </c>
    </row>
    <row r="56" spans="5:104">
      <c r="E56" s="22" t="str">
        <f ca="1"/>
        <v/>
      </c>
      <c r="F56" s="22" t="str">
        <f ca="1"/>
        <v/>
      </c>
      <c r="G56" s="22" t="str">
        <f ca="1"/>
        <v/>
      </c>
      <c r="H56" s="22" t="str">
        <f ca="1"/>
        <v/>
      </c>
      <c r="I56" s="22" t="str">
        <f ca="1"/>
        <v/>
      </c>
      <c r="J56" s="22" t="str">
        <f ca="1"/>
        <v/>
      </c>
      <c r="K56" s="22" t="str">
        <f ca="1"/>
        <v/>
      </c>
      <c r="L56" s="22" t="str">
        <f ca="1"/>
        <v/>
      </c>
      <c r="M56" s="22" t="str">
        <f ca="1"/>
        <v/>
      </c>
      <c r="N56" s="22" t="str">
        <f ca="1"/>
        <v/>
      </c>
      <c r="O56" s="22" t="str">
        <f ca="1"/>
        <v/>
      </c>
      <c r="P56" s="22" t="str">
        <f ca="1"/>
        <v/>
      </c>
      <c r="Q56" t="str">
        <f ca="1"/>
        <v/>
      </c>
      <c r="R56" t="str">
        <f ca="1"/>
        <v/>
      </c>
      <c r="S56" t="str">
        <f ca="1"/>
        <v/>
      </c>
      <c r="T56" t="str">
        <f ca="1"/>
        <v/>
      </c>
      <c r="U56" t="str">
        <f ca="1"/>
        <v/>
      </c>
      <c r="V56" t="str">
        <f ca="1"/>
        <v/>
      </c>
      <c r="W56" t="str">
        <f ca="1"/>
        <v/>
      </c>
      <c r="X56" t="str">
        <f ca="1"/>
        <v/>
      </c>
      <c r="Y56" t="str">
        <f ca="1"/>
        <v/>
      </c>
      <c r="Z56" t="str">
        <f ca="1"/>
        <v/>
      </c>
      <c r="AA56" t="str">
        <f ca="1"/>
        <v/>
      </c>
      <c r="AB56" t="str">
        <f ca="1"/>
        <v/>
      </c>
      <c r="AC56" t="str">
        <f ca="1"/>
        <v/>
      </c>
      <c r="AD56" t="str">
        <f ca="1"/>
        <v/>
      </c>
      <c r="AE56" t="str">
        <f ca="1"/>
        <v/>
      </c>
      <c r="AF56" t="str">
        <f ca="1"/>
        <v/>
      </c>
      <c r="AG56" t="str">
        <f ca="1"/>
        <v/>
      </c>
      <c r="AH56" t="str">
        <f ca="1"/>
        <v/>
      </c>
      <c r="AI56" t="str">
        <f ca="1"/>
        <v/>
      </c>
      <c r="AJ56" t="str">
        <f ca="1"/>
        <v/>
      </c>
      <c r="AK56" t="str">
        <f ca="1"/>
        <v/>
      </c>
      <c r="AL56" t="str">
        <f ca="1"/>
        <v/>
      </c>
      <c r="AM56" t="str">
        <f ca="1"/>
        <v/>
      </c>
      <c r="AN56" t="str">
        <f ca="1"/>
        <v/>
      </c>
      <c r="AO56" t="str">
        <f ca="1"/>
        <v/>
      </c>
      <c r="AP56" t="str">
        <f ca="1"/>
        <v/>
      </c>
      <c r="AQ56" t="str">
        <f ca="1"/>
        <v/>
      </c>
      <c r="AR56" t="str">
        <f ca="1"/>
        <v/>
      </c>
      <c r="AS56" t="str">
        <f ca="1"/>
        <v/>
      </c>
      <c r="AT56" t="str">
        <f ca="1"/>
        <v/>
      </c>
      <c r="AU56" t="str">
        <f ca="1"/>
        <v/>
      </c>
      <c r="AV56" t="str">
        <f ca="1"/>
        <v/>
      </c>
      <c r="AW56" t="str">
        <f ca="1"/>
        <v/>
      </c>
      <c r="AX56" t="str">
        <f ca="1"/>
        <v/>
      </c>
      <c r="AY56" t="str">
        <f ca="1"/>
        <v/>
      </c>
      <c r="AZ56" t="str">
        <f ca="1"/>
        <v/>
      </c>
      <c r="BA56" t="str">
        <f ca="1"/>
        <v/>
      </c>
      <c r="BB56" t="str">
        <f ca="1"/>
        <v/>
      </c>
      <c r="BC56" t="str">
        <f ca="1"/>
        <v/>
      </c>
      <c r="BD56" t="str">
        <f ca="1"/>
        <v/>
      </c>
      <c r="BE56" t="str">
        <f ca="1"/>
        <v/>
      </c>
      <c r="BF56" t="str">
        <f ca="1"/>
        <v/>
      </c>
      <c r="BG56" t="str">
        <f ca="1"/>
        <v/>
      </c>
      <c r="BH56" t="str">
        <f ca="1"/>
        <v/>
      </c>
      <c r="BI56" t="str">
        <f ca="1"/>
        <v/>
      </c>
      <c r="BJ56" t="str">
        <f ca="1"/>
        <v/>
      </c>
      <c r="BK56" t="str">
        <f ca="1"/>
        <v/>
      </c>
      <c r="BL56" t="str">
        <f ca="1"/>
        <v/>
      </c>
      <c r="BM56" t="str">
        <f ca="1"/>
        <v/>
      </c>
      <c r="BN56" t="str">
        <f ca="1"/>
        <v/>
      </c>
      <c r="BO56" t="str">
        <f ca="1"/>
        <v/>
      </c>
      <c r="BP56" t="str">
        <f ca="1"/>
        <v/>
      </c>
      <c r="BQ56" t="str">
        <f ca="1"/>
        <v/>
      </c>
      <c r="BR56" t="str">
        <f ca="1"/>
        <v/>
      </c>
      <c r="BS56" t="str">
        <f ca="1"/>
        <v/>
      </c>
      <c r="BT56" t="str">
        <f ca="1"/>
        <v/>
      </c>
      <c r="BU56" t="str">
        <f ca="1"/>
        <v/>
      </c>
      <c r="BV56" t="str">
        <f ca="1"/>
        <v/>
      </c>
      <c r="BW56" t="str">
        <f ca="1"/>
        <v/>
      </c>
      <c r="BX56" t="str">
        <f ca="1"/>
        <v/>
      </c>
      <c r="BY56" t="str">
        <f ca="1"/>
        <v/>
      </c>
      <c r="BZ56" t="str">
        <f ca="1"/>
        <v/>
      </c>
      <c r="CA56" t="str">
        <f ca="1"/>
        <v/>
      </c>
      <c r="CB56" t="str">
        <f ca="1"/>
        <v/>
      </c>
      <c r="CC56" t="str">
        <f ca="1"/>
        <v/>
      </c>
      <c r="CD56" t="str">
        <f ca="1"/>
        <v/>
      </c>
      <c r="CE56" t="str">
        <f ca="1"/>
        <v/>
      </c>
      <c r="CF56" t="str">
        <f ca="1"/>
        <v/>
      </c>
      <c r="CG56" t="str">
        <f ca="1"/>
        <v/>
      </c>
      <c r="CH56" t="str">
        <f ca="1"/>
        <v/>
      </c>
      <c r="CI56" t="str">
        <f ca="1"/>
        <v/>
      </c>
      <c r="CJ56" t="str">
        <f ca="1"/>
        <v/>
      </c>
      <c r="CK56" t="str">
        <f ca="1"/>
        <v/>
      </c>
      <c r="CL56" t="str">
        <f ca="1"/>
        <v/>
      </c>
      <c r="CM56" t="str">
        <f ca="1"/>
        <v/>
      </c>
      <c r="CN56" t="str">
        <f ca="1"/>
        <v/>
      </c>
      <c r="CO56" t="str">
        <f ca="1"/>
        <v/>
      </c>
      <c r="CP56" t="str">
        <f ca="1"/>
        <v/>
      </c>
      <c r="CQ56" t="str">
        <f ca="1"/>
        <v/>
      </c>
      <c r="CR56" t="str">
        <f ca="1"/>
        <v/>
      </c>
      <c r="CS56" t="str">
        <f ca="1"/>
        <v/>
      </c>
      <c r="CT56" t="str">
        <f ca="1"/>
        <v/>
      </c>
      <c r="CU56" t="str">
        <f ca="1"/>
        <v/>
      </c>
      <c r="CV56" t="str">
        <f ca="1"/>
        <v/>
      </c>
      <c r="CW56" t="str">
        <f ca="1"/>
        <v/>
      </c>
      <c r="CX56" t="str">
        <f ca="1"/>
        <v/>
      </c>
      <c r="CY56" t="str">
        <f ca="1"/>
        <v/>
      </c>
      <c r="CZ56" t="str">
        <f ca="1"/>
        <v/>
      </c>
    </row>
    <row r="57" spans="5:104">
      <c r="E57" s="22" t="str">
        <f ca="1"/>
        <v/>
      </c>
      <c r="F57" s="22" t="str">
        <f ca="1"/>
        <v/>
      </c>
      <c r="G57" s="22" t="str">
        <f ca="1"/>
        <v/>
      </c>
      <c r="H57" s="22" t="str">
        <f ca="1"/>
        <v/>
      </c>
      <c r="I57" s="22" t="str">
        <f ca="1"/>
        <v/>
      </c>
      <c r="J57" s="22" t="str">
        <f ca="1"/>
        <v/>
      </c>
      <c r="K57" s="22" t="str">
        <f ca="1"/>
        <v/>
      </c>
      <c r="L57" s="22" t="str">
        <f ca="1"/>
        <v/>
      </c>
      <c r="M57" s="22" t="str">
        <f ca="1"/>
        <v/>
      </c>
      <c r="N57" s="22" t="str">
        <f ca="1"/>
        <v/>
      </c>
      <c r="O57" s="22" t="str">
        <f ca="1"/>
        <v/>
      </c>
      <c r="P57" s="22" t="str">
        <f ca="1"/>
        <v/>
      </c>
      <c r="Q57" t="str">
        <f ca="1"/>
        <v/>
      </c>
      <c r="R57" t="str">
        <f ca="1"/>
        <v/>
      </c>
      <c r="S57" t="str">
        <f ca="1"/>
        <v/>
      </c>
      <c r="T57" t="str">
        <f ca="1"/>
        <v/>
      </c>
      <c r="U57" t="str">
        <f ca="1"/>
        <v/>
      </c>
      <c r="V57" t="str">
        <f ca="1"/>
        <v/>
      </c>
      <c r="W57" t="str">
        <f ca="1"/>
        <v/>
      </c>
      <c r="X57" t="str">
        <f ca="1"/>
        <v/>
      </c>
      <c r="Y57" t="str">
        <f ca="1"/>
        <v/>
      </c>
      <c r="Z57" t="str">
        <f ca="1"/>
        <v/>
      </c>
      <c r="AA57" t="str">
        <f ca="1"/>
        <v/>
      </c>
      <c r="AB57" t="str">
        <f ca="1"/>
        <v/>
      </c>
      <c r="AC57" t="str">
        <f ca="1"/>
        <v/>
      </c>
      <c r="AD57" t="str">
        <f ca="1"/>
        <v/>
      </c>
      <c r="AE57" t="str">
        <f ca="1"/>
        <v/>
      </c>
      <c r="AF57" t="str">
        <f ca="1"/>
        <v/>
      </c>
      <c r="AG57" t="str">
        <f ca="1"/>
        <v/>
      </c>
      <c r="AH57" t="str">
        <f ca="1"/>
        <v/>
      </c>
      <c r="AI57" t="str">
        <f ca="1"/>
        <v/>
      </c>
      <c r="AJ57" t="str">
        <f ca="1"/>
        <v/>
      </c>
      <c r="AK57" t="str">
        <f ca="1"/>
        <v/>
      </c>
      <c r="AL57" t="str">
        <f ca="1"/>
        <v/>
      </c>
      <c r="AM57" t="str">
        <f ca="1"/>
        <v/>
      </c>
      <c r="AN57" t="str">
        <f ca="1"/>
        <v/>
      </c>
      <c r="AO57" t="str">
        <f ca="1"/>
        <v/>
      </c>
      <c r="AP57" t="str">
        <f ca="1"/>
        <v/>
      </c>
      <c r="AQ57" t="str">
        <f ca="1"/>
        <v/>
      </c>
      <c r="AR57" t="str">
        <f ca="1"/>
        <v/>
      </c>
      <c r="AS57" t="str">
        <f ca="1"/>
        <v/>
      </c>
      <c r="AT57" t="str">
        <f ca="1"/>
        <v/>
      </c>
      <c r="AU57" t="str">
        <f ca="1"/>
        <v/>
      </c>
      <c r="AV57" t="str">
        <f ca="1"/>
        <v/>
      </c>
      <c r="AW57" t="str">
        <f ca="1"/>
        <v/>
      </c>
      <c r="AX57" t="str">
        <f ca="1"/>
        <v/>
      </c>
      <c r="AY57" t="str">
        <f ca="1"/>
        <v/>
      </c>
      <c r="AZ57" t="str">
        <f ca="1"/>
        <v/>
      </c>
      <c r="BA57" t="str">
        <f ca="1"/>
        <v/>
      </c>
      <c r="BB57" t="str">
        <f ca="1"/>
        <v/>
      </c>
      <c r="BC57" t="str">
        <f ca="1"/>
        <v/>
      </c>
      <c r="BD57" t="str">
        <f ca="1"/>
        <v/>
      </c>
      <c r="BE57" t="str">
        <f ca="1"/>
        <v/>
      </c>
      <c r="BF57" t="str">
        <f ca="1"/>
        <v/>
      </c>
      <c r="BG57" t="str">
        <f ca="1"/>
        <v/>
      </c>
      <c r="BH57" t="str">
        <f ca="1"/>
        <v/>
      </c>
      <c r="BI57" t="str">
        <f ca="1"/>
        <v/>
      </c>
      <c r="BJ57" t="str">
        <f ca="1"/>
        <v/>
      </c>
      <c r="BK57" t="str">
        <f ca="1"/>
        <v/>
      </c>
      <c r="BL57" t="str">
        <f ca="1"/>
        <v/>
      </c>
      <c r="BM57" t="str">
        <f ca="1"/>
        <v/>
      </c>
      <c r="BN57" t="str">
        <f ca="1"/>
        <v/>
      </c>
      <c r="BO57" t="str">
        <f ca="1"/>
        <v/>
      </c>
      <c r="BP57" t="str">
        <f ca="1"/>
        <v/>
      </c>
      <c r="BQ57" t="str">
        <f ca="1"/>
        <v/>
      </c>
      <c r="BR57" t="str">
        <f ca="1"/>
        <v/>
      </c>
      <c r="BS57" t="str">
        <f ca="1"/>
        <v/>
      </c>
      <c r="BT57" t="str">
        <f ca="1"/>
        <v/>
      </c>
      <c r="BU57" t="str">
        <f ca="1"/>
        <v/>
      </c>
      <c r="BV57" t="str">
        <f ca="1"/>
        <v/>
      </c>
      <c r="BW57" t="str">
        <f ca="1"/>
        <v/>
      </c>
      <c r="BX57" t="str">
        <f ca="1"/>
        <v/>
      </c>
      <c r="BY57" t="str">
        <f ca="1"/>
        <v/>
      </c>
      <c r="BZ57" t="str">
        <f ca="1"/>
        <v/>
      </c>
      <c r="CA57" t="str">
        <f ca="1"/>
        <v/>
      </c>
      <c r="CB57" t="str">
        <f ca="1"/>
        <v/>
      </c>
      <c r="CC57" t="str">
        <f ca="1"/>
        <v/>
      </c>
      <c r="CD57" t="str">
        <f ca="1"/>
        <v/>
      </c>
      <c r="CE57" t="str">
        <f ca="1"/>
        <v/>
      </c>
      <c r="CF57" t="str">
        <f ca="1"/>
        <v/>
      </c>
      <c r="CG57" t="str">
        <f ca="1"/>
        <v/>
      </c>
      <c r="CH57" t="str">
        <f ca="1"/>
        <v/>
      </c>
      <c r="CI57" t="str">
        <f ca="1"/>
        <v/>
      </c>
      <c r="CJ57" t="str">
        <f ca="1"/>
        <v/>
      </c>
      <c r="CK57" t="str">
        <f ca="1"/>
        <v/>
      </c>
      <c r="CL57" t="str">
        <f ca="1"/>
        <v/>
      </c>
      <c r="CM57" t="str">
        <f ca="1"/>
        <v/>
      </c>
      <c r="CN57" t="str">
        <f ca="1"/>
        <v/>
      </c>
      <c r="CO57" t="str">
        <f ca="1"/>
        <v/>
      </c>
      <c r="CP57" t="str">
        <f ca="1"/>
        <v/>
      </c>
      <c r="CQ57" t="str">
        <f ca="1"/>
        <v/>
      </c>
      <c r="CR57" t="str">
        <f ca="1"/>
        <v/>
      </c>
      <c r="CS57" t="str">
        <f ca="1"/>
        <v/>
      </c>
      <c r="CT57" t="str">
        <f ca="1"/>
        <v/>
      </c>
      <c r="CU57" t="str">
        <f ca="1"/>
        <v/>
      </c>
      <c r="CV57" t="str">
        <f ca="1"/>
        <v/>
      </c>
      <c r="CW57" t="str">
        <f ca="1"/>
        <v/>
      </c>
      <c r="CX57" t="str">
        <f ca="1"/>
        <v/>
      </c>
      <c r="CY57" t="str">
        <f ca="1"/>
        <v/>
      </c>
      <c r="CZ57" t="str">
        <f ca="1"/>
        <v/>
      </c>
    </row>
    <row r="58" spans="5:104">
      <c r="E58" s="22" t="str">
        <f ca="1"/>
        <v/>
      </c>
      <c r="F58" s="22" t="str">
        <f ca="1"/>
        <v/>
      </c>
      <c r="G58" s="22" t="str">
        <f ca="1"/>
        <v/>
      </c>
      <c r="H58" s="22" t="str">
        <f ca="1"/>
        <v/>
      </c>
      <c r="I58" s="22" t="str">
        <f ca="1"/>
        <v/>
      </c>
      <c r="J58" s="22" t="str">
        <f ca="1"/>
        <v/>
      </c>
      <c r="K58" s="22" t="str">
        <f ca="1"/>
        <v/>
      </c>
      <c r="L58" s="22" t="str">
        <f ca="1"/>
        <v/>
      </c>
      <c r="M58" s="22" t="str">
        <f ca="1"/>
        <v/>
      </c>
      <c r="N58" s="22" t="str">
        <f ca="1"/>
        <v/>
      </c>
      <c r="O58" s="22" t="str">
        <f ca="1"/>
        <v/>
      </c>
      <c r="P58" s="22" t="str">
        <f ca="1"/>
        <v/>
      </c>
      <c r="Q58" t="str">
        <f ca="1"/>
        <v/>
      </c>
      <c r="R58" t="str">
        <f ca="1"/>
        <v/>
      </c>
      <c r="S58" t="str">
        <f ca="1"/>
        <v/>
      </c>
      <c r="T58" t="str">
        <f ca="1"/>
        <v/>
      </c>
      <c r="U58" t="str">
        <f ca="1"/>
        <v/>
      </c>
      <c r="V58" t="str">
        <f ca="1"/>
        <v/>
      </c>
      <c r="W58" t="str">
        <f ca="1"/>
        <v/>
      </c>
      <c r="X58" t="str">
        <f ca="1"/>
        <v/>
      </c>
      <c r="Y58" t="str">
        <f ca="1"/>
        <v/>
      </c>
      <c r="Z58" t="str">
        <f ca="1"/>
        <v/>
      </c>
      <c r="AA58" t="str">
        <f ca="1"/>
        <v/>
      </c>
      <c r="AB58" t="str">
        <f ca="1"/>
        <v/>
      </c>
      <c r="AC58" t="str">
        <f ca="1"/>
        <v/>
      </c>
      <c r="AD58" t="str">
        <f ca="1"/>
        <v/>
      </c>
      <c r="AE58" t="str">
        <f ca="1"/>
        <v/>
      </c>
      <c r="AF58" t="str">
        <f ca="1"/>
        <v/>
      </c>
      <c r="AG58" t="str">
        <f ca="1"/>
        <v/>
      </c>
      <c r="AH58" t="str">
        <f ca="1"/>
        <v/>
      </c>
      <c r="AI58" t="str">
        <f ca="1"/>
        <v/>
      </c>
      <c r="AJ58" t="str">
        <f ca="1"/>
        <v/>
      </c>
      <c r="AK58" t="str">
        <f ca="1"/>
        <v/>
      </c>
      <c r="AL58" t="str">
        <f ca="1"/>
        <v/>
      </c>
      <c r="AM58" t="str">
        <f ca="1"/>
        <v/>
      </c>
      <c r="AN58" t="str">
        <f ca="1"/>
        <v/>
      </c>
      <c r="AO58" t="str">
        <f ca="1"/>
        <v/>
      </c>
      <c r="AP58" t="str">
        <f ca="1"/>
        <v/>
      </c>
      <c r="AQ58" t="str">
        <f ca="1"/>
        <v/>
      </c>
      <c r="AR58" t="str">
        <f ca="1"/>
        <v/>
      </c>
      <c r="AS58" t="str">
        <f ca="1"/>
        <v/>
      </c>
      <c r="AT58" t="str">
        <f ca="1"/>
        <v/>
      </c>
      <c r="AU58" t="str">
        <f ca="1"/>
        <v/>
      </c>
      <c r="AV58" t="str">
        <f ca="1"/>
        <v/>
      </c>
      <c r="AW58" t="str">
        <f ca="1"/>
        <v/>
      </c>
      <c r="AX58" t="str">
        <f ca="1"/>
        <v/>
      </c>
      <c r="AY58" t="str">
        <f ca="1"/>
        <v/>
      </c>
      <c r="AZ58" t="str">
        <f ca="1"/>
        <v/>
      </c>
      <c r="BA58" t="str">
        <f ca="1"/>
        <v/>
      </c>
      <c r="BB58" t="str">
        <f ca="1"/>
        <v/>
      </c>
      <c r="BC58" t="str">
        <f ca="1"/>
        <v/>
      </c>
      <c r="BD58" t="str">
        <f ca="1"/>
        <v/>
      </c>
      <c r="BE58" t="str">
        <f ca="1"/>
        <v/>
      </c>
      <c r="BF58" t="str">
        <f ca="1"/>
        <v/>
      </c>
      <c r="BG58" t="str">
        <f ca="1"/>
        <v/>
      </c>
      <c r="BH58" t="str">
        <f ca="1"/>
        <v/>
      </c>
      <c r="BI58" t="str">
        <f ca="1"/>
        <v/>
      </c>
      <c r="BJ58" t="str">
        <f ca="1"/>
        <v/>
      </c>
      <c r="BK58" t="str">
        <f ca="1"/>
        <v/>
      </c>
      <c r="BL58" t="str">
        <f ca="1"/>
        <v/>
      </c>
      <c r="BM58" t="str">
        <f ca="1"/>
        <v/>
      </c>
      <c r="BN58" t="str">
        <f ca="1"/>
        <v/>
      </c>
      <c r="BO58" t="str">
        <f ca="1"/>
        <v/>
      </c>
      <c r="BP58" t="str">
        <f ca="1"/>
        <v/>
      </c>
      <c r="BQ58" t="str">
        <f ca="1"/>
        <v/>
      </c>
      <c r="BR58" t="str">
        <f ca="1"/>
        <v/>
      </c>
      <c r="BS58" t="str">
        <f ca="1"/>
        <v/>
      </c>
      <c r="BT58" t="str">
        <f ca="1"/>
        <v/>
      </c>
      <c r="BU58" t="str">
        <f ca="1"/>
        <v/>
      </c>
      <c r="BV58" t="str">
        <f ca="1"/>
        <v/>
      </c>
      <c r="BW58" t="str">
        <f ca="1"/>
        <v/>
      </c>
      <c r="BX58" t="str">
        <f ca="1"/>
        <v/>
      </c>
      <c r="BY58" t="str">
        <f ca="1"/>
        <v/>
      </c>
      <c r="BZ58" t="str">
        <f ca="1"/>
        <v/>
      </c>
      <c r="CA58" t="str">
        <f ca="1"/>
        <v/>
      </c>
      <c r="CB58" t="str">
        <f ca="1"/>
        <v/>
      </c>
      <c r="CC58" t="str">
        <f ca="1"/>
        <v/>
      </c>
      <c r="CD58" t="str">
        <f ca="1"/>
        <v/>
      </c>
      <c r="CE58" t="str">
        <f ca="1"/>
        <v/>
      </c>
      <c r="CF58" t="str">
        <f ca="1"/>
        <v/>
      </c>
      <c r="CG58" t="str">
        <f ca="1"/>
        <v/>
      </c>
      <c r="CH58" t="str">
        <f ca="1"/>
        <v/>
      </c>
      <c r="CI58" t="str">
        <f ca="1"/>
        <v/>
      </c>
      <c r="CJ58" t="str">
        <f ca="1"/>
        <v/>
      </c>
      <c r="CK58" t="str">
        <f ca="1"/>
        <v/>
      </c>
      <c r="CL58" t="str">
        <f ca="1"/>
        <v/>
      </c>
      <c r="CM58" t="str">
        <f ca="1"/>
        <v/>
      </c>
      <c r="CN58" t="str">
        <f ca="1"/>
        <v/>
      </c>
      <c r="CO58" t="str">
        <f ca="1"/>
        <v/>
      </c>
      <c r="CP58" t="str">
        <f ca="1"/>
        <v/>
      </c>
      <c r="CQ58" t="str">
        <f ca="1"/>
        <v/>
      </c>
      <c r="CR58" t="str">
        <f ca="1"/>
        <v/>
      </c>
      <c r="CS58" t="str">
        <f ca="1"/>
        <v/>
      </c>
      <c r="CT58" t="str">
        <f ca="1"/>
        <v/>
      </c>
      <c r="CU58" t="str">
        <f ca="1"/>
        <v/>
      </c>
      <c r="CV58" t="str">
        <f ca="1"/>
        <v/>
      </c>
      <c r="CW58" t="str">
        <f ca="1"/>
        <v/>
      </c>
      <c r="CX58" t="str">
        <f ca="1"/>
        <v/>
      </c>
      <c r="CY58" t="str">
        <f ca="1"/>
        <v/>
      </c>
      <c r="CZ58" t="str">
        <f ca="1"/>
        <v/>
      </c>
    </row>
    <row r="59" spans="5:104">
      <c r="E59" s="22" t="str">
        <f ca="1"/>
        <v/>
      </c>
      <c r="F59" s="22" t="str">
        <f ca="1"/>
        <v/>
      </c>
      <c r="G59" s="22" t="str">
        <f ca="1"/>
        <v/>
      </c>
      <c r="H59" s="22" t="str">
        <f ca="1"/>
        <v/>
      </c>
      <c r="I59" s="22" t="str">
        <f ca="1"/>
        <v/>
      </c>
      <c r="J59" s="22" t="str">
        <f ca="1"/>
        <v/>
      </c>
      <c r="K59" s="22" t="str">
        <f ca="1"/>
        <v/>
      </c>
      <c r="L59" s="22" t="str">
        <f ca="1"/>
        <v/>
      </c>
      <c r="M59" s="22" t="str">
        <f ca="1"/>
        <v/>
      </c>
      <c r="N59" s="22" t="str">
        <f ca="1"/>
        <v/>
      </c>
      <c r="O59" s="22" t="str">
        <f ca="1"/>
        <v/>
      </c>
      <c r="P59" s="22" t="str">
        <f ca="1"/>
        <v/>
      </c>
      <c r="Q59" t="str">
        <f ca="1"/>
        <v/>
      </c>
      <c r="R59" t="str">
        <f ca="1"/>
        <v/>
      </c>
      <c r="S59" t="str">
        <f ca="1"/>
        <v/>
      </c>
      <c r="T59" t="str">
        <f ca="1"/>
        <v/>
      </c>
      <c r="U59" t="str">
        <f ca="1"/>
        <v/>
      </c>
      <c r="V59" t="str">
        <f ca="1"/>
        <v/>
      </c>
      <c r="W59" t="str">
        <f ca="1"/>
        <v/>
      </c>
      <c r="X59" t="str">
        <f ca="1"/>
        <v/>
      </c>
      <c r="Y59" t="str">
        <f ca="1"/>
        <v/>
      </c>
      <c r="Z59" t="str">
        <f ca="1"/>
        <v/>
      </c>
      <c r="AA59" t="str">
        <f ca="1"/>
        <v/>
      </c>
      <c r="AB59" t="str">
        <f ca="1"/>
        <v/>
      </c>
      <c r="AC59" t="str">
        <f ca="1"/>
        <v/>
      </c>
      <c r="AD59" t="str">
        <f ca="1"/>
        <v/>
      </c>
      <c r="AE59" t="str">
        <f ca="1"/>
        <v/>
      </c>
      <c r="AF59" t="str">
        <f ca="1"/>
        <v/>
      </c>
      <c r="AG59" t="str">
        <f ca="1"/>
        <v/>
      </c>
      <c r="AH59" t="str">
        <f ca="1"/>
        <v/>
      </c>
      <c r="AI59" t="str">
        <f ca="1"/>
        <v/>
      </c>
      <c r="AJ59" t="str">
        <f ca="1"/>
        <v/>
      </c>
      <c r="AK59" t="str">
        <f ca="1"/>
        <v/>
      </c>
      <c r="AL59" t="str">
        <f ca="1"/>
        <v/>
      </c>
      <c r="AM59" t="str">
        <f ca="1"/>
        <v/>
      </c>
      <c r="AN59" t="str">
        <f ca="1"/>
        <v/>
      </c>
      <c r="AO59" t="str">
        <f ca="1"/>
        <v/>
      </c>
      <c r="AP59" t="str">
        <f ca="1"/>
        <v/>
      </c>
      <c r="AQ59" t="str">
        <f ca="1"/>
        <v/>
      </c>
      <c r="AR59" t="str">
        <f ca="1"/>
        <v/>
      </c>
      <c r="AS59" t="str">
        <f ca="1"/>
        <v/>
      </c>
      <c r="AT59" t="str">
        <f ca="1"/>
        <v/>
      </c>
      <c r="AU59" t="str">
        <f ca="1"/>
        <v/>
      </c>
      <c r="AV59" t="str">
        <f ca="1"/>
        <v/>
      </c>
      <c r="AW59" t="str">
        <f ca="1"/>
        <v/>
      </c>
      <c r="AX59" t="str">
        <f ca="1"/>
        <v/>
      </c>
      <c r="AY59" t="str">
        <f ca="1"/>
        <v/>
      </c>
      <c r="AZ59" t="str">
        <f ca="1"/>
        <v/>
      </c>
      <c r="BA59" t="str">
        <f ca="1"/>
        <v/>
      </c>
      <c r="BB59" t="str">
        <f ca="1"/>
        <v/>
      </c>
      <c r="BC59" t="str">
        <f ca="1"/>
        <v/>
      </c>
      <c r="BD59" t="str">
        <f ca="1"/>
        <v/>
      </c>
      <c r="BE59" t="str">
        <f ca="1"/>
        <v/>
      </c>
      <c r="BF59" t="str">
        <f ca="1"/>
        <v/>
      </c>
      <c r="BG59" t="str">
        <f ca="1"/>
        <v/>
      </c>
      <c r="BH59" t="str">
        <f ca="1"/>
        <v/>
      </c>
      <c r="BI59" t="str">
        <f ca="1"/>
        <v/>
      </c>
      <c r="BJ59" t="str">
        <f ca="1"/>
        <v/>
      </c>
      <c r="BK59" t="str">
        <f ca="1"/>
        <v/>
      </c>
      <c r="BL59" t="str">
        <f ca="1"/>
        <v/>
      </c>
      <c r="BM59" t="str">
        <f ca="1"/>
        <v/>
      </c>
      <c r="BN59" t="str">
        <f ca="1"/>
        <v/>
      </c>
      <c r="BO59" t="str">
        <f ca="1"/>
        <v/>
      </c>
      <c r="BP59" t="str">
        <f ca="1"/>
        <v/>
      </c>
      <c r="BQ59" t="str">
        <f ca="1"/>
        <v/>
      </c>
      <c r="BR59" t="str">
        <f ca="1"/>
        <v/>
      </c>
      <c r="BS59" t="str">
        <f ca="1"/>
        <v/>
      </c>
      <c r="BT59" t="str">
        <f ca="1"/>
        <v/>
      </c>
      <c r="BU59" t="str">
        <f ca="1"/>
        <v/>
      </c>
      <c r="BV59" t="str">
        <f ca="1"/>
        <v/>
      </c>
      <c r="BW59" t="str">
        <f ca="1"/>
        <v/>
      </c>
      <c r="BX59" t="str">
        <f ca="1"/>
        <v/>
      </c>
      <c r="BY59" t="str">
        <f ca="1"/>
        <v/>
      </c>
      <c r="BZ59" t="str">
        <f ca="1"/>
        <v/>
      </c>
      <c r="CA59" t="str">
        <f ca="1"/>
        <v/>
      </c>
      <c r="CB59" t="str">
        <f ca="1"/>
        <v/>
      </c>
      <c r="CC59" t="str">
        <f ca="1"/>
        <v/>
      </c>
      <c r="CD59" t="str">
        <f ca="1"/>
        <v/>
      </c>
      <c r="CE59" t="str">
        <f ca="1"/>
        <v/>
      </c>
      <c r="CF59" t="str">
        <f ca="1"/>
        <v/>
      </c>
      <c r="CG59" t="str">
        <f ca="1"/>
        <v/>
      </c>
      <c r="CH59" t="str">
        <f ca="1"/>
        <v/>
      </c>
      <c r="CI59" t="str">
        <f ca="1"/>
        <v/>
      </c>
      <c r="CJ59" t="str">
        <f ca="1"/>
        <v/>
      </c>
      <c r="CK59" t="str">
        <f ca="1"/>
        <v/>
      </c>
      <c r="CL59" t="str">
        <f ca="1"/>
        <v/>
      </c>
      <c r="CM59" t="str">
        <f ca="1"/>
        <v/>
      </c>
      <c r="CN59" t="str">
        <f ca="1"/>
        <v/>
      </c>
      <c r="CO59" t="str">
        <f ca="1"/>
        <v/>
      </c>
      <c r="CP59" t="str">
        <f ca="1"/>
        <v/>
      </c>
      <c r="CQ59" t="str">
        <f ca="1"/>
        <v/>
      </c>
      <c r="CR59" t="str">
        <f ca="1"/>
        <v/>
      </c>
      <c r="CS59" t="str">
        <f ca="1"/>
        <v/>
      </c>
      <c r="CT59" t="str">
        <f ca="1"/>
        <v/>
      </c>
      <c r="CU59" t="str">
        <f ca="1"/>
        <v/>
      </c>
      <c r="CV59" t="str">
        <f ca="1"/>
        <v/>
      </c>
      <c r="CW59" t="str">
        <f ca="1"/>
        <v/>
      </c>
      <c r="CX59" t="str">
        <f ca="1"/>
        <v/>
      </c>
      <c r="CY59" t="str">
        <f ca="1"/>
        <v/>
      </c>
      <c r="CZ59" t="str">
        <f ca="1"/>
        <v/>
      </c>
    </row>
    <row r="60" spans="5:104">
      <c r="E60" s="22" t="str">
        <f ca="1"/>
        <v/>
      </c>
      <c r="F60" s="22" t="str">
        <f ca="1"/>
        <v/>
      </c>
      <c r="G60" s="22" t="str">
        <f ca="1"/>
        <v/>
      </c>
      <c r="H60" s="22" t="str">
        <f ca="1"/>
        <v/>
      </c>
      <c r="I60" s="22" t="str">
        <f ca="1"/>
        <v/>
      </c>
      <c r="J60" s="22" t="str">
        <f ca="1"/>
        <v/>
      </c>
      <c r="K60" s="22" t="str">
        <f ca="1"/>
        <v/>
      </c>
      <c r="L60" s="22" t="str">
        <f ca="1"/>
        <v/>
      </c>
      <c r="M60" s="22" t="str">
        <f ca="1"/>
        <v/>
      </c>
      <c r="N60" s="22" t="str">
        <f ca="1"/>
        <v/>
      </c>
      <c r="O60" s="22" t="str">
        <f ca="1"/>
        <v/>
      </c>
      <c r="P60" s="22" t="str">
        <f ca="1"/>
        <v/>
      </c>
      <c r="Q60" t="str">
        <f ca="1"/>
        <v/>
      </c>
      <c r="R60" t="str">
        <f ca="1"/>
        <v/>
      </c>
      <c r="S60" t="str">
        <f ca="1"/>
        <v/>
      </c>
      <c r="T60" t="str">
        <f ca="1"/>
        <v/>
      </c>
      <c r="U60" t="str">
        <f ca="1"/>
        <v/>
      </c>
      <c r="V60" t="str">
        <f ca="1"/>
        <v/>
      </c>
      <c r="W60" t="str">
        <f ca="1"/>
        <v/>
      </c>
      <c r="X60" t="str">
        <f ca="1"/>
        <v/>
      </c>
      <c r="Y60" t="str">
        <f ca="1"/>
        <v/>
      </c>
      <c r="Z60" t="str">
        <f ca="1"/>
        <v/>
      </c>
      <c r="AA60" t="str">
        <f ca="1"/>
        <v/>
      </c>
      <c r="AB60" t="str">
        <f ca="1"/>
        <v/>
      </c>
      <c r="AC60" t="str">
        <f ca="1"/>
        <v/>
      </c>
      <c r="AD60" t="str">
        <f ca="1"/>
        <v/>
      </c>
      <c r="AE60" t="str">
        <f ca="1"/>
        <v/>
      </c>
      <c r="AF60" t="str">
        <f ca="1"/>
        <v/>
      </c>
      <c r="AG60" t="str">
        <f ca="1"/>
        <v/>
      </c>
      <c r="AH60" t="str">
        <f ca="1"/>
        <v/>
      </c>
      <c r="AI60" t="str">
        <f ca="1"/>
        <v/>
      </c>
      <c r="AJ60" t="str">
        <f ca="1"/>
        <v/>
      </c>
      <c r="AK60" t="str">
        <f ca="1"/>
        <v/>
      </c>
      <c r="AL60" t="str">
        <f ca="1"/>
        <v/>
      </c>
      <c r="AM60" t="str">
        <f ca="1"/>
        <v/>
      </c>
      <c r="AN60" t="str">
        <f ca="1"/>
        <v/>
      </c>
      <c r="AO60" t="str">
        <f ca="1"/>
        <v/>
      </c>
      <c r="AP60" t="str">
        <f ca="1"/>
        <v/>
      </c>
      <c r="AQ60" t="str">
        <f ca="1"/>
        <v/>
      </c>
      <c r="AR60" t="str">
        <f ca="1"/>
        <v/>
      </c>
      <c r="AS60" t="str">
        <f ca="1"/>
        <v/>
      </c>
      <c r="AT60" t="str">
        <f ca="1"/>
        <v/>
      </c>
      <c r="AU60" t="str">
        <f ca="1"/>
        <v/>
      </c>
      <c r="AV60" t="str">
        <f ca="1"/>
        <v/>
      </c>
      <c r="AW60" t="str">
        <f ca="1"/>
        <v/>
      </c>
      <c r="AX60" t="str">
        <f ca="1"/>
        <v/>
      </c>
      <c r="AY60" t="str">
        <f ca="1"/>
        <v/>
      </c>
      <c r="AZ60" t="str">
        <f ca="1"/>
        <v/>
      </c>
      <c r="BA60" t="str">
        <f ca="1"/>
        <v/>
      </c>
      <c r="BB60" t="str">
        <f ca="1"/>
        <v/>
      </c>
      <c r="BC60" t="str">
        <f ca="1"/>
        <v/>
      </c>
      <c r="BD60" t="str">
        <f ca="1"/>
        <v/>
      </c>
      <c r="BE60" t="str">
        <f ca="1"/>
        <v/>
      </c>
      <c r="BF60" t="str">
        <f ca="1"/>
        <v/>
      </c>
      <c r="BG60" t="str">
        <f ca="1"/>
        <v/>
      </c>
      <c r="BH60" t="str">
        <f ca="1"/>
        <v/>
      </c>
      <c r="BI60" t="str">
        <f ca="1"/>
        <v/>
      </c>
      <c r="BJ60" t="str">
        <f ca="1"/>
        <v/>
      </c>
      <c r="BK60" t="str">
        <f ca="1"/>
        <v/>
      </c>
      <c r="BL60" t="str">
        <f ca="1"/>
        <v/>
      </c>
      <c r="BM60" t="str">
        <f ca="1"/>
        <v/>
      </c>
      <c r="BN60" t="str">
        <f ca="1"/>
        <v/>
      </c>
      <c r="BO60" t="str">
        <f ca="1"/>
        <v/>
      </c>
      <c r="BP60" t="str">
        <f ca="1"/>
        <v/>
      </c>
      <c r="BQ60" t="str">
        <f ca="1"/>
        <v/>
      </c>
      <c r="BR60" t="str">
        <f ca="1"/>
        <v/>
      </c>
      <c r="BS60" t="str">
        <f ca="1"/>
        <v/>
      </c>
      <c r="BT60" t="str">
        <f ca="1"/>
        <v/>
      </c>
      <c r="BU60" t="str">
        <f ca="1"/>
        <v/>
      </c>
      <c r="BV60" t="str">
        <f ca="1"/>
        <v/>
      </c>
      <c r="BW60" t="str">
        <f ca="1"/>
        <v/>
      </c>
      <c r="BX60" t="str">
        <f ca="1"/>
        <v/>
      </c>
      <c r="BY60" t="str">
        <f ca="1"/>
        <v/>
      </c>
      <c r="BZ60" t="str">
        <f ca="1"/>
        <v/>
      </c>
      <c r="CA60" t="str">
        <f ca="1"/>
        <v/>
      </c>
      <c r="CB60" t="str">
        <f ca="1"/>
        <v/>
      </c>
      <c r="CC60" t="str">
        <f ca="1"/>
        <v/>
      </c>
      <c r="CD60" t="str">
        <f ca="1"/>
        <v/>
      </c>
      <c r="CE60" t="str">
        <f ca="1"/>
        <v/>
      </c>
      <c r="CF60" t="str">
        <f ca="1"/>
        <v/>
      </c>
      <c r="CG60" t="str">
        <f ca="1"/>
        <v/>
      </c>
      <c r="CH60" t="str">
        <f ca="1"/>
        <v/>
      </c>
      <c r="CI60" t="str">
        <f ca="1"/>
        <v/>
      </c>
      <c r="CJ60" t="str">
        <f ca="1"/>
        <v/>
      </c>
      <c r="CK60" t="str">
        <f ca="1"/>
        <v/>
      </c>
      <c r="CL60" t="str">
        <f ca="1"/>
        <v/>
      </c>
      <c r="CM60" t="str">
        <f ca="1"/>
        <v/>
      </c>
      <c r="CN60" t="str">
        <f ca="1"/>
        <v/>
      </c>
      <c r="CO60" t="str">
        <f ca="1"/>
        <v/>
      </c>
      <c r="CP60" t="str">
        <f ca="1"/>
        <v/>
      </c>
      <c r="CQ60" t="str">
        <f ca="1"/>
        <v/>
      </c>
      <c r="CR60" t="str">
        <f ca="1"/>
        <v/>
      </c>
      <c r="CS60" t="str">
        <f ca="1"/>
        <v/>
      </c>
      <c r="CT60" t="str">
        <f ca="1"/>
        <v/>
      </c>
      <c r="CU60" t="str">
        <f ca="1"/>
        <v/>
      </c>
      <c r="CV60" t="str">
        <f ca="1"/>
        <v/>
      </c>
      <c r="CW60" t="str">
        <f ca="1"/>
        <v/>
      </c>
      <c r="CX60" t="str">
        <f ca="1"/>
        <v/>
      </c>
      <c r="CY60" t="str">
        <f ca="1"/>
        <v/>
      </c>
      <c r="CZ60" t="str">
        <f ca="1"/>
        <v/>
      </c>
    </row>
    <row r="61" spans="5:104">
      <c r="E61" s="22" t="str">
        <f ca="1"/>
        <v/>
      </c>
      <c r="F61" s="22" t="str">
        <f ca="1"/>
        <v/>
      </c>
      <c r="G61" s="22" t="str">
        <f ca="1"/>
        <v/>
      </c>
      <c r="H61" s="22" t="str">
        <f ca="1"/>
        <v/>
      </c>
      <c r="I61" s="22" t="str">
        <f ca="1"/>
        <v/>
      </c>
      <c r="J61" s="22" t="str">
        <f ca="1"/>
        <v/>
      </c>
      <c r="K61" s="22" t="str">
        <f ca="1"/>
        <v/>
      </c>
      <c r="L61" s="22" t="str">
        <f ca="1"/>
        <v/>
      </c>
      <c r="M61" s="22" t="str">
        <f ca="1"/>
        <v/>
      </c>
      <c r="N61" s="22" t="str">
        <f ca="1"/>
        <v/>
      </c>
      <c r="O61" s="22" t="str">
        <f ca="1"/>
        <v/>
      </c>
      <c r="P61" s="22" t="str">
        <f ca="1"/>
        <v/>
      </c>
      <c r="Q61" t="str">
        <f ca="1"/>
        <v/>
      </c>
      <c r="R61" t="str">
        <f ca="1"/>
        <v/>
      </c>
      <c r="S61" t="str">
        <f ca="1"/>
        <v/>
      </c>
      <c r="T61" t="str">
        <f ca="1"/>
        <v/>
      </c>
      <c r="U61" t="str">
        <f ca="1"/>
        <v/>
      </c>
      <c r="V61" t="str">
        <f ca="1"/>
        <v/>
      </c>
      <c r="W61" t="str">
        <f ca="1"/>
        <v/>
      </c>
      <c r="X61" t="str">
        <f ca="1"/>
        <v/>
      </c>
      <c r="Y61" t="str">
        <f ca="1"/>
        <v/>
      </c>
      <c r="Z61" t="str">
        <f ca="1"/>
        <v/>
      </c>
      <c r="AA61" t="str">
        <f ca="1"/>
        <v/>
      </c>
      <c r="AB61" t="str">
        <f ca="1"/>
        <v/>
      </c>
      <c r="AC61" t="str">
        <f ca="1"/>
        <v/>
      </c>
      <c r="AD61" t="str">
        <f ca="1"/>
        <v/>
      </c>
      <c r="AE61" t="str">
        <f ca="1"/>
        <v/>
      </c>
      <c r="AF61" t="str">
        <f ca="1"/>
        <v/>
      </c>
      <c r="AG61" t="str">
        <f ca="1"/>
        <v/>
      </c>
      <c r="AH61" t="str">
        <f ca="1"/>
        <v/>
      </c>
      <c r="AI61" t="str">
        <f ca="1"/>
        <v/>
      </c>
      <c r="AJ61" t="str">
        <f ca="1"/>
        <v/>
      </c>
      <c r="AK61" t="str">
        <f ca="1"/>
        <v/>
      </c>
      <c r="AL61" t="str">
        <f ca="1"/>
        <v/>
      </c>
      <c r="AM61" t="str">
        <f ca="1"/>
        <v/>
      </c>
      <c r="AN61" t="str">
        <f ca="1"/>
        <v/>
      </c>
      <c r="AO61" t="str">
        <f ca="1"/>
        <v/>
      </c>
      <c r="AP61" t="str">
        <f ca="1"/>
        <v/>
      </c>
      <c r="AQ61" t="str">
        <f ca="1"/>
        <v/>
      </c>
      <c r="AR61" t="str">
        <f ca="1"/>
        <v/>
      </c>
      <c r="AS61" t="str">
        <f ca="1"/>
        <v/>
      </c>
      <c r="AT61" t="str">
        <f ca="1"/>
        <v/>
      </c>
      <c r="AU61" t="str">
        <f ca="1"/>
        <v/>
      </c>
      <c r="AV61" t="str">
        <f ca="1"/>
        <v/>
      </c>
      <c r="AW61" t="str">
        <f ca="1"/>
        <v/>
      </c>
      <c r="AX61" t="str">
        <f ca="1"/>
        <v/>
      </c>
      <c r="AY61" t="str">
        <f ca="1"/>
        <v/>
      </c>
      <c r="AZ61" t="str">
        <f ca="1"/>
        <v/>
      </c>
      <c r="BA61" t="str">
        <f ca="1"/>
        <v/>
      </c>
      <c r="BB61" t="str">
        <f ca="1"/>
        <v/>
      </c>
      <c r="BC61" t="str">
        <f ca="1"/>
        <v/>
      </c>
      <c r="BD61" t="str">
        <f ca="1"/>
        <v/>
      </c>
      <c r="BE61" t="str">
        <f ca="1"/>
        <v/>
      </c>
      <c r="BF61" t="str">
        <f ca="1"/>
        <v/>
      </c>
      <c r="BG61" t="str">
        <f ca="1"/>
        <v/>
      </c>
      <c r="BH61" t="str">
        <f ca="1"/>
        <v/>
      </c>
      <c r="BI61" t="str">
        <f ca="1"/>
        <v/>
      </c>
      <c r="BJ61" t="str">
        <f ca="1"/>
        <v/>
      </c>
      <c r="BK61" t="str">
        <f ca="1"/>
        <v/>
      </c>
      <c r="BL61" t="str">
        <f ca="1"/>
        <v/>
      </c>
      <c r="BM61" t="str">
        <f ca="1"/>
        <v/>
      </c>
      <c r="BN61" t="str">
        <f ca="1"/>
        <v/>
      </c>
      <c r="BO61" t="str">
        <f ca="1"/>
        <v/>
      </c>
      <c r="BP61" t="str">
        <f ca="1"/>
        <v/>
      </c>
      <c r="BQ61" t="str">
        <f ca="1"/>
        <v/>
      </c>
      <c r="BR61" t="str">
        <f ca="1"/>
        <v/>
      </c>
      <c r="BS61" t="str">
        <f ca="1"/>
        <v/>
      </c>
      <c r="BT61" t="str">
        <f ca="1"/>
        <v/>
      </c>
      <c r="BU61" t="str">
        <f ca="1"/>
        <v/>
      </c>
      <c r="BV61" t="str">
        <f ca="1"/>
        <v/>
      </c>
      <c r="BW61" t="str">
        <f ca="1"/>
        <v/>
      </c>
      <c r="BX61" t="str">
        <f ca="1"/>
        <v/>
      </c>
      <c r="BY61" t="str">
        <f ca="1"/>
        <v/>
      </c>
      <c r="BZ61" t="str">
        <f ca="1"/>
        <v/>
      </c>
      <c r="CA61" t="str">
        <f ca="1"/>
        <v/>
      </c>
      <c r="CB61" t="str">
        <f ca="1"/>
        <v/>
      </c>
      <c r="CC61" t="str">
        <f ca="1"/>
        <v/>
      </c>
      <c r="CD61" t="str">
        <f ca="1"/>
        <v/>
      </c>
      <c r="CE61" t="str">
        <f ca="1"/>
        <v/>
      </c>
      <c r="CF61" t="str">
        <f ca="1"/>
        <v/>
      </c>
      <c r="CG61" t="str">
        <f ca="1"/>
        <v/>
      </c>
      <c r="CH61" t="str">
        <f ca="1"/>
        <v/>
      </c>
      <c r="CI61" t="str">
        <f ca="1"/>
        <v/>
      </c>
      <c r="CJ61" t="str">
        <f ca="1"/>
        <v/>
      </c>
      <c r="CK61" t="str">
        <f ca="1"/>
        <v/>
      </c>
      <c r="CL61" t="str">
        <f ca="1"/>
        <v/>
      </c>
      <c r="CM61" t="str">
        <f ca="1"/>
        <v/>
      </c>
      <c r="CN61" t="str">
        <f ca="1"/>
        <v/>
      </c>
      <c r="CO61" t="str">
        <f ca="1"/>
        <v/>
      </c>
      <c r="CP61" t="str">
        <f ca="1"/>
        <v/>
      </c>
      <c r="CQ61" t="str">
        <f ca="1"/>
        <v/>
      </c>
      <c r="CR61" t="str">
        <f ca="1"/>
        <v/>
      </c>
      <c r="CS61" t="str">
        <f ca="1"/>
        <v/>
      </c>
      <c r="CT61" t="str">
        <f ca="1"/>
        <v/>
      </c>
      <c r="CU61" t="str">
        <f ca="1"/>
        <v/>
      </c>
      <c r="CV61" t="str">
        <f ca="1"/>
        <v/>
      </c>
      <c r="CW61" t="str">
        <f ca="1"/>
        <v/>
      </c>
      <c r="CX61" t="str">
        <f ca="1"/>
        <v/>
      </c>
      <c r="CY61" t="str">
        <f ca="1"/>
        <v/>
      </c>
      <c r="CZ61" t="str">
        <f ca="1"/>
        <v/>
      </c>
    </row>
    <row r="62" spans="5:104">
      <c r="E62" s="22" t="str">
        <f ca="1"/>
        <v/>
      </c>
      <c r="F62" s="22" t="str">
        <f ca="1"/>
        <v/>
      </c>
      <c r="G62" s="22" t="str">
        <f ca="1"/>
        <v/>
      </c>
      <c r="H62" s="22" t="str">
        <f ca="1"/>
        <v/>
      </c>
      <c r="I62" s="22" t="str">
        <f ca="1"/>
        <v/>
      </c>
      <c r="J62" s="22" t="str">
        <f ca="1"/>
        <v/>
      </c>
      <c r="K62" s="22" t="str">
        <f ca="1"/>
        <v/>
      </c>
      <c r="L62" s="22" t="str">
        <f ca="1"/>
        <v/>
      </c>
      <c r="M62" s="22" t="str">
        <f ca="1"/>
        <v/>
      </c>
      <c r="N62" s="22" t="str">
        <f ca="1"/>
        <v/>
      </c>
      <c r="O62" s="22" t="str">
        <f ca="1"/>
        <v/>
      </c>
      <c r="P62" s="22" t="str">
        <f ca="1"/>
        <v/>
      </c>
      <c r="Q62" t="str">
        <f ca="1"/>
        <v/>
      </c>
      <c r="R62" t="str">
        <f ca="1"/>
        <v/>
      </c>
      <c r="S62" t="str">
        <f ca="1"/>
        <v/>
      </c>
      <c r="T62" t="str">
        <f ca="1"/>
        <v/>
      </c>
      <c r="U62" t="str">
        <f ca="1"/>
        <v/>
      </c>
      <c r="V62" t="str">
        <f ca="1"/>
        <v/>
      </c>
      <c r="W62" t="str">
        <f ca="1"/>
        <v/>
      </c>
      <c r="X62" t="str">
        <f ca="1"/>
        <v/>
      </c>
      <c r="Y62" t="str">
        <f ca="1"/>
        <v/>
      </c>
      <c r="Z62" t="str">
        <f ca="1"/>
        <v/>
      </c>
      <c r="AA62" t="str">
        <f ca="1"/>
        <v/>
      </c>
      <c r="AB62" t="str">
        <f ca="1"/>
        <v/>
      </c>
      <c r="AC62" t="str">
        <f ca="1"/>
        <v/>
      </c>
      <c r="AD62" t="str">
        <f ca="1"/>
        <v/>
      </c>
      <c r="AE62" t="str">
        <f ca="1"/>
        <v/>
      </c>
      <c r="AF62" t="str">
        <f ca="1"/>
        <v/>
      </c>
      <c r="AG62" t="str">
        <f ca="1"/>
        <v/>
      </c>
      <c r="AH62" t="str">
        <f ca="1"/>
        <v/>
      </c>
      <c r="AI62" t="str">
        <f ca="1"/>
        <v/>
      </c>
      <c r="AJ62" t="str">
        <f ca="1"/>
        <v/>
      </c>
      <c r="AK62" t="str">
        <f ca="1"/>
        <v/>
      </c>
      <c r="AL62" t="str">
        <f ca="1"/>
        <v/>
      </c>
      <c r="AM62" t="str">
        <f ca="1"/>
        <v/>
      </c>
      <c r="AN62" t="str">
        <f ca="1"/>
        <v/>
      </c>
      <c r="AO62" t="str">
        <f ca="1"/>
        <v/>
      </c>
      <c r="AP62" t="str">
        <f ca="1"/>
        <v/>
      </c>
      <c r="AQ62" t="str">
        <f ca="1"/>
        <v/>
      </c>
      <c r="AR62" t="str">
        <f ca="1"/>
        <v/>
      </c>
      <c r="AS62" t="str">
        <f ca="1"/>
        <v/>
      </c>
      <c r="AT62" t="str">
        <f ca="1"/>
        <v/>
      </c>
      <c r="AU62" t="str">
        <f ca="1"/>
        <v/>
      </c>
      <c r="AV62" t="str">
        <f ca="1"/>
        <v/>
      </c>
      <c r="AW62" t="str">
        <f ca="1"/>
        <v/>
      </c>
      <c r="AX62" t="str">
        <f ca="1"/>
        <v/>
      </c>
      <c r="AY62" t="str">
        <f ca="1"/>
        <v/>
      </c>
      <c r="AZ62" t="str">
        <f ca="1"/>
        <v/>
      </c>
      <c r="BA62" t="str">
        <f ca="1"/>
        <v/>
      </c>
      <c r="BB62" t="str">
        <f ca="1"/>
        <v/>
      </c>
      <c r="BC62" t="str">
        <f ca="1"/>
        <v/>
      </c>
      <c r="BD62" t="str">
        <f ca="1"/>
        <v/>
      </c>
      <c r="BE62" t="str">
        <f ca="1"/>
        <v/>
      </c>
      <c r="BF62" t="str">
        <f ca="1"/>
        <v/>
      </c>
      <c r="BG62" t="str">
        <f ca="1"/>
        <v/>
      </c>
      <c r="BH62" t="str">
        <f ca="1"/>
        <v/>
      </c>
      <c r="BI62" t="str">
        <f ca="1"/>
        <v/>
      </c>
      <c r="BJ62" t="str">
        <f ca="1"/>
        <v/>
      </c>
      <c r="BK62" t="str">
        <f ca="1"/>
        <v/>
      </c>
      <c r="BL62" t="str">
        <f ca="1"/>
        <v/>
      </c>
      <c r="BM62" t="str">
        <f ca="1"/>
        <v/>
      </c>
      <c r="BN62" t="str">
        <f ca="1"/>
        <v/>
      </c>
      <c r="BO62" t="str">
        <f ca="1"/>
        <v/>
      </c>
      <c r="BP62" t="str">
        <f ca="1"/>
        <v/>
      </c>
      <c r="BQ62" t="str">
        <f ca="1"/>
        <v/>
      </c>
      <c r="BR62" t="str">
        <f ca="1"/>
        <v/>
      </c>
      <c r="BS62" t="str">
        <f ca="1"/>
        <v/>
      </c>
      <c r="BT62" t="str">
        <f ca="1"/>
        <v/>
      </c>
      <c r="BU62" t="str">
        <f ca="1"/>
        <v/>
      </c>
      <c r="BV62" t="str">
        <f ca="1"/>
        <v/>
      </c>
      <c r="BW62" t="str">
        <f ca="1"/>
        <v/>
      </c>
      <c r="BX62" t="str">
        <f ca="1"/>
        <v/>
      </c>
      <c r="BY62" t="str">
        <f ca="1"/>
        <v/>
      </c>
      <c r="BZ62" t="str">
        <f ca="1"/>
        <v/>
      </c>
      <c r="CA62" t="str">
        <f ca="1"/>
        <v/>
      </c>
      <c r="CB62" t="str">
        <f ca="1"/>
        <v/>
      </c>
      <c r="CC62" t="str">
        <f ca="1"/>
        <v/>
      </c>
      <c r="CD62" t="str">
        <f ca="1"/>
        <v/>
      </c>
      <c r="CE62" t="str">
        <f ca="1"/>
        <v/>
      </c>
      <c r="CF62" t="str">
        <f ca="1"/>
        <v/>
      </c>
      <c r="CG62" t="str">
        <f ca="1"/>
        <v/>
      </c>
      <c r="CH62" t="str">
        <f ca="1"/>
        <v/>
      </c>
      <c r="CI62" t="str">
        <f ca="1"/>
        <v/>
      </c>
      <c r="CJ62" t="str">
        <f ca="1"/>
        <v/>
      </c>
      <c r="CK62" t="str">
        <f ca="1"/>
        <v/>
      </c>
      <c r="CL62" t="str">
        <f ca="1"/>
        <v/>
      </c>
      <c r="CM62" t="str">
        <f ca="1"/>
        <v/>
      </c>
      <c r="CN62" t="str">
        <f ca="1"/>
        <v/>
      </c>
      <c r="CO62" t="str">
        <f ca="1"/>
        <v/>
      </c>
      <c r="CP62" t="str">
        <f ca="1"/>
        <v/>
      </c>
      <c r="CQ62" t="str">
        <f ca="1"/>
        <v/>
      </c>
      <c r="CR62" t="str">
        <f ca="1"/>
        <v/>
      </c>
      <c r="CS62" t="str">
        <f ca="1"/>
        <v/>
      </c>
      <c r="CT62" t="str">
        <f ca="1"/>
        <v/>
      </c>
      <c r="CU62" t="str">
        <f ca="1"/>
        <v/>
      </c>
      <c r="CV62" t="str">
        <f ca="1"/>
        <v/>
      </c>
      <c r="CW62" t="str">
        <f ca="1"/>
        <v/>
      </c>
      <c r="CX62" t="str">
        <f ca="1"/>
        <v/>
      </c>
      <c r="CY62" t="str">
        <f ca="1"/>
        <v/>
      </c>
      <c r="CZ62" t="str">
        <f ca="1"/>
        <v/>
      </c>
    </row>
    <row r="63" spans="5:104">
      <c r="E63" s="22" t="str">
        <f ca="1"/>
        <v/>
      </c>
      <c r="F63" s="22" t="str">
        <f ca="1"/>
        <v/>
      </c>
      <c r="G63" s="22" t="str">
        <f ca="1"/>
        <v/>
      </c>
      <c r="H63" s="22" t="str">
        <f ca="1"/>
        <v/>
      </c>
      <c r="I63" s="22" t="str">
        <f ca="1"/>
        <v/>
      </c>
      <c r="J63" s="22" t="str">
        <f ca="1"/>
        <v/>
      </c>
      <c r="K63" s="22" t="str">
        <f ca="1"/>
        <v/>
      </c>
      <c r="L63" s="22" t="str">
        <f ca="1"/>
        <v/>
      </c>
      <c r="M63" s="22" t="str">
        <f ca="1"/>
        <v/>
      </c>
      <c r="N63" s="22" t="str">
        <f ca="1"/>
        <v/>
      </c>
      <c r="O63" s="22" t="str">
        <f ca="1"/>
        <v/>
      </c>
      <c r="P63" s="22" t="str">
        <f ca="1"/>
        <v/>
      </c>
      <c r="Q63" t="str">
        <f ca="1"/>
        <v/>
      </c>
      <c r="R63" t="str">
        <f ca="1"/>
        <v/>
      </c>
      <c r="S63" t="str">
        <f ca="1"/>
        <v/>
      </c>
      <c r="T63" t="str">
        <f ca="1"/>
        <v/>
      </c>
      <c r="U63" t="str">
        <f ca="1"/>
        <v/>
      </c>
      <c r="V63" t="str">
        <f ca="1"/>
        <v/>
      </c>
      <c r="W63" t="str">
        <f ca="1"/>
        <v/>
      </c>
      <c r="X63" t="str">
        <f ca="1"/>
        <v/>
      </c>
      <c r="Y63" t="str">
        <f ca="1"/>
        <v/>
      </c>
      <c r="Z63" t="str">
        <f ca="1"/>
        <v/>
      </c>
      <c r="AA63" t="str">
        <f ca="1"/>
        <v/>
      </c>
      <c r="AB63" t="str">
        <f ca="1"/>
        <v/>
      </c>
      <c r="AC63" t="str">
        <f ca="1"/>
        <v/>
      </c>
      <c r="AD63" t="str">
        <f ca="1"/>
        <v/>
      </c>
      <c r="AE63" t="str">
        <f ca="1"/>
        <v/>
      </c>
      <c r="AF63" t="str">
        <f ca="1"/>
        <v/>
      </c>
      <c r="AG63" t="str">
        <f ca="1"/>
        <v/>
      </c>
      <c r="AH63" t="str">
        <f ca="1"/>
        <v/>
      </c>
      <c r="AI63" t="str">
        <f ca="1"/>
        <v/>
      </c>
      <c r="AJ63" t="str">
        <f ca="1"/>
        <v/>
      </c>
      <c r="AK63" t="str">
        <f ca="1"/>
        <v/>
      </c>
      <c r="AL63" t="str">
        <f ca="1"/>
        <v/>
      </c>
      <c r="AM63" t="str">
        <f ca="1"/>
        <v/>
      </c>
      <c r="AN63" t="str">
        <f ca="1"/>
        <v/>
      </c>
      <c r="AO63" t="str">
        <f ca="1"/>
        <v/>
      </c>
      <c r="AP63" t="str">
        <f ca="1"/>
        <v/>
      </c>
      <c r="AQ63" t="str">
        <f ca="1"/>
        <v/>
      </c>
      <c r="AR63" t="str">
        <f ca="1"/>
        <v/>
      </c>
      <c r="AS63" t="str">
        <f ca="1"/>
        <v/>
      </c>
      <c r="AT63" t="str">
        <f ca="1"/>
        <v/>
      </c>
      <c r="AU63" t="str">
        <f ca="1"/>
        <v/>
      </c>
      <c r="AV63" t="str">
        <f ca="1"/>
        <v/>
      </c>
      <c r="AW63" t="str">
        <f ca="1"/>
        <v/>
      </c>
      <c r="AX63" t="str">
        <f ca="1"/>
        <v/>
      </c>
      <c r="AY63" t="str">
        <f ca="1"/>
        <v/>
      </c>
      <c r="AZ63" t="str">
        <f ca="1"/>
        <v/>
      </c>
      <c r="BA63" t="str">
        <f ca="1"/>
        <v/>
      </c>
      <c r="BB63" t="str">
        <f ca="1"/>
        <v/>
      </c>
      <c r="BC63" t="str">
        <f ca="1"/>
        <v/>
      </c>
      <c r="BD63" t="str">
        <f ca="1"/>
        <v/>
      </c>
      <c r="BE63" t="str">
        <f ca="1"/>
        <v/>
      </c>
      <c r="BF63" t="str">
        <f ca="1"/>
        <v/>
      </c>
      <c r="BG63" t="str">
        <f ca="1"/>
        <v/>
      </c>
      <c r="BH63" t="str">
        <f ca="1"/>
        <v/>
      </c>
      <c r="BI63" t="str">
        <f ca="1"/>
        <v/>
      </c>
      <c r="BJ63" t="str">
        <f ca="1"/>
        <v/>
      </c>
      <c r="BK63" t="str">
        <f ca="1"/>
        <v/>
      </c>
      <c r="BL63" t="str">
        <f ca="1"/>
        <v/>
      </c>
      <c r="BM63" t="str">
        <f ca="1"/>
        <v/>
      </c>
      <c r="BN63" t="str">
        <f ca="1"/>
        <v/>
      </c>
      <c r="BO63" t="str">
        <f ca="1"/>
        <v/>
      </c>
      <c r="BP63" t="str">
        <f ca="1"/>
        <v/>
      </c>
      <c r="BQ63" t="str">
        <f ca="1"/>
        <v/>
      </c>
      <c r="BR63" t="str">
        <f ca="1"/>
        <v/>
      </c>
      <c r="BS63" t="str">
        <f ca="1"/>
        <v/>
      </c>
      <c r="BT63" t="str">
        <f ca="1"/>
        <v/>
      </c>
      <c r="BU63" t="str">
        <f ca="1"/>
        <v/>
      </c>
      <c r="BV63" t="str">
        <f ca="1"/>
        <v/>
      </c>
      <c r="BW63" t="str">
        <f ca="1"/>
        <v/>
      </c>
      <c r="BX63" t="str">
        <f ca="1"/>
        <v/>
      </c>
      <c r="BY63" t="str">
        <f ca="1"/>
        <v/>
      </c>
      <c r="BZ63" t="str">
        <f ca="1"/>
        <v/>
      </c>
      <c r="CA63" t="str">
        <f ca="1"/>
        <v/>
      </c>
      <c r="CB63" t="str">
        <f ca="1"/>
        <v/>
      </c>
      <c r="CC63" t="str">
        <f ca="1"/>
        <v/>
      </c>
      <c r="CD63" t="str">
        <f ca="1"/>
        <v/>
      </c>
      <c r="CE63" t="str">
        <f ca="1"/>
        <v/>
      </c>
      <c r="CF63" t="str">
        <f ca="1"/>
        <v/>
      </c>
      <c r="CG63" t="str">
        <f ca="1"/>
        <v/>
      </c>
      <c r="CH63" t="str">
        <f ca="1"/>
        <v/>
      </c>
      <c r="CI63" t="str">
        <f ca="1"/>
        <v/>
      </c>
      <c r="CJ63" t="str">
        <f ca="1"/>
        <v/>
      </c>
      <c r="CK63" t="str">
        <f ca="1"/>
        <v/>
      </c>
      <c r="CL63" t="str">
        <f ca="1"/>
        <v/>
      </c>
      <c r="CM63" t="str">
        <f ca="1"/>
        <v/>
      </c>
      <c r="CN63" t="str">
        <f ca="1"/>
        <v/>
      </c>
      <c r="CO63" t="str">
        <f ca="1"/>
        <v/>
      </c>
      <c r="CP63" t="str">
        <f ca="1"/>
        <v/>
      </c>
      <c r="CQ63" t="str">
        <f ca="1"/>
        <v/>
      </c>
      <c r="CR63" t="str">
        <f ca="1"/>
        <v/>
      </c>
      <c r="CS63" t="str">
        <f ca="1"/>
        <v/>
      </c>
      <c r="CT63" t="str">
        <f ca="1"/>
        <v/>
      </c>
      <c r="CU63" t="str">
        <f ca="1"/>
        <v/>
      </c>
      <c r="CV63" t="str">
        <f ca="1"/>
        <v/>
      </c>
      <c r="CW63" t="str">
        <f ca="1"/>
        <v/>
      </c>
      <c r="CX63" t="str">
        <f ca="1"/>
        <v/>
      </c>
      <c r="CY63" t="str">
        <f ca="1"/>
        <v/>
      </c>
      <c r="CZ63" t="str">
        <f ca="1"/>
        <v/>
      </c>
    </row>
    <row r="64" spans="5:104">
      <c r="E64" s="22" t="str">
        <f ca="1"/>
        <v/>
      </c>
      <c r="F64" s="22" t="str">
        <f ca="1"/>
        <v/>
      </c>
      <c r="G64" s="22" t="str">
        <f ca="1"/>
        <v/>
      </c>
      <c r="H64" s="22" t="str">
        <f ca="1"/>
        <v/>
      </c>
      <c r="I64" s="22" t="str">
        <f ca="1"/>
        <v/>
      </c>
      <c r="J64" s="22" t="str">
        <f ca="1"/>
        <v/>
      </c>
      <c r="K64" s="22" t="str">
        <f ca="1"/>
        <v/>
      </c>
      <c r="L64" s="22" t="str">
        <f ca="1"/>
        <v/>
      </c>
      <c r="M64" s="22" t="str">
        <f ca="1"/>
        <v/>
      </c>
      <c r="N64" s="22" t="str">
        <f ca="1"/>
        <v/>
      </c>
      <c r="O64" s="22" t="str">
        <f ca="1"/>
        <v/>
      </c>
      <c r="P64" s="22" t="str">
        <f ca="1"/>
        <v/>
      </c>
      <c r="Q64" t="str">
        <f ca="1"/>
        <v/>
      </c>
      <c r="R64" t="str">
        <f ca="1"/>
        <v/>
      </c>
      <c r="S64" t="str">
        <f ca="1"/>
        <v/>
      </c>
      <c r="T64" t="str">
        <f ca="1"/>
        <v/>
      </c>
      <c r="U64" t="str">
        <f ca="1"/>
        <v/>
      </c>
      <c r="V64" t="str">
        <f ca="1"/>
        <v/>
      </c>
      <c r="W64" t="str">
        <f ca="1"/>
        <v/>
      </c>
      <c r="X64" t="str">
        <f ca="1"/>
        <v/>
      </c>
      <c r="Y64" t="str">
        <f ca="1"/>
        <v/>
      </c>
      <c r="Z64" t="str">
        <f ca="1"/>
        <v/>
      </c>
      <c r="AA64" t="str">
        <f ca="1"/>
        <v/>
      </c>
      <c r="AB64" t="str">
        <f ca="1"/>
        <v/>
      </c>
      <c r="AC64" t="str">
        <f ca="1"/>
        <v/>
      </c>
      <c r="AD64" t="str">
        <f ca="1"/>
        <v/>
      </c>
      <c r="AE64" t="str">
        <f ca="1"/>
        <v/>
      </c>
      <c r="AF64" t="str">
        <f ca="1"/>
        <v/>
      </c>
      <c r="AG64" t="str">
        <f ca="1"/>
        <v/>
      </c>
      <c r="AH64" t="str">
        <f ca="1"/>
        <v/>
      </c>
      <c r="AI64" t="str">
        <f ca="1"/>
        <v/>
      </c>
      <c r="AJ64" t="str">
        <f ca="1"/>
        <v/>
      </c>
      <c r="AK64" t="str">
        <f ca="1"/>
        <v/>
      </c>
      <c r="AL64" t="str">
        <f ca="1"/>
        <v/>
      </c>
      <c r="AM64" t="str">
        <f ca="1"/>
        <v/>
      </c>
      <c r="AN64" t="str">
        <f ca="1"/>
        <v/>
      </c>
      <c r="AO64" t="str">
        <f ca="1"/>
        <v/>
      </c>
      <c r="AP64" t="str">
        <f ca="1"/>
        <v/>
      </c>
      <c r="AQ64" t="str">
        <f ca="1"/>
        <v/>
      </c>
      <c r="AR64" t="str">
        <f ca="1"/>
        <v/>
      </c>
      <c r="AS64" t="str">
        <f ca="1"/>
        <v/>
      </c>
      <c r="AT64" t="str">
        <f ca="1"/>
        <v/>
      </c>
      <c r="AU64" t="str">
        <f ca="1"/>
        <v/>
      </c>
      <c r="AV64" t="str">
        <f ca="1"/>
        <v/>
      </c>
      <c r="AW64" t="str">
        <f ca="1"/>
        <v/>
      </c>
      <c r="AX64" t="str">
        <f ca="1"/>
        <v/>
      </c>
      <c r="AY64" t="str">
        <f ca="1"/>
        <v/>
      </c>
      <c r="AZ64" t="str">
        <f ca="1"/>
        <v/>
      </c>
      <c r="BA64" t="str">
        <f ca="1"/>
        <v/>
      </c>
      <c r="BB64" t="str">
        <f ca="1"/>
        <v/>
      </c>
      <c r="BC64" t="str">
        <f ca="1"/>
        <v/>
      </c>
      <c r="BD64" t="str">
        <f ca="1"/>
        <v/>
      </c>
      <c r="BE64" t="str">
        <f ca="1"/>
        <v/>
      </c>
      <c r="BF64" t="str">
        <f ca="1"/>
        <v/>
      </c>
      <c r="BG64" t="str">
        <f ca="1"/>
        <v/>
      </c>
      <c r="BH64" t="str">
        <f ca="1"/>
        <v/>
      </c>
      <c r="BI64" t="str">
        <f ca="1"/>
        <v/>
      </c>
      <c r="BJ64" t="str">
        <f ca="1"/>
        <v/>
      </c>
      <c r="BK64" t="str">
        <f ca="1"/>
        <v/>
      </c>
      <c r="BL64" t="str">
        <f ca="1"/>
        <v/>
      </c>
      <c r="BM64" t="str">
        <f ca="1"/>
        <v/>
      </c>
      <c r="BN64" t="str">
        <f ca="1"/>
        <v/>
      </c>
      <c r="BO64" t="str">
        <f ca="1"/>
        <v/>
      </c>
      <c r="BP64" t="str">
        <f ca="1"/>
        <v/>
      </c>
      <c r="BQ64" t="str">
        <f ca="1"/>
        <v/>
      </c>
      <c r="BR64" t="str">
        <f ca="1"/>
        <v/>
      </c>
      <c r="BS64" t="str">
        <f ca="1"/>
        <v/>
      </c>
      <c r="BT64" t="str">
        <f ca="1"/>
        <v/>
      </c>
      <c r="BU64" t="str">
        <f ca="1"/>
        <v/>
      </c>
      <c r="BV64" t="str">
        <f ca="1"/>
        <v/>
      </c>
      <c r="BW64" t="str">
        <f ca="1"/>
        <v/>
      </c>
      <c r="BX64" t="str">
        <f ca="1"/>
        <v/>
      </c>
      <c r="BY64" t="str">
        <f ca="1"/>
        <v/>
      </c>
      <c r="BZ64" t="str">
        <f ca="1"/>
        <v/>
      </c>
      <c r="CA64" t="str">
        <f ca="1"/>
        <v/>
      </c>
      <c r="CB64" t="str">
        <f ca="1"/>
        <v/>
      </c>
      <c r="CC64" t="str">
        <f ca="1"/>
        <v/>
      </c>
      <c r="CD64" t="str">
        <f ca="1"/>
        <v/>
      </c>
      <c r="CE64" t="str">
        <f ca="1"/>
        <v/>
      </c>
      <c r="CF64" t="str">
        <f ca="1"/>
        <v/>
      </c>
      <c r="CG64" t="str">
        <f ca="1"/>
        <v/>
      </c>
      <c r="CH64" t="str">
        <f ca="1"/>
        <v/>
      </c>
      <c r="CI64" t="str">
        <f ca="1"/>
        <v/>
      </c>
      <c r="CJ64" t="str">
        <f ca="1"/>
        <v/>
      </c>
      <c r="CK64" t="str">
        <f ca="1"/>
        <v/>
      </c>
      <c r="CL64" t="str">
        <f ca="1"/>
        <v/>
      </c>
      <c r="CM64" t="str">
        <f ca="1"/>
        <v/>
      </c>
      <c r="CN64" t="str">
        <f ca="1"/>
        <v/>
      </c>
      <c r="CO64" t="str">
        <f ca="1"/>
        <v/>
      </c>
      <c r="CP64" t="str">
        <f ca="1"/>
        <v/>
      </c>
      <c r="CQ64" t="str">
        <f ca="1"/>
        <v/>
      </c>
      <c r="CR64" t="str">
        <f ca="1"/>
        <v/>
      </c>
      <c r="CS64" t="str">
        <f ca="1"/>
        <v/>
      </c>
      <c r="CT64" t="str">
        <f ca="1"/>
        <v/>
      </c>
      <c r="CU64" t="str">
        <f ca="1"/>
        <v/>
      </c>
      <c r="CV64" t="str">
        <f ca="1"/>
        <v/>
      </c>
      <c r="CW64" t="str">
        <f ca="1"/>
        <v/>
      </c>
      <c r="CX64" t="str">
        <f ca="1"/>
        <v/>
      </c>
      <c r="CY64" t="str">
        <f ca="1"/>
        <v/>
      </c>
      <c r="CZ64" t="str">
        <f ca="1"/>
        <v/>
      </c>
    </row>
    <row r="65" spans="5:104">
      <c r="E65" s="22" t="str">
        <f ca="1"/>
        <v/>
      </c>
      <c r="F65" s="22" t="str">
        <f ca="1"/>
        <v/>
      </c>
      <c r="G65" s="22" t="str">
        <f ca="1"/>
        <v/>
      </c>
      <c r="H65" s="22" t="str">
        <f ca="1"/>
        <v/>
      </c>
      <c r="I65" s="22" t="str">
        <f ca="1"/>
        <v/>
      </c>
      <c r="J65" s="22" t="str">
        <f ca="1"/>
        <v/>
      </c>
      <c r="K65" s="22" t="str">
        <f ca="1"/>
        <v/>
      </c>
      <c r="L65" s="22" t="str">
        <f ca="1"/>
        <v/>
      </c>
      <c r="M65" s="22" t="str">
        <f ca="1"/>
        <v/>
      </c>
      <c r="N65" s="22" t="str">
        <f ca="1"/>
        <v/>
      </c>
      <c r="O65" s="22" t="str">
        <f ca="1"/>
        <v/>
      </c>
      <c r="P65" s="22" t="str">
        <f ca="1"/>
        <v/>
      </c>
      <c r="Q65" t="str">
        <f ca="1"/>
        <v/>
      </c>
      <c r="R65" t="str">
        <f ca="1"/>
        <v/>
      </c>
      <c r="S65" t="str">
        <f ca="1"/>
        <v/>
      </c>
      <c r="T65" t="str">
        <f ca="1"/>
        <v/>
      </c>
      <c r="U65" t="str">
        <f ca="1"/>
        <v/>
      </c>
      <c r="V65" t="str">
        <f ca="1"/>
        <v/>
      </c>
      <c r="W65" t="str">
        <f ca="1"/>
        <v/>
      </c>
      <c r="X65" t="str">
        <f ca="1"/>
        <v/>
      </c>
      <c r="Y65" t="str">
        <f ca="1"/>
        <v/>
      </c>
      <c r="Z65" t="str">
        <f ca="1"/>
        <v/>
      </c>
      <c r="AA65" t="str">
        <f ca="1"/>
        <v/>
      </c>
      <c r="AB65" t="str">
        <f ca="1"/>
        <v/>
      </c>
      <c r="AC65" t="str">
        <f ca="1"/>
        <v/>
      </c>
      <c r="AD65" t="str">
        <f ca="1"/>
        <v/>
      </c>
      <c r="AE65" t="str">
        <f ca="1"/>
        <v/>
      </c>
      <c r="AF65" t="str">
        <f ca="1"/>
        <v/>
      </c>
      <c r="AG65" t="str">
        <f ca="1"/>
        <v/>
      </c>
      <c r="AH65" t="str">
        <f ca="1"/>
        <v/>
      </c>
      <c r="AI65" t="str">
        <f ca="1"/>
        <v/>
      </c>
      <c r="AJ65" t="str">
        <f ca="1"/>
        <v/>
      </c>
      <c r="AK65" t="str">
        <f ca="1"/>
        <v/>
      </c>
      <c r="AL65" t="str">
        <f ca="1"/>
        <v/>
      </c>
      <c r="AM65" t="str">
        <f ca="1"/>
        <v/>
      </c>
      <c r="AN65" t="str">
        <f ca="1"/>
        <v/>
      </c>
      <c r="AO65" t="str">
        <f ca="1"/>
        <v/>
      </c>
      <c r="AP65" t="str">
        <f ca="1"/>
        <v/>
      </c>
      <c r="AQ65" t="str">
        <f ca="1"/>
        <v/>
      </c>
      <c r="AR65" t="str">
        <f ca="1"/>
        <v/>
      </c>
      <c r="AS65" t="str">
        <f ca="1"/>
        <v/>
      </c>
      <c r="AT65" t="str">
        <f ca="1"/>
        <v/>
      </c>
      <c r="AU65" t="str">
        <f ca="1"/>
        <v/>
      </c>
      <c r="AV65" t="str">
        <f ca="1"/>
        <v/>
      </c>
      <c r="AW65" t="str">
        <f ca="1"/>
        <v/>
      </c>
      <c r="AX65" t="str">
        <f ca="1"/>
        <v/>
      </c>
      <c r="AY65" t="str">
        <f ca="1"/>
        <v/>
      </c>
      <c r="AZ65" t="str">
        <f ca="1"/>
        <v/>
      </c>
      <c r="BA65" t="str">
        <f ca="1"/>
        <v/>
      </c>
      <c r="BB65" t="str">
        <f ca="1"/>
        <v/>
      </c>
      <c r="BC65" t="str">
        <f ca="1"/>
        <v/>
      </c>
      <c r="BD65" t="str">
        <f ca="1"/>
        <v/>
      </c>
      <c r="BE65" t="str">
        <f ca="1"/>
        <v/>
      </c>
      <c r="BF65" t="str">
        <f ca="1"/>
        <v/>
      </c>
      <c r="BG65" t="str">
        <f ca="1"/>
        <v/>
      </c>
      <c r="BH65" t="str">
        <f ca="1"/>
        <v/>
      </c>
      <c r="BI65" t="str">
        <f ca="1"/>
        <v/>
      </c>
      <c r="BJ65" t="str">
        <f ca="1"/>
        <v/>
      </c>
      <c r="BK65" t="str">
        <f ca="1"/>
        <v/>
      </c>
      <c r="BL65" t="str">
        <f ca="1"/>
        <v/>
      </c>
      <c r="BM65" t="str">
        <f ca="1"/>
        <v/>
      </c>
      <c r="BN65" t="str">
        <f ca="1"/>
        <v/>
      </c>
      <c r="BO65" t="str">
        <f ca="1"/>
        <v/>
      </c>
      <c r="BP65" t="str">
        <f ca="1"/>
        <v/>
      </c>
      <c r="BQ65" t="str">
        <f ca="1"/>
        <v/>
      </c>
      <c r="BR65" t="str">
        <f ca="1"/>
        <v/>
      </c>
      <c r="BS65" t="str">
        <f ca="1"/>
        <v/>
      </c>
      <c r="BT65" t="str">
        <f ca="1"/>
        <v/>
      </c>
      <c r="BU65" t="str">
        <f ca="1"/>
        <v/>
      </c>
      <c r="BV65" t="str">
        <f ca="1"/>
        <v/>
      </c>
      <c r="BW65" t="str">
        <f ca="1"/>
        <v/>
      </c>
      <c r="BX65" t="str">
        <f ca="1"/>
        <v/>
      </c>
      <c r="BY65" t="str">
        <f ca="1"/>
        <v/>
      </c>
      <c r="BZ65" t="str">
        <f ca="1"/>
        <v/>
      </c>
      <c r="CA65" t="str">
        <f ca="1"/>
        <v/>
      </c>
      <c r="CB65" t="str">
        <f ca="1"/>
        <v/>
      </c>
      <c r="CC65" t="str">
        <f ca="1"/>
        <v/>
      </c>
      <c r="CD65" t="str">
        <f ca="1"/>
        <v/>
      </c>
      <c r="CE65" t="str">
        <f ca="1"/>
        <v/>
      </c>
      <c r="CF65" t="str">
        <f ca="1"/>
        <v/>
      </c>
      <c r="CG65" t="str">
        <f ca="1"/>
        <v/>
      </c>
      <c r="CH65" t="str">
        <f ca="1"/>
        <v/>
      </c>
      <c r="CI65" t="str">
        <f ca="1"/>
        <v/>
      </c>
      <c r="CJ65" t="str">
        <f ca="1"/>
        <v/>
      </c>
      <c r="CK65" t="str">
        <f ca="1"/>
        <v/>
      </c>
      <c r="CL65" t="str">
        <f ca="1"/>
        <v/>
      </c>
      <c r="CM65" t="str">
        <f ca="1"/>
        <v/>
      </c>
      <c r="CN65" t="str">
        <f ca="1"/>
        <v/>
      </c>
      <c r="CO65" t="str">
        <f ca="1"/>
        <v/>
      </c>
      <c r="CP65" t="str">
        <f ca="1"/>
        <v/>
      </c>
      <c r="CQ65" t="str">
        <f ca="1"/>
        <v/>
      </c>
      <c r="CR65" t="str">
        <f ca="1"/>
        <v/>
      </c>
      <c r="CS65" t="str">
        <f ca="1"/>
        <v/>
      </c>
      <c r="CT65" t="str">
        <f ca="1"/>
        <v/>
      </c>
      <c r="CU65" t="str">
        <f ca="1"/>
        <v/>
      </c>
      <c r="CV65" t="str">
        <f ca="1"/>
        <v/>
      </c>
      <c r="CW65" t="str">
        <f ca="1"/>
        <v/>
      </c>
      <c r="CX65" t="str">
        <f ca="1"/>
        <v/>
      </c>
      <c r="CY65" t="str">
        <f ca="1"/>
        <v/>
      </c>
      <c r="CZ65" t="str">
        <f ca="1"/>
        <v/>
      </c>
    </row>
    <row r="66" spans="5:104">
      <c r="E66" s="22" t="str">
        <f ca="1"/>
        <v/>
      </c>
      <c r="F66" s="22" t="str">
        <f ca="1"/>
        <v/>
      </c>
      <c r="G66" s="22" t="str">
        <f ca="1"/>
        <v/>
      </c>
      <c r="H66" s="22" t="str">
        <f ca="1"/>
        <v/>
      </c>
      <c r="I66" s="22" t="str">
        <f ca="1"/>
        <v/>
      </c>
      <c r="J66" s="22" t="str">
        <f ca="1"/>
        <v/>
      </c>
      <c r="K66" s="22" t="str">
        <f ca="1"/>
        <v/>
      </c>
      <c r="L66" s="22" t="str">
        <f ca="1"/>
        <v/>
      </c>
      <c r="M66" s="22" t="str">
        <f ca="1"/>
        <v/>
      </c>
      <c r="N66" s="22" t="str">
        <f ca="1"/>
        <v/>
      </c>
      <c r="O66" s="22" t="str">
        <f ca="1"/>
        <v/>
      </c>
      <c r="P66" s="22" t="str">
        <f ca="1"/>
        <v/>
      </c>
      <c r="Q66" t="str">
        <f ca="1"/>
        <v/>
      </c>
      <c r="R66" t="str">
        <f ca="1"/>
        <v/>
      </c>
      <c r="S66" t="str">
        <f ca="1"/>
        <v/>
      </c>
      <c r="T66" t="str">
        <f ca="1"/>
        <v/>
      </c>
      <c r="U66" t="str">
        <f ca="1"/>
        <v/>
      </c>
      <c r="V66" t="str">
        <f ca="1"/>
        <v/>
      </c>
      <c r="W66" t="str">
        <f ca="1"/>
        <v/>
      </c>
      <c r="X66" t="str">
        <f ca="1"/>
        <v/>
      </c>
      <c r="Y66" t="str">
        <f ca="1"/>
        <v/>
      </c>
      <c r="Z66" t="str">
        <f ca="1"/>
        <v/>
      </c>
      <c r="AA66" t="str">
        <f ca="1"/>
        <v/>
      </c>
      <c r="AB66" t="str">
        <f ca="1"/>
        <v/>
      </c>
      <c r="AC66" t="str">
        <f ca="1"/>
        <v/>
      </c>
      <c r="AD66" t="str">
        <f ca="1"/>
        <v/>
      </c>
      <c r="AE66" t="str">
        <f ca="1"/>
        <v/>
      </c>
      <c r="AF66" t="str">
        <f ca="1"/>
        <v/>
      </c>
      <c r="AG66" t="str">
        <f ca="1"/>
        <v/>
      </c>
      <c r="AH66" t="str">
        <f ca="1"/>
        <v/>
      </c>
      <c r="AI66" t="str">
        <f ca="1"/>
        <v/>
      </c>
      <c r="AJ66" t="str">
        <f ca="1"/>
        <v/>
      </c>
      <c r="AK66" t="str">
        <f ca="1"/>
        <v/>
      </c>
      <c r="AL66" t="str">
        <f ca="1"/>
        <v/>
      </c>
      <c r="AM66" t="str">
        <f ca="1"/>
        <v/>
      </c>
      <c r="AN66" t="str">
        <f ca="1"/>
        <v/>
      </c>
      <c r="AO66" t="str">
        <f ca="1"/>
        <v/>
      </c>
      <c r="AP66" t="str">
        <f ca="1"/>
        <v/>
      </c>
      <c r="AQ66" t="str">
        <f ca="1"/>
        <v/>
      </c>
      <c r="AR66" t="str">
        <f ca="1"/>
        <v/>
      </c>
      <c r="AS66" t="str">
        <f ca="1"/>
        <v/>
      </c>
      <c r="AT66" t="str">
        <f ca="1"/>
        <v/>
      </c>
      <c r="AU66" t="str">
        <f ca="1"/>
        <v/>
      </c>
      <c r="AV66" t="str">
        <f ca="1"/>
        <v/>
      </c>
      <c r="AW66" t="str">
        <f ca="1"/>
        <v/>
      </c>
      <c r="AX66" t="str">
        <f ca="1"/>
        <v/>
      </c>
      <c r="AY66" t="str">
        <f ca="1"/>
        <v/>
      </c>
      <c r="AZ66" t="str">
        <f ca="1"/>
        <v/>
      </c>
      <c r="BA66" t="str">
        <f ca="1"/>
        <v/>
      </c>
      <c r="BB66" t="str">
        <f ca="1"/>
        <v/>
      </c>
      <c r="BC66" t="str">
        <f ca="1"/>
        <v/>
      </c>
      <c r="BD66" t="str">
        <f ca="1"/>
        <v/>
      </c>
      <c r="BE66" t="str">
        <f ca="1"/>
        <v/>
      </c>
      <c r="BF66" t="str">
        <f ca="1"/>
        <v/>
      </c>
      <c r="BG66" t="str">
        <f ca="1"/>
        <v/>
      </c>
      <c r="BH66" t="str">
        <f ca="1"/>
        <v/>
      </c>
      <c r="BI66" t="str">
        <f ca="1"/>
        <v/>
      </c>
      <c r="BJ66" t="str">
        <f ca="1"/>
        <v/>
      </c>
      <c r="BK66" t="str">
        <f ca="1"/>
        <v/>
      </c>
      <c r="BL66" t="str">
        <f ca="1"/>
        <v/>
      </c>
      <c r="BM66" t="str">
        <f ca="1"/>
        <v/>
      </c>
      <c r="BN66" t="str">
        <f ca="1"/>
        <v/>
      </c>
      <c r="BO66" t="str">
        <f ca="1"/>
        <v/>
      </c>
      <c r="BP66" t="str">
        <f ca="1"/>
        <v/>
      </c>
      <c r="BQ66" t="str">
        <f ca="1"/>
        <v/>
      </c>
      <c r="BR66" t="str">
        <f ca="1"/>
        <v/>
      </c>
      <c r="BS66" t="str">
        <f ca="1"/>
        <v/>
      </c>
      <c r="BT66" t="str">
        <f ca="1"/>
        <v/>
      </c>
      <c r="BU66" t="str">
        <f ca="1"/>
        <v/>
      </c>
      <c r="BV66" t="str">
        <f ca="1"/>
        <v/>
      </c>
      <c r="BW66" t="str">
        <f ca="1"/>
        <v/>
      </c>
      <c r="BX66" t="str">
        <f ca="1"/>
        <v/>
      </c>
      <c r="BY66" t="str">
        <f ca="1"/>
        <v/>
      </c>
      <c r="BZ66" t="str">
        <f ca="1"/>
        <v/>
      </c>
      <c r="CA66" t="str">
        <f ca="1"/>
        <v/>
      </c>
      <c r="CB66" t="str">
        <f ca="1"/>
        <v/>
      </c>
      <c r="CC66" t="str">
        <f ca="1"/>
        <v/>
      </c>
      <c r="CD66" t="str">
        <f ca="1"/>
        <v/>
      </c>
      <c r="CE66" t="str">
        <f ca="1"/>
        <v/>
      </c>
      <c r="CF66" t="str">
        <f ca="1"/>
        <v/>
      </c>
      <c r="CG66" t="str">
        <f ca="1"/>
        <v/>
      </c>
      <c r="CH66" t="str">
        <f ca="1"/>
        <v/>
      </c>
      <c r="CI66" t="str">
        <f ca="1"/>
        <v/>
      </c>
      <c r="CJ66" t="str">
        <f ca="1"/>
        <v/>
      </c>
      <c r="CK66" t="str">
        <f ca="1"/>
        <v/>
      </c>
      <c r="CL66" t="str">
        <f ca="1"/>
        <v/>
      </c>
      <c r="CM66" t="str">
        <f ca="1"/>
        <v/>
      </c>
      <c r="CN66" t="str">
        <f ca="1"/>
        <v/>
      </c>
      <c r="CO66" t="str">
        <f ca="1"/>
        <v/>
      </c>
      <c r="CP66" t="str">
        <f ca="1"/>
        <v/>
      </c>
      <c r="CQ66" t="str">
        <f ca="1"/>
        <v/>
      </c>
      <c r="CR66" t="str">
        <f ca="1"/>
        <v/>
      </c>
      <c r="CS66" t="str">
        <f ca="1"/>
        <v/>
      </c>
      <c r="CT66" t="str">
        <f ca="1"/>
        <v/>
      </c>
      <c r="CU66" t="str">
        <f ca="1"/>
        <v/>
      </c>
      <c r="CV66" t="str">
        <f ca="1"/>
        <v/>
      </c>
      <c r="CW66" t="str">
        <f ca="1"/>
        <v/>
      </c>
      <c r="CX66" t="str">
        <f ca="1"/>
        <v/>
      </c>
      <c r="CY66" t="str">
        <f ca="1"/>
        <v/>
      </c>
      <c r="CZ66" t="str">
        <f ca="1"/>
        <v/>
      </c>
    </row>
    <row r="67" spans="5:104">
      <c r="E67" s="22" t="str">
        <f ca="1"/>
        <v/>
      </c>
      <c r="F67" s="22" t="str">
        <f ca="1"/>
        <v/>
      </c>
      <c r="G67" s="22" t="str">
        <f ca="1"/>
        <v/>
      </c>
      <c r="H67" s="22" t="str">
        <f ca="1"/>
        <v/>
      </c>
      <c r="I67" s="22" t="str">
        <f ca="1"/>
        <v/>
      </c>
      <c r="J67" s="22" t="str">
        <f ca="1"/>
        <v/>
      </c>
      <c r="K67" s="22" t="str">
        <f ca="1"/>
        <v/>
      </c>
      <c r="L67" s="22" t="str">
        <f ca="1"/>
        <v/>
      </c>
      <c r="M67" s="22" t="str">
        <f ca="1"/>
        <v/>
      </c>
      <c r="N67" s="22" t="str">
        <f ca="1"/>
        <v/>
      </c>
      <c r="O67" s="22" t="str">
        <f ca="1"/>
        <v/>
      </c>
      <c r="P67" s="22" t="str">
        <f ca="1"/>
        <v/>
      </c>
      <c r="Q67" t="str">
        <f ca="1"/>
        <v/>
      </c>
      <c r="R67" t="str">
        <f ca="1"/>
        <v/>
      </c>
      <c r="S67" t="str">
        <f ca="1"/>
        <v/>
      </c>
      <c r="T67" t="str">
        <f ca="1"/>
        <v/>
      </c>
      <c r="U67" t="str">
        <f ca="1"/>
        <v/>
      </c>
      <c r="V67" t="str">
        <f ca="1"/>
        <v/>
      </c>
      <c r="W67" t="str">
        <f ca="1"/>
        <v/>
      </c>
      <c r="X67" t="str">
        <f ca="1"/>
        <v/>
      </c>
      <c r="Y67" t="str">
        <f ca="1"/>
        <v/>
      </c>
      <c r="Z67" t="str">
        <f ca="1"/>
        <v/>
      </c>
      <c r="AA67" t="str">
        <f ca="1"/>
        <v/>
      </c>
      <c r="AB67" t="str">
        <f ca="1"/>
        <v/>
      </c>
      <c r="AC67" t="str">
        <f ca="1"/>
        <v/>
      </c>
      <c r="AD67" t="str">
        <f ca="1"/>
        <v/>
      </c>
      <c r="AE67" t="str">
        <f ca="1"/>
        <v/>
      </c>
      <c r="AF67" t="str">
        <f ca="1"/>
        <v/>
      </c>
      <c r="AG67" t="str">
        <f ca="1"/>
        <v/>
      </c>
      <c r="AH67" t="str">
        <f ca="1"/>
        <v/>
      </c>
      <c r="AI67" t="str">
        <f ca="1"/>
        <v/>
      </c>
      <c r="AJ67" t="str">
        <f ca="1"/>
        <v/>
      </c>
      <c r="AK67" t="str">
        <f ca="1"/>
        <v/>
      </c>
      <c r="AL67" t="str">
        <f ca="1"/>
        <v/>
      </c>
      <c r="AM67" t="str">
        <f ca="1"/>
        <v/>
      </c>
      <c r="AN67" t="str">
        <f ca="1"/>
        <v/>
      </c>
      <c r="AO67" t="str">
        <f ca="1"/>
        <v/>
      </c>
      <c r="AP67" t="str">
        <f ca="1"/>
        <v/>
      </c>
      <c r="AQ67" t="str">
        <f ca="1"/>
        <v/>
      </c>
      <c r="AR67" t="str">
        <f ca="1"/>
        <v/>
      </c>
      <c r="AS67" t="str">
        <f ca="1"/>
        <v/>
      </c>
      <c r="AT67" t="str">
        <f ca="1"/>
        <v/>
      </c>
      <c r="AU67" t="str">
        <f ca="1"/>
        <v/>
      </c>
      <c r="AV67" t="str">
        <f ca="1"/>
        <v/>
      </c>
      <c r="AW67" t="str">
        <f ca="1"/>
        <v/>
      </c>
      <c r="AX67" t="str">
        <f ca="1"/>
        <v/>
      </c>
      <c r="AY67" t="str">
        <f ca="1"/>
        <v/>
      </c>
      <c r="AZ67" t="str">
        <f ca="1"/>
        <v/>
      </c>
      <c r="BA67" t="str">
        <f ca="1"/>
        <v/>
      </c>
      <c r="BB67" t="str">
        <f ca="1"/>
        <v/>
      </c>
      <c r="BC67" t="str">
        <f ca="1"/>
        <v/>
      </c>
      <c r="BD67" t="str">
        <f ca="1"/>
        <v/>
      </c>
      <c r="BE67" t="str">
        <f ca="1"/>
        <v/>
      </c>
      <c r="BF67" t="str">
        <f ca="1"/>
        <v/>
      </c>
      <c r="BG67" t="str">
        <f ca="1"/>
        <v/>
      </c>
      <c r="BH67" t="str">
        <f ca="1"/>
        <v/>
      </c>
      <c r="BI67" t="str">
        <f ca="1"/>
        <v/>
      </c>
      <c r="BJ67" t="str">
        <f ca="1"/>
        <v/>
      </c>
      <c r="BK67" t="str">
        <f ca="1"/>
        <v/>
      </c>
      <c r="BL67" t="str">
        <f ca="1"/>
        <v/>
      </c>
      <c r="BM67" t="str">
        <f ca="1"/>
        <v/>
      </c>
      <c r="BN67" t="str">
        <f ca="1"/>
        <v/>
      </c>
      <c r="BO67" t="str">
        <f ca="1"/>
        <v/>
      </c>
      <c r="BP67" t="str">
        <f ca="1"/>
        <v/>
      </c>
      <c r="BQ67" t="str">
        <f ca="1"/>
        <v/>
      </c>
      <c r="BR67" t="str">
        <f ca="1"/>
        <v/>
      </c>
      <c r="BS67" t="str">
        <f ca="1"/>
        <v/>
      </c>
      <c r="BT67" t="str">
        <f ca="1"/>
        <v/>
      </c>
      <c r="BU67" t="str">
        <f ca="1"/>
        <v/>
      </c>
      <c r="BV67" t="str">
        <f ca="1"/>
        <v/>
      </c>
      <c r="BW67" t="str">
        <f ca="1"/>
        <v/>
      </c>
      <c r="BX67" t="str">
        <f ca="1"/>
        <v/>
      </c>
      <c r="BY67" t="str">
        <f ca="1"/>
        <v/>
      </c>
      <c r="BZ67" t="str">
        <f ca="1"/>
        <v/>
      </c>
      <c r="CA67" t="str">
        <f ca="1"/>
        <v/>
      </c>
      <c r="CB67" t="str">
        <f ca="1"/>
        <v/>
      </c>
      <c r="CC67" t="str">
        <f ca="1"/>
        <v/>
      </c>
      <c r="CD67" t="str">
        <f ca="1"/>
        <v/>
      </c>
      <c r="CE67" t="str">
        <f ca="1"/>
        <v/>
      </c>
      <c r="CF67" t="str">
        <f ca="1"/>
        <v/>
      </c>
      <c r="CG67" t="str">
        <f ca="1"/>
        <v/>
      </c>
      <c r="CH67" t="str">
        <f ca="1"/>
        <v/>
      </c>
      <c r="CI67" t="str">
        <f ca="1"/>
        <v/>
      </c>
      <c r="CJ67" t="str">
        <f ca="1"/>
        <v/>
      </c>
      <c r="CK67" t="str">
        <f ca="1"/>
        <v/>
      </c>
      <c r="CL67" t="str">
        <f ca="1"/>
        <v/>
      </c>
      <c r="CM67" t="str">
        <f ca="1"/>
        <v/>
      </c>
      <c r="CN67" t="str">
        <f ca="1"/>
        <v/>
      </c>
      <c r="CO67" t="str">
        <f ca="1"/>
        <v/>
      </c>
      <c r="CP67" t="str">
        <f ca="1"/>
        <v/>
      </c>
      <c r="CQ67" t="str">
        <f ca="1"/>
        <v/>
      </c>
      <c r="CR67" t="str">
        <f ca="1"/>
        <v/>
      </c>
      <c r="CS67" t="str">
        <f ca="1"/>
        <v/>
      </c>
      <c r="CT67" t="str">
        <f ca="1"/>
        <v/>
      </c>
      <c r="CU67" t="str">
        <f ca="1"/>
        <v/>
      </c>
      <c r="CV67" t="str">
        <f ca="1"/>
        <v/>
      </c>
      <c r="CW67" t="str">
        <f ca="1"/>
        <v/>
      </c>
      <c r="CX67" t="str">
        <f ca="1"/>
        <v/>
      </c>
      <c r="CY67" t="str">
        <f ca="1"/>
        <v/>
      </c>
      <c r="CZ67" t="str">
        <f ca="1"/>
        <v/>
      </c>
    </row>
    <row r="68" spans="5:104">
      <c r="E68" s="22" t="str">
        <f ca="1"/>
        <v/>
      </c>
      <c r="F68" s="22" t="str">
        <f ca="1"/>
        <v/>
      </c>
      <c r="G68" s="22" t="str">
        <f ca="1"/>
        <v/>
      </c>
      <c r="H68" s="22" t="str">
        <f ca="1"/>
        <v/>
      </c>
      <c r="I68" s="22" t="str">
        <f ca="1"/>
        <v/>
      </c>
      <c r="J68" s="22" t="str">
        <f ca="1"/>
        <v/>
      </c>
      <c r="K68" s="22" t="str">
        <f ca="1"/>
        <v/>
      </c>
      <c r="L68" s="22" t="str">
        <f ca="1"/>
        <v/>
      </c>
      <c r="M68" s="22" t="str">
        <f ca="1"/>
        <v/>
      </c>
      <c r="N68" s="22" t="str">
        <f ca="1"/>
        <v/>
      </c>
      <c r="O68" s="22" t="str">
        <f ca="1"/>
        <v/>
      </c>
      <c r="P68" s="22" t="str">
        <f ca="1"/>
        <v/>
      </c>
      <c r="Q68" t="str">
        <f ca="1"/>
        <v/>
      </c>
      <c r="R68" t="str">
        <f ca="1"/>
        <v/>
      </c>
      <c r="S68" t="str">
        <f ca="1"/>
        <v/>
      </c>
      <c r="T68" t="str">
        <f ca="1"/>
        <v/>
      </c>
      <c r="U68" t="str">
        <f ca="1"/>
        <v/>
      </c>
      <c r="V68" t="str">
        <f ca="1"/>
        <v/>
      </c>
      <c r="W68" t="str">
        <f ca="1"/>
        <v/>
      </c>
      <c r="X68" t="str">
        <f ca="1"/>
        <v/>
      </c>
      <c r="Y68" t="str">
        <f ca="1"/>
        <v/>
      </c>
      <c r="Z68" t="str">
        <f ca="1"/>
        <v/>
      </c>
      <c r="AA68" t="str">
        <f ca="1"/>
        <v/>
      </c>
      <c r="AB68" t="str">
        <f ca="1"/>
        <v/>
      </c>
      <c r="AC68" t="str">
        <f ca="1"/>
        <v/>
      </c>
      <c r="AD68" t="str">
        <f ca="1"/>
        <v/>
      </c>
      <c r="AE68" t="str">
        <f ca="1"/>
        <v/>
      </c>
      <c r="AF68" t="str">
        <f ca="1"/>
        <v/>
      </c>
      <c r="AG68" t="str">
        <f ca="1"/>
        <v/>
      </c>
      <c r="AH68" t="str">
        <f ca="1"/>
        <v/>
      </c>
      <c r="AI68" t="str">
        <f ca="1"/>
        <v/>
      </c>
      <c r="AJ68" t="str">
        <f ca="1"/>
        <v/>
      </c>
      <c r="AK68" t="str">
        <f ca="1"/>
        <v/>
      </c>
      <c r="AL68" t="str">
        <f ca="1"/>
        <v/>
      </c>
      <c r="AM68" t="str">
        <f ca="1"/>
        <v/>
      </c>
      <c r="AN68" t="str">
        <f ca="1"/>
        <v/>
      </c>
      <c r="AO68" t="str">
        <f ca="1"/>
        <v/>
      </c>
      <c r="AP68" t="str">
        <f ca="1"/>
        <v/>
      </c>
      <c r="AQ68" t="str">
        <f ca="1"/>
        <v/>
      </c>
      <c r="AR68" t="str">
        <f ca="1"/>
        <v/>
      </c>
      <c r="AS68" t="str">
        <f ca="1"/>
        <v/>
      </c>
      <c r="AT68" t="str">
        <f ca="1"/>
        <v/>
      </c>
      <c r="AU68" t="str">
        <f ca="1"/>
        <v/>
      </c>
      <c r="AV68" t="str">
        <f ca="1"/>
        <v/>
      </c>
      <c r="AW68" t="str">
        <f ca="1"/>
        <v/>
      </c>
      <c r="AX68" t="str">
        <f ca="1"/>
        <v/>
      </c>
      <c r="AY68" t="str">
        <f ca="1"/>
        <v/>
      </c>
      <c r="AZ68" t="str">
        <f ca="1"/>
        <v/>
      </c>
      <c r="BA68" t="str">
        <f ca="1"/>
        <v/>
      </c>
      <c r="BB68" t="str">
        <f ca="1"/>
        <v/>
      </c>
      <c r="BC68" t="str">
        <f ca="1"/>
        <v/>
      </c>
      <c r="BD68" t="str">
        <f ca="1"/>
        <v/>
      </c>
      <c r="BE68" t="str">
        <f ca="1"/>
        <v/>
      </c>
      <c r="BF68" t="str">
        <f ca="1"/>
        <v/>
      </c>
      <c r="BG68" t="str">
        <f ca="1"/>
        <v/>
      </c>
      <c r="BH68" t="str">
        <f ca="1"/>
        <v/>
      </c>
      <c r="BI68" t="str">
        <f ca="1"/>
        <v/>
      </c>
      <c r="BJ68" t="str">
        <f ca="1"/>
        <v/>
      </c>
      <c r="BK68" t="str">
        <f ca="1"/>
        <v/>
      </c>
      <c r="BL68" t="str">
        <f ca="1"/>
        <v/>
      </c>
      <c r="BM68" t="str">
        <f ca="1"/>
        <v/>
      </c>
      <c r="BN68" t="str">
        <f ca="1"/>
        <v/>
      </c>
      <c r="BO68" t="str">
        <f ca="1"/>
        <v/>
      </c>
      <c r="BP68" t="str">
        <f ca="1"/>
        <v/>
      </c>
      <c r="BQ68" t="str">
        <f ca="1"/>
        <v/>
      </c>
      <c r="BR68" t="str">
        <f ca="1"/>
        <v/>
      </c>
      <c r="BS68" t="str">
        <f ca="1"/>
        <v/>
      </c>
      <c r="BT68" t="str">
        <f ca="1"/>
        <v/>
      </c>
      <c r="BU68" t="str">
        <f ca="1"/>
        <v/>
      </c>
      <c r="BV68" t="str">
        <f ca="1"/>
        <v/>
      </c>
      <c r="BW68" t="str">
        <f ca="1"/>
        <v/>
      </c>
      <c r="BX68" t="str">
        <f ca="1"/>
        <v/>
      </c>
      <c r="BY68" t="str">
        <f ca="1"/>
        <v/>
      </c>
      <c r="BZ68" t="str">
        <f ca="1"/>
        <v/>
      </c>
      <c r="CA68" t="str">
        <f ca="1"/>
        <v/>
      </c>
      <c r="CB68" t="str">
        <f ca="1"/>
        <v/>
      </c>
      <c r="CC68" t="str">
        <f ca="1"/>
        <v/>
      </c>
      <c r="CD68" t="str">
        <f ca="1"/>
        <v/>
      </c>
      <c r="CE68" t="str">
        <f ca="1"/>
        <v/>
      </c>
      <c r="CF68" t="str">
        <f ca="1"/>
        <v/>
      </c>
      <c r="CG68" t="str">
        <f ca="1"/>
        <v/>
      </c>
      <c r="CH68" t="str">
        <f ca="1"/>
        <v/>
      </c>
      <c r="CI68" t="str">
        <f ca="1"/>
        <v/>
      </c>
      <c r="CJ68" t="str">
        <f ca="1"/>
        <v/>
      </c>
      <c r="CK68" t="str">
        <f ca="1"/>
        <v/>
      </c>
      <c r="CL68" t="str">
        <f ca="1"/>
        <v/>
      </c>
      <c r="CM68" t="str">
        <f ca="1"/>
        <v/>
      </c>
      <c r="CN68" t="str">
        <f ca="1"/>
        <v/>
      </c>
      <c r="CO68" t="str">
        <f ca="1"/>
        <v/>
      </c>
      <c r="CP68" t="str">
        <f ca="1"/>
        <v/>
      </c>
      <c r="CQ68" t="str">
        <f ca="1"/>
        <v/>
      </c>
      <c r="CR68" t="str">
        <f ca="1"/>
        <v/>
      </c>
      <c r="CS68" t="str">
        <f ca="1"/>
        <v/>
      </c>
      <c r="CT68" t="str">
        <f ca="1"/>
        <v/>
      </c>
      <c r="CU68" t="str">
        <f ca="1"/>
        <v/>
      </c>
      <c r="CV68" t="str">
        <f ca="1"/>
        <v/>
      </c>
      <c r="CW68" t="str">
        <f ca="1"/>
        <v/>
      </c>
      <c r="CX68" t="str">
        <f ca="1"/>
        <v/>
      </c>
      <c r="CY68" t="str">
        <f ca="1"/>
        <v/>
      </c>
      <c r="CZ68" t="str">
        <f ca="1"/>
        <v/>
      </c>
    </row>
    <row r="69" spans="5:104">
      <c r="E69" s="22" t="str">
        <f ca="1"/>
        <v/>
      </c>
      <c r="F69" s="22" t="str">
        <f ca="1"/>
        <v/>
      </c>
      <c r="G69" s="22" t="str">
        <f ca="1"/>
        <v/>
      </c>
      <c r="H69" s="22" t="str">
        <f ca="1"/>
        <v/>
      </c>
      <c r="I69" s="22" t="str">
        <f ca="1"/>
        <v/>
      </c>
      <c r="J69" s="22" t="str">
        <f ca="1"/>
        <v/>
      </c>
      <c r="K69" s="22" t="str">
        <f ca="1"/>
        <v/>
      </c>
      <c r="L69" s="22" t="str">
        <f ca="1"/>
        <v/>
      </c>
      <c r="M69" s="22" t="str">
        <f ca="1"/>
        <v/>
      </c>
      <c r="N69" s="22" t="str">
        <f ca="1"/>
        <v/>
      </c>
      <c r="O69" s="22" t="str">
        <f ca="1"/>
        <v/>
      </c>
      <c r="P69" s="22" t="str">
        <f ca="1"/>
        <v/>
      </c>
      <c r="Q69" t="str">
        <f ca="1"/>
        <v/>
      </c>
      <c r="R69" t="str">
        <f ca="1"/>
        <v/>
      </c>
      <c r="S69" t="str">
        <f ca="1"/>
        <v/>
      </c>
      <c r="T69" t="str">
        <f ca="1"/>
        <v/>
      </c>
      <c r="U69" t="str">
        <f ca="1"/>
        <v/>
      </c>
      <c r="V69" t="str">
        <f ca="1"/>
        <v/>
      </c>
      <c r="W69" t="str">
        <f ca="1"/>
        <v/>
      </c>
      <c r="X69" t="str">
        <f ca="1"/>
        <v/>
      </c>
      <c r="Y69" t="str">
        <f ca="1"/>
        <v/>
      </c>
      <c r="Z69" t="str">
        <f ca="1"/>
        <v/>
      </c>
      <c r="AA69" t="str">
        <f ca="1"/>
        <v/>
      </c>
      <c r="AB69" t="str">
        <f ca="1"/>
        <v/>
      </c>
      <c r="AC69" t="str">
        <f ca="1"/>
        <v/>
      </c>
      <c r="AD69" t="str">
        <f ca="1"/>
        <v/>
      </c>
      <c r="AE69" t="str">
        <f ca="1"/>
        <v/>
      </c>
      <c r="AF69" t="str">
        <f ca="1"/>
        <v/>
      </c>
      <c r="AG69" t="str">
        <f ca="1"/>
        <v/>
      </c>
      <c r="AH69" t="str">
        <f ca="1"/>
        <v/>
      </c>
      <c r="AI69" t="str">
        <f ca="1"/>
        <v/>
      </c>
      <c r="AJ69" t="str">
        <f ca="1"/>
        <v/>
      </c>
      <c r="AK69" t="str">
        <f ca="1"/>
        <v/>
      </c>
      <c r="AL69" t="str">
        <f ca="1"/>
        <v/>
      </c>
      <c r="AM69" t="str">
        <f ca="1"/>
        <v/>
      </c>
      <c r="AN69" t="str">
        <f ca="1"/>
        <v/>
      </c>
      <c r="AO69" t="str">
        <f ca="1"/>
        <v/>
      </c>
      <c r="AP69" t="str">
        <f ca="1"/>
        <v/>
      </c>
      <c r="AQ69" t="str">
        <f ca="1"/>
        <v/>
      </c>
      <c r="AR69" t="str">
        <f ca="1"/>
        <v/>
      </c>
      <c r="AS69" t="str">
        <f ca="1"/>
        <v/>
      </c>
      <c r="AT69" t="str">
        <f ca="1"/>
        <v/>
      </c>
      <c r="AU69" t="str">
        <f ca="1"/>
        <v/>
      </c>
      <c r="AV69" t="str">
        <f ca="1"/>
        <v/>
      </c>
      <c r="AW69" t="str">
        <f ca="1"/>
        <v/>
      </c>
      <c r="AX69" t="str">
        <f ca="1"/>
        <v/>
      </c>
      <c r="AY69" t="str">
        <f ca="1"/>
        <v/>
      </c>
      <c r="AZ69" t="str">
        <f ca="1"/>
        <v/>
      </c>
      <c r="BA69" t="str">
        <f ca="1"/>
        <v/>
      </c>
      <c r="BB69" t="str">
        <f ca="1"/>
        <v/>
      </c>
      <c r="BC69" t="str">
        <f ca="1"/>
        <v/>
      </c>
      <c r="BD69" t="str">
        <f ca="1"/>
        <v/>
      </c>
      <c r="BE69" t="str">
        <f ca="1"/>
        <v/>
      </c>
      <c r="BF69" t="str">
        <f ca="1"/>
        <v/>
      </c>
      <c r="BG69" t="str">
        <f ca="1"/>
        <v/>
      </c>
      <c r="BH69" t="str">
        <f ca="1"/>
        <v/>
      </c>
      <c r="BI69" t="str">
        <f ca="1"/>
        <v/>
      </c>
      <c r="BJ69" t="str">
        <f ca="1"/>
        <v/>
      </c>
      <c r="BK69" t="str">
        <f ca="1"/>
        <v/>
      </c>
      <c r="BL69" t="str">
        <f ca="1"/>
        <v/>
      </c>
      <c r="BM69" t="str">
        <f ca="1"/>
        <v/>
      </c>
      <c r="BN69" t="str">
        <f ca="1"/>
        <v/>
      </c>
      <c r="BO69" t="str">
        <f ca="1"/>
        <v/>
      </c>
      <c r="BP69" t="str">
        <f ca="1"/>
        <v/>
      </c>
      <c r="BQ69" t="str">
        <f ca="1"/>
        <v/>
      </c>
      <c r="BR69" t="str">
        <f ca="1"/>
        <v/>
      </c>
      <c r="BS69" t="str">
        <f ca="1"/>
        <v/>
      </c>
      <c r="BT69" t="str">
        <f ca="1"/>
        <v/>
      </c>
      <c r="BU69" t="str">
        <f ca="1"/>
        <v/>
      </c>
      <c r="BV69" t="str">
        <f ca="1"/>
        <v/>
      </c>
      <c r="BW69" t="str">
        <f ca="1"/>
        <v/>
      </c>
      <c r="BX69" t="str">
        <f ca="1"/>
        <v/>
      </c>
      <c r="BY69" t="str">
        <f ca="1"/>
        <v/>
      </c>
      <c r="BZ69" t="str">
        <f ca="1"/>
        <v/>
      </c>
      <c r="CA69" t="str">
        <f ca="1"/>
        <v/>
      </c>
      <c r="CB69" t="str">
        <f ca="1"/>
        <v/>
      </c>
      <c r="CC69" t="str">
        <f ca="1"/>
        <v/>
      </c>
      <c r="CD69" t="str">
        <f ca="1"/>
        <v/>
      </c>
      <c r="CE69" t="str">
        <f ca="1"/>
        <v/>
      </c>
      <c r="CF69" t="str">
        <f ca="1"/>
        <v/>
      </c>
      <c r="CG69" t="str">
        <f ca="1"/>
        <v/>
      </c>
      <c r="CH69" t="str">
        <f ca="1"/>
        <v/>
      </c>
      <c r="CI69" t="str">
        <f ca="1"/>
        <v/>
      </c>
      <c r="CJ69" t="str">
        <f ca="1"/>
        <v/>
      </c>
      <c r="CK69" t="str">
        <f ca="1"/>
        <v/>
      </c>
      <c r="CL69" t="str">
        <f ca="1"/>
        <v/>
      </c>
      <c r="CM69" t="str">
        <f ca="1"/>
        <v/>
      </c>
      <c r="CN69" t="str">
        <f ca="1"/>
        <v/>
      </c>
      <c r="CO69" t="str">
        <f ca="1"/>
        <v/>
      </c>
      <c r="CP69" t="str">
        <f ca="1"/>
        <v/>
      </c>
      <c r="CQ69" t="str">
        <f ca="1"/>
        <v/>
      </c>
      <c r="CR69" t="str">
        <f ca="1"/>
        <v/>
      </c>
      <c r="CS69" t="str">
        <f ca="1"/>
        <v/>
      </c>
      <c r="CT69" t="str">
        <f ca="1"/>
        <v/>
      </c>
      <c r="CU69" t="str">
        <f ca="1"/>
        <v/>
      </c>
      <c r="CV69" t="str">
        <f ca="1"/>
        <v/>
      </c>
      <c r="CW69" t="str">
        <f ca="1"/>
        <v/>
      </c>
      <c r="CX69" t="str">
        <f ca="1"/>
        <v/>
      </c>
      <c r="CY69" t="str">
        <f ca="1"/>
        <v/>
      </c>
      <c r="CZ69" t="str">
        <f ca="1"/>
        <v/>
      </c>
    </row>
    <row r="70" spans="5:104">
      <c r="E70" s="22" t="str">
        <f ca="1"/>
        <v/>
      </c>
      <c r="F70" s="22" t="str">
        <f ca="1"/>
        <v/>
      </c>
      <c r="G70" s="22" t="str">
        <f ca="1"/>
        <v/>
      </c>
      <c r="H70" s="22" t="str">
        <f ca="1"/>
        <v/>
      </c>
      <c r="I70" s="22" t="str">
        <f ca="1"/>
        <v/>
      </c>
      <c r="J70" s="22" t="str">
        <f ca="1"/>
        <v/>
      </c>
      <c r="K70" s="22" t="str">
        <f ca="1"/>
        <v/>
      </c>
      <c r="L70" s="22" t="str">
        <f ca="1"/>
        <v/>
      </c>
      <c r="M70" s="22" t="str">
        <f ca="1"/>
        <v/>
      </c>
      <c r="N70" s="22" t="str">
        <f ca="1"/>
        <v/>
      </c>
      <c r="O70" s="22" t="str">
        <f ca="1"/>
        <v/>
      </c>
      <c r="P70" s="22" t="str">
        <f ca="1"/>
        <v/>
      </c>
      <c r="Q70" t="str">
        <f ca="1"/>
        <v/>
      </c>
      <c r="R70" t="str">
        <f ca="1"/>
        <v/>
      </c>
      <c r="S70" t="str">
        <f ca="1"/>
        <v/>
      </c>
      <c r="T70" t="str">
        <f ca="1"/>
        <v/>
      </c>
      <c r="U70" t="str">
        <f ca="1"/>
        <v/>
      </c>
      <c r="V70" t="str">
        <f ca="1"/>
        <v/>
      </c>
      <c r="W70" t="str">
        <f ca="1"/>
        <v/>
      </c>
      <c r="X70" t="str">
        <f ca="1"/>
        <v/>
      </c>
      <c r="Y70" t="str">
        <f ca="1"/>
        <v/>
      </c>
      <c r="Z70" t="str">
        <f ca="1"/>
        <v/>
      </c>
      <c r="AA70" t="str">
        <f ca="1"/>
        <v/>
      </c>
      <c r="AB70" t="str">
        <f ca="1"/>
        <v/>
      </c>
      <c r="AC70" t="str">
        <f ca="1"/>
        <v/>
      </c>
      <c r="AD70" t="str">
        <f ca="1"/>
        <v/>
      </c>
      <c r="AE70" t="str">
        <f ca="1"/>
        <v/>
      </c>
      <c r="AF70" t="str">
        <f ca="1"/>
        <v/>
      </c>
      <c r="AG70" t="str">
        <f ca="1"/>
        <v/>
      </c>
      <c r="AH70" t="str">
        <f ca="1"/>
        <v/>
      </c>
      <c r="AI70" t="str">
        <f ca="1"/>
        <v/>
      </c>
      <c r="AJ70" t="str">
        <f ca="1"/>
        <v/>
      </c>
      <c r="AK70" t="str">
        <f ca="1"/>
        <v/>
      </c>
      <c r="AL70" t="str">
        <f ca="1"/>
        <v/>
      </c>
      <c r="AM70" t="str">
        <f ca="1"/>
        <v/>
      </c>
      <c r="AN70" t="str">
        <f ca="1"/>
        <v/>
      </c>
      <c r="AO70" t="str">
        <f ca="1"/>
        <v/>
      </c>
      <c r="AP70" t="str">
        <f ca="1"/>
        <v/>
      </c>
      <c r="AQ70" t="str">
        <f ca="1"/>
        <v/>
      </c>
      <c r="AR70" t="str">
        <f ca="1"/>
        <v/>
      </c>
      <c r="AS70" t="str">
        <f ca="1"/>
        <v/>
      </c>
      <c r="AT70" t="str">
        <f ca="1"/>
        <v/>
      </c>
      <c r="AU70" t="str">
        <f ca="1"/>
        <v/>
      </c>
      <c r="AV70" t="str">
        <f ca="1"/>
        <v/>
      </c>
      <c r="AW70" t="str">
        <f ca="1"/>
        <v/>
      </c>
      <c r="AX70" t="str">
        <f ca="1"/>
        <v/>
      </c>
      <c r="AY70" t="str">
        <f ca="1"/>
        <v/>
      </c>
      <c r="AZ70" t="str">
        <f ca="1"/>
        <v/>
      </c>
      <c r="BA70" t="str">
        <f ca="1"/>
        <v/>
      </c>
      <c r="BB70" t="str">
        <f ca="1"/>
        <v/>
      </c>
      <c r="BC70" t="str">
        <f ca="1"/>
        <v/>
      </c>
      <c r="BD70" t="str">
        <f ca="1"/>
        <v/>
      </c>
      <c r="BE70" t="str">
        <f ca="1"/>
        <v/>
      </c>
      <c r="BF70" t="str">
        <f ca="1"/>
        <v/>
      </c>
      <c r="BG70" t="str">
        <f ca="1"/>
        <v/>
      </c>
      <c r="BH70" t="str">
        <f ca="1"/>
        <v/>
      </c>
      <c r="BI70" t="str">
        <f ca="1"/>
        <v/>
      </c>
      <c r="BJ70" t="str">
        <f ca="1"/>
        <v/>
      </c>
      <c r="BK70" t="str">
        <f ca="1"/>
        <v/>
      </c>
      <c r="BL70" t="str">
        <f ca="1"/>
        <v/>
      </c>
      <c r="BM70" t="str">
        <f ca="1"/>
        <v/>
      </c>
      <c r="BN70" t="str">
        <f ca="1"/>
        <v/>
      </c>
      <c r="BO70" t="str">
        <f ca="1"/>
        <v/>
      </c>
      <c r="BP70" t="str">
        <f ca="1"/>
        <v/>
      </c>
      <c r="BQ70" t="str">
        <f ca="1"/>
        <v/>
      </c>
      <c r="BR70" t="str">
        <f ca="1"/>
        <v/>
      </c>
      <c r="BS70" t="str">
        <f ca="1"/>
        <v/>
      </c>
      <c r="BT70" t="str">
        <f ca="1"/>
        <v/>
      </c>
      <c r="BU70" t="str">
        <f ca="1"/>
        <v/>
      </c>
      <c r="BV70" t="str">
        <f ca="1"/>
        <v/>
      </c>
      <c r="BW70" t="str">
        <f ca="1"/>
        <v/>
      </c>
      <c r="BX70" t="str">
        <f ca="1"/>
        <v/>
      </c>
      <c r="BY70" t="str">
        <f ca="1"/>
        <v/>
      </c>
      <c r="BZ70" t="str">
        <f ca="1"/>
        <v/>
      </c>
      <c r="CA70" t="str">
        <f ca="1"/>
        <v/>
      </c>
      <c r="CB70" t="str">
        <f ca="1"/>
        <v/>
      </c>
      <c r="CC70" t="str">
        <f ca="1"/>
        <v/>
      </c>
      <c r="CD70" t="str">
        <f ca="1"/>
        <v/>
      </c>
      <c r="CE70" t="str">
        <f ca="1"/>
        <v/>
      </c>
      <c r="CF70" t="str">
        <f ca="1"/>
        <v/>
      </c>
      <c r="CG70" t="str">
        <f ca="1"/>
        <v/>
      </c>
      <c r="CH70" t="str">
        <f ca="1"/>
        <v/>
      </c>
      <c r="CI70" t="str">
        <f ca="1"/>
        <v/>
      </c>
      <c r="CJ70" t="str">
        <f ca="1"/>
        <v/>
      </c>
      <c r="CK70" t="str">
        <f ca="1"/>
        <v/>
      </c>
      <c r="CL70" t="str">
        <f ca="1"/>
        <v/>
      </c>
      <c r="CM70" t="str">
        <f ca="1"/>
        <v/>
      </c>
      <c r="CN70" t="str">
        <f ca="1"/>
        <v/>
      </c>
      <c r="CO70" t="str">
        <f ca="1"/>
        <v/>
      </c>
      <c r="CP70" t="str">
        <f ca="1"/>
        <v/>
      </c>
      <c r="CQ70" t="str">
        <f ca="1"/>
        <v/>
      </c>
      <c r="CR70" t="str">
        <f ca="1"/>
        <v/>
      </c>
      <c r="CS70" t="str">
        <f ca="1"/>
        <v/>
      </c>
      <c r="CT70" t="str">
        <f ca="1"/>
        <v/>
      </c>
      <c r="CU70" t="str">
        <f ca="1"/>
        <v/>
      </c>
      <c r="CV70" t="str">
        <f ca="1"/>
        <v/>
      </c>
      <c r="CW70" t="str">
        <f ca="1"/>
        <v/>
      </c>
      <c r="CX70" t="str">
        <f ca="1"/>
        <v/>
      </c>
      <c r="CY70" t="str">
        <f ca="1"/>
        <v/>
      </c>
      <c r="CZ70" t="str">
        <f ca="1"/>
        <v/>
      </c>
    </row>
    <row r="71" spans="5:104">
      <c r="E71" s="22" t="str">
        <f ca="1"/>
        <v/>
      </c>
      <c r="F71" s="22" t="str">
        <f ca="1"/>
        <v/>
      </c>
      <c r="G71" s="22" t="str">
        <f ca="1"/>
        <v/>
      </c>
      <c r="H71" s="22" t="str">
        <f ca="1"/>
        <v/>
      </c>
      <c r="I71" s="22" t="str">
        <f ca="1"/>
        <v/>
      </c>
      <c r="J71" s="22" t="str">
        <f ca="1"/>
        <v/>
      </c>
      <c r="K71" s="22" t="str">
        <f ca="1"/>
        <v/>
      </c>
      <c r="L71" s="22" t="str">
        <f ca="1"/>
        <v/>
      </c>
      <c r="M71" s="22" t="str">
        <f ca="1"/>
        <v/>
      </c>
      <c r="N71" s="22" t="str">
        <f ca="1"/>
        <v/>
      </c>
      <c r="O71" s="22" t="str">
        <f ca="1"/>
        <v/>
      </c>
      <c r="P71" s="22" t="str">
        <f ca="1"/>
        <v/>
      </c>
      <c r="Q71" t="str">
        <f ca="1"/>
        <v/>
      </c>
      <c r="R71" t="str">
        <f ca="1"/>
        <v/>
      </c>
      <c r="S71" t="str">
        <f ca="1"/>
        <v/>
      </c>
      <c r="T71" t="str">
        <f ca="1"/>
        <v/>
      </c>
      <c r="U71" t="str">
        <f ca="1"/>
        <v/>
      </c>
      <c r="V71" t="str">
        <f ca="1"/>
        <v/>
      </c>
      <c r="W71" t="str">
        <f ca="1"/>
        <v/>
      </c>
      <c r="X71" t="str">
        <f ca="1"/>
        <v/>
      </c>
      <c r="Y71" t="str">
        <f ca="1"/>
        <v/>
      </c>
      <c r="Z71" t="str">
        <f ca="1"/>
        <v/>
      </c>
      <c r="AA71" t="str">
        <f ca="1"/>
        <v/>
      </c>
      <c r="AB71" t="str">
        <f ca="1"/>
        <v/>
      </c>
      <c r="AC71" t="str">
        <f ca="1"/>
        <v/>
      </c>
      <c r="AD71" t="str">
        <f ca="1"/>
        <v/>
      </c>
      <c r="AE71" t="str">
        <f ca="1"/>
        <v/>
      </c>
      <c r="AF71" t="str">
        <f ca="1"/>
        <v/>
      </c>
      <c r="AG71" t="str">
        <f ca="1"/>
        <v/>
      </c>
      <c r="AH71" t="str">
        <f ca="1"/>
        <v/>
      </c>
      <c r="AI71" t="str">
        <f ca="1"/>
        <v/>
      </c>
      <c r="AJ71" t="str">
        <f ca="1"/>
        <v/>
      </c>
      <c r="AK71" t="str">
        <f ca="1"/>
        <v/>
      </c>
      <c r="AL71" t="str">
        <f ca="1"/>
        <v/>
      </c>
      <c r="AM71" t="str">
        <f ca="1"/>
        <v/>
      </c>
      <c r="AN71" t="str">
        <f ca="1"/>
        <v/>
      </c>
      <c r="AO71" t="str">
        <f ca="1"/>
        <v/>
      </c>
      <c r="AP71" t="str">
        <f ca="1"/>
        <v/>
      </c>
      <c r="AQ71" t="str">
        <f ca="1"/>
        <v/>
      </c>
      <c r="AR71" t="str">
        <f ca="1"/>
        <v/>
      </c>
      <c r="AS71" t="str">
        <f ca="1"/>
        <v/>
      </c>
      <c r="AT71" t="str">
        <f ca="1"/>
        <v/>
      </c>
      <c r="AU71" t="str">
        <f ca="1"/>
        <v/>
      </c>
      <c r="AV71" t="str">
        <f ca="1"/>
        <v/>
      </c>
      <c r="AW71" t="str">
        <f ca="1"/>
        <v/>
      </c>
      <c r="AX71" t="str">
        <f ca="1"/>
        <v/>
      </c>
      <c r="AY71" t="str">
        <f ca="1"/>
        <v/>
      </c>
      <c r="AZ71" t="str">
        <f ca="1"/>
        <v/>
      </c>
      <c r="BA71" t="str">
        <f ca="1"/>
        <v/>
      </c>
      <c r="BB71" t="str">
        <f ca="1"/>
        <v/>
      </c>
      <c r="BC71" t="str">
        <f ca="1"/>
        <v/>
      </c>
      <c r="BD71" t="str">
        <f ca="1"/>
        <v/>
      </c>
      <c r="BE71" t="str">
        <f ca="1"/>
        <v/>
      </c>
      <c r="BF71" t="str">
        <f ca="1"/>
        <v/>
      </c>
      <c r="BG71" t="str">
        <f ca="1"/>
        <v/>
      </c>
      <c r="BH71" t="str">
        <f ca="1"/>
        <v/>
      </c>
      <c r="BI71" t="str">
        <f ca="1"/>
        <v/>
      </c>
      <c r="BJ71" t="str">
        <f ca="1"/>
        <v/>
      </c>
      <c r="BK71" t="str">
        <f ca="1"/>
        <v/>
      </c>
      <c r="BL71" t="str">
        <f ca="1"/>
        <v/>
      </c>
      <c r="BM71" t="str">
        <f ca="1"/>
        <v/>
      </c>
      <c r="BN71" t="str">
        <f ca="1"/>
        <v/>
      </c>
      <c r="BO71" t="str">
        <f ca="1"/>
        <v/>
      </c>
      <c r="BP71" t="str">
        <f ca="1"/>
        <v/>
      </c>
      <c r="BQ71" t="str">
        <f ca="1"/>
        <v/>
      </c>
      <c r="BR71" t="str">
        <f ca="1"/>
        <v/>
      </c>
      <c r="BS71" t="str">
        <f ca="1"/>
        <v/>
      </c>
      <c r="BT71" t="str">
        <f ca="1"/>
        <v/>
      </c>
      <c r="BU71" t="str">
        <f ca="1"/>
        <v/>
      </c>
      <c r="BV71" t="str">
        <f ca="1"/>
        <v/>
      </c>
      <c r="BW71" t="str">
        <f ca="1"/>
        <v/>
      </c>
      <c r="BX71" t="str">
        <f ca="1"/>
        <v/>
      </c>
      <c r="BY71" t="str">
        <f ca="1"/>
        <v/>
      </c>
      <c r="BZ71" t="str">
        <f ca="1"/>
        <v/>
      </c>
      <c r="CA71" t="str">
        <f ca="1"/>
        <v/>
      </c>
      <c r="CB71" t="str">
        <f ca="1"/>
        <v/>
      </c>
      <c r="CC71" t="str">
        <f ca="1"/>
        <v/>
      </c>
      <c r="CD71" t="str">
        <f ca="1"/>
        <v/>
      </c>
      <c r="CE71" t="str">
        <f ca="1"/>
        <v/>
      </c>
      <c r="CF71" t="str">
        <f ca="1"/>
        <v/>
      </c>
      <c r="CG71" t="str">
        <f ca="1"/>
        <v/>
      </c>
      <c r="CH71" t="str">
        <f ca="1"/>
        <v/>
      </c>
      <c r="CI71" t="str">
        <f ca="1"/>
        <v/>
      </c>
      <c r="CJ71" t="str">
        <f ca="1"/>
        <v/>
      </c>
      <c r="CK71" t="str">
        <f ca="1"/>
        <v/>
      </c>
      <c r="CL71" t="str">
        <f ca="1"/>
        <v/>
      </c>
      <c r="CM71" t="str">
        <f ca="1"/>
        <v/>
      </c>
      <c r="CN71" t="str">
        <f ca="1"/>
        <v/>
      </c>
      <c r="CO71" t="str">
        <f ca="1"/>
        <v/>
      </c>
      <c r="CP71" t="str">
        <f ca="1"/>
        <v/>
      </c>
      <c r="CQ71" t="str">
        <f ca="1"/>
        <v/>
      </c>
      <c r="CR71" t="str">
        <f ca="1"/>
        <v/>
      </c>
      <c r="CS71" t="str">
        <f ca="1"/>
        <v/>
      </c>
      <c r="CT71" t="str">
        <f ca="1"/>
        <v/>
      </c>
      <c r="CU71" t="str">
        <f ca="1"/>
        <v/>
      </c>
      <c r="CV71" t="str">
        <f ca="1"/>
        <v/>
      </c>
      <c r="CW71" t="str">
        <f ca="1"/>
        <v/>
      </c>
      <c r="CX71" t="str">
        <f ca="1"/>
        <v/>
      </c>
      <c r="CY71" t="str">
        <f ca="1"/>
        <v/>
      </c>
      <c r="CZ71" t="str">
        <f ca="1"/>
        <v/>
      </c>
    </row>
    <row r="72" spans="5:104">
      <c r="E72" s="22" t="str">
        <f ca="1"/>
        <v/>
      </c>
      <c r="F72" s="22" t="str">
        <f ca="1"/>
        <v/>
      </c>
      <c r="G72" s="22" t="str">
        <f ca="1"/>
        <v/>
      </c>
      <c r="H72" s="22" t="str">
        <f ca="1"/>
        <v/>
      </c>
      <c r="I72" s="22" t="str">
        <f ca="1"/>
        <v/>
      </c>
      <c r="J72" s="22" t="str">
        <f ca="1"/>
        <v/>
      </c>
      <c r="K72" s="22" t="str">
        <f ca="1"/>
        <v/>
      </c>
      <c r="L72" s="22" t="str">
        <f ca="1"/>
        <v/>
      </c>
      <c r="M72" s="22" t="str">
        <f ca="1"/>
        <v/>
      </c>
      <c r="N72" s="22" t="str">
        <f ca="1"/>
        <v/>
      </c>
      <c r="O72" s="22" t="str">
        <f ca="1"/>
        <v/>
      </c>
      <c r="P72" s="22" t="str">
        <f ca="1"/>
        <v/>
      </c>
      <c r="Q72" t="str">
        <f ca="1"/>
        <v/>
      </c>
      <c r="R72" t="str">
        <f ca="1"/>
        <v/>
      </c>
      <c r="S72" t="str">
        <f ca="1"/>
        <v/>
      </c>
      <c r="T72" t="str">
        <f ca="1"/>
        <v/>
      </c>
      <c r="U72" t="str">
        <f ca="1"/>
        <v/>
      </c>
      <c r="V72" t="str">
        <f ca="1"/>
        <v/>
      </c>
      <c r="W72" t="str">
        <f ca="1"/>
        <v/>
      </c>
      <c r="X72" t="str">
        <f ca="1"/>
        <v/>
      </c>
      <c r="Y72" t="str">
        <f ca="1"/>
        <v/>
      </c>
      <c r="Z72" t="str">
        <f ca="1"/>
        <v/>
      </c>
      <c r="AA72" t="str">
        <f ca="1"/>
        <v/>
      </c>
      <c r="AB72" t="str">
        <f ca="1"/>
        <v/>
      </c>
      <c r="AC72" t="str">
        <f ca="1"/>
        <v/>
      </c>
      <c r="AD72" t="str">
        <f ca="1"/>
        <v/>
      </c>
      <c r="AE72" t="str">
        <f ca="1"/>
        <v/>
      </c>
      <c r="AF72" t="str">
        <f ca="1"/>
        <v/>
      </c>
      <c r="AG72" t="str">
        <f ca="1"/>
        <v/>
      </c>
      <c r="AH72" t="str">
        <f ca="1"/>
        <v/>
      </c>
      <c r="AI72" t="str">
        <f ca="1"/>
        <v/>
      </c>
      <c r="AJ72" t="str">
        <f ca="1"/>
        <v/>
      </c>
      <c r="AK72" t="str">
        <f ca="1"/>
        <v/>
      </c>
      <c r="AL72" t="str">
        <f ca="1"/>
        <v/>
      </c>
      <c r="AM72" t="str">
        <f ca="1"/>
        <v/>
      </c>
      <c r="AN72" t="str">
        <f ca="1"/>
        <v/>
      </c>
      <c r="AO72" t="str">
        <f ca="1"/>
        <v/>
      </c>
      <c r="AP72" t="str">
        <f ca="1"/>
        <v/>
      </c>
      <c r="AQ72" t="str">
        <f ca="1"/>
        <v/>
      </c>
      <c r="AR72" t="str">
        <f ca="1"/>
        <v/>
      </c>
      <c r="AS72" t="str">
        <f ca="1"/>
        <v/>
      </c>
      <c r="AT72" t="str">
        <f ca="1"/>
        <v/>
      </c>
      <c r="AU72" t="str">
        <f ca="1"/>
        <v/>
      </c>
      <c r="AV72" t="str">
        <f ca="1"/>
        <v/>
      </c>
      <c r="AW72" t="str">
        <f ca="1"/>
        <v/>
      </c>
      <c r="AX72" t="str">
        <f ca="1"/>
        <v/>
      </c>
      <c r="AY72" t="str">
        <f ca="1"/>
        <v/>
      </c>
      <c r="AZ72" t="str">
        <f ca="1"/>
        <v/>
      </c>
      <c r="BA72" t="str">
        <f ca="1"/>
        <v/>
      </c>
      <c r="BB72" t="str">
        <f ca="1"/>
        <v/>
      </c>
      <c r="BC72" t="str">
        <f ca="1"/>
        <v/>
      </c>
      <c r="BD72" t="str">
        <f ca="1"/>
        <v/>
      </c>
      <c r="BE72" t="str">
        <f ca="1"/>
        <v/>
      </c>
      <c r="BF72" t="str">
        <f ca="1"/>
        <v/>
      </c>
      <c r="BG72" t="str">
        <f ca="1"/>
        <v/>
      </c>
      <c r="BH72" t="str">
        <f ca="1"/>
        <v/>
      </c>
      <c r="BI72" t="str">
        <f ca="1"/>
        <v/>
      </c>
      <c r="BJ72" t="str">
        <f ca="1"/>
        <v/>
      </c>
      <c r="BK72" t="str">
        <f ca="1"/>
        <v/>
      </c>
      <c r="BL72" t="str">
        <f ca="1"/>
        <v/>
      </c>
      <c r="BM72" t="str">
        <f ca="1"/>
        <v/>
      </c>
      <c r="BN72" t="str">
        <f ca="1"/>
        <v/>
      </c>
      <c r="BO72" t="str">
        <f ca="1"/>
        <v/>
      </c>
      <c r="BP72" t="str">
        <f ca="1"/>
        <v/>
      </c>
      <c r="BQ72" t="str">
        <f ca="1"/>
        <v/>
      </c>
      <c r="BR72" t="str">
        <f ca="1"/>
        <v/>
      </c>
      <c r="BS72" t="str">
        <f ca="1"/>
        <v/>
      </c>
      <c r="BT72" t="str">
        <f ca="1"/>
        <v/>
      </c>
      <c r="BU72" t="str">
        <f ca="1"/>
        <v/>
      </c>
      <c r="BV72" t="str">
        <f ca="1"/>
        <v/>
      </c>
      <c r="BW72" t="str">
        <f ca="1"/>
        <v/>
      </c>
      <c r="BX72" t="str">
        <f ca="1"/>
        <v/>
      </c>
      <c r="BY72" t="str">
        <f ca="1"/>
        <v/>
      </c>
      <c r="BZ72" t="str">
        <f ca="1"/>
        <v/>
      </c>
      <c r="CA72" t="str">
        <f ca="1"/>
        <v/>
      </c>
      <c r="CB72" t="str">
        <f ca="1"/>
        <v/>
      </c>
      <c r="CC72" t="str">
        <f ca="1"/>
        <v/>
      </c>
      <c r="CD72" t="str">
        <f ca="1"/>
        <v/>
      </c>
      <c r="CE72" t="str">
        <f ca="1"/>
        <v/>
      </c>
      <c r="CF72" t="str">
        <f ca="1"/>
        <v/>
      </c>
      <c r="CG72" t="str">
        <f ca="1"/>
        <v/>
      </c>
      <c r="CH72" t="str">
        <f ca="1"/>
        <v/>
      </c>
      <c r="CI72" t="str">
        <f ca="1"/>
        <v/>
      </c>
      <c r="CJ72" t="str">
        <f ca="1"/>
        <v/>
      </c>
      <c r="CK72" t="str">
        <f ca="1"/>
        <v/>
      </c>
      <c r="CL72" t="str">
        <f ca="1"/>
        <v/>
      </c>
      <c r="CM72" t="str">
        <f ca="1"/>
        <v/>
      </c>
      <c r="CN72" t="str">
        <f ca="1"/>
        <v/>
      </c>
      <c r="CO72" t="str">
        <f ca="1"/>
        <v/>
      </c>
      <c r="CP72" t="str">
        <f ca="1"/>
        <v/>
      </c>
      <c r="CQ72" t="str">
        <f ca="1"/>
        <v/>
      </c>
      <c r="CR72" t="str">
        <f ca="1"/>
        <v/>
      </c>
      <c r="CS72" t="str">
        <f ca="1"/>
        <v/>
      </c>
      <c r="CT72" t="str">
        <f ca="1"/>
        <v/>
      </c>
      <c r="CU72" t="str">
        <f ca="1"/>
        <v/>
      </c>
      <c r="CV72" t="str">
        <f ca="1"/>
        <v/>
      </c>
      <c r="CW72" t="str">
        <f ca="1"/>
        <v/>
      </c>
      <c r="CX72" t="str">
        <f ca="1"/>
        <v/>
      </c>
      <c r="CY72" t="str">
        <f ca="1"/>
        <v/>
      </c>
      <c r="CZ72" t="str">
        <f ca="1"/>
        <v/>
      </c>
    </row>
    <row r="73" spans="5:104">
      <c r="E73" s="22" t="str">
        <f ca="1"/>
        <v/>
      </c>
      <c r="F73" s="22" t="str">
        <f ca="1"/>
        <v/>
      </c>
      <c r="G73" s="22" t="str">
        <f ca="1"/>
        <v/>
      </c>
      <c r="H73" s="22" t="str">
        <f ca="1"/>
        <v/>
      </c>
      <c r="I73" s="22" t="str">
        <f ca="1"/>
        <v/>
      </c>
      <c r="J73" s="22" t="str">
        <f ca="1"/>
        <v/>
      </c>
      <c r="K73" s="22" t="str">
        <f ca="1"/>
        <v/>
      </c>
      <c r="L73" s="22" t="str">
        <f ca="1"/>
        <v/>
      </c>
      <c r="M73" s="22" t="str">
        <f ca="1"/>
        <v/>
      </c>
      <c r="N73" s="22" t="str">
        <f ca="1"/>
        <v/>
      </c>
      <c r="O73" s="22" t="str">
        <f ca="1"/>
        <v/>
      </c>
      <c r="P73" s="22" t="str">
        <f ca="1"/>
        <v/>
      </c>
      <c r="Q73" t="str">
        <f ca="1"/>
        <v/>
      </c>
      <c r="R73" t="str">
        <f ca="1"/>
        <v/>
      </c>
      <c r="S73" t="str">
        <f ca="1"/>
        <v/>
      </c>
      <c r="T73" t="str">
        <f ca="1"/>
        <v/>
      </c>
      <c r="U73" t="str">
        <f ca="1"/>
        <v/>
      </c>
      <c r="V73" t="str">
        <f ca="1"/>
        <v/>
      </c>
      <c r="W73" t="str">
        <f ca="1"/>
        <v/>
      </c>
      <c r="X73" t="str">
        <f ca="1"/>
        <v/>
      </c>
      <c r="Y73" t="str">
        <f ca="1"/>
        <v/>
      </c>
      <c r="Z73" t="str">
        <f ca="1"/>
        <v/>
      </c>
      <c r="AA73" t="str">
        <f ca="1"/>
        <v/>
      </c>
      <c r="AB73" t="str">
        <f ca="1"/>
        <v/>
      </c>
      <c r="AC73" t="str">
        <f ca="1"/>
        <v/>
      </c>
      <c r="AD73" t="str">
        <f ca="1"/>
        <v/>
      </c>
      <c r="AE73" t="str">
        <f ca="1"/>
        <v/>
      </c>
      <c r="AF73" t="str">
        <f ca="1"/>
        <v/>
      </c>
      <c r="AG73" t="str">
        <f ca="1"/>
        <v/>
      </c>
      <c r="AH73" t="str">
        <f ca="1"/>
        <v/>
      </c>
      <c r="AI73" t="str">
        <f ca="1"/>
        <v/>
      </c>
      <c r="AJ73" t="str">
        <f ca="1"/>
        <v/>
      </c>
      <c r="AK73" t="str">
        <f ca="1"/>
        <v/>
      </c>
      <c r="AL73" t="str">
        <f ca="1"/>
        <v/>
      </c>
      <c r="AM73" t="str">
        <f ca="1"/>
        <v/>
      </c>
      <c r="AN73" t="str">
        <f ca="1"/>
        <v/>
      </c>
      <c r="AO73" t="str">
        <f ca="1"/>
        <v/>
      </c>
      <c r="AP73" t="str">
        <f ca="1"/>
        <v/>
      </c>
      <c r="AQ73" t="str">
        <f ca="1"/>
        <v/>
      </c>
      <c r="AR73" t="str">
        <f ca="1"/>
        <v/>
      </c>
      <c r="AS73" t="str">
        <f ca="1"/>
        <v/>
      </c>
      <c r="AT73" t="str">
        <f ca="1"/>
        <v/>
      </c>
      <c r="AU73" t="str">
        <f ca="1"/>
        <v/>
      </c>
      <c r="AV73" t="str">
        <f ca="1"/>
        <v/>
      </c>
      <c r="AW73" t="str">
        <f ca="1"/>
        <v/>
      </c>
      <c r="AX73" t="str">
        <f ca="1"/>
        <v/>
      </c>
      <c r="AY73" t="str">
        <f ca="1"/>
        <v/>
      </c>
      <c r="AZ73" t="str">
        <f ca="1"/>
        <v/>
      </c>
      <c r="BA73" t="str">
        <f ca="1"/>
        <v/>
      </c>
      <c r="BB73" t="str">
        <f ca="1"/>
        <v/>
      </c>
      <c r="BC73" t="str">
        <f ca="1"/>
        <v/>
      </c>
      <c r="BD73" t="str">
        <f ca="1"/>
        <v/>
      </c>
      <c r="BE73" t="str">
        <f ca="1"/>
        <v/>
      </c>
      <c r="BF73" t="str">
        <f ca="1"/>
        <v/>
      </c>
      <c r="BG73" t="str">
        <f ca="1"/>
        <v/>
      </c>
      <c r="BH73" t="str">
        <f ca="1"/>
        <v/>
      </c>
      <c r="BI73" t="str">
        <f ca="1"/>
        <v/>
      </c>
      <c r="BJ73" t="str">
        <f ca="1"/>
        <v/>
      </c>
      <c r="BK73" t="str">
        <f ca="1"/>
        <v/>
      </c>
      <c r="BL73" t="str">
        <f ca="1"/>
        <v/>
      </c>
      <c r="BM73" t="str">
        <f ca="1"/>
        <v/>
      </c>
      <c r="BN73" t="str">
        <f ca="1"/>
        <v/>
      </c>
      <c r="BO73" t="str">
        <f ca="1"/>
        <v/>
      </c>
      <c r="BP73" t="str">
        <f ca="1"/>
        <v/>
      </c>
      <c r="BQ73" t="str">
        <f ca="1"/>
        <v/>
      </c>
      <c r="BR73" t="str">
        <f ca="1"/>
        <v/>
      </c>
      <c r="BS73" t="str">
        <f ca="1"/>
        <v/>
      </c>
      <c r="BT73" t="str">
        <f ca="1"/>
        <v/>
      </c>
      <c r="BU73" t="str">
        <f ca="1"/>
        <v/>
      </c>
      <c r="BV73" t="str">
        <f ca="1"/>
        <v/>
      </c>
      <c r="BW73" t="str">
        <f ca="1"/>
        <v/>
      </c>
      <c r="BX73" t="str">
        <f ca="1"/>
        <v/>
      </c>
      <c r="BY73" t="str">
        <f ca="1"/>
        <v/>
      </c>
      <c r="BZ73" t="str">
        <f ca="1"/>
        <v/>
      </c>
      <c r="CA73" t="str">
        <f ca="1"/>
        <v/>
      </c>
      <c r="CB73" t="str">
        <f ca="1"/>
        <v/>
      </c>
      <c r="CC73" t="str">
        <f ca="1"/>
        <v/>
      </c>
      <c r="CD73" t="str">
        <f ca="1"/>
        <v/>
      </c>
      <c r="CE73" t="str">
        <f ca="1"/>
        <v/>
      </c>
      <c r="CF73" t="str">
        <f ca="1"/>
        <v/>
      </c>
      <c r="CG73" t="str">
        <f ca="1"/>
        <v/>
      </c>
      <c r="CH73" t="str">
        <f ca="1"/>
        <v/>
      </c>
      <c r="CI73" t="str">
        <f ca="1"/>
        <v/>
      </c>
      <c r="CJ73" t="str">
        <f ca="1"/>
        <v/>
      </c>
      <c r="CK73" t="str">
        <f ca="1"/>
        <v/>
      </c>
      <c r="CL73" t="str">
        <f ca="1"/>
        <v/>
      </c>
      <c r="CM73" t="str">
        <f ca="1"/>
        <v/>
      </c>
      <c r="CN73" t="str">
        <f ca="1"/>
        <v/>
      </c>
      <c r="CO73" t="str">
        <f ca="1"/>
        <v/>
      </c>
      <c r="CP73" t="str">
        <f ca="1"/>
        <v/>
      </c>
      <c r="CQ73" t="str">
        <f ca="1"/>
        <v/>
      </c>
      <c r="CR73" t="str">
        <f ca="1"/>
        <v/>
      </c>
      <c r="CS73" t="str">
        <f ca="1"/>
        <v/>
      </c>
      <c r="CT73" t="str">
        <f ca="1"/>
        <v/>
      </c>
      <c r="CU73" t="str">
        <f ca="1"/>
        <v/>
      </c>
      <c r="CV73" t="str">
        <f ca="1"/>
        <v/>
      </c>
      <c r="CW73" t="str">
        <f ca="1"/>
        <v/>
      </c>
      <c r="CX73" t="str">
        <f ca="1"/>
        <v/>
      </c>
      <c r="CY73" t="str">
        <f ca="1"/>
        <v/>
      </c>
      <c r="CZ73" t="str">
        <f ca="1"/>
        <v/>
      </c>
    </row>
    <row r="74" spans="5:104">
      <c r="E74" s="22" t="str">
        <f ca="1"/>
        <v/>
      </c>
      <c r="F74" s="22" t="str">
        <f ca="1"/>
        <v/>
      </c>
      <c r="G74" s="22" t="str">
        <f ca="1"/>
        <v/>
      </c>
      <c r="H74" s="22" t="str">
        <f ca="1"/>
        <v/>
      </c>
      <c r="I74" s="22" t="str">
        <f ca="1"/>
        <v/>
      </c>
      <c r="J74" s="22" t="str">
        <f ca="1"/>
        <v/>
      </c>
      <c r="K74" s="22" t="str">
        <f ca="1"/>
        <v/>
      </c>
      <c r="L74" s="22" t="str">
        <f ca="1"/>
        <v/>
      </c>
      <c r="M74" s="22" t="str">
        <f ca="1"/>
        <v/>
      </c>
      <c r="N74" s="22" t="str">
        <f ca="1"/>
        <v/>
      </c>
      <c r="O74" s="22" t="str">
        <f ca="1"/>
        <v/>
      </c>
      <c r="P74" s="22" t="str">
        <f ca="1"/>
        <v/>
      </c>
      <c r="Q74" t="str">
        <f ca="1"/>
        <v/>
      </c>
      <c r="R74" t="str">
        <f ca="1"/>
        <v/>
      </c>
      <c r="S74" t="str">
        <f ca="1"/>
        <v/>
      </c>
      <c r="T74" t="str">
        <f ca="1"/>
        <v/>
      </c>
      <c r="U74" t="str">
        <f ca="1"/>
        <v/>
      </c>
      <c r="V74" t="str">
        <f ca="1"/>
        <v/>
      </c>
      <c r="W74" t="str">
        <f ca="1"/>
        <v/>
      </c>
      <c r="X74" t="str">
        <f ca="1"/>
        <v/>
      </c>
      <c r="Y74" t="str">
        <f ca="1"/>
        <v/>
      </c>
      <c r="Z74" t="str">
        <f ca="1"/>
        <v/>
      </c>
      <c r="AA74" t="str">
        <f ca="1"/>
        <v/>
      </c>
      <c r="AB74" t="str">
        <f ca="1"/>
        <v/>
      </c>
      <c r="AC74" t="str">
        <f ca="1"/>
        <v/>
      </c>
      <c r="AD74" t="str">
        <f ca="1"/>
        <v/>
      </c>
      <c r="AE74" t="str">
        <f ca="1"/>
        <v/>
      </c>
      <c r="AF74" t="str">
        <f ca="1"/>
        <v/>
      </c>
      <c r="AG74" t="str">
        <f ca="1"/>
        <v/>
      </c>
      <c r="AH74" t="str">
        <f ca="1"/>
        <v/>
      </c>
      <c r="AI74" t="str">
        <f ca="1"/>
        <v/>
      </c>
      <c r="AJ74" t="str">
        <f ca="1"/>
        <v/>
      </c>
      <c r="AK74" t="str">
        <f ca="1"/>
        <v/>
      </c>
      <c r="AL74" t="str">
        <f ca="1"/>
        <v/>
      </c>
      <c r="AM74" t="str">
        <f ca="1"/>
        <v/>
      </c>
      <c r="AN74" t="str">
        <f ca="1"/>
        <v/>
      </c>
      <c r="AO74" t="str">
        <f ca="1"/>
        <v/>
      </c>
      <c r="AP74" t="str">
        <f ca="1"/>
        <v/>
      </c>
      <c r="AQ74" t="str">
        <f ca="1"/>
        <v/>
      </c>
      <c r="AR74" t="str">
        <f ca="1"/>
        <v/>
      </c>
      <c r="AS74" t="str">
        <f ca="1"/>
        <v/>
      </c>
      <c r="AT74" t="str">
        <f ca="1"/>
        <v/>
      </c>
      <c r="AU74" t="str">
        <f ca="1"/>
        <v/>
      </c>
      <c r="AV74" t="str">
        <f ca="1"/>
        <v/>
      </c>
      <c r="AW74" t="str">
        <f ca="1"/>
        <v/>
      </c>
      <c r="AX74" t="str">
        <f ca="1"/>
        <v/>
      </c>
      <c r="AY74" t="str">
        <f ca="1"/>
        <v/>
      </c>
      <c r="AZ74" t="str">
        <f ca="1"/>
        <v/>
      </c>
      <c r="BA74" t="str">
        <f ca="1"/>
        <v/>
      </c>
      <c r="BB74" t="str">
        <f ca="1"/>
        <v/>
      </c>
      <c r="BC74" t="str">
        <f ca="1"/>
        <v/>
      </c>
      <c r="BD74" t="str">
        <f ca="1"/>
        <v/>
      </c>
      <c r="BE74" t="str">
        <f ca="1"/>
        <v/>
      </c>
      <c r="BF74" t="str">
        <f ca="1"/>
        <v/>
      </c>
      <c r="BG74" t="str">
        <f ca="1"/>
        <v/>
      </c>
      <c r="BH74" t="str">
        <f ca="1"/>
        <v/>
      </c>
      <c r="BI74" t="str">
        <f ca="1"/>
        <v/>
      </c>
      <c r="BJ74" t="str">
        <f ca="1"/>
        <v/>
      </c>
      <c r="BK74" t="str">
        <f ca="1"/>
        <v/>
      </c>
      <c r="BL74" t="str">
        <f ca="1"/>
        <v/>
      </c>
      <c r="BM74" t="str">
        <f ca="1"/>
        <v/>
      </c>
      <c r="BN74" t="str">
        <f ca="1"/>
        <v/>
      </c>
      <c r="BO74" t="str">
        <f ca="1"/>
        <v/>
      </c>
      <c r="BP74" t="str">
        <f ca="1"/>
        <v/>
      </c>
      <c r="BQ74" t="str">
        <f ca="1"/>
        <v/>
      </c>
      <c r="BR74" t="str">
        <f ca="1"/>
        <v/>
      </c>
      <c r="BS74" t="str">
        <f ca="1"/>
        <v/>
      </c>
      <c r="BT74" t="str">
        <f ca="1"/>
        <v/>
      </c>
      <c r="BU74" t="str">
        <f ca="1"/>
        <v/>
      </c>
      <c r="BV74" t="str">
        <f ca="1"/>
        <v/>
      </c>
      <c r="BW74" t="str">
        <f ca="1"/>
        <v/>
      </c>
      <c r="BX74" t="str">
        <f ca="1"/>
        <v/>
      </c>
      <c r="BY74" t="str">
        <f ca="1"/>
        <v/>
      </c>
      <c r="BZ74" t="str">
        <f ca="1"/>
        <v/>
      </c>
      <c r="CA74" t="str">
        <f ca="1"/>
        <v/>
      </c>
      <c r="CB74" t="str">
        <f ca="1"/>
        <v/>
      </c>
      <c r="CC74" t="str">
        <f ca="1"/>
        <v/>
      </c>
      <c r="CD74" t="str">
        <f ca="1"/>
        <v/>
      </c>
      <c r="CE74" t="str">
        <f ca="1"/>
        <v/>
      </c>
      <c r="CF74" t="str">
        <f ca="1"/>
        <v/>
      </c>
      <c r="CG74" t="str">
        <f ca="1"/>
        <v/>
      </c>
      <c r="CH74" t="str">
        <f ca="1"/>
        <v/>
      </c>
      <c r="CI74" t="str">
        <f ca="1"/>
        <v/>
      </c>
      <c r="CJ74" t="str">
        <f ca="1"/>
        <v/>
      </c>
      <c r="CK74" t="str">
        <f ca="1"/>
        <v/>
      </c>
      <c r="CL74" t="str">
        <f ca="1"/>
        <v/>
      </c>
      <c r="CM74" t="str">
        <f ca="1"/>
        <v/>
      </c>
      <c r="CN74" t="str">
        <f ca="1"/>
        <v/>
      </c>
      <c r="CO74" t="str">
        <f ca="1"/>
        <v/>
      </c>
      <c r="CP74" t="str">
        <f ca="1"/>
        <v/>
      </c>
      <c r="CQ74" t="str">
        <f ca="1"/>
        <v/>
      </c>
      <c r="CR74" t="str">
        <f ca="1"/>
        <v/>
      </c>
      <c r="CS74" t="str">
        <f ca="1"/>
        <v/>
      </c>
      <c r="CT74" t="str">
        <f ca="1"/>
        <v/>
      </c>
      <c r="CU74" t="str">
        <f ca="1"/>
        <v/>
      </c>
      <c r="CV74" t="str">
        <f ca="1"/>
        <v/>
      </c>
      <c r="CW74" t="str">
        <f ca="1"/>
        <v/>
      </c>
      <c r="CX74" t="str">
        <f ca="1"/>
        <v/>
      </c>
      <c r="CY74" t="str">
        <f ca="1"/>
        <v/>
      </c>
      <c r="CZ74" t="str">
        <f ca="1"/>
        <v/>
      </c>
    </row>
    <row r="75" spans="5:104">
      <c r="E75" s="22" t="str">
        <f ca="1"/>
        <v/>
      </c>
      <c r="F75" s="22" t="str">
        <f ca="1"/>
        <v/>
      </c>
      <c r="G75" s="22" t="str">
        <f ca="1"/>
        <v/>
      </c>
      <c r="H75" s="22" t="str">
        <f ca="1"/>
        <v/>
      </c>
      <c r="I75" s="22" t="str">
        <f ca="1"/>
        <v/>
      </c>
      <c r="J75" s="22" t="str">
        <f ca="1"/>
        <v/>
      </c>
      <c r="K75" s="22" t="str">
        <f ca="1"/>
        <v/>
      </c>
      <c r="L75" s="22" t="str">
        <f ca="1"/>
        <v/>
      </c>
      <c r="M75" s="22" t="str">
        <f ca="1"/>
        <v/>
      </c>
      <c r="N75" s="22" t="str">
        <f ca="1"/>
        <v/>
      </c>
      <c r="O75" s="22" t="str">
        <f ca="1"/>
        <v/>
      </c>
      <c r="P75" s="22" t="str">
        <f ca="1"/>
        <v/>
      </c>
      <c r="Q75" t="str">
        <f ca="1"/>
        <v/>
      </c>
      <c r="R75" t="str">
        <f ca="1"/>
        <v/>
      </c>
      <c r="S75" t="str">
        <f ca="1"/>
        <v/>
      </c>
      <c r="T75" t="str">
        <f ca="1"/>
        <v/>
      </c>
      <c r="U75" t="str">
        <f ca="1"/>
        <v/>
      </c>
      <c r="V75" t="str">
        <f ca="1"/>
        <v/>
      </c>
      <c r="W75" t="str">
        <f ca="1"/>
        <v/>
      </c>
      <c r="X75" t="str">
        <f ca="1"/>
        <v/>
      </c>
      <c r="Y75" t="str">
        <f ca="1"/>
        <v/>
      </c>
      <c r="Z75" t="str">
        <f ca="1"/>
        <v/>
      </c>
      <c r="AA75" t="str">
        <f ca="1"/>
        <v/>
      </c>
      <c r="AB75" t="str">
        <f ca="1"/>
        <v/>
      </c>
      <c r="AC75" t="str">
        <f ca="1"/>
        <v/>
      </c>
      <c r="AD75" t="str">
        <f ca="1"/>
        <v/>
      </c>
      <c r="AE75" t="str">
        <f ca="1"/>
        <v/>
      </c>
      <c r="AF75" t="str">
        <f ca="1"/>
        <v/>
      </c>
      <c r="AG75" t="str">
        <f ca="1"/>
        <v/>
      </c>
      <c r="AH75" t="str">
        <f ca="1"/>
        <v/>
      </c>
      <c r="AI75" t="str">
        <f ca="1"/>
        <v/>
      </c>
      <c r="AJ75" t="str">
        <f ca="1"/>
        <v/>
      </c>
      <c r="AK75" t="str">
        <f ca="1"/>
        <v/>
      </c>
      <c r="AL75" t="str">
        <f ca="1"/>
        <v/>
      </c>
      <c r="AM75" t="str">
        <f ca="1"/>
        <v/>
      </c>
      <c r="AN75" t="str">
        <f ca="1"/>
        <v/>
      </c>
      <c r="AO75" t="str">
        <f ca="1"/>
        <v/>
      </c>
      <c r="AP75" t="str">
        <f ca="1"/>
        <v/>
      </c>
      <c r="AQ75" t="str">
        <f ca="1"/>
        <v/>
      </c>
      <c r="AR75" t="str">
        <f ca="1"/>
        <v/>
      </c>
      <c r="AS75" t="str">
        <f ca="1"/>
        <v/>
      </c>
      <c r="AT75" t="str">
        <f ca="1"/>
        <v/>
      </c>
      <c r="AU75" t="str">
        <f ca="1"/>
        <v/>
      </c>
      <c r="AV75" t="str">
        <f ca="1"/>
        <v/>
      </c>
      <c r="AW75" t="str">
        <f ca="1"/>
        <v/>
      </c>
      <c r="AX75" t="str">
        <f ca="1"/>
        <v/>
      </c>
      <c r="AY75" t="str">
        <f ca="1"/>
        <v/>
      </c>
      <c r="AZ75" t="str">
        <f ca="1"/>
        <v/>
      </c>
      <c r="BA75" t="str">
        <f ca="1"/>
        <v/>
      </c>
      <c r="BB75" t="str">
        <f ca="1"/>
        <v/>
      </c>
      <c r="BC75" t="str">
        <f ca="1"/>
        <v/>
      </c>
      <c r="BD75" t="str">
        <f ca="1"/>
        <v/>
      </c>
      <c r="BE75" t="str">
        <f ca="1"/>
        <v/>
      </c>
      <c r="BF75" t="str">
        <f ca="1"/>
        <v/>
      </c>
      <c r="BG75" t="str">
        <f ca="1"/>
        <v/>
      </c>
      <c r="BH75" t="str">
        <f ca="1"/>
        <v/>
      </c>
      <c r="BI75" t="str">
        <f ca="1"/>
        <v/>
      </c>
      <c r="BJ75" t="str">
        <f ca="1"/>
        <v/>
      </c>
      <c r="BK75" t="str">
        <f ca="1"/>
        <v/>
      </c>
      <c r="BL75" t="str">
        <f ca="1"/>
        <v/>
      </c>
      <c r="BM75" t="str">
        <f ca="1"/>
        <v/>
      </c>
      <c r="BN75" t="str">
        <f ca="1"/>
        <v/>
      </c>
      <c r="BO75" t="str">
        <f ca="1"/>
        <v/>
      </c>
      <c r="BP75" t="str">
        <f ca="1"/>
        <v/>
      </c>
      <c r="BQ75" t="str">
        <f ca="1"/>
        <v/>
      </c>
      <c r="BR75" t="str">
        <f ca="1"/>
        <v/>
      </c>
      <c r="BS75" t="str">
        <f ca="1"/>
        <v/>
      </c>
      <c r="BT75" t="str">
        <f ca="1"/>
        <v/>
      </c>
      <c r="BU75" t="str">
        <f ca="1"/>
        <v/>
      </c>
      <c r="BV75" t="str">
        <f ca="1"/>
        <v/>
      </c>
      <c r="BW75" t="str">
        <f ca="1"/>
        <v/>
      </c>
      <c r="BX75" t="str">
        <f ca="1"/>
        <v/>
      </c>
      <c r="BY75" t="str">
        <f ca="1"/>
        <v/>
      </c>
      <c r="BZ75" t="str">
        <f ca="1"/>
        <v/>
      </c>
      <c r="CA75" t="str">
        <f ca="1"/>
        <v/>
      </c>
      <c r="CB75" t="str">
        <f ca="1"/>
        <v/>
      </c>
      <c r="CC75" t="str">
        <f ca="1"/>
        <v/>
      </c>
      <c r="CD75" t="str">
        <f ca="1"/>
        <v/>
      </c>
      <c r="CE75" t="str">
        <f ca="1"/>
        <v/>
      </c>
      <c r="CF75" t="str">
        <f ca="1"/>
        <v/>
      </c>
      <c r="CG75" t="str">
        <f ca="1"/>
        <v/>
      </c>
      <c r="CH75" t="str">
        <f ca="1"/>
        <v/>
      </c>
      <c r="CI75" t="str">
        <f ca="1"/>
        <v/>
      </c>
      <c r="CJ75" t="str">
        <f ca="1"/>
        <v/>
      </c>
      <c r="CK75" t="str">
        <f ca="1"/>
        <v/>
      </c>
      <c r="CL75" t="str">
        <f ca="1"/>
        <v/>
      </c>
      <c r="CM75" t="str">
        <f ca="1"/>
        <v/>
      </c>
      <c r="CN75" t="str">
        <f ca="1"/>
        <v/>
      </c>
      <c r="CO75" t="str">
        <f ca="1"/>
        <v/>
      </c>
      <c r="CP75" t="str">
        <f ca="1"/>
        <v/>
      </c>
      <c r="CQ75" t="str">
        <f ca="1"/>
        <v/>
      </c>
      <c r="CR75" t="str">
        <f ca="1"/>
        <v/>
      </c>
      <c r="CS75" t="str">
        <f ca="1"/>
        <v/>
      </c>
      <c r="CT75" t="str">
        <f ca="1"/>
        <v/>
      </c>
      <c r="CU75" t="str">
        <f ca="1"/>
        <v/>
      </c>
      <c r="CV75" t="str">
        <f ca="1"/>
        <v/>
      </c>
      <c r="CW75" t="str">
        <f ca="1"/>
        <v/>
      </c>
      <c r="CX75" t="str">
        <f ca="1"/>
        <v/>
      </c>
      <c r="CY75" t="str">
        <f ca="1"/>
        <v/>
      </c>
      <c r="CZ75" t="str">
        <f ca="1"/>
        <v/>
      </c>
    </row>
    <row r="76" spans="5:104">
      <c r="E76" s="22" t="str">
        <f ca="1"/>
        <v/>
      </c>
      <c r="F76" s="22" t="str">
        <f ca="1"/>
        <v/>
      </c>
      <c r="G76" s="22" t="str">
        <f ca="1"/>
        <v/>
      </c>
      <c r="H76" s="22" t="str">
        <f ca="1"/>
        <v/>
      </c>
      <c r="I76" s="22" t="str">
        <f ca="1"/>
        <v/>
      </c>
      <c r="J76" s="22" t="str">
        <f ca="1"/>
        <v/>
      </c>
      <c r="K76" s="22" t="str">
        <f ca="1"/>
        <v/>
      </c>
      <c r="L76" s="22" t="str">
        <f ca="1"/>
        <v/>
      </c>
      <c r="M76" s="22" t="str">
        <f ca="1"/>
        <v/>
      </c>
      <c r="N76" s="22" t="str">
        <f ca="1"/>
        <v/>
      </c>
      <c r="O76" s="22" t="str">
        <f ca="1"/>
        <v/>
      </c>
      <c r="P76" s="22" t="str">
        <f ca="1"/>
        <v/>
      </c>
      <c r="Q76" t="str">
        <f ca="1"/>
        <v/>
      </c>
      <c r="R76" t="str">
        <f ca="1"/>
        <v/>
      </c>
      <c r="S76" t="str">
        <f ca="1"/>
        <v/>
      </c>
      <c r="T76" t="str">
        <f ca="1"/>
        <v/>
      </c>
      <c r="U76" t="str">
        <f ca="1"/>
        <v/>
      </c>
      <c r="V76" t="str">
        <f ca="1"/>
        <v/>
      </c>
      <c r="W76" t="str">
        <f ca="1"/>
        <v/>
      </c>
      <c r="X76" t="str">
        <f ca="1"/>
        <v/>
      </c>
      <c r="Y76" t="str">
        <f ca="1"/>
        <v/>
      </c>
      <c r="Z76" t="str">
        <f ca="1"/>
        <v/>
      </c>
      <c r="AA76" t="str">
        <f ca="1"/>
        <v/>
      </c>
      <c r="AB76" t="str">
        <f ca="1"/>
        <v/>
      </c>
      <c r="AC76" t="str">
        <f ca="1"/>
        <v/>
      </c>
      <c r="AD76" t="str">
        <f ca="1"/>
        <v/>
      </c>
      <c r="AE76" t="str">
        <f ca="1"/>
        <v/>
      </c>
      <c r="AF76" t="str">
        <f ca="1"/>
        <v/>
      </c>
      <c r="AG76" t="str">
        <f ca="1"/>
        <v/>
      </c>
      <c r="AH76" t="str">
        <f ca="1"/>
        <v/>
      </c>
      <c r="AI76" t="str">
        <f ca="1"/>
        <v/>
      </c>
      <c r="AJ76" t="str">
        <f ca="1"/>
        <v/>
      </c>
      <c r="AK76" t="str">
        <f ca="1"/>
        <v/>
      </c>
      <c r="AL76" t="str">
        <f ca="1"/>
        <v/>
      </c>
      <c r="AM76" t="str">
        <f ca="1"/>
        <v/>
      </c>
      <c r="AN76" t="str">
        <f ca="1"/>
        <v/>
      </c>
      <c r="AO76" t="str">
        <f ca="1"/>
        <v/>
      </c>
      <c r="AP76" t="str">
        <f ca="1"/>
        <v/>
      </c>
      <c r="AQ76" t="str">
        <f ca="1"/>
        <v/>
      </c>
      <c r="AR76" t="str">
        <f ca="1"/>
        <v/>
      </c>
      <c r="AS76" t="str">
        <f ca="1"/>
        <v/>
      </c>
      <c r="AT76" t="str">
        <f ca="1"/>
        <v/>
      </c>
      <c r="AU76" t="str">
        <f ca="1"/>
        <v/>
      </c>
      <c r="AV76" t="str">
        <f ca="1"/>
        <v/>
      </c>
      <c r="AW76" t="str">
        <f ca="1"/>
        <v/>
      </c>
      <c r="AX76" t="str">
        <f ca="1"/>
        <v/>
      </c>
      <c r="AY76" t="str">
        <f ca="1"/>
        <v/>
      </c>
      <c r="AZ76" t="str">
        <f ca="1"/>
        <v/>
      </c>
      <c r="BA76" t="str">
        <f ca="1"/>
        <v/>
      </c>
      <c r="BB76" t="str">
        <f ca="1"/>
        <v/>
      </c>
      <c r="BC76" t="str">
        <f ca="1"/>
        <v/>
      </c>
      <c r="BD76" t="str">
        <f ca="1"/>
        <v/>
      </c>
      <c r="BE76" t="str">
        <f ca="1"/>
        <v/>
      </c>
      <c r="BF76" t="str">
        <f ca="1"/>
        <v/>
      </c>
      <c r="BG76" t="str">
        <f ca="1"/>
        <v/>
      </c>
      <c r="BH76" t="str">
        <f ca="1"/>
        <v/>
      </c>
      <c r="BI76" t="str">
        <f ca="1"/>
        <v/>
      </c>
      <c r="BJ76" t="str">
        <f ca="1"/>
        <v/>
      </c>
      <c r="BK76" t="str">
        <f ca="1"/>
        <v/>
      </c>
      <c r="BL76" t="str">
        <f ca="1"/>
        <v/>
      </c>
      <c r="BM76" t="str">
        <f ca="1"/>
        <v/>
      </c>
      <c r="BN76" t="str">
        <f ca="1"/>
        <v/>
      </c>
      <c r="BO76" t="str">
        <f ca="1"/>
        <v/>
      </c>
      <c r="BP76" t="str">
        <f ca="1"/>
        <v/>
      </c>
      <c r="BQ76" t="str">
        <f ca="1"/>
        <v/>
      </c>
      <c r="BR76" t="str">
        <f ca="1"/>
        <v/>
      </c>
      <c r="BS76" t="str">
        <f ca="1"/>
        <v/>
      </c>
      <c r="BT76" t="str">
        <f ca="1"/>
        <v/>
      </c>
      <c r="BU76" t="str">
        <f ca="1"/>
        <v/>
      </c>
      <c r="BV76" t="str">
        <f ca="1"/>
        <v/>
      </c>
      <c r="BW76" t="str">
        <f ca="1"/>
        <v/>
      </c>
      <c r="BX76" t="str">
        <f ca="1"/>
        <v/>
      </c>
      <c r="BY76" t="str">
        <f ca="1"/>
        <v/>
      </c>
      <c r="BZ76" t="str">
        <f ca="1"/>
        <v/>
      </c>
      <c r="CA76" t="str">
        <f ca="1"/>
        <v/>
      </c>
      <c r="CB76" t="str">
        <f ca="1"/>
        <v/>
      </c>
      <c r="CC76" t="str">
        <f ca="1"/>
        <v/>
      </c>
      <c r="CD76" t="str">
        <f ca="1"/>
        <v/>
      </c>
      <c r="CE76" t="str">
        <f ca="1"/>
        <v/>
      </c>
      <c r="CF76" t="str">
        <f ca="1"/>
        <v/>
      </c>
      <c r="CG76" t="str">
        <f ca="1"/>
        <v/>
      </c>
      <c r="CH76" t="str">
        <f ca="1"/>
        <v/>
      </c>
      <c r="CI76" t="str">
        <f ca="1"/>
        <v/>
      </c>
      <c r="CJ76" t="str">
        <f ca="1"/>
        <v/>
      </c>
      <c r="CK76" t="str">
        <f ca="1"/>
        <v/>
      </c>
      <c r="CL76" t="str">
        <f ca="1"/>
        <v/>
      </c>
      <c r="CM76" t="str">
        <f ca="1"/>
        <v/>
      </c>
      <c r="CN76" t="str">
        <f ca="1"/>
        <v/>
      </c>
      <c r="CO76" t="str">
        <f ca="1"/>
        <v/>
      </c>
      <c r="CP76" t="str">
        <f ca="1"/>
        <v/>
      </c>
      <c r="CQ76" t="str">
        <f ca="1"/>
        <v/>
      </c>
      <c r="CR76" t="str">
        <f ca="1"/>
        <v/>
      </c>
      <c r="CS76" t="str">
        <f ca="1"/>
        <v/>
      </c>
      <c r="CT76" t="str">
        <f ca="1"/>
        <v/>
      </c>
      <c r="CU76" t="str">
        <f ca="1"/>
        <v/>
      </c>
      <c r="CV76" t="str">
        <f ca="1"/>
        <v/>
      </c>
      <c r="CW76" t="str">
        <f ca="1"/>
        <v/>
      </c>
      <c r="CX76" t="str">
        <f ca="1"/>
        <v/>
      </c>
      <c r="CY76" t="str">
        <f ca="1"/>
        <v/>
      </c>
      <c r="CZ76" t="str">
        <f ca="1"/>
        <v/>
      </c>
    </row>
    <row r="77" spans="5:104">
      <c r="E77" s="22" t="str">
        <f ca="1"/>
        <v/>
      </c>
      <c r="F77" s="22" t="str">
        <f ca="1"/>
        <v/>
      </c>
      <c r="G77" s="22" t="str">
        <f ca="1"/>
        <v/>
      </c>
      <c r="H77" s="22" t="str">
        <f ca="1"/>
        <v/>
      </c>
      <c r="I77" s="22" t="str">
        <f ca="1"/>
        <v/>
      </c>
      <c r="J77" s="22" t="str">
        <f ca="1"/>
        <v/>
      </c>
      <c r="K77" s="22" t="str">
        <f ca="1"/>
        <v/>
      </c>
      <c r="L77" s="22" t="str">
        <f ca="1"/>
        <v/>
      </c>
      <c r="M77" s="22" t="str">
        <f ca="1"/>
        <v/>
      </c>
      <c r="N77" s="22" t="str">
        <f ca="1"/>
        <v/>
      </c>
      <c r="O77" s="22" t="str">
        <f ca="1"/>
        <v/>
      </c>
      <c r="P77" s="22" t="str">
        <f ca="1"/>
        <v/>
      </c>
      <c r="Q77" t="str">
        <f ca="1"/>
        <v/>
      </c>
      <c r="R77" t="str">
        <f ca="1"/>
        <v/>
      </c>
      <c r="S77" t="str">
        <f ca="1"/>
        <v/>
      </c>
      <c r="T77" t="str">
        <f ca="1"/>
        <v/>
      </c>
      <c r="U77" t="str">
        <f ca="1"/>
        <v/>
      </c>
      <c r="V77" t="str">
        <f ca="1"/>
        <v/>
      </c>
      <c r="W77" t="str">
        <f ca="1"/>
        <v/>
      </c>
      <c r="X77" t="str">
        <f ca="1"/>
        <v/>
      </c>
      <c r="Y77" t="str">
        <f ca="1"/>
        <v/>
      </c>
      <c r="Z77" t="str">
        <f ca="1"/>
        <v/>
      </c>
      <c r="AA77" t="str">
        <f ca="1"/>
        <v/>
      </c>
      <c r="AB77" t="str">
        <f ca="1"/>
        <v/>
      </c>
      <c r="AC77" t="str">
        <f ca="1"/>
        <v/>
      </c>
      <c r="AD77" t="str">
        <f ca="1"/>
        <v/>
      </c>
      <c r="AE77" t="str">
        <f ca="1"/>
        <v/>
      </c>
      <c r="AF77" t="str">
        <f ca="1"/>
        <v/>
      </c>
      <c r="AG77" t="str">
        <f ca="1"/>
        <v/>
      </c>
      <c r="AH77" t="str">
        <f ca="1"/>
        <v/>
      </c>
      <c r="AI77" t="str">
        <f ca="1"/>
        <v/>
      </c>
      <c r="AJ77" t="str">
        <f ca="1"/>
        <v/>
      </c>
      <c r="AK77" t="str">
        <f ca="1"/>
        <v/>
      </c>
      <c r="AL77" t="str">
        <f ca="1"/>
        <v/>
      </c>
      <c r="AM77" t="str">
        <f ca="1"/>
        <v/>
      </c>
      <c r="AN77" t="str">
        <f ca="1"/>
        <v/>
      </c>
      <c r="AO77" t="str">
        <f ca="1"/>
        <v/>
      </c>
      <c r="AP77" t="str">
        <f ca="1"/>
        <v/>
      </c>
      <c r="AQ77" t="str">
        <f ca="1"/>
        <v/>
      </c>
      <c r="AR77" t="str">
        <f ca="1"/>
        <v/>
      </c>
      <c r="AS77" t="str">
        <f ca="1"/>
        <v/>
      </c>
      <c r="AT77" t="str">
        <f ca="1"/>
        <v/>
      </c>
      <c r="AU77" t="str">
        <f ca="1"/>
        <v/>
      </c>
      <c r="AV77" t="str">
        <f ca="1"/>
        <v/>
      </c>
      <c r="AW77" t="str">
        <f ca="1"/>
        <v/>
      </c>
      <c r="AX77" t="str">
        <f ca="1"/>
        <v/>
      </c>
      <c r="AY77" t="str">
        <f ca="1"/>
        <v/>
      </c>
      <c r="AZ77" t="str">
        <f ca="1"/>
        <v/>
      </c>
      <c r="BA77" t="str">
        <f ca="1"/>
        <v/>
      </c>
      <c r="BB77" t="str">
        <f ca="1"/>
        <v/>
      </c>
      <c r="BC77" t="str">
        <f ca="1"/>
        <v/>
      </c>
      <c r="BD77" t="str">
        <f ca="1"/>
        <v/>
      </c>
      <c r="BE77" t="str">
        <f ca="1"/>
        <v/>
      </c>
      <c r="BF77" t="str">
        <f ca="1"/>
        <v/>
      </c>
      <c r="BG77" t="str">
        <f ca="1"/>
        <v/>
      </c>
      <c r="BH77" t="str">
        <f ca="1"/>
        <v/>
      </c>
      <c r="BI77" t="str">
        <f ca="1"/>
        <v/>
      </c>
      <c r="BJ77" t="str">
        <f ca="1"/>
        <v/>
      </c>
      <c r="BK77" t="str">
        <f ca="1"/>
        <v/>
      </c>
      <c r="BL77" t="str">
        <f ca="1"/>
        <v/>
      </c>
      <c r="BM77" t="str">
        <f ca="1"/>
        <v/>
      </c>
      <c r="BN77" t="str">
        <f ca="1"/>
        <v/>
      </c>
      <c r="BO77" t="str">
        <f ca="1"/>
        <v/>
      </c>
      <c r="BP77" t="str">
        <f ca="1"/>
        <v/>
      </c>
      <c r="BQ77" t="str">
        <f ca="1"/>
        <v/>
      </c>
      <c r="BR77" t="str">
        <f ca="1"/>
        <v/>
      </c>
      <c r="BS77" t="str">
        <f ca="1"/>
        <v/>
      </c>
      <c r="BT77" t="str">
        <f ca="1"/>
        <v/>
      </c>
      <c r="BU77" t="str">
        <f ca="1"/>
        <v/>
      </c>
      <c r="BV77" t="str">
        <f ca="1"/>
        <v/>
      </c>
      <c r="BW77" t="str">
        <f ca="1"/>
        <v/>
      </c>
      <c r="BX77" t="str">
        <f ca="1"/>
        <v/>
      </c>
      <c r="BY77" t="str">
        <f ca="1"/>
        <v/>
      </c>
      <c r="BZ77" t="str">
        <f ca="1"/>
        <v/>
      </c>
      <c r="CA77" t="str">
        <f ca="1"/>
        <v/>
      </c>
      <c r="CB77" t="str">
        <f ca="1"/>
        <v/>
      </c>
      <c r="CC77" t="str">
        <f ca="1"/>
        <v/>
      </c>
      <c r="CD77" t="str">
        <f ca="1"/>
        <v/>
      </c>
      <c r="CE77" t="str">
        <f ca="1"/>
        <v/>
      </c>
      <c r="CF77" t="str">
        <f ca="1"/>
        <v/>
      </c>
      <c r="CG77" t="str">
        <f ca="1"/>
        <v/>
      </c>
      <c r="CH77" t="str">
        <f ca="1"/>
        <v/>
      </c>
      <c r="CI77" t="str">
        <f ca="1"/>
        <v/>
      </c>
      <c r="CJ77" t="str">
        <f ca="1"/>
        <v/>
      </c>
      <c r="CK77" t="str">
        <f ca="1"/>
        <v/>
      </c>
      <c r="CL77" t="str">
        <f ca="1"/>
        <v/>
      </c>
      <c r="CM77" t="str">
        <f ca="1"/>
        <v/>
      </c>
      <c r="CN77" t="str">
        <f ca="1"/>
        <v/>
      </c>
      <c r="CO77" t="str">
        <f ca="1"/>
        <v/>
      </c>
      <c r="CP77" t="str">
        <f ca="1"/>
        <v/>
      </c>
      <c r="CQ77" t="str">
        <f ca="1"/>
        <v/>
      </c>
      <c r="CR77" t="str">
        <f ca="1"/>
        <v/>
      </c>
      <c r="CS77" t="str">
        <f ca="1"/>
        <v/>
      </c>
      <c r="CT77" t="str">
        <f ca="1"/>
        <v/>
      </c>
      <c r="CU77" t="str">
        <f ca="1"/>
        <v/>
      </c>
      <c r="CV77" t="str">
        <f ca="1"/>
        <v/>
      </c>
      <c r="CW77" t="str">
        <f ca="1"/>
        <v/>
      </c>
      <c r="CX77" t="str">
        <f ca="1"/>
        <v/>
      </c>
      <c r="CY77" t="str">
        <f ca="1"/>
        <v/>
      </c>
      <c r="CZ77" t="str">
        <f ca="1"/>
        <v/>
      </c>
    </row>
    <row r="78" spans="5:104">
      <c r="E78" s="22" t="str">
        <f ca="1"/>
        <v/>
      </c>
      <c r="F78" s="22" t="str">
        <f ca="1"/>
        <v/>
      </c>
      <c r="G78" s="22" t="str">
        <f ca="1"/>
        <v/>
      </c>
      <c r="H78" s="22" t="str">
        <f ca="1"/>
        <v/>
      </c>
      <c r="I78" s="22" t="str">
        <f ca="1"/>
        <v/>
      </c>
      <c r="J78" s="22" t="str">
        <f ca="1"/>
        <v/>
      </c>
      <c r="K78" s="22" t="str">
        <f ca="1"/>
        <v/>
      </c>
      <c r="L78" s="22" t="str">
        <f ca="1"/>
        <v/>
      </c>
      <c r="M78" s="22" t="str">
        <f ca="1"/>
        <v/>
      </c>
      <c r="N78" s="22" t="str">
        <f ca="1"/>
        <v/>
      </c>
      <c r="O78" s="22" t="str">
        <f ca="1"/>
        <v/>
      </c>
      <c r="P78" s="22" t="str">
        <f ca="1"/>
        <v/>
      </c>
      <c r="Q78" t="str">
        <f ca="1"/>
        <v/>
      </c>
      <c r="R78" t="str">
        <f ca="1"/>
        <v/>
      </c>
      <c r="S78" t="str">
        <f ca="1"/>
        <v/>
      </c>
      <c r="T78" t="str">
        <f ca="1"/>
        <v/>
      </c>
      <c r="U78" t="str">
        <f ca="1"/>
        <v/>
      </c>
      <c r="V78" t="str">
        <f ca="1"/>
        <v/>
      </c>
      <c r="W78" t="str">
        <f ca="1"/>
        <v/>
      </c>
      <c r="X78" t="str">
        <f ca="1"/>
        <v/>
      </c>
      <c r="Y78" t="str">
        <f ca="1"/>
        <v/>
      </c>
      <c r="Z78" t="str">
        <f ca="1"/>
        <v/>
      </c>
      <c r="AA78" t="str">
        <f ca="1"/>
        <v/>
      </c>
      <c r="AB78" t="str">
        <f ca="1"/>
        <v/>
      </c>
      <c r="AC78" t="str">
        <f ca="1"/>
        <v/>
      </c>
      <c r="AD78" t="str">
        <f ca="1"/>
        <v/>
      </c>
      <c r="AE78" t="str">
        <f ca="1"/>
        <v/>
      </c>
      <c r="AF78" t="str">
        <f ca="1"/>
        <v/>
      </c>
      <c r="AG78" t="str">
        <f ca="1"/>
        <v/>
      </c>
      <c r="AH78" t="str">
        <f ca="1"/>
        <v/>
      </c>
      <c r="AI78" t="str">
        <f ca="1"/>
        <v/>
      </c>
      <c r="AJ78" t="str">
        <f ca="1"/>
        <v/>
      </c>
      <c r="AK78" t="str">
        <f ca="1"/>
        <v/>
      </c>
      <c r="AL78" t="str">
        <f ca="1"/>
        <v/>
      </c>
      <c r="AM78" t="str">
        <f ca="1"/>
        <v/>
      </c>
      <c r="AN78" t="str">
        <f ca="1"/>
        <v/>
      </c>
      <c r="AO78" t="str">
        <f ca="1"/>
        <v/>
      </c>
      <c r="AP78" t="str">
        <f ca="1"/>
        <v/>
      </c>
      <c r="AQ78" t="str">
        <f ca="1"/>
        <v/>
      </c>
      <c r="AR78" t="str">
        <f ca="1"/>
        <v/>
      </c>
      <c r="AS78" t="str">
        <f ca="1"/>
        <v/>
      </c>
      <c r="AT78" t="str">
        <f ca="1"/>
        <v/>
      </c>
      <c r="AU78" t="str">
        <f ca="1"/>
        <v/>
      </c>
      <c r="AV78" t="str">
        <f ca="1"/>
        <v/>
      </c>
      <c r="AW78" t="str">
        <f ca="1"/>
        <v/>
      </c>
      <c r="AX78" t="str">
        <f ca="1"/>
        <v/>
      </c>
      <c r="AY78" t="str">
        <f ca="1"/>
        <v/>
      </c>
      <c r="AZ78" t="str">
        <f ca="1"/>
        <v/>
      </c>
      <c r="BA78" t="str">
        <f ca="1"/>
        <v/>
      </c>
      <c r="BB78" t="str">
        <f ca="1"/>
        <v/>
      </c>
      <c r="BC78" t="str">
        <f ca="1"/>
        <v/>
      </c>
      <c r="BD78" t="str">
        <f ca="1"/>
        <v/>
      </c>
      <c r="BE78" t="str">
        <f ca="1"/>
        <v/>
      </c>
      <c r="BF78" t="str">
        <f ca="1"/>
        <v/>
      </c>
      <c r="BG78" t="str">
        <f ca="1"/>
        <v/>
      </c>
      <c r="BH78" t="str">
        <f ca="1"/>
        <v/>
      </c>
      <c r="BI78" t="str">
        <f ca="1"/>
        <v/>
      </c>
      <c r="BJ78" t="str">
        <f ca="1"/>
        <v/>
      </c>
      <c r="BK78" t="str">
        <f ca="1"/>
        <v/>
      </c>
      <c r="BL78" t="str">
        <f ca="1"/>
        <v/>
      </c>
      <c r="BM78" t="str">
        <f ca="1"/>
        <v/>
      </c>
      <c r="BN78" t="str">
        <f ca="1"/>
        <v/>
      </c>
      <c r="BO78" t="str">
        <f ca="1"/>
        <v/>
      </c>
      <c r="BP78" t="str">
        <f ca="1"/>
        <v/>
      </c>
      <c r="BQ78" t="str">
        <f ca="1"/>
        <v/>
      </c>
      <c r="BR78" t="str">
        <f ca="1"/>
        <v/>
      </c>
      <c r="BS78" t="str">
        <f ca="1"/>
        <v/>
      </c>
      <c r="BT78" t="str">
        <f ca="1"/>
        <v/>
      </c>
      <c r="BU78" t="str">
        <f ca="1"/>
        <v/>
      </c>
      <c r="BV78" t="str">
        <f ca="1"/>
        <v/>
      </c>
      <c r="BW78" t="str">
        <f ca="1"/>
        <v/>
      </c>
      <c r="BX78" t="str">
        <f ca="1"/>
        <v/>
      </c>
      <c r="BY78" t="str">
        <f ca="1"/>
        <v/>
      </c>
      <c r="BZ78" t="str">
        <f ca="1"/>
        <v/>
      </c>
      <c r="CA78" t="str">
        <f ca="1"/>
        <v/>
      </c>
      <c r="CB78" t="str">
        <f ca="1"/>
        <v/>
      </c>
      <c r="CC78" t="str">
        <f ca="1"/>
        <v/>
      </c>
      <c r="CD78" t="str">
        <f ca="1"/>
        <v/>
      </c>
      <c r="CE78" t="str">
        <f ca="1"/>
        <v/>
      </c>
      <c r="CF78" t="str">
        <f ca="1"/>
        <v/>
      </c>
      <c r="CG78" t="str">
        <f ca="1"/>
        <v/>
      </c>
      <c r="CH78" t="str">
        <f ca="1"/>
        <v/>
      </c>
      <c r="CI78" t="str">
        <f ca="1"/>
        <v/>
      </c>
      <c r="CJ78" t="str">
        <f ca="1"/>
        <v/>
      </c>
      <c r="CK78" t="str">
        <f ca="1"/>
        <v/>
      </c>
      <c r="CL78" t="str">
        <f ca="1"/>
        <v/>
      </c>
      <c r="CM78" t="str">
        <f ca="1"/>
        <v/>
      </c>
      <c r="CN78" t="str">
        <f ca="1"/>
        <v/>
      </c>
      <c r="CO78" t="str">
        <f ca="1"/>
        <v/>
      </c>
      <c r="CP78" t="str">
        <f ca="1"/>
        <v/>
      </c>
      <c r="CQ78" t="str">
        <f ca="1"/>
        <v/>
      </c>
      <c r="CR78" t="str">
        <f ca="1"/>
        <v/>
      </c>
      <c r="CS78" t="str">
        <f ca="1"/>
        <v/>
      </c>
      <c r="CT78" t="str">
        <f ca="1"/>
        <v/>
      </c>
      <c r="CU78" t="str">
        <f ca="1"/>
        <v/>
      </c>
      <c r="CV78" t="str">
        <f ca="1"/>
        <v/>
      </c>
      <c r="CW78" t="str">
        <f ca="1"/>
        <v/>
      </c>
      <c r="CX78" t="str">
        <f ca="1"/>
        <v/>
      </c>
      <c r="CY78" t="str">
        <f ca="1"/>
        <v/>
      </c>
      <c r="CZ78" t="str">
        <f ca="1"/>
        <v/>
      </c>
    </row>
    <row r="79" spans="5:104">
      <c r="E79" s="22" t="str">
        <f ca="1"/>
        <v/>
      </c>
      <c r="F79" s="22" t="str">
        <f ca="1"/>
        <v/>
      </c>
      <c r="G79" s="22" t="str">
        <f ca="1"/>
        <v/>
      </c>
      <c r="H79" s="22" t="str">
        <f ca="1"/>
        <v/>
      </c>
      <c r="I79" s="22" t="str">
        <f ca="1"/>
        <v/>
      </c>
      <c r="J79" s="22" t="str">
        <f ca="1"/>
        <v/>
      </c>
      <c r="K79" s="22" t="str">
        <f ca="1"/>
        <v/>
      </c>
      <c r="L79" s="22" t="str">
        <f ca="1"/>
        <v/>
      </c>
      <c r="M79" s="22" t="str">
        <f ca="1"/>
        <v/>
      </c>
      <c r="N79" s="22" t="str">
        <f ca="1"/>
        <v/>
      </c>
      <c r="O79" s="22" t="str">
        <f ca="1"/>
        <v/>
      </c>
      <c r="P79" s="22" t="str">
        <f ca="1"/>
        <v/>
      </c>
      <c r="Q79" t="str">
        <f ca="1"/>
        <v/>
      </c>
      <c r="R79" t="str">
        <f ca="1"/>
        <v/>
      </c>
      <c r="S79" t="str">
        <f ca="1"/>
        <v/>
      </c>
      <c r="T79" t="str">
        <f ca="1"/>
        <v/>
      </c>
      <c r="U79" t="str">
        <f ca="1"/>
        <v/>
      </c>
      <c r="V79" t="str">
        <f ca="1"/>
        <v/>
      </c>
      <c r="W79" t="str">
        <f ca="1"/>
        <v/>
      </c>
      <c r="X79" t="str">
        <f ca="1"/>
        <v/>
      </c>
      <c r="Y79" t="str">
        <f ca="1"/>
        <v/>
      </c>
      <c r="Z79" t="str">
        <f ca="1"/>
        <v/>
      </c>
      <c r="AA79" t="str">
        <f ca="1"/>
        <v/>
      </c>
      <c r="AB79" t="str">
        <f ca="1"/>
        <v/>
      </c>
      <c r="AC79" t="str">
        <f ca="1"/>
        <v/>
      </c>
      <c r="AD79" t="str">
        <f ca="1"/>
        <v/>
      </c>
      <c r="AE79" t="str">
        <f ca="1"/>
        <v/>
      </c>
      <c r="AF79" t="str">
        <f ca="1"/>
        <v/>
      </c>
      <c r="AG79" t="str">
        <f ca="1"/>
        <v/>
      </c>
      <c r="AH79" t="str">
        <f ca="1"/>
        <v/>
      </c>
      <c r="AI79" t="str">
        <f ca="1"/>
        <v/>
      </c>
      <c r="AJ79" t="str">
        <f ca="1"/>
        <v/>
      </c>
      <c r="AK79" t="str">
        <f ca="1"/>
        <v/>
      </c>
      <c r="AL79" t="str">
        <f ca="1"/>
        <v/>
      </c>
      <c r="AM79" t="str">
        <f ca="1"/>
        <v/>
      </c>
      <c r="AN79" t="str">
        <f ca="1"/>
        <v/>
      </c>
      <c r="AO79" t="str">
        <f ca="1"/>
        <v/>
      </c>
      <c r="AP79" t="str">
        <f ca="1"/>
        <v/>
      </c>
      <c r="AQ79" t="str">
        <f ca="1"/>
        <v/>
      </c>
      <c r="AR79" t="str">
        <f ca="1"/>
        <v/>
      </c>
      <c r="AS79" t="str">
        <f ca="1"/>
        <v/>
      </c>
      <c r="AT79" t="str">
        <f ca="1"/>
        <v/>
      </c>
      <c r="AU79" t="str">
        <f ca="1"/>
        <v/>
      </c>
      <c r="AV79" t="str">
        <f ca="1"/>
        <v/>
      </c>
      <c r="AW79" t="str">
        <f ca="1"/>
        <v/>
      </c>
      <c r="AX79" t="str">
        <f ca="1"/>
        <v/>
      </c>
      <c r="AY79" t="str">
        <f ca="1"/>
        <v/>
      </c>
      <c r="AZ79" t="str">
        <f ca="1"/>
        <v/>
      </c>
      <c r="BA79" t="str">
        <f ca="1"/>
        <v/>
      </c>
      <c r="BB79" t="str">
        <f ca="1"/>
        <v/>
      </c>
      <c r="BC79" t="str">
        <f ca="1"/>
        <v/>
      </c>
      <c r="BD79" t="str">
        <f ca="1"/>
        <v/>
      </c>
      <c r="BE79" t="str">
        <f ca="1"/>
        <v/>
      </c>
      <c r="BF79" t="str">
        <f ca="1"/>
        <v/>
      </c>
      <c r="BG79" t="str">
        <f ca="1"/>
        <v/>
      </c>
      <c r="BH79" t="str">
        <f ca="1"/>
        <v/>
      </c>
      <c r="BI79" t="str">
        <f ca="1"/>
        <v/>
      </c>
      <c r="BJ79" t="str">
        <f ca="1"/>
        <v/>
      </c>
      <c r="BK79" t="str">
        <f ca="1"/>
        <v/>
      </c>
      <c r="BL79" t="str">
        <f ca="1"/>
        <v/>
      </c>
      <c r="BM79" t="str">
        <f ca="1"/>
        <v/>
      </c>
      <c r="BN79" t="str">
        <f ca="1"/>
        <v/>
      </c>
      <c r="BO79" t="str">
        <f ca="1"/>
        <v/>
      </c>
      <c r="BP79" t="str">
        <f ca="1"/>
        <v/>
      </c>
      <c r="BQ79" t="str">
        <f ca="1"/>
        <v/>
      </c>
      <c r="BR79" t="str">
        <f ca="1"/>
        <v/>
      </c>
      <c r="BS79" t="str">
        <f ca="1"/>
        <v/>
      </c>
      <c r="BT79" t="str">
        <f ca="1"/>
        <v/>
      </c>
      <c r="BU79" t="str">
        <f ca="1"/>
        <v/>
      </c>
      <c r="BV79" t="str">
        <f ca="1"/>
        <v/>
      </c>
      <c r="BW79" t="str">
        <f ca="1"/>
        <v/>
      </c>
      <c r="BX79" t="str">
        <f ca="1"/>
        <v/>
      </c>
      <c r="BY79" t="str">
        <f ca="1"/>
        <v/>
      </c>
      <c r="BZ79" t="str">
        <f ca="1"/>
        <v/>
      </c>
      <c r="CA79" t="str">
        <f ca="1"/>
        <v/>
      </c>
      <c r="CB79" t="str">
        <f ca="1"/>
        <v/>
      </c>
      <c r="CC79" t="str">
        <f ca="1"/>
        <v/>
      </c>
      <c r="CD79" t="str">
        <f ca="1"/>
        <v/>
      </c>
      <c r="CE79" t="str">
        <f ca="1"/>
        <v/>
      </c>
      <c r="CF79" t="str">
        <f ca="1"/>
        <v/>
      </c>
      <c r="CG79" t="str">
        <f ca="1"/>
        <v/>
      </c>
      <c r="CH79" t="str">
        <f ca="1"/>
        <v/>
      </c>
      <c r="CI79" t="str">
        <f ca="1"/>
        <v/>
      </c>
      <c r="CJ79" t="str">
        <f ca="1"/>
        <v/>
      </c>
      <c r="CK79" t="str">
        <f ca="1"/>
        <v/>
      </c>
      <c r="CL79" t="str">
        <f ca="1"/>
        <v/>
      </c>
      <c r="CM79" t="str">
        <f ca="1"/>
        <v/>
      </c>
      <c r="CN79" t="str">
        <f ca="1"/>
        <v/>
      </c>
      <c r="CO79" t="str">
        <f ca="1"/>
        <v/>
      </c>
      <c r="CP79" t="str">
        <f ca="1"/>
        <v/>
      </c>
      <c r="CQ79" t="str">
        <f ca="1"/>
        <v/>
      </c>
      <c r="CR79" t="str">
        <f ca="1"/>
        <v/>
      </c>
      <c r="CS79" t="str">
        <f ca="1"/>
        <v/>
      </c>
      <c r="CT79" t="str">
        <f ca="1"/>
        <v/>
      </c>
      <c r="CU79" t="str">
        <f ca="1"/>
        <v/>
      </c>
      <c r="CV79" t="str">
        <f ca="1"/>
        <v/>
      </c>
      <c r="CW79" t="str">
        <f ca="1"/>
        <v/>
      </c>
      <c r="CX79" t="str">
        <f ca="1"/>
        <v/>
      </c>
      <c r="CY79" t="str">
        <f ca="1"/>
        <v/>
      </c>
      <c r="CZ79" t="str">
        <f ca="1"/>
        <v/>
      </c>
    </row>
    <row r="80" spans="5:104">
      <c r="E80" s="22" t="str">
        <f ca="1"/>
        <v/>
      </c>
      <c r="F80" s="22" t="str">
        <f ca="1"/>
        <v/>
      </c>
      <c r="G80" s="22" t="str">
        <f ca="1"/>
        <v/>
      </c>
      <c r="H80" s="22" t="str">
        <f ca="1"/>
        <v/>
      </c>
      <c r="I80" s="22" t="str">
        <f ca="1"/>
        <v/>
      </c>
      <c r="J80" s="22" t="str">
        <f ca="1"/>
        <v/>
      </c>
      <c r="K80" s="22" t="str">
        <f ca="1"/>
        <v/>
      </c>
      <c r="L80" s="22" t="str">
        <f ca="1"/>
        <v/>
      </c>
      <c r="M80" s="22" t="str">
        <f ca="1"/>
        <v/>
      </c>
      <c r="N80" s="22" t="str">
        <f ca="1"/>
        <v/>
      </c>
      <c r="O80" s="22" t="str">
        <f ca="1"/>
        <v/>
      </c>
      <c r="P80" s="22" t="str">
        <f ca="1"/>
        <v/>
      </c>
      <c r="Q80" t="str">
        <f ca="1"/>
        <v/>
      </c>
      <c r="R80" t="str">
        <f ca="1"/>
        <v/>
      </c>
      <c r="S80" t="str">
        <f ca="1"/>
        <v/>
      </c>
      <c r="T80" t="str">
        <f ca="1"/>
        <v/>
      </c>
      <c r="U80" t="str">
        <f ca="1"/>
        <v/>
      </c>
      <c r="V80" t="str">
        <f ca="1"/>
        <v/>
      </c>
      <c r="W80" t="str">
        <f ca="1"/>
        <v/>
      </c>
      <c r="X80" t="str">
        <f ca="1"/>
        <v/>
      </c>
      <c r="Y80" t="str">
        <f ca="1"/>
        <v/>
      </c>
      <c r="Z80" t="str">
        <f ca="1"/>
        <v/>
      </c>
      <c r="AA80" t="str">
        <f ca="1"/>
        <v/>
      </c>
      <c r="AB80" t="str">
        <f ca="1"/>
        <v/>
      </c>
      <c r="AC80" t="str">
        <f ca="1"/>
        <v/>
      </c>
      <c r="AD80" t="str">
        <f ca="1"/>
        <v/>
      </c>
      <c r="AE80" t="str">
        <f ca="1"/>
        <v/>
      </c>
      <c r="AF80" t="str">
        <f ca="1"/>
        <v/>
      </c>
      <c r="AG80" t="str">
        <f ca="1"/>
        <v/>
      </c>
      <c r="AH80" t="str">
        <f ca="1"/>
        <v/>
      </c>
      <c r="AI80" t="str">
        <f ca="1"/>
        <v/>
      </c>
      <c r="AJ80" t="str">
        <f ca="1"/>
        <v/>
      </c>
      <c r="AK80" t="str">
        <f ca="1"/>
        <v/>
      </c>
      <c r="AL80" t="str">
        <f ca="1"/>
        <v/>
      </c>
      <c r="AM80" t="str">
        <f ca="1"/>
        <v/>
      </c>
      <c r="AN80" t="str">
        <f ca="1"/>
        <v/>
      </c>
      <c r="AO80" t="str">
        <f ca="1"/>
        <v/>
      </c>
      <c r="AP80" t="str">
        <f ca="1"/>
        <v/>
      </c>
      <c r="AQ80" t="str">
        <f ca="1"/>
        <v/>
      </c>
      <c r="AR80" t="str">
        <f ca="1"/>
        <v/>
      </c>
      <c r="AS80" t="str">
        <f ca="1"/>
        <v/>
      </c>
      <c r="AT80" t="str">
        <f ca="1"/>
        <v/>
      </c>
      <c r="AU80" t="str">
        <f ca="1"/>
        <v/>
      </c>
      <c r="AV80" t="str">
        <f ca="1"/>
        <v/>
      </c>
      <c r="AW80" t="str">
        <f ca="1"/>
        <v/>
      </c>
      <c r="AX80" t="str">
        <f ca="1"/>
        <v/>
      </c>
      <c r="AY80" t="str">
        <f ca="1"/>
        <v/>
      </c>
      <c r="AZ80" t="str">
        <f ca="1"/>
        <v/>
      </c>
      <c r="BA80" t="str">
        <f ca="1"/>
        <v/>
      </c>
      <c r="BB80" t="str">
        <f ca="1"/>
        <v/>
      </c>
      <c r="BC80" t="str">
        <f ca="1"/>
        <v/>
      </c>
      <c r="BD80" t="str">
        <f ca="1"/>
        <v/>
      </c>
      <c r="BE80" t="str">
        <f ca="1"/>
        <v/>
      </c>
      <c r="BF80" t="str">
        <f ca="1"/>
        <v/>
      </c>
      <c r="BG80" t="str">
        <f ca="1"/>
        <v/>
      </c>
      <c r="BH80" t="str">
        <f ca="1"/>
        <v/>
      </c>
      <c r="BI80" t="str">
        <f ca="1"/>
        <v/>
      </c>
      <c r="BJ80" t="str">
        <f ca="1"/>
        <v/>
      </c>
      <c r="BK80" t="str">
        <f ca="1"/>
        <v/>
      </c>
      <c r="BL80" t="str">
        <f ca="1"/>
        <v/>
      </c>
      <c r="BM80" t="str">
        <f ca="1"/>
        <v/>
      </c>
      <c r="BN80" t="str">
        <f ca="1"/>
        <v/>
      </c>
      <c r="BO80" t="str">
        <f ca="1"/>
        <v/>
      </c>
      <c r="BP80" t="str">
        <f ca="1"/>
        <v/>
      </c>
      <c r="BQ80" t="str">
        <f ca="1"/>
        <v/>
      </c>
      <c r="BR80" t="str">
        <f ca="1"/>
        <v/>
      </c>
      <c r="BS80" t="str">
        <f ca="1"/>
        <v/>
      </c>
      <c r="BT80" t="str">
        <f ca="1"/>
        <v/>
      </c>
      <c r="BU80" t="str">
        <f ca="1"/>
        <v/>
      </c>
      <c r="BV80" t="str">
        <f ca="1"/>
        <v/>
      </c>
      <c r="BW80" t="str">
        <f ca="1"/>
        <v/>
      </c>
      <c r="BX80" t="str">
        <f ca="1"/>
        <v/>
      </c>
      <c r="BY80" t="str">
        <f ca="1"/>
        <v/>
      </c>
      <c r="BZ80" t="str">
        <f ca="1"/>
        <v/>
      </c>
      <c r="CA80" t="str">
        <f ca="1"/>
        <v/>
      </c>
      <c r="CB80" t="str">
        <f ca="1"/>
        <v/>
      </c>
      <c r="CC80" t="str">
        <f ca="1"/>
        <v/>
      </c>
      <c r="CD80" t="str">
        <f ca="1"/>
        <v/>
      </c>
      <c r="CE80" t="str">
        <f ca="1"/>
        <v/>
      </c>
      <c r="CF80" t="str">
        <f ca="1"/>
        <v/>
      </c>
      <c r="CG80" t="str">
        <f ca="1"/>
        <v/>
      </c>
      <c r="CH80" t="str">
        <f ca="1"/>
        <v/>
      </c>
      <c r="CI80" t="str">
        <f ca="1"/>
        <v/>
      </c>
      <c r="CJ80" t="str">
        <f ca="1"/>
        <v/>
      </c>
      <c r="CK80" t="str">
        <f ca="1"/>
        <v/>
      </c>
      <c r="CL80" t="str">
        <f ca="1"/>
        <v/>
      </c>
      <c r="CM80" t="str">
        <f ca="1"/>
        <v/>
      </c>
      <c r="CN80" t="str">
        <f ca="1"/>
        <v/>
      </c>
      <c r="CO80" t="str">
        <f ca="1"/>
        <v/>
      </c>
      <c r="CP80" t="str">
        <f ca="1"/>
        <v/>
      </c>
      <c r="CQ80" t="str">
        <f ca="1"/>
        <v/>
      </c>
      <c r="CR80" t="str">
        <f ca="1"/>
        <v/>
      </c>
      <c r="CS80" t="str">
        <f ca="1"/>
        <v/>
      </c>
      <c r="CT80" t="str">
        <f ca="1"/>
        <v/>
      </c>
      <c r="CU80" t="str">
        <f ca="1"/>
        <v/>
      </c>
      <c r="CV80" t="str">
        <f ca="1"/>
        <v/>
      </c>
      <c r="CW80" t="str">
        <f ca="1"/>
        <v/>
      </c>
      <c r="CX80" t="str">
        <f ca="1"/>
        <v/>
      </c>
      <c r="CY80" t="str">
        <f ca="1"/>
        <v/>
      </c>
      <c r="CZ80" t="str">
        <f ca="1"/>
        <v/>
      </c>
    </row>
    <row r="81" spans="5:104">
      <c r="E81" s="22" t="str">
        <f ca="1"/>
        <v/>
      </c>
      <c r="F81" s="22" t="str">
        <f ca="1"/>
        <v/>
      </c>
      <c r="G81" s="22" t="str">
        <f ca="1"/>
        <v/>
      </c>
      <c r="H81" s="22" t="str">
        <f ca="1"/>
        <v/>
      </c>
      <c r="I81" s="22" t="str">
        <f ca="1"/>
        <v/>
      </c>
      <c r="J81" s="22" t="str">
        <f ca="1"/>
        <v/>
      </c>
      <c r="K81" s="22" t="str">
        <f ca="1"/>
        <v/>
      </c>
      <c r="L81" s="22" t="str">
        <f ca="1"/>
        <v/>
      </c>
      <c r="M81" s="22" t="str">
        <f ca="1"/>
        <v/>
      </c>
      <c r="N81" s="22" t="str">
        <f ca="1"/>
        <v/>
      </c>
      <c r="O81" s="22" t="str">
        <f ca="1"/>
        <v/>
      </c>
      <c r="P81" s="22" t="str">
        <f ca="1"/>
        <v/>
      </c>
      <c r="Q81" t="str">
        <f ca="1"/>
        <v/>
      </c>
      <c r="R81" t="str">
        <f ca="1"/>
        <v/>
      </c>
      <c r="S81" t="str">
        <f ca="1"/>
        <v/>
      </c>
      <c r="T81" t="str">
        <f ca="1"/>
        <v/>
      </c>
      <c r="U81" t="str">
        <f ca="1"/>
        <v/>
      </c>
      <c r="V81" t="str">
        <f ca="1"/>
        <v/>
      </c>
      <c r="W81" t="str">
        <f ca="1"/>
        <v/>
      </c>
      <c r="X81" t="str">
        <f ca="1"/>
        <v/>
      </c>
      <c r="Y81" t="str">
        <f ca="1"/>
        <v/>
      </c>
      <c r="Z81" t="str">
        <f ca="1"/>
        <v/>
      </c>
      <c r="AA81" t="str">
        <f ca="1"/>
        <v/>
      </c>
      <c r="AB81" t="str">
        <f ca="1"/>
        <v/>
      </c>
      <c r="AC81" t="str">
        <f ca="1"/>
        <v/>
      </c>
      <c r="AD81" t="str">
        <f ca="1"/>
        <v/>
      </c>
      <c r="AE81" t="str">
        <f ca="1"/>
        <v/>
      </c>
      <c r="AF81" t="str">
        <f ca="1"/>
        <v/>
      </c>
      <c r="AG81" t="str">
        <f ca="1"/>
        <v/>
      </c>
      <c r="AH81" t="str">
        <f ca="1"/>
        <v/>
      </c>
      <c r="AI81" t="str">
        <f ca="1"/>
        <v/>
      </c>
      <c r="AJ81" t="str">
        <f ca="1"/>
        <v/>
      </c>
      <c r="AK81" t="str">
        <f ca="1"/>
        <v/>
      </c>
      <c r="AL81" t="str">
        <f ca="1"/>
        <v/>
      </c>
      <c r="AM81" t="str">
        <f ca="1"/>
        <v/>
      </c>
      <c r="AN81" t="str">
        <f ca="1"/>
        <v/>
      </c>
      <c r="AO81" t="str">
        <f ca="1"/>
        <v/>
      </c>
      <c r="AP81" t="str">
        <f ca="1"/>
        <v/>
      </c>
      <c r="AQ81" t="str">
        <f ca="1"/>
        <v/>
      </c>
      <c r="AR81" t="str">
        <f ca="1"/>
        <v/>
      </c>
      <c r="AS81" t="str">
        <f ca="1"/>
        <v/>
      </c>
      <c r="AT81" t="str">
        <f ca="1"/>
        <v/>
      </c>
      <c r="AU81" t="str">
        <f ca="1"/>
        <v/>
      </c>
      <c r="AV81" t="str">
        <f ca="1"/>
        <v/>
      </c>
      <c r="AW81" t="str">
        <f ca="1"/>
        <v/>
      </c>
      <c r="AX81" t="str">
        <f ca="1"/>
        <v/>
      </c>
      <c r="AY81" t="str">
        <f ca="1"/>
        <v/>
      </c>
      <c r="AZ81" t="str">
        <f ca="1"/>
        <v/>
      </c>
      <c r="BA81" t="str">
        <f ca="1"/>
        <v/>
      </c>
      <c r="BB81" t="str">
        <f ca="1"/>
        <v/>
      </c>
      <c r="BC81" t="str">
        <f ca="1"/>
        <v/>
      </c>
      <c r="BD81" t="str">
        <f ca="1"/>
        <v/>
      </c>
      <c r="BE81" t="str">
        <f ca="1"/>
        <v/>
      </c>
      <c r="BF81" t="str">
        <f ca="1"/>
        <v/>
      </c>
      <c r="BG81" t="str">
        <f ca="1"/>
        <v/>
      </c>
      <c r="BH81" t="str">
        <f ca="1"/>
        <v/>
      </c>
      <c r="BI81" t="str">
        <f ca="1"/>
        <v/>
      </c>
      <c r="BJ81" t="str">
        <f ca="1"/>
        <v/>
      </c>
      <c r="BK81" t="str">
        <f ca="1"/>
        <v/>
      </c>
      <c r="BL81" t="str">
        <f ca="1"/>
        <v/>
      </c>
      <c r="BM81" t="str">
        <f ca="1"/>
        <v/>
      </c>
      <c r="BN81" t="str">
        <f ca="1"/>
        <v/>
      </c>
      <c r="BO81" t="str">
        <f ca="1"/>
        <v/>
      </c>
      <c r="BP81" t="str">
        <f ca="1"/>
        <v/>
      </c>
      <c r="BQ81" t="str">
        <f ca="1"/>
        <v/>
      </c>
      <c r="BR81" t="str">
        <f ca="1"/>
        <v/>
      </c>
      <c r="BS81" t="str">
        <f ca="1"/>
        <v/>
      </c>
      <c r="BT81" t="str">
        <f ca="1"/>
        <v/>
      </c>
      <c r="BU81" t="str">
        <f ca="1"/>
        <v/>
      </c>
      <c r="BV81" t="str">
        <f ca="1"/>
        <v/>
      </c>
      <c r="BW81" t="str">
        <f ca="1"/>
        <v/>
      </c>
      <c r="BX81" t="str">
        <f ca="1"/>
        <v/>
      </c>
      <c r="BY81" t="str">
        <f ca="1"/>
        <v/>
      </c>
      <c r="BZ81" t="str">
        <f ca="1"/>
        <v/>
      </c>
      <c r="CA81" t="str">
        <f ca="1"/>
        <v/>
      </c>
      <c r="CB81" t="str">
        <f ca="1"/>
        <v/>
      </c>
      <c r="CC81" t="str">
        <f ca="1"/>
        <v/>
      </c>
      <c r="CD81" t="str">
        <f ca="1"/>
        <v/>
      </c>
      <c r="CE81" t="str">
        <f ca="1"/>
        <v/>
      </c>
      <c r="CF81" t="str">
        <f ca="1"/>
        <v/>
      </c>
      <c r="CG81" t="str">
        <f ca="1"/>
        <v/>
      </c>
      <c r="CH81" t="str">
        <f ca="1"/>
        <v/>
      </c>
      <c r="CI81" t="str">
        <f ca="1"/>
        <v/>
      </c>
      <c r="CJ81" t="str">
        <f ca="1"/>
        <v/>
      </c>
      <c r="CK81" t="str">
        <f ca="1"/>
        <v/>
      </c>
      <c r="CL81" t="str">
        <f ca="1"/>
        <v/>
      </c>
      <c r="CM81" t="str">
        <f ca="1"/>
        <v/>
      </c>
      <c r="CN81" t="str">
        <f ca="1"/>
        <v/>
      </c>
      <c r="CO81" t="str">
        <f ca="1"/>
        <v/>
      </c>
      <c r="CP81" t="str">
        <f ca="1"/>
        <v/>
      </c>
      <c r="CQ81" t="str">
        <f ca="1"/>
        <v/>
      </c>
      <c r="CR81" t="str">
        <f ca="1"/>
        <v/>
      </c>
      <c r="CS81" t="str">
        <f ca="1"/>
        <v/>
      </c>
      <c r="CT81" t="str">
        <f ca="1"/>
        <v/>
      </c>
      <c r="CU81" t="str">
        <f ca="1"/>
        <v/>
      </c>
      <c r="CV81" t="str">
        <f ca="1"/>
        <v/>
      </c>
      <c r="CW81" t="str">
        <f ca="1"/>
        <v/>
      </c>
      <c r="CX81" t="str">
        <f ca="1"/>
        <v/>
      </c>
      <c r="CY81" t="str">
        <f ca="1"/>
        <v/>
      </c>
      <c r="CZ81" t="str">
        <f ca="1"/>
        <v/>
      </c>
    </row>
    <row r="82" spans="5:104">
      <c r="E82" s="22" t="str">
        <f ca="1"/>
        <v/>
      </c>
      <c r="F82" s="22" t="str">
        <f ca="1"/>
        <v/>
      </c>
      <c r="G82" s="22" t="str">
        <f ca="1"/>
        <v/>
      </c>
      <c r="H82" s="22" t="str">
        <f ca="1"/>
        <v/>
      </c>
      <c r="I82" s="22" t="str">
        <f ca="1"/>
        <v/>
      </c>
      <c r="J82" s="22" t="str">
        <f ca="1"/>
        <v/>
      </c>
      <c r="K82" s="22" t="str">
        <f ca="1"/>
        <v/>
      </c>
      <c r="L82" s="22" t="str">
        <f ca="1"/>
        <v/>
      </c>
      <c r="M82" s="22" t="str">
        <f ca="1"/>
        <v/>
      </c>
      <c r="N82" s="22" t="str">
        <f ca="1"/>
        <v/>
      </c>
      <c r="O82" s="22" t="str">
        <f ca="1"/>
        <v/>
      </c>
      <c r="P82" s="22" t="str">
        <f ca="1"/>
        <v/>
      </c>
      <c r="Q82" t="str">
        <f ca="1"/>
        <v/>
      </c>
      <c r="R82" t="str">
        <f ca="1"/>
        <v/>
      </c>
      <c r="S82" t="str">
        <f ca="1"/>
        <v/>
      </c>
      <c r="T82" t="str">
        <f ca="1"/>
        <v/>
      </c>
      <c r="U82" t="str">
        <f ca="1"/>
        <v/>
      </c>
      <c r="V82" t="str">
        <f ca="1"/>
        <v/>
      </c>
      <c r="W82" t="str">
        <f ca="1"/>
        <v/>
      </c>
      <c r="X82" t="str">
        <f ca="1"/>
        <v/>
      </c>
      <c r="Y82" t="str">
        <f ca="1"/>
        <v/>
      </c>
      <c r="Z82" t="str">
        <f ca="1"/>
        <v/>
      </c>
      <c r="AA82" t="str">
        <f ca="1"/>
        <v/>
      </c>
      <c r="AB82" t="str">
        <f ca="1"/>
        <v/>
      </c>
      <c r="AC82" t="str">
        <f ca="1"/>
        <v/>
      </c>
      <c r="AD82" t="str">
        <f ca="1"/>
        <v/>
      </c>
      <c r="AE82" t="str">
        <f ca="1"/>
        <v/>
      </c>
      <c r="AF82" t="str">
        <f ca="1"/>
        <v/>
      </c>
      <c r="AG82" t="str">
        <f ca="1"/>
        <v/>
      </c>
      <c r="AH82" t="str">
        <f ca="1"/>
        <v/>
      </c>
      <c r="AI82" t="str">
        <f ca="1"/>
        <v/>
      </c>
      <c r="AJ82" t="str">
        <f ca="1"/>
        <v/>
      </c>
      <c r="AK82" t="str">
        <f ca="1"/>
        <v/>
      </c>
      <c r="AL82" t="str">
        <f ca="1"/>
        <v/>
      </c>
      <c r="AM82" t="str">
        <f ca="1"/>
        <v/>
      </c>
      <c r="AN82" t="str">
        <f ca="1"/>
        <v/>
      </c>
      <c r="AO82" t="str">
        <f ca="1"/>
        <v/>
      </c>
      <c r="AP82" t="str">
        <f ca="1"/>
        <v/>
      </c>
      <c r="AQ82" t="str">
        <f ca="1"/>
        <v/>
      </c>
      <c r="AR82" t="str">
        <f ca="1"/>
        <v/>
      </c>
      <c r="AS82" t="str">
        <f ca="1"/>
        <v/>
      </c>
      <c r="AT82" t="str">
        <f ca="1"/>
        <v/>
      </c>
      <c r="AU82" t="str">
        <f ca="1"/>
        <v/>
      </c>
      <c r="AV82" t="str">
        <f ca="1"/>
        <v/>
      </c>
      <c r="AW82" t="str">
        <f ca="1"/>
        <v/>
      </c>
      <c r="AX82" t="str">
        <f ca="1"/>
        <v/>
      </c>
      <c r="AY82" t="str">
        <f ca="1"/>
        <v/>
      </c>
      <c r="AZ82" t="str">
        <f ca="1"/>
        <v/>
      </c>
      <c r="BA82" t="str">
        <f ca="1"/>
        <v/>
      </c>
      <c r="BB82" t="str">
        <f ca="1"/>
        <v/>
      </c>
      <c r="BC82" t="str">
        <f ca="1"/>
        <v/>
      </c>
      <c r="BD82" t="str">
        <f ca="1"/>
        <v/>
      </c>
      <c r="BE82" t="str">
        <f ca="1"/>
        <v/>
      </c>
      <c r="BF82" t="str">
        <f ca="1"/>
        <v/>
      </c>
      <c r="BG82" t="str">
        <f ca="1"/>
        <v/>
      </c>
      <c r="BH82" t="str">
        <f ca="1"/>
        <v/>
      </c>
      <c r="BI82" t="str">
        <f ca="1"/>
        <v/>
      </c>
      <c r="BJ82" t="str">
        <f ca="1"/>
        <v/>
      </c>
      <c r="BK82" t="str">
        <f ca="1"/>
        <v/>
      </c>
      <c r="BL82" t="str">
        <f ca="1"/>
        <v/>
      </c>
      <c r="BM82" t="str">
        <f ca="1"/>
        <v/>
      </c>
      <c r="BN82" t="str">
        <f ca="1"/>
        <v/>
      </c>
      <c r="BO82" t="str">
        <f ca="1"/>
        <v/>
      </c>
      <c r="BP82" t="str">
        <f ca="1"/>
        <v/>
      </c>
      <c r="BQ82" t="str">
        <f ca="1"/>
        <v/>
      </c>
      <c r="BR82" t="str">
        <f ca="1"/>
        <v/>
      </c>
      <c r="BS82" t="str">
        <f ca="1"/>
        <v/>
      </c>
      <c r="BT82" t="str">
        <f ca="1"/>
        <v/>
      </c>
      <c r="BU82" t="str">
        <f ca="1"/>
        <v/>
      </c>
      <c r="BV82" t="str">
        <f ca="1"/>
        <v/>
      </c>
      <c r="BW82" t="str">
        <f ca="1"/>
        <v/>
      </c>
      <c r="BX82" t="str">
        <f ca="1"/>
        <v/>
      </c>
      <c r="BY82" t="str">
        <f ca="1"/>
        <v/>
      </c>
      <c r="BZ82" t="str">
        <f ca="1"/>
        <v/>
      </c>
      <c r="CA82" t="str">
        <f ca="1"/>
        <v/>
      </c>
      <c r="CB82" t="str">
        <f ca="1"/>
        <v/>
      </c>
      <c r="CC82" t="str">
        <f ca="1"/>
        <v/>
      </c>
      <c r="CD82" t="str">
        <f ca="1"/>
        <v/>
      </c>
      <c r="CE82" t="str">
        <f ca="1"/>
        <v/>
      </c>
      <c r="CF82" t="str">
        <f ca="1"/>
        <v/>
      </c>
      <c r="CG82" t="str">
        <f ca="1"/>
        <v/>
      </c>
      <c r="CH82" t="str">
        <f ca="1"/>
        <v/>
      </c>
      <c r="CI82" t="str">
        <f ca="1"/>
        <v/>
      </c>
      <c r="CJ82" t="str">
        <f ca="1"/>
        <v/>
      </c>
      <c r="CK82" t="str">
        <f ca="1"/>
        <v/>
      </c>
      <c r="CL82" t="str">
        <f ca="1"/>
        <v/>
      </c>
      <c r="CM82" t="str">
        <f ca="1"/>
        <v/>
      </c>
      <c r="CN82" t="str">
        <f ca="1"/>
        <v/>
      </c>
      <c r="CO82" t="str">
        <f ca="1"/>
        <v/>
      </c>
      <c r="CP82" t="str">
        <f ca="1"/>
        <v/>
      </c>
      <c r="CQ82" t="str">
        <f ca="1"/>
        <v/>
      </c>
      <c r="CR82" t="str">
        <f ca="1"/>
        <v/>
      </c>
      <c r="CS82" t="str">
        <f ca="1"/>
        <v/>
      </c>
      <c r="CT82" t="str">
        <f ca="1"/>
        <v/>
      </c>
      <c r="CU82" t="str">
        <f ca="1"/>
        <v/>
      </c>
      <c r="CV82" t="str">
        <f ca="1"/>
        <v/>
      </c>
      <c r="CW82" t="str">
        <f ca="1"/>
        <v/>
      </c>
      <c r="CX82" t="str">
        <f ca="1"/>
        <v/>
      </c>
      <c r="CY82" t="str">
        <f ca="1"/>
        <v/>
      </c>
      <c r="CZ82" t="str">
        <f ca="1"/>
        <v/>
      </c>
    </row>
    <row r="83" spans="5:104">
      <c r="E83" s="22" t="str">
        <f ca="1"/>
        <v/>
      </c>
      <c r="F83" s="22" t="str">
        <f ca="1"/>
        <v/>
      </c>
      <c r="G83" s="22" t="str">
        <f ca="1"/>
        <v/>
      </c>
      <c r="H83" s="22" t="str">
        <f ca="1"/>
        <v/>
      </c>
      <c r="I83" s="22" t="str">
        <f ca="1"/>
        <v/>
      </c>
      <c r="J83" s="22" t="str">
        <f ca="1"/>
        <v/>
      </c>
      <c r="K83" s="22" t="str">
        <f ca="1"/>
        <v/>
      </c>
      <c r="L83" s="22" t="str">
        <f ca="1"/>
        <v/>
      </c>
      <c r="M83" s="22" t="str">
        <f ca="1"/>
        <v/>
      </c>
      <c r="N83" s="22" t="str">
        <f ca="1"/>
        <v/>
      </c>
      <c r="O83" s="22" t="str">
        <f ca="1"/>
        <v/>
      </c>
      <c r="P83" s="22" t="str">
        <f ca="1"/>
        <v/>
      </c>
      <c r="Q83" t="str">
        <f ca="1"/>
        <v/>
      </c>
      <c r="R83" t="str">
        <f ca="1"/>
        <v/>
      </c>
      <c r="S83" t="str">
        <f ca="1"/>
        <v/>
      </c>
      <c r="T83" t="str">
        <f ca="1"/>
        <v/>
      </c>
      <c r="U83" t="str">
        <f ca="1"/>
        <v/>
      </c>
      <c r="V83" t="str">
        <f ca="1"/>
        <v/>
      </c>
      <c r="W83" t="str">
        <f ca="1"/>
        <v/>
      </c>
      <c r="X83" t="str">
        <f ca="1"/>
        <v/>
      </c>
      <c r="Y83" t="str">
        <f ca="1"/>
        <v/>
      </c>
      <c r="Z83" t="str">
        <f ca="1"/>
        <v/>
      </c>
      <c r="AA83" t="str">
        <f ca="1"/>
        <v/>
      </c>
      <c r="AB83" t="str">
        <f ca="1"/>
        <v/>
      </c>
      <c r="AC83" t="str">
        <f ca="1"/>
        <v/>
      </c>
      <c r="AD83" t="str">
        <f ca="1"/>
        <v/>
      </c>
      <c r="AE83" t="str">
        <f ca="1"/>
        <v/>
      </c>
      <c r="AF83" t="str">
        <f ca="1"/>
        <v/>
      </c>
      <c r="AG83" t="str">
        <f ca="1"/>
        <v/>
      </c>
      <c r="AH83" t="str">
        <f ca="1"/>
        <v/>
      </c>
      <c r="AI83" t="str">
        <f ca="1"/>
        <v/>
      </c>
      <c r="AJ83" t="str">
        <f ca="1"/>
        <v/>
      </c>
      <c r="AK83" t="str">
        <f ca="1"/>
        <v/>
      </c>
      <c r="AL83" t="str">
        <f ca="1"/>
        <v/>
      </c>
      <c r="AM83" t="str">
        <f ca="1"/>
        <v/>
      </c>
      <c r="AN83" t="str">
        <f ca="1"/>
        <v/>
      </c>
      <c r="AO83" t="str">
        <f ca="1"/>
        <v/>
      </c>
      <c r="AP83" t="str">
        <f ca="1"/>
        <v/>
      </c>
      <c r="AQ83" t="str">
        <f ca="1"/>
        <v/>
      </c>
      <c r="AR83" t="str">
        <f ca="1"/>
        <v/>
      </c>
      <c r="AS83" t="str">
        <f ca="1"/>
        <v/>
      </c>
      <c r="AT83" t="str">
        <f ca="1"/>
        <v/>
      </c>
      <c r="AU83" t="str">
        <f ca="1"/>
        <v/>
      </c>
      <c r="AV83" t="str">
        <f ca="1"/>
        <v/>
      </c>
      <c r="AW83" t="str">
        <f ca="1"/>
        <v/>
      </c>
      <c r="AX83" t="str">
        <f ca="1"/>
        <v/>
      </c>
      <c r="AY83" t="str">
        <f ca="1"/>
        <v/>
      </c>
      <c r="AZ83" t="str">
        <f ca="1"/>
        <v/>
      </c>
      <c r="BA83" t="str">
        <f ca="1"/>
        <v/>
      </c>
      <c r="BB83" t="str">
        <f ca="1"/>
        <v/>
      </c>
      <c r="BC83" t="str">
        <f ca="1"/>
        <v/>
      </c>
      <c r="BD83" t="str">
        <f ca="1"/>
        <v/>
      </c>
      <c r="BE83" t="str">
        <f ca="1"/>
        <v/>
      </c>
      <c r="BF83" t="str">
        <f ca="1"/>
        <v/>
      </c>
      <c r="BG83" t="str">
        <f ca="1"/>
        <v/>
      </c>
      <c r="BH83" t="str">
        <f ca="1"/>
        <v/>
      </c>
      <c r="BI83" t="str">
        <f ca="1"/>
        <v/>
      </c>
      <c r="BJ83" t="str">
        <f ca="1"/>
        <v/>
      </c>
      <c r="BK83" t="str">
        <f ca="1"/>
        <v/>
      </c>
      <c r="BL83" t="str">
        <f ca="1"/>
        <v/>
      </c>
      <c r="BM83" t="str">
        <f ca="1"/>
        <v/>
      </c>
      <c r="BN83" t="str">
        <f ca="1"/>
        <v/>
      </c>
      <c r="BO83" t="str">
        <f ca="1"/>
        <v/>
      </c>
      <c r="BP83" t="str">
        <f ca="1"/>
        <v/>
      </c>
      <c r="BQ83" t="str">
        <f ca="1"/>
        <v/>
      </c>
      <c r="BR83" t="str">
        <f ca="1"/>
        <v/>
      </c>
      <c r="BS83" t="str">
        <f ca="1"/>
        <v/>
      </c>
      <c r="BT83" t="str">
        <f ca="1"/>
        <v/>
      </c>
      <c r="BU83" t="str">
        <f ca="1"/>
        <v/>
      </c>
      <c r="BV83" t="str">
        <f ca="1"/>
        <v/>
      </c>
      <c r="BW83" t="str">
        <f ca="1"/>
        <v/>
      </c>
      <c r="BX83" t="str">
        <f ca="1"/>
        <v/>
      </c>
      <c r="BY83" t="str">
        <f ca="1"/>
        <v/>
      </c>
      <c r="BZ83" t="str">
        <f ca="1"/>
        <v/>
      </c>
      <c r="CA83" t="str">
        <f ca="1"/>
        <v/>
      </c>
      <c r="CB83" t="str">
        <f ca="1"/>
        <v/>
      </c>
      <c r="CC83" t="str">
        <f ca="1"/>
        <v/>
      </c>
      <c r="CD83" t="str">
        <f ca="1"/>
        <v/>
      </c>
      <c r="CE83" t="str">
        <f ca="1"/>
        <v/>
      </c>
      <c r="CF83" t="str">
        <f ca="1"/>
        <v/>
      </c>
      <c r="CG83" t="str">
        <f ca="1"/>
        <v/>
      </c>
      <c r="CH83" t="str">
        <f ca="1"/>
        <v/>
      </c>
      <c r="CI83" t="str">
        <f ca="1"/>
        <v/>
      </c>
      <c r="CJ83" t="str">
        <f ca="1"/>
        <v/>
      </c>
      <c r="CK83" t="str">
        <f ca="1"/>
        <v/>
      </c>
      <c r="CL83" t="str">
        <f ca="1"/>
        <v/>
      </c>
      <c r="CM83" t="str">
        <f ca="1"/>
        <v/>
      </c>
      <c r="CN83" t="str">
        <f ca="1"/>
        <v/>
      </c>
      <c r="CO83" t="str">
        <f ca="1"/>
        <v/>
      </c>
      <c r="CP83" t="str">
        <f ca="1"/>
        <v/>
      </c>
      <c r="CQ83" t="str">
        <f ca="1"/>
        <v/>
      </c>
      <c r="CR83" t="str">
        <f ca="1"/>
        <v/>
      </c>
      <c r="CS83" t="str">
        <f ca="1"/>
        <v/>
      </c>
      <c r="CT83" t="str">
        <f ca="1"/>
        <v/>
      </c>
      <c r="CU83" t="str">
        <f ca="1"/>
        <v/>
      </c>
      <c r="CV83" t="str">
        <f ca="1"/>
        <v/>
      </c>
      <c r="CW83" t="str">
        <f ca="1"/>
        <v/>
      </c>
      <c r="CX83" t="str">
        <f ca="1"/>
        <v/>
      </c>
      <c r="CY83" t="str">
        <f ca="1"/>
        <v/>
      </c>
      <c r="CZ83" t="str">
        <f ca="1"/>
        <v/>
      </c>
    </row>
    <row r="84" spans="5:104">
      <c r="E84" s="22" t="str">
        <f ca="1"/>
        <v/>
      </c>
      <c r="F84" s="22" t="str">
        <f ca="1"/>
        <v/>
      </c>
      <c r="G84" s="22" t="str">
        <f ca="1"/>
        <v/>
      </c>
      <c r="H84" s="22" t="str">
        <f ca="1"/>
        <v/>
      </c>
      <c r="I84" s="22" t="str">
        <f ca="1"/>
        <v/>
      </c>
      <c r="J84" s="22" t="str">
        <f ca="1"/>
        <v/>
      </c>
      <c r="K84" s="22" t="str">
        <f ca="1"/>
        <v/>
      </c>
      <c r="L84" s="22" t="str">
        <f ca="1"/>
        <v/>
      </c>
      <c r="M84" s="22" t="str">
        <f ca="1"/>
        <v/>
      </c>
      <c r="N84" s="22" t="str">
        <f ca="1"/>
        <v/>
      </c>
      <c r="O84" s="22" t="str">
        <f ca="1"/>
        <v/>
      </c>
      <c r="P84" s="22" t="str">
        <f ca="1"/>
        <v/>
      </c>
      <c r="Q84" t="str">
        <f ca="1"/>
        <v/>
      </c>
      <c r="R84" t="str">
        <f ca="1"/>
        <v/>
      </c>
      <c r="S84" t="str">
        <f ca="1"/>
        <v/>
      </c>
      <c r="T84" t="str">
        <f ca="1"/>
        <v/>
      </c>
      <c r="U84" t="str">
        <f ca="1"/>
        <v/>
      </c>
      <c r="V84" t="str">
        <f ca="1"/>
        <v/>
      </c>
      <c r="W84" t="str">
        <f ca="1"/>
        <v/>
      </c>
      <c r="X84" t="str">
        <f ca="1"/>
        <v/>
      </c>
      <c r="Y84" t="str">
        <f ca="1"/>
        <v/>
      </c>
      <c r="Z84" t="str">
        <f ca="1"/>
        <v/>
      </c>
      <c r="AA84" t="str">
        <f ca="1"/>
        <v/>
      </c>
      <c r="AB84" t="str">
        <f ca="1"/>
        <v/>
      </c>
      <c r="AC84" t="str">
        <f ca="1"/>
        <v/>
      </c>
      <c r="AD84" t="str">
        <f ca="1"/>
        <v/>
      </c>
      <c r="AE84" t="str">
        <f ca="1"/>
        <v/>
      </c>
      <c r="AF84" t="str">
        <f ca="1"/>
        <v/>
      </c>
      <c r="AG84" t="str">
        <f ca="1"/>
        <v/>
      </c>
      <c r="AH84" t="str">
        <f ca="1"/>
        <v/>
      </c>
      <c r="AI84" t="str">
        <f ca="1"/>
        <v/>
      </c>
      <c r="AJ84" t="str">
        <f ca="1"/>
        <v/>
      </c>
      <c r="AK84" t="str">
        <f ca="1"/>
        <v/>
      </c>
      <c r="AL84" t="str">
        <f ca="1"/>
        <v/>
      </c>
      <c r="AM84" t="str">
        <f ca="1"/>
        <v/>
      </c>
      <c r="AN84" t="str">
        <f ca="1"/>
        <v/>
      </c>
      <c r="AO84" t="str">
        <f ca="1"/>
        <v/>
      </c>
      <c r="AP84" t="str">
        <f ca="1"/>
        <v/>
      </c>
      <c r="AQ84" t="str">
        <f ca="1"/>
        <v/>
      </c>
      <c r="AR84" t="str">
        <f ca="1"/>
        <v/>
      </c>
      <c r="AS84" t="str">
        <f ca="1"/>
        <v/>
      </c>
      <c r="AT84" t="str">
        <f ca="1"/>
        <v/>
      </c>
      <c r="AU84" t="str">
        <f ca="1"/>
        <v/>
      </c>
      <c r="AV84" t="str">
        <f ca="1"/>
        <v/>
      </c>
      <c r="AW84" t="str">
        <f ca="1"/>
        <v/>
      </c>
      <c r="AX84" t="str">
        <f ca="1"/>
        <v/>
      </c>
      <c r="AY84" t="str">
        <f ca="1"/>
        <v/>
      </c>
      <c r="AZ84" t="str">
        <f ca="1"/>
        <v/>
      </c>
      <c r="BA84" t="str">
        <f ca="1"/>
        <v/>
      </c>
      <c r="BB84" t="str">
        <f ca="1"/>
        <v/>
      </c>
      <c r="BC84" t="str">
        <f ca="1"/>
        <v/>
      </c>
      <c r="BD84" t="str">
        <f ca="1"/>
        <v/>
      </c>
      <c r="BE84" t="str">
        <f ca="1"/>
        <v/>
      </c>
      <c r="BF84" t="str">
        <f ca="1"/>
        <v/>
      </c>
      <c r="BG84" t="str">
        <f ca="1"/>
        <v/>
      </c>
      <c r="BH84" t="str">
        <f ca="1"/>
        <v/>
      </c>
      <c r="BI84" t="str">
        <f ca="1"/>
        <v/>
      </c>
      <c r="BJ84" t="str">
        <f ca="1"/>
        <v/>
      </c>
      <c r="BK84" t="str">
        <f ca="1"/>
        <v/>
      </c>
      <c r="BL84" t="str">
        <f ca="1"/>
        <v/>
      </c>
      <c r="BM84" t="str">
        <f ca="1"/>
        <v/>
      </c>
      <c r="BN84" t="str">
        <f ca="1"/>
        <v/>
      </c>
      <c r="BO84" t="str">
        <f ca="1"/>
        <v/>
      </c>
      <c r="BP84" t="str">
        <f ca="1"/>
        <v/>
      </c>
      <c r="BQ84" t="str">
        <f ca="1"/>
        <v/>
      </c>
      <c r="BR84" t="str">
        <f ca="1"/>
        <v/>
      </c>
      <c r="BS84" t="str">
        <f ca="1"/>
        <v/>
      </c>
      <c r="BT84" t="str">
        <f ca="1"/>
        <v/>
      </c>
      <c r="BU84" t="str">
        <f ca="1"/>
        <v/>
      </c>
      <c r="BV84" t="str">
        <f ca="1"/>
        <v/>
      </c>
      <c r="BW84" t="str">
        <f ca="1"/>
        <v/>
      </c>
      <c r="BX84" t="str">
        <f ca="1"/>
        <v/>
      </c>
      <c r="BY84" t="str">
        <f ca="1"/>
        <v/>
      </c>
      <c r="BZ84" t="str">
        <f ca="1"/>
        <v/>
      </c>
      <c r="CA84" t="str">
        <f ca="1"/>
        <v/>
      </c>
      <c r="CB84" t="str">
        <f ca="1"/>
        <v/>
      </c>
      <c r="CC84" t="str">
        <f ca="1"/>
        <v/>
      </c>
      <c r="CD84" t="str">
        <f ca="1"/>
        <v/>
      </c>
      <c r="CE84" t="str">
        <f ca="1"/>
        <v/>
      </c>
      <c r="CF84" t="str">
        <f ca="1"/>
        <v/>
      </c>
      <c r="CG84" t="str">
        <f ca="1"/>
        <v/>
      </c>
      <c r="CH84" t="str">
        <f ca="1"/>
        <v/>
      </c>
      <c r="CI84" t="str">
        <f ca="1"/>
        <v/>
      </c>
      <c r="CJ84" t="str">
        <f ca="1"/>
        <v/>
      </c>
      <c r="CK84" t="str">
        <f ca="1"/>
        <v/>
      </c>
      <c r="CL84" t="str">
        <f ca="1"/>
        <v/>
      </c>
      <c r="CM84" t="str">
        <f ca="1"/>
        <v/>
      </c>
      <c r="CN84" t="str">
        <f ca="1"/>
        <v/>
      </c>
      <c r="CO84" t="str">
        <f ca="1"/>
        <v/>
      </c>
      <c r="CP84" t="str">
        <f ca="1"/>
        <v/>
      </c>
      <c r="CQ84" t="str">
        <f ca="1"/>
        <v/>
      </c>
      <c r="CR84" t="str">
        <f ca="1"/>
        <v/>
      </c>
      <c r="CS84" t="str">
        <f ca="1"/>
        <v/>
      </c>
      <c r="CT84" t="str">
        <f ca="1"/>
        <v/>
      </c>
      <c r="CU84" t="str">
        <f ca="1"/>
        <v/>
      </c>
      <c r="CV84" t="str">
        <f ca="1"/>
        <v/>
      </c>
      <c r="CW84" t="str">
        <f ca="1"/>
        <v/>
      </c>
      <c r="CX84" t="str">
        <f ca="1"/>
        <v/>
      </c>
      <c r="CY84" t="str">
        <f ca="1"/>
        <v/>
      </c>
      <c r="CZ84" t="str">
        <f ca="1"/>
        <v/>
      </c>
    </row>
    <row r="85" spans="5:104">
      <c r="E85" s="22" t="str">
        <f ca="1"/>
        <v/>
      </c>
      <c r="F85" s="22" t="str">
        <f ca="1"/>
        <v/>
      </c>
      <c r="G85" s="22" t="str">
        <f ca="1"/>
        <v/>
      </c>
      <c r="H85" s="22" t="str">
        <f ca="1"/>
        <v/>
      </c>
      <c r="I85" s="22" t="str">
        <f ca="1"/>
        <v/>
      </c>
      <c r="J85" s="22" t="str">
        <f ca="1"/>
        <v/>
      </c>
      <c r="K85" s="22" t="str">
        <f ca="1"/>
        <v/>
      </c>
      <c r="L85" s="22" t="str">
        <f ca="1"/>
        <v/>
      </c>
      <c r="M85" s="22" t="str">
        <f ca="1"/>
        <v/>
      </c>
      <c r="N85" s="22" t="str">
        <f ca="1"/>
        <v/>
      </c>
      <c r="O85" s="22" t="str">
        <f ca="1"/>
        <v/>
      </c>
      <c r="P85" s="22" t="str">
        <f ca="1"/>
        <v/>
      </c>
      <c r="Q85" t="str">
        <f ca="1"/>
        <v/>
      </c>
      <c r="R85" t="str">
        <f ca="1"/>
        <v/>
      </c>
      <c r="S85" t="str">
        <f ca="1"/>
        <v/>
      </c>
      <c r="T85" t="str">
        <f ca="1"/>
        <v/>
      </c>
      <c r="U85" t="str">
        <f ca="1"/>
        <v/>
      </c>
      <c r="V85" t="str">
        <f ca="1"/>
        <v/>
      </c>
      <c r="W85" t="str">
        <f ca="1"/>
        <v/>
      </c>
      <c r="X85" t="str">
        <f ca="1"/>
        <v/>
      </c>
      <c r="Y85" t="str">
        <f ca="1"/>
        <v/>
      </c>
      <c r="Z85" t="str">
        <f ca="1"/>
        <v/>
      </c>
      <c r="AA85" t="str">
        <f ca="1"/>
        <v/>
      </c>
      <c r="AB85" t="str">
        <f ca="1"/>
        <v/>
      </c>
      <c r="AC85" t="str">
        <f ca="1"/>
        <v/>
      </c>
      <c r="AD85" t="str">
        <f ca="1"/>
        <v/>
      </c>
      <c r="AE85" t="str">
        <f ca="1"/>
        <v/>
      </c>
      <c r="AF85" t="str">
        <f ca="1"/>
        <v/>
      </c>
      <c r="AG85" t="str">
        <f ca="1"/>
        <v/>
      </c>
      <c r="AH85" t="str">
        <f ca="1"/>
        <v/>
      </c>
      <c r="AI85" t="str">
        <f ca="1"/>
        <v/>
      </c>
      <c r="AJ85" t="str">
        <f ca="1"/>
        <v/>
      </c>
      <c r="AK85" t="str">
        <f ca="1"/>
        <v/>
      </c>
      <c r="AL85" t="str">
        <f ca="1"/>
        <v/>
      </c>
      <c r="AM85" t="str">
        <f ca="1"/>
        <v/>
      </c>
      <c r="AN85" t="str">
        <f ca="1"/>
        <v/>
      </c>
      <c r="AO85" t="str">
        <f ca="1"/>
        <v/>
      </c>
      <c r="AP85" t="str">
        <f ca="1"/>
        <v/>
      </c>
      <c r="AQ85" t="str">
        <f ca="1"/>
        <v/>
      </c>
      <c r="AR85" t="str">
        <f ca="1"/>
        <v/>
      </c>
      <c r="AS85" t="str">
        <f ca="1"/>
        <v/>
      </c>
      <c r="AT85" t="str">
        <f ca="1"/>
        <v/>
      </c>
      <c r="AU85" t="str">
        <f ca="1"/>
        <v/>
      </c>
      <c r="AV85" t="str">
        <f ca="1"/>
        <v/>
      </c>
      <c r="AW85" t="str">
        <f ca="1"/>
        <v/>
      </c>
      <c r="AX85" t="str">
        <f ca="1"/>
        <v/>
      </c>
      <c r="AY85" t="str">
        <f ca="1"/>
        <v/>
      </c>
      <c r="AZ85" t="str">
        <f ca="1"/>
        <v/>
      </c>
      <c r="BA85" t="str">
        <f ca="1"/>
        <v/>
      </c>
      <c r="BB85" t="str">
        <f ca="1"/>
        <v/>
      </c>
      <c r="BC85" t="str">
        <f ca="1"/>
        <v/>
      </c>
      <c r="BD85" t="str">
        <f ca="1"/>
        <v/>
      </c>
      <c r="BE85" t="str">
        <f ca="1"/>
        <v/>
      </c>
      <c r="BF85" t="str">
        <f ca="1"/>
        <v/>
      </c>
      <c r="BG85" t="str">
        <f ca="1"/>
        <v/>
      </c>
      <c r="BH85" t="str">
        <f ca="1"/>
        <v/>
      </c>
      <c r="BI85" t="str">
        <f ca="1"/>
        <v/>
      </c>
      <c r="BJ85" t="str">
        <f ca="1"/>
        <v/>
      </c>
      <c r="BK85" t="str">
        <f ca="1"/>
        <v/>
      </c>
      <c r="BL85" t="str">
        <f ca="1"/>
        <v/>
      </c>
      <c r="BM85" t="str">
        <f ca="1"/>
        <v/>
      </c>
      <c r="BN85" t="str">
        <f ca="1"/>
        <v/>
      </c>
      <c r="BO85" t="str">
        <f ca="1"/>
        <v/>
      </c>
      <c r="BP85" t="str">
        <f ca="1"/>
        <v/>
      </c>
      <c r="BQ85" t="str">
        <f ca="1"/>
        <v/>
      </c>
      <c r="BR85" t="str">
        <f ca="1"/>
        <v/>
      </c>
      <c r="BS85" t="str">
        <f ca="1"/>
        <v/>
      </c>
      <c r="BT85" t="str">
        <f ca="1"/>
        <v/>
      </c>
      <c r="BU85" t="str">
        <f ca="1"/>
        <v/>
      </c>
      <c r="BV85" t="str">
        <f ca="1"/>
        <v/>
      </c>
      <c r="BW85" t="str">
        <f ca="1"/>
        <v/>
      </c>
      <c r="BX85" t="str">
        <f ca="1"/>
        <v/>
      </c>
      <c r="BY85" t="str">
        <f ca="1"/>
        <v/>
      </c>
      <c r="BZ85" t="str">
        <f ca="1"/>
        <v/>
      </c>
      <c r="CA85" t="str">
        <f ca="1"/>
        <v/>
      </c>
      <c r="CB85" t="str">
        <f ca="1"/>
        <v/>
      </c>
      <c r="CC85" t="str">
        <f ca="1"/>
        <v/>
      </c>
      <c r="CD85" t="str">
        <f ca="1"/>
        <v/>
      </c>
      <c r="CE85" t="str">
        <f ca="1"/>
        <v/>
      </c>
      <c r="CF85" t="str">
        <f ca="1"/>
        <v/>
      </c>
      <c r="CG85" t="str">
        <f ca="1"/>
        <v/>
      </c>
      <c r="CH85" t="str">
        <f ca="1"/>
        <v/>
      </c>
      <c r="CI85" t="str">
        <f ca="1"/>
        <v/>
      </c>
      <c r="CJ85" t="str">
        <f ca="1"/>
        <v/>
      </c>
      <c r="CK85" t="str">
        <f ca="1"/>
        <v/>
      </c>
      <c r="CL85" t="str">
        <f ca="1"/>
        <v/>
      </c>
      <c r="CM85" t="str">
        <f ca="1"/>
        <v/>
      </c>
      <c r="CN85" t="str">
        <f ca="1"/>
        <v/>
      </c>
      <c r="CO85" t="str">
        <f ca="1"/>
        <v/>
      </c>
      <c r="CP85" t="str">
        <f ca="1"/>
        <v/>
      </c>
      <c r="CQ85" t="str">
        <f ca="1"/>
        <v/>
      </c>
      <c r="CR85" t="str">
        <f ca="1"/>
        <v/>
      </c>
      <c r="CS85" t="str">
        <f ca="1"/>
        <v/>
      </c>
      <c r="CT85" t="str">
        <f ca="1"/>
        <v/>
      </c>
      <c r="CU85" t="str">
        <f ca="1"/>
        <v/>
      </c>
      <c r="CV85" t="str">
        <f ca="1"/>
        <v/>
      </c>
      <c r="CW85" t="str">
        <f ca="1"/>
        <v/>
      </c>
      <c r="CX85" t="str">
        <f ca="1"/>
        <v/>
      </c>
      <c r="CY85" t="str">
        <f ca="1"/>
        <v/>
      </c>
      <c r="CZ85" t="str">
        <f ca="1"/>
        <v/>
      </c>
    </row>
    <row r="86" spans="5:104">
      <c r="E86" s="22" t="str">
        <f ca="1"/>
        <v/>
      </c>
      <c r="F86" s="22" t="str">
        <f ca="1"/>
        <v/>
      </c>
      <c r="G86" s="22" t="str">
        <f ca="1"/>
        <v/>
      </c>
      <c r="H86" s="22" t="str">
        <f ca="1"/>
        <v/>
      </c>
      <c r="I86" s="22" t="str">
        <f ca="1"/>
        <v/>
      </c>
      <c r="J86" s="22" t="str">
        <f ca="1"/>
        <v/>
      </c>
      <c r="K86" s="22" t="str">
        <f ca="1"/>
        <v/>
      </c>
      <c r="L86" s="22" t="str">
        <f ca="1"/>
        <v/>
      </c>
      <c r="M86" s="22" t="str">
        <f ca="1"/>
        <v/>
      </c>
      <c r="N86" s="22" t="str">
        <f ca="1"/>
        <v/>
      </c>
      <c r="O86" s="22" t="str">
        <f ca="1"/>
        <v/>
      </c>
      <c r="P86" s="22" t="str">
        <f ca="1"/>
        <v/>
      </c>
      <c r="Q86" t="str">
        <f ca="1"/>
        <v/>
      </c>
      <c r="R86" t="str">
        <f ca="1"/>
        <v/>
      </c>
      <c r="S86" t="str">
        <f ca="1"/>
        <v/>
      </c>
      <c r="T86" t="str">
        <f ca="1"/>
        <v/>
      </c>
      <c r="U86" t="str">
        <f ca="1"/>
        <v/>
      </c>
      <c r="V86" t="str">
        <f ca="1"/>
        <v/>
      </c>
      <c r="W86" t="str">
        <f ca="1"/>
        <v/>
      </c>
      <c r="X86" t="str">
        <f ca="1"/>
        <v/>
      </c>
      <c r="Y86" t="str">
        <f ca="1"/>
        <v/>
      </c>
      <c r="Z86" t="str">
        <f ca="1"/>
        <v/>
      </c>
      <c r="AA86" t="str">
        <f ca="1"/>
        <v/>
      </c>
      <c r="AB86" t="str">
        <f ca="1"/>
        <v/>
      </c>
      <c r="AC86" t="str">
        <f ca="1"/>
        <v/>
      </c>
      <c r="AD86" t="str">
        <f ca="1"/>
        <v/>
      </c>
      <c r="AE86" t="str">
        <f ca="1"/>
        <v/>
      </c>
      <c r="AF86" t="str">
        <f ca="1"/>
        <v/>
      </c>
      <c r="AG86" t="str">
        <f ca="1"/>
        <v/>
      </c>
      <c r="AH86" t="str">
        <f ca="1"/>
        <v/>
      </c>
      <c r="AI86" t="str">
        <f ca="1"/>
        <v/>
      </c>
      <c r="AJ86" t="str">
        <f ca="1"/>
        <v/>
      </c>
      <c r="AK86" t="str">
        <f ca="1"/>
        <v/>
      </c>
      <c r="AL86" t="str">
        <f ca="1"/>
        <v/>
      </c>
      <c r="AM86" t="str">
        <f ca="1"/>
        <v/>
      </c>
      <c r="AN86" t="str">
        <f ca="1"/>
        <v/>
      </c>
      <c r="AO86" t="str">
        <f ca="1"/>
        <v/>
      </c>
      <c r="AP86" t="str">
        <f ca="1"/>
        <v/>
      </c>
      <c r="AQ86" t="str">
        <f ca="1"/>
        <v/>
      </c>
      <c r="AR86" t="str">
        <f ca="1"/>
        <v/>
      </c>
      <c r="AS86" t="str">
        <f ca="1"/>
        <v/>
      </c>
      <c r="AT86" t="str">
        <f ca="1"/>
        <v/>
      </c>
      <c r="AU86" t="str">
        <f ca="1"/>
        <v/>
      </c>
      <c r="AV86" t="str">
        <f ca="1"/>
        <v/>
      </c>
      <c r="AW86" t="str">
        <f ca="1"/>
        <v/>
      </c>
      <c r="AX86" t="str">
        <f ca="1"/>
        <v/>
      </c>
      <c r="AY86" t="str">
        <f ca="1"/>
        <v/>
      </c>
      <c r="AZ86" t="str">
        <f ca="1"/>
        <v/>
      </c>
      <c r="BA86" t="str">
        <f ca="1"/>
        <v/>
      </c>
      <c r="BB86" t="str">
        <f ca="1"/>
        <v/>
      </c>
      <c r="BC86" t="str">
        <f ca="1"/>
        <v/>
      </c>
      <c r="BD86" t="str">
        <f ca="1"/>
        <v/>
      </c>
      <c r="BE86" t="str">
        <f ca="1"/>
        <v/>
      </c>
      <c r="BF86" t="str">
        <f ca="1"/>
        <v/>
      </c>
      <c r="BG86" t="str">
        <f ca="1"/>
        <v/>
      </c>
      <c r="BH86" t="str">
        <f ca="1"/>
        <v/>
      </c>
      <c r="BI86" t="str">
        <f ca="1"/>
        <v/>
      </c>
      <c r="BJ86" t="str">
        <f ca="1"/>
        <v/>
      </c>
      <c r="BK86" t="str">
        <f ca="1"/>
        <v/>
      </c>
      <c r="BL86" t="str">
        <f ca="1"/>
        <v/>
      </c>
      <c r="BM86" t="str">
        <f ca="1"/>
        <v/>
      </c>
      <c r="BN86" t="str">
        <f ca="1"/>
        <v/>
      </c>
      <c r="BO86" t="str">
        <f ca="1"/>
        <v/>
      </c>
      <c r="BP86" t="str">
        <f ca="1"/>
        <v/>
      </c>
      <c r="BQ86" t="str">
        <f ca="1"/>
        <v/>
      </c>
      <c r="BR86" t="str">
        <f ca="1"/>
        <v/>
      </c>
      <c r="BS86" t="str">
        <f ca="1"/>
        <v/>
      </c>
      <c r="BT86" t="str">
        <f ca="1"/>
        <v/>
      </c>
      <c r="BU86" t="str">
        <f ca="1"/>
        <v/>
      </c>
      <c r="BV86" t="str">
        <f ca="1"/>
        <v/>
      </c>
      <c r="BW86" t="str">
        <f ca="1"/>
        <v/>
      </c>
      <c r="BX86" t="str">
        <f ca="1"/>
        <v/>
      </c>
      <c r="BY86" t="str">
        <f ca="1"/>
        <v/>
      </c>
      <c r="BZ86" t="str">
        <f ca="1"/>
        <v/>
      </c>
      <c r="CA86" t="str">
        <f ca="1"/>
        <v/>
      </c>
      <c r="CB86" t="str">
        <f ca="1"/>
        <v/>
      </c>
      <c r="CC86" t="str">
        <f ca="1"/>
        <v/>
      </c>
      <c r="CD86" t="str">
        <f ca="1"/>
        <v/>
      </c>
      <c r="CE86" t="str">
        <f ca="1"/>
        <v/>
      </c>
      <c r="CF86" t="str">
        <f ca="1"/>
        <v/>
      </c>
      <c r="CG86" t="str">
        <f ca="1"/>
        <v/>
      </c>
      <c r="CH86" t="str">
        <f ca="1"/>
        <v/>
      </c>
      <c r="CI86" t="str">
        <f ca="1"/>
        <v/>
      </c>
      <c r="CJ86" t="str">
        <f ca="1"/>
        <v/>
      </c>
      <c r="CK86" t="str">
        <f ca="1"/>
        <v/>
      </c>
      <c r="CL86" t="str">
        <f ca="1"/>
        <v/>
      </c>
      <c r="CM86" t="str">
        <f ca="1"/>
        <v/>
      </c>
      <c r="CN86" t="str">
        <f ca="1"/>
        <v/>
      </c>
      <c r="CO86" t="str">
        <f ca="1"/>
        <v/>
      </c>
      <c r="CP86" t="str">
        <f ca="1"/>
        <v/>
      </c>
      <c r="CQ86" t="str">
        <f ca="1"/>
        <v/>
      </c>
      <c r="CR86" t="str">
        <f ca="1"/>
        <v/>
      </c>
      <c r="CS86" t="str">
        <f ca="1"/>
        <v/>
      </c>
      <c r="CT86" t="str">
        <f ca="1"/>
        <v/>
      </c>
      <c r="CU86" t="str">
        <f ca="1"/>
        <v/>
      </c>
      <c r="CV86" t="str">
        <f ca="1"/>
        <v/>
      </c>
      <c r="CW86" t="str">
        <f ca="1"/>
        <v/>
      </c>
      <c r="CX86" t="str">
        <f ca="1"/>
        <v/>
      </c>
      <c r="CY86" t="str">
        <f ca="1"/>
        <v/>
      </c>
      <c r="CZ86" t="str">
        <f ca="1"/>
        <v/>
      </c>
    </row>
    <row r="87" spans="5:104">
      <c r="E87" s="22" t="str">
        <f ca="1"/>
        <v/>
      </c>
      <c r="F87" s="22" t="str">
        <f ca="1"/>
        <v/>
      </c>
      <c r="G87" s="22" t="str">
        <f ca="1"/>
        <v/>
      </c>
      <c r="H87" s="22" t="str">
        <f ca="1"/>
        <v/>
      </c>
      <c r="I87" s="22" t="str">
        <f ca="1"/>
        <v/>
      </c>
      <c r="J87" s="22" t="str">
        <f ca="1"/>
        <v/>
      </c>
      <c r="K87" s="22" t="str">
        <f ca="1"/>
        <v/>
      </c>
      <c r="L87" s="22" t="str">
        <f ca="1"/>
        <v/>
      </c>
      <c r="M87" s="22" t="str">
        <f ca="1"/>
        <v/>
      </c>
      <c r="N87" s="22" t="str">
        <f ca="1"/>
        <v/>
      </c>
      <c r="O87" s="22" t="str">
        <f ca="1"/>
        <v/>
      </c>
      <c r="P87" s="22" t="str">
        <f ca="1"/>
        <v/>
      </c>
      <c r="Q87" t="str">
        <f ca="1"/>
        <v/>
      </c>
      <c r="R87" t="str">
        <f ca="1"/>
        <v/>
      </c>
      <c r="S87" t="str">
        <f ca="1"/>
        <v/>
      </c>
      <c r="T87" t="str">
        <f ca="1"/>
        <v/>
      </c>
      <c r="U87" t="str">
        <f ca="1"/>
        <v/>
      </c>
      <c r="V87" t="str">
        <f ca="1"/>
        <v/>
      </c>
      <c r="W87" t="str">
        <f ca="1"/>
        <v/>
      </c>
      <c r="X87" t="str">
        <f ca="1"/>
        <v/>
      </c>
      <c r="Y87" t="str">
        <f ca="1"/>
        <v/>
      </c>
      <c r="Z87" t="str">
        <f ca="1"/>
        <v/>
      </c>
      <c r="AA87" t="str">
        <f ca="1"/>
        <v/>
      </c>
      <c r="AB87" t="str">
        <f ca="1"/>
        <v/>
      </c>
      <c r="AC87" t="str">
        <f ca="1"/>
        <v/>
      </c>
      <c r="AD87" t="str">
        <f ca="1"/>
        <v/>
      </c>
      <c r="AE87" t="str">
        <f ca="1"/>
        <v/>
      </c>
      <c r="AF87" t="str">
        <f ca="1"/>
        <v/>
      </c>
      <c r="AG87" t="str">
        <f ca="1"/>
        <v/>
      </c>
      <c r="AH87" t="str">
        <f ca="1"/>
        <v/>
      </c>
      <c r="AI87" t="str">
        <f ca="1"/>
        <v/>
      </c>
      <c r="AJ87" t="str">
        <f ca="1"/>
        <v/>
      </c>
      <c r="AK87" t="str">
        <f ca="1"/>
        <v/>
      </c>
      <c r="AL87" t="str">
        <f ca="1"/>
        <v/>
      </c>
      <c r="AM87" t="str">
        <f ca="1"/>
        <v/>
      </c>
      <c r="AN87" t="str">
        <f ca="1"/>
        <v/>
      </c>
      <c r="AO87" t="str">
        <f ca="1"/>
        <v/>
      </c>
      <c r="AP87" t="str">
        <f ca="1"/>
        <v/>
      </c>
      <c r="AQ87" t="str">
        <f ca="1"/>
        <v/>
      </c>
      <c r="AR87" t="str">
        <f ca="1"/>
        <v/>
      </c>
      <c r="AS87" t="str">
        <f ca="1"/>
        <v/>
      </c>
      <c r="AT87" t="str">
        <f ca="1"/>
        <v/>
      </c>
      <c r="AU87" t="str">
        <f ca="1"/>
        <v/>
      </c>
      <c r="AV87" t="str">
        <f ca="1"/>
        <v/>
      </c>
      <c r="AW87" t="str">
        <f ca="1"/>
        <v/>
      </c>
      <c r="AX87" t="str">
        <f ca="1"/>
        <v/>
      </c>
      <c r="AY87" t="str">
        <f ca="1"/>
        <v/>
      </c>
      <c r="AZ87" t="str">
        <f ca="1"/>
        <v/>
      </c>
      <c r="BA87" t="str">
        <f ca="1"/>
        <v/>
      </c>
      <c r="BB87" t="str">
        <f ca="1"/>
        <v/>
      </c>
      <c r="BC87" t="str">
        <f ca="1"/>
        <v/>
      </c>
      <c r="BD87" t="str">
        <f ca="1"/>
        <v/>
      </c>
      <c r="BE87" t="str">
        <f ca="1"/>
        <v/>
      </c>
      <c r="BF87" t="str">
        <f ca="1"/>
        <v/>
      </c>
      <c r="BG87" t="str">
        <f ca="1"/>
        <v/>
      </c>
      <c r="BH87" t="str">
        <f ca="1"/>
        <v/>
      </c>
      <c r="BI87" t="str">
        <f ca="1"/>
        <v/>
      </c>
      <c r="BJ87" t="str">
        <f ca="1"/>
        <v/>
      </c>
      <c r="BK87" t="str">
        <f ca="1"/>
        <v/>
      </c>
      <c r="BL87" t="str">
        <f ca="1"/>
        <v/>
      </c>
      <c r="BM87" t="str">
        <f ca="1"/>
        <v/>
      </c>
      <c r="BN87" t="str">
        <f ca="1"/>
        <v/>
      </c>
      <c r="BO87" t="str">
        <f ca="1"/>
        <v/>
      </c>
      <c r="BP87" t="str">
        <f ca="1"/>
        <v/>
      </c>
      <c r="BQ87" t="str">
        <f ca="1"/>
        <v/>
      </c>
      <c r="BR87" t="str">
        <f ca="1"/>
        <v/>
      </c>
      <c r="BS87" t="str">
        <f ca="1"/>
        <v/>
      </c>
      <c r="BT87" t="str">
        <f ca="1"/>
        <v/>
      </c>
      <c r="BU87" t="str">
        <f ca="1"/>
        <v/>
      </c>
      <c r="BV87" t="str">
        <f ca="1"/>
        <v/>
      </c>
      <c r="BW87" t="str">
        <f ca="1"/>
        <v/>
      </c>
      <c r="BX87" t="str">
        <f ca="1"/>
        <v/>
      </c>
      <c r="BY87" t="str">
        <f ca="1"/>
        <v/>
      </c>
      <c r="BZ87" t="str">
        <f ca="1"/>
        <v/>
      </c>
      <c r="CA87" t="str">
        <f ca="1"/>
        <v/>
      </c>
      <c r="CB87" t="str">
        <f ca="1"/>
        <v/>
      </c>
      <c r="CC87" t="str">
        <f ca="1"/>
        <v/>
      </c>
      <c r="CD87" t="str">
        <f ca="1"/>
        <v/>
      </c>
      <c r="CE87" t="str">
        <f ca="1"/>
        <v/>
      </c>
      <c r="CF87" t="str">
        <f ca="1"/>
        <v/>
      </c>
      <c r="CG87" t="str">
        <f ca="1"/>
        <v/>
      </c>
      <c r="CH87" t="str">
        <f ca="1"/>
        <v/>
      </c>
      <c r="CI87" t="str">
        <f ca="1"/>
        <v/>
      </c>
      <c r="CJ87" t="str">
        <f ca="1"/>
        <v/>
      </c>
      <c r="CK87" t="str">
        <f ca="1"/>
        <v/>
      </c>
      <c r="CL87" t="str">
        <f ca="1"/>
        <v/>
      </c>
      <c r="CM87" t="str">
        <f ca="1"/>
        <v/>
      </c>
      <c r="CN87" t="str">
        <f ca="1"/>
        <v/>
      </c>
      <c r="CO87" t="str">
        <f ca="1"/>
        <v/>
      </c>
      <c r="CP87" t="str">
        <f ca="1"/>
        <v/>
      </c>
      <c r="CQ87" t="str">
        <f ca="1"/>
        <v/>
      </c>
      <c r="CR87" t="str">
        <f ca="1"/>
        <v/>
      </c>
      <c r="CS87" t="str">
        <f ca="1"/>
        <v/>
      </c>
      <c r="CT87" t="str">
        <f ca="1"/>
        <v/>
      </c>
      <c r="CU87" t="str">
        <f ca="1"/>
        <v/>
      </c>
      <c r="CV87" t="str">
        <f ca="1"/>
        <v/>
      </c>
      <c r="CW87" t="str">
        <f ca="1"/>
        <v/>
      </c>
      <c r="CX87" t="str">
        <f ca="1"/>
        <v/>
      </c>
      <c r="CY87" t="str">
        <f ca="1"/>
        <v/>
      </c>
      <c r="CZ87" t="str">
        <f ca="1"/>
        <v/>
      </c>
    </row>
    <row r="88" spans="5:104">
      <c r="E88" s="22" t="str">
        <f ca="1"/>
        <v/>
      </c>
      <c r="F88" s="22" t="str">
        <f ca="1"/>
        <v/>
      </c>
      <c r="G88" s="22" t="str">
        <f ca="1"/>
        <v/>
      </c>
      <c r="H88" s="22" t="str">
        <f ca="1"/>
        <v/>
      </c>
      <c r="I88" s="22" t="str">
        <f ca="1"/>
        <v/>
      </c>
      <c r="J88" s="22" t="str">
        <f ca="1"/>
        <v/>
      </c>
      <c r="K88" s="22" t="str">
        <f ca="1"/>
        <v/>
      </c>
      <c r="L88" s="22" t="str">
        <f ca="1"/>
        <v/>
      </c>
      <c r="M88" s="22" t="str">
        <f ca="1"/>
        <v/>
      </c>
      <c r="N88" s="22" t="str">
        <f ca="1"/>
        <v/>
      </c>
      <c r="O88" s="22" t="str">
        <f ca="1"/>
        <v/>
      </c>
      <c r="P88" s="22" t="str">
        <f ca="1"/>
        <v/>
      </c>
      <c r="Q88" t="str">
        <f ca="1"/>
        <v/>
      </c>
      <c r="R88" t="str">
        <f ca="1"/>
        <v/>
      </c>
      <c r="S88" t="str">
        <f ca="1"/>
        <v/>
      </c>
      <c r="T88" t="str">
        <f ca="1"/>
        <v/>
      </c>
      <c r="U88" t="str">
        <f ca="1"/>
        <v/>
      </c>
      <c r="V88" t="str">
        <f ca="1"/>
        <v/>
      </c>
      <c r="W88" t="str">
        <f ca="1"/>
        <v/>
      </c>
      <c r="X88" t="str">
        <f ca="1"/>
        <v/>
      </c>
      <c r="Y88" t="str">
        <f ca="1"/>
        <v/>
      </c>
      <c r="Z88" t="str">
        <f ca="1"/>
        <v/>
      </c>
      <c r="AA88" t="str">
        <f ca="1"/>
        <v/>
      </c>
      <c r="AB88" t="str">
        <f ca="1"/>
        <v/>
      </c>
      <c r="AC88" t="str">
        <f ca="1"/>
        <v/>
      </c>
      <c r="AD88" t="str">
        <f ca="1"/>
        <v/>
      </c>
      <c r="AE88" t="str">
        <f ca="1"/>
        <v/>
      </c>
      <c r="AF88" t="str">
        <f ca="1"/>
        <v/>
      </c>
      <c r="AG88" t="str">
        <f ca="1"/>
        <v/>
      </c>
      <c r="AH88" t="str">
        <f ca="1"/>
        <v/>
      </c>
      <c r="AI88" t="str">
        <f ca="1"/>
        <v/>
      </c>
      <c r="AJ88" t="str">
        <f ca="1"/>
        <v/>
      </c>
      <c r="AK88" t="str">
        <f ca="1"/>
        <v/>
      </c>
      <c r="AL88" t="str">
        <f ca="1"/>
        <v/>
      </c>
      <c r="AM88" t="str">
        <f ca="1"/>
        <v/>
      </c>
      <c r="AN88" t="str">
        <f ca="1"/>
        <v/>
      </c>
      <c r="AO88" t="str">
        <f ca="1"/>
        <v/>
      </c>
      <c r="AP88" t="str">
        <f ca="1"/>
        <v/>
      </c>
      <c r="AQ88" t="str">
        <f ca="1"/>
        <v/>
      </c>
      <c r="AR88" t="str">
        <f ca="1"/>
        <v/>
      </c>
      <c r="AS88" t="str">
        <f ca="1"/>
        <v/>
      </c>
      <c r="AT88" t="str">
        <f ca="1"/>
        <v/>
      </c>
      <c r="AU88" t="str">
        <f ca="1"/>
        <v/>
      </c>
      <c r="AV88" t="str">
        <f ca="1"/>
        <v/>
      </c>
      <c r="AW88" t="str">
        <f ca="1"/>
        <v/>
      </c>
      <c r="AX88" t="str">
        <f ca="1"/>
        <v/>
      </c>
      <c r="AY88" t="str">
        <f ca="1"/>
        <v/>
      </c>
      <c r="AZ88" t="str">
        <f ca="1"/>
        <v/>
      </c>
      <c r="BA88" t="str">
        <f ca="1"/>
        <v/>
      </c>
      <c r="BB88" t="str">
        <f ca="1"/>
        <v/>
      </c>
      <c r="BC88" t="str">
        <f ca="1"/>
        <v/>
      </c>
      <c r="BD88" t="str">
        <f ca="1"/>
        <v/>
      </c>
      <c r="BE88" t="str">
        <f ca="1"/>
        <v/>
      </c>
      <c r="BF88" t="str">
        <f ca="1"/>
        <v/>
      </c>
      <c r="BG88" t="str">
        <f ca="1"/>
        <v/>
      </c>
      <c r="BH88" t="str">
        <f ca="1"/>
        <v/>
      </c>
      <c r="BI88" t="str">
        <f ca="1"/>
        <v/>
      </c>
      <c r="BJ88" t="str">
        <f ca="1"/>
        <v/>
      </c>
      <c r="BK88" t="str">
        <f ca="1"/>
        <v/>
      </c>
      <c r="BL88" t="str">
        <f ca="1"/>
        <v/>
      </c>
      <c r="BM88" t="str">
        <f ca="1"/>
        <v/>
      </c>
      <c r="BN88" t="str">
        <f ca="1"/>
        <v/>
      </c>
      <c r="BO88" t="str">
        <f ca="1"/>
        <v/>
      </c>
      <c r="BP88" t="str">
        <f ca="1"/>
        <v/>
      </c>
      <c r="BQ88" t="str">
        <f ca="1"/>
        <v/>
      </c>
      <c r="BR88" t="str">
        <f ca="1"/>
        <v/>
      </c>
      <c r="BS88" t="str">
        <f ca="1"/>
        <v/>
      </c>
      <c r="BT88" t="str">
        <f ca="1"/>
        <v/>
      </c>
      <c r="BU88" t="str">
        <f ca="1"/>
        <v/>
      </c>
      <c r="BV88" t="str">
        <f ca="1"/>
        <v/>
      </c>
      <c r="BW88" t="str">
        <f ca="1"/>
        <v/>
      </c>
      <c r="BX88" t="str">
        <f ca="1"/>
        <v/>
      </c>
      <c r="BY88" t="str">
        <f ca="1"/>
        <v/>
      </c>
      <c r="BZ88" t="str">
        <f ca="1"/>
        <v/>
      </c>
      <c r="CA88" t="str">
        <f ca="1"/>
        <v/>
      </c>
      <c r="CB88" t="str">
        <f ca="1"/>
        <v/>
      </c>
      <c r="CC88" t="str">
        <f ca="1"/>
        <v/>
      </c>
      <c r="CD88" t="str">
        <f ca="1"/>
        <v/>
      </c>
      <c r="CE88" t="str">
        <f ca="1"/>
        <v/>
      </c>
      <c r="CF88" t="str">
        <f ca="1"/>
        <v/>
      </c>
      <c r="CG88" t="str">
        <f ca="1"/>
        <v/>
      </c>
      <c r="CH88" t="str">
        <f ca="1"/>
        <v/>
      </c>
      <c r="CI88" t="str">
        <f ca="1"/>
        <v/>
      </c>
      <c r="CJ88" t="str">
        <f ca="1"/>
        <v/>
      </c>
      <c r="CK88" t="str">
        <f ca="1"/>
        <v/>
      </c>
      <c r="CL88" t="str">
        <f ca="1"/>
        <v/>
      </c>
      <c r="CM88" t="str">
        <f ca="1"/>
        <v/>
      </c>
      <c r="CN88" t="str">
        <f ca="1"/>
        <v/>
      </c>
      <c r="CO88" t="str">
        <f ca="1"/>
        <v/>
      </c>
      <c r="CP88" t="str">
        <f ca="1"/>
        <v/>
      </c>
      <c r="CQ88" t="str">
        <f ca="1"/>
        <v/>
      </c>
      <c r="CR88" t="str">
        <f ca="1"/>
        <v/>
      </c>
      <c r="CS88" t="str">
        <f ca="1"/>
        <v/>
      </c>
      <c r="CT88" t="str">
        <f ca="1"/>
        <v/>
      </c>
      <c r="CU88" t="str">
        <f ca="1"/>
        <v/>
      </c>
      <c r="CV88" t="str">
        <f ca="1"/>
        <v/>
      </c>
      <c r="CW88" t="str">
        <f ca="1"/>
        <v/>
      </c>
      <c r="CX88" t="str">
        <f ca="1"/>
        <v/>
      </c>
      <c r="CY88" t="str">
        <f ca="1"/>
        <v/>
      </c>
      <c r="CZ88" t="str">
        <f ca="1"/>
        <v/>
      </c>
    </row>
    <row r="89" spans="5:104">
      <c r="E89" s="22" t="str">
        <f ca="1"/>
        <v/>
      </c>
      <c r="F89" s="22" t="str">
        <f ca="1"/>
        <v/>
      </c>
      <c r="G89" s="22" t="str">
        <f ca="1"/>
        <v/>
      </c>
      <c r="H89" s="22" t="str">
        <f ca="1"/>
        <v/>
      </c>
      <c r="I89" s="22" t="str">
        <f ca="1"/>
        <v/>
      </c>
      <c r="J89" s="22" t="str">
        <f ca="1"/>
        <v/>
      </c>
      <c r="K89" s="22" t="str">
        <f ca="1"/>
        <v/>
      </c>
      <c r="L89" s="22" t="str">
        <f ca="1"/>
        <v/>
      </c>
      <c r="M89" s="22" t="str">
        <f ca="1"/>
        <v/>
      </c>
      <c r="N89" s="22" t="str">
        <f ca="1"/>
        <v/>
      </c>
      <c r="O89" s="22" t="str">
        <f ca="1"/>
        <v/>
      </c>
      <c r="P89" s="22" t="str">
        <f ca="1"/>
        <v/>
      </c>
      <c r="Q89" t="str">
        <f ca="1"/>
        <v/>
      </c>
      <c r="R89" t="str">
        <f ca="1"/>
        <v/>
      </c>
      <c r="S89" t="str">
        <f ca="1"/>
        <v/>
      </c>
      <c r="T89" t="str">
        <f ca="1"/>
        <v/>
      </c>
      <c r="U89" t="str">
        <f ca="1"/>
        <v/>
      </c>
      <c r="V89" t="str">
        <f ca="1"/>
        <v/>
      </c>
      <c r="W89" t="str">
        <f ca="1"/>
        <v/>
      </c>
      <c r="X89" t="str">
        <f ca="1"/>
        <v/>
      </c>
      <c r="Y89" t="str">
        <f ca="1"/>
        <v/>
      </c>
      <c r="Z89" t="str">
        <f ca="1"/>
        <v/>
      </c>
      <c r="AA89" t="str">
        <f ca="1"/>
        <v/>
      </c>
      <c r="AB89" t="str">
        <f ca="1"/>
        <v/>
      </c>
      <c r="AC89" t="str">
        <f ca="1"/>
        <v/>
      </c>
      <c r="AD89" t="str">
        <f ca="1"/>
        <v/>
      </c>
      <c r="AE89" t="str">
        <f ca="1"/>
        <v/>
      </c>
      <c r="AF89" t="str">
        <f ca="1"/>
        <v/>
      </c>
      <c r="AG89" t="str">
        <f ca="1"/>
        <v/>
      </c>
      <c r="AH89" t="str">
        <f ca="1"/>
        <v/>
      </c>
      <c r="AI89" t="str">
        <f ca="1"/>
        <v/>
      </c>
      <c r="AJ89" t="str">
        <f ca="1"/>
        <v/>
      </c>
      <c r="AK89" t="str">
        <f ca="1"/>
        <v/>
      </c>
      <c r="AL89" t="str">
        <f ca="1"/>
        <v/>
      </c>
      <c r="AM89" t="str">
        <f ca="1"/>
        <v/>
      </c>
      <c r="AN89" t="str">
        <f ca="1"/>
        <v/>
      </c>
      <c r="AO89" t="str">
        <f ca="1"/>
        <v/>
      </c>
      <c r="AP89" t="str">
        <f ca="1"/>
        <v/>
      </c>
      <c r="AQ89" t="str">
        <f ca="1"/>
        <v/>
      </c>
      <c r="AR89" t="str">
        <f ca="1"/>
        <v/>
      </c>
      <c r="AS89" t="str">
        <f ca="1"/>
        <v/>
      </c>
      <c r="AT89" t="str">
        <f ca="1"/>
        <v/>
      </c>
      <c r="AU89" t="str">
        <f ca="1"/>
        <v/>
      </c>
      <c r="AV89" t="str">
        <f ca="1"/>
        <v/>
      </c>
      <c r="AW89" t="str">
        <f ca="1"/>
        <v/>
      </c>
      <c r="AX89" t="str">
        <f ca="1"/>
        <v/>
      </c>
      <c r="AY89" t="str">
        <f ca="1"/>
        <v/>
      </c>
      <c r="AZ89" t="str">
        <f ca="1"/>
        <v/>
      </c>
      <c r="BA89" t="str">
        <f ca="1"/>
        <v/>
      </c>
      <c r="BB89" t="str">
        <f ca="1"/>
        <v/>
      </c>
      <c r="BC89" t="str">
        <f ca="1"/>
        <v/>
      </c>
      <c r="BD89" t="str">
        <f ca="1"/>
        <v/>
      </c>
      <c r="BE89" t="str">
        <f ca="1"/>
        <v/>
      </c>
      <c r="BF89" t="str">
        <f ca="1"/>
        <v/>
      </c>
      <c r="BG89" t="str">
        <f ca="1"/>
        <v/>
      </c>
      <c r="BH89" t="str">
        <f ca="1"/>
        <v/>
      </c>
      <c r="BI89" t="str">
        <f ca="1"/>
        <v/>
      </c>
      <c r="BJ89" t="str">
        <f ca="1"/>
        <v/>
      </c>
      <c r="BK89" t="str">
        <f ca="1"/>
        <v/>
      </c>
      <c r="BL89" t="str">
        <f ca="1"/>
        <v/>
      </c>
      <c r="BM89" t="str">
        <f ca="1"/>
        <v/>
      </c>
      <c r="BN89" t="str">
        <f ca="1"/>
        <v/>
      </c>
      <c r="BO89" t="str">
        <f ca="1"/>
        <v/>
      </c>
      <c r="BP89" t="str">
        <f ca="1"/>
        <v/>
      </c>
      <c r="BQ89" t="str">
        <f ca="1"/>
        <v/>
      </c>
      <c r="BR89" t="str">
        <f ca="1"/>
        <v/>
      </c>
      <c r="BS89" t="str">
        <f ca="1"/>
        <v/>
      </c>
      <c r="BT89" t="str">
        <f ca="1"/>
        <v/>
      </c>
      <c r="BU89" t="str">
        <f ca="1"/>
        <v/>
      </c>
      <c r="BV89" t="str">
        <f ca="1"/>
        <v/>
      </c>
      <c r="BW89" t="str">
        <f ca="1"/>
        <v/>
      </c>
      <c r="BX89" t="str">
        <f ca="1"/>
        <v/>
      </c>
      <c r="BY89" t="str">
        <f ca="1"/>
        <v/>
      </c>
      <c r="BZ89" t="str">
        <f ca="1"/>
        <v/>
      </c>
      <c r="CA89" t="str">
        <f ca="1"/>
        <v/>
      </c>
      <c r="CB89" t="str">
        <f ca="1"/>
        <v/>
      </c>
      <c r="CC89" t="str">
        <f ca="1"/>
        <v/>
      </c>
      <c r="CD89" t="str">
        <f ca="1"/>
        <v/>
      </c>
      <c r="CE89" t="str">
        <f ca="1"/>
        <v/>
      </c>
      <c r="CF89" t="str">
        <f ca="1"/>
        <v/>
      </c>
      <c r="CG89" t="str">
        <f ca="1"/>
        <v/>
      </c>
      <c r="CH89" t="str">
        <f ca="1"/>
        <v/>
      </c>
      <c r="CI89" t="str">
        <f ca="1"/>
        <v/>
      </c>
      <c r="CJ89" t="str">
        <f ca="1"/>
        <v/>
      </c>
      <c r="CK89" t="str">
        <f ca="1"/>
        <v/>
      </c>
      <c r="CL89" t="str">
        <f ca="1"/>
        <v/>
      </c>
      <c r="CM89" t="str">
        <f ca="1"/>
        <v/>
      </c>
      <c r="CN89" t="str">
        <f ca="1"/>
        <v/>
      </c>
      <c r="CO89" t="str">
        <f ca="1"/>
        <v/>
      </c>
      <c r="CP89" t="str">
        <f ca="1"/>
        <v/>
      </c>
      <c r="CQ89" t="str">
        <f ca="1"/>
        <v/>
      </c>
      <c r="CR89" t="str">
        <f ca="1"/>
        <v/>
      </c>
      <c r="CS89" t="str">
        <f ca="1"/>
        <v/>
      </c>
      <c r="CT89" t="str">
        <f ca="1"/>
        <v/>
      </c>
      <c r="CU89" t="str">
        <f ca="1"/>
        <v/>
      </c>
      <c r="CV89" t="str">
        <f ca="1"/>
        <v/>
      </c>
      <c r="CW89" t="str">
        <f ca="1"/>
        <v/>
      </c>
      <c r="CX89" t="str">
        <f ca="1"/>
        <v/>
      </c>
      <c r="CY89" t="str">
        <f ca="1"/>
        <v/>
      </c>
      <c r="CZ89" t="str">
        <f ca="1"/>
        <v/>
      </c>
    </row>
    <row r="90" spans="5:104">
      <c r="E90" s="22" t="str">
        <f ca="1"/>
        <v/>
      </c>
      <c r="F90" s="22" t="str">
        <f ca="1"/>
        <v/>
      </c>
      <c r="G90" s="22" t="str">
        <f ca="1"/>
        <v/>
      </c>
      <c r="H90" s="22" t="str">
        <f ca="1"/>
        <v/>
      </c>
      <c r="I90" s="22" t="str">
        <f ca="1"/>
        <v/>
      </c>
      <c r="J90" s="22" t="str">
        <f ca="1"/>
        <v/>
      </c>
      <c r="K90" s="22" t="str">
        <f ca="1"/>
        <v/>
      </c>
      <c r="L90" s="22" t="str">
        <f ca="1"/>
        <v/>
      </c>
      <c r="M90" s="22" t="str">
        <f ca="1"/>
        <v/>
      </c>
      <c r="N90" s="22" t="str">
        <f ca="1"/>
        <v/>
      </c>
      <c r="O90" s="22" t="str">
        <f ca="1"/>
        <v/>
      </c>
      <c r="P90" s="22" t="str">
        <f ca="1"/>
        <v/>
      </c>
      <c r="Q90" t="str">
        <f ca="1"/>
        <v/>
      </c>
      <c r="R90" t="str">
        <f ca="1"/>
        <v/>
      </c>
      <c r="S90" t="str">
        <f ca="1"/>
        <v/>
      </c>
      <c r="T90" t="str">
        <f ca="1"/>
        <v/>
      </c>
      <c r="U90" t="str">
        <f ca="1"/>
        <v/>
      </c>
      <c r="V90" t="str">
        <f ca="1"/>
        <v/>
      </c>
      <c r="W90" t="str">
        <f ca="1"/>
        <v/>
      </c>
      <c r="X90" t="str">
        <f ca="1"/>
        <v/>
      </c>
      <c r="Y90" t="str">
        <f ca="1"/>
        <v/>
      </c>
      <c r="Z90" t="str">
        <f ca="1"/>
        <v/>
      </c>
      <c r="AA90" t="str">
        <f ca="1"/>
        <v/>
      </c>
      <c r="AB90" t="str">
        <f ca="1"/>
        <v/>
      </c>
      <c r="AC90" t="str">
        <f ca="1"/>
        <v/>
      </c>
      <c r="AD90" t="str">
        <f ca="1"/>
        <v/>
      </c>
      <c r="AE90" t="str">
        <f ca="1"/>
        <v/>
      </c>
      <c r="AF90" t="str">
        <f ca="1"/>
        <v/>
      </c>
      <c r="AG90" t="str">
        <f ca="1"/>
        <v/>
      </c>
      <c r="AH90" t="str">
        <f ca="1"/>
        <v/>
      </c>
      <c r="AI90" t="str">
        <f ca="1"/>
        <v/>
      </c>
      <c r="AJ90" t="str">
        <f ca="1"/>
        <v/>
      </c>
      <c r="AK90" t="str">
        <f ca="1"/>
        <v/>
      </c>
      <c r="AL90" t="str">
        <f ca="1"/>
        <v/>
      </c>
      <c r="AM90" t="str">
        <f ca="1"/>
        <v/>
      </c>
      <c r="AN90" t="str">
        <f ca="1"/>
        <v/>
      </c>
      <c r="AO90" t="str">
        <f ca="1"/>
        <v/>
      </c>
      <c r="AP90" t="str">
        <f ca="1"/>
        <v/>
      </c>
      <c r="AQ90" t="str">
        <f ca="1"/>
        <v/>
      </c>
      <c r="AR90" t="str">
        <f ca="1"/>
        <v/>
      </c>
      <c r="AS90" t="str">
        <f ca="1"/>
        <v/>
      </c>
      <c r="AT90" t="str">
        <f ca="1"/>
        <v/>
      </c>
      <c r="AU90" t="str">
        <f ca="1"/>
        <v/>
      </c>
      <c r="AV90" t="str">
        <f ca="1"/>
        <v/>
      </c>
      <c r="AW90" t="str">
        <f ca="1"/>
        <v/>
      </c>
      <c r="AX90" t="str">
        <f ca="1"/>
        <v/>
      </c>
      <c r="AY90" t="str">
        <f ca="1"/>
        <v/>
      </c>
      <c r="AZ90" t="str">
        <f ca="1"/>
        <v/>
      </c>
      <c r="BA90" t="str">
        <f ca="1"/>
        <v/>
      </c>
      <c r="BB90" t="str">
        <f ca="1"/>
        <v/>
      </c>
      <c r="BC90" t="str">
        <f ca="1"/>
        <v/>
      </c>
      <c r="BD90" t="str">
        <f ca="1"/>
        <v/>
      </c>
      <c r="BE90" t="str">
        <f ca="1"/>
        <v/>
      </c>
      <c r="BF90" t="str">
        <f ca="1"/>
        <v/>
      </c>
      <c r="BG90" t="str">
        <f ca="1"/>
        <v/>
      </c>
      <c r="BH90" t="str">
        <f ca="1"/>
        <v/>
      </c>
      <c r="BI90" t="str">
        <f ca="1"/>
        <v/>
      </c>
      <c r="BJ90" t="str">
        <f ca="1"/>
        <v/>
      </c>
      <c r="BK90" t="str">
        <f ca="1"/>
        <v/>
      </c>
      <c r="BL90" t="str">
        <f ca="1"/>
        <v/>
      </c>
      <c r="BM90" t="str">
        <f ca="1"/>
        <v/>
      </c>
      <c r="BN90" t="str">
        <f ca="1"/>
        <v/>
      </c>
      <c r="BO90" t="str">
        <f ca="1"/>
        <v/>
      </c>
      <c r="BP90" t="str">
        <f ca="1"/>
        <v/>
      </c>
      <c r="BQ90" t="str">
        <f ca="1"/>
        <v/>
      </c>
      <c r="BR90" t="str">
        <f ca="1"/>
        <v/>
      </c>
      <c r="BS90" t="str">
        <f ca="1"/>
        <v/>
      </c>
      <c r="BT90" t="str">
        <f ca="1"/>
        <v/>
      </c>
      <c r="BU90" t="str">
        <f ca="1"/>
        <v/>
      </c>
      <c r="BV90" t="str">
        <f ca="1"/>
        <v/>
      </c>
      <c r="BW90" t="str">
        <f ca="1"/>
        <v/>
      </c>
      <c r="BX90" t="str">
        <f ca="1"/>
        <v/>
      </c>
      <c r="BY90" t="str">
        <f ca="1"/>
        <v/>
      </c>
      <c r="BZ90" t="str">
        <f ca="1"/>
        <v/>
      </c>
      <c r="CA90" t="str">
        <f ca="1"/>
        <v/>
      </c>
      <c r="CB90" t="str">
        <f ca="1"/>
        <v/>
      </c>
      <c r="CC90" t="str">
        <f ca="1"/>
        <v/>
      </c>
      <c r="CD90" t="str">
        <f ca="1"/>
        <v/>
      </c>
      <c r="CE90" t="str">
        <f ca="1"/>
        <v/>
      </c>
      <c r="CF90" t="str">
        <f ca="1"/>
        <v/>
      </c>
      <c r="CG90" t="str">
        <f ca="1"/>
        <v/>
      </c>
      <c r="CH90" t="str">
        <f ca="1"/>
        <v/>
      </c>
      <c r="CI90" t="str">
        <f ca="1"/>
        <v/>
      </c>
      <c r="CJ90" t="str">
        <f ca="1"/>
        <v/>
      </c>
      <c r="CK90" t="str">
        <f ca="1"/>
        <v/>
      </c>
      <c r="CL90" t="str">
        <f ca="1"/>
        <v/>
      </c>
      <c r="CM90" t="str">
        <f ca="1"/>
        <v/>
      </c>
      <c r="CN90" t="str">
        <f ca="1"/>
        <v/>
      </c>
      <c r="CO90" t="str">
        <f ca="1"/>
        <v/>
      </c>
      <c r="CP90" t="str">
        <f ca="1"/>
        <v/>
      </c>
      <c r="CQ90" t="str">
        <f ca="1"/>
        <v/>
      </c>
      <c r="CR90" t="str">
        <f ca="1"/>
        <v/>
      </c>
      <c r="CS90" t="str">
        <f ca="1"/>
        <v/>
      </c>
      <c r="CT90" t="str">
        <f ca="1"/>
        <v/>
      </c>
      <c r="CU90" t="str">
        <f ca="1"/>
        <v/>
      </c>
      <c r="CV90" t="str">
        <f ca="1"/>
        <v/>
      </c>
      <c r="CW90" t="str">
        <f ca="1"/>
        <v/>
      </c>
      <c r="CX90" t="str">
        <f ca="1"/>
        <v/>
      </c>
      <c r="CY90" t="str">
        <f ca="1"/>
        <v/>
      </c>
      <c r="CZ90" t="str">
        <f ca="1"/>
        <v/>
      </c>
    </row>
    <row r="91" spans="5:104">
      <c r="E91" s="22" t="str">
        <f ca="1"/>
        <v/>
      </c>
      <c r="F91" s="22" t="str">
        <f ca="1"/>
        <v/>
      </c>
      <c r="G91" s="22" t="str">
        <f ca="1"/>
        <v/>
      </c>
      <c r="H91" s="22" t="str">
        <f ca="1"/>
        <v/>
      </c>
      <c r="I91" s="22" t="str">
        <f ca="1"/>
        <v/>
      </c>
      <c r="J91" s="22" t="str">
        <f ca="1"/>
        <v/>
      </c>
      <c r="K91" s="22" t="str">
        <f ca="1"/>
        <v/>
      </c>
      <c r="L91" s="22" t="str">
        <f ca="1"/>
        <v/>
      </c>
      <c r="M91" s="22" t="str">
        <f ca="1"/>
        <v/>
      </c>
      <c r="N91" s="22" t="str">
        <f ca="1"/>
        <v/>
      </c>
      <c r="O91" s="22" t="str">
        <f ca="1"/>
        <v/>
      </c>
      <c r="P91" s="22" t="str">
        <f ca="1"/>
        <v/>
      </c>
      <c r="Q91" t="str">
        <f ca="1"/>
        <v/>
      </c>
      <c r="R91" t="str">
        <f ca="1"/>
        <v/>
      </c>
      <c r="S91" t="str">
        <f ca="1"/>
        <v/>
      </c>
      <c r="T91" t="str">
        <f ca="1"/>
        <v/>
      </c>
      <c r="U91" t="str">
        <f ca="1"/>
        <v/>
      </c>
      <c r="V91" t="str">
        <f ca="1"/>
        <v/>
      </c>
      <c r="W91" t="str">
        <f ca="1"/>
        <v/>
      </c>
      <c r="X91" t="str">
        <f ca="1"/>
        <v/>
      </c>
      <c r="Y91" t="str">
        <f ca="1"/>
        <v/>
      </c>
      <c r="Z91" t="str">
        <f ca="1"/>
        <v/>
      </c>
      <c r="AA91" t="str">
        <f ca="1"/>
        <v/>
      </c>
      <c r="AB91" t="str">
        <f ca="1"/>
        <v/>
      </c>
      <c r="AC91" t="str">
        <f ca="1"/>
        <v/>
      </c>
      <c r="AD91" t="str">
        <f ca="1"/>
        <v/>
      </c>
      <c r="AE91" t="str">
        <f ca="1"/>
        <v/>
      </c>
      <c r="AF91" t="str">
        <f ca="1"/>
        <v/>
      </c>
      <c r="AG91" t="str">
        <f ca="1"/>
        <v/>
      </c>
      <c r="AH91" t="str">
        <f ca="1"/>
        <v/>
      </c>
      <c r="AI91" t="str">
        <f ca="1"/>
        <v/>
      </c>
      <c r="AJ91" t="str">
        <f ca="1"/>
        <v/>
      </c>
      <c r="AK91" t="str">
        <f ca="1"/>
        <v/>
      </c>
      <c r="AL91" t="str">
        <f ca="1"/>
        <v/>
      </c>
      <c r="AM91" t="str">
        <f ca="1"/>
        <v/>
      </c>
      <c r="AN91" t="str">
        <f ca="1"/>
        <v/>
      </c>
      <c r="AO91" t="str">
        <f ca="1"/>
        <v/>
      </c>
      <c r="AP91" t="str">
        <f ca="1"/>
        <v/>
      </c>
      <c r="AQ91" t="str">
        <f ca="1"/>
        <v/>
      </c>
      <c r="AR91" t="str">
        <f ca="1"/>
        <v/>
      </c>
      <c r="AS91" t="str">
        <f ca="1"/>
        <v/>
      </c>
      <c r="AT91" t="str">
        <f ca="1"/>
        <v/>
      </c>
      <c r="AU91" t="str">
        <f ca="1"/>
        <v/>
      </c>
      <c r="AV91" t="str">
        <f ca="1"/>
        <v/>
      </c>
      <c r="AW91" t="str">
        <f ca="1"/>
        <v/>
      </c>
      <c r="AX91" t="str">
        <f ca="1"/>
        <v/>
      </c>
      <c r="AY91" t="str">
        <f ca="1"/>
        <v/>
      </c>
      <c r="AZ91" t="str">
        <f ca="1"/>
        <v/>
      </c>
      <c r="BA91" t="str">
        <f ca="1"/>
        <v/>
      </c>
      <c r="BB91" t="str">
        <f ca="1"/>
        <v/>
      </c>
      <c r="BC91" t="str">
        <f ca="1"/>
        <v/>
      </c>
      <c r="BD91" t="str">
        <f ca="1"/>
        <v/>
      </c>
      <c r="BE91" t="str">
        <f ca="1"/>
        <v/>
      </c>
      <c r="BF91" t="str">
        <f ca="1"/>
        <v/>
      </c>
      <c r="BG91" t="str">
        <f ca="1"/>
        <v/>
      </c>
      <c r="BH91" t="str">
        <f ca="1"/>
        <v/>
      </c>
      <c r="BI91" t="str">
        <f ca="1"/>
        <v/>
      </c>
      <c r="BJ91" t="str">
        <f ca="1"/>
        <v/>
      </c>
      <c r="BK91" t="str">
        <f ca="1"/>
        <v/>
      </c>
      <c r="BL91" t="str">
        <f ca="1"/>
        <v/>
      </c>
      <c r="BM91" t="str">
        <f ca="1"/>
        <v/>
      </c>
      <c r="BN91" t="str">
        <f ca="1"/>
        <v/>
      </c>
      <c r="BO91" t="str">
        <f ca="1"/>
        <v/>
      </c>
      <c r="BP91" t="str">
        <f ca="1"/>
        <v/>
      </c>
      <c r="BQ91" t="str">
        <f ca="1"/>
        <v/>
      </c>
      <c r="BR91" t="str">
        <f ca="1"/>
        <v/>
      </c>
      <c r="BS91" t="str">
        <f ca="1"/>
        <v/>
      </c>
      <c r="BT91" t="str">
        <f ca="1"/>
        <v/>
      </c>
      <c r="BU91" t="str">
        <f ca="1"/>
        <v/>
      </c>
      <c r="BV91" t="str">
        <f ca="1"/>
        <v/>
      </c>
      <c r="BW91" t="str">
        <f ca="1"/>
        <v/>
      </c>
      <c r="BX91" t="str">
        <f ca="1"/>
        <v/>
      </c>
      <c r="BY91" t="str">
        <f ca="1"/>
        <v/>
      </c>
      <c r="BZ91" t="str">
        <f ca="1"/>
        <v/>
      </c>
      <c r="CA91" t="str">
        <f ca="1"/>
        <v/>
      </c>
      <c r="CB91" t="str">
        <f ca="1"/>
        <v/>
      </c>
      <c r="CC91" t="str">
        <f ca="1"/>
        <v/>
      </c>
      <c r="CD91" t="str">
        <f ca="1"/>
        <v/>
      </c>
      <c r="CE91" t="str">
        <f ca="1"/>
        <v/>
      </c>
      <c r="CF91" t="str">
        <f ca="1"/>
        <v/>
      </c>
      <c r="CG91" t="str">
        <f ca="1"/>
        <v/>
      </c>
      <c r="CH91" t="str">
        <f ca="1"/>
        <v/>
      </c>
      <c r="CI91" t="str">
        <f ca="1"/>
        <v/>
      </c>
      <c r="CJ91" t="str">
        <f ca="1"/>
        <v/>
      </c>
      <c r="CK91" t="str">
        <f ca="1"/>
        <v/>
      </c>
      <c r="CL91" t="str">
        <f ca="1"/>
        <v/>
      </c>
      <c r="CM91" t="str">
        <f ca="1"/>
        <v/>
      </c>
      <c r="CN91" t="str">
        <f ca="1"/>
        <v/>
      </c>
      <c r="CO91" t="str">
        <f ca="1"/>
        <v/>
      </c>
      <c r="CP91" t="str">
        <f ca="1"/>
        <v/>
      </c>
      <c r="CQ91" t="str">
        <f ca="1"/>
        <v/>
      </c>
      <c r="CR91" t="str">
        <f ca="1"/>
        <v/>
      </c>
      <c r="CS91" t="str">
        <f ca="1"/>
        <v/>
      </c>
      <c r="CT91" t="str">
        <f ca="1"/>
        <v/>
      </c>
      <c r="CU91" t="str">
        <f ca="1"/>
        <v/>
      </c>
      <c r="CV91" t="str">
        <f ca="1"/>
        <v/>
      </c>
      <c r="CW91" t="str">
        <f ca="1"/>
        <v/>
      </c>
      <c r="CX91" t="str">
        <f ca="1"/>
        <v/>
      </c>
      <c r="CY91" t="str">
        <f ca="1"/>
        <v/>
      </c>
      <c r="CZ91" t="str">
        <f ca="1"/>
        <v/>
      </c>
    </row>
    <row r="92" spans="5:104">
      <c r="E92" s="22" t="str">
        <f ca="1"/>
        <v/>
      </c>
      <c r="F92" s="22" t="str">
        <f ca="1"/>
        <v/>
      </c>
      <c r="G92" s="22" t="str">
        <f ca="1"/>
        <v/>
      </c>
      <c r="H92" s="22" t="str">
        <f ca="1"/>
        <v/>
      </c>
      <c r="I92" s="22" t="str">
        <f ca="1"/>
        <v/>
      </c>
      <c r="J92" s="22" t="str">
        <f ca="1"/>
        <v/>
      </c>
      <c r="K92" s="22" t="str">
        <f ca="1"/>
        <v/>
      </c>
      <c r="L92" s="22" t="str">
        <f ca="1"/>
        <v/>
      </c>
      <c r="M92" s="22" t="str">
        <f ca="1"/>
        <v/>
      </c>
      <c r="N92" s="22" t="str">
        <f ca="1"/>
        <v/>
      </c>
      <c r="O92" s="22" t="str">
        <f ca="1"/>
        <v/>
      </c>
      <c r="P92" s="22" t="str">
        <f ca="1"/>
        <v/>
      </c>
      <c r="Q92" t="str">
        <f ca="1"/>
        <v/>
      </c>
      <c r="R92" t="str">
        <f ca="1"/>
        <v/>
      </c>
      <c r="S92" t="str">
        <f ca="1"/>
        <v/>
      </c>
      <c r="T92" t="str">
        <f ca="1"/>
        <v/>
      </c>
      <c r="U92" t="str">
        <f ca="1"/>
        <v/>
      </c>
      <c r="V92" t="str">
        <f ca="1"/>
        <v/>
      </c>
      <c r="W92" t="str">
        <f ca="1"/>
        <v/>
      </c>
      <c r="X92" t="str">
        <f ca="1"/>
        <v/>
      </c>
      <c r="Y92" t="str">
        <f ca="1"/>
        <v/>
      </c>
      <c r="Z92" t="str">
        <f ca="1"/>
        <v/>
      </c>
      <c r="AA92" t="str">
        <f ca="1"/>
        <v/>
      </c>
      <c r="AB92" t="str">
        <f ca="1"/>
        <v/>
      </c>
      <c r="AC92" t="str">
        <f ca="1"/>
        <v/>
      </c>
      <c r="AD92" t="str">
        <f ca="1"/>
        <v/>
      </c>
      <c r="AE92" t="str">
        <f ca="1"/>
        <v/>
      </c>
      <c r="AF92" t="str">
        <f ca="1"/>
        <v/>
      </c>
      <c r="AG92" t="str">
        <f ca="1"/>
        <v/>
      </c>
      <c r="AH92" t="str">
        <f ca="1"/>
        <v/>
      </c>
      <c r="AI92" t="str">
        <f ca="1"/>
        <v/>
      </c>
      <c r="AJ92" t="str">
        <f ca="1"/>
        <v/>
      </c>
      <c r="AK92" t="str">
        <f ca="1"/>
        <v/>
      </c>
      <c r="AL92" t="str">
        <f ca="1"/>
        <v/>
      </c>
      <c r="AM92" t="str">
        <f ca="1"/>
        <v/>
      </c>
      <c r="AN92" t="str">
        <f ca="1"/>
        <v/>
      </c>
      <c r="AO92" t="str">
        <f ca="1"/>
        <v/>
      </c>
      <c r="AP92" t="str">
        <f ca="1"/>
        <v/>
      </c>
      <c r="AQ92" t="str">
        <f ca="1"/>
        <v/>
      </c>
      <c r="AR92" t="str">
        <f ca="1"/>
        <v/>
      </c>
      <c r="AS92" t="str">
        <f ca="1"/>
        <v/>
      </c>
      <c r="AT92" t="str">
        <f ca="1"/>
        <v/>
      </c>
      <c r="AU92" t="str">
        <f ca="1"/>
        <v/>
      </c>
      <c r="AV92" t="str">
        <f ca="1"/>
        <v/>
      </c>
      <c r="AW92" t="str">
        <f ca="1"/>
        <v/>
      </c>
      <c r="AX92" t="str">
        <f ca="1"/>
        <v/>
      </c>
      <c r="AY92" t="str">
        <f ca="1"/>
        <v/>
      </c>
      <c r="AZ92" t="str">
        <f ca="1"/>
        <v/>
      </c>
      <c r="BA92" t="str">
        <f ca="1"/>
        <v/>
      </c>
      <c r="BB92" t="str">
        <f ca="1"/>
        <v/>
      </c>
      <c r="BC92" t="str">
        <f ca="1"/>
        <v/>
      </c>
      <c r="BD92" t="str">
        <f ca="1"/>
        <v/>
      </c>
      <c r="BE92" t="str">
        <f ca="1"/>
        <v/>
      </c>
      <c r="BF92" t="str">
        <f ca="1"/>
        <v/>
      </c>
      <c r="BG92" t="str">
        <f ca="1"/>
        <v/>
      </c>
      <c r="BH92" t="str">
        <f ca="1"/>
        <v/>
      </c>
      <c r="BI92" t="str">
        <f ca="1"/>
        <v/>
      </c>
      <c r="BJ92" t="str">
        <f ca="1"/>
        <v/>
      </c>
      <c r="BK92" t="str">
        <f ca="1"/>
        <v/>
      </c>
      <c r="BL92" t="str">
        <f ca="1"/>
        <v/>
      </c>
      <c r="BM92" t="str">
        <f ca="1"/>
        <v/>
      </c>
      <c r="BN92" t="str">
        <f ca="1"/>
        <v/>
      </c>
      <c r="BO92" t="str">
        <f ca="1"/>
        <v/>
      </c>
      <c r="BP92" t="str">
        <f ca="1"/>
        <v/>
      </c>
      <c r="BQ92" t="str">
        <f ca="1"/>
        <v/>
      </c>
      <c r="BR92" t="str">
        <f ca="1"/>
        <v/>
      </c>
      <c r="BS92" t="str">
        <f ca="1"/>
        <v/>
      </c>
      <c r="BT92" t="str">
        <f ca="1"/>
        <v/>
      </c>
      <c r="BU92" t="str">
        <f ca="1"/>
        <v/>
      </c>
      <c r="BV92" t="str">
        <f ca="1"/>
        <v/>
      </c>
      <c r="BW92" t="str">
        <f ca="1"/>
        <v/>
      </c>
      <c r="BX92" t="str">
        <f ca="1"/>
        <v/>
      </c>
      <c r="BY92" t="str">
        <f ca="1"/>
        <v/>
      </c>
      <c r="BZ92" t="str">
        <f ca="1"/>
        <v/>
      </c>
      <c r="CA92" t="str">
        <f ca="1"/>
        <v/>
      </c>
      <c r="CB92" t="str">
        <f ca="1"/>
        <v/>
      </c>
      <c r="CC92" t="str">
        <f ca="1"/>
        <v/>
      </c>
      <c r="CD92" t="str">
        <f ca="1"/>
        <v/>
      </c>
      <c r="CE92" t="str">
        <f ca="1"/>
        <v/>
      </c>
      <c r="CF92" t="str">
        <f ca="1"/>
        <v/>
      </c>
      <c r="CG92" t="str">
        <f ca="1"/>
        <v/>
      </c>
      <c r="CH92" t="str">
        <f ca="1"/>
        <v/>
      </c>
      <c r="CI92" t="str">
        <f ca="1"/>
        <v/>
      </c>
      <c r="CJ92" t="str">
        <f ca="1"/>
        <v/>
      </c>
      <c r="CK92" t="str">
        <f ca="1"/>
        <v/>
      </c>
      <c r="CL92" t="str">
        <f ca="1"/>
        <v/>
      </c>
      <c r="CM92" t="str">
        <f ca="1"/>
        <v/>
      </c>
      <c r="CN92" t="str">
        <f ca="1"/>
        <v/>
      </c>
      <c r="CO92" t="str">
        <f ca="1"/>
        <v/>
      </c>
      <c r="CP92" t="str">
        <f ca="1"/>
        <v/>
      </c>
      <c r="CQ92" t="str">
        <f ca="1"/>
        <v/>
      </c>
      <c r="CR92" t="str">
        <f ca="1"/>
        <v/>
      </c>
      <c r="CS92" t="str">
        <f ca="1"/>
        <v/>
      </c>
      <c r="CT92" t="str">
        <f ca="1"/>
        <v/>
      </c>
      <c r="CU92" t="str">
        <f ca="1"/>
        <v/>
      </c>
      <c r="CV92" t="str">
        <f ca="1"/>
        <v/>
      </c>
      <c r="CW92" t="str">
        <f ca="1"/>
        <v/>
      </c>
      <c r="CX92" t="str">
        <f ca="1"/>
        <v/>
      </c>
      <c r="CY92" t="str">
        <f ca="1"/>
        <v/>
      </c>
      <c r="CZ92" t="str">
        <f ca="1"/>
        <v/>
      </c>
    </row>
    <row r="93" spans="5:104">
      <c r="E93" s="22" t="str">
        <f ca="1"/>
        <v/>
      </c>
      <c r="F93" s="22" t="str">
        <f ca="1"/>
        <v/>
      </c>
      <c r="G93" s="22" t="str">
        <f ca="1"/>
        <v/>
      </c>
      <c r="H93" s="22" t="str">
        <f ca="1"/>
        <v/>
      </c>
      <c r="I93" s="22" t="str">
        <f ca="1"/>
        <v/>
      </c>
      <c r="J93" s="22" t="str">
        <f ca="1"/>
        <v/>
      </c>
      <c r="K93" s="22" t="str">
        <f ca="1"/>
        <v/>
      </c>
      <c r="L93" s="22" t="str">
        <f ca="1"/>
        <v/>
      </c>
      <c r="M93" s="22" t="str">
        <f ca="1"/>
        <v/>
      </c>
      <c r="N93" s="22" t="str">
        <f ca="1"/>
        <v/>
      </c>
      <c r="O93" s="22" t="str">
        <f ca="1"/>
        <v/>
      </c>
      <c r="P93" s="22" t="str">
        <f ca="1"/>
        <v/>
      </c>
      <c r="Q93" t="str">
        <f ca="1"/>
        <v/>
      </c>
      <c r="R93" t="str">
        <f ca="1"/>
        <v/>
      </c>
      <c r="S93" t="str">
        <f ca="1"/>
        <v/>
      </c>
      <c r="T93" t="str">
        <f ca="1"/>
        <v/>
      </c>
      <c r="U93" t="str">
        <f ca="1"/>
        <v/>
      </c>
      <c r="V93" t="str">
        <f ca="1"/>
        <v/>
      </c>
      <c r="W93" t="str">
        <f ca="1"/>
        <v/>
      </c>
      <c r="X93" t="str">
        <f ca="1"/>
        <v/>
      </c>
      <c r="Y93" t="str">
        <f ca="1"/>
        <v/>
      </c>
      <c r="Z93" t="str">
        <f ca="1"/>
        <v/>
      </c>
      <c r="AA93" t="str">
        <f ca="1"/>
        <v/>
      </c>
      <c r="AB93" t="str">
        <f ca="1"/>
        <v/>
      </c>
      <c r="AC93" t="str">
        <f ca="1"/>
        <v/>
      </c>
      <c r="AD93" t="str">
        <f ca="1"/>
        <v/>
      </c>
      <c r="AE93" t="str">
        <f ca="1"/>
        <v/>
      </c>
      <c r="AF93" t="str">
        <f ca="1"/>
        <v/>
      </c>
      <c r="AG93" t="str">
        <f ca="1"/>
        <v/>
      </c>
      <c r="AH93" t="str">
        <f ca="1"/>
        <v/>
      </c>
      <c r="AI93" t="str">
        <f ca="1"/>
        <v/>
      </c>
      <c r="AJ93" t="str">
        <f ca="1"/>
        <v/>
      </c>
      <c r="AK93" t="str">
        <f ca="1"/>
        <v/>
      </c>
      <c r="AL93" t="str">
        <f ca="1"/>
        <v/>
      </c>
      <c r="AM93" t="str">
        <f ca="1"/>
        <v/>
      </c>
      <c r="AN93" t="str">
        <f ca="1"/>
        <v/>
      </c>
      <c r="AO93" t="str">
        <f ca="1"/>
        <v/>
      </c>
      <c r="AP93" t="str">
        <f ca="1"/>
        <v/>
      </c>
      <c r="AQ93" t="str">
        <f ca="1"/>
        <v/>
      </c>
      <c r="AR93" t="str">
        <f ca="1"/>
        <v/>
      </c>
      <c r="AS93" t="str">
        <f ca="1"/>
        <v/>
      </c>
      <c r="AT93" t="str">
        <f ca="1"/>
        <v/>
      </c>
      <c r="AU93" t="str">
        <f ca="1"/>
        <v/>
      </c>
      <c r="AV93" t="str">
        <f ca="1"/>
        <v/>
      </c>
      <c r="AW93" t="str">
        <f ca="1"/>
        <v/>
      </c>
      <c r="AX93" t="str">
        <f ca="1"/>
        <v/>
      </c>
      <c r="AY93" t="str">
        <f ca="1"/>
        <v/>
      </c>
      <c r="AZ93" t="str">
        <f ca="1"/>
        <v/>
      </c>
      <c r="BA93" t="str">
        <f ca="1"/>
        <v/>
      </c>
      <c r="BB93" t="str">
        <f ca="1"/>
        <v/>
      </c>
      <c r="BC93" t="str">
        <f ca="1"/>
        <v/>
      </c>
      <c r="BD93" t="str">
        <f ca="1"/>
        <v/>
      </c>
      <c r="BE93" t="str">
        <f ca="1"/>
        <v/>
      </c>
      <c r="BF93" t="str">
        <f ca="1"/>
        <v/>
      </c>
      <c r="BG93" t="str">
        <f ca="1"/>
        <v/>
      </c>
      <c r="BH93" t="str">
        <f ca="1"/>
        <v/>
      </c>
      <c r="BI93" t="str">
        <f ca="1"/>
        <v/>
      </c>
      <c r="BJ93" t="str">
        <f ca="1"/>
        <v/>
      </c>
      <c r="BK93" t="str">
        <f ca="1"/>
        <v/>
      </c>
      <c r="BL93" t="str">
        <f ca="1"/>
        <v/>
      </c>
      <c r="BM93" t="str">
        <f ca="1"/>
        <v/>
      </c>
      <c r="BN93" t="str">
        <f ca="1"/>
        <v/>
      </c>
      <c r="BO93" t="str">
        <f ca="1"/>
        <v/>
      </c>
      <c r="BP93" t="str">
        <f ca="1"/>
        <v/>
      </c>
      <c r="BQ93" t="str">
        <f ca="1"/>
        <v/>
      </c>
      <c r="BR93" t="str">
        <f ca="1"/>
        <v/>
      </c>
      <c r="BS93" t="str">
        <f ca="1"/>
        <v/>
      </c>
      <c r="BT93" t="str">
        <f ca="1"/>
        <v/>
      </c>
      <c r="BU93" t="str">
        <f ca="1"/>
        <v/>
      </c>
      <c r="BV93" t="str">
        <f ca="1"/>
        <v/>
      </c>
      <c r="BW93" t="str">
        <f ca="1"/>
        <v/>
      </c>
      <c r="BX93" t="str">
        <f ca="1"/>
        <v/>
      </c>
      <c r="BY93" t="str">
        <f ca="1"/>
        <v/>
      </c>
      <c r="BZ93" t="str">
        <f ca="1"/>
        <v/>
      </c>
      <c r="CA93" t="str">
        <f ca="1"/>
        <v/>
      </c>
      <c r="CB93" t="str">
        <f ca="1"/>
        <v/>
      </c>
      <c r="CC93" t="str">
        <f ca="1"/>
        <v/>
      </c>
      <c r="CD93" t="str">
        <f ca="1"/>
        <v/>
      </c>
      <c r="CE93" t="str">
        <f ca="1"/>
        <v/>
      </c>
      <c r="CF93" t="str">
        <f ca="1"/>
        <v/>
      </c>
      <c r="CG93" t="str">
        <f ca="1"/>
        <v/>
      </c>
      <c r="CH93" t="str">
        <f ca="1"/>
        <v/>
      </c>
      <c r="CI93" t="str">
        <f ca="1"/>
        <v/>
      </c>
      <c r="CJ93" t="str">
        <f ca="1"/>
        <v/>
      </c>
      <c r="CK93" t="str">
        <f ca="1"/>
        <v/>
      </c>
      <c r="CL93" t="str">
        <f ca="1"/>
        <v/>
      </c>
      <c r="CM93" t="str">
        <f ca="1"/>
        <v/>
      </c>
      <c r="CN93" t="str">
        <f ca="1"/>
        <v/>
      </c>
      <c r="CO93" t="str">
        <f ca="1"/>
        <v/>
      </c>
      <c r="CP93" t="str">
        <f ca="1"/>
        <v/>
      </c>
      <c r="CQ93" t="str">
        <f ca="1"/>
        <v/>
      </c>
      <c r="CR93" t="str">
        <f ca="1"/>
        <v/>
      </c>
      <c r="CS93" t="str">
        <f ca="1"/>
        <v/>
      </c>
      <c r="CT93" t="str">
        <f ca="1"/>
        <v/>
      </c>
      <c r="CU93" t="str">
        <f ca="1"/>
        <v/>
      </c>
      <c r="CV93" t="str">
        <f ca="1"/>
        <v/>
      </c>
      <c r="CW93" t="str">
        <f ca="1"/>
        <v/>
      </c>
      <c r="CX93" t="str">
        <f ca="1"/>
        <v/>
      </c>
      <c r="CY93" t="str">
        <f ca="1"/>
        <v/>
      </c>
      <c r="CZ93" t="str">
        <f ca="1"/>
        <v/>
      </c>
    </row>
    <row r="94" spans="5:104">
      <c r="E94" s="22" t="str">
        <f ca="1"/>
        <v/>
      </c>
      <c r="F94" s="22" t="str">
        <f ca="1"/>
        <v/>
      </c>
      <c r="G94" s="22" t="str">
        <f ca="1"/>
        <v/>
      </c>
      <c r="H94" s="22" t="str">
        <f ca="1"/>
        <v/>
      </c>
      <c r="I94" s="22" t="str">
        <f ca="1"/>
        <v/>
      </c>
      <c r="J94" s="22" t="str">
        <f ca="1"/>
        <v/>
      </c>
      <c r="K94" s="22" t="str">
        <f ca="1"/>
        <v/>
      </c>
      <c r="L94" s="22" t="str">
        <f ca="1"/>
        <v/>
      </c>
      <c r="M94" s="22" t="str">
        <f ca="1"/>
        <v/>
      </c>
      <c r="N94" s="22" t="str">
        <f ca="1"/>
        <v/>
      </c>
      <c r="O94" s="22" t="str">
        <f ca="1"/>
        <v/>
      </c>
      <c r="P94" s="22" t="str">
        <f ca="1"/>
        <v/>
      </c>
      <c r="Q94" t="str">
        <f ca="1"/>
        <v/>
      </c>
      <c r="R94" t="str">
        <f ca="1"/>
        <v/>
      </c>
      <c r="S94" t="str">
        <f ca="1"/>
        <v/>
      </c>
      <c r="T94" t="str">
        <f ca="1"/>
        <v/>
      </c>
      <c r="U94" t="str">
        <f ca="1"/>
        <v/>
      </c>
      <c r="V94" t="str">
        <f ca="1"/>
        <v/>
      </c>
      <c r="W94" t="str">
        <f ca="1"/>
        <v/>
      </c>
      <c r="X94" t="str">
        <f ca="1"/>
        <v/>
      </c>
      <c r="Y94" t="str">
        <f ca="1"/>
        <v/>
      </c>
      <c r="Z94" t="str">
        <f ca="1"/>
        <v/>
      </c>
      <c r="AA94" t="str">
        <f ca="1"/>
        <v/>
      </c>
      <c r="AB94" t="str">
        <f ca="1"/>
        <v/>
      </c>
      <c r="AC94" t="str">
        <f ca="1"/>
        <v/>
      </c>
      <c r="AD94" t="str">
        <f ca="1"/>
        <v/>
      </c>
      <c r="AE94" t="str">
        <f ca="1"/>
        <v/>
      </c>
      <c r="AF94" t="str">
        <f ca="1"/>
        <v/>
      </c>
      <c r="AG94" t="str">
        <f ca="1"/>
        <v/>
      </c>
      <c r="AH94" t="str">
        <f ca="1"/>
        <v/>
      </c>
      <c r="AI94" t="str">
        <f ca="1"/>
        <v/>
      </c>
      <c r="AJ94" t="str">
        <f ca="1"/>
        <v/>
      </c>
      <c r="AK94" t="str">
        <f ca="1"/>
        <v/>
      </c>
      <c r="AL94" t="str">
        <f ca="1"/>
        <v/>
      </c>
      <c r="AM94" t="str">
        <f ca="1"/>
        <v/>
      </c>
      <c r="AN94" t="str">
        <f ca="1"/>
        <v/>
      </c>
      <c r="AO94" t="str">
        <f ca="1"/>
        <v/>
      </c>
      <c r="AP94" t="str">
        <f ca="1"/>
        <v/>
      </c>
      <c r="AQ94" t="str">
        <f ca="1"/>
        <v/>
      </c>
      <c r="AR94" t="str">
        <f ca="1"/>
        <v/>
      </c>
      <c r="AS94" t="str">
        <f ca="1"/>
        <v/>
      </c>
      <c r="AT94" t="str">
        <f ca="1"/>
        <v/>
      </c>
      <c r="AU94" t="str">
        <f ca="1"/>
        <v/>
      </c>
      <c r="AV94" t="str">
        <f ca="1"/>
        <v/>
      </c>
      <c r="AW94" t="str">
        <f ca="1"/>
        <v/>
      </c>
      <c r="AX94" t="str">
        <f ca="1"/>
        <v/>
      </c>
      <c r="AY94" t="str">
        <f ca="1"/>
        <v/>
      </c>
      <c r="AZ94" t="str">
        <f ca="1"/>
        <v/>
      </c>
      <c r="BA94" t="str">
        <f ca="1"/>
        <v/>
      </c>
      <c r="BB94" t="str">
        <f ca="1"/>
        <v/>
      </c>
      <c r="BC94" t="str">
        <f ca="1"/>
        <v/>
      </c>
      <c r="BD94" t="str">
        <f ca="1"/>
        <v/>
      </c>
      <c r="BE94" t="str">
        <f ca="1"/>
        <v/>
      </c>
      <c r="BF94" t="str">
        <f ca="1"/>
        <v/>
      </c>
      <c r="BG94" t="str">
        <f ca="1"/>
        <v/>
      </c>
      <c r="BH94" t="str">
        <f ca="1"/>
        <v/>
      </c>
      <c r="BI94" t="str">
        <f ca="1"/>
        <v/>
      </c>
      <c r="BJ94" t="str">
        <f ca="1"/>
        <v/>
      </c>
      <c r="BK94" t="str">
        <f ca="1"/>
        <v/>
      </c>
      <c r="BL94" t="str">
        <f ca="1"/>
        <v/>
      </c>
      <c r="BM94" t="str">
        <f ca="1"/>
        <v/>
      </c>
      <c r="BN94" t="str">
        <f ca="1"/>
        <v/>
      </c>
      <c r="BO94" t="str">
        <f ca="1"/>
        <v/>
      </c>
      <c r="BP94" t="str">
        <f ca="1"/>
        <v/>
      </c>
      <c r="BQ94" t="str">
        <f ca="1"/>
        <v/>
      </c>
      <c r="BR94" t="str">
        <f ca="1"/>
        <v/>
      </c>
      <c r="BS94" t="str">
        <f ca="1"/>
        <v/>
      </c>
      <c r="BT94" t="str">
        <f ca="1"/>
        <v/>
      </c>
      <c r="BU94" t="str">
        <f ca="1"/>
        <v/>
      </c>
      <c r="BV94" t="str">
        <f ca="1"/>
        <v/>
      </c>
      <c r="BW94" t="str">
        <f ca="1"/>
        <v/>
      </c>
      <c r="BX94" t="str">
        <f ca="1"/>
        <v/>
      </c>
      <c r="BY94" t="str">
        <f ca="1"/>
        <v/>
      </c>
      <c r="BZ94" t="str">
        <f ca="1"/>
        <v/>
      </c>
      <c r="CA94" t="str">
        <f ca="1"/>
        <v/>
      </c>
      <c r="CB94" t="str">
        <f ca="1"/>
        <v/>
      </c>
      <c r="CC94" t="str">
        <f ca="1"/>
        <v/>
      </c>
      <c r="CD94" t="str">
        <f ca="1"/>
        <v/>
      </c>
      <c r="CE94" t="str">
        <f ca="1"/>
        <v/>
      </c>
      <c r="CF94" t="str">
        <f ca="1"/>
        <v/>
      </c>
      <c r="CG94" t="str">
        <f ca="1"/>
        <v/>
      </c>
      <c r="CH94" t="str">
        <f ca="1"/>
        <v/>
      </c>
      <c r="CI94" t="str">
        <f ca="1"/>
        <v/>
      </c>
      <c r="CJ94" t="str">
        <f ca="1"/>
        <v/>
      </c>
      <c r="CK94" t="str">
        <f ca="1"/>
        <v/>
      </c>
      <c r="CL94" t="str">
        <f ca="1"/>
        <v/>
      </c>
      <c r="CM94" t="str">
        <f ca="1"/>
        <v/>
      </c>
      <c r="CN94" t="str">
        <f ca="1"/>
        <v/>
      </c>
      <c r="CO94" t="str">
        <f ca="1"/>
        <v/>
      </c>
      <c r="CP94" t="str">
        <f ca="1"/>
        <v/>
      </c>
      <c r="CQ94" t="str">
        <f ca="1"/>
        <v/>
      </c>
      <c r="CR94" t="str">
        <f ca="1"/>
        <v/>
      </c>
      <c r="CS94" t="str">
        <f ca="1"/>
        <v/>
      </c>
      <c r="CT94" t="str">
        <f ca="1"/>
        <v/>
      </c>
      <c r="CU94" t="str">
        <f ca="1"/>
        <v/>
      </c>
      <c r="CV94" t="str">
        <f ca="1"/>
        <v/>
      </c>
      <c r="CW94" t="str">
        <f ca="1"/>
        <v/>
      </c>
      <c r="CX94" t="str">
        <f ca="1"/>
        <v/>
      </c>
      <c r="CY94" t="str">
        <f ca="1"/>
        <v/>
      </c>
      <c r="CZ94" t="str">
        <f ca="1"/>
        <v/>
      </c>
    </row>
    <row r="95" spans="5:104">
      <c r="E95" s="22" t="str">
        <f ca="1"/>
        <v/>
      </c>
      <c r="F95" s="22" t="str">
        <f ca="1"/>
        <v/>
      </c>
      <c r="G95" s="22" t="str">
        <f ca="1"/>
        <v/>
      </c>
      <c r="H95" s="22" t="str">
        <f ca="1"/>
        <v/>
      </c>
      <c r="I95" s="22" t="str">
        <f ca="1"/>
        <v/>
      </c>
      <c r="J95" s="22" t="str">
        <f ca="1"/>
        <v/>
      </c>
      <c r="K95" s="22" t="str">
        <f ca="1"/>
        <v/>
      </c>
      <c r="L95" s="22" t="str">
        <f ca="1"/>
        <v/>
      </c>
      <c r="M95" s="22" t="str">
        <f ca="1"/>
        <v/>
      </c>
      <c r="N95" s="22" t="str">
        <f ca="1"/>
        <v/>
      </c>
      <c r="O95" s="22" t="str">
        <f ca="1"/>
        <v/>
      </c>
      <c r="P95" s="22" t="str">
        <f ca="1"/>
        <v/>
      </c>
      <c r="Q95" t="str">
        <f ca="1"/>
        <v/>
      </c>
      <c r="R95" t="str">
        <f ca="1"/>
        <v/>
      </c>
      <c r="S95" t="str">
        <f ca="1"/>
        <v/>
      </c>
      <c r="T95" t="str">
        <f ca="1"/>
        <v/>
      </c>
      <c r="U95" t="str">
        <f ca="1"/>
        <v/>
      </c>
      <c r="V95" t="str">
        <f ca="1"/>
        <v/>
      </c>
      <c r="W95" t="str">
        <f ca="1"/>
        <v/>
      </c>
      <c r="X95" t="str">
        <f ca="1"/>
        <v/>
      </c>
      <c r="Y95" t="str">
        <f ca="1"/>
        <v/>
      </c>
      <c r="Z95" t="str">
        <f ca="1"/>
        <v/>
      </c>
      <c r="AA95" t="str">
        <f ca="1"/>
        <v/>
      </c>
      <c r="AB95" t="str">
        <f ca="1"/>
        <v/>
      </c>
      <c r="AC95" t="str">
        <f ca="1"/>
        <v/>
      </c>
      <c r="AD95" t="str">
        <f ca="1"/>
        <v/>
      </c>
      <c r="AE95" t="str">
        <f ca="1"/>
        <v/>
      </c>
      <c r="AF95" t="str">
        <f ca="1"/>
        <v/>
      </c>
      <c r="AG95" t="str">
        <f ca="1"/>
        <v/>
      </c>
      <c r="AH95" t="str">
        <f ca="1"/>
        <v/>
      </c>
      <c r="AI95" t="str">
        <f ca="1"/>
        <v/>
      </c>
      <c r="AJ95" t="str">
        <f ca="1"/>
        <v/>
      </c>
      <c r="AK95" t="str">
        <f ca="1"/>
        <v/>
      </c>
      <c r="AL95" t="str">
        <f ca="1"/>
        <v/>
      </c>
      <c r="AM95" t="str">
        <f ca="1"/>
        <v/>
      </c>
      <c r="AN95" t="str">
        <f ca="1"/>
        <v/>
      </c>
      <c r="AO95" t="str">
        <f ca="1"/>
        <v/>
      </c>
      <c r="AP95" t="str">
        <f ca="1"/>
        <v/>
      </c>
      <c r="AQ95" t="str">
        <f ca="1"/>
        <v/>
      </c>
      <c r="AR95" t="str">
        <f ca="1"/>
        <v/>
      </c>
      <c r="AS95" t="str">
        <f ca="1"/>
        <v/>
      </c>
      <c r="AT95" t="str">
        <f ca="1"/>
        <v/>
      </c>
      <c r="AU95" t="str">
        <f ca="1"/>
        <v/>
      </c>
      <c r="AV95" t="str">
        <f ca="1"/>
        <v/>
      </c>
      <c r="AW95" t="str">
        <f ca="1"/>
        <v/>
      </c>
      <c r="AX95" t="str">
        <f ca="1"/>
        <v/>
      </c>
      <c r="AY95" t="str">
        <f ca="1"/>
        <v/>
      </c>
      <c r="AZ95" t="str">
        <f ca="1"/>
        <v/>
      </c>
      <c r="BA95" t="str">
        <f ca="1"/>
        <v/>
      </c>
      <c r="BB95" t="str">
        <f ca="1"/>
        <v/>
      </c>
      <c r="BC95" t="str">
        <f ca="1"/>
        <v/>
      </c>
      <c r="BD95" t="str">
        <f ca="1"/>
        <v/>
      </c>
      <c r="BE95" t="str">
        <f ca="1"/>
        <v/>
      </c>
      <c r="BF95" t="str">
        <f ca="1"/>
        <v/>
      </c>
      <c r="BG95" t="str">
        <f ca="1"/>
        <v/>
      </c>
      <c r="BH95" t="str">
        <f ca="1"/>
        <v/>
      </c>
      <c r="BI95" t="str">
        <f ca="1"/>
        <v/>
      </c>
      <c r="BJ95" t="str">
        <f ca="1"/>
        <v/>
      </c>
      <c r="BK95" t="str">
        <f ca="1"/>
        <v/>
      </c>
      <c r="BL95" t="str">
        <f ca="1"/>
        <v/>
      </c>
      <c r="BM95" t="str">
        <f ca="1"/>
        <v/>
      </c>
      <c r="BN95" t="str">
        <f ca="1"/>
        <v/>
      </c>
      <c r="BO95" t="str">
        <f ca="1"/>
        <v/>
      </c>
      <c r="BP95" t="str">
        <f ca="1"/>
        <v/>
      </c>
      <c r="BQ95" t="str">
        <f ca="1"/>
        <v/>
      </c>
      <c r="BR95" t="str">
        <f ca="1"/>
        <v/>
      </c>
      <c r="BS95" t="str">
        <f ca="1"/>
        <v/>
      </c>
      <c r="BT95" t="str">
        <f ca="1"/>
        <v/>
      </c>
      <c r="BU95" t="str">
        <f ca="1"/>
        <v/>
      </c>
      <c r="BV95" t="str">
        <f ca="1"/>
        <v/>
      </c>
      <c r="BW95" t="str">
        <f ca="1"/>
        <v/>
      </c>
      <c r="BX95" t="str">
        <f ca="1"/>
        <v/>
      </c>
      <c r="BY95" t="str">
        <f ca="1"/>
        <v/>
      </c>
      <c r="BZ95" t="str">
        <f ca="1"/>
        <v/>
      </c>
      <c r="CA95" t="str">
        <f ca="1"/>
        <v/>
      </c>
      <c r="CB95" t="str">
        <f ca="1"/>
        <v/>
      </c>
      <c r="CC95" t="str">
        <f ca="1"/>
        <v/>
      </c>
      <c r="CD95" t="str">
        <f ca="1"/>
        <v/>
      </c>
      <c r="CE95" t="str">
        <f ca="1"/>
        <v/>
      </c>
      <c r="CF95" t="str">
        <f ca="1"/>
        <v/>
      </c>
      <c r="CG95" t="str">
        <f ca="1"/>
        <v/>
      </c>
      <c r="CH95" t="str">
        <f ca="1"/>
        <v/>
      </c>
      <c r="CI95" t="str">
        <f ca="1"/>
        <v/>
      </c>
      <c r="CJ95" t="str">
        <f ca="1"/>
        <v/>
      </c>
      <c r="CK95" t="str">
        <f ca="1"/>
        <v/>
      </c>
      <c r="CL95" t="str">
        <f ca="1"/>
        <v/>
      </c>
      <c r="CM95" t="str">
        <f ca="1"/>
        <v/>
      </c>
      <c r="CN95" t="str">
        <f ca="1"/>
        <v/>
      </c>
      <c r="CO95" t="str">
        <f ca="1"/>
        <v/>
      </c>
      <c r="CP95" t="str">
        <f ca="1"/>
        <v/>
      </c>
      <c r="CQ95" t="str">
        <f ca="1"/>
        <v/>
      </c>
      <c r="CR95" t="str">
        <f ca="1"/>
        <v/>
      </c>
      <c r="CS95" t="str">
        <f ca="1"/>
        <v/>
      </c>
      <c r="CT95" t="str">
        <f ca="1"/>
        <v/>
      </c>
      <c r="CU95" t="str">
        <f ca="1"/>
        <v/>
      </c>
      <c r="CV95" t="str">
        <f ca="1"/>
        <v/>
      </c>
      <c r="CW95" t="str">
        <f ca="1"/>
        <v/>
      </c>
      <c r="CX95" t="str">
        <f ca="1"/>
        <v/>
      </c>
      <c r="CY95" t="str">
        <f ca="1"/>
        <v/>
      </c>
      <c r="CZ95" t="str">
        <f ca="1"/>
        <v/>
      </c>
    </row>
    <row r="96" spans="5:104">
      <c r="E96" s="22" t="str">
        <f ca="1"/>
        <v/>
      </c>
      <c r="F96" s="22" t="str">
        <f ca="1"/>
        <v/>
      </c>
      <c r="G96" s="22" t="str">
        <f ca="1"/>
        <v/>
      </c>
      <c r="H96" s="22" t="str">
        <f ca="1"/>
        <v/>
      </c>
      <c r="I96" s="22" t="str">
        <f ca="1"/>
        <v/>
      </c>
      <c r="J96" s="22" t="str">
        <f ca="1"/>
        <v/>
      </c>
      <c r="K96" s="22" t="str">
        <f ca="1"/>
        <v/>
      </c>
      <c r="L96" s="22" t="str">
        <f ca="1"/>
        <v/>
      </c>
      <c r="M96" s="22" t="str">
        <f ca="1"/>
        <v/>
      </c>
      <c r="N96" s="22" t="str">
        <f ca="1"/>
        <v/>
      </c>
      <c r="O96" s="22" t="str">
        <f ca="1"/>
        <v/>
      </c>
      <c r="P96" s="22" t="str">
        <f ca="1"/>
        <v/>
      </c>
      <c r="Q96" t="str">
        <f ca="1"/>
        <v/>
      </c>
      <c r="R96" t="str">
        <f ca="1"/>
        <v/>
      </c>
      <c r="S96" t="str">
        <f ca="1"/>
        <v/>
      </c>
      <c r="T96" t="str">
        <f ca="1"/>
        <v/>
      </c>
      <c r="U96" t="str">
        <f ca="1"/>
        <v/>
      </c>
      <c r="V96" t="str">
        <f ca="1"/>
        <v/>
      </c>
      <c r="W96" t="str">
        <f ca="1"/>
        <v/>
      </c>
      <c r="X96" t="str">
        <f ca="1"/>
        <v/>
      </c>
      <c r="Y96" t="str">
        <f ca="1"/>
        <v/>
      </c>
      <c r="Z96" t="str">
        <f ca="1"/>
        <v/>
      </c>
      <c r="AA96" t="str">
        <f ca="1"/>
        <v/>
      </c>
      <c r="AB96" t="str">
        <f ca="1"/>
        <v/>
      </c>
      <c r="AC96" t="str">
        <f ca="1"/>
        <v/>
      </c>
      <c r="AD96" t="str">
        <f ca="1"/>
        <v/>
      </c>
      <c r="AE96" t="str">
        <f ca="1"/>
        <v/>
      </c>
      <c r="AF96" t="str">
        <f ca="1"/>
        <v/>
      </c>
      <c r="AG96" t="str">
        <f ca="1"/>
        <v/>
      </c>
      <c r="AH96" t="str">
        <f ca="1"/>
        <v/>
      </c>
      <c r="AI96" t="str">
        <f ca="1"/>
        <v/>
      </c>
      <c r="AJ96" t="str">
        <f ca="1"/>
        <v/>
      </c>
      <c r="AK96" t="str">
        <f ca="1"/>
        <v/>
      </c>
      <c r="AL96" t="str">
        <f ca="1"/>
        <v/>
      </c>
      <c r="AM96" t="str">
        <f ca="1"/>
        <v/>
      </c>
      <c r="AN96" t="str">
        <f ca="1"/>
        <v/>
      </c>
      <c r="AO96" t="str">
        <f ca="1"/>
        <v/>
      </c>
      <c r="AP96" t="str">
        <f ca="1"/>
        <v/>
      </c>
      <c r="AQ96" t="str">
        <f ca="1"/>
        <v/>
      </c>
      <c r="AR96" t="str">
        <f ca="1"/>
        <v/>
      </c>
      <c r="AS96" t="str">
        <f ca="1"/>
        <v/>
      </c>
      <c r="AT96" t="str">
        <f ca="1"/>
        <v/>
      </c>
      <c r="AU96" t="str">
        <f ca="1"/>
        <v/>
      </c>
      <c r="AV96" t="str">
        <f ca="1"/>
        <v/>
      </c>
      <c r="AW96" t="str">
        <f ca="1"/>
        <v/>
      </c>
      <c r="AX96" t="str">
        <f ca="1"/>
        <v/>
      </c>
      <c r="AY96" t="str">
        <f ca="1"/>
        <v/>
      </c>
      <c r="AZ96" t="str">
        <f ca="1"/>
        <v/>
      </c>
      <c r="BA96" t="str">
        <f ca="1"/>
        <v/>
      </c>
      <c r="BB96" t="str">
        <f ca="1"/>
        <v/>
      </c>
      <c r="BC96" t="str">
        <f ca="1"/>
        <v/>
      </c>
      <c r="BD96" t="str">
        <f ca="1"/>
        <v/>
      </c>
      <c r="BE96" t="str">
        <f ca="1"/>
        <v/>
      </c>
      <c r="BF96" t="str">
        <f ca="1"/>
        <v/>
      </c>
      <c r="BG96" t="str">
        <f ca="1"/>
        <v/>
      </c>
      <c r="BH96" t="str">
        <f ca="1"/>
        <v/>
      </c>
      <c r="BI96" t="str">
        <f ca="1"/>
        <v/>
      </c>
      <c r="BJ96" t="str">
        <f ca="1"/>
        <v/>
      </c>
      <c r="BK96" t="str">
        <f ca="1"/>
        <v/>
      </c>
      <c r="BL96" t="str">
        <f ca="1"/>
        <v/>
      </c>
      <c r="BM96" t="str">
        <f ca="1"/>
        <v/>
      </c>
      <c r="BN96" t="str">
        <f ca="1"/>
        <v/>
      </c>
      <c r="BO96" t="str">
        <f ca="1"/>
        <v/>
      </c>
      <c r="BP96" t="str">
        <f ca="1"/>
        <v/>
      </c>
      <c r="BQ96" t="str">
        <f ca="1"/>
        <v/>
      </c>
      <c r="BR96" t="str">
        <f ca="1"/>
        <v/>
      </c>
      <c r="BS96" t="str">
        <f ca="1"/>
        <v/>
      </c>
      <c r="BT96" t="str">
        <f ca="1"/>
        <v/>
      </c>
      <c r="BU96" t="str">
        <f ca="1"/>
        <v/>
      </c>
      <c r="BV96" t="str">
        <f ca="1"/>
        <v/>
      </c>
      <c r="BW96" t="str">
        <f ca="1"/>
        <v/>
      </c>
      <c r="BX96" t="str">
        <f ca="1"/>
        <v/>
      </c>
      <c r="BY96" t="str">
        <f ca="1"/>
        <v/>
      </c>
      <c r="BZ96" t="str">
        <f ca="1"/>
        <v/>
      </c>
      <c r="CA96" t="str">
        <f ca="1"/>
        <v/>
      </c>
      <c r="CB96" t="str">
        <f ca="1"/>
        <v/>
      </c>
      <c r="CC96" t="str">
        <f ca="1"/>
        <v/>
      </c>
      <c r="CD96" t="str">
        <f ca="1"/>
        <v/>
      </c>
      <c r="CE96" t="str">
        <f ca="1"/>
        <v/>
      </c>
      <c r="CF96" t="str">
        <f ca="1"/>
        <v/>
      </c>
      <c r="CG96" t="str">
        <f ca="1"/>
        <v/>
      </c>
      <c r="CH96" t="str">
        <f ca="1"/>
        <v/>
      </c>
      <c r="CI96" t="str">
        <f ca="1"/>
        <v/>
      </c>
      <c r="CJ96" t="str">
        <f ca="1"/>
        <v/>
      </c>
      <c r="CK96" t="str">
        <f ca="1"/>
        <v/>
      </c>
      <c r="CL96" t="str">
        <f ca="1"/>
        <v/>
      </c>
      <c r="CM96" t="str">
        <f ca="1"/>
        <v/>
      </c>
      <c r="CN96" t="str">
        <f ca="1"/>
        <v/>
      </c>
      <c r="CO96" t="str">
        <f ca="1"/>
        <v/>
      </c>
      <c r="CP96" t="str">
        <f ca="1"/>
        <v/>
      </c>
      <c r="CQ96" t="str">
        <f ca="1"/>
        <v/>
      </c>
      <c r="CR96" t="str">
        <f ca="1"/>
        <v/>
      </c>
      <c r="CS96" t="str">
        <f ca="1"/>
        <v/>
      </c>
      <c r="CT96" t="str">
        <f ca="1"/>
        <v/>
      </c>
      <c r="CU96" t="str">
        <f ca="1"/>
        <v/>
      </c>
      <c r="CV96" t="str">
        <f ca="1"/>
        <v/>
      </c>
      <c r="CW96" t="str">
        <f ca="1"/>
        <v/>
      </c>
      <c r="CX96" t="str">
        <f ca="1"/>
        <v/>
      </c>
      <c r="CY96" t="str">
        <f ca="1"/>
        <v/>
      </c>
      <c r="CZ96" t="str">
        <f ca="1"/>
        <v/>
      </c>
    </row>
    <row r="97" spans="5:104">
      <c r="E97" s="22" t="str">
        <f ca="1"/>
        <v/>
      </c>
      <c r="F97" s="22" t="str">
        <f ca="1"/>
        <v/>
      </c>
      <c r="G97" s="22" t="str">
        <f ca="1"/>
        <v/>
      </c>
      <c r="H97" s="22" t="str">
        <f ca="1"/>
        <v/>
      </c>
      <c r="I97" s="22" t="str">
        <f ca="1"/>
        <v/>
      </c>
      <c r="J97" s="22" t="str">
        <f ca="1"/>
        <v/>
      </c>
      <c r="K97" s="22" t="str">
        <f ca="1"/>
        <v/>
      </c>
      <c r="L97" s="22" t="str">
        <f ca="1"/>
        <v/>
      </c>
      <c r="M97" s="22" t="str">
        <f ca="1"/>
        <v/>
      </c>
      <c r="N97" s="22" t="str">
        <f ca="1"/>
        <v/>
      </c>
      <c r="O97" s="22" t="str">
        <f ca="1"/>
        <v/>
      </c>
      <c r="P97" s="22" t="str">
        <f ca="1"/>
        <v/>
      </c>
      <c r="Q97" t="str">
        <f ca="1"/>
        <v/>
      </c>
      <c r="R97" t="str">
        <f ca="1"/>
        <v/>
      </c>
      <c r="S97" t="str">
        <f ca="1"/>
        <v/>
      </c>
      <c r="T97" t="str">
        <f ca="1"/>
        <v/>
      </c>
      <c r="U97" t="str">
        <f ca="1"/>
        <v/>
      </c>
      <c r="V97" t="str">
        <f ca="1"/>
        <v/>
      </c>
      <c r="W97" t="str">
        <f ca="1"/>
        <v/>
      </c>
      <c r="X97" t="str">
        <f ca="1"/>
        <v/>
      </c>
      <c r="Y97" t="str">
        <f ca="1"/>
        <v/>
      </c>
      <c r="Z97" t="str">
        <f ca="1"/>
        <v/>
      </c>
      <c r="AA97" t="str">
        <f ca="1"/>
        <v/>
      </c>
      <c r="AB97" t="str">
        <f ca="1"/>
        <v/>
      </c>
      <c r="AC97" t="str">
        <f ca="1"/>
        <v/>
      </c>
      <c r="AD97" t="str">
        <f ca="1"/>
        <v/>
      </c>
      <c r="AE97" t="str">
        <f ca="1"/>
        <v/>
      </c>
      <c r="AF97" t="str">
        <f ca="1"/>
        <v/>
      </c>
      <c r="AG97" t="str">
        <f ca="1"/>
        <v/>
      </c>
      <c r="AH97" t="str">
        <f ca="1"/>
        <v/>
      </c>
      <c r="AI97" t="str">
        <f ca="1"/>
        <v/>
      </c>
      <c r="AJ97" t="str">
        <f ca="1"/>
        <v/>
      </c>
      <c r="AK97" t="str">
        <f ca="1"/>
        <v/>
      </c>
      <c r="AL97" t="str">
        <f ca="1"/>
        <v/>
      </c>
      <c r="AM97" t="str">
        <f ca="1"/>
        <v/>
      </c>
      <c r="AN97" t="str">
        <f ca="1"/>
        <v/>
      </c>
      <c r="AO97" t="str">
        <f ca="1"/>
        <v/>
      </c>
      <c r="AP97" t="str">
        <f ca="1"/>
        <v/>
      </c>
      <c r="AQ97" t="str">
        <f ca="1"/>
        <v/>
      </c>
      <c r="AR97" t="str">
        <f ca="1"/>
        <v/>
      </c>
      <c r="AS97" t="str">
        <f ca="1"/>
        <v/>
      </c>
      <c r="AT97" t="str">
        <f ca="1"/>
        <v/>
      </c>
      <c r="AU97" t="str">
        <f ca="1"/>
        <v/>
      </c>
      <c r="AV97" t="str">
        <f ca="1"/>
        <v/>
      </c>
      <c r="AW97" t="str">
        <f ca="1"/>
        <v/>
      </c>
      <c r="AX97" t="str">
        <f ca="1"/>
        <v/>
      </c>
      <c r="AY97" t="str">
        <f ca="1"/>
        <v/>
      </c>
      <c r="AZ97" t="str">
        <f ca="1"/>
        <v/>
      </c>
      <c r="BA97" t="str">
        <f ca="1"/>
        <v/>
      </c>
      <c r="BB97" t="str">
        <f ca="1"/>
        <v/>
      </c>
      <c r="BC97" t="str">
        <f ca="1"/>
        <v/>
      </c>
      <c r="BD97" t="str">
        <f ca="1"/>
        <v/>
      </c>
      <c r="BE97" t="str">
        <f ca="1"/>
        <v/>
      </c>
      <c r="BF97" t="str">
        <f ca="1"/>
        <v/>
      </c>
      <c r="BG97" t="str">
        <f ca="1"/>
        <v/>
      </c>
      <c r="BH97" t="str">
        <f ca="1"/>
        <v/>
      </c>
      <c r="BI97" t="str">
        <f ca="1"/>
        <v/>
      </c>
      <c r="BJ97" t="str">
        <f ca="1"/>
        <v/>
      </c>
      <c r="BK97" t="str">
        <f ca="1"/>
        <v/>
      </c>
      <c r="BL97" t="str">
        <f ca="1"/>
        <v/>
      </c>
      <c r="BM97" t="str">
        <f ca="1"/>
        <v/>
      </c>
      <c r="BN97" t="str">
        <f ca="1"/>
        <v/>
      </c>
      <c r="BO97" t="str">
        <f ca="1"/>
        <v/>
      </c>
      <c r="BP97" t="str">
        <f ca="1"/>
        <v/>
      </c>
      <c r="BQ97" t="str">
        <f ca="1"/>
        <v/>
      </c>
      <c r="BR97" t="str">
        <f ca="1"/>
        <v/>
      </c>
      <c r="BS97" t="str">
        <f ca="1"/>
        <v/>
      </c>
      <c r="BT97" t="str">
        <f ca="1"/>
        <v/>
      </c>
      <c r="BU97" t="str">
        <f ca="1"/>
        <v/>
      </c>
      <c r="BV97" t="str">
        <f ca="1"/>
        <v/>
      </c>
      <c r="BW97" t="str">
        <f ca="1"/>
        <v/>
      </c>
      <c r="BX97" t="str">
        <f ca="1"/>
        <v/>
      </c>
      <c r="BY97" t="str">
        <f ca="1"/>
        <v/>
      </c>
      <c r="BZ97" t="str">
        <f ca="1"/>
        <v/>
      </c>
      <c r="CA97" t="str">
        <f ca="1"/>
        <v/>
      </c>
      <c r="CB97" t="str">
        <f ca="1"/>
        <v/>
      </c>
      <c r="CC97" t="str">
        <f ca="1"/>
        <v/>
      </c>
      <c r="CD97" t="str">
        <f ca="1"/>
        <v/>
      </c>
      <c r="CE97" t="str">
        <f ca="1"/>
        <v/>
      </c>
      <c r="CF97" t="str">
        <f ca="1"/>
        <v/>
      </c>
      <c r="CG97" t="str">
        <f ca="1"/>
        <v/>
      </c>
      <c r="CH97" t="str">
        <f ca="1"/>
        <v/>
      </c>
      <c r="CI97" t="str">
        <f ca="1"/>
        <v/>
      </c>
      <c r="CJ97" t="str">
        <f ca="1"/>
        <v/>
      </c>
      <c r="CK97" t="str">
        <f ca="1"/>
        <v/>
      </c>
      <c r="CL97" t="str">
        <f ca="1"/>
        <v/>
      </c>
      <c r="CM97" t="str">
        <f ca="1"/>
        <v/>
      </c>
      <c r="CN97" t="str">
        <f ca="1"/>
        <v/>
      </c>
      <c r="CO97" t="str">
        <f ca="1"/>
        <v/>
      </c>
      <c r="CP97" t="str">
        <f ca="1"/>
        <v/>
      </c>
      <c r="CQ97" t="str">
        <f ca="1"/>
        <v/>
      </c>
      <c r="CR97" t="str">
        <f ca="1"/>
        <v/>
      </c>
      <c r="CS97" t="str">
        <f ca="1"/>
        <v/>
      </c>
      <c r="CT97" t="str">
        <f ca="1"/>
        <v/>
      </c>
      <c r="CU97" t="str">
        <f ca="1"/>
        <v/>
      </c>
      <c r="CV97" t="str">
        <f ca="1"/>
        <v/>
      </c>
      <c r="CW97" t="str">
        <f ca="1"/>
        <v/>
      </c>
      <c r="CX97" t="str">
        <f ca="1"/>
        <v/>
      </c>
      <c r="CY97" t="str">
        <f ca="1"/>
        <v/>
      </c>
      <c r="CZ97" t="str">
        <f ca="1"/>
        <v/>
      </c>
    </row>
    <row r="98" spans="5:104">
      <c r="E98" s="22" t="str">
        <f ca="1"/>
        <v/>
      </c>
      <c r="F98" s="22" t="str">
        <f ca="1"/>
        <v/>
      </c>
      <c r="G98" s="22" t="str">
        <f ca="1"/>
        <v/>
      </c>
      <c r="H98" s="22" t="str">
        <f ca="1"/>
        <v/>
      </c>
      <c r="I98" s="22" t="str">
        <f ca="1"/>
        <v/>
      </c>
      <c r="J98" s="22" t="str">
        <f ca="1"/>
        <v/>
      </c>
      <c r="K98" s="22" t="str">
        <f ca="1"/>
        <v/>
      </c>
      <c r="L98" s="22" t="str">
        <f ca="1"/>
        <v/>
      </c>
      <c r="M98" s="22" t="str">
        <f ca="1"/>
        <v/>
      </c>
      <c r="N98" s="22" t="str">
        <f ca="1"/>
        <v/>
      </c>
      <c r="O98" s="22" t="str">
        <f ca="1"/>
        <v/>
      </c>
      <c r="P98" s="22" t="str">
        <f ca="1"/>
        <v/>
      </c>
      <c r="Q98" t="str">
        <f ca="1"/>
        <v/>
      </c>
      <c r="R98" t="str">
        <f ca="1"/>
        <v/>
      </c>
      <c r="S98" t="str">
        <f ca="1"/>
        <v/>
      </c>
      <c r="T98" t="str">
        <f ca="1"/>
        <v/>
      </c>
      <c r="U98" t="str">
        <f ca="1"/>
        <v/>
      </c>
      <c r="V98" t="str">
        <f ca="1"/>
        <v/>
      </c>
      <c r="W98" t="str">
        <f ca="1"/>
        <v/>
      </c>
      <c r="X98" t="str">
        <f ca="1"/>
        <v/>
      </c>
      <c r="Y98" t="str">
        <f ca="1"/>
        <v/>
      </c>
      <c r="Z98" t="str">
        <f ca="1"/>
        <v/>
      </c>
      <c r="AA98" t="str">
        <f ca="1"/>
        <v/>
      </c>
      <c r="AB98" t="str">
        <f ca="1"/>
        <v/>
      </c>
      <c r="AC98" t="str">
        <f ca="1"/>
        <v/>
      </c>
      <c r="AD98" t="str">
        <f ca="1"/>
        <v/>
      </c>
      <c r="AE98" t="str">
        <f ca="1"/>
        <v/>
      </c>
      <c r="AF98" t="str">
        <f ca="1"/>
        <v/>
      </c>
      <c r="AG98" t="str">
        <f ca="1"/>
        <v/>
      </c>
      <c r="AH98" t="str">
        <f ca="1"/>
        <v/>
      </c>
      <c r="AI98" t="str">
        <f ca="1"/>
        <v/>
      </c>
      <c r="AJ98" t="str">
        <f ca="1"/>
        <v/>
      </c>
      <c r="AK98" t="str">
        <f ca="1"/>
        <v/>
      </c>
      <c r="AL98" t="str">
        <f ca="1"/>
        <v/>
      </c>
      <c r="AM98" t="str">
        <f ca="1"/>
        <v/>
      </c>
      <c r="AN98" t="str">
        <f ca="1"/>
        <v/>
      </c>
      <c r="AO98" t="str">
        <f ca="1"/>
        <v/>
      </c>
      <c r="AP98" t="str">
        <f ca="1"/>
        <v/>
      </c>
      <c r="AQ98" t="str">
        <f ca="1"/>
        <v/>
      </c>
      <c r="AR98" t="str">
        <f ca="1"/>
        <v/>
      </c>
      <c r="AS98" t="str">
        <f ca="1"/>
        <v/>
      </c>
      <c r="AT98" t="str">
        <f ca="1"/>
        <v/>
      </c>
      <c r="AU98" t="str">
        <f ca="1"/>
        <v/>
      </c>
      <c r="AV98" t="str">
        <f ca="1"/>
        <v/>
      </c>
      <c r="AW98" t="str">
        <f ca="1"/>
        <v/>
      </c>
      <c r="AX98" t="str">
        <f ca="1"/>
        <v/>
      </c>
      <c r="AY98" t="str">
        <f ca="1"/>
        <v/>
      </c>
      <c r="AZ98" t="str">
        <f ca="1"/>
        <v/>
      </c>
      <c r="BA98" t="str">
        <f ca="1"/>
        <v/>
      </c>
      <c r="BB98" t="str">
        <f ca="1"/>
        <v/>
      </c>
      <c r="BC98" t="str">
        <f ca="1"/>
        <v/>
      </c>
      <c r="BD98" t="str">
        <f ca="1"/>
        <v/>
      </c>
      <c r="BE98" t="str">
        <f ca="1"/>
        <v/>
      </c>
      <c r="BF98" t="str">
        <f ca="1"/>
        <v/>
      </c>
      <c r="BG98" t="str">
        <f ca="1"/>
        <v/>
      </c>
      <c r="BH98" t="str">
        <f ca="1"/>
        <v/>
      </c>
      <c r="BI98" t="str">
        <f ca="1"/>
        <v/>
      </c>
      <c r="BJ98" t="str">
        <f ca="1"/>
        <v/>
      </c>
      <c r="BK98" t="str">
        <f ca="1"/>
        <v/>
      </c>
      <c r="BL98" t="str">
        <f ca="1"/>
        <v/>
      </c>
      <c r="BM98" t="str">
        <f ca="1"/>
        <v/>
      </c>
      <c r="BN98" t="str">
        <f ca="1"/>
        <v/>
      </c>
      <c r="BO98" t="str">
        <f ca="1"/>
        <v/>
      </c>
      <c r="BP98" t="str">
        <f ca="1"/>
        <v/>
      </c>
      <c r="BQ98" t="str">
        <f ca="1"/>
        <v/>
      </c>
      <c r="BR98" t="str">
        <f ca="1"/>
        <v/>
      </c>
      <c r="BS98" t="str">
        <f ca="1"/>
        <v/>
      </c>
      <c r="BT98" t="str">
        <f ca="1"/>
        <v/>
      </c>
      <c r="BU98" t="str">
        <f ca="1"/>
        <v/>
      </c>
      <c r="BV98" t="str">
        <f ca="1"/>
        <v/>
      </c>
      <c r="BW98" t="str">
        <f ca="1"/>
        <v/>
      </c>
      <c r="BX98" t="str">
        <f ca="1"/>
        <v/>
      </c>
      <c r="BY98" t="str">
        <f ca="1"/>
        <v/>
      </c>
      <c r="BZ98" t="str">
        <f ca="1"/>
        <v/>
      </c>
      <c r="CA98" t="str">
        <f ca="1"/>
        <v/>
      </c>
      <c r="CB98" t="str">
        <f ca="1"/>
        <v/>
      </c>
      <c r="CC98" t="str">
        <f ca="1"/>
        <v/>
      </c>
      <c r="CD98" t="str">
        <f ca="1"/>
        <v/>
      </c>
      <c r="CE98" t="str">
        <f ca="1"/>
        <v/>
      </c>
      <c r="CF98" t="str">
        <f ca="1"/>
        <v/>
      </c>
      <c r="CG98" t="str">
        <f ca="1"/>
        <v/>
      </c>
      <c r="CH98" t="str">
        <f ca="1"/>
        <v/>
      </c>
      <c r="CI98" t="str">
        <f ca="1"/>
        <v/>
      </c>
      <c r="CJ98" t="str">
        <f ca="1"/>
        <v/>
      </c>
      <c r="CK98" t="str">
        <f ca="1"/>
        <v/>
      </c>
      <c r="CL98" t="str">
        <f ca="1"/>
        <v/>
      </c>
      <c r="CM98" t="str">
        <f ca="1"/>
        <v/>
      </c>
      <c r="CN98" t="str">
        <f ca="1"/>
        <v/>
      </c>
      <c r="CO98" t="str">
        <f ca="1"/>
        <v/>
      </c>
      <c r="CP98" t="str">
        <f ca="1"/>
        <v/>
      </c>
      <c r="CQ98" t="str">
        <f ca="1"/>
        <v/>
      </c>
      <c r="CR98" t="str">
        <f ca="1"/>
        <v/>
      </c>
      <c r="CS98" t="str">
        <f ca="1"/>
        <v/>
      </c>
      <c r="CT98" t="str">
        <f ca="1"/>
        <v/>
      </c>
      <c r="CU98" t="str">
        <f ca="1"/>
        <v/>
      </c>
      <c r="CV98" t="str">
        <f ca="1"/>
        <v/>
      </c>
      <c r="CW98" t="str">
        <f ca="1"/>
        <v/>
      </c>
      <c r="CX98" t="str">
        <f ca="1"/>
        <v/>
      </c>
      <c r="CY98" t="str">
        <f ca="1"/>
        <v/>
      </c>
      <c r="CZ98" t="str">
        <f ca="1"/>
        <v/>
      </c>
    </row>
    <row r="99" spans="5:104">
      <c r="E99" s="22" t="str">
        <f ca="1"/>
        <v/>
      </c>
      <c r="F99" s="22" t="str">
        <f ca="1"/>
        <v/>
      </c>
      <c r="G99" s="22" t="str">
        <f ca="1"/>
        <v/>
      </c>
      <c r="H99" s="22" t="str">
        <f ca="1"/>
        <v/>
      </c>
      <c r="I99" s="22" t="str">
        <f ca="1"/>
        <v/>
      </c>
      <c r="J99" s="22" t="str">
        <f ca="1"/>
        <v/>
      </c>
      <c r="K99" s="22" t="str">
        <f ca="1"/>
        <v/>
      </c>
      <c r="L99" s="22" t="str">
        <f ca="1"/>
        <v/>
      </c>
      <c r="M99" s="22" t="str">
        <f ca="1"/>
        <v/>
      </c>
      <c r="N99" s="22" t="str">
        <f ca="1"/>
        <v/>
      </c>
      <c r="O99" s="22" t="str">
        <f ca="1"/>
        <v/>
      </c>
      <c r="P99" s="22" t="str">
        <f ca="1"/>
        <v/>
      </c>
      <c r="Q99" t="str">
        <f ca="1"/>
        <v/>
      </c>
      <c r="R99" t="str">
        <f ca="1"/>
        <v/>
      </c>
      <c r="S99" t="str">
        <f ca="1"/>
        <v/>
      </c>
      <c r="T99" t="str">
        <f ca="1"/>
        <v/>
      </c>
      <c r="U99" t="str">
        <f ca="1"/>
        <v/>
      </c>
      <c r="V99" t="str">
        <f ca="1"/>
        <v/>
      </c>
      <c r="W99" t="str">
        <f ca="1"/>
        <v/>
      </c>
      <c r="X99" t="str">
        <f ca="1"/>
        <v/>
      </c>
      <c r="Y99" t="str">
        <f ca="1"/>
        <v/>
      </c>
      <c r="Z99" t="str">
        <f ca="1"/>
        <v/>
      </c>
      <c r="AA99" t="str">
        <f ca="1"/>
        <v/>
      </c>
      <c r="AB99" t="str">
        <f ca="1"/>
        <v/>
      </c>
      <c r="AC99" t="str">
        <f ca="1"/>
        <v/>
      </c>
      <c r="AD99" t="str">
        <f ca="1"/>
        <v/>
      </c>
      <c r="AE99" t="str">
        <f ca="1"/>
        <v/>
      </c>
      <c r="AF99" t="str">
        <f ca="1"/>
        <v/>
      </c>
      <c r="AG99" t="str">
        <f ca="1"/>
        <v/>
      </c>
      <c r="AH99" t="str">
        <f ca="1"/>
        <v/>
      </c>
      <c r="AI99" t="str">
        <f ca="1"/>
        <v/>
      </c>
      <c r="AJ99" t="str">
        <f ca="1"/>
        <v/>
      </c>
      <c r="AK99" t="str">
        <f ca="1"/>
        <v/>
      </c>
      <c r="AL99" t="str">
        <f ca="1"/>
        <v/>
      </c>
      <c r="AM99" t="str">
        <f ca="1"/>
        <v/>
      </c>
      <c r="AN99" t="str">
        <f ca="1"/>
        <v/>
      </c>
      <c r="AO99" t="str">
        <f ca="1"/>
        <v/>
      </c>
      <c r="AP99" t="str">
        <f ca="1"/>
        <v/>
      </c>
      <c r="AQ99" t="str">
        <f ca="1"/>
        <v/>
      </c>
      <c r="AR99" t="str">
        <f ca="1"/>
        <v/>
      </c>
      <c r="AS99" t="str">
        <f ca="1"/>
        <v/>
      </c>
      <c r="AT99" t="str">
        <f ca="1"/>
        <v/>
      </c>
      <c r="AU99" t="str">
        <f ca="1"/>
        <v/>
      </c>
      <c r="AV99" t="str">
        <f ca="1"/>
        <v/>
      </c>
      <c r="AW99" t="str">
        <f ca="1"/>
        <v/>
      </c>
      <c r="AX99" t="str">
        <f ca="1"/>
        <v/>
      </c>
      <c r="AY99" t="str">
        <f ca="1"/>
        <v/>
      </c>
      <c r="AZ99" t="str">
        <f ca="1"/>
        <v/>
      </c>
      <c r="BA99" t="str">
        <f ca="1"/>
        <v/>
      </c>
      <c r="BB99" t="str">
        <f ca="1"/>
        <v/>
      </c>
      <c r="BC99" t="str">
        <f ca="1"/>
        <v/>
      </c>
      <c r="BD99" t="str">
        <f ca="1"/>
        <v/>
      </c>
      <c r="BE99" t="str">
        <f ca="1"/>
        <v/>
      </c>
      <c r="BF99" t="str">
        <f ca="1"/>
        <v/>
      </c>
      <c r="BG99" t="str">
        <f ca="1"/>
        <v/>
      </c>
      <c r="BH99" t="str">
        <f ca="1"/>
        <v/>
      </c>
      <c r="BI99" t="str">
        <f ca="1"/>
        <v/>
      </c>
      <c r="BJ99" t="str">
        <f ca="1"/>
        <v/>
      </c>
      <c r="BK99" t="str">
        <f ca="1"/>
        <v/>
      </c>
      <c r="BL99" t="str">
        <f ca="1"/>
        <v/>
      </c>
      <c r="BM99" t="str">
        <f ca="1"/>
        <v/>
      </c>
      <c r="BN99" t="str">
        <f ca="1"/>
        <v/>
      </c>
      <c r="BO99" t="str">
        <f ca="1"/>
        <v/>
      </c>
      <c r="BP99" t="str">
        <f ca="1"/>
        <v/>
      </c>
      <c r="BQ99" t="str">
        <f ca="1"/>
        <v/>
      </c>
      <c r="BR99" t="str">
        <f ca="1"/>
        <v/>
      </c>
      <c r="BS99" t="str">
        <f ca="1"/>
        <v/>
      </c>
      <c r="BT99" t="str">
        <f ca="1"/>
        <v/>
      </c>
      <c r="BU99" t="str">
        <f ca="1"/>
        <v/>
      </c>
      <c r="BV99" t="str">
        <f ca="1"/>
        <v/>
      </c>
      <c r="BW99" t="str">
        <f ca="1"/>
        <v/>
      </c>
      <c r="BX99" t="str">
        <f ca="1"/>
        <v/>
      </c>
      <c r="BY99" t="str">
        <f ca="1"/>
        <v/>
      </c>
      <c r="BZ99" t="str">
        <f ca="1"/>
        <v/>
      </c>
      <c r="CA99" t="str">
        <f ca="1"/>
        <v/>
      </c>
      <c r="CB99" t="str">
        <f ca="1"/>
        <v/>
      </c>
      <c r="CC99" t="str">
        <f ca="1"/>
        <v/>
      </c>
      <c r="CD99" t="str">
        <f ca="1"/>
        <v/>
      </c>
      <c r="CE99" t="str">
        <f ca="1"/>
        <v/>
      </c>
      <c r="CF99" t="str">
        <f ca="1"/>
        <v/>
      </c>
      <c r="CG99" t="str">
        <f ca="1"/>
        <v/>
      </c>
      <c r="CH99" t="str">
        <f ca="1"/>
        <v/>
      </c>
      <c r="CI99" t="str">
        <f ca="1"/>
        <v/>
      </c>
      <c r="CJ99" t="str">
        <f ca="1"/>
        <v/>
      </c>
      <c r="CK99" t="str">
        <f ca="1"/>
        <v/>
      </c>
      <c r="CL99" t="str">
        <f ca="1"/>
        <v/>
      </c>
      <c r="CM99" t="str">
        <f ca="1"/>
        <v/>
      </c>
      <c r="CN99" t="str">
        <f ca="1"/>
        <v/>
      </c>
      <c r="CO99" t="str">
        <f ca="1"/>
        <v/>
      </c>
      <c r="CP99" t="str">
        <f ca="1"/>
        <v/>
      </c>
      <c r="CQ99" t="str">
        <f ca="1"/>
        <v/>
      </c>
      <c r="CR99" t="str">
        <f ca="1"/>
        <v/>
      </c>
      <c r="CS99" t="str">
        <f ca="1"/>
        <v/>
      </c>
      <c r="CT99" t="str">
        <f ca="1"/>
        <v/>
      </c>
      <c r="CU99" t="str">
        <f ca="1"/>
        <v/>
      </c>
      <c r="CV99" t="str">
        <f ca="1"/>
        <v/>
      </c>
      <c r="CW99" t="str">
        <f ca="1"/>
        <v/>
      </c>
      <c r="CX99" t="str">
        <f ca="1"/>
        <v/>
      </c>
      <c r="CY99" t="str">
        <f ca="1"/>
        <v/>
      </c>
      <c r="CZ99" t="str">
        <f ca="1"/>
        <v/>
      </c>
    </row>
    <row r="100" spans="5:104">
      <c r="E100" s="22" t="str">
        <f ca="1"/>
        <v/>
      </c>
      <c r="F100" s="22" t="str">
        <f ca="1"/>
        <v/>
      </c>
      <c r="G100" s="22" t="str">
        <f ca="1"/>
        <v/>
      </c>
      <c r="H100" s="22" t="str">
        <f ca="1"/>
        <v/>
      </c>
      <c r="I100" s="22" t="str">
        <f ca="1"/>
        <v/>
      </c>
      <c r="J100" s="22" t="str">
        <f ca="1"/>
        <v/>
      </c>
      <c r="K100" s="22" t="str">
        <f ca="1"/>
        <v/>
      </c>
      <c r="L100" s="22" t="str">
        <f ca="1"/>
        <v/>
      </c>
      <c r="M100" s="22" t="str">
        <f ca="1"/>
        <v/>
      </c>
      <c r="N100" s="22" t="str">
        <f ca="1"/>
        <v/>
      </c>
      <c r="O100" s="22" t="str">
        <f ca="1"/>
        <v/>
      </c>
      <c r="P100" s="22" t="str">
        <f ca="1"/>
        <v/>
      </c>
      <c r="Q100" t="str">
        <f ca="1"/>
        <v/>
      </c>
      <c r="R100" t="str">
        <f ca="1"/>
        <v/>
      </c>
      <c r="S100" t="str">
        <f ca="1"/>
        <v/>
      </c>
      <c r="T100" t="str">
        <f ca="1"/>
        <v/>
      </c>
      <c r="U100" t="str">
        <f ca="1"/>
        <v/>
      </c>
      <c r="V100" t="str">
        <f ca="1"/>
        <v/>
      </c>
      <c r="W100" t="str">
        <f ca="1"/>
        <v/>
      </c>
      <c r="X100" t="str">
        <f ca="1"/>
        <v/>
      </c>
      <c r="Y100" t="str">
        <f ca="1"/>
        <v/>
      </c>
      <c r="Z100" t="str">
        <f ca="1"/>
        <v/>
      </c>
      <c r="AA100" t="str">
        <f ca="1"/>
        <v/>
      </c>
      <c r="AB100" t="str">
        <f ca="1"/>
        <v/>
      </c>
      <c r="AC100" t="str">
        <f ca="1"/>
        <v/>
      </c>
      <c r="AD100" t="str">
        <f ca="1"/>
        <v/>
      </c>
      <c r="AE100" t="str">
        <f ca="1"/>
        <v/>
      </c>
      <c r="AF100" t="str">
        <f ca="1"/>
        <v/>
      </c>
      <c r="AG100" t="str">
        <f ca="1"/>
        <v/>
      </c>
      <c r="AH100" t="str">
        <f ca="1"/>
        <v/>
      </c>
      <c r="AI100" t="str">
        <f ca="1"/>
        <v/>
      </c>
      <c r="AJ100" t="str">
        <f ca="1"/>
        <v/>
      </c>
      <c r="AK100" t="str">
        <f ca="1"/>
        <v/>
      </c>
      <c r="AL100" t="str">
        <f ca="1"/>
        <v/>
      </c>
      <c r="AM100" t="str">
        <f ca="1"/>
        <v/>
      </c>
      <c r="AN100" t="str">
        <f ca="1"/>
        <v/>
      </c>
      <c r="AO100" t="str">
        <f ca="1"/>
        <v/>
      </c>
      <c r="AP100" t="str">
        <f ca="1"/>
        <v/>
      </c>
      <c r="AQ100" t="str">
        <f ca="1"/>
        <v/>
      </c>
      <c r="AR100" t="str">
        <f ca="1"/>
        <v/>
      </c>
      <c r="AS100" t="str">
        <f ca="1"/>
        <v/>
      </c>
      <c r="AT100" t="str">
        <f ca="1"/>
        <v/>
      </c>
      <c r="AU100" t="str">
        <f ca="1"/>
        <v/>
      </c>
      <c r="AV100" t="str">
        <f ca="1"/>
        <v/>
      </c>
      <c r="AW100" t="str">
        <f ca="1"/>
        <v/>
      </c>
      <c r="AX100" t="str">
        <f ca="1"/>
        <v/>
      </c>
      <c r="AY100" t="str">
        <f ca="1"/>
        <v/>
      </c>
      <c r="AZ100" t="str">
        <f ca="1"/>
        <v/>
      </c>
      <c r="BA100" t="str">
        <f ca="1"/>
        <v/>
      </c>
      <c r="BB100" t="str">
        <f ca="1"/>
        <v/>
      </c>
      <c r="BC100" t="str">
        <f ca="1"/>
        <v/>
      </c>
      <c r="BD100" t="str">
        <f ca="1"/>
        <v/>
      </c>
      <c r="BE100" t="str">
        <f ca="1"/>
        <v/>
      </c>
      <c r="BF100" t="str">
        <f ca="1"/>
        <v/>
      </c>
      <c r="BG100" t="str">
        <f ca="1"/>
        <v/>
      </c>
      <c r="BH100" t="str">
        <f ca="1"/>
        <v/>
      </c>
      <c r="BI100" t="str">
        <f ca="1"/>
        <v/>
      </c>
      <c r="BJ100" t="str">
        <f ca="1"/>
        <v/>
      </c>
      <c r="BK100" t="str">
        <f ca="1"/>
        <v/>
      </c>
      <c r="BL100" t="str">
        <f ca="1"/>
        <v/>
      </c>
      <c r="BM100" t="str">
        <f ca="1"/>
        <v/>
      </c>
      <c r="BN100" t="str">
        <f ca="1"/>
        <v/>
      </c>
      <c r="BO100" t="str">
        <f ca="1"/>
        <v/>
      </c>
      <c r="BP100" t="str">
        <f ca="1"/>
        <v/>
      </c>
      <c r="BQ100" t="str">
        <f ca="1"/>
        <v/>
      </c>
      <c r="BR100" t="str">
        <f ca="1"/>
        <v/>
      </c>
      <c r="BS100" t="str">
        <f ca="1"/>
        <v/>
      </c>
      <c r="BT100" t="str">
        <f ca="1"/>
        <v/>
      </c>
      <c r="BU100" t="str">
        <f ca="1"/>
        <v/>
      </c>
      <c r="BV100" t="str">
        <f ca="1"/>
        <v/>
      </c>
      <c r="BW100" t="str">
        <f ca="1"/>
        <v/>
      </c>
      <c r="BX100" t="str">
        <f ca="1"/>
        <v/>
      </c>
      <c r="BY100" t="str">
        <f ca="1"/>
        <v/>
      </c>
      <c r="BZ100" t="str">
        <f ca="1"/>
        <v/>
      </c>
      <c r="CA100" t="str">
        <f ca="1"/>
        <v/>
      </c>
      <c r="CB100" t="str">
        <f ca="1"/>
        <v/>
      </c>
      <c r="CC100" t="str">
        <f ca="1"/>
        <v/>
      </c>
      <c r="CD100" t="str">
        <f ca="1"/>
        <v/>
      </c>
      <c r="CE100" t="str">
        <f ca="1"/>
        <v/>
      </c>
      <c r="CF100" t="str">
        <f ca="1"/>
        <v/>
      </c>
      <c r="CG100" t="str">
        <f ca="1"/>
        <v/>
      </c>
      <c r="CH100" t="str">
        <f ca="1"/>
        <v/>
      </c>
      <c r="CI100" t="str">
        <f ca="1"/>
        <v/>
      </c>
      <c r="CJ100" t="str">
        <f ca="1"/>
        <v/>
      </c>
      <c r="CK100" t="str">
        <f ca="1"/>
        <v/>
      </c>
      <c r="CL100" t="str">
        <f ca="1"/>
        <v/>
      </c>
      <c r="CM100" t="str">
        <f ca="1"/>
        <v/>
      </c>
      <c r="CN100" t="str">
        <f ca="1"/>
        <v/>
      </c>
      <c r="CO100" t="str">
        <f ca="1"/>
        <v/>
      </c>
      <c r="CP100" t="str">
        <f ca="1"/>
        <v/>
      </c>
      <c r="CQ100" t="str">
        <f ca="1"/>
        <v/>
      </c>
      <c r="CR100" t="str">
        <f ca="1"/>
        <v/>
      </c>
      <c r="CS100" t="str">
        <f ca="1"/>
        <v/>
      </c>
      <c r="CT100" t="str">
        <f ca="1"/>
        <v/>
      </c>
      <c r="CU100" t="str">
        <f ca="1"/>
        <v/>
      </c>
      <c r="CV100" t="str">
        <f ca="1"/>
        <v/>
      </c>
      <c r="CW100" t="str">
        <f ca="1"/>
        <v/>
      </c>
      <c r="CX100" t="str">
        <f ca="1"/>
        <v/>
      </c>
      <c r="CY100" t="str">
        <f ca="1"/>
        <v/>
      </c>
      <c r="CZ100" t="str">
        <f ca="1"/>
        <v/>
      </c>
    </row>
    <row r="101" spans="5:104">
      <c r="E101" s="22" t="str">
        <f ca="1"/>
        <v/>
      </c>
      <c r="F101" s="22" t="str">
        <f ca="1"/>
        <v/>
      </c>
      <c r="G101" s="22" t="str">
        <f ca="1"/>
        <v/>
      </c>
      <c r="H101" s="22" t="str">
        <f ca="1"/>
        <v/>
      </c>
      <c r="I101" s="22" t="str">
        <f ca="1"/>
        <v/>
      </c>
      <c r="J101" s="22" t="str">
        <f ca="1"/>
        <v/>
      </c>
      <c r="K101" s="22" t="str">
        <f ca="1"/>
        <v/>
      </c>
      <c r="L101" s="22" t="str">
        <f ca="1"/>
        <v/>
      </c>
      <c r="M101" s="22" t="str">
        <f ca="1"/>
        <v/>
      </c>
      <c r="N101" s="22" t="str">
        <f ca="1"/>
        <v/>
      </c>
      <c r="O101" s="22" t="str">
        <f ca="1"/>
        <v/>
      </c>
      <c r="P101" s="22" t="str">
        <f ca="1"/>
        <v/>
      </c>
      <c r="Q101" t="str">
        <f ca="1"/>
        <v/>
      </c>
      <c r="R101" t="str">
        <f ca="1"/>
        <v/>
      </c>
      <c r="S101" t="str">
        <f ca="1"/>
        <v/>
      </c>
      <c r="T101" t="str">
        <f ca="1"/>
        <v/>
      </c>
      <c r="U101" t="str">
        <f ca="1"/>
        <v/>
      </c>
      <c r="V101" t="str">
        <f ca="1"/>
        <v/>
      </c>
      <c r="W101" t="str">
        <f ca="1"/>
        <v/>
      </c>
      <c r="X101" t="str">
        <f ca="1"/>
        <v/>
      </c>
      <c r="Y101" t="str">
        <f ca="1"/>
        <v/>
      </c>
      <c r="Z101" t="str">
        <f ca="1"/>
        <v/>
      </c>
      <c r="AA101" t="str">
        <f ca="1"/>
        <v/>
      </c>
      <c r="AB101" t="str">
        <f ca="1"/>
        <v/>
      </c>
      <c r="AC101" t="str">
        <f ca="1"/>
        <v/>
      </c>
      <c r="AD101" t="str">
        <f ca="1"/>
        <v/>
      </c>
      <c r="AE101" t="str">
        <f ca="1"/>
        <v/>
      </c>
      <c r="AF101" t="str">
        <f ca="1"/>
        <v/>
      </c>
      <c r="AG101" t="str">
        <f ca="1"/>
        <v/>
      </c>
      <c r="AH101" t="str">
        <f ca="1"/>
        <v/>
      </c>
      <c r="AI101" t="str">
        <f ca="1"/>
        <v/>
      </c>
      <c r="AJ101" t="str">
        <f ca="1"/>
        <v/>
      </c>
      <c r="AK101" t="str">
        <f ca="1"/>
        <v/>
      </c>
      <c r="AL101" t="str">
        <f ca="1"/>
        <v/>
      </c>
      <c r="AM101" t="str">
        <f ca="1"/>
        <v/>
      </c>
      <c r="AN101" t="str">
        <f ca="1"/>
        <v/>
      </c>
      <c r="AO101" t="str">
        <f ca="1"/>
        <v/>
      </c>
      <c r="AP101" t="str">
        <f ca="1"/>
        <v/>
      </c>
      <c r="AQ101" t="str">
        <f ca="1"/>
        <v/>
      </c>
      <c r="AR101" t="str">
        <f ca="1"/>
        <v/>
      </c>
      <c r="AS101" t="str">
        <f ca="1"/>
        <v/>
      </c>
      <c r="AT101" t="str">
        <f ca="1"/>
        <v/>
      </c>
      <c r="AU101" t="str">
        <f ca="1"/>
        <v/>
      </c>
      <c r="AV101" t="str">
        <f ca="1"/>
        <v/>
      </c>
      <c r="AW101" t="str">
        <f ca="1"/>
        <v/>
      </c>
      <c r="AX101" t="str">
        <f ca="1"/>
        <v/>
      </c>
      <c r="AY101" t="str">
        <f ca="1"/>
        <v/>
      </c>
      <c r="AZ101" t="str">
        <f ca="1"/>
        <v/>
      </c>
      <c r="BA101" t="str">
        <f ca="1"/>
        <v/>
      </c>
      <c r="BB101" t="str">
        <f ca="1"/>
        <v/>
      </c>
      <c r="BC101" t="str">
        <f ca="1"/>
        <v/>
      </c>
      <c r="BD101" t="str">
        <f ca="1"/>
        <v/>
      </c>
      <c r="BE101" t="str">
        <f ca="1"/>
        <v/>
      </c>
      <c r="BF101" t="str">
        <f ca="1"/>
        <v/>
      </c>
      <c r="BG101" t="str">
        <f ca="1"/>
        <v/>
      </c>
      <c r="BH101" t="str">
        <f ca="1"/>
        <v/>
      </c>
      <c r="BI101" t="str">
        <f ca="1"/>
        <v/>
      </c>
      <c r="BJ101" t="str">
        <f ca="1"/>
        <v/>
      </c>
      <c r="BK101" t="str">
        <f ca="1"/>
        <v/>
      </c>
      <c r="BL101" t="str">
        <f ca="1"/>
        <v/>
      </c>
      <c r="BM101" t="str">
        <f ca="1"/>
        <v/>
      </c>
      <c r="BN101" t="str">
        <f ca="1"/>
        <v/>
      </c>
      <c r="BO101" t="str">
        <f ca="1"/>
        <v/>
      </c>
      <c r="BP101" t="str">
        <f ca="1"/>
        <v/>
      </c>
      <c r="BQ101" t="str">
        <f ca="1"/>
        <v/>
      </c>
      <c r="BR101" t="str">
        <f ca="1"/>
        <v/>
      </c>
      <c r="BS101" t="str">
        <f ca="1"/>
        <v/>
      </c>
      <c r="BT101" t="str">
        <f ca="1"/>
        <v/>
      </c>
      <c r="BU101" t="str">
        <f ca="1"/>
        <v/>
      </c>
      <c r="BV101" t="str">
        <f ca="1"/>
        <v/>
      </c>
      <c r="BW101" t="str">
        <f ca="1"/>
        <v/>
      </c>
      <c r="BX101" t="str">
        <f ca="1"/>
        <v/>
      </c>
      <c r="BY101" t="str">
        <f ca="1"/>
        <v/>
      </c>
      <c r="BZ101" t="str">
        <f ca="1"/>
        <v/>
      </c>
      <c r="CA101" t="str">
        <f ca="1"/>
        <v/>
      </c>
      <c r="CB101" t="str">
        <f ca="1"/>
        <v/>
      </c>
      <c r="CC101" t="str">
        <f ca="1"/>
        <v/>
      </c>
      <c r="CD101" t="str">
        <f ca="1"/>
        <v/>
      </c>
      <c r="CE101" t="str">
        <f ca="1"/>
        <v/>
      </c>
      <c r="CF101" t="str">
        <f ca="1"/>
        <v/>
      </c>
      <c r="CG101" t="str">
        <f ca="1"/>
        <v/>
      </c>
      <c r="CH101" t="str">
        <f ca="1"/>
        <v/>
      </c>
      <c r="CI101" t="str">
        <f ca="1"/>
        <v/>
      </c>
      <c r="CJ101" t="str">
        <f ca="1"/>
        <v/>
      </c>
      <c r="CK101" t="str">
        <f ca="1"/>
        <v/>
      </c>
      <c r="CL101" t="str">
        <f ca="1"/>
        <v/>
      </c>
      <c r="CM101" t="str">
        <f ca="1"/>
        <v/>
      </c>
      <c r="CN101" t="str">
        <f ca="1"/>
        <v/>
      </c>
      <c r="CO101" t="str">
        <f ca="1"/>
        <v/>
      </c>
      <c r="CP101" t="str">
        <f ca="1"/>
        <v/>
      </c>
      <c r="CQ101" t="str">
        <f ca="1"/>
        <v/>
      </c>
      <c r="CR101" t="str">
        <f ca="1"/>
        <v/>
      </c>
      <c r="CS101" t="str">
        <f ca="1"/>
        <v/>
      </c>
      <c r="CT101" t="str">
        <f ca="1"/>
        <v/>
      </c>
      <c r="CU101" t="str">
        <f ca="1"/>
        <v/>
      </c>
      <c r="CV101" t="str">
        <f ca="1"/>
        <v/>
      </c>
      <c r="CW101" t="str">
        <f ca="1"/>
        <v/>
      </c>
      <c r="CX101" t="str">
        <f ca="1"/>
        <v/>
      </c>
      <c r="CY101" t="str">
        <f ca="1"/>
        <v/>
      </c>
      <c r="CZ101" t="str">
        <f ca="1"/>
        <v/>
      </c>
    </row>
    <row r="102" spans="5:104">
      <c r="E102" s="22" t="str">
        <f ca="1"/>
        <v/>
      </c>
      <c r="F102" s="22" t="str">
        <f ca="1"/>
        <v/>
      </c>
      <c r="G102" s="22" t="str">
        <f ca="1"/>
        <v/>
      </c>
      <c r="H102" s="22" t="str">
        <f ca="1"/>
        <v/>
      </c>
      <c r="I102" s="22" t="str">
        <f ca="1"/>
        <v/>
      </c>
      <c r="J102" s="22" t="str">
        <f ca="1"/>
        <v/>
      </c>
      <c r="K102" s="22" t="str">
        <f ca="1"/>
        <v/>
      </c>
      <c r="L102" s="22" t="str">
        <f ca="1"/>
        <v/>
      </c>
      <c r="M102" s="22" t="str">
        <f ca="1"/>
        <v/>
      </c>
      <c r="N102" s="22" t="str">
        <f ca="1"/>
        <v/>
      </c>
      <c r="O102" s="22" t="str">
        <f ca="1"/>
        <v/>
      </c>
      <c r="P102" s="22" t="str">
        <f ca="1"/>
        <v/>
      </c>
      <c r="Q102" t="str">
        <f ca="1"/>
        <v/>
      </c>
      <c r="R102" t="str">
        <f ca="1"/>
        <v/>
      </c>
      <c r="S102" t="str">
        <f ca="1"/>
        <v/>
      </c>
      <c r="T102" t="str">
        <f ca="1"/>
        <v/>
      </c>
      <c r="U102" t="str">
        <f ca="1"/>
        <v/>
      </c>
      <c r="V102" t="str">
        <f ca="1"/>
        <v/>
      </c>
      <c r="W102" t="str">
        <f ca="1"/>
        <v/>
      </c>
      <c r="X102" t="str">
        <f ca="1"/>
        <v/>
      </c>
      <c r="Y102" t="str">
        <f ca="1"/>
        <v/>
      </c>
      <c r="Z102" t="str">
        <f ca="1"/>
        <v/>
      </c>
      <c r="AA102" t="str">
        <f ca="1"/>
        <v/>
      </c>
      <c r="AB102" t="str">
        <f ca="1"/>
        <v/>
      </c>
      <c r="AC102" t="str">
        <f ca="1"/>
        <v/>
      </c>
      <c r="AD102" t="str">
        <f ca="1"/>
        <v/>
      </c>
      <c r="AE102" t="str">
        <f ca="1"/>
        <v/>
      </c>
      <c r="AF102" t="str">
        <f ca="1"/>
        <v/>
      </c>
      <c r="AG102" t="str">
        <f ca="1"/>
        <v/>
      </c>
      <c r="AH102" t="str">
        <f ca="1"/>
        <v/>
      </c>
      <c r="AI102" t="str">
        <f ca="1"/>
        <v/>
      </c>
      <c r="AJ102" t="str">
        <f ca="1"/>
        <v/>
      </c>
      <c r="AK102" t="str">
        <f ca="1"/>
        <v/>
      </c>
      <c r="AL102" t="str">
        <f ca="1"/>
        <v/>
      </c>
      <c r="AM102" t="str">
        <f ca="1"/>
        <v/>
      </c>
      <c r="AN102" t="str">
        <f ca="1"/>
        <v/>
      </c>
      <c r="AO102" t="str">
        <f ca="1"/>
        <v/>
      </c>
      <c r="AP102" t="str">
        <f ca="1"/>
        <v/>
      </c>
      <c r="AQ102" t="str">
        <f ca="1"/>
        <v/>
      </c>
      <c r="AR102" t="str">
        <f ca="1"/>
        <v/>
      </c>
      <c r="AS102" t="str">
        <f ca="1"/>
        <v/>
      </c>
      <c r="AT102" t="str">
        <f ca="1"/>
        <v/>
      </c>
      <c r="AU102" t="str">
        <f ca="1"/>
        <v/>
      </c>
      <c r="AV102" t="str">
        <f ca="1"/>
        <v/>
      </c>
      <c r="AW102" t="str">
        <f ca="1"/>
        <v/>
      </c>
      <c r="AX102" t="str">
        <f ca="1"/>
        <v/>
      </c>
      <c r="AY102" t="str">
        <f ca="1"/>
        <v/>
      </c>
      <c r="AZ102" t="str">
        <f ca="1"/>
        <v/>
      </c>
      <c r="BA102" t="str">
        <f ca="1"/>
        <v/>
      </c>
      <c r="BB102" t="str">
        <f ca="1"/>
        <v/>
      </c>
      <c r="BC102" t="str">
        <f ca="1"/>
        <v/>
      </c>
      <c r="BD102" t="str">
        <f ca="1"/>
        <v/>
      </c>
      <c r="BE102" t="str">
        <f ca="1"/>
        <v/>
      </c>
      <c r="BF102" t="str">
        <f ca="1"/>
        <v/>
      </c>
      <c r="BG102" t="str">
        <f ca="1"/>
        <v/>
      </c>
      <c r="BH102" t="str">
        <f ca="1"/>
        <v/>
      </c>
      <c r="BI102" t="str">
        <f ca="1"/>
        <v/>
      </c>
      <c r="BJ102" t="str">
        <f ca="1"/>
        <v/>
      </c>
      <c r="BK102" t="str">
        <f ca="1"/>
        <v/>
      </c>
      <c r="BL102" t="str">
        <f ca="1"/>
        <v/>
      </c>
      <c r="BM102" t="str">
        <f ca="1"/>
        <v/>
      </c>
      <c r="BN102" t="str">
        <f ca="1"/>
        <v/>
      </c>
      <c r="BO102" t="str">
        <f ca="1"/>
        <v/>
      </c>
      <c r="BP102" t="str">
        <f ca="1"/>
        <v/>
      </c>
      <c r="BQ102" t="str">
        <f ca="1"/>
        <v/>
      </c>
      <c r="BR102" t="str">
        <f ca="1"/>
        <v/>
      </c>
      <c r="BS102" t="str">
        <f ca="1"/>
        <v/>
      </c>
      <c r="BT102" t="str">
        <f ca="1"/>
        <v/>
      </c>
      <c r="BU102" t="str">
        <f ca="1"/>
        <v/>
      </c>
      <c r="BV102" t="str">
        <f ca="1"/>
        <v/>
      </c>
      <c r="BW102" t="str">
        <f ca="1"/>
        <v/>
      </c>
      <c r="BX102" t="str">
        <f ca="1"/>
        <v/>
      </c>
      <c r="BY102" t="str">
        <f ca="1"/>
        <v/>
      </c>
      <c r="BZ102" t="str">
        <f ca="1"/>
        <v/>
      </c>
      <c r="CA102" t="str">
        <f ca="1"/>
        <v/>
      </c>
      <c r="CB102" t="str">
        <f ca="1"/>
        <v/>
      </c>
      <c r="CC102" t="str">
        <f ca="1"/>
        <v/>
      </c>
      <c r="CD102" t="str">
        <f ca="1"/>
        <v/>
      </c>
      <c r="CE102" t="str">
        <f ca="1"/>
        <v/>
      </c>
      <c r="CF102" t="str">
        <f ca="1"/>
        <v/>
      </c>
      <c r="CG102" t="str">
        <f ca="1"/>
        <v/>
      </c>
      <c r="CH102" t="str">
        <f ca="1"/>
        <v/>
      </c>
      <c r="CI102" t="str">
        <f ca="1"/>
        <v/>
      </c>
      <c r="CJ102" t="str">
        <f ca="1"/>
        <v/>
      </c>
      <c r="CK102" t="str">
        <f ca="1"/>
        <v/>
      </c>
      <c r="CL102" t="str">
        <f ca="1"/>
        <v/>
      </c>
      <c r="CM102" t="str">
        <f ca="1"/>
        <v/>
      </c>
      <c r="CN102" t="str">
        <f ca="1"/>
        <v/>
      </c>
      <c r="CO102" t="str">
        <f ca="1"/>
        <v/>
      </c>
      <c r="CP102" t="str">
        <f ca="1"/>
        <v/>
      </c>
      <c r="CQ102" t="str">
        <f ca="1"/>
        <v/>
      </c>
      <c r="CR102" t="str">
        <f ca="1"/>
        <v/>
      </c>
      <c r="CS102" t="str">
        <f ca="1"/>
        <v/>
      </c>
      <c r="CT102" t="str">
        <f ca="1"/>
        <v/>
      </c>
      <c r="CU102" t="str">
        <f ca="1"/>
        <v/>
      </c>
      <c r="CV102" t="str">
        <f ca="1"/>
        <v/>
      </c>
      <c r="CW102" t="str">
        <f ca="1"/>
        <v/>
      </c>
      <c r="CX102" t="str">
        <f ca="1"/>
        <v/>
      </c>
      <c r="CY102" t="str">
        <f ca="1"/>
        <v/>
      </c>
      <c r="CZ102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US_TREASURY_TYPE1</vt:lpstr>
      <vt:lpstr>GERMAN_BUND_TYPE60</vt:lpstr>
      <vt:lpstr>JAPAN_JGB_TYPE51</vt:lpstr>
      <vt:lpstr>FRENCH_BTAN_TYPE89</vt:lpstr>
      <vt:lpstr>ITALIAN_BTPS_TYPE523</vt:lpstr>
      <vt:lpstr>AUSTRALIAN_GOVT_TYPE23</vt:lpstr>
      <vt:lpstr>UK_GILT_TYPE26</vt:lpstr>
      <vt:lpstr>BESPOKE BONDS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2018-02-01T10:34:55Z</dcterms:created>
  <dcterms:modified xsi:type="dcterms:W3CDTF">2026-09-11T00:42:11Z</dcterms:modified>
</cp:coreProperties>
</file>